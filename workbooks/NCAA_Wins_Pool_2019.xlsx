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ams-Conference" sheetId="1" r:id="rId4"/>
    <sheet state="hidden" name="Draft Order" sheetId="2" r:id="rId5"/>
    <sheet state="visible" name="DraftTracker" sheetId="3" r:id="rId6"/>
    <sheet state="hidden" name="Actual Conferences" sheetId="4" r:id="rId7"/>
    <sheet state="hidden" name="ACTranspose" sheetId="5" r:id="rId8"/>
    <sheet state="hidden" name="Conferences Needed" sheetId="6" r:id="rId9"/>
    <sheet state="hidden" name="OnTheClocks Eligable Teams" sheetId="7" r:id="rId10"/>
    <sheet state="hidden" name="Lines Raw" sheetId="8" r:id="rId11"/>
    <sheet state="hidden" name="Wins Source work" sheetId="9" r:id="rId12"/>
    <sheet state="visible" name="Standings" sheetId="10" r:id="rId13"/>
    <sheet state="visible" name="projected wins work" sheetId="11" r:id="rId14"/>
    <sheet state="visible" name="Teams Available" sheetId="12" r:id="rId15"/>
    <sheet state="hidden" name="Teams" sheetId="13" r:id="rId16"/>
    <sheet state="hidden" name="Picks by Player Raw" sheetId="14" r:id="rId17"/>
    <sheet state="visible" name="Current Week" sheetId="15" r:id="rId18"/>
    <sheet state="visible" name="Tuesday" sheetId="16" r:id="rId19"/>
    <sheet state="hidden" name="Wednesday" sheetId="17" r:id="rId20"/>
    <sheet state="hidden" name="Thursday" sheetId="18" r:id="rId21"/>
    <sheet state="hidden" name="Friday" sheetId="19" r:id="rId22"/>
    <sheet state="hidden" name="Saturday" sheetId="20" r:id="rId23"/>
    <sheet state="hidden" name="weeklylog work" sheetId="21" r:id="rId24"/>
    <sheet state="hidden" name="Weekly Log" sheetId="22" r:id="rId25"/>
    <sheet state="hidden" name="Tot W Pivot" sheetId="23" r:id="rId26"/>
    <sheet state="hidden" name="Leader W-2nd Pivot" sheetId="24" r:id="rId27"/>
    <sheet state="visible" name="Weekly W Pivot" sheetId="25" r:id="rId28"/>
    <sheet state="hidden" name="PXP sorted by Conf" sheetId="26" r:id="rId29"/>
    <sheet state="hidden" name="Translation" sheetId="27" r:id="rId30"/>
    <sheet state="visible" name="Picks by Player" sheetId="28" r:id="rId31"/>
    <sheet state="visible" name="Perc Total Ws " sheetId="29" r:id="rId32"/>
    <sheet state="visible" name=" Weekly Ws " sheetId="30" r:id="rId33"/>
    <sheet state="hidden" name="Draft Evalualtion Pivot" sheetId="31" r:id="rId34"/>
    <sheet state="hidden" name="Draft Evaluation Work" sheetId="32" r:id="rId35"/>
    <sheet state="hidden" name="Sunday" sheetId="33" r:id="rId36"/>
    <sheet state="hidden" name="Monday" sheetId="34" r:id="rId37"/>
    <sheet state="hidden" name="Channel scrape" sheetId="35" r:id="rId38"/>
    <sheet state="visible" name="W - Avg" sheetId="36" r:id="rId39"/>
    <sheet state="visible" name="Leader W - 2nd W" sheetId="37" r:id="rId40"/>
    <sheet state="visible" name="team colors" sheetId="38" r:id="rId41"/>
  </sheets>
  <definedNames>
    <definedName hidden="1" localSheetId="1" name="_xlnm._FilterDatabase">'Draft Order'!$B$1:$C$13</definedName>
    <definedName hidden="1" localSheetId="14" name="_xlnm._FilterDatabase">'Current Week'!$A$1:$K$132</definedName>
    <definedName hidden="1" localSheetId="31" name="_xlnm._FilterDatabase">'Draft Evaluation Work'!$A$1:$S$131</definedName>
    <definedName hidden="1" localSheetId="14" name="Z_BDA3C783_5A6A_4C85_A603_EE07380756F5_.wvu.FilterData">'Current Week'!$A$1:$K$132</definedName>
    <definedName hidden="1" localSheetId="14" name="Z_0610BEB5_BA39_41B9_822A_62221A2B91F9_.wvu.FilterData">'Current Week'!$A$1:$J$132</definedName>
    <definedName hidden="1" localSheetId="14" name="Z_497180BE_3B94_4BF5_B6BE_8423F910C24B_.wvu.FilterData">'Current Week'!$A$1:$J$132</definedName>
    <definedName hidden="1" localSheetId="14" name="Z_C0273C12_8573_49FF_8451_7CB16029B2D8_.wvu.FilterData">'Current Week'!$A$1:$J$132</definedName>
    <definedName hidden="1" localSheetId="14" name="Z_2E90A10E_F369_4E2B_BCCE_E4E8983ED0D0_.wvu.FilterData">'Current Week'!$A$1:$K$132</definedName>
    <definedName hidden="1" localSheetId="14" name="Z_49190231_989C_41F2_8BEB_6A6A4663E576_.wvu.FilterData">'Current Week'!$A$1:$K$132</definedName>
    <definedName hidden="1" localSheetId="14" name="Z_8B87EB18_01B1_4082_A5A7_A5074EDC6966_.wvu.FilterData">'Current Week'!$A$1:$K$132</definedName>
    <definedName hidden="1" localSheetId="14" name="Z_661CBFAA_8D14_4B16_A714_C59C7F5D14A6_.wvu.FilterData">'Current Week'!$A$1:$K$132</definedName>
    <definedName hidden="1" localSheetId="14" name="Z_5B6A64CD_CC4A_4CAB_A999_185DB68CE196_.wvu.FilterData">'Current Week'!$A$1:$K$132</definedName>
    <definedName hidden="1" localSheetId="2" name="Z_3428B888_7300_41C5_AF93_F49DE3A97EB1_.wvu.FilterData">DraftTracker!$A$1:$G$111</definedName>
    <definedName hidden="1" localSheetId="14" name="Z_C6E23D8C_A9B6_45F7_B028_28FFE358D937_.wvu.FilterData">'Current Week'!$A$1:$K$132</definedName>
    <definedName hidden="1" localSheetId="14" name="Z_9C89C2A5_049C_44D5_8DC8_EC58448514A9_.wvu.FilterData">'Current Week'!$A$1:$K$132</definedName>
    <definedName hidden="1" localSheetId="14" name="Z_784DF076_0892_41C7_91BD_6FDB8C1F8A07_.wvu.FilterData">'Current Week'!$A$1:$K$132</definedName>
    <definedName hidden="1" localSheetId="14" name="Z_CE262B8E_DBF7_4F4A_8061_EAD43351261A_.wvu.FilterData">'Current Week'!$A$1:$K$132</definedName>
    <definedName hidden="1" localSheetId="14" name="Z_87600410_CE5D_4FB7_8FF7_B940CD7FA48C_.wvu.FilterData">'Current Week'!$A$1:$K$132</definedName>
    <definedName hidden="1" localSheetId="14" name="Z_4D0B2869_4F53_481B_925F_BEC5C87908B5_.wvu.FilterData">'Current Week'!$A$1:$K$110</definedName>
    <definedName hidden="1" localSheetId="14" name="Z_7F0FA7BF_1695_48B0_BCC4_7A89BCFB0A84_.wvu.FilterData">'Current Week'!$A$1:$K$132</definedName>
    <definedName hidden="1" localSheetId="14" name="Z_E8BB0BD1_DFB1_4FEB_9799_36CCB85AD57E_.wvu.FilterData">'Current Week'!$A$1:$K$132</definedName>
    <definedName hidden="1" localSheetId="14" name="Z_E1A1E63F_B52D_4B3D_9CD4_E8B5DAD57612_.wvu.FilterData">'Current Week'!$A$1:$J$132</definedName>
  </definedNames>
  <calcPr/>
  <customWorkbookViews>
    <customWorkbookView activeSheetId="0" maximized="1" windowHeight="0" windowWidth="0" guid="{BDA3C783-5A6A-4C85-A603-EE07380756F5}" name="Nico"/>
    <customWorkbookView activeSheetId="0" maximized="1" windowHeight="0" windowWidth="0" guid="{0610BEB5-BA39-41B9-822A-62221A2B91F9}" name="Jeannine"/>
    <customWorkbookView activeSheetId="0" maximized="1" windowHeight="0" windowWidth="0" guid="{497180BE-3B94-4BF5-B6BE-8423F910C24B}" name="Wednesday Games"/>
    <customWorkbookView activeSheetId="0" maximized="1" windowHeight="0" windowWidth="0" guid="{C0273C12-8573-49FF-8451-7CB16029B2D8}" name="JustinJeannine"/>
    <customWorkbookView activeSheetId="0" maximized="1" windowHeight="0" windowWidth="0" guid="{2E90A10E-F369-4E2B-BCCE-E4E8983ED0D0}" name="Vu"/>
    <customWorkbookView activeSheetId="0" maximized="1" windowHeight="0" windowWidth="0" guid="{49190231-989C-41F2-8BEB-6A6A4663E576}" name="Brad"/>
    <customWorkbookView activeSheetId="0" maximized="1" windowHeight="0" windowWidth="0" guid="{8B87EB18-01B1-4082-A5A7-A5074EDC6966}" name="Nick A."/>
    <customWorkbookView activeSheetId="0" maximized="1" windowHeight="0" windowWidth="0" guid="{661CBFAA-8D14-4B16-A714-C59C7F5D14A6}" name="All Active Games"/>
    <customWorkbookView activeSheetId="0" maximized="1" windowHeight="0" windowWidth="0" guid="{5B6A64CD-CC4A-4CAB-A999-185DB68CE196}" name="Josh R."/>
    <customWorkbookView activeSheetId="0" maximized="1" windowHeight="0" windowWidth="0" guid="{3428B888-7300-41C5-AF93-F49DE3A97EB1}" name="Filter 1"/>
    <customWorkbookView activeSheetId="0" maximized="1" windowHeight="0" windowWidth="0" guid="{C6E23D8C-A9B6-45F7-B028-28FFE358D937}" name="Friday Games"/>
    <customWorkbookView activeSheetId="0" maximized="1" windowHeight="0" windowWidth="0" guid="{9C89C2A5-049C-44D5-8DC8-EC58448514A9}" name="Justin"/>
    <customWorkbookView activeSheetId="0" maximized="1" windowHeight="0" windowWidth="0" guid="{784DF076-0892-41C7-91BD-6FDB8C1F8A07}" name="Gary"/>
    <customWorkbookView activeSheetId="0" maximized="1" windowHeight="0" windowWidth="0" guid="{CE262B8E-DBF7-4F4A-8061-EAD43351261A}" name="Janice/Mike"/>
    <customWorkbookView activeSheetId="0" maximized="1" windowHeight="0" windowWidth="0" guid="{87600410-CE5D-4FB7-8FF7-B940CD7FA48C}" name="DavEmily"/>
    <customWorkbookView activeSheetId="0" maximized="1" windowHeight="0" windowWidth="0" guid="{4D0B2869-4F53-481B-925F-BEC5C87908B5}" name="Saturday Games"/>
    <customWorkbookView activeSheetId="0" maximized="1" windowHeight="0" windowWidth="0" guid="{7F0FA7BF-1695-48B0-BCC4-7A89BCFB0A84}" name="Adam"/>
    <customWorkbookView activeSheetId="0" maximized="1" windowHeight="0" windowWidth="0" guid="{E8BB0BD1-DFB1-4FEB-9799-36CCB85AD57E}" name="Thursday Games"/>
    <customWorkbookView activeSheetId="0" maximized="1" windowHeight="0" windowWidth="0" guid="{E1A1E63F-B52D-4B3D-9CD4-E8B5DAD57612}" name="Tuesday Games"/>
  </customWorkbookViews>
  <pivotCaches>
    <pivotCache cacheId="0" r:id="rId42"/>
    <pivotCache cacheId="1" r:id="rId4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1">
      <text>
        <t xml:space="preserve">I need to account for wildcards</t>
      </text>
    </comment>
  </commentList>
</comments>
</file>

<file path=xl/sharedStrings.xml><?xml version="1.0" encoding="utf-8"?>
<sst xmlns="http://schemas.openxmlformats.org/spreadsheetml/2006/main" count="27358" uniqueCount="1843">
  <si>
    <t>Players</t>
  </si>
  <si>
    <t>draft</t>
  </si>
  <si>
    <t>Player</t>
  </si>
  <si>
    <t>rnd</t>
  </si>
  <si>
    <t>Order Rnd()</t>
  </si>
  <si>
    <t>Cincinnati</t>
  </si>
  <si>
    <t>pick</t>
  </si>
  <si>
    <t>player</t>
  </si>
  <si>
    <t>conf</t>
  </si>
  <si>
    <t>team</t>
  </si>
  <si>
    <t>Error Check</t>
  </si>
  <si>
    <t>AAC</t>
  </si>
  <si>
    <t>Same confs picked within 10 after</t>
  </si>
  <si>
    <t>Same confs picked within 20 after</t>
  </si>
  <si>
    <t>Same confs picked within 10 before</t>
  </si>
  <si>
    <t>ACC</t>
  </si>
  <si>
    <t>Same confs picked within 20 before</t>
  </si>
  <si>
    <t>Big 12</t>
  </si>
  <si>
    <t>wins</t>
  </si>
  <si>
    <t>Big Ten</t>
  </si>
  <si>
    <t>CUSA</t>
  </si>
  <si>
    <t>picks_better_than</t>
  </si>
  <si>
    <t>MAC</t>
  </si>
  <si>
    <t>UConn</t>
  </si>
  <si>
    <t>MWC</t>
  </si>
  <si>
    <t>no_teams_slept_on</t>
  </si>
  <si>
    <t>Pac12</t>
  </si>
  <si>
    <t>DavEmily</t>
  </si>
  <si>
    <t>SEC</t>
  </si>
  <si>
    <t>W</t>
  </si>
  <si>
    <t>Sun Belt</t>
  </si>
  <si>
    <t>Independent</t>
  </si>
  <si>
    <t>East Carolina</t>
  </si>
  <si>
    <t>Houston</t>
  </si>
  <si>
    <t>L</t>
  </si>
  <si>
    <t>Memphis</t>
  </si>
  <si>
    <t>matchup</t>
  </si>
  <si>
    <t>Navy</t>
  </si>
  <si>
    <t>Nick A.</t>
  </si>
  <si>
    <t>Status (Time ET)</t>
  </si>
  <si>
    <t>opponent</t>
  </si>
  <si>
    <t>Gary</t>
  </si>
  <si>
    <t>SMU</t>
  </si>
  <si>
    <t>network</t>
  </si>
  <si>
    <t>Janice/Mike</t>
  </si>
  <si>
    <t>South Florida</t>
  </si>
  <si>
    <t>Opening Spread</t>
  </si>
  <si>
    <t>Spread</t>
  </si>
  <si>
    <t>Nico</t>
  </si>
  <si>
    <t>Temple</t>
  </si>
  <si>
    <t>Current Total</t>
  </si>
  <si>
    <t>Total</t>
  </si>
  <si>
    <t>Tulane</t>
  </si>
  <si>
    <t>Jeannine</t>
  </si>
  <si>
    <t>PF</t>
  </si>
  <si>
    <t>PA</t>
  </si>
  <si>
    <t>Tulsa</t>
  </si>
  <si>
    <t>wins_missed</t>
  </si>
  <si>
    <t>Justin</t>
  </si>
  <si>
    <t>UCF</t>
  </si>
  <si>
    <t>Adam</t>
  </si>
  <si>
    <t>Boston College</t>
  </si>
  <si>
    <t>Vu</t>
  </si>
  <si>
    <t>bestpick</t>
  </si>
  <si>
    <t>Josh R.</t>
  </si>
  <si>
    <t>wins_gained</t>
  </si>
  <si>
    <t>UMASS</t>
  </si>
  <si>
    <t>teams_slept_on</t>
  </si>
  <si>
    <t>Clemson</t>
  </si>
  <si>
    <t>Brad</t>
  </si>
  <si>
    <t>wins_missed_conf</t>
  </si>
  <si>
    <t>picks_better_than_conf</t>
  </si>
  <si>
    <t>Duke</t>
  </si>
  <si>
    <t>no_teams_slept_on_conf</t>
  </si>
  <si>
    <t>Nick G.</t>
  </si>
  <si>
    <t>bestpick_conf</t>
  </si>
  <si>
    <t>Florida State</t>
  </si>
  <si>
    <t>wins_gained_conf</t>
  </si>
  <si>
    <t>teams_slept_on_conf</t>
  </si>
  <si>
    <t>confs_avail</t>
  </si>
  <si>
    <t>Georgia Tech</t>
  </si>
  <si>
    <t>wins_missed_confs_avail</t>
  </si>
  <si>
    <t>picks_better_than_confs_avail</t>
  </si>
  <si>
    <t>no_teams_slept_on_confs_avail</t>
  </si>
  <si>
    <t>Louisville</t>
  </si>
  <si>
    <t>bestpick_confs_avail</t>
  </si>
  <si>
    <t>wins_gained_confs_avail</t>
  </si>
  <si>
    <t>Miami</t>
  </si>
  <si>
    <t>NC State</t>
  </si>
  <si>
    <t>teams_slept_on_confs_avail</t>
  </si>
  <si>
    <t>North Carolina</t>
  </si>
  <si>
    <t>Pittsburgh</t>
  </si>
  <si>
    <t>Syracuse</t>
  </si>
  <si>
    <t>Virginia</t>
  </si>
  <si>
    <t>Virginia Tech</t>
  </si>
  <si>
    <t>Wake Forest</t>
  </si>
  <si>
    <t>Baylor</t>
  </si>
  <si>
    <t>Iowa State</t>
  </si>
  <si>
    <t>Kansas</t>
  </si>
  <si>
    <t>Kansas State</t>
  </si>
  <si>
    <t>Oklahoma</t>
  </si>
  <si>
    <t>Oklahoma State</t>
  </si>
  <si>
    <t>TCU</t>
  </si>
  <si>
    <t>Texas</t>
  </si>
  <si>
    <t>Texas Tech</t>
  </si>
  <si>
    <t>West Virginia</t>
  </si>
  <si>
    <t>Illinois</t>
  </si>
  <si>
    <t>Notre Dame</t>
  </si>
  <si>
    <t>Indiana</t>
  </si>
  <si>
    <t>BYU</t>
  </si>
  <si>
    <t>Iowa</t>
  </si>
  <si>
    <t>Maryland</t>
  </si>
  <si>
    <t>Michigan</t>
  </si>
  <si>
    <t>Michigan State</t>
  </si>
  <si>
    <t>Alabama</t>
  </si>
  <si>
    <t>Minnesota</t>
  </si>
  <si>
    <t>Nebraska</t>
  </si>
  <si>
    <t>Northwestern</t>
  </si>
  <si>
    <t>Ohio State</t>
  </si>
  <si>
    <t>Penn State</t>
  </si>
  <si>
    <t>Purdue</t>
  </si>
  <si>
    <t>Rutgers</t>
  </si>
  <si>
    <t>Wisconsin</t>
  </si>
  <si>
    <t>Florida Intl</t>
  </si>
  <si>
    <t>Florida Atlantic</t>
  </si>
  <si>
    <t>Louisiana Tech</t>
  </si>
  <si>
    <t>Marshall</t>
  </si>
  <si>
    <t>Middle Tennessee</t>
  </si>
  <si>
    <t>North Texas</t>
  </si>
  <si>
    <t>Old Dominion</t>
  </si>
  <si>
    <t>Rice</t>
  </si>
  <si>
    <t>Southern Mississippi</t>
  </si>
  <si>
    <t>Charlotte</t>
  </si>
  <si>
    <t>UTEP</t>
  </si>
  <si>
    <t>UTSA</t>
  </si>
  <si>
    <t>Western Kentucky</t>
  </si>
  <si>
    <t>UAB</t>
  </si>
  <si>
    <t>Akron</t>
  </si>
  <si>
    <t>Ball State</t>
  </si>
  <si>
    <t>Bowling Green</t>
  </si>
  <si>
    <t>Buffalo</t>
  </si>
  <si>
    <t>Central Michigan</t>
  </si>
  <si>
    <t>EMU</t>
  </si>
  <si>
    <t>Kent State</t>
  </si>
  <si>
    <t>Miami-OH</t>
  </si>
  <si>
    <t>Northern Illinois</t>
  </si>
  <si>
    <t>Ohio</t>
  </si>
  <si>
    <t>Toledo</t>
  </si>
  <si>
    <t>Western Michigan</t>
  </si>
  <si>
    <t>Air Force</t>
  </si>
  <si>
    <t>Boise State</t>
  </si>
  <si>
    <t>Colorado State</t>
  </si>
  <si>
    <t>Fresno State</t>
  </si>
  <si>
    <t>Hawaii</t>
  </si>
  <si>
    <t>Nevada</t>
  </si>
  <si>
    <t>New Mexico</t>
  </si>
  <si>
    <t>San Diego State</t>
  </si>
  <si>
    <t>San José State</t>
  </si>
  <si>
    <t>UNLV</t>
  </si>
  <si>
    <t>Utah State</t>
  </si>
  <si>
    <t>Wyoming</t>
  </si>
  <si>
    <t>Arizona</t>
  </si>
  <si>
    <t>Arizona State</t>
  </si>
  <si>
    <t>California</t>
  </si>
  <si>
    <t>Colorado</t>
  </si>
  <si>
    <t>Oregon</t>
  </si>
  <si>
    <t>Oregon State</t>
  </si>
  <si>
    <t>Stanford</t>
  </si>
  <si>
    <t>UCLA</t>
  </si>
  <si>
    <t>USC</t>
  </si>
  <si>
    <t>Utah</t>
  </si>
  <si>
    <t>Washington</t>
  </si>
  <si>
    <t>Washington State</t>
  </si>
  <si>
    <t>Arkansas</t>
  </si>
  <si>
    <t>Auburn</t>
  </si>
  <si>
    <t>Florida</t>
  </si>
  <si>
    <t>Georgia</t>
  </si>
  <si>
    <t>Kentucky</t>
  </si>
  <si>
    <t>LSU</t>
  </si>
  <si>
    <t>Mississippi State</t>
  </si>
  <si>
    <t>Missouri</t>
  </si>
  <si>
    <t>Ole Miss</t>
  </si>
  <si>
    <t>South Carolina</t>
  </si>
  <si>
    <t>Tennessee</t>
  </si>
  <si>
    <t>Texas A&amp;M</t>
  </si>
  <si>
    <t>Vanderbilt</t>
  </si>
  <si>
    <t>Appalachian State</t>
  </si>
  <si>
    <t>Arkansas State</t>
  </si>
  <si>
    <t>Georgia Southern</t>
  </si>
  <si>
    <t>Georgia State</t>
  </si>
  <si>
    <t>UL Lafayette</t>
  </si>
  <si>
    <t>UL Monroe</t>
  </si>
  <si>
    <t>South Alabama</t>
  </si>
  <si>
    <t>Texas State</t>
  </si>
  <si>
    <t>Troy</t>
  </si>
  <si>
    <t>Coastal Carolina</t>
  </si>
  <si>
    <t>Army</t>
  </si>
  <si>
    <t>Liberty</t>
  </si>
  <si>
    <t>New Mexico State</t>
  </si>
  <si>
    <t>Conf</t>
  </si>
  <si>
    <t>Picked</t>
  </si>
  <si>
    <t>ESPN</t>
  </si>
  <si>
    <t>BYE</t>
  </si>
  <si>
    <t>bye</t>
  </si>
  <si>
    <t>Match up</t>
  </si>
  <si>
    <t>open</t>
  </si>
  <si>
    <t>Consensus</t>
  </si>
  <si>
    <t>ABC</t>
  </si>
  <si>
    <t xml:space="preserve">(22) Virginia at (3) Clemson </t>
  </si>
  <si>
    <t>SAT, DEC 7 7:30 PM ET</t>
  </si>
  <si>
    <t>Conference</t>
  </si>
  <si>
    <t>avg wins</t>
  </si>
  <si>
    <t>Round</t>
  </si>
  <si>
    <t>Season</t>
  </si>
  <si>
    <t>Current Week</t>
  </si>
  <si>
    <t>ESPN2</t>
  </si>
  <si>
    <t>Actaul + Chalk Projections</t>
  </si>
  <si>
    <t>Wins</t>
  </si>
  <si>
    <t>Losses</t>
  </si>
  <si>
    <t>Games</t>
  </si>
  <si>
    <t>Games Played</t>
  </si>
  <si>
    <t>Expected Wins
(based on Vegas)</t>
  </si>
  <si>
    <t>Upsets &amp; Pushes Won</t>
  </si>
  <si>
    <t>Upsets &amp; Pushes Lost</t>
  </si>
  <si>
    <t xml:space="preserve">Hawaii at (17) Boise State </t>
  </si>
  <si>
    <t>SAT, DEC 7 4:00 PM ET</t>
  </si>
  <si>
    <t>-13½</t>
  </si>
  <si>
    <t>Team</t>
  </si>
  <si>
    <t>Time Left/Start</t>
  </si>
  <si>
    <t>Line</t>
  </si>
  <si>
    <t>Final?</t>
  </si>
  <si>
    <t>Away</t>
  </si>
  <si>
    <t>Home</t>
  </si>
  <si>
    <t>Winner</t>
  </si>
  <si>
    <t>CBS</t>
  </si>
  <si>
    <t xml:space="preserve">(4) Georgia at (1) LSU </t>
  </si>
  <si>
    <t>7½ +0</t>
  </si>
  <si>
    <t>54½</t>
  </si>
  <si>
    <t xml:space="preserve">(8) Baylor at (6) Oklahoma </t>
  </si>
  <si>
    <t>SAT, DEC 7 12:00 PM ET</t>
  </si>
  <si>
    <t>62½</t>
  </si>
  <si>
    <t/>
  </si>
  <si>
    <t>ESPNU</t>
  </si>
  <si>
    <t xml:space="preserve">UL Lafayette at (20) Appalachian State </t>
  </si>
  <si>
    <t>-6½</t>
  </si>
  <si>
    <t>Match Up</t>
  </si>
  <si>
    <t>-7½ +0</t>
  </si>
  <si>
    <t>6½</t>
  </si>
  <si>
    <t>NA</t>
  </si>
  <si>
    <t xml:space="preserve">(2) Ohio State at (10) Wisconsin </t>
  </si>
  <si>
    <t>SAT, DEC 7 8:00 PM ET</t>
  </si>
  <si>
    <t>15½</t>
  </si>
  <si>
    <t xml:space="preserve">Army at (23) Navy </t>
  </si>
  <si>
    <t>SAT, DEC 14 3:00 PM ET</t>
  </si>
  <si>
    <t xml:space="preserve">Miami-OH at Central Michigan </t>
  </si>
  <si>
    <t xml:space="preserve">UAB at Florida Atlantic </t>
  </si>
  <si>
    <t>SAT, DEC 7 1:30 PM ET</t>
  </si>
  <si>
    <t>7½</t>
  </si>
  <si>
    <t xml:space="preserve">(5) Utah at (13) Oregon </t>
  </si>
  <si>
    <t>FRI, DEC 6 8:00 PM ET</t>
  </si>
  <si>
    <t>CBSSN</t>
  </si>
  <si>
    <t>Network</t>
  </si>
  <si>
    <t>Over/Under</t>
  </si>
  <si>
    <t>Opponent</t>
  </si>
  <si>
    <t>Sort</t>
  </si>
  <si>
    <t>ACC RSN</t>
  </si>
  <si>
    <t>BTN</t>
  </si>
  <si>
    <t>espn+ Video</t>
  </si>
  <si>
    <t>NBC</t>
  </si>
  <si>
    <t>FS1</t>
  </si>
  <si>
    <t xml:space="preserve">(21) Cincinnati at (16) Memphis </t>
  </si>
  <si>
    <t>SAT, DEC 7 3:30 PM ET</t>
  </si>
  <si>
    <t>9½</t>
  </si>
  <si>
    <t>Pac-12</t>
  </si>
  <si>
    <t>13½</t>
  </si>
  <si>
    <t>-9½</t>
  </si>
  <si>
    <t>57½</t>
  </si>
  <si>
    <t>Flo Sports Video</t>
  </si>
  <si>
    <t>FOX</t>
  </si>
  <si>
    <t>BYUtv</t>
  </si>
  <si>
    <t>56½</t>
  </si>
  <si>
    <t>-15½</t>
  </si>
  <si>
    <t>espn3 Video</t>
  </si>
  <si>
    <t>47½</t>
  </si>
  <si>
    <t>Facebook Video</t>
  </si>
  <si>
    <t>ACC Network</t>
  </si>
  <si>
    <t>-7½</t>
  </si>
  <si>
    <t>SEC Network</t>
  </si>
  <si>
    <t>Undrafted</t>
  </si>
  <si>
    <t>Western Michigan 14 at Northern Illinois 17</t>
  </si>
  <si>
    <t>Ohio 52 at Akron 3</t>
  </si>
  <si>
    <t>Akron at Miami Ohio</t>
  </si>
  <si>
    <t>Toledo 30 at Buffalo 49</t>
  </si>
  <si>
    <t>Ole Miss 20 at Mississippi State 21</t>
  </si>
  <si>
    <t>(23) Virginia Tech 30 at Virginia 39</t>
  </si>
  <si>
    <t>(17) Cincinnati 24 at (18) Memphis 34</t>
  </si>
  <si>
    <t>Missouri 24 at Arkansas 14</t>
  </si>
  <si>
    <t>Texas Tech 24 at Texas 49</t>
  </si>
  <si>
    <t>Washington State 13 at Washington 31</t>
  </si>
  <si>
    <t>West Virginia 20 at TCU 17</t>
  </si>
  <si>
    <t>South Florida 7 at UCF 34</t>
  </si>
  <si>
    <t>(20) Iowa 27 at Nebraska 24</t>
  </si>
  <si>
    <t>Toledo 7 at Central Michigan 49</t>
  </si>
  <si>
    <t>Miami-OH 27 at Ball State 41</t>
  </si>
  <si>
    <t>(19) Boise State 31 at Colorado State 24</t>
  </si>
  <si>
    <t>Bowling Green 7 at Buffalo 49</t>
  </si>
  <si>
    <t>Arkansas State 30 at South Alabama 34</t>
  </si>
  <si>
    <t>espn+ Video~01</t>
  </si>
  <si>
    <t>Kent State at Eastern Michigan</t>
  </si>
  <si>
    <t>(22) Appalachian State 48 at Troy 13</t>
  </si>
  <si>
    <t>(4) Georgia 52 at Georgia Tech 7</t>
  </si>
  <si>
    <t>(14) Wisconsin 38 at (9) Minnesota 17</t>
  </si>
  <si>
    <t>Colorado 15 at (6) Utah 45</t>
  </si>
  <si>
    <t>(5) Alabama 45 at (16) Auburn 48</t>
  </si>
  <si>
    <t>(2) Ohio State 56 at (11) Michigan 27</t>
  </si>
  <si>
    <t>(15) Notre Dame 45 at Stanford 24</t>
  </si>
  <si>
    <t>(7) Oklahoma 34 at (21) Oklahoma State 16</t>
  </si>
  <si>
    <t>(3) Clemson 38 at South Carolina 3</t>
  </si>
  <si>
    <t>(10) Baylor 61 at Kansas 6</t>
  </si>
  <si>
    <t>Texas A&amp;M 7 at (1) LSU 50</t>
  </si>
  <si>
    <t>Arizona 14 at Arizona State 24</t>
  </si>
  <si>
    <t>Northwestern 29 at Illinois 10</t>
  </si>
  <si>
    <t>Maryland 16 at Michigan State 19</t>
  </si>
  <si>
    <t>Iowa State 17 at Kansas State 27</t>
  </si>
  <si>
    <t>California 28 at UCLA 18</t>
  </si>
  <si>
    <t>Oregon State 10 at (13) Oregon 24</t>
  </si>
  <si>
    <t>Boston College 26 at Pittsburgh 19</t>
  </si>
  <si>
    <t>North Carolina 41 at NC State 10</t>
  </si>
  <si>
    <t>Rutgers 6 at (12) Penn State 27</t>
  </si>
  <si>
    <t>Louisville 13 at Kentucky 45</t>
  </si>
  <si>
    <t>Vanderbilt 0 at Tennessee 0
Delayed</t>
  </si>
  <si>
    <t>Florida State 17 at (8) Florida 40</t>
  </si>
  <si>
    <t>Tulsa 49 at East Carolina 24</t>
  </si>
  <si>
    <t>Tulane 20 at SMU 37</t>
  </si>
  <si>
    <t>UL Monroe 30 at UL Lafayette 31</t>
  </si>
  <si>
    <t>Florida Intl 24 at Marshall 24
0:00 IN OT</t>
  </si>
  <si>
    <t>UConn 17 at Temple 49</t>
  </si>
  <si>
    <t>BYU 3 at San Diego State 13</t>
  </si>
  <si>
    <t>Army at Hawaii</t>
  </si>
  <si>
    <t>Texas State 21 at Coastal Carolina 24</t>
  </si>
  <si>
    <t>UTSA 0 at Louisiana Tech 0
Delayed</t>
  </si>
  <si>
    <t>Charlotte 38 at Old Dominion 22</t>
  </si>
  <si>
    <t>Georgia State 10 at Georgia Southern 38</t>
  </si>
  <si>
    <t>espn+ Video~02</t>
  </si>
  <si>
    <t>Middle Tennessee 26 at Western Kentucky 31</t>
  </si>
  <si>
    <t>espn+ Video~03</t>
  </si>
  <si>
    <t>New Mexico State 28 at Liberty 49</t>
  </si>
  <si>
    <t>Rice 30 at UTEP 16</t>
  </si>
  <si>
    <t>Wake Forest 30 at Syracuse 30
0:00 IN OT</t>
  </si>
  <si>
    <t>ATTRM</t>
  </si>
  <si>
    <t>UNLV 27 at Nevada 27
0:00 IN OT</t>
  </si>
  <si>
    <t>Indiana 31 at Purdue 31
0:00 IN OT</t>
  </si>
  <si>
    <t>Miami 17 at Duke 27</t>
  </si>
  <si>
    <t>(24) Navy 56 at Houston 41</t>
  </si>
  <si>
    <t>Fresno State at San Jose State</t>
  </si>
  <si>
    <t>NFL Network</t>
  </si>
  <si>
    <t>Southern Mississippi 17 at Florida Atlantic 34</t>
  </si>
  <si>
    <t>Stadium Video</t>
  </si>
  <si>
    <t>UAB 26 at North Texas 21</t>
  </si>
  <si>
    <t>Date Entry</t>
  </si>
  <si>
    <t>Video</t>
  </si>
  <si>
    <t>Wyoming 6 at Air Force 20</t>
  </si>
  <si>
    <t>Week</t>
  </si>
  <si>
    <t>Facebook Video~01</t>
  </si>
  <si>
    <t>Utah State 38 at New Mexico 25</t>
  </si>
  <si>
    <t xml:space="preserve">Tulsa at (20) Michigan State </t>
  </si>
  <si>
    <t>FRI, AUG 30 7:00 PM ET</t>
  </si>
  <si>
    <t>22½</t>
  </si>
  <si>
    <t xml:space="preserve">South Alabama at Nebraska </t>
  </si>
  <si>
    <t>SAT, AUG 31 12:00 PM ET</t>
  </si>
  <si>
    <t>64½</t>
  </si>
  <si>
    <t xml:space="preserve">Indiana at Ball State </t>
  </si>
  <si>
    <t xml:space="preserve">Duke at (2) Alabama </t>
  </si>
  <si>
    <t>SAT, AUG 31 3:30 PM ET</t>
  </si>
  <si>
    <t>-34½</t>
  </si>
  <si>
    <t xml:space="preserve">EMU at Coastal Carolina </t>
  </si>
  <si>
    <t>5½</t>
  </si>
  <si>
    <t xml:space="preserve">Virginia Tech at Boston College </t>
  </si>
  <si>
    <t>SAT, AUG 31 4:00 PM ET</t>
  </si>
  <si>
    <t>-3½</t>
  </si>
  <si>
    <t xml:space="preserve">Incarnate Word at UTSA </t>
  </si>
  <si>
    <t>SAT, AUG 31 6:00 PM ET</t>
  </si>
  <si>
    <t>No Line</t>
  </si>
  <si>
    <t xml:space="preserve">UC Davis at California </t>
  </si>
  <si>
    <t>SAT, AUG 31 6:30 PM ET</t>
  </si>
  <si>
    <t xml:space="preserve">Fresno State at USC </t>
  </si>
  <si>
    <t>SAT, AUG 31 10:30 PM ET</t>
  </si>
  <si>
    <t>52½</t>
  </si>
  <si>
    <t xml:space="preserve">(9) Notre Dame at Louisville </t>
  </si>
  <si>
    <t>MON, SEP 2 8:00 PM ET</t>
  </si>
  <si>
    <t>-20½</t>
  </si>
  <si>
    <t xml:space="preserve">Morgan State at Bowling Green </t>
  </si>
  <si>
    <t>THU, AUG 29 7:00 PM ET</t>
  </si>
  <si>
    <t>-21½</t>
  </si>
  <si>
    <t>49½</t>
  </si>
  <si>
    <t xml:space="preserve">Georgia Tech at (1) Clemson </t>
  </si>
  <si>
    <t>THU, AUG 29 8:00 PM ET</t>
  </si>
  <si>
    <t>59½</t>
  </si>
  <si>
    <t>-22½</t>
  </si>
  <si>
    <t xml:space="preserve">Northern Iowa at (24) Iowa State </t>
  </si>
  <si>
    <t xml:space="preserve">East Carolina at NC State </t>
  </si>
  <si>
    <t>16½</t>
  </si>
  <si>
    <t xml:space="preserve">Norfolk State at Old Dominion </t>
  </si>
  <si>
    <t>SAT, AUG 31 7:00 PM ET</t>
  </si>
  <si>
    <t xml:space="preserve">Georgia Southern at (6) LSU </t>
  </si>
  <si>
    <t>SAT, AUG 31 7:30 PM ET</t>
  </si>
  <si>
    <t>53½</t>
  </si>
  <si>
    <t xml:space="preserve">Weber State at San Diego State </t>
  </si>
  <si>
    <t>SAT, AUG 31 9:00 PM ET</t>
  </si>
  <si>
    <t xml:space="preserve">New Mexico State at (21) Washington State </t>
  </si>
  <si>
    <t>SAT, AUG 31 10:00 PM ET</t>
  </si>
  <si>
    <t xml:space="preserve">UCLA at Cincinnati </t>
  </si>
  <si>
    <t>60½</t>
  </si>
  <si>
    <t xml:space="preserve">Florida Intl at Tulane </t>
  </si>
  <si>
    <t xml:space="preserve">(15) Utah at BYU </t>
  </si>
  <si>
    <t>THU, AUG 29 10:15 PM ET</t>
  </si>
  <si>
    <t xml:space="preserve">Utah State at Wake Forest </t>
  </si>
  <si>
    <t>FRI, AUG 30 8:00 PM ET</t>
  </si>
  <si>
    <t>3½</t>
  </si>
  <si>
    <t>63½</t>
  </si>
  <si>
    <t xml:space="preserve">Howard at Maryland </t>
  </si>
  <si>
    <t xml:space="preserve">Mississippi State at UL Lafayette </t>
  </si>
  <si>
    <t xml:space="preserve">Rhode Island at Ohio </t>
  </si>
  <si>
    <t>SAT, AUG 31 2:00 PM ET</t>
  </si>
  <si>
    <t xml:space="preserve">VMI at Marshall </t>
  </si>
  <si>
    <t xml:space="preserve">Missouri at Wyoming </t>
  </si>
  <si>
    <t>-17½</t>
  </si>
  <si>
    <t xml:space="preserve">Virginia at Pittsburgh </t>
  </si>
  <si>
    <t>2½</t>
  </si>
  <si>
    <t>Arizona 38 at Hawaii 45</t>
  </si>
  <si>
    <t>FINAL</t>
  </si>
  <si>
    <t>-10½</t>
  </si>
  <si>
    <t>71½</t>
  </si>
  <si>
    <t xml:space="preserve">Gardner-Webb at Charlotte </t>
  </si>
  <si>
    <t>THU, AUG 29 7:30 PM ET</t>
  </si>
  <si>
    <t>-32½</t>
  </si>
  <si>
    <t xml:space="preserve">(17) Wisconsin at South Florida </t>
  </si>
  <si>
    <t xml:space="preserve">Holy Cross at Navy </t>
  </si>
  <si>
    <t xml:space="preserve">Portland State at Arkansas </t>
  </si>
  <si>
    <t xml:space="preserve">Montana State at Texas Tech </t>
  </si>
  <si>
    <t xml:space="preserve">Illinois State at Northern Illinois </t>
  </si>
  <si>
    <t xml:space="preserve">Boise State at Florida State </t>
  </si>
  <si>
    <t xml:space="preserve">Kent State at Arizona State </t>
  </si>
  <si>
    <t>THU, AUG 29 10:00 PM ET</t>
  </si>
  <si>
    <t xml:space="preserve">Purdue at Nevada </t>
  </si>
  <si>
    <t>FRI, AUG 30 9:30 PM ET</t>
  </si>
  <si>
    <t>58½</t>
  </si>
  <si>
    <t xml:space="preserve">James Madison at West Virginia </t>
  </si>
  <si>
    <t xml:space="preserve">South Carolina at North Carolina </t>
  </si>
  <si>
    <t xml:space="preserve">Sam Houston State at New Mexico </t>
  </si>
  <si>
    <t xml:space="preserve">SMU at Arkansas State </t>
  </si>
  <si>
    <t>-2½</t>
  </si>
  <si>
    <t xml:space="preserve">(3) Georgia at Vanderbilt </t>
  </si>
  <si>
    <t xml:space="preserve">Middle Tennessee at (7) Michigan </t>
  </si>
  <si>
    <t>33½</t>
  </si>
  <si>
    <t xml:space="preserve">Miami-OH at (19) Iowa </t>
  </si>
  <si>
    <t>21½</t>
  </si>
  <si>
    <t xml:space="preserve">Houston at (4) Oklahoma </t>
  </si>
  <si>
    <t>SUN, SEP 1 7:30 PM ET</t>
  </si>
  <si>
    <t>24½</t>
  </si>
  <si>
    <t xml:space="preserve">Alabama State at UAB </t>
  </si>
  <si>
    <t>-42½</t>
  </si>
  <si>
    <t>51½</t>
  </si>
  <si>
    <t xml:space="preserve">Northern Colorado at San José State </t>
  </si>
  <si>
    <t xml:space="preserve">Colorado State at Colorado </t>
  </si>
  <si>
    <t>FRI, AUG 30 10:00 PM ET</t>
  </si>
  <si>
    <t xml:space="preserve">Idaho at (14) Penn State </t>
  </si>
  <si>
    <t xml:space="preserve">Monmouth at Western Michigan </t>
  </si>
  <si>
    <t xml:space="preserve">Grambling at UL Monroe </t>
  </si>
  <si>
    <t>SAT, AUG 31 8:00 PM ET</t>
  </si>
  <si>
    <t>-24½</t>
  </si>
  <si>
    <t xml:space="preserve">Robert Morris at Buffalo </t>
  </si>
  <si>
    <t>-46½</t>
  </si>
  <si>
    <t>65½</t>
  </si>
  <si>
    <t xml:space="preserve">Central Arkansas at Western Kentucky </t>
  </si>
  <si>
    <t>34½</t>
  </si>
  <si>
    <t xml:space="preserve">Georgia State at Tennessee </t>
  </si>
  <si>
    <t xml:space="preserve">East Tennessee State at Appalachian State </t>
  </si>
  <si>
    <t xml:space="preserve">Stephen F. Austin at Baylor </t>
  </si>
  <si>
    <t xml:space="preserve">(13) Oregon at (16) Auburn </t>
  </si>
  <si>
    <t xml:space="preserve">Southern Utah at UNLV </t>
  </si>
  <si>
    <t>Miami 20 at (8) Florida 24</t>
  </si>
  <si>
    <t>46½</t>
  </si>
  <si>
    <t xml:space="preserve">Florida A&amp;M at (17) UCF </t>
  </si>
  <si>
    <t>-45½</t>
  </si>
  <si>
    <t xml:space="preserve">Oklahoma State at Oregon State </t>
  </si>
  <si>
    <t>FRI, AUG 30 10:30 PM ET</t>
  </si>
  <si>
    <t>73½</t>
  </si>
  <si>
    <t xml:space="preserve">Akron at Illinois </t>
  </si>
  <si>
    <t xml:space="preserve">Colgate at Air Force </t>
  </si>
  <si>
    <t xml:space="preserve">(25) Northwestern at (23) Stanford </t>
  </si>
  <si>
    <t xml:space="preserve">Louisiana Tech at (10) Texas </t>
  </si>
  <si>
    <t>10½</t>
  </si>
  <si>
    <t xml:space="preserve">Texas State at (11) Texas A&amp;M </t>
  </si>
  <si>
    <t>THU, AUG 29 8:30 PM ET</t>
  </si>
  <si>
    <t>-33½</t>
  </si>
  <si>
    <t xml:space="preserve">Eastern Washington at (12) Washington </t>
  </si>
  <si>
    <t>SAT, AUG 31 3:00 PM ET</t>
  </si>
  <si>
    <t xml:space="preserve">(22) Syracuse at Liberty </t>
  </si>
  <si>
    <t xml:space="preserve">Abilene Christian at North Texas </t>
  </si>
  <si>
    <t xml:space="preserve">Arkansas-Pine Bluff at TCU </t>
  </si>
  <si>
    <t xml:space="preserve">South Dakota State at Minnesota </t>
  </si>
  <si>
    <t>THU, AUG 29 9:00 PM ET</t>
  </si>
  <si>
    <t>-12½</t>
  </si>
  <si>
    <t xml:space="preserve">Rice at Army </t>
  </si>
  <si>
    <t>FRI, AUG 30 6:00 PM ET</t>
  </si>
  <si>
    <t>-23½</t>
  </si>
  <si>
    <t>50½</t>
  </si>
  <si>
    <t xml:space="preserve">Indiana State at Kansas </t>
  </si>
  <si>
    <t xml:space="preserve">Toledo at Kentucky </t>
  </si>
  <si>
    <t xml:space="preserve">Bucknell at Temple </t>
  </si>
  <si>
    <t xml:space="preserve">Alcorn State at Southern Mississippi </t>
  </si>
  <si>
    <t>-5½</t>
  </si>
  <si>
    <t xml:space="preserve">Ole Miss at Memphis </t>
  </si>
  <si>
    <t>20½</t>
  </si>
  <si>
    <t xml:space="preserve">Wagner at UConn </t>
  </si>
  <si>
    <t>70½</t>
  </si>
  <si>
    <t xml:space="preserve">Albany at Central Michigan </t>
  </si>
  <si>
    <t>-11½</t>
  </si>
  <si>
    <t>45½</t>
  </si>
  <si>
    <t xml:space="preserve">Florida Atlantic at (5) Ohio State </t>
  </si>
  <si>
    <t>-27½</t>
  </si>
  <si>
    <t>27½</t>
  </si>
  <si>
    <t>-16½</t>
  </si>
  <si>
    <t xml:space="preserve">Campbell at Troy </t>
  </si>
  <si>
    <t xml:space="preserve">Nicholls at Kansas State </t>
  </si>
  <si>
    <t>17½</t>
  </si>
  <si>
    <t>Tulsa 7 at (20) Michigan State 28</t>
  </si>
  <si>
    <t>South Alabama 21 at Nebraska 35</t>
  </si>
  <si>
    <t>Indiana 34 at Ball State 24</t>
  </si>
  <si>
    <t>Duke 3 at (2) Alabama 42</t>
  </si>
  <si>
    <t>EMU 30 at Coastal Carolina 23</t>
  </si>
  <si>
    <t>Virginia Tech 28 at Boston College 35</t>
  </si>
  <si>
    <t>ESPN Extra</t>
  </si>
  <si>
    <t>Incarnate Word 7 at UTSA 35</t>
  </si>
  <si>
    <t>UC Davis 13 at California 27</t>
  </si>
  <si>
    <t>Fresno State 23 at USC 31</t>
  </si>
  <si>
    <t>Notre Dame 35 at Louisville 17</t>
  </si>
  <si>
    <t>Morgan State 3 at Bowling Green 46</t>
  </si>
  <si>
    <t>Georgia Tech 14 at (1) Clemson 52</t>
  </si>
  <si>
    <t>Northern Iowa 26 at (24) Iowa State 29</t>
  </si>
  <si>
    <t>FINAL - 3RD OT</t>
  </si>
  <si>
    <t>-18½</t>
  </si>
  <si>
    <t>41½</t>
  </si>
  <si>
    <t>East Carolina 6 at NC State 34</t>
  </si>
  <si>
    <t>Norfolk State 21 at Old Dominion 24</t>
  </si>
  <si>
    <t>55½</t>
  </si>
  <si>
    <t>Georgia Southern 3 at (6) LSU 55</t>
  </si>
  <si>
    <t>Weber State 0 at San Diego State 6</t>
  </si>
  <si>
    <t>36½</t>
  </si>
  <si>
    <t>New Mexico State 7 at (21) Washington State 58</t>
  </si>
  <si>
    <t>UCLA 14 at Cincinnati 24</t>
  </si>
  <si>
    <t>Florida Intl 14 at Tulane 42</t>
  </si>
  <si>
    <t>(15) Utah 30 at BYU 12</t>
  </si>
  <si>
    <t>Utah State 35 at Wake Forest 38</t>
  </si>
  <si>
    <t>Mississippi State 38 at UL Lafayette 28</t>
  </si>
  <si>
    <t>Howard 0 at Maryland 79</t>
  </si>
  <si>
    <t>-29½</t>
  </si>
  <si>
    <t>Rhode Island 20 at Ohio 41</t>
  </si>
  <si>
    <t>66½</t>
  </si>
  <si>
    <t>VMI 17 at Marshall 56</t>
  </si>
  <si>
    <t>-40½</t>
  </si>
  <si>
    <t>Missouri 31 at Wyoming 37</t>
  </si>
  <si>
    <t>Virginia 30 at Pittsburgh 14</t>
  </si>
  <si>
    <t>Gardner-Webb 28 at Charlotte 49</t>
  </si>
  <si>
    <t>(17) Wisconsin 49 at South Florida 0</t>
  </si>
  <si>
    <t>Boise State 36 at Florida State 31</t>
  </si>
  <si>
    <t>Holy Cross 7 at Navy 45</t>
  </si>
  <si>
    <t>Portland State 13 at Arkansas 20</t>
  </si>
  <si>
    <t>-28½</t>
  </si>
  <si>
    <t>FSN</t>
  </si>
  <si>
    <t>Montana State 10 at Texas Tech 45</t>
  </si>
  <si>
    <t>Illinois State 10 at Northern Illinois 24</t>
  </si>
  <si>
    <t>42½</t>
  </si>
  <si>
    <t>Kent State 7 at Arizona State 30</t>
  </si>
  <si>
    <t>Purdue 31 at Nevada 34</t>
  </si>
  <si>
    <t>ATTPI</t>
  </si>
  <si>
    <t>James Madison 13 at West Virginia 20</t>
  </si>
  <si>
    <t>South Carolina 20 at North Carolina 24</t>
  </si>
  <si>
    <t>TBA</t>
  </si>
  <si>
    <t>Sam Houston State 31 at New Mexico 39</t>
  </si>
  <si>
    <t>SMU 37 at Arkansas State 30</t>
  </si>
  <si>
    <t>(3) Georgia 30 at Vanderbilt 6</t>
  </si>
  <si>
    <t>Middle Tennessee 21 at (7) Michigan 40</t>
  </si>
  <si>
    <t>Miami-OH 14 at (19) Iowa 38</t>
  </si>
  <si>
    <t>48½</t>
  </si>
  <si>
    <t>Alabama State 19 at UAB 24</t>
  </si>
  <si>
    <t>Northern Colorado 18 at San José State 35</t>
  </si>
  <si>
    <t>Colorado State 31 at Colorado 52</t>
  </si>
  <si>
    <t>Idaho 7 at (14) Penn State 79</t>
  </si>
  <si>
    <t>Monmouth 13 at Western Michigan 48</t>
  </si>
  <si>
    <t>-25½</t>
  </si>
  <si>
    <t>Grambling 9 at UL Monroe 31</t>
  </si>
  <si>
    <t>Houston 31 at (4) Oklahoma 49</t>
  </si>
  <si>
    <t>Robert Morris 10 at Buffalo 38</t>
  </si>
  <si>
    <t>-48½</t>
  </si>
  <si>
    <t>Central Arkansas 35 at Western Kentucky 28</t>
  </si>
  <si>
    <t>-8½</t>
  </si>
  <si>
    <t>Georgia State 38 at Tennessee 30</t>
  </si>
  <si>
    <t>East Tennessee State 7 at Appalachian State 42</t>
  </si>
  <si>
    <t>Stephen F. Austin 17 at Baylor 56</t>
  </si>
  <si>
    <t>(13) Oregon 21 at (16) Auburn 27</t>
  </si>
  <si>
    <t>Southern Utah 23 at UNLV 56</t>
  </si>
  <si>
    <t>Florida A&amp;M 0 at (17) UCF 62</t>
  </si>
  <si>
    <t>-47½</t>
  </si>
  <si>
    <t>Oklahoma State 52 at Oregon State 36</t>
  </si>
  <si>
    <t>Akron 3 at Illinois 42</t>
  </si>
  <si>
    <t>Colgate 7 at Air Force 48</t>
  </si>
  <si>
    <t>43½</t>
  </si>
  <si>
    <t>(25) Northwestern 7 at (23) Stanford 17</t>
  </si>
  <si>
    <t>LHN</t>
  </si>
  <si>
    <t>Louisiana Tech 14 at (10) Texas 45</t>
  </si>
  <si>
    <t>Texas State 7 at (11) Texas A&amp;M 41</t>
  </si>
  <si>
    <t>Eastern Washington 14 at (12) Washington 47</t>
  </si>
  <si>
    <t>(22) Syracuse 24 at Liberty 0</t>
  </si>
  <si>
    <t>Abilene Christian 31 at North Texas 51</t>
  </si>
  <si>
    <t>Arkansas-Pine Bluff 7 at TCU 39</t>
  </si>
  <si>
    <t>South Dakota State 21 at Minnesota 28</t>
  </si>
  <si>
    <t>Rice 7 at Army 14</t>
  </si>
  <si>
    <t>Indiana State 17 at Kansas 24</t>
  </si>
  <si>
    <t>-4½</t>
  </si>
  <si>
    <t>Toledo 24 at Kentucky 38</t>
  </si>
  <si>
    <t>11½</t>
  </si>
  <si>
    <t>Bucknell 12 at Temple 56</t>
  </si>
  <si>
    <t>Alcorn State 10 at Southern Mississippi 38</t>
  </si>
  <si>
    <t>Ole Miss 10 at Memphis 15</t>
  </si>
  <si>
    <t>67½</t>
  </si>
  <si>
    <t>Wagner 21 at UConn 24</t>
  </si>
  <si>
    <t>Albany 21 at Central Michigan 38</t>
  </si>
  <si>
    <t>Florida Atlantic 21 at (5) Ohio State 45</t>
  </si>
  <si>
    <t>Campbell 14 at Troy 43</t>
  </si>
  <si>
    <t>-35½</t>
  </si>
  <si>
    <t>Nicholls 14 at Kansas State 49</t>
  </si>
  <si>
    <t>UTSA 14 at Baylor 63</t>
  </si>
  <si>
    <t>25½</t>
  </si>
  <si>
    <t>Coastal Carolina 12 at Kansas 7</t>
  </si>
  <si>
    <t>California 20 at (12) Washington 19</t>
  </si>
  <si>
    <t>44½</t>
  </si>
  <si>
    <t>Minnesota 38 at Fresno State 35</t>
  </si>
  <si>
    <t>FINAL - 2ND OT</t>
  </si>
  <si>
    <t>Old Dominion 17 at Virginia Tech 31</t>
  </si>
  <si>
    <t>Fordham 29 at Ball State 57</t>
  </si>
  <si>
    <t>(25) Nebraska 31 at Colorado 34</t>
  </si>
  <si>
    <t>FINAL - OT</t>
  </si>
  <si>
    <t>New Mexico State 10 at (2) Alabama 62</t>
  </si>
  <si>
    <t>-55½</t>
  </si>
  <si>
    <t>Tulsa 34 at San José State 16</t>
  </si>
  <si>
    <t>28½</t>
  </si>
  <si>
    <t>Bowling Green 0 at Kansas State 52</t>
  </si>
  <si>
    <t>23½</t>
  </si>
  <si>
    <t>San Diego State 23 at UCLA 14</t>
  </si>
  <si>
    <t>(11) Texas A&amp;M 10 at (1) Clemson 24</t>
  </si>
  <si>
    <t>Northern Colorado 17 at (21) Washington State 59</t>
  </si>
  <si>
    <t>Gardner-Webb 9 at East Carolina 48</t>
  </si>
  <si>
    <t>(6) LSU 45 at (9) Texas 38</t>
  </si>
  <si>
    <t>Western Michigan 17 at (20) Michigan State 51</t>
  </si>
  <si>
    <t>Marshall 7 at (24) Boise State 14</t>
  </si>
  <si>
    <t>Ohio 10 at Pittsburgh 20</t>
  </si>
  <si>
    <t>BYU 29 at Tennessee 26</t>
  </si>
  <si>
    <t>Tulane 6 at (13) Auburn 24</t>
  </si>
  <si>
    <t>(22) Syracuse 20 at Maryland 63</t>
  </si>
  <si>
    <t>West Virginia 7 at Missouri 38</t>
  </si>
  <si>
    <t>Stony Brook 7 at Utah State 62</t>
  </si>
  <si>
    <t>Liberty 14 at UL Lafayette 35</t>
  </si>
  <si>
    <t>Northern Illinois 17 at (15) Utah 35</t>
  </si>
  <si>
    <t>Charlotte 41 at Appalachian State 56</t>
  </si>
  <si>
    <t>Arkansas 17 at Ole Miss 31</t>
  </si>
  <si>
    <t>Central Michigan 0 at (16) Wisconsin 61</t>
  </si>
  <si>
    <t>Richmond 13 at Boston College 45</t>
  </si>
  <si>
    <t>Maine 18 at Georgia Southern 26</t>
  </si>
  <si>
    <t>UTEP 3 at Texas Tech 38</t>
  </si>
  <si>
    <t>Northern Arizona 41 at Arizona 65</t>
  </si>
  <si>
    <t>Miami 25 at North Carolina 28</t>
  </si>
  <si>
    <t>Arkansas State 43 at UNLV 17</t>
  </si>
  <si>
    <t>1½</t>
  </si>
  <si>
    <t>Sacramento State 7 at Arizona State 19</t>
  </si>
  <si>
    <t>Vanderbilt 24 at Purdue 42</t>
  </si>
  <si>
    <t>Tennessee Tech 17 at Miami-OH 48</t>
  </si>
  <si>
    <t>Murray State 17 at (3) Georgia 63</t>
  </si>
  <si>
    <t>Tennessee State 26 at Middle Tennessee 45</t>
  </si>
  <si>
    <t>Prairie View 17 at Houston 37</t>
  </si>
  <si>
    <t>UL Monroe 44 at Florida State 45</t>
  </si>
  <si>
    <t>William &amp; Mary 17 at Virginia 52</t>
  </si>
  <si>
    <t>UAB 31 at Akron 20</t>
  </si>
  <si>
    <t>Southern Mississippi 15 at Mississippi State 38</t>
  </si>
  <si>
    <t>South Dakota 14 at (4) Oklahoma 70</t>
  </si>
  <si>
    <t>North Texas 27 at SMU 49</t>
  </si>
  <si>
    <t>Buffalo 13 at (14) Penn State 45</t>
  </si>
  <si>
    <t>South Florida 10 at Georgia Tech 14</t>
  </si>
  <si>
    <t>Western Kentucky 20 at Florida Intl 14</t>
  </si>
  <si>
    <t>29½</t>
  </si>
  <si>
    <t>Rutgers 0 at (19) Iowa 30</t>
  </si>
  <si>
    <t>North Carolina A&amp;T 13 at Duke 45</t>
  </si>
  <si>
    <t>Nevada 6 at (18) Oregon 77</t>
  </si>
  <si>
    <t>-1½</t>
  </si>
  <si>
    <t>Oregon State 28 at Hawaii 31</t>
  </si>
  <si>
    <t>78½</t>
  </si>
  <si>
    <t>Wake Forest 41 at Rice 21</t>
  </si>
  <si>
    <t>(17) UCF 48 at Florida Atlantic 14</t>
  </si>
  <si>
    <t>Furman 42 at Georgia State 48</t>
  </si>
  <si>
    <t>UT Martin 0 at (10) Florida 45</t>
  </si>
  <si>
    <t>Cincinnati 0 at (5) Ohio State 42</t>
  </si>
  <si>
    <t>Army 21 at (7) Michigan 24</t>
  </si>
  <si>
    <t>Kennesaw State 23 at Kent State 26</t>
  </si>
  <si>
    <t>Jackson State 14 at South Alabama 37</t>
  </si>
  <si>
    <t>EMU 17 at Kentucky 38</t>
  </si>
  <si>
    <t>(23) Stanford 20 at USC 45</t>
  </si>
  <si>
    <t>Wyoming 23 at Texas State 14</t>
  </si>
  <si>
    <t>Southern 24 at Memphis 55</t>
  </si>
  <si>
    <t>Charleston Southern 10 at South Carolina 72</t>
  </si>
  <si>
    <t>Grambling 14 at Louisiana Tech 20</t>
  </si>
  <si>
    <t>Eastern Illinois 0 at Indiana 52</t>
  </si>
  <si>
    <t>Western Illinois 13 at Colorado State 38</t>
  </si>
  <si>
    <t>McNeese 14 at Oklahoma State 56</t>
  </si>
  <si>
    <t>Illinois 31 at UConn 23</t>
  </si>
  <si>
    <t>Western Carolina 0 at NC State 41</t>
  </si>
  <si>
    <t>Army 31 at UTSA 13</t>
  </si>
  <si>
    <t>Norfolk State 7 at Coastal Carolina 46</t>
  </si>
  <si>
    <t>Pac-12 Bay Area</t>
  </si>
  <si>
    <t>North Texas 17 at California 23</t>
  </si>
  <si>
    <t>New Mexico 14 at (7) Notre Dame 66</t>
  </si>
  <si>
    <t>Furman 17 at Virginia Tech 24</t>
  </si>
  <si>
    <t>Florida Atlantic 41 at Ball State 31</t>
  </si>
  <si>
    <t>Northern Illinois 8 at Nebraska 44</t>
  </si>
  <si>
    <t>(2) Alabama 47 at South Carolina 23</t>
  </si>
  <si>
    <t>Oklahoma State 40 at Tulsa 21</t>
  </si>
  <si>
    <t>Louisiana Tech 35 at Bowling Green 7</t>
  </si>
  <si>
    <t>Flo Football</t>
  </si>
  <si>
    <t>San Diego State 31 at New Mexico State 10</t>
  </si>
  <si>
    <t>(18) Iowa 18 at Iowa State 17</t>
  </si>
  <si>
    <t>(1) Clemson 41 at Syracuse 6</t>
  </si>
  <si>
    <t>(20) Washington State 31 at Houston 24</t>
  </si>
  <si>
    <t>75½</t>
  </si>
  <si>
    <t>East Carolina 10 at Navy 42</t>
  </si>
  <si>
    <t>Northwestern State 14 at (5) LSU 65</t>
  </si>
  <si>
    <t xml:space="preserve"> No Line</t>
  </si>
  <si>
    <t>Arizona State 10 at (19) Michigan State 7</t>
  </si>
  <si>
    <t>Ohio 31 at Marshall 33</t>
  </si>
  <si>
    <t>(24) USC 27 at BYU 30</t>
  </si>
  <si>
    <t>4½</t>
  </si>
  <si>
    <t>Missouri State 6 at Tulane 58</t>
  </si>
  <si>
    <t>Pittsburgh 10 at (11) Penn State 17</t>
  </si>
  <si>
    <t>(25) Maryland 17 at Temple 20</t>
  </si>
  <si>
    <t>SEC Network alternate</t>
  </si>
  <si>
    <t>Southeast Missouri State 0 at Missouri 50</t>
  </si>
  <si>
    <t>(4) Oklahoma 48 at UCLA 14</t>
  </si>
  <si>
    <t>Texas Southern 6 at UL Lafayette 77</t>
  </si>
  <si>
    <t>UMass 17 at Charlotte 52</t>
  </si>
  <si>
    <t>-19½</t>
  </si>
  <si>
    <t>Colorado State 34 at Arkansas 55</t>
  </si>
  <si>
    <t>Portland State 10 at (22) Boise State 45</t>
  </si>
  <si>
    <t>-31½</t>
  </si>
  <si>
    <t>Kansas 48 at Boston College 24</t>
  </si>
  <si>
    <t>Georgia Southern 32 at Minnesota 35</t>
  </si>
  <si>
    <t>Texas Tech 14 at Arizona 28</t>
  </si>
  <si>
    <t>76½</t>
  </si>
  <si>
    <t>NC State 27 at West Virginia 44</t>
  </si>
  <si>
    <t>North Carolina 18 at Wake Forest 24</t>
  </si>
  <si>
    <t>Arkansas State 0 at (3) Georgia 55</t>
  </si>
  <si>
    <t>TCU 34 at Purdue 13</t>
  </si>
  <si>
    <t>Miami-OH 13 at Cincinnati 35</t>
  </si>
  <si>
    <t>Duke 41 at Middle Tennessee 18</t>
  </si>
  <si>
    <t>Air Force 30 at Colorado 23</t>
  </si>
  <si>
    <t>Georgia State 10 at Western Michigan 57</t>
  </si>
  <si>
    <t>69½</t>
  </si>
  <si>
    <t>Florida State 24 at Virginia 31</t>
  </si>
  <si>
    <t>Kansas State 31 at (23) Mississippi State 24</t>
  </si>
  <si>
    <t>Texas State 17 at SMU 47</t>
  </si>
  <si>
    <t>South Carolina State 16 at South Florida 55</t>
  </si>
  <si>
    <t>Louisville 38 at Western Kentucky 21</t>
  </si>
  <si>
    <t>Buffalo 17 at Liberty 35</t>
  </si>
  <si>
    <t>Chattanooga 0 at Tennessee 45</t>
  </si>
  <si>
    <t>Montana 3 at (17) Oregon 35</t>
  </si>
  <si>
    <t>-36½</t>
  </si>
  <si>
    <t>UNLV 14 at Northwestern 30</t>
  </si>
  <si>
    <t>18½</t>
  </si>
  <si>
    <t>Akron 24 at Central Michigan 45</t>
  </si>
  <si>
    <t>(13) Texas 48 at Rice 13</t>
  </si>
  <si>
    <t>Pac-12 Oregon</t>
  </si>
  <si>
    <t>Cal Poly 7 at Oregon State 45</t>
  </si>
  <si>
    <t>Stanford 27 at (16) UCF 45</t>
  </si>
  <si>
    <t>61½</t>
  </si>
  <si>
    <t>New Hampshire 17 at Florida Intl 30</t>
  </si>
  <si>
    <t>(8) Florida 29 at Kentucky 21</t>
  </si>
  <si>
    <t>ESPN2 or ESPNU</t>
  </si>
  <si>
    <t>Lamar 3 at (15) Texas A&amp;M 62</t>
  </si>
  <si>
    <t>-43½</t>
  </si>
  <si>
    <t>Kent State 16 at (9) Auburn 55</t>
  </si>
  <si>
    <t>Memphis 42 at South Alabama 6</t>
  </si>
  <si>
    <t>Hawaii 20 at (21) Washington 52</t>
  </si>
  <si>
    <t>Southern Mississippi 47 at Troy 42</t>
  </si>
  <si>
    <t>Weber State 13 at Nevada 19</t>
  </si>
  <si>
    <t>Murray State 0 at Toledo 45</t>
  </si>
  <si>
    <t>-38½</t>
  </si>
  <si>
    <t>EMU 34 at Illinois 31</t>
  </si>
  <si>
    <t>Pac-12 Mountain</t>
  </si>
  <si>
    <t>Idaho State 0 at (12) Utah 31</t>
  </si>
  <si>
    <t>(6) Ohio State 51 at Indiana 10</t>
  </si>
  <si>
    <t>SUM of W</t>
  </si>
  <si>
    <t>Bethune-Cookman 0 at Miami 63</t>
  </si>
  <si>
    <t>Idaho 16 at Wyoming 21</t>
  </si>
  <si>
    <t>UTSA 3 at North Texas 45</t>
  </si>
  <si>
    <t>Coastal Carolina 62 at UMass 28</t>
  </si>
  <si>
    <t>(23) California 28 at Ole Miss 20</t>
  </si>
  <si>
    <t>Sacramento State 20 at Fresno State 34</t>
  </si>
  <si>
    <t>(7) Notre Dame 17 at (3) Georgia 23</t>
  </si>
  <si>
    <t>Ball State 23 at NC State 34</t>
  </si>
  <si>
    <t>Nebraska 42 at Illinois 38</t>
  </si>
  <si>
    <t>Southern Mississippi 7 at (2) Alabama 49</t>
  </si>
  <si>
    <t>Wyoming 21 at Tulsa 24</t>
  </si>
  <si>
    <t>Old Dominion 17 at (22) Virginia 28</t>
  </si>
  <si>
    <t>Bowling Green 20 at Kent State 62</t>
  </si>
  <si>
    <t>New Mexico State 52 at New Mexico 55</t>
  </si>
  <si>
    <t>Utah State 23 at San Diego State 17</t>
  </si>
  <si>
    <t>UL Monroe 20 at Iowa State 72</t>
  </si>
  <si>
    <t>Charlotte 10 at (1) Clemson 52</t>
  </si>
  <si>
    <t>UCLA 67 at (19) Washington State 63</t>
  </si>
  <si>
    <t>William &amp; Mary 7 at East Carolina 19</t>
  </si>
  <si>
    <t>(5) LSU 66 at Vanderbilt 38</t>
  </si>
  <si>
    <t>Michigan State 31 at Northwestern 10</t>
  </si>
  <si>
    <t>UL Lafayette 45 at Ohio 25</t>
  </si>
  <si>
    <t>(21) Washington 45 at BYU 19</t>
  </si>
  <si>
    <t>Houston 31 at Tulane 38</t>
  </si>
  <si>
    <t>(16) UCF 34 at Pittsburgh 35</t>
  </si>
  <si>
    <t>South Carolina 14 at Missouri 34</t>
  </si>
  <si>
    <t>San José State 31 at Arkansas 24</t>
  </si>
  <si>
    <t>Air Force 19 at (20) Boise State 30</t>
  </si>
  <si>
    <t>(10) Michigan 14 at (14) Wisconsin 35</t>
  </si>
  <si>
    <t>Boston College 30 at Rutgers 16</t>
  </si>
  <si>
    <t>West Virginia 29 at Kansas 24</t>
  </si>
  <si>
    <t>Appalachian State 34 at North Carolina 31</t>
  </si>
  <si>
    <t>Southern Illinois 28 at Arkansas State 41</t>
  </si>
  <si>
    <t>Colorado 34 at (24) Arizona State 31</t>
  </si>
  <si>
    <t>Miami-OH 5 at (6) Ohio State 76</t>
  </si>
  <si>
    <t>Western Michigan 33 at Syracuse 52</t>
  </si>
  <si>
    <t>South Alabama 3 at UAB 35</t>
  </si>
  <si>
    <t>Kentucky 13 at Mississippi State 28</t>
  </si>
  <si>
    <t>SMU 41 at TCU 38</t>
  </si>
  <si>
    <t>Temple 22 at Buffalo 38</t>
  </si>
  <si>
    <t>Baylor 21 at Rice 13</t>
  </si>
  <si>
    <t>Tennessee 3 at (8) Florida 34</t>
  </si>
  <si>
    <t>(17) Oregon 21 at Stanford 6</t>
  </si>
  <si>
    <t>Troy 35 at Akron 7</t>
  </si>
  <si>
    <t>Oklahoma State 30 at (13) Texas 36</t>
  </si>
  <si>
    <t>Elon 7 at Wake Forest 49</t>
  </si>
  <si>
    <t>Georgia State 34 at Texas State 37</t>
  </si>
  <si>
    <t>Florida Intl 31 at Louisiana Tech 43</t>
  </si>
  <si>
    <t>(9) Auburn 28 at (15) Texas A&amp;M 20</t>
  </si>
  <si>
    <t>Central Arkansas 16 at Hawaii 35</t>
  </si>
  <si>
    <t>Morgan State 21 at Army 52</t>
  </si>
  <si>
    <t>Nevada 37 at UTEP 21</t>
  </si>
  <si>
    <t>Toledo 41 at Colorado State 35</t>
  </si>
  <si>
    <t>Louisville 24 at Florida State 35</t>
  </si>
  <si>
    <t>(11) Utah 23 at USC 30</t>
  </si>
  <si>
    <t>Central Connecticut 29 at EMU 34</t>
  </si>
  <si>
    <t>UConn 3 at Indiana 38</t>
  </si>
  <si>
    <t>Central Michigan 12 at Miami 17</t>
  </si>
  <si>
    <t>Wagner 7 at Florida Atlantic 42</t>
  </si>
  <si>
    <t>Coastal Carolina 37 at Appalachian State 56</t>
  </si>
  <si>
    <t>Arizona State 24 at (16) California 17</t>
  </si>
  <si>
    <t>Fresno State 30 at New Mexico State 17</t>
  </si>
  <si>
    <t>(18) Virginia 20 at (10) Notre Dame 35</t>
  </si>
  <si>
    <t>Duke 45 at Virginia Tech 10</t>
  </si>
  <si>
    <t>(6) Ohio State 48 at Nebraska 7</t>
  </si>
  <si>
    <t>Ole Miss 31 at (2) Alabama 59</t>
  </si>
  <si>
    <t>East Carolina 24 at Old Dominion 21</t>
  </si>
  <si>
    <t>Iowa State 21 at Baylor 23</t>
  </si>
  <si>
    <t>(1) Clemson 21 at North Carolina 20</t>
  </si>
  <si>
    <t>Washington State 13 at (19) Utah 38</t>
  </si>
  <si>
    <t>Indiana 31 at Michigan State 40</t>
  </si>
  <si>
    <t>Cincinnati 52 at Marshall 14</t>
  </si>
  <si>
    <t>BYU 21 at Toledo 28</t>
  </si>
  <si>
    <t>Delaware 14 at Pittsburgh 17</t>
  </si>
  <si>
    <t>(11) Penn State 59 at Maryland 0</t>
  </si>
  <si>
    <t>UCLA 17 at Arizona 20</t>
  </si>
  <si>
    <t>Colorado State 24 at Utah State 34</t>
  </si>
  <si>
    <t>UL Lafayette 37 at Georgia Southern 24</t>
  </si>
  <si>
    <t>Northern Illinois 18 at Vanderbilt 24</t>
  </si>
  <si>
    <t>Florida Atlantic 45 at Charlotte 27</t>
  </si>
  <si>
    <t>(21) Texas A&amp;M 31 at Arkansas 27</t>
  </si>
  <si>
    <t>Navy 23 at Memphis 35</t>
  </si>
  <si>
    <t>Northwestern 15 at (9) Wisconsin 24</t>
  </si>
  <si>
    <t>(24) Wake Forest 27 at Boston College 24</t>
  </si>
  <si>
    <t>Texas Tech 16 at (4) Oklahoma 55</t>
  </si>
  <si>
    <t>Arkansas State 50 at Troy 43</t>
  </si>
  <si>
    <t>New Mexico 10 at Liberty 17</t>
  </si>
  <si>
    <t>Minnesota 38 at Purdue 31</t>
  </si>
  <si>
    <t>Buffalo 20 at Miami-OH 34</t>
  </si>
  <si>
    <t>Middle Tennessee 3 at (14) Iowa 48</t>
  </si>
  <si>
    <t>Houston 46 at North Texas 25</t>
  </si>
  <si>
    <t>South Alabama 17 at UL Monroe 30</t>
  </si>
  <si>
    <t>Central Michigan 15 at Western Michigan 31</t>
  </si>
  <si>
    <t>San José State 24 at Air Force 41</t>
  </si>
  <si>
    <t>12½</t>
  </si>
  <si>
    <t>UAB 13 at Western Kentucky 20</t>
  </si>
  <si>
    <t>Mississippi State 23 at (7) Auburn 56</t>
  </si>
  <si>
    <t>SMU 48 at South Florida 21</t>
  </si>
  <si>
    <t>UNLV 17 at Wyoming 53</t>
  </si>
  <si>
    <t>Akron 29 at UMass 37</t>
  </si>
  <si>
    <t>Stanford 31 at Oregon State 28</t>
  </si>
  <si>
    <t>UConn 21 at (23) UCF 56</t>
  </si>
  <si>
    <t>Towson 0 at (8) Florida 38</t>
  </si>
  <si>
    <t>Holy Cross 3 at Syracuse 41</t>
  </si>
  <si>
    <t>Kansas 14 at TCU 51</t>
  </si>
  <si>
    <t>Rutgers 0 at (20) Michigan 52</t>
  </si>
  <si>
    <t>(25) USC 14 at (17) Washington 28</t>
  </si>
  <si>
    <t>Hawaii 54 at Nevada 3</t>
  </si>
  <si>
    <t>UTEP 13 at Southern Mississippi 31</t>
  </si>
  <si>
    <t>-26½</t>
  </si>
  <si>
    <t>Georgia Tech 2 at Temple 24</t>
  </si>
  <si>
    <t>NC State 13 at Florida State 31</t>
  </si>
  <si>
    <t>Kentucky 7 at South Carolina 24</t>
  </si>
  <si>
    <t>Nicholls 3 at Texas State 24</t>
  </si>
  <si>
    <t>Louisiana Tech 23 at Rice 20</t>
  </si>
  <si>
    <t>(22) Kansas State 13 at Oklahoma State 26</t>
  </si>
  <si>
    <t>Bowling Green 0 at (10) Notre Dame 52</t>
  </si>
  <si>
    <t>Ball State 27 at Northern Illinois 20</t>
  </si>
  <si>
    <t>Virginia Tech 42 at Miami 35</t>
  </si>
  <si>
    <t>Northwestern 10 at Nebraska 13</t>
  </si>
  <si>
    <t>Tulsa 37 at SMU 43</t>
  </si>
  <si>
    <t>California 7 at (13) Oregon 17</t>
  </si>
  <si>
    <t>UTSA 26 at UTEP 16</t>
  </si>
  <si>
    <t>Temple 27 at East Carolina 17</t>
  </si>
  <si>
    <t>Utah State 6 at (6) LSU 42</t>
  </si>
  <si>
    <t>72½</t>
  </si>
  <si>
    <t>TCU 24 at Iowa State 49</t>
  </si>
  <si>
    <t>Western Kentucky 20 at Old Dominion 3</t>
  </si>
  <si>
    <t>(23) Michigan State 10 at (5) Ohio State 34</t>
  </si>
  <si>
    <t>Liberty 20 at New Mexico State 13</t>
  </si>
  <si>
    <t>San Diego State 24 at Colorado State 10</t>
  </si>
  <si>
    <t>Maryland 48 at Rutgers 7</t>
  </si>
  <si>
    <t>Tulane 42 at Army 33</t>
  </si>
  <si>
    <t>Ohio 21 at Buffalo 20</t>
  </si>
  <si>
    <t>Marshall 13 at Middle Tennessee 24</t>
  </si>
  <si>
    <t>Troy 10 at Missouri 42</t>
  </si>
  <si>
    <t>Pittsburgh 33 at Duke 30</t>
  </si>
  <si>
    <t>Oregon State 48 at UCLA 31</t>
  </si>
  <si>
    <t>Georgia Southern 20 at South Alabama 17</t>
  </si>
  <si>
    <t>Kent State 0 at (9) Wisconsin 48</t>
  </si>
  <si>
    <t>(25) Oklahoma State 35 at Texas Tech 45</t>
  </si>
  <si>
    <t>Boston College 39 at Louisville 41</t>
  </si>
  <si>
    <t>Air Force 25 at Navy 34</t>
  </si>
  <si>
    <t>Arizona 35 at Colorado 30</t>
  </si>
  <si>
    <t>(15) Boise State 38 at UNLV 13</t>
  </si>
  <si>
    <t>New Mexico 21 at San José State 32</t>
  </si>
  <si>
    <t>Purdue 7 at (11) Penn State 35</t>
  </si>
  <si>
    <t>(12) Texas 42 at West Virginia 31</t>
  </si>
  <si>
    <t>Arkansas State 38 at Georgia State 52</t>
  </si>
  <si>
    <t>North Carolina 38 at Georgia Tech 22</t>
  </si>
  <si>
    <t>(3) Georgia 43 at Tennessee 14</t>
  </si>
  <si>
    <t>(4) Oklahoma 45 at Kansas 20</t>
  </si>
  <si>
    <t>Western Michigan 24 at Toledo 31</t>
  </si>
  <si>
    <t>68½</t>
  </si>
  <si>
    <t>(23) Memphis 52 at UL Monroe 33</t>
  </si>
  <si>
    <t>Rice 20 at UAB 35</t>
  </si>
  <si>
    <t>(14) Iowa 3 at (18) Michigan 10</t>
  </si>
  <si>
    <t>South Florida 48 at UConn 22</t>
  </si>
  <si>
    <t>Baylor 31 at Kansas State 12</t>
  </si>
  <si>
    <t>(19) UCF 24 at Cincinnati 27</t>
  </si>
  <si>
    <t>(7) Auburn 13 at (8) Florida 24</t>
  </si>
  <si>
    <t>UMass 0 at Florida Intl 44</t>
  </si>
  <si>
    <t>(16) Washington 13 at Stanford 23</t>
  </si>
  <si>
    <t>Illinois 17 at Minnesota 40</t>
  </si>
  <si>
    <t>EMU 16 at Central Michigan 42</t>
  </si>
  <si>
    <t>Ball State 29 at EMU 23</t>
  </si>
  <si>
    <t>(1) Alabama 47 at (21) Texas A&amp;M 28</t>
  </si>
  <si>
    <t>Rhode Island 17 at Virginia Tech 34</t>
  </si>
  <si>
    <t>PK</t>
  </si>
  <si>
    <t>Georgia State 31 at Coastal Carolina 21</t>
  </si>
  <si>
    <t>UAB 33 at UTSA 14</t>
  </si>
  <si>
    <t>Fresno State 24 at Air Force 43</t>
  </si>
  <si>
    <t>USC 27 at (10) Notre Dame 30</t>
  </si>
  <si>
    <t>Nebraska 7 at (25) Minnesota 34</t>
  </si>
  <si>
    <t>Navy 45 at Tulsa 17</t>
  </si>
  <si>
    <t>Toledo 7 at Bowling Green 20</t>
  </si>
  <si>
    <t>Old Dominion 17 at Marshall 31</t>
  </si>
  <si>
    <t>New Mexico State 28 at Central Michigan 42</t>
  </si>
  <si>
    <t>Florida State 14 at (2) Clemson 45</t>
  </si>
  <si>
    <t>Michigan State 0 at (8) Wisconsin 38</t>
  </si>
  <si>
    <t>Washington State 34 at (24) Arizona State 38</t>
  </si>
  <si>
    <t>Iowa State 38 at West Virginia 14</t>
  </si>
  <si>
    <t>(7) Florida 28 at (6) LSU 42</t>
  </si>
  <si>
    <t>Wyoming 22 at San Diego State 26</t>
  </si>
  <si>
    <t>40½</t>
  </si>
  <si>
    <t>Appalachian State 17 at UL Lafayette 7</t>
  </si>
  <si>
    <t>Maryland 14 at Purdue 40</t>
  </si>
  <si>
    <t>BYU 23 at South Florida 27</t>
  </si>
  <si>
    <t>Northern Illinois 39 at Ohio 36</t>
  </si>
  <si>
    <t>UConn 7 at Tulane 49</t>
  </si>
  <si>
    <t>Ole Miss 27 at Missouri 38</t>
  </si>
  <si>
    <t>Texas Tech 30 at (23) Baylor 33</t>
  </si>
  <si>
    <t>Charlotte 23 at Florida Intl 48</t>
  </si>
  <si>
    <t>Arkansas 20 at Kentucky 24</t>
  </si>
  <si>
    <t>Hawaii 37 at (14) Boise State 59</t>
  </si>
  <si>
    <t>Washington 51 at Arizona 27</t>
  </si>
  <si>
    <t>Colorado State 35 at New Mexico 21</t>
  </si>
  <si>
    <t>South Carolina 20 at (3) Georgia 17</t>
  </si>
  <si>
    <t>Miami-OH 16 at Western Michigan 38</t>
  </si>
  <si>
    <t>Cincinnati 38 at Houston 23</t>
  </si>
  <si>
    <t>Middle Tennessee 13 at Florida Atlantic 28</t>
  </si>
  <si>
    <t>UL Monroe 24 at Texas State 14</t>
  </si>
  <si>
    <t>(19) Virginia 9 at Miami 17</t>
  </si>
  <si>
    <t>Colorado 3 at (13) Oregon 45</t>
  </si>
  <si>
    <t>(5) Oklahoma 34 at (11) Texas 27</t>
  </si>
  <si>
    <t>Mississippi State 10 at Tennessee 20</t>
  </si>
  <si>
    <t>San José State 38 at Nevada 41</t>
  </si>
  <si>
    <t>(9) Penn State 17 at (18) Iowa 12</t>
  </si>
  <si>
    <t>Georgia Tech 23 at Duke 41</t>
  </si>
  <si>
    <t>UNLV 34 at Vanderbilt 10</t>
  </si>
  <si>
    <t>Army 8 at Western Kentucky 17</t>
  </si>
  <si>
    <t>Kent State 26 at Akron 3</t>
  </si>
  <si>
    <t>Louisville 62 at (17) Wake Forest 59</t>
  </si>
  <si>
    <t>(15) Utah 52 at Oregon State 7</t>
  </si>
  <si>
    <t>Syracuse 10 at NC State 16</t>
  </si>
  <si>
    <t>(16) Michigan 42 at Illinois 25</t>
  </si>
  <si>
    <t>North Texas 27 at Southern Mississippi 45</t>
  </si>
  <si>
    <t>(20) Memphis 28 at Temple 30</t>
  </si>
  <si>
    <t>Rutgers 0 at Indiana 35</t>
  </si>
  <si>
    <t>UMass 21 at Louisiana Tech 69</t>
  </si>
  <si>
    <t>UNLV 27 at Fresno State 56</t>
  </si>
  <si>
    <t>Toledo 14 at Ball State 52</t>
  </si>
  <si>
    <t>Oregon State 21 at California 17</t>
  </si>
  <si>
    <t>Coastal Carolina 27 at Georgia Southern 30</t>
  </si>
  <si>
    <t>Tulsa 13 at (21) Cincinnati 24</t>
  </si>
  <si>
    <t>North Carolina 41 at Virginia Tech 43</t>
  </si>
  <si>
    <t>FINAL - 6TH OT</t>
  </si>
  <si>
    <t>Rice 27 at UTSA 31</t>
  </si>
  <si>
    <t>Tennessee 13 at (1) Alabama 35</t>
  </si>
  <si>
    <t>(2) Clemson 45 at Louisville 10</t>
  </si>
  <si>
    <t>-24½ E</t>
  </si>
  <si>
    <t>Iowa State 34 at Texas Tech 24</t>
  </si>
  <si>
    <t>Central Michigan 38 at Bowling Green 20</t>
  </si>
  <si>
    <t>(3) LSU 36 at Mississippi State 13</t>
  </si>
  <si>
    <t>Old Dominion 14 at UAB 38</t>
  </si>
  <si>
    <t>East Carolina 28 at UCF 41</t>
  </si>
  <si>
    <t>San Diego State 27 at San José State 17</t>
  </si>
  <si>
    <t>Colorado 10 at Washington State 41</t>
  </si>
  <si>
    <t>UL Lafayette 37 at Arkansas State 20</t>
  </si>
  <si>
    <t>UCLA 34 at Stanford 16</t>
  </si>
  <si>
    <t>Marshall 36 at Florida Atlantic 31</t>
  </si>
  <si>
    <t>Pittsburgh 27 at Syracuse 20</t>
  </si>
  <si>
    <t>Kent State 38 at Ohio 45</t>
  </si>
  <si>
    <t>Indiana 34 at Maryland 28</t>
  </si>
  <si>
    <t>Missouri 14 at Vanderbilt 21</t>
  </si>
  <si>
    <t>Tulane 17 at Memphis 47</t>
  </si>
  <si>
    <t>(13) Boise State 25 at BYU 28</t>
  </si>
  <si>
    <t>Nevada 10 at Utah State 36</t>
  </si>
  <si>
    <t>(6) Wisconsin 23 at Illinois 24</t>
  </si>
  <si>
    <t>(11) Auburn 51 at Arkansas 10</t>
  </si>
  <si>
    <t>NC State 24 at Boston College 45</t>
  </si>
  <si>
    <t>Northern Illinois 24 at Miami-OH 27</t>
  </si>
  <si>
    <t>South Florida 3 at Navy 35</t>
  </si>
  <si>
    <t>Charlotte 14 at Western Kentucky 30</t>
  </si>
  <si>
    <t>Arizona 14 at USC 41</t>
  </si>
  <si>
    <t>West Virginia 14 at (5) Oklahoma 52</t>
  </si>
  <si>
    <t>Purdue 20 at (22) Iowa 26</t>
  </si>
  <si>
    <t>Houston 24 at UConn 17</t>
  </si>
  <si>
    <t>New Mexico 10 at Wyoming 23</t>
  </si>
  <si>
    <t>Middle Tennessee 30 at North Texas 33</t>
  </si>
  <si>
    <t>Kentucky 0 at (10) Georgia 21</t>
  </si>
  <si>
    <t>(17) Arizona State 3 at (14) Utah 21</t>
  </si>
  <si>
    <t>19½</t>
  </si>
  <si>
    <t>(25) Temple 21 at (19) SMU 45</t>
  </si>
  <si>
    <t>UL Monroe 7 at (24) Appalachian State 52</t>
  </si>
  <si>
    <t>14½</t>
  </si>
  <si>
    <t>Duke 14 at Virginia 48</t>
  </si>
  <si>
    <t>Western Michigan 27 at EMU 34</t>
  </si>
  <si>
    <t>(16) Michigan 21 at (7) Penn State 28</t>
  </si>
  <si>
    <t>(12) Oregon 35 at (23) Washington 31</t>
  </si>
  <si>
    <t>-14½</t>
  </si>
  <si>
    <t>Buffalo 21 at Akron 0</t>
  </si>
  <si>
    <t>(18) Baylor 45 at Oklahoma State 27</t>
  </si>
  <si>
    <t>(4) Ohio State 52 at Northwestern 3</t>
  </si>
  <si>
    <t>(9) Florida 38 at South Carolina 27</t>
  </si>
  <si>
    <t>Kansas 48 at (15) Texas 50</t>
  </si>
  <si>
    <t>Army 21 at Georgia State 28</t>
  </si>
  <si>
    <t>UTEP 17 at Florida Intl 32</t>
  </si>
  <si>
    <t>Florida State 20 at Wake Forest 22</t>
  </si>
  <si>
    <t>Air Force 56 at Hawaii 26</t>
  </si>
  <si>
    <t>-3½ +0</t>
  </si>
  <si>
    <t>South Alabama 13 at Troy 37</t>
  </si>
  <si>
    <t>TCU 17 at Kansas State 24</t>
  </si>
  <si>
    <t>Texas A&amp;M 24 at Ole Miss 17</t>
  </si>
  <si>
    <t>3½ +0</t>
  </si>
  <si>
    <t>(20) Minnesota 42 at Rutgers 7</t>
  </si>
  <si>
    <t>Southern Mississippi 30 at Louisiana Tech 45</t>
  </si>
  <si>
    <t>Georgia Tech 28 at Miami 21</t>
  </si>
  <si>
    <t>8½</t>
  </si>
  <si>
    <t>Ohio 34 at Ball State 21</t>
  </si>
  <si>
    <t>Indiana 38 at Nebraska 31</t>
  </si>
  <si>
    <t>Arkansas 7 at (1) Alabama 48</t>
  </si>
  <si>
    <t>(25) Memphis 42 at Tulsa 41</t>
  </si>
  <si>
    <t>(7) Notre Dame 14 at (20) Michigan 45</t>
  </si>
  <si>
    <t>Colorado State 41 at Fresno State 31</t>
  </si>
  <si>
    <t>California 0 at (12) Utah 35</t>
  </si>
  <si>
    <t>38½</t>
  </si>
  <si>
    <t>Bowling Green 10 at Western Michigan 49</t>
  </si>
  <si>
    <t>New Mexico State 7 at Georgia Southern 41</t>
  </si>
  <si>
    <t>(10) Auburn 20 at (3) LSU 23</t>
  </si>
  <si>
    <t>(6) Penn State 28 at Michigan State 7</t>
  </si>
  <si>
    <t>Oklahoma State 34 at Iowa State 27</t>
  </si>
  <si>
    <t>Florida Atlantic 41 at Old Dominion 3</t>
  </si>
  <si>
    <t>South Florida 45 at East Carolina 20</t>
  </si>
  <si>
    <t>Boston College 7 at (2) Clemson 59</t>
  </si>
  <si>
    <t>Washington State 35 at (11) Oregon 37</t>
  </si>
  <si>
    <t>San Diego State 20 at UNLV 17</t>
  </si>
  <si>
    <t>Miami 16 at Pittsburgh 12</t>
  </si>
  <si>
    <t>Western Kentucky 23 at Marshall 26</t>
  </si>
  <si>
    <t>Maryland 10 at (16) Minnesota 52</t>
  </si>
  <si>
    <t>Tulane 38 at Navy 41</t>
  </si>
  <si>
    <t>(24) Arizona State 32 at UCLA 42</t>
  </si>
  <si>
    <t>Missouri 7 at Kentucky 29</t>
  </si>
  <si>
    <t>Utah State 7 at Air Force 31</t>
  </si>
  <si>
    <t>(13) Wisconsin 7 at (4) Ohio State 38</t>
  </si>
  <si>
    <t>North Texas 38 at Charlotte 39</t>
  </si>
  <si>
    <t>Arizona 31 at Stanford 41</t>
  </si>
  <si>
    <t>Akron 0 at Northern Illinois 49</t>
  </si>
  <si>
    <t>Texas Tech 34 at Kansas 37</t>
  </si>
  <si>
    <t>(17) SMU 34 at Houston 31</t>
  </si>
  <si>
    <t>Illinois 24 at Purdue 6</t>
  </si>
  <si>
    <t>Florida Intl 17 at Middle Tennessee 50</t>
  </si>
  <si>
    <t>Miami-OH 23 at Kent State 16</t>
  </si>
  <si>
    <t>Hawaii 45 at New Mexico 31</t>
  </si>
  <si>
    <t>Duke 17 at North Carolina 20</t>
  </si>
  <si>
    <t>Texas State 14 at Arkansas State 38</t>
  </si>
  <si>
    <t>USC 35 at Colorado 31</t>
  </si>
  <si>
    <t>(5) Oklahoma 41 at Kansas State 48</t>
  </si>
  <si>
    <t>San José State 34 at Army 29</t>
  </si>
  <si>
    <t>Mississippi State 30 at Texas A&amp;M 49</t>
  </si>
  <si>
    <t>Virginia 21 at Louisville 28</t>
  </si>
  <si>
    <t>(19) Iowa 20 at Northwestern 0</t>
  </si>
  <si>
    <t>37½</t>
  </si>
  <si>
    <t>(22) Appalachian State 30 at South Alabama 3</t>
  </si>
  <si>
    <t>Central Michigan 20 at Buffalo 43</t>
  </si>
  <si>
    <t>South Carolina 21 at Tennessee 41</t>
  </si>
  <si>
    <t>(15) Texas 27 at TCU 37</t>
  </si>
  <si>
    <t>UCF 63 at Temple 21</t>
  </si>
  <si>
    <t>Troy 33 at Georgia State 52</t>
  </si>
  <si>
    <t>Syracuse 17 at Florida State 35</t>
  </si>
  <si>
    <t>Southern Mississippi 20 at Rice 6</t>
  </si>
  <si>
    <t>Nevada 3 at Wyoming 31</t>
  </si>
  <si>
    <t>EMU 34 at Toledo 37</t>
  </si>
  <si>
    <t>Louisiana Tech 42 at UTEP 21</t>
  </si>
  <si>
    <t>NESN</t>
  </si>
  <si>
    <t>UConn 56 at UMass 35</t>
  </si>
  <si>
    <t>Nebraska 27 at Purdue 31</t>
  </si>
  <si>
    <t>UTSA 14 at Texas A&amp;M 45</t>
  </si>
  <si>
    <t>Virginia Tech 20 at (16) Notre Dame 21</t>
  </si>
  <si>
    <t>Troy 35 at Coastal Carolina 36</t>
  </si>
  <si>
    <t>Tulsa 26 at Tulane 38</t>
  </si>
  <si>
    <t>Fresno State 41 at Hawaii 38</t>
  </si>
  <si>
    <t>Old Dominion 17 at Florida Intl 24</t>
  </si>
  <si>
    <t>Akron 6 at Bowling Green 35</t>
  </si>
  <si>
    <t>Wofford 14 at (3) Clemson 59</t>
  </si>
  <si>
    <t>(18) Cincinnati 46 at East Carolina 43</t>
  </si>
  <si>
    <t>(15) Michigan 38 at Maryland 7</t>
  </si>
  <si>
    <t>Marshall 20 at Rice 7</t>
  </si>
  <si>
    <t>Pittsburgh 20 at Georgia Tech 10</t>
  </si>
  <si>
    <t>Texas State 3 at UL Lafayette 31</t>
  </si>
  <si>
    <t>Colorado 14 at UCLA 31</t>
  </si>
  <si>
    <t>BYU 42 at Utah State 14</t>
  </si>
  <si>
    <t>Georgia Southern 24 at (20) Appalachian State 21</t>
  </si>
  <si>
    <t>Navy 56 at UConn 10</t>
  </si>
  <si>
    <t>Northern Illinois 10 at Central Michigan 48</t>
  </si>
  <si>
    <t>Boston College 58 at Syracuse 27</t>
  </si>
  <si>
    <t>Middle Tennessee 20 at Charlotte 34</t>
  </si>
  <si>
    <t>Mississippi State 54 at Arkansas 24</t>
  </si>
  <si>
    <t>Oregon State 56 at Arizona 38</t>
  </si>
  <si>
    <t>(21) Boise State 52 at San José State 42</t>
  </si>
  <si>
    <t>West Virginia 14 at (11) Baylor 17</t>
  </si>
  <si>
    <t>Houston 29 at UCF 44</t>
  </si>
  <si>
    <t>(7) Georgia 24 at (6) Florida 17</t>
  </si>
  <si>
    <t>Arkansas State 48 at UL Monroe 41</t>
  </si>
  <si>
    <t>Virginia 38 at North Carolina 31</t>
  </si>
  <si>
    <t>New Mexico 10 at Nevada 21</t>
  </si>
  <si>
    <t>UAB 7 at Tennessee 30</t>
  </si>
  <si>
    <t>(14) SMU 48 at (23) Memphis 54</t>
  </si>
  <si>
    <t>Buffalo 43 at EMU 14</t>
  </si>
  <si>
    <t>UNLV 17 at Colorado State 37</t>
  </si>
  <si>
    <t>Florida Atlantic 35 at Western Kentucky 24</t>
  </si>
  <si>
    <t>(8) Oregon 56 at USC 24</t>
  </si>
  <si>
    <t>NC State 10 at (22) Wake Forest 44</t>
  </si>
  <si>
    <t>Army 13 at Air Force 17</t>
  </si>
  <si>
    <t>Northwestern 3 at Indiana 34</t>
  </si>
  <si>
    <t>UTEP 26 at North Texas 52</t>
  </si>
  <si>
    <t>TCU 27 at Oklahoma State 34</t>
  </si>
  <si>
    <t>(10) Utah 33 at Washington 28</t>
  </si>
  <si>
    <t>(25) Kansas State 38 at Kansas 10</t>
  </si>
  <si>
    <t>Miami 27 at Florida State 10</t>
  </si>
  <si>
    <t>Vanderbilt 7 at South Carolina 24</t>
  </si>
  <si>
    <t>Ole Miss 14 at (12) Auburn 20</t>
  </si>
  <si>
    <t>Ball State 31 at Western Michigan 35</t>
  </si>
  <si>
    <t>UL Lafayette 48 at Coastal Carolina 7</t>
  </si>
  <si>
    <t>UCF 31 at Tulsa 34</t>
  </si>
  <si>
    <t>UTSA 24 at Old Dominion 23</t>
  </si>
  <si>
    <t>(2) LSU 46 at (1) Alabama 41</t>
  </si>
  <si>
    <t>(20) Wake Forest 17 at Virginia Tech 36</t>
  </si>
  <si>
    <t>Washington State 20 at California 33</t>
  </si>
  <si>
    <t>Utah State 37 at Fresno State 35</t>
  </si>
  <si>
    <t>(15) Notre Dame 38 at Duke 7</t>
  </si>
  <si>
    <t>East Carolina 51 at (23) SMU 59</t>
  </si>
  <si>
    <t>Illinois 37 at Michigan State 34</t>
  </si>
  <si>
    <t>New Mexico State 3 at Ole Miss 41</t>
  </si>
  <si>
    <t>(3) Clemson 55 at NC State 10</t>
  </si>
  <si>
    <t>Iowa State 41 at (8) Oklahoma 42</t>
  </si>
  <si>
    <t>Nevada 17 at (24) San Diego State 13</t>
  </si>
  <si>
    <t>Miami-OH 24 at Ohio 21</t>
  </si>
  <si>
    <t>Maryland 14 at (4) Ohio State 73</t>
  </si>
  <si>
    <t>Missouri 0 at (6) Georgia 27</t>
  </si>
  <si>
    <t>Liberty 24 at BYU 31</t>
  </si>
  <si>
    <t>Western Kentucky 45 at Arkansas 19</t>
  </si>
  <si>
    <t>Texas Tech 38 at West Virginia 17</t>
  </si>
  <si>
    <t>Florida State 38 at Boston College 31</t>
  </si>
  <si>
    <t>Charlotte 28 at UTEP 21</t>
  </si>
  <si>
    <t>Georgia Southern 28 at Troy 49</t>
  </si>
  <si>
    <t>(18) Iowa 22 at (16) Wisconsin 24</t>
  </si>
  <si>
    <t>Wyoming 17 at (21) Boise State 20</t>
  </si>
  <si>
    <t>Purdue 24 at Northwestern 22</t>
  </si>
  <si>
    <t>USC 31 at Arizona State 26</t>
  </si>
  <si>
    <t>(5) Penn State 26 at (13) Minnesota 31</t>
  </si>
  <si>
    <t>Georgia Tech 28 at Virginia 33</t>
  </si>
  <si>
    <t>Stanford 13 at Colorado 16</t>
  </si>
  <si>
    <t>UAB 2 at Southern Mississippi 37</t>
  </si>
  <si>
    <t>Georgia State 31 at UL Monroe 45</t>
  </si>
  <si>
    <t>74½</t>
  </si>
  <si>
    <t>San José State 40 at Hawaii 42</t>
  </si>
  <si>
    <t>Temple 17 at South Florida 7</t>
  </si>
  <si>
    <t>(10) Baylor 29 at TCU 23</t>
  </si>
  <si>
    <t>Appalachian State 20 at South Carolina 15</t>
  </si>
  <si>
    <t>Tennessee 17 at Kentucky 13</t>
  </si>
  <si>
    <t>Washington 19 at Oregon State 7</t>
  </si>
  <si>
    <t>Vanderbilt 0 at (11) Florida 56</t>
  </si>
  <si>
    <t>(22) Kansas State 24 at Texas 27</t>
  </si>
  <si>
    <t>Florida Intl 7 at Florida Atlantic 37</t>
  </si>
  <si>
    <t>Kent State 33 at Toledo 35</t>
  </si>
  <si>
    <t>South Alabama 28 at Texas State 30</t>
  </si>
  <si>
    <t>UConn 3 at (17) Cincinnati 48</t>
  </si>
  <si>
    <t>North Texas 17 at Louisiana Tech 52</t>
  </si>
  <si>
    <t>UMass 7 at Army 63</t>
  </si>
  <si>
    <t>Louisville 27 at Miami 52</t>
  </si>
  <si>
    <t>Fresno State 7 at San Diego State 17</t>
  </si>
  <si>
    <t>(4) Alabama 38 at Mississippi State 7</t>
  </si>
  <si>
    <t>(15) Wisconsin 37 at Nebraska 21</t>
  </si>
  <si>
    <t>(21) Navy 20 at (16) Notre Dame 52</t>
  </si>
  <si>
    <t>Coastal Carolina 27 at Arkansas State 28</t>
  </si>
  <si>
    <t>Central Michigan 45 at Ball State 44</t>
  </si>
  <si>
    <t>Virginia Tech 45 at Georgia Tech 0</t>
  </si>
  <si>
    <t>Southern Mississippi 36 at UTSA 17</t>
  </si>
  <si>
    <t>USC 41 at California 17</t>
  </si>
  <si>
    <t>Bowling Green 3 at Miami-OH 44</t>
  </si>
  <si>
    <t>Michigan State 10 at (14) Michigan 44</t>
  </si>
  <si>
    <t>Wake Forest 3 at (3) Clemson 52</t>
  </si>
  <si>
    <t>(23) Texas 21 at Iowa State 23</t>
  </si>
  <si>
    <t>Incarnate Word 28 at New Mexico State 41</t>
  </si>
  <si>
    <t>Stanford 22 at Washington State 49</t>
  </si>
  <si>
    <t>(1) LSU 58 at Ole Miss 37</t>
  </si>
  <si>
    <t>Western Michigan 37 at Ohio 34</t>
  </si>
  <si>
    <t>North Carolina 27 at Pittsburgh 34</t>
  </si>
  <si>
    <t>Louisiana Tech 10 at Marshall 31</t>
  </si>
  <si>
    <t>(12) Florida 23 at Missouri 6</t>
  </si>
  <si>
    <t>Tulane 21 at Temple 29</t>
  </si>
  <si>
    <t>Idaho State 10 at BYU 42</t>
  </si>
  <si>
    <t>Wyoming 21 at Utah State 26</t>
  </si>
  <si>
    <t>UL Lafayette 37 at South Alabama 27</t>
  </si>
  <si>
    <t>UCLA 3 at (9) Utah 49</t>
  </si>
  <si>
    <t>Northern Illinois 31 at Toledo 28</t>
  </si>
  <si>
    <t>TCU 33 at Texas Tech 31</t>
  </si>
  <si>
    <t>UL Monroe 29 at Georgia Southern 51</t>
  </si>
  <si>
    <t>New Mexico 9 at (19) Boise State 42</t>
  </si>
  <si>
    <t>Arizona 6 at (6) Oregon 34</t>
  </si>
  <si>
    <t>26½</t>
  </si>
  <si>
    <t>(5) Georgia 21 at (13) Auburn 14</t>
  </si>
  <si>
    <t>(18) Memphis 45 at Houston 27</t>
  </si>
  <si>
    <t>West Virginia 24 at Kansas State 20</t>
  </si>
  <si>
    <t>Rice 31 at Middle Tennessee 28</t>
  </si>
  <si>
    <t>Arizona State 34 at Oregon State 35</t>
  </si>
  <si>
    <t>(25) Indiana 27 at (11) Penn State 34</t>
  </si>
  <si>
    <t>UTEP 10 at UAB 37</t>
  </si>
  <si>
    <t>(8) Oklahoma 34 at (10) Baylor 31</t>
  </si>
  <si>
    <t>Buffalo 27 at Kent State 30</t>
  </si>
  <si>
    <t>(7) Minnesota 19 at (22) Iowa 23</t>
  </si>
  <si>
    <t>Syracuse 49 at Duke 6</t>
  </si>
  <si>
    <t>Hawaii 21 at UNLV 7</t>
  </si>
  <si>
    <t>(17) Cincinnati 20 at South Florida 17</t>
  </si>
  <si>
    <t>(24) Appalachian State 56 at Georgia State 27</t>
  </si>
  <si>
    <t>EMU 42 at Akron 14</t>
  </si>
  <si>
    <t>UMass 6 at Northwestern 45</t>
  </si>
  <si>
    <t>32½</t>
  </si>
  <si>
    <t>Air Force 38 at Colorado State 21</t>
  </si>
  <si>
    <t>South Carolina 6 at Texas A&amp;M 30</t>
  </si>
  <si>
    <t>Kansas 13 at Oklahoma State 31</t>
  </si>
  <si>
    <t>VMI 6 at Army 47</t>
  </si>
  <si>
    <t>Alabama State 12 at Florida State 49</t>
  </si>
  <si>
    <t>Kentucky 38 at Vanderbilt 14</t>
  </si>
  <si>
    <t>Troy 63 at Texas State 27</t>
  </si>
  <si>
    <t>(2) Ohio State 56 at Rutgers 21</t>
  </si>
  <si>
    <t>Louisville 34 at NC State 20</t>
  </si>
  <si>
    <t>Western Carolina 3 at (5) Alabama 66</t>
  </si>
  <si>
    <t>Ball State 38 at Kent State 41</t>
  </si>
  <si>
    <t>Boston College 7 at (15) Notre Dame 40</t>
  </si>
  <si>
    <t>Pittsburgh 0 at Virginia Tech 28</t>
  </si>
  <si>
    <t>Nebraska 54 at Maryland 7</t>
  </si>
  <si>
    <t>California 24 at Stanford 20</t>
  </si>
  <si>
    <t>Coastal Carolina 42 at UL Monroe 45</t>
  </si>
  <si>
    <t>Florida Atlantic 40 at UTSA 26</t>
  </si>
  <si>
    <t>Houston 24 at Tulsa 14</t>
  </si>
  <si>
    <t>Nevada 35 at Fresno State 28</t>
  </si>
  <si>
    <t>Ohio 66 at Bowling Green 24</t>
  </si>
  <si>
    <t>Kansas 31 at Iowa State 41</t>
  </si>
  <si>
    <t>East Carolina 31 at UConn 24</t>
  </si>
  <si>
    <t>Michigan State 27 at Rutgers 0</t>
  </si>
  <si>
    <t>UTEP 35 at New Mexico State 44</t>
  </si>
  <si>
    <t>Old Dominion 17 at Middle Tennessee 38</t>
  </si>
  <si>
    <t>Arkansas 20 at (1) LSU 56</t>
  </si>
  <si>
    <t>Oregon State 53 at Washington State 54</t>
  </si>
  <si>
    <t>(25) San Diego State 11 at Hawaii 14</t>
  </si>
  <si>
    <t>BYU 56 at UMass 24</t>
  </si>
  <si>
    <t>-39½</t>
  </si>
  <si>
    <t>UCF 34 at Tulane 31</t>
  </si>
  <si>
    <t>UCLA 35 at USC 52</t>
  </si>
  <si>
    <t>Marshall 13 at Charlotte 24</t>
  </si>
  <si>
    <t>Troy 3 at UL Lafayette 53</t>
  </si>
  <si>
    <t>Tennessee 24 at Missouri 20</t>
  </si>
  <si>
    <t>(19) Boise State 56 at Utah State 21</t>
  </si>
  <si>
    <t>EMU 45 at Northern Illinois 17</t>
  </si>
  <si>
    <t>Georgia Southern 33 at Arkansas State 38</t>
  </si>
  <si>
    <t>(21) SMU 28 at Navy 35</t>
  </si>
  <si>
    <t>Purdue 24 at (14) Wisconsin 45</t>
  </si>
  <si>
    <t>Kansas State 30 at Texas Tech 27</t>
  </si>
  <si>
    <t>(8) Utah 35 at Arizona 7</t>
  </si>
  <si>
    <t>Akron 17 at Miami-OH 20</t>
  </si>
  <si>
    <t>(23) Oklahoma State 20 at West Virginia 13</t>
  </si>
  <si>
    <t>Air Force 44 at New Mexico 22</t>
  </si>
  <si>
    <t>(24) Texas A&amp;M 13 at (4) Georgia 19</t>
  </si>
  <si>
    <t>Mercer 7 at North Carolina 56</t>
  </si>
  <si>
    <t>(6) Oregon 28 at Arizona State 31</t>
  </si>
  <si>
    <t>(9) Penn State 17 at (2) Ohio State 28</t>
  </si>
  <si>
    <t>Liberty 27 at Virginia 55</t>
  </si>
  <si>
    <t>Louisiana Tech 14 at UAB 20</t>
  </si>
  <si>
    <t>San José State 35 at UNLV 38</t>
  </si>
  <si>
    <t>Abilene Christian 7 at Mississippi State 45</t>
  </si>
  <si>
    <t>TCU 24 at (7) Oklahoma 28</t>
  </si>
  <si>
    <t>Washington 14 at Colorado 20</t>
  </si>
  <si>
    <t>Illinois 10 at (20) Iowa 19</t>
  </si>
  <si>
    <t>Texas State 13 at (22) Appalachian State 35</t>
  </si>
  <si>
    <t>Texas 10 at (13) Baylor 24</t>
  </si>
  <si>
    <t>Western Kentucky 28 at Southern Mississippi 10</t>
  </si>
  <si>
    <t>(18) Memphis 49 at South Florida 10</t>
  </si>
  <si>
    <t>7 E</t>
  </si>
  <si>
    <t>Duke 27 at Wake Forest 39</t>
  </si>
  <si>
    <t>(11) Minnesota 38 at Northwestern 22</t>
  </si>
  <si>
    <t>South Alabama 15 at Georgia State 28</t>
  </si>
  <si>
    <t>Miami 24 at Florida Intl 30</t>
  </si>
  <si>
    <t>(12) Michigan 39 at Indiana 14</t>
  </si>
  <si>
    <t>North Texas 14 at Rice 20</t>
  </si>
  <si>
    <t>Syracuse 34 at Louisville 56</t>
  </si>
  <si>
    <t>Temple 13 at (17) Cincinnati 15</t>
  </si>
  <si>
    <t>UT Martin 7 at Kentucky 50</t>
  </si>
  <si>
    <t>Colorado State 7 at Wyoming 17</t>
  </si>
  <si>
    <t>NC State 26 at Georgia Tech 28</t>
  </si>
  <si>
    <t>Samford 0 at (16) Auburn 52</t>
  </si>
  <si>
    <t>UTSA 27 at Louisiana Tech 41</t>
  </si>
  <si>
    <t>Fresno State 16 at San José State 17</t>
  </si>
  <si>
    <t>Florida Intl 27 at Marshall 30</t>
  </si>
  <si>
    <t>Indiana 44 at Purdue 41</t>
  </si>
  <si>
    <t>UNLV 33 at Nevada 30</t>
  </si>
  <si>
    <t>Vanderbilt 10 at Tennessee 28</t>
  </si>
  <si>
    <t>Wake Forest 30 at Syracuse 39</t>
  </si>
  <si>
    <t>Kent State 34 at EMU 26</t>
  </si>
  <si>
    <t>Army 31 at Hawaii 52</t>
  </si>
  <si>
    <t>Leaders W Total</t>
  </si>
  <si>
    <t>2nd places W Total</t>
  </si>
  <si>
    <t>Differential</t>
  </si>
  <si>
    <t>Label</t>
  </si>
  <si>
    <t>Bottom Line</t>
  </si>
  <si>
    <t>Florida International</t>
  </si>
  <si>
    <t>Eastern Michigan</t>
  </si>
  <si>
    <t>Miami OH</t>
  </si>
  <si>
    <t>Hawai'i</t>
  </si>
  <si>
    <t>San Jose State</t>
  </si>
  <si>
    <t>Texas A%26M</t>
  </si>
  <si>
    <t>Louisiana</t>
  </si>
  <si>
    <t>ESPNs HTML</t>
  </si>
  <si>
    <t>CIN</t>
  </si>
  <si>
    <t>CONN</t>
  </si>
  <si>
    <t>ECU</t>
  </si>
  <si>
    <t>HOU</t>
  </si>
  <si>
    <t>MEM</t>
  </si>
  <si>
    <t>NAVY</t>
  </si>
  <si>
    <t>USF</t>
  </si>
  <si>
    <t>TEM</t>
  </si>
  <si>
    <t>TULN</t>
  </si>
  <si>
    <t>TLSA</t>
  </si>
  <si>
    <t>BC</t>
  </si>
  <si>
    <t>CLEM</t>
  </si>
  <si>
    <t>DUKE</t>
  </si>
  <si>
    <t>FSU</t>
  </si>
  <si>
    <t>GT</t>
  </si>
  <si>
    <t>LOU</t>
  </si>
  <si>
    <t>MIA</t>
  </si>
  <si>
    <t>NCST</t>
  </si>
  <si>
    <t>UNC</t>
  </si>
  <si>
    <t>PITT</t>
  </si>
  <si>
    <t>SYR</t>
  </si>
  <si>
    <t>UVA</t>
  </si>
  <si>
    <t>VT</t>
  </si>
  <si>
    <t>WAKE</t>
  </si>
  <si>
    <t>BAY</t>
  </si>
  <si>
    <t>ISU</t>
  </si>
  <si>
    <t>KU</t>
  </si>
  <si>
    <t>KSU</t>
  </si>
  <si>
    <t>OKLA</t>
  </si>
  <si>
    <t>OKST</t>
  </si>
  <si>
    <t>TEX</t>
  </si>
  <si>
    <t>TTU</t>
  </si>
  <si>
    <t>WVU</t>
  </si>
  <si>
    <t>ILL</t>
  </si>
  <si>
    <t>IND</t>
  </si>
  <si>
    <t>IOWA</t>
  </si>
  <si>
    <t>MD</t>
  </si>
  <si>
    <t>MICH</t>
  </si>
  <si>
    <t>MSU</t>
  </si>
  <si>
    <t>MINN</t>
  </si>
  <si>
    <t>NEB</t>
  </si>
  <si>
    <t>NW</t>
  </si>
  <si>
    <t>OSU</t>
  </si>
  <si>
    <t>PSU</t>
  </si>
  <si>
    <t>PUR</t>
  </si>
  <si>
    <t>RUTG</t>
  </si>
  <si>
    <t>WIS</t>
  </si>
  <si>
    <t>FIU</t>
  </si>
  <si>
    <t>FAU</t>
  </si>
  <si>
    <t>LAT</t>
  </si>
  <si>
    <t>MRSH</t>
  </si>
  <si>
    <t>MTSU</t>
  </si>
  <si>
    <t>UNT</t>
  </si>
  <si>
    <t>ODU</t>
  </si>
  <si>
    <t>RICE</t>
  </si>
  <si>
    <t>USM</t>
  </si>
  <si>
    <t>CLT</t>
  </si>
  <si>
    <t>WKU</t>
  </si>
  <si>
    <t>AKR</t>
  </si>
  <si>
    <t>BALL</t>
  </si>
  <si>
    <t>BGSU</t>
  </si>
  <si>
    <t>BUFF</t>
  </si>
  <si>
    <t>CMU</t>
  </si>
  <si>
    <t>KENT</t>
  </si>
  <si>
    <t>MOH</t>
  </si>
  <si>
    <t>NIU</t>
  </si>
  <si>
    <t>OHIO</t>
  </si>
  <si>
    <t>TOL</t>
  </si>
  <si>
    <t>WMU</t>
  </si>
  <si>
    <t>AFA</t>
  </si>
  <si>
    <t>BSU</t>
  </si>
  <si>
    <t>CSU</t>
  </si>
  <si>
    <t>FRES</t>
  </si>
  <si>
    <t>HAW</t>
  </si>
  <si>
    <t>NEV</t>
  </si>
  <si>
    <t>UNM</t>
  </si>
  <si>
    <t>SDSU</t>
  </si>
  <si>
    <t>SJSU</t>
  </si>
  <si>
    <t>USU</t>
  </si>
  <si>
    <t>WYO</t>
  </si>
  <si>
    <t>ARIZ</t>
  </si>
  <si>
    <t>ASU</t>
  </si>
  <si>
    <t>CAL</t>
  </si>
  <si>
    <t>COLO</t>
  </si>
  <si>
    <t>ORE</t>
  </si>
  <si>
    <t>ORST</t>
  </si>
  <si>
    <t>STAN</t>
  </si>
  <si>
    <t>UTAH</t>
  </si>
  <si>
    <t>WASH</t>
  </si>
  <si>
    <t>WSU</t>
  </si>
  <si>
    <t>ALA</t>
  </si>
  <si>
    <t>ARK</t>
  </si>
  <si>
    <t>AUB</t>
  </si>
  <si>
    <t>FLA</t>
  </si>
  <si>
    <t>UGA</t>
  </si>
  <si>
    <t>UK</t>
  </si>
  <si>
    <t>MSST</t>
  </si>
  <si>
    <t>MIZ</t>
  </si>
  <si>
    <t>MISS</t>
  </si>
  <si>
    <t>SC</t>
  </si>
  <si>
    <t>TENN</t>
  </si>
  <si>
    <t>mpM</t>
  </si>
  <si>
    <t>VAN</t>
  </si>
  <si>
    <t>APP</t>
  </si>
  <si>
    <t>RKST</t>
  </si>
  <si>
    <t>GASO</t>
  </si>
  <si>
    <t>GAST</t>
  </si>
  <si>
    <t>ULL</t>
  </si>
  <si>
    <t>ULM</t>
  </si>
  <si>
    <t>USA</t>
  </si>
  <si>
    <t>TXST</t>
  </si>
  <si>
    <t>TROY</t>
  </si>
  <si>
    <t>CCU</t>
  </si>
  <si>
    <t>ARMY</t>
  </si>
  <si>
    <t>LIB</t>
  </si>
  <si>
    <t>NMSU</t>
  </si>
  <si>
    <t>ND</t>
  </si>
  <si>
    <t>MASS</t>
  </si>
  <si>
    <t>Lines</t>
  </si>
  <si>
    <t>Connecticut</t>
  </si>
  <si>
    <t>Southern Methodist</t>
  </si>
  <si>
    <t>Central Florida</t>
  </si>
  <si>
    <t>Miami FL</t>
  </si>
  <si>
    <t>North Carolina State</t>
  </si>
  <si>
    <t>Texas Christian</t>
  </si>
  <si>
    <t>Middle Tennessee St.</t>
  </si>
  <si>
    <t>Southern Miss</t>
  </si>
  <si>
    <t>UNC Charlotte</t>
  </si>
  <si>
    <t>Texas-San Antonio</t>
  </si>
  <si>
    <t>Bowling Green State</t>
  </si>
  <si>
    <t>SUNY-Buffalo</t>
  </si>
  <si>
    <t>Southern Cal</t>
  </si>
  <si>
    <t>Mississippi</t>
  </si>
  <si>
    <t>Texas AM</t>
  </si>
  <si>
    <t>Louisiana-Lafayette</t>
  </si>
  <si>
    <t>Louisiana-Monroe</t>
  </si>
  <si>
    <t>Massachusetts</t>
  </si>
  <si>
    <t>Channel</t>
  </si>
  <si>
    <t>Miami Ohio</t>
  </si>
  <si>
    <t>Louisiana Lafayette</t>
  </si>
  <si>
    <t>Louisiana Monroe</t>
  </si>
  <si>
    <t>Draft</t>
  </si>
  <si>
    <t>Picked by</t>
  </si>
  <si>
    <t>Current Wins</t>
  </si>
  <si>
    <t>Missed Wins</t>
  </si>
  <si>
    <t>Reaches</t>
  </si>
  <si>
    <t>Steals</t>
  </si>
  <si>
    <t>Front of Run</t>
  </si>
  <si>
    <t>End of Run</t>
  </si>
  <si>
    <t>Initial</t>
  </si>
  <si>
    <t>Mascott</t>
  </si>
  <si>
    <t>Alt Team</t>
  </si>
  <si>
    <t>Draft Positions</t>
  </si>
  <si>
    <t>Front of Run Weighted</t>
  </si>
  <si>
    <t>End of Run Weighted</t>
  </si>
  <si>
    <t>Current Losses</t>
  </si>
  <si>
    <t>Highest wins from same conference drafted later</t>
  </si>
  <si>
    <t>Bested Picks</t>
  </si>
  <si>
    <t>Is players Max Reach</t>
  </si>
  <si>
    <t>Stolen Wins</t>
  </si>
  <si>
    <t>Knights</t>
  </si>
  <si>
    <t>Owls</t>
  </si>
  <si>
    <t>Bearcats</t>
  </si>
  <si>
    <t>Bulls</t>
  </si>
  <si>
    <t>Pirates</t>
  </si>
  <si>
    <t>UCONN</t>
  </si>
  <si>
    <t>Huskies</t>
  </si>
  <si>
    <t>Midshipmen</t>
  </si>
  <si>
    <t>Cougars</t>
  </si>
  <si>
    <t>Green Wave</t>
  </si>
  <si>
    <t>Mustangs</t>
  </si>
  <si>
    <t>Tigers</t>
  </si>
  <si>
    <t>Golden Hurricane</t>
  </si>
  <si>
    <t>Eagles</t>
  </si>
  <si>
    <t>Orange</t>
  </si>
  <si>
    <t>(9) Notre Dame at Louisville</t>
  </si>
  <si>
    <t>Last Tuesday</t>
  </si>
  <si>
    <t>wolfpack</t>
  </si>
  <si>
    <t>Next Monday</t>
  </si>
  <si>
    <t>Cardinals</t>
  </si>
  <si>
    <t>Demon Deacons</t>
  </si>
  <si>
    <t>Seminoles</t>
  </si>
  <si>
    <t>Hokies</t>
  </si>
  <si>
    <t>Panthers</t>
  </si>
  <si>
    <t>Blue Devils</t>
  </si>
  <si>
    <t>Hurricanes</t>
  </si>
  <si>
    <t>Cavaliers</t>
  </si>
  <si>
    <t>Tar heels</t>
  </si>
  <si>
    <t>Yellow Jackets</t>
  </si>
  <si>
    <t>Sooners</t>
  </si>
  <si>
    <t>Cowboys</t>
  </si>
  <si>
    <t>Mountaineers</t>
  </si>
  <si>
    <t>Bears</t>
  </si>
  <si>
    <t>Jayhawks</t>
  </si>
  <si>
    <t>Wildcats</t>
  </si>
  <si>
    <t>Horned Frogs</t>
  </si>
  <si>
    <t>Longhorns</t>
  </si>
  <si>
    <t>Red Raiders</t>
  </si>
  <si>
    <t>Cyclones</t>
  </si>
  <si>
    <t>Nittany Lions</t>
  </si>
  <si>
    <t>Buckeyes</t>
  </si>
  <si>
    <t>Hoosiers</t>
  </si>
  <si>
    <t>Terrapins</t>
  </si>
  <si>
    <t>Wolverines</t>
  </si>
  <si>
    <t>Spartans</t>
  </si>
  <si>
    <t>Scarlet Knights</t>
  </si>
  <si>
    <t>Hawkeyes</t>
  </si>
  <si>
    <t>Golden Gophers</t>
  </si>
  <si>
    <t>Badgers</t>
  </si>
  <si>
    <t>Cornhuskers</t>
  </si>
  <si>
    <t>Fighting Illini</t>
  </si>
  <si>
    <t>Boilermakers</t>
  </si>
  <si>
    <t>CHAR</t>
  </si>
  <si>
    <t>Golden Panthers</t>
  </si>
  <si>
    <t>Thundering Herd</t>
  </si>
  <si>
    <t>Blue Raiders</t>
  </si>
  <si>
    <t>Monarchs</t>
  </si>
  <si>
    <t>Mean Green</t>
  </si>
  <si>
    <t>LT</t>
  </si>
  <si>
    <t>Bulldogs</t>
  </si>
  <si>
    <t>Round:</t>
  </si>
  <si>
    <t>Conference:</t>
  </si>
  <si>
    <t>Blazers</t>
  </si>
  <si>
    <t>Golden Eagles</t>
  </si>
  <si>
    <t>Miners</t>
  </si>
  <si>
    <t>Roadrunners</t>
  </si>
  <si>
    <t>Fighting Irish</t>
  </si>
  <si>
    <t>Flames</t>
  </si>
  <si>
    <t>Minutemen</t>
  </si>
  <si>
    <t>UMass</t>
  </si>
  <si>
    <t>Aggies</t>
  </si>
  <si>
    <t>AKRON</t>
  </si>
  <si>
    <t>Zips</t>
  </si>
  <si>
    <t>Bobcats</t>
  </si>
  <si>
    <t>Golden Flashes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</si>
  <si>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</si>
  <si>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</si>
  <si>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</si>
  <si>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</si>
  <si>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</si>
  <si>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</si>
  <si>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</si>
  <si>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</si>
  <si>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</si>
  <si>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</si>
  <si>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</si>
  <si>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</si>
  <si>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</si>
  <si>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</si>
  <si>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</si>
  <si>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</si>
  <si>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</si>
  <si>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</si>
  <si>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</si>
  <si>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</si>
  <si>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</si>
  <si>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</si>
  <si>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</si>
  <si>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</si>
  <si>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</si>
  <si>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</si>
  <si>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</si>
  <si>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</si>
  <si>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</si>
  <si>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</si>
  <si>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</si>
  <si>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</si>
  <si>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</si>
  <si>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#e00122</t>
  </si>
  <si>
    <t>#f66733</t>
  </si>
  <si>
    <t>#522d80</t>
  </si>
  <si>
    <t>#006f71</t>
  </si>
  <si>
    <t>#a27752</t>
  </si>
  <si>
    <t>#d2c694</t>
  </si>
  <si>
    <t>#187031</t>
  </si>
  <si>
    <t>#8d744a</t>
  </si>
  <si>
    <t>#0736a4</t>
  </si>
  <si>
    <t>#592a86</t>
  </si>
  <si>
    <t>#ffc800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</si>
  <si>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</si>
  <si>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</si>
  <si>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</si>
  <si>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</si>
  <si>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</si>
  <si>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</si>
  <si>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</si>
  <si>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</si>
  <si>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</si>
  <si>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</si>
  <si>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</si>
  <si>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</si>
  <si>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</si>
  <si>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</si>
  <si>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</si>
  <si>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</si>
  <si>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</si>
  <si>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</si>
  <si>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</si>
  <si>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</si>
  <si>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</si>
  <si>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</si>
  <si>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#0022b4</t>
  </si>
  <si>
    <t>#e8000d</t>
  </si>
  <si>
    <t>#512888</t>
  </si>
  <si>
    <t>#a8adad</t>
  </si>
  <si>
    <t>#003876</t>
  </si>
  <si>
    <t>#f0b310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</si>
  <si>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</si>
  <si>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</si>
  <si>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</si>
  <si>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</si>
  <si>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</si>
  <si>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</si>
  <si>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</si>
  <si>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</si>
  <si>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</si>
  <si>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</si>
  <si>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</si>
  <si>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</si>
  <si>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</si>
  <si>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</si>
  <si>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</si>
  <si>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</si>
  <si>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</si>
  <si>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</si>
  <si>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</si>
  <si>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</si>
  <si>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</si>
  <si>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</si>
  <si>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</si>
  <si>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</si>
  <si>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</si>
  <si>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</si>
  <si>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</si>
  <si>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</si>
  <si>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</si>
  <si>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</si>
  <si>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</si>
  <si>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</si>
  <si>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</si>
  <si>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</si>
  <si>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</si>
  <si>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</si>
  <si>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</si>
  <si>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#00694e</t>
  </si>
  <si>
    <t>#bb0000</t>
  </si>
  <si>
    <t>#666666</t>
  </si>
  <si>
    <t>#841617</t>
  </si>
  <si>
    <t>Falcons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</si>
  <si>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</si>
  <si>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</si>
  <si>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</si>
  <si>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</si>
  <si>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</si>
  <si>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</si>
  <si>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</si>
  <si>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</si>
  <si>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</si>
  <si>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</si>
  <si>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</si>
  <si>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</si>
  <si>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</si>
  <si>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</si>
  <si>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</si>
  <si>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</si>
  <si>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</si>
  <si>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</si>
  <si>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</si>
  <si>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</si>
  <si>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</si>
  <si>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</si>
  <si>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</si>
  <si>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</si>
  <si>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</si>
  <si>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</si>
  <si>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</si>
  <si>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</si>
  <si>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</si>
  <si>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</si>
  <si>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</si>
  <si>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</si>
  <si>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</si>
  <si>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</si>
  <si>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</si>
  <si>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</si>
  <si>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</si>
  <si>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</si>
  <si>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</si>
  <si>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</si>
  <si>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</si>
  <si>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</si>
  <si>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</si>
  <si>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</si>
  <si>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</si>
  <si>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</si>
  <si>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</si>
  <si>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#192b5f</t>
  </si>
  <si>
    <t>#7c878e</t>
  </si>
  <si>
    <t>#cf202f</t>
  </si>
  <si>
    <t>#c1c5c9</t>
  </si>
  <si>
    <t>#872434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</si>
  <si>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</si>
  <si>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</si>
  <si>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</si>
  <si>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</si>
  <si>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</si>
  <si>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</si>
  <si>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</si>
  <si>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</si>
  <si>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</si>
  <si>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</si>
  <si>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</si>
  <si>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</si>
  <si>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</si>
  <si>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</si>
  <si>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</si>
  <si>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</si>
  <si>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</si>
  <si>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</si>
  <si>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</si>
  <si>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</si>
  <si>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</si>
  <si>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#c4012f</t>
  </si>
  <si>
    <t>#492f24</t>
  </si>
  <si>
    <t>#ffc425</t>
  </si>
  <si>
    <t>M-OH</t>
  </si>
  <si>
    <t>RedHawks</t>
  </si>
  <si>
    <t>Miami (OH)</t>
  </si>
  <si>
    <t>Broncos</t>
  </si>
  <si>
    <t>Chippewas</t>
  </si>
  <si>
    <t>Rebels</t>
  </si>
  <si>
    <t>Bruins</t>
  </si>
  <si>
    <t>Hilltoppers</t>
  </si>
  <si>
    <t>Rockets</t>
  </si>
  <si>
    <t>Rainbow Warriors</t>
  </si>
  <si>
    <t>Lobos</t>
  </si>
  <si>
    <t>Rams</t>
  </si>
  <si>
    <t>Aztecs</t>
  </si>
  <si>
    <t>Cardinal</t>
  </si>
  <si>
    <t>Golden Bears</t>
  </si>
  <si>
    <t>Ducks</t>
  </si>
  <si>
    <t>Beavers</t>
  </si>
  <si>
    <t>Trojans</t>
  </si>
  <si>
    <t>Buffaloes</t>
  </si>
  <si>
    <t>Sun Devils</t>
  </si>
  <si>
    <t>Wolf Pack</t>
  </si>
  <si>
    <t>Utes</t>
  </si>
  <si>
    <t>Volunteers</t>
  </si>
  <si>
    <t>Commodores</t>
  </si>
  <si>
    <t>Gators</t>
  </si>
  <si>
    <t>Gamecocks</t>
  </si>
  <si>
    <t>Crimson Tide</t>
  </si>
  <si>
    <t>TA&amp;M</t>
  </si>
  <si>
    <t>Razorbacks</t>
  </si>
  <si>
    <t>Chanticleers</t>
  </si>
  <si>
    <t>Jaguars</t>
  </si>
  <si>
    <t>ARKST</t>
  </si>
  <si>
    <t>Red Wolves</t>
  </si>
  <si>
    <t>Warhawks</t>
  </si>
  <si>
    <t>Ragin' Cajuns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</si>
</sst>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0000"/>
    <numFmt numFmtId="166" formatCode="ddd, mm/dd, h:mm am/pm"/>
    <numFmt numFmtId="167" formatCode="#,##0.0"/>
    <numFmt numFmtId="168" formatCode="h:mm am/pm"/>
    <numFmt numFmtId="169" formatCode="M/d/yyyy H:mm:ss"/>
    <numFmt numFmtId="170" formatCode="mmmm d, yyyy"/>
  </numFmts>
  <fonts count="24">
    <font>
      <sz val="10.0"/>
      <color rgb="FF000000"/>
      <name val="Arial"/>
    </font>
    <font/>
    <font>
      <sz val="10.0"/>
    </font>
    <font>
      <b/>
      <name val="Arial"/>
    </font>
    <font>
      <sz val="9.0"/>
    </font>
    <font>
      <color rgb="FF000000"/>
    </font>
    <font>
      <name val="Arial"/>
    </font>
    <font>
      <color rgb="FFFFFFFF"/>
    </font>
    <font>
      <b/>
      <sz val="11.0"/>
      <color rgb="FF000000"/>
      <name val="Arial"/>
    </font>
    <font>
      <b/>
      <sz val="10.0"/>
    </font>
    <font>
      <color rgb="FF000000"/>
      <name val="Arial"/>
    </font>
    <font>
      <sz val="11.0"/>
      <color rgb="FF000000"/>
      <name val="Inconsolata"/>
    </font>
    <font>
      <sz val="9.0"/>
      <color rgb="FF000000"/>
      <name val="Arial"/>
    </font>
    <font>
      <b/>
      <u/>
      <sz val="12.0"/>
      <color rgb="FF0000FF"/>
    </font>
    <font>
      <b/>
      <sz val="12.0"/>
    </font>
    <font>
      <sz val="12.0"/>
    </font>
    <font>
      <b/>
    </font>
    <font>
      <sz val="9.0"/>
      <name val="Arial"/>
    </font>
    <font>
      <sz val="11.0"/>
      <color rgb="FFF7981D"/>
    </font>
    <font>
      <sz val="10.0"/>
      <color rgb="FF000000"/>
    </font>
    <font>
      <sz val="10.0"/>
      <color rgb="FF222222"/>
    </font>
    <font>
      <color rgb="FF263238"/>
      <name val="Arial"/>
    </font>
    <font>
      <b/>
      <sz val="12.0"/>
      <color rgb="FF2B2C2D"/>
      <name val="Arial"/>
    </font>
    <font>
      <sz val="12.0"/>
      <color rgb="FF2B2C2D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1DDCF"/>
        <bgColor rgb="FFE1DDCF"/>
      </patternFill>
    </fill>
    <fill>
      <patternFill patternType="solid">
        <fgColor rgb="FFFFCC99"/>
        <bgColor rgb="FFFFCC99"/>
      </patternFill>
    </fill>
    <fill>
      <patternFill patternType="solid">
        <fgColor rgb="FF2CEFFF"/>
        <bgColor rgb="FF2CEFFF"/>
      </patternFill>
    </fill>
    <fill>
      <patternFill patternType="solid">
        <fgColor rgb="FFFCE122"/>
        <bgColor rgb="FFFCE122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3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2" fillId="0" fontId="2" numFmtId="0" xfId="0" applyAlignment="1" applyBorder="1" applyFont="1">
      <alignment horizontal="left" readingOrder="0" vertical="bottom"/>
    </xf>
    <xf borderId="0" fillId="2" fontId="3" numFmtId="0" xfId="0" applyAlignment="1" applyFill="1" applyFont="1">
      <alignment vertical="bottom"/>
    </xf>
    <xf borderId="2" fillId="3" fontId="1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4" fontId="2" numFmtId="0" xfId="0" applyAlignment="1" applyFill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5" numFmtId="165" xfId="0" applyAlignment="1" applyFont="1" applyNumberFormat="1">
      <alignment horizontal="center" readingOrder="0"/>
    </xf>
    <xf borderId="2" fillId="5" fontId="6" numFmtId="0" xfId="0" applyAlignment="1" applyBorder="1" applyFill="1" applyFont="1">
      <alignment vertical="bottom"/>
    </xf>
    <xf borderId="3" fillId="5" fontId="6" numFmtId="0" xfId="0" applyAlignment="1" applyBorder="1" applyFont="1">
      <alignment vertical="bottom"/>
    </xf>
    <xf borderId="0" fillId="0" fontId="7" numFmtId="165" xfId="0" applyAlignment="1" applyFont="1" applyNumberFormat="1">
      <alignment horizontal="center"/>
    </xf>
    <xf borderId="4" fillId="5" fontId="3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2" fillId="5" fontId="3" numFmtId="0" xfId="0" applyAlignment="1" applyBorder="1" applyFont="1">
      <alignment vertical="bottom"/>
    </xf>
    <xf borderId="3" fillId="5" fontId="3" numFmtId="0" xfId="0" applyAlignment="1" applyBorder="1" applyFont="1">
      <alignment vertical="bottom"/>
    </xf>
    <xf borderId="2" fillId="5" fontId="3" numFmtId="0" xfId="0" applyAlignment="1" applyBorder="1" applyFont="1">
      <alignment shrinkToFit="0" vertical="bottom" wrapText="1"/>
    </xf>
    <xf borderId="0" fillId="3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5" fillId="0" fontId="2" numFmtId="165" xfId="0" applyAlignment="1" applyBorder="1" applyFont="1" applyNumberFormat="1">
      <alignment horizontal="left" readingOrder="0" vertical="bottom"/>
    </xf>
    <xf borderId="5" fillId="3" fontId="2" numFmtId="0" xfId="0" applyAlignment="1" applyBorder="1" applyFont="1">
      <alignment vertical="bottom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2" fillId="6" fontId="1" numFmtId="0" xfId="0" applyAlignment="1" applyBorder="1" applyFill="1" applyFont="1">
      <alignment horizontal="center" readingOrder="0"/>
    </xf>
    <xf borderId="3" fillId="6" fontId="1" numFmtId="0" xfId="0" applyAlignment="1" applyBorder="1" applyFont="1">
      <alignment horizontal="center" readingOrder="0"/>
    </xf>
    <xf borderId="0" fillId="0" fontId="6" numFmtId="3" xfId="0" applyAlignment="1" applyFont="1" applyNumberFormat="1">
      <alignment horizontal="right" shrinkToFit="0" vertical="bottom" wrapText="1"/>
    </xf>
    <xf borderId="0" fillId="0" fontId="6" numFmtId="166" xfId="0" applyAlignment="1" applyFont="1" applyNumberFormat="1">
      <alignment horizontal="right" vertical="bottom"/>
    </xf>
    <xf borderId="2" fillId="6" fontId="1" numFmtId="165" xfId="0" applyAlignment="1" applyBorder="1" applyFont="1" applyNumberFormat="1">
      <alignment horizontal="center" readingOrder="0"/>
    </xf>
    <xf borderId="0" fillId="0" fontId="6" numFmtId="0" xfId="0" applyAlignment="1" applyFont="1">
      <alignment horizontal="right" vertical="bottom"/>
    </xf>
    <xf borderId="0" fillId="7" fontId="9" numFmtId="0" xfId="0" applyAlignment="1" applyFill="1" applyFont="1">
      <alignment readingOrder="0"/>
    </xf>
    <xf borderId="1" fillId="0" fontId="10" numFmtId="3" xfId="0" applyAlignment="1" applyBorder="1" applyFont="1" applyNumberFormat="1">
      <alignment horizontal="right" vertical="bottom"/>
    </xf>
    <xf borderId="0" fillId="3" fontId="11" numFmtId="0" xfId="0" applyAlignment="1" applyFont="1">
      <alignment horizontal="right" vertical="bottom"/>
    </xf>
    <xf borderId="0" fillId="0" fontId="6" numFmtId="3" xfId="0" applyAlignment="1" applyFont="1" applyNumberFormat="1">
      <alignment horizontal="right" vertical="bottom"/>
    </xf>
    <xf borderId="2" fillId="7" fontId="9" numFmtId="165" xfId="0" applyAlignment="1" applyBorder="1" applyFont="1" applyNumberFormat="1">
      <alignment readingOrder="0"/>
    </xf>
    <xf borderId="2" fillId="7" fontId="9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Font="1"/>
    <xf borderId="0" fillId="3" fontId="2" numFmtId="0" xfId="0" applyFont="1"/>
    <xf borderId="0" fillId="0" fontId="2" numFmtId="165" xfId="0" applyFont="1" applyNumberFormat="1"/>
    <xf borderId="0" fillId="0" fontId="6" numFmtId="3" xfId="0" applyAlignment="1" applyFont="1" applyNumberFormat="1">
      <alignment vertical="bottom"/>
    </xf>
    <xf borderId="0" fillId="3" fontId="2" numFmtId="165" xfId="0" applyFont="1" applyNumberFormat="1"/>
    <xf borderId="0" fillId="0" fontId="1" numFmtId="0" xfId="0" applyAlignment="1" applyFont="1">
      <alignment readingOrder="0" shrinkToFit="0" wrapText="1"/>
    </xf>
    <xf borderId="0" fillId="0" fontId="2" numFmtId="165" xfId="0" applyAlignment="1" applyFont="1" applyNumberFormat="1">
      <alignment horizontal="left" readingOrder="0" vertical="bottom"/>
    </xf>
    <xf borderId="0" fillId="3" fontId="2" numFmtId="0" xfId="0" applyAlignment="1" applyFont="1">
      <alignment vertical="bottom"/>
    </xf>
    <xf borderId="0" fillId="3" fontId="12" numFmtId="0" xfId="0" applyAlignment="1" applyFont="1">
      <alignment horizontal="left" readingOrder="0"/>
    </xf>
    <xf borderId="0" fillId="3" fontId="9" numFmtId="0" xfId="0" applyFont="1"/>
    <xf borderId="0" fillId="0" fontId="1" numFmtId="2" xfId="0" applyFont="1" applyNumberFormat="1"/>
    <xf borderId="0" fillId="0" fontId="1" numFmtId="165" xfId="0" applyAlignment="1" applyFont="1" applyNumberFormat="1">
      <alignment horizontal="left" readingOrder="0"/>
    </xf>
    <xf borderId="6" fillId="8" fontId="13" numFmtId="0" xfId="0" applyAlignment="1" applyBorder="1" applyFill="1" applyFont="1">
      <alignment readingOrder="0"/>
    </xf>
    <xf borderId="7" fillId="5" fontId="14" numFmtId="0" xfId="0" applyAlignment="1" applyBorder="1" applyFont="1">
      <alignment horizontal="center" readingOrder="0"/>
    </xf>
    <xf borderId="8" fillId="0" fontId="1" numFmtId="0" xfId="0" applyBorder="1" applyFont="1"/>
    <xf borderId="7" fillId="9" fontId="14" numFmtId="0" xfId="0" applyAlignment="1" applyBorder="1" applyFill="1" applyFont="1">
      <alignment horizontal="center" readingOrder="0" shrinkToFit="0" wrapText="1"/>
    </xf>
    <xf borderId="9" fillId="0" fontId="1" numFmtId="0" xfId="0" applyBorder="1" applyFont="1"/>
    <xf borderId="1" fillId="10" fontId="14" numFmtId="0" xfId="0" applyAlignment="1" applyBorder="1" applyFill="1" applyFont="1">
      <alignment horizontal="center" readingOrder="0" shrinkToFit="0" wrapText="1"/>
    </xf>
    <xf borderId="4" fillId="8" fontId="14" numFmtId="0" xfId="0" applyAlignment="1" applyBorder="1" applyFont="1">
      <alignment readingOrder="0"/>
    </xf>
    <xf borderId="4" fillId="5" fontId="14" numFmtId="0" xfId="0" applyAlignment="1" applyBorder="1" applyFont="1">
      <alignment readingOrder="0"/>
    </xf>
    <xf borderId="2" fillId="5" fontId="14" numFmtId="0" xfId="0" applyAlignment="1" applyBorder="1" applyFont="1">
      <alignment readingOrder="0"/>
    </xf>
    <xf borderId="4" fillId="11" fontId="14" numFmtId="0" xfId="0" applyAlignment="1" applyBorder="1" applyFill="1" applyFont="1">
      <alignment readingOrder="0" shrinkToFit="0" wrapText="1"/>
    </xf>
    <xf borderId="2" fillId="11" fontId="14" numFmtId="0" xfId="0" applyAlignment="1" applyBorder="1" applyFont="1">
      <alignment readingOrder="0" shrinkToFit="0" wrapText="1"/>
    </xf>
    <xf borderId="4" fillId="10" fontId="14" numFmtId="0" xfId="0" applyAlignment="1" applyBorder="1" applyFont="1">
      <alignment readingOrder="0" shrinkToFit="0" wrapText="1"/>
    </xf>
    <xf borderId="2" fillId="10" fontId="14" numFmtId="0" xfId="0" applyAlignment="1" applyBorder="1" applyFont="1">
      <alignment readingOrder="0" shrinkToFit="0" wrapText="1"/>
    </xf>
    <xf borderId="3" fillId="10" fontId="14" numFmtId="0" xfId="0" applyAlignment="1" applyBorder="1" applyFont="1">
      <alignment readingOrder="0" shrinkToFit="0" wrapText="1"/>
    </xf>
    <xf borderId="3" fillId="0" fontId="1" numFmtId="0" xfId="0" applyBorder="1" applyFont="1"/>
    <xf borderId="10" fillId="0" fontId="15" numFmtId="0" xfId="0" applyBorder="1" applyFont="1"/>
    <xf borderId="10" fillId="0" fontId="15" numFmtId="1" xfId="0" applyBorder="1" applyFont="1" applyNumberFormat="1"/>
    <xf borderId="0" fillId="0" fontId="15" numFmtId="1" xfId="0" applyFont="1" applyNumberFormat="1"/>
    <xf borderId="0" fillId="0" fontId="15" numFmtId="0" xfId="0" applyFont="1"/>
    <xf borderId="1" fillId="0" fontId="15" numFmtId="0" xfId="0" applyBorder="1" applyFont="1"/>
    <xf borderId="1" fillId="0" fontId="15" numFmtId="1" xfId="0" applyBorder="1" applyFont="1" applyNumberFormat="1"/>
    <xf borderId="10" fillId="0" fontId="15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4" fillId="0" fontId="15" numFmtId="1" xfId="0" applyBorder="1" applyFont="1" applyNumberFormat="1"/>
    <xf borderId="2" fillId="0" fontId="15" numFmtId="1" xfId="0" applyBorder="1" applyFont="1" applyNumberFormat="1"/>
    <xf borderId="4" fillId="0" fontId="15" numFmtId="0" xfId="0" applyBorder="1" applyFont="1"/>
    <xf borderId="2" fillId="0" fontId="15" numFmtId="0" xfId="0" applyBorder="1" applyFont="1"/>
    <xf borderId="3" fillId="0" fontId="15" numFmtId="0" xfId="0" applyBorder="1" applyFont="1"/>
    <xf borderId="3" fillId="0" fontId="15" numFmtId="1" xfId="0" applyBorder="1" applyFont="1" applyNumberFormat="1"/>
    <xf borderId="0" fillId="0" fontId="15" numFmtId="0" xfId="0" applyFont="1"/>
    <xf borderId="10" fillId="0" fontId="15" numFmtId="0" xfId="0" applyBorder="1" applyFont="1"/>
    <xf borderId="1" fillId="0" fontId="15" numFmtId="0" xfId="0" applyBorder="1" applyFont="1"/>
    <xf borderId="0" fillId="0" fontId="15" numFmtId="0" xfId="0" applyAlignment="1" applyFont="1">
      <alignment readingOrder="0"/>
    </xf>
    <xf borderId="10" fillId="0" fontId="15" numFmtId="0" xfId="0" applyAlignment="1" applyBorder="1" applyFont="1">
      <alignment readingOrder="0"/>
    </xf>
    <xf borderId="10" fillId="0" fontId="15" numFmtId="1" xfId="0" applyAlignment="1" applyBorder="1" applyFont="1" applyNumberFormat="1">
      <alignment readingOrder="0"/>
    </xf>
    <xf borderId="0" fillId="0" fontId="15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" xfId="0" applyBorder="1" applyFont="1" applyNumberFormat="1"/>
    <xf borderId="0" fillId="0" fontId="15" numFmtId="0" xfId="0" applyAlignment="1" applyFont="1">
      <alignment readingOrder="0"/>
    </xf>
    <xf borderId="0" fillId="0" fontId="1" numFmtId="167" xfId="0" applyAlignment="1" applyFont="1" applyNumberFormat="1">
      <alignment horizontal="left" readingOrder="0"/>
    </xf>
    <xf borderId="0" fillId="0" fontId="1" numFmtId="10" xfId="0" applyFont="1" applyNumberFormat="1"/>
    <xf borderId="2" fillId="7" fontId="16" numFmtId="0" xfId="0" applyBorder="1" applyFont="1"/>
    <xf borderId="0" fillId="4" fontId="9" numFmtId="0" xfId="0" applyAlignment="1" applyFont="1">
      <alignment horizontal="left" readingOrder="0" vertical="bottom"/>
    </xf>
    <xf borderId="0" fillId="4" fontId="9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3" fontId="17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17" numFmtId="0" xfId="0" applyAlignment="1" applyFont="1">
      <alignment readingOrder="0" vertical="bottom"/>
    </xf>
    <xf borderId="11" fillId="3" fontId="17" numFmtId="0" xfId="0" applyAlignment="1" applyBorder="1" applyFont="1">
      <alignment shrinkToFit="0" vertical="bottom" wrapText="0"/>
    </xf>
    <xf borderId="0" fillId="3" fontId="17" numFmtId="0" xfId="0" applyAlignment="1" applyFont="1">
      <alignment shrinkToFit="0" vertical="bottom" wrapText="0"/>
    </xf>
    <xf borderId="0" fillId="0" fontId="17" numFmtId="0" xfId="0" applyAlignment="1" applyFont="1">
      <alignment vertical="bottom"/>
    </xf>
    <xf borderId="0" fillId="3" fontId="18" numFmtId="165" xfId="0" applyFont="1" applyNumberFormat="1"/>
    <xf borderId="0" fillId="2" fontId="6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3" fillId="5" fontId="2" numFmtId="0" xfId="0" applyAlignment="1" applyBorder="1" applyFont="1">
      <alignment horizontal="left" readingOrder="0" vertical="bottom"/>
    </xf>
    <xf borderId="4" fillId="5" fontId="2" numFmtId="0" xfId="0" applyAlignment="1" applyBorder="1" applyFont="1">
      <alignment horizontal="left" readingOrder="0" vertical="bottom"/>
    </xf>
    <xf borderId="2" fillId="5" fontId="2" numFmtId="3" xfId="0" applyAlignment="1" applyBorder="1" applyFont="1" applyNumberFormat="1">
      <alignment horizontal="left" readingOrder="0" vertical="bottom"/>
    </xf>
    <xf borderId="2" fillId="5" fontId="2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horizontal="left" readingOrder="0" vertical="bottom"/>
    </xf>
    <xf borderId="0" fillId="5" fontId="2" numFmtId="0" xfId="0" applyAlignment="1" applyFont="1">
      <alignment horizontal="center" readingOrder="0" vertical="bottom"/>
    </xf>
    <xf borderId="1" fillId="3" fontId="1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3" xfId="0" applyAlignment="1" applyFont="1" applyNumberFormat="1">
      <alignment horizontal="center" readingOrder="0"/>
    </xf>
    <xf borderId="0" fillId="3" fontId="2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3" fontId="2" numFmtId="0" xfId="0" applyAlignment="1" applyFont="1">
      <alignment horizontal="left" readingOrder="0" vertical="bottom"/>
    </xf>
    <xf borderId="0" fillId="3" fontId="1" numFmtId="0" xfId="0" applyAlignment="1" applyFont="1">
      <alignment readingOrder="0" shrinkToFit="0" wrapText="1"/>
    </xf>
    <xf borderId="0" fillId="4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2" fillId="0" fontId="1" numFmtId="0" xfId="0" applyAlignment="1" applyBorder="1" applyFont="1">
      <alignment readingOrder="0"/>
    </xf>
    <xf borderId="2" fillId="0" fontId="2" numFmtId="165" xfId="0" applyAlignment="1" applyBorder="1" applyFont="1" applyNumberFormat="1">
      <alignment horizontal="left" readingOrder="0" vertical="bottom"/>
    </xf>
    <xf borderId="2" fillId="0" fontId="1" numFmtId="0" xfId="0" applyBorder="1" applyFont="1"/>
    <xf borderId="0" fillId="3" fontId="11" numFmtId="0" xfId="0" applyAlignment="1" applyFont="1">
      <alignment readingOrder="0"/>
    </xf>
    <xf borderId="0" fillId="0" fontId="1" numFmtId="165" xfId="0" applyFont="1" applyNumberFormat="1"/>
    <xf borderId="0" fillId="3" fontId="1" numFmtId="0" xfId="0" applyAlignment="1" applyFont="1">
      <alignment horizontal="center" readingOrder="0"/>
    </xf>
    <xf borderId="0" fillId="3" fontId="1" numFmtId="0" xfId="0" applyFont="1"/>
    <xf borderId="0" fillId="3" fontId="19" numFmtId="0" xfId="0" applyAlignment="1" applyFont="1">
      <alignment horizontal="right" readingOrder="0" vertical="bottom"/>
    </xf>
    <xf borderId="0" fillId="3" fontId="19" numFmtId="168" xfId="0" applyAlignment="1" applyFont="1" applyNumberFormat="1">
      <alignment horizontal="center" readingOrder="0" vertical="bottom"/>
    </xf>
    <xf borderId="0" fillId="2" fontId="19" numFmtId="168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right" readingOrder="0" vertical="bottom"/>
    </xf>
    <xf borderId="0" fillId="0" fontId="19" numFmtId="0" xfId="0" applyAlignment="1" applyFont="1">
      <alignment horizontal="right" readingOrder="0" vertical="bottom"/>
    </xf>
    <xf borderId="0" fillId="12" fontId="19" numFmtId="0" xfId="0" applyAlignment="1" applyFill="1" applyFont="1">
      <alignment horizontal="center" readingOrder="0" vertical="bottom"/>
    </xf>
    <xf borderId="0" fillId="0" fontId="19" numFmtId="168" xfId="0" applyAlignment="1" applyFont="1" applyNumberFormat="1">
      <alignment horizontal="center" readingOrder="0" vertical="bottom"/>
    </xf>
    <xf borderId="0" fillId="13" fontId="19" numFmtId="0" xfId="0" applyAlignment="1" applyFill="1" applyFont="1">
      <alignment horizontal="center" readingOrder="0" vertical="bottom"/>
    </xf>
    <xf borderId="0" fillId="3" fontId="19" numFmtId="0" xfId="0" applyAlignment="1" applyFont="1">
      <alignment horizontal="right" readingOrder="0" vertical="bottom"/>
    </xf>
    <xf borderId="0" fillId="14" fontId="19" numFmtId="0" xfId="0" applyAlignment="1" applyFill="1" applyFont="1">
      <alignment horizontal="center" readingOrder="0" vertical="bottom"/>
    </xf>
    <xf borderId="0" fillId="15" fontId="19" numFmtId="0" xfId="0" applyAlignment="1" applyFill="1" applyFont="1">
      <alignment horizontal="center" readingOrder="0" vertical="bottom"/>
    </xf>
    <xf borderId="0" fillId="16" fontId="19" numFmtId="0" xfId="0" applyAlignment="1" applyFill="1" applyFont="1">
      <alignment horizontal="center" readingOrder="0" vertical="bottom"/>
    </xf>
    <xf borderId="3" fillId="5" fontId="2" numFmtId="164" xfId="0" applyAlignment="1" applyBorder="1" applyFont="1" applyNumberFormat="1">
      <alignment horizontal="left" readingOrder="0" vertical="bottom"/>
    </xf>
    <xf borderId="0" fillId="0" fontId="1" numFmtId="164" xfId="0" applyFont="1" applyNumberFormat="1"/>
    <xf borderId="0" fillId="5" fontId="2" numFmtId="0" xfId="0" applyAlignment="1" applyFont="1">
      <alignment horizontal="left" readingOrder="0" vertical="bottom"/>
    </xf>
    <xf borderId="4" fillId="5" fontId="2" numFmtId="0" xfId="0" applyAlignment="1" applyBorder="1" applyFont="1">
      <alignment horizontal="left" readingOrder="0" vertical="bottom"/>
    </xf>
    <xf borderId="0" fillId="5" fontId="2" numFmtId="164" xfId="0" applyAlignment="1" applyFont="1" applyNumberFormat="1">
      <alignment horizontal="left" readingOrder="0" vertical="bottom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2" fillId="3" fontId="2" numFmtId="0" xfId="0" applyAlignment="1" applyBorder="1" applyFont="1">
      <alignment vertical="bottom"/>
    </xf>
    <xf borderId="2" fillId="3" fontId="20" numFmtId="0" xfId="0" applyAlignment="1" applyBorder="1" applyFont="1">
      <alignment readingOrder="0"/>
    </xf>
    <xf borderId="3" fillId="5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readingOrder="0" vertical="bottom"/>
    </xf>
    <xf borderId="1" fillId="3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readingOrder="0" vertical="bottom"/>
    </xf>
    <xf borderId="0" fillId="0" fontId="21" numFmtId="0" xfId="0" applyAlignment="1" applyFont="1">
      <alignment horizontal="left" readingOrder="0"/>
    </xf>
    <xf borderId="1" fillId="3" fontId="1" numFmtId="164" xfId="0" applyAlignment="1" applyBorder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3" fontId="1" numFmtId="14" xfId="0" applyAlignment="1" applyFont="1" applyNumberFormat="1">
      <alignment horizontal="center" readingOrder="0"/>
    </xf>
    <xf borderId="5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5" fillId="0" fontId="2" numFmtId="0" xfId="0" applyAlignment="1" applyBorder="1" applyFont="1">
      <alignment horizontal="left" readingOrder="0" vertical="bottom"/>
    </xf>
    <xf borderId="0" fillId="0" fontId="1" numFmtId="0" xfId="0" applyFont="1"/>
    <xf borderId="1" fillId="0" fontId="6" numFmtId="3" xfId="0" applyAlignment="1" applyBorder="1" applyFont="1" applyNumberFormat="1">
      <alignment horizontal="right" vertical="bottom"/>
    </xf>
    <xf borderId="0" fillId="17" fontId="9" numFmtId="0" xfId="0" applyAlignment="1" applyFill="1" applyFont="1">
      <alignment horizontal="center" readingOrder="0" vertical="bottom"/>
    </xf>
    <xf borderId="6" fillId="17" fontId="9" numFmtId="165" xfId="0" applyAlignment="1" applyBorder="1" applyFont="1" applyNumberFormat="1">
      <alignment horizontal="center" readingOrder="0" vertical="bottom"/>
    </xf>
    <xf borderId="12" fillId="0" fontId="1" numFmtId="0" xfId="0" applyBorder="1" applyFont="1"/>
    <xf borderId="0" fillId="2" fontId="9" numFmtId="0" xfId="0" applyAlignment="1" applyFont="1">
      <alignment horizontal="center" readingOrder="0" vertical="bottom"/>
    </xf>
    <xf borderId="10" fillId="2" fontId="9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horizontal="center" readingOrder="0" vertical="bottom"/>
    </xf>
    <xf borderId="4" fillId="2" fontId="9" numFmtId="0" xfId="0" applyAlignment="1" applyBorder="1" applyFont="1">
      <alignment horizontal="center" readingOrder="0" vertical="bottom"/>
    </xf>
    <xf borderId="3" fillId="2" fontId="9" numFmtId="0" xfId="0" applyAlignment="1" applyBorder="1" applyFont="1">
      <alignment horizontal="center" readingOrder="0" vertical="bottom"/>
    </xf>
    <xf borderId="6" fillId="0" fontId="1" numFmtId="0" xfId="0" applyBorder="1" applyFont="1"/>
    <xf borderId="12" fillId="0" fontId="2" numFmtId="0" xfId="0" applyAlignment="1" applyBorder="1" applyFont="1">
      <alignment horizontal="left" readingOrder="0" vertical="bottom"/>
    </xf>
    <xf borderId="6" fillId="0" fontId="1" numFmtId="0" xfId="0" applyBorder="1" applyFont="1"/>
    <xf borderId="10" fillId="0" fontId="1" numFmtId="0" xfId="0" applyBorder="1" applyFont="1"/>
    <xf borderId="1" fillId="0" fontId="2" numFmtId="0" xfId="0" applyAlignment="1" applyBorder="1" applyFont="1">
      <alignment horizontal="left" readingOrder="0" vertical="bottom"/>
    </xf>
    <xf borderId="10" fillId="0" fontId="1" numFmtId="0" xfId="0" applyBorder="1" applyFont="1"/>
    <xf borderId="4" fillId="0" fontId="1" numFmtId="0" xfId="0" applyBorder="1" applyFont="1"/>
    <xf borderId="3" fillId="0" fontId="2" numFmtId="0" xfId="0" applyAlignment="1" applyBorder="1" applyFont="1">
      <alignment horizontal="left" readingOrder="0" vertical="bottom"/>
    </xf>
    <xf borderId="2" fillId="0" fontId="1" numFmtId="0" xfId="0" applyBorder="1" applyFont="1"/>
    <xf borderId="4" fillId="0" fontId="1" numFmtId="0" xfId="0" applyBorder="1" applyFont="1"/>
    <xf borderId="0" fillId="0" fontId="16" numFmtId="0" xfId="0" applyAlignment="1" applyFont="1">
      <alignment readingOrder="0"/>
    </xf>
    <xf borderId="0" fillId="3" fontId="22" numFmtId="0" xfId="0" applyAlignment="1" applyFont="1">
      <alignment horizontal="left" readingOrder="0" shrinkToFit="0" vertical="top" wrapText="0"/>
    </xf>
    <xf borderId="12" fillId="0" fontId="2" numFmtId="0" xfId="0" applyAlignment="1" applyBorder="1" applyFont="1">
      <alignment horizontal="left" readingOrder="0" vertical="bottom"/>
    </xf>
    <xf borderId="10" fillId="0" fontId="2" numFmtId="0" xfId="0" applyAlignment="1" applyBorder="1" applyFont="1">
      <alignment horizontal="left" readingOrder="0" vertical="bottom"/>
    </xf>
    <xf borderId="0" fillId="3" fontId="5" numFmtId="0" xfId="0" applyFont="1"/>
    <xf borderId="0" fillId="3" fontId="23" numFmtId="0" xfId="0" applyAlignment="1" applyFont="1">
      <alignment horizontal="left" readingOrder="0" shrinkToFit="0" vertical="top" wrapText="0"/>
    </xf>
    <xf borderId="0" fillId="3" fontId="11" numFmtId="0" xfId="0" applyFont="1"/>
    <xf borderId="0" fillId="3" fontId="23" numFmtId="0" xfId="0" applyAlignment="1" applyFont="1">
      <alignment horizontal="left" readingOrder="0" vertical="top"/>
    </xf>
    <xf borderId="0" fillId="0" fontId="1" numFmtId="14" xfId="0" applyFont="1" applyNumberFormat="1"/>
    <xf borderId="0" fillId="0" fontId="1" numFmtId="169" xfId="0" applyFont="1" applyNumberFormat="1"/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2" pivot="0" name="Standings-style">
      <tableStyleElement dxfId="1" type="firstRowStripe"/>
      <tableStyleElement dxfId="2" type="secondRowStripe"/>
    </tableStyle>
    <tableStyle count="12" table="0" name="Google Sheets Pivot Table Style">
      <tableStyleElement dxfId="5" type="wholeTable"/>
      <tableStyleElement dxfId="6" type="firstRowSubheading"/>
      <tableStyleElement dxfId="6" type="secondRowSubheading"/>
      <tableStyleElement dxfId="6" type="thirdRowSubheading"/>
      <tableStyleElement dxfId="7" type="firstColumnSubheading"/>
      <tableStyleElement dxfId="7" type="secondColumnSubheading"/>
      <tableStyleElement dxfId="7" type="thirdColumnSubheading"/>
      <tableStyleElement dxfId="7" type="headerRow"/>
      <tableStyleElement dxfId="8" type="firstSubtotalRow"/>
      <tableStyleElement dxfId="8" type="secondSubtotalRow"/>
      <tableStyleElement dxfId="8" type="thirdSubtotalRow"/>
      <tableStyleElement dxfId="9" type="totalRow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chartsheet" Target="chartsheets/sheet3.xml"/><Relationship Id="rId20" Type="http://schemas.openxmlformats.org/officeDocument/2006/relationships/worksheet" Target="worksheets/sheet17.xml"/><Relationship Id="rId42" Type="http://schemas.openxmlformats.org/officeDocument/2006/relationships/pivotCacheDefinition" Target="pivotCache/pivotCacheDefinition1.xml"/><Relationship Id="rId41" Type="http://schemas.openxmlformats.org/officeDocument/2006/relationships/worksheet" Target="worksheets/sheet35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schemas.openxmlformats.org/officeDocument/2006/relationships/pivotCacheDefinition" Target="pivotCache/pivotCacheDefinition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chartsheet" Target="chartsheets/sheet2.xml"/><Relationship Id="rId10" Type="http://schemas.openxmlformats.org/officeDocument/2006/relationships/worksheet" Target="worksheets/sheet7.xml"/><Relationship Id="rId32" Type="http://schemas.openxmlformats.org/officeDocument/2006/relationships/chartsheet" Target="chartsheets/sheet1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29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1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Pivot'!$O$3:$O$19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Pivot'!$P$3:$P$19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Pivot'!$Q$3:$Q$19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Pivot'!$R$3:$R$19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Pivot'!$S$3:$S$19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Pivot'!$T$3:$T$19</c:f>
              <c:numCache/>
            </c:numRef>
          </c:val>
          <c:smooth val="1"/>
        </c:ser>
        <c:ser>
          <c:idx val="6"/>
          <c:order val="6"/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Pivot'!$U$3:$U$19</c:f>
              <c:numCache/>
            </c:numRef>
          </c:val>
          <c:smooth val="1"/>
        </c:ser>
        <c:ser>
          <c:idx val="7"/>
          <c:order val="7"/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Pivot'!$V$3:$V$19</c:f>
              <c:numCache/>
            </c:numRef>
          </c:val>
          <c:smooth val="1"/>
        </c:ser>
        <c:ser>
          <c:idx val="8"/>
          <c:order val="8"/>
          <c:spPr>
            <a:ln cmpd="sng">
              <a:solidFill>
                <a:srgbClr val="3949AB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Pivot'!$W$3:$W$19</c:f>
              <c:numCache/>
            </c:numRef>
          </c:val>
          <c:smooth val="1"/>
        </c:ser>
        <c:ser>
          <c:idx val="9"/>
          <c:order val="9"/>
          <c:spPr>
            <a:ln cmpd="sng">
              <a:solidFill>
                <a:srgbClr val="F975A8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Pivot'!$X$3:$X$19</c:f>
              <c:numCache/>
            </c:numRef>
          </c:val>
          <c:smooth val="1"/>
        </c:ser>
        <c:ser>
          <c:idx val="10"/>
          <c:order val="10"/>
          <c:spPr>
            <a:ln cmpd="sng">
              <a:solidFill>
                <a:srgbClr val="00695C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Pivot'!$Y$3:$Y$19</c:f>
              <c:numCache/>
            </c:numRef>
          </c:val>
          <c:smooth val="1"/>
        </c:ser>
        <c:ser>
          <c:idx val="11"/>
          <c:order val="11"/>
          <c:spPr>
            <a:ln cmpd="sng">
              <a:solidFill>
                <a:srgbClr val="C2185B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Pivot'!$Z$3:$Z$19</c:f>
              <c:numCache/>
            </c:numRef>
          </c:val>
          <c:smooth val="1"/>
        </c:ser>
        <c:axId val="1434347164"/>
        <c:axId val="973749414"/>
      </c:lineChart>
      <c:catAx>
        <c:axId val="1434347164"/>
        <c:scaling>
          <c:orientation val="minMax"/>
          <c:min val="2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3749414"/>
      </c:catAx>
      <c:valAx>
        <c:axId val="973749414"/>
        <c:scaling>
          <c:orientation val="minMax"/>
          <c:max val="0.1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of Wins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434716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Pivot'!$O$3:$O$19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Pivot'!$P$3:$P$19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Pivot'!$Q$3:$Q$19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Pivot'!$R$3:$R$19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Pivot'!$S$3:$S$19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00FFFF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Pivot'!$T$3:$T$19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Pivot'!$U$3:$U$19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Pivot'!$V$3:$V$19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3949AB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Pivot'!$W$3:$W$19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975A8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Pivot'!$X$3:$X$19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00695C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Pivot'!$Y$3:$Y$19</c:f>
              <c:numCache/>
            </c:numRef>
          </c:val>
          <c:smooth val="0"/>
        </c:ser>
        <c:axId val="2070504669"/>
        <c:axId val="2055247056"/>
      </c:lineChart>
      <c:catAx>
        <c:axId val="2070504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5247056"/>
      </c:catAx>
      <c:valAx>
        <c:axId val="2055247056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050466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'Leader W-2nd Pivot'!$Q$2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cat>
            <c:strRef>
              <c:f>'Leader W-2nd Pivot'!$P$3:$P$18</c:f>
            </c:strRef>
          </c:cat>
          <c:val>
            <c:numRef>
              <c:f>'Leader W-2nd Pivot'!$Q$3:$Q$18</c:f>
              <c:numCache/>
            </c:numRef>
          </c:val>
          <c:smooth val="0"/>
        </c:ser>
        <c:axId val="46524506"/>
        <c:axId val="495516783"/>
      </c:lineChart>
      <c:catAx>
        <c:axId val="46524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200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5516783"/>
      </c:catAx>
      <c:valAx>
        <c:axId val="495516783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2000">
                    <a:solidFill>
                      <a:srgbClr val="000000"/>
                    </a:solidFill>
                    <a:latin typeface="Roboto"/>
                  </a:rPr>
                  <a:t>Leader's lead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524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</sheetPr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</sheetPr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</sheetPr>
  <sheetViews>
    <sheetView workbookViewId="0"/>
  </sheetViews>
  <drawing r:id="rId1"/>
</chartsheet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865" sheet="weeklylog work"/>
  </cacheSource>
  <cacheFields>
    <cacheField name="Date Entry" numFmtId="164">
      <sharedItems containsDate="1" containsString="0" containsBlank="1">
        <d v="2019-08-25T06:42:51Z"/>
        <d v="2019-09-01T03:32:45Z"/>
        <d v="2019-09-08T03:32:45Z"/>
        <d v="2019-09-15T03:32:45Z"/>
        <d v="2019-09-22T03:32:45Z"/>
        <d v="2019-09-29T03:32:45Z"/>
        <d v="2019-10-06T03:32:45Z"/>
        <d v="2019-10-13T03:32:45Z"/>
        <d v="2019-10-20T03:32:45Z"/>
        <d v="2019-10-27T03:32:45Z"/>
        <d v="2019-11-03T03:32:45Z"/>
        <d v="2019-11-10T03:32:45Z"/>
        <d v="2019-11-17T03:32:45Z"/>
        <d v="2019-11-24T03:32:45Z"/>
        <d v="2019-12-01T03:32:45Z"/>
        <m/>
      </sharedItems>
    </cacheField>
    <cacheField name="Player" numFmtId="0">
      <sharedItems containsBlank="1">
        <s v="DavEmily"/>
        <s v="Nick A."/>
        <s v="Gary"/>
        <s v="Janice/Mike"/>
        <s v="Nico"/>
        <s v="Jeannine"/>
        <s v="Justin"/>
        <s v="Adam"/>
        <s v="Vu"/>
        <s v="Josh R."/>
        <s v="Brad"/>
        <s v="Nick G."/>
        <m/>
      </sharedItems>
    </cacheField>
    <cacheField name="Team" numFmtId="0">
      <sharedItems containsBlank="1">
        <s v="Tulsa"/>
        <s v="Nebraska"/>
        <s v="Ball State"/>
        <s v="Alabama"/>
        <s v="Coastal Carolina"/>
        <s v="Virginia Tech"/>
        <s v="UTSA"/>
        <s v="California"/>
        <s v="Fresno State"/>
        <s v="Notre Dame"/>
        <s v="Bowling Green"/>
        <s v="Clemson"/>
        <s v="Michigan State"/>
        <s v="Iowa State"/>
        <s v="East Carolina"/>
        <s v="Old Dominion"/>
        <s v="LSU"/>
        <s v="San Diego State"/>
        <s v="Washington State"/>
        <s v="New Mexico State"/>
        <s v="UCLA"/>
        <s v="Tulane"/>
        <s v="BYU"/>
        <s v="Utah State"/>
        <s v="Maryland"/>
        <s v="UL Lafayette"/>
        <s v="Ohio"/>
        <s v="Marshall"/>
        <s v="Missouri"/>
        <s v="Pittsburgh"/>
        <s v="Arizona"/>
        <s v="Charlotte"/>
        <s v="Wisconsin"/>
        <s v="Navy"/>
        <s v="Arkansas"/>
        <s v="Texas Tech"/>
        <s v="Boston College"/>
        <s v="Northern Illinois"/>
        <s v="Boise State"/>
        <s v="Georgia Southern"/>
        <s v="Arizona State"/>
        <s v="Purdue"/>
        <s v="West Virginia"/>
        <s v="North Carolina"/>
        <s v="New Mexico"/>
        <s v="Arkansas State"/>
        <s v="Georgia"/>
        <s v="Middle Tennessee"/>
        <s v="Miami-OH"/>
        <s v="Houston"/>
        <s v="UAB"/>
        <s v="San José State"/>
        <s v="Colorado"/>
        <s v="Mississippi State"/>
        <s v="Penn State"/>
        <s v="Western Michigan"/>
        <s v="SMU"/>
        <s v="Virginia"/>
        <s v="UL Monroe"/>
        <s v="Oklahoma"/>
        <s v="Buffalo"/>
        <s v="Western Kentucky"/>
        <s v="South Florida"/>
        <s v="Duke"/>
        <s v="Tennessee"/>
        <s v="Appalachian State"/>
        <s v="Baylor"/>
        <s v="Oregon"/>
        <s v="Iowa"/>
        <s v="UNLV"/>
        <s v="Florida"/>
        <s v="UCF"/>
        <s v="Florida Intl"/>
        <s v="Wake Forest"/>
        <s v="Oregon State"/>
        <s v="Akron"/>
        <s v="Air Force"/>
        <s v="Georgia State"/>
        <s v="Northwestern"/>
        <s v="Texas"/>
        <s v="Hawaii"/>
        <s v="Cincinnati"/>
        <s v="Texas A&amp;M"/>
        <s v="Kent State"/>
        <s v="South Alabama"/>
        <s v="Washington"/>
        <s v="Syracuse"/>
        <s v="Michigan"/>
        <s v="North Texas"/>
        <s v="TCU"/>
        <s v="Minnesota"/>
        <s v="Army"/>
        <s v="Nevada"/>
        <s v="Kansas"/>
        <s v="Toledo"/>
        <s v="Kentucky"/>
        <s v="Temple"/>
        <s v="Southern Mississippi"/>
        <s v="Florida State"/>
        <s v="USC"/>
        <s v="Miami"/>
        <s v="Texas State"/>
        <s v="Utah"/>
        <s v="Colorado State"/>
        <s v="Oklahoma State"/>
        <s v="Indiana"/>
        <s v="Memphis"/>
        <s v="EMU"/>
        <s v="South Carolina"/>
        <s v="Louisiana Tech"/>
        <s v="UConn"/>
        <s v="Central Michigan"/>
        <s v="Ohio State"/>
        <s v="Florida Atlantic"/>
        <s v="NC State"/>
        <s v="Stanford"/>
        <s v="Troy"/>
        <s v="Kansas State"/>
        <s v="Auburn"/>
        <s v="Wyoming"/>
        <m/>
      </sharedItems>
    </cacheField>
    <cacheField name="W" numFmtId="0">
      <sharedItems containsString="0" containsBlank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L" numFmtId="0">
      <sharedItems containsString="0" containsBlank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Network" numFmtId="0">
      <sharedItems containsBlank="1">
        <s v="NA"/>
        <s v="CBSSN"/>
        <s v="ESPN"/>
        <s v="FS1"/>
        <s v="ABC"/>
        <s v="espn+ Video"/>
        <s v="ACC Network"/>
        <s v="ESPN Extra"/>
        <s v="Pac-12"/>
        <s v="espn3 Video"/>
        <s v="ESPNU"/>
        <s v="Facebook Video"/>
        <s v="BTN"/>
        <s v="Stadium Video"/>
        <s v="SEC Network"/>
        <s v="FSN"/>
        <s v="ATTPI"/>
        <s v="TBA"/>
        <s v="FOX"/>
        <s v="LHN"/>
        <s v="NFL Network"/>
        <s v="Pac-12 Bay Area"/>
        <s v="NBC"/>
        <s v="CBS"/>
        <s v="ESPN2"/>
        <s v="Flo Football"/>
        <s v="SEC Network alternate"/>
        <s v="Pac-12 Oregon"/>
        <s v="ESPN2 or ESPNU"/>
        <s v="Pac-12 Mountain"/>
        <s v="ACC RSN"/>
        <s v="ATTRM"/>
        <s v="NESN"/>
        <s v="Flo Sports Video"/>
        <s v="BYUtv"/>
        <m/>
      </sharedItems>
    </cacheField>
    <cacheField name="Match Up" numFmtId="0">
      <sharedItems containsBlank="1">
        <s v="Tulsa at (20) Michigan State "/>
        <s v="South Alabama at Nebraska "/>
        <s v="Indiana at Ball State "/>
        <s v="Duke at (2) Alabama "/>
        <s v="EMU at Coastal Carolina "/>
        <s v="Virginia Tech at Boston College "/>
        <s v="Incarnate Word at UTSA "/>
        <s v="UC Davis at California "/>
        <s v="Fresno State at USC "/>
        <s v="(9) Notre Dame at Louisville "/>
        <s v="Morgan State at Bowling Green "/>
        <s v="Georgia Tech at (1) Clemson "/>
        <s v="Northern Iowa at (24) Iowa State "/>
        <s v="East Carolina at NC State "/>
        <s v="Norfolk State at Old Dominion "/>
        <s v="Georgia Southern at (6) LSU "/>
        <s v="Weber State at San Diego State "/>
        <s v="New Mexico State at (21) Washington State "/>
        <s v="UCLA at Cincinnati "/>
        <s v="Florida Intl at Tulane "/>
        <s v="(15) Utah at BYU "/>
        <s v="Utah State at Wake Forest "/>
        <s v="Howard at Maryland "/>
        <s v="Mississippi State at UL Lafayette "/>
        <s v="Rhode Island at Ohio "/>
        <s v="VMI at Marshall "/>
        <s v="Missouri at Wyoming "/>
        <s v="Virginia at Pittsburgh "/>
        <s v="Arizona 38 at Hawaii 45"/>
        <s v="Gardner-Webb at Charlotte "/>
        <s v="(17) Wisconsin at South Florida "/>
        <s v="Holy Cross at Navy "/>
        <s v="Portland State at Arkansas "/>
        <s v="Montana State at Texas Tech "/>
        <s v="Illinois State at Northern Illinois "/>
        <s v="Boise State at Florida State "/>
        <s v="Kent State at Arizona State "/>
        <s v="Purdue at Nevada "/>
        <s v="James Madison at West Virginia "/>
        <s v="South Carolina at North Carolina "/>
        <s v="Sam Houston State at New Mexico "/>
        <s v="SMU at Arkansas State "/>
        <s v="(3) Georgia at Vanderbilt "/>
        <s v="Middle Tennessee at (7) Michigan "/>
        <s v="Miami-OH at (19) Iowa "/>
        <s v="Houston at (4) Oklahoma "/>
        <s v="Alabama State at UAB "/>
        <s v="Northern Colorado at San José State "/>
        <s v="Colorado State at Colorado "/>
        <s v="Idaho at (14) Penn State "/>
        <s v="Monmouth at Western Michigan "/>
        <s v="Grambling at UL Monroe "/>
        <s v="Robert Morris at Buffalo "/>
        <s v="Central Arkansas at Western Kentucky "/>
        <s v="Georgia State at Tennessee "/>
        <s v="East Tennessee State at Appalachian State "/>
        <s v="Stephen F. Austin at Baylor "/>
        <s v="(13) Oregon at (16) Auburn "/>
        <s v="Southern Utah at UNLV "/>
        <s v="Miami 20 at (8) Florida 24"/>
        <s v="Florida A&amp;M at (17) UCF "/>
        <s v="Oklahoma State at Oregon State "/>
        <s v="Akron at Illinois "/>
        <s v="Colgate at Air Force "/>
        <s v="(25) Northwestern at (23) Stanford "/>
        <s v="Louisiana Tech at (10) Texas "/>
        <s v="Texas State at (11) Texas A&amp;M "/>
        <s v="Eastern Washington at (12) Washington "/>
        <s v="(22) Syracuse at Liberty "/>
        <s v="Abilene Christian at North Texas "/>
        <s v="Arkansas-Pine Bluff at TCU "/>
        <s v="South Dakota State at Minnesota "/>
        <s v="Rice at Army "/>
        <s v="Indiana State at Kansas "/>
        <s v="Toledo at Kentucky "/>
        <s v="Bucknell at Temple "/>
        <s v="Alcorn State at Southern Mississippi "/>
        <s v="Ole Miss at Memphis "/>
        <s v="Wagner at UConn "/>
        <s v="Albany at Central Michigan "/>
        <s v="Florida Atlantic at (5) Ohio State "/>
        <s v="Campbell at Troy "/>
        <s v="Nicholls at Kansas State "/>
        <s v="Tulsa 7 at (20) Michigan State 28"/>
        <s v="South Alabama 21 at Nebraska 35"/>
        <s v="Indiana 34 at Ball State 24"/>
        <s v="Duke 3 at (2) Alabama 42"/>
        <s v="EMU 30 at Coastal Carolina 23"/>
        <s v="Virginia Tech 28 at Boston College 35"/>
        <s v="Incarnate Word 7 at UTSA 35"/>
        <s v="UC Davis 13 at California 27"/>
        <s v="Fresno State 23 at USC 31"/>
        <s v="Notre Dame 35 at Louisville 17"/>
        <s v="Morgan State 3 at Bowling Green 46"/>
        <s v="Georgia Tech 14 at (1) Clemson 52"/>
        <s v="Northern Iowa 26 at (24) Iowa State 29"/>
        <s v="East Carolina 6 at NC State 34"/>
        <s v="Norfolk State 21 at Old Dominion 24"/>
        <s v="Georgia Southern 3 at (6) LSU 55"/>
        <s v="Weber State 0 at San Diego State 6"/>
        <s v="New Mexico State 7 at (21) Washington State 58"/>
        <s v="UCLA 14 at Cincinnati 24"/>
        <s v="Florida Intl 14 at Tulane 42"/>
        <s v="(15) Utah 30 at BYU 12"/>
        <s v="Utah State 35 at Wake Forest 38"/>
        <s v="Mississippi State 38 at UL Lafayette 28"/>
        <s v="Howard 0 at Maryland 79"/>
        <s v="Rhode Island 20 at Ohio 41"/>
        <s v="VMI 17 at Marshall 56"/>
        <s v="Missouri 31 at Wyoming 37"/>
        <s v="Virginia 30 at Pittsburgh 14"/>
        <s v="Gardner-Webb 28 at Charlotte 49"/>
        <s v="(17) Wisconsin 49 at South Florida 0"/>
        <s v="Boise State 36 at Florida State 31"/>
        <s v="Holy Cross 7 at Navy 45"/>
        <s v="Portland State 13 at Arkansas 20"/>
        <s v="Montana State 10 at Texas Tech 45"/>
        <s v="Illinois State 10 at Northern Illinois 24"/>
        <s v="Kent State 7 at Arizona State 30"/>
        <s v="Purdue 31 at Nevada 34"/>
        <s v="James Madison 13 at West Virginia 20"/>
        <s v="South Carolina 20 at North Carolina 24"/>
        <s v="Sam Houston State 31 at New Mexico 39"/>
        <s v="SMU 37 at Arkansas State 30"/>
        <s v="(3) Georgia 30 at Vanderbilt 6"/>
        <s v="Middle Tennessee 21 at (7) Michigan 40"/>
        <s v="Miami-OH 14 at (19) Iowa 38"/>
        <s v="Alabama State 19 at UAB 24"/>
        <s v="Northern Colorado 18 at San José State 35"/>
        <s v="Colorado State 31 at Colorado 52"/>
        <s v="Idaho 7 at (14) Penn State 79"/>
        <s v="Monmouth 13 at Western Michigan 48"/>
        <s v="Grambling 9 at UL Monroe 31"/>
        <s v="Houston 31 at (4) Oklahoma 49"/>
        <s v="Robert Morris 10 at Buffalo 38"/>
        <s v="Central Arkansas 35 at Western Kentucky 28"/>
        <s v="Georgia State 38 at Tennessee 30"/>
        <s v="East Tennessee State 7 at Appalachian State 42"/>
        <s v="Stephen F. Austin 17 at Baylor 56"/>
        <s v="(13) Oregon 21 at (16) Auburn 27"/>
        <s v="Southern Utah 23 at UNLV 56"/>
        <s v="Florida A&amp;M 0 at (17) UCF 62"/>
        <s v="Oklahoma State 52 at Oregon State 36"/>
        <s v="Akron 3 at Illinois 42"/>
        <s v="Colgate 7 at Air Force 48"/>
        <s v="(25) Northwestern 7 at (23) Stanford 17"/>
        <s v="Louisiana Tech 14 at (10) Texas 45"/>
        <s v="Texas State 7 at (11) Texas A&amp;M 41"/>
        <s v="Eastern Washington 14 at (12) Washington 47"/>
        <s v="(22) Syracuse 24 at Liberty 0"/>
        <s v="Abilene Christian 31 at North Texas 51"/>
        <s v="Arkansas-Pine Bluff 7 at TCU 39"/>
        <s v="South Dakota State 21 at Minnesota 28"/>
        <s v="Rice 7 at Army 14"/>
        <s v="Indiana State 17 at Kansas 24"/>
        <s v="Toledo 24 at Kentucky 38"/>
        <s v="Bucknell 12 at Temple 56"/>
        <s v="Alcorn State 10 at Southern Mississippi 38"/>
        <s v="Ole Miss 10 at Memphis 15"/>
        <s v="Wagner 21 at UConn 24"/>
        <s v="Albany 21 at Central Michigan 38"/>
        <s v="Florida Atlantic 21 at (5) Ohio State 45"/>
        <s v="Campbell 14 at Troy 43"/>
        <s v="Nicholls 14 at Kansas State 49"/>
        <s v="UTSA 14 at Baylor 63"/>
        <s v="Coastal Carolina 12 at Kansas 7"/>
        <s v="California 20 at (12) Washington 19"/>
        <s v="Minnesota 38 at Fresno State 35"/>
        <s v="BYE"/>
        <s v="Old Dominion 17 at Virginia Tech 31"/>
        <s v="Fordham 29 at Ball State 57"/>
        <s v="(25) Nebraska 31 at Colorado 34"/>
        <s v="New Mexico State 10 at (2) Alabama 62"/>
        <s v="Tulsa 34 at San José State 16"/>
        <s v="Bowling Green 0 at Kansas State 52"/>
        <s v="San Diego State 23 at UCLA 14"/>
        <s v="(11) Texas A&amp;M 10 at (1) Clemson 24"/>
        <s v="Northern Colorado 17 at (21) Washington State 59"/>
        <s v="Gardner-Webb 9 at East Carolina 48"/>
        <s v="(6) LSU 45 at (9) Texas 38"/>
        <s v="Western Michigan 17 at (20) Michigan State 51"/>
        <s v="Marshall 7 at (24) Boise State 14"/>
        <s v="Ohio 10 at Pittsburgh 20"/>
        <s v="BYU 29 at Tennessee 26"/>
        <s v="Tulane 6 at (13) Auburn 24"/>
        <s v="(22) Syracuse 20 at Maryland 63"/>
        <s v="West Virginia 7 at Missouri 38"/>
        <s v="Stony Brook 7 at Utah State 62"/>
        <s v="Liberty 14 at UL Lafayette 35"/>
        <s v="Northern Illinois 17 at (15) Utah 35"/>
        <s v="Charlotte 41 at Appalachian State 56"/>
        <s v="Arkansas 17 at Ole Miss 31"/>
        <s v="Central Michigan 0 at (16) Wisconsin 61"/>
        <s v="Richmond 13 at Boston College 45"/>
        <s v="Maine 18 at Georgia Southern 26"/>
        <s v="UTEP 3 at Texas Tech 38"/>
        <s v="Northern Arizona 41 at Arizona 65"/>
        <s v="Miami 25 at North Carolina 28"/>
        <s v="Arkansas State 43 at UNLV 17"/>
        <s v="Sacramento State 7 at Arizona State 19"/>
        <s v="Vanderbilt 24 at Purdue 42"/>
        <s v="Tennessee Tech 17 at Miami-OH 48"/>
        <s v="Murray State 17 at (3) Georgia 63"/>
        <s v="Tennessee State 26 at Middle Tennessee 45"/>
        <s v="Prairie View 17 at Houston 37"/>
        <s v="UL Monroe 44 at Florida State 45"/>
        <s v="William &amp; Mary 17 at Virginia 52"/>
        <s v="UAB 31 at Akron 20"/>
        <s v="Southern Mississippi 15 at Mississippi State 38"/>
        <s v="South Dakota 14 at (4) Oklahoma 70"/>
        <s v="North Texas 27 at SMU 49"/>
        <s v="Buffalo 13 at (14) Penn State 45"/>
        <s v="South Florida 10 at Georgia Tech 14"/>
        <s v="Western Kentucky 20 at Florida Intl 14"/>
        <s v="Rutgers 0 at (19) Iowa 30"/>
        <s v="North Carolina A&amp;T 13 at Duke 45"/>
        <s v="Nevada 6 at (18) Oregon 77"/>
        <s v="Oregon State 28 at Hawaii 31"/>
        <s v="Wake Forest 41 at Rice 21"/>
        <s v="(17) UCF 48 at Florida Atlantic 14"/>
        <s v="Furman 42 at Georgia State 48"/>
        <s v="UT Martin 0 at (10) Florida 45"/>
        <s v="Cincinnati 0 at (5) Ohio State 42"/>
        <s v="Army 21 at (7) Michigan 24"/>
        <s v="Kennesaw State 23 at Kent State 26"/>
        <s v="Jackson State 14 at South Alabama 37"/>
        <s v="EMU 17 at Kentucky 38"/>
        <s v="(23) Stanford 20 at USC 45"/>
        <s v="Wyoming 23 at Texas State 14"/>
        <s v="Southern 24 at Memphis 55"/>
        <s v="Charleston Southern 10 at South Carolina 72"/>
        <s v="Grambling 14 at Louisiana Tech 20"/>
        <s v="Eastern Illinois 0 at Indiana 52"/>
        <s v="Western Illinois 13 at Colorado State 38"/>
        <s v="McNeese 14 at Oklahoma State 56"/>
        <s v="Illinois 31 at UConn 23"/>
        <s v="Western Carolina 0 at NC State 41"/>
        <s v="Army 31 at UTSA 13"/>
        <s v="Norfolk State 7 at Coastal Carolina 46"/>
        <s v="North Texas 17 at California 23"/>
        <s v="New Mexico 14 at (7) Notre Dame 66"/>
        <s v="Furman 17 at Virginia Tech 24"/>
        <s v="Florida Atlantic 41 at Ball State 31"/>
        <s v="Northern Illinois 8 at Nebraska 44"/>
        <s v="(2) Alabama 47 at South Carolina 23"/>
        <s v="Oklahoma State 40 at Tulsa 21"/>
        <s v="Louisiana Tech 35 at Bowling Green 7"/>
        <s v="San Diego State 31 at New Mexico State 10"/>
        <s v="(18) Iowa 18 at Iowa State 17"/>
        <s v="(1) Clemson 41 at Syracuse 6"/>
        <s v="(20) Washington State 31 at Houston 24"/>
        <s v="East Carolina 10 at Navy 42"/>
        <s v="Northwestern State 14 at (5) LSU 65"/>
        <s v="Arizona State 10 at (19) Michigan State 7"/>
        <s v="Ohio 31 at Marshall 33"/>
        <s v="(24) USC 27 at BYU 30"/>
        <s v="Missouri State 6 at Tulane 58"/>
        <s v="Pittsburgh 10 at (11) Penn State 17"/>
        <s v="(25) Maryland 17 at Temple 20"/>
        <s v="Southeast Missouri State 0 at Missouri 50"/>
        <s v="(4) Oklahoma 48 at UCLA 14"/>
        <s v="Texas Southern 6 at UL Lafayette 77"/>
        <s v="UMass 17 at Charlotte 52"/>
        <s v="Colorado State 34 at Arkansas 55"/>
        <s v="Portland State 10 at (22) Boise State 45"/>
        <s v="Kansas 48 at Boston College 24"/>
        <s v="Georgia Southern 32 at Minnesota 35"/>
        <s v="Texas Tech 14 at Arizona 28"/>
        <s v="NC State 27 at West Virginia 44"/>
        <s v="North Carolina 18 at Wake Forest 24"/>
        <s v="Arkansas State 0 at (3) Georgia 55"/>
        <s v="TCU 34 at Purdue 13"/>
        <s v="Miami-OH 13 at Cincinnati 35"/>
        <s v="Duke 41 at Middle Tennessee 18"/>
        <s v="Air Force 30 at Colorado 23"/>
        <s v="Georgia State 10 at Western Michigan 57"/>
        <s v="Florida State 24 at Virginia 31"/>
        <s v="Kansas State 31 at (23) Mississippi State 24"/>
        <s v="Texas State 17 at SMU 47"/>
        <s v="South Carolina State 16 at South Florida 55"/>
        <s v="Louisville 38 at Western Kentucky 21"/>
        <s v="Buffalo 17 at Liberty 35"/>
        <s v="Chattanooga 0 at Tennessee 45"/>
        <s v="Montana 3 at (17) Oregon 35"/>
        <s v="UNLV 14 at Northwestern 30"/>
        <s v="Akron 24 at Central Michigan 45"/>
        <s v="(13) Texas 48 at Rice 13"/>
        <s v="Cal Poly 7 at Oregon State 45"/>
        <s v="Stanford 27 at (16) UCF 45"/>
        <s v="New Hampshire 17 at Florida Intl 30"/>
        <s v="(8) Florida 29 at Kentucky 21"/>
        <s v="Lamar 3 at (15) Texas A&amp;M 62"/>
        <s v="Kent State 16 at (9) Auburn 55"/>
        <s v="Memphis 42 at South Alabama 6"/>
        <s v="Hawaii 20 at (21) Washington 52"/>
        <s v="Southern Mississippi 47 at Troy 42"/>
        <s v="Weber State 13 at Nevada 19"/>
        <s v="Murray State 0 at Toledo 45"/>
        <s v="EMU 34 at Illinois 31"/>
        <s v="Idaho State 0 at (12) Utah 31"/>
        <s v="(6) Ohio State 51 at Indiana 10"/>
        <s v="Bethune-Cookman 0 at Miami 63"/>
        <s v="Idaho 16 at Wyoming 21"/>
        <s v="UTSA 3 at North Texas 45"/>
        <s v="Coastal Carolina 62 at UMass 28"/>
        <s v="(23) California 28 at Ole Miss 20"/>
        <s v="Sacramento State 20 at Fresno State 34"/>
        <s v="(7) Notre Dame 17 at (3) Georgia 23"/>
        <s v="Ball State 23 at NC State 34"/>
        <s v="Nebraska 42 at Illinois 38"/>
        <s v="Southern Mississippi 7 at (2) Alabama 49"/>
        <s v="Wyoming 21 at Tulsa 24"/>
        <s v="Old Dominion 17 at (22) Virginia 28"/>
        <s v="Bowling Green 20 at Kent State 62"/>
        <s v="New Mexico State 52 at New Mexico 55"/>
        <s v="Utah State 23 at San Diego State 17"/>
        <s v="UL Monroe 20 at Iowa State 72"/>
        <s v="Charlotte 10 at (1) Clemson 52"/>
        <s v="UCLA 67 at (19) Washington State 63"/>
        <s v="William &amp; Mary 7 at East Carolina 19"/>
        <s v="(5) LSU 66 at Vanderbilt 38"/>
        <s v="Michigan State 31 at Northwestern 10"/>
        <s v="UL Lafayette 45 at Ohio 25"/>
        <s v="(21) Washington 45 at BYU 19"/>
        <s v="Houston 31 at Tulane 38"/>
        <s v="(16) UCF 34 at Pittsburgh 35"/>
        <s v="South Carolina 14 at Missouri 34"/>
        <s v="San José State 31 at Arkansas 24"/>
        <s v="Air Force 19 at (20) Boise State 30"/>
        <s v="(10) Michigan 14 at (14) Wisconsin 35"/>
        <s v="Boston College 30 at Rutgers 16"/>
        <s v="West Virginia 29 at Kansas 24"/>
        <s v="Appalachian State 34 at North Carolina 31"/>
        <s v="Southern Illinois 28 at Arkansas State 41"/>
        <s v="Colorado 34 at (24) Arizona State 31"/>
        <s v="Miami-OH 5 at (6) Ohio State 76"/>
        <s v="Western Michigan 33 at Syracuse 52"/>
        <s v="South Alabama 3 at UAB 35"/>
        <s v="Kentucky 13 at Mississippi State 28"/>
        <s v="SMU 41 at TCU 38"/>
        <s v="Temple 22 at Buffalo 38"/>
        <s v="Baylor 21 at Rice 13"/>
        <s v="Tennessee 3 at (8) Florida 34"/>
        <s v="(17) Oregon 21 at Stanford 6"/>
        <s v="Troy 35 at Akron 7"/>
        <s v="Oklahoma State 30 at (13) Texas 36"/>
        <s v="Elon 7 at Wake Forest 49"/>
        <s v="Georgia State 34 at Texas State 37"/>
        <s v="Florida Intl 31 at Louisiana Tech 43"/>
        <s v="(9) Auburn 28 at (15) Texas A&amp;M 20"/>
        <s v="Central Arkansas 16 at Hawaii 35"/>
        <s v="Morgan State 21 at Army 52"/>
        <s v="Nevada 37 at UTEP 21"/>
        <s v="Toledo 41 at Colorado State 35"/>
        <s v="Louisville 24 at Florida State 35"/>
        <s v="(11) Utah 23 at USC 30"/>
        <s v="Central Connecticut 29 at EMU 34"/>
        <s v="UConn 3 at Indiana 38"/>
        <s v="Central Michigan 12 at Miami 17"/>
        <s v="Wagner 7 at Florida Atlantic 42"/>
        <s v="Coastal Carolina 37 at Appalachian State 56"/>
        <s v="Arizona State 24 at (16) California 17"/>
        <s v="Fresno State 30 at New Mexico State 17"/>
        <s v="(18) Virginia 20 at (10) Notre Dame 35"/>
        <s v="Duke 45 at Virginia Tech 10"/>
        <s v="(6) Ohio State 48 at Nebraska 7"/>
        <s v="Ole Miss 31 at (2) Alabama 59"/>
        <s v="East Carolina 24 at Old Dominion 21"/>
        <s v="Iowa State 21 at Baylor 23"/>
        <s v="(1) Clemson 21 at North Carolina 20"/>
        <s v="Washington State 13 at (19) Utah 38"/>
        <s v="Indiana 31 at Michigan State 40"/>
        <s v="Cincinnati 52 at Marshall 14"/>
        <s v="BYU 21 at Toledo 28"/>
        <s v="Delaware 14 at Pittsburgh 17"/>
        <s v="(11) Penn State 59 at Maryland 0"/>
        <s v="UCLA 17 at Arizona 20"/>
        <s v="Colorado State 24 at Utah State 34"/>
        <s v="UL Lafayette 37 at Georgia Southern 24"/>
        <s v="Northern Illinois 18 at Vanderbilt 24"/>
        <s v="Florida Atlantic 45 at Charlotte 27"/>
        <s v="(21) Texas A&amp;M 31 at Arkansas 27"/>
        <s v="Navy 23 at Memphis 35"/>
        <s v="Northwestern 15 at (9) Wisconsin 24"/>
        <s v="(24) Wake Forest 27 at Boston College 24"/>
        <s v="Texas Tech 16 at (4) Oklahoma 55"/>
        <s v="Arkansas State 50 at Troy 43"/>
        <s v="New Mexico 10 at Liberty 17"/>
        <s v="Minnesota 38 at Purdue 31"/>
        <s v="Buffalo 20 at Miami-OH 34"/>
        <s v="Middle Tennessee 3 at (14) Iowa 48"/>
        <s v="Houston 46 at North Texas 25"/>
        <s v="South Alabama 17 at UL Monroe 30"/>
        <s v="Central Michigan 15 at Western Michigan 31"/>
        <s v="San José State 24 at Air Force 41"/>
        <s v="UAB 13 at Western Kentucky 20"/>
        <s v="Mississippi State 23 at (7) Auburn 56"/>
        <s v="SMU 48 at South Florida 21"/>
        <s v="UNLV 17 at Wyoming 53"/>
        <s v="Akron 29 at UMass 37"/>
        <s v="Stanford 31 at Oregon State 28"/>
        <s v="UConn 21 at (23) UCF 56"/>
        <s v="Towson 0 at (8) Florida 38"/>
        <s v="Holy Cross 3 at Syracuse 41"/>
        <s v="Kansas 14 at TCU 51"/>
        <s v="Rutgers 0 at (20) Michigan 52"/>
        <s v="(25) USC 14 at (17) Washington 28"/>
        <s v="Hawaii 54 at Nevada 3"/>
        <s v="UTEP 13 at Southern Mississippi 31"/>
        <s v="Georgia Tech 2 at Temple 24"/>
        <s v="NC State 13 at Florida State 31"/>
        <s v="Kentucky 7 at South Carolina 24"/>
        <s v="Nicholls 3 at Texas State 24"/>
        <s v="Louisiana Tech 23 at Rice 20"/>
        <s v="(22) Kansas State 13 at Oklahoma State 26"/>
        <s v="Bowling Green 0 at (10) Notre Dame 52"/>
        <s v="Ball State 27 at Northern Illinois 20"/>
        <s v="Virginia Tech 42 at Miami 35"/>
        <s v="Northwestern 10 at Nebraska 13"/>
        <s v="Tulsa 37 at SMU 43"/>
        <s v="California 7 at (13) Oregon 17"/>
        <s v="UTSA 26 at UTEP 16"/>
        <s v="Temple 27 at East Carolina 17"/>
        <s v="Utah State 6 at (6) LSU 42"/>
        <s v="TCU 24 at Iowa State 49"/>
        <s v="Western Kentucky 20 at Old Dominion 3"/>
        <s v="(23) Michigan State 10 at (5) Ohio State 34"/>
        <s v="Liberty 20 at New Mexico State 13"/>
        <s v="San Diego State 24 at Colorado State 10"/>
        <s v="Maryland 48 at Rutgers 7"/>
        <s v="Tulane 42 at Army 33"/>
        <s v="Ohio 21 at Buffalo 20"/>
        <s v="Marshall 13 at Middle Tennessee 24"/>
        <s v="Troy 10 at Missouri 42"/>
        <s v="Pittsburgh 33 at Duke 30"/>
        <s v="Oregon State 48 at UCLA 31"/>
        <s v="Georgia Southern 20 at South Alabama 17"/>
        <s v="Kent State 0 at (9) Wisconsin 48"/>
        <s v="(25) Oklahoma State 35 at Texas Tech 45"/>
        <s v="Boston College 39 at Louisville 41"/>
        <s v="Air Force 25 at Navy 34"/>
        <s v="Arizona 35 at Colorado 30"/>
        <s v="(15) Boise State 38 at UNLV 13"/>
        <s v="New Mexico 21 at San José State 32"/>
        <s v="Purdue 7 at (11) Penn State 35"/>
        <s v="(12) Texas 42 at West Virginia 31"/>
        <s v="Arkansas State 38 at Georgia State 52"/>
        <s v="North Carolina 38 at Georgia Tech 22"/>
        <s v="(3) Georgia 43 at Tennessee 14"/>
        <s v="(4) Oklahoma 45 at Kansas 20"/>
        <s v="Western Michigan 24 at Toledo 31"/>
        <s v="(23) Memphis 52 at UL Monroe 33"/>
        <s v="Rice 20 at UAB 35"/>
        <s v="(14) Iowa 3 at (18) Michigan 10"/>
        <s v="South Florida 48 at UConn 22"/>
        <s v="Baylor 31 at Kansas State 12"/>
        <s v="(19) UCF 24 at Cincinnati 27"/>
        <s v="(7) Auburn 13 at (8) Florida 24"/>
        <s v="UMass 0 at Florida Intl 44"/>
        <s v="(16) Washington 13 at Stanford 23"/>
        <s v="Illinois 17 at Minnesota 40"/>
        <s v="EMU 16 at Central Michigan 42"/>
        <s v="Ball State 29 at EMU 23"/>
        <s v="(1) Alabama 47 at (21) Texas A&amp;M 28"/>
        <s v="Rhode Island 17 at Virginia Tech 34"/>
        <s v="Georgia State 31 at Coastal Carolina 21"/>
        <s v="UAB 33 at UTSA 14"/>
        <s v="Fresno State 24 at Air Force 43"/>
        <s v="USC 27 at (10) Notre Dame 30"/>
        <s v="Nebraska 7 at (25) Minnesota 34"/>
        <s v="Navy 45 at Tulsa 17"/>
        <s v="Toledo 7 at Bowling Green 20"/>
        <s v="Old Dominion 17 at Marshall 31"/>
        <s v="New Mexico State 28 at Central Michigan 42"/>
        <s v="Florida State 14 at (2) Clemson 45"/>
        <s v="Michigan State 0 at (8) Wisconsin 38"/>
        <s v="Washington State 34 at (24) Arizona State 38"/>
        <s v="Iowa State 38 at West Virginia 14"/>
        <s v="(7) Florida 28 at (6) LSU 42"/>
        <s v="Wyoming 22 at San Diego State 26"/>
        <s v="Appalachian State 17 at UL Lafayette 7"/>
        <s v="Maryland 14 at Purdue 40"/>
        <s v="BYU 23 at South Florida 27"/>
        <s v="Northern Illinois 39 at Ohio 36"/>
        <s v="UConn 7 at Tulane 49"/>
        <s v="Ole Miss 27 at Missouri 38"/>
        <s v="Texas Tech 30 at (23) Baylor 33"/>
        <s v="Charlotte 23 at Florida Intl 48"/>
        <s v="Arkansas 20 at Kentucky 24"/>
        <s v="Hawaii 37 at (14) Boise State 59"/>
        <s v="Washington 51 at Arizona 27"/>
        <s v="Colorado State 35 at New Mexico 21"/>
        <s v="South Carolina 20 at (3) Georgia 17"/>
        <s v="Miami-OH 16 at Western Michigan 38"/>
        <s v="Cincinnati 38 at Houston 23"/>
        <s v="Middle Tennessee 13 at Florida Atlantic 28"/>
        <s v="UL Monroe 24 at Texas State 14"/>
        <s v="(19) Virginia 9 at Miami 17"/>
        <s v="Colorado 3 at (13) Oregon 45"/>
        <s v="(5) Oklahoma 34 at (11) Texas 27"/>
        <s v="Mississippi State 10 at Tennessee 20"/>
        <s v="San José State 38 at Nevada 41"/>
        <s v="(9) Penn State 17 at (18) Iowa 12"/>
        <s v="Georgia Tech 23 at Duke 41"/>
        <s v="UNLV 34 at Vanderbilt 10"/>
        <s v="Army 8 at Western Kentucky 17"/>
        <s v="Kent State 26 at Akron 3"/>
        <s v="Louisville 62 at (17) Wake Forest 59"/>
        <s v="(15) Utah 52 at Oregon State 7"/>
        <s v="Syracuse 10 at NC State 16"/>
        <s v="(16) Michigan 42 at Illinois 25"/>
        <s v="North Texas 27 at Southern Mississippi 45"/>
        <s v="(20) Memphis 28 at Temple 30"/>
        <s v="Rutgers 0 at Indiana 35"/>
        <s v="UMass 21 at Louisiana Tech 69"/>
        <s v="UNLV 27 at Fresno State 56"/>
        <s v="Toledo 14 at Ball State 52"/>
        <s v="Oregon State 21 at California 17"/>
        <s v="Coastal Carolina 27 at Georgia Southern 30"/>
        <s v="Tulsa 13 at (21) Cincinnati 24"/>
        <s v="North Carolina 41 at Virginia Tech 43"/>
        <s v="Rice 27 at UTSA 31"/>
        <s v="Tennessee 13 at (1) Alabama 35"/>
        <s v="(2) Clemson 45 at Louisville 10"/>
        <s v="Iowa State 34 at Texas Tech 24"/>
        <s v="Central Michigan 38 at Bowling Green 20"/>
        <s v="(3) LSU 36 at Mississippi State 13"/>
        <s v="Old Dominion 14 at UAB 38"/>
        <s v="East Carolina 28 at UCF 41"/>
        <s v="San Diego State 27 at San José State 17"/>
        <s v="Colorado 10 at Washington State 41"/>
        <s v="UL Lafayette 37 at Arkansas State 20"/>
        <s v="UCLA 34 at Stanford 16"/>
        <s v="Marshall 36 at Florida Atlantic 31"/>
        <s v="Pittsburgh 27 at Syracuse 20"/>
        <s v="Kent State 38 at Ohio 45"/>
        <s v="Indiana 34 at Maryland 28"/>
        <s v="Missouri 14 at Vanderbilt 21"/>
        <s v="Tulane 17 at Memphis 47"/>
        <s v="(13) Boise State 25 at BYU 28"/>
        <s v="Nevada 10 at Utah State 36"/>
        <s v="(6) Wisconsin 23 at Illinois 24"/>
        <s v="(11) Auburn 51 at Arkansas 10"/>
        <s v="NC State 24 at Boston College 45"/>
        <s v="Northern Illinois 24 at Miami-OH 27"/>
        <s v="South Florida 3 at Navy 35"/>
        <s v="Charlotte 14 at Western Kentucky 30"/>
        <s v="Arizona 14 at USC 41"/>
        <s v="West Virginia 14 at (5) Oklahoma 52"/>
        <s v="Purdue 20 at (22) Iowa 26"/>
        <s v="Houston 24 at UConn 17"/>
        <s v="New Mexico 10 at Wyoming 23"/>
        <s v="Middle Tennessee 30 at North Texas 33"/>
        <s v="Kentucky 0 at (10) Georgia 21"/>
        <s v="(17) Arizona State 3 at (14) Utah 21"/>
        <s v="(25) Temple 21 at (19) SMU 45"/>
        <s v="UL Monroe 7 at (24) Appalachian State 52"/>
        <s v="Duke 14 at Virginia 48"/>
        <s v="Western Michigan 27 at EMU 34"/>
        <s v="(16) Michigan 21 at (7) Penn State 28"/>
        <s v="(12) Oregon 35 at (23) Washington 31"/>
        <s v="Buffalo 21 at Akron 0"/>
        <s v="(18) Baylor 45 at Oklahoma State 27"/>
        <s v="(4) Ohio State 52 at Northwestern 3"/>
        <s v="(9) Florida 38 at South Carolina 27"/>
        <s v="Kansas 48 at (15) Texas 50"/>
        <s v="Army 21 at Georgia State 28"/>
        <s v="UTEP 17 at Florida Intl 32"/>
        <s v="Florida State 20 at Wake Forest 22"/>
        <s v="Air Force 56 at Hawaii 26"/>
        <s v="South Alabama 13 at Troy 37"/>
        <s v="TCU 17 at Kansas State 24"/>
        <s v="Texas A&amp;M 24 at Ole Miss 17"/>
        <s v="(20) Minnesota 42 at Rutgers 7"/>
        <s v="Southern Mississippi 30 at Louisiana Tech 45"/>
        <s v="Georgia Tech 28 at Miami 21"/>
        <s v="Ohio 34 at Ball State 21"/>
        <s v="Indiana 38 at Nebraska 31"/>
        <s v="Arkansas 7 at (1) Alabama 48"/>
        <s v="(25) Memphis 42 at Tulsa 41"/>
        <s v="(7) Notre Dame 14 at (20) Michigan 45"/>
        <s v="Colorado State 41 at Fresno State 31"/>
        <s v="California 0 at (12) Utah 35"/>
        <s v="Bowling Green 10 at Western Michigan 49"/>
        <s v="New Mexico State 7 at Georgia Southern 41"/>
        <s v="(10) Auburn 20 at (3) LSU 23"/>
        <s v="(6) Penn State 28 at Michigan State 7"/>
        <s v="Oklahoma State 34 at Iowa State 27"/>
        <s v="Florida Atlantic 41 at Old Dominion 3"/>
        <s v="South Florida 45 at East Carolina 20"/>
        <s v="Boston College 7 at (2) Clemson 59"/>
        <s v="Washington State 35 at (11) Oregon 37"/>
        <s v="San Diego State 20 at UNLV 17"/>
        <s v="Miami 16 at Pittsburgh 12"/>
        <s v="Western Kentucky 23 at Marshall 26"/>
        <s v="Maryland 10 at (16) Minnesota 52"/>
        <s v="Tulane 38 at Navy 41"/>
        <s v="(24) Arizona State 32 at UCLA 42"/>
        <s v="Missouri 7 at Kentucky 29"/>
        <s v="Utah State 7 at Air Force 31"/>
        <s v="(13) Wisconsin 7 at (4) Ohio State 38"/>
        <s v="North Texas 38 at Charlotte 39"/>
        <s v="Arizona 31 at Stanford 41"/>
        <s v="Akron 0 at Northern Illinois 49"/>
        <s v="Texas Tech 34 at Kansas 37"/>
        <s v="(17) SMU 34 at Houston 31"/>
        <s v="Illinois 24 at Purdue 6"/>
        <s v="Florida Intl 17 at Middle Tennessee 50"/>
        <s v="Miami-OH 23 at Kent State 16"/>
        <s v="Hawaii 45 at New Mexico 31"/>
        <s v="Duke 17 at North Carolina 20"/>
        <s v="Texas State 14 at Arkansas State 38"/>
        <s v="USC 35 at Colorado 31"/>
        <s v="(5) Oklahoma 41 at Kansas State 48"/>
        <s v="San José State 34 at Army 29"/>
        <s v="Mississippi State 30 at Texas A&amp;M 49"/>
        <s v="Virginia 21 at Louisville 28"/>
        <s v="(19) Iowa 20 at Northwestern 0"/>
        <s v="(22) Appalachian State 30 at South Alabama 3"/>
        <s v="Central Michigan 20 at Buffalo 43"/>
        <s v="South Carolina 21 at Tennessee 41"/>
        <s v="(15) Texas 27 at TCU 37"/>
        <s v="UCF 63 at Temple 21"/>
        <s v="Troy 33 at Georgia State 52"/>
        <s v="Syracuse 17 at Florida State 35"/>
        <s v="Southern Mississippi 20 at Rice 6"/>
        <s v="Nevada 3 at Wyoming 31"/>
        <s v="EMU 34 at Toledo 37"/>
        <s v="Louisiana Tech 42 at UTEP 21"/>
        <s v="UConn 56 at UMass 35"/>
        <s v="Nebraska 27 at Purdue 31"/>
        <s v="UTSA 14 at Texas A&amp;M 45"/>
        <s v="Virginia Tech 20 at (16) Notre Dame 21"/>
        <s v="Troy 35 at Coastal Carolina 36"/>
        <s v="Tulsa 26 at Tulane 38"/>
        <s v="Fresno State 41 at Hawaii 38"/>
        <s v="Old Dominion 17 at Florida Intl 24"/>
        <s v="Akron 6 at Bowling Green 35"/>
        <s v="Wofford 14 at (3) Clemson 59"/>
        <s v="(18) Cincinnati 46 at East Carolina 43"/>
        <s v="(15) Michigan 38 at Maryland 7"/>
        <s v="Marshall 20 at Rice 7"/>
        <s v="Pittsburgh 20 at Georgia Tech 10"/>
        <s v="Texas State 3 at UL Lafayette 31"/>
        <s v="Colorado 14 at UCLA 31"/>
        <s v="BYU 42 at Utah State 14"/>
        <s v="Georgia Southern 24 at (20) Appalachian State 21"/>
        <s v="Navy 56 at UConn 10"/>
        <s v="Northern Illinois 10 at Central Michigan 48"/>
        <s v="Boston College 58 at Syracuse 27"/>
        <s v="Middle Tennessee 20 at Charlotte 34"/>
        <s v="Mississippi State 54 at Arkansas 24"/>
        <s v="Oregon State 56 at Arizona 38"/>
        <s v="(21) Boise State 52 at San José State 42"/>
        <s v="West Virginia 14 at (11) Baylor 17"/>
        <s v="Houston 29 at UCF 44"/>
        <s v="(7) Georgia 24 at (6) Florida 17"/>
        <s v="Arkansas State 48 at UL Monroe 41"/>
        <s v="Virginia 38 at North Carolina 31"/>
        <s v="New Mexico 10 at Nevada 21"/>
        <s v="UAB 7 at Tennessee 30"/>
        <s v="(14) SMU 48 at (23) Memphis 54"/>
        <s v="Buffalo 43 at EMU 14"/>
        <s v="UNLV 17 at Colorado State 37"/>
        <s v="Florida Atlantic 35 at Western Kentucky 24"/>
        <s v="(8) Oregon 56 at USC 24"/>
        <s v="NC State 10 at (22) Wake Forest 44"/>
        <s v="Army 13 at Air Force 17"/>
        <s v="Northwestern 3 at Indiana 34"/>
        <s v="UTEP 26 at North Texas 52"/>
        <s v="TCU 27 at Oklahoma State 34"/>
        <s v="(10) Utah 33 at Washington 28"/>
        <s v="(25) Kansas State 38 at Kansas 10"/>
        <s v="Miami 27 at Florida State 10"/>
        <s v="Vanderbilt 7 at South Carolina 24"/>
        <s v="Ole Miss 14 at (12) Auburn 20"/>
        <s v="Ball State 31 at Western Michigan 35"/>
        <s v="UL Lafayette 48 at Coastal Carolina 7"/>
        <s v="UCF 31 at Tulsa 34"/>
        <s v="UTSA 24 at Old Dominion 23"/>
        <s v="(2) LSU 46 at (1) Alabama 41"/>
        <s v="(20) Wake Forest 17 at Virginia Tech 36"/>
        <s v="Washington State 20 at California 33"/>
        <s v="Utah State 37 at Fresno State 35"/>
        <s v="(15) Notre Dame 38 at Duke 7"/>
        <s v="East Carolina 51 at (23) SMU 59"/>
        <s v="Illinois 37 at Michigan State 34"/>
        <s v="New Mexico State 3 at Ole Miss 41"/>
        <s v="(3) Clemson 55 at NC State 10"/>
        <s v="Iowa State 41 at (8) Oklahoma 42"/>
        <s v="Nevada 17 at (24) San Diego State 13"/>
        <s v="Miami-OH 24 at Ohio 21"/>
        <s v="Maryland 14 at (4) Ohio State 73"/>
        <s v="Missouri 0 at (6) Georgia 27"/>
        <s v="Liberty 24 at BYU 31"/>
        <s v="Western Kentucky 45 at Arkansas 19"/>
        <s v="Texas Tech 38 at West Virginia 17"/>
        <s v="Florida State 38 at Boston College 31"/>
        <s v="Charlotte 28 at UTEP 21"/>
        <s v="Georgia Southern 28 at Troy 49"/>
        <s v="(18) Iowa 22 at (16) Wisconsin 24"/>
        <s v="Wyoming 17 at (21) Boise State 20"/>
        <s v="Purdue 24 at Northwestern 22"/>
        <s v="USC 31 at Arizona State 26"/>
        <s v="(5) Penn State 26 at (13) Minnesota 31"/>
        <s v="Georgia Tech 28 at Virginia 33"/>
        <s v="Stanford 13 at Colorado 16"/>
        <s v="UAB 2 at Southern Mississippi 37"/>
        <s v="Georgia State 31 at UL Monroe 45"/>
        <s v="San José State 40 at Hawaii 42"/>
        <s v="Temple 17 at South Florida 7"/>
        <s v="(10) Baylor 29 at TCU 23"/>
        <s v="Appalachian State 20 at South Carolina 15"/>
        <s v="Tennessee 17 at Kentucky 13"/>
        <s v="Washington 19 at Oregon State 7"/>
        <s v="Vanderbilt 0 at (11) Florida 56"/>
        <s v="(22) Kansas State 24 at Texas 27"/>
        <s v="Florida Intl 7 at Florida Atlantic 37"/>
        <s v="Kent State 33 at Toledo 35"/>
        <s v="South Alabama 28 at Texas State 30"/>
        <s v="UConn 3 at (17) Cincinnati 48"/>
        <s v="North Texas 17 at Louisiana Tech 52"/>
        <s v="UMass 7 at Army 63"/>
        <s v="Louisville 27 at Miami 52"/>
        <s v="Fresno State 7 at San Diego State 17"/>
        <s v="(4) Alabama 38 at Mississippi State 7"/>
        <s v="(15) Wisconsin 37 at Nebraska 21"/>
        <s v="(21) Navy 20 at (16) Notre Dame 52"/>
        <s v="Coastal Carolina 27 at Arkansas State 28"/>
        <s v="Central Michigan 45 at Ball State 44"/>
        <s v="Virginia Tech 45 at Georgia Tech 0"/>
        <s v="Southern Mississippi 36 at UTSA 17"/>
        <s v="USC 41 at California 17"/>
        <s v="Bowling Green 3 at Miami-OH 44"/>
        <s v="Michigan State 10 at (14) Michigan 44"/>
        <s v="Wake Forest 3 at (3) Clemson 52"/>
        <s v="(23) Texas 21 at Iowa State 23"/>
        <s v="Incarnate Word 28 at New Mexico State 41"/>
        <s v="Stanford 22 at Washington State 49"/>
        <s v="(1) LSU 58 at Ole Miss 37"/>
        <s v="Western Michigan 37 at Ohio 34"/>
        <s v="North Carolina 27 at Pittsburgh 34"/>
        <s v="Louisiana Tech 10 at Marshall 31"/>
        <s v="(12) Florida 23 at Missouri 6"/>
        <s v="Tulane 21 at Temple 29"/>
        <s v="Idaho State 10 at BYU 42"/>
        <s v="Wyoming 21 at Utah State 26"/>
        <s v="UL Lafayette 37 at South Alabama 27"/>
        <s v="UCLA 3 at (9) Utah 49"/>
        <s v="Northern Illinois 31 at Toledo 28"/>
        <s v="TCU 33 at Texas Tech 31"/>
        <s v="UL Monroe 29 at Georgia Southern 51"/>
        <s v="New Mexico 9 at (19) Boise State 42"/>
        <s v="Arizona 6 at (6) Oregon 34"/>
        <s v="(5) Georgia 21 at (13) Auburn 14"/>
        <s v="(18) Memphis 45 at Houston 27"/>
        <s v="West Virginia 24 at Kansas State 20"/>
        <s v="Rice 31 at Middle Tennessee 28"/>
        <s v="Arizona State 34 at Oregon State 35"/>
        <s v="(25) Indiana 27 at (11) Penn State 34"/>
        <s v="UTEP 10 at UAB 37"/>
        <s v="(8) Oklahoma 34 at (10) Baylor 31"/>
        <s v="Buffalo 27 at Kent State 30"/>
        <s v="(7) Minnesota 19 at (22) Iowa 23"/>
        <s v="Syracuse 49 at Duke 6"/>
        <s v="Hawaii 21 at UNLV 7"/>
        <s v="(17) Cincinnati 20 at South Florida 17"/>
        <s v="(24) Appalachian State 56 at Georgia State 27"/>
        <s v="EMU 42 at Akron 14"/>
        <s v="UMass 6 at Northwestern 45"/>
        <s v="Air Force 38 at Colorado State 21"/>
        <s v="South Carolina 6 at Texas A&amp;M 30"/>
        <s v="Kansas 13 at Oklahoma State 31"/>
        <s v="VMI 6 at Army 47"/>
        <s v="Alabama State 12 at Florida State 49"/>
        <s v="Kentucky 38 at Vanderbilt 14"/>
        <s v="Troy 63 at Texas State 27"/>
        <s v="(2) Ohio State 56 at Rutgers 21"/>
        <s v="Louisville 34 at NC State 20"/>
        <s v="Western Carolina 3 at (5) Alabama 66"/>
        <s v="Ball State 38 at Kent State 41"/>
        <s v="Boston College 7 at (15) Notre Dame 40"/>
        <s v="Pittsburgh 0 at Virginia Tech 28"/>
        <s v="Nebraska 54 at Maryland 7"/>
        <s v="California 24 at Stanford 20"/>
        <s v="Coastal Carolina 42 at UL Monroe 45"/>
        <s v="Florida Atlantic 40 at UTSA 26"/>
        <s v="Houston 24 at Tulsa 14"/>
        <s v="Nevada 35 at Fresno State 28"/>
        <s v="Ohio 66 at Bowling Green 24"/>
        <s v="Kansas 31 at Iowa State 41"/>
        <s v="East Carolina 31 at UConn 24"/>
        <s v="Michigan State 27 at Rutgers 0"/>
        <s v="UTEP 35 at New Mexico State 44"/>
        <s v="Old Dominion 17 at Middle Tennessee 38"/>
        <s v="Arkansas 20 at (1) LSU 56"/>
        <s v="Oregon State 53 at Washington State 54"/>
        <s v="(25) San Diego State 11 at Hawaii 14"/>
        <s v="BYU 56 at UMass 24"/>
        <s v="UCF 34 at Tulane 31"/>
        <s v="UCLA 35 at USC 52"/>
        <s v="Marshall 13 at Charlotte 24"/>
        <s v="Troy 3 at UL Lafayette 53"/>
        <s v="Tennessee 24 at Missouri 20"/>
        <s v="(19) Boise State 56 at Utah State 21"/>
        <s v="EMU 45 at Northern Illinois 17"/>
        <s v="Georgia Southern 33 at Arkansas State 38"/>
        <s v="(21) SMU 28 at Navy 35"/>
        <s v="Purdue 24 at (14) Wisconsin 45"/>
        <s v="Kansas State 30 at Texas Tech 27"/>
        <s v="(8) Utah 35 at Arizona 7"/>
        <s v="Akron 17 at Miami-OH 20"/>
        <s v="(23) Oklahoma State 20 at West Virginia 13"/>
        <s v="Air Force 44 at New Mexico 22"/>
        <s v="(24) Texas A&amp;M 13 at (4) Georgia 19"/>
        <s v="Mercer 7 at North Carolina 56"/>
        <s v="(6) Oregon 28 at Arizona State 31"/>
        <s v="(9) Penn State 17 at (2) Ohio State 28"/>
        <s v="Liberty 27 at Virginia 55"/>
        <s v="Louisiana Tech 14 at UAB 20"/>
        <s v="San José State 35 at UNLV 38"/>
        <s v="Abilene Christian 7 at Mississippi State 45"/>
        <s v="TCU 24 at (7) Oklahoma 28"/>
        <s v="Washington 14 at Colorado 20"/>
        <s v="Toledo 30 at Buffalo 49"/>
        <s v="Illinois 10 at (20) Iowa 19"/>
        <s v="Texas State 13 at (22) Appalachian State 35"/>
        <s v="Texas 10 at (13) Baylor 24"/>
        <s v="Western Kentucky 28 at Southern Mississippi 10"/>
        <s v="(18) Memphis 49 at South Florida 10"/>
        <s v="Duke 27 at Wake Forest 39"/>
        <s v="(11) Minnesota 38 at Northwestern 22"/>
        <s v="South Alabama 15 at Georgia State 28"/>
        <s v="Miami 24 at Florida Intl 30"/>
        <s v="(12) Michigan 39 at Indiana 14"/>
        <s v="North Texas 14 at Rice 20"/>
        <s v="Syracuse 34 at Louisville 56"/>
        <s v="Temple 13 at (17) Cincinnati 15"/>
        <s v="UT Martin 7 at Kentucky 50"/>
        <s v="Colorado State 7 at Wyoming 17"/>
        <s v="NC State 26 at Georgia Tech 28"/>
        <s v="Samford 0 at (16) Auburn 52"/>
        <s v="(23) Virginia Tech 30 at Virginia 39"/>
        <s v="Miami-OH 27 at Ball State 41"/>
        <s v="(20) Iowa 27 at Nebraska 24"/>
        <s v="Texas State 21 at Coastal Carolina 24"/>
        <s v="Tulsa 49 at East Carolina 24"/>
        <s v="(5) Alabama 45 at (16) Auburn 48"/>
        <s v="UTSA 27 at Louisiana Tech 41"/>
        <s v="(15) Notre Dame 45 at Stanford 24"/>
        <s v="California 28 at UCLA 18"/>
        <s v="Fresno State 16 at San José State 17"/>
        <s v="Bowling Green 7 at Buffalo 49"/>
        <s v="Washington State 13 at Washington 31"/>
        <s v="(3) Clemson 38 at South Carolina 3"/>
        <s v="Charlotte 38 at Old Dominion 22"/>
        <s v="New Mexico State 28 at Liberty 49"/>
        <s v="Maryland 16 at Michigan State 19"/>
        <s v="Texas A&amp;M 7 at (1) LSU 50"/>
        <s v="Iowa State 17 at Kansas State 27"/>
        <s v="BYU 3 at San Diego State 13"/>
        <s v="Ohio 52 at Akron 3"/>
        <s v="Missouri 24 at Arkansas 14"/>
        <s v="Florida Intl 27 at Marshall 30"/>
        <s v="Boston College 26 at Pittsburgh 19"/>
        <s v="Utah State 38 at New Mexico 25"/>
        <s v="Tulane 20 at SMU 37"/>
        <s v="UL Monroe 30 at UL Lafayette 31"/>
        <s v="Western Michigan 14 at Northern Illinois 17"/>
        <s v="Texas Tech 24 at Texas 49"/>
        <s v="(19) Boise State 31 at Colorado State 24"/>
        <s v="(14) Wisconsin 38 at (9) Minnesota 17"/>
        <s v="Georgia State 10 at Georgia Southern 38"/>
        <s v="(24) Navy 56 at Houston 41"/>
        <s v="Arizona 14 at Arizona State 24"/>
        <s v="West Virginia 20 at TCU 17"/>
        <s v="Arkansas State 30 at South Alabama 34"/>
        <s v="(4) Georgia 52 at Georgia Tech 7"/>
        <s v="Indiana 44 at Purdue 41"/>
        <s v="Middle Tennessee 26 at Western Kentucky 31"/>
        <s v="North Carolina 41 at NC State 10"/>
        <s v="Ole Miss 20 at Mississippi State 21"/>
        <s v="Rutgers 6 at (12) Penn State 27"/>
        <s v="UAB 26 at North Texas 21"/>
        <s v="Colorado 15 at (6) Utah 45"/>
        <s v="(7) Oklahoma 34 at (21) Oklahoma State 16"/>
        <s v="(22) Appalachian State 48 at Troy 13"/>
        <s v="South Florida 7 at UCF 34"/>
        <s v="UNLV 33 at Nevada 30"/>
        <s v="(10) Baylor 61 at Kansas 6"/>
        <s v="Miami 17 at Duke 27"/>
        <s v="Oregon State 10 at (13) Oregon 24"/>
        <s v="Vanderbilt 10 at Tennessee 28"/>
        <s v="Northwestern 29 at Illinois 10"/>
        <s v="Wake Forest 30 at Syracuse 39"/>
        <s v="Wyoming 6 at Air Force 20"/>
        <s v="Florida State 17 at (8) Florida 40"/>
        <s v="Kent State 34 at EMU 26"/>
        <s v="(17) Cincinnati 24 at (18) Memphis 34"/>
        <s v="(2) Ohio State 56 at (11) Michigan 27"/>
        <s v="Army 31 at Hawaii 52"/>
        <s v="Toledo 7 at Central Michigan 49"/>
        <s v="Louisville 13 at Kentucky 45"/>
        <s v="UConn 17 at Temple 49"/>
        <s v="Southern Mississippi 17 at Florida Atlantic 34"/>
        <m/>
      </sharedItems>
    </cacheField>
    <cacheField name="Time Left/Start" numFmtId="0">
      <sharedItems containsBlank="1">
        <s v="FRI, AUG 30 7:00 PM ET"/>
        <s v="SAT, AUG 31 12:00 PM ET"/>
        <s v="SAT, AUG 31 3:30 PM ET"/>
        <s v="SAT, AUG 31 4:00 PM ET"/>
        <s v="SAT, AUG 31 6:00 PM ET"/>
        <s v="SAT, AUG 31 6:30 PM ET"/>
        <s v="SAT, AUG 31 10:30 PM ET"/>
        <s v="MON, SEP 2 8:00 PM ET"/>
        <s v="THU, AUG 29 7:00 PM ET"/>
        <s v="THU, AUG 29 8:00 PM ET"/>
        <s v="SAT, AUG 31 7:00 PM ET"/>
        <s v="SAT, AUG 31 7:30 PM ET"/>
        <s v="SAT, AUG 31 9:00 PM ET"/>
        <s v="SAT, AUG 31 10:00 PM ET"/>
        <s v="THU, AUG 29 10:15 PM ET"/>
        <s v="FRI, AUG 30 8:00 PM ET"/>
        <s v="SAT, AUG 31 2:00 PM ET"/>
        <s v="FINAL"/>
        <s v="THU, AUG 29 7:30 PM ET"/>
        <s v="THU, AUG 29 10:00 PM ET"/>
        <s v="FRI, AUG 30 9:30 PM ET"/>
        <s v="SUN, SEP 1 7:30 PM ET"/>
        <s v="FRI, AUG 30 10:00 PM ET"/>
        <s v="SAT, AUG 31 8:00 PM ET"/>
        <s v="FRI, AUG 30 10:30 PM ET"/>
        <s v="THU, AUG 29 8:30 PM ET"/>
        <s v="SAT, AUG 31 3:00 PM ET"/>
        <s v="THU, AUG 29 9:00 PM ET"/>
        <s v="FRI, AUG 30 6:00 PM ET"/>
        <s v="FINAL - 3RD OT"/>
        <s v="FINAL - 2ND OT"/>
        <m/>
        <s v="FINAL - OT"/>
        <s v="FINAL - 6TH OT"/>
      </sharedItems>
    </cacheField>
    <cacheField name="Line">
      <sharedItems containsBlank="1" containsMixedTypes="1" containsNumber="1" containsInteger="1">
        <s v="22½"/>
        <n v="-36.0"/>
        <n v="17.0"/>
        <s v="-34½"/>
        <s v="5½"/>
        <s v="-3½"/>
        <s v="No Line"/>
        <s v="13½"/>
        <s v="-20½"/>
        <s v="-21½"/>
        <s v="-22½"/>
        <s v="16½"/>
        <n v="-28.0"/>
        <n v="-32.0"/>
        <n v="32.0"/>
        <n v="3.0"/>
        <n v="-2.0"/>
        <n v="5.0"/>
        <s v="3½"/>
        <n v="21.0"/>
        <s v="-17½"/>
        <s v="2½"/>
        <s v="-10½"/>
        <s v="-32½"/>
        <s v="-13½"/>
        <n v="28.0"/>
        <n v="-25.0"/>
        <n v="-10.0"/>
        <n v="8.0"/>
        <s v="-2½"/>
        <n v="-21.0"/>
        <s v="33½"/>
        <s v="21½"/>
        <s v="24½"/>
        <s v="-42½"/>
        <n v="-13.0"/>
        <s v="-24½"/>
        <s v="-46½"/>
        <s v="-9½"/>
        <s v="34½"/>
        <n v="-26.0"/>
        <n v="-7.0"/>
        <s v="-45½"/>
        <n v="2.0"/>
        <s v="15½"/>
        <n v="26.0"/>
        <s v="6½"/>
        <s v="10½"/>
        <n v="-3.0"/>
        <s v="-33½"/>
        <n v="25.0"/>
        <n v="36.0"/>
        <s v="-12½"/>
        <s v="-23½"/>
        <n v="10.0"/>
        <n v="12.0"/>
        <n v="-12.0"/>
        <s v="-5½"/>
        <n v="7.0"/>
        <n v="-5.0"/>
        <n v="13.0"/>
        <s v="-15½"/>
        <n v="-17.0"/>
        <n v="-6.0"/>
        <n v="-8.0"/>
        <s v="20½"/>
        <s v="-11½"/>
        <s v="-27½"/>
        <s v="27½"/>
        <s v="-16½"/>
        <s v="-6½"/>
        <s v="17½"/>
        <n v="-35.0"/>
        <s v="-18½"/>
        <n v="-27.0"/>
        <s v="-7½"/>
        <s v="-29½"/>
        <s v="-40½"/>
        <s v="-28½"/>
        <s v="9½"/>
        <n v="-9.0"/>
        <n v="-40.0"/>
        <s v="-25½"/>
        <s v="-48½"/>
        <s v="-8½"/>
        <n v="35.0"/>
        <n v="-38.0"/>
        <n v="-24.0"/>
        <n v="-4.0"/>
        <s v="-47½"/>
        <n v="15.0"/>
        <n v="-14.0"/>
        <s v="-4½"/>
        <s v="11½"/>
        <n v="4.0"/>
        <n v="-15.0"/>
        <s v="-35½"/>
        <s v="25½"/>
        <s v="7½"/>
        <s v="bye"/>
        <s v="-55½"/>
        <s v="28½"/>
        <s v="23½"/>
        <s v="55½"/>
        <n v="14.0"/>
        <s v="1½"/>
        <n v="6.0"/>
        <s v="29½"/>
        <n v="-20.0"/>
        <s v="-1½"/>
        <n v="9.0"/>
        <n v="-19.0"/>
        <n v="16.0"/>
        <n v="24.0"/>
        <n v="-1.0"/>
        <n v="1.0"/>
        <n v="-16.0"/>
        <n v="-51.0"/>
        <s v="4½"/>
        <n v="-29.0"/>
        <n v="-34.0"/>
        <n v="23.0"/>
        <n v="-47.0"/>
        <s v="-19½"/>
        <s v="-31½"/>
        <n v="-23.0"/>
        <s v="-36½"/>
        <s v="18½"/>
        <s v="-43½"/>
        <n v="19.0"/>
        <s v="-38½"/>
        <n v="-41.0"/>
        <n v="-18.0"/>
        <n v="18.0"/>
        <n v="27.0"/>
        <s v="12½"/>
        <n v="-44.0"/>
        <s v="-26½"/>
        <n v="44.0"/>
        <s v="45½"/>
        <n v="20.0"/>
        <n v="11.0"/>
        <n v="-33.0"/>
        <n v="-11.0"/>
        <s v="36½"/>
        <n v="33.0"/>
        <s v="PK"/>
        <s v="-24½ E"/>
        <n v="-31.0"/>
        <s v="19½"/>
        <s v="14½"/>
        <s v="-14½"/>
        <s v="-3½ +0"/>
        <s v="3½ +0"/>
        <s v="8½"/>
        <s v="38½"/>
        <n v="-22.0"/>
        <n v="22.0"/>
        <s v="42½"/>
        <m/>
        <s v="26½"/>
        <n v="-39.0"/>
        <s v="32½"/>
        <s v="-39½"/>
        <n v="-30.0"/>
        <s v="7 E"/>
        <n v="31.0"/>
        <n v="30.0"/>
        <n v="29.0"/>
      </sharedItems>
    </cacheField>
    <cacheField name="Over/Under">
      <sharedItems containsBlank="1" containsMixedTypes="1" containsNumber="1" containsInteger="1">
        <s v="47½"/>
        <s v="64½"/>
        <n v="59.0"/>
        <n v="58.0"/>
        <n v="55.0"/>
        <n v="57.0"/>
        <m/>
        <s v="52½"/>
        <s v="49½"/>
        <s v="59½"/>
        <s v="53½"/>
        <s v="60½"/>
        <n v="48.0"/>
        <s v="63½"/>
        <s v="57½"/>
        <s v="54½"/>
        <n v="46.0"/>
        <s v="71½"/>
        <n v="62.0"/>
        <s v="58½"/>
        <n v="63.0"/>
        <n v="54.0"/>
        <n v="49.0"/>
        <n v="83.0"/>
        <s v="51½"/>
        <s v="65½"/>
        <n v="56.0"/>
        <s v="46½"/>
        <n v="64.0"/>
        <s v="73½"/>
        <n v="47.0"/>
        <n v="66.0"/>
        <s v="56½"/>
        <s v="50½"/>
        <n v="68.0"/>
        <s v="70½"/>
        <s v="45½"/>
        <n v="60.0"/>
        <n v="50.0"/>
        <s v="41½"/>
        <s v="55½"/>
        <n v="53.0"/>
        <s v="36½"/>
        <s v="66½"/>
        <s v="bye"/>
        <s v="42½"/>
        <s v="62½"/>
        <s v="48½"/>
        <s v="43½"/>
        <s v="67½"/>
        <s v="44½"/>
        <n v="65.0"/>
        <n v="73.0"/>
        <n v="61.0"/>
        <s v="78½"/>
        <n v="45.0"/>
        <s v="75½"/>
        <s v=" No Line"/>
        <n v="42.0"/>
        <n v="52.0"/>
        <n v="67.0"/>
        <n v="75.0"/>
        <n v="69.0"/>
        <s v="76½"/>
        <n v="51.0"/>
        <s v="69½"/>
        <n v="76.0"/>
        <s v="61½"/>
        <n v="70.0"/>
        <n v="41.0"/>
        <n v="44.0"/>
        <n v="71.0"/>
        <s v="72½"/>
        <s v="68½"/>
        <n v="43.0"/>
        <s v="40½"/>
        <s v="38½"/>
        <s v="37½"/>
        <n v="38.0"/>
        <s v="74½"/>
        <n v="77.0"/>
        <n v="40.0"/>
      </sharedItems>
    </cacheField>
    <cacheField name="Opponent" numFmtId="0">
      <sharedItems containsBlank="1">
        <s v="Nick A."/>
        <s v="Vu"/>
        <s v="Brad"/>
        <s v="Justin"/>
        <s v="Janice/Mike"/>
        <s v="Undrafted"/>
        <s v="Josh R."/>
        <s v="DavEmily"/>
        <s v="Nick G."/>
        <s v="Adam"/>
        <s v="Jeannine"/>
        <s v="Gary"/>
        <s v="Nico"/>
        <m/>
      </sharedItems>
    </cacheField>
    <cacheField name="Sort">
      <sharedItems containsBlank="1" containsMixedTypes="1" containsNumber="1" containsInteger="1">
        <n v="9999.0"/>
        <s v="FINAL"/>
        <s v="FINAL - 3RD OT"/>
        <s v="FINAL - OT"/>
        <s v="FINAL - 2ND OT"/>
        <s v="FINAL - 6TH OT"/>
        <m/>
      </sharedItems>
    </cacheField>
    <cacheField name="Week" numFmtId="0">
      <sharedItems containsString="0" containsBlank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31" sheet="Draft Evaluation Work"/>
  </cacheSource>
  <cacheFields>
    <cacheField name="Initial" numFmtId="0">
      <sharedItems>
        <s v="UCF"/>
        <s v="TEM"/>
        <s v="CIN"/>
        <s v="USF"/>
        <s v="ECU"/>
        <s v="UCONN"/>
        <s v="NAVY"/>
        <s v="HOU"/>
        <s v="TULN"/>
        <s v="SMU"/>
        <s v="MEM"/>
        <s v="TLSA"/>
        <s v="BC"/>
        <s v="SYR"/>
        <s v="CLEM"/>
        <s v="NCST"/>
        <s v="LOU"/>
        <s v="WAKE"/>
        <s v="FSU"/>
        <s v="VT"/>
        <s v="PITT"/>
        <s v="DUKE"/>
        <s v="Miami"/>
        <s v="UVA"/>
        <s v="UNC"/>
        <s v="GT"/>
        <s v="OKLA"/>
        <s v="OKST"/>
        <s v="WVU"/>
        <s v="BAY"/>
        <s v="KU"/>
        <s v="KSU"/>
        <s v="TCU"/>
        <s v="TEX"/>
        <s v="TTU"/>
        <s v="ISU"/>
        <s v="PSU"/>
        <s v="OSU"/>
        <s v="IND"/>
        <s v="MD"/>
        <s v="MICH"/>
        <s v="MSU"/>
        <s v="RUTG"/>
        <s v="NW"/>
        <s v="IOWA"/>
        <s v="MINN"/>
        <s v="WIS"/>
        <s v="NEB"/>
        <s v="ILL"/>
        <s v="PUR"/>
        <s v="CHAR"/>
        <s v="FIU"/>
        <s v="MRSH"/>
        <s v="FAU"/>
        <s v="MTSU"/>
        <s v="WYO"/>
        <s v="ODU"/>
        <s v="UNT"/>
        <s v="LT"/>
        <s v="UAB"/>
        <s v="USM"/>
        <s v="RICE"/>
        <s v="UTEP"/>
        <s v="UTSA"/>
        <s v="ND"/>
        <s v="ARMY"/>
        <s v="BYU"/>
        <s v="LIB"/>
        <s v="UMASS"/>
        <s v="NMSU"/>
        <s v="BUFF"/>
        <s v="AKRON"/>
        <s v="OHIO"/>
        <s v="KENT"/>
        <s v="BGSU"/>
        <s v="M-OH"/>
        <s v="NIU"/>
        <s v="AFA"/>
        <s v="BALL"/>
        <s v="WMU"/>
        <s v="EMU"/>
        <s v="CMU"/>
        <s v="BSU"/>
        <s v="USU"/>
        <s v="UNLV"/>
        <s v="UCLA"/>
        <s v="WKU"/>
        <s v="TOL"/>
        <s v="HAW"/>
        <s v="FRES"/>
        <s v="UNM"/>
        <s v="CSU"/>
        <s v="SDSU"/>
        <s v="SJSU"/>
        <s v="STAN"/>
        <s v="WASH"/>
        <s v="CAL"/>
        <s v="ORE"/>
        <s v="ORST"/>
        <s v="WSU"/>
        <s v="USC"/>
        <s v="COLO"/>
        <s v="ASU"/>
        <s v="ARIZ"/>
        <s v="NEV"/>
        <s v="UTAH"/>
        <s v="UGA"/>
        <s v="UK"/>
        <s v="MIZ"/>
        <s v="TENN"/>
        <s v="VAN"/>
        <s v="FLA"/>
        <s v="SC"/>
        <s v="ALA"/>
        <s v="LSU"/>
        <s v="MSST"/>
        <s v="TA&amp;M"/>
        <s v="ARK"/>
        <s v="AUB"/>
        <s v="MISS"/>
        <s v="CCU"/>
        <s v="GASO"/>
        <s v="TROY"/>
        <s v="APP"/>
        <s v="GAST"/>
        <s v="USA"/>
        <s v="ARKST"/>
        <s v="ULM"/>
        <s v="ULL"/>
        <s v="TXST"/>
      </sharedItems>
    </cacheField>
    <cacheField name="Mascott" numFmtId="0">
      <sharedItems containsBlank="1">
        <s v="Knights"/>
        <s v="Owls"/>
        <s v="Bearcats"/>
        <s v="Bulls"/>
        <s v="Pirates"/>
        <s v="Huskies"/>
        <s v="Midshipmen"/>
        <s v="Cougars"/>
        <s v="Green Wave"/>
        <s v="Mustangs"/>
        <s v="Tigers"/>
        <s v="Golden Hurricane"/>
        <s v="Eagles"/>
        <s v="Orange"/>
        <s v="wolfpack"/>
        <s v="Cardinals"/>
        <s v="Demon Deacons"/>
        <s v="Seminoles"/>
        <s v="Hokies"/>
        <s v="Panthers"/>
        <s v="Blue Devils"/>
        <s v="Hurricanes"/>
        <s v="Cavaliers"/>
        <s v="Tar heels"/>
        <s v="Yellow Jackets"/>
        <s v="Sooners"/>
        <s v="Cowboys"/>
        <s v="Mountaineers"/>
        <s v="Bears"/>
        <s v="Jayhawks"/>
        <s v="Wildcats"/>
        <s v="Horned Frogs"/>
        <s v="Longhorns"/>
        <s v="Red Raiders"/>
        <s v="Cyclones"/>
        <s v="Nittany Lions"/>
        <s v="Buckeyes"/>
        <s v="Hoosiers"/>
        <s v="Terrapins"/>
        <s v="Wolverines"/>
        <s v="Spartans"/>
        <s v="Scarlet Knights"/>
        <s v="Hawkeyes"/>
        <s v="Golden Gophers"/>
        <s v="Badgers"/>
        <s v="Cornhuskers"/>
        <s v="Fighting Illini"/>
        <s v="Boilermakers"/>
        <m/>
        <s v="Golden Panthers"/>
        <s v="Thundering Herd"/>
        <s v="Blue Raiders"/>
        <s v="Monarchs"/>
        <s v="Mean Green"/>
        <s v="Bulldogs"/>
        <s v="Blazers"/>
        <s v="Golden Eagles"/>
        <s v="Miners"/>
        <s v="Roadrunners"/>
        <s v="Fighting Irish"/>
        <s v="Flames"/>
        <s v="Minutemen"/>
        <s v="Aggies"/>
        <s v="Zips"/>
        <s v="Bobcats"/>
        <s v="Golden Flashes"/>
        <s v="Falcons"/>
        <s v="RedHawks"/>
        <s v="Broncos"/>
        <s v="Chippewas"/>
        <s v="Rebels"/>
        <s v="Bruins"/>
        <s v="Hilltoppers"/>
        <s v="Rockets"/>
        <s v="Rainbow Warriors"/>
        <s v="Lobos"/>
        <s v="Rams"/>
        <s v="Aztecs"/>
        <s v="Cardinal"/>
        <s v="Golden Bears"/>
        <s v="Ducks"/>
        <s v="Beavers"/>
        <s v="Trojans"/>
        <s v="Buffaloes"/>
        <s v="Sun Devils"/>
        <s v="Wolf Pack"/>
        <s v="Utes"/>
        <s v="Volunteers"/>
        <s v="Commodores"/>
        <s v="Gators"/>
        <s v="Gamecocks"/>
        <s v="Crimson Tide"/>
        <s v="Razorbacks"/>
        <s v="Chanticleers"/>
        <s v="Jaguars"/>
        <s v="Red Wolves"/>
        <s v="Warhawks"/>
        <s v="Ragin' Cajuns"/>
      </sharedItems>
    </cacheField>
    <cacheField name="Alt Team" numFmtId="0">
      <sharedItems containsBlank="1">
        <m/>
        <s v="Miami (OH)"/>
        <s v="Eastern Michigan"/>
        <s v="Hawai'i"/>
        <s v="San Jose State"/>
        <s v="Louisiana"/>
      </sharedItems>
    </cacheField>
    <cacheField name="Team" numFmtId="0">
      <sharedItems>
        <s v="UCF"/>
        <s v="Temple"/>
        <s v="Cincinnati"/>
        <s v="South Florida"/>
        <s v="East Carolina"/>
        <s v="UConn"/>
        <s v="Navy"/>
        <s v="Houston"/>
        <s v="Tulane"/>
        <s v="SMU"/>
        <s v="Memphis"/>
        <s v="Tulsa"/>
        <s v="Boston College"/>
        <s v="Syracuse"/>
        <s v="Clemson"/>
        <s v="NC State"/>
        <s v="Louisville"/>
        <s v="Wake Forest"/>
        <s v="Florida State"/>
        <s v="Virginia Tech"/>
        <s v="Pittsburgh"/>
        <s v="Duke"/>
        <s v="Miami"/>
        <s v="Virginia"/>
        <s v="North Carolina"/>
        <s v="Georgia Tech"/>
        <s v="Oklahoma"/>
        <s v="Oklahoma State"/>
        <s v="West Virginia"/>
        <s v="Baylor"/>
        <s v="Kansas"/>
        <s v="Kansas State"/>
        <s v="TCU"/>
        <s v="Texas"/>
        <s v="Texas Tech"/>
        <s v="Iowa State"/>
        <s v="Penn State"/>
        <s v="Ohio State"/>
        <s v="Indiana"/>
        <s v="Maryland"/>
        <s v="Michigan"/>
        <s v="Michigan State"/>
        <s v="Rutgers"/>
        <s v="Northwestern"/>
        <s v="Iowa"/>
        <s v="Minnesota"/>
        <s v="Wisconsin"/>
        <s v="Nebraska"/>
        <s v="Illinois"/>
        <s v="Purdue"/>
        <s v="Charlotte"/>
        <s v="Florida Intl"/>
        <s v="Marshall"/>
        <s v="Florida Atlantic"/>
        <s v="Middle Tennessee"/>
        <s v="Wyoming"/>
        <s v="Old Dominion"/>
        <s v="North Texas"/>
        <s v="Louisiana Tech"/>
        <s v="UAB"/>
        <s v="Southern Mississippi"/>
        <s v="Rice"/>
        <s v="UTEP"/>
        <s v="UTSA"/>
        <s v="Notre Dame"/>
        <s v="Army"/>
        <s v="BYU"/>
        <s v="Liberty"/>
        <s v="UMass"/>
        <s v="New Mexico State"/>
        <s v="Buffalo"/>
        <s v="Akron"/>
        <s v="Ohio"/>
        <s v="Kent State"/>
        <s v="Bowling Green"/>
        <s v="Miami-OH"/>
        <s v="Northern Illinois"/>
        <s v="Air Force"/>
        <s v="Ball State"/>
        <s v="Western Michigan"/>
        <s v="EMU"/>
        <s v="Central Michigan"/>
        <s v="Boise State"/>
        <s v="Utah State"/>
        <s v="UNLV"/>
        <s v="UCLA"/>
        <s v="Western Kentucky"/>
        <s v="Toledo"/>
        <s v="Hawaii"/>
        <s v="Fresno State"/>
        <s v="New Mexico"/>
        <s v="Colorado State"/>
        <s v="San Diego State"/>
        <s v="San José State"/>
        <s v="Stanford"/>
        <s v="Washington"/>
        <s v="California"/>
        <s v="Oregon"/>
        <s v="Oregon State"/>
        <s v="Washington State"/>
        <s v="USC"/>
        <s v="Colorado"/>
        <s v="Arizona State"/>
        <s v="Arizona"/>
        <s v="Nevada"/>
        <s v="Utah"/>
        <s v="Georgia"/>
        <s v="Kentucky"/>
        <s v="Missouri"/>
        <s v="Tennessee"/>
        <s v="Vanderbilt"/>
        <s v="Florida"/>
        <s v="South Carolina"/>
        <s v="Alabama"/>
        <s v="LSU"/>
        <s v="Mississippi State"/>
        <s v="Texas A&amp;M"/>
        <s v="Arkansas"/>
        <s v="Auburn"/>
        <s v="Ole Miss"/>
        <s v="Coastal Carolina"/>
        <s v="Georgia Southern"/>
        <s v="Troy"/>
        <s v="Appalachian State"/>
        <s v="Georgia State"/>
        <s v="South Alabama"/>
        <s v="Arkansas State"/>
        <s v="UL Monroe"/>
        <s v="UL Lafayette"/>
        <s v="Texas State"/>
      </sharedItems>
    </cacheField>
    <cacheField name="Conference" numFmtId="0">
      <sharedItems>
        <s v="AAC"/>
        <s v="ACC"/>
        <s v="Big 12"/>
        <s v="Big Ten"/>
        <s v="CUSA"/>
        <s v="MWC"/>
        <s v="Independent"/>
        <s v="Sun Belt"/>
        <s v="MAC"/>
        <s v="Pac12"/>
        <s v="SEC"/>
      </sharedItems>
    </cacheField>
    <cacheField name="Picked by" numFmtId="0">
      <sharedItems>
        <s v="Adam"/>
        <s v="Josh R."/>
        <s v="Vu"/>
        <s v="Justin"/>
        <s v="Nick A."/>
        <s v="Nick G."/>
        <s v="Janice/Mike"/>
        <s v="Nico"/>
        <s v="Gary"/>
        <s v="Jeannine"/>
        <s v="Brad"/>
        <s v="DavEmily"/>
        <s v="Undrafted"/>
        <s v=""/>
      </sharedItems>
    </cacheField>
    <cacheField name="Draft Positions" numFmtId="0">
      <sharedItems containsSemiMixedTypes="0" containsString="0" containsNumber="1" containsInteger="1">
        <n v="8.0"/>
        <n v="39.0"/>
        <n v="33.0"/>
        <n v="31.0"/>
        <n v="71.0"/>
        <n v="109.0"/>
        <n v="45.0"/>
        <n v="29.0"/>
        <n v="46.0"/>
        <n v="43.0"/>
        <n v="11.0"/>
        <n v="73.0"/>
        <n v="100.0"/>
        <n v="88.0"/>
        <n v="2.0"/>
        <n v="84.0"/>
        <n v="121.0"/>
        <n v="89.0"/>
        <n v="87.0"/>
        <n v="48.0"/>
        <n v="94.0"/>
        <n v="114.0"/>
        <n v="35.0"/>
        <n v="91.0"/>
        <n v="116.0"/>
        <n v="124.0"/>
        <n v="6.0"/>
        <n v="59.0"/>
        <n v="101.0"/>
        <n v="66.0"/>
        <n v="111.0"/>
        <n v="85.0"/>
        <n v="64.0"/>
        <n v="17.0"/>
        <n v="76.0"/>
        <n v="47.0"/>
        <n v="54.0"/>
        <n v="12.0"/>
        <n v="86.0"/>
        <n v="118.0"/>
        <n v="16.0"/>
        <n v="74.0"/>
        <n v="127.0"/>
        <n v="80.0"/>
        <n v="79.0"/>
        <n v="82.0"/>
        <n v="52.0"/>
        <n v="49.0"/>
        <n v="122.0"/>
        <n v="77.0"/>
        <n v="93.0"/>
        <n v="41.0"/>
        <n v="51.0"/>
        <n v="36.0"/>
        <n v="92.0"/>
        <n v="37.0"/>
        <n v="95.0"/>
        <n v="57.0"/>
        <n v="62.0"/>
        <n v="67.0"/>
        <n v="63.0"/>
        <n v="125.0"/>
        <n v="128.0"/>
        <n v="120.0"/>
        <n v="24.0"/>
        <n v="10.0"/>
        <n v="75.0"/>
        <n v="129.0"/>
        <n v="98.0"/>
        <n v="42.0"/>
        <n v="113.0"/>
        <n v="3.0"/>
        <n v="105.0"/>
        <n v="119.0"/>
        <n v="44.0"/>
        <n v="28.0"/>
        <n v="32.0"/>
        <n v="96.0"/>
        <n v="19.0"/>
        <n v="38.0"/>
        <n v="108.0"/>
        <n v="4.0"/>
        <n v="27.0"/>
        <n v="55.0"/>
        <n v="70.0"/>
        <n v="90.0"/>
        <n v="15.0"/>
        <n v="40.0"/>
        <n v="25.0"/>
        <n v="53.0"/>
        <n v="107.0"/>
        <n v="26.0"/>
        <n v="115.0"/>
        <n v="60.0"/>
        <n v="9.0"/>
        <n v="72.0"/>
        <n v="18.0"/>
        <n v="104.0"/>
        <n v="23.0"/>
        <n v="58.0"/>
        <n v="78.0"/>
        <n v="68.0"/>
        <n v="69.0"/>
        <n v="34.0"/>
        <n v="14.0"/>
        <n v="5.0"/>
        <n v="106.0"/>
        <n v="99.0"/>
        <n v="103.0"/>
        <n v="126.0"/>
        <n v="65.0"/>
        <n v="110.0"/>
        <n v="1.0"/>
        <n v="50.0"/>
        <n v="102.0"/>
        <n v="81.0"/>
        <n v="117.0"/>
        <n v="61.0"/>
        <n v="123.0"/>
        <n v="97.0"/>
        <n v="21.0"/>
        <n v="13.0"/>
        <n v="7.0"/>
        <n v="56.0"/>
        <n v="112.0"/>
        <n v="20.0"/>
        <n v="30.0"/>
        <n v="22.0"/>
        <n v="83.0"/>
      </sharedItems>
    </cacheField>
    <cacheField name="Current Wins" numFmtId="3">
      <sharedItems containsSemiMixedTypes="0" containsString="0" containsNumber="1" containsInteger="1">
        <n v="9.0"/>
        <n v="8.0"/>
        <n v="10.0"/>
        <n v="4.0"/>
        <n v="2.0"/>
        <n v="6.0"/>
        <n v="11.0"/>
        <n v="5.0"/>
        <n v="12.0"/>
        <n v="7.0"/>
        <n v="3.0"/>
        <n v="1.0"/>
        <n v="0.0"/>
      </sharedItems>
    </cacheField>
    <cacheField name="Front of Run Weighted">
      <sharedItems containsMixedTypes="1" containsNumber="1">
        <n v="1.5"/>
        <n v="3.0"/>
        <n v="3.5"/>
        <n v="1.0"/>
        <n v="0.0"/>
        <n v="4.5"/>
        <n v="2.0"/>
        <n v="5.5"/>
        <n v="2.5"/>
        <n v="0.5"/>
        <n v="4.0"/>
        <s v=""/>
        <n v="5.0"/>
      </sharedItems>
    </cacheField>
    <cacheField name="End of Run Weighted">
      <sharedItems containsMixedTypes="1" containsNumber="1">
        <n v="0.0"/>
        <n v="1.5"/>
        <n v="1.0"/>
        <n v="2.0"/>
        <n v="2.5"/>
        <n v="4.0"/>
        <n v="0.5"/>
        <n v="3.0"/>
        <n v="3.5"/>
        <s v=""/>
      </sharedItems>
    </cacheField>
    <cacheField name="Current Losses" numFmtId="0">
      <sharedItems containsSemiMixedTypes="0" containsString="0" containsNumber="1" containsInteger="1">
        <n v="3.0"/>
        <n v="4.0"/>
        <n v="2.0"/>
        <n v="8.0"/>
        <n v="10.0"/>
        <n v="6.0"/>
        <n v="1.0"/>
        <n v="7.0"/>
        <n v="0.0"/>
        <n v="5.0"/>
        <n v="9.0"/>
        <n v="11.0"/>
        <n v="12.0"/>
      </sharedItems>
    </cacheField>
    <cacheField name="Highest wins from same conference drafted later" numFmtId="0">
      <sharedItems containsSemiMixedTypes="0" containsString="0" containsNumber="1" containsInteger="1">
        <n v="11.0"/>
        <n v="10.0"/>
        <n v="4.0"/>
        <n v="0.0"/>
        <n v="6.0"/>
        <n v="2.0"/>
        <n v="7.0"/>
        <n v="9.0"/>
        <n v="3.0"/>
        <n v="8.0"/>
        <n v="5.0"/>
        <n v="1.0"/>
        <n v="12.0"/>
      </sharedItems>
    </cacheField>
    <cacheField name="Bested Picks" numFmtId="0">
      <sharedItems containsSemiMixedTypes="0" containsString="0" containsNumber="1" containsInteger="1">
        <n v="1.0"/>
        <n v="2.0"/>
        <n v="3.0"/>
        <n v="0.0"/>
        <n v="4.0"/>
        <n v="6.0"/>
        <n v="8.0"/>
        <n v="5.0"/>
        <n v="9.0"/>
      </sharedItems>
    </cacheField>
    <cacheField name="Missed Wins" numFmtId="3">
      <sharedItems containsSemiMixedTypes="0" containsString="0" containsNumber="1" containsInteger="1">
        <n v="2.0"/>
        <n v="0.0"/>
        <n v="6.0"/>
        <n v="1.0"/>
        <n v="4.0"/>
        <n v="5.0"/>
        <n v="3.0"/>
        <n v="7.0"/>
      </sharedItems>
    </cacheField>
    <cacheField name="Reaches" numFmtId="0">
      <sharedItems containsSemiMixedTypes="0" containsString="0" containsNumber="1" containsInteger="1">
        <n v="1.0"/>
        <n v="0.0"/>
      </sharedItems>
    </cacheField>
    <cacheField name="Steals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ot W Pivot" cacheId="0" dataCaption="" rowGrandTotals="0" colGrandTotals="0" compact="0" compactData="0">
  <location ref="A1:M17" firstHeaderRow="0" firstDataRow="1" firstDataCol="1"/>
  <pivotFields>
    <pivotField name="Date Entr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layer" axis="axisCol" compact="0" outline="0" multipleItemSelectionAllowed="1" showAll="0" sortType="ascending">
      <items>
        <item h="1" x="12"/>
        <item x="7"/>
        <item x="10"/>
        <item x="0"/>
        <item x="2"/>
        <item x="3"/>
        <item x="5"/>
        <item x="9"/>
        <item x="6"/>
        <item x="1"/>
        <item x="11"/>
        <item x="4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etwo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atch 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t="default"/>
      </items>
    </pivotField>
    <pivotField name="Time Left/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Over/Un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or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2"/>
  </rowFields>
  <colFields>
    <field x="1"/>
  </colFields>
  <dataFields>
    <dataField name="SUM of W" fld="3" showDataAs="percentOfRow" baseField="0" numFmtId="1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Leader W-2nd Pivot" cacheId="0" dataCaption="" rowGrandTotals="0" colGrandTotals="0" compact="0" compactData="0">
  <location ref="A1:M17" firstHeaderRow="0" firstDataRow="1" firstDataCol="1"/>
  <pivotFields>
    <pivotField name="Date Entr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layer" axis="axisCol" compact="0" outline="0" multipleItemSelectionAllowed="1" showAll="0" sortType="ascending">
      <items>
        <item h="1" x="12"/>
        <item x="7"/>
        <item x="10"/>
        <item x="0"/>
        <item x="2"/>
        <item x="3"/>
        <item x="5"/>
        <item x="9"/>
        <item x="6"/>
        <item x="1"/>
        <item x="11"/>
        <item x="4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etwo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atch 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t="default"/>
      </items>
    </pivotField>
    <pivotField name="Time Left/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Over/Un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or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2"/>
  </rowFields>
  <colFields>
    <field x="1"/>
  </colFields>
  <dataFields>
    <dataField name="SUM of W" fld="3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Weekly W Pivot" cacheId="0" dataCaption="" rowGrandTotals="0" colGrandTotals="0" compact="0" compactData="0">
  <location ref="A1:M17" firstHeaderRow="0" firstDataRow="1" firstDataCol="1"/>
  <pivotFields>
    <pivotField name="Date Entr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layer" axis="axisCol" compact="0" outline="0" multipleItemSelectionAllowed="1" showAll="0" sortType="ascending">
      <items>
        <item h="1" x="12"/>
        <item x="7"/>
        <item x="10"/>
        <item x="0"/>
        <item x="2"/>
        <item x="3"/>
        <item x="5"/>
        <item x="9"/>
        <item x="6"/>
        <item x="1"/>
        <item x="11"/>
        <item x="4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etwo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atch 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t="default"/>
      </items>
    </pivotField>
    <pivotField name="Time Left/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Over/Un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or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2"/>
  </rowFields>
  <colFields>
    <field x="1"/>
  </colFields>
  <dataFields>
    <dataField name="SUM of W" fld="3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Draft Evalualtion Pivot" cacheId="1" dataCaption="" rowGrandTotals="0" compact="0" compactData="0">
  <location ref="A1:G11" firstHeaderRow="0" firstDataRow="2" firstDataCol="0"/>
  <pivotFields>
    <pivotField name="Init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Masco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Alt Te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Con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icked by" axis="axisRow" compact="0" outline="0" multipleItemSelectionAllowed="1" showAll="0" sortType="descending">
      <items>
        <item h="1" x="0"/>
        <item x="1"/>
        <item x="2"/>
        <item x="3"/>
        <item x="4"/>
        <item h="1" x="5"/>
        <item x="6"/>
        <item x="7"/>
        <item x="8"/>
        <item x="9"/>
        <item x="10"/>
        <item x="11"/>
        <item h="1" x="12"/>
        <item h="1" x="1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raft Posi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Current Wi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ront of Run 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nd of Run 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rrent Los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Highest wins from same conference drafted l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sted P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issed Wi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aches" dataField="1" compact="0" outline="0" multipleItemSelectionAllowed="1" showAll="0">
      <items>
        <item x="0"/>
        <item x="1"/>
        <item t="default"/>
      </items>
    </pivotField>
    <pivotField name="Steals" dataField="1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-2"/>
  </colFields>
  <dataFields>
    <dataField name="Current Wins" fld="7" baseField="0"/>
    <dataField name="Missed Wins" fld="13" baseField="0"/>
    <dataField name="Reaches" fld="14" baseField="0"/>
    <dataField name="Steals" fld="15" baseField="0"/>
    <dataField name="Front of Run" fld="8" subtotal="average" baseField="0"/>
    <dataField name="End of Run" fld="9" subtotal="average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3:J14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tand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31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8" width="7.13"/>
  </cols>
  <sheetData>
    <row r="1">
      <c r="A1" s="1" t="s">
        <v>0</v>
      </c>
      <c r="B1" s="4">
        <v>10.0</v>
      </c>
      <c r="C1" s="1" t="s">
        <v>0</v>
      </c>
      <c r="D1" s="4">
        <v>11.0</v>
      </c>
      <c r="E1" s="1" t="s">
        <v>0</v>
      </c>
      <c r="F1" s="4">
        <v>12.0</v>
      </c>
      <c r="G1" s="1" t="s">
        <v>0</v>
      </c>
      <c r="H1" s="4">
        <v>13.0</v>
      </c>
    </row>
    <row r="2">
      <c r="A2" s="8" t="s">
        <v>5</v>
      </c>
      <c r="B2" s="10" t="s">
        <v>11</v>
      </c>
      <c r="C2" s="8" t="s">
        <v>5</v>
      </c>
      <c r="D2" s="10" t="s">
        <v>11</v>
      </c>
      <c r="E2" s="8" t="s">
        <v>5</v>
      </c>
      <c r="F2" s="10" t="s">
        <v>11</v>
      </c>
      <c r="G2" s="8" t="s">
        <v>5</v>
      </c>
      <c r="H2" s="10" t="s">
        <v>11</v>
      </c>
    </row>
    <row r="3">
      <c r="A3" s="11" t="s">
        <v>23</v>
      </c>
      <c r="B3" s="10" t="s">
        <v>11</v>
      </c>
      <c r="C3" s="11" t="s">
        <v>23</v>
      </c>
      <c r="D3" s="10" t="s">
        <v>11</v>
      </c>
      <c r="E3" s="11" t="s">
        <v>23</v>
      </c>
      <c r="F3" s="10" t="s">
        <v>11</v>
      </c>
      <c r="G3" s="11" t="s">
        <v>23</v>
      </c>
      <c r="H3" s="10" t="s">
        <v>11</v>
      </c>
    </row>
    <row r="4">
      <c r="A4" s="8" t="s">
        <v>32</v>
      </c>
      <c r="B4" s="10" t="s">
        <v>11</v>
      </c>
      <c r="C4" s="8" t="s">
        <v>32</v>
      </c>
      <c r="D4" s="10" t="s">
        <v>11</v>
      </c>
      <c r="E4" s="8" t="s">
        <v>32</v>
      </c>
      <c r="F4" s="10" t="s">
        <v>11</v>
      </c>
      <c r="G4" s="8" t="s">
        <v>32</v>
      </c>
      <c r="H4" s="10" t="s">
        <v>11</v>
      </c>
    </row>
    <row r="5">
      <c r="A5" s="8" t="s">
        <v>33</v>
      </c>
      <c r="B5" s="10" t="s">
        <v>11</v>
      </c>
      <c r="C5" s="8" t="s">
        <v>33</v>
      </c>
      <c r="D5" s="10" t="s">
        <v>11</v>
      </c>
      <c r="E5" s="8" t="s">
        <v>33</v>
      </c>
      <c r="F5" s="10" t="s">
        <v>11</v>
      </c>
      <c r="G5" s="8" t="s">
        <v>33</v>
      </c>
      <c r="H5" s="10" t="s">
        <v>11</v>
      </c>
    </row>
    <row r="6">
      <c r="A6" s="8" t="s">
        <v>35</v>
      </c>
      <c r="B6" s="10" t="s">
        <v>11</v>
      </c>
      <c r="C6" s="8" t="s">
        <v>35</v>
      </c>
      <c r="D6" s="10" t="s">
        <v>11</v>
      </c>
      <c r="E6" s="8" t="s">
        <v>35</v>
      </c>
      <c r="F6" s="10" t="s">
        <v>11</v>
      </c>
      <c r="G6" s="8" t="s">
        <v>35</v>
      </c>
      <c r="H6" s="10" t="s">
        <v>11</v>
      </c>
    </row>
    <row r="7">
      <c r="A7" s="17" t="s">
        <v>37</v>
      </c>
      <c r="B7" s="10" t="s">
        <v>11</v>
      </c>
      <c r="C7" s="17" t="s">
        <v>37</v>
      </c>
      <c r="D7" s="10" t="s">
        <v>11</v>
      </c>
      <c r="E7" s="17" t="s">
        <v>37</v>
      </c>
      <c r="F7" s="10" t="s">
        <v>11</v>
      </c>
      <c r="G7" s="17" t="s">
        <v>37</v>
      </c>
      <c r="H7" s="10" t="s">
        <v>11</v>
      </c>
    </row>
    <row r="8">
      <c r="A8" s="8" t="s">
        <v>42</v>
      </c>
      <c r="B8" s="10" t="s">
        <v>11</v>
      </c>
      <c r="C8" s="8" t="s">
        <v>42</v>
      </c>
      <c r="D8" s="10" t="s">
        <v>11</v>
      </c>
      <c r="E8" s="8" t="s">
        <v>42</v>
      </c>
      <c r="F8" s="10" t="s">
        <v>11</v>
      </c>
      <c r="G8" s="8" t="s">
        <v>42</v>
      </c>
      <c r="H8" s="10" t="s">
        <v>11</v>
      </c>
    </row>
    <row r="9">
      <c r="A9" s="8" t="s">
        <v>45</v>
      </c>
      <c r="B9" s="10" t="s">
        <v>11</v>
      </c>
      <c r="C9" s="8" t="s">
        <v>45</v>
      </c>
      <c r="D9" s="10" t="s">
        <v>11</v>
      </c>
      <c r="E9" s="8" t="s">
        <v>45</v>
      </c>
      <c r="F9" s="10" t="s">
        <v>11</v>
      </c>
      <c r="G9" s="8" t="s">
        <v>45</v>
      </c>
      <c r="H9" s="10" t="s">
        <v>11</v>
      </c>
    </row>
    <row r="10">
      <c r="A10" s="17" t="s">
        <v>49</v>
      </c>
      <c r="B10" s="10" t="s">
        <v>11</v>
      </c>
      <c r="C10" s="17" t="s">
        <v>49</v>
      </c>
      <c r="D10" s="10" t="s">
        <v>11</v>
      </c>
      <c r="E10" s="17" t="s">
        <v>49</v>
      </c>
      <c r="F10" s="10" t="s">
        <v>11</v>
      </c>
      <c r="G10" s="17" t="s">
        <v>49</v>
      </c>
      <c r="H10" s="10" t="s">
        <v>11</v>
      </c>
    </row>
    <row r="11">
      <c r="A11" s="8" t="s">
        <v>52</v>
      </c>
      <c r="B11" s="10" t="s">
        <v>11</v>
      </c>
      <c r="C11" s="8" t="s">
        <v>52</v>
      </c>
      <c r="D11" s="10" t="s">
        <v>11</v>
      </c>
      <c r="E11" s="8" t="s">
        <v>52</v>
      </c>
      <c r="F11" s="10" t="s">
        <v>11</v>
      </c>
      <c r="G11" s="8" t="s">
        <v>52</v>
      </c>
      <c r="H11" s="10" t="s">
        <v>11</v>
      </c>
    </row>
    <row r="12">
      <c r="A12" s="8" t="s">
        <v>56</v>
      </c>
      <c r="B12" s="10" t="s">
        <v>11</v>
      </c>
      <c r="C12" s="8" t="s">
        <v>56</v>
      </c>
      <c r="D12" s="10" t="s">
        <v>11</v>
      </c>
      <c r="E12" s="8" t="s">
        <v>56</v>
      </c>
      <c r="F12" s="10" t="s">
        <v>11</v>
      </c>
      <c r="G12" s="8" t="s">
        <v>56</v>
      </c>
      <c r="H12" s="10" t="s">
        <v>11</v>
      </c>
    </row>
    <row r="13">
      <c r="A13" s="8" t="s">
        <v>59</v>
      </c>
      <c r="B13" s="10" t="s">
        <v>11</v>
      </c>
      <c r="C13" s="8" t="s">
        <v>59</v>
      </c>
      <c r="D13" s="10" t="s">
        <v>11</v>
      </c>
      <c r="E13" s="8" t="s">
        <v>59</v>
      </c>
      <c r="F13" s="10" t="s">
        <v>11</v>
      </c>
      <c r="G13" s="8" t="s">
        <v>59</v>
      </c>
      <c r="H13" s="10" t="s">
        <v>11</v>
      </c>
    </row>
    <row r="14">
      <c r="A14" s="8" t="s">
        <v>61</v>
      </c>
      <c r="B14" s="23" t="s">
        <v>15</v>
      </c>
      <c r="C14" s="8" t="s">
        <v>61</v>
      </c>
      <c r="D14" s="23" t="s">
        <v>15</v>
      </c>
      <c r="E14" s="8" t="s">
        <v>61</v>
      </c>
      <c r="F14" s="23" t="s">
        <v>15</v>
      </c>
      <c r="G14" s="1" t="s">
        <v>66</v>
      </c>
      <c r="H14" s="10" t="s">
        <v>11</v>
      </c>
    </row>
    <row r="15">
      <c r="A15" s="8" t="s">
        <v>68</v>
      </c>
      <c r="B15" s="23" t="s">
        <v>15</v>
      </c>
      <c r="C15" s="8" t="s">
        <v>68</v>
      </c>
      <c r="D15" s="23" t="s">
        <v>15</v>
      </c>
      <c r="E15" s="8" t="s">
        <v>68</v>
      </c>
      <c r="F15" s="23" t="s">
        <v>15</v>
      </c>
      <c r="G15" s="8" t="s">
        <v>61</v>
      </c>
      <c r="H15" s="23" t="s">
        <v>15</v>
      </c>
    </row>
    <row r="16">
      <c r="A16" s="8" t="s">
        <v>72</v>
      </c>
      <c r="B16" s="23" t="s">
        <v>15</v>
      </c>
      <c r="C16" s="8" t="s">
        <v>72</v>
      </c>
      <c r="D16" s="23" t="s">
        <v>15</v>
      </c>
      <c r="E16" s="8" t="s">
        <v>72</v>
      </c>
      <c r="F16" s="23" t="s">
        <v>15</v>
      </c>
      <c r="G16" s="8" t="s">
        <v>68</v>
      </c>
      <c r="H16" s="23" t="s">
        <v>15</v>
      </c>
    </row>
    <row r="17">
      <c r="A17" s="17" t="s">
        <v>76</v>
      </c>
      <c r="B17" s="23" t="s">
        <v>15</v>
      </c>
      <c r="C17" s="17" t="s">
        <v>76</v>
      </c>
      <c r="D17" s="23" t="s">
        <v>15</v>
      </c>
      <c r="E17" s="17" t="s">
        <v>76</v>
      </c>
      <c r="F17" s="23" t="s">
        <v>15</v>
      </c>
      <c r="G17" s="8" t="s">
        <v>72</v>
      </c>
      <c r="H17" s="23" t="s">
        <v>15</v>
      </c>
    </row>
    <row r="18">
      <c r="A18" s="8" t="s">
        <v>80</v>
      </c>
      <c r="B18" s="23" t="s">
        <v>15</v>
      </c>
      <c r="C18" s="8" t="s">
        <v>80</v>
      </c>
      <c r="D18" s="23" t="s">
        <v>15</v>
      </c>
      <c r="E18" s="8" t="s">
        <v>80</v>
      </c>
      <c r="F18" s="23" t="s">
        <v>15</v>
      </c>
      <c r="G18" s="17" t="s">
        <v>76</v>
      </c>
      <c r="H18" s="23" t="s">
        <v>15</v>
      </c>
    </row>
    <row r="19">
      <c r="A19" s="8" t="s">
        <v>84</v>
      </c>
      <c r="B19" s="23" t="s">
        <v>15</v>
      </c>
      <c r="C19" s="8" t="s">
        <v>84</v>
      </c>
      <c r="D19" s="23" t="s">
        <v>15</v>
      </c>
      <c r="E19" s="8" t="s">
        <v>84</v>
      </c>
      <c r="F19" s="23" t="s">
        <v>15</v>
      </c>
      <c r="G19" s="8" t="s">
        <v>80</v>
      </c>
      <c r="H19" s="23" t="s">
        <v>15</v>
      </c>
    </row>
    <row r="20">
      <c r="A20" s="8" t="s">
        <v>87</v>
      </c>
      <c r="B20" s="23" t="s">
        <v>15</v>
      </c>
      <c r="C20" s="8" t="s">
        <v>87</v>
      </c>
      <c r="D20" s="23" t="s">
        <v>15</v>
      </c>
      <c r="E20" s="8" t="s">
        <v>87</v>
      </c>
      <c r="F20" s="23" t="s">
        <v>15</v>
      </c>
      <c r="G20" s="8" t="s">
        <v>87</v>
      </c>
      <c r="H20" s="23" t="s">
        <v>15</v>
      </c>
    </row>
    <row r="21">
      <c r="A21" s="17" t="s">
        <v>88</v>
      </c>
      <c r="B21" s="23" t="s">
        <v>15</v>
      </c>
      <c r="C21" s="17" t="s">
        <v>88</v>
      </c>
      <c r="D21" s="23" t="s">
        <v>15</v>
      </c>
      <c r="E21" s="17" t="s">
        <v>88</v>
      </c>
      <c r="F21" s="23" t="s">
        <v>15</v>
      </c>
      <c r="G21" s="17" t="s">
        <v>88</v>
      </c>
      <c r="H21" s="23" t="s">
        <v>15</v>
      </c>
    </row>
    <row r="22">
      <c r="A22" s="8" t="s">
        <v>90</v>
      </c>
      <c r="B22" s="23" t="s">
        <v>15</v>
      </c>
      <c r="C22" s="8" t="s">
        <v>90</v>
      </c>
      <c r="D22" s="23" t="s">
        <v>15</v>
      </c>
      <c r="E22" s="8" t="s">
        <v>90</v>
      </c>
      <c r="F22" s="23" t="s">
        <v>15</v>
      </c>
      <c r="G22" s="8" t="s">
        <v>90</v>
      </c>
      <c r="H22" s="23" t="s">
        <v>15</v>
      </c>
    </row>
    <row r="23">
      <c r="A23" s="8" t="s">
        <v>91</v>
      </c>
      <c r="B23" s="23" t="s">
        <v>15</v>
      </c>
      <c r="C23" s="8" t="s">
        <v>91</v>
      </c>
      <c r="D23" s="23" t="s">
        <v>15</v>
      </c>
      <c r="E23" s="8" t="s">
        <v>91</v>
      </c>
      <c r="F23" s="23" t="s">
        <v>15</v>
      </c>
      <c r="G23" s="8" t="s">
        <v>91</v>
      </c>
      <c r="H23" s="23" t="s">
        <v>15</v>
      </c>
    </row>
    <row r="24">
      <c r="A24" s="8" t="s">
        <v>92</v>
      </c>
      <c r="B24" s="23" t="s">
        <v>15</v>
      </c>
      <c r="C24" s="8" t="s">
        <v>92</v>
      </c>
      <c r="D24" s="23" t="s">
        <v>15</v>
      </c>
      <c r="E24" s="8" t="s">
        <v>92</v>
      </c>
      <c r="F24" s="23" t="s">
        <v>15</v>
      </c>
      <c r="G24" s="8" t="s">
        <v>92</v>
      </c>
      <c r="H24" s="23" t="s">
        <v>15</v>
      </c>
    </row>
    <row r="25">
      <c r="A25" s="8" t="s">
        <v>93</v>
      </c>
      <c r="B25" s="23" t="s">
        <v>15</v>
      </c>
      <c r="C25" s="8" t="s">
        <v>93</v>
      </c>
      <c r="D25" s="23" t="s">
        <v>15</v>
      </c>
      <c r="E25" s="8" t="s">
        <v>93</v>
      </c>
      <c r="F25" s="23" t="s">
        <v>15</v>
      </c>
      <c r="G25" s="8" t="s">
        <v>93</v>
      </c>
      <c r="H25" s="23" t="s">
        <v>15</v>
      </c>
    </row>
    <row r="26">
      <c r="A26" s="8" t="s">
        <v>94</v>
      </c>
      <c r="B26" s="23" t="s">
        <v>15</v>
      </c>
      <c r="C26" s="8" t="s">
        <v>94</v>
      </c>
      <c r="D26" s="23" t="s">
        <v>15</v>
      </c>
      <c r="E26" s="8" t="s">
        <v>94</v>
      </c>
      <c r="F26" s="23" t="s">
        <v>15</v>
      </c>
      <c r="G26" s="8" t="s">
        <v>94</v>
      </c>
      <c r="H26" s="23" t="s">
        <v>15</v>
      </c>
    </row>
    <row r="27">
      <c r="A27" s="8" t="s">
        <v>95</v>
      </c>
      <c r="B27" s="23" t="s">
        <v>15</v>
      </c>
      <c r="C27" s="8" t="s">
        <v>95</v>
      </c>
      <c r="D27" s="23" t="s">
        <v>15</v>
      </c>
      <c r="E27" s="8" t="s">
        <v>95</v>
      </c>
      <c r="F27" s="23" t="s">
        <v>15</v>
      </c>
      <c r="G27" s="8" t="s">
        <v>95</v>
      </c>
      <c r="H27" s="23" t="s">
        <v>15</v>
      </c>
    </row>
    <row r="28">
      <c r="A28" s="8" t="s">
        <v>96</v>
      </c>
      <c r="B28" s="23" t="s">
        <v>17</v>
      </c>
      <c r="C28" s="8" t="s">
        <v>96</v>
      </c>
      <c r="D28" s="23" t="s">
        <v>17</v>
      </c>
      <c r="E28" s="8" t="s">
        <v>96</v>
      </c>
      <c r="F28" s="23" t="s">
        <v>17</v>
      </c>
      <c r="G28" s="8" t="s">
        <v>96</v>
      </c>
      <c r="H28" s="23" t="s">
        <v>17</v>
      </c>
    </row>
    <row r="29">
      <c r="A29" s="17" t="s">
        <v>97</v>
      </c>
      <c r="B29" s="23" t="s">
        <v>17</v>
      </c>
      <c r="C29" s="17" t="s">
        <v>97</v>
      </c>
      <c r="D29" s="23" t="s">
        <v>17</v>
      </c>
      <c r="E29" s="17" t="s">
        <v>97</v>
      </c>
      <c r="F29" s="23" t="s">
        <v>17</v>
      </c>
      <c r="G29" s="17" t="s">
        <v>97</v>
      </c>
      <c r="H29" s="23" t="s">
        <v>17</v>
      </c>
    </row>
    <row r="30">
      <c r="A30" s="8" t="s">
        <v>98</v>
      </c>
      <c r="B30" s="23" t="s">
        <v>17</v>
      </c>
      <c r="C30" s="8" t="s">
        <v>98</v>
      </c>
      <c r="D30" s="23" t="s">
        <v>17</v>
      </c>
      <c r="E30" s="8" t="s">
        <v>98</v>
      </c>
      <c r="F30" s="23" t="s">
        <v>17</v>
      </c>
      <c r="G30" s="8" t="s">
        <v>98</v>
      </c>
      <c r="H30" s="23" t="s">
        <v>17</v>
      </c>
    </row>
    <row r="31">
      <c r="A31" s="17" t="s">
        <v>99</v>
      </c>
      <c r="B31" s="23" t="s">
        <v>17</v>
      </c>
      <c r="C31" s="17" t="s">
        <v>99</v>
      </c>
      <c r="D31" s="23" t="s">
        <v>17</v>
      </c>
      <c r="E31" s="17" t="s">
        <v>99</v>
      </c>
      <c r="F31" s="23" t="s">
        <v>17</v>
      </c>
      <c r="G31" s="17" t="s">
        <v>99</v>
      </c>
      <c r="H31" s="23" t="s">
        <v>17</v>
      </c>
    </row>
    <row r="32">
      <c r="A32" s="8" t="s">
        <v>100</v>
      </c>
      <c r="B32" s="23" t="s">
        <v>17</v>
      </c>
      <c r="C32" s="8" t="s">
        <v>100</v>
      </c>
      <c r="D32" s="23" t="s">
        <v>17</v>
      </c>
      <c r="E32" s="8" t="s">
        <v>100</v>
      </c>
      <c r="F32" s="23" t="s">
        <v>17</v>
      </c>
      <c r="G32" s="8" t="s">
        <v>100</v>
      </c>
      <c r="H32" s="23" t="s">
        <v>17</v>
      </c>
    </row>
    <row r="33">
      <c r="A33" s="17" t="s">
        <v>101</v>
      </c>
      <c r="B33" s="23" t="s">
        <v>17</v>
      </c>
      <c r="C33" s="17" t="s">
        <v>101</v>
      </c>
      <c r="D33" s="23" t="s">
        <v>17</v>
      </c>
      <c r="E33" s="17" t="s">
        <v>101</v>
      </c>
      <c r="F33" s="23" t="s">
        <v>17</v>
      </c>
      <c r="G33" s="17" t="s">
        <v>101</v>
      </c>
      <c r="H33" s="23" t="s">
        <v>17</v>
      </c>
    </row>
    <row r="34">
      <c r="A34" s="8" t="s">
        <v>102</v>
      </c>
      <c r="B34" s="23" t="s">
        <v>17</v>
      </c>
      <c r="C34" s="8" t="s">
        <v>102</v>
      </c>
      <c r="D34" s="23" t="s">
        <v>17</v>
      </c>
      <c r="E34" s="8" t="s">
        <v>102</v>
      </c>
      <c r="F34" s="23" t="s">
        <v>17</v>
      </c>
      <c r="G34" s="8" t="s">
        <v>102</v>
      </c>
      <c r="H34" s="23" t="s">
        <v>17</v>
      </c>
    </row>
    <row r="35">
      <c r="A35" s="8" t="s">
        <v>103</v>
      </c>
      <c r="B35" s="23" t="s">
        <v>17</v>
      </c>
      <c r="C35" s="8" t="s">
        <v>103</v>
      </c>
      <c r="D35" s="23" t="s">
        <v>17</v>
      </c>
      <c r="E35" s="8" t="s">
        <v>103</v>
      </c>
      <c r="F35" s="23" t="s">
        <v>17</v>
      </c>
      <c r="G35" s="8" t="s">
        <v>103</v>
      </c>
      <c r="H35" s="23" t="s">
        <v>17</v>
      </c>
    </row>
    <row r="36">
      <c r="A36" s="8" t="s">
        <v>104</v>
      </c>
      <c r="B36" s="23" t="s">
        <v>17</v>
      </c>
      <c r="C36" s="8" t="s">
        <v>104</v>
      </c>
      <c r="D36" s="23" t="s">
        <v>17</v>
      </c>
      <c r="E36" s="8" t="s">
        <v>104</v>
      </c>
      <c r="F36" s="23" t="s">
        <v>17</v>
      </c>
      <c r="G36" s="8" t="s">
        <v>104</v>
      </c>
      <c r="H36" s="23" t="s">
        <v>17</v>
      </c>
    </row>
    <row r="37">
      <c r="A37" s="8" t="s">
        <v>105</v>
      </c>
      <c r="B37" s="23" t="s">
        <v>17</v>
      </c>
      <c r="C37" s="8" t="s">
        <v>105</v>
      </c>
      <c r="D37" s="23" t="s">
        <v>17</v>
      </c>
      <c r="E37" s="8" t="s">
        <v>105</v>
      </c>
      <c r="F37" s="23" t="s">
        <v>17</v>
      </c>
      <c r="G37" s="8" t="s">
        <v>105</v>
      </c>
      <c r="H37" s="23" t="s">
        <v>17</v>
      </c>
    </row>
    <row r="38">
      <c r="A38" s="8" t="s">
        <v>106</v>
      </c>
      <c r="B38" s="23" t="s">
        <v>19</v>
      </c>
      <c r="C38" s="17" t="s">
        <v>107</v>
      </c>
      <c r="D38" s="23" t="s">
        <v>17</v>
      </c>
      <c r="E38" s="17" t="s">
        <v>107</v>
      </c>
      <c r="F38" s="23" t="s">
        <v>17</v>
      </c>
      <c r="G38" s="17" t="s">
        <v>107</v>
      </c>
      <c r="H38" s="23" t="s">
        <v>17</v>
      </c>
    </row>
    <row r="39">
      <c r="A39" s="8" t="s">
        <v>108</v>
      </c>
      <c r="B39" s="23" t="s">
        <v>19</v>
      </c>
      <c r="C39" s="8" t="s">
        <v>106</v>
      </c>
      <c r="D39" s="23" t="s">
        <v>19</v>
      </c>
      <c r="E39" s="1" t="s">
        <v>109</v>
      </c>
      <c r="F39" s="23" t="s">
        <v>17</v>
      </c>
      <c r="G39" s="1" t="s">
        <v>109</v>
      </c>
      <c r="H39" s="23" t="s">
        <v>17</v>
      </c>
    </row>
    <row r="40">
      <c r="A40" s="8" t="s">
        <v>110</v>
      </c>
      <c r="B40" s="23" t="s">
        <v>19</v>
      </c>
      <c r="C40" s="8" t="s">
        <v>108</v>
      </c>
      <c r="D40" s="23" t="s">
        <v>19</v>
      </c>
      <c r="E40" s="8" t="s">
        <v>106</v>
      </c>
      <c r="F40" s="23" t="s">
        <v>19</v>
      </c>
      <c r="G40" s="8" t="s">
        <v>84</v>
      </c>
      <c r="H40" s="23" t="s">
        <v>17</v>
      </c>
    </row>
    <row r="41">
      <c r="A41" s="8" t="s">
        <v>111</v>
      </c>
      <c r="B41" s="23" t="s">
        <v>19</v>
      </c>
      <c r="C41" s="8" t="s">
        <v>110</v>
      </c>
      <c r="D41" s="23" t="s">
        <v>19</v>
      </c>
      <c r="E41" s="8" t="s">
        <v>108</v>
      </c>
      <c r="F41" s="23" t="s">
        <v>19</v>
      </c>
      <c r="G41" s="8" t="s">
        <v>106</v>
      </c>
      <c r="H41" s="23" t="s">
        <v>19</v>
      </c>
    </row>
    <row r="42">
      <c r="A42" s="8" t="s">
        <v>112</v>
      </c>
      <c r="B42" s="23" t="s">
        <v>19</v>
      </c>
      <c r="C42" s="8" t="s">
        <v>111</v>
      </c>
      <c r="D42" s="23" t="s">
        <v>19</v>
      </c>
      <c r="E42" s="8" t="s">
        <v>110</v>
      </c>
      <c r="F42" s="23" t="s">
        <v>19</v>
      </c>
      <c r="G42" s="8" t="s">
        <v>108</v>
      </c>
      <c r="H42" s="23" t="s">
        <v>19</v>
      </c>
    </row>
    <row r="43">
      <c r="A43" s="17" t="s">
        <v>113</v>
      </c>
      <c r="B43" s="23" t="s">
        <v>19</v>
      </c>
      <c r="C43" s="8" t="s">
        <v>112</v>
      </c>
      <c r="D43" s="23" t="s">
        <v>19</v>
      </c>
      <c r="E43" s="8" t="s">
        <v>111</v>
      </c>
      <c r="F43" s="23" t="s">
        <v>19</v>
      </c>
      <c r="G43" s="8" t="s">
        <v>110</v>
      </c>
      <c r="H43" s="23" t="s">
        <v>19</v>
      </c>
    </row>
    <row r="44">
      <c r="A44" s="8" t="s">
        <v>115</v>
      </c>
      <c r="B44" s="23" t="s">
        <v>19</v>
      </c>
      <c r="C44" s="17" t="s">
        <v>113</v>
      </c>
      <c r="D44" s="23" t="s">
        <v>19</v>
      </c>
      <c r="E44" s="8" t="s">
        <v>112</v>
      </c>
      <c r="F44" s="23" t="s">
        <v>19</v>
      </c>
      <c r="G44" s="8" t="s">
        <v>111</v>
      </c>
      <c r="H44" s="23" t="s">
        <v>19</v>
      </c>
    </row>
    <row r="45">
      <c r="A45" s="8" t="s">
        <v>116</v>
      </c>
      <c r="B45" s="23" t="s">
        <v>19</v>
      </c>
      <c r="C45" s="8" t="s">
        <v>115</v>
      </c>
      <c r="D45" s="23" t="s">
        <v>19</v>
      </c>
      <c r="E45" s="17" t="s">
        <v>113</v>
      </c>
      <c r="F45" s="23" t="s">
        <v>19</v>
      </c>
      <c r="G45" s="8" t="s">
        <v>112</v>
      </c>
      <c r="H45" s="23" t="s">
        <v>19</v>
      </c>
    </row>
    <row r="46">
      <c r="A46" s="8" t="s">
        <v>117</v>
      </c>
      <c r="B46" s="23" t="s">
        <v>19</v>
      </c>
      <c r="C46" s="8" t="s">
        <v>116</v>
      </c>
      <c r="D46" s="23" t="s">
        <v>19</v>
      </c>
      <c r="E46" s="8" t="s">
        <v>115</v>
      </c>
      <c r="F46" s="23" t="s">
        <v>19</v>
      </c>
      <c r="G46" s="17" t="s">
        <v>113</v>
      </c>
      <c r="H46" s="23" t="s">
        <v>19</v>
      </c>
    </row>
    <row r="47">
      <c r="A47" s="17" t="s">
        <v>118</v>
      </c>
      <c r="B47" s="23" t="s">
        <v>19</v>
      </c>
      <c r="C47" s="8" t="s">
        <v>117</v>
      </c>
      <c r="D47" s="23" t="s">
        <v>19</v>
      </c>
      <c r="E47" s="8" t="s">
        <v>116</v>
      </c>
      <c r="F47" s="23" t="s">
        <v>19</v>
      </c>
      <c r="G47" s="8" t="s">
        <v>115</v>
      </c>
      <c r="H47" s="23" t="s">
        <v>19</v>
      </c>
    </row>
    <row r="48">
      <c r="A48" s="17" t="s">
        <v>119</v>
      </c>
      <c r="B48" s="23" t="s">
        <v>19</v>
      </c>
      <c r="C48" s="17" t="s">
        <v>118</v>
      </c>
      <c r="D48" s="23" t="s">
        <v>19</v>
      </c>
      <c r="E48" s="8" t="s">
        <v>117</v>
      </c>
      <c r="F48" s="23" t="s">
        <v>19</v>
      </c>
      <c r="G48" s="8" t="s">
        <v>116</v>
      </c>
      <c r="H48" s="23" t="s">
        <v>19</v>
      </c>
    </row>
    <row r="49">
      <c r="A49" s="8" t="s">
        <v>120</v>
      </c>
      <c r="B49" s="23" t="s">
        <v>19</v>
      </c>
      <c r="C49" s="17" t="s">
        <v>119</v>
      </c>
      <c r="D49" s="23" t="s">
        <v>19</v>
      </c>
      <c r="E49" s="17" t="s">
        <v>118</v>
      </c>
      <c r="F49" s="23" t="s">
        <v>19</v>
      </c>
      <c r="G49" s="8" t="s">
        <v>117</v>
      </c>
      <c r="H49" s="23" t="s">
        <v>19</v>
      </c>
    </row>
    <row r="50">
      <c r="A50" s="8" t="s">
        <v>121</v>
      </c>
      <c r="B50" s="23" t="s">
        <v>19</v>
      </c>
      <c r="C50" s="8" t="s">
        <v>120</v>
      </c>
      <c r="D50" s="23" t="s">
        <v>19</v>
      </c>
      <c r="E50" s="17" t="s">
        <v>119</v>
      </c>
      <c r="F50" s="23" t="s">
        <v>19</v>
      </c>
      <c r="G50" s="17" t="s">
        <v>118</v>
      </c>
      <c r="H50" s="23" t="s">
        <v>19</v>
      </c>
    </row>
    <row r="51">
      <c r="A51" s="8" t="s">
        <v>122</v>
      </c>
      <c r="B51" s="23" t="s">
        <v>19</v>
      </c>
      <c r="C51" s="8" t="s">
        <v>121</v>
      </c>
      <c r="D51" s="23" t="s">
        <v>19</v>
      </c>
      <c r="E51" s="8" t="s">
        <v>120</v>
      </c>
      <c r="F51" s="23" t="s">
        <v>19</v>
      </c>
      <c r="G51" s="17" t="s">
        <v>119</v>
      </c>
      <c r="H51" s="23" t="s">
        <v>19</v>
      </c>
    </row>
    <row r="52">
      <c r="A52" s="17" t="s">
        <v>123</v>
      </c>
      <c r="B52" s="31" t="s">
        <v>20</v>
      </c>
      <c r="C52" s="8" t="s">
        <v>122</v>
      </c>
      <c r="D52" s="23" t="s">
        <v>19</v>
      </c>
      <c r="E52" s="8" t="s">
        <v>121</v>
      </c>
      <c r="F52" s="23" t="s">
        <v>19</v>
      </c>
      <c r="G52" s="8" t="s">
        <v>120</v>
      </c>
      <c r="H52" s="23" t="s">
        <v>19</v>
      </c>
    </row>
    <row r="53">
      <c r="A53" s="17" t="s">
        <v>124</v>
      </c>
      <c r="B53" s="31" t="s">
        <v>20</v>
      </c>
      <c r="C53" s="17" t="s">
        <v>123</v>
      </c>
      <c r="D53" s="31" t="s">
        <v>20</v>
      </c>
      <c r="E53" s="8" t="s">
        <v>122</v>
      </c>
      <c r="F53" s="23" t="s">
        <v>19</v>
      </c>
      <c r="G53" s="8" t="s">
        <v>122</v>
      </c>
      <c r="H53" s="23" t="s">
        <v>19</v>
      </c>
    </row>
    <row r="54">
      <c r="A54" s="8" t="s">
        <v>125</v>
      </c>
      <c r="B54" s="31" t="s">
        <v>20</v>
      </c>
      <c r="C54" s="17" t="s">
        <v>124</v>
      </c>
      <c r="D54" s="31" t="s">
        <v>20</v>
      </c>
      <c r="E54" s="17" t="s">
        <v>123</v>
      </c>
      <c r="F54" s="31" t="s">
        <v>20</v>
      </c>
      <c r="G54" s="17" t="s">
        <v>123</v>
      </c>
      <c r="H54" s="31" t="s">
        <v>20</v>
      </c>
    </row>
    <row r="55">
      <c r="A55" s="8" t="s">
        <v>126</v>
      </c>
      <c r="B55" s="31" t="s">
        <v>20</v>
      </c>
      <c r="C55" s="8" t="s">
        <v>125</v>
      </c>
      <c r="D55" s="31" t="s">
        <v>20</v>
      </c>
      <c r="E55" s="17" t="s">
        <v>124</v>
      </c>
      <c r="F55" s="31" t="s">
        <v>20</v>
      </c>
      <c r="G55" s="17" t="s">
        <v>124</v>
      </c>
      <c r="H55" s="31" t="s">
        <v>20</v>
      </c>
    </row>
    <row r="56">
      <c r="A56" s="8" t="s">
        <v>127</v>
      </c>
      <c r="B56" s="31" t="s">
        <v>20</v>
      </c>
      <c r="C56" s="8" t="s">
        <v>126</v>
      </c>
      <c r="D56" s="31" t="s">
        <v>20</v>
      </c>
      <c r="E56" s="8" t="s">
        <v>125</v>
      </c>
      <c r="F56" s="31" t="s">
        <v>20</v>
      </c>
      <c r="G56" s="8" t="s">
        <v>125</v>
      </c>
      <c r="H56" s="31" t="s">
        <v>20</v>
      </c>
    </row>
    <row r="57">
      <c r="A57" s="8" t="s">
        <v>128</v>
      </c>
      <c r="B57" s="31" t="s">
        <v>20</v>
      </c>
      <c r="C57" s="8" t="s">
        <v>127</v>
      </c>
      <c r="D57" s="31" t="s">
        <v>20</v>
      </c>
      <c r="E57" s="8" t="s">
        <v>126</v>
      </c>
      <c r="F57" s="31" t="s">
        <v>20</v>
      </c>
      <c r="G57" s="8" t="s">
        <v>126</v>
      </c>
      <c r="H57" s="31" t="s">
        <v>20</v>
      </c>
    </row>
    <row r="58">
      <c r="A58" s="8" t="s">
        <v>129</v>
      </c>
      <c r="B58" s="31" t="s">
        <v>20</v>
      </c>
      <c r="C58" s="8" t="s">
        <v>128</v>
      </c>
      <c r="D58" s="31" t="s">
        <v>20</v>
      </c>
      <c r="E58" s="8" t="s">
        <v>127</v>
      </c>
      <c r="F58" s="31" t="s">
        <v>20</v>
      </c>
      <c r="G58" s="8" t="s">
        <v>127</v>
      </c>
      <c r="H58" s="31" t="s">
        <v>20</v>
      </c>
    </row>
    <row r="59">
      <c r="A59" s="8" t="s">
        <v>130</v>
      </c>
      <c r="B59" s="31" t="s">
        <v>20</v>
      </c>
      <c r="C59" s="8" t="s">
        <v>129</v>
      </c>
      <c r="D59" s="31" t="s">
        <v>20</v>
      </c>
      <c r="E59" s="8" t="s">
        <v>128</v>
      </c>
      <c r="F59" s="31" t="s">
        <v>20</v>
      </c>
      <c r="G59" s="8" t="s">
        <v>128</v>
      </c>
      <c r="H59" s="31" t="s">
        <v>20</v>
      </c>
    </row>
    <row r="60">
      <c r="A60" s="17" t="s">
        <v>131</v>
      </c>
      <c r="B60" s="31" t="s">
        <v>20</v>
      </c>
      <c r="C60" s="8" t="s">
        <v>130</v>
      </c>
      <c r="D60" s="31" t="s">
        <v>20</v>
      </c>
      <c r="E60" s="8" t="s">
        <v>129</v>
      </c>
      <c r="F60" s="31" t="s">
        <v>20</v>
      </c>
      <c r="G60" s="8" t="s">
        <v>129</v>
      </c>
      <c r="H60" s="31" t="s">
        <v>20</v>
      </c>
    </row>
    <row r="61">
      <c r="A61" s="11" t="s">
        <v>132</v>
      </c>
      <c r="B61" s="31" t="s">
        <v>20</v>
      </c>
      <c r="C61" s="17" t="s">
        <v>131</v>
      </c>
      <c r="D61" s="31" t="s">
        <v>20</v>
      </c>
      <c r="E61" s="8" t="s">
        <v>130</v>
      </c>
      <c r="F61" s="31" t="s">
        <v>20</v>
      </c>
      <c r="G61" s="8" t="s">
        <v>130</v>
      </c>
      <c r="H61" s="31" t="s">
        <v>20</v>
      </c>
    </row>
    <row r="62">
      <c r="A62" s="8" t="s">
        <v>133</v>
      </c>
      <c r="B62" s="31" t="s">
        <v>20</v>
      </c>
      <c r="C62" s="11" t="s">
        <v>132</v>
      </c>
      <c r="D62" s="31" t="s">
        <v>20</v>
      </c>
      <c r="E62" s="17" t="s">
        <v>131</v>
      </c>
      <c r="F62" s="31" t="s">
        <v>20</v>
      </c>
      <c r="G62" s="17" t="s">
        <v>131</v>
      </c>
      <c r="H62" s="31" t="s">
        <v>20</v>
      </c>
    </row>
    <row r="63">
      <c r="A63" s="8" t="s">
        <v>134</v>
      </c>
      <c r="B63" s="31" t="s">
        <v>20</v>
      </c>
      <c r="C63" s="8" t="s">
        <v>133</v>
      </c>
      <c r="D63" s="31" t="s">
        <v>20</v>
      </c>
      <c r="E63" s="11" t="s">
        <v>132</v>
      </c>
      <c r="F63" s="31" t="s">
        <v>20</v>
      </c>
      <c r="G63" s="11" t="s">
        <v>132</v>
      </c>
      <c r="H63" s="31" t="s">
        <v>20</v>
      </c>
    </row>
    <row r="64">
      <c r="A64" s="17" t="s">
        <v>135</v>
      </c>
      <c r="B64" s="31" t="s">
        <v>20</v>
      </c>
      <c r="C64" s="8" t="s">
        <v>134</v>
      </c>
      <c r="D64" s="31" t="s">
        <v>20</v>
      </c>
      <c r="E64" s="8" t="s">
        <v>133</v>
      </c>
      <c r="F64" s="31" t="s">
        <v>20</v>
      </c>
      <c r="G64" s="8" t="s">
        <v>134</v>
      </c>
      <c r="H64" s="31" t="s">
        <v>20</v>
      </c>
    </row>
    <row r="65">
      <c r="A65" s="17" t="s">
        <v>136</v>
      </c>
      <c r="B65" s="31" t="s">
        <v>20</v>
      </c>
      <c r="C65" s="17" t="s">
        <v>135</v>
      </c>
      <c r="D65" s="31" t="s">
        <v>20</v>
      </c>
      <c r="E65" s="8" t="s">
        <v>134</v>
      </c>
      <c r="F65" s="31" t="s">
        <v>20</v>
      </c>
      <c r="G65" s="17" t="s">
        <v>135</v>
      </c>
      <c r="H65" s="31" t="s">
        <v>20</v>
      </c>
    </row>
    <row r="66">
      <c r="A66" s="8" t="s">
        <v>137</v>
      </c>
      <c r="B66" s="31" t="s">
        <v>22</v>
      </c>
      <c r="C66" s="17" t="s">
        <v>136</v>
      </c>
      <c r="D66" s="31" t="s">
        <v>20</v>
      </c>
      <c r="E66" s="17" t="s">
        <v>135</v>
      </c>
      <c r="F66" s="31" t="s">
        <v>20</v>
      </c>
      <c r="G66" s="17" t="s">
        <v>136</v>
      </c>
      <c r="H66" s="31" t="s">
        <v>20</v>
      </c>
    </row>
    <row r="67">
      <c r="A67" s="17" t="s">
        <v>138</v>
      </c>
      <c r="B67" s="31" t="s">
        <v>22</v>
      </c>
      <c r="C67" s="8" t="s">
        <v>137</v>
      </c>
      <c r="D67" s="31" t="s">
        <v>22</v>
      </c>
      <c r="E67" s="17" t="s">
        <v>136</v>
      </c>
      <c r="F67" s="31" t="s">
        <v>20</v>
      </c>
      <c r="G67" s="8" t="s">
        <v>137</v>
      </c>
      <c r="H67" s="31" t="s">
        <v>22</v>
      </c>
    </row>
    <row r="68">
      <c r="A68" s="8" t="s">
        <v>139</v>
      </c>
      <c r="B68" s="31" t="s">
        <v>22</v>
      </c>
      <c r="C68" s="17" t="s">
        <v>138</v>
      </c>
      <c r="D68" s="31" t="s">
        <v>22</v>
      </c>
      <c r="E68" s="8" t="s">
        <v>137</v>
      </c>
      <c r="F68" s="31" t="s">
        <v>22</v>
      </c>
      <c r="G68" s="17" t="s">
        <v>138</v>
      </c>
      <c r="H68" s="31" t="s">
        <v>22</v>
      </c>
    </row>
    <row r="69">
      <c r="A69" s="8" t="s">
        <v>140</v>
      </c>
      <c r="B69" s="31" t="s">
        <v>22</v>
      </c>
      <c r="C69" s="8" t="s">
        <v>139</v>
      </c>
      <c r="D69" s="31" t="s">
        <v>22</v>
      </c>
      <c r="E69" s="17" t="s">
        <v>138</v>
      </c>
      <c r="F69" s="31" t="s">
        <v>22</v>
      </c>
      <c r="G69" s="8" t="s">
        <v>139</v>
      </c>
      <c r="H69" s="31" t="s">
        <v>22</v>
      </c>
    </row>
    <row r="70">
      <c r="A70" s="8" t="s">
        <v>141</v>
      </c>
      <c r="B70" s="31" t="s">
        <v>22</v>
      </c>
      <c r="C70" s="8" t="s">
        <v>140</v>
      </c>
      <c r="D70" s="31" t="s">
        <v>22</v>
      </c>
      <c r="E70" s="8" t="s">
        <v>139</v>
      </c>
      <c r="F70" s="31" t="s">
        <v>22</v>
      </c>
      <c r="G70" s="8" t="s">
        <v>140</v>
      </c>
      <c r="H70" s="31" t="s">
        <v>22</v>
      </c>
    </row>
    <row r="71">
      <c r="A71" s="11" t="s">
        <v>142</v>
      </c>
      <c r="B71" s="31" t="s">
        <v>22</v>
      </c>
      <c r="C71" s="8" t="s">
        <v>141</v>
      </c>
      <c r="D71" s="31" t="s">
        <v>22</v>
      </c>
      <c r="E71" s="8" t="s">
        <v>140</v>
      </c>
      <c r="F71" s="31" t="s">
        <v>22</v>
      </c>
      <c r="G71" s="8" t="s">
        <v>141</v>
      </c>
      <c r="H71" s="31" t="s">
        <v>22</v>
      </c>
    </row>
    <row r="72">
      <c r="A72" s="17" t="s">
        <v>143</v>
      </c>
      <c r="B72" s="31" t="s">
        <v>22</v>
      </c>
      <c r="C72" s="11" t="s">
        <v>142</v>
      </c>
      <c r="D72" s="31" t="s">
        <v>22</v>
      </c>
      <c r="E72" s="8" t="s">
        <v>141</v>
      </c>
      <c r="F72" s="31" t="s">
        <v>22</v>
      </c>
      <c r="G72" s="11" t="s">
        <v>142</v>
      </c>
      <c r="H72" s="31" t="s">
        <v>22</v>
      </c>
    </row>
    <row r="73">
      <c r="A73" s="17" t="s">
        <v>144</v>
      </c>
      <c r="B73" s="31" t="s">
        <v>22</v>
      </c>
      <c r="C73" s="17" t="s">
        <v>143</v>
      </c>
      <c r="D73" s="31" t="s">
        <v>22</v>
      </c>
      <c r="E73" s="11" t="s">
        <v>142</v>
      </c>
      <c r="F73" s="31" t="s">
        <v>22</v>
      </c>
      <c r="G73" s="17" t="s">
        <v>143</v>
      </c>
      <c r="H73" s="31" t="s">
        <v>22</v>
      </c>
    </row>
    <row r="74">
      <c r="A74" s="8" t="s">
        <v>145</v>
      </c>
      <c r="B74" s="31" t="s">
        <v>22</v>
      </c>
      <c r="C74" s="17" t="s">
        <v>144</v>
      </c>
      <c r="D74" s="31" t="s">
        <v>22</v>
      </c>
      <c r="E74" s="17" t="s">
        <v>143</v>
      </c>
      <c r="F74" s="31" t="s">
        <v>22</v>
      </c>
      <c r="G74" s="17" t="s">
        <v>144</v>
      </c>
      <c r="H74" s="31" t="s">
        <v>22</v>
      </c>
    </row>
    <row r="75">
      <c r="A75" s="8" t="s">
        <v>146</v>
      </c>
      <c r="B75" s="31" t="s">
        <v>22</v>
      </c>
      <c r="C75" s="8" t="s">
        <v>145</v>
      </c>
      <c r="D75" s="31" t="s">
        <v>22</v>
      </c>
      <c r="E75" s="17" t="s">
        <v>144</v>
      </c>
      <c r="F75" s="31" t="s">
        <v>22</v>
      </c>
      <c r="G75" s="8" t="s">
        <v>145</v>
      </c>
      <c r="H75" s="31" t="s">
        <v>22</v>
      </c>
    </row>
    <row r="76">
      <c r="A76" s="8" t="s">
        <v>147</v>
      </c>
      <c r="B76" s="31" t="s">
        <v>22</v>
      </c>
      <c r="C76" s="8" t="s">
        <v>146</v>
      </c>
      <c r="D76" s="31" t="s">
        <v>22</v>
      </c>
      <c r="E76" s="8" t="s">
        <v>145</v>
      </c>
      <c r="F76" s="31" t="s">
        <v>22</v>
      </c>
      <c r="G76" s="8" t="s">
        <v>146</v>
      </c>
      <c r="H76" s="31" t="s">
        <v>22</v>
      </c>
    </row>
    <row r="77">
      <c r="A77" s="8" t="s">
        <v>148</v>
      </c>
      <c r="B77" s="31" t="s">
        <v>22</v>
      </c>
      <c r="C77" s="8" t="s">
        <v>147</v>
      </c>
      <c r="D77" s="31" t="s">
        <v>22</v>
      </c>
      <c r="E77" s="8" t="s">
        <v>146</v>
      </c>
      <c r="F77" s="31" t="s">
        <v>22</v>
      </c>
      <c r="G77" s="8" t="s">
        <v>147</v>
      </c>
      <c r="H77" s="31" t="s">
        <v>22</v>
      </c>
    </row>
    <row r="78">
      <c r="A78" s="8" t="s">
        <v>149</v>
      </c>
      <c r="B78" s="31" t="s">
        <v>24</v>
      </c>
      <c r="C78" s="8" t="s">
        <v>148</v>
      </c>
      <c r="D78" s="31" t="s">
        <v>22</v>
      </c>
      <c r="E78" s="8" t="s">
        <v>147</v>
      </c>
      <c r="F78" s="31" t="s">
        <v>22</v>
      </c>
      <c r="G78" s="8" t="s">
        <v>148</v>
      </c>
      <c r="H78" s="31" t="s">
        <v>22</v>
      </c>
    </row>
    <row r="79">
      <c r="A79" s="17" t="s">
        <v>150</v>
      </c>
      <c r="B79" s="31" t="s">
        <v>24</v>
      </c>
      <c r="C79" s="8" t="s">
        <v>149</v>
      </c>
      <c r="D79" s="31" t="s">
        <v>24</v>
      </c>
      <c r="E79" s="8" t="s">
        <v>148</v>
      </c>
      <c r="F79" s="31" t="s">
        <v>22</v>
      </c>
      <c r="G79" s="1" t="s">
        <v>197</v>
      </c>
      <c r="H79" s="31" t="s">
        <v>22</v>
      </c>
    </row>
    <row r="80">
      <c r="A80" s="17" t="s">
        <v>151</v>
      </c>
      <c r="B80" s="31" t="s">
        <v>24</v>
      </c>
      <c r="C80" s="17" t="s">
        <v>150</v>
      </c>
      <c r="D80" s="31" t="s">
        <v>24</v>
      </c>
      <c r="E80" s="8" t="s">
        <v>149</v>
      </c>
      <c r="F80" s="31" t="s">
        <v>24</v>
      </c>
      <c r="G80" s="8" t="s">
        <v>149</v>
      </c>
      <c r="H80" s="31" t="s">
        <v>24</v>
      </c>
    </row>
    <row r="81">
      <c r="A81" s="17" t="s">
        <v>152</v>
      </c>
      <c r="B81" s="31" t="s">
        <v>24</v>
      </c>
      <c r="C81" s="17" t="s">
        <v>151</v>
      </c>
      <c r="D81" s="31" t="s">
        <v>24</v>
      </c>
      <c r="E81" s="17" t="s">
        <v>150</v>
      </c>
      <c r="F81" s="31" t="s">
        <v>24</v>
      </c>
      <c r="G81" s="17" t="s">
        <v>150</v>
      </c>
      <c r="H81" s="31" t="s">
        <v>24</v>
      </c>
    </row>
    <row r="82">
      <c r="A82" s="8" t="s">
        <v>153</v>
      </c>
      <c r="B82" s="31" t="s">
        <v>24</v>
      </c>
      <c r="C82" s="17" t="s">
        <v>152</v>
      </c>
      <c r="D82" s="31" t="s">
        <v>24</v>
      </c>
      <c r="E82" s="17" t="s">
        <v>151</v>
      </c>
      <c r="F82" s="31" t="s">
        <v>24</v>
      </c>
      <c r="G82" s="17" t="s">
        <v>151</v>
      </c>
      <c r="H82" s="31" t="s">
        <v>24</v>
      </c>
    </row>
    <row r="83">
      <c r="A83" s="8" t="s">
        <v>154</v>
      </c>
      <c r="B83" s="31" t="s">
        <v>24</v>
      </c>
      <c r="C83" s="8" t="s">
        <v>153</v>
      </c>
      <c r="D83" s="31" t="s">
        <v>24</v>
      </c>
      <c r="E83" s="17" t="s">
        <v>152</v>
      </c>
      <c r="F83" s="31" t="s">
        <v>24</v>
      </c>
      <c r="G83" s="17" t="s">
        <v>152</v>
      </c>
      <c r="H83" s="31" t="s">
        <v>24</v>
      </c>
    </row>
    <row r="84">
      <c r="A84" s="8" t="s">
        <v>155</v>
      </c>
      <c r="B84" s="31" t="s">
        <v>24</v>
      </c>
      <c r="C84" s="8" t="s">
        <v>154</v>
      </c>
      <c r="D84" s="31" t="s">
        <v>24</v>
      </c>
      <c r="E84" s="8" t="s">
        <v>153</v>
      </c>
      <c r="F84" s="31" t="s">
        <v>24</v>
      </c>
      <c r="G84" s="8" t="s">
        <v>153</v>
      </c>
      <c r="H84" s="31" t="s">
        <v>24</v>
      </c>
    </row>
    <row r="85">
      <c r="A85" s="17" t="s">
        <v>156</v>
      </c>
      <c r="B85" s="31" t="s">
        <v>24</v>
      </c>
      <c r="C85" s="8" t="s">
        <v>155</v>
      </c>
      <c r="D85" s="31" t="s">
        <v>24</v>
      </c>
      <c r="E85" s="8" t="s">
        <v>154</v>
      </c>
      <c r="F85" s="31" t="s">
        <v>24</v>
      </c>
      <c r="G85" s="8" t="s">
        <v>154</v>
      </c>
      <c r="H85" s="31" t="s">
        <v>24</v>
      </c>
    </row>
    <row r="86">
      <c r="A86" s="17" t="s">
        <v>157</v>
      </c>
      <c r="B86" s="31" t="s">
        <v>24</v>
      </c>
      <c r="C86" s="17" t="s">
        <v>156</v>
      </c>
      <c r="D86" s="31" t="s">
        <v>24</v>
      </c>
      <c r="E86" s="8" t="s">
        <v>155</v>
      </c>
      <c r="F86" s="31" t="s">
        <v>24</v>
      </c>
      <c r="G86" s="8" t="s">
        <v>155</v>
      </c>
      <c r="H86" s="31" t="s">
        <v>24</v>
      </c>
    </row>
    <row r="87">
      <c r="A87" s="8" t="s">
        <v>158</v>
      </c>
      <c r="B87" s="31" t="s">
        <v>24</v>
      </c>
      <c r="C87" s="17" t="s">
        <v>157</v>
      </c>
      <c r="D87" s="31" t="s">
        <v>24</v>
      </c>
      <c r="E87" s="17" t="s">
        <v>156</v>
      </c>
      <c r="F87" s="31" t="s">
        <v>24</v>
      </c>
      <c r="G87" s="17" t="s">
        <v>156</v>
      </c>
      <c r="H87" s="31" t="s">
        <v>24</v>
      </c>
    </row>
    <row r="88">
      <c r="A88" s="17" t="s">
        <v>159</v>
      </c>
      <c r="B88" s="31" t="s">
        <v>24</v>
      </c>
      <c r="C88" s="8" t="s">
        <v>158</v>
      </c>
      <c r="D88" s="31" t="s">
        <v>24</v>
      </c>
      <c r="E88" s="17" t="s">
        <v>157</v>
      </c>
      <c r="F88" s="31" t="s">
        <v>24</v>
      </c>
      <c r="G88" s="17" t="s">
        <v>157</v>
      </c>
      <c r="H88" s="31" t="s">
        <v>24</v>
      </c>
    </row>
    <row r="89">
      <c r="A89" s="8" t="s">
        <v>160</v>
      </c>
      <c r="B89" s="31" t="s">
        <v>24</v>
      </c>
      <c r="C89" s="17" t="s">
        <v>159</v>
      </c>
      <c r="D89" s="31" t="s">
        <v>24</v>
      </c>
      <c r="E89" s="8" t="s">
        <v>158</v>
      </c>
      <c r="F89" s="31" t="s">
        <v>24</v>
      </c>
      <c r="G89" s="8" t="s">
        <v>158</v>
      </c>
      <c r="H89" s="31" t="s">
        <v>24</v>
      </c>
    </row>
    <row r="90">
      <c r="A90" s="8" t="s">
        <v>161</v>
      </c>
      <c r="B90" s="31" t="s">
        <v>26</v>
      </c>
      <c r="C90" s="8" t="s">
        <v>160</v>
      </c>
      <c r="D90" s="31" t="s">
        <v>24</v>
      </c>
      <c r="E90" s="17" t="s">
        <v>159</v>
      </c>
      <c r="F90" s="31" t="s">
        <v>24</v>
      </c>
      <c r="G90" s="17" t="s">
        <v>159</v>
      </c>
      <c r="H90" s="31" t="s">
        <v>24</v>
      </c>
    </row>
    <row r="91">
      <c r="A91" s="17" t="s">
        <v>162</v>
      </c>
      <c r="B91" s="31" t="s">
        <v>26</v>
      </c>
      <c r="C91" s="8" t="s">
        <v>161</v>
      </c>
      <c r="D91" s="31" t="s">
        <v>26</v>
      </c>
      <c r="E91" s="8" t="s">
        <v>160</v>
      </c>
      <c r="F91" s="31" t="s">
        <v>24</v>
      </c>
      <c r="G91" s="8" t="s">
        <v>160</v>
      </c>
      <c r="H91" s="31" t="s">
        <v>24</v>
      </c>
    </row>
    <row r="92">
      <c r="A92" s="8" t="s">
        <v>163</v>
      </c>
      <c r="B92" s="31" t="s">
        <v>26</v>
      </c>
      <c r="C92" s="17" t="s">
        <v>162</v>
      </c>
      <c r="D92" s="31" t="s">
        <v>26</v>
      </c>
      <c r="E92" s="8" t="s">
        <v>161</v>
      </c>
      <c r="F92" s="31" t="s">
        <v>26</v>
      </c>
      <c r="G92" s="8" t="s">
        <v>133</v>
      </c>
      <c r="H92" s="31" t="s">
        <v>24</v>
      </c>
    </row>
    <row r="93">
      <c r="A93" s="8" t="s">
        <v>164</v>
      </c>
      <c r="B93" s="31" t="s">
        <v>26</v>
      </c>
      <c r="C93" s="8" t="s">
        <v>163</v>
      </c>
      <c r="D93" s="31" t="s">
        <v>26</v>
      </c>
      <c r="E93" s="17" t="s">
        <v>162</v>
      </c>
      <c r="F93" s="31" t="s">
        <v>26</v>
      </c>
      <c r="G93" s="8" t="s">
        <v>161</v>
      </c>
      <c r="H93" s="31" t="s">
        <v>26</v>
      </c>
    </row>
    <row r="94">
      <c r="A94" s="8" t="s">
        <v>165</v>
      </c>
      <c r="B94" s="31" t="s">
        <v>26</v>
      </c>
      <c r="C94" s="8" t="s">
        <v>164</v>
      </c>
      <c r="D94" s="31" t="s">
        <v>26</v>
      </c>
      <c r="E94" s="8" t="s">
        <v>163</v>
      </c>
      <c r="F94" s="31" t="s">
        <v>26</v>
      </c>
      <c r="G94" s="17" t="s">
        <v>162</v>
      </c>
      <c r="H94" s="31" t="s">
        <v>26</v>
      </c>
    </row>
    <row r="95">
      <c r="A95" s="17" t="s">
        <v>166</v>
      </c>
      <c r="B95" s="31" t="s">
        <v>26</v>
      </c>
      <c r="C95" s="8" t="s">
        <v>165</v>
      </c>
      <c r="D95" s="31" t="s">
        <v>26</v>
      </c>
      <c r="E95" s="8" t="s">
        <v>164</v>
      </c>
      <c r="F95" s="31" t="s">
        <v>26</v>
      </c>
      <c r="G95" s="8" t="s">
        <v>163</v>
      </c>
      <c r="H95" s="31" t="s">
        <v>26</v>
      </c>
    </row>
    <row r="96">
      <c r="A96" s="8" t="s">
        <v>167</v>
      </c>
      <c r="B96" s="31" t="s">
        <v>26</v>
      </c>
      <c r="C96" s="17" t="s">
        <v>166</v>
      </c>
      <c r="D96" s="31" t="s">
        <v>26</v>
      </c>
      <c r="E96" s="8" t="s">
        <v>165</v>
      </c>
      <c r="F96" s="31" t="s">
        <v>26</v>
      </c>
      <c r="G96" s="8" t="s">
        <v>164</v>
      </c>
      <c r="H96" s="31" t="s">
        <v>26</v>
      </c>
    </row>
    <row r="97">
      <c r="A97" s="17" t="s">
        <v>168</v>
      </c>
      <c r="B97" s="31" t="s">
        <v>26</v>
      </c>
      <c r="C97" s="8" t="s">
        <v>167</v>
      </c>
      <c r="D97" s="31" t="s">
        <v>26</v>
      </c>
      <c r="E97" s="17" t="s">
        <v>166</v>
      </c>
      <c r="F97" s="31" t="s">
        <v>26</v>
      </c>
      <c r="G97" s="8" t="s">
        <v>165</v>
      </c>
      <c r="H97" s="31" t="s">
        <v>26</v>
      </c>
    </row>
    <row r="98">
      <c r="A98" s="8" t="s">
        <v>169</v>
      </c>
      <c r="B98" s="31" t="s">
        <v>26</v>
      </c>
      <c r="C98" s="17" t="s">
        <v>168</v>
      </c>
      <c r="D98" s="31" t="s">
        <v>26</v>
      </c>
      <c r="E98" s="8" t="s">
        <v>167</v>
      </c>
      <c r="F98" s="31" t="s">
        <v>26</v>
      </c>
      <c r="G98" s="17" t="s">
        <v>166</v>
      </c>
      <c r="H98" s="31" t="s">
        <v>26</v>
      </c>
    </row>
    <row r="99">
      <c r="A99" s="8" t="s">
        <v>170</v>
      </c>
      <c r="B99" s="31" t="s">
        <v>26</v>
      </c>
      <c r="C99" s="8" t="s">
        <v>169</v>
      </c>
      <c r="D99" s="31" t="s">
        <v>26</v>
      </c>
      <c r="E99" s="17" t="s">
        <v>168</v>
      </c>
      <c r="F99" s="31" t="s">
        <v>26</v>
      </c>
      <c r="G99" s="8" t="s">
        <v>167</v>
      </c>
      <c r="H99" s="31" t="s">
        <v>26</v>
      </c>
    </row>
    <row r="100">
      <c r="A100" s="8" t="s">
        <v>171</v>
      </c>
      <c r="B100" s="31" t="s">
        <v>26</v>
      </c>
      <c r="C100" s="8" t="s">
        <v>170</v>
      </c>
      <c r="D100" s="31" t="s">
        <v>26</v>
      </c>
      <c r="E100" s="8" t="s">
        <v>169</v>
      </c>
      <c r="F100" s="31" t="s">
        <v>26</v>
      </c>
      <c r="G100" s="17" t="s">
        <v>168</v>
      </c>
      <c r="H100" s="31" t="s">
        <v>26</v>
      </c>
    </row>
    <row r="101">
      <c r="A101" s="17" t="s">
        <v>172</v>
      </c>
      <c r="B101" s="31" t="s">
        <v>26</v>
      </c>
      <c r="C101" s="8" t="s">
        <v>171</v>
      </c>
      <c r="D101" s="31" t="s">
        <v>26</v>
      </c>
      <c r="E101" s="8" t="s">
        <v>170</v>
      </c>
      <c r="F101" s="31" t="s">
        <v>26</v>
      </c>
      <c r="G101" s="8" t="s">
        <v>169</v>
      </c>
      <c r="H101" s="31" t="s">
        <v>26</v>
      </c>
    </row>
    <row r="102">
      <c r="A102" s="17" t="s">
        <v>114</v>
      </c>
      <c r="B102" s="23" t="s">
        <v>28</v>
      </c>
      <c r="C102" s="17" t="s">
        <v>172</v>
      </c>
      <c r="D102" s="31" t="s">
        <v>26</v>
      </c>
      <c r="E102" s="8" t="s">
        <v>171</v>
      </c>
      <c r="F102" s="31" t="s">
        <v>26</v>
      </c>
      <c r="G102" s="8" t="s">
        <v>170</v>
      </c>
      <c r="H102" s="31" t="s">
        <v>26</v>
      </c>
    </row>
    <row r="103">
      <c r="A103" s="8" t="s">
        <v>173</v>
      </c>
      <c r="B103" s="23" t="s">
        <v>28</v>
      </c>
      <c r="C103" s="17" t="s">
        <v>114</v>
      </c>
      <c r="D103" s="23" t="s">
        <v>28</v>
      </c>
      <c r="E103" s="17" t="s">
        <v>172</v>
      </c>
      <c r="F103" s="31" t="s">
        <v>26</v>
      </c>
      <c r="G103" s="8" t="s">
        <v>171</v>
      </c>
      <c r="H103" s="31" t="s">
        <v>26</v>
      </c>
    </row>
    <row r="104">
      <c r="A104" s="8" t="s">
        <v>174</v>
      </c>
      <c r="B104" s="23" t="s">
        <v>28</v>
      </c>
      <c r="C104" s="8" t="s">
        <v>173</v>
      </c>
      <c r="D104" s="23" t="s">
        <v>28</v>
      </c>
      <c r="E104" s="17" t="s">
        <v>114</v>
      </c>
      <c r="F104" s="23" t="s">
        <v>28</v>
      </c>
      <c r="G104" s="17" t="s">
        <v>172</v>
      </c>
      <c r="H104" s="31" t="s">
        <v>26</v>
      </c>
    </row>
    <row r="105">
      <c r="A105" s="8" t="s">
        <v>175</v>
      </c>
      <c r="B105" s="23" t="s">
        <v>28</v>
      </c>
      <c r="C105" s="8" t="s">
        <v>174</v>
      </c>
      <c r="D105" s="23" t="s">
        <v>28</v>
      </c>
      <c r="E105" s="8" t="s">
        <v>173</v>
      </c>
      <c r="F105" s="23" t="s">
        <v>28</v>
      </c>
      <c r="G105" s="8" t="s">
        <v>121</v>
      </c>
      <c r="H105" s="31" t="s">
        <v>26</v>
      </c>
    </row>
    <row r="106">
      <c r="A106" s="8" t="s">
        <v>176</v>
      </c>
      <c r="B106" s="23" t="s">
        <v>28</v>
      </c>
      <c r="C106" s="8" t="s">
        <v>175</v>
      </c>
      <c r="D106" s="23" t="s">
        <v>28</v>
      </c>
      <c r="E106" s="8" t="s">
        <v>174</v>
      </c>
      <c r="F106" s="23" t="s">
        <v>28</v>
      </c>
      <c r="G106" s="17" t="s">
        <v>114</v>
      </c>
      <c r="H106" s="23" t="s">
        <v>28</v>
      </c>
    </row>
    <row r="107">
      <c r="A107" s="8" t="s">
        <v>177</v>
      </c>
      <c r="B107" s="23" t="s">
        <v>28</v>
      </c>
      <c r="C107" s="8" t="s">
        <v>176</v>
      </c>
      <c r="D107" s="23" t="s">
        <v>28</v>
      </c>
      <c r="E107" s="8" t="s">
        <v>175</v>
      </c>
      <c r="F107" s="23" t="s">
        <v>28</v>
      </c>
      <c r="G107" s="8" t="s">
        <v>174</v>
      </c>
      <c r="H107" s="23" t="s">
        <v>28</v>
      </c>
    </row>
    <row r="108">
      <c r="A108" s="8" t="s">
        <v>178</v>
      </c>
      <c r="B108" s="23" t="s">
        <v>28</v>
      </c>
      <c r="C108" s="8" t="s">
        <v>177</v>
      </c>
      <c r="D108" s="23" t="s">
        <v>28</v>
      </c>
      <c r="E108" s="8" t="s">
        <v>176</v>
      </c>
      <c r="F108" s="23" t="s">
        <v>28</v>
      </c>
      <c r="G108" s="8" t="s">
        <v>175</v>
      </c>
      <c r="H108" s="23" t="s">
        <v>28</v>
      </c>
    </row>
    <row r="109">
      <c r="A109" s="17" t="s">
        <v>179</v>
      </c>
      <c r="B109" s="23" t="s">
        <v>28</v>
      </c>
      <c r="C109" s="8" t="s">
        <v>178</v>
      </c>
      <c r="D109" s="23" t="s">
        <v>28</v>
      </c>
      <c r="E109" s="8" t="s">
        <v>177</v>
      </c>
      <c r="F109" s="23" t="s">
        <v>28</v>
      </c>
      <c r="G109" s="8" t="s">
        <v>176</v>
      </c>
      <c r="H109" s="23" t="s">
        <v>28</v>
      </c>
    </row>
    <row r="110">
      <c r="A110" s="8" t="s">
        <v>180</v>
      </c>
      <c r="B110" s="23" t="s">
        <v>28</v>
      </c>
      <c r="C110" s="17" t="s">
        <v>179</v>
      </c>
      <c r="D110" s="23" t="s">
        <v>28</v>
      </c>
      <c r="E110" s="8" t="s">
        <v>178</v>
      </c>
      <c r="F110" s="23" t="s">
        <v>28</v>
      </c>
      <c r="G110" s="8" t="s">
        <v>177</v>
      </c>
      <c r="H110" s="23" t="s">
        <v>28</v>
      </c>
    </row>
    <row r="111">
      <c r="A111" s="8" t="s">
        <v>181</v>
      </c>
      <c r="B111" s="23" t="s">
        <v>28</v>
      </c>
      <c r="C111" s="8" t="s">
        <v>180</v>
      </c>
      <c r="D111" s="23" t="s">
        <v>28</v>
      </c>
      <c r="E111" s="17" t="s">
        <v>179</v>
      </c>
      <c r="F111" s="23" t="s">
        <v>28</v>
      </c>
      <c r="G111" s="8" t="s">
        <v>178</v>
      </c>
      <c r="H111" s="23" t="s">
        <v>28</v>
      </c>
    </row>
    <row r="112">
      <c r="A112" s="8" t="s">
        <v>182</v>
      </c>
      <c r="B112" s="23" t="s">
        <v>28</v>
      </c>
      <c r="C112" s="8" t="s">
        <v>181</v>
      </c>
      <c r="D112" s="23" t="s">
        <v>28</v>
      </c>
      <c r="E112" s="8" t="s">
        <v>180</v>
      </c>
      <c r="F112" s="23" t="s">
        <v>28</v>
      </c>
      <c r="G112" s="17" t="s">
        <v>179</v>
      </c>
      <c r="H112" s="23" t="s">
        <v>28</v>
      </c>
    </row>
    <row r="113">
      <c r="A113" s="8" t="s">
        <v>183</v>
      </c>
      <c r="B113" s="23" t="s">
        <v>28</v>
      </c>
      <c r="C113" s="8" t="s">
        <v>182</v>
      </c>
      <c r="D113" s="23" t="s">
        <v>28</v>
      </c>
      <c r="E113" s="8" t="s">
        <v>181</v>
      </c>
      <c r="F113" s="23" t="s">
        <v>28</v>
      </c>
      <c r="G113" s="8" t="s">
        <v>180</v>
      </c>
      <c r="H113" s="23" t="s">
        <v>28</v>
      </c>
    </row>
    <row r="114">
      <c r="A114" s="8" t="s">
        <v>184</v>
      </c>
      <c r="B114" s="23" t="s">
        <v>28</v>
      </c>
      <c r="C114" s="8" t="s">
        <v>183</v>
      </c>
      <c r="D114" s="23" t="s">
        <v>28</v>
      </c>
      <c r="E114" s="8" t="s">
        <v>182</v>
      </c>
      <c r="F114" s="23" t="s">
        <v>28</v>
      </c>
      <c r="G114" s="8" t="s">
        <v>181</v>
      </c>
      <c r="H114" s="23" t="s">
        <v>28</v>
      </c>
    </row>
    <row r="115">
      <c r="A115" s="8" t="s">
        <v>185</v>
      </c>
      <c r="B115" s="23" t="s">
        <v>28</v>
      </c>
      <c r="C115" s="8" t="s">
        <v>184</v>
      </c>
      <c r="D115" s="23" t="s">
        <v>28</v>
      </c>
      <c r="E115" s="8" t="s">
        <v>183</v>
      </c>
      <c r="F115" s="23" t="s">
        <v>28</v>
      </c>
      <c r="G115" s="8" t="s">
        <v>182</v>
      </c>
      <c r="H115" s="23" t="s">
        <v>28</v>
      </c>
    </row>
    <row r="116">
      <c r="A116" s="17" t="s">
        <v>186</v>
      </c>
      <c r="B116" s="23" t="s">
        <v>30</v>
      </c>
      <c r="C116" s="8" t="s">
        <v>185</v>
      </c>
      <c r="D116" s="23" t="s">
        <v>28</v>
      </c>
      <c r="E116" s="8" t="s">
        <v>184</v>
      </c>
      <c r="F116" s="23" t="s">
        <v>28</v>
      </c>
      <c r="G116" s="8" t="s">
        <v>183</v>
      </c>
      <c r="H116" s="23" t="s">
        <v>28</v>
      </c>
    </row>
    <row r="117">
      <c r="A117" s="17" t="s">
        <v>187</v>
      </c>
      <c r="B117" s="23" t="s">
        <v>30</v>
      </c>
      <c r="C117" s="17" t="s">
        <v>186</v>
      </c>
      <c r="D117" s="23" t="s">
        <v>30</v>
      </c>
      <c r="E117" s="8" t="s">
        <v>185</v>
      </c>
      <c r="F117" s="23" t="s">
        <v>28</v>
      </c>
      <c r="G117" s="8" t="s">
        <v>184</v>
      </c>
      <c r="H117" s="23" t="s">
        <v>28</v>
      </c>
    </row>
    <row r="118">
      <c r="A118" s="17" t="s">
        <v>188</v>
      </c>
      <c r="B118" s="23" t="s">
        <v>30</v>
      </c>
      <c r="C118" s="17" t="s">
        <v>187</v>
      </c>
      <c r="D118" s="23" t="s">
        <v>30</v>
      </c>
      <c r="E118" s="17" t="s">
        <v>186</v>
      </c>
      <c r="F118" s="23" t="s">
        <v>30</v>
      </c>
      <c r="G118" s="8" t="s">
        <v>185</v>
      </c>
      <c r="H118" s="23" t="s">
        <v>28</v>
      </c>
    </row>
    <row r="119">
      <c r="A119" s="17" t="s">
        <v>189</v>
      </c>
      <c r="B119" s="23" t="s">
        <v>30</v>
      </c>
      <c r="C119" s="17" t="s">
        <v>188</v>
      </c>
      <c r="D119" s="23" t="s">
        <v>30</v>
      </c>
      <c r="E119" s="17" t="s">
        <v>187</v>
      </c>
      <c r="F119" s="23" t="s">
        <v>30</v>
      </c>
      <c r="G119" s="17" t="s">
        <v>186</v>
      </c>
      <c r="H119" s="23" t="s">
        <v>30</v>
      </c>
    </row>
    <row r="120">
      <c r="A120" s="17" t="s">
        <v>190</v>
      </c>
      <c r="B120" s="23" t="s">
        <v>30</v>
      </c>
      <c r="C120" s="17" t="s">
        <v>189</v>
      </c>
      <c r="D120" s="23" t="s">
        <v>30</v>
      </c>
      <c r="E120" s="17" t="s">
        <v>188</v>
      </c>
      <c r="F120" s="23" t="s">
        <v>30</v>
      </c>
      <c r="G120" s="17" t="s">
        <v>187</v>
      </c>
      <c r="H120" s="23" t="s">
        <v>30</v>
      </c>
    </row>
    <row r="121">
      <c r="A121" s="17" t="s">
        <v>191</v>
      </c>
      <c r="B121" s="23" t="s">
        <v>30</v>
      </c>
      <c r="C121" s="17" t="s">
        <v>190</v>
      </c>
      <c r="D121" s="23" t="s">
        <v>30</v>
      </c>
      <c r="E121" s="17" t="s">
        <v>189</v>
      </c>
      <c r="F121" s="23" t="s">
        <v>30</v>
      </c>
      <c r="G121" s="17" t="s">
        <v>188</v>
      </c>
      <c r="H121" s="23" t="s">
        <v>30</v>
      </c>
    </row>
    <row r="122">
      <c r="A122" s="8" t="s">
        <v>192</v>
      </c>
      <c r="B122" s="23" t="s">
        <v>30</v>
      </c>
      <c r="C122" s="17" t="s">
        <v>191</v>
      </c>
      <c r="D122" s="23" t="s">
        <v>30</v>
      </c>
      <c r="E122" s="17" t="s">
        <v>190</v>
      </c>
      <c r="F122" s="23" t="s">
        <v>30</v>
      </c>
      <c r="G122" s="17" t="s">
        <v>189</v>
      </c>
      <c r="H122" s="23" t="s">
        <v>30</v>
      </c>
    </row>
    <row r="123">
      <c r="A123" s="17" t="s">
        <v>193</v>
      </c>
      <c r="B123" s="23" t="s">
        <v>30</v>
      </c>
      <c r="C123" s="8" t="s">
        <v>192</v>
      </c>
      <c r="D123" s="23" t="s">
        <v>30</v>
      </c>
      <c r="E123" s="17" t="s">
        <v>191</v>
      </c>
      <c r="F123" s="23" t="s">
        <v>30</v>
      </c>
      <c r="G123" s="17" t="s">
        <v>190</v>
      </c>
      <c r="H123" s="23" t="s">
        <v>30</v>
      </c>
    </row>
    <row r="124">
      <c r="A124" s="8" t="s">
        <v>194</v>
      </c>
      <c r="B124" s="23" t="s">
        <v>30</v>
      </c>
      <c r="C124" s="17" t="s">
        <v>193</v>
      </c>
      <c r="D124" s="23" t="s">
        <v>30</v>
      </c>
      <c r="E124" s="8" t="s">
        <v>192</v>
      </c>
      <c r="F124" s="23" t="s">
        <v>30</v>
      </c>
      <c r="G124" s="17" t="s">
        <v>191</v>
      </c>
      <c r="H124" s="23" t="s">
        <v>30</v>
      </c>
    </row>
    <row r="125">
      <c r="A125" s="17" t="s">
        <v>195</v>
      </c>
      <c r="B125" s="23" t="s">
        <v>30</v>
      </c>
      <c r="C125" s="8" t="s">
        <v>194</v>
      </c>
      <c r="D125" s="23" t="s">
        <v>30</v>
      </c>
      <c r="E125" s="17" t="s">
        <v>193</v>
      </c>
      <c r="F125" s="23" t="s">
        <v>30</v>
      </c>
      <c r="G125" s="8" t="s">
        <v>192</v>
      </c>
      <c r="H125" s="23" t="s">
        <v>30</v>
      </c>
    </row>
    <row r="126">
      <c r="A126" s="1" t="s">
        <v>196</v>
      </c>
      <c r="B126" s="31" t="s">
        <v>31</v>
      </c>
      <c r="C126" s="17" t="s">
        <v>195</v>
      </c>
      <c r="D126" s="23" t="s">
        <v>30</v>
      </c>
      <c r="E126" s="8" t="s">
        <v>194</v>
      </c>
      <c r="F126" s="23" t="s">
        <v>30</v>
      </c>
      <c r="G126" s="17" t="s">
        <v>193</v>
      </c>
      <c r="H126" s="23" t="s">
        <v>30</v>
      </c>
    </row>
    <row r="127">
      <c r="A127" s="1" t="s">
        <v>109</v>
      </c>
      <c r="B127" s="31" t="s">
        <v>31</v>
      </c>
      <c r="C127" s="17" t="s">
        <v>198</v>
      </c>
      <c r="D127" s="23" t="s">
        <v>30</v>
      </c>
      <c r="E127" s="17" t="s">
        <v>195</v>
      </c>
      <c r="F127" s="23" t="s">
        <v>30</v>
      </c>
      <c r="G127" s="8" t="s">
        <v>194</v>
      </c>
      <c r="H127" s="23" t="s">
        <v>30</v>
      </c>
    </row>
    <row r="128">
      <c r="A128" s="1" t="s">
        <v>197</v>
      </c>
      <c r="B128" s="31" t="s">
        <v>31</v>
      </c>
      <c r="C128" s="1" t="s">
        <v>196</v>
      </c>
      <c r="D128" s="31" t="s">
        <v>31</v>
      </c>
      <c r="E128" s="17" t="s">
        <v>198</v>
      </c>
      <c r="F128" s="23" t="s">
        <v>30</v>
      </c>
      <c r="G128" s="17" t="s">
        <v>195</v>
      </c>
      <c r="H128" s="23" t="s">
        <v>30</v>
      </c>
    </row>
    <row r="129">
      <c r="A129" s="17" t="s">
        <v>198</v>
      </c>
      <c r="B129" s="31" t="s">
        <v>31</v>
      </c>
      <c r="C129" s="1" t="s">
        <v>109</v>
      </c>
      <c r="D129" s="31" t="s">
        <v>31</v>
      </c>
      <c r="E129" s="1" t="s">
        <v>196</v>
      </c>
      <c r="F129" s="23" t="s">
        <v>30</v>
      </c>
      <c r="G129" s="17" t="s">
        <v>198</v>
      </c>
      <c r="H129" s="23" t="s">
        <v>30</v>
      </c>
    </row>
    <row r="130">
      <c r="A130" s="17" t="s">
        <v>107</v>
      </c>
      <c r="B130" s="31" t="s">
        <v>31</v>
      </c>
      <c r="C130" s="1" t="s">
        <v>197</v>
      </c>
      <c r="D130" s="31" t="s">
        <v>31</v>
      </c>
      <c r="E130" s="1" t="s">
        <v>197</v>
      </c>
      <c r="F130" s="31" t="s">
        <v>31</v>
      </c>
      <c r="G130" s="1" t="s">
        <v>196</v>
      </c>
      <c r="H130" s="23" t="s">
        <v>30</v>
      </c>
    </row>
    <row r="131">
      <c r="A131" s="1" t="s">
        <v>66</v>
      </c>
      <c r="B131" s="31" t="s">
        <v>31</v>
      </c>
      <c r="C131" s="1" t="s">
        <v>66</v>
      </c>
      <c r="D131" s="31" t="s">
        <v>31</v>
      </c>
      <c r="E131" s="1" t="s">
        <v>66</v>
      </c>
      <c r="F131" s="31" t="s">
        <v>31</v>
      </c>
      <c r="G131" s="8" t="s">
        <v>173</v>
      </c>
      <c r="H131" s="23" t="s">
        <v>30</v>
      </c>
    </row>
    <row r="132">
      <c r="C132" s="17"/>
      <c r="D132" s="31"/>
    </row>
    <row r="133">
      <c r="A133" s="17"/>
      <c r="B133" s="23"/>
      <c r="E133" s="23"/>
      <c r="F133" s="23"/>
    </row>
    <row r="134">
      <c r="A134" s="17"/>
      <c r="B134" s="23"/>
      <c r="C134" s="17"/>
      <c r="D134" s="23"/>
      <c r="E134" s="23"/>
      <c r="F134" s="23"/>
    </row>
    <row r="135">
      <c r="A135" s="17"/>
      <c r="B135" s="23"/>
      <c r="C135" s="17"/>
      <c r="D135" s="23"/>
      <c r="E135" s="23"/>
      <c r="F135" s="23"/>
    </row>
    <row r="136">
      <c r="A136" s="17"/>
      <c r="B136" s="23"/>
      <c r="C136" s="17"/>
      <c r="D136" s="23"/>
      <c r="E136" s="23"/>
      <c r="F136" s="23"/>
    </row>
    <row r="137">
      <c r="A137" s="17"/>
      <c r="B137" s="23"/>
      <c r="C137" s="17"/>
      <c r="D137" s="23"/>
      <c r="E137" s="23"/>
      <c r="F137" s="23"/>
      <c r="G137" s="23"/>
      <c r="H137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5"/>
    <col customWidth="1" min="3" max="3" width="7.75"/>
  </cols>
  <sheetData>
    <row r="1">
      <c r="A1" s="2"/>
      <c r="B1" s="5" t="s">
        <v>2</v>
      </c>
      <c r="C1" s="7" t="s">
        <v>4</v>
      </c>
    </row>
    <row r="2">
      <c r="A2" s="2">
        <f t="shared" ref="A2:A12" si="1">A1+1</f>
        <v>1</v>
      </c>
      <c r="B2" s="12" t="s">
        <v>27</v>
      </c>
      <c r="C2" s="15">
        <f t="shared" ref="C2:C12" si="2">RAND()</f>
        <v>0.8845662753</v>
      </c>
    </row>
    <row r="3">
      <c r="A3" s="2">
        <f t="shared" si="1"/>
        <v>2</v>
      </c>
      <c r="B3" s="12" t="s">
        <v>38</v>
      </c>
      <c r="C3" s="15">
        <f t="shared" si="2"/>
        <v>0.3308373469</v>
      </c>
    </row>
    <row r="4">
      <c r="A4" s="2">
        <f t="shared" si="1"/>
        <v>3</v>
      </c>
      <c r="B4" s="12" t="s">
        <v>41</v>
      </c>
      <c r="C4" s="15">
        <f t="shared" si="2"/>
        <v>0.1875827989</v>
      </c>
    </row>
    <row r="5">
      <c r="A5" s="2">
        <f t="shared" si="1"/>
        <v>4</v>
      </c>
      <c r="B5" s="12" t="s">
        <v>44</v>
      </c>
      <c r="C5" s="15">
        <f t="shared" si="2"/>
        <v>0.4125218132</v>
      </c>
    </row>
    <row r="6">
      <c r="A6" s="2">
        <f t="shared" si="1"/>
        <v>5</v>
      </c>
      <c r="B6" s="12" t="s">
        <v>48</v>
      </c>
      <c r="C6" s="15">
        <f t="shared" si="2"/>
        <v>0.07114207095</v>
      </c>
    </row>
    <row r="7">
      <c r="A7" s="2">
        <f t="shared" si="1"/>
        <v>6</v>
      </c>
      <c r="B7" s="12" t="s">
        <v>53</v>
      </c>
      <c r="C7" s="15">
        <f t="shared" si="2"/>
        <v>0.8646428376</v>
      </c>
    </row>
    <row r="8">
      <c r="A8" s="2">
        <f t="shared" si="1"/>
        <v>7</v>
      </c>
      <c r="B8" s="12" t="s">
        <v>58</v>
      </c>
      <c r="C8" s="15">
        <f t="shared" si="2"/>
        <v>0.1394781865</v>
      </c>
    </row>
    <row r="9">
      <c r="A9" s="2">
        <f t="shared" si="1"/>
        <v>8</v>
      </c>
      <c r="B9" s="12" t="s">
        <v>60</v>
      </c>
      <c r="C9" s="15">
        <f t="shared" si="2"/>
        <v>0.463902219</v>
      </c>
    </row>
    <row r="10">
      <c r="A10" s="2">
        <f t="shared" si="1"/>
        <v>9</v>
      </c>
      <c r="B10" s="12" t="s">
        <v>62</v>
      </c>
      <c r="C10" s="15">
        <f t="shared" si="2"/>
        <v>0.832865701</v>
      </c>
    </row>
    <row r="11">
      <c r="A11" s="2">
        <f t="shared" si="1"/>
        <v>10</v>
      </c>
      <c r="B11" s="12" t="s">
        <v>64</v>
      </c>
      <c r="C11" s="15">
        <f t="shared" si="2"/>
        <v>0.8058533569</v>
      </c>
    </row>
    <row r="12">
      <c r="A12" s="2">
        <f t="shared" si="1"/>
        <v>11</v>
      </c>
      <c r="B12" s="12" t="s">
        <v>69</v>
      </c>
      <c r="C12" s="15">
        <f t="shared" si="2"/>
        <v>0.2103197884</v>
      </c>
    </row>
    <row r="13">
      <c r="A13" s="24">
        <v>12.0</v>
      </c>
      <c r="B13" s="12" t="s">
        <v>74</v>
      </c>
      <c r="C13" s="15"/>
    </row>
  </sheetData>
  <autoFilter ref="$B$1:$C$13">
    <sortState ref="B1:C13">
      <sortCondition descending="1" ref="C1:C1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25"/>
    <col customWidth="1" min="3" max="4" width="10.63"/>
    <col customWidth="1" min="5" max="5" width="9.0"/>
    <col customWidth="1" min="6" max="6" width="17.5"/>
    <col customWidth="1" min="7" max="45" width="36.0"/>
  </cols>
  <sheetData>
    <row r="1" ht="1.5" customHeight="1">
      <c r="A1" s="3" t="s">
        <v>1</v>
      </c>
      <c r="B1" s="6" t="s">
        <v>3</v>
      </c>
      <c r="C1" s="6" t="s">
        <v>6</v>
      </c>
      <c r="D1" s="6" t="s">
        <v>7</v>
      </c>
      <c r="E1" s="6" t="s">
        <v>8</v>
      </c>
      <c r="F1" s="6" t="s">
        <v>9</v>
      </c>
      <c r="G1" s="9" t="s">
        <v>10</v>
      </c>
      <c r="H1" s="6" t="s">
        <v>12</v>
      </c>
      <c r="I1" s="6" t="s">
        <v>13</v>
      </c>
      <c r="J1" s="6" t="s">
        <v>14</v>
      </c>
      <c r="K1" s="6" t="s">
        <v>16</v>
      </c>
      <c r="L1" s="6" t="s">
        <v>18</v>
      </c>
      <c r="M1" s="6" t="s">
        <v>21</v>
      </c>
      <c r="N1" s="6" t="s">
        <v>25</v>
      </c>
      <c r="O1" s="13" t="s">
        <v>29</v>
      </c>
      <c r="P1" s="14" t="s">
        <v>34</v>
      </c>
      <c r="Q1" s="16" t="s">
        <v>36</v>
      </c>
      <c r="R1" s="18" t="s">
        <v>39</v>
      </c>
      <c r="S1" s="18" t="s">
        <v>40</v>
      </c>
      <c r="T1" s="19" t="s">
        <v>43</v>
      </c>
      <c r="U1" s="16" t="s">
        <v>46</v>
      </c>
      <c r="V1" s="18" t="s">
        <v>47</v>
      </c>
      <c r="W1" s="20" t="s">
        <v>50</v>
      </c>
      <c r="X1" s="20" t="s">
        <v>51</v>
      </c>
      <c r="Y1" s="13" t="s">
        <v>54</v>
      </c>
      <c r="Z1" s="13" t="s">
        <v>55</v>
      </c>
      <c r="AA1" s="21" t="s">
        <v>57</v>
      </c>
      <c r="AB1" s="22" t="s">
        <v>21</v>
      </c>
      <c r="AC1" s="22" t="s">
        <v>25</v>
      </c>
      <c r="AD1" s="22" t="s">
        <v>63</v>
      </c>
      <c r="AE1" s="21" t="s">
        <v>65</v>
      </c>
      <c r="AF1" s="21" t="s">
        <v>67</v>
      </c>
      <c r="AG1" s="21" t="s">
        <v>70</v>
      </c>
      <c r="AH1" s="22" t="s">
        <v>71</v>
      </c>
      <c r="AI1" s="22" t="s">
        <v>73</v>
      </c>
      <c r="AJ1" s="22" t="s">
        <v>75</v>
      </c>
      <c r="AK1" s="21" t="s">
        <v>77</v>
      </c>
      <c r="AL1" s="21" t="s">
        <v>78</v>
      </c>
      <c r="AM1" s="21" t="s">
        <v>79</v>
      </c>
      <c r="AN1" s="21" t="s">
        <v>81</v>
      </c>
      <c r="AO1" s="22" t="s">
        <v>82</v>
      </c>
      <c r="AP1" s="22" t="s">
        <v>83</v>
      </c>
      <c r="AQ1" s="22" t="s">
        <v>85</v>
      </c>
      <c r="AR1" s="21" t="s">
        <v>86</v>
      </c>
      <c r="AS1" s="21" t="s">
        <v>89</v>
      </c>
    </row>
    <row r="2">
      <c r="A2" s="25">
        <v>1.0</v>
      </c>
      <c r="B2" s="25">
        <v>1.0</v>
      </c>
      <c r="C2" s="26">
        <v>1.0</v>
      </c>
      <c r="D2" s="27" t="str">
        <f>'Draft Order'!B2</f>
        <v>DavEmily</v>
      </c>
      <c r="E2" s="28" t="str">
        <f>if(F2&lt;&gt;"",VLOOKUP(F2,offset('Teams-Conference'!A:B,0,(counta('Draft Order'!B$2:B129)-10)*2),2,0),"")</f>
        <v>SEC</v>
      </c>
      <c r="F2" s="25" t="s">
        <v>114</v>
      </c>
      <c r="G2" s="26"/>
      <c r="H2" s="29">
        <f t="shared" ref="H2:H119" si="1">countif(E3:E12,E2)</f>
        <v>1</v>
      </c>
      <c r="I2" s="29">
        <f t="shared" ref="I2:I107" si="2">countif(E3:E24,E2)</f>
        <v>1</v>
      </c>
      <c r="J2" s="30"/>
      <c r="K2" s="30"/>
      <c r="L2" s="29" t="str">
        <f t="array" ref="L2:L129">iferror(VLOOKUP(F2:F129,'Current Week'!C:D,2,0),"")</f>
        <v/>
      </c>
      <c r="M2" s="29">
        <f>IFERROR(__xludf.DUMMYFUNCTION("counta(iferror(filter(L1:L$2,E1:E$2=E2,L1:L$2&lt;L2)))"),0.0)</f>
        <v>0</v>
      </c>
      <c r="N2" s="29">
        <f>IFERROR(__xludf.DUMMYFUNCTION("counta(iferror(filter(L3:L$129,E3:E$129=E2,L3:L$131&gt;L2)))"),0.0)</f>
        <v>0</v>
      </c>
      <c r="O2" s="34">
        <f t="array" ref="O2:W2">XLOOKUP(F2,'Current Week'!B:B,'Current Week'!C:N)</f>
        <v>10</v>
      </c>
      <c r="P2" s="29">
        <v>2.0</v>
      </c>
      <c r="Q2" s="30" t="s">
        <v>201</v>
      </c>
      <c r="R2" s="35" t="s">
        <v>202</v>
      </c>
      <c r="S2" s="30"/>
      <c r="T2" s="30" t="s">
        <v>203</v>
      </c>
      <c r="U2" s="37" t="s">
        <v>203</v>
      </c>
      <c r="V2" s="37"/>
      <c r="W2" s="37">
        <v>9999.0</v>
      </c>
      <c r="X2" s="37"/>
      <c r="Y2" s="37"/>
      <c r="Z2" s="37"/>
      <c r="AA2" s="39">
        <f t="shared" ref="AA2:AA129" si="3">$O2-max($O2:$O$392)</f>
        <v>-2</v>
      </c>
      <c r="AB2" s="37">
        <f t="shared" ref="AB2:AB129" si="4">countif($O1:$O$2,"&lt;"&amp;$O2)</f>
        <v>0</v>
      </c>
      <c r="AC2" s="37">
        <f>IFERROR(__xludf.DUMMYFUNCTION("iferror(COUNT(filter($O3:$O$392,$O3:$O$392&gt;$O2)))"),10.0)</f>
        <v>10</v>
      </c>
      <c r="AD2" s="40">
        <f t="shared" ref="AD2:AD129" si="5">if(AA2=0,1,0)</f>
        <v>0</v>
      </c>
      <c r="AE2" s="41">
        <f t="shared" ref="AE2:AE129" si="6">$O2-min($O$2:$O2)</f>
        <v>0</v>
      </c>
      <c r="AF2" s="30" t="str">
        <f>IFERROR(__xludf.DUMMYFUNCTION("iferror(join("","",index(sort(filter($F3:$F$392,$O3:$O$392&gt;$O2),2,false),0,1)))"),"Clemson,Boise State,Georgia,Oklahoma,Appalachian State,Memphis,Ohio State,Utah,LSU,Baylor")</f>
        <v>Clemson,Boise State,Georgia,Oklahoma,Appalachian State,Memphis,Ohio State,Utah,LSU,Baylor</v>
      </c>
      <c r="AG2" s="39">
        <f>IFERROR(__xludf.DUMMYFUNCTION("iferror($O2-max(filter($O2:$O$392,$E2:$E$392=$E$2)))"),-2.0)</f>
        <v>-2</v>
      </c>
      <c r="AH2" s="37">
        <f t="shared" ref="AH2:AH129" si="7">countifs($O1:$O$2,"&lt;"&amp;$O2,$E1:$E$2,$E$2)</f>
        <v>0</v>
      </c>
      <c r="AI2" s="37">
        <f>IFERROR(__xludf.DUMMYFUNCTION("iferror(COUNT(filter($O3:$O$392,$O3:$O$392&gt;$O2,$E2:$E$392=$E$2)))"),0.0)</f>
        <v>0</v>
      </c>
      <c r="AJ2" s="40">
        <f t="shared" ref="AJ2:AJ129" si="8">if(AG2=0,1,0)</f>
        <v>0</v>
      </c>
      <c r="AK2" s="41">
        <f>IFERROR(__xludf.DUMMYFUNCTION("iferror($O2-min(filter($O2:$O$392,$E2:$E$392=$E$2)))"),8.0)</f>
        <v>8</v>
      </c>
      <c r="AL2" s="30" t="str">
        <f>IFERROR(__xludf.DUMMYFUNCTION("iferror(join("","",index(sort(filter($F3:$F$392,$O3:$O$392&gt;$O2,$E3:$E$392=$E$2),2,false),0,1)))"),"Georgia,LSU")</f>
        <v>Georgia,LSU</v>
      </c>
      <c r="AM2" s="30" t="str">
        <f>IFERROR(__xludf.DUMMYFUNCTION("REGEXREPLACE(join("","",unique({let(conf_picked,filter(E$1:E1,D$1:D1=D2),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2" s="39">
        <f>IFERROR(__xludf.DUMMYFUNCTION("iferror($O2-max(filter($O2:$O$392,arrayformula(isnumber(FIND($E2:$E$392,AM2))))))"),-2.0)</f>
        <v>-2</v>
      </c>
      <c r="AO2" s="37">
        <f t="array" ref="AO2">countifs($O1:$O$2,"&lt;"&amp;$O2,isnumber(FIND($E1:$E$2,AM2)),TRUE)</f>
        <v>0</v>
      </c>
      <c r="AP2" s="37">
        <f>IFERROR(__xludf.DUMMYFUNCTION("iferror(COUNT(filter($O3:$O$392,$O3:$O$392&gt;$O2,arrayformula(isnumber(FIND($E3:$E$392,AM2))))))"),10.0)</f>
        <v>10</v>
      </c>
      <c r="AQ2" s="40">
        <f t="shared" ref="AQ2:AQ129" si="9">if(AN2=0,1,0)</f>
        <v>0</v>
      </c>
      <c r="AR2" s="41">
        <f>IFERROR(__xludf.DUMMYFUNCTION("iferror($O2-min(filter($O2:$O$392,arrayformula(isnumber(FIND($E2:$E$392,AM2))))))"),10.0)</f>
        <v>10</v>
      </c>
      <c r="AS2" s="48" t="str">
        <f>IFERROR(__xludf.DUMMYFUNCTION("iferror(join("","",index(sort(filter($F3:$F$392,$O3:$O$392&gt;$O2,arrayformula(isnumber(FIND($E3:$E$392,AM2)))),2,false),0,1)))"),"Clemson,Boise State,Georgia,Oklahoma,Appalachian State,Memphis,Ohio State,Utah,LSU,Baylor")</f>
        <v>Clemson,Boise State,Georgia,Oklahoma,Appalachian State,Memphis,Ohio State,Utah,LSU,Baylor</v>
      </c>
    </row>
    <row r="3">
      <c r="A3" s="1">
        <f t="shared" ref="A3:A129" si="10">A2+1</f>
        <v>2</v>
      </c>
      <c r="B3" s="1">
        <v>1.0</v>
      </c>
      <c r="C3" s="50">
        <v>2.0</v>
      </c>
      <c r="D3" s="51" t="str">
        <f>'Draft Order'!B3</f>
        <v>Nick A.</v>
      </c>
      <c r="E3" s="52" t="str">
        <f>if(F3&lt;&gt;"",VLOOKUP(F3,offset('Teams-Conference'!A:B,0,(counta('Draft Order'!B$2:B129)-10)*2),2,0),"")</f>
        <v>ACC</v>
      </c>
      <c r="F3" s="53" t="s">
        <v>68</v>
      </c>
      <c r="G3" s="50"/>
      <c r="H3" s="29">
        <f t="shared" si="1"/>
        <v>0</v>
      </c>
      <c r="I3" s="29">
        <f t="shared" si="2"/>
        <v>0</v>
      </c>
      <c r="J3" s="30"/>
      <c r="K3" s="30"/>
      <c r="L3" s="29"/>
      <c r="M3" s="29">
        <f>IFERROR(__xludf.DUMMYFUNCTION("counta(iferror(filter(L2:L$2,E2:E$2=E3,L2:L$2&lt;L3)))"),0.0)</f>
        <v>0</v>
      </c>
      <c r="N3" s="29">
        <f>IFERROR(__xludf.DUMMYFUNCTION("counta(iferror(filter(L4:L$129,E4:E$129=E3,L4:L$131&gt;L3)))"),0.0)</f>
        <v>0</v>
      </c>
      <c r="O3" s="34">
        <f t="array" ref="O3:W3">XLOOKUP(F3,'Current Week'!B:B,'Current Week'!C:N)</f>
        <v>12</v>
      </c>
      <c r="P3" s="29">
        <v>0.0</v>
      </c>
      <c r="Q3" s="30" t="s">
        <v>207</v>
      </c>
      <c r="R3" s="35" t="s">
        <v>208</v>
      </c>
      <c r="S3" s="30" t="s">
        <v>209</v>
      </c>
      <c r="T3" s="30">
        <v>-29.0</v>
      </c>
      <c r="U3" s="37">
        <v>54.0</v>
      </c>
      <c r="V3" s="37" t="s">
        <v>53</v>
      </c>
      <c r="W3" s="37" t="s">
        <v>209</v>
      </c>
      <c r="X3" s="37"/>
      <c r="Y3" s="37"/>
      <c r="Z3" s="37"/>
      <c r="AA3" s="39">
        <f t="shared" si="3"/>
        <v>0</v>
      </c>
      <c r="AB3" s="37">
        <f t="shared" si="4"/>
        <v>1</v>
      </c>
      <c r="AC3" s="37">
        <f>IFERROR(__xludf.DUMMYFUNCTION("iferror(COUNT(filter($O4:$O$392,$O4:$O$392&gt;$O3)))"),0.0)</f>
        <v>0</v>
      </c>
      <c r="AD3" s="40">
        <f t="shared" si="5"/>
        <v>1</v>
      </c>
      <c r="AE3" s="41">
        <f t="shared" si="6"/>
        <v>2</v>
      </c>
      <c r="AF3" s="30" t="str">
        <f>IFERROR(__xludf.DUMMYFUNCTION("iferror(join("","",index(sort(filter($F4:$F$393,$O4:$O$393&gt;$O3),2,false),0,1)))"),"")</f>
        <v/>
      </c>
      <c r="AG3" s="39">
        <f>IFERROR(__xludf.DUMMYFUNCTION("iferror($O3-max(filter($O3:$O$392,$E3:$E$392=$E$2)))"),0.0)</f>
        <v>0</v>
      </c>
      <c r="AH3" s="37">
        <f t="shared" si="7"/>
        <v>1</v>
      </c>
      <c r="AI3" s="37">
        <f>IFERROR(__xludf.DUMMYFUNCTION("iferror(COUNT(filter($O4:$O$392,$O4:$O$392&gt;$O3,$E3:$E$392=$E$2)))"),0.0)</f>
        <v>0</v>
      </c>
      <c r="AJ3" s="40">
        <f t="shared" si="8"/>
        <v>1</v>
      </c>
      <c r="AK3" s="41">
        <f>IFERROR(__xludf.DUMMYFUNCTION("iferror($O3-min(filter($O3:$O$392,$E3:$E$392=$E$2)))"),10.0)</f>
        <v>10</v>
      </c>
      <c r="AL3" s="30" t="str">
        <f>IFERROR(__xludf.DUMMYFUNCTION("iferror(join("","",index(sort(filter($F4:$F$392,$O4:$O$392&gt;$O3,$E4:$E$392=$E$2),2,false),0,1)))"),"")</f>
        <v/>
      </c>
      <c r="AM3" s="30" t="str">
        <f>IFERROR(__xludf.DUMMYFUNCTION("REGEXREPLACE(join("","",unique({let(conf_picked,filter(E$1:E2,D$1:D2=D3),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3" s="39">
        <f>IFERROR(__xludf.DUMMYFUNCTION("iferror($O3-max(filter($O3:$O$392,arrayformula(isnumber(FIND($E3:$E$392,AM3))))))"),0.0)</f>
        <v>0</v>
      </c>
      <c r="AO3" s="37">
        <f t="array" ref="AO3">countifs($O2:$O$2,"&lt;"&amp;$O3,isnumber(FIND($E2:$E$2,AM3)),TRUE)</f>
        <v>1</v>
      </c>
      <c r="AP3" s="37">
        <f>IFERROR(__xludf.DUMMYFUNCTION("iferror(COUNT(filter($O4:$O$392,$O4:$O$392&gt;$O3,arrayformula(isnumber(FIND($E4:$E$392,AM3))))))"),0.0)</f>
        <v>0</v>
      </c>
      <c r="AQ3" s="40">
        <f t="shared" si="9"/>
        <v>1</v>
      </c>
      <c r="AR3" s="41">
        <f>IFERROR(__xludf.DUMMYFUNCTION("iferror($O3-min(filter($O3:$O$392,arrayformula(isnumber(FIND($E3:$E$392,AM3))))))"),12.0)</f>
        <v>12</v>
      </c>
      <c r="AS3" s="48" t="str">
        <f>IFERROR(__xludf.DUMMYFUNCTION("iferror(join("","",index(sort(filter($F4:$F$392,$O4:$O$392&gt;$O3,arrayformula(isnumber(FIND($E4:$E$392,AM3)))),2,false),0,1)))"),"")</f>
        <v/>
      </c>
    </row>
    <row r="4">
      <c r="A4" s="1">
        <f t="shared" si="10"/>
        <v>3</v>
      </c>
      <c r="B4" s="1">
        <v>1.0</v>
      </c>
      <c r="C4" s="50">
        <v>3.0</v>
      </c>
      <c r="D4" s="56" t="str">
        <f>'Draft Order'!B4</f>
        <v>Gary</v>
      </c>
      <c r="E4" s="52" t="str">
        <f>if(F4&lt;&gt;"",VLOOKUP(F4,offset('Teams-Conference'!A:B,0,(counta('Draft Order'!B$2:B129)-10)*2),2,0),"")</f>
        <v>MAC</v>
      </c>
      <c r="F4" t="s">
        <v>146</v>
      </c>
      <c r="G4" s="50"/>
      <c r="H4" s="29">
        <f t="shared" si="1"/>
        <v>0</v>
      </c>
      <c r="I4" s="29">
        <f t="shared" si="2"/>
        <v>2</v>
      </c>
      <c r="J4" s="30"/>
      <c r="K4" s="30"/>
      <c r="L4" s="29"/>
      <c r="M4" s="29">
        <f>IFERROR(__xludf.DUMMYFUNCTION("counta(iferror(filter(L$2:L3,E$2:E3=E4,L$2:L3&lt;L4)))"),0.0)</f>
        <v>0</v>
      </c>
      <c r="N4" s="29">
        <f>IFERROR(__xludf.DUMMYFUNCTION("counta(iferror(filter(L5:L$129,E5:E$129=E4,L5:L$131&gt;L4)))"),0.0)</f>
        <v>0</v>
      </c>
      <c r="O4" s="34">
        <f t="array" ref="O4:W4">XLOOKUP(F4,'Current Week'!B:B,'Current Week'!C:N)</f>
        <v>6</v>
      </c>
      <c r="P4" s="29">
        <v>6.0</v>
      </c>
      <c r="Q4" s="30" t="s">
        <v>215</v>
      </c>
      <c r="R4" s="35" t="s">
        <v>202</v>
      </c>
      <c r="S4" s="30"/>
      <c r="T4" s="30" t="s">
        <v>203</v>
      </c>
      <c r="U4" s="37" t="s">
        <v>203</v>
      </c>
      <c r="V4" s="37"/>
      <c r="W4" s="37">
        <v>9999.0</v>
      </c>
      <c r="X4" s="37"/>
      <c r="Y4" s="37"/>
      <c r="Z4" s="37"/>
      <c r="AA4" s="39">
        <f t="shared" si="3"/>
        <v>-6</v>
      </c>
      <c r="AB4" s="37">
        <f t="shared" si="4"/>
        <v>0</v>
      </c>
      <c r="AC4" s="37">
        <f>IFERROR(__xludf.DUMMYFUNCTION("iferror(COUNT(filter($O5:$O$392,$O5:$O$392&gt;$O4)))"),60.0)</f>
        <v>60</v>
      </c>
      <c r="AD4" s="40">
        <f t="shared" si="5"/>
        <v>0</v>
      </c>
      <c r="AE4" s="41">
        <f t="shared" si="6"/>
        <v>0</v>
      </c>
      <c r="AF4" s="30" t="str">
        <f>IFERROR(__xludf.DUMMYFUNCTION("iferror(join("","",index(sort(filter($F5:$F$393,$O5:$O$393&gt;$O4),2,false),0,1)))"),"Boise State,Georgia,Oklahoma,Appalachian State,UCF,Washington,Memphis,Ohio State,Utah,Michigan,Texas,Oregon,Western Michigan,Georgia Southern,Notre Dame,San Diego State,Utah State,Air Force,Cincinnati,Nevada,Florida Atlantic,Wyoming,Temple,Hawaii,Buffalo,"&amp;"SMU,Miami-OH,Navy,Iowa State,Virginia Tech,LSU,Marshall,Wisconsin,Penn State,Georgia State,USC,Oklahoma State,Auburn,Louisiana Tech,Southern Mississippi,Florida,Baylor,UAB,Arizona State,California,BYU,Iowa,Texas A&amp;M,Minnesota,Kansas State,Indiana,Wake For"&amp;"est,Western Kentucky,Virginia,Charlotte,Pittsburgh,Tennessee,Kentucky,Central Michigan,Louisville")</f>
        <v>Boise State,Georgia,Oklahoma,Appalachian State,UCF,Washington,Memphis,Ohio State,Utah,Michigan,Texas,Oregon,Western Michigan,Georgia Southern,Notre Dame,San Diego State,Utah State,Air Force,Cincinnati,Nevada,Florida Atlantic,Wyoming,Temple,Hawaii,Buffalo,SMU,Miami-OH,Navy,Iowa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4" s="39">
        <f>IFERROR(__xludf.DUMMYFUNCTION("iferror($O4-max(filter($O4:$O$392,$E4:$E$392=$E$2)))"),-6.0)</f>
        <v>-6</v>
      </c>
      <c r="AH4" s="37">
        <f t="shared" si="7"/>
        <v>0</v>
      </c>
      <c r="AI4" s="37">
        <f>IFERROR(__xludf.DUMMYFUNCTION("iferror(COUNT(filter($O5:$O$392,$O5:$O$392&gt;$O4,$E4:$E$392=$E$2)))"),0.0)</f>
        <v>0</v>
      </c>
      <c r="AJ4" s="40">
        <f t="shared" si="8"/>
        <v>0</v>
      </c>
      <c r="AK4" s="41">
        <f>IFERROR(__xludf.DUMMYFUNCTION("iferror($O4-min(filter($O4:$O$392,$E4:$E$392=$E$2)))"),4.0)</f>
        <v>4</v>
      </c>
      <c r="AL4" s="30" t="str">
        <f>IFERROR(__xludf.DUMMYFUNCTION("iferror(join("","",index(sort(filter($F5:$F$392,$O5:$O$392&gt;$O4,$E5:$E$392=$E$2),2,false),0,1)))"),"Georgia,LSU,Auburn,Florida,Texas A&amp;M,Tennessee,Kentucky")</f>
        <v>Georgia,LSU,Auburn,Florida,Texas A&amp;M,Tennessee,Kentucky</v>
      </c>
      <c r="AM4" s="30" t="str">
        <f>IFERROR(__xludf.DUMMYFUNCTION("REGEXREPLACE(join("","",unique({let(conf_picked,filter(E$1:E3,D$1:D3=D4),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4" s="39">
        <f>IFERROR(__xludf.DUMMYFUNCTION("iferror($O4-max(filter($O4:$O$392,arrayformula(isnumber(FIND($E4:$E$392,AM4))))))"),-6.0)</f>
        <v>-6</v>
      </c>
      <c r="AO4" s="37">
        <f t="array" ref="AO4">countifs($O$2:$O3,"&lt;"&amp;$O4,isnumber(FIND($E$2:$E3,AM4)),TRUE)</f>
        <v>0</v>
      </c>
      <c r="AP4" s="37">
        <f>IFERROR(__xludf.DUMMYFUNCTION("iferror(COUNT(filter($O5:$O$392,$O5:$O$392&gt;$O4,arrayformula(isnumber(FIND($E5:$E$392,AM4))))))"),60.0)</f>
        <v>60</v>
      </c>
      <c r="AQ4" s="40">
        <f t="shared" si="9"/>
        <v>0</v>
      </c>
      <c r="AR4" s="41">
        <f>IFERROR(__xludf.DUMMYFUNCTION("iferror($O4-min(filter($O4:$O$392,arrayformula(isnumber(FIND($E4:$E$392,AM4))))))"),6.0)</f>
        <v>6</v>
      </c>
      <c r="AS4" s="48" t="str">
        <f>IFERROR(__xludf.DUMMYFUNCTION("iferror(join("","",index(sort(filter($F5:$F$392,$O5:$O$392&gt;$O4,arrayformula(isnumber(FIND($E5:$E$392,AM4)))),2,false),0,1)))"),"Boise State,Georgia,Oklahoma,Appalachian State,UCF,Washington,Memphis,Ohio State,Utah,Michigan,Texas,Oregon,Western Michigan,Georgia Southern,Notre Dame,San Diego State,Utah State,Air Force,Cincinnati,Nevada,Florida Atlantic,Wyoming,Temple,Hawaii,Buffalo,"&amp;"SMU,Miami-OH,Navy,Iowa State,Virginia Tech,LSU,Marshall,Wisconsin,Penn State,Georgia State,USC,Oklahoma State,Auburn,Louisiana Tech,Southern Mississippi,Florida,Baylor,UAB,Arizona State,California,BYU,Iowa,Texas A&amp;M,Minnesota,Kansas State,Indiana,Wake For"&amp;"est,Western Kentucky,Virginia,Charlotte,Pittsburgh,Tennessee,Kentucky,Central Michigan,Louisville")</f>
        <v>Boise State,Georgia,Oklahoma,Appalachian State,UCF,Washington,Memphis,Ohio State,Utah,Michigan,Texas,Oregon,Western Michigan,Georgia Southern,Notre Dame,San Diego State,Utah State,Air Force,Cincinnati,Nevada,Florida Atlantic,Wyoming,Temple,Hawaii,Buffalo,SMU,Miami-OH,Navy,Iowa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</row>
    <row r="5">
      <c r="A5" s="1">
        <f t="shared" si="10"/>
        <v>4</v>
      </c>
      <c r="B5" s="1">
        <v>1.0</v>
      </c>
      <c r="C5" s="1">
        <v>4.0</v>
      </c>
      <c r="D5" s="51" t="str">
        <f>'Draft Order'!B5</f>
        <v>Janice/Mike</v>
      </c>
      <c r="E5" s="52" t="str">
        <f>if(F5&lt;&gt;"",VLOOKUP(F5,offset('Teams-Conference'!A:B,0,(counta('Draft Order'!B$2:B129)-10)*2),2,0),"")</f>
        <v>MWC</v>
      </c>
      <c r="F5" s="1" t="s">
        <v>150</v>
      </c>
      <c r="H5" s="29">
        <f t="shared" si="1"/>
        <v>0</v>
      </c>
      <c r="I5" s="29">
        <f t="shared" si="2"/>
        <v>2</v>
      </c>
      <c r="J5" s="30"/>
      <c r="K5" s="30"/>
      <c r="L5" s="29"/>
      <c r="M5" s="29">
        <f>IFERROR(__xludf.DUMMYFUNCTION("counta(iferror(filter(L$2:L4,E$2:E4=E5,L$2:L4&lt;L5)))"),0.0)</f>
        <v>0</v>
      </c>
      <c r="N5" s="29">
        <f>IFERROR(__xludf.DUMMYFUNCTION("counta(iferror(filter(L6:L$129,E6:E$129=E5,L6:L$131&gt;L5)))"),0.0)</f>
        <v>0</v>
      </c>
      <c r="O5" s="34">
        <f t="array" ref="O5:W5">XLOOKUP(F5,'Current Week'!B:B,'Current Week'!C:N)</f>
        <v>11</v>
      </c>
      <c r="P5" s="29">
        <v>1.0</v>
      </c>
      <c r="Q5" s="30" t="s">
        <v>215</v>
      </c>
      <c r="R5" s="35" t="s">
        <v>224</v>
      </c>
      <c r="S5" s="30" t="s">
        <v>225</v>
      </c>
      <c r="T5" s="30" t="s">
        <v>226</v>
      </c>
      <c r="U5" s="37">
        <v>64.0</v>
      </c>
      <c r="V5" s="37" t="s">
        <v>62</v>
      </c>
      <c r="W5" s="37" t="s">
        <v>225</v>
      </c>
      <c r="X5" s="37"/>
      <c r="Y5" s="37"/>
      <c r="Z5" s="37"/>
      <c r="AA5" s="39">
        <f t="shared" si="3"/>
        <v>-1</v>
      </c>
      <c r="AB5" s="37">
        <f t="shared" si="4"/>
        <v>2</v>
      </c>
      <c r="AC5" s="37">
        <f>IFERROR(__xludf.DUMMYFUNCTION("iferror(COUNT(filter($O6:$O$392,$O6:$O$392&gt;$O5)))"),2.0)</f>
        <v>2</v>
      </c>
      <c r="AD5" s="40">
        <f t="shared" si="5"/>
        <v>0</v>
      </c>
      <c r="AE5" s="41">
        <f t="shared" si="6"/>
        <v>5</v>
      </c>
      <c r="AF5" s="30" t="str">
        <f>IFERROR(__xludf.DUMMYFUNCTION("iferror(join("","",index(sort(filter($F6:$F$393,$O6:$O$393&gt;$O5),2,false),0,1)))"),"Ohio State,LSU")</f>
        <v>Ohio State,LSU</v>
      </c>
      <c r="AG5" s="39">
        <f>IFERROR(__xludf.DUMMYFUNCTION("iferror($O5-max(filter($O5:$O$392,$E5:$E$392=$E$2)))"),-1.0)</f>
        <v>-1</v>
      </c>
      <c r="AH5" s="37">
        <f t="shared" si="7"/>
        <v>1</v>
      </c>
      <c r="AI5" s="37">
        <f>IFERROR(__xludf.DUMMYFUNCTION("iferror(COUNT(filter($O6:$O$392,$O6:$O$392&gt;$O5,$E5:$E$392=$E$2)))"),0.0)</f>
        <v>0</v>
      </c>
      <c r="AJ5" s="40">
        <f t="shared" si="8"/>
        <v>0</v>
      </c>
      <c r="AK5" s="41">
        <f>IFERROR(__xludf.DUMMYFUNCTION("iferror($O5-min(filter($O5:$O$392,$E5:$E$392=$E$2)))"),9.0)</f>
        <v>9</v>
      </c>
      <c r="AL5" s="30" t="str">
        <f>IFERROR(__xludf.DUMMYFUNCTION("iferror(join("","",index(sort(filter($F6:$F$392,$O6:$O$392&gt;$O5,$E6:$E$392=$E$2),2,false),0,1)))"),"LSU")</f>
        <v>LSU</v>
      </c>
      <c r="AM5" s="30" t="str">
        <f>IFERROR(__xludf.DUMMYFUNCTION("REGEXREPLACE(join("","",unique({let(conf_picked,filter(E$1:E4,D$1:D4=D5),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5" s="39">
        <f>IFERROR(__xludf.DUMMYFUNCTION("iferror($O5-max(filter($O5:$O$392,arrayformula(isnumber(FIND($E5:$E$392,AM5))))))"),-1.0)</f>
        <v>-1</v>
      </c>
      <c r="AO5" s="37">
        <f t="array" ref="AO5">countifs($O$2:$O4,"&lt;"&amp;$O5,isnumber(FIND($E$2:$E4,AM5)),TRUE)</f>
        <v>2</v>
      </c>
      <c r="AP5" s="37">
        <f>IFERROR(__xludf.DUMMYFUNCTION("iferror(COUNT(filter($O6:$O$392,$O6:$O$392&gt;$O5,arrayformula(isnumber(FIND($E6:$E$392,AM5))))))"),2.0)</f>
        <v>2</v>
      </c>
      <c r="AQ5" s="40">
        <f t="shared" si="9"/>
        <v>0</v>
      </c>
      <c r="AR5" s="41">
        <f>IFERROR(__xludf.DUMMYFUNCTION("iferror($O5-min(filter($O5:$O$392,arrayformula(isnumber(FIND($E5:$E$392,AM5))))))"),11.0)</f>
        <v>11</v>
      </c>
      <c r="AS5" s="48" t="str">
        <f>IFERROR(__xludf.DUMMYFUNCTION("iferror(join("","",index(sort(filter($F6:$F$392,$O6:$O$392&gt;$O5,arrayformula(isnumber(FIND($E6:$E$392,AM5)))),2,false),0,1)))"),"Ohio State,LSU")</f>
        <v>Ohio State,LSU</v>
      </c>
    </row>
    <row r="6">
      <c r="A6" s="1">
        <f t="shared" si="10"/>
        <v>5</v>
      </c>
      <c r="B6" s="1">
        <v>1.0</v>
      </c>
      <c r="C6" s="1">
        <v>5.0</v>
      </c>
      <c r="D6" s="51" t="str">
        <f>'Draft Order'!B6</f>
        <v>Nico</v>
      </c>
      <c r="E6" s="52" t="str">
        <f>if(F6&lt;&gt;"",VLOOKUP(F6,offset('Teams-Conference'!A:B,0,(counta('Draft Order'!B$2:B129)-10)*2),2,0),"")</f>
        <v>SEC</v>
      </c>
      <c r="F6" s="96" t="s">
        <v>176</v>
      </c>
      <c r="H6" s="29">
        <f t="shared" si="1"/>
        <v>0</v>
      </c>
      <c r="I6" s="29">
        <f t="shared" si="2"/>
        <v>0</v>
      </c>
      <c r="J6" s="30"/>
      <c r="K6" s="30"/>
      <c r="L6" s="29"/>
      <c r="M6" s="29">
        <f>IFERROR(__xludf.DUMMYFUNCTION("counta(iferror(filter(L$2:L5,E$2:E5=E6,L$2:L5&lt;L6)))"),0.0)</f>
        <v>0</v>
      </c>
      <c r="N6" s="29">
        <f>IFERROR(__xludf.DUMMYFUNCTION("counta(iferror(filter(L7:L$129,E7:E$129=E6,L7:L$131&gt;L6)))"),0.0)</f>
        <v>0</v>
      </c>
      <c r="O6" s="34">
        <f t="array" ref="O6:W6">XLOOKUP(F6,'Current Week'!B:B,'Current Week'!C:N)</f>
        <v>11</v>
      </c>
      <c r="P6" s="29">
        <v>1.0</v>
      </c>
      <c r="Q6" s="30" t="s">
        <v>234</v>
      </c>
      <c r="R6" s="35" t="s">
        <v>235</v>
      </c>
      <c r="S6" s="30" t="s">
        <v>225</v>
      </c>
      <c r="T6" s="30" t="s">
        <v>236</v>
      </c>
      <c r="U6" s="37" t="s">
        <v>237</v>
      </c>
      <c r="V6" s="37" t="s">
        <v>38</v>
      </c>
      <c r="W6" s="37" t="s">
        <v>225</v>
      </c>
      <c r="X6" s="37"/>
      <c r="Y6" s="37"/>
      <c r="Z6" s="37"/>
      <c r="AA6" s="39">
        <f t="shared" si="3"/>
        <v>-1</v>
      </c>
      <c r="AB6" s="37">
        <f t="shared" si="4"/>
        <v>2</v>
      </c>
      <c r="AC6" s="37">
        <f>IFERROR(__xludf.DUMMYFUNCTION("iferror(COUNT(filter($O7:$O$392,$O7:$O$392&gt;$O6)))"),2.0)</f>
        <v>2</v>
      </c>
      <c r="AD6" s="40">
        <f t="shared" si="5"/>
        <v>0</v>
      </c>
      <c r="AE6" s="41">
        <f t="shared" si="6"/>
        <v>5</v>
      </c>
      <c r="AF6" s="30" t="str">
        <f>IFERROR(__xludf.DUMMYFUNCTION("iferror(join("","",index(sort(filter($F7:$F$393,$O7:$O$393&gt;$O6),2,false),0,1)))"),"Ohio State,LSU")</f>
        <v>Ohio State,LSU</v>
      </c>
      <c r="AG6" s="39">
        <f>IFERROR(__xludf.DUMMYFUNCTION("iferror($O6-max(filter($O6:$O$392,$E6:$E$392=$E$2)))"),-1.0)</f>
        <v>-1</v>
      </c>
      <c r="AH6" s="37">
        <f t="shared" si="7"/>
        <v>1</v>
      </c>
      <c r="AI6" s="37">
        <f>IFERROR(__xludf.DUMMYFUNCTION("iferror(COUNT(filter($O7:$O$392,$O7:$O$392&gt;$O6,$E6:$E$392=$E$2)))"),0.0)</f>
        <v>0</v>
      </c>
      <c r="AJ6" s="40">
        <f t="shared" si="8"/>
        <v>0</v>
      </c>
      <c r="AK6" s="41">
        <f>IFERROR(__xludf.DUMMYFUNCTION("iferror($O6-min(filter($O6:$O$392,$E6:$E$392=$E$2)))"),9.0)</f>
        <v>9</v>
      </c>
      <c r="AL6" s="30" t="str">
        <f>IFERROR(__xludf.DUMMYFUNCTION("iferror(join("","",index(sort(filter($F7:$F$392,$O7:$O$392&gt;$O6,$E7:$E$392=$E$2),2,false),0,1)))"),"LSU")</f>
        <v>LSU</v>
      </c>
      <c r="AM6" s="30" t="str">
        <f>IFERROR(__xludf.DUMMYFUNCTION("REGEXREPLACE(join("","",unique({let(conf_picked,filter(E$1:E5,D$1:D5=D6),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6" s="39">
        <f>IFERROR(__xludf.DUMMYFUNCTION("iferror($O6-max(filter($O6:$O$392,arrayformula(isnumber(FIND($E6:$E$392,AM6))))))"),-1.0)</f>
        <v>-1</v>
      </c>
      <c r="AO6" s="37">
        <f t="array" ref="AO6">countifs($O$2:$O5,"&lt;"&amp;$O6,isnumber(FIND($E$2:$E5,AM6)),TRUE)</f>
        <v>2</v>
      </c>
      <c r="AP6" s="37">
        <f>IFERROR(__xludf.DUMMYFUNCTION("iferror(COUNT(filter($O7:$O$392,$O7:$O$392&gt;$O6,arrayformula(isnumber(FIND($E7:$E$392,AM6))))))"),2.0)</f>
        <v>2</v>
      </c>
      <c r="AQ6" s="40">
        <f t="shared" si="9"/>
        <v>0</v>
      </c>
      <c r="AR6" s="41">
        <f>IFERROR(__xludf.DUMMYFUNCTION("iferror($O6-min(filter($O6:$O$392,arrayformula(isnumber(FIND($E6:$E$392,AM6))))))"),11.0)</f>
        <v>11</v>
      </c>
      <c r="AS6" s="48" t="str">
        <f>IFERROR(__xludf.DUMMYFUNCTION("iferror(join("","",index(sort(filter($F7:$F$392,$O7:$O$392&gt;$O6,arrayformula(isnumber(FIND($E7:$E$392,AM6)))),2,false),0,1)))"),"Ohio State,LSU")</f>
        <v>Ohio State,LSU</v>
      </c>
    </row>
    <row r="7">
      <c r="A7" s="1">
        <f t="shared" si="10"/>
        <v>6</v>
      </c>
      <c r="B7" s="1">
        <v>1.0</v>
      </c>
      <c r="C7" s="1">
        <v>6.0</v>
      </c>
      <c r="D7" s="51" t="str">
        <f>'Draft Order'!B7</f>
        <v>Jeannine</v>
      </c>
      <c r="E7" s="52" t="str">
        <f>if(F7&lt;&gt;"",VLOOKUP(F7,offset('Teams-Conference'!A:B,0,(counta('Draft Order'!B$2:B129)-10)*2),2,0),"")</f>
        <v>Big 12</v>
      </c>
      <c r="F7" t="s">
        <v>100</v>
      </c>
      <c r="H7" s="29">
        <f t="shared" si="1"/>
        <v>0</v>
      </c>
      <c r="I7" s="29">
        <f t="shared" si="2"/>
        <v>2</v>
      </c>
      <c r="J7" s="30"/>
      <c r="K7" s="30"/>
      <c r="L7" s="29"/>
      <c r="M7" s="29">
        <f>IFERROR(__xludf.DUMMYFUNCTION("counta(iferror(filter(L$2:L6,E$2:E6=E7,L$2:L6&lt;L7)))"),0.0)</f>
        <v>0</v>
      </c>
      <c r="N7" s="29">
        <f>IFERROR(__xludf.DUMMYFUNCTION("counta(iferror(filter(L8:L$129,E8:E$129=E7,L8:L$131&gt;L7)))"),0.0)</f>
        <v>0</v>
      </c>
      <c r="O7" s="34">
        <f t="array" ref="O7:W7">XLOOKUP(F7,'Current Week'!B:B,'Current Week'!C:N)</f>
        <v>11</v>
      </c>
      <c r="P7" s="29">
        <v>1.0</v>
      </c>
      <c r="Q7" s="30" t="s">
        <v>207</v>
      </c>
      <c r="R7" s="30" t="s">
        <v>238</v>
      </c>
      <c r="S7" s="30" t="s">
        <v>239</v>
      </c>
      <c r="T7" s="30">
        <v>-9.0</v>
      </c>
      <c r="U7" s="37" t="s">
        <v>240</v>
      </c>
      <c r="V7" s="37" t="s">
        <v>58</v>
      </c>
      <c r="W7" s="37" t="s">
        <v>239</v>
      </c>
      <c r="X7" s="37"/>
      <c r="Y7" s="37"/>
      <c r="Z7" s="37"/>
      <c r="AA7" s="39">
        <f t="shared" si="3"/>
        <v>-1</v>
      </c>
      <c r="AB7" s="37">
        <f t="shared" si="4"/>
        <v>2</v>
      </c>
      <c r="AC7" s="37">
        <f>IFERROR(__xludf.DUMMYFUNCTION("iferror(COUNT(filter($O8:$O$392,$O8:$O$392&gt;$O7)))"),2.0)</f>
        <v>2</v>
      </c>
      <c r="AD7" s="40">
        <f t="shared" si="5"/>
        <v>0</v>
      </c>
      <c r="AE7" s="41">
        <f t="shared" si="6"/>
        <v>5</v>
      </c>
      <c r="AF7" s="30" t="str">
        <f>IFERROR(__xludf.DUMMYFUNCTION("iferror(join("","",index(sort(filter($F8:$F$393,$O8:$O$393&gt;$O7),2,false),0,1)))"),"Ohio State,LSU")</f>
        <v>Ohio State,LSU</v>
      </c>
      <c r="AG7" s="39">
        <f>IFERROR(__xludf.DUMMYFUNCTION("iferror($O7-max(filter($O7:$O$392,$E7:$E$392=$E$2)))"),-1.0)</f>
        <v>-1</v>
      </c>
      <c r="AH7" s="37">
        <f t="shared" si="7"/>
        <v>1</v>
      </c>
      <c r="AI7" s="37">
        <f>IFERROR(__xludf.DUMMYFUNCTION("iferror(COUNT(filter($O8:$O$392,$O8:$O$392&gt;$O7,$E7:$E$392=$E$2)))"),0.0)</f>
        <v>0</v>
      </c>
      <c r="AJ7" s="40">
        <f t="shared" si="8"/>
        <v>0</v>
      </c>
      <c r="AK7" s="41">
        <f>IFERROR(__xludf.DUMMYFUNCTION("iferror($O7-min(filter($O7:$O$392,$E7:$E$392=$E$2)))"),9.0)</f>
        <v>9</v>
      </c>
      <c r="AL7" s="30" t="str">
        <f>IFERROR(__xludf.DUMMYFUNCTION("iferror(join("","",index(sort(filter($F8:$F$392,$O8:$O$392&gt;$O7,$E8:$E$392=$E$2),2,false),0,1)))"),"LSU")</f>
        <v>LSU</v>
      </c>
      <c r="AM7" s="30" t="str">
        <f>IFERROR(__xludf.DUMMYFUNCTION("REGEXREPLACE(join("","",unique({let(conf_picked,filter(E$1:E6,D$1:D6=D7),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7" s="39">
        <f>IFERROR(__xludf.DUMMYFUNCTION("iferror($O7-max(filter($O7:$O$392,arrayformula(isnumber(FIND($E7:$E$392,AM7))))))"),-1.0)</f>
        <v>-1</v>
      </c>
      <c r="AO7" s="37">
        <f t="array" ref="AO7">countifs($O$2:$O6,"&lt;"&amp;$O7,isnumber(FIND($E$2:$E6,AM7)),TRUE)</f>
        <v>2</v>
      </c>
      <c r="AP7" s="37">
        <f>IFERROR(__xludf.DUMMYFUNCTION("iferror(COUNT(filter($O8:$O$392,$O8:$O$392&gt;$O7,arrayformula(isnumber(FIND($E8:$E$392,AM7))))))"),2.0)</f>
        <v>2</v>
      </c>
      <c r="AQ7" s="40">
        <f t="shared" si="9"/>
        <v>0</v>
      </c>
      <c r="AR7" s="41">
        <f>IFERROR(__xludf.DUMMYFUNCTION("iferror($O7-min(filter($O7:$O$392,arrayformula(isnumber(FIND($E7:$E$392,AM7))))))"),11.0)</f>
        <v>11</v>
      </c>
      <c r="AS7" s="48" t="str">
        <f>IFERROR(__xludf.DUMMYFUNCTION("iferror(join("","",index(sort(filter($F8:$F$392,$O8:$O$392&gt;$O7,arrayformula(isnumber(FIND($E8:$E$392,AM7)))),2,false),0,1)))"),"Ohio State,LSU")</f>
        <v>Ohio State,LSU</v>
      </c>
    </row>
    <row r="8">
      <c r="A8" s="1">
        <f t="shared" si="10"/>
        <v>7</v>
      </c>
      <c r="B8" s="1">
        <v>1.0</v>
      </c>
      <c r="C8" s="1">
        <v>7.0</v>
      </c>
      <c r="D8" s="51" t="str">
        <f>'Draft Order'!B8</f>
        <v>Justin</v>
      </c>
      <c r="E8" s="52" t="str">
        <f>if(F8&lt;&gt;"",VLOOKUP(F8,offset('Teams-Conference'!A:B,0,(counta('Draft Order'!B$2:B129)-10)*2),2,0),"")</f>
        <v>Sun Belt</v>
      </c>
      <c r="F8" t="s">
        <v>186</v>
      </c>
      <c r="H8" s="29">
        <f t="shared" si="1"/>
        <v>2</v>
      </c>
      <c r="I8" s="29">
        <f t="shared" si="2"/>
        <v>5</v>
      </c>
      <c r="J8" s="30"/>
      <c r="K8" s="30"/>
      <c r="L8" s="29"/>
      <c r="M8" s="29">
        <f>IFERROR(__xludf.DUMMYFUNCTION("counta(iferror(filter(L$2:L7,E$2:E7=E8,L$2:L7&lt;L8)))"),0.0)</f>
        <v>0</v>
      </c>
      <c r="N8" s="29">
        <f>IFERROR(__xludf.DUMMYFUNCTION("counta(iferror(filter(L9:L$129,E9:E$129=E8,L9:L$131&gt;L8)))"),0.0)</f>
        <v>0</v>
      </c>
      <c r="O8" s="34">
        <f t="array" ref="O8:W8">XLOOKUP(F8,'Current Week'!B:B,'Current Week'!C:N)</f>
        <v>11</v>
      </c>
      <c r="P8" s="29">
        <v>1.0</v>
      </c>
      <c r="Q8" s="30" t="s">
        <v>242</v>
      </c>
      <c r="R8" s="30" t="s">
        <v>243</v>
      </c>
      <c r="S8" s="30" t="s">
        <v>239</v>
      </c>
      <c r="T8" s="30" t="s">
        <v>244</v>
      </c>
      <c r="U8" s="37">
        <v>56.0</v>
      </c>
      <c r="V8" s="37" t="s">
        <v>41</v>
      </c>
      <c r="W8" s="37" t="s">
        <v>239</v>
      </c>
      <c r="X8" s="37"/>
      <c r="Y8" s="37"/>
      <c r="Z8" s="37"/>
      <c r="AA8" s="39">
        <f t="shared" si="3"/>
        <v>-1</v>
      </c>
      <c r="AB8" s="37">
        <f t="shared" si="4"/>
        <v>2</v>
      </c>
      <c r="AC8" s="37">
        <f>IFERROR(__xludf.DUMMYFUNCTION("iferror(COUNT(filter($O9:$O$392,$O9:$O$392&gt;$O8)))"),2.0)</f>
        <v>2</v>
      </c>
      <c r="AD8" s="40">
        <f t="shared" si="5"/>
        <v>0</v>
      </c>
      <c r="AE8" s="41">
        <f t="shared" si="6"/>
        <v>5</v>
      </c>
      <c r="AF8" s="30" t="str">
        <f>IFERROR(__xludf.DUMMYFUNCTION("iferror(join("","",index(sort(filter($F9:$F$393,$O9:$O$393&gt;$O8),2,false),0,1)))"),"Ohio State,LSU")</f>
        <v>Ohio State,LSU</v>
      </c>
      <c r="AG8" s="39">
        <f>IFERROR(__xludf.DUMMYFUNCTION("iferror($O8-max(filter($O8:$O$392,$E8:$E$392=$E$2)))"),-1.0)</f>
        <v>-1</v>
      </c>
      <c r="AH8" s="37">
        <f t="shared" si="7"/>
        <v>1</v>
      </c>
      <c r="AI8" s="37">
        <f>IFERROR(__xludf.DUMMYFUNCTION("iferror(COUNT(filter($O9:$O$392,$O9:$O$392&gt;$O8,$E8:$E$392=$E$2)))"),0.0)</f>
        <v>0</v>
      </c>
      <c r="AJ8" s="40">
        <f t="shared" si="8"/>
        <v>0</v>
      </c>
      <c r="AK8" s="41">
        <f>IFERROR(__xludf.DUMMYFUNCTION("iferror($O8-min(filter($O8:$O$392,$E8:$E$392=$E$2)))"),9.0)</f>
        <v>9</v>
      </c>
      <c r="AL8" s="30" t="str">
        <f>IFERROR(__xludf.DUMMYFUNCTION("iferror(join("","",index(sort(filter($F9:$F$392,$O9:$O$392&gt;$O8,$E9:$E$392=$E$2),2,false),0,1)))"),"LSU")</f>
        <v>LSU</v>
      </c>
      <c r="AM8" s="30" t="str">
        <f>IFERROR(__xludf.DUMMYFUNCTION("REGEXREPLACE(join("","",unique({let(conf_picked,filter(E$1:E7,D$1:D7=D8),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8" s="39">
        <f>IFERROR(__xludf.DUMMYFUNCTION("iferror($O8-max(filter($O8:$O$392,arrayformula(isnumber(FIND($E8:$E$392,AM8))))))"),-1.0)</f>
        <v>-1</v>
      </c>
      <c r="AO8" s="37">
        <f t="array" ref="AO8">countifs($O$2:$O7,"&lt;"&amp;$O8,isnumber(FIND($E$2:$E7,AM8)),TRUE)</f>
        <v>2</v>
      </c>
      <c r="AP8" s="37">
        <f>IFERROR(__xludf.DUMMYFUNCTION("iferror(COUNT(filter($O9:$O$392,$O9:$O$392&gt;$O8,arrayformula(isnumber(FIND($E9:$E$392,AM8))))))"),2.0)</f>
        <v>2</v>
      </c>
      <c r="AQ8" s="40">
        <f t="shared" si="9"/>
        <v>0</v>
      </c>
      <c r="AR8" s="41">
        <f>IFERROR(__xludf.DUMMYFUNCTION("iferror($O8-min(filter($O8:$O$392,arrayformula(isnumber(FIND($E8:$E$392,AM8))))))"),11.0)</f>
        <v>11</v>
      </c>
      <c r="AS8" s="48" t="str">
        <f>IFERROR(__xludf.DUMMYFUNCTION("iferror(join("","",index(sort(filter($F9:$F$392,$O9:$O$392&gt;$O8,arrayformula(isnumber(FIND($E9:$E$392,AM8)))),2,false),0,1)))"),"Ohio State,LSU")</f>
        <v>Ohio State,LSU</v>
      </c>
    </row>
    <row r="9" ht="18.0" customHeight="1">
      <c r="A9" s="1">
        <f t="shared" si="10"/>
        <v>8</v>
      </c>
      <c r="B9" s="1">
        <v>1.0</v>
      </c>
      <c r="C9" s="1">
        <v>8.0</v>
      </c>
      <c r="D9" s="51" t="str">
        <f>'Draft Order'!B9</f>
        <v>Adam</v>
      </c>
      <c r="E9" s="52" t="str">
        <f>if(F9&lt;&gt;"",VLOOKUP(F9,offset('Teams-Conference'!A:B,0,(counta('Draft Order'!B$2:B129)-10)*2),2,0),"")</f>
        <v>AAC</v>
      </c>
      <c r="F9" s="1" t="s">
        <v>59</v>
      </c>
      <c r="H9" s="29">
        <f t="shared" si="1"/>
        <v>1</v>
      </c>
      <c r="I9" s="29">
        <f t="shared" si="2"/>
        <v>2</v>
      </c>
      <c r="J9" s="30"/>
      <c r="K9" s="30"/>
      <c r="L9" s="29"/>
      <c r="M9" s="29">
        <f>IFERROR(__xludf.DUMMYFUNCTION("counta(iferror(filter(L$2:L8,E$2:E8=E9,L$2:L8&lt;L9)))"),0.0)</f>
        <v>0</v>
      </c>
      <c r="N9" s="29">
        <f>IFERROR(__xludf.DUMMYFUNCTION("counta(iferror(filter(L10:L$129,E10:E$129=E9,L10:L$131&gt;L9)))"),0.0)</f>
        <v>0</v>
      </c>
      <c r="O9" s="34">
        <f t="array" ref="O9:W9">XLOOKUP(F9,'Current Week'!B:B,'Current Week'!C:N)</f>
        <v>9</v>
      </c>
      <c r="P9" s="29">
        <v>3.0</v>
      </c>
      <c r="Q9" s="30" t="s">
        <v>248</v>
      </c>
      <c r="R9" s="30" t="s">
        <v>202</v>
      </c>
      <c r="S9" s="30"/>
      <c r="T9" s="30" t="s">
        <v>203</v>
      </c>
      <c r="U9" s="37" t="s">
        <v>203</v>
      </c>
      <c r="V9" s="37"/>
      <c r="W9" s="37">
        <v>9999.0</v>
      </c>
      <c r="X9" s="37"/>
      <c r="Y9" s="37"/>
      <c r="Z9" s="37"/>
      <c r="AA9" s="39">
        <f t="shared" si="3"/>
        <v>-3</v>
      </c>
      <c r="AB9" s="37">
        <f t="shared" si="4"/>
        <v>1</v>
      </c>
      <c r="AC9" s="37">
        <f>IFERROR(__xludf.DUMMYFUNCTION("iferror(COUNT(filter($O10:$O$392,$O10:$O$392&gt;$O9)))"),15.0)</f>
        <v>15</v>
      </c>
      <c r="AD9" s="40">
        <f t="shared" si="5"/>
        <v>0</v>
      </c>
      <c r="AE9" s="41">
        <f t="shared" si="6"/>
        <v>3</v>
      </c>
      <c r="AF9" s="30" t="str">
        <f>IFERROR(__xludf.DUMMYFUNCTION("iferror(join("","",index(sort(filter($F10:$F$393,$O10:$O$393&gt;$O9),2,false),0,1)))"),"Memphis,Ohio State,Utah,Oregon,Notre Dame,Air Force,Cincinnati,SMU,Navy,LSU,Wisconsin,Penn State,Florida,Baylor,Minnesota")</f>
        <v>Memphis,Ohio State,Utah,Oregon,Notre Dame,Air Force,Cincinnati,SMU,Navy,LSU,Wisconsin,Penn State,Florida,Baylor,Minnesota</v>
      </c>
      <c r="AG9" s="39">
        <f>IFERROR(__xludf.DUMMYFUNCTION("iferror($O9-max(filter($O9:$O$392,$E9:$E$392=$E$2)))"),-3.0)</f>
        <v>-3</v>
      </c>
      <c r="AH9" s="37">
        <f t="shared" si="7"/>
        <v>0</v>
      </c>
      <c r="AI9" s="37">
        <f>IFERROR(__xludf.DUMMYFUNCTION("iferror(COUNT(filter($O10:$O$392,$O10:$O$392&gt;$O9,$E9:$E$392=$E$2)))"),0.0)</f>
        <v>0</v>
      </c>
      <c r="AJ9" s="40">
        <f t="shared" si="8"/>
        <v>0</v>
      </c>
      <c r="AK9" s="41">
        <f>IFERROR(__xludf.DUMMYFUNCTION("iferror($O9-min(filter($O9:$O$392,$E9:$E$392=$E$2)))"),7.0)</f>
        <v>7</v>
      </c>
      <c r="AL9" s="30" t="str">
        <f>IFERROR(__xludf.DUMMYFUNCTION("iferror(join("","",index(sort(filter($F10:$F$392,$O10:$O$392&gt;$O9,$E10:$E$392=$E$2),2,false),0,1)))"),"LSU,Florida")</f>
        <v>LSU,Florida</v>
      </c>
      <c r="AM9" s="30" t="str">
        <f>IFERROR(__xludf.DUMMYFUNCTION("REGEXREPLACE(join("","",unique({let(conf_picked,filter(E$1:E8,D$1:D8=D9),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9" s="39">
        <f>IFERROR(__xludf.DUMMYFUNCTION("iferror($O9-max(filter($O9:$O$392,arrayformula(isnumber(FIND($E9:$E$392,AM9))))))"),-3.0)</f>
        <v>-3</v>
      </c>
      <c r="AO9" s="37">
        <f t="array" ref="AO9">countifs($O$2:$O8,"&lt;"&amp;$O9,isnumber(FIND($E$2:$E8,AM9)),TRUE)</f>
        <v>1</v>
      </c>
      <c r="AP9" s="37">
        <f>IFERROR(__xludf.DUMMYFUNCTION("iferror(COUNT(filter($O10:$O$392,$O10:$O$392&gt;$O9,arrayformula(isnumber(FIND($E10:$E$392,AM9))))))"),15.0)</f>
        <v>15</v>
      </c>
      <c r="AQ9" s="40">
        <f t="shared" si="9"/>
        <v>0</v>
      </c>
      <c r="AR9" s="41">
        <f>IFERROR(__xludf.DUMMYFUNCTION("iferror($O9-min(filter($O9:$O$392,arrayformula(isnumber(FIND($E9:$E$392,AM9))))))"),9.0)</f>
        <v>9</v>
      </c>
      <c r="AS9" s="48" t="str">
        <f>IFERROR(__xludf.DUMMYFUNCTION("iferror(join("","",index(sort(filter($F10:$F$392,$O10:$O$392&gt;$O9,arrayformula(isnumber(FIND($E10:$E$392,AM9)))),2,false),0,1)))"),"Memphis,Ohio State,Utah,Oregon,Notre Dame,Air Force,Cincinnati,SMU,Navy,LSU,Wisconsin,Penn State,Florida,Baylor,Minnesota")</f>
        <v>Memphis,Ohio State,Utah,Oregon,Notre Dame,Air Force,Cincinnati,SMU,Navy,LSU,Wisconsin,Penn State,Florida,Baylor,Minnesota</v>
      </c>
    </row>
    <row r="10" ht="18.0" customHeight="1">
      <c r="A10" s="1">
        <f t="shared" si="10"/>
        <v>9</v>
      </c>
      <c r="B10" s="1">
        <v>1.0</v>
      </c>
      <c r="C10" s="1">
        <v>9.0</v>
      </c>
      <c r="D10" s="51" t="str">
        <f>'Draft Order'!B10</f>
        <v>Vu</v>
      </c>
      <c r="E10" s="52" t="str">
        <f>if(F10&lt;&gt;"",VLOOKUP(F10,offset('Teams-Conference'!A:B,0,(counta('Draft Order'!B$2:B129)-10)*2),2,0),"")</f>
        <v>Pac12</v>
      </c>
      <c r="F10" s="1" t="s">
        <v>171</v>
      </c>
      <c r="H10" s="29">
        <f t="shared" si="1"/>
        <v>2</v>
      </c>
      <c r="I10" s="29">
        <f t="shared" si="2"/>
        <v>3</v>
      </c>
      <c r="J10" s="30"/>
      <c r="K10" s="30"/>
      <c r="L10" s="29"/>
      <c r="M10" s="29">
        <f>IFERROR(__xludf.DUMMYFUNCTION("counta(iferror(filter(L$2:L10,E$2:E10=E10,L$2:L10&lt;L10)))"),0.0)</f>
        <v>0</v>
      </c>
      <c r="N10" s="29">
        <f>IFERROR(__xludf.DUMMYFUNCTION("counta(iferror(filter(L11:L$129,E11:E$129=E10,L11:L$131&gt;L10)))"),0.0)</f>
        <v>0</v>
      </c>
      <c r="O10" s="34">
        <f t="array" ref="O10:W10">XLOOKUP(F10,'Current Week'!B:B,'Current Week'!C:N)</f>
        <v>7</v>
      </c>
      <c r="P10" s="29">
        <v>5.0</v>
      </c>
      <c r="Q10" s="30" t="s">
        <v>248</v>
      </c>
      <c r="R10" s="35" t="s">
        <v>202</v>
      </c>
      <c r="S10" s="30"/>
      <c r="T10" s="30" t="s">
        <v>203</v>
      </c>
      <c r="U10" s="37" t="s">
        <v>203</v>
      </c>
      <c r="V10" s="37"/>
      <c r="W10" s="37">
        <v>9999.0</v>
      </c>
      <c r="X10" s="37"/>
      <c r="Y10" s="37"/>
      <c r="Z10" s="37"/>
      <c r="AA10" s="39">
        <f t="shared" si="3"/>
        <v>-5</v>
      </c>
      <c r="AB10" s="37">
        <f t="shared" si="4"/>
        <v>1</v>
      </c>
      <c r="AC10" s="37">
        <f>IFERROR(__xludf.DUMMYFUNCTION("iferror(COUNT(filter($O11:$O$392,$O11:$O$392&gt;$O10)))"),35.0)</f>
        <v>35</v>
      </c>
      <c r="AD10" s="40">
        <f t="shared" si="5"/>
        <v>0</v>
      </c>
      <c r="AE10" s="41">
        <f t="shared" si="6"/>
        <v>1</v>
      </c>
      <c r="AF10" s="30" t="str">
        <f>IFERROR(__xludf.DUMMYFUNCTION("iferror(join("","",index(sort(filter($F11:$F$393,$O11:$O$393&gt;$O10),2,false),0,1)))"),"Memphis,Ohio State,Utah,Michigan,Oregon,Notre Dame,San Diego State,Air Force,Cincinnati,Florida Atlantic,Temple,Hawaii,SMU,Navy,Virginia Tech,LSU,Marshall,Wisconsin,Penn State,USC,Oklahoma State,Auburn,Louisiana Tech,Florida,Baylor,UAB,Iowa,Minnesota,Kans"&amp;"as State,Indiana,Wake Forest,Western Kentucky,Virginia,Central Michigan,Louisville")</f>
        <v>Memphis,Ohio State,Utah,Michigan,Oregon,Notre Dame,San Diego State,Air Force,Cincinnati,Florida Atlantic,Temple,Hawaii,SMU,Navy,Virginia Tech,LSU,Marshall,Wisconsin,Penn State,USC,Oklahoma State,Auburn,Louisiana Tech,Florida,Baylor,UAB,Iowa,Minnesota,Kansas State,Indiana,Wake Forest,Western Kentucky,Virginia,Central Michigan,Louisville</v>
      </c>
      <c r="AG10" s="39">
        <f>IFERROR(__xludf.DUMMYFUNCTION("iferror($O10-max(filter($O10:$O$392,$E10:$E$392=$E$2)))"),-5.0)</f>
        <v>-5</v>
      </c>
      <c r="AH10" s="37">
        <f t="shared" si="7"/>
        <v>0</v>
      </c>
      <c r="AI10" s="37">
        <f>IFERROR(__xludf.DUMMYFUNCTION("iferror(COUNT(filter($O11:$O$392,$O11:$O$392&gt;$O10,$E10:$E$392=$E$2)))"),0.0)</f>
        <v>0</v>
      </c>
      <c r="AJ10" s="40">
        <f t="shared" si="8"/>
        <v>0</v>
      </c>
      <c r="AK10" s="41">
        <f>IFERROR(__xludf.DUMMYFUNCTION("iferror($O10-min(filter($O10:$O$392,$E10:$E$392=$E$2)))"),5.0)</f>
        <v>5</v>
      </c>
      <c r="AL10" s="30" t="str">
        <f>IFERROR(__xludf.DUMMYFUNCTION("iferror(join("","",index(sort(filter($F11:$F$392,$O11:$O$392&gt;$O10,$E11:$E$392=$E$2),2,false),0,1)))"),"LSU,Auburn,Florida")</f>
        <v>LSU,Auburn,Florida</v>
      </c>
      <c r="AM10" s="30" t="str">
        <f>IFERROR(__xludf.DUMMYFUNCTION("REGEXREPLACE(join("","",unique({let(conf_picked,filter(E$1:E9,D$1:D9=D10),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10" s="39">
        <f>IFERROR(__xludf.DUMMYFUNCTION("iferror($O10-max(filter($O10:$O$392,arrayformula(isnumber(FIND($E10:$E$392,AM10))))))"),-5.0)</f>
        <v>-5</v>
      </c>
      <c r="AO10" s="37">
        <f t="array" ref="AO10">countifs($O$2:$O9,"&lt;"&amp;$O10,isnumber(FIND($E$2:$E9,AM10)),TRUE)</f>
        <v>1</v>
      </c>
      <c r="AP10" s="37">
        <f>IFERROR(__xludf.DUMMYFUNCTION("iferror(COUNT(filter($O11:$O$392,$O11:$O$392&gt;$O10,arrayformula(isnumber(FIND($E11:$E$392,AM10))))))"),35.0)</f>
        <v>35</v>
      </c>
      <c r="AQ10" s="40">
        <f t="shared" si="9"/>
        <v>0</v>
      </c>
      <c r="AR10" s="41">
        <f>IFERROR(__xludf.DUMMYFUNCTION("iferror($O10-min(filter($O10:$O$392,arrayformula(isnumber(FIND($E10:$E$392,AM10))))))"),7.0)</f>
        <v>7</v>
      </c>
      <c r="AS10" s="48" t="str">
        <f>IFERROR(__xludf.DUMMYFUNCTION("iferror(join("","",index(sort(filter($F11:$F$392,$O11:$O$392&gt;$O10,arrayformula(isnumber(FIND($E11:$E$392,AM10)))),2,false),0,1)))"),"Memphis,Ohio State,Utah,Michigan,Oregon,Notre Dame,San Diego State,Air Force,Cincinnati,Florida Atlantic,Temple,Hawaii,SMU,Navy,Virginia Tech,LSU,Marshall,Wisconsin,Penn State,USC,Oklahoma State,Auburn,Louisiana Tech,Florida,Baylor,UAB,Iowa,Minnesota,Kans"&amp;"as State,Indiana,Wake Forest,Western Kentucky,Virginia,Central Michigan,Louisville")</f>
        <v>Memphis,Ohio State,Utah,Michigan,Oregon,Notre Dame,San Diego State,Air Force,Cincinnati,Florida Atlantic,Temple,Hawaii,SMU,Navy,Virginia Tech,LSU,Marshall,Wisconsin,Penn State,USC,Oklahoma State,Auburn,Louisiana Tech,Florida,Baylor,UAB,Iowa,Minnesota,Kansas State,Indiana,Wake Forest,Western Kentucky,Virginia,Central Michigan,Louisville</v>
      </c>
    </row>
    <row r="11" ht="18.0" customHeight="1">
      <c r="A11" s="1">
        <f t="shared" si="10"/>
        <v>10</v>
      </c>
      <c r="B11" s="1">
        <v>1.0</v>
      </c>
      <c r="C11" s="1">
        <v>10.0</v>
      </c>
      <c r="D11" s="51" t="str">
        <f>'Draft Order'!B11</f>
        <v>Josh R.</v>
      </c>
      <c r="E11" s="52" t="str">
        <f>if(F11&lt;&gt;"",VLOOKUP(F11,offset('Teams-Conference'!A:B,0,(counta('Draft Order'!B$2:B129)-10)*2),2,0),"")</f>
        <v>Sun Belt</v>
      </c>
      <c r="F11" s="1" t="s">
        <v>196</v>
      </c>
      <c r="H11" s="29">
        <f t="shared" si="1"/>
        <v>2</v>
      </c>
      <c r="I11" s="29">
        <f t="shared" si="2"/>
        <v>5</v>
      </c>
      <c r="J11" s="30"/>
      <c r="K11" s="30"/>
      <c r="L11" s="29"/>
      <c r="M11" s="29">
        <f>IFERROR(__xludf.DUMMYFUNCTION("counta(iferror(filter(L$2:L10,E$2:E10=E11,L$2:L10&lt;L11)))"),0.0)</f>
        <v>0</v>
      </c>
      <c r="N11" s="29">
        <f>IFERROR(__xludf.DUMMYFUNCTION("counta(iferror(filter(L12:L$129,E12:E$129=E11,L12:L$131&gt;L11)))"),0.0)</f>
        <v>0</v>
      </c>
      <c r="O11" s="34">
        <f t="array" ref="O11:W11">XLOOKUP(F11,'Current Week'!B:B,'Current Week'!C:N)</f>
        <v>5</v>
      </c>
      <c r="P11" s="29">
        <v>8.0</v>
      </c>
      <c r="Q11" s="30" t="s">
        <v>260</v>
      </c>
      <c r="R11" s="30" t="s">
        <v>252</v>
      </c>
      <c r="S11" s="30" t="s">
        <v>253</v>
      </c>
      <c r="T11" s="30" t="s">
        <v>203</v>
      </c>
      <c r="U11" s="37" t="s">
        <v>203</v>
      </c>
      <c r="V11" s="37" t="s">
        <v>44</v>
      </c>
      <c r="W11" s="37" t="s">
        <v>253</v>
      </c>
      <c r="X11" s="37"/>
      <c r="Y11" s="37"/>
      <c r="Z11" s="37"/>
      <c r="AA11" s="39">
        <f t="shared" si="3"/>
        <v>-7</v>
      </c>
      <c r="AB11" s="37">
        <f t="shared" si="4"/>
        <v>0</v>
      </c>
      <c r="AC11" s="37">
        <f>IFERROR(__xludf.DUMMYFUNCTION("iferror(COUNT(filter($O12:$O$392,$O12:$O$392&gt;$O11)))"),68.0)</f>
        <v>68</v>
      </c>
      <c r="AD11" s="40">
        <f t="shared" si="5"/>
        <v>0</v>
      </c>
      <c r="AE11" s="41">
        <f t="shared" si="6"/>
        <v>0</v>
      </c>
      <c r="AF11" s="30" t="str">
        <f>IFERROR(__xludf.DUMMYFUNCTION("iferror(join("","",index(sort(filter($F12:$F$393,$O12:$O$393&gt;$O11),2,false),0,1)))"),"Memphis,Ohio State,Utah,Toledo,Michigan,Texas,Oregon,Western Michigan,Georgia Southern,Washington State,Notre Dame,San Diego State,Utah State,Air Force,Cincinnati,Nevada,Miami,Florida Atlantic,Wyoming,EMU,Temple,Hawaii,Florida Intl,Buffalo,SMU,Miami-OH,Na"&amp;"vy,Tulane,Iowa State,Virginia Tech,LSU,Marshall,Wisconsin,Penn State,Georgia State,USC,Oklahoma State,Auburn,Louisiana Tech,Southern Mississippi,Florida,Baylor,UAB,Arizona State,California,Michigan State,BYU,Iowa,Texas A&amp;M,Minnesota,Kansas State,Indiana,F"&amp;"lorida State,Wake Forest,Western Kentucky,Virginia,Charlotte,Pittsburgh,Missouri,Boston College,Mississippi State,Tennessee,Kent State,Kentucky,Central Michigan,North Carolina,Louisville,Illinois")</f>
        <v>Memphis,Ohio State,Utah,Toledo,Michigan,Texas,Oregon,Western Michigan,Georgia Southern,Washington State,Notre Dame,San Diego State,Utah State,Air Force,Cincinnati,Nevada,Miami,Florida Atlantic,Wyoming,EMU,Temple,Hawaii,Florida Intl,Buffalo,SMU,Miami-OH,Navy,Tulane,Iowa State,Virginia Tech,LSU,Marshall,Wisconsin,Penn State,Georgia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  <c r="AG11" s="39">
        <f>IFERROR(__xludf.DUMMYFUNCTION("iferror($O11-max(filter($O11:$O$392,$E11:$E$392=$E$2)))"),-7.0)</f>
        <v>-7</v>
      </c>
      <c r="AH11" s="37">
        <f t="shared" si="7"/>
        <v>0</v>
      </c>
      <c r="AI11" s="37">
        <f>IFERROR(__xludf.DUMMYFUNCTION("iferror(COUNT(filter($O12:$O$392,$O12:$O$392&gt;$O11,$E11:$E$392=$E$2)))"),0.0)</f>
        <v>0</v>
      </c>
      <c r="AJ11" s="40">
        <f t="shared" si="8"/>
        <v>0</v>
      </c>
      <c r="AK11" s="41">
        <f>IFERROR(__xludf.DUMMYFUNCTION("iferror($O11-min(filter($O11:$O$392,$E11:$E$392=$E$2)))"),3.0)</f>
        <v>3</v>
      </c>
      <c r="AL11" s="30" t="str">
        <f>IFERROR(__xludf.DUMMYFUNCTION("iferror(join("","",index(sort(filter($F12:$F$392,$O12:$O$392&gt;$O11,$E12:$E$392=$E$2),2,false),0,1)))"),"LSU,Auburn,Florida,Texas A&amp;M,Missouri,Mississippi State,Tennessee,Kentucky")</f>
        <v>LSU,Auburn,Florida,Texas A&amp;M,Missouri,Mississippi State,Tennessee,Kentucky</v>
      </c>
      <c r="AM11" s="30" t="str">
        <f>IFERROR(__xludf.DUMMYFUNCTION("REGEXREPLACE(join("","",unique({let(conf_picked,filter(E$1:E10,D$1:D10=D11),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11" s="39">
        <f>IFERROR(__xludf.DUMMYFUNCTION("iferror($O11-max(filter($O11:$O$392,arrayformula(isnumber(FIND($E11:$E$392,AM11))))))"),-7.0)</f>
        <v>-7</v>
      </c>
      <c r="AO11" s="37">
        <f t="array" ref="AO11">countifs($O$2:$O10,"&lt;"&amp;$O11,isnumber(FIND($E$2:$E10,AM11)),TRUE)</f>
        <v>0</v>
      </c>
      <c r="AP11" s="37">
        <f>IFERROR(__xludf.DUMMYFUNCTION("iferror(COUNT(filter($O12:$O$392,$O12:$O$392&gt;$O11,arrayformula(isnumber(FIND($E12:$E$392,AM11))))))"),68.0)</f>
        <v>68</v>
      </c>
      <c r="AQ11" s="40">
        <f t="shared" si="9"/>
        <v>0</v>
      </c>
      <c r="AR11" s="41">
        <f>IFERROR(__xludf.DUMMYFUNCTION("iferror($O11-min(filter($O11:$O$392,arrayformula(isnumber(FIND($E11:$E$392,AM11))))))"),5.0)</f>
        <v>5</v>
      </c>
      <c r="AS11" s="48" t="str">
        <f>IFERROR(__xludf.DUMMYFUNCTION("iferror(join("","",index(sort(filter($F12:$F$392,$O12:$O$392&gt;$O11,arrayformula(isnumber(FIND($E12:$E$392,AM11)))),2,false),0,1)))"),"Memphis,Ohio State,Utah,Toledo,Michigan,Texas,Oregon,Western Michigan,Georgia Southern,Washington State,Notre Dame,San Diego State,Utah State,Air Force,Cincinnati,Nevada,Miami,Florida Atlantic,Wyoming,EMU,Temple,Hawaii,Florida Intl,Buffalo,SMU,Miami-OH,Na"&amp;"vy,Tulane,Iowa State,Virginia Tech,LSU,Marshall,Wisconsin,Penn State,Georgia State,USC,Oklahoma State,Auburn,Louisiana Tech,Southern Mississippi,Florida,Baylor,UAB,Arizona State,California,Michigan State,BYU,Iowa,Texas A&amp;M,Minnesota,Kansas State,Indiana,F"&amp;"lorida State,Wake Forest,Western Kentucky,Virginia,Charlotte,Pittsburgh,Missouri,Boston College,Mississippi State,Tennessee,Kent State,Kentucky,Central Michigan,North Carolina,Louisville,Illinois")</f>
        <v>Memphis,Ohio State,Utah,Toledo,Michigan,Texas,Oregon,Western Michigan,Georgia Southern,Washington State,Notre Dame,San Diego State,Utah State,Air Force,Cincinnati,Nevada,Miami,Florida Atlantic,Wyoming,EMU,Temple,Hawaii,Florida Intl,Buffalo,SMU,Miami-OH,Navy,Tulane,Iowa State,Virginia Tech,LSU,Marshall,Wisconsin,Penn State,Georgia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</row>
    <row r="12" ht="18.0" customHeight="1">
      <c r="A12" s="1">
        <f t="shared" si="10"/>
        <v>11</v>
      </c>
      <c r="B12" s="1">
        <v>1.0</v>
      </c>
      <c r="C12" s="1">
        <v>11.0</v>
      </c>
      <c r="D12" s="51" t="str">
        <f>'Draft Order'!B12</f>
        <v>Brad</v>
      </c>
      <c r="E12" s="52" t="str">
        <f>if(F12&lt;&gt;"",VLOOKUP(F12,offset('Teams-Conference'!A:B,0,(counta('Draft Order'!B$2:B129)-10)*2),2,0),"")</f>
        <v>AAC</v>
      </c>
      <c r="F12" s="130" t="s">
        <v>35</v>
      </c>
      <c r="H12" s="29">
        <f t="shared" si="1"/>
        <v>0</v>
      </c>
      <c r="I12" s="29">
        <f t="shared" si="2"/>
        <v>3</v>
      </c>
      <c r="J12" s="29">
        <f t="shared" ref="J12:J129" si="11">countif(E2:E11,E12)</f>
        <v>1</v>
      </c>
      <c r="K12" s="30"/>
      <c r="L12" s="29"/>
      <c r="M12" s="29">
        <f>IFERROR(__xludf.DUMMYFUNCTION("counta(iferror(filter(L$2:L11,E$2:E11=E12,L$2:L11&lt;L12)))"),0.0)</f>
        <v>0</v>
      </c>
      <c r="N12" s="29">
        <f>IFERROR(__xludf.DUMMYFUNCTION("counta(iferror(filter(L13:L$129,E13:E$129=E12,L13:L$131&gt;L12)))"),0.0)</f>
        <v>0</v>
      </c>
      <c r="O12" s="34">
        <f t="array" ref="O12:W12">XLOOKUP(F12,'Current Week'!B:B,'Current Week'!C:N)</f>
        <v>11</v>
      </c>
      <c r="P12" s="29">
        <v>1.0</v>
      </c>
      <c r="Q12" s="30" t="s">
        <v>215</v>
      </c>
      <c r="R12" s="30" t="s">
        <v>270</v>
      </c>
      <c r="S12" s="30" t="s">
        <v>271</v>
      </c>
      <c r="T12" s="30" t="s">
        <v>275</v>
      </c>
      <c r="U12" s="37" t="s">
        <v>276</v>
      </c>
      <c r="V12" s="37" t="s">
        <v>62</v>
      </c>
      <c r="W12" s="37" t="s">
        <v>271</v>
      </c>
      <c r="X12" s="37"/>
      <c r="Y12" s="37"/>
      <c r="Z12" s="37"/>
      <c r="AA12" s="39">
        <f t="shared" si="3"/>
        <v>-1</v>
      </c>
      <c r="AB12" s="37">
        <f t="shared" si="4"/>
        <v>5</v>
      </c>
      <c r="AC12" s="37">
        <f>IFERROR(__xludf.DUMMYFUNCTION("iferror(COUNT(filter($O13:$O$392,$O13:$O$392&gt;$O12)))"),2.0)</f>
        <v>2</v>
      </c>
      <c r="AD12" s="40">
        <f t="shared" si="5"/>
        <v>0</v>
      </c>
      <c r="AE12" s="41">
        <f t="shared" si="6"/>
        <v>6</v>
      </c>
      <c r="AF12" s="30" t="str">
        <f>IFERROR(__xludf.DUMMYFUNCTION("iferror(join("","",index(sort(filter($F13:$F$393,$O13:$O$393&gt;$O12),2,false),0,1)))"),"Ohio State,LSU")</f>
        <v>Ohio State,LSU</v>
      </c>
      <c r="AG12" s="39">
        <f>IFERROR(__xludf.DUMMYFUNCTION("iferror($O12-max(filter($O12:$O$392,$E12:$E$392=$E$2)))"),-1.0)</f>
        <v>-1</v>
      </c>
      <c r="AH12" s="37">
        <f t="shared" si="7"/>
        <v>1</v>
      </c>
      <c r="AI12" s="37">
        <f>IFERROR(__xludf.DUMMYFUNCTION("iferror(COUNT(filter($O13:$O$392,$O13:$O$392&gt;$O12,$E12:$E$392=$E$2)))"),0.0)</f>
        <v>0</v>
      </c>
      <c r="AJ12" s="40">
        <f t="shared" si="8"/>
        <v>0</v>
      </c>
      <c r="AK12" s="41">
        <f>IFERROR(__xludf.DUMMYFUNCTION("iferror($O12-min(filter($O12:$O$392,$E12:$E$392=$E$2)))"),9.0)</f>
        <v>9</v>
      </c>
      <c r="AL12" s="30" t="str">
        <f>IFERROR(__xludf.DUMMYFUNCTION("iferror(join("","",index(sort(filter($F13:$F$392,$O13:$O$392&gt;$O12,$E13:$E$392=$E$2),2,false),0,1)))"),"LSU")</f>
        <v>LSU</v>
      </c>
      <c r="AM12" s="30" t="str">
        <f>IFERROR(__xludf.DUMMYFUNCTION("REGEXREPLACE(join("","",unique({let(conf_picked,filter(E$1:E11,D$1:D11=D12),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12" s="39">
        <f>IFERROR(__xludf.DUMMYFUNCTION("iferror($O12-max(filter($O12:$O$392,arrayformula(isnumber(FIND($E12:$E$392,AM12))))))"),-1.0)</f>
        <v>-1</v>
      </c>
      <c r="AO12" s="37">
        <f t="array" ref="AO12">countifs($O$2:$O11,"&lt;"&amp;$O12,isnumber(FIND($E$2:$E11,AM12)),TRUE)</f>
        <v>5</v>
      </c>
      <c r="AP12" s="37">
        <f>IFERROR(__xludf.DUMMYFUNCTION("iferror(COUNT(filter($O13:$O$392,$O13:$O$392&gt;$O12,arrayformula(isnumber(FIND($E13:$E$392,AM12))))))"),2.0)</f>
        <v>2</v>
      </c>
      <c r="AQ12" s="40">
        <f t="shared" si="9"/>
        <v>0</v>
      </c>
      <c r="AR12" s="41">
        <f>IFERROR(__xludf.DUMMYFUNCTION("iferror($O12-min(filter($O12:$O$392,arrayformula(isnumber(FIND($E12:$E$392,AM12))))))"),11.0)</f>
        <v>11</v>
      </c>
      <c r="AS12" s="48" t="str">
        <f>IFERROR(__xludf.DUMMYFUNCTION("iferror(join("","",index(sort(filter($F13:$F$392,$O13:$O$392&gt;$O12,arrayformula(isnumber(FIND($E13:$E$392,AM12)))),2,false),0,1)))"),"Ohio State,LSU")</f>
        <v>Ohio State,LSU</v>
      </c>
    </row>
    <row r="13">
      <c r="A13" s="131">
        <f t="shared" si="10"/>
        <v>12</v>
      </c>
      <c r="B13" s="131">
        <v>1.0</v>
      </c>
      <c r="C13" s="131">
        <v>12.0</v>
      </c>
      <c r="D13" s="132" t="str">
        <f>'Draft Order'!B13</f>
        <v>Nick G.</v>
      </c>
      <c r="E13" s="133" t="str">
        <f>if(F13&lt;&gt;"",VLOOKUP(F13,offset('Teams-Conference'!A:B,0,(counta('Draft Order'!B$2:B129)-10)*2),2,0),"")</f>
        <v>Big Ten</v>
      </c>
      <c r="F13" s="131" t="s">
        <v>118</v>
      </c>
      <c r="G13" s="131"/>
      <c r="H13" s="29">
        <f t="shared" si="1"/>
        <v>1</v>
      </c>
      <c r="I13" s="29">
        <f t="shared" si="2"/>
        <v>1</v>
      </c>
      <c r="J13" s="29">
        <f t="shared" si="11"/>
        <v>0</v>
      </c>
      <c r="K13" s="30"/>
      <c r="L13" s="29"/>
      <c r="M13" s="29">
        <f>IFERROR(__xludf.DUMMYFUNCTION("counta(iferror(filter(L$2:L12,E$2:E12=E13,L$2:L12&lt;L13)))"),0.0)</f>
        <v>0</v>
      </c>
      <c r="N13" s="29">
        <f>IFERROR(__xludf.DUMMYFUNCTION("counta(iferror(filter(L14:L$129,E14:E$129=E13,L14:L$131&gt;L13)))"),0.0)</f>
        <v>0</v>
      </c>
      <c r="O13" s="34">
        <f t="array" ref="O13:W13">XLOOKUP(F13,'Current Week'!B:B,'Current Week'!C:N)</f>
        <v>12</v>
      </c>
      <c r="P13" s="29">
        <v>0.0</v>
      </c>
      <c r="Q13" s="30" t="s">
        <v>266</v>
      </c>
      <c r="R13" s="35" t="s">
        <v>249</v>
      </c>
      <c r="S13" s="30" t="s">
        <v>250</v>
      </c>
      <c r="T13" s="30" t="s">
        <v>281</v>
      </c>
      <c r="U13" s="37" t="s">
        <v>280</v>
      </c>
      <c r="V13" s="37" t="s">
        <v>44</v>
      </c>
      <c r="W13" s="37" t="s">
        <v>250</v>
      </c>
      <c r="X13" s="37"/>
      <c r="Y13" s="37"/>
      <c r="Z13" s="37"/>
      <c r="AA13" s="39">
        <f t="shared" si="3"/>
        <v>0</v>
      </c>
      <c r="AB13" s="37">
        <f t="shared" si="4"/>
        <v>10</v>
      </c>
      <c r="AC13" s="37">
        <f>IFERROR(__xludf.DUMMYFUNCTION("iferror(COUNT(filter($O14:$O$392,$O14:$O$392&gt;$O13)))"),0.0)</f>
        <v>0</v>
      </c>
      <c r="AD13" s="40">
        <f t="shared" si="5"/>
        <v>1</v>
      </c>
      <c r="AE13" s="41">
        <f t="shared" si="6"/>
        <v>7</v>
      </c>
      <c r="AF13" s="30" t="str">
        <f>IFERROR(__xludf.DUMMYFUNCTION("iferror(join("","",index(sort(filter($F14:$F$393,$O14:$O$393&gt;$O13),2,false),0,1)))"),"")</f>
        <v/>
      </c>
      <c r="AG13" s="39">
        <f>IFERROR(__xludf.DUMMYFUNCTION("iferror($O13-max(filter($O13:$O$392,$E13:$E$392=$E$2)))"),0.0)</f>
        <v>0</v>
      </c>
      <c r="AH13" s="37">
        <f t="shared" si="7"/>
        <v>2</v>
      </c>
      <c r="AI13" s="37">
        <f>IFERROR(__xludf.DUMMYFUNCTION("iferror(COUNT(filter($O14:$O$392,$O14:$O$392&gt;$O13,$E13:$E$392=$E$2)))"),0.0)</f>
        <v>0</v>
      </c>
      <c r="AJ13" s="40">
        <f t="shared" si="8"/>
        <v>1</v>
      </c>
      <c r="AK13" s="41">
        <f>IFERROR(__xludf.DUMMYFUNCTION("iferror($O13-min(filter($O13:$O$392,$E13:$E$392=$E$2)))"),10.0)</f>
        <v>10</v>
      </c>
      <c r="AL13" s="30" t="str">
        <f>IFERROR(__xludf.DUMMYFUNCTION("iferror(join("","",index(sort(filter($F14:$F$392,$O14:$O$392&gt;$O13,$E14:$E$392=$E$2),2,false),0,1)))"),"")</f>
        <v/>
      </c>
      <c r="AM13" s="30" t="str">
        <f>IFERROR(__xludf.DUMMYFUNCTION("REGEXREPLACE(join("","",unique({let(conf_picked,filter(E$1:E12,D$1:D12=D13),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13" s="39">
        <f>IFERROR(__xludf.DUMMYFUNCTION("iferror($O13-max(filter($O13:$O$392,arrayformula(isnumber(FIND($E13:$E$392,AM13))))))"),0.0)</f>
        <v>0</v>
      </c>
      <c r="AO13" s="37">
        <f t="array" ref="AO13">countifs($O$2:$O12,"&lt;"&amp;$O13,isnumber(FIND($E$2:$E12,AM13)),TRUE)</f>
        <v>10</v>
      </c>
      <c r="AP13" s="37">
        <f>IFERROR(__xludf.DUMMYFUNCTION("iferror(COUNT(filter($O14:$O$392,$O14:$O$392&gt;$O13,arrayformula(isnumber(FIND($E14:$E$392,AM13))))))"),0.0)</f>
        <v>0</v>
      </c>
      <c r="AQ13" s="40">
        <f t="shared" si="9"/>
        <v>1</v>
      </c>
      <c r="AR13" s="41">
        <f>IFERROR(__xludf.DUMMYFUNCTION("iferror($O13-min(filter($O13:$O$392,arrayformula(isnumber(FIND($E13:$E$392,AM13))))))"),12.0)</f>
        <v>12</v>
      </c>
      <c r="AS13" s="48" t="str">
        <f>IFERROR(__xludf.DUMMYFUNCTION("iferror(join("","",index(sort(filter($F14:$F$392,$O14:$O$392&gt;$O13,arrayformula(isnumber(FIND($E14:$E$392,AM13)))),2,false),0,1)))"),"")</f>
        <v/>
      </c>
    </row>
    <row r="14">
      <c r="A14" s="1">
        <f t="shared" si="10"/>
        <v>13</v>
      </c>
      <c r="B14" s="1">
        <f t="shared" ref="B14:B121" si="12">B2+1</f>
        <v>2</v>
      </c>
      <c r="C14" s="1">
        <v>1.0</v>
      </c>
      <c r="D14" s="135" t="str">
        <f>D13</f>
        <v>Nick G.</v>
      </c>
      <c r="E14" s="52" t="str">
        <f>if(F14&lt;&gt;"",VLOOKUP(F14,offset('Teams-Conference'!A:B,0,(counta('Draft Order'!B$2:B129)-10)*2),2,0),"")</f>
        <v>Sun Belt</v>
      </c>
      <c r="F14" s="1" t="s">
        <v>194</v>
      </c>
      <c r="H14" s="29">
        <f t="shared" si="1"/>
        <v>3</v>
      </c>
      <c r="I14" s="29">
        <f t="shared" si="2"/>
        <v>4</v>
      </c>
      <c r="J14" s="29">
        <f t="shared" si="11"/>
        <v>2</v>
      </c>
      <c r="K14" s="30"/>
      <c r="L14" s="29"/>
      <c r="M14" s="29">
        <f>IFERROR(__xludf.DUMMYFUNCTION("counta(iferror(filter(L$2:L13,E$2:E13=E14,L$2:L13&lt;L14)))"),0.0)</f>
        <v>0</v>
      </c>
      <c r="N14" s="29">
        <f>IFERROR(__xludf.DUMMYFUNCTION("counta(iferror(filter(L15:L$129,E15:E$129=E14,L15:L$131&gt;L14)))"),0.0)</f>
        <v>0</v>
      </c>
      <c r="O14" s="34">
        <f t="array" ref="O14:W14">XLOOKUP(F14,'Current Week'!B:B,'Current Week'!C:N)</f>
        <v>5</v>
      </c>
      <c r="P14" s="29">
        <v>7.0</v>
      </c>
      <c r="Q14" s="30" t="s">
        <v>282</v>
      </c>
      <c r="R14" s="30" t="s">
        <v>202</v>
      </c>
      <c r="S14" s="30"/>
      <c r="T14" s="30" t="s">
        <v>203</v>
      </c>
      <c r="U14" s="37" t="s">
        <v>203</v>
      </c>
      <c r="V14" s="37"/>
      <c r="W14" s="37">
        <v>9999.0</v>
      </c>
      <c r="X14" s="37"/>
      <c r="Y14" s="37"/>
      <c r="Z14" s="37"/>
      <c r="AA14" s="39">
        <f t="shared" si="3"/>
        <v>-7</v>
      </c>
      <c r="AB14" s="37">
        <f t="shared" si="4"/>
        <v>0</v>
      </c>
      <c r="AC14" s="37">
        <f>IFERROR(__xludf.DUMMYFUNCTION("iferror(COUNT(filter($O15:$O$392,$O15:$O$392&gt;$O14)))"),66.0)</f>
        <v>66</v>
      </c>
      <c r="AD14" s="40">
        <f t="shared" si="5"/>
        <v>0</v>
      </c>
      <c r="AE14" s="41">
        <f t="shared" si="6"/>
        <v>0</v>
      </c>
      <c r="AF14" s="30" t="str">
        <f>IFERROR(__xludf.DUMMYFUNCTION("iferror(join("","",index(sort(filter($F15:$F$393,$O15:$O$393&gt;$O14),2,false),0,1)))"),"Utah,Toledo,Michigan,Texas,Oregon,Western Michigan,Georgia Southern,Washington State,Notre Dame,San Diego State,Utah State,Air Force,Cincinnati,Nevada,Miami,Florida Atlantic,Wyoming,EMU,Temple,Hawaii,Florida Intl,Buffalo,SMU,Miami-OH,Navy,Tulane,Iowa Stat"&amp;"e,Virginia Tech,LSU,Marshall,Wisconsin,Penn State,Georgia State,USC,Oklahoma State,Auburn,Louisiana Tech,Southern Mississippi,Florida,Baylor,UAB,Arizona State,California,Michigan State,BYU,Iowa,Texas A&amp;M,Minnesota,Kansas State,Indiana,Florida State,Wake F"&amp;"orest,Western Kentucky,Virginia,Charlotte,Pittsburgh,Missouri,Boston College,Mississippi State,Tennessee,Kent State,Kentucky,Central Michigan,North Carolina,Louisville,Illinois")</f>
        <v>Utah,Toledo,Michigan,Texas,Oregon,Western Michigan,Georgia Southern,Washington State,Notre Dame,San Diego State,Utah State,Air Force,Cincinnati,Nevada,Miami,Florida Atlantic,Wyoming,EMU,Temple,Hawaii,Florida Intl,Buffalo,SMU,Miami-OH,Navy,Tulane,Iowa State,Virginia Tech,LSU,Marshall,Wisconsin,Penn State,Georgia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  <c r="AG14" s="39">
        <f>IFERROR(__xludf.DUMMYFUNCTION("iferror($O14-max(filter($O14:$O$392,$E14:$E$392=$E$2)))"),-7.0)</f>
        <v>-7</v>
      </c>
      <c r="AH14" s="37">
        <f t="shared" si="7"/>
        <v>0</v>
      </c>
      <c r="AI14" s="37">
        <f>IFERROR(__xludf.DUMMYFUNCTION("iferror(COUNT(filter($O15:$O$392,$O15:$O$392&gt;$O14,$E14:$E$392=$E$2)))"),0.0)</f>
        <v>0</v>
      </c>
      <c r="AJ14" s="40">
        <f t="shared" si="8"/>
        <v>0</v>
      </c>
      <c r="AK14" s="41">
        <f>IFERROR(__xludf.DUMMYFUNCTION("iferror($O14-min(filter($O14:$O$392,$E14:$E$392=$E$2)))"),3.0)</f>
        <v>3</v>
      </c>
      <c r="AL14" s="30" t="str">
        <f>IFERROR(__xludf.DUMMYFUNCTION("iferror(join("","",index(sort(filter($F15:$F$392,$O15:$O$392&gt;$O14,$E15:$E$392=$E$2),2,false),0,1)))"),"LSU,Auburn,Florida,Texas A&amp;M,Missouri,Mississippi State,Tennessee,Kentucky")</f>
        <v>LSU,Auburn,Florida,Texas A&amp;M,Missouri,Mississippi State,Tennessee,Kentucky</v>
      </c>
      <c r="AM14" s="30" t="str">
        <f>IFERROR(__xludf.DUMMYFUNCTION("REGEXREPLACE(join("","",unique({let(conf_picked,filter(E$1:E13,D$1:D13=D14), byrow(unique(TRANSPOSe(Teams!$1:$1)),lambda(rw,if(ISERROR(match(rw,conf_picked,0)),rw,))));iferror(if(#REF!,,transpose(split(#REF!,"","",1,1))))})), ""^,"", """")"),"AAC,ACC,Big 12,,CUSA,MAC,MWC,Pac12,SEC,Sun Belt,Independent")</f>
        <v>AAC,ACC,Big 12,,CUSA,MAC,MWC,Pac12,SEC,Sun Belt,Independent</v>
      </c>
      <c r="AN14" s="39">
        <f>IFERROR(__xludf.DUMMYFUNCTION("iferror($O14-max(filter($O14:$O$392,arrayformula(isnumber(FIND($E14:$E$392,AM14))))))"),-7.0)</f>
        <v>-7</v>
      </c>
      <c r="AO14" s="37">
        <f t="array" ref="AO14">countifs($O$2:$O13,"&lt;"&amp;$O14,isnumber(FIND($E$2:$E13,AM14)),TRUE)</f>
        <v>0</v>
      </c>
      <c r="AP14" s="37">
        <f>IFERROR(__xludf.DUMMYFUNCTION("iferror(COUNT(filter($O15:$O$392,$O15:$O$392&gt;$O14,arrayformula(isnumber(FIND($E15:$E$392,AM14))))))"),58.0)</f>
        <v>58</v>
      </c>
      <c r="AQ14" s="40">
        <f t="shared" si="9"/>
        <v>0</v>
      </c>
      <c r="AR14" s="41">
        <f>IFERROR(__xludf.DUMMYFUNCTION("iferror($O14-min(filter($O14:$O$392,arrayformula(isnumber(FIND($E14:$E$392,AM14))))))"),5.0)</f>
        <v>5</v>
      </c>
      <c r="AS14" s="48" t="str">
        <f>IFERROR(__xludf.DUMMYFUNCTION("iferror(join("","",index(sort(filter($F15:$F$392,$O15:$O$392&gt;$O14,arrayformula(isnumber(FIND($E15:$E$392,AM14)))),2,false),0,1)))"),"Utah,Toledo,Texas,Oregon,Western Michigan,Georgia Southern,Washington State,Notre Dame,San Diego State,Utah State,Air Force,Cincinnati,Nevada,Miami,Florida Atlantic,Wyoming,EMU,Temple,Hawaii,Florida Intl,Buffalo,SMU,Miami-OH,Navy,Tulane,Iowa State,Virgini"&amp;"a Tech,LSU,Marshall,Georgia State,USC,Oklahoma State,Auburn,Louisiana Tech,Southern Mississippi,Florida,Baylor,UAB,Arizona State,California,BYU,Texas A&amp;M,Kansas State,Florida State,Wake Forest,Western Kentucky,Virginia,Charlotte,Pittsburgh,Missouri,Boston"&amp;" College,Mississippi State,Tennessee,Kent State,Kentucky,Central Michigan,North Carolina,Louisville")</f>
        <v>Utah,Toledo,Texas,Oregon,Western Michigan,Georgia Southern,Washington State,Notre Dame,San Diego State,Utah State,Air Force,Cincinnati,Nevada,Miami,Florida Atlantic,Wyoming,EMU,Temple,Hawaii,Florida Intl,Buffalo,SMU,Miami-OH,Navy,Tulane,Iowa State,Virginia Tech,LSU,Marshall,Georgia State,USC,Oklahoma State,Auburn,Louisiana Tech,Southern Mississippi,Florida,Baylor,UAB,Arizona State,California,BYU,Texas A&amp;M,Kansas State,Florida State,Wake Forest,Western Kentucky,Virginia,Charlotte,Pittsburgh,Missouri,Boston College,Mississippi State,Tennessee,Kent State,Kentucky,Central Michigan,North Carolina,Louisville</v>
      </c>
    </row>
    <row r="15">
      <c r="A15" s="1">
        <f t="shared" si="10"/>
        <v>14</v>
      </c>
      <c r="B15" s="1">
        <f t="shared" si="12"/>
        <v>2</v>
      </c>
      <c r="C15" s="1">
        <v>2.0</v>
      </c>
      <c r="D15" s="56" t="str">
        <f>D12</f>
        <v>Brad</v>
      </c>
      <c r="E15" s="52" t="str">
        <f>if(F15&lt;&gt;"",VLOOKUP(F15,offset('Teams-Conference'!A:B,0,(counta('Draft Order'!B$2:B129)-10)*2),2,0),"")</f>
        <v>Pac12</v>
      </c>
      <c r="F15" s="1" t="s">
        <v>170</v>
      </c>
      <c r="H15" s="29">
        <f t="shared" si="1"/>
        <v>2</v>
      </c>
      <c r="I15" s="29">
        <f t="shared" si="2"/>
        <v>2</v>
      </c>
      <c r="J15" s="29">
        <f t="shared" si="11"/>
        <v>1</v>
      </c>
      <c r="K15" s="30"/>
      <c r="L15" s="29"/>
      <c r="M15" s="29">
        <f>IFERROR(__xludf.DUMMYFUNCTION("counta(iferror(filter(L$2:L14,E$2:E14=E15,L$2:L14&lt;L15)))"),0.0)</f>
        <v>0</v>
      </c>
      <c r="N15" s="29">
        <f>IFERROR(__xludf.DUMMYFUNCTION("counta(iferror(filter(L16:L$129,E16:E$129=E15,L16:L$131&gt;L15)))"),0.0)</f>
        <v>0</v>
      </c>
      <c r="O15" s="34">
        <f t="array" ref="O15:W15">XLOOKUP(F15,'Current Week'!B:B,'Current Week'!C:N)</f>
        <v>11</v>
      </c>
      <c r="P15" s="29">
        <v>1.0</v>
      </c>
      <c r="Q15" s="30" t="s">
        <v>278</v>
      </c>
      <c r="R15" s="30" t="s">
        <v>258</v>
      </c>
      <c r="S15" s="30" t="s">
        <v>259</v>
      </c>
      <c r="T15" s="30" t="s">
        <v>244</v>
      </c>
      <c r="U15" s="37" t="s">
        <v>283</v>
      </c>
      <c r="V15" s="37" t="s">
        <v>58</v>
      </c>
      <c r="W15" s="37" t="s">
        <v>259</v>
      </c>
      <c r="X15" s="37"/>
      <c r="Y15" s="37"/>
      <c r="Z15" s="37"/>
      <c r="AA15" s="39">
        <f t="shared" si="3"/>
        <v>-1</v>
      </c>
      <c r="AB15" s="37">
        <f t="shared" si="4"/>
        <v>6</v>
      </c>
      <c r="AC15" s="37">
        <f>IFERROR(__xludf.DUMMYFUNCTION("iferror(COUNT(filter($O16:$O$392,$O16:$O$392&gt;$O15)))"),1.0)</f>
        <v>1</v>
      </c>
      <c r="AD15" s="40">
        <f t="shared" si="5"/>
        <v>0</v>
      </c>
      <c r="AE15" s="41">
        <f t="shared" si="6"/>
        <v>6</v>
      </c>
      <c r="AF15" s="30" t="str">
        <f>IFERROR(__xludf.DUMMYFUNCTION("iferror(join("","",index(sort(filter($F16:$F$393,$O16:$O$393&gt;$O15),2,false),0,1)))"),"LSU")</f>
        <v>LSU</v>
      </c>
      <c r="AG15" s="39">
        <f>IFERROR(__xludf.DUMMYFUNCTION("iferror($O15-max(filter($O15:$O$392,$E15:$E$392=$E$2)))"),-1.0)</f>
        <v>-1</v>
      </c>
      <c r="AH15" s="37">
        <f t="shared" si="7"/>
        <v>1</v>
      </c>
      <c r="AI15" s="37">
        <f>IFERROR(__xludf.DUMMYFUNCTION("iferror(COUNT(filter($O16:$O$392,$O16:$O$392&gt;$O15,$E15:$E$392=$E$2)))"),0.0)</f>
        <v>0</v>
      </c>
      <c r="AJ15" s="40">
        <f t="shared" si="8"/>
        <v>0</v>
      </c>
      <c r="AK15" s="41">
        <f>IFERROR(__xludf.DUMMYFUNCTION("iferror($O15-min(filter($O15:$O$392,$E15:$E$392=$E$2)))"),9.0)</f>
        <v>9</v>
      </c>
      <c r="AL15" s="30" t="str">
        <f>IFERROR(__xludf.DUMMYFUNCTION("iferror(join("","",index(sort(filter($F16:$F$392,$O16:$O$392&gt;$O15,$E16:$E$392=$E$2),2,false),0,1)))"),"LSU")</f>
        <v>LSU</v>
      </c>
      <c r="AM15" s="30" t="str">
        <f>IFERROR(__xludf.DUMMYFUNCTION("REGEXREPLACE(join("","",unique({let(conf_picked,filter(E$1:E14,D$1:D14=D15), byrow(unique(TRANSPOSe(Teams!$1:$1)),lambda(rw,if(ISERROR(match(rw,conf_picked,0)),rw,))));iferror(if(#REF!,,transpose(split(#REF!,"","",1,1))))})), ""^,"", """")"),"ACC,Big 12,Big Ten,CUSA,MAC,MWC,Pac12,SEC,Sun Belt,Independent")</f>
        <v>ACC,Big 12,Big Ten,CUSA,MAC,MWC,Pac12,SEC,Sun Belt,Independent</v>
      </c>
      <c r="AN15" s="39">
        <f>IFERROR(__xludf.DUMMYFUNCTION("iferror($O15-max(filter($O15:$O$392,arrayformula(isnumber(FIND($E15:$E$392,AM15))))))"),-1.0)</f>
        <v>-1</v>
      </c>
      <c r="AO15" s="37">
        <f t="array" ref="AO15">countifs($O$2:$O14,"&lt;"&amp;$O15,isnumber(FIND($E$2:$E14,AM15)),TRUE)</f>
        <v>5</v>
      </c>
      <c r="AP15" s="37">
        <f>IFERROR(__xludf.DUMMYFUNCTION("iferror(COUNT(filter($O16:$O$392,$O16:$O$392&gt;$O15,arrayformula(isnumber(FIND($E16:$E$392,AM15))))))"),1.0)</f>
        <v>1</v>
      </c>
      <c r="AQ15" s="40">
        <f t="shared" si="9"/>
        <v>0</v>
      </c>
      <c r="AR15" s="41">
        <f>IFERROR(__xludf.DUMMYFUNCTION("iferror($O15-min(filter($O15:$O$392,arrayformula(isnumber(FIND($E15:$E$392,AM15))))))"),11.0)</f>
        <v>11</v>
      </c>
      <c r="AS15" s="48" t="str">
        <f>IFERROR(__xludf.DUMMYFUNCTION("iferror(join("","",index(sort(filter($F16:$F$392,$O16:$O$392&gt;$O15,arrayformula(isnumber(FIND($E16:$E$392,AM15)))),2,false),0,1)))"),"LSU")</f>
        <v>LSU</v>
      </c>
    </row>
    <row r="16">
      <c r="A16" s="1">
        <f t="shared" si="10"/>
        <v>15</v>
      </c>
      <c r="B16" s="1">
        <f t="shared" si="12"/>
        <v>2</v>
      </c>
      <c r="C16" s="1">
        <v>3.0</v>
      </c>
      <c r="D16" s="56" t="str">
        <f>D11</f>
        <v>Josh R.</v>
      </c>
      <c r="E16" s="52" t="str">
        <f>if(F16&lt;&gt;"",VLOOKUP(F16,offset('Teams-Conference'!A:B,0,(counta('Draft Order'!B$2:B129)-10)*2),2,0),"")</f>
        <v>MAC</v>
      </c>
      <c r="F16" s="1" t="s">
        <v>147</v>
      </c>
      <c r="H16" s="29">
        <f t="shared" si="1"/>
        <v>1</v>
      </c>
      <c r="I16" s="29">
        <f t="shared" si="2"/>
        <v>2</v>
      </c>
      <c r="J16" s="29">
        <f t="shared" si="11"/>
        <v>0</v>
      </c>
      <c r="K16" s="30"/>
      <c r="L16" s="29"/>
      <c r="M16" s="29">
        <f>IFERROR(__xludf.DUMMYFUNCTION("counta(iferror(filter(L$2:L15,E$2:E15=E16,L$2:L15&lt;L16)))"),0.0)</f>
        <v>0</v>
      </c>
      <c r="N16" s="29">
        <f>IFERROR(__xludf.DUMMYFUNCTION("counta(iferror(filter(L17:L$129,E17:E$129=E16,L17:L$131&gt;L16)))"),0.0)</f>
        <v>0</v>
      </c>
      <c r="O16" s="34">
        <f t="array" ref="O16:W16">XLOOKUP(F16,'Current Week'!B:B,'Current Week'!C:N)</f>
        <v>6</v>
      </c>
      <c r="P16" s="29">
        <v>6.0</v>
      </c>
      <c r="Q16" s="30" t="s">
        <v>242</v>
      </c>
      <c r="R16" s="35" t="s">
        <v>202</v>
      </c>
      <c r="S16" s="30"/>
      <c r="T16" s="30" t="s">
        <v>203</v>
      </c>
      <c r="U16" s="37" t="s">
        <v>203</v>
      </c>
      <c r="V16" s="37"/>
      <c r="W16" s="37">
        <v>9999.0</v>
      </c>
      <c r="X16" s="37"/>
      <c r="Y16" s="37"/>
      <c r="Z16" s="37"/>
      <c r="AA16" s="39">
        <f t="shared" si="3"/>
        <v>-6</v>
      </c>
      <c r="AB16" s="37">
        <f t="shared" si="4"/>
        <v>2</v>
      </c>
      <c r="AC16" s="37">
        <f>IFERROR(__xludf.DUMMYFUNCTION("iferror(COUNT(filter($O17:$O$392,$O17:$O$392&gt;$O16)))"),51.0)</f>
        <v>51</v>
      </c>
      <c r="AD16" s="40">
        <f t="shared" si="5"/>
        <v>0</v>
      </c>
      <c r="AE16" s="41">
        <f t="shared" si="6"/>
        <v>1</v>
      </c>
      <c r="AF16" s="30" t="str">
        <f>IFERROR(__xludf.DUMMYFUNCTION("iferror(join("","",index(sort(filter($F17:$F$393,$O17:$O$393&gt;$O16),2,false),0,1)))"),"Michigan,Texas,Oregon,Western Michigan,Georgia Southern,Notre Dame,San Diego State,Utah State,Air Force,Cincinnati,Nevada,Florida Atlantic,Wyoming,Temple,Hawaii,Buffalo,SMU,Miami-OH,Navy,Iowa State,Virginia Tech,LSU,Marshall,Wisconsin,Penn State,Georgia S"&amp;"tate,USC,Oklahoma State,Auburn,Louisiana Tech,Southern Mississippi,Florida,Baylor,UAB,Arizona State,California,BYU,Iowa,Texas A&amp;M,Minnesota,Kansas State,Indiana,Wake Forest,Western Kentucky,Virginia,Charlotte,Pittsburgh,Tennessee,Kentucky,Central Michigan"&amp;",Louisville")</f>
        <v>Michigan,Texas,Oregon,Western Michigan,Georgia Southern,Notre Dame,San Diego State,Utah State,Air Force,Cincinnati,Nevada,Florida Atlantic,Wyoming,Temple,Hawaii,Buffalo,SMU,Miami-OH,Navy,Iowa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16" s="39">
        <f>IFERROR(__xludf.DUMMYFUNCTION("iferror($O16-max(filter($O16:$O$392,$E16:$E$392=$E$2)))"),-6.0)</f>
        <v>-6</v>
      </c>
      <c r="AH16" s="37">
        <f t="shared" si="7"/>
        <v>0</v>
      </c>
      <c r="AI16" s="37">
        <f>IFERROR(__xludf.DUMMYFUNCTION("iferror(COUNT(filter($O17:$O$392,$O17:$O$392&gt;$O16,$E16:$E$392=$E$2)))"),0.0)</f>
        <v>0</v>
      </c>
      <c r="AJ16" s="40">
        <f t="shared" si="8"/>
        <v>0</v>
      </c>
      <c r="AK16" s="41">
        <f>IFERROR(__xludf.DUMMYFUNCTION("iferror($O16-min(filter($O16:$O$392,$E16:$E$392=$E$2)))"),4.0)</f>
        <v>4</v>
      </c>
      <c r="AL16" s="30" t="str">
        <f>IFERROR(__xludf.DUMMYFUNCTION("iferror(join("","",index(sort(filter($F17:$F$392,$O17:$O$392&gt;$O16,$E17:$E$392=$E$2),2,false),0,1)))"),"LSU,Auburn,Florida,Texas A&amp;M,Tennessee,Kentucky")</f>
        <v>LSU,Auburn,Florida,Texas A&amp;M,Tennessee,Kentucky</v>
      </c>
      <c r="AM16" s="30" t="str">
        <f>IFERROR(__xludf.DUMMYFUNCTION("REGEXREPLACE(join("","",unique({let(conf_picked,filter(E$1:E15,D$1:D15=D16), byrow(unique(TRANSPOSe(Teams!$1:$1)),lambda(rw,if(ISERROR(match(rw,conf_picked,0)),rw,))));iferror(if(#REF!,,transpose(split(#REF!,"","",1,1))))})), ""^,"", """")"),"AAC,ACC,Big 12,Big Ten,CUSA,MAC,MWC,Pac12,SEC,,Independent")</f>
        <v>AAC,ACC,Big 12,Big Ten,CUSA,MAC,MWC,Pac12,SEC,,Independent</v>
      </c>
      <c r="AN16" s="39">
        <f>IFERROR(__xludf.DUMMYFUNCTION("iferror($O16-max(filter($O16:$O$392,arrayformula(isnumber(FIND($E16:$E$392,AM16))))))"),-6.0)</f>
        <v>-6</v>
      </c>
      <c r="AO16" s="37">
        <f t="array" ref="AO16">countifs($O$2:$O15,"&lt;"&amp;$O16,isnumber(FIND($E$2:$E15,AM16)),TRUE)</f>
        <v>0</v>
      </c>
      <c r="AP16" s="37">
        <f>IFERROR(__xludf.DUMMYFUNCTION("iferror(COUNT(filter($O17:$O$392,$O17:$O$392&gt;$O16,arrayformula(isnumber(FIND($E17:$E$392,AM16))))))"),49.0)</f>
        <v>49</v>
      </c>
      <c r="AQ16" s="40">
        <f t="shared" si="9"/>
        <v>0</v>
      </c>
      <c r="AR16" s="41">
        <f>IFERROR(__xludf.DUMMYFUNCTION("iferror($O16-min(filter($O16:$O$392,arrayformula(isnumber(FIND($E16:$E$392,AM16))))))"),6.0)</f>
        <v>6</v>
      </c>
      <c r="AS16" s="48" t="str">
        <f>IFERROR(__xludf.DUMMYFUNCTION("iferror(join("","",index(sort(filter($F17:$F$392,$O17:$O$392&gt;$O16,arrayformula(isnumber(FIND($E17:$E$392,AM16)))),2,false),0,1)))"),"Michigan,Texas,Oregon,Western Michigan,Notre Dame,San Diego State,Utah State,Air Force,Cincinnati,Nevada,Florida Atlantic,Wyoming,Temple,Hawaii,Buffalo,SMU,Miami-OH,Navy,Iowa State,Virginia Tech,LSU,Marshall,Wisconsin,Penn State,USC,Oklahoma State,Auburn,"&amp;"Louisiana Tech,Southern Mississippi,Florida,Baylor,UAB,Arizona State,California,BYU,Iowa,Texas A&amp;M,Minnesota,Kansas State,Indiana,Wake Forest,Western Kentucky,Virginia,Charlotte,Pittsburgh,Tennessee,Kentucky,Central Michigan,Louisville")</f>
        <v>Michigan,Texas,Oregon,Western Michigan,Notre Dame,San Diego State,Utah State,Air Force,Cincinnati,Nevada,Florida Atlantic,Wyoming,Temple,Hawaii,Buffalo,SMU,Miami-OH,Navy,Iowa State,Virginia Tech,LSU,Marshall,Wisconsin,Penn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</row>
    <row r="17">
      <c r="A17" s="1">
        <f t="shared" si="10"/>
        <v>16</v>
      </c>
      <c r="B17" s="1">
        <f t="shared" si="12"/>
        <v>2</v>
      </c>
      <c r="C17" s="1">
        <v>4.0</v>
      </c>
      <c r="D17" s="56" t="str">
        <f>D10</f>
        <v>Vu</v>
      </c>
      <c r="E17" s="52" t="str">
        <f>if(F17&lt;&gt;"",VLOOKUP(F17,offset('Teams-Conference'!A:B,0,(counta('Draft Order'!B$2:B129)-10)*2),2,0),"")</f>
        <v>Big Ten</v>
      </c>
      <c r="F17" s="1" t="s">
        <v>112</v>
      </c>
      <c r="H17" s="29">
        <f t="shared" si="1"/>
        <v>0</v>
      </c>
      <c r="I17" s="29">
        <f t="shared" si="2"/>
        <v>0</v>
      </c>
      <c r="J17" s="29">
        <f t="shared" si="11"/>
        <v>1</v>
      </c>
      <c r="K17" s="30"/>
      <c r="L17" s="29"/>
      <c r="M17" s="29">
        <f>IFERROR(__xludf.DUMMYFUNCTION("counta(iferror(filter(L$2:L16,E$2:E16=E17,L$2:L16&lt;L17)))"),0.0)</f>
        <v>0</v>
      </c>
      <c r="N17" s="29">
        <f>IFERROR(__xludf.DUMMYFUNCTION("counta(iferror(filter(L18:L$129,E18:E$129=E17,L18:L$131&gt;L17)))"),0.0)</f>
        <v>0</v>
      </c>
      <c r="O17" s="34">
        <f t="array" ref="O17:W17">XLOOKUP(F17,'Current Week'!B:B,'Current Week'!C:N)</f>
        <v>9</v>
      </c>
      <c r="P17" s="29">
        <v>3.0</v>
      </c>
      <c r="Q17" s="30" t="s">
        <v>278</v>
      </c>
      <c r="R17" s="30" t="s">
        <v>202</v>
      </c>
      <c r="S17" s="30"/>
      <c r="T17" s="30" t="s">
        <v>203</v>
      </c>
      <c r="U17" s="37" t="s">
        <v>203</v>
      </c>
      <c r="V17" s="37"/>
      <c r="W17" s="37">
        <v>9999.0</v>
      </c>
      <c r="X17" s="37"/>
      <c r="Y17" s="37"/>
      <c r="Z17" s="37"/>
      <c r="AA17" s="39">
        <f t="shared" si="3"/>
        <v>-3</v>
      </c>
      <c r="AB17" s="37">
        <f t="shared" si="4"/>
        <v>5</v>
      </c>
      <c r="AC17" s="37">
        <f>IFERROR(__xludf.DUMMYFUNCTION("iferror(COUNT(filter($O18:$O$392,$O18:$O$392&gt;$O17)))"),12.0)</f>
        <v>12</v>
      </c>
      <c r="AD17" s="40">
        <f t="shared" si="5"/>
        <v>0</v>
      </c>
      <c r="AE17" s="41">
        <f t="shared" si="6"/>
        <v>4</v>
      </c>
      <c r="AF17" s="30" t="str">
        <f>IFERROR(__xludf.DUMMYFUNCTION("iferror(join("","",index(sort(filter($F18:$F$393,$O18:$O$393&gt;$O17),2,false),0,1)))"),"Oregon,Notre Dame,Air Force,Cincinnati,SMU,Navy,LSU,Wisconsin,Penn State,Florida,Baylor,Minnesota")</f>
        <v>Oregon,Notre Dame,Air Force,Cincinnati,SMU,Navy,LSU,Wisconsin,Penn State,Florida,Baylor,Minnesota</v>
      </c>
      <c r="AG17" s="39">
        <f>IFERROR(__xludf.DUMMYFUNCTION("iferror($O17-max(filter($O17:$O$392,$E17:$E$392=$E$2)))"),-3.0)</f>
        <v>-3</v>
      </c>
      <c r="AH17" s="37">
        <f t="shared" si="7"/>
        <v>0</v>
      </c>
      <c r="AI17" s="37">
        <f>IFERROR(__xludf.DUMMYFUNCTION("iferror(COUNT(filter($O18:$O$392,$O18:$O$392&gt;$O17,$E17:$E$392=$E$2)))"),0.0)</f>
        <v>0</v>
      </c>
      <c r="AJ17" s="40">
        <f t="shared" si="8"/>
        <v>0</v>
      </c>
      <c r="AK17" s="41">
        <f>IFERROR(__xludf.DUMMYFUNCTION("iferror($O17-min(filter($O17:$O$392,$E17:$E$392=$E$2)))"),7.0)</f>
        <v>7</v>
      </c>
      <c r="AL17" s="30" t="str">
        <f>IFERROR(__xludf.DUMMYFUNCTION("iferror(join("","",index(sort(filter($F18:$F$392,$O18:$O$392&gt;$O17,$E18:$E$392=$E$2),2,false),0,1)))"),"LSU,Florida")</f>
        <v>LSU,Florida</v>
      </c>
      <c r="AM17" s="30" t="str">
        <f>IFERROR(__xludf.DUMMYFUNCTION("REGEXREPLACE(join("","",unique({let(conf_picked,filter(E$1:E16,D$1:D16=D17), byrow(unique(TRANSPOSe(Teams!$1:$1)),lambda(rw,if(ISERROR(match(rw,conf_picked,0)),rw,))));iferror(if(#REF!,,transpose(split(#REF!,"","",1,1))))})), ""^,"", """")"),"AAC,ACC,Big 12,Big Ten,CUSA,MAC,MWC,,SEC,Sun Belt,Independent")</f>
        <v>AAC,ACC,Big 12,Big Ten,CUSA,MAC,MWC,,SEC,Sun Belt,Independent</v>
      </c>
      <c r="AN17" s="39">
        <f>IFERROR(__xludf.DUMMYFUNCTION("iferror($O17-max(filter($O17:$O$392,arrayformula(isnumber(FIND($E17:$E$392,AM17))))))"),-3.0)</f>
        <v>-3</v>
      </c>
      <c r="AO17" s="37">
        <f t="array" ref="AO17">countifs($O$2:$O16,"&lt;"&amp;$O17,isnumber(FIND($E$2:$E16,AM17)),TRUE)</f>
        <v>4</v>
      </c>
      <c r="AP17" s="37">
        <f>IFERROR(__xludf.DUMMYFUNCTION("iferror(COUNT(filter($O18:$O$392,$O18:$O$392&gt;$O17,arrayformula(isnumber(FIND($E18:$E$392,AM17))))))"),11.0)</f>
        <v>11</v>
      </c>
      <c r="AQ17" s="40">
        <f t="shared" si="9"/>
        <v>0</v>
      </c>
      <c r="AR17" s="41">
        <f>IFERROR(__xludf.DUMMYFUNCTION("iferror($O17-min(filter($O17:$O$392,arrayformula(isnumber(FIND($E17:$E$392,AM17))))))"),9.0)</f>
        <v>9</v>
      </c>
      <c r="AS17" s="48" t="str">
        <f>IFERROR(__xludf.DUMMYFUNCTION("iferror(join("","",index(sort(filter($F18:$F$392,$O18:$O$392&gt;$O17,arrayformula(isnumber(FIND($E18:$E$392,AM17)))),2,false),0,1)))"),"Notre Dame,Air Force,Cincinnati,SMU,Navy,LSU,Wisconsin,Penn State,Florida,Baylor,Minnesota")</f>
        <v>Notre Dame,Air Force,Cincinnati,SMU,Navy,LSU,Wisconsin,Penn State,Florida,Baylor,Minnesota</v>
      </c>
    </row>
    <row r="18">
      <c r="A18" s="1">
        <f t="shared" si="10"/>
        <v>17</v>
      </c>
      <c r="B18" s="1">
        <f t="shared" si="12"/>
        <v>2</v>
      </c>
      <c r="C18" s="1">
        <v>5.0</v>
      </c>
      <c r="D18" s="56" t="str">
        <f>D9</f>
        <v>Adam</v>
      </c>
      <c r="E18" s="52" t="str">
        <f>if(F18&lt;&gt;"",VLOOKUP(F18,offset('Teams-Conference'!A:B,0,(counta('Draft Order'!B$2:B129)-10)*2),2,0),"")</f>
        <v>Big 12</v>
      </c>
      <c r="F18" s="1" t="s">
        <v>103</v>
      </c>
      <c r="H18" s="29">
        <f t="shared" si="1"/>
        <v>1</v>
      </c>
      <c r="I18" s="29">
        <f t="shared" si="2"/>
        <v>1</v>
      </c>
      <c r="J18" s="29">
        <f t="shared" si="11"/>
        <v>0</v>
      </c>
      <c r="K18" s="30"/>
      <c r="L18" s="29"/>
      <c r="M18" s="29">
        <f>IFERROR(__xludf.DUMMYFUNCTION("counta(iferror(filter(L$2:L17,E$2:E17=E18,L$2:L17&lt;L18)))"),0.0)</f>
        <v>0</v>
      </c>
      <c r="N18" s="29">
        <f>IFERROR(__xludf.DUMMYFUNCTION("counta(iferror(filter(L19:L$129,E19:E$129=E18,L19:L$131&gt;L18)))"),0.0)</f>
        <v>0</v>
      </c>
      <c r="O18" s="34">
        <f t="array" ref="O18:W18">XLOOKUP(F18,'Current Week'!B:B,'Current Week'!C:N)</f>
        <v>7</v>
      </c>
      <c r="P18" s="29">
        <v>5.0</v>
      </c>
      <c r="Q18" s="30" t="s">
        <v>269</v>
      </c>
      <c r="R18" s="30" t="s">
        <v>202</v>
      </c>
      <c r="S18" s="30"/>
      <c r="T18" s="30" t="s">
        <v>203</v>
      </c>
      <c r="U18" s="37" t="s">
        <v>203</v>
      </c>
      <c r="V18" s="37"/>
      <c r="W18" s="37">
        <v>9999.0</v>
      </c>
      <c r="X18" s="37"/>
      <c r="Y18" s="37"/>
      <c r="Z18" s="37"/>
      <c r="AA18" s="39">
        <f t="shared" si="3"/>
        <v>-5</v>
      </c>
      <c r="AB18" s="37">
        <f t="shared" si="4"/>
        <v>4</v>
      </c>
      <c r="AC18" s="37">
        <f>IFERROR(__xludf.DUMMYFUNCTION("iferror(COUNT(filter($O19:$O$392,$O19:$O$392&gt;$O18)))"),31.0)</f>
        <v>31</v>
      </c>
      <c r="AD18" s="40">
        <f t="shared" si="5"/>
        <v>0</v>
      </c>
      <c r="AE18" s="41">
        <f t="shared" si="6"/>
        <v>2</v>
      </c>
      <c r="AF18" s="30" t="str">
        <f>IFERROR(__xludf.DUMMYFUNCTION("iferror(join("","",index(sort(filter($F19:$F$393,$O19:$O$393&gt;$O18),2,false),0,1)))"),"Oregon,Notre Dame,San Diego State,Air Force,Cincinnati,Florida Atlantic,Temple,Hawaii,SMU,Navy,Virginia Tech,LSU,Marshall,Wisconsin,Penn State,USC,Oklahoma State,Auburn,Louisiana Tech,Florida,Baylor,UAB,Iowa,Minnesota,Kansas State,Indiana,Wake Forest,West"&amp;"ern Kentucky,Virginia,Central Michigan,Louisville")</f>
        <v>Oregon,Notre Dame,San Diego State,Air Force,Cincinnati,Florida Atlantic,Temple,Hawaii,SMU,Navy,Virginia Tech,LSU,Marshall,Wisconsin,Penn State,USC,Oklahoma State,Auburn,Louisiana Tech,Florida,Baylor,UAB,Iowa,Minnesota,Kansas State,Indiana,Wake Forest,Western Kentucky,Virginia,Central Michigan,Louisville</v>
      </c>
      <c r="AG18" s="39">
        <f>IFERROR(__xludf.DUMMYFUNCTION("iferror($O18-max(filter($O18:$O$392,$E18:$E$392=$E$2)))"),-5.0)</f>
        <v>-5</v>
      </c>
      <c r="AH18" s="37">
        <f t="shared" si="7"/>
        <v>0</v>
      </c>
      <c r="AI18" s="37">
        <f>IFERROR(__xludf.DUMMYFUNCTION("iferror(COUNT(filter($O19:$O$392,$O19:$O$392&gt;$O18,$E18:$E$392=$E$2)))"),0.0)</f>
        <v>0</v>
      </c>
      <c r="AJ18" s="40">
        <f t="shared" si="8"/>
        <v>0</v>
      </c>
      <c r="AK18" s="41">
        <f>IFERROR(__xludf.DUMMYFUNCTION("iferror($O18-min(filter($O18:$O$392,$E18:$E$392=$E$2)))"),5.0)</f>
        <v>5</v>
      </c>
      <c r="AL18" s="30" t="str">
        <f>IFERROR(__xludf.DUMMYFUNCTION("iferror(join("","",index(sort(filter($F19:$F$392,$O19:$O$392&gt;$O18,$E19:$E$392=$E$2),2,false),0,1)))"),"LSU,Auburn,Florida")</f>
        <v>LSU,Auburn,Florida</v>
      </c>
      <c r="AM18" s="30" t="str">
        <f>IFERROR(__xludf.DUMMYFUNCTION("REGEXREPLACE(join("","",unique({let(conf_picked,filter(E$1:E17,D$1:D17=D18), byrow(unique(TRANSPOSe(Teams!$1:$1)),lambda(rw,if(ISERROR(match(rw,conf_picked,0)),rw,))));iferror(if(#REF!,,transpose(split(#REF!,"","",1,1))))})), ""^,"", """")"),"ACC,Big 12,Big Ten,CUSA,MAC,MWC,Pac12,SEC,Sun Belt,Independent")</f>
        <v>ACC,Big 12,Big Ten,CUSA,MAC,MWC,Pac12,SEC,Sun Belt,Independent</v>
      </c>
      <c r="AN18" s="39">
        <f>IFERROR(__xludf.DUMMYFUNCTION("iferror($O18-max(filter($O18:$O$392,arrayformula(isnumber(FIND($E18:$E$392,AM18))))))"),-5.0)</f>
        <v>-5</v>
      </c>
      <c r="AO18" s="37">
        <f t="array" ref="AO18">countifs($O$2:$O17,"&lt;"&amp;$O18,isnumber(FIND($E$2:$E17,AM18)),TRUE)</f>
        <v>4</v>
      </c>
      <c r="AP18" s="37">
        <f>IFERROR(__xludf.DUMMYFUNCTION("iferror(COUNT(filter($O19:$O$392,$O19:$O$392&gt;$O18,arrayformula(isnumber(FIND($E19:$E$392,AM18))))))"),27.0)</f>
        <v>27</v>
      </c>
      <c r="AQ18" s="40">
        <f t="shared" si="9"/>
        <v>0</v>
      </c>
      <c r="AR18" s="41">
        <f>IFERROR(__xludf.DUMMYFUNCTION("iferror($O18-min(filter($O18:$O$392,arrayformula(isnumber(FIND($E18:$E$392,AM18))))))"),7.0)</f>
        <v>7</v>
      </c>
      <c r="AS18" s="48" t="str">
        <f>IFERROR(__xludf.DUMMYFUNCTION("iferror(join("","",index(sort(filter($F19:$F$392,$O19:$O$392&gt;$O18,arrayformula(isnumber(FIND($E19:$E$392,AM18)))),2,false),0,1)))"),"Oregon,Notre Dame,San Diego State,Air Force,Florida Atlantic,Hawaii,Virginia Tech,LSU,Marshall,Wisconsin,Penn State,USC,Oklahoma State,Auburn,Louisiana Tech,Florida,Baylor,UAB,Iowa,Minnesota,Kansas State,Indiana,Wake Forest,Western Kentucky,Virginia,Centr"&amp;"al Michigan,Louisville")</f>
        <v>Oregon,Notre Dame,San Diego State,Air Force,Florida Atlantic,Hawaii,Virginia Tech,LSU,Marshall,Wisconsin,Penn State,USC,Oklahoma State,Auburn,Louisiana Tech,Florida,Baylor,UAB,Iowa,Minnesota,Kansas State,Indiana,Wake Forest,Western Kentucky,Virginia,Central Michigan,Louisville</v>
      </c>
    </row>
    <row r="19">
      <c r="A19" s="1">
        <f t="shared" si="10"/>
        <v>18</v>
      </c>
      <c r="B19" s="1">
        <f t="shared" si="12"/>
        <v>2</v>
      </c>
      <c r="C19" s="1">
        <v>6.0</v>
      </c>
      <c r="D19" s="56" t="str">
        <f>D8</f>
        <v>Justin</v>
      </c>
      <c r="E19" s="52" t="str">
        <f>if(F19&lt;&gt;"",VLOOKUP(F19,offset('Teams-Conference'!A:B,0,(counta('Draft Order'!B$2:B129)-10)*2),2,0),"")</f>
        <v>Pac12</v>
      </c>
      <c r="F19" s="1" t="s">
        <v>165</v>
      </c>
      <c r="H19" s="29">
        <f t="shared" si="1"/>
        <v>1</v>
      </c>
      <c r="I19" s="29">
        <f t="shared" si="2"/>
        <v>1</v>
      </c>
      <c r="J19" s="29">
        <f t="shared" si="11"/>
        <v>2</v>
      </c>
      <c r="K19" s="30"/>
      <c r="L19" s="29"/>
      <c r="M19" s="29">
        <f>IFERROR(__xludf.DUMMYFUNCTION("counta(iferror(filter(L$2:L18,E$2:E18=E19,L$2:L18&lt;L19)))"),0.0)</f>
        <v>0</v>
      </c>
      <c r="N19" s="29">
        <f>IFERROR(__xludf.DUMMYFUNCTION("counta(iferror(filter(L20:L$129,E20:E$129=E19,L20:L$131&gt;L19)))"),0.0)</f>
        <v>0</v>
      </c>
      <c r="O19" s="34">
        <f t="array" ref="O19:W19">XLOOKUP(F19,'Current Week'!B:B,'Current Week'!C:N)</f>
        <v>10</v>
      </c>
      <c r="P19" s="29">
        <v>2.0</v>
      </c>
      <c r="Q19" s="30" t="s">
        <v>201</v>
      </c>
      <c r="R19" s="35" t="s">
        <v>258</v>
      </c>
      <c r="S19" s="30" t="s">
        <v>259</v>
      </c>
      <c r="T19" s="30" t="s">
        <v>247</v>
      </c>
      <c r="U19" s="37" t="s">
        <v>283</v>
      </c>
      <c r="V19" s="37" t="s">
        <v>69</v>
      </c>
      <c r="W19" s="37" t="s">
        <v>259</v>
      </c>
      <c r="X19" s="37"/>
      <c r="Y19" s="37"/>
      <c r="Z19" s="37"/>
      <c r="AA19" s="39">
        <f t="shared" si="3"/>
        <v>-2</v>
      </c>
      <c r="AB19" s="37">
        <f t="shared" si="4"/>
        <v>8</v>
      </c>
      <c r="AC19" s="37">
        <f>IFERROR(__xludf.DUMMYFUNCTION("iferror(COUNT(filter($O20:$O$392,$O20:$O$392&gt;$O19)))"),2.0)</f>
        <v>2</v>
      </c>
      <c r="AD19" s="40">
        <f t="shared" si="5"/>
        <v>0</v>
      </c>
      <c r="AE19" s="41">
        <f t="shared" si="6"/>
        <v>5</v>
      </c>
      <c r="AF19" s="30" t="str">
        <f>IFERROR(__xludf.DUMMYFUNCTION("iferror(join("","",index(sort(filter($F20:$F$393,$O20:$O$393&gt;$O19),2,false),0,1)))"),"LSU,Baylor")</f>
        <v>LSU,Baylor</v>
      </c>
      <c r="AG19" s="39">
        <f>IFERROR(__xludf.DUMMYFUNCTION("iferror($O19-max(filter($O19:$O$392,$E19:$E$392=$E$2)))"),-2.0)</f>
        <v>-2</v>
      </c>
      <c r="AH19" s="37">
        <f t="shared" si="7"/>
        <v>0</v>
      </c>
      <c r="AI19" s="37">
        <f>IFERROR(__xludf.DUMMYFUNCTION("iferror(COUNT(filter($O20:$O$392,$O20:$O$392&gt;$O19,$E19:$E$392=$E$2)))"),0.0)</f>
        <v>0</v>
      </c>
      <c r="AJ19" s="40">
        <f t="shared" si="8"/>
        <v>0</v>
      </c>
      <c r="AK19" s="41">
        <f>IFERROR(__xludf.DUMMYFUNCTION("iferror($O19-min(filter($O19:$O$392,$E19:$E$392=$E$2)))"),8.0)</f>
        <v>8</v>
      </c>
      <c r="AL19" s="30" t="str">
        <f>IFERROR(__xludf.DUMMYFUNCTION("iferror(join("","",index(sort(filter($F20:$F$392,$O20:$O$392&gt;$O19,$E20:$E$392=$E$2),2,false),0,1)))"),"LSU")</f>
        <v>LSU</v>
      </c>
      <c r="AM19" s="30" t="str">
        <f>IFERROR(__xludf.DUMMYFUNCTION("REGEXREPLACE(join("","",unique({let(conf_picked,filter(E$1:E18,D$1:D18=D19), byrow(unique(TRANSPOSe(Teams!$1:$1)),lambda(rw,if(ISERROR(match(rw,conf_picked,0)),rw,))));iferror(if(#REF!,,transpose(split(#REF!,"","",1,1))))})), ""^,"", """")"),"AAC,ACC,Big 12,Big Ten,CUSA,MAC,MWC,Pac12,SEC,,Independent")</f>
        <v>AAC,ACC,Big 12,Big Ten,CUSA,MAC,MWC,Pac12,SEC,,Independent</v>
      </c>
      <c r="AN19" s="39">
        <f>IFERROR(__xludf.DUMMYFUNCTION("iferror($O19-max(filter($O19:$O$392,arrayformula(isnumber(FIND($E19:$E$392,AM19))))))"),-2.0)</f>
        <v>-2</v>
      </c>
      <c r="AO19" s="37">
        <f t="array" ref="AO19">countifs($O$2:$O18,"&lt;"&amp;$O19,isnumber(FIND($E$2:$E18,AM19)),TRUE)</f>
        <v>6</v>
      </c>
      <c r="AP19" s="37">
        <f>IFERROR(__xludf.DUMMYFUNCTION("iferror(COUNT(filter($O20:$O$392,$O20:$O$392&gt;$O19,arrayformula(isnumber(FIND($E20:$E$392,AM19))))))"),2.0)</f>
        <v>2</v>
      </c>
      <c r="AQ19" s="40">
        <f t="shared" si="9"/>
        <v>0</v>
      </c>
      <c r="AR19" s="41">
        <f>IFERROR(__xludf.DUMMYFUNCTION("iferror($O19-min(filter($O19:$O$392,arrayformula(isnumber(FIND($E19:$E$392,AM19))))))"),10.0)</f>
        <v>10</v>
      </c>
      <c r="AS19" s="48" t="str">
        <f>IFERROR(__xludf.DUMMYFUNCTION("iferror(join("","",index(sort(filter($F20:$F$392,$O20:$O$392&gt;$O19,arrayformula(isnumber(FIND($E20:$E$392,AM19)))),2,false),0,1)))"),"LSU,Baylor")</f>
        <v>LSU,Baylor</v>
      </c>
    </row>
    <row r="20">
      <c r="A20" s="1">
        <f t="shared" si="10"/>
        <v>19</v>
      </c>
      <c r="B20" s="1">
        <f t="shared" si="12"/>
        <v>2</v>
      </c>
      <c r="C20" s="1">
        <v>7.0</v>
      </c>
      <c r="D20" s="56" t="str">
        <f>D7</f>
        <v>Jeannine</v>
      </c>
      <c r="E20" s="52" t="str">
        <f>if(F20&lt;&gt;"",VLOOKUP(F20,offset('Teams-Conference'!A:B,0,(counta('Draft Order'!B$2:B129)-10)*2),2,0),"")</f>
        <v>MAC</v>
      </c>
      <c r="F20" t="s">
        <v>148</v>
      </c>
      <c r="H20" s="29">
        <f t="shared" si="1"/>
        <v>1</v>
      </c>
      <c r="I20" s="29">
        <f t="shared" si="2"/>
        <v>2</v>
      </c>
      <c r="J20" s="29">
        <f t="shared" si="11"/>
        <v>1</v>
      </c>
      <c r="K20" s="30"/>
      <c r="L20" s="29"/>
      <c r="M20" s="29">
        <f>IFERROR(__xludf.DUMMYFUNCTION("counta(iferror(filter(L$2:L19,E$2:E19=E20,L$2:L19&lt;L20)))"),0.0)</f>
        <v>0</v>
      </c>
      <c r="N20" s="29">
        <f>IFERROR(__xludf.DUMMYFUNCTION("counta(iferror(filter(L21:L$129,E21:E$129=E20,L21:L$131&gt;L20)))"),0.0)</f>
        <v>0</v>
      </c>
      <c r="O20" s="34">
        <f t="array" ref="O20:W20">XLOOKUP(F20,'Current Week'!B:B,'Current Week'!C:N)</f>
        <v>7</v>
      </c>
      <c r="P20" s="29">
        <v>5.0</v>
      </c>
      <c r="Q20" s="30" t="s">
        <v>215</v>
      </c>
      <c r="R20" s="30" t="s">
        <v>202</v>
      </c>
      <c r="S20" s="30"/>
      <c r="T20" s="30" t="s">
        <v>203</v>
      </c>
      <c r="U20" s="37" t="s">
        <v>203</v>
      </c>
      <c r="V20" s="37"/>
      <c r="W20" s="37">
        <v>9999.0</v>
      </c>
      <c r="X20" s="37"/>
      <c r="Y20" s="37"/>
      <c r="Z20" s="37"/>
      <c r="AA20" s="39">
        <f t="shared" si="3"/>
        <v>-5</v>
      </c>
      <c r="AB20" s="37">
        <f t="shared" si="4"/>
        <v>4</v>
      </c>
      <c r="AC20" s="37">
        <f>IFERROR(__xludf.DUMMYFUNCTION("iferror(COUNT(filter($O21:$O$392,$O21:$O$392&gt;$O20)))"),30.0)</f>
        <v>30</v>
      </c>
      <c r="AD20" s="40">
        <f t="shared" si="5"/>
        <v>0</v>
      </c>
      <c r="AE20" s="41">
        <f t="shared" si="6"/>
        <v>2</v>
      </c>
      <c r="AF20" s="30" t="str">
        <f>IFERROR(__xludf.DUMMYFUNCTION("iferror(join("","",index(sort(filter($F21:$F$393,$O21:$O$393&gt;$O20),2,false),0,1)))"),"Notre Dame,San Diego State,Air Force,Cincinnati,Florida Atlantic,Temple,Hawaii,SMU,Navy,Virginia Tech,LSU,Marshall,Wisconsin,Penn State,USC,Oklahoma State,Auburn,Louisiana Tech,Florida,Baylor,UAB,Iowa,Minnesota,Kansas State,Indiana,Wake Forest,Western Ken"&amp;"tucky,Virginia,Central Michigan,Louisville")</f>
        <v>Notre Dame,San Diego State,Air Force,Cincinnati,Florida Atlantic,Temple,Hawaii,SMU,Navy,Virginia Tech,LSU,Marshall,Wisconsin,Penn State,USC,Oklahoma State,Auburn,Louisiana Tech,Florida,Baylor,UAB,Iowa,Minnesota,Kansas State,Indiana,Wake Forest,Western Kentucky,Virginia,Central Michigan,Louisville</v>
      </c>
      <c r="AG20" s="39">
        <f>IFERROR(__xludf.DUMMYFUNCTION("iferror($O20-max(filter($O20:$O$392,$E20:$E$392=$E$2)))"),-5.0)</f>
        <v>-5</v>
      </c>
      <c r="AH20" s="37">
        <f t="shared" si="7"/>
        <v>0</v>
      </c>
      <c r="AI20" s="37">
        <f>IFERROR(__xludf.DUMMYFUNCTION("iferror(COUNT(filter($O21:$O$392,$O21:$O$392&gt;$O20,$E20:$E$392=$E$2)))"),0.0)</f>
        <v>0</v>
      </c>
      <c r="AJ20" s="40">
        <f t="shared" si="8"/>
        <v>0</v>
      </c>
      <c r="AK20" s="41">
        <f>IFERROR(__xludf.DUMMYFUNCTION("iferror($O20-min(filter($O20:$O$392,$E20:$E$392=$E$2)))"),5.0)</f>
        <v>5</v>
      </c>
      <c r="AL20" s="30" t="str">
        <f>IFERROR(__xludf.DUMMYFUNCTION("iferror(join("","",index(sort(filter($F21:$F$392,$O21:$O$392&gt;$O20,$E21:$E$392=$E$2),2,false),0,1)))"),"LSU,Auburn,Florida")</f>
        <v>LSU,Auburn,Florida</v>
      </c>
      <c r="AM20" s="30" t="str">
        <f>IFERROR(__xludf.DUMMYFUNCTION("REGEXREPLACE(join("","",unique({let(conf_picked,filter(E$1:E19,D$1:D19=D20), byrow(unique(TRANSPOSe(Teams!$1:$1)),lambda(rw,if(ISERROR(match(rw,conf_picked,0)),rw,))));iferror(if(#REF!,,transpose(split(#REF!,"","",1,1))))})), ""^,"", """")"),"AAC,ACC,,Big Ten,CUSA,MAC,MWC,Pac12,SEC,Sun Belt,Independent")</f>
        <v>AAC,ACC,,Big Ten,CUSA,MAC,MWC,Pac12,SEC,Sun Belt,Independent</v>
      </c>
      <c r="AN20" s="39">
        <f>IFERROR(__xludf.DUMMYFUNCTION("iferror($O20-max(filter($O20:$O$392,arrayformula(isnumber(FIND($E20:$E$392,AM20))))))"),-5.0)</f>
        <v>-5</v>
      </c>
      <c r="AO20" s="37">
        <f t="array" ref="AO20">countifs($O$2:$O19,"&lt;"&amp;$O20,isnumber(FIND($E$2:$E19,AM20)),TRUE)</f>
        <v>4</v>
      </c>
      <c r="AP20" s="37">
        <f>IFERROR(__xludf.DUMMYFUNCTION("iferror(COUNT(filter($O21:$O$392,$O21:$O$392&gt;$O20,arrayformula(isnumber(FIND($E21:$E$392,AM20))))))"),26.0)</f>
        <v>26</v>
      </c>
      <c r="AQ20" s="40">
        <f t="shared" si="9"/>
        <v>0</v>
      </c>
      <c r="AR20" s="41">
        <f>IFERROR(__xludf.DUMMYFUNCTION("iferror($O20-min(filter($O20:$O$392,arrayformula(isnumber(FIND($E20:$E$392,AM20))))))"),7.0)</f>
        <v>7</v>
      </c>
      <c r="AS20" s="48" t="str">
        <f>IFERROR(__xludf.DUMMYFUNCTION("iferror(join("","",index(sort(filter($F21:$F$392,$O21:$O$392&gt;$O20,arrayformula(isnumber(FIND($E21:$E$392,AM20)))),2,false),0,1)))"),"San Diego State,Air Force,Cincinnati,Florida Atlantic,Temple,Hawaii,SMU,Navy,Virginia Tech,LSU,Marshall,Wisconsin,Penn State,USC,Auburn,Louisiana Tech,Florida,UAB,Iowa,Minnesota,Indiana,Wake Forest,Western Kentucky,Virginia,Central Michigan,Louisville")</f>
        <v>San Diego State,Air Force,Cincinnati,Florida Atlantic,Temple,Hawaii,SMU,Navy,Virginia Tech,LSU,Marshall,Wisconsin,Penn State,USC,Auburn,Louisiana Tech,Florida,UAB,Iowa,Minnesota,Indiana,Wake Forest,Western Kentucky,Virginia,Central Michigan,Louisville</v>
      </c>
    </row>
    <row r="21">
      <c r="A21" s="1">
        <f t="shared" si="10"/>
        <v>20</v>
      </c>
      <c r="B21" s="1">
        <f t="shared" si="12"/>
        <v>2</v>
      </c>
      <c r="C21" s="1">
        <v>8.0</v>
      </c>
      <c r="D21" s="56" t="str">
        <f>D6</f>
        <v>Nico</v>
      </c>
      <c r="E21" s="52" t="str">
        <f>if(F21&lt;&gt;"",VLOOKUP(F21,offset('Teams-Conference'!A:B,0,(counta('Draft Order'!B$2:B129)-10)*2),2,0),"")</f>
        <v>Sun Belt</v>
      </c>
      <c r="F21" s="1" t="s">
        <v>187</v>
      </c>
      <c r="H21" s="29">
        <f t="shared" si="1"/>
        <v>3</v>
      </c>
      <c r="I21" s="29">
        <f t="shared" si="2"/>
        <v>3</v>
      </c>
      <c r="J21" s="29">
        <f t="shared" si="11"/>
        <v>2</v>
      </c>
      <c r="K21" s="30"/>
      <c r="L21" s="29"/>
      <c r="M21" s="29">
        <f>IFERROR(__xludf.DUMMYFUNCTION("counta(iferror(filter(L$2:L20,E$2:E20=E21,L$2:L20&lt;L21)))"),0.0)</f>
        <v>0</v>
      </c>
      <c r="N21" s="29">
        <f>IFERROR(__xludf.DUMMYFUNCTION("counta(iferror(filter(L22:L$129,E22:E$129=E21,L22:L$131&gt;L21)))"),0.0)</f>
        <v>0</v>
      </c>
      <c r="O21" s="34">
        <f t="array" ref="O21:W21">XLOOKUP(F21,'Current Week'!B:B,'Current Week'!C:N)</f>
        <v>2</v>
      </c>
      <c r="P21" s="29">
        <v>2.0</v>
      </c>
      <c r="Q21" s="30" t="s">
        <v>267</v>
      </c>
      <c r="R21" s="30" t="s">
        <v>202</v>
      </c>
      <c r="S21" s="30"/>
      <c r="T21" s="30" t="s">
        <v>203</v>
      </c>
      <c r="U21" s="37" t="s">
        <v>203</v>
      </c>
      <c r="V21" s="37"/>
      <c r="W21" s="37">
        <v>9999.0</v>
      </c>
      <c r="X21" s="37"/>
      <c r="Y21" s="37"/>
      <c r="Z21" s="37"/>
      <c r="AA21" s="39">
        <f t="shared" si="3"/>
        <v>-10</v>
      </c>
      <c r="AB21" s="37">
        <f t="shared" si="4"/>
        <v>0</v>
      </c>
      <c r="AC21" s="37">
        <f>IFERROR(__xludf.DUMMYFUNCTION("iferror(COUNT(filter($O22:$O$392,$O22:$O$392&gt;$O21)))"),99.0)</f>
        <v>99</v>
      </c>
      <c r="AD21" s="40">
        <f t="shared" si="5"/>
        <v>0</v>
      </c>
      <c r="AE21" s="41">
        <f t="shared" si="6"/>
        <v>0</v>
      </c>
      <c r="AF21" s="30" t="str">
        <f>IFERROR(__xludf.DUMMYFUNCTION("iferror(join("","",index(sort(filter($F22:$F$393,$O22:$O$393&gt;$O21),2,false),0,1)))"),"Georgia Southern,UL Lafayette,Washington State,Notre Dame,Fresno State,San Diego State,Utah State,Northern Illinois,Houston,UL Monroe,South Florida,Air Force,Cincinnati,Nevada,Miami,Florida Atlantic,Wyoming,EMU,Temple,Hawaii,Florida Intl,Buffalo,SMU,Miami"&amp;"-OH,Navy,Tulane,Iowa State,Virginia Tech,Nebraska,LSU,Marshall,Wisconsin,Penn State,UNLV,Georgia State,North Texas,USC,Oklahoma State,Stanford,Auburn,Louisiana Tech,Southern Mississippi,TCU,Florida,Baylor,UAB,Arizona State,Arizona,UCLA,East Carolina,Calif"&amp;"ornia,Tulsa,Michigan State,BYU,Texas Tech,Purdue,Colorado,Iowa,Northwestern,Texas A&amp;M,Minnesota,Texas State,NC State,Kansas State,Indiana,Florida State,Syracuse,Wake Forest,Western Kentucky,Virginia,Middle Tennessee,Charlotte,Pittsburgh,Ball State,Coastal"&amp;" Carolina,Missouri,Boston College,West Virginia,Mississippi State,Tennessee,Oregon State,Kent State,Kentucky,Colorado State,Central Michigan,South Carolina,Kansas,Duke,San José State,North Carolina,Maryland,Bowling Green,UTSA,Louisville,Illinois,Ole Miss,"&amp;"Georgia Tech,Rice,Vanderbilt")</f>
        <v>Georgia Southern,UL Lafayette,Washington State,Notre Dame,Fresno State,San Diego State,Utah State,Northern Illinois,Houston,UL Monroe,South Florida,Air Force,Cincinnati,Nevada,Miami,Florida Atlantic,Wyoming,EMU,Temple,Hawaii,Florida Intl,Buffalo,SMU,Miami-OH,Navy,Tulane,Iowa State,Virginia Tech,Nebraska,LSU,Marshall,Wisconsin,Penn State,UNLV,Georgia State,North Texas,USC,Oklahoma State,Stanford,Auburn,Louisiana Tech,Southern Mississippi,TCU,Florida,Baylor,UAB,Arizona State,Arizona,UCLA,East Carolina,California,Tulsa,Michigan State,BYU,Texas Tech,Purdue,Colorado,Iowa,Northwestern,Texas A&amp;M,Minnesota,Texas State,NC State,Kansas State,Indiana,Florida State,Syracuse,Wake Forest,Western Kentucky,Virginia,Middle Tennessee,Charlotte,Pittsburgh,Ball State,Coastal Carolina,Missouri,Boston College,West Virginia,Mississippi State,Tennessee,Oregon State,Kent State,Kentucky,Colorado State,Central Michigan,South Carolina,Kansas,Duke,San José State,North Carolina,Maryland,Bowling Green,UTSA,Louisville,Illinois,Ole Miss,Georgia Tech,Rice,Vanderbilt</v>
      </c>
      <c r="AG21" s="39">
        <f>IFERROR(__xludf.DUMMYFUNCTION("iferror($O21-max(filter($O21:$O$392,$E21:$E$392=$E$2)))"),-10.0)</f>
        <v>-10</v>
      </c>
      <c r="AH21" s="37">
        <f t="shared" si="7"/>
        <v>0</v>
      </c>
      <c r="AI21" s="37">
        <f>IFERROR(__xludf.DUMMYFUNCTION("iferror(COUNT(filter($O22:$O$392,$O22:$O$392&gt;$O21,$E21:$E$392=$E$2)))"),0.0)</f>
        <v>0</v>
      </c>
      <c r="AJ21" s="40">
        <f t="shared" si="8"/>
        <v>0</v>
      </c>
      <c r="AK21" s="41">
        <f>IFERROR(__xludf.DUMMYFUNCTION("iferror($O21-min(filter($O21:$O$392,$E21:$E$392=$E$2)))"),0.0)</f>
        <v>0</v>
      </c>
      <c r="AL21" s="30" t="str">
        <f>IFERROR(__xludf.DUMMYFUNCTION("iferror(join("","",index(sort(filter($F22:$F$392,$O22:$O$392&gt;$O21,$E22:$E$392=$E$2),2,false),0,1)))"),"LSU,Auburn,Florida,Texas A&amp;M,Missouri,Mississippi State,Tennessee,Kentucky,South Carolina,Ole Miss,Vanderbilt")</f>
        <v>LSU,Auburn,Florida,Texas A&amp;M,Missouri,Mississippi State,Tennessee,Kentucky,South Carolina,Ole Miss,Vanderbilt</v>
      </c>
      <c r="AM21" s="30" t="str">
        <f>IFERROR(__xludf.DUMMYFUNCTION("REGEXREPLACE(join("","",unique({let(conf_picked,filter(E$1:E20,D$1:D20=D21), byrow(unique(TRANSPOSe(Teams!$1:$1)),lambda(rw,if(ISERROR(match(rw,conf_picked,0)),rw,))));iferror(if(#REF!,,transpose(split(#REF!,"","",1,1))))})), ""^,"", """")"),"AAC,ACC,Big 12,Big Ten,CUSA,MAC,MWC,Pac12,,Sun Belt,Independent")</f>
        <v>AAC,ACC,Big 12,Big Ten,CUSA,MAC,MWC,Pac12,,Sun Belt,Independent</v>
      </c>
      <c r="AN21" s="39">
        <f>IFERROR(__xludf.DUMMYFUNCTION("iferror($O21-max(filter($O21:$O$392,arrayformula(isnumber(FIND($E21:$E$392,AM21))))))"),-9.0)</f>
        <v>-9</v>
      </c>
      <c r="AO21" s="37">
        <f t="array" ref="AO21">countifs($O$2:$O20,"&lt;"&amp;$O21,isnumber(FIND($E$2:$E20,AM21)),TRUE)</f>
        <v>0</v>
      </c>
      <c r="AP21" s="37">
        <f>IFERROR(__xludf.DUMMYFUNCTION("iferror(COUNT(filter($O22:$O$392,$O22:$O$392&gt;$O21,arrayformula(isnumber(FIND($E22:$E$392,AM21))))))"),88.0)</f>
        <v>88</v>
      </c>
      <c r="AQ21" s="40">
        <f t="shared" si="9"/>
        <v>0</v>
      </c>
      <c r="AR21" s="41">
        <f>IFERROR(__xludf.DUMMYFUNCTION("iferror($O21-min(filter($O21:$O$392,arrayformula(isnumber(FIND($E21:$E$392,AM21))))))"),2.0)</f>
        <v>2</v>
      </c>
      <c r="AS21" s="48" t="str">
        <f>IFERROR(__xludf.DUMMYFUNCTION("iferror(join("","",index(sort(filter($F22:$F$392,$O22:$O$392&gt;$O21,arrayformula(isnumber(FIND($E22:$E$392,AM21)))),2,false),0,1)))"),"Georgia Southern,UL Lafayette,Washington State,Notre Dame,Fresno State,San Diego State,Utah State,Northern Illinois,Houston,UL Monroe,South Florida,Air Force,Cincinnati,Nevada,Miami,Florida Atlantic,Wyoming,EMU,Temple,Hawaii,Florida Intl,Buffalo,SMU,Miami"&amp;"-OH,Navy,Tulane,Iowa State,Virginia Tech,Nebraska,Marshall,Wisconsin,Penn State,UNLV,Georgia State,North Texas,USC,Oklahoma State,Stanford,Louisiana Tech,Southern Mississippi,TCU,Baylor,UAB,Arizona State,Arizona,UCLA,East Carolina,California,Tulsa,Michiga"&amp;"n State,BYU,Texas Tech,Purdue,Colorado,Iowa,Northwestern,Minnesota,Texas State,NC State,Kansas State,Indiana,Florida State,Syracuse,Wake Forest,Western Kentucky,Virginia,Middle Tennessee,Charlotte,Pittsburgh,Ball State,Coastal Carolina,Boston College,West"&amp;" Virginia,Oregon State,Kent State,Colorado State,Central Michigan,Kansas,Duke,San José State,North Carolina,Maryland,Bowling Green,UTSA,Louisville,Illinois,Georgia Tech,Rice")</f>
        <v>Georgia Southern,UL Lafayette,Washington State,Notre Dame,Fresno State,San Diego State,Utah State,Northern Illinois,Houston,UL Monroe,South Florida,Air Force,Cincinnati,Nevada,Miami,Florida Atlantic,Wyoming,EMU,Temple,Hawaii,Florida Intl,Buffalo,SMU,Miami-OH,Navy,Tulane,Iowa State,Virginia Tech,Nebraska,Marshall,Wisconsin,Penn State,UNLV,Georgia State,North Texas,USC,Oklahoma State,Stanford,Louisiana Tech,Southern Mississippi,TCU,Baylor,UAB,Arizona State,Arizona,UCLA,East Carolina,California,Tulsa,Michigan State,BYU,Texas Tech,Purdue,Colorado,Iowa,Northwestern,Minnesota,Texas State,NC State,Kansas State,Indiana,Florida State,Syracuse,Wake Forest,Western Kentucky,Virginia,Middle Tennessee,Charlotte,Pittsburgh,Ball State,Coastal Carolina,Boston College,West Virginia,Oregon State,Kent State,Colorado State,Central Michigan,Kansas,Duke,San José State,North Carolina,Maryland,Bowling Green,UTSA,Louisville,Illinois,Georgia Tech,Rice</v>
      </c>
    </row>
    <row r="22">
      <c r="A22" s="1">
        <f t="shared" si="10"/>
        <v>21</v>
      </c>
      <c r="B22" s="1">
        <f t="shared" si="12"/>
        <v>2</v>
      </c>
      <c r="C22" s="1">
        <v>9.0</v>
      </c>
      <c r="D22" s="56" t="str">
        <f>D5</f>
        <v>Janice/Mike</v>
      </c>
      <c r="E22" s="52" t="str">
        <f>if(F22&lt;&gt;"",VLOOKUP(F22,offset('Teams-Conference'!A:B,0,(counta('Draft Order'!B$2:B129)-10)*2),2,0),"")</f>
        <v>Sun Belt</v>
      </c>
      <c r="F22" s="1" t="s">
        <v>188</v>
      </c>
      <c r="H22" s="29">
        <f t="shared" si="1"/>
        <v>2</v>
      </c>
      <c r="I22" s="29">
        <f t="shared" si="2"/>
        <v>2</v>
      </c>
      <c r="J22" s="29">
        <f t="shared" si="11"/>
        <v>2</v>
      </c>
      <c r="K22" s="30"/>
      <c r="L22" s="29"/>
      <c r="M22" s="29">
        <f>IFERROR(__xludf.DUMMYFUNCTION("counta(iferror(filter(L$2:L21,E$2:E21=E22,L$2:L21&lt;L22)))"),0.0)</f>
        <v>0</v>
      </c>
      <c r="N22" s="29">
        <f>IFERROR(__xludf.DUMMYFUNCTION("counta(iferror(filter(L23:L$129,E23:E$129=E22,L23:L$131&gt;L22)))"),0.0)</f>
        <v>0</v>
      </c>
      <c r="O22" s="34">
        <f t="array" ref="O22:W22">XLOOKUP(F22,'Current Week'!B:B,'Current Week'!C:N)</f>
        <v>7</v>
      </c>
      <c r="P22" s="29">
        <v>5.0</v>
      </c>
      <c r="Q22" s="30" t="s">
        <v>267</v>
      </c>
      <c r="R22" s="30" t="s">
        <v>202</v>
      </c>
      <c r="S22" s="30"/>
      <c r="T22" s="30" t="s">
        <v>203</v>
      </c>
      <c r="U22" s="37" t="s">
        <v>203</v>
      </c>
      <c r="V22" s="37"/>
      <c r="W22" s="37">
        <v>9999.0</v>
      </c>
      <c r="X22" s="37"/>
      <c r="Y22" s="37"/>
      <c r="Z22" s="37"/>
      <c r="AA22" s="39">
        <f t="shared" si="3"/>
        <v>-5</v>
      </c>
      <c r="AB22" s="37">
        <f t="shared" si="4"/>
        <v>5</v>
      </c>
      <c r="AC22" s="37">
        <f>IFERROR(__xludf.DUMMYFUNCTION("iferror(COUNT(filter($O23:$O$392,$O23:$O$392&gt;$O22)))"),30.0)</f>
        <v>30</v>
      </c>
      <c r="AD22" s="40">
        <f t="shared" si="5"/>
        <v>0</v>
      </c>
      <c r="AE22" s="41">
        <f t="shared" si="6"/>
        <v>5</v>
      </c>
      <c r="AF22" s="30" t="str">
        <f>IFERROR(__xludf.DUMMYFUNCTION("iferror(join("","",index(sort(filter($F23:$F$393,$O23:$O$393&gt;$O22),2,false),0,1)))"),"Notre Dame,San Diego State,Air Force,Cincinnati,Florida Atlantic,Temple,Hawaii,SMU,Navy,Virginia Tech,LSU,Marshall,Wisconsin,Penn State,USC,Oklahoma State,Auburn,Louisiana Tech,Florida,Baylor,UAB,Iowa,Minnesota,Kansas State,Indiana,Wake Forest,Western Ken"&amp;"tucky,Virginia,Central Michigan,Louisville")</f>
        <v>Notre Dame,San Diego State,Air Force,Cincinnati,Florida Atlantic,Temple,Hawaii,SMU,Navy,Virginia Tech,LSU,Marshall,Wisconsin,Penn State,USC,Oklahoma State,Auburn,Louisiana Tech,Florida,Baylor,UAB,Iowa,Minnesota,Kansas State,Indiana,Wake Forest,Western Kentucky,Virginia,Central Michigan,Louisville</v>
      </c>
      <c r="AG22" s="39">
        <f>IFERROR(__xludf.DUMMYFUNCTION("iferror($O22-max(filter($O22:$O$392,$E22:$E$392=$E$2)))"),-5.0)</f>
        <v>-5</v>
      </c>
      <c r="AH22" s="37">
        <f t="shared" si="7"/>
        <v>0</v>
      </c>
      <c r="AI22" s="37">
        <f>IFERROR(__xludf.DUMMYFUNCTION("iferror(COUNT(filter($O23:$O$392,$O23:$O$392&gt;$O22,$E22:$E$392=$E$2)))"),0.0)</f>
        <v>0</v>
      </c>
      <c r="AJ22" s="40">
        <f t="shared" si="8"/>
        <v>0</v>
      </c>
      <c r="AK22" s="41">
        <f>IFERROR(__xludf.DUMMYFUNCTION("iferror($O22-min(filter($O22:$O$392,$E22:$E$392=$E$2)))"),5.0)</f>
        <v>5</v>
      </c>
      <c r="AL22" s="30" t="str">
        <f>IFERROR(__xludf.DUMMYFUNCTION("iferror(join("","",index(sort(filter($F23:$F$392,$O23:$O$392&gt;$O22,$E23:$E$392=$E$2),2,false),0,1)))"),"LSU,Auburn,Florida")</f>
        <v>LSU,Auburn,Florida</v>
      </c>
      <c r="AM22" s="30" t="str">
        <f>IFERROR(__xludf.DUMMYFUNCTION("REGEXREPLACE(join("","",unique({let(conf_picked,filter(E$1:E21,D$1:D21=D22), byrow(unique(TRANSPOSe(Teams!$1:$1)),lambda(rw,if(ISERROR(match(rw,conf_picked,0)),rw,))));iferror(if(#REF!,,transpose(split(#REF!,"","",1,1))))})), ""^,"", """")"),"AAC,ACC,Big 12,Big Ten,CUSA,MAC,,Pac12,SEC,Sun Belt,Independent")</f>
        <v>AAC,ACC,Big 12,Big Ten,CUSA,MAC,,Pac12,SEC,Sun Belt,Independent</v>
      </c>
      <c r="AN22" s="39">
        <f>IFERROR(__xludf.DUMMYFUNCTION("iferror($O22-max(filter($O22:$O$392,arrayformula(isnumber(FIND($E22:$E$392,AM22))))))"),-5.0)</f>
        <v>-5</v>
      </c>
      <c r="AO22" s="37">
        <f t="array" ref="AO22">countifs($O$2:$O21,"&lt;"&amp;$O22,isnumber(FIND($E$2:$E21,AM22)),TRUE)</f>
        <v>5</v>
      </c>
      <c r="AP22" s="37">
        <f>IFERROR(__xludf.DUMMYFUNCTION("iferror(COUNT(filter($O23:$O$392,$O23:$O$392&gt;$O22,arrayformula(isnumber(FIND($E23:$E$392,AM22))))))"),27.0)</f>
        <v>27</v>
      </c>
      <c r="AQ22" s="40">
        <f t="shared" si="9"/>
        <v>0</v>
      </c>
      <c r="AR22" s="41">
        <f>IFERROR(__xludf.DUMMYFUNCTION("iferror($O22-min(filter($O22:$O$392,arrayformula(isnumber(FIND($E22:$E$392,AM22))))))"),7.0)</f>
        <v>7</v>
      </c>
      <c r="AS22" s="48" t="str">
        <f>IFERROR(__xludf.DUMMYFUNCTION("iferror(join("","",index(sort(filter($F23:$F$392,$O23:$O$392&gt;$O22,arrayformula(isnumber(FIND($E23:$E$392,AM22)))),2,false),0,1)))"),"Notre Dame,Cincinnati,Florida Atlantic,Temple,SMU,Navy,Virginia Tech,LSU,Marshall,Wisconsin,Penn State,USC,Oklahoma State,Auburn,Louisiana Tech,Florida,Baylor,UAB,Iowa,Minnesota,Kansas State,Indiana,Wake Forest,Western Kentucky,Virginia,Central Michigan,L"&amp;"ouisville")</f>
        <v>Notre Dame,Cincinnati,Florida Atlantic,Temple,SMU,Navy,Virginia Tech,LSU,Marshall,Wisconsin,Penn State,USC,Oklahoma State,Auburn,Louisiana Tech,Florida,Baylor,UAB,Iowa,Minnesota,Kansas State,Indiana,Wake Forest,Western Kentucky,Virginia,Central Michigan,Louisville</v>
      </c>
    </row>
    <row r="23">
      <c r="A23" s="1">
        <f t="shared" si="10"/>
        <v>22</v>
      </c>
      <c r="B23" s="1">
        <f t="shared" si="12"/>
        <v>2</v>
      </c>
      <c r="C23" s="1">
        <v>10.0</v>
      </c>
      <c r="D23" s="51" t="str">
        <f>D4</f>
        <v>Gary</v>
      </c>
      <c r="E23" s="52" t="str">
        <f>if(F23&lt;&gt;"",VLOOKUP(F23,offset('Teams-Conference'!A:B,0,(counta('Draft Order'!B$2:B129)-10)*2),2,0),"")</f>
        <v>Sun Belt</v>
      </c>
      <c r="F23" t="s">
        <v>190</v>
      </c>
      <c r="H23" s="29">
        <f t="shared" si="1"/>
        <v>1</v>
      </c>
      <c r="I23" s="29">
        <f t="shared" si="2"/>
        <v>1</v>
      </c>
      <c r="J23" s="29">
        <f t="shared" si="11"/>
        <v>3</v>
      </c>
      <c r="K23" s="29">
        <f t="shared" ref="K23:K25" si="13">countif(E3:E23,E24)</f>
        <v>3</v>
      </c>
      <c r="L23" s="29"/>
      <c r="M23" s="29">
        <f>IFERROR(__xludf.DUMMYFUNCTION("counta(iferror(filter(L$2:L22,E$2:E22=E23,L$2:L22&lt;L23)))"),0.0)</f>
        <v>0</v>
      </c>
      <c r="N23" s="29">
        <f>IFERROR(__xludf.DUMMYFUNCTION("counta(iferror(filter(L24:L$129,E24:E$129=E23,L24:L$131&gt;L23)))"),0.0)</f>
        <v>0</v>
      </c>
      <c r="O23" s="34">
        <f t="array" ref="O23:W23">XLOOKUP(F23,'Current Week'!B:B,'Current Week'!C:N)</f>
        <v>3</v>
      </c>
      <c r="P23" s="29">
        <v>1.0</v>
      </c>
      <c r="Q23" s="30" t="s">
        <v>248</v>
      </c>
      <c r="R23" s="35" t="s">
        <v>243</v>
      </c>
      <c r="S23" s="30" t="s">
        <v>239</v>
      </c>
      <c r="T23" s="30" t="s">
        <v>247</v>
      </c>
      <c r="U23" s="37">
        <v>56.0</v>
      </c>
      <c r="V23" s="37" t="s">
        <v>58</v>
      </c>
      <c r="W23" s="37" t="s">
        <v>239</v>
      </c>
      <c r="X23" s="37"/>
      <c r="Y23" s="37"/>
      <c r="Z23" s="37"/>
      <c r="AA23" s="39">
        <f t="shared" si="3"/>
        <v>-9</v>
      </c>
      <c r="AB23" s="37">
        <f t="shared" si="4"/>
        <v>1</v>
      </c>
      <c r="AC23" s="37">
        <f>IFERROR(__xludf.DUMMYFUNCTION("iferror(COUNT(filter($O24:$O$392,$O24:$O$392&gt;$O23)))"),89.0)</f>
        <v>89</v>
      </c>
      <c r="AD23" s="40">
        <f t="shared" si="5"/>
        <v>0</v>
      </c>
      <c r="AE23" s="41">
        <f t="shared" si="6"/>
        <v>1</v>
      </c>
      <c r="AF23" s="30" t="str">
        <f>IFERROR(__xludf.DUMMYFUNCTION("iferror(join("","",index(sort(filter($F24:$F$393,$O24:$O$393&gt;$O23),2,false),0,1)))"),"Washington State,Notre Dame,Fresno State,San Diego State,Utah State,Northern Illinois,Houston,UL Monroe,South Florida,Air Force,Cincinnati,Nevada,Miami,Florida Atlantic,Wyoming,EMU,Temple,Hawaii,Florida Intl,Buffalo,SMU,Miami-OH,Navy,Tulane,Iowa State,Vir"&amp;"ginia Tech,Nebraska,LSU,Marshall,Wisconsin,Penn State,UNLV,Georgia State,North Texas,USC,Oklahoma State,Stanford,Auburn,Louisiana Tech,Southern Mississippi,TCU,Florida,Baylor,UAB,Arizona State,Arizona,UCLA,East Carolina,California,Tulsa,Michigan State,BYU"&amp;",Texas Tech,Purdue,Colorado,Iowa,Texas A&amp;M,Minnesota,NC State,Kansas State,Indiana,Florida State,Syracuse,Wake Forest,Western Kentucky,Virginia,Middle Tennessee,Charlotte,Pittsburgh,Ball State,Coastal Carolina,Missouri,Boston College,West Virginia,Mississ"&amp;"ippi State,Tennessee,Oregon State,Kent State,Kentucky,Colorado State,Central Michigan,South Carolina,Duke,San José State,North Carolina,UTSA,Louisville,Illinois,Ole Miss")</f>
        <v>Washington State,Notre Dame,Fresno State,San Diego State,Utah State,Northern Illinois,Houston,UL Monroe,South Florida,Air Force,Cincinnati,Nevada,Miami,Florida Atlantic,Wyoming,EMU,Temple,Hawaii,Florida Intl,Buffalo,SMU,Miami-OH,Navy,Tulane,Iowa State,Virginia Tech,Nebraska,LSU,Marshall,Wisconsin,Penn State,UNLV,Georgia State,North Texas,USC,Oklahoma State,Stanford,Auburn,Louisiana Tech,Southern Mississippi,TCU,Florida,Baylor,UAB,Arizona State,Arizona,UCLA,East Carolina,California,Tulsa,Michigan State,BYU,Texas Tech,Purdue,Colorado,Iowa,Texas A&amp;M,Minnesota,NC State,Kansas State,Indiana,Florida State,Syracuse,Wake Forest,Western Kentucky,Virginia,Middle Tennessee,Charlotte,Pittsburgh,Ball State,Coastal Carolina,Missouri,Boston College,West Virginia,Mississippi State,Tennessee,Oregon State,Kent State,Kentucky,Colorado State,Central Michigan,South Carolina,Duke,San José State,North Carolina,UTSA,Louisville,Illinois,Ole Miss</v>
      </c>
      <c r="AG23" s="39">
        <f>IFERROR(__xludf.DUMMYFUNCTION("iferror($O23-max(filter($O23:$O$392,$E23:$E$392=$E$2)))"),-9.0)</f>
        <v>-9</v>
      </c>
      <c r="AH23" s="37">
        <f t="shared" si="7"/>
        <v>0</v>
      </c>
      <c r="AI23" s="37">
        <f>IFERROR(__xludf.DUMMYFUNCTION("iferror(COUNT(filter($O24:$O$392,$O24:$O$392&gt;$O23,$E23:$E$392=$E$2)))"),0.0)</f>
        <v>0</v>
      </c>
      <c r="AJ23" s="40">
        <f t="shared" si="8"/>
        <v>0</v>
      </c>
      <c r="AK23" s="41">
        <f>IFERROR(__xludf.DUMMYFUNCTION("iferror($O23-min(filter($O23:$O$392,$E23:$E$392=$E$2)))"),1.0)</f>
        <v>1</v>
      </c>
      <c r="AL23" s="30" t="str">
        <f>IFERROR(__xludf.DUMMYFUNCTION("iferror(join("","",index(sort(filter($F24:$F$392,$O24:$O$392&gt;$O23,$E24:$E$392=$E$2),2,false),0,1)))"),"LSU,Auburn,Florida,Texas A&amp;M,Missouri,Mississippi State,Tennessee,Kentucky,South Carolina,Ole Miss")</f>
        <v>LSU,Auburn,Florida,Texas A&amp;M,Missouri,Mississippi State,Tennessee,Kentucky,South Carolina,Ole Miss</v>
      </c>
      <c r="AM23" s="30" t="str">
        <f>IFERROR(__xludf.DUMMYFUNCTION("REGEXREPLACE(join("","",unique({let(conf_picked,filter(E$1:E22,D$1:D22=D23), byrow(unique(TRANSPOSe(Teams!$1:$1)),lambda(rw,if(ISERROR(match(rw,conf_picked,0)),rw,))));iferror(if(#REF!,,transpose(split(#REF!,"","",1,1))))})), ""^,"", """")"),"AAC,ACC,Big 12,Big Ten,CUSA,,MWC,Pac12,SEC,Sun Belt,Independent")</f>
        <v>AAC,ACC,Big 12,Big Ten,CUSA,,MWC,Pac12,SEC,Sun Belt,Independent</v>
      </c>
      <c r="AN23" s="39">
        <f>IFERROR(__xludf.DUMMYFUNCTION("iferror($O23-max(filter($O23:$O$392,arrayformula(isnumber(FIND($E23:$E$392,AM23))))))"),-9.0)</f>
        <v>-9</v>
      </c>
      <c r="AO23" s="37">
        <f t="array" ref="AO23">countifs($O$2:$O22,"&lt;"&amp;$O23,isnumber(FIND($E$2:$E22,AM23)),TRUE)</f>
        <v>1</v>
      </c>
      <c r="AP23" s="37">
        <f>IFERROR(__xludf.DUMMYFUNCTION("iferror(COUNT(filter($O24:$O$392,$O24:$O$392&gt;$O23,arrayformula(isnumber(FIND($E24:$E$392,AM23))))))"),82.0)</f>
        <v>82</v>
      </c>
      <c r="AQ23" s="40">
        <f t="shared" si="9"/>
        <v>0</v>
      </c>
      <c r="AR23" s="41">
        <f>IFERROR(__xludf.DUMMYFUNCTION("iferror($O23-min(filter($O23:$O$392,arrayformula(isnumber(FIND($E23:$E$392,AM23))))))"),2.0)</f>
        <v>2</v>
      </c>
      <c r="AS23" s="48" t="str">
        <f>IFERROR(__xludf.DUMMYFUNCTION("iferror(join("","",index(sort(filter($F24:$F$392,$O24:$O$392&gt;$O23,arrayformula(isnumber(FIND($E24:$E$392,AM23)))),2,false),0,1)))"),"Washington State,Notre Dame,Fresno State,San Diego State,Utah State,Houston,UL Monroe,South Florida,Air Force,Cincinnati,Nevada,Miami,Florida Atlantic,Wyoming,Temple,Hawaii,Florida Intl,SMU,Navy,Tulane,Iowa State,Virginia Tech,Nebraska,LSU,Marshall,Wiscon"&amp;"sin,Penn State,UNLV,Georgia State,North Texas,USC,Oklahoma State,Stanford,Auburn,Louisiana Tech,Southern Mississippi,TCU,Florida,Baylor,UAB,Arizona State,Arizona,UCLA,East Carolina,California,Tulsa,Michigan State,BYU,Texas Tech,Purdue,Colorado,Iowa,Texas "&amp;"A&amp;M,Minnesota,NC State,Kansas State,Indiana,Florida State,Syracuse,Wake Forest,Western Kentucky,Virginia,Middle Tennessee,Charlotte,Pittsburgh,Coastal Carolina,Missouri,Boston College,West Virginia,Mississippi State,Tennessee,Oregon State,Kentucky,Colorad"&amp;"o State,South Carolina,Duke,San José State,North Carolina,UTSA,Louisville,Illinois,Ole Miss")</f>
        <v>Washington State,Notre Dame,Fresno State,San Diego State,Utah State,Houston,UL Monroe,South Florida,Air Force,Cincinnati,Nevada,Miami,Florida Atlantic,Wyoming,Temple,Hawaii,Florida Intl,SMU,Navy,Tulane,Iowa State,Virginia Tech,Nebraska,LSU,Marshall,Wisconsin,Penn State,UNLV,Georgia State,North Texas,USC,Oklahoma State,Stanford,Auburn,Louisiana Tech,Southern Mississippi,TCU,Florida,Baylor,UAB,Arizona State,Arizona,UCLA,East Carolina,California,Tulsa,Michigan State,BYU,Texas Tech,Purdue,Colorado,Iowa,Texas A&amp;M,Minnesota,NC State,Kansas State,Indiana,Florida State,Syracuse,Wake Forest,Western Kentucky,Virginia,Middle Tennessee,Charlotte,Pittsburgh,Coastal Carolina,Missouri,Boston College,West Virginia,Mississippi State,Tennessee,Oregon State,Kentucky,Colorado State,South Carolina,Duke,San José State,North Carolina,UTSA,Louisville,Illinois,Ole Miss</v>
      </c>
    </row>
    <row r="24">
      <c r="A24" s="1">
        <f t="shared" si="10"/>
        <v>23</v>
      </c>
      <c r="B24" s="1">
        <f t="shared" si="12"/>
        <v>2</v>
      </c>
      <c r="C24" s="1">
        <v>11.0</v>
      </c>
      <c r="D24" s="51" t="str">
        <f>D3</f>
        <v>Nick A.</v>
      </c>
      <c r="E24" s="52" t="str">
        <f>if(F24&lt;&gt;"",VLOOKUP(F24,offset('Teams-Conference'!A:B,0,(counta('Draft Order'!B$2:B129)-10)*2),2,0),"")</f>
        <v>Pac12</v>
      </c>
      <c r="F24" s="1" t="s">
        <v>172</v>
      </c>
      <c r="H24" s="29">
        <f t="shared" si="1"/>
        <v>0</v>
      </c>
      <c r="I24" s="29">
        <f t="shared" si="2"/>
        <v>0</v>
      </c>
      <c r="J24" s="29">
        <f t="shared" si="11"/>
        <v>2</v>
      </c>
      <c r="K24" s="29">
        <f t="shared" si="13"/>
        <v>2</v>
      </c>
      <c r="L24" s="29"/>
      <c r="M24" s="29">
        <f>IFERROR(__xludf.DUMMYFUNCTION("counta(iferror(filter(L$2:L23,E$2:E23=E24,L$2:L23&lt;L24)))"),0.0)</f>
        <v>0</v>
      </c>
      <c r="N24" s="29">
        <f>IFERROR(__xludf.DUMMYFUNCTION("counta(iferror(filter(L25:L$129,E25:E$129=E24,L25:L$131&gt;L24)))"),0.0)</f>
        <v>0</v>
      </c>
      <c r="O24" s="34">
        <f t="array" ref="O24:W24">XLOOKUP(F24,'Current Week'!B:B,'Current Week'!C:N)</f>
        <v>6</v>
      </c>
      <c r="P24" s="29">
        <v>6.0</v>
      </c>
      <c r="Q24" s="30" t="s">
        <v>273</v>
      </c>
      <c r="R24" s="30" t="s">
        <v>202</v>
      </c>
      <c r="S24" s="30"/>
      <c r="T24" s="30" t="s">
        <v>203</v>
      </c>
      <c r="U24" s="37" t="s">
        <v>203</v>
      </c>
      <c r="V24" s="37"/>
      <c r="W24" s="37">
        <v>9999.0</v>
      </c>
      <c r="X24" s="37"/>
      <c r="Y24" s="37"/>
      <c r="Z24" s="37"/>
      <c r="AA24" s="39">
        <f t="shared" si="3"/>
        <v>-6</v>
      </c>
      <c r="AB24" s="37">
        <f t="shared" si="4"/>
        <v>4</v>
      </c>
      <c r="AC24" s="37">
        <f>IFERROR(__xludf.DUMMYFUNCTION("iferror(COUNT(filter($O25:$O$392,$O25:$O$392&gt;$O24)))"),46.0)</f>
        <v>46</v>
      </c>
      <c r="AD24" s="40">
        <f t="shared" si="5"/>
        <v>0</v>
      </c>
      <c r="AE24" s="41">
        <f t="shared" si="6"/>
        <v>4</v>
      </c>
      <c r="AF24" s="30" t="str">
        <f>IFERROR(__xludf.DUMMYFUNCTION("iferror(join("","",index(sort(filter($F25:$F$393,$O25:$O$393&gt;$O24),2,false),0,1)))"),"Notre Dame,San Diego State,Utah State,Air Force,Cincinnati,Nevada,Florida Atlantic,Wyoming,Temple,Hawaii,Buffalo,SMU,Miami-OH,Navy,Iowa State,Virginia Tech,LSU,Marshall,Wisconsin,Penn State,Georgia State,USC,Oklahoma State,Auburn,Louisiana Tech,Southern M"&amp;"ississippi,Florida,Baylor,UAB,Arizona State,California,BYU,Iowa,Texas A&amp;M,Minnesota,Kansas State,Indiana,Wake Forest,Western Kentucky,Virginia,Charlotte,Pittsburgh,Tennessee,Kentucky,Central Michigan,Louisville")</f>
        <v>Notre Dame,San Diego State,Utah State,Air Force,Cincinnati,Nevada,Florida Atlantic,Wyoming,Temple,Hawaii,Buffalo,SMU,Miami-OH,Navy,Iowa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24" s="39">
        <f>IFERROR(__xludf.DUMMYFUNCTION("iferror($O24-max(filter($O24:$O$392,$E24:$E$392=$E$2)))"),-6.0)</f>
        <v>-6</v>
      </c>
      <c r="AH24" s="37">
        <f t="shared" si="7"/>
        <v>0</v>
      </c>
      <c r="AI24" s="37">
        <f>IFERROR(__xludf.DUMMYFUNCTION("iferror(COUNT(filter($O25:$O$392,$O25:$O$392&gt;$O24,$E24:$E$392=$E$2)))"),0.0)</f>
        <v>0</v>
      </c>
      <c r="AJ24" s="40">
        <f t="shared" si="8"/>
        <v>0</v>
      </c>
      <c r="AK24" s="41">
        <f>IFERROR(__xludf.DUMMYFUNCTION("iferror($O24-min(filter($O24:$O$392,$E24:$E$392=$E$2)))"),4.0)</f>
        <v>4</v>
      </c>
      <c r="AL24" s="30" t="str">
        <f>IFERROR(__xludf.DUMMYFUNCTION("iferror(join("","",index(sort(filter($F25:$F$392,$O25:$O$392&gt;$O24,$E25:$E$392=$E$2),2,false),0,1)))"),"LSU,Auburn,Florida,Texas A&amp;M,Tennessee,Kentucky")</f>
        <v>LSU,Auburn,Florida,Texas A&amp;M,Tennessee,Kentucky</v>
      </c>
      <c r="AM24" s="30" t="str">
        <f>IFERROR(__xludf.DUMMYFUNCTION("REGEXREPLACE(join("","",unique({let(conf_picked,filter(E$1:E23,D$1:D23=D24), byrow(unique(TRANSPOSe(Teams!$1:$1)),lambda(rw,if(ISERROR(match(rw,conf_picked,0)),rw,))));iferror(if(#REF!,,transpose(split(#REF!,"","",1,1))))})), ""^,"", """")"),"AAC,,Big 12,Big Ten,CUSA,MAC,MWC,Pac12,SEC,Sun Belt,Independent")</f>
        <v>AAC,,Big 12,Big Ten,CUSA,MAC,MWC,Pac12,SEC,Sun Belt,Independent</v>
      </c>
      <c r="AN24" s="39">
        <f>IFERROR(__xludf.DUMMYFUNCTION("iferror($O24-max(filter($O24:$O$392,arrayformula(isnumber(FIND($E24:$E$392,AM24))))))"),-6.0)</f>
        <v>-6</v>
      </c>
      <c r="AO24" s="37">
        <f t="array" ref="AO24">countifs($O$2:$O23,"&lt;"&amp;$O24,isnumber(FIND($E$2:$E23,AM24)),TRUE)</f>
        <v>4</v>
      </c>
      <c r="AP24" s="37">
        <f>IFERROR(__xludf.DUMMYFUNCTION("iferror(COUNT(filter($O25:$O$392,$O25:$O$392&gt;$O24,arrayformula(isnumber(FIND($E25:$E$392,AM24))))))"),41.0)</f>
        <v>41</v>
      </c>
      <c r="AQ24" s="40">
        <f t="shared" si="9"/>
        <v>0</v>
      </c>
      <c r="AR24" s="41">
        <f>IFERROR(__xludf.DUMMYFUNCTION("iferror($O24-min(filter($O24:$O$392,arrayformula(isnumber(FIND($E24:$E$392,AM24))))))"),6.0)</f>
        <v>6</v>
      </c>
      <c r="AS24" s="48" t="str">
        <f>IFERROR(__xludf.DUMMYFUNCTION("iferror(join("","",index(sort(filter($F25:$F$392,$O25:$O$392&gt;$O24,arrayformula(isnumber(FIND($E25:$E$392,AM24)))),2,false),0,1)))"),"Notre Dame,San Diego State,Utah State,Air Force,Cincinnati,Nevada,Florida Atlantic,Wyoming,Temple,Hawaii,Buffalo,SMU,Miami-OH,Navy,Iowa State,LSU,Marshall,Wisconsin,Penn State,Georgia State,USC,Oklahoma State,Auburn,Louisiana Tech,Southern Mississippi,Flo"&amp;"rida,Baylor,UAB,Arizona State,California,BYU,Iowa,Texas A&amp;M,Minnesota,Kansas State,Indiana,Western Kentucky,Charlotte,Tennessee,Kentucky,Central Michigan")</f>
        <v>Notre Dame,San Diego State,Utah State,Air Force,Cincinnati,Nevada,Florida Atlantic,Wyoming,Temple,Hawaii,Buffalo,SMU,Miami-OH,Navy,Iowa State,LSU,Marshall,Wisconsin,Penn State,Georgia State,USC,Oklahoma State,Auburn,Louisiana Tech,Southern Mississippi,Florida,Baylor,UAB,Arizona State,California,BYU,Iowa,Texas A&amp;M,Minnesota,Kansas State,Indiana,Western Kentucky,Charlotte,Tennessee,Kentucky,Central Michigan</v>
      </c>
    </row>
    <row r="25">
      <c r="A25" s="1">
        <f t="shared" si="10"/>
        <v>24</v>
      </c>
      <c r="B25" s="1">
        <f t="shared" si="12"/>
        <v>2</v>
      </c>
      <c r="C25" s="1">
        <v>12.0</v>
      </c>
      <c r="D25" s="56" t="str">
        <f>D2</f>
        <v>DavEmily</v>
      </c>
      <c r="E25" s="52" t="str">
        <f>if(F25&lt;&gt;"",VLOOKUP(F25,offset('Teams-Conference'!A:B,0,(counta('Draft Order'!B$2:B129)-10)*2),2,0),"")</f>
        <v>Big 12</v>
      </c>
      <c r="F25" s="1" t="s">
        <v>107</v>
      </c>
      <c r="H25" s="29">
        <f t="shared" si="1"/>
        <v>0</v>
      </c>
      <c r="I25" s="29">
        <f t="shared" si="2"/>
        <v>0</v>
      </c>
      <c r="J25" s="29">
        <f t="shared" si="11"/>
        <v>1</v>
      </c>
      <c r="K25" s="29">
        <f t="shared" si="13"/>
        <v>1</v>
      </c>
      <c r="L25" s="29"/>
      <c r="M25" s="29">
        <f>IFERROR(__xludf.DUMMYFUNCTION("counta(iferror(filter(L$2:L24,E$2:E24=E25,L$2:L24&lt;L25)))"),0.0)</f>
        <v>0</v>
      </c>
      <c r="N25" s="29">
        <f>IFERROR(__xludf.DUMMYFUNCTION("counta(iferror(filter(L26:L$129,E26:E$129=E25,L26:L$131&gt;L25)))"),0.0)</f>
        <v>0</v>
      </c>
      <c r="O25" s="34">
        <f t="array" ref="O25:W25">XLOOKUP(F25,'Current Week'!B:B,'Current Week'!C:N)</f>
        <v>10</v>
      </c>
      <c r="P25" s="29">
        <v>2.0</v>
      </c>
      <c r="Q25" s="30" t="s">
        <v>268</v>
      </c>
      <c r="R25" s="30" t="s">
        <v>202</v>
      </c>
      <c r="S25" s="30"/>
      <c r="T25" s="30" t="s">
        <v>203</v>
      </c>
      <c r="U25" s="37" t="s">
        <v>203</v>
      </c>
      <c r="V25" s="37"/>
      <c r="W25" s="37">
        <v>9999.0</v>
      </c>
      <c r="X25" s="37"/>
      <c r="Y25" s="37"/>
      <c r="Z25" s="37"/>
      <c r="AA25" s="39">
        <f t="shared" si="3"/>
        <v>-2</v>
      </c>
      <c r="AB25" s="37">
        <f t="shared" si="4"/>
        <v>13</v>
      </c>
      <c r="AC25" s="37">
        <f>IFERROR(__xludf.DUMMYFUNCTION("iferror(COUNT(filter($O26:$O$392,$O26:$O$392&gt;$O25)))"),2.0)</f>
        <v>2</v>
      </c>
      <c r="AD25" s="40">
        <f t="shared" si="5"/>
        <v>0</v>
      </c>
      <c r="AE25" s="41">
        <f t="shared" si="6"/>
        <v>8</v>
      </c>
      <c r="AF25" s="30" t="str">
        <f>IFERROR(__xludf.DUMMYFUNCTION("iferror(join("","",index(sort(filter($F26:$F$393,$O26:$O$393&gt;$O25),2,false),0,1)))"),"LSU,Baylor")</f>
        <v>LSU,Baylor</v>
      </c>
      <c r="AG25" s="39">
        <f>IFERROR(__xludf.DUMMYFUNCTION("iferror($O25-max(filter($O25:$O$392,$E25:$E$392=$E$2)))"),-2.0)</f>
        <v>-2</v>
      </c>
      <c r="AH25" s="37">
        <f t="shared" si="7"/>
        <v>0</v>
      </c>
      <c r="AI25" s="37">
        <f>IFERROR(__xludf.DUMMYFUNCTION("iferror(COUNT(filter($O26:$O$392,$O26:$O$392&gt;$O25,$E25:$E$392=$E$2)))"),0.0)</f>
        <v>0</v>
      </c>
      <c r="AJ25" s="40">
        <f t="shared" si="8"/>
        <v>0</v>
      </c>
      <c r="AK25" s="41">
        <f>IFERROR(__xludf.DUMMYFUNCTION("iferror($O25-min(filter($O25:$O$392,$E25:$E$392=$E$2)))"),8.0)</f>
        <v>8</v>
      </c>
      <c r="AL25" s="30" t="str">
        <f>IFERROR(__xludf.DUMMYFUNCTION("iferror(join("","",index(sort(filter($F26:$F$392,$O26:$O$392&gt;$O25,$E26:$E$392=$E$2),2,false),0,1)))"),"LSU")</f>
        <v>LSU</v>
      </c>
      <c r="AM25" s="30" t="str">
        <f>IFERROR(__xludf.DUMMYFUNCTION("REGEXREPLACE(join("","",unique({let(conf_picked,filter(E$1:E24,D$1:D24=D25), byrow(unique(TRANSPOSe(Teams!$1:$1)),lambda(rw,if(ISERROR(match(rw,conf_picked,0)),rw,))));iferror(if(#REF!,,transpose(split(#REF!,"","",1,1))))})), ""^,"", """")"),"AAC,ACC,Big 12,Big Ten,CUSA,MAC,MWC,Pac12,,Sun Belt,Independent")</f>
        <v>AAC,ACC,Big 12,Big Ten,CUSA,MAC,MWC,Pac12,,Sun Belt,Independent</v>
      </c>
      <c r="AN25" s="39">
        <f>IFERROR(__xludf.DUMMYFUNCTION("iferror($O25-max(filter($O25:$O$392,arrayformula(isnumber(FIND($E25:$E$392,AM25))))))"),-1.0)</f>
        <v>-1</v>
      </c>
      <c r="AO25" s="37">
        <f t="array" ref="AO25">countifs($O$2:$O24,"&lt;"&amp;$O25,isnumber(FIND($E$2:$E24,AM25)),TRUE)</f>
        <v>13</v>
      </c>
      <c r="AP25" s="37">
        <f>IFERROR(__xludf.DUMMYFUNCTION("iferror(COUNT(filter($O26:$O$392,$O26:$O$392&gt;$O25,arrayformula(isnumber(FIND($E26:$E$392,AM25))))))"),1.0)</f>
        <v>1</v>
      </c>
      <c r="AQ25" s="40">
        <f t="shared" si="9"/>
        <v>0</v>
      </c>
      <c r="AR25" s="41">
        <f>IFERROR(__xludf.DUMMYFUNCTION("iferror($O25-min(filter($O25:$O$392,arrayformula(isnumber(FIND($E25:$E$392,AM25))))))"),10.0)</f>
        <v>10</v>
      </c>
      <c r="AS25" s="48" t="str">
        <f>IFERROR(__xludf.DUMMYFUNCTION("iferror(join("","",index(sort(filter($F26:$F$392,$O26:$O$392&gt;$O25,arrayformula(isnumber(FIND($E26:$E$392,AM25)))),2,false),0,1)))"),"Baylor")</f>
        <v>Baylor</v>
      </c>
    </row>
    <row r="26">
      <c r="A26" s="25">
        <f t="shared" si="10"/>
        <v>25</v>
      </c>
      <c r="B26" s="25">
        <f t="shared" si="12"/>
        <v>3</v>
      </c>
      <c r="C26" s="25">
        <v>1.0</v>
      </c>
      <c r="D26" s="27" t="str">
        <f t="shared" ref="D26:D37" si="14">D2</f>
        <v>DavEmily</v>
      </c>
      <c r="E26" s="28" t="str">
        <f>if(F26&lt;&gt;"",VLOOKUP(F26,offset('Teams-Conference'!A:B,0,(counta('Draft Order'!B$2:B129)-10)*2),2,0),"")</f>
        <v>MWC</v>
      </c>
      <c r="F26" s="25" t="s">
        <v>152</v>
      </c>
      <c r="G26" s="25"/>
      <c r="H26" s="29">
        <f t="shared" si="1"/>
        <v>4</v>
      </c>
      <c r="I26" s="29">
        <f t="shared" si="2"/>
        <v>6</v>
      </c>
      <c r="J26" s="29">
        <f t="shared" si="11"/>
        <v>0</v>
      </c>
      <c r="K26" s="29">
        <f>countif(E6:E26,E28)</f>
        <v>1</v>
      </c>
      <c r="L26" s="29"/>
      <c r="M26" s="29">
        <f>IFERROR(__xludf.DUMMYFUNCTION("counta(iferror(filter(L$2:L25,E$2:E25=E26,L$2:L25&lt;L26)))"),0.0)</f>
        <v>0</v>
      </c>
      <c r="N26" s="29">
        <f>IFERROR(__xludf.DUMMYFUNCTION("counta(iferror(filter(L27:L$129,E27:E$129=E26,L27:L$131&gt;L26)))"),0.0)</f>
        <v>0</v>
      </c>
      <c r="O26" s="34">
        <f t="array" ref="O26:W26">XLOOKUP(F26,'Current Week'!B:B,'Current Week'!C:N)</f>
        <v>4</v>
      </c>
      <c r="P26" s="29">
        <v>8.0</v>
      </c>
      <c r="Q26" s="30" t="s">
        <v>215</v>
      </c>
      <c r="R26" s="30" t="s">
        <v>202</v>
      </c>
      <c r="S26" s="30"/>
      <c r="T26" s="30" t="s">
        <v>203</v>
      </c>
      <c r="U26" s="37" t="s">
        <v>203</v>
      </c>
      <c r="V26" s="37"/>
      <c r="W26" s="37">
        <v>9999.0</v>
      </c>
      <c r="X26" s="37"/>
      <c r="Y26" s="37"/>
      <c r="Z26" s="37"/>
      <c r="AA26" s="39">
        <f t="shared" si="3"/>
        <v>-8</v>
      </c>
      <c r="AB26" s="37">
        <f t="shared" si="4"/>
        <v>2</v>
      </c>
      <c r="AC26" s="37">
        <f>IFERROR(__xludf.DUMMYFUNCTION("iferror(COUNT(filter($O27:$O$392,$O27:$O$392&gt;$O26)))"),69.0)</f>
        <v>69</v>
      </c>
      <c r="AD26" s="40">
        <f t="shared" si="5"/>
        <v>0</v>
      </c>
      <c r="AE26" s="41">
        <f t="shared" si="6"/>
        <v>2</v>
      </c>
      <c r="AF26" s="30" t="str">
        <f>IFERROR(__xludf.DUMMYFUNCTION("iferror(join("","",index(sort(filter($F27:$F$393,$O27:$O$393&gt;$O26),2,false),0,1)))"),"San Diego State,Utah State,Northern Illinois,UL Monroe,Air Force,Cincinnati,Nevada,Miami,Florida Atlantic,Wyoming,EMU,Temple,Hawaii,Florida Intl,Buffalo,SMU,Miami-OH,Navy,Tulane,Iowa State,Virginia Tech,Nebraska,LSU,Marshall,Wisconsin,Penn State,Georgia S"&amp;"tate,USC,Oklahoma State,Auburn,Louisiana Tech,Southern Mississippi,TCU,Florida,Baylor,UAB,Arizona State,California,Michigan State,BYU,Colorado,Iowa,Texas A&amp;M,Minnesota,Kansas State,Indiana,Florida State,Syracuse,Wake Forest,Western Kentucky,Virginia,Charl"&amp;"otte,Pittsburgh,Ball State,Coastal Carolina,Missouri,Boston College,West Virginia,Mississippi State,Tennessee,Oregon State,Kent State,Kentucky,Central Michigan,Duke,San José State,North Carolina,Louisville,Illinois")</f>
        <v>San Diego State,Utah State,Northern Illinois,UL Monroe,Air Force,Cincinnati,Nevada,Miami,Florida Atlantic,Wyoming,EMU,Temple,Hawaii,Florida Intl,Buffalo,SMU,Miami-OH,Navy,Tulane,Iowa State,Virginia Tech,Nebraska,LSU,Marshall,Wisconsin,Penn State,Georgia State,USC,Oklahoma State,Auburn,Louisiana Tech,Southern Mississippi,TCU,Florida,Baylor,UAB,Arizona State,California,Michigan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26" s="39">
        <f>IFERROR(__xludf.DUMMYFUNCTION("iferror($O26-max(filter($O26:$O$392,$E26:$E$392=$E$2)))"),-8.0)</f>
        <v>-8</v>
      </c>
      <c r="AH26" s="37">
        <f t="shared" si="7"/>
        <v>0</v>
      </c>
      <c r="AI26" s="37">
        <f>IFERROR(__xludf.DUMMYFUNCTION("iferror(COUNT(filter($O27:$O$392,$O27:$O$392&gt;$O26,$E26:$E$392=$E$2)))"),0.0)</f>
        <v>0</v>
      </c>
      <c r="AJ26" s="40">
        <f t="shared" si="8"/>
        <v>0</v>
      </c>
      <c r="AK26" s="41">
        <f>IFERROR(__xludf.DUMMYFUNCTION("iferror($O26-min(filter($O26:$O$392,$E26:$E$392=$E$2)))"),2.0)</f>
        <v>2</v>
      </c>
      <c r="AL26" s="30" t="str">
        <f>IFERROR(__xludf.DUMMYFUNCTION("iferror(join("","",index(sort(filter($F27:$F$392,$O27:$O$392&gt;$O26,$E27:$E$392=$E$2),2,false),0,1)))"),"LSU,Auburn,Florida,Texas A&amp;M,Missouri,Mississippi State,Tennessee,Kentucky")</f>
        <v>LSU,Auburn,Florida,Texas A&amp;M,Missouri,Mississippi State,Tennessee,Kentucky</v>
      </c>
      <c r="AM26" s="30" t="str">
        <f>IFERROR(__xludf.DUMMYFUNCTION("REGEXREPLACE(join("","",unique({let(conf_picked,filter(E$1:E25,D$1:D25=D26), byrow(unique(TRANSPOSe(Teams!$1:$1)),lambda(rw,if(ISERROR(match(rw,conf_picked,0)),rw,))));iferror(if(#REF!,,transpose(split(#REF!,"","",1,1))))})), ""^,"", """")"),"AAC,ACC,,Big Ten,CUSA,MAC,MWC,Pac12,Sun Belt,Independent")</f>
        <v>AAC,ACC,,Big Ten,CUSA,MAC,MWC,Pac12,Sun Belt,Independent</v>
      </c>
      <c r="AN26" s="39">
        <f>IFERROR(__xludf.DUMMYFUNCTION("iferror($O26-max(filter($O26:$O$392,arrayformula(isnumber(FIND($E26:$E$392,AM26))))))"),-6.0)</f>
        <v>-6</v>
      </c>
      <c r="AO26" s="37">
        <f t="array" ref="AO26">countifs($O$2:$O25,"&lt;"&amp;$O26,isnumber(FIND($E$2:$E25,AM26)),TRUE)</f>
        <v>2</v>
      </c>
      <c r="AP26" s="37">
        <f>IFERROR(__xludf.DUMMYFUNCTION("iferror(COUNT(filter($O27:$O$392,$O27:$O$392&gt;$O26,arrayformula(isnumber(FIND($E27:$E$392,AM26))))))"),54.0)</f>
        <v>54</v>
      </c>
      <c r="AQ26" s="40">
        <f t="shared" si="9"/>
        <v>0</v>
      </c>
      <c r="AR26" s="41">
        <f>IFERROR(__xludf.DUMMYFUNCTION("iferror($O26-min(filter($O26:$O$392,arrayformula(isnumber(FIND($E26:$E$392,AM26))))))"),4.0)</f>
        <v>4</v>
      </c>
      <c r="AS26" s="48" t="str">
        <f>IFERROR(__xludf.DUMMYFUNCTION("iferror(join("","",index(sort(filter($F27:$F$392,$O27:$O$392&gt;$O26,arrayformula(isnumber(FIND($E27:$E$392,AM26)))),2,false),0,1)))"),"San Diego State,Utah State,Northern Illinois,UL Monroe,Air Force,Cincinnati,Nevada,Miami,Florida Atlantic,Wyoming,EMU,Temple,Hawaii,Florida Intl,Buffalo,SMU,Miami-OH,Navy,Tulane,Virginia Tech,Nebraska,Marshall,Wisconsin,Penn State,Georgia State,USC,Louisi"&amp;"ana Tech,Southern Mississippi,UAB,Arizona State,California,Michigan State,Colorado,Iowa,Minnesota,Indiana,Florida State,Syracuse,Wake Forest,Western Kentucky,Virginia,Charlotte,Pittsburgh,Ball State,Coastal Carolina,Boston College,Oregon State,Kent State,"&amp;"Central Michigan,Duke,San José State,North Carolina,Louisville,Illinois")</f>
        <v>San Diego State,Utah State,Northern Illinois,UL Monroe,Air Force,Cincinnati,Nevada,Miami,Florida Atlantic,Wyoming,EMU,Temple,Hawaii,Florida Intl,Buffalo,SMU,Miami-OH,Navy,Tulane,Virginia Tech,Nebraska,Marshall,Wisconsin,Penn State,Georgia State,USC,Louisiana Tech,Southern Mississippi,UAB,Arizona State,California,Michigan State,Colorado,Iowa,Minnesota,Indiana,Florida State,Syracuse,Wake Forest,Western Kentucky,Virginia,Charlotte,Pittsburgh,Ball State,Coastal Carolina,Boston College,Oregon State,Kent State,Central Michigan,Duke,San José State,North Carolina,Louisville,Illinois</v>
      </c>
    </row>
    <row r="27">
      <c r="A27" s="1">
        <f t="shared" si="10"/>
        <v>26</v>
      </c>
      <c r="B27" s="1">
        <f t="shared" si="12"/>
        <v>3</v>
      </c>
      <c r="C27" s="1">
        <v>2.0</v>
      </c>
      <c r="D27" s="51" t="str">
        <f t="shared" si="14"/>
        <v>Nick A.</v>
      </c>
      <c r="E27" s="52" t="str">
        <f>if(F27&lt;&gt;"",VLOOKUP(F27,offset('Teams-Conference'!A:B,0,(counta('Draft Order'!B$2:B129)-10)*2),2,0),"")</f>
        <v>MWC</v>
      </c>
      <c r="F27" s="1" t="s">
        <v>156</v>
      </c>
      <c r="H27" s="29">
        <f t="shared" si="1"/>
        <v>3</v>
      </c>
      <c r="I27" s="29">
        <f t="shared" si="2"/>
        <v>5</v>
      </c>
      <c r="J27" s="29">
        <f t="shared" si="11"/>
        <v>1</v>
      </c>
      <c r="K27" s="30"/>
      <c r="L27" s="29"/>
      <c r="M27" s="29">
        <f>IFERROR(__xludf.DUMMYFUNCTION("counta(iferror(filter(L$2:L26,E$2:E26=E27,L$2:L26&lt;L27)))"),0.0)</f>
        <v>0</v>
      </c>
      <c r="N27" s="29">
        <f>IFERROR(__xludf.DUMMYFUNCTION("counta(iferror(filter(L28:L$129,E28:E$129=E27,L28:L$131&gt;L27)))"),0.0)</f>
        <v>0</v>
      </c>
      <c r="O27" s="34">
        <f t="array" ref="O27:W27">XLOOKUP(F27,'Current Week'!B:B,'Current Week'!C:N)</f>
        <v>9</v>
      </c>
      <c r="P27" s="29">
        <v>3.0</v>
      </c>
      <c r="Q27" s="30" t="s">
        <v>215</v>
      </c>
      <c r="R27" s="35" t="s">
        <v>202</v>
      </c>
      <c r="S27" s="30"/>
      <c r="T27" s="30" t="s">
        <v>203</v>
      </c>
      <c r="U27" s="37" t="s">
        <v>203</v>
      </c>
      <c r="V27" s="37"/>
      <c r="W27" s="37">
        <v>9999.0</v>
      </c>
      <c r="X27" s="37"/>
      <c r="Y27" s="37"/>
      <c r="Z27" s="37"/>
      <c r="AA27" s="39">
        <f t="shared" si="3"/>
        <v>-3</v>
      </c>
      <c r="AB27" s="37">
        <f t="shared" si="4"/>
        <v>12</v>
      </c>
      <c r="AC27" s="37">
        <f>IFERROR(__xludf.DUMMYFUNCTION("iferror(COUNT(filter($O28:$O$392,$O28:$O$392&gt;$O27)))"),10.0)</f>
        <v>10</v>
      </c>
      <c r="AD27" s="40">
        <f t="shared" si="5"/>
        <v>0</v>
      </c>
      <c r="AE27" s="41">
        <f t="shared" si="6"/>
        <v>7</v>
      </c>
      <c r="AF27" s="30" t="str">
        <f>IFERROR(__xludf.DUMMYFUNCTION("iferror(join("","",index(sort(filter($F28:$F$393,$O28:$O$393&gt;$O27),2,false),0,1)))"),"Air Force,Cincinnati,SMU,Navy,LSU,Wisconsin,Penn State,Florida,Baylor,Minnesota")</f>
        <v>Air Force,Cincinnati,SMU,Navy,LSU,Wisconsin,Penn State,Florida,Baylor,Minnesota</v>
      </c>
      <c r="AG27" s="39">
        <f>IFERROR(__xludf.DUMMYFUNCTION("iferror($O27-max(filter($O27:$O$392,$E27:$E$392=$E$2)))"),-3.0)</f>
        <v>-3</v>
      </c>
      <c r="AH27" s="37">
        <f t="shared" si="7"/>
        <v>0</v>
      </c>
      <c r="AI27" s="37">
        <f>IFERROR(__xludf.DUMMYFUNCTION("iferror(COUNT(filter($O28:$O$392,$O28:$O$392&gt;$O27,$E27:$E$392=$E$2)))"),0.0)</f>
        <v>0</v>
      </c>
      <c r="AJ27" s="40">
        <f t="shared" si="8"/>
        <v>0</v>
      </c>
      <c r="AK27" s="41">
        <f>IFERROR(__xludf.DUMMYFUNCTION("iferror($O27-min(filter($O27:$O$392,$E27:$E$392=$E$2)))"),7.0)</f>
        <v>7</v>
      </c>
      <c r="AL27" s="30" t="str">
        <f>IFERROR(__xludf.DUMMYFUNCTION("iferror(join("","",index(sort(filter($F28:$F$392,$O28:$O$392&gt;$O27,$E28:$E$392=$E$2),2,false),0,1)))"),"LSU,Florida")</f>
        <v>LSU,Florida</v>
      </c>
      <c r="AM27" s="30" t="str">
        <f>IFERROR(__xludf.DUMMYFUNCTION("REGEXREPLACE(join("","",unique({let(conf_picked,filter(E$1:E26,D$1:D26=D27), byrow(unique(TRANSPOSe(Teams!$1:$1)),lambda(rw,if(ISERROR(match(rw,conf_picked,0)),rw,))));iferror(if(#REF!,,transpose(split(#REF!,"","",1,1))))})), ""^,"", """")"),"AAC,,Big 12,Big Ten,CUSA,MAC,MWC,SEC,Sun Belt,Independent")</f>
        <v>AAC,,Big 12,Big Ten,CUSA,MAC,MWC,SEC,Sun Belt,Independent</v>
      </c>
      <c r="AN27" s="39">
        <f>IFERROR(__xludf.DUMMYFUNCTION("iferror($O27-max(filter($O27:$O$392,arrayformula(isnumber(FIND($E27:$E$392,AM27))))))"),-3.0)</f>
        <v>-3</v>
      </c>
      <c r="AO27" s="37">
        <f t="array" ref="AO27">countifs($O$2:$O26,"&lt;"&amp;$O27,isnumber(FIND($E$2:$E26,AM27)),TRUE)</f>
        <v>10</v>
      </c>
      <c r="AP27" s="37">
        <f>IFERROR(__xludf.DUMMYFUNCTION("iferror(COUNT(filter($O28:$O$392,$O28:$O$392&gt;$O27,arrayformula(isnumber(FIND($E28:$E$392,AM27))))))"),10.0)</f>
        <v>10</v>
      </c>
      <c r="AQ27" s="40">
        <f t="shared" si="9"/>
        <v>0</v>
      </c>
      <c r="AR27" s="41">
        <f>IFERROR(__xludf.DUMMYFUNCTION("iferror($O27-min(filter($O27:$O$392,arrayformula(isnumber(FIND($E27:$E$392,AM27))))))"),9.0)</f>
        <v>9</v>
      </c>
      <c r="AS27" s="48" t="str">
        <f>IFERROR(__xludf.DUMMYFUNCTION("iferror(join("","",index(sort(filter($F28:$F$392,$O28:$O$392&gt;$O27,arrayformula(isnumber(FIND($E28:$E$392,AM27)))),2,false),0,1)))"),"Air Force,Cincinnati,SMU,Navy,LSU,Wisconsin,Penn State,Florida,Baylor,Minnesota")</f>
        <v>Air Force,Cincinnati,SMU,Navy,LSU,Wisconsin,Penn State,Florida,Baylor,Minnesota</v>
      </c>
    </row>
    <row r="28">
      <c r="A28" s="1">
        <f t="shared" si="10"/>
        <v>27</v>
      </c>
      <c r="B28" s="1">
        <f t="shared" si="12"/>
        <v>3</v>
      </c>
      <c r="C28" s="1">
        <v>3.0</v>
      </c>
      <c r="D28" s="56" t="str">
        <f t="shared" si="14"/>
        <v>Gary</v>
      </c>
      <c r="E28" s="52" t="str">
        <f>if(F28&lt;&gt;"",VLOOKUP(F28,offset('Teams-Conference'!A:B,0,(counta('Draft Order'!B$2:B129)-10)*2),2,0),"")</f>
        <v>MWC</v>
      </c>
      <c r="F28" t="s">
        <v>159</v>
      </c>
      <c r="H28" s="29">
        <f t="shared" si="1"/>
        <v>3</v>
      </c>
      <c r="I28" s="29">
        <f t="shared" si="2"/>
        <v>4</v>
      </c>
      <c r="J28" s="29">
        <f t="shared" si="11"/>
        <v>2</v>
      </c>
      <c r="K28" s="29">
        <f t="shared" ref="K28:K33" si="15">countif(E7:E28,E29)</f>
        <v>2</v>
      </c>
      <c r="L28" s="29"/>
      <c r="M28" s="29">
        <f>IFERROR(__xludf.DUMMYFUNCTION("counta(iferror(filter(L$2:L27,E$2:E27=E28,L$2:L27&lt;L28)))"),0.0)</f>
        <v>0</v>
      </c>
      <c r="N28" s="29">
        <f>IFERROR(__xludf.DUMMYFUNCTION("counta(iferror(filter(L29:L$129,E29:E$129=E28,L29:L$131&gt;L28)))"),0.0)</f>
        <v>0</v>
      </c>
      <c r="O28" s="34">
        <f t="array" ref="O28:W28">XLOOKUP(F28,'Current Week'!B:B,'Current Week'!C:N)</f>
        <v>7</v>
      </c>
      <c r="P28" s="29">
        <v>5.0</v>
      </c>
      <c r="Q28" s="30" t="s">
        <v>242</v>
      </c>
      <c r="R28" s="30" t="s">
        <v>202</v>
      </c>
      <c r="S28" s="30"/>
      <c r="T28" s="30" t="s">
        <v>203</v>
      </c>
      <c r="U28" s="37" t="s">
        <v>203</v>
      </c>
      <c r="V28" s="37"/>
      <c r="W28" s="37">
        <v>9999.0</v>
      </c>
      <c r="X28" s="37"/>
      <c r="Y28" s="37"/>
      <c r="Z28" s="37"/>
      <c r="AA28" s="39">
        <f t="shared" si="3"/>
        <v>-5</v>
      </c>
      <c r="AB28" s="37">
        <f t="shared" si="4"/>
        <v>8</v>
      </c>
      <c r="AC28" s="37">
        <f>IFERROR(__xludf.DUMMYFUNCTION("iferror(COUNT(filter($O29:$O$392,$O29:$O$392&gt;$O28)))"),28.0)</f>
        <v>28</v>
      </c>
      <c r="AD28" s="40">
        <f t="shared" si="5"/>
        <v>0</v>
      </c>
      <c r="AE28" s="41">
        <f t="shared" si="6"/>
        <v>5</v>
      </c>
      <c r="AF28" s="30" t="str">
        <f>IFERROR(__xludf.DUMMYFUNCTION("iferror(join("","",index(sort(filter($F29:$F$393,$O29:$O$393&gt;$O28),2,false),0,1)))"),"Air Force,Cincinnati,Florida Atlantic,Temple,Hawaii,SMU,Navy,Virginia Tech,LSU,Marshall,Wisconsin,Penn State,USC,Oklahoma State,Auburn,Louisiana Tech,Florida,Baylor,UAB,Iowa,Minnesota,Kansas State,Indiana,Wake Forest,Western Kentucky,Virginia,Central Mich"&amp;"igan,Louisville")</f>
        <v>Air Force,Cincinnati,Florida Atlantic,Temple,Hawaii,SMU,Navy,Virginia Tech,LSU,Marshall,Wisconsin,Penn State,USC,Oklahoma State,Auburn,Louisiana Tech,Florida,Baylor,UAB,Iowa,Minnesota,Kansas State,Indiana,Wake Forest,Western Kentucky,Virginia,Central Michigan,Louisville</v>
      </c>
      <c r="AG28" s="39">
        <f>IFERROR(__xludf.DUMMYFUNCTION("iferror($O28-max(filter($O28:$O$392,$E28:$E$392=$E$2)))"),-5.0)</f>
        <v>-5</v>
      </c>
      <c r="AH28" s="37">
        <f t="shared" si="7"/>
        <v>0</v>
      </c>
      <c r="AI28" s="37">
        <f>IFERROR(__xludf.DUMMYFUNCTION("iferror(COUNT(filter($O29:$O$392,$O29:$O$392&gt;$O28,$E28:$E$392=$E$2)))"),0.0)</f>
        <v>0</v>
      </c>
      <c r="AJ28" s="40">
        <f t="shared" si="8"/>
        <v>0</v>
      </c>
      <c r="AK28" s="41">
        <f>IFERROR(__xludf.DUMMYFUNCTION("iferror($O28-min(filter($O28:$O$392,$E28:$E$392=$E$2)))"),5.0)</f>
        <v>5</v>
      </c>
      <c r="AL28" s="30" t="str">
        <f>IFERROR(__xludf.DUMMYFUNCTION("iferror(join("","",index(sort(filter($F29:$F$392,$O29:$O$392&gt;$O28,$E29:$E$392=$E$2),2,false),0,1)))"),"LSU,Auburn,Florida")</f>
        <v>LSU,Auburn,Florida</v>
      </c>
      <c r="AM28" s="30" t="str">
        <f>IFERROR(__xludf.DUMMYFUNCTION("REGEXREPLACE(join("","",unique({let(conf_picked,filter(E$1:E27,D$1:D27=D28), byrow(unique(TRANSPOSe(Teams!$1:$1)),lambda(rw,if(ISERROR(match(rw,conf_picked,0)),rw,))));iferror(if(#REF!,,transpose(split(#REF!,"","",1,1))))})), ""^,"", """")"),"AAC,ACC,Big 12,Big Ten,CUSA,,MWC,Pac12,SEC,Independent")</f>
        <v>AAC,ACC,Big 12,Big Ten,CUSA,,MWC,Pac12,SEC,Independent</v>
      </c>
      <c r="AN28" s="39">
        <f>IFERROR(__xludf.DUMMYFUNCTION("iferror($O28-max(filter($O28:$O$392,arrayformula(isnumber(FIND($E28:$E$392,AM28))))))"),-5.0)</f>
        <v>-5</v>
      </c>
      <c r="AO28" s="37">
        <f t="array" ref="AO28">countifs($O$2:$O27,"&lt;"&amp;$O28,isnumber(FIND($E$2:$E27,AM28)),TRUE)</f>
        <v>2</v>
      </c>
      <c r="AP28" s="37">
        <f>IFERROR(__xludf.DUMMYFUNCTION("iferror(COUNT(filter($O29:$O$392,$O29:$O$392&gt;$O28,arrayformula(isnumber(FIND($E29:$E$392,AM28))))))"),27.0)</f>
        <v>27</v>
      </c>
      <c r="AQ28" s="40">
        <f t="shared" si="9"/>
        <v>0</v>
      </c>
      <c r="AR28" s="41">
        <f>IFERROR(__xludf.DUMMYFUNCTION("iferror($O28-min(filter($O28:$O$392,arrayformula(isnumber(FIND($E28:$E$392,AM28))))))"),6.0)</f>
        <v>6</v>
      </c>
      <c r="AS28" s="48" t="str">
        <f>IFERROR(__xludf.DUMMYFUNCTION("iferror(join("","",index(sort(filter($F29:$F$392,$O29:$O$392&gt;$O28,arrayformula(isnumber(FIND($E29:$E$392,AM28)))),2,false),0,1)))"),"Air Force,Cincinnati,Florida Atlantic,Temple,Hawaii,SMU,Navy,Virginia Tech,LSU,Marshall,Wisconsin,Penn State,USC,Oklahoma State,Auburn,Louisiana Tech,Florida,Baylor,UAB,Iowa,Minnesota,Kansas State,Indiana,Wake Forest,Western Kentucky,Virginia,Louisville")</f>
        <v>Air Force,Cincinnati,Florida Atlantic,Temple,Hawaii,SMU,Navy,Virginia Tech,LSU,Marshall,Wisconsin,Penn State,USC,Oklahoma State,Auburn,Louisiana Tech,Florida,Baylor,UAB,Iowa,Minnesota,Kansas State,Indiana,Wake Forest,Western Kentucky,Virginia,Louisville</v>
      </c>
    </row>
    <row r="29">
      <c r="A29" s="1">
        <f t="shared" si="10"/>
        <v>28</v>
      </c>
      <c r="B29" s="1">
        <f t="shared" si="12"/>
        <v>3</v>
      </c>
      <c r="C29" s="1">
        <v>4.0</v>
      </c>
      <c r="D29" s="51" t="str">
        <f t="shared" si="14"/>
        <v>Janice/Mike</v>
      </c>
      <c r="E29" s="52" t="str">
        <f>if(F29&lt;&gt;"",VLOOKUP(F29,offset('Teams-Conference'!A:B,0,(counta('Draft Order'!B$2:B129)-10)*2),2,0),"")</f>
        <v>MAC</v>
      </c>
      <c r="F29" s="1" t="s">
        <v>145</v>
      </c>
      <c r="H29" s="29">
        <f t="shared" si="1"/>
        <v>1</v>
      </c>
      <c r="I29" s="29">
        <f t="shared" si="2"/>
        <v>3</v>
      </c>
      <c r="J29" s="29">
        <f t="shared" si="11"/>
        <v>1</v>
      </c>
      <c r="K29" s="29">
        <f t="shared" si="15"/>
        <v>2</v>
      </c>
      <c r="L29" s="29"/>
      <c r="M29" s="29">
        <f>IFERROR(__xludf.DUMMYFUNCTION("counta(iferror(filter(L$2:L28,E$2:E28=E29,L$2:L28&lt;L29)))"),0.0)</f>
        <v>0</v>
      </c>
      <c r="N29" s="29">
        <f>IFERROR(__xludf.DUMMYFUNCTION("counta(iferror(filter(L30:L$129,E30:E$129=E29,L30:L$131&gt;L29)))"),0.0)</f>
        <v>0</v>
      </c>
      <c r="O29" s="34">
        <f t="array" ref="O29:W29">XLOOKUP(F29,'Current Week'!B:B,'Current Week'!C:N)</f>
        <v>5</v>
      </c>
      <c r="P29" s="29">
        <v>7.0</v>
      </c>
      <c r="Q29" s="30" t="s">
        <v>242</v>
      </c>
      <c r="R29" s="30" t="s">
        <v>202</v>
      </c>
      <c r="S29" s="30"/>
      <c r="T29" s="30" t="s">
        <v>203</v>
      </c>
      <c r="U29" s="37" t="s">
        <v>203</v>
      </c>
      <c r="V29" s="37"/>
      <c r="W29" s="37">
        <v>9999.0</v>
      </c>
      <c r="X29" s="37"/>
      <c r="Y29" s="37"/>
      <c r="Z29" s="37"/>
      <c r="AA29" s="39">
        <f t="shared" si="3"/>
        <v>-7</v>
      </c>
      <c r="AB29" s="37">
        <f t="shared" si="4"/>
        <v>3</v>
      </c>
      <c r="AC29" s="37">
        <f>IFERROR(__xludf.DUMMYFUNCTION("iferror(COUNT(filter($O30:$O$392,$O30:$O$392&gt;$O29)))"),55.0)</f>
        <v>55</v>
      </c>
      <c r="AD29" s="40">
        <f t="shared" si="5"/>
        <v>0</v>
      </c>
      <c r="AE29" s="41">
        <f t="shared" si="6"/>
        <v>3</v>
      </c>
      <c r="AF29" s="30" t="str">
        <f>IFERROR(__xludf.DUMMYFUNCTION("iferror(join("","",index(sort(filter($F30:$F$393,$O30:$O$393&gt;$O29),2,false),0,1)))"),"Air Force,Cincinnati,Nevada,Miami,Florida Atlantic,Wyoming,EMU,Temple,Hawaii,Florida Intl,Buffalo,SMU,Miami-OH,Navy,Tulane,Iowa State,Virginia Tech,LSU,Marshall,Wisconsin,Penn State,Georgia State,USC,Oklahoma State,Auburn,Louisiana Tech,Southern Mississip"&amp;"pi,Florida,Baylor,UAB,Arizona State,California,Michigan State,BYU,Iowa,Texas A&amp;M,Minnesota,Kansas State,Indiana,Florida State,Wake Forest,Western Kentucky,Virginia,Charlotte,Pittsburgh,Missouri,Boston College,Mississippi State,Tennessee,Kent State,Kentuck"&amp;"y,Central Michigan,North Carolina,Louisville,Illinois")</f>
        <v>Air Force,Cincinnati,Nevada,Miami,Florida Atlantic,Wyoming,EMU,Temple,Hawaii,Florida Intl,Buffalo,SMU,Miami-OH,Navy,Tulane,Iowa State,Virginia Tech,LSU,Marshall,Wisconsin,Penn State,Georgia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  <c r="AG29" s="39">
        <f>IFERROR(__xludf.DUMMYFUNCTION("iferror($O29-max(filter($O29:$O$392,$E29:$E$392=$E$2)))"),-7.0)</f>
        <v>-7</v>
      </c>
      <c r="AH29" s="37">
        <f t="shared" si="7"/>
        <v>0</v>
      </c>
      <c r="AI29" s="37">
        <f>IFERROR(__xludf.DUMMYFUNCTION("iferror(COUNT(filter($O30:$O$392,$O30:$O$392&gt;$O29,$E29:$E$392=$E$2)))"),0.0)</f>
        <v>0</v>
      </c>
      <c r="AJ29" s="40">
        <f t="shared" si="8"/>
        <v>0</v>
      </c>
      <c r="AK29" s="41">
        <f>IFERROR(__xludf.DUMMYFUNCTION("iferror($O29-min(filter($O29:$O$392,$E29:$E$392=$E$2)))"),3.0)</f>
        <v>3</v>
      </c>
      <c r="AL29" s="30" t="str">
        <f>IFERROR(__xludf.DUMMYFUNCTION("iferror(join("","",index(sort(filter($F30:$F$392,$O30:$O$392&gt;$O29,$E30:$E$392=$E$2),2,false),0,1)))"),"LSU,Auburn,Florida,Texas A&amp;M,Missouri,Mississippi State,Tennessee,Kentucky")</f>
        <v>LSU,Auburn,Florida,Texas A&amp;M,Missouri,Mississippi State,Tennessee,Kentucky</v>
      </c>
      <c r="AM29" s="30" t="str">
        <f>IFERROR(__xludf.DUMMYFUNCTION("REGEXREPLACE(join("","",unique({let(conf_picked,filter(E$1:E28,D$1:D28=D29), byrow(unique(TRANSPOSe(Teams!$1:$1)),lambda(rw,if(ISERROR(match(rw,conf_picked,0)),rw,))));iferror(if(#REF!,,transpose(split(#REF!,"","",1,1))))})), ""^,"", """")"),"AAC,ACC,Big 12,Big Ten,CUSA,MAC,,Pac12,SEC,Independent")</f>
        <v>AAC,ACC,Big 12,Big Ten,CUSA,MAC,,Pac12,SEC,Independent</v>
      </c>
      <c r="AN29" s="39">
        <f>IFERROR(__xludf.DUMMYFUNCTION("iferror($O29-max(filter($O29:$O$392,arrayformula(isnumber(FIND($E29:$E$392,AM29))))))"),-7.0)</f>
        <v>-7</v>
      </c>
      <c r="AO29" s="37">
        <f t="array" ref="AO29">countifs($O$2:$O28,"&lt;"&amp;$O29,isnumber(FIND($E$2:$E28,AM29)),TRUE)</f>
        <v>0</v>
      </c>
      <c r="AP29" s="37">
        <f>IFERROR(__xludf.DUMMYFUNCTION("iferror(COUNT(filter($O30:$O$392,$O30:$O$392&gt;$O29,arrayformula(isnumber(FIND($E30:$E$392,AM29))))))"),50.0)</f>
        <v>50</v>
      </c>
      <c r="AQ29" s="40">
        <f t="shared" si="9"/>
        <v>0</v>
      </c>
      <c r="AR29" s="41">
        <f>IFERROR(__xludf.DUMMYFUNCTION("iferror($O29-min(filter($O29:$O$392,arrayformula(isnumber(FIND($E29:$E$392,AM29))))))"),5.0)</f>
        <v>5</v>
      </c>
      <c r="AS29" s="48" t="str">
        <f>IFERROR(__xludf.DUMMYFUNCTION("iferror(join("","",index(sort(filter($F30:$F$392,$O30:$O$392&gt;$O29,arrayformula(isnumber(FIND($E30:$E$392,AM29)))),2,false),0,1)))"),"Cincinnati,Miami,Florida Atlantic,EMU,Temple,Florida Intl,Buffalo,SMU,Miami-OH,Navy,Tulane,Iowa State,Virginia Tech,LSU,Marshall,Wisconsin,Penn State,USC,Oklahoma State,Auburn,Louisiana Tech,Southern Mississippi,Florida,Baylor,UAB,Arizona State,California"&amp;",Michigan State,BYU,Iowa,Texas A&amp;M,Minnesota,Kansas State,Indiana,Florida State,Wake Forest,Western Kentucky,Virginia,Charlotte,Pittsburgh,Missouri,Boston College,Mississippi State,Tennessee,Kent State,Kentucky,Central Michigan,North Carolina,Louisville,I"&amp;"llinois")</f>
        <v>Cincinnati,Miami,Florida Atlantic,EMU,Temple,Florida Intl,Buffalo,SMU,Miami-OH,Navy,Tulane,Iowa State,Virginia Tech,LSU,Marshall,Wisconsin,Penn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</row>
    <row r="30">
      <c r="A30" s="1">
        <f t="shared" si="10"/>
        <v>29</v>
      </c>
      <c r="B30" s="1">
        <f t="shared" si="12"/>
        <v>3</v>
      </c>
      <c r="C30" s="1">
        <v>5.0</v>
      </c>
      <c r="D30" s="51" t="str">
        <f t="shared" si="14"/>
        <v>Nico</v>
      </c>
      <c r="E30" s="52" t="str">
        <f>if(F30&lt;&gt;"",VLOOKUP(F30,offset('Teams-Conference'!A:B,0,(counta('Draft Order'!B$2:B129)-10)*2),2,0),"")</f>
        <v>AAC</v>
      </c>
      <c r="F30" s="1" t="s">
        <v>33</v>
      </c>
      <c r="H30" s="29">
        <f t="shared" si="1"/>
        <v>3</v>
      </c>
      <c r="I30" s="29">
        <f t="shared" si="2"/>
        <v>6</v>
      </c>
      <c r="J30" s="29">
        <f t="shared" si="11"/>
        <v>0</v>
      </c>
      <c r="K30" s="29">
        <f t="shared" si="15"/>
        <v>5</v>
      </c>
      <c r="L30" s="29"/>
      <c r="M30" s="29">
        <f>IFERROR(__xludf.DUMMYFUNCTION("counta(iferror(filter(L$2:L29,E$2:E29=E30,L$2:L29&lt;L30)))"),0.0)</f>
        <v>0</v>
      </c>
      <c r="N30" s="29">
        <f>IFERROR(__xludf.DUMMYFUNCTION("counta(iferror(filter(L31:L$129,E31:E$129=E30,L31:L$131&gt;L30)))"),0.0)</f>
        <v>0</v>
      </c>
      <c r="O30" s="34">
        <f t="array" ref="O30:W30">XLOOKUP(F30,'Current Week'!B:B,'Current Week'!C:N)</f>
        <v>4</v>
      </c>
      <c r="P30" s="29">
        <v>8.0</v>
      </c>
      <c r="Q30" s="30" t="s">
        <v>215</v>
      </c>
      <c r="R30" s="30" t="s">
        <v>202</v>
      </c>
      <c r="S30" s="30"/>
      <c r="T30" s="30" t="s">
        <v>203</v>
      </c>
      <c r="U30" s="37" t="s">
        <v>203</v>
      </c>
      <c r="V30" s="37"/>
      <c r="W30" s="37">
        <v>9999.0</v>
      </c>
      <c r="X30" s="37"/>
      <c r="Y30" s="37"/>
      <c r="Z30" s="37"/>
      <c r="AA30" s="39">
        <f t="shared" si="3"/>
        <v>-8</v>
      </c>
      <c r="AB30" s="37">
        <f t="shared" si="4"/>
        <v>2</v>
      </c>
      <c r="AC30" s="37">
        <f>IFERROR(__xludf.DUMMYFUNCTION("iferror(COUNT(filter($O31:$O$392,$O31:$O$392&gt;$O30)))"),66.0)</f>
        <v>66</v>
      </c>
      <c r="AD30" s="40">
        <f t="shared" si="5"/>
        <v>0</v>
      </c>
      <c r="AE30" s="41">
        <f t="shared" si="6"/>
        <v>2</v>
      </c>
      <c r="AF30" s="30" t="str">
        <f>IFERROR(__xludf.DUMMYFUNCTION("iferror(join("","",index(sort(filter($F31:$F$393,$O31:$O$393&gt;$O30),2,false),0,1)))"),"UL Monroe,Air Force,Cincinnati,Nevada,Miami,Florida Atlantic,Wyoming,EMU,Temple,Hawaii,Florida Intl,Buffalo,SMU,Miami-OH,Navy,Tulane,Iowa State,Virginia Tech,Nebraska,LSU,Marshall,Wisconsin,Penn State,Georgia State,USC,Oklahoma State,Auburn,Louisiana Tech"&amp;",Southern Mississippi,TCU,Florida,Baylor,UAB,Arizona State,California,Michigan State,BYU,Colorado,Iowa,Texas A&amp;M,Minnesota,Kansas State,Indiana,Florida State,Syracuse,Wake Forest,Western Kentucky,Virginia,Charlotte,Pittsburgh,Ball State,Coastal Carolina,M"&amp;"issouri,Boston College,West Virginia,Mississippi State,Tennessee,Oregon State,Kent State,Kentucky,Central Michigan,Duke,San José State,North Carolina,Louisville,Illinois")</f>
        <v>UL Monroe,Air Force,Cincinnati,Nevada,Miami,Florida Atlantic,Wyoming,EMU,Temple,Hawaii,Florida Intl,Buffalo,SMU,Miami-OH,Navy,Tulane,Iowa State,Virginia Tech,Nebraska,LSU,Marshall,Wisconsin,Penn State,Georgia State,USC,Oklahoma State,Auburn,Louisiana Tech,Southern Mississippi,TCU,Florida,Baylor,UAB,Arizona State,California,Michigan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30" s="39">
        <f>IFERROR(__xludf.DUMMYFUNCTION("iferror($O30-max(filter($O30:$O$392,$E30:$E$392=$E$2)))"),-8.0)</f>
        <v>-8</v>
      </c>
      <c r="AH30" s="37">
        <f t="shared" si="7"/>
        <v>0</v>
      </c>
      <c r="AI30" s="37">
        <f>IFERROR(__xludf.DUMMYFUNCTION("iferror(COUNT(filter($O31:$O$392,$O31:$O$392&gt;$O30,$E30:$E$392=$E$2)))"),0.0)</f>
        <v>0</v>
      </c>
      <c r="AJ30" s="40">
        <f t="shared" si="8"/>
        <v>0</v>
      </c>
      <c r="AK30" s="41">
        <f>IFERROR(__xludf.DUMMYFUNCTION("iferror($O30-min(filter($O30:$O$392,$E30:$E$392=$E$2)))"),2.0)</f>
        <v>2</v>
      </c>
      <c r="AL30" s="30" t="str">
        <f>IFERROR(__xludf.DUMMYFUNCTION("iferror(join("","",index(sort(filter($F31:$F$392,$O31:$O$392&gt;$O30,$E31:$E$392=$E$2),2,false),0,1)))"),"LSU,Auburn,Florida,Texas A&amp;M,Missouri,Mississippi State,Tennessee,Kentucky")</f>
        <v>LSU,Auburn,Florida,Texas A&amp;M,Missouri,Mississippi State,Tennessee,Kentucky</v>
      </c>
      <c r="AM30" s="30" t="str">
        <f>IFERROR(__xludf.DUMMYFUNCTION("REGEXREPLACE(join("","",unique({let(conf_picked,filter(E$1:E29,D$1:D29=D30), byrow(unique(TRANSPOSe(Teams!$1:$1)),lambda(rw,if(ISERROR(match(rw,conf_picked,0)),rw,))));iferror(if(#REF!,,transpose(split(#REF!,"","",1,1))))})), ""^,"", """")"),"AAC,ACC,Big 12,Big Ten,CUSA,MAC,MWC,Pac12,,Independent")</f>
        <v>AAC,ACC,Big 12,Big Ten,CUSA,MAC,MWC,Pac12,,Independent</v>
      </c>
      <c r="AN30" s="39">
        <f>IFERROR(__xludf.DUMMYFUNCTION("iferror($O30-max(filter($O30:$O$392,arrayformula(isnumber(FIND($E30:$E$392,AM30))))))"),-7.0)</f>
        <v>-7</v>
      </c>
      <c r="AO30" s="37">
        <f t="array" ref="AO30">countifs($O$2:$O29,"&lt;"&amp;$O30,isnumber(FIND($E$2:$E29,AM30)),TRUE)</f>
        <v>0</v>
      </c>
      <c r="AP30" s="37">
        <f>IFERROR(__xludf.DUMMYFUNCTION("iferror(COUNT(filter($O31:$O$392,$O31:$O$392&gt;$O30,arrayformula(isnumber(FIND($E31:$E$392,AM30))))))"),55.0)</f>
        <v>55</v>
      </c>
      <c r="AQ30" s="40">
        <f t="shared" si="9"/>
        <v>0</v>
      </c>
      <c r="AR30" s="41">
        <f>IFERROR(__xludf.DUMMYFUNCTION("iferror($O30-min(filter($O30:$O$392,arrayformula(isnumber(FIND($E30:$E$392,AM30))))))"),4.0)</f>
        <v>4</v>
      </c>
      <c r="AS30" s="48" t="str">
        <f>IFERROR(__xludf.DUMMYFUNCTION("iferror(join("","",index(sort(filter($F31:$F$392,$O31:$O$392&gt;$O30,arrayformula(isnumber(FIND($E31:$E$392,AM30)))),2,false),0,1)))"),"Air Force,Cincinnati,Nevada,Miami,Florida Atlantic,Wyoming,EMU,Temple,Hawaii,Florida Intl,Buffalo,SMU,Miami-OH,Navy,Tulane,Iowa State,Virginia Tech,Nebraska,Marshall,Wisconsin,Penn State,USC,Oklahoma State,Louisiana Tech,Southern Mississippi,TCU,Baylor,UA"&amp;"B,Arizona State,California,Michigan State,BYU,Colorado,Iowa,Minnesota,Kansas State,Indiana,Florida State,Syracuse,Wake Forest,Western Kentucky,Virginia,Charlotte,Pittsburgh,Ball State,Boston College,West Virginia,Oregon State,Kent State,Central Michigan,D"&amp;"uke,San José State,North Carolina,Louisville,Illinois")</f>
        <v>Air Force,Cincinnati,Nevada,Miami,Florida Atlantic,Wyoming,EMU,Temple,Hawaii,Florida Intl,Buffalo,SMU,Miami-OH,Navy,Tulane,Iowa State,Virginia Tech,Nebraska,Marshall,Wisconsin,Penn State,USC,Oklahoma State,Louisiana Tech,Southern Mississippi,TCU,Baylor,UAB,Arizona State,California,Michigan State,BYU,Colorado,Iowa,Minnesota,Kansas State,Indiana,Florida State,Syracuse,Wake Forest,Western Kentucky,Virginia,Charlotte,Pittsburgh,Ball State,Boston College,West Virginia,Oregon State,Kent State,Central Michigan,Duke,San José State,North Carolina,Louisville,Illinois</v>
      </c>
    </row>
    <row r="31">
      <c r="A31" s="1">
        <f t="shared" si="10"/>
        <v>30</v>
      </c>
      <c r="B31" s="1">
        <f t="shared" si="12"/>
        <v>3</v>
      </c>
      <c r="C31" s="1">
        <v>6.0</v>
      </c>
      <c r="D31" s="51" t="str">
        <f t="shared" si="14"/>
        <v>Jeannine</v>
      </c>
      <c r="E31" s="52" t="str">
        <f>if(F31&lt;&gt;"",VLOOKUP(F31,offset('Teams-Conference'!A:B,0,(counta('Draft Order'!B$2:B129)-10)*2),2,0),"")</f>
        <v>Sun Belt</v>
      </c>
      <c r="F31" t="s">
        <v>191</v>
      </c>
      <c r="H31" s="29">
        <f t="shared" si="1"/>
        <v>0</v>
      </c>
      <c r="I31" s="29">
        <f t="shared" si="2"/>
        <v>0</v>
      </c>
      <c r="J31" s="29">
        <f t="shared" si="11"/>
        <v>3</v>
      </c>
      <c r="K31" s="29">
        <f t="shared" si="15"/>
        <v>2</v>
      </c>
      <c r="L31" s="29"/>
      <c r="M31" s="29">
        <f>IFERROR(__xludf.DUMMYFUNCTION("counta(iferror(filter(L$2:L30,E$2:E30=E31,L$2:L30&lt;L31)))"),0.0)</f>
        <v>0</v>
      </c>
      <c r="N31" s="29">
        <f>IFERROR(__xludf.DUMMYFUNCTION("counta(iferror(filter(L32:L$129,E32:E$129=E31,L32:L$131&gt;L31)))"),0.0)</f>
        <v>0</v>
      </c>
      <c r="O31" s="34">
        <f t="array" ref="O31:W31">XLOOKUP(F31,'Current Week'!B:B,'Current Week'!C:N)</f>
        <v>5</v>
      </c>
      <c r="P31" s="29">
        <v>7.0</v>
      </c>
      <c r="Q31" s="30" t="s">
        <v>248</v>
      </c>
      <c r="R31" s="35" t="s">
        <v>202</v>
      </c>
      <c r="S31" s="30"/>
      <c r="T31" s="30" t="s">
        <v>203</v>
      </c>
      <c r="U31" s="37" t="s">
        <v>203</v>
      </c>
      <c r="V31" s="37"/>
      <c r="W31" s="37">
        <v>9999.0</v>
      </c>
      <c r="X31" s="37"/>
      <c r="Y31" s="37"/>
      <c r="Z31" s="37"/>
      <c r="AA31" s="39">
        <f t="shared" si="3"/>
        <v>-7</v>
      </c>
      <c r="AB31" s="37">
        <f t="shared" si="4"/>
        <v>4</v>
      </c>
      <c r="AC31" s="37">
        <f>IFERROR(__xludf.DUMMYFUNCTION("iferror(COUNT(filter($O32:$O$392,$O32:$O$392&gt;$O31)))"),55.0)</f>
        <v>55</v>
      </c>
      <c r="AD31" s="40">
        <f t="shared" si="5"/>
        <v>0</v>
      </c>
      <c r="AE31" s="41">
        <f t="shared" si="6"/>
        <v>3</v>
      </c>
      <c r="AF31" s="30" t="str">
        <f>IFERROR(__xludf.DUMMYFUNCTION("iferror(join("","",index(sort(filter($F32:$F$393,$O32:$O$393&gt;$O31),2,false),0,1)))"),"Air Force,Cincinnati,Nevada,Miami,Florida Atlantic,Wyoming,EMU,Temple,Hawaii,Florida Intl,Buffalo,SMU,Miami-OH,Navy,Tulane,Iowa State,Virginia Tech,LSU,Marshall,Wisconsin,Penn State,Georgia State,USC,Oklahoma State,Auburn,Louisiana Tech,Southern Mississip"&amp;"pi,Florida,Baylor,UAB,Arizona State,California,Michigan State,BYU,Iowa,Texas A&amp;M,Minnesota,Kansas State,Indiana,Florida State,Wake Forest,Western Kentucky,Virginia,Charlotte,Pittsburgh,Missouri,Boston College,Mississippi State,Tennessee,Kent State,Kentuck"&amp;"y,Central Michigan,North Carolina,Louisville,Illinois")</f>
        <v>Air Force,Cincinnati,Nevada,Miami,Florida Atlantic,Wyoming,EMU,Temple,Hawaii,Florida Intl,Buffalo,SMU,Miami-OH,Navy,Tulane,Iowa State,Virginia Tech,LSU,Marshall,Wisconsin,Penn State,Georgia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  <c r="AG31" s="39">
        <f>IFERROR(__xludf.DUMMYFUNCTION("iferror($O31-max(filter($O31:$O$392,$E31:$E$392=$E$2)))"),-7.0)</f>
        <v>-7</v>
      </c>
      <c r="AH31" s="37">
        <f t="shared" si="7"/>
        <v>0</v>
      </c>
      <c r="AI31" s="37">
        <f>IFERROR(__xludf.DUMMYFUNCTION("iferror(COUNT(filter($O32:$O$392,$O32:$O$392&gt;$O31,$E31:$E$392=$E$2)))"),0.0)</f>
        <v>0</v>
      </c>
      <c r="AJ31" s="40">
        <f t="shared" si="8"/>
        <v>0</v>
      </c>
      <c r="AK31" s="41">
        <f>IFERROR(__xludf.DUMMYFUNCTION("iferror($O31-min(filter($O31:$O$392,$E31:$E$392=$E$2)))"),3.0)</f>
        <v>3</v>
      </c>
      <c r="AL31" s="30" t="str">
        <f>IFERROR(__xludf.DUMMYFUNCTION("iferror(join("","",index(sort(filter($F32:$F$392,$O32:$O$392&gt;$O31,$E32:$E$392=$E$2),2,false),0,1)))"),"LSU,Auburn,Florida,Texas A&amp;M,Missouri,Mississippi State,Tennessee,Kentucky")</f>
        <v>LSU,Auburn,Florida,Texas A&amp;M,Missouri,Mississippi State,Tennessee,Kentucky</v>
      </c>
      <c r="AM31" s="30" t="str">
        <f>IFERROR(__xludf.DUMMYFUNCTION("REGEXREPLACE(join("","",unique({let(conf_picked,filter(E$1:E30,D$1:D30=D31), byrow(unique(TRANSPOSe(Teams!$1:$1)),lambda(rw,if(ISERROR(match(rw,conf_picked,0)),rw,))));iferror(if(#REF!,,transpose(split(#REF!,"","",1,1))))})), ""^,"", """")"),"AAC,ACC,,Big Ten,CUSA,MWC,Pac12,SEC,Sun Belt,Independent")</f>
        <v>AAC,ACC,,Big Ten,CUSA,MWC,Pac12,SEC,Sun Belt,Independent</v>
      </c>
      <c r="AN31" s="39">
        <f>IFERROR(__xludf.DUMMYFUNCTION("iferror($O31-max(filter($O31:$O$392,arrayformula(isnumber(FIND($E31:$E$392,AM31))))))"),-7.0)</f>
        <v>-7</v>
      </c>
      <c r="AO31" s="37">
        <f t="array" ref="AO31">countifs($O$2:$O30,"&lt;"&amp;$O31,isnumber(FIND($E$2:$E30,AM31)),TRUE)</f>
        <v>4</v>
      </c>
      <c r="AP31" s="37">
        <f>IFERROR(__xludf.DUMMYFUNCTION("iferror(COUNT(filter($O32:$O$392,$O32:$O$392&gt;$O31,arrayformula(isnumber(FIND($E32:$E$392,AM31))))))"),45.0)</f>
        <v>45</v>
      </c>
      <c r="AQ31" s="40">
        <f t="shared" si="9"/>
        <v>0</v>
      </c>
      <c r="AR31" s="41">
        <f>IFERROR(__xludf.DUMMYFUNCTION("iferror($O31-min(filter($O31:$O$392,arrayformula(isnumber(FIND($E31:$E$392,AM31))))))"),4.0)</f>
        <v>4</v>
      </c>
      <c r="AS31" s="48" t="str">
        <f>IFERROR(__xludf.DUMMYFUNCTION("iferror(join("","",index(sort(filter($F32:$F$392,$O32:$O$392&gt;$O31,arrayformula(isnumber(FIND($E32:$E$392,AM31)))),2,false),0,1)))"),"Air Force,Cincinnati,Nevada,Miami,Florida Atlantic,Wyoming,Temple,Hawaii,Florida Intl,SMU,Navy,Tulane,Virginia Tech,LSU,Marshall,Wisconsin,Penn State,Georgia State,USC,Auburn,Louisiana Tech,Southern Mississippi,Florida,UAB,Arizona State,California,Michiga"&amp;"n State,Iowa,Texas A&amp;M,Minnesota,Indiana,Florida State,Wake Forest,Western Kentucky,Virginia,Charlotte,Pittsburgh,Missouri,Boston College,Mississippi State,Tennessee,Kentucky,North Carolina,Louisville,Illinois")</f>
        <v>Air Force,Cincinnati,Nevada,Miami,Florida Atlantic,Wyoming,Temple,Hawaii,Florida Intl,SMU,Navy,Tulane,Virginia Tech,LSU,Marshall,Wisconsin,Penn State,Georgia State,USC,Auburn,Louisiana Tech,Southern Mississippi,Florida,UAB,Arizona State,California,Michigan State,Iowa,Texas A&amp;M,Minnesota,Indiana,Florida State,Wake Forest,Western Kentucky,Virginia,Charlotte,Pittsburgh,Missouri,Boston College,Mississippi State,Tennessee,Kentucky,North Carolina,Louisville,Illinois</v>
      </c>
    </row>
    <row r="32">
      <c r="A32" s="1">
        <f t="shared" si="10"/>
        <v>31</v>
      </c>
      <c r="B32" s="1">
        <f t="shared" si="12"/>
        <v>3</v>
      </c>
      <c r="C32" s="1">
        <v>7.0</v>
      </c>
      <c r="D32" s="51" t="str">
        <f t="shared" si="14"/>
        <v>Justin</v>
      </c>
      <c r="E32" s="52" t="str">
        <f>if(F32&lt;&gt;"",VLOOKUP(F32,offset('Teams-Conference'!A:B,0,(counta('Draft Order'!B$2:B129)-10)*2),2,0),"")</f>
        <v>AAC</v>
      </c>
      <c r="F32" t="s">
        <v>45</v>
      </c>
      <c r="H32" s="29">
        <f t="shared" si="1"/>
        <v>2</v>
      </c>
      <c r="I32" s="29">
        <f t="shared" si="2"/>
        <v>5</v>
      </c>
      <c r="J32" s="29">
        <f t="shared" si="11"/>
        <v>1</v>
      </c>
      <c r="K32" s="29">
        <f t="shared" si="15"/>
        <v>3</v>
      </c>
      <c r="L32" s="29"/>
      <c r="M32" s="29">
        <f>IFERROR(__xludf.DUMMYFUNCTION("counta(iferror(filter(L$2:L31,E$2:E31=E32,L$2:L31&lt;L32)))"),0.0)</f>
        <v>0</v>
      </c>
      <c r="N32" s="29">
        <f>IFERROR(__xludf.DUMMYFUNCTION("counta(iferror(filter(L33:L$129,E33:E$129=E32,L33:L$131&gt;L32)))"),0.0)</f>
        <v>0</v>
      </c>
      <c r="O32" s="34">
        <f t="array" ref="O32:W32">XLOOKUP(F32,'Current Week'!B:B,'Current Week'!C:N)</f>
        <v>4</v>
      </c>
      <c r="P32" s="29">
        <v>8.0</v>
      </c>
      <c r="Q32" s="30" t="s">
        <v>260</v>
      </c>
      <c r="R32" s="35" t="s">
        <v>202</v>
      </c>
      <c r="S32" s="30"/>
      <c r="T32" s="30" t="s">
        <v>203</v>
      </c>
      <c r="U32" s="37" t="s">
        <v>203</v>
      </c>
      <c r="V32" s="37"/>
      <c r="W32" s="37">
        <v>9999.0</v>
      </c>
      <c r="X32" s="37"/>
      <c r="Y32" s="37"/>
      <c r="Z32" s="37"/>
      <c r="AA32" s="39">
        <f t="shared" si="3"/>
        <v>-8</v>
      </c>
      <c r="AB32" s="37">
        <f t="shared" si="4"/>
        <v>2</v>
      </c>
      <c r="AC32" s="37">
        <f>IFERROR(__xludf.DUMMYFUNCTION("iferror(COUNT(filter($O33:$O$392,$O33:$O$392&gt;$O32)))"),65.0)</f>
        <v>65</v>
      </c>
      <c r="AD32" s="40">
        <f t="shared" si="5"/>
        <v>0</v>
      </c>
      <c r="AE32" s="41">
        <f t="shared" si="6"/>
        <v>2</v>
      </c>
      <c r="AF32" s="30" t="str">
        <f>IFERROR(__xludf.DUMMYFUNCTION("iferror(join("","",index(sort(filter($F33:$F$393,$O33:$O$393&gt;$O32),2,false),0,1)))"),"Air Force,Cincinnati,Nevada,Miami,Florida Atlantic,Wyoming,EMU,Temple,Hawaii,Florida Intl,Buffalo,SMU,Miami-OH,Navy,Tulane,Iowa State,Virginia Tech,Nebraska,LSU,Marshall,Wisconsin,Penn State,Georgia State,USC,Oklahoma State,Auburn,Louisiana Tech,Southern "&amp;"Mississippi,TCU,Florida,Baylor,UAB,Arizona State,California,Michigan State,BYU,Colorado,Iowa,Texas A&amp;M,Minnesota,Kansas State,Indiana,Florida State,Syracuse,Wake Forest,Western Kentucky,Virginia,Charlotte,Pittsburgh,Ball State,Coastal Carolina,Missouri,Bo"&amp;"ston College,West Virginia,Mississippi State,Tennessee,Oregon State,Kent State,Kentucky,Central Michigan,Duke,San José State,North Carolina,Louisville,Illinois")</f>
        <v>Air Force,Cincinnati,Nevada,Miami,Florida Atlantic,Wyoming,EMU,Temple,Hawaii,Florida Intl,Buffalo,SMU,Miami-OH,Navy,Tulane,Iowa State,Virginia Tech,Nebraska,LSU,Marshall,Wisconsin,Penn State,Georgia State,USC,Oklahoma State,Auburn,Louisiana Tech,Southern Mississippi,TCU,Florida,Baylor,UAB,Arizona State,California,Michigan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32" s="39">
        <f>IFERROR(__xludf.DUMMYFUNCTION("iferror($O32-max(filter($O32:$O$392,$E32:$E$392=$E$2)))"),-8.0)</f>
        <v>-8</v>
      </c>
      <c r="AH32" s="37">
        <f t="shared" si="7"/>
        <v>0</v>
      </c>
      <c r="AI32" s="37">
        <f>IFERROR(__xludf.DUMMYFUNCTION("iferror(COUNT(filter($O33:$O$392,$O33:$O$392&gt;$O32,$E32:$E$392=$E$2)))"),0.0)</f>
        <v>0</v>
      </c>
      <c r="AJ32" s="40">
        <f t="shared" si="8"/>
        <v>0</v>
      </c>
      <c r="AK32" s="41">
        <f>IFERROR(__xludf.DUMMYFUNCTION("iferror($O32-min(filter($O32:$O$392,$E32:$E$392=$E$2)))"),2.0)</f>
        <v>2</v>
      </c>
      <c r="AL32" s="30" t="str">
        <f>IFERROR(__xludf.DUMMYFUNCTION("iferror(join("","",index(sort(filter($F33:$F$392,$O33:$O$392&gt;$O32,$E33:$E$392=$E$2),2,false),0,1)))"),"LSU,Auburn,Florida,Texas A&amp;M,Missouri,Mississippi State,Tennessee,Kentucky")</f>
        <v>LSU,Auburn,Florida,Texas A&amp;M,Missouri,Mississippi State,Tennessee,Kentucky</v>
      </c>
      <c r="AM32" s="30" t="str">
        <f>IFERROR(__xludf.DUMMYFUNCTION("REGEXREPLACE(join("","",unique({let(conf_picked,filter(E$1:E31,D$1:D31=D32), byrow(unique(TRANSPOSe(Teams!$1:$1)),lambda(rw,if(ISERROR(match(rw,conf_picked,0)),rw,))));iferror(if(#REF!,,transpose(split(#REF!,"","",1,1))))})), ""^,"", """")"),"AAC,ACC,Big 12,Big Ten,CUSA,MAC,MWC,,SEC,Independent")</f>
        <v>AAC,ACC,Big 12,Big Ten,CUSA,MAC,MWC,,SEC,Independent</v>
      </c>
      <c r="AN32" s="39">
        <f>IFERROR(__xludf.DUMMYFUNCTION("iferror($O32-max(filter($O32:$O$392,arrayformula(isnumber(FIND($E32:$E$392,AM32))))))"),-8.0)</f>
        <v>-8</v>
      </c>
      <c r="AO32" s="37">
        <f t="array" ref="AO32">countifs($O$2:$O31,"&lt;"&amp;$O32,isnumber(FIND($E$2:$E31,AM32)),TRUE)</f>
        <v>0</v>
      </c>
      <c r="AP32" s="37">
        <f>IFERROR(__xludf.DUMMYFUNCTION("iferror(COUNT(filter($O33:$O$392,$O33:$O$392&gt;$O32,arrayformula(isnumber(FIND($E33:$E$392,AM32))))))"),58.0)</f>
        <v>58</v>
      </c>
      <c r="AQ32" s="40">
        <f t="shared" si="9"/>
        <v>0</v>
      </c>
      <c r="AR32" s="41">
        <f>IFERROR(__xludf.DUMMYFUNCTION("iferror($O32-min(filter($O32:$O$392,arrayformula(isnumber(FIND($E32:$E$392,AM32))))))"),4.0)</f>
        <v>4</v>
      </c>
      <c r="AS32" s="48" t="str">
        <f>IFERROR(__xludf.DUMMYFUNCTION("iferror(join("","",index(sort(filter($F33:$F$392,$O33:$O$392&gt;$O32,arrayformula(isnumber(FIND($E33:$E$392,AM32)))),2,false),0,1)))"),"Air Force,Cincinnati,Nevada,Miami,Florida Atlantic,Wyoming,EMU,Temple,Hawaii,Florida Intl,Buffalo,SMU,Miami-OH,Navy,Tulane,Iowa State,Virginia Tech,Nebraska,LSU,Marshall,Wisconsin,Penn State,Oklahoma State,Auburn,Louisiana Tech,Southern Mississippi,TCU,Fl"&amp;"orida,Baylor,UAB,Michigan State,BYU,Iowa,Texas A&amp;M,Minnesota,Kansas State,Indiana,Florida State,Syracuse,Wake Forest,Western Kentucky,Virginia,Charlotte,Pittsburgh,Ball State,Missouri,Boston College,West Virginia,Mississippi State,Tennessee,Kent State,Ken"&amp;"tucky,Central Michigan,Duke,San José State,North Carolina,Louisville,Illinois")</f>
        <v>Air Force,Cincinnati,Nevada,Miami,Florida Atlantic,Wyoming,EMU,Temple,Hawaii,Florida Intl,Buffalo,SMU,Miami-OH,Navy,Tulane,Iowa State,Virginia Tech,Nebraska,LSU,Marshall,Wisconsin,Penn State,Oklahoma State,Auburn,Louisiana Tech,Southern Mississippi,TCU,Florida,Baylor,UAB,Michigan State,BYU,Iowa,Texas A&amp;M,Minnesota,Kansas State,Indiana,Florida State,Syracuse,Wake Forest,Western Kentucky,Virginia,Charlotte,Pittsburgh,Ball State,Missouri,Boston College,West Virginia,Mississippi State,Tennessee,Kent State,Kentucky,Central Michigan,Duke,San José State,North Carolina,Louisville,Illinois</v>
      </c>
    </row>
    <row r="33">
      <c r="A33" s="1">
        <f t="shared" si="10"/>
        <v>32</v>
      </c>
      <c r="B33" s="1">
        <f t="shared" si="12"/>
        <v>3</v>
      </c>
      <c r="C33" s="1">
        <v>8.0</v>
      </c>
      <c r="D33" s="51" t="str">
        <f t="shared" si="14"/>
        <v>Adam</v>
      </c>
      <c r="E33" s="52" t="str">
        <f>if(F33&lt;&gt;"",VLOOKUP(F33,offset('Teams-Conference'!A:B,0,(counta('Draft Order'!B$2:B129)-10)*2),2,0),"")</f>
        <v>MWC</v>
      </c>
      <c r="F33" s="1" t="s">
        <v>149</v>
      </c>
      <c r="H33" s="29">
        <f t="shared" si="1"/>
        <v>3</v>
      </c>
      <c r="I33" s="29">
        <f t="shared" si="2"/>
        <v>4</v>
      </c>
      <c r="J33" s="29">
        <f t="shared" si="11"/>
        <v>3</v>
      </c>
      <c r="K33" s="29">
        <f t="shared" si="15"/>
        <v>3</v>
      </c>
      <c r="L33" s="29"/>
      <c r="M33" s="29">
        <f>IFERROR(__xludf.DUMMYFUNCTION("counta(iferror(filter(L$2:L32,E$2:E32=E33,L$2:L32&lt;L33)))"),0.0)</f>
        <v>0</v>
      </c>
      <c r="N33" s="29">
        <f>IFERROR(__xludf.DUMMYFUNCTION("counta(iferror(filter(L34:L$129,E34:E$129=E33,L34:L$131&gt;L33)))"),0.0)</f>
        <v>0</v>
      </c>
      <c r="O33" s="34">
        <f t="array" ref="O33:W33">XLOOKUP(F33,'Current Week'!B:B,'Current Week'!C:N)</f>
        <v>10</v>
      </c>
      <c r="P33" s="29">
        <v>2.0</v>
      </c>
      <c r="Q33" s="30" t="s">
        <v>215</v>
      </c>
      <c r="R33" s="30" t="s">
        <v>202</v>
      </c>
      <c r="S33" s="30"/>
      <c r="T33" s="30" t="s">
        <v>203</v>
      </c>
      <c r="U33" s="37" t="s">
        <v>203</v>
      </c>
      <c r="V33" s="37"/>
      <c r="W33" s="37">
        <v>9999.0</v>
      </c>
      <c r="X33" s="37"/>
      <c r="Y33" s="37"/>
      <c r="Z33" s="37"/>
      <c r="AA33" s="39">
        <f t="shared" si="3"/>
        <v>-2</v>
      </c>
      <c r="AB33" s="37">
        <f t="shared" si="4"/>
        <v>20</v>
      </c>
      <c r="AC33" s="37">
        <f>IFERROR(__xludf.DUMMYFUNCTION("iferror(COUNT(filter($O34:$O$392,$O34:$O$392&gt;$O33)))"),2.0)</f>
        <v>2</v>
      </c>
      <c r="AD33" s="40">
        <f t="shared" si="5"/>
        <v>0</v>
      </c>
      <c r="AE33" s="41">
        <f t="shared" si="6"/>
        <v>8</v>
      </c>
      <c r="AF33" s="30" t="str">
        <f>IFERROR(__xludf.DUMMYFUNCTION("iferror(join("","",index(sort(filter($F34:$F$393,$O34:$O$393&gt;$O33),2,false),0,1)))"),"LSU,Baylor")</f>
        <v>LSU,Baylor</v>
      </c>
      <c r="AG33" s="39">
        <f>IFERROR(__xludf.DUMMYFUNCTION("iferror($O33-max(filter($O33:$O$392,$E33:$E$392=$E$2)))"),-2.0)</f>
        <v>-2</v>
      </c>
      <c r="AH33" s="37">
        <f t="shared" si="7"/>
        <v>0</v>
      </c>
      <c r="AI33" s="37">
        <f>IFERROR(__xludf.DUMMYFUNCTION("iferror(COUNT(filter($O34:$O$392,$O34:$O$392&gt;$O33,$E33:$E$392=$E$2)))"),0.0)</f>
        <v>0</v>
      </c>
      <c r="AJ33" s="40">
        <f t="shared" si="8"/>
        <v>0</v>
      </c>
      <c r="AK33" s="41">
        <f>IFERROR(__xludf.DUMMYFUNCTION("iferror($O33-min(filter($O33:$O$392,$E33:$E$392=$E$2)))"),8.0)</f>
        <v>8</v>
      </c>
      <c r="AL33" s="30" t="str">
        <f>IFERROR(__xludf.DUMMYFUNCTION("iferror(join("","",index(sort(filter($F34:$F$392,$O34:$O$392&gt;$O33,$E34:$E$392=$E$2),2,false),0,1)))"),"LSU")</f>
        <v>LSU</v>
      </c>
      <c r="AM33" s="30" t="str">
        <f>IFERROR(__xludf.DUMMYFUNCTION("REGEXREPLACE(join("","",unique({let(conf_picked,filter(E$1:E32,D$1:D32=D33), byrow(unique(TRANSPOSe(Teams!$1:$1)),lambda(rw,if(ISERROR(match(rw,conf_picked,0)),rw,))));iferror(if(#REF!,,transpose(split(#REF!,"","",1,1))))})), ""^,"", """")"),"ACC,Big Ten,CUSA,MAC,MWC,Pac12,SEC,Sun Belt,Independent")</f>
        <v>ACC,Big Ten,CUSA,MAC,MWC,Pac12,SEC,Sun Belt,Independent</v>
      </c>
      <c r="AN33" s="39">
        <f>IFERROR(__xludf.DUMMYFUNCTION("iferror($O33-max(filter($O33:$O$392,arrayformula(isnumber(FIND($E33:$E$392,AM33))))))"),-2.0)</f>
        <v>-2</v>
      </c>
      <c r="AO33" s="37">
        <f t="array" ref="AO33">countifs($O$2:$O32,"&lt;"&amp;$O33,isnumber(FIND($E$2:$E32,AM33)),TRUE)</f>
        <v>16</v>
      </c>
      <c r="AP33" s="37">
        <f>IFERROR(__xludf.DUMMYFUNCTION("iferror(COUNT(filter($O34:$O$392,$O34:$O$392&gt;$O33,arrayformula(isnumber(FIND($E34:$E$392,AM33))))))"),1.0)</f>
        <v>1</v>
      </c>
      <c r="AQ33" s="40">
        <f t="shared" si="9"/>
        <v>0</v>
      </c>
      <c r="AR33" s="41">
        <f>IFERROR(__xludf.DUMMYFUNCTION("iferror($O33-min(filter($O33:$O$392,arrayformula(isnumber(FIND($E33:$E$392,AM33))))))"),10.0)</f>
        <v>10</v>
      </c>
      <c r="AS33" s="48" t="str">
        <f>IFERROR(__xludf.DUMMYFUNCTION("iferror(join("","",index(sort(filter($F34:$F$392,$O34:$O$392&gt;$O33,arrayformula(isnumber(FIND($E34:$E$392,AM33)))),2,false),0,1)))"),"LSU")</f>
        <v>LSU</v>
      </c>
    </row>
    <row r="34">
      <c r="A34" s="1">
        <f t="shared" si="10"/>
        <v>33</v>
      </c>
      <c r="B34" s="1">
        <f t="shared" si="12"/>
        <v>3</v>
      </c>
      <c r="C34" s="1">
        <v>9.0</v>
      </c>
      <c r="D34" s="51" t="str">
        <f t="shared" si="14"/>
        <v>Vu</v>
      </c>
      <c r="E34" s="52" t="str">
        <f>if(F34&lt;&gt;"",VLOOKUP(F34,offset('Teams-Conference'!A:B,0,(counta('Draft Order'!B$2:B129)-10)*2),2,0),"")</f>
        <v>AAC</v>
      </c>
      <c r="F34" s="17" t="s">
        <v>5</v>
      </c>
      <c r="H34" s="29">
        <f t="shared" si="1"/>
        <v>2</v>
      </c>
      <c r="I34" s="29">
        <f t="shared" si="2"/>
        <v>4</v>
      </c>
      <c r="J34" s="29">
        <f t="shared" si="11"/>
        <v>2</v>
      </c>
      <c r="K34" s="29">
        <f>countif(E15:E34,E36)</f>
        <v>0</v>
      </c>
      <c r="L34" s="29"/>
      <c r="M34" s="29">
        <f>IFERROR(__xludf.DUMMYFUNCTION("counta(iferror(filter(L$2:L33,E$2:E33=E34,L$2:L33&lt;L34)))"),0.0)</f>
        <v>0</v>
      </c>
      <c r="N34" s="29">
        <f>IFERROR(__xludf.DUMMYFUNCTION("counta(iferror(filter(L36:L$129,E36:E$129=E34,L36:L$131&gt;L34)))"),0.0)</f>
        <v>0</v>
      </c>
      <c r="O34" s="34">
        <f t="array" ref="O34:W34">XLOOKUP(F34,'Current Week'!B:B,'Current Week'!C:N)</f>
        <v>10</v>
      </c>
      <c r="P34" s="29">
        <v>2.0</v>
      </c>
      <c r="Q34" s="30" t="s">
        <v>260</v>
      </c>
      <c r="R34" s="30" t="s">
        <v>270</v>
      </c>
      <c r="S34" s="30" t="s">
        <v>271</v>
      </c>
      <c r="T34" s="30" t="s">
        <v>272</v>
      </c>
      <c r="U34" s="37" t="s">
        <v>276</v>
      </c>
      <c r="V34" s="37" t="s">
        <v>69</v>
      </c>
      <c r="W34" s="37" t="s">
        <v>271</v>
      </c>
      <c r="X34" s="37"/>
      <c r="Y34" s="37"/>
      <c r="Z34" s="37"/>
      <c r="AA34" s="39">
        <f t="shared" si="3"/>
        <v>-2</v>
      </c>
      <c r="AB34" s="37">
        <f t="shared" si="4"/>
        <v>20</v>
      </c>
      <c r="AC34" s="37">
        <f>IFERROR(__xludf.DUMMYFUNCTION("iferror(COUNT(filter($O35:$O$392,$O35:$O$392&gt;$O34)))"),2.0)</f>
        <v>2</v>
      </c>
      <c r="AD34" s="40">
        <f t="shared" si="5"/>
        <v>0</v>
      </c>
      <c r="AE34" s="41">
        <f t="shared" si="6"/>
        <v>8</v>
      </c>
      <c r="AF34" s="30" t="str">
        <f>IFERROR(__xludf.DUMMYFUNCTION("iferror(join("","",index(sort(filter($F35:$F$393,$O35:$O$393&gt;$O34),2,false),0,1)))"),"LSU,Baylor")</f>
        <v>LSU,Baylor</v>
      </c>
      <c r="AG34" s="39">
        <f>IFERROR(__xludf.DUMMYFUNCTION("iferror($O34-max(filter($O34:$O$392,$E34:$E$392=$E$2)))"),-2.0)</f>
        <v>-2</v>
      </c>
      <c r="AH34" s="37">
        <f t="shared" si="7"/>
        <v>0</v>
      </c>
      <c r="AI34" s="37">
        <f>IFERROR(__xludf.DUMMYFUNCTION("iferror(COUNT(filter($O35:$O$392,$O35:$O$392&gt;$O34,$E34:$E$392=$E$2)))"),0.0)</f>
        <v>0</v>
      </c>
      <c r="AJ34" s="40">
        <f t="shared" si="8"/>
        <v>0</v>
      </c>
      <c r="AK34" s="41">
        <f>IFERROR(__xludf.DUMMYFUNCTION("iferror($O34-min(filter($O34:$O$392,$E34:$E$392=$E$2)))"),8.0)</f>
        <v>8</v>
      </c>
      <c r="AL34" s="30" t="str">
        <f>IFERROR(__xludf.DUMMYFUNCTION("iferror(join("","",index(sort(filter($F35:$F$392,$O35:$O$392&gt;$O34,$E35:$E$392=$E$2),2,false),0,1)))"),"LSU")</f>
        <v>LSU</v>
      </c>
      <c r="AM34" s="30" t="str">
        <f>IFERROR(__xludf.DUMMYFUNCTION("REGEXREPLACE(join("","",unique({let(conf_picked,filter(E$1:E33,D$1:D33=D34), byrow(unique(TRANSPOSe(Teams!$1:$1)),lambda(rw,if(ISERROR(match(rw,conf_picked,0)),rw,))));iferror(if(#REF!,,transpose(split(#REF!,"","",1,1))))})), ""^,"", """")"),"AAC,ACC,Big 12,,CUSA,MAC,MWC,SEC,Sun Belt,Independent")</f>
        <v>AAC,ACC,Big 12,,CUSA,MAC,MWC,SEC,Sun Belt,Independent</v>
      </c>
      <c r="AN34" s="39">
        <f>IFERROR(__xludf.DUMMYFUNCTION("iferror($O34-max(filter($O34:$O$392,arrayformula(isnumber(FIND($E34:$E$392,AM34))))))"),-2.0)</f>
        <v>-2</v>
      </c>
      <c r="AO34" s="37">
        <f t="array" ref="AO34">countifs($O$2:$O33,"&lt;"&amp;$O34,isnumber(FIND($E$2:$E33,AM34)),TRUE)</f>
        <v>17</v>
      </c>
      <c r="AP34" s="37">
        <f>IFERROR(__xludf.DUMMYFUNCTION("iferror(COUNT(filter($O35:$O$392,$O35:$O$392&gt;$O34,arrayformula(isnumber(FIND($E35:$E$392,AM34))))))"),2.0)</f>
        <v>2</v>
      </c>
      <c r="AQ34" s="40">
        <f t="shared" si="9"/>
        <v>0</v>
      </c>
      <c r="AR34" s="41">
        <f>IFERROR(__xludf.DUMMYFUNCTION("iferror($O34-min(filter($O34:$O$392,arrayformula(isnumber(FIND($E34:$E$392,AM34))))))"),10.0)</f>
        <v>10</v>
      </c>
      <c r="AS34" s="48" t="str">
        <f>IFERROR(__xludf.DUMMYFUNCTION("iferror(join("","",index(sort(filter($F35:$F$392,$O35:$O$392&gt;$O34,arrayformula(isnumber(FIND($E35:$E$392,AM34)))),2,false),0,1)))"),"LSU,Baylor")</f>
        <v>LSU,Baylor</v>
      </c>
    </row>
    <row r="35">
      <c r="A35" s="1">
        <f t="shared" si="10"/>
        <v>34</v>
      </c>
      <c r="B35" s="1">
        <f t="shared" si="12"/>
        <v>3</v>
      </c>
      <c r="C35" s="1">
        <v>10.0</v>
      </c>
      <c r="D35" s="51" t="str">
        <f t="shared" si="14"/>
        <v>Josh R.</v>
      </c>
      <c r="E35" s="52" t="str">
        <f>if(F35&lt;&gt;"",VLOOKUP(F35,offset('Teams-Conference'!A:B,0,(counta('Draft Order'!B$2:B129)-10)*2),2,0),"")</f>
        <v>MWC</v>
      </c>
      <c r="F35" s="1" t="s">
        <v>154</v>
      </c>
      <c r="H35" s="29">
        <f t="shared" si="1"/>
        <v>2</v>
      </c>
      <c r="I35" s="29">
        <f t="shared" si="2"/>
        <v>4</v>
      </c>
      <c r="J35" s="29">
        <f t="shared" si="11"/>
        <v>4</v>
      </c>
      <c r="K35" s="29">
        <f>countif(E17:E36,E37)</f>
        <v>0</v>
      </c>
      <c r="L35" s="29"/>
      <c r="M35" s="29">
        <f>IFERROR(__xludf.DUMMYFUNCTION("counta(iferror(filter(L$2:L36,E$2:E36=E35,L$2:L36&lt;L35)))"),0.0)</f>
        <v>0</v>
      </c>
      <c r="N35" s="29">
        <f>IFERROR(__xludf.DUMMYFUNCTION("counta(iferror(filter(L37:L$129,E37:E$129=E35,L37:L$131&gt;L35)))"),0.0)</f>
        <v>0</v>
      </c>
      <c r="O35" s="34">
        <f t="array" ref="O35:W35">XLOOKUP(F35,'Current Week'!B:B,'Current Week'!C:N)</f>
        <v>7</v>
      </c>
      <c r="P35" s="29">
        <v>5.0</v>
      </c>
      <c r="Q35" s="30" t="s">
        <v>248</v>
      </c>
      <c r="R35" s="30" t="s">
        <v>202</v>
      </c>
      <c r="S35" s="30"/>
      <c r="T35" s="30" t="s">
        <v>203</v>
      </c>
      <c r="U35" s="37" t="s">
        <v>203</v>
      </c>
      <c r="V35" s="37"/>
      <c r="W35" s="37">
        <v>9999.0</v>
      </c>
      <c r="X35" s="37"/>
      <c r="Y35" s="37"/>
      <c r="Z35" s="37"/>
      <c r="AA35" s="39">
        <f t="shared" si="3"/>
        <v>-5</v>
      </c>
      <c r="AB35" s="37">
        <f t="shared" si="4"/>
        <v>12</v>
      </c>
      <c r="AC35" s="37">
        <f>IFERROR(__xludf.DUMMYFUNCTION("iferror(COUNT(filter($O36:$O$392,$O36:$O$392&gt;$O35)))"),26.0)</f>
        <v>26</v>
      </c>
      <c r="AD35" s="40">
        <f t="shared" si="5"/>
        <v>0</v>
      </c>
      <c r="AE35" s="41">
        <f t="shared" si="6"/>
        <v>5</v>
      </c>
      <c r="AF35" s="30" t="str">
        <f>IFERROR(__xludf.DUMMYFUNCTION("iferror(join("","",index(sort(filter($F36:$F$393,$O36:$O$393&gt;$O35),2,false),0,1)))"),"Florida Atlantic,Temple,Hawaii,SMU,Navy,Virginia Tech,LSU,Marshall,Wisconsin,Penn State,USC,Oklahoma State,Auburn,Louisiana Tech,Florida,Baylor,UAB,Iowa,Minnesota,Kansas State,Indiana,Wake Forest,Western Kentucky,Virginia,Central Michigan,Louisville")</f>
        <v>Florida Atlantic,Temple,Hawaii,SMU,Navy,Virginia Tech,LSU,Marshall,Wisconsin,Penn State,USC,Oklahoma State,Auburn,Louisiana Tech,Florida,Baylor,UAB,Iowa,Minnesota,Kansas State,Indiana,Wake Forest,Western Kentucky,Virginia,Central Michigan,Louisville</v>
      </c>
      <c r="AG35" s="39">
        <f>IFERROR(__xludf.DUMMYFUNCTION("iferror($O35-max(filter($O35:$O$392,$E35:$E$392=$E$2)))"),-5.0)</f>
        <v>-5</v>
      </c>
      <c r="AH35" s="37">
        <f t="shared" si="7"/>
        <v>0</v>
      </c>
      <c r="AI35" s="37">
        <f>IFERROR(__xludf.DUMMYFUNCTION("iferror(COUNT(filter($O36:$O$392,$O36:$O$392&gt;$O35,$E35:$E$392=$E$2)))"),0.0)</f>
        <v>0</v>
      </c>
      <c r="AJ35" s="40">
        <f t="shared" si="8"/>
        <v>0</v>
      </c>
      <c r="AK35" s="41">
        <f>IFERROR(__xludf.DUMMYFUNCTION("iferror($O35-min(filter($O35:$O$392,$E35:$E$392=$E$2)))"),5.0)</f>
        <v>5</v>
      </c>
      <c r="AL35" s="30" t="str">
        <f>IFERROR(__xludf.DUMMYFUNCTION("iferror(join("","",index(sort(filter($F36:$F$392,$O36:$O$392&gt;$O35,$E36:$E$392=$E$2),2,false),0,1)))"),"LSU,Auburn,Florida")</f>
        <v>LSU,Auburn,Florida</v>
      </c>
      <c r="AM35" s="30" t="str">
        <f>IFERROR(__xludf.DUMMYFUNCTION("REGEXREPLACE(join("","",unique({let(conf_picked,filter(E$1:E34,D$1:D34=D35), byrow(unique(TRANSPOSe(Teams!$1:$1)),lambda(rw,if(ISERROR(match(rw,conf_picked,0)),rw,))));iferror(if(#REF!,,transpose(split(#REF!,"","",1,1))))})), ""^,"", """")"),"AAC,ACC,Big 12,Big Ten,CUSA,,MWC,Pac12,SEC,Independent")</f>
        <v>AAC,ACC,Big 12,Big Ten,CUSA,,MWC,Pac12,SEC,Independent</v>
      </c>
      <c r="AN35" s="39">
        <f>IFERROR(__xludf.DUMMYFUNCTION("iferror($O35-max(filter($O35:$O$392,arrayformula(isnumber(FIND($E35:$E$392,AM35))))))"),-5.0)</f>
        <v>-5</v>
      </c>
      <c r="AO35" s="37">
        <f t="array" ref="AO35">countifs($O$2:$O34,"&lt;"&amp;$O35,isnumber(FIND($E$2:$E34,AM35)),TRUE)</f>
        <v>4</v>
      </c>
      <c r="AP35" s="37">
        <f>IFERROR(__xludf.DUMMYFUNCTION("iferror(COUNT(filter($O36:$O$392,$O36:$O$392&gt;$O35,arrayformula(isnumber(FIND($E36:$E$392,AM35))))))"),25.0)</f>
        <v>25</v>
      </c>
      <c r="AQ35" s="40">
        <f t="shared" si="9"/>
        <v>0</v>
      </c>
      <c r="AR35" s="41">
        <f>IFERROR(__xludf.DUMMYFUNCTION("iferror($O35-min(filter($O35:$O$392,arrayformula(isnumber(FIND($E35:$E$392,AM35))))))"),6.0)</f>
        <v>6</v>
      </c>
      <c r="AS35" s="48" t="str">
        <f>IFERROR(__xludf.DUMMYFUNCTION("iferror(join("","",index(sort(filter($F36:$F$392,$O36:$O$392&gt;$O35,arrayformula(isnumber(FIND($E36:$E$392,AM35)))),2,false),0,1)))"),"Florida Atlantic,Temple,Hawaii,SMU,Navy,Virginia Tech,LSU,Marshall,Wisconsin,Penn State,USC,Oklahoma State,Auburn,Louisiana Tech,Florida,Baylor,UAB,Iowa,Minnesota,Kansas State,Indiana,Wake Forest,Western Kentucky,Virginia,Louisville")</f>
        <v>Florida Atlantic,Temple,Hawaii,SMU,Navy,Virginia Tech,LSU,Marshall,Wisconsin,Penn State,USC,Oklahoma State,Auburn,Louisiana Tech,Florida,Baylor,UAB,Iowa,Minnesota,Kansas State,Indiana,Wake Forest,Western Kentucky,Virginia,Louisville</v>
      </c>
    </row>
    <row r="36">
      <c r="A36" s="1">
        <f t="shared" si="10"/>
        <v>35</v>
      </c>
      <c r="B36" s="1">
        <f t="shared" si="12"/>
        <v>3</v>
      </c>
      <c r="C36" s="1">
        <v>11.0</v>
      </c>
      <c r="D36" s="51" t="str">
        <f t="shared" si="14"/>
        <v>Brad</v>
      </c>
      <c r="E36" s="52" t="str">
        <f>if(F36&lt;&gt;"",VLOOKUP(F36,offset('Teams-Conference'!A:B,0,(counta('Draft Order'!B$2:B129)-10)*2),2,0),"")</f>
        <v>ACC</v>
      </c>
      <c r="F36" s="1" t="s">
        <v>87</v>
      </c>
      <c r="H36" s="29">
        <f t="shared" si="1"/>
        <v>0</v>
      </c>
      <c r="I36" s="29">
        <f t="shared" si="2"/>
        <v>1</v>
      </c>
      <c r="J36" s="29">
        <f t="shared" si="11"/>
        <v>0</v>
      </c>
      <c r="K36" s="29">
        <f>countif(E16:E36,E35)</f>
        <v>5</v>
      </c>
      <c r="L36" s="29"/>
      <c r="M36" s="29">
        <f>IFERROR(__xludf.DUMMYFUNCTION("counta(iferror(filter(L$2:L34,E$2:E34=E36,L$2:L34&lt;L36)))"),0.0)</f>
        <v>0</v>
      </c>
      <c r="N36" s="29">
        <f>IFERROR(__xludf.DUMMYFUNCTION("counta(iferror(filter(L35:L$129,E35:E$129=E36,L35:L$131&gt;L36)))"),0.0)</f>
        <v>0</v>
      </c>
      <c r="O36" s="34">
        <f t="array" ref="O36:W36">XLOOKUP(F36,'Current Week'!B:B,'Current Week'!C:N)</f>
        <v>6</v>
      </c>
      <c r="P36" s="29">
        <v>6.0</v>
      </c>
      <c r="Q36" s="30" t="s">
        <v>248</v>
      </c>
      <c r="R36" s="30" t="s">
        <v>202</v>
      </c>
      <c r="S36" s="30"/>
      <c r="T36" s="30" t="s">
        <v>203</v>
      </c>
      <c r="U36" s="37" t="s">
        <v>203</v>
      </c>
      <c r="V36" s="37"/>
      <c r="W36" s="37">
        <v>9999.0</v>
      </c>
      <c r="X36" s="37"/>
      <c r="Y36" s="37"/>
      <c r="Z36" s="37"/>
      <c r="AA36" s="39">
        <f t="shared" si="3"/>
        <v>-6</v>
      </c>
      <c r="AB36" s="37">
        <f t="shared" si="4"/>
        <v>9</v>
      </c>
      <c r="AC36" s="37">
        <f>IFERROR(__xludf.DUMMYFUNCTION("iferror(COUNT(filter($O37:$O$392,$O37:$O$392&gt;$O36)))"),40.0)</f>
        <v>40</v>
      </c>
      <c r="AD36" s="40">
        <f t="shared" si="5"/>
        <v>0</v>
      </c>
      <c r="AE36" s="41">
        <f t="shared" si="6"/>
        <v>4</v>
      </c>
      <c r="AF36" s="30" t="str">
        <f>IFERROR(__xludf.DUMMYFUNCTION("iferror(join("","",index(sort(filter($F37:$F$393,$O37:$O$393&gt;$O36),2,false),0,1)))"),"Florida Atlantic,Wyoming,Temple,Hawaii,Buffalo,SMU,Miami-OH,Navy,Iowa State,Virginia Tech,LSU,Marshall,Wisconsin,Penn State,Georgia State,USC,Oklahoma State,Auburn,Louisiana Tech,Southern Mississippi,Florida,Baylor,UAB,Arizona State,California,BYU,Iowa,Te"&amp;"xas A&amp;M,Minnesota,Kansas State,Indiana,Wake Forest,Western Kentucky,Virginia,Charlotte,Pittsburgh,Tennessee,Kentucky,Central Michigan,Louisville")</f>
        <v>Florida Atlantic,Wyoming,Temple,Hawaii,Buffalo,SMU,Miami-OH,Navy,Iowa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36" s="39">
        <f>IFERROR(__xludf.DUMMYFUNCTION("iferror($O36-max(filter($O36:$O$392,$E36:$E$392=$E$2)))"),-6.0)</f>
        <v>-6</v>
      </c>
      <c r="AH36" s="37">
        <f t="shared" si="7"/>
        <v>0</v>
      </c>
      <c r="AI36" s="37">
        <f>IFERROR(__xludf.DUMMYFUNCTION("iferror(COUNT(filter($O37:$O$392,$O37:$O$392&gt;$O36,$E36:$E$392=$E$2)))"),0.0)</f>
        <v>0</v>
      </c>
      <c r="AJ36" s="40">
        <f t="shared" si="8"/>
        <v>0</v>
      </c>
      <c r="AK36" s="41">
        <f>IFERROR(__xludf.DUMMYFUNCTION("iferror($O36-min(filter($O36:$O$392,$E36:$E$392=$E$2)))"),4.0)</f>
        <v>4</v>
      </c>
      <c r="AL36" s="30" t="str">
        <f>IFERROR(__xludf.DUMMYFUNCTION("iferror(join("","",index(sort(filter($F37:$F$392,$O37:$O$392&gt;$O36,$E37:$E$392=$E$2),2,false),0,1)))"),"LSU,Auburn,Florida,Texas A&amp;M,Tennessee,Kentucky")</f>
        <v>LSU,Auburn,Florida,Texas A&amp;M,Tennessee,Kentucky</v>
      </c>
      <c r="AM36" s="30" t="str">
        <f>IFERROR(__xludf.DUMMYFUNCTION("REGEXREPLACE(join("","",unique({let(conf_picked,filter(E$1:E35,D$1:D35=D36), byrow(unique(TRANSPOSe(Teams!$1:$1)),lambda(rw,if(ISERROR(match(rw,conf_picked,0)),rw,))));iferror(if(#REF!,,transpose(split(#REF!,"","",1,1))))})), ""^,"", """")"),"ACC,Big 12,Big Ten,CUSA,MAC,MWC,SEC,Sun Belt,Independent")</f>
        <v>ACC,Big 12,Big Ten,CUSA,MAC,MWC,SEC,Sun Belt,Independent</v>
      </c>
      <c r="AN36" s="39">
        <f>IFERROR(__xludf.DUMMYFUNCTION("iferror($O36-max(filter($O36:$O$392,arrayformula(isnumber(FIND($E36:$E$392,AM36))))))"),-6.0)</f>
        <v>-6</v>
      </c>
      <c r="AO36" s="37">
        <f t="array" ref="AO36">countifs($O$2:$O35,"&lt;"&amp;$O36,isnumber(FIND($E$2:$E35,AM36)),TRUE)</f>
        <v>7</v>
      </c>
      <c r="AP36" s="37">
        <f>IFERROR(__xludf.DUMMYFUNCTION("iferror(COUNT(filter($O37:$O$392,$O37:$O$392&gt;$O36,arrayformula(isnumber(FIND($E37:$E$392,AM36))))))"),34.0)</f>
        <v>34</v>
      </c>
      <c r="AQ36" s="40">
        <f t="shared" si="9"/>
        <v>0</v>
      </c>
      <c r="AR36" s="41">
        <f>IFERROR(__xludf.DUMMYFUNCTION("iferror($O36-min(filter($O36:$O$392,arrayformula(isnumber(FIND($E36:$E$392,AM36))))))"),6.0)</f>
        <v>6</v>
      </c>
      <c r="AS36" s="48" t="str">
        <f>IFERROR(__xludf.DUMMYFUNCTION("iferror(join("","",index(sort(filter($F37:$F$392,$O37:$O$392&gt;$O36,arrayformula(isnumber(FIND($E37:$E$392,AM36)))),2,false),0,1)))"),"Florida Atlantic,Wyoming,Hawaii,Buffalo,Miami-OH,Iowa State,Virginia Tech,LSU,Marshall,Wisconsin,Penn State,Georgia State,Oklahoma State,Auburn,Louisiana Tech,Southern Mississippi,Florida,Baylor,UAB,BYU,Iowa,Texas A&amp;M,Minnesota,Kansas State,Indiana,Wake F"&amp;"orest,Western Kentucky,Virginia,Charlotte,Pittsburgh,Tennessee,Kentucky,Central Michigan,Louisville")</f>
        <v>Florida Atlantic,Wyoming,Hawaii,Buffalo,Miami-OH,Iowa State,Virginia Tech,LSU,Marshall,Wisconsin,Penn State,Georgia State,Oklahoma State,Auburn,Louisiana Tech,Southern Mississippi,Florida,Baylor,UAB,BYU,Iowa,Texas A&amp;M,Minnesota,Kansas State,Indiana,Wake Forest,Western Kentucky,Virginia,Charlotte,Pittsburgh,Tennessee,Kentucky,Central Michigan,Louisville</v>
      </c>
    </row>
    <row r="37">
      <c r="A37" s="131">
        <f t="shared" si="10"/>
        <v>36</v>
      </c>
      <c r="B37" s="131">
        <f t="shared" si="12"/>
        <v>3</v>
      </c>
      <c r="C37" s="131">
        <v>12.0</v>
      </c>
      <c r="D37" s="132" t="str">
        <f t="shared" si="14"/>
        <v>Nick G.</v>
      </c>
      <c r="E37" s="157" t="str">
        <f>if(F37&lt;&gt;"",VLOOKUP(F37,offset('Teams-Conference'!A:B,0,(counta('Draft Order'!B$2:B129)-10)*2),2,0),"")</f>
        <v>CUSA</v>
      </c>
      <c r="F37" s="158" t="s">
        <v>124</v>
      </c>
      <c r="G37" s="131"/>
      <c r="H37" s="29">
        <f t="shared" si="1"/>
        <v>1</v>
      </c>
      <c r="I37" s="29">
        <f t="shared" si="2"/>
        <v>3</v>
      </c>
      <c r="J37" s="29">
        <f t="shared" si="11"/>
        <v>0</v>
      </c>
      <c r="K37" s="29">
        <f t="shared" ref="K37:K38" si="16">countif(E18:E37,E38)</f>
        <v>5</v>
      </c>
      <c r="L37" s="29"/>
      <c r="M37" s="29">
        <f>IFERROR(__xludf.DUMMYFUNCTION("counta(iferror(filter(L$2:L36,E$2:E36=E37,L$2:L36&lt;L37)))"),0.0)</f>
        <v>0</v>
      </c>
      <c r="N37" s="29">
        <f>IFERROR(__xludf.DUMMYFUNCTION("counta(iferror(filter(L38:L$129,E38:E$129=E37,L38:L$131&gt;L37)))"),0.0)</f>
        <v>0</v>
      </c>
      <c r="O37" s="34">
        <f t="array" ref="O37:W37">XLOOKUP(F37,'Current Week'!B:B,'Current Week'!C:N)</f>
        <v>9</v>
      </c>
      <c r="P37" s="29">
        <v>3.0</v>
      </c>
      <c r="Q37" s="30" t="s">
        <v>248</v>
      </c>
      <c r="R37" s="30" t="s">
        <v>255</v>
      </c>
      <c r="S37" s="30" t="s">
        <v>256</v>
      </c>
      <c r="T37" s="30" t="s">
        <v>286</v>
      </c>
      <c r="U37" s="37">
        <v>50.0</v>
      </c>
      <c r="V37" s="37" t="s">
        <v>53</v>
      </c>
      <c r="W37" s="37" t="s">
        <v>256</v>
      </c>
      <c r="X37" s="37"/>
      <c r="Y37" s="37"/>
      <c r="Z37" s="37"/>
      <c r="AA37" s="39">
        <f t="shared" si="3"/>
        <v>-3</v>
      </c>
      <c r="AB37" s="37">
        <f t="shared" si="4"/>
        <v>19</v>
      </c>
      <c r="AC37" s="37">
        <f>IFERROR(__xludf.DUMMYFUNCTION("iferror(COUNT(filter($O38:$O$392,$O38:$O$392&gt;$O37)))"),8.0)</f>
        <v>8</v>
      </c>
      <c r="AD37" s="40">
        <f t="shared" si="5"/>
        <v>0</v>
      </c>
      <c r="AE37" s="41">
        <f t="shared" si="6"/>
        <v>7</v>
      </c>
      <c r="AF37" s="30" t="str">
        <f>IFERROR(__xludf.DUMMYFUNCTION("iferror(join("","",index(sort(filter($F38:$F$393,$O38:$O$393&gt;$O37),2,false),0,1)))"),"SMU,Navy,LSU,Wisconsin,Penn State,Florida,Baylor,Minnesota")</f>
        <v>SMU,Navy,LSU,Wisconsin,Penn State,Florida,Baylor,Minnesota</v>
      </c>
      <c r="AG37" s="39">
        <f>IFERROR(__xludf.DUMMYFUNCTION("iferror($O37-max(filter($O37:$O$392,$E37:$E$392=$E$2)))"),-3.0)</f>
        <v>-3</v>
      </c>
      <c r="AH37" s="37">
        <f t="shared" si="7"/>
        <v>0</v>
      </c>
      <c r="AI37" s="37">
        <f>IFERROR(__xludf.DUMMYFUNCTION("iferror(COUNT(filter($O38:$O$392,$O38:$O$392&gt;$O37,$E37:$E$392=$E$2)))"),0.0)</f>
        <v>0</v>
      </c>
      <c r="AJ37" s="40">
        <f t="shared" si="8"/>
        <v>0</v>
      </c>
      <c r="AK37" s="41">
        <f>IFERROR(__xludf.DUMMYFUNCTION("iferror($O37-min(filter($O37:$O$392,$E37:$E$392=$E$2)))"),7.0)</f>
        <v>7</v>
      </c>
      <c r="AL37" s="30" t="str">
        <f>IFERROR(__xludf.DUMMYFUNCTION("iferror(join("","",index(sort(filter($F38:$F$392,$O38:$O$392&gt;$O37,$E38:$E$392=$E$2),2,false),0,1)))"),"LSU,Florida")</f>
        <v>LSU,Florida</v>
      </c>
      <c r="AM37" s="30" t="str">
        <f>IFERROR(__xludf.DUMMYFUNCTION("REGEXREPLACE(join("","",unique({let(conf_picked,filter(E$1:E36,D$1:D36=D37), byrow(unique(TRANSPOSe(Teams!$1:$1)),lambda(rw,if(ISERROR(match(rw,conf_picked,0)),rw,))));iferror(if(#REF!,,transpose(split(#REF!,"","",1,1))))})), ""^,"", """")"),"AAC,ACC,Big 12,,CUSA,MAC,MWC,Pac12,SEC,Independent")</f>
        <v>AAC,ACC,Big 12,,CUSA,MAC,MWC,Pac12,SEC,Independent</v>
      </c>
      <c r="AN37" s="39">
        <f>IFERROR(__xludf.DUMMYFUNCTION("iferror($O37-max(filter($O37:$O$392,arrayformula(isnumber(FIND($E37:$E$392,AM37))))))"),-3.0)</f>
        <v>-3</v>
      </c>
      <c r="AO37" s="37">
        <f t="array" ref="AO37">countifs($O$2:$O36,"&lt;"&amp;$O37,isnumber(FIND($E$2:$E36,AM37)),TRUE)</f>
        <v>13</v>
      </c>
      <c r="AP37" s="37">
        <f>IFERROR(__xludf.DUMMYFUNCTION("iferror(COUNT(filter($O38:$O$392,$O38:$O$392&gt;$O37,arrayformula(isnumber(FIND($E38:$E$392,AM37))))))"),5.0)</f>
        <v>5</v>
      </c>
      <c r="AQ37" s="40">
        <f t="shared" si="9"/>
        <v>0</v>
      </c>
      <c r="AR37" s="41">
        <f>IFERROR(__xludf.DUMMYFUNCTION("iferror($O37-min(filter($O37:$O$392,arrayformula(isnumber(FIND($E37:$E$392,AM37))))))"),9.0)</f>
        <v>9</v>
      </c>
      <c r="AS37" s="48" t="str">
        <f>IFERROR(__xludf.DUMMYFUNCTION("iferror(join("","",index(sort(filter($F38:$F$392,$O38:$O$392&gt;$O37,arrayformula(isnumber(FIND($E38:$E$392,AM37)))),2,false),0,1)))"),"SMU,Navy,LSU,Florida,Baylor")</f>
        <v>SMU,Navy,LSU,Florida,Baylor</v>
      </c>
    </row>
    <row r="38">
      <c r="A38" s="1">
        <f t="shared" si="10"/>
        <v>37</v>
      </c>
      <c r="B38" s="1">
        <f t="shared" si="12"/>
        <v>4</v>
      </c>
      <c r="C38" s="1">
        <v>1.0</v>
      </c>
      <c r="D38" s="135" t="str">
        <f>D37</f>
        <v>Nick G.</v>
      </c>
      <c r="E38" s="52" t="str">
        <f>if(F38&lt;&gt;"",VLOOKUP(F38,offset('Teams-Conference'!A:B,0,(counta('Draft Order'!B$2:B129)-10)*2),2,0),"")</f>
        <v>MWC</v>
      </c>
      <c r="F38" s="163" t="s">
        <v>160</v>
      </c>
      <c r="H38" s="29">
        <f t="shared" si="1"/>
        <v>1</v>
      </c>
      <c r="I38" s="29">
        <f t="shared" si="2"/>
        <v>3</v>
      </c>
      <c r="J38" s="29">
        <f t="shared" si="11"/>
        <v>3</v>
      </c>
      <c r="K38" s="29">
        <f t="shared" si="16"/>
        <v>2</v>
      </c>
      <c r="L38" s="29"/>
      <c r="M38" s="29">
        <f>IFERROR(__xludf.DUMMYFUNCTION("counta(iferror(filter(L$2:L37,E$2:E37=E38,L$2:L37&lt;L38)))"),0.0)</f>
        <v>0</v>
      </c>
      <c r="N38" s="29">
        <f>IFERROR(__xludf.DUMMYFUNCTION("counta(iferror(filter(L39:L$129,E39:E$129=E38,L39:L$131&gt;L38)))"),0.0)</f>
        <v>0</v>
      </c>
      <c r="O38" s="34">
        <f t="array" ref="O38:W38">XLOOKUP(F38,'Current Week'!B:B,'Current Week'!C:N)</f>
        <v>7</v>
      </c>
      <c r="P38" s="29">
        <v>5.0</v>
      </c>
      <c r="Q38" s="30" t="s">
        <v>242</v>
      </c>
      <c r="R38" s="30" t="s">
        <v>202</v>
      </c>
      <c r="S38" s="30"/>
      <c r="T38" s="30" t="s">
        <v>203</v>
      </c>
      <c r="U38" s="37" t="s">
        <v>203</v>
      </c>
      <c r="V38" s="37"/>
      <c r="W38" s="37">
        <v>9999.0</v>
      </c>
      <c r="X38" s="37"/>
      <c r="Y38" s="37"/>
      <c r="Z38" s="37"/>
      <c r="AA38" s="39">
        <f t="shared" si="3"/>
        <v>-5</v>
      </c>
      <c r="AB38" s="37">
        <f t="shared" si="4"/>
        <v>13</v>
      </c>
      <c r="AC38" s="37">
        <f>IFERROR(__xludf.DUMMYFUNCTION("iferror(COUNT(filter($O39:$O$392,$O39:$O$392&gt;$O38)))"),25.0)</f>
        <v>25</v>
      </c>
      <c r="AD38" s="40">
        <f t="shared" si="5"/>
        <v>0</v>
      </c>
      <c r="AE38" s="41">
        <f t="shared" si="6"/>
        <v>5</v>
      </c>
      <c r="AF38" s="30" t="str">
        <f>IFERROR(__xludf.DUMMYFUNCTION("iferror(join("","",index(sort(filter($F39:$F$393,$O39:$O$393&gt;$O38),2,false),0,1)))"),"Temple,Hawaii,SMU,Navy,Virginia Tech,LSU,Marshall,Wisconsin,Penn State,USC,Oklahoma State,Auburn,Louisiana Tech,Florida,Baylor,UAB,Iowa,Minnesota,Kansas State,Indiana,Wake Forest,Western Kentucky,Virginia,Central Michigan,Louisville")</f>
        <v>Temple,Hawaii,SMU,Navy,Virginia Tech,LSU,Marshall,Wisconsin,Penn State,USC,Oklahoma State,Auburn,Louisiana Tech,Florida,Baylor,UAB,Iowa,Minnesota,Kansas State,Indiana,Wake Forest,Western Kentucky,Virginia,Central Michigan,Louisville</v>
      </c>
      <c r="AG38" s="39">
        <f>IFERROR(__xludf.DUMMYFUNCTION("iferror($O38-max(filter($O38:$O$392,$E38:$E$392=$E$2)))"),-5.0)</f>
        <v>-5</v>
      </c>
      <c r="AH38" s="37">
        <f t="shared" si="7"/>
        <v>0</v>
      </c>
      <c r="AI38" s="37">
        <f>IFERROR(__xludf.DUMMYFUNCTION("iferror(COUNT(filter($O39:$O$392,$O39:$O$392&gt;$O38,$E38:$E$392=$E$2)))"),0.0)</f>
        <v>0</v>
      </c>
      <c r="AJ38" s="40">
        <f t="shared" si="8"/>
        <v>0</v>
      </c>
      <c r="AK38" s="41">
        <f>IFERROR(__xludf.DUMMYFUNCTION("iferror($O38-min(filter($O38:$O$392,$E38:$E$392=$E$2)))"),5.0)</f>
        <v>5</v>
      </c>
      <c r="AL38" s="30" t="str">
        <f>IFERROR(__xludf.DUMMYFUNCTION("iferror(join("","",index(sort(filter($F39:$F$392,$O39:$O$392&gt;$O38,$E39:$E$392=$E$2),2,false),0,1)))"),"LSU,Auburn,Florida")</f>
        <v>LSU,Auburn,Florida</v>
      </c>
      <c r="AM38" s="30" t="str">
        <f>IFERROR(__xludf.DUMMYFUNCTION("REGEXREPLACE(join("","",unique({let(conf_picked,filter(E$1:E37,D$1:D37=D38), byrow(unique(TRANSPOSe(Teams!$1:$1)),lambda(rw,if(ISERROR(match(rw,conf_picked,0)),rw,))));iferror(if(#REF!,,transpose(split(#REF!,"","",1,1))))})), ""^,"", """")"),"AAC,ACC,Big 12,,MAC,MWC,Pac12,SEC,Independent")</f>
        <v>AAC,ACC,Big 12,,MAC,MWC,Pac12,SEC,Independent</v>
      </c>
      <c r="AN38" s="39">
        <f>IFERROR(__xludf.DUMMYFUNCTION("iferror($O38-max(filter($O38:$O$392,arrayformula(isnumber(FIND($E38:$E$392,AM38))))))"),-5.0)</f>
        <v>-5</v>
      </c>
      <c r="AO38" s="37">
        <f t="array" ref="AO38">countifs($O$2:$O37,"&lt;"&amp;$O38,isnumber(FIND($E$2:$E37,AM38)),TRUE)</f>
        <v>8</v>
      </c>
      <c r="AP38" s="37">
        <f>IFERROR(__xludf.DUMMYFUNCTION("iferror(COUNT(filter($O39:$O$392,$O39:$O$392&gt;$O38,arrayformula(isnumber(FIND($E39:$E$392,AM38))))))"),16.0)</f>
        <v>16</v>
      </c>
      <c r="AQ38" s="40">
        <f t="shared" si="9"/>
        <v>0</v>
      </c>
      <c r="AR38" s="41">
        <f>IFERROR(__xludf.DUMMYFUNCTION("iferror($O38-min(filter($O38:$O$392,arrayformula(isnumber(FIND($E38:$E$392,AM38))))))"),7.0)</f>
        <v>7</v>
      </c>
      <c r="AS38" s="48" t="str">
        <f>IFERROR(__xludf.DUMMYFUNCTION("iferror(join("","",index(sort(filter($F39:$F$392,$O39:$O$392&gt;$O38,arrayformula(isnumber(FIND($E39:$E$392,AM38)))),2,false),0,1)))"),"Temple,Hawaii,SMU,Navy,Virginia Tech,LSU,USC,Oklahoma State,Auburn,Florida,Baylor,Kansas State,Wake Forest,Virginia,Central Michigan,Louisville")</f>
        <v>Temple,Hawaii,SMU,Navy,Virginia Tech,LSU,USC,Oklahoma State,Auburn,Florida,Baylor,Kansas State,Wake Forest,Virginia,Central Michigan,Louisville</v>
      </c>
    </row>
    <row r="39">
      <c r="A39" s="1">
        <f t="shared" si="10"/>
        <v>38</v>
      </c>
      <c r="B39" s="1">
        <f t="shared" si="12"/>
        <v>4</v>
      </c>
      <c r="C39" s="1">
        <v>2.0</v>
      </c>
      <c r="D39" s="56" t="str">
        <f>D36</f>
        <v>Brad</v>
      </c>
      <c r="E39" s="52" t="str">
        <f>if(F39&lt;&gt;"",VLOOKUP(F39,offset('Teams-Conference'!A:B,0,(counta('Draft Order'!B$2:B129)-10)*2),2,0),"")</f>
        <v>MAC</v>
      </c>
      <c r="F39" s="17" t="s">
        <v>142</v>
      </c>
      <c r="H39" s="29">
        <f t="shared" si="1"/>
        <v>2</v>
      </c>
      <c r="I39" s="29">
        <f t="shared" si="2"/>
        <v>2</v>
      </c>
      <c r="J39" s="29">
        <f t="shared" si="11"/>
        <v>1</v>
      </c>
      <c r="K39" s="29">
        <f>countif(E20:E39,E41)</f>
        <v>6</v>
      </c>
      <c r="L39" s="29"/>
      <c r="M39" s="29">
        <f>IFERROR(__xludf.DUMMYFUNCTION("counta(iferror(filter(L$2:L38,E$2:E38=E39,L$2:L38&lt;L39)))"),0.0)</f>
        <v>0</v>
      </c>
      <c r="N39" s="29">
        <f>IFERROR(__xludf.DUMMYFUNCTION("counta(iferror(filter(L40:L$129,E40:E$129=E39,L40:L$131&gt;L39)))"),0.0)</f>
        <v>0</v>
      </c>
      <c r="O39" s="34">
        <f t="array" ref="O39:W39">XLOOKUP(F39,'Current Week'!B:B,'Current Week'!C:N)</f>
        <v>6</v>
      </c>
      <c r="P39" s="29">
        <v>6.0</v>
      </c>
      <c r="Q39" s="30" t="s">
        <v>248</v>
      </c>
      <c r="R39" s="30" t="s">
        <v>202</v>
      </c>
      <c r="S39" s="30"/>
      <c r="T39" s="30" t="s">
        <v>203</v>
      </c>
      <c r="U39" s="37" t="s">
        <v>203</v>
      </c>
      <c r="V39" s="37"/>
      <c r="W39" s="37">
        <v>9999.0</v>
      </c>
      <c r="X39" s="37"/>
      <c r="Y39" s="37"/>
      <c r="Z39" s="37"/>
      <c r="AA39" s="39">
        <f t="shared" si="3"/>
        <v>-6</v>
      </c>
      <c r="AB39" s="37">
        <f t="shared" si="4"/>
        <v>9</v>
      </c>
      <c r="AC39" s="37">
        <f>IFERROR(__xludf.DUMMYFUNCTION("iferror(COUNT(filter($O40:$O$392,$O40:$O$392&gt;$O39)))"),38.0)</f>
        <v>38</v>
      </c>
      <c r="AD39" s="40">
        <f t="shared" si="5"/>
        <v>0</v>
      </c>
      <c r="AE39" s="41">
        <f t="shared" si="6"/>
        <v>4</v>
      </c>
      <c r="AF39" s="30" t="str">
        <f>IFERROR(__xludf.DUMMYFUNCTION("iferror(join("","",index(sort(filter($F40:$F$393,$O40:$O$393&gt;$O39),2,false),0,1)))"),"Temple,Hawaii,Buffalo,SMU,Miami-OH,Navy,Iowa State,Virginia Tech,LSU,Marshall,Wisconsin,Penn State,Georgia State,USC,Oklahoma State,Auburn,Louisiana Tech,Southern Mississippi,Florida,Baylor,UAB,Arizona State,California,BYU,Iowa,Texas A&amp;M,Minnesota,Kansas "&amp;"State,Indiana,Wake Forest,Western Kentucky,Virginia,Charlotte,Pittsburgh,Tennessee,Kentucky,Central Michigan,Louisville")</f>
        <v>Temple,Hawaii,Buffalo,SMU,Miami-OH,Navy,Iowa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39" s="39">
        <f>IFERROR(__xludf.DUMMYFUNCTION("iferror($O39-max(filter($O39:$O$392,$E39:$E$392=$E$2)))"),-6.0)</f>
        <v>-6</v>
      </c>
      <c r="AH39" s="37">
        <f t="shared" si="7"/>
        <v>0</v>
      </c>
      <c r="AI39" s="37">
        <f>IFERROR(__xludf.DUMMYFUNCTION("iferror(COUNT(filter($O40:$O$392,$O40:$O$392&gt;$O39,$E39:$E$392=$E$2)))"),0.0)</f>
        <v>0</v>
      </c>
      <c r="AJ39" s="40">
        <f t="shared" si="8"/>
        <v>0</v>
      </c>
      <c r="AK39" s="41">
        <f>IFERROR(__xludf.DUMMYFUNCTION("iferror($O39-min(filter($O39:$O$392,$E39:$E$392=$E$2)))"),4.0)</f>
        <v>4</v>
      </c>
      <c r="AL39" s="30" t="str">
        <f>IFERROR(__xludf.DUMMYFUNCTION("iferror(join("","",index(sort(filter($F40:$F$392,$O40:$O$392&gt;$O39,$E40:$E$392=$E$2),2,false),0,1)))"),"LSU,Auburn,Florida,Texas A&amp;M,Tennessee,Kentucky")</f>
        <v>LSU,Auburn,Florida,Texas A&amp;M,Tennessee,Kentucky</v>
      </c>
      <c r="AM39" s="30" t="str">
        <f>IFERROR(__xludf.DUMMYFUNCTION("REGEXREPLACE(join("","",unique({let(conf_picked,filter(E$1:E38,D$1:D38=D39), byrow(unique(TRANSPOSe(Teams!$1:$1)),lambda(rw,if(ISERROR(match(rw,conf_picked,0)),rw,))));iferror(if(#REF!,,transpose(split(#REF!,"","",1,1))))})), ""^,"", """")"),"Big 12,Big Ten,CUSA,MAC,MWC,SEC,Sun Belt,Independent")</f>
        <v>Big 12,Big Ten,CUSA,MAC,MWC,SEC,Sun Belt,Independent</v>
      </c>
      <c r="AN39" s="39">
        <f>IFERROR(__xludf.DUMMYFUNCTION("iferror($O39-max(filter($O39:$O$392,arrayformula(isnumber(FIND($E39:$E$392,AM39))))))"),-6.0)</f>
        <v>-6</v>
      </c>
      <c r="AO39" s="37">
        <f t="array" ref="AO39">countifs($O$2:$O38,"&lt;"&amp;$O39,isnumber(FIND($E$2:$E38,AM39)),TRUE)</f>
        <v>7</v>
      </c>
      <c r="AP39" s="37">
        <f>IFERROR(__xludf.DUMMYFUNCTION("iferror(COUNT(filter($O40:$O$392,$O40:$O$392&gt;$O39,arrayformula(isnumber(FIND($E40:$E$392,AM39))))))"),27.0)</f>
        <v>27</v>
      </c>
      <c r="AQ39" s="40">
        <f t="shared" si="9"/>
        <v>0</v>
      </c>
      <c r="AR39" s="41">
        <f>IFERROR(__xludf.DUMMYFUNCTION("iferror($O39-min(filter($O39:$O$392,arrayformula(isnumber(FIND($E39:$E$392,AM39))))))"),6.0)</f>
        <v>6</v>
      </c>
      <c r="AS39" s="48" t="str">
        <f>IFERROR(__xludf.DUMMYFUNCTION("iferror(join("","",index(sort(filter($F40:$F$392,$O40:$O$392&gt;$O39,arrayformula(isnumber(FIND($E40:$E$392,AM39)))),2,false),0,1)))"),"Hawaii,Buffalo,Miami-OH,Iowa State,LSU,Marshall,Wisconsin,Penn State,Georgia State,Oklahoma State,Auburn,Louisiana Tech,Southern Mississippi,Florida,Baylor,UAB,BYU,Iowa,Texas A&amp;M,Minnesota,Kansas State,Indiana,Western Kentucky,Charlotte,Tennessee,Kentucky"&amp;",Central Michigan")</f>
        <v>Hawaii,Buffalo,Miami-OH,Iowa State,LSU,Marshall,Wisconsin,Penn State,Georgia State,Oklahoma State,Auburn,Louisiana Tech,Southern Mississippi,Florida,Baylor,UAB,BYU,Iowa,Texas A&amp;M,Minnesota,Kansas State,Indiana,Western Kentucky,Charlotte,Tennessee,Kentucky,Central Michigan</v>
      </c>
    </row>
    <row r="40">
      <c r="A40" s="1">
        <f t="shared" si="10"/>
        <v>39</v>
      </c>
      <c r="B40" s="1">
        <f t="shared" si="12"/>
        <v>4</v>
      </c>
      <c r="C40" s="1">
        <v>3.0</v>
      </c>
      <c r="D40" s="56" t="str">
        <f>D35</f>
        <v>Josh R.</v>
      </c>
      <c r="E40" s="52" t="str">
        <f>if(F40&lt;&gt;"",VLOOKUP(F40,offset('Teams-Conference'!A:B,0,(counta('Draft Order'!B$2:B129)-10)*2),2,0),"")</f>
        <v>AAC</v>
      </c>
      <c r="F40" s="1" t="s">
        <v>49</v>
      </c>
      <c r="H40" s="29">
        <f t="shared" si="1"/>
        <v>3</v>
      </c>
      <c r="I40" s="29">
        <f t="shared" si="2"/>
        <v>3</v>
      </c>
      <c r="J40" s="29">
        <f t="shared" si="11"/>
        <v>3</v>
      </c>
      <c r="K40" s="30"/>
      <c r="L40" s="29"/>
      <c r="M40" s="29">
        <f>IFERROR(__xludf.DUMMYFUNCTION("counta(iferror(filter(L$2:L39,E$2:E39=E40,L$2:L39&lt;L40)))"),0.0)</f>
        <v>0</v>
      </c>
      <c r="N40" s="29">
        <f>IFERROR(__xludf.DUMMYFUNCTION("counta(iferror(filter(L41:L$129,E41:E$129=E40,L41:L$131&gt;L40)))"),0.0)</f>
        <v>0</v>
      </c>
      <c r="O40" s="34">
        <f t="array" ref="O40:W40">XLOOKUP(F40,'Current Week'!B:B,'Current Week'!C:N)</f>
        <v>8</v>
      </c>
      <c r="P40" s="29">
        <v>4.0</v>
      </c>
      <c r="Q40" s="30" t="s">
        <v>242</v>
      </c>
      <c r="R40" s="35" t="s">
        <v>202</v>
      </c>
      <c r="S40" s="30"/>
      <c r="T40" s="30" t="s">
        <v>203</v>
      </c>
      <c r="U40" s="37" t="s">
        <v>203</v>
      </c>
      <c r="V40" s="37"/>
      <c r="W40" s="37">
        <v>9999.0</v>
      </c>
      <c r="X40" s="37"/>
      <c r="Y40" s="37"/>
      <c r="Z40" s="37"/>
      <c r="AA40" s="39">
        <f t="shared" si="3"/>
        <v>-4</v>
      </c>
      <c r="AB40" s="37">
        <f t="shared" si="4"/>
        <v>21</v>
      </c>
      <c r="AC40" s="37">
        <f>IFERROR(__xludf.DUMMYFUNCTION("iferror(COUNT(filter($O41:$O$392,$O41:$O$392&gt;$O40)))"),14.0)</f>
        <v>14</v>
      </c>
      <c r="AD40" s="40">
        <f t="shared" si="5"/>
        <v>0</v>
      </c>
      <c r="AE40" s="41">
        <f t="shared" si="6"/>
        <v>6</v>
      </c>
      <c r="AF40" s="30" t="str">
        <f>IFERROR(__xludf.DUMMYFUNCTION("iferror(join("","",index(sort(filter($F41:$F$393,$O41:$O$393&gt;$O40),2,false),0,1)))"),"Hawaii,SMU,Navy,LSU,Wisconsin,Penn State,Auburn,Louisiana Tech,Florida,Baylor,UAB,Iowa,Minnesota,Virginia")</f>
        <v>Hawaii,SMU,Navy,LSU,Wisconsin,Penn State,Auburn,Louisiana Tech,Florida,Baylor,UAB,Iowa,Minnesota,Virginia</v>
      </c>
      <c r="AG40" s="39">
        <f>IFERROR(__xludf.DUMMYFUNCTION("iferror($O40-max(filter($O40:$O$392,$E40:$E$392=$E$2)))"),-4.0)</f>
        <v>-4</v>
      </c>
      <c r="AH40" s="37">
        <f t="shared" si="7"/>
        <v>0</v>
      </c>
      <c r="AI40" s="37">
        <f>IFERROR(__xludf.DUMMYFUNCTION("iferror(COUNT(filter($O41:$O$392,$O41:$O$392&gt;$O40,$E40:$E$392=$E$2)))"),0.0)</f>
        <v>0</v>
      </c>
      <c r="AJ40" s="40">
        <f t="shared" si="8"/>
        <v>0</v>
      </c>
      <c r="AK40" s="41">
        <f>IFERROR(__xludf.DUMMYFUNCTION("iferror($O40-min(filter($O40:$O$392,$E40:$E$392=$E$2)))"),6.0)</f>
        <v>6</v>
      </c>
      <c r="AL40" s="30" t="str">
        <f>IFERROR(__xludf.DUMMYFUNCTION("iferror(join("","",index(sort(filter($F41:$F$392,$O41:$O$392&gt;$O40,$E41:$E$392=$E$2),2,false),0,1)))"),"LSU,Auburn,Florida")</f>
        <v>LSU,Auburn,Florida</v>
      </c>
      <c r="AM40" s="30" t="str">
        <f>IFERROR(__xludf.DUMMYFUNCTION("REGEXREPLACE(join("","",unique({let(conf_picked,filter(E$1:E39,D$1:D39=D40), byrow(unique(TRANSPOSe(Teams!$1:$1)),lambda(rw,if(ISERROR(match(rw,conf_picked,0)),rw,))));iferror(if(#REF!,,transpose(split(#REF!,"","",1,1))))})), ""^,"", """")"),"AAC,ACC,Big 12,Big Ten,CUSA,,Pac12,SEC,Independent")</f>
        <v>AAC,ACC,Big 12,Big Ten,CUSA,,Pac12,SEC,Independent</v>
      </c>
      <c r="AN40" s="39">
        <f>IFERROR(__xludf.DUMMYFUNCTION("iferror($O40-max(filter($O40:$O$392,arrayformula(isnumber(FIND($E40:$E$392,AM40))))))"),-4.0)</f>
        <v>-4</v>
      </c>
      <c r="AO40" s="37">
        <f t="array" ref="AO40">countifs($O$2:$O39,"&lt;"&amp;$O40,isnumber(FIND($E$2:$E39,AM40)),TRUE)</f>
        <v>6</v>
      </c>
      <c r="AP40" s="37">
        <f>IFERROR(__xludf.DUMMYFUNCTION("iferror(COUNT(filter($O41:$O$392,$O41:$O$392&gt;$O40,arrayformula(isnumber(FIND($E41:$E$392,AM40))))))"),13.0)</f>
        <v>13</v>
      </c>
      <c r="AQ40" s="40">
        <f t="shared" si="9"/>
        <v>0</v>
      </c>
      <c r="AR40" s="41">
        <f>IFERROR(__xludf.DUMMYFUNCTION("iferror($O40-min(filter($O40:$O$392,arrayformula(isnumber(FIND($E40:$E$392,AM40))))))"),7.0)</f>
        <v>7</v>
      </c>
      <c r="AS40" s="48" t="str">
        <f>IFERROR(__xludf.DUMMYFUNCTION("iferror(join("","",index(sort(filter($F41:$F$392,$O41:$O$392&gt;$O40,arrayformula(isnumber(FIND($E41:$E$392,AM40)))),2,false),0,1)))"),"SMU,Navy,LSU,Wisconsin,Penn State,Auburn,Louisiana Tech,Florida,Baylor,UAB,Iowa,Minnesota,Virginia")</f>
        <v>SMU,Navy,LSU,Wisconsin,Penn State,Auburn,Louisiana Tech,Florida,Baylor,UAB,Iowa,Minnesota,Virginia</v>
      </c>
    </row>
    <row r="41">
      <c r="A41" s="1">
        <f t="shared" si="10"/>
        <v>40</v>
      </c>
      <c r="B41" s="1">
        <f t="shared" si="12"/>
        <v>4</v>
      </c>
      <c r="C41" s="1">
        <v>4.0</v>
      </c>
      <c r="D41" s="56" t="str">
        <f>D34</f>
        <v>Vu</v>
      </c>
      <c r="E41" s="52" t="str">
        <f>if(F41&lt;&gt;"",VLOOKUP(F41,offset('Teams-Conference'!A:B,0,(counta('Draft Order'!B$2:B129)-10)*2),2,0),"")</f>
        <v>MWC</v>
      </c>
      <c r="F41" s="1" t="s">
        <v>153</v>
      </c>
      <c r="H41" s="29">
        <f t="shared" si="1"/>
        <v>0</v>
      </c>
      <c r="I41" s="29">
        <f t="shared" si="2"/>
        <v>2</v>
      </c>
      <c r="J41" s="29">
        <f t="shared" si="11"/>
        <v>3</v>
      </c>
      <c r="K41" s="29">
        <f t="shared" ref="K41:K46" si="17">countif(E21:E41,E42)</f>
        <v>1</v>
      </c>
      <c r="L41" s="29"/>
      <c r="M41" s="29">
        <f>IFERROR(__xludf.DUMMYFUNCTION("counta(iferror(filter(L$2:L40,E$2:E40=E41,L$2:L40&lt;L41)))"),0.0)</f>
        <v>0</v>
      </c>
      <c r="N41" s="29">
        <f>IFERROR(__xludf.DUMMYFUNCTION("counta(iferror(filter(L42:L$129,E42:E$129=E41,L42:L$131&gt;L41)))"),0.0)</f>
        <v>0</v>
      </c>
      <c r="O41" s="34">
        <f t="array" ref="O41:W41">XLOOKUP(F41,'Current Week'!B:B,'Current Week'!C:N)</f>
        <v>9</v>
      </c>
      <c r="P41" s="29">
        <v>4.0</v>
      </c>
      <c r="Q41" s="30" t="s">
        <v>284</v>
      </c>
      <c r="R41" s="35" t="s">
        <v>224</v>
      </c>
      <c r="S41" s="30" t="s">
        <v>225</v>
      </c>
      <c r="T41" s="30" t="s">
        <v>274</v>
      </c>
      <c r="U41" s="37">
        <v>64.0</v>
      </c>
      <c r="V41" s="37" t="s">
        <v>44</v>
      </c>
      <c r="W41" s="37" t="s">
        <v>225</v>
      </c>
      <c r="X41" s="37"/>
      <c r="Y41" s="37"/>
      <c r="Z41" s="37"/>
      <c r="AA41" s="39">
        <f t="shared" si="3"/>
        <v>-3</v>
      </c>
      <c r="AB41" s="37">
        <f t="shared" si="4"/>
        <v>22</v>
      </c>
      <c r="AC41" s="37">
        <f>IFERROR(__xludf.DUMMYFUNCTION("iferror(COUNT(filter($O42:$O$392,$O42:$O$392&gt;$O41)))"),8.0)</f>
        <v>8</v>
      </c>
      <c r="AD41" s="40">
        <f t="shared" si="5"/>
        <v>0</v>
      </c>
      <c r="AE41" s="41">
        <f t="shared" si="6"/>
        <v>7</v>
      </c>
      <c r="AF41" s="30" t="str">
        <f>IFERROR(__xludf.DUMMYFUNCTION("iferror(join("","",index(sort(filter($F42:$F$393,$O42:$O$393&gt;$O41),2,false),0,1)))"),"SMU,Navy,LSU,Wisconsin,Penn State,Florida,Baylor,Minnesota")</f>
        <v>SMU,Navy,LSU,Wisconsin,Penn State,Florida,Baylor,Minnesota</v>
      </c>
      <c r="AG41" s="39">
        <f>IFERROR(__xludf.DUMMYFUNCTION("iferror($O41-max(filter($O41:$O$392,$E41:$E$392=$E$2)))"),-3.0)</f>
        <v>-3</v>
      </c>
      <c r="AH41" s="37">
        <f t="shared" si="7"/>
        <v>0</v>
      </c>
      <c r="AI41" s="37">
        <f>IFERROR(__xludf.DUMMYFUNCTION("iferror(COUNT(filter($O42:$O$392,$O42:$O$392&gt;$O41,$E41:$E$392=$E$2)))"),0.0)</f>
        <v>0</v>
      </c>
      <c r="AJ41" s="40">
        <f t="shared" si="8"/>
        <v>0</v>
      </c>
      <c r="AK41" s="41">
        <f>IFERROR(__xludf.DUMMYFUNCTION("iferror($O41-min(filter($O41:$O$392,$E41:$E$392=$E$2)))"),7.0)</f>
        <v>7</v>
      </c>
      <c r="AL41" s="30" t="str">
        <f>IFERROR(__xludf.DUMMYFUNCTION("iferror(join("","",index(sort(filter($F42:$F$392,$O42:$O$392&gt;$O41,$E42:$E$392=$E$2),2,false),0,1)))"),"LSU,Florida")</f>
        <v>LSU,Florida</v>
      </c>
      <c r="AM41" s="30" t="str">
        <f>IFERROR(__xludf.DUMMYFUNCTION("REGEXREPLACE(join("","",unique({let(conf_picked,filter(E$1:E40,D$1:D40=D41), byrow(unique(TRANSPOSe(Teams!$1:$1)),lambda(rw,if(ISERROR(match(rw,conf_picked,0)),rw,))));iferror(if(#REF!,,transpose(split(#REF!,"","",1,1))))})), ""^,"", """")"),"ACC,Big 12,CUSA,MAC,MWC,SEC,Sun Belt,Independent")</f>
        <v>ACC,Big 12,CUSA,MAC,MWC,SEC,Sun Belt,Independent</v>
      </c>
      <c r="AN41" s="39">
        <f>IFERROR(__xludf.DUMMYFUNCTION("iferror($O41-max(filter($O41:$O$392,arrayformula(isnumber(FIND($E41:$E$392,AM41))))))"),-3.0)</f>
        <v>-3</v>
      </c>
      <c r="AO41" s="37">
        <f t="array" ref="AO41">countifs($O$2:$O40,"&lt;"&amp;$O41,isnumber(FIND($E$2:$E40,AM41)),TRUE)</f>
        <v>17</v>
      </c>
      <c r="AP41" s="37">
        <f>IFERROR(__xludf.DUMMYFUNCTION("iferror(COUNT(filter($O42:$O$392,$O42:$O$392&gt;$O41,arrayformula(isnumber(FIND($E42:$E$392,AM41))))))"),3.0)</f>
        <v>3</v>
      </c>
      <c r="AQ41" s="40">
        <f t="shared" si="9"/>
        <v>0</v>
      </c>
      <c r="AR41" s="41">
        <f>IFERROR(__xludf.DUMMYFUNCTION("iferror($O41-min(filter($O41:$O$392,arrayformula(isnumber(FIND($E41:$E$392,AM41))))))"),9.0)</f>
        <v>9</v>
      </c>
      <c r="AS41" s="48" t="str">
        <f>IFERROR(__xludf.DUMMYFUNCTION("iferror(join("","",index(sort(filter($F42:$F$392,$O42:$O$392&gt;$O41,arrayformula(isnumber(FIND($E42:$E$392,AM41)))),2,false),0,1)))"),"LSU,Florida,Baylor")</f>
        <v>LSU,Florida,Baylor</v>
      </c>
    </row>
    <row r="42">
      <c r="A42" s="1">
        <f t="shared" si="10"/>
        <v>41</v>
      </c>
      <c r="B42" s="1">
        <f t="shared" si="12"/>
        <v>4</v>
      </c>
      <c r="C42" s="1">
        <v>5.0</v>
      </c>
      <c r="D42" s="56" t="str">
        <f>D33</f>
        <v>Adam</v>
      </c>
      <c r="E42" s="52" t="str">
        <f>if(F42&lt;&gt;"",VLOOKUP(F42,offset('Teams-Conference'!A:B,0,(counta('Draft Order'!B$2:B129)-10)*2),2,0),"")</f>
        <v>CUSA</v>
      </c>
      <c r="F42" s="45" t="s">
        <v>123</v>
      </c>
      <c r="H42" s="29">
        <f t="shared" si="1"/>
        <v>1</v>
      </c>
      <c r="I42" s="29">
        <f t="shared" si="2"/>
        <v>4</v>
      </c>
      <c r="J42" s="29">
        <f t="shared" si="11"/>
        <v>1</v>
      </c>
      <c r="K42" s="29">
        <f t="shared" si="17"/>
        <v>2</v>
      </c>
      <c r="L42" s="29"/>
      <c r="M42" s="29">
        <f>IFERROR(__xludf.DUMMYFUNCTION("counta(iferror(filter(L$2:L41,E$2:E41=E42,L$2:L41&lt;L42)))"),0.0)</f>
        <v>0</v>
      </c>
      <c r="N42" s="29">
        <f>IFERROR(__xludf.DUMMYFUNCTION("counta(iferror(filter(L43:L$129,E43:E$129=E42,L43:L$131&gt;L42)))"),0.0)</f>
        <v>0</v>
      </c>
      <c r="O42" s="34">
        <f t="array" ref="O42:W42">XLOOKUP(F42,'Current Week'!B:B,'Current Week'!C:N)</f>
        <v>6</v>
      </c>
      <c r="P42" s="29">
        <v>6.0</v>
      </c>
      <c r="Q42" s="30" t="s">
        <v>248</v>
      </c>
      <c r="R42" s="30" t="s">
        <v>202</v>
      </c>
      <c r="S42" s="30"/>
      <c r="T42" s="30" t="s">
        <v>203</v>
      </c>
      <c r="U42" s="37" t="s">
        <v>203</v>
      </c>
      <c r="V42" s="37"/>
      <c r="W42" s="37">
        <v>9999.0</v>
      </c>
      <c r="X42" s="37"/>
      <c r="Y42" s="37"/>
      <c r="Z42" s="37"/>
      <c r="AA42" s="39">
        <f t="shared" si="3"/>
        <v>-6</v>
      </c>
      <c r="AB42" s="37">
        <f t="shared" si="4"/>
        <v>9</v>
      </c>
      <c r="AC42" s="37">
        <f>IFERROR(__xludf.DUMMYFUNCTION("iferror(COUNT(filter($O43:$O$392,$O43:$O$392&gt;$O42)))"),36.0)</f>
        <v>36</v>
      </c>
      <c r="AD42" s="40">
        <f t="shared" si="5"/>
        <v>0</v>
      </c>
      <c r="AE42" s="41">
        <f t="shared" si="6"/>
        <v>4</v>
      </c>
      <c r="AF42" s="30" t="str">
        <f>IFERROR(__xludf.DUMMYFUNCTION("iferror(join("","",index(sort(filter($F43:$F$393,$O43:$O$393&gt;$O42),2,false),0,1)))"),"Buffalo,SMU,Miami-OH,Navy,Iowa State,Virginia Tech,LSU,Marshall,Wisconsin,Penn State,Georgia State,USC,Oklahoma State,Auburn,Louisiana Tech,Southern Mississippi,Florida,Baylor,UAB,Arizona State,California,BYU,Iowa,Texas A&amp;M,Minnesota,Kansas State,Indiana,"&amp;"Wake Forest,Western Kentucky,Virginia,Charlotte,Pittsburgh,Tennessee,Kentucky,Central Michigan,Louisville")</f>
        <v>Buffalo,SMU,Miami-OH,Navy,Iowa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42" s="39">
        <f>IFERROR(__xludf.DUMMYFUNCTION("iferror($O42-max(filter($O42:$O$392,$E42:$E$392=$E$2)))"),-6.0)</f>
        <v>-6</v>
      </c>
      <c r="AH42" s="37">
        <f t="shared" si="7"/>
        <v>0</v>
      </c>
      <c r="AI42" s="37">
        <f>IFERROR(__xludf.DUMMYFUNCTION("iferror(COUNT(filter($O43:$O$392,$O43:$O$392&gt;$O42,$E42:$E$392=$E$2)))"),0.0)</f>
        <v>0</v>
      </c>
      <c r="AJ42" s="40">
        <f t="shared" si="8"/>
        <v>0</v>
      </c>
      <c r="AK42" s="41">
        <f>IFERROR(__xludf.DUMMYFUNCTION("iferror($O42-min(filter($O42:$O$392,$E42:$E$392=$E$2)))"),4.0)</f>
        <v>4</v>
      </c>
      <c r="AL42" s="30" t="str">
        <f>IFERROR(__xludf.DUMMYFUNCTION("iferror(join("","",index(sort(filter($F43:$F$392,$O43:$O$392&gt;$O42,$E43:$E$392=$E$2),2,false),0,1)))"),"LSU,Auburn,Florida,Texas A&amp;M,Tennessee,Kentucky")</f>
        <v>LSU,Auburn,Florida,Texas A&amp;M,Tennessee,Kentucky</v>
      </c>
      <c r="AM42" s="30" t="str">
        <f>IFERROR(__xludf.DUMMYFUNCTION("REGEXREPLACE(join("","",unique({let(conf_picked,filter(E$1:E41,D$1:D41=D42), byrow(unique(TRANSPOSe(Teams!$1:$1)),lambda(rw,if(ISERROR(match(rw,conf_picked,0)),rw,))));iferror(if(#REF!,,transpose(split(#REF!,"","",1,1))))})), ""^,"", """")"),"ACC,Big Ten,CUSA,MAC,Pac12,SEC,Sun Belt,Independent")</f>
        <v>ACC,Big Ten,CUSA,MAC,Pac12,SEC,Sun Belt,Independent</v>
      </c>
      <c r="AN42" s="39">
        <f>IFERROR(__xludf.DUMMYFUNCTION("iferror($O42-max(filter($O42:$O$392,arrayformula(isnumber(FIND($E42:$E$392,AM42))))))"),-6.0)</f>
        <v>-6</v>
      </c>
      <c r="AO42" s="37">
        <f t="array" ref="AO42">countifs($O$2:$O41,"&lt;"&amp;$O42,isnumber(FIND($E$2:$E41,AM42)),TRUE)</f>
        <v>6</v>
      </c>
      <c r="AP42" s="37">
        <f>IFERROR(__xludf.DUMMYFUNCTION("iferror(COUNT(filter($O43:$O$392,$O43:$O$392&gt;$O42,arrayformula(isnumber(FIND($E43:$E$392,AM42))))))"),29.0)</f>
        <v>29</v>
      </c>
      <c r="AQ42" s="40">
        <f t="shared" si="9"/>
        <v>0</v>
      </c>
      <c r="AR42" s="41">
        <f>IFERROR(__xludf.DUMMYFUNCTION("iferror($O42-min(filter($O42:$O$392,arrayformula(isnumber(FIND($E42:$E$392,AM42))))))"),6.0)</f>
        <v>6</v>
      </c>
      <c r="AS42" s="48" t="str">
        <f>IFERROR(__xludf.DUMMYFUNCTION("iferror(join("","",index(sort(filter($F43:$F$392,$O43:$O$392&gt;$O42,arrayformula(isnumber(FIND($E43:$E$392,AM42)))),2,false),0,1)))"),"Buffalo,Miami-OH,Virginia Tech,LSU,Marshall,Wisconsin,Penn State,Georgia State,USC,Auburn,Louisiana Tech,Southern Mississippi,Florida,UAB,Arizona State,California,Iowa,Texas A&amp;M,Minnesota,Indiana,Wake Forest,Western Kentucky,Virginia,Charlotte,Pittsburgh,"&amp;"Tennessee,Kentucky,Central Michigan,Louisville")</f>
        <v>Buffalo,Miami-OH,Virginia Tech,LSU,Marshall,Wisconsin,Penn State,Georgia State,USC,Auburn,Louisiana Tech,Southern Mississippi,Florida,UAB,Arizona State,California,Iowa,Texas A&amp;M,Minnesota,Indiana,Wake Forest,Western Kentucky,Virginia,Charlotte,Pittsburgh,Tennessee,Kentucky,Central Michigan,Louisville</v>
      </c>
    </row>
    <row r="43">
      <c r="A43" s="1">
        <f t="shared" si="10"/>
        <v>42</v>
      </c>
      <c r="B43" s="1">
        <f t="shared" si="12"/>
        <v>4</v>
      </c>
      <c r="C43" s="1">
        <v>6.0</v>
      </c>
      <c r="D43" s="56" t="str">
        <f>D32</f>
        <v>Justin</v>
      </c>
      <c r="E43" s="52" t="str">
        <f>if(F43&lt;&gt;"",VLOOKUP(F43,offset('Teams-Conference'!A:B,0,(counta('Draft Order'!B$2:B129)-10)*2),2,0),"")</f>
        <v>MAC</v>
      </c>
      <c r="F43" s="1" t="s">
        <v>140</v>
      </c>
      <c r="H43" s="29">
        <f t="shared" si="1"/>
        <v>1</v>
      </c>
      <c r="I43" s="29">
        <f t="shared" si="2"/>
        <v>1</v>
      </c>
      <c r="J43" s="29">
        <f t="shared" si="11"/>
        <v>1</v>
      </c>
      <c r="K43" s="29">
        <f t="shared" si="17"/>
        <v>4</v>
      </c>
      <c r="L43" s="29"/>
      <c r="M43" s="29">
        <f>IFERROR(__xludf.DUMMYFUNCTION("counta(iferror(filter(L$2:L42,E$2:E42=E43,L$2:L42&lt;L43)))"),0.0)</f>
        <v>0</v>
      </c>
      <c r="N43" s="29">
        <f>IFERROR(__xludf.DUMMYFUNCTION("counta(iferror(filter(L44:L$129,E44:E$129=E43,L44:L$131&gt;L43)))"),0.0)</f>
        <v>0</v>
      </c>
      <c r="O43" s="34">
        <f t="array" ref="O43:W43">XLOOKUP(F43,'Current Week'!B:B,'Current Week'!C:N)</f>
        <v>7</v>
      </c>
      <c r="P43" s="29">
        <v>5.0</v>
      </c>
      <c r="Q43" s="30" t="s">
        <v>260</v>
      </c>
      <c r="R43" s="30" t="s">
        <v>202</v>
      </c>
      <c r="S43" s="30"/>
      <c r="T43" s="30" t="s">
        <v>203</v>
      </c>
      <c r="U43" s="37" t="s">
        <v>203</v>
      </c>
      <c r="V43" s="37"/>
      <c r="W43" s="37">
        <v>9999.0</v>
      </c>
      <c r="X43" s="37"/>
      <c r="Y43" s="37"/>
      <c r="Z43" s="37"/>
      <c r="AA43" s="39">
        <f t="shared" si="3"/>
        <v>-5</v>
      </c>
      <c r="AB43" s="37">
        <f t="shared" si="4"/>
        <v>15</v>
      </c>
      <c r="AC43" s="37">
        <f>IFERROR(__xludf.DUMMYFUNCTION("iferror(COUNT(filter($O44:$O$392,$O44:$O$392&gt;$O43)))"),23.0)</f>
        <v>23</v>
      </c>
      <c r="AD43" s="40">
        <f t="shared" si="5"/>
        <v>0</v>
      </c>
      <c r="AE43" s="41">
        <f t="shared" si="6"/>
        <v>5</v>
      </c>
      <c r="AF43" s="30" t="str">
        <f>IFERROR(__xludf.DUMMYFUNCTION("iferror(join("","",index(sort(filter($F44:$F$393,$O44:$O$393&gt;$O43),2,false),0,1)))"),"SMU,Navy,Virginia Tech,LSU,Marshall,Wisconsin,Penn State,USC,Oklahoma State,Auburn,Louisiana Tech,Florida,Baylor,UAB,Iowa,Minnesota,Kansas State,Indiana,Wake Forest,Western Kentucky,Virginia,Central Michigan,Louisville")</f>
        <v>SMU,Navy,Virginia Tech,LSU,Marshall,Wisconsin,Penn State,USC,Oklahoma State,Auburn,Louisiana Tech,Florida,Baylor,UAB,Iowa,Minnesota,Kansas State,Indiana,Wake Forest,Western Kentucky,Virginia,Central Michigan,Louisville</v>
      </c>
      <c r="AG43" s="39">
        <f>IFERROR(__xludf.DUMMYFUNCTION("iferror($O43-max(filter($O43:$O$392,$E43:$E$392=$E$2)))"),-5.0)</f>
        <v>-5</v>
      </c>
      <c r="AH43" s="37">
        <f t="shared" si="7"/>
        <v>0</v>
      </c>
      <c r="AI43" s="37">
        <f>IFERROR(__xludf.DUMMYFUNCTION("iferror(COUNT(filter($O44:$O$392,$O44:$O$392&gt;$O43,$E43:$E$392=$E$2)))"),0.0)</f>
        <v>0</v>
      </c>
      <c r="AJ43" s="40">
        <f t="shared" si="8"/>
        <v>0</v>
      </c>
      <c r="AK43" s="41">
        <f>IFERROR(__xludf.DUMMYFUNCTION("iferror($O43-min(filter($O43:$O$392,$E43:$E$392=$E$2)))"),5.0)</f>
        <v>5</v>
      </c>
      <c r="AL43" s="30" t="str">
        <f>IFERROR(__xludf.DUMMYFUNCTION("iferror(join("","",index(sort(filter($F44:$F$392,$O44:$O$392&gt;$O43,$E44:$E$392=$E$2),2,false),0,1)))"),"LSU,Auburn,Florida")</f>
        <v>LSU,Auburn,Florida</v>
      </c>
      <c r="AM43" s="30" t="str">
        <f>IFERROR(__xludf.DUMMYFUNCTION("REGEXREPLACE(join("","",unique({let(conf_picked,filter(E$1:E42,D$1:D42=D43), byrow(unique(TRANSPOSe(Teams!$1:$1)),lambda(rw,if(ISERROR(match(rw,conf_picked,0)),rw,))));iferror(if(#REF!,,transpose(split(#REF!,"","",1,1))))})), ""^,"", """")"),"ACC,Big 12,Big Ten,CUSA,MAC,MWC,SEC,Independent")</f>
        <v>ACC,Big 12,Big Ten,CUSA,MAC,MWC,SEC,Independent</v>
      </c>
      <c r="AN43" s="39">
        <f>IFERROR(__xludf.DUMMYFUNCTION("iferror($O43-max(filter($O43:$O$392,arrayformula(isnumber(FIND($E43:$E$392,AM43))))))"),-5.0)</f>
        <v>-5</v>
      </c>
      <c r="AO43" s="37">
        <f t="array" ref="AO43">countifs($O$2:$O42,"&lt;"&amp;$O43,isnumber(FIND($E$2:$E42,AM43)),TRUE)</f>
        <v>7</v>
      </c>
      <c r="AP43" s="37">
        <f>IFERROR(__xludf.DUMMYFUNCTION("iferror(COUNT(filter($O44:$O$392,$O44:$O$392&gt;$O43,arrayformula(isnumber(FIND($E44:$E$392,AM43))))))"),20.0)</f>
        <v>20</v>
      </c>
      <c r="AQ43" s="40">
        <f t="shared" si="9"/>
        <v>0</v>
      </c>
      <c r="AR43" s="41">
        <f>IFERROR(__xludf.DUMMYFUNCTION("iferror($O43-min(filter($O43:$O$392,arrayformula(isnumber(FIND($E43:$E$392,AM43))))))"),7.0)</f>
        <v>7</v>
      </c>
      <c r="AS43" s="48" t="str">
        <f>IFERROR(__xludf.DUMMYFUNCTION("iferror(join("","",index(sort(filter($F44:$F$392,$O44:$O$392&gt;$O43,arrayformula(isnumber(FIND($E44:$E$392,AM43)))),2,false),0,1)))"),"Virginia Tech,LSU,Marshall,Wisconsin,Penn State,Oklahoma State,Auburn,Louisiana Tech,Florida,Baylor,UAB,Iowa,Minnesota,Kansas State,Indiana,Wake Forest,Western Kentucky,Virginia,Central Michigan,Louisville")</f>
        <v>Virginia Tech,LSU,Marshall,Wisconsin,Penn State,Oklahoma State,Auburn,Louisiana Tech,Florida,Baylor,UAB,Iowa,Minnesota,Kansas State,Indiana,Wake Forest,Western Kentucky,Virginia,Central Michigan,Louisville</v>
      </c>
    </row>
    <row r="44">
      <c r="A44" s="1">
        <f t="shared" si="10"/>
        <v>43</v>
      </c>
      <c r="B44" s="1">
        <f t="shared" si="12"/>
        <v>4</v>
      </c>
      <c r="C44" s="1">
        <v>7.0</v>
      </c>
      <c r="D44" s="56" t="str">
        <f>D31</f>
        <v>Jeannine</v>
      </c>
      <c r="E44" s="52" t="str">
        <f>if(F44&lt;&gt;"",VLOOKUP(F44,offset('Teams-Conference'!A:B,0,(counta('Draft Order'!B$2:B129)-10)*2),2,0),"")</f>
        <v>AAC</v>
      </c>
      <c r="F44" s="1" t="s">
        <v>42</v>
      </c>
      <c r="H44" s="29">
        <f t="shared" si="1"/>
        <v>2</v>
      </c>
      <c r="I44" s="29">
        <f t="shared" si="2"/>
        <v>2</v>
      </c>
      <c r="J44" s="29">
        <f t="shared" si="11"/>
        <v>2</v>
      </c>
      <c r="K44" s="29">
        <f t="shared" si="17"/>
        <v>3</v>
      </c>
      <c r="L44" s="29"/>
      <c r="M44" s="29">
        <f>IFERROR(__xludf.DUMMYFUNCTION("counta(iferror(filter(L$2:L43,E$2:E43=E44,L$2:L43&lt;L44)))"),0.0)</f>
        <v>0</v>
      </c>
      <c r="N44" s="29">
        <f>IFERROR(__xludf.DUMMYFUNCTION("counta(iferror(filter(L45:L$129,E45:E$129=E44,L45:L$131&gt;L44)))"),0.0)</f>
        <v>0</v>
      </c>
      <c r="O44" s="34">
        <f t="array" ref="O44:W44">XLOOKUP(F44,'Current Week'!B:B,'Current Week'!C:N)</f>
        <v>10</v>
      </c>
      <c r="P44" s="29">
        <v>2.0</v>
      </c>
      <c r="Q44" s="30" t="s">
        <v>248</v>
      </c>
      <c r="R44" s="35" t="s">
        <v>202</v>
      </c>
      <c r="S44" s="30"/>
      <c r="T44" s="30" t="s">
        <v>203</v>
      </c>
      <c r="U44" s="37" t="s">
        <v>203</v>
      </c>
      <c r="V44" s="37"/>
      <c r="W44" s="37">
        <v>9999.0</v>
      </c>
      <c r="X44" s="37"/>
      <c r="Y44" s="37"/>
      <c r="Z44" s="37"/>
      <c r="AA44" s="39">
        <f t="shared" si="3"/>
        <v>-2</v>
      </c>
      <c r="AB44" s="37">
        <f t="shared" si="4"/>
        <v>29</v>
      </c>
      <c r="AC44" s="37">
        <f>IFERROR(__xludf.DUMMYFUNCTION("iferror(COUNT(filter($O45:$O$392,$O45:$O$392&gt;$O44)))"),2.0)</f>
        <v>2</v>
      </c>
      <c r="AD44" s="40">
        <f t="shared" si="5"/>
        <v>0</v>
      </c>
      <c r="AE44" s="41">
        <f t="shared" si="6"/>
        <v>8</v>
      </c>
      <c r="AF44" s="30" t="str">
        <f>IFERROR(__xludf.DUMMYFUNCTION("iferror(join("","",index(sort(filter($F45:$F$393,$O45:$O$393&gt;$O44),2,false),0,1)))"),"LSU,Baylor")</f>
        <v>LSU,Baylor</v>
      </c>
      <c r="AG44" s="39">
        <f>IFERROR(__xludf.DUMMYFUNCTION("iferror($O44-max(filter($O44:$O$392,$E44:$E$392=$E$2)))"),-2.0)</f>
        <v>-2</v>
      </c>
      <c r="AH44" s="37">
        <f t="shared" si="7"/>
        <v>0</v>
      </c>
      <c r="AI44" s="37">
        <f>IFERROR(__xludf.DUMMYFUNCTION("iferror(COUNT(filter($O45:$O$392,$O45:$O$392&gt;$O44,$E44:$E$392=$E$2)))"),0.0)</f>
        <v>0</v>
      </c>
      <c r="AJ44" s="40">
        <f t="shared" si="8"/>
        <v>0</v>
      </c>
      <c r="AK44" s="41">
        <f>IFERROR(__xludf.DUMMYFUNCTION("iferror($O44-min(filter($O44:$O$392,$E44:$E$392=$E$2)))"),8.0)</f>
        <v>8</v>
      </c>
      <c r="AL44" s="30" t="str">
        <f>IFERROR(__xludf.DUMMYFUNCTION("iferror(join("","",index(sort(filter($F45:$F$392,$O45:$O$392&gt;$O44,$E45:$E$392=$E$2),2,false),0,1)))"),"LSU")</f>
        <v>LSU</v>
      </c>
      <c r="AM44" s="30" t="str">
        <f>IFERROR(__xludf.DUMMYFUNCTION("REGEXREPLACE(join("","",unique({let(conf_picked,filter(E$1:E43,D$1:D43=D44), byrow(unique(TRANSPOSe(Teams!$1:$1)),lambda(rw,if(ISERROR(match(rw,conf_picked,0)),rw,))));iferror(if(#REF!,,transpose(split(#REF!,"","",1,1))))})), ""^,"", """")"),"AAC,ACC,,Big Ten,CUSA,MWC,Pac12,SEC,Independent")</f>
        <v>AAC,ACC,,Big Ten,CUSA,MWC,Pac12,SEC,Independent</v>
      </c>
      <c r="AN44" s="39">
        <f>IFERROR(__xludf.DUMMYFUNCTION("iferror($O44-max(filter($O44:$O$392,arrayformula(isnumber(FIND($E44:$E$392,AM44))))))"),-2.0)</f>
        <v>-2</v>
      </c>
      <c r="AO44" s="37">
        <f t="array" ref="AO44">countifs($O$2:$O43,"&lt;"&amp;$O44,isnumber(FIND($E$2:$E43,AM44)),TRUE)</f>
        <v>16</v>
      </c>
      <c r="AP44" s="37">
        <f>IFERROR(__xludf.DUMMYFUNCTION("iferror(COUNT(filter($O45:$O$392,$O45:$O$392&gt;$O44,arrayformula(isnumber(FIND($E45:$E$392,AM44))))))"),1.0)</f>
        <v>1</v>
      </c>
      <c r="AQ44" s="40">
        <f t="shared" si="9"/>
        <v>0</v>
      </c>
      <c r="AR44" s="41">
        <f>IFERROR(__xludf.DUMMYFUNCTION("iferror($O44-min(filter($O44:$O$392,arrayformula(isnumber(FIND($E44:$E$392,AM44))))))"),9.0)</f>
        <v>9</v>
      </c>
      <c r="AS44" s="48" t="str">
        <f>IFERROR(__xludf.DUMMYFUNCTION("iferror(join("","",index(sort(filter($F45:$F$392,$O45:$O$392&gt;$O44,arrayformula(isnumber(FIND($E45:$E$392,AM44)))),2,false),0,1)))"),"LSU")</f>
        <v>LSU</v>
      </c>
    </row>
    <row r="45">
      <c r="A45" s="1">
        <f t="shared" si="10"/>
        <v>44</v>
      </c>
      <c r="B45" s="1">
        <f t="shared" si="12"/>
        <v>4</v>
      </c>
      <c r="C45" s="1">
        <v>8.0</v>
      </c>
      <c r="D45" s="56" t="str">
        <f>D30</f>
        <v>Nico</v>
      </c>
      <c r="E45" s="52" t="str">
        <f>if(F45&lt;&gt;"",VLOOKUP(F45,offset('Teams-Conference'!A:B,0,(counta('Draft Order'!B$2:B129)-10)*2),2,0),"")</f>
        <v>MAC</v>
      </c>
      <c r="F45" s="1" t="s">
        <v>144</v>
      </c>
      <c r="H45" s="29">
        <f t="shared" si="1"/>
        <v>0</v>
      </c>
      <c r="I45" s="29">
        <f t="shared" si="2"/>
        <v>0</v>
      </c>
      <c r="J45" s="29">
        <f t="shared" si="11"/>
        <v>2</v>
      </c>
      <c r="K45" s="29">
        <f t="shared" si="17"/>
        <v>5</v>
      </c>
      <c r="L45" s="29"/>
      <c r="M45" s="29">
        <f>IFERROR(__xludf.DUMMYFUNCTION("counta(iferror(filter(L$2:L44,E$2:E44=E45,L$2:L44&lt;L45)))"),0.0)</f>
        <v>0</v>
      </c>
      <c r="N45" s="29">
        <f>IFERROR(__xludf.DUMMYFUNCTION("counta(iferror(filter(L46:L$129,E46:E$129=E45,L46:L$131&gt;L45)))"),0.0)</f>
        <v>0</v>
      </c>
      <c r="O45" s="34">
        <f t="array" ref="O45:W45">XLOOKUP(F45,'Current Week'!B:B,'Current Week'!C:N)</f>
        <v>7</v>
      </c>
      <c r="P45" s="29">
        <v>5.0</v>
      </c>
      <c r="Q45" s="30" t="s">
        <v>248</v>
      </c>
      <c r="R45" s="30" t="s">
        <v>254</v>
      </c>
      <c r="S45" s="30" t="s">
        <v>239</v>
      </c>
      <c r="T45" s="30" t="s">
        <v>247</v>
      </c>
      <c r="U45" s="37">
        <v>54.0</v>
      </c>
      <c r="V45" s="37" t="s">
        <v>74</v>
      </c>
      <c r="W45" s="37" t="s">
        <v>239</v>
      </c>
      <c r="X45" s="37"/>
      <c r="Y45" s="37"/>
      <c r="Z45" s="37"/>
      <c r="AA45" s="39">
        <f t="shared" si="3"/>
        <v>-5</v>
      </c>
      <c r="AB45" s="37">
        <f t="shared" si="4"/>
        <v>15</v>
      </c>
      <c r="AC45" s="37">
        <f>IFERROR(__xludf.DUMMYFUNCTION("iferror(COUNT(filter($O46:$O$392,$O46:$O$392&gt;$O45)))"),22.0)</f>
        <v>22</v>
      </c>
      <c r="AD45" s="40">
        <f t="shared" si="5"/>
        <v>0</v>
      </c>
      <c r="AE45" s="41">
        <f t="shared" si="6"/>
        <v>5</v>
      </c>
      <c r="AF45" s="30" t="str">
        <f>IFERROR(__xludf.DUMMYFUNCTION("iferror(join("","",index(sort(filter($F46:$F$393,$O46:$O$393&gt;$O45),2,false),0,1)))"),"Navy,Virginia Tech,LSU,Marshall,Wisconsin,Penn State,USC,Oklahoma State,Auburn,Louisiana Tech,Florida,Baylor,UAB,Iowa,Minnesota,Kansas State,Indiana,Wake Forest,Western Kentucky,Virginia,Central Michigan,Louisville")</f>
        <v>Navy,Virginia Tech,LSU,Marshall,Wisconsin,Penn State,USC,Oklahoma State,Auburn,Louisiana Tech,Florida,Baylor,UAB,Iowa,Minnesota,Kansas State,Indiana,Wake Forest,Western Kentucky,Virginia,Central Michigan,Louisville</v>
      </c>
      <c r="AG45" s="39">
        <f>IFERROR(__xludf.DUMMYFUNCTION("iferror($O45-max(filter($O45:$O$392,$E45:$E$392=$E$2)))"),-5.0)</f>
        <v>-5</v>
      </c>
      <c r="AH45" s="37">
        <f t="shared" si="7"/>
        <v>0</v>
      </c>
      <c r="AI45" s="37">
        <f>IFERROR(__xludf.DUMMYFUNCTION("iferror(COUNT(filter($O46:$O$392,$O46:$O$392&gt;$O45,$E45:$E$392=$E$2)))"),0.0)</f>
        <v>0</v>
      </c>
      <c r="AJ45" s="40">
        <f t="shared" si="8"/>
        <v>0</v>
      </c>
      <c r="AK45" s="41">
        <f>IFERROR(__xludf.DUMMYFUNCTION("iferror($O45-min(filter($O45:$O$392,$E45:$E$392=$E$2)))"),5.0)</f>
        <v>5</v>
      </c>
      <c r="AL45" s="30" t="str">
        <f>IFERROR(__xludf.DUMMYFUNCTION("iferror(join("","",index(sort(filter($F46:$F$392,$O46:$O$392&gt;$O45,$E46:$E$392=$E$2),2,false),0,1)))"),"LSU,Auburn,Florida")</f>
        <v>LSU,Auburn,Florida</v>
      </c>
      <c r="AM45" s="30" t="str">
        <f>IFERROR(__xludf.DUMMYFUNCTION("REGEXREPLACE(join("","",unique({let(conf_picked,filter(E$1:E44,D$1:D44=D45), byrow(unique(TRANSPOSe(Teams!$1:$1)),lambda(rw,if(ISERROR(match(rw,conf_picked,0)),rw,))));iferror(if(#REF!,,transpose(split(#REF!,"","",1,1))))})), ""^,"", """")"),"ACC,Big 12,Big Ten,CUSA,MAC,MWC,Pac12,Independent")</f>
        <v>ACC,Big 12,Big Ten,CUSA,MAC,MWC,Pac12,Independent</v>
      </c>
      <c r="AN45" s="39">
        <f>IFERROR(__xludf.DUMMYFUNCTION("iferror($O45-max(filter($O45:$O$392,arrayformula(isnumber(FIND($E45:$E$392,AM45))))))"),-4.0)</f>
        <v>-4</v>
      </c>
      <c r="AO45" s="37">
        <f t="array" ref="AO45">countifs($O$2:$O44,"&lt;"&amp;$O45,isnumber(FIND($E$2:$E44,AM45)),TRUE)</f>
        <v>8</v>
      </c>
      <c r="AP45" s="37">
        <f>IFERROR(__xludf.DUMMYFUNCTION("iferror(COUNT(filter($O46:$O$392,$O46:$O$392&gt;$O45,arrayformula(isnumber(FIND($E46:$E$392,AM45))))))"),18.0)</f>
        <v>18</v>
      </c>
      <c r="AQ45" s="40">
        <f t="shared" si="9"/>
        <v>0</v>
      </c>
      <c r="AR45" s="41">
        <f>IFERROR(__xludf.DUMMYFUNCTION("iferror($O45-min(filter($O45:$O$392,arrayformula(isnumber(FIND($E45:$E$392,AM45))))))"),7.0)</f>
        <v>7</v>
      </c>
      <c r="AS45" s="48" t="str">
        <f>IFERROR(__xludf.DUMMYFUNCTION("iferror(join("","",index(sort(filter($F46:$F$392,$O46:$O$392&gt;$O45,arrayformula(isnumber(FIND($E46:$E$392,AM45)))),2,false),0,1)))"),"Virginia Tech,Marshall,Wisconsin,Penn State,USC,Oklahoma State,Louisiana Tech,Baylor,UAB,Iowa,Minnesota,Kansas State,Indiana,Wake Forest,Western Kentucky,Virginia,Central Michigan,Louisville")</f>
        <v>Virginia Tech,Marshall,Wisconsin,Penn State,USC,Oklahoma State,Louisiana Tech,Baylor,UAB,Iowa,Minnesota,Kansas State,Indiana,Wake Forest,Western Kentucky,Virginia,Central Michigan,Louisville</v>
      </c>
    </row>
    <row r="46">
      <c r="A46" s="1">
        <f t="shared" si="10"/>
        <v>45</v>
      </c>
      <c r="B46" s="1">
        <f t="shared" si="12"/>
        <v>4</v>
      </c>
      <c r="C46" s="1">
        <v>9.0</v>
      </c>
      <c r="D46" s="56" t="str">
        <f>D29</f>
        <v>Janice/Mike</v>
      </c>
      <c r="E46" s="52" t="str">
        <f>if(F46&lt;&gt;"",VLOOKUP(F46,offset('Teams-Conference'!A:B,0,(counta('Draft Order'!B$2:B129)-10)*2),2,0),"")</f>
        <v>AAC</v>
      </c>
      <c r="F46" s="24" t="s">
        <v>37</v>
      </c>
      <c r="H46" s="29">
        <f t="shared" si="1"/>
        <v>1</v>
      </c>
      <c r="I46" s="29">
        <f t="shared" si="2"/>
        <v>1</v>
      </c>
      <c r="J46" s="29">
        <f t="shared" si="11"/>
        <v>2</v>
      </c>
      <c r="K46" s="29">
        <f t="shared" si="17"/>
        <v>6</v>
      </c>
      <c r="L46" s="29"/>
      <c r="M46" s="29">
        <f>IFERROR(__xludf.DUMMYFUNCTION("counta(iferror(filter(L$2:L45,E$2:E45=E46,L$2:L45&lt;L46)))"),0.0)</f>
        <v>0</v>
      </c>
      <c r="N46" s="29">
        <f>IFERROR(__xludf.DUMMYFUNCTION("counta(iferror(filter(L47:L$129,E47:E$129=E46,L47:L$131&gt;L46)))"),0.0)</f>
        <v>0</v>
      </c>
      <c r="O46" s="34">
        <f t="array" ref="O46:W46">XLOOKUP(F46,'Current Week'!B:B,'Current Week'!C:N)</f>
        <v>10</v>
      </c>
      <c r="P46" s="29">
        <v>2.0</v>
      </c>
      <c r="Q46" s="30" t="s">
        <v>268</v>
      </c>
      <c r="R46" s="30" t="s">
        <v>252</v>
      </c>
      <c r="S46" s="30" t="s">
        <v>253</v>
      </c>
      <c r="T46" s="30" t="s">
        <v>203</v>
      </c>
      <c r="U46" s="37" t="s">
        <v>203</v>
      </c>
      <c r="V46" s="37" t="s">
        <v>64</v>
      </c>
      <c r="W46" s="37" t="s">
        <v>253</v>
      </c>
      <c r="X46" s="37"/>
      <c r="Y46" s="37"/>
      <c r="Z46" s="37"/>
      <c r="AA46" s="39">
        <f t="shared" si="3"/>
        <v>-2</v>
      </c>
      <c r="AB46" s="37">
        <f t="shared" si="4"/>
        <v>30</v>
      </c>
      <c r="AC46" s="37">
        <f>IFERROR(__xludf.DUMMYFUNCTION("iferror(COUNT(filter($O47:$O$392,$O47:$O$392&gt;$O46)))"),2.0)</f>
        <v>2</v>
      </c>
      <c r="AD46" s="40">
        <f t="shared" si="5"/>
        <v>0</v>
      </c>
      <c r="AE46" s="41">
        <f t="shared" si="6"/>
        <v>8</v>
      </c>
      <c r="AF46" s="30" t="str">
        <f>IFERROR(__xludf.DUMMYFUNCTION("iferror(join("","",index(sort(filter($F47:$F$393,$O47:$O$393&gt;$O46),2,false),0,1)))"),"LSU,Baylor")</f>
        <v>LSU,Baylor</v>
      </c>
      <c r="AG46" s="39">
        <f>IFERROR(__xludf.DUMMYFUNCTION("iferror($O46-max(filter($O46:$O$392,$E46:$E$392=$E$2)))"),-2.0)</f>
        <v>-2</v>
      </c>
      <c r="AH46" s="37">
        <f t="shared" si="7"/>
        <v>0</v>
      </c>
      <c r="AI46" s="37">
        <f>IFERROR(__xludf.DUMMYFUNCTION("iferror(COUNT(filter($O47:$O$392,$O47:$O$392&gt;$O46,$E46:$E$392=$E$2)))"),0.0)</f>
        <v>0</v>
      </c>
      <c r="AJ46" s="40">
        <f t="shared" si="8"/>
        <v>0</v>
      </c>
      <c r="AK46" s="41">
        <f>IFERROR(__xludf.DUMMYFUNCTION("iferror($O46-min(filter($O46:$O$392,$E46:$E$392=$E$2)))"),8.0)</f>
        <v>8</v>
      </c>
      <c r="AL46" s="30" t="str">
        <f>IFERROR(__xludf.DUMMYFUNCTION("iferror(join("","",index(sort(filter($F47:$F$392,$O47:$O$392&gt;$O46,$E47:$E$392=$E$2),2,false),0,1)))"),"LSU")</f>
        <v>LSU</v>
      </c>
      <c r="AM46" s="30" t="str">
        <f>IFERROR(__xludf.DUMMYFUNCTION("REGEXREPLACE(join("","",unique({let(conf_picked,filter(E$1:E45,D$1:D45=D46), byrow(unique(TRANSPOSe(Teams!$1:$1)),lambda(rw,if(ISERROR(match(rw,conf_picked,0)),rw,))));iferror(if(#REF!,,transpose(split(#REF!,"","",1,1))))})), ""^,"", """")"),"AAC,ACC,Big 12,Big Ten,CUSA,,Pac12,SEC,Independent")</f>
        <v>AAC,ACC,Big 12,Big Ten,CUSA,,Pac12,SEC,Independent</v>
      </c>
      <c r="AN46" s="39">
        <f>IFERROR(__xludf.DUMMYFUNCTION("iferror($O46-max(filter($O46:$O$392,arrayformula(isnumber(FIND($E46:$E$392,AM46))))))"),-2.0)</f>
        <v>-2</v>
      </c>
      <c r="AO46" s="37">
        <f t="array" ref="AO46">countifs($O$2:$O45,"&lt;"&amp;$O46,isnumber(FIND($E$2:$E45,AM46)),TRUE)</f>
        <v>11</v>
      </c>
      <c r="AP46" s="37">
        <f>IFERROR(__xludf.DUMMYFUNCTION("iferror(COUNT(filter($O47:$O$392,$O47:$O$392&gt;$O46,arrayformula(isnumber(FIND($E47:$E$392,AM46))))))"),2.0)</f>
        <v>2</v>
      </c>
      <c r="AQ46" s="40">
        <f t="shared" si="9"/>
        <v>0</v>
      </c>
      <c r="AR46" s="41">
        <f>IFERROR(__xludf.DUMMYFUNCTION("iferror($O46-min(filter($O46:$O$392,arrayformula(isnumber(FIND($E46:$E$392,AM46))))))"),9.0)</f>
        <v>9</v>
      </c>
      <c r="AS46" s="48" t="str">
        <f>IFERROR(__xludf.DUMMYFUNCTION("iferror(join("","",index(sort(filter($F47:$F$392,$O47:$O$392&gt;$O46,arrayformula(isnumber(FIND($E47:$E$392,AM46)))),2,false),0,1)))"),"LSU,Baylor")</f>
        <v>LSU,Baylor</v>
      </c>
    </row>
    <row r="47">
      <c r="A47" s="1">
        <f t="shared" si="10"/>
        <v>46</v>
      </c>
      <c r="B47" s="1">
        <f t="shared" si="12"/>
        <v>4</v>
      </c>
      <c r="C47" s="1">
        <v>10.0</v>
      </c>
      <c r="D47" s="51" t="str">
        <f>D28</f>
        <v>Gary</v>
      </c>
      <c r="E47" s="52" t="str">
        <f>if(F47&lt;&gt;"",VLOOKUP(F47,offset('Teams-Conference'!A:B,0,(counta('Draft Order'!B$2:B129)-10)*2),2,0),"")</f>
        <v>AAC</v>
      </c>
      <c r="F47" t="s">
        <v>52</v>
      </c>
      <c r="H47" s="29">
        <f t="shared" si="1"/>
        <v>0</v>
      </c>
      <c r="I47" s="29">
        <f t="shared" si="2"/>
        <v>0</v>
      </c>
      <c r="J47" s="29">
        <f t="shared" si="11"/>
        <v>3</v>
      </c>
      <c r="K47" s="29">
        <f t="shared" ref="K47:K51" si="18">countif(E28:E47,E48)</f>
        <v>0</v>
      </c>
      <c r="L47" s="29"/>
      <c r="M47" s="29">
        <f>IFERROR(__xludf.DUMMYFUNCTION("counta(iferror(filter(L$2:L46,E$2:E46=E47,L$2:L46&lt;L47)))"),0.0)</f>
        <v>0</v>
      </c>
      <c r="N47" s="29">
        <f>IFERROR(__xludf.DUMMYFUNCTION("counta(iferror(filter(L48:L$129,E48:E$129=E47,L48:L$131&gt;L47)))"),0.0)</f>
        <v>0</v>
      </c>
      <c r="O47" s="34">
        <f t="array" ref="O47:W47">XLOOKUP(F47,'Current Week'!B:B,'Current Week'!C:N)</f>
        <v>6</v>
      </c>
      <c r="P47" s="29">
        <v>6.0</v>
      </c>
      <c r="Q47" s="30" t="s">
        <v>242</v>
      </c>
      <c r="R47" s="30" t="s">
        <v>202</v>
      </c>
      <c r="S47" s="30"/>
      <c r="T47" s="30" t="s">
        <v>203</v>
      </c>
      <c r="U47" s="37" t="s">
        <v>203</v>
      </c>
      <c r="V47" s="37"/>
      <c r="W47" s="37">
        <v>9999.0</v>
      </c>
      <c r="X47" s="37"/>
      <c r="Y47" s="37"/>
      <c r="Z47" s="37"/>
      <c r="AA47" s="39">
        <f t="shared" si="3"/>
        <v>-6</v>
      </c>
      <c r="AB47" s="37">
        <f t="shared" si="4"/>
        <v>9</v>
      </c>
      <c r="AC47" s="37">
        <f>IFERROR(__xludf.DUMMYFUNCTION("iferror(COUNT(filter($O48:$O$392,$O48:$O$392&gt;$O47)))"),32.0)</f>
        <v>32</v>
      </c>
      <c r="AD47" s="40">
        <f t="shared" si="5"/>
        <v>0</v>
      </c>
      <c r="AE47" s="41">
        <f t="shared" si="6"/>
        <v>4</v>
      </c>
      <c r="AF47" s="30" t="str">
        <f>IFERROR(__xludf.DUMMYFUNCTION("iferror(join("","",index(sort(filter($F48:$F$393,$O48:$O$393&gt;$O47),2,false),0,1)))"),"Iowa State,Virginia Tech,LSU,Marshall,Wisconsin,Penn State,Georgia State,USC,Oklahoma State,Auburn,Louisiana Tech,Southern Mississippi,Florida,Baylor,UAB,Arizona State,California,BYU,Iowa,Texas A&amp;M,Minnesota,Kansas State,Indiana,Wake Forest,Western Kentuc"&amp;"ky,Virginia,Charlotte,Pittsburgh,Tennessee,Kentucky,Central Michigan,Louisville")</f>
        <v>Iowa State,Virginia Tech,LSU,Marshall,Wisconsin,Penn State,Georgia State,USC,Oklahoma State,Auburn,Louisiana Tech,Southern Mississippi,Florida,Baylor,UAB,Arizona State,California,BYU,Iowa,Texas A&amp;M,Minnesota,Kansas State,Indiana,Wake Forest,Western Kentucky,Virginia,Charlotte,Pittsburgh,Tennessee,Kentucky,Central Michigan,Louisville</v>
      </c>
      <c r="AG47" s="39">
        <f>IFERROR(__xludf.DUMMYFUNCTION("iferror($O47-max(filter($O47:$O$392,$E47:$E$392=$E$2)))"),-6.0)</f>
        <v>-6</v>
      </c>
      <c r="AH47" s="37">
        <f t="shared" si="7"/>
        <v>0</v>
      </c>
      <c r="AI47" s="37">
        <f>IFERROR(__xludf.DUMMYFUNCTION("iferror(COUNT(filter($O48:$O$392,$O48:$O$392&gt;$O47,$E47:$E$392=$E$2)))"),0.0)</f>
        <v>0</v>
      </c>
      <c r="AJ47" s="40">
        <f t="shared" si="8"/>
        <v>0</v>
      </c>
      <c r="AK47" s="41">
        <f>IFERROR(__xludf.DUMMYFUNCTION("iferror($O47-min(filter($O47:$O$392,$E47:$E$392=$E$2)))"),4.0)</f>
        <v>4</v>
      </c>
      <c r="AL47" s="30" t="str">
        <f>IFERROR(__xludf.DUMMYFUNCTION("iferror(join("","",index(sort(filter($F48:$F$392,$O48:$O$392&gt;$O47,$E48:$E$392=$E$2),2,false),0,1)))"),"LSU,Auburn,Florida,Texas A&amp;M,Tennessee,Kentucky")</f>
        <v>LSU,Auburn,Florida,Texas A&amp;M,Tennessee,Kentucky</v>
      </c>
      <c r="AM47" s="30" t="str">
        <f>IFERROR(__xludf.DUMMYFUNCTION("REGEXREPLACE(join("","",unique({let(conf_picked,filter(E$1:E46,D$1:D46=D47), byrow(unique(TRANSPOSe(Teams!$1:$1)),lambda(rw,if(ISERROR(match(rw,conf_picked,0)),rw,))));iferror(if(#REF!,,transpose(split(#REF!,"","",1,1))))})), ""^,"", """")"),"AAC,ACC,Big 12,Big Ten,CUSA,,Pac12,SEC,Independent")</f>
        <v>AAC,ACC,Big 12,Big Ten,CUSA,,Pac12,SEC,Independent</v>
      </c>
      <c r="AN47" s="39">
        <f>IFERROR(__xludf.DUMMYFUNCTION("iferror($O47-max(filter($O47:$O$392,arrayformula(isnumber(FIND($E47:$E$392,AM47))))))"),-6.0)</f>
        <v>-6</v>
      </c>
      <c r="AO47" s="37">
        <f t="array" ref="AO47">countifs($O$2:$O46,"&lt;"&amp;$O47,isnumber(FIND($E$2:$E46,AM47)),TRUE)</f>
        <v>2</v>
      </c>
      <c r="AP47" s="37">
        <f>IFERROR(__xludf.DUMMYFUNCTION("iferror(COUNT(filter($O48:$O$392,$O48:$O$392&gt;$O47,arrayformula(isnumber(FIND($E48:$E$392,AM47))))))"),30.0)</f>
        <v>30</v>
      </c>
      <c r="AQ47" s="40">
        <f t="shared" si="9"/>
        <v>0</v>
      </c>
      <c r="AR47" s="41">
        <f>IFERROR(__xludf.DUMMYFUNCTION("iferror($O47-min(filter($O47:$O$392,arrayformula(isnumber(FIND($E47:$E$392,AM47))))))"),5.0)</f>
        <v>5</v>
      </c>
      <c r="AS47" s="48" t="str">
        <f>IFERROR(__xludf.DUMMYFUNCTION("iferror(join("","",index(sort(filter($F48:$F$392,$O48:$O$392&gt;$O47,arrayformula(isnumber(FIND($E48:$E$392,AM47)))),2,false),0,1)))"),"Iowa State,Virginia Tech,LSU,Marshall,Wisconsin,Penn State,USC,Oklahoma State,Auburn,Louisiana Tech,Southern Mississippi,Florida,Baylor,UAB,Arizona State,California,BYU,Iowa,Texas A&amp;M,Minnesota,Kansas State,Indiana,Wake Forest,Western Kentucky,Virginia,Ch"&amp;"arlotte,Pittsburgh,Tennessee,Kentucky,Louisville")</f>
        <v>Iowa State,Virginia Tech,LSU,Marshall,Wisconsin,Penn State,USC,Oklahoma State,Auburn,Louisiana Tech,Southern Mississippi,Florida,Baylor,UAB,Arizona State,California,BYU,Iowa,Texas A&amp;M,Minnesota,Kansas State,Indiana,Wake Forest,Western Kentucky,Virginia,Charlotte,Pittsburgh,Tennessee,Kentucky,Louisville</v>
      </c>
    </row>
    <row r="48">
      <c r="A48" s="1">
        <f t="shared" si="10"/>
        <v>47</v>
      </c>
      <c r="B48" s="1">
        <f t="shared" si="12"/>
        <v>4</v>
      </c>
      <c r="C48" s="1">
        <v>11.0</v>
      </c>
      <c r="D48" s="51" t="str">
        <f>D27</f>
        <v>Nick A.</v>
      </c>
      <c r="E48" s="52" t="str">
        <f>if(F48&lt;&gt;"",VLOOKUP(F48,offset('Teams-Conference'!A:B,0,(counta('Draft Order'!B$2:B129)-10)*2),2,0),"")</f>
        <v>Big 12</v>
      </c>
      <c r="F48" s="1" t="s">
        <v>97</v>
      </c>
      <c r="H48" s="29">
        <f t="shared" si="1"/>
        <v>0</v>
      </c>
      <c r="I48" s="29">
        <f t="shared" si="2"/>
        <v>3</v>
      </c>
      <c r="J48" s="29">
        <f t="shared" si="11"/>
        <v>0</v>
      </c>
      <c r="K48" s="29">
        <f t="shared" si="18"/>
        <v>1</v>
      </c>
      <c r="L48" s="29"/>
      <c r="M48" s="29">
        <f>IFERROR(__xludf.DUMMYFUNCTION("counta(iferror(filter(L$2:L47,E$2:E47=E48,L$2:L47&lt;L48)))"),0.0)</f>
        <v>0</v>
      </c>
      <c r="N48" s="29">
        <f>IFERROR(__xludf.DUMMYFUNCTION("counta(iferror(filter(L49:L$129,E49:E$129=E48,L49:L$131&gt;L48)))"),0.0)</f>
        <v>0</v>
      </c>
      <c r="O48" s="34">
        <f t="array" ref="O48:W48">XLOOKUP(F48,'Current Week'!B:B,'Current Week'!C:N)</f>
        <v>7</v>
      </c>
      <c r="P48" s="29">
        <v>5.0</v>
      </c>
      <c r="Q48" s="30" t="s">
        <v>269</v>
      </c>
      <c r="R48" s="30" t="s">
        <v>202</v>
      </c>
      <c r="S48" s="30"/>
      <c r="T48" s="30" t="s">
        <v>203</v>
      </c>
      <c r="U48" s="37" t="s">
        <v>203</v>
      </c>
      <c r="V48" s="37"/>
      <c r="W48" s="37">
        <v>9999.0</v>
      </c>
      <c r="X48" s="37"/>
      <c r="Y48" s="37"/>
      <c r="Z48" s="37"/>
      <c r="AA48" s="39">
        <f t="shared" si="3"/>
        <v>-5</v>
      </c>
      <c r="AB48" s="37">
        <f t="shared" si="4"/>
        <v>16</v>
      </c>
      <c r="AC48" s="37">
        <f>IFERROR(__xludf.DUMMYFUNCTION("iferror(COUNT(filter($O49:$O$392,$O49:$O$392&gt;$O48)))"),21.0)</f>
        <v>21</v>
      </c>
      <c r="AD48" s="40">
        <f t="shared" si="5"/>
        <v>0</v>
      </c>
      <c r="AE48" s="41">
        <f t="shared" si="6"/>
        <v>5</v>
      </c>
      <c r="AF48" s="30" t="str">
        <f>IFERROR(__xludf.DUMMYFUNCTION("iferror(join("","",index(sort(filter($F49:$F$393,$O49:$O$393&gt;$O48),2,false),0,1)))"),"Virginia Tech,LSU,Marshall,Wisconsin,Penn State,USC,Oklahoma State,Auburn,Louisiana Tech,Florida,Baylor,UAB,Iowa,Minnesota,Kansas State,Indiana,Wake Forest,Western Kentucky,Virginia,Central Michigan,Louisville")</f>
        <v>Virginia Tech,LSU,Marshall,Wisconsin,Penn State,USC,Oklahoma State,Auburn,Louisiana Tech,Florida,Baylor,UAB,Iowa,Minnesota,Kansas State,Indiana,Wake Forest,Western Kentucky,Virginia,Central Michigan,Louisville</v>
      </c>
      <c r="AG48" s="39">
        <f>IFERROR(__xludf.DUMMYFUNCTION("iferror($O48-max(filter($O48:$O$392,$E48:$E$392=$E$2)))"),-5.0)</f>
        <v>-5</v>
      </c>
      <c r="AH48" s="37">
        <f t="shared" si="7"/>
        <v>0</v>
      </c>
      <c r="AI48" s="37">
        <f>IFERROR(__xludf.DUMMYFUNCTION("iferror(COUNT(filter($O49:$O$392,$O49:$O$392&gt;$O48,$E48:$E$392=$E$2)))"),0.0)</f>
        <v>0</v>
      </c>
      <c r="AJ48" s="40">
        <f t="shared" si="8"/>
        <v>0</v>
      </c>
      <c r="AK48" s="41">
        <f>IFERROR(__xludf.DUMMYFUNCTION("iferror($O48-min(filter($O48:$O$392,$E48:$E$392=$E$2)))"),5.0)</f>
        <v>5</v>
      </c>
      <c r="AL48" s="30" t="str">
        <f>IFERROR(__xludf.DUMMYFUNCTION("iferror(join("","",index(sort(filter($F49:$F$392,$O49:$O$392&gt;$O48,$E49:$E$392=$E$2),2,false),0,1)))"),"LSU,Auburn,Florida")</f>
        <v>LSU,Auburn,Florida</v>
      </c>
      <c r="AM48" s="30" t="str">
        <f>IFERROR(__xludf.DUMMYFUNCTION("REGEXREPLACE(join("","",unique({let(conf_picked,filter(E$1:E47,D$1:D47=D48), byrow(unique(TRANSPOSe(Teams!$1:$1)),lambda(rw,if(ISERROR(match(rw,conf_picked,0)),rw,))));iferror(if(#REF!,,transpose(split(#REF!,"","",1,1))))})), ""^,"", """")"),"AAC,,Big 12,Big Ten,CUSA,MAC,SEC,Sun Belt,Independent")</f>
        <v>AAC,,Big 12,Big Ten,CUSA,MAC,SEC,Sun Belt,Independent</v>
      </c>
      <c r="AN48" s="39">
        <f>IFERROR(__xludf.DUMMYFUNCTION("iferror($O48-max(filter($O48:$O$392,arrayformula(isnumber(FIND($E48:$E$392,AM48))))))"),-5.0)</f>
        <v>-5</v>
      </c>
      <c r="AO48" s="37">
        <f t="array" ref="AO48">countifs($O$2:$O47,"&lt;"&amp;$O48,isnumber(FIND($E$2:$E47,AM48)),TRUE)</f>
        <v>13</v>
      </c>
      <c r="AP48" s="37">
        <f>IFERROR(__xludf.DUMMYFUNCTION("iferror(COUNT(filter($O49:$O$392,$O49:$O$392&gt;$O48,arrayformula(isnumber(FIND($E49:$E$392,AM48))))))"),16.0)</f>
        <v>16</v>
      </c>
      <c r="AQ48" s="40">
        <f t="shared" si="9"/>
        <v>0</v>
      </c>
      <c r="AR48" s="41">
        <f>IFERROR(__xludf.DUMMYFUNCTION("iferror($O48-min(filter($O48:$O$392,arrayformula(isnumber(FIND($E48:$E$392,AM48))))))"),7.0)</f>
        <v>7</v>
      </c>
      <c r="AS48" s="48" t="str">
        <f>IFERROR(__xludf.DUMMYFUNCTION("iferror(join("","",index(sort(filter($F49:$F$392,$O49:$O$392&gt;$O48,arrayformula(isnumber(FIND($E49:$E$392,AM48)))),2,false),0,1)))"),"LSU,Marshall,Wisconsin,Penn State,Oklahoma State,Auburn,Louisiana Tech,Florida,Baylor,UAB,Iowa,Minnesota,Kansas State,Indiana,Western Kentucky,Central Michigan")</f>
        <v>LSU,Marshall,Wisconsin,Penn State,Oklahoma State,Auburn,Louisiana Tech,Florida,Baylor,UAB,Iowa,Minnesota,Kansas State,Indiana,Western Kentucky,Central Michigan</v>
      </c>
    </row>
    <row r="49">
      <c r="A49" s="1">
        <f t="shared" si="10"/>
        <v>48</v>
      </c>
      <c r="B49" s="1">
        <f t="shared" si="12"/>
        <v>4</v>
      </c>
      <c r="C49" s="1">
        <v>12.0</v>
      </c>
      <c r="D49" s="56" t="str">
        <f>D26</f>
        <v>DavEmily</v>
      </c>
      <c r="E49" s="52" t="str">
        <f>if(F49&lt;&gt;"",VLOOKUP(F49,offset('Teams-Conference'!A:B,0,(counta('Draft Order'!B$2:B129)-10)*2),2,0),"")</f>
        <v>ACC</v>
      </c>
      <c r="F49" s="1" t="s">
        <v>94</v>
      </c>
      <c r="H49" s="29">
        <f t="shared" si="1"/>
        <v>0</v>
      </c>
      <c r="I49" s="29">
        <f t="shared" si="2"/>
        <v>0</v>
      </c>
      <c r="J49" s="29">
        <f t="shared" si="11"/>
        <v>0</v>
      </c>
      <c r="K49" s="29">
        <f t="shared" si="18"/>
        <v>0</v>
      </c>
      <c r="L49" s="29"/>
      <c r="M49" s="29">
        <f>IFERROR(__xludf.DUMMYFUNCTION("counta(iferror(filter(L$2:L48,E$2:E48=E49,L$2:L48&lt;L49)))"),0.0)</f>
        <v>0</v>
      </c>
      <c r="N49" s="29">
        <f>IFERROR(__xludf.DUMMYFUNCTION("counta(iferror(filter(L50:L$129,E50:E$129=E49,L50:L$131&gt;L49)))"),0.0)</f>
        <v>0</v>
      </c>
      <c r="O49" s="34">
        <f t="array" ref="O49:W49">XLOOKUP(F49,'Current Week'!B:B,'Current Week'!C:N)</f>
        <v>8</v>
      </c>
      <c r="P49" s="29">
        <v>4.0</v>
      </c>
      <c r="Q49" s="30" t="s">
        <v>265</v>
      </c>
      <c r="R49" s="30" t="s">
        <v>202</v>
      </c>
      <c r="S49" s="30"/>
      <c r="T49" s="30" t="s">
        <v>203</v>
      </c>
      <c r="U49" s="37" t="s">
        <v>203</v>
      </c>
      <c r="V49" s="37"/>
      <c r="W49" s="37">
        <v>9999.0</v>
      </c>
      <c r="X49" s="37"/>
      <c r="Y49" s="37"/>
      <c r="Z49" s="37"/>
      <c r="AA49" s="39">
        <f t="shared" si="3"/>
        <v>-4</v>
      </c>
      <c r="AB49" s="37">
        <f t="shared" si="4"/>
        <v>26</v>
      </c>
      <c r="AC49" s="37">
        <f>IFERROR(__xludf.DUMMYFUNCTION("iferror(COUNT(filter($O50:$O$392,$O50:$O$392&gt;$O49)))"),11.0)</f>
        <v>11</v>
      </c>
      <c r="AD49" s="40">
        <f t="shared" si="5"/>
        <v>0</v>
      </c>
      <c r="AE49" s="41">
        <f t="shared" si="6"/>
        <v>6</v>
      </c>
      <c r="AF49" s="30" t="str">
        <f>IFERROR(__xludf.DUMMYFUNCTION("iferror(join("","",index(sort(filter($F50:$F$393,$O50:$O$393&gt;$O49),2,false),0,1)))"),"LSU,Wisconsin,Penn State,Auburn,Louisiana Tech,Florida,Baylor,UAB,Iowa,Minnesota,Virginia")</f>
        <v>LSU,Wisconsin,Penn State,Auburn,Louisiana Tech,Florida,Baylor,UAB,Iowa,Minnesota,Virginia</v>
      </c>
      <c r="AG49" s="39">
        <f>IFERROR(__xludf.DUMMYFUNCTION("iferror($O49-max(filter($O49:$O$392,$E49:$E$392=$E$2)))"),-4.0)</f>
        <v>-4</v>
      </c>
      <c r="AH49" s="37">
        <f t="shared" si="7"/>
        <v>0</v>
      </c>
      <c r="AI49" s="37">
        <f>IFERROR(__xludf.DUMMYFUNCTION("iferror(COUNT(filter($O50:$O$392,$O50:$O$392&gt;$O49,$E49:$E$392=$E$2)))"),0.0)</f>
        <v>0</v>
      </c>
      <c r="AJ49" s="40">
        <f t="shared" si="8"/>
        <v>0</v>
      </c>
      <c r="AK49" s="41">
        <f>IFERROR(__xludf.DUMMYFUNCTION("iferror($O49-min(filter($O49:$O$392,$E49:$E$392=$E$2)))"),6.0)</f>
        <v>6</v>
      </c>
      <c r="AL49" s="30" t="str">
        <f>IFERROR(__xludf.DUMMYFUNCTION("iferror(join("","",index(sort(filter($F50:$F$392,$O50:$O$392&gt;$O49,$E50:$E$392=$E$2),2,false),0,1)))"),"LSU,Auburn,Florida")</f>
        <v>LSU,Auburn,Florida</v>
      </c>
      <c r="AM49" s="30" t="str">
        <f>IFERROR(__xludf.DUMMYFUNCTION("REGEXREPLACE(join("","",unique({let(conf_picked,filter(E$1:E48,D$1:D48=D49), byrow(unique(TRANSPOSe(Teams!$1:$1)),lambda(rw,if(ISERROR(match(rw,conf_picked,0)),rw,))));iferror(if(#REF!,,transpose(split(#REF!,"","",1,1))))})), ""^,"", """")"),"AAC,ACC,,Big Ten,CUSA,MAC,Pac12,Sun Belt,Independent")</f>
        <v>AAC,ACC,,Big Ten,CUSA,MAC,Pac12,Sun Belt,Independent</v>
      </c>
      <c r="AN49" s="39">
        <f>IFERROR(__xludf.DUMMYFUNCTION("iferror($O49-max(filter($O49:$O$392,arrayformula(isnumber(FIND($E49:$E$392,AM49))))))"),-2.0)</f>
        <v>-2</v>
      </c>
      <c r="AO49" s="37">
        <f t="array" ref="AO49">countifs($O$2:$O48,"&lt;"&amp;$O49,isnumber(FIND($E$2:$E48,AM49)),TRUE)</f>
        <v>20</v>
      </c>
      <c r="AP49" s="37">
        <f>IFERROR(__xludf.DUMMYFUNCTION("iferror(COUNT(filter($O50:$O$392,$O50:$O$392&gt;$O49,arrayformula(isnumber(FIND($E50:$E$392,AM49))))))"),7.0)</f>
        <v>7</v>
      </c>
      <c r="AQ49" s="40">
        <f t="shared" si="9"/>
        <v>0</v>
      </c>
      <c r="AR49" s="41">
        <f>IFERROR(__xludf.DUMMYFUNCTION("iferror($O49-min(filter($O49:$O$392,arrayformula(isnumber(FIND($E49:$E$392,AM49))))))"),8.0)</f>
        <v>8</v>
      </c>
      <c r="AS49" s="48" t="str">
        <f>IFERROR(__xludf.DUMMYFUNCTION("iferror(join("","",index(sort(filter($F50:$F$392,$O50:$O$392&gt;$O49,arrayformula(isnumber(FIND($E50:$E$392,AM49)))),2,false),0,1)))"),"Wisconsin,Penn State,Louisiana Tech,UAB,Iowa,Minnesota,Virginia")</f>
        <v>Wisconsin,Penn State,Louisiana Tech,UAB,Iowa,Minnesota,Virginia</v>
      </c>
    </row>
    <row r="50">
      <c r="A50" s="25">
        <f t="shared" si="10"/>
        <v>49</v>
      </c>
      <c r="B50" s="25">
        <f t="shared" si="12"/>
        <v>5</v>
      </c>
      <c r="C50" s="25">
        <v>1.0</v>
      </c>
      <c r="D50" s="27" t="str">
        <f t="shared" ref="D50:D61" si="19">D26</f>
        <v>DavEmily</v>
      </c>
      <c r="E50" s="28" t="str">
        <f>if(F50&lt;&gt;"",VLOOKUP(F50,offset('Teams-Conference'!A:B,0,(counta('Draft Order'!B$2:B129)-10)*2),2,0),"")</f>
        <v>Big Ten</v>
      </c>
      <c r="F50" s="25" t="s">
        <v>116</v>
      </c>
      <c r="G50" s="25"/>
      <c r="H50" s="29">
        <f t="shared" si="1"/>
        <v>2</v>
      </c>
      <c r="I50" s="29">
        <f t="shared" si="2"/>
        <v>2</v>
      </c>
      <c r="J50" s="29">
        <f t="shared" si="11"/>
        <v>0</v>
      </c>
      <c r="K50" s="29">
        <f t="shared" si="18"/>
        <v>0</v>
      </c>
      <c r="L50" s="29"/>
      <c r="M50" s="29">
        <f>IFERROR(__xludf.DUMMYFUNCTION("counta(iferror(filter(L$2:L49,E$2:E49=E50,L$2:L49&lt;L50)))"),0.0)</f>
        <v>0</v>
      </c>
      <c r="N50" s="29">
        <f>IFERROR(__xludf.DUMMYFUNCTION("counta(iferror(filter(L51:L$129,E51:E$129=E50,L51:L$131&gt;L50)))"),0.0)</f>
        <v>0</v>
      </c>
      <c r="O50" s="34">
        <f t="array" ref="O50:W50">XLOOKUP(F50,'Current Week'!B:B,'Current Week'!C:N)</f>
        <v>5</v>
      </c>
      <c r="P50" s="29">
        <v>7.0</v>
      </c>
      <c r="Q50" s="30" t="s">
        <v>266</v>
      </c>
      <c r="R50" s="35" t="s">
        <v>202</v>
      </c>
      <c r="S50" s="30"/>
      <c r="T50" s="30" t="s">
        <v>203</v>
      </c>
      <c r="U50" s="37" t="s">
        <v>203</v>
      </c>
      <c r="V50" s="37"/>
      <c r="W50" s="37">
        <v>9999.0</v>
      </c>
      <c r="X50" s="37"/>
      <c r="Y50" s="37"/>
      <c r="Z50" s="37"/>
      <c r="AA50" s="39">
        <f t="shared" si="3"/>
        <v>-7</v>
      </c>
      <c r="AB50" s="37">
        <f t="shared" si="4"/>
        <v>5</v>
      </c>
      <c r="AC50" s="37">
        <f>IFERROR(__xludf.DUMMYFUNCTION("iferror(COUNT(filter($O51:$O$392,$O51:$O$392&gt;$O50)))"),38.0)</f>
        <v>38</v>
      </c>
      <c r="AD50" s="40">
        <f t="shared" si="5"/>
        <v>0</v>
      </c>
      <c r="AE50" s="41">
        <f t="shared" si="6"/>
        <v>3</v>
      </c>
      <c r="AF50" s="30" t="str">
        <f>IFERROR(__xludf.DUMMYFUNCTION("iferror(join("","",index(sort(filter($F51:$F$393,$O51:$O$393&gt;$O50),2,false),0,1)))"),"LSU,Marshall,Wisconsin,Penn State,Georgia State,USC,Oklahoma State,Auburn,Louisiana Tech,Southern Mississippi,Florida,Baylor,UAB,Arizona State,California,Michigan State,BYU,Iowa,Texas A&amp;M,Minnesota,Kansas State,Indiana,Florida State,Wake Forest,Western Ke"&amp;"ntucky,Virginia,Charlotte,Pittsburgh,Missouri,Boston College,Mississippi State,Tennessee,Kent State,Kentucky,Central Michigan,North Carolina,Louisville,Illinois")</f>
        <v>LSU,Marshall,Wisconsin,Penn State,Georgia State,USC,Oklahoma State,Auburn,Louisiana Tech,Southern Mississippi,Florida,Baylor,UAB,Arizona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  <c r="AG50" s="39">
        <f>IFERROR(__xludf.DUMMYFUNCTION("iferror($O50-max(filter($O50:$O$392,$E50:$E$392=$E$2)))"),-7.0)</f>
        <v>-7</v>
      </c>
      <c r="AH50" s="37">
        <f t="shared" si="7"/>
        <v>0</v>
      </c>
      <c r="AI50" s="37">
        <f>IFERROR(__xludf.DUMMYFUNCTION("iferror(COUNT(filter($O51:$O$392,$O51:$O$392&gt;$O50,$E50:$E$392=$E$2)))"),0.0)</f>
        <v>0</v>
      </c>
      <c r="AJ50" s="40">
        <f t="shared" si="8"/>
        <v>0</v>
      </c>
      <c r="AK50" s="41">
        <f>IFERROR(__xludf.DUMMYFUNCTION("iferror($O50-min(filter($O50:$O$392,$E50:$E$392=$E$2)))"),3.0)</f>
        <v>3</v>
      </c>
      <c r="AL50" s="30" t="str">
        <f>IFERROR(__xludf.DUMMYFUNCTION("iferror(join("","",index(sort(filter($F51:$F$392,$O51:$O$392&gt;$O50,$E51:$E$392=$E$2),2,false),0,1)))"),"LSU,Auburn,Florida,Texas A&amp;M,Missouri,Mississippi State,Tennessee,Kentucky")</f>
        <v>LSU,Auburn,Florida,Texas A&amp;M,Missouri,Mississippi State,Tennessee,Kentucky</v>
      </c>
      <c r="AM50" s="30" t="str">
        <f>IFERROR(__xludf.DUMMYFUNCTION("REGEXREPLACE(join("","",unique({let(conf_picked,filter(E$1:E49,D$1:D49=D50), byrow(unique(TRANSPOSe(Teams!$1:$1)),lambda(rw,if(ISERROR(match(rw,conf_picked,0)),rw,))));iferror(if(#REF!,,transpose(split(#REF!,"","",1,1))))})), ""^,"", """")"),"AAC,,Big Ten,CUSA,MAC,Pac12,Sun Belt,Independent")</f>
        <v>AAC,,Big Ten,CUSA,MAC,Pac12,Sun Belt,Independent</v>
      </c>
      <c r="AN50" s="39">
        <f>IFERROR(__xludf.DUMMYFUNCTION("iferror($O50-max(filter($O50:$O$392,arrayformula(isnumber(FIND($E50:$E$392,AM50))))))"),-5.0)</f>
        <v>-5</v>
      </c>
      <c r="AO50" s="37">
        <f t="array" ref="AO50">countifs($O$2:$O49,"&lt;"&amp;$O50,isnumber(FIND($E$2:$E49,AM50)),TRUE)</f>
        <v>4</v>
      </c>
      <c r="AP50" s="37">
        <f>IFERROR(__xludf.DUMMYFUNCTION("iferror(COUNT(filter($O51:$O$392,$O51:$O$392&gt;$O50,arrayformula(isnumber(FIND($E51:$E$392,AM50))))))"),19.0)</f>
        <v>19</v>
      </c>
      <c r="AQ50" s="40">
        <f t="shared" si="9"/>
        <v>0</v>
      </c>
      <c r="AR50" s="41">
        <f>IFERROR(__xludf.DUMMYFUNCTION("iferror($O50-min(filter($O50:$O$392,arrayformula(isnumber(FIND($E50:$E$392,AM50))))))"),5.0)</f>
        <v>5</v>
      </c>
      <c r="AS50" s="48" t="str">
        <f>IFERROR(__xludf.DUMMYFUNCTION("iferror(join("","",index(sort(filter($F51:$F$392,$O51:$O$392&gt;$O50,arrayformula(isnumber(FIND($E51:$E$392,AM50)))),2,false),0,1)))"),"Marshall,Wisconsin,Penn State,Georgia State,USC,Louisiana Tech,Southern Mississippi,UAB,Arizona State,California,Michigan State,Iowa,Minnesota,Indiana,Western Kentucky,Charlotte,Kent State,Central Michigan,Illinois")</f>
        <v>Marshall,Wisconsin,Penn State,Georgia State,USC,Louisiana Tech,Southern Mississippi,UAB,Arizona State,California,Michigan State,Iowa,Minnesota,Indiana,Western Kentucky,Charlotte,Kent State,Central Michigan,Illinois</v>
      </c>
    </row>
    <row r="51">
      <c r="A51" s="1">
        <f t="shared" si="10"/>
        <v>50</v>
      </c>
      <c r="B51" s="1">
        <f t="shared" si="12"/>
        <v>5</v>
      </c>
      <c r="C51" s="1">
        <v>2.0</v>
      </c>
      <c r="D51" s="51" t="str">
        <f t="shared" si="19"/>
        <v>Nick A.</v>
      </c>
      <c r="E51" s="52" t="str">
        <f>if(F51&lt;&gt;"",VLOOKUP(F51,offset('Teams-Conference'!A:B,0,(counta('Draft Order'!B$2:B129)-10)*2),2,0),"")</f>
        <v>SEC</v>
      </c>
      <c r="F51" s="24" t="s">
        <v>178</v>
      </c>
      <c r="H51" s="29">
        <f t="shared" si="1"/>
        <v>0</v>
      </c>
      <c r="I51" s="29">
        <f t="shared" si="2"/>
        <v>2</v>
      </c>
      <c r="J51" s="29">
        <f t="shared" si="11"/>
        <v>0</v>
      </c>
      <c r="K51" s="29">
        <f t="shared" si="18"/>
        <v>2</v>
      </c>
      <c r="L51" s="29"/>
      <c r="M51" s="29">
        <f>IFERROR(__xludf.DUMMYFUNCTION("counta(iferror(filter(L$2:L50,E$2:E50=E51,L$2:L50&lt;L51)))"),0.0)</f>
        <v>0</v>
      </c>
      <c r="N51" s="29">
        <f>IFERROR(__xludf.DUMMYFUNCTION("counta(iferror(filter(L52:L$129,E52:E$129=E51,L52:L$131&gt;L51)))"),0.0)</f>
        <v>0</v>
      </c>
      <c r="O51" s="34">
        <f t="array" ref="O51:W51">XLOOKUP(F51,'Current Week'!B:B,'Current Week'!C:N)</f>
        <v>12</v>
      </c>
      <c r="P51" s="29">
        <v>0.0</v>
      </c>
      <c r="Q51" s="30" t="s">
        <v>201</v>
      </c>
      <c r="R51" s="30" t="s">
        <v>235</v>
      </c>
      <c r="S51" s="30" t="s">
        <v>225</v>
      </c>
      <c r="T51" s="30" t="s">
        <v>246</v>
      </c>
      <c r="U51" s="37" t="s">
        <v>237</v>
      </c>
      <c r="V51" s="37" t="s">
        <v>48</v>
      </c>
      <c r="W51" s="37" t="s">
        <v>225</v>
      </c>
      <c r="X51" s="37"/>
      <c r="Y51" s="37"/>
      <c r="Z51" s="37"/>
      <c r="AA51" s="39">
        <f t="shared" si="3"/>
        <v>0</v>
      </c>
      <c r="AB51" s="37">
        <f t="shared" si="4"/>
        <v>47</v>
      </c>
      <c r="AC51" s="37">
        <f>IFERROR(__xludf.DUMMYFUNCTION("iferror(COUNT(filter($O52:$O$392,$O52:$O$392&gt;$O51)))"),0.0)</f>
        <v>0</v>
      </c>
      <c r="AD51" s="40">
        <f t="shared" si="5"/>
        <v>1</v>
      </c>
      <c r="AE51" s="41">
        <f t="shared" si="6"/>
        <v>10</v>
      </c>
      <c r="AF51" s="30" t="str">
        <f>IFERROR(__xludf.DUMMYFUNCTION("iferror(join("","",index(sort(filter($F52:$F$393,$O52:$O$393&gt;$O51),2,false),0,1)))"),"")</f>
        <v/>
      </c>
      <c r="AG51" s="39">
        <f>IFERROR(__xludf.DUMMYFUNCTION("iferror($O51-max(filter($O51:$O$392,$E51:$E$392=$E$2)))"),0.0)</f>
        <v>0</v>
      </c>
      <c r="AH51" s="37">
        <f t="shared" si="7"/>
        <v>2</v>
      </c>
      <c r="AI51" s="37">
        <f>IFERROR(__xludf.DUMMYFUNCTION("iferror(COUNT(filter($O52:$O$392,$O52:$O$392&gt;$O51,$E51:$E$392=$E$2)))"),0.0)</f>
        <v>0</v>
      </c>
      <c r="AJ51" s="40">
        <f t="shared" si="8"/>
        <v>1</v>
      </c>
      <c r="AK51" s="41">
        <f>IFERROR(__xludf.DUMMYFUNCTION("iferror($O51-min(filter($O51:$O$392,$E51:$E$392=$E$2)))"),10.0)</f>
        <v>10</v>
      </c>
      <c r="AL51" s="30" t="str">
        <f>IFERROR(__xludf.DUMMYFUNCTION("iferror(join("","",index(sort(filter($F52:$F$392,$O52:$O$392&gt;$O51,$E52:$E$392=$E$2),2,false),0,1)))"),"")</f>
        <v/>
      </c>
      <c r="AM51" s="30" t="str">
        <f>IFERROR(__xludf.DUMMYFUNCTION("REGEXREPLACE(join("","",unique({let(conf_picked,filter(E$1:E50,D$1:D50=D51), byrow(unique(TRANSPOSe(Teams!$1:$1)),lambda(rw,if(ISERROR(match(rw,conf_picked,0)),rw,))));iferror(if(#REF!,,transpose(split(#REF!,"","",1,1))))})), ""^,"", """")"),"AAC,,Big Ten,CUSA,MAC,SEC,Sun Belt,Independent")</f>
        <v>AAC,,Big Ten,CUSA,MAC,SEC,Sun Belt,Independent</v>
      </c>
      <c r="AN51" s="39">
        <f>IFERROR(__xludf.DUMMYFUNCTION("iferror($O51-max(filter($O51:$O$392,arrayformula(isnumber(FIND($E51:$E$392,AM51))))))"),0.0)</f>
        <v>0</v>
      </c>
      <c r="AO51" s="37">
        <f t="array" ref="AO51">countifs($O$2:$O50,"&lt;"&amp;$O51,isnumber(FIND($E$2:$E50,AM51)),TRUE)</f>
        <v>29</v>
      </c>
      <c r="AP51" s="37">
        <f>IFERROR(__xludf.DUMMYFUNCTION("iferror(COUNT(filter($O52:$O$392,$O52:$O$392&gt;$O51,arrayformula(isnumber(FIND($E52:$E$392,AM51))))))"),0.0)</f>
        <v>0</v>
      </c>
      <c r="AQ51" s="40">
        <f t="shared" si="9"/>
        <v>1</v>
      </c>
      <c r="AR51" s="41">
        <f>IFERROR(__xludf.DUMMYFUNCTION("iferror($O51-min(filter($O51:$O$392,arrayformula(isnumber(FIND($E51:$E$392,AM51))))))"),12.0)</f>
        <v>12</v>
      </c>
      <c r="AS51" s="48" t="str">
        <f>IFERROR(__xludf.DUMMYFUNCTION("iferror(join("","",index(sort(filter($F52:$F$392,$O52:$O$392&gt;$O51,arrayformula(isnumber(FIND($E52:$E$392,AM51)))),2,false),0,1)))"),"")</f>
        <v/>
      </c>
    </row>
    <row r="52">
      <c r="A52" s="1">
        <f t="shared" si="10"/>
        <v>51</v>
      </c>
      <c r="B52" s="1">
        <f t="shared" si="12"/>
        <v>5</v>
      </c>
      <c r="C52" s="1">
        <v>3.0</v>
      </c>
      <c r="D52" s="56" t="str">
        <f t="shared" si="19"/>
        <v>Gary</v>
      </c>
      <c r="E52" s="52" t="str">
        <f>if(F52&lt;&gt;"",VLOOKUP(F52,offset('Teams-Conference'!A:B,0,(counta('Draft Order'!B$2:B129)-10)*2),2,0),"")</f>
        <v>CUSA</v>
      </c>
      <c r="F52" t="s">
        <v>126</v>
      </c>
      <c r="H52" s="29">
        <f t="shared" si="1"/>
        <v>1</v>
      </c>
      <c r="I52" s="29">
        <f t="shared" si="2"/>
        <v>4</v>
      </c>
      <c r="J52" s="29">
        <f t="shared" si="11"/>
        <v>1</v>
      </c>
      <c r="K52" s="29">
        <f>countif(E33:E52,E54)</f>
        <v>4</v>
      </c>
      <c r="L52" s="29"/>
      <c r="M52" s="29">
        <f>IFERROR(__xludf.DUMMYFUNCTION("counta(iferror(filter(L$2:L51,E$2:E51=E52,L$2:L51&lt;L52)))"),0.0)</f>
        <v>0</v>
      </c>
      <c r="N52" s="29">
        <f>IFERROR(__xludf.DUMMYFUNCTION("counta(iferror(filter(L53:L$129,E53:E$129=E52,L53:L$131&gt;L52)))"),0.0)</f>
        <v>0</v>
      </c>
      <c r="O52" s="34">
        <f t="array" ref="O52:W52">XLOOKUP(F52,'Current Week'!B:B,'Current Week'!C:N)</f>
        <v>8</v>
      </c>
      <c r="P52" s="29">
        <v>4.0</v>
      </c>
      <c r="Q52" s="30" t="s">
        <v>260</v>
      </c>
      <c r="R52" s="30" t="s">
        <v>202</v>
      </c>
      <c r="S52" s="30"/>
      <c r="T52" s="30" t="s">
        <v>203</v>
      </c>
      <c r="U52" s="37" t="s">
        <v>203</v>
      </c>
      <c r="V52" s="37"/>
      <c r="W52" s="37">
        <v>9999.0</v>
      </c>
      <c r="X52" s="37"/>
      <c r="Y52" s="37"/>
      <c r="Z52" s="37"/>
      <c r="AA52" s="39">
        <f t="shared" si="3"/>
        <v>-3</v>
      </c>
      <c r="AB52" s="37">
        <f t="shared" si="4"/>
        <v>27</v>
      </c>
      <c r="AC52" s="37">
        <f>IFERROR(__xludf.DUMMYFUNCTION("iferror(COUNT(filter($O53:$O$392,$O53:$O$392&gt;$O52)))"),10.0)</f>
        <v>10</v>
      </c>
      <c r="AD52" s="40">
        <f t="shared" si="5"/>
        <v>0</v>
      </c>
      <c r="AE52" s="41">
        <f t="shared" si="6"/>
        <v>6</v>
      </c>
      <c r="AF52" s="30" t="str">
        <f>IFERROR(__xludf.DUMMYFUNCTION("iferror(join("","",index(sort(filter($F53:$F$393,$O53:$O$393&gt;$O52),2,false),0,1)))"),"Wisconsin,Penn State,Auburn,Louisiana Tech,Florida,Baylor,UAB,Iowa,Minnesota,Virginia")</f>
        <v>Wisconsin,Penn State,Auburn,Louisiana Tech,Florida,Baylor,UAB,Iowa,Minnesota,Virginia</v>
      </c>
      <c r="AG52" s="39">
        <f>IFERROR(__xludf.DUMMYFUNCTION("iferror($O52-max(filter($O52:$O$392,$E52:$E$392=$E$2)))"),-2.0)</f>
        <v>-2</v>
      </c>
      <c r="AH52" s="37">
        <f t="shared" si="7"/>
        <v>0</v>
      </c>
      <c r="AI52" s="37">
        <f>IFERROR(__xludf.DUMMYFUNCTION("iferror(COUNT(filter($O53:$O$392,$O53:$O$392&gt;$O52,$E52:$E$392=$E$2)))"),0.0)</f>
        <v>0</v>
      </c>
      <c r="AJ52" s="40">
        <f t="shared" si="8"/>
        <v>0</v>
      </c>
      <c r="AK52" s="41">
        <f>IFERROR(__xludf.DUMMYFUNCTION("iferror($O52-min(filter($O52:$O$392,$E52:$E$392=$E$2)))"),6.0)</f>
        <v>6</v>
      </c>
      <c r="AL52" s="30" t="str">
        <f>IFERROR(__xludf.DUMMYFUNCTION("iferror(join("","",index(sort(filter($F53:$F$392,$O53:$O$392&gt;$O52,$E53:$E$392=$E$2),2,false),0,1)))"),"Auburn,Florida")</f>
        <v>Auburn,Florida</v>
      </c>
      <c r="AM52" s="30" t="str">
        <f>IFERROR(__xludf.DUMMYFUNCTION("REGEXREPLACE(join("","",unique({let(conf_picked,filter(E$1:E51,D$1:D51=D52), byrow(unique(TRANSPOSe(Teams!$1:$1)),lambda(rw,if(ISERROR(match(rw,conf_picked,0)),rw,))));iferror(if(#REF!,,transpose(split(#REF!,"","",1,1))))})), ""^,"", """")"),"ACC,Big 12,Big Ten,CUSA,Pac12,SEC,Independent")</f>
        <v>ACC,Big 12,Big Ten,CUSA,Pac12,SEC,Independent</v>
      </c>
      <c r="AN52" s="39">
        <f>IFERROR(__xludf.DUMMYFUNCTION("iferror($O52-max(filter($O52:$O$392,arrayformula(isnumber(FIND($E52:$E$392,AM52))))))"),-3.0)</f>
        <v>-3</v>
      </c>
      <c r="AO52" s="37">
        <f t="array" ref="AO52">countifs($O$2:$O51,"&lt;"&amp;$O52,isnumber(FIND($E$2:$E51,AM52)),TRUE)</f>
        <v>7</v>
      </c>
      <c r="AP52" s="37">
        <f>IFERROR(__xludf.DUMMYFUNCTION("iferror(COUNT(filter($O53:$O$392,$O53:$O$392&gt;$O52,arrayformula(isnumber(FIND($E53:$E$392,AM52))))))"),10.0)</f>
        <v>10</v>
      </c>
      <c r="AQ52" s="40">
        <f t="shared" si="9"/>
        <v>0</v>
      </c>
      <c r="AR52" s="41">
        <f>IFERROR(__xludf.DUMMYFUNCTION("iferror($O52-min(filter($O52:$O$392,arrayformula(isnumber(FIND($E52:$E$392,AM52))))))"),7.0)</f>
        <v>7</v>
      </c>
      <c r="AS52" s="48" t="str">
        <f>IFERROR(__xludf.DUMMYFUNCTION("iferror(join("","",index(sort(filter($F53:$F$392,$O53:$O$392&gt;$O52,arrayformula(isnumber(FIND($E53:$E$392,AM52)))),2,false),0,1)))"),"Wisconsin,Penn State,Auburn,Louisiana Tech,Florida,Baylor,UAB,Iowa,Minnesota,Virginia")</f>
        <v>Wisconsin,Penn State,Auburn,Louisiana Tech,Florida,Baylor,UAB,Iowa,Minnesota,Virginia</v>
      </c>
    </row>
    <row r="53">
      <c r="A53" s="1">
        <f t="shared" si="10"/>
        <v>52</v>
      </c>
      <c r="B53" s="1">
        <f t="shared" si="12"/>
        <v>5</v>
      </c>
      <c r="C53" s="1">
        <v>4.0</v>
      </c>
      <c r="D53" s="51" t="str">
        <f t="shared" si="19"/>
        <v>Janice/Mike</v>
      </c>
      <c r="E53" s="52" t="str">
        <f>if(F53&lt;&gt;"",VLOOKUP(F53,offset('Teams-Conference'!A:B,0,(counta('Draft Order'!B$2:B129)-10)*2),2,0),"")</f>
        <v>Big Ten</v>
      </c>
      <c r="F53" s="163" t="s">
        <v>122</v>
      </c>
      <c r="H53" s="29">
        <f t="shared" si="1"/>
        <v>1</v>
      </c>
      <c r="I53" s="29">
        <f t="shared" si="2"/>
        <v>2</v>
      </c>
      <c r="J53" s="29">
        <f t="shared" si="11"/>
        <v>1</v>
      </c>
      <c r="K53" s="30"/>
      <c r="L53" s="29"/>
      <c r="M53" s="29">
        <f>IFERROR(__xludf.DUMMYFUNCTION("counta(iferror(filter(L$2:L52,E$2:E52=E53,L$2:L52&lt;L53)))"),0.0)</f>
        <v>0</v>
      </c>
      <c r="N53" s="29">
        <f>IFERROR(__xludf.DUMMYFUNCTION("counta(iferror(filter(L54:L$129,E54:E$129=E53,L54:L$131&gt;L53)))"),0.0)</f>
        <v>0</v>
      </c>
      <c r="O53" s="34">
        <f t="array" ref="O53:W53">XLOOKUP(F53,'Current Week'!B:B,'Current Week'!C:N)</f>
        <v>10</v>
      </c>
      <c r="P53" s="29">
        <v>2.0</v>
      </c>
      <c r="Q53" s="30" t="s">
        <v>266</v>
      </c>
      <c r="R53" s="30" t="s">
        <v>249</v>
      </c>
      <c r="S53" s="30" t="s">
        <v>250</v>
      </c>
      <c r="T53" s="30" t="s">
        <v>251</v>
      </c>
      <c r="U53" s="37" t="s">
        <v>280</v>
      </c>
      <c r="V53" s="37" t="s">
        <v>74</v>
      </c>
      <c r="W53" s="37" t="s">
        <v>250</v>
      </c>
      <c r="X53" s="37"/>
      <c r="Y53" s="37"/>
      <c r="Z53" s="37"/>
      <c r="AA53" s="39">
        <f t="shared" si="3"/>
        <v>-1</v>
      </c>
      <c r="AB53" s="37">
        <f t="shared" si="4"/>
        <v>35</v>
      </c>
      <c r="AC53" s="37">
        <f>IFERROR(__xludf.DUMMYFUNCTION("iferror(COUNT(filter($O54:$O$392,$O54:$O$392&gt;$O53)))"),1.0)</f>
        <v>1</v>
      </c>
      <c r="AD53" s="40">
        <f t="shared" si="5"/>
        <v>0</v>
      </c>
      <c r="AE53" s="41">
        <f t="shared" si="6"/>
        <v>8</v>
      </c>
      <c r="AF53" s="30" t="str">
        <f>IFERROR(__xludf.DUMMYFUNCTION("iferror(join("","",index(sort(filter($F54:$F$393,$O54:$O$393&gt;$O53),2,false),0,1)))"),"Baylor")</f>
        <v>Baylor</v>
      </c>
      <c r="AG53" s="39">
        <f>IFERROR(__xludf.DUMMYFUNCTION("iferror($O53-max(filter($O53:$O$392,$E53:$E$392=$E$2)))"),0.0)</f>
        <v>0</v>
      </c>
      <c r="AH53" s="37">
        <f t="shared" si="7"/>
        <v>0</v>
      </c>
      <c r="AI53" s="37">
        <f>IFERROR(__xludf.DUMMYFUNCTION("iferror(COUNT(filter($O54:$O$392,$O54:$O$392&gt;$O53,$E53:$E$392=$E$2)))"),0.0)</f>
        <v>0</v>
      </c>
      <c r="AJ53" s="40">
        <f t="shared" si="8"/>
        <v>1</v>
      </c>
      <c r="AK53" s="41">
        <f>IFERROR(__xludf.DUMMYFUNCTION("iferror($O53-min(filter($O53:$O$392,$E53:$E$392=$E$2)))"),8.0)</f>
        <v>8</v>
      </c>
      <c r="AL53" s="30" t="str">
        <f>IFERROR(__xludf.DUMMYFUNCTION("iferror(join("","",index(sort(filter($F54:$F$392,$O54:$O$392&gt;$O53,$E54:$E$392=$E$2),2,false),0,1)))"),"")</f>
        <v/>
      </c>
      <c r="AM53" s="30" t="str">
        <f>IFERROR(__xludf.DUMMYFUNCTION("REGEXREPLACE(join("","",unique({let(conf_picked,filter(E$1:E52,D$1:D52=D53), byrow(unique(TRANSPOSe(Teams!$1:$1)),lambda(rw,if(ISERROR(match(rw,conf_picked,0)),rw,))));iferror(if(#REF!,,transpose(split(#REF!,"","",1,1))))})), ""^,"", """")"),"ACC,Big 12,Big Ten,CUSA,Pac12,SEC,Independent")</f>
        <v>ACC,Big 12,Big Ten,CUSA,Pac12,SEC,Independent</v>
      </c>
      <c r="AN53" s="39">
        <f>IFERROR(__xludf.DUMMYFUNCTION("iferror($O53-max(filter($O53:$O$392,arrayformula(isnumber(FIND($E53:$E$392,AM53))))))"),-1.0)</f>
        <v>-1</v>
      </c>
      <c r="AO53" s="37">
        <f t="array" ref="AO53">countifs($O$2:$O52,"&lt;"&amp;$O53,isnumber(FIND($E$2:$E52,AM53)),TRUE)</f>
        <v>11</v>
      </c>
      <c r="AP53" s="37">
        <f>IFERROR(__xludf.DUMMYFUNCTION("iferror(COUNT(filter($O54:$O$392,$O54:$O$392&gt;$O53,arrayformula(isnumber(FIND($E54:$E$392,AM53))))))"),1.0)</f>
        <v>1</v>
      </c>
      <c r="AQ53" s="40">
        <f t="shared" si="9"/>
        <v>0</v>
      </c>
      <c r="AR53" s="41">
        <f>IFERROR(__xludf.DUMMYFUNCTION("iferror($O53-min(filter($O53:$O$392,arrayformula(isnumber(FIND($E53:$E$392,AM53))))))"),9.0)</f>
        <v>9</v>
      </c>
      <c r="AS53" s="48" t="str">
        <f>IFERROR(__xludf.DUMMYFUNCTION("iferror(join("","",index(sort(filter($F54:$F$392,$O54:$O$392&gt;$O53,arrayformula(isnumber(FIND($E54:$E$392,AM53)))),2,false),0,1)))"),"Baylor")</f>
        <v>Baylor</v>
      </c>
    </row>
    <row r="54">
      <c r="A54" s="1">
        <f t="shared" si="10"/>
        <v>53</v>
      </c>
      <c r="B54" s="1">
        <f t="shared" si="12"/>
        <v>5</v>
      </c>
      <c r="C54" s="1">
        <v>5.0</v>
      </c>
      <c r="D54" s="51" t="str">
        <f t="shared" si="19"/>
        <v>Nico</v>
      </c>
      <c r="E54" s="52" t="str">
        <f>if(F54&lt;&gt;"",VLOOKUP(F54,offset('Teams-Conference'!A:B,0,(counta('Draft Order'!B$2:B129)-10)*2),2,0),"")</f>
        <v>MWC</v>
      </c>
      <c r="F54" s="24" t="s">
        <v>155</v>
      </c>
      <c r="H54" s="29">
        <f t="shared" si="1"/>
        <v>1</v>
      </c>
      <c r="I54" s="29">
        <f t="shared" si="2"/>
        <v>1</v>
      </c>
      <c r="J54" s="29">
        <f t="shared" si="11"/>
        <v>0</v>
      </c>
      <c r="K54" s="29">
        <f>countif(E34:E54,E55)</f>
        <v>2</v>
      </c>
      <c r="L54" s="29"/>
      <c r="M54" s="29">
        <f>IFERROR(__xludf.DUMMYFUNCTION("counta(iferror(filter(L$2:L53,E$2:E53=E54,L$2:L53&lt;L54)))"),0.0)</f>
        <v>0</v>
      </c>
      <c r="N54" s="29">
        <f>IFERROR(__xludf.DUMMYFUNCTION("counta(iferror(filter(L55:L$129,E55:E$129=E54,L55:L$131&gt;L54)))"),0.0)</f>
        <v>0</v>
      </c>
      <c r="O54" s="34">
        <f t="array" ref="O54:W54">XLOOKUP(F54,'Current Week'!B:B,'Current Week'!C:N)</f>
        <v>2</v>
      </c>
      <c r="P54" s="29">
        <v>10.0</v>
      </c>
      <c r="Q54" s="30" t="s">
        <v>215</v>
      </c>
      <c r="R54" s="35" t="s">
        <v>202</v>
      </c>
      <c r="S54" s="30"/>
      <c r="T54" s="30" t="s">
        <v>203</v>
      </c>
      <c r="U54" s="37" t="s">
        <v>203</v>
      </c>
      <c r="V54" s="37"/>
      <c r="W54" s="37">
        <v>9999.0</v>
      </c>
      <c r="X54" s="37"/>
      <c r="Y54" s="37"/>
      <c r="Z54" s="37"/>
      <c r="AA54" s="39">
        <f t="shared" si="3"/>
        <v>-9</v>
      </c>
      <c r="AB54" s="37">
        <f t="shared" si="4"/>
        <v>0</v>
      </c>
      <c r="AC54" s="37">
        <f>IFERROR(__xludf.DUMMYFUNCTION("iferror(COUNT(filter($O55:$O$392,$O55:$O$392&gt;$O54)))"),67.0)</f>
        <v>67</v>
      </c>
      <c r="AD54" s="40">
        <f t="shared" si="5"/>
        <v>0</v>
      </c>
      <c r="AE54" s="41">
        <f t="shared" si="6"/>
        <v>0</v>
      </c>
      <c r="AF54" s="30" t="str">
        <f>IFERROR(__xludf.DUMMYFUNCTION("iferror(join("","",index(sort(filter($F55:$F$393,$O55:$O$393&gt;$O54),2,false),0,1)))"),"Penn State,UNLV,Georgia State,North Texas,USC,Oklahoma State,Stanford,Auburn,Louisiana Tech,Southern Mississippi,TCU,Florida,Baylor,UAB,Arizona State,Arizona,UCLA,East Carolina,California,Tulsa,Michigan State,BYU,Texas Tech,Purdue,Colorado,Iowa,Northweste"&amp;"rn,Texas A&amp;M,Minnesota,Texas State,NC State,Kansas State,Indiana,Florida State,Syracuse,Wake Forest,Western Kentucky,Virginia,Middle Tennessee,Charlotte,Pittsburgh,Ball State,Coastal Carolina,Missouri,Boston College,West Virginia,Mississippi State,Tenness"&amp;"ee,Oregon State,Kent State,Kentucky,Colorado State,Central Michigan,South Carolina,Kansas,Duke,San José State,North Carolina,Maryland,Bowling Green,UTSA,Louisville,Illinois,Ole Miss,Georgia Tech,Rice,Vanderbilt")</f>
        <v>Penn State,UNLV,Georgia State,North Texas,USC,Oklahoma State,Stanford,Auburn,Louisiana Tech,Southern Mississippi,TCU,Florida,Baylor,UAB,Arizona State,Arizona,UCLA,East Carolina,California,Tulsa,Michigan State,BYU,Texas Tech,Purdue,Colorado,Iowa,Northwestern,Texas A&amp;M,Minnesota,Texas State,NC State,Kansas State,Indiana,Florida State,Syracuse,Wake Forest,Western Kentucky,Virginia,Middle Tennessee,Charlotte,Pittsburgh,Ball State,Coastal Carolina,Missouri,Boston College,West Virginia,Mississippi State,Tennessee,Oregon State,Kent State,Kentucky,Colorado State,Central Michigan,South Carolina,Kansas,Duke,San José State,North Carolina,Maryland,Bowling Green,UTSA,Louisville,Illinois,Ole Miss,Georgia Tech,Rice,Vanderbilt</v>
      </c>
      <c r="AG54" s="39">
        <f>IFERROR(__xludf.DUMMYFUNCTION("iferror($O54-max(filter($O54:$O$392,$E54:$E$392=$E$2)))"),-8.0)</f>
        <v>-8</v>
      </c>
      <c r="AH54" s="37">
        <f t="shared" si="7"/>
        <v>0</v>
      </c>
      <c r="AI54" s="37">
        <f>IFERROR(__xludf.DUMMYFUNCTION("iferror(COUNT(filter($O55:$O$392,$O55:$O$392&gt;$O54,$E54:$E$392=$E$2)))"),0.0)</f>
        <v>0</v>
      </c>
      <c r="AJ54" s="40">
        <f t="shared" si="8"/>
        <v>0</v>
      </c>
      <c r="AK54" s="41">
        <f>IFERROR(__xludf.DUMMYFUNCTION("iferror($O54-min(filter($O54:$O$392,$E54:$E$392=$E$2)))"),0.0)</f>
        <v>0</v>
      </c>
      <c r="AL54" s="30" t="str">
        <f>IFERROR(__xludf.DUMMYFUNCTION("iferror(join("","",index(sort(filter($F55:$F$392,$O55:$O$392&gt;$O54,$E55:$E$392=$E$2),2,false),0,1)))"),"Auburn,Florida,Texas A&amp;M,Missouri,Mississippi State,Tennessee,Kentucky,South Carolina,Ole Miss,Vanderbilt")</f>
        <v>Auburn,Florida,Texas A&amp;M,Missouri,Mississippi State,Tennessee,Kentucky,South Carolina,Ole Miss,Vanderbilt</v>
      </c>
      <c r="AM54" s="30" t="str">
        <f>IFERROR(__xludf.DUMMYFUNCTION("REGEXREPLACE(join("","",unique({let(conf_picked,filter(E$1:E53,D$1:D53=D54), byrow(unique(TRANSPOSe(Teams!$1:$1)),lambda(rw,if(ISERROR(match(rw,conf_picked,0)),rw,))));iferror(if(#REF!,,transpose(split(#REF!,"","",1,1))))})), ""^,"", """")"),"ACC,Big 12,Big Ten,CUSA,MWC,Pac12,Independent")</f>
        <v>ACC,Big 12,Big Ten,CUSA,MWC,Pac12,Independent</v>
      </c>
      <c r="AN54" s="39">
        <f>IFERROR(__xludf.DUMMYFUNCTION("iferror($O54-max(filter($O54:$O$392,arrayformula(isnumber(FIND($E54:$E$392,AM54))))))"),-9.0)</f>
        <v>-9</v>
      </c>
      <c r="AO54" s="37">
        <f t="array" ref="AO54">countifs($O$2:$O53,"&lt;"&amp;$O54,isnumber(FIND($E$2:$E53,AM54)),TRUE)</f>
        <v>0</v>
      </c>
      <c r="AP54" s="37">
        <f>IFERROR(__xludf.DUMMYFUNCTION("iferror(COUNT(filter($O55:$O$392,$O55:$O$392&gt;$O54,arrayformula(isnumber(FIND($E55:$E$392,AM54))))))"),48.0)</f>
        <v>48</v>
      </c>
      <c r="AQ54" s="40">
        <f t="shared" si="9"/>
        <v>0</v>
      </c>
      <c r="AR54" s="41">
        <f>IFERROR(__xludf.DUMMYFUNCTION("iferror($O54-min(filter($O54:$O$392,arrayformula(isnumber(FIND($E54:$E$392,AM54))))))"),1.0)</f>
        <v>1</v>
      </c>
      <c r="AS54" s="48" t="str">
        <f>IFERROR(__xludf.DUMMYFUNCTION("iferror(join("","",index(sort(filter($F55:$F$392,$O55:$O$392&gt;$O54,arrayformula(isnumber(FIND($E55:$E$392,AM54)))),2,false),0,1)))"),"Penn State,UNLV,North Texas,USC,Oklahoma State,Stanford,Louisiana Tech,Southern Mississippi,TCU,Baylor,UAB,Arizona State,Arizona,UCLA,California,Michigan State,BYU,Texas Tech,Purdue,Colorado,Iowa,Northwestern,Minnesota,NC State,Kansas State,Indiana,Florid"&amp;"a State,Syracuse,Wake Forest,Western Kentucky,Virginia,Middle Tennessee,Charlotte,Pittsburgh,Boston College,West Virginia,Oregon State,Colorado State,Kansas,Duke,San José State,North Carolina,Maryland,UTSA,Louisville,Illinois,Georgia Tech,Rice")</f>
        <v>Penn State,UNLV,North Texas,USC,Oklahoma State,Stanford,Louisiana Tech,Southern Mississippi,TCU,Baylor,UAB,Arizona State,Arizona,UCLA,California,Michigan State,BYU,Texas Tech,Purdue,Colorado,Iowa,Northwestern,Minnesota,NC State,Kansas State,Indiana,Florida State,Syracuse,Wake Forest,Western Kentucky,Virginia,Middle Tennessee,Charlotte,Pittsburgh,Boston College,West Virginia,Oregon State,Colorado State,Kansas,Duke,San José State,North Carolina,Maryland,UTSA,Louisville,Illinois,Georgia Tech,Rice</v>
      </c>
    </row>
    <row r="55">
      <c r="A55" s="1">
        <f t="shared" si="10"/>
        <v>54</v>
      </c>
      <c r="B55" s="1">
        <f t="shared" si="12"/>
        <v>5</v>
      </c>
      <c r="C55" s="1">
        <v>6.0</v>
      </c>
      <c r="D55" s="51" t="str">
        <f t="shared" si="19"/>
        <v>Jeannine</v>
      </c>
      <c r="E55" s="52" t="str">
        <f>if(F55&lt;&gt;"",VLOOKUP(F55,offset('Teams-Conference'!A:B,0,(counta('Draft Order'!B$2:B129)-10)*2),2,0),"")</f>
        <v>Big Ten</v>
      </c>
      <c r="F55" t="s">
        <v>119</v>
      </c>
      <c r="H55" s="29">
        <f t="shared" si="1"/>
        <v>0</v>
      </c>
      <c r="I55" s="29">
        <f t="shared" si="2"/>
        <v>1</v>
      </c>
      <c r="J55" s="29">
        <f t="shared" si="11"/>
        <v>2</v>
      </c>
      <c r="K55" s="29">
        <f>countif(E36:E55,E56)</f>
        <v>3</v>
      </c>
      <c r="L55" s="29"/>
      <c r="M55" s="29">
        <f>IFERROR(__xludf.DUMMYFUNCTION("counta(iferror(filter(L$2:L54,E$2:E54=E55,L$2:L54&lt;L55)))"),0.0)</f>
        <v>0</v>
      </c>
      <c r="N55" s="29">
        <f>IFERROR(__xludf.DUMMYFUNCTION("counta(iferror(filter(L56:L$129,E56:E$129=E55,L56:L$131&gt;L55)))"),0.0)</f>
        <v>0</v>
      </c>
      <c r="O55" s="34">
        <f t="array" ref="O55:W55">XLOOKUP(F55,'Current Week'!B:B,'Current Week'!C:N)</f>
        <v>10</v>
      </c>
      <c r="P55" s="29">
        <v>2.0</v>
      </c>
      <c r="Q55" s="30" t="s">
        <v>207</v>
      </c>
      <c r="R55" s="30" t="s">
        <v>202</v>
      </c>
      <c r="S55" s="30"/>
      <c r="T55" s="30" t="s">
        <v>203</v>
      </c>
      <c r="U55" s="37" t="s">
        <v>203</v>
      </c>
      <c r="V55" s="37"/>
      <c r="W55" s="37">
        <v>9999.0</v>
      </c>
      <c r="X55" s="37"/>
      <c r="Y55" s="37"/>
      <c r="Z55" s="37"/>
      <c r="AA55" s="39">
        <f t="shared" si="3"/>
        <v>-1</v>
      </c>
      <c r="AB55" s="37">
        <f t="shared" si="4"/>
        <v>36</v>
      </c>
      <c r="AC55" s="37">
        <f>IFERROR(__xludf.DUMMYFUNCTION("iferror(COUNT(filter($O56:$O$392,$O56:$O$392&gt;$O55)))"),1.0)</f>
        <v>1</v>
      </c>
      <c r="AD55" s="40">
        <f t="shared" si="5"/>
        <v>0</v>
      </c>
      <c r="AE55" s="41">
        <f t="shared" si="6"/>
        <v>8</v>
      </c>
      <c r="AF55" s="30" t="str">
        <f>IFERROR(__xludf.DUMMYFUNCTION("iferror(join("","",index(sort(filter($F56:$F$393,$O56:$O$393&gt;$O55),2,false),0,1)))"),"Baylor")</f>
        <v>Baylor</v>
      </c>
      <c r="AG55" s="39">
        <f>IFERROR(__xludf.DUMMYFUNCTION("iferror($O55-max(filter($O55:$O$392,$E55:$E$392=$E$2)))"),0.0)</f>
        <v>0</v>
      </c>
      <c r="AH55" s="37">
        <f t="shared" si="7"/>
        <v>0</v>
      </c>
      <c r="AI55" s="37">
        <f>IFERROR(__xludf.DUMMYFUNCTION("iferror(COUNT(filter($O56:$O$392,$O56:$O$392&gt;$O55,$E55:$E$392=$E$2)))"),0.0)</f>
        <v>0</v>
      </c>
      <c r="AJ55" s="40">
        <f t="shared" si="8"/>
        <v>1</v>
      </c>
      <c r="AK55" s="41">
        <f>IFERROR(__xludf.DUMMYFUNCTION("iferror($O55-min(filter($O55:$O$392,$E55:$E$392=$E$2)))"),8.0)</f>
        <v>8</v>
      </c>
      <c r="AL55" s="30" t="str">
        <f>IFERROR(__xludf.DUMMYFUNCTION("iferror(join("","",index(sort(filter($F56:$F$392,$O56:$O$392&gt;$O55,$E56:$E$392=$E$2),2,false),0,1)))"),"")</f>
        <v/>
      </c>
      <c r="AM55" s="30" t="str">
        <f>IFERROR(__xludf.DUMMYFUNCTION("REGEXREPLACE(join("","",unique({let(conf_picked,filter(E$1:E54,D$1:D54=D55), byrow(unique(TRANSPOSe(Teams!$1:$1)),lambda(rw,if(ISERROR(match(rw,conf_picked,0)),rw,))));iferror(if(#REF!,,transpose(split(#REF!,"","",1,1))))})), ""^,"", """")"),"ACC,Big Ten,CUSA,MWC,Pac12,SEC,Independent")</f>
        <v>ACC,Big Ten,CUSA,MWC,Pac12,SEC,Independent</v>
      </c>
      <c r="AN55" s="39">
        <f>IFERROR(__xludf.DUMMYFUNCTION("iferror($O55-max(filter($O55:$O$392,arrayformula(isnumber(FIND($E55:$E$392,AM55))))))"),0.0)</f>
        <v>0</v>
      </c>
      <c r="AO55" s="37">
        <f t="array" ref="AO55">countifs($O$2:$O54,"&lt;"&amp;$O55,isnumber(FIND($E$2:$E54,AM55)),TRUE)</f>
        <v>16</v>
      </c>
      <c r="AP55" s="37">
        <f>IFERROR(__xludf.DUMMYFUNCTION("iferror(COUNT(filter($O56:$O$392,$O56:$O$392&gt;$O55,arrayformula(isnumber(FIND($E56:$E$392,AM55))))))"),0.0)</f>
        <v>0</v>
      </c>
      <c r="AQ55" s="40">
        <f t="shared" si="9"/>
        <v>1</v>
      </c>
      <c r="AR55" s="41">
        <f>IFERROR(__xludf.DUMMYFUNCTION("iferror($O55-min(filter($O55:$O$392,arrayformula(isnumber(FIND($E55:$E$392,AM55))))))"),9.0)</f>
        <v>9</v>
      </c>
      <c r="AS55" s="48" t="str">
        <f>IFERROR(__xludf.DUMMYFUNCTION("iferror(join("","",index(sort(filter($F56:$F$392,$O56:$O$392&gt;$O55,arrayformula(isnumber(FIND($E56:$E$392,AM55)))),2,false),0,1)))"),"")</f>
        <v/>
      </c>
    </row>
    <row r="56">
      <c r="A56" s="1">
        <f t="shared" si="10"/>
        <v>55</v>
      </c>
      <c r="B56" s="1">
        <f t="shared" si="12"/>
        <v>5</v>
      </c>
      <c r="C56" s="1">
        <v>7.0</v>
      </c>
      <c r="D56" s="51" t="str">
        <f t="shared" si="19"/>
        <v>Justin</v>
      </c>
      <c r="E56" s="52" t="str">
        <f>if(F56&lt;&gt;"",VLOOKUP(F56,offset('Teams-Conference'!A:B,0,(counta('Draft Order'!B$2:B129)-10)*2),2,0),"")</f>
        <v>MWC</v>
      </c>
      <c r="F56" s="1" t="s">
        <v>158</v>
      </c>
      <c r="H56" s="29">
        <f t="shared" si="1"/>
        <v>0</v>
      </c>
      <c r="I56" s="29">
        <f t="shared" si="2"/>
        <v>0</v>
      </c>
      <c r="J56" s="29">
        <f t="shared" si="11"/>
        <v>1</v>
      </c>
      <c r="K56" s="29">
        <f>countif(E35:E56,E57)</f>
        <v>0</v>
      </c>
      <c r="L56" s="29"/>
      <c r="M56" s="29">
        <f>IFERROR(__xludf.DUMMYFUNCTION("counta(iferror(filter(L$2:L55,E$2:E55=E56,L$2:L55&lt;L56)))"),0.0)</f>
        <v>0</v>
      </c>
      <c r="N56" s="29">
        <f>IFERROR(__xludf.DUMMYFUNCTION("counta(iferror(filter(L57:L$129,E57:E$129=E56,L57:L$131&gt;L56)))"),0.0)</f>
        <v>0</v>
      </c>
      <c r="O56" s="34">
        <f t="array" ref="O56:W56">XLOOKUP(F56,'Current Week'!B:B,'Current Week'!C:N)</f>
        <v>4</v>
      </c>
      <c r="P56" s="29">
        <v>8.0</v>
      </c>
      <c r="Q56" s="30" t="s">
        <v>284</v>
      </c>
      <c r="R56" s="30" t="s">
        <v>202</v>
      </c>
      <c r="S56" s="30"/>
      <c r="T56" s="30" t="s">
        <v>203</v>
      </c>
      <c r="U56" s="37" t="s">
        <v>203</v>
      </c>
      <c r="V56" s="37"/>
      <c r="W56" s="37">
        <v>9999.0</v>
      </c>
      <c r="X56" s="37"/>
      <c r="Y56" s="37"/>
      <c r="Z56" s="37"/>
      <c r="AA56" s="39">
        <f t="shared" si="3"/>
        <v>-7</v>
      </c>
      <c r="AB56" s="37">
        <f t="shared" si="4"/>
        <v>3</v>
      </c>
      <c r="AC56" s="37">
        <f>IFERROR(__xludf.DUMMYFUNCTION("iferror(COUNT(filter($O57:$O$392,$O57:$O$392&gt;$O56)))"),43.0)</f>
        <v>43</v>
      </c>
      <c r="AD56" s="40">
        <f t="shared" si="5"/>
        <v>0</v>
      </c>
      <c r="AE56" s="41">
        <f t="shared" si="6"/>
        <v>2</v>
      </c>
      <c r="AF56" s="30" t="str">
        <f>IFERROR(__xludf.DUMMYFUNCTION("iferror(join("","",index(sort(filter($F57:$F$393,$O57:$O$393&gt;$O56),2,false),0,1)))"),"Georgia State,USC,Oklahoma State,Auburn,Louisiana Tech,Southern Mississippi,TCU,Florida,Baylor,UAB,Arizona State,California,Michigan State,BYU,Colorado,Iowa,Texas A&amp;M,Minnesota,Kansas State,Indiana,Florida State,Syracuse,Wake Forest,Western Kentucky,Virgi"&amp;"nia,Charlotte,Pittsburgh,Ball State,Coastal Carolina,Missouri,Boston College,West Virginia,Mississippi State,Tennessee,Oregon State,Kent State,Kentucky,Central Michigan,Duke,San José State,North Carolina,Louisville,Illinois")</f>
        <v>Georgia State,USC,Oklahoma State,Auburn,Louisiana Tech,Southern Mississippi,TCU,Florida,Baylor,UAB,Arizona State,California,Michigan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56" s="39">
        <f>IFERROR(__xludf.DUMMYFUNCTION("iferror($O56-max(filter($O56:$O$392,$E56:$E$392=$E$2)))"),-6.0)</f>
        <v>-6</v>
      </c>
      <c r="AH56" s="37">
        <f t="shared" si="7"/>
        <v>0</v>
      </c>
      <c r="AI56" s="37">
        <f>IFERROR(__xludf.DUMMYFUNCTION("iferror(COUNT(filter($O57:$O$392,$O57:$O$392&gt;$O56,$E56:$E$392=$E$2)))"),0.0)</f>
        <v>0</v>
      </c>
      <c r="AJ56" s="40">
        <f t="shared" si="8"/>
        <v>0</v>
      </c>
      <c r="AK56" s="41">
        <f>IFERROR(__xludf.DUMMYFUNCTION("iferror($O56-min(filter($O56:$O$392,$E56:$E$392=$E$2)))"),2.0)</f>
        <v>2</v>
      </c>
      <c r="AL56" s="30" t="str">
        <f>IFERROR(__xludf.DUMMYFUNCTION("iferror(join("","",index(sort(filter($F57:$F$392,$O57:$O$392&gt;$O56,$E57:$E$392=$E$2),2,false),0,1)))"),"Auburn,Florida,Texas A&amp;M,Missouri,Mississippi State,Tennessee,Kentucky")</f>
        <v>Auburn,Florida,Texas A&amp;M,Missouri,Mississippi State,Tennessee,Kentucky</v>
      </c>
      <c r="AM56" s="30" t="str">
        <f>IFERROR(__xludf.DUMMYFUNCTION("REGEXREPLACE(join("","",unique({let(conf_picked,filter(E$1:E55,D$1:D55=D56), byrow(unique(TRANSPOSe(Teams!$1:$1)),lambda(rw,if(ISERROR(match(rw,conf_picked,0)),rw,))));iferror(if(#REF!,,transpose(split(#REF!,"","",1,1))))})), ""^,"", """")"),"ACC,Big 12,Big Ten,CUSA,MWC,SEC,Independent")</f>
        <v>ACC,Big 12,Big Ten,CUSA,MWC,SEC,Independent</v>
      </c>
      <c r="AN56" s="39">
        <f>IFERROR(__xludf.DUMMYFUNCTION("iferror($O56-max(filter($O56:$O$392,arrayformula(isnumber(FIND($E56:$E$392,AM56))))))"),-7.0)</f>
        <v>-7</v>
      </c>
      <c r="AO56" s="37">
        <f t="array" ref="AO56">countifs($O$2:$O55,"&lt;"&amp;$O56,isnumber(FIND($E$2:$E55,AM56)),TRUE)</f>
        <v>1</v>
      </c>
      <c r="AP56" s="37">
        <f>IFERROR(__xludf.DUMMYFUNCTION("iferror(COUNT(filter($O57:$O$392,$O57:$O$392&gt;$O56,arrayformula(isnumber(FIND($E57:$E$392,AM56))))))"),33.0)</f>
        <v>33</v>
      </c>
      <c r="AQ56" s="40">
        <f t="shared" si="9"/>
        <v>0</v>
      </c>
      <c r="AR56" s="41">
        <f>IFERROR(__xludf.DUMMYFUNCTION("iferror($O56-min(filter($O56:$O$392,arrayformula(isnumber(FIND($E56:$E$392,AM56))))))"),3.0)</f>
        <v>3</v>
      </c>
      <c r="AS56" s="48" t="str">
        <f>IFERROR(__xludf.DUMMYFUNCTION("iferror(join("","",index(sort(filter($F57:$F$392,$O57:$O$392&gt;$O56,arrayformula(isnumber(FIND($E57:$E$392,AM56)))),2,false),0,1)))"),"Oklahoma State,Auburn,Louisiana Tech,Southern Mississippi,TCU,Florida,Baylor,UAB,Michigan State,BYU,Iowa,Texas A&amp;M,Minnesota,Kansas State,Indiana,Florida State,Syracuse,Wake Forest,Western Kentucky,Virginia,Charlotte,Pittsburgh,Missouri,Boston College,Wes"&amp;"t Virginia,Mississippi State,Tennessee,Kentucky,Duke,San José State,North Carolina,Louisville,Illinois")</f>
        <v>Oklahoma State,Auburn,Louisiana Tech,Southern Mississippi,TCU,Florida,Baylor,UAB,Michigan State,BYU,Iowa,Texas A&amp;M,Minnesota,Kansas State,Indiana,Florida State,Syracuse,Wake Forest,Western Kentucky,Virginia,Charlotte,Pittsburgh,Missouri,Boston College,West Virginia,Mississippi State,Tennessee,Kentucky,Duke,San José State,North Carolina,Louisville,Illinois</v>
      </c>
    </row>
    <row r="57">
      <c r="A57" s="1">
        <f t="shared" si="10"/>
        <v>56</v>
      </c>
      <c r="B57" s="1">
        <f t="shared" si="12"/>
        <v>5</v>
      </c>
      <c r="C57" s="1">
        <v>8.0</v>
      </c>
      <c r="D57" s="51" t="str">
        <f t="shared" si="19"/>
        <v>Adam</v>
      </c>
      <c r="E57" s="52" t="str">
        <f>if(F57&lt;&gt;"",VLOOKUP(F57,offset('Teams-Conference'!A:B,0,(counta('Draft Order'!B$2:B129)-10)*2),2,0),"")</f>
        <v>Sun Belt</v>
      </c>
      <c r="F57" s="1" t="s">
        <v>189</v>
      </c>
      <c r="H57" s="29">
        <f t="shared" si="1"/>
        <v>0</v>
      </c>
      <c r="I57" s="29">
        <f t="shared" si="2"/>
        <v>0</v>
      </c>
      <c r="J57" s="29">
        <f t="shared" si="11"/>
        <v>0</v>
      </c>
      <c r="K57" s="29">
        <f t="shared" ref="K57:K59" si="20">countif(E37:E57,E58)</f>
        <v>3</v>
      </c>
      <c r="L57" s="29"/>
      <c r="M57" s="29">
        <f>IFERROR(__xludf.DUMMYFUNCTION("counta(iferror(filter(L$2:L56,E$2:E56=E57,L$2:L56&lt;L57)))"),0.0)</f>
        <v>0</v>
      </c>
      <c r="N57" s="29">
        <f>IFERROR(__xludf.DUMMYFUNCTION("counta(iferror(filter(L58:L$129,E58:E$129=E57,L58:L$131&gt;L57)))"),0.0)</f>
        <v>0</v>
      </c>
      <c r="O57" s="34">
        <f t="array" ref="O57:W57">XLOOKUP(F57,'Current Week'!B:B,'Current Week'!C:N)</f>
        <v>7</v>
      </c>
      <c r="P57" s="29">
        <v>5.0</v>
      </c>
      <c r="Q57" s="30" t="s">
        <v>242</v>
      </c>
      <c r="R57" s="30" t="s">
        <v>202</v>
      </c>
      <c r="S57" s="30"/>
      <c r="T57" s="30" t="s">
        <v>203</v>
      </c>
      <c r="U57" s="37" t="s">
        <v>203</v>
      </c>
      <c r="V57" s="37"/>
      <c r="W57" s="37">
        <v>9999.0</v>
      </c>
      <c r="X57" s="37"/>
      <c r="Y57" s="37"/>
      <c r="Z57" s="37"/>
      <c r="AA57" s="39">
        <f t="shared" si="3"/>
        <v>-4</v>
      </c>
      <c r="AB57" s="37">
        <f t="shared" si="4"/>
        <v>19</v>
      </c>
      <c r="AC57" s="37">
        <f>IFERROR(__xludf.DUMMYFUNCTION("iferror(COUNT(filter($O58:$O$392,$O58:$O$392&gt;$O57)))"),16.0)</f>
        <v>16</v>
      </c>
      <c r="AD57" s="40">
        <f t="shared" si="5"/>
        <v>0</v>
      </c>
      <c r="AE57" s="41">
        <f t="shared" si="6"/>
        <v>5</v>
      </c>
      <c r="AF57" s="30" t="str">
        <f>IFERROR(__xludf.DUMMYFUNCTION("iferror(join("","",index(sort(filter($F58:$F$393,$O58:$O$393&gt;$O57),2,false),0,1)))"),"USC,Oklahoma State,Auburn,Louisiana Tech,Florida,Baylor,UAB,Iowa,Minnesota,Kansas State,Indiana,Wake Forest,Western Kentucky,Virginia,Central Michigan,Louisville")</f>
        <v>USC,Oklahoma State,Auburn,Louisiana Tech,Florida,Baylor,UAB,Iowa,Minnesota,Kansas State,Indiana,Wake Forest,Western Kentucky,Virginia,Central Michigan,Louisville</v>
      </c>
      <c r="AG57" s="39">
        <f>IFERROR(__xludf.DUMMYFUNCTION("iferror($O57-max(filter($O57:$O$392,$E57:$E$392=$E$2)))"),-3.0)</f>
        <v>-3</v>
      </c>
      <c r="AH57" s="37">
        <f t="shared" si="7"/>
        <v>0</v>
      </c>
      <c r="AI57" s="37">
        <f>IFERROR(__xludf.DUMMYFUNCTION("iferror(COUNT(filter($O58:$O$392,$O58:$O$392&gt;$O57,$E57:$E$392=$E$2)))"),0.0)</f>
        <v>0</v>
      </c>
      <c r="AJ57" s="40">
        <f t="shared" si="8"/>
        <v>0</v>
      </c>
      <c r="AK57" s="41">
        <f>IFERROR(__xludf.DUMMYFUNCTION("iferror($O57-min(filter($O57:$O$392,$E57:$E$392=$E$2)))"),5.0)</f>
        <v>5</v>
      </c>
      <c r="AL57" s="30" t="str">
        <f>IFERROR(__xludf.DUMMYFUNCTION("iferror(join("","",index(sort(filter($F58:$F$392,$O58:$O$392&gt;$O57,$E58:$E$392=$E$2),2,false),0,1)))"),"Auburn,Florida")</f>
        <v>Auburn,Florida</v>
      </c>
      <c r="AM57" s="30" t="str">
        <f>IFERROR(__xludf.DUMMYFUNCTION("REGEXREPLACE(join("","",unique({let(conf_picked,filter(E$1:E56,D$1:D56=D57), byrow(unique(TRANSPOSe(Teams!$1:$1)),lambda(rw,if(ISERROR(match(rw,conf_picked,0)),rw,))));iferror(if(#REF!,,transpose(split(#REF!,"","",1,1))))})), ""^,"", """")"),"ACC,Big Ten,MAC,Pac12,SEC,Sun Belt,Independent")</f>
        <v>ACC,Big Ten,MAC,Pac12,SEC,Sun Belt,Independent</v>
      </c>
      <c r="AN57" s="39">
        <f>IFERROR(__xludf.DUMMYFUNCTION("iferror($O57-max(filter($O57:$O$392,arrayformula(isnumber(FIND($E57:$E$392,AM57))))))"),-3.0)</f>
        <v>-3</v>
      </c>
      <c r="AO57" s="37">
        <f t="array" ref="AO57">countifs($O$2:$O56,"&lt;"&amp;$O57,isnumber(FIND($E$2:$E56,AM57)),TRUE)</f>
        <v>12</v>
      </c>
      <c r="AP57" s="37">
        <f>IFERROR(__xludf.DUMMYFUNCTION("iferror(COUNT(filter($O58:$O$392,$O58:$O$392&gt;$O57,arrayformula(isnumber(FIND($E58:$E$392,AM57))))))"),10.0)</f>
        <v>10</v>
      </c>
      <c r="AQ57" s="40">
        <f t="shared" si="9"/>
        <v>0</v>
      </c>
      <c r="AR57" s="41">
        <f>IFERROR(__xludf.DUMMYFUNCTION("iferror($O57-min(filter($O57:$O$392,arrayformula(isnumber(FIND($E57:$E$392,AM57))))))"),7.0)</f>
        <v>7</v>
      </c>
      <c r="AS57" s="48" t="str">
        <f>IFERROR(__xludf.DUMMYFUNCTION("iferror(join("","",index(sort(filter($F58:$F$392,$O58:$O$392&gt;$O57,arrayformula(isnumber(FIND($E58:$E$392,AM57)))),2,false),0,1)))"),"USC,Auburn,Florida,Iowa,Minnesota,Indiana,Wake Forest,Virginia,Central Michigan,Louisville")</f>
        <v>USC,Auburn,Florida,Iowa,Minnesota,Indiana,Wake Forest,Virginia,Central Michigan,Louisville</v>
      </c>
    </row>
    <row r="58">
      <c r="A58" s="1">
        <f t="shared" si="10"/>
        <v>57</v>
      </c>
      <c r="B58" s="1">
        <f t="shared" si="12"/>
        <v>5</v>
      </c>
      <c r="C58" s="1">
        <v>9.0</v>
      </c>
      <c r="D58" s="51" t="str">
        <f t="shared" si="19"/>
        <v>Vu</v>
      </c>
      <c r="E58" s="52" t="str">
        <f>if(F58&lt;&gt;"",VLOOKUP(F58,offset('Teams-Conference'!A:B,0,(counta('Draft Order'!B$2:B129)-10)*2),2,0),"")</f>
        <v>CUSA</v>
      </c>
      <c r="F58" t="s">
        <v>128</v>
      </c>
      <c r="H58" s="29">
        <f t="shared" si="1"/>
        <v>3</v>
      </c>
      <c r="I58" s="29">
        <f t="shared" si="2"/>
        <v>3</v>
      </c>
      <c r="J58" s="29">
        <f t="shared" si="11"/>
        <v>1</v>
      </c>
      <c r="K58" s="29">
        <f t="shared" si="20"/>
        <v>0</v>
      </c>
      <c r="L58" s="29"/>
      <c r="M58" s="29">
        <f>IFERROR(__xludf.DUMMYFUNCTION("counta(iferror(filter(L$2:L57,E$2:E57=E58,L$2:L57&lt;L58)))"),0.0)</f>
        <v>0</v>
      </c>
      <c r="N58" s="29">
        <f>IFERROR(__xludf.DUMMYFUNCTION("counta(iferror(filter(L59:L$129,E59:E$129=E58,L59:L$131&gt;L58)))"),0.0)</f>
        <v>0</v>
      </c>
      <c r="O58" s="34">
        <f t="array" ref="O58:W58">XLOOKUP(F58,'Current Week'!B:B,'Current Week'!C:N)</f>
        <v>4</v>
      </c>
      <c r="P58" s="29">
        <v>8.0</v>
      </c>
      <c r="Q58" s="30" t="s">
        <v>248</v>
      </c>
      <c r="R58" s="30" t="s">
        <v>202</v>
      </c>
      <c r="S58" s="30"/>
      <c r="T58" s="30" t="s">
        <v>203</v>
      </c>
      <c r="U58" s="37" t="s">
        <v>203</v>
      </c>
      <c r="V58" s="37"/>
      <c r="W58" s="37">
        <v>9999.0</v>
      </c>
      <c r="X58" s="37"/>
      <c r="Y58" s="37"/>
      <c r="Z58" s="37"/>
      <c r="AA58" s="39">
        <f t="shared" si="3"/>
        <v>-7</v>
      </c>
      <c r="AB58" s="37">
        <f t="shared" si="4"/>
        <v>3</v>
      </c>
      <c r="AC58" s="37">
        <f>IFERROR(__xludf.DUMMYFUNCTION("iferror(COUNT(filter($O59:$O$392,$O59:$O$392&gt;$O58)))"),42.0)</f>
        <v>42</v>
      </c>
      <c r="AD58" s="40">
        <f t="shared" si="5"/>
        <v>0</v>
      </c>
      <c r="AE58" s="41">
        <f t="shared" si="6"/>
        <v>2</v>
      </c>
      <c r="AF58" s="30" t="str">
        <f>IFERROR(__xludf.DUMMYFUNCTION("iferror(join("","",index(sort(filter($F59:$F$393,$O59:$O$393&gt;$O58),2,false),0,1)))"),"USC,Oklahoma State,Auburn,Louisiana Tech,Southern Mississippi,TCU,Florida,Baylor,UAB,Arizona State,California,Michigan State,BYU,Colorado,Iowa,Texas A&amp;M,Minnesota,Kansas State,Indiana,Florida State,Syracuse,Wake Forest,Western Kentucky,Virginia,Charlotte,"&amp;"Pittsburgh,Ball State,Coastal Carolina,Missouri,Boston College,West Virginia,Mississippi State,Tennessee,Oregon State,Kent State,Kentucky,Central Michigan,Duke,San José State,North Carolina,Louisville,Illinois")</f>
        <v>USC,Oklahoma State,Auburn,Louisiana Tech,Southern Mississippi,TCU,Florida,Baylor,UAB,Arizona State,California,Michigan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58" s="39">
        <f>IFERROR(__xludf.DUMMYFUNCTION("iferror($O58-max(filter($O58:$O$392,$E58:$E$392=$E$2)))"),-6.0)</f>
        <v>-6</v>
      </c>
      <c r="AH58" s="37">
        <f t="shared" si="7"/>
        <v>0</v>
      </c>
      <c r="AI58" s="37">
        <f>IFERROR(__xludf.DUMMYFUNCTION("iferror(COUNT(filter($O59:$O$392,$O59:$O$392&gt;$O58,$E58:$E$392=$E$2)))"),0.0)</f>
        <v>0</v>
      </c>
      <c r="AJ58" s="40">
        <f t="shared" si="8"/>
        <v>0</v>
      </c>
      <c r="AK58" s="41">
        <f>IFERROR(__xludf.DUMMYFUNCTION("iferror($O58-min(filter($O58:$O$392,$E58:$E$392=$E$2)))"),2.0)</f>
        <v>2</v>
      </c>
      <c r="AL58" s="30" t="str">
        <f>IFERROR(__xludf.DUMMYFUNCTION("iferror(join("","",index(sort(filter($F59:$F$392,$O59:$O$392&gt;$O58,$E59:$E$392=$E$2),2,false),0,1)))"),"Auburn,Florida,Texas A&amp;M,Missouri,Mississippi State,Tennessee,Kentucky")</f>
        <v>Auburn,Florida,Texas A&amp;M,Missouri,Mississippi State,Tennessee,Kentucky</v>
      </c>
      <c r="AM58" s="30" t="str">
        <f>IFERROR(__xludf.DUMMYFUNCTION("REGEXREPLACE(join("","",unique({let(conf_picked,filter(E$1:E57,D$1:D57=D58), byrow(unique(TRANSPOSe(Teams!$1:$1)),lambda(rw,if(ISERROR(match(rw,conf_picked,0)),rw,))));iferror(if(#REF!,,transpose(split(#REF!,"","",1,1))))})), ""^,"", """")"),"ACC,Big 12,CUSA,MAC,SEC,Sun Belt,Independent")</f>
        <v>ACC,Big 12,CUSA,MAC,SEC,Sun Belt,Independent</v>
      </c>
      <c r="AN58" s="39">
        <f>IFERROR(__xludf.DUMMYFUNCTION("iferror($O58-max(filter($O58:$O$392,arrayformula(isnumber(FIND($E58:$E$392,AM58))))))"),-7.0)</f>
        <v>-7</v>
      </c>
      <c r="AO58" s="37">
        <f t="array" ref="AO58">countifs($O$2:$O57,"&lt;"&amp;$O58,isnumber(FIND($E$2:$E57,AM58)),TRUE)</f>
        <v>2</v>
      </c>
      <c r="AP58" s="37">
        <f>IFERROR(__xludf.DUMMYFUNCTION("iferror(COUNT(filter($O59:$O$392,$O59:$O$392&gt;$O58,arrayformula(isnumber(FIND($E59:$E$392,AM58))))))"),31.0)</f>
        <v>31</v>
      </c>
      <c r="AQ58" s="40">
        <f t="shared" si="9"/>
        <v>0</v>
      </c>
      <c r="AR58" s="41">
        <f>IFERROR(__xludf.DUMMYFUNCTION("iferror($O58-min(filter($O58:$O$392,arrayformula(isnumber(FIND($E58:$E$392,AM58))))))"),4.0)</f>
        <v>4</v>
      </c>
      <c r="AS58" s="48" t="str">
        <f>IFERROR(__xludf.DUMMYFUNCTION("iferror(join("","",index(sort(filter($F59:$F$392,$O59:$O$392&gt;$O58,arrayformula(isnumber(FIND($E59:$E$392,AM58)))),2,false),0,1)))"),"Oklahoma State,Auburn,Louisiana Tech,Southern Mississippi,TCU,Florida,Baylor,UAB,BYU,Texas A&amp;M,Kansas State,Florida State,Syracuse,Wake Forest,Western Kentucky,Virginia,Charlotte,Pittsburgh,Ball State,Coastal Carolina,Missouri,Boston College,West Virginia"&amp;",Mississippi State,Tennessee,Kent State,Kentucky,Central Michigan,Duke,North Carolina,Louisville")</f>
        <v>Oklahoma State,Auburn,Louisiana Tech,Southern Mississippi,TCU,Florida,Baylor,UAB,BYU,Texas A&amp;M,Kansas State,Florida State,Syracuse,Wake Forest,Western Kentucky,Virginia,Charlotte,Pittsburgh,Ball State,Coastal Carolina,Missouri,Boston College,West Virginia,Mississippi State,Tennessee,Kent State,Kentucky,Central Michigan,Duke,North Carolina,Louisville</v>
      </c>
    </row>
    <row r="59">
      <c r="A59" s="1">
        <f t="shared" si="10"/>
        <v>58</v>
      </c>
      <c r="B59" s="1">
        <f t="shared" si="12"/>
        <v>5</v>
      </c>
      <c r="C59" s="1">
        <v>10.0</v>
      </c>
      <c r="D59" s="51" t="str">
        <f t="shared" si="19"/>
        <v>Josh R.</v>
      </c>
      <c r="E59" s="52" t="str">
        <f>if(F59&lt;&gt;"",VLOOKUP(F59,offset('Teams-Conference'!A:B,0,(counta('Draft Order'!B$2:B129)-10)*2),2,0),"")</f>
        <v>Pac12</v>
      </c>
      <c r="F59" s="1" t="s">
        <v>169</v>
      </c>
      <c r="H59" s="29">
        <f t="shared" si="1"/>
        <v>2</v>
      </c>
      <c r="I59" s="29">
        <f t="shared" si="2"/>
        <v>6</v>
      </c>
      <c r="J59" s="29">
        <f t="shared" si="11"/>
        <v>0</v>
      </c>
      <c r="K59" s="29">
        <f t="shared" si="20"/>
        <v>1</v>
      </c>
      <c r="L59" s="29"/>
      <c r="M59" s="29">
        <f>IFERROR(__xludf.DUMMYFUNCTION("counta(iferror(filter(L$2:L58,E$2:E58=E59,L$2:L58&lt;L59)))"),0.0)</f>
        <v>0</v>
      </c>
      <c r="N59" s="29">
        <f>IFERROR(__xludf.DUMMYFUNCTION("counta(iferror(filter(L60:L$129,E60:E$129=E59,L60:L$131&gt;L59)))"),0.0)</f>
        <v>0</v>
      </c>
      <c r="O59" s="34">
        <f t="array" ref="O59:W59">XLOOKUP(F59,'Current Week'!B:B,'Current Week'!C:N)</f>
        <v>8</v>
      </c>
      <c r="P59" s="29">
        <v>4.0</v>
      </c>
      <c r="Q59" s="30" t="s">
        <v>269</v>
      </c>
      <c r="R59" s="30" t="s">
        <v>202</v>
      </c>
      <c r="S59" s="30"/>
      <c r="T59" s="30" t="s">
        <v>203</v>
      </c>
      <c r="U59" s="37" t="s">
        <v>203</v>
      </c>
      <c r="V59" s="37"/>
      <c r="W59" s="37">
        <v>9999.0</v>
      </c>
      <c r="X59" s="37"/>
      <c r="Y59" s="37"/>
      <c r="Z59" s="37"/>
      <c r="AA59" s="39">
        <f t="shared" si="3"/>
        <v>-3</v>
      </c>
      <c r="AB59" s="37">
        <f t="shared" si="4"/>
        <v>31</v>
      </c>
      <c r="AC59" s="37">
        <f>IFERROR(__xludf.DUMMYFUNCTION("iferror(COUNT(filter($O60:$O$392,$O60:$O$392&gt;$O59)))"),8.0)</f>
        <v>8</v>
      </c>
      <c r="AD59" s="40">
        <f t="shared" si="5"/>
        <v>0</v>
      </c>
      <c r="AE59" s="41">
        <f t="shared" si="6"/>
        <v>6</v>
      </c>
      <c r="AF59" s="30" t="str">
        <f>IFERROR(__xludf.DUMMYFUNCTION("iferror(join("","",index(sort(filter($F60:$F$393,$O60:$O$393&gt;$O59),2,false),0,1)))"),"Auburn,Louisiana Tech,Florida,Baylor,UAB,Iowa,Minnesota,Virginia")</f>
        <v>Auburn,Louisiana Tech,Florida,Baylor,UAB,Iowa,Minnesota,Virginia</v>
      </c>
      <c r="AG59" s="39">
        <f>IFERROR(__xludf.DUMMYFUNCTION("iferror($O59-max(filter($O59:$O$392,$E59:$E$392=$E$2)))"),-2.0)</f>
        <v>-2</v>
      </c>
      <c r="AH59" s="37">
        <f t="shared" si="7"/>
        <v>0</v>
      </c>
      <c r="AI59" s="37">
        <f>IFERROR(__xludf.DUMMYFUNCTION("iferror(COUNT(filter($O60:$O$392,$O60:$O$392&gt;$O59,$E59:$E$392=$E$2)))"),0.0)</f>
        <v>0</v>
      </c>
      <c r="AJ59" s="40">
        <f t="shared" si="8"/>
        <v>0</v>
      </c>
      <c r="AK59" s="41">
        <f>IFERROR(__xludf.DUMMYFUNCTION("iferror($O59-min(filter($O59:$O$392,$E59:$E$392=$E$2)))"),6.0)</f>
        <v>6</v>
      </c>
      <c r="AL59" s="30" t="str">
        <f>IFERROR(__xludf.DUMMYFUNCTION("iferror(join("","",index(sort(filter($F60:$F$392,$O60:$O$392&gt;$O59,$E60:$E$392=$E$2),2,false),0,1)))"),"Auburn,Florida")</f>
        <v>Auburn,Florida</v>
      </c>
      <c r="AM59" s="30" t="str">
        <f>IFERROR(__xludf.DUMMYFUNCTION("REGEXREPLACE(join("","",unique({let(conf_picked,filter(E$1:E58,D$1:D58=D59), byrow(unique(TRANSPOSe(Teams!$1:$1)),lambda(rw,if(ISERROR(match(rw,conf_picked,0)),rw,))));iferror(if(#REF!,,transpose(split(#REF!,"","",1,1))))})), ""^,"", """")"),"ACC,Big 12,Big Ten,CUSA,Pac12,SEC,Independent")</f>
        <v>ACC,Big 12,Big Ten,CUSA,Pac12,SEC,Independent</v>
      </c>
      <c r="AN59" s="39">
        <f>IFERROR(__xludf.DUMMYFUNCTION("iferror($O59-max(filter($O59:$O$392,arrayformula(isnumber(FIND($E59:$E$392,AM59))))))"),-3.0)</f>
        <v>-3</v>
      </c>
      <c r="AO59" s="37">
        <f t="array" ref="AO59">countifs($O$2:$O58,"&lt;"&amp;$O59,isnumber(FIND($E$2:$E58,AM59)),TRUE)</f>
        <v>8</v>
      </c>
      <c r="AP59" s="37">
        <f>IFERROR(__xludf.DUMMYFUNCTION("iferror(COUNT(filter($O60:$O$392,$O60:$O$392&gt;$O59,arrayformula(isnumber(FIND($E60:$E$392,AM59))))))"),8.0)</f>
        <v>8</v>
      </c>
      <c r="AQ59" s="40">
        <f t="shared" si="9"/>
        <v>0</v>
      </c>
      <c r="AR59" s="41">
        <f>IFERROR(__xludf.DUMMYFUNCTION("iferror($O59-min(filter($O59:$O$392,arrayformula(isnumber(FIND($E59:$E$392,AM59))))))"),7.0)</f>
        <v>7</v>
      </c>
      <c r="AS59" s="48" t="str">
        <f>IFERROR(__xludf.DUMMYFUNCTION("iferror(join("","",index(sort(filter($F60:$F$392,$O60:$O$392&gt;$O59,arrayformula(isnumber(FIND($E60:$E$392,AM59)))),2,false),0,1)))"),"Auburn,Louisiana Tech,Florida,Baylor,UAB,Iowa,Minnesota,Virginia")</f>
        <v>Auburn,Louisiana Tech,Florida,Baylor,UAB,Iowa,Minnesota,Virginia</v>
      </c>
    </row>
    <row r="60">
      <c r="A60" s="1">
        <f t="shared" si="10"/>
        <v>59</v>
      </c>
      <c r="B60" s="1">
        <f t="shared" si="12"/>
        <v>5</v>
      </c>
      <c r="C60" s="1">
        <v>11.0</v>
      </c>
      <c r="D60" s="51" t="str">
        <f t="shared" si="19"/>
        <v>Brad</v>
      </c>
      <c r="E60" s="52" t="str">
        <f>if(F60&lt;&gt;"",VLOOKUP(F60,offset('Teams-Conference'!A:B,0,(counta('Draft Order'!B$2:B129)-10)*2),2,0),"")</f>
        <v>Big 12</v>
      </c>
      <c r="F60" s="1" t="s">
        <v>101</v>
      </c>
      <c r="H60" s="29">
        <f t="shared" si="1"/>
        <v>2</v>
      </c>
      <c r="I60" s="29">
        <f t="shared" si="2"/>
        <v>4</v>
      </c>
      <c r="J60" s="29">
        <f t="shared" si="11"/>
        <v>0</v>
      </c>
      <c r="K60" s="29">
        <f t="shared" ref="K60:K64" si="21">countif(E41:E60,E61)</f>
        <v>1</v>
      </c>
      <c r="L60" s="29"/>
      <c r="M60" s="29">
        <f>IFERROR(__xludf.DUMMYFUNCTION("counta(iferror(filter(L$2:L59,E$2:E59=E60,L$2:L59&lt;L60)))"),0.0)</f>
        <v>0</v>
      </c>
      <c r="N60" s="29">
        <f>IFERROR(__xludf.DUMMYFUNCTION("counta(iferror(filter(L61:L$129,E61:E$129=E60,L61:L$131&gt;L60)))"),0.0)</f>
        <v>0</v>
      </c>
      <c r="O60" s="34">
        <f t="array" ref="O60:W60">XLOOKUP(F60,'Current Week'!B:B,'Current Week'!C:N)</f>
        <v>8</v>
      </c>
      <c r="P60" s="29">
        <v>4.0</v>
      </c>
      <c r="Q60" s="30" t="s">
        <v>269</v>
      </c>
      <c r="R60" s="35" t="s">
        <v>202</v>
      </c>
      <c r="S60" s="30"/>
      <c r="T60" s="30" t="s">
        <v>203</v>
      </c>
      <c r="U60" s="37" t="s">
        <v>203</v>
      </c>
      <c r="V60" s="37"/>
      <c r="W60" s="37">
        <v>9999.0</v>
      </c>
      <c r="X60" s="37"/>
      <c r="Y60" s="37"/>
      <c r="Z60" s="37"/>
      <c r="AA60" s="39">
        <f t="shared" si="3"/>
        <v>-3</v>
      </c>
      <c r="AB60" s="37">
        <f t="shared" si="4"/>
        <v>31</v>
      </c>
      <c r="AC60" s="37">
        <f>IFERROR(__xludf.DUMMYFUNCTION("iferror(COUNT(filter($O61:$O$392,$O61:$O$392&gt;$O60)))"),8.0)</f>
        <v>8</v>
      </c>
      <c r="AD60" s="40">
        <f t="shared" si="5"/>
        <v>0</v>
      </c>
      <c r="AE60" s="41">
        <f t="shared" si="6"/>
        <v>6</v>
      </c>
      <c r="AF60" s="30" t="str">
        <f>IFERROR(__xludf.DUMMYFUNCTION("iferror(join("","",index(sort(filter($F61:$F$393,$O61:$O$393&gt;$O60),2,false),0,1)))"),"Auburn,Louisiana Tech,Florida,Baylor,UAB,Iowa,Minnesota,Virginia")</f>
        <v>Auburn,Louisiana Tech,Florida,Baylor,UAB,Iowa,Minnesota,Virginia</v>
      </c>
      <c r="AG60" s="39">
        <f>IFERROR(__xludf.DUMMYFUNCTION("iferror($O60-max(filter($O60:$O$392,$E60:$E$392=$E$2)))"),-2.0)</f>
        <v>-2</v>
      </c>
      <c r="AH60" s="37">
        <f t="shared" si="7"/>
        <v>0</v>
      </c>
      <c r="AI60" s="37">
        <f>IFERROR(__xludf.DUMMYFUNCTION("iferror(COUNT(filter($O61:$O$392,$O61:$O$392&gt;$O60,$E60:$E$392=$E$2)))"),0.0)</f>
        <v>0</v>
      </c>
      <c r="AJ60" s="40">
        <f t="shared" si="8"/>
        <v>0</v>
      </c>
      <c r="AK60" s="41">
        <f>IFERROR(__xludf.DUMMYFUNCTION("iferror($O60-min(filter($O60:$O$392,$E60:$E$392=$E$2)))"),6.0)</f>
        <v>6</v>
      </c>
      <c r="AL60" s="30" t="str">
        <f>IFERROR(__xludf.DUMMYFUNCTION("iferror(join("","",index(sort(filter($F61:$F$392,$O61:$O$392&gt;$O60,$E61:$E$392=$E$2),2,false),0,1)))"),"Auburn,Florida")</f>
        <v>Auburn,Florida</v>
      </c>
      <c r="AM60" s="30" t="str">
        <f>IFERROR(__xludf.DUMMYFUNCTION("REGEXREPLACE(join("","",unique({let(conf_picked,filter(E$1:E59,D$1:D59=D60), byrow(unique(TRANSPOSe(Teams!$1:$1)),lambda(rw,if(ISERROR(match(rw,conf_picked,0)),rw,))));iferror(if(#REF!,,transpose(split(#REF!,"","",1,1))))})), ""^,"", """")"),"Big 12,Big Ten,CUSA,MWC,SEC,Sun Belt,Independent")</f>
        <v>Big 12,Big Ten,CUSA,MWC,SEC,Sun Belt,Independent</v>
      </c>
      <c r="AN60" s="39">
        <f>IFERROR(__xludf.DUMMYFUNCTION("iferror($O60-max(filter($O60:$O$392,arrayformula(isnumber(FIND($E60:$E$392,AM60))))))"),-3.0)</f>
        <v>-3</v>
      </c>
      <c r="AO60" s="37">
        <f t="array" ref="AO60">countifs($O$2:$O59,"&lt;"&amp;$O60,isnumber(FIND($E$2:$E59,AM60)),TRUE)</f>
        <v>18</v>
      </c>
      <c r="AP60" s="37">
        <f>IFERROR(__xludf.DUMMYFUNCTION("iferror(COUNT(filter($O61:$O$392,$O61:$O$392&gt;$O60,arrayformula(isnumber(FIND($E61:$E$392,AM60))))))"),7.0)</f>
        <v>7</v>
      </c>
      <c r="AQ60" s="40">
        <f t="shared" si="9"/>
        <v>0</v>
      </c>
      <c r="AR60" s="41">
        <f>IFERROR(__xludf.DUMMYFUNCTION("iferror($O60-min(filter($O60:$O$392,arrayformula(isnumber(FIND($E60:$E$392,AM60))))))"),7.0)</f>
        <v>7</v>
      </c>
      <c r="AS60" s="48" t="str">
        <f>IFERROR(__xludf.DUMMYFUNCTION("iferror(join("","",index(sort(filter($F61:$F$392,$O61:$O$392&gt;$O60,arrayformula(isnumber(FIND($E61:$E$392,AM60)))),2,false),0,1)))"),"Auburn,Louisiana Tech,Florida,Baylor,UAB,Iowa,Minnesota")</f>
        <v>Auburn,Louisiana Tech,Florida,Baylor,UAB,Iowa,Minnesota</v>
      </c>
    </row>
    <row r="61">
      <c r="A61" s="131">
        <f t="shared" si="10"/>
        <v>60</v>
      </c>
      <c r="B61" s="131">
        <f t="shared" si="12"/>
        <v>5</v>
      </c>
      <c r="C61" s="131">
        <v>12.0</v>
      </c>
      <c r="D61" s="132" t="str">
        <f t="shared" si="19"/>
        <v>Nick G.</v>
      </c>
      <c r="E61" s="157" t="str">
        <f>if(F61&lt;&gt;"",VLOOKUP(F61,offset('Teams-Conference'!A:B,0,(counta('Draft Order'!B$2:B129)-10)*2),2,0),"")</f>
        <v>Pac12</v>
      </c>
      <c r="F61" s="131" t="s">
        <v>167</v>
      </c>
      <c r="G61" s="131"/>
      <c r="H61" s="29">
        <f t="shared" si="1"/>
        <v>3</v>
      </c>
      <c r="I61" s="29">
        <f t="shared" si="2"/>
        <v>5</v>
      </c>
      <c r="J61" s="29">
        <f t="shared" si="11"/>
        <v>1</v>
      </c>
      <c r="K61" s="29">
        <f t="shared" si="21"/>
        <v>1</v>
      </c>
      <c r="L61" s="29"/>
      <c r="M61" s="29">
        <f>IFERROR(__xludf.DUMMYFUNCTION("counta(iferror(filter(L$2:L60,E$2:E60=E61,L$2:L60&lt;L61)))"),0.0)</f>
        <v>0</v>
      </c>
      <c r="N61" s="29">
        <f>IFERROR(__xludf.DUMMYFUNCTION("counta(iferror(filter(L62:L$129,E62:E$129=E61,L62:L$131&gt;L61)))"),0.0)</f>
        <v>0</v>
      </c>
      <c r="O61" s="34">
        <f t="array" ref="O61:W61">XLOOKUP(F61,'Current Week'!B:B,'Current Week'!C:N)</f>
        <v>4</v>
      </c>
      <c r="P61" s="29">
        <v>8.0</v>
      </c>
      <c r="Q61" s="30" t="s">
        <v>273</v>
      </c>
      <c r="R61" s="30" t="s">
        <v>202</v>
      </c>
      <c r="S61" s="30"/>
      <c r="T61" s="30" t="s">
        <v>203</v>
      </c>
      <c r="U61" s="37" t="s">
        <v>203</v>
      </c>
      <c r="V61" s="37"/>
      <c r="W61" s="37">
        <v>9999.0</v>
      </c>
      <c r="X61" s="37"/>
      <c r="Y61" s="37"/>
      <c r="Z61" s="37"/>
      <c r="AA61" s="39">
        <f t="shared" si="3"/>
        <v>-7</v>
      </c>
      <c r="AB61" s="37">
        <f t="shared" si="4"/>
        <v>3</v>
      </c>
      <c r="AC61" s="37">
        <f>IFERROR(__xludf.DUMMYFUNCTION("iferror(COUNT(filter($O62:$O$392,$O62:$O$392&gt;$O61)))"),40.0)</f>
        <v>40</v>
      </c>
      <c r="AD61" s="40">
        <f t="shared" si="5"/>
        <v>0</v>
      </c>
      <c r="AE61" s="41">
        <f t="shared" si="6"/>
        <v>2</v>
      </c>
      <c r="AF61" s="30" t="str">
        <f>IFERROR(__xludf.DUMMYFUNCTION("iferror(join("","",index(sort(filter($F62:$F$393,$O62:$O$393&gt;$O61),2,false),0,1)))"),"Auburn,Louisiana Tech,Southern Mississippi,TCU,Florida,Baylor,UAB,Arizona State,California,Michigan State,BYU,Colorado,Iowa,Texas A&amp;M,Minnesota,Kansas State,Indiana,Florida State,Syracuse,Wake Forest,Western Kentucky,Virginia,Charlotte,Pittsburgh,Ball Sta"&amp;"te,Coastal Carolina,Missouri,Boston College,West Virginia,Mississippi State,Tennessee,Oregon State,Kent State,Kentucky,Central Michigan,Duke,San José State,North Carolina,Louisville,Illinois")</f>
        <v>Auburn,Louisiana Tech,Southern Mississippi,TCU,Florida,Baylor,UAB,Arizona State,California,Michigan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61" s="39">
        <f>IFERROR(__xludf.DUMMYFUNCTION("iferror($O61-max(filter($O61:$O$392,$E61:$E$392=$E$2)))"),-6.0)</f>
        <v>-6</v>
      </c>
      <c r="AH61" s="37">
        <f t="shared" si="7"/>
        <v>0</v>
      </c>
      <c r="AI61" s="37">
        <f>IFERROR(__xludf.DUMMYFUNCTION("iferror(COUNT(filter($O62:$O$392,$O62:$O$392&gt;$O61,$E61:$E$392=$E$2)))"),0.0)</f>
        <v>0</v>
      </c>
      <c r="AJ61" s="40">
        <f t="shared" si="8"/>
        <v>0</v>
      </c>
      <c r="AK61" s="41">
        <f>IFERROR(__xludf.DUMMYFUNCTION("iferror($O61-min(filter($O61:$O$392,$E61:$E$392=$E$2)))"),2.0)</f>
        <v>2</v>
      </c>
      <c r="AL61" s="30" t="str">
        <f>IFERROR(__xludf.DUMMYFUNCTION("iferror(join("","",index(sort(filter($F62:$F$392,$O62:$O$392&gt;$O61,$E62:$E$392=$E$2),2,false),0,1)))"),"Auburn,Florida,Texas A&amp;M,Missouri,Mississippi State,Tennessee,Kentucky")</f>
        <v>Auburn,Florida,Texas A&amp;M,Missouri,Mississippi State,Tennessee,Kentucky</v>
      </c>
      <c r="AM61" s="30" t="str">
        <f>IFERROR(__xludf.DUMMYFUNCTION("REGEXREPLACE(join("","",unique({let(conf_picked,filter(E$1:E60,D$1:D60=D61), byrow(unique(TRANSPOSe(Teams!$1:$1)),lambda(rw,if(ISERROR(match(rw,conf_picked,0)),rw,))));iferror(if(#REF!,,transpose(split(#REF!,"","",1,1))))})), ""^,"", """")"),"AAC,ACC,Big 12,,MAC,Pac12,SEC,Independent")</f>
        <v>AAC,ACC,Big 12,,MAC,Pac12,SEC,Independent</v>
      </c>
      <c r="AN61" s="39">
        <f>IFERROR(__xludf.DUMMYFUNCTION("iferror($O61-max(filter($O61:$O$392,arrayformula(isnumber(FIND($E61:$E$392,AM61))))))"),-7.0)</f>
        <v>-7</v>
      </c>
      <c r="AO61" s="37">
        <f t="array" ref="AO61">countifs($O$2:$O60,"&lt;"&amp;$O61,isnumber(FIND($E$2:$E60,AM61)),TRUE)</f>
        <v>0</v>
      </c>
      <c r="AP61" s="37">
        <f>IFERROR(__xludf.DUMMYFUNCTION("iferror(COUNT(filter($O62:$O$392,$O62:$O$392&gt;$O61,arrayformula(isnumber(FIND($E62:$E$392,AM61))))))"),28.0)</f>
        <v>28</v>
      </c>
      <c r="AQ61" s="40">
        <f t="shared" si="9"/>
        <v>0</v>
      </c>
      <c r="AR61" s="41">
        <f>IFERROR(__xludf.DUMMYFUNCTION("iferror($O61-min(filter($O61:$O$392,arrayformula(isnumber(FIND($E61:$E$392,AM61))))))"),4.0)</f>
        <v>4</v>
      </c>
      <c r="AS61" s="48" t="str">
        <f>IFERROR(__xludf.DUMMYFUNCTION("iferror(join("","",index(sort(filter($F62:$F$392,$O62:$O$392&gt;$O61,arrayformula(isnumber(FIND($E62:$E$392,AM61)))),2,false),0,1)))"),"Auburn,TCU,Florida,Baylor,Arizona State,California,BYU,Colorado,Texas A&amp;M,Kansas State,Florida State,Syracuse,Wake Forest,Virginia,Pittsburgh,Ball State,Missouri,Boston College,West Virginia,Mississippi State,Tennessee,Oregon State,Kent State,Kentucky,Cen"&amp;"tral Michigan,Duke,North Carolina,Louisville")</f>
        <v>Auburn,TCU,Florida,Baylor,Arizona State,California,BYU,Colorado,Texas A&amp;M,Kansas State,Florida State,Syracuse,Wake Forest,Virginia,Pittsburgh,Ball State,Missouri,Boston College,West Virginia,Mississippi State,Tennessee,Oregon State,Kent State,Kentucky,Central Michigan,Duke,North Carolina,Louisville</v>
      </c>
    </row>
    <row r="62">
      <c r="A62" s="1">
        <f t="shared" si="10"/>
        <v>61</v>
      </c>
      <c r="B62" s="1">
        <f t="shared" si="12"/>
        <v>6</v>
      </c>
      <c r="C62" s="1">
        <v>1.0</v>
      </c>
      <c r="D62" s="135" t="str">
        <f>D61</f>
        <v>Nick G.</v>
      </c>
      <c r="E62" s="52" t="str">
        <f>if(F62&lt;&gt;"",VLOOKUP(F62,offset('Teams-Conference'!A:B,0,(counta('Draft Order'!B$2:B129)-10)*2),2,0),"")</f>
        <v>SEC</v>
      </c>
      <c r="F62" s="1" t="s">
        <v>174</v>
      </c>
      <c r="H62" s="29">
        <f t="shared" si="1"/>
        <v>1</v>
      </c>
      <c r="I62" s="29">
        <f t="shared" si="2"/>
        <v>2</v>
      </c>
      <c r="J62" s="29">
        <f t="shared" si="11"/>
        <v>0</v>
      </c>
      <c r="K62" s="29">
        <f t="shared" si="21"/>
        <v>2</v>
      </c>
      <c r="L62" s="29"/>
      <c r="M62" s="29">
        <f>IFERROR(__xludf.DUMMYFUNCTION("counta(iferror(filter(L$2:L61,E$2:E61=E62,L$2:L61&lt;L62)))"),0.0)</f>
        <v>0</v>
      </c>
      <c r="N62" s="29">
        <f>IFERROR(__xludf.DUMMYFUNCTION("counta(iferror(filter(L63:L$129,E63:E$129=E62,L63:L$131&gt;L62)))"),0.0)</f>
        <v>0</v>
      </c>
      <c r="O62" s="34">
        <f t="array" ref="O62:W62">XLOOKUP(F62,'Current Week'!B:B,'Current Week'!C:N)</f>
        <v>9</v>
      </c>
      <c r="P62" s="29">
        <v>3.0</v>
      </c>
      <c r="Q62" s="30" t="s">
        <v>234</v>
      </c>
      <c r="R62" s="30" t="s">
        <v>202</v>
      </c>
      <c r="S62" s="30"/>
      <c r="T62" s="30" t="s">
        <v>203</v>
      </c>
      <c r="U62" s="37" t="s">
        <v>203</v>
      </c>
      <c r="V62" s="37"/>
      <c r="W62" s="37">
        <v>9999.0</v>
      </c>
      <c r="X62" s="37"/>
      <c r="Y62" s="37"/>
      <c r="Z62" s="37"/>
      <c r="AA62" s="39">
        <f t="shared" si="3"/>
        <v>-2</v>
      </c>
      <c r="AB62" s="37">
        <f t="shared" si="4"/>
        <v>37</v>
      </c>
      <c r="AC62" s="37">
        <f>IFERROR(__xludf.DUMMYFUNCTION("iferror(COUNT(filter($O63:$O$392,$O63:$O$392&gt;$O62)))"),3.0)</f>
        <v>3</v>
      </c>
      <c r="AD62" s="40">
        <f t="shared" si="5"/>
        <v>0</v>
      </c>
      <c r="AE62" s="41">
        <f t="shared" si="6"/>
        <v>7</v>
      </c>
      <c r="AF62" s="30" t="str">
        <f>IFERROR(__xludf.DUMMYFUNCTION("iferror(join("","",index(sort(filter($F63:$F$393,$O63:$O$393&gt;$O62),2,false),0,1)))"),"Florida,Baylor,Minnesota")</f>
        <v>Florida,Baylor,Minnesota</v>
      </c>
      <c r="AG62" s="39">
        <f>IFERROR(__xludf.DUMMYFUNCTION("iferror($O62-max(filter($O62:$O$392,$E62:$E$392=$E$2)))"),-1.0)</f>
        <v>-1</v>
      </c>
      <c r="AH62" s="37">
        <f t="shared" si="7"/>
        <v>0</v>
      </c>
      <c r="AI62" s="37">
        <f>IFERROR(__xludf.DUMMYFUNCTION("iferror(COUNT(filter($O63:$O$392,$O63:$O$392&gt;$O62,$E62:$E$392=$E$2)))"),0.0)</f>
        <v>0</v>
      </c>
      <c r="AJ62" s="40">
        <f t="shared" si="8"/>
        <v>0</v>
      </c>
      <c r="AK62" s="41">
        <f>IFERROR(__xludf.DUMMYFUNCTION("iferror($O62-min(filter($O62:$O$392,$E62:$E$392=$E$2)))"),7.0)</f>
        <v>7</v>
      </c>
      <c r="AL62" s="30" t="str">
        <f>IFERROR(__xludf.DUMMYFUNCTION("iferror(join("","",index(sort(filter($F63:$F$392,$O63:$O$392&gt;$O62,$E63:$E$392=$E$2),2,false),0,1)))"),"Florida")</f>
        <v>Florida</v>
      </c>
      <c r="AM62" s="30" t="str">
        <f>IFERROR(__xludf.DUMMYFUNCTION("REGEXREPLACE(join("","",unique({let(conf_picked,filter(E$1:E61,D$1:D61=D62), byrow(unique(TRANSPOSe(Teams!$1:$1)),lambda(rw,if(ISERROR(match(rw,conf_picked,0)),rw,))));iferror(if(#REF!,,transpose(split(#REF!,"","",1,1))))})), ""^,"", """")"),"AAC,ACC,Big 12,,MAC,SEC,Independent")</f>
        <v>AAC,ACC,Big 12,,MAC,SEC,Independent</v>
      </c>
      <c r="AN62" s="39">
        <f>IFERROR(__xludf.DUMMYFUNCTION("iferror($O62-max(filter($O62:$O$392,arrayformula(isnumber(FIND($E62:$E$392,AM62))))))"),-2.0)</f>
        <v>-2</v>
      </c>
      <c r="AO62" s="37">
        <f t="array" ref="AO62">countifs($O$2:$O61,"&lt;"&amp;$O62,isnumber(FIND($E$2:$E61,AM62)),TRUE)</f>
        <v>16</v>
      </c>
      <c r="AP62" s="37">
        <f>IFERROR(__xludf.DUMMYFUNCTION("iferror(COUNT(filter($O63:$O$392,$O63:$O$392&gt;$O62,arrayformula(isnumber(FIND($E63:$E$392,AM62))))))"),2.0)</f>
        <v>2</v>
      </c>
      <c r="AQ62" s="40">
        <f t="shared" si="9"/>
        <v>0</v>
      </c>
      <c r="AR62" s="41">
        <f>IFERROR(__xludf.DUMMYFUNCTION("iferror($O62-min(filter($O62:$O$392,arrayformula(isnumber(FIND($E62:$E$392,AM62))))))"),9.0)</f>
        <v>9</v>
      </c>
      <c r="AS62" s="48" t="str">
        <f>IFERROR(__xludf.DUMMYFUNCTION("iferror(join("","",index(sort(filter($F63:$F$392,$O63:$O$392&gt;$O62,arrayformula(isnumber(FIND($E63:$E$392,AM62)))),2,false),0,1)))"),"Florida,Baylor")</f>
        <v>Florida,Baylor</v>
      </c>
    </row>
    <row r="63">
      <c r="A63" s="1">
        <f t="shared" si="10"/>
        <v>62</v>
      </c>
      <c r="B63" s="1">
        <f t="shared" si="12"/>
        <v>6</v>
      </c>
      <c r="C63" s="1">
        <v>2.0</v>
      </c>
      <c r="D63" s="56" t="str">
        <f>D60</f>
        <v>Brad</v>
      </c>
      <c r="E63" s="52" t="str">
        <f>if(F63&lt;&gt;"",VLOOKUP(F63,offset('Teams-Conference'!A:B,0,(counta('Draft Order'!B$2:B129)-10)*2),2,0),"")</f>
        <v>CUSA</v>
      </c>
      <c r="F63" s="1" t="s">
        <v>125</v>
      </c>
      <c r="H63" s="29">
        <f t="shared" si="1"/>
        <v>2</v>
      </c>
      <c r="I63" s="29">
        <f t="shared" si="2"/>
        <v>2</v>
      </c>
      <c r="J63" s="29">
        <f t="shared" si="11"/>
        <v>1</v>
      </c>
      <c r="K63" s="29">
        <f t="shared" si="21"/>
        <v>3</v>
      </c>
      <c r="L63" s="29"/>
      <c r="M63" s="29">
        <f>IFERROR(__xludf.DUMMYFUNCTION("counta(iferror(filter(L$2:L62,E$2:E62=E63,L$2:L62&lt;L63)))"),0.0)</f>
        <v>0</v>
      </c>
      <c r="N63" s="29">
        <f>IFERROR(__xludf.DUMMYFUNCTION("counta(iferror(filter(L64:L$129,E64:E$129=E63,L64:L$131&gt;L63)))"),0.0)</f>
        <v>0</v>
      </c>
      <c r="O63" s="34">
        <f t="array" ref="O63:W63">XLOOKUP(F63,'Current Week'!B:B,'Current Week'!C:N)</f>
        <v>9</v>
      </c>
      <c r="P63" s="29">
        <v>3.0</v>
      </c>
      <c r="Q63" s="30" t="s">
        <v>260</v>
      </c>
      <c r="R63" s="30" t="s">
        <v>202</v>
      </c>
      <c r="S63" s="30"/>
      <c r="T63" s="30" t="s">
        <v>203</v>
      </c>
      <c r="U63" s="37" t="s">
        <v>203</v>
      </c>
      <c r="V63" s="37"/>
      <c r="W63" s="37">
        <v>9999.0</v>
      </c>
      <c r="X63" s="37"/>
      <c r="Y63" s="37"/>
      <c r="Z63" s="37"/>
      <c r="AA63" s="39">
        <f t="shared" si="3"/>
        <v>-2</v>
      </c>
      <c r="AB63" s="37">
        <f t="shared" si="4"/>
        <v>37</v>
      </c>
      <c r="AC63" s="37">
        <f>IFERROR(__xludf.DUMMYFUNCTION("iferror(COUNT(filter($O64:$O$392,$O64:$O$392&gt;$O63)))"),3.0)</f>
        <v>3</v>
      </c>
      <c r="AD63" s="40">
        <f t="shared" si="5"/>
        <v>0</v>
      </c>
      <c r="AE63" s="41">
        <f t="shared" si="6"/>
        <v>7</v>
      </c>
      <c r="AF63" s="30" t="str">
        <f>IFERROR(__xludf.DUMMYFUNCTION("iferror(join("","",index(sort(filter($F64:$F$393,$O64:$O$393&gt;$O63),2,false),0,1)))"),"Florida,Baylor,Minnesota")</f>
        <v>Florida,Baylor,Minnesota</v>
      </c>
      <c r="AG63" s="39">
        <f>IFERROR(__xludf.DUMMYFUNCTION("iferror($O63-max(filter($O63:$O$392,$E63:$E$392=$E$2)))"),-1.0)</f>
        <v>-1</v>
      </c>
      <c r="AH63" s="37">
        <f t="shared" si="7"/>
        <v>0</v>
      </c>
      <c r="AI63" s="37">
        <f>IFERROR(__xludf.DUMMYFUNCTION("iferror(COUNT(filter($O64:$O$392,$O64:$O$392&gt;$O63,$E63:$E$392=$E$2)))"),0.0)</f>
        <v>0</v>
      </c>
      <c r="AJ63" s="40">
        <f t="shared" si="8"/>
        <v>0</v>
      </c>
      <c r="AK63" s="41">
        <f>IFERROR(__xludf.DUMMYFUNCTION("iferror($O63-min(filter($O63:$O$392,$E63:$E$392=$E$2)))"),7.0)</f>
        <v>7</v>
      </c>
      <c r="AL63" s="30" t="str">
        <f>IFERROR(__xludf.DUMMYFUNCTION("iferror(join("","",index(sort(filter($F64:$F$392,$O64:$O$392&gt;$O63,$E64:$E$392=$E$2),2,false),0,1)))"),"Florida")</f>
        <v>Florida</v>
      </c>
      <c r="AM63" s="30" t="str">
        <f>IFERROR(__xludf.DUMMYFUNCTION("REGEXREPLACE(join("","",unique({let(conf_picked,filter(E$1:E62,D$1:D62=D63), byrow(unique(TRANSPOSe(Teams!$1:$1)),lambda(rw,if(ISERROR(match(rw,conf_picked,0)),rw,))));iferror(if(#REF!,,transpose(split(#REF!,"","",1,1))))})), ""^,"", """")"),"Big Ten,CUSA,MWC,SEC,Sun Belt,Independent")</f>
        <v>Big Ten,CUSA,MWC,SEC,Sun Belt,Independent</v>
      </c>
      <c r="AN63" s="39">
        <f>IFERROR(__xludf.DUMMYFUNCTION("iferror($O63-max(filter($O63:$O$392,arrayformula(isnumber(FIND($E63:$E$392,AM63))))))"),-1.0)</f>
        <v>-1</v>
      </c>
      <c r="AO63" s="37">
        <f t="array" ref="AO63">countifs($O$2:$O62,"&lt;"&amp;$O63,isnumber(FIND($E$2:$E62,AM63)),TRUE)</f>
        <v>17</v>
      </c>
      <c r="AP63" s="37">
        <f>IFERROR(__xludf.DUMMYFUNCTION("iferror(COUNT(filter($O64:$O$392,$O64:$O$392&gt;$O63,arrayformula(isnumber(FIND($E64:$E$392,AM63))))))"),2.0)</f>
        <v>2</v>
      </c>
      <c r="AQ63" s="40">
        <f t="shared" si="9"/>
        <v>0</v>
      </c>
      <c r="AR63" s="41">
        <f>IFERROR(__xludf.DUMMYFUNCTION("iferror($O63-min(filter($O63:$O$392,arrayformula(isnumber(FIND($E63:$E$392,AM63))))))"),8.0)</f>
        <v>8</v>
      </c>
      <c r="AS63" s="48" t="str">
        <f>IFERROR(__xludf.DUMMYFUNCTION("iferror(join("","",index(sort(filter($F64:$F$392,$O64:$O$392&gt;$O63,arrayformula(isnumber(FIND($E64:$E$392,AM63)))),2,false),0,1)))"),"Florida,Minnesota")</f>
        <v>Florida,Minnesota</v>
      </c>
    </row>
    <row r="64">
      <c r="A64" s="1">
        <f t="shared" si="10"/>
        <v>63</v>
      </c>
      <c r="B64" s="1">
        <f t="shared" si="12"/>
        <v>6</v>
      </c>
      <c r="C64" s="1">
        <v>3.0</v>
      </c>
      <c r="D64" s="56" t="str">
        <f>D59</f>
        <v>Josh R.</v>
      </c>
      <c r="E64" s="52" t="str">
        <f>if(F64&lt;&gt;"",VLOOKUP(F64,offset('Teams-Conference'!A:B,0,(counta('Draft Order'!B$2:B129)-10)*2),2,0),"")</f>
        <v>CUSA</v>
      </c>
      <c r="F64" s="1" t="s">
        <v>131</v>
      </c>
      <c r="H64" s="29">
        <f t="shared" si="1"/>
        <v>1</v>
      </c>
      <c r="I64" s="29">
        <f t="shared" si="2"/>
        <v>1</v>
      </c>
      <c r="J64" s="29">
        <f t="shared" si="11"/>
        <v>2</v>
      </c>
      <c r="K64" s="29">
        <f t="shared" si="21"/>
        <v>2</v>
      </c>
      <c r="L64" s="29"/>
      <c r="M64" s="29">
        <f>IFERROR(__xludf.DUMMYFUNCTION("counta(iferror(filter(L$2:L63,E$2:E63=E64,L$2:L63&lt;L64)))"),0.0)</f>
        <v>0</v>
      </c>
      <c r="N64" s="29">
        <f>IFERROR(__xludf.DUMMYFUNCTION("counta(iferror(filter(L65:L$129,E65:E$129=E64,L65:L$131&gt;L64)))"),0.0)</f>
        <v>0</v>
      </c>
      <c r="O64" s="34">
        <f t="array" ref="O64:W64">XLOOKUP(F64,'Current Week'!B:B,'Current Week'!C:N)</f>
        <v>7</v>
      </c>
      <c r="P64" s="29">
        <v>5.0</v>
      </c>
      <c r="Q64" s="30" t="s">
        <v>248</v>
      </c>
      <c r="R64" s="30" t="s">
        <v>202</v>
      </c>
      <c r="S64" s="30"/>
      <c r="T64" s="30" t="s">
        <v>203</v>
      </c>
      <c r="U64" s="37" t="s">
        <v>203</v>
      </c>
      <c r="V64" s="37"/>
      <c r="W64" s="37">
        <v>9999.0</v>
      </c>
      <c r="X64" s="37"/>
      <c r="Y64" s="37"/>
      <c r="Z64" s="37"/>
      <c r="AA64" s="39">
        <f t="shared" si="3"/>
        <v>-4</v>
      </c>
      <c r="AB64" s="37">
        <f t="shared" si="4"/>
        <v>21</v>
      </c>
      <c r="AC64" s="37">
        <f>IFERROR(__xludf.DUMMYFUNCTION("iferror(COUNT(filter($O65:$O$392,$O65:$O$392&gt;$O64)))"),12.0)</f>
        <v>12</v>
      </c>
      <c r="AD64" s="40">
        <f t="shared" si="5"/>
        <v>0</v>
      </c>
      <c r="AE64" s="41">
        <f t="shared" si="6"/>
        <v>5</v>
      </c>
      <c r="AF64" s="30" t="str">
        <f>IFERROR(__xludf.DUMMYFUNCTION("iferror(join("","",index(sort(filter($F65:$F$393,$O65:$O$393&gt;$O64),2,false),0,1)))"),"Florida,Baylor,UAB,Iowa,Minnesota,Kansas State,Indiana,Wake Forest,Western Kentucky,Virginia,Central Michigan,Louisville")</f>
        <v>Florida,Baylor,UAB,Iowa,Minnesota,Kansas State,Indiana,Wake Forest,Western Kentucky,Virginia,Central Michigan,Louisville</v>
      </c>
      <c r="AG64" s="39">
        <f>IFERROR(__xludf.DUMMYFUNCTION("iferror($O64-max(filter($O64:$O$392,$E64:$E$392=$E$2)))"),-3.0)</f>
        <v>-3</v>
      </c>
      <c r="AH64" s="37">
        <f t="shared" si="7"/>
        <v>0</v>
      </c>
      <c r="AI64" s="37">
        <f>IFERROR(__xludf.DUMMYFUNCTION("iferror(COUNT(filter($O65:$O$392,$O65:$O$392&gt;$O64,$E64:$E$392=$E$2)))"),0.0)</f>
        <v>0</v>
      </c>
      <c r="AJ64" s="40">
        <f t="shared" si="8"/>
        <v>0</v>
      </c>
      <c r="AK64" s="41">
        <f>IFERROR(__xludf.DUMMYFUNCTION("iferror($O64-min(filter($O64:$O$392,$E64:$E$392=$E$2)))"),5.0)</f>
        <v>5</v>
      </c>
      <c r="AL64" s="30" t="str">
        <f>IFERROR(__xludf.DUMMYFUNCTION("iferror(join("","",index(sort(filter($F65:$F$392,$O65:$O$392&gt;$O64,$E65:$E$392=$E$2),2,false),0,1)))"),"Florida")</f>
        <v>Florida</v>
      </c>
      <c r="AM64" s="30" t="str">
        <f>IFERROR(__xludf.DUMMYFUNCTION("REGEXREPLACE(join("","",unique({let(conf_picked,filter(E$1:E63,D$1:D63=D64), byrow(unique(TRANSPOSe(Teams!$1:$1)),lambda(rw,if(ISERROR(match(rw,conf_picked,0)),rw,))));iferror(if(#REF!,,transpose(split(#REF!,"","",1,1))))})), ""^,"", """")"),"ACC,Big 12,Big Ten,CUSA,SEC,Independent")</f>
        <v>ACC,Big 12,Big Ten,CUSA,SEC,Independent</v>
      </c>
      <c r="AN64" s="39">
        <f>IFERROR(__xludf.DUMMYFUNCTION("iferror($O64-max(filter($O64:$O$392,arrayformula(isnumber(FIND($E64:$E$392,AM64))))))"),-4.0)</f>
        <v>-4</v>
      </c>
      <c r="AO64" s="37">
        <f t="array" ref="AO64">countifs($O$2:$O63,"&lt;"&amp;$O64,isnumber(FIND($E$2:$E63,AM64)),TRUE)</f>
        <v>4</v>
      </c>
      <c r="AP64" s="37">
        <f>IFERROR(__xludf.DUMMYFUNCTION("iferror(COUNT(filter($O65:$O$392,$O65:$O$392&gt;$O64,arrayformula(isnumber(FIND($E65:$E$392,AM64))))))"),11.0)</f>
        <v>11</v>
      </c>
      <c r="AQ64" s="40">
        <f t="shared" si="9"/>
        <v>0</v>
      </c>
      <c r="AR64" s="41">
        <f>IFERROR(__xludf.DUMMYFUNCTION("iferror($O64-min(filter($O64:$O$392,arrayformula(isnumber(FIND($E64:$E$392,AM64))))))"),6.0)</f>
        <v>6</v>
      </c>
      <c r="AS64" s="48" t="str">
        <f>IFERROR(__xludf.DUMMYFUNCTION("iferror(join("","",index(sort(filter($F65:$F$392,$O65:$O$392&gt;$O64,arrayformula(isnumber(FIND($E65:$E$392,AM64)))),2,false),0,1)))"),"Florida,Baylor,UAB,Iowa,Minnesota,Kansas State,Indiana,Wake Forest,Western Kentucky,Virginia,Louisville")</f>
        <v>Florida,Baylor,UAB,Iowa,Minnesota,Kansas State,Indiana,Wake Forest,Western Kentucky,Virginia,Louisville</v>
      </c>
    </row>
    <row r="65">
      <c r="A65" s="1">
        <f t="shared" si="10"/>
        <v>64</v>
      </c>
      <c r="B65" s="1">
        <f t="shared" si="12"/>
        <v>6</v>
      </c>
      <c r="C65" s="1">
        <v>4.0</v>
      </c>
      <c r="D65" s="56" t="str">
        <f>D58</f>
        <v>Vu</v>
      </c>
      <c r="E65" s="52" t="str">
        <f>if(F65&lt;&gt;"",VLOOKUP(F65,offset('Teams-Conference'!A:B,0,(counta('Draft Order'!B$2:B129)-10)*2),2,0),"")</f>
        <v>Big 12</v>
      </c>
      <c r="F65" t="s">
        <v>102</v>
      </c>
      <c r="H65" s="29">
        <f t="shared" si="1"/>
        <v>1</v>
      </c>
      <c r="I65" s="29">
        <f t="shared" si="2"/>
        <v>4</v>
      </c>
      <c r="J65" s="29">
        <f t="shared" si="11"/>
        <v>1</v>
      </c>
      <c r="K65" s="29">
        <f>countif(E46:E65,E67)</f>
        <v>3</v>
      </c>
      <c r="L65" s="29"/>
      <c r="M65" s="29">
        <f>IFERROR(__xludf.DUMMYFUNCTION("counta(iferror(filter(L$2:L64,E$2:E64=E65,L$2:L64&lt;L65)))"),0.0)</f>
        <v>0</v>
      </c>
      <c r="N65" s="29">
        <f>IFERROR(__xludf.DUMMYFUNCTION("counta(iferror(filter(L66:L$129,E66:E$129=E65,L66:L$131&gt;L65)))"),0.0)</f>
        <v>0</v>
      </c>
      <c r="O65" s="34">
        <f t="array" ref="O65:W65">XLOOKUP(F65,'Current Week'!B:B,'Current Week'!C:N)</f>
        <v>5</v>
      </c>
      <c r="P65" s="29">
        <v>7.0</v>
      </c>
      <c r="Q65" s="30" t="s">
        <v>215</v>
      </c>
      <c r="R65" s="30" t="s">
        <v>202</v>
      </c>
      <c r="S65" s="30"/>
      <c r="T65" s="30" t="s">
        <v>203</v>
      </c>
      <c r="U65" s="37" t="s">
        <v>203</v>
      </c>
      <c r="V65" s="37"/>
      <c r="W65" s="37">
        <v>9999.0</v>
      </c>
      <c r="X65" s="37"/>
      <c r="Y65" s="37"/>
      <c r="Z65" s="37"/>
      <c r="AA65" s="39">
        <f t="shared" si="3"/>
        <v>-6</v>
      </c>
      <c r="AB65" s="37">
        <f t="shared" si="4"/>
        <v>9</v>
      </c>
      <c r="AC65" s="37">
        <f>IFERROR(__xludf.DUMMYFUNCTION("iferror(COUNT(filter($O66:$O$392,$O66:$O$392&gt;$O65)))"),28.0)</f>
        <v>28</v>
      </c>
      <c r="AD65" s="40">
        <f t="shared" si="5"/>
        <v>0</v>
      </c>
      <c r="AE65" s="41">
        <f t="shared" si="6"/>
        <v>3</v>
      </c>
      <c r="AF65" s="30" t="str">
        <f>IFERROR(__xludf.DUMMYFUNCTION("iferror(join("","",index(sort(filter($F66:$F$393,$O66:$O$393&gt;$O65),2,false),0,1)))"),"Florida,Baylor,UAB,Arizona State,California,Michigan State,BYU,Iowa,Texas A&amp;M,Minnesota,Kansas State,Indiana,Florida State,Wake Forest,Western Kentucky,Virginia,Charlotte,Pittsburgh,Missouri,Boston College,Mississippi State,Tennessee,Kent State,Kentucky,C"&amp;"entral Michigan,North Carolina,Louisville,Illinois")</f>
        <v>Florida,Baylor,UAB,Arizona State,California,Michigan State,BYU,Iowa,Texas A&amp;M,Minnesota,Kansas State,Indiana,Florida State,Wake Forest,Western Kentucky,Virginia,Charlotte,Pittsburgh,Missouri,Boston College,Mississippi State,Tennessee,Kent State,Kentucky,Central Michigan,North Carolina,Louisville,Illinois</v>
      </c>
      <c r="AG65" s="39">
        <f>IFERROR(__xludf.DUMMYFUNCTION("iferror($O65-max(filter($O65:$O$392,$E65:$E$392=$E$2)))"),-5.0)</f>
        <v>-5</v>
      </c>
      <c r="AH65" s="37">
        <f t="shared" si="7"/>
        <v>0</v>
      </c>
      <c r="AI65" s="37">
        <f>IFERROR(__xludf.DUMMYFUNCTION("iferror(COUNT(filter($O66:$O$392,$O66:$O$392&gt;$O65,$E65:$E$392=$E$2)))"),0.0)</f>
        <v>0</v>
      </c>
      <c r="AJ65" s="40">
        <f t="shared" si="8"/>
        <v>0</v>
      </c>
      <c r="AK65" s="41">
        <f>IFERROR(__xludf.DUMMYFUNCTION("iferror($O65-min(filter($O65:$O$392,$E65:$E$392=$E$2)))"),3.0)</f>
        <v>3</v>
      </c>
      <c r="AL65" s="30" t="str">
        <f>IFERROR(__xludf.DUMMYFUNCTION("iferror(join("","",index(sort(filter($F66:$F$392,$O66:$O$392&gt;$O65,$E66:$E$392=$E$2),2,false),0,1)))"),"Florida,Texas A&amp;M,Missouri,Mississippi State,Tennessee,Kentucky")</f>
        <v>Florida,Texas A&amp;M,Missouri,Mississippi State,Tennessee,Kentucky</v>
      </c>
      <c r="AM65" s="30" t="str">
        <f>IFERROR(__xludf.DUMMYFUNCTION("REGEXREPLACE(join("","",unique({let(conf_picked,filter(E$1:E64,D$1:D64=D65), byrow(unique(TRANSPOSe(Teams!$1:$1)),lambda(rw,if(ISERROR(match(rw,conf_picked,0)),rw,))));iferror(if(#REF!,,transpose(split(#REF!,"","",1,1))))})), ""^,"", """")"),"ACC,Big 12,MAC,SEC,Sun Belt,Independent")</f>
        <v>ACC,Big 12,MAC,SEC,Sun Belt,Independent</v>
      </c>
      <c r="AN65" s="39">
        <f>IFERROR(__xludf.DUMMYFUNCTION("iferror($O65-max(filter($O65:$O$392,arrayformula(isnumber(FIND($E65:$E$392,AM65))))))"),-6.0)</f>
        <v>-6</v>
      </c>
      <c r="AO65" s="37">
        <f t="array" ref="AO65">countifs($O$2:$O64,"&lt;"&amp;$O65,isnumber(FIND($E$2:$E64,AM65)),TRUE)</f>
        <v>2</v>
      </c>
      <c r="AP65" s="37">
        <f>IFERROR(__xludf.DUMMYFUNCTION("iferror(COUNT(filter($O66:$O$392,$O66:$O$392&gt;$O65,arrayformula(isnumber(FIND($E66:$E$392,AM65))))))"),18.0)</f>
        <v>18</v>
      </c>
      <c r="AQ65" s="40">
        <f t="shared" si="9"/>
        <v>0</v>
      </c>
      <c r="AR65" s="41">
        <f>IFERROR(__xludf.DUMMYFUNCTION("iferror($O65-min(filter($O65:$O$392,arrayformula(isnumber(FIND($E65:$E$392,AM65))))))"),5.0)</f>
        <v>5</v>
      </c>
      <c r="AS65" s="48" t="str">
        <f>IFERROR(__xludf.DUMMYFUNCTION("iferror(join("","",index(sort(filter($F66:$F$392,$O66:$O$392&gt;$O65,arrayformula(isnumber(FIND($E66:$E$392,AM65)))),2,false),0,1)))"),"Florida,Baylor,BYU,Texas A&amp;M,Kansas State,Florida State,Wake Forest,Virginia,Pittsburgh,Missouri,Boston College,Mississippi State,Tennessee,Kent State,Kentucky,Central Michigan,North Carolina,Louisville")</f>
        <v>Florida,Baylor,BYU,Texas A&amp;M,Kansas State,Florida State,Wake Forest,Virginia,Pittsburgh,Missouri,Boston College,Mississippi State,Tennessee,Kent State,Kentucky,Central Michigan,North Carolina,Louisville</v>
      </c>
    </row>
    <row r="66">
      <c r="A66" s="1">
        <f t="shared" si="10"/>
        <v>65</v>
      </c>
      <c r="B66" s="1">
        <f t="shared" si="12"/>
        <v>6</v>
      </c>
      <c r="C66" s="1">
        <v>5.0</v>
      </c>
      <c r="D66" s="56" t="str">
        <f>D57</f>
        <v>Adam</v>
      </c>
      <c r="E66" s="52" t="str">
        <f>if(F66&lt;&gt;"",VLOOKUP(F66,offset('Teams-Conference'!A:B,0,(counta('Draft Order'!B$2:B129)-10)*2),2,0),"")</f>
        <v>SEC</v>
      </c>
      <c r="F66" s="1" t="s">
        <v>175</v>
      </c>
      <c r="H66" s="29">
        <f t="shared" si="1"/>
        <v>0</v>
      </c>
      <c r="I66" s="29">
        <f t="shared" si="2"/>
        <v>1</v>
      </c>
      <c r="J66" s="29">
        <f t="shared" si="11"/>
        <v>1</v>
      </c>
      <c r="K66" s="30"/>
      <c r="L66" s="29"/>
      <c r="M66" s="29">
        <f>IFERROR(__xludf.DUMMYFUNCTION("counta(iferror(filter(L$2:L65,E$2:E65=E66,L$2:L65&lt;L66)))"),0.0)</f>
        <v>0</v>
      </c>
      <c r="N66" s="29">
        <f>IFERROR(__xludf.DUMMYFUNCTION("counta(iferror(filter(L67:L$129,E67:E$129=E66,L67:L$131&gt;L66)))"),0.0)</f>
        <v>0</v>
      </c>
      <c r="O66" s="34">
        <f t="array" ref="O66:W66">XLOOKUP(F66,'Current Week'!B:B,'Current Week'!C:N)</f>
        <v>10</v>
      </c>
      <c r="P66" s="29">
        <v>2.0</v>
      </c>
      <c r="Q66" s="30" t="s">
        <v>234</v>
      </c>
      <c r="R66" s="30" t="s">
        <v>202</v>
      </c>
      <c r="S66" s="30"/>
      <c r="T66" s="30" t="s">
        <v>203</v>
      </c>
      <c r="U66" s="37" t="s">
        <v>203</v>
      </c>
      <c r="V66" s="37"/>
      <c r="W66" s="37">
        <v>9999.0</v>
      </c>
      <c r="X66" s="37"/>
      <c r="Y66" s="37"/>
      <c r="Z66" s="37"/>
      <c r="AA66" s="39">
        <f t="shared" si="3"/>
        <v>-1</v>
      </c>
      <c r="AB66" s="37">
        <f t="shared" si="4"/>
        <v>46</v>
      </c>
      <c r="AC66" s="37">
        <f>IFERROR(__xludf.DUMMYFUNCTION("iferror(COUNT(filter($O67:$O$392,$O67:$O$392&gt;$O66)))"),1.0)</f>
        <v>1</v>
      </c>
      <c r="AD66" s="40">
        <f t="shared" si="5"/>
        <v>0</v>
      </c>
      <c r="AE66" s="41">
        <f t="shared" si="6"/>
        <v>8</v>
      </c>
      <c r="AF66" s="30" t="str">
        <f>IFERROR(__xludf.DUMMYFUNCTION("iferror(join("","",index(sort(filter($F67:$F$393,$O67:$O$393&gt;$O66),2,false),0,1)))"),"Baylor")</f>
        <v>Baylor</v>
      </c>
      <c r="AG66" s="39">
        <f>IFERROR(__xludf.DUMMYFUNCTION("iferror($O66-max(filter($O66:$O$392,$E66:$E$392=$E$2)))"),0.0)</f>
        <v>0</v>
      </c>
      <c r="AH66" s="37">
        <f t="shared" si="7"/>
        <v>1</v>
      </c>
      <c r="AI66" s="37">
        <f>IFERROR(__xludf.DUMMYFUNCTION("iferror(COUNT(filter($O67:$O$392,$O67:$O$392&gt;$O66,$E66:$E$392=$E$2)))"),0.0)</f>
        <v>0</v>
      </c>
      <c r="AJ66" s="40">
        <f t="shared" si="8"/>
        <v>1</v>
      </c>
      <c r="AK66" s="41">
        <f>IFERROR(__xludf.DUMMYFUNCTION("iferror($O66-min(filter($O66:$O$392,$E66:$E$392=$E$2)))"),8.0)</f>
        <v>8</v>
      </c>
      <c r="AL66" s="30" t="str">
        <f>IFERROR(__xludf.DUMMYFUNCTION("iferror(join("","",index(sort(filter($F67:$F$392,$O67:$O$392&gt;$O66,$E67:$E$392=$E$2),2,false),0,1)))"),"")</f>
        <v/>
      </c>
      <c r="AM66" s="30" t="str">
        <f>IFERROR(__xludf.DUMMYFUNCTION("REGEXREPLACE(join("","",unique({let(conf_picked,filter(E$1:E65,D$1:D65=D66), byrow(unique(TRANSPOSe(Teams!$1:$1)),lambda(rw,if(ISERROR(match(rw,conf_picked,0)),rw,))));iferror(if(#REF!,,transpose(split(#REF!,"","",1,1))))})), ""^,"", """")"),"ACC,Big Ten,MAC,Pac12,SEC,Independent")</f>
        <v>ACC,Big Ten,MAC,Pac12,SEC,Independent</v>
      </c>
      <c r="AN66" s="39">
        <f>IFERROR(__xludf.DUMMYFUNCTION("iferror($O66-max(filter($O66:$O$392,arrayformula(isnumber(FIND($E66:$E$392,AM66))))))"),0.0)</f>
        <v>0</v>
      </c>
      <c r="AO66" s="37">
        <f t="array" ref="AO66">countifs($O$2:$O65,"&lt;"&amp;$O66,isnumber(FIND($E$2:$E65,AM66)),TRUE)</f>
        <v>16</v>
      </c>
      <c r="AP66" s="37">
        <f>IFERROR(__xludf.DUMMYFUNCTION("iferror(COUNT(filter($O67:$O$392,$O67:$O$392&gt;$O66,arrayformula(isnumber(FIND($E67:$E$392,AM66))))))"),0.0)</f>
        <v>0</v>
      </c>
      <c r="AQ66" s="40">
        <f t="shared" si="9"/>
        <v>1</v>
      </c>
      <c r="AR66" s="41">
        <f>IFERROR(__xludf.DUMMYFUNCTION("iferror($O66-min(filter($O66:$O$392,arrayformula(isnumber(FIND($E66:$E$392,AM66))))))"),10.0)</f>
        <v>10</v>
      </c>
      <c r="AS66" s="48" t="str">
        <f>IFERROR(__xludf.DUMMYFUNCTION("iferror(join("","",index(sort(filter($F67:$F$392,$O67:$O$392&gt;$O66,arrayformula(isnumber(FIND($E67:$E$392,AM66)))),2,false),0,1)))"),"")</f>
        <v/>
      </c>
    </row>
    <row r="67">
      <c r="A67" s="1">
        <f t="shared" si="10"/>
        <v>66</v>
      </c>
      <c r="B67" s="1">
        <f t="shared" si="12"/>
        <v>6</v>
      </c>
      <c r="C67" s="1">
        <v>6.0</v>
      </c>
      <c r="D67" s="56" t="str">
        <f>D56</f>
        <v>Justin</v>
      </c>
      <c r="E67" s="52" t="str">
        <f>if(F67&lt;&gt;"",VLOOKUP(F67,offset('Teams-Conference'!A:B,0,(counta('Draft Order'!B$2:B129)-10)*2),2,0),"")</f>
        <v>Big 12</v>
      </c>
      <c r="F67" s="1" t="s">
        <v>96</v>
      </c>
      <c r="H67" s="29">
        <f t="shared" si="1"/>
        <v>2</v>
      </c>
      <c r="I67" s="29">
        <f t="shared" si="2"/>
        <v>3</v>
      </c>
      <c r="J67" s="29">
        <f t="shared" si="11"/>
        <v>2</v>
      </c>
      <c r="K67" s="29">
        <f t="shared" ref="K67:K72" si="22">countif(E47:E67,E68)</f>
        <v>4</v>
      </c>
      <c r="L67" s="29"/>
      <c r="M67" s="29">
        <f>IFERROR(__xludf.DUMMYFUNCTION("counta(iferror(filter(L$2:L66,E$2:E66=E67,L$2:L66&lt;L67)))"),0.0)</f>
        <v>0</v>
      </c>
      <c r="N67" s="29">
        <f>IFERROR(__xludf.DUMMYFUNCTION("counta(iferror(filter(L68:L$129,E68:E$129=E67,L68:L$131&gt;L67)))"),0.0)</f>
        <v>0</v>
      </c>
      <c r="O67" s="34">
        <f t="array" ref="O67:W67">XLOOKUP(F67,'Current Week'!B:B,'Current Week'!C:N)</f>
        <v>11</v>
      </c>
      <c r="P67" s="29">
        <v>1.0</v>
      </c>
      <c r="Q67" s="30" t="s">
        <v>207</v>
      </c>
      <c r="R67" s="30" t="s">
        <v>238</v>
      </c>
      <c r="S67" s="30" t="s">
        <v>239</v>
      </c>
      <c r="T67" s="30">
        <v>9.0</v>
      </c>
      <c r="U67" s="37" t="s">
        <v>240</v>
      </c>
      <c r="V67" s="37" t="s">
        <v>53</v>
      </c>
      <c r="W67" s="37" t="s">
        <v>239</v>
      </c>
      <c r="X67" s="37"/>
      <c r="Y67" s="37"/>
      <c r="Z67" s="37"/>
      <c r="AA67" s="39">
        <f t="shared" si="3"/>
        <v>0</v>
      </c>
      <c r="AB67" s="37">
        <f t="shared" si="4"/>
        <v>56</v>
      </c>
      <c r="AC67" s="37">
        <f>IFERROR(__xludf.DUMMYFUNCTION("iferror(COUNT(filter($O68:$O$392,$O68:$O$392&gt;$O67)))"),0.0)</f>
        <v>0</v>
      </c>
      <c r="AD67" s="40">
        <f t="shared" si="5"/>
        <v>1</v>
      </c>
      <c r="AE67" s="41">
        <f t="shared" si="6"/>
        <v>9</v>
      </c>
      <c r="AF67" s="30" t="str">
        <f>IFERROR(__xludf.DUMMYFUNCTION("iferror(join("","",index(sort(filter($F68:$F$393,$O68:$O$393&gt;$O67),2,false),0,1)))"),"")</f>
        <v/>
      </c>
      <c r="AG67" s="39">
        <f>IFERROR(__xludf.DUMMYFUNCTION("iferror($O67-max(filter($O67:$O$392,$E67:$E$392=$E$2)))"),4.0)</f>
        <v>4</v>
      </c>
      <c r="AH67" s="37">
        <f t="shared" si="7"/>
        <v>3</v>
      </c>
      <c r="AI67" s="37">
        <f>IFERROR(__xludf.DUMMYFUNCTION("iferror(COUNT(filter($O68:$O$392,$O68:$O$392&gt;$O67,$E67:$E$392=$E$2)))"),0.0)</f>
        <v>0</v>
      </c>
      <c r="AJ67" s="40">
        <f t="shared" si="8"/>
        <v>0</v>
      </c>
      <c r="AK67" s="41">
        <f>IFERROR(__xludf.DUMMYFUNCTION("iferror($O67-min(filter($O67:$O$392,$E67:$E$392=$E$2)))"),9.0)</f>
        <v>9</v>
      </c>
      <c r="AL67" s="30" t="str">
        <f>IFERROR(__xludf.DUMMYFUNCTION("iferror(join("","",index(sort(filter($F68:$F$392,$O68:$O$392&gt;$O67,$E68:$E$392=$E$2),2,false),0,1)))"),"")</f>
        <v/>
      </c>
      <c r="AM67" s="30" t="str">
        <f>IFERROR(__xludf.DUMMYFUNCTION("REGEXREPLACE(join("","",unique({let(conf_picked,filter(E$1:E66,D$1:D66=D67), byrow(unique(TRANSPOSe(Teams!$1:$1)),lambda(rw,if(ISERROR(match(rw,conf_picked,0)),rw,))));iferror(if(#REF!,,transpose(split(#REF!,"","",1,1))))})), ""^,"", """")"),"ACC,Big 12,Big Ten,CUSA,SEC,Independent")</f>
        <v>ACC,Big 12,Big Ten,CUSA,SEC,Independent</v>
      </c>
      <c r="AN67" s="39">
        <f>IFERROR(__xludf.DUMMYFUNCTION("iferror($O67-max(filter($O67:$O$392,arrayformula(isnumber(FIND($E67:$E$392,AM67))))))"),0.0)</f>
        <v>0</v>
      </c>
      <c r="AO67" s="37">
        <f t="array" ref="AO67">countifs($O$2:$O66,"&lt;"&amp;$O67,isnumber(FIND($E$2:$E66,AM67)),TRUE)</f>
        <v>20</v>
      </c>
      <c r="AP67" s="37">
        <f>IFERROR(__xludf.DUMMYFUNCTION("iferror(COUNT(filter($O68:$O$392,$O68:$O$392&gt;$O67,arrayformula(isnumber(FIND($E68:$E$392,AM67))))))"),0.0)</f>
        <v>0</v>
      </c>
      <c r="AQ67" s="40">
        <f t="shared" si="9"/>
        <v>1</v>
      </c>
      <c r="AR67" s="41">
        <f>IFERROR(__xludf.DUMMYFUNCTION("iferror($O67-min(filter($O67:$O$392,arrayformula(isnumber(FIND($E67:$E$392,AM67))))))"),10.0)</f>
        <v>10</v>
      </c>
      <c r="AS67" s="48" t="str">
        <f>IFERROR(__xludf.DUMMYFUNCTION("iferror(join("","",index(sort(filter($F68:$F$392,$O68:$O$392&gt;$O67,arrayformula(isnumber(FIND($E68:$E$392,AM67)))),2,false),0,1)))"),"")</f>
        <v/>
      </c>
    </row>
    <row r="68">
      <c r="A68" s="1">
        <f t="shared" si="10"/>
        <v>67</v>
      </c>
      <c r="B68" s="1">
        <f t="shared" si="12"/>
        <v>6</v>
      </c>
      <c r="C68" s="1">
        <v>7.0</v>
      </c>
      <c r="D68" s="56" t="str">
        <f>D55</f>
        <v>Jeannine</v>
      </c>
      <c r="E68" s="52" t="str">
        <f>if(F68&lt;&gt;"",VLOOKUP(F68,offset('Teams-Conference'!A:B,0,(counta('Draft Order'!B$2:B129)-10)*2),2,0),"")</f>
        <v>CUSA</v>
      </c>
      <c r="F68" t="s">
        <v>136</v>
      </c>
      <c r="H68" s="29">
        <f t="shared" si="1"/>
        <v>0</v>
      </c>
      <c r="I68" s="29">
        <f t="shared" si="2"/>
        <v>0</v>
      </c>
      <c r="J68" s="29">
        <f t="shared" si="11"/>
        <v>3</v>
      </c>
      <c r="K68" s="29">
        <f t="shared" si="22"/>
        <v>2</v>
      </c>
      <c r="L68" s="29"/>
      <c r="M68" s="29">
        <f>IFERROR(__xludf.DUMMYFUNCTION("counta(iferror(filter(L$2:L67,E$2:E67=E68,L$2:L67&lt;L68)))"),0.0)</f>
        <v>0</v>
      </c>
      <c r="N68" s="29">
        <f>IFERROR(__xludf.DUMMYFUNCTION("counta(iferror(filter(L69:L$129,E69:E$129=E68,L69:L$131&gt;L68)))"),0.0)</f>
        <v>0</v>
      </c>
      <c r="O68" s="34">
        <f t="array" ref="O68:W68">XLOOKUP(F68,'Current Week'!B:B,'Current Week'!C:N)</f>
        <v>9</v>
      </c>
      <c r="P68" s="29">
        <v>3.0</v>
      </c>
      <c r="Q68" s="30" t="s">
        <v>282</v>
      </c>
      <c r="R68" s="30" t="s">
        <v>255</v>
      </c>
      <c r="S68" s="30" t="s">
        <v>256</v>
      </c>
      <c r="T68" s="30" t="s">
        <v>257</v>
      </c>
      <c r="U68" s="37">
        <v>50.0</v>
      </c>
      <c r="V68" s="37" t="s">
        <v>74</v>
      </c>
      <c r="W68" s="37" t="s">
        <v>256</v>
      </c>
      <c r="X68" s="37"/>
      <c r="Y68" s="37"/>
      <c r="Z68" s="37"/>
      <c r="AA68" s="39">
        <f t="shared" si="3"/>
        <v>-1</v>
      </c>
      <c r="AB68" s="37">
        <f t="shared" si="4"/>
        <v>39</v>
      </c>
      <c r="AC68" s="37">
        <f>IFERROR(__xludf.DUMMYFUNCTION("iferror(COUNT(filter($O69:$O$392,$O69:$O$392&gt;$O68)))"),1.0)</f>
        <v>1</v>
      </c>
      <c r="AD68" s="40">
        <f t="shared" si="5"/>
        <v>0</v>
      </c>
      <c r="AE68" s="41">
        <f t="shared" si="6"/>
        <v>7</v>
      </c>
      <c r="AF68" s="30" t="str">
        <f>IFERROR(__xludf.DUMMYFUNCTION("iferror(join("","",index(sort(filter($F69:$F$393,$O69:$O$393&gt;$O68),2,false),0,1)))"),"Minnesota")</f>
        <v>Minnesota</v>
      </c>
      <c r="AG68" s="39">
        <f>IFERROR(__xludf.DUMMYFUNCTION("iferror($O68-max(filter($O68:$O$392,$E68:$E$392=$E$2)))"),2.0)</f>
        <v>2</v>
      </c>
      <c r="AH68" s="37">
        <f t="shared" si="7"/>
        <v>0</v>
      </c>
      <c r="AI68" s="37">
        <f>IFERROR(__xludf.DUMMYFUNCTION("iferror(COUNT(filter($O69:$O$392,$O69:$O$392&gt;$O68,$E68:$E$392=$E$2)))"),0.0)</f>
        <v>0</v>
      </c>
      <c r="AJ68" s="40">
        <f t="shared" si="8"/>
        <v>0</v>
      </c>
      <c r="AK68" s="41">
        <f>IFERROR(__xludf.DUMMYFUNCTION("iferror($O68-min(filter($O68:$O$392,$E68:$E$392=$E$2)))"),7.0)</f>
        <v>7</v>
      </c>
      <c r="AL68" s="30" t="str">
        <f>IFERROR(__xludf.DUMMYFUNCTION("iferror(join("","",index(sort(filter($F69:$F$392,$O69:$O$392&gt;$O68,$E69:$E$392=$E$2),2,false),0,1)))"),"")</f>
        <v/>
      </c>
      <c r="AM68" s="30" t="str">
        <f>IFERROR(__xludf.DUMMYFUNCTION("REGEXREPLACE(join("","",unique({let(conf_picked,filter(E$1:E67,D$1:D67=D68), byrow(unique(TRANSPOSe(Teams!$1:$1)),lambda(rw,if(ISERROR(match(rw,conf_picked,0)),rw,))));iferror(if(#REF!,,transpose(split(#REF!,"","",1,1))))})), ""^,"", """")"),"ACC,CUSA,MWC,Pac12,SEC,Independent")</f>
        <v>ACC,CUSA,MWC,Pac12,SEC,Independent</v>
      </c>
      <c r="AN68" s="39">
        <f>IFERROR(__xludf.DUMMYFUNCTION("iferror($O68-max(filter($O68:$O$392,arrayformula(isnumber(FIND($E68:$E$392,AM68))))))"),0.0)</f>
        <v>0</v>
      </c>
      <c r="AO68" s="37">
        <f t="array" ref="AO68">countifs($O$2:$O67,"&lt;"&amp;$O68,isnumber(FIND($E$2:$E67,AM68)),TRUE)</f>
        <v>16</v>
      </c>
      <c r="AP68" s="37">
        <f>IFERROR(__xludf.DUMMYFUNCTION("iferror(COUNT(filter($O69:$O$392,$O69:$O$392&gt;$O68,arrayformula(isnumber(FIND($E69:$E$392,AM68))))))"),0.0)</f>
        <v>0</v>
      </c>
      <c r="AQ68" s="40">
        <f t="shared" si="9"/>
        <v>1</v>
      </c>
      <c r="AR68" s="41">
        <f>IFERROR(__xludf.DUMMYFUNCTION("iferror($O68-min(filter($O68:$O$392,arrayformula(isnumber(FIND($E68:$E$392,AM68))))))"),8.0)</f>
        <v>8</v>
      </c>
      <c r="AS68" s="48" t="str">
        <f>IFERROR(__xludf.DUMMYFUNCTION("iferror(join("","",index(sort(filter($F69:$F$392,$O69:$O$392&gt;$O68,arrayformula(isnumber(FIND($E69:$E$392,AM68)))),2,false),0,1)))"),"")</f>
        <v/>
      </c>
    </row>
    <row r="69">
      <c r="A69" s="1">
        <f t="shared" si="10"/>
        <v>68</v>
      </c>
      <c r="B69" s="1">
        <f t="shared" si="12"/>
        <v>6</v>
      </c>
      <c r="C69" s="1">
        <v>8.0</v>
      </c>
      <c r="D69" s="56" t="str">
        <f>D54</f>
        <v>Nico</v>
      </c>
      <c r="E69" s="52" t="str">
        <f>if(F69&lt;&gt;"",VLOOKUP(F69,offset('Teams-Conference'!A:B,0,(counta('Draft Order'!B$2:B129)-10)*2),2,0),"")</f>
        <v>Pac12</v>
      </c>
      <c r="F69" s="1" t="s">
        <v>162</v>
      </c>
      <c r="H69" s="29">
        <f t="shared" si="1"/>
        <v>4</v>
      </c>
      <c r="I69" s="29">
        <f t="shared" si="2"/>
        <v>4</v>
      </c>
      <c r="J69" s="29">
        <f t="shared" si="11"/>
        <v>2</v>
      </c>
      <c r="K69" s="29">
        <f t="shared" si="22"/>
        <v>3</v>
      </c>
      <c r="L69" s="29"/>
      <c r="M69" s="29">
        <f>IFERROR(__xludf.DUMMYFUNCTION("counta(iferror(filter(L$2:L68,E$2:E68=E69,L$2:L68&lt;L69)))"),0.0)</f>
        <v>0</v>
      </c>
      <c r="N69" s="29">
        <f>IFERROR(__xludf.DUMMYFUNCTION("counta(iferror(filter(L70:L$129,E70:E$129=E69,L70:L$131&gt;L69)))"),0.0)</f>
        <v>0</v>
      </c>
      <c r="O69" s="34">
        <f t="array" ref="O69:W69">XLOOKUP(F69,'Current Week'!B:B,'Current Week'!C:N)</f>
        <v>7</v>
      </c>
      <c r="P69" s="29">
        <v>5.0</v>
      </c>
      <c r="Q69" s="30" t="s">
        <v>269</v>
      </c>
      <c r="R69" s="30" t="s">
        <v>202</v>
      </c>
      <c r="S69" s="30"/>
      <c r="T69" s="30" t="s">
        <v>203</v>
      </c>
      <c r="U69" s="37" t="s">
        <v>203</v>
      </c>
      <c r="V69" s="37"/>
      <c r="W69" s="37">
        <v>9999.0</v>
      </c>
      <c r="X69" s="37"/>
      <c r="Y69" s="37"/>
      <c r="Z69" s="37"/>
      <c r="AA69" s="39">
        <f t="shared" si="3"/>
        <v>-3</v>
      </c>
      <c r="AB69" s="37">
        <f t="shared" si="4"/>
        <v>22</v>
      </c>
      <c r="AC69" s="37">
        <f>IFERROR(__xludf.DUMMYFUNCTION("iferror(COUNT(filter($O70:$O$392,$O70:$O$392&gt;$O69)))"),9.0)</f>
        <v>9</v>
      </c>
      <c r="AD69" s="40">
        <f t="shared" si="5"/>
        <v>0</v>
      </c>
      <c r="AE69" s="41">
        <f t="shared" si="6"/>
        <v>5</v>
      </c>
      <c r="AF69" s="30" t="str">
        <f>IFERROR(__xludf.DUMMYFUNCTION("iferror(join("","",index(sort(filter($F70:$F$393,$O70:$O$393&gt;$O69),2,false),0,1)))"),"Iowa,Minnesota,Kansas State,Indiana,Wake Forest,Western Kentucky,Virginia,Central Michigan,Louisville")</f>
        <v>Iowa,Minnesota,Kansas State,Indiana,Wake Forest,Western Kentucky,Virginia,Central Michigan,Louisville</v>
      </c>
      <c r="AG69" s="39">
        <f>IFERROR(__xludf.DUMMYFUNCTION("iferror($O69-max(filter($O69:$O$392,$E69:$E$392=$E$2)))"),0.0)</f>
        <v>0</v>
      </c>
      <c r="AH69" s="37">
        <f t="shared" si="7"/>
        <v>0</v>
      </c>
      <c r="AI69" s="37">
        <f>IFERROR(__xludf.DUMMYFUNCTION("iferror(COUNT(filter($O70:$O$392,$O70:$O$392&gt;$O69,$E69:$E$392=$E$2)))"),0.0)</f>
        <v>0</v>
      </c>
      <c r="AJ69" s="40">
        <f t="shared" si="8"/>
        <v>1</v>
      </c>
      <c r="AK69" s="41">
        <f>IFERROR(__xludf.DUMMYFUNCTION("iferror($O69-min(filter($O69:$O$392,$E69:$E$392=$E$2)))"),5.0)</f>
        <v>5</v>
      </c>
      <c r="AL69" s="30" t="str">
        <f>IFERROR(__xludf.DUMMYFUNCTION("iferror(join("","",index(sort(filter($F70:$F$392,$O70:$O$392&gt;$O69,$E70:$E$392=$E$2),2,false),0,1)))"),"")</f>
        <v/>
      </c>
      <c r="AM69" s="30" t="str">
        <f>IFERROR(__xludf.DUMMYFUNCTION("REGEXREPLACE(join("","",unique({let(conf_picked,filter(E$1:E68,D$1:D68=D69), byrow(unique(TRANSPOSe(Teams!$1:$1)),lambda(rw,if(ISERROR(match(rw,conf_picked,0)),rw,))));iferror(if(#REF!,,transpose(split(#REF!,"","",1,1))))})), ""^,"", """")"),"ACC,Big 12,Big Ten,CUSA,Pac12,Independent")</f>
        <v>ACC,Big 12,Big Ten,CUSA,Pac12,Independent</v>
      </c>
      <c r="AN69" s="39">
        <f>IFERROR(__xludf.DUMMYFUNCTION("iferror($O69-max(filter($O69:$O$392,arrayformula(isnumber(FIND($E69:$E$392,AM69))))))"),-3.0)</f>
        <v>-3</v>
      </c>
      <c r="AO69" s="37">
        <f t="array" ref="AO69">countifs($O$2:$O68,"&lt;"&amp;$O69,isnumber(FIND($E$2:$E68,AM69)),TRUE)</f>
        <v>7</v>
      </c>
      <c r="AP69" s="37">
        <f>IFERROR(__xludf.DUMMYFUNCTION("iferror(COUNT(filter($O70:$O$392,$O70:$O$392&gt;$O69,arrayformula(isnumber(FIND($E70:$E$392,AM69))))))"),8.0)</f>
        <v>8</v>
      </c>
      <c r="AQ69" s="40">
        <f t="shared" si="9"/>
        <v>0</v>
      </c>
      <c r="AR69" s="41">
        <f>IFERROR(__xludf.DUMMYFUNCTION("iferror($O69-min(filter($O69:$O$392,arrayformula(isnumber(FIND($E69:$E$392,AM69))))))"),6.0)</f>
        <v>6</v>
      </c>
      <c r="AS69" s="48" t="str">
        <f>IFERROR(__xludf.DUMMYFUNCTION("iferror(join("","",index(sort(filter($F70:$F$392,$O70:$O$392&gt;$O69,arrayformula(isnumber(FIND($E70:$E$392,AM69)))),2,false),0,1)))"),"Iowa,Minnesota,Kansas State,Indiana,Wake Forest,Western Kentucky,Virginia,Louisville")</f>
        <v>Iowa,Minnesota,Kansas State,Indiana,Wake Forest,Western Kentucky,Virginia,Louisville</v>
      </c>
    </row>
    <row r="70">
      <c r="A70" s="1">
        <f t="shared" si="10"/>
        <v>69</v>
      </c>
      <c r="B70" s="1">
        <f t="shared" si="12"/>
        <v>6</v>
      </c>
      <c r="C70" s="1">
        <v>9.0</v>
      </c>
      <c r="D70" s="56" t="str">
        <f>D53</f>
        <v>Janice/Mike</v>
      </c>
      <c r="E70" s="52" t="str">
        <f>if(F70&lt;&gt;"",VLOOKUP(F70,offset('Teams-Conference'!A:B,0,(counta('Draft Order'!B$2:B129)-10)*2),2,0),"")</f>
        <v>Pac12</v>
      </c>
      <c r="F70" s="1" t="s">
        <v>161</v>
      </c>
      <c r="H70" s="29">
        <f t="shared" si="1"/>
        <v>3</v>
      </c>
      <c r="I70" s="29">
        <f t="shared" si="2"/>
        <v>3</v>
      </c>
      <c r="J70" s="29">
        <f t="shared" si="11"/>
        <v>2</v>
      </c>
      <c r="K70" s="29">
        <f t="shared" si="22"/>
        <v>4</v>
      </c>
      <c r="L70" s="29"/>
      <c r="M70" s="29">
        <f>IFERROR(__xludf.DUMMYFUNCTION("counta(iferror(filter(L$2:L69,E$2:E69=E70,L$2:L69&lt;L70)))"),0.0)</f>
        <v>0</v>
      </c>
      <c r="N70" s="29">
        <f>IFERROR(__xludf.DUMMYFUNCTION("counta(iferror(filter(L71:L$129,E71:E$129=E70,L71:L$131&gt;L70)))"),0.0)</f>
        <v>0</v>
      </c>
      <c r="O70" s="34">
        <f t="array" ref="O70:W70">XLOOKUP(F70,'Current Week'!B:B,'Current Week'!C:N)</f>
        <v>4</v>
      </c>
      <c r="P70" s="29">
        <v>8.0</v>
      </c>
      <c r="Q70" s="30" t="s">
        <v>201</v>
      </c>
      <c r="R70" s="30" t="s">
        <v>202</v>
      </c>
      <c r="S70" s="30"/>
      <c r="T70" s="30" t="s">
        <v>203</v>
      </c>
      <c r="U70" s="37" t="s">
        <v>203</v>
      </c>
      <c r="V70" s="37"/>
      <c r="W70" s="37">
        <v>9999.0</v>
      </c>
      <c r="X70" s="37"/>
      <c r="Y70" s="37"/>
      <c r="Z70" s="37"/>
      <c r="AA70" s="39">
        <f t="shared" si="3"/>
        <v>-6</v>
      </c>
      <c r="AB70" s="37">
        <f t="shared" si="4"/>
        <v>3</v>
      </c>
      <c r="AC70" s="37">
        <f>IFERROR(__xludf.DUMMYFUNCTION("iferror(COUNT(filter($O71:$O$392,$O71:$O$392&gt;$O70)))"),32.0)</f>
        <v>32</v>
      </c>
      <c r="AD70" s="40">
        <f t="shared" si="5"/>
        <v>0</v>
      </c>
      <c r="AE70" s="41">
        <f t="shared" si="6"/>
        <v>2</v>
      </c>
      <c r="AF70" s="30" t="str">
        <f>IFERROR(__xludf.DUMMYFUNCTION("iferror(join("","",index(sort(filter($F71:$F$393,$O71:$O$393&gt;$O70),2,false),0,1)))"),"California,Michigan State,BYU,Colorado,Iowa,Texas A&amp;M,Minnesota,Kansas State,Indiana,Florida State,Syracuse,Wake Forest,Western Kentucky,Virginia,Charlotte,Pittsburgh,Ball State,Coastal Carolina,Missouri,Boston College,West Virginia,Mississippi State,Tenn"&amp;"essee,Oregon State,Kent State,Kentucky,Central Michigan,Duke,San José State,North Carolina,Louisville,Illinois")</f>
        <v>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70" s="39">
        <f>IFERROR(__xludf.DUMMYFUNCTION("iferror($O70-max(filter($O70:$O$392,$E70:$E$392=$E$2)))"),-3.0)</f>
        <v>-3</v>
      </c>
      <c r="AH70" s="37">
        <f t="shared" si="7"/>
        <v>0</v>
      </c>
      <c r="AI70" s="37">
        <f>IFERROR(__xludf.DUMMYFUNCTION("iferror(COUNT(filter($O71:$O$392,$O71:$O$392&gt;$O70,$E70:$E$392=$E$2)))"),0.0)</f>
        <v>0</v>
      </c>
      <c r="AJ70" s="40">
        <f t="shared" si="8"/>
        <v>0</v>
      </c>
      <c r="AK70" s="41">
        <f>IFERROR(__xludf.DUMMYFUNCTION("iferror($O70-min(filter($O70:$O$392,$E70:$E$392=$E$2)))"),2.0)</f>
        <v>2</v>
      </c>
      <c r="AL70" s="30" t="str">
        <f>IFERROR(__xludf.DUMMYFUNCTION("iferror(join("","",index(sort(filter($F71:$F$392,$O71:$O$392&gt;$O70,$E71:$E$392=$E$2),2,false),0,1)))"),"Texas A&amp;M,Missouri,Mississippi State,Tennessee,Kentucky")</f>
        <v>Texas A&amp;M,Missouri,Mississippi State,Tennessee,Kentucky</v>
      </c>
      <c r="AM70" s="30" t="str">
        <f>IFERROR(__xludf.DUMMYFUNCTION("REGEXREPLACE(join("","",unique({let(conf_picked,filter(E$1:E69,D$1:D69=D70), byrow(unique(TRANSPOSe(Teams!$1:$1)),lambda(rw,if(ISERROR(match(rw,conf_picked,0)),rw,))));iferror(if(#REF!,,transpose(split(#REF!,"","",1,1))))})), ""^,"", """")"),"ACC,Big 12,CUSA,Pac12,SEC,Independent")</f>
        <v>ACC,Big 12,CUSA,Pac12,SEC,Independent</v>
      </c>
      <c r="AN70" s="39">
        <f>IFERROR(__xludf.DUMMYFUNCTION("iferror($O70-max(filter($O70:$O$392,arrayformula(isnumber(FIND($E70:$E$392,AM70))))))"),-5.0)</f>
        <v>-5</v>
      </c>
      <c r="AO70" s="37">
        <f t="array" ref="AO70">countifs($O$2:$O69,"&lt;"&amp;$O70,isnumber(FIND($E$2:$E69,AM70)),TRUE)</f>
        <v>0</v>
      </c>
      <c r="AP70" s="37">
        <f>IFERROR(__xludf.DUMMYFUNCTION("iferror(COUNT(filter($O71:$O$392,$O71:$O$392&gt;$O70,arrayformula(isnumber(FIND($E71:$E$392,AM70))))))"),22.0)</f>
        <v>22</v>
      </c>
      <c r="AQ70" s="40">
        <f t="shared" si="9"/>
        <v>0</v>
      </c>
      <c r="AR70" s="41">
        <f>IFERROR(__xludf.DUMMYFUNCTION("iferror($O70-min(filter($O70:$O$392,arrayformula(isnumber(FIND($E70:$E$392,AM70))))))"),3.0)</f>
        <v>3</v>
      </c>
      <c r="AS70" s="48" t="str">
        <f>IFERROR(__xludf.DUMMYFUNCTION("iferror(join("","",index(sort(filter($F71:$F$392,$O71:$O$392&gt;$O70,arrayformula(isnumber(FIND($E71:$E$392,AM70)))),2,false),0,1)))"),"California,BYU,Colorado,Texas A&amp;M,Kansas State,Florida State,Syracuse,Wake Forest,Western Kentucky,Virginia,Charlotte,Pittsburgh,Missouri,Boston College,West Virginia,Mississippi State,Tennessee,Oregon State,Kentucky,Duke,North Carolina,Louisville")</f>
        <v>California,BYU,Colorado,Texas A&amp;M,Kansas State,Florida State,Syracuse,Wake Forest,Western Kentucky,Virginia,Charlotte,Pittsburgh,Missouri,Boston College,West Virginia,Mississippi State,Tennessee,Oregon State,Kentucky,Duke,North Carolina,Louisville</v>
      </c>
    </row>
    <row r="71">
      <c r="A71" s="1">
        <f t="shared" si="10"/>
        <v>70</v>
      </c>
      <c r="B71" s="1">
        <f t="shared" si="12"/>
        <v>6</v>
      </c>
      <c r="C71" s="1">
        <v>10.0</v>
      </c>
      <c r="D71" s="51" t="str">
        <f>D52</f>
        <v>Gary</v>
      </c>
      <c r="E71" s="52" t="str">
        <f>if(F71&lt;&gt;"",VLOOKUP(F71,offset('Teams-Conference'!A:B,0,(counta('Draft Order'!B$2:B129)-10)*2),2,0),"")</f>
        <v>Pac12</v>
      </c>
      <c r="F71" t="s">
        <v>168</v>
      </c>
      <c r="H71" s="29">
        <f t="shared" si="1"/>
        <v>2</v>
      </c>
      <c r="I71" s="29">
        <f t="shared" si="2"/>
        <v>2</v>
      </c>
      <c r="J71" s="29">
        <f t="shared" si="11"/>
        <v>3</v>
      </c>
      <c r="K71" s="29">
        <f t="shared" si="22"/>
        <v>0</v>
      </c>
      <c r="L71" s="29"/>
      <c r="M71" s="29">
        <f>IFERROR(__xludf.DUMMYFUNCTION("counta(iferror(filter(L$2:L70,E$2:E70=E71,L$2:L70&lt;L71)))"),0.0)</f>
        <v>0</v>
      </c>
      <c r="N71" s="29">
        <f>IFERROR(__xludf.DUMMYFUNCTION("counta(iferror(filter(L72:L$129,E72:E$129=E71,L72:L$131&gt;L71)))"),0.0)</f>
        <v>0</v>
      </c>
      <c r="O71" s="34">
        <f t="array" ref="O71:W71">XLOOKUP(F71,'Current Week'!B:B,'Current Week'!C:N)</f>
        <v>4</v>
      </c>
      <c r="P71" s="29">
        <v>8.0</v>
      </c>
      <c r="Q71" s="30" t="s">
        <v>278</v>
      </c>
      <c r="R71" s="30" t="s">
        <v>202</v>
      </c>
      <c r="S71" s="30"/>
      <c r="T71" s="30" t="s">
        <v>203</v>
      </c>
      <c r="U71" s="37" t="s">
        <v>203</v>
      </c>
      <c r="V71" s="37"/>
      <c r="W71" s="37">
        <v>9999.0</v>
      </c>
      <c r="X71" s="37"/>
      <c r="Y71" s="37"/>
      <c r="Z71" s="37"/>
      <c r="AA71" s="39">
        <f t="shared" si="3"/>
        <v>-6</v>
      </c>
      <c r="AB71" s="37">
        <f t="shared" si="4"/>
        <v>3</v>
      </c>
      <c r="AC71" s="37">
        <f>IFERROR(__xludf.DUMMYFUNCTION("iferror(COUNT(filter($O72:$O$392,$O72:$O$392&gt;$O71)))"),32.0)</f>
        <v>32</v>
      </c>
      <c r="AD71" s="40">
        <f t="shared" si="5"/>
        <v>0</v>
      </c>
      <c r="AE71" s="41">
        <f t="shared" si="6"/>
        <v>2</v>
      </c>
      <c r="AF71" s="30" t="str">
        <f>IFERROR(__xludf.DUMMYFUNCTION("iferror(join("","",index(sort(filter($F72:$F$393,$O72:$O$393&gt;$O71),2,false),0,1)))"),"California,Michigan State,BYU,Colorado,Iowa,Texas A&amp;M,Minnesota,Kansas State,Indiana,Florida State,Syracuse,Wake Forest,Western Kentucky,Virginia,Charlotte,Pittsburgh,Ball State,Coastal Carolina,Missouri,Boston College,West Virginia,Mississippi State,Tenn"&amp;"essee,Oregon State,Kent State,Kentucky,Central Michigan,Duke,San José State,North Carolina,Louisville,Illinois")</f>
        <v>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71" s="39">
        <f>IFERROR(__xludf.DUMMYFUNCTION("iferror($O71-max(filter($O71:$O$392,$E71:$E$392=$E$2)))"),-3.0)</f>
        <v>-3</v>
      </c>
      <c r="AH71" s="37">
        <f t="shared" si="7"/>
        <v>0</v>
      </c>
      <c r="AI71" s="37">
        <f>IFERROR(__xludf.DUMMYFUNCTION("iferror(COUNT(filter($O72:$O$392,$O72:$O$392&gt;$O71,$E71:$E$392=$E$2)))"),0.0)</f>
        <v>0</v>
      </c>
      <c r="AJ71" s="40">
        <f t="shared" si="8"/>
        <v>0</v>
      </c>
      <c r="AK71" s="41">
        <f>IFERROR(__xludf.DUMMYFUNCTION("iferror($O71-min(filter($O71:$O$392,$E71:$E$392=$E$2)))"),2.0)</f>
        <v>2</v>
      </c>
      <c r="AL71" s="30" t="str">
        <f>IFERROR(__xludf.DUMMYFUNCTION("iferror(join("","",index(sort(filter($F72:$F$392,$O72:$O$392&gt;$O71,$E72:$E$392=$E$2),2,false),0,1)))"),"Texas A&amp;M,Missouri,Mississippi State,Tennessee,Kentucky")</f>
        <v>Texas A&amp;M,Missouri,Mississippi State,Tennessee,Kentucky</v>
      </c>
      <c r="AM71" s="30" t="str">
        <f>IFERROR(__xludf.DUMMYFUNCTION("REGEXREPLACE(join("","",unique({let(conf_picked,filter(E$1:E70,D$1:D70=D71), byrow(unique(TRANSPOSe(Teams!$1:$1)),lambda(rw,if(ISERROR(match(rw,conf_picked,0)),rw,))));iferror(if(#REF!,,transpose(split(#REF!,"","",1,1))))})), ""^,"", """")"),"ACC,Big 12,Big Ten,Pac12,SEC,Independent")</f>
        <v>ACC,Big 12,Big Ten,Pac12,SEC,Independent</v>
      </c>
      <c r="AN71" s="39">
        <f>IFERROR(__xludf.DUMMYFUNCTION("iferror($O71-max(filter($O71:$O$392,arrayformula(isnumber(FIND($E71:$E$392,AM71))))))"),-6.0)</f>
        <v>-6</v>
      </c>
      <c r="AO71" s="37">
        <f t="array" ref="AO71">countifs($O$2:$O70,"&lt;"&amp;$O71,isnumber(FIND($E$2:$E70,AM71)),TRUE)</f>
        <v>0</v>
      </c>
      <c r="AP71" s="37">
        <f>IFERROR(__xludf.DUMMYFUNCTION("iferror(COUNT(filter($O72:$O$392,$O72:$O$392&gt;$O71,arrayformula(isnumber(FIND($E72:$E$392,AM71))))))"),25.0)</f>
        <v>25</v>
      </c>
      <c r="AQ71" s="40">
        <f t="shared" si="9"/>
        <v>0</v>
      </c>
      <c r="AR71" s="41">
        <f>IFERROR(__xludf.DUMMYFUNCTION("iferror($O71-min(filter($O71:$O$392,arrayformula(isnumber(FIND($E71:$E$392,AM71))))))"),2.0)</f>
        <v>2</v>
      </c>
      <c r="AS71" s="48" t="str">
        <f>IFERROR(__xludf.DUMMYFUNCTION("iferror(join("","",index(sort(filter($F72:$F$392,$O72:$O$392&gt;$O71,arrayformula(isnumber(FIND($E72:$E$392,AM71)))),2,false),0,1)))"),"California,Michigan State,BYU,Colorado,Iowa,Texas A&amp;M,Minnesota,Kansas State,Indiana,Florida State,Syracuse,Wake Forest,Virginia,Pittsburgh,Missouri,Boston College,West Virginia,Mississippi State,Tennessee,Oregon State,Kentucky,Duke,North Carolina,Louisvi"&amp;"lle,Illinois")</f>
        <v>California,Michigan State,BYU,Colorado,Iowa,Texas A&amp;M,Minnesota,Kansas State,Indiana,Florida State,Syracuse,Wake Forest,Virginia,Pittsburgh,Missouri,Boston College,West Virginia,Mississippi State,Tennessee,Oregon State,Kentucky,Duke,North Carolina,Louisville,Illinois</v>
      </c>
    </row>
    <row r="72">
      <c r="A72" s="1">
        <f t="shared" si="10"/>
        <v>71</v>
      </c>
      <c r="B72" s="1">
        <f t="shared" si="12"/>
        <v>6</v>
      </c>
      <c r="C72" s="1">
        <v>11.0</v>
      </c>
      <c r="D72" s="51" t="str">
        <f>D51</f>
        <v>Nick A.</v>
      </c>
      <c r="E72" s="52" t="str">
        <f>if(F72&lt;&gt;"",VLOOKUP(F72,offset('Teams-Conference'!A:B,0,(counta('Draft Order'!B$2:B129)-10)*2),2,0),"")</f>
        <v>AAC</v>
      </c>
      <c r="F72" s="1" t="s">
        <v>32</v>
      </c>
      <c r="H72" s="29">
        <f t="shared" si="1"/>
        <v>1</v>
      </c>
      <c r="I72" s="29">
        <f t="shared" si="2"/>
        <v>1</v>
      </c>
      <c r="J72" s="29">
        <f t="shared" si="11"/>
        <v>0</v>
      </c>
      <c r="K72" s="29">
        <f t="shared" si="22"/>
        <v>5</v>
      </c>
      <c r="L72" s="29"/>
      <c r="M72" s="29">
        <f>IFERROR(__xludf.DUMMYFUNCTION("counta(iferror(filter(L$2:L71,E$2:E71=E72,L$2:L71&lt;L72)))"),0.0)</f>
        <v>0</v>
      </c>
      <c r="N72" s="29">
        <f>IFERROR(__xludf.DUMMYFUNCTION("counta(iferror(filter(L73:L$129,E73:E$129=E72,L73:L$131&gt;L72)))"),0.0)</f>
        <v>0</v>
      </c>
      <c r="O72" s="34">
        <f t="array" ref="O72:W72">XLOOKUP(F72,'Current Week'!B:B,'Current Week'!C:N)</f>
        <v>4</v>
      </c>
      <c r="P72" s="29">
        <v>8.0</v>
      </c>
      <c r="Q72" s="30" t="s">
        <v>248</v>
      </c>
      <c r="R72" s="30" t="s">
        <v>202</v>
      </c>
      <c r="S72" s="30"/>
      <c r="T72" s="30" t="s">
        <v>203</v>
      </c>
      <c r="U72" s="37" t="s">
        <v>203</v>
      </c>
      <c r="V72" s="37"/>
      <c r="W72" s="37">
        <v>9999.0</v>
      </c>
      <c r="X72" s="37"/>
      <c r="Y72" s="37"/>
      <c r="Z72" s="37"/>
      <c r="AA72" s="39">
        <f t="shared" si="3"/>
        <v>-6</v>
      </c>
      <c r="AB72" s="37">
        <f t="shared" si="4"/>
        <v>3</v>
      </c>
      <c r="AC72" s="37">
        <f>IFERROR(__xludf.DUMMYFUNCTION("iferror(COUNT(filter($O73:$O$392,$O73:$O$392&gt;$O72)))"),32.0)</f>
        <v>32</v>
      </c>
      <c r="AD72" s="40">
        <f t="shared" si="5"/>
        <v>0</v>
      </c>
      <c r="AE72" s="41">
        <f t="shared" si="6"/>
        <v>2</v>
      </c>
      <c r="AF72" s="30" t="str">
        <f>IFERROR(__xludf.DUMMYFUNCTION("iferror(join("","",index(sort(filter($F73:$F$393,$O73:$O$393&gt;$O72),2,false),0,1)))"),"California,Michigan State,BYU,Colorado,Iowa,Texas A&amp;M,Minnesota,Kansas State,Indiana,Florida State,Syracuse,Wake Forest,Western Kentucky,Virginia,Charlotte,Pittsburgh,Ball State,Coastal Carolina,Missouri,Boston College,West Virginia,Mississippi State,Tenn"&amp;"essee,Oregon State,Kent State,Kentucky,Central Michigan,Duke,San José State,North Carolina,Louisville,Illinois")</f>
        <v>California,Michigan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72" s="39">
        <f>IFERROR(__xludf.DUMMYFUNCTION("iferror($O72-max(filter($O72:$O$392,$E72:$E$392=$E$2)))"),-3.0)</f>
        <v>-3</v>
      </c>
      <c r="AH72" s="37">
        <f t="shared" si="7"/>
        <v>0</v>
      </c>
      <c r="AI72" s="37">
        <f>IFERROR(__xludf.DUMMYFUNCTION("iferror(COUNT(filter($O73:$O$392,$O73:$O$392&gt;$O72,$E72:$E$392=$E$2)))"),0.0)</f>
        <v>0</v>
      </c>
      <c r="AJ72" s="40">
        <f t="shared" si="8"/>
        <v>0</v>
      </c>
      <c r="AK72" s="41">
        <f>IFERROR(__xludf.DUMMYFUNCTION("iferror($O72-min(filter($O72:$O$392,$E72:$E$392=$E$2)))"),2.0)</f>
        <v>2</v>
      </c>
      <c r="AL72" s="30" t="str">
        <f>IFERROR(__xludf.DUMMYFUNCTION("iferror(join("","",index(sort(filter($F73:$F$392,$O73:$O$392&gt;$O72,$E73:$E$392=$E$2),2,false),0,1)))"),"Texas A&amp;M,Missouri,Mississippi State,Tennessee,Kentucky")</f>
        <v>Texas A&amp;M,Missouri,Mississippi State,Tennessee,Kentucky</v>
      </c>
      <c r="AM72" s="30" t="str">
        <f>IFERROR(__xludf.DUMMYFUNCTION("REGEXREPLACE(join("","",unique({let(conf_picked,filter(E$1:E71,D$1:D71=D72), byrow(unique(TRANSPOSe(Teams!$1:$1)),lambda(rw,if(ISERROR(match(rw,conf_picked,0)),rw,))));iferror(if(#REF!,,transpose(split(#REF!,"","",1,1))))})), ""^,"", """")"),"AAC,,Big Ten,CUSA,MAC,Sun Belt,Independent")</f>
        <v>AAC,,Big Ten,CUSA,MAC,Sun Belt,Independent</v>
      </c>
      <c r="AN72" s="39">
        <f>IFERROR(__xludf.DUMMYFUNCTION("iferror($O72-max(filter($O72:$O$392,arrayformula(isnumber(FIND($E72:$E$392,AM72))))))"),-6.0)</f>
        <v>-6</v>
      </c>
      <c r="AO72" s="37">
        <f t="array" ref="AO72">countifs($O$2:$O71,"&lt;"&amp;$O72,isnumber(FIND($E$2:$E71,AM72)),TRUE)</f>
        <v>2</v>
      </c>
      <c r="AP72" s="37">
        <f>IFERROR(__xludf.DUMMYFUNCTION("iferror(COUNT(filter($O73:$O$392,$O73:$O$392&gt;$O72,arrayformula(isnumber(FIND($E73:$E$392,AM72))))))"),11.0)</f>
        <v>11</v>
      </c>
      <c r="AQ72" s="40">
        <f t="shared" si="9"/>
        <v>0</v>
      </c>
      <c r="AR72" s="41">
        <f>IFERROR(__xludf.DUMMYFUNCTION("iferror($O72-min(filter($O72:$O$392,arrayformula(isnumber(FIND($E72:$E$392,AM72))))))"),4.0)</f>
        <v>4</v>
      </c>
      <c r="AS72" s="48" t="str">
        <f>IFERROR(__xludf.DUMMYFUNCTION("iferror(join("","",index(sort(filter($F73:$F$392,$O73:$O$392&gt;$O72,arrayformula(isnumber(FIND($E73:$E$392,AM72)))),2,false),0,1)))"),"Michigan State,Iowa,Minnesota,Indiana,Western Kentucky,Charlotte,Ball State,Coastal Carolina,Kent State,Central Michigan,Illinois")</f>
        <v>Michigan State,Iowa,Minnesota,Indiana,Western Kentucky,Charlotte,Ball State,Coastal Carolina,Kent State,Central Michigan,Illinois</v>
      </c>
    </row>
    <row r="73">
      <c r="A73" s="1">
        <f t="shared" si="10"/>
        <v>72</v>
      </c>
      <c r="B73" s="1">
        <f t="shared" si="12"/>
        <v>6</v>
      </c>
      <c r="C73" s="1">
        <v>12.0</v>
      </c>
      <c r="D73" s="56" t="str">
        <f>D50</f>
        <v>DavEmily</v>
      </c>
      <c r="E73" s="52" t="str">
        <f>if(F73&lt;&gt;"",VLOOKUP(F73,offset('Teams-Conference'!A:B,0,(counta('Draft Order'!B$2:B129)-10)*2),2,0),"")</f>
        <v>Pac12</v>
      </c>
      <c r="F73" s="1" t="s">
        <v>163</v>
      </c>
      <c r="H73" s="29">
        <f t="shared" si="1"/>
        <v>1</v>
      </c>
      <c r="I73" s="29">
        <f t="shared" si="2"/>
        <v>1</v>
      </c>
      <c r="J73" s="29">
        <f t="shared" si="11"/>
        <v>3</v>
      </c>
      <c r="K73" s="29">
        <f t="shared" ref="K73:K77" si="23">countif(E54:E73,E74)</f>
        <v>1</v>
      </c>
      <c r="L73" s="29"/>
      <c r="M73" s="29">
        <f>IFERROR(__xludf.DUMMYFUNCTION("counta(iferror(filter(L$2:L72,E$2:E72=E73,L$2:L72&lt;L73)))"),0.0)</f>
        <v>0</v>
      </c>
      <c r="N73" s="29">
        <f>IFERROR(__xludf.DUMMYFUNCTION("counta(iferror(filter(L74:L$129,E74:E$129=E73,L74:L$131&gt;L73)))"),0.0)</f>
        <v>0</v>
      </c>
      <c r="O73" s="34">
        <f t="array" ref="O73:W73">XLOOKUP(F73,'Current Week'!B:B,'Current Week'!C:N)</f>
        <v>7</v>
      </c>
      <c r="P73" s="29">
        <v>5.0</v>
      </c>
      <c r="Q73" s="30" t="s">
        <v>269</v>
      </c>
      <c r="R73" s="35" t="s">
        <v>202</v>
      </c>
      <c r="S73" s="30"/>
      <c r="T73" s="30" t="s">
        <v>203</v>
      </c>
      <c r="U73" s="37" t="s">
        <v>203</v>
      </c>
      <c r="V73" s="37"/>
      <c r="W73" s="37">
        <v>9999.0</v>
      </c>
      <c r="X73" s="37"/>
      <c r="Y73" s="37"/>
      <c r="Z73" s="37"/>
      <c r="AA73" s="39">
        <f t="shared" si="3"/>
        <v>-3</v>
      </c>
      <c r="AB73" s="37">
        <f t="shared" si="4"/>
        <v>25</v>
      </c>
      <c r="AC73" s="37">
        <f>IFERROR(__xludf.DUMMYFUNCTION("iferror(COUNT(filter($O74:$O$392,$O74:$O$392&gt;$O73)))"),9.0)</f>
        <v>9</v>
      </c>
      <c r="AD73" s="40">
        <f t="shared" si="5"/>
        <v>0</v>
      </c>
      <c r="AE73" s="41">
        <f t="shared" si="6"/>
        <v>5</v>
      </c>
      <c r="AF73" s="30" t="str">
        <f>IFERROR(__xludf.DUMMYFUNCTION("iferror(join("","",index(sort(filter($F74:$F$393,$O74:$O$393&gt;$O73),2,false),0,1)))"),"Iowa,Minnesota,Kansas State,Indiana,Wake Forest,Western Kentucky,Virginia,Central Michigan,Louisville")</f>
        <v>Iowa,Minnesota,Kansas State,Indiana,Wake Forest,Western Kentucky,Virginia,Central Michigan,Louisville</v>
      </c>
      <c r="AG73" s="39">
        <f>IFERROR(__xludf.DUMMYFUNCTION("iferror($O73-max(filter($O73:$O$392,$E73:$E$392=$E$2)))"),0.0)</f>
        <v>0</v>
      </c>
      <c r="AH73" s="37">
        <f t="shared" si="7"/>
        <v>0</v>
      </c>
      <c r="AI73" s="37">
        <f>IFERROR(__xludf.DUMMYFUNCTION("iferror(COUNT(filter($O74:$O$392,$O74:$O$392&gt;$O73,$E73:$E$392=$E$2)))"),0.0)</f>
        <v>0</v>
      </c>
      <c r="AJ73" s="40">
        <f t="shared" si="8"/>
        <v>1</v>
      </c>
      <c r="AK73" s="41">
        <f>IFERROR(__xludf.DUMMYFUNCTION("iferror($O73-min(filter($O73:$O$392,$E73:$E$392=$E$2)))"),5.0)</f>
        <v>5</v>
      </c>
      <c r="AL73" s="30" t="str">
        <f>IFERROR(__xludf.DUMMYFUNCTION("iferror(join("","",index(sort(filter($F74:$F$392,$O74:$O$392&gt;$O73,$E74:$E$392=$E$2),2,false),0,1)))"),"")</f>
        <v/>
      </c>
      <c r="AM73" s="30" t="str">
        <f>IFERROR(__xludf.DUMMYFUNCTION("REGEXREPLACE(join("","",unique({let(conf_picked,filter(E$1:E72,D$1:D72=D73), byrow(unique(TRANSPOSe(Teams!$1:$1)),lambda(rw,if(ISERROR(match(rw,conf_picked,0)),rw,))));iferror(if(#REF!,,transpose(split(#REF!,"","",1,1))))})), ""^,"", """")"),"AAC,,CUSA,MAC,Pac12,Sun Belt,Independent")</f>
        <v>AAC,,CUSA,MAC,Pac12,Sun Belt,Independent</v>
      </c>
      <c r="AN73" s="39">
        <f>IFERROR(__xludf.DUMMYFUNCTION("iferror($O73-max(filter($O73:$O$392,arrayformula(isnumber(FIND($E73:$E$392,AM73))))))"),-1.0)</f>
        <v>-1</v>
      </c>
      <c r="AO73" s="37">
        <f t="array" ref="AO73">countifs($O$2:$O72,"&lt;"&amp;$O73,isnumber(FIND($E$2:$E72,AM73)),TRUE)</f>
        <v>19</v>
      </c>
      <c r="AP73" s="37">
        <f>IFERROR(__xludf.DUMMYFUNCTION("iferror(COUNT(filter($O74:$O$392,$O74:$O$392&gt;$O73,arrayformula(isnumber(FIND($E74:$E$392,AM73))))))"),2.0)</f>
        <v>2</v>
      </c>
      <c r="AQ73" s="40">
        <f t="shared" si="9"/>
        <v>0</v>
      </c>
      <c r="AR73" s="41">
        <f>IFERROR(__xludf.DUMMYFUNCTION("iferror($O73-min(filter($O73:$O$392,arrayformula(isnumber(FIND($E73:$E$392,AM73))))))"),7.0)</f>
        <v>7</v>
      </c>
      <c r="AS73" s="48" t="str">
        <f>IFERROR(__xludf.DUMMYFUNCTION("iferror(join("","",index(sort(filter($F74:$F$392,$O74:$O$392&gt;$O73,arrayformula(isnumber(FIND($E74:$E$392,AM73)))),2,false),0,1)))"),"Western Kentucky,Central Michigan")</f>
        <v>Western Kentucky,Central Michigan</v>
      </c>
    </row>
    <row r="74">
      <c r="A74" s="25">
        <f t="shared" si="10"/>
        <v>73</v>
      </c>
      <c r="B74" s="25">
        <f t="shared" si="12"/>
        <v>7</v>
      </c>
      <c r="C74" s="25">
        <v>1.0</v>
      </c>
      <c r="D74" s="27" t="str">
        <f t="shared" ref="D74:D85" si="24">D50</f>
        <v>DavEmily</v>
      </c>
      <c r="E74" s="28" t="str">
        <f>if(F74&lt;&gt;"",VLOOKUP(F74,offset('Teams-Conference'!A:B,0,(counta('Draft Order'!B$2:B129)-10)*2),2,0),"")</f>
        <v>AAC</v>
      </c>
      <c r="F74" s="167" t="s">
        <v>56</v>
      </c>
      <c r="G74" s="25"/>
      <c r="H74" s="29">
        <f t="shared" si="1"/>
        <v>0</v>
      </c>
      <c r="I74" s="29">
        <f t="shared" si="2"/>
        <v>0</v>
      </c>
      <c r="J74" s="29">
        <f t="shared" si="11"/>
        <v>1</v>
      </c>
      <c r="K74" s="29">
        <f t="shared" si="23"/>
        <v>1</v>
      </c>
      <c r="L74" s="29"/>
      <c r="M74" s="29">
        <f>IFERROR(__xludf.DUMMYFUNCTION("counta(iferror(filter(L$2:L73,E$2:E73=E74,L$2:L73&lt;L74)))"),0.0)</f>
        <v>0</v>
      </c>
      <c r="N74" s="29">
        <f>IFERROR(__xludf.DUMMYFUNCTION("counta(iferror(filter(L75:L$129,E75:E$129=E74,L75:L$131&gt;L74)))"),0.0)</f>
        <v>0</v>
      </c>
      <c r="O74" s="34">
        <f t="array" ref="O74:W74">XLOOKUP(F74,'Current Week'!B:B,'Current Week'!C:N)</f>
        <v>4</v>
      </c>
      <c r="P74" s="29">
        <v>8.0</v>
      </c>
      <c r="Q74" s="30" t="s">
        <v>248</v>
      </c>
      <c r="R74" s="30" t="s">
        <v>202</v>
      </c>
      <c r="S74" s="30"/>
      <c r="T74" s="30" t="s">
        <v>203</v>
      </c>
      <c r="U74" s="30" t="s">
        <v>203</v>
      </c>
      <c r="V74" s="30"/>
      <c r="W74" s="30">
        <v>9999.0</v>
      </c>
      <c r="X74" s="30"/>
      <c r="Y74" s="30"/>
      <c r="Z74" s="30"/>
      <c r="AA74" s="39">
        <f t="shared" si="3"/>
        <v>-6</v>
      </c>
      <c r="AB74" s="37">
        <f t="shared" si="4"/>
        <v>3</v>
      </c>
      <c r="AC74" s="37">
        <f>IFERROR(__xludf.DUMMYFUNCTION("iferror(COUNT(filter($O75:$O$392,$O75:$O$392&gt;$O74)))"),31.0)</f>
        <v>31</v>
      </c>
      <c r="AD74" s="40">
        <f t="shared" si="5"/>
        <v>0</v>
      </c>
      <c r="AE74" s="41">
        <f t="shared" si="6"/>
        <v>2</v>
      </c>
      <c r="AF74" s="30" t="str">
        <f>IFERROR(__xludf.DUMMYFUNCTION("iferror(join("","",index(sort(filter($F75:$F$393,$O75:$O$393&gt;$O74),2,false),0,1)))"),"Michigan State,BYU,Colorado,Iowa,Texas A&amp;M,Minnesota,Kansas State,Indiana,Florida State,Syracuse,Wake Forest,Western Kentucky,Virginia,Charlotte,Pittsburgh,Ball State,Coastal Carolina,Missouri,Boston College,West Virginia,Mississippi State,Tennessee,Orego"&amp;"n State,Kent State,Kentucky,Central Michigan,Duke,San José State,North Carolina,Louisville,Illinois")</f>
        <v>Michigan State,BYU,Colorado,Iowa,Texas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74" s="39">
        <f>IFERROR(__xludf.DUMMYFUNCTION("iferror($O74-max(filter($O74:$O$392,$E74:$E$392=$E$2)))"),-3.0)</f>
        <v>-3</v>
      </c>
      <c r="AH74" s="37">
        <f t="shared" si="7"/>
        <v>0</v>
      </c>
      <c r="AI74" s="37">
        <f>IFERROR(__xludf.DUMMYFUNCTION("iferror(COUNT(filter($O75:$O$392,$O75:$O$392&gt;$O74,$E74:$E$392=$E$2)))"),0.0)</f>
        <v>0</v>
      </c>
      <c r="AJ74" s="40">
        <f t="shared" si="8"/>
        <v>0</v>
      </c>
      <c r="AK74" s="41">
        <f>IFERROR(__xludf.DUMMYFUNCTION("iferror($O74-min(filter($O74:$O$392,$E74:$E$392=$E$2)))"),2.0)</f>
        <v>2</v>
      </c>
      <c r="AL74" s="30" t="str">
        <f>IFERROR(__xludf.DUMMYFUNCTION("iferror(join("","",index(sort(filter($F75:$F$392,$O75:$O$392&gt;$O74,$E75:$E$392=$E$2),2,false),0,1)))"),"Texas A&amp;M,Missouri,Mississippi State,Tennessee,Kentucky")</f>
        <v>Texas A&amp;M,Missouri,Mississippi State,Tennessee,Kentucky</v>
      </c>
      <c r="AM74" s="30" t="str">
        <f>IFERROR(__xludf.DUMMYFUNCTION("REGEXREPLACE(join("","",unique({let(conf_picked,filter(E$1:E73,D$1:D73=D74), byrow(unique(TRANSPOSe(Teams!$1:$1)),lambda(rw,if(ISERROR(match(rw,conf_picked,0)),rw,))));iferror(if(#REF!,,transpose(split(#REF!,"","",1,1))))})), ""^,"", """")"),"AAC,,CUSA,MAC,Sun Belt,Independent")</f>
        <v>AAC,,CUSA,MAC,Sun Belt,Independent</v>
      </c>
      <c r="AN74" s="39">
        <f>IFERROR(__xludf.DUMMYFUNCTION("iferror($O74-max(filter($O74:$O$392,arrayformula(isnumber(FIND($E74:$E$392,AM74))))))"),-4.0)</f>
        <v>-4</v>
      </c>
      <c r="AO74" s="37">
        <f t="array" ref="AO74">countifs($O$2:$O73,"&lt;"&amp;$O74,isnumber(FIND($E$2:$E73,AM74)),TRUE)</f>
        <v>2</v>
      </c>
      <c r="AP74" s="37">
        <f>IFERROR(__xludf.DUMMYFUNCTION("iferror(COUNT(filter($O75:$O$392,$O75:$O$392&gt;$O74,arrayformula(isnumber(FIND($E75:$E$392,AM74))))))"),6.0)</f>
        <v>6</v>
      </c>
      <c r="AQ74" s="40">
        <f t="shared" si="9"/>
        <v>0</v>
      </c>
      <c r="AR74" s="41">
        <f>IFERROR(__xludf.DUMMYFUNCTION("iferror($O74-min(filter($O74:$O$392,arrayformula(isnumber(FIND($E74:$E$392,AM74))))))"),4.0)</f>
        <v>4</v>
      </c>
      <c r="AS74" s="48" t="str">
        <f>IFERROR(__xludf.DUMMYFUNCTION("iferror(join("","",index(sort(filter($F75:$F$392,$O75:$O$392&gt;$O74,arrayformula(isnumber(FIND($E75:$E$392,AM74)))),2,false),0,1)))"),"Western Kentucky,Charlotte,Ball State,Coastal Carolina,Kent State,Central Michigan")</f>
        <v>Western Kentucky,Charlotte,Ball State,Coastal Carolina,Kent State,Central Michigan</v>
      </c>
    </row>
    <row r="75">
      <c r="A75" s="1">
        <f t="shared" si="10"/>
        <v>74</v>
      </c>
      <c r="B75" s="1">
        <f t="shared" si="12"/>
        <v>7</v>
      </c>
      <c r="C75" s="1">
        <v>2.0</v>
      </c>
      <c r="D75" s="51" t="str">
        <f t="shared" si="24"/>
        <v>Nick A.</v>
      </c>
      <c r="E75" s="52" t="str">
        <f>if(F75&lt;&gt;"",VLOOKUP(F75,offset('Teams-Conference'!A:B,0,(counta('Draft Order'!B$2:B129)-10)*2),2,0),"")</f>
        <v>Big Ten</v>
      </c>
      <c r="F75" s="1" t="s">
        <v>113</v>
      </c>
      <c r="H75" s="29">
        <f t="shared" si="1"/>
        <v>4</v>
      </c>
      <c r="I75" s="29">
        <f t="shared" si="2"/>
        <v>5</v>
      </c>
      <c r="J75" s="29">
        <f t="shared" si="11"/>
        <v>0</v>
      </c>
      <c r="K75" s="29">
        <f t="shared" si="23"/>
        <v>3</v>
      </c>
      <c r="L75" s="29"/>
      <c r="M75" s="29">
        <f>IFERROR(__xludf.DUMMYFUNCTION("counta(iferror(filter(L$2:L74,E$2:E74=E75,L$2:L74&lt;L75)))"),0.0)</f>
        <v>0</v>
      </c>
      <c r="N75" s="29">
        <f>IFERROR(__xludf.DUMMYFUNCTION("counta(iferror(filter(L76:L$129,E76:E$129=E75,L76:L$131&gt;L75)))"),0.0)</f>
        <v>0</v>
      </c>
      <c r="O75" s="34">
        <f t="array" ref="O75:W75">XLOOKUP(F75,'Current Week'!B:B,'Current Week'!C:N)</f>
        <v>6</v>
      </c>
      <c r="P75" s="29">
        <v>6.0</v>
      </c>
      <c r="Q75" s="30" t="s">
        <v>278</v>
      </c>
      <c r="R75" s="30" t="s">
        <v>202</v>
      </c>
      <c r="S75" s="30"/>
      <c r="T75" s="30" t="s">
        <v>203</v>
      </c>
      <c r="U75" s="37" t="s">
        <v>203</v>
      </c>
      <c r="V75" s="37"/>
      <c r="W75" s="37">
        <v>9999.0</v>
      </c>
      <c r="X75" s="37"/>
      <c r="Y75" s="37"/>
      <c r="Z75" s="37"/>
      <c r="AA75" s="39">
        <f t="shared" si="3"/>
        <v>-4</v>
      </c>
      <c r="AB75" s="37">
        <f t="shared" si="4"/>
        <v>19</v>
      </c>
      <c r="AC75" s="37">
        <f>IFERROR(__xludf.DUMMYFUNCTION("iferror(COUNT(filter($O76:$O$392,$O76:$O$392&gt;$O75)))"),15.0)</f>
        <v>15</v>
      </c>
      <c r="AD75" s="40">
        <f t="shared" si="5"/>
        <v>0</v>
      </c>
      <c r="AE75" s="41">
        <f t="shared" si="6"/>
        <v>4</v>
      </c>
      <c r="AF75" s="30" t="str">
        <f>IFERROR(__xludf.DUMMYFUNCTION("iferror(join("","",index(sort(filter($F76:$F$393,$O76:$O$393&gt;$O75),2,false),0,1)))"),"BYU,Iowa,Texas A&amp;M,Minnesota,Kansas State,Indiana,Wake Forest,Western Kentucky,Virginia,Charlotte,Pittsburgh,Tennessee,Kentucky,Central Michigan,Louisville")</f>
        <v>BYU,Iowa,Texas A&amp;M,Minnesota,Kansas State,Indiana,Wake Forest,Western Kentucky,Virginia,Charlotte,Pittsburgh,Tennessee,Kentucky,Central Michigan,Louisville</v>
      </c>
      <c r="AG75" s="39">
        <f>IFERROR(__xludf.DUMMYFUNCTION("iferror($O75-max(filter($O75:$O$392,$E75:$E$392=$E$2)))"),-1.0)</f>
        <v>-1</v>
      </c>
      <c r="AH75" s="37">
        <f t="shared" si="7"/>
        <v>0</v>
      </c>
      <c r="AI75" s="37">
        <f>IFERROR(__xludf.DUMMYFUNCTION("iferror(COUNT(filter($O76:$O$392,$O76:$O$392&gt;$O75,$E75:$E$392=$E$2)))"),0.0)</f>
        <v>0</v>
      </c>
      <c r="AJ75" s="40">
        <f t="shared" si="8"/>
        <v>0</v>
      </c>
      <c r="AK75" s="41">
        <f>IFERROR(__xludf.DUMMYFUNCTION("iferror($O75-min(filter($O75:$O$392,$E75:$E$392=$E$2)))"),4.0)</f>
        <v>4</v>
      </c>
      <c r="AL75" s="30" t="str">
        <f>IFERROR(__xludf.DUMMYFUNCTION("iferror(join("","",index(sort(filter($F76:$F$392,$O76:$O$392&gt;$O75,$E76:$E$392=$E$2),2,false),0,1)))"),"Texas A&amp;M,Tennessee,Kentucky")</f>
        <v>Texas A&amp;M,Tennessee,Kentucky</v>
      </c>
      <c r="AM75" s="30" t="str">
        <f>IFERROR(__xludf.DUMMYFUNCTION("REGEXREPLACE(join("","",unique({let(conf_picked,filter(E$1:E74,D$1:D74=D75), byrow(unique(TRANSPOSe(Teams!$1:$1)),lambda(rw,if(ISERROR(match(rw,conf_picked,0)),rw,))));iferror(if(#REF!,,transpose(split(#REF!,"","",1,1))))})), ""^,"", """")"),"Big Ten,CUSA,MAC,Sun Belt,Independent")</f>
        <v>Big Ten,CUSA,MAC,Sun Belt,Independent</v>
      </c>
      <c r="AN75" s="39">
        <f>IFERROR(__xludf.DUMMYFUNCTION("iferror($O75-max(filter($O75:$O$392,arrayformula(isnumber(FIND($E75:$E$392,AM75))))))"),-4.0)</f>
        <v>-4</v>
      </c>
      <c r="AO75" s="37">
        <f t="array" ref="AO75">countifs($O$2:$O74,"&lt;"&amp;$O75,isnumber(FIND($E$2:$E74,AM75)),TRUE)</f>
        <v>8</v>
      </c>
      <c r="AP75" s="37">
        <f>IFERROR(__xludf.DUMMYFUNCTION("iferror(COUNT(filter($O76:$O$392,$O76:$O$392&gt;$O75,arrayformula(isnumber(FIND($E76:$E$392,AM75))))))"),6.0)</f>
        <v>6</v>
      </c>
      <c r="AQ75" s="40">
        <f t="shared" si="9"/>
        <v>0</v>
      </c>
      <c r="AR75" s="41">
        <f>IFERROR(__xludf.DUMMYFUNCTION("iferror($O75-min(filter($O75:$O$392,arrayformula(isnumber(FIND($E75:$E$392,AM75))))))"),6.0)</f>
        <v>6</v>
      </c>
      <c r="AS75" s="48" t="str">
        <f>IFERROR(__xludf.DUMMYFUNCTION("iferror(join("","",index(sort(filter($F76:$F$392,$O76:$O$392&gt;$O75,arrayformula(isnumber(FIND($E76:$E$392,AM75)))),2,false),0,1)))"),"Iowa,Minnesota,Indiana,Western Kentucky,Charlotte,Central Michigan")</f>
        <v>Iowa,Minnesota,Indiana,Western Kentucky,Charlotte,Central Michigan</v>
      </c>
    </row>
    <row r="76">
      <c r="A76" s="1">
        <f t="shared" si="10"/>
        <v>75</v>
      </c>
      <c r="B76" s="1">
        <f t="shared" si="12"/>
        <v>7</v>
      </c>
      <c r="C76" s="1">
        <v>3.0</v>
      </c>
      <c r="D76" s="56" t="str">
        <f t="shared" si="24"/>
        <v>Gary</v>
      </c>
      <c r="E76" s="52" t="str">
        <f>if(F76&lt;&gt;"",VLOOKUP(F76,offset('Teams-Conference'!A:B,0,(counta('Draft Order'!B$2:B129)-10)*2),2,0),"")</f>
        <v>Big 12</v>
      </c>
      <c r="F76" t="s">
        <v>109</v>
      </c>
      <c r="H76" s="29">
        <f t="shared" si="1"/>
        <v>2</v>
      </c>
      <c r="I76" s="29">
        <f t="shared" si="2"/>
        <v>2</v>
      </c>
      <c r="J76" s="29">
        <f t="shared" si="11"/>
        <v>1</v>
      </c>
      <c r="K76" s="29">
        <f t="shared" si="23"/>
        <v>4</v>
      </c>
      <c r="L76" s="29"/>
      <c r="M76" s="29">
        <f>IFERROR(__xludf.DUMMYFUNCTION("counta(iferror(filter(L$2:L75,E$2:E75=E76,L$2:L75&lt;L76)))"),0.0)</f>
        <v>0</v>
      </c>
      <c r="N76" s="29">
        <f>IFERROR(__xludf.DUMMYFUNCTION("counta(iferror(filter(L77:L$129,E77:E$129=E76,L77:L$131&gt;L76)))"),0.0)</f>
        <v>0</v>
      </c>
      <c r="O76" s="34">
        <f t="array" ref="O76:W76">XLOOKUP(F76,'Current Week'!B:B,'Current Week'!C:N)</f>
        <v>7</v>
      </c>
      <c r="P76" s="29">
        <v>5.0</v>
      </c>
      <c r="Q76" s="30" t="s">
        <v>279</v>
      </c>
      <c r="R76" s="30" t="s">
        <v>202</v>
      </c>
      <c r="S76" s="30"/>
      <c r="T76" s="30" t="s">
        <v>203</v>
      </c>
      <c r="U76" s="37" t="s">
        <v>203</v>
      </c>
      <c r="V76" s="37"/>
      <c r="W76" s="37">
        <v>9999.0</v>
      </c>
      <c r="X76" s="37"/>
      <c r="Y76" s="37"/>
      <c r="Z76" s="37"/>
      <c r="AA76" s="39">
        <f t="shared" si="3"/>
        <v>-3</v>
      </c>
      <c r="AB76" s="37">
        <f t="shared" si="4"/>
        <v>27</v>
      </c>
      <c r="AC76" s="37">
        <f>IFERROR(__xludf.DUMMYFUNCTION("iferror(COUNT(filter($O77:$O$392,$O77:$O$392&gt;$O76)))"),9.0)</f>
        <v>9</v>
      </c>
      <c r="AD76" s="40">
        <f t="shared" si="5"/>
        <v>0</v>
      </c>
      <c r="AE76" s="41">
        <f t="shared" si="6"/>
        <v>5</v>
      </c>
      <c r="AF76" s="30" t="str">
        <f>IFERROR(__xludf.DUMMYFUNCTION("iferror(join("","",index(sort(filter($F77:$F$393,$O77:$O$393&gt;$O76),2,false),0,1)))"),"Iowa,Minnesota,Kansas State,Indiana,Wake Forest,Western Kentucky,Virginia,Central Michigan,Louisville")</f>
        <v>Iowa,Minnesota,Kansas State,Indiana,Wake Forest,Western Kentucky,Virginia,Central Michigan,Louisville</v>
      </c>
      <c r="AG76" s="39">
        <f>IFERROR(__xludf.DUMMYFUNCTION("iferror($O76-max(filter($O76:$O$392,$E76:$E$392=$E$2)))"),0.0)</f>
        <v>0</v>
      </c>
      <c r="AH76" s="37">
        <f t="shared" si="7"/>
        <v>0</v>
      </c>
      <c r="AI76" s="37">
        <f>IFERROR(__xludf.DUMMYFUNCTION("iferror(COUNT(filter($O77:$O$392,$O77:$O$392&gt;$O76,$E76:$E$392=$E$2)))"),0.0)</f>
        <v>0</v>
      </c>
      <c r="AJ76" s="40">
        <f t="shared" si="8"/>
        <v>1</v>
      </c>
      <c r="AK76" s="41">
        <f>IFERROR(__xludf.DUMMYFUNCTION("iferror($O76-min(filter($O76:$O$392,$E76:$E$392=$E$2)))"),5.0)</f>
        <v>5</v>
      </c>
      <c r="AL76" s="30" t="str">
        <f>IFERROR(__xludf.DUMMYFUNCTION("iferror(join("","",index(sort(filter($F77:$F$392,$O77:$O$392&gt;$O76,$E77:$E$392=$E$2),2,false),0,1)))"),"")</f>
        <v/>
      </c>
      <c r="AM76" s="30" t="str">
        <f>IFERROR(__xludf.DUMMYFUNCTION("REGEXREPLACE(join("","",unique({let(conf_picked,filter(E$1:E75,D$1:D75=D76), byrow(unique(TRANSPOSe(Teams!$1:$1)),lambda(rw,if(ISERROR(match(rw,conf_picked,0)),rw,))));iferror(if(#REF!,,transpose(split(#REF!,"","",1,1))))})), ""^,"", """")"),"ACC,Big 12,Big Ten,SEC,Independent")</f>
        <v>ACC,Big 12,Big Ten,SEC,Independent</v>
      </c>
      <c r="AN76" s="39">
        <f>IFERROR(__xludf.DUMMYFUNCTION("iferror($O76-max(filter($O76:$O$392,arrayformula(isnumber(FIND($E76:$E$392,AM76))))))"),-3.0)</f>
        <v>-3</v>
      </c>
      <c r="AO76" s="37">
        <f t="array" ref="AO76">countifs($O$2:$O75,"&lt;"&amp;$O76,isnumber(FIND($E$2:$E75,AM76)),TRUE)</f>
        <v>4</v>
      </c>
      <c r="AP76" s="37">
        <f>IFERROR(__xludf.DUMMYFUNCTION("iferror(COUNT(filter($O77:$O$392,$O77:$O$392&gt;$O76,arrayformula(isnumber(FIND($E77:$E$392,AM76))))))"),7.0)</f>
        <v>7</v>
      </c>
      <c r="AQ76" s="40">
        <f t="shared" si="9"/>
        <v>0</v>
      </c>
      <c r="AR76" s="41">
        <f>IFERROR(__xludf.DUMMYFUNCTION("iferror($O76-min(filter($O76:$O$392,arrayformula(isnumber(FIND($E76:$E$392,AM76))))))"),5.0)</f>
        <v>5</v>
      </c>
      <c r="AS76" s="48" t="str">
        <f>IFERROR(__xludf.DUMMYFUNCTION("iferror(join("","",index(sort(filter($F77:$F$392,$O77:$O$392&gt;$O76,arrayformula(isnumber(FIND($E77:$E$392,AM76)))),2,false),0,1)))"),"Iowa,Minnesota,Kansas State,Indiana,Wake Forest,Virginia,Louisville")</f>
        <v>Iowa,Minnesota,Kansas State,Indiana,Wake Forest,Virginia,Louisville</v>
      </c>
    </row>
    <row r="77">
      <c r="A77" s="1">
        <f t="shared" si="10"/>
        <v>76</v>
      </c>
      <c r="B77" s="1">
        <f t="shared" si="12"/>
        <v>7</v>
      </c>
      <c r="C77" s="1">
        <v>4.0</v>
      </c>
      <c r="D77" s="51" t="str">
        <f t="shared" si="24"/>
        <v>Janice/Mike</v>
      </c>
      <c r="E77" s="52" t="str">
        <f>if(F77&lt;&gt;"",VLOOKUP(F77,offset('Teams-Conference'!A:B,0,(counta('Draft Order'!B$2:B129)-10)*2),2,0),"")</f>
        <v>Big 12</v>
      </c>
      <c r="F77" s="1" t="s">
        <v>104</v>
      </c>
      <c r="H77" s="29">
        <f t="shared" si="1"/>
        <v>1</v>
      </c>
      <c r="I77" s="29">
        <f t="shared" si="2"/>
        <v>1</v>
      </c>
      <c r="J77" s="29">
        <f t="shared" si="11"/>
        <v>2</v>
      </c>
      <c r="K77" s="29">
        <f t="shared" si="23"/>
        <v>1</v>
      </c>
      <c r="L77" s="29"/>
      <c r="M77" s="29">
        <f>IFERROR(__xludf.DUMMYFUNCTION("counta(iferror(filter(L$2:L76,E$2:E76=E77,L$2:L76&lt;L77)))"),0.0)</f>
        <v>0</v>
      </c>
      <c r="N77" s="29">
        <f>IFERROR(__xludf.DUMMYFUNCTION("counta(iferror(filter(L78:L$129,E78:E$129=E77,L78:L$131&gt;L77)))"),0.0)</f>
        <v>0</v>
      </c>
      <c r="O77" s="34">
        <f t="array" ref="O77:W77">XLOOKUP(F77,'Current Week'!B:B,'Current Week'!C:N)</f>
        <v>4</v>
      </c>
      <c r="P77" s="29">
        <v>8.0</v>
      </c>
      <c r="Q77" s="30" t="s">
        <v>215</v>
      </c>
      <c r="R77" s="30" t="s">
        <v>202</v>
      </c>
      <c r="S77" s="30"/>
      <c r="T77" s="30" t="s">
        <v>203</v>
      </c>
      <c r="U77" s="37" t="s">
        <v>203</v>
      </c>
      <c r="V77" s="37"/>
      <c r="W77" s="37">
        <v>9999.0</v>
      </c>
      <c r="X77" s="37"/>
      <c r="Y77" s="37"/>
      <c r="Z77" s="37"/>
      <c r="AA77" s="39">
        <f t="shared" si="3"/>
        <v>-6</v>
      </c>
      <c r="AB77" s="37">
        <f t="shared" si="4"/>
        <v>3</v>
      </c>
      <c r="AC77" s="37">
        <f>IFERROR(__xludf.DUMMYFUNCTION("iferror(COUNT(filter($O78:$O$392,$O78:$O$392&gt;$O77)))"),29.0)</f>
        <v>29</v>
      </c>
      <c r="AD77" s="40">
        <f t="shared" si="5"/>
        <v>0</v>
      </c>
      <c r="AE77" s="41">
        <f t="shared" si="6"/>
        <v>2</v>
      </c>
      <c r="AF77" s="30" t="str">
        <f>IFERROR(__xludf.DUMMYFUNCTION("iferror(join("","",index(sort(filter($F78:$F$393,$O78:$O$393&gt;$O77),2,false),0,1)))"),"Colorado,Iowa,Texas A&amp;M,Minnesota,Kansas State,Indiana,Florida State,Syracuse,Wake Forest,Western Kentucky,Virginia,Charlotte,Pittsburgh,Ball State,Coastal Carolina,Missouri,Boston College,West Virginia,Mississippi State,Tennessee,Oregon State,Kent State,"&amp;"Kentucky,Central Michigan,Duke,San José State,North Carolina,Louisville,Illinois")</f>
        <v>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77" s="39">
        <f>IFERROR(__xludf.DUMMYFUNCTION("iferror($O77-max(filter($O77:$O$392,$E77:$E$392=$E$2)))"),-3.0)</f>
        <v>-3</v>
      </c>
      <c r="AH77" s="37">
        <f t="shared" si="7"/>
        <v>0</v>
      </c>
      <c r="AI77" s="37">
        <f>IFERROR(__xludf.DUMMYFUNCTION("iferror(COUNT(filter($O78:$O$392,$O78:$O$392&gt;$O77,$E77:$E$392=$E$2)))"),0.0)</f>
        <v>0</v>
      </c>
      <c r="AJ77" s="40">
        <f t="shared" si="8"/>
        <v>0</v>
      </c>
      <c r="AK77" s="41">
        <f>IFERROR(__xludf.DUMMYFUNCTION("iferror($O77-min(filter($O77:$O$392,$E77:$E$392=$E$2)))"),2.0)</f>
        <v>2</v>
      </c>
      <c r="AL77" s="30" t="str">
        <f>IFERROR(__xludf.DUMMYFUNCTION("iferror(join("","",index(sort(filter($F78:$F$392,$O78:$O$392&gt;$O77,$E78:$E$392=$E$2),2,false),0,1)))"),"Texas A&amp;M,Missouri,Mississippi State,Tennessee,Kentucky")</f>
        <v>Texas A&amp;M,Missouri,Mississippi State,Tennessee,Kentucky</v>
      </c>
      <c r="AM77" s="30" t="str">
        <f>IFERROR(__xludf.DUMMYFUNCTION("REGEXREPLACE(join("","",unique({let(conf_picked,filter(E$1:E76,D$1:D76=D77), byrow(unique(TRANSPOSe(Teams!$1:$1)),lambda(rw,if(ISERROR(match(rw,conf_picked,0)),rw,))));iferror(if(#REF!,,transpose(split(#REF!,"","",1,1))))})), ""^,"", """")"),"ACC,Big 12,CUSA,SEC,Independent")</f>
        <v>ACC,Big 12,CUSA,SEC,Independent</v>
      </c>
      <c r="AN77" s="39">
        <f>IFERROR(__xludf.DUMMYFUNCTION("iferror($O77-max(filter($O77:$O$392,arrayformula(isnumber(FIND($E77:$E$392,AM77))))))"),-5.0)</f>
        <v>-5</v>
      </c>
      <c r="AO77" s="37">
        <f t="array" ref="AO77">countifs($O$2:$O76,"&lt;"&amp;$O77,isnumber(FIND($E$2:$E76,AM77)),TRUE)</f>
        <v>0</v>
      </c>
      <c r="AP77" s="37">
        <f>IFERROR(__xludf.DUMMYFUNCTION("iferror(COUNT(filter($O78:$O$392,$O78:$O$392&gt;$O77,arrayformula(isnumber(FIND($E78:$E$392,AM77))))))"),18.0)</f>
        <v>18</v>
      </c>
      <c r="AQ77" s="40">
        <f t="shared" si="9"/>
        <v>0</v>
      </c>
      <c r="AR77" s="41">
        <f>IFERROR(__xludf.DUMMYFUNCTION("iferror($O77-min(filter($O77:$O$392,arrayformula(isnumber(FIND($E77:$E$392,AM77))))))"),3.0)</f>
        <v>3</v>
      </c>
      <c r="AS77" s="48" t="str">
        <f>IFERROR(__xludf.DUMMYFUNCTION("iferror(join("","",index(sort(filter($F78:$F$392,$O78:$O$392&gt;$O77,arrayformula(isnumber(FIND($E78:$E$392,AM77)))),2,false),0,1)))"),"Texas A&amp;M,Kansas State,Florida State,Syracuse,Wake Forest,Western Kentucky,Virginia,Charlotte,Pittsburgh,Missouri,Boston College,West Virginia,Mississippi State,Tennessee,Kentucky,Duke,North Carolina,Louisville")</f>
        <v>Texas A&amp;M,Kansas State,Florida State,Syracuse,Wake Forest,Western Kentucky,Virginia,Charlotte,Pittsburgh,Missouri,Boston College,West Virginia,Mississippi State,Tennessee,Kentucky,Duke,North Carolina,Louisville</v>
      </c>
    </row>
    <row r="78">
      <c r="A78" s="1">
        <f t="shared" si="10"/>
        <v>77</v>
      </c>
      <c r="B78" s="1">
        <f t="shared" si="12"/>
        <v>7</v>
      </c>
      <c r="C78" s="1">
        <v>5.0</v>
      </c>
      <c r="D78" s="51" t="str">
        <f t="shared" si="24"/>
        <v>Nico</v>
      </c>
      <c r="E78" s="52" t="str">
        <f>if(F78&lt;&gt;"",VLOOKUP(F78,offset('Teams-Conference'!A:B,0,(counta('Draft Order'!B$2:B129)-10)*2),2,0),"")</f>
        <v>Big Ten</v>
      </c>
      <c r="F78" s="24" t="s">
        <v>120</v>
      </c>
      <c r="H78" s="29">
        <f t="shared" si="1"/>
        <v>4</v>
      </c>
      <c r="I78" s="29">
        <f t="shared" si="2"/>
        <v>4</v>
      </c>
      <c r="J78" s="29">
        <f t="shared" si="11"/>
        <v>1</v>
      </c>
      <c r="K78" s="29">
        <f>countif(E59:E78,E80)</f>
        <v>2</v>
      </c>
      <c r="L78" s="29"/>
      <c r="M78" s="29">
        <f>IFERROR(__xludf.DUMMYFUNCTION("counta(iferror(filter(L$2:L77,E$2:E77=E78,L$2:L77&lt;L78)))"),0.0)</f>
        <v>0</v>
      </c>
      <c r="N78" s="29">
        <f>IFERROR(__xludf.DUMMYFUNCTION("counta(iferror(filter(L79:L$129,E79:E$129=E78,L79:L$131&gt;L78)))"),0.0)</f>
        <v>0</v>
      </c>
      <c r="O78" s="34">
        <f t="array" ref="O78:W78">XLOOKUP(F78,'Current Week'!B:B,'Current Week'!C:N)</f>
        <v>4</v>
      </c>
      <c r="P78" s="29">
        <v>8.0</v>
      </c>
      <c r="Q78" s="30" t="s">
        <v>248</v>
      </c>
      <c r="R78" s="30" t="s">
        <v>202</v>
      </c>
      <c r="S78" s="30"/>
      <c r="T78" s="30" t="s">
        <v>203</v>
      </c>
      <c r="U78" s="37" t="s">
        <v>203</v>
      </c>
      <c r="V78" s="37"/>
      <c r="W78" s="37">
        <v>9999.0</v>
      </c>
      <c r="X78" s="37"/>
      <c r="Y78" s="37"/>
      <c r="Z78" s="37"/>
      <c r="AA78" s="39">
        <f t="shared" si="3"/>
        <v>-6</v>
      </c>
      <c r="AB78" s="37">
        <f t="shared" si="4"/>
        <v>3</v>
      </c>
      <c r="AC78" s="37">
        <f>IFERROR(__xludf.DUMMYFUNCTION("iferror(COUNT(filter($O79:$O$392,$O79:$O$392&gt;$O78)))"),29.0)</f>
        <v>29</v>
      </c>
      <c r="AD78" s="40">
        <f t="shared" si="5"/>
        <v>0</v>
      </c>
      <c r="AE78" s="41">
        <f t="shared" si="6"/>
        <v>2</v>
      </c>
      <c r="AF78" s="30" t="str">
        <f>IFERROR(__xludf.DUMMYFUNCTION("iferror(join("","",index(sort(filter($F79:$F$393,$O79:$O$393&gt;$O78),2,false),0,1)))"),"Colorado,Iowa,Texas A&amp;M,Minnesota,Kansas State,Indiana,Florida State,Syracuse,Wake Forest,Western Kentucky,Virginia,Charlotte,Pittsburgh,Ball State,Coastal Carolina,Missouri,Boston College,West Virginia,Mississippi State,Tennessee,Oregon State,Kent State,"&amp;"Kentucky,Central Michigan,Duke,San José State,North Carolina,Louisville,Illinois")</f>
        <v>Colorado,Iowa,Texas A&amp;M,Minnesota,Kansas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78" s="39">
        <f>IFERROR(__xludf.DUMMYFUNCTION("iferror($O78-max(filter($O78:$O$392,$E78:$E$392=$E$2)))"),-3.0)</f>
        <v>-3</v>
      </c>
      <c r="AH78" s="37">
        <f t="shared" si="7"/>
        <v>0</v>
      </c>
      <c r="AI78" s="37">
        <f>IFERROR(__xludf.DUMMYFUNCTION("iferror(COUNT(filter($O79:$O$392,$O79:$O$392&gt;$O78,$E78:$E$392=$E$2)))"),0.0)</f>
        <v>0</v>
      </c>
      <c r="AJ78" s="40">
        <f t="shared" si="8"/>
        <v>0</v>
      </c>
      <c r="AK78" s="41">
        <f>IFERROR(__xludf.DUMMYFUNCTION("iferror($O78-min(filter($O78:$O$392,$E78:$E$392=$E$2)))"),2.0)</f>
        <v>2</v>
      </c>
      <c r="AL78" s="30" t="str">
        <f>IFERROR(__xludf.DUMMYFUNCTION("iferror(join("","",index(sort(filter($F79:$F$392,$O79:$O$392&gt;$O78,$E79:$E$392=$E$2),2,false),0,1)))"),"Texas A&amp;M,Missouri,Mississippi State,Tennessee,Kentucky")</f>
        <v>Texas A&amp;M,Missouri,Mississippi State,Tennessee,Kentucky</v>
      </c>
      <c r="AM78" s="30" t="str">
        <f>IFERROR(__xludf.DUMMYFUNCTION("REGEXREPLACE(join("","",unique({let(conf_picked,filter(E$1:E77,D$1:D77=D78), byrow(unique(TRANSPOSe(Teams!$1:$1)),lambda(rw,if(ISERROR(match(rw,conf_picked,0)),rw,))));iferror(if(#REF!,,transpose(split(#REF!,"","",1,1))))})), ""^,"", """")"),"ACC,Big 12,Big Ten,CUSA,Independent")</f>
        <v>ACC,Big 12,Big Ten,CUSA,Independent</v>
      </c>
      <c r="AN78" s="39">
        <f>IFERROR(__xludf.DUMMYFUNCTION("iferror($O78-max(filter($O78:$O$392,arrayformula(isnumber(FIND($E78:$E$392,AM78))))))"),-6.0)</f>
        <v>-6</v>
      </c>
      <c r="AO78" s="37">
        <f t="array" ref="AO78">countifs($O$2:$O77,"&lt;"&amp;$O78,isnumber(FIND($E$2:$E77,AM78)),TRUE)</f>
        <v>0</v>
      </c>
      <c r="AP78" s="37">
        <f>IFERROR(__xludf.DUMMYFUNCTION("iferror(COUNT(filter($O79:$O$392,$O79:$O$392&gt;$O78,arrayformula(isnumber(FIND($E79:$E$392,AM78))))))"),17.0)</f>
        <v>17</v>
      </c>
      <c r="AQ78" s="40">
        <f t="shared" si="9"/>
        <v>0</v>
      </c>
      <c r="AR78" s="41">
        <f>IFERROR(__xludf.DUMMYFUNCTION("iferror($O78-min(filter($O78:$O$392,arrayformula(isnumber(FIND($E78:$E$392,AM78))))))"),3.0)</f>
        <v>3</v>
      </c>
      <c r="AS78" s="48" t="str">
        <f>IFERROR(__xludf.DUMMYFUNCTION("iferror(join("","",index(sort(filter($F79:$F$392,$O79:$O$392&gt;$O78,arrayformula(isnumber(FIND($E79:$E$392,AM78)))),2,false),0,1)))"),"Iowa,Minnesota,Kansas State,Indiana,Florida State,Syracuse,Wake Forest,Western Kentucky,Virginia,Charlotte,Pittsburgh,Boston College,West Virginia,Duke,North Carolina,Louisville,Illinois")</f>
        <v>Iowa,Minnesota,Kansas State,Indiana,Florida State,Syracuse,Wake Forest,Western Kentucky,Virginia,Charlotte,Pittsburgh,Boston College,West Virginia,Duke,North Carolina,Louisville,Illinois</v>
      </c>
    </row>
    <row r="79">
      <c r="A79" s="1">
        <f t="shared" si="10"/>
        <v>78</v>
      </c>
      <c r="B79" s="1">
        <f t="shared" si="12"/>
        <v>7</v>
      </c>
      <c r="C79" s="1">
        <v>6.0</v>
      </c>
      <c r="D79" s="51" t="str">
        <f t="shared" si="24"/>
        <v>Jeannine</v>
      </c>
      <c r="E79" s="52" t="str">
        <f>if(F79&lt;&gt;"",VLOOKUP(F79,offset('Teams-Conference'!A:B,0,(counta('Draft Order'!B$2:B129)-10)*2),2,0),"")</f>
        <v>Pac12</v>
      </c>
      <c r="F79" t="s">
        <v>164</v>
      </c>
      <c r="H79" s="29">
        <f t="shared" si="1"/>
        <v>0</v>
      </c>
      <c r="I79" s="29">
        <f t="shared" si="2"/>
        <v>0</v>
      </c>
      <c r="J79" s="29">
        <f t="shared" si="11"/>
        <v>4</v>
      </c>
      <c r="K79" s="30"/>
      <c r="L79" s="29"/>
      <c r="M79" s="29">
        <f>IFERROR(__xludf.DUMMYFUNCTION("counta(iferror(filter(L$2:L78,E$2:E78=E79,L$2:L78&lt;L79)))"),0.0)</f>
        <v>0</v>
      </c>
      <c r="N79" s="29">
        <f>IFERROR(__xludf.DUMMYFUNCTION("counta(iferror(filter(L80:L$129,E80:E$129=E79,L80:L$131&gt;L79)))"),0.0)</f>
        <v>0</v>
      </c>
      <c r="O79" s="34">
        <f t="array" ref="O79:W79">XLOOKUP(F79,'Current Week'!B:B,'Current Week'!C:N)</f>
        <v>5</v>
      </c>
      <c r="P79" s="29">
        <v>7.0</v>
      </c>
      <c r="Q79" s="30" t="s">
        <v>248</v>
      </c>
      <c r="R79" s="30" t="s">
        <v>202</v>
      </c>
      <c r="S79" s="30"/>
      <c r="T79" s="30" t="s">
        <v>203</v>
      </c>
      <c r="U79" s="37" t="s">
        <v>203</v>
      </c>
      <c r="V79" s="37"/>
      <c r="W79" s="37">
        <v>9999.0</v>
      </c>
      <c r="X79" s="37"/>
      <c r="Y79" s="37"/>
      <c r="Z79" s="37"/>
      <c r="AA79" s="39">
        <f t="shared" si="3"/>
        <v>-5</v>
      </c>
      <c r="AB79" s="37">
        <f t="shared" si="4"/>
        <v>15</v>
      </c>
      <c r="AC79" s="37">
        <f>IFERROR(__xludf.DUMMYFUNCTION("iferror(COUNT(filter($O80:$O$392,$O80:$O$392&gt;$O79)))"),21.0)</f>
        <v>21</v>
      </c>
      <c r="AD79" s="40">
        <f t="shared" si="5"/>
        <v>0</v>
      </c>
      <c r="AE79" s="41">
        <f t="shared" si="6"/>
        <v>3</v>
      </c>
      <c r="AF79" s="30" t="str">
        <f>IFERROR(__xludf.DUMMYFUNCTION("iferror(join("","",index(sort(filter($F80:$F$393,$O80:$O$393&gt;$O79),2,false),0,1)))"),"Iowa,Texas A&amp;M,Minnesota,Kansas State,Indiana,Florida State,Wake Forest,Western Kentucky,Virginia,Charlotte,Pittsburgh,Missouri,Boston College,Mississippi State,Tennessee,Kent State,Kentucky,Central Michigan,North Carolina,Louisville,Illinois")</f>
        <v>Iowa,Texas A&amp;M,Minnesota,Kansas State,Indiana,Florida State,Wake Forest,Western Kentucky,Virginia,Charlotte,Pittsburgh,Missouri,Boston College,Mississippi State,Tennessee,Kent State,Kentucky,Central Michigan,North Carolina,Louisville,Illinois</v>
      </c>
      <c r="AG79" s="39">
        <f>IFERROR(__xludf.DUMMYFUNCTION("iferror($O79-max(filter($O79:$O$392,$E79:$E$392=$E$2)))"),-2.0)</f>
        <v>-2</v>
      </c>
      <c r="AH79" s="37">
        <f t="shared" si="7"/>
        <v>0</v>
      </c>
      <c r="AI79" s="37">
        <f>IFERROR(__xludf.DUMMYFUNCTION("iferror(COUNT(filter($O80:$O$392,$O80:$O$392&gt;$O79,$E79:$E$392=$E$2)))"),0.0)</f>
        <v>0</v>
      </c>
      <c r="AJ79" s="40">
        <f t="shared" si="8"/>
        <v>0</v>
      </c>
      <c r="AK79" s="41">
        <f>IFERROR(__xludf.DUMMYFUNCTION("iferror($O79-min(filter($O79:$O$392,$E79:$E$392=$E$2)))"),3.0)</f>
        <v>3</v>
      </c>
      <c r="AL79" s="30" t="str">
        <f>IFERROR(__xludf.DUMMYFUNCTION("iferror(join("","",index(sort(filter($F80:$F$392,$O80:$O$392&gt;$O79,$E80:$E$392=$E$2),2,false),0,1)))"),"Texas A&amp;M,Missouri,Mississippi State,Tennessee,Kentucky")</f>
        <v>Texas A&amp;M,Missouri,Mississippi State,Tennessee,Kentucky</v>
      </c>
      <c r="AM79" s="30" t="str">
        <f>IFERROR(__xludf.DUMMYFUNCTION("REGEXREPLACE(join("","",unique({let(conf_picked,filter(E$1:E78,D$1:D78=D79), byrow(unique(TRANSPOSe(Teams!$1:$1)),lambda(rw,if(ISERROR(match(rw,conf_picked,0)),rw,))));iferror(if(#REF!,,transpose(split(#REF!,"","",1,1))))})), ""^,"", """")"),"ACC,MWC,Pac12,SEC,Independent")</f>
        <v>ACC,MWC,Pac12,SEC,Independent</v>
      </c>
      <c r="AN79" s="39">
        <f>IFERROR(__xludf.DUMMYFUNCTION("iferror($O79-max(filter($O79:$O$392,arrayformula(isnumber(FIND($E79:$E$392,AM79))))))"),-4.0)</f>
        <v>-4</v>
      </c>
      <c r="AO79" s="37">
        <f t="array" ref="AO79">countifs($O$2:$O78,"&lt;"&amp;$O79,isnumber(FIND($E$2:$E78,AM79)),TRUE)</f>
        <v>6</v>
      </c>
      <c r="AP79" s="37">
        <f>IFERROR(__xludf.DUMMYFUNCTION("iferror(COUNT(filter($O80:$O$392,$O80:$O$392&gt;$O79,arrayformula(isnumber(FIND($E80:$E$392,AM79))))))"),12.0)</f>
        <v>12</v>
      </c>
      <c r="AQ79" s="40">
        <f t="shared" si="9"/>
        <v>0</v>
      </c>
      <c r="AR79" s="41">
        <f>IFERROR(__xludf.DUMMYFUNCTION("iferror($O79-min(filter($O79:$O$392,arrayformula(isnumber(FIND($E79:$E$392,AM79))))))"),3.0)</f>
        <v>3</v>
      </c>
      <c r="AS79" s="48" t="str">
        <f>IFERROR(__xludf.DUMMYFUNCTION("iferror(join("","",index(sort(filter($F80:$F$392,$O80:$O$392&gt;$O79,arrayformula(isnumber(FIND($E80:$E$392,AM79)))),2,false),0,1)))"),"Texas A&amp;M,Florida State,Wake Forest,Virginia,Pittsburgh,Missouri,Boston College,Mississippi State,Tennessee,Kentucky,North Carolina,Louisville")</f>
        <v>Texas A&amp;M,Florida State,Wake Forest,Virginia,Pittsburgh,Missouri,Boston College,Mississippi State,Tennessee,Kentucky,North Carolina,Louisville</v>
      </c>
    </row>
    <row r="80">
      <c r="A80" s="1">
        <f t="shared" si="10"/>
        <v>79</v>
      </c>
      <c r="B80" s="1">
        <f t="shared" si="12"/>
        <v>7</v>
      </c>
      <c r="C80" s="1">
        <v>7.0</v>
      </c>
      <c r="D80" s="51" t="str">
        <f t="shared" si="24"/>
        <v>Justin</v>
      </c>
      <c r="E80" s="52" t="str">
        <f>if(F80&lt;&gt;"",VLOOKUP(F80,offset('Teams-Conference'!A:B,0,(counta('Draft Order'!B$2:B129)-10)*2),2,0),"")</f>
        <v>Big Ten</v>
      </c>
      <c r="F80" s="1" t="s">
        <v>110</v>
      </c>
      <c r="H80" s="29">
        <f t="shared" si="1"/>
        <v>3</v>
      </c>
      <c r="I80" s="29">
        <f t="shared" si="2"/>
        <v>3</v>
      </c>
      <c r="J80" s="29">
        <f t="shared" si="11"/>
        <v>2</v>
      </c>
      <c r="K80" s="29">
        <f t="shared" ref="K80:K85" si="25">countif(E60:E80,E81)</f>
        <v>3</v>
      </c>
      <c r="L80" s="29"/>
      <c r="M80" s="29">
        <f>IFERROR(__xludf.DUMMYFUNCTION("counta(iferror(filter(L$2:L79,E$2:E79=E80,L$2:L79&lt;L80)))"),0.0)</f>
        <v>0</v>
      </c>
      <c r="N80" s="29">
        <f>IFERROR(__xludf.DUMMYFUNCTION("counta(iferror(filter(L81:L$129,E81:E$129=E80,L81:L$131&gt;L80)))"),0.0)</f>
        <v>0</v>
      </c>
      <c r="O80" s="34">
        <f t="array" ref="O80:W80">XLOOKUP(F80,'Current Week'!B:B,'Current Week'!C:N)</f>
        <v>9</v>
      </c>
      <c r="P80" s="29">
        <v>3.0</v>
      </c>
      <c r="Q80" s="30" t="s">
        <v>278</v>
      </c>
      <c r="R80" s="30" t="s">
        <v>202</v>
      </c>
      <c r="S80" s="30"/>
      <c r="T80" s="30" t="s">
        <v>203</v>
      </c>
      <c r="U80" s="37" t="s">
        <v>203</v>
      </c>
      <c r="V80" s="37"/>
      <c r="W80" s="37">
        <v>9999.0</v>
      </c>
      <c r="X80" s="37"/>
      <c r="Y80" s="37"/>
      <c r="Z80" s="37"/>
      <c r="AA80" s="39">
        <f t="shared" si="3"/>
        <v>-1</v>
      </c>
      <c r="AB80" s="37">
        <f t="shared" si="4"/>
        <v>50</v>
      </c>
      <c r="AC80" s="37">
        <f>IFERROR(__xludf.DUMMYFUNCTION("iferror(COUNT(filter($O81:$O$392,$O81:$O$392&gt;$O80)))"),1.0)</f>
        <v>1</v>
      </c>
      <c r="AD80" s="40">
        <f t="shared" si="5"/>
        <v>0</v>
      </c>
      <c r="AE80" s="41">
        <f t="shared" si="6"/>
        <v>7</v>
      </c>
      <c r="AF80" s="30" t="str">
        <f>IFERROR(__xludf.DUMMYFUNCTION("iferror(join("","",index(sort(filter($F81:$F$393,$O81:$O$393&gt;$O80),2,false),0,1)))"),"Minnesota")</f>
        <v>Minnesota</v>
      </c>
      <c r="AG80" s="39">
        <f>IFERROR(__xludf.DUMMYFUNCTION("iferror($O80-max(filter($O80:$O$392,$E80:$E$392=$E$2)))"),2.0)</f>
        <v>2</v>
      </c>
      <c r="AH80" s="37">
        <f t="shared" si="7"/>
        <v>0</v>
      </c>
      <c r="AI80" s="37">
        <f>IFERROR(__xludf.DUMMYFUNCTION("iferror(COUNT(filter($O81:$O$392,$O81:$O$392&gt;$O80,$E80:$E$392=$E$2)))"),0.0)</f>
        <v>0</v>
      </c>
      <c r="AJ80" s="40">
        <f t="shared" si="8"/>
        <v>0</v>
      </c>
      <c r="AK80" s="41">
        <f>IFERROR(__xludf.DUMMYFUNCTION("iferror($O80-min(filter($O80:$O$392,$E80:$E$392=$E$2)))"),7.0)</f>
        <v>7</v>
      </c>
      <c r="AL80" s="30" t="str">
        <f>IFERROR(__xludf.DUMMYFUNCTION("iferror(join("","",index(sort(filter($F81:$F$392,$O81:$O$392&gt;$O80,$E81:$E$392=$E$2),2,false),0,1)))"),"")</f>
        <v/>
      </c>
      <c r="AM80" s="30" t="str">
        <f>IFERROR(__xludf.DUMMYFUNCTION("REGEXREPLACE(join("","",unique({let(conf_picked,filter(E$1:E79,D$1:D79=D80), byrow(unique(TRANSPOSe(Teams!$1:$1)),lambda(rw,if(ISERROR(match(rw,conf_picked,0)),rw,))));iferror(if(#REF!,,transpose(split(#REF!,"","",1,1))))})), ""^,"", """")"),"ACC,Big Ten,CUSA,SEC,Independent")</f>
        <v>ACC,Big Ten,CUSA,SEC,Independent</v>
      </c>
      <c r="AN80" s="39">
        <f>IFERROR(__xludf.DUMMYFUNCTION("iferror($O80-max(filter($O80:$O$392,arrayformula(isnumber(FIND($E80:$E$392,AM80))))))"),-1.0)</f>
        <v>-1</v>
      </c>
      <c r="AO80" s="37">
        <f t="array" ref="AO80">countifs($O$2:$O79,"&lt;"&amp;$O80,isnumber(FIND($E$2:$E79,AM80)),TRUE)</f>
        <v>9</v>
      </c>
      <c r="AP80" s="37">
        <f>IFERROR(__xludf.DUMMYFUNCTION("iferror(COUNT(filter($O81:$O$392,$O81:$O$392&gt;$O80,arrayformula(isnumber(FIND($E81:$E$392,AM80))))))"),1.0)</f>
        <v>1</v>
      </c>
      <c r="AQ80" s="40">
        <f t="shared" si="9"/>
        <v>0</v>
      </c>
      <c r="AR80" s="41">
        <f>IFERROR(__xludf.DUMMYFUNCTION("iferror($O80-min(filter($O80:$O$392,arrayformula(isnumber(FIND($E80:$E$392,AM80))))))"),8.0)</f>
        <v>8</v>
      </c>
      <c r="AS80" s="48" t="str">
        <f>IFERROR(__xludf.DUMMYFUNCTION("iferror(join("","",index(sort(filter($F81:$F$392,$O81:$O$392&gt;$O80,arrayformula(isnumber(FIND($E81:$E$392,AM80)))),2,false),0,1)))"),"Minnesota")</f>
        <v>Minnesota</v>
      </c>
    </row>
    <row r="81">
      <c r="A81" s="1">
        <f t="shared" si="10"/>
        <v>80</v>
      </c>
      <c r="B81" s="1">
        <f t="shared" si="12"/>
        <v>7</v>
      </c>
      <c r="C81" s="1">
        <v>8.0</v>
      </c>
      <c r="D81" s="51" t="str">
        <f t="shared" si="24"/>
        <v>Adam</v>
      </c>
      <c r="E81" s="52" t="str">
        <f>if(F81&lt;&gt;"",VLOOKUP(F81,offset('Teams-Conference'!A:B,0,(counta('Draft Order'!B$2:B129)-10)*2),2,0),"")</f>
        <v>Big Ten</v>
      </c>
      <c r="F81" s="1" t="s">
        <v>117</v>
      </c>
      <c r="H81" s="29">
        <f t="shared" si="1"/>
        <v>2</v>
      </c>
      <c r="I81" s="29">
        <f t="shared" si="2"/>
        <v>2</v>
      </c>
      <c r="J81" s="29">
        <f t="shared" si="11"/>
        <v>3</v>
      </c>
      <c r="K81" s="29">
        <f t="shared" si="25"/>
        <v>2</v>
      </c>
      <c r="L81" s="29"/>
      <c r="M81" s="29">
        <f>IFERROR(__xludf.DUMMYFUNCTION("counta(iferror(filter(L$2:L80,E$2:E80=E81,L$2:L80&lt;L81)))"),0.0)</f>
        <v>0</v>
      </c>
      <c r="N81" s="29">
        <f>IFERROR(__xludf.DUMMYFUNCTION("counta(iferror(filter(L82:L$129,E82:E$129=E81,L82:L$131&gt;L81)))"),0.0)</f>
        <v>0</v>
      </c>
      <c r="O81" s="34">
        <f t="array" ref="O81:W81">XLOOKUP(F81,'Current Week'!B:B,'Current Week'!C:N)</f>
        <v>3</v>
      </c>
      <c r="P81" s="29">
        <v>9.0</v>
      </c>
      <c r="Q81" s="30" t="s">
        <v>266</v>
      </c>
      <c r="R81" s="30" t="s">
        <v>202</v>
      </c>
      <c r="S81" s="30"/>
      <c r="T81" s="30" t="s">
        <v>203</v>
      </c>
      <c r="U81" s="37" t="s">
        <v>203</v>
      </c>
      <c r="V81" s="37"/>
      <c r="W81" s="37">
        <v>9999.0</v>
      </c>
      <c r="X81" s="37"/>
      <c r="Y81" s="37"/>
      <c r="Z81" s="37"/>
      <c r="AA81" s="39">
        <f t="shared" si="3"/>
        <v>-7</v>
      </c>
      <c r="AB81" s="37">
        <f t="shared" si="4"/>
        <v>2</v>
      </c>
      <c r="AC81" s="37">
        <f>IFERROR(__xludf.DUMMYFUNCTION("iferror(COUNT(filter($O82:$O$392,$O82:$O$392&gt;$O81)))"),33.0)</f>
        <v>33</v>
      </c>
      <c r="AD81" s="40">
        <f t="shared" si="5"/>
        <v>0</v>
      </c>
      <c r="AE81" s="41">
        <f t="shared" si="6"/>
        <v>1</v>
      </c>
      <c r="AF81" s="30" t="str">
        <f>IFERROR(__xludf.DUMMYFUNCTION("iferror(join("","",index(sort(filter($F82:$F$393,$O82:$O$393&gt;$O81),2,false),0,1)))"),"Texas A&amp;M,Minnesota,NC State,Kansas State,Indiana,Florida State,Syracuse,Wake Forest,Western Kentucky,Virginia,Middle Tennessee,Charlotte,Pittsburgh,Ball State,Coastal Carolina,Missouri,Boston College,West Virginia,Mississippi State,Tennessee,Oregon State"&amp;",Kent State,Kentucky,Colorado State,Central Michigan,South Carolina,Duke,San José State,North Carolina,UTSA,Louisville,Illinois,Ole Miss")</f>
        <v>Texas A&amp;M,Minnesota,NC State,Kansas State,Indiana,Florida State,Syracuse,Wake Forest,Western Kentucky,Virginia,Middle Tennessee,Charlotte,Pittsburgh,Ball State,Coastal Carolina,Missouri,Boston College,West Virginia,Mississippi State,Tennessee,Oregon State,Kent State,Kentucky,Colorado State,Central Michigan,South Carolina,Duke,San José State,North Carolina,UTSA,Louisville,Illinois,Ole Miss</v>
      </c>
      <c r="AG81" s="39">
        <f>IFERROR(__xludf.DUMMYFUNCTION("iferror($O81-max(filter($O81:$O$392,$E81:$E$392=$E$2)))"),-4.0)</f>
        <v>-4</v>
      </c>
      <c r="AH81" s="37">
        <f t="shared" si="7"/>
        <v>0</v>
      </c>
      <c r="AI81" s="37">
        <f>IFERROR(__xludf.DUMMYFUNCTION("iferror(COUNT(filter($O82:$O$392,$O82:$O$392&gt;$O81,$E81:$E$392=$E$2)))"),0.0)</f>
        <v>0</v>
      </c>
      <c r="AJ81" s="40">
        <f t="shared" si="8"/>
        <v>0</v>
      </c>
      <c r="AK81" s="41">
        <f>IFERROR(__xludf.DUMMYFUNCTION("iferror($O81-min(filter($O81:$O$392,$E81:$E$392=$E$2)))"),1.0)</f>
        <v>1</v>
      </c>
      <c r="AL81" s="30" t="str">
        <f>IFERROR(__xludf.DUMMYFUNCTION("iferror(join("","",index(sort(filter($F82:$F$392,$O82:$O$392&gt;$O81,$E82:$E$392=$E$2),2,false),0,1)))"),"Texas A&amp;M,Missouri,Mississippi State,Tennessee,Kentucky,South Carolina,Ole Miss")</f>
        <v>Texas A&amp;M,Missouri,Mississippi State,Tennessee,Kentucky,South Carolina,Ole Miss</v>
      </c>
      <c r="AM81" s="30" t="str">
        <f>IFERROR(__xludf.DUMMYFUNCTION("REGEXREPLACE(join("","",unique({let(conf_picked,filter(E$1:E80,D$1:D80=D81), byrow(unique(TRANSPOSe(Teams!$1:$1)),lambda(rw,if(ISERROR(match(rw,conf_picked,0)),rw,))));iferror(if(#REF!,,transpose(split(#REF!,"","",1,1))))})), ""^,"", """")"),"ACC,Big Ten,MAC,Pac12,Independent")</f>
        <v>ACC,Big Ten,MAC,Pac12,Independent</v>
      </c>
      <c r="AN81" s="39">
        <f>IFERROR(__xludf.DUMMYFUNCTION("iferror($O81-max(filter($O81:$O$392,arrayformula(isnumber(FIND($E81:$E$392,AM81))))))"),-7.0)</f>
        <v>-7</v>
      </c>
      <c r="AO81" s="37">
        <f t="array" ref="AO81">countifs($O$2:$O80,"&lt;"&amp;$O81,isnumber(FIND($E$2:$E80,AM81)),TRUE)</f>
        <v>0</v>
      </c>
      <c r="AP81" s="37">
        <f>IFERROR(__xludf.DUMMYFUNCTION("iferror(COUNT(filter($O82:$O$392,$O82:$O$392&gt;$O81,arrayformula(isnumber(FIND($E82:$E$392,AM81))))))"),17.0)</f>
        <v>17</v>
      </c>
      <c r="AQ81" s="40">
        <f t="shared" si="9"/>
        <v>0</v>
      </c>
      <c r="AR81" s="41">
        <f>IFERROR(__xludf.DUMMYFUNCTION("iferror($O81-min(filter($O81:$O$392,arrayformula(isnumber(FIND($E81:$E$392,AM81))))))"),3.0)</f>
        <v>3</v>
      </c>
      <c r="AS81" s="48" t="str">
        <f>IFERROR(__xludf.DUMMYFUNCTION("iferror(join("","",index(sort(filter($F82:$F$392,$O82:$O$392&gt;$O81,arrayformula(isnumber(FIND($E82:$E$392,AM81)))),2,false),0,1)))"),"Minnesota,NC State,Indiana,Florida State,Syracuse,Wake Forest,Virginia,Pittsburgh,Ball State,Boston College,Oregon State,Kent State,Central Michigan,Duke,North Carolina,Louisville,Illinois")</f>
        <v>Minnesota,NC State,Indiana,Florida State,Syracuse,Wake Forest,Virginia,Pittsburgh,Ball State,Boston College,Oregon State,Kent State,Central Michigan,Duke,North Carolina,Louisville,Illinois</v>
      </c>
    </row>
    <row r="82">
      <c r="A82" s="1">
        <f t="shared" si="10"/>
        <v>81</v>
      </c>
      <c r="B82" s="1">
        <f t="shared" si="12"/>
        <v>7</v>
      </c>
      <c r="C82" s="1">
        <v>9.0</v>
      </c>
      <c r="D82" s="51" t="str">
        <f t="shared" si="24"/>
        <v>Vu</v>
      </c>
      <c r="E82" s="52" t="str">
        <f>if(F82&lt;&gt;"",VLOOKUP(F82,offset('Teams-Conference'!A:B,0,(counta('Draft Order'!B$2:B129)-10)*2),2,0),"")</f>
        <v>SEC</v>
      </c>
      <c r="F82" t="s">
        <v>184</v>
      </c>
      <c r="H82" s="29">
        <f t="shared" si="1"/>
        <v>0</v>
      </c>
      <c r="I82" s="29">
        <f t="shared" si="2"/>
        <v>3</v>
      </c>
      <c r="J82" s="29">
        <f t="shared" si="11"/>
        <v>0</v>
      </c>
      <c r="K82" s="29">
        <f t="shared" si="25"/>
        <v>4</v>
      </c>
      <c r="L82" s="29"/>
      <c r="M82" s="29">
        <f>IFERROR(__xludf.DUMMYFUNCTION("counta(iferror(filter(L$2:L81,E$2:E81=E82,L$2:L81&lt;L82)))"),0.0)</f>
        <v>0</v>
      </c>
      <c r="N82" s="29">
        <f>IFERROR(__xludf.DUMMYFUNCTION("counta(iferror(filter(L83:L$129,E83:E$129=E82,L83:L$131&gt;L82)))"),0.0)</f>
        <v>0</v>
      </c>
      <c r="O82" s="34">
        <f t="array" ref="O82:W82">XLOOKUP(F82,'Current Week'!B:B,'Current Week'!C:N)</f>
        <v>7</v>
      </c>
      <c r="P82" s="29">
        <v>5.0</v>
      </c>
      <c r="Q82" s="30" t="s">
        <v>287</v>
      </c>
      <c r="R82" s="30" t="s">
        <v>202</v>
      </c>
      <c r="S82" s="30"/>
      <c r="T82" s="30" t="s">
        <v>203</v>
      </c>
      <c r="U82" s="37" t="s">
        <v>203</v>
      </c>
      <c r="V82" s="37"/>
      <c r="W82" s="37">
        <v>9999.0</v>
      </c>
      <c r="X82" s="37"/>
      <c r="Y82" s="37"/>
      <c r="Z82" s="37"/>
      <c r="AA82" s="39">
        <f t="shared" si="3"/>
        <v>-3</v>
      </c>
      <c r="AB82" s="37">
        <f t="shared" si="4"/>
        <v>31</v>
      </c>
      <c r="AC82" s="37">
        <f>IFERROR(__xludf.DUMMYFUNCTION("iferror(COUNT(filter($O83:$O$392,$O83:$O$392&gt;$O82)))"),8.0)</f>
        <v>8</v>
      </c>
      <c r="AD82" s="40">
        <f t="shared" si="5"/>
        <v>0</v>
      </c>
      <c r="AE82" s="41">
        <f t="shared" si="6"/>
        <v>5</v>
      </c>
      <c r="AF82" s="30" t="str">
        <f>IFERROR(__xludf.DUMMYFUNCTION("iferror(join("","",index(sort(filter($F83:$F$393,$O83:$O$393&gt;$O82),2,false),0,1)))"),"Minnesota,Kansas State,Indiana,Wake Forest,Western Kentucky,Virginia,Central Michigan,Louisville")</f>
        <v>Minnesota,Kansas State,Indiana,Wake Forest,Western Kentucky,Virginia,Central Michigan,Louisville</v>
      </c>
      <c r="AG82" s="39">
        <f>IFERROR(__xludf.DUMMYFUNCTION("iferror($O82-max(filter($O82:$O$392,$E82:$E$392=$E$2)))"),0.0)</f>
        <v>0</v>
      </c>
      <c r="AH82" s="37">
        <f t="shared" si="7"/>
        <v>0</v>
      </c>
      <c r="AI82" s="37">
        <f>IFERROR(__xludf.DUMMYFUNCTION("iferror(COUNT(filter($O83:$O$392,$O83:$O$392&gt;$O82,$E82:$E$392=$E$2)))"),0.0)</f>
        <v>0</v>
      </c>
      <c r="AJ82" s="40">
        <f t="shared" si="8"/>
        <v>1</v>
      </c>
      <c r="AK82" s="41">
        <f>IFERROR(__xludf.DUMMYFUNCTION("iferror($O82-min(filter($O82:$O$392,$E82:$E$392=$E$2)))"),5.0)</f>
        <v>5</v>
      </c>
      <c r="AL82" s="30" t="str">
        <f>IFERROR(__xludf.DUMMYFUNCTION("iferror(join("","",index(sort(filter($F83:$F$392,$O83:$O$392&gt;$O82,$E83:$E$392=$E$2),2,false),0,1)))"),"")</f>
        <v/>
      </c>
      <c r="AM82" s="30" t="str">
        <f>IFERROR(__xludf.DUMMYFUNCTION("REGEXREPLACE(join("","",unique({let(conf_picked,filter(E$1:E81,D$1:D81=D82), byrow(unique(TRANSPOSe(Teams!$1:$1)),lambda(rw,if(ISERROR(match(rw,conf_picked,0)),rw,))));iferror(if(#REF!,,transpose(split(#REF!,"","",1,1))))})), ""^,"", """")"),"ACC,MAC,SEC,Sun Belt,Independent")</f>
        <v>ACC,MAC,SEC,Sun Belt,Independent</v>
      </c>
      <c r="AN82" s="39">
        <f>IFERROR(__xludf.DUMMYFUNCTION("iferror($O82-max(filter($O82:$O$392,arrayformula(isnumber(FIND($E82:$E$392,AM82))))))"),-2.0)</f>
        <v>-2</v>
      </c>
      <c r="AO82" s="37">
        <f t="array" ref="AO82">countifs($O$2:$O81,"&lt;"&amp;$O82,isnumber(FIND($E$2:$E81,AM82)),TRUE)</f>
        <v>10</v>
      </c>
      <c r="AP82" s="37">
        <f>IFERROR(__xludf.DUMMYFUNCTION("iferror(COUNT(filter($O83:$O$392,$O83:$O$392&gt;$O82,arrayformula(isnumber(FIND($E83:$E$392,AM82))))))"),4.0)</f>
        <v>4</v>
      </c>
      <c r="AQ82" s="40">
        <f t="shared" si="9"/>
        <v>0</v>
      </c>
      <c r="AR82" s="41">
        <f>IFERROR(__xludf.DUMMYFUNCTION("iferror($O82-min(filter($O82:$O$392,arrayformula(isnumber(FIND($E82:$E$392,AM82))))))"),7.0)</f>
        <v>7</v>
      </c>
      <c r="AS82" s="48" t="str">
        <f>IFERROR(__xludf.DUMMYFUNCTION("iferror(join("","",index(sort(filter($F83:$F$392,$O83:$O$392&gt;$O82,arrayformula(isnumber(FIND($E83:$E$392,AM82)))),2,false),0,1)))"),"Wake Forest,Virginia,Central Michigan,Louisville")</f>
        <v>Wake Forest,Virginia,Central Michigan,Louisville</v>
      </c>
    </row>
    <row r="83">
      <c r="A83" s="1">
        <f t="shared" si="10"/>
        <v>82</v>
      </c>
      <c r="B83" s="1">
        <f t="shared" si="12"/>
        <v>7</v>
      </c>
      <c r="C83" s="1">
        <v>10.0</v>
      </c>
      <c r="D83" s="51" t="str">
        <f t="shared" si="24"/>
        <v>Josh R.</v>
      </c>
      <c r="E83" s="52" t="str">
        <f>if(F83&lt;&gt;"",VLOOKUP(F83,offset('Teams-Conference'!A:B,0,(counta('Draft Order'!B$2:B129)-10)*2),2,0),"")</f>
        <v>Big Ten</v>
      </c>
      <c r="F83" s="1" t="s">
        <v>115</v>
      </c>
      <c r="H83" s="29">
        <f t="shared" si="1"/>
        <v>1</v>
      </c>
      <c r="I83" s="29">
        <f t="shared" si="2"/>
        <v>1</v>
      </c>
      <c r="J83" s="29">
        <f t="shared" si="11"/>
        <v>4</v>
      </c>
      <c r="K83" s="29">
        <f t="shared" si="25"/>
        <v>0</v>
      </c>
      <c r="L83" s="29"/>
      <c r="M83" s="29">
        <f>IFERROR(__xludf.DUMMYFUNCTION("counta(iferror(filter(L$2:L82,E$2:E82=E83,L$2:L82&lt;L83)))"),0.0)</f>
        <v>0</v>
      </c>
      <c r="N83" s="29">
        <f>IFERROR(__xludf.DUMMYFUNCTION("counta(iferror(filter(L84:L$129,E84:E$129=E83,L84:L$131&gt;L83)))"),0.0)</f>
        <v>0</v>
      </c>
      <c r="O83" s="34">
        <f t="array" ref="O83:W83">XLOOKUP(F83,'Current Week'!B:B,'Current Week'!C:N)</f>
        <v>10</v>
      </c>
      <c r="P83" s="29">
        <v>2.0</v>
      </c>
      <c r="Q83" s="30" t="s">
        <v>278</v>
      </c>
      <c r="R83" s="30" t="s">
        <v>202</v>
      </c>
      <c r="S83" s="30"/>
      <c r="T83" s="30" t="s">
        <v>203</v>
      </c>
      <c r="U83" s="37" t="s">
        <v>203</v>
      </c>
      <c r="V83" s="37"/>
      <c r="W83" s="37">
        <v>9999.0</v>
      </c>
      <c r="X83" s="37"/>
      <c r="Y83" s="37"/>
      <c r="Z83" s="37"/>
      <c r="AA83" s="39">
        <f t="shared" si="3"/>
        <v>0</v>
      </c>
      <c r="AB83" s="37">
        <f t="shared" si="4"/>
        <v>61</v>
      </c>
      <c r="AC83" s="37">
        <f>IFERROR(__xludf.DUMMYFUNCTION("iferror(COUNT(filter($O84:$O$392,$O84:$O$392&gt;$O83)))"),0.0)</f>
        <v>0</v>
      </c>
      <c r="AD83" s="40">
        <f t="shared" si="5"/>
        <v>1</v>
      </c>
      <c r="AE83" s="41">
        <f t="shared" si="6"/>
        <v>8</v>
      </c>
      <c r="AF83" s="30" t="str">
        <f>IFERROR(__xludf.DUMMYFUNCTION("iferror(join("","",index(sort(filter($F84:$F$393,$O84:$O$393&gt;$O83),2,false),0,1)))"),"")</f>
        <v/>
      </c>
      <c r="AG83" s="39">
        <f>IFERROR(__xludf.DUMMYFUNCTION("iferror($O83-max(filter($O83:$O$392,$E83:$E$392=$E$2)))"),3.0)</f>
        <v>3</v>
      </c>
      <c r="AH83" s="37">
        <f t="shared" si="7"/>
        <v>2</v>
      </c>
      <c r="AI83" s="37">
        <f>IFERROR(__xludf.DUMMYFUNCTION("iferror(COUNT(filter($O84:$O$392,$O84:$O$392&gt;$O83,$E83:$E$392=$E$2)))"),0.0)</f>
        <v>0</v>
      </c>
      <c r="AJ83" s="40">
        <f t="shared" si="8"/>
        <v>0</v>
      </c>
      <c r="AK83" s="41">
        <f>IFERROR(__xludf.DUMMYFUNCTION("iferror($O83-min(filter($O83:$O$392,$E83:$E$392=$E$2)))"),8.0)</f>
        <v>8</v>
      </c>
      <c r="AL83" s="30" t="str">
        <f>IFERROR(__xludf.DUMMYFUNCTION("iferror(join("","",index(sort(filter($F84:$F$392,$O84:$O$392&gt;$O83,$E84:$E$392=$E$2),2,false),0,1)))"),"")</f>
        <v/>
      </c>
      <c r="AM83" s="30" t="str">
        <f>IFERROR(__xludf.DUMMYFUNCTION("REGEXREPLACE(join("","",unique({let(conf_picked,filter(E$1:E82,D$1:D82=D83), byrow(unique(TRANSPOSe(Teams!$1:$1)),lambda(rw,if(ISERROR(match(rw,conf_picked,0)),rw,))));iferror(if(#REF!,,transpose(split(#REF!,"","",1,1))))})), ""^,"", """")"),"ACC,Big 12,Big Ten,SEC,Independent")</f>
        <v>ACC,Big 12,Big Ten,SEC,Independent</v>
      </c>
      <c r="AN83" s="39">
        <f>IFERROR(__xludf.DUMMYFUNCTION("iferror($O83-max(filter($O83:$O$392,arrayformula(isnumber(FIND($E83:$E$392,AM83))))))"),0.0)</f>
        <v>0</v>
      </c>
      <c r="AO83" s="37">
        <f t="array" ref="AO83">countifs($O$2:$O82,"&lt;"&amp;$O83,isnumber(FIND($E$2:$E82,AM83)),TRUE)</f>
        <v>16</v>
      </c>
      <c r="AP83" s="37">
        <f>IFERROR(__xludf.DUMMYFUNCTION("iferror(COUNT(filter($O84:$O$392,$O84:$O$392&gt;$O83,arrayformula(isnumber(FIND($E84:$E$392,AM83))))))"),0.0)</f>
        <v>0</v>
      </c>
      <c r="AQ83" s="40">
        <f t="shared" si="9"/>
        <v>1</v>
      </c>
      <c r="AR83" s="41">
        <f>IFERROR(__xludf.DUMMYFUNCTION("iferror($O83-min(filter($O83:$O$392,arrayformula(isnumber(FIND($E83:$E$392,AM83))))))"),8.0)</f>
        <v>8</v>
      </c>
      <c r="AS83" s="48" t="str">
        <f>IFERROR(__xludf.DUMMYFUNCTION("iferror(join("","",index(sort(filter($F84:$F$392,$O84:$O$392&gt;$O83,arrayformula(isnumber(FIND($E84:$E$392,AM83)))),2,false),0,1)))"),"")</f>
        <v/>
      </c>
    </row>
    <row r="84">
      <c r="A84" s="1">
        <f t="shared" si="10"/>
        <v>83</v>
      </c>
      <c r="B84" s="1">
        <f t="shared" si="12"/>
        <v>7</v>
      </c>
      <c r="C84" s="1">
        <v>11.0</v>
      </c>
      <c r="D84" s="51" t="str">
        <f t="shared" si="24"/>
        <v>Brad</v>
      </c>
      <c r="E84" s="52" t="str">
        <f>if(F84&lt;&gt;"",VLOOKUP(F84,offset('Teams-Conference'!A:B,0,(counta('Draft Order'!B$2:B129)-10)*2),2,0),"")</f>
        <v>Sun Belt</v>
      </c>
      <c r="F84" s="1" t="s">
        <v>193</v>
      </c>
      <c r="H84" s="29">
        <f t="shared" si="1"/>
        <v>0</v>
      </c>
      <c r="I84" s="29">
        <f t="shared" si="2"/>
        <v>2</v>
      </c>
      <c r="J84" s="29">
        <f t="shared" si="11"/>
        <v>0</v>
      </c>
      <c r="K84" s="29">
        <f t="shared" si="25"/>
        <v>0</v>
      </c>
      <c r="L84" s="29"/>
      <c r="M84" s="29">
        <f>IFERROR(__xludf.DUMMYFUNCTION("counta(iferror(filter(L$2:L83,E$2:E83=E84,L$2:L83&lt;L84)))"),0.0)</f>
        <v>0</v>
      </c>
      <c r="N84" s="29">
        <f>IFERROR(__xludf.DUMMYFUNCTION("counta(iferror(filter(L85:L$129,E85:E$129=E84,L85:L$131&gt;L84)))"),0.0)</f>
        <v>0</v>
      </c>
      <c r="O84" s="34">
        <f t="array" ref="O84:W84">XLOOKUP(F84,'Current Week'!B:B,'Current Week'!C:N)</f>
        <v>3</v>
      </c>
      <c r="P84" s="29">
        <v>9.0</v>
      </c>
      <c r="Q84" s="30" t="s">
        <v>282</v>
      </c>
      <c r="R84" s="30" t="s">
        <v>202</v>
      </c>
      <c r="S84" s="30"/>
      <c r="T84" s="30" t="s">
        <v>203</v>
      </c>
      <c r="U84" s="37" t="s">
        <v>203</v>
      </c>
      <c r="V84" s="37"/>
      <c r="W84" s="37">
        <v>9999.0</v>
      </c>
      <c r="X84" s="37"/>
      <c r="Y84" s="37"/>
      <c r="Z84" s="37"/>
      <c r="AA84" s="39">
        <f t="shared" si="3"/>
        <v>-6</v>
      </c>
      <c r="AB84" s="37">
        <f t="shared" si="4"/>
        <v>2</v>
      </c>
      <c r="AC84" s="37">
        <f>IFERROR(__xludf.DUMMYFUNCTION("iferror(COUNT(filter($O85:$O$392,$O85:$O$392&gt;$O84)))"),31.0)</f>
        <v>31</v>
      </c>
      <c r="AD84" s="40">
        <f t="shared" si="5"/>
        <v>0</v>
      </c>
      <c r="AE84" s="41">
        <f t="shared" si="6"/>
        <v>1</v>
      </c>
      <c r="AF84" s="30" t="str">
        <f>IFERROR(__xludf.DUMMYFUNCTION("iferror(join("","",index(sort(filter($F85:$F$393,$O85:$O$393&gt;$O84),2,false),0,1)))"),"NC State,Kansas State,Indiana,Florida State,Syracuse,Wake Forest,Western Kentucky,Virginia,Middle Tennessee,Charlotte,Pittsburgh,Ball State,Coastal Carolina,Missouri,Boston College,West Virginia,Mississippi State,Tennessee,Oregon State,Kent State,Kentucky"&amp;",Colorado State,Central Michigan,South Carolina,Duke,San José State,North Carolina,UTSA,Louisville,Illinois,Ole Miss")</f>
        <v>NC State,Kansas State,Indiana,Florida State,Syracuse,Wake Forest,Western Kentucky,Virginia,Middle Tennessee,Charlotte,Pittsburgh,Ball State,Coastal Carolina,Missouri,Boston College,West Virginia,Mississippi State,Tennessee,Oregon State,Kent State,Kentucky,Colorado State,Central Michigan,South Carolina,Duke,San José State,North Carolina,UTSA,Louisville,Illinois,Ole Miss</v>
      </c>
      <c r="AG84" s="39">
        <f>IFERROR(__xludf.DUMMYFUNCTION("iferror($O84-max(filter($O84:$O$392,$E84:$E$392=$E$2)))"),-4.0)</f>
        <v>-4</v>
      </c>
      <c r="AH84" s="37">
        <f t="shared" si="7"/>
        <v>0</v>
      </c>
      <c r="AI84" s="37">
        <f>IFERROR(__xludf.DUMMYFUNCTION("iferror(COUNT(filter($O85:$O$392,$O85:$O$392&gt;$O84,$E84:$E$392=$E$2)))"),0.0)</f>
        <v>0</v>
      </c>
      <c r="AJ84" s="40">
        <f t="shared" si="8"/>
        <v>0</v>
      </c>
      <c r="AK84" s="41">
        <f>IFERROR(__xludf.DUMMYFUNCTION("iferror($O84-min(filter($O84:$O$392,$E84:$E$392=$E$2)))"),1.0)</f>
        <v>1</v>
      </c>
      <c r="AL84" s="30" t="str">
        <f>IFERROR(__xludf.DUMMYFUNCTION("iferror(join("","",index(sort(filter($F85:$F$392,$O85:$O$392&gt;$O84,$E85:$E$392=$E$2),2,false),0,1)))"),"Missouri,Mississippi State,Tennessee,Kentucky,South Carolina,Ole Miss")</f>
        <v>Missouri,Mississippi State,Tennessee,Kentucky,South Carolina,Ole Miss</v>
      </c>
      <c r="AM84" s="30" t="str">
        <f>IFERROR(__xludf.DUMMYFUNCTION("REGEXREPLACE(join("","",unique({let(conf_picked,filter(E$1:E83,D$1:D83=D84), byrow(unique(TRANSPOSe(Teams!$1:$1)),lambda(rw,if(ISERROR(match(rw,conf_picked,0)),rw,))));iferror(if(#REF!,,transpose(split(#REF!,"","",1,1))))})), ""^,"", """")"),"Big Ten,MWC,SEC,Sun Belt,Independent")</f>
        <v>Big Ten,MWC,SEC,Sun Belt,Independent</v>
      </c>
      <c r="AN84" s="39">
        <f>IFERROR(__xludf.DUMMYFUNCTION("iferror($O84-max(filter($O84:$O$392,arrayformula(isnumber(FIND($E84:$E$392,AM84))))))"),-5.0)</f>
        <v>-5</v>
      </c>
      <c r="AO84" s="37">
        <f t="array" ref="AO84">countifs($O$2:$O83,"&lt;"&amp;$O84,isnumber(FIND($E$2:$E83,AM84)),TRUE)</f>
        <v>2</v>
      </c>
      <c r="AP84" s="37">
        <f>IFERROR(__xludf.DUMMYFUNCTION("iferror(COUNT(filter($O85:$O$392,$O85:$O$392&gt;$O84,arrayformula(isnumber(FIND($E85:$E$392,AM84))))))"),11.0)</f>
        <v>11</v>
      </c>
      <c r="AQ84" s="40">
        <f t="shared" si="9"/>
        <v>0</v>
      </c>
      <c r="AR84" s="41">
        <f>IFERROR(__xludf.DUMMYFUNCTION("iferror($O84-min(filter($O84:$O$392,arrayformula(isnumber(FIND($E84:$E$392,AM84))))))"),1.0)</f>
        <v>1</v>
      </c>
      <c r="AS84" s="48" t="str">
        <f>IFERROR(__xludf.DUMMYFUNCTION("iferror(join("","",index(sort(filter($F85:$F$392,$O85:$O$392&gt;$O84,arrayformula(isnumber(FIND($E85:$E$392,AM84)))),2,false),0,1)))"),"Indiana,Coastal Carolina,Missouri,Mississippi State,Tennessee,Kentucky,Colorado State,South Carolina,San José State,Illinois,Ole Miss")</f>
        <v>Indiana,Coastal Carolina,Missouri,Mississippi State,Tennessee,Kentucky,Colorado State,South Carolina,San José State,Illinois,Ole Miss</v>
      </c>
    </row>
    <row r="85">
      <c r="A85" s="131">
        <f t="shared" si="10"/>
        <v>84</v>
      </c>
      <c r="B85" s="131">
        <f t="shared" si="12"/>
        <v>7</v>
      </c>
      <c r="C85" s="131">
        <v>12.0</v>
      </c>
      <c r="D85" s="132" t="str">
        <f t="shared" si="24"/>
        <v>Nick G.</v>
      </c>
      <c r="E85" s="157" t="str">
        <f>if(F85&lt;&gt;"",VLOOKUP(F85,offset('Teams-Conference'!A:B,0,(counta('Draft Order'!B$2:B129)-10)*2),2,0),"")</f>
        <v>ACC</v>
      </c>
      <c r="F85" s="131" t="s">
        <v>88</v>
      </c>
      <c r="G85" s="131"/>
      <c r="H85" s="29">
        <f t="shared" si="1"/>
        <v>5</v>
      </c>
      <c r="I85" s="29">
        <f t="shared" si="2"/>
        <v>6</v>
      </c>
      <c r="J85" s="29">
        <f t="shared" si="11"/>
        <v>0</v>
      </c>
      <c r="K85" s="29">
        <f t="shared" si="25"/>
        <v>4</v>
      </c>
      <c r="L85" s="29"/>
      <c r="M85" s="29">
        <f>IFERROR(__xludf.DUMMYFUNCTION("counta(iferror(filter(L$2:L84,E$2:E84=E85,L$2:L84&lt;L85)))"),0.0)</f>
        <v>0</v>
      </c>
      <c r="N85" s="29">
        <f>IFERROR(__xludf.DUMMYFUNCTION("counta(iferror(filter(L86:L$129,E86:E$129=E85,L86:L$131&gt;L85)))"),0.0)</f>
        <v>0</v>
      </c>
      <c r="O85" s="34">
        <f t="array" ref="O85:W85">XLOOKUP(F85,'Current Week'!B:B,'Current Week'!C:N)</f>
        <v>4</v>
      </c>
      <c r="P85" s="29">
        <v>8.0</v>
      </c>
      <c r="Q85" s="30" t="s">
        <v>285</v>
      </c>
      <c r="R85" s="30" t="s">
        <v>202</v>
      </c>
      <c r="S85" s="30"/>
      <c r="T85" s="30" t="s">
        <v>203</v>
      </c>
      <c r="U85" s="37" t="s">
        <v>203</v>
      </c>
      <c r="V85" s="37"/>
      <c r="W85" s="37">
        <v>9999.0</v>
      </c>
      <c r="X85" s="37"/>
      <c r="Y85" s="37"/>
      <c r="Z85" s="37"/>
      <c r="AA85" s="39">
        <f t="shared" si="3"/>
        <v>-5</v>
      </c>
      <c r="AB85" s="37">
        <f t="shared" si="4"/>
        <v>5</v>
      </c>
      <c r="AC85" s="37">
        <f>IFERROR(__xludf.DUMMYFUNCTION("iferror(COUNT(filter($O86:$O$392,$O86:$O$392&gt;$O85)))"),25.0)</f>
        <v>25</v>
      </c>
      <c r="AD85" s="40">
        <f t="shared" si="5"/>
        <v>0</v>
      </c>
      <c r="AE85" s="41">
        <f t="shared" si="6"/>
        <v>2</v>
      </c>
      <c r="AF85" s="30" t="str">
        <f>IFERROR(__xludf.DUMMYFUNCTION("iferror(join("","",index(sort(filter($F86:$F$393,$O86:$O$393&gt;$O85),2,false),0,1)))"),"Kansas State,Indiana,Florida State,Syracuse,Wake Forest,Western Kentucky,Virginia,Charlotte,Pittsburgh,Ball State,Coastal Carolina,Missouri,Boston College,West Virginia,Mississippi State,Tennessee,Oregon State,Kent State,Kentucky,Central Michigan,Duke,San"&amp;" José State,North Carolina,Louisville,Illinois")</f>
        <v>Kansas State,Indiana,Florida State,Syracuse,Wake Forest,Western Kentucky,Virginia,Charlotte,Pittsburgh,Ball State,Coastal Carolina,Missouri,Boston College,West Virginia,Mississippi State,Tennessee,Oregon State,Kent State,Kentucky,Central Michigan,Duke,San José State,North Carolina,Louisville,Illinois</v>
      </c>
      <c r="AG85" s="39">
        <f>IFERROR(__xludf.DUMMYFUNCTION("iferror($O85-max(filter($O85:$O$392,$E85:$E$392=$E$2)))"),-3.0)</f>
        <v>-3</v>
      </c>
      <c r="AH85" s="37">
        <f t="shared" si="7"/>
        <v>0</v>
      </c>
      <c r="AI85" s="37">
        <f>IFERROR(__xludf.DUMMYFUNCTION("iferror(COUNT(filter($O86:$O$392,$O86:$O$392&gt;$O85,$E85:$E$392=$E$2)))"),0.0)</f>
        <v>0</v>
      </c>
      <c r="AJ85" s="40">
        <f t="shared" si="8"/>
        <v>0</v>
      </c>
      <c r="AK85" s="41">
        <f>IFERROR(__xludf.DUMMYFUNCTION("iferror($O85-min(filter($O85:$O$392,$E85:$E$392=$E$2)))"),2.0)</f>
        <v>2</v>
      </c>
      <c r="AL85" s="30" t="str">
        <f>IFERROR(__xludf.DUMMYFUNCTION("iferror(join("","",index(sort(filter($F86:$F$392,$O86:$O$392&gt;$O85,$E86:$E$392=$E$2),2,false),0,1)))"),"Missouri,Mississippi State,Tennessee,Kentucky")</f>
        <v>Missouri,Mississippi State,Tennessee,Kentucky</v>
      </c>
      <c r="AM85" s="30" t="str">
        <f>IFERROR(__xludf.DUMMYFUNCTION("REGEXREPLACE(join("","",unique({let(conf_picked,filter(E$1:E84,D$1:D84=D85), byrow(unique(TRANSPOSe(Teams!$1:$1)),lambda(rw,if(ISERROR(match(rw,conf_picked,0)),rw,))));iferror(if(#REF!,,transpose(split(#REF!,"","",1,1))))})), ""^,"", """")"),"AAC,ACC,Big 12,,MAC,Independent")</f>
        <v>AAC,ACC,Big 12,,MAC,Independent</v>
      </c>
      <c r="AN85" s="39">
        <f>IFERROR(__xludf.DUMMYFUNCTION("iferror($O85-max(filter($O85:$O$392,arrayformula(isnumber(FIND($E85:$E$392,AM85))))))"),-5.0)</f>
        <v>-5</v>
      </c>
      <c r="AO85" s="37">
        <f t="array" ref="AO85">countifs($O$2:$O84,"&lt;"&amp;$O85,isnumber(FIND($E$2:$E84,AM85)),TRUE)</f>
        <v>0</v>
      </c>
      <c r="AP85" s="37">
        <f>IFERROR(__xludf.DUMMYFUNCTION("iferror(COUNT(filter($O86:$O$392,$O86:$O$392&gt;$O85,arrayformula(isnumber(FIND($E86:$E$392,AM85))))))"),14.0)</f>
        <v>14</v>
      </c>
      <c r="AQ85" s="40">
        <f t="shared" si="9"/>
        <v>0</v>
      </c>
      <c r="AR85" s="41">
        <f>IFERROR(__xludf.DUMMYFUNCTION("iferror($O85-min(filter($O85:$O$392,arrayformula(isnumber(FIND($E85:$E$392,AM85))))))"),4.0)</f>
        <v>4</v>
      </c>
      <c r="AS85" s="48" t="str">
        <f>IFERROR(__xludf.DUMMYFUNCTION("iferror(join("","",index(sort(filter($F86:$F$392,$O86:$O$392&gt;$O85,arrayformula(isnumber(FIND($E86:$E$392,AM85)))),2,false),0,1)))"),"Kansas State,Florida State,Syracuse,Wake Forest,Virginia,Pittsburgh,Ball State,Boston College,West Virginia,Kent State,Central Michigan,Duke,North Carolina,Louisville")</f>
        <v>Kansas State,Florida State,Syracuse,Wake Forest,Virginia,Pittsburgh,Ball State,Boston College,West Virginia,Kent State,Central Michigan,Duke,North Carolina,Louisville</v>
      </c>
    </row>
    <row r="86">
      <c r="A86" s="1">
        <f t="shared" si="10"/>
        <v>85</v>
      </c>
      <c r="B86" s="1">
        <f t="shared" si="12"/>
        <v>8</v>
      </c>
      <c r="C86" s="1">
        <v>1.0</v>
      </c>
      <c r="D86" s="135" t="str">
        <f>D85</f>
        <v>Nick G.</v>
      </c>
      <c r="E86" s="52" t="str">
        <f>if(F86&lt;&gt;"",VLOOKUP(F86,offset('Teams-Conference'!A:B,0,(counta('Draft Order'!B$2:B129)-10)*2),2,0),"")</f>
        <v>Big 12</v>
      </c>
      <c r="F86" s="1" t="s">
        <v>99</v>
      </c>
      <c r="H86" s="29">
        <f t="shared" si="1"/>
        <v>0</v>
      </c>
      <c r="I86" s="29">
        <f t="shared" si="2"/>
        <v>1</v>
      </c>
      <c r="J86" s="29">
        <f t="shared" si="11"/>
        <v>2</v>
      </c>
      <c r="K86" s="29">
        <f t="shared" ref="K86:K90" si="26">countif(E67:E86,E87)</f>
        <v>5</v>
      </c>
      <c r="L86" s="29"/>
      <c r="M86" s="29">
        <f>IFERROR(__xludf.DUMMYFUNCTION("counta(iferror(filter(L$2:L85,E$2:E85=E86,L$2:L85&lt;L86)))"),0.0)</f>
        <v>0</v>
      </c>
      <c r="N86" s="29">
        <f>IFERROR(__xludf.DUMMYFUNCTION("counta(iferror(filter(L87:L$129,E87:E$129=E86,L87:L$131&gt;L86)))"),0.0)</f>
        <v>0</v>
      </c>
      <c r="O86" s="34">
        <f t="array" ref="O86:W86">XLOOKUP(F86,'Current Week'!B:B,'Current Week'!C:N)</f>
        <v>8</v>
      </c>
      <c r="P86" s="29">
        <v>4.0</v>
      </c>
      <c r="Q86" s="30" t="s">
        <v>201</v>
      </c>
      <c r="R86" s="30" t="s">
        <v>202</v>
      </c>
      <c r="S86" s="30"/>
      <c r="T86" s="30" t="s">
        <v>203</v>
      </c>
      <c r="U86" s="37" t="s">
        <v>203</v>
      </c>
      <c r="V86" s="37"/>
      <c r="W86" s="37">
        <v>9999.0</v>
      </c>
      <c r="X86" s="37"/>
      <c r="Y86" s="37"/>
      <c r="Z86" s="37"/>
      <c r="AA86" s="39">
        <f t="shared" si="3"/>
        <v>-1</v>
      </c>
      <c r="AB86" s="37">
        <f t="shared" si="4"/>
        <v>49</v>
      </c>
      <c r="AC86" s="37">
        <f>IFERROR(__xludf.DUMMYFUNCTION("iferror(COUNT(filter($O87:$O$392,$O87:$O$392&gt;$O86)))"),1.0)</f>
        <v>1</v>
      </c>
      <c r="AD86" s="40">
        <f t="shared" si="5"/>
        <v>0</v>
      </c>
      <c r="AE86" s="41">
        <f t="shared" si="6"/>
        <v>6</v>
      </c>
      <c r="AF86" s="30" t="str">
        <f>IFERROR(__xludf.DUMMYFUNCTION("iferror(join("","",index(sort(filter($F87:$F$393,$O87:$O$393&gt;$O86),2,false),0,1)))"),"Virginia")</f>
        <v>Virginia</v>
      </c>
      <c r="AG86" s="39">
        <f>IFERROR(__xludf.DUMMYFUNCTION("iferror($O86-max(filter($O86:$O$392,$E86:$E$392=$E$2)))"),1.0)</f>
        <v>1</v>
      </c>
      <c r="AH86" s="37">
        <f t="shared" si="7"/>
        <v>1</v>
      </c>
      <c r="AI86" s="37">
        <f>IFERROR(__xludf.DUMMYFUNCTION("iferror(COUNT(filter($O87:$O$392,$O87:$O$392&gt;$O86,$E86:$E$392=$E$2)))"),0.0)</f>
        <v>0</v>
      </c>
      <c r="AJ86" s="40">
        <f t="shared" si="8"/>
        <v>0</v>
      </c>
      <c r="AK86" s="41">
        <f>IFERROR(__xludf.DUMMYFUNCTION("iferror($O86-min(filter($O86:$O$392,$E86:$E$392=$E$2)))"),6.0)</f>
        <v>6</v>
      </c>
      <c r="AL86" s="30" t="str">
        <f>IFERROR(__xludf.DUMMYFUNCTION("iferror(join("","",index(sort(filter($F87:$F$392,$O87:$O$392&gt;$O86,$E87:$E$392=$E$2),2,false),0,1)))"),"")</f>
        <v/>
      </c>
      <c r="AM86" s="30" t="str">
        <f>IFERROR(__xludf.DUMMYFUNCTION("REGEXREPLACE(join("","",unique({let(conf_picked,filter(E$1:E85,D$1:D85=D86), byrow(unique(TRANSPOSe(Teams!$1:$1)),lambda(rw,if(ISERROR(match(rw,conf_picked,0)),rw,))));iferror(if(#REF!,,transpose(split(#REF!,"","",1,1))))})), ""^,"", """")"),"AAC,,Big 12,MAC,Independent")</f>
        <v>AAC,,Big 12,MAC,Independent</v>
      </c>
      <c r="AN86" s="39">
        <f>IFERROR(__xludf.DUMMYFUNCTION("iferror($O86-max(filter($O86:$O$392,arrayformula(isnumber(FIND($E86:$E$392,AM86))))))"),0.0)</f>
        <v>0</v>
      </c>
      <c r="AO86" s="37">
        <f t="array" ref="AO86">countifs($O$2:$O85,"&lt;"&amp;$O86,isnumber(FIND($E$2:$E85,AM86)),TRUE)</f>
        <v>17</v>
      </c>
      <c r="AP86" s="37">
        <f>IFERROR(__xludf.DUMMYFUNCTION("iferror(COUNT(filter($O87:$O$392,$O87:$O$392&gt;$O86,arrayformula(isnumber(FIND($E87:$E$392,AM86))))))"),0.0)</f>
        <v>0</v>
      </c>
      <c r="AQ86" s="40">
        <f t="shared" si="9"/>
        <v>1</v>
      </c>
      <c r="AR86" s="41">
        <f>IFERROR(__xludf.DUMMYFUNCTION("iferror($O86-min(filter($O86:$O$392,arrayformula(isnumber(FIND($E86:$E$392,AM86))))))"),8.0)</f>
        <v>8</v>
      </c>
      <c r="AS86" s="48" t="str">
        <f>IFERROR(__xludf.DUMMYFUNCTION("iferror(join("","",index(sort(filter($F87:$F$392,$O87:$O$392&gt;$O86,arrayformula(isnumber(FIND($E87:$E$392,AM86)))),2,false),0,1)))"),"")</f>
        <v/>
      </c>
    </row>
    <row r="87">
      <c r="A87" s="1">
        <f t="shared" si="10"/>
        <v>86</v>
      </c>
      <c r="B87" s="1">
        <f t="shared" si="12"/>
        <v>8</v>
      </c>
      <c r="C87" s="1">
        <v>2.0</v>
      </c>
      <c r="D87" s="56" t="str">
        <f>D84</f>
        <v>Brad</v>
      </c>
      <c r="E87" s="52" t="str">
        <f>if(F87&lt;&gt;"",VLOOKUP(F87,offset('Teams-Conference'!A:B,0,(counta('Draft Order'!B$2:B129)-10)*2),2,0),"")</f>
        <v>Big Ten</v>
      </c>
      <c r="F87" s="1" t="s">
        <v>108</v>
      </c>
      <c r="H87" s="29">
        <f t="shared" si="1"/>
        <v>0</v>
      </c>
      <c r="I87" s="29">
        <f t="shared" si="2"/>
        <v>0</v>
      </c>
      <c r="J87" s="29">
        <f t="shared" si="11"/>
        <v>4</v>
      </c>
      <c r="K87" s="29">
        <f t="shared" si="26"/>
        <v>1</v>
      </c>
      <c r="L87" s="29"/>
      <c r="M87" s="29">
        <f>IFERROR(__xludf.DUMMYFUNCTION("counta(iferror(filter(L$2:L86,E$2:E86=E87,L$2:L86&lt;L87)))"),0.0)</f>
        <v>0</v>
      </c>
      <c r="N87" s="29">
        <f>IFERROR(__xludf.DUMMYFUNCTION("counta(iferror(filter(L88:L$129,E88:E$129=E87,L88:L$131&gt;L87)))"),0.0)</f>
        <v>0</v>
      </c>
      <c r="O87" s="34">
        <f t="array" ref="O87:W87">XLOOKUP(F87,'Current Week'!B:B,'Current Week'!C:N)</f>
        <v>8</v>
      </c>
      <c r="P87" s="29">
        <v>4.0</v>
      </c>
      <c r="Q87" s="30" t="s">
        <v>207</v>
      </c>
      <c r="R87" s="30" t="s">
        <v>202</v>
      </c>
      <c r="S87" s="30"/>
      <c r="T87" s="30" t="s">
        <v>203</v>
      </c>
      <c r="U87" s="37" t="s">
        <v>203</v>
      </c>
      <c r="V87" s="37"/>
      <c r="W87" s="37">
        <v>9999.0</v>
      </c>
      <c r="X87" s="37"/>
      <c r="Y87" s="37"/>
      <c r="Z87" s="37"/>
      <c r="AA87" s="39">
        <f t="shared" si="3"/>
        <v>-1</v>
      </c>
      <c r="AB87" s="37">
        <f t="shared" si="4"/>
        <v>49</v>
      </c>
      <c r="AC87" s="37">
        <f>IFERROR(__xludf.DUMMYFUNCTION("iferror(COUNT(filter($O88:$O$392,$O88:$O$392&gt;$O87)))"),1.0)</f>
        <v>1</v>
      </c>
      <c r="AD87" s="40">
        <f t="shared" si="5"/>
        <v>0</v>
      </c>
      <c r="AE87" s="41">
        <f t="shared" si="6"/>
        <v>6</v>
      </c>
      <c r="AF87" s="30" t="str">
        <f>IFERROR(__xludf.DUMMYFUNCTION("iferror(join("","",index(sort(filter($F88:$F$393,$O88:$O$393&gt;$O87),2,false),0,1)))"),"Virginia")</f>
        <v>Virginia</v>
      </c>
      <c r="AG87" s="39">
        <f>IFERROR(__xludf.DUMMYFUNCTION("iferror($O87-max(filter($O87:$O$392,$E87:$E$392=$E$2)))"),1.0)</f>
        <v>1</v>
      </c>
      <c r="AH87" s="37">
        <f t="shared" si="7"/>
        <v>1</v>
      </c>
      <c r="AI87" s="37">
        <f>IFERROR(__xludf.DUMMYFUNCTION("iferror(COUNT(filter($O88:$O$392,$O88:$O$392&gt;$O87,$E87:$E$392=$E$2)))"),0.0)</f>
        <v>0</v>
      </c>
      <c r="AJ87" s="40">
        <f t="shared" si="8"/>
        <v>0</v>
      </c>
      <c r="AK87" s="41">
        <f>IFERROR(__xludf.DUMMYFUNCTION("iferror($O87-min(filter($O87:$O$392,$E87:$E$392=$E$2)))"),6.0)</f>
        <v>6</v>
      </c>
      <c r="AL87" s="30" t="str">
        <f>IFERROR(__xludf.DUMMYFUNCTION("iferror(join("","",index(sort(filter($F88:$F$392,$O88:$O$392&gt;$O87,$E88:$E$392=$E$2),2,false),0,1)))"),"")</f>
        <v/>
      </c>
      <c r="AM87" s="30" t="str">
        <f>IFERROR(__xludf.DUMMYFUNCTION("REGEXREPLACE(join("","",unique({let(conf_picked,filter(E$1:E86,D$1:D86=D87), byrow(unique(TRANSPOSe(Teams!$1:$1)),lambda(rw,if(ISERROR(match(rw,conf_picked,0)),rw,))));iferror(if(#REF!,,transpose(split(#REF!,"","",1,1))))})), ""^,"", """")"),"Big Ten,MWC,SEC,Independent")</f>
        <v>Big Ten,MWC,SEC,Independent</v>
      </c>
      <c r="AN87" s="39">
        <f>IFERROR(__xludf.DUMMYFUNCTION("iferror($O87-max(filter($O87:$O$392,arrayformula(isnumber(FIND($E87:$E$392,AM87))))))"),0.0)</f>
        <v>0</v>
      </c>
      <c r="AO87" s="37">
        <f t="array" ref="AO87">countifs($O$2:$O86,"&lt;"&amp;$O87,isnumber(FIND($E$2:$E86,AM87)),TRUE)</f>
        <v>11</v>
      </c>
      <c r="AP87" s="37">
        <f>IFERROR(__xludf.DUMMYFUNCTION("iferror(COUNT(filter($O88:$O$392,$O88:$O$392&gt;$O87,arrayformula(isnumber(FIND($E88:$E$392,AM87))))))"),0.0)</f>
        <v>0</v>
      </c>
      <c r="AQ87" s="40">
        <f t="shared" si="9"/>
        <v>1</v>
      </c>
      <c r="AR87" s="41">
        <f>IFERROR(__xludf.DUMMYFUNCTION("iferror($O87-min(filter($O87:$O$392,arrayformula(isnumber(FIND($E87:$E$392,AM87))))))"),6.0)</f>
        <v>6</v>
      </c>
      <c r="AS87" s="48" t="str">
        <f>IFERROR(__xludf.DUMMYFUNCTION("iferror(join("","",index(sort(filter($F88:$F$392,$O88:$O$392&gt;$O87,arrayformula(isnumber(FIND($E88:$E$392,AM87)))),2,false),0,1)))"),"")</f>
        <v/>
      </c>
    </row>
    <row r="88">
      <c r="A88" s="1">
        <f t="shared" si="10"/>
        <v>87</v>
      </c>
      <c r="B88" s="1">
        <f t="shared" si="12"/>
        <v>8</v>
      </c>
      <c r="C88" s="1">
        <v>3.0</v>
      </c>
      <c r="D88" s="56" t="str">
        <f>D83</f>
        <v>Josh R.</v>
      </c>
      <c r="E88" s="52" t="str">
        <f>if(F88&lt;&gt;"",VLOOKUP(F88,offset('Teams-Conference'!A:B,0,(counta('Draft Order'!B$2:B129)-10)*2),2,0),"")</f>
        <v>ACC</v>
      </c>
      <c r="F88" s="1" t="s">
        <v>76</v>
      </c>
      <c r="H88" s="29">
        <f t="shared" si="1"/>
        <v>4</v>
      </c>
      <c r="I88" s="29">
        <f t="shared" si="2"/>
        <v>5</v>
      </c>
      <c r="J88" s="29">
        <f t="shared" si="11"/>
        <v>1</v>
      </c>
      <c r="K88" s="29">
        <f t="shared" si="26"/>
        <v>2</v>
      </c>
      <c r="L88" s="29"/>
      <c r="M88" s="29">
        <f>IFERROR(__xludf.DUMMYFUNCTION("counta(iferror(filter(L$2:L87,E$2:E87=E88,L$2:L87&lt;L88)))"),0.0)</f>
        <v>0</v>
      </c>
      <c r="N88" s="29">
        <f>IFERROR(__xludf.DUMMYFUNCTION("counta(iferror(filter(L89:L$129,E89:E$129=E88,L89:L$131&gt;L88)))"),0.0)</f>
        <v>0</v>
      </c>
      <c r="O88" s="34">
        <f t="array" ref="O88:W88">XLOOKUP(F88,'Current Week'!B:B,'Current Week'!C:N)</f>
        <v>6</v>
      </c>
      <c r="P88" s="29">
        <v>6.0</v>
      </c>
      <c r="Q88" s="30" t="s">
        <v>265</v>
      </c>
      <c r="R88" s="30" t="s">
        <v>202</v>
      </c>
      <c r="S88" s="30"/>
      <c r="T88" s="30" t="s">
        <v>203</v>
      </c>
      <c r="U88" s="37" t="s">
        <v>203</v>
      </c>
      <c r="V88" s="37"/>
      <c r="W88" s="37">
        <v>9999.0</v>
      </c>
      <c r="X88" s="37"/>
      <c r="Y88" s="37"/>
      <c r="Z88" s="37"/>
      <c r="AA88" s="39">
        <f t="shared" si="3"/>
        <v>-3</v>
      </c>
      <c r="AB88" s="37">
        <f t="shared" si="4"/>
        <v>25</v>
      </c>
      <c r="AC88" s="37">
        <f>IFERROR(__xludf.DUMMYFUNCTION("iferror(COUNT(filter($O89:$O$392,$O89:$O$392&gt;$O88)))"),9.0)</f>
        <v>9</v>
      </c>
      <c r="AD88" s="40">
        <f t="shared" si="5"/>
        <v>0</v>
      </c>
      <c r="AE88" s="41">
        <f t="shared" si="6"/>
        <v>4</v>
      </c>
      <c r="AF88" s="30" t="str">
        <f>IFERROR(__xludf.DUMMYFUNCTION("iferror(join("","",index(sort(filter($F89:$F$393,$O89:$O$393&gt;$O88),2,false),0,1)))"),"Wake Forest,Western Kentucky,Virginia,Charlotte,Pittsburgh,Tennessee,Kentucky,Central Michigan,Louisville")</f>
        <v>Wake Forest,Western Kentucky,Virginia,Charlotte,Pittsburgh,Tennessee,Kentucky,Central Michigan,Louisville</v>
      </c>
      <c r="AG88" s="39">
        <f>IFERROR(__xludf.DUMMYFUNCTION("iferror($O88-max(filter($O88:$O$392,$E88:$E$392=$E$2)))"),-1.0)</f>
        <v>-1</v>
      </c>
      <c r="AH88" s="37">
        <f t="shared" si="7"/>
        <v>0</v>
      </c>
      <c r="AI88" s="37">
        <f>IFERROR(__xludf.DUMMYFUNCTION("iferror(COUNT(filter($O89:$O$392,$O89:$O$392&gt;$O88,$E88:$E$392=$E$2)))"),0.0)</f>
        <v>0</v>
      </c>
      <c r="AJ88" s="40">
        <f t="shared" si="8"/>
        <v>0</v>
      </c>
      <c r="AK88" s="41">
        <f>IFERROR(__xludf.DUMMYFUNCTION("iferror($O88-min(filter($O88:$O$392,$E88:$E$392=$E$2)))"),4.0)</f>
        <v>4</v>
      </c>
      <c r="AL88" s="30" t="str">
        <f>IFERROR(__xludf.DUMMYFUNCTION("iferror(join("","",index(sort(filter($F89:$F$392,$O89:$O$392&gt;$O88,$E89:$E$392=$E$2),2,false),0,1)))"),"Tennessee,Kentucky")</f>
        <v>Tennessee,Kentucky</v>
      </c>
      <c r="AM88" s="30" t="str">
        <f>IFERROR(__xludf.DUMMYFUNCTION("REGEXREPLACE(join("","",unique({let(conf_picked,filter(E$1:E87,D$1:D87=D88), byrow(unique(TRANSPOSe(Teams!$1:$1)),lambda(rw,if(ISERROR(match(rw,conf_picked,0)),rw,))));iferror(if(#REF!,,transpose(split(#REF!,"","",1,1))))})), ""^,"", """")"),"ACC,Big 12,SEC,Independent")</f>
        <v>ACC,Big 12,SEC,Independent</v>
      </c>
      <c r="AN88" s="39">
        <f>IFERROR(__xludf.DUMMYFUNCTION("iferror($O88-max(filter($O88:$O$392,arrayformula(isnumber(FIND($E88:$E$392,AM88))))))"),-3.0)</f>
        <v>-3</v>
      </c>
      <c r="AO88" s="37">
        <f t="array" ref="AO88">countifs($O$2:$O87,"&lt;"&amp;$O88,isnumber(FIND($E$2:$E87,AM88)),TRUE)</f>
        <v>3</v>
      </c>
      <c r="AP88" s="37">
        <f>IFERROR(__xludf.DUMMYFUNCTION("iferror(COUNT(filter($O89:$O$392,$O89:$O$392&gt;$O88,arrayformula(isnumber(FIND($E89:$E$392,AM88))))))"),6.0)</f>
        <v>6</v>
      </c>
      <c r="AQ88" s="40">
        <f t="shared" si="9"/>
        <v>0</v>
      </c>
      <c r="AR88" s="41">
        <f>IFERROR(__xludf.DUMMYFUNCTION("iferror($O88-min(filter($O88:$O$392,arrayformula(isnumber(FIND($E88:$E$392,AM88))))))"),4.0)</f>
        <v>4</v>
      </c>
      <c r="AS88" s="48" t="str">
        <f>IFERROR(__xludf.DUMMYFUNCTION("iferror(join("","",index(sort(filter($F89:$F$392,$O89:$O$392&gt;$O88,arrayformula(isnumber(FIND($E89:$E$392,AM88)))),2,false),0,1)))"),"Wake Forest,Virginia,Pittsburgh,Tennessee,Kentucky,Louisville")</f>
        <v>Wake Forest,Virginia,Pittsburgh,Tennessee,Kentucky,Louisville</v>
      </c>
    </row>
    <row r="89">
      <c r="A89" s="1">
        <f t="shared" si="10"/>
        <v>88</v>
      </c>
      <c r="B89" s="1">
        <f t="shared" si="12"/>
        <v>8</v>
      </c>
      <c r="C89" s="1">
        <v>4.0</v>
      </c>
      <c r="D89" s="56" t="str">
        <f>D82</f>
        <v>Vu</v>
      </c>
      <c r="E89" s="52" t="str">
        <f>if(F89&lt;&gt;"",VLOOKUP(F89,offset('Teams-Conference'!A:B,0,(counta('Draft Order'!B$2:B129)-10)*2),2,0),"")</f>
        <v>ACC</v>
      </c>
      <c r="F89" t="s">
        <v>92</v>
      </c>
      <c r="H89" s="29">
        <f t="shared" si="1"/>
        <v>3</v>
      </c>
      <c r="I89" s="29">
        <f t="shared" si="2"/>
        <v>4</v>
      </c>
      <c r="J89" s="29">
        <f t="shared" si="11"/>
        <v>2</v>
      </c>
      <c r="K89" s="29">
        <f t="shared" si="26"/>
        <v>3</v>
      </c>
      <c r="L89" s="29"/>
      <c r="M89" s="29">
        <f>IFERROR(__xludf.DUMMYFUNCTION("counta(iferror(filter(L$2:L88,E$2:E88=E89,L$2:L88&lt;L89)))"),0.0)</f>
        <v>0</v>
      </c>
      <c r="N89" s="29">
        <f>IFERROR(__xludf.DUMMYFUNCTION("counta(iferror(filter(L90:L$129,E90:E$129=E89,L90:L$131&gt;L89)))"),0.0)</f>
        <v>0</v>
      </c>
      <c r="O89" s="34">
        <f t="array" ref="O89:W89">XLOOKUP(F89,'Current Week'!B:B,'Current Week'!C:N)</f>
        <v>5</v>
      </c>
      <c r="P89" s="29">
        <v>7.0</v>
      </c>
      <c r="Q89" s="30" t="s">
        <v>285</v>
      </c>
      <c r="R89" s="30" t="s">
        <v>202</v>
      </c>
      <c r="S89" s="30"/>
      <c r="T89" s="30" t="s">
        <v>203</v>
      </c>
      <c r="U89" s="37" t="s">
        <v>203</v>
      </c>
      <c r="V89" s="37"/>
      <c r="W89" s="37">
        <v>9999.0</v>
      </c>
      <c r="X89" s="37"/>
      <c r="Y89" s="37"/>
      <c r="Z89" s="37"/>
      <c r="AA89" s="39">
        <f t="shared" si="3"/>
        <v>-4</v>
      </c>
      <c r="AB89" s="37">
        <f t="shared" si="4"/>
        <v>18</v>
      </c>
      <c r="AC89" s="37">
        <f>IFERROR(__xludf.DUMMYFUNCTION("iferror(COUNT(filter($O90:$O$392,$O90:$O$392&gt;$O89)))"),15.0)</f>
        <v>15</v>
      </c>
      <c r="AD89" s="40">
        <f t="shared" si="5"/>
        <v>0</v>
      </c>
      <c r="AE89" s="41">
        <f t="shared" si="6"/>
        <v>3</v>
      </c>
      <c r="AF89" s="30" t="str">
        <f>IFERROR(__xludf.DUMMYFUNCTION("iferror(join("","",index(sort(filter($F90:$F$393,$O90:$O$393&gt;$O89),2,false),0,1)))"),"Wake Forest,Western Kentucky,Virginia,Charlotte,Pittsburgh,Missouri,Boston College,Mississippi State,Tennessee,Kent State,Kentucky,Central Michigan,North Carolina,Louisville,Illinois")</f>
        <v>Wake Forest,Western Kentucky,Virginia,Charlotte,Pittsburgh,Missouri,Boston College,Mississippi State,Tennessee,Kent State,Kentucky,Central Michigan,North Carolina,Louisville,Illinois</v>
      </c>
      <c r="AG89" s="39">
        <f>IFERROR(__xludf.DUMMYFUNCTION("iferror($O89-max(filter($O89:$O$392,$E89:$E$392=$E$2)))"),-2.0)</f>
        <v>-2</v>
      </c>
      <c r="AH89" s="37">
        <f t="shared" si="7"/>
        <v>0</v>
      </c>
      <c r="AI89" s="37">
        <f>IFERROR(__xludf.DUMMYFUNCTION("iferror(COUNT(filter($O90:$O$392,$O90:$O$392&gt;$O89,$E89:$E$392=$E$2)))"),0.0)</f>
        <v>0</v>
      </c>
      <c r="AJ89" s="40">
        <f t="shared" si="8"/>
        <v>0</v>
      </c>
      <c r="AK89" s="41">
        <f>IFERROR(__xludf.DUMMYFUNCTION("iferror($O89-min(filter($O89:$O$392,$E89:$E$392=$E$2)))"),3.0)</f>
        <v>3</v>
      </c>
      <c r="AL89" s="30" t="str">
        <f>IFERROR(__xludf.DUMMYFUNCTION("iferror(join("","",index(sort(filter($F90:$F$392,$O90:$O$392&gt;$O89,$E90:$E$392=$E$2),2,false),0,1)))"),"Missouri,Mississippi State,Tennessee,Kentucky")</f>
        <v>Missouri,Mississippi State,Tennessee,Kentucky</v>
      </c>
      <c r="AM89" s="30" t="str">
        <f>IFERROR(__xludf.DUMMYFUNCTION("REGEXREPLACE(join("","",unique({let(conf_picked,filter(E$1:E88,D$1:D88=D89), byrow(unique(TRANSPOSe(Teams!$1:$1)),lambda(rw,if(ISERROR(match(rw,conf_picked,0)),rw,))));iferror(if(#REF!,,transpose(split(#REF!,"","",1,1))))})), ""^,"", """")"),"ACC,MAC,Sun Belt,Independent")</f>
        <v>ACC,MAC,Sun Belt,Independent</v>
      </c>
      <c r="AN89" s="39">
        <f>IFERROR(__xludf.DUMMYFUNCTION("iferror($O89-max(filter($O89:$O$392,arrayformula(isnumber(FIND($E89:$E$392,AM89))))))"),-4.0)</f>
        <v>-4</v>
      </c>
      <c r="AO89" s="37">
        <f t="array" ref="AO89">countifs($O$2:$O88,"&lt;"&amp;$O89,isnumber(FIND($E$2:$E88,AM89)),TRUE)</f>
        <v>4</v>
      </c>
      <c r="AP89" s="37">
        <f>IFERROR(__xludf.DUMMYFUNCTION("iferror(COUNT(filter($O90:$O$392,$O90:$O$392&gt;$O89,arrayformula(isnumber(FIND($E90:$E$392,AM89))))))"),8.0)</f>
        <v>8</v>
      </c>
      <c r="AQ89" s="40">
        <f t="shared" si="9"/>
        <v>0</v>
      </c>
      <c r="AR89" s="41">
        <f>IFERROR(__xludf.DUMMYFUNCTION("iferror($O89-min(filter($O89:$O$392,arrayformula(isnumber(FIND($E89:$E$392,AM89))))))"),5.0)</f>
        <v>5</v>
      </c>
      <c r="AS89" s="48" t="str">
        <f>IFERROR(__xludf.DUMMYFUNCTION("iferror(join("","",index(sort(filter($F90:$F$392,$O90:$O$392&gt;$O89,arrayformula(isnumber(FIND($E90:$E$392,AM89)))),2,false),0,1)))"),"Wake Forest,Virginia,Pittsburgh,Boston College,Kent State,Central Michigan,North Carolina,Louisville")</f>
        <v>Wake Forest,Virginia,Pittsburgh,Boston College,Kent State,Central Michigan,North Carolina,Louisville</v>
      </c>
    </row>
    <row r="90">
      <c r="A90" s="1">
        <f t="shared" si="10"/>
        <v>89</v>
      </c>
      <c r="B90" s="1">
        <f t="shared" si="12"/>
        <v>8</v>
      </c>
      <c r="C90" s="1">
        <v>5.0</v>
      </c>
      <c r="D90" s="56" t="str">
        <f>D81</f>
        <v>Adam</v>
      </c>
      <c r="E90" s="52" t="str">
        <f>if(F90&lt;&gt;"",VLOOKUP(F90,offset('Teams-Conference'!A:B,0,(counta('Draft Order'!B$2:B129)-10)*2),2,0),"")</f>
        <v>ACC</v>
      </c>
      <c r="F90" s="1" t="s">
        <v>95</v>
      </c>
      <c r="H90" s="29">
        <f t="shared" si="1"/>
        <v>2</v>
      </c>
      <c r="I90" s="29">
        <f t="shared" si="2"/>
        <v>3</v>
      </c>
      <c r="J90" s="29">
        <f t="shared" si="11"/>
        <v>3</v>
      </c>
      <c r="K90" s="29">
        <f t="shared" si="26"/>
        <v>0</v>
      </c>
      <c r="L90" s="29"/>
      <c r="M90" s="29">
        <f>IFERROR(__xludf.DUMMYFUNCTION("counta(iferror(filter(L$2:L89,E$2:E89=E90,L$2:L89&lt;L90)))"),0.0)</f>
        <v>0</v>
      </c>
      <c r="N90" s="29">
        <f>IFERROR(__xludf.DUMMYFUNCTION("counta(iferror(filter(L91:L$129,E91:E$129=E90,L91:L$131&gt;L90)))"),0.0)</f>
        <v>0</v>
      </c>
      <c r="O90" s="34">
        <f t="array" ref="O90:W90">XLOOKUP(F90,'Current Week'!B:B,'Current Week'!C:N)</f>
        <v>8</v>
      </c>
      <c r="P90" s="29">
        <v>4.0</v>
      </c>
      <c r="Q90" s="30" t="s">
        <v>207</v>
      </c>
      <c r="R90" s="30" t="s">
        <v>202</v>
      </c>
      <c r="S90" s="30"/>
      <c r="T90" s="30" t="s">
        <v>203</v>
      </c>
      <c r="U90" s="37" t="s">
        <v>203</v>
      </c>
      <c r="V90" s="37"/>
      <c r="W90" s="37">
        <v>9999.0</v>
      </c>
      <c r="X90" s="37"/>
      <c r="Y90" s="37"/>
      <c r="Z90" s="37"/>
      <c r="AA90" s="39">
        <f t="shared" si="3"/>
        <v>-1</v>
      </c>
      <c r="AB90" s="37">
        <f t="shared" si="4"/>
        <v>51</v>
      </c>
      <c r="AC90" s="37">
        <f>IFERROR(__xludf.DUMMYFUNCTION("iferror(COUNT(filter($O91:$O$392,$O91:$O$392&gt;$O90)))"),1.0)</f>
        <v>1</v>
      </c>
      <c r="AD90" s="40">
        <f t="shared" si="5"/>
        <v>0</v>
      </c>
      <c r="AE90" s="41">
        <f t="shared" si="6"/>
        <v>6</v>
      </c>
      <c r="AF90" s="30" t="str">
        <f>IFERROR(__xludf.DUMMYFUNCTION("iferror(join("","",index(sort(filter($F91:$F$393,$O91:$O$393&gt;$O90),2,false),0,1)))"),"Virginia")</f>
        <v>Virginia</v>
      </c>
      <c r="AG90" s="39">
        <f>IFERROR(__xludf.DUMMYFUNCTION("iferror($O90-max(filter($O90:$O$392,$E90:$E$392=$E$2)))"),1.0)</f>
        <v>1</v>
      </c>
      <c r="AH90" s="37">
        <f t="shared" si="7"/>
        <v>1</v>
      </c>
      <c r="AI90" s="37">
        <f>IFERROR(__xludf.DUMMYFUNCTION("iferror(COUNT(filter($O91:$O$392,$O91:$O$392&gt;$O90,$E90:$E$392=$E$2)))"),0.0)</f>
        <v>0</v>
      </c>
      <c r="AJ90" s="40">
        <f t="shared" si="8"/>
        <v>0</v>
      </c>
      <c r="AK90" s="41">
        <f>IFERROR(__xludf.DUMMYFUNCTION("iferror($O90-min(filter($O90:$O$392,$E90:$E$392=$E$2)))"),6.0)</f>
        <v>6</v>
      </c>
      <c r="AL90" s="30" t="str">
        <f>IFERROR(__xludf.DUMMYFUNCTION("iferror(join("","",index(sort(filter($F91:$F$392,$O91:$O$392&gt;$O90,$E91:$E$392=$E$2),2,false),0,1)))"),"")</f>
        <v/>
      </c>
      <c r="AM90" s="30" t="str">
        <f>IFERROR(__xludf.DUMMYFUNCTION("REGEXREPLACE(join("","",unique({let(conf_picked,filter(E$1:E89,D$1:D89=D90), byrow(unique(TRANSPOSe(Teams!$1:$1)),lambda(rw,if(ISERROR(match(rw,conf_picked,0)),rw,))));iferror(if(#REF!,,transpose(split(#REF!,"","",1,1))))})), ""^,"", """")"),"ACC,MAC,Pac12,Independent")</f>
        <v>ACC,MAC,Pac12,Independent</v>
      </c>
      <c r="AN90" s="39">
        <f>IFERROR(__xludf.DUMMYFUNCTION("iferror($O90-max(filter($O90:$O$392,arrayformula(isnumber(FIND($E90:$E$392,AM90))))))"),-1.0)</f>
        <v>-1</v>
      </c>
      <c r="AO90" s="37">
        <f t="array" ref="AO90">countifs($O$2:$O89,"&lt;"&amp;$O90,isnumber(FIND($E$2:$E89,AM90)),TRUE)</f>
        <v>19</v>
      </c>
      <c r="AP90" s="37">
        <f>IFERROR(__xludf.DUMMYFUNCTION("iferror(COUNT(filter($O91:$O$392,$O91:$O$392&gt;$O90,arrayformula(isnumber(FIND($E91:$E$392,AM90))))))"),1.0)</f>
        <v>1</v>
      </c>
      <c r="AQ90" s="40">
        <f t="shared" si="9"/>
        <v>0</v>
      </c>
      <c r="AR90" s="41">
        <f>IFERROR(__xludf.DUMMYFUNCTION("iferror($O90-min(filter($O90:$O$392,arrayformula(isnumber(FIND($E90:$E$392,AM90))))))"),8.0)</f>
        <v>8</v>
      </c>
      <c r="AS90" s="48" t="str">
        <f>IFERROR(__xludf.DUMMYFUNCTION("iferror(join("","",index(sort(filter($F91:$F$392,$O91:$O$392&gt;$O90,arrayformula(isnumber(FIND($E91:$E$392,AM90)))),2,false),0,1)))"),"Virginia")</f>
        <v>Virginia</v>
      </c>
    </row>
    <row r="91">
      <c r="A91" s="1">
        <f t="shared" si="10"/>
        <v>90</v>
      </c>
      <c r="B91" s="1">
        <f t="shared" si="12"/>
        <v>8</v>
      </c>
      <c r="C91" s="1">
        <v>6.0</v>
      </c>
      <c r="D91" s="56" t="str">
        <f>D80</f>
        <v>Justin</v>
      </c>
      <c r="E91" s="52" t="str">
        <f>if(F91&lt;&gt;"",VLOOKUP(F91,offset('Teams-Conference'!A:B,0,(counta('Draft Order'!B$2:B129)-10)*2),2,0),"")</f>
        <v>CUSA</v>
      </c>
      <c r="F91" s="1" t="s">
        <v>135</v>
      </c>
      <c r="H91" s="29">
        <f t="shared" si="1"/>
        <v>3</v>
      </c>
      <c r="I91" s="29">
        <f t="shared" si="2"/>
        <v>3</v>
      </c>
      <c r="J91" s="29">
        <f t="shared" si="11"/>
        <v>0</v>
      </c>
      <c r="K91" s="29">
        <f>countif(E72:E91,E93)</f>
        <v>1</v>
      </c>
      <c r="L91" s="29"/>
      <c r="M91" s="29">
        <f>IFERROR(__xludf.DUMMYFUNCTION("counta(iferror(filter(L$2:L90,E$2:E90=E91,L$2:L90&lt;L91)))"),0.0)</f>
        <v>0</v>
      </c>
      <c r="N91" s="29">
        <f>IFERROR(__xludf.DUMMYFUNCTION("counta(iferror(filter(L92:L$129,E92:E$129=E91,L92:L$131&gt;L91)))"),0.0)</f>
        <v>0</v>
      </c>
      <c r="O91" s="34">
        <f t="array" ref="O91:W91">XLOOKUP(F91,'Current Week'!B:B,'Current Week'!C:N)</f>
        <v>8</v>
      </c>
      <c r="P91" s="29">
        <v>4.0</v>
      </c>
      <c r="Q91" s="30" t="s">
        <v>248</v>
      </c>
      <c r="R91" s="30" t="s">
        <v>202</v>
      </c>
      <c r="S91" s="30"/>
      <c r="T91" s="30" t="s">
        <v>203</v>
      </c>
      <c r="U91" s="37" t="s">
        <v>203</v>
      </c>
      <c r="V91" s="37"/>
      <c r="W91" s="37">
        <v>9999.0</v>
      </c>
      <c r="X91" s="37"/>
      <c r="Y91" s="37"/>
      <c r="Z91" s="37"/>
      <c r="AA91" s="39">
        <f t="shared" si="3"/>
        <v>-1</v>
      </c>
      <c r="AB91" s="37">
        <f t="shared" si="4"/>
        <v>51</v>
      </c>
      <c r="AC91" s="37">
        <f>IFERROR(__xludf.DUMMYFUNCTION("iferror(COUNT(filter($O92:$O$392,$O92:$O$392&gt;$O91)))"),1.0)</f>
        <v>1</v>
      </c>
      <c r="AD91" s="40">
        <f t="shared" si="5"/>
        <v>0</v>
      </c>
      <c r="AE91" s="41">
        <f t="shared" si="6"/>
        <v>6</v>
      </c>
      <c r="AF91" s="30" t="str">
        <f>IFERROR(__xludf.DUMMYFUNCTION("iferror(join("","",index(sort(filter($F92:$F$393,$O92:$O$393&gt;$O91),2,false),0,1)))"),"Virginia")</f>
        <v>Virginia</v>
      </c>
      <c r="AG91" s="39">
        <f>IFERROR(__xludf.DUMMYFUNCTION("iferror($O91-max(filter($O91:$O$392,$E91:$E$392=$E$2)))"),1.0)</f>
        <v>1</v>
      </c>
      <c r="AH91" s="37">
        <f t="shared" si="7"/>
        <v>1</v>
      </c>
      <c r="AI91" s="37">
        <f>IFERROR(__xludf.DUMMYFUNCTION("iferror(COUNT(filter($O92:$O$392,$O92:$O$392&gt;$O91,$E91:$E$392=$E$2)))"),0.0)</f>
        <v>0</v>
      </c>
      <c r="AJ91" s="40">
        <f t="shared" si="8"/>
        <v>0</v>
      </c>
      <c r="AK91" s="41">
        <f>IFERROR(__xludf.DUMMYFUNCTION("iferror($O91-min(filter($O91:$O$392,$E91:$E$392=$E$2)))"),6.0)</f>
        <v>6</v>
      </c>
      <c r="AL91" s="30" t="str">
        <f>IFERROR(__xludf.DUMMYFUNCTION("iferror(join("","",index(sort(filter($F92:$F$392,$O92:$O$392&gt;$O91,$E92:$E$392=$E$2),2,false),0,1)))"),"")</f>
        <v/>
      </c>
      <c r="AM91" s="30" t="str">
        <f>IFERROR(__xludf.DUMMYFUNCTION("REGEXREPLACE(join("","",unique({let(conf_picked,filter(E$1:E90,D$1:D90=D91), byrow(unique(TRANSPOSe(Teams!$1:$1)),lambda(rw,if(ISERROR(match(rw,conf_picked,0)),rw,))));iferror(if(#REF!,,transpose(split(#REF!,"","",1,1))))})), ""^,"", """")"),"ACC,CUSA,SEC,Independent")</f>
        <v>ACC,CUSA,SEC,Independent</v>
      </c>
      <c r="AN91" s="39">
        <f>IFERROR(__xludf.DUMMYFUNCTION("iferror($O91-max(filter($O91:$O$392,arrayformula(isnumber(FIND($E91:$E$392,AM91))))))"),-1.0)</f>
        <v>-1</v>
      </c>
      <c r="AO91" s="37">
        <f t="array" ref="AO91">countifs($O$2:$O90,"&lt;"&amp;$O91,isnumber(FIND($E$2:$E90,AM91)),TRUE)</f>
        <v>8</v>
      </c>
      <c r="AP91" s="37">
        <f>IFERROR(__xludf.DUMMYFUNCTION("iferror(COUNT(filter($O92:$O$392,$O92:$O$392&gt;$O91,arrayformula(isnumber(FIND($E92:$E$392,AM91))))))"),1.0)</f>
        <v>1</v>
      </c>
      <c r="AQ91" s="40">
        <f t="shared" si="9"/>
        <v>0</v>
      </c>
      <c r="AR91" s="41">
        <f>IFERROR(__xludf.DUMMYFUNCTION("iferror($O91-min(filter($O91:$O$392,arrayformula(isnumber(FIND($E91:$E$392,AM91))))))"),7.0)</f>
        <v>7</v>
      </c>
      <c r="AS91" s="48" t="str">
        <f>IFERROR(__xludf.DUMMYFUNCTION("iferror(join("","",index(sort(filter($F92:$F$392,$O92:$O$392&gt;$O91,arrayformula(isnumber(FIND($E92:$E$392,AM91)))),2,false),0,1)))"),"Virginia")</f>
        <v>Virginia</v>
      </c>
    </row>
    <row r="92">
      <c r="A92" s="1">
        <f t="shared" si="10"/>
        <v>91</v>
      </c>
      <c r="B92" s="1">
        <f t="shared" si="12"/>
        <v>8</v>
      </c>
      <c r="C92" s="1">
        <v>7.0</v>
      </c>
      <c r="D92" s="56" t="str">
        <f>D79</f>
        <v>Jeannine</v>
      </c>
      <c r="E92" s="52" t="str">
        <f>if(F92&lt;&gt;"",VLOOKUP(F92,offset('Teams-Conference'!A:B,0,(counta('Draft Order'!B$2:B129)-10)*2),2,0),"")</f>
        <v>ACC</v>
      </c>
      <c r="F92" s="1" t="s">
        <v>93</v>
      </c>
      <c r="H92" s="29">
        <f t="shared" si="1"/>
        <v>2</v>
      </c>
      <c r="I92" s="29">
        <f t="shared" si="2"/>
        <v>2</v>
      </c>
      <c r="J92" s="29">
        <f t="shared" si="11"/>
        <v>4</v>
      </c>
      <c r="K92" s="30"/>
      <c r="L92" s="29"/>
      <c r="M92" s="29">
        <f>IFERROR(__xludf.DUMMYFUNCTION("counta(iferror(filter(L$2:L91,E$2:E91=E92,L$2:L91&lt;L92)))"),0.0)</f>
        <v>0</v>
      </c>
      <c r="N92" s="29">
        <f>IFERROR(__xludf.DUMMYFUNCTION("counta(iferror(filter(L93:L$129,E93:E$129=E92,L93:L$131&gt;L92)))"),0.0)</f>
        <v>0</v>
      </c>
      <c r="O92" s="34">
        <f t="array" ref="O92:W92">XLOOKUP(F92,'Current Week'!B:B,'Current Week'!C:N)</f>
        <v>9</v>
      </c>
      <c r="P92" s="29">
        <v>3.0</v>
      </c>
      <c r="Q92" s="30" t="s">
        <v>248</v>
      </c>
      <c r="R92" s="30" t="s">
        <v>208</v>
      </c>
      <c r="S92" s="30" t="s">
        <v>209</v>
      </c>
      <c r="T92" s="30">
        <v>29.0</v>
      </c>
      <c r="U92" s="37">
        <v>54.0</v>
      </c>
      <c r="V92" s="37" t="s">
        <v>38</v>
      </c>
      <c r="W92" s="37" t="s">
        <v>209</v>
      </c>
      <c r="X92" s="37"/>
      <c r="Y92" s="37"/>
      <c r="Z92" s="37"/>
      <c r="AA92" s="39">
        <f t="shared" si="3"/>
        <v>0</v>
      </c>
      <c r="AB92" s="37">
        <f t="shared" si="4"/>
        <v>60</v>
      </c>
      <c r="AC92" s="37">
        <f>IFERROR(__xludf.DUMMYFUNCTION("iferror(COUNT(filter($O93:$O$392,$O93:$O$392&gt;$O92)))"),0.0)</f>
        <v>0</v>
      </c>
      <c r="AD92" s="40">
        <f t="shared" si="5"/>
        <v>1</v>
      </c>
      <c r="AE92" s="41">
        <f t="shared" si="6"/>
        <v>7</v>
      </c>
      <c r="AF92" s="30" t="str">
        <f>IFERROR(__xludf.DUMMYFUNCTION("iferror(join("","",index(sort(filter($F93:$F$393,$O93:$O$393&gt;$O92),2,false),0,1)))"),"")</f>
        <v/>
      </c>
      <c r="AG92" s="39">
        <f>IFERROR(__xludf.DUMMYFUNCTION("iferror($O92-max(filter($O92:$O$392,$E92:$E$392=$E$2)))"),2.0)</f>
        <v>2</v>
      </c>
      <c r="AH92" s="37">
        <f t="shared" si="7"/>
        <v>1</v>
      </c>
      <c r="AI92" s="37">
        <f>IFERROR(__xludf.DUMMYFUNCTION("iferror(COUNT(filter($O93:$O$392,$O93:$O$392&gt;$O92,$E92:$E$392=$E$2)))"),0.0)</f>
        <v>0</v>
      </c>
      <c r="AJ92" s="40">
        <f t="shared" si="8"/>
        <v>0</v>
      </c>
      <c r="AK92" s="41">
        <f>IFERROR(__xludf.DUMMYFUNCTION("iferror($O92-min(filter($O92:$O$392,$E92:$E$392=$E$2)))"),7.0)</f>
        <v>7</v>
      </c>
      <c r="AL92" s="30" t="str">
        <f>IFERROR(__xludf.DUMMYFUNCTION("iferror(join("","",index(sort(filter($F93:$F$392,$O93:$O$392&gt;$O92,$E93:$E$392=$E$2),2,false),0,1)))"),"")</f>
        <v/>
      </c>
      <c r="AM92" s="30" t="str">
        <f>IFERROR(__xludf.DUMMYFUNCTION("REGEXREPLACE(join("","",unique({let(conf_picked,filter(E$1:E91,D$1:D91=D92), byrow(unique(TRANSPOSe(Teams!$1:$1)),lambda(rw,if(ISERROR(match(rw,conf_picked,0)),rw,))));iferror(if(#REF!,,transpose(split(#REF!,"","",1,1))))})), ""^,"", """")"),"ACC,MWC,SEC,Independent")</f>
        <v>ACC,MWC,SEC,Independent</v>
      </c>
      <c r="AN92" s="39">
        <f>IFERROR(__xludf.DUMMYFUNCTION("iferror($O92-max(filter($O92:$O$392,arrayformula(isnumber(FIND($E92:$E$392,AM92))))))"),0.0)</f>
        <v>0</v>
      </c>
      <c r="AO92" s="37">
        <f t="array" ref="AO92">countifs($O$2:$O91,"&lt;"&amp;$O92,isnumber(FIND($E$2:$E91,AM92)),TRUE)</f>
        <v>13</v>
      </c>
      <c r="AP92" s="37">
        <f>IFERROR(__xludf.DUMMYFUNCTION("iferror(COUNT(filter($O93:$O$392,$O93:$O$392&gt;$O92,arrayformula(isnumber(FIND($E93:$E$392,AM92))))))"),0.0)</f>
        <v>0</v>
      </c>
      <c r="AQ92" s="40">
        <f t="shared" si="9"/>
        <v>1</v>
      </c>
      <c r="AR92" s="41">
        <f>IFERROR(__xludf.DUMMYFUNCTION("iferror($O92-min(filter($O92:$O$392,arrayformula(isnumber(FIND($E92:$E$392,AM92))))))"),7.0)</f>
        <v>7</v>
      </c>
      <c r="AS92" s="48" t="str">
        <f>IFERROR(__xludf.DUMMYFUNCTION("iferror(join("","",index(sort(filter($F93:$F$392,$O93:$O$392&gt;$O92,arrayformula(isnumber(FIND($E93:$E$392,AM92)))),2,false),0,1)))"),"")</f>
        <v/>
      </c>
    </row>
    <row r="93">
      <c r="A93" s="1">
        <f t="shared" si="10"/>
        <v>92</v>
      </c>
      <c r="B93" s="1">
        <f t="shared" si="12"/>
        <v>8</v>
      </c>
      <c r="C93" s="1">
        <v>8.0</v>
      </c>
      <c r="D93" s="56" t="str">
        <f>D78</f>
        <v>Nico</v>
      </c>
      <c r="E93" s="52" t="str">
        <f>if(F93&lt;&gt;"",VLOOKUP(F93,offset('Teams-Conference'!A:B,0,(counta('Draft Order'!B$2:B129)-10)*2),2,0),"")</f>
        <v>CUSA</v>
      </c>
      <c r="F93" s="168" t="s">
        <v>127</v>
      </c>
      <c r="H93" s="29">
        <f t="shared" si="1"/>
        <v>2</v>
      </c>
      <c r="I93" s="29">
        <f t="shared" si="2"/>
        <v>2</v>
      </c>
      <c r="J93" s="29">
        <f t="shared" si="11"/>
        <v>1</v>
      </c>
      <c r="K93" s="29">
        <f t="shared" ref="K93:K98" si="27">countif(E73:E93,E94)</f>
        <v>2</v>
      </c>
      <c r="L93" s="29"/>
      <c r="M93" s="29">
        <f>IFERROR(__xludf.DUMMYFUNCTION("counta(iferror(filter(L$2:L92,E$2:E92=E93,L$2:L92&lt;L93)))"),0.0)</f>
        <v>0</v>
      </c>
      <c r="N93" s="29">
        <f>IFERROR(__xludf.DUMMYFUNCTION("counta(iferror(filter(L94:L$129,E94:E$129=E93,L94:L$131&gt;L93)))"),0.0)</f>
        <v>0</v>
      </c>
      <c r="O93" s="34">
        <f t="array" ref="O93:W93">XLOOKUP(F93,'Current Week'!B:B,'Current Week'!C:N)</f>
        <v>4</v>
      </c>
      <c r="P93" s="29">
        <v>8.0</v>
      </c>
      <c r="Q93" s="30" t="s">
        <v>267</v>
      </c>
      <c r="R93" s="30" t="s">
        <v>202</v>
      </c>
      <c r="S93" s="30"/>
      <c r="T93" s="30" t="s">
        <v>203</v>
      </c>
      <c r="U93" s="37" t="s">
        <v>203</v>
      </c>
      <c r="V93" s="37"/>
      <c r="W93" s="37">
        <v>9999.0</v>
      </c>
      <c r="X93" s="37"/>
      <c r="Y93" s="37"/>
      <c r="Z93" s="37"/>
      <c r="AA93" s="39">
        <f t="shared" si="3"/>
        <v>-4</v>
      </c>
      <c r="AB93" s="37">
        <f t="shared" si="4"/>
        <v>5</v>
      </c>
      <c r="AC93" s="37">
        <f>IFERROR(__xludf.DUMMYFUNCTION("iferror(COUNT(filter($O94:$O$392,$O94:$O$392&gt;$O93)))"),18.0)</f>
        <v>18</v>
      </c>
      <c r="AD93" s="40">
        <f t="shared" si="5"/>
        <v>0</v>
      </c>
      <c r="AE93" s="41">
        <f t="shared" si="6"/>
        <v>2</v>
      </c>
      <c r="AF93" s="30" t="str">
        <f>IFERROR(__xludf.DUMMYFUNCTION("iferror(join("","",index(sort(filter($F94:$F$393,$O94:$O$393&gt;$O93),2,false),0,1)))"),"Charlotte,Pittsburgh,Ball State,Coastal Carolina,Missouri,Boston College,West Virginia,Mississippi State,Tennessee,Oregon State,Kent State,Kentucky,Central Michigan,Duke,San José State,North Carolina,Louisville,Illinois")</f>
        <v>Charlotte,Pittsburgh,Ball State,Coastal Carolina,Missouri,Boston College,West Virginia,Mississippi State,Tennessee,Oregon State,Kent State,Kentucky,Central Michigan,Duke,San José State,North Carolina,Louisville,Illinois</v>
      </c>
      <c r="AG93" s="39">
        <f>IFERROR(__xludf.DUMMYFUNCTION("iferror($O93-max(filter($O93:$O$392,$E93:$E$392=$E$2)))"),-3.0)</f>
        <v>-3</v>
      </c>
      <c r="AH93" s="37">
        <f t="shared" si="7"/>
        <v>0</v>
      </c>
      <c r="AI93" s="37">
        <f>IFERROR(__xludf.DUMMYFUNCTION("iferror(COUNT(filter($O94:$O$392,$O94:$O$392&gt;$O93,$E93:$E$392=$E$2)))"),0.0)</f>
        <v>0</v>
      </c>
      <c r="AJ93" s="40">
        <f t="shared" si="8"/>
        <v>0</v>
      </c>
      <c r="AK93" s="41">
        <f>IFERROR(__xludf.DUMMYFUNCTION("iferror($O93-min(filter($O93:$O$392,$E93:$E$392=$E$2)))"),2.0)</f>
        <v>2</v>
      </c>
      <c r="AL93" s="30" t="str">
        <f>IFERROR(__xludf.DUMMYFUNCTION("iferror(join("","",index(sort(filter($F94:$F$392,$O94:$O$392&gt;$O93,$E94:$E$392=$E$2),2,false),0,1)))"),"Missouri,Mississippi State,Tennessee,Kentucky")</f>
        <v>Missouri,Mississippi State,Tennessee,Kentucky</v>
      </c>
      <c r="AM93" s="30" t="str">
        <f>IFERROR(__xludf.DUMMYFUNCTION("REGEXREPLACE(join("","",unique({let(conf_picked,filter(E$1:E92,D$1:D92=D93), byrow(unique(TRANSPOSe(Teams!$1:$1)),lambda(rw,if(ISERROR(match(rw,conf_picked,0)),rw,))));iferror(if(#REF!,,transpose(split(#REF!,"","",1,1))))})), ""^,"", """")"),"ACC,Big 12,CUSA,Independent")</f>
        <v>ACC,Big 12,CUSA,Independent</v>
      </c>
      <c r="AN93" s="39">
        <f>IFERROR(__xludf.DUMMYFUNCTION("iferror($O93-max(filter($O93:$O$392,arrayformula(isnumber(FIND($E93:$E$392,AM93))))))"),-4.0)</f>
        <v>-4</v>
      </c>
      <c r="AO93" s="37">
        <f t="array" ref="AO93">countifs($O$2:$O92,"&lt;"&amp;$O93,isnumber(FIND($E$2:$E92,AM93)),TRUE)</f>
        <v>0</v>
      </c>
      <c r="AP93" s="37">
        <f>IFERROR(__xludf.DUMMYFUNCTION("iferror(COUNT(filter($O94:$O$392,$O94:$O$392&gt;$O93,arrayformula(isnumber(FIND($E94:$E$392,AM93))))))"),7.0)</f>
        <v>7</v>
      </c>
      <c r="AQ93" s="40">
        <f t="shared" si="9"/>
        <v>0</v>
      </c>
      <c r="AR93" s="41">
        <f>IFERROR(__xludf.DUMMYFUNCTION("iferror($O93-min(filter($O93:$O$392,arrayformula(isnumber(FIND($E93:$E$392,AM93))))))"),3.0)</f>
        <v>3</v>
      </c>
      <c r="AS93" s="48" t="str">
        <f>IFERROR(__xludf.DUMMYFUNCTION("iferror(join("","",index(sort(filter($F94:$F$392,$O94:$O$392&gt;$O93,arrayformula(isnumber(FIND($E94:$E$392,AM93)))),2,false),0,1)))"),"Charlotte,Pittsburgh,Boston College,West Virginia,Duke,North Carolina,Louisville")</f>
        <v>Charlotte,Pittsburgh,Boston College,West Virginia,Duke,North Carolina,Louisville</v>
      </c>
    </row>
    <row r="94">
      <c r="A94" s="1">
        <f t="shared" si="10"/>
        <v>93</v>
      </c>
      <c r="B94" s="1">
        <f t="shared" si="12"/>
        <v>8</v>
      </c>
      <c r="C94" s="1">
        <v>9.0</v>
      </c>
      <c r="D94" s="56" t="str">
        <f>D77</f>
        <v>Janice/Mike</v>
      </c>
      <c r="E94" s="52" t="str">
        <f>if(F94&lt;&gt;"",VLOOKUP(F94,offset('Teams-Conference'!A:B,0,(counta('Draft Order'!B$2:B129)-10)*2),2,0),"")</f>
        <v>CUSA</v>
      </c>
      <c r="F94" t="s">
        <v>132</v>
      </c>
      <c r="H94" s="29">
        <f t="shared" si="1"/>
        <v>1</v>
      </c>
      <c r="I94" s="29">
        <f t="shared" si="2"/>
        <v>1</v>
      </c>
      <c r="J94" s="29">
        <f t="shared" si="11"/>
        <v>2</v>
      </c>
      <c r="K94" s="29">
        <f t="shared" si="27"/>
        <v>5</v>
      </c>
      <c r="L94" s="29"/>
      <c r="M94" s="29">
        <f>IFERROR(__xludf.DUMMYFUNCTION("counta(iferror(filter(L$2:L93,E$2:E93=E94,L$2:L93&lt;L94)))"),0.0)</f>
        <v>0</v>
      </c>
      <c r="N94" s="29">
        <f>IFERROR(__xludf.DUMMYFUNCTION("counta(iferror(filter(L95:L$129,E95:E$129=E94,L95:L$131&gt;L94)))"),0.0)</f>
        <v>0</v>
      </c>
      <c r="O94" s="34">
        <f t="array" ref="O94:W94">XLOOKUP(F94,'Current Week'!B:B,'Current Week'!C:N)</f>
        <v>7</v>
      </c>
      <c r="P94" s="29">
        <v>5.0</v>
      </c>
      <c r="Q94" s="30" t="s">
        <v>248</v>
      </c>
      <c r="R94" s="30" t="s">
        <v>202</v>
      </c>
      <c r="S94" s="30"/>
      <c r="T94" s="30" t="s">
        <v>203</v>
      </c>
      <c r="U94" s="37" t="s">
        <v>203</v>
      </c>
      <c r="V94" s="37"/>
      <c r="W94" s="37">
        <v>9999.0</v>
      </c>
      <c r="X94" s="37"/>
      <c r="Y94" s="37"/>
      <c r="Z94" s="37"/>
      <c r="AA94" s="39">
        <f t="shared" si="3"/>
        <v>-1</v>
      </c>
      <c r="AB94" s="37">
        <f t="shared" si="4"/>
        <v>36</v>
      </c>
      <c r="AC94" s="37">
        <f>IFERROR(__xludf.DUMMYFUNCTION("iferror(COUNT(filter($O95:$O$392,$O95:$O$392&gt;$O94)))"),2.0)</f>
        <v>2</v>
      </c>
      <c r="AD94" s="40">
        <f t="shared" si="5"/>
        <v>0</v>
      </c>
      <c r="AE94" s="41">
        <f t="shared" si="6"/>
        <v>5</v>
      </c>
      <c r="AF94" s="30" t="str">
        <f>IFERROR(__xludf.DUMMYFUNCTION("iferror(join("","",index(sort(filter($F95:$F$393,$O95:$O$393&gt;$O94),2,false),0,1)))"),"Central Michigan,Louisville")</f>
        <v>Central Michigan,Louisville</v>
      </c>
      <c r="AG94" s="39">
        <f>IFERROR(__xludf.DUMMYFUNCTION("iferror($O94-max(filter($O94:$O$392,$E94:$E$392=$E$2)))"),0.0)</f>
        <v>0</v>
      </c>
      <c r="AH94" s="37">
        <f t="shared" si="7"/>
        <v>0</v>
      </c>
      <c r="AI94" s="37">
        <f>IFERROR(__xludf.DUMMYFUNCTION("iferror(COUNT(filter($O95:$O$392,$O95:$O$392&gt;$O94,$E94:$E$392=$E$2)))"),0.0)</f>
        <v>0</v>
      </c>
      <c r="AJ94" s="40">
        <f t="shared" si="8"/>
        <v>1</v>
      </c>
      <c r="AK94" s="41">
        <f>IFERROR(__xludf.DUMMYFUNCTION("iferror($O94-min(filter($O94:$O$392,$E94:$E$392=$E$2)))"),5.0)</f>
        <v>5</v>
      </c>
      <c r="AL94" s="30" t="str">
        <f>IFERROR(__xludf.DUMMYFUNCTION("iferror(join("","",index(sort(filter($F95:$F$392,$O95:$O$392&gt;$O94,$E95:$E$392=$E$2),2,false),0,1)))"),"")</f>
        <v/>
      </c>
      <c r="AM94" s="30" t="str">
        <f>IFERROR(__xludf.DUMMYFUNCTION("REGEXREPLACE(join("","",unique({let(conf_picked,filter(E$1:E93,D$1:D93=D94), byrow(unique(TRANSPOSe(Teams!$1:$1)),lambda(rw,if(ISERROR(match(rw,conf_picked,0)),rw,))));iferror(if(#REF!,,transpose(split(#REF!,"","",1,1))))})), ""^,"", """")"),"ACC,CUSA,SEC,Independent")</f>
        <v>ACC,CUSA,SEC,Independent</v>
      </c>
      <c r="AN94" s="39">
        <f>IFERROR(__xludf.DUMMYFUNCTION("iferror($O94-max(filter($O94:$O$392,arrayformula(isnumber(FIND($E94:$E$392,AM94))))))"),-1.0)</f>
        <v>-1</v>
      </c>
      <c r="AO94" s="37">
        <f t="array" ref="AO94">countifs($O$2:$O93,"&lt;"&amp;$O94,isnumber(FIND($E$2:$E93,AM94)),TRUE)</f>
        <v>7</v>
      </c>
      <c r="AP94" s="37">
        <f>IFERROR(__xludf.DUMMYFUNCTION("iferror(COUNT(filter($O95:$O$392,$O95:$O$392&gt;$O94,arrayformula(isnumber(FIND($E95:$E$392,AM94))))))"),1.0)</f>
        <v>1</v>
      </c>
      <c r="AQ94" s="40">
        <f t="shared" si="9"/>
        <v>0</v>
      </c>
      <c r="AR94" s="41">
        <f>IFERROR(__xludf.DUMMYFUNCTION("iferror($O94-min(filter($O94:$O$392,arrayformula(isnumber(FIND($E94:$E$392,AM94))))))"),6.0)</f>
        <v>6</v>
      </c>
      <c r="AS94" s="48" t="str">
        <f>IFERROR(__xludf.DUMMYFUNCTION("iferror(join("","",index(sort(filter($F95:$F$392,$O95:$O$392&gt;$O94,arrayformula(isnumber(FIND($E95:$E$392,AM94)))),2,false),0,1)))"),"Louisville")</f>
        <v>Louisville</v>
      </c>
    </row>
    <row r="95">
      <c r="A95" s="1">
        <f t="shared" si="10"/>
        <v>94</v>
      </c>
      <c r="B95" s="1">
        <f t="shared" si="12"/>
        <v>8</v>
      </c>
      <c r="C95" s="1">
        <v>10.0</v>
      </c>
      <c r="D95" s="51" t="str">
        <f>D76</f>
        <v>Gary</v>
      </c>
      <c r="E95" s="52" t="str">
        <f>if(F95&lt;&gt;"",VLOOKUP(F95,offset('Teams-Conference'!A:B,0,(counta('Draft Order'!B$2:B129)-10)*2),2,0),"")</f>
        <v>ACC</v>
      </c>
      <c r="F95" t="s">
        <v>91</v>
      </c>
      <c r="H95" s="29">
        <f t="shared" si="1"/>
        <v>1</v>
      </c>
      <c r="I95" s="29">
        <f t="shared" si="2"/>
        <v>3</v>
      </c>
      <c r="J95" s="29">
        <f t="shared" si="11"/>
        <v>5</v>
      </c>
      <c r="K95" s="29">
        <f t="shared" si="27"/>
        <v>3</v>
      </c>
      <c r="L95" s="29"/>
      <c r="M95" s="29">
        <f>IFERROR(__xludf.DUMMYFUNCTION("counta(iferror(filter(L$2:L94,E$2:E94=E95,L$2:L94&lt;L95)))"),0.0)</f>
        <v>0</v>
      </c>
      <c r="N95" s="29">
        <f>IFERROR(__xludf.DUMMYFUNCTION("counta(iferror(filter(L96:L$129,E96:E$129=E95,L96:L$131&gt;L95)))"),0.0)</f>
        <v>0</v>
      </c>
      <c r="O95" s="34">
        <f t="array" ref="O95:W95">XLOOKUP(F95,'Current Week'!B:B,'Current Week'!C:N)</f>
        <v>7</v>
      </c>
      <c r="P95" s="29">
        <v>5.0</v>
      </c>
      <c r="Q95" s="30" t="s">
        <v>201</v>
      </c>
      <c r="R95" s="30" t="s">
        <v>202</v>
      </c>
      <c r="S95" s="30"/>
      <c r="T95" s="30" t="s">
        <v>203</v>
      </c>
      <c r="U95" s="37" t="s">
        <v>203</v>
      </c>
      <c r="V95" s="37"/>
      <c r="W95" s="37">
        <v>9999.0</v>
      </c>
      <c r="X95" s="37"/>
      <c r="Y95" s="37"/>
      <c r="Z95" s="37"/>
      <c r="AA95" s="39">
        <f t="shared" si="3"/>
        <v>-1</v>
      </c>
      <c r="AB95" s="37">
        <f t="shared" si="4"/>
        <v>36</v>
      </c>
      <c r="AC95" s="37">
        <f>IFERROR(__xludf.DUMMYFUNCTION("iferror(COUNT(filter($O96:$O$392,$O96:$O$392&gt;$O95)))"),2.0)</f>
        <v>2</v>
      </c>
      <c r="AD95" s="40">
        <f t="shared" si="5"/>
        <v>0</v>
      </c>
      <c r="AE95" s="41">
        <f t="shared" si="6"/>
        <v>5</v>
      </c>
      <c r="AF95" s="30" t="str">
        <f>IFERROR(__xludf.DUMMYFUNCTION("iferror(join("","",index(sort(filter($F96:$F$393,$O96:$O$393&gt;$O95),2,false),0,1)))"),"Central Michigan,Louisville")</f>
        <v>Central Michigan,Louisville</v>
      </c>
      <c r="AG95" s="39">
        <f>IFERROR(__xludf.DUMMYFUNCTION("iferror($O95-max(filter($O95:$O$392,$E95:$E$392=$E$2)))"),0.0)</f>
        <v>0</v>
      </c>
      <c r="AH95" s="37">
        <f t="shared" si="7"/>
        <v>0</v>
      </c>
      <c r="AI95" s="37">
        <f>IFERROR(__xludf.DUMMYFUNCTION("iferror(COUNT(filter($O96:$O$392,$O96:$O$392&gt;$O95,$E95:$E$392=$E$2)))"),0.0)</f>
        <v>0</v>
      </c>
      <c r="AJ95" s="40">
        <f t="shared" si="8"/>
        <v>1</v>
      </c>
      <c r="AK95" s="41">
        <f>IFERROR(__xludf.DUMMYFUNCTION("iferror($O95-min(filter($O95:$O$392,$E95:$E$392=$E$2)))"),5.0)</f>
        <v>5</v>
      </c>
      <c r="AL95" s="30" t="str">
        <f>IFERROR(__xludf.DUMMYFUNCTION("iferror(join("","",index(sort(filter($F96:$F$392,$O96:$O$392&gt;$O95,$E96:$E$392=$E$2),2,false),0,1)))"),"")</f>
        <v/>
      </c>
      <c r="AM95" s="30" t="str">
        <f>IFERROR(__xludf.DUMMYFUNCTION("REGEXREPLACE(join("","",unique({let(conf_picked,filter(E$1:E94,D$1:D94=D95), byrow(unique(TRANSPOSe(Teams!$1:$1)),lambda(rw,if(ISERROR(match(rw,conf_picked,0)),rw,))));iferror(if(#REF!,,transpose(split(#REF!,"","",1,1))))})), ""^,"", """")"),"ACC,Big Ten,SEC,Independent")</f>
        <v>ACC,Big Ten,SEC,Independent</v>
      </c>
      <c r="AN95" s="39">
        <f>IFERROR(__xludf.DUMMYFUNCTION("iferror($O95-max(filter($O95:$O$392,arrayformula(isnumber(FIND($E95:$E$392,AM95))))))"),-1.0)</f>
        <v>-1</v>
      </c>
      <c r="AO95" s="37">
        <f t="array" ref="AO95">countifs($O$2:$O94,"&lt;"&amp;$O95,isnumber(FIND($E$2:$E94,AM95)),TRUE)</f>
        <v>8</v>
      </c>
      <c r="AP95" s="37">
        <f>IFERROR(__xludf.DUMMYFUNCTION("iferror(COUNT(filter($O96:$O$392,$O96:$O$392&gt;$O95,arrayformula(isnumber(FIND($E96:$E$392,AM95))))))"),1.0)</f>
        <v>1</v>
      </c>
      <c r="AQ95" s="40">
        <f t="shared" si="9"/>
        <v>0</v>
      </c>
      <c r="AR95" s="41">
        <f>IFERROR(__xludf.DUMMYFUNCTION("iferror($O95-min(filter($O95:$O$392,arrayformula(isnumber(FIND($E95:$E$392,AM95))))))"),5.0)</f>
        <v>5</v>
      </c>
      <c r="AS95" s="48" t="str">
        <f>IFERROR(__xludf.DUMMYFUNCTION("iferror(join("","",index(sort(filter($F96:$F$392,$O96:$O$392&gt;$O95,arrayformula(isnumber(FIND($E96:$E$392,AM95)))),2,false),0,1)))"),"Louisville")</f>
        <v>Louisville</v>
      </c>
    </row>
    <row r="96">
      <c r="A96" s="1">
        <f t="shared" si="10"/>
        <v>95</v>
      </c>
      <c r="B96" s="1">
        <f t="shared" si="12"/>
        <v>8</v>
      </c>
      <c r="C96" s="1">
        <v>11.0</v>
      </c>
      <c r="D96" s="51" t="str">
        <f>D75</f>
        <v>Nick A.</v>
      </c>
      <c r="E96" s="52" t="str">
        <f>if(F96&lt;&gt;"",VLOOKUP(F96,offset('Teams-Conference'!A:B,0,(counta('Draft Order'!B$2:B129)-10)*2),2,0),"")</f>
        <v>CUSA</v>
      </c>
      <c r="F96" s="1" t="s">
        <v>129</v>
      </c>
      <c r="H96" s="29">
        <f t="shared" si="1"/>
        <v>0</v>
      </c>
      <c r="I96" s="29">
        <f t="shared" si="2"/>
        <v>0</v>
      </c>
      <c r="J96" s="29">
        <f t="shared" si="11"/>
        <v>3</v>
      </c>
      <c r="K96" s="29">
        <f t="shared" si="27"/>
        <v>0</v>
      </c>
      <c r="L96" s="29"/>
      <c r="M96" s="29">
        <f>IFERROR(__xludf.DUMMYFUNCTION("counta(iferror(filter(L$2:L95,E$2:E95=E96,L$2:L95&lt;L96)))"),0.0)</f>
        <v>0</v>
      </c>
      <c r="N96" s="29">
        <f>IFERROR(__xludf.DUMMYFUNCTION("counta(iferror(filter(L97:L$129,E97:E$129=E96,L97:L$131&gt;L96)))"),0.0)</f>
        <v>0</v>
      </c>
      <c r="O96" s="34">
        <f t="array" ref="O96:W96">XLOOKUP(F96,'Current Week'!B:B,'Current Week'!C:N)</f>
        <v>1</v>
      </c>
      <c r="P96" s="29">
        <v>11.0</v>
      </c>
      <c r="Q96" s="30" t="s">
        <v>248</v>
      </c>
      <c r="R96" s="30" t="s">
        <v>202</v>
      </c>
      <c r="S96" s="30"/>
      <c r="T96" s="30" t="s">
        <v>203</v>
      </c>
      <c r="U96" s="37" t="s">
        <v>203</v>
      </c>
      <c r="V96" s="37"/>
      <c r="W96" s="37">
        <v>9999.0</v>
      </c>
      <c r="X96" s="37"/>
      <c r="Y96" s="37"/>
      <c r="Z96" s="37"/>
      <c r="AA96" s="39">
        <f t="shared" si="3"/>
        <v>-7</v>
      </c>
      <c r="AB96" s="37">
        <f t="shared" si="4"/>
        <v>0</v>
      </c>
      <c r="AC96" s="37">
        <f>IFERROR(__xludf.DUMMYFUNCTION("iferror(COUNT(filter($O97:$O$392,$O97:$O$392&gt;$O96)))"),31.0)</f>
        <v>31</v>
      </c>
      <c r="AD96" s="40">
        <f t="shared" si="5"/>
        <v>0</v>
      </c>
      <c r="AE96" s="41">
        <f t="shared" si="6"/>
        <v>0</v>
      </c>
      <c r="AF96" s="30" t="str">
        <f>IFERROR(__xludf.DUMMYFUNCTION("iferror(join("","",index(sort(filter($F97:$F$393,$O97:$O$393&gt;$O96),2,false),0,1)))"),"Ball State,Coastal Carolina,New Mexico State,Missouri,Boston College,West Virginia,Mississippi State,Tennessee,Oregon State,Kent State,Kentucky,Colorado State,Central Michigan,UConn,South Carolina,Kansas,South Alabama,Duke,San José State,North Carolina,Ar"&amp;"kansas,Maryland,Bowling Green,UTSA,Louisville,Illinois,Ole Miss,Georgia Tech,Rice,Vanderbilt,Rutgers")</f>
        <v>Ball State,Coastal Carolina,New Mexico State,Missouri,Boston College,West Virginia,Mississippi State,Tennessee,Oregon State,Kent State,Kentucky,Colorado State,Central Michigan,UConn,South Carolina,Kansas,South Alabama,Duke,San José State,North Carolina,Arkansas,Maryland,Bowling Green,UTSA,Louisville,Illinois,Ole Miss,Georgia Tech,Rice,Vanderbilt,Rutgers</v>
      </c>
      <c r="AG96" s="39">
        <f>IFERROR(__xludf.DUMMYFUNCTION("iferror($O96-max(filter($O96:$O$392,$E96:$E$392=$E$2)))"),-6.0)</f>
        <v>-6</v>
      </c>
      <c r="AH96" s="37">
        <f t="shared" si="7"/>
        <v>0</v>
      </c>
      <c r="AI96" s="37">
        <f>IFERROR(__xludf.DUMMYFUNCTION("iferror(COUNT(filter($O97:$O$392,$O97:$O$392&gt;$O96,$E96:$E$392=$E$2)))"),0.0)</f>
        <v>0</v>
      </c>
      <c r="AJ96" s="40">
        <f t="shared" si="8"/>
        <v>0</v>
      </c>
      <c r="AK96" s="41">
        <f>IFERROR(__xludf.DUMMYFUNCTION("iferror($O96-min(filter($O96:$O$392,$E96:$E$392=$E$2)))"),-1.0)</f>
        <v>-1</v>
      </c>
      <c r="AL96" s="30" t="str">
        <f>IFERROR(__xludf.DUMMYFUNCTION("iferror(join("","",index(sort(filter($F97:$F$392,$O97:$O$392&gt;$O96,$E97:$E$392=$E$2),2,false),0,1)))"),"Missouri,Mississippi State,Tennessee,Kentucky,South Carolina,Arkansas,Ole Miss,Vanderbilt")</f>
        <v>Missouri,Mississippi State,Tennessee,Kentucky,South Carolina,Arkansas,Ole Miss,Vanderbilt</v>
      </c>
      <c r="AM96" s="30" t="str">
        <f>IFERROR(__xludf.DUMMYFUNCTION("REGEXREPLACE(join("","",unique({let(conf_picked,filter(E$1:E95,D$1:D95=D96), byrow(unique(TRANSPOSe(Teams!$1:$1)),lambda(rw,if(ISERROR(match(rw,conf_picked,0)),rw,))));iferror(if(#REF!,,transpose(split(#REF!,"","",1,1))))})), ""^,"", """")"),"CUSA,MAC,Sun Belt,Independent")</f>
        <v>CUSA,MAC,Sun Belt,Independent</v>
      </c>
      <c r="AN96" s="39">
        <f>IFERROR(__xludf.DUMMYFUNCTION("iferror($O96-max(filter($O96:$O$392,arrayformula(isnumber(FIND($E96:$E$392,AM96))))))"),-7.0)</f>
        <v>-7</v>
      </c>
      <c r="AO96" s="37">
        <f t="array" ref="AO96">countifs($O$2:$O95,"&lt;"&amp;$O96,isnumber(FIND($E$2:$E95,AM96)),TRUE)</f>
        <v>0</v>
      </c>
      <c r="AP96" s="37">
        <f>IFERROR(__xludf.DUMMYFUNCTION("iferror(COUNT(filter($O97:$O$392,$O97:$O$392&gt;$O96,arrayformula(isnumber(FIND($E97:$E$392,AM96))))))"),9.0)</f>
        <v>9</v>
      </c>
      <c r="AQ96" s="40">
        <f t="shared" si="9"/>
        <v>0</v>
      </c>
      <c r="AR96" s="41">
        <f>IFERROR(__xludf.DUMMYFUNCTION("iferror($O96-min(filter($O96:$O$392,arrayformula(isnumber(FIND($E96:$E$392,AM96))))))"),1.0)</f>
        <v>1</v>
      </c>
      <c r="AS96" s="48" t="str">
        <f>IFERROR(__xludf.DUMMYFUNCTION("iferror(join("","",index(sort(filter($F97:$F$392,$O97:$O$392&gt;$O96,arrayformula(isnumber(FIND($E97:$E$392,AM96)))),2,false),0,1)))"),"Ball State,Coastal Carolina,New Mexico State,Kent State,Central Michigan,South Alabama,Bowling Green,UTSA,Rice")</f>
        <v>Ball State,Coastal Carolina,New Mexico State,Kent State,Central Michigan,South Alabama,Bowling Green,UTSA,Rice</v>
      </c>
    </row>
    <row r="97">
      <c r="A97" s="1">
        <f t="shared" si="10"/>
        <v>96</v>
      </c>
      <c r="B97" s="1">
        <f t="shared" si="12"/>
        <v>8</v>
      </c>
      <c r="C97" s="1">
        <v>12.0</v>
      </c>
      <c r="D97" s="56" t="str">
        <f>D74</f>
        <v>DavEmily</v>
      </c>
      <c r="E97" s="52" t="str">
        <f>if(F97&lt;&gt;"",VLOOKUP(F97,offset('Teams-Conference'!A:B,0,(counta('Draft Order'!B$2:B129)-10)*2),2,0),"")</f>
        <v>MAC</v>
      </c>
      <c r="F97" s="1" t="s">
        <v>138</v>
      </c>
      <c r="H97" s="29">
        <f t="shared" si="1"/>
        <v>1</v>
      </c>
      <c r="I97" s="29">
        <f t="shared" si="2"/>
        <v>3</v>
      </c>
      <c r="J97" s="29">
        <f t="shared" si="11"/>
        <v>0</v>
      </c>
      <c r="K97" s="29">
        <f t="shared" si="27"/>
        <v>1</v>
      </c>
      <c r="L97" s="29"/>
      <c r="M97" s="29">
        <f>IFERROR(__xludf.DUMMYFUNCTION("counta(iferror(filter(L$2:L96,E$2:E96=E97,L$2:L96&lt;L97)))"),0.0)</f>
        <v>0</v>
      </c>
      <c r="N97" s="29">
        <f>IFERROR(__xludf.DUMMYFUNCTION("counta(iferror(filter(L98:L$129,E98:E$129=E97,L98:L$131&gt;L97)))"),0.0)</f>
        <v>0</v>
      </c>
      <c r="O97" s="34">
        <f t="array" ref="O97:W97">XLOOKUP(F97,'Current Week'!B:B,'Current Week'!C:N)</f>
        <v>5</v>
      </c>
      <c r="P97" s="29">
        <v>7.0</v>
      </c>
      <c r="Q97" s="30" t="s">
        <v>260</v>
      </c>
      <c r="R97" s="30" t="s">
        <v>202</v>
      </c>
      <c r="S97" s="30"/>
      <c r="T97" s="30" t="s">
        <v>203</v>
      </c>
      <c r="U97" s="37" t="s">
        <v>203</v>
      </c>
      <c r="V97" s="37"/>
      <c r="W97" s="37">
        <v>9999.0</v>
      </c>
      <c r="X97" s="37"/>
      <c r="Y97" s="37"/>
      <c r="Z97" s="37"/>
      <c r="AA97" s="39">
        <f t="shared" si="3"/>
        <v>-3</v>
      </c>
      <c r="AB97" s="37">
        <f t="shared" si="4"/>
        <v>20</v>
      </c>
      <c r="AC97" s="37">
        <f>IFERROR(__xludf.DUMMYFUNCTION("iferror(COUNT(filter($O98:$O$392,$O98:$O$392&gt;$O97)))"),10.0)</f>
        <v>10</v>
      </c>
      <c r="AD97" s="40">
        <f t="shared" si="5"/>
        <v>0</v>
      </c>
      <c r="AE97" s="41">
        <f t="shared" si="6"/>
        <v>4</v>
      </c>
      <c r="AF97" s="30" t="str">
        <f>IFERROR(__xludf.DUMMYFUNCTION("iferror(join("","",index(sort(filter($F98:$F$393,$O98:$O$393&gt;$O97),2,false),0,1)))"),"Missouri,Boston College,Mississippi State,Tennessee,Kent State,Kentucky,Central Michigan,North Carolina,Louisville,Illinois")</f>
        <v>Missouri,Boston College,Mississippi State,Tennessee,Kent State,Kentucky,Central Michigan,North Carolina,Louisville,Illinois</v>
      </c>
      <c r="AG97" s="39">
        <f>IFERROR(__xludf.DUMMYFUNCTION("iferror($O97-max(filter($O97:$O$392,$E97:$E$392=$E$2)))"),-2.0)</f>
        <v>-2</v>
      </c>
      <c r="AH97" s="37">
        <f t="shared" si="7"/>
        <v>0</v>
      </c>
      <c r="AI97" s="37">
        <f>IFERROR(__xludf.DUMMYFUNCTION("iferror(COUNT(filter($O98:$O$392,$O98:$O$392&gt;$O97,$E97:$E$392=$E$2)))"),0.0)</f>
        <v>0</v>
      </c>
      <c r="AJ97" s="40">
        <f t="shared" si="8"/>
        <v>0</v>
      </c>
      <c r="AK97" s="41">
        <f>IFERROR(__xludf.DUMMYFUNCTION("iferror($O97-min(filter($O97:$O$392,$E97:$E$392=$E$2)))"),3.0)</f>
        <v>3</v>
      </c>
      <c r="AL97" s="30" t="str">
        <f>IFERROR(__xludf.DUMMYFUNCTION("iferror(join("","",index(sort(filter($F98:$F$392,$O98:$O$392&gt;$O97,$E98:$E$392=$E$2),2,false),0,1)))"),"Missouri,Mississippi State,Tennessee,Kentucky")</f>
        <v>Missouri,Mississippi State,Tennessee,Kentucky</v>
      </c>
      <c r="AM97" s="30" t="str">
        <f>IFERROR(__xludf.DUMMYFUNCTION("REGEXREPLACE(join("","",unique({let(conf_picked,filter(E$1:E96,D$1:D96=D97), byrow(unique(TRANSPOSe(Teams!$1:$1)),lambda(rw,if(ISERROR(match(rw,conf_picked,0)),rw,))));iferror(if(#REF!,,transpose(split(#REF!,"","",1,1))))})), ""^,"", """")"),"CUSA,MAC,Sun Belt,Independent")</f>
        <v>CUSA,MAC,Sun Belt,Independent</v>
      </c>
      <c r="AN97" s="39">
        <f>IFERROR(__xludf.DUMMYFUNCTION("iferror($O97-max(filter($O97:$O$392,arrayformula(isnumber(FIND($E97:$E$392,AM97))))))"),-3.0)</f>
        <v>-3</v>
      </c>
      <c r="AO97" s="37">
        <f t="array" ref="AO97">countifs($O$2:$O96,"&lt;"&amp;$O97,isnumber(FIND($E$2:$E96,AM97)),TRUE)</f>
        <v>6</v>
      </c>
      <c r="AP97" s="37">
        <f>IFERROR(__xludf.DUMMYFUNCTION("iferror(COUNT(filter($O98:$O$392,$O98:$O$392&gt;$O97,arrayformula(isnumber(FIND($E98:$E$392,AM97))))))"),2.0)</f>
        <v>2</v>
      </c>
      <c r="AQ97" s="40">
        <f t="shared" si="9"/>
        <v>0</v>
      </c>
      <c r="AR97" s="41">
        <f>IFERROR(__xludf.DUMMYFUNCTION("iferror($O97-min(filter($O97:$O$392,arrayformula(isnumber(FIND($E97:$E$392,AM97))))))"),5.0)</f>
        <v>5</v>
      </c>
      <c r="AS97" s="48" t="str">
        <f>IFERROR(__xludf.DUMMYFUNCTION("iferror(join("","",index(sort(filter($F98:$F$392,$O98:$O$392&gt;$O97,arrayformula(isnumber(FIND($E98:$E$392,AM97)))),2,false),0,1)))"),"Kent State,Central Michigan")</f>
        <v>Kent State,Central Michigan</v>
      </c>
    </row>
    <row r="98">
      <c r="A98" s="25">
        <f t="shared" si="10"/>
        <v>97</v>
      </c>
      <c r="B98" s="25">
        <f t="shared" si="12"/>
        <v>9</v>
      </c>
      <c r="C98" s="25">
        <v>1.0</v>
      </c>
      <c r="D98" s="27" t="str">
        <f t="shared" ref="D98:D109" si="28">D74</f>
        <v>DavEmily</v>
      </c>
      <c r="E98" s="28" t="str">
        <f>if(F98&lt;&gt;"",VLOOKUP(F98,offset('Teams-Conference'!A:B,0,(counta('Draft Order'!B$2:B129)-10)*2),2,0),"")</f>
        <v>Sun Belt</v>
      </c>
      <c r="F98" s="171" t="s">
        <v>195</v>
      </c>
      <c r="G98" s="25"/>
      <c r="H98" s="29">
        <f t="shared" si="1"/>
        <v>1</v>
      </c>
      <c r="I98" s="29">
        <f t="shared" si="2"/>
        <v>2</v>
      </c>
      <c r="J98" s="29">
        <f t="shared" si="11"/>
        <v>0</v>
      </c>
      <c r="K98" s="29">
        <f t="shared" si="27"/>
        <v>2</v>
      </c>
      <c r="L98" s="29"/>
      <c r="M98" s="29">
        <f>IFERROR(__xludf.DUMMYFUNCTION("counta(iferror(filter(L$2:L97,E$2:E97=E98,L$2:L97&lt;L98)))"),0.0)</f>
        <v>0</v>
      </c>
      <c r="N98" s="29">
        <f>IFERROR(__xludf.DUMMYFUNCTION("counta(iferror(filter(L99:L$129,E99:E$129=E98,L99:L$131&gt;L98)))"),0.0)</f>
        <v>0</v>
      </c>
      <c r="O98" s="34">
        <f t="array" ref="O98:W98">XLOOKUP(F98,'Current Week'!B:B,'Current Week'!C:N)</f>
        <v>5</v>
      </c>
      <c r="P98" s="29">
        <v>7.0</v>
      </c>
      <c r="Q98" s="30" t="s">
        <v>267</v>
      </c>
      <c r="R98" s="30" t="s">
        <v>202</v>
      </c>
      <c r="S98" s="30"/>
      <c r="T98" s="30" t="s">
        <v>203</v>
      </c>
      <c r="U98" s="37" t="s">
        <v>203</v>
      </c>
      <c r="V98" s="37"/>
      <c r="W98" s="37">
        <v>9999.0</v>
      </c>
      <c r="X98" s="37"/>
      <c r="Y98" s="37"/>
      <c r="Z98" s="37"/>
      <c r="AA98" s="39">
        <f t="shared" si="3"/>
        <v>-3</v>
      </c>
      <c r="AB98" s="37">
        <f t="shared" si="4"/>
        <v>20</v>
      </c>
      <c r="AC98" s="37">
        <f>IFERROR(__xludf.DUMMYFUNCTION("iferror(COUNT(filter($O99:$O$392,$O99:$O$392&gt;$O98)))"),10.0)</f>
        <v>10</v>
      </c>
      <c r="AD98" s="40">
        <f t="shared" si="5"/>
        <v>0</v>
      </c>
      <c r="AE98" s="41">
        <f t="shared" si="6"/>
        <v>4</v>
      </c>
      <c r="AF98" s="30" t="str">
        <f>IFERROR(__xludf.DUMMYFUNCTION("iferror(join("","",index(sort(filter($F99:$F$393,$O99:$O$393&gt;$O98),2,false),0,1)))"),"Missouri,Boston College,Mississippi State,Tennessee,Kent State,Kentucky,Central Michigan,North Carolina,Louisville,Illinois")</f>
        <v>Missouri,Boston College,Mississippi State,Tennessee,Kent State,Kentucky,Central Michigan,North Carolina,Louisville,Illinois</v>
      </c>
      <c r="AG98" s="39">
        <f>IFERROR(__xludf.DUMMYFUNCTION("iferror($O98-max(filter($O98:$O$392,$E98:$E$392=$E$2)))"),-2.0)</f>
        <v>-2</v>
      </c>
      <c r="AH98" s="37">
        <f t="shared" si="7"/>
        <v>0</v>
      </c>
      <c r="AI98" s="37">
        <f>IFERROR(__xludf.DUMMYFUNCTION("iferror(COUNT(filter($O99:$O$392,$O99:$O$392&gt;$O98,$E98:$E$392=$E$2)))"),0.0)</f>
        <v>0</v>
      </c>
      <c r="AJ98" s="40">
        <f t="shared" si="8"/>
        <v>0</v>
      </c>
      <c r="AK98" s="41">
        <f>IFERROR(__xludf.DUMMYFUNCTION("iferror($O98-min(filter($O98:$O$392,$E98:$E$392=$E$2)))"),3.0)</f>
        <v>3</v>
      </c>
      <c r="AL98" s="30" t="str">
        <f>IFERROR(__xludf.DUMMYFUNCTION("iferror(join("","",index(sort(filter($F99:$F$392,$O99:$O$392&gt;$O98,$E99:$E$392=$E$2),2,false),0,1)))"),"Missouri,Mississippi State,Tennessee,Kentucky")</f>
        <v>Missouri,Mississippi State,Tennessee,Kentucky</v>
      </c>
      <c r="AM98" s="30" t="str">
        <f>IFERROR(__xludf.DUMMYFUNCTION("REGEXREPLACE(join("","",unique({let(conf_picked,filter(E$1:E97,D$1:D97=D98), byrow(unique(TRANSPOSe(Teams!$1:$1)),lambda(rw,if(ISERROR(match(rw,conf_picked,0)),rw,))));iferror(if(#REF!,,transpose(split(#REF!,"","",1,1))))})), ""^,"", """")"),"CUSA,Sun Belt,Independent")</f>
        <v>CUSA,Sun Belt,Independent</v>
      </c>
      <c r="AN98" s="39">
        <f>IFERROR(__xludf.DUMMYFUNCTION("iferror($O98-max(filter($O98:$O$392,arrayformula(isnumber(FIND($E98:$E$392,AM98))))))"),0.0)</f>
        <v>0</v>
      </c>
      <c r="AO98" s="37">
        <f t="array" ref="AO98">countifs($O$2:$O97,"&lt;"&amp;$O98,isnumber(FIND($E$2:$E97,AM98)),TRUE)</f>
        <v>6</v>
      </c>
      <c r="AP98" s="37">
        <f>IFERROR(__xludf.DUMMYFUNCTION("iferror(COUNT(filter($O99:$O$392,$O99:$O$392&gt;$O98,arrayformula(isnumber(FIND($E99:$E$392,AM98))))))"),0.0)</f>
        <v>0</v>
      </c>
      <c r="AQ98" s="40">
        <f t="shared" si="9"/>
        <v>1</v>
      </c>
      <c r="AR98" s="41">
        <f>IFERROR(__xludf.DUMMYFUNCTION("iferror($O98-min(filter($O98:$O$392,arrayformula(isnumber(FIND($E98:$E$392,AM98))))))"),4.0)</f>
        <v>4</v>
      </c>
      <c r="AS98" s="48" t="str">
        <f>IFERROR(__xludf.DUMMYFUNCTION("iferror(join("","",index(sort(filter($F99:$F$392,$O99:$O$392&gt;$O98,arrayformula(isnumber(FIND($E99:$E$392,AM98)))),2,false),0,1)))"),"")</f>
        <v/>
      </c>
    </row>
    <row r="99">
      <c r="A99" s="1">
        <f t="shared" si="10"/>
        <v>98</v>
      </c>
      <c r="B99" s="1">
        <f t="shared" si="12"/>
        <v>9</v>
      </c>
      <c r="C99" s="1">
        <v>2.0</v>
      </c>
      <c r="D99" s="51" t="str">
        <f t="shared" si="28"/>
        <v>Nick A.</v>
      </c>
      <c r="E99" s="52" t="str">
        <f>if(F99&lt;&gt;"",VLOOKUP(F99,offset('Teams-Conference'!A:B,0,(counta('Draft Order'!B$2:B129)-10)*2),2,0),"")</f>
        <v>Sun Belt</v>
      </c>
      <c r="F99" s="24" t="s">
        <v>198</v>
      </c>
      <c r="H99" s="29">
        <f t="shared" si="1"/>
        <v>0</v>
      </c>
      <c r="I99" s="29">
        <f t="shared" si="2"/>
        <v>1</v>
      </c>
      <c r="J99" s="29">
        <f t="shared" si="11"/>
        <v>1</v>
      </c>
      <c r="K99" s="29">
        <f t="shared" ref="K99:K103" si="29">countif(E80:E99,E100)</f>
        <v>1</v>
      </c>
      <c r="L99" s="29"/>
      <c r="M99" s="29">
        <f>IFERROR(__xludf.DUMMYFUNCTION("counta(iferror(filter(L$2:L98,E$2:E98=E99,L$2:L98&lt;L99)))"),0.0)</f>
        <v>0</v>
      </c>
      <c r="N99" s="29">
        <f>IFERROR(__xludf.DUMMYFUNCTION("counta(iferror(filter(L100:L$129,E100:E$129=E99,L100:L$131&gt;L99)))"),0.0)</f>
        <v>0</v>
      </c>
      <c r="O99" s="34">
        <f t="array" ref="O99:W99">XLOOKUP(F99,'Current Week'!B:B,'Current Week'!C:N)</f>
        <v>2</v>
      </c>
      <c r="P99" s="29">
        <v>10.0</v>
      </c>
      <c r="Q99" s="30" t="s">
        <v>277</v>
      </c>
      <c r="R99" s="30" t="s">
        <v>202</v>
      </c>
      <c r="S99" s="30"/>
      <c r="T99" s="30" t="s">
        <v>203</v>
      </c>
      <c r="U99" s="37" t="s">
        <v>203</v>
      </c>
      <c r="V99" s="37"/>
      <c r="W99" s="37">
        <v>9999.0</v>
      </c>
      <c r="X99" s="37"/>
      <c r="Y99" s="37"/>
      <c r="Z99" s="37"/>
      <c r="AA99" s="39">
        <f t="shared" si="3"/>
        <v>-6</v>
      </c>
      <c r="AB99" s="37">
        <f t="shared" si="4"/>
        <v>1</v>
      </c>
      <c r="AC99" s="37">
        <f>IFERROR(__xludf.DUMMYFUNCTION("iferror(COUNT(filter($O100:$O$392,$O100:$O$392&gt;$O99)))"),24.0)</f>
        <v>24</v>
      </c>
      <c r="AD99" s="40">
        <f t="shared" si="5"/>
        <v>0</v>
      </c>
      <c r="AE99" s="41">
        <f t="shared" si="6"/>
        <v>1</v>
      </c>
      <c r="AF99" s="30" t="str">
        <f>IFERROR(__xludf.DUMMYFUNCTION("iferror(join("","",index(sort(filter($F100:$F$393,$O100:$O$393&gt;$O99),2,false),0,1)))"),"Missouri,Boston College,West Virginia,Mississippi State,Tennessee,Oregon State,Kent State,Kentucky,Colorado State,Central Michigan,South Carolina,Kansas,Duke,San José State,North Carolina,Maryland,Bowling Green,UTSA,Louisville,Illinois,Ole Miss,Georgia Te"&amp;"ch,Rice,Vanderbilt")</f>
        <v>Missouri,Boston College,West Virginia,Mississippi State,Tennessee,Oregon State,Kent State,Kentucky,Colorado State,Central Michigan,South Carolina,Kansas,Duke,San José State,North Carolina,Maryland,Bowling Green,UTSA,Louisville,Illinois,Ole Miss,Georgia Tech,Rice,Vanderbilt</v>
      </c>
      <c r="AG99" s="39">
        <f>IFERROR(__xludf.DUMMYFUNCTION("iferror($O99-max(filter($O99:$O$392,$E99:$E$392=$E$2)))"),-5.0)</f>
        <v>-5</v>
      </c>
      <c r="AH99" s="37">
        <f t="shared" si="7"/>
        <v>0</v>
      </c>
      <c r="AI99" s="37">
        <f>IFERROR(__xludf.DUMMYFUNCTION("iferror(COUNT(filter($O100:$O$392,$O100:$O$392&gt;$O99,$E99:$E$392=$E$2)))"),0.0)</f>
        <v>0</v>
      </c>
      <c r="AJ99" s="40">
        <f t="shared" si="8"/>
        <v>0</v>
      </c>
      <c r="AK99" s="41">
        <f>IFERROR(__xludf.DUMMYFUNCTION("iferror($O99-min(filter($O99:$O$392,$E99:$E$392=$E$2)))"),0.0)</f>
        <v>0</v>
      </c>
      <c r="AL99" s="30" t="str">
        <f>IFERROR(__xludf.DUMMYFUNCTION("iferror(join("","",index(sort(filter($F100:$F$392,$O100:$O$392&gt;$O99,$E100:$E$392=$E$2),2,false),0,1)))"),"Missouri,Mississippi State,Tennessee,Kentucky,South Carolina,Ole Miss,Vanderbilt")</f>
        <v>Missouri,Mississippi State,Tennessee,Kentucky,South Carolina,Ole Miss,Vanderbilt</v>
      </c>
      <c r="AM99" s="30" t="str">
        <f>IFERROR(__xludf.DUMMYFUNCTION("REGEXREPLACE(join("","",unique({let(conf_picked,filter(E$1:E98,D$1:D98=D99), byrow(unique(TRANSPOSe(Teams!$1:$1)),lambda(rw,if(ISERROR(match(rw,conf_picked,0)),rw,))));iferror(if(#REF!,,transpose(split(#REF!,"","",1,1))))})), ""^,"", """")"),"MAC,Sun Belt,Independent")</f>
        <v>MAC,Sun Belt,Independent</v>
      </c>
      <c r="AN99" s="39">
        <f>IFERROR(__xludf.DUMMYFUNCTION("iferror($O99-max(filter($O99:$O$392,arrayformula(isnumber(FIND($E99:$E$392,AM99))))))"),-6.0)</f>
        <v>-6</v>
      </c>
      <c r="AO99" s="37">
        <f t="array" ref="AO99">countifs($O$2:$O98,"&lt;"&amp;$O99,isnumber(FIND($E$2:$E98,AM99)),TRUE)</f>
        <v>0</v>
      </c>
      <c r="AP99" s="37">
        <f>IFERROR(__xludf.DUMMYFUNCTION("iferror(COUNT(filter($O100:$O$392,$O100:$O$392&gt;$O99,arrayformula(isnumber(FIND($E100:$E$392,AM99))))))"),3.0)</f>
        <v>3</v>
      </c>
      <c r="AQ99" s="40">
        <f t="shared" si="9"/>
        <v>0</v>
      </c>
      <c r="AR99" s="41">
        <f>IFERROR(__xludf.DUMMYFUNCTION("iferror($O99-min(filter($O99:$O$392,arrayformula(isnumber(FIND($E99:$E$392,AM99))))))"),2.0)</f>
        <v>2</v>
      </c>
      <c r="AS99" s="48" t="str">
        <f>IFERROR(__xludf.DUMMYFUNCTION("iferror(join("","",index(sort(filter($F100:$F$392,$O100:$O$392&gt;$O99,arrayformula(isnumber(FIND($E100:$E$392,AM99)))),2,false),0,1)))"),"Kent State,Central Michigan,Bowling Green")</f>
        <v>Kent State,Central Michigan,Bowling Green</v>
      </c>
    </row>
    <row r="100">
      <c r="A100" s="1">
        <f t="shared" si="10"/>
        <v>99</v>
      </c>
      <c r="B100" s="1">
        <f t="shared" si="12"/>
        <v>9</v>
      </c>
      <c r="C100" s="1">
        <v>3.0</v>
      </c>
      <c r="D100" s="56" t="str">
        <f t="shared" si="28"/>
        <v>Gary</v>
      </c>
      <c r="E100" s="52" t="str">
        <f>if(F100&lt;&gt;"",VLOOKUP(F100,offset('Teams-Conference'!A:B,0,(counta('Draft Order'!B$2:B129)-10)*2),2,0),"")</f>
        <v>SEC</v>
      </c>
      <c r="F100" t="s">
        <v>180</v>
      </c>
      <c r="H100" s="29">
        <f t="shared" si="1"/>
        <v>3</v>
      </c>
      <c r="I100" s="29">
        <f t="shared" si="2"/>
        <v>5</v>
      </c>
      <c r="J100" s="29">
        <f t="shared" si="11"/>
        <v>0</v>
      </c>
      <c r="K100" s="29">
        <f t="shared" si="29"/>
        <v>6</v>
      </c>
      <c r="L100" s="29"/>
      <c r="M100" s="29">
        <f>IFERROR(__xludf.DUMMYFUNCTION("counta(iferror(filter(L$2:L99,E$2:E99=E100,L$2:L99&lt;L100)))"),0.0)</f>
        <v>0</v>
      </c>
      <c r="N100" s="29">
        <f>IFERROR(__xludf.DUMMYFUNCTION("counta(iferror(filter(L101:L$129,E101:E$129=E100,L101:L$131&gt;L100)))"),0.0)</f>
        <v>0</v>
      </c>
      <c r="O100" s="34">
        <f t="array" ref="O100:W100">XLOOKUP(F100,'Current Week'!B:B,'Current Week'!C:N)</f>
        <v>6</v>
      </c>
      <c r="P100" s="29">
        <v>6.0</v>
      </c>
      <c r="Q100" s="30" t="s">
        <v>234</v>
      </c>
      <c r="R100" s="30" t="s">
        <v>202</v>
      </c>
      <c r="S100" s="30"/>
      <c r="T100" s="30" t="s">
        <v>203</v>
      </c>
      <c r="U100" s="37" t="s">
        <v>203</v>
      </c>
      <c r="V100" s="37"/>
      <c r="W100" s="37">
        <v>9999.0</v>
      </c>
      <c r="X100" s="37"/>
      <c r="Y100" s="37"/>
      <c r="Z100" s="37"/>
      <c r="AA100" s="39">
        <f t="shared" si="3"/>
        <v>-2</v>
      </c>
      <c r="AB100" s="37">
        <f t="shared" si="4"/>
        <v>31</v>
      </c>
      <c r="AC100" s="37">
        <f>IFERROR(__xludf.DUMMYFUNCTION("iferror(COUNT(filter($O101:$O$392,$O101:$O$392&gt;$O100)))"),4.0)</f>
        <v>4</v>
      </c>
      <c r="AD100" s="40">
        <f t="shared" si="5"/>
        <v>0</v>
      </c>
      <c r="AE100" s="41">
        <f t="shared" si="6"/>
        <v>5</v>
      </c>
      <c r="AF100" s="30" t="str">
        <f>IFERROR(__xludf.DUMMYFUNCTION("iferror(join("","",index(sort(filter($F101:$F$393,$O101:$O$393&gt;$O100),2,false),0,1)))"),"Tennessee,Kentucky,Central Michigan,Louisville")</f>
        <v>Tennessee,Kentucky,Central Michigan,Louisville</v>
      </c>
      <c r="AG100" s="39">
        <f>IFERROR(__xludf.DUMMYFUNCTION("iferror($O100-max(filter($O100:$O$392,$E100:$E$392=$E$2)))"),-1.0)</f>
        <v>-1</v>
      </c>
      <c r="AH100" s="37">
        <f t="shared" si="7"/>
        <v>0</v>
      </c>
      <c r="AI100" s="37">
        <f>IFERROR(__xludf.DUMMYFUNCTION("iferror(COUNT(filter($O101:$O$392,$O101:$O$392&gt;$O100,$E100:$E$392=$E$2)))"),0.0)</f>
        <v>0</v>
      </c>
      <c r="AJ100" s="40">
        <f t="shared" si="8"/>
        <v>0</v>
      </c>
      <c r="AK100" s="41">
        <f>IFERROR(__xludf.DUMMYFUNCTION("iferror($O100-min(filter($O100:$O$392,$E100:$E$392=$E$2)))"),4.0)</f>
        <v>4</v>
      </c>
      <c r="AL100" s="30" t="str">
        <f>IFERROR(__xludf.DUMMYFUNCTION("iferror(join("","",index(sort(filter($F101:$F$392,$O101:$O$392&gt;$O100,$E101:$E$392=$E$2),2,false),0,1)))"),"Tennessee,Kentucky")</f>
        <v>Tennessee,Kentucky</v>
      </c>
      <c r="AM100" s="30" t="str">
        <f>IFERROR(__xludf.DUMMYFUNCTION("REGEXREPLACE(join("","",unique({let(conf_picked,filter(E$1:E99,D$1:D99=D100), byrow(unique(TRANSPOSe(Teams!$1:$1)),lambda(rw,if(ISERROR(match(rw,conf_picked,0)),rw,))));iferror(if(#REF!,,transpose(split(#REF!,"","",1,1))))})), ""^,"", """")"),"Big Ten,SEC,Independent")</f>
        <v>Big Ten,SEC,Independent</v>
      </c>
      <c r="AN100" s="39">
        <f>IFERROR(__xludf.DUMMYFUNCTION("iferror($O100-max(filter($O100:$O$392,arrayformula(isnumber(FIND($E100:$E$392,AM100))))))"),-1.0)</f>
        <v>-1</v>
      </c>
      <c r="AO100" s="37">
        <f t="array" ref="AO100">countifs($O$2:$O99,"&lt;"&amp;$O100,isnumber(FIND($E$2:$E99,AM100)),TRUE)</f>
        <v>3</v>
      </c>
      <c r="AP100" s="37">
        <f>IFERROR(__xludf.DUMMYFUNCTION("iferror(COUNT(filter($O101:$O$392,$O101:$O$392&gt;$O100,arrayformula(isnumber(FIND($E101:$E$392,AM100))))))"),2.0)</f>
        <v>2</v>
      </c>
      <c r="AQ100" s="40">
        <f t="shared" si="9"/>
        <v>0</v>
      </c>
      <c r="AR100" s="41">
        <f>IFERROR(__xludf.DUMMYFUNCTION("iferror($O100-min(filter($O100:$O$392,arrayformula(isnumber(FIND($E100:$E$392,AM100))))))"),4.0)</f>
        <v>4</v>
      </c>
      <c r="AS100" s="48" t="str">
        <f>IFERROR(__xludf.DUMMYFUNCTION("iferror(join("","",index(sort(filter($F101:$F$392,$O101:$O$392&gt;$O100,arrayformula(isnumber(FIND($E101:$E$392,AM100)))),2,false),0,1)))"),"Tennessee,Kentucky")</f>
        <v>Tennessee,Kentucky</v>
      </c>
    </row>
    <row r="101">
      <c r="A101" s="1">
        <f t="shared" si="10"/>
        <v>100</v>
      </c>
      <c r="B101" s="1">
        <f t="shared" si="12"/>
        <v>9</v>
      </c>
      <c r="C101" s="1">
        <v>4.0</v>
      </c>
      <c r="D101" s="51" t="str">
        <f t="shared" si="28"/>
        <v>Janice/Mike</v>
      </c>
      <c r="E101" s="52" t="str">
        <f>if(F101&lt;&gt;"",VLOOKUP(F101,offset('Teams-Conference'!A:B,0,(counta('Draft Order'!B$2:B129)-10)*2),2,0),"")</f>
        <v>ACC</v>
      </c>
      <c r="F101" s="1" t="s">
        <v>61</v>
      </c>
      <c r="H101" s="29">
        <f t="shared" si="1"/>
        <v>0</v>
      </c>
      <c r="I101" s="29">
        <f t="shared" si="2"/>
        <v>3</v>
      </c>
      <c r="J101" s="29">
        <f t="shared" si="11"/>
        <v>2</v>
      </c>
      <c r="K101" s="29">
        <f t="shared" si="29"/>
        <v>1</v>
      </c>
      <c r="L101" s="29"/>
      <c r="M101" s="29">
        <f>IFERROR(__xludf.DUMMYFUNCTION("counta(iferror(filter(L$2:L100,E$2:E100=E101,L$2:L100&lt;L101)))"),0.0)</f>
        <v>0</v>
      </c>
      <c r="N101" s="29">
        <f>IFERROR(__xludf.DUMMYFUNCTION("counta(iferror(filter(L102:L$129,E102:E$129=E101,L102:L$131&gt;L101)))"),0.0)</f>
        <v>0</v>
      </c>
      <c r="O101" s="34">
        <f t="array" ref="O101:W101">XLOOKUP(F101,'Current Week'!B:B,'Current Week'!C:N)</f>
        <v>6</v>
      </c>
      <c r="P101" s="29">
        <v>6.0</v>
      </c>
      <c r="Q101" s="30" t="s">
        <v>248</v>
      </c>
      <c r="R101" s="30" t="s">
        <v>202</v>
      </c>
      <c r="S101" s="30"/>
      <c r="T101" s="30" t="s">
        <v>203</v>
      </c>
      <c r="U101" s="37" t="s">
        <v>203</v>
      </c>
      <c r="V101" s="37"/>
      <c r="W101" s="37">
        <v>9999.0</v>
      </c>
      <c r="X101" s="37"/>
      <c r="Y101" s="37"/>
      <c r="Z101" s="37"/>
      <c r="AA101" s="39">
        <f t="shared" si="3"/>
        <v>-2</v>
      </c>
      <c r="AB101" s="37">
        <f t="shared" si="4"/>
        <v>31</v>
      </c>
      <c r="AC101" s="37">
        <f>IFERROR(__xludf.DUMMYFUNCTION("iferror(COUNT(filter($O102:$O$392,$O102:$O$392&gt;$O101)))"),4.0)</f>
        <v>4</v>
      </c>
      <c r="AD101" s="40">
        <f t="shared" si="5"/>
        <v>0</v>
      </c>
      <c r="AE101" s="41">
        <f t="shared" si="6"/>
        <v>5</v>
      </c>
      <c r="AF101" s="30" t="str">
        <f>IFERROR(__xludf.DUMMYFUNCTION("iferror(join("","",index(sort(filter($F102:$F$393,$O102:$O$393&gt;$O101),2,false),0,1)))"),"Tennessee,Kentucky,Central Michigan,Louisville")</f>
        <v>Tennessee,Kentucky,Central Michigan,Louisville</v>
      </c>
      <c r="AG101" s="39">
        <f>IFERROR(__xludf.DUMMYFUNCTION("iferror($O101-max(filter($O101:$O$392,$E101:$E$392=$E$2)))"),-1.0)</f>
        <v>-1</v>
      </c>
      <c r="AH101" s="37">
        <f t="shared" si="7"/>
        <v>0</v>
      </c>
      <c r="AI101" s="37">
        <f>IFERROR(__xludf.DUMMYFUNCTION("iferror(COUNT(filter($O102:$O$392,$O102:$O$392&gt;$O101,$E101:$E$392=$E$2)))"),0.0)</f>
        <v>0</v>
      </c>
      <c r="AJ101" s="40">
        <f t="shared" si="8"/>
        <v>0</v>
      </c>
      <c r="AK101" s="41">
        <f>IFERROR(__xludf.DUMMYFUNCTION("iferror($O101-min(filter($O101:$O$392,$E101:$E$392=$E$2)))"),4.0)</f>
        <v>4</v>
      </c>
      <c r="AL101" s="30" t="str">
        <f>IFERROR(__xludf.DUMMYFUNCTION("iferror(join("","",index(sort(filter($F102:$F$392,$O102:$O$392&gt;$O101,$E102:$E$392=$E$2),2,false),0,1)))"),"Tennessee,Kentucky")</f>
        <v>Tennessee,Kentucky</v>
      </c>
      <c r="AM101" s="30" t="str">
        <f>IFERROR(__xludf.DUMMYFUNCTION("REGEXREPLACE(join("","",unique({let(conf_picked,filter(E$1:E100,D$1:D100=D101), byrow(unique(TRANSPOSe(Teams!$1:$1)),lambda(rw,if(ISERROR(match(rw,conf_picked,0)),rw,))));iferror(if(#REF!,,transpose(split(#REF!,"","",1,1))))})), ""^,"", """")"),"ACC,SEC,Independent")</f>
        <v>ACC,SEC,Independent</v>
      </c>
      <c r="AN101" s="39">
        <f>IFERROR(__xludf.DUMMYFUNCTION("iferror($O101-max(filter($O101:$O$392,arrayformula(isnumber(FIND($E101:$E$392,AM101))))))"),-2.0)</f>
        <v>-2</v>
      </c>
      <c r="AO101" s="37">
        <f t="array" ref="AO101">countifs($O$2:$O100,"&lt;"&amp;$O101,isnumber(FIND($E$2:$E100,AM101)),TRUE)</f>
        <v>2</v>
      </c>
      <c r="AP101" s="37">
        <f>IFERROR(__xludf.DUMMYFUNCTION("iferror(COUNT(filter($O102:$O$392,$O102:$O$392&gt;$O101,arrayformula(isnumber(FIND($E102:$E$392,AM101))))))"),3.0)</f>
        <v>3</v>
      </c>
      <c r="AQ101" s="40">
        <f t="shared" si="9"/>
        <v>0</v>
      </c>
      <c r="AR101" s="41">
        <f>IFERROR(__xludf.DUMMYFUNCTION("iferror($O101-min(filter($O101:$O$392,arrayformula(isnumber(FIND($E101:$E$392,AM101))))))"),4.0)</f>
        <v>4</v>
      </c>
      <c r="AS101" s="48" t="str">
        <f>IFERROR(__xludf.DUMMYFUNCTION("iferror(join("","",index(sort(filter($F102:$F$392,$O102:$O$392&gt;$O101,arrayformula(isnumber(FIND($E102:$E$392,AM101)))),2,false),0,1)))"),"Tennessee,Kentucky,Louisville")</f>
        <v>Tennessee,Kentucky,Louisville</v>
      </c>
    </row>
    <row r="102">
      <c r="A102" s="1">
        <f t="shared" si="10"/>
        <v>101</v>
      </c>
      <c r="B102" s="1">
        <f t="shared" si="12"/>
        <v>9</v>
      </c>
      <c r="C102" s="1">
        <v>5.0</v>
      </c>
      <c r="D102" s="51" t="str">
        <f t="shared" si="28"/>
        <v>Nico</v>
      </c>
      <c r="E102" s="52" t="str">
        <f>if(F102&lt;&gt;"",VLOOKUP(F102,offset('Teams-Conference'!A:B,0,(counta('Draft Order'!B$2:B129)-10)*2),2,0),"")</f>
        <v>Big 12</v>
      </c>
      <c r="F102" s="1" t="s">
        <v>105</v>
      </c>
      <c r="H102" s="29">
        <f t="shared" si="1"/>
        <v>1</v>
      </c>
      <c r="I102" s="29">
        <f t="shared" si="2"/>
        <v>1</v>
      </c>
      <c r="J102" s="29">
        <f t="shared" si="11"/>
        <v>0</v>
      </c>
      <c r="K102" s="29">
        <f t="shared" si="29"/>
        <v>1</v>
      </c>
      <c r="L102" s="29"/>
      <c r="M102" s="29">
        <f>IFERROR(__xludf.DUMMYFUNCTION("counta(iferror(filter(L$2:L101,E$2:E101=E102,L$2:L101&lt;L102)))"),0.0)</f>
        <v>0</v>
      </c>
      <c r="N102" s="29">
        <f>IFERROR(__xludf.DUMMYFUNCTION("counta(iferror(filter(L103:L$129,E103:E$129=E102,L103:L$131&gt;L102)))"),0.0)</f>
        <v>0</v>
      </c>
      <c r="O102" s="34">
        <f t="array" ref="O102:W102">XLOOKUP(F102,'Current Week'!B:B,'Current Week'!C:N)</f>
        <v>5</v>
      </c>
      <c r="P102" s="29">
        <v>7.0</v>
      </c>
      <c r="Q102" s="30" t="s">
        <v>201</v>
      </c>
      <c r="R102" s="30" t="s">
        <v>202</v>
      </c>
      <c r="S102" s="30"/>
      <c r="T102" s="30" t="s">
        <v>203</v>
      </c>
      <c r="U102" s="37" t="s">
        <v>203</v>
      </c>
      <c r="V102" s="37"/>
      <c r="W102" s="37">
        <v>9999.0</v>
      </c>
      <c r="X102" s="37"/>
      <c r="Y102" s="37"/>
      <c r="Z102" s="37"/>
      <c r="AA102" s="39">
        <f t="shared" si="3"/>
        <v>-3</v>
      </c>
      <c r="AB102" s="37">
        <f t="shared" si="4"/>
        <v>21</v>
      </c>
      <c r="AC102" s="37">
        <f>IFERROR(__xludf.DUMMYFUNCTION("iferror(COUNT(filter($O103:$O$392,$O103:$O$392&gt;$O102)))"),8.0)</f>
        <v>8</v>
      </c>
      <c r="AD102" s="40">
        <f t="shared" si="5"/>
        <v>0</v>
      </c>
      <c r="AE102" s="41">
        <f t="shared" si="6"/>
        <v>4</v>
      </c>
      <c r="AF102" s="30" t="str">
        <f>IFERROR(__xludf.DUMMYFUNCTION("iferror(join("","",index(sort(filter($F103:$F$393,$O103:$O$393&gt;$O102),2,false),0,1)))"),"Mississippi State,Tennessee,Kent State,Kentucky,Central Michigan,North Carolina,Louisville,Illinois")</f>
        <v>Mississippi State,Tennessee,Kent State,Kentucky,Central Michigan,North Carolina,Louisville,Illinois</v>
      </c>
      <c r="AG102" s="39">
        <f>IFERROR(__xludf.DUMMYFUNCTION("iferror($O102-max(filter($O102:$O$392,$E102:$E$392=$E$2)))"),-2.0)</f>
        <v>-2</v>
      </c>
      <c r="AH102" s="37">
        <f t="shared" si="7"/>
        <v>0</v>
      </c>
      <c r="AI102" s="37">
        <f>IFERROR(__xludf.DUMMYFUNCTION("iferror(COUNT(filter($O103:$O$392,$O103:$O$392&gt;$O102,$E102:$E$392=$E$2)))"),0.0)</f>
        <v>0</v>
      </c>
      <c r="AJ102" s="40">
        <f t="shared" si="8"/>
        <v>0</v>
      </c>
      <c r="AK102" s="41">
        <f>IFERROR(__xludf.DUMMYFUNCTION("iferror($O102-min(filter($O102:$O$392,$E102:$E$392=$E$2)))"),3.0)</f>
        <v>3</v>
      </c>
      <c r="AL102" s="30" t="str">
        <f>IFERROR(__xludf.DUMMYFUNCTION("iferror(join("","",index(sort(filter($F103:$F$392,$O103:$O$392&gt;$O102,$E103:$E$392=$E$2),2,false),0,1)))"),"Mississippi State,Tennessee,Kentucky")</f>
        <v>Mississippi State,Tennessee,Kentucky</v>
      </c>
      <c r="AM102" s="30" t="str">
        <f>IFERROR(__xludf.DUMMYFUNCTION("REGEXREPLACE(join("","",unique({let(conf_picked,filter(E$1:E101,D$1:D101=D102), byrow(unique(TRANSPOSe(Teams!$1:$1)),lambda(rw,if(ISERROR(match(rw,conf_picked,0)),rw,))));iferror(if(#REF!,,transpose(split(#REF!,"","",1,1))))})), ""^,"", """")"),"ACC,Big 12,Independent")</f>
        <v>ACC,Big 12,Independent</v>
      </c>
      <c r="AN102" s="39">
        <f>IFERROR(__xludf.DUMMYFUNCTION("iferror($O102-max(filter($O102:$O$392,arrayformula(isnumber(FIND($E102:$E$392,AM102))))))"),-3.0)</f>
        <v>-3</v>
      </c>
      <c r="AO102" s="37">
        <f t="array" ref="AO102">countifs($O$2:$O101,"&lt;"&amp;$O102,isnumber(FIND($E$2:$E101,AM102)),TRUE)</f>
        <v>2</v>
      </c>
      <c r="AP102" s="37">
        <f>IFERROR(__xludf.DUMMYFUNCTION("iferror(COUNT(filter($O103:$O$392,$O103:$O$392&gt;$O102,arrayformula(isnumber(FIND($E103:$E$392,AM102))))))"),2.0)</f>
        <v>2</v>
      </c>
      <c r="AQ102" s="40">
        <f t="shared" si="9"/>
        <v>0</v>
      </c>
      <c r="AR102" s="41">
        <f>IFERROR(__xludf.DUMMYFUNCTION("iferror($O102-min(filter($O102:$O$392,arrayformula(isnumber(FIND($E102:$E$392,AM102))))))"),2.0)</f>
        <v>2</v>
      </c>
      <c r="AS102" s="48" t="str">
        <f>IFERROR(__xludf.DUMMYFUNCTION("iferror(join("","",index(sort(filter($F103:$F$392,$O103:$O$392&gt;$O102,arrayformula(isnumber(FIND($E103:$E$392,AM102)))),2,false),0,1)))"),"North Carolina,Louisville")</f>
        <v>North Carolina,Louisville</v>
      </c>
    </row>
    <row r="103">
      <c r="A103" s="1">
        <f t="shared" si="10"/>
        <v>102</v>
      </c>
      <c r="B103" s="1">
        <f t="shared" si="12"/>
        <v>9</v>
      </c>
      <c r="C103" s="1">
        <v>6.0</v>
      </c>
      <c r="D103" s="51" t="str">
        <f t="shared" si="28"/>
        <v>Jeannine</v>
      </c>
      <c r="E103" s="52" t="str">
        <f>if(F103&lt;&gt;"",VLOOKUP(F103,offset('Teams-Conference'!A:B,0,(counta('Draft Order'!B$2:B129)-10)*2),2,0),"")</f>
        <v>SEC</v>
      </c>
      <c r="F103" t="s">
        <v>179</v>
      </c>
      <c r="H103" s="29">
        <f t="shared" si="1"/>
        <v>3</v>
      </c>
      <c r="I103" s="29">
        <f t="shared" si="2"/>
        <v>5</v>
      </c>
      <c r="J103" s="29">
        <f t="shared" si="11"/>
        <v>1</v>
      </c>
      <c r="K103" s="29">
        <f t="shared" si="29"/>
        <v>2</v>
      </c>
      <c r="L103" s="29"/>
      <c r="M103" s="29">
        <f>IFERROR(__xludf.DUMMYFUNCTION("counta(iferror(filter(L$2:L102,E$2:E102=E103,L$2:L102&lt;L103)))"),0.0)</f>
        <v>0</v>
      </c>
      <c r="N103" s="29">
        <f>IFERROR(__xludf.DUMMYFUNCTION("counta(iferror(filter(L104:L$129,E104:E$129=E103,L104:L$131&gt;L103)))"),0.0)</f>
        <v>0</v>
      </c>
      <c r="O103" s="34">
        <f t="array" ref="O103:W103">XLOOKUP(F103,'Current Week'!B:B,'Current Week'!C:N)</f>
        <v>6</v>
      </c>
      <c r="P103" s="29">
        <v>6.0</v>
      </c>
      <c r="Q103" s="30" t="s">
        <v>201</v>
      </c>
      <c r="R103" s="30" t="s">
        <v>202</v>
      </c>
      <c r="S103" s="30"/>
      <c r="T103" s="30" t="s">
        <v>203</v>
      </c>
      <c r="U103" s="37" t="s">
        <v>203</v>
      </c>
      <c r="V103" s="37"/>
      <c r="W103" s="37">
        <v>9999.0</v>
      </c>
      <c r="X103" s="37"/>
      <c r="Y103" s="37"/>
      <c r="Z103" s="37"/>
      <c r="AA103" s="39">
        <f t="shared" si="3"/>
        <v>-2</v>
      </c>
      <c r="AB103" s="37">
        <f t="shared" si="4"/>
        <v>32</v>
      </c>
      <c r="AC103" s="37">
        <f>IFERROR(__xludf.DUMMYFUNCTION("iferror(COUNT(filter($O104:$O$392,$O104:$O$392&gt;$O103)))"),4.0)</f>
        <v>4</v>
      </c>
      <c r="AD103" s="40">
        <f t="shared" si="5"/>
        <v>0</v>
      </c>
      <c r="AE103" s="41">
        <f t="shared" si="6"/>
        <v>5</v>
      </c>
      <c r="AF103" s="30" t="str">
        <f>IFERROR(__xludf.DUMMYFUNCTION("iferror(join("","",index(sort(filter($F104:$F$393,$O104:$O$393&gt;$O103),2,false),0,1)))"),"Tennessee,Kentucky,Central Michigan,Louisville")</f>
        <v>Tennessee,Kentucky,Central Michigan,Louisville</v>
      </c>
      <c r="AG103" s="39">
        <f>IFERROR(__xludf.DUMMYFUNCTION("iferror($O103-max(filter($O103:$O$392,$E103:$E$392=$E$2)))"),-1.0)</f>
        <v>-1</v>
      </c>
      <c r="AH103" s="37">
        <f t="shared" si="7"/>
        <v>0</v>
      </c>
      <c r="AI103" s="37">
        <f>IFERROR(__xludf.DUMMYFUNCTION("iferror(COUNT(filter($O104:$O$392,$O104:$O$392&gt;$O103,$E103:$E$392=$E$2)))"),0.0)</f>
        <v>0</v>
      </c>
      <c r="AJ103" s="40">
        <f t="shared" si="8"/>
        <v>0</v>
      </c>
      <c r="AK103" s="41">
        <f>IFERROR(__xludf.DUMMYFUNCTION("iferror($O103-min(filter($O103:$O$392,$E103:$E$392=$E$2)))"),4.0)</f>
        <v>4</v>
      </c>
      <c r="AL103" s="30" t="str">
        <f>IFERROR(__xludf.DUMMYFUNCTION("iferror(join("","",index(sort(filter($F104:$F$392,$O104:$O$392&gt;$O103,$E104:$E$392=$E$2),2,false),0,1)))"),"Tennessee,Kentucky")</f>
        <v>Tennessee,Kentucky</v>
      </c>
      <c r="AM103" s="30" t="str">
        <f>IFERROR(__xludf.DUMMYFUNCTION("REGEXREPLACE(join("","",unique({let(conf_picked,filter(E$1:E102,D$1:D102=D103), byrow(unique(TRANSPOSe(Teams!$1:$1)),lambda(rw,if(ISERROR(match(rw,conf_picked,0)),rw,))));iferror(if(#REF!,,transpose(split(#REF!,"","",1,1))))})), ""^,"", """")"),"MWC,SEC,Independent")</f>
        <v>MWC,SEC,Independent</v>
      </c>
      <c r="AN103" s="39">
        <f>IFERROR(__xludf.DUMMYFUNCTION("iferror($O103-max(filter($O103:$O$392,arrayformula(isnumber(FIND($E103:$E$392,AM103))))))"),-1.0)</f>
        <v>-1</v>
      </c>
      <c r="AO103" s="37">
        <f t="array" ref="AO103">countifs($O$2:$O102,"&lt;"&amp;$O103,isnumber(FIND($E$2:$E102,AM103)),TRUE)</f>
        <v>3</v>
      </c>
      <c r="AP103" s="37">
        <f>IFERROR(__xludf.DUMMYFUNCTION("iferror(COUNT(filter($O104:$O$392,$O104:$O$392&gt;$O103,arrayformula(isnumber(FIND($E104:$E$392,AM103))))))"),2.0)</f>
        <v>2</v>
      </c>
      <c r="AQ103" s="40">
        <f t="shared" si="9"/>
        <v>0</v>
      </c>
      <c r="AR103" s="41">
        <f>IFERROR(__xludf.DUMMYFUNCTION("iferror($O103-min(filter($O103:$O$392,arrayformula(isnumber(FIND($E103:$E$392,AM103))))))"),4.0)</f>
        <v>4</v>
      </c>
      <c r="AS103" s="48" t="str">
        <f>IFERROR(__xludf.DUMMYFUNCTION("iferror(join("","",index(sort(filter($F104:$F$392,$O104:$O$392&gt;$O103,arrayformula(isnumber(FIND($E104:$E$392,AM103)))),2,false),0,1)))"),"Tennessee,Kentucky")</f>
        <v>Tennessee,Kentucky</v>
      </c>
    </row>
    <row r="104">
      <c r="A104" s="1">
        <f t="shared" si="10"/>
        <v>103</v>
      </c>
      <c r="B104" s="1">
        <f t="shared" si="12"/>
        <v>9</v>
      </c>
      <c r="C104" s="1">
        <v>7.0</v>
      </c>
      <c r="D104" s="51" t="str">
        <f t="shared" si="28"/>
        <v>Justin</v>
      </c>
      <c r="E104" s="52" t="str">
        <f>if(F104&lt;&gt;"",VLOOKUP(F104,offset('Teams-Conference'!A:B,0,(counta('Draft Order'!B$2:B129)-10)*2),2,0),"")</f>
        <v>SEC</v>
      </c>
      <c r="F104" s="1" t="s">
        <v>183</v>
      </c>
      <c r="H104" s="29">
        <f t="shared" si="1"/>
        <v>2</v>
      </c>
      <c r="I104" s="29">
        <f t="shared" si="2"/>
        <v>4</v>
      </c>
      <c r="J104" s="29">
        <f t="shared" si="11"/>
        <v>2</v>
      </c>
      <c r="K104" s="29">
        <f>countif(E85:E104,E106)</f>
        <v>1</v>
      </c>
      <c r="L104" s="29"/>
      <c r="M104" s="29">
        <f>IFERROR(__xludf.DUMMYFUNCTION("counta(iferror(filter(L$2:L103,E$2:E103=E104,L$2:L103&lt;L104)))"),0.0)</f>
        <v>0</v>
      </c>
      <c r="N104" s="29">
        <f>IFERROR(__xludf.DUMMYFUNCTION("counta(iferror(filter(L105:L$129,E105:E$129=E104,L105:L$131&gt;L104)))"),0.0)</f>
        <v>0</v>
      </c>
      <c r="O104" s="34">
        <f t="array" ref="O104:W104">XLOOKUP(F104,'Current Week'!B:B,'Current Week'!C:N)</f>
        <v>7</v>
      </c>
      <c r="P104" s="29">
        <v>5.0</v>
      </c>
      <c r="Q104" s="30" t="s">
        <v>248</v>
      </c>
      <c r="R104" s="30" t="s">
        <v>202</v>
      </c>
      <c r="S104" s="30"/>
      <c r="T104" s="30" t="s">
        <v>203</v>
      </c>
      <c r="U104" s="37" t="s">
        <v>203</v>
      </c>
      <c r="V104" s="37"/>
      <c r="W104" s="37">
        <v>9999.0</v>
      </c>
      <c r="X104" s="37"/>
      <c r="Y104" s="37"/>
      <c r="Z104" s="37"/>
      <c r="AA104" s="39">
        <f t="shared" si="3"/>
        <v>-1</v>
      </c>
      <c r="AB104" s="37">
        <f t="shared" si="4"/>
        <v>44</v>
      </c>
      <c r="AC104" s="37">
        <f>IFERROR(__xludf.DUMMYFUNCTION("iferror(COUNT(filter($O105:$O$392,$O105:$O$392&gt;$O104)))"),2.0)</f>
        <v>2</v>
      </c>
      <c r="AD104" s="40">
        <f t="shared" si="5"/>
        <v>0</v>
      </c>
      <c r="AE104" s="41">
        <f t="shared" si="6"/>
        <v>6</v>
      </c>
      <c r="AF104" s="30" t="str">
        <f>IFERROR(__xludf.DUMMYFUNCTION("iferror(join("","",index(sort(filter($F105:$F$393,$O105:$O$393&gt;$O104),2,false),0,1)))"),"Central Michigan,Louisville")</f>
        <v>Central Michigan,Louisville</v>
      </c>
      <c r="AG104" s="39">
        <f>IFERROR(__xludf.DUMMYFUNCTION("iferror($O104-max(filter($O104:$O$392,$E104:$E$392=$E$2)))"),0.0)</f>
        <v>0</v>
      </c>
      <c r="AH104" s="37">
        <f t="shared" si="7"/>
        <v>2</v>
      </c>
      <c r="AI104" s="37">
        <f>IFERROR(__xludf.DUMMYFUNCTION("iferror(COUNT(filter($O105:$O$392,$O105:$O$392&gt;$O104,$E104:$E$392=$E$2)))"),0.0)</f>
        <v>0</v>
      </c>
      <c r="AJ104" s="40">
        <f t="shared" si="8"/>
        <v>1</v>
      </c>
      <c r="AK104" s="41">
        <f>IFERROR(__xludf.DUMMYFUNCTION("iferror($O104-min(filter($O104:$O$392,$E104:$E$392=$E$2)))"),5.0)</f>
        <v>5</v>
      </c>
      <c r="AL104" s="30" t="str">
        <f>IFERROR(__xludf.DUMMYFUNCTION("iferror(join("","",index(sort(filter($F105:$F$392,$O105:$O$392&gt;$O104,$E105:$E$392=$E$2),2,false),0,1)))"),"")</f>
        <v/>
      </c>
      <c r="AM104" s="30" t="str">
        <f>IFERROR(__xludf.DUMMYFUNCTION("REGEXREPLACE(join("","",unique({let(conf_picked,filter(E$1:E103,D$1:D103=D104), byrow(unique(TRANSPOSe(Teams!$1:$1)),lambda(rw,if(ISERROR(match(rw,conf_picked,0)),rw,))));iferror(if(#REF!,,transpose(split(#REF!,"","",1,1))))})), ""^,"", """")"),"ACC,SEC,Independent")</f>
        <v>ACC,SEC,Independent</v>
      </c>
      <c r="AN104" s="39">
        <f>IFERROR(__xludf.DUMMYFUNCTION("iferror($O104-max(filter($O104:$O$392,arrayformula(isnumber(FIND($E104:$E$392,AM104))))))"),-1.0)</f>
        <v>-1</v>
      </c>
      <c r="AO104" s="37">
        <f t="array" ref="AO104">countifs($O$2:$O103,"&lt;"&amp;$O104,isnumber(FIND($E$2:$E103,AM104)),TRUE)</f>
        <v>7</v>
      </c>
      <c r="AP104" s="37">
        <f>IFERROR(__xludf.DUMMYFUNCTION("iferror(COUNT(filter($O105:$O$392,$O105:$O$392&gt;$O104,arrayformula(isnumber(FIND($E105:$E$392,AM104))))))"),1.0)</f>
        <v>1</v>
      </c>
      <c r="AQ104" s="40">
        <f t="shared" si="9"/>
        <v>0</v>
      </c>
      <c r="AR104" s="41">
        <f>IFERROR(__xludf.DUMMYFUNCTION("iferror($O104-min(filter($O104:$O$392,arrayformula(isnumber(FIND($E104:$E$392,AM104))))))"),5.0)</f>
        <v>5</v>
      </c>
      <c r="AS104" s="48" t="str">
        <f>IFERROR(__xludf.DUMMYFUNCTION("iferror(join("","",index(sort(filter($F105:$F$392,$O105:$O$392&gt;$O104,arrayformula(isnumber(FIND($E105:$E$392,AM104)))),2,false),0,1)))"),"Louisville")</f>
        <v>Louisville</v>
      </c>
    </row>
    <row r="105">
      <c r="A105" s="1">
        <f t="shared" si="10"/>
        <v>104</v>
      </c>
      <c r="B105" s="1">
        <f t="shared" si="12"/>
        <v>9</v>
      </c>
      <c r="C105" s="1">
        <v>8.0</v>
      </c>
      <c r="D105" s="51" t="str">
        <f t="shared" si="28"/>
        <v>Adam</v>
      </c>
      <c r="E105" s="52" t="str">
        <f>if(F105&lt;&gt;"",VLOOKUP(F105,offset('Teams-Conference'!A:B,0,(counta('Draft Order'!B$2:B129)-10)*2),2,0),"")</f>
        <v>Pac12</v>
      </c>
      <c r="F105" s="1" t="s">
        <v>166</v>
      </c>
      <c r="H105" s="29">
        <f t="shared" si="1"/>
        <v>0</v>
      </c>
      <c r="I105" s="29">
        <f t="shared" si="2"/>
        <v>0</v>
      </c>
      <c r="J105" s="29">
        <f t="shared" si="11"/>
        <v>0</v>
      </c>
      <c r="K105" s="30"/>
      <c r="L105" s="29"/>
      <c r="M105" s="29">
        <f>IFERROR(__xludf.DUMMYFUNCTION("counta(iferror(filter(L$2:L104,E$2:E104=E105,L$2:L104&lt;L105)))"),0.0)</f>
        <v>0</v>
      </c>
      <c r="N105" s="29">
        <f>IFERROR(__xludf.DUMMYFUNCTION("counta(iferror(filter(L106:L$129,E106:E$129=E105,L106:L$131&gt;L105)))"),0.0)</f>
        <v>0</v>
      </c>
      <c r="O105" s="34">
        <f t="array" ref="O105:W105">XLOOKUP(F105,'Current Week'!B:B,'Current Week'!C:N)</f>
        <v>5</v>
      </c>
      <c r="P105" s="29">
        <v>7.0</v>
      </c>
      <c r="Q105" s="30" t="s">
        <v>269</v>
      </c>
      <c r="R105" s="30" t="s">
        <v>202</v>
      </c>
      <c r="S105" s="30"/>
      <c r="T105" s="30" t="s">
        <v>203</v>
      </c>
      <c r="U105" s="37" t="s">
        <v>203</v>
      </c>
      <c r="V105" s="37"/>
      <c r="W105" s="37">
        <v>9999.0</v>
      </c>
      <c r="X105" s="37"/>
      <c r="Y105" s="37"/>
      <c r="Z105" s="37"/>
      <c r="AA105" s="39">
        <f t="shared" si="3"/>
        <v>-3</v>
      </c>
      <c r="AB105" s="37">
        <f t="shared" si="4"/>
        <v>21</v>
      </c>
      <c r="AC105" s="37">
        <f>IFERROR(__xludf.DUMMYFUNCTION("iferror(COUNT(filter($O106:$O$392,$O106:$O$392&gt;$O105)))"),6.0)</f>
        <v>6</v>
      </c>
      <c r="AD105" s="40">
        <f t="shared" si="5"/>
        <v>0</v>
      </c>
      <c r="AE105" s="41">
        <f t="shared" si="6"/>
        <v>4</v>
      </c>
      <c r="AF105" s="30" t="str">
        <f>IFERROR(__xludf.DUMMYFUNCTION("iferror(join("","",index(sort(filter($F106:$F$393,$O106:$O$393&gt;$O105),2,false),0,1)))"),"Kent State,Kentucky,Central Michigan,North Carolina,Louisville,Illinois")</f>
        <v>Kent State,Kentucky,Central Michigan,North Carolina,Louisville,Illinois</v>
      </c>
      <c r="AG105" s="39">
        <f>IFERROR(__xludf.DUMMYFUNCTION("iferror($O105-max(filter($O105:$O$392,$E105:$E$392=$E$2)))"),-2.0)</f>
        <v>-2</v>
      </c>
      <c r="AH105" s="37">
        <f t="shared" si="7"/>
        <v>0</v>
      </c>
      <c r="AI105" s="37">
        <f>IFERROR(__xludf.DUMMYFUNCTION("iferror(COUNT(filter($O106:$O$392,$O106:$O$392&gt;$O105,$E105:$E$392=$E$2)))"),0.0)</f>
        <v>0</v>
      </c>
      <c r="AJ105" s="40">
        <f t="shared" si="8"/>
        <v>0</v>
      </c>
      <c r="AK105" s="41">
        <f>IFERROR(__xludf.DUMMYFUNCTION("iferror($O105-min(filter($O105:$O$392,$E105:$E$392=$E$2)))"),3.0)</f>
        <v>3</v>
      </c>
      <c r="AL105" s="30" t="str">
        <f>IFERROR(__xludf.DUMMYFUNCTION("iferror(join("","",index(sort(filter($F106:$F$392,$O106:$O$392&gt;$O105,$E106:$E$392=$E$2),2,false),0,1)))"),"Kentucky")</f>
        <v>Kentucky</v>
      </c>
      <c r="AM105" s="30" t="str">
        <f>IFERROR(__xludf.DUMMYFUNCTION("REGEXREPLACE(join("","",unique({let(conf_picked,filter(E$1:E104,D$1:D104=D105), byrow(unique(TRANSPOSe(Teams!$1:$1)),lambda(rw,if(ISERROR(match(rw,conf_picked,0)),rw,))));iferror(if(#REF!,,transpose(split(#REF!,"","",1,1))))})), ""^,"", """")"),"MAC,Pac12,Independent")</f>
        <v>MAC,Pac12,Independent</v>
      </c>
      <c r="AN105" s="39">
        <f>IFERROR(__xludf.DUMMYFUNCTION("iferror($O105-max(filter($O105:$O$392,arrayformula(isnumber(FIND($E105:$E$392,AM105))))))"),-3.0)</f>
        <v>-3</v>
      </c>
      <c r="AO105" s="37">
        <f t="array" ref="AO105">countifs($O$2:$O104,"&lt;"&amp;$O105,isnumber(FIND($E$2:$E104,AM105)),TRUE)</f>
        <v>3</v>
      </c>
      <c r="AP105" s="37">
        <f>IFERROR(__xludf.DUMMYFUNCTION("iferror(COUNT(filter($O106:$O$392,$O106:$O$392&gt;$O105,arrayformula(isnumber(FIND($E106:$E$392,AM105))))))"),2.0)</f>
        <v>2</v>
      </c>
      <c r="AQ105" s="40">
        <f t="shared" si="9"/>
        <v>0</v>
      </c>
      <c r="AR105" s="41">
        <f>IFERROR(__xludf.DUMMYFUNCTION("iferror($O105-min(filter($O105:$O$392,arrayformula(isnumber(FIND($E105:$E$392,AM105))))))"),5.0)</f>
        <v>5</v>
      </c>
      <c r="AS105" s="48" t="str">
        <f>IFERROR(__xludf.DUMMYFUNCTION("iferror(join("","",index(sort(filter($F106:$F$392,$O106:$O$392&gt;$O105,arrayformula(isnumber(FIND($E106:$E$392,AM105)))),2,false),0,1)))"),"Kent State,Central Michigan")</f>
        <v>Kent State,Central Michigan</v>
      </c>
    </row>
    <row r="106">
      <c r="A106" s="1">
        <f t="shared" si="10"/>
        <v>105</v>
      </c>
      <c r="B106" s="1">
        <f t="shared" si="12"/>
        <v>9</v>
      </c>
      <c r="C106" s="1">
        <v>9.0</v>
      </c>
      <c r="D106" s="51" t="str">
        <f t="shared" si="28"/>
        <v>Vu</v>
      </c>
      <c r="E106" s="52" t="str">
        <f>if(F106&lt;&gt;"",VLOOKUP(F106,offset('Teams-Conference'!A:B,0,(counta('Draft Order'!B$2:B129)-10)*2),2,0),"")</f>
        <v>MAC</v>
      </c>
      <c r="F106" s="1" t="s">
        <v>143</v>
      </c>
      <c r="H106" s="29">
        <f t="shared" si="1"/>
        <v>2</v>
      </c>
      <c r="I106" s="29">
        <f t="shared" si="2"/>
        <v>3</v>
      </c>
      <c r="J106" s="29">
        <f t="shared" si="11"/>
        <v>1</v>
      </c>
      <c r="K106" s="29">
        <f t="shared" ref="K106:K111" si="30">countif(E86:E106,E107)</f>
        <v>3</v>
      </c>
      <c r="L106" s="29"/>
      <c r="M106" s="29">
        <f>IFERROR(__xludf.DUMMYFUNCTION("counta(iferror(filter(L$2:L105,E$2:E105=E106,L$2:L105&lt;L106)))"),0.0)</f>
        <v>0</v>
      </c>
      <c r="N106" s="29">
        <f>IFERROR(__xludf.DUMMYFUNCTION("counta(iferror(filter(L107:L$129,E107:E$129=E106,L107:L$131&gt;L106)))"),0.0)</f>
        <v>0</v>
      </c>
      <c r="O106" s="34">
        <f t="array" ref="O106:W106">XLOOKUP(F106,'Current Week'!B:B,'Current Week'!C:N)</f>
        <v>6</v>
      </c>
      <c r="P106" s="29">
        <v>6.0</v>
      </c>
      <c r="Q106" s="30" t="s">
        <v>260</v>
      </c>
      <c r="R106" s="30" t="s">
        <v>202</v>
      </c>
      <c r="S106" s="30"/>
      <c r="T106" s="30" t="s">
        <v>203</v>
      </c>
      <c r="U106" s="37" t="s">
        <v>203</v>
      </c>
      <c r="V106" s="37"/>
      <c r="W106" s="37">
        <v>9999.0</v>
      </c>
      <c r="X106" s="37"/>
      <c r="Y106" s="37"/>
      <c r="Z106" s="37"/>
      <c r="AA106" s="39">
        <f t="shared" si="3"/>
        <v>-2</v>
      </c>
      <c r="AB106" s="37">
        <f t="shared" si="4"/>
        <v>33</v>
      </c>
      <c r="AC106" s="37">
        <f>IFERROR(__xludf.DUMMYFUNCTION("iferror(COUNT(filter($O107:$O$392,$O107:$O$392&gt;$O106)))"),3.0)</f>
        <v>3</v>
      </c>
      <c r="AD106" s="40">
        <f t="shared" si="5"/>
        <v>0</v>
      </c>
      <c r="AE106" s="41">
        <f t="shared" si="6"/>
        <v>5</v>
      </c>
      <c r="AF106" s="30" t="str">
        <f>IFERROR(__xludf.DUMMYFUNCTION("iferror(join("","",index(sort(filter($F107:$F$393,$O107:$O$393&gt;$O106),2,false),0,1)))"),"Kentucky,Central Michigan,Louisville")</f>
        <v>Kentucky,Central Michigan,Louisville</v>
      </c>
      <c r="AG106" s="39">
        <f>IFERROR(__xludf.DUMMYFUNCTION("iferror($O106-max(filter($O106:$O$392,$E106:$E$392=$E$2)))"),-1.0)</f>
        <v>-1</v>
      </c>
      <c r="AH106" s="37">
        <f t="shared" si="7"/>
        <v>0</v>
      </c>
      <c r="AI106" s="37">
        <f>IFERROR(__xludf.DUMMYFUNCTION("iferror(COUNT(filter($O107:$O$392,$O107:$O$392&gt;$O106,$E106:$E$392=$E$2)))"),0.0)</f>
        <v>0</v>
      </c>
      <c r="AJ106" s="40">
        <f t="shared" si="8"/>
        <v>0</v>
      </c>
      <c r="AK106" s="41">
        <f>IFERROR(__xludf.DUMMYFUNCTION("iferror($O106-min(filter($O106:$O$392,$E106:$E$392=$E$2)))"),4.0)</f>
        <v>4</v>
      </c>
      <c r="AL106" s="30" t="str">
        <f>IFERROR(__xludf.DUMMYFUNCTION("iferror(join("","",index(sort(filter($F107:$F$392,$O107:$O$392&gt;$O106,$E107:$E$392=$E$2),2,false),0,1)))"),"Kentucky")</f>
        <v>Kentucky</v>
      </c>
      <c r="AM106" s="30" t="str">
        <f>IFERROR(__xludf.DUMMYFUNCTION("REGEXREPLACE(join("","",unique({let(conf_picked,filter(E$1:E105,D$1:D105=D106), byrow(unique(TRANSPOSe(Teams!$1:$1)),lambda(rw,if(ISERROR(match(rw,conf_picked,0)),rw,))));iferror(if(#REF!,,transpose(split(#REF!,"","",1,1))))})), ""^,"", """")"),"MAC,Sun Belt,Independent")</f>
        <v>MAC,Sun Belt,Independent</v>
      </c>
      <c r="AN106" s="39">
        <f>IFERROR(__xludf.DUMMYFUNCTION("iferror($O106-max(filter($O106:$O$392,arrayformula(isnumber(FIND($E106:$E$392,AM106))))))"),-2.0)</f>
        <v>-2</v>
      </c>
      <c r="AO106" s="37">
        <f t="array" ref="AO106">countifs($O$2:$O105,"&lt;"&amp;$O106,isnumber(FIND($E$2:$E105,AM106)),TRUE)</f>
        <v>10</v>
      </c>
      <c r="AP106" s="37">
        <f>IFERROR(__xludf.DUMMYFUNCTION("iferror(COUNT(filter($O107:$O$392,$O107:$O$392&gt;$O106,arrayformula(isnumber(FIND($E107:$E$392,AM106))))))"),1.0)</f>
        <v>1</v>
      </c>
      <c r="AQ106" s="40">
        <f t="shared" si="9"/>
        <v>0</v>
      </c>
      <c r="AR106" s="41">
        <f>IFERROR(__xludf.DUMMYFUNCTION("iferror($O106-min(filter($O106:$O$392,arrayformula(isnumber(FIND($E106:$E$392,AM106))))))"),6.0)</f>
        <v>6</v>
      </c>
      <c r="AS106" s="48" t="str">
        <f>IFERROR(__xludf.DUMMYFUNCTION("iferror(join("","",index(sort(filter($F107:$F$392,$O107:$O$392&gt;$O106,arrayformula(isnumber(FIND($E107:$E$392,AM106)))),2,false),0,1)))"),"Central Michigan")</f>
        <v>Central Michigan</v>
      </c>
    </row>
    <row r="107">
      <c r="A107" s="1">
        <f t="shared" si="10"/>
        <v>106</v>
      </c>
      <c r="B107" s="1">
        <f t="shared" si="12"/>
        <v>9</v>
      </c>
      <c r="C107" s="1">
        <v>10.0</v>
      </c>
      <c r="D107" s="51" t="str">
        <f t="shared" si="28"/>
        <v>Josh R.</v>
      </c>
      <c r="E107" s="52" t="str">
        <f>if(F107&lt;&gt;"",VLOOKUP(F107,offset('Teams-Conference'!A:B,0,(counta('Draft Order'!B$2:B129)-10)*2),2,0),"")</f>
        <v>SEC</v>
      </c>
      <c r="F107" s="1" t="s">
        <v>177</v>
      </c>
      <c r="H107" s="29">
        <f t="shared" si="1"/>
        <v>1</v>
      </c>
      <c r="I107" s="29">
        <f t="shared" si="2"/>
        <v>4</v>
      </c>
      <c r="J107" s="29">
        <f t="shared" si="11"/>
        <v>3</v>
      </c>
      <c r="K107" s="29">
        <f t="shared" si="30"/>
        <v>0</v>
      </c>
      <c r="L107" s="29"/>
      <c r="M107" s="29">
        <f>IFERROR(__xludf.DUMMYFUNCTION("counta(iferror(filter(L$2:L106,E$2:E106=E107,L$2:L106&lt;L107)))"),0.0)</f>
        <v>0</v>
      </c>
      <c r="N107" s="29">
        <f>IFERROR(__xludf.DUMMYFUNCTION("counta(iferror(filter(L108:L$129,E108:E$129=E107,L108:L$131&gt;L107)))"),0.0)</f>
        <v>0</v>
      </c>
      <c r="O107" s="34">
        <f t="array" ref="O107:W107">XLOOKUP(F107,'Current Week'!B:B,'Current Week'!C:N)</f>
        <v>7</v>
      </c>
      <c r="P107" s="29">
        <v>5.0</v>
      </c>
      <c r="Q107" s="30" t="s">
        <v>287</v>
      </c>
      <c r="R107" s="30" t="s">
        <v>202</v>
      </c>
      <c r="S107" s="30"/>
      <c r="T107" s="30" t="s">
        <v>203</v>
      </c>
      <c r="U107" s="37" t="s">
        <v>203</v>
      </c>
      <c r="V107" s="37"/>
      <c r="W107" s="37">
        <v>9999.0</v>
      </c>
      <c r="X107" s="37"/>
      <c r="Y107" s="37"/>
      <c r="Z107" s="37"/>
      <c r="AA107" s="39">
        <f t="shared" si="3"/>
        <v>-1</v>
      </c>
      <c r="AB107" s="37">
        <f t="shared" si="4"/>
        <v>46</v>
      </c>
      <c r="AC107" s="37">
        <f>IFERROR(__xludf.DUMMYFUNCTION("iferror(COUNT(filter($O108:$O$392,$O108:$O$392&gt;$O107)))"),2.0)</f>
        <v>2</v>
      </c>
      <c r="AD107" s="40">
        <f t="shared" si="5"/>
        <v>0</v>
      </c>
      <c r="AE107" s="41">
        <f t="shared" si="6"/>
        <v>6</v>
      </c>
      <c r="AF107" s="30" t="str">
        <f>IFERROR(__xludf.DUMMYFUNCTION("iferror(join("","",index(sort(filter($F108:$F$393,$O108:$O$393&gt;$O107),2,false),0,1)))"),"Central Michigan,Louisville")</f>
        <v>Central Michigan,Louisville</v>
      </c>
      <c r="AG107" s="39">
        <f>IFERROR(__xludf.DUMMYFUNCTION("iferror($O107-max(filter($O107:$O$392,$E107:$E$392=$E$2)))"),0.0)</f>
        <v>0</v>
      </c>
      <c r="AH107" s="37">
        <f t="shared" si="7"/>
        <v>2</v>
      </c>
      <c r="AI107" s="37">
        <f>IFERROR(__xludf.DUMMYFUNCTION("iferror(COUNT(filter($O108:$O$392,$O108:$O$392&gt;$O107,$E107:$E$392=$E$2)))"),0.0)</f>
        <v>0</v>
      </c>
      <c r="AJ107" s="40">
        <f t="shared" si="8"/>
        <v>1</v>
      </c>
      <c r="AK107" s="41">
        <f>IFERROR(__xludf.DUMMYFUNCTION("iferror($O107-min(filter($O107:$O$392,$E107:$E$392=$E$2)))"),5.0)</f>
        <v>5</v>
      </c>
      <c r="AL107" s="30" t="str">
        <f>IFERROR(__xludf.DUMMYFUNCTION("iferror(join("","",index(sort(filter($F108:$F$392,$O108:$O$392&gt;$O107,$E108:$E$392=$E$2),2,false),0,1)))"),"")</f>
        <v/>
      </c>
      <c r="AM107" s="30" t="str">
        <f>IFERROR(__xludf.DUMMYFUNCTION("REGEXREPLACE(join("","",unique({let(conf_picked,filter(E$1:E106,D$1:D106=D107), byrow(unique(TRANSPOSe(Teams!$1:$1)),lambda(rw,if(ISERROR(match(rw,conf_picked,0)),rw,))));iferror(if(#REF!,,transpose(split(#REF!,"","",1,1))))})), ""^,"", """")"),"Big 12,SEC,Independent")</f>
        <v>Big 12,SEC,Independent</v>
      </c>
      <c r="AN107" s="39">
        <f>IFERROR(__xludf.DUMMYFUNCTION("iferror($O107-max(filter($O107:$O$392,arrayformula(isnumber(FIND($E107:$E$392,AM107))))))"),0.0)</f>
        <v>0</v>
      </c>
      <c r="AO107" s="37">
        <f t="array" ref="AO107">countifs($O$2:$O106,"&lt;"&amp;$O107,isnumber(FIND($E$2:$E106,AM107)),TRUE)</f>
        <v>5</v>
      </c>
      <c r="AP107" s="37">
        <f>IFERROR(__xludf.DUMMYFUNCTION("iferror(COUNT(filter($O108:$O$392,$O108:$O$392&gt;$O107,arrayformula(isnumber(FIND($E108:$E$392,AM107))))))"),0.0)</f>
        <v>0</v>
      </c>
      <c r="AQ107" s="40">
        <f t="shared" si="9"/>
        <v>1</v>
      </c>
      <c r="AR107" s="41">
        <f>IFERROR(__xludf.DUMMYFUNCTION("iferror($O107-min(filter($O107:$O$392,arrayformula(isnumber(FIND($E107:$E$392,AM107))))))"),5.0)</f>
        <v>5</v>
      </c>
      <c r="AS107" s="48" t="str">
        <f>IFERROR(__xludf.DUMMYFUNCTION("iferror(join("","",index(sort(filter($F108:$F$392,$O108:$O$392&gt;$O107,arrayformula(isnumber(FIND($E108:$E$392,AM107)))),2,false),0,1)))"),"")</f>
        <v/>
      </c>
    </row>
    <row r="108">
      <c r="A108" s="1">
        <f t="shared" si="10"/>
        <v>107</v>
      </c>
      <c r="B108" s="1">
        <f t="shared" si="12"/>
        <v>9</v>
      </c>
      <c r="C108" s="1">
        <v>11.0</v>
      </c>
      <c r="D108" s="51" t="str">
        <f t="shared" si="28"/>
        <v>Brad</v>
      </c>
      <c r="E108" s="52" t="str">
        <f>if(F108&lt;&gt;"",VLOOKUP(F108,offset('Teams-Conference'!A:B,0,(counta('Draft Order'!B$2:B129)-10)*2),2,0),"")</f>
        <v>MWC</v>
      </c>
      <c r="F108" s="1" t="s">
        <v>151</v>
      </c>
      <c r="H108" s="29">
        <f t="shared" si="1"/>
        <v>1</v>
      </c>
      <c r="I108" s="29">
        <f>countif(E109:E129,E108)</f>
        <v>1</v>
      </c>
      <c r="J108" s="29">
        <f t="shared" si="11"/>
        <v>0</v>
      </c>
      <c r="K108" s="29">
        <f t="shared" si="30"/>
        <v>2</v>
      </c>
      <c r="L108" s="29"/>
      <c r="M108" s="29">
        <f>IFERROR(__xludf.DUMMYFUNCTION("counta(iferror(filter(L$2:L107,E$2:E107=E108,L$2:L107&lt;L108)))"),0.0)</f>
        <v>0</v>
      </c>
      <c r="N108" s="29">
        <f>IFERROR(__xludf.DUMMYFUNCTION("counta(iferror(filter(L109:L$129,E109:E$129=E108,L109:L$131&gt;L108)))"),0.0)</f>
        <v>0</v>
      </c>
      <c r="O108" s="34">
        <f t="array" ref="O108:W108">XLOOKUP(F108,'Current Week'!B:B,'Current Week'!C:N)</f>
        <v>4</v>
      </c>
      <c r="P108" s="29">
        <v>8.0</v>
      </c>
      <c r="Q108" s="30" t="s">
        <v>215</v>
      </c>
      <c r="R108" s="30" t="s">
        <v>202</v>
      </c>
      <c r="S108" s="30"/>
      <c r="T108" s="30" t="s">
        <v>203</v>
      </c>
      <c r="U108" s="37" t="s">
        <v>203</v>
      </c>
      <c r="V108" s="37"/>
      <c r="W108" s="37">
        <v>9999.0</v>
      </c>
      <c r="X108" s="37"/>
      <c r="Y108" s="30"/>
      <c r="Z108" s="30"/>
      <c r="AA108" s="39">
        <f t="shared" si="3"/>
        <v>-4</v>
      </c>
      <c r="AB108" s="37">
        <f t="shared" si="4"/>
        <v>7</v>
      </c>
      <c r="AC108" s="37">
        <f>IFERROR(__xludf.DUMMYFUNCTION("iferror(COUNT(filter($O109:$O$392,$O109:$O$392&gt;$O108)))"),6.0)</f>
        <v>6</v>
      </c>
      <c r="AD108" s="40">
        <f t="shared" si="5"/>
        <v>0</v>
      </c>
      <c r="AE108" s="41">
        <f t="shared" si="6"/>
        <v>3</v>
      </c>
      <c r="AF108" s="30" t="str">
        <f>IFERROR(__xludf.DUMMYFUNCTION("iferror(join("","",index(sort(filter($F109:$F$393,$O109:$O$393&gt;$O108),2,false),0,1)))"),"Central Michigan,Duke,San José State,North Carolina,Louisville,Illinois")</f>
        <v>Central Michigan,Duke,San José State,North Carolina,Louisville,Illinois</v>
      </c>
      <c r="AG108" s="39">
        <f>IFERROR(__xludf.DUMMYFUNCTION("iferror($O108-max(filter($O108:$O$392,$E108:$E$392=$E$2)))"),0.0)</f>
        <v>0</v>
      </c>
      <c r="AH108" s="37">
        <f t="shared" si="7"/>
        <v>0</v>
      </c>
      <c r="AI108" s="37">
        <f>IFERROR(__xludf.DUMMYFUNCTION("iferror(COUNT(filter($O109:$O$392,$O109:$O$392&gt;$O108,$E108:$E$392=$E$2)))"),0.0)</f>
        <v>0</v>
      </c>
      <c r="AJ108" s="40">
        <f t="shared" si="8"/>
        <v>1</v>
      </c>
      <c r="AK108" s="41">
        <f>IFERROR(__xludf.DUMMYFUNCTION("iferror($O108-min(filter($O108:$O$392,$E108:$E$392=$E$2)))"),2.0)</f>
        <v>2</v>
      </c>
      <c r="AL108" s="30" t="str">
        <f>IFERROR(__xludf.DUMMYFUNCTION("iferror(join("","",index(sort(filter($F109:$F$392,$O109:$O$392&gt;$O108,$E109:$E$392=$E$2),2,false),0,1)))"),"")</f>
        <v/>
      </c>
      <c r="AM108" s="30" t="str">
        <f>IFERROR(__xludf.DUMMYFUNCTION("REGEXREPLACE(join("","",unique({let(conf_picked,filter(E$1:E107,D$1:D107=D108), byrow(unique(TRANSPOSe(Teams!$1:$1)),lambda(rw,if(ISERROR(match(rw,conf_picked,0)),rw,))));iferror(if(#REF!,,transpose(split(#REF!,"","",1,1))))})), ""^,"", """")"),"MWC,SEC,Independent")</f>
        <v>MWC,SEC,Independent</v>
      </c>
      <c r="AN108" s="39">
        <f>IFERROR(__xludf.DUMMYFUNCTION("iferror($O108-max(filter($O108:$O$392,arrayformula(isnumber(FIND($E108:$E$392,AM108))))))"),-1.0)</f>
        <v>-1</v>
      </c>
      <c r="AO108" s="37">
        <f t="array" ref="AO108">countifs($O$2:$O107,"&lt;"&amp;$O108,isnumber(FIND($E$2:$E107,AM108)),TRUE)</f>
        <v>1</v>
      </c>
      <c r="AP108" s="37">
        <f>IFERROR(__xludf.DUMMYFUNCTION("iferror(COUNT(filter($O109:$O$392,$O109:$O$392&gt;$O108,arrayformula(isnumber(FIND($E109:$E$392,AM108))))))"),1.0)</f>
        <v>1</v>
      </c>
      <c r="AQ108" s="40">
        <f t="shared" si="9"/>
        <v>0</v>
      </c>
      <c r="AR108" s="41">
        <f>IFERROR(__xludf.DUMMYFUNCTION("iferror($O108-min(filter($O108:$O$392,arrayformula(isnumber(FIND($E108:$E$392,AM108))))))"),2.0)</f>
        <v>2</v>
      </c>
      <c r="AS108" s="48" t="str">
        <f>IFERROR(__xludf.DUMMYFUNCTION("iferror(join("","",index(sort(filter($F109:$F$392,$O109:$O$392&gt;$O108,arrayformula(isnumber(FIND($E109:$E$392,AM108)))),2,false),0,1)))"),"San José State")</f>
        <v>San José State</v>
      </c>
    </row>
    <row r="109">
      <c r="A109" s="131">
        <f t="shared" si="10"/>
        <v>108</v>
      </c>
      <c r="B109" s="131">
        <f t="shared" si="12"/>
        <v>9</v>
      </c>
      <c r="C109" s="1">
        <v>12.0</v>
      </c>
      <c r="D109" s="132" t="str">
        <f t="shared" si="28"/>
        <v>Nick G.</v>
      </c>
      <c r="E109" s="157" t="str">
        <f>if(F109&lt;&gt;"",VLOOKUP(F109,offset('Teams-Conference'!A:B,0,(counta('Draft Order'!B$2:B129)-10)*2),2,0),"")</f>
        <v>MAC</v>
      </c>
      <c r="F109" t="s">
        <v>141</v>
      </c>
      <c r="H109" s="29">
        <f t="shared" si="1"/>
        <v>1</v>
      </c>
      <c r="I109" s="29">
        <f t="shared" ref="I109:I129" si="31">countif(E110:E129,E109)</f>
        <v>2</v>
      </c>
      <c r="J109" s="29">
        <f t="shared" si="11"/>
        <v>1</v>
      </c>
      <c r="K109" s="29">
        <f t="shared" si="30"/>
        <v>0</v>
      </c>
      <c r="L109" s="29"/>
      <c r="M109" s="29">
        <f>IFERROR(__xludf.DUMMYFUNCTION("counta(iferror(filter(L$2:L108,E$2:E108=E109,L$2:L108&lt;L109)))"),0.0)</f>
        <v>0</v>
      </c>
      <c r="N109" s="29">
        <f>IFERROR(__xludf.DUMMYFUNCTION("counta(iferror(filter(L110:L$129,E110:E$129=E109,L110:L$131&gt;L109)))"),0.0)</f>
        <v>0</v>
      </c>
      <c r="O109" s="34">
        <f t="array" ref="O109:W109">XLOOKUP(F109,'Current Week'!B:B,'Current Week'!C:N)</f>
        <v>8</v>
      </c>
      <c r="P109" s="29">
        <v>4.0</v>
      </c>
      <c r="Q109" s="30" t="s">
        <v>260</v>
      </c>
      <c r="R109" s="30" t="s">
        <v>254</v>
      </c>
      <c r="S109" s="30" t="s">
        <v>239</v>
      </c>
      <c r="T109" s="30" t="s">
        <v>244</v>
      </c>
      <c r="U109" s="37">
        <v>54.0</v>
      </c>
      <c r="V109" s="37" t="s">
        <v>48</v>
      </c>
      <c r="W109" s="37" t="s">
        <v>239</v>
      </c>
      <c r="X109" s="37"/>
      <c r="Y109" s="37"/>
      <c r="Z109" s="37"/>
      <c r="AA109" s="39">
        <f t="shared" si="3"/>
        <v>0</v>
      </c>
      <c r="AB109" s="37">
        <f t="shared" si="4"/>
        <v>67</v>
      </c>
      <c r="AC109" s="37">
        <f>IFERROR(__xludf.DUMMYFUNCTION("iferror(COUNT(filter($O110:$O$392,$O110:$O$392&gt;$O109)))"),0.0)</f>
        <v>0</v>
      </c>
      <c r="AD109" s="40">
        <f t="shared" si="5"/>
        <v>1</v>
      </c>
      <c r="AE109" s="41">
        <f t="shared" si="6"/>
        <v>7</v>
      </c>
      <c r="AF109" s="30" t="str">
        <f>IFERROR(__xludf.DUMMYFUNCTION("iferror(join("","",index(sort(filter($F110:$F$393,$O110:$O$393&gt;$O109),2,false),0,1)))"),"")</f>
        <v/>
      </c>
      <c r="AG109" s="39">
        <f>IFERROR(__xludf.DUMMYFUNCTION("iferror($O109-max(filter($O109:$O$392,$E109:$E$392=$E$2)))"),4.0)</f>
        <v>4</v>
      </c>
      <c r="AH109" s="37">
        <f t="shared" si="7"/>
        <v>5</v>
      </c>
      <c r="AI109" s="37">
        <f>IFERROR(__xludf.DUMMYFUNCTION("iferror(COUNT(filter($O110:$O$392,$O110:$O$392&gt;$O109,$E109:$E$392=$E$2)))"),0.0)</f>
        <v>0</v>
      </c>
      <c r="AJ109" s="40">
        <f t="shared" si="8"/>
        <v>0</v>
      </c>
      <c r="AK109" s="41">
        <f>IFERROR(__xludf.DUMMYFUNCTION("iferror($O109-min(filter($O109:$O$392,$E109:$E$392=$E$2)))"),6.0)</f>
        <v>6</v>
      </c>
      <c r="AL109" s="30" t="str">
        <f>IFERROR(__xludf.DUMMYFUNCTION("iferror(join("","",index(sort(filter($F110:$F$392,$O110:$O$392&gt;$O109,$E110:$E$392=$E$2),2,false),0,1)))"),"")</f>
        <v/>
      </c>
      <c r="AM109" s="30" t="str">
        <f>IFERROR(__xludf.DUMMYFUNCTION("REGEXREPLACE(join("","",unique({let(conf_picked,filter(E$1:E108,D$1:D108=D109), byrow(unique(TRANSPOSe(Teams!$1:$1)),lambda(rw,if(ISERROR(match(rw,conf_picked,0)),rw,))));iferror(if(#REF!,,transpose(split(#REF!,"","",1,1))))})), ""^,"", """")"),"AAC,,MAC,Independent")</f>
        <v>AAC,,MAC,Independent</v>
      </c>
      <c r="AN109" s="39">
        <f>IFERROR(__xludf.DUMMYFUNCTION("iferror($O109-max(filter($O109:$O$392,arrayformula(isnumber(FIND($E109:$E$392,AM109))))))"),0.0)</f>
        <v>0</v>
      </c>
      <c r="AO109" s="37">
        <f t="array" ref="AO109">countifs($O$2:$O108,"&lt;"&amp;$O109,isnumber(FIND($E$2:$E108,AM109)),TRUE)</f>
        <v>14</v>
      </c>
      <c r="AP109" s="37">
        <f>IFERROR(__xludf.DUMMYFUNCTION("iferror(COUNT(filter($O110:$O$392,$O110:$O$392&gt;$O109,arrayformula(isnumber(FIND($E110:$E$392,AM109))))))"),0.0)</f>
        <v>0</v>
      </c>
      <c r="AQ109" s="40">
        <f t="shared" si="9"/>
        <v>1</v>
      </c>
      <c r="AR109" s="41">
        <f>IFERROR(__xludf.DUMMYFUNCTION("iferror($O109-min(filter($O109:$O$392,arrayformula(isnumber(FIND($E109:$E$392,AM109))))))"),8.0)</f>
        <v>8</v>
      </c>
      <c r="AS109" s="48" t="str">
        <f>IFERROR(__xludf.DUMMYFUNCTION("iferror(join("","",index(sort(filter($F110:$F$392,$O110:$O$392&gt;$O109,arrayformula(isnumber(FIND($E110:$E$392,AM109)))),2,false),0,1)))"),"")</f>
        <v/>
      </c>
    </row>
    <row r="110">
      <c r="A110" s="1">
        <f t="shared" si="10"/>
        <v>109</v>
      </c>
      <c r="B110" s="1">
        <f t="shared" si="12"/>
        <v>10</v>
      </c>
      <c r="C110" s="1">
        <v>1.0</v>
      </c>
      <c r="D110" s="135" t="str">
        <f>D109</f>
        <v>Nick G.</v>
      </c>
      <c r="E110" s="52" t="str">
        <f>if(F110&lt;&gt;"",VLOOKUP(F110,offset('Teams-Conference'!A:B,0,(counta('Draft Order'!B$2:B129)-10)*2),2,0),"")</f>
        <v>AAC</v>
      </c>
      <c r="F110" t="s">
        <v>23</v>
      </c>
      <c r="H110" s="29">
        <f t="shared" si="1"/>
        <v>0</v>
      </c>
      <c r="I110" s="29">
        <f t="shared" si="31"/>
        <v>0</v>
      </c>
      <c r="J110" s="29">
        <f t="shared" si="11"/>
        <v>0</v>
      </c>
      <c r="K110" s="29">
        <f t="shared" si="30"/>
        <v>4</v>
      </c>
      <c r="L110" s="29"/>
      <c r="M110" s="29">
        <f>IFERROR(__xludf.DUMMYFUNCTION("counta(iferror(filter(L$2:L109,E$2:E109=E110,L$2:L109&lt;L110)))"),0.0)</f>
        <v>0</v>
      </c>
      <c r="N110" s="29">
        <f>IFERROR(__xludf.DUMMYFUNCTION("counta(iferror(filter(L111:L$129,E111:E$129=E110,L111:L$131&gt;L110)))"),0.0)</f>
        <v>0</v>
      </c>
      <c r="O110" s="34">
        <f t="array" ref="O110:W110">XLOOKUP(F110,'Current Week'!B:B,'Current Week'!C:N)</f>
        <v>2</v>
      </c>
      <c r="P110" s="29">
        <v>10.0</v>
      </c>
      <c r="Q110" s="30" t="s">
        <v>248</v>
      </c>
      <c r="R110" s="30" t="s">
        <v>202</v>
      </c>
      <c r="S110" s="30"/>
      <c r="T110" s="30" t="s">
        <v>203</v>
      </c>
      <c r="U110" s="37" t="s">
        <v>203</v>
      </c>
      <c r="V110" s="37"/>
      <c r="W110" s="37">
        <v>9999.0</v>
      </c>
      <c r="X110" s="37"/>
      <c r="Y110" s="37"/>
      <c r="Z110" s="37"/>
      <c r="AA110" s="39">
        <f t="shared" si="3"/>
        <v>-6</v>
      </c>
      <c r="AB110" s="37">
        <f t="shared" si="4"/>
        <v>1</v>
      </c>
      <c r="AC110" s="37">
        <f>IFERROR(__xludf.DUMMYFUNCTION("iferror(COUNT(filter($O111:$O$392,$O111:$O$392&gt;$O110)))"),14.0)</f>
        <v>14</v>
      </c>
      <c r="AD110" s="40">
        <f t="shared" si="5"/>
        <v>0</v>
      </c>
      <c r="AE110" s="41">
        <f t="shared" si="6"/>
        <v>1</v>
      </c>
      <c r="AF110" s="30" t="str">
        <f>IFERROR(__xludf.DUMMYFUNCTION("iferror(join("","",index(sort(filter($F111:$F$393,$O111:$O$393&gt;$O110),2,false),0,1)))"),"South Carolina,Kansas,Duke,San José State,North Carolina,Maryland,Bowling Green,UTSA,Louisville,Illinois,Ole Miss,Georgia Tech,Rice,Vanderbilt")</f>
        <v>South Carolina,Kansas,Duke,San José State,North Carolina,Maryland,Bowling Green,UTSA,Louisville,Illinois,Ole Miss,Georgia Tech,Rice,Vanderbilt</v>
      </c>
      <c r="AG110" s="39">
        <f>IFERROR(__xludf.DUMMYFUNCTION("iferror($O110-max(filter($O110:$O$392,$E110:$E$392=$E$2)))"),-2.0)</f>
        <v>-2</v>
      </c>
      <c r="AH110" s="37">
        <f t="shared" si="7"/>
        <v>0</v>
      </c>
      <c r="AI110" s="37">
        <f>IFERROR(__xludf.DUMMYFUNCTION("iferror(COUNT(filter($O111:$O$392,$O111:$O$392&gt;$O110,$E110:$E$392=$E$2)))"),0.0)</f>
        <v>0</v>
      </c>
      <c r="AJ110" s="40">
        <f t="shared" si="8"/>
        <v>0</v>
      </c>
      <c r="AK110" s="41">
        <f>IFERROR(__xludf.DUMMYFUNCTION("iferror($O110-min(filter($O110:$O$392,$E110:$E$392=$E$2)))"),0.0)</f>
        <v>0</v>
      </c>
      <c r="AL110" s="30" t="str">
        <f>IFERROR(__xludf.DUMMYFUNCTION("iferror(join("","",index(sort(filter($F111:$F$392,$O111:$O$392&gt;$O110,$E111:$E$392=$E$2),2,false),0,1)))"),"South Carolina,Ole Miss,Vanderbilt")</f>
        <v>South Carolina,Ole Miss,Vanderbilt</v>
      </c>
      <c r="AM110" s="30" t="str">
        <f>IFERROR(__xludf.DUMMYFUNCTION("REGEXREPLACE(join("","",unique({let(conf_picked,filter(E$1:E109,D$1:D109=D110), byrow(unique(TRANSPOSe(Teams!$1:$1)),lambda(rw,if(ISERROR(match(rw,conf_picked,0)),rw,))));iferror(if(#REF!,,transpose(split(#REF!,"","",1,1))))})), ""^,"", """")"),"AAC,,Independent")</f>
        <v>AAC,,Independent</v>
      </c>
      <c r="AN110" s="39">
        <f>IFERROR(__xludf.DUMMYFUNCTION("iferror($O110-max(filter($O110:$O$392,arrayformula(isnumber(FIND($E110:$E$392,AM110))))))"),0.0)</f>
        <v>0</v>
      </c>
      <c r="AO110" s="37">
        <f t="array" ref="AO110">countifs($O$2:$O109,"&lt;"&amp;$O110,isnumber(FIND($E$2:$E109,AM110)),TRUE)</f>
        <v>0</v>
      </c>
      <c r="AP110" s="37">
        <f>IFERROR(__xludf.DUMMYFUNCTION("iferror(COUNT(filter($O111:$O$392,$O111:$O$392&gt;$O110,arrayformula(isnumber(FIND($E111:$E$392,AM110))))))"),0.0)</f>
        <v>0</v>
      </c>
      <c r="AQ110" s="40">
        <f t="shared" si="9"/>
        <v>1</v>
      </c>
      <c r="AR110" s="41">
        <f>IFERROR(__xludf.DUMMYFUNCTION("iferror($O110-min(filter($O110:$O$392,arrayformula(isnumber(FIND($E110:$E$392,AM110))))))"),0.0)</f>
        <v>0</v>
      </c>
      <c r="AS110" s="48" t="str">
        <f>IFERROR(__xludf.DUMMYFUNCTION("iferror(join("","",index(sort(filter($F111:$F$392,$O111:$O$392&gt;$O110,arrayformula(isnumber(FIND($E111:$E$392,AM110)))),2,false),0,1)))"),"")</f>
        <v/>
      </c>
    </row>
    <row r="111">
      <c r="A111" s="1">
        <f t="shared" si="10"/>
        <v>110</v>
      </c>
      <c r="B111" s="1">
        <f t="shared" si="12"/>
        <v>10</v>
      </c>
      <c r="C111" s="1">
        <v>2.0</v>
      </c>
      <c r="D111" s="56" t="str">
        <f>D108</f>
        <v>Brad</v>
      </c>
      <c r="E111" s="52" t="str">
        <f>if(F111&lt;&gt;"",VLOOKUP(F111,offset('Teams-Conference'!A:B,0,(counta('Draft Order'!B$2:B129)-10)*2),2,0),"")</f>
        <v>SEC</v>
      </c>
      <c r="F111" t="s">
        <v>182</v>
      </c>
      <c r="H111" s="29">
        <f t="shared" si="1"/>
        <v>1</v>
      </c>
      <c r="I111" s="29">
        <f t="shared" si="31"/>
        <v>3</v>
      </c>
      <c r="J111" s="29">
        <f t="shared" si="11"/>
        <v>3</v>
      </c>
      <c r="K111" s="29">
        <f t="shared" si="30"/>
        <v>1</v>
      </c>
      <c r="L111" s="29"/>
      <c r="M111" s="29">
        <f>IFERROR(__xludf.DUMMYFUNCTION("counta(iferror(filter(L$2:L110,E$2:E110=E111,L$2:L110&lt;L111)))"),0.0)</f>
        <v>0</v>
      </c>
      <c r="N111" s="29">
        <f>IFERROR(__xludf.DUMMYFUNCTION("counta(iferror(filter(L112:L$129,E112:E$129=E111,L112:L$131&gt;L111)))"),0.0)</f>
        <v>0</v>
      </c>
      <c r="O111" s="34">
        <f t="array" ref="O111:W111">XLOOKUP(F111,'Current Week'!B:B,'Current Week'!C:N)</f>
        <v>4</v>
      </c>
      <c r="P111" s="29">
        <v>8.0</v>
      </c>
      <c r="Q111" s="30" t="s">
        <v>287</v>
      </c>
      <c r="R111" s="30" t="s">
        <v>202</v>
      </c>
      <c r="S111" s="30"/>
      <c r="T111" s="30" t="s">
        <v>203</v>
      </c>
      <c r="U111" s="37" t="s">
        <v>203</v>
      </c>
      <c r="V111" s="37"/>
      <c r="W111" s="37">
        <v>9999.0</v>
      </c>
      <c r="X111" s="37"/>
      <c r="Y111" s="30"/>
      <c r="Z111" s="30"/>
      <c r="AA111" s="39">
        <f t="shared" si="3"/>
        <v>-4</v>
      </c>
      <c r="AB111" s="37">
        <f t="shared" si="4"/>
        <v>8</v>
      </c>
      <c r="AC111" s="37">
        <f>IFERROR(__xludf.DUMMYFUNCTION("iferror(COUNT(filter($O112:$O$392,$O112:$O$392&gt;$O111)))"),5.0)</f>
        <v>5</v>
      </c>
      <c r="AD111" s="40">
        <f t="shared" si="5"/>
        <v>0</v>
      </c>
      <c r="AE111" s="41">
        <f t="shared" si="6"/>
        <v>3</v>
      </c>
      <c r="AF111" s="30" t="str">
        <f>IFERROR(__xludf.DUMMYFUNCTION("iferror(join("","",index(sort(filter($F112:$F$393,$O112:$O$393&gt;$O111),2,false),0,1)))"),"Duke,San José State,North Carolina,Louisville,Illinois")</f>
        <v>Duke,San José State,North Carolina,Louisville,Illinois</v>
      </c>
      <c r="AG111" s="39">
        <f>IFERROR(__xludf.DUMMYFUNCTION("iferror($O111-max(filter($O111:$O$392,$E111:$E$392=$E$2)))"),0.0)</f>
        <v>0</v>
      </c>
      <c r="AH111" s="37">
        <f t="shared" si="7"/>
        <v>0</v>
      </c>
      <c r="AI111" s="37">
        <f>IFERROR(__xludf.DUMMYFUNCTION("iferror(COUNT(filter($O112:$O$392,$O112:$O$392&gt;$O111,$E111:$E$392=$E$2)))"),0.0)</f>
        <v>0</v>
      </c>
      <c r="AJ111" s="40">
        <f t="shared" si="8"/>
        <v>1</v>
      </c>
      <c r="AK111" s="41">
        <f>IFERROR(__xludf.DUMMYFUNCTION("iferror($O111-min(filter($O111:$O$392,$E111:$E$392=$E$2)))"),2.0)</f>
        <v>2</v>
      </c>
      <c r="AL111" s="30" t="str">
        <f>IFERROR(__xludf.DUMMYFUNCTION("iferror(join("","",index(sort(filter($F112:$F$392,$O112:$O$392&gt;$O111,$E112:$E$392=$E$2),2,false),0,1)))"),"")</f>
        <v/>
      </c>
      <c r="AM111" s="30" t="str">
        <f>IFERROR(__xludf.DUMMYFUNCTION("REGEXREPLACE(join("","",unique({let(conf_picked,filter(E$1:E110,D$1:D110=D111), byrow(unique(TRANSPOSe(Teams!$1:$1)),lambda(rw,if(ISERROR(match(rw,conf_picked,0)),rw,))));iferror(if(#REF!,,transpose(split(#REF!,"","",1,1))))})), ""^,"", """")"),"SEC,Independent")</f>
        <v>SEC,Independent</v>
      </c>
      <c r="AN111" s="39">
        <f>IFERROR(__xludf.DUMMYFUNCTION("iferror($O111-max(filter($O111:$O$392,arrayformula(isnumber(FIND($E111:$E$392,AM111))))))"),0.0)</f>
        <v>0</v>
      </c>
      <c r="AO111" s="37">
        <f t="array" ref="AO111">countifs($O$2:$O110,"&lt;"&amp;$O111,isnumber(FIND($E$2:$E110,AM111)),TRUE)</f>
        <v>0</v>
      </c>
      <c r="AP111" s="37">
        <f>IFERROR(__xludf.DUMMYFUNCTION("iferror(COUNT(filter($O112:$O$392,$O112:$O$392&gt;$O111,arrayformula(isnumber(FIND($E112:$E$392,AM111))))))"),0.0)</f>
        <v>0</v>
      </c>
      <c r="AQ111" s="40">
        <f t="shared" si="9"/>
        <v>1</v>
      </c>
      <c r="AR111" s="41">
        <f>IFERROR(__xludf.DUMMYFUNCTION("iferror($O111-min(filter($O111:$O$392,arrayformula(isnumber(FIND($E111:$E$392,AM111))))))"),2.0)</f>
        <v>2</v>
      </c>
      <c r="AS111" s="48" t="str">
        <f>IFERROR(__xludf.DUMMYFUNCTION("iferror(join("","",index(sort(filter($F112:$F$392,$O112:$O$392&gt;$O111,arrayformula(isnumber(FIND($E112:$E$392,AM111)))),2,false),0,1)))"),"")</f>
        <v/>
      </c>
    </row>
    <row r="112">
      <c r="A112" s="1">
        <f t="shared" si="10"/>
        <v>111</v>
      </c>
      <c r="B112" s="1">
        <f t="shared" si="12"/>
        <v>10</v>
      </c>
      <c r="C112" s="1">
        <v>3.0</v>
      </c>
      <c r="D112" s="56" t="str">
        <f>D107</f>
        <v>Josh R.</v>
      </c>
      <c r="E112" s="52" t="str">
        <f>if(F112&lt;&gt;"",VLOOKUP(F112,offset('Teams-Conference'!A:B,0,(counta('Draft Order'!B$2:B129)-10)*2),2,0),"")</f>
        <v>Big 12</v>
      </c>
      <c r="F112" s="1" t="s">
        <v>98</v>
      </c>
      <c r="H112" s="29">
        <f t="shared" si="1"/>
        <v>0</v>
      </c>
      <c r="I112" s="29">
        <f t="shared" si="31"/>
        <v>0</v>
      </c>
      <c r="J112" s="29">
        <f t="shared" si="11"/>
        <v>1</v>
      </c>
      <c r="K112" s="29">
        <f t="shared" ref="K112:K116" si="32">countif(E93:E112,E113)</f>
        <v>2</v>
      </c>
      <c r="L112" s="29"/>
      <c r="M112" s="29">
        <f>IFERROR(__xludf.DUMMYFUNCTION("counta(iferror(filter(L$2:L111,E$2:E111=E112,L$2:L111&lt;L112)))"),0.0)</f>
        <v>0</v>
      </c>
      <c r="N112" s="29">
        <f>IFERROR(__xludf.DUMMYFUNCTION("counta(iferror(filter(L113:L$129,E113:E$129=E112,L113:L$131&gt;L112)))"),0.0)</f>
        <v>0</v>
      </c>
      <c r="O112" s="34">
        <f t="array" ref="O112:W112">XLOOKUP(F112,'Current Week'!B:B,'Current Week'!C:N)</f>
        <v>3</v>
      </c>
      <c r="P112" s="29">
        <v>9.0</v>
      </c>
      <c r="Q112" s="30" t="s">
        <v>269</v>
      </c>
      <c r="R112" s="30" t="s">
        <v>202</v>
      </c>
      <c r="S112" s="30"/>
      <c r="T112" s="30" t="s">
        <v>203</v>
      </c>
      <c r="U112" s="37" t="s">
        <v>203</v>
      </c>
      <c r="V112" s="37"/>
      <c r="W112" s="37">
        <v>9999.0</v>
      </c>
      <c r="X112" s="37"/>
      <c r="Y112" s="37"/>
      <c r="Z112" s="37"/>
      <c r="AA112" s="39">
        <f t="shared" si="3"/>
        <v>-5</v>
      </c>
      <c r="AB112" s="37">
        <f t="shared" si="4"/>
        <v>5</v>
      </c>
      <c r="AC112" s="37">
        <f>IFERROR(__xludf.DUMMYFUNCTION("iferror(COUNT(filter($O113:$O$392,$O113:$O$392&gt;$O112)))"),7.0)</f>
        <v>7</v>
      </c>
      <c r="AD112" s="40">
        <f t="shared" si="5"/>
        <v>0</v>
      </c>
      <c r="AE112" s="41">
        <f t="shared" si="6"/>
        <v>2</v>
      </c>
      <c r="AF112" s="30" t="str">
        <f>IFERROR(__xludf.DUMMYFUNCTION("iferror(join("","",index(sort(filter($F113:$F$393,$O113:$O$393&gt;$O112),2,false),0,1)))"),"Duke,San José State,North Carolina,UTSA,Louisville,Illinois,Ole Miss")</f>
        <v>Duke,San José State,North Carolina,UTSA,Louisville,Illinois,Ole Miss</v>
      </c>
      <c r="AG112" s="39">
        <f>IFERROR(__xludf.DUMMYFUNCTION("iferror($O112-max(filter($O112:$O$392,$E112:$E$392=$E$2)))"),-1.0)</f>
        <v>-1</v>
      </c>
      <c r="AH112" s="37">
        <f t="shared" si="7"/>
        <v>0</v>
      </c>
      <c r="AI112" s="37">
        <f>IFERROR(__xludf.DUMMYFUNCTION("iferror(COUNT(filter($O113:$O$392,$O113:$O$392&gt;$O112,$E112:$E$392=$E$2)))"),0.0)</f>
        <v>0</v>
      </c>
      <c r="AJ112" s="40">
        <f t="shared" si="8"/>
        <v>0</v>
      </c>
      <c r="AK112" s="41">
        <f>IFERROR(__xludf.DUMMYFUNCTION("iferror($O112-min(filter($O112:$O$392,$E112:$E$392=$E$2)))"),1.0)</f>
        <v>1</v>
      </c>
      <c r="AL112" s="30" t="str">
        <f>IFERROR(__xludf.DUMMYFUNCTION("iferror(join("","",index(sort(filter($F113:$F$392,$O113:$O$392&gt;$O112,$E113:$E$392=$E$2),2,false),0,1)))"),"Ole Miss")</f>
        <v>Ole Miss</v>
      </c>
      <c r="AM112" s="30" t="str">
        <f>IFERROR(__xludf.DUMMYFUNCTION("REGEXREPLACE(join("","",unique({let(conf_picked,filter(E$1:E111,D$1:D111=D112), byrow(unique(TRANSPOSe(Teams!$1:$1)),lambda(rw,if(ISERROR(match(rw,conf_picked,0)),rw,))));iferror(if(#REF!,,transpose(split(#REF!,"","",1,1))))})), ""^,"", """")"),"Big 12,Independent")</f>
        <v>Big 12,Independent</v>
      </c>
      <c r="AN112" s="39">
        <f>IFERROR(__xludf.DUMMYFUNCTION("iferror($O112-max(filter($O112:$O$392,arrayformula(isnumber(FIND($E112:$E$392,AM112))))))"),0.0)</f>
        <v>0</v>
      </c>
      <c r="AO112" s="37">
        <f t="array" ref="AO112">countifs($O$2:$O111,"&lt;"&amp;$O112,isnumber(FIND($E$2:$E111,AM112)),TRUE)</f>
        <v>0</v>
      </c>
      <c r="AP112" s="37">
        <f>IFERROR(__xludf.DUMMYFUNCTION("iferror(COUNT(filter($O113:$O$392,$O113:$O$392&gt;$O112,arrayformula(isnumber(FIND($E113:$E$392,AM112))))))"),0.0)</f>
        <v>0</v>
      </c>
      <c r="AQ112" s="40">
        <f t="shared" si="9"/>
        <v>1</v>
      </c>
      <c r="AR112" s="41">
        <f>IFERROR(__xludf.DUMMYFUNCTION("iferror($O112-min(filter($O112:$O$392,arrayformula(isnumber(FIND($E112:$E$392,AM112))))))"),0.0)</f>
        <v>0</v>
      </c>
      <c r="AS112" s="48" t="str">
        <f>IFERROR(__xludf.DUMMYFUNCTION("iferror(join("","",index(sort(filter($F113:$F$392,$O113:$O$392&gt;$O112,arrayformula(isnumber(FIND($E113:$E$392,AM112)))),2,false),0,1)))"),"")</f>
        <v/>
      </c>
    </row>
    <row r="113">
      <c r="A113" s="1">
        <f t="shared" si="10"/>
        <v>112</v>
      </c>
      <c r="B113" s="1">
        <f t="shared" si="12"/>
        <v>10</v>
      </c>
      <c r="C113" s="1">
        <v>4.0</v>
      </c>
      <c r="D113" s="56" t="str">
        <f>D106</f>
        <v>Vu</v>
      </c>
      <c r="E113" s="52" t="str">
        <f>if(F113&lt;&gt;"",VLOOKUP(F113,offset('Teams-Conference'!A:B,0,(counta('Draft Order'!B$2:B129)-10)*2),2,0),"")</f>
        <v>Sun Belt</v>
      </c>
      <c r="F113" t="s">
        <v>192</v>
      </c>
      <c r="H113" s="29">
        <f t="shared" si="1"/>
        <v>0</v>
      </c>
      <c r="I113" s="29">
        <f t="shared" si="31"/>
        <v>0</v>
      </c>
      <c r="J113" s="29">
        <f t="shared" si="11"/>
        <v>0</v>
      </c>
      <c r="K113" s="29">
        <f t="shared" si="32"/>
        <v>3</v>
      </c>
      <c r="L113" s="29"/>
      <c r="M113" s="29">
        <f>IFERROR(__xludf.DUMMYFUNCTION("counta(iferror(filter(L$2:L112,E$2:E112=E113,L$2:L112&lt;L113)))"),0.0)</f>
        <v>0</v>
      </c>
      <c r="N113" s="29">
        <f>IFERROR(__xludf.DUMMYFUNCTION("counta(iferror(filter(L114:L$129,E114:E$129=E113,L114:L$131&gt;L113)))"),0.0)</f>
        <v>0</v>
      </c>
      <c r="O113" s="34">
        <f t="array" ref="O113:W113">XLOOKUP(F113,'Current Week'!B:B,'Current Week'!C:N)</f>
        <v>2</v>
      </c>
      <c r="P113" s="29">
        <v>10.0</v>
      </c>
      <c r="Q113" s="30" t="s">
        <v>267</v>
      </c>
      <c r="R113" s="30" t="s">
        <v>202</v>
      </c>
      <c r="S113" s="30"/>
      <c r="T113" s="30" t="s">
        <v>203</v>
      </c>
      <c r="U113" s="37" t="s">
        <v>203</v>
      </c>
      <c r="V113" s="37"/>
      <c r="W113" s="37">
        <v>9999.0</v>
      </c>
      <c r="X113" s="37"/>
      <c r="Y113" s="37"/>
      <c r="Z113" s="37"/>
      <c r="AA113" s="39">
        <f t="shared" si="3"/>
        <v>-6</v>
      </c>
      <c r="AB113" s="37">
        <f t="shared" si="4"/>
        <v>1</v>
      </c>
      <c r="AC113" s="37">
        <f>IFERROR(__xludf.DUMMYFUNCTION("iferror(COUNT(filter($O114:$O$392,$O114:$O$392&gt;$O113)))"),12.0)</f>
        <v>12</v>
      </c>
      <c r="AD113" s="40">
        <f t="shared" si="5"/>
        <v>0</v>
      </c>
      <c r="AE113" s="41">
        <f t="shared" si="6"/>
        <v>1</v>
      </c>
      <c r="AF113" s="30" t="str">
        <f>IFERROR(__xludf.DUMMYFUNCTION("iferror(join("","",index(sort(filter($F114:$F$393,$O114:$O$393&gt;$O113),2,false),0,1)))"),"Duke,San José State,North Carolina,Maryland,Bowling Green,UTSA,Louisville,Illinois,Ole Miss,Georgia Tech,Rice,Vanderbilt")</f>
        <v>Duke,San José State,North Carolina,Maryland,Bowling Green,UTSA,Louisville,Illinois,Ole Miss,Georgia Tech,Rice,Vanderbilt</v>
      </c>
      <c r="AG113" s="39">
        <f>IFERROR(__xludf.DUMMYFUNCTION("iferror($O113-max(filter($O113:$O$392,$E113:$E$392=$E$2)))"),-2.0)</f>
        <v>-2</v>
      </c>
      <c r="AH113" s="37">
        <f t="shared" si="7"/>
        <v>0</v>
      </c>
      <c r="AI113" s="37">
        <f>IFERROR(__xludf.DUMMYFUNCTION("iferror(COUNT(filter($O114:$O$392,$O114:$O$392&gt;$O113,$E113:$E$392=$E$2)))"),0.0)</f>
        <v>0</v>
      </c>
      <c r="AJ113" s="40">
        <f t="shared" si="8"/>
        <v>0</v>
      </c>
      <c r="AK113" s="41">
        <f>IFERROR(__xludf.DUMMYFUNCTION("iferror($O113-min(filter($O113:$O$392,$E113:$E$392=$E$2)))"),0.0)</f>
        <v>0</v>
      </c>
      <c r="AL113" s="30" t="str">
        <f>IFERROR(__xludf.DUMMYFUNCTION("iferror(join("","",index(sort(filter($F114:$F$392,$O114:$O$392&gt;$O113,$E114:$E$392=$E$2),2,false),0,1)))"),"Ole Miss,Vanderbilt")</f>
        <v>Ole Miss,Vanderbilt</v>
      </c>
      <c r="AM113" s="30" t="str">
        <f>IFERROR(__xludf.DUMMYFUNCTION("REGEXREPLACE(join("","",unique({let(conf_picked,filter(E$1:E112,D$1:D112=D113), byrow(unique(TRANSPOSe(Teams!$1:$1)),lambda(rw,if(ISERROR(match(rw,conf_picked,0)),rw,))));iferror(if(#REF!,,transpose(split(#REF!,"","",1,1))))})), ""^,"", """")"),"Sun Belt,Independent")</f>
        <v>Sun Belt,Independent</v>
      </c>
      <c r="AN113" s="39">
        <f>IFERROR(__xludf.DUMMYFUNCTION("iferror($O113-max(filter($O113:$O$392,arrayformula(isnumber(FIND($E113:$E$392,AM113))))))"),0.0)</f>
        <v>0</v>
      </c>
      <c r="AO113" s="37">
        <f t="array" ref="AO113">countifs($O$2:$O112,"&lt;"&amp;$O113,isnumber(FIND($E$2:$E112,AM113)),TRUE)</f>
        <v>0</v>
      </c>
      <c r="AP113" s="37">
        <f>IFERROR(__xludf.DUMMYFUNCTION("iferror(COUNT(filter($O114:$O$392,$O114:$O$392&gt;$O113,arrayformula(isnumber(FIND($E114:$E$392,AM113))))))"),0.0)</f>
        <v>0</v>
      </c>
      <c r="AQ113" s="40">
        <f t="shared" si="9"/>
        <v>1</v>
      </c>
      <c r="AR113" s="41">
        <f>IFERROR(__xludf.DUMMYFUNCTION("iferror($O113-min(filter($O113:$O$392,arrayformula(isnumber(FIND($E113:$E$392,AM113))))))"),0.0)</f>
        <v>0</v>
      </c>
      <c r="AS113" s="48" t="str">
        <f>IFERROR(__xludf.DUMMYFUNCTION("iferror(join("","",index(sort(filter($F114:$F$392,$O114:$O$392&gt;$O113,arrayformula(isnumber(FIND($E114:$E$392,AM113)))),2,false),0,1)))"),"")</f>
        <v/>
      </c>
    </row>
    <row r="114">
      <c r="A114" s="1">
        <f t="shared" si="10"/>
        <v>113</v>
      </c>
      <c r="B114" s="1">
        <f t="shared" si="12"/>
        <v>10</v>
      </c>
      <c r="C114" s="1">
        <v>5.0</v>
      </c>
      <c r="D114" s="56" t="str">
        <f>D105</f>
        <v>Adam</v>
      </c>
      <c r="E114" s="52" t="str">
        <f>if(F114&lt;&gt;"",VLOOKUP(F114,offset('Teams-Conference'!A:B,0,(counta('Draft Order'!B$2:B129)-10)*2),2,0),"")</f>
        <v>MAC</v>
      </c>
      <c r="F114" s="1" t="s">
        <v>137</v>
      </c>
      <c r="H114" s="29">
        <f t="shared" si="1"/>
        <v>1</v>
      </c>
      <c r="I114" s="29">
        <f t="shared" si="31"/>
        <v>1</v>
      </c>
      <c r="J114" s="29">
        <f t="shared" si="11"/>
        <v>2</v>
      </c>
      <c r="K114" s="29">
        <f t="shared" si="32"/>
        <v>2</v>
      </c>
      <c r="L114" s="29"/>
      <c r="M114" s="29">
        <f>IFERROR(__xludf.DUMMYFUNCTION("counta(iferror(filter(L$2:L113,E$2:E113=E114,L$2:L113&lt;L114)))"),0.0)</f>
        <v>0</v>
      </c>
      <c r="N114" s="29">
        <f>IFERROR(__xludf.DUMMYFUNCTION("counta(iferror(filter(L115:L$129,E115:E$129=E114,L115:L$131&gt;L114)))"),0.0)</f>
        <v>0</v>
      </c>
      <c r="O114" s="34">
        <f t="array" ref="O114:W114">XLOOKUP(F114,'Current Week'!B:B,'Current Week'!C:N)</f>
        <v>0</v>
      </c>
      <c r="P114" s="29">
        <v>12.0</v>
      </c>
      <c r="Q114" s="30" t="s">
        <v>248</v>
      </c>
      <c r="R114" s="30" t="s">
        <v>202</v>
      </c>
      <c r="S114" s="30"/>
      <c r="T114" s="30" t="s">
        <v>203</v>
      </c>
      <c r="U114" s="37" t="s">
        <v>203</v>
      </c>
      <c r="V114" s="37"/>
      <c r="W114" s="37">
        <v>9999.0</v>
      </c>
      <c r="X114" s="37"/>
      <c r="Y114" s="37"/>
      <c r="Z114" s="37"/>
      <c r="AA114" s="39">
        <f t="shared" si="3"/>
        <v>-8</v>
      </c>
      <c r="AB114" s="37">
        <f t="shared" si="4"/>
        <v>0</v>
      </c>
      <c r="AC114" s="37">
        <f>IFERROR(__xludf.DUMMYFUNCTION("iferror(COUNT(filter($O115:$O$392,$O115:$O$392&gt;$O114)))"),15.0)</f>
        <v>15</v>
      </c>
      <c r="AD114" s="40">
        <f t="shared" si="5"/>
        <v>0</v>
      </c>
      <c r="AE114" s="41">
        <f t="shared" si="6"/>
        <v>0</v>
      </c>
      <c r="AF114" s="30" t="str">
        <f>IFERROR(__xludf.DUMMYFUNCTION("iferror(join("","",index(sort(filter($F115:$F$393,$O115:$O$393&gt;$O114),2,false),0,1)))"),"Duke,San José State,North Carolina,Arkansas,Maryland,Bowling Green,UTSA,Louisville,Illinois,Ole Miss,Georgia Tech,Rice,Vanderbilt,Rutgers,UTEP")</f>
        <v>Duke,San José State,North Carolina,Arkansas,Maryland,Bowling Green,UTSA,Louisville,Illinois,Ole Miss,Georgia Tech,Rice,Vanderbilt,Rutgers,UTEP</v>
      </c>
      <c r="AG114" s="39">
        <f>IFERROR(__xludf.DUMMYFUNCTION("iferror($O114-max(filter($O114:$O$392,$E114:$E$392=$E$2)))"),-4.0)</f>
        <v>-4</v>
      </c>
      <c r="AH114" s="37">
        <f t="shared" si="7"/>
        <v>0</v>
      </c>
      <c r="AI114" s="37">
        <f>IFERROR(__xludf.DUMMYFUNCTION("iferror(COUNT(filter($O115:$O$392,$O115:$O$392&gt;$O114,$E114:$E$392=$E$2)))"),0.0)</f>
        <v>0</v>
      </c>
      <c r="AJ114" s="40">
        <f t="shared" si="8"/>
        <v>0</v>
      </c>
      <c r="AK114" s="41">
        <f>IFERROR(__xludf.DUMMYFUNCTION("iferror($O114-min(filter($O114:$O$392,$E114:$E$392=$E$2)))"),-2.0)</f>
        <v>-2</v>
      </c>
      <c r="AL114" s="30" t="str">
        <f>IFERROR(__xludf.DUMMYFUNCTION("iferror(join("","",index(sort(filter($F115:$F$392,$O115:$O$392&gt;$O114,$E115:$E$392=$E$2),2,false),0,1)))"),"Arkansas,Ole Miss,Vanderbilt")</f>
        <v>Arkansas,Ole Miss,Vanderbilt</v>
      </c>
      <c r="AM114" s="30" t="str">
        <f>IFERROR(__xludf.DUMMYFUNCTION("REGEXREPLACE(join("","",unique({let(conf_picked,filter(E$1:E113,D$1:D113=D114), byrow(unique(TRANSPOSe(Teams!$1:$1)),lambda(rw,if(ISERROR(match(rw,conf_picked,0)),rw,))));iferror(if(#REF!,,transpose(split(#REF!,"","",1,1))))})), ""^,"", """")"),"MAC,Independent")</f>
        <v>MAC,Independent</v>
      </c>
      <c r="AN114" s="39">
        <f>IFERROR(__xludf.DUMMYFUNCTION("iferror($O114-max(filter($O114:$O$392,arrayformula(isnumber(FIND($E114:$E$392,AM114))))))"),-3.0)</f>
        <v>-3</v>
      </c>
      <c r="AO114" s="37">
        <f t="array" ref="AO114">countifs($O$2:$O113,"&lt;"&amp;$O114,isnumber(FIND($E$2:$E113,AM114)),TRUE)</f>
        <v>0</v>
      </c>
      <c r="AP114" s="37">
        <f>IFERROR(__xludf.DUMMYFUNCTION("iferror(COUNT(filter($O115:$O$392,$O115:$O$392&gt;$O114,arrayformula(isnumber(FIND($E115:$E$392,AM114))))))"),1.0)</f>
        <v>1</v>
      </c>
      <c r="AQ114" s="40">
        <f t="shared" si="9"/>
        <v>0</v>
      </c>
      <c r="AR114" s="41">
        <f>IFERROR(__xludf.DUMMYFUNCTION("iferror($O114-min(filter($O114:$O$392,arrayformula(isnumber(FIND($E114:$E$392,AM114))))))"),0.0)</f>
        <v>0</v>
      </c>
      <c r="AS114" s="48" t="str">
        <f>IFERROR(__xludf.DUMMYFUNCTION("iferror(join("","",index(sort(filter($F115:$F$392,$O115:$O$392&gt;$O114,arrayformula(isnumber(FIND($E115:$E$392,AM114)))),2,false),0,1)))"),"Bowling Green")</f>
        <v>Bowling Green</v>
      </c>
    </row>
    <row r="115">
      <c r="A115" s="1">
        <f t="shared" si="10"/>
        <v>114</v>
      </c>
      <c r="B115" s="1">
        <f t="shared" si="12"/>
        <v>10</v>
      </c>
      <c r="C115" s="1">
        <v>6.0</v>
      </c>
      <c r="D115" s="56" t="str">
        <f>D104</f>
        <v>Justin</v>
      </c>
      <c r="E115" s="52" t="str">
        <f>if(F115&lt;&gt;"",VLOOKUP(F115,offset('Teams-Conference'!A:B,0,(counta('Draft Order'!B$2:B129)-10)*2),2,0),"")</f>
        <v>ACC</v>
      </c>
      <c r="F115" t="s">
        <v>72</v>
      </c>
      <c r="H115" s="29">
        <f t="shared" si="1"/>
        <v>3</v>
      </c>
      <c r="I115" s="29">
        <f t="shared" si="31"/>
        <v>3</v>
      </c>
      <c r="J115" s="29">
        <f t="shared" si="11"/>
        <v>0</v>
      </c>
      <c r="K115" s="29">
        <f t="shared" si="32"/>
        <v>1</v>
      </c>
      <c r="L115" s="29"/>
      <c r="M115" s="29">
        <f>IFERROR(__xludf.DUMMYFUNCTION("counta(iferror(filter(L$2:L114,E$2:E114=E115,L$2:L114&lt;L115)))"),0.0)</f>
        <v>0</v>
      </c>
      <c r="N115" s="29">
        <f>IFERROR(__xludf.DUMMYFUNCTION("counta(iferror(filter(L116:L$129,E116:E$129=E115,L116:L$131&gt;L115)))"),0.0)</f>
        <v>0</v>
      </c>
      <c r="O115" s="34">
        <f t="array" ref="O115:W115">XLOOKUP(F115,'Current Week'!B:B,'Current Week'!C:N)</f>
        <v>5</v>
      </c>
      <c r="P115" s="29">
        <v>7.0</v>
      </c>
      <c r="Q115" s="30" t="s">
        <v>285</v>
      </c>
      <c r="R115" s="30" t="s">
        <v>202</v>
      </c>
      <c r="S115" s="30"/>
      <c r="T115" s="30" t="s">
        <v>203</v>
      </c>
      <c r="U115" s="37" t="s">
        <v>203</v>
      </c>
      <c r="V115" s="37"/>
      <c r="W115" s="37">
        <v>9999.0</v>
      </c>
      <c r="X115" s="37"/>
      <c r="Y115" s="37"/>
      <c r="Z115" s="37"/>
      <c r="AA115" s="39">
        <f t="shared" si="3"/>
        <v>-3</v>
      </c>
      <c r="AB115" s="37">
        <f t="shared" si="4"/>
        <v>27</v>
      </c>
      <c r="AC115" s="37">
        <f>IFERROR(__xludf.DUMMYFUNCTION("iferror(COUNT(filter($O116:$O$392,$O116:$O$392&gt;$O115)))"),3.0)</f>
        <v>3</v>
      </c>
      <c r="AD115" s="40">
        <f t="shared" si="5"/>
        <v>0</v>
      </c>
      <c r="AE115" s="41">
        <f t="shared" si="6"/>
        <v>5</v>
      </c>
      <c r="AF115" s="30" t="str">
        <f>IFERROR(__xludf.DUMMYFUNCTION("iferror(join("","",index(sort(filter($F116:$F$393,$O116:$O$393&gt;$O115),2,false),0,1)))"),"North Carolina,Louisville,Illinois")</f>
        <v>North Carolina,Louisville,Illinois</v>
      </c>
      <c r="AG115" s="39">
        <f>IFERROR(__xludf.DUMMYFUNCTION("iferror($O115-max(filter($O115:$O$392,$E115:$E$392=$E$2)))"),1.0)</f>
        <v>1</v>
      </c>
      <c r="AH115" s="37">
        <f t="shared" si="7"/>
        <v>1</v>
      </c>
      <c r="AI115" s="37">
        <f>IFERROR(__xludf.DUMMYFUNCTION("iferror(COUNT(filter($O116:$O$392,$O116:$O$392&gt;$O115,$E115:$E$392=$E$2)))"),0.0)</f>
        <v>0</v>
      </c>
      <c r="AJ115" s="40">
        <f t="shared" si="8"/>
        <v>0</v>
      </c>
      <c r="AK115" s="41">
        <f>IFERROR(__xludf.DUMMYFUNCTION("iferror($O115-min(filter($O115:$O$392,$E115:$E$392=$E$2)))"),3.0)</f>
        <v>3</v>
      </c>
      <c r="AL115" s="30" t="str">
        <f>IFERROR(__xludf.DUMMYFUNCTION("iferror(join("","",index(sort(filter($F116:$F$392,$O116:$O$392&gt;$O115,$E116:$E$392=$E$2),2,false),0,1)))"),"")</f>
        <v/>
      </c>
      <c r="AM115" s="30" t="str">
        <f>IFERROR(__xludf.DUMMYFUNCTION("REGEXREPLACE(join("","",unique({let(conf_picked,filter(E$1:E114,D$1:D114=D115), byrow(unique(TRANSPOSe(Teams!$1:$1)),lambda(rw,if(ISERROR(match(rw,conf_picked,0)),rw,))));iferror(if(#REF!,,transpose(split(#REF!,"","",1,1))))})), ""^,"", """")"),"ACC,Independent")</f>
        <v>ACC,Independent</v>
      </c>
      <c r="AN115" s="39">
        <f>IFERROR(__xludf.DUMMYFUNCTION("iferror($O115-max(filter($O115:$O$392,arrayformula(isnumber(FIND($E115:$E$392,AM115))))))"),-3.0)</f>
        <v>-3</v>
      </c>
      <c r="AO115" s="37">
        <f t="array" ref="AO115">countifs($O$2:$O114,"&lt;"&amp;$O115,isnumber(FIND($E$2:$E114,AM115)),TRUE)</f>
        <v>1</v>
      </c>
      <c r="AP115" s="37">
        <f>IFERROR(__xludf.DUMMYFUNCTION("iferror(COUNT(filter($O116:$O$392,$O116:$O$392&gt;$O115,arrayformula(isnumber(FIND($E116:$E$392,AM115))))))"),2.0)</f>
        <v>2</v>
      </c>
      <c r="AQ115" s="40">
        <f t="shared" si="9"/>
        <v>0</v>
      </c>
      <c r="AR115" s="41">
        <f>IFERROR(__xludf.DUMMYFUNCTION("iferror($O115-min(filter($O115:$O$392,arrayformula(isnumber(FIND($E115:$E$392,AM115))))))"),2.0)</f>
        <v>2</v>
      </c>
      <c r="AS115" s="48" t="str">
        <f>IFERROR(__xludf.DUMMYFUNCTION("iferror(join("","",index(sort(filter($F116:$F$392,$O116:$O$392&gt;$O115,arrayformula(isnumber(FIND($E116:$E$392,AM115)))),2,false),0,1)))"),"North Carolina,Louisville")</f>
        <v>North Carolina,Louisville</v>
      </c>
    </row>
    <row r="116">
      <c r="A116" s="1">
        <f t="shared" si="10"/>
        <v>115</v>
      </c>
      <c r="B116" s="1">
        <f t="shared" si="12"/>
        <v>10</v>
      </c>
      <c r="C116" s="1">
        <v>7.0</v>
      </c>
      <c r="D116" s="56" t="str">
        <f>D103</f>
        <v>Jeannine</v>
      </c>
      <c r="E116" s="52" t="str">
        <f>if(F116&lt;&gt;"",VLOOKUP(F116,offset('Teams-Conference'!A:B,0,(counta('Draft Order'!B$2:B129)-10)*2),2,0),"")</f>
        <v>MWC</v>
      </c>
      <c r="F116" s="1" t="s">
        <v>157</v>
      </c>
      <c r="H116" s="29">
        <f t="shared" si="1"/>
        <v>0</v>
      </c>
      <c r="I116" s="29">
        <f t="shared" si="31"/>
        <v>0</v>
      </c>
      <c r="J116" s="29">
        <f t="shared" si="11"/>
        <v>1</v>
      </c>
      <c r="K116" s="29">
        <f t="shared" si="32"/>
        <v>2</v>
      </c>
      <c r="L116" s="29"/>
      <c r="M116" s="29">
        <f>IFERROR(__xludf.DUMMYFUNCTION("counta(iferror(filter(L$2:L115,E$2:E115=E116,L$2:L115&lt;L116)))"),0.0)</f>
        <v>0</v>
      </c>
      <c r="N116" s="29">
        <f>IFERROR(__xludf.DUMMYFUNCTION("counta(iferror(filter(L117:L$129,E117:E$129=E116,L117:L$131&gt;L116)))"),0.0)</f>
        <v>0</v>
      </c>
      <c r="O116" s="34">
        <f t="array" ref="O116:W116">XLOOKUP(F116,'Current Week'!B:B,'Current Week'!C:N)</f>
        <v>5</v>
      </c>
      <c r="P116" s="29">
        <v>7.0</v>
      </c>
      <c r="Q116" s="30" t="s">
        <v>248</v>
      </c>
      <c r="R116" s="30" t="s">
        <v>202</v>
      </c>
      <c r="S116" s="30"/>
      <c r="T116" s="30" t="s">
        <v>203</v>
      </c>
      <c r="U116" s="37" t="s">
        <v>203</v>
      </c>
      <c r="V116" s="37"/>
      <c r="W116" s="37">
        <v>9999.0</v>
      </c>
      <c r="X116" s="37"/>
      <c r="Y116" s="37"/>
      <c r="Z116" s="37"/>
      <c r="AA116" s="39">
        <f t="shared" si="3"/>
        <v>-3</v>
      </c>
      <c r="AB116" s="37">
        <f t="shared" si="4"/>
        <v>27</v>
      </c>
      <c r="AC116" s="37">
        <f>IFERROR(__xludf.DUMMYFUNCTION("iferror(COUNT(filter($O117:$O$392,$O117:$O$392&gt;$O116)))"),3.0)</f>
        <v>3</v>
      </c>
      <c r="AD116" s="40">
        <f t="shared" si="5"/>
        <v>0</v>
      </c>
      <c r="AE116" s="41">
        <f t="shared" si="6"/>
        <v>5</v>
      </c>
      <c r="AF116" s="30" t="str">
        <f>IFERROR(__xludf.DUMMYFUNCTION("iferror(join("","",index(sort(filter($F117:$F$393,$O117:$O$393&gt;$O116),2,false),0,1)))"),"North Carolina,Louisville,Illinois")</f>
        <v>North Carolina,Louisville,Illinois</v>
      </c>
      <c r="AG116" s="39">
        <f>IFERROR(__xludf.DUMMYFUNCTION("iferror($O116-max(filter($O116:$O$392,$E116:$E$392=$E$2)))"),1.0)</f>
        <v>1</v>
      </c>
      <c r="AH116" s="37">
        <f t="shared" si="7"/>
        <v>1</v>
      </c>
      <c r="AI116" s="37">
        <f>IFERROR(__xludf.DUMMYFUNCTION("iferror(COUNT(filter($O117:$O$392,$O117:$O$392&gt;$O116,$E116:$E$392=$E$2)))"),0.0)</f>
        <v>0</v>
      </c>
      <c r="AJ116" s="40">
        <f t="shared" si="8"/>
        <v>0</v>
      </c>
      <c r="AK116" s="41">
        <f>IFERROR(__xludf.DUMMYFUNCTION("iferror($O116-min(filter($O116:$O$392,$E116:$E$392=$E$2)))"),3.0)</f>
        <v>3</v>
      </c>
      <c r="AL116" s="30" t="str">
        <f>IFERROR(__xludf.DUMMYFUNCTION("iferror(join("","",index(sort(filter($F117:$F$392,$O117:$O$392&gt;$O116,$E117:$E$392=$E$2),2,false),0,1)))"),"")</f>
        <v/>
      </c>
      <c r="AM116" s="30" t="str">
        <f>IFERROR(__xludf.DUMMYFUNCTION("REGEXREPLACE(join("","",unique({let(conf_picked,filter(E$1:E115,D$1:D115=D116), byrow(unique(TRANSPOSe(Teams!$1:$1)),lambda(rw,if(ISERROR(match(rw,conf_picked,0)),rw,))));iferror(if(#REF!,,transpose(split(#REF!,"","",1,1))))})), ""^,"", """")"),"MWC,Independent")</f>
        <v>MWC,Independent</v>
      </c>
      <c r="AN116" s="39">
        <f>IFERROR(__xludf.DUMMYFUNCTION("iferror($O116-max(filter($O116:$O$392,arrayformula(isnumber(FIND($E116:$E$392,AM116))))))"),0.0)</f>
        <v>0</v>
      </c>
      <c r="AO116" s="37">
        <f t="array" ref="AO116">countifs($O$2:$O115,"&lt;"&amp;$O116,isnumber(FIND($E$2:$E115,AM116)),TRUE)</f>
        <v>4</v>
      </c>
      <c r="AP116" s="37">
        <f>IFERROR(__xludf.DUMMYFUNCTION("iferror(COUNT(filter($O117:$O$392,$O117:$O$392&gt;$O116,arrayformula(isnumber(FIND($E117:$E$392,AM116))))))"),0.0)</f>
        <v>0</v>
      </c>
      <c r="AQ116" s="40">
        <f t="shared" si="9"/>
        <v>1</v>
      </c>
      <c r="AR116" s="41">
        <f>IFERROR(__xludf.DUMMYFUNCTION("iferror($O116-min(filter($O116:$O$392,arrayformula(isnumber(FIND($E116:$E$392,AM116))))))"),0.0)</f>
        <v>0</v>
      </c>
      <c r="AS116" s="48" t="str">
        <f>IFERROR(__xludf.DUMMYFUNCTION("iferror(join("","",index(sort(filter($F117:$F$392,$O117:$O$392&gt;$O116,arrayformula(isnumber(FIND($E117:$E$392,AM116)))),2,false),0,1)))"),"")</f>
        <v/>
      </c>
    </row>
    <row r="117">
      <c r="A117" s="1">
        <f t="shared" si="10"/>
        <v>116</v>
      </c>
      <c r="B117" s="1">
        <f t="shared" si="12"/>
        <v>10</v>
      </c>
      <c r="C117" s="1">
        <v>8.0</v>
      </c>
      <c r="D117" s="56" t="str">
        <f>D102</f>
        <v>Nico</v>
      </c>
      <c r="E117" s="52" t="str">
        <f>if(F117&lt;&gt;"",VLOOKUP(F117,offset('Teams-Conference'!A:B,0,(counta('Draft Order'!B$2:B129)-10)*2),2,0),"")</f>
        <v>ACC</v>
      </c>
      <c r="F117" t="s">
        <v>90</v>
      </c>
      <c r="H117" s="29">
        <f t="shared" si="1"/>
        <v>2</v>
      </c>
      <c r="I117" s="29">
        <f t="shared" si="31"/>
        <v>2</v>
      </c>
      <c r="J117" s="29">
        <f t="shared" si="11"/>
        <v>1</v>
      </c>
      <c r="K117" s="29">
        <f>countif(E98:E117,E119)</f>
        <v>0</v>
      </c>
      <c r="L117" s="29"/>
      <c r="M117" s="29">
        <f>IFERROR(__xludf.DUMMYFUNCTION("counta(iferror(filter(L$2:L116,E$2:E116=E117,L$2:L116&lt;L117)))"),0.0)</f>
        <v>0</v>
      </c>
      <c r="N117" s="29">
        <f>IFERROR(__xludf.DUMMYFUNCTION("counta(iferror(filter(L118:L$129,E118:E$129=E117,L118:L$131&gt;L117)))"),0.0)</f>
        <v>0</v>
      </c>
      <c r="O117" s="34">
        <f t="array" ref="O117:W117">XLOOKUP(F117,'Current Week'!B:B,'Current Week'!C:N)</f>
        <v>6</v>
      </c>
      <c r="P117" s="29">
        <v>6.0</v>
      </c>
      <c r="Q117" s="30" t="s">
        <v>201</v>
      </c>
      <c r="R117" s="30" t="s">
        <v>202</v>
      </c>
      <c r="S117" s="30"/>
      <c r="T117" s="30" t="s">
        <v>203</v>
      </c>
      <c r="U117" s="37" t="s">
        <v>203</v>
      </c>
      <c r="V117" s="37"/>
      <c r="W117" s="37">
        <v>9999.0</v>
      </c>
      <c r="X117" s="37"/>
      <c r="Y117" s="37"/>
      <c r="Z117" s="37"/>
      <c r="AA117" s="39">
        <f t="shared" si="3"/>
        <v>-2</v>
      </c>
      <c r="AB117" s="37">
        <f t="shared" si="4"/>
        <v>41</v>
      </c>
      <c r="AC117" s="37">
        <f>IFERROR(__xludf.DUMMYFUNCTION("iferror(COUNT(filter($O118:$O$392,$O118:$O$392&gt;$O117)))"),1.0)</f>
        <v>1</v>
      </c>
      <c r="AD117" s="40">
        <f t="shared" si="5"/>
        <v>0</v>
      </c>
      <c r="AE117" s="41">
        <f t="shared" si="6"/>
        <v>6</v>
      </c>
      <c r="AF117" s="30" t="str">
        <f>IFERROR(__xludf.DUMMYFUNCTION("iferror(join("","",index(sort(filter($F118:$F$393,$O118:$O$393&gt;$O117),2,false),0,1)))"),"Louisville")</f>
        <v>Louisville</v>
      </c>
      <c r="AG117" s="39">
        <f>IFERROR(__xludf.DUMMYFUNCTION("iferror($O117-max(filter($O117:$O$392,$E117:$E$392=$E$2)))"),2.0)</f>
        <v>2</v>
      </c>
      <c r="AH117" s="37">
        <f t="shared" si="7"/>
        <v>1</v>
      </c>
      <c r="AI117" s="37">
        <f>IFERROR(__xludf.DUMMYFUNCTION("iferror(COUNT(filter($O118:$O$392,$O118:$O$392&gt;$O117,$E117:$E$392=$E$2)))"),0.0)</f>
        <v>0</v>
      </c>
      <c r="AJ117" s="40">
        <f t="shared" si="8"/>
        <v>0</v>
      </c>
      <c r="AK117" s="41">
        <f>IFERROR(__xludf.DUMMYFUNCTION("iferror($O117-min(filter($O117:$O$392,$E117:$E$392=$E$2)))"),4.0)</f>
        <v>4</v>
      </c>
      <c r="AL117" s="30" t="str">
        <f>IFERROR(__xludf.DUMMYFUNCTION("iferror(join("","",index(sort(filter($F118:$F$392,$O118:$O$392&gt;$O117,$E118:$E$392=$E$2),2,false),0,1)))"),"")</f>
        <v/>
      </c>
      <c r="AM117" s="30" t="str">
        <f>IFERROR(__xludf.DUMMYFUNCTION("REGEXREPLACE(join("","",unique({let(conf_picked,filter(E$1:E116,D$1:D116=D117), byrow(unique(TRANSPOSe(Teams!$1:$1)),lambda(rw,if(ISERROR(match(rw,conf_picked,0)),rw,))));iferror(if(#REF!,,transpose(split(#REF!,"","",1,1))))})), ""^,"", """")"),"ACC,Independent")</f>
        <v>ACC,Independent</v>
      </c>
      <c r="AN117" s="39">
        <f>IFERROR(__xludf.DUMMYFUNCTION("iferror($O117-max(filter($O117:$O$392,arrayformula(isnumber(FIND($E117:$E$392,AM117))))))"),-2.0)</f>
        <v>-2</v>
      </c>
      <c r="AO117" s="37">
        <f t="array" ref="AO117">countifs($O$2:$O116,"&lt;"&amp;$O117,isnumber(FIND($E$2:$E116,AM117)),TRUE)</f>
        <v>3</v>
      </c>
      <c r="AP117" s="37">
        <f>IFERROR(__xludf.DUMMYFUNCTION("iferror(COUNT(filter($O118:$O$392,$O118:$O$392&gt;$O117,arrayformula(isnumber(FIND($E118:$E$392,AM117))))))"),1.0)</f>
        <v>1</v>
      </c>
      <c r="AQ117" s="40">
        <f t="shared" si="9"/>
        <v>0</v>
      </c>
      <c r="AR117" s="41">
        <f>IFERROR(__xludf.DUMMYFUNCTION("iferror($O117-min(filter($O117:$O$392,arrayformula(isnumber(FIND($E117:$E$392,AM117))))))"),3.0)</f>
        <v>3</v>
      </c>
      <c r="AS117" s="48" t="str">
        <f>IFERROR(__xludf.DUMMYFUNCTION("iferror(join("","",index(sort(filter($F118:$F$392,$O118:$O$392&gt;$O117,arrayformula(isnumber(FIND($E118:$E$392,AM117)))),2,false),0,1)))"),"Louisville")</f>
        <v>Louisville</v>
      </c>
    </row>
    <row r="118">
      <c r="A118" s="1">
        <f t="shared" si="10"/>
        <v>117</v>
      </c>
      <c r="B118" s="1">
        <f t="shared" si="12"/>
        <v>10</v>
      </c>
      <c r="C118" s="1">
        <v>9.0</v>
      </c>
      <c r="D118" s="56" t="str">
        <f>D101</f>
        <v>Janice/Mike</v>
      </c>
      <c r="E118" s="52" t="str">
        <f>if(F118&lt;&gt;"",VLOOKUP(F118,offset('Teams-Conference'!A:B,0,(counta('Draft Order'!B$2:B129)-10)*2),2,0),"")</f>
        <v>SEC</v>
      </c>
      <c r="F118" s="1" t="s">
        <v>173</v>
      </c>
      <c r="H118" s="29">
        <f t="shared" si="1"/>
        <v>2</v>
      </c>
      <c r="I118" s="29">
        <f t="shared" si="31"/>
        <v>2</v>
      </c>
      <c r="J118" s="29">
        <f t="shared" si="11"/>
        <v>1</v>
      </c>
      <c r="K118" s="30"/>
      <c r="L118" s="29"/>
      <c r="M118" s="29">
        <f>IFERROR(__xludf.DUMMYFUNCTION("counta(iferror(filter(L$2:L117,E$2:E117=E118,L$2:L117&lt;L118)))"),0.0)</f>
        <v>0</v>
      </c>
      <c r="N118" s="29">
        <f>IFERROR(__xludf.DUMMYFUNCTION("counta(iferror(filter(L119:L$129,E119:E$129=E118,L119:L$131&gt;L118)))"),0.0)</f>
        <v>0</v>
      </c>
      <c r="O118" s="34">
        <f t="array" ref="O118:W118">XLOOKUP(F118,'Current Week'!B:B,'Current Week'!C:N)</f>
        <v>2</v>
      </c>
      <c r="P118" s="29">
        <v>10.0</v>
      </c>
      <c r="Q118" s="30" t="s">
        <v>248</v>
      </c>
      <c r="R118" s="30" t="s">
        <v>202</v>
      </c>
      <c r="S118" s="30"/>
      <c r="T118" s="30" t="s">
        <v>203</v>
      </c>
      <c r="U118" s="37" t="s">
        <v>203</v>
      </c>
      <c r="V118" s="37"/>
      <c r="W118" s="37">
        <v>9999.0</v>
      </c>
      <c r="X118" s="37"/>
      <c r="Y118" s="37"/>
      <c r="Z118" s="37"/>
      <c r="AA118" s="39">
        <f t="shared" si="3"/>
        <v>-6</v>
      </c>
      <c r="AB118" s="37">
        <f t="shared" si="4"/>
        <v>2</v>
      </c>
      <c r="AC118" s="37">
        <f>IFERROR(__xludf.DUMMYFUNCTION("iferror(COUNT(filter($O119:$O$392,$O119:$O$392&gt;$O118)))"),9.0)</f>
        <v>9</v>
      </c>
      <c r="AD118" s="40">
        <f t="shared" si="5"/>
        <v>0</v>
      </c>
      <c r="AE118" s="41">
        <f t="shared" si="6"/>
        <v>2</v>
      </c>
      <c r="AF118" s="30" t="str">
        <f>IFERROR(__xludf.DUMMYFUNCTION("iferror(join("","",index(sort(filter($F119:$F$393,$O119:$O$393&gt;$O118),2,false),0,1)))"),"Maryland,Bowling Green,UTSA,Louisville,Illinois,Ole Miss,Georgia Tech,Rice,Vanderbilt")</f>
        <v>Maryland,Bowling Green,UTSA,Louisville,Illinois,Ole Miss,Georgia Tech,Rice,Vanderbilt</v>
      </c>
      <c r="AG118" s="39">
        <f>IFERROR(__xludf.DUMMYFUNCTION("iferror($O118-max(filter($O118:$O$392,$E118:$E$392=$E$2)))"),-2.0)</f>
        <v>-2</v>
      </c>
      <c r="AH118" s="37">
        <f t="shared" si="7"/>
        <v>0</v>
      </c>
      <c r="AI118" s="37">
        <f>IFERROR(__xludf.DUMMYFUNCTION("iferror(COUNT(filter($O119:$O$392,$O119:$O$392&gt;$O118,$E118:$E$392=$E$2)))"),0.0)</f>
        <v>0</v>
      </c>
      <c r="AJ118" s="40">
        <f t="shared" si="8"/>
        <v>0</v>
      </c>
      <c r="AK118" s="41">
        <f>IFERROR(__xludf.DUMMYFUNCTION("iferror($O118-min(filter($O118:$O$392,$E118:$E$392=$E$2)))"),0.0)</f>
        <v>0</v>
      </c>
      <c r="AL118" s="30" t="str">
        <f>IFERROR(__xludf.DUMMYFUNCTION("iferror(join("","",index(sort(filter($F119:$F$392,$O119:$O$392&gt;$O118,$E119:$E$392=$E$2),2,false),0,1)))"),"Ole Miss,Vanderbilt")</f>
        <v>Ole Miss,Vanderbilt</v>
      </c>
      <c r="AM118" s="30" t="str">
        <f>IFERROR(__xludf.DUMMYFUNCTION("REGEXREPLACE(join("","",unique({let(conf_picked,filter(E$1:E117,D$1:D117=D118), byrow(unique(TRANSPOSe(Teams!$1:$1)),lambda(rw,if(ISERROR(match(rw,conf_picked,0)),rw,))));iferror(if(#REF!,,transpose(split(#REF!,"","",1,1))))})), ""^,"", """")"),"SEC,Independent")</f>
        <v>SEC,Independent</v>
      </c>
      <c r="AN118" s="39">
        <f>IFERROR(__xludf.DUMMYFUNCTION("iferror($O118-max(filter($O118:$O$392,arrayformula(isnumber(FIND($E118:$E$392,AM118))))))"),-2.0)</f>
        <v>-2</v>
      </c>
      <c r="AO118" s="37">
        <f t="array" ref="AO118">countifs($O$2:$O117,"&lt;"&amp;$O118,isnumber(FIND($E$2:$E117,AM118)),TRUE)</f>
        <v>0</v>
      </c>
      <c r="AP118" s="37">
        <f>IFERROR(__xludf.DUMMYFUNCTION("iferror(COUNT(filter($O119:$O$392,$O119:$O$392&gt;$O118,arrayformula(isnumber(FIND($E119:$E$392,AM118))))))"),2.0)</f>
        <v>2</v>
      </c>
      <c r="AQ118" s="40">
        <f t="shared" si="9"/>
        <v>0</v>
      </c>
      <c r="AR118" s="41">
        <f>IFERROR(__xludf.DUMMYFUNCTION("iferror($O118-min(filter($O118:$O$392,arrayformula(isnumber(FIND($E118:$E$392,AM118))))))"),0.0)</f>
        <v>0</v>
      </c>
      <c r="AS118" s="48" t="str">
        <f>IFERROR(__xludf.DUMMYFUNCTION("iferror(join("","",index(sort(filter($F119:$F$392,$O119:$O$392&gt;$O118,arrayformula(isnumber(FIND($E119:$E$392,AM118)))),2,false),0,1)))"),"Ole Miss,Vanderbilt")</f>
        <v>Ole Miss,Vanderbilt</v>
      </c>
    </row>
    <row r="119">
      <c r="A119" s="1">
        <f t="shared" si="10"/>
        <v>118</v>
      </c>
      <c r="B119" s="1">
        <f t="shared" si="12"/>
        <v>10</v>
      </c>
      <c r="C119" s="1">
        <v>10.0</v>
      </c>
      <c r="D119" s="51" t="str">
        <f>D100</f>
        <v>Gary</v>
      </c>
      <c r="E119" s="52" t="str">
        <f>if(F119&lt;&gt;"",VLOOKUP(F119,offset('Teams-Conference'!A:B,0,(counta('Draft Order'!B$2:B129)-10)*2),2,0),"")</f>
        <v>Big Ten</v>
      </c>
      <c r="F119" s="172" t="s">
        <v>111</v>
      </c>
      <c r="H119" s="29">
        <f t="shared" si="1"/>
        <v>2</v>
      </c>
      <c r="I119" s="29">
        <f t="shared" si="31"/>
        <v>2</v>
      </c>
      <c r="J119" s="29">
        <f t="shared" si="11"/>
        <v>0</v>
      </c>
      <c r="K119" s="29">
        <f>countif(E99:E119,E120)</f>
        <v>3</v>
      </c>
      <c r="L119" s="29"/>
      <c r="M119" s="29">
        <f>IFERROR(__xludf.DUMMYFUNCTION("counta(iferror(filter(L$2:L118,E$2:E118=E119,L$2:L118&lt;L119)))"),0.0)</f>
        <v>0</v>
      </c>
      <c r="N119" s="29">
        <f>IFERROR(__xludf.DUMMYFUNCTION("counta(iferror(filter(L120:L$129,E120:E$129=E119,L120:L$131&gt;L119)))"),0.0)</f>
        <v>0</v>
      </c>
      <c r="O119" s="34">
        <f t="array" ref="O119:W119">XLOOKUP(F119,'Current Week'!B:B,'Current Week'!C:N)</f>
        <v>3</v>
      </c>
      <c r="P119" s="29">
        <v>9.0</v>
      </c>
      <c r="Q119" s="30" t="s">
        <v>248</v>
      </c>
      <c r="R119" s="30" t="s">
        <v>202</v>
      </c>
      <c r="S119" s="30"/>
      <c r="T119" s="30" t="s">
        <v>203</v>
      </c>
      <c r="U119" s="37" t="s">
        <v>203</v>
      </c>
      <c r="V119" s="37"/>
      <c r="W119" s="37">
        <v>9999.0</v>
      </c>
      <c r="X119" s="37"/>
      <c r="Y119" s="37"/>
      <c r="Z119" s="37"/>
      <c r="AA119" s="39">
        <f t="shared" si="3"/>
        <v>-5</v>
      </c>
      <c r="AB119" s="37">
        <f t="shared" si="4"/>
        <v>8</v>
      </c>
      <c r="AC119" s="37">
        <f>IFERROR(__xludf.DUMMYFUNCTION("iferror(COUNT(filter($O120:$O$392,$O120:$O$392&gt;$O119)))"),4.0)</f>
        <v>4</v>
      </c>
      <c r="AD119" s="40">
        <f t="shared" si="5"/>
        <v>0</v>
      </c>
      <c r="AE119" s="41">
        <f t="shared" si="6"/>
        <v>3</v>
      </c>
      <c r="AF119" s="30" t="str">
        <f>IFERROR(__xludf.DUMMYFUNCTION("iferror(join("","",index(sort(filter($F120:$F$393,$O120:$O$393&gt;$O119),2,false),0,1)))"),"UTSA,Louisville,Illinois,Ole Miss")</f>
        <v>UTSA,Louisville,Illinois,Ole Miss</v>
      </c>
      <c r="AG119" s="39">
        <f>IFERROR(__xludf.DUMMYFUNCTION("iferror($O119-max(filter($O119:$O$392,$E119:$E$392=$E$2)))"),-1.0)</f>
        <v>-1</v>
      </c>
      <c r="AH119" s="37">
        <f t="shared" si="7"/>
        <v>1</v>
      </c>
      <c r="AI119" s="37">
        <f>IFERROR(__xludf.DUMMYFUNCTION("iferror(COUNT(filter($O120:$O$392,$O120:$O$392&gt;$O119,$E119:$E$392=$E$2)))"),0.0)</f>
        <v>0</v>
      </c>
      <c r="AJ119" s="40">
        <f t="shared" si="8"/>
        <v>0</v>
      </c>
      <c r="AK119" s="41">
        <f>IFERROR(__xludf.DUMMYFUNCTION("iferror($O119-min(filter($O119:$O$392,$E119:$E$392=$E$2)))"),0.0)</f>
        <v>0</v>
      </c>
      <c r="AL119" s="30" t="str">
        <f>IFERROR(__xludf.DUMMYFUNCTION("iferror(join("","",index(sort(filter($F120:$F$392,$O120:$O$392&gt;$O119,$E120:$E$392=$E$2),2,false),0,1)))"),"Ole Miss")</f>
        <v>Ole Miss</v>
      </c>
      <c r="AM119" s="30" t="str">
        <f>IFERROR(__xludf.DUMMYFUNCTION("REGEXREPLACE(join("","",unique({let(conf_picked,filter(E$1:E118,D$1:D118=D119), byrow(unique(TRANSPOSe(Teams!$1:$1)),lambda(rw,if(ISERROR(match(rw,conf_picked,0)),rw,))));iferror(if(#REF!,,transpose(split(#REF!,"","",1,1))))})), ""^,"", """")"),"Big Ten,Independent")</f>
        <v>Big Ten,Independent</v>
      </c>
      <c r="AN119" s="39">
        <f>IFERROR(__xludf.DUMMYFUNCTION("iferror($O119-max(filter($O119:$O$392,arrayformula(isnumber(FIND($E119:$E$392,AM119))))))"),-3.0)</f>
        <v>-3</v>
      </c>
      <c r="AO119" s="37">
        <f t="array" ref="AO119">countifs($O$2:$O118,"&lt;"&amp;$O119,isnumber(FIND($E$2:$E118,AM119)),TRUE)</f>
        <v>0</v>
      </c>
      <c r="AP119" s="37">
        <f>IFERROR(__xludf.DUMMYFUNCTION("iferror(COUNT(filter($O120:$O$392,$O120:$O$392&gt;$O119,arrayformula(isnumber(FIND($E120:$E$392,AM119))))))"),1.0)</f>
        <v>1</v>
      </c>
      <c r="AQ119" s="40">
        <f t="shared" si="9"/>
        <v>0</v>
      </c>
      <c r="AR119" s="41">
        <f>IFERROR(__xludf.DUMMYFUNCTION("iferror($O119-min(filter($O119:$O$392,arrayformula(isnumber(FIND($E119:$E$392,AM119))))))"),1.0)</f>
        <v>1</v>
      </c>
      <c r="AS119" s="48" t="str">
        <f>IFERROR(__xludf.DUMMYFUNCTION("iferror(join("","",index(sort(filter($F120:$F$392,$O120:$O$392&gt;$O119,arrayformula(isnumber(FIND($E120:$E$392,AM119)))),2,false),0,1)))"),"Illinois")</f>
        <v>Illinois</v>
      </c>
    </row>
    <row r="120">
      <c r="A120" s="1">
        <f t="shared" si="10"/>
        <v>119</v>
      </c>
      <c r="B120" s="1">
        <f t="shared" si="12"/>
        <v>10</v>
      </c>
      <c r="C120" s="1">
        <v>11.0</v>
      </c>
      <c r="D120" s="51" t="str">
        <f>D99</f>
        <v>Nick A.</v>
      </c>
      <c r="E120" s="52" t="str">
        <f>if(F120&lt;&gt;"",VLOOKUP(F120,offset('Teams-Conference'!A:B,0,(counta('Draft Order'!B$2:B129)-10)*2),2,0),"")</f>
        <v>MAC</v>
      </c>
      <c r="F120" s="172" t="s">
        <v>139</v>
      </c>
      <c r="H120" s="29">
        <f>countif(E121:E129,E120)</f>
        <v>0</v>
      </c>
      <c r="I120" s="29">
        <f t="shared" si="31"/>
        <v>0</v>
      </c>
      <c r="J120" s="29">
        <f t="shared" si="11"/>
        <v>1</v>
      </c>
      <c r="K120" s="29">
        <f>countif(E100:E120,E130)</f>
        <v>0</v>
      </c>
      <c r="L120" s="29"/>
      <c r="M120" s="29">
        <f>IFERROR(__xludf.DUMMYFUNCTION("counta(iferror(filter(L$2:L119,E$2:E119=E120,L$2:L119&lt;L120)))"),0.0)</f>
        <v>0</v>
      </c>
      <c r="N120" s="29">
        <f>IFERROR(__xludf.DUMMYFUNCTION("counta(iferror(filter(L121:L$129,E121:E$129=E120,L121:L$131&gt;L120)))"),0.0)</f>
        <v>0</v>
      </c>
      <c r="O120" s="34">
        <f t="array" ref="O120:W120">XLOOKUP(F120,'Current Week'!B:B,'Current Week'!C:N)</f>
        <v>3</v>
      </c>
      <c r="P120" s="29">
        <v>9.0</v>
      </c>
      <c r="Q120" s="30" t="s">
        <v>215</v>
      </c>
      <c r="R120" s="30" t="s">
        <v>202</v>
      </c>
      <c r="S120" s="30"/>
      <c r="T120" s="30" t="s">
        <v>203</v>
      </c>
      <c r="U120" s="37" t="s">
        <v>203</v>
      </c>
      <c r="V120" s="37"/>
      <c r="W120" s="37">
        <v>9999.0</v>
      </c>
      <c r="X120" s="37"/>
      <c r="Y120" s="37"/>
      <c r="Z120" s="37"/>
      <c r="AA120" s="39">
        <f t="shared" si="3"/>
        <v>-5</v>
      </c>
      <c r="AB120" s="37">
        <f t="shared" si="4"/>
        <v>8</v>
      </c>
      <c r="AC120" s="37">
        <f>IFERROR(__xludf.DUMMYFUNCTION("iferror(COUNT(filter($O121:$O$392,$O121:$O$392&gt;$O120)))"),4.0)</f>
        <v>4</v>
      </c>
      <c r="AD120" s="40">
        <f t="shared" si="5"/>
        <v>0</v>
      </c>
      <c r="AE120" s="41">
        <f t="shared" si="6"/>
        <v>3</v>
      </c>
      <c r="AF120" s="30" t="str">
        <f>IFERROR(__xludf.DUMMYFUNCTION("iferror(join("","",index(sort(filter($F121:$F$393,$O121:$O$393&gt;$O120),2,false),0,1)))"),"UTSA,Louisville,Illinois,Ole Miss")</f>
        <v>UTSA,Louisville,Illinois,Ole Miss</v>
      </c>
      <c r="AG120" s="39">
        <f>IFERROR(__xludf.DUMMYFUNCTION("iferror($O120-max(filter($O120:$O$392,$E120:$E$392=$E$2)))"),-1.0)</f>
        <v>-1</v>
      </c>
      <c r="AH120" s="37">
        <f t="shared" si="7"/>
        <v>1</v>
      </c>
      <c r="AI120" s="37">
        <f>IFERROR(__xludf.DUMMYFUNCTION("iferror(COUNT(filter($O121:$O$392,$O121:$O$392&gt;$O120,$E120:$E$392=$E$2)))"),0.0)</f>
        <v>0</v>
      </c>
      <c r="AJ120" s="40">
        <f t="shared" si="8"/>
        <v>0</v>
      </c>
      <c r="AK120" s="41">
        <f>IFERROR(__xludf.DUMMYFUNCTION("iferror($O120-min(filter($O120:$O$392,$E120:$E$392=$E$2)))"),0.0)</f>
        <v>0</v>
      </c>
      <c r="AL120" s="30" t="str">
        <f>IFERROR(__xludf.DUMMYFUNCTION("iferror(join("","",index(sort(filter($F121:$F$392,$O121:$O$392&gt;$O120,$E121:$E$392=$E$2),2,false),0,1)))"),"Ole Miss")</f>
        <v>Ole Miss</v>
      </c>
      <c r="AM120" s="30" t="str">
        <f>IFERROR(__xludf.DUMMYFUNCTION("REGEXREPLACE(join("","",unique({let(conf_picked,filter(E$1:E119,D$1:D119=D120), byrow(unique(TRANSPOSe(Teams!$1:$1)),lambda(rw,if(ISERROR(match(rw,conf_picked,0)),rw,))));iferror(if(#REF!,,transpose(split(#REF!,"","",1,1))))})), ""^,"", """")"),"MAC,Independent")</f>
        <v>MAC,Independent</v>
      </c>
      <c r="AN120" s="39">
        <f>IFERROR(__xludf.DUMMYFUNCTION("iferror($O120-max(filter($O120:$O$392,arrayformula(isnumber(FIND($E120:$E$392,AM120))))))"),0.0)</f>
        <v>0</v>
      </c>
      <c r="AO120" s="37">
        <f t="array" ref="AO120">countifs($O$2:$O119,"&lt;"&amp;$O120,isnumber(FIND($E$2:$E119,AM120)),TRUE)</f>
        <v>1</v>
      </c>
      <c r="AP120" s="37">
        <f>IFERROR(__xludf.DUMMYFUNCTION("iferror(COUNT(filter($O121:$O$392,$O121:$O$392&gt;$O120,arrayformula(isnumber(FIND($E121:$E$392,AM120))))))"),0.0)</f>
        <v>0</v>
      </c>
      <c r="AQ120" s="40">
        <f t="shared" si="9"/>
        <v>1</v>
      </c>
      <c r="AR120" s="41">
        <f>IFERROR(__xludf.DUMMYFUNCTION("iferror($O120-min(filter($O120:$O$392,arrayformula(isnumber(FIND($E120:$E$392,AM120))))))"),0.0)</f>
        <v>0</v>
      </c>
      <c r="AS120" s="48" t="str">
        <f>IFERROR(__xludf.DUMMYFUNCTION("iferror(join("","",index(sort(filter($F121:$F$392,$O121:$O$392&gt;$O120,arrayformula(isnumber(FIND($E121:$E$392,AM120)))),2,false),0,1)))"),"")</f>
        <v/>
      </c>
    </row>
    <row r="121">
      <c r="A121" s="1">
        <f t="shared" si="10"/>
        <v>120</v>
      </c>
      <c r="B121" s="1">
        <f t="shared" si="12"/>
        <v>10</v>
      </c>
      <c r="C121" s="1">
        <v>12.0</v>
      </c>
      <c r="D121" s="56" t="str">
        <f>D98</f>
        <v>DavEmily</v>
      </c>
      <c r="E121" s="52" t="str">
        <f>if(F121&lt;&gt;"",VLOOKUP(F121,offset('Teams-Conference'!A:B,0,(counta('Draft Order'!B$2:B129)-10)*2),2,0),"")</f>
        <v>CUSA</v>
      </c>
      <c r="F121" s="1" t="s">
        <v>134</v>
      </c>
      <c r="H121" s="29">
        <f t="shared" ref="H121:H129" si="33">countif(E122:E129,E121)</f>
        <v>2</v>
      </c>
      <c r="I121" s="29">
        <f t="shared" si="31"/>
        <v>2</v>
      </c>
      <c r="J121" s="29">
        <f t="shared" si="11"/>
        <v>0</v>
      </c>
      <c r="K121" s="30"/>
      <c r="L121" s="29"/>
      <c r="M121" s="29">
        <f>IFERROR(__xludf.DUMMYFUNCTION("counta(iferror(filter(L$2:L120,E$2:E120=E121,L$2:L120&lt;L121)))"),0.0)</f>
        <v>0</v>
      </c>
      <c r="N121" s="29">
        <f>IFERROR(__xludf.DUMMYFUNCTION("counta(iferror(filter(L122:L$129,E122:E$129=E121,L122:L$131&gt;L121)))"),0.0)</f>
        <v>0</v>
      </c>
      <c r="O121" s="34">
        <f t="array" ref="O121:W121">XLOOKUP(F121,'Current Week'!B:B,'Current Week'!C:N)</f>
        <v>4</v>
      </c>
      <c r="P121" s="29">
        <v>8.0</v>
      </c>
      <c r="Q121" s="30" t="s">
        <v>267</v>
      </c>
      <c r="R121" s="30" t="s">
        <v>202</v>
      </c>
      <c r="S121" s="30"/>
      <c r="T121" s="30" t="s">
        <v>203</v>
      </c>
      <c r="U121" s="37" t="s">
        <v>203</v>
      </c>
      <c r="V121" s="37"/>
      <c r="W121" s="37">
        <v>9999.0</v>
      </c>
      <c r="X121" s="37"/>
      <c r="Y121" s="37"/>
      <c r="Z121" s="37"/>
      <c r="AA121" s="39">
        <f t="shared" si="3"/>
        <v>-4</v>
      </c>
      <c r="AB121" s="37">
        <f t="shared" si="4"/>
        <v>14</v>
      </c>
      <c r="AC121" s="37">
        <f>IFERROR(__xludf.DUMMYFUNCTION("iferror(COUNT(filter($O122:$O$392,$O122:$O$392&gt;$O121)))"),2.0)</f>
        <v>2</v>
      </c>
      <c r="AD121" s="40">
        <f t="shared" si="5"/>
        <v>0</v>
      </c>
      <c r="AE121" s="41">
        <f t="shared" si="6"/>
        <v>4</v>
      </c>
      <c r="AF121" s="30" t="str">
        <f>IFERROR(__xludf.DUMMYFUNCTION("iferror(join("","",index(sort(filter($F122:$F$393,$O122:$O$393&gt;$O121),2,false),0,1)))"),"Louisville,Illinois")</f>
        <v>Louisville,Illinois</v>
      </c>
      <c r="AG121" s="39">
        <f>IFERROR(__xludf.DUMMYFUNCTION("iferror($O121-max(filter($O121:$O$392,$E121:$E$392=$E$2)))"),0.0)</f>
        <v>0</v>
      </c>
      <c r="AH121" s="37">
        <f t="shared" si="7"/>
        <v>1</v>
      </c>
      <c r="AI121" s="37">
        <f>IFERROR(__xludf.DUMMYFUNCTION("iferror(COUNT(filter($O122:$O$392,$O122:$O$392&gt;$O121,$E121:$E$392=$E$2)))"),0.0)</f>
        <v>0</v>
      </c>
      <c r="AJ121" s="40">
        <f t="shared" si="8"/>
        <v>1</v>
      </c>
      <c r="AK121" s="41">
        <f>IFERROR(__xludf.DUMMYFUNCTION("iferror($O121-min(filter($O121:$O$392,$E121:$E$392=$E$2)))"),1.0)</f>
        <v>1</v>
      </c>
      <c r="AL121" s="30" t="str">
        <f>IFERROR(__xludf.DUMMYFUNCTION("iferror(join("","",index(sort(filter($F122:$F$392,$O122:$O$392&gt;$O121,$E122:$E$392=$E$2),2,false),0,1)))"),"")</f>
        <v/>
      </c>
      <c r="AM121" s="30" t="str">
        <f>IFERROR(__xludf.DUMMYFUNCTION("REGEXREPLACE(join("","",unique({let(conf_picked,filter(E$1:E120,D$1:D120=D121), byrow(unique(TRANSPOSe(Teams!$1:$1)),lambda(rw,if(ISERROR(match(rw,conf_picked,0)),rw,))));iferror(if(#REF!,,transpose(split(#REF!,"","",1,1))))})), ""^,"", """")"),"CUSA,Independent")</f>
        <v>CUSA,Independent</v>
      </c>
      <c r="AN121" s="39">
        <f>IFERROR(__xludf.DUMMYFUNCTION("iferror($O121-max(filter($O121:$O$392,arrayformula(isnumber(FIND($E121:$E$392,AM121))))))"),0.0)</f>
        <v>0</v>
      </c>
      <c r="AO121" s="37">
        <f t="array" ref="AO121">countifs($O$2:$O120,"&lt;"&amp;$O121,isnumber(FIND($E$2:$E120,AM121)),TRUE)</f>
        <v>1</v>
      </c>
      <c r="AP121" s="37">
        <f>IFERROR(__xludf.DUMMYFUNCTION("iferror(COUNT(filter($O122:$O$392,$O122:$O$392&gt;$O121,arrayformula(isnumber(FIND($E122:$E$392,AM121))))))"),0.0)</f>
        <v>0</v>
      </c>
      <c r="AQ121" s="40">
        <f t="shared" si="9"/>
        <v>1</v>
      </c>
      <c r="AR121" s="41">
        <f>IFERROR(__xludf.DUMMYFUNCTION("iferror($O121-min(filter($O121:$O$392,arrayformula(isnumber(FIND($E121:$E$392,AM121))))))"),3.0)</f>
        <v>3</v>
      </c>
      <c r="AS121" s="48" t="str">
        <f>IFERROR(__xludf.DUMMYFUNCTION("iferror(join("","",index(sort(filter($F122:$F$392,$O122:$O$392&gt;$O121,arrayformula(isnumber(FIND($E122:$E$392,AM121)))),2,false),0,1)))"),"")</f>
        <v/>
      </c>
    </row>
    <row r="122">
      <c r="A122" s="1">
        <f t="shared" si="10"/>
        <v>121</v>
      </c>
      <c r="B122" s="1">
        <v>11.0</v>
      </c>
      <c r="C122" s="114">
        <v>1.0</v>
      </c>
      <c r="D122" s="4" t="s">
        <v>288</v>
      </c>
      <c r="E122" s="52" t="str">
        <f>if(F122&lt;&gt;"",VLOOKUP(F122,offset('Teams-Conference'!A:B,0,(counta('Draft Order'!B$2:B129)-10)*2),2,0),"")</f>
        <v>ACC</v>
      </c>
      <c r="F122" s="137" t="s">
        <v>84</v>
      </c>
      <c r="G122" s="114"/>
      <c r="H122" s="29">
        <f t="shared" si="33"/>
        <v>1</v>
      </c>
      <c r="I122" s="29">
        <f t="shared" si="31"/>
        <v>1</v>
      </c>
      <c r="J122" s="29">
        <f t="shared" si="11"/>
        <v>2</v>
      </c>
      <c r="K122" s="30"/>
      <c r="L122" s="29"/>
      <c r="M122" s="29">
        <f>IFERROR(__xludf.DUMMYFUNCTION("counta(iferror(filter(L$2:L121,E$2:E121=E122,L$2:L121&lt;L122)))"),0.0)</f>
        <v>0</v>
      </c>
      <c r="N122" s="29">
        <f>IFERROR(__xludf.DUMMYFUNCTION("counta(iferror(filter(L123:L$129,E123:E$129=E122,L123:L$131&gt;L122)))"),0.0)</f>
        <v>0</v>
      </c>
      <c r="O122" s="34">
        <f t="array" ref="O122:W122">XLOOKUP(F122,'Current Week'!B:B,'Current Week'!C:N)</f>
        <v>8</v>
      </c>
      <c r="P122" s="29">
        <v>4.0</v>
      </c>
      <c r="Q122" s="30"/>
      <c r="R122" s="30"/>
      <c r="S122" s="30"/>
      <c r="T122" s="30"/>
      <c r="U122" s="37"/>
      <c r="V122" s="37"/>
      <c r="W122" s="37"/>
      <c r="X122" s="37"/>
      <c r="Y122" s="37"/>
      <c r="Z122" s="37"/>
      <c r="AA122" s="39">
        <f t="shared" si="3"/>
        <v>0</v>
      </c>
      <c r="AB122" s="37">
        <f t="shared" si="4"/>
        <v>79</v>
      </c>
      <c r="AC122" s="37">
        <f>IFERROR(__xludf.DUMMYFUNCTION("iferror(COUNT(filter($O123:$O$392,$O123:$O$392&gt;$O122)))"),0.0)</f>
        <v>0</v>
      </c>
      <c r="AD122" s="40">
        <f t="shared" si="5"/>
        <v>1</v>
      </c>
      <c r="AE122" s="41">
        <f t="shared" si="6"/>
        <v>8</v>
      </c>
      <c r="AF122" s="30" t="str">
        <f>IFERROR(__xludf.DUMMYFUNCTION("iferror(join("","",index(sort(filter($F123:$F$393,$O123:$O$393&gt;$O122),2,false),0,1)))"),"")</f>
        <v/>
      </c>
      <c r="AG122" s="39">
        <f>IFERROR(__xludf.DUMMYFUNCTION("iferror($O122-max(filter($O122:$O$392,$E122:$E$392=$E$2)))"),4.0)</f>
        <v>4</v>
      </c>
      <c r="AH122" s="37">
        <f t="shared" si="7"/>
        <v>7</v>
      </c>
      <c r="AI122" s="37">
        <f>IFERROR(__xludf.DUMMYFUNCTION("iferror(COUNT(filter($O123:$O$392,$O123:$O$392&gt;$O122,$E122:$E$392=$E$2)))"),0.0)</f>
        <v>0</v>
      </c>
      <c r="AJ122" s="40">
        <f t="shared" si="8"/>
        <v>0</v>
      </c>
      <c r="AK122" s="41">
        <f>IFERROR(__xludf.DUMMYFUNCTION("iferror($O122-min(filter($O122:$O$392,$E122:$E$392=$E$2)))"),5.0)</f>
        <v>5</v>
      </c>
      <c r="AL122" s="30" t="str">
        <f>IFERROR(__xludf.DUMMYFUNCTION("iferror(join("","",index(sort(filter($F123:$F$392,$O123:$O$392&gt;$O122,$E123:$E$392=$E$2),2,false),0,1)))"),"")</f>
        <v/>
      </c>
      <c r="AM122" s="30" t="str">
        <f>IFERROR(__xludf.DUMMYFUNCTION("REGEXREPLACE(join("","",unique({let(conf_picked,filter(E$1:E121,D$1:D121=D122), byrow(unique(TRANSPOSe(Teams!$1:$1)),lambda(rw,if(ISERROR(match(rw,conf_picked,0)),rw,))));iferror(if(#REF!,,transpose(split(#REF!,"","",1,1))))})), ""^,"", """")"),"AAC,ACC,Big 12,Big Ten,CUSA,MAC,MWC,Pac12,SEC,Sun Belt,Independent,")</f>
        <v>AAC,ACC,Big 12,Big Ten,CUSA,MAC,MWC,Pac12,SEC,Sun Belt,Independent,</v>
      </c>
      <c r="AN122" s="39">
        <f>IFERROR(__xludf.DUMMYFUNCTION("iferror($O122-max(filter($O122:$O$392,arrayformula(isnumber(FIND($E122:$E$392,AM122))))))"),0.0)</f>
        <v>0</v>
      </c>
      <c r="AO122" s="37">
        <f t="array" ref="AO122">countifs($O$2:$O121,"&lt;"&amp;$O122,isnumber(FIND($E$2:$E121,AM122)),TRUE)</f>
        <v>79</v>
      </c>
      <c r="AP122" s="37">
        <f>IFERROR(__xludf.DUMMYFUNCTION("iferror(COUNT(filter($O123:$O$392,$O123:$O$392&gt;$O122,arrayformula(isnumber(FIND($E123:$E$392,AM122))))))"),0.0)</f>
        <v>0</v>
      </c>
      <c r="AQ122" s="40">
        <f t="shared" si="9"/>
        <v>1</v>
      </c>
      <c r="AR122" s="41">
        <f>IFERROR(__xludf.DUMMYFUNCTION("iferror($O122-min(filter($O122:$O$392,arrayformula(isnumber(FIND($E122:$E$392,AM122))))))"),7.0)</f>
        <v>7</v>
      </c>
      <c r="AS122" s="48" t="str">
        <f>IFERROR(__xludf.DUMMYFUNCTION("iferror(join("","",index(sort(filter($F123:$F$392,$O123:$O$392&gt;$O122,arrayformula(isnumber(FIND($E123:$E$392,AM122)))),2,false),0,1)))"),"")</f>
        <v/>
      </c>
    </row>
    <row r="123">
      <c r="A123" s="1">
        <f t="shared" si="10"/>
        <v>122</v>
      </c>
      <c r="B123" s="1">
        <v>11.0</v>
      </c>
      <c r="C123" s="114">
        <v>2.0</v>
      </c>
      <c r="D123" s="4" t="s">
        <v>288</v>
      </c>
      <c r="E123" s="52" t="str">
        <f>if(F123&lt;&gt;"",VLOOKUP(F123,offset('Teams-Conference'!A:B,0,(counta('Draft Order'!B$2:B129)-10)*2),2,0),"")</f>
        <v>Big Ten</v>
      </c>
      <c r="F123" s="137" t="s">
        <v>106</v>
      </c>
      <c r="G123" s="114"/>
      <c r="H123" s="29">
        <f t="shared" si="33"/>
        <v>1</v>
      </c>
      <c r="I123" s="29">
        <f t="shared" si="31"/>
        <v>1</v>
      </c>
      <c r="J123" s="29">
        <f t="shared" si="11"/>
        <v>1</v>
      </c>
      <c r="K123" s="30"/>
      <c r="L123" s="29"/>
      <c r="M123" s="29">
        <f>IFERROR(__xludf.DUMMYFUNCTION("counta(iferror(filter(L$2:L122,E$2:E122=E123,L$2:L122&lt;L123)))"),0.0)</f>
        <v>0</v>
      </c>
      <c r="N123" s="29">
        <f>IFERROR(__xludf.DUMMYFUNCTION("counta(iferror(filter(L124:L$129,E124:E$129=E123,L124:L$131&gt;L123)))"),0.0)</f>
        <v>0</v>
      </c>
      <c r="O123" s="34">
        <f t="array" ref="O123:W123">XLOOKUP(F123,'Current Week'!B:B,'Current Week'!C:N)</f>
        <v>6</v>
      </c>
      <c r="P123" s="29">
        <v>6.0</v>
      </c>
      <c r="Q123" s="30"/>
      <c r="R123" s="30"/>
      <c r="S123" s="30"/>
      <c r="T123" s="30"/>
      <c r="U123" s="37"/>
      <c r="V123" s="37"/>
      <c r="W123" s="37"/>
      <c r="X123" s="37"/>
      <c r="Y123" s="37"/>
      <c r="Z123" s="37"/>
      <c r="AA123" s="39">
        <f t="shared" si="3"/>
        <v>0</v>
      </c>
      <c r="AB123" s="37">
        <f t="shared" si="4"/>
        <v>45</v>
      </c>
      <c r="AC123" s="37">
        <f>IFERROR(__xludf.DUMMYFUNCTION("iferror(COUNT(filter($O124:$O$392,$O124:$O$392&gt;$O123)))"),0.0)</f>
        <v>0</v>
      </c>
      <c r="AD123" s="40">
        <f t="shared" si="5"/>
        <v>1</v>
      </c>
      <c r="AE123" s="41">
        <f t="shared" si="6"/>
        <v>6</v>
      </c>
      <c r="AF123" s="30" t="str">
        <f>IFERROR(__xludf.DUMMYFUNCTION("iferror(join("","",index(sort(filter($F124:$F$393,$O124:$O$393&gt;$O123),2,false),0,1)))"),"")</f>
        <v/>
      </c>
      <c r="AG123" s="39">
        <f>IFERROR(__xludf.DUMMYFUNCTION("iferror($O123-max(filter($O123:$O$392,$E123:$E$392=$E$2)))"),2.0)</f>
        <v>2</v>
      </c>
      <c r="AH123" s="37">
        <f t="shared" si="7"/>
        <v>2</v>
      </c>
      <c r="AI123" s="37">
        <f>IFERROR(__xludf.DUMMYFUNCTION("iferror(COUNT(filter($O124:$O$392,$O124:$O$392&gt;$O123,$E123:$E$392=$E$2)))"),0.0)</f>
        <v>0</v>
      </c>
      <c r="AJ123" s="40">
        <f t="shared" si="8"/>
        <v>0</v>
      </c>
      <c r="AK123" s="41">
        <f>IFERROR(__xludf.DUMMYFUNCTION("iferror($O123-min(filter($O123:$O$392,$E123:$E$392=$E$2)))"),3.0)</f>
        <v>3</v>
      </c>
      <c r="AL123" s="30" t="str">
        <f>IFERROR(__xludf.DUMMYFUNCTION("iferror(join("","",index(sort(filter($F124:$F$392,$O124:$O$392&gt;$O123,$E124:$E$392=$E$2),2,false),0,1)))"),"")</f>
        <v/>
      </c>
      <c r="AM123" s="30" t="str">
        <f>IFERROR(__xludf.DUMMYFUNCTION("REGEXREPLACE(join("","",unique({let(conf_picked,filter(E$1:E122,D$1:D122=D123), byrow(unique(TRANSPOSe(Teams!$1:$1)),lambda(rw,if(ISERROR(match(rw,conf_picked,0)),rw,))));iferror(if(#REF!,,transpose(split(#REF!,"","",1,1))))})), ""^,"", """")"),"AAC,,Big 12,Big Ten,CUSA,MAC,MWC,Pac12,SEC,Sun Belt,Independent")</f>
        <v>AAC,,Big 12,Big Ten,CUSA,MAC,MWC,Pac12,SEC,Sun Belt,Independent</v>
      </c>
      <c r="AN123" s="39">
        <f>IFERROR(__xludf.DUMMYFUNCTION("iferror($O123-max(filter($O123:$O$392,arrayformula(isnumber(FIND($E123:$E$392,AM123))))))"),0.0)</f>
        <v>0</v>
      </c>
      <c r="AO123" s="37">
        <f t="array" ref="AO123">countifs($O$2:$O122,"&lt;"&amp;$O123,isnumber(FIND($E$2:$E122,AM123)),TRUE)</f>
        <v>42</v>
      </c>
      <c r="AP123" s="37">
        <f>IFERROR(__xludf.DUMMYFUNCTION("iferror(COUNT(filter($O124:$O$392,$O124:$O$392&gt;$O123,arrayformula(isnumber(FIND($E124:$E$392,AM123))))))"),0.0)</f>
        <v>0</v>
      </c>
      <c r="AQ123" s="40">
        <f t="shared" si="9"/>
        <v>1</v>
      </c>
      <c r="AR123" s="41">
        <f>IFERROR(__xludf.DUMMYFUNCTION("iferror($O123-min(filter($O123:$O$392,arrayformula(isnumber(FIND($E123:$E$392,AM123))))))"),5.0)</f>
        <v>5</v>
      </c>
      <c r="AS123" s="48" t="str">
        <f>IFERROR(__xludf.DUMMYFUNCTION("iferror(join("","",index(sort(filter($F124:$F$392,$O124:$O$392&gt;$O123,arrayformula(isnumber(FIND($E124:$E$392,AM123)))),2,false),0,1)))"),"")</f>
        <v/>
      </c>
    </row>
    <row r="124">
      <c r="A124" s="1">
        <f t="shared" si="10"/>
        <v>123</v>
      </c>
      <c r="B124" s="1">
        <v>11.0</v>
      </c>
      <c r="C124" s="1">
        <v>3.0</v>
      </c>
      <c r="D124" s="4" t="s">
        <v>288</v>
      </c>
      <c r="E124" s="52" t="str">
        <f>if(F124&lt;&gt;"",VLOOKUP(F124,offset('Teams-Conference'!A:B,0,(counta('Draft Order'!B$2:B129)-10)*2),2,0),"")</f>
        <v>SEC</v>
      </c>
      <c r="F124" s="137" t="s">
        <v>181</v>
      </c>
      <c r="H124" s="29">
        <f t="shared" si="33"/>
        <v>1</v>
      </c>
      <c r="I124" s="29">
        <f t="shared" si="31"/>
        <v>1</v>
      </c>
      <c r="J124" s="29">
        <f t="shared" si="11"/>
        <v>1</v>
      </c>
      <c r="K124" s="30"/>
      <c r="L124" s="29"/>
      <c r="M124" s="29">
        <f>IFERROR(__xludf.DUMMYFUNCTION("counta(iferror(filter(L$2:L123,E$2:E123=E124,L$2:L123&lt;L124)))"),0.0)</f>
        <v>0</v>
      </c>
      <c r="N124" s="29">
        <f>IFERROR(__xludf.DUMMYFUNCTION("counta(iferror(filter(L125:L$129,E125:E$129=E124,L125:L$131&gt;L124)))"),0.0)</f>
        <v>0</v>
      </c>
      <c r="O124" s="34">
        <f t="array" ref="O124:W124">XLOOKUP(F124,'Current Week'!B:B,'Current Week'!C:N)</f>
        <v>4</v>
      </c>
      <c r="P124" s="29">
        <v>8.0</v>
      </c>
      <c r="Q124" s="30"/>
      <c r="R124" s="30"/>
      <c r="S124" s="30"/>
      <c r="T124" s="30"/>
      <c r="U124" s="37"/>
      <c r="V124" s="37"/>
      <c r="W124" s="37"/>
      <c r="X124" s="37"/>
      <c r="Y124" s="37"/>
      <c r="Z124" s="37"/>
      <c r="AA124" s="39">
        <f t="shared" si="3"/>
        <v>0</v>
      </c>
      <c r="AB124" s="37">
        <f t="shared" si="4"/>
        <v>14</v>
      </c>
      <c r="AC124" s="37">
        <f>IFERROR(__xludf.DUMMYFUNCTION("iferror(COUNT(filter($O125:$O$392,$O125:$O$392&gt;$O124)))"),0.0)</f>
        <v>0</v>
      </c>
      <c r="AD124" s="40">
        <f t="shared" si="5"/>
        <v>1</v>
      </c>
      <c r="AE124" s="41">
        <f t="shared" si="6"/>
        <v>4</v>
      </c>
      <c r="AF124" s="30" t="str">
        <f>IFERROR(__xludf.DUMMYFUNCTION("iferror(join("","",index(sort(filter($F125:$F$393,$O125:$O$393&gt;$O124),2,false),0,1)))"),"")</f>
        <v/>
      </c>
      <c r="AG124" s="173">
        <f>IFERROR(__xludf.DUMMYFUNCTION("iferror($O124-max(filter($O124:$O$392,$E124:$E$392=$E$2)))"),0.0)</f>
        <v>0</v>
      </c>
      <c r="AH124" s="37">
        <f t="shared" si="7"/>
        <v>1</v>
      </c>
      <c r="AI124" s="37">
        <f>IFERROR(__xludf.DUMMYFUNCTION("iferror(COUNT(filter($O125:$O$392,$O125:$O$392&gt;$O124,$E124:$E$392=$E$2)))"),0.0)</f>
        <v>0</v>
      </c>
      <c r="AJ124" s="40">
        <f t="shared" si="8"/>
        <v>1</v>
      </c>
      <c r="AK124" s="41">
        <f>IFERROR(__xludf.DUMMYFUNCTION("iferror($O124-min(filter($O124:$O$392,$E124:$E$392=$E$2)))"),1.0)</f>
        <v>1</v>
      </c>
      <c r="AL124" s="30" t="str">
        <f>IFERROR(__xludf.DUMMYFUNCTION("iferror(join("","",index(sort(filter($F125:$F$392,$O125:$O$392&gt;$O124,$E125:$E$392=$E$2),2,false),0,1)))"),"")</f>
        <v/>
      </c>
      <c r="AM124" s="30" t="str">
        <f>IFERROR(__xludf.DUMMYFUNCTION("REGEXREPLACE(join("","",unique({let(conf_picked,filter(E$1:E123,D$1:D123=D124), byrow(unique(TRANSPOSe(Teams!$1:$1)),lambda(rw,if(ISERROR(match(rw,conf_picked,0)),rw,))));iferror(if(#REF!,,transpose(split(#REF!,"","",1,1))))})), ""^,"", """")"),"AAC,,Big 12,CUSA,MAC,MWC,Pac12,SEC,Sun Belt,Independent")</f>
        <v>AAC,,Big 12,CUSA,MAC,MWC,Pac12,SEC,Sun Belt,Independent</v>
      </c>
      <c r="AN124" s="39">
        <f>IFERROR(__xludf.DUMMYFUNCTION("iferror($O124-max(filter($O124:$O$392,arrayformula(isnumber(FIND($E124:$E$392,AM124))))))"),0.0)</f>
        <v>0</v>
      </c>
      <c r="AO124" s="37">
        <f t="array" ref="AO124">countifs($O$2:$O123,"&lt;"&amp;$O124,isnumber(FIND($E$2:$E123,AM124)),TRUE)</f>
        <v>12</v>
      </c>
      <c r="AP124" s="37">
        <f>IFERROR(__xludf.DUMMYFUNCTION("iferror(COUNT(filter($O125:$O$392,$O125:$O$392&gt;$O124,arrayformula(isnumber(FIND($E125:$E$392,AM124))))))"),0.0)</f>
        <v>0</v>
      </c>
      <c r="AQ124" s="40">
        <f t="shared" si="9"/>
        <v>1</v>
      </c>
      <c r="AR124" s="41">
        <f>IFERROR(__xludf.DUMMYFUNCTION("iferror($O124-min(filter($O124:$O$392,arrayformula(isnumber(FIND($E124:$E$392,AM124))))))"),3.0)</f>
        <v>3</v>
      </c>
      <c r="AS124" s="48" t="str">
        <f>IFERROR(__xludf.DUMMYFUNCTION("iferror(join("","",index(sort(filter($F125:$F$392,$O125:$O$392&gt;$O124,arrayformula(isnumber(FIND($E125:$E$392,AM124)))),2,false),0,1)))"),"")</f>
        <v/>
      </c>
    </row>
    <row r="125">
      <c r="A125" s="1">
        <f t="shared" si="10"/>
        <v>124</v>
      </c>
      <c r="B125" s="1">
        <v>11.0</v>
      </c>
      <c r="C125" s="1">
        <v>4.0</v>
      </c>
      <c r="D125" s="4" t="s">
        <v>288</v>
      </c>
      <c r="E125" s="52" t="str">
        <f>if(F125&lt;&gt;"",VLOOKUP(F125,offset('Teams-Conference'!A:B,0,(counta('Draft Order'!B$2:B129)-10)*2),2,0),"")</f>
        <v>ACC</v>
      </c>
      <c r="F125" s="137" t="s">
        <v>80</v>
      </c>
      <c r="H125" s="29">
        <f t="shared" si="33"/>
        <v>0</v>
      </c>
      <c r="I125" s="29">
        <f t="shared" si="31"/>
        <v>0</v>
      </c>
      <c r="J125" s="29">
        <f t="shared" si="11"/>
        <v>3</v>
      </c>
      <c r="K125" s="30"/>
      <c r="L125" s="29"/>
      <c r="M125" s="29">
        <f>IFERROR(__xludf.DUMMYFUNCTION("counta(iferror(filter(L$2:L124,E$2:E124=E125,L$2:L124&lt;L125)))"),0.0)</f>
        <v>0</v>
      </c>
      <c r="N125" s="29">
        <f>IFERROR(__xludf.DUMMYFUNCTION("counta(iferror(filter(L126:L$129,E126:E$129=E125,L126:L$131&gt;L125)))"),0.0)</f>
        <v>0</v>
      </c>
      <c r="O125" s="34">
        <f t="array" ref="O125:W125">XLOOKUP(F125,'Current Week'!B:B,'Current Week'!C:N)</f>
        <v>3</v>
      </c>
      <c r="P125" s="29">
        <v>9.0</v>
      </c>
      <c r="Q125" s="30"/>
      <c r="R125" s="30"/>
      <c r="S125" s="30"/>
      <c r="T125" s="30"/>
      <c r="U125" s="37"/>
      <c r="V125" s="37"/>
      <c r="W125" s="37"/>
      <c r="X125" s="37"/>
      <c r="Y125" s="37"/>
      <c r="Z125" s="37"/>
      <c r="AA125" s="39">
        <f t="shared" si="3"/>
        <v>0</v>
      </c>
      <c r="AB125" s="37">
        <f t="shared" si="4"/>
        <v>8</v>
      </c>
      <c r="AC125" s="37">
        <f>IFERROR(__xludf.DUMMYFUNCTION("iferror(COUNT(filter($O126:$O$392,$O126:$O$392&gt;$O125)))"),0.0)</f>
        <v>0</v>
      </c>
      <c r="AD125" s="40">
        <f t="shared" si="5"/>
        <v>1</v>
      </c>
      <c r="AE125" s="41">
        <f t="shared" si="6"/>
        <v>3</v>
      </c>
      <c r="AF125" s="30" t="str">
        <f>IFERROR(__xludf.DUMMYFUNCTION("iferror(join("","",index(sort(filter($F126:$F$393,$O126:$O$393&gt;$O125),2,false),0,1)))"),"")</f>
        <v/>
      </c>
      <c r="AG125" s="173">
        <f>IFERROR(__xludf.DUMMYFUNCTION("iferror($O125-max(filter($O125:$O$392,$E125:$E$392=$E$2)))"),0.0)</f>
        <v>0</v>
      </c>
      <c r="AH125" s="37">
        <f t="shared" si="7"/>
        <v>1</v>
      </c>
      <c r="AI125" s="37">
        <f>IFERROR(__xludf.DUMMYFUNCTION("iferror(COUNT(filter($O126:$O$392,$O126:$O$392&gt;$O125,$E125:$E$392=$E$2)))"),0.0)</f>
        <v>0</v>
      </c>
      <c r="AJ125" s="40">
        <f t="shared" si="8"/>
        <v>1</v>
      </c>
      <c r="AK125" s="41">
        <f>IFERROR(__xludf.DUMMYFUNCTION("iferror($O125-min(filter($O125:$O$392,$E125:$E$392=$E$2)))"),0.0)</f>
        <v>0</v>
      </c>
      <c r="AL125" s="30" t="str">
        <f>IFERROR(__xludf.DUMMYFUNCTION("iferror(join("","",index(sort(filter($F126:$F$392,$O126:$O$392&gt;$O125,$E126:$E$392=$E$2),2,false),0,1)))"),"")</f>
        <v/>
      </c>
      <c r="AM125" s="30" t="str">
        <f>IFERROR(__xludf.DUMMYFUNCTION("REGEXREPLACE(join("","",unique({let(conf_picked,filter(E$1:E124,D$1:D124=D125), byrow(unique(TRANSPOSe(Teams!$1:$1)),lambda(rw,if(ISERROR(match(rw,conf_picked,0)),rw,))));iferror(if(#REF!,,transpose(split(#REF!,"","",1,1))))})), ""^,"", """")"),"AAC,,Big 12,CUSA,MAC,MWC,Pac12,Sun Belt,Independent")</f>
        <v>AAC,,Big 12,CUSA,MAC,MWC,Pac12,Sun Belt,Independent</v>
      </c>
      <c r="AN125" s="39">
        <f>IFERROR(__xludf.DUMMYFUNCTION("iferror($O125-max(filter($O125:$O$392,arrayformula(isnumber(FIND($E125:$E$392,AM125))))))"),0.0)</f>
        <v>0</v>
      </c>
      <c r="AO125" s="37">
        <f t="array" ref="AO125">countifs($O$2:$O124,"&lt;"&amp;$O125,isnumber(FIND($E$2:$E124,AM125)),TRUE)</f>
        <v>7</v>
      </c>
      <c r="AP125" s="37">
        <f>IFERROR(__xludf.DUMMYFUNCTION("iferror(COUNT(filter($O126:$O$392,$O126:$O$392&gt;$O125,arrayformula(isnumber(FIND($E126:$E$392,AM125))))))"),0.0)</f>
        <v>0</v>
      </c>
      <c r="AQ125" s="40">
        <f t="shared" si="9"/>
        <v>1</v>
      </c>
      <c r="AR125" s="41">
        <f>IFERROR(__xludf.DUMMYFUNCTION("iferror($O125-min(filter($O125:$O$392,arrayformula(isnumber(FIND($E125:$E$392,AM125))))))"),2.0)</f>
        <v>2</v>
      </c>
      <c r="AS125" s="48" t="str">
        <f>IFERROR(__xludf.DUMMYFUNCTION("iferror(join("","",index(sort(filter($F126:$F$392,$O126:$O$392&gt;$O125,arrayformula(isnumber(FIND($E126:$E$392,AM125)))),2,false),0,1)))"),"")</f>
        <v/>
      </c>
    </row>
    <row r="126">
      <c r="A126" s="1">
        <f t="shared" si="10"/>
        <v>125</v>
      </c>
      <c r="B126" s="1">
        <v>11.0</v>
      </c>
      <c r="C126" s="1">
        <v>5.0</v>
      </c>
      <c r="D126" s="4" t="s">
        <v>288</v>
      </c>
      <c r="E126" s="52" t="str">
        <f>if(F126&lt;&gt;"",VLOOKUP(F126,offset('Teams-Conference'!A:B,0,(counta('Draft Order'!B$2:B129)-10)*2),2,0),"")</f>
        <v>CUSA</v>
      </c>
      <c r="F126" s="137" t="s">
        <v>130</v>
      </c>
      <c r="H126" s="29">
        <f t="shared" si="33"/>
        <v>1</v>
      </c>
      <c r="I126" s="29">
        <f t="shared" si="31"/>
        <v>1</v>
      </c>
      <c r="J126" s="29">
        <f t="shared" si="11"/>
        <v>1</v>
      </c>
      <c r="K126" s="30"/>
      <c r="L126" s="29"/>
      <c r="M126" s="29">
        <f>IFERROR(__xludf.DUMMYFUNCTION("counta(iferror(filter(L$2:L125,E$2:E125=E126,L$2:L125&lt;L126)))"),0.0)</f>
        <v>0</v>
      </c>
      <c r="N126" s="29">
        <f>IFERROR(__xludf.DUMMYFUNCTION("counta(iferror(filter(L127:L$129,E127:E$129=E126,L127:L$131&gt;L126)))"),0.0)</f>
        <v>0</v>
      </c>
      <c r="O126" s="34">
        <f t="array" ref="O126:W126">XLOOKUP(F126,'Current Week'!B:B,'Current Week'!C:N)</f>
        <v>3</v>
      </c>
      <c r="P126" s="29">
        <v>9.0</v>
      </c>
      <c r="Q126" s="30"/>
      <c r="R126" s="30"/>
      <c r="S126" s="30"/>
      <c r="T126" s="30"/>
      <c r="U126" s="37"/>
      <c r="V126" s="37"/>
      <c r="W126" s="37"/>
      <c r="X126" s="37"/>
      <c r="Y126" s="37"/>
      <c r="Z126" s="37"/>
      <c r="AA126" s="39">
        <f t="shared" si="3"/>
        <v>0</v>
      </c>
      <c r="AB126" s="37">
        <f t="shared" si="4"/>
        <v>8</v>
      </c>
      <c r="AC126" s="37">
        <f>IFERROR(__xludf.DUMMYFUNCTION("iferror(COUNT(filter($O127:$O$392,$O127:$O$392&gt;$O126)))"),0.0)</f>
        <v>0</v>
      </c>
      <c r="AD126" s="40">
        <f t="shared" si="5"/>
        <v>1</v>
      </c>
      <c r="AE126" s="41">
        <f t="shared" si="6"/>
        <v>3</v>
      </c>
      <c r="AF126" s="30" t="str">
        <f>IFERROR(__xludf.DUMMYFUNCTION("iferror(join("","",index(sort(filter($F127:$F$393,$O127:$O$393&gt;$O126),2,false),0,1)))"),"")</f>
        <v/>
      </c>
      <c r="AG126" s="173">
        <f>IFERROR(__xludf.DUMMYFUNCTION("iferror($O126-max(filter($O126:$O$392,$E126:$E$392=$E$2)))"),0.0)</f>
        <v>0</v>
      </c>
      <c r="AH126" s="37">
        <f t="shared" si="7"/>
        <v>1</v>
      </c>
      <c r="AI126" s="37">
        <f>IFERROR(__xludf.DUMMYFUNCTION("iferror(COUNT(filter($O127:$O$392,$O127:$O$392&gt;$O126,$E126:$E$392=$E$2)))"),0.0)</f>
        <v>0</v>
      </c>
      <c r="AJ126" s="40">
        <f t="shared" si="8"/>
        <v>1</v>
      </c>
      <c r="AK126" s="41">
        <f>IFERROR(__xludf.DUMMYFUNCTION("iferror($O126-min(filter($O126:$O$392,$E126:$E$392=$E$2)))"),0.0)</f>
        <v>0</v>
      </c>
      <c r="AL126" s="30" t="str">
        <f>IFERROR(__xludf.DUMMYFUNCTION("iferror(join("","",index(sort(filter($F127:$F$392,$O127:$O$392&gt;$O126,$E127:$E$392=$E$2),2,false),0,1)))"),"")</f>
        <v/>
      </c>
      <c r="AM126" s="30" t="str">
        <f>IFERROR(__xludf.DUMMYFUNCTION("REGEXREPLACE(join("","",unique({let(conf_picked,filter(E$1:E125,D$1:D125=D126), byrow(unique(TRANSPOSe(Teams!$1:$1)),lambda(rw,if(ISERROR(match(rw,conf_picked,0)),rw,))));iferror(if(#REF!,,transpose(split(#REF!,"","",1,1))))})), ""^,"", """")"),"AAC,,Big 12,CUSA,MAC,MWC,Pac12,Sun Belt,Independent")</f>
        <v>AAC,,Big 12,CUSA,MAC,MWC,Pac12,Sun Belt,Independent</v>
      </c>
      <c r="AN126" s="39">
        <f>IFERROR(__xludf.DUMMYFUNCTION("iferror($O126-max(filter($O126:$O$392,arrayformula(isnumber(FIND($E126:$E$392,AM126))))))"),0.0)</f>
        <v>0</v>
      </c>
      <c r="AO126" s="37">
        <f t="array" ref="AO126">countifs($O$2:$O125,"&lt;"&amp;$O126,isnumber(FIND($E$2:$E125,AM126)),TRUE)</f>
        <v>7</v>
      </c>
      <c r="AP126" s="37">
        <f>IFERROR(__xludf.DUMMYFUNCTION("iferror(COUNT(filter($O127:$O$392,$O127:$O$392&gt;$O126,arrayformula(isnumber(FIND($E127:$E$392,AM126))))))"),0.0)</f>
        <v>0</v>
      </c>
      <c r="AQ126" s="40">
        <f t="shared" si="9"/>
        <v>1</v>
      </c>
      <c r="AR126" s="41">
        <f>IFERROR(__xludf.DUMMYFUNCTION("iferror($O126-min(filter($O126:$O$392,arrayformula(isnumber(FIND($E126:$E$392,AM126))))))"),2.0)</f>
        <v>2</v>
      </c>
      <c r="AS126" s="48" t="str">
        <f>IFERROR(__xludf.DUMMYFUNCTION("iferror(join("","",index(sort(filter($F127:$F$392,$O127:$O$392&gt;$O126,arrayformula(isnumber(FIND($E127:$E$392,AM126)))),2,false),0,1)))"),"")</f>
        <v/>
      </c>
    </row>
    <row r="127">
      <c r="A127" s="1">
        <f t="shared" si="10"/>
        <v>126</v>
      </c>
      <c r="B127" s="1">
        <v>11.0</v>
      </c>
      <c r="C127" s="1">
        <v>6.0</v>
      </c>
      <c r="D127" s="4" t="s">
        <v>288</v>
      </c>
      <c r="E127" s="52" t="str">
        <f>if(F127&lt;&gt;"",VLOOKUP(F127,offset('Teams-Conference'!A:B,0,(counta('Draft Order'!B$2:B129)-10)*2),2,0),"")</f>
        <v>SEC</v>
      </c>
      <c r="F127" s="137" t="s">
        <v>185</v>
      </c>
      <c r="H127" s="29">
        <f t="shared" si="33"/>
        <v>0</v>
      </c>
      <c r="I127" s="29">
        <f t="shared" si="31"/>
        <v>0</v>
      </c>
      <c r="J127" s="29">
        <f t="shared" si="11"/>
        <v>2</v>
      </c>
      <c r="K127" s="30"/>
      <c r="L127" s="29"/>
      <c r="M127" s="29">
        <f>IFERROR(__xludf.DUMMYFUNCTION("counta(iferror(filter(L$2:L126,E$2:E126=E127,L$2:L126&lt;L127)))"),0.0)</f>
        <v>0</v>
      </c>
      <c r="N127" s="29">
        <f>IFERROR(__xludf.DUMMYFUNCTION("counta(iferror(filter(L128:L$129,E128:E$129=E127,L128:L$131&gt;L127)))"),0.0)</f>
        <v>0</v>
      </c>
      <c r="O127" s="34">
        <f t="array" ref="O127:W127">XLOOKUP(F127,'Current Week'!B:B,'Current Week'!C:N)</f>
        <v>3</v>
      </c>
      <c r="P127" s="29">
        <v>9.0</v>
      </c>
      <c r="Q127" s="30"/>
      <c r="R127" s="30"/>
      <c r="S127" s="30"/>
      <c r="T127" s="30"/>
      <c r="U127" s="37"/>
      <c r="V127" s="37"/>
      <c r="W127" s="37"/>
      <c r="X127" s="37"/>
      <c r="Y127" s="37"/>
      <c r="Z127" s="37"/>
      <c r="AA127" s="39">
        <f t="shared" si="3"/>
        <v>0</v>
      </c>
      <c r="AB127" s="37">
        <f t="shared" si="4"/>
        <v>8</v>
      </c>
      <c r="AC127" s="37">
        <f>IFERROR(__xludf.DUMMYFUNCTION("iferror(COUNT(filter($O128:$O$392,$O128:$O$392&gt;$O127)))"),0.0)</f>
        <v>0</v>
      </c>
      <c r="AD127" s="40">
        <f t="shared" si="5"/>
        <v>1</v>
      </c>
      <c r="AE127" s="41">
        <f t="shared" si="6"/>
        <v>3</v>
      </c>
      <c r="AF127" s="30" t="str">
        <f>IFERROR(__xludf.DUMMYFUNCTION("iferror(join("","",index(sort(filter($F128:$F$393,$O128:$O$393&gt;$O127),2,false),0,1)))"),"")</f>
        <v/>
      </c>
      <c r="AG127" s="173">
        <f>IFERROR(__xludf.DUMMYFUNCTION("iferror($O127-max(filter($O127:$O$392,$E127:$E$392=$E$2)))"),0.0)</f>
        <v>0</v>
      </c>
      <c r="AH127" s="37">
        <f t="shared" si="7"/>
        <v>1</v>
      </c>
      <c r="AI127" s="37">
        <f>IFERROR(__xludf.DUMMYFUNCTION("iferror(COUNT(filter($O128:$O$392,$O128:$O$392&gt;$O127,$E127:$E$392=$E$2)))"),0.0)</f>
        <v>0</v>
      </c>
      <c r="AJ127" s="40">
        <f t="shared" si="8"/>
        <v>1</v>
      </c>
      <c r="AK127" s="41">
        <f>IFERROR(__xludf.DUMMYFUNCTION("iferror($O127-min(filter($O127:$O$392,$E127:$E$392=$E$2)))"),0.0)</f>
        <v>0</v>
      </c>
      <c r="AL127" s="30" t="str">
        <f>IFERROR(__xludf.DUMMYFUNCTION("iferror(join("","",index(sort(filter($F128:$F$392,$O128:$O$392&gt;$O127,$E128:$E$392=$E$2),2,false),0,1)))"),"")</f>
        <v/>
      </c>
      <c r="AM127" s="30" t="str">
        <f>IFERROR(__xludf.DUMMYFUNCTION("REGEXREPLACE(join("","",unique({let(conf_picked,filter(E$1:E126,D$1:D126=D127), byrow(unique(TRANSPOSe(Teams!$1:$1)),lambda(rw,if(ISERROR(match(rw,conf_picked,0)),rw,))));iferror(if(#REF!,,transpose(split(#REF!,"","",1,1))))})), ""^,"", """")"),"AAC,,Big 12,MAC,MWC,Pac12,Sun Belt,Independent")</f>
        <v>AAC,,Big 12,MAC,MWC,Pac12,Sun Belt,Independent</v>
      </c>
      <c r="AN127" s="39" t="str">
        <f>IFERROR(__xludf.DUMMYFUNCTION("iferror($O127-max(filter($O127:$O$392,arrayformula(isnumber(FIND($E127:$E$392,AM127))))))"),"")</f>
        <v/>
      </c>
      <c r="AO127" s="37">
        <f t="array" ref="AO127">countifs($O$2:$O126,"&lt;"&amp;$O127,isnumber(FIND($E$2:$E126,AM127)),TRUE)</f>
        <v>6</v>
      </c>
      <c r="AP127" s="37">
        <f>IFERROR(__xludf.DUMMYFUNCTION("iferror(COUNT(filter($O128:$O$392,$O128:$O$392&gt;$O127,arrayformula(isnumber(FIND($E128:$E$392,AM127))))))"),0.0)</f>
        <v>0</v>
      </c>
      <c r="AQ127" s="40">
        <f t="shared" si="9"/>
        <v>1</v>
      </c>
      <c r="AR127" s="41" t="str">
        <f>IFERROR(__xludf.DUMMYFUNCTION("iferror($O127-min(filter($O127:$O$392,arrayformula(isnumber(FIND($E127:$E$392,AM127))))))"),"")</f>
        <v/>
      </c>
      <c r="AS127" s="48" t="str">
        <f>IFERROR(__xludf.DUMMYFUNCTION("iferror(join("","",index(sort(filter($F128:$F$392,$O128:$O$392&gt;$O127,arrayformula(isnumber(FIND($E128:$E$392,AM127)))),2,false),0,1)))"),"")</f>
        <v/>
      </c>
    </row>
    <row r="128">
      <c r="A128" s="1">
        <f t="shared" si="10"/>
        <v>127</v>
      </c>
      <c r="B128" s="1">
        <v>11.0</v>
      </c>
      <c r="C128" s="1">
        <v>7.0</v>
      </c>
      <c r="D128" s="4" t="s">
        <v>288</v>
      </c>
      <c r="E128" s="52" t="str">
        <f>if(F128&lt;&gt;"",VLOOKUP(F128,offset('Teams-Conference'!A:B,0,(counta('Draft Order'!B$2:B129)-10)*2),2,0),"")</f>
        <v>Big Ten</v>
      </c>
      <c r="F128" s="137" t="s">
        <v>121</v>
      </c>
      <c r="H128" s="29">
        <f t="shared" si="33"/>
        <v>0</v>
      </c>
      <c r="I128" s="29">
        <f t="shared" si="31"/>
        <v>0</v>
      </c>
      <c r="J128" s="29">
        <f t="shared" si="11"/>
        <v>2</v>
      </c>
      <c r="K128" s="30"/>
      <c r="L128" s="29"/>
      <c r="M128" s="29">
        <f>IFERROR(__xludf.DUMMYFUNCTION("counta(iferror(filter(L$2:L127,E$2:E127=E128,L$2:L127&lt;L128)))"),0.0)</f>
        <v>0</v>
      </c>
      <c r="N128" s="29">
        <f>IFERROR(__xludf.DUMMYFUNCTION("counta(iferror(filter(L129:L$129,E129:E$129=E128,L129:L$131&gt;L128)))"),0.0)</f>
        <v>0</v>
      </c>
      <c r="O128" s="34">
        <f t="array" ref="O128:W128">XLOOKUP(F128,'Current Week'!B:B,'Current Week'!C:N)</f>
        <v>2</v>
      </c>
      <c r="P128" s="29">
        <v>10.0</v>
      </c>
      <c r="Q128" s="30"/>
      <c r="R128" s="30"/>
      <c r="S128" s="30"/>
      <c r="T128" s="30"/>
      <c r="U128" s="37"/>
      <c r="V128" s="37"/>
      <c r="W128" s="37"/>
      <c r="X128" s="37"/>
      <c r="Y128" s="37"/>
      <c r="Z128" s="37"/>
      <c r="AA128" s="39">
        <f t="shared" si="3"/>
        <v>0</v>
      </c>
      <c r="AB128" s="37">
        <f t="shared" si="4"/>
        <v>2</v>
      </c>
      <c r="AC128" s="37">
        <f>IFERROR(__xludf.DUMMYFUNCTION("iferror(COUNT(filter($O129:$O$392,$O129:$O$392&gt;$O128)))"),0.0)</f>
        <v>0</v>
      </c>
      <c r="AD128" s="40">
        <f t="shared" si="5"/>
        <v>1</v>
      </c>
      <c r="AE128" s="41">
        <f t="shared" si="6"/>
        <v>2</v>
      </c>
      <c r="AF128" s="30" t="str">
        <f>IFERROR(__xludf.DUMMYFUNCTION("iferror(join("","",index(sort(filter($F129:$F$393,$O129:$O$393&gt;$O128),2,false),0,1)))"),"")</f>
        <v/>
      </c>
      <c r="AG128" s="173" t="str">
        <f>IFERROR(__xludf.DUMMYFUNCTION("iferror($O128-max(filter($O128:$O$392,$E128:$E$392=$E$2)))"),"")</f>
        <v/>
      </c>
      <c r="AH128" s="37">
        <f t="shared" si="7"/>
        <v>0</v>
      </c>
      <c r="AI128" s="37">
        <f>IFERROR(__xludf.DUMMYFUNCTION("iferror(COUNT(filter($O129:$O$392,$O129:$O$392&gt;$O128,$E128:$E$392=$E$2)))"),0.0)</f>
        <v>0</v>
      </c>
      <c r="AJ128" s="40">
        <f t="shared" si="8"/>
        <v>1</v>
      </c>
      <c r="AK128" s="41" t="str">
        <f>IFERROR(__xludf.DUMMYFUNCTION("iferror($O128-min(filter($O128:$O$392,$E128:$E$392=$E$2)))"),"")</f>
        <v/>
      </c>
      <c r="AL128" s="30" t="str">
        <f>IFERROR(__xludf.DUMMYFUNCTION("iferror(join("","",index(sort(filter($F129:$F$392,$O129:$O$392&gt;$O128,$E129:$E$392=$E$2),2,false),0,1)))"),"")</f>
        <v/>
      </c>
      <c r="AM128" s="30" t="str">
        <f>IFERROR(__xludf.DUMMYFUNCTION("REGEXREPLACE(join("","",unique({let(conf_picked,filter(E$1:E127,D$1:D127=D128), byrow(unique(TRANSPOSe(Teams!$1:$1)),lambda(rw,if(ISERROR(match(rw,conf_picked,0)),rw,))));iferror(if(#REF!,,transpose(split(#REF!,"","",1,1))))})), ""^,"", """")"),"AAC,,Big 12,MAC,MWC,Pac12,Sun Belt,Independent")</f>
        <v>AAC,,Big 12,MAC,MWC,Pac12,Sun Belt,Independent</v>
      </c>
      <c r="AN128" s="39" t="str">
        <f>IFERROR(__xludf.DUMMYFUNCTION("iferror($O128-max(filter($O128:$O$392,arrayformula(isnumber(FIND($E128:$E$392,AM128))))))"),"")</f>
        <v/>
      </c>
      <c r="AO128" s="37">
        <f t="array" ref="AO128">countifs($O$2:$O127,"&lt;"&amp;$O128,isnumber(FIND($E$2:$E127,AM128)),TRUE)</f>
        <v>1</v>
      </c>
      <c r="AP128" s="37">
        <f>IFERROR(__xludf.DUMMYFUNCTION("iferror(COUNT(filter($O129:$O$392,$O129:$O$392&gt;$O128,arrayformula(isnumber(FIND($E129:$E$392,AM128))))))"),0.0)</f>
        <v>0</v>
      </c>
      <c r="AQ128" s="40">
        <f t="shared" si="9"/>
        <v>1</v>
      </c>
      <c r="AR128" s="41" t="str">
        <f>IFERROR(__xludf.DUMMYFUNCTION("iferror($O128-min(filter($O128:$O$392,arrayformula(isnumber(FIND($E128:$E$392,AM128))))))"),"")</f>
        <v/>
      </c>
      <c r="AS128" s="48" t="str">
        <f>IFERROR(__xludf.DUMMYFUNCTION("iferror(join("","",index(sort(filter($F129:$F$392,$O129:$O$392&gt;$O128,arrayformula(isnumber(FIND($E129:$E$392,AM128)))),2,false),0,1)))"),"")</f>
        <v/>
      </c>
    </row>
    <row r="129">
      <c r="A129" s="1">
        <f t="shared" si="10"/>
        <v>128</v>
      </c>
      <c r="B129" s="1">
        <v>11.0</v>
      </c>
      <c r="C129" s="1">
        <v>8.0</v>
      </c>
      <c r="D129" s="4" t="s">
        <v>288</v>
      </c>
      <c r="E129" s="52" t="str">
        <f>if(F129&lt;&gt;"",VLOOKUP(F129,offset('Teams-Conference'!A:B,0,(counta('Draft Order'!B$2:B129)-10)*2),2,0),"")</f>
        <v>CUSA</v>
      </c>
      <c r="F129" s="137" t="s">
        <v>133</v>
      </c>
      <c r="H129" s="29">
        <f t="shared" si="33"/>
        <v>0</v>
      </c>
      <c r="I129" s="29">
        <f t="shared" si="31"/>
        <v>0</v>
      </c>
      <c r="J129" s="29">
        <f t="shared" si="11"/>
        <v>2</v>
      </c>
      <c r="K129" s="30"/>
      <c r="L129" s="29"/>
      <c r="M129" s="29">
        <f>IFERROR(__xludf.DUMMYFUNCTION("counta(iferror(filter(L$2:L128,E$2:E128=E129,L$2:L128&lt;L129)))"),0.0)</f>
        <v>0</v>
      </c>
      <c r="N129" s="29">
        <f>IFERROR(__xludf.DUMMYFUNCTION("counta(iferror(filter(#REF!,#REF!=E129,L130:L$131&gt;L129)))"),0.0)</f>
        <v>0</v>
      </c>
      <c r="O129" s="34">
        <f t="array" ref="O129:W129">XLOOKUP(F129,'Current Week'!B:B,'Current Week'!C:N)</f>
        <v>1</v>
      </c>
      <c r="P129" s="29">
        <v>11.0</v>
      </c>
      <c r="Q129" s="30"/>
      <c r="R129" s="30"/>
      <c r="S129" s="30"/>
      <c r="T129" s="30"/>
      <c r="U129" s="37"/>
      <c r="V129" s="37"/>
      <c r="W129" s="37"/>
      <c r="X129" s="37"/>
      <c r="Y129" s="37"/>
      <c r="Z129" s="37"/>
      <c r="AA129" s="39">
        <f t="shared" si="3"/>
        <v>0</v>
      </c>
      <c r="AB129" s="37">
        <f t="shared" si="4"/>
        <v>1</v>
      </c>
      <c r="AC129" s="37">
        <f>IFERROR(__xludf.DUMMYFUNCTION("iferror(COUNT(filter($O130:$O$392,$O130:$O$392&gt;$O129)))"),0.0)</f>
        <v>0</v>
      </c>
      <c r="AD129" s="40">
        <f t="shared" si="5"/>
        <v>1</v>
      </c>
      <c r="AE129" s="41">
        <f t="shared" si="6"/>
        <v>1</v>
      </c>
      <c r="AF129" s="30" t="str">
        <f>IFERROR(__xludf.DUMMYFUNCTION("iferror(join("","",index(sort(filter($F130:$F$393,$O130:$O$393&gt;$O129),2,false),0,1)))"),"")</f>
        <v/>
      </c>
      <c r="AG129" s="173" t="str">
        <f>IFERROR(__xludf.DUMMYFUNCTION("iferror($O129-max(filter($O129:$O$392,$E129:$E$392=$E$2)))"),"")</f>
        <v/>
      </c>
      <c r="AH129" s="37">
        <f t="shared" si="7"/>
        <v>0</v>
      </c>
      <c r="AI129" s="37">
        <f>IFERROR(__xludf.DUMMYFUNCTION("iferror(COUNT(filter($O130:$O$392,$O130:$O$392&gt;$O129,$E129:$E$392=$E$2)))"),0.0)</f>
        <v>0</v>
      </c>
      <c r="AJ129" s="40">
        <f t="shared" si="8"/>
        <v>1</v>
      </c>
      <c r="AK129" s="41" t="str">
        <f>IFERROR(__xludf.DUMMYFUNCTION("iferror($O129-min(filter($O129:$O$392,$E129:$E$392=$E$2)))"),"")</f>
        <v/>
      </c>
      <c r="AL129" s="30" t="str">
        <f>IFERROR(__xludf.DUMMYFUNCTION("iferror(join("","",index(sort(filter($F130:$F$392,$O130:$O$392&gt;$O129,$E130:$E$392=$E$2),2,false),0,1)))"),"")</f>
        <v/>
      </c>
      <c r="AM129" s="30" t="str">
        <f>IFERROR(__xludf.DUMMYFUNCTION("REGEXREPLACE(join("","",unique({let(conf_picked,filter(E$1:E128,D$1:D128=D129), byrow(unique(TRANSPOSe(Teams!$1:$1)),lambda(rw,if(ISERROR(match(rw,conf_picked,0)),rw,))));iferror(if(#REF!,,transpose(split(#REF!,"","",1,1))))})), ""^,"", """")"),"AAC,,Big 12,MAC,MWC,Pac12,Sun Belt,Independent")</f>
        <v>AAC,,Big 12,MAC,MWC,Pac12,Sun Belt,Independent</v>
      </c>
      <c r="AN129" s="39" t="str">
        <f>IFERROR(__xludf.DUMMYFUNCTION("iferror($O129-max(filter($O129:$O$392,arrayformula(isnumber(FIND($E129:$E$392,AM129))))))"),"")</f>
        <v/>
      </c>
      <c r="AO129" s="37">
        <f t="array" ref="AO129">countifs($O$2:$O128,"&lt;"&amp;$O129,isnumber(FIND($E$2:$E128,AM129)),TRUE)</f>
        <v>1</v>
      </c>
      <c r="AP129" s="37">
        <f>IFERROR(__xludf.DUMMYFUNCTION("iferror(COUNT(filter($O130:$O$392,$O130:$O$392&gt;$O129,arrayformula(isnumber(FIND($E130:$E$392,AM129))))))"),0.0)</f>
        <v>0</v>
      </c>
      <c r="AQ129" s="40">
        <f t="shared" si="9"/>
        <v>1</v>
      </c>
      <c r="AR129" s="41" t="str">
        <f>IFERROR(__xludf.DUMMYFUNCTION("iferror($O129-min(filter($O129:$O$392,arrayformula(isnumber(FIND($E129:$E$392,AM129))))))"),"")</f>
        <v/>
      </c>
      <c r="AS129" s="48" t="str">
        <f>IFERROR(__xludf.DUMMYFUNCTION("iferror(join("","",index(sort(filter($F130:$F$392,$O130:$O$392&gt;$O129,arrayformula(isnumber(FIND($E130:$E$392,AM129)))),2,false),0,1)))"),"")</f>
        <v/>
      </c>
    </row>
  </sheetData>
  <customSheetViews>
    <customSheetView guid="{3428B888-7300-41C5-AF93-F49DE3A97EB1}" filter="1" showAutoFilter="1">
      <autoFilter ref="$A$1:$G$111"/>
    </customSheetView>
  </customSheetView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L1">transpose(unique(offset('Teams-Conference'!B2:B15,0,(10-10)*2)))</f>
        <v>AAC</v>
      </c>
      <c r="B1" t="s">
        <v>15</v>
      </c>
      <c r="C1" t="s">
        <v>17</v>
      </c>
      <c r="D1" t="s">
        <v>19</v>
      </c>
      <c r="E1" t="s">
        <v>20</v>
      </c>
      <c r="F1" t="s">
        <v>22</v>
      </c>
      <c r="G1" t="s">
        <v>24</v>
      </c>
      <c r="H1" t="s">
        <v>26</v>
      </c>
      <c r="I1" t="s">
        <v>28</v>
      </c>
      <c r="J1" t="s">
        <v>30</v>
      </c>
      <c r="K1" t="s">
        <v>31</v>
      </c>
    </row>
    <row r="2">
      <c r="A2" t="str">
        <f>IFERROR(__xludf.DUMMYFUNCTION("filter(offset('Teams-Conference'!$A:$A,0,(10-10)*2),offset('Teams-Conference'!$B:$B,0,(10-10)*2)=A1)"),"Cincinnati")</f>
        <v>Cincinnati</v>
      </c>
      <c r="B2" t="str">
        <f>IFERROR(__xludf.DUMMYFUNCTION("filter(offset('Teams-Conference'!$A:$A,0,(10-10)*2),offset('Teams-Conference'!$B:$B,0,(10-10)*2)=B1)"),"Boston College")</f>
        <v>Boston College</v>
      </c>
      <c r="C2" t="str">
        <f>IFERROR(__xludf.DUMMYFUNCTION("filter(offset('Teams-Conference'!$A:$A,0,(10-10)*2),offset('Teams-Conference'!$B:$B,0,(10-10)*2)=C1)"),"Baylor")</f>
        <v>Baylor</v>
      </c>
      <c r="D2" t="str">
        <f>IFERROR(__xludf.DUMMYFUNCTION("filter(offset('Teams-Conference'!$A:$A,0,(10-10)*2),offset('Teams-Conference'!$B:$B,0,(10-10)*2)=D1)"),"Illinois")</f>
        <v>Illinois</v>
      </c>
      <c r="E2" t="str">
        <f>IFERROR(__xludf.DUMMYFUNCTION("filter(offset('Teams-Conference'!$A:$A,0,(10-10)*2),offset('Teams-Conference'!$B:$B,0,(10-10)*2)=E1)"),"Florida Intl")</f>
        <v>Florida Intl</v>
      </c>
      <c r="F2" t="str">
        <f>IFERROR(__xludf.DUMMYFUNCTION("filter(offset('Teams-Conference'!$A:$A,0,(10-10)*2),offset('Teams-Conference'!$B:$B,0,(10-10)*2)=F1)"),"Akron")</f>
        <v>Akron</v>
      </c>
      <c r="G2" t="str">
        <f>IFERROR(__xludf.DUMMYFUNCTION("filter(offset('Teams-Conference'!$A:$A,0,(10-10)*2),offset('Teams-Conference'!$B:$B,0,(10-10)*2)=G1)"),"Air Force")</f>
        <v>Air Force</v>
      </c>
      <c r="H2" t="str">
        <f>IFERROR(__xludf.DUMMYFUNCTION("filter(offset('Teams-Conference'!$A:$A,0,(10-10)*2),offset('Teams-Conference'!$B:$B,0,(10-10)*2)=H1)"),"Arizona")</f>
        <v>Arizona</v>
      </c>
      <c r="I2" t="str">
        <f>IFERROR(__xludf.DUMMYFUNCTION("filter(offset('Teams-Conference'!$A:$A,0,(10-10)*2),offset('Teams-Conference'!$B:$B,0,(10-10)*2)=I1)"),"Alabama")</f>
        <v>Alabama</v>
      </c>
      <c r="J2" t="str">
        <f>IFERROR(__xludf.DUMMYFUNCTION("filter(offset('Teams-Conference'!$A:$A,0,(10-10)*2),offset('Teams-Conference'!$B:$B,0,(10-10)*2)=J1)"),"Appalachian State")</f>
        <v>Appalachian State</v>
      </c>
      <c r="K2" t="str">
        <f>IFERROR(__xludf.DUMMYFUNCTION("filter(offset('Teams-Conference'!$A:$A,0,(10-10)*2),offset('Teams-Conference'!$B:$B,0,(10-10)*2)=K1)"),"Army")</f>
        <v>Army</v>
      </c>
    </row>
    <row r="3">
      <c r="A3" t="str">
        <f>IFERROR(__xludf.DUMMYFUNCTION("""COMPUTED_VALUE"""),"UConn")</f>
        <v>UConn</v>
      </c>
      <c r="B3" t="str">
        <f>IFERROR(__xludf.DUMMYFUNCTION("""COMPUTED_VALUE"""),"Clemson")</f>
        <v>Clemson</v>
      </c>
      <c r="C3" t="str">
        <f>IFERROR(__xludf.DUMMYFUNCTION("""COMPUTED_VALUE"""),"Iowa State")</f>
        <v>Iowa State</v>
      </c>
      <c r="D3" t="str">
        <f>IFERROR(__xludf.DUMMYFUNCTION("""COMPUTED_VALUE"""),"Indiana")</f>
        <v>Indiana</v>
      </c>
      <c r="E3" t="str">
        <f>IFERROR(__xludf.DUMMYFUNCTION("""COMPUTED_VALUE"""),"Florida Atlantic")</f>
        <v>Florida Atlantic</v>
      </c>
      <c r="F3" t="str">
        <f>IFERROR(__xludf.DUMMYFUNCTION("""COMPUTED_VALUE"""),"Ball State")</f>
        <v>Ball State</v>
      </c>
      <c r="G3" t="str">
        <f>IFERROR(__xludf.DUMMYFUNCTION("""COMPUTED_VALUE"""),"Boise State")</f>
        <v>Boise State</v>
      </c>
      <c r="H3" t="str">
        <f>IFERROR(__xludf.DUMMYFUNCTION("""COMPUTED_VALUE"""),"Arizona State")</f>
        <v>Arizona State</v>
      </c>
      <c r="I3" t="str">
        <f>IFERROR(__xludf.DUMMYFUNCTION("""COMPUTED_VALUE"""),"Arkansas")</f>
        <v>Arkansas</v>
      </c>
      <c r="J3" t="str">
        <f>IFERROR(__xludf.DUMMYFUNCTION("""COMPUTED_VALUE"""),"Arkansas State")</f>
        <v>Arkansas State</v>
      </c>
      <c r="K3" t="str">
        <f>IFERROR(__xludf.DUMMYFUNCTION("""COMPUTED_VALUE"""),"BYU")</f>
        <v>BYU</v>
      </c>
    </row>
    <row r="4">
      <c r="A4" t="str">
        <f>IFERROR(__xludf.DUMMYFUNCTION("""COMPUTED_VALUE"""),"East Carolina")</f>
        <v>East Carolina</v>
      </c>
      <c r="B4" t="str">
        <f>IFERROR(__xludf.DUMMYFUNCTION("""COMPUTED_VALUE"""),"Duke")</f>
        <v>Duke</v>
      </c>
      <c r="C4" t="str">
        <f>IFERROR(__xludf.DUMMYFUNCTION("""COMPUTED_VALUE"""),"Kansas")</f>
        <v>Kansas</v>
      </c>
      <c r="D4" t="str">
        <f>IFERROR(__xludf.DUMMYFUNCTION("""COMPUTED_VALUE"""),"Iowa")</f>
        <v>Iowa</v>
      </c>
      <c r="E4" t="str">
        <f>IFERROR(__xludf.DUMMYFUNCTION("""COMPUTED_VALUE"""),"Louisiana Tech")</f>
        <v>Louisiana Tech</v>
      </c>
      <c r="F4" t="str">
        <f>IFERROR(__xludf.DUMMYFUNCTION("""COMPUTED_VALUE"""),"Bowling Green")</f>
        <v>Bowling Green</v>
      </c>
      <c r="G4" t="str">
        <f>IFERROR(__xludf.DUMMYFUNCTION("""COMPUTED_VALUE"""),"Colorado State")</f>
        <v>Colorado State</v>
      </c>
      <c r="H4" t="str">
        <f>IFERROR(__xludf.DUMMYFUNCTION("""COMPUTED_VALUE"""),"California")</f>
        <v>California</v>
      </c>
      <c r="I4" t="str">
        <f>IFERROR(__xludf.DUMMYFUNCTION("""COMPUTED_VALUE"""),"Auburn")</f>
        <v>Auburn</v>
      </c>
      <c r="J4" t="str">
        <f>IFERROR(__xludf.DUMMYFUNCTION("""COMPUTED_VALUE"""),"Georgia Southern")</f>
        <v>Georgia Southern</v>
      </c>
      <c r="K4" t="str">
        <f>IFERROR(__xludf.DUMMYFUNCTION("""COMPUTED_VALUE"""),"Liberty")</f>
        <v>Liberty</v>
      </c>
    </row>
    <row r="5">
      <c r="A5" t="str">
        <f>IFERROR(__xludf.DUMMYFUNCTION("""COMPUTED_VALUE"""),"Houston")</f>
        <v>Houston</v>
      </c>
      <c r="B5" t="str">
        <f>IFERROR(__xludf.DUMMYFUNCTION("""COMPUTED_VALUE"""),"Florida State")</f>
        <v>Florida State</v>
      </c>
      <c r="C5" t="str">
        <f>IFERROR(__xludf.DUMMYFUNCTION("""COMPUTED_VALUE"""),"Kansas State")</f>
        <v>Kansas State</v>
      </c>
      <c r="D5" t="str">
        <f>IFERROR(__xludf.DUMMYFUNCTION("""COMPUTED_VALUE"""),"Maryland")</f>
        <v>Maryland</v>
      </c>
      <c r="E5" t="str">
        <f>IFERROR(__xludf.DUMMYFUNCTION("""COMPUTED_VALUE"""),"Marshall")</f>
        <v>Marshall</v>
      </c>
      <c r="F5" t="str">
        <f>IFERROR(__xludf.DUMMYFUNCTION("""COMPUTED_VALUE"""),"Buffalo")</f>
        <v>Buffalo</v>
      </c>
      <c r="G5" t="str">
        <f>IFERROR(__xludf.DUMMYFUNCTION("""COMPUTED_VALUE"""),"Fresno State")</f>
        <v>Fresno State</v>
      </c>
      <c r="H5" t="str">
        <f>IFERROR(__xludf.DUMMYFUNCTION("""COMPUTED_VALUE"""),"Colorado")</f>
        <v>Colorado</v>
      </c>
      <c r="I5" t="str">
        <f>IFERROR(__xludf.DUMMYFUNCTION("""COMPUTED_VALUE"""),"Florida")</f>
        <v>Florida</v>
      </c>
      <c r="J5" t="str">
        <f>IFERROR(__xludf.DUMMYFUNCTION("""COMPUTED_VALUE"""),"Georgia State")</f>
        <v>Georgia State</v>
      </c>
      <c r="K5" t="str">
        <f>IFERROR(__xludf.DUMMYFUNCTION("""COMPUTED_VALUE"""),"New Mexico State")</f>
        <v>New Mexico State</v>
      </c>
    </row>
    <row r="6">
      <c r="A6" t="str">
        <f>IFERROR(__xludf.DUMMYFUNCTION("""COMPUTED_VALUE"""),"Memphis")</f>
        <v>Memphis</v>
      </c>
      <c r="B6" t="str">
        <f>IFERROR(__xludf.DUMMYFUNCTION("""COMPUTED_VALUE"""),"Georgia Tech")</f>
        <v>Georgia Tech</v>
      </c>
      <c r="C6" t="str">
        <f>IFERROR(__xludf.DUMMYFUNCTION("""COMPUTED_VALUE"""),"Oklahoma")</f>
        <v>Oklahoma</v>
      </c>
      <c r="D6" t="str">
        <f>IFERROR(__xludf.DUMMYFUNCTION("""COMPUTED_VALUE"""),"Michigan")</f>
        <v>Michigan</v>
      </c>
      <c r="E6" t="str">
        <f>IFERROR(__xludf.DUMMYFUNCTION("""COMPUTED_VALUE"""),"Middle Tennessee")</f>
        <v>Middle Tennessee</v>
      </c>
      <c r="F6" t="str">
        <f>IFERROR(__xludf.DUMMYFUNCTION("""COMPUTED_VALUE"""),"Central Michigan")</f>
        <v>Central Michigan</v>
      </c>
      <c r="G6" t="str">
        <f>IFERROR(__xludf.DUMMYFUNCTION("""COMPUTED_VALUE"""),"Hawaii")</f>
        <v>Hawaii</v>
      </c>
      <c r="H6" t="str">
        <f>IFERROR(__xludf.DUMMYFUNCTION("""COMPUTED_VALUE"""),"Oregon")</f>
        <v>Oregon</v>
      </c>
      <c r="I6" t="str">
        <f>IFERROR(__xludf.DUMMYFUNCTION("""COMPUTED_VALUE"""),"Georgia")</f>
        <v>Georgia</v>
      </c>
      <c r="J6" t="str">
        <f>IFERROR(__xludf.DUMMYFUNCTION("""COMPUTED_VALUE"""),"UL Lafayette")</f>
        <v>UL Lafayette</v>
      </c>
      <c r="K6" t="str">
        <f>IFERROR(__xludf.DUMMYFUNCTION("""COMPUTED_VALUE"""),"Notre Dame")</f>
        <v>Notre Dame</v>
      </c>
    </row>
    <row r="7">
      <c r="A7" t="str">
        <f>IFERROR(__xludf.DUMMYFUNCTION("""COMPUTED_VALUE"""),"Navy")</f>
        <v>Navy</v>
      </c>
      <c r="B7" t="str">
        <f>IFERROR(__xludf.DUMMYFUNCTION("""COMPUTED_VALUE"""),"Louisville")</f>
        <v>Louisville</v>
      </c>
      <c r="C7" t="str">
        <f>IFERROR(__xludf.DUMMYFUNCTION("""COMPUTED_VALUE"""),"Oklahoma State")</f>
        <v>Oklahoma State</v>
      </c>
      <c r="D7" t="str">
        <f>IFERROR(__xludf.DUMMYFUNCTION("""COMPUTED_VALUE"""),"Michigan State")</f>
        <v>Michigan State</v>
      </c>
      <c r="E7" t="str">
        <f>IFERROR(__xludf.DUMMYFUNCTION("""COMPUTED_VALUE"""),"North Texas")</f>
        <v>North Texas</v>
      </c>
      <c r="F7" t="str">
        <f>IFERROR(__xludf.DUMMYFUNCTION("""COMPUTED_VALUE"""),"EMU")</f>
        <v>EMU</v>
      </c>
      <c r="G7" t="str">
        <f>IFERROR(__xludf.DUMMYFUNCTION("""COMPUTED_VALUE"""),"Nevada")</f>
        <v>Nevada</v>
      </c>
      <c r="H7" t="str">
        <f>IFERROR(__xludf.DUMMYFUNCTION("""COMPUTED_VALUE"""),"Oregon State")</f>
        <v>Oregon State</v>
      </c>
      <c r="I7" t="str">
        <f>IFERROR(__xludf.DUMMYFUNCTION("""COMPUTED_VALUE"""),"Kentucky")</f>
        <v>Kentucky</v>
      </c>
      <c r="J7" t="str">
        <f>IFERROR(__xludf.DUMMYFUNCTION("""COMPUTED_VALUE"""),"UL Monroe")</f>
        <v>UL Monroe</v>
      </c>
      <c r="K7" t="str">
        <f>IFERROR(__xludf.DUMMYFUNCTION("""COMPUTED_VALUE"""),"UMASS")</f>
        <v>UMASS</v>
      </c>
    </row>
    <row r="8">
      <c r="A8" t="str">
        <f>IFERROR(__xludf.DUMMYFUNCTION("""COMPUTED_VALUE"""),"SMU")</f>
        <v>SMU</v>
      </c>
      <c r="B8" t="str">
        <f>IFERROR(__xludf.DUMMYFUNCTION("""COMPUTED_VALUE"""),"Miami")</f>
        <v>Miami</v>
      </c>
      <c r="C8" t="str">
        <f>IFERROR(__xludf.DUMMYFUNCTION("""COMPUTED_VALUE"""),"TCU")</f>
        <v>TCU</v>
      </c>
      <c r="D8" t="str">
        <f>IFERROR(__xludf.DUMMYFUNCTION("""COMPUTED_VALUE"""),"Minnesota")</f>
        <v>Minnesota</v>
      </c>
      <c r="E8" t="str">
        <f>IFERROR(__xludf.DUMMYFUNCTION("""COMPUTED_VALUE"""),"Old Dominion")</f>
        <v>Old Dominion</v>
      </c>
      <c r="F8" t="str">
        <f>IFERROR(__xludf.DUMMYFUNCTION("""COMPUTED_VALUE"""),"Kent State")</f>
        <v>Kent State</v>
      </c>
      <c r="G8" t="str">
        <f>IFERROR(__xludf.DUMMYFUNCTION("""COMPUTED_VALUE"""),"New Mexico")</f>
        <v>New Mexico</v>
      </c>
      <c r="H8" t="str">
        <f>IFERROR(__xludf.DUMMYFUNCTION("""COMPUTED_VALUE"""),"Stanford")</f>
        <v>Stanford</v>
      </c>
      <c r="I8" t="str">
        <f>IFERROR(__xludf.DUMMYFUNCTION("""COMPUTED_VALUE"""),"LSU")</f>
        <v>LSU</v>
      </c>
      <c r="J8" t="str">
        <f>IFERROR(__xludf.DUMMYFUNCTION("""COMPUTED_VALUE"""),"South Alabama")</f>
        <v>South Alabama</v>
      </c>
    </row>
    <row r="9">
      <c r="A9" t="str">
        <f>IFERROR(__xludf.DUMMYFUNCTION("""COMPUTED_VALUE"""),"South Florida")</f>
        <v>South Florida</v>
      </c>
      <c r="B9" t="str">
        <f>IFERROR(__xludf.DUMMYFUNCTION("""COMPUTED_VALUE"""),"NC State")</f>
        <v>NC State</v>
      </c>
      <c r="C9" t="str">
        <f>IFERROR(__xludf.DUMMYFUNCTION("""COMPUTED_VALUE"""),"Texas")</f>
        <v>Texas</v>
      </c>
      <c r="D9" t="str">
        <f>IFERROR(__xludf.DUMMYFUNCTION("""COMPUTED_VALUE"""),"Nebraska")</f>
        <v>Nebraska</v>
      </c>
      <c r="E9" t="str">
        <f>IFERROR(__xludf.DUMMYFUNCTION("""COMPUTED_VALUE"""),"Rice")</f>
        <v>Rice</v>
      </c>
      <c r="F9" t="str">
        <f>IFERROR(__xludf.DUMMYFUNCTION("""COMPUTED_VALUE"""),"Miami-OH")</f>
        <v>Miami-OH</v>
      </c>
      <c r="G9" t="str">
        <f>IFERROR(__xludf.DUMMYFUNCTION("""COMPUTED_VALUE"""),"San Diego State")</f>
        <v>San Diego State</v>
      </c>
      <c r="H9" t="str">
        <f>IFERROR(__xludf.DUMMYFUNCTION("""COMPUTED_VALUE"""),"UCLA")</f>
        <v>UCLA</v>
      </c>
      <c r="I9" t="str">
        <f>IFERROR(__xludf.DUMMYFUNCTION("""COMPUTED_VALUE"""),"Mississippi State")</f>
        <v>Mississippi State</v>
      </c>
      <c r="J9" t="str">
        <f>IFERROR(__xludf.DUMMYFUNCTION("""COMPUTED_VALUE"""),"Texas State")</f>
        <v>Texas State</v>
      </c>
    </row>
    <row r="10">
      <c r="A10" t="str">
        <f>IFERROR(__xludf.DUMMYFUNCTION("""COMPUTED_VALUE"""),"Temple")</f>
        <v>Temple</v>
      </c>
      <c r="B10" t="str">
        <f>IFERROR(__xludf.DUMMYFUNCTION("""COMPUTED_VALUE"""),"North Carolina")</f>
        <v>North Carolina</v>
      </c>
      <c r="C10" t="str">
        <f>IFERROR(__xludf.DUMMYFUNCTION("""COMPUTED_VALUE"""),"Texas Tech")</f>
        <v>Texas Tech</v>
      </c>
      <c r="D10" t="str">
        <f>IFERROR(__xludf.DUMMYFUNCTION("""COMPUTED_VALUE"""),"Northwestern")</f>
        <v>Northwestern</v>
      </c>
      <c r="E10" t="str">
        <f>IFERROR(__xludf.DUMMYFUNCTION("""COMPUTED_VALUE"""),"Southern Mississippi")</f>
        <v>Southern Mississippi</v>
      </c>
      <c r="F10" t="str">
        <f>IFERROR(__xludf.DUMMYFUNCTION("""COMPUTED_VALUE"""),"Northern Illinois")</f>
        <v>Northern Illinois</v>
      </c>
      <c r="G10" t="str">
        <f>IFERROR(__xludf.DUMMYFUNCTION("""COMPUTED_VALUE"""),"San José State")</f>
        <v>San José State</v>
      </c>
      <c r="H10" t="str">
        <f>IFERROR(__xludf.DUMMYFUNCTION("""COMPUTED_VALUE"""),"USC")</f>
        <v>USC</v>
      </c>
      <c r="I10" t="str">
        <f>IFERROR(__xludf.DUMMYFUNCTION("""COMPUTED_VALUE"""),"Missouri")</f>
        <v>Missouri</v>
      </c>
      <c r="J10" t="str">
        <f>IFERROR(__xludf.DUMMYFUNCTION("""COMPUTED_VALUE"""),"Troy")</f>
        <v>Troy</v>
      </c>
    </row>
    <row r="11">
      <c r="A11" t="str">
        <f>IFERROR(__xludf.DUMMYFUNCTION("""COMPUTED_VALUE"""),"Tulane")</f>
        <v>Tulane</v>
      </c>
      <c r="B11" t="str">
        <f>IFERROR(__xludf.DUMMYFUNCTION("""COMPUTED_VALUE"""),"Pittsburgh")</f>
        <v>Pittsburgh</v>
      </c>
      <c r="C11" t="str">
        <f>IFERROR(__xludf.DUMMYFUNCTION("""COMPUTED_VALUE"""),"West Virginia")</f>
        <v>West Virginia</v>
      </c>
      <c r="D11" t="str">
        <f>IFERROR(__xludf.DUMMYFUNCTION("""COMPUTED_VALUE"""),"Ohio State")</f>
        <v>Ohio State</v>
      </c>
      <c r="E11" t="str">
        <f>IFERROR(__xludf.DUMMYFUNCTION("""COMPUTED_VALUE"""),"Charlotte")</f>
        <v>Charlotte</v>
      </c>
      <c r="F11" t="str">
        <f>IFERROR(__xludf.DUMMYFUNCTION("""COMPUTED_VALUE"""),"Ohio")</f>
        <v>Ohio</v>
      </c>
      <c r="G11" t="str">
        <f>IFERROR(__xludf.DUMMYFUNCTION("""COMPUTED_VALUE"""),"UNLV")</f>
        <v>UNLV</v>
      </c>
      <c r="H11" t="str">
        <f>IFERROR(__xludf.DUMMYFUNCTION("""COMPUTED_VALUE"""),"Utah")</f>
        <v>Utah</v>
      </c>
      <c r="I11" t="str">
        <f>IFERROR(__xludf.DUMMYFUNCTION("""COMPUTED_VALUE"""),"Ole Miss")</f>
        <v>Ole Miss</v>
      </c>
      <c r="J11" t="str">
        <f>IFERROR(__xludf.DUMMYFUNCTION("""COMPUTED_VALUE"""),"Coastal Carolina")</f>
        <v>Coastal Carolina</v>
      </c>
    </row>
    <row r="12">
      <c r="A12" t="str">
        <f>IFERROR(__xludf.DUMMYFUNCTION("""COMPUTED_VALUE"""),"Tulsa")</f>
        <v>Tulsa</v>
      </c>
      <c r="B12" t="str">
        <f>IFERROR(__xludf.DUMMYFUNCTION("""COMPUTED_VALUE"""),"Syracuse")</f>
        <v>Syracuse</v>
      </c>
      <c r="D12" t="str">
        <f>IFERROR(__xludf.DUMMYFUNCTION("""COMPUTED_VALUE"""),"Penn State")</f>
        <v>Penn State</v>
      </c>
      <c r="E12" t="str">
        <f>IFERROR(__xludf.DUMMYFUNCTION("""COMPUTED_VALUE"""),"UTEP")</f>
        <v>UTEP</v>
      </c>
      <c r="F12" t="str">
        <f>IFERROR(__xludf.DUMMYFUNCTION("""COMPUTED_VALUE"""),"Toledo")</f>
        <v>Toledo</v>
      </c>
      <c r="G12" t="str">
        <f>IFERROR(__xludf.DUMMYFUNCTION("""COMPUTED_VALUE"""),"Utah State")</f>
        <v>Utah State</v>
      </c>
      <c r="H12" t="str">
        <f>IFERROR(__xludf.DUMMYFUNCTION("""COMPUTED_VALUE"""),"Washington")</f>
        <v>Washington</v>
      </c>
      <c r="I12" t="str">
        <f>IFERROR(__xludf.DUMMYFUNCTION("""COMPUTED_VALUE"""),"South Carolina")</f>
        <v>South Carolina</v>
      </c>
    </row>
    <row r="13">
      <c r="A13" t="str">
        <f>IFERROR(__xludf.DUMMYFUNCTION("""COMPUTED_VALUE"""),"UCF")</f>
        <v>UCF</v>
      </c>
      <c r="B13" t="str">
        <f>IFERROR(__xludf.DUMMYFUNCTION("""COMPUTED_VALUE"""),"Virginia")</f>
        <v>Virginia</v>
      </c>
      <c r="D13" t="str">
        <f>IFERROR(__xludf.DUMMYFUNCTION("""COMPUTED_VALUE"""),"Purdue")</f>
        <v>Purdue</v>
      </c>
      <c r="E13" t="str">
        <f>IFERROR(__xludf.DUMMYFUNCTION("""COMPUTED_VALUE"""),"UTSA")</f>
        <v>UTSA</v>
      </c>
      <c r="F13" t="str">
        <f>IFERROR(__xludf.DUMMYFUNCTION("""COMPUTED_VALUE"""),"Western Michigan")</f>
        <v>Western Michigan</v>
      </c>
      <c r="G13" t="str">
        <f>IFERROR(__xludf.DUMMYFUNCTION("""COMPUTED_VALUE"""),"Wyoming")</f>
        <v>Wyoming</v>
      </c>
      <c r="H13" t="str">
        <f>IFERROR(__xludf.DUMMYFUNCTION("""COMPUTED_VALUE"""),"Washington State")</f>
        <v>Washington State</v>
      </c>
      <c r="I13" t="str">
        <f>IFERROR(__xludf.DUMMYFUNCTION("""COMPUTED_VALUE"""),"Tennessee")</f>
        <v>Tennessee</v>
      </c>
    </row>
    <row r="14">
      <c r="B14" t="str">
        <f>IFERROR(__xludf.DUMMYFUNCTION("""COMPUTED_VALUE"""),"Virginia Tech")</f>
        <v>Virginia Tech</v>
      </c>
      <c r="D14" t="str">
        <f>IFERROR(__xludf.DUMMYFUNCTION("""COMPUTED_VALUE"""),"Rutgers")</f>
        <v>Rutgers</v>
      </c>
      <c r="E14" t="str">
        <f>IFERROR(__xludf.DUMMYFUNCTION("""COMPUTED_VALUE"""),"Western Kentucky")</f>
        <v>Western Kentucky</v>
      </c>
      <c r="I14" t="str">
        <f>IFERROR(__xludf.DUMMYFUNCTION("""COMPUTED_VALUE"""),"Texas A&amp;M")</f>
        <v>Texas A&amp;M</v>
      </c>
    </row>
    <row r="15">
      <c r="B15" t="str">
        <f>IFERROR(__xludf.DUMMYFUNCTION("""COMPUTED_VALUE"""),"Wake Forest")</f>
        <v>Wake Forest</v>
      </c>
      <c r="D15" t="str">
        <f>IFERROR(__xludf.DUMMYFUNCTION("""COMPUTED_VALUE"""),"Wisconsin")</f>
        <v>Wisconsin</v>
      </c>
      <c r="E15" t="str">
        <f>IFERROR(__xludf.DUMMYFUNCTION("""COMPUTED_VALUE"""),"UAB")</f>
        <v>UAB</v>
      </c>
      <c r="I15" t="str">
        <f>IFERROR(__xludf.DUMMYFUNCTION("""COMPUTED_VALUE"""),"Vanderbilt")</f>
        <v>Vanderbilt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O11">TRANSPOSE('Actual Conferences'!A1:K15)</f>
        <v>AAC</v>
      </c>
      <c r="B1" t="s">
        <v>5</v>
      </c>
      <c r="C1" t="s">
        <v>23</v>
      </c>
      <c r="D1" t="s">
        <v>32</v>
      </c>
      <c r="E1" t="s">
        <v>33</v>
      </c>
      <c r="F1" t="s">
        <v>35</v>
      </c>
      <c r="G1" t="s">
        <v>37</v>
      </c>
      <c r="H1" t="s">
        <v>42</v>
      </c>
      <c r="I1" t="s">
        <v>45</v>
      </c>
      <c r="J1" t="s">
        <v>49</v>
      </c>
      <c r="K1" t="s">
        <v>52</v>
      </c>
      <c r="L1" t="s">
        <v>56</v>
      </c>
      <c r="M1" t="s">
        <v>59</v>
      </c>
    </row>
    <row r="2">
      <c r="A2" t="s">
        <v>15</v>
      </c>
      <c r="B2" t="s">
        <v>61</v>
      </c>
      <c r="C2" t="s">
        <v>68</v>
      </c>
      <c r="D2" t="s">
        <v>72</v>
      </c>
      <c r="E2" t="s">
        <v>76</v>
      </c>
      <c r="F2" t="s">
        <v>80</v>
      </c>
      <c r="G2" t="s">
        <v>84</v>
      </c>
      <c r="H2" t="s">
        <v>87</v>
      </c>
      <c r="I2" t="s">
        <v>88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</row>
    <row r="3">
      <c r="A3" t="s">
        <v>17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</row>
    <row r="4">
      <c r="A4" t="s">
        <v>19</v>
      </c>
      <c r="B4" t="s">
        <v>106</v>
      </c>
      <c r="C4" t="s">
        <v>108</v>
      </c>
      <c r="D4" t="s">
        <v>110</v>
      </c>
      <c r="E4" t="s">
        <v>111</v>
      </c>
      <c r="F4" t="s">
        <v>112</v>
      </c>
      <c r="G4" t="s">
        <v>113</v>
      </c>
      <c r="H4" t="s">
        <v>115</v>
      </c>
      <c r="I4" t="s">
        <v>116</v>
      </c>
      <c r="J4" t="s">
        <v>117</v>
      </c>
      <c r="K4" t="s">
        <v>118</v>
      </c>
      <c r="L4" t="s">
        <v>119</v>
      </c>
      <c r="M4" t="s">
        <v>120</v>
      </c>
      <c r="N4" t="s">
        <v>121</v>
      </c>
      <c r="O4" t="s">
        <v>122</v>
      </c>
    </row>
    <row r="5">
      <c r="A5" t="s">
        <v>20</v>
      </c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128</v>
      </c>
      <c r="H5" t="s">
        <v>129</v>
      </c>
      <c r="I5" t="s">
        <v>130</v>
      </c>
      <c r="J5" t="s">
        <v>131</v>
      </c>
      <c r="K5" t="s">
        <v>132</v>
      </c>
      <c r="L5" t="s">
        <v>133</v>
      </c>
      <c r="M5" t="s">
        <v>134</v>
      </c>
      <c r="N5" t="s">
        <v>135</v>
      </c>
      <c r="O5" t="s">
        <v>136</v>
      </c>
    </row>
    <row r="6">
      <c r="A6" t="s">
        <v>22</v>
      </c>
      <c r="B6" t="s">
        <v>137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147</v>
      </c>
      <c r="M6" t="s">
        <v>148</v>
      </c>
    </row>
    <row r="7">
      <c r="A7" t="s">
        <v>24</v>
      </c>
      <c r="B7" t="s">
        <v>149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155</v>
      </c>
      <c r="I7" t="s">
        <v>156</v>
      </c>
      <c r="J7" t="s">
        <v>157</v>
      </c>
      <c r="K7" t="s">
        <v>158</v>
      </c>
      <c r="L7" t="s">
        <v>159</v>
      </c>
      <c r="M7" t="s">
        <v>160</v>
      </c>
    </row>
    <row r="8">
      <c r="A8" t="s">
        <v>26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170</v>
      </c>
      <c r="L8" t="s">
        <v>171</v>
      </c>
      <c r="M8" t="s">
        <v>172</v>
      </c>
    </row>
    <row r="9">
      <c r="A9" t="s">
        <v>28</v>
      </c>
      <c r="B9" t="s">
        <v>114</v>
      </c>
      <c r="C9" t="s">
        <v>173</v>
      </c>
      <c r="D9" t="s">
        <v>174</v>
      </c>
      <c r="E9" t="s">
        <v>175</v>
      </c>
      <c r="F9" t="s">
        <v>176</v>
      </c>
      <c r="G9" t="s">
        <v>177</v>
      </c>
      <c r="H9" t="s">
        <v>178</v>
      </c>
      <c r="I9" t="s">
        <v>179</v>
      </c>
      <c r="J9" t="s">
        <v>180</v>
      </c>
      <c r="K9" t="s">
        <v>181</v>
      </c>
      <c r="L9" t="s">
        <v>182</v>
      </c>
      <c r="M9" t="s">
        <v>183</v>
      </c>
      <c r="N9" t="s">
        <v>184</v>
      </c>
      <c r="O9" t="s">
        <v>185</v>
      </c>
    </row>
    <row r="10">
      <c r="A10" t="s">
        <v>30</v>
      </c>
      <c r="B10" t="s">
        <v>186</v>
      </c>
      <c r="C10" t="s">
        <v>187</v>
      </c>
      <c r="D10" t="s">
        <v>188</v>
      </c>
      <c r="E10" t="s">
        <v>189</v>
      </c>
      <c r="F10" t="s">
        <v>190</v>
      </c>
      <c r="G10" t="s">
        <v>191</v>
      </c>
      <c r="H10" t="s">
        <v>192</v>
      </c>
      <c r="I10" t="s">
        <v>193</v>
      </c>
      <c r="J10" t="s">
        <v>194</v>
      </c>
      <c r="K10" t="s">
        <v>195</v>
      </c>
    </row>
    <row r="11">
      <c r="A11" t="s">
        <v>31</v>
      </c>
      <c r="B11" t="s">
        <v>196</v>
      </c>
      <c r="C11" t="s">
        <v>109</v>
      </c>
      <c r="D11" t="s">
        <v>197</v>
      </c>
      <c r="E11" t="s">
        <v>198</v>
      </c>
      <c r="F11" t="s">
        <v>107</v>
      </c>
      <c r="G11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9" width="5.88"/>
    <col customWidth="1" min="10" max="11" width="7.13"/>
    <col customWidth="1" min="12" max="12" width="7.88"/>
    <col customWidth="1" min="13" max="14" width="5.88"/>
  </cols>
  <sheetData>
    <row r="1">
      <c r="A1" s="32" t="s">
        <v>199</v>
      </c>
      <c r="B1" s="33" t="s">
        <v>200</v>
      </c>
      <c r="C1" s="36" t="str">
        <f>'Picks by Player'!A1</f>
        <v>DavEmily</v>
      </c>
      <c r="D1" s="36" t="str">
        <f>'Picks by Player'!C1</f>
        <v>Nick A.</v>
      </c>
      <c r="E1" s="36" t="str">
        <f>'Picks by Player'!E1</f>
        <v>Gary</v>
      </c>
      <c r="F1" s="36" t="str">
        <f>'Picks by Player'!G1</f>
        <v>Janice/Mike</v>
      </c>
      <c r="G1" s="36" t="str">
        <f>'Picks by Player'!I1</f>
        <v>Nico</v>
      </c>
      <c r="H1" s="36" t="str">
        <f>'Picks by Player'!K1</f>
        <v>Jeannine</v>
      </c>
      <c r="I1" s="36" t="str">
        <f>'Picks by Player'!M1</f>
        <v>Justin</v>
      </c>
      <c r="J1" s="36" t="str">
        <f>'Picks by Player'!O1</f>
        <v>Adam</v>
      </c>
      <c r="K1" s="36" t="str">
        <f>'Picks by Player'!Q1</f>
        <v>Vu</v>
      </c>
      <c r="L1" s="36" t="str">
        <f>'Picks by Player'!S1</f>
        <v>Josh R.</v>
      </c>
      <c r="M1" s="36" t="str">
        <f>'Picks by Player'!U1</f>
        <v>Brad</v>
      </c>
      <c r="N1" s="36" t="str">
        <f>'Picks by Player'!W1</f>
        <v>Nick G.</v>
      </c>
    </row>
    <row r="2">
      <c r="A2" t="s">
        <v>11</v>
      </c>
      <c r="B2" s="44">
        <f>COUNTIF(DraftTracker!E:E,A2)</f>
        <v>12</v>
      </c>
      <c r="C2" t="str">
        <f>IFERROR(__xludf.DUMMYFUNCTION("filter($A2:$A11,(iserror(match($A2:$A11,'Picks by Player'!A3:A12,0))))"),"#N/A")</f>
        <v>#N/A</v>
      </c>
      <c r="D2" t="str">
        <f>IFERROR(__xludf.DUMMYFUNCTION("filter($A2:$A11,(iserror(match($A2:$A11,'Picks by Player'!C3:C12,0))))"),"#N/A")</f>
        <v>#N/A</v>
      </c>
      <c r="E2" t="str">
        <f>IFERROR(__xludf.DUMMYFUNCTION("filter($A2:$A11,(iserror(match($A2:$A11,'Picks by Player'!E3:E12,0))))"),"#N/A")</f>
        <v>#N/A</v>
      </c>
      <c r="F2" t="str">
        <f>IFERROR(__xludf.DUMMYFUNCTION("filter($A2:$A11,(iserror(match($A2:$A11,'Picks by Player'!G3:G12,0))))"),"#N/A")</f>
        <v>#N/A</v>
      </c>
      <c r="G2" t="str">
        <f>IFERROR(__xludf.DUMMYFUNCTION("filter($A2:$A11,(iserror(match($A2:$A11,'Picks by Player'!I3:I12,0))))"),"#N/A")</f>
        <v>#N/A</v>
      </c>
      <c r="H2" t="str">
        <f>IFERROR(__xludf.DUMMYFUNCTION("filter($A2:$A11,(iserror(match($A2:$A11,'Picks by Player'!K3:K12,0))))"),"#N/A")</f>
        <v>#N/A</v>
      </c>
      <c r="I2" t="str">
        <f>IFERROR(__xludf.DUMMYFUNCTION("filter($A2:$A11,(iserror(match($A2:$A11,'Picks by Player'!M3:M12,0))))"),"#N/A")</f>
        <v>#N/A</v>
      </c>
      <c r="J2" t="str">
        <f>IFERROR(__xludf.DUMMYFUNCTION("filter($A2:$A11,(iserror(match($A2:$A11,'Picks by Player'!O3:O12,0))))"),"#N/A")</f>
        <v>#N/A</v>
      </c>
      <c r="K2" t="str">
        <f>IFERROR(__xludf.DUMMYFUNCTION("filter($A2:$A11,(iserror(match($A2:$A11,'Picks by Player'!Q3:Q12,0))))"),"#N/A")</f>
        <v>#N/A</v>
      </c>
      <c r="L2" t="str">
        <f>IFERROR(__xludf.DUMMYFUNCTION("filter($A2:$A11,(iserror(match($A2:$A11,'Picks by Player'!S3:S12,0))))"),"#N/A")</f>
        <v>#N/A</v>
      </c>
      <c r="M2" t="str">
        <f>IFERROR(__xludf.DUMMYFUNCTION("filter($A2:$A11,(iserror(match($A2:$A11,'Picks by Player'!U3:U12,0))))"),"#N/A")</f>
        <v>#N/A</v>
      </c>
      <c r="N2" t="str">
        <f>IFERROR(__xludf.DUMMYFUNCTION("filter($A2:$A11,(iserror(match($A2:$A11,'Picks by Player'!W3:W12,0))))"),"#N/A")</f>
        <v>#N/A</v>
      </c>
    </row>
    <row r="3">
      <c r="A3" t="s">
        <v>15</v>
      </c>
      <c r="B3" s="44">
        <f>COUNTIF(DraftTracker!E:E,A3)</f>
        <v>14</v>
      </c>
    </row>
    <row r="4">
      <c r="A4" t="s">
        <v>17</v>
      </c>
      <c r="B4" s="44">
        <f>COUNTIF(DraftTracker!E:E,A4)</f>
        <v>12</v>
      </c>
    </row>
    <row r="5">
      <c r="A5" t="s">
        <v>19</v>
      </c>
      <c r="B5" s="44">
        <f>COUNTIF(DraftTracker!E:E,A5)</f>
        <v>14</v>
      </c>
    </row>
    <row r="6">
      <c r="A6" t="s">
        <v>20</v>
      </c>
      <c r="B6" s="44">
        <f>COUNTIF(DraftTracker!E:E,A6)</f>
        <v>14</v>
      </c>
    </row>
    <row r="7">
      <c r="A7" t="s">
        <v>22</v>
      </c>
      <c r="B7" s="44">
        <f>COUNTIF(DraftTracker!E:E,A7)</f>
        <v>12</v>
      </c>
    </row>
    <row r="8">
      <c r="A8" t="s">
        <v>24</v>
      </c>
      <c r="B8" s="44">
        <f>COUNTIF(DraftTracker!E:E,A8)</f>
        <v>12</v>
      </c>
    </row>
    <row r="9">
      <c r="A9" t="s">
        <v>26</v>
      </c>
      <c r="B9" s="44">
        <f>COUNTIF(DraftTracker!E:E,A9)</f>
        <v>12</v>
      </c>
    </row>
    <row r="10">
      <c r="A10" t="s">
        <v>28</v>
      </c>
      <c r="B10" s="44">
        <f>COUNTIF(DraftTracker!E:E,A10)</f>
        <v>14</v>
      </c>
    </row>
    <row r="11">
      <c r="A11" t="s">
        <v>30</v>
      </c>
      <c r="B11" s="44">
        <f>COUNTIF(DraftTracker!E:E,A11)</f>
        <v>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hidden="1" min="11" max="29" width="12.63"/>
  </cols>
  <sheetData>
    <row r="1">
      <c r="A1" s="38" t="str">
        <f t="array" ref="A1:J15">K1:T15</f>
        <v>#N/A</v>
      </c>
      <c r="B1" s="38"/>
      <c r="C1" s="38"/>
      <c r="D1" s="38"/>
      <c r="E1" s="38"/>
      <c r="F1" s="38"/>
      <c r="G1" s="38"/>
      <c r="H1" s="38"/>
      <c r="I1" s="38"/>
      <c r="J1" s="38"/>
      <c r="K1" s="38" t="str">
        <f>IFERROR(__xludf.DUMMYFUNCTION("filter(V:AC,U:U=offset(DraftTracker!D1,counta(DraftTracker!F2:AO3)-1,0))"),"#N/A")</f>
        <v>#N/A</v>
      </c>
      <c r="L1" s="38"/>
      <c r="M1" s="38"/>
      <c r="N1" s="38"/>
      <c r="O1" s="38"/>
      <c r="P1" s="38"/>
      <c r="Q1" s="38"/>
      <c r="R1" s="38"/>
      <c r="S1" s="38"/>
      <c r="T1" s="38"/>
      <c r="U1" s="42" t="str">
        <f t="array" ref="U1:AE12">TRANSPOSE('Conferences Needed'!C1:N11)</f>
        <v>DavEmily</v>
      </c>
      <c r="V1" s="43" t="e">
        <v>#N/A</v>
      </c>
      <c r="W1" s="43"/>
      <c r="X1" s="43"/>
      <c r="Y1" s="43"/>
      <c r="Z1" s="43"/>
      <c r="AA1" s="43"/>
      <c r="AB1" s="43"/>
      <c r="AC1" s="43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>
      <c r="A2" s="45"/>
      <c r="B2" s="45"/>
      <c r="C2" s="45"/>
      <c r="D2" s="45"/>
      <c r="E2" s="45"/>
      <c r="F2" s="45"/>
      <c r="G2" s="45"/>
      <c r="H2" s="45"/>
      <c r="I2" s="45"/>
      <c r="J2" s="45"/>
      <c r="K2" s="45" t="str">
        <f>iferror(offset('Teams Available'!$A1,1,match(K1,'Teams Available'!1:1,0)-1,14,1),"")</f>
        <v/>
      </c>
      <c r="L2" s="45" t="str">
        <f>iferror(offset('Teams Available'!$A1,1,match(L1,'Teams Available'!1:1,0)-1,14,1),"")</f>
        <v/>
      </c>
      <c r="M2" s="45" t="str">
        <f>iferror(offset('Teams Available'!$A1,1,match(M1,'Teams Available'!1:1,0)-1,14,1),"")</f>
        <v/>
      </c>
      <c r="N2" s="45" t="str">
        <f>iferror(offset('Teams Available'!$A1,1,match(N1,'Teams Available'!1:1,0)-1,14,1),"")</f>
        <v/>
      </c>
      <c r="O2" s="45" t="str">
        <f>iferror(offset('Teams Available'!$A1,1,match(O1,'Teams Available'!1:1,0)-1,14,1),"")</f>
        <v/>
      </c>
      <c r="P2" s="45" t="str">
        <f>iferror(offset('Teams Available'!$A1,1,match(P1,'Teams Available'!1:1,0)-1,14,1),"")</f>
        <v/>
      </c>
      <c r="Q2" s="45" t="str">
        <f>iferror(offset('Teams Available'!$A1,1,match(Q1,'Teams Available'!1:1,0)-1,14,1),"")</f>
        <v/>
      </c>
      <c r="R2" s="45" t="str">
        <f>iferror(offset('Teams Available'!$A1,1,match(R1,'Teams Available'!1:1,0)-1,14,1),"")</f>
        <v/>
      </c>
      <c r="S2" s="45" t="str">
        <f>iferror(offset('Teams Available'!$A1,1,match(S1,'Teams Available'!1:1,0)-1,14,1),"")</f>
        <v/>
      </c>
      <c r="T2" s="45" t="str">
        <f>iferror(offset('Teams Available'!$A1,1,match(T1,'Teams Available'!1:1,0)-1,14,1),"")</f>
        <v/>
      </c>
      <c r="U2" s="47" t="s">
        <v>38</v>
      </c>
      <c r="V2" t="e">
        <v>#N/A</v>
      </c>
    </row>
    <row r="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9" t="s">
        <v>41</v>
      </c>
      <c r="V3" t="e">
        <v>#N/A</v>
      </c>
    </row>
    <row r="4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9" t="s">
        <v>44</v>
      </c>
      <c r="V4" t="e">
        <v>#N/A</v>
      </c>
    </row>
    <row r="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9" t="s">
        <v>48</v>
      </c>
      <c r="V5" t="e">
        <v>#N/A</v>
      </c>
    </row>
    <row r="6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9" t="s">
        <v>53</v>
      </c>
      <c r="V6" t="e">
        <v>#N/A</v>
      </c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9" t="s">
        <v>58</v>
      </c>
      <c r="V7" t="e">
        <v>#N/A</v>
      </c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9" t="s">
        <v>60</v>
      </c>
      <c r="V8" t="e">
        <v>#N/A</v>
      </c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9" t="s">
        <v>62</v>
      </c>
      <c r="V9" t="e">
        <v>#N/A</v>
      </c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9" t="s">
        <v>64</v>
      </c>
      <c r="V10" t="e">
        <v>#N/A</v>
      </c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9" t="s">
        <v>69</v>
      </c>
      <c r="V11" t="e">
        <v>#N/A</v>
      </c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9" t="s">
        <v>74</v>
      </c>
      <c r="V12" t="e">
        <v>#N/A</v>
      </c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6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6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5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204</v>
      </c>
      <c r="B1" s="1" t="s">
        <v>205</v>
      </c>
      <c r="C1" s="1" t="s">
        <v>206</v>
      </c>
    </row>
    <row r="2">
      <c r="A2" s="46" t="str">
        <f>IFERROR(__xludf.DUMMYFUNCTION("importhtml(""http://www.vegasinsider.com/college-football/odds/las-vegas/"",""Table"",0)"),"Time")</f>
        <v>Time</v>
      </c>
      <c r="B2" t="str">
        <f>IFERROR(__xludf.DUMMYFUNCTION("""COMPUTED_VALUE"""),"Open")</f>
        <v>Open</v>
      </c>
      <c r="C2" t="str">
        <f>IFERROR(__xludf.DUMMYFUNCTION("""COMPUTED_VALUE"""),"Bet365")</f>
        <v>Bet365</v>
      </c>
      <c r="D2" t="str">
        <f>IFERROR(__xludf.DUMMYFUNCTION("""COMPUTED_VALUE"""),"BetMGM")</f>
        <v>BetMGM</v>
      </c>
      <c r="E2" t="str">
        <f>IFERROR(__xludf.DUMMYFUNCTION("""COMPUTED_VALUE"""),"DraftKings")</f>
        <v>DraftKings</v>
      </c>
      <c r="F2" t="str">
        <f>IFERROR(__xludf.DUMMYFUNCTION("""COMPUTED_VALUE"""),"Caesars")</f>
        <v>Caesars</v>
      </c>
      <c r="G2" t="str">
        <f>IFERROR(__xludf.DUMMYFUNCTION("""COMPUTED_VALUE"""),"FanDuel")</f>
        <v>FanDuel</v>
      </c>
      <c r="H2" t="str">
        <f>IFERROR(__xludf.DUMMYFUNCTION("""COMPUTED_VALUE"""),"HardRock")</f>
        <v>HardRock</v>
      </c>
      <c r="I2" t="str">
        <f>IFERROR(__xludf.DUMMYFUNCTION("""COMPUTED_VALUE"""),"Fanatics")</f>
        <v>Fanatics</v>
      </c>
      <c r="J2" t="str">
        <f>IFERROR(__xludf.DUMMYFUNCTION("""COMPUTED_VALUE"""),"RiversCasino")</f>
        <v>RiversCasino</v>
      </c>
      <c r="K2" t="str">
        <f>IFERROR(__xludf.DUMMYFUNCTION("""COMPUTED_VALUE"""),"Consensus")</f>
        <v>Consensus</v>
      </c>
    </row>
    <row r="3">
      <c r="B3" t="str">
        <f>IFERROR(__xludf.DUMMYFUNCTION("""COMPUTED_VALUE"""),"Open")</f>
        <v>Open</v>
      </c>
      <c r="C3" t="str">
        <f>IFERROR(__xludf.DUMMYFUNCTION("""COMPUTED_VALUE"""),"›")</f>
        <v>›</v>
      </c>
      <c r="D3" t="str">
        <f>IFERROR(__xludf.DUMMYFUNCTION("""COMPUTED_VALUE"""),"›")</f>
        <v>›</v>
      </c>
      <c r="E3" t="str">
        <f>IFERROR(__xludf.DUMMYFUNCTION("""COMPUTED_VALUE"""),"›")</f>
        <v>›</v>
      </c>
      <c r="F3" t="str">
        <f>IFERROR(__xludf.DUMMYFUNCTION("""COMPUTED_VALUE"""),"›")</f>
        <v>›</v>
      </c>
      <c r="G3" t="str">
        <f>IFERROR(__xludf.DUMMYFUNCTION("""COMPUTED_VALUE"""),"›")</f>
        <v>›</v>
      </c>
      <c r="H3" t="str">
        <f>IFERROR(__xludf.DUMMYFUNCTION("""COMPUTED_VALUE"""),"›")</f>
        <v>›</v>
      </c>
      <c r="I3" t="str">
        <f>IFERROR(__xludf.DUMMYFUNCTION("""COMPUTED_VALUE"""),"›")</f>
        <v>›</v>
      </c>
      <c r="J3" t="str">
        <f>IFERROR(__xludf.DUMMYFUNCTION("""COMPUTED_VALUE"""),"›")</f>
        <v>›</v>
      </c>
    </row>
    <row r="4">
      <c r="A4" t="str">
        <f>IFERROR(__xludf.DUMMYFUNCTION("""COMPUTED_VALUE"""),"305 North Carolina")</f>
        <v>305 North Carolina</v>
      </c>
      <c r="B4" t="str">
        <f>IFERROR(__xludf.DUMMYFUNCTION("""COMPUTED_VALUE"""),"+6.5 -114")</f>
        <v>+6.5 -114</v>
      </c>
      <c r="C4" t="str">
        <f>IFERROR(__xludf.DUMMYFUNCTION("""COMPUTED_VALUE"""),"+6.5 -105 +")</f>
        <v>+6.5 -105 +</v>
      </c>
      <c r="D4" t="str">
        <f>IFERROR(__xludf.DUMMYFUNCTION("""COMPUTED_VALUE"""),"+6.5 -105 +")</f>
        <v>+6.5 -105 +</v>
      </c>
      <c r="E4" t="str">
        <f>IFERROR(__xludf.DUMMYFUNCTION("""COMPUTED_VALUE"""),"+6.5 -102 +")</f>
        <v>+6.5 -102 +</v>
      </c>
      <c r="F4" t="str">
        <f>IFERROR(__xludf.DUMMYFUNCTION("""COMPUTED_VALUE"""),"+7 -110 +")</f>
        <v>+7 -110 +</v>
      </c>
      <c r="G4" t="str">
        <f>IFERROR(__xludf.DUMMYFUNCTION("""COMPUTED_VALUE"""),"+6.5 -105 +")</f>
        <v>+6.5 -105 +</v>
      </c>
      <c r="H4" t="str">
        <f>IFERROR(__xludf.DUMMYFUNCTION("""COMPUTED_VALUE"""),"+-5.5 -110 +")</f>
        <v>+-5.5 -110 +</v>
      </c>
      <c r="I4" t="str">
        <f>IFERROR(__xludf.DUMMYFUNCTION("""COMPUTED_VALUE"""),"+7 -110 +")</f>
        <v>+7 -110 +</v>
      </c>
      <c r="J4" t="str">
        <f>IFERROR(__xludf.DUMMYFUNCTION("""COMPUTED_VALUE"""),"+7 -114 +")</f>
        <v>+7 -114 +</v>
      </c>
      <c r="K4" t="str">
        <f>IFERROR(__xludf.DUMMYFUNCTION("""COMPUTED_VALUE"""),"+6.5 -102")</f>
        <v>+6.5 -102</v>
      </c>
    </row>
    <row r="5">
      <c r="A5" t="str">
        <f>IFERROR(__xludf.DUMMYFUNCTION("""COMPUTED_VALUE"""),"306 TCU")</f>
        <v>306 TCU</v>
      </c>
      <c r="B5" t="str">
        <f>IFERROR(__xludf.DUMMYFUNCTION("""COMPUTED_VALUE"""),"-6.5 -109")</f>
        <v>-6.5 -109</v>
      </c>
      <c r="C5" t="str">
        <f>IFERROR(__xludf.DUMMYFUNCTION("""COMPUTED_VALUE"""),"-6.5 -115 +")</f>
        <v>-6.5 -115 +</v>
      </c>
      <c r="D5" t="str">
        <f>IFERROR(__xludf.DUMMYFUNCTION("""COMPUTED_VALUE"""),"-6.5 -115 +")</f>
        <v>-6.5 -115 +</v>
      </c>
      <c r="E5" t="str">
        <f>IFERROR(__xludf.DUMMYFUNCTION("""COMPUTED_VALUE"""),"-6.5 -118 +")</f>
        <v>-6.5 -118 +</v>
      </c>
      <c r="F5" t="str">
        <f>IFERROR(__xludf.DUMMYFUNCTION("""COMPUTED_VALUE"""),"-7 -110 +")</f>
        <v>-7 -110 +</v>
      </c>
      <c r="G5" t="str">
        <f>IFERROR(__xludf.DUMMYFUNCTION("""COMPUTED_VALUE"""),"-6.5 -115 +")</f>
        <v>-6.5 -115 +</v>
      </c>
      <c r="H5" t="str">
        <f>IFERROR(__xludf.DUMMYFUNCTION("""COMPUTED_VALUE"""),"--5.5 -120 +")</f>
        <v>--5.5 -120 +</v>
      </c>
      <c r="I5" t="str">
        <f>IFERROR(__xludf.DUMMYFUNCTION("""COMPUTED_VALUE"""),"-7 -110 +")</f>
        <v>-7 -110 +</v>
      </c>
      <c r="J5" t="str">
        <f>IFERROR(__xludf.DUMMYFUNCTION("""COMPUTED_VALUE"""),"-7 -109 +")</f>
        <v>-7 -109 +</v>
      </c>
      <c r="K5" t="str">
        <f>IFERROR(__xludf.DUMMYFUNCTION("""COMPUTED_VALUE"""),"-6.5 -118")</f>
        <v>-6.5 -118</v>
      </c>
    </row>
    <row r="6">
      <c r="A6" t="str">
        <f>IFERROR(__xludf.DUMMYFUNCTION("""COMPUTED_VALUE"""),"- Matchup")</f>
        <v>- Matchup</v>
      </c>
    </row>
    <row r="7">
      <c r="B7" t="str">
        <f>IFERROR(__xludf.DUMMYFUNCTION("""COMPUTED_VALUE"""),"Open")</f>
        <v>Open</v>
      </c>
      <c r="C7" t="str">
        <f>IFERROR(__xludf.DUMMYFUNCTION("""COMPUTED_VALUE"""),"›")</f>
        <v>›</v>
      </c>
      <c r="D7" t="str">
        <f>IFERROR(__xludf.DUMMYFUNCTION("""COMPUTED_VALUE"""),"›")</f>
        <v>›</v>
      </c>
      <c r="E7" t="str">
        <f>IFERROR(__xludf.DUMMYFUNCTION("""COMPUTED_VALUE"""),"›")</f>
        <v>›</v>
      </c>
      <c r="F7" t="str">
        <f>IFERROR(__xludf.DUMMYFUNCTION("""COMPUTED_VALUE"""),"›")</f>
        <v>›</v>
      </c>
      <c r="G7" t="str">
        <f>IFERROR(__xludf.DUMMYFUNCTION("""COMPUTED_VALUE"""),"›")</f>
        <v>›</v>
      </c>
      <c r="H7" t="str">
        <f>IFERROR(__xludf.DUMMYFUNCTION("""COMPUTED_VALUE"""),"›")</f>
        <v>›</v>
      </c>
      <c r="I7" t="str">
        <f>IFERROR(__xludf.DUMMYFUNCTION("""COMPUTED_VALUE"""),"›")</f>
        <v>›</v>
      </c>
      <c r="J7" t="str">
        <f>IFERROR(__xludf.DUMMYFUNCTION("""COMPUTED_VALUE"""),"›")</f>
        <v>›</v>
      </c>
    </row>
    <row r="8">
      <c r="A8" t="str">
        <f>IFERROR(__xludf.DUMMYFUNCTION("""COMPUTED_VALUE"""),"313 San Jose State")</f>
        <v>313 San Jose State</v>
      </c>
      <c r="B8" t="str">
        <f>IFERROR(__xludf.DUMMYFUNCTION("""COMPUTED_VALUE"""),"+35.5 -110")</f>
        <v>+35.5 -110</v>
      </c>
      <c r="C8" t="str">
        <f>IFERROR(__xludf.DUMMYFUNCTION("""COMPUTED_VALUE"""),"+38.5 -110 +")</f>
        <v>+38.5 -110 +</v>
      </c>
      <c r="D8" t="str">
        <f>IFERROR(__xludf.DUMMYFUNCTION("""COMPUTED_VALUE"""),"+38.5 -110 +")</f>
        <v>+38.5 -110 +</v>
      </c>
      <c r="E8" t="str">
        <f>IFERROR(__xludf.DUMMYFUNCTION("""COMPUTED_VALUE"""),"+38.5 -110 +")</f>
        <v>+38.5 -110 +</v>
      </c>
      <c r="F8" t="str">
        <f>IFERROR(__xludf.DUMMYFUNCTION("""COMPUTED_VALUE"""),"+38.5 -110 +")</f>
        <v>+38.5 -110 +</v>
      </c>
      <c r="G8" t="str">
        <f>IFERROR(__xludf.DUMMYFUNCTION("""COMPUTED_VALUE"""),"+36.5 -115 +")</f>
        <v>+36.5 -115 +</v>
      </c>
      <c r="H8" t="str">
        <f>IFERROR(__xludf.DUMMYFUNCTION("""COMPUTED_VALUE"""),"+38.5 -110 +")</f>
        <v>+38.5 -110 +</v>
      </c>
      <c r="I8" t="str">
        <f>IFERROR(__xludf.DUMMYFUNCTION("""COMPUTED_VALUE"""),"+38 -110 +")</f>
        <v>+38 -110 +</v>
      </c>
      <c r="J8" t="str">
        <f>IFERROR(__xludf.DUMMYFUNCTION("""COMPUTED_VALUE"""),"+36.5 -113 +")</f>
        <v>+36.5 -113 +</v>
      </c>
      <c r="K8" t="str">
        <f>IFERROR(__xludf.DUMMYFUNCTION("""COMPUTED_VALUE"""),"+38.5 -110")</f>
        <v>+38.5 -110</v>
      </c>
    </row>
    <row r="9">
      <c r="A9" t="str">
        <f>IFERROR(__xludf.DUMMYFUNCTION("""COMPUTED_VALUE"""),"314 USC")</f>
        <v>314 USC</v>
      </c>
      <c r="B9" t="str">
        <f>IFERROR(__xludf.DUMMYFUNCTION("""COMPUTED_VALUE"""),"-35.5 -110")</f>
        <v>-35.5 -110</v>
      </c>
      <c r="C9" t="str">
        <f>IFERROR(__xludf.DUMMYFUNCTION("""COMPUTED_VALUE"""),"-38.5 -110 +")</f>
        <v>-38.5 -110 +</v>
      </c>
      <c r="D9" t="str">
        <f>IFERROR(__xludf.DUMMYFUNCTION("""COMPUTED_VALUE"""),"-38.5 -110 +")</f>
        <v>-38.5 -110 +</v>
      </c>
      <c r="E9" t="str">
        <f>IFERROR(__xludf.DUMMYFUNCTION("""COMPUTED_VALUE"""),"-38.5 -110 +")</f>
        <v>-38.5 -110 +</v>
      </c>
      <c r="F9" t="str">
        <f>IFERROR(__xludf.DUMMYFUNCTION("""COMPUTED_VALUE"""),"-38.5 -110 +")</f>
        <v>-38.5 -110 +</v>
      </c>
      <c r="G9" t="str">
        <f>IFERROR(__xludf.DUMMYFUNCTION("""COMPUTED_VALUE"""),"-36.5 -105 +")</f>
        <v>-36.5 -105 +</v>
      </c>
      <c r="H9" t="str">
        <f>IFERROR(__xludf.DUMMYFUNCTION("""COMPUTED_VALUE"""),"-38.5 -110 +")</f>
        <v>-38.5 -110 +</v>
      </c>
      <c r="I9" t="str">
        <f>IFERROR(__xludf.DUMMYFUNCTION("""COMPUTED_VALUE"""),"-38 -110 +")</f>
        <v>-38 -110 +</v>
      </c>
      <c r="J9" t="str">
        <f>IFERROR(__xludf.DUMMYFUNCTION("""COMPUTED_VALUE"""),"-36.5 -110 +")</f>
        <v>-36.5 -110 +</v>
      </c>
      <c r="K9" t="str">
        <f>IFERROR(__xludf.DUMMYFUNCTION("""COMPUTED_VALUE"""),"-38.5 -110")</f>
        <v>-38.5 -110</v>
      </c>
    </row>
    <row r="10">
      <c r="A10" t="str">
        <f>IFERROR(__xludf.DUMMYFUNCTION("""COMPUTED_VALUE"""),"- Matchup")</f>
        <v>- Matchup</v>
      </c>
    </row>
    <row r="11">
      <c r="B11" t="str">
        <f>IFERROR(__xludf.DUMMYFUNCTION("""COMPUTED_VALUE"""),"Open")</f>
        <v>Open</v>
      </c>
      <c r="C11" t="str">
        <f>IFERROR(__xludf.DUMMYFUNCTION("""COMPUTED_VALUE"""),"›")</f>
        <v>›</v>
      </c>
      <c r="D11" t="str">
        <f>IFERROR(__xludf.DUMMYFUNCTION("""COMPUTED_VALUE"""),"›")</f>
        <v>›</v>
      </c>
      <c r="E11" t="str">
        <f>IFERROR(__xludf.DUMMYFUNCTION("""COMPUTED_VALUE"""),"›")</f>
        <v>›</v>
      </c>
      <c r="F11" t="str">
        <f>IFERROR(__xludf.DUMMYFUNCTION("""COMPUTED_VALUE"""),"›")</f>
        <v>›</v>
      </c>
      <c r="G11" t="str">
        <f>IFERROR(__xludf.DUMMYFUNCTION("""COMPUTED_VALUE"""),"›")</f>
        <v>›</v>
      </c>
      <c r="H11" t="str">
        <f>IFERROR(__xludf.DUMMYFUNCTION("""COMPUTED_VALUE"""),"›")</f>
        <v>›</v>
      </c>
      <c r="I11" t="str">
        <f>IFERROR(__xludf.DUMMYFUNCTION("""COMPUTED_VALUE"""),"›")</f>
        <v>›</v>
      </c>
      <c r="J11" t="str">
        <f>IFERROR(__xludf.DUMMYFUNCTION("""COMPUTED_VALUE"""),"›")</f>
        <v>›</v>
      </c>
    </row>
    <row r="12">
      <c r="A12" t="str">
        <f>IFERROR(__xludf.DUMMYFUNCTION("""COMPUTED_VALUE"""),"317 NC State")</f>
        <v>317 NC State</v>
      </c>
      <c r="B12" t="str">
        <f>IFERROR(__xludf.DUMMYFUNCTION("""COMPUTED_VALUE"""),"+3 -115")</f>
        <v>+3 -115</v>
      </c>
      <c r="C12" t="str">
        <f>IFERROR(__xludf.DUMMYFUNCTION("""COMPUTED_VALUE"""),"+5.5 -105 +")</f>
        <v>+5.5 -105 +</v>
      </c>
      <c r="D12" t="str">
        <f>IFERROR(__xludf.DUMMYFUNCTION("""COMPUTED_VALUE"""),"+5.5 -110 +")</f>
        <v>+5.5 -110 +</v>
      </c>
      <c r="E12" t="str">
        <f>IFERROR(__xludf.DUMMYFUNCTION("""COMPUTED_VALUE"""),"+5.5 -110 +")</f>
        <v>+5.5 -110 +</v>
      </c>
      <c r="F12" t="str">
        <f>IFERROR(__xludf.DUMMYFUNCTION("""COMPUTED_VALUE"""),"+5.5 -108 +")</f>
        <v>+5.5 -108 +</v>
      </c>
      <c r="G12" t="str">
        <f>IFERROR(__xludf.DUMMYFUNCTION("""COMPUTED_VALUE"""),"+5.5 -106 +")</f>
        <v>+5.5 -106 +</v>
      </c>
      <c r="H12" t="str">
        <f>IFERROR(__xludf.DUMMYFUNCTION("""COMPUTED_VALUE"""),"+5.5 -105 +")</f>
        <v>+5.5 -105 +</v>
      </c>
      <c r="I12" t="str">
        <f>IFERROR(__xludf.DUMMYFUNCTION("""COMPUTED_VALUE"""),"+5.5 -110 +")</f>
        <v>+5.5 -110 +</v>
      </c>
      <c r="J12" t="str">
        <f>IFERROR(__xludf.DUMMYFUNCTION("""COMPUTED_VALUE"""),"+5.5 -112 +")</f>
        <v>+5.5 -112 +</v>
      </c>
      <c r="K12" t="str">
        <f>IFERROR(__xludf.DUMMYFUNCTION("""COMPUTED_VALUE"""),"+5.5 -110")</f>
        <v>+5.5 -110</v>
      </c>
    </row>
    <row r="13">
      <c r="A13" t="str">
        <f>IFERROR(__xludf.DUMMYFUNCTION("""COMPUTED_VALUE"""),"318 Virginia")</f>
        <v>318 Virginia</v>
      </c>
      <c r="B13" t="str">
        <f>IFERROR(__xludf.DUMMYFUNCTION("""COMPUTED_VALUE"""),"-3 -108")</f>
        <v>-3 -108</v>
      </c>
      <c r="C13" t="str">
        <f>IFERROR(__xludf.DUMMYFUNCTION("""COMPUTED_VALUE"""),"-5.5 -115 +")</f>
        <v>-5.5 -115 +</v>
      </c>
      <c r="D13" t="str">
        <f>IFERROR(__xludf.DUMMYFUNCTION("""COMPUTED_VALUE"""),"-5.5 -110 +")</f>
        <v>-5.5 -110 +</v>
      </c>
      <c r="E13" t="str">
        <f>IFERROR(__xludf.DUMMYFUNCTION("""COMPUTED_VALUE"""),"-5.5 -110 +")</f>
        <v>-5.5 -110 +</v>
      </c>
      <c r="F13" t="str">
        <f>IFERROR(__xludf.DUMMYFUNCTION("""COMPUTED_VALUE"""),"-5.5 -112 +")</f>
        <v>-5.5 -112 +</v>
      </c>
      <c r="G13" t="str">
        <f>IFERROR(__xludf.DUMMYFUNCTION("""COMPUTED_VALUE"""),"-5.5 -114 +")</f>
        <v>-5.5 -114 +</v>
      </c>
      <c r="H13" t="str">
        <f>IFERROR(__xludf.DUMMYFUNCTION("""COMPUTED_VALUE"""),"-5.5 even +")</f>
        <v>-5.5 even +</v>
      </c>
      <c r="I13" t="str">
        <f>IFERROR(__xludf.DUMMYFUNCTION("""COMPUTED_VALUE"""),"-5.5 -110 +")</f>
        <v>-5.5 -110 +</v>
      </c>
      <c r="J13" t="str">
        <f>IFERROR(__xludf.DUMMYFUNCTION("""COMPUTED_VALUE"""),"-5.5 -110 +")</f>
        <v>-5.5 -110 +</v>
      </c>
      <c r="K13" t="str">
        <f>IFERROR(__xludf.DUMMYFUNCTION("""COMPUTED_VALUE"""),"-5.5 -110")</f>
        <v>-5.5 -110</v>
      </c>
    </row>
    <row r="14">
      <c r="A14" t="str">
        <f>IFERROR(__xludf.DUMMYFUNCTION("""COMPUTED_VALUE"""),"- Matchup")</f>
        <v>- Matchup</v>
      </c>
    </row>
    <row r="15">
      <c r="B15" t="str">
        <f>IFERROR(__xludf.DUMMYFUNCTION("""COMPUTED_VALUE"""),"Open")</f>
        <v>Open</v>
      </c>
      <c r="C15" t="str">
        <f>IFERROR(__xludf.DUMMYFUNCTION("""COMPUTED_VALUE"""),"›")</f>
        <v>›</v>
      </c>
      <c r="D15" t="str">
        <f>IFERROR(__xludf.DUMMYFUNCTION("""COMPUTED_VALUE"""),"›")</f>
        <v>›</v>
      </c>
      <c r="E15" t="str">
        <f>IFERROR(__xludf.DUMMYFUNCTION("""COMPUTED_VALUE"""),"›")</f>
        <v>›</v>
      </c>
      <c r="F15" t="str">
        <f>IFERROR(__xludf.DUMMYFUNCTION("""COMPUTED_VALUE"""),"›")</f>
        <v>›</v>
      </c>
      <c r="G15" t="str">
        <f>IFERROR(__xludf.DUMMYFUNCTION("""COMPUTED_VALUE"""),"›")</f>
        <v>›</v>
      </c>
      <c r="H15" t="str">
        <f>IFERROR(__xludf.DUMMYFUNCTION("""COMPUTED_VALUE"""),"›")</f>
        <v>›</v>
      </c>
      <c r="I15" t="str">
        <f>IFERROR(__xludf.DUMMYFUNCTION("""COMPUTED_VALUE"""),"›")</f>
        <v>›</v>
      </c>
      <c r="J15" t="str">
        <f>IFERROR(__xludf.DUMMYFUNCTION("""COMPUTED_VALUE"""),"›")</f>
        <v>›</v>
      </c>
    </row>
    <row r="16">
      <c r="A16" t="str">
        <f>IFERROR(__xludf.DUMMYFUNCTION("""COMPUTED_VALUE"""),"319 Jacksonville State")</f>
        <v>319 Jacksonville State</v>
      </c>
      <c r="B16" t="str">
        <f>IFERROR(__xludf.DUMMYFUNCTION("""COMPUTED_VALUE"""),"+10 -112")</f>
        <v>+10 -112</v>
      </c>
      <c r="C16" t="str">
        <f>IFERROR(__xludf.DUMMYFUNCTION("""COMPUTED_VALUE"""),"+7.5 -110 +")</f>
        <v>+7.5 -110 +</v>
      </c>
      <c r="D16" t="str">
        <f>IFERROR(__xludf.DUMMYFUNCTION("""COMPUTED_VALUE"""),"+7.5 -110 +")</f>
        <v>+7.5 -110 +</v>
      </c>
      <c r="E16" t="str">
        <f>IFERROR(__xludf.DUMMYFUNCTION("""COMPUTED_VALUE"""),"+7.5 -110 +")</f>
        <v>+7.5 -110 +</v>
      </c>
      <c r="F16" t="str">
        <f>IFERROR(__xludf.DUMMYFUNCTION("""COMPUTED_VALUE"""),"-7.5 -109 +")</f>
        <v>-7.5 -109 +</v>
      </c>
      <c r="G16" t="str">
        <f>IFERROR(__xludf.DUMMYFUNCTION("""COMPUTED_VALUE"""),"+7.5 -105 +")</f>
        <v>+7.5 -105 +</v>
      </c>
      <c r="H16" t="str">
        <f>IFERROR(__xludf.DUMMYFUNCTION("""COMPUTED_VALUE"""),"+8.5 -110 +")</f>
        <v>+8.5 -110 +</v>
      </c>
      <c r="I16" t="str">
        <f>IFERROR(__xludf.DUMMYFUNCTION("""COMPUTED_VALUE"""),"+7.5 -115 +")</f>
        <v>+7.5 -115 +</v>
      </c>
      <c r="J16" t="str">
        <f>IFERROR(__xludf.DUMMYFUNCTION("""COMPUTED_VALUE"""),"+7.5 -115 +")</f>
        <v>+7.5 -115 +</v>
      </c>
      <c r="K16" t="str">
        <f>IFERROR(__xludf.DUMMYFUNCTION("""COMPUTED_VALUE"""),"+7.5 -110")</f>
        <v>+7.5 -110</v>
      </c>
    </row>
    <row r="17">
      <c r="A17" t="str">
        <f>IFERROR(__xludf.DUMMYFUNCTION("""COMPUTED_VALUE"""),"320 North Dakota State")</f>
        <v>320 North Dakota State</v>
      </c>
      <c r="B17" t="str">
        <f>IFERROR(__xludf.DUMMYFUNCTION("""COMPUTED_VALUE"""),"-10 -108")</f>
        <v>-10 -108</v>
      </c>
      <c r="C17" t="str">
        <f>IFERROR(__xludf.DUMMYFUNCTION("""COMPUTED_VALUE"""),"-7.5 -110 +")</f>
        <v>-7.5 -110 +</v>
      </c>
      <c r="D17" t="str">
        <f>IFERROR(__xludf.DUMMYFUNCTION("""COMPUTED_VALUE"""),"-7.5 -110 +")</f>
        <v>-7.5 -110 +</v>
      </c>
      <c r="E17" t="str">
        <f>IFERROR(__xludf.DUMMYFUNCTION("""COMPUTED_VALUE"""),"-7.5 -110 +")</f>
        <v>-7.5 -110 +</v>
      </c>
      <c r="F17" t="str">
        <f>IFERROR(__xludf.DUMMYFUNCTION("""COMPUTED_VALUE"""),"+7.5 -110 +")</f>
        <v>+7.5 -110 +</v>
      </c>
      <c r="G17" t="str">
        <f>IFERROR(__xludf.DUMMYFUNCTION("""COMPUTED_VALUE"""),"-7.5 -115 +")</f>
        <v>-7.5 -115 +</v>
      </c>
      <c r="H17" t="str">
        <f>IFERROR(__xludf.DUMMYFUNCTION("""COMPUTED_VALUE"""),"-8.5 -110 +")</f>
        <v>-8.5 -110 +</v>
      </c>
      <c r="I17" t="str">
        <f>IFERROR(__xludf.DUMMYFUNCTION("""COMPUTED_VALUE"""),"-7.5 -105 +")</f>
        <v>-7.5 -105 +</v>
      </c>
      <c r="J17" t="str">
        <f>IFERROR(__xludf.DUMMYFUNCTION("""COMPUTED_VALUE"""),"-7.5 -108 +")</f>
        <v>-7.5 -108 +</v>
      </c>
      <c r="K17" t="str">
        <f>IFERROR(__xludf.DUMMYFUNCTION("""COMPUTED_VALUE"""),"-7.5 -110")</f>
        <v>-7.5 -110</v>
      </c>
    </row>
    <row r="18">
      <c r="A18" t="str">
        <f>IFERROR(__xludf.DUMMYFUNCTION("""COMPUTED_VALUE"""),"- Matchup")</f>
        <v>- Matchup</v>
      </c>
    </row>
    <row r="19">
      <c r="B19" t="str">
        <f>IFERROR(__xludf.DUMMYFUNCTION("""COMPUTED_VALUE"""),"Open")</f>
        <v>Open</v>
      </c>
      <c r="C19" t="str">
        <f>IFERROR(__xludf.DUMMYFUNCTION("""COMPUTED_VALUE"""),"›")</f>
        <v>›</v>
      </c>
      <c r="D19" t="str">
        <f>IFERROR(__xludf.DUMMYFUNCTION("""COMPUTED_VALUE"""),"›")</f>
        <v>›</v>
      </c>
      <c r="E19" t="str">
        <f>IFERROR(__xludf.DUMMYFUNCTION("""COMPUTED_VALUE"""),"›")</f>
        <v>›</v>
      </c>
      <c r="F19" t="str">
        <f>IFERROR(__xludf.DUMMYFUNCTION("""COMPUTED_VALUE"""),"›")</f>
        <v>›</v>
      </c>
      <c r="G19" t="str">
        <f>IFERROR(__xludf.DUMMYFUNCTION("""COMPUTED_VALUE"""),"›")</f>
        <v>›</v>
      </c>
      <c r="H19" t="str">
        <f>IFERROR(__xludf.DUMMYFUNCTION("""COMPUTED_VALUE"""),"›")</f>
        <v>›</v>
      </c>
      <c r="I19" t="str">
        <f>IFERROR(__xludf.DUMMYFUNCTION("""COMPUTED_VALUE"""),"›")</f>
        <v>›</v>
      </c>
      <c r="J19" t="str">
        <f>IFERROR(__xludf.DUMMYFUNCTION("""COMPUTED_VALUE"""),"›")</f>
        <v>›</v>
      </c>
    </row>
    <row r="20">
      <c r="A20" t="str">
        <f>IFERROR(__xludf.DUMMYFUNCTION("""COMPUTED_VALUE"""),"309 Sacramento State")</f>
        <v>309 Sacramento State</v>
      </c>
      <c r="B20" t="str">
        <f>IFERROR(__xludf.DUMMYFUNCTION("""COMPUTED_VALUE"""),"+8.5 -112")</f>
        <v>+8.5 -112</v>
      </c>
      <c r="C20" t="str">
        <f>IFERROR(__xludf.DUMMYFUNCTION("""COMPUTED_VALUE"""),"+8.5 -110 +")</f>
        <v>+8.5 -110 +</v>
      </c>
      <c r="D20" t="str">
        <f>IFERROR(__xludf.DUMMYFUNCTION("""COMPUTED_VALUE"""),"+8.5 -110 +")</f>
        <v>+8.5 -110 +</v>
      </c>
      <c r="E20" t="str">
        <f>IFERROR(__xludf.DUMMYFUNCTION("""COMPUTED_VALUE"""),"+8.5 -110 +")</f>
        <v>+8.5 -110 +</v>
      </c>
      <c r="F20" t="str">
        <f>IFERROR(__xludf.DUMMYFUNCTION("""COMPUTED_VALUE"""),"+7.5 -105 +")</f>
        <v>+7.5 -105 +</v>
      </c>
      <c r="G20" t="str">
        <f>IFERROR(__xludf.DUMMYFUNCTION("""COMPUTED_VALUE"""),"+8.5 -110 +")</f>
        <v>+8.5 -110 +</v>
      </c>
      <c r="H20" t="str">
        <f>IFERROR(__xludf.DUMMYFUNCTION("""COMPUTED_VALUE"""),"+8.5 -110 +")</f>
        <v>+8.5 -110 +</v>
      </c>
      <c r="I20" t="str">
        <f>IFERROR(__xludf.DUMMYFUNCTION("""COMPUTED_VALUE"""),"+8.5 -110 +")</f>
        <v>+8.5 -110 +</v>
      </c>
      <c r="J20" t="str">
        <f>IFERROR(__xludf.DUMMYFUNCTION("""COMPUTED_VALUE"""),"+8 -110 +")</f>
        <v>+8 -110 +</v>
      </c>
      <c r="K20" t="str">
        <f>IFERROR(__xludf.DUMMYFUNCTION("""COMPUTED_VALUE"""),"+8.5 -110")</f>
        <v>+8.5 -110</v>
      </c>
    </row>
    <row r="21">
      <c r="A21" t="str">
        <f>IFERROR(__xludf.DUMMYFUNCTION("""COMPUTED_VALUE"""),"310 Eastern Michigan")</f>
        <v>310 Eastern Michigan</v>
      </c>
      <c r="B21" t="str">
        <f>IFERROR(__xludf.DUMMYFUNCTION("""COMPUTED_VALUE"""),"-8.5 -108")</f>
        <v>-8.5 -108</v>
      </c>
      <c r="C21" t="str">
        <f>IFERROR(__xludf.DUMMYFUNCTION("""COMPUTED_VALUE"""),"-8.5 -110 +")</f>
        <v>-8.5 -110 +</v>
      </c>
      <c r="D21" t="str">
        <f>IFERROR(__xludf.DUMMYFUNCTION("""COMPUTED_VALUE"""),"-8.5 -110 +")</f>
        <v>-8.5 -110 +</v>
      </c>
      <c r="E21" t="str">
        <f>IFERROR(__xludf.DUMMYFUNCTION("""COMPUTED_VALUE"""),"-8.5 -110 +")</f>
        <v>-8.5 -110 +</v>
      </c>
      <c r="F21" t="str">
        <f>IFERROR(__xludf.DUMMYFUNCTION("""COMPUTED_VALUE"""),"-7.5 -115 +")</f>
        <v>-7.5 -115 +</v>
      </c>
      <c r="G21" t="str">
        <f>IFERROR(__xludf.DUMMYFUNCTION("""COMPUTED_VALUE"""),"-8.5 -110 +")</f>
        <v>-8.5 -110 +</v>
      </c>
      <c r="H21" t="str">
        <f>IFERROR(__xludf.DUMMYFUNCTION("""COMPUTED_VALUE"""),"-8.5 -110 +")</f>
        <v>-8.5 -110 +</v>
      </c>
      <c r="I21" t="str">
        <f>IFERROR(__xludf.DUMMYFUNCTION("""COMPUTED_VALUE"""),"-8.5 -110 +")</f>
        <v>-8.5 -110 +</v>
      </c>
      <c r="J21" t="str">
        <f>IFERROR(__xludf.DUMMYFUNCTION("""COMPUTED_VALUE"""),"-8 -113 +")</f>
        <v>-8 -113 +</v>
      </c>
      <c r="K21" t="str">
        <f>IFERROR(__xludf.DUMMYFUNCTION("""COMPUTED_VALUE"""),"-8.5 -110")</f>
        <v>-8.5 -110</v>
      </c>
    </row>
    <row r="22">
      <c r="A22" t="str">
        <f>IFERROR(__xludf.DUMMYFUNCTION("""COMPUTED_VALUE"""),"- Matchup")</f>
        <v>- Matchup</v>
      </c>
    </row>
    <row r="23">
      <c r="B23" t="str">
        <f>IFERROR(__xludf.DUMMYFUNCTION("""COMPUTED_VALUE"""),"Open")</f>
        <v>Open</v>
      </c>
      <c r="C23" t="str">
        <f>IFERROR(__xludf.DUMMYFUNCTION("""COMPUTED_VALUE"""),"›")</f>
        <v>›</v>
      </c>
      <c r="D23" t="str">
        <f>IFERROR(__xludf.DUMMYFUNCTION("""COMPUTED_VALUE"""),"›")</f>
        <v>›</v>
      </c>
      <c r="E23" t="str">
        <f>IFERROR(__xludf.DUMMYFUNCTION("""COMPUTED_VALUE"""),"›")</f>
        <v>›</v>
      </c>
      <c r="F23" t="str">
        <f>IFERROR(__xludf.DUMMYFUNCTION("""COMPUTED_VALUE"""),"›")</f>
        <v>›</v>
      </c>
      <c r="G23" t="str">
        <f>IFERROR(__xludf.DUMMYFUNCTION("""COMPUTED_VALUE"""),"›")</f>
        <v>›</v>
      </c>
      <c r="H23" t="str">
        <f>IFERROR(__xludf.DUMMYFUNCTION("""COMPUTED_VALUE"""),"›")</f>
        <v>›</v>
      </c>
      <c r="I23" t="str">
        <f>IFERROR(__xludf.DUMMYFUNCTION("""COMPUTED_VALUE"""),"›")</f>
        <v>›</v>
      </c>
      <c r="J23" t="str">
        <f>IFERROR(__xludf.DUMMYFUNCTION("""COMPUTED_VALUE"""),"›")</f>
        <v>›</v>
      </c>
    </row>
    <row r="24">
      <c r="A24" t="str">
        <f>IFERROR(__xludf.DUMMYFUNCTION("""COMPUTED_VALUE"""),"307 New Mexico State")</f>
        <v>307 New Mexico State</v>
      </c>
      <c r="B24" t="str">
        <f>IFERROR(__xludf.DUMMYFUNCTION("""COMPUTED_VALUE"""),"+28.5 -108")</f>
        <v>+28.5 -108</v>
      </c>
      <c r="C24" t="str">
        <f>IFERROR(__xludf.DUMMYFUNCTION("""COMPUTED_VALUE"""),"+30.5 -105 +")</f>
        <v>+30.5 -105 +</v>
      </c>
      <c r="D24" t="str">
        <f>IFERROR(__xludf.DUMMYFUNCTION("""COMPUTED_VALUE"""),"+30.5 -105 +")</f>
        <v>+30.5 -105 +</v>
      </c>
      <c r="E24" t="str">
        <f>IFERROR(__xludf.DUMMYFUNCTION("""COMPUTED_VALUE"""),"+30.5 -108 +")</f>
        <v>+30.5 -108 +</v>
      </c>
      <c r="F24" t="str">
        <f>IFERROR(__xludf.DUMMYFUNCTION("""COMPUTED_VALUE"""),"+30.5 -102 +")</f>
        <v>+30.5 -102 +</v>
      </c>
      <c r="G24" t="str">
        <f>IFERROR(__xludf.DUMMYFUNCTION("""COMPUTED_VALUE"""),"+31.5 -115 +")</f>
        <v>+31.5 -115 +</v>
      </c>
      <c r="H24" t="str">
        <f>IFERROR(__xludf.DUMMYFUNCTION("""COMPUTED_VALUE"""),"+31.5 -120 +")</f>
        <v>+31.5 -120 +</v>
      </c>
      <c r="I24" t="str">
        <f>IFERROR(__xludf.DUMMYFUNCTION("""COMPUTED_VALUE"""),"+31 -115 +")</f>
        <v>+31 -115 +</v>
      </c>
      <c r="J24" t="str">
        <f>IFERROR(__xludf.DUMMYFUNCTION("""COMPUTED_VALUE"""),"+31.5 -115 +")</f>
        <v>+31.5 -115 +</v>
      </c>
      <c r="K24" t="str">
        <f>IFERROR(__xludf.DUMMYFUNCTION("""COMPUTED_VALUE"""),"+30.5 -108")</f>
        <v>+30.5 -108</v>
      </c>
    </row>
    <row r="25">
      <c r="A25" t="str">
        <f>IFERROR(__xludf.DUMMYFUNCTION("""COMPUTED_VALUE"""),"308 Florida State")</f>
        <v>308 Florida State</v>
      </c>
      <c r="B25" t="str">
        <f>IFERROR(__xludf.DUMMYFUNCTION("""COMPUTED_VALUE"""),"-28.5 -112")</f>
        <v>-28.5 -112</v>
      </c>
      <c r="C25" t="str">
        <f>IFERROR(__xludf.DUMMYFUNCTION("""COMPUTED_VALUE"""),"-30.5 -115 +")</f>
        <v>-30.5 -115 +</v>
      </c>
      <c r="D25" t="str">
        <f>IFERROR(__xludf.DUMMYFUNCTION("""COMPUTED_VALUE"""),"-30.5 -115 +")</f>
        <v>-30.5 -115 +</v>
      </c>
      <c r="E25" t="str">
        <f>IFERROR(__xludf.DUMMYFUNCTION("""COMPUTED_VALUE"""),"-30.5 -112 +")</f>
        <v>-30.5 -112 +</v>
      </c>
      <c r="F25" t="str">
        <f>IFERROR(__xludf.DUMMYFUNCTION("""COMPUTED_VALUE"""),"-30.5 -120 +")</f>
        <v>-30.5 -120 +</v>
      </c>
      <c r="G25" t="str">
        <f>IFERROR(__xludf.DUMMYFUNCTION("""COMPUTED_VALUE"""),"-31.5 -105 +")</f>
        <v>-31.5 -105 +</v>
      </c>
      <c r="H25" t="str">
        <f>IFERROR(__xludf.DUMMYFUNCTION("""COMPUTED_VALUE"""),"-31.5 even +")</f>
        <v>-31.5 even +</v>
      </c>
      <c r="I25" t="str">
        <f>IFERROR(__xludf.DUMMYFUNCTION("""COMPUTED_VALUE"""),"-31 -105 +")</f>
        <v>-31 -105 +</v>
      </c>
      <c r="J25" t="str">
        <f>IFERROR(__xludf.DUMMYFUNCTION("""COMPUTED_VALUE"""),"-31.5 -108 +")</f>
        <v>-31.5 -108 +</v>
      </c>
      <c r="K25" t="str">
        <f>IFERROR(__xludf.DUMMYFUNCTION("""COMPUTED_VALUE"""),"-30.5 -112")</f>
        <v>-30.5 -112</v>
      </c>
    </row>
    <row r="26">
      <c r="A26" t="str">
        <f>IFERROR(__xludf.DUMMYFUNCTION("""COMPUTED_VALUE"""),"- Matchup")</f>
        <v>- Matchup</v>
      </c>
    </row>
    <row r="27">
      <c r="B27" t="str">
        <f>IFERROR(__xludf.DUMMYFUNCTION("""COMPUTED_VALUE"""),"Open")</f>
        <v>Open</v>
      </c>
      <c r="C27" t="str">
        <f>IFERROR(__xludf.DUMMYFUNCTION("""COMPUTED_VALUE"""),"›")</f>
        <v>›</v>
      </c>
      <c r="D27" t="str">
        <f>IFERROR(__xludf.DUMMYFUNCTION("""COMPUTED_VALUE"""),"›")</f>
        <v>›</v>
      </c>
      <c r="E27" t="str">
        <f>IFERROR(__xludf.DUMMYFUNCTION("""COMPUTED_VALUE"""),"›")</f>
        <v>›</v>
      </c>
      <c r="F27" t="str">
        <f>IFERROR(__xludf.DUMMYFUNCTION("""COMPUTED_VALUE"""),"›")</f>
        <v>›</v>
      </c>
      <c r="G27" t="str">
        <f>IFERROR(__xludf.DUMMYFUNCTION("""COMPUTED_VALUE"""),"›")</f>
        <v>›</v>
      </c>
      <c r="H27" t="str">
        <f>IFERROR(__xludf.DUMMYFUNCTION("""COMPUTED_VALUE"""),"›")</f>
        <v>›</v>
      </c>
      <c r="I27" t="str">
        <f>IFERROR(__xludf.DUMMYFUNCTION("""COMPUTED_VALUE"""),"›")</f>
        <v>›</v>
      </c>
      <c r="J27" t="str">
        <f>IFERROR(__xludf.DUMMYFUNCTION("""COMPUTED_VALUE"""),"›")</f>
        <v>›</v>
      </c>
    </row>
    <row r="28">
      <c r="A28" t="str">
        <f>IFERROR(__xludf.DUMMYFUNCTION("""COMPUTED_VALUE"""),"311 Hawai'i")</f>
        <v>311 Hawai'i</v>
      </c>
      <c r="B28" t="str">
        <f>IFERROR(__xludf.DUMMYFUNCTION("""COMPUTED_VALUE"""),"+3 -112")</f>
        <v>+3 -112</v>
      </c>
      <c r="C28" t="str">
        <f>IFERROR(__xludf.DUMMYFUNCTION("""COMPUTED_VALUE"""),"+3.5 -110 +")</f>
        <v>+3.5 -110 +</v>
      </c>
      <c r="D28" t="str">
        <f>IFERROR(__xludf.DUMMYFUNCTION("""COMPUTED_VALUE"""),"+4 -110 +")</f>
        <v>+4 -110 +</v>
      </c>
      <c r="E28" t="str">
        <f>IFERROR(__xludf.DUMMYFUNCTION("""COMPUTED_VALUE"""),"+4 -112 +")</f>
        <v>+4 -112 +</v>
      </c>
      <c r="F28" t="str">
        <f>IFERROR(__xludf.DUMMYFUNCTION("""COMPUTED_VALUE"""),"+4 -110 +")</f>
        <v>+4 -110 +</v>
      </c>
      <c r="G28" t="str">
        <f>IFERROR(__xludf.DUMMYFUNCTION("""COMPUTED_VALUE"""),"+4.5 -105 +")</f>
        <v>+4.5 -105 +</v>
      </c>
      <c r="H28" t="str">
        <f>IFERROR(__xludf.DUMMYFUNCTION("""COMPUTED_VALUE"""),"+-3.5 +105 +")</f>
        <v>+-3.5 +105 +</v>
      </c>
      <c r="I28" t="str">
        <f>IFERROR(__xludf.DUMMYFUNCTION("""COMPUTED_VALUE"""),"+4 -110 +")</f>
        <v>+4 -110 +</v>
      </c>
      <c r="J28" t="str">
        <f>IFERROR(__xludf.DUMMYFUNCTION("""COMPUTED_VALUE"""),"+4 -109 +")</f>
        <v>+4 -109 +</v>
      </c>
      <c r="K28" t="str">
        <f>IFERROR(__xludf.DUMMYFUNCTION("""COMPUTED_VALUE"""),"+4 -112")</f>
        <v>+4 -112</v>
      </c>
    </row>
    <row r="29">
      <c r="A29" t="str">
        <f>IFERROR(__xludf.DUMMYFUNCTION("""COMPUTED_VALUE"""),"312 Stanford")</f>
        <v>312 Stanford</v>
      </c>
      <c r="B29" t="str">
        <f>IFERROR(__xludf.DUMMYFUNCTION("""COMPUTED_VALUE"""),"-3 -108")</f>
        <v>-3 -108</v>
      </c>
      <c r="C29" t="str">
        <f>IFERROR(__xludf.DUMMYFUNCTION("""COMPUTED_VALUE"""),"-3.5 -110 +")</f>
        <v>-3.5 -110 +</v>
      </c>
      <c r="D29" t="str">
        <f>IFERROR(__xludf.DUMMYFUNCTION("""COMPUTED_VALUE"""),"-4 -110 +")</f>
        <v>-4 -110 +</v>
      </c>
      <c r="E29" t="str">
        <f>IFERROR(__xludf.DUMMYFUNCTION("""COMPUTED_VALUE"""),"-4 -108 +")</f>
        <v>-4 -108 +</v>
      </c>
      <c r="F29" t="str">
        <f>IFERROR(__xludf.DUMMYFUNCTION("""COMPUTED_VALUE"""),"-4 -110 +")</f>
        <v>-4 -110 +</v>
      </c>
      <c r="G29" t="str">
        <f>IFERROR(__xludf.DUMMYFUNCTION("""COMPUTED_VALUE"""),"-4.5 -115 +")</f>
        <v>-4.5 -115 +</v>
      </c>
      <c r="H29" t="str">
        <f>IFERROR(__xludf.DUMMYFUNCTION("""COMPUTED_VALUE"""),"--3.5 -110 +")</f>
        <v>--3.5 -110 +</v>
      </c>
      <c r="I29" t="str">
        <f>IFERROR(__xludf.DUMMYFUNCTION("""COMPUTED_VALUE"""),"-4 -110 +")</f>
        <v>-4 -110 +</v>
      </c>
      <c r="J29" t="str">
        <f>IFERROR(__xludf.DUMMYFUNCTION("""COMPUTED_VALUE"""),"-4 -114 +")</f>
        <v>-4 -114 +</v>
      </c>
      <c r="K29" t="str">
        <f>IFERROR(__xludf.DUMMYFUNCTION("""COMPUTED_VALUE"""),"-4 -108")</f>
        <v>-4 -108</v>
      </c>
    </row>
    <row r="30">
      <c r="A30" t="str">
        <f>IFERROR(__xludf.DUMMYFUNCTION("""COMPUTED_VALUE"""),"- Matchup")</f>
        <v>- Matchup</v>
      </c>
    </row>
    <row r="31">
      <c r="B31" t="str">
        <f>IFERROR(__xludf.DUMMYFUNCTION("""COMPUTED_VALUE"""),"Open")</f>
        <v>Open</v>
      </c>
      <c r="C31" t="str">
        <f>IFERROR(__xludf.DUMMYFUNCTION("""COMPUTED_VALUE"""),"›")</f>
        <v>›</v>
      </c>
      <c r="D31" t="str">
        <f>IFERROR(__xludf.DUMMYFUNCTION("""COMPUTED_VALUE"""),"›")</f>
        <v>›</v>
      </c>
      <c r="E31" t="str">
        <f>IFERROR(__xludf.DUMMYFUNCTION("""COMPUTED_VALUE"""),"›")</f>
        <v>›</v>
      </c>
      <c r="F31" t="str">
        <f>IFERROR(__xludf.DUMMYFUNCTION("""COMPUTED_VALUE"""),"›")</f>
        <v>›</v>
      </c>
      <c r="G31" t="str">
        <f>IFERROR(__xludf.DUMMYFUNCTION("""COMPUTED_VALUE"""),"›")</f>
        <v>›</v>
      </c>
      <c r="H31" t="str">
        <f>IFERROR(__xludf.DUMMYFUNCTION("""COMPUTED_VALUE"""),"›")</f>
        <v>›</v>
      </c>
      <c r="I31" t="str">
        <f>IFERROR(__xludf.DUMMYFUNCTION("""COMPUTED_VALUE"""),"›")</f>
        <v>›</v>
      </c>
      <c r="J31" t="str">
        <f>IFERROR(__xludf.DUMMYFUNCTION("""COMPUTED_VALUE"""),"›")</f>
        <v>›</v>
      </c>
    </row>
    <row r="32">
      <c r="A32" t="str">
        <f>IFERROR(__xludf.DUMMYFUNCTION("""COMPUTED_VALUE"""),"315 Memphis")</f>
        <v>315 Memphis</v>
      </c>
      <c r="B32" t="str">
        <f>IFERROR(__xludf.DUMMYFUNCTION("""COMPUTED_VALUE"""),"+3 -115")</f>
        <v>+3 -115</v>
      </c>
      <c r="C32" t="str">
        <f>IFERROR(__xludf.DUMMYFUNCTION("""COMPUTED_VALUE"""),"+5.5 -105 +")</f>
        <v>+5.5 -105 +</v>
      </c>
      <c r="D32" t="str">
        <f>IFERROR(__xludf.DUMMYFUNCTION("""COMPUTED_VALUE"""),"+5.5 -105 +")</f>
        <v>+5.5 -105 +</v>
      </c>
      <c r="E32" t="str">
        <f>IFERROR(__xludf.DUMMYFUNCTION("""COMPUTED_VALUE"""),"+5.5 -112 +")</f>
        <v>+5.5 -112 +</v>
      </c>
      <c r="F32" t="str">
        <f>IFERROR(__xludf.DUMMYFUNCTION("""COMPUTED_VALUE"""),"+5.5 -108 +")</f>
        <v>+5.5 -108 +</v>
      </c>
      <c r="G32" t="str">
        <f>IFERROR(__xludf.DUMMYFUNCTION("""COMPUTED_VALUE"""),"+5.5 -102 +")</f>
        <v>+5.5 -102 +</v>
      </c>
      <c r="H32" t="str">
        <f>IFERROR(__xludf.DUMMYFUNCTION("""COMPUTED_VALUE"""),"+6.5 -115 +")</f>
        <v>+6.5 -115 +</v>
      </c>
      <c r="I32" t="str">
        <f>IFERROR(__xludf.DUMMYFUNCTION("""COMPUTED_VALUE"""),"+5.5 -110 +")</f>
        <v>+5.5 -110 +</v>
      </c>
      <c r="J32" t="str">
        <f>IFERROR(__xludf.DUMMYFUNCTION("""COMPUTED_VALUE"""),"+5.5 -110 +")</f>
        <v>+5.5 -110 +</v>
      </c>
      <c r="K32" t="str">
        <f>IFERROR(__xludf.DUMMYFUNCTION("""COMPUTED_VALUE"""),"+5.5 -112")</f>
        <v>+5.5 -112</v>
      </c>
    </row>
    <row r="33">
      <c r="A33" t="str">
        <f>IFERROR(__xludf.DUMMYFUNCTION("""COMPUTED_VALUE"""),"316 UNLV")</f>
        <v>316 UNLV</v>
      </c>
      <c r="B33" t="str">
        <f>IFERROR(__xludf.DUMMYFUNCTION("""COMPUTED_VALUE"""),"-3 -105")</f>
        <v>-3 -105</v>
      </c>
      <c r="C33" t="str">
        <f>IFERROR(__xludf.DUMMYFUNCTION("""COMPUTED_VALUE"""),"-5.5 -115 +")</f>
        <v>-5.5 -115 +</v>
      </c>
      <c r="D33" t="str">
        <f>IFERROR(__xludf.DUMMYFUNCTION("""COMPUTED_VALUE"""),"-5.5 -115 +")</f>
        <v>-5.5 -115 +</v>
      </c>
      <c r="E33" t="str">
        <f>IFERROR(__xludf.DUMMYFUNCTION("""COMPUTED_VALUE"""),"-5.5 -108 +")</f>
        <v>-5.5 -108 +</v>
      </c>
      <c r="F33" t="str">
        <f>IFERROR(__xludf.DUMMYFUNCTION("""COMPUTED_VALUE"""),"-5.5 -111 +")</f>
        <v>-5.5 -111 +</v>
      </c>
      <c r="G33" t="str">
        <f>IFERROR(__xludf.DUMMYFUNCTION("""COMPUTED_VALUE"""),"-5.5 -120 +")</f>
        <v>-5.5 -120 +</v>
      </c>
      <c r="H33" t="str">
        <f>IFERROR(__xludf.DUMMYFUNCTION("""COMPUTED_VALUE"""),"-6.5 even +")</f>
        <v>-6.5 even +</v>
      </c>
      <c r="I33" t="str">
        <f>IFERROR(__xludf.DUMMYFUNCTION("""COMPUTED_VALUE"""),"-5.5 -110 +")</f>
        <v>-5.5 -110 +</v>
      </c>
      <c r="J33" t="str">
        <f>IFERROR(__xludf.DUMMYFUNCTION("""COMPUTED_VALUE"""),"-5.5 -113 +")</f>
        <v>-5.5 -113 +</v>
      </c>
      <c r="K33" t="str">
        <f>IFERROR(__xludf.DUMMYFUNCTION("""COMPUTED_VALUE"""),"-5.5 -108")</f>
        <v>-5.5 -108</v>
      </c>
    </row>
    <row r="34">
      <c r="A34" t="str">
        <f>IFERROR(__xludf.DUMMYFUNCTION("""COMPUTED_VALUE"""),"- Matchup")</f>
        <v>- Matchup</v>
      </c>
    </row>
    <row r="35">
      <c r="B35" t="str">
        <f>IFERROR(__xludf.DUMMYFUNCTION("""COMPUTED_VALUE"""),"Open")</f>
        <v>Open</v>
      </c>
      <c r="C35" t="str">
        <f>IFERROR(__xludf.DUMMYFUNCTION("""COMPUTED_VALUE"""),"›")</f>
        <v>›</v>
      </c>
      <c r="D35" t="str">
        <f>IFERROR(__xludf.DUMMYFUNCTION("""COMPUTED_VALUE"""),"›")</f>
        <v>›</v>
      </c>
      <c r="E35" t="str">
        <f>IFERROR(__xludf.DUMMYFUNCTION("""COMPUTED_VALUE"""),"›")</f>
        <v>›</v>
      </c>
      <c r="F35" t="str">
        <f>IFERROR(__xludf.DUMMYFUNCTION("""COMPUTED_VALUE"""),"›")</f>
        <v>›</v>
      </c>
      <c r="G35" t="str">
        <f>IFERROR(__xludf.DUMMYFUNCTION("""COMPUTED_VALUE"""),"›")</f>
        <v>›</v>
      </c>
      <c r="H35" t="str">
        <f>IFERROR(__xludf.DUMMYFUNCTION("""COMPUTED_VALUE"""),"›")</f>
        <v>›</v>
      </c>
      <c r="I35" t="str">
        <f>IFERROR(__xludf.DUMMYFUNCTION("""COMPUTED_VALUE"""),"›")</f>
        <v>›</v>
      </c>
      <c r="J35" t="str">
        <f>IFERROR(__xludf.DUMMYFUNCTION("""COMPUTED_VALUE"""),"›")</f>
        <v>›</v>
      </c>
    </row>
    <row r="36">
      <c r="A36" t="str">
        <f>IFERROR(__xludf.DUMMYFUNCTION("""COMPUTED_VALUE"""),"305 North Carolina")</f>
        <v>305 North Carolina</v>
      </c>
      <c r="B36" t="str">
        <f>IFERROR(__xludf.DUMMYFUNCTION("""COMPUTED_VALUE"""),"o49.5 -115")</f>
        <v>o49.5 -115</v>
      </c>
      <c r="C36" t="str">
        <f>IFERROR(__xludf.DUMMYFUNCTION("""COMPUTED_VALUE"""),"o49.5 -110 +")</f>
        <v>o49.5 -110 +</v>
      </c>
      <c r="D36" t="str">
        <f>IFERROR(__xludf.DUMMYFUNCTION("""COMPUTED_VALUE"""),"o49.5 -110 +")</f>
        <v>o49.5 -110 +</v>
      </c>
      <c r="E36" t="str">
        <f>IFERROR(__xludf.DUMMYFUNCTION("""COMPUTED_VALUE"""),"o48.5 -110 +")</f>
        <v>o48.5 -110 +</v>
      </c>
      <c r="F36" t="str">
        <f>IFERROR(__xludf.DUMMYFUNCTION("""COMPUTED_VALUE"""),"o49.5 -110 +")</f>
        <v>o49.5 -110 +</v>
      </c>
      <c r="G36" t="str">
        <f>IFERROR(__xludf.DUMMYFUNCTION("""COMPUTED_VALUE"""),"o48.5 -115 +")</f>
        <v>o48.5 -115 +</v>
      </c>
      <c r="H36" t="str">
        <f>IFERROR(__xludf.DUMMYFUNCTION("""COMPUTED_VALUE"""),"o49.5 -110 +")</f>
        <v>o49.5 -110 +</v>
      </c>
      <c r="I36" t="str">
        <f>IFERROR(__xludf.DUMMYFUNCTION("""COMPUTED_VALUE"""),"o48.5 -110 +")</f>
        <v>o48.5 -110 +</v>
      </c>
      <c r="J36" t="str">
        <f>IFERROR(__xludf.DUMMYFUNCTION("""COMPUTED_VALUE"""),"o49.5 -112 +")</f>
        <v>o49.5 -112 +</v>
      </c>
      <c r="K36" t="str">
        <f>IFERROR(__xludf.DUMMYFUNCTION("""COMPUTED_VALUE"""),"o48.5 -110")</f>
        <v>o48.5 -110</v>
      </c>
    </row>
    <row r="37">
      <c r="A37" t="str">
        <f>IFERROR(__xludf.DUMMYFUNCTION("""COMPUTED_VALUE"""),"306 TCU")</f>
        <v>306 TCU</v>
      </c>
      <c r="B37" t="str">
        <f>IFERROR(__xludf.DUMMYFUNCTION("""COMPUTED_VALUE"""),"u49.5 -108")</f>
        <v>u49.5 -108</v>
      </c>
      <c r="C37" t="str">
        <f>IFERROR(__xludf.DUMMYFUNCTION("""COMPUTED_VALUE"""),"u49.5 -110 +")</f>
        <v>u49.5 -110 +</v>
      </c>
      <c r="D37" t="str">
        <f>IFERROR(__xludf.DUMMYFUNCTION("""COMPUTED_VALUE"""),"u49.5 -110 +")</f>
        <v>u49.5 -110 +</v>
      </c>
      <c r="E37" t="str">
        <f>IFERROR(__xludf.DUMMYFUNCTION("""COMPUTED_VALUE"""),"u48.5 -110 +")</f>
        <v>u48.5 -110 +</v>
      </c>
      <c r="F37" t="str">
        <f>IFERROR(__xludf.DUMMYFUNCTION("""COMPUTED_VALUE"""),"u49.5 -110 +")</f>
        <v>u49.5 -110 +</v>
      </c>
      <c r="G37" t="str">
        <f>IFERROR(__xludf.DUMMYFUNCTION("""COMPUTED_VALUE"""),"u48.5 -105 +")</f>
        <v>u48.5 -105 +</v>
      </c>
      <c r="H37" t="str">
        <f>IFERROR(__xludf.DUMMYFUNCTION("""COMPUTED_VALUE"""),"u49.5 -110 +")</f>
        <v>u49.5 -110 +</v>
      </c>
      <c r="I37" t="str">
        <f>IFERROR(__xludf.DUMMYFUNCTION("""COMPUTED_VALUE"""),"u48.5 -110 +")</f>
        <v>u48.5 -110 +</v>
      </c>
      <c r="J37" t="str">
        <f>IFERROR(__xludf.DUMMYFUNCTION("""COMPUTED_VALUE"""),"u49.5 -112 +")</f>
        <v>u49.5 -112 +</v>
      </c>
      <c r="K37" t="str">
        <f>IFERROR(__xludf.DUMMYFUNCTION("""COMPUTED_VALUE"""),"u48.5 -110")</f>
        <v>u48.5 -110</v>
      </c>
    </row>
    <row r="38">
      <c r="A38" t="str">
        <f>IFERROR(__xludf.DUMMYFUNCTION("""COMPUTED_VALUE"""),"- Matchup")</f>
        <v>- Matchup</v>
      </c>
    </row>
    <row r="39">
      <c r="B39" t="str">
        <f>IFERROR(__xludf.DUMMYFUNCTION("""COMPUTED_VALUE"""),"Open")</f>
        <v>Open</v>
      </c>
      <c r="C39" t="str">
        <f>IFERROR(__xludf.DUMMYFUNCTION("""COMPUTED_VALUE"""),"›")</f>
        <v>›</v>
      </c>
      <c r="D39" t="str">
        <f>IFERROR(__xludf.DUMMYFUNCTION("""COMPUTED_VALUE"""),"›")</f>
        <v>›</v>
      </c>
      <c r="E39" t="str">
        <f>IFERROR(__xludf.DUMMYFUNCTION("""COMPUTED_VALUE"""),"›")</f>
        <v>›</v>
      </c>
      <c r="F39" t="str">
        <f>IFERROR(__xludf.DUMMYFUNCTION("""COMPUTED_VALUE"""),"›")</f>
        <v>›</v>
      </c>
      <c r="G39" t="str">
        <f>IFERROR(__xludf.DUMMYFUNCTION("""COMPUTED_VALUE"""),"›")</f>
        <v>›</v>
      </c>
      <c r="H39" t="str">
        <f>IFERROR(__xludf.DUMMYFUNCTION("""COMPUTED_VALUE"""),"›")</f>
        <v>›</v>
      </c>
      <c r="I39" t="str">
        <f>IFERROR(__xludf.DUMMYFUNCTION("""COMPUTED_VALUE"""),"›")</f>
        <v>›</v>
      </c>
      <c r="J39" t="str">
        <f>IFERROR(__xludf.DUMMYFUNCTION("""COMPUTED_VALUE"""),"›")</f>
        <v>›</v>
      </c>
    </row>
    <row r="40">
      <c r="A40" t="str">
        <f>IFERROR(__xludf.DUMMYFUNCTION("""COMPUTED_VALUE"""),"313 San Jose State")</f>
        <v>313 San Jose State</v>
      </c>
      <c r="B40" t="str">
        <f>IFERROR(__xludf.DUMMYFUNCTION("""COMPUTED_VALUE"""),"o57.5 -122")</f>
        <v>o57.5 -122</v>
      </c>
      <c r="C40" t="str">
        <f>IFERROR(__xludf.DUMMYFUNCTION("""COMPUTED_VALUE"""),"o59.5 -110 +")</f>
        <v>o59.5 -110 +</v>
      </c>
      <c r="D40" t="str">
        <f>IFERROR(__xludf.DUMMYFUNCTION("""COMPUTED_VALUE"""),"o59.5 -110 +")</f>
        <v>o59.5 -110 +</v>
      </c>
      <c r="E40" t="str">
        <f>IFERROR(__xludf.DUMMYFUNCTION("""COMPUTED_VALUE"""),"o59.5 -112 +")</f>
        <v>o59.5 -112 +</v>
      </c>
      <c r="F40" t="str">
        <f>IFERROR(__xludf.DUMMYFUNCTION("""COMPUTED_VALUE"""),"o59.5 -114 +")</f>
        <v>o59.5 -114 +</v>
      </c>
      <c r="G40" t="str">
        <f>IFERROR(__xludf.DUMMYFUNCTION("""COMPUTED_VALUE"""),"o60.5 -110 +")</f>
        <v>o60.5 -110 +</v>
      </c>
      <c r="H40" t="str">
        <f>IFERROR(__xludf.DUMMYFUNCTION("""COMPUTED_VALUE"""),"o59.5 -110 +")</f>
        <v>o59.5 -110 +</v>
      </c>
      <c r="I40" t="str">
        <f>IFERROR(__xludf.DUMMYFUNCTION("""COMPUTED_VALUE"""),"o59.5 -110 +")</f>
        <v>o59.5 -110 +</v>
      </c>
      <c r="J40" t="str">
        <f>IFERROR(__xludf.DUMMYFUNCTION("""COMPUTED_VALUE"""),"o59.5 -112 +")</f>
        <v>o59.5 -112 +</v>
      </c>
      <c r="K40" t="str">
        <f>IFERROR(__xludf.DUMMYFUNCTION("""COMPUTED_VALUE"""),"o59.5 -112")</f>
        <v>o59.5 -112</v>
      </c>
    </row>
    <row r="41">
      <c r="A41" t="str">
        <f>IFERROR(__xludf.DUMMYFUNCTION("""COMPUTED_VALUE"""),"314 USC")</f>
        <v>314 USC</v>
      </c>
      <c r="B41" t="str">
        <f>IFERROR(__xludf.DUMMYFUNCTION("""COMPUTED_VALUE"""),"u57.5 +102")</f>
        <v>u57.5 +102</v>
      </c>
      <c r="C41" t="str">
        <f>IFERROR(__xludf.DUMMYFUNCTION("""COMPUTED_VALUE"""),"u59.5 -110 +")</f>
        <v>u59.5 -110 +</v>
      </c>
      <c r="D41" t="str">
        <f>IFERROR(__xludf.DUMMYFUNCTION("""COMPUTED_VALUE"""),"u59.5 -110 +")</f>
        <v>u59.5 -110 +</v>
      </c>
      <c r="E41" t="str">
        <f>IFERROR(__xludf.DUMMYFUNCTION("""COMPUTED_VALUE"""),"u59.5 -108 +")</f>
        <v>u59.5 -108 +</v>
      </c>
      <c r="F41" t="str">
        <f>IFERROR(__xludf.DUMMYFUNCTION("""COMPUTED_VALUE"""),"u59.5 -107 +")</f>
        <v>u59.5 -107 +</v>
      </c>
      <c r="G41" t="str">
        <f>IFERROR(__xludf.DUMMYFUNCTION("""COMPUTED_VALUE"""),"u60.5 -110 +")</f>
        <v>u60.5 -110 +</v>
      </c>
      <c r="H41" t="str">
        <f>IFERROR(__xludf.DUMMYFUNCTION("""COMPUTED_VALUE"""),"u59.5 -110 +")</f>
        <v>u59.5 -110 +</v>
      </c>
      <c r="I41" t="str">
        <f>IFERROR(__xludf.DUMMYFUNCTION("""COMPUTED_VALUE"""),"u59.5 -110 +")</f>
        <v>u59.5 -110 +</v>
      </c>
      <c r="J41" t="str">
        <f>IFERROR(__xludf.DUMMYFUNCTION("""COMPUTED_VALUE"""),"u59.5 -110 +")</f>
        <v>u59.5 -110 +</v>
      </c>
      <c r="K41" t="str">
        <f>IFERROR(__xludf.DUMMYFUNCTION("""COMPUTED_VALUE"""),"u59.5 -108")</f>
        <v>u59.5 -108</v>
      </c>
    </row>
    <row r="42">
      <c r="A42" t="str">
        <f>IFERROR(__xludf.DUMMYFUNCTION("""COMPUTED_VALUE"""),"- Matchup")</f>
        <v>- Matchup</v>
      </c>
    </row>
    <row r="43">
      <c r="B43" t="str">
        <f>IFERROR(__xludf.DUMMYFUNCTION("""COMPUTED_VALUE"""),"Open")</f>
        <v>Open</v>
      </c>
      <c r="C43" t="str">
        <f>IFERROR(__xludf.DUMMYFUNCTION("""COMPUTED_VALUE"""),"›")</f>
        <v>›</v>
      </c>
      <c r="D43" t="str">
        <f>IFERROR(__xludf.DUMMYFUNCTION("""COMPUTED_VALUE"""),"›")</f>
        <v>›</v>
      </c>
      <c r="E43" t="str">
        <f>IFERROR(__xludf.DUMMYFUNCTION("""COMPUTED_VALUE"""),"›")</f>
        <v>›</v>
      </c>
      <c r="F43" t="str">
        <f>IFERROR(__xludf.DUMMYFUNCTION("""COMPUTED_VALUE"""),"›")</f>
        <v>›</v>
      </c>
      <c r="G43" t="str">
        <f>IFERROR(__xludf.DUMMYFUNCTION("""COMPUTED_VALUE"""),"›")</f>
        <v>›</v>
      </c>
      <c r="H43" t="str">
        <f>IFERROR(__xludf.DUMMYFUNCTION("""COMPUTED_VALUE"""),"›")</f>
        <v>›</v>
      </c>
      <c r="I43" t="str">
        <f>IFERROR(__xludf.DUMMYFUNCTION("""COMPUTED_VALUE"""),"›")</f>
        <v>›</v>
      </c>
      <c r="J43" t="str">
        <f>IFERROR(__xludf.DUMMYFUNCTION("""COMPUTED_VALUE"""),"›")</f>
        <v>›</v>
      </c>
    </row>
    <row r="44">
      <c r="A44" t="str">
        <f>IFERROR(__xludf.DUMMYFUNCTION("""COMPUTED_VALUE"""),"317 NC State")</f>
        <v>317 NC State</v>
      </c>
      <c r="B44" t="str">
        <f>IFERROR(__xludf.DUMMYFUNCTION("""COMPUTED_VALUE"""),"o53.5 -114")</f>
        <v>o53.5 -114</v>
      </c>
      <c r="C44" t="str">
        <f>IFERROR(__xludf.DUMMYFUNCTION("""COMPUTED_VALUE"""),"o54.5 -110 +")</f>
        <v>o54.5 -110 +</v>
      </c>
      <c r="D44" t="str">
        <f>IFERROR(__xludf.DUMMYFUNCTION("""COMPUTED_VALUE"""),"o54.5 -115 +")</f>
        <v>o54.5 -115 +</v>
      </c>
      <c r="E44" t="str">
        <f>IFERROR(__xludf.DUMMYFUNCTION("""COMPUTED_VALUE"""),"o54.5 -108 +")</f>
        <v>o54.5 -108 +</v>
      </c>
      <c r="F44" t="str">
        <f>IFERROR(__xludf.DUMMYFUNCTION("""COMPUTED_VALUE"""),"o54.5 -115 +")</f>
        <v>o54.5 -115 +</v>
      </c>
      <c r="G44" t="str">
        <f>IFERROR(__xludf.DUMMYFUNCTION("""COMPUTED_VALUE"""),"o54.5 -110 +")</f>
        <v>o54.5 -110 +</v>
      </c>
      <c r="H44" t="str">
        <f>IFERROR(__xludf.DUMMYFUNCTION("""COMPUTED_VALUE"""),"o54.5 -110 +")</f>
        <v>o54.5 -110 +</v>
      </c>
      <c r="I44" t="str">
        <f>IFERROR(__xludf.DUMMYFUNCTION("""COMPUTED_VALUE"""),"o54.5 -110 +")</f>
        <v>o54.5 -110 +</v>
      </c>
      <c r="J44" t="str">
        <f>IFERROR(__xludf.DUMMYFUNCTION("""COMPUTED_VALUE"""),"o54 -112 +")</f>
        <v>o54 -112 +</v>
      </c>
      <c r="K44" t="str">
        <f>IFERROR(__xludf.DUMMYFUNCTION("""COMPUTED_VALUE"""),"o54.5 -108")</f>
        <v>o54.5 -108</v>
      </c>
    </row>
    <row r="45">
      <c r="A45" t="str">
        <f>IFERROR(__xludf.DUMMYFUNCTION("""COMPUTED_VALUE"""),"318 Virginia")</f>
        <v>318 Virginia</v>
      </c>
      <c r="B45" t="str">
        <f>IFERROR(__xludf.DUMMYFUNCTION("""COMPUTED_VALUE"""),"u53.5 -109")</f>
        <v>u53.5 -109</v>
      </c>
      <c r="C45" t="str">
        <f>IFERROR(__xludf.DUMMYFUNCTION("""COMPUTED_VALUE"""),"u54.5 -110 +")</f>
        <v>u54.5 -110 +</v>
      </c>
      <c r="D45" t="str">
        <f>IFERROR(__xludf.DUMMYFUNCTION("""COMPUTED_VALUE"""),"u54.5 -105 +")</f>
        <v>u54.5 -105 +</v>
      </c>
      <c r="E45" t="str">
        <f>IFERROR(__xludf.DUMMYFUNCTION("""COMPUTED_VALUE"""),"u54.5 -112 +")</f>
        <v>u54.5 -112 +</v>
      </c>
      <c r="F45" t="str">
        <f>IFERROR(__xludf.DUMMYFUNCTION("""COMPUTED_VALUE"""),"u54.5 -105 +")</f>
        <v>u54.5 -105 +</v>
      </c>
      <c r="G45" t="str">
        <f>IFERROR(__xludf.DUMMYFUNCTION("""COMPUTED_VALUE"""),"u54.5 -110 +")</f>
        <v>u54.5 -110 +</v>
      </c>
      <c r="H45" t="str">
        <f>IFERROR(__xludf.DUMMYFUNCTION("""COMPUTED_VALUE"""),"u54.5 -110 +")</f>
        <v>u54.5 -110 +</v>
      </c>
      <c r="I45" t="str">
        <f>IFERROR(__xludf.DUMMYFUNCTION("""COMPUTED_VALUE"""),"u54.5 -110 +")</f>
        <v>u54.5 -110 +</v>
      </c>
      <c r="J45" t="str">
        <f>IFERROR(__xludf.DUMMYFUNCTION("""COMPUTED_VALUE"""),"u54 -112 +")</f>
        <v>u54 -112 +</v>
      </c>
      <c r="K45" t="str">
        <f>IFERROR(__xludf.DUMMYFUNCTION("""COMPUTED_VALUE"""),"u54.5 -112")</f>
        <v>u54.5 -112</v>
      </c>
    </row>
    <row r="46">
      <c r="A46" t="str">
        <f>IFERROR(__xludf.DUMMYFUNCTION("""COMPUTED_VALUE"""),"- Matchup")</f>
        <v>- Matchup</v>
      </c>
    </row>
    <row r="47">
      <c r="B47" t="str">
        <f>IFERROR(__xludf.DUMMYFUNCTION("""COMPUTED_VALUE"""),"Open")</f>
        <v>Open</v>
      </c>
      <c r="C47" t="str">
        <f>IFERROR(__xludf.DUMMYFUNCTION("""COMPUTED_VALUE"""),"›")</f>
        <v>›</v>
      </c>
      <c r="D47" t="str">
        <f>IFERROR(__xludf.DUMMYFUNCTION("""COMPUTED_VALUE"""),"›")</f>
        <v>›</v>
      </c>
      <c r="E47" t="str">
        <f>IFERROR(__xludf.DUMMYFUNCTION("""COMPUTED_VALUE"""),"›")</f>
        <v>›</v>
      </c>
      <c r="F47" t="str">
        <f>IFERROR(__xludf.DUMMYFUNCTION("""COMPUTED_VALUE"""),"›")</f>
        <v>›</v>
      </c>
      <c r="G47" t="str">
        <f>IFERROR(__xludf.DUMMYFUNCTION("""COMPUTED_VALUE"""),"›")</f>
        <v>›</v>
      </c>
      <c r="H47" t="str">
        <f>IFERROR(__xludf.DUMMYFUNCTION("""COMPUTED_VALUE"""),"›")</f>
        <v>›</v>
      </c>
      <c r="I47" t="str">
        <f>IFERROR(__xludf.DUMMYFUNCTION("""COMPUTED_VALUE"""),"›")</f>
        <v>›</v>
      </c>
      <c r="J47" t="str">
        <f>IFERROR(__xludf.DUMMYFUNCTION("""COMPUTED_VALUE"""),"›")</f>
        <v>›</v>
      </c>
    </row>
    <row r="48">
      <c r="A48" t="str">
        <f>IFERROR(__xludf.DUMMYFUNCTION("""COMPUTED_VALUE"""),"319 Jacksonville State")</f>
        <v>319 Jacksonville State</v>
      </c>
      <c r="B48" t="str">
        <f>IFERROR(__xludf.DUMMYFUNCTION("""COMPUTED_VALUE"""),"o48.5 -110")</f>
        <v>o48.5 -110</v>
      </c>
      <c r="C48" t="str">
        <f>IFERROR(__xludf.DUMMYFUNCTION("""COMPUTED_VALUE"""),"o48.5 -110 +")</f>
        <v>o48.5 -110 +</v>
      </c>
      <c r="D48" t="str">
        <f>IFERROR(__xludf.DUMMYFUNCTION("""COMPUTED_VALUE"""),"o48.5 -110 +")</f>
        <v>o48.5 -110 +</v>
      </c>
      <c r="E48" t="str">
        <f>IFERROR(__xludf.DUMMYFUNCTION("""COMPUTED_VALUE"""),"o48.5 -105 +")</f>
        <v>o48.5 -105 +</v>
      </c>
      <c r="F48" t="str">
        <f>IFERROR(__xludf.DUMMYFUNCTION("""COMPUTED_VALUE"""),"o48.5 -109 +")</f>
        <v>o48.5 -109 +</v>
      </c>
      <c r="G48" t="str">
        <f>IFERROR(__xludf.DUMMYFUNCTION("""COMPUTED_VALUE"""),"o48.5 -110 +")</f>
        <v>o48.5 -110 +</v>
      </c>
      <c r="H48" t="str">
        <f>IFERROR(__xludf.DUMMYFUNCTION("""COMPUTED_VALUE"""),"o47.5 -110 +")</f>
        <v>o47.5 -110 +</v>
      </c>
      <c r="I48" t="str">
        <f>IFERROR(__xludf.DUMMYFUNCTION("""COMPUTED_VALUE"""),"o48.5 -110 +")</f>
        <v>o48.5 -110 +</v>
      </c>
      <c r="J48" t="str">
        <f>IFERROR(__xludf.DUMMYFUNCTION("""COMPUTED_VALUE"""),"o48.5 -110 +")</f>
        <v>o48.5 -110 +</v>
      </c>
      <c r="K48" t="str">
        <f>IFERROR(__xludf.DUMMYFUNCTION("""COMPUTED_VALUE"""),"o48.5 -105")</f>
        <v>o48.5 -105</v>
      </c>
    </row>
    <row r="49">
      <c r="A49" t="str">
        <f>IFERROR(__xludf.DUMMYFUNCTION("""COMPUTED_VALUE"""),"320 North Dakota State")</f>
        <v>320 North Dakota State</v>
      </c>
      <c r="B49" t="str">
        <f>IFERROR(__xludf.DUMMYFUNCTION("""COMPUTED_VALUE"""),"u48.5 -110")</f>
        <v>u48.5 -110</v>
      </c>
      <c r="C49" t="str">
        <f>IFERROR(__xludf.DUMMYFUNCTION("""COMPUTED_VALUE"""),"u48.5 -110 +")</f>
        <v>u48.5 -110 +</v>
      </c>
      <c r="D49" t="str">
        <f>IFERROR(__xludf.DUMMYFUNCTION("""COMPUTED_VALUE"""),"u48.5 -110 +")</f>
        <v>u48.5 -110 +</v>
      </c>
      <c r="E49" t="str">
        <f>IFERROR(__xludf.DUMMYFUNCTION("""COMPUTED_VALUE"""),"u48.5 -115 +")</f>
        <v>u48.5 -115 +</v>
      </c>
      <c r="F49" t="str">
        <f>IFERROR(__xludf.DUMMYFUNCTION("""COMPUTED_VALUE"""),"u48.5 -110 +")</f>
        <v>u48.5 -110 +</v>
      </c>
      <c r="G49" t="str">
        <f>IFERROR(__xludf.DUMMYFUNCTION("""COMPUTED_VALUE"""),"u48.5 -110 +")</f>
        <v>u48.5 -110 +</v>
      </c>
      <c r="H49" t="str">
        <f>IFERROR(__xludf.DUMMYFUNCTION("""COMPUTED_VALUE"""),"u47.5 -115 +")</f>
        <v>u47.5 -115 +</v>
      </c>
      <c r="I49" t="str">
        <f>IFERROR(__xludf.DUMMYFUNCTION("""COMPUTED_VALUE"""),"u48.5 -110 +")</f>
        <v>u48.5 -110 +</v>
      </c>
      <c r="J49" t="str">
        <f>IFERROR(__xludf.DUMMYFUNCTION("""COMPUTED_VALUE"""),"u48.5 -112 +")</f>
        <v>u48.5 -112 +</v>
      </c>
      <c r="K49" t="str">
        <f>IFERROR(__xludf.DUMMYFUNCTION("""COMPUTED_VALUE"""),"u48.5 -115")</f>
        <v>u48.5 -115</v>
      </c>
    </row>
    <row r="50">
      <c r="A50" t="str">
        <f>IFERROR(__xludf.DUMMYFUNCTION("""COMPUTED_VALUE"""),"- Matchup")</f>
        <v>- Matchup</v>
      </c>
    </row>
    <row r="51">
      <c r="B51" t="str">
        <f>IFERROR(__xludf.DUMMYFUNCTION("""COMPUTED_VALUE"""),"Open")</f>
        <v>Open</v>
      </c>
      <c r="C51" t="str">
        <f>IFERROR(__xludf.DUMMYFUNCTION("""COMPUTED_VALUE"""),"›")</f>
        <v>›</v>
      </c>
      <c r="D51" t="str">
        <f>IFERROR(__xludf.DUMMYFUNCTION("""COMPUTED_VALUE"""),"›")</f>
        <v>›</v>
      </c>
      <c r="E51" t="str">
        <f>IFERROR(__xludf.DUMMYFUNCTION("""COMPUTED_VALUE"""),"›")</f>
        <v>›</v>
      </c>
      <c r="F51" t="str">
        <f>IFERROR(__xludf.DUMMYFUNCTION("""COMPUTED_VALUE"""),"›")</f>
        <v>›</v>
      </c>
      <c r="G51" t="str">
        <f>IFERROR(__xludf.DUMMYFUNCTION("""COMPUTED_VALUE"""),"›")</f>
        <v>›</v>
      </c>
      <c r="H51" t="str">
        <f>IFERROR(__xludf.DUMMYFUNCTION("""COMPUTED_VALUE"""),"›")</f>
        <v>›</v>
      </c>
      <c r="I51" t="str">
        <f>IFERROR(__xludf.DUMMYFUNCTION("""COMPUTED_VALUE"""),"›")</f>
        <v>›</v>
      </c>
      <c r="J51" t="str">
        <f>IFERROR(__xludf.DUMMYFUNCTION("""COMPUTED_VALUE"""),"›")</f>
        <v>›</v>
      </c>
    </row>
    <row r="52">
      <c r="A52" t="str">
        <f>IFERROR(__xludf.DUMMYFUNCTION("""COMPUTED_VALUE"""),"309 Sacramento State")</f>
        <v>309 Sacramento State</v>
      </c>
      <c r="B52" t="str">
        <f>IFERROR(__xludf.DUMMYFUNCTION("""COMPUTED_VALUE"""),"o52.5 -115")</f>
        <v>o52.5 -115</v>
      </c>
      <c r="C52" t="str">
        <f>IFERROR(__xludf.DUMMYFUNCTION("""COMPUTED_VALUE"""),"o52.5 -110 +")</f>
        <v>o52.5 -110 +</v>
      </c>
      <c r="D52" t="str">
        <f>IFERROR(__xludf.DUMMYFUNCTION("""COMPUTED_VALUE"""),"o53.5 -105 +")</f>
        <v>o53.5 -105 +</v>
      </c>
      <c r="E52" t="str">
        <f>IFERROR(__xludf.DUMMYFUNCTION("""COMPUTED_VALUE"""),"o53.5 -108 +")</f>
        <v>o53.5 -108 +</v>
      </c>
      <c r="F52" t="str">
        <f>IFERROR(__xludf.DUMMYFUNCTION("""COMPUTED_VALUE"""),"o53.5 -106 +")</f>
        <v>o53.5 -106 +</v>
      </c>
      <c r="G52" t="str">
        <f>IFERROR(__xludf.DUMMYFUNCTION("""COMPUTED_VALUE"""),"o53.5 -110 +")</f>
        <v>o53.5 -110 +</v>
      </c>
      <c r="H52" t="str">
        <f>IFERROR(__xludf.DUMMYFUNCTION("""COMPUTED_VALUE"""),"o53.5 -110 +")</f>
        <v>o53.5 -110 +</v>
      </c>
      <c r="I52" t="str">
        <f>IFERROR(__xludf.DUMMYFUNCTION("""COMPUTED_VALUE"""),"o53 -110 +")</f>
        <v>o53 -110 +</v>
      </c>
      <c r="J52" t="str">
        <f>IFERROR(__xludf.DUMMYFUNCTION("""COMPUTED_VALUE"""),"o52.5 -110 +")</f>
        <v>o52.5 -110 +</v>
      </c>
      <c r="K52" t="str">
        <f>IFERROR(__xludf.DUMMYFUNCTION("""COMPUTED_VALUE"""),"o53.5 -108")</f>
        <v>o53.5 -108</v>
      </c>
    </row>
    <row r="53">
      <c r="A53" t="str">
        <f>IFERROR(__xludf.DUMMYFUNCTION("""COMPUTED_VALUE"""),"310 Eastern Michigan")</f>
        <v>310 Eastern Michigan</v>
      </c>
      <c r="B53" t="str">
        <f>IFERROR(__xludf.DUMMYFUNCTION("""COMPUTED_VALUE"""),"u52.5 -105")</f>
        <v>u52.5 -105</v>
      </c>
      <c r="C53" t="str">
        <f>IFERROR(__xludf.DUMMYFUNCTION("""COMPUTED_VALUE"""),"u52.5 -110 +")</f>
        <v>u52.5 -110 +</v>
      </c>
      <c r="D53" t="str">
        <f>IFERROR(__xludf.DUMMYFUNCTION("""COMPUTED_VALUE"""),"u53.5 -115 +")</f>
        <v>u53.5 -115 +</v>
      </c>
      <c r="E53" t="str">
        <f>IFERROR(__xludf.DUMMYFUNCTION("""COMPUTED_VALUE"""),"u53.5 -112 +")</f>
        <v>u53.5 -112 +</v>
      </c>
      <c r="F53" t="str">
        <f>IFERROR(__xludf.DUMMYFUNCTION("""COMPUTED_VALUE"""),"u53.5 -115 +")</f>
        <v>u53.5 -115 +</v>
      </c>
      <c r="G53" t="str">
        <f>IFERROR(__xludf.DUMMYFUNCTION("""COMPUTED_VALUE"""),"u53.5 -110 +")</f>
        <v>u53.5 -110 +</v>
      </c>
      <c r="H53" t="str">
        <f>IFERROR(__xludf.DUMMYFUNCTION("""COMPUTED_VALUE"""),"u53.5 -115 +")</f>
        <v>u53.5 -115 +</v>
      </c>
      <c r="I53" t="str">
        <f>IFERROR(__xludf.DUMMYFUNCTION("""COMPUTED_VALUE"""),"u53 -110 +")</f>
        <v>u53 -110 +</v>
      </c>
      <c r="J53" t="str">
        <f>IFERROR(__xludf.DUMMYFUNCTION("""COMPUTED_VALUE"""),"u52.5 -112 +")</f>
        <v>u52.5 -112 +</v>
      </c>
      <c r="K53" t="str">
        <f>IFERROR(__xludf.DUMMYFUNCTION("""COMPUTED_VALUE"""),"u53.5 -112")</f>
        <v>u53.5 -112</v>
      </c>
    </row>
    <row r="54">
      <c r="A54" t="str">
        <f>IFERROR(__xludf.DUMMYFUNCTION("""COMPUTED_VALUE"""),"- Matchup")</f>
        <v>- Matchup</v>
      </c>
    </row>
    <row r="55">
      <c r="B55" t="str">
        <f>IFERROR(__xludf.DUMMYFUNCTION("""COMPUTED_VALUE"""),"Open")</f>
        <v>Open</v>
      </c>
      <c r="C55" t="str">
        <f>IFERROR(__xludf.DUMMYFUNCTION("""COMPUTED_VALUE"""),"›")</f>
        <v>›</v>
      </c>
      <c r="D55" t="str">
        <f>IFERROR(__xludf.DUMMYFUNCTION("""COMPUTED_VALUE"""),"›")</f>
        <v>›</v>
      </c>
      <c r="E55" t="str">
        <f>IFERROR(__xludf.DUMMYFUNCTION("""COMPUTED_VALUE"""),"›")</f>
        <v>›</v>
      </c>
      <c r="F55" t="str">
        <f>IFERROR(__xludf.DUMMYFUNCTION("""COMPUTED_VALUE"""),"›")</f>
        <v>›</v>
      </c>
      <c r="G55" t="str">
        <f>IFERROR(__xludf.DUMMYFUNCTION("""COMPUTED_VALUE"""),"›")</f>
        <v>›</v>
      </c>
      <c r="H55" t="str">
        <f>IFERROR(__xludf.DUMMYFUNCTION("""COMPUTED_VALUE"""),"›")</f>
        <v>›</v>
      </c>
      <c r="I55" t="str">
        <f>IFERROR(__xludf.DUMMYFUNCTION("""COMPUTED_VALUE"""),"›")</f>
        <v>›</v>
      </c>
      <c r="J55" t="str">
        <f>IFERROR(__xludf.DUMMYFUNCTION("""COMPUTED_VALUE"""),"›")</f>
        <v>›</v>
      </c>
    </row>
    <row r="56">
      <c r="A56" t="str">
        <f>IFERROR(__xludf.DUMMYFUNCTION("""COMPUTED_VALUE"""),"307 New Mexico State")</f>
        <v>307 New Mexico State</v>
      </c>
      <c r="B56" t="str">
        <f>IFERROR(__xludf.DUMMYFUNCTION("""COMPUTED_VALUE"""),"o53.5 -112")</f>
        <v>o53.5 -112</v>
      </c>
      <c r="C56" t="str">
        <f>IFERROR(__xludf.DUMMYFUNCTION("""COMPUTED_VALUE"""),"o53.5 -110 +")</f>
        <v>o53.5 -110 +</v>
      </c>
      <c r="D56" t="str">
        <f>IFERROR(__xludf.DUMMYFUNCTION("""COMPUTED_VALUE"""),"o53.5 -110 +")</f>
        <v>o53.5 -110 +</v>
      </c>
      <c r="E56" t="str">
        <f>IFERROR(__xludf.DUMMYFUNCTION("""COMPUTED_VALUE"""),"o53.5 -110 +")</f>
        <v>o53.5 -110 +</v>
      </c>
      <c r="F56" t="str">
        <f>IFERROR(__xludf.DUMMYFUNCTION("""COMPUTED_VALUE"""),"o53.5 -105 +")</f>
        <v>o53.5 -105 +</v>
      </c>
      <c r="G56" t="str">
        <f>IFERROR(__xludf.DUMMYFUNCTION("""COMPUTED_VALUE"""),"o52.5 -110 +")</f>
        <v>o52.5 -110 +</v>
      </c>
      <c r="H56" t="str">
        <f>IFERROR(__xludf.DUMMYFUNCTION("""COMPUTED_VALUE"""),"o53.5 -105 +")</f>
        <v>o53.5 -105 +</v>
      </c>
      <c r="I56" t="str">
        <f>IFERROR(__xludf.DUMMYFUNCTION("""COMPUTED_VALUE"""),"o53 -110 +")</f>
        <v>o53 -110 +</v>
      </c>
      <c r="J56" t="str">
        <f>IFERROR(__xludf.DUMMYFUNCTION("""COMPUTED_VALUE"""),"o53 -109 +")</f>
        <v>o53 -109 +</v>
      </c>
      <c r="K56" t="str">
        <f>IFERROR(__xludf.DUMMYFUNCTION("""COMPUTED_VALUE"""),"o53.5 -110")</f>
        <v>o53.5 -110</v>
      </c>
    </row>
    <row r="57">
      <c r="A57" t="str">
        <f>IFERROR(__xludf.DUMMYFUNCTION("""COMPUTED_VALUE"""),"308 Florida State")</f>
        <v>308 Florida State</v>
      </c>
      <c r="B57" t="str">
        <f>IFERROR(__xludf.DUMMYFUNCTION("""COMPUTED_VALUE"""),"u53.5 -108")</f>
        <v>u53.5 -108</v>
      </c>
      <c r="C57" t="str">
        <f>IFERROR(__xludf.DUMMYFUNCTION("""COMPUTED_VALUE"""),"u53.5 -110 +")</f>
        <v>u53.5 -110 +</v>
      </c>
      <c r="D57" t="str">
        <f>IFERROR(__xludf.DUMMYFUNCTION("""COMPUTED_VALUE"""),"u53.5 -110 +")</f>
        <v>u53.5 -110 +</v>
      </c>
      <c r="E57" t="str">
        <f>IFERROR(__xludf.DUMMYFUNCTION("""COMPUTED_VALUE"""),"u53.5 -110 +")</f>
        <v>u53.5 -110 +</v>
      </c>
      <c r="F57" t="str">
        <f>IFERROR(__xludf.DUMMYFUNCTION("""COMPUTED_VALUE"""),"u53.5 -115 +")</f>
        <v>u53.5 -115 +</v>
      </c>
      <c r="G57" t="str">
        <f>IFERROR(__xludf.DUMMYFUNCTION("""COMPUTED_VALUE"""),"u52.5 -110 +")</f>
        <v>u52.5 -110 +</v>
      </c>
      <c r="H57" t="str">
        <f>IFERROR(__xludf.DUMMYFUNCTION("""COMPUTED_VALUE"""),"u53.5 -115 +")</f>
        <v>u53.5 -115 +</v>
      </c>
      <c r="I57" t="str">
        <f>IFERROR(__xludf.DUMMYFUNCTION("""COMPUTED_VALUE"""),"u53 -110 +")</f>
        <v>u53 -110 +</v>
      </c>
      <c r="J57" t="str">
        <f>IFERROR(__xludf.DUMMYFUNCTION("""COMPUTED_VALUE"""),"u53 -113 +")</f>
        <v>u53 -113 +</v>
      </c>
      <c r="K57" t="str">
        <f>IFERROR(__xludf.DUMMYFUNCTION("""COMPUTED_VALUE"""),"u53.5 -110")</f>
        <v>u53.5 -110</v>
      </c>
    </row>
    <row r="58">
      <c r="A58" t="str">
        <f>IFERROR(__xludf.DUMMYFUNCTION("""COMPUTED_VALUE"""),"- Matchup")</f>
        <v>- Matchup</v>
      </c>
    </row>
    <row r="59">
      <c r="B59" t="str">
        <f>IFERROR(__xludf.DUMMYFUNCTION("""COMPUTED_VALUE"""),"Open")</f>
        <v>Open</v>
      </c>
      <c r="C59" t="str">
        <f>IFERROR(__xludf.DUMMYFUNCTION("""COMPUTED_VALUE"""),"›")</f>
        <v>›</v>
      </c>
      <c r="D59" t="str">
        <f>IFERROR(__xludf.DUMMYFUNCTION("""COMPUTED_VALUE"""),"›")</f>
        <v>›</v>
      </c>
      <c r="E59" t="str">
        <f>IFERROR(__xludf.DUMMYFUNCTION("""COMPUTED_VALUE"""),"›")</f>
        <v>›</v>
      </c>
      <c r="F59" t="str">
        <f>IFERROR(__xludf.DUMMYFUNCTION("""COMPUTED_VALUE"""),"›")</f>
        <v>›</v>
      </c>
      <c r="G59" t="str">
        <f>IFERROR(__xludf.DUMMYFUNCTION("""COMPUTED_VALUE"""),"›")</f>
        <v>›</v>
      </c>
      <c r="H59" t="str">
        <f>IFERROR(__xludf.DUMMYFUNCTION("""COMPUTED_VALUE"""),"›")</f>
        <v>›</v>
      </c>
      <c r="I59" t="str">
        <f>IFERROR(__xludf.DUMMYFUNCTION("""COMPUTED_VALUE"""),"›")</f>
        <v>›</v>
      </c>
      <c r="J59" t="str">
        <f>IFERROR(__xludf.DUMMYFUNCTION("""COMPUTED_VALUE"""),"›")</f>
        <v>›</v>
      </c>
    </row>
    <row r="60">
      <c r="A60" t="str">
        <f>IFERROR(__xludf.DUMMYFUNCTION("""COMPUTED_VALUE"""),"311 Hawai'i")</f>
        <v>311 Hawai'i</v>
      </c>
      <c r="B60" t="str">
        <f>IFERROR(__xludf.DUMMYFUNCTION("""COMPUTED_VALUE"""),"o50.5 -105")</f>
        <v>o50.5 -105</v>
      </c>
      <c r="C60" t="str">
        <f>IFERROR(__xludf.DUMMYFUNCTION("""COMPUTED_VALUE"""),"o50.5 -110 +")</f>
        <v>o50.5 -110 +</v>
      </c>
      <c r="D60" t="str">
        <f>IFERROR(__xludf.DUMMYFUNCTION("""COMPUTED_VALUE"""),"o50.5 -110 +")</f>
        <v>o50.5 -110 +</v>
      </c>
      <c r="E60" t="str">
        <f>IFERROR(__xludf.DUMMYFUNCTION("""COMPUTED_VALUE"""),"o50.5 -108 +")</f>
        <v>o50.5 -108 +</v>
      </c>
      <c r="F60" t="str">
        <f>IFERROR(__xludf.DUMMYFUNCTION("""COMPUTED_VALUE"""),"o50.5 -108 +")</f>
        <v>o50.5 -108 +</v>
      </c>
      <c r="G60" t="str">
        <f>IFERROR(__xludf.DUMMYFUNCTION("""COMPUTED_VALUE"""),"o49.5 -110 +")</f>
        <v>o49.5 -110 +</v>
      </c>
      <c r="H60" t="str">
        <f>IFERROR(__xludf.DUMMYFUNCTION("""COMPUTED_VALUE"""),"o50.5 -105 +")</f>
        <v>o50.5 -105 +</v>
      </c>
      <c r="I60" t="str">
        <f>IFERROR(__xludf.DUMMYFUNCTION("""COMPUTED_VALUE"""),"o50.5 -110 +")</f>
        <v>o50.5 -110 +</v>
      </c>
      <c r="J60" t="str">
        <f>IFERROR(__xludf.DUMMYFUNCTION("""COMPUTED_VALUE"""),"o50.5 -114 +")</f>
        <v>o50.5 -114 +</v>
      </c>
      <c r="K60" t="str">
        <f>IFERROR(__xludf.DUMMYFUNCTION("""COMPUTED_VALUE"""),"o50.5 -108")</f>
        <v>o50.5 -108</v>
      </c>
    </row>
    <row r="61">
      <c r="A61" t="str">
        <f>IFERROR(__xludf.DUMMYFUNCTION("""COMPUTED_VALUE"""),"312 Stanford")</f>
        <v>312 Stanford</v>
      </c>
      <c r="B61" t="str">
        <f>IFERROR(__xludf.DUMMYFUNCTION("""COMPUTED_VALUE"""),"u50.5 -115")</f>
        <v>u50.5 -115</v>
      </c>
      <c r="C61" t="str">
        <f>IFERROR(__xludf.DUMMYFUNCTION("""COMPUTED_VALUE"""),"u50.5 -110 +")</f>
        <v>u50.5 -110 +</v>
      </c>
      <c r="D61" t="str">
        <f>IFERROR(__xludf.DUMMYFUNCTION("""COMPUTED_VALUE"""),"u50.5 -110 +")</f>
        <v>u50.5 -110 +</v>
      </c>
      <c r="E61" t="str">
        <f>IFERROR(__xludf.DUMMYFUNCTION("""COMPUTED_VALUE"""),"u50.5 -112 +")</f>
        <v>u50.5 -112 +</v>
      </c>
      <c r="F61" t="str">
        <f>IFERROR(__xludf.DUMMYFUNCTION("""COMPUTED_VALUE"""),"u50.5 -113 +")</f>
        <v>u50.5 -113 +</v>
      </c>
      <c r="G61" t="str">
        <f>IFERROR(__xludf.DUMMYFUNCTION("""COMPUTED_VALUE"""),"u49.5 -110 +")</f>
        <v>u49.5 -110 +</v>
      </c>
      <c r="H61" t="str">
        <f>IFERROR(__xludf.DUMMYFUNCTION("""COMPUTED_VALUE"""),"u50.5 -115 +")</f>
        <v>u50.5 -115 +</v>
      </c>
      <c r="I61" t="str">
        <f>IFERROR(__xludf.DUMMYFUNCTION("""COMPUTED_VALUE"""),"u50.5 -110 +")</f>
        <v>u50.5 -110 +</v>
      </c>
      <c r="J61" t="str">
        <f>IFERROR(__xludf.DUMMYFUNCTION("""COMPUTED_VALUE"""),"u50.5 -109 +")</f>
        <v>u50.5 -109 +</v>
      </c>
      <c r="K61" t="str">
        <f>IFERROR(__xludf.DUMMYFUNCTION("""COMPUTED_VALUE"""),"u50.5 -112")</f>
        <v>u50.5 -112</v>
      </c>
    </row>
    <row r="62">
      <c r="A62" t="str">
        <f>IFERROR(__xludf.DUMMYFUNCTION("""COMPUTED_VALUE"""),"- Matchup")</f>
        <v>- Matchup</v>
      </c>
    </row>
    <row r="63">
      <c r="B63" t="str">
        <f>IFERROR(__xludf.DUMMYFUNCTION("""COMPUTED_VALUE"""),"Open")</f>
        <v>Open</v>
      </c>
      <c r="C63" t="str">
        <f>IFERROR(__xludf.DUMMYFUNCTION("""COMPUTED_VALUE"""),"›")</f>
        <v>›</v>
      </c>
      <c r="D63" t="str">
        <f>IFERROR(__xludf.DUMMYFUNCTION("""COMPUTED_VALUE"""),"›")</f>
        <v>›</v>
      </c>
      <c r="E63" t="str">
        <f>IFERROR(__xludf.DUMMYFUNCTION("""COMPUTED_VALUE"""),"›")</f>
        <v>›</v>
      </c>
      <c r="F63" t="str">
        <f>IFERROR(__xludf.DUMMYFUNCTION("""COMPUTED_VALUE"""),"›")</f>
        <v>›</v>
      </c>
      <c r="G63" t="str">
        <f>IFERROR(__xludf.DUMMYFUNCTION("""COMPUTED_VALUE"""),"›")</f>
        <v>›</v>
      </c>
      <c r="H63" t="str">
        <f>IFERROR(__xludf.DUMMYFUNCTION("""COMPUTED_VALUE"""),"›")</f>
        <v>›</v>
      </c>
      <c r="I63" t="str">
        <f>IFERROR(__xludf.DUMMYFUNCTION("""COMPUTED_VALUE"""),"›")</f>
        <v>›</v>
      </c>
      <c r="J63" t="str">
        <f>IFERROR(__xludf.DUMMYFUNCTION("""COMPUTED_VALUE"""),"›")</f>
        <v>›</v>
      </c>
    </row>
    <row r="64">
      <c r="A64" t="str">
        <f>IFERROR(__xludf.DUMMYFUNCTION("""COMPUTED_VALUE"""),"315 Memphis")</f>
        <v>315 Memphis</v>
      </c>
      <c r="B64" t="str">
        <f>IFERROR(__xludf.DUMMYFUNCTION("""COMPUTED_VALUE"""),"o60.5 -112")</f>
        <v>o60.5 -112</v>
      </c>
      <c r="C64" t="str">
        <f>IFERROR(__xludf.DUMMYFUNCTION("""COMPUTED_VALUE"""),"o58.5 -110 +")</f>
        <v>o58.5 -110 +</v>
      </c>
      <c r="D64" t="str">
        <f>IFERROR(__xludf.DUMMYFUNCTION("""COMPUTED_VALUE"""),"o58.5 -110 +")</f>
        <v>o58.5 -110 +</v>
      </c>
      <c r="E64" t="str">
        <f>IFERROR(__xludf.DUMMYFUNCTION("""COMPUTED_VALUE"""),"o59.5 -108 +")</f>
        <v>o59.5 -108 +</v>
      </c>
      <c r="F64" t="str">
        <f>IFERROR(__xludf.DUMMYFUNCTION("""COMPUTED_VALUE"""),"o59.5 -104 +")</f>
        <v>o59.5 -104 +</v>
      </c>
      <c r="G64" t="str">
        <f>IFERROR(__xludf.DUMMYFUNCTION("""COMPUTED_VALUE"""),"o59.5 -110 +")</f>
        <v>o59.5 -110 +</v>
      </c>
      <c r="H64" t="str">
        <f>IFERROR(__xludf.DUMMYFUNCTION("""COMPUTED_VALUE"""),"o59.5 -105 +")</f>
        <v>o59.5 -105 +</v>
      </c>
      <c r="I64" t="str">
        <f>IFERROR(__xludf.DUMMYFUNCTION("""COMPUTED_VALUE"""),"o59 -110 +")</f>
        <v>o59 -110 +</v>
      </c>
      <c r="J64" t="str">
        <f>IFERROR(__xludf.DUMMYFUNCTION("""COMPUTED_VALUE"""),"o59 -114 +")</f>
        <v>o59 -114 +</v>
      </c>
      <c r="K64" t="str">
        <f>IFERROR(__xludf.DUMMYFUNCTION("""COMPUTED_VALUE"""),"o59.5 -108")</f>
        <v>o59.5 -108</v>
      </c>
    </row>
    <row r="65">
      <c r="A65" t="str">
        <f>IFERROR(__xludf.DUMMYFUNCTION("""COMPUTED_VALUE"""),"316 UNLV")</f>
        <v>316 UNLV</v>
      </c>
      <c r="B65" t="str">
        <f>IFERROR(__xludf.DUMMYFUNCTION("""COMPUTED_VALUE"""),"u60.5 -108")</f>
        <v>u60.5 -108</v>
      </c>
      <c r="C65" t="str">
        <f>IFERROR(__xludf.DUMMYFUNCTION("""COMPUTED_VALUE"""),"u58.5 -110 +")</f>
        <v>u58.5 -110 +</v>
      </c>
      <c r="D65" t="str">
        <f>IFERROR(__xludf.DUMMYFUNCTION("""COMPUTED_VALUE"""),"u58.5 -110 +")</f>
        <v>u58.5 -110 +</v>
      </c>
      <c r="E65" t="str">
        <f>IFERROR(__xludf.DUMMYFUNCTION("""COMPUTED_VALUE"""),"u59.5 -112 +")</f>
        <v>u59.5 -112 +</v>
      </c>
      <c r="F65" t="str">
        <f>IFERROR(__xludf.DUMMYFUNCTION("""COMPUTED_VALUE"""),"u59.5 -117 +")</f>
        <v>u59.5 -117 +</v>
      </c>
      <c r="G65" t="str">
        <f>IFERROR(__xludf.DUMMYFUNCTION("""COMPUTED_VALUE"""),"u59.5 -110 +")</f>
        <v>u59.5 -110 +</v>
      </c>
      <c r="H65" t="str">
        <f>IFERROR(__xludf.DUMMYFUNCTION("""COMPUTED_VALUE"""),"u59.5 -115 +")</f>
        <v>u59.5 -115 +</v>
      </c>
      <c r="I65" t="str">
        <f>IFERROR(__xludf.DUMMYFUNCTION("""COMPUTED_VALUE"""),"u59 -110 +")</f>
        <v>u59 -110 +</v>
      </c>
      <c r="J65" t="str">
        <f>IFERROR(__xludf.DUMMYFUNCTION("""COMPUTED_VALUE"""),"u59 -109 +")</f>
        <v>u59 -109 +</v>
      </c>
      <c r="K65" t="str">
        <f>IFERROR(__xludf.DUMMYFUNCTION("""COMPUTED_VALUE"""),"u59.5 -112")</f>
        <v>u59.5 -112</v>
      </c>
    </row>
    <row r="66">
      <c r="A66" t="str">
        <f>IFERROR(__xludf.DUMMYFUNCTION("""COMPUTED_VALUE"""),"- Matchup")</f>
        <v>- Matchup</v>
      </c>
    </row>
    <row r="67">
      <c r="B67" t="str">
        <f>IFERROR(__xludf.DUMMYFUNCTION("""COMPUTED_VALUE"""),"Open")</f>
        <v>Open</v>
      </c>
      <c r="C67" t="str">
        <f>IFERROR(__xludf.DUMMYFUNCTION("""COMPUTED_VALUE"""),"›")</f>
        <v>›</v>
      </c>
      <c r="D67" t="str">
        <f>IFERROR(__xludf.DUMMYFUNCTION("""COMPUTED_VALUE"""),"›")</f>
        <v>›</v>
      </c>
      <c r="E67" t="str">
        <f>IFERROR(__xludf.DUMMYFUNCTION("""COMPUTED_VALUE"""),"›")</f>
        <v>›</v>
      </c>
      <c r="F67" t="str">
        <f>IFERROR(__xludf.DUMMYFUNCTION("""COMPUTED_VALUE"""),"›")</f>
        <v>›</v>
      </c>
      <c r="G67" t="str">
        <f>IFERROR(__xludf.DUMMYFUNCTION("""COMPUTED_VALUE"""),"›")</f>
        <v>›</v>
      </c>
      <c r="H67" t="str">
        <f>IFERROR(__xludf.DUMMYFUNCTION("""COMPUTED_VALUE"""),"›")</f>
        <v>›</v>
      </c>
      <c r="I67" t="str">
        <f>IFERROR(__xludf.DUMMYFUNCTION("""COMPUTED_VALUE"""),"›")</f>
        <v>›</v>
      </c>
      <c r="J67" t="str">
        <f>IFERROR(__xludf.DUMMYFUNCTION("""COMPUTED_VALUE"""),"›")</f>
        <v>›</v>
      </c>
    </row>
    <row r="68">
      <c r="A68" t="str">
        <f>IFERROR(__xludf.DUMMYFUNCTION("""COMPUTED_VALUE"""),"305 North Carolina")</f>
        <v>305 North Carolina</v>
      </c>
      <c r="B68" t="str">
        <f>IFERROR(__xludf.DUMMYFUNCTION("""COMPUTED_VALUE"""),"+195")</f>
        <v>+195</v>
      </c>
      <c r="C68" t="str">
        <f>IFERROR(__xludf.DUMMYFUNCTION("""COMPUTED_VALUE"""),"+210 +")</f>
        <v>+210 +</v>
      </c>
      <c r="D68" t="str">
        <f>IFERROR(__xludf.DUMMYFUNCTION("""COMPUTED_VALUE"""),"N/A")</f>
        <v>N/A</v>
      </c>
      <c r="E68" t="str">
        <f>IFERROR(__xludf.DUMMYFUNCTION("""COMPUTED_VALUE"""),"+210 +")</f>
        <v>+210 +</v>
      </c>
      <c r="F68" t="str">
        <f>IFERROR(__xludf.DUMMYFUNCTION("""COMPUTED_VALUE"""),"+215 +")</f>
        <v>+215 +</v>
      </c>
      <c r="G68" t="str">
        <f>IFERROR(__xludf.DUMMYFUNCTION("""COMPUTED_VALUE"""),"+215 +")</f>
        <v>+215 +</v>
      </c>
      <c r="H68" t="str">
        <f>IFERROR(__xludf.DUMMYFUNCTION("""COMPUTED_VALUE"""),"+185 +")</f>
        <v>+185 +</v>
      </c>
      <c r="I68" t="str">
        <f>IFERROR(__xludf.DUMMYFUNCTION("""COMPUTED_VALUE"""),"+210 +")</f>
        <v>+210 +</v>
      </c>
      <c r="J68" t="str">
        <f>IFERROR(__xludf.DUMMYFUNCTION("""COMPUTED_VALUE"""),"+205 +")</f>
        <v>+205 +</v>
      </c>
      <c r="K68" t="str">
        <f>IFERROR(__xludf.DUMMYFUNCTION("""COMPUTED_VALUE"""),"+210")</f>
        <v>+210</v>
      </c>
    </row>
    <row r="69">
      <c r="A69" t="str">
        <f>IFERROR(__xludf.DUMMYFUNCTION("""COMPUTED_VALUE"""),"306 TCU")</f>
        <v>306 TCU</v>
      </c>
      <c r="B69">
        <f>IFERROR(__xludf.DUMMYFUNCTION("""COMPUTED_VALUE"""),-249.0)</f>
        <v>-249</v>
      </c>
      <c r="C69" t="str">
        <f>IFERROR(__xludf.DUMMYFUNCTION("""COMPUTED_VALUE"""),"-260 +")</f>
        <v>-260 +</v>
      </c>
      <c r="D69" t="str">
        <f>IFERROR(__xludf.DUMMYFUNCTION("""COMPUTED_VALUE"""),"N/A")</f>
        <v>N/A</v>
      </c>
      <c r="E69" t="str">
        <f>IFERROR(__xludf.DUMMYFUNCTION("""COMPUTED_VALUE"""),"-258 +")</f>
        <v>-258 +</v>
      </c>
      <c r="F69" t="str">
        <f>IFERROR(__xludf.DUMMYFUNCTION("""COMPUTED_VALUE"""),"-265 +")</f>
        <v>-265 +</v>
      </c>
      <c r="G69" t="str">
        <f>IFERROR(__xludf.DUMMYFUNCTION("""COMPUTED_VALUE"""),"-265 +")</f>
        <v>-265 +</v>
      </c>
      <c r="H69" t="str">
        <f>IFERROR(__xludf.DUMMYFUNCTION("""COMPUTED_VALUE"""),"-300 +")</f>
        <v>-300 +</v>
      </c>
      <c r="I69" t="str">
        <f>IFERROR(__xludf.DUMMYFUNCTION("""COMPUTED_VALUE"""),"-260 +")</f>
        <v>-260 +</v>
      </c>
      <c r="J69" t="str">
        <f>IFERROR(__xludf.DUMMYFUNCTION("""COMPUTED_VALUE"""),"-265 +")</f>
        <v>-265 +</v>
      </c>
      <c r="K69">
        <f>IFERROR(__xludf.DUMMYFUNCTION("""COMPUTED_VALUE"""),-258.0)</f>
        <v>-258</v>
      </c>
    </row>
    <row r="70">
      <c r="A70" t="str">
        <f>IFERROR(__xludf.DUMMYFUNCTION("""COMPUTED_VALUE"""),"- Matchup")</f>
        <v>- Matchup</v>
      </c>
    </row>
    <row r="71">
      <c r="B71" t="str">
        <f>IFERROR(__xludf.DUMMYFUNCTION("""COMPUTED_VALUE"""),"Open")</f>
        <v>Open</v>
      </c>
      <c r="C71" t="str">
        <f>IFERROR(__xludf.DUMMYFUNCTION("""COMPUTED_VALUE"""),"›")</f>
        <v>›</v>
      </c>
      <c r="D71" t="str">
        <f>IFERROR(__xludf.DUMMYFUNCTION("""COMPUTED_VALUE"""),"›")</f>
        <v>›</v>
      </c>
      <c r="E71" t="str">
        <f>IFERROR(__xludf.DUMMYFUNCTION("""COMPUTED_VALUE"""),"›")</f>
        <v>›</v>
      </c>
      <c r="F71" t="str">
        <f>IFERROR(__xludf.DUMMYFUNCTION("""COMPUTED_VALUE"""),"›")</f>
        <v>›</v>
      </c>
      <c r="G71" t="str">
        <f>IFERROR(__xludf.DUMMYFUNCTION("""COMPUTED_VALUE"""),"›")</f>
        <v>›</v>
      </c>
      <c r="H71" t="str">
        <f>IFERROR(__xludf.DUMMYFUNCTION("""COMPUTED_VALUE"""),"›")</f>
        <v>›</v>
      </c>
      <c r="I71" t="str">
        <f>IFERROR(__xludf.DUMMYFUNCTION("""COMPUTED_VALUE"""),"›")</f>
        <v>›</v>
      </c>
      <c r="J71" t="str">
        <f>IFERROR(__xludf.DUMMYFUNCTION("""COMPUTED_VALUE"""),"›")</f>
        <v>›</v>
      </c>
    </row>
    <row r="72">
      <c r="A72" t="str">
        <f>IFERROR(__xludf.DUMMYFUNCTION("""COMPUTED_VALUE"""),"313 San Jose State")</f>
        <v>313 San Jose State</v>
      </c>
      <c r="B72" t="str">
        <f>IFERROR(__xludf.DUMMYFUNCTION("""COMPUTED_VALUE"""),"N/A")</f>
        <v>N/A</v>
      </c>
      <c r="C72" t="str">
        <f>IFERROR(__xludf.DUMMYFUNCTION("""COMPUTED_VALUE"""),"N/A")</f>
        <v>N/A</v>
      </c>
      <c r="D72" t="str">
        <f>IFERROR(__xludf.DUMMYFUNCTION("""COMPUTED_VALUE"""),"N/A")</f>
        <v>N/A</v>
      </c>
      <c r="F72" t="str">
        <f>IFERROR(__xludf.DUMMYFUNCTION("""COMPUTED_VALUE"""),"+2200")</f>
        <v>+2200</v>
      </c>
      <c r="H72" t="str">
        <f>IFERROR(__xludf.DUMMYFUNCTION("""COMPUTED_VALUE"""),"N/A")</f>
        <v>N/A</v>
      </c>
      <c r="J72" t="str">
        <f>IFERROR(__xludf.DUMMYFUNCTION("""COMPUTED_VALUE"""),"N/A")</f>
        <v>N/A</v>
      </c>
    </row>
    <row r="73">
      <c r="A73" t="str">
        <f>IFERROR(__xludf.DUMMYFUNCTION("""COMPUTED_VALUE"""),"314 USC")</f>
        <v>314 USC</v>
      </c>
      <c r="B73" t="str">
        <f>IFERROR(__xludf.DUMMYFUNCTION("""COMPUTED_VALUE"""),"N/A")</f>
        <v>N/A</v>
      </c>
      <c r="C73" t="str">
        <f>IFERROR(__xludf.DUMMYFUNCTION("""COMPUTED_VALUE"""),"N/A")</f>
        <v>N/A</v>
      </c>
      <c r="D73" t="str">
        <f>IFERROR(__xludf.DUMMYFUNCTION("""COMPUTED_VALUE"""),"N/A")</f>
        <v>N/A</v>
      </c>
      <c r="F73">
        <f>IFERROR(__xludf.DUMMYFUNCTION("""COMPUTED_VALUE"""),-10000.0)</f>
        <v>-10000</v>
      </c>
      <c r="H73" t="str">
        <f>IFERROR(__xludf.DUMMYFUNCTION("""COMPUTED_VALUE"""),"N/A")</f>
        <v>N/A</v>
      </c>
      <c r="J73" t="str">
        <f>IFERROR(__xludf.DUMMYFUNCTION("""COMPUTED_VALUE"""),"N/A")</f>
        <v>N/A</v>
      </c>
    </row>
    <row r="74">
      <c r="A74" t="str">
        <f>IFERROR(__xludf.DUMMYFUNCTION("""COMPUTED_VALUE"""),"- Matchup")</f>
        <v>- Matchup</v>
      </c>
    </row>
    <row r="75">
      <c r="B75" t="str">
        <f>IFERROR(__xludf.DUMMYFUNCTION("""COMPUTED_VALUE"""),"Open")</f>
        <v>Open</v>
      </c>
      <c r="C75" t="str">
        <f>IFERROR(__xludf.DUMMYFUNCTION("""COMPUTED_VALUE"""),"›")</f>
        <v>›</v>
      </c>
      <c r="D75" t="str">
        <f>IFERROR(__xludf.DUMMYFUNCTION("""COMPUTED_VALUE"""),"›")</f>
        <v>›</v>
      </c>
      <c r="E75" t="str">
        <f>IFERROR(__xludf.DUMMYFUNCTION("""COMPUTED_VALUE"""),"›")</f>
        <v>›</v>
      </c>
      <c r="F75" t="str">
        <f>IFERROR(__xludf.DUMMYFUNCTION("""COMPUTED_VALUE"""),"›")</f>
        <v>›</v>
      </c>
      <c r="G75" t="str">
        <f>IFERROR(__xludf.DUMMYFUNCTION("""COMPUTED_VALUE"""),"›")</f>
        <v>›</v>
      </c>
      <c r="H75" t="str">
        <f>IFERROR(__xludf.DUMMYFUNCTION("""COMPUTED_VALUE"""),"›")</f>
        <v>›</v>
      </c>
      <c r="I75" t="str">
        <f>IFERROR(__xludf.DUMMYFUNCTION("""COMPUTED_VALUE"""),"›")</f>
        <v>›</v>
      </c>
      <c r="J75" t="str">
        <f>IFERROR(__xludf.DUMMYFUNCTION("""COMPUTED_VALUE"""),"›")</f>
        <v>›</v>
      </c>
    </row>
    <row r="76">
      <c r="A76" t="str">
        <f>IFERROR(__xludf.DUMMYFUNCTION("""COMPUTED_VALUE"""),"317 NC State")</f>
        <v>317 NC State</v>
      </c>
      <c r="B76" t="str">
        <f>IFERROR(__xludf.DUMMYFUNCTION("""COMPUTED_VALUE"""),"+128")</f>
        <v>+128</v>
      </c>
      <c r="C76" t="str">
        <f>IFERROR(__xludf.DUMMYFUNCTION("""COMPUTED_VALUE"""),"+175 +")</f>
        <v>+175 +</v>
      </c>
      <c r="D76" t="str">
        <f>IFERROR(__xludf.DUMMYFUNCTION("""COMPUTED_VALUE"""),"N/A")</f>
        <v>N/A</v>
      </c>
      <c r="E76" t="str">
        <f>IFERROR(__xludf.DUMMYFUNCTION("""COMPUTED_VALUE"""),"+170 +")</f>
        <v>+170 +</v>
      </c>
      <c r="F76" t="str">
        <f>IFERROR(__xludf.DUMMYFUNCTION("""COMPUTED_VALUE"""),"+174 +")</f>
        <v>+174 +</v>
      </c>
      <c r="G76" t="str">
        <f>IFERROR(__xludf.DUMMYFUNCTION("""COMPUTED_VALUE"""),"+180 +")</f>
        <v>+180 +</v>
      </c>
      <c r="H76" t="str">
        <f>IFERROR(__xludf.DUMMYFUNCTION("""COMPUTED_VALUE"""),"+180 +")</f>
        <v>+180 +</v>
      </c>
      <c r="I76" t="str">
        <f>IFERROR(__xludf.DUMMYFUNCTION("""COMPUTED_VALUE"""),"+170 +")</f>
        <v>+170 +</v>
      </c>
      <c r="J76" t="str">
        <f>IFERROR(__xludf.DUMMYFUNCTION("""COMPUTED_VALUE"""),"+155 +")</f>
        <v>+155 +</v>
      </c>
      <c r="K76" t="str">
        <f>IFERROR(__xludf.DUMMYFUNCTION("""COMPUTED_VALUE"""),"+170")</f>
        <v>+170</v>
      </c>
    </row>
    <row r="77">
      <c r="A77" t="str">
        <f>IFERROR(__xludf.DUMMYFUNCTION("""COMPUTED_VALUE"""),"318 Virginia")</f>
        <v>318 Virginia</v>
      </c>
      <c r="B77">
        <f>IFERROR(__xludf.DUMMYFUNCTION("""COMPUTED_VALUE"""),-160.0)</f>
        <v>-160</v>
      </c>
      <c r="C77" t="str">
        <f>IFERROR(__xludf.DUMMYFUNCTION("""COMPUTED_VALUE"""),"-210 +")</f>
        <v>-210 +</v>
      </c>
      <c r="D77" t="str">
        <f>IFERROR(__xludf.DUMMYFUNCTION("""COMPUTED_VALUE"""),"N/A")</f>
        <v>N/A</v>
      </c>
      <c r="E77" t="str">
        <f>IFERROR(__xludf.DUMMYFUNCTION("""COMPUTED_VALUE"""),"-205 +")</f>
        <v>-205 +</v>
      </c>
      <c r="F77" t="str">
        <f>IFERROR(__xludf.DUMMYFUNCTION("""COMPUTED_VALUE"""),"-209 +")</f>
        <v>-209 +</v>
      </c>
      <c r="G77" t="str">
        <f>IFERROR(__xludf.DUMMYFUNCTION("""COMPUTED_VALUE"""),"-220 +")</f>
        <v>-220 +</v>
      </c>
      <c r="H77" t="str">
        <f>IFERROR(__xludf.DUMMYFUNCTION("""COMPUTED_VALUE"""),"+170 +")</f>
        <v>+170 +</v>
      </c>
      <c r="I77" t="str">
        <f>IFERROR(__xludf.DUMMYFUNCTION("""COMPUTED_VALUE"""),"-205 +")</f>
        <v>-205 +</v>
      </c>
      <c r="J77" t="str">
        <f>IFERROR(__xludf.DUMMYFUNCTION("""COMPUTED_VALUE"""),"-200 +")</f>
        <v>-200 +</v>
      </c>
      <c r="K77">
        <f>IFERROR(__xludf.DUMMYFUNCTION("""COMPUTED_VALUE"""),-205.0)</f>
        <v>-205</v>
      </c>
    </row>
    <row r="78">
      <c r="A78" t="str">
        <f>IFERROR(__xludf.DUMMYFUNCTION("""COMPUTED_VALUE"""),"- Matchup")</f>
        <v>- Matchup</v>
      </c>
    </row>
    <row r="79">
      <c r="B79" t="str">
        <f>IFERROR(__xludf.DUMMYFUNCTION("""COMPUTED_VALUE"""),"Open")</f>
        <v>Open</v>
      </c>
      <c r="C79" t="str">
        <f>IFERROR(__xludf.DUMMYFUNCTION("""COMPUTED_VALUE"""),"›")</f>
        <v>›</v>
      </c>
      <c r="D79" t="str">
        <f>IFERROR(__xludf.DUMMYFUNCTION("""COMPUTED_VALUE"""),"›")</f>
        <v>›</v>
      </c>
      <c r="E79" t="str">
        <f>IFERROR(__xludf.DUMMYFUNCTION("""COMPUTED_VALUE"""),"›")</f>
        <v>›</v>
      </c>
      <c r="F79" t="str">
        <f>IFERROR(__xludf.DUMMYFUNCTION("""COMPUTED_VALUE"""),"›")</f>
        <v>›</v>
      </c>
      <c r="G79" t="str">
        <f>IFERROR(__xludf.DUMMYFUNCTION("""COMPUTED_VALUE"""),"›")</f>
        <v>›</v>
      </c>
      <c r="H79" t="str">
        <f>IFERROR(__xludf.DUMMYFUNCTION("""COMPUTED_VALUE"""),"›")</f>
        <v>›</v>
      </c>
      <c r="I79" t="str">
        <f>IFERROR(__xludf.DUMMYFUNCTION("""COMPUTED_VALUE"""),"›")</f>
        <v>›</v>
      </c>
      <c r="J79" t="str">
        <f>IFERROR(__xludf.DUMMYFUNCTION("""COMPUTED_VALUE"""),"›")</f>
        <v>›</v>
      </c>
    </row>
    <row r="80">
      <c r="A80" t="str">
        <f>IFERROR(__xludf.DUMMYFUNCTION("""COMPUTED_VALUE"""),"319 Jacksonville State")</f>
        <v>319 Jacksonville State</v>
      </c>
      <c r="B80" t="str">
        <f>IFERROR(__xludf.DUMMYFUNCTION("""COMPUTED_VALUE"""),"+260")</f>
        <v>+260</v>
      </c>
      <c r="C80" t="str">
        <f>IFERROR(__xludf.DUMMYFUNCTION("""COMPUTED_VALUE"""),"+235 +")</f>
        <v>+235 +</v>
      </c>
      <c r="D80" t="str">
        <f>IFERROR(__xludf.DUMMYFUNCTION("""COMPUTED_VALUE"""),"N/A")</f>
        <v>N/A</v>
      </c>
      <c r="E80" t="str">
        <f>IFERROR(__xludf.DUMMYFUNCTION("""COMPUTED_VALUE"""),"+230 +")</f>
        <v>+230 +</v>
      </c>
      <c r="F80" t="str">
        <f>IFERROR(__xludf.DUMMYFUNCTION("""COMPUTED_VALUE"""),"N/A")</f>
        <v>N/A</v>
      </c>
      <c r="G80" t="str">
        <f>IFERROR(__xludf.DUMMYFUNCTION("""COMPUTED_VALUE"""),"+255 +")</f>
        <v>+255 +</v>
      </c>
      <c r="H80" t="str">
        <f>IFERROR(__xludf.DUMMYFUNCTION("""COMPUTED_VALUE"""),"+260 +")</f>
        <v>+260 +</v>
      </c>
      <c r="I80" t="str">
        <f>IFERROR(__xludf.DUMMYFUNCTION("""COMPUTED_VALUE"""),"+240 +")</f>
        <v>+240 +</v>
      </c>
      <c r="J80" t="str">
        <f>IFERROR(__xludf.DUMMYFUNCTION("""COMPUTED_VALUE"""),"+205 +")</f>
        <v>+205 +</v>
      </c>
      <c r="K80" t="str">
        <f>IFERROR(__xludf.DUMMYFUNCTION("""COMPUTED_VALUE"""),"+230")</f>
        <v>+230</v>
      </c>
    </row>
    <row r="81">
      <c r="A81" t="str">
        <f>IFERROR(__xludf.DUMMYFUNCTION("""COMPUTED_VALUE"""),"320 North Dakota State")</f>
        <v>320 North Dakota State</v>
      </c>
      <c r="B81">
        <f>IFERROR(__xludf.DUMMYFUNCTION("""COMPUTED_VALUE"""),-325.0)</f>
        <v>-325</v>
      </c>
      <c r="C81" t="str">
        <f>IFERROR(__xludf.DUMMYFUNCTION("""COMPUTED_VALUE"""),"-290 +")</f>
        <v>-290 +</v>
      </c>
      <c r="D81" t="str">
        <f>IFERROR(__xludf.DUMMYFUNCTION("""COMPUTED_VALUE"""),"N/A")</f>
        <v>N/A</v>
      </c>
      <c r="E81" t="str">
        <f>IFERROR(__xludf.DUMMYFUNCTION("""COMPUTED_VALUE"""),"-285 +")</f>
        <v>-285 +</v>
      </c>
      <c r="F81" t="str">
        <f>IFERROR(__xludf.DUMMYFUNCTION("""COMPUTED_VALUE"""),"N/A")</f>
        <v>N/A</v>
      </c>
      <c r="G81" t="str">
        <f>IFERROR(__xludf.DUMMYFUNCTION("""COMPUTED_VALUE"""),"-320 +")</f>
        <v>-320 +</v>
      </c>
      <c r="H81" t="str">
        <f>IFERROR(__xludf.DUMMYFUNCTION("""COMPUTED_VALUE"""),"-350 +")</f>
        <v>-350 +</v>
      </c>
      <c r="I81" t="str">
        <f>IFERROR(__xludf.DUMMYFUNCTION("""COMPUTED_VALUE"""),"-300 +")</f>
        <v>-300 +</v>
      </c>
      <c r="J81" t="str">
        <f>IFERROR(__xludf.DUMMYFUNCTION("""COMPUTED_VALUE"""),"-286 +")</f>
        <v>-286 +</v>
      </c>
      <c r="K81">
        <f>IFERROR(__xludf.DUMMYFUNCTION("""COMPUTED_VALUE"""),-285.0)</f>
        <v>-285</v>
      </c>
    </row>
    <row r="82">
      <c r="A82" t="str">
        <f>IFERROR(__xludf.DUMMYFUNCTION("""COMPUTED_VALUE"""),"- Matchup")</f>
        <v>- Matchup</v>
      </c>
    </row>
    <row r="83">
      <c r="B83" t="str">
        <f>IFERROR(__xludf.DUMMYFUNCTION("""COMPUTED_VALUE"""),"Open")</f>
        <v>Open</v>
      </c>
      <c r="C83" t="str">
        <f>IFERROR(__xludf.DUMMYFUNCTION("""COMPUTED_VALUE"""),"›")</f>
        <v>›</v>
      </c>
      <c r="D83" t="str">
        <f>IFERROR(__xludf.DUMMYFUNCTION("""COMPUTED_VALUE"""),"›")</f>
        <v>›</v>
      </c>
      <c r="E83" t="str">
        <f>IFERROR(__xludf.DUMMYFUNCTION("""COMPUTED_VALUE"""),"›")</f>
        <v>›</v>
      </c>
      <c r="F83" t="str">
        <f>IFERROR(__xludf.DUMMYFUNCTION("""COMPUTED_VALUE"""),"›")</f>
        <v>›</v>
      </c>
      <c r="G83" t="str">
        <f>IFERROR(__xludf.DUMMYFUNCTION("""COMPUTED_VALUE"""),"›")</f>
        <v>›</v>
      </c>
      <c r="H83" t="str">
        <f>IFERROR(__xludf.DUMMYFUNCTION("""COMPUTED_VALUE"""),"›")</f>
        <v>›</v>
      </c>
      <c r="I83" t="str">
        <f>IFERROR(__xludf.DUMMYFUNCTION("""COMPUTED_VALUE"""),"›")</f>
        <v>›</v>
      </c>
      <c r="J83" t="str">
        <f>IFERROR(__xludf.DUMMYFUNCTION("""COMPUTED_VALUE"""),"›")</f>
        <v>›</v>
      </c>
    </row>
    <row r="84">
      <c r="A84" t="str">
        <f>IFERROR(__xludf.DUMMYFUNCTION("""COMPUTED_VALUE"""),"309 Sacramento State")</f>
        <v>309 Sacramento State</v>
      </c>
      <c r="B84" t="str">
        <f>IFERROR(__xludf.DUMMYFUNCTION("""COMPUTED_VALUE"""),"+260")</f>
        <v>+260</v>
      </c>
      <c r="C84" t="str">
        <f>IFERROR(__xludf.DUMMYFUNCTION("""COMPUTED_VALUE"""),"+265 +")</f>
        <v>+265 +</v>
      </c>
      <c r="D84" t="str">
        <f>IFERROR(__xludf.DUMMYFUNCTION("""COMPUTED_VALUE"""),"N/A")</f>
        <v>N/A</v>
      </c>
      <c r="E84" t="str">
        <f>IFERROR(__xludf.DUMMYFUNCTION("""COMPUTED_VALUE"""),"+260 +")</f>
        <v>+260 +</v>
      </c>
      <c r="F84" t="str">
        <f>IFERROR(__xludf.DUMMYFUNCTION("""COMPUTED_VALUE"""),"+260 +")</f>
        <v>+260 +</v>
      </c>
      <c r="G84" t="str">
        <f>IFERROR(__xludf.DUMMYFUNCTION("""COMPUTED_VALUE"""),"+270 +")</f>
        <v>+270 +</v>
      </c>
      <c r="H84" t="str">
        <f>IFERROR(__xludf.DUMMYFUNCTION("""COMPUTED_VALUE"""),"+260 +")</f>
        <v>+260 +</v>
      </c>
      <c r="I84" t="str">
        <f>IFERROR(__xludf.DUMMYFUNCTION("""COMPUTED_VALUE"""),"+265 +")</f>
        <v>+265 +</v>
      </c>
      <c r="J84" t="str">
        <f>IFERROR(__xludf.DUMMYFUNCTION("""COMPUTED_VALUE"""),"+245 +")</f>
        <v>+245 +</v>
      </c>
      <c r="K84" t="str">
        <f>IFERROR(__xludf.DUMMYFUNCTION("""COMPUTED_VALUE"""),"+260")</f>
        <v>+260</v>
      </c>
    </row>
    <row r="85">
      <c r="A85" t="str">
        <f>IFERROR(__xludf.DUMMYFUNCTION("""COMPUTED_VALUE"""),"310 Eastern Michigan")</f>
        <v>310 Eastern Michigan</v>
      </c>
      <c r="B85">
        <f>IFERROR(__xludf.DUMMYFUNCTION("""COMPUTED_VALUE"""),-325.0)</f>
        <v>-325</v>
      </c>
      <c r="C85" t="str">
        <f>IFERROR(__xludf.DUMMYFUNCTION("""COMPUTED_VALUE"""),"-330 +")</f>
        <v>-330 +</v>
      </c>
      <c r="D85" t="str">
        <f>IFERROR(__xludf.DUMMYFUNCTION("""COMPUTED_VALUE"""),"N/A")</f>
        <v>N/A</v>
      </c>
      <c r="E85" t="str">
        <f>IFERROR(__xludf.DUMMYFUNCTION("""COMPUTED_VALUE"""),"-325 +")</f>
        <v>-325 +</v>
      </c>
      <c r="F85" t="str">
        <f>IFERROR(__xludf.DUMMYFUNCTION("""COMPUTED_VALUE"""),"-325 +")</f>
        <v>-325 +</v>
      </c>
      <c r="G85" t="str">
        <f>IFERROR(__xludf.DUMMYFUNCTION("""COMPUTED_VALUE"""),"-345 +")</f>
        <v>-345 +</v>
      </c>
      <c r="H85" t="str">
        <f>IFERROR(__xludf.DUMMYFUNCTION("""COMPUTED_VALUE"""),"-350 +")</f>
        <v>-350 +</v>
      </c>
      <c r="I85" t="str">
        <f>IFERROR(__xludf.DUMMYFUNCTION("""COMPUTED_VALUE"""),"-340 +")</f>
        <v>-340 +</v>
      </c>
      <c r="J85" t="str">
        <f>IFERROR(__xludf.DUMMYFUNCTION("""COMPUTED_VALUE"""),"-335 +")</f>
        <v>-335 +</v>
      </c>
      <c r="K85">
        <f>IFERROR(__xludf.DUMMYFUNCTION("""COMPUTED_VALUE"""),-325.0)</f>
        <v>-325</v>
      </c>
    </row>
    <row r="86">
      <c r="A86" t="str">
        <f>IFERROR(__xludf.DUMMYFUNCTION("""COMPUTED_VALUE"""),"- Matchup")</f>
        <v>- Matchup</v>
      </c>
    </row>
    <row r="87">
      <c r="B87" t="str">
        <f>IFERROR(__xludf.DUMMYFUNCTION("""COMPUTED_VALUE"""),"Open")</f>
        <v>Open</v>
      </c>
      <c r="C87" t="str">
        <f>IFERROR(__xludf.DUMMYFUNCTION("""COMPUTED_VALUE"""),"›")</f>
        <v>›</v>
      </c>
      <c r="D87" t="str">
        <f>IFERROR(__xludf.DUMMYFUNCTION("""COMPUTED_VALUE"""),"›")</f>
        <v>›</v>
      </c>
      <c r="E87" t="str">
        <f>IFERROR(__xludf.DUMMYFUNCTION("""COMPUTED_VALUE"""),"›")</f>
        <v>›</v>
      </c>
      <c r="F87" t="str">
        <f>IFERROR(__xludf.DUMMYFUNCTION("""COMPUTED_VALUE"""),"›")</f>
        <v>›</v>
      </c>
      <c r="G87" t="str">
        <f>IFERROR(__xludf.DUMMYFUNCTION("""COMPUTED_VALUE"""),"›")</f>
        <v>›</v>
      </c>
      <c r="H87" t="str">
        <f>IFERROR(__xludf.DUMMYFUNCTION("""COMPUTED_VALUE"""),"›")</f>
        <v>›</v>
      </c>
      <c r="I87" t="str">
        <f>IFERROR(__xludf.DUMMYFUNCTION("""COMPUTED_VALUE"""),"›")</f>
        <v>›</v>
      </c>
      <c r="J87" t="str">
        <f>IFERROR(__xludf.DUMMYFUNCTION("""COMPUTED_VALUE"""),"›")</f>
        <v>›</v>
      </c>
    </row>
    <row r="88">
      <c r="A88" t="str">
        <f>IFERROR(__xludf.DUMMYFUNCTION("""COMPUTED_VALUE"""),"307 New Mexico State")</f>
        <v>307 New Mexico State</v>
      </c>
      <c r="B88" t="str">
        <f>IFERROR(__xludf.DUMMYFUNCTION("""COMPUTED_VALUE"""),"+3000")</f>
        <v>+3000</v>
      </c>
      <c r="C88" t="str">
        <f>IFERROR(__xludf.DUMMYFUNCTION("""COMPUTED_VALUE"""),"N/A")</f>
        <v>N/A</v>
      </c>
      <c r="D88" t="str">
        <f>IFERROR(__xludf.DUMMYFUNCTION("""COMPUTED_VALUE"""),"N/A")</f>
        <v>N/A</v>
      </c>
      <c r="E88" t="str">
        <f>IFERROR(__xludf.DUMMYFUNCTION("""COMPUTED_VALUE"""),"+3000 +")</f>
        <v>+3000 +</v>
      </c>
      <c r="F88" t="str">
        <f>IFERROR(__xludf.DUMMYFUNCTION("""COMPUTED_VALUE"""),"+1800 +")</f>
        <v>+1800 +</v>
      </c>
      <c r="G88" t="str">
        <f>IFERROR(__xludf.DUMMYFUNCTION("""COMPUTED_VALUE"""),"+2800 +")</f>
        <v>+2800 +</v>
      </c>
      <c r="H88" t="str">
        <f>IFERROR(__xludf.DUMMYFUNCTION("""COMPUTED_VALUE"""),"+1750")</f>
        <v>+1750</v>
      </c>
      <c r="I88" t="str">
        <f>IFERROR(__xludf.DUMMYFUNCTION("""COMPUTED_VALUE"""),"+3000 +")</f>
        <v>+3000 +</v>
      </c>
      <c r="J88" t="str">
        <f>IFERROR(__xludf.DUMMYFUNCTION("""COMPUTED_VALUE"""),"N/A")</f>
        <v>N/A</v>
      </c>
      <c r="K88" t="str">
        <f>IFERROR(__xludf.DUMMYFUNCTION("""COMPUTED_VALUE"""),"+3000")</f>
        <v>+3000</v>
      </c>
    </row>
    <row r="89">
      <c r="A89" t="str">
        <f>IFERROR(__xludf.DUMMYFUNCTION("""COMPUTED_VALUE"""),"308 Florida State")</f>
        <v>308 Florida State</v>
      </c>
      <c r="B89">
        <f>IFERROR(__xludf.DUMMYFUNCTION("""COMPUTED_VALUE"""),-10000.0)</f>
        <v>-10000</v>
      </c>
      <c r="C89" t="str">
        <f>IFERROR(__xludf.DUMMYFUNCTION("""COMPUTED_VALUE"""),"N/A")</f>
        <v>N/A</v>
      </c>
      <c r="D89" t="str">
        <f>IFERROR(__xludf.DUMMYFUNCTION("""COMPUTED_VALUE"""),"N/A")</f>
        <v>N/A</v>
      </c>
      <c r="E89" t="str">
        <f>IFERROR(__xludf.DUMMYFUNCTION("""COMPUTED_VALUE"""),"-10000 +")</f>
        <v>-10000 +</v>
      </c>
      <c r="F89" t="str">
        <f>IFERROR(__xludf.DUMMYFUNCTION("""COMPUTED_VALUE"""),"-10000 +")</f>
        <v>-10000 +</v>
      </c>
      <c r="G89" t="str">
        <f>IFERROR(__xludf.DUMMYFUNCTION("""COMPUTED_VALUE"""),"-10000 +")</f>
        <v>-10000 +</v>
      </c>
      <c r="H89">
        <f>IFERROR(__xludf.DUMMYFUNCTION("""COMPUTED_VALUE"""),-8000.0)</f>
        <v>-8000</v>
      </c>
      <c r="I89" t="str">
        <f>IFERROR(__xludf.DUMMYFUNCTION("""COMPUTED_VALUE"""),"-10000 +")</f>
        <v>-10000 +</v>
      </c>
      <c r="J89" t="str">
        <f>IFERROR(__xludf.DUMMYFUNCTION("""COMPUTED_VALUE"""),"N/A")</f>
        <v>N/A</v>
      </c>
      <c r="K89">
        <f>IFERROR(__xludf.DUMMYFUNCTION("""COMPUTED_VALUE"""),-10000.0)</f>
        <v>-10000</v>
      </c>
    </row>
    <row r="90">
      <c r="A90" t="str">
        <f>IFERROR(__xludf.DUMMYFUNCTION("""COMPUTED_VALUE"""),"- Matchup")</f>
        <v>- Matchup</v>
      </c>
    </row>
    <row r="91">
      <c r="B91" t="str">
        <f>IFERROR(__xludf.DUMMYFUNCTION("""COMPUTED_VALUE"""),"Open")</f>
        <v>Open</v>
      </c>
      <c r="C91" t="str">
        <f>IFERROR(__xludf.DUMMYFUNCTION("""COMPUTED_VALUE"""),"›")</f>
        <v>›</v>
      </c>
      <c r="D91" t="str">
        <f>IFERROR(__xludf.DUMMYFUNCTION("""COMPUTED_VALUE"""),"›")</f>
        <v>›</v>
      </c>
      <c r="E91" t="str">
        <f>IFERROR(__xludf.DUMMYFUNCTION("""COMPUTED_VALUE"""),"›")</f>
        <v>›</v>
      </c>
      <c r="F91" t="str">
        <f>IFERROR(__xludf.DUMMYFUNCTION("""COMPUTED_VALUE"""),"›")</f>
        <v>›</v>
      </c>
      <c r="G91" t="str">
        <f>IFERROR(__xludf.DUMMYFUNCTION("""COMPUTED_VALUE"""),"›")</f>
        <v>›</v>
      </c>
      <c r="H91" t="str">
        <f>IFERROR(__xludf.DUMMYFUNCTION("""COMPUTED_VALUE"""),"›")</f>
        <v>›</v>
      </c>
      <c r="I91" t="str">
        <f>IFERROR(__xludf.DUMMYFUNCTION("""COMPUTED_VALUE"""),"›")</f>
        <v>›</v>
      </c>
      <c r="J91" t="str">
        <f>IFERROR(__xludf.DUMMYFUNCTION("""COMPUTED_VALUE"""),"›")</f>
        <v>›</v>
      </c>
    </row>
    <row r="92">
      <c r="A92" t="str">
        <f>IFERROR(__xludf.DUMMYFUNCTION("""COMPUTED_VALUE"""),"311 Hawai'i")</f>
        <v>311 Hawai'i</v>
      </c>
      <c r="B92" t="str">
        <f>IFERROR(__xludf.DUMMYFUNCTION("""COMPUTED_VALUE"""),"+145")</f>
        <v>+145</v>
      </c>
      <c r="C92" t="str">
        <f>IFERROR(__xludf.DUMMYFUNCTION("""COMPUTED_VALUE"""),"+160 +")</f>
        <v>+160 +</v>
      </c>
      <c r="D92" t="str">
        <f>IFERROR(__xludf.DUMMYFUNCTION("""COMPUTED_VALUE"""),"N/A")</f>
        <v>N/A</v>
      </c>
      <c r="E92" t="str">
        <f>IFERROR(__xludf.DUMMYFUNCTION("""COMPUTED_VALUE"""),"+160 +")</f>
        <v>+160 +</v>
      </c>
      <c r="F92" t="str">
        <f>IFERROR(__xludf.DUMMYFUNCTION("""COMPUTED_VALUE"""),"+161 +")</f>
        <v>+161 +</v>
      </c>
      <c r="G92" t="str">
        <f>IFERROR(__xludf.DUMMYFUNCTION("""COMPUTED_VALUE"""),"+162 +")</f>
        <v>+162 +</v>
      </c>
      <c r="H92" t="str">
        <f>IFERROR(__xludf.DUMMYFUNCTION("""COMPUTED_VALUE"""),"+135 +")</f>
        <v>+135 +</v>
      </c>
      <c r="I92" t="str">
        <f>IFERROR(__xludf.DUMMYFUNCTION("""COMPUTED_VALUE"""),"+160 +")</f>
        <v>+160 +</v>
      </c>
      <c r="J92" t="str">
        <f>IFERROR(__xludf.DUMMYFUNCTION("""COMPUTED_VALUE"""),"+155 +")</f>
        <v>+155 +</v>
      </c>
      <c r="K92" t="str">
        <f>IFERROR(__xludf.DUMMYFUNCTION("""COMPUTED_VALUE"""),"+160")</f>
        <v>+160</v>
      </c>
    </row>
    <row r="93">
      <c r="A93" t="str">
        <f>IFERROR(__xludf.DUMMYFUNCTION("""COMPUTED_VALUE"""),"312 Stanford")</f>
        <v>312 Stanford</v>
      </c>
      <c r="B93">
        <f>IFERROR(__xludf.DUMMYFUNCTION("""COMPUTED_VALUE"""),-175.0)</f>
        <v>-175</v>
      </c>
      <c r="C93" t="str">
        <f>IFERROR(__xludf.DUMMYFUNCTION("""COMPUTED_VALUE"""),"-190 +")</f>
        <v>-190 +</v>
      </c>
      <c r="D93" t="str">
        <f>IFERROR(__xludf.DUMMYFUNCTION("""COMPUTED_VALUE"""),"N/A")</f>
        <v>N/A</v>
      </c>
      <c r="E93" t="str">
        <f>IFERROR(__xludf.DUMMYFUNCTION("""COMPUTED_VALUE"""),"-192 +")</f>
        <v>-192 +</v>
      </c>
      <c r="F93" t="str">
        <f>IFERROR(__xludf.DUMMYFUNCTION("""COMPUTED_VALUE"""),"-193 +")</f>
        <v>-193 +</v>
      </c>
      <c r="G93" t="str">
        <f>IFERROR(__xludf.DUMMYFUNCTION("""COMPUTED_VALUE"""),"-196 +")</f>
        <v>-196 +</v>
      </c>
      <c r="H93" t="str">
        <f>IFERROR(__xludf.DUMMYFUNCTION("""COMPUTED_VALUE"""),"-220 +")</f>
        <v>-220 +</v>
      </c>
      <c r="I93" t="str">
        <f>IFERROR(__xludf.DUMMYFUNCTION("""COMPUTED_VALUE"""),"-195 +")</f>
        <v>-195 +</v>
      </c>
      <c r="J93" t="str">
        <f>IFERROR(__xludf.DUMMYFUNCTION("""COMPUTED_VALUE"""),"-195 +")</f>
        <v>-195 +</v>
      </c>
      <c r="K93">
        <f>IFERROR(__xludf.DUMMYFUNCTION("""COMPUTED_VALUE"""),-192.0)</f>
        <v>-192</v>
      </c>
    </row>
    <row r="94">
      <c r="A94" t="str">
        <f>IFERROR(__xludf.DUMMYFUNCTION("""COMPUTED_VALUE"""),"- Matchup")</f>
        <v>- Matchup</v>
      </c>
    </row>
    <row r="95">
      <c r="B95" t="str">
        <f>IFERROR(__xludf.DUMMYFUNCTION("""COMPUTED_VALUE"""),"Open")</f>
        <v>Open</v>
      </c>
      <c r="C95" t="str">
        <f>IFERROR(__xludf.DUMMYFUNCTION("""COMPUTED_VALUE"""),"›")</f>
        <v>›</v>
      </c>
      <c r="D95" t="str">
        <f>IFERROR(__xludf.DUMMYFUNCTION("""COMPUTED_VALUE"""),"›")</f>
        <v>›</v>
      </c>
      <c r="E95" t="str">
        <f>IFERROR(__xludf.DUMMYFUNCTION("""COMPUTED_VALUE"""),"›")</f>
        <v>›</v>
      </c>
      <c r="F95" t="str">
        <f>IFERROR(__xludf.DUMMYFUNCTION("""COMPUTED_VALUE"""),"›")</f>
        <v>›</v>
      </c>
      <c r="G95" t="str">
        <f>IFERROR(__xludf.DUMMYFUNCTION("""COMPUTED_VALUE"""),"›")</f>
        <v>›</v>
      </c>
      <c r="H95" t="str">
        <f>IFERROR(__xludf.DUMMYFUNCTION("""COMPUTED_VALUE"""),"›")</f>
        <v>›</v>
      </c>
      <c r="I95" t="str">
        <f>IFERROR(__xludf.DUMMYFUNCTION("""COMPUTED_VALUE"""),"›")</f>
        <v>›</v>
      </c>
      <c r="J95" t="str">
        <f>IFERROR(__xludf.DUMMYFUNCTION("""COMPUTED_VALUE"""),"›")</f>
        <v>›</v>
      </c>
    </row>
    <row r="96">
      <c r="A96" t="str">
        <f>IFERROR(__xludf.DUMMYFUNCTION("""COMPUTED_VALUE"""),"315 Memphis")</f>
        <v>315 Memphis</v>
      </c>
      <c r="B96" t="str">
        <f>IFERROR(__xludf.DUMMYFUNCTION("""COMPUTED_VALUE"""),"+145")</f>
        <v>+145</v>
      </c>
      <c r="C96" t="str">
        <f>IFERROR(__xludf.DUMMYFUNCTION("""COMPUTED_VALUE"""),"+175 +")</f>
        <v>+175 +</v>
      </c>
      <c r="D96" t="str">
        <f>IFERROR(__xludf.DUMMYFUNCTION("""COMPUTED_VALUE"""),"N/A")</f>
        <v>N/A</v>
      </c>
      <c r="E96" t="str">
        <f>IFERROR(__xludf.DUMMYFUNCTION("""COMPUTED_VALUE"""),"+164 +")</f>
        <v>+164 +</v>
      </c>
      <c r="F96" t="str">
        <f>IFERROR(__xludf.DUMMYFUNCTION("""COMPUTED_VALUE"""),"+178 +")</f>
        <v>+178 +</v>
      </c>
      <c r="G96" t="str">
        <f>IFERROR(__xludf.DUMMYFUNCTION("""COMPUTED_VALUE"""),"+188 +")</f>
        <v>+188 +</v>
      </c>
      <c r="H96" t="str">
        <f>IFERROR(__xludf.DUMMYFUNCTION("""COMPUTED_VALUE"""),"+180 +")</f>
        <v>+180 +</v>
      </c>
      <c r="I96" t="str">
        <f>IFERROR(__xludf.DUMMYFUNCTION("""COMPUTED_VALUE"""),"+175 +")</f>
        <v>+175 +</v>
      </c>
      <c r="J96" t="str">
        <f>IFERROR(__xludf.DUMMYFUNCTION("""COMPUTED_VALUE"""),"+175 +")</f>
        <v>+175 +</v>
      </c>
      <c r="K96" t="str">
        <f>IFERROR(__xludf.DUMMYFUNCTION("""COMPUTED_VALUE"""),"+164")</f>
        <v>+164</v>
      </c>
    </row>
    <row r="97">
      <c r="A97" t="str">
        <f>IFERROR(__xludf.DUMMYFUNCTION("""COMPUTED_VALUE"""),"316 UNLV")</f>
        <v>316 UNLV</v>
      </c>
      <c r="B97">
        <f>IFERROR(__xludf.DUMMYFUNCTION("""COMPUTED_VALUE"""),-175.0)</f>
        <v>-175</v>
      </c>
      <c r="C97" t="str">
        <f>IFERROR(__xludf.DUMMYFUNCTION("""COMPUTED_VALUE"""),"-210 +")</f>
        <v>-210 +</v>
      </c>
      <c r="D97" t="str">
        <f>IFERROR(__xludf.DUMMYFUNCTION("""COMPUTED_VALUE"""),"N/A")</f>
        <v>N/A</v>
      </c>
      <c r="E97" t="str">
        <f>IFERROR(__xludf.DUMMYFUNCTION("""COMPUTED_VALUE"""),"-198 +")</f>
        <v>-198 +</v>
      </c>
      <c r="F97" t="str">
        <f>IFERROR(__xludf.DUMMYFUNCTION("""COMPUTED_VALUE"""),"-215 +")</f>
        <v>-215 +</v>
      </c>
      <c r="G97" t="str">
        <f>IFERROR(__xludf.DUMMYFUNCTION("""COMPUTED_VALUE"""),"-230 +")</f>
        <v>-230 +</v>
      </c>
      <c r="H97" t="str">
        <f>IFERROR(__xludf.DUMMYFUNCTION("""COMPUTED_VALUE"""),"-230 +")</f>
        <v>-230 +</v>
      </c>
      <c r="I97" t="str">
        <f>IFERROR(__xludf.DUMMYFUNCTION("""COMPUTED_VALUE"""),"-215 +")</f>
        <v>-215 +</v>
      </c>
      <c r="J97" t="str">
        <f>IFERROR(__xludf.DUMMYFUNCTION("""COMPUTED_VALUE"""),"-225 +")</f>
        <v>-225 +</v>
      </c>
      <c r="K97">
        <f>IFERROR(__xludf.DUMMYFUNCTION("""COMPUTED_VALUE"""),-198.0)</f>
        <v>-198</v>
      </c>
    </row>
    <row r="98">
      <c r="A98" t="str">
        <f>IFERROR(__xludf.DUMMYFUNCTION("""COMPUTED_VALUE"""),"- Matchup")</f>
        <v>- Matchup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38"/>
    <col customWidth="1" min="3" max="3" width="2.25"/>
    <col customWidth="1" min="4" max="4" width="5.75"/>
    <col customWidth="1" min="5" max="5" width="7.38"/>
    <col customWidth="1" min="6" max="6" width="2.5"/>
    <col customWidth="1" min="7" max="7" width="9.63"/>
    <col customWidth="1" min="8" max="9" width="4.38"/>
    <col customWidth="1" min="10" max="10" width="5.63"/>
    <col customWidth="1" min="11" max="11" width="6.38"/>
    <col customWidth="1" min="12" max="12" width="5.5"/>
    <col customWidth="1" min="13" max="13" width="4.63"/>
    <col customWidth="1" min="14" max="14" width="5.0"/>
    <col customWidth="1" min="15" max="15" width="5.63"/>
    <col customWidth="1" min="16" max="16" width="4.38"/>
    <col customWidth="1" min="17" max="17" width="7.13"/>
    <col customWidth="1" min="19" max="19" width="9.63"/>
    <col customWidth="1" min="20" max="29" width="4.63"/>
  </cols>
  <sheetData>
    <row r="1">
      <c r="A1" s="1" t="s">
        <v>210</v>
      </c>
      <c r="B1" s="1" t="s">
        <v>211</v>
      </c>
      <c r="D1" s="1" t="s">
        <v>212</v>
      </c>
      <c r="E1" s="1" t="s">
        <v>211</v>
      </c>
    </row>
    <row r="2">
      <c r="A2" t="s">
        <v>11</v>
      </c>
      <c r="B2" s="55" t="str">
        <f>AVERAGEIF(DraftTracker!E:E,A2,DraftTracker!L:L)</f>
        <v>#DIV/0!</v>
      </c>
      <c r="D2" s="1">
        <v>1.0</v>
      </c>
      <c r="E2" s="55" t="str">
        <f>AVERAGEIF(DraftTracker!A:A,D2,DraftTracker!L:L)</f>
        <v>#DIV/0!</v>
      </c>
    </row>
    <row r="3">
      <c r="A3" t="s">
        <v>15</v>
      </c>
      <c r="B3" s="55" t="str">
        <f>AVERAGEIF(DraftTracker!E:E,A3,DraftTracker!L:L)</f>
        <v>#DIV/0!</v>
      </c>
      <c r="D3" s="1">
        <v>2.0</v>
      </c>
      <c r="E3" s="55" t="str">
        <f>AVERAGEIF(DraftTracker!A:A,D3,DraftTracker!L:L)</f>
        <v>#DIV/0!</v>
      </c>
    </row>
    <row r="4">
      <c r="A4" t="s">
        <v>17</v>
      </c>
      <c r="B4" s="55" t="str">
        <f>AVERAGEIF(DraftTracker!E:E,A4,DraftTracker!L:L)</f>
        <v>#DIV/0!</v>
      </c>
      <c r="D4" s="1">
        <v>3.0</v>
      </c>
      <c r="E4" s="55" t="str">
        <f>AVERAGEIF(DraftTracker!A:A,D4,DraftTracker!L:L)</f>
        <v>#DIV/0!</v>
      </c>
    </row>
    <row r="5">
      <c r="A5" t="s">
        <v>19</v>
      </c>
      <c r="B5" s="55" t="str">
        <f>AVERAGEIF(DraftTracker!E:E,A5,DraftTracker!L:L)</f>
        <v>#DIV/0!</v>
      </c>
      <c r="D5" s="1">
        <v>4.0</v>
      </c>
      <c r="E5" s="55" t="str">
        <f>AVERAGEIF(DraftTracker!A:A,D5,DraftTracker!L:L)</f>
        <v>#DIV/0!</v>
      </c>
    </row>
    <row r="6">
      <c r="A6" t="s">
        <v>20</v>
      </c>
      <c r="B6" s="55" t="str">
        <f>AVERAGEIF(DraftTracker!E:E,A6,DraftTracker!L:L)</f>
        <v>#DIV/0!</v>
      </c>
      <c r="D6" s="1">
        <v>5.0</v>
      </c>
      <c r="E6" s="55" t="str">
        <f>AVERAGEIF(DraftTracker!A:A,D6,DraftTracker!L:L)</f>
        <v>#DIV/0!</v>
      </c>
    </row>
    <row r="7">
      <c r="A7" t="s">
        <v>22</v>
      </c>
      <c r="B7" s="55" t="str">
        <f>AVERAGEIF(DraftTracker!E:E,A7,DraftTracker!L:L)</f>
        <v>#DIV/0!</v>
      </c>
      <c r="D7" s="1">
        <v>6.0</v>
      </c>
      <c r="E7" s="55" t="str">
        <f>AVERAGEIF(DraftTracker!A:A,D7,DraftTracker!L:L)</f>
        <v>#DIV/0!</v>
      </c>
    </row>
    <row r="8">
      <c r="A8" t="s">
        <v>24</v>
      </c>
      <c r="B8" s="55" t="str">
        <f>AVERAGEIF(DraftTracker!E:E,A8,DraftTracker!L:L)</f>
        <v>#DIV/0!</v>
      </c>
      <c r="D8" s="1">
        <v>7.0</v>
      </c>
      <c r="E8" s="55" t="str">
        <f>AVERAGEIF(DraftTracker!A:A,D8,DraftTracker!L:L)</f>
        <v>#DIV/0!</v>
      </c>
    </row>
    <row r="9">
      <c r="A9" t="s">
        <v>26</v>
      </c>
      <c r="B9" s="55" t="str">
        <f>AVERAGEIF(DraftTracker!E:E,A9,DraftTracker!L:L)</f>
        <v>#DIV/0!</v>
      </c>
      <c r="D9" s="1">
        <v>8.0</v>
      </c>
      <c r="E9" s="55" t="str">
        <f>AVERAGEIF(DraftTracker!A:A,D9,DraftTracker!L:L)</f>
        <v>#DIV/0!</v>
      </c>
    </row>
    <row r="10">
      <c r="A10" t="s">
        <v>28</v>
      </c>
      <c r="B10" s="55" t="str">
        <f>AVERAGEIF(DraftTracker!E:E,A10,DraftTracker!L:L)</f>
        <v>#DIV/0!</v>
      </c>
      <c r="D10" s="1">
        <v>9.0</v>
      </c>
      <c r="E10" s="55" t="str">
        <f>AVERAGEIF(DraftTracker!A:A,D10,DraftTracker!L:L)</f>
        <v>#DIV/0!</v>
      </c>
    </row>
    <row r="11">
      <c r="A11" t="s">
        <v>30</v>
      </c>
      <c r="B11" s="55" t="str">
        <f>AVERAGEIF(DraftTracker!E:E,A11,DraftTracker!L:L)</f>
        <v>#DIV/0!</v>
      </c>
      <c r="D11" s="1">
        <v>10.0</v>
      </c>
      <c r="E11" s="55" t="str">
        <f>AVERAGEIF(DraftTracker!A:A,D11,DraftTracker!L:L)</f>
        <v>#DIV/0!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5"/>
    <col customWidth="1" min="2" max="2" width="7.88"/>
    <col customWidth="1" min="3" max="3" width="7.75"/>
    <col customWidth="1" min="4" max="4" width="7.88"/>
    <col customWidth="1" min="5" max="5" width="9.0"/>
    <col customWidth="1" min="6" max="6" width="5.88"/>
    <col customWidth="1" min="7" max="7" width="18.63"/>
    <col customWidth="1" min="8" max="10" width="12.63"/>
  </cols>
  <sheetData>
    <row r="1">
      <c r="A1" s="57" t="str">
        <f>HYPERLINK("https://docs.google.com/document/d/1-e84tTr9zFoIfOR2Z7Z-1lI4YO7v6GoaThMqj1UrcXE/edit","Rules")</f>
        <v>Rules</v>
      </c>
      <c r="B1" s="58" t="s">
        <v>213</v>
      </c>
      <c r="C1" s="59"/>
      <c r="D1" s="60" t="s">
        <v>214</v>
      </c>
      <c r="E1" s="61"/>
      <c r="F1" s="61"/>
      <c r="G1" s="61"/>
      <c r="H1" s="61"/>
      <c r="I1" s="59"/>
      <c r="J1" s="62" t="s">
        <v>216</v>
      </c>
    </row>
    <row r="2">
      <c r="A2" s="63" t="s">
        <v>0</v>
      </c>
      <c r="B2" s="64" t="s">
        <v>217</v>
      </c>
      <c r="C2" s="65" t="s">
        <v>218</v>
      </c>
      <c r="D2" s="66" t="s">
        <v>219</v>
      </c>
      <c r="E2" s="67" t="s">
        <v>220</v>
      </c>
      <c r="F2" s="67" t="s">
        <v>217</v>
      </c>
      <c r="G2" s="68" t="s">
        <v>221</v>
      </c>
      <c r="H2" s="69" t="s">
        <v>222</v>
      </c>
      <c r="I2" s="70" t="s">
        <v>223</v>
      </c>
      <c r="J2" s="71"/>
    </row>
    <row r="3">
      <c r="A3" s="72" t="str">
        <f t="array" ref="A3:J14">sort(A17:J28,2,false,3,true)</f>
        <v>Jeannine</v>
      </c>
      <c r="B3" s="73">
        <v>77.0</v>
      </c>
      <c r="C3" s="74">
        <v>43.0</v>
      </c>
      <c r="D3" s="72">
        <v>3.0</v>
      </c>
      <c r="E3" s="75">
        <v>0.0</v>
      </c>
      <c r="F3" s="75">
        <v>0.0</v>
      </c>
      <c r="G3" s="72">
        <v>1.0</v>
      </c>
      <c r="H3" s="75">
        <v>0.0</v>
      </c>
      <c r="I3" s="76">
        <v>0.0</v>
      </c>
      <c r="J3" s="77">
        <v>78.0</v>
      </c>
    </row>
    <row r="4">
      <c r="A4" s="72" t="s">
        <v>58</v>
      </c>
      <c r="B4" s="73">
        <v>76.0</v>
      </c>
      <c r="C4" s="74">
        <v>44.0</v>
      </c>
      <c r="D4" s="72">
        <v>3.0</v>
      </c>
      <c r="E4" s="75">
        <v>0.0</v>
      </c>
      <c r="F4" s="75">
        <v>0.0</v>
      </c>
      <c r="G4" s="72">
        <v>1.0</v>
      </c>
      <c r="H4" s="75">
        <v>0.0</v>
      </c>
      <c r="I4" s="76">
        <v>0.0</v>
      </c>
      <c r="J4" s="77">
        <v>77.0</v>
      </c>
    </row>
    <row r="5">
      <c r="A5" s="72" t="s">
        <v>69</v>
      </c>
      <c r="B5" s="73">
        <v>70.0</v>
      </c>
      <c r="C5" s="74">
        <v>50.0</v>
      </c>
      <c r="D5" s="72">
        <v>2.0</v>
      </c>
      <c r="E5" s="75">
        <v>0.0</v>
      </c>
      <c r="F5" s="75">
        <v>0.0</v>
      </c>
      <c r="G5" s="72">
        <v>2.0</v>
      </c>
      <c r="H5" s="75">
        <v>0.0</v>
      </c>
      <c r="I5" s="76">
        <v>0.0</v>
      </c>
      <c r="J5" s="77">
        <v>72.0</v>
      </c>
    </row>
    <row r="6">
      <c r="A6" s="72" t="s">
        <v>74</v>
      </c>
      <c r="B6" s="73">
        <v>68.0</v>
      </c>
      <c r="C6" s="74">
        <v>52.0</v>
      </c>
      <c r="D6" s="72">
        <v>3.0</v>
      </c>
      <c r="E6" s="75">
        <v>0.0</v>
      </c>
      <c r="F6" s="75">
        <v>0.0</v>
      </c>
      <c r="G6" s="72">
        <v>3.0</v>
      </c>
      <c r="H6" s="75">
        <v>0.0</v>
      </c>
      <c r="I6" s="76">
        <v>0.0</v>
      </c>
      <c r="J6" s="77">
        <v>71.0</v>
      </c>
    </row>
    <row r="7">
      <c r="A7" s="72" t="s">
        <v>64</v>
      </c>
      <c r="B7" s="73">
        <v>67.0</v>
      </c>
      <c r="C7" s="74">
        <v>54.0</v>
      </c>
      <c r="D7" s="72">
        <v>1.0</v>
      </c>
      <c r="E7" s="75">
        <v>0.0</v>
      </c>
      <c r="F7" s="75">
        <v>0.0</v>
      </c>
      <c r="G7" s="72">
        <v>1.0</v>
      </c>
      <c r="H7" s="75">
        <v>0.0</v>
      </c>
      <c r="I7" s="76">
        <v>0.0</v>
      </c>
      <c r="J7" s="77">
        <v>68.0</v>
      </c>
    </row>
    <row r="8">
      <c r="A8" s="72" t="s">
        <v>44</v>
      </c>
      <c r="B8" s="73">
        <v>66.0</v>
      </c>
      <c r="C8" s="74">
        <v>54.0</v>
      </c>
      <c r="D8" s="72">
        <v>3.0</v>
      </c>
      <c r="E8" s="75">
        <v>0.0</v>
      </c>
      <c r="F8" s="75">
        <v>0.0</v>
      </c>
      <c r="G8" s="72">
        <v>2.0</v>
      </c>
      <c r="H8" s="75">
        <v>0.0</v>
      </c>
      <c r="I8" s="76">
        <v>0.0</v>
      </c>
      <c r="J8" s="77">
        <v>68.0</v>
      </c>
    </row>
    <row r="9">
      <c r="A9" s="72" t="s">
        <v>60</v>
      </c>
      <c r="B9" s="73">
        <v>65.0</v>
      </c>
      <c r="C9" s="74">
        <v>55.0</v>
      </c>
      <c r="D9" s="72">
        <v>0.0</v>
      </c>
      <c r="E9" s="75">
        <v>0.0</v>
      </c>
      <c r="F9" s="75">
        <v>0.0</v>
      </c>
      <c r="G9" s="72">
        <v>0.0</v>
      </c>
      <c r="H9" s="75">
        <v>0.0</v>
      </c>
      <c r="I9" s="76">
        <v>0.0</v>
      </c>
      <c r="J9" s="77">
        <v>65.0</v>
      </c>
    </row>
    <row r="10">
      <c r="A10" s="72" t="s">
        <v>62</v>
      </c>
      <c r="B10" s="73">
        <v>64.0</v>
      </c>
      <c r="C10" s="74">
        <v>57.0</v>
      </c>
      <c r="D10" s="72">
        <v>2.0</v>
      </c>
      <c r="E10" s="75">
        <v>0.0</v>
      </c>
      <c r="F10" s="75">
        <v>0.0</v>
      </c>
      <c r="G10" s="72">
        <v>0.0</v>
      </c>
      <c r="H10" s="75">
        <v>0.0</v>
      </c>
      <c r="I10" s="76">
        <v>0.0</v>
      </c>
      <c r="J10" s="77">
        <v>64.0</v>
      </c>
    </row>
    <row r="11">
      <c r="A11" s="78" t="s">
        <v>27</v>
      </c>
      <c r="B11" s="73">
        <v>62.0</v>
      </c>
      <c r="C11" s="74">
        <v>58.0</v>
      </c>
      <c r="D11" s="72">
        <v>0.0</v>
      </c>
      <c r="E11" s="75">
        <v>0.0</v>
      </c>
      <c r="F11" s="75">
        <v>0.0</v>
      </c>
      <c r="G11" s="72">
        <v>0.0</v>
      </c>
      <c r="H11" s="75">
        <v>0.0</v>
      </c>
      <c r="I11" s="76">
        <v>0.0</v>
      </c>
      <c r="J11" s="77">
        <v>62.0</v>
      </c>
    </row>
    <row r="12">
      <c r="A12" s="78" t="s">
        <v>38</v>
      </c>
      <c r="B12" s="73">
        <v>62.0</v>
      </c>
      <c r="C12" s="74">
        <v>58.0</v>
      </c>
      <c r="D12" s="72">
        <v>2.0</v>
      </c>
      <c r="E12" s="75">
        <v>0.0</v>
      </c>
      <c r="F12" s="75">
        <v>0.0</v>
      </c>
      <c r="G12" s="72">
        <v>2.0</v>
      </c>
      <c r="H12" s="75">
        <v>0.0</v>
      </c>
      <c r="I12" s="76">
        <v>0.0</v>
      </c>
      <c r="J12" s="77">
        <v>64.0</v>
      </c>
    </row>
    <row r="13">
      <c r="A13" s="78" t="s">
        <v>41</v>
      </c>
      <c r="B13" s="73">
        <v>57.0</v>
      </c>
      <c r="C13" s="74">
        <v>55.0</v>
      </c>
      <c r="D13" s="72">
        <v>1.0</v>
      </c>
      <c r="E13" s="75">
        <v>0.0</v>
      </c>
      <c r="F13" s="75">
        <v>0.0</v>
      </c>
      <c r="G13" s="72">
        <v>0.0</v>
      </c>
      <c r="H13" s="75">
        <v>0.0</v>
      </c>
      <c r="I13" s="76">
        <v>0.0</v>
      </c>
      <c r="J13" s="77">
        <v>57.0</v>
      </c>
    </row>
    <row r="14">
      <c r="A14" s="79" t="s">
        <v>48</v>
      </c>
      <c r="B14" s="80">
        <v>52.0</v>
      </c>
      <c r="C14" s="81">
        <v>60.0</v>
      </c>
      <c r="D14" s="82">
        <v>2.0</v>
      </c>
      <c r="E14" s="83">
        <v>0.0</v>
      </c>
      <c r="F14" s="83">
        <v>0.0</v>
      </c>
      <c r="G14" s="82">
        <v>0.0</v>
      </c>
      <c r="H14" s="83">
        <v>0.0</v>
      </c>
      <c r="I14" s="84">
        <v>0.0</v>
      </c>
      <c r="J14" s="85">
        <v>52.0</v>
      </c>
    </row>
    <row r="15" hidden="1">
      <c r="A15" s="86"/>
      <c r="B15" s="87"/>
      <c r="C15" s="86"/>
      <c r="D15" s="87"/>
      <c r="E15" s="86"/>
      <c r="F15" s="86"/>
      <c r="G15" s="86"/>
      <c r="H15" s="86"/>
      <c r="I15" s="88"/>
      <c r="J15" s="88"/>
    </row>
    <row r="16" hidden="1">
      <c r="A16" s="89">
        <v>50603.0</v>
      </c>
      <c r="B16" s="90"/>
      <c r="C16" s="89">
        <v>0.0</v>
      </c>
      <c r="D16" s="87"/>
      <c r="E16" s="86"/>
      <c r="F16" s="86"/>
      <c r="G16" s="86"/>
      <c r="H16" s="86"/>
      <c r="I16" s="88"/>
      <c r="J16" s="88"/>
    </row>
    <row r="17" hidden="1">
      <c r="A17" s="89" t="s">
        <v>27</v>
      </c>
      <c r="B17" s="91">
        <f>sumif('Current Week'!$A:$A,$A17,'Current Week'!C:C)</f>
        <v>62</v>
      </c>
      <c r="C17" s="92">
        <f>sumif('Current Week'!$A:$A,$A17,'Current Week'!D:D)</f>
        <v>58</v>
      </c>
      <c r="D17" s="87">
        <f>10-countifs('Current Week'!F:F,"BYE",'Current Week'!A:A,A17)</f>
        <v>0</v>
      </c>
      <c r="E17" s="86">
        <f>IFERROR(__xludf.DUMMYFUNCTION("sum(arrayformula(if(iserror(find(""FINAL"",filter('Current Week'!G:G,'Current Week'!A:A=A17))),0,1)))"),0.0)</f>
        <v>0</v>
      </c>
      <c r="F17" s="86">
        <f>sumif('projected wins work'!A:A,A17,'projected wins work'!M:M)</f>
        <v>0</v>
      </c>
      <c r="G17">
        <f>sumif('projected wins work'!A:A,A17,'projected wins work'!F:F)</f>
        <v>0</v>
      </c>
      <c r="H17">
        <f>sumif('projected wins work'!A:A,A17,'projected wins work'!K:K)</f>
        <v>0</v>
      </c>
      <c r="I17">
        <f>sumif('projected wins work'!A:A,A17,'projected wins work'!L:L)</f>
        <v>0</v>
      </c>
      <c r="J17" s="94">
        <f t="shared" ref="J17:J28" si="1">G17-I17-(F17-H17)+B17</f>
        <v>62</v>
      </c>
    </row>
    <row r="18" hidden="1">
      <c r="A18" s="95" t="s">
        <v>38</v>
      </c>
      <c r="B18" s="91">
        <f>sumif('Current Week'!$A:$A,$A18,'Current Week'!C:C)</f>
        <v>62</v>
      </c>
      <c r="C18" s="92">
        <f>sumif('Current Week'!$A:$A,$A18,'Current Week'!D:D)</f>
        <v>58</v>
      </c>
      <c r="D18" s="87">
        <f>10-countifs('Current Week'!F:F,"BYE",'Current Week'!A:A,A18)</f>
        <v>2</v>
      </c>
      <c r="E18" s="86">
        <f>IFERROR(__xludf.DUMMYFUNCTION("sum(arrayformula(if(iserror(find(""FINAL"",filter('Current Week'!G:G,'Current Week'!A:A=A18))),0,1)))"),0.0)</f>
        <v>0</v>
      </c>
      <c r="F18" s="86">
        <f>sumif('projected wins work'!A:A,A18,'projected wins work'!M:M)</f>
        <v>0</v>
      </c>
      <c r="G18">
        <f>sumif('projected wins work'!A:A,A18,'projected wins work'!F:F)</f>
        <v>2</v>
      </c>
      <c r="H18">
        <f>sumif('projected wins work'!A:A,A18,'projected wins work'!K:K)</f>
        <v>0</v>
      </c>
      <c r="I18">
        <f>sumif('projected wins work'!A:A,A18,'projected wins work'!L:L)</f>
        <v>0</v>
      </c>
      <c r="J18" s="94">
        <f t="shared" si="1"/>
        <v>64</v>
      </c>
    </row>
    <row r="19" hidden="1">
      <c r="A19" s="95" t="s">
        <v>41</v>
      </c>
      <c r="B19" s="91">
        <f>sumif('Current Week'!$A:$A,$A19,'Current Week'!C:C)</f>
        <v>57</v>
      </c>
      <c r="C19" s="92">
        <f>sumif('Current Week'!$A:$A,$A19,'Current Week'!D:D)</f>
        <v>55</v>
      </c>
      <c r="D19" s="87">
        <f>10-countifs('Current Week'!F:F,"BYE",'Current Week'!A:A,A19)</f>
        <v>1</v>
      </c>
      <c r="E19" s="86">
        <f>IFERROR(__xludf.DUMMYFUNCTION("sum(arrayformula(if(iserror(find(""FINAL"",filter('Current Week'!G:G,'Current Week'!A:A=A19))),0,1)))"),0.0)</f>
        <v>0</v>
      </c>
      <c r="F19" s="86">
        <f>sumif('projected wins work'!A:A,A19,'projected wins work'!M:M)</f>
        <v>0</v>
      </c>
      <c r="G19">
        <f>sumif('projected wins work'!A:A,A19,'projected wins work'!F:F)</f>
        <v>0</v>
      </c>
      <c r="H19">
        <f>sumif('projected wins work'!A:A,A19,'projected wins work'!K:K)</f>
        <v>0</v>
      </c>
      <c r="I19">
        <f>sumif('projected wins work'!A:A,A19,'projected wins work'!L:L)</f>
        <v>0</v>
      </c>
      <c r="J19" s="94">
        <f t="shared" si="1"/>
        <v>57</v>
      </c>
    </row>
    <row r="20" hidden="1">
      <c r="A20" s="95" t="s">
        <v>44</v>
      </c>
      <c r="B20" s="91">
        <f>sumif('Current Week'!$A:$A,$A20,'Current Week'!C:C)</f>
        <v>66</v>
      </c>
      <c r="C20" s="92">
        <f>sumif('Current Week'!$A:$A,$A20,'Current Week'!D:D)</f>
        <v>54</v>
      </c>
      <c r="D20" s="87">
        <f>10-countifs('Current Week'!F:F,"BYE",'Current Week'!A:A,A20)</f>
        <v>3</v>
      </c>
      <c r="E20" s="86">
        <f>IFERROR(__xludf.DUMMYFUNCTION("sum(arrayformula(if(iserror(find(""FINAL"",filter('Current Week'!G:G,'Current Week'!A:A=A20))),0,1)))"),0.0)</f>
        <v>0</v>
      </c>
      <c r="F20" s="86">
        <f>sumif('projected wins work'!A:A,A20,'projected wins work'!M:M)</f>
        <v>0</v>
      </c>
      <c r="G20">
        <f>sumif('projected wins work'!A:A,A20,'projected wins work'!F:F)</f>
        <v>2</v>
      </c>
      <c r="H20">
        <f>sumif('projected wins work'!A:A,A20,'projected wins work'!K:K)</f>
        <v>0</v>
      </c>
      <c r="I20">
        <f>sumif('projected wins work'!A:A,A20,'projected wins work'!L:L)</f>
        <v>0</v>
      </c>
      <c r="J20" s="94">
        <f t="shared" si="1"/>
        <v>68</v>
      </c>
    </row>
    <row r="21" hidden="1">
      <c r="A21" s="95" t="s">
        <v>48</v>
      </c>
      <c r="B21" s="91">
        <f>sumif('Current Week'!$A:$A,$A21,'Current Week'!C:C)</f>
        <v>52</v>
      </c>
      <c r="C21" s="92">
        <f>sumif('Current Week'!$A:$A,$A21,'Current Week'!D:D)</f>
        <v>60</v>
      </c>
      <c r="D21" s="87">
        <f>10-countifs('Current Week'!F:F,"BYE",'Current Week'!A:A,A21)</f>
        <v>2</v>
      </c>
      <c r="E21" s="86">
        <f>IFERROR(__xludf.DUMMYFUNCTION("sum(arrayformula(if(iserror(find(""FINAL"",filter('Current Week'!G:G,'Current Week'!A:A=A21))),0,1)))"),0.0)</f>
        <v>0</v>
      </c>
      <c r="F21" s="86">
        <f>sumif('projected wins work'!A:A,A21,'projected wins work'!M:M)</f>
        <v>0</v>
      </c>
      <c r="G21">
        <f>sumif('projected wins work'!A:A,A21,'projected wins work'!F:F)</f>
        <v>0</v>
      </c>
      <c r="H21">
        <f>sumif('projected wins work'!A:A,A21,'projected wins work'!K:K)</f>
        <v>0</v>
      </c>
      <c r="I21">
        <f>sumif('projected wins work'!A:A,A21,'projected wins work'!L:L)</f>
        <v>0</v>
      </c>
      <c r="J21" s="94">
        <f t="shared" si="1"/>
        <v>52</v>
      </c>
    </row>
    <row r="22" hidden="1">
      <c r="A22" s="95" t="s">
        <v>53</v>
      </c>
      <c r="B22" s="91">
        <f>sumif('Current Week'!$A:$A,$A22,'Current Week'!C:C)</f>
        <v>77</v>
      </c>
      <c r="C22" s="92">
        <f>sumif('Current Week'!$A:$A,$A22,'Current Week'!D:D)</f>
        <v>43</v>
      </c>
      <c r="D22" s="87">
        <f>10-countifs('Current Week'!F:F,"BYE",'Current Week'!A:A,A22)</f>
        <v>3</v>
      </c>
      <c r="E22" s="86">
        <f>IFERROR(__xludf.DUMMYFUNCTION("sum(arrayformula(if(iserror(find(""FINAL"",filter('Current Week'!G:G,'Current Week'!A:A=A22))),0,1)))"),0.0)</f>
        <v>0</v>
      </c>
      <c r="F22" s="86">
        <f>sumif('projected wins work'!A:A,A22,'projected wins work'!M:M)</f>
        <v>0</v>
      </c>
      <c r="G22">
        <f>sumif('projected wins work'!A:A,A22,'projected wins work'!F:F)</f>
        <v>1</v>
      </c>
      <c r="H22">
        <f>sumif('projected wins work'!A:A,A22,'projected wins work'!K:K)</f>
        <v>0</v>
      </c>
      <c r="I22">
        <f>sumif('projected wins work'!A:A,A22,'projected wins work'!L:L)</f>
        <v>0</v>
      </c>
      <c r="J22" s="94">
        <f t="shared" si="1"/>
        <v>78</v>
      </c>
    </row>
    <row r="23" hidden="1">
      <c r="A23" s="95" t="s">
        <v>58</v>
      </c>
      <c r="B23" s="91">
        <f>sumif('Current Week'!$A:$A,$A23,'Current Week'!C:C)</f>
        <v>76</v>
      </c>
      <c r="C23" s="92">
        <f>sumif('Current Week'!$A:$A,$A23,'Current Week'!D:D)</f>
        <v>44</v>
      </c>
      <c r="D23" s="87">
        <f>10-countifs('Current Week'!F:F,"BYE",'Current Week'!A:A,A23)</f>
        <v>3</v>
      </c>
      <c r="E23" s="86">
        <f>IFERROR(__xludf.DUMMYFUNCTION("sum(arrayformula(if(iserror(find(""FINAL"",filter('Current Week'!G:G,'Current Week'!A:A=A23))),0,1)))"),0.0)</f>
        <v>0</v>
      </c>
      <c r="F23" s="86">
        <f>sumif('projected wins work'!A:A,A23,'projected wins work'!M:M)</f>
        <v>0</v>
      </c>
      <c r="G23">
        <f>sumif('projected wins work'!A:A,A23,'projected wins work'!F:F)</f>
        <v>1</v>
      </c>
      <c r="H23">
        <f>sumif('projected wins work'!A:A,A23,'projected wins work'!K:K)</f>
        <v>0</v>
      </c>
      <c r="I23">
        <f>sumif('projected wins work'!A:A,A23,'projected wins work'!L:L)</f>
        <v>0</v>
      </c>
      <c r="J23" s="94">
        <f t="shared" si="1"/>
        <v>77</v>
      </c>
    </row>
    <row r="24" hidden="1">
      <c r="A24" s="95" t="s">
        <v>60</v>
      </c>
      <c r="B24" s="91">
        <f>sumif('Current Week'!$A:$A,$A24,'Current Week'!C:C)</f>
        <v>65</v>
      </c>
      <c r="C24" s="92">
        <f>sumif('Current Week'!$A:$A,$A24,'Current Week'!D:D)</f>
        <v>55</v>
      </c>
      <c r="D24" s="87">
        <f>10-countifs('Current Week'!F:F,"BYE",'Current Week'!A:A,A24)</f>
        <v>0</v>
      </c>
      <c r="E24" s="86">
        <f>IFERROR(__xludf.DUMMYFUNCTION("sum(arrayformula(if(iserror(find(""FINAL"",filter('Current Week'!G:G,'Current Week'!A:A=A24))),0,1)))"),0.0)</f>
        <v>0</v>
      </c>
      <c r="F24" s="86">
        <f>sumif('projected wins work'!A:A,A24,'projected wins work'!M:M)</f>
        <v>0</v>
      </c>
      <c r="G24">
        <f>sumif('projected wins work'!A:A,A24,'projected wins work'!F:F)</f>
        <v>0</v>
      </c>
      <c r="H24">
        <f>sumif('projected wins work'!A:A,A24,'projected wins work'!K:K)</f>
        <v>0</v>
      </c>
      <c r="I24">
        <f>sumif('projected wins work'!A:A,A24,'projected wins work'!L:L)</f>
        <v>0</v>
      </c>
      <c r="J24" s="94">
        <f t="shared" si="1"/>
        <v>65</v>
      </c>
    </row>
    <row r="25" hidden="1">
      <c r="A25" s="89" t="s">
        <v>62</v>
      </c>
      <c r="B25" s="91">
        <f>sumif('Current Week'!$A:$A,$A25,'Current Week'!C:C)</f>
        <v>64</v>
      </c>
      <c r="C25" s="92">
        <f>sumif('Current Week'!$A:$A,$A25,'Current Week'!D:D)</f>
        <v>57</v>
      </c>
      <c r="D25" s="87">
        <f>10-countifs('Current Week'!F:F,"BYE",'Current Week'!A:A,A25)</f>
        <v>2</v>
      </c>
      <c r="E25" s="86">
        <f>IFERROR(__xludf.DUMMYFUNCTION("sum(arrayformula(if(iserror(find(""FINAL"",filter('Current Week'!G:G,'Current Week'!A:A=A25))),0,1)))"),0.0)</f>
        <v>0</v>
      </c>
      <c r="F25" s="86">
        <f>sumif('projected wins work'!A:A,A25,'projected wins work'!M:M)</f>
        <v>0</v>
      </c>
      <c r="G25">
        <f>sumif('projected wins work'!A:A,A25,'projected wins work'!F:F)</f>
        <v>0</v>
      </c>
      <c r="H25">
        <f>sumif('projected wins work'!A:A,A25,'projected wins work'!K:K)</f>
        <v>0</v>
      </c>
      <c r="I25">
        <f>sumif('projected wins work'!A:A,A25,'projected wins work'!L:L)</f>
        <v>0</v>
      </c>
      <c r="J25" s="94">
        <f t="shared" si="1"/>
        <v>64</v>
      </c>
    </row>
    <row r="26" hidden="1">
      <c r="A26" s="89" t="s">
        <v>64</v>
      </c>
      <c r="B26" s="91">
        <f>sumif('Current Week'!$A:$A,$A26,'Current Week'!C:C)</f>
        <v>67</v>
      </c>
      <c r="C26" s="92">
        <f>sumif('Current Week'!$A:$A,$A26,'Current Week'!D:D)</f>
        <v>54</v>
      </c>
      <c r="D26" s="87">
        <f>10-countifs('Current Week'!F:F,"BYE",'Current Week'!A:A,A26)</f>
        <v>1</v>
      </c>
      <c r="E26" s="86">
        <f>IFERROR(__xludf.DUMMYFUNCTION("sum(arrayformula(if(iserror(find(""FINAL"",filter('Current Week'!G:G,'Current Week'!A:A=A26))),0,1)))"),0.0)</f>
        <v>0</v>
      </c>
      <c r="F26" s="86">
        <f>sumif('projected wins work'!A:A,A26,'projected wins work'!M:M)</f>
        <v>0</v>
      </c>
      <c r="G26">
        <f>sumif('projected wins work'!A:A,A26,'projected wins work'!F:F)</f>
        <v>1</v>
      </c>
      <c r="H26">
        <f>sumif('projected wins work'!A:A,A26,'projected wins work'!K:K)</f>
        <v>0</v>
      </c>
      <c r="I26">
        <f>sumif('projected wins work'!A:A,A26,'projected wins work'!L:L)</f>
        <v>0</v>
      </c>
      <c r="J26" s="94">
        <f t="shared" si="1"/>
        <v>68</v>
      </c>
    </row>
    <row r="27" hidden="1">
      <c r="A27" s="95" t="s">
        <v>69</v>
      </c>
      <c r="B27" s="91">
        <f>sumif('Current Week'!$A:$A,$A27,'Current Week'!C:C)</f>
        <v>70</v>
      </c>
      <c r="C27" s="92">
        <f>sumif('Current Week'!$A:$A,$A27,'Current Week'!D:D)</f>
        <v>50</v>
      </c>
      <c r="D27" s="87">
        <f>10-countifs('Current Week'!F:F,"BYE",'Current Week'!A:A,A27)</f>
        <v>2</v>
      </c>
      <c r="E27" s="86">
        <f>IFERROR(__xludf.DUMMYFUNCTION("sum(arrayformula(if(iserror(find(""FINAL"",filter('Current Week'!G:G,'Current Week'!A:A=A27))),0,1)))"),0.0)</f>
        <v>0</v>
      </c>
      <c r="F27" s="86">
        <f>sumif('projected wins work'!A:A,A27,'projected wins work'!M:M)</f>
        <v>0</v>
      </c>
      <c r="G27">
        <f>sumif('projected wins work'!A:A,A27,'projected wins work'!F:F)</f>
        <v>2</v>
      </c>
      <c r="H27">
        <f>sumif('projected wins work'!A:A,A27,'projected wins work'!K:K)</f>
        <v>0</v>
      </c>
      <c r="I27">
        <f>sumif('projected wins work'!A:A,A27,'projected wins work'!L:L)</f>
        <v>0</v>
      </c>
      <c r="J27" s="94">
        <f t="shared" si="1"/>
        <v>72</v>
      </c>
    </row>
    <row r="28" hidden="1">
      <c r="A28" s="95" t="s">
        <v>74</v>
      </c>
      <c r="B28" s="91">
        <f>sumif('Current Week'!$A:$A,$A28,'Current Week'!C:C)</f>
        <v>68</v>
      </c>
      <c r="C28" s="92">
        <f>sumif('Current Week'!$A:$A,$A28,'Current Week'!D:D)</f>
        <v>52</v>
      </c>
      <c r="D28" s="87">
        <f>10-countifs('Current Week'!F:F,"BYE",'Current Week'!A:A,A28)</f>
        <v>3</v>
      </c>
      <c r="E28" s="86">
        <f>IFERROR(__xludf.DUMMYFUNCTION("sum(arrayformula(if(iserror(find(""FINAL"",filter('Current Week'!G:G,'Current Week'!A:A=A28))),0,1)))"),0.0)</f>
        <v>0</v>
      </c>
      <c r="F28" s="86">
        <f>sumif('projected wins work'!A:A,A28,'projected wins work'!M:M)</f>
        <v>0</v>
      </c>
      <c r="G28">
        <f>sumif('projected wins work'!A:A,A28,'projected wins work'!F:F)</f>
        <v>3</v>
      </c>
      <c r="H28">
        <f>sumif('projected wins work'!A:A,A28,'projected wins work'!K:K)</f>
        <v>0</v>
      </c>
      <c r="I28">
        <f>sumif('projected wins work'!A:A,A28,'projected wins work'!L:L)</f>
        <v>0</v>
      </c>
      <c r="J28" s="94">
        <f t="shared" si="1"/>
        <v>71</v>
      </c>
    </row>
  </sheetData>
  <mergeCells count="3">
    <mergeCell ref="B1:C1"/>
    <mergeCell ref="D1:I1"/>
    <mergeCell ref="J1:J2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8.13"/>
    <col customWidth="1" min="5" max="5" width="4.75"/>
    <col customWidth="1" min="6" max="6" width="13.75"/>
    <col customWidth="1" min="7" max="7" width="5.63"/>
    <col customWidth="1" min="10" max="10" width="14.25"/>
    <col customWidth="1" min="11" max="11" width="2.63"/>
    <col customWidth="1" min="12" max="12" width="4.0"/>
  </cols>
  <sheetData>
    <row r="1">
      <c r="A1" t="str">
        <f t="array" ref="A1:B141">'Current Week'!A:B</f>
        <v>Player</v>
      </c>
      <c r="B1" t="s">
        <v>227</v>
      </c>
      <c r="C1" t="str">
        <f t="array" ref="C1:E141">'Current Week'!F:H</f>
        <v>Match Up</v>
      </c>
      <c r="D1" t="s">
        <v>228</v>
      </c>
      <c r="E1" t="s">
        <v>229</v>
      </c>
      <c r="F1" s="1" t="s">
        <v>221</v>
      </c>
      <c r="G1" s="1" t="s">
        <v>230</v>
      </c>
      <c r="H1" s="1" t="s">
        <v>231</v>
      </c>
      <c r="I1" s="1" t="s">
        <v>232</v>
      </c>
      <c r="J1" s="1" t="s">
        <v>233</v>
      </c>
      <c r="K1" s="93" t="s">
        <v>222</v>
      </c>
      <c r="L1" s="93" t="s">
        <v>223</v>
      </c>
      <c r="M1" s="1" t="s">
        <v>29</v>
      </c>
    </row>
    <row r="2">
      <c r="A2" t="s">
        <v>27</v>
      </c>
      <c r="B2" t="s">
        <v>94</v>
      </c>
      <c r="C2" t="s">
        <v>202</v>
      </c>
      <c r="E2" t="s">
        <v>203</v>
      </c>
      <c r="F2">
        <f t="array" ref="F2:F1000">if(E2:E1000="","",if(C2:C1000="bye",0,if((E2:E1000="bye")+(E2:E1000="PK")&gt;0,1,if(not(iserror(find("-",E2:E1000))),1,0))))</f>
        <v>0</v>
      </c>
      <c r="G2" t="b">
        <f t="array" ref="G2:G1000">if(E2:E1000="","",left(D2:D1000,5)="Final")</f>
        <v>0</v>
      </c>
      <c r="H2" t="str">
        <f>IFERROR(__xludf.DUMMYFUNCTION("iferror(arrayformula(split(REGEXREPLACE(C2:C1000,""\ \(\d+\)"",""""),"" at "",false,true)))"),"BYE")</f>
        <v>BYE</v>
      </c>
      <c r="J2" s="97" t="str">
        <f>IFERROR(__xludf.DUMMYFUNCTION("iferror(arrayformula(if(G2:G1000=true, if(value(REGEXEXTRACT(H2:H1000,""\s\d+""))&gt;value(REGEXEXTRACT(I2:I1000,""\s\d+"")),REGEXEXTRACT(H2:H1000,""[a-zA-Zé\-\s]+""),REGEXEXTRACT(I2:I1000,""[a-zA-Zé\-\s]+"")),"""")))"),"")</f>
        <v/>
      </c>
      <c r="K2" t="str">
        <f t="array" ref="K2:K1000">iferror((if(J2:J1000="","",if((B2:B1000=trim(J2:J1000))*(F2:F1000=0)=1,1,0))),"")</f>
        <v/>
      </c>
      <c r="L2" t="str">
        <f t="array" ref="L2">iferror(if(J2:J1000="","",if(B2:B1000&lt;&gt;trim(J2:J1000))*(F2:F1000=1)=1,1,0),"")</f>
        <v/>
      </c>
      <c r="M2">
        <f t="array" ref="M2:M1000">if(B2:B1000="","",if(trim(J2:J1000)=trim(B2:B1000),1,0))</f>
        <v>0</v>
      </c>
    </row>
    <row r="3">
      <c r="A3" t="s">
        <v>27</v>
      </c>
      <c r="B3" t="s">
        <v>138</v>
      </c>
      <c r="C3" t="s">
        <v>202</v>
      </c>
      <c r="E3" t="s">
        <v>203</v>
      </c>
      <c r="F3">
        <v>0.0</v>
      </c>
      <c r="G3" t="b">
        <v>0</v>
      </c>
      <c r="H3" t="str">
        <f>IFERROR(__xludf.DUMMYFUNCTION("""COMPUTED_VALUE"""),"BYE")</f>
        <v>BYE</v>
      </c>
      <c r="J3" t="str">
        <f>IFERROR(__xludf.DUMMYFUNCTION("""COMPUTED_VALUE"""),"")</f>
        <v/>
      </c>
      <c r="K3" t="s">
        <v>241</v>
      </c>
      <c r="L3" t="str">
        <f t="shared" ref="L3:L1000" si="1">iferror(if(J3="","",if(and(B3&lt;&gt;trim(J3),F3=1),1,0)),"")</f>
        <v/>
      </c>
      <c r="M3">
        <v>0.0</v>
      </c>
    </row>
    <row r="4">
      <c r="A4" t="s">
        <v>27</v>
      </c>
      <c r="B4" t="s">
        <v>116</v>
      </c>
      <c r="C4" t="s">
        <v>202</v>
      </c>
      <c r="E4" t="s">
        <v>203</v>
      </c>
      <c r="F4">
        <v>0.0</v>
      </c>
      <c r="G4" t="b">
        <v>0</v>
      </c>
      <c r="H4" t="str">
        <f>IFERROR(__xludf.DUMMYFUNCTION("""COMPUTED_VALUE"""),"BYE")</f>
        <v>BYE</v>
      </c>
      <c r="J4" t="str">
        <f>IFERROR(__xludf.DUMMYFUNCTION("""COMPUTED_VALUE"""),"")</f>
        <v/>
      </c>
      <c r="K4" t="s">
        <v>241</v>
      </c>
      <c r="L4" t="str">
        <f t="shared" si="1"/>
        <v/>
      </c>
      <c r="M4">
        <v>0.0</v>
      </c>
    </row>
    <row r="5">
      <c r="A5" t="s">
        <v>27</v>
      </c>
      <c r="B5" t="s">
        <v>195</v>
      </c>
      <c r="C5" t="s">
        <v>202</v>
      </c>
      <c r="E5" t="s">
        <v>203</v>
      </c>
      <c r="F5">
        <v>0.0</v>
      </c>
      <c r="G5" t="b">
        <v>0</v>
      </c>
      <c r="H5" t="str">
        <f>IFERROR(__xludf.DUMMYFUNCTION("""COMPUTED_VALUE"""),"BYE")</f>
        <v>BYE</v>
      </c>
      <c r="J5" t="str">
        <f>IFERROR(__xludf.DUMMYFUNCTION("""COMPUTED_VALUE"""),"")</f>
        <v/>
      </c>
      <c r="K5" t="s">
        <v>241</v>
      </c>
      <c r="L5" t="str">
        <f t="shared" si="1"/>
        <v/>
      </c>
      <c r="M5">
        <v>0.0</v>
      </c>
    </row>
    <row r="6">
      <c r="A6" t="s">
        <v>27</v>
      </c>
      <c r="B6" t="s">
        <v>56</v>
      </c>
      <c r="C6" t="s">
        <v>202</v>
      </c>
      <c r="E6" t="s">
        <v>203</v>
      </c>
      <c r="F6">
        <v>0.0</v>
      </c>
      <c r="G6" t="b">
        <v>0</v>
      </c>
      <c r="H6" t="str">
        <f>IFERROR(__xludf.DUMMYFUNCTION("""COMPUTED_VALUE"""),"BYE")</f>
        <v>BYE</v>
      </c>
      <c r="J6" t="str">
        <f>IFERROR(__xludf.DUMMYFUNCTION("""COMPUTED_VALUE"""),"")</f>
        <v/>
      </c>
      <c r="K6" t="s">
        <v>241</v>
      </c>
      <c r="L6" t="str">
        <f t="shared" si="1"/>
        <v/>
      </c>
      <c r="M6">
        <v>0.0</v>
      </c>
    </row>
    <row r="7">
      <c r="A7" t="s">
        <v>27</v>
      </c>
      <c r="B7" t="s">
        <v>114</v>
      </c>
      <c r="C7" t="s">
        <v>202</v>
      </c>
      <c r="E7" t="s">
        <v>203</v>
      </c>
      <c r="F7">
        <v>0.0</v>
      </c>
      <c r="G7" t="b">
        <v>0</v>
      </c>
      <c r="H7" t="str">
        <f>IFERROR(__xludf.DUMMYFUNCTION("""COMPUTED_VALUE"""),"BYE")</f>
        <v>BYE</v>
      </c>
      <c r="J7" t="str">
        <f>IFERROR(__xludf.DUMMYFUNCTION("""COMPUTED_VALUE"""),"")</f>
        <v/>
      </c>
      <c r="K7" t="s">
        <v>241</v>
      </c>
      <c r="L7" t="str">
        <f t="shared" si="1"/>
        <v/>
      </c>
      <c r="M7">
        <v>0.0</v>
      </c>
    </row>
    <row r="8">
      <c r="A8" t="s">
        <v>27</v>
      </c>
      <c r="B8" t="s">
        <v>134</v>
      </c>
      <c r="C8" t="s">
        <v>202</v>
      </c>
      <c r="E8" t="s">
        <v>203</v>
      </c>
      <c r="F8">
        <v>0.0</v>
      </c>
      <c r="G8" t="b">
        <v>0</v>
      </c>
      <c r="H8" t="str">
        <f>IFERROR(__xludf.DUMMYFUNCTION("""COMPUTED_VALUE"""),"BYE")</f>
        <v>BYE</v>
      </c>
      <c r="J8" t="str">
        <f>IFERROR(__xludf.DUMMYFUNCTION("""COMPUTED_VALUE"""),"")</f>
        <v/>
      </c>
      <c r="K8" t="s">
        <v>241</v>
      </c>
      <c r="L8" t="str">
        <f t="shared" si="1"/>
        <v/>
      </c>
      <c r="M8">
        <v>0.0</v>
      </c>
    </row>
    <row r="9">
      <c r="A9" t="s">
        <v>27</v>
      </c>
      <c r="B9" t="s">
        <v>107</v>
      </c>
      <c r="C9" t="s">
        <v>202</v>
      </c>
      <c r="E9" t="s">
        <v>203</v>
      </c>
      <c r="F9">
        <v>0.0</v>
      </c>
      <c r="G9" t="b">
        <v>0</v>
      </c>
      <c r="H9" t="str">
        <f>IFERROR(__xludf.DUMMYFUNCTION("""COMPUTED_VALUE"""),"BYE")</f>
        <v>BYE</v>
      </c>
      <c r="J9" t="str">
        <f>IFERROR(__xludf.DUMMYFUNCTION("""COMPUTED_VALUE"""),"")</f>
        <v/>
      </c>
      <c r="K9" t="s">
        <v>241</v>
      </c>
      <c r="L9" t="str">
        <f t="shared" si="1"/>
        <v/>
      </c>
      <c r="M9">
        <v>0.0</v>
      </c>
    </row>
    <row r="10">
      <c r="A10" t="s">
        <v>27</v>
      </c>
      <c r="B10" t="s">
        <v>163</v>
      </c>
      <c r="C10" t="s">
        <v>202</v>
      </c>
      <c r="E10" t="s">
        <v>203</v>
      </c>
      <c r="F10">
        <v>0.0</v>
      </c>
      <c r="G10" t="b">
        <v>0</v>
      </c>
      <c r="H10" t="str">
        <f>IFERROR(__xludf.DUMMYFUNCTION("""COMPUTED_VALUE"""),"BYE")</f>
        <v>BYE</v>
      </c>
      <c r="J10" t="str">
        <f>IFERROR(__xludf.DUMMYFUNCTION("""COMPUTED_VALUE"""),"")</f>
        <v/>
      </c>
      <c r="K10" t="s">
        <v>241</v>
      </c>
      <c r="L10" t="str">
        <f t="shared" si="1"/>
        <v/>
      </c>
      <c r="M10">
        <v>0.0</v>
      </c>
    </row>
    <row r="11">
      <c r="A11" t="s">
        <v>27</v>
      </c>
      <c r="B11" t="s">
        <v>152</v>
      </c>
      <c r="C11" t="s">
        <v>202</v>
      </c>
      <c r="E11" t="s">
        <v>203</v>
      </c>
      <c r="F11">
        <v>0.0</v>
      </c>
      <c r="G11" t="b">
        <v>0</v>
      </c>
      <c r="H11" t="str">
        <f>IFERROR(__xludf.DUMMYFUNCTION("""COMPUTED_VALUE"""),"BYE")</f>
        <v>BYE</v>
      </c>
      <c r="J11" t="str">
        <f>IFERROR(__xludf.DUMMYFUNCTION("""COMPUTED_VALUE"""),"")</f>
        <v/>
      </c>
      <c r="K11" t="s">
        <v>241</v>
      </c>
      <c r="L11" t="str">
        <f t="shared" si="1"/>
        <v/>
      </c>
      <c r="M11">
        <v>0.0</v>
      </c>
    </row>
    <row r="12">
      <c r="A12" t="s">
        <v>2</v>
      </c>
      <c r="B12" t="s">
        <v>227</v>
      </c>
      <c r="C12" t="s">
        <v>245</v>
      </c>
      <c r="D12" t="s">
        <v>228</v>
      </c>
      <c r="E12" t="s">
        <v>229</v>
      </c>
      <c r="F12">
        <v>0.0</v>
      </c>
      <c r="G12" t="b">
        <v>0</v>
      </c>
      <c r="H12" t="str">
        <f>IFERROR(__xludf.DUMMYFUNCTION("""COMPUTED_VALUE"""),"Match Up")</f>
        <v>Match Up</v>
      </c>
      <c r="J12" t="str">
        <f>IFERROR(__xludf.DUMMYFUNCTION("""COMPUTED_VALUE"""),"")</f>
        <v/>
      </c>
      <c r="K12" t="s">
        <v>241</v>
      </c>
      <c r="L12" t="str">
        <f t="shared" si="1"/>
        <v/>
      </c>
      <c r="M12">
        <v>0.0</v>
      </c>
    </row>
    <row r="13">
      <c r="A13" t="s">
        <v>38</v>
      </c>
      <c r="B13" t="s">
        <v>178</v>
      </c>
      <c r="C13" t="s">
        <v>235</v>
      </c>
      <c r="D13" t="s">
        <v>225</v>
      </c>
      <c r="E13" t="s">
        <v>246</v>
      </c>
      <c r="F13">
        <v>1.0</v>
      </c>
      <c r="G13" t="b">
        <v>0</v>
      </c>
      <c r="H13" t="str">
        <f>IFERROR(__xludf.DUMMYFUNCTION("""COMPUTED_VALUE"""),"(4) Georgia")</f>
        <v>(4) Georgia</v>
      </c>
      <c r="I13" t="str">
        <f>IFERROR(__xludf.DUMMYFUNCTION("""COMPUTED_VALUE"""),"LSU ")</f>
        <v>LSU </v>
      </c>
      <c r="J13" t="str">
        <f>IFERROR(__xludf.DUMMYFUNCTION("""COMPUTED_VALUE"""),"")</f>
        <v/>
      </c>
      <c r="K13" t="s">
        <v>241</v>
      </c>
      <c r="L13" t="str">
        <f t="shared" si="1"/>
        <v/>
      </c>
      <c r="M13">
        <v>0.0</v>
      </c>
    </row>
    <row r="14">
      <c r="A14" t="s">
        <v>38</v>
      </c>
      <c r="B14" t="s">
        <v>68</v>
      </c>
      <c r="C14" t="s">
        <v>208</v>
      </c>
      <c r="D14" t="s">
        <v>209</v>
      </c>
      <c r="E14">
        <v>-29.0</v>
      </c>
      <c r="F14">
        <v>1.0</v>
      </c>
      <c r="G14" t="b">
        <v>0</v>
      </c>
      <c r="H14" t="str">
        <f>IFERROR(__xludf.DUMMYFUNCTION("""COMPUTED_VALUE"""),"(22) Virginia")</f>
        <v>(22) Virginia</v>
      </c>
      <c r="I14" t="str">
        <f>IFERROR(__xludf.DUMMYFUNCTION("""COMPUTED_VALUE"""),"Clemson ")</f>
        <v>Clemson </v>
      </c>
      <c r="J14" t="str">
        <f>IFERROR(__xludf.DUMMYFUNCTION("""COMPUTED_VALUE"""),"")</f>
        <v/>
      </c>
      <c r="K14" t="s">
        <v>241</v>
      </c>
      <c r="L14" t="str">
        <f t="shared" si="1"/>
        <v/>
      </c>
      <c r="M14">
        <v>0.0</v>
      </c>
    </row>
    <row r="15">
      <c r="A15" t="s">
        <v>38</v>
      </c>
      <c r="B15" t="s">
        <v>139</v>
      </c>
      <c r="C15" t="s">
        <v>202</v>
      </c>
      <c r="E15" t="s">
        <v>203</v>
      </c>
      <c r="F15">
        <v>0.0</v>
      </c>
      <c r="G15" t="b">
        <v>0</v>
      </c>
      <c r="H15" t="str">
        <f>IFERROR(__xludf.DUMMYFUNCTION("""COMPUTED_VALUE"""),"BYE")</f>
        <v>BYE</v>
      </c>
      <c r="J15" t="str">
        <f>IFERROR(__xludf.DUMMYFUNCTION("""COMPUTED_VALUE"""),"")</f>
        <v/>
      </c>
      <c r="K15" t="s">
        <v>241</v>
      </c>
      <c r="L15" t="str">
        <f t="shared" si="1"/>
        <v/>
      </c>
      <c r="M15">
        <v>0.0</v>
      </c>
    </row>
    <row r="16">
      <c r="A16" t="s">
        <v>38</v>
      </c>
      <c r="B16" t="s">
        <v>172</v>
      </c>
      <c r="C16" t="s">
        <v>202</v>
      </c>
      <c r="E16" t="s">
        <v>203</v>
      </c>
      <c r="F16">
        <v>0.0</v>
      </c>
      <c r="G16" t="b">
        <v>0</v>
      </c>
      <c r="H16" t="str">
        <f>IFERROR(__xludf.DUMMYFUNCTION("""COMPUTED_VALUE"""),"BYE")</f>
        <v>BYE</v>
      </c>
      <c r="J16" t="str">
        <f>IFERROR(__xludf.DUMMYFUNCTION("""COMPUTED_VALUE"""),"")</f>
        <v/>
      </c>
      <c r="K16" t="s">
        <v>241</v>
      </c>
      <c r="L16" t="str">
        <f t="shared" si="1"/>
        <v/>
      </c>
      <c r="M16">
        <v>0.0</v>
      </c>
    </row>
    <row r="17">
      <c r="A17" t="s">
        <v>38</v>
      </c>
      <c r="B17" t="s">
        <v>32</v>
      </c>
      <c r="C17" t="s">
        <v>202</v>
      </c>
      <c r="E17" t="s">
        <v>203</v>
      </c>
      <c r="F17">
        <v>0.0</v>
      </c>
      <c r="G17" t="b">
        <v>0</v>
      </c>
      <c r="H17" t="str">
        <f>IFERROR(__xludf.DUMMYFUNCTION("""COMPUTED_VALUE"""),"BYE")</f>
        <v>BYE</v>
      </c>
      <c r="J17" t="str">
        <f>IFERROR(__xludf.DUMMYFUNCTION("""COMPUTED_VALUE"""),"")</f>
        <v/>
      </c>
      <c r="K17" t="s">
        <v>241</v>
      </c>
      <c r="L17" t="str">
        <f t="shared" si="1"/>
        <v/>
      </c>
      <c r="M17">
        <v>0.0</v>
      </c>
    </row>
    <row r="18">
      <c r="A18" t="s">
        <v>38</v>
      </c>
      <c r="B18" t="s">
        <v>129</v>
      </c>
      <c r="C18" t="s">
        <v>202</v>
      </c>
      <c r="E18" t="s">
        <v>203</v>
      </c>
      <c r="F18">
        <v>0.0</v>
      </c>
      <c r="G18" t="b">
        <v>0</v>
      </c>
      <c r="H18" t="str">
        <f>IFERROR(__xludf.DUMMYFUNCTION("""COMPUTED_VALUE"""),"BYE")</f>
        <v>BYE</v>
      </c>
      <c r="J18" t="str">
        <f>IFERROR(__xludf.DUMMYFUNCTION("""COMPUTED_VALUE"""),"")</f>
        <v/>
      </c>
      <c r="K18" t="s">
        <v>241</v>
      </c>
      <c r="L18" t="str">
        <f t="shared" si="1"/>
        <v/>
      </c>
      <c r="M18">
        <v>0.0</v>
      </c>
    </row>
    <row r="19">
      <c r="A19" t="s">
        <v>38</v>
      </c>
      <c r="B19" t="s">
        <v>198</v>
      </c>
      <c r="C19" t="s">
        <v>202</v>
      </c>
      <c r="E19" t="s">
        <v>203</v>
      </c>
      <c r="F19">
        <v>0.0</v>
      </c>
      <c r="G19" t="b">
        <v>0</v>
      </c>
      <c r="H19" t="str">
        <f>IFERROR(__xludf.DUMMYFUNCTION("""COMPUTED_VALUE"""),"BYE")</f>
        <v>BYE</v>
      </c>
      <c r="J19" t="str">
        <f>IFERROR(__xludf.DUMMYFUNCTION("""COMPUTED_VALUE"""),"")</f>
        <v/>
      </c>
      <c r="K19" t="s">
        <v>241</v>
      </c>
      <c r="L19" t="str">
        <f t="shared" si="1"/>
        <v/>
      </c>
      <c r="M19">
        <v>0.0</v>
      </c>
    </row>
    <row r="20">
      <c r="A20" t="s">
        <v>38</v>
      </c>
      <c r="B20" t="s">
        <v>113</v>
      </c>
      <c r="C20" t="s">
        <v>202</v>
      </c>
      <c r="E20" t="s">
        <v>203</v>
      </c>
      <c r="F20">
        <v>0.0</v>
      </c>
      <c r="G20" t="b">
        <v>0</v>
      </c>
      <c r="H20" t="str">
        <f>IFERROR(__xludf.DUMMYFUNCTION("""COMPUTED_VALUE"""),"BYE")</f>
        <v>BYE</v>
      </c>
      <c r="J20" t="str">
        <f>IFERROR(__xludf.DUMMYFUNCTION("""COMPUTED_VALUE"""),"")</f>
        <v/>
      </c>
      <c r="K20" t="s">
        <v>241</v>
      </c>
      <c r="L20" t="str">
        <f t="shared" si="1"/>
        <v/>
      </c>
      <c r="M20">
        <v>0.0</v>
      </c>
    </row>
    <row r="21">
      <c r="A21" t="s">
        <v>38</v>
      </c>
      <c r="B21" t="s">
        <v>97</v>
      </c>
      <c r="C21" t="s">
        <v>202</v>
      </c>
      <c r="E21" t="s">
        <v>203</v>
      </c>
      <c r="F21">
        <v>0.0</v>
      </c>
      <c r="G21" t="b">
        <v>0</v>
      </c>
      <c r="H21" t="str">
        <f>IFERROR(__xludf.DUMMYFUNCTION("""COMPUTED_VALUE"""),"BYE")</f>
        <v>BYE</v>
      </c>
      <c r="J21" t="str">
        <f>IFERROR(__xludf.DUMMYFUNCTION("""COMPUTED_VALUE"""),"")</f>
        <v/>
      </c>
      <c r="K21" t="s">
        <v>241</v>
      </c>
      <c r="L21" t="str">
        <f t="shared" si="1"/>
        <v/>
      </c>
      <c r="M21">
        <v>0.0</v>
      </c>
    </row>
    <row r="22">
      <c r="A22" t="s">
        <v>38</v>
      </c>
      <c r="B22" t="s">
        <v>156</v>
      </c>
      <c r="C22" t="s">
        <v>202</v>
      </c>
      <c r="E22" t="s">
        <v>203</v>
      </c>
      <c r="F22">
        <v>0.0</v>
      </c>
      <c r="G22" t="b">
        <v>0</v>
      </c>
      <c r="H22" t="str">
        <f>IFERROR(__xludf.DUMMYFUNCTION("""COMPUTED_VALUE"""),"BYE")</f>
        <v>BYE</v>
      </c>
      <c r="J22" t="str">
        <f>IFERROR(__xludf.DUMMYFUNCTION("""COMPUTED_VALUE"""),"")</f>
        <v/>
      </c>
      <c r="K22" t="s">
        <v>241</v>
      </c>
      <c r="L22" t="str">
        <f t="shared" si="1"/>
        <v/>
      </c>
      <c r="M22">
        <v>0.0</v>
      </c>
    </row>
    <row r="23">
      <c r="A23" t="s">
        <v>2</v>
      </c>
      <c r="B23" t="s">
        <v>227</v>
      </c>
      <c r="C23" t="s">
        <v>245</v>
      </c>
      <c r="D23" t="s">
        <v>228</v>
      </c>
      <c r="E23" t="s">
        <v>229</v>
      </c>
      <c r="F23">
        <v>0.0</v>
      </c>
      <c r="G23" t="b">
        <v>0</v>
      </c>
      <c r="H23" t="str">
        <f>IFERROR(__xludf.DUMMYFUNCTION("""COMPUTED_VALUE"""),"Match Up")</f>
        <v>Match Up</v>
      </c>
      <c r="J23" t="str">
        <f>IFERROR(__xludf.DUMMYFUNCTION("""COMPUTED_VALUE"""),"")</f>
        <v/>
      </c>
      <c r="K23" t="s">
        <v>241</v>
      </c>
      <c r="L23" t="str">
        <f t="shared" si="1"/>
        <v/>
      </c>
      <c r="M23">
        <v>0.0</v>
      </c>
    </row>
    <row r="24">
      <c r="A24" t="s">
        <v>41</v>
      </c>
      <c r="B24" t="s">
        <v>190</v>
      </c>
      <c r="C24" t="s">
        <v>243</v>
      </c>
      <c r="D24" t="s">
        <v>239</v>
      </c>
      <c r="E24" t="s">
        <v>247</v>
      </c>
      <c r="F24">
        <v>0.0</v>
      </c>
      <c r="G24" t="b">
        <v>0</v>
      </c>
      <c r="H24" t="str">
        <f>IFERROR(__xludf.DUMMYFUNCTION("""COMPUTED_VALUE"""),"UL Lafayette")</f>
        <v>UL Lafayette</v>
      </c>
      <c r="I24" t="str">
        <f>IFERROR(__xludf.DUMMYFUNCTION("""COMPUTED_VALUE"""),"Appalachian State ")</f>
        <v>Appalachian State </v>
      </c>
      <c r="J24" t="str">
        <f>IFERROR(__xludf.DUMMYFUNCTION("""COMPUTED_VALUE"""),"")</f>
        <v/>
      </c>
      <c r="K24" t="s">
        <v>241</v>
      </c>
      <c r="L24" t="str">
        <f t="shared" si="1"/>
        <v/>
      </c>
      <c r="M24">
        <v>0.0</v>
      </c>
    </row>
    <row r="25">
      <c r="A25" t="s">
        <v>41</v>
      </c>
      <c r="B25" t="s">
        <v>146</v>
      </c>
      <c r="C25" t="s">
        <v>202</v>
      </c>
      <c r="E25" t="s">
        <v>203</v>
      </c>
      <c r="F25">
        <v>0.0</v>
      </c>
      <c r="G25" t="b">
        <v>0</v>
      </c>
      <c r="H25" t="str">
        <f>IFERROR(__xludf.DUMMYFUNCTION("""COMPUTED_VALUE"""),"BYE")</f>
        <v>BYE</v>
      </c>
      <c r="J25" t="str">
        <f>IFERROR(__xludf.DUMMYFUNCTION("""COMPUTED_VALUE"""),"")</f>
        <v/>
      </c>
      <c r="K25" t="s">
        <v>241</v>
      </c>
      <c r="L25" t="str">
        <f t="shared" si="1"/>
        <v/>
      </c>
      <c r="M25">
        <v>0.0</v>
      </c>
    </row>
    <row r="26">
      <c r="A26" t="s">
        <v>41</v>
      </c>
      <c r="B26" t="s">
        <v>180</v>
      </c>
      <c r="C26" t="s">
        <v>202</v>
      </c>
      <c r="E26" t="s">
        <v>203</v>
      </c>
      <c r="F26">
        <v>0.0</v>
      </c>
      <c r="G26" t="b">
        <v>0</v>
      </c>
      <c r="H26" t="str">
        <f>IFERROR(__xludf.DUMMYFUNCTION("""COMPUTED_VALUE"""),"BYE")</f>
        <v>BYE</v>
      </c>
      <c r="J26" t="str">
        <f>IFERROR(__xludf.DUMMYFUNCTION("""COMPUTED_VALUE"""),"")</f>
        <v/>
      </c>
      <c r="K26" t="s">
        <v>241</v>
      </c>
      <c r="L26" t="str">
        <f t="shared" si="1"/>
        <v/>
      </c>
      <c r="M26">
        <v>0.0</v>
      </c>
    </row>
    <row r="27">
      <c r="A27" t="s">
        <v>41</v>
      </c>
      <c r="B27" t="s">
        <v>126</v>
      </c>
      <c r="C27" t="s">
        <v>202</v>
      </c>
      <c r="E27" t="s">
        <v>203</v>
      </c>
      <c r="F27">
        <v>0.0</v>
      </c>
      <c r="G27" t="b">
        <v>0</v>
      </c>
      <c r="H27" t="str">
        <f>IFERROR(__xludf.DUMMYFUNCTION("""COMPUTED_VALUE"""),"BYE")</f>
        <v>BYE</v>
      </c>
      <c r="J27" t="str">
        <f>IFERROR(__xludf.DUMMYFUNCTION("""COMPUTED_VALUE"""),"")</f>
        <v/>
      </c>
      <c r="K27" t="s">
        <v>241</v>
      </c>
      <c r="L27" t="str">
        <f t="shared" si="1"/>
        <v/>
      </c>
      <c r="M27">
        <v>0.0</v>
      </c>
    </row>
    <row r="28">
      <c r="A28" t="s">
        <v>41</v>
      </c>
      <c r="B28" t="s">
        <v>91</v>
      </c>
      <c r="C28" t="s">
        <v>202</v>
      </c>
      <c r="E28" t="s">
        <v>203</v>
      </c>
      <c r="F28">
        <v>0.0</v>
      </c>
      <c r="G28" t="b">
        <v>0</v>
      </c>
      <c r="H28" t="str">
        <f>IFERROR(__xludf.DUMMYFUNCTION("""COMPUTED_VALUE"""),"BYE")</f>
        <v>BYE</v>
      </c>
      <c r="J28" t="str">
        <f>IFERROR(__xludf.DUMMYFUNCTION("""COMPUTED_VALUE"""),"")</f>
        <v/>
      </c>
      <c r="K28" t="s">
        <v>241</v>
      </c>
      <c r="L28" t="str">
        <f t="shared" si="1"/>
        <v/>
      </c>
      <c r="M28">
        <v>0.0</v>
      </c>
    </row>
    <row r="29">
      <c r="A29" t="s">
        <v>41</v>
      </c>
      <c r="B29" t="s">
        <v>111</v>
      </c>
      <c r="C29" t="s">
        <v>202</v>
      </c>
      <c r="E29" t="s">
        <v>203</v>
      </c>
      <c r="F29">
        <v>0.0</v>
      </c>
      <c r="G29" t="b">
        <v>0</v>
      </c>
      <c r="H29" t="str">
        <f>IFERROR(__xludf.DUMMYFUNCTION("""COMPUTED_VALUE"""),"BYE")</f>
        <v>BYE</v>
      </c>
      <c r="J29" t="str">
        <f>IFERROR(__xludf.DUMMYFUNCTION("""COMPUTED_VALUE"""),"")</f>
        <v/>
      </c>
      <c r="K29" t="s">
        <v>241</v>
      </c>
      <c r="L29" t="str">
        <f t="shared" si="1"/>
        <v/>
      </c>
      <c r="M29">
        <v>0.0</v>
      </c>
    </row>
    <row r="30">
      <c r="A30" t="s">
        <v>41</v>
      </c>
      <c r="B30" t="s">
        <v>159</v>
      </c>
      <c r="C30" t="s">
        <v>202</v>
      </c>
      <c r="E30" t="s">
        <v>203</v>
      </c>
      <c r="F30">
        <v>0.0</v>
      </c>
      <c r="G30" t="b">
        <v>0</v>
      </c>
      <c r="H30" t="str">
        <f>IFERROR(__xludf.DUMMYFUNCTION("""COMPUTED_VALUE"""),"BYE")</f>
        <v>BYE</v>
      </c>
      <c r="J30" t="str">
        <f>IFERROR(__xludf.DUMMYFUNCTION("""COMPUTED_VALUE"""),"")</f>
        <v/>
      </c>
      <c r="K30" t="s">
        <v>241</v>
      </c>
      <c r="L30" t="str">
        <f t="shared" si="1"/>
        <v/>
      </c>
      <c r="M30">
        <v>0.0</v>
      </c>
    </row>
    <row r="31">
      <c r="A31" t="s">
        <v>41</v>
      </c>
      <c r="B31" t="s">
        <v>52</v>
      </c>
      <c r="C31" t="s">
        <v>202</v>
      </c>
      <c r="E31" t="s">
        <v>203</v>
      </c>
      <c r="F31">
        <v>0.0</v>
      </c>
      <c r="G31" t="b">
        <v>0</v>
      </c>
      <c r="H31" t="str">
        <f>IFERROR(__xludf.DUMMYFUNCTION("""COMPUTED_VALUE"""),"BYE")</f>
        <v>BYE</v>
      </c>
      <c r="J31" t="str">
        <f>IFERROR(__xludf.DUMMYFUNCTION("""COMPUTED_VALUE"""),"")</f>
        <v/>
      </c>
      <c r="K31" t="s">
        <v>241</v>
      </c>
      <c r="L31" t="str">
        <f t="shared" si="1"/>
        <v/>
      </c>
      <c r="M31">
        <v>0.0</v>
      </c>
    </row>
    <row r="32">
      <c r="A32" t="s">
        <v>41</v>
      </c>
      <c r="B32" t="s">
        <v>109</v>
      </c>
      <c r="C32" t="s">
        <v>202</v>
      </c>
      <c r="E32" t="s">
        <v>203</v>
      </c>
      <c r="F32">
        <v>0.0</v>
      </c>
      <c r="G32" t="b">
        <v>0</v>
      </c>
      <c r="H32" t="str">
        <f>IFERROR(__xludf.DUMMYFUNCTION("""COMPUTED_VALUE"""),"BYE")</f>
        <v>BYE</v>
      </c>
      <c r="J32" t="str">
        <f>IFERROR(__xludf.DUMMYFUNCTION("""COMPUTED_VALUE"""),"")</f>
        <v/>
      </c>
      <c r="K32" t="s">
        <v>241</v>
      </c>
      <c r="L32" t="str">
        <f t="shared" si="1"/>
        <v/>
      </c>
      <c r="M32">
        <v>0.0</v>
      </c>
    </row>
    <row r="33">
      <c r="A33" t="s">
        <v>41</v>
      </c>
      <c r="B33" t="s">
        <v>168</v>
      </c>
      <c r="C33" t="s">
        <v>202</v>
      </c>
      <c r="E33" t="s">
        <v>203</v>
      </c>
      <c r="F33">
        <v>0.0</v>
      </c>
      <c r="G33" t="b">
        <v>0</v>
      </c>
      <c r="H33" t="str">
        <f>IFERROR(__xludf.DUMMYFUNCTION("""COMPUTED_VALUE"""),"BYE")</f>
        <v>BYE</v>
      </c>
      <c r="J33" t="str">
        <f>IFERROR(__xludf.DUMMYFUNCTION("""COMPUTED_VALUE"""),"")</f>
        <v/>
      </c>
      <c r="K33" t="s">
        <v>241</v>
      </c>
      <c r="L33" t="str">
        <f t="shared" si="1"/>
        <v/>
      </c>
      <c r="M33">
        <v>0.0</v>
      </c>
    </row>
    <row r="34">
      <c r="A34" t="s">
        <v>2</v>
      </c>
      <c r="B34" t="s">
        <v>227</v>
      </c>
      <c r="C34" t="s">
        <v>245</v>
      </c>
      <c r="D34" t="s">
        <v>228</v>
      </c>
      <c r="E34" t="s">
        <v>229</v>
      </c>
      <c r="F34">
        <v>0.0</v>
      </c>
      <c r="G34" t="b">
        <v>0</v>
      </c>
      <c r="H34" t="str">
        <f>IFERROR(__xludf.DUMMYFUNCTION("""COMPUTED_VALUE"""),"Match Up")</f>
        <v>Match Up</v>
      </c>
      <c r="J34" t="str">
        <f>IFERROR(__xludf.DUMMYFUNCTION("""COMPUTED_VALUE"""),"")</f>
        <v/>
      </c>
      <c r="K34" t="s">
        <v>241</v>
      </c>
      <c r="L34" t="str">
        <f t="shared" si="1"/>
        <v/>
      </c>
      <c r="M34">
        <v>0.0</v>
      </c>
    </row>
    <row r="35">
      <c r="A35" t="s">
        <v>44</v>
      </c>
      <c r="B35" t="s">
        <v>150</v>
      </c>
      <c r="C35" t="s">
        <v>224</v>
      </c>
      <c r="D35" t="s">
        <v>225</v>
      </c>
      <c r="E35" t="s">
        <v>226</v>
      </c>
      <c r="F35">
        <v>1.0</v>
      </c>
      <c r="G35" t="b">
        <v>0</v>
      </c>
      <c r="H35" t="str">
        <f>IFERROR(__xludf.DUMMYFUNCTION("""COMPUTED_VALUE"""),"Hawaii")</f>
        <v>Hawaii</v>
      </c>
      <c r="I35" t="str">
        <f>IFERROR(__xludf.DUMMYFUNCTION("""COMPUTED_VALUE"""),"Boise State ")</f>
        <v>Boise State </v>
      </c>
      <c r="J35" t="str">
        <f>IFERROR(__xludf.DUMMYFUNCTION("""COMPUTED_VALUE"""),"")</f>
        <v/>
      </c>
      <c r="K35" t="s">
        <v>241</v>
      </c>
      <c r="L35" t="str">
        <f t="shared" si="1"/>
        <v/>
      </c>
      <c r="M35">
        <v>0.0</v>
      </c>
    </row>
    <row r="36">
      <c r="A36" t="s">
        <v>44</v>
      </c>
      <c r="B36" t="s">
        <v>122</v>
      </c>
      <c r="C36" t="s">
        <v>249</v>
      </c>
      <c r="D36" t="s">
        <v>250</v>
      </c>
      <c r="E36" t="s">
        <v>251</v>
      </c>
      <c r="F36">
        <v>0.0</v>
      </c>
      <c r="G36" t="b">
        <v>0</v>
      </c>
      <c r="H36" t="str">
        <f>IFERROR(__xludf.DUMMYFUNCTION("""COMPUTED_VALUE"""),"(2) Ohio State")</f>
        <v>(2) Ohio State</v>
      </c>
      <c r="I36" t="str">
        <f>IFERROR(__xludf.DUMMYFUNCTION("""COMPUTED_VALUE"""),"Wisconsin ")</f>
        <v>Wisconsin </v>
      </c>
      <c r="J36" t="str">
        <f>IFERROR(__xludf.DUMMYFUNCTION("""COMPUTED_VALUE"""),"")</f>
        <v/>
      </c>
      <c r="K36" t="s">
        <v>241</v>
      </c>
      <c r="L36" t="str">
        <f t="shared" si="1"/>
        <v/>
      </c>
      <c r="M36">
        <v>0.0</v>
      </c>
    </row>
    <row r="37">
      <c r="A37" t="s">
        <v>44</v>
      </c>
      <c r="B37" t="s">
        <v>37</v>
      </c>
      <c r="C37" t="s">
        <v>252</v>
      </c>
      <c r="D37" t="s">
        <v>253</v>
      </c>
      <c r="E37" t="s">
        <v>203</v>
      </c>
      <c r="F37">
        <v>1.0</v>
      </c>
      <c r="G37" t="b">
        <v>0</v>
      </c>
      <c r="H37" t="str">
        <f>IFERROR(__xludf.DUMMYFUNCTION("""COMPUTED_VALUE"""),"Army")</f>
        <v>Army</v>
      </c>
      <c r="I37" t="str">
        <f>IFERROR(__xludf.DUMMYFUNCTION("""COMPUTED_VALUE"""),"Navy ")</f>
        <v>Navy </v>
      </c>
      <c r="J37" t="str">
        <f>IFERROR(__xludf.DUMMYFUNCTION("""COMPUTED_VALUE"""),"")</f>
        <v/>
      </c>
      <c r="K37" t="s">
        <v>241</v>
      </c>
      <c r="L37" t="str">
        <f t="shared" si="1"/>
        <v/>
      </c>
      <c r="M37">
        <v>0.0</v>
      </c>
    </row>
    <row r="38">
      <c r="A38" t="s">
        <v>44</v>
      </c>
      <c r="B38" t="s">
        <v>145</v>
      </c>
      <c r="C38" t="s">
        <v>202</v>
      </c>
      <c r="E38" t="s">
        <v>203</v>
      </c>
      <c r="F38">
        <v>0.0</v>
      </c>
      <c r="G38" t="b">
        <v>0</v>
      </c>
      <c r="H38" t="str">
        <f>IFERROR(__xludf.DUMMYFUNCTION("""COMPUTED_VALUE"""),"BYE")</f>
        <v>BYE</v>
      </c>
      <c r="J38" t="str">
        <f>IFERROR(__xludf.DUMMYFUNCTION("""COMPUTED_VALUE"""),"")</f>
        <v/>
      </c>
      <c r="K38" t="s">
        <v>241</v>
      </c>
      <c r="L38" t="str">
        <f t="shared" si="1"/>
        <v/>
      </c>
      <c r="M38">
        <v>0.0</v>
      </c>
    </row>
    <row r="39">
      <c r="A39" t="s">
        <v>44</v>
      </c>
      <c r="B39" t="s">
        <v>104</v>
      </c>
      <c r="C39" t="s">
        <v>202</v>
      </c>
      <c r="E39" t="s">
        <v>203</v>
      </c>
      <c r="F39">
        <v>0.0</v>
      </c>
      <c r="G39" t="b">
        <v>0</v>
      </c>
      <c r="H39" t="str">
        <f>IFERROR(__xludf.DUMMYFUNCTION("""COMPUTED_VALUE"""),"BYE")</f>
        <v>BYE</v>
      </c>
      <c r="J39" t="str">
        <f>IFERROR(__xludf.DUMMYFUNCTION("""COMPUTED_VALUE"""),"")</f>
        <v/>
      </c>
      <c r="K39" t="s">
        <v>241</v>
      </c>
      <c r="L39" t="str">
        <f t="shared" si="1"/>
        <v/>
      </c>
      <c r="M39">
        <v>0.0</v>
      </c>
    </row>
    <row r="40">
      <c r="A40" t="s">
        <v>44</v>
      </c>
      <c r="B40" t="s">
        <v>173</v>
      </c>
      <c r="C40" t="s">
        <v>202</v>
      </c>
      <c r="E40" t="s">
        <v>203</v>
      </c>
      <c r="F40">
        <v>0.0</v>
      </c>
      <c r="G40" t="b">
        <v>0</v>
      </c>
      <c r="H40" t="str">
        <f>IFERROR(__xludf.DUMMYFUNCTION("""COMPUTED_VALUE"""),"BYE")</f>
        <v>BYE</v>
      </c>
      <c r="J40" t="str">
        <f>IFERROR(__xludf.DUMMYFUNCTION("""COMPUTED_VALUE"""),"")</f>
        <v/>
      </c>
      <c r="K40" t="s">
        <v>241</v>
      </c>
      <c r="L40" t="str">
        <f t="shared" si="1"/>
        <v/>
      </c>
      <c r="M40">
        <v>0.0</v>
      </c>
    </row>
    <row r="41">
      <c r="A41" t="s">
        <v>44</v>
      </c>
      <c r="B41" t="s">
        <v>132</v>
      </c>
      <c r="C41" t="s">
        <v>202</v>
      </c>
      <c r="E41" t="s">
        <v>203</v>
      </c>
      <c r="F41">
        <v>0.0</v>
      </c>
      <c r="G41" t="b">
        <v>0</v>
      </c>
      <c r="H41" t="str">
        <f>IFERROR(__xludf.DUMMYFUNCTION("""COMPUTED_VALUE"""),"BYE")</f>
        <v>BYE</v>
      </c>
      <c r="J41" t="str">
        <f>IFERROR(__xludf.DUMMYFUNCTION("""COMPUTED_VALUE"""),"")</f>
        <v/>
      </c>
      <c r="K41" t="s">
        <v>241</v>
      </c>
      <c r="L41" t="str">
        <f t="shared" si="1"/>
        <v/>
      </c>
      <c r="M41">
        <v>0.0</v>
      </c>
    </row>
    <row r="42">
      <c r="A42" t="s">
        <v>44</v>
      </c>
      <c r="B42" t="s">
        <v>61</v>
      </c>
      <c r="C42" t="s">
        <v>202</v>
      </c>
      <c r="E42" t="s">
        <v>203</v>
      </c>
      <c r="F42">
        <v>0.0</v>
      </c>
      <c r="G42" t="b">
        <v>0</v>
      </c>
      <c r="H42" t="str">
        <f>IFERROR(__xludf.DUMMYFUNCTION("""COMPUTED_VALUE"""),"BYE")</f>
        <v>BYE</v>
      </c>
      <c r="J42" t="str">
        <f>IFERROR(__xludf.DUMMYFUNCTION("""COMPUTED_VALUE"""),"")</f>
        <v/>
      </c>
      <c r="K42" t="s">
        <v>241</v>
      </c>
      <c r="L42" t="str">
        <f t="shared" si="1"/>
        <v/>
      </c>
      <c r="M42">
        <v>0.0</v>
      </c>
    </row>
    <row r="43">
      <c r="A43" t="s">
        <v>44</v>
      </c>
      <c r="B43" t="s">
        <v>188</v>
      </c>
      <c r="C43" t="s">
        <v>202</v>
      </c>
      <c r="E43" t="s">
        <v>203</v>
      </c>
      <c r="F43">
        <v>0.0</v>
      </c>
      <c r="G43" t="b">
        <v>0</v>
      </c>
      <c r="H43" t="str">
        <f>IFERROR(__xludf.DUMMYFUNCTION("""COMPUTED_VALUE"""),"BYE")</f>
        <v>BYE</v>
      </c>
      <c r="J43" t="str">
        <f>IFERROR(__xludf.DUMMYFUNCTION("""COMPUTED_VALUE"""),"")</f>
        <v/>
      </c>
      <c r="K43" t="s">
        <v>241</v>
      </c>
      <c r="L43" t="str">
        <f t="shared" si="1"/>
        <v/>
      </c>
      <c r="M43">
        <v>0.0</v>
      </c>
    </row>
    <row r="44">
      <c r="A44" t="s">
        <v>44</v>
      </c>
      <c r="B44" t="s">
        <v>161</v>
      </c>
      <c r="C44" t="s">
        <v>202</v>
      </c>
      <c r="E44" t="s">
        <v>203</v>
      </c>
      <c r="F44">
        <v>0.0</v>
      </c>
      <c r="G44" t="b">
        <v>0</v>
      </c>
      <c r="H44" t="str">
        <f>IFERROR(__xludf.DUMMYFUNCTION("""COMPUTED_VALUE"""),"BYE")</f>
        <v>BYE</v>
      </c>
      <c r="J44" t="str">
        <f>IFERROR(__xludf.DUMMYFUNCTION("""COMPUTED_VALUE"""),"")</f>
        <v/>
      </c>
      <c r="K44" t="s">
        <v>241</v>
      </c>
      <c r="L44" t="str">
        <f t="shared" si="1"/>
        <v/>
      </c>
      <c r="M44">
        <v>0.0</v>
      </c>
    </row>
    <row r="45">
      <c r="A45" t="s">
        <v>2</v>
      </c>
      <c r="B45" t="s">
        <v>227</v>
      </c>
      <c r="C45" t="s">
        <v>245</v>
      </c>
      <c r="D45" t="s">
        <v>228</v>
      </c>
      <c r="E45" t="s">
        <v>229</v>
      </c>
      <c r="F45">
        <v>0.0</v>
      </c>
      <c r="G45" t="b">
        <v>0</v>
      </c>
      <c r="H45" t="str">
        <f>IFERROR(__xludf.DUMMYFUNCTION("""COMPUTED_VALUE"""),"Match Up")</f>
        <v>Match Up</v>
      </c>
      <c r="J45" t="str">
        <f>IFERROR(__xludf.DUMMYFUNCTION("""COMPUTED_VALUE"""),"")</f>
        <v/>
      </c>
      <c r="K45" t="s">
        <v>241</v>
      </c>
      <c r="L45" t="str">
        <f t="shared" si="1"/>
        <v/>
      </c>
      <c r="M45">
        <v>0.0</v>
      </c>
    </row>
    <row r="46">
      <c r="A46" t="s">
        <v>48</v>
      </c>
      <c r="B46" t="s">
        <v>144</v>
      </c>
      <c r="C46" t="s">
        <v>254</v>
      </c>
      <c r="D46" t="s">
        <v>239</v>
      </c>
      <c r="E46" t="s">
        <v>247</v>
      </c>
      <c r="F46">
        <v>0.0</v>
      </c>
      <c r="G46" t="b">
        <v>0</v>
      </c>
      <c r="H46" t="str">
        <f>IFERROR(__xludf.DUMMYFUNCTION("""COMPUTED_VALUE"""),"Miami-OH")</f>
        <v>Miami-OH</v>
      </c>
      <c r="I46" t="str">
        <f>IFERROR(__xludf.DUMMYFUNCTION("""COMPUTED_VALUE"""),"Central Michigan ")</f>
        <v>Central Michigan </v>
      </c>
      <c r="J46" t="str">
        <f>IFERROR(__xludf.DUMMYFUNCTION("""COMPUTED_VALUE"""),"")</f>
        <v/>
      </c>
      <c r="K46" t="s">
        <v>241</v>
      </c>
      <c r="L46" t="str">
        <f t="shared" si="1"/>
        <v/>
      </c>
      <c r="M46">
        <v>0.0</v>
      </c>
    </row>
    <row r="47">
      <c r="A47" t="s">
        <v>48</v>
      </c>
      <c r="B47" t="s">
        <v>176</v>
      </c>
      <c r="C47" t="s">
        <v>235</v>
      </c>
      <c r="D47" t="s">
        <v>225</v>
      </c>
      <c r="E47" t="s">
        <v>236</v>
      </c>
      <c r="F47">
        <v>0.0</v>
      </c>
      <c r="G47" t="b">
        <v>0</v>
      </c>
      <c r="H47" t="str">
        <f>IFERROR(__xludf.DUMMYFUNCTION("""COMPUTED_VALUE"""),"(4) Georgia")</f>
        <v>(4) Georgia</v>
      </c>
      <c r="I47" t="str">
        <f>IFERROR(__xludf.DUMMYFUNCTION("""COMPUTED_VALUE"""),"LSU ")</f>
        <v>LSU </v>
      </c>
      <c r="J47" t="str">
        <f>IFERROR(__xludf.DUMMYFUNCTION("""COMPUTED_VALUE"""),"")</f>
        <v/>
      </c>
      <c r="K47" t="s">
        <v>241</v>
      </c>
      <c r="L47" t="str">
        <f t="shared" si="1"/>
        <v/>
      </c>
      <c r="M47">
        <v>0.0</v>
      </c>
    </row>
    <row r="48">
      <c r="A48" t="s">
        <v>48</v>
      </c>
      <c r="B48" t="s">
        <v>105</v>
      </c>
      <c r="C48" t="s">
        <v>202</v>
      </c>
      <c r="E48" t="s">
        <v>203</v>
      </c>
      <c r="F48">
        <v>0.0</v>
      </c>
      <c r="G48" t="b">
        <v>0</v>
      </c>
      <c r="H48" t="str">
        <f>IFERROR(__xludf.DUMMYFUNCTION("""COMPUTED_VALUE"""),"BYE")</f>
        <v>BYE</v>
      </c>
      <c r="J48" t="str">
        <f>IFERROR(__xludf.DUMMYFUNCTION("""COMPUTED_VALUE"""),"")</f>
        <v/>
      </c>
      <c r="K48" t="s">
        <v>241</v>
      </c>
      <c r="L48" t="str">
        <f t="shared" si="1"/>
        <v/>
      </c>
      <c r="M48">
        <v>0.0</v>
      </c>
    </row>
    <row r="49">
      <c r="A49" t="s">
        <v>48</v>
      </c>
      <c r="B49" t="s">
        <v>187</v>
      </c>
      <c r="C49" t="s">
        <v>202</v>
      </c>
      <c r="E49" t="s">
        <v>203</v>
      </c>
      <c r="F49">
        <v>0.0</v>
      </c>
      <c r="G49" t="b">
        <v>0</v>
      </c>
      <c r="H49" t="str">
        <f>IFERROR(__xludf.DUMMYFUNCTION("""COMPUTED_VALUE"""),"BYE")</f>
        <v>BYE</v>
      </c>
      <c r="J49" t="str">
        <f>IFERROR(__xludf.DUMMYFUNCTION("""COMPUTED_VALUE"""),"")</f>
        <v/>
      </c>
      <c r="K49" t="s">
        <v>241</v>
      </c>
      <c r="L49" t="str">
        <f t="shared" si="1"/>
        <v/>
      </c>
      <c r="M49">
        <v>0.0</v>
      </c>
    </row>
    <row r="50">
      <c r="A50" t="s">
        <v>48</v>
      </c>
      <c r="B50" t="s">
        <v>120</v>
      </c>
      <c r="C50" t="s">
        <v>202</v>
      </c>
      <c r="E50" t="s">
        <v>203</v>
      </c>
      <c r="F50">
        <v>0.0</v>
      </c>
      <c r="G50" t="b">
        <v>0</v>
      </c>
      <c r="H50" t="str">
        <f>IFERROR(__xludf.DUMMYFUNCTION("""COMPUTED_VALUE"""),"BYE")</f>
        <v>BYE</v>
      </c>
      <c r="J50" t="str">
        <f>IFERROR(__xludf.DUMMYFUNCTION("""COMPUTED_VALUE"""),"")</f>
        <v/>
      </c>
      <c r="K50" t="s">
        <v>241</v>
      </c>
      <c r="L50" t="str">
        <f t="shared" si="1"/>
        <v/>
      </c>
      <c r="M50">
        <v>0.0</v>
      </c>
    </row>
    <row r="51">
      <c r="A51" t="s">
        <v>48</v>
      </c>
      <c r="B51" t="s">
        <v>127</v>
      </c>
      <c r="C51" t="s">
        <v>202</v>
      </c>
      <c r="E51" t="s">
        <v>203</v>
      </c>
      <c r="F51">
        <v>0.0</v>
      </c>
      <c r="G51" t="b">
        <v>0</v>
      </c>
      <c r="H51" t="str">
        <f>IFERROR(__xludf.DUMMYFUNCTION("""COMPUTED_VALUE"""),"BYE")</f>
        <v>BYE</v>
      </c>
      <c r="J51" t="str">
        <f>IFERROR(__xludf.DUMMYFUNCTION("""COMPUTED_VALUE"""),"")</f>
        <v/>
      </c>
      <c r="K51" t="s">
        <v>241</v>
      </c>
      <c r="L51" t="str">
        <f t="shared" si="1"/>
        <v/>
      </c>
      <c r="M51">
        <v>0.0</v>
      </c>
    </row>
    <row r="52">
      <c r="A52" t="s">
        <v>48</v>
      </c>
      <c r="B52" t="s">
        <v>155</v>
      </c>
      <c r="C52" t="s">
        <v>202</v>
      </c>
      <c r="E52" t="s">
        <v>203</v>
      </c>
      <c r="F52">
        <v>0.0</v>
      </c>
      <c r="G52" t="b">
        <v>0</v>
      </c>
      <c r="H52" t="str">
        <f>IFERROR(__xludf.DUMMYFUNCTION("""COMPUTED_VALUE"""),"BYE")</f>
        <v>BYE</v>
      </c>
      <c r="J52" t="str">
        <f>IFERROR(__xludf.DUMMYFUNCTION("""COMPUTED_VALUE"""),"")</f>
        <v/>
      </c>
      <c r="K52" t="s">
        <v>241</v>
      </c>
      <c r="L52" t="str">
        <f t="shared" si="1"/>
        <v/>
      </c>
      <c r="M52">
        <v>0.0</v>
      </c>
    </row>
    <row r="53">
      <c r="A53" t="s">
        <v>48</v>
      </c>
      <c r="B53" t="s">
        <v>33</v>
      </c>
      <c r="C53" t="s">
        <v>202</v>
      </c>
      <c r="E53" t="s">
        <v>203</v>
      </c>
      <c r="F53">
        <v>0.0</v>
      </c>
      <c r="G53" t="b">
        <v>0</v>
      </c>
      <c r="H53" t="str">
        <f>IFERROR(__xludf.DUMMYFUNCTION("""COMPUTED_VALUE"""),"BYE")</f>
        <v>BYE</v>
      </c>
      <c r="J53" t="str">
        <f>IFERROR(__xludf.DUMMYFUNCTION("""COMPUTED_VALUE"""),"")</f>
        <v/>
      </c>
      <c r="K53" t="s">
        <v>241</v>
      </c>
      <c r="L53" t="str">
        <f t="shared" si="1"/>
        <v/>
      </c>
      <c r="M53">
        <v>0.0</v>
      </c>
    </row>
    <row r="54">
      <c r="A54" t="s">
        <v>48</v>
      </c>
      <c r="B54" t="s">
        <v>90</v>
      </c>
      <c r="C54" t="s">
        <v>202</v>
      </c>
      <c r="E54" t="s">
        <v>203</v>
      </c>
      <c r="F54">
        <v>0.0</v>
      </c>
      <c r="G54" t="b">
        <v>0</v>
      </c>
      <c r="H54" t="str">
        <f>IFERROR(__xludf.DUMMYFUNCTION("""COMPUTED_VALUE"""),"BYE")</f>
        <v>BYE</v>
      </c>
      <c r="J54" t="str">
        <f>IFERROR(__xludf.DUMMYFUNCTION("""COMPUTED_VALUE"""),"")</f>
        <v/>
      </c>
      <c r="K54" t="s">
        <v>241</v>
      </c>
      <c r="L54" t="str">
        <f t="shared" si="1"/>
        <v/>
      </c>
      <c r="M54">
        <v>0.0</v>
      </c>
    </row>
    <row r="55">
      <c r="A55" t="s">
        <v>48</v>
      </c>
      <c r="B55" t="s">
        <v>162</v>
      </c>
      <c r="C55" t="s">
        <v>202</v>
      </c>
      <c r="E55" t="s">
        <v>203</v>
      </c>
      <c r="F55">
        <v>0.0</v>
      </c>
      <c r="G55" t="b">
        <v>0</v>
      </c>
      <c r="H55" t="str">
        <f>IFERROR(__xludf.DUMMYFUNCTION("""COMPUTED_VALUE"""),"BYE")</f>
        <v>BYE</v>
      </c>
      <c r="J55" t="str">
        <f>IFERROR(__xludf.DUMMYFUNCTION("""COMPUTED_VALUE"""),"")</f>
        <v/>
      </c>
      <c r="K55" t="s">
        <v>241</v>
      </c>
      <c r="L55" t="str">
        <f t="shared" si="1"/>
        <v/>
      </c>
      <c r="M55">
        <v>0.0</v>
      </c>
    </row>
    <row r="56">
      <c r="A56" t="s">
        <v>2</v>
      </c>
      <c r="B56" t="s">
        <v>227</v>
      </c>
      <c r="C56" t="s">
        <v>245</v>
      </c>
      <c r="D56" t="s">
        <v>228</v>
      </c>
      <c r="E56" t="s">
        <v>229</v>
      </c>
      <c r="F56">
        <v>0.0</v>
      </c>
      <c r="G56" t="b">
        <v>0</v>
      </c>
      <c r="H56" t="str">
        <f>IFERROR(__xludf.DUMMYFUNCTION("""COMPUTED_VALUE"""),"Match Up")</f>
        <v>Match Up</v>
      </c>
      <c r="J56" t="str">
        <f>IFERROR(__xludf.DUMMYFUNCTION("""COMPUTED_VALUE"""),"")</f>
        <v/>
      </c>
      <c r="K56" t="s">
        <v>241</v>
      </c>
      <c r="L56" t="str">
        <f t="shared" si="1"/>
        <v/>
      </c>
      <c r="M56">
        <v>0.0</v>
      </c>
    </row>
    <row r="57">
      <c r="A57" t="s">
        <v>53</v>
      </c>
      <c r="B57" t="s">
        <v>100</v>
      </c>
      <c r="C57" t="s">
        <v>238</v>
      </c>
      <c r="D57" t="s">
        <v>239</v>
      </c>
      <c r="E57">
        <v>-9.0</v>
      </c>
      <c r="F57">
        <v>1.0</v>
      </c>
      <c r="G57" t="b">
        <v>0</v>
      </c>
      <c r="H57" t="str">
        <f>IFERROR(__xludf.DUMMYFUNCTION("""COMPUTED_VALUE"""),"(8) Baylor")</f>
        <v>(8) Baylor</v>
      </c>
      <c r="I57" t="str">
        <f>IFERROR(__xludf.DUMMYFUNCTION("""COMPUTED_VALUE"""),"Oklahoma ")</f>
        <v>Oklahoma </v>
      </c>
      <c r="J57" t="str">
        <f>IFERROR(__xludf.DUMMYFUNCTION("""COMPUTED_VALUE"""),"")</f>
        <v/>
      </c>
      <c r="K57" t="s">
        <v>241</v>
      </c>
      <c r="L57" t="str">
        <f t="shared" si="1"/>
        <v/>
      </c>
      <c r="M57">
        <v>0.0</v>
      </c>
    </row>
    <row r="58">
      <c r="A58" t="s">
        <v>53</v>
      </c>
      <c r="B58" t="s">
        <v>136</v>
      </c>
      <c r="C58" t="s">
        <v>255</v>
      </c>
      <c r="D58" t="s">
        <v>256</v>
      </c>
      <c r="E58" t="s">
        <v>257</v>
      </c>
      <c r="F58">
        <v>0.0</v>
      </c>
      <c r="G58" t="b">
        <v>0</v>
      </c>
      <c r="H58" t="str">
        <f>IFERROR(__xludf.DUMMYFUNCTION("""COMPUTED_VALUE"""),"UAB")</f>
        <v>UAB</v>
      </c>
      <c r="I58" t="str">
        <f>IFERROR(__xludf.DUMMYFUNCTION("""COMPUTED_VALUE"""),"Florida Atlantic ")</f>
        <v>Florida Atlantic </v>
      </c>
      <c r="J58" t="str">
        <f>IFERROR(__xludf.DUMMYFUNCTION("""COMPUTED_VALUE"""),"")</f>
        <v/>
      </c>
      <c r="K58" t="s">
        <v>241</v>
      </c>
      <c r="L58" t="str">
        <f t="shared" si="1"/>
        <v/>
      </c>
      <c r="M58">
        <v>0.0</v>
      </c>
    </row>
    <row r="59">
      <c r="A59" t="s">
        <v>53</v>
      </c>
      <c r="B59" t="s">
        <v>93</v>
      </c>
      <c r="C59" t="s">
        <v>208</v>
      </c>
      <c r="D59" t="s">
        <v>209</v>
      </c>
      <c r="E59">
        <v>29.0</v>
      </c>
      <c r="F59">
        <v>0.0</v>
      </c>
      <c r="G59" t="b">
        <v>0</v>
      </c>
      <c r="H59" t="str">
        <f>IFERROR(__xludf.DUMMYFUNCTION("""COMPUTED_VALUE"""),"(22) Virginia")</f>
        <v>(22) Virginia</v>
      </c>
      <c r="I59" t="str">
        <f>IFERROR(__xludf.DUMMYFUNCTION("""COMPUTED_VALUE"""),"Clemson ")</f>
        <v>Clemson </v>
      </c>
      <c r="J59" t="str">
        <f>IFERROR(__xludf.DUMMYFUNCTION("""COMPUTED_VALUE"""),"")</f>
        <v/>
      </c>
      <c r="K59" t="s">
        <v>241</v>
      </c>
      <c r="L59" t="str">
        <f t="shared" si="1"/>
        <v/>
      </c>
      <c r="M59">
        <v>0.0</v>
      </c>
    </row>
    <row r="60">
      <c r="A60" t="s">
        <v>53</v>
      </c>
      <c r="B60" t="s">
        <v>148</v>
      </c>
      <c r="C60" t="s">
        <v>202</v>
      </c>
      <c r="E60" t="s">
        <v>203</v>
      </c>
      <c r="F60">
        <v>0.0</v>
      </c>
      <c r="G60" t="b">
        <v>0</v>
      </c>
      <c r="H60" t="str">
        <f>IFERROR(__xludf.DUMMYFUNCTION("""COMPUTED_VALUE"""),"BYE")</f>
        <v>BYE</v>
      </c>
      <c r="J60" t="str">
        <f>IFERROR(__xludf.DUMMYFUNCTION("""COMPUTED_VALUE"""),"")</f>
        <v/>
      </c>
      <c r="K60" t="s">
        <v>241</v>
      </c>
      <c r="L60" t="str">
        <f t="shared" si="1"/>
        <v/>
      </c>
      <c r="M60">
        <v>0.0</v>
      </c>
    </row>
    <row r="61">
      <c r="A61" t="s">
        <v>53</v>
      </c>
      <c r="B61" t="s">
        <v>179</v>
      </c>
      <c r="C61" t="s">
        <v>202</v>
      </c>
      <c r="E61" t="s">
        <v>203</v>
      </c>
      <c r="F61">
        <v>0.0</v>
      </c>
      <c r="G61" t="b">
        <v>0</v>
      </c>
      <c r="H61" t="str">
        <f>IFERROR(__xludf.DUMMYFUNCTION("""COMPUTED_VALUE"""),"BYE")</f>
        <v>BYE</v>
      </c>
      <c r="J61" t="str">
        <f>IFERROR(__xludf.DUMMYFUNCTION("""COMPUTED_VALUE"""),"")</f>
        <v/>
      </c>
      <c r="K61" t="s">
        <v>241</v>
      </c>
      <c r="L61" t="str">
        <f t="shared" si="1"/>
        <v/>
      </c>
      <c r="M61">
        <v>0.0</v>
      </c>
    </row>
    <row r="62">
      <c r="A62" t="s">
        <v>53</v>
      </c>
      <c r="B62" t="s">
        <v>119</v>
      </c>
      <c r="C62" t="s">
        <v>202</v>
      </c>
      <c r="E62" t="s">
        <v>203</v>
      </c>
      <c r="F62">
        <v>0.0</v>
      </c>
      <c r="G62" t="b">
        <v>0</v>
      </c>
      <c r="H62" t="str">
        <f>IFERROR(__xludf.DUMMYFUNCTION("""COMPUTED_VALUE"""),"BYE")</f>
        <v>BYE</v>
      </c>
      <c r="J62" t="str">
        <f>IFERROR(__xludf.DUMMYFUNCTION("""COMPUTED_VALUE"""),"")</f>
        <v/>
      </c>
      <c r="K62" t="s">
        <v>241</v>
      </c>
      <c r="L62" t="str">
        <f t="shared" si="1"/>
        <v/>
      </c>
      <c r="M62">
        <v>0.0</v>
      </c>
    </row>
    <row r="63">
      <c r="A63" t="s">
        <v>53</v>
      </c>
      <c r="B63" t="s">
        <v>42</v>
      </c>
      <c r="C63" t="s">
        <v>202</v>
      </c>
      <c r="E63" t="s">
        <v>203</v>
      </c>
      <c r="F63">
        <v>0.0</v>
      </c>
      <c r="G63" t="b">
        <v>0</v>
      </c>
      <c r="H63" t="str">
        <f>IFERROR(__xludf.DUMMYFUNCTION("""COMPUTED_VALUE"""),"BYE")</f>
        <v>BYE</v>
      </c>
      <c r="J63" t="str">
        <f>IFERROR(__xludf.DUMMYFUNCTION("""COMPUTED_VALUE"""),"")</f>
        <v/>
      </c>
      <c r="K63" t="s">
        <v>241</v>
      </c>
      <c r="L63" t="str">
        <f t="shared" si="1"/>
        <v/>
      </c>
      <c r="M63">
        <v>0.0</v>
      </c>
    </row>
    <row r="64">
      <c r="A64" t="s">
        <v>53</v>
      </c>
      <c r="B64" t="s">
        <v>164</v>
      </c>
      <c r="C64" t="s">
        <v>202</v>
      </c>
      <c r="E64" t="s">
        <v>203</v>
      </c>
      <c r="F64">
        <v>0.0</v>
      </c>
      <c r="G64" t="b">
        <v>0</v>
      </c>
      <c r="H64" t="str">
        <f>IFERROR(__xludf.DUMMYFUNCTION("""COMPUTED_VALUE"""),"BYE")</f>
        <v>BYE</v>
      </c>
      <c r="J64" t="str">
        <f>IFERROR(__xludf.DUMMYFUNCTION("""COMPUTED_VALUE"""),"")</f>
        <v/>
      </c>
      <c r="K64" t="s">
        <v>241</v>
      </c>
      <c r="L64" t="str">
        <f t="shared" si="1"/>
        <v/>
      </c>
      <c r="M64">
        <v>0.0</v>
      </c>
    </row>
    <row r="65">
      <c r="A65" t="s">
        <v>53</v>
      </c>
      <c r="B65" t="s">
        <v>191</v>
      </c>
      <c r="C65" t="s">
        <v>202</v>
      </c>
      <c r="E65" t="s">
        <v>203</v>
      </c>
      <c r="F65">
        <v>0.0</v>
      </c>
      <c r="G65" t="b">
        <v>0</v>
      </c>
      <c r="H65" t="str">
        <f>IFERROR(__xludf.DUMMYFUNCTION("""COMPUTED_VALUE"""),"BYE")</f>
        <v>BYE</v>
      </c>
      <c r="J65" t="str">
        <f>IFERROR(__xludf.DUMMYFUNCTION("""COMPUTED_VALUE"""),"")</f>
        <v/>
      </c>
      <c r="K65" t="s">
        <v>241</v>
      </c>
      <c r="L65" t="str">
        <f t="shared" si="1"/>
        <v/>
      </c>
      <c r="M65">
        <v>0.0</v>
      </c>
    </row>
    <row r="66">
      <c r="A66" t="s">
        <v>53</v>
      </c>
      <c r="B66" t="s">
        <v>157</v>
      </c>
      <c r="C66" t="s">
        <v>202</v>
      </c>
      <c r="E66" t="s">
        <v>203</v>
      </c>
      <c r="F66">
        <v>0.0</v>
      </c>
      <c r="G66" t="b">
        <v>0</v>
      </c>
      <c r="H66" t="str">
        <f>IFERROR(__xludf.DUMMYFUNCTION("""COMPUTED_VALUE"""),"BYE")</f>
        <v>BYE</v>
      </c>
      <c r="J66" t="str">
        <f>IFERROR(__xludf.DUMMYFUNCTION("""COMPUTED_VALUE"""),"")</f>
        <v/>
      </c>
      <c r="K66" t="s">
        <v>241</v>
      </c>
      <c r="L66" t="str">
        <f t="shared" si="1"/>
        <v/>
      </c>
      <c r="M66">
        <v>0.0</v>
      </c>
    </row>
    <row r="67">
      <c r="A67" t="s">
        <v>2</v>
      </c>
      <c r="B67" t="s">
        <v>227</v>
      </c>
      <c r="C67" t="s">
        <v>245</v>
      </c>
      <c r="D67" t="s">
        <v>228</v>
      </c>
      <c r="E67" t="s">
        <v>229</v>
      </c>
      <c r="F67">
        <v>0.0</v>
      </c>
      <c r="G67" t="b">
        <v>0</v>
      </c>
      <c r="H67" t="str">
        <f>IFERROR(__xludf.DUMMYFUNCTION("""COMPUTED_VALUE"""),"Match Up")</f>
        <v>Match Up</v>
      </c>
      <c r="J67" t="str">
        <f>IFERROR(__xludf.DUMMYFUNCTION("""COMPUTED_VALUE"""),"")</f>
        <v/>
      </c>
      <c r="K67" t="s">
        <v>241</v>
      </c>
      <c r="L67" t="str">
        <f t="shared" si="1"/>
        <v/>
      </c>
      <c r="M67">
        <v>0.0</v>
      </c>
    </row>
    <row r="68">
      <c r="A68" t="s">
        <v>58</v>
      </c>
      <c r="B68" t="s">
        <v>165</v>
      </c>
      <c r="C68" t="s">
        <v>258</v>
      </c>
      <c r="D68" t="s">
        <v>259</v>
      </c>
      <c r="E68" t="s">
        <v>247</v>
      </c>
      <c r="F68">
        <v>0.0</v>
      </c>
      <c r="G68" t="b">
        <v>0</v>
      </c>
      <c r="H68" t="str">
        <f>IFERROR(__xludf.DUMMYFUNCTION("""COMPUTED_VALUE"""),"(5) Utah")</f>
        <v>(5) Utah</v>
      </c>
      <c r="I68" t="str">
        <f>IFERROR(__xludf.DUMMYFUNCTION("""COMPUTED_VALUE"""),"Oregon ")</f>
        <v>Oregon </v>
      </c>
      <c r="J68" t="str">
        <f>IFERROR(__xludf.DUMMYFUNCTION("""COMPUTED_VALUE"""),"")</f>
        <v/>
      </c>
      <c r="K68" t="s">
        <v>241</v>
      </c>
      <c r="L68" t="str">
        <f t="shared" si="1"/>
        <v/>
      </c>
      <c r="M68">
        <v>0.0</v>
      </c>
    </row>
    <row r="69">
      <c r="A69" t="s">
        <v>58</v>
      </c>
      <c r="B69" t="s">
        <v>96</v>
      </c>
      <c r="C69" t="s">
        <v>238</v>
      </c>
      <c r="D69" t="s">
        <v>239</v>
      </c>
      <c r="E69">
        <v>9.0</v>
      </c>
      <c r="F69">
        <v>0.0</v>
      </c>
      <c r="G69" t="b">
        <v>0</v>
      </c>
      <c r="H69" t="str">
        <f>IFERROR(__xludf.DUMMYFUNCTION("""COMPUTED_VALUE"""),"(8) Baylor")</f>
        <v>(8) Baylor</v>
      </c>
      <c r="I69" t="str">
        <f>IFERROR(__xludf.DUMMYFUNCTION("""COMPUTED_VALUE"""),"Oklahoma ")</f>
        <v>Oklahoma </v>
      </c>
      <c r="J69" t="str">
        <f>IFERROR(__xludf.DUMMYFUNCTION("""COMPUTED_VALUE"""),"")</f>
        <v/>
      </c>
      <c r="K69" t="s">
        <v>241</v>
      </c>
      <c r="L69" t="str">
        <f t="shared" si="1"/>
        <v/>
      </c>
      <c r="M69">
        <v>0.0</v>
      </c>
    </row>
    <row r="70">
      <c r="A70" t="s">
        <v>58</v>
      </c>
      <c r="B70" t="s">
        <v>186</v>
      </c>
      <c r="C70" t="s">
        <v>243</v>
      </c>
      <c r="D70" t="s">
        <v>239</v>
      </c>
      <c r="E70" t="s">
        <v>244</v>
      </c>
      <c r="F70">
        <v>1.0</v>
      </c>
      <c r="G70" t="b">
        <v>0</v>
      </c>
      <c r="H70" t="str">
        <f>IFERROR(__xludf.DUMMYFUNCTION("""COMPUTED_VALUE"""),"UL Lafayette")</f>
        <v>UL Lafayette</v>
      </c>
      <c r="I70" t="str">
        <f>IFERROR(__xludf.DUMMYFUNCTION("""COMPUTED_VALUE"""),"Appalachian State ")</f>
        <v>Appalachian State </v>
      </c>
      <c r="J70" t="str">
        <f>IFERROR(__xludf.DUMMYFUNCTION("""COMPUTED_VALUE"""),"")</f>
        <v/>
      </c>
      <c r="K70" t="s">
        <v>241</v>
      </c>
      <c r="L70" t="str">
        <f t="shared" si="1"/>
        <v/>
      </c>
      <c r="M70">
        <v>0.0</v>
      </c>
    </row>
    <row r="71">
      <c r="A71" t="s">
        <v>58</v>
      </c>
      <c r="B71" t="s">
        <v>140</v>
      </c>
      <c r="C71" t="s">
        <v>202</v>
      </c>
      <c r="E71" t="s">
        <v>203</v>
      </c>
      <c r="F71">
        <v>0.0</v>
      </c>
      <c r="G71" t="b">
        <v>0</v>
      </c>
      <c r="H71" t="str">
        <f>IFERROR(__xludf.DUMMYFUNCTION("""COMPUTED_VALUE"""),"BYE")</f>
        <v>BYE</v>
      </c>
      <c r="J71" t="str">
        <f>IFERROR(__xludf.DUMMYFUNCTION("""COMPUTED_VALUE"""),"")</f>
        <v/>
      </c>
      <c r="K71" t="s">
        <v>241</v>
      </c>
      <c r="L71" t="str">
        <f t="shared" si="1"/>
        <v/>
      </c>
      <c r="M71">
        <v>0.0</v>
      </c>
    </row>
    <row r="72">
      <c r="A72" t="s">
        <v>58</v>
      </c>
      <c r="B72" t="s">
        <v>110</v>
      </c>
      <c r="C72" t="s">
        <v>202</v>
      </c>
      <c r="E72" t="s">
        <v>203</v>
      </c>
      <c r="F72">
        <v>0.0</v>
      </c>
      <c r="G72" t="b">
        <v>0</v>
      </c>
      <c r="H72" t="str">
        <f>IFERROR(__xludf.DUMMYFUNCTION("""COMPUTED_VALUE"""),"BYE")</f>
        <v>BYE</v>
      </c>
      <c r="J72" t="str">
        <f>IFERROR(__xludf.DUMMYFUNCTION("""COMPUTED_VALUE"""),"")</f>
        <v/>
      </c>
      <c r="K72" t="s">
        <v>241</v>
      </c>
      <c r="L72" t="str">
        <f t="shared" si="1"/>
        <v/>
      </c>
      <c r="M72">
        <v>0.0</v>
      </c>
    </row>
    <row r="73">
      <c r="A73" t="s">
        <v>58</v>
      </c>
      <c r="B73" t="s">
        <v>45</v>
      </c>
      <c r="C73" t="s">
        <v>202</v>
      </c>
      <c r="E73" t="s">
        <v>203</v>
      </c>
      <c r="F73">
        <v>0.0</v>
      </c>
      <c r="G73" t="b">
        <v>0</v>
      </c>
      <c r="H73" t="str">
        <f>IFERROR(__xludf.DUMMYFUNCTION("""COMPUTED_VALUE"""),"BYE")</f>
        <v>BYE</v>
      </c>
      <c r="J73" t="str">
        <f>IFERROR(__xludf.DUMMYFUNCTION("""COMPUTED_VALUE"""),"")</f>
        <v/>
      </c>
      <c r="K73" t="s">
        <v>241</v>
      </c>
      <c r="L73" t="str">
        <f t="shared" si="1"/>
        <v/>
      </c>
      <c r="M73">
        <v>0.0</v>
      </c>
    </row>
    <row r="74">
      <c r="A74" t="s">
        <v>58</v>
      </c>
      <c r="B74" t="s">
        <v>135</v>
      </c>
      <c r="C74" t="s">
        <v>202</v>
      </c>
      <c r="E74" t="s">
        <v>203</v>
      </c>
      <c r="F74">
        <v>0.0</v>
      </c>
      <c r="G74" t="b">
        <v>0</v>
      </c>
      <c r="H74" t="str">
        <f>IFERROR(__xludf.DUMMYFUNCTION("""COMPUTED_VALUE"""),"BYE")</f>
        <v>BYE</v>
      </c>
      <c r="J74" t="str">
        <f>IFERROR(__xludf.DUMMYFUNCTION("""COMPUTED_VALUE"""),"")</f>
        <v/>
      </c>
      <c r="K74" t="s">
        <v>241</v>
      </c>
      <c r="L74" t="str">
        <f t="shared" si="1"/>
        <v/>
      </c>
      <c r="M74">
        <v>0.0</v>
      </c>
    </row>
    <row r="75">
      <c r="A75" t="s">
        <v>58</v>
      </c>
      <c r="B75" t="s">
        <v>158</v>
      </c>
      <c r="C75" t="s">
        <v>202</v>
      </c>
      <c r="E75" t="s">
        <v>203</v>
      </c>
      <c r="F75">
        <v>0.0</v>
      </c>
      <c r="G75" t="b">
        <v>0</v>
      </c>
      <c r="H75" t="str">
        <f>IFERROR(__xludf.DUMMYFUNCTION("""COMPUTED_VALUE"""),"BYE")</f>
        <v>BYE</v>
      </c>
      <c r="J75" t="str">
        <f>IFERROR(__xludf.DUMMYFUNCTION("""COMPUTED_VALUE"""),"")</f>
        <v/>
      </c>
      <c r="K75" t="s">
        <v>241</v>
      </c>
      <c r="L75" t="str">
        <f t="shared" si="1"/>
        <v/>
      </c>
      <c r="M75">
        <v>0.0</v>
      </c>
    </row>
    <row r="76">
      <c r="A76" t="s">
        <v>58</v>
      </c>
      <c r="B76" t="s">
        <v>72</v>
      </c>
      <c r="C76" t="s">
        <v>202</v>
      </c>
      <c r="E76" t="s">
        <v>203</v>
      </c>
      <c r="F76">
        <v>0.0</v>
      </c>
      <c r="G76" t="b">
        <v>0</v>
      </c>
      <c r="H76" t="str">
        <f>IFERROR(__xludf.DUMMYFUNCTION("""COMPUTED_VALUE"""),"BYE")</f>
        <v>BYE</v>
      </c>
      <c r="J76" t="str">
        <f>IFERROR(__xludf.DUMMYFUNCTION("""COMPUTED_VALUE"""),"")</f>
        <v/>
      </c>
      <c r="K76" t="s">
        <v>241</v>
      </c>
      <c r="L76" t="str">
        <f t="shared" si="1"/>
        <v/>
      </c>
      <c r="M76">
        <v>0.0</v>
      </c>
    </row>
    <row r="77">
      <c r="A77" t="s">
        <v>58</v>
      </c>
      <c r="B77" t="s">
        <v>183</v>
      </c>
      <c r="C77" t="s">
        <v>202</v>
      </c>
      <c r="E77" t="s">
        <v>203</v>
      </c>
      <c r="F77">
        <v>0.0</v>
      </c>
      <c r="G77" t="b">
        <v>0</v>
      </c>
      <c r="H77" t="str">
        <f>IFERROR(__xludf.DUMMYFUNCTION("""COMPUTED_VALUE"""),"BYE")</f>
        <v>BYE</v>
      </c>
      <c r="J77" t="str">
        <f>IFERROR(__xludf.DUMMYFUNCTION("""COMPUTED_VALUE"""),"")</f>
        <v/>
      </c>
      <c r="K77" t="s">
        <v>241</v>
      </c>
      <c r="L77" t="str">
        <f t="shared" si="1"/>
        <v/>
      </c>
      <c r="M77">
        <v>0.0</v>
      </c>
    </row>
    <row r="78">
      <c r="A78" t="s">
        <v>2</v>
      </c>
      <c r="B78" t="s">
        <v>227</v>
      </c>
      <c r="C78" t="s">
        <v>245</v>
      </c>
      <c r="D78" t="s">
        <v>228</v>
      </c>
      <c r="E78" t="s">
        <v>229</v>
      </c>
      <c r="F78">
        <v>0.0</v>
      </c>
      <c r="G78" t="b">
        <v>0</v>
      </c>
      <c r="H78" t="str">
        <f>IFERROR(__xludf.DUMMYFUNCTION("""COMPUTED_VALUE"""),"Match Up")</f>
        <v>Match Up</v>
      </c>
      <c r="J78" t="str">
        <f>IFERROR(__xludf.DUMMYFUNCTION("""COMPUTED_VALUE"""),"")</f>
        <v/>
      </c>
      <c r="K78" t="s">
        <v>241</v>
      </c>
      <c r="L78" t="str">
        <f t="shared" si="1"/>
        <v/>
      </c>
      <c r="M78">
        <v>0.0</v>
      </c>
    </row>
    <row r="79">
      <c r="A79" t="s">
        <v>60</v>
      </c>
      <c r="B79" t="s">
        <v>137</v>
      </c>
      <c r="C79" t="s">
        <v>202</v>
      </c>
      <c r="E79" t="s">
        <v>203</v>
      </c>
      <c r="F79">
        <v>0.0</v>
      </c>
      <c r="G79" t="b">
        <v>0</v>
      </c>
      <c r="H79" t="str">
        <f>IFERROR(__xludf.DUMMYFUNCTION("""COMPUTED_VALUE"""),"BYE")</f>
        <v>BYE</v>
      </c>
      <c r="J79" t="str">
        <f>IFERROR(__xludf.DUMMYFUNCTION("""COMPUTED_VALUE"""),"")</f>
        <v/>
      </c>
      <c r="K79" t="s">
        <v>241</v>
      </c>
      <c r="L79" t="str">
        <f t="shared" si="1"/>
        <v/>
      </c>
      <c r="M79">
        <v>0.0</v>
      </c>
    </row>
    <row r="80">
      <c r="A80" t="s">
        <v>60</v>
      </c>
      <c r="B80" t="s">
        <v>103</v>
      </c>
      <c r="C80" t="s">
        <v>202</v>
      </c>
      <c r="E80" t="s">
        <v>203</v>
      </c>
      <c r="F80">
        <v>0.0</v>
      </c>
      <c r="G80" t="b">
        <v>0</v>
      </c>
      <c r="H80" t="str">
        <f>IFERROR(__xludf.DUMMYFUNCTION("""COMPUTED_VALUE"""),"BYE")</f>
        <v>BYE</v>
      </c>
      <c r="J80" t="str">
        <f>IFERROR(__xludf.DUMMYFUNCTION("""COMPUTED_VALUE"""),"")</f>
        <v/>
      </c>
      <c r="K80" t="s">
        <v>241</v>
      </c>
      <c r="L80" t="str">
        <f t="shared" si="1"/>
        <v/>
      </c>
      <c r="M80">
        <v>0.0</v>
      </c>
    </row>
    <row r="81">
      <c r="A81" t="s">
        <v>60</v>
      </c>
      <c r="B81" t="s">
        <v>59</v>
      </c>
      <c r="C81" t="s">
        <v>202</v>
      </c>
      <c r="E81" t="s">
        <v>203</v>
      </c>
      <c r="F81">
        <v>0.0</v>
      </c>
      <c r="G81" t="b">
        <v>0</v>
      </c>
      <c r="H81" t="str">
        <f>IFERROR(__xludf.DUMMYFUNCTION("""COMPUTED_VALUE"""),"BYE")</f>
        <v>BYE</v>
      </c>
      <c r="J81" t="str">
        <f>IFERROR(__xludf.DUMMYFUNCTION("""COMPUTED_VALUE"""),"")</f>
        <v/>
      </c>
      <c r="K81" t="s">
        <v>241</v>
      </c>
      <c r="L81" t="str">
        <f t="shared" si="1"/>
        <v/>
      </c>
      <c r="M81">
        <v>0.0</v>
      </c>
    </row>
    <row r="82">
      <c r="A82" t="s">
        <v>60</v>
      </c>
      <c r="B82" t="s">
        <v>123</v>
      </c>
      <c r="C82" t="s">
        <v>202</v>
      </c>
      <c r="E82" t="s">
        <v>203</v>
      </c>
      <c r="F82">
        <v>0.0</v>
      </c>
      <c r="G82" t="b">
        <v>0</v>
      </c>
      <c r="H82" t="str">
        <f>IFERROR(__xludf.DUMMYFUNCTION("""COMPUTED_VALUE"""),"BYE")</f>
        <v>BYE</v>
      </c>
      <c r="J82" t="str">
        <f>IFERROR(__xludf.DUMMYFUNCTION("""COMPUTED_VALUE"""),"")</f>
        <v/>
      </c>
      <c r="K82" t="s">
        <v>241</v>
      </c>
      <c r="L82" t="str">
        <f t="shared" si="1"/>
        <v/>
      </c>
      <c r="M82">
        <v>0.0</v>
      </c>
    </row>
    <row r="83">
      <c r="A83" t="s">
        <v>60</v>
      </c>
      <c r="B83" t="s">
        <v>117</v>
      </c>
      <c r="C83" t="s">
        <v>202</v>
      </c>
      <c r="E83" t="s">
        <v>203</v>
      </c>
      <c r="F83">
        <v>0.0</v>
      </c>
      <c r="G83" t="b">
        <v>0</v>
      </c>
      <c r="H83" t="str">
        <f>IFERROR(__xludf.DUMMYFUNCTION("""COMPUTED_VALUE"""),"BYE")</f>
        <v>BYE</v>
      </c>
      <c r="J83" t="str">
        <f>IFERROR(__xludf.DUMMYFUNCTION("""COMPUTED_VALUE"""),"")</f>
        <v/>
      </c>
      <c r="K83" t="s">
        <v>241</v>
      </c>
      <c r="L83" t="str">
        <f t="shared" si="1"/>
        <v/>
      </c>
      <c r="M83">
        <v>0.0</v>
      </c>
    </row>
    <row r="84">
      <c r="A84" t="s">
        <v>60</v>
      </c>
      <c r="B84" t="s">
        <v>95</v>
      </c>
      <c r="C84" t="s">
        <v>202</v>
      </c>
      <c r="E84" t="s">
        <v>203</v>
      </c>
      <c r="F84">
        <v>0.0</v>
      </c>
      <c r="G84" t="b">
        <v>0</v>
      </c>
      <c r="H84" t="str">
        <f>IFERROR(__xludf.DUMMYFUNCTION("""COMPUTED_VALUE"""),"BYE")</f>
        <v>BYE</v>
      </c>
      <c r="J84" t="str">
        <f>IFERROR(__xludf.DUMMYFUNCTION("""COMPUTED_VALUE"""),"")</f>
        <v/>
      </c>
      <c r="K84" t="s">
        <v>241</v>
      </c>
      <c r="L84" t="str">
        <f t="shared" si="1"/>
        <v/>
      </c>
      <c r="M84">
        <v>0.0</v>
      </c>
    </row>
    <row r="85">
      <c r="A85" t="s">
        <v>60</v>
      </c>
      <c r="B85" t="s">
        <v>149</v>
      </c>
      <c r="C85" t="s">
        <v>202</v>
      </c>
      <c r="E85" t="s">
        <v>203</v>
      </c>
      <c r="F85">
        <v>0.0</v>
      </c>
      <c r="G85" t="b">
        <v>0</v>
      </c>
      <c r="H85" t="str">
        <f>IFERROR(__xludf.DUMMYFUNCTION("""COMPUTED_VALUE"""),"BYE")</f>
        <v>BYE</v>
      </c>
      <c r="J85" t="str">
        <f>IFERROR(__xludf.DUMMYFUNCTION("""COMPUTED_VALUE"""),"")</f>
        <v/>
      </c>
      <c r="K85" t="s">
        <v>241</v>
      </c>
      <c r="L85" t="str">
        <f t="shared" si="1"/>
        <v/>
      </c>
      <c r="M85">
        <v>0.0</v>
      </c>
    </row>
    <row r="86">
      <c r="A86" t="s">
        <v>60</v>
      </c>
      <c r="B86" t="s">
        <v>166</v>
      </c>
      <c r="C86" t="s">
        <v>202</v>
      </c>
      <c r="E86" t="s">
        <v>203</v>
      </c>
      <c r="F86">
        <v>0.0</v>
      </c>
      <c r="G86" t="b">
        <v>0</v>
      </c>
      <c r="H86" t="str">
        <f>IFERROR(__xludf.DUMMYFUNCTION("""COMPUTED_VALUE"""),"BYE")</f>
        <v>BYE</v>
      </c>
      <c r="J86" t="str">
        <f>IFERROR(__xludf.DUMMYFUNCTION("""COMPUTED_VALUE"""),"")</f>
        <v/>
      </c>
      <c r="K86" t="s">
        <v>241</v>
      </c>
      <c r="L86" t="str">
        <f t="shared" si="1"/>
        <v/>
      </c>
      <c r="M86">
        <v>0.0</v>
      </c>
    </row>
    <row r="87">
      <c r="A87" t="s">
        <v>60</v>
      </c>
      <c r="B87" t="s">
        <v>189</v>
      </c>
      <c r="C87" t="s">
        <v>202</v>
      </c>
      <c r="E87" t="s">
        <v>203</v>
      </c>
      <c r="F87">
        <v>0.0</v>
      </c>
      <c r="G87" t="b">
        <v>0</v>
      </c>
      <c r="H87" t="str">
        <f>IFERROR(__xludf.DUMMYFUNCTION("""COMPUTED_VALUE"""),"BYE")</f>
        <v>BYE</v>
      </c>
      <c r="J87" t="str">
        <f>IFERROR(__xludf.DUMMYFUNCTION("""COMPUTED_VALUE"""),"")</f>
        <v/>
      </c>
      <c r="K87" t="s">
        <v>241</v>
      </c>
      <c r="L87" t="str">
        <f t="shared" si="1"/>
        <v/>
      </c>
      <c r="M87">
        <v>0.0</v>
      </c>
    </row>
    <row r="88">
      <c r="A88" t="s">
        <v>60</v>
      </c>
      <c r="B88" t="s">
        <v>175</v>
      </c>
      <c r="C88" t="s">
        <v>202</v>
      </c>
      <c r="E88" t="s">
        <v>203</v>
      </c>
      <c r="F88">
        <v>0.0</v>
      </c>
      <c r="G88" t="b">
        <v>0</v>
      </c>
      <c r="H88" t="str">
        <f>IFERROR(__xludf.DUMMYFUNCTION("""COMPUTED_VALUE"""),"BYE")</f>
        <v>BYE</v>
      </c>
      <c r="J88" t="str">
        <f>IFERROR(__xludf.DUMMYFUNCTION("""COMPUTED_VALUE"""),"")</f>
        <v/>
      </c>
      <c r="K88" t="s">
        <v>241</v>
      </c>
      <c r="L88" t="str">
        <f t="shared" si="1"/>
        <v/>
      </c>
      <c r="M88">
        <v>0.0</v>
      </c>
    </row>
    <row r="89">
      <c r="A89" t="s">
        <v>2</v>
      </c>
      <c r="B89" t="s">
        <v>227</v>
      </c>
      <c r="C89" t="s">
        <v>245</v>
      </c>
      <c r="D89" t="s">
        <v>228</v>
      </c>
      <c r="E89" t="s">
        <v>229</v>
      </c>
      <c r="F89">
        <v>0.0</v>
      </c>
      <c r="G89" t="b">
        <v>0</v>
      </c>
      <c r="H89" t="str">
        <f>IFERROR(__xludf.DUMMYFUNCTION("""COMPUTED_VALUE"""),"Match Up")</f>
        <v>Match Up</v>
      </c>
      <c r="J89" t="str">
        <f>IFERROR(__xludf.DUMMYFUNCTION("""COMPUTED_VALUE"""),"")</f>
        <v/>
      </c>
      <c r="K89" t="s">
        <v>241</v>
      </c>
      <c r="L89" t="str">
        <f t="shared" si="1"/>
        <v/>
      </c>
      <c r="M89">
        <v>0.0</v>
      </c>
    </row>
    <row r="90">
      <c r="A90" t="s">
        <v>62</v>
      </c>
      <c r="B90" t="s">
        <v>5</v>
      </c>
      <c r="C90" t="s">
        <v>270</v>
      </c>
      <c r="D90" t="s">
        <v>271</v>
      </c>
      <c r="E90" t="s">
        <v>272</v>
      </c>
      <c r="F90">
        <v>0.0</v>
      </c>
      <c r="G90" t="b">
        <v>0</v>
      </c>
      <c r="H90" t="str">
        <f>IFERROR(__xludf.DUMMYFUNCTION("""COMPUTED_VALUE"""),"(21) Cincinnati")</f>
        <v>(21) Cincinnati</v>
      </c>
      <c r="I90" t="str">
        <f>IFERROR(__xludf.DUMMYFUNCTION("""COMPUTED_VALUE"""),"Memphis ")</f>
        <v>Memphis </v>
      </c>
      <c r="J90" t="str">
        <f>IFERROR(__xludf.DUMMYFUNCTION("""COMPUTED_VALUE"""),"")</f>
        <v/>
      </c>
      <c r="K90" t="s">
        <v>241</v>
      </c>
      <c r="L90" t="str">
        <f t="shared" si="1"/>
        <v/>
      </c>
      <c r="M90">
        <v>0.0</v>
      </c>
    </row>
    <row r="91">
      <c r="A91" t="s">
        <v>62</v>
      </c>
      <c r="B91" t="s">
        <v>153</v>
      </c>
      <c r="C91" t="s">
        <v>224</v>
      </c>
      <c r="D91" t="s">
        <v>225</v>
      </c>
      <c r="E91" t="s">
        <v>274</v>
      </c>
      <c r="F91">
        <v>0.0</v>
      </c>
      <c r="G91" t="b">
        <v>0</v>
      </c>
      <c r="H91" t="str">
        <f>IFERROR(__xludf.DUMMYFUNCTION("""COMPUTED_VALUE"""),"Hawaii")</f>
        <v>Hawaii</v>
      </c>
      <c r="I91" t="str">
        <f>IFERROR(__xludf.DUMMYFUNCTION("""COMPUTED_VALUE"""),"Boise State ")</f>
        <v>Boise State </v>
      </c>
      <c r="J91" t="str">
        <f>IFERROR(__xludf.DUMMYFUNCTION("""COMPUTED_VALUE"""),"")</f>
        <v/>
      </c>
      <c r="K91" t="s">
        <v>241</v>
      </c>
      <c r="L91" t="str">
        <f t="shared" si="1"/>
        <v/>
      </c>
      <c r="M91">
        <v>0.0</v>
      </c>
    </row>
    <row r="92">
      <c r="A92" t="s">
        <v>62</v>
      </c>
      <c r="B92" t="s">
        <v>143</v>
      </c>
      <c r="C92" t="s">
        <v>202</v>
      </c>
      <c r="E92" t="s">
        <v>203</v>
      </c>
      <c r="F92">
        <v>0.0</v>
      </c>
      <c r="G92" t="b">
        <v>0</v>
      </c>
      <c r="H92" t="str">
        <f>IFERROR(__xludf.DUMMYFUNCTION("""COMPUTED_VALUE"""),"BYE")</f>
        <v>BYE</v>
      </c>
      <c r="J92" t="str">
        <f>IFERROR(__xludf.DUMMYFUNCTION("""COMPUTED_VALUE"""),"")</f>
        <v/>
      </c>
      <c r="K92" t="s">
        <v>241</v>
      </c>
      <c r="L92" t="str">
        <f t="shared" si="1"/>
        <v/>
      </c>
      <c r="M92">
        <v>0.0</v>
      </c>
    </row>
    <row r="93">
      <c r="A93" t="s">
        <v>62</v>
      </c>
      <c r="B93" t="s">
        <v>171</v>
      </c>
      <c r="C93" t="s">
        <v>202</v>
      </c>
      <c r="E93" t="s">
        <v>203</v>
      </c>
      <c r="F93">
        <v>0.0</v>
      </c>
      <c r="G93" t="b">
        <v>0</v>
      </c>
      <c r="H93" t="str">
        <f>IFERROR(__xludf.DUMMYFUNCTION("""COMPUTED_VALUE"""),"BYE")</f>
        <v>BYE</v>
      </c>
      <c r="J93" t="str">
        <f>IFERROR(__xludf.DUMMYFUNCTION("""COMPUTED_VALUE"""),"")</f>
        <v/>
      </c>
      <c r="K93" t="s">
        <v>241</v>
      </c>
      <c r="L93" t="str">
        <f t="shared" si="1"/>
        <v/>
      </c>
      <c r="M93">
        <v>0.0</v>
      </c>
    </row>
    <row r="94">
      <c r="A94" t="s">
        <v>62</v>
      </c>
      <c r="B94" t="s">
        <v>102</v>
      </c>
      <c r="C94" t="s">
        <v>202</v>
      </c>
      <c r="E94" t="s">
        <v>203</v>
      </c>
      <c r="F94">
        <v>0.0</v>
      </c>
      <c r="G94" t="b">
        <v>0</v>
      </c>
      <c r="H94" t="str">
        <f>IFERROR(__xludf.DUMMYFUNCTION("""COMPUTED_VALUE"""),"BYE")</f>
        <v>BYE</v>
      </c>
      <c r="J94" t="str">
        <f>IFERROR(__xludf.DUMMYFUNCTION("""COMPUTED_VALUE"""),"")</f>
        <v/>
      </c>
      <c r="K94" t="s">
        <v>241</v>
      </c>
      <c r="L94" t="str">
        <f t="shared" si="1"/>
        <v/>
      </c>
      <c r="M94">
        <v>0.0</v>
      </c>
    </row>
    <row r="95">
      <c r="A95" t="s">
        <v>62</v>
      </c>
      <c r="B95" t="s">
        <v>192</v>
      </c>
      <c r="C95" t="s">
        <v>202</v>
      </c>
      <c r="E95" t="s">
        <v>203</v>
      </c>
      <c r="F95">
        <v>0.0</v>
      </c>
      <c r="G95" t="b">
        <v>0</v>
      </c>
      <c r="H95" t="str">
        <f>IFERROR(__xludf.DUMMYFUNCTION("""COMPUTED_VALUE"""),"BYE")</f>
        <v>BYE</v>
      </c>
      <c r="J95" t="str">
        <f>IFERROR(__xludf.DUMMYFUNCTION("""COMPUTED_VALUE"""),"")</f>
        <v/>
      </c>
      <c r="K95" t="s">
        <v>241</v>
      </c>
      <c r="L95" t="str">
        <f t="shared" si="1"/>
        <v/>
      </c>
      <c r="M95">
        <v>0.0</v>
      </c>
    </row>
    <row r="96">
      <c r="A96" t="s">
        <v>62</v>
      </c>
      <c r="B96" t="s">
        <v>112</v>
      </c>
      <c r="C96" t="s">
        <v>202</v>
      </c>
      <c r="E96" t="s">
        <v>203</v>
      </c>
      <c r="F96">
        <v>0.0</v>
      </c>
      <c r="G96" t="b">
        <v>0</v>
      </c>
      <c r="H96" t="str">
        <f>IFERROR(__xludf.DUMMYFUNCTION("""COMPUTED_VALUE"""),"BYE")</f>
        <v>BYE</v>
      </c>
      <c r="J96" t="str">
        <f>IFERROR(__xludf.DUMMYFUNCTION("""COMPUTED_VALUE"""),"")</f>
        <v/>
      </c>
      <c r="K96" t="s">
        <v>241</v>
      </c>
      <c r="L96" t="str">
        <f t="shared" si="1"/>
        <v/>
      </c>
      <c r="M96">
        <v>0.0</v>
      </c>
    </row>
    <row r="97">
      <c r="A97" t="s">
        <v>62</v>
      </c>
      <c r="B97" t="s">
        <v>92</v>
      </c>
      <c r="C97" t="s">
        <v>202</v>
      </c>
      <c r="E97" t="s">
        <v>203</v>
      </c>
      <c r="F97">
        <v>0.0</v>
      </c>
      <c r="G97" t="b">
        <v>0</v>
      </c>
      <c r="H97" t="str">
        <f>IFERROR(__xludf.DUMMYFUNCTION("""COMPUTED_VALUE"""),"BYE")</f>
        <v>BYE</v>
      </c>
      <c r="J97" t="str">
        <f>IFERROR(__xludf.DUMMYFUNCTION("""COMPUTED_VALUE"""),"")</f>
        <v/>
      </c>
      <c r="K97" t="s">
        <v>241</v>
      </c>
      <c r="L97" t="str">
        <f t="shared" si="1"/>
        <v/>
      </c>
      <c r="M97">
        <v>0.0</v>
      </c>
    </row>
    <row r="98">
      <c r="A98" t="s">
        <v>62</v>
      </c>
      <c r="B98" t="s">
        <v>128</v>
      </c>
      <c r="C98" t="s">
        <v>202</v>
      </c>
      <c r="E98" t="s">
        <v>203</v>
      </c>
      <c r="F98">
        <v>0.0</v>
      </c>
      <c r="G98" t="b">
        <v>0</v>
      </c>
      <c r="H98" t="str">
        <f>IFERROR(__xludf.DUMMYFUNCTION("""COMPUTED_VALUE"""),"BYE")</f>
        <v>BYE</v>
      </c>
      <c r="J98" t="str">
        <f>IFERROR(__xludf.DUMMYFUNCTION("""COMPUTED_VALUE"""),"")</f>
        <v/>
      </c>
      <c r="K98" t="s">
        <v>241</v>
      </c>
      <c r="L98" t="str">
        <f t="shared" si="1"/>
        <v/>
      </c>
      <c r="M98">
        <v>0.0</v>
      </c>
    </row>
    <row r="99">
      <c r="A99" t="s">
        <v>62</v>
      </c>
      <c r="B99" t="s">
        <v>184</v>
      </c>
      <c r="C99" t="s">
        <v>202</v>
      </c>
      <c r="E99" t="s">
        <v>203</v>
      </c>
      <c r="F99">
        <v>0.0</v>
      </c>
      <c r="G99" t="b">
        <v>0</v>
      </c>
      <c r="H99" t="str">
        <f>IFERROR(__xludf.DUMMYFUNCTION("""COMPUTED_VALUE"""),"BYE")</f>
        <v>BYE</v>
      </c>
      <c r="J99" t="str">
        <f>IFERROR(__xludf.DUMMYFUNCTION("""COMPUTED_VALUE"""),"")</f>
        <v/>
      </c>
      <c r="K99" t="s">
        <v>241</v>
      </c>
      <c r="L99" t="str">
        <f t="shared" si="1"/>
        <v/>
      </c>
      <c r="M99">
        <v>0.0</v>
      </c>
    </row>
    <row r="100">
      <c r="A100" t="s">
        <v>2</v>
      </c>
      <c r="B100" t="s">
        <v>227</v>
      </c>
      <c r="C100" t="s">
        <v>245</v>
      </c>
      <c r="D100" t="s">
        <v>228</v>
      </c>
      <c r="E100" t="s">
        <v>229</v>
      </c>
      <c r="F100">
        <v>0.0</v>
      </c>
      <c r="G100" t="b">
        <v>0</v>
      </c>
      <c r="H100" t="str">
        <f>IFERROR(__xludf.DUMMYFUNCTION("""COMPUTED_VALUE"""),"Match Up")</f>
        <v>Match Up</v>
      </c>
      <c r="J100" t="str">
        <f>IFERROR(__xludf.DUMMYFUNCTION("""COMPUTED_VALUE"""),"")</f>
        <v/>
      </c>
      <c r="K100" t="s">
        <v>241</v>
      </c>
      <c r="L100" t="str">
        <f t="shared" si="1"/>
        <v/>
      </c>
      <c r="M100">
        <v>0.0</v>
      </c>
    </row>
    <row r="101">
      <c r="A101" t="s">
        <v>64</v>
      </c>
      <c r="B101" t="s">
        <v>196</v>
      </c>
      <c r="C101" t="s">
        <v>252</v>
      </c>
      <c r="D101" t="s">
        <v>253</v>
      </c>
      <c r="E101" t="s">
        <v>203</v>
      </c>
      <c r="F101">
        <v>1.0</v>
      </c>
      <c r="G101" t="b">
        <v>0</v>
      </c>
      <c r="H101" t="str">
        <f>IFERROR(__xludf.DUMMYFUNCTION("""COMPUTED_VALUE"""),"Army")</f>
        <v>Army</v>
      </c>
      <c r="I101" t="str">
        <f>IFERROR(__xludf.DUMMYFUNCTION("""COMPUTED_VALUE"""),"Navy ")</f>
        <v>Navy </v>
      </c>
      <c r="J101" t="str">
        <f>IFERROR(__xludf.DUMMYFUNCTION("""COMPUTED_VALUE"""),"")</f>
        <v/>
      </c>
      <c r="K101" t="s">
        <v>241</v>
      </c>
      <c r="L101" t="str">
        <f t="shared" si="1"/>
        <v/>
      </c>
      <c r="M101">
        <v>0.0</v>
      </c>
    </row>
    <row r="102">
      <c r="A102" t="s">
        <v>64</v>
      </c>
      <c r="B102" t="s">
        <v>147</v>
      </c>
      <c r="C102" t="s">
        <v>202</v>
      </c>
      <c r="E102" t="s">
        <v>203</v>
      </c>
      <c r="F102">
        <v>0.0</v>
      </c>
      <c r="G102" t="b">
        <v>0</v>
      </c>
      <c r="H102" t="str">
        <f>IFERROR(__xludf.DUMMYFUNCTION("""COMPUTED_VALUE"""),"BYE")</f>
        <v>BYE</v>
      </c>
      <c r="J102" t="str">
        <f>IFERROR(__xludf.DUMMYFUNCTION("""COMPUTED_VALUE"""),"")</f>
        <v/>
      </c>
      <c r="K102" t="s">
        <v>241</v>
      </c>
      <c r="L102" t="str">
        <f t="shared" si="1"/>
        <v/>
      </c>
      <c r="M102">
        <v>0.0</v>
      </c>
    </row>
    <row r="103">
      <c r="A103" t="s">
        <v>64</v>
      </c>
      <c r="B103" t="s">
        <v>177</v>
      </c>
      <c r="C103" t="s">
        <v>202</v>
      </c>
      <c r="E103" t="s">
        <v>203</v>
      </c>
      <c r="F103">
        <v>0.0</v>
      </c>
      <c r="G103" t="b">
        <v>0</v>
      </c>
      <c r="H103" t="str">
        <f>IFERROR(__xludf.DUMMYFUNCTION("""COMPUTED_VALUE"""),"BYE")</f>
        <v>BYE</v>
      </c>
      <c r="J103" t="str">
        <f>IFERROR(__xludf.DUMMYFUNCTION("""COMPUTED_VALUE"""),"")</f>
        <v/>
      </c>
      <c r="K103" t="s">
        <v>241</v>
      </c>
      <c r="L103" t="str">
        <f t="shared" si="1"/>
        <v/>
      </c>
      <c r="M103">
        <v>0.0</v>
      </c>
    </row>
    <row r="104">
      <c r="A104" t="s">
        <v>64</v>
      </c>
      <c r="B104" t="s">
        <v>154</v>
      </c>
      <c r="C104" t="s">
        <v>202</v>
      </c>
      <c r="E104" t="s">
        <v>203</v>
      </c>
      <c r="F104">
        <v>0.0</v>
      </c>
      <c r="G104" t="b">
        <v>0</v>
      </c>
      <c r="H104" t="str">
        <f>IFERROR(__xludf.DUMMYFUNCTION("""COMPUTED_VALUE"""),"BYE")</f>
        <v>BYE</v>
      </c>
      <c r="J104" t="str">
        <f>IFERROR(__xludf.DUMMYFUNCTION("""COMPUTED_VALUE"""),"")</f>
        <v/>
      </c>
      <c r="K104" t="s">
        <v>241</v>
      </c>
      <c r="L104" t="str">
        <f t="shared" si="1"/>
        <v/>
      </c>
      <c r="M104">
        <v>0.0</v>
      </c>
    </row>
    <row r="105">
      <c r="A105" t="s">
        <v>64</v>
      </c>
      <c r="B105" t="s">
        <v>115</v>
      </c>
      <c r="C105" t="s">
        <v>202</v>
      </c>
      <c r="E105" t="s">
        <v>203</v>
      </c>
      <c r="F105">
        <v>0.0</v>
      </c>
      <c r="G105" t="b">
        <v>0</v>
      </c>
      <c r="H105" t="str">
        <f>IFERROR(__xludf.DUMMYFUNCTION("""COMPUTED_VALUE"""),"BYE")</f>
        <v>BYE</v>
      </c>
      <c r="J105" t="str">
        <f>IFERROR(__xludf.DUMMYFUNCTION("""COMPUTED_VALUE"""),"")</f>
        <v/>
      </c>
      <c r="K105" t="s">
        <v>241</v>
      </c>
      <c r="L105" t="str">
        <f t="shared" si="1"/>
        <v/>
      </c>
      <c r="M105">
        <v>0.0</v>
      </c>
    </row>
    <row r="106">
      <c r="A106" t="s">
        <v>64</v>
      </c>
      <c r="B106" t="s">
        <v>98</v>
      </c>
      <c r="C106" t="s">
        <v>202</v>
      </c>
      <c r="E106" t="s">
        <v>203</v>
      </c>
      <c r="F106">
        <v>0.0</v>
      </c>
      <c r="G106" t="b">
        <v>0</v>
      </c>
      <c r="H106" t="str">
        <f>IFERROR(__xludf.DUMMYFUNCTION("""COMPUTED_VALUE"""),"BYE")</f>
        <v>BYE</v>
      </c>
      <c r="J106" t="str">
        <f>IFERROR(__xludf.DUMMYFUNCTION("""COMPUTED_VALUE"""),"")</f>
        <v/>
      </c>
      <c r="K106" t="s">
        <v>241</v>
      </c>
      <c r="L106" t="str">
        <f t="shared" si="1"/>
        <v/>
      </c>
      <c r="M106">
        <v>0.0</v>
      </c>
    </row>
    <row r="107">
      <c r="A107" t="s">
        <v>64</v>
      </c>
      <c r="B107" t="s">
        <v>49</v>
      </c>
      <c r="C107" t="s">
        <v>202</v>
      </c>
      <c r="E107" t="s">
        <v>203</v>
      </c>
      <c r="F107">
        <v>0.0</v>
      </c>
      <c r="G107" t="b">
        <v>0</v>
      </c>
      <c r="H107" t="str">
        <f>IFERROR(__xludf.DUMMYFUNCTION("""COMPUTED_VALUE"""),"BYE")</f>
        <v>BYE</v>
      </c>
      <c r="J107" t="str">
        <f>IFERROR(__xludf.DUMMYFUNCTION("""COMPUTED_VALUE"""),"")</f>
        <v/>
      </c>
      <c r="K107" t="s">
        <v>241</v>
      </c>
      <c r="L107" t="str">
        <f t="shared" si="1"/>
        <v/>
      </c>
      <c r="M107">
        <v>0.0</v>
      </c>
    </row>
    <row r="108">
      <c r="A108" t="s">
        <v>64</v>
      </c>
      <c r="B108" t="s">
        <v>131</v>
      </c>
      <c r="C108" t="s">
        <v>202</v>
      </c>
      <c r="E108" t="s">
        <v>203</v>
      </c>
      <c r="F108">
        <v>0.0</v>
      </c>
      <c r="G108" t="b">
        <v>0</v>
      </c>
      <c r="H108" t="str">
        <f>IFERROR(__xludf.DUMMYFUNCTION("""COMPUTED_VALUE"""),"BYE")</f>
        <v>BYE</v>
      </c>
      <c r="J108" t="str">
        <f>IFERROR(__xludf.DUMMYFUNCTION("""COMPUTED_VALUE"""),"")</f>
        <v/>
      </c>
      <c r="K108" t="s">
        <v>241</v>
      </c>
      <c r="L108" t="str">
        <f t="shared" si="1"/>
        <v/>
      </c>
      <c r="M108">
        <v>0.0</v>
      </c>
    </row>
    <row r="109">
      <c r="A109" t="s">
        <v>64</v>
      </c>
      <c r="B109" t="s">
        <v>76</v>
      </c>
      <c r="C109" t="s">
        <v>202</v>
      </c>
      <c r="E109" t="s">
        <v>203</v>
      </c>
      <c r="F109">
        <v>0.0</v>
      </c>
      <c r="G109" t="b">
        <v>0</v>
      </c>
      <c r="H109" t="str">
        <f>IFERROR(__xludf.DUMMYFUNCTION("""COMPUTED_VALUE"""),"BYE")</f>
        <v>BYE</v>
      </c>
      <c r="J109" t="str">
        <f>IFERROR(__xludf.DUMMYFUNCTION("""COMPUTED_VALUE"""),"")</f>
        <v/>
      </c>
      <c r="K109" t="s">
        <v>241</v>
      </c>
      <c r="L109" t="str">
        <f t="shared" si="1"/>
        <v/>
      </c>
      <c r="M109">
        <v>0.0</v>
      </c>
    </row>
    <row r="110">
      <c r="A110" t="s">
        <v>64</v>
      </c>
      <c r="B110" t="s">
        <v>169</v>
      </c>
      <c r="C110" t="s">
        <v>202</v>
      </c>
      <c r="E110" t="s">
        <v>203</v>
      </c>
      <c r="F110">
        <v>0.0</v>
      </c>
      <c r="G110" t="b">
        <v>0</v>
      </c>
      <c r="H110" t="str">
        <f>IFERROR(__xludf.DUMMYFUNCTION("""COMPUTED_VALUE"""),"BYE")</f>
        <v>BYE</v>
      </c>
      <c r="J110" t="str">
        <f>IFERROR(__xludf.DUMMYFUNCTION("""COMPUTED_VALUE"""),"")</f>
        <v/>
      </c>
      <c r="K110" t="s">
        <v>241</v>
      </c>
      <c r="L110" t="str">
        <f t="shared" si="1"/>
        <v/>
      </c>
      <c r="M110">
        <v>0.0</v>
      </c>
    </row>
    <row r="111">
      <c r="A111" t="s">
        <v>2</v>
      </c>
      <c r="B111" t="s">
        <v>227</v>
      </c>
      <c r="C111" t="s">
        <v>245</v>
      </c>
      <c r="D111" t="s">
        <v>228</v>
      </c>
      <c r="E111" t="s">
        <v>229</v>
      </c>
      <c r="F111">
        <v>0.0</v>
      </c>
      <c r="G111" t="b">
        <v>0</v>
      </c>
      <c r="H111" t="str">
        <f>IFERROR(__xludf.DUMMYFUNCTION("""COMPUTED_VALUE"""),"Match Up")</f>
        <v>Match Up</v>
      </c>
      <c r="J111" t="str">
        <f>IFERROR(__xludf.DUMMYFUNCTION("""COMPUTED_VALUE"""),"")</f>
        <v/>
      </c>
      <c r="K111" t="s">
        <v>241</v>
      </c>
      <c r="L111" t="str">
        <f t="shared" si="1"/>
        <v/>
      </c>
      <c r="M111">
        <v>0.0</v>
      </c>
    </row>
    <row r="112">
      <c r="A112" t="s">
        <v>69</v>
      </c>
      <c r="B112" t="s">
        <v>170</v>
      </c>
      <c r="C112" t="s">
        <v>258</v>
      </c>
      <c r="D112" t="s">
        <v>259</v>
      </c>
      <c r="E112" t="s">
        <v>244</v>
      </c>
      <c r="F112">
        <v>1.0</v>
      </c>
      <c r="G112" t="b">
        <v>0</v>
      </c>
      <c r="H112" t="str">
        <f>IFERROR(__xludf.DUMMYFUNCTION("""COMPUTED_VALUE"""),"(5) Utah")</f>
        <v>(5) Utah</v>
      </c>
      <c r="I112" t="str">
        <f>IFERROR(__xludf.DUMMYFUNCTION("""COMPUTED_VALUE"""),"Oregon ")</f>
        <v>Oregon </v>
      </c>
      <c r="J112" t="str">
        <f>IFERROR(__xludf.DUMMYFUNCTION("""COMPUTED_VALUE"""),"")</f>
        <v/>
      </c>
      <c r="K112" t="s">
        <v>241</v>
      </c>
      <c r="L112" t="str">
        <f t="shared" si="1"/>
        <v/>
      </c>
      <c r="M112">
        <v>0.0</v>
      </c>
    </row>
    <row r="113">
      <c r="A113" t="s">
        <v>69</v>
      </c>
      <c r="B113" t="s">
        <v>35</v>
      </c>
      <c r="C113" t="s">
        <v>270</v>
      </c>
      <c r="D113" t="s">
        <v>271</v>
      </c>
      <c r="E113" t="s">
        <v>275</v>
      </c>
      <c r="F113">
        <v>1.0</v>
      </c>
      <c r="G113" t="b">
        <v>0</v>
      </c>
      <c r="H113" t="str">
        <f>IFERROR(__xludf.DUMMYFUNCTION("""COMPUTED_VALUE"""),"(21) Cincinnati")</f>
        <v>(21) Cincinnati</v>
      </c>
      <c r="I113" t="str">
        <f>IFERROR(__xludf.DUMMYFUNCTION("""COMPUTED_VALUE"""),"Memphis ")</f>
        <v>Memphis </v>
      </c>
      <c r="J113" t="str">
        <f>IFERROR(__xludf.DUMMYFUNCTION("""COMPUTED_VALUE"""),"")</f>
        <v/>
      </c>
      <c r="K113" t="s">
        <v>241</v>
      </c>
      <c r="L113" t="str">
        <f t="shared" si="1"/>
        <v/>
      </c>
      <c r="M113">
        <v>0.0</v>
      </c>
    </row>
    <row r="114">
      <c r="A114" t="s">
        <v>69</v>
      </c>
      <c r="B114" t="s">
        <v>142</v>
      </c>
      <c r="C114" t="s">
        <v>202</v>
      </c>
      <c r="E114" t="s">
        <v>203</v>
      </c>
      <c r="F114">
        <v>0.0</v>
      </c>
      <c r="G114" t="b">
        <v>0</v>
      </c>
      <c r="H114" t="str">
        <f>IFERROR(__xludf.DUMMYFUNCTION("""COMPUTED_VALUE"""),"BYE")</f>
        <v>BYE</v>
      </c>
      <c r="J114" t="str">
        <f>IFERROR(__xludf.DUMMYFUNCTION("""COMPUTED_VALUE"""),"")</f>
        <v/>
      </c>
      <c r="K114" t="s">
        <v>241</v>
      </c>
      <c r="L114" t="str">
        <f t="shared" si="1"/>
        <v/>
      </c>
      <c r="M114">
        <v>0.0</v>
      </c>
    </row>
    <row r="115">
      <c r="A115" t="s">
        <v>69</v>
      </c>
      <c r="B115" t="s">
        <v>151</v>
      </c>
      <c r="C115" t="s">
        <v>202</v>
      </c>
      <c r="E115" t="s">
        <v>203</v>
      </c>
      <c r="F115">
        <v>0.0</v>
      </c>
      <c r="G115" t="b">
        <v>0</v>
      </c>
      <c r="H115" t="str">
        <f>IFERROR(__xludf.DUMMYFUNCTION("""COMPUTED_VALUE"""),"BYE")</f>
        <v>BYE</v>
      </c>
      <c r="J115" t="str">
        <f>IFERROR(__xludf.DUMMYFUNCTION("""COMPUTED_VALUE"""),"")</f>
        <v/>
      </c>
      <c r="K115" t="s">
        <v>241</v>
      </c>
      <c r="L115" t="str">
        <f t="shared" si="1"/>
        <v/>
      </c>
      <c r="M115" s="134">
        <v>0.0</v>
      </c>
    </row>
    <row r="116">
      <c r="A116" t="s">
        <v>69</v>
      </c>
      <c r="B116" t="s">
        <v>182</v>
      </c>
      <c r="C116" t="s">
        <v>202</v>
      </c>
      <c r="E116" t="s">
        <v>203</v>
      </c>
      <c r="F116">
        <v>0.0</v>
      </c>
      <c r="G116" t="b">
        <v>0</v>
      </c>
      <c r="H116" t="str">
        <f>IFERROR(__xludf.DUMMYFUNCTION("""COMPUTED_VALUE"""),"BYE")</f>
        <v>BYE</v>
      </c>
      <c r="J116" t="str">
        <f>IFERROR(__xludf.DUMMYFUNCTION("""COMPUTED_VALUE"""),"")</f>
        <v/>
      </c>
      <c r="K116" t="s">
        <v>241</v>
      </c>
      <c r="L116" t="str">
        <f t="shared" si="1"/>
        <v/>
      </c>
      <c r="M116">
        <v>0.0</v>
      </c>
    </row>
    <row r="117">
      <c r="A117" t="s">
        <v>69</v>
      </c>
      <c r="B117" t="s">
        <v>193</v>
      </c>
      <c r="C117" t="s">
        <v>202</v>
      </c>
      <c r="E117" t="s">
        <v>203</v>
      </c>
      <c r="F117">
        <v>0.0</v>
      </c>
      <c r="G117" t="b">
        <v>0</v>
      </c>
      <c r="H117" t="str">
        <f>IFERROR(__xludf.DUMMYFUNCTION("""COMPUTED_VALUE"""),"BYE")</f>
        <v>BYE</v>
      </c>
      <c r="J117" t="str">
        <f>IFERROR(__xludf.DUMMYFUNCTION("""COMPUTED_VALUE"""),"")</f>
        <v/>
      </c>
      <c r="K117" t="s">
        <v>241</v>
      </c>
      <c r="L117" t="str">
        <f t="shared" si="1"/>
        <v/>
      </c>
      <c r="M117">
        <v>0.0</v>
      </c>
    </row>
    <row r="118">
      <c r="A118" t="s">
        <v>69</v>
      </c>
      <c r="B118" t="s">
        <v>108</v>
      </c>
      <c r="C118" t="s">
        <v>202</v>
      </c>
      <c r="E118" t="s">
        <v>203</v>
      </c>
      <c r="F118">
        <v>0.0</v>
      </c>
      <c r="G118" t="b">
        <v>0</v>
      </c>
      <c r="H118" t="str">
        <f>IFERROR(__xludf.DUMMYFUNCTION("""COMPUTED_VALUE"""),"BYE")</f>
        <v>BYE</v>
      </c>
      <c r="J118" t="str">
        <f>IFERROR(__xludf.DUMMYFUNCTION("""COMPUTED_VALUE"""),"")</f>
        <v/>
      </c>
      <c r="K118" t="s">
        <v>241</v>
      </c>
      <c r="L118" t="str">
        <f t="shared" si="1"/>
        <v/>
      </c>
      <c r="M118">
        <v>0.0</v>
      </c>
    </row>
    <row r="119">
      <c r="A119" t="s">
        <v>69</v>
      </c>
      <c r="B119" t="s">
        <v>125</v>
      </c>
      <c r="C119" t="s">
        <v>202</v>
      </c>
      <c r="E119" t="s">
        <v>203</v>
      </c>
      <c r="F119">
        <v>0.0</v>
      </c>
      <c r="G119" t="b">
        <v>0</v>
      </c>
      <c r="H119" t="str">
        <f>IFERROR(__xludf.DUMMYFUNCTION("""COMPUTED_VALUE"""),"BYE")</f>
        <v>BYE</v>
      </c>
      <c r="J119" t="str">
        <f>IFERROR(__xludf.DUMMYFUNCTION("""COMPUTED_VALUE"""),"")</f>
        <v/>
      </c>
      <c r="K119" t="s">
        <v>241</v>
      </c>
      <c r="L119" t="str">
        <f t="shared" si="1"/>
        <v/>
      </c>
      <c r="M119">
        <v>0.0</v>
      </c>
    </row>
    <row r="120">
      <c r="A120" t="s">
        <v>69</v>
      </c>
      <c r="B120" t="s">
        <v>87</v>
      </c>
      <c r="C120" t="s">
        <v>202</v>
      </c>
      <c r="E120" t="s">
        <v>203</v>
      </c>
      <c r="F120">
        <v>0.0</v>
      </c>
      <c r="G120" t="b">
        <v>0</v>
      </c>
      <c r="H120" t="str">
        <f>IFERROR(__xludf.DUMMYFUNCTION("""COMPUTED_VALUE"""),"BYE")</f>
        <v>BYE</v>
      </c>
      <c r="J120" t="str">
        <f>IFERROR(__xludf.DUMMYFUNCTION("""COMPUTED_VALUE"""),"")</f>
        <v/>
      </c>
      <c r="K120" t="s">
        <v>241</v>
      </c>
      <c r="L120" t="str">
        <f t="shared" si="1"/>
        <v/>
      </c>
      <c r="M120">
        <v>0.0</v>
      </c>
    </row>
    <row r="121">
      <c r="A121" t="s">
        <v>69</v>
      </c>
      <c r="B121" t="s">
        <v>101</v>
      </c>
      <c r="C121" t="s">
        <v>202</v>
      </c>
      <c r="E121" t="s">
        <v>203</v>
      </c>
      <c r="F121">
        <v>0.0</v>
      </c>
      <c r="G121" t="b">
        <v>0</v>
      </c>
      <c r="H121" t="str">
        <f>IFERROR(__xludf.DUMMYFUNCTION("""COMPUTED_VALUE"""),"BYE")</f>
        <v>BYE</v>
      </c>
      <c r="J121" t="str">
        <f>IFERROR(__xludf.DUMMYFUNCTION("""COMPUTED_VALUE"""),"")</f>
        <v/>
      </c>
      <c r="K121" t="s">
        <v>241</v>
      </c>
      <c r="L121" t="str">
        <f t="shared" si="1"/>
        <v/>
      </c>
      <c r="M121">
        <v>0.0</v>
      </c>
    </row>
    <row r="122">
      <c r="A122" t="s">
        <v>2</v>
      </c>
      <c r="B122" t="s">
        <v>227</v>
      </c>
      <c r="C122" t="s">
        <v>245</v>
      </c>
      <c r="D122" t="s">
        <v>228</v>
      </c>
      <c r="E122" t="s">
        <v>229</v>
      </c>
      <c r="F122">
        <v>0.0</v>
      </c>
      <c r="G122" t="b">
        <v>0</v>
      </c>
      <c r="H122" t="str">
        <f>IFERROR(__xludf.DUMMYFUNCTION("""COMPUTED_VALUE"""),"Match Up")</f>
        <v>Match Up</v>
      </c>
      <c r="J122" t="str">
        <f>IFERROR(__xludf.DUMMYFUNCTION("""COMPUTED_VALUE"""),"")</f>
        <v/>
      </c>
      <c r="K122" t="s">
        <v>241</v>
      </c>
      <c r="L122" t="str">
        <f t="shared" si="1"/>
        <v/>
      </c>
      <c r="M122">
        <v>0.0</v>
      </c>
    </row>
    <row r="123">
      <c r="A123" t="s">
        <v>74</v>
      </c>
      <c r="B123" t="s">
        <v>141</v>
      </c>
      <c r="C123" t="s">
        <v>254</v>
      </c>
      <c r="D123" t="s">
        <v>239</v>
      </c>
      <c r="E123" t="s">
        <v>244</v>
      </c>
      <c r="F123">
        <v>1.0</v>
      </c>
      <c r="G123" t="b">
        <v>0</v>
      </c>
      <c r="H123" t="str">
        <f>IFERROR(__xludf.DUMMYFUNCTION("""COMPUTED_VALUE"""),"Miami-OH")</f>
        <v>Miami-OH</v>
      </c>
      <c r="I123" t="str">
        <f>IFERROR(__xludf.DUMMYFUNCTION("""COMPUTED_VALUE"""),"Central Michigan ")</f>
        <v>Central Michigan </v>
      </c>
      <c r="J123" t="str">
        <f>IFERROR(__xludf.DUMMYFUNCTION("""COMPUTED_VALUE"""),"")</f>
        <v/>
      </c>
      <c r="K123" t="s">
        <v>241</v>
      </c>
      <c r="L123" t="str">
        <f t="shared" si="1"/>
        <v/>
      </c>
      <c r="M123">
        <v>0.0</v>
      </c>
    </row>
    <row r="124">
      <c r="A124" t="s">
        <v>74</v>
      </c>
      <c r="B124" t="s">
        <v>124</v>
      </c>
      <c r="C124" t="s">
        <v>255</v>
      </c>
      <c r="D124" t="s">
        <v>256</v>
      </c>
      <c r="E124" t="s">
        <v>286</v>
      </c>
      <c r="F124">
        <v>1.0</v>
      </c>
      <c r="G124" t="b">
        <v>0</v>
      </c>
      <c r="H124" t="str">
        <f>IFERROR(__xludf.DUMMYFUNCTION("""COMPUTED_VALUE"""),"UAB")</f>
        <v>UAB</v>
      </c>
      <c r="I124" t="str">
        <f>IFERROR(__xludf.DUMMYFUNCTION("""COMPUTED_VALUE"""),"Florida Atlantic ")</f>
        <v>Florida Atlantic </v>
      </c>
      <c r="J124" t="str">
        <f>IFERROR(__xludf.DUMMYFUNCTION("""COMPUTED_VALUE"""),"")</f>
        <v/>
      </c>
      <c r="K124" t="s">
        <v>241</v>
      </c>
      <c r="L124" t="str">
        <f t="shared" si="1"/>
        <v/>
      </c>
      <c r="M124">
        <v>0.0</v>
      </c>
    </row>
    <row r="125">
      <c r="A125" t="s">
        <v>74</v>
      </c>
      <c r="B125" t="s">
        <v>118</v>
      </c>
      <c r="C125" t="s">
        <v>249</v>
      </c>
      <c r="D125" t="s">
        <v>250</v>
      </c>
      <c r="E125" t="s">
        <v>281</v>
      </c>
      <c r="F125">
        <v>1.0</v>
      </c>
      <c r="G125" t="b">
        <v>0</v>
      </c>
      <c r="H125" t="str">
        <f>IFERROR(__xludf.DUMMYFUNCTION("""COMPUTED_VALUE"""),"(2) Ohio State")</f>
        <v>(2) Ohio State</v>
      </c>
      <c r="I125" t="str">
        <f>IFERROR(__xludf.DUMMYFUNCTION("""COMPUTED_VALUE"""),"Wisconsin ")</f>
        <v>Wisconsin </v>
      </c>
      <c r="J125" t="str">
        <f>IFERROR(__xludf.DUMMYFUNCTION("""COMPUTED_VALUE"""),"")</f>
        <v/>
      </c>
      <c r="K125" t="s">
        <v>241</v>
      </c>
      <c r="L125" t="str">
        <f t="shared" si="1"/>
        <v/>
      </c>
      <c r="M125">
        <v>0.0</v>
      </c>
    </row>
    <row r="126">
      <c r="A126" t="s">
        <v>74</v>
      </c>
      <c r="B126" t="s">
        <v>194</v>
      </c>
      <c r="C126" t="s">
        <v>202</v>
      </c>
      <c r="E126" t="s">
        <v>203</v>
      </c>
      <c r="F126">
        <v>0.0</v>
      </c>
      <c r="G126" t="b">
        <v>0</v>
      </c>
      <c r="H126" t="str">
        <f>IFERROR(__xludf.DUMMYFUNCTION("""COMPUTED_VALUE"""),"BYE")</f>
        <v>BYE</v>
      </c>
      <c r="J126" t="str">
        <f>IFERROR(__xludf.DUMMYFUNCTION("""COMPUTED_VALUE"""),"")</f>
        <v/>
      </c>
      <c r="K126" t="s">
        <v>241</v>
      </c>
      <c r="L126" t="str">
        <f t="shared" si="1"/>
        <v/>
      </c>
      <c r="M126">
        <v>0.0</v>
      </c>
    </row>
    <row r="127">
      <c r="A127" t="s">
        <v>74</v>
      </c>
      <c r="B127" t="s">
        <v>160</v>
      </c>
      <c r="C127" t="s">
        <v>202</v>
      </c>
      <c r="E127" t="s">
        <v>203</v>
      </c>
      <c r="F127">
        <v>0.0</v>
      </c>
      <c r="G127" t="b">
        <v>0</v>
      </c>
      <c r="H127" t="str">
        <f>IFERROR(__xludf.DUMMYFUNCTION("""COMPUTED_VALUE"""),"BYE")</f>
        <v>BYE</v>
      </c>
      <c r="J127" t="str">
        <f>IFERROR(__xludf.DUMMYFUNCTION("""COMPUTED_VALUE"""),"")</f>
        <v/>
      </c>
      <c r="K127" t="s">
        <v>241</v>
      </c>
      <c r="L127" t="str">
        <f t="shared" si="1"/>
        <v/>
      </c>
      <c r="M127">
        <v>0.0</v>
      </c>
    </row>
    <row r="128">
      <c r="A128" t="s">
        <v>74</v>
      </c>
      <c r="B128" t="s">
        <v>174</v>
      </c>
      <c r="C128" t="s">
        <v>202</v>
      </c>
      <c r="E128" t="s">
        <v>203</v>
      </c>
      <c r="F128">
        <v>0.0</v>
      </c>
      <c r="G128" t="b">
        <v>0</v>
      </c>
      <c r="H128" t="str">
        <f>IFERROR(__xludf.DUMMYFUNCTION("""COMPUTED_VALUE"""),"BYE")</f>
        <v>BYE</v>
      </c>
      <c r="J128" t="str">
        <f>IFERROR(__xludf.DUMMYFUNCTION("""COMPUTED_VALUE"""),"")</f>
        <v/>
      </c>
      <c r="K128" t="s">
        <v>241</v>
      </c>
      <c r="L128" t="str">
        <f t="shared" si="1"/>
        <v/>
      </c>
      <c r="M128">
        <v>0.0</v>
      </c>
    </row>
    <row r="129">
      <c r="A129" t="s">
        <v>74</v>
      </c>
      <c r="B129" t="s">
        <v>23</v>
      </c>
      <c r="C129" t="s">
        <v>202</v>
      </c>
      <c r="E129" t="s">
        <v>203</v>
      </c>
      <c r="F129">
        <v>0.0</v>
      </c>
      <c r="G129" t="b">
        <v>0</v>
      </c>
      <c r="H129" t="str">
        <f>IFERROR(__xludf.DUMMYFUNCTION("""COMPUTED_VALUE"""),"BYE")</f>
        <v>BYE</v>
      </c>
      <c r="J129" t="str">
        <f>IFERROR(__xludf.DUMMYFUNCTION("""COMPUTED_VALUE"""),"")</f>
        <v/>
      </c>
      <c r="K129" t="s">
        <v>241</v>
      </c>
      <c r="L129" t="str">
        <f t="shared" si="1"/>
        <v/>
      </c>
      <c r="M129">
        <v>0.0</v>
      </c>
    </row>
    <row r="130">
      <c r="A130" t="s">
        <v>74</v>
      </c>
      <c r="B130" t="s">
        <v>167</v>
      </c>
      <c r="C130" t="s">
        <v>202</v>
      </c>
      <c r="E130" t="s">
        <v>203</v>
      </c>
      <c r="F130">
        <v>0.0</v>
      </c>
      <c r="G130" t="b">
        <v>0</v>
      </c>
      <c r="H130" t="str">
        <f>IFERROR(__xludf.DUMMYFUNCTION("""COMPUTED_VALUE"""),"BYE")</f>
        <v>BYE</v>
      </c>
      <c r="J130" t="str">
        <f>IFERROR(__xludf.DUMMYFUNCTION("""COMPUTED_VALUE"""),"")</f>
        <v/>
      </c>
      <c r="K130" t="s">
        <v>241</v>
      </c>
      <c r="L130" t="str">
        <f t="shared" si="1"/>
        <v/>
      </c>
      <c r="M130">
        <v>0.0</v>
      </c>
    </row>
    <row r="131">
      <c r="A131" t="s">
        <v>74</v>
      </c>
      <c r="B131" t="s">
        <v>99</v>
      </c>
      <c r="C131" t="s">
        <v>202</v>
      </c>
      <c r="E131" t="s">
        <v>203</v>
      </c>
      <c r="F131">
        <v>0.0</v>
      </c>
      <c r="G131" t="b">
        <v>0</v>
      </c>
      <c r="H131" t="str">
        <f>IFERROR(__xludf.DUMMYFUNCTION("""COMPUTED_VALUE"""),"BYE")</f>
        <v>BYE</v>
      </c>
      <c r="J131" t="str">
        <f>IFERROR(__xludf.DUMMYFUNCTION("""COMPUTED_VALUE"""),"")</f>
        <v/>
      </c>
      <c r="K131" t="s">
        <v>241</v>
      </c>
      <c r="L131" t="str">
        <f t="shared" si="1"/>
        <v/>
      </c>
      <c r="M131">
        <v>0.0</v>
      </c>
    </row>
    <row r="132">
      <c r="A132" t="s">
        <v>74</v>
      </c>
      <c r="B132" t="s">
        <v>88</v>
      </c>
      <c r="C132" t="s">
        <v>202</v>
      </c>
      <c r="E132" t="s">
        <v>203</v>
      </c>
      <c r="F132">
        <v>0.0</v>
      </c>
      <c r="G132" t="b">
        <v>0</v>
      </c>
      <c r="H132" t="str">
        <f>IFERROR(__xludf.DUMMYFUNCTION("""COMPUTED_VALUE"""),"BYE")</f>
        <v>BYE</v>
      </c>
      <c r="J132" t="str">
        <f>IFERROR(__xludf.DUMMYFUNCTION("""COMPUTED_VALUE"""),"")</f>
        <v/>
      </c>
      <c r="K132" t="s">
        <v>241</v>
      </c>
      <c r="L132" t="str">
        <f t="shared" si="1"/>
        <v/>
      </c>
      <c r="M132">
        <v>0.0</v>
      </c>
    </row>
    <row r="133">
      <c r="F133" t="s">
        <v>241</v>
      </c>
      <c r="G133" t="s">
        <v>241</v>
      </c>
      <c r="J133" t="str">
        <f>IFERROR(__xludf.DUMMYFUNCTION("""COMPUTED_VALUE"""),"")</f>
        <v/>
      </c>
      <c r="K133" t="s">
        <v>241</v>
      </c>
      <c r="L133" t="str">
        <f t="shared" si="1"/>
        <v/>
      </c>
      <c r="M133" t="s">
        <v>241</v>
      </c>
    </row>
    <row r="134">
      <c r="A134" t="s">
        <v>288</v>
      </c>
      <c r="B134" t="s">
        <v>84</v>
      </c>
      <c r="F134" t="s">
        <v>241</v>
      </c>
      <c r="G134" t="s">
        <v>241</v>
      </c>
      <c r="J134" t="str">
        <f>IFERROR(__xludf.DUMMYFUNCTION("""COMPUTED_VALUE"""),"")</f>
        <v/>
      </c>
      <c r="K134" t="s">
        <v>241</v>
      </c>
      <c r="L134" t="str">
        <f t="shared" si="1"/>
        <v/>
      </c>
      <c r="M134">
        <v>0.0</v>
      </c>
    </row>
    <row r="135">
      <c r="A135" t="s">
        <v>288</v>
      </c>
      <c r="B135" t="s">
        <v>106</v>
      </c>
      <c r="F135" t="s">
        <v>241</v>
      </c>
      <c r="G135" t="s">
        <v>241</v>
      </c>
      <c r="J135" t="str">
        <f>IFERROR(__xludf.DUMMYFUNCTION("""COMPUTED_VALUE"""),"")</f>
        <v/>
      </c>
      <c r="K135" t="s">
        <v>241</v>
      </c>
      <c r="L135" t="str">
        <f t="shared" si="1"/>
        <v/>
      </c>
      <c r="M135">
        <v>0.0</v>
      </c>
    </row>
    <row r="136">
      <c r="A136" t="s">
        <v>288</v>
      </c>
      <c r="B136" t="s">
        <v>181</v>
      </c>
      <c r="F136" t="s">
        <v>241</v>
      </c>
      <c r="G136" t="s">
        <v>241</v>
      </c>
      <c r="J136" t="str">
        <f>IFERROR(__xludf.DUMMYFUNCTION("""COMPUTED_VALUE"""),"")</f>
        <v/>
      </c>
      <c r="K136" t="s">
        <v>241</v>
      </c>
      <c r="L136" t="str">
        <f t="shared" si="1"/>
        <v/>
      </c>
      <c r="M136">
        <v>0.0</v>
      </c>
    </row>
    <row r="137">
      <c r="A137" t="s">
        <v>288</v>
      </c>
      <c r="B137" t="s">
        <v>80</v>
      </c>
      <c r="F137" t="s">
        <v>241</v>
      </c>
      <c r="G137" t="s">
        <v>241</v>
      </c>
      <c r="J137" t="str">
        <f>IFERROR(__xludf.DUMMYFUNCTION("""COMPUTED_VALUE"""),"")</f>
        <v/>
      </c>
      <c r="K137" t="s">
        <v>241</v>
      </c>
      <c r="L137" t="str">
        <f t="shared" si="1"/>
        <v/>
      </c>
      <c r="M137">
        <v>0.0</v>
      </c>
    </row>
    <row r="138">
      <c r="A138" t="s">
        <v>288</v>
      </c>
      <c r="B138" t="s">
        <v>130</v>
      </c>
      <c r="F138" t="s">
        <v>241</v>
      </c>
      <c r="G138" t="s">
        <v>241</v>
      </c>
      <c r="J138" t="str">
        <f>IFERROR(__xludf.DUMMYFUNCTION("""COMPUTED_VALUE"""),"")</f>
        <v/>
      </c>
      <c r="K138" t="s">
        <v>241</v>
      </c>
      <c r="L138" t="str">
        <f t="shared" si="1"/>
        <v/>
      </c>
      <c r="M138">
        <v>0.0</v>
      </c>
    </row>
    <row r="139">
      <c r="A139" t="s">
        <v>288</v>
      </c>
      <c r="B139" t="s">
        <v>185</v>
      </c>
      <c r="F139" t="s">
        <v>241</v>
      </c>
      <c r="G139" t="s">
        <v>241</v>
      </c>
      <c r="J139" t="str">
        <f>IFERROR(__xludf.DUMMYFUNCTION("""COMPUTED_VALUE"""),"")</f>
        <v/>
      </c>
      <c r="K139" t="s">
        <v>241</v>
      </c>
      <c r="L139" t="str">
        <f t="shared" si="1"/>
        <v/>
      </c>
      <c r="M139">
        <v>0.0</v>
      </c>
    </row>
    <row r="140">
      <c r="A140" t="s">
        <v>288</v>
      </c>
      <c r="B140" t="s">
        <v>121</v>
      </c>
      <c r="F140" t="s">
        <v>241</v>
      </c>
      <c r="G140" t="s">
        <v>241</v>
      </c>
      <c r="J140" t="str">
        <f>IFERROR(__xludf.DUMMYFUNCTION("""COMPUTED_VALUE"""),"")</f>
        <v/>
      </c>
      <c r="K140" t="s">
        <v>241</v>
      </c>
      <c r="L140" t="str">
        <f t="shared" si="1"/>
        <v/>
      </c>
      <c r="M140">
        <v>0.0</v>
      </c>
    </row>
    <row r="141">
      <c r="A141" t="s">
        <v>288</v>
      </c>
      <c r="B141" t="s">
        <v>133</v>
      </c>
      <c r="F141" t="s">
        <v>241</v>
      </c>
      <c r="G141" t="s">
        <v>241</v>
      </c>
      <c r="J141" t="str">
        <f>IFERROR(__xludf.DUMMYFUNCTION("""COMPUTED_VALUE"""),"")</f>
        <v/>
      </c>
      <c r="K141" t="s">
        <v>241</v>
      </c>
      <c r="L141" t="str">
        <f t="shared" si="1"/>
        <v/>
      </c>
      <c r="M141">
        <v>0.0</v>
      </c>
    </row>
    <row r="142">
      <c r="F142" t="s">
        <v>241</v>
      </c>
      <c r="G142" t="s">
        <v>241</v>
      </c>
      <c r="J142" t="str">
        <f>IFERROR(__xludf.DUMMYFUNCTION("""COMPUTED_VALUE"""),"")</f>
        <v/>
      </c>
      <c r="K142" t="s">
        <v>241</v>
      </c>
      <c r="L142" t="str">
        <f t="shared" si="1"/>
        <v/>
      </c>
      <c r="M142" t="s">
        <v>241</v>
      </c>
    </row>
    <row r="143">
      <c r="F143" t="s">
        <v>241</v>
      </c>
      <c r="G143" t="s">
        <v>241</v>
      </c>
      <c r="J143" t="str">
        <f>IFERROR(__xludf.DUMMYFUNCTION("""COMPUTED_VALUE"""),"")</f>
        <v/>
      </c>
      <c r="K143" t="s">
        <v>241</v>
      </c>
      <c r="L143" t="str">
        <f t="shared" si="1"/>
        <v/>
      </c>
      <c r="M143" t="s">
        <v>241</v>
      </c>
    </row>
    <row r="144">
      <c r="F144" t="s">
        <v>241</v>
      </c>
      <c r="G144" t="s">
        <v>241</v>
      </c>
      <c r="J144" t="str">
        <f>IFERROR(__xludf.DUMMYFUNCTION("""COMPUTED_VALUE"""),"")</f>
        <v/>
      </c>
      <c r="K144" t="s">
        <v>241</v>
      </c>
      <c r="L144" t="str">
        <f t="shared" si="1"/>
        <v/>
      </c>
      <c r="M144" t="s">
        <v>241</v>
      </c>
    </row>
    <row r="145">
      <c r="F145" t="s">
        <v>241</v>
      </c>
      <c r="G145" t="s">
        <v>241</v>
      </c>
      <c r="J145" t="str">
        <f>IFERROR(__xludf.DUMMYFUNCTION("""COMPUTED_VALUE"""),"")</f>
        <v/>
      </c>
      <c r="K145" t="s">
        <v>241</v>
      </c>
      <c r="L145" t="str">
        <f t="shared" si="1"/>
        <v/>
      </c>
      <c r="M145" t="s">
        <v>241</v>
      </c>
    </row>
    <row r="146">
      <c r="F146" t="s">
        <v>241</v>
      </c>
      <c r="G146" t="s">
        <v>241</v>
      </c>
      <c r="J146" t="str">
        <f>IFERROR(__xludf.DUMMYFUNCTION("""COMPUTED_VALUE"""),"")</f>
        <v/>
      </c>
      <c r="K146" t="s">
        <v>241</v>
      </c>
      <c r="L146" t="str">
        <f t="shared" si="1"/>
        <v/>
      </c>
      <c r="M146" t="s">
        <v>241</v>
      </c>
    </row>
    <row r="147">
      <c r="F147" t="s">
        <v>241</v>
      </c>
      <c r="G147" t="s">
        <v>241</v>
      </c>
      <c r="J147" t="str">
        <f>IFERROR(__xludf.DUMMYFUNCTION("""COMPUTED_VALUE"""),"")</f>
        <v/>
      </c>
      <c r="K147" t="s">
        <v>241</v>
      </c>
      <c r="L147" t="str">
        <f t="shared" si="1"/>
        <v/>
      </c>
      <c r="M147" t="s">
        <v>241</v>
      </c>
    </row>
    <row r="148">
      <c r="F148" t="s">
        <v>241</v>
      </c>
      <c r="G148" t="s">
        <v>241</v>
      </c>
      <c r="J148" t="str">
        <f>IFERROR(__xludf.DUMMYFUNCTION("""COMPUTED_VALUE"""),"")</f>
        <v/>
      </c>
      <c r="K148" t="s">
        <v>241</v>
      </c>
      <c r="L148" t="str">
        <f t="shared" si="1"/>
        <v/>
      </c>
      <c r="M148" t="s">
        <v>241</v>
      </c>
    </row>
    <row r="149">
      <c r="F149" t="s">
        <v>241</v>
      </c>
      <c r="G149" t="s">
        <v>241</v>
      </c>
      <c r="J149" t="str">
        <f>IFERROR(__xludf.DUMMYFUNCTION("""COMPUTED_VALUE"""),"")</f>
        <v/>
      </c>
      <c r="K149" t="s">
        <v>241</v>
      </c>
      <c r="L149" t="str">
        <f t="shared" si="1"/>
        <v/>
      </c>
      <c r="M149" t="s">
        <v>241</v>
      </c>
    </row>
    <row r="150">
      <c r="F150" t="s">
        <v>241</v>
      </c>
      <c r="G150" t="s">
        <v>241</v>
      </c>
      <c r="J150" t="str">
        <f>IFERROR(__xludf.DUMMYFUNCTION("""COMPUTED_VALUE"""),"")</f>
        <v/>
      </c>
      <c r="K150" t="s">
        <v>241</v>
      </c>
      <c r="L150" t="str">
        <f t="shared" si="1"/>
        <v/>
      </c>
      <c r="M150" t="s">
        <v>241</v>
      </c>
    </row>
    <row r="151">
      <c r="F151" t="s">
        <v>241</v>
      </c>
      <c r="G151" t="s">
        <v>241</v>
      </c>
      <c r="J151" t="str">
        <f>IFERROR(__xludf.DUMMYFUNCTION("""COMPUTED_VALUE"""),"")</f>
        <v/>
      </c>
      <c r="K151" t="s">
        <v>241</v>
      </c>
      <c r="L151" t="str">
        <f t="shared" si="1"/>
        <v/>
      </c>
      <c r="M151" t="s">
        <v>241</v>
      </c>
    </row>
    <row r="152">
      <c r="F152" t="s">
        <v>241</v>
      </c>
      <c r="G152" t="s">
        <v>241</v>
      </c>
      <c r="J152" t="str">
        <f>IFERROR(__xludf.DUMMYFUNCTION("""COMPUTED_VALUE"""),"")</f>
        <v/>
      </c>
      <c r="K152" t="s">
        <v>241</v>
      </c>
      <c r="L152" t="str">
        <f t="shared" si="1"/>
        <v/>
      </c>
      <c r="M152" t="s">
        <v>241</v>
      </c>
    </row>
    <row r="153">
      <c r="F153" t="s">
        <v>241</v>
      </c>
      <c r="G153" t="s">
        <v>241</v>
      </c>
      <c r="J153" t="str">
        <f>IFERROR(__xludf.DUMMYFUNCTION("""COMPUTED_VALUE"""),"")</f>
        <v/>
      </c>
      <c r="K153" t="s">
        <v>241</v>
      </c>
      <c r="L153" t="str">
        <f t="shared" si="1"/>
        <v/>
      </c>
      <c r="M153" t="s">
        <v>241</v>
      </c>
    </row>
    <row r="154">
      <c r="F154" t="s">
        <v>241</v>
      </c>
      <c r="G154" t="s">
        <v>241</v>
      </c>
      <c r="J154" t="str">
        <f>IFERROR(__xludf.DUMMYFUNCTION("""COMPUTED_VALUE"""),"")</f>
        <v/>
      </c>
      <c r="K154" t="s">
        <v>241</v>
      </c>
      <c r="L154" t="str">
        <f t="shared" si="1"/>
        <v/>
      </c>
      <c r="M154" t="s">
        <v>241</v>
      </c>
    </row>
    <row r="155">
      <c r="F155" t="s">
        <v>241</v>
      </c>
      <c r="G155" t="s">
        <v>241</v>
      </c>
      <c r="J155" t="str">
        <f>IFERROR(__xludf.DUMMYFUNCTION("""COMPUTED_VALUE"""),"")</f>
        <v/>
      </c>
      <c r="K155" t="s">
        <v>241</v>
      </c>
      <c r="L155" t="str">
        <f t="shared" si="1"/>
        <v/>
      </c>
      <c r="M155" t="s">
        <v>241</v>
      </c>
    </row>
    <row r="156">
      <c r="F156" t="s">
        <v>241</v>
      </c>
      <c r="G156" t="s">
        <v>241</v>
      </c>
      <c r="J156" t="str">
        <f>IFERROR(__xludf.DUMMYFUNCTION("""COMPUTED_VALUE"""),"")</f>
        <v/>
      </c>
      <c r="K156" t="s">
        <v>241</v>
      </c>
      <c r="L156" t="str">
        <f t="shared" si="1"/>
        <v/>
      </c>
      <c r="M156" t="s">
        <v>241</v>
      </c>
    </row>
    <row r="157">
      <c r="F157" t="s">
        <v>241</v>
      </c>
      <c r="G157" t="s">
        <v>241</v>
      </c>
      <c r="J157" t="str">
        <f>IFERROR(__xludf.DUMMYFUNCTION("""COMPUTED_VALUE"""),"")</f>
        <v/>
      </c>
      <c r="K157" t="s">
        <v>241</v>
      </c>
      <c r="L157" t="str">
        <f t="shared" si="1"/>
        <v/>
      </c>
      <c r="M157" t="s">
        <v>241</v>
      </c>
    </row>
    <row r="158">
      <c r="F158" t="s">
        <v>241</v>
      </c>
      <c r="G158" t="s">
        <v>241</v>
      </c>
      <c r="J158" t="str">
        <f>IFERROR(__xludf.DUMMYFUNCTION("""COMPUTED_VALUE"""),"")</f>
        <v/>
      </c>
      <c r="K158" t="s">
        <v>241</v>
      </c>
      <c r="L158" t="str">
        <f t="shared" si="1"/>
        <v/>
      </c>
      <c r="M158" t="s">
        <v>241</v>
      </c>
    </row>
    <row r="159">
      <c r="F159" t="s">
        <v>241</v>
      </c>
      <c r="G159" t="s">
        <v>241</v>
      </c>
      <c r="J159" t="str">
        <f>IFERROR(__xludf.DUMMYFUNCTION("""COMPUTED_VALUE"""),"")</f>
        <v/>
      </c>
      <c r="K159" t="s">
        <v>241</v>
      </c>
      <c r="L159" t="str">
        <f t="shared" si="1"/>
        <v/>
      </c>
      <c r="M159" t="s">
        <v>241</v>
      </c>
    </row>
    <row r="160">
      <c r="F160" t="s">
        <v>241</v>
      </c>
      <c r="G160" t="s">
        <v>241</v>
      </c>
      <c r="J160" t="str">
        <f>IFERROR(__xludf.DUMMYFUNCTION("""COMPUTED_VALUE"""),"")</f>
        <v/>
      </c>
      <c r="K160" t="s">
        <v>241</v>
      </c>
      <c r="L160" t="str">
        <f t="shared" si="1"/>
        <v/>
      </c>
      <c r="M160" t="s">
        <v>241</v>
      </c>
    </row>
    <row r="161">
      <c r="F161" t="s">
        <v>241</v>
      </c>
      <c r="G161" t="s">
        <v>241</v>
      </c>
      <c r="J161" t="str">
        <f>IFERROR(__xludf.DUMMYFUNCTION("""COMPUTED_VALUE"""),"")</f>
        <v/>
      </c>
      <c r="K161" t="s">
        <v>241</v>
      </c>
      <c r="L161" t="str">
        <f t="shared" si="1"/>
        <v/>
      </c>
      <c r="M161" t="s">
        <v>241</v>
      </c>
    </row>
    <row r="162">
      <c r="F162" t="s">
        <v>241</v>
      </c>
      <c r="G162" t="s">
        <v>241</v>
      </c>
      <c r="J162" t="str">
        <f>IFERROR(__xludf.DUMMYFUNCTION("""COMPUTED_VALUE"""),"")</f>
        <v/>
      </c>
      <c r="K162" t="s">
        <v>241</v>
      </c>
      <c r="L162" t="str">
        <f t="shared" si="1"/>
        <v/>
      </c>
      <c r="M162" t="s">
        <v>241</v>
      </c>
    </row>
    <row r="163">
      <c r="F163" t="s">
        <v>241</v>
      </c>
      <c r="G163" t="s">
        <v>241</v>
      </c>
      <c r="J163" t="str">
        <f>IFERROR(__xludf.DUMMYFUNCTION("""COMPUTED_VALUE"""),"")</f>
        <v/>
      </c>
      <c r="K163" t="s">
        <v>241</v>
      </c>
      <c r="L163" t="str">
        <f t="shared" si="1"/>
        <v/>
      </c>
      <c r="M163" t="s">
        <v>241</v>
      </c>
    </row>
    <row r="164">
      <c r="F164" t="s">
        <v>241</v>
      </c>
      <c r="G164" t="s">
        <v>241</v>
      </c>
      <c r="J164" t="str">
        <f>IFERROR(__xludf.DUMMYFUNCTION("""COMPUTED_VALUE"""),"")</f>
        <v/>
      </c>
      <c r="K164" t="s">
        <v>241</v>
      </c>
      <c r="L164" t="str">
        <f t="shared" si="1"/>
        <v/>
      </c>
      <c r="M164" t="s">
        <v>241</v>
      </c>
    </row>
    <row r="165">
      <c r="F165" t="s">
        <v>241</v>
      </c>
      <c r="G165" t="s">
        <v>241</v>
      </c>
      <c r="J165" t="str">
        <f>IFERROR(__xludf.DUMMYFUNCTION("""COMPUTED_VALUE"""),"")</f>
        <v/>
      </c>
      <c r="K165" t="s">
        <v>241</v>
      </c>
      <c r="L165" t="str">
        <f t="shared" si="1"/>
        <v/>
      </c>
      <c r="M165" t="s">
        <v>241</v>
      </c>
    </row>
    <row r="166">
      <c r="F166" t="s">
        <v>241</v>
      </c>
      <c r="G166" t="s">
        <v>241</v>
      </c>
      <c r="J166" t="str">
        <f>IFERROR(__xludf.DUMMYFUNCTION("""COMPUTED_VALUE"""),"")</f>
        <v/>
      </c>
      <c r="K166" t="s">
        <v>241</v>
      </c>
      <c r="L166" t="str">
        <f t="shared" si="1"/>
        <v/>
      </c>
      <c r="M166" t="s">
        <v>241</v>
      </c>
    </row>
    <row r="167">
      <c r="F167" t="s">
        <v>241</v>
      </c>
      <c r="G167" t="s">
        <v>241</v>
      </c>
      <c r="J167" t="str">
        <f>IFERROR(__xludf.DUMMYFUNCTION("""COMPUTED_VALUE"""),"")</f>
        <v/>
      </c>
      <c r="K167" t="s">
        <v>241</v>
      </c>
      <c r="L167" t="str">
        <f t="shared" si="1"/>
        <v/>
      </c>
      <c r="M167" t="s">
        <v>241</v>
      </c>
    </row>
    <row r="168">
      <c r="F168" t="s">
        <v>241</v>
      </c>
      <c r="G168" t="s">
        <v>241</v>
      </c>
      <c r="J168" t="str">
        <f>IFERROR(__xludf.DUMMYFUNCTION("""COMPUTED_VALUE"""),"")</f>
        <v/>
      </c>
      <c r="K168" t="s">
        <v>241</v>
      </c>
      <c r="L168" t="str">
        <f t="shared" si="1"/>
        <v/>
      </c>
      <c r="M168" t="s">
        <v>241</v>
      </c>
    </row>
    <row r="169">
      <c r="F169" t="s">
        <v>241</v>
      </c>
      <c r="G169" t="s">
        <v>241</v>
      </c>
      <c r="J169" t="str">
        <f>IFERROR(__xludf.DUMMYFUNCTION("""COMPUTED_VALUE"""),"")</f>
        <v/>
      </c>
      <c r="K169" t="s">
        <v>241</v>
      </c>
      <c r="L169" t="str">
        <f t="shared" si="1"/>
        <v/>
      </c>
      <c r="M169" t="s">
        <v>241</v>
      </c>
    </row>
    <row r="170">
      <c r="F170" t="s">
        <v>241</v>
      </c>
      <c r="G170" t="s">
        <v>241</v>
      </c>
      <c r="J170" t="str">
        <f>IFERROR(__xludf.DUMMYFUNCTION("""COMPUTED_VALUE"""),"")</f>
        <v/>
      </c>
      <c r="K170" t="s">
        <v>241</v>
      </c>
      <c r="L170" t="str">
        <f t="shared" si="1"/>
        <v/>
      </c>
      <c r="M170" t="s">
        <v>241</v>
      </c>
    </row>
    <row r="171">
      <c r="F171" t="s">
        <v>241</v>
      </c>
      <c r="G171" t="s">
        <v>241</v>
      </c>
      <c r="J171" t="str">
        <f>IFERROR(__xludf.DUMMYFUNCTION("""COMPUTED_VALUE"""),"")</f>
        <v/>
      </c>
      <c r="K171" t="s">
        <v>241</v>
      </c>
      <c r="L171" t="str">
        <f t="shared" si="1"/>
        <v/>
      </c>
      <c r="M171" t="s">
        <v>241</v>
      </c>
    </row>
    <row r="172">
      <c r="F172" t="s">
        <v>241</v>
      </c>
      <c r="G172" t="s">
        <v>241</v>
      </c>
      <c r="J172" t="str">
        <f>IFERROR(__xludf.DUMMYFUNCTION("""COMPUTED_VALUE"""),"")</f>
        <v/>
      </c>
      <c r="K172" t="s">
        <v>241</v>
      </c>
      <c r="L172" t="str">
        <f t="shared" si="1"/>
        <v/>
      </c>
      <c r="M172" t="s">
        <v>241</v>
      </c>
    </row>
    <row r="173">
      <c r="F173" t="s">
        <v>241</v>
      </c>
      <c r="G173" t="s">
        <v>241</v>
      </c>
      <c r="J173" t="str">
        <f>IFERROR(__xludf.DUMMYFUNCTION("""COMPUTED_VALUE"""),"")</f>
        <v/>
      </c>
      <c r="K173" t="s">
        <v>241</v>
      </c>
      <c r="L173" t="str">
        <f t="shared" si="1"/>
        <v/>
      </c>
      <c r="M173" t="s">
        <v>241</v>
      </c>
    </row>
    <row r="174">
      <c r="F174" t="s">
        <v>241</v>
      </c>
      <c r="G174" t="s">
        <v>241</v>
      </c>
      <c r="J174" t="str">
        <f>IFERROR(__xludf.DUMMYFUNCTION("""COMPUTED_VALUE"""),"")</f>
        <v/>
      </c>
      <c r="K174" t="s">
        <v>241</v>
      </c>
      <c r="L174" t="str">
        <f t="shared" si="1"/>
        <v/>
      </c>
      <c r="M174" t="s">
        <v>241</v>
      </c>
    </row>
    <row r="175">
      <c r="F175" t="s">
        <v>241</v>
      </c>
      <c r="G175" t="s">
        <v>241</v>
      </c>
      <c r="J175" t="str">
        <f>IFERROR(__xludf.DUMMYFUNCTION("""COMPUTED_VALUE"""),"")</f>
        <v/>
      </c>
      <c r="K175" t="s">
        <v>241</v>
      </c>
      <c r="L175" t="str">
        <f t="shared" si="1"/>
        <v/>
      </c>
      <c r="M175" t="s">
        <v>241</v>
      </c>
    </row>
    <row r="176">
      <c r="F176" t="s">
        <v>241</v>
      </c>
      <c r="G176" t="s">
        <v>241</v>
      </c>
      <c r="J176" t="str">
        <f>IFERROR(__xludf.DUMMYFUNCTION("""COMPUTED_VALUE"""),"")</f>
        <v/>
      </c>
      <c r="K176" t="s">
        <v>241</v>
      </c>
      <c r="L176" t="str">
        <f t="shared" si="1"/>
        <v/>
      </c>
      <c r="M176" t="s">
        <v>241</v>
      </c>
    </row>
    <row r="177">
      <c r="F177" t="s">
        <v>241</v>
      </c>
      <c r="G177" t="s">
        <v>241</v>
      </c>
      <c r="J177" t="str">
        <f>IFERROR(__xludf.DUMMYFUNCTION("""COMPUTED_VALUE"""),"")</f>
        <v/>
      </c>
      <c r="K177" t="s">
        <v>241</v>
      </c>
      <c r="L177" t="str">
        <f t="shared" si="1"/>
        <v/>
      </c>
      <c r="M177" t="s">
        <v>241</v>
      </c>
    </row>
    <row r="178">
      <c r="F178" t="s">
        <v>241</v>
      </c>
      <c r="G178" t="s">
        <v>241</v>
      </c>
      <c r="J178" t="str">
        <f>IFERROR(__xludf.DUMMYFUNCTION("""COMPUTED_VALUE"""),"")</f>
        <v/>
      </c>
      <c r="K178" t="s">
        <v>241</v>
      </c>
      <c r="L178" t="str">
        <f t="shared" si="1"/>
        <v/>
      </c>
      <c r="M178" t="s">
        <v>241</v>
      </c>
    </row>
    <row r="179">
      <c r="F179" t="s">
        <v>241</v>
      </c>
      <c r="G179" t="s">
        <v>241</v>
      </c>
      <c r="J179" t="str">
        <f>IFERROR(__xludf.DUMMYFUNCTION("""COMPUTED_VALUE"""),"")</f>
        <v/>
      </c>
      <c r="K179" t="s">
        <v>241</v>
      </c>
      <c r="L179" t="str">
        <f t="shared" si="1"/>
        <v/>
      </c>
      <c r="M179" t="s">
        <v>241</v>
      </c>
    </row>
    <row r="180">
      <c r="F180" t="s">
        <v>241</v>
      </c>
      <c r="G180" t="s">
        <v>241</v>
      </c>
      <c r="J180" t="str">
        <f>IFERROR(__xludf.DUMMYFUNCTION("""COMPUTED_VALUE"""),"")</f>
        <v/>
      </c>
      <c r="K180" t="s">
        <v>241</v>
      </c>
      <c r="L180" t="str">
        <f t="shared" si="1"/>
        <v/>
      </c>
      <c r="M180" t="s">
        <v>241</v>
      </c>
    </row>
    <row r="181">
      <c r="F181" t="s">
        <v>241</v>
      </c>
      <c r="G181" t="s">
        <v>241</v>
      </c>
      <c r="J181" t="str">
        <f>IFERROR(__xludf.DUMMYFUNCTION("""COMPUTED_VALUE"""),"")</f>
        <v/>
      </c>
      <c r="K181" t="s">
        <v>241</v>
      </c>
      <c r="L181" t="str">
        <f t="shared" si="1"/>
        <v/>
      </c>
      <c r="M181" t="s">
        <v>241</v>
      </c>
    </row>
    <row r="182">
      <c r="F182" t="s">
        <v>241</v>
      </c>
      <c r="G182" t="s">
        <v>241</v>
      </c>
      <c r="J182" t="str">
        <f>IFERROR(__xludf.DUMMYFUNCTION("""COMPUTED_VALUE"""),"")</f>
        <v/>
      </c>
      <c r="K182" t="s">
        <v>241</v>
      </c>
      <c r="L182" t="str">
        <f t="shared" si="1"/>
        <v/>
      </c>
      <c r="M182" t="s">
        <v>241</v>
      </c>
    </row>
    <row r="183">
      <c r="F183" t="s">
        <v>241</v>
      </c>
      <c r="G183" t="s">
        <v>241</v>
      </c>
      <c r="J183" t="str">
        <f>IFERROR(__xludf.DUMMYFUNCTION("""COMPUTED_VALUE"""),"")</f>
        <v/>
      </c>
      <c r="K183" t="s">
        <v>241</v>
      </c>
      <c r="L183" t="str">
        <f t="shared" si="1"/>
        <v/>
      </c>
      <c r="M183" t="s">
        <v>241</v>
      </c>
    </row>
    <row r="184">
      <c r="F184" t="s">
        <v>241</v>
      </c>
      <c r="G184" t="s">
        <v>241</v>
      </c>
      <c r="J184" t="str">
        <f>IFERROR(__xludf.DUMMYFUNCTION("""COMPUTED_VALUE"""),"")</f>
        <v/>
      </c>
      <c r="K184" t="s">
        <v>241</v>
      </c>
      <c r="L184" t="str">
        <f t="shared" si="1"/>
        <v/>
      </c>
      <c r="M184" t="s">
        <v>241</v>
      </c>
    </row>
    <row r="185">
      <c r="F185" t="s">
        <v>241</v>
      </c>
      <c r="G185" t="s">
        <v>241</v>
      </c>
      <c r="J185" t="str">
        <f>IFERROR(__xludf.DUMMYFUNCTION("""COMPUTED_VALUE"""),"")</f>
        <v/>
      </c>
      <c r="K185" t="s">
        <v>241</v>
      </c>
      <c r="L185" t="str">
        <f t="shared" si="1"/>
        <v/>
      </c>
      <c r="M185" t="s">
        <v>241</v>
      </c>
    </row>
    <row r="186">
      <c r="F186" t="s">
        <v>241</v>
      </c>
      <c r="G186" t="s">
        <v>241</v>
      </c>
      <c r="J186" t="str">
        <f>IFERROR(__xludf.DUMMYFUNCTION("""COMPUTED_VALUE"""),"")</f>
        <v/>
      </c>
      <c r="K186" t="s">
        <v>241</v>
      </c>
      <c r="L186" t="str">
        <f t="shared" si="1"/>
        <v/>
      </c>
      <c r="M186" t="s">
        <v>241</v>
      </c>
    </row>
    <row r="187">
      <c r="F187" t="s">
        <v>241</v>
      </c>
      <c r="G187" t="s">
        <v>241</v>
      </c>
      <c r="J187" t="str">
        <f>IFERROR(__xludf.DUMMYFUNCTION("""COMPUTED_VALUE"""),"")</f>
        <v/>
      </c>
      <c r="K187" t="s">
        <v>241</v>
      </c>
      <c r="L187" t="str">
        <f t="shared" si="1"/>
        <v/>
      </c>
      <c r="M187" t="s">
        <v>241</v>
      </c>
    </row>
    <row r="188">
      <c r="F188" t="s">
        <v>241</v>
      </c>
      <c r="G188" t="s">
        <v>241</v>
      </c>
      <c r="J188" t="str">
        <f>IFERROR(__xludf.DUMMYFUNCTION("""COMPUTED_VALUE"""),"")</f>
        <v/>
      </c>
      <c r="K188" t="s">
        <v>241</v>
      </c>
      <c r="L188" t="str">
        <f t="shared" si="1"/>
        <v/>
      </c>
      <c r="M188" t="s">
        <v>241</v>
      </c>
    </row>
    <row r="189">
      <c r="F189" t="s">
        <v>241</v>
      </c>
      <c r="G189" t="s">
        <v>241</v>
      </c>
      <c r="J189" t="str">
        <f>IFERROR(__xludf.DUMMYFUNCTION("""COMPUTED_VALUE"""),"")</f>
        <v/>
      </c>
      <c r="K189" t="s">
        <v>241</v>
      </c>
      <c r="L189" t="str">
        <f t="shared" si="1"/>
        <v/>
      </c>
      <c r="M189" t="s">
        <v>241</v>
      </c>
    </row>
    <row r="190">
      <c r="F190" t="s">
        <v>241</v>
      </c>
      <c r="G190" t="s">
        <v>241</v>
      </c>
      <c r="J190" t="str">
        <f>IFERROR(__xludf.DUMMYFUNCTION("""COMPUTED_VALUE"""),"")</f>
        <v/>
      </c>
      <c r="K190" t="s">
        <v>241</v>
      </c>
      <c r="L190" t="str">
        <f t="shared" si="1"/>
        <v/>
      </c>
      <c r="M190" t="s">
        <v>241</v>
      </c>
    </row>
    <row r="191">
      <c r="F191" t="s">
        <v>241</v>
      </c>
      <c r="G191" t="s">
        <v>241</v>
      </c>
      <c r="J191" t="str">
        <f>IFERROR(__xludf.DUMMYFUNCTION("""COMPUTED_VALUE"""),"")</f>
        <v/>
      </c>
      <c r="K191" t="s">
        <v>241</v>
      </c>
      <c r="L191" t="str">
        <f t="shared" si="1"/>
        <v/>
      </c>
      <c r="M191" t="s">
        <v>241</v>
      </c>
    </row>
    <row r="192">
      <c r="F192" t="s">
        <v>241</v>
      </c>
      <c r="G192" t="s">
        <v>241</v>
      </c>
      <c r="J192" t="str">
        <f>IFERROR(__xludf.DUMMYFUNCTION("""COMPUTED_VALUE"""),"")</f>
        <v/>
      </c>
      <c r="K192" t="s">
        <v>241</v>
      </c>
      <c r="L192" t="str">
        <f t="shared" si="1"/>
        <v/>
      </c>
      <c r="M192" t="s">
        <v>241</v>
      </c>
    </row>
    <row r="193">
      <c r="F193" t="s">
        <v>241</v>
      </c>
      <c r="G193" t="s">
        <v>241</v>
      </c>
      <c r="J193" t="str">
        <f>IFERROR(__xludf.DUMMYFUNCTION("""COMPUTED_VALUE"""),"")</f>
        <v/>
      </c>
      <c r="K193" t="s">
        <v>241</v>
      </c>
      <c r="L193" t="str">
        <f t="shared" si="1"/>
        <v/>
      </c>
      <c r="M193" t="s">
        <v>241</v>
      </c>
    </row>
    <row r="194">
      <c r="F194" t="s">
        <v>241</v>
      </c>
      <c r="G194" t="s">
        <v>241</v>
      </c>
      <c r="J194" t="str">
        <f>IFERROR(__xludf.DUMMYFUNCTION("""COMPUTED_VALUE"""),"")</f>
        <v/>
      </c>
      <c r="K194" t="s">
        <v>241</v>
      </c>
      <c r="L194" t="str">
        <f t="shared" si="1"/>
        <v/>
      </c>
      <c r="M194" t="s">
        <v>241</v>
      </c>
    </row>
    <row r="195">
      <c r="F195" t="s">
        <v>241</v>
      </c>
      <c r="G195" t="s">
        <v>241</v>
      </c>
      <c r="J195" t="str">
        <f>IFERROR(__xludf.DUMMYFUNCTION("""COMPUTED_VALUE"""),"")</f>
        <v/>
      </c>
      <c r="K195" t="s">
        <v>241</v>
      </c>
      <c r="L195" t="str">
        <f t="shared" si="1"/>
        <v/>
      </c>
      <c r="M195" t="s">
        <v>241</v>
      </c>
    </row>
    <row r="196">
      <c r="F196" t="s">
        <v>241</v>
      </c>
      <c r="G196" t="s">
        <v>241</v>
      </c>
      <c r="J196" t="str">
        <f>IFERROR(__xludf.DUMMYFUNCTION("""COMPUTED_VALUE"""),"")</f>
        <v/>
      </c>
      <c r="K196" t="s">
        <v>241</v>
      </c>
      <c r="L196" t="str">
        <f t="shared" si="1"/>
        <v/>
      </c>
      <c r="M196" t="s">
        <v>241</v>
      </c>
    </row>
    <row r="197">
      <c r="F197" t="s">
        <v>241</v>
      </c>
      <c r="G197" t="s">
        <v>241</v>
      </c>
      <c r="J197" t="str">
        <f>IFERROR(__xludf.DUMMYFUNCTION("""COMPUTED_VALUE"""),"")</f>
        <v/>
      </c>
      <c r="K197" t="s">
        <v>241</v>
      </c>
      <c r="L197" t="str">
        <f t="shared" si="1"/>
        <v/>
      </c>
      <c r="M197" t="s">
        <v>241</v>
      </c>
    </row>
    <row r="198">
      <c r="F198" t="s">
        <v>241</v>
      </c>
      <c r="G198" t="s">
        <v>241</v>
      </c>
      <c r="J198" t="str">
        <f>IFERROR(__xludf.DUMMYFUNCTION("""COMPUTED_VALUE"""),"")</f>
        <v/>
      </c>
      <c r="K198" t="s">
        <v>241</v>
      </c>
      <c r="L198" t="str">
        <f t="shared" si="1"/>
        <v/>
      </c>
      <c r="M198" t="s">
        <v>241</v>
      </c>
    </row>
    <row r="199">
      <c r="F199" t="s">
        <v>241</v>
      </c>
      <c r="G199" t="s">
        <v>241</v>
      </c>
      <c r="J199" t="str">
        <f>IFERROR(__xludf.DUMMYFUNCTION("""COMPUTED_VALUE"""),"")</f>
        <v/>
      </c>
      <c r="K199" t="s">
        <v>241</v>
      </c>
      <c r="L199" t="str">
        <f t="shared" si="1"/>
        <v/>
      </c>
      <c r="M199" t="s">
        <v>241</v>
      </c>
    </row>
    <row r="200">
      <c r="F200" t="s">
        <v>241</v>
      </c>
      <c r="G200" t="s">
        <v>241</v>
      </c>
      <c r="J200" t="str">
        <f>IFERROR(__xludf.DUMMYFUNCTION("""COMPUTED_VALUE"""),"")</f>
        <v/>
      </c>
      <c r="K200" t="s">
        <v>241</v>
      </c>
      <c r="L200" t="str">
        <f t="shared" si="1"/>
        <v/>
      </c>
      <c r="M200" t="s">
        <v>241</v>
      </c>
    </row>
    <row r="201">
      <c r="F201" t="s">
        <v>241</v>
      </c>
      <c r="G201" t="s">
        <v>241</v>
      </c>
      <c r="J201" t="str">
        <f>IFERROR(__xludf.DUMMYFUNCTION("""COMPUTED_VALUE"""),"")</f>
        <v/>
      </c>
      <c r="K201" t="s">
        <v>241</v>
      </c>
      <c r="L201" t="str">
        <f t="shared" si="1"/>
        <v/>
      </c>
      <c r="M201" t="s">
        <v>241</v>
      </c>
    </row>
    <row r="202">
      <c r="F202" t="s">
        <v>241</v>
      </c>
      <c r="G202" t="s">
        <v>241</v>
      </c>
      <c r="J202" t="str">
        <f>IFERROR(__xludf.DUMMYFUNCTION("""COMPUTED_VALUE"""),"")</f>
        <v/>
      </c>
      <c r="K202" t="s">
        <v>241</v>
      </c>
      <c r="L202" t="str">
        <f t="shared" si="1"/>
        <v/>
      </c>
      <c r="M202" t="s">
        <v>241</v>
      </c>
    </row>
    <row r="203">
      <c r="F203" t="s">
        <v>241</v>
      </c>
      <c r="G203" t="s">
        <v>241</v>
      </c>
      <c r="J203" t="str">
        <f>IFERROR(__xludf.DUMMYFUNCTION("""COMPUTED_VALUE"""),"")</f>
        <v/>
      </c>
      <c r="K203" t="s">
        <v>241</v>
      </c>
      <c r="L203" t="str">
        <f t="shared" si="1"/>
        <v/>
      </c>
      <c r="M203" t="s">
        <v>241</v>
      </c>
    </row>
    <row r="204">
      <c r="F204" t="s">
        <v>241</v>
      </c>
      <c r="G204" t="s">
        <v>241</v>
      </c>
      <c r="J204" t="str">
        <f>IFERROR(__xludf.DUMMYFUNCTION("""COMPUTED_VALUE"""),"")</f>
        <v/>
      </c>
      <c r="K204" t="s">
        <v>241</v>
      </c>
      <c r="L204" t="str">
        <f t="shared" si="1"/>
        <v/>
      </c>
      <c r="M204" t="s">
        <v>241</v>
      </c>
    </row>
    <row r="205">
      <c r="F205" t="s">
        <v>241</v>
      </c>
      <c r="G205" t="s">
        <v>241</v>
      </c>
      <c r="J205" t="str">
        <f>IFERROR(__xludf.DUMMYFUNCTION("""COMPUTED_VALUE"""),"")</f>
        <v/>
      </c>
      <c r="K205" t="s">
        <v>241</v>
      </c>
      <c r="L205" t="str">
        <f t="shared" si="1"/>
        <v/>
      </c>
      <c r="M205" t="s">
        <v>241</v>
      </c>
    </row>
    <row r="206">
      <c r="F206" t="s">
        <v>241</v>
      </c>
      <c r="G206" t="s">
        <v>241</v>
      </c>
      <c r="J206" t="str">
        <f>IFERROR(__xludf.DUMMYFUNCTION("""COMPUTED_VALUE"""),"")</f>
        <v/>
      </c>
      <c r="K206" t="s">
        <v>241</v>
      </c>
      <c r="L206" t="str">
        <f t="shared" si="1"/>
        <v/>
      </c>
      <c r="M206" t="s">
        <v>241</v>
      </c>
    </row>
    <row r="207">
      <c r="F207" t="s">
        <v>241</v>
      </c>
      <c r="G207" t="s">
        <v>241</v>
      </c>
      <c r="J207" t="str">
        <f>IFERROR(__xludf.DUMMYFUNCTION("""COMPUTED_VALUE"""),"")</f>
        <v/>
      </c>
      <c r="K207" t="s">
        <v>241</v>
      </c>
      <c r="L207" t="str">
        <f t="shared" si="1"/>
        <v/>
      </c>
      <c r="M207" t="s">
        <v>241</v>
      </c>
    </row>
    <row r="208">
      <c r="F208" t="s">
        <v>241</v>
      </c>
      <c r="G208" t="s">
        <v>241</v>
      </c>
      <c r="J208" t="str">
        <f>IFERROR(__xludf.DUMMYFUNCTION("""COMPUTED_VALUE"""),"")</f>
        <v/>
      </c>
      <c r="K208" t="s">
        <v>241</v>
      </c>
      <c r="L208" t="str">
        <f t="shared" si="1"/>
        <v/>
      </c>
      <c r="M208" t="s">
        <v>241</v>
      </c>
    </row>
    <row r="209">
      <c r="F209" t="s">
        <v>241</v>
      </c>
      <c r="G209" t="s">
        <v>241</v>
      </c>
      <c r="J209" t="str">
        <f>IFERROR(__xludf.DUMMYFUNCTION("""COMPUTED_VALUE"""),"")</f>
        <v/>
      </c>
      <c r="K209" t="s">
        <v>241</v>
      </c>
      <c r="L209" t="str">
        <f t="shared" si="1"/>
        <v/>
      </c>
      <c r="M209" t="s">
        <v>241</v>
      </c>
    </row>
    <row r="210">
      <c r="F210" t="s">
        <v>241</v>
      </c>
      <c r="G210" t="s">
        <v>241</v>
      </c>
      <c r="J210" t="str">
        <f>IFERROR(__xludf.DUMMYFUNCTION("""COMPUTED_VALUE"""),"")</f>
        <v/>
      </c>
      <c r="K210" t="s">
        <v>241</v>
      </c>
      <c r="L210" t="str">
        <f t="shared" si="1"/>
        <v/>
      </c>
      <c r="M210" t="s">
        <v>241</v>
      </c>
    </row>
    <row r="211">
      <c r="F211" t="s">
        <v>241</v>
      </c>
      <c r="G211" t="s">
        <v>241</v>
      </c>
      <c r="J211" t="str">
        <f>IFERROR(__xludf.DUMMYFUNCTION("""COMPUTED_VALUE"""),"")</f>
        <v/>
      </c>
      <c r="K211" t="s">
        <v>241</v>
      </c>
      <c r="L211" t="str">
        <f t="shared" si="1"/>
        <v/>
      </c>
      <c r="M211" t="s">
        <v>241</v>
      </c>
    </row>
    <row r="212">
      <c r="F212" t="s">
        <v>241</v>
      </c>
      <c r="G212" t="s">
        <v>241</v>
      </c>
      <c r="J212" t="str">
        <f>IFERROR(__xludf.DUMMYFUNCTION("""COMPUTED_VALUE"""),"")</f>
        <v/>
      </c>
      <c r="K212" t="s">
        <v>241</v>
      </c>
      <c r="L212" t="str">
        <f t="shared" si="1"/>
        <v/>
      </c>
      <c r="M212" t="s">
        <v>241</v>
      </c>
    </row>
    <row r="213">
      <c r="F213" t="s">
        <v>241</v>
      </c>
      <c r="G213" t="s">
        <v>241</v>
      </c>
      <c r="J213" t="str">
        <f>IFERROR(__xludf.DUMMYFUNCTION("""COMPUTED_VALUE"""),"")</f>
        <v/>
      </c>
      <c r="K213" t="s">
        <v>241</v>
      </c>
      <c r="L213" t="str">
        <f t="shared" si="1"/>
        <v/>
      </c>
      <c r="M213" t="s">
        <v>241</v>
      </c>
    </row>
    <row r="214">
      <c r="F214" t="s">
        <v>241</v>
      </c>
      <c r="G214" t="s">
        <v>241</v>
      </c>
      <c r="J214" t="str">
        <f>IFERROR(__xludf.DUMMYFUNCTION("""COMPUTED_VALUE"""),"")</f>
        <v/>
      </c>
      <c r="K214" t="s">
        <v>241</v>
      </c>
      <c r="L214" t="str">
        <f t="shared" si="1"/>
        <v/>
      </c>
      <c r="M214" t="s">
        <v>241</v>
      </c>
    </row>
    <row r="215">
      <c r="F215" t="s">
        <v>241</v>
      </c>
      <c r="G215" t="s">
        <v>241</v>
      </c>
      <c r="J215" t="str">
        <f>IFERROR(__xludf.DUMMYFUNCTION("""COMPUTED_VALUE"""),"")</f>
        <v/>
      </c>
      <c r="K215" t="s">
        <v>241</v>
      </c>
      <c r="L215" t="str">
        <f t="shared" si="1"/>
        <v/>
      </c>
      <c r="M215" t="s">
        <v>241</v>
      </c>
    </row>
    <row r="216">
      <c r="F216" t="s">
        <v>241</v>
      </c>
      <c r="G216" t="s">
        <v>241</v>
      </c>
      <c r="J216" t="str">
        <f>IFERROR(__xludf.DUMMYFUNCTION("""COMPUTED_VALUE"""),"")</f>
        <v/>
      </c>
      <c r="K216" t="s">
        <v>241</v>
      </c>
      <c r="L216" t="str">
        <f t="shared" si="1"/>
        <v/>
      </c>
      <c r="M216" t="s">
        <v>241</v>
      </c>
    </row>
    <row r="217">
      <c r="F217" t="s">
        <v>241</v>
      </c>
      <c r="G217" t="s">
        <v>241</v>
      </c>
      <c r="J217" t="str">
        <f>IFERROR(__xludf.DUMMYFUNCTION("""COMPUTED_VALUE"""),"")</f>
        <v/>
      </c>
      <c r="K217" t="s">
        <v>241</v>
      </c>
      <c r="L217" t="str">
        <f t="shared" si="1"/>
        <v/>
      </c>
      <c r="M217" t="s">
        <v>241</v>
      </c>
    </row>
    <row r="218">
      <c r="F218" t="s">
        <v>241</v>
      </c>
      <c r="G218" t="s">
        <v>241</v>
      </c>
      <c r="J218" t="str">
        <f>IFERROR(__xludf.DUMMYFUNCTION("""COMPUTED_VALUE"""),"")</f>
        <v/>
      </c>
      <c r="K218" t="s">
        <v>241</v>
      </c>
      <c r="L218" t="str">
        <f t="shared" si="1"/>
        <v/>
      </c>
      <c r="M218" t="s">
        <v>241</v>
      </c>
    </row>
    <row r="219">
      <c r="F219" t="s">
        <v>241</v>
      </c>
      <c r="G219" t="s">
        <v>241</v>
      </c>
      <c r="J219" t="str">
        <f>IFERROR(__xludf.DUMMYFUNCTION("""COMPUTED_VALUE"""),"")</f>
        <v/>
      </c>
      <c r="K219" t="s">
        <v>241</v>
      </c>
      <c r="L219" t="str">
        <f t="shared" si="1"/>
        <v/>
      </c>
      <c r="M219" t="s">
        <v>241</v>
      </c>
    </row>
    <row r="220">
      <c r="F220" t="s">
        <v>241</v>
      </c>
      <c r="G220" t="s">
        <v>241</v>
      </c>
      <c r="J220" t="str">
        <f>IFERROR(__xludf.DUMMYFUNCTION("""COMPUTED_VALUE"""),"")</f>
        <v/>
      </c>
      <c r="K220" t="s">
        <v>241</v>
      </c>
      <c r="L220" t="str">
        <f t="shared" si="1"/>
        <v/>
      </c>
      <c r="M220" t="s">
        <v>241</v>
      </c>
    </row>
    <row r="221">
      <c r="F221" t="s">
        <v>241</v>
      </c>
      <c r="G221" t="s">
        <v>241</v>
      </c>
      <c r="J221" t="str">
        <f>IFERROR(__xludf.DUMMYFUNCTION("""COMPUTED_VALUE"""),"")</f>
        <v/>
      </c>
      <c r="K221" t="s">
        <v>241</v>
      </c>
      <c r="L221" t="str">
        <f t="shared" si="1"/>
        <v/>
      </c>
      <c r="M221" t="s">
        <v>241</v>
      </c>
    </row>
    <row r="222">
      <c r="F222" t="s">
        <v>241</v>
      </c>
      <c r="G222" t="s">
        <v>241</v>
      </c>
      <c r="J222" t="str">
        <f>IFERROR(__xludf.DUMMYFUNCTION("""COMPUTED_VALUE"""),"")</f>
        <v/>
      </c>
      <c r="K222" t="s">
        <v>241</v>
      </c>
      <c r="L222" t="str">
        <f t="shared" si="1"/>
        <v/>
      </c>
      <c r="M222" t="s">
        <v>241</v>
      </c>
    </row>
    <row r="223">
      <c r="F223" t="s">
        <v>241</v>
      </c>
      <c r="G223" t="s">
        <v>241</v>
      </c>
      <c r="J223" t="str">
        <f>IFERROR(__xludf.DUMMYFUNCTION("""COMPUTED_VALUE"""),"")</f>
        <v/>
      </c>
      <c r="K223" t="s">
        <v>241</v>
      </c>
      <c r="L223" t="str">
        <f t="shared" si="1"/>
        <v/>
      </c>
      <c r="M223" t="s">
        <v>241</v>
      </c>
    </row>
    <row r="224">
      <c r="F224" t="s">
        <v>241</v>
      </c>
      <c r="G224" t="s">
        <v>241</v>
      </c>
      <c r="J224" t="str">
        <f>IFERROR(__xludf.DUMMYFUNCTION("""COMPUTED_VALUE"""),"")</f>
        <v/>
      </c>
      <c r="K224" t="s">
        <v>241</v>
      </c>
      <c r="L224" t="str">
        <f t="shared" si="1"/>
        <v/>
      </c>
      <c r="M224" t="s">
        <v>241</v>
      </c>
    </row>
    <row r="225">
      <c r="F225" t="s">
        <v>241</v>
      </c>
      <c r="G225" t="s">
        <v>241</v>
      </c>
      <c r="J225" t="str">
        <f>IFERROR(__xludf.DUMMYFUNCTION("""COMPUTED_VALUE"""),"")</f>
        <v/>
      </c>
      <c r="K225" t="s">
        <v>241</v>
      </c>
      <c r="L225" t="str">
        <f t="shared" si="1"/>
        <v/>
      </c>
      <c r="M225" t="s">
        <v>241</v>
      </c>
    </row>
    <row r="226">
      <c r="F226" t="s">
        <v>241</v>
      </c>
      <c r="G226" t="s">
        <v>241</v>
      </c>
      <c r="J226" t="str">
        <f>IFERROR(__xludf.DUMMYFUNCTION("""COMPUTED_VALUE"""),"")</f>
        <v/>
      </c>
      <c r="K226" t="s">
        <v>241</v>
      </c>
      <c r="L226" t="str">
        <f t="shared" si="1"/>
        <v/>
      </c>
      <c r="M226" t="s">
        <v>241</v>
      </c>
    </row>
    <row r="227">
      <c r="F227" t="s">
        <v>241</v>
      </c>
      <c r="G227" t="s">
        <v>241</v>
      </c>
      <c r="J227" t="str">
        <f>IFERROR(__xludf.DUMMYFUNCTION("""COMPUTED_VALUE"""),"")</f>
        <v/>
      </c>
      <c r="K227" t="s">
        <v>241</v>
      </c>
      <c r="L227" t="str">
        <f t="shared" si="1"/>
        <v/>
      </c>
      <c r="M227" t="s">
        <v>241</v>
      </c>
    </row>
    <row r="228">
      <c r="F228" t="s">
        <v>241</v>
      </c>
      <c r="G228" t="s">
        <v>241</v>
      </c>
      <c r="J228" t="str">
        <f>IFERROR(__xludf.DUMMYFUNCTION("""COMPUTED_VALUE"""),"")</f>
        <v/>
      </c>
      <c r="K228" t="s">
        <v>241</v>
      </c>
      <c r="L228" t="str">
        <f t="shared" si="1"/>
        <v/>
      </c>
      <c r="M228" t="s">
        <v>241</v>
      </c>
    </row>
    <row r="229">
      <c r="F229" t="s">
        <v>241</v>
      </c>
      <c r="G229" t="s">
        <v>241</v>
      </c>
      <c r="J229" t="str">
        <f>IFERROR(__xludf.DUMMYFUNCTION("""COMPUTED_VALUE"""),"")</f>
        <v/>
      </c>
      <c r="K229" t="s">
        <v>241</v>
      </c>
      <c r="L229" t="str">
        <f t="shared" si="1"/>
        <v/>
      </c>
      <c r="M229" t="s">
        <v>241</v>
      </c>
    </row>
    <row r="230">
      <c r="F230" t="s">
        <v>241</v>
      </c>
      <c r="G230" t="s">
        <v>241</v>
      </c>
      <c r="J230" t="str">
        <f>IFERROR(__xludf.DUMMYFUNCTION("""COMPUTED_VALUE"""),"")</f>
        <v/>
      </c>
      <c r="K230" t="s">
        <v>241</v>
      </c>
      <c r="L230" t="str">
        <f t="shared" si="1"/>
        <v/>
      </c>
      <c r="M230" t="s">
        <v>241</v>
      </c>
    </row>
    <row r="231">
      <c r="F231" t="s">
        <v>241</v>
      </c>
      <c r="G231" t="s">
        <v>241</v>
      </c>
      <c r="J231" t="str">
        <f>IFERROR(__xludf.DUMMYFUNCTION("""COMPUTED_VALUE"""),"")</f>
        <v/>
      </c>
      <c r="K231" t="s">
        <v>241</v>
      </c>
      <c r="L231" t="str">
        <f t="shared" si="1"/>
        <v/>
      </c>
      <c r="M231" t="s">
        <v>241</v>
      </c>
    </row>
    <row r="232">
      <c r="F232" t="s">
        <v>241</v>
      </c>
      <c r="G232" t="s">
        <v>241</v>
      </c>
      <c r="J232" t="str">
        <f>IFERROR(__xludf.DUMMYFUNCTION("""COMPUTED_VALUE"""),"")</f>
        <v/>
      </c>
      <c r="K232" t="s">
        <v>241</v>
      </c>
      <c r="L232" t="str">
        <f t="shared" si="1"/>
        <v/>
      </c>
      <c r="M232" t="s">
        <v>241</v>
      </c>
    </row>
    <row r="233">
      <c r="F233" t="s">
        <v>241</v>
      </c>
      <c r="G233" t="s">
        <v>241</v>
      </c>
      <c r="J233" t="str">
        <f>IFERROR(__xludf.DUMMYFUNCTION("""COMPUTED_VALUE"""),"")</f>
        <v/>
      </c>
      <c r="K233" t="s">
        <v>241</v>
      </c>
      <c r="L233" t="str">
        <f t="shared" si="1"/>
        <v/>
      </c>
      <c r="M233" t="s">
        <v>241</v>
      </c>
    </row>
    <row r="234">
      <c r="F234" t="s">
        <v>241</v>
      </c>
      <c r="G234" t="s">
        <v>241</v>
      </c>
      <c r="J234" t="str">
        <f>IFERROR(__xludf.DUMMYFUNCTION("""COMPUTED_VALUE"""),"")</f>
        <v/>
      </c>
      <c r="K234" t="s">
        <v>241</v>
      </c>
      <c r="L234" t="str">
        <f t="shared" si="1"/>
        <v/>
      </c>
      <c r="M234" t="s">
        <v>241</v>
      </c>
    </row>
    <row r="235">
      <c r="F235" t="s">
        <v>241</v>
      </c>
      <c r="G235" t="s">
        <v>241</v>
      </c>
      <c r="J235" t="str">
        <f>IFERROR(__xludf.DUMMYFUNCTION("""COMPUTED_VALUE"""),"")</f>
        <v/>
      </c>
      <c r="K235" t="s">
        <v>241</v>
      </c>
      <c r="L235" t="str">
        <f t="shared" si="1"/>
        <v/>
      </c>
      <c r="M235" t="s">
        <v>241</v>
      </c>
    </row>
    <row r="236">
      <c r="F236" t="s">
        <v>241</v>
      </c>
      <c r="G236" t="s">
        <v>241</v>
      </c>
      <c r="J236" t="str">
        <f>IFERROR(__xludf.DUMMYFUNCTION("""COMPUTED_VALUE"""),"")</f>
        <v/>
      </c>
      <c r="K236" t="s">
        <v>241</v>
      </c>
      <c r="L236" t="str">
        <f t="shared" si="1"/>
        <v/>
      </c>
      <c r="M236" t="s">
        <v>241</v>
      </c>
    </row>
    <row r="237">
      <c r="F237" t="s">
        <v>241</v>
      </c>
      <c r="G237" t="s">
        <v>241</v>
      </c>
      <c r="J237" t="str">
        <f>IFERROR(__xludf.DUMMYFUNCTION("""COMPUTED_VALUE"""),"")</f>
        <v/>
      </c>
      <c r="K237" t="s">
        <v>241</v>
      </c>
      <c r="L237" t="str">
        <f t="shared" si="1"/>
        <v/>
      </c>
      <c r="M237" t="s">
        <v>241</v>
      </c>
    </row>
    <row r="238">
      <c r="F238" t="s">
        <v>241</v>
      </c>
      <c r="G238" t="s">
        <v>241</v>
      </c>
      <c r="J238" t="str">
        <f>IFERROR(__xludf.DUMMYFUNCTION("""COMPUTED_VALUE"""),"")</f>
        <v/>
      </c>
      <c r="K238" t="s">
        <v>241</v>
      </c>
      <c r="L238" t="str">
        <f t="shared" si="1"/>
        <v/>
      </c>
      <c r="M238" t="s">
        <v>241</v>
      </c>
    </row>
    <row r="239">
      <c r="F239" t="s">
        <v>241</v>
      </c>
      <c r="G239" t="s">
        <v>241</v>
      </c>
      <c r="J239" t="str">
        <f>IFERROR(__xludf.DUMMYFUNCTION("""COMPUTED_VALUE"""),"")</f>
        <v/>
      </c>
      <c r="K239" t="s">
        <v>241</v>
      </c>
      <c r="L239" t="str">
        <f t="shared" si="1"/>
        <v/>
      </c>
      <c r="M239" t="s">
        <v>241</v>
      </c>
    </row>
    <row r="240">
      <c r="F240" t="s">
        <v>241</v>
      </c>
      <c r="G240" t="s">
        <v>241</v>
      </c>
      <c r="J240" t="str">
        <f>IFERROR(__xludf.DUMMYFUNCTION("""COMPUTED_VALUE"""),"")</f>
        <v/>
      </c>
      <c r="K240" t="s">
        <v>241</v>
      </c>
      <c r="L240" t="str">
        <f t="shared" si="1"/>
        <v/>
      </c>
      <c r="M240" t="s">
        <v>241</v>
      </c>
    </row>
    <row r="241">
      <c r="F241" t="s">
        <v>241</v>
      </c>
      <c r="G241" t="s">
        <v>241</v>
      </c>
      <c r="J241" t="str">
        <f>IFERROR(__xludf.DUMMYFUNCTION("""COMPUTED_VALUE"""),"")</f>
        <v/>
      </c>
      <c r="K241" t="s">
        <v>241</v>
      </c>
      <c r="L241" t="str">
        <f t="shared" si="1"/>
        <v/>
      </c>
      <c r="M241" t="s">
        <v>241</v>
      </c>
    </row>
    <row r="242">
      <c r="F242" t="s">
        <v>241</v>
      </c>
      <c r="G242" t="s">
        <v>241</v>
      </c>
      <c r="J242" t="str">
        <f>IFERROR(__xludf.DUMMYFUNCTION("""COMPUTED_VALUE"""),"")</f>
        <v/>
      </c>
      <c r="K242" t="s">
        <v>241</v>
      </c>
      <c r="L242" t="str">
        <f t="shared" si="1"/>
        <v/>
      </c>
      <c r="M242" t="s">
        <v>241</v>
      </c>
    </row>
    <row r="243">
      <c r="F243" t="s">
        <v>241</v>
      </c>
      <c r="G243" t="s">
        <v>241</v>
      </c>
      <c r="J243" t="str">
        <f>IFERROR(__xludf.DUMMYFUNCTION("""COMPUTED_VALUE"""),"")</f>
        <v/>
      </c>
      <c r="K243" t="s">
        <v>241</v>
      </c>
      <c r="L243" t="str">
        <f t="shared" si="1"/>
        <v/>
      </c>
      <c r="M243" t="s">
        <v>241</v>
      </c>
    </row>
    <row r="244">
      <c r="F244" t="s">
        <v>241</v>
      </c>
      <c r="G244" t="s">
        <v>241</v>
      </c>
      <c r="J244" t="str">
        <f>IFERROR(__xludf.DUMMYFUNCTION("""COMPUTED_VALUE"""),"")</f>
        <v/>
      </c>
      <c r="K244" t="s">
        <v>241</v>
      </c>
      <c r="L244" t="str">
        <f t="shared" si="1"/>
        <v/>
      </c>
      <c r="M244" t="s">
        <v>241</v>
      </c>
    </row>
    <row r="245">
      <c r="F245" t="s">
        <v>241</v>
      </c>
      <c r="G245" t="s">
        <v>241</v>
      </c>
      <c r="J245" t="str">
        <f>IFERROR(__xludf.DUMMYFUNCTION("""COMPUTED_VALUE"""),"")</f>
        <v/>
      </c>
      <c r="K245" t="s">
        <v>241</v>
      </c>
      <c r="L245" t="str">
        <f t="shared" si="1"/>
        <v/>
      </c>
      <c r="M245" t="s">
        <v>241</v>
      </c>
    </row>
    <row r="246">
      <c r="F246" t="s">
        <v>241</v>
      </c>
      <c r="G246" t="s">
        <v>241</v>
      </c>
      <c r="J246" t="str">
        <f>IFERROR(__xludf.DUMMYFUNCTION("""COMPUTED_VALUE"""),"")</f>
        <v/>
      </c>
      <c r="K246" t="s">
        <v>241</v>
      </c>
      <c r="L246" t="str">
        <f t="shared" si="1"/>
        <v/>
      </c>
      <c r="M246" t="s">
        <v>241</v>
      </c>
    </row>
    <row r="247">
      <c r="F247" t="s">
        <v>241</v>
      </c>
      <c r="G247" t="s">
        <v>241</v>
      </c>
      <c r="J247" t="str">
        <f>IFERROR(__xludf.DUMMYFUNCTION("""COMPUTED_VALUE"""),"")</f>
        <v/>
      </c>
      <c r="K247" t="s">
        <v>241</v>
      </c>
      <c r="L247" t="str">
        <f t="shared" si="1"/>
        <v/>
      </c>
      <c r="M247" t="s">
        <v>241</v>
      </c>
    </row>
    <row r="248">
      <c r="F248" t="s">
        <v>241</v>
      </c>
      <c r="G248" t="s">
        <v>241</v>
      </c>
      <c r="J248" t="str">
        <f>IFERROR(__xludf.DUMMYFUNCTION("""COMPUTED_VALUE"""),"")</f>
        <v/>
      </c>
      <c r="K248" t="s">
        <v>241</v>
      </c>
      <c r="L248" t="str">
        <f t="shared" si="1"/>
        <v/>
      </c>
      <c r="M248" t="s">
        <v>241</v>
      </c>
    </row>
    <row r="249">
      <c r="F249" t="s">
        <v>241</v>
      </c>
      <c r="G249" t="s">
        <v>241</v>
      </c>
      <c r="J249" t="str">
        <f>IFERROR(__xludf.DUMMYFUNCTION("""COMPUTED_VALUE"""),"")</f>
        <v/>
      </c>
      <c r="K249" t="s">
        <v>241</v>
      </c>
      <c r="L249" t="str">
        <f t="shared" si="1"/>
        <v/>
      </c>
      <c r="M249" t="s">
        <v>241</v>
      </c>
    </row>
    <row r="250">
      <c r="F250" t="s">
        <v>241</v>
      </c>
      <c r="G250" t="s">
        <v>241</v>
      </c>
      <c r="J250" t="str">
        <f>IFERROR(__xludf.DUMMYFUNCTION("""COMPUTED_VALUE"""),"")</f>
        <v/>
      </c>
      <c r="K250" t="s">
        <v>241</v>
      </c>
      <c r="L250" t="str">
        <f t="shared" si="1"/>
        <v/>
      </c>
      <c r="M250" t="s">
        <v>241</v>
      </c>
    </row>
    <row r="251">
      <c r="F251" t="s">
        <v>241</v>
      </c>
      <c r="G251" t="s">
        <v>241</v>
      </c>
      <c r="J251" t="str">
        <f>IFERROR(__xludf.DUMMYFUNCTION("""COMPUTED_VALUE"""),"")</f>
        <v/>
      </c>
      <c r="K251" t="s">
        <v>241</v>
      </c>
      <c r="L251" t="str">
        <f t="shared" si="1"/>
        <v/>
      </c>
      <c r="M251" t="s">
        <v>241</v>
      </c>
    </row>
    <row r="252">
      <c r="F252" t="s">
        <v>241</v>
      </c>
      <c r="G252" t="s">
        <v>241</v>
      </c>
      <c r="J252" t="str">
        <f>IFERROR(__xludf.DUMMYFUNCTION("""COMPUTED_VALUE"""),"")</f>
        <v/>
      </c>
      <c r="K252" t="s">
        <v>241</v>
      </c>
      <c r="L252" t="str">
        <f t="shared" si="1"/>
        <v/>
      </c>
      <c r="M252" t="s">
        <v>241</v>
      </c>
    </row>
    <row r="253">
      <c r="F253" t="s">
        <v>241</v>
      </c>
      <c r="G253" t="s">
        <v>241</v>
      </c>
      <c r="J253" t="str">
        <f>IFERROR(__xludf.DUMMYFUNCTION("""COMPUTED_VALUE"""),"")</f>
        <v/>
      </c>
      <c r="K253" t="s">
        <v>241</v>
      </c>
      <c r="L253" t="str">
        <f t="shared" si="1"/>
        <v/>
      </c>
      <c r="M253" t="s">
        <v>241</v>
      </c>
    </row>
    <row r="254">
      <c r="F254" t="s">
        <v>241</v>
      </c>
      <c r="G254" t="s">
        <v>241</v>
      </c>
      <c r="J254" t="str">
        <f>IFERROR(__xludf.DUMMYFUNCTION("""COMPUTED_VALUE"""),"")</f>
        <v/>
      </c>
      <c r="K254" t="s">
        <v>241</v>
      </c>
      <c r="L254" t="str">
        <f t="shared" si="1"/>
        <v/>
      </c>
      <c r="M254" t="s">
        <v>241</v>
      </c>
    </row>
    <row r="255">
      <c r="F255" t="s">
        <v>241</v>
      </c>
      <c r="G255" t="s">
        <v>241</v>
      </c>
      <c r="J255" t="str">
        <f>IFERROR(__xludf.DUMMYFUNCTION("""COMPUTED_VALUE"""),"")</f>
        <v/>
      </c>
      <c r="K255" t="s">
        <v>241</v>
      </c>
      <c r="L255" t="str">
        <f t="shared" si="1"/>
        <v/>
      </c>
      <c r="M255" t="s">
        <v>241</v>
      </c>
    </row>
    <row r="256">
      <c r="F256" t="s">
        <v>241</v>
      </c>
      <c r="G256" t="s">
        <v>241</v>
      </c>
      <c r="J256" t="str">
        <f>IFERROR(__xludf.DUMMYFUNCTION("""COMPUTED_VALUE"""),"")</f>
        <v/>
      </c>
      <c r="K256" t="s">
        <v>241</v>
      </c>
      <c r="L256" t="str">
        <f t="shared" si="1"/>
        <v/>
      </c>
      <c r="M256" t="s">
        <v>241</v>
      </c>
    </row>
    <row r="257">
      <c r="F257" t="s">
        <v>241</v>
      </c>
      <c r="G257" t="s">
        <v>241</v>
      </c>
      <c r="J257" t="str">
        <f>IFERROR(__xludf.DUMMYFUNCTION("""COMPUTED_VALUE"""),"")</f>
        <v/>
      </c>
      <c r="K257" t="s">
        <v>241</v>
      </c>
      <c r="L257" t="str">
        <f t="shared" si="1"/>
        <v/>
      </c>
      <c r="M257" t="s">
        <v>241</v>
      </c>
    </row>
    <row r="258">
      <c r="F258" t="s">
        <v>241</v>
      </c>
      <c r="G258" t="s">
        <v>241</v>
      </c>
      <c r="J258" t="str">
        <f>IFERROR(__xludf.DUMMYFUNCTION("""COMPUTED_VALUE"""),"")</f>
        <v/>
      </c>
      <c r="K258" t="s">
        <v>241</v>
      </c>
      <c r="L258" t="str">
        <f t="shared" si="1"/>
        <v/>
      </c>
      <c r="M258" t="s">
        <v>241</v>
      </c>
    </row>
    <row r="259">
      <c r="F259" t="s">
        <v>241</v>
      </c>
      <c r="G259" t="s">
        <v>241</v>
      </c>
      <c r="J259" t="str">
        <f>IFERROR(__xludf.DUMMYFUNCTION("""COMPUTED_VALUE"""),"")</f>
        <v/>
      </c>
      <c r="K259" t="s">
        <v>241</v>
      </c>
      <c r="L259" t="str">
        <f t="shared" si="1"/>
        <v/>
      </c>
      <c r="M259" t="s">
        <v>241</v>
      </c>
    </row>
    <row r="260">
      <c r="F260" t="s">
        <v>241</v>
      </c>
      <c r="G260" t="s">
        <v>241</v>
      </c>
      <c r="J260" t="str">
        <f>IFERROR(__xludf.DUMMYFUNCTION("""COMPUTED_VALUE"""),"")</f>
        <v/>
      </c>
      <c r="K260" t="s">
        <v>241</v>
      </c>
      <c r="L260" t="str">
        <f t="shared" si="1"/>
        <v/>
      </c>
      <c r="M260" t="s">
        <v>241</v>
      </c>
    </row>
    <row r="261">
      <c r="F261" t="s">
        <v>241</v>
      </c>
      <c r="G261" t="s">
        <v>241</v>
      </c>
      <c r="J261" t="str">
        <f>IFERROR(__xludf.DUMMYFUNCTION("""COMPUTED_VALUE"""),"")</f>
        <v/>
      </c>
      <c r="K261" t="s">
        <v>241</v>
      </c>
      <c r="L261" t="str">
        <f t="shared" si="1"/>
        <v/>
      </c>
      <c r="M261" t="s">
        <v>241</v>
      </c>
    </row>
    <row r="262">
      <c r="F262" t="s">
        <v>241</v>
      </c>
      <c r="G262" t="s">
        <v>241</v>
      </c>
      <c r="J262" t="str">
        <f>IFERROR(__xludf.DUMMYFUNCTION("""COMPUTED_VALUE"""),"")</f>
        <v/>
      </c>
      <c r="K262" t="s">
        <v>241</v>
      </c>
      <c r="L262" t="str">
        <f t="shared" si="1"/>
        <v/>
      </c>
      <c r="M262" t="s">
        <v>241</v>
      </c>
    </row>
    <row r="263">
      <c r="F263" t="s">
        <v>241</v>
      </c>
      <c r="G263" t="s">
        <v>241</v>
      </c>
      <c r="J263" t="str">
        <f>IFERROR(__xludf.DUMMYFUNCTION("""COMPUTED_VALUE"""),"")</f>
        <v/>
      </c>
      <c r="K263" t="s">
        <v>241</v>
      </c>
      <c r="L263" t="str">
        <f t="shared" si="1"/>
        <v/>
      </c>
      <c r="M263" t="s">
        <v>241</v>
      </c>
    </row>
    <row r="264">
      <c r="F264" t="s">
        <v>241</v>
      </c>
      <c r="G264" t="s">
        <v>241</v>
      </c>
      <c r="J264" t="str">
        <f>IFERROR(__xludf.DUMMYFUNCTION("""COMPUTED_VALUE"""),"")</f>
        <v/>
      </c>
      <c r="K264" t="s">
        <v>241</v>
      </c>
      <c r="L264" t="str">
        <f t="shared" si="1"/>
        <v/>
      </c>
      <c r="M264" t="s">
        <v>241</v>
      </c>
    </row>
    <row r="265">
      <c r="F265" t="s">
        <v>241</v>
      </c>
      <c r="G265" t="s">
        <v>241</v>
      </c>
      <c r="J265" t="str">
        <f>IFERROR(__xludf.DUMMYFUNCTION("""COMPUTED_VALUE"""),"")</f>
        <v/>
      </c>
      <c r="K265" t="s">
        <v>241</v>
      </c>
      <c r="L265" t="str">
        <f t="shared" si="1"/>
        <v/>
      </c>
      <c r="M265" t="s">
        <v>241</v>
      </c>
    </row>
    <row r="266">
      <c r="F266" t="s">
        <v>241</v>
      </c>
      <c r="G266" t="s">
        <v>241</v>
      </c>
      <c r="J266" t="str">
        <f>IFERROR(__xludf.DUMMYFUNCTION("""COMPUTED_VALUE"""),"")</f>
        <v/>
      </c>
      <c r="K266" t="s">
        <v>241</v>
      </c>
      <c r="L266" t="str">
        <f t="shared" si="1"/>
        <v/>
      </c>
      <c r="M266" t="s">
        <v>241</v>
      </c>
    </row>
    <row r="267">
      <c r="F267" t="s">
        <v>241</v>
      </c>
      <c r="G267" t="s">
        <v>241</v>
      </c>
      <c r="J267" t="str">
        <f>IFERROR(__xludf.DUMMYFUNCTION("""COMPUTED_VALUE"""),"")</f>
        <v/>
      </c>
      <c r="K267" t="s">
        <v>241</v>
      </c>
      <c r="L267" t="str">
        <f t="shared" si="1"/>
        <v/>
      </c>
      <c r="M267" t="s">
        <v>241</v>
      </c>
    </row>
    <row r="268">
      <c r="F268" t="s">
        <v>241</v>
      </c>
      <c r="G268" t="s">
        <v>241</v>
      </c>
      <c r="J268" t="str">
        <f>IFERROR(__xludf.DUMMYFUNCTION("""COMPUTED_VALUE"""),"")</f>
        <v/>
      </c>
      <c r="K268" t="s">
        <v>241</v>
      </c>
      <c r="L268" t="str">
        <f t="shared" si="1"/>
        <v/>
      </c>
      <c r="M268" t="s">
        <v>241</v>
      </c>
    </row>
    <row r="269">
      <c r="F269" t="s">
        <v>241</v>
      </c>
      <c r="G269" t="s">
        <v>241</v>
      </c>
      <c r="J269" t="str">
        <f>IFERROR(__xludf.DUMMYFUNCTION("""COMPUTED_VALUE"""),"")</f>
        <v/>
      </c>
      <c r="K269" t="s">
        <v>241</v>
      </c>
      <c r="L269" t="str">
        <f t="shared" si="1"/>
        <v/>
      </c>
      <c r="M269" t="s">
        <v>241</v>
      </c>
    </row>
    <row r="270">
      <c r="F270" t="s">
        <v>241</v>
      </c>
      <c r="G270" t="s">
        <v>241</v>
      </c>
      <c r="J270" t="str">
        <f>IFERROR(__xludf.DUMMYFUNCTION("""COMPUTED_VALUE"""),"")</f>
        <v/>
      </c>
      <c r="K270" t="s">
        <v>241</v>
      </c>
      <c r="L270" t="str">
        <f t="shared" si="1"/>
        <v/>
      </c>
      <c r="M270" t="s">
        <v>241</v>
      </c>
    </row>
    <row r="271">
      <c r="F271" t="s">
        <v>241</v>
      </c>
      <c r="G271" t="s">
        <v>241</v>
      </c>
      <c r="J271" t="str">
        <f>IFERROR(__xludf.DUMMYFUNCTION("""COMPUTED_VALUE"""),"")</f>
        <v/>
      </c>
      <c r="K271" t="s">
        <v>241</v>
      </c>
      <c r="L271" t="str">
        <f t="shared" si="1"/>
        <v/>
      </c>
      <c r="M271" t="s">
        <v>241</v>
      </c>
    </row>
    <row r="272">
      <c r="F272" t="s">
        <v>241</v>
      </c>
      <c r="G272" t="s">
        <v>241</v>
      </c>
      <c r="J272" t="str">
        <f>IFERROR(__xludf.DUMMYFUNCTION("""COMPUTED_VALUE"""),"")</f>
        <v/>
      </c>
      <c r="K272" t="s">
        <v>241</v>
      </c>
      <c r="L272" t="str">
        <f t="shared" si="1"/>
        <v/>
      </c>
      <c r="M272" t="s">
        <v>241</v>
      </c>
    </row>
    <row r="273">
      <c r="F273" t="s">
        <v>241</v>
      </c>
      <c r="G273" t="s">
        <v>241</v>
      </c>
      <c r="J273" t="str">
        <f>IFERROR(__xludf.DUMMYFUNCTION("""COMPUTED_VALUE"""),"")</f>
        <v/>
      </c>
      <c r="K273" t="s">
        <v>241</v>
      </c>
      <c r="L273" t="str">
        <f t="shared" si="1"/>
        <v/>
      </c>
      <c r="M273" t="s">
        <v>241</v>
      </c>
    </row>
    <row r="274">
      <c r="F274" t="s">
        <v>241</v>
      </c>
      <c r="G274" t="s">
        <v>241</v>
      </c>
      <c r="J274" t="str">
        <f>IFERROR(__xludf.DUMMYFUNCTION("""COMPUTED_VALUE"""),"")</f>
        <v/>
      </c>
      <c r="K274" t="s">
        <v>241</v>
      </c>
      <c r="L274" t="str">
        <f t="shared" si="1"/>
        <v/>
      </c>
      <c r="M274" t="s">
        <v>241</v>
      </c>
    </row>
    <row r="275">
      <c r="F275" t="s">
        <v>241</v>
      </c>
      <c r="G275" t="s">
        <v>241</v>
      </c>
      <c r="J275" t="str">
        <f>IFERROR(__xludf.DUMMYFUNCTION("""COMPUTED_VALUE"""),"")</f>
        <v/>
      </c>
      <c r="K275" t="s">
        <v>241</v>
      </c>
      <c r="L275" t="str">
        <f t="shared" si="1"/>
        <v/>
      </c>
      <c r="M275" t="s">
        <v>241</v>
      </c>
    </row>
    <row r="276">
      <c r="F276" t="s">
        <v>241</v>
      </c>
      <c r="G276" t="s">
        <v>241</v>
      </c>
      <c r="J276" t="str">
        <f>IFERROR(__xludf.DUMMYFUNCTION("""COMPUTED_VALUE"""),"")</f>
        <v/>
      </c>
      <c r="K276" t="s">
        <v>241</v>
      </c>
      <c r="L276" t="str">
        <f t="shared" si="1"/>
        <v/>
      </c>
      <c r="M276" t="s">
        <v>241</v>
      </c>
    </row>
    <row r="277">
      <c r="F277" t="s">
        <v>241</v>
      </c>
      <c r="G277" t="s">
        <v>241</v>
      </c>
      <c r="J277" t="str">
        <f>IFERROR(__xludf.DUMMYFUNCTION("""COMPUTED_VALUE"""),"")</f>
        <v/>
      </c>
      <c r="K277" t="s">
        <v>241</v>
      </c>
      <c r="L277" t="str">
        <f t="shared" si="1"/>
        <v/>
      </c>
      <c r="M277" t="s">
        <v>241</v>
      </c>
    </row>
    <row r="278">
      <c r="F278" t="s">
        <v>241</v>
      </c>
      <c r="G278" t="s">
        <v>241</v>
      </c>
      <c r="J278" t="str">
        <f>IFERROR(__xludf.DUMMYFUNCTION("""COMPUTED_VALUE"""),"")</f>
        <v/>
      </c>
      <c r="K278" t="s">
        <v>241</v>
      </c>
      <c r="L278" t="str">
        <f t="shared" si="1"/>
        <v/>
      </c>
      <c r="M278" t="s">
        <v>241</v>
      </c>
    </row>
    <row r="279">
      <c r="F279" t="s">
        <v>241</v>
      </c>
      <c r="G279" t="s">
        <v>241</v>
      </c>
      <c r="J279" t="str">
        <f>IFERROR(__xludf.DUMMYFUNCTION("""COMPUTED_VALUE"""),"")</f>
        <v/>
      </c>
      <c r="K279" t="s">
        <v>241</v>
      </c>
      <c r="L279" t="str">
        <f t="shared" si="1"/>
        <v/>
      </c>
      <c r="M279" t="s">
        <v>241</v>
      </c>
    </row>
    <row r="280">
      <c r="F280" t="s">
        <v>241</v>
      </c>
      <c r="G280" t="s">
        <v>241</v>
      </c>
      <c r="J280" t="str">
        <f>IFERROR(__xludf.DUMMYFUNCTION("""COMPUTED_VALUE"""),"")</f>
        <v/>
      </c>
      <c r="K280" t="s">
        <v>241</v>
      </c>
      <c r="L280" t="str">
        <f t="shared" si="1"/>
        <v/>
      </c>
      <c r="M280" t="s">
        <v>241</v>
      </c>
    </row>
    <row r="281">
      <c r="F281" t="s">
        <v>241</v>
      </c>
      <c r="G281" t="s">
        <v>241</v>
      </c>
      <c r="J281" t="str">
        <f>IFERROR(__xludf.DUMMYFUNCTION("""COMPUTED_VALUE"""),"")</f>
        <v/>
      </c>
      <c r="K281" t="s">
        <v>241</v>
      </c>
      <c r="L281" t="str">
        <f t="shared" si="1"/>
        <v/>
      </c>
      <c r="M281" t="s">
        <v>241</v>
      </c>
    </row>
    <row r="282">
      <c r="F282" t="s">
        <v>241</v>
      </c>
      <c r="G282" t="s">
        <v>241</v>
      </c>
      <c r="J282" t="str">
        <f>IFERROR(__xludf.DUMMYFUNCTION("""COMPUTED_VALUE"""),"")</f>
        <v/>
      </c>
      <c r="K282" t="s">
        <v>241</v>
      </c>
      <c r="L282" t="str">
        <f t="shared" si="1"/>
        <v/>
      </c>
      <c r="M282" t="s">
        <v>241</v>
      </c>
    </row>
    <row r="283">
      <c r="F283" t="s">
        <v>241</v>
      </c>
      <c r="G283" t="s">
        <v>241</v>
      </c>
      <c r="J283" t="str">
        <f>IFERROR(__xludf.DUMMYFUNCTION("""COMPUTED_VALUE"""),"")</f>
        <v/>
      </c>
      <c r="K283" t="s">
        <v>241</v>
      </c>
      <c r="L283" t="str">
        <f t="shared" si="1"/>
        <v/>
      </c>
      <c r="M283" t="s">
        <v>241</v>
      </c>
    </row>
    <row r="284">
      <c r="F284" t="s">
        <v>241</v>
      </c>
      <c r="G284" t="s">
        <v>241</v>
      </c>
      <c r="J284" t="str">
        <f>IFERROR(__xludf.DUMMYFUNCTION("""COMPUTED_VALUE"""),"")</f>
        <v/>
      </c>
      <c r="K284" t="s">
        <v>241</v>
      </c>
      <c r="L284" t="str">
        <f t="shared" si="1"/>
        <v/>
      </c>
      <c r="M284" t="s">
        <v>241</v>
      </c>
    </row>
    <row r="285">
      <c r="F285" t="s">
        <v>241</v>
      </c>
      <c r="G285" t="s">
        <v>241</v>
      </c>
      <c r="J285" t="str">
        <f>IFERROR(__xludf.DUMMYFUNCTION("""COMPUTED_VALUE"""),"")</f>
        <v/>
      </c>
      <c r="K285" t="s">
        <v>241</v>
      </c>
      <c r="L285" t="str">
        <f t="shared" si="1"/>
        <v/>
      </c>
      <c r="M285" t="s">
        <v>241</v>
      </c>
    </row>
    <row r="286">
      <c r="F286" t="s">
        <v>241</v>
      </c>
      <c r="G286" t="s">
        <v>241</v>
      </c>
      <c r="J286" t="str">
        <f>IFERROR(__xludf.DUMMYFUNCTION("""COMPUTED_VALUE"""),"")</f>
        <v/>
      </c>
      <c r="K286" t="s">
        <v>241</v>
      </c>
      <c r="L286" t="str">
        <f t="shared" si="1"/>
        <v/>
      </c>
      <c r="M286" t="s">
        <v>241</v>
      </c>
    </row>
    <row r="287">
      <c r="F287" t="s">
        <v>241</v>
      </c>
      <c r="G287" t="s">
        <v>241</v>
      </c>
      <c r="J287" t="str">
        <f>IFERROR(__xludf.DUMMYFUNCTION("""COMPUTED_VALUE"""),"")</f>
        <v/>
      </c>
      <c r="K287" t="s">
        <v>241</v>
      </c>
      <c r="L287" t="str">
        <f t="shared" si="1"/>
        <v/>
      </c>
      <c r="M287" t="s">
        <v>241</v>
      </c>
    </row>
    <row r="288">
      <c r="F288" t="s">
        <v>241</v>
      </c>
      <c r="G288" t="s">
        <v>241</v>
      </c>
      <c r="J288" t="str">
        <f>IFERROR(__xludf.DUMMYFUNCTION("""COMPUTED_VALUE"""),"")</f>
        <v/>
      </c>
      <c r="K288" t="s">
        <v>241</v>
      </c>
      <c r="L288" t="str">
        <f t="shared" si="1"/>
        <v/>
      </c>
      <c r="M288" t="s">
        <v>241</v>
      </c>
    </row>
    <row r="289">
      <c r="F289" t="s">
        <v>241</v>
      </c>
      <c r="G289" t="s">
        <v>241</v>
      </c>
      <c r="J289" t="str">
        <f>IFERROR(__xludf.DUMMYFUNCTION("""COMPUTED_VALUE"""),"")</f>
        <v/>
      </c>
      <c r="K289" t="s">
        <v>241</v>
      </c>
      <c r="L289" t="str">
        <f t="shared" si="1"/>
        <v/>
      </c>
      <c r="M289" t="s">
        <v>241</v>
      </c>
    </row>
    <row r="290">
      <c r="F290" t="s">
        <v>241</v>
      </c>
      <c r="G290" t="s">
        <v>241</v>
      </c>
      <c r="J290" t="str">
        <f>IFERROR(__xludf.DUMMYFUNCTION("""COMPUTED_VALUE"""),"")</f>
        <v/>
      </c>
      <c r="K290" t="s">
        <v>241</v>
      </c>
      <c r="L290" t="str">
        <f t="shared" si="1"/>
        <v/>
      </c>
      <c r="M290" t="s">
        <v>241</v>
      </c>
    </row>
    <row r="291">
      <c r="F291" t="s">
        <v>241</v>
      </c>
      <c r="G291" t="s">
        <v>241</v>
      </c>
      <c r="J291" t="str">
        <f>IFERROR(__xludf.DUMMYFUNCTION("""COMPUTED_VALUE"""),"")</f>
        <v/>
      </c>
      <c r="K291" t="s">
        <v>241</v>
      </c>
      <c r="L291" t="str">
        <f t="shared" si="1"/>
        <v/>
      </c>
      <c r="M291" t="s">
        <v>241</v>
      </c>
    </row>
    <row r="292">
      <c r="F292" t="s">
        <v>241</v>
      </c>
      <c r="G292" t="s">
        <v>241</v>
      </c>
      <c r="J292" t="str">
        <f>IFERROR(__xludf.DUMMYFUNCTION("""COMPUTED_VALUE"""),"")</f>
        <v/>
      </c>
      <c r="K292" t="s">
        <v>241</v>
      </c>
      <c r="L292" t="str">
        <f t="shared" si="1"/>
        <v/>
      </c>
      <c r="M292" t="s">
        <v>241</v>
      </c>
    </row>
    <row r="293">
      <c r="F293" t="s">
        <v>241</v>
      </c>
      <c r="G293" t="s">
        <v>241</v>
      </c>
      <c r="J293" t="str">
        <f>IFERROR(__xludf.DUMMYFUNCTION("""COMPUTED_VALUE"""),"")</f>
        <v/>
      </c>
      <c r="K293" t="s">
        <v>241</v>
      </c>
      <c r="L293" t="str">
        <f t="shared" si="1"/>
        <v/>
      </c>
      <c r="M293" t="s">
        <v>241</v>
      </c>
    </row>
    <row r="294">
      <c r="F294" t="s">
        <v>241</v>
      </c>
      <c r="G294" t="s">
        <v>241</v>
      </c>
      <c r="J294" t="str">
        <f>IFERROR(__xludf.DUMMYFUNCTION("""COMPUTED_VALUE"""),"")</f>
        <v/>
      </c>
      <c r="K294" t="s">
        <v>241</v>
      </c>
      <c r="L294" t="str">
        <f t="shared" si="1"/>
        <v/>
      </c>
      <c r="M294" t="s">
        <v>241</v>
      </c>
    </row>
    <row r="295">
      <c r="F295" t="s">
        <v>241</v>
      </c>
      <c r="G295" t="s">
        <v>241</v>
      </c>
      <c r="J295" t="str">
        <f>IFERROR(__xludf.DUMMYFUNCTION("""COMPUTED_VALUE"""),"")</f>
        <v/>
      </c>
      <c r="K295" t="s">
        <v>241</v>
      </c>
      <c r="L295" t="str">
        <f t="shared" si="1"/>
        <v/>
      </c>
      <c r="M295" t="s">
        <v>241</v>
      </c>
    </row>
    <row r="296">
      <c r="F296" t="s">
        <v>241</v>
      </c>
      <c r="G296" t="s">
        <v>241</v>
      </c>
      <c r="J296" t="str">
        <f>IFERROR(__xludf.DUMMYFUNCTION("""COMPUTED_VALUE"""),"")</f>
        <v/>
      </c>
      <c r="K296" t="s">
        <v>241</v>
      </c>
      <c r="L296" t="str">
        <f t="shared" si="1"/>
        <v/>
      </c>
      <c r="M296" t="s">
        <v>241</v>
      </c>
    </row>
    <row r="297">
      <c r="F297" t="s">
        <v>241</v>
      </c>
      <c r="G297" t="s">
        <v>241</v>
      </c>
      <c r="J297" t="str">
        <f>IFERROR(__xludf.DUMMYFUNCTION("""COMPUTED_VALUE"""),"")</f>
        <v/>
      </c>
      <c r="K297" t="s">
        <v>241</v>
      </c>
      <c r="L297" t="str">
        <f t="shared" si="1"/>
        <v/>
      </c>
      <c r="M297" t="s">
        <v>241</v>
      </c>
    </row>
    <row r="298">
      <c r="F298" t="s">
        <v>241</v>
      </c>
      <c r="G298" t="s">
        <v>241</v>
      </c>
      <c r="J298" t="str">
        <f>IFERROR(__xludf.DUMMYFUNCTION("""COMPUTED_VALUE"""),"")</f>
        <v/>
      </c>
      <c r="K298" t="s">
        <v>241</v>
      </c>
      <c r="L298" t="str">
        <f t="shared" si="1"/>
        <v/>
      </c>
      <c r="M298" t="s">
        <v>241</v>
      </c>
    </row>
    <row r="299">
      <c r="F299" t="s">
        <v>241</v>
      </c>
      <c r="G299" t="s">
        <v>241</v>
      </c>
      <c r="J299" t="str">
        <f>IFERROR(__xludf.DUMMYFUNCTION("""COMPUTED_VALUE"""),"")</f>
        <v/>
      </c>
      <c r="K299" t="s">
        <v>241</v>
      </c>
      <c r="L299" t="str">
        <f t="shared" si="1"/>
        <v/>
      </c>
      <c r="M299" t="s">
        <v>241</v>
      </c>
    </row>
    <row r="300">
      <c r="F300" t="s">
        <v>241</v>
      </c>
      <c r="G300" t="s">
        <v>241</v>
      </c>
      <c r="J300" t="str">
        <f>IFERROR(__xludf.DUMMYFUNCTION("""COMPUTED_VALUE"""),"")</f>
        <v/>
      </c>
      <c r="K300" t="s">
        <v>241</v>
      </c>
      <c r="L300" t="str">
        <f t="shared" si="1"/>
        <v/>
      </c>
      <c r="M300" t="s">
        <v>241</v>
      </c>
    </row>
    <row r="301">
      <c r="F301" t="s">
        <v>241</v>
      </c>
      <c r="G301" t="s">
        <v>241</v>
      </c>
      <c r="J301" t="str">
        <f>IFERROR(__xludf.DUMMYFUNCTION("""COMPUTED_VALUE"""),"")</f>
        <v/>
      </c>
      <c r="K301" t="s">
        <v>241</v>
      </c>
      <c r="L301" t="str">
        <f t="shared" si="1"/>
        <v/>
      </c>
      <c r="M301" t="s">
        <v>241</v>
      </c>
    </row>
    <row r="302">
      <c r="F302" t="s">
        <v>241</v>
      </c>
      <c r="G302" t="s">
        <v>241</v>
      </c>
      <c r="J302" t="str">
        <f>IFERROR(__xludf.DUMMYFUNCTION("""COMPUTED_VALUE"""),"")</f>
        <v/>
      </c>
      <c r="K302" t="s">
        <v>241</v>
      </c>
      <c r="L302" t="str">
        <f t="shared" si="1"/>
        <v/>
      </c>
      <c r="M302" t="s">
        <v>241</v>
      </c>
    </row>
    <row r="303">
      <c r="F303" t="s">
        <v>241</v>
      </c>
      <c r="G303" t="s">
        <v>241</v>
      </c>
      <c r="J303" t="str">
        <f>IFERROR(__xludf.DUMMYFUNCTION("""COMPUTED_VALUE"""),"")</f>
        <v/>
      </c>
      <c r="K303" t="s">
        <v>241</v>
      </c>
      <c r="L303" t="str">
        <f t="shared" si="1"/>
        <v/>
      </c>
      <c r="M303" t="s">
        <v>241</v>
      </c>
    </row>
    <row r="304">
      <c r="F304" t="s">
        <v>241</v>
      </c>
      <c r="G304" t="s">
        <v>241</v>
      </c>
      <c r="J304" t="str">
        <f>IFERROR(__xludf.DUMMYFUNCTION("""COMPUTED_VALUE"""),"")</f>
        <v/>
      </c>
      <c r="K304" t="s">
        <v>241</v>
      </c>
      <c r="L304" t="str">
        <f t="shared" si="1"/>
        <v/>
      </c>
      <c r="M304" t="s">
        <v>241</v>
      </c>
    </row>
    <row r="305">
      <c r="F305" t="s">
        <v>241</v>
      </c>
      <c r="G305" t="s">
        <v>241</v>
      </c>
      <c r="J305" t="str">
        <f>IFERROR(__xludf.DUMMYFUNCTION("""COMPUTED_VALUE"""),"")</f>
        <v/>
      </c>
      <c r="K305" t="s">
        <v>241</v>
      </c>
      <c r="L305" t="str">
        <f t="shared" si="1"/>
        <v/>
      </c>
      <c r="M305" t="s">
        <v>241</v>
      </c>
    </row>
    <row r="306">
      <c r="F306" t="s">
        <v>241</v>
      </c>
      <c r="G306" t="s">
        <v>241</v>
      </c>
      <c r="J306" t="str">
        <f>IFERROR(__xludf.DUMMYFUNCTION("""COMPUTED_VALUE"""),"")</f>
        <v/>
      </c>
      <c r="K306" t="s">
        <v>241</v>
      </c>
      <c r="L306" t="str">
        <f t="shared" si="1"/>
        <v/>
      </c>
      <c r="M306" t="s">
        <v>241</v>
      </c>
    </row>
    <row r="307">
      <c r="F307" t="s">
        <v>241</v>
      </c>
      <c r="G307" t="s">
        <v>241</v>
      </c>
      <c r="J307" t="str">
        <f>IFERROR(__xludf.DUMMYFUNCTION("""COMPUTED_VALUE"""),"")</f>
        <v/>
      </c>
      <c r="K307" t="s">
        <v>241</v>
      </c>
      <c r="L307" t="str">
        <f t="shared" si="1"/>
        <v/>
      </c>
      <c r="M307" t="s">
        <v>241</v>
      </c>
    </row>
    <row r="308">
      <c r="F308" t="s">
        <v>241</v>
      </c>
      <c r="G308" t="s">
        <v>241</v>
      </c>
      <c r="J308" t="str">
        <f>IFERROR(__xludf.DUMMYFUNCTION("""COMPUTED_VALUE"""),"")</f>
        <v/>
      </c>
      <c r="K308" t="s">
        <v>241</v>
      </c>
      <c r="L308" t="str">
        <f t="shared" si="1"/>
        <v/>
      </c>
      <c r="M308" t="s">
        <v>241</v>
      </c>
    </row>
    <row r="309">
      <c r="F309" t="s">
        <v>241</v>
      </c>
      <c r="G309" t="s">
        <v>241</v>
      </c>
      <c r="J309" t="str">
        <f>IFERROR(__xludf.DUMMYFUNCTION("""COMPUTED_VALUE"""),"")</f>
        <v/>
      </c>
      <c r="K309" t="s">
        <v>241</v>
      </c>
      <c r="L309" t="str">
        <f t="shared" si="1"/>
        <v/>
      </c>
      <c r="M309" t="s">
        <v>241</v>
      </c>
    </row>
    <row r="310">
      <c r="F310" t="s">
        <v>241</v>
      </c>
      <c r="G310" t="s">
        <v>241</v>
      </c>
      <c r="J310" t="str">
        <f>IFERROR(__xludf.DUMMYFUNCTION("""COMPUTED_VALUE"""),"")</f>
        <v/>
      </c>
      <c r="K310" t="s">
        <v>241</v>
      </c>
      <c r="L310" t="str">
        <f t="shared" si="1"/>
        <v/>
      </c>
      <c r="M310" t="s">
        <v>241</v>
      </c>
    </row>
    <row r="311">
      <c r="F311" t="s">
        <v>241</v>
      </c>
      <c r="G311" t="s">
        <v>241</v>
      </c>
      <c r="J311" t="str">
        <f>IFERROR(__xludf.DUMMYFUNCTION("""COMPUTED_VALUE"""),"")</f>
        <v/>
      </c>
      <c r="K311" t="s">
        <v>241</v>
      </c>
      <c r="L311" t="str">
        <f t="shared" si="1"/>
        <v/>
      </c>
      <c r="M311" t="s">
        <v>241</v>
      </c>
    </row>
    <row r="312">
      <c r="F312" t="s">
        <v>241</v>
      </c>
      <c r="G312" t="s">
        <v>241</v>
      </c>
      <c r="J312" t="str">
        <f>IFERROR(__xludf.DUMMYFUNCTION("""COMPUTED_VALUE"""),"")</f>
        <v/>
      </c>
      <c r="K312" t="s">
        <v>241</v>
      </c>
      <c r="L312" t="str">
        <f t="shared" si="1"/>
        <v/>
      </c>
      <c r="M312" t="s">
        <v>241</v>
      </c>
    </row>
    <row r="313">
      <c r="F313" t="s">
        <v>241</v>
      </c>
      <c r="G313" t="s">
        <v>241</v>
      </c>
      <c r="J313" t="str">
        <f>IFERROR(__xludf.DUMMYFUNCTION("""COMPUTED_VALUE"""),"")</f>
        <v/>
      </c>
      <c r="K313" t="s">
        <v>241</v>
      </c>
      <c r="L313" t="str">
        <f t="shared" si="1"/>
        <v/>
      </c>
      <c r="M313" t="s">
        <v>241</v>
      </c>
    </row>
    <row r="314">
      <c r="F314" t="s">
        <v>241</v>
      </c>
      <c r="G314" t="s">
        <v>241</v>
      </c>
      <c r="J314" t="str">
        <f>IFERROR(__xludf.DUMMYFUNCTION("""COMPUTED_VALUE"""),"")</f>
        <v/>
      </c>
      <c r="K314" t="s">
        <v>241</v>
      </c>
      <c r="L314" t="str">
        <f t="shared" si="1"/>
        <v/>
      </c>
      <c r="M314" t="s">
        <v>241</v>
      </c>
    </row>
    <row r="315">
      <c r="F315" t="s">
        <v>241</v>
      </c>
      <c r="G315" t="s">
        <v>241</v>
      </c>
      <c r="J315" t="str">
        <f>IFERROR(__xludf.DUMMYFUNCTION("""COMPUTED_VALUE"""),"")</f>
        <v/>
      </c>
      <c r="K315" t="s">
        <v>241</v>
      </c>
      <c r="L315" t="str">
        <f t="shared" si="1"/>
        <v/>
      </c>
      <c r="M315" t="s">
        <v>241</v>
      </c>
    </row>
    <row r="316">
      <c r="F316" t="s">
        <v>241</v>
      </c>
      <c r="G316" t="s">
        <v>241</v>
      </c>
      <c r="J316" t="str">
        <f>IFERROR(__xludf.DUMMYFUNCTION("""COMPUTED_VALUE"""),"")</f>
        <v/>
      </c>
      <c r="K316" t="s">
        <v>241</v>
      </c>
      <c r="L316" t="str">
        <f t="shared" si="1"/>
        <v/>
      </c>
      <c r="M316" t="s">
        <v>241</v>
      </c>
    </row>
    <row r="317">
      <c r="F317" t="s">
        <v>241</v>
      </c>
      <c r="G317" t="s">
        <v>241</v>
      </c>
      <c r="J317" t="str">
        <f>IFERROR(__xludf.DUMMYFUNCTION("""COMPUTED_VALUE"""),"")</f>
        <v/>
      </c>
      <c r="K317" t="s">
        <v>241</v>
      </c>
      <c r="L317" t="str">
        <f t="shared" si="1"/>
        <v/>
      </c>
      <c r="M317" t="s">
        <v>241</v>
      </c>
    </row>
    <row r="318">
      <c r="F318" t="s">
        <v>241</v>
      </c>
      <c r="G318" t="s">
        <v>241</v>
      </c>
      <c r="J318" t="str">
        <f>IFERROR(__xludf.DUMMYFUNCTION("""COMPUTED_VALUE"""),"")</f>
        <v/>
      </c>
      <c r="K318" t="s">
        <v>241</v>
      </c>
      <c r="L318" t="str">
        <f t="shared" si="1"/>
        <v/>
      </c>
      <c r="M318" t="s">
        <v>241</v>
      </c>
    </row>
    <row r="319">
      <c r="F319" t="s">
        <v>241</v>
      </c>
      <c r="G319" t="s">
        <v>241</v>
      </c>
      <c r="J319" t="str">
        <f>IFERROR(__xludf.DUMMYFUNCTION("""COMPUTED_VALUE"""),"")</f>
        <v/>
      </c>
      <c r="K319" t="s">
        <v>241</v>
      </c>
      <c r="L319" t="str">
        <f t="shared" si="1"/>
        <v/>
      </c>
      <c r="M319" t="s">
        <v>241</v>
      </c>
    </row>
    <row r="320">
      <c r="F320" t="s">
        <v>241</v>
      </c>
      <c r="G320" t="s">
        <v>241</v>
      </c>
      <c r="J320" t="str">
        <f>IFERROR(__xludf.DUMMYFUNCTION("""COMPUTED_VALUE"""),"")</f>
        <v/>
      </c>
      <c r="K320" t="s">
        <v>241</v>
      </c>
      <c r="L320" t="str">
        <f t="shared" si="1"/>
        <v/>
      </c>
      <c r="M320" t="s">
        <v>241</v>
      </c>
    </row>
    <row r="321">
      <c r="F321" t="s">
        <v>241</v>
      </c>
      <c r="G321" t="s">
        <v>241</v>
      </c>
      <c r="J321" t="str">
        <f>IFERROR(__xludf.DUMMYFUNCTION("""COMPUTED_VALUE"""),"")</f>
        <v/>
      </c>
      <c r="K321" t="s">
        <v>241</v>
      </c>
      <c r="L321" t="str">
        <f t="shared" si="1"/>
        <v/>
      </c>
      <c r="M321" t="s">
        <v>241</v>
      </c>
    </row>
    <row r="322">
      <c r="F322" t="s">
        <v>241</v>
      </c>
      <c r="G322" t="s">
        <v>241</v>
      </c>
      <c r="J322" t="str">
        <f>IFERROR(__xludf.DUMMYFUNCTION("""COMPUTED_VALUE"""),"")</f>
        <v/>
      </c>
      <c r="K322" t="s">
        <v>241</v>
      </c>
      <c r="L322" t="str">
        <f t="shared" si="1"/>
        <v/>
      </c>
      <c r="M322" t="s">
        <v>241</v>
      </c>
    </row>
    <row r="323">
      <c r="F323" t="s">
        <v>241</v>
      </c>
      <c r="G323" t="s">
        <v>241</v>
      </c>
      <c r="J323" t="str">
        <f>IFERROR(__xludf.DUMMYFUNCTION("""COMPUTED_VALUE"""),"")</f>
        <v/>
      </c>
      <c r="K323" t="s">
        <v>241</v>
      </c>
      <c r="L323" t="str">
        <f t="shared" si="1"/>
        <v/>
      </c>
      <c r="M323" t="s">
        <v>241</v>
      </c>
    </row>
    <row r="324">
      <c r="F324" t="s">
        <v>241</v>
      </c>
      <c r="G324" t="s">
        <v>241</v>
      </c>
      <c r="J324" t="str">
        <f>IFERROR(__xludf.DUMMYFUNCTION("""COMPUTED_VALUE"""),"")</f>
        <v/>
      </c>
      <c r="K324" t="s">
        <v>241</v>
      </c>
      <c r="L324" t="str">
        <f t="shared" si="1"/>
        <v/>
      </c>
      <c r="M324" t="s">
        <v>241</v>
      </c>
    </row>
    <row r="325">
      <c r="F325" t="s">
        <v>241</v>
      </c>
      <c r="G325" t="s">
        <v>241</v>
      </c>
      <c r="J325" t="str">
        <f>IFERROR(__xludf.DUMMYFUNCTION("""COMPUTED_VALUE"""),"")</f>
        <v/>
      </c>
      <c r="K325" t="s">
        <v>241</v>
      </c>
      <c r="L325" t="str">
        <f t="shared" si="1"/>
        <v/>
      </c>
      <c r="M325" t="s">
        <v>241</v>
      </c>
    </row>
    <row r="326">
      <c r="F326" t="s">
        <v>241</v>
      </c>
      <c r="G326" t="s">
        <v>241</v>
      </c>
      <c r="J326" t="str">
        <f>IFERROR(__xludf.DUMMYFUNCTION("""COMPUTED_VALUE"""),"")</f>
        <v/>
      </c>
      <c r="K326" t="s">
        <v>241</v>
      </c>
      <c r="L326" t="str">
        <f t="shared" si="1"/>
        <v/>
      </c>
      <c r="M326" t="s">
        <v>241</v>
      </c>
    </row>
    <row r="327">
      <c r="F327" t="s">
        <v>241</v>
      </c>
      <c r="G327" t="s">
        <v>241</v>
      </c>
      <c r="J327" t="str">
        <f>IFERROR(__xludf.DUMMYFUNCTION("""COMPUTED_VALUE"""),"")</f>
        <v/>
      </c>
      <c r="K327" t="s">
        <v>241</v>
      </c>
      <c r="L327" t="str">
        <f t="shared" si="1"/>
        <v/>
      </c>
      <c r="M327" t="s">
        <v>241</v>
      </c>
    </row>
    <row r="328">
      <c r="F328" t="s">
        <v>241</v>
      </c>
      <c r="G328" t="s">
        <v>241</v>
      </c>
      <c r="J328" t="str">
        <f>IFERROR(__xludf.DUMMYFUNCTION("""COMPUTED_VALUE"""),"")</f>
        <v/>
      </c>
      <c r="K328" t="s">
        <v>241</v>
      </c>
      <c r="L328" t="str">
        <f t="shared" si="1"/>
        <v/>
      </c>
      <c r="M328" t="s">
        <v>241</v>
      </c>
    </row>
    <row r="329">
      <c r="F329" t="s">
        <v>241</v>
      </c>
      <c r="G329" t="s">
        <v>241</v>
      </c>
      <c r="J329" t="str">
        <f>IFERROR(__xludf.DUMMYFUNCTION("""COMPUTED_VALUE"""),"")</f>
        <v/>
      </c>
      <c r="K329" t="s">
        <v>241</v>
      </c>
      <c r="L329" t="str">
        <f t="shared" si="1"/>
        <v/>
      </c>
      <c r="M329" t="s">
        <v>241</v>
      </c>
    </row>
    <row r="330">
      <c r="F330" t="s">
        <v>241</v>
      </c>
      <c r="G330" t="s">
        <v>241</v>
      </c>
      <c r="J330" t="str">
        <f>IFERROR(__xludf.DUMMYFUNCTION("""COMPUTED_VALUE"""),"")</f>
        <v/>
      </c>
      <c r="K330" t="s">
        <v>241</v>
      </c>
      <c r="L330" t="str">
        <f t="shared" si="1"/>
        <v/>
      </c>
      <c r="M330" t="s">
        <v>241</v>
      </c>
    </row>
    <row r="331">
      <c r="F331" t="s">
        <v>241</v>
      </c>
      <c r="G331" t="s">
        <v>241</v>
      </c>
      <c r="J331" t="str">
        <f>IFERROR(__xludf.DUMMYFUNCTION("""COMPUTED_VALUE"""),"")</f>
        <v/>
      </c>
      <c r="K331" t="s">
        <v>241</v>
      </c>
      <c r="L331" t="str">
        <f t="shared" si="1"/>
        <v/>
      </c>
      <c r="M331" t="s">
        <v>241</v>
      </c>
    </row>
    <row r="332">
      <c r="F332" t="s">
        <v>241</v>
      </c>
      <c r="G332" t="s">
        <v>241</v>
      </c>
      <c r="J332" t="str">
        <f>IFERROR(__xludf.DUMMYFUNCTION("""COMPUTED_VALUE"""),"")</f>
        <v/>
      </c>
      <c r="K332" t="s">
        <v>241</v>
      </c>
      <c r="L332" t="str">
        <f t="shared" si="1"/>
        <v/>
      </c>
      <c r="M332" t="s">
        <v>241</v>
      </c>
    </row>
    <row r="333">
      <c r="F333" t="s">
        <v>241</v>
      </c>
      <c r="G333" t="s">
        <v>241</v>
      </c>
      <c r="J333" t="str">
        <f>IFERROR(__xludf.DUMMYFUNCTION("""COMPUTED_VALUE"""),"")</f>
        <v/>
      </c>
      <c r="K333" t="s">
        <v>241</v>
      </c>
      <c r="L333" t="str">
        <f t="shared" si="1"/>
        <v/>
      </c>
      <c r="M333" t="s">
        <v>241</v>
      </c>
    </row>
    <row r="334">
      <c r="F334" t="s">
        <v>241</v>
      </c>
      <c r="G334" t="s">
        <v>241</v>
      </c>
      <c r="J334" t="str">
        <f>IFERROR(__xludf.DUMMYFUNCTION("""COMPUTED_VALUE"""),"")</f>
        <v/>
      </c>
      <c r="K334" t="s">
        <v>241</v>
      </c>
      <c r="L334" t="str">
        <f t="shared" si="1"/>
        <v/>
      </c>
      <c r="M334" t="s">
        <v>241</v>
      </c>
    </row>
    <row r="335">
      <c r="F335" t="s">
        <v>241</v>
      </c>
      <c r="G335" t="s">
        <v>241</v>
      </c>
      <c r="J335" t="str">
        <f>IFERROR(__xludf.DUMMYFUNCTION("""COMPUTED_VALUE"""),"")</f>
        <v/>
      </c>
      <c r="K335" t="s">
        <v>241</v>
      </c>
      <c r="L335" t="str">
        <f t="shared" si="1"/>
        <v/>
      </c>
      <c r="M335" t="s">
        <v>241</v>
      </c>
    </row>
    <row r="336">
      <c r="F336" t="s">
        <v>241</v>
      </c>
      <c r="G336" t="s">
        <v>241</v>
      </c>
      <c r="J336" t="str">
        <f>IFERROR(__xludf.DUMMYFUNCTION("""COMPUTED_VALUE"""),"")</f>
        <v/>
      </c>
      <c r="K336" t="s">
        <v>241</v>
      </c>
      <c r="L336" t="str">
        <f t="shared" si="1"/>
        <v/>
      </c>
      <c r="M336" t="s">
        <v>241</v>
      </c>
    </row>
    <row r="337">
      <c r="F337" t="s">
        <v>241</v>
      </c>
      <c r="G337" t="s">
        <v>241</v>
      </c>
      <c r="J337" t="str">
        <f>IFERROR(__xludf.DUMMYFUNCTION("""COMPUTED_VALUE"""),"")</f>
        <v/>
      </c>
      <c r="K337" t="s">
        <v>241</v>
      </c>
      <c r="L337" t="str">
        <f t="shared" si="1"/>
        <v/>
      </c>
      <c r="M337" t="s">
        <v>241</v>
      </c>
    </row>
    <row r="338">
      <c r="F338" t="s">
        <v>241</v>
      </c>
      <c r="G338" t="s">
        <v>241</v>
      </c>
      <c r="J338" t="str">
        <f>IFERROR(__xludf.DUMMYFUNCTION("""COMPUTED_VALUE"""),"")</f>
        <v/>
      </c>
      <c r="K338" t="s">
        <v>241</v>
      </c>
      <c r="L338" t="str">
        <f t="shared" si="1"/>
        <v/>
      </c>
      <c r="M338" t="s">
        <v>241</v>
      </c>
    </row>
    <row r="339">
      <c r="F339" t="s">
        <v>241</v>
      </c>
      <c r="G339" t="s">
        <v>241</v>
      </c>
      <c r="J339" t="str">
        <f>IFERROR(__xludf.DUMMYFUNCTION("""COMPUTED_VALUE"""),"")</f>
        <v/>
      </c>
      <c r="K339" t="s">
        <v>241</v>
      </c>
      <c r="L339" t="str">
        <f t="shared" si="1"/>
        <v/>
      </c>
      <c r="M339" t="s">
        <v>241</v>
      </c>
    </row>
    <row r="340">
      <c r="F340" t="s">
        <v>241</v>
      </c>
      <c r="G340" t="s">
        <v>241</v>
      </c>
      <c r="J340" t="str">
        <f>IFERROR(__xludf.DUMMYFUNCTION("""COMPUTED_VALUE"""),"")</f>
        <v/>
      </c>
      <c r="K340" t="s">
        <v>241</v>
      </c>
      <c r="L340" t="str">
        <f t="shared" si="1"/>
        <v/>
      </c>
      <c r="M340" t="s">
        <v>241</v>
      </c>
    </row>
    <row r="341">
      <c r="F341" t="s">
        <v>241</v>
      </c>
      <c r="G341" t="s">
        <v>241</v>
      </c>
      <c r="J341" t="str">
        <f>IFERROR(__xludf.DUMMYFUNCTION("""COMPUTED_VALUE"""),"")</f>
        <v/>
      </c>
      <c r="K341" t="s">
        <v>241</v>
      </c>
      <c r="L341" t="str">
        <f t="shared" si="1"/>
        <v/>
      </c>
      <c r="M341" t="s">
        <v>241</v>
      </c>
    </row>
    <row r="342">
      <c r="F342" t="s">
        <v>241</v>
      </c>
      <c r="G342" t="s">
        <v>241</v>
      </c>
      <c r="J342" t="str">
        <f>IFERROR(__xludf.DUMMYFUNCTION("""COMPUTED_VALUE"""),"")</f>
        <v/>
      </c>
      <c r="K342" t="s">
        <v>241</v>
      </c>
      <c r="L342" t="str">
        <f t="shared" si="1"/>
        <v/>
      </c>
      <c r="M342" t="s">
        <v>241</v>
      </c>
    </row>
    <row r="343">
      <c r="F343" t="s">
        <v>241</v>
      </c>
      <c r="G343" t="s">
        <v>241</v>
      </c>
      <c r="J343" t="str">
        <f>IFERROR(__xludf.DUMMYFUNCTION("""COMPUTED_VALUE"""),"")</f>
        <v/>
      </c>
      <c r="K343" t="s">
        <v>241</v>
      </c>
      <c r="L343" t="str">
        <f t="shared" si="1"/>
        <v/>
      </c>
      <c r="M343" t="s">
        <v>241</v>
      </c>
    </row>
    <row r="344">
      <c r="F344" t="s">
        <v>241</v>
      </c>
      <c r="G344" t="s">
        <v>241</v>
      </c>
      <c r="J344" t="str">
        <f>IFERROR(__xludf.DUMMYFUNCTION("""COMPUTED_VALUE"""),"")</f>
        <v/>
      </c>
      <c r="K344" t="s">
        <v>241</v>
      </c>
      <c r="L344" t="str">
        <f t="shared" si="1"/>
        <v/>
      </c>
      <c r="M344" t="s">
        <v>241</v>
      </c>
    </row>
    <row r="345">
      <c r="F345" t="s">
        <v>241</v>
      </c>
      <c r="G345" t="s">
        <v>241</v>
      </c>
      <c r="J345" t="str">
        <f>IFERROR(__xludf.DUMMYFUNCTION("""COMPUTED_VALUE"""),"")</f>
        <v/>
      </c>
      <c r="K345" t="s">
        <v>241</v>
      </c>
      <c r="L345" t="str">
        <f t="shared" si="1"/>
        <v/>
      </c>
      <c r="M345" t="s">
        <v>241</v>
      </c>
    </row>
    <row r="346">
      <c r="F346" t="s">
        <v>241</v>
      </c>
      <c r="G346" t="s">
        <v>241</v>
      </c>
      <c r="J346" t="str">
        <f>IFERROR(__xludf.DUMMYFUNCTION("""COMPUTED_VALUE"""),"")</f>
        <v/>
      </c>
      <c r="K346" t="s">
        <v>241</v>
      </c>
      <c r="L346" t="str">
        <f t="shared" si="1"/>
        <v/>
      </c>
      <c r="M346" t="s">
        <v>241</v>
      </c>
    </row>
    <row r="347">
      <c r="F347" t="s">
        <v>241</v>
      </c>
      <c r="G347" t="s">
        <v>241</v>
      </c>
      <c r="J347" t="str">
        <f>IFERROR(__xludf.DUMMYFUNCTION("""COMPUTED_VALUE"""),"")</f>
        <v/>
      </c>
      <c r="K347" t="s">
        <v>241</v>
      </c>
      <c r="L347" t="str">
        <f t="shared" si="1"/>
        <v/>
      </c>
      <c r="M347" t="s">
        <v>241</v>
      </c>
    </row>
    <row r="348">
      <c r="F348" t="s">
        <v>241</v>
      </c>
      <c r="G348" t="s">
        <v>241</v>
      </c>
      <c r="J348" t="str">
        <f>IFERROR(__xludf.DUMMYFUNCTION("""COMPUTED_VALUE"""),"")</f>
        <v/>
      </c>
      <c r="K348" t="s">
        <v>241</v>
      </c>
      <c r="L348" t="str">
        <f t="shared" si="1"/>
        <v/>
      </c>
      <c r="M348" t="s">
        <v>241</v>
      </c>
    </row>
    <row r="349">
      <c r="F349" t="s">
        <v>241</v>
      </c>
      <c r="G349" t="s">
        <v>241</v>
      </c>
      <c r="J349" t="str">
        <f>IFERROR(__xludf.DUMMYFUNCTION("""COMPUTED_VALUE"""),"")</f>
        <v/>
      </c>
      <c r="K349" t="s">
        <v>241</v>
      </c>
      <c r="L349" t="str">
        <f t="shared" si="1"/>
        <v/>
      </c>
      <c r="M349" t="s">
        <v>241</v>
      </c>
    </row>
    <row r="350">
      <c r="F350" t="s">
        <v>241</v>
      </c>
      <c r="G350" t="s">
        <v>241</v>
      </c>
      <c r="J350" t="str">
        <f>IFERROR(__xludf.DUMMYFUNCTION("""COMPUTED_VALUE"""),"")</f>
        <v/>
      </c>
      <c r="K350" t="s">
        <v>241</v>
      </c>
      <c r="L350" t="str">
        <f t="shared" si="1"/>
        <v/>
      </c>
      <c r="M350" t="s">
        <v>241</v>
      </c>
    </row>
    <row r="351">
      <c r="F351" t="s">
        <v>241</v>
      </c>
      <c r="G351" t="s">
        <v>241</v>
      </c>
      <c r="J351" t="str">
        <f>IFERROR(__xludf.DUMMYFUNCTION("""COMPUTED_VALUE"""),"")</f>
        <v/>
      </c>
      <c r="K351" t="s">
        <v>241</v>
      </c>
      <c r="L351" t="str">
        <f t="shared" si="1"/>
        <v/>
      </c>
      <c r="M351" t="s">
        <v>241</v>
      </c>
    </row>
    <row r="352">
      <c r="F352" t="s">
        <v>241</v>
      </c>
      <c r="G352" t="s">
        <v>241</v>
      </c>
      <c r="J352" t="str">
        <f>IFERROR(__xludf.DUMMYFUNCTION("""COMPUTED_VALUE"""),"")</f>
        <v/>
      </c>
      <c r="K352" t="s">
        <v>241</v>
      </c>
      <c r="L352" t="str">
        <f t="shared" si="1"/>
        <v/>
      </c>
      <c r="M352" t="s">
        <v>241</v>
      </c>
    </row>
    <row r="353">
      <c r="F353" t="s">
        <v>241</v>
      </c>
      <c r="G353" t="s">
        <v>241</v>
      </c>
      <c r="J353" t="str">
        <f>IFERROR(__xludf.DUMMYFUNCTION("""COMPUTED_VALUE"""),"")</f>
        <v/>
      </c>
      <c r="K353" t="s">
        <v>241</v>
      </c>
      <c r="L353" t="str">
        <f t="shared" si="1"/>
        <v/>
      </c>
      <c r="M353" t="s">
        <v>241</v>
      </c>
    </row>
    <row r="354">
      <c r="F354" t="s">
        <v>241</v>
      </c>
      <c r="G354" t="s">
        <v>241</v>
      </c>
      <c r="J354" t="str">
        <f>IFERROR(__xludf.DUMMYFUNCTION("""COMPUTED_VALUE"""),"")</f>
        <v/>
      </c>
      <c r="K354" t="s">
        <v>241</v>
      </c>
      <c r="L354" t="str">
        <f t="shared" si="1"/>
        <v/>
      </c>
      <c r="M354" t="s">
        <v>241</v>
      </c>
    </row>
    <row r="355">
      <c r="F355" t="s">
        <v>241</v>
      </c>
      <c r="G355" t="s">
        <v>241</v>
      </c>
      <c r="J355" t="str">
        <f>IFERROR(__xludf.DUMMYFUNCTION("""COMPUTED_VALUE"""),"")</f>
        <v/>
      </c>
      <c r="K355" t="s">
        <v>241</v>
      </c>
      <c r="L355" t="str">
        <f t="shared" si="1"/>
        <v/>
      </c>
      <c r="M355" t="s">
        <v>241</v>
      </c>
    </row>
    <row r="356">
      <c r="F356" t="s">
        <v>241</v>
      </c>
      <c r="G356" t="s">
        <v>241</v>
      </c>
      <c r="J356" t="str">
        <f>IFERROR(__xludf.DUMMYFUNCTION("""COMPUTED_VALUE"""),"")</f>
        <v/>
      </c>
      <c r="K356" t="s">
        <v>241</v>
      </c>
      <c r="L356" t="str">
        <f t="shared" si="1"/>
        <v/>
      </c>
      <c r="M356" t="s">
        <v>241</v>
      </c>
    </row>
    <row r="357">
      <c r="F357" t="s">
        <v>241</v>
      </c>
      <c r="G357" t="s">
        <v>241</v>
      </c>
      <c r="J357" t="str">
        <f>IFERROR(__xludf.DUMMYFUNCTION("""COMPUTED_VALUE"""),"")</f>
        <v/>
      </c>
      <c r="K357" t="s">
        <v>241</v>
      </c>
      <c r="L357" t="str">
        <f t="shared" si="1"/>
        <v/>
      </c>
      <c r="M357" t="s">
        <v>241</v>
      </c>
    </row>
    <row r="358">
      <c r="F358" t="s">
        <v>241</v>
      </c>
      <c r="G358" t="s">
        <v>241</v>
      </c>
      <c r="J358" t="str">
        <f>IFERROR(__xludf.DUMMYFUNCTION("""COMPUTED_VALUE"""),"")</f>
        <v/>
      </c>
      <c r="K358" t="s">
        <v>241</v>
      </c>
      <c r="L358" t="str">
        <f t="shared" si="1"/>
        <v/>
      </c>
      <c r="M358" t="s">
        <v>241</v>
      </c>
    </row>
    <row r="359">
      <c r="F359" t="s">
        <v>241</v>
      </c>
      <c r="G359" t="s">
        <v>241</v>
      </c>
      <c r="J359" t="str">
        <f>IFERROR(__xludf.DUMMYFUNCTION("""COMPUTED_VALUE"""),"")</f>
        <v/>
      </c>
      <c r="K359" t="s">
        <v>241</v>
      </c>
      <c r="L359" t="str">
        <f t="shared" si="1"/>
        <v/>
      </c>
      <c r="M359" t="s">
        <v>241</v>
      </c>
    </row>
    <row r="360">
      <c r="F360" t="s">
        <v>241</v>
      </c>
      <c r="G360" t="s">
        <v>241</v>
      </c>
      <c r="J360" t="str">
        <f>IFERROR(__xludf.DUMMYFUNCTION("""COMPUTED_VALUE"""),"")</f>
        <v/>
      </c>
      <c r="K360" t="s">
        <v>241</v>
      </c>
      <c r="L360" t="str">
        <f t="shared" si="1"/>
        <v/>
      </c>
      <c r="M360" t="s">
        <v>241</v>
      </c>
    </row>
    <row r="361">
      <c r="F361" t="s">
        <v>241</v>
      </c>
      <c r="G361" t="s">
        <v>241</v>
      </c>
      <c r="J361" t="str">
        <f>IFERROR(__xludf.DUMMYFUNCTION("""COMPUTED_VALUE"""),"")</f>
        <v/>
      </c>
      <c r="K361" t="s">
        <v>241</v>
      </c>
      <c r="L361" t="str">
        <f t="shared" si="1"/>
        <v/>
      </c>
      <c r="M361" t="s">
        <v>241</v>
      </c>
    </row>
    <row r="362">
      <c r="F362" t="s">
        <v>241</v>
      </c>
      <c r="G362" t="s">
        <v>241</v>
      </c>
      <c r="J362" t="str">
        <f>IFERROR(__xludf.DUMMYFUNCTION("""COMPUTED_VALUE"""),"")</f>
        <v/>
      </c>
      <c r="K362" t="s">
        <v>241</v>
      </c>
      <c r="L362" t="str">
        <f t="shared" si="1"/>
        <v/>
      </c>
      <c r="M362" t="s">
        <v>241</v>
      </c>
    </row>
    <row r="363">
      <c r="F363" t="s">
        <v>241</v>
      </c>
      <c r="G363" t="s">
        <v>241</v>
      </c>
      <c r="J363" t="str">
        <f>IFERROR(__xludf.DUMMYFUNCTION("""COMPUTED_VALUE"""),"")</f>
        <v/>
      </c>
      <c r="K363" t="s">
        <v>241</v>
      </c>
      <c r="L363" t="str">
        <f t="shared" si="1"/>
        <v/>
      </c>
      <c r="M363" t="s">
        <v>241</v>
      </c>
    </row>
    <row r="364">
      <c r="F364" t="s">
        <v>241</v>
      </c>
      <c r="G364" t="s">
        <v>241</v>
      </c>
      <c r="J364" t="str">
        <f>IFERROR(__xludf.DUMMYFUNCTION("""COMPUTED_VALUE"""),"")</f>
        <v/>
      </c>
      <c r="K364" t="s">
        <v>241</v>
      </c>
      <c r="L364" t="str">
        <f t="shared" si="1"/>
        <v/>
      </c>
      <c r="M364" t="s">
        <v>241</v>
      </c>
    </row>
    <row r="365">
      <c r="F365" t="s">
        <v>241</v>
      </c>
      <c r="G365" t="s">
        <v>241</v>
      </c>
      <c r="J365" t="str">
        <f>IFERROR(__xludf.DUMMYFUNCTION("""COMPUTED_VALUE"""),"")</f>
        <v/>
      </c>
      <c r="K365" t="s">
        <v>241</v>
      </c>
      <c r="L365" t="str">
        <f t="shared" si="1"/>
        <v/>
      </c>
      <c r="M365" t="s">
        <v>241</v>
      </c>
    </row>
    <row r="366">
      <c r="F366" t="s">
        <v>241</v>
      </c>
      <c r="G366" t="s">
        <v>241</v>
      </c>
      <c r="J366" t="str">
        <f>IFERROR(__xludf.DUMMYFUNCTION("""COMPUTED_VALUE"""),"")</f>
        <v/>
      </c>
      <c r="K366" t="s">
        <v>241</v>
      </c>
      <c r="L366" t="str">
        <f t="shared" si="1"/>
        <v/>
      </c>
      <c r="M366" t="s">
        <v>241</v>
      </c>
    </row>
    <row r="367">
      <c r="F367" t="s">
        <v>241</v>
      </c>
      <c r="G367" t="s">
        <v>241</v>
      </c>
      <c r="J367" t="str">
        <f>IFERROR(__xludf.DUMMYFUNCTION("""COMPUTED_VALUE"""),"")</f>
        <v/>
      </c>
      <c r="K367" t="s">
        <v>241</v>
      </c>
      <c r="L367" t="str">
        <f t="shared" si="1"/>
        <v/>
      </c>
      <c r="M367" t="s">
        <v>241</v>
      </c>
    </row>
    <row r="368">
      <c r="F368" t="s">
        <v>241</v>
      </c>
      <c r="G368" t="s">
        <v>241</v>
      </c>
      <c r="J368" t="str">
        <f>IFERROR(__xludf.DUMMYFUNCTION("""COMPUTED_VALUE"""),"")</f>
        <v/>
      </c>
      <c r="K368" t="s">
        <v>241</v>
      </c>
      <c r="L368" t="str">
        <f t="shared" si="1"/>
        <v/>
      </c>
      <c r="M368" t="s">
        <v>241</v>
      </c>
    </row>
    <row r="369">
      <c r="F369" t="s">
        <v>241</v>
      </c>
      <c r="G369" t="s">
        <v>241</v>
      </c>
      <c r="J369" t="str">
        <f>IFERROR(__xludf.DUMMYFUNCTION("""COMPUTED_VALUE"""),"")</f>
        <v/>
      </c>
      <c r="K369" t="s">
        <v>241</v>
      </c>
      <c r="L369" t="str">
        <f t="shared" si="1"/>
        <v/>
      </c>
      <c r="M369" t="s">
        <v>241</v>
      </c>
    </row>
    <row r="370">
      <c r="F370" t="s">
        <v>241</v>
      </c>
      <c r="G370" t="s">
        <v>241</v>
      </c>
      <c r="J370" t="str">
        <f>IFERROR(__xludf.DUMMYFUNCTION("""COMPUTED_VALUE"""),"")</f>
        <v/>
      </c>
      <c r="K370" t="s">
        <v>241</v>
      </c>
      <c r="L370" t="str">
        <f t="shared" si="1"/>
        <v/>
      </c>
      <c r="M370" t="s">
        <v>241</v>
      </c>
    </row>
    <row r="371">
      <c r="F371" t="s">
        <v>241</v>
      </c>
      <c r="G371" t="s">
        <v>241</v>
      </c>
      <c r="J371" t="str">
        <f>IFERROR(__xludf.DUMMYFUNCTION("""COMPUTED_VALUE"""),"")</f>
        <v/>
      </c>
      <c r="K371" t="s">
        <v>241</v>
      </c>
      <c r="L371" t="str">
        <f t="shared" si="1"/>
        <v/>
      </c>
      <c r="M371" t="s">
        <v>241</v>
      </c>
    </row>
    <row r="372">
      <c r="F372" t="s">
        <v>241</v>
      </c>
      <c r="G372" t="s">
        <v>241</v>
      </c>
      <c r="J372" t="str">
        <f>IFERROR(__xludf.DUMMYFUNCTION("""COMPUTED_VALUE"""),"")</f>
        <v/>
      </c>
      <c r="K372" t="s">
        <v>241</v>
      </c>
      <c r="L372" t="str">
        <f t="shared" si="1"/>
        <v/>
      </c>
      <c r="M372" t="s">
        <v>241</v>
      </c>
    </row>
    <row r="373">
      <c r="F373" t="s">
        <v>241</v>
      </c>
      <c r="G373" t="s">
        <v>241</v>
      </c>
      <c r="J373" t="str">
        <f>IFERROR(__xludf.DUMMYFUNCTION("""COMPUTED_VALUE"""),"")</f>
        <v/>
      </c>
      <c r="K373" t="s">
        <v>241</v>
      </c>
      <c r="L373" t="str">
        <f t="shared" si="1"/>
        <v/>
      </c>
      <c r="M373" t="s">
        <v>241</v>
      </c>
    </row>
    <row r="374">
      <c r="F374" t="s">
        <v>241</v>
      </c>
      <c r="G374" t="s">
        <v>241</v>
      </c>
      <c r="J374" t="str">
        <f>IFERROR(__xludf.DUMMYFUNCTION("""COMPUTED_VALUE"""),"")</f>
        <v/>
      </c>
      <c r="K374" t="s">
        <v>241</v>
      </c>
      <c r="L374" t="str">
        <f t="shared" si="1"/>
        <v/>
      </c>
      <c r="M374" t="s">
        <v>241</v>
      </c>
    </row>
    <row r="375">
      <c r="F375" t="s">
        <v>241</v>
      </c>
      <c r="G375" t="s">
        <v>241</v>
      </c>
      <c r="J375" t="str">
        <f>IFERROR(__xludf.DUMMYFUNCTION("""COMPUTED_VALUE"""),"")</f>
        <v/>
      </c>
      <c r="K375" t="s">
        <v>241</v>
      </c>
      <c r="L375" t="str">
        <f t="shared" si="1"/>
        <v/>
      </c>
      <c r="M375" t="s">
        <v>241</v>
      </c>
    </row>
    <row r="376">
      <c r="F376" t="s">
        <v>241</v>
      </c>
      <c r="G376" t="s">
        <v>241</v>
      </c>
      <c r="J376" t="str">
        <f>IFERROR(__xludf.DUMMYFUNCTION("""COMPUTED_VALUE"""),"")</f>
        <v/>
      </c>
      <c r="K376" t="s">
        <v>241</v>
      </c>
      <c r="L376" t="str">
        <f t="shared" si="1"/>
        <v/>
      </c>
      <c r="M376" t="s">
        <v>241</v>
      </c>
    </row>
    <row r="377">
      <c r="F377" t="s">
        <v>241</v>
      </c>
      <c r="G377" t="s">
        <v>241</v>
      </c>
      <c r="J377" t="str">
        <f>IFERROR(__xludf.DUMMYFUNCTION("""COMPUTED_VALUE"""),"")</f>
        <v/>
      </c>
      <c r="K377" t="s">
        <v>241</v>
      </c>
      <c r="L377" t="str">
        <f t="shared" si="1"/>
        <v/>
      </c>
      <c r="M377" t="s">
        <v>241</v>
      </c>
    </row>
    <row r="378">
      <c r="F378" t="s">
        <v>241</v>
      </c>
      <c r="G378" t="s">
        <v>241</v>
      </c>
      <c r="J378" t="str">
        <f>IFERROR(__xludf.DUMMYFUNCTION("""COMPUTED_VALUE"""),"")</f>
        <v/>
      </c>
      <c r="K378" t="s">
        <v>241</v>
      </c>
      <c r="L378" t="str">
        <f t="shared" si="1"/>
        <v/>
      </c>
      <c r="M378" t="s">
        <v>241</v>
      </c>
    </row>
    <row r="379">
      <c r="F379" t="s">
        <v>241</v>
      </c>
      <c r="G379" t="s">
        <v>241</v>
      </c>
      <c r="J379" t="str">
        <f>IFERROR(__xludf.DUMMYFUNCTION("""COMPUTED_VALUE"""),"")</f>
        <v/>
      </c>
      <c r="K379" t="s">
        <v>241</v>
      </c>
      <c r="L379" t="str">
        <f t="shared" si="1"/>
        <v/>
      </c>
      <c r="M379" t="s">
        <v>241</v>
      </c>
    </row>
    <row r="380">
      <c r="F380" t="s">
        <v>241</v>
      </c>
      <c r="G380" t="s">
        <v>241</v>
      </c>
      <c r="J380" t="str">
        <f>IFERROR(__xludf.DUMMYFUNCTION("""COMPUTED_VALUE"""),"")</f>
        <v/>
      </c>
      <c r="K380" t="s">
        <v>241</v>
      </c>
      <c r="L380" t="str">
        <f t="shared" si="1"/>
        <v/>
      </c>
      <c r="M380" t="s">
        <v>241</v>
      </c>
    </row>
    <row r="381">
      <c r="F381" t="s">
        <v>241</v>
      </c>
      <c r="G381" t="s">
        <v>241</v>
      </c>
      <c r="J381" t="str">
        <f>IFERROR(__xludf.DUMMYFUNCTION("""COMPUTED_VALUE"""),"")</f>
        <v/>
      </c>
      <c r="K381" t="s">
        <v>241</v>
      </c>
      <c r="L381" t="str">
        <f t="shared" si="1"/>
        <v/>
      </c>
      <c r="M381" t="s">
        <v>241</v>
      </c>
    </row>
    <row r="382">
      <c r="F382" t="s">
        <v>241</v>
      </c>
      <c r="G382" t="s">
        <v>241</v>
      </c>
      <c r="J382" t="str">
        <f>IFERROR(__xludf.DUMMYFUNCTION("""COMPUTED_VALUE"""),"")</f>
        <v/>
      </c>
      <c r="K382" t="s">
        <v>241</v>
      </c>
      <c r="L382" t="str">
        <f t="shared" si="1"/>
        <v/>
      </c>
      <c r="M382" t="s">
        <v>241</v>
      </c>
    </row>
    <row r="383">
      <c r="F383" t="s">
        <v>241</v>
      </c>
      <c r="G383" t="s">
        <v>241</v>
      </c>
      <c r="J383" t="str">
        <f>IFERROR(__xludf.DUMMYFUNCTION("""COMPUTED_VALUE"""),"")</f>
        <v/>
      </c>
      <c r="K383" t="s">
        <v>241</v>
      </c>
      <c r="L383" t="str">
        <f t="shared" si="1"/>
        <v/>
      </c>
      <c r="M383" t="s">
        <v>241</v>
      </c>
    </row>
    <row r="384">
      <c r="F384" t="s">
        <v>241</v>
      </c>
      <c r="G384" t="s">
        <v>241</v>
      </c>
      <c r="J384" t="str">
        <f>IFERROR(__xludf.DUMMYFUNCTION("""COMPUTED_VALUE"""),"")</f>
        <v/>
      </c>
      <c r="K384" t="s">
        <v>241</v>
      </c>
      <c r="L384" t="str">
        <f t="shared" si="1"/>
        <v/>
      </c>
      <c r="M384" t="s">
        <v>241</v>
      </c>
    </row>
    <row r="385">
      <c r="F385" t="s">
        <v>241</v>
      </c>
      <c r="G385" t="s">
        <v>241</v>
      </c>
      <c r="J385" t="str">
        <f>IFERROR(__xludf.DUMMYFUNCTION("""COMPUTED_VALUE"""),"")</f>
        <v/>
      </c>
      <c r="K385" t="s">
        <v>241</v>
      </c>
      <c r="L385" t="str">
        <f t="shared" si="1"/>
        <v/>
      </c>
      <c r="M385" t="s">
        <v>241</v>
      </c>
    </row>
    <row r="386">
      <c r="F386" t="s">
        <v>241</v>
      </c>
      <c r="G386" t="s">
        <v>241</v>
      </c>
      <c r="J386" t="str">
        <f>IFERROR(__xludf.DUMMYFUNCTION("""COMPUTED_VALUE"""),"")</f>
        <v/>
      </c>
      <c r="K386" t="s">
        <v>241</v>
      </c>
      <c r="L386" t="str">
        <f t="shared" si="1"/>
        <v/>
      </c>
      <c r="M386" t="s">
        <v>241</v>
      </c>
    </row>
    <row r="387">
      <c r="F387" t="s">
        <v>241</v>
      </c>
      <c r="G387" t="s">
        <v>241</v>
      </c>
      <c r="J387" t="str">
        <f>IFERROR(__xludf.DUMMYFUNCTION("""COMPUTED_VALUE"""),"")</f>
        <v/>
      </c>
      <c r="K387" t="s">
        <v>241</v>
      </c>
      <c r="L387" t="str">
        <f t="shared" si="1"/>
        <v/>
      </c>
      <c r="M387" t="s">
        <v>241</v>
      </c>
    </row>
    <row r="388">
      <c r="F388" t="s">
        <v>241</v>
      </c>
      <c r="G388" t="s">
        <v>241</v>
      </c>
      <c r="J388" t="str">
        <f>IFERROR(__xludf.DUMMYFUNCTION("""COMPUTED_VALUE"""),"")</f>
        <v/>
      </c>
      <c r="K388" t="s">
        <v>241</v>
      </c>
      <c r="L388" t="str">
        <f t="shared" si="1"/>
        <v/>
      </c>
      <c r="M388" t="s">
        <v>241</v>
      </c>
    </row>
    <row r="389">
      <c r="F389" t="s">
        <v>241</v>
      </c>
      <c r="G389" t="s">
        <v>241</v>
      </c>
      <c r="J389" t="str">
        <f>IFERROR(__xludf.DUMMYFUNCTION("""COMPUTED_VALUE"""),"")</f>
        <v/>
      </c>
      <c r="K389" t="s">
        <v>241</v>
      </c>
      <c r="L389" t="str">
        <f t="shared" si="1"/>
        <v/>
      </c>
      <c r="M389" t="s">
        <v>241</v>
      </c>
    </row>
    <row r="390">
      <c r="F390" t="s">
        <v>241</v>
      </c>
      <c r="G390" t="s">
        <v>241</v>
      </c>
      <c r="J390" t="str">
        <f>IFERROR(__xludf.DUMMYFUNCTION("""COMPUTED_VALUE"""),"")</f>
        <v/>
      </c>
      <c r="K390" t="s">
        <v>241</v>
      </c>
      <c r="L390" t="str">
        <f t="shared" si="1"/>
        <v/>
      </c>
      <c r="M390" t="s">
        <v>241</v>
      </c>
    </row>
    <row r="391">
      <c r="F391" t="s">
        <v>241</v>
      </c>
      <c r="G391" t="s">
        <v>241</v>
      </c>
      <c r="J391" t="str">
        <f>IFERROR(__xludf.DUMMYFUNCTION("""COMPUTED_VALUE"""),"")</f>
        <v/>
      </c>
      <c r="K391" t="s">
        <v>241</v>
      </c>
      <c r="L391" t="str">
        <f t="shared" si="1"/>
        <v/>
      </c>
      <c r="M391" t="s">
        <v>241</v>
      </c>
    </row>
    <row r="392">
      <c r="F392" t="s">
        <v>241</v>
      </c>
      <c r="G392" t="s">
        <v>241</v>
      </c>
      <c r="J392" t="str">
        <f>IFERROR(__xludf.DUMMYFUNCTION("""COMPUTED_VALUE"""),"")</f>
        <v/>
      </c>
      <c r="K392" t="s">
        <v>241</v>
      </c>
      <c r="L392" t="str">
        <f t="shared" si="1"/>
        <v/>
      </c>
      <c r="M392" t="s">
        <v>241</v>
      </c>
    </row>
    <row r="393">
      <c r="F393" t="s">
        <v>241</v>
      </c>
      <c r="G393" t="s">
        <v>241</v>
      </c>
      <c r="J393" t="str">
        <f>IFERROR(__xludf.DUMMYFUNCTION("""COMPUTED_VALUE"""),"")</f>
        <v/>
      </c>
      <c r="K393" t="s">
        <v>241</v>
      </c>
      <c r="L393" t="str">
        <f t="shared" si="1"/>
        <v/>
      </c>
      <c r="M393" t="s">
        <v>241</v>
      </c>
    </row>
    <row r="394">
      <c r="F394" t="s">
        <v>241</v>
      </c>
      <c r="G394" t="s">
        <v>241</v>
      </c>
      <c r="J394" t="str">
        <f>IFERROR(__xludf.DUMMYFUNCTION("""COMPUTED_VALUE"""),"")</f>
        <v/>
      </c>
      <c r="K394" t="s">
        <v>241</v>
      </c>
      <c r="L394" t="str">
        <f t="shared" si="1"/>
        <v/>
      </c>
      <c r="M394" t="s">
        <v>241</v>
      </c>
    </row>
    <row r="395">
      <c r="F395" t="s">
        <v>241</v>
      </c>
      <c r="G395" t="s">
        <v>241</v>
      </c>
      <c r="J395" t="str">
        <f>IFERROR(__xludf.DUMMYFUNCTION("""COMPUTED_VALUE"""),"")</f>
        <v/>
      </c>
      <c r="K395" t="s">
        <v>241</v>
      </c>
      <c r="L395" t="str">
        <f t="shared" si="1"/>
        <v/>
      </c>
      <c r="M395" t="s">
        <v>241</v>
      </c>
    </row>
    <row r="396">
      <c r="F396" t="s">
        <v>241</v>
      </c>
      <c r="G396" t="s">
        <v>241</v>
      </c>
      <c r="J396" t="str">
        <f>IFERROR(__xludf.DUMMYFUNCTION("""COMPUTED_VALUE"""),"")</f>
        <v/>
      </c>
      <c r="K396" t="s">
        <v>241</v>
      </c>
      <c r="L396" t="str">
        <f t="shared" si="1"/>
        <v/>
      </c>
      <c r="M396" t="s">
        <v>241</v>
      </c>
    </row>
    <row r="397">
      <c r="F397" t="s">
        <v>241</v>
      </c>
      <c r="G397" t="s">
        <v>241</v>
      </c>
      <c r="J397" t="str">
        <f>IFERROR(__xludf.DUMMYFUNCTION("""COMPUTED_VALUE"""),"")</f>
        <v/>
      </c>
      <c r="K397" t="s">
        <v>241</v>
      </c>
      <c r="L397" t="str">
        <f t="shared" si="1"/>
        <v/>
      </c>
      <c r="M397" t="s">
        <v>241</v>
      </c>
    </row>
    <row r="398">
      <c r="F398" t="s">
        <v>241</v>
      </c>
      <c r="G398" t="s">
        <v>241</v>
      </c>
      <c r="J398" t="str">
        <f>IFERROR(__xludf.DUMMYFUNCTION("""COMPUTED_VALUE"""),"")</f>
        <v/>
      </c>
      <c r="K398" t="s">
        <v>241</v>
      </c>
      <c r="L398" t="str">
        <f t="shared" si="1"/>
        <v/>
      </c>
      <c r="M398" t="s">
        <v>241</v>
      </c>
    </row>
    <row r="399">
      <c r="F399" t="s">
        <v>241</v>
      </c>
      <c r="G399" t="s">
        <v>241</v>
      </c>
      <c r="J399" t="str">
        <f>IFERROR(__xludf.DUMMYFUNCTION("""COMPUTED_VALUE"""),"")</f>
        <v/>
      </c>
      <c r="K399" t="s">
        <v>241</v>
      </c>
      <c r="L399" t="str">
        <f t="shared" si="1"/>
        <v/>
      </c>
      <c r="M399" t="s">
        <v>241</v>
      </c>
    </row>
    <row r="400">
      <c r="F400" t="s">
        <v>241</v>
      </c>
      <c r="G400" t="s">
        <v>241</v>
      </c>
      <c r="J400" t="str">
        <f>IFERROR(__xludf.DUMMYFUNCTION("""COMPUTED_VALUE"""),"")</f>
        <v/>
      </c>
      <c r="K400" t="s">
        <v>241</v>
      </c>
      <c r="L400" t="str">
        <f t="shared" si="1"/>
        <v/>
      </c>
      <c r="M400" t="s">
        <v>241</v>
      </c>
    </row>
    <row r="401">
      <c r="F401" t="s">
        <v>241</v>
      </c>
      <c r="G401" t="s">
        <v>241</v>
      </c>
      <c r="J401" t="str">
        <f>IFERROR(__xludf.DUMMYFUNCTION("""COMPUTED_VALUE"""),"")</f>
        <v/>
      </c>
      <c r="K401" t="s">
        <v>241</v>
      </c>
      <c r="L401" t="str">
        <f t="shared" si="1"/>
        <v/>
      </c>
      <c r="M401" t="s">
        <v>241</v>
      </c>
    </row>
    <row r="402">
      <c r="F402" t="s">
        <v>241</v>
      </c>
      <c r="G402" t="s">
        <v>241</v>
      </c>
      <c r="J402" t="str">
        <f>IFERROR(__xludf.DUMMYFUNCTION("""COMPUTED_VALUE"""),"")</f>
        <v/>
      </c>
      <c r="K402" t="s">
        <v>241</v>
      </c>
      <c r="L402" t="str">
        <f t="shared" si="1"/>
        <v/>
      </c>
      <c r="M402" t="s">
        <v>241</v>
      </c>
    </row>
    <row r="403">
      <c r="F403" t="s">
        <v>241</v>
      </c>
      <c r="G403" t="s">
        <v>241</v>
      </c>
      <c r="J403" t="str">
        <f>IFERROR(__xludf.DUMMYFUNCTION("""COMPUTED_VALUE"""),"")</f>
        <v/>
      </c>
      <c r="K403" t="s">
        <v>241</v>
      </c>
      <c r="L403" t="str">
        <f t="shared" si="1"/>
        <v/>
      </c>
      <c r="M403" t="s">
        <v>241</v>
      </c>
    </row>
    <row r="404">
      <c r="F404" t="s">
        <v>241</v>
      </c>
      <c r="G404" t="s">
        <v>241</v>
      </c>
      <c r="J404" t="str">
        <f>IFERROR(__xludf.DUMMYFUNCTION("""COMPUTED_VALUE"""),"")</f>
        <v/>
      </c>
      <c r="K404" t="s">
        <v>241</v>
      </c>
      <c r="L404" t="str">
        <f t="shared" si="1"/>
        <v/>
      </c>
      <c r="M404" t="s">
        <v>241</v>
      </c>
    </row>
    <row r="405">
      <c r="F405" t="s">
        <v>241</v>
      </c>
      <c r="G405" t="s">
        <v>241</v>
      </c>
      <c r="J405" t="str">
        <f>IFERROR(__xludf.DUMMYFUNCTION("""COMPUTED_VALUE"""),"")</f>
        <v/>
      </c>
      <c r="K405" t="s">
        <v>241</v>
      </c>
      <c r="L405" t="str">
        <f t="shared" si="1"/>
        <v/>
      </c>
      <c r="M405" t="s">
        <v>241</v>
      </c>
    </row>
    <row r="406">
      <c r="F406" t="s">
        <v>241</v>
      </c>
      <c r="G406" t="s">
        <v>241</v>
      </c>
      <c r="J406" t="str">
        <f>IFERROR(__xludf.DUMMYFUNCTION("""COMPUTED_VALUE"""),"")</f>
        <v/>
      </c>
      <c r="K406" t="s">
        <v>241</v>
      </c>
      <c r="L406" t="str">
        <f t="shared" si="1"/>
        <v/>
      </c>
      <c r="M406" t="s">
        <v>241</v>
      </c>
    </row>
    <row r="407">
      <c r="F407" t="s">
        <v>241</v>
      </c>
      <c r="G407" t="s">
        <v>241</v>
      </c>
      <c r="J407" t="str">
        <f>IFERROR(__xludf.DUMMYFUNCTION("""COMPUTED_VALUE"""),"")</f>
        <v/>
      </c>
      <c r="K407" t="s">
        <v>241</v>
      </c>
      <c r="L407" t="str">
        <f t="shared" si="1"/>
        <v/>
      </c>
      <c r="M407" t="s">
        <v>241</v>
      </c>
    </row>
    <row r="408">
      <c r="F408" t="s">
        <v>241</v>
      </c>
      <c r="G408" t="s">
        <v>241</v>
      </c>
      <c r="J408" t="str">
        <f>IFERROR(__xludf.DUMMYFUNCTION("""COMPUTED_VALUE"""),"")</f>
        <v/>
      </c>
      <c r="K408" t="s">
        <v>241</v>
      </c>
      <c r="L408" t="str">
        <f t="shared" si="1"/>
        <v/>
      </c>
      <c r="M408" t="s">
        <v>241</v>
      </c>
    </row>
    <row r="409">
      <c r="F409" t="s">
        <v>241</v>
      </c>
      <c r="G409" t="s">
        <v>241</v>
      </c>
      <c r="J409" t="str">
        <f>IFERROR(__xludf.DUMMYFUNCTION("""COMPUTED_VALUE"""),"")</f>
        <v/>
      </c>
      <c r="K409" t="s">
        <v>241</v>
      </c>
      <c r="L409" t="str">
        <f t="shared" si="1"/>
        <v/>
      </c>
      <c r="M409" t="s">
        <v>241</v>
      </c>
    </row>
    <row r="410">
      <c r="F410" t="s">
        <v>241</v>
      </c>
      <c r="G410" t="s">
        <v>241</v>
      </c>
      <c r="J410" t="str">
        <f>IFERROR(__xludf.DUMMYFUNCTION("""COMPUTED_VALUE"""),"")</f>
        <v/>
      </c>
      <c r="K410" t="s">
        <v>241</v>
      </c>
      <c r="L410" t="str">
        <f t="shared" si="1"/>
        <v/>
      </c>
      <c r="M410" t="s">
        <v>241</v>
      </c>
    </row>
    <row r="411">
      <c r="F411" t="s">
        <v>241</v>
      </c>
      <c r="G411" t="s">
        <v>241</v>
      </c>
      <c r="J411" t="str">
        <f>IFERROR(__xludf.DUMMYFUNCTION("""COMPUTED_VALUE"""),"")</f>
        <v/>
      </c>
      <c r="K411" t="s">
        <v>241</v>
      </c>
      <c r="L411" t="str">
        <f t="shared" si="1"/>
        <v/>
      </c>
      <c r="M411" t="s">
        <v>241</v>
      </c>
    </row>
    <row r="412">
      <c r="F412" t="s">
        <v>241</v>
      </c>
      <c r="G412" t="s">
        <v>241</v>
      </c>
      <c r="J412" t="str">
        <f>IFERROR(__xludf.DUMMYFUNCTION("""COMPUTED_VALUE"""),"")</f>
        <v/>
      </c>
      <c r="K412" t="s">
        <v>241</v>
      </c>
      <c r="L412" t="str">
        <f t="shared" si="1"/>
        <v/>
      </c>
      <c r="M412" t="s">
        <v>241</v>
      </c>
    </row>
    <row r="413">
      <c r="F413" t="s">
        <v>241</v>
      </c>
      <c r="G413" t="s">
        <v>241</v>
      </c>
      <c r="J413" t="str">
        <f>IFERROR(__xludf.DUMMYFUNCTION("""COMPUTED_VALUE"""),"")</f>
        <v/>
      </c>
      <c r="K413" t="s">
        <v>241</v>
      </c>
      <c r="L413" t="str">
        <f t="shared" si="1"/>
        <v/>
      </c>
      <c r="M413" t="s">
        <v>241</v>
      </c>
    </row>
    <row r="414">
      <c r="F414" t="s">
        <v>241</v>
      </c>
      <c r="G414" t="s">
        <v>241</v>
      </c>
      <c r="J414" t="str">
        <f>IFERROR(__xludf.DUMMYFUNCTION("""COMPUTED_VALUE"""),"")</f>
        <v/>
      </c>
      <c r="K414" t="s">
        <v>241</v>
      </c>
      <c r="L414" t="str">
        <f t="shared" si="1"/>
        <v/>
      </c>
      <c r="M414" t="s">
        <v>241</v>
      </c>
    </row>
    <row r="415">
      <c r="F415" t="s">
        <v>241</v>
      </c>
      <c r="G415" t="s">
        <v>241</v>
      </c>
      <c r="J415" t="str">
        <f>IFERROR(__xludf.DUMMYFUNCTION("""COMPUTED_VALUE"""),"")</f>
        <v/>
      </c>
      <c r="K415" t="s">
        <v>241</v>
      </c>
      <c r="L415" t="str">
        <f t="shared" si="1"/>
        <v/>
      </c>
      <c r="M415" t="s">
        <v>241</v>
      </c>
    </row>
    <row r="416">
      <c r="F416" t="s">
        <v>241</v>
      </c>
      <c r="G416" t="s">
        <v>241</v>
      </c>
      <c r="J416" t="str">
        <f>IFERROR(__xludf.DUMMYFUNCTION("""COMPUTED_VALUE"""),"")</f>
        <v/>
      </c>
      <c r="K416" t="s">
        <v>241</v>
      </c>
      <c r="L416" t="str">
        <f t="shared" si="1"/>
        <v/>
      </c>
      <c r="M416" t="s">
        <v>241</v>
      </c>
    </row>
    <row r="417">
      <c r="F417" t="s">
        <v>241</v>
      </c>
      <c r="G417" t="s">
        <v>241</v>
      </c>
      <c r="J417" t="str">
        <f>IFERROR(__xludf.DUMMYFUNCTION("""COMPUTED_VALUE"""),"")</f>
        <v/>
      </c>
      <c r="K417" t="s">
        <v>241</v>
      </c>
      <c r="L417" t="str">
        <f t="shared" si="1"/>
        <v/>
      </c>
      <c r="M417" t="s">
        <v>241</v>
      </c>
    </row>
    <row r="418">
      <c r="F418" t="s">
        <v>241</v>
      </c>
      <c r="G418" t="s">
        <v>241</v>
      </c>
      <c r="J418" t="str">
        <f>IFERROR(__xludf.DUMMYFUNCTION("""COMPUTED_VALUE"""),"")</f>
        <v/>
      </c>
      <c r="K418" t="s">
        <v>241</v>
      </c>
      <c r="L418" t="str">
        <f t="shared" si="1"/>
        <v/>
      </c>
      <c r="M418" t="s">
        <v>241</v>
      </c>
    </row>
    <row r="419">
      <c r="F419" t="s">
        <v>241</v>
      </c>
      <c r="G419" t="s">
        <v>241</v>
      </c>
      <c r="J419" t="str">
        <f>IFERROR(__xludf.DUMMYFUNCTION("""COMPUTED_VALUE"""),"")</f>
        <v/>
      </c>
      <c r="K419" t="s">
        <v>241</v>
      </c>
      <c r="L419" t="str">
        <f t="shared" si="1"/>
        <v/>
      </c>
      <c r="M419" t="s">
        <v>241</v>
      </c>
    </row>
    <row r="420">
      <c r="F420" t="s">
        <v>241</v>
      </c>
      <c r="G420" t="s">
        <v>241</v>
      </c>
      <c r="J420" t="str">
        <f>IFERROR(__xludf.DUMMYFUNCTION("""COMPUTED_VALUE"""),"")</f>
        <v/>
      </c>
      <c r="K420" t="s">
        <v>241</v>
      </c>
      <c r="L420" t="str">
        <f t="shared" si="1"/>
        <v/>
      </c>
      <c r="M420" t="s">
        <v>241</v>
      </c>
    </row>
    <row r="421">
      <c r="F421" t="s">
        <v>241</v>
      </c>
      <c r="G421" t="s">
        <v>241</v>
      </c>
      <c r="J421" t="str">
        <f>IFERROR(__xludf.DUMMYFUNCTION("""COMPUTED_VALUE"""),"")</f>
        <v/>
      </c>
      <c r="K421" t="s">
        <v>241</v>
      </c>
      <c r="L421" t="str">
        <f t="shared" si="1"/>
        <v/>
      </c>
      <c r="M421" t="s">
        <v>241</v>
      </c>
    </row>
    <row r="422">
      <c r="F422" t="s">
        <v>241</v>
      </c>
      <c r="G422" t="s">
        <v>241</v>
      </c>
      <c r="J422" t="str">
        <f>IFERROR(__xludf.DUMMYFUNCTION("""COMPUTED_VALUE"""),"")</f>
        <v/>
      </c>
      <c r="K422" t="s">
        <v>241</v>
      </c>
      <c r="L422" t="str">
        <f t="shared" si="1"/>
        <v/>
      </c>
      <c r="M422" t="s">
        <v>241</v>
      </c>
    </row>
    <row r="423">
      <c r="F423" t="s">
        <v>241</v>
      </c>
      <c r="G423" t="s">
        <v>241</v>
      </c>
      <c r="J423" t="str">
        <f>IFERROR(__xludf.DUMMYFUNCTION("""COMPUTED_VALUE"""),"")</f>
        <v/>
      </c>
      <c r="K423" t="s">
        <v>241</v>
      </c>
      <c r="L423" t="str">
        <f t="shared" si="1"/>
        <v/>
      </c>
      <c r="M423" t="s">
        <v>241</v>
      </c>
    </row>
    <row r="424">
      <c r="F424" t="s">
        <v>241</v>
      </c>
      <c r="G424" t="s">
        <v>241</v>
      </c>
      <c r="J424" t="str">
        <f>IFERROR(__xludf.DUMMYFUNCTION("""COMPUTED_VALUE"""),"")</f>
        <v/>
      </c>
      <c r="K424" t="s">
        <v>241</v>
      </c>
      <c r="L424" t="str">
        <f t="shared" si="1"/>
        <v/>
      </c>
      <c r="M424" t="s">
        <v>241</v>
      </c>
    </row>
    <row r="425">
      <c r="F425" t="s">
        <v>241</v>
      </c>
      <c r="G425" t="s">
        <v>241</v>
      </c>
      <c r="J425" t="str">
        <f>IFERROR(__xludf.DUMMYFUNCTION("""COMPUTED_VALUE"""),"")</f>
        <v/>
      </c>
      <c r="K425" t="s">
        <v>241</v>
      </c>
      <c r="L425" t="str">
        <f t="shared" si="1"/>
        <v/>
      </c>
      <c r="M425" t="s">
        <v>241</v>
      </c>
    </row>
    <row r="426">
      <c r="F426" t="s">
        <v>241</v>
      </c>
      <c r="G426" t="s">
        <v>241</v>
      </c>
      <c r="J426" t="str">
        <f>IFERROR(__xludf.DUMMYFUNCTION("""COMPUTED_VALUE"""),"")</f>
        <v/>
      </c>
      <c r="K426" t="s">
        <v>241</v>
      </c>
      <c r="L426" t="str">
        <f t="shared" si="1"/>
        <v/>
      </c>
      <c r="M426" t="s">
        <v>241</v>
      </c>
    </row>
    <row r="427">
      <c r="F427" t="s">
        <v>241</v>
      </c>
      <c r="G427" t="s">
        <v>241</v>
      </c>
      <c r="J427" t="str">
        <f>IFERROR(__xludf.DUMMYFUNCTION("""COMPUTED_VALUE"""),"")</f>
        <v/>
      </c>
      <c r="K427" t="s">
        <v>241</v>
      </c>
      <c r="L427" t="str">
        <f t="shared" si="1"/>
        <v/>
      </c>
      <c r="M427" t="s">
        <v>241</v>
      </c>
    </row>
    <row r="428">
      <c r="F428" t="s">
        <v>241</v>
      </c>
      <c r="G428" t="s">
        <v>241</v>
      </c>
      <c r="J428" t="str">
        <f>IFERROR(__xludf.DUMMYFUNCTION("""COMPUTED_VALUE"""),"")</f>
        <v/>
      </c>
      <c r="K428" t="s">
        <v>241</v>
      </c>
      <c r="L428" t="str">
        <f t="shared" si="1"/>
        <v/>
      </c>
      <c r="M428" t="s">
        <v>241</v>
      </c>
    </row>
    <row r="429">
      <c r="F429" t="s">
        <v>241</v>
      </c>
      <c r="G429" t="s">
        <v>241</v>
      </c>
      <c r="J429" t="str">
        <f>IFERROR(__xludf.DUMMYFUNCTION("""COMPUTED_VALUE"""),"")</f>
        <v/>
      </c>
      <c r="K429" t="s">
        <v>241</v>
      </c>
      <c r="L429" t="str">
        <f t="shared" si="1"/>
        <v/>
      </c>
      <c r="M429" t="s">
        <v>241</v>
      </c>
    </row>
    <row r="430">
      <c r="F430" t="s">
        <v>241</v>
      </c>
      <c r="G430" t="s">
        <v>241</v>
      </c>
      <c r="J430" t="str">
        <f>IFERROR(__xludf.DUMMYFUNCTION("""COMPUTED_VALUE"""),"")</f>
        <v/>
      </c>
      <c r="K430" t="s">
        <v>241</v>
      </c>
      <c r="L430" t="str">
        <f t="shared" si="1"/>
        <v/>
      </c>
      <c r="M430" t="s">
        <v>241</v>
      </c>
    </row>
    <row r="431">
      <c r="F431" t="s">
        <v>241</v>
      </c>
      <c r="G431" t="s">
        <v>241</v>
      </c>
      <c r="J431" t="str">
        <f>IFERROR(__xludf.DUMMYFUNCTION("""COMPUTED_VALUE"""),"")</f>
        <v/>
      </c>
      <c r="K431" t="s">
        <v>241</v>
      </c>
      <c r="L431" t="str">
        <f t="shared" si="1"/>
        <v/>
      </c>
      <c r="M431" t="s">
        <v>241</v>
      </c>
    </row>
    <row r="432">
      <c r="F432" t="s">
        <v>241</v>
      </c>
      <c r="G432" t="s">
        <v>241</v>
      </c>
      <c r="J432" t="str">
        <f>IFERROR(__xludf.DUMMYFUNCTION("""COMPUTED_VALUE"""),"")</f>
        <v/>
      </c>
      <c r="K432" t="s">
        <v>241</v>
      </c>
      <c r="L432" t="str">
        <f t="shared" si="1"/>
        <v/>
      </c>
      <c r="M432" t="s">
        <v>241</v>
      </c>
    </row>
    <row r="433">
      <c r="F433" t="s">
        <v>241</v>
      </c>
      <c r="G433" t="s">
        <v>241</v>
      </c>
      <c r="J433" t="str">
        <f>IFERROR(__xludf.DUMMYFUNCTION("""COMPUTED_VALUE"""),"")</f>
        <v/>
      </c>
      <c r="K433" t="s">
        <v>241</v>
      </c>
      <c r="L433" t="str">
        <f t="shared" si="1"/>
        <v/>
      </c>
      <c r="M433" t="s">
        <v>241</v>
      </c>
    </row>
    <row r="434">
      <c r="F434" t="s">
        <v>241</v>
      </c>
      <c r="G434" t="s">
        <v>241</v>
      </c>
      <c r="J434" t="str">
        <f>IFERROR(__xludf.DUMMYFUNCTION("""COMPUTED_VALUE"""),"")</f>
        <v/>
      </c>
      <c r="K434" t="s">
        <v>241</v>
      </c>
      <c r="L434" t="str">
        <f t="shared" si="1"/>
        <v/>
      </c>
      <c r="M434" t="s">
        <v>241</v>
      </c>
    </row>
    <row r="435">
      <c r="F435" t="s">
        <v>241</v>
      </c>
      <c r="G435" t="s">
        <v>241</v>
      </c>
      <c r="J435" t="str">
        <f>IFERROR(__xludf.DUMMYFUNCTION("""COMPUTED_VALUE"""),"")</f>
        <v/>
      </c>
      <c r="K435" t="s">
        <v>241</v>
      </c>
      <c r="L435" t="str">
        <f t="shared" si="1"/>
        <v/>
      </c>
      <c r="M435" t="s">
        <v>241</v>
      </c>
    </row>
    <row r="436">
      <c r="F436" t="s">
        <v>241</v>
      </c>
      <c r="G436" t="s">
        <v>241</v>
      </c>
      <c r="J436" t="str">
        <f>IFERROR(__xludf.DUMMYFUNCTION("""COMPUTED_VALUE"""),"")</f>
        <v/>
      </c>
      <c r="K436" t="s">
        <v>241</v>
      </c>
      <c r="L436" t="str">
        <f t="shared" si="1"/>
        <v/>
      </c>
      <c r="M436" t="s">
        <v>241</v>
      </c>
    </row>
    <row r="437">
      <c r="F437" t="s">
        <v>241</v>
      </c>
      <c r="G437" t="s">
        <v>241</v>
      </c>
      <c r="J437" t="str">
        <f>IFERROR(__xludf.DUMMYFUNCTION("""COMPUTED_VALUE"""),"")</f>
        <v/>
      </c>
      <c r="K437" t="s">
        <v>241</v>
      </c>
      <c r="L437" t="str">
        <f t="shared" si="1"/>
        <v/>
      </c>
      <c r="M437" t="s">
        <v>241</v>
      </c>
    </row>
    <row r="438">
      <c r="F438" t="s">
        <v>241</v>
      </c>
      <c r="G438" t="s">
        <v>241</v>
      </c>
      <c r="J438" t="str">
        <f>IFERROR(__xludf.DUMMYFUNCTION("""COMPUTED_VALUE"""),"")</f>
        <v/>
      </c>
      <c r="K438" t="s">
        <v>241</v>
      </c>
      <c r="L438" t="str">
        <f t="shared" si="1"/>
        <v/>
      </c>
      <c r="M438" t="s">
        <v>241</v>
      </c>
    </row>
    <row r="439">
      <c r="F439" t="s">
        <v>241</v>
      </c>
      <c r="G439" t="s">
        <v>241</v>
      </c>
      <c r="J439" t="str">
        <f>IFERROR(__xludf.DUMMYFUNCTION("""COMPUTED_VALUE"""),"")</f>
        <v/>
      </c>
      <c r="K439" t="s">
        <v>241</v>
      </c>
      <c r="L439" t="str">
        <f t="shared" si="1"/>
        <v/>
      </c>
      <c r="M439" t="s">
        <v>241</v>
      </c>
    </row>
    <row r="440">
      <c r="F440" t="s">
        <v>241</v>
      </c>
      <c r="G440" t="s">
        <v>241</v>
      </c>
      <c r="J440" t="str">
        <f>IFERROR(__xludf.DUMMYFUNCTION("""COMPUTED_VALUE"""),"")</f>
        <v/>
      </c>
      <c r="K440" t="s">
        <v>241</v>
      </c>
      <c r="L440" t="str">
        <f t="shared" si="1"/>
        <v/>
      </c>
      <c r="M440" t="s">
        <v>241</v>
      </c>
    </row>
    <row r="441">
      <c r="F441" t="s">
        <v>241</v>
      </c>
      <c r="G441" t="s">
        <v>241</v>
      </c>
      <c r="J441" t="str">
        <f>IFERROR(__xludf.DUMMYFUNCTION("""COMPUTED_VALUE"""),"")</f>
        <v/>
      </c>
      <c r="K441" t="s">
        <v>241</v>
      </c>
      <c r="L441" t="str">
        <f t="shared" si="1"/>
        <v/>
      </c>
      <c r="M441" t="s">
        <v>241</v>
      </c>
    </row>
    <row r="442">
      <c r="F442" t="s">
        <v>241</v>
      </c>
      <c r="G442" t="s">
        <v>241</v>
      </c>
      <c r="J442" t="str">
        <f>IFERROR(__xludf.DUMMYFUNCTION("""COMPUTED_VALUE"""),"")</f>
        <v/>
      </c>
      <c r="K442" t="s">
        <v>241</v>
      </c>
      <c r="L442" t="str">
        <f t="shared" si="1"/>
        <v/>
      </c>
      <c r="M442" t="s">
        <v>241</v>
      </c>
    </row>
    <row r="443">
      <c r="F443" t="s">
        <v>241</v>
      </c>
      <c r="G443" t="s">
        <v>241</v>
      </c>
      <c r="J443" t="str">
        <f>IFERROR(__xludf.DUMMYFUNCTION("""COMPUTED_VALUE"""),"")</f>
        <v/>
      </c>
      <c r="K443" t="s">
        <v>241</v>
      </c>
      <c r="L443" t="str">
        <f t="shared" si="1"/>
        <v/>
      </c>
      <c r="M443" t="s">
        <v>241</v>
      </c>
    </row>
    <row r="444">
      <c r="F444" t="s">
        <v>241</v>
      </c>
      <c r="G444" t="s">
        <v>241</v>
      </c>
      <c r="J444" t="str">
        <f>IFERROR(__xludf.DUMMYFUNCTION("""COMPUTED_VALUE"""),"")</f>
        <v/>
      </c>
      <c r="K444" t="s">
        <v>241</v>
      </c>
      <c r="L444" t="str">
        <f t="shared" si="1"/>
        <v/>
      </c>
      <c r="M444" t="s">
        <v>241</v>
      </c>
    </row>
    <row r="445">
      <c r="F445" t="s">
        <v>241</v>
      </c>
      <c r="G445" t="s">
        <v>241</v>
      </c>
      <c r="J445" t="str">
        <f>IFERROR(__xludf.DUMMYFUNCTION("""COMPUTED_VALUE"""),"")</f>
        <v/>
      </c>
      <c r="K445" t="s">
        <v>241</v>
      </c>
      <c r="L445" t="str">
        <f t="shared" si="1"/>
        <v/>
      </c>
      <c r="M445" t="s">
        <v>241</v>
      </c>
    </row>
    <row r="446">
      <c r="F446" t="s">
        <v>241</v>
      </c>
      <c r="G446" t="s">
        <v>241</v>
      </c>
      <c r="J446" t="str">
        <f>IFERROR(__xludf.DUMMYFUNCTION("""COMPUTED_VALUE"""),"")</f>
        <v/>
      </c>
      <c r="K446" t="s">
        <v>241</v>
      </c>
      <c r="L446" t="str">
        <f t="shared" si="1"/>
        <v/>
      </c>
      <c r="M446" t="s">
        <v>241</v>
      </c>
    </row>
    <row r="447">
      <c r="F447" t="s">
        <v>241</v>
      </c>
      <c r="G447" t="s">
        <v>241</v>
      </c>
      <c r="J447" t="str">
        <f>IFERROR(__xludf.DUMMYFUNCTION("""COMPUTED_VALUE"""),"")</f>
        <v/>
      </c>
      <c r="K447" t="s">
        <v>241</v>
      </c>
      <c r="L447" t="str">
        <f t="shared" si="1"/>
        <v/>
      </c>
      <c r="M447" t="s">
        <v>241</v>
      </c>
    </row>
    <row r="448">
      <c r="F448" t="s">
        <v>241</v>
      </c>
      <c r="G448" t="s">
        <v>241</v>
      </c>
      <c r="J448" t="str">
        <f>IFERROR(__xludf.DUMMYFUNCTION("""COMPUTED_VALUE"""),"")</f>
        <v/>
      </c>
      <c r="K448" t="s">
        <v>241</v>
      </c>
      <c r="L448" t="str">
        <f t="shared" si="1"/>
        <v/>
      </c>
      <c r="M448" t="s">
        <v>241</v>
      </c>
    </row>
    <row r="449">
      <c r="F449" t="s">
        <v>241</v>
      </c>
      <c r="G449" t="s">
        <v>241</v>
      </c>
      <c r="J449" t="str">
        <f>IFERROR(__xludf.DUMMYFUNCTION("""COMPUTED_VALUE"""),"")</f>
        <v/>
      </c>
      <c r="K449" t="s">
        <v>241</v>
      </c>
      <c r="L449" t="str">
        <f t="shared" si="1"/>
        <v/>
      </c>
      <c r="M449" t="s">
        <v>241</v>
      </c>
    </row>
    <row r="450">
      <c r="F450" t="s">
        <v>241</v>
      </c>
      <c r="G450" t="s">
        <v>241</v>
      </c>
      <c r="J450" t="str">
        <f>IFERROR(__xludf.DUMMYFUNCTION("""COMPUTED_VALUE"""),"")</f>
        <v/>
      </c>
      <c r="K450" t="s">
        <v>241</v>
      </c>
      <c r="L450" t="str">
        <f t="shared" si="1"/>
        <v/>
      </c>
      <c r="M450" t="s">
        <v>241</v>
      </c>
    </row>
    <row r="451">
      <c r="F451" t="s">
        <v>241</v>
      </c>
      <c r="G451" t="s">
        <v>241</v>
      </c>
      <c r="J451" t="str">
        <f>IFERROR(__xludf.DUMMYFUNCTION("""COMPUTED_VALUE"""),"")</f>
        <v/>
      </c>
      <c r="K451" t="s">
        <v>241</v>
      </c>
      <c r="L451" t="str">
        <f t="shared" si="1"/>
        <v/>
      </c>
      <c r="M451" t="s">
        <v>241</v>
      </c>
    </row>
    <row r="452">
      <c r="F452" t="s">
        <v>241</v>
      </c>
      <c r="G452" t="s">
        <v>241</v>
      </c>
      <c r="J452" t="str">
        <f>IFERROR(__xludf.DUMMYFUNCTION("""COMPUTED_VALUE"""),"")</f>
        <v/>
      </c>
      <c r="K452" t="s">
        <v>241</v>
      </c>
      <c r="L452" t="str">
        <f t="shared" si="1"/>
        <v/>
      </c>
      <c r="M452" t="s">
        <v>241</v>
      </c>
    </row>
    <row r="453">
      <c r="F453" t="s">
        <v>241</v>
      </c>
      <c r="G453" t="s">
        <v>241</v>
      </c>
      <c r="J453" t="str">
        <f>IFERROR(__xludf.DUMMYFUNCTION("""COMPUTED_VALUE"""),"")</f>
        <v/>
      </c>
      <c r="K453" t="s">
        <v>241</v>
      </c>
      <c r="L453" t="str">
        <f t="shared" si="1"/>
        <v/>
      </c>
      <c r="M453" t="s">
        <v>241</v>
      </c>
    </row>
    <row r="454">
      <c r="F454" t="s">
        <v>241</v>
      </c>
      <c r="G454" t="s">
        <v>241</v>
      </c>
      <c r="J454" t="str">
        <f>IFERROR(__xludf.DUMMYFUNCTION("""COMPUTED_VALUE"""),"")</f>
        <v/>
      </c>
      <c r="K454" t="s">
        <v>241</v>
      </c>
      <c r="L454" t="str">
        <f t="shared" si="1"/>
        <v/>
      </c>
      <c r="M454" t="s">
        <v>241</v>
      </c>
    </row>
    <row r="455">
      <c r="F455" t="s">
        <v>241</v>
      </c>
      <c r="G455" t="s">
        <v>241</v>
      </c>
      <c r="J455" t="str">
        <f>IFERROR(__xludf.DUMMYFUNCTION("""COMPUTED_VALUE"""),"")</f>
        <v/>
      </c>
      <c r="K455" t="s">
        <v>241</v>
      </c>
      <c r="L455" t="str">
        <f t="shared" si="1"/>
        <v/>
      </c>
      <c r="M455" t="s">
        <v>241</v>
      </c>
    </row>
    <row r="456">
      <c r="F456" t="s">
        <v>241</v>
      </c>
      <c r="G456" t="s">
        <v>241</v>
      </c>
      <c r="J456" t="str">
        <f>IFERROR(__xludf.DUMMYFUNCTION("""COMPUTED_VALUE"""),"")</f>
        <v/>
      </c>
      <c r="K456" t="s">
        <v>241</v>
      </c>
      <c r="L456" t="str">
        <f t="shared" si="1"/>
        <v/>
      </c>
      <c r="M456" t="s">
        <v>241</v>
      </c>
    </row>
    <row r="457">
      <c r="F457" t="s">
        <v>241</v>
      </c>
      <c r="G457" t="s">
        <v>241</v>
      </c>
      <c r="J457" t="str">
        <f>IFERROR(__xludf.DUMMYFUNCTION("""COMPUTED_VALUE"""),"")</f>
        <v/>
      </c>
      <c r="K457" t="s">
        <v>241</v>
      </c>
      <c r="L457" t="str">
        <f t="shared" si="1"/>
        <v/>
      </c>
      <c r="M457" t="s">
        <v>241</v>
      </c>
    </row>
    <row r="458">
      <c r="F458" t="s">
        <v>241</v>
      </c>
      <c r="G458" t="s">
        <v>241</v>
      </c>
      <c r="J458" t="str">
        <f>IFERROR(__xludf.DUMMYFUNCTION("""COMPUTED_VALUE"""),"")</f>
        <v/>
      </c>
      <c r="K458" t="s">
        <v>241</v>
      </c>
      <c r="L458" t="str">
        <f t="shared" si="1"/>
        <v/>
      </c>
      <c r="M458" t="s">
        <v>241</v>
      </c>
    </row>
    <row r="459">
      <c r="F459" t="s">
        <v>241</v>
      </c>
      <c r="G459" t="s">
        <v>241</v>
      </c>
      <c r="J459" t="str">
        <f>IFERROR(__xludf.DUMMYFUNCTION("""COMPUTED_VALUE"""),"")</f>
        <v/>
      </c>
      <c r="K459" t="s">
        <v>241</v>
      </c>
      <c r="L459" t="str">
        <f t="shared" si="1"/>
        <v/>
      </c>
      <c r="M459" t="s">
        <v>241</v>
      </c>
    </row>
    <row r="460">
      <c r="F460" t="s">
        <v>241</v>
      </c>
      <c r="G460" t="s">
        <v>241</v>
      </c>
      <c r="J460" t="str">
        <f>IFERROR(__xludf.DUMMYFUNCTION("""COMPUTED_VALUE"""),"")</f>
        <v/>
      </c>
      <c r="K460" t="s">
        <v>241</v>
      </c>
      <c r="L460" t="str">
        <f t="shared" si="1"/>
        <v/>
      </c>
      <c r="M460" t="s">
        <v>241</v>
      </c>
    </row>
    <row r="461">
      <c r="F461" t="s">
        <v>241</v>
      </c>
      <c r="G461" t="s">
        <v>241</v>
      </c>
      <c r="J461" t="str">
        <f>IFERROR(__xludf.DUMMYFUNCTION("""COMPUTED_VALUE"""),"")</f>
        <v/>
      </c>
      <c r="K461" t="s">
        <v>241</v>
      </c>
      <c r="L461" t="str">
        <f t="shared" si="1"/>
        <v/>
      </c>
      <c r="M461" t="s">
        <v>241</v>
      </c>
    </row>
    <row r="462">
      <c r="F462" t="s">
        <v>241</v>
      </c>
      <c r="G462" t="s">
        <v>241</v>
      </c>
      <c r="J462" t="str">
        <f>IFERROR(__xludf.DUMMYFUNCTION("""COMPUTED_VALUE"""),"")</f>
        <v/>
      </c>
      <c r="K462" t="s">
        <v>241</v>
      </c>
      <c r="L462" t="str">
        <f t="shared" si="1"/>
        <v/>
      </c>
      <c r="M462" t="s">
        <v>241</v>
      </c>
    </row>
    <row r="463">
      <c r="F463" t="s">
        <v>241</v>
      </c>
      <c r="G463" t="s">
        <v>241</v>
      </c>
      <c r="J463" t="str">
        <f>IFERROR(__xludf.DUMMYFUNCTION("""COMPUTED_VALUE"""),"")</f>
        <v/>
      </c>
      <c r="K463" t="s">
        <v>241</v>
      </c>
      <c r="L463" t="str">
        <f t="shared" si="1"/>
        <v/>
      </c>
      <c r="M463" t="s">
        <v>241</v>
      </c>
    </row>
    <row r="464">
      <c r="F464" t="s">
        <v>241</v>
      </c>
      <c r="G464" t="s">
        <v>241</v>
      </c>
      <c r="J464" t="str">
        <f>IFERROR(__xludf.DUMMYFUNCTION("""COMPUTED_VALUE"""),"")</f>
        <v/>
      </c>
      <c r="K464" t="s">
        <v>241</v>
      </c>
      <c r="L464" t="str">
        <f t="shared" si="1"/>
        <v/>
      </c>
      <c r="M464" t="s">
        <v>241</v>
      </c>
    </row>
    <row r="465">
      <c r="F465" t="s">
        <v>241</v>
      </c>
      <c r="G465" t="s">
        <v>241</v>
      </c>
      <c r="J465" t="str">
        <f>IFERROR(__xludf.DUMMYFUNCTION("""COMPUTED_VALUE"""),"")</f>
        <v/>
      </c>
      <c r="K465" t="s">
        <v>241</v>
      </c>
      <c r="L465" t="str">
        <f t="shared" si="1"/>
        <v/>
      </c>
      <c r="M465" t="s">
        <v>241</v>
      </c>
    </row>
    <row r="466">
      <c r="F466" t="s">
        <v>241</v>
      </c>
      <c r="G466" t="s">
        <v>241</v>
      </c>
      <c r="J466" t="str">
        <f>IFERROR(__xludf.DUMMYFUNCTION("""COMPUTED_VALUE"""),"")</f>
        <v/>
      </c>
      <c r="K466" t="s">
        <v>241</v>
      </c>
      <c r="L466" t="str">
        <f t="shared" si="1"/>
        <v/>
      </c>
      <c r="M466" t="s">
        <v>241</v>
      </c>
    </row>
    <row r="467">
      <c r="F467" t="s">
        <v>241</v>
      </c>
      <c r="G467" t="s">
        <v>241</v>
      </c>
      <c r="J467" t="str">
        <f>IFERROR(__xludf.DUMMYFUNCTION("""COMPUTED_VALUE"""),"")</f>
        <v/>
      </c>
      <c r="K467" t="s">
        <v>241</v>
      </c>
      <c r="L467" t="str">
        <f t="shared" si="1"/>
        <v/>
      </c>
      <c r="M467" t="s">
        <v>241</v>
      </c>
    </row>
    <row r="468">
      <c r="F468" t="s">
        <v>241</v>
      </c>
      <c r="G468" t="s">
        <v>241</v>
      </c>
      <c r="J468" t="str">
        <f>IFERROR(__xludf.DUMMYFUNCTION("""COMPUTED_VALUE"""),"")</f>
        <v/>
      </c>
      <c r="K468" t="s">
        <v>241</v>
      </c>
      <c r="L468" t="str">
        <f t="shared" si="1"/>
        <v/>
      </c>
      <c r="M468" t="s">
        <v>241</v>
      </c>
    </row>
    <row r="469">
      <c r="F469" t="s">
        <v>241</v>
      </c>
      <c r="G469" t="s">
        <v>241</v>
      </c>
      <c r="J469" t="str">
        <f>IFERROR(__xludf.DUMMYFUNCTION("""COMPUTED_VALUE"""),"")</f>
        <v/>
      </c>
      <c r="K469" t="s">
        <v>241</v>
      </c>
      <c r="L469" t="str">
        <f t="shared" si="1"/>
        <v/>
      </c>
      <c r="M469" t="s">
        <v>241</v>
      </c>
    </row>
    <row r="470">
      <c r="F470" t="s">
        <v>241</v>
      </c>
      <c r="G470" t="s">
        <v>241</v>
      </c>
      <c r="J470" t="str">
        <f>IFERROR(__xludf.DUMMYFUNCTION("""COMPUTED_VALUE"""),"")</f>
        <v/>
      </c>
      <c r="K470" t="s">
        <v>241</v>
      </c>
      <c r="L470" t="str">
        <f t="shared" si="1"/>
        <v/>
      </c>
      <c r="M470" t="s">
        <v>241</v>
      </c>
    </row>
    <row r="471">
      <c r="F471" t="s">
        <v>241</v>
      </c>
      <c r="G471" t="s">
        <v>241</v>
      </c>
      <c r="J471" t="str">
        <f>IFERROR(__xludf.DUMMYFUNCTION("""COMPUTED_VALUE"""),"")</f>
        <v/>
      </c>
      <c r="K471" t="s">
        <v>241</v>
      </c>
      <c r="L471" t="str">
        <f t="shared" si="1"/>
        <v/>
      </c>
      <c r="M471" t="s">
        <v>241</v>
      </c>
    </row>
    <row r="472">
      <c r="F472" t="s">
        <v>241</v>
      </c>
      <c r="G472" t="s">
        <v>241</v>
      </c>
      <c r="J472" t="str">
        <f>IFERROR(__xludf.DUMMYFUNCTION("""COMPUTED_VALUE"""),"")</f>
        <v/>
      </c>
      <c r="K472" t="s">
        <v>241</v>
      </c>
      <c r="L472" t="str">
        <f t="shared" si="1"/>
        <v/>
      </c>
      <c r="M472" t="s">
        <v>241</v>
      </c>
    </row>
    <row r="473">
      <c r="F473" t="s">
        <v>241</v>
      </c>
      <c r="G473" t="s">
        <v>241</v>
      </c>
      <c r="J473" t="str">
        <f>IFERROR(__xludf.DUMMYFUNCTION("""COMPUTED_VALUE"""),"")</f>
        <v/>
      </c>
      <c r="K473" t="s">
        <v>241</v>
      </c>
      <c r="L473" t="str">
        <f t="shared" si="1"/>
        <v/>
      </c>
      <c r="M473" t="s">
        <v>241</v>
      </c>
    </row>
    <row r="474">
      <c r="F474" t="s">
        <v>241</v>
      </c>
      <c r="G474" t="s">
        <v>241</v>
      </c>
      <c r="J474" t="str">
        <f>IFERROR(__xludf.DUMMYFUNCTION("""COMPUTED_VALUE"""),"")</f>
        <v/>
      </c>
      <c r="K474" t="s">
        <v>241</v>
      </c>
      <c r="L474" t="str">
        <f t="shared" si="1"/>
        <v/>
      </c>
      <c r="M474" t="s">
        <v>241</v>
      </c>
    </row>
    <row r="475">
      <c r="F475" t="s">
        <v>241</v>
      </c>
      <c r="G475" t="s">
        <v>241</v>
      </c>
      <c r="J475" t="str">
        <f>IFERROR(__xludf.DUMMYFUNCTION("""COMPUTED_VALUE"""),"")</f>
        <v/>
      </c>
      <c r="K475" t="s">
        <v>241</v>
      </c>
      <c r="L475" t="str">
        <f t="shared" si="1"/>
        <v/>
      </c>
      <c r="M475" t="s">
        <v>241</v>
      </c>
    </row>
    <row r="476">
      <c r="F476" t="s">
        <v>241</v>
      </c>
      <c r="G476" t="s">
        <v>241</v>
      </c>
      <c r="J476" t="str">
        <f>IFERROR(__xludf.DUMMYFUNCTION("""COMPUTED_VALUE"""),"")</f>
        <v/>
      </c>
      <c r="K476" t="s">
        <v>241</v>
      </c>
      <c r="L476" t="str">
        <f t="shared" si="1"/>
        <v/>
      </c>
      <c r="M476" t="s">
        <v>241</v>
      </c>
    </row>
    <row r="477">
      <c r="F477" t="s">
        <v>241</v>
      </c>
      <c r="G477" t="s">
        <v>241</v>
      </c>
      <c r="J477" t="str">
        <f>IFERROR(__xludf.DUMMYFUNCTION("""COMPUTED_VALUE"""),"")</f>
        <v/>
      </c>
      <c r="K477" t="s">
        <v>241</v>
      </c>
      <c r="L477" t="str">
        <f t="shared" si="1"/>
        <v/>
      </c>
      <c r="M477" t="s">
        <v>241</v>
      </c>
    </row>
    <row r="478">
      <c r="F478" t="s">
        <v>241</v>
      </c>
      <c r="G478" t="s">
        <v>241</v>
      </c>
      <c r="J478" t="str">
        <f>IFERROR(__xludf.DUMMYFUNCTION("""COMPUTED_VALUE"""),"")</f>
        <v/>
      </c>
      <c r="K478" t="s">
        <v>241</v>
      </c>
      <c r="L478" t="str">
        <f t="shared" si="1"/>
        <v/>
      </c>
      <c r="M478" t="s">
        <v>241</v>
      </c>
    </row>
    <row r="479">
      <c r="F479" t="s">
        <v>241</v>
      </c>
      <c r="G479" t="s">
        <v>241</v>
      </c>
      <c r="J479" t="str">
        <f>IFERROR(__xludf.DUMMYFUNCTION("""COMPUTED_VALUE"""),"")</f>
        <v/>
      </c>
      <c r="K479" t="s">
        <v>241</v>
      </c>
      <c r="L479" t="str">
        <f t="shared" si="1"/>
        <v/>
      </c>
      <c r="M479" t="s">
        <v>241</v>
      </c>
    </row>
    <row r="480">
      <c r="F480" t="s">
        <v>241</v>
      </c>
      <c r="G480" t="s">
        <v>241</v>
      </c>
      <c r="J480" t="str">
        <f>IFERROR(__xludf.DUMMYFUNCTION("""COMPUTED_VALUE"""),"")</f>
        <v/>
      </c>
      <c r="K480" t="s">
        <v>241</v>
      </c>
      <c r="L480" t="str">
        <f t="shared" si="1"/>
        <v/>
      </c>
      <c r="M480" t="s">
        <v>241</v>
      </c>
    </row>
    <row r="481">
      <c r="F481" t="s">
        <v>241</v>
      </c>
      <c r="G481" t="s">
        <v>241</v>
      </c>
      <c r="J481" t="str">
        <f>IFERROR(__xludf.DUMMYFUNCTION("""COMPUTED_VALUE"""),"")</f>
        <v/>
      </c>
      <c r="K481" t="s">
        <v>241</v>
      </c>
      <c r="L481" t="str">
        <f t="shared" si="1"/>
        <v/>
      </c>
      <c r="M481" t="s">
        <v>241</v>
      </c>
    </row>
    <row r="482">
      <c r="F482" t="s">
        <v>241</v>
      </c>
      <c r="G482" t="s">
        <v>241</v>
      </c>
      <c r="J482" t="str">
        <f>IFERROR(__xludf.DUMMYFUNCTION("""COMPUTED_VALUE"""),"")</f>
        <v/>
      </c>
      <c r="K482" t="s">
        <v>241</v>
      </c>
      <c r="L482" t="str">
        <f t="shared" si="1"/>
        <v/>
      </c>
      <c r="M482" t="s">
        <v>241</v>
      </c>
    </row>
    <row r="483">
      <c r="F483" t="s">
        <v>241</v>
      </c>
      <c r="G483" t="s">
        <v>241</v>
      </c>
      <c r="J483" t="str">
        <f>IFERROR(__xludf.DUMMYFUNCTION("""COMPUTED_VALUE"""),"")</f>
        <v/>
      </c>
      <c r="K483" t="s">
        <v>241</v>
      </c>
      <c r="L483" t="str">
        <f t="shared" si="1"/>
        <v/>
      </c>
      <c r="M483" t="s">
        <v>241</v>
      </c>
    </row>
    <row r="484">
      <c r="F484" t="s">
        <v>241</v>
      </c>
      <c r="G484" t="s">
        <v>241</v>
      </c>
      <c r="J484" t="str">
        <f>IFERROR(__xludf.DUMMYFUNCTION("""COMPUTED_VALUE"""),"")</f>
        <v/>
      </c>
      <c r="K484" t="s">
        <v>241</v>
      </c>
      <c r="L484" t="str">
        <f t="shared" si="1"/>
        <v/>
      </c>
      <c r="M484" t="s">
        <v>241</v>
      </c>
    </row>
    <row r="485">
      <c r="F485" t="s">
        <v>241</v>
      </c>
      <c r="G485" t="s">
        <v>241</v>
      </c>
      <c r="J485" t="str">
        <f>IFERROR(__xludf.DUMMYFUNCTION("""COMPUTED_VALUE"""),"")</f>
        <v/>
      </c>
      <c r="K485" t="s">
        <v>241</v>
      </c>
      <c r="L485" t="str">
        <f t="shared" si="1"/>
        <v/>
      </c>
      <c r="M485" t="s">
        <v>241</v>
      </c>
    </row>
    <row r="486">
      <c r="F486" t="s">
        <v>241</v>
      </c>
      <c r="G486" t="s">
        <v>241</v>
      </c>
      <c r="J486" t="str">
        <f>IFERROR(__xludf.DUMMYFUNCTION("""COMPUTED_VALUE"""),"")</f>
        <v/>
      </c>
      <c r="K486" t="s">
        <v>241</v>
      </c>
      <c r="L486" t="str">
        <f t="shared" si="1"/>
        <v/>
      </c>
      <c r="M486" t="s">
        <v>241</v>
      </c>
    </row>
    <row r="487">
      <c r="F487" t="s">
        <v>241</v>
      </c>
      <c r="G487" t="s">
        <v>241</v>
      </c>
      <c r="J487" t="str">
        <f>IFERROR(__xludf.DUMMYFUNCTION("""COMPUTED_VALUE"""),"")</f>
        <v/>
      </c>
      <c r="K487" t="s">
        <v>241</v>
      </c>
      <c r="L487" t="str">
        <f t="shared" si="1"/>
        <v/>
      </c>
      <c r="M487" t="s">
        <v>241</v>
      </c>
    </row>
    <row r="488">
      <c r="F488" t="s">
        <v>241</v>
      </c>
      <c r="G488" t="s">
        <v>241</v>
      </c>
      <c r="J488" t="str">
        <f>IFERROR(__xludf.DUMMYFUNCTION("""COMPUTED_VALUE"""),"")</f>
        <v/>
      </c>
      <c r="K488" t="s">
        <v>241</v>
      </c>
      <c r="L488" t="str">
        <f t="shared" si="1"/>
        <v/>
      </c>
      <c r="M488" t="s">
        <v>241</v>
      </c>
    </row>
    <row r="489">
      <c r="F489" t="s">
        <v>241</v>
      </c>
      <c r="G489" t="s">
        <v>241</v>
      </c>
      <c r="J489" t="str">
        <f>IFERROR(__xludf.DUMMYFUNCTION("""COMPUTED_VALUE"""),"")</f>
        <v/>
      </c>
      <c r="K489" t="s">
        <v>241</v>
      </c>
      <c r="L489" t="str">
        <f t="shared" si="1"/>
        <v/>
      </c>
      <c r="M489" t="s">
        <v>241</v>
      </c>
    </row>
    <row r="490">
      <c r="F490" t="s">
        <v>241</v>
      </c>
      <c r="G490" t="s">
        <v>241</v>
      </c>
      <c r="J490" t="str">
        <f>IFERROR(__xludf.DUMMYFUNCTION("""COMPUTED_VALUE"""),"")</f>
        <v/>
      </c>
      <c r="K490" t="s">
        <v>241</v>
      </c>
      <c r="L490" t="str">
        <f t="shared" si="1"/>
        <v/>
      </c>
      <c r="M490" t="s">
        <v>241</v>
      </c>
    </row>
    <row r="491">
      <c r="F491" t="s">
        <v>241</v>
      </c>
      <c r="G491" t="s">
        <v>241</v>
      </c>
      <c r="J491" t="str">
        <f>IFERROR(__xludf.DUMMYFUNCTION("""COMPUTED_VALUE"""),"")</f>
        <v/>
      </c>
      <c r="K491" t="s">
        <v>241</v>
      </c>
      <c r="L491" t="str">
        <f t="shared" si="1"/>
        <v/>
      </c>
      <c r="M491" t="s">
        <v>241</v>
      </c>
    </row>
    <row r="492">
      <c r="F492" t="s">
        <v>241</v>
      </c>
      <c r="G492" t="s">
        <v>241</v>
      </c>
      <c r="J492" t="str">
        <f>IFERROR(__xludf.DUMMYFUNCTION("""COMPUTED_VALUE"""),"")</f>
        <v/>
      </c>
      <c r="K492" t="s">
        <v>241</v>
      </c>
      <c r="L492" t="str">
        <f t="shared" si="1"/>
        <v/>
      </c>
      <c r="M492" t="s">
        <v>241</v>
      </c>
    </row>
    <row r="493">
      <c r="F493" t="s">
        <v>241</v>
      </c>
      <c r="G493" t="s">
        <v>241</v>
      </c>
      <c r="J493" t="str">
        <f>IFERROR(__xludf.DUMMYFUNCTION("""COMPUTED_VALUE"""),"")</f>
        <v/>
      </c>
      <c r="K493" t="s">
        <v>241</v>
      </c>
      <c r="L493" t="str">
        <f t="shared" si="1"/>
        <v/>
      </c>
      <c r="M493" t="s">
        <v>241</v>
      </c>
    </row>
    <row r="494">
      <c r="F494" t="s">
        <v>241</v>
      </c>
      <c r="G494" t="s">
        <v>241</v>
      </c>
      <c r="J494" t="str">
        <f>IFERROR(__xludf.DUMMYFUNCTION("""COMPUTED_VALUE"""),"")</f>
        <v/>
      </c>
      <c r="K494" t="s">
        <v>241</v>
      </c>
      <c r="L494" t="str">
        <f t="shared" si="1"/>
        <v/>
      </c>
      <c r="M494" t="s">
        <v>241</v>
      </c>
    </row>
    <row r="495">
      <c r="F495" t="s">
        <v>241</v>
      </c>
      <c r="G495" t="s">
        <v>241</v>
      </c>
      <c r="J495" t="str">
        <f>IFERROR(__xludf.DUMMYFUNCTION("""COMPUTED_VALUE"""),"")</f>
        <v/>
      </c>
      <c r="K495" t="s">
        <v>241</v>
      </c>
      <c r="L495" t="str">
        <f t="shared" si="1"/>
        <v/>
      </c>
      <c r="M495" t="s">
        <v>241</v>
      </c>
    </row>
    <row r="496">
      <c r="F496" t="s">
        <v>241</v>
      </c>
      <c r="G496" t="s">
        <v>241</v>
      </c>
      <c r="J496" t="str">
        <f>IFERROR(__xludf.DUMMYFUNCTION("""COMPUTED_VALUE"""),"")</f>
        <v/>
      </c>
      <c r="K496" t="s">
        <v>241</v>
      </c>
      <c r="L496" t="str">
        <f t="shared" si="1"/>
        <v/>
      </c>
      <c r="M496" t="s">
        <v>241</v>
      </c>
    </row>
    <row r="497">
      <c r="F497" t="s">
        <v>241</v>
      </c>
      <c r="G497" t="s">
        <v>241</v>
      </c>
      <c r="J497" t="str">
        <f>IFERROR(__xludf.DUMMYFUNCTION("""COMPUTED_VALUE"""),"")</f>
        <v/>
      </c>
      <c r="K497" t="s">
        <v>241</v>
      </c>
      <c r="L497" t="str">
        <f t="shared" si="1"/>
        <v/>
      </c>
      <c r="M497" t="s">
        <v>241</v>
      </c>
    </row>
    <row r="498">
      <c r="F498" t="s">
        <v>241</v>
      </c>
      <c r="G498" t="s">
        <v>241</v>
      </c>
      <c r="J498" t="str">
        <f>IFERROR(__xludf.DUMMYFUNCTION("""COMPUTED_VALUE"""),"")</f>
        <v/>
      </c>
      <c r="K498" t="s">
        <v>241</v>
      </c>
      <c r="L498" t="str">
        <f t="shared" si="1"/>
        <v/>
      </c>
      <c r="M498" t="s">
        <v>241</v>
      </c>
    </row>
    <row r="499">
      <c r="F499" t="s">
        <v>241</v>
      </c>
      <c r="G499" t="s">
        <v>241</v>
      </c>
      <c r="J499" t="str">
        <f>IFERROR(__xludf.DUMMYFUNCTION("""COMPUTED_VALUE"""),"")</f>
        <v/>
      </c>
      <c r="K499" t="s">
        <v>241</v>
      </c>
      <c r="L499" t="str">
        <f t="shared" si="1"/>
        <v/>
      </c>
      <c r="M499" t="s">
        <v>241</v>
      </c>
    </row>
    <row r="500">
      <c r="F500" t="s">
        <v>241</v>
      </c>
      <c r="G500" t="s">
        <v>241</v>
      </c>
      <c r="J500" t="str">
        <f>IFERROR(__xludf.DUMMYFUNCTION("""COMPUTED_VALUE"""),"")</f>
        <v/>
      </c>
      <c r="K500" t="s">
        <v>241</v>
      </c>
      <c r="L500" t="str">
        <f t="shared" si="1"/>
        <v/>
      </c>
      <c r="M500" t="s">
        <v>241</v>
      </c>
    </row>
    <row r="501">
      <c r="F501" t="s">
        <v>241</v>
      </c>
      <c r="G501" t="s">
        <v>241</v>
      </c>
      <c r="J501" t="str">
        <f>IFERROR(__xludf.DUMMYFUNCTION("""COMPUTED_VALUE"""),"")</f>
        <v/>
      </c>
      <c r="K501" t="s">
        <v>241</v>
      </c>
      <c r="L501" t="str">
        <f t="shared" si="1"/>
        <v/>
      </c>
      <c r="M501" t="s">
        <v>241</v>
      </c>
    </row>
    <row r="502">
      <c r="F502" t="s">
        <v>241</v>
      </c>
      <c r="G502" t="s">
        <v>241</v>
      </c>
      <c r="J502" t="str">
        <f>IFERROR(__xludf.DUMMYFUNCTION("""COMPUTED_VALUE"""),"")</f>
        <v/>
      </c>
      <c r="K502" t="s">
        <v>241</v>
      </c>
      <c r="L502" t="str">
        <f t="shared" si="1"/>
        <v/>
      </c>
      <c r="M502" t="s">
        <v>241</v>
      </c>
    </row>
    <row r="503">
      <c r="F503" t="s">
        <v>241</v>
      </c>
      <c r="G503" t="s">
        <v>241</v>
      </c>
      <c r="J503" t="str">
        <f>IFERROR(__xludf.DUMMYFUNCTION("""COMPUTED_VALUE"""),"")</f>
        <v/>
      </c>
      <c r="K503" t="s">
        <v>241</v>
      </c>
      <c r="L503" t="str">
        <f t="shared" si="1"/>
        <v/>
      </c>
      <c r="M503" t="s">
        <v>241</v>
      </c>
    </row>
    <row r="504">
      <c r="F504" t="s">
        <v>241</v>
      </c>
      <c r="G504" t="s">
        <v>241</v>
      </c>
      <c r="J504" t="str">
        <f>IFERROR(__xludf.DUMMYFUNCTION("""COMPUTED_VALUE"""),"")</f>
        <v/>
      </c>
      <c r="K504" t="s">
        <v>241</v>
      </c>
      <c r="L504" t="str">
        <f t="shared" si="1"/>
        <v/>
      </c>
      <c r="M504" t="s">
        <v>241</v>
      </c>
    </row>
    <row r="505">
      <c r="F505" t="s">
        <v>241</v>
      </c>
      <c r="G505" t="s">
        <v>241</v>
      </c>
      <c r="J505" t="str">
        <f>IFERROR(__xludf.DUMMYFUNCTION("""COMPUTED_VALUE"""),"")</f>
        <v/>
      </c>
      <c r="K505" t="s">
        <v>241</v>
      </c>
      <c r="L505" t="str">
        <f t="shared" si="1"/>
        <v/>
      </c>
      <c r="M505" t="s">
        <v>241</v>
      </c>
    </row>
    <row r="506">
      <c r="F506" t="s">
        <v>241</v>
      </c>
      <c r="G506" t="s">
        <v>241</v>
      </c>
      <c r="J506" t="str">
        <f>IFERROR(__xludf.DUMMYFUNCTION("""COMPUTED_VALUE"""),"")</f>
        <v/>
      </c>
      <c r="K506" t="s">
        <v>241</v>
      </c>
      <c r="L506" t="str">
        <f t="shared" si="1"/>
        <v/>
      </c>
      <c r="M506" t="s">
        <v>241</v>
      </c>
    </row>
    <row r="507">
      <c r="F507" t="s">
        <v>241</v>
      </c>
      <c r="G507" t="s">
        <v>241</v>
      </c>
      <c r="J507" t="str">
        <f>IFERROR(__xludf.DUMMYFUNCTION("""COMPUTED_VALUE"""),"")</f>
        <v/>
      </c>
      <c r="K507" t="s">
        <v>241</v>
      </c>
      <c r="L507" t="str">
        <f t="shared" si="1"/>
        <v/>
      </c>
      <c r="M507" t="s">
        <v>241</v>
      </c>
    </row>
    <row r="508">
      <c r="F508" t="s">
        <v>241</v>
      </c>
      <c r="G508" t="s">
        <v>241</v>
      </c>
      <c r="J508" t="str">
        <f>IFERROR(__xludf.DUMMYFUNCTION("""COMPUTED_VALUE"""),"")</f>
        <v/>
      </c>
      <c r="K508" t="s">
        <v>241</v>
      </c>
      <c r="L508" t="str">
        <f t="shared" si="1"/>
        <v/>
      </c>
      <c r="M508" t="s">
        <v>241</v>
      </c>
    </row>
    <row r="509">
      <c r="F509" t="s">
        <v>241</v>
      </c>
      <c r="G509" t="s">
        <v>241</v>
      </c>
      <c r="J509" t="str">
        <f>IFERROR(__xludf.DUMMYFUNCTION("""COMPUTED_VALUE"""),"")</f>
        <v/>
      </c>
      <c r="K509" t="s">
        <v>241</v>
      </c>
      <c r="L509" t="str">
        <f t="shared" si="1"/>
        <v/>
      </c>
      <c r="M509" t="s">
        <v>241</v>
      </c>
    </row>
    <row r="510">
      <c r="F510" t="s">
        <v>241</v>
      </c>
      <c r="G510" t="s">
        <v>241</v>
      </c>
      <c r="J510" t="str">
        <f>IFERROR(__xludf.DUMMYFUNCTION("""COMPUTED_VALUE"""),"")</f>
        <v/>
      </c>
      <c r="K510" t="s">
        <v>241</v>
      </c>
      <c r="L510" t="str">
        <f t="shared" si="1"/>
        <v/>
      </c>
      <c r="M510" t="s">
        <v>241</v>
      </c>
    </row>
    <row r="511">
      <c r="F511" t="s">
        <v>241</v>
      </c>
      <c r="G511" t="s">
        <v>241</v>
      </c>
      <c r="J511" t="str">
        <f>IFERROR(__xludf.DUMMYFUNCTION("""COMPUTED_VALUE"""),"")</f>
        <v/>
      </c>
      <c r="K511" t="s">
        <v>241</v>
      </c>
      <c r="L511" t="str">
        <f t="shared" si="1"/>
        <v/>
      </c>
      <c r="M511" t="s">
        <v>241</v>
      </c>
    </row>
    <row r="512">
      <c r="F512" t="s">
        <v>241</v>
      </c>
      <c r="G512" t="s">
        <v>241</v>
      </c>
      <c r="J512" t="str">
        <f>IFERROR(__xludf.DUMMYFUNCTION("""COMPUTED_VALUE"""),"")</f>
        <v/>
      </c>
      <c r="K512" t="s">
        <v>241</v>
      </c>
      <c r="L512" t="str">
        <f t="shared" si="1"/>
        <v/>
      </c>
      <c r="M512" t="s">
        <v>241</v>
      </c>
    </row>
    <row r="513">
      <c r="F513" t="s">
        <v>241</v>
      </c>
      <c r="G513" t="s">
        <v>241</v>
      </c>
      <c r="J513" t="str">
        <f>IFERROR(__xludf.DUMMYFUNCTION("""COMPUTED_VALUE"""),"")</f>
        <v/>
      </c>
      <c r="K513" t="s">
        <v>241</v>
      </c>
      <c r="L513" t="str">
        <f t="shared" si="1"/>
        <v/>
      </c>
      <c r="M513" t="s">
        <v>241</v>
      </c>
    </row>
    <row r="514">
      <c r="F514" t="s">
        <v>241</v>
      </c>
      <c r="G514" t="s">
        <v>241</v>
      </c>
      <c r="J514" t="str">
        <f>IFERROR(__xludf.DUMMYFUNCTION("""COMPUTED_VALUE"""),"")</f>
        <v/>
      </c>
      <c r="K514" t="s">
        <v>241</v>
      </c>
      <c r="L514" t="str">
        <f t="shared" si="1"/>
        <v/>
      </c>
      <c r="M514" t="s">
        <v>241</v>
      </c>
    </row>
    <row r="515">
      <c r="F515" t="s">
        <v>241</v>
      </c>
      <c r="G515" t="s">
        <v>241</v>
      </c>
      <c r="J515" t="str">
        <f>IFERROR(__xludf.DUMMYFUNCTION("""COMPUTED_VALUE"""),"")</f>
        <v/>
      </c>
      <c r="K515" t="s">
        <v>241</v>
      </c>
      <c r="L515" t="str">
        <f t="shared" si="1"/>
        <v/>
      </c>
      <c r="M515" t="s">
        <v>241</v>
      </c>
    </row>
    <row r="516">
      <c r="F516" t="s">
        <v>241</v>
      </c>
      <c r="G516" t="s">
        <v>241</v>
      </c>
      <c r="J516" t="str">
        <f>IFERROR(__xludf.DUMMYFUNCTION("""COMPUTED_VALUE"""),"")</f>
        <v/>
      </c>
      <c r="K516" t="s">
        <v>241</v>
      </c>
      <c r="L516" t="str">
        <f t="shared" si="1"/>
        <v/>
      </c>
      <c r="M516" t="s">
        <v>241</v>
      </c>
    </row>
    <row r="517">
      <c r="F517" t="s">
        <v>241</v>
      </c>
      <c r="G517" t="s">
        <v>241</v>
      </c>
      <c r="J517" t="str">
        <f>IFERROR(__xludf.DUMMYFUNCTION("""COMPUTED_VALUE"""),"")</f>
        <v/>
      </c>
      <c r="K517" t="s">
        <v>241</v>
      </c>
      <c r="L517" t="str">
        <f t="shared" si="1"/>
        <v/>
      </c>
      <c r="M517" t="s">
        <v>241</v>
      </c>
    </row>
    <row r="518">
      <c r="F518" t="s">
        <v>241</v>
      </c>
      <c r="G518" t="s">
        <v>241</v>
      </c>
      <c r="J518" t="str">
        <f>IFERROR(__xludf.DUMMYFUNCTION("""COMPUTED_VALUE"""),"")</f>
        <v/>
      </c>
      <c r="K518" t="s">
        <v>241</v>
      </c>
      <c r="L518" t="str">
        <f t="shared" si="1"/>
        <v/>
      </c>
      <c r="M518" t="s">
        <v>241</v>
      </c>
    </row>
    <row r="519">
      <c r="F519" t="s">
        <v>241</v>
      </c>
      <c r="G519" t="s">
        <v>241</v>
      </c>
      <c r="J519" t="str">
        <f>IFERROR(__xludf.DUMMYFUNCTION("""COMPUTED_VALUE"""),"")</f>
        <v/>
      </c>
      <c r="K519" t="s">
        <v>241</v>
      </c>
      <c r="L519" t="str">
        <f t="shared" si="1"/>
        <v/>
      </c>
      <c r="M519" t="s">
        <v>241</v>
      </c>
    </row>
    <row r="520">
      <c r="F520" t="s">
        <v>241</v>
      </c>
      <c r="G520" t="s">
        <v>241</v>
      </c>
      <c r="J520" t="str">
        <f>IFERROR(__xludf.DUMMYFUNCTION("""COMPUTED_VALUE"""),"")</f>
        <v/>
      </c>
      <c r="K520" t="s">
        <v>241</v>
      </c>
      <c r="L520" t="str">
        <f t="shared" si="1"/>
        <v/>
      </c>
      <c r="M520" t="s">
        <v>241</v>
      </c>
    </row>
    <row r="521">
      <c r="F521" t="s">
        <v>241</v>
      </c>
      <c r="G521" t="s">
        <v>241</v>
      </c>
      <c r="J521" t="str">
        <f>IFERROR(__xludf.DUMMYFUNCTION("""COMPUTED_VALUE"""),"")</f>
        <v/>
      </c>
      <c r="K521" t="s">
        <v>241</v>
      </c>
      <c r="L521" t="str">
        <f t="shared" si="1"/>
        <v/>
      </c>
      <c r="M521" t="s">
        <v>241</v>
      </c>
    </row>
    <row r="522">
      <c r="F522" t="s">
        <v>241</v>
      </c>
      <c r="G522" t="s">
        <v>241</v>
      </c>
      <c r="J522" t="str">
        <f>IFERROR(__xludf.DUMMYFUNCTION("""COMPUTED_VALUE"""),"")</f>
        <v/>
      </c>
      <c r="K522" t="s">
        <v>241</v>
      </c>
      <c r="L522" t="str">
        <f t="shared" si="1"/>
        <v/>
      </c>
      <c r="M522" t="s">
        <v>241</v>
      </c>
    </row>
    <row r="523">
      <c r="F523" t="s">
        <v>241</v>
      </c>
      <c r="G523" t="s">
        <v>241</v>
      </c>
      <c r="J523" t="str">
        <f>IFERROR(__xludf.DUMMYFUNCTION("""COMPUTED_VALUE"""),"")</f>
        <v/>
      </c>
      <c r="K523" t="s">
        <v>241</v>
      </c>
      <c r="L523" t="str">
        <f t="shared" si="1"/>
        <v/>
      </c>
      <c r="M523" t="s">
        <v>241</v>
      </c>
    </row>
    <row r="524">
      <c r="F524" t="s">
        <v>241</v>
      </c>
      <c r="G524" t="s">
        <v>241</v>
      </c>
      <c r="J524" t="str">
        <f>IFERROR(__xludf.DUMMYFUNCTION("""COMPUTED_VALUE"""),"")</f>
        <v/>
      </c>
      <c r="K524" t="s">
        <v>241</v>
      </c>
      <c r="L524" t="str">
        <f t="shared" si="1"/>
        <v/>
      </c>
      <c r="M524" t="s">
        <v>241</v>
      </c>
    </row>
    <row r="525">
      <c r="F525" t="s">
        <v>241</v>
      </c>
      <c r="G525" t="s">
        <v>241</v>
      </c>
      <c r="J525" t="str">
        <f>IFERROR(__xludf.DUMMYFUNCTION("""COMPUTED_VALUE"""),"")</f>
        <v/>
      </c>
      <c r="K525" t="s">
        <v>241</v>
      </c>
      <c r="L525" t="str">
        <f t="shared" si="1"/>
        <v/>
      </c>
      <c r="M525" t="s">
        <v>241</v>
      </c>
    </row>
    <row r="526">
      <c r="F526" t="s">
        <v>241</v>
      </c>
      <c r="G526" t="s">
        <v>241</v>
      </c>
      <c r="J526" t="str">
        <f>IFERROR(__xludf.DUMMYFUNCTION("""COMPUTED_VALUE"""),"")</f>
        <v/>
      </c>
      <c r="K526" t="s">
        <v>241</v>
      </c>
      <c r="L526" t="str">
        <f t="shared" si="1"/>
        <v/>
      </c>
      <c r="M526" t="s">
        <v>241</v>
      </c>
    </row>
    <row r="527">
      <c r="F527" t="s">
        <v>241</v>
      </c>
      <c r="G527" t="s">
        <v>241</v>
      </c>
      <c r="J527" t="str">
        <f>IFERROR(__xludf.DUMMYFUNCTION("""COMPUTED_VALUE"""),"")</f>
        <v/>
      </c>
      <c r="K527" t="s">
        <v>241</v>
      </c>
      <c r="L527" t="str">
        <f t="shared" si="1"/>
        <v/>
      </c>
      <c r="M527" t="s">
        <v>241</v>
      </c>
    </row>
    <row r="528">
      <c r="F528" t="s">
        <v>241</v>
      </c>
      <c r="G528" t="s">
        <v>241</v>
      </c>
      <c r="J528" t="str">
        <f>IFERROR(__xludf.DUMMYFUNCTION("""COMPUTED_VALUE"""),"")</f>
        <v/>
      </c>
      <c r="K528" t="s">
        <v>241</v>
      </c>
      <c r="L528" t="str">
        <f t="shared" si="1"/>
        <v/>
      </c>
      <c r="M528" t="s">
        <v>241</v>
      </c>
    </row>
    <row r="529">
      <c r="F529" t="s">
        <v>241</v>
      </c>
      <c r="G529" t="s">
        <v>241</v>
      </c>
      <c r="J529" t="str">
        <f>IFERROR(__xludf.DUMMYFUNCTION("""COMPUTED_VALUE"""),"")</f>
        <v/>
      </c>
      <c r="K529" t="s">
        <v>241</v>
      </c>
      <c r="L529" t="str">
        <f t="shared" si="1"/>
        <v/>
      </c>
      <c r="M529" t="s">
        <v>241</v>
      </c>
    </row>
    <row r="530">
      <c r="F530" t="s">
        <v>241</v>
      </c>
      <c r="G530" t="s">
        <v>241</v>
      </c>
      <c r="J530" t="str">
        <f>IFERROR(__xludf.DUMMYFUNCTION("""COMPUTED_VALUE"""),"")</f>
        <v/>
      </c>
      <c r="K530" t="s">
        <v>241</v>
      </c>
      <c r="L530" t="str">
        <f t="shared" si="1"/>
        <v/>
      </c>
      <c r="M530" t="s">
        <v>241</v>
      </c>
    </row>
    <row r="531">
      <c r="F531" t="s">
        <v>241</v>
      </c>
      <c r="G531" t="s">
        <v>241</v>
      </c>
      <c r="J531" t="str">
        <f>IFERROR(__xludf.DUMMYFUNCTION("""COMPUTED_VALUE"""),"")</f>
        <v/>
      </c>
      <c r="K531" t="s">
        <v>241</v>
      </c>
      <c r="L531" t="str">
        <f t="shared" si="1"/>
        <v/>
      </c>
      <c r="M531" t="s">
        <v>241</v>
      </c>
    </row>
    <row r="532">
      <c r="F532" t="s">
        <v>241</v>
      </c>
      <c r="G532" t="s">
        <v>241</v>
      </c>
      <c r="J532" t="str">
        <f>IFERROR(__xludf.DUMMYFUNCTION("""COMPUTED_VALUE"""),"")</f>
        <v/>
      </c>
      <c r="K532" t="s">
        <v>241</v>
      </c>
      <c r="L532" t="str">
        <f t="shared" si="1"/>
        <v/>
      </c>
      <c r="M532" t="s">
        <v>241</v>
      </c>
    </row>
    <row r="533">
      <c r="F533" t="s">
        <v>241</v>
      </c>
      <c r="G533" t="s">
        <v>241</v>
      </c>
      <c r="J533" t="str">
        <f>IFERROR(__xludf.DUMMYFUNCTION("""COMPUTED_VALUE"""),"")</f>
        <v/>
      </c>
      <c r="K533" t="s">
        <v>241</v>
      </c>
      <c r="L533" t="str">
        <f t="shared" si="1"/>
        <v/>
      </c>
      <c r="M533" t="s">
        <v>241</v>
      </c>
    </row>
    <row r="534">
      <c r="F534" t="s">
        <v>241</v>
      </c>
      <c r="G534" t="s">
        <v>241</v>
      </c>
      <c r="J534" t="str">
        <f>IFERROR(__xludf.DUMMYFUNCTION("""COMPUTED_VALUE"""),"")</f>
        <v/>
      </c>
      <c r="K534" t="s">
        <v>241</v>
      </c>
      <c r="L534" t="str">
        <f t="shared" si="1"/>
        <v/>
      </c>
      <c r="M534" t="s">
        <v>241</v>
      </c>
    </row>
    <row r="535">
      <c r="F535" t="s">
        <v>241</v>
      </c>
      <c r="G535" t="s">
        <v>241</v>
      </c>
      <c r="J535" t="str">
        <f>IFERROR(__xludf.DUMMYFUNCTION("""COMPUTED_VALUE"""),"")</f>
        <v/>
      </c>
      <c r="K535" t="s">
        <v>241</v>
      </c>
      <c r="L535" t="str">
        <f t="shared" si="1"/>
        <v/>
      </c>
      <c r="M535" t="s">
        <v>241</v>
      </c>
    </row>
    <row r="536">
      <c r="F536" t="s">
        <v>241</v>
      </c>
      <c r="G536" t="s">
        <v>241</v>
      </c>
      <c r="J536" t="str">
        <f>IFERROR(__xludf.DUMMYFUNCTION("""COMPUTED_VALUE"""),"")</f>
        <v/>
      </c>
      <c r="K536" t="s">
        <v>241</v>
      </c>
      <c r="L536" t="str">
        <f t="shared" si="1"/>
        <v/>
      </c>
      <c r="M536" t="s">
        <v>241</v>
      </c>
    </row>
    <row r="537">
      <c r="F537" t="s">
        <v>241</v>
      </c>
      <c r="G537" t="s">
        <v>241</v>
      </c>
      <c r="J537" t="str">
        <f>IFERROR(__xludf.DUMMYFUNCTION("""COMPUTED_VALUE"""),"")</f>
        <v/>
      </c>
      <c r="K537" t="s">
        <v>241</v>
      </c>
      <c r="L537" t="str">
        <f t="shared" si="1"/>
        <v/>
      </c>
      <c r="M537" t="s">
        <v>241</v>
      </c>
    </row>
    <row r="538">
      <c r="F538" t="s">
        <v>241</v>
      </c>
      <c r="G538" t="s">
        <v>241</v>
      </c>
      <c r="J538" t="str">
        <f>IFERROR(__xludf.DUMMYFUNCTION("""COMPUTED_VALUE"""),"")</f>
        <v/>
      </c>
      <c r="K538" t="s">
        <v>241</v>
      </c>
      <c r="L538" t="str">
        <f t="shared" si="1"/>
        <v/>
      </c>
      <c r="M538" t="s">
        <v>241</v>
      </c>
    </row>
    <row r="539">
      <c r="F539" t="s">
        <v>241</v>
      </c>
      <c r="G539" t="s">
        <v>241</v>
      </c>
      <c r="J539" t="str">
        <f>IFERROR(__xludf.DUMMYFUNCTION("""COMPUTED_VALUE"""),"")</f>
        <v/>
      </c>
      <c r="K539" t="s">
        <v>241</v>
      </c>
      <c r="L539" t="str">
        <f t="shared" si="1"/>
        <v/>
      </c>
      <c r="M539" t="s">
        <v>241</v>
      </c>
    </row>
    <row r="540">
      <c r="F540" t="s">
        <v>241</v>
      </c>
      <c r="G540" t="s">
        <v>241</v>
      </c>
      <c r="J540" t="str">
        <f>IFERROR(__xludf.DUMMYFUNCTION("""COMPUTED_VALUE"""),"")</f>
        <v/>
      </c>
      <c r="K540" t="s">
        <v>241</v>
      </c>
      <c r="L540" t="str">
        <f t="shared" si="1"/>
        <v/>
      </c>
      <c r="M540" t="s">
        <v>241</v>
      </c>
    </row>
    <row r="541">
      <c r="F541" t="s">
        <v>241</v>
      </c>
      <c r="G541" t="s">
        <v>241</v>
      </c>
      <c r="J541" t="str">
        <f>IFERROR(__xludf.DUMMYFUNCTION("""COMPUTED_VALUE"""),"")</f>
        <v/>
      </c>
      <c r="K541" t="s">
        <v>241</v>
      </c>
      <c r="L541" t="str">
        <f t="shared" si="1"/>
        <v/>
      </c>
      <c r="M541" t="s">
        <v>241</v>
      </c>
    </row>
    <row r="542">
      <c r="F542" t="s">
        <v>241</v>
      </c>
      <c r="G542" t="s">
        <v>241</v>
      </c>
      <c r="J542" t="str">
        <f>IFERROR(__xludf.DUMMYFUNCTION("""COMPUTED_VALUE"""),"")</f>
        <v/>
      </c>
      <c r="K542" t="s">
        <v>241</v>
      </c>
      <c r="L542" t="str">
        <f t="shared" si="1"/>
        <v/>
      </c>
      <c r="M542" t="s">
        <v>241</v>
      </c>
    </row>
    <row r="543">
      <c r="F543" t="s">
        <v>241</v>
      </c>
      <c r="G543" t="s">
        <v>241</v>
      </c>
      <c r="J543" t="str">
        <f>IFERROR(__xludf.DUMMYFUNCTION("""COMPUTED_VALUE"""),"")</f>
        <v/>
      </c>
      <c r="K543" t="s">
        <v>241</v>
      </c>
      <c r="L543" t="str">
        <f t="shared" si="1"/>
        <v/>
      </c>
      <c r="M543" t="s">
        <v>241</v>
      </c>
    </row>
    <row r="544">
      <c r="F544" t="s">
        <v>241</v>
      </c>
      <c r="G544" t="s">
        <v>241</v>
      </c>
      <c r="J544" t="str">
        <f>IFERROR(__xludf.DUMMYFUNCTION("""COMPUTED_VALUE"""),"")</f>
        <v/>
      </c>
      <c r="K544" t="s">
        <v>241</v>
      </c>
      <c r="L544" t="str">
        <f t="shared" si="1"/>
        <v/>
      </c>
      <c r="M544" t="s">
        <v>241</v>
      </c>
    </row>
    <row r="545">
      <c r="F545" t="s">
        <v>241</v>
      </c>
      <c r="G545" t="s">
        <v>241</v>
      </c>
      <c r="J545" t="str">
        <f>IFERROR(__xludf.DUMMYFUNCTION("""COMPUTED_VALUE"""),"")</f>
        <v/>
      </c>
      <c r="K545" t="s">
        <v>241</v>
      </c>
      <c r="L545" t="str">
        <f t="shared" si="1"/>
        <v/>
      </c>
      <c r="M545" t="s">
        <v>241</v>
      </c>
    </row>
    <row r="546">
      <c r="F546" t="s">
        <v>241</v>
      </c>
      <c r="G546" t="s">
        <v>241</v>
      </c>
      <c r="J546" t="str">
        <f>IFERROR(__xludf.DUMMYFUNCTION("""COMPUTED_VALUE"""),"")</f>
        <v/>
      </c>
      <c r="K546" t="s">
        <v>241</v>
      </c>
      <c r="L546" t="str">
        <f t="shared" si="1"/>
        <v/>
      </c>
      <c r="M546" t="s">
        <v>241</v>
      </c>
    </row>
    <row r="547">
      <c r="F547" t="s">
        <v>241</v>
      </c>
      <c r="G547" t="s">
        <v>241</v>
      </c>
      <c r="J547" t="str">
        <f>IFERROR(__xludf.DUMMYFUNCTION("""COMPUTED_VALUE"""),"")</f>
        <v/>
      </c>
      <c r="K547" t="s">
        <v>241</v>
      </c>
      <c r="L547" t="str">
        <f t="shared" si="1"/>
        <v/>
      </c>
      <c r="M547" t="s">
        <v>241</v>
      </c>
    </row>
    <row r="548">
      <c r="F548" t="s">
        <v>241</v>
      </c>
      <c r="G548" t="s">
        <v>241</v>
      </c>
      <c r="J548" t="str">
        <f>IFERROR(__xludf.DUMMYFUNCTION("""COMPUTED_VALUE"""),"")</f>
        <v/>
      </c>
      <c r="K548" t="s">
        <v>241</v>
      </c>
      <c r="L548" t="str">
        <f t="shared" si="1"/>
        <v/>
      </c>
      <c r="M548" t="s">
        <v>241</v>
      </c>
    </row>
    <row r="549">
      <c r="F549" t="s">
        <v>241</v>
      </c>
      <c r="G549" t="s">
        <v>241</v>
      </c>
      <c r="J549" t="str">
        <f>IFERROR(__xludf.DUMMYFUNCTION("""COMPUTED_VALUE"""),"")</f>
        <v/>
      </c>
      <c r="K549" t="s">
        <v>241</v>
      </c>
      <c r="L549" t="str">
        <f t="shared" si="1"/>
        <v/>
      </c>
      <c r="M549" t="s">
        <v>241</v>
      </c>
    </row>
    <row r="550">
      <c r="F550" t="s">
        <v>241</v>
      </c>
      <c r="G550" t="s">
        <v>241</v>
      </c>
      <c r="J550" t="str">
        <f>IFERROR(__xludf.DUMMYFUNCTION("""COMPUTED_VALUE"""),"")</f>
        <v/>
      </c>
      <c r="K550" t="s">
        <v>241</v>
      </c>
      <c r="L550" t="str">
        <f t="shared" si="1"/>
        <v/>
      </c>
      <c r="M550" t="s">
        <v>241</v>
      </c>
    </row>
    <row r="551">
      <c r="F551" t="s">
        <v>241</v>
      </c>
      <c r="G551" t="s">
        <v>241</v>
      </c>
      <c r="J551" t="str">
        <f>IFERROR(__xludf.DUMMYFUNCTION("""COMPUTED_VALUE"""),"")</f>
        <v/>
      </c>
      <c r="K551" t="s">
        <v>241</v>
      </c>
      <c r="L551" t="str">
        <f t="shared" si="1"/>
        <v/>
      </c>
      <c r="M551" t="s">
        <v>241</v>
      </c>
    </row>
    <row r="552">
      <c r="F552" t="s">
        <v>241</v>
      </c>
      <c r="G552" t="s">
        <v>241</v>
      </c>
      <c r="J552" t="str">
        <f>IFERROR(__xludf.DUMMYFUNCTION("""COMPUTED_VALUE"""),"")</f>
        <v/>
      </c>
      <c r="K552" t="s">
        <v>241</v>
      </c>
      <c r="L552" t="str">
        <f t="shared" si="1"/>
        <v/>
      </c>
      <c r="M552" t="s">
        <v>241</v>
      </c>
    </row>
    <row r="553">
      <c r="F553" t="s">
        <v>241</v>
      </c>
      <c r="G553" t="s">
        <v>241</v>
      </c>
      <c r="J553" t="str">
        <f>IFERROR(__xludf.DUMMYFUNCTION("""COMPUTED_VALUE"""),"")</f>
        <v/>
      </c>
      <c r="K553" t="s">
        <v>241</v>
      </c>
      <c r="L553" t="str">
        <f t="shared" si="1"/>
        <v/>
      </c>
      <c r="M553" t="s">
        <v>241</v>
      </c>
    </row>
    <row r="554">
      <c r="F554" t="s">
        <v>241</v>
      </c>
      <c r="G554" t="s">
        <v>241</v>
      </c>
      <c r="J554" t="str">
        <f>IFERROR(__xludf.DUMMYFUNCTION("""COMPUTED_VALUE"""),"")</f>
        <v/>
      </c>
      <c r="K554" t="s">
        <v>241</v>
      </c>
      <c r="L554" t="str">
        <f t="shared" si="1"/>
        <v/>
      </c>
      <c r="M554" t="s">
        <v>241</v>
      </c>
    </row>
    <row r="555">
      <c r="F555" t="s">
        <v>241</v>
      </c>
      <c r="G555" t="s">
        <v>241</v>
      </c>
      <c r="J555" t="str">
        <f>IFERROR(__xludf.DUMMYFUNCTION("""COMPUTED_VALUE"""),"")</f>
        <v/>
      </c>
      <c r="K555" t="s">
        <v>241</v>
      </c>
      <c r="L555" t="str">
        <f t="shared" si="1"/>
        <v/>
      </c>
      <c r="M555" t="s">
        <v>241</v>
      </c>
    </row>
    <row r="556">
      <c r="F556" t="s">
        <v>241</v>
      </c>
      <c r="G556" t="s">
        <v>241</v>
      </c>
      <c r="J556" t="str">
        <f>IFERROR(__xludf.DUMMYFUNCTION("""COMPUTED_VALUE"""),"")</f>
        <v/>
      </c>
      <c r="K556" t="s">
        <v>241</v>
      </c>
      <c r="L556" t="str">
        <f t="shared" si="1"/>
        <v/>
      </c>
      <c r="M556" t="s">
        <v>241</v>
      </c>
    </row>
    <row r="557">
      <c r="F557" t="s">
        <v>241</v>
      </c>
      <c r="G557" t="s">
        <v>241</v>
      </c>
      <c r="J557" t="str">
        <f>IFERROR(__xludf.DUMMYFUNCTION("""COMPUTED_VALUE"""),"")</f>
        <v/>
      </c>
      <c r="K557" t="s">
        <v>241</v>
      </c>
      <c r="L557" t="str">
        <f t="shared" si="1"/>
        <v/>
      </c>
      <c r="M557" t="s">
        <v>241</v>
      </c>
    </row>
    <row r="558">
      <c r="F558" t="s">
        <v>241</v>
      </c>
      <c r="G558" t="s">
        <v>241</v>
      </c>
      <c r="J558" t="str">
        <f>IFERROR(__xludf.DUMMYFUNCTION("""COMPUTED_VALUE"""),"")</f>
        <v/>
      </c>
      <c r="K558" t="s">
        <v>241</v>
      </c>
      <c r="L558" t="str">
        <f t="shared" si="1"/>
        <v/>
      </c>
      <c r="M558" t="s">
        <v>241</v>
      </c>
    </row>
    <row r="559">
      <c r="F559" t="s">
        <v>241</v>
      </c>
      <c r="G559" t="s">
        <v>241</v>
      </c>
      <c r="J559" t="str">
        <f>IFERROR(__xludf.DUMMYFUNCTION("""COMPUTED_VALUE"""),"")</f>
        <v/>
      </c>
      <c r="K559" t="s">
        <v>241</v>
      </c>
      <c r="L559" t="str">
        <f t="shared" si="1"/>
        <v/>
      </c>
      <c r="M559" t="s">
        <v>241</v>
      </c>
    </row>
    <row r="560">
      <c r="F560" t="s">
        <v>241</v>
      </c>
      <c r="G560" t="s">
        <v>241</v>
      </c>
      <c r="J560" t="str">
        <f>IFERROR(__xludf.DUMMYFUNCTION("""COMPUTED_VALUE"""),"")</f>
        <v/>
      </c>
      <c r="K560" t="s">
        <v>241</v>
      </c>
      <c r="L560" t="str">
        <f t="shared" si="1"/>
        <v/>
      </c>
      <c r="M560" t="s">
        <v>241</v>
      </c>
    </row>
    <row r="561">
      <c r="F561" t="s">
        <v>241</v>
      </c>
      <c r="G561" t="s">
        <v>241</v>
      </c>
      <c r="J561" t="str">
        <f>IFERROR(__xludf.DUMMYFUNCTION("""COMPUTED_VALUE"""),"")</f>
        <v/>
      </c>
      <c r="K561" t="s">
        <v>241</v>
      </c>
      <c r="L561" t="str">
        <f t="shared" si="1"/>
        <v/>
      </c>
      <c r="M561" t="s">
        <v>241</v>
      </c>
    </row>
    <row r="562">
      <c r="F562" t="s">
        <v>241</v>
      </c>
      <c r="G562" t="s">
        <v>241</v>
      </c>
      <c r="J562" t="str">
        <f>IFERROR(__xludf.DUMMYFUNCTION("""COMPUTED_VALUE"""),"")</f>
        <v/>
      </c>
      <c r="K562" t="s">
        <v>241</v>
      </c>
      <c r="L562" t="str">
        <f t="shared" si="1"/>
        <v/>
      </c>
      <c r="M562" t="s">
        <v>241</v>
      </c>
    </row>
    <row r="563">
      <c r="F563" t="s">
        <v>241</v>
      </c>
      <c r="G563" t="s">
        <v>241</v>
      </c>
      <c r="J563" t="str">
        <f>IFERROR(__xludf.DUMMYFUNCTION("""COMPUTED_VALUE"""),"")</f>
        <v/>
      </c>
      <c r="K563" t="s">
        <v>241</v>
      </c>
      <c r="L563" t="str">
        <f t="shared" si="1"/>
        <v/>
      </c>
      <c r="M563" t="s">
        <v>241</v>
      </c>
    </row>
    <row r="564">
      <c r="F564" t="s">
        <v>241</v>
      </c>
      <c r="G564" t="s">
        <v>241</v>
      </c>
      <c r="J564" t="str">
        <f>IFERROR(__xludf.DUMMYFUNCTION("""COMPUTED_VALUE"""),"")</f>
        <v/>
      </c>
      <c r="K564" t="s">
        <v>241</v>
      </c>
      <c r="L564" t="str">
        <f t="shared" si="1"/>
        <v/>
      </c>
      <c r="M564" t="s">
        <v>241</v>
      </c>
    </row>
    <row r="565">
      <c r="F565" t="s">
        <v>241</v>
      </c>
      <c r="G565" t="s">
        <v>241</v>
      </c>
      <c r="J565" t="str">
        <f>IFERROR(__xludf.DUMMYFUNCTION("""COMPUTED_VALUE"""),"")</f>
        <v/>
      </c>
      <c r="K565" t="s">
        <v>241</v>
      </c>
      <c r="L565" t="str">
        <f t="shared" si="1"/>
        <v/>
      </c>
      <c r="M565" t="s">
        <v>241</v>
      </c>
    </row>
    <row r="566">
      <c r="F566" t="s">
        <v>241</v>
      </c>
      <c r="G566" t="s">
        <v>241</v>
      </c>
      <c r="J566" t="str">
        <f>IFERROR(__xludf.DUMMYFUNCTION("""COMPUTED_VALUE"""),"")</f>
        <v/>
      </c>
      <c r="K566" t="s">
        <v>241</v>
      </c>
      <c r="L566" t="str">
        <f t="shared" si="1"/>
        <v/>
      </c>
      <c r="M566" t="s">
        <v>241</v>
      </c>
    </row>
    <row r="567">
      <c r="F567" t="s">
        <v>241</v>
      </c>
      <c r="G567" t="s">
        <v>241</v>
      </c>
      <c r="J567" t="str">
        <f>IFERROR(__xludf.DUMMYFUNCTION("""COMPUTED_VALUE"""),"")</f>
        <v/>
      </c>
      <c r="K567" t="s">
        <v>241</v>
      </c>
      <c r="L567" t="str">
        <f t="shared" si="1"/>
        <v/>
      </c>
      <c r="M567" t="s">
        <v>241</v>
      </c>
    </row>
    <row r="568">
      <c r="F568" t="s">
        <v>241</v>
      </c>
      <c r="G568" t="s">
        <v>241</v>
      </c>
      <c r="J568" t="str">
        <f>IFERROR(__xludf.DUMMYFUNCTION("""COMPUTED_VALUE"""),"")</f>
        <v/>
      </c>
      <c r="K568" t="s">
        <v>241</v>
      </c>
      <c r="L568" t="str">
        <f t="shared" si="1"/>
        <v/>
      </c>
      <c r="M568" t="s">
        <v>241</v>
      </c>
    </row>
    <row r="569">
      <c r="F569" t="s">
        <v>241</v>
      </c>
      <c r="G569" t="s">
        <v>241</v>
      </c>
      <c r="J569" t="str">
        <f>IFERROR(__xludf.DUMMYFUNCTION("""COMPUTED_VALUE"""),"")</f>
        <v/>
      </c>
      <c r="K569" t="s">
        <v>241</v>
      </c>
      <c r="L569" t="str">
        <f t="shared" si="1"/>
        <v/>
      </c>
      <c r="M569" t="s">
        <v>241</v>
      </c>
    </row>
    <row r="570">
      <c r="F570" t="s">
        <v>241</v>
      </c>
      <c r="G570" t="s">
        <v>241</v>
      </c>
      <c r="J570" t="str">
        <f>IFERROR(__xludf.DUMMYFUNCTION("""COMPUTED_VALUE"""),"")</f>
        <v/>
      </c>
      <c r="K570" t="s">
        <v>241</v>
      </c>
      <c r="L570" t="str">
        <f t="shared" si="1"/>
        <v/>
      </c>
      <c r="M570" t="s">
        <v>241</v>
      </c>
    </row>
    <row r="571">
      <c r="F571" t="s">
        <v>241</v>
      </c>
      <c r="G571" t="s">
        <v>241</v>
      </c>
      <c r="J571" t="str">
        <f>IFERROR(__xludf.DUMMYFUNCTION("""COMPUTED_VALUE"""),"")</f>
        <v/>
      </c>
      <c r="K571" t="s">
        <v>241</v>
      </c>
      <c r="L571" t="str">
        <f t="shared" si="1"/>
        <v/>
      </c>
      <c r="M571" t="s">
        <v>241</v>
      </c>
    </row>
    <row r="572">
      <c r="F572" t="s">
        <v>241</v>
      </c>
      <c r="G572" t="s">
        <v>241</v>
      </c>
      <c r="J572" t="str">
        <f>IFERROR(__xludf.DUMMYFUNCTION("""COMPUTED_VALUE"""),"")</f>
        <v/>
      </c>
      <c r="K572" t="s">
        <v>241</v>
      </c>
      <c r="L572" t="str">
        <f t="shared" si="1"/>
        <v/>
      </c>
      <c r="M572" t="s">
        <v>241</v>
      </c>
    </row>
    <row r="573">
      <c r="F573" t="s">
        <v>241</v>
      </c>
      <c r="G573" t="s">
        <v>241</v>
      </c>
      <c r="J573" t="str">
        <f>IFERROR(__xludf.DUMMYFUNCTION("""COMPUTED_VALUE"""),"")</f>
        <v/>
      </c>
      <c r="K573" t="s">
        <v>241</v>
      </c>
      <c r="L573" t="str">
        <f t="shared" si="1"/>
        <v/>
      </c>
      <c r="M573" t="s">
        <v>241</v>
      </c>
    </row>
    <row r="574">
      <c r="F574" t="s">
        <v>241</v>
      </c>
      <c r="G574" t="s">
        <v>241</v>
      </c>
      <c r="J574" t="str">
        <f>IFERROR(__xludf.DUMMYFUNCTION("""COMPUTED_VALUE"""),"")</f>
        <v/>
      </c>
      <c r="K574" t="s">
        <v>241</v>
      </c>
      <c r="L574" t="str">
        <f t="shared" si="1"/>
        <v/>
      </c>
      <c r="M574" t="s">
        <v>241</v>
      </c>
    </row>
    <row r="575">
      <c r="F575" t="s">
        <v>241</v>
      </c>
      <c r="G575" t="s">
        <v>241</v>
      </c>
      <c r="J575" t="str">
        <f>IFERROR(__xludf.DUMMYFUNCTION("""COMPUTED_VALUE"""),"")</f>
        <v/>
      </c>
      <c r="K575" t="s">
        <v>241</v>
      </c>
      <c r="L575" t="str">
        <f t="shared" si="1"/>
        <v/>
      </c>
      <c r="M575" t="s">
        <v>241</v>
      </c>
    </row>
    <row r="576">
      <c r="F576" t="s">
        <v>241</v>
      </c>
      <c r="G576" t="s">
        <v>241</v>
      </c>
      <c r="J576" t="str">
        <f>IFERROR(__xludf.DUMMYFUNCTION("""COMPUTED_VALUE"""),"")</f>
        <v/>
      </c>
      <c r="K576" t="s">
        <v>241</v>
      </c>
      <c r="L576" t="str">
        <f t="shared" si="1"/>
        <v/>
      </c>
      <c r="M576" t="s">
        <v>241</v>
      </c>
    </row>
    <row r="577">
      <c r="F577" t="s">
        <v>241</v>
      </c>
      <c r="G577" t="s">
        <v>241</v>
      </c>
      <c r="J577" t="str">
        <f>IFERROR(__xludf.DUMMYFUNCTION("""COMPUTED_VALUE"""),"")</f>
        <v/>
      </c>
      <c r="K577" t="s">
        <v>241</v>
      </c>
      <c r="L577" t="str">
        <f t="shared" si="1"/>
        <v/>
      </c>
      <c r="M577" t="s">
        <v>241</v>
      </c>
    </row>
    <row r="578">
      <c r="F578" t="s">
        <v>241</v>
      </c>
      <c r="G578" t="s">
        <v>241</v>
      </c>
      <c r="J578" t="str">
        <f>IFERROR(__xludf.DUMMYFUNCTION("""COMPUTED_VALUE"""),"")</f>
        <v/>
      </c>
      <c r="K578" t="s">
        <v>241</v>
      </c>
      <c r="L578" t="str">
        <f t="shared" si="1"/>
        <v/>
      </c>
      <c r="M578" t="s">
        <v>241</v>
      </c>
    </row>
    <row r="579">
      <c r="F579" t="s">
        <v>241</v>
      </c>
      <c r="G579" t="s">
        <v>241</v>
      </c>
      <c r="J579" t="str">
        <f>IFERROR(__xludf.DUMMYFUNCTION("""COMPUTED_VALUE"""),"")</f>
        <v/>
      </c>
      <c r="K579" t="s">
        <v>241</v>
      </c>
      <c r="L579" t="str">
        <f t="shared" si="1"/>
        <v/>
      </c>
      <c r="M579" t="s">
        <v>241</v>
      </c>
    </row>
    <row r="580">
      <c r="F580" t="s">
        <v>241</v>
      </c>
      <c r="G580" t="s">
        <v>241</v>
      </c>
      <c r="J580" t="str">
        <f>IFERROR(__xludf.DUMMYFUNCTION("""COMPUTED_VALUE"""),"")</f>
        <v/>
      </c>
      <c r="K580" t="s">
        <v>241</v>
      </c>
      <c r="L580" t="str">
        <f t="shared" si="1"/>
        <v/>
      </c>
      <c r="M580" t="s">
        <v>241</v>
      </c>
    </row>
    <row r="581">
      <c r="F581" t="s">
        <v>241</v>
      </c>
      <c r="G581" t="s">
        <v>241</v>
      </c>
      <c r="J581" t="str">
        <f>IFERROR(__xludf.DUMMYFUNCTION("""COMPUTED_VALUE"""),"")</f>
        <v/>
      </c>
      <c r="K581" t="s">
        <v>241</v>
      </c>
      <c r="L581" t="str">
        <f t="shared" si="1"/>
        <v/>
      </c>
      <c r="M581" t="s">
        <v>241</v>
      </c>
    </row>
    <row r="582">
      <c r="F582" t="s">
        <v>241</v>
      </c>
      <c r="G582" t="s">
        <v>241</v>
      </c>
      <c r="J582" t="str">
        <f>IFERROR(__xludf.DUMMYFUNCTION("""COMPUTED_VALUE"""),"")</f>
        <v/>
      </c>
      <c r="K582" t="s">
        <v>241</v>
      </c>
      <c r="L582" t="str">
        <f t="shared" si="1"/>
        <v/>
      </c>
      <c r="M582" t="s">
        <v>241</v>
      </c>
    </row>
    <row r="583">
      <c r="F583" t="s">
        <v>241</v>
      </c>
      <c r="G583" t="s">
        <v>241</v>
      </c>
      <c r="J583" t="str">
        <f>IFERROR(__xludf.DUMMYFUNCTION("""COMPUTED_VALUE"""),"")</f>
        <v/>
      </c>
      <c r="K583" t="s">
        <v>241</v>
      </c>
      <c r="L583" t="str">
        <f t="shared" si="1"/>
        <v/>
      </c>
      <c r="M583" t="s">
        <v>241</v>
      </c>
    </row>
    <row r="584">
      <c r="F584" t="s">
        <v>241</v>
      </c>
      <c r="G584" t="s">
        <v>241</v>
      </c>
      <c r="J584" t="str">
        <f>IFERROR(__xludf.DUMMYFUNCTION("""COMPUTED_VALUE"""),"")</f>
        <v/>
      </c>
      <c r="K584" t="s">
        <v>241</v>
      </c>
      <c r="L584" t="str">
        <f t="shared" si="1"/>
        <v/>
      </c>
      <c r="M584" t="s">
        <v>241</v>
      </c>
    </row>
    <row r="585">
      <c r="F585" t="s">
        <v>241</v>
      </c>
      <c r="G585" t="s">
        <v>241</v>
      </c>
      <c r="J585" t="str">
        <f>IFERROR(__xludf.DUMMYFUNCTION("""COMPUTED_VALUE"""),"")</f>
        <v/>
      </c>
      <c r="K585" t="s">
        <v>241</v>
      </c>
      <c r="L585" t="str">
        <f t="shared" si="1"/>
        <v/>
      </c>
      <c r="M585" t="s">
        <v>241</v>
      </c>
    </row>
    <row r="586">
      <c r="F586" t="s">
        <v>241</v>
      </c>
      <c r="G586" t="s">
        <v>241</v>
      </c>
      <c r="J586" t="str">
        <f>IFERROR(__xludf.DUMMYFUNCTION("""COMPUTED_VALUE"""),"")</f>
        <v/>
      </c>
      <c r="K586" t="s">
        <v>241</v>
      </c>
      <c r="L586" t="str">
        <f t="shared" si="1"/>
        <v/>
      </c>
      <c r="M586" t="s">
        <v>241</v>
      </c>
    </row>
    <row r="587">
      <c r="F587" t="s">
        <v>241</v>
      </c>
      <c r="G587" t="s">
        <v>241</v>
      </c>
      <c r="J587" t="str">
        <f>IFERROR(__xludf.DUMMYFUNCTION("""COMPUTED_VALUE"""),"")</f>
        <v/>
      </c>
      <c r="K587" t="s">
        <v>241</v>
      </c>
      <c r="L587" t="str">
        <f t="shared" si="1"/>
        <v/>
      </c>
      <c r="M587" t="s">
        <v>241</v>
      </c>
    </row>
    <row r="588">
      <c r="F588" t="s">
        <v>241</v>
      </c>
      <c r="G588" t="s">
        <v>241</v>
      </c>
      <c r="J588" t="str">
        <f>IFERROR(__xludf.DUMMYFUNCTION("""COMPUTED_VALUE"""),"")</f>
        <v/>
      </c>
      <c r="K588" t="s">
        <v>241</v>
      </c>
      <c r="L588" t="str">
        <f t="shared" si="1"/>
        <v/>
      </c>
      <c r="M588" t="s">
        <v>241</v>
      </c>
    </row>
    <row r="589">
      <c r="F589" t="s">
        <v>241</v>
      </c>
      <c r="G589" t="s">
        <v>241</v>
      </c>
      <c r="J589" t="str">
        <f>IFERROR(__xludf.DUMMYFUNCTION("""COMPUTED_VALUE"""),"")</f>
        <v/>
      </c>
      <c r="K589" t="s">
        <v>241</v>
      </c>
      <c r="L589" t="str">
        <f t="shared" si="1"/>
        <v/>
      </c>
      <c r="M589" t="s">
        <v>241</v>
      </c>
    </row>
    <row r="590">
      <c r="F590" t="s">
        <v>241</v>
      </c>
      <c r="G590" t="s">
        <v>241</v>
      </c>
      <c r="J590" t="str">
        <f>IFERROR(__xludf.DUMMYFUNCTION("""COMPUTED_VALUE"""),"")</f>
        <v/>
      </c>
      <c r="K590" t="s">
        <v>241</v>
      </c>
      <c r="L590" t="str">
        <f t="shared" si="1"/>
        <v/>
      </c>
      <c r="M590" t="s">
        <v>241</v>
      </c>
    </row>
    <row r="591">
      <c r="F591" t="s">
        <v>241</v>
      </c>
      <c r="G591" t="s">
        <v>241</v>
      </c>
      <c r="J591" t="str">
        <f>IFERROR(__xludf.DUMMYFUNCTION("""COMPUTED_VALUE"""),"")</f>
        <v/>
      </c>
      <c r="K591" t="s">
        <v>241</v>
      </c>
      <c r="L591" t="str">
        <f t="shared" si="1"/>
        <v/>
      </c>
      <c r="M591" t="s">
        <v>241</v>
      </c>
    </row>
    <row r="592">
      <c r="F592" t="s">
        <v>241</v>
      </c>
      <c r="G592" t="s">
        <v>241</v>
      </c>
      <c r="J592" t="str">
        <f>IFERROR(__xludf.DUMMYFUNCTION("""COMPUTED_VALUE"""),"")</f>
        <v/>
      </c>
      <c r="K592" t="s">
        <v>241</v>
      </c>
      <c r="L592" t="str">
        <f t="shared" si="1"/>
        <v/>
      </c>
      <c r="M592" t="s">
        <v>241</v>
      </c>
    </row>
    <row r="593">
      <c r="F593" t="s">
        <v>241</v>
      </c>
      <c r="G593" t="s">
        <v>241</v>
      </c>
      <c r="J593" t="str">
        <f>IFERROR(__xludf.DUMMYFUNCTION("""COMPUTED_VALUE"""),"")</f>
        <v/>
      </c>
      <c r="K593" t="s">
        <v>241</v>
      </c>
      <c r="L593" t="str">
        <f t="shared" si="1"/>
        <v/>
      </c>
      <c r="M593" t="s">
        <v>241</v>
      </c>
    </row>
    <row r="594">
      <c r="F594" t="s">
        <v>241</v>
      </c>
      <c r="G594" t="s">
        <v>241</v>
      </c>
      <c r="J594" t="str">
        <f>IFERROR(__xludf.DUMMYFUNCTION("""COMPUTED_VALUE"""),"")</f>
        <v/>
      </c>
      <c r="K594" t="s">
        <v>241</v>
      </c>
      <c r="L594" t="str">
        <f t="shared" si="1"/>
        <v/>
      </c>
      <c r="M594" t="s">
        <v>241</v>
      </c>
    </row>
    <row r="595">
      <c r="F595" t="s">
        <v>241</v>
      </c>
      <c r="G595" t="s">
        <v>241</v>
      </c>
      <c r="J595" t="str">
        <f>IFERROR(__xludf.DUMMYFUNCTION("""COMPUTED_VALUE"""),"")</f>
        <v/>
      </c>
      <c r="K595" t="s">
        <v>241</v>
      </c>
      <c r="L595" t="str">
        <f t="shared" si="1"/>
        <v/>
      </c>
      <c r="M595" t="s">
        <v>241</v>
      </c>
    </row>
    <row r="596">
      <c r="F596" t="s">
        <v>241</v>
      </c>
      <c r="G596" t="s">
        <v>241</v>
      </c>
      <c r="J596" t="str">
        <f>IFERROR(__xludf.DUMMYFUNCTION("""COMPUTED_VALUE"""),"")</f>
        <v/>
      </c>
      <c r="K596" t="s">
        <v>241</v>
      </c>
      <c r="L596" t="str">
        <f t="shared" si="1"/>
        <v/>
      </c>
      <c r="M596" t="s">
        <v>241</v>
      </c>
    </row>
    <row r="597">
      <c r="F597" t="s">
        <v>241</v>
      </c>
      <c r="G597" t="s">
        <v>241</v>
      </c>
      <c r="J597" t="str">
        <f>IFERROR(__xludf.DUMMYFUNCTION("""COMPUTED_VALUE"""),"")</f>
        <v/>
      </c>
      <c r="K597" t="s">
        <v>241</v>
      </c>
      <c r="L597" t="str">
        <f t="shared" si="1"/>
        <v/>
      </c>
      <c r="M597" t="s">
        <v>241</v>
      </c>
    </row>
    <row r="598">
      <c r="F598" t="s">
        <v>241</v>
      </c>
      <c r="G598" t="s">
        <v>241</v>
      </c>
      <c r="J598" t="str">
        <f>IFERROR(__xludf.DUMMYFUNCTION("""COMPUTED_VALUE"""),"")</f>
        <v/>
      </c>
      <c r="K598" t="s">
        <v>241</v>
      </c>
      <c r="L598" t="str">
        <f t="shared" si="1"/>
        <v/>
      </c>
      <c r="M598" t="s">
        <v>241</v>
      </c>
    </row>
    <row r="599">
      <c r="F599" t="s">
        <v>241</v>
      </c>
      <c r="G599" t="s">
        <v>241</v>
      </c>
      <c r="J599" t="str">
        <f>IFERROR(__xludf.DUMMYFUNCTION("""COMPUTED_VALUE"""),"")</f>
        <v/>
      </c>
      <c r="K599" t="s">
        <v>241</v>
      </c>
      <c r="L599" t="str">
        <f t="shared" si="1"/>
        <v/>
      </c>
      <c r="M599" t="s">
        <v>241</v>
      </c>
    </row>
    <row r="600">
      <c r="F600" t="s">
        <v>241</v>
      </c>
      <c r="G600" t="s">
        <v>241</v>
      </c>
      <c r="J600" t="str">
        <f>IFERROR(__xludf.DUMMYFUNCTION("""COMPUTED_VALUE"""),"")</f>
        <v/>
      </c>
      <c r="K600" t="s">
        <v>241</v>
      </c>
      <c r="L600" t="str">
        <f t="shared" si="1"/>
        <v/>
      </c>
      <c r="M600" t="s">
        <v>241</v>
      </c>
    </row>
    <row r="601">
      <c r="F601" t="s">
        <v>241</v>
      </c>
      <c r="G601" t="s">
        <v>241</v>
      </c>
      <c r="J601" t="str">
        <f>IFERROR(__xludf.DUMMYFUNCTION("""COMPUTED_VALUE"""),"")</f>
        <v/>
      </c>
      <c r="K601" t="s">
        <v>241</v>
      </c>
      <c r="L601" t="str">
        <f t="shared" si="1"/>
        <v/>
      </c>
      <c r="M601" t="s">
        <v>241</v>
      </c>
    </row>
    <row r="602">
      <c r="F602" t="s">
        <v>241</v>
      </c>
      <c r="G602" t="s">
        <v>241</v>
      </c>
      <c r="J602" t="str">
        <f>IFERROR(__xludf.DUMMYFUNCTION("""COMPUTED_VALUE"""),"")</f>
        <v/>
      </c>
      <c r="K602" t="s">
        <v>241</v>
      </c>
      <c r="L602" t="str">
        <f t="shared" si="1"/>
        <v/>
      </c>
      <c r="M602" t="s">
        <v>241</v>
      </c>
    </row>
    <row r="603">
      <c r="F603" t="s">
        <v>241</v>
      </c>
      <c r="G603" t="s">
        <v>241</v>
      </c>
      <c r="J603" t="str">
        <f>IFERROR(__xludf.DUMMYFUNCTION("""COMPUTED_VALUE"""),"")</f>
        <v/>
      </c>
      <c r="K603" t="s">
        <v>241</v>
      </c>
      <c r="L603" t="str">
        <f t="shared" si="1"/>
        <v/>
      </c>
      <c r="M603" t="s">
        <v>241</v>
      </c>
    </row>
    <row r="604">
      <c r="F604" t="s">
        <v>241</v>
      </c>
      <c r="G604" t="s">
        <v>241</v>
      </c>
      <c r="J604" t="str">
        <f>IFERROR(__xludf.DUMMYFUNCTION("""COMPUTED_VALUE"""),"")</f>
        <v/>
      </c>
      <c r="K604" t="s">
        <v>241</v>
      </c>
      <c r="L604" t="str">
        <f t="shared" si="1"/>
        <v/>
      </c>
      <c r="M604" t="s">
        <v>241</v>
      </c>
    </row>
    <row r="605">
      <c r="F605" t="s">
        <v>241</v>
      </c>
      <c r="G605" t="s">
        <v>241</v>
      </c>
      <c r="J605" t="str">
        <f>IFERROR(__xludf.DUMMYFUNCTION("""COMPUTED_VALUE"""),"")</f>
        <v/>
      </c>
      <c r="K605" t="s">
        <v>241</v>
      </c>
      <c r="L605" t="str">
        <f t="shared" si="1"/>
        <v/>
      </c>
      <c r="M605" t="s">
        <v>241</v>
      </c>
    </row>
    <row r="606">
      <c r="F606" t="s">
        <v>241</v>
      </c>
      <c r="G606" t="s">
        <v>241</v>
      </c>
      <c r="J606" t="str">
        <f>IFERROR(__xludf.DUMMYFUNCTION("""COMPUTED_VALUE"""),"")</f>
        <v/>
      </c>
      <c r="K606" t="s">
        <v>241</v>
      </c>
      <c r="L606" t="str">
        <f t="shared" si="1"/>
        <v/>
      </c>
      <c r="M606" t="s">
        <v>241</v>
      </c>
    </row>
    <row r="607">
      <c r="F607" t="s">
        <v>241</v>
      </c>
      <c r="G607" t="s">
        <v>241</v>
      </c>
      <c r="J607" t="str">
        <f>IFERROR(__xludf.DUMMYFUNCTION("""COMPUTED_VALUE"""),"")</f>
        <v/>
      </c>
      <c r="K607" t="s">
        <v>241</v>
      </c>
      <c r="L607" t="str">
        <f t="shared" si="1"/>
        <v/>
      </c>
      <c r="M607" t="s">
        <v>241</v>
      </c>
    </row>
    <row r="608">
      <c r="F608" t="s">
        <v>241</v>
      </c>
      <c r="G608" t="s">
        <v>241</v>
      </c>
      <c r="J608" t="str">
        <f>IFERROR(__xludf.DUMMYFUNCTION("""COMPUTED_VALUE"""),"")</f>
        <v/>
      </c>
      <c r="K608" t="s">
        <v>241</v>
      </c>
      <c r="L608" t="str">
        <f t="shared" si="1"/>
        <v/>
      </c>
      <c r="M608" t="s">
        <v>241</v>
      </c>
    </row>
    <row r="609">
      <c r="F609" t="s">
        <v>241</v>
      </c>
      <c r="G609" t="s">
        <v>241</v>
      </c>
      <c r="J609" t="str">
        <f>IFERROR(__xludf.DUMMYFUNCTION("""COMPUTED_VALUE"""),"")</f>
        <v/>
      </c>
      <c r="K609" t="s">
        <v>241</v>
      </c>
      <c r="L609" t="str">
        <f t="shared" si="1"/>
        <v/>
      </c>
      <c r="M609" t="s">
        <v>241</v>
      </c>
    </row>
    <row r="610">
      <c r="F610" t="s">
        <v>241</v>
      </c>
      <c r="G610" t="s">
        <v>241</v>
      </c>
      <c r="J610" t="str">
        <f>IFERROR(__xludf.DUMMYFUNCTION("""COMPUTED_VALUE"""),"")</f>
        <v/>
      </c>
      <c r="K610" t="s">
        <v>241</v>
      </c>
      <c r="L610" t="str">
        <f t="shared" si="1"/>
        <v/>
      </c>
      <c r="M610" t="s">
        <v>241</v>
      </c>
    </row>
    <row r="611">
      <c r="F611" t="s">
        <v>241</v>
      </c>
      <c r="G611" t="s">
        <v>241</v>
      </c>
      <c r="J611" t="str">
        <f>IFERROR(__xludf.DUMMYFUNCTION("""COMPUTED_VALUE"""),"")</f>
        <v/>
      </c>
      <c r="K611" t="s">
        <v>241</v>
      </c>
      <c r="L611" t="str">
        <f t="shared" si="1"/>
        <v/>
      </c>
      <c r="M611" t="s">
        <v>241</v>
      </c>
    </row>
    <row r="612">
      <c r="F612" t="s">
        <v>241</v>
      </c>
      <c r="G612" t="s">
        <v>241</v>
      </c>
      <c r="J612" t="str">
        <f>IFERROR(__xludf.DUMMYFUNCTION("""COMPUTED_VALUE"""),"")</f>
        <v/>
      </c>
      <c r="K612" t="s">
        <v>241</v>
      </c>
      <c r="L612" t="str">
        <f t="shared" si="1"/>
        <v/>
      </c>
      <c r="M612" t="s">
        <v>241</v>
      </c>
    </row>
    <row r="613">
      <c r="F613" t="s">
        <v>241</v>
      </c>
      <c r="G613" t="s">
        <v>241</v>
      </c>
      <c r="J613" t="str">
        <f>IFERROR(__xludf.DUMMYFUNCTION("""COMPUTED_VALUE"""),"")</f>
        <v/>
      </c>
      <c r="K613" t="s">
        <v>241</v>
      </c>
      <c r="L613" t="str">
        <f t="shared" si="1"/>
        <v/>
      </c>
      <c r="M613" t="s">
        <v>241</v>
      </c>
    </row>
    <row r="614">
      <c r="F614" t="s">
        <v>241</v>
      </c>
      <c r="G614" t="s">
        <v>241</v>
      </c>
      <c r="J614" t="str">
        <f>IFERROR(__xludf.DUMMYFUNCTION("""COMPUTED_VALUE"""),"")</f>
        <v/>
      </c>
      <c r="K614" t="s">
        <v>241</v>
      </c>
      <c r="L614" t="str">
        <f t="shared" si="1"/>
        <v/>
      </c>
      <c r="M614" t="s">
        <v>241</v>
      </c>
    </row>
    <row r="615">
      <c r="F615" t="s">
        <v>241</v>
      </c>
      <c r="G615" t="s">
        <v>241</v>
      </c>
      <c r="J615" t="str">
        <f>IFERROR(__xludf.DUMMYFUNCTION("""COMPUTED_VALUE"""),"")</f>
        <v/>
      </c>
      <c r="K615" t="s">
        <v>241</v>
      </c>
      <c r="L615" t="str">
        <f t="shared" si="1"/>
        <v/>
      </c>
      <c r="M615" t="s">
        <v>241</v>
      </c>
    </row>
    <row r="616">
      <c r="F616" t="s">
        <v>241</v>
      </c>
      <c r="G616" t="s">
        <v>241</v>
      </c>
      <c r="J616" t="str">
        <f>IFERROR(__xludf.DUMMYFUNCTION("""COMPUTED_VALUE"""),"")</f>
        <v/>
      </c>
      <c r="K616" t="s">
        <v>241</v>
      </c>
      <c r="L616" t="str">
        <f t="shared" si="1"/>
        <v/>
      </c>
      <c r="M616" t="s">
        <v>241</v>
      </c>
    </row>
    <row r="617">
      <c r="F617" t="s">
        <v>241</v>
      </c>
      <c r="G617" t="s">
        <v>241</v>
      </c>
      <c r="J617" t="str">
        <f>IFERROR(__xludf.DUMMYFUNCTION("""COMPUTED_VALUE"""),"")</f>
        <v/>
      </c>
      <c r="K617" t="s">
        <v>241</v>
      </c>
      <c r="L617" t="str">
        <f t="shared" si="1"/>
        <v/>
      </c>
      <c r="M617" t="s">
        <v>241</v>
      </c>
    </row>
    <row r="618">
      <c r="F618" t="s">
        <v>241</v>
      </c>
      <c r="G618" t="s">
        <v>241</v>
      </c>
      <c r="J618" t="str">
        <f>IFERROR(__xludf.DUMMYFUNCTION("""COMPUTED_VALUE"""),"")</f>
        <v/>
      </c>
      <c r="K618" t="s">
        <v>241</v>
      </c>
      <c r="L618" t="str">
        <f t="shared" si="1"/>
        <v/>
      </c>
      <c r="M618" t="s">
        <v>241</v>
      </c>
    </row>
    <row r="619">
      <c r="F619" t="s">
        <v>241</v>
      </c>
      <c r="G619" t="s">
        <v>241</v>
      </c>
      <c r="J619" t="str">
        <f>IFERROR(__xludf.DUMMYFUNCTION("""COMPUTED_VALUE"""),"")</f>
        <v/>
      </c>
      <c r="K619" t="s">
        <v>241</v>
      </c>
      <c r="L619" t="str">
        <f t="shared" si="1"/>
        <v/>
      </c>
      <c r="M619" t="s">
        <v>241</v>
      </c>
    </row>
    <row r="620">
      <c r="F620" t="s">
        <v>241</v>
      </c>
      <c r="G620" t="s">
        <v>241</v>
      </c>
      <c r="J620" t="str">
        <f>IFERROR(__xludf.DUMMYFUNCTION("""COMPUTED_VALUE"""),"")</f>
        <v/>
      </c>
      <c r="K620" t="s">
        <v>241</v>
      </c>
      <c r="L620" t="str">
        <f t="shared" si="1"/>
        <v/>
      </c>
      <c r="M620" t="s">
        <v>241</v>
      </c>
    </row>
    <row r="621">
      <c r="F621" t="s">
        <v>241</v>
      </c>
      <c r="G621" t="s">
        <v>241</v>
      </c>
      <c r="J621" t="str">
        <f>IFERROR(__xludf.DUMMYFUNCTION("""COMPUTED_VALUE"""),"")</f>
        <v/>
      </c>
      <c r="K621" t="s">
        <v>241</v>
      </c>
      <c r="L621" t="str">
        <f t="shared" si="1"/>
        <v/>
      </c>
      <c r="M621" t="s">
        <v>241</v>
      </c>
    </row>
    <row r="622">
      <c r="F622" t="s">
        <v>241</v>
      </c>
      <c r="G622" t="s">
        <v>241</v>
      </c>
      <c r="J622" t="str">
        <f>IFERROR(__xludf.DUMMYFUNCTION("""COMPUTED_VALUE"""),"")</f>
        <v/>
      </c>
      <c r="K622" t="s">
        <v>241</v>
      </c>
      <c r="L622" t="str">
        <f t="shared" si="1"/>
        <v/>
      </c>
      <c r="M622" t="s">
        <v>241</v>
      </c>
    </row>
    <row r="623">
      <c r="F623" t="s">
        <v>241</v>
      </c>
      <c r="G623" t="s">
        <v>241</v>
      </c>
      <c r="J623" t="str">
        <f>IFERROR(__xludf.DUMMYFUNCTION("""COMPUTED_VALUE"""),"")</f>
        <v/>
      </c>
      <c r="K623" t="s">
        <v>241</v>
      </c>
      <c r="L623" t="str">
        <f t="shared" si="1"/>
        <v/>
      </c>
      <c r="M623" t="s">
        <v>241</v>
      </c>
    </row>
    <row r="624">
      <c r="F624" t="s">
        <v>241</v>
      </c>
      <c r="G624" t="s">
        <v>241</v>
      </c>
      <c r="J624" t="str">
        <f>IFERROR(__xludf.DUMMYFUNCTION("""COMPUTED_VALUE"""),"")</f>
        <v/>
      </c>
      <c r="K624" t="s">
        <v>241</v>
      </c>
      <c r="L624" t="str">
        <f t="shared" si="1"/>
        <v/>
      </c>
      <c r="M624" t="s">
        <v>241</v>
      </c>
    </row>
    <row r="625">
      <c r="F625" t="s">
        <v>241</v>
      </c>
      <c r="G625" t="s">
        <v>241</v>
      </c>
      <c r="J625" t="str">
        <f>IFERROR(__xludf.DUMMYFUNCTION("""COMPUTED_VALUE"""),"")</f>
        <v/>
      </c>
      <c r="K625" t="s">
        <v>241</v>
      </c>
      <c r="L625" t="str">
        <f t="shared" si="1"/>
        <v/>
      </c>
      <c r="M625" t="s">
        <v>241</v>
      </c>
    </row>
    <row r="626">
      <c r="F626" t="s">
        <v>241</v>
      </c>
      <c r="G626" t="s">
        <v>241</v>
      </c>
      <c r="J626" t="str">
        <f>IFERROR(__xludf.DUMMYFUNCTION("""COMPUTED_VALUE"""),"")</f>
        <v/>
      </c>
      <c r="K626" t="s">
        <v>241</v>
      </c>
      <c r="L626" t="str">
        <f t="shared" si="1"/>
        <v/>
      </c>
      <c r="M626" t="s">
        <v>241</v>
      </c>
    </row>
    <row r="627">
      <c r="F627" t="s">
        <v>241</v>
      </c>
      <c r="G627" t="s">
        <v>241</v>
      </c>
      <c r="J627" t="str">
        <f>IFERROR(__xludf.DUMMYFUNCTION("""COMPUTED_VALUE"""),"")</f>
        <v/>
      </c>
      <c r="K627" t="s">
        <v>241</v>
      </c>
      <c r="L627" t="str">
        <f t="shared" si="1"/>
        <v/>
      </c>
      <c r="M627" t="s">
        <v>241</v>
      </c>
    </row>
    <row r="628">
      <c r="F628" t="s">
        <v>241</v>
      </c>
      <c r="G628" t="s">
        <v>241</v>
      </c>
      <c r="J628" t="str">
        <f>IFERROR(__xludf.DUMMYFUNCTION("""COMPUTED_VALUE"""),"")</f>
        <v/>
      </c>
      <c r="K628" t="s">
        <v>241</v>
      </c>
      <c r="L628" t="str">
        <f t="shared" si="1"/>
        <v/>
      </c>
      <c r="M628" t="s">
        <v>241</v>
      </c>
    </row>
    <row r="629">
      <c r="F629" t="s">
        <v>241</v>
      </c>
      <c r="G629" t="s">
        <v>241</v>
      </c>
      <c r="J629" t="str">
        <f>IFERROR(__xludf.DUMMYFUNCTION("""COMPUTED_VALUE"""),"")</f>
        <v/>
      </c>
      <c r="K629" t="s">
        <v>241</v>
      </c>
      <c r="L629" t="str">
        <f t="shared" si="1"/>
        <v/>
      </c>
      <c r="M629" t="s">
        <v>241</v>
      </c>
    </row>
    <row r="630">
      <c r="F630" t="s">
        <v>241</v>
      </c>
      <c r="G630" t="s">
        <v>241</v>
      </c>
      <c r="J630" t="str">
        <f>IFERROR(__xludf.DUMMYFUNCTION("""COMPUTED_VALUE"""),"")</f>
        <v/>
      </c>
      <c r="K630" t="s">
        <v>241</v>
      </c>
      <c r="L630" t="str">
        <f t="shared" si="1"/>
        <v/>
      </c>
      <c r="M630" t="s">
        <v>241</v>
      </c>
    </row>
    <row r="631">
      <c r="F631" t="s">
        <v>241</v>
      </c>
      <c r="G631" t="s">
        <v>241</v>
      </c>
      <c r="J631" t="str">
        <f>IFERROR(__xludf.DUMMYFUNCTION("""COMPUTED_VALUE"""),"")</f>
        <v/>
      </c>
      <c r="K631" t="s">
        <v>241</v>
      </c>
      <c r="L631" t="str">
        <f t="shared" si="1"/>
        <v/>
      </c>
      <c r="M631" t="s">
        <v>241</v>
      </c>
    </row>
    <row r="632">
      <c r="F632" t="s">
        <v>241</v>
      </c>
      <c r="G632" t="s">
        <v>241</v>
      </c>
      <c r="J632" t="str">
        <f>IFERROR(__xludf.DUMMYFUNCTION("""COMPUTED_VALUE"""),"")</f>
        <v/>
      </c>
      <c r="K632" t="s">
        <v>241</v>
      </c>
      <c r="L632" t="str">
        <f t="shared" si="1"/>
        <v/>
      </c>
      <c r="M632" t="s">
        <v>241</v>
      </c>
    </row>
    <row r="633">
      <c r="F633" t="s">
        <v>241</v>
      </c>
      <c r="G633" t="s">
        <v>241</v>
      </c>
      <c r="J633" t="str">
        <f>IFERROR(__xludf.DUMMYFUNCTION("""COMPUTED_VALUE"""),"")</f>
        <v/>
      </c>
      <c r="K633" t="s">
        <v>241</v>
      </c>
      <c r="L633" t="str">
        <f t="shared" si="1"/>
        <v/>
      </c>
      <c r="M633" t="s">
        <v>241</v>
      </c>
    </row>
    <row r="634">
      <c r="F634" t="s">
        <v>241</v>
      </c>
      <c r="G634" t="s">
        <v>241</v>
      </c>
      <c r="J634" t="str">
        <f>IFERROR(__xludf.DUMMYFUNCTION("""COMPUTED_VALUE"""),"")</f>
        <v/>
      </c>
      <c r="K634" t="s">
        <v>241</v>
      </c>
      <c r="L634" t="str">
        <f t="shared" si="1"/>
        <v/>
      </c>
      <c r="M634" t="s">
        <v>241</v>
      </c>
    </row>
    <row r="635">
      <c r="F635" t="s">
        <v>241</v>
      </c>
      <c r="G635" t="s">
        <v>241</v>
      </c>
      <c r="J635" t="str">
        <f>IFERROR(__xludf.DUMMYFUNCTION("""COMPUTED_VALUE"""),"")</f>
        <v/>
      </c>
      <c r="K635" t="s">
        <v>241</v>
      </c>
      <c r="L635" t="str">
        <f t="shared" si="1"/>
        <v/>
      </c>
      <c r="M635" t="s">
        <v>241</v>
      </c>
    </row>
    <row r="636">
      <c r="F636" t="s">
        <v>241</v>
      </c>
      <c r="G636" t="s">
        <v>241</v>
      </c>
      <c r="J636" t="str">
        <f>IFERROR(__xludf.DUMMYFUNCTION("""COMPUTED_VALUE"""),"")</f>
        <v/>
      </c>
      <c r="K636" t="s">
        <v>241</v>
      </c>
      <c r="L636" t="str">
        <f t="shared" si="1"/>
        <v/>
      </c>
      <c r="M636" t="s">
        <v>241</v>
      </c>
    </row>
    <row r="637">
      <c r="F637" t="s">
        <v>241</v>
      </c>
      <c r="G637" t="s">
        <v>241</v>
      </c>
      <c r="J637" t="str">
        <f>IFERROR(__xludf.DUMMYFUNCTION("""COMPUTED_VALUE"""),"")</f>
        <v/>
      </c>
      <c r="K637" t="s">
        <v>241</v>
      </c>
      <c r="L637" t="str">
        <f t="shared" si="1"/>
        <v/>
      </c>
      <c r="M637" t="s">
        <v>241</v>
      </c>
    </row>
    <row r="638">
      <c r="F638" t="s">
        <v>241</v>
      </c>
      <c r="G638" t="s">
        <v>241</v>
      </c>
      <c r="J638" t="str">
        <f>IFERROR(__xludf.DUMMYFUNCTION("""COMPUTED_VALUE"""),"")</f>
        <v/>
      </c>
      <c r="K638" t="s">
        <v>241</v>
      </c>
      <c r="L638" t="str">
        <f t="shared" si="1"/>
        <v/>
      </c>
      <c r="M638" t="s">
        <v>241</v>
      </c>
    </row>
    <row r="639">
      <c r="F639" t="s">
        <v>241</v>
      </c>
      <c r="G639" t="s">
        <v>241</v>
      </c>
      <c r="J639" t="str">
        <f>IFERROR(__xludf.DUMMYFUNCTION("""COMPUTED_VALUE"""),"")</f>
        <v/>
      </c>
      <c r="K639" t="s">
        <v>241</v>
      </c>
      <c r="L639" t="str">
        <f t="shared" si="1"/>
        <v/>
      </c>
      <c r="M639" t="s">
        <v>241</v>
      </c>
    </row>
    <row r="640">
      <c r="F640" t="s">
        <v>241</v>
      </c>
      <c r="G640" t="s">
        <v>241</v>
      </c>
      <c r="J640" t="str">
        <f>IFERROR(__xludf.DUMMYFUNCTION("""COMPUTED_VALUE"""),"")</f>
        <v/>
      </c>
      <c r="K640" t="s">
        <v>241</v>
      </c>
      <c r="L640" t="str">
        <f t="shared" si="1"/>
        <v/>
      </c>
      <c r="M640" t="s">
        <v>241</v>
      </c>
    </row>
    <row r="641">
      <c r="F641" t="s">
        <v>241</v>
      </c>
      <c r="G641" t="s">
        <v>241</v>
      </c>
      <c r="J641" t="str">
        <f>IFERROR(__xludf.DUMMYFUNCTION("""COMPUTED_VALUE"""),"")</f>
        <v/>
      </c>
      <c r="K641" t="s">
        <v>241</v>
      </c>
      <c r="L641" t="str">
        <f t="shared" si="1"/>
        <v/>
      </c>
      <c r="M641" t="s">
        <v>241</v>
      </c>
    </row>
    <row r="642">
      <c r="F642" t="s">
        <v>241</v>
      </c>
      <c r="G642" t="s">
        <v>241</v>
      </c>
      <c r="J642" t="str">
        <f>IFERROR(__xludf.DUMMYFUNCTION("""COMPUTED_VALUE"""),"")</f>
        <v/>
      </c>
      <c r="K642" t="s">
        <v>241</v>
      </c>
      <c r="L642" t="str">
        <f t="shared" si="1"/>
        <v/>
      </c>
      <c r="M642" t="s">
        <v>241</v>
      </c>
    </row>
    <row r="643">
      <c r="F643" t="s">
        <v>241</v>
      </c>
      <c r="G643" t="s">
        <v>241</v>
      </c>
      <c r="J643" t="str">
        <f>IFERROR(__xludf.DUMMYFUNCTION("""COMPUTED_VALUE"""),"")</f>
        <v/>
      </c>
      <c r="K643" t="s">
        <v>241</v>
      </c>
      <c r="L643" t="str">
        <f t="shared" si="1"/>
        <v/>
      </c>
      <c r="M643" t="s">
        <v>241</v>
      </c>
    </row>
    <row r="644">
      <c r="F644" t="s">
        <v>241</v>
      </c>
      <c r="G644" t="s">
        <v>241</v>
      </c>
      <c r="J644" t="str">
        <f>IFERROR(__xludf.DUMMYFUNCTION("""COMPUTED_VALUE"""),"")</f>
        <v/>
      </c>
      <c r="K644" t="s">
        <v>241</v>
      </c>
      <c r="L644" t="str">
        <f t="shared" si="1"/>
        <v/>
      </c>
      <c r="M644" t="s">
        <v>241</v>
      </c>
    </row>
    <row r="645">
      <c r="F645" t="s">
        <v>241</v>
      </c>
      <c r="G645" t="s">
        <v>241</v>
      </c>
      <c r="J645" t="str">
        <f>IFERROR(__xludf.DUMMYFUNCTION("""COMPUTED_VALUE"""),"")</f>
        <v/>
      </c>
      <c r="K645" t="s">
        <v>241</v>
      </c>
      <c r="L645" t="str">
        <f t="shared" si="1"/>
        <v/>
      </c>
      <c r="M645" t="s">
        <v>241</v>
      </c>
    </row>
    <row r="646">
      <c r="F646" t="s">
        <v>241</v>
      </c>
      <c r="G646" t="s">
        <v>241</v>
      </c>
      <c r="J646" t="str">
        <f>IFERROR(__xludf.DUMMYFUNCTION("""COMPUTED_VALUE"""),"")</f>
        <v/>
      </c>
      <c r="K646" t="s">
        <v>241</v>
      </c>
      <c r="L646" t="str">
        <f t="shared" si="1"/>
        <v/>
      </c>
      <c r="M646" t="s">
        <v>241</v>
      </c>
    </row>
    <row r="647">
      <c r="F647" t="s">
        <v>241</v>
      </c>
      <c r="G647" t="s">
        <v>241</v>
      </c>
      <c r="J647" t="str">
        <f>IFERROR(__xludf.DUMMYFUNCTION("""COMPUTED_VALUE"""),"")</f>
        <v/>
      </c>
      <c r="K647" t="s">
        <v>241</v>
      </c>
      <c r="L647" t="str">
        <f t="shared" si="1"/>
        <v/>
      </c>
      <c r="M647" t="s">
        <v>241</v>
      </c>
    </row>
    <row r="648">
      <c r="F648" t="s">
        <v>241</v>
      </c>
      <c r="G648" t="s">
        <v>241</v>
      </c>
      <c r="J648" t="str">
        <f>IFERROR(__xludf.DUMMYFUNCTION("""COMPUTED_VALUE"""),"")</f>
        <v/>
      </c>
      <c r="K648" t="s">
        <v>241</v>
      </c>
      <c r="L648" t="str">
        <f t="shared" si="1"/>
        <v/>
      </c>
      <c r="M648" t="s">
        <v>241</v>
      </c>
    </row>
    <row r="649">
      <c r="F649" t="s">
        <v>241</v>
      </c>
      <c r="G649" t="s">
        <v>241</v>
      </c>
      <c r="J649" t="str">
        <f>IFERROR(__xludf.DUMMYFUNCTION("""COMPUTED_VALUE"""),"")</f>
        <v/>
      </c>
      <c r="K649" t="s">
        <v>241</v>
      </c>
      <c r="L649" t="str">
        <f t="shared" si="1"/>
        <v/>
      </c>
      <c r="M649" t="s">
        <v>241</v>
      </c>
    </row>
    <row r="650">
      <c r="F650" t="s">
        <v>241</v>
      </c>
      <c r="G650" t="s">
        <v>241</v>
      </c>
      <c r="J650" t="str">
        <f>IFERROR(__xludf.DUMMYFUNCTION("""COMPUTED_VALUE"""),"")</f>
        <v/>
      </c>
      <c r="K650" t="s">
        <v>241</v>
      </c>
      <c r="L650" t="str">
        <f t="shared" si="1"/>
        <v/>
      </c>
      <c r="M650" t="s">
        <v>241</v>
      </c>
    </row>
    <row r="651">
      <c r="F651" t="s">
        <v>241</v>
      </c>
      <c r="G651" t="s">
        <v>241</v>
      </c>
      <c r="J651" t="str">
        <f>IFERROR(__xludf.DUMMYFUNCTION("""COMPUTED_VALUE"""),"")</f>
        <v/>
      </c>
      <c r="K651" t="s">
        <v>241</v>
      </c>
      <c r="L651" t="str">
        <f t="shared" si="1"/>
        <v/>
      </c>
      <c r="M651" t="s">
        <v>241</v>
      </c>
    </row>
    <row r="652">
      <c r="F652" t="s">
        <v>241</v>
      </c>
      <c r="G652" t="s">
        <v>241</v>
      </c>
      <c r="J652" t="str">
        <f>IFERROR(__xludf.DUMMYFUNCTION("""COMPUTED_VALUE"""),"")</f>
        <v/>
      </c>
      <c r="K652" t="s">
        <v>241</v>
      </c>
      <c r="L652" t="str">
        <f t="shared" si="1"/>
        <v/>
      </c>
      <c r="M652" t="s">
        <v>241</v>
      </c>
    </row>
    <row r="653">
      <c r="F653" t="s">
        <v>241</v>
      </c>
      <c r="G653" t="s">
        <v>241</v>
      </c>
      <c r="J653" t="str">
        <f>IFERROR(__xludf.DUMMYFUNCTION("""COMPUTED_VALUE"""),"")</f>
        <v/>
      </c>
      <c r="K653" t="s">
        <v>241</v>
      </c>
      <c r="L653" t="str">
        <f t="shared" si="1"/>
        <v/>
      </c>
      <c r="M653" t="s">
        <v>241</v>
      </c>
    </row>
    <row r="654">
      <c r="F654" t="s">
        <v>241</v>
      </c>
      <c r="G654" t="s">
        <v>241</v>
      </c>
      <c r="J654" t="str">
        <f>IFERROR(__xludf.DUMMYFUNCTION("""COMPUTED_VALUE"""),"")</f>
        <v/>
      </c>
      <c r="K654" t="s">
        <v>241</v>
      </c>
      <c r="L654" t="str">
        <f t="shared" si="1"/>
        <v/>
      </c>
      <c r="M654" t="s">
        <v>241</v>
      </c>
    </row>
    <row r="655">
      <c r="F655" t="s">
        <v>241</v>
      </c>
      <c r="G655" t="s">
        <v>241</v>
      </c>
      <c r="J655" t="str">
        <f>IFERROR(__xludf.DUMMYFUNCTION("""COMPUTED_VALUE"""),"")</f>
        <v/>
      </c>
      <c r="K655" t="s">
        <v>241</v>
      </c>
      <c r="L655" t="str">
        <f t="shared" si="1"/>
        <v/>
      </c>
      <c r="M655" t="s">
        <v>241</v>
      </c>
    </row>
    <row r="656">
      <c r="F656" t="s">
        <v>241</v>
      </c>
      <c r="G656" t="s">
        <v>241</v>
      </c>
      <c r="J656" t="str">
        <f>IFERROR(__xludf.DUMMYFUNCTION("""COMPUTED_VALUE"""),"")</f>
        <v/>
      </c>
      <c r="K656" t="s">
        <v>241</v>
      </c>
      <c r="L656" t="str">
        <f t="shared" si="1"/>
        <v/>
      </c>
      <c r="M656" t="s">
        <v>241</v>
      </c>
    </row>
    <row r="657">
      <c r="F657" t="s">
        <v>241</v>
      </c>
      <c r="G657" t="s">
        <v>241</v>
      </c>
      <c r="J657" t="str">
        <f>IFERROR(__xludf.DUMMYFUNCTION("""COMPUTED_VALUE"""),"")</f>
        <v/>
      </c>
      <c r="K657" t="s">
        <v>241</v>
      </c>
      <c r="L657" t="str">
        <f t="shared" si="1"/>
        <v/>
      </c>
      <c r="M657" t="s">
        <v>241</v>
      </c>
    </row>
    <row r="658">
      <c r="F658" t="s">
        <v>241</v>
      </c>
      <c r="G658" t="s">
        <v>241</v>
      </c>
      <c r="J658" t="str">
        <f>IFERROR(__xludf.DUMMYFUNCTION("""COMPUTED_VALUE"""),"")</f>
        <v/>
      </c>
      <c r="K658" t="s">
        <v>241</v>
      </c>
      <c r="L658" t="str">
        <f t="shared" si="1"/>
        <v/>
      </c>
      <c r="M658" t="s">
        <v>241</v>
      </c>
    </row>
    <row r="659">
      <c r="F659" t="s">
        <v>241</v>
      </c>
      <c r="G659" t="s">
        <v>241</v>
      </c>
      <c r="J659" t="str">
        <f>IFERROR(__xludf.DUMMYFUNCTION("""COMPUTED_VALUE"""),"")</f>
        <v/>
      </c>
      <c r="K659" t="s">
        <v>241</v>
      </c>
      <c r="L659" t="str">
        <f t="shared" si="1"/>
        <v/>
      </c>
      <c r="M659" t="s">
        <v>241</v>
      </c>
    </row>
    <row r="660">
      <c r="F660" t="s">
        <v>241</v>
      </c>
      <c r="G660" t="s">
        <v>241</v>
      </c>
      <c r="J660" t="str">
        <f>IFERROR(__xludf.DUMMYFUNCTION("""COMPUTED_VALUE"""),"")</f>
        <v/>
      </c>
      <c r="K660" t="s">
        <v>241</v>
      </c>
      <c r="L660" t="str">
        <f t="shared" si="1"/>
        <v/>
      </c>
      <c r="M660" t="s">
        <v>241</v>
      </c>
    </row>
    <row r="661">
      <c r="F661" t="s">
        <v>241</v>
      </c>
      <c r="G661" t="s">
        <v>241</v>
      </c>
      <c r="J661" t="str">
        <f>IFERROR(__xludf.DUMMYFUNCTION("""COMPUTED_VALUE"""),"")</f>
        <v/>
      </c>
      <c r="K661" t="s">
        <v>241</v>
      </c>
      <c r="L661" t="str">
        <f t="shared" si="1"/>
        <v/>
      </c>
      <c r="M661" t="s">
        <v>241</v>
      </c>
    </row>
    <row r="662">
      <c r="F662" t="s">
        <v>241</v>
      </c>
      <c r="G662" t="s">
        <v>241</v>
      </c>
      <c r="J662" t="str">
        <f>IFERROR(__xludf.DUMMYFUNCTION("""COMPUTED_VALUE"""),"")</f>
        <v/>
      </c>
      <c r="K662" t="s">
        <v>241</v>
      </c>
      <c r="L662" t="str">
        <f t="shared" si="1"/>
        <v/>
      </c>
      <c r="M662" t="s">
        <v>241</v>
      </c>
    </row>
    <row r="663">
      <c r="F663" t="s">
        <v>241</v>
      </c>
      <c r="G663" t="s">
        <v>241</v>
      </c>
      <c r="J663" t="str">
        <f>IFERROR(__xludf.DUMMYFUNCTION("""COMPUTED_VALUE"""),"")</f>
        <v/>
      </c>
      <c r="K663" t="s">
        <v>241</v>
      </c>
      <c r="L663" t="str">
        <f t="shared" si="1"/>
        <v/>
      </c>
      <c r="M663" t="s">
        <v>241</v>
      </c>
    </row>
    <row r="664">
      <c r="F664" t="s">
        <v>241</v>
      </c>
      <c r="G664" t="s">
        <v>241</v>
      </c>
      <c r="J664" t="str">
        <f>IFERROR(__xludf.DUMMYFUNCTION("""COMPUTED_VALUE"""),"")</f>
        <v/>
      </c>
      <c r="K664" t="s">
        <v>241</v>
      </c>
      <c r="L664" t="str">
        <f t="shared" si="1"/>
        <v/>
      </c>
      <c r="M664" t="s">
        <v>241</v>
      </c>
    </row>
    <row r="665">
      <c r="F665" t="s">
        <v>241</v>
      </c>
      <c r="G665" t="s">
        <v>241</v>
      </c>
      <c r="J665" t="str">
        <f>IFERROR(__xludf.DUMMYFUNCTION("""COMPUTED_VALUE"""),"")</f>
        <v/>
      </c>
      <c r="K665" t="s">
        <v>241</v>
      </c>
      <c r="L665" t="str">
        <f t="shared" si="1"/>
        <v/>
      </c>
      <c r="M665" t="s">
        <v>241</v>
      </c>
    </row>
    <row r="666">
      <c r="F666" t="s">
        <v>241</v>
      </c>
      <c r="G666" t="s">
        <v>241</v>
      </c>
      <c r="J666" t="str">
        <f>IFERROR(__xludf.DUMMYFUNCTION("""COMPUTED_VALUE"""),"")</f>
        <v/>
      </c>
      <c r="K666" t="s">
        <v>241</v>
      </c>
      <c r="L666" t="str">
        <f t="shared" si="1"/>
        <v/>
      </c>
      <c r="M666" t="s">
        <v>241</v>
      </c>
    </row>
    <row r="667">
      <c r="F667" t="s">
        <v>241</v>
      </c>
      <c r="G667" t="s">
        <v>241</v>
      </c>
      <c r="J667" t="str">
        <f>IFERROR(__xludf.DUMMYFUNCTION("""COMPUTED_VALUE"""),"")</f>
        <v/>
      </c>
      <c r="K667" t="s">
        <v>241</v>
      </c>
      <c r="L667" t="str">
        <f t="shared" si="1"/>
        <v/>
      </c>
      <c r="M667" t="s">
        <v>241</v>
      </c>
    </row>
    <row r="668">
      <c r="F668" t="s">
        <v>241</v>
      </c>
      <c r="G668" t="s">
        <v>241</v>
      </c>
      <c r="J668" t="str">
        <f>IFERROR(__xludf.DUMMYFUNCTION("""COMPUTED_VALUE"""),"")</f>
        <v/>
      </c>
      <c r="K668" t="s">
        <v>241</v>
      </c>
      <c r="L668" t="str">
        <f t="shared" si="1"/>
        <v/>
      </c>
      <c r="M668" t="s">
        <v>241</v>
      </c>
    </row>
    <row r="669">
      <c r="F669" t="s">
        <v>241</v>
      </c>
      <c r="G669" t="s">
        <v>241</v>
      </c>
      <c r="J669" t="str">
        <f>IFERROR(__xludf.DUMMYFUNCTION("""COMPUTED_VALUE"""),"")</f>
        <v/>
      </c>
      <c r="K669" t="s">
        <v>241</v>
      </c>
      <c r="L669" t="str">
        <f t="shared" si="1"/>
        <v/>
      </c>
      <c r="M669" t="s">
        <v>241</v>
      </c>
    </row>
    <row r="670">
      <c r="F670" t="s">
        <v>241</v>
      </c>
      <c r="G670" t="s">
        <v>241</v>
      </c>
      <c r="J670" t="str">
        <f>IFERROR(__xludf.DUMMYFUNCTION("""COMPUTED_VALUE"""),"")</f>
        <v/>
      </c>
      <c r="K670" t="s">
        <v>241</v>
      </c>
      <c r="L670" t="str">
        <f t="shared" si="1"/>
        <v/>
      </c>
      <c r="M670" t="s">
        <v>241</v>
      </c>
    </row>
    <row r="671">
      <c r="F671" t="s">
        <v>241</v>
      </c>
      <c r="G671" t="s">
        <v>241</v>
      </c>
      <c r="J671" t="str">
        <f>IFERROR(__xludf.DUMMYFUNCTION("""COMPUTED_VALUE"""),"")</f>
        <v/>
      </c>
      <c r="K671" t="s">
        <v>241</v>
      </c>
      <c r="L671" t="str">
        <f t="shared" si="1"/>
        <v/>
      </c>
      <c r="M671" t="s">
        <v>241</v>
      </c>
    </row>
    <row r="672">
      <c r="F672" t="s">
        <v>241</v>
      </c>
      <c r="G672" t="s">
        <v>241</v>
      </c>
      <c r="J672" t="str">
        <f>IFERROR(__xludf.DUMMYFUNCTION("""COMPUTED_VALUE"""),"")</f>
        <v/>
      </c>
      <c r="K672" t="s">
        <v>241</v>
      </c>
      <c r="L672" t="str">
        <f t="shared" si="1"/>
        <v/>
      </c>
      <c r="M672" t="s">
        <v>241</v>
      </c>
    </row>
    <row r="673">
      <c r="F673" t="s">
        <v>241</v>
      </c>
      <c r="G673" t="s">
        <v>241</v>
      </c>
      <c r="J673" t="str">
        <f>IFERROR(__xludf.DUMMYFUNCTION("""COMPUTED_VALUE"""),"")</f>
        <v/>
      </c>
      <c r="K673" t="s">
        <v>241</v>
      </c>
      <c r="L673" t="str">
        <f t="shared" si="1"/>
        <v/>
      </c>
      <c r="M673" t="s">
        <v>241</v>
      </c>
    </row>
    <row r="674">
      <c r="F674" t="s">
        <v>241</v>
      </c>
      <c r="G674" t="s">
        <v>241</v>
      </c>
      <c r="J674" t="str">
        <f>IFERROR(__xludf.DUMMYFUNCTION("""COMPUTED_VALUE"""),"")</f>
        <v/>
      </c>
      <c r="K674" t="s">
        <v>241</v>
      </c>
      <c r="L674" t="str">
        <f t="shared" si="1"/>
        <v/>
      </c>
      <c r="M674" t="s">
        <v>241</v>
      </c>
    </row>
    <row r="675">
      <c r="F675" t="s">
        <v>241</v>
      </c>
      <c r="G675" t="s">
        <v>241</v>
      </c>
      <c r="J675" t="str">
        <f>IFERROR(__xludf.DUMMYFUNCTION("""COMPUTED_VALUE"""),"")</f>
        <v/>
      </c>
      <c r="K675" t="s">
        <v>241</v>
      </c>
      <c r="L675" t="str">
        <f t="shared" si="1"/>
        <v/>
      </c>
      <c r="M675" t="s">
        <v>241</v>
      </c>
    </row>
    <row r="676">
      <c r="F676" t="s">
        <v>241</v>
      </c>
      <c r="G676" t="s">
        <v>241</v>
      </c>
      <c r="J676" t="str">
        <f>IFERROR(__xludf.DUMMYFUNCTION("""COMPUTED_VALUE"""),"")</f>
        <v/>
      </c>
      <c r="K676" t="s">
        <v>241</v>
      </c>
      <c r="L676" t="str">
        <f t="shared" si="1"/>
        <v/>
      </c>
      <c r="M676" t="s">
        <v>241</v>
      </c>
    </row>
    <row r="677">
      <c r="F677" t="s">
        <v>241</v>
      </c>
      <c r="G677" t="s">
        <v>241</v>
      </c>
      <c r="J677" t="str">
        <f>IFERROR(__xludf.DUMMYFUNCTION("""COMPUTED_VALUE"""),"")</f>
        <v/>
      </c>
      <c r="K677" t="s">
        <v>241</v>
      </c>
      <c r="L677" t="str">
        <f t="shared" si="1"/>
        <v/>
      </c>
      <c r="M677" t="s">
        <v>241</v>
      </c>
    </row>
    <row r="678">
      <c r="F678" t="s">
        <v>241</v>
      </c>
      <c r="G678" t="s">
        <v>241</v>
      </c>
      <c r="J678" t="str">
        <f>IFERROR(__xludf.DUMMYFUNCTION("""COMPUTED_VALUE"""),"")</f>
        <v/>
      </c>
      <c r="K678" t="s">
        <v>241</v>
      </c>
      <c r="L678" t="str">
        <f t="shared" si="1"/>
        <v/>
      </c>
      <c r="M678" t="s">
        <v>241</v>
      </c>
    </row>
    <row r="679">
      <c r="F679" t="s">
        <v>241</v>
      </c>
      <c r="G679" t="s">
        <v>241</v>
      </c>
      <c r="J679" t="str">
        <f>IFERROR(__xludf.DUMMYFUNCTION("""COMPUTED_VALUE"""),"")</f>
        <v/>
      </c>
      <c r="K679" t="s">
        <v>241</v>
      </c>
      <c r="L679" t="str">
        <f t="shared" si="1"/>
        <v/>
      </c>
      <c r="M679" t="s">
        <v>241</v>
      </c>
    </row>
    <row r="680">
      <c r="F680" t="s">
        <v>241</v>
      </c>
      <c r="G680" t="s">
        <v>241</v>
      </c>
      <c r="J680" t="str">
        <f>IFERROR(__xludf.DUMMYFUNCTION("""COMPUTED_VALUE"""),"")</f>
        <v/>
      </c>
      <c r="K680" t="s">
        <v>241</v>
      </c>
      <c r="L680" t="str">
        <f t="shared" si="1"/>
        <v/>
      </c>
      <c r="M680" t="s">
        <v>241</v>
      </c>
    </row>
    <row r="681">
      <c r="F681" t="s">
        <v>241</v>
      </c>
      <c r="G681" t="s">
        <v>241</v>
      </c>
      <c r="J681" t="str">
        <f>IFERROR(__xludf.DUMMYFUNCTION("""COMPUTED_VALUE"""),"")</f>
        <v/>
      </c>
      <c r="K681" t="s">
        <v>241</v>
      </c>
      <c r="L681" t="str">
        <f t="shared" si="1"/>
        <v/>
      </c>
      <c r="M681" t="s">
        <v>241</v>
      </c>
    </row>
    <row r="682">
      <c r="F682" t="s">
        <v>241</v>
      </c>
      <c r="G682" t="s">
        <v>241</v>
      </c>
      <c r="J682" t="str">
        <f>IFERROR(__xludf.DUMMYFUNCTION("""COMPUTED_VALUE"""),"")</f>
        <v/>
      </c>
      <c r="K682" t="s">
        <v>241</v>
      </c>
      <c r="L682" t="str">
        <f t="shared" si="1"/>
        <v/>
      </c>
      <c r="M682" t="s">
        <v>241</v>
      </c>
    </row>
    <row r="683">
      <c r="F683" t="s">
        <v>241</v>
      </c>
      <c r="G683" t="s">
        <v>241</v>
      </c>
      <c r="J683" t="str">
        <f>IFERROR(__xludf.DUMMYFUNCTION("""COMPUTED_VALUE"""),"")</f>
        <v/>
      </c>
      <c r="K683" t="s">
        <v>241</v>
      </c>
      <c r="L683" t="str">
        <f t="shared" si="1"/>
        <v/>
      </c>
      <c r="M683" t="s">
        <v>241</v>
      </c>
    </row>
    <row r="684">
      <c r="F684" t="s">
        <v>241</v>
      </c>
      <c r="G684" t="s">
        <v>241</v>
      </c>
      <c r="J684" t="str">
        <f>IFERROR(__xludf.DUMMYFUNCTION("""COMPUTED_VALUE"""),"")</f>
        <v/>
      </c>
      <c r="K684" t="s">
        <v>241</v>
      </c>
      <c r="L684" t="str">
        <f t="shared" si="1"/>
        <v/>
      </c>
      <c r="M684" t="s">
        <v>241</v>
      </c>
    </row>
    <row r="685">
      <c r="F685" t="s">
        <v>241</v>
      </c>
      <c r="G685" t="s">
        <v>241</v>
      </c>
      <c r="J685" t="str">
        <f>IFERROR(__xludf.DUMMYFUNCTION("""COMPUTED_VALUE"""),"")</f>
        <v/>
      </c>
      <c r="K685" t="s">
        <v>241</v>
      </c>
      <c r="L685" t="str">
        <f t="shared" si="1"/>
        <v/>
      </c>
      <c r="M685" t="s">
        <v>241</v>
      </c>
    </row>
    <row r="686">
      <c r="F686" t="s">
        <v>241</v>
      </c>
      <c r="G686" t="s">
        <v>241</v>
      </c>
      <c r="J686" t="str">
        <f>IFERROR(__xludf.DUMMYFUNCTION("""COMPUTED_VALUE"""),"")</f>
        <v/>
      </c>
      <c r="K686" t="s">
        <v>241</v>
      </c>
      <c r="L686" t="str">
        <f t="shared" si="1"/>
        <v/>
      </c>
      <c r="M686" t="s">
        <v>241</v>
      </c>
    </row>
    <row r="687">
      <c r="F687" t="s">
        <v>241</v>
      </c>
      <c r="G687" t="s">
        <v>241</v>
      </c>
      <c r="J687" t="str">
        <f>IFERROR(__xludf.DUMMYFUNCTION("""COMPUTED_VALUE"""),"")</f>
        <v/>
      </c>
      <c r="K687" t="s">
        <v>241</v>
      </c>
      <c r="L687" t="str">
        <f t="shared" si="1"/>
        <v/>
      </c>
      <c r="M687" t="s">
        <v>241</v>
      </c>
    </row>
    <row r="688">
      <c r="F688" t="s">
        <v>241</v>
      </c>
      <c r="G688" t="s">
        <v>241</v>
      </c>
      <c r="J688" t="str">
        <f>IFERROR(__xludf.DUMMYFUNCTION("""COMPUTED_VALUE"""),"")</f>
        <v/>
      </c>
      <c r="K688" t="s">
        <v>241</v>
      </c>
      <c r="L688" t="str">
        <f t="shared" si="1"/>
        <v/>
      </c>
      <c r="M688" t="s">
        <v>241</v>
      </c>
    </row>
    <row r="689">
      <c r="F689" t="s">
        <v>241</v>
      </c>
      <c r="G689" t="s">
        <v>241</v>
      </c>
      <c r="J689" t="str">
        <f>IFERROR(__xludf.DUMMYFUNCTION("""COMPUTED_VALUE"""),"")</f>
        <v/>
      </c>
      <c r="K689" t="s">
        <v>241</v>
      </c>
      <c r="L689" t="str">
        <f t="shared" si="1"/>
        <v/>
      </c>
      <c r="M689" t="s">
        <v>241</v>
      </c>
    </row>
    <row r="690">
      <c r="F690" t="s">
        <v>241</v>
      </c>
      <c r="G690" t="s">
        <v>241</v>
      </c>
      <c r="J690" t="str">
        <f>IFERROR(__xludf.DUMMYFUNCTION("""COMPUTED_VALUE"""),"")</f>
        <v/>
      </c>
      <c r="K690" t="s">
        <v>241</v>
      </c>
      <c r="L690" t="str">
        <f t="shared" si="1"/>
        <v/>
      </c>
      <c r="M690" t="s">
        <v>241</v>
      </c>
    </row>
    <row r="691">
      <c r="F691" t="s">
        <v>241</v>
      </c>
      <c r="G691" t="s">
        <v>241</v>
      </c>
      <c r="J691" t="str">
        <f>IFERROR(__xludf.DUMMYFUNCTION("""COMPUTED_VALUE"""),"")</f>
        <v/>
      </c>
      <c r="K691" t="s">
        <v>241</v>
      </c>
      <c r="L691" t="str">
        <f t="shared" si="1"/>
        <v/>
      </c>
      <c r="M691" t="s">
        <v>241</v>
      </c>
    </row>
    <row r="692">
      <c r="F692" t="s">
        <v>241</v>
      </c>
      <c r="G692" t="s">
        <v>241</v>
      </c>
      <c r="J692" t="str">
        <f>IFERROR(__xludf.DUMMYFUNCTION("""COMPUTED_VALUE"""),"")</f>
        <v/>
      </c>
      <c r="K692" t="s">
        <v>241</v>
      </c>
      <c r="L692" t="str">
        <f t="shared" si="1"/>
        <v/>
      </c>
      <c r="M692" t="s">
        <v>241</v>
      </c>
    </row>
    <row r="693">
      <c r="F693" t="s">
        <v>241</v>
      </c>
      <c r="G693" t="s">
        <v>241</v>
      </c>
      <c r="J693" t="str">
        <f>IFERROR(__xludf.DUMMYFUNCTION("""COMPUTED_VALUE"""),"")</f>
        <v/>
      </c>
      <c r="K693" t="s">
        <v>241</v>
      </c>
      <c r="L693" t="str">
        <f t="shared" si="1"/>
        <v/>
      </c>
      <c r="M693" t="s">
        <v>241</v>
      </c>
    </row>
    <row r="694">
      <c r="F694" t="s">
        <v>241</v>
      </c>
      <c r="G694" t="s">
        <v>241</v>
      </c>
      <c r="J694" t="str">
        <f>IFERROR(__xludf.DUMMYFUNCTION("""COMPUTED_VALUE"""),"")</f>
        <v/>
      </c>
      <c r="K694" t="s">
        <v>241</v>
      </c>
      <c r="L694" t="str">
        <f t="shared" si="1"/>
        <v/>
      </c>
      <c r="M694" t="s">
        <v>241</v>
      </c>
    </row>
    <row r="695">
      <c r="F695" t="s">
        <v>241</v>
      </c>
      <c r="G695" t="s">
        <v>241</v>
      </c>
      <c r="J695" t="str">
        <f>IFERROR(__xludf.DUMMYFUNCTION("""COMPUTED_VALUE"""),"")</f>
        <v/>
      </c>
      <c r="K695" t="s">
        <v>241</v>
      </c>
      <c r="L695" t="str">
        <f t="shared" si="1"/>
        <v/>
      </c>
      <c r="M695" t="s">
        <v>241</v>
      </c>
    </row>
    <row r="696">
      <c r="F696" t="s">
        <v>241</v>
      </c>
      <c r="G696" t="s">
        <v>241</v>
      </c>
      <c r="J696" t="str">
        <f>IFERROR(__xludf.DUMMYFUNCTION("""COMPUTED_VALUE"""),"")</f>
        <v/>
      </c>
      <c r="K696" t="s">
        <v>241</v>
      </c>
      <c r="L696" t="str">
        <f t="shared" si="1"/>
        <v/>
      </c>
      <c r="M696" t="s">
        <v>241</v>
      </c>
    </row>
    <row r="697">
      <c r="F697" t="s">
        <v>241</v>
      </c>
      <c r="G697" t="s">
        <v>241</v>
      </c>
      <c r="J697" t="str">
        <f>IFERROR(__xludf.DUMMYFUNCTION("""COMPUTED_VALUE"""),"")</f>
        <v/>
      </c>
      <c r="K697" t="s">
        <v>241</v>
      </c>
      <c r="L697" t="str">
        <f t="shared" si="1"/>
        <v/>
      </c>
      <c r="M697" t="s">
        <v>241</v>
      </c>
    </row>
    <row r="698">
      <c r="F698" t="s">
        <v>241</v>
      </c>
      <c r="G698" t="s">
        <v>241</v>
      </c>
      <c r="J698" t="str">
        <f>IFERROR(__xludf.DUMMYFUNCTION("""COMPUTED_VALUE"""),"")</f>
        <v/>
      </c>
      <c r="K698" t="s">
        <v>241</v>
      </c>
      <c r="L698" t="str">
        <f t="shared" si="1"/>
        <v/>
      </c>
      <c r="M698" t="s">
        <v>241</v>
      </c>
    </row>
    <row r="699">
      <c r="F699" t="s">
        <v>241</v>
      </c>
      <c r="G699" t="s">
        <v>241</v>
      </c>
      <c r="J699" t="str">
        <f>IFERROR(__xludf.DUMMYFUNCTION("""COMPUTED_VALUE"""),"")</f>
        <v/>
      </c>
      <c r="K699" t="s">
        <v>241</v>
      </c>
      <c r="L699" t="str">
        <f t="shared" si="1"/>
        <v/>
      </c>
      <c r="M699" t="s">
        <v>241</v>
      </c>
    </row>
    <row r="700">
      <c r="F700" t="s">
        <v>241</v>
      </c>
      <c r="G700" t="s">
        <v>241</v>
      </c>
      <c r="J700" t="str">
        <f>IFERROR(__xludf.DUMMYFUNCTION("""COMPUTED_VALUE"""),"")</f>
        <v/>
      </c>
      <c r="K700" t="s">
        <v>241</v>
      </c>
      <c r="L700" t="str">
        <f t="shared" si="1"/>
        <v/>
      </c>
      <c r="M700" t="s">
        <v>241</v>
      </c>
    </row>
    <row r="701">
      <c r="F701" t="s">
        <v>241</v>
      </c>
      <c r="G701" t="s">
        <v>241</v>
      </c>
      <c r="J701" t="str">
        <f>IFERROR(__xludf.DUMMYFUNCTION("""COMPUTED_VALUE"""),"")</f>
        <v/>
      </c>
      <c r="K701" t="s">
        <v>241</v>
      </c>
      <c r="L701" t="str">
        <f t="shared" si="1"/>
        <v/>
      </c>
      <c r="M701" t="s">
        <v>241</v>
      </c>
    </row>
    <row r="702">
      <c r="F702" t="s">
        <v>241</v>
      </c>
      <c r="G702" t="s">
        <v>241</v>
      </c>
      <c r="J702" t="str">
        <f>IFERROR(__xludf.DUMMYFUNCTION("""COMPUTED_VALUE"""),"")</f>
        <v/>
      </c>
      <c r="K702" t="s">
        <v>241</v>
      </c>
      <c r="L702" t="str">
        <f t="shared" si="1"/>
        <v/>
      </c>
      <c r="M702" t="s">
        <v>241</v>
      </c>
    </row>
    <row r="703">
      <c r="F703" t="s">
        <v>241</v>
      </c>
      <c r="G703" t="s">
        <v>241</v>
      </c>
      <c r="J703" t="str">
        <f>IFERROR(__xludf.DUMMYFUNCTION("""COMPUTED_VALUE"""),"")</f>
        <v/>
      </c>
      <c r="K703" t="s">
        <v>241</v>
      </c>
      <c r="L703" t="str">
        <f t="shared" si="1"/>
        <v/>
      </c>
      <c r="M703" t="s">
        <v>241</v>
      </c>
    </row>
    <row r="704">
      <c r="F704" t="s">
        <v>241</v>
      </c>
      <c r="G704" t="s">
        <v>241</v>
      </c>
      <c r="J704" t="str">
        <f>IFERROR(__xludf.DUMMYFUNCTION("""COMPUTED_VALUE"""),"")</f>
        <v/>
      </c>
      <c r="K704" t="s">
        <v>241</v>
      </c>
      <c r="L704" t="str">
        <f t="shared" si="1"/>
        <v/>
      </c>
      <c r="M704" t="s">
        <v>241</v>
      </c>
    </row>
    <row r="705">
      <c r="F705" t="s">
        <v>241</v>
      </c>
      <c r="G705" t="s">
        <v>241</v>
      </c>
      <c r="J705" t="str">
        <f>IFERROR(__xludf.DUMMYFUNCTION("""COMPUTED_VALUE"""),"")</f>
        <v/>
      </c>
      <c r="K705" t="s">
        <v>241</v>
      </c>
      <c r="L705" t="str">
        <f t="shared" si="1"/>
        <v/>
      </c>
      <c r="M705" t="s">
        <v>241</v>
      </c>
    </row>
    <row r="706">
      <c r="F706" t="s">
        <v>241</v>
      </c>
      <c r="G706" t="s">
        <v>241</v>
      </c>
      <c r="J706" t="str">
        <f>IFERROR(__xludf.DUMMYFUNCTION("""COMPUTED_VALUE"""),"")</f>
        <v/>
      </c>
      <c r="K706" t="s">
        <v>241</v>
      </c>
      <c r="L706" t="str">
        <f t="shared" si="1"/>
        <v/>
      </c>
      <c r="M706" t="s">
        <v>241</v>
      </c>
    </row>
    <row r="707">
      <c r="F707" t="s">
        <v>241</v>
      </c>
      <c r="G707" t="s">
        <v>241</v>
      </c>
      <c r="J707" t="str">
        <f>IFERROR(__xludf.DUMMYFUNCTION("""COMPUTED_VALUE"""),"")</f>
        <v/>
      </c>
      <c r="K707" t="s">
        <v>241</v>
      </c>
      <c r="L707" t="str">
        <f t="shared" si="1"/>
        <v/>
      </c>
      <c r="M707" t="s">
        <v>241</v>
      </c>
    </row>
    <row r="708">
      <c r="F708" t="s">
        <v>241</v>
      </c>
      <c r="G708" t="s">
        <v>241</v>
      </c>
      <c r="J708" t="str">
        <f>IFERROR(__xludf.DUMMYFUNCTION("""COMPUTED_VALUE"""),"")</f>
        <v/>
      </c>
      <c r="K708" t="s">
        <v>241</v>
      </c>
      <c r="L708" t="str">
        <f t="shared" si="1"/>
        <v/>
      </c>
      <c r="M708" t="s">
        <v>241</v>
      </c>
    </row>
    <row r="709">
      <c r="F709" t="s">
        <v>241</v>
      </c>
      <c r="G709" t="s">
        <v>241</v>
      </c>
      <c r="J709" t="str">
        <f>IFERROR(__xludf.DUMMYFUNCTION("""COMPUTED_VALUE"""),"")</f>
        <v/>
      </c>
      <c r="K709" t="s">
        <v>241</v>
      </c>
      <c r="L709" t="str">
        <f t="shared" si="1"/>
        <v/>
      </c>
      <c r="M709" t="s">
        <v>241</v>
      </c>
    </row>
    <row r="710">
      <c r="F710" t="s">
        <v>241</v>
      </c>
      <c r="G710" t="s">
        <v>241</v>
      </c>
      <c r="J710" t="str">
        <f>IFERROR(__xludf.DUMMYFUNCTION("""COMPUTED_VALUE"""),"")</f>
        <v/>
      </c>
      <c r="K710" t="s">
        <v>241</v>
      </c>
      <c r="L710" t="str">
        <f t="shared" si="1"/>
        <v/>
      </c>
      <c r="M710" t="s">
        <v>241</v>
      </c>
    </row>
    <row r="711">
      <c r="F711" t="s">
        <v>241</v>
      </c>
      <c r="G711" t="s">
        <v>241</v>
      </c>
      <c r="J711" t="str">
        <f>IFERROR(__xludf.DUMMYFUNCTION("""COMPUTED_VALUE"""),"")</f>
        <v/>
      </c>
      <c r="K711" t="s">
        <v>241</v>
      </c>
      <c r="L711" t="str">
        <f t="shared" si="1"/>
        <v/>
      </c>
      <c r="M711" t="s">
        <v>241</v>
      </c>
    </row>
    <row r="712">
      <c r="F712" t="s">
        <v>241</v>
      </c>
      <c r="G712" t="s">
        <v>241</v>
      </c>
      <c r="J712" t="str">
        <f>IFERROR(__xludf.DUMMYFUNCTION("""COMPUTED_VALUE"""),"")</f>
        <v/>
      </c>
      <c r="K712" t="s">
        <v>241</v>
      </c>
      <c r="L712" t="str">
        <f t="shared" si="1"/>
        <v/>
      </c>
      <c r="M712" t="s">
        <v>241</v>
      </c>
    </row>
    <row r="713">
      <c r="F713" t="s">
        <v>241</v>
      </c>
      <c r="G713" t="s">
        <v>241</v>
      </c>
      <c r="J713" t="str">
        <f>IFERROR(__xludf.DUMMYFUNCTION("""COMPUTED_VALUE"""),"")</f>
        <v/>
      </c>
      <c r="K713" t="s">
        <v>241</v>
      </c>
      <c r="L713" t="str">
        <f t="shared" si="1"/>
        <v/>
      </c>
      <c r="M713" t="s">
        <v>241</v>
      </c>
    </row>
    <row r="714">
      <c r="F714" t="s">
        <v>241</v>
      </c>
      <c r="G714" t="s">
        <v>241</v>
      </c>
      <c r="J714" t="str">
        <f>IFERROR(__xludf.DUMMYFUNCTION("""COMPUTED_VALUE"""),"")</f>
        <v/>
      </c>
      <c r="K714" t="s">
        <v>241</v>
      </c>
      <c r="L714" t="str">
        <f t="shared" si="1"/>
        <v/>
      </c>
      <c r="M714" t="s">
        <v>241</v>
      </c>
    </row>
    <row r="715">
      <c r="F715" t="s">
        <v>241</v>
      </c>
      <c r="G715" t="s">
        <v>241</v>
      </c>
      <c r="J715" t="str">
        <f>IFERROR(__xludf.DUMMYFUNCTION("""COMPUTED_VALUE"""),"")</f>
        <v/>
      </c>
      <c r="K715" t="s">
        <v>241</v>
      </c>
      <c r="L715" t="str">
        <f t="shared" si="1"/>
        <v/>
      </c>
      <c r="M715" t="s">
        <v>241</v>
      </c>
    </row>
    <row r="716">
      <c r="F716" t="s">
        <v>241</v>
      </c>
      <c r="G716" t="s">
        <v>241</v>
      </c>
      <c r="J716" t="str">
        <f>IFERROR(__xludf.DUMMYFUNCTION("""COMPUTED_VALUE"""),"")</f>
        <v/>
      </c>
      <c r="K716" t="s">
        <v>241</v>
      </c>
      <c r="L716" t="str">
        <f t="shared" si="1"/>
        <v/>
      </c>
      <c r="M716" t="s">
        <v>241</v>
      </c>
    </row>
    <row r="717">
      <c r="F717" t="s">
        <v>241</v>
      </c>
      <c r="G717" t="s">
        <v>241</v>
      </c>
      <c r="J717" t="str">
        <f>IFERROR(__xludf.DUMMYFUNCTION("""COMPUTED_VALUE"""),"")</f>
        <v/>
      </c>
      <c r="K717" t="s">
        <v>241</v>
      </c>
      <c r="L717" t="str">
        <f t="shared" si="1"/>
        <v/>
      </c>
      <c r="M717" t="s">
        <v>241</v>
      </c>
    </row>
    <row r="718">
      <c r="F718" t="s">
        <v>241</v>
      </c>
      <c r="G718" t="s">
        <v>241</v>
      </c>
      <c r="J718" t="str">
        <f>IFERROR(__xludf.DUMMYFUNCTION("""COMPUTED_VALUE"""),"")</f>
        <v/>
      </c>
      <c r="K718" t="s">
        <v>241</v>
      </c>
      <c r="L718" t="str">
        <f t="shared" si="1"/>
        <v/>
      </c>
      <c r="M718" t="s">
        <v>241</v>
      </c>
    </row>
    <row r="719">
      <c r="F719" t="s">
        <v>241</v>
      </c>
      <c r="G719" t="s">
        <v>241</v>
      </c>
      <c r="J719" t="str">
        <f>IFERROR(__xludf.DUMMYFUNCTION("""COMPUTED_VALUE"""),"")</f>
        <v/>
      </c>
      <c r="K719" t="s">
        <v>241</v>
      </c>
      <c r="L719" t="str">
        <f t="shared" si="1"/>
        <v/>
      </c>
      <c r="M719" t="s">
        <v>241</v>
      </c>
    </row>
    <row r="720">
      <c r="F720" t="s">
        <v>241</v>
      </c>
      <c r="G720" t="s">
        <v>241</v>
      </c>
      <c r="J720" t="str">
        <f>IFERROR(__xludf.DUMMYFUNCTION("""COMPUTED_VALUE"""),"")</f>
        <v/>
      </c>
      <c r="K720" t="s">
        <v>241</v>
      </c>
      <c r="L720" t="str">
        <f t="shared" si="1"/>
        <v/>
      </c>
      <c r="M720" t="s">
        <v>241</v>
      </c>
    </row>
    <row r="721">
      <c r="F721" t="s">
        <v>241</v>
      </c>
      <c r="G721" t="s">
        <v>241</v>
      </c>
      <c r="J721" t="str">
        <f>IFERROR(__xludf.DUMMYFUNCTION("""COMPUTED_VALUE"""),"")</f>
        <v/>
      </c>
      <c r="K721" t="s">
        <v>241</v>
      </c>
      <c r="L721" t="str">
        <f t="shared" si="1"/>
        <v/>
      </c>
      <c r="M721" t="s">
        <v>241</v>
      </c>
    </row>
    <row r="722">
      <c r="F722" t="s">
        <v>241</v>
      </c>
      <c r="G722" t="s">
        <v>241</v>
      </c>
      <c r="J722" t="str">
        <f>IFERROR(__xludf.DUMMYFUNCTION("""COMPUTED_VALUE"""),"")</f>
        <v/>
      </c>
      <c r="K722" t="s">
        <v>241</v>
      </c>
      <c r="L722" t="str">
        <f t="shared" si="1"/>
        <v/>
      </c>
      <c r="M722" t="s">
        <v>241</v>
      </c>
    </row>
    <row r="723">
      <c r="F723" t="s">
        <v>241</v>
      </c>
      <c r="G723" t="s">
        <v>241</v>
      </c>
      <c r="J723" t="str">
        <f>IFERROR(__xludf.DUMMYFUNCTION("""COMPUTED_VALUE"""),"")</f>
        <v/>
      </c>
      <c r="K723" t="s">
        <v>241</v>
      </c>
      <c r="L723" t="str">
        <f t="shared" si="1"/>
        <v/>
      </c>
      <c r="M723" t="s">
        <v>241</v>
      </c>
    </row>
    <row r="724">
      <c r="F724" t="s">
        <v>241</v>
      </c>
      <c r="G724" t="s">
        <v>241</v>
      </c>
      <c r="J724" t="str">
        <f>IFERROR(__xludf.DUMMYFUNCTION("""COMPUTED_VALUE"""),"")</f>
        <v/>
      </c>
      <c r="K724" t="s">
        <v>241</v>
      </c>
      <c r="L724" t="str">
        <f t="shared" si="1"/>
        <v/>
      </c>
      <c r="M724" t="s">
        <v>241</v>
      </c>
    </row>
    <row r="725">
      <c r="F725" t="s">
        <v>241</v>
      </c>
      <c r="G725" t="s">
        <v>241</v>
      </c>
      <c r="J725" t="str">
        <f>IFERROR(__xludf.DUMMYFUNCTION("""COMPUTED_VALUE"""),"")</f>
        <v/>
      </c>
      <c r="K725" t="s">
        <v>241</v>
      </c>
      <c r="L725" t="str">
        <f t="shared" si="1"/>
        <v/>
      </c>
      <c r="M725" t="s">
        <v>241</v>
      </c>
    </row>
    <row r="726">
      <c r="F726" t="s">
        <v>241</v>
      </c>
      <c r="G726" t="s">
        <v>241</v>
      </c>
      <c r="J726" t="str">
        <f>IFERROR(__xludf.DUMMYFUNCTION("""COMPUTED_VALUE"""),"")</f>
        <v/>
      </c>
      <c r="K726" t="s">
        <v>241</v>
      </c>
      <c r="L726" t="str">
        <f t="shared" si="1"/>
        <v/>
      </c>
      <c r="M726" t="s">
        <v>241</v>
      </c>
    </row>
    <row r="727">
      <c r="F727" t="s">
        <v>241</v>
      </c>
      <c r="G727" t="s">
        <v>241</v>
      </c>
      <c r="J727" t="str">
        <f>IFERROR(__xludf.DUMMYFUNCTION("""COMPUTED_VALUE"""),"")</f>
        <v/>
      </c>
      <c r="K727" t="s">
        <v>241</v>
      </c>
      <c r="L727" t="str">
        <f t="shared" si="1"/>
        <v/>
      </c>
      <c r="M727" t="s">
        <v>241</v>
      </c>
    </row>
    <row r="728">
      <c r="F728" t="s">
        <v>241</v>
      </c>
      <c r="G728" t="s">
        <v>241</v>
      </c>
      <c r="J728" t="str">
        <f>IFERROR(__xludf.DUMMYFUNCTION("""COMPUTED_VALUE"""),"")</f>
        <v/>
      </c>
      <c r="K728" t="s">
        <v>241</v>
      </c>
      <c r="L728" t="str">
        <f t="shared" si="1"/>
        <v/>
      </c>
      <c r="M728" t="s">
        <v>241</v>
      </c>
    </row>
    <row r="729">
      <c r="F729" t="s">
        <v>241</v>
      </c>
      <c r="G729" t="s">
        <v>241</v>
      </c>
      <c r="J729" t="str">
        <f>IFERROR(__xludf.DUMMYFUNCTION("""COMPUTED_VALUE"""),"")</f>
        <v/>
      </c>
      <c r="K729" t="s">
        <v>241</v>
      </c>
      <c r="L729" t="str">
        <f t="shared" si="1"/>
        <v/>
      </c>
      <c r="M729" t="s">
        <v>241</v>
      </c>
    </row>
    <row r="730">
      <c r="F730" t="s">
        <v>241</v>
      </c>
      <c r="G730" t="s">
        <v>241</v>
      </c>
      <c r="J730" t="str">
        <f>IFERROR(__xludf.DUMMYFUNCTION("""COMPUTED_VALUE"""),"")</f>
        <v/>
      </c>
      <c r="K730" t="s">
        <v>241</v>
      </c>
      <c r="L730" t="str">
        <f t="shared" si="1"/>
        <v/>
      </c>
      <c r="M730" t="s">
        <v>241</v>
      </c>
    </row>
    <row r="731">
      <c r="F731" t="s">
        <v>241</v>
      </c>
      <c r="G731" t="s">
        <v>241</v>
      </c>
      <c r="J731" t="str">
        <f>IFERROR(__xludf.DUMMYFUNCTION("""COMPUTED_VALUE"""),"")</f>
        <v/>
      </c>
      <c r="K731" t="s">
        <v>241</v>
      </c>
      <c r="L731" t="str">
        <f t="shared" si="1"/>
        <v/>
      </c>
      <c r="M731" t="s">
        <v>241</v>
      </c>
    </row>
    <row r="732">
      <c r="F732" t="s">
        <v>241</v>
      </c>
      <c r="G732" t="s">
        <v>241</v>
      </c>
      <c r="J732" t="str">
        <f>IFERROR(__xludf.DUMMYFUNCTION("""COMPUTED_VALUE"""),"")</f>
        <v/>
      </c>
      <c r="K732" t="s">
        <v>241</v>
      </c>
      <c r="L732" t="str">
        <f t="shared" si="1"/>
        <v/>
      </c>
      <c r="M732" t="s">
        <v>241</v>
      </c>
    </row>
    <row r="733">
      <c r="F733" t="s">
        <v>241</v>
      </c>
      <c r="G733" t="s">
        <v>241</v>
      </c>
      <c r="J733" t="str">
        <f>IFERROR(__xludf.DUMMYFUNCTION("""COMPUTED_VALUE"""),"")</f>
        <v/>
      </c>
      <c r="K733" t="s">
        <v>241</v>
      </c>
      <c r="L733" t="str">
        <f t="shared" si="1"/>
        <v/>
      </c>
      <c r="M733" t="s">
        <v>241</v>
      </c>
    </row>
    <row r="734">
      <c r="F734" t="s">
        <v>241</v>
      </c>
      <c r="G734" t="s">
        <v>241</v>
      </c>
      <c r="J734" t="str">
        <f>IFERROR(__xludf.DUMMYFUNCTION("""COMPUTED_VALUE"""),"")</f>
        <v/>
      </c>
      <c r="K734" t="s">
        <v>241</v>
      </c>
      <c r="L734" t="str">
        <f t="shared" si="1"/>
        <v/>
      </c>
      <c r="M734" t="s">
        <v>241</v>
      </c>
    </row>
    <row r="735">
      <c r="F735" t="s">
        <v>241</v>
      </c>
      <c r="G735" t="s">
        <v>241</v>
      </c>
      <c r="J735" t="str">
        <f>IFERROR(__xludf.DUMMYFUNCTION("""COMPUTED_VALUE"""),"")</f>
        <v/>
      </c>
      <c r="K735" t="s">
        <v>241</v>
      </c>
      <c r="L735" t="str">
        <f t="shared" si="1"/>
        <v/>
      </c>
      <c r="M735" t="s">
        <v>241</v>
      </c>
    </row>
    <row r="736">
      <c r="F736" t="s">
        <v>241</v>
      </c>
      <c r="G736" t="s">
        <v>241</v>
      </c>
      <c r="J736" t="str">
        <f>IFERROR(__xludf.DUMMYFUNCTION("""COMPUTED_VALUE"""),"")</f>
        <v/>
      </c>
      <c r="K736" t="s">
        <v>241</v>
      </c>
      <c r="L736" t="str">
        <f t="shared" si="1"/>
        <v/>
      </c>
      <c r="M736" t="s">
        <v>241</v>
      </c>
    </row>
    <row r="737">
      <c r="F737" t="s">
        <v>241</v>
      </c>
      <c r="G737" t="s">
        <v>241</v>
      </c>
      <c r="J737" t="str">
        <f>IFERROR(__xludf.DUMMYFUNCTION("""COMPUTED_VALUE"""),"")</f>
        <v/>
      </c>
      <c r="K737" t="s">
        <v>241</v>
      </c>
      <c r="L737" t="str">
        <f t="shared" si="1"/>
        <v/>
      </c>
      <c r="M737" t="s">
        <v>241</v>
      </c>
    </row>
    <row r="738">
      <c r="F738" t="s">
        <v>241</v>
      </c>
      <c r="G738" t="s">
        <v>241</v>
      </c>
      <c r="J738" t="str">
        <f>IFERROR(__xludf.DUMMYFUNCTION("""COMPUTED_VALUE"""),"")</f>
        <v/>
      </c>
      <c r="K738" t="s">
        <v>241</v>
      </c>
      <c r="L738" t="str">
        <f t="shared" si="1"/>
        <v/>
      </c>
      <c r="M738" t="s">
        <v>241</v>
      </c>
    </row>
    <row r="739">
      <c r="F739" t="s">
        <v>241</v>
      </c>
      <c r="G739" t="s">
        <v>241</v>
      </c>
      <c r="J739" t="str">
        <f>IFERROR(__xludf.DUMMYFUNCTION("""COMPUTED_VALUE"""),"")</f>
        <v/>
      </c>
      <c r="K739" t="s">
        <v>241</v>
      </c>
      <c r="L739" t="str">
        <f t="shared" si="1"/>
        <v/>
      </c>
      <c r="M739" t="s">
        <v>241</v>
      </c>
    </row>
    <row r="740">
      <c r="F740" t="s">
        <v>241</v>
      </c>
      <c r="G740" t="s">
        <v>241</v>
      </c>
      <c r="J740" t="str">
        <f>IFERROR(__xludf.DUMMYFUNCTION("""COMPUTED_VALUE"""),"")</f>
        <v/>
      </c>
      <c r="K740" t="s">
        <v>241</v>
      </c>
      <c r="L740" t="str">
        <f t="shared" si="1"/>
        <v/>
      </c>
      <c r="M740" t="s">
        <v>241</v>
      </c>
    </row>
    <row r="741">
      <c r="F741" t="s">
        <v>241</v>
      </c>
      <c r="G741" t="s">
        <v>241</v>
      </c>
      <c r="J741" t="str">
        <f>IFERROR(__xludf.DUMMYFUNCTION("""COMPUTED_VALUE"""),"")</f>
        <v/>
      </c>
      <c r="K741" t="s">
        <v>241</v>
      </c>
      <c r="L741" t="str">
        <f t="shared" si="1"/>
        <v/>
      </c>
      <c r="M741" t="s">
        <v>241</v>
      </c>
    </row>
    <row r="742">
      <c r="F742" t="s">
        <v>241</v>
      </c>
      <c r="G742" t="s">
        <v>241</v>
      </c>
      <c r="J742" t="str">
        <f>IFERROR(__xludf.DUMMYFUNCTION("""COMPUTED_VALUE"""),"")</f>
        <v/>
      </c>
      <c r="K742" t="s">
        <v>241</v>
      </c>
      <c r="L742" t="str">
        <f t="shared" si="1"/>
        <v/>
      </c>
      <c r="M742" t="s">
        <v>241</v>
      </c>
    </row>
    <row r="743">
      <c r="F743" t="s">
        <v>241</v>
      </c>
      <c r="G743" t="s">
        <v>241</v>
      </c>
      <c r="J743" t="str">
        <f>IFERROR(__xludf.DUMMYFUNCTION("""COMPUTED_VALUE"""),"")</f>
        <v/>
      </c>
      <c r="K743" t="s">
        <v>241</v>
      </c>
      <c r="L743" t="str">
        <f t="shared" si="1"/>
        <v/>
      </c>
      <c r="M743" t="s">
        <v>241</v>
      </c>
    </row>
    <row r="744">
      <c r="F744" t="s">
        <v>241</v>
      </c>
      <c r="G744" t="s">
        <v>241</v>
      </c>
      <c r="J744" t="str">
        <f>IFERROR(__xludf.DUMMYFUNCTION("""COMPUTED_VALUE"""),"")</f>
        <v/>
      </c>
      <c r="K744" t="s">
        <v>241</v>
      </c>
      <c r="L744" t="str">
        <f t="shared" si="1"/>
        <v/>
      </c>
      <c r="M744" t="s">
        <v>241</v>
      </c>
    </row>
    <row r="745">
      <c r="F745" t="s">
        <v>241</v>
      </c>
      <c r="G745" t="s">
        <v>241</v>
      </c>
      <c r="J745" t="str">
        <f>IFERROR(__xludf.DUMMYFUNCTION("""COMPUTED_VALUE"""),"")</f>
        <v/>
      </c>
      <c r="K745" t="s">
        <v>241</v>
      </c>
      <c r="L745" t="str">
        <f t="shared" si="1"/>
        <v/>
      </c>
      <c r="M745" t="s">
        <v>241</v>
      </c>
    </row>
    <row r="746">
      <c r="F746" t="s">
        <v>241</v>
      </c>
      <c r="G746" t="s">
        <v>241</v>
      </c>
      <c r="J746" t="str">
        <f>IFERROR(__xludf.DUMMYFUNCTION("""COMPUTED_VALUE"""),"")</f>
        <v/>
      </c>
      <c r="K746" t="s">
        <v>241</v>
      </c>
      <c r="L746" t="str">
        <f t="shared" si="1"/>
        <v/>
      </c>
      <c r="M746" t="s">
        <v>241</v>
      </c>
    </row>
    <row r="747">
      <c r="F747" t="s">
        <v>241</v>
      </c>
      <c r="G747" t="s">
        <v>241</v>
      </c>
      <c r="J747" t="str">
        <f>IFERROR(__xludf.DUMMYFUNCTION("""COMPUTED_VALUE"""),"")</f>
        <v/>
      </c>
      <c r="K747" t="s">
        <v>241</v>
      </c>
      <c r="L747" t="str">
        <f t="shared" si="1"/>
        <v/>
      </c>
      <c r="M747" t="s">
        <v>241</v>
      </c>
    </row>
    <row r="748">
      <c r="F748" t="s">
        <v>241</v>
      </c>
      <c r="G748" t="s">
        <v>241</v>
      </c>
      <c r="J748" t="str">
        <f>IFERROR(__xludf.DUMMYFUNCTION("""COMPUTED_VALUE"""),"")</f>
        <v/>
      </c>
      <c r="K748" t="s">
        <v>241</v>
      </c>
      <c r="L748" t="str">
        <f t="shared" si="1"/>
        <v/>
      </c>
      <c r="M748" t="s">
        <v>241</v>
      </c>
    </row>
    <row r="749">
      <c r="F749" t="s">
        <v>241</v>
      </c>
      <c r="G749" t="s">
        <v>241</v>
      </c>
      <c r="J749" t="str">
        <f>IFERROR(__xludf.DUMMYFUNCTION("""COMPUTED_VALUE"""),"")</f>
        <v/>
      </c>
      <c r="K749" t="s">
        <v>241</v>
      </c>
      <c r="L749" t="str">
        <f t="shared" si="1"/>
        <v/>
      </c>
      <c r="M749" t="s">
        <v>241</v>
      </c>
    </row>
    <row r="750">
      <c r="F750" t="s">
        <v>241</v>
      </c>
      <c r="G750" t="s">
        <v>241</v>
      </c>
      <c r="J750" t="str">
        <f>IFERROR(__xludf.DUMMYFUNCTION("""COMPUTED_VALUE"""),"")</f>
        <v/>
      </c>
      <c r="K750" t="s">
        <v>241</v>
      </c>
      <c r="L750" t="str">
        <f t="shared" si="1"/>
        <v/>
      </c>
      <c r="M750" t="s">
        <v>241</v>
      </c>
    </row>
    <row r="751">
      <c r="F751" t="s">
        <v>241</v>
      </c>
      <c r="G751" t="s">
        <v>241</v>
      </c>
      <c r="J751" t="str">
        <f>IFERROR(__xludf.DUMMYFUNCTION("""COMPUTED_VALUE"""),"")</f>
        <v/>
      </c>
      <c r="K751" t="s">
        <v>241</v>
      </c>
      <c r="L751" t="str">
        <f t="shared" si="1"/>
        <v/>
      </c>
      <c r="M751" t="s">
        <v>241</v>
      </c>
    </row>
    <row r="752">
      <c r="F752" t="s">
        <v>241</v>
      </c>
      <c r="G752" t="s">
        <v>241</v>
      </c>
      <c r="J752" t="str">
        <f>IFERROR(__xludf.DUMMYFUNCTION("""COMPUTED_VALUE"""),"")</f>
        <v/>
      </c>
      <c r="K752" t="s">
        <v>241</v>
      </c>
      <c r="L752" t="str">
        <f t="shared" si="1"/>
        <v/>
      </c>
      <c r="M752" t="s">
        <v>241</v>
      </c>
    </row>
    <row r="753">
      <c r="F753" t="s">
        <v>241</v>
      </c>
      <c r="G753" t="s">
        <v>241</v>
      </c>
      <c r="J753" t="str">
        <f>IFERROR(__xludf.DUMMYFUNCTION("""COMPUTED_VALUE"""),"")</f>
        <v/>
      </c>
      <c r="K753" t="s">
        <v>241</v>
      </c>
      <c r="L753" t="str">
        <f t="shared" si="1"/>
        <v/>
      </c>
      <c r="M753" t="s">
        <v>241</v>
      </c>
    </row>
    <row r="754">
      <c r="F754" t="s">
        <v>241</v>
      </c>
      <c r="G754" t="s">
        <v>241</v>
      </c>
      <c r="J754" t="str">
        <f>IFERROR(__xludf.DUMMYFUNCTION("""COMPUTED_VALUE"""),"")</f>
        <v/>
      </c>
      <c r="K754" t="s">
        <v>241</v>
      </c>
      <c r="L754" t="str">
        <f t="shared" si="1"/>
        <v/>
      </c>
      <c r="M754" t="s">
        <v>241</v>
      </c>
    </row>
    <row r="755">
      <c r="F755" t="s">
        <v>241</v>
      </c>
      <c r="G755" t="s">
        <v>241</v>
      </c>
      <c r="J755" t="str">
        <f>IFERROR(__xludf.DUMMYFUNCTION("""COMPUTED_VALUE"""),"")</f>
        <v/>
      </c>
      <c r="K755" t="s">
        <v>241</v>
      </c>
      <c r="L755" t="str">
        <f t="shared" si="1"/>
        <v/>
      </c>
      <c r="M755" t="s">
        <v>241</v>
      </c>
    </row>
    <row r="756">
      <c r="F756" t="s">
        <v>241</v>
      </c>
      <c r="G756" t="s">
        <v>241</v>
      </c>
      <c r="J756" t="str">
        <f>IFERROR(__xludf.DUMMYFUNCTION("""COMPUTED_VALUE"""),"")</f>
        <v/>
      </c>
      <c r="K756" t="s">
        <v>241</v>
      </c>
      <c r="L756" t="str">
        <f t="shared" si="1"/>
        <v/>
      </c>
      <c r="M756" t="s">
        <v>241</v>
      </c>
    </row>
    <row r="757">
      <c r="F757" t="s">
        <v>241</v>
      </c>
      <c r="G757" t="s">
        <v>241</v>
      </c>
      <c r="J757" t="str">
        <f>IFERROR(__xludf.DUMMYFUNCTION("""COMPUTED_VALUE"""),"")</f>
        <v/>
      </c>
      <c r="K757" t="s">
        <v>241</v>
      </c>
      <c r="L757" t="str">
        <f t="shared" si="1"/>
        <v/>
      </c>
      <c r="M757" t="s">
        <v>241</v>
      </c>
    </row>
    <row r="758">
      <c r="F758" t="s">
        <v>241</v>
      </c>
      <c r="G758" t="s">
        <v>241</v>
      </c>
      <c r="J758" t="str">
        <f>IFERROR(__xludf.DUMMYFUNCTION("""COMPUTED_VALUE"""),"")</f>
        <v/>
      </c>
      <c r="K758" t="s">
        <v>241</v>
      </c>
      <c r="L758" t="str">
        <f t="shared" si="1"/>
        <v/>
      </c>
      <c r="M758" t="s">
        <v>241</v>
      </c>
    </row>
    <row r="759">
      <c r="F759" t="s">
        <v>241</v>
      </c>
      <c r="G759" t="s">
        <v>241</v>
      </c>
      <c r="J759" t="str">
        <f>IFERROR(__xludf.DUMMYFUNCTION("""COMPUTED_VALUE"""),"")</f>
        <v/>
      </c>
      <c r="K759" t="s">
        <v>241</v>
      </c>
      <c r="L759" t="str">
        <f t="shared" si="1"/>
        <v/>
      </c>
      <c r="M759" t="s">
        <v>241</v>
      </c>
    </row>
    <row r="760">
      <c r="F760" t="s">
        <v>241</v>
      </c>
      <c r="G760" t="s">
        <v>241</v>
      </c>
      <c r="J760" t="str">
        <f>IFERROR(__xludf.DUMMYFUNCTION("""COMPUTED_VALUE"""),"")</f>
        <v/>
      </c>
      <c r="K760" t="s">
        <v>241</v>
      </c>
      <c r="L760" t="str">
        <f t="shared" si="1"/>
        <v/>
      </c>
      <c r="M760" t="s">
        <v>241</v>
      </c>
    </row>
    <row r="761">
      <c r="F761" t="s">
        <v>241</v>
      </c>
      <c r="G761" t="s">
        <v>241</v>
      </c>
      <c r="J761" t="str">
        <f>IFERROR(__xludf.DUMMYFUNCTION("""COMPUTED_VALUE"""),"")</f>
        <v/>
      </c>
      <c r="K761" t="s">
        <v>241</v>
      </c>
      <c r="L761" t="str">
        <f t="shared" si="1"/>
        <v/>
      </c>
      <c r="M761" t="s">
        <v>241</v>
      </c>
    </row>
    <row r="762">
      <c r="F762" t="s">
        <v>241</v>
      </c>
      <c r="G762" t="s">
        <v>241</v>
      </c>
      <c r="J762" t="str">
        <f>IFERROR(__xludf.DUMMYFUNCTION("""COMPUTED_VALUE"""),"")</f>
        <v/>
      </c>
      <c r="K762" t="s">
        <v>241</v>
      </c>
      <c r="L762" t="str">
        <f t="shared" si="1"/>
        <v/>
      </c>
      <c r="M762" t="s">
        <v>241</v>
      </c>
    </row>
    <row r="763">
      <c r="F763" t="s">
        <v>241</v>
      </c>
      <c r="G763" t="s">
        <v>241</v>
      </c>
      <c r="J763" t="str">
        <f>IFERROR(__xludf.DUMMYFUNCTION("""COMPUTED_VALUE"""),"")</f>
        <v/>
      </c>
      <c r="K763" t="s">
        <v>241</v>
      </c>
      <c r="L763" t="str">
        <f t="shared" si="1"/>
        <v/>
      </c>
      <c r="M763" t="s">
        <v>241</v>
      </c>
    </row>
    <row r="764">
      <c r="F764" t="s">
        <v>241</v>
      </c>
      <c r="G764" t="s">
        <v>241</v>
      </c>
      <c r="J764" t="str">
        <f>IFERROR(__xludf.DUMMYFUNCTION("""COMPUTED_VALUE"""),"")</f>
        <v/>
      </c>
      <c r="K764" t="s">
        <v>241</v>
      </c>
      <c r="L764" t="str">
        <f t="shared" si="1"/>
        <v/>
      </c>
      <c r="M764" t="s">
        <v>241</v>
      </c>
    </row>
    <row r="765">
      <c r="F765" t="s">
        <v>241</v>
      </c>
      <c r="G765" t="s">
        <v>241</v>
      </c>
      <c r="J765" t="str">
        <f>IFERROR(__xludf.DUMMYFUNCTION("""COMPUTED_VALUE"""),"")</f>
        <v/>
      </c>
      <c r="K765" t="s">
        <v>241</v>
      </c>
      <c r="L765" t="str">
        <f t="shared" si="1"/>
        <v/>
      </c>
      <c r="M765" t="s">
        <v>241</v>
      </c>
    </row>
    <row r="766">
      <c r="F766" t="s">
        <v>241</v>
      </c>
      <c r="G766" t="s">
        <v>241</v>
      </c>
      <c r="J766" t="str">
        <f>IFERROR(__xludf.DUMMYFUNCTION("""COMPUTED_VALUE"""),"")</f>
        <v/>
      </c>
      <c r="K766" t="s">
        <v>241</v>
      </c>
      <c r="L766" t="str">
        <f t="shared" si="1"/>
        <v/>
      </c>
      <c r="M766" t="s">
        <v>241</v>
      </c>
    </row>
    <row r="767">
      <c r="F767" t="s">
        <v>241</v>
      </c>
      <c r="G767" t="s">
        <v>241</v>
      </c>
      <c r="J767" t="str">
        <f>IFERROR(__xludf.DUMMYFUNCTION("""COMPUTED_VALUE"""),"")</f>
        <v/>
      </c>
      <c r="K767" t="s">
        <v>241</v>
      </c>
      <c r="L767" t="str">
        <f t="shared" si="1"/>
        <v/>
      </c>
      <c r="M767" t="s">
        <v>241</v>
      </c>
    </row>
    <row r="768">
      <c r="F768" t="s">
        <v>241</v>
      </c>
      <c r="G768" t="s">
        <v>241</v>
      </c>
      <c r="J768" t="str">
        <f>IFERROR(__xludf.DUMMYFUNCTION("""COMPUTED_VALUE"""),"")</f>
        <v/>
      </c>
      <c r="K768" t="s">
        <v>241</v>
      </c>
      <c r="L768" t="str">
        <f t="shared" si="1"/>
        <v/>
      </c>
      <c r="M768" t="s">
        <v>241</v>
      </c>
    </row>
    <row r="769">
      <c r="F769" t="s">
        <v>241</v>
      </c>
      <c r="G769" t="s">
        <v>241</v>
      </c>
      <c r="J769" t="str">
        <f>IFERROR(__xludf.DUMMYFUNCTION("""COMPUTED_VALUE"""),"")</f>
        <v/>
      </c>
      <c r="K769" t="s">
        <v>241</v>
      </c>
      <c r="L769" t="str">
        <f t="shared" si="1"/>
        <v/>
      </c>
      <c r="M769" t="s">
        <v>241</v>
      </c>
    </row>
    <row r="770">
      <c r="F770" t="s">
        <v>241</v>
      </c>
      <c r="G770" t="s">
        <v>241</v>
      </c>
      <c r="J770" t="str">
        <f>IFERROR(__xludf.DUMMYFUNCTION("""COMPUTED_VALUE"""),"")</f>
        <v/>
      </c>
      <c r="K770" t="s">
        <v>241</v>
      </c>
      <c r="L770" t="str">
        <f t="shared" si="1"/>
        <v/>
      </c>
      <c r="M770" t="s">
        <v>241</v>
      </c>
    </row>
    <row r="771">
      <c r="F771" t="s">
        <v>241</v>
      </c>
      <c r="G771" t="s">
        <v>241</v>
      </c>
      <c r="J771" t="str">
        <f>IFERROR(__xludf.DUMMYFUNCTION("""COMPUTED_VALUE"""),"")</f>
        <v/>
      </c>
      <c r="K771" t="s">
        <v>241</v>
      </c>
      <c r="L771" t="str">
        <f t="shared" si="1"/>
        <v/>
      </c>
      <c r="M771" t="s">
        <v>241</v>
      </c>
    </row>
    <row r="772">
      <c r="F772" t="s">
        <v>241</v>
      </c>
      <c r="G772" t="s">
        <v>241</v>
      </c>
      <c r="J772" t="str">
        <f>IFERROR(__xludf.DUMMYFUNCTION("""COMPUTED_VALUE"""),"")</f>
        <v/>
      </c>
      <c r="K772" t="s">
        <v>241</v>
      </c>
      <c r="L772" t="str">
        <f t="shared" si="1"/>
        <v/>
      </c>
      <c r="M772" t="s">
        <v>241</v>
      </c>
    </row>
    <row r="773">
      <c r="F773" t="s">
        <v>241</v>
      </c>
      <c r="G773" t="s">
        <v>241</v>
      </c>
      <c r="J773" t="str">
        <f>IFERROR(__xludf.DUMMYFUNCTION("""COMPUTED_VALUE"""),"")</f>
        <v/>
      </c>
      <c r="K773" t="s">
        <v>241</v>
      </c>
      <c r="L773" t="str">
        <f t="shared" si="1"/>
        <v/>
      </c>
      <c r="M773" t="s">
        <v>241</v>
      </c>
    </row>
    <row r="774">
      <c r="F774" t="s">
        <v>241</v>
      </c>
      <c r="G774" t="s">
        <v>241</v>
      </c>
      <c r="J774" t="str">
        <f>IFERROR(__xludf.DUMMYFUNCTION("""COMPUTED_VALUE"""),"")</f>
        <v/>
      </c>
      <c r="K774" t="s">
        <v>241</v>
      </c>
      <c r="L774" t="str">
        <f t="shared" si="1"/>
        <v/>
      </c>
      <c r="M774" t="s">
        <v>241</v>
      </c>
    </row>
    <row r="775">
      <c r="F775" t="s">
        <v>241</v>
      </c>
      <c r="G775" t="s">
        <v>241</v>
      </c>
      <c r="J775" t="str">
        <f>IFERROR(__xludf.DUMMYFUNCTION("""COMPUTED_VALUE"""),"")</f>
        <v/>
      </c>
      <c r="K775" t="s">
        <v>241</v>
      </c>
      <c r="L775" t="str">
        <f t="shared" si="1"/>
        <v/>
      </c>
      <c r="M775" t="s">
        <v>241</v>
      </c>
    </row>
    <row r="776">
      <c r="F776" t="s">
        <v>241</v>
      </c>
      <c r="G776" t="s">
        <v>241</v>
      </c>
      <c r="J776" t="str">
        <f>IFERROR(__xludf.DUMMYFUNCTION("""COMPUTED_VALUE"""),"")</f>
        <v/>
      </c>
      <c r="K776" t="s">
        <v>241</v>
      </c>
      <c r="L776" t="str">
        <f t="shared" si="1"/>
        <v/>
      </c>
      <c r="M776" t="s">
        <v>241</v>
      </c>
    </row>
    <row r="777">
      <c r="F777" t="s">
        <v>241</v>
      </c>
      <c r="G777" t="s">
        <v>241</v>
      </c>
      <c r="J777" t="str">
        <f>IFERROR(__xludf.DUMMYFUNCTION("""COMPUTED_VALUE"""),"")</f>
        <v/>
      </c>
      <c r="K777" t="s">
        <v>241</v>
      </c>
      <c r="L777" t="str">
        <f t="shared" si="1"/>
        <v/>
      </c>
      <c r="M777" t="s">
        <v>241</v>
      </c>
    </row>
    <row r="778">
      <c r="F778" t="s">
        <v>241</v>
      </c>
      <c r="G778" t="s">
        <v>241</v>
      </c>
      <c r="J778" t="str">
        <f>IFERROR(__xludf.DUMMYFUNCTION("""COMPUTED_VALUE"""),"")</f>
        <v/>
      </c>
      <c r="K778" t="s">
        <v>241</v>
      </c>
      <c r="L778" t="str">
        <f t="shared" si="1"/>
        <v/>
      </c>
      <c r="M778" t="s">
        <v>241</v>
      </c>
    </row>
    <row r="779">
      <c r="F779" t="s">
        <v>241</v>
      </c>
      <c r="G779" t="s">
        <v>241</v>
      </c>
      <c r="J779" t="str">
        <f>IFERROR(__xludf.DUMMYFUNCTION("""COMPUTED_VALUE"""),"")</f>
        <v/>
      </c>
      <c r="K779" t="s">
        <v>241</v>
      </c>
      <c r="L779" t="str">
        <f t="shared" si="1"/>
        <v/>
      </c>
      <c r="M779" t="s">
        <v>241</v>
      </c>
    </row>
    <row r="780">
      <c r="F780" t="s">
        <v>241</v>
      </c>
      <c r="G780" t="s">
        <v>241</v>
      </c>
      <c r="J780" t="str">
        <f>IFERROR(__xludf.DUMMYFUNCTION("""COMPUTED_VALUE"""),"")</f>
        <v/>
      </c>
      <c r="K780" t="s">
        <v>241</v>
      </c>
      <c r="L780" t="str">
        <f t="shared" si="1"/>
        <v/>
      </c>
      <c r="M780" t="s">
        <v>241</v>
      </c>
    </row>
    <row r="781">
      <c r="F781" t="s">
        <v>241</v>
      </c>
      <c r="G781" t="s">
        <v>241</v>
      </c>
      <c r="J781" t="str">
        <f>IFERROR(__xludf.DUMMYFUNCTION("""COMPUTED_VALUE"""),"")</f>
        <v/>
      </c>
      <c r="K781" t="s">
        <v>241</v>
      </c>
      <c r="L781" t="str">
        <f t="shared" si="1"/>
        <v/>
      </c>
      <c r="M781" t="s">
        <v>241</v>
      </c>
    </row>
    <row r="782">
      <c r="F782" t="s">
        <v>241</v>
      </c>
      <c r="G782" t="s">
        <v>241</v>
      </c>
      <c r="J782" t="str">
        <f>IFERROR(__xludf.DUMMYFUNCTION("""COMPUTED_VALUE"""),"")</f>
        <v/>
      </c>
      <c r="K782" t="s">
        <v>241</v>
      </c>
      <c r="L782" t="str">
        <f t="shared" si="1"/>
        <v/>
      </c>
      <c r="M782" t="s">
        <v>241</v>
      </c>
    </row>
    <row r="783">
      <c r="F783" t="s">
        <v>241</v>
      </c>
      <c r="G783" t="s">
        <v>241</v>
      </c>
      <c r="J783" t="str">
        <f>IFERROR(__xludf.DUMMYFUNCTION("""COMPUTED_VALUE"""),"")</f>
        <v/>
      </c>
      <c r="K783" t="s">
        <v>241</v>
      </c>
      <c r="L783" t="str">
        <f t="shared" si="1"/>
        <v/>
      </c>
      <c r="M783" t="s">
        <v>241</v>
      </c>
    </row>
    <row r="784">
      <c r="F784" t="s">
        <v>241</v>
      </c>
      <c r="G784" t="s">
        <v>241</v>
      </c>
      <c r="J784" t="str">
        <f>IFERROR(__xludf.DUMMYFUNCTION("""COMPUTED_VALUE"""),"")</f>
        <v/>
      </c>
      <c r="K784" t="s">
        <v>241</v>
      </c>
      <c r="L784" t="str">
        <f t="shared" si="1"/>
        <v/>
      </c>
      <c r="M784" t="s">
        <v>241</v>
      </c>
    </row>
    <row r="785">
      <c r="F785" t="s">
        <v>241</v>
      </c>
      <c r="G785" t="s">
        <v>241</v>
      </c>
      <c r="J785" t="str">
        <f>IFERROR(__xludf.DUMMYFUNCTION("""COMPUTED_VALUE"""),"")</f>
        <v/>
      </c>
      <c r="K785" t="s">
        <v>241</v>
      </c>
      <c r="L785" t="str">
        <f t="shared" si="1"/>
        <v/>
      </c>
      <c r="M785" t="s">
        <v>241</v>
      </c>
    </row>
    <row r="786">
      <c r="F786" t="s">
        <v>241</v>
      </c>
      <c r="G786" t="s">
        <v>241</v>
      </c>
      <c r="J786" t="str">
        <f>IFERROR(__xludf.DUMMYFUNCTION("""COMPUTED_VALUE"""),"")</f>
        <v/>
      </c>
      <c r="K786" t="s">
        <v>241</v>
      </c>
      <c r="L786" t="str">
        <f t="shared" si="1"/>
        <v/>
      </c>
      <c r="M786" t="s">
        <v>241</v>
      </c>
    </row>
    <row r="787">
      <c r="F787" t="s">
        <v>241</v>
      </c>
      <c r="G787" t="s">
        <v>241</v>
      </c>
      <c r="J787" t="str">
        <f>IFERROR(__xludf.DUMMYFUNCTION("""COMPUTED_VALUE"""),"")</f>
        <v/>
      </c>
      <c r="K787" t="s">
        <v>241</v>
      </c>
      <c r="L787" t="str">
        <f t="shared" si="1"/>
        <v/>
      </c>
      <c r="M787" t="s">
        <v>241</v>
      </c>
    </row>
    <row r="788">
      <c r="F788" t="s">
        <v>241</v>
      </c>
      <c r="G788" t="s">
        <v>241</v>
      </c>
      <c r="J788" t="str">
        <f>IFERROR(__xludf.DUMMYFUNCTION("""COMPUTED_VALUE"""),"")</f>
        <v/>
      </c>
      <c r="K788" t="s">
        <v>241</v>
      </c>
      <c r="L788" t="str">
        <f t="shared" si="1"/>
        <v/>
      </c>
      <c r="M788" t="s">
        <v>241</v>
      </c>
    </row>
    <row r="789">
      <c r="F789" t="s">
        <v>241</v>
      </c>
      <c r="G789" t="s">
        <v>241</v>
      </c>
      <c r="J789" t="str">
        <f>IFERROR(__xludf.DUMMYFUNCTION("""COMPUTED_VALUE"""),"")</f>
        <v/>
      </c>
      <c r="K789" t="s">
        <v>241</v>
      </c>
      <c r="L789" t="str">
        <f t="shared" si="1"/>
        <v/>
      </c>
      <c r="M789" t="s">
        <v>241</v>
      </c>
    </row>
    <row r="790">
      <c r="F790" t="s">
        <v>241</v>
      </c>
      <c r="G790" t="s">
        <v>241</v>
      </c>
      <c r="J790" t="str">
        <f>IFERROR(__xludf.DUMMYFUNCTION("""COMPUTED_VALUE"""),"")</f>
        <v/>
      </c>
      <c r="K790" t="s">
        <v>241</v>
      </c>
      <c r="L790" t="str">
        <f t="shared" si="1"/>
        <v/>
      </c>
      <c r="M790" t="s">
        <v>241</v>
      </c>
    </row>
    <row r="791">
      <c r="F791" t="s">
        <v>241</v>
      </c>
      <c r="G791" t="s">
        <v>241</v>
      </c>
      <c r="J791" t="str">
        <f>IFERROR(__xludf.DUMMYFUNCTION("""COMPUTED_VALUE"""),"")</f>
        <v/>
      </c>
      <c r="K791" t="s">
        <v>241</v>
      </c>
      <c r="L791" t="str">
        <f t="shared" si="1"/>
        <v/>
      </c>
      <c r="M791" t="s">
        <v>241</v>
      </c>
    </row>
    <row r="792">
      <c r="F792" t="s">
        <v>241</v>
      </c>
      <c r="G792" t="s">
        <v>241</v>
      </c>
      <c r="J792" t="str">
        <f>IFERROR(__xludf.DUMMYFUNCTION("""COMPUTED_VALUE"""),"")</f>
        <v/>
      </c>
      <c r="K792" t="s">
        <v>241</v>
      </c>
      <c r="L792" t="str">
        <f t="shared" si="1"/>
        <v/>
      </c>
      <c r="M792" t="s">
        <v>241</v>
      </c>
    </row>
    <row r="793">
      <c r="F793" t="s">
        <v>241</v>
      </c>
      <c r="G793" t="s">
        <v>241</v>
      </c>
      <c r="J793" t="str">
        <f>IFERROR(__xludf.DUMMYFUNCTION("""COMPUTED_VALUE"""),"")</f>
        <v/>
      </c>
      <c r="K793" t="s">
        <v>241</v>
      </c>
      <c r="L793" t="str">
        <f t="shared" si="1"/>
        <v/>
      </c>
      <c r="M793" t="s">
        <v>241</v>
      </c>
    </row>
    <row r="794">
      <c r="F794" t="s">
        <v>241</v>
      </c>
      <c r="G794" t="s">
        <v>241</v>
      </c>
      <c r="J794" t="str">
        <f>IFERROR(__xludf.DUMMYFUNCTION("""COMPUTED_VALUE"""),"")</f>
        <v/>
      </c>
      <c r="K794" t="s">
        <v>241</v>
      </c>
      <c r="L794" t="str">
        <f t="shared" si="1"/>
        <v/>
      </c>
      <c r="M794" t="s">
        <v>241</v>
      </c>
    </row>
    <row r="795">
      <c r="F795" t="s">
        <v>241</v>
      </c>
      <c r="G795" t="s">
        <v>241</v>
      </c>
      <c r="J795" t="str">
        <f>IFERROR(__xludf.DUMMYFUNCTION("""COMPUTED_VALUE"""),"")</f>
        <v/>
      </c>
      <c r="K795" t="s">
        <v>241</v>
      </c>
      <c r="L795" t="str">
        <f t="shared" si="1"/>
        <v/>
      </c>
      <c r="M795" t="s">
        <v>241</v>
      </c>
    </row>
    <row r="796">
      <c r="F796" t="s">
        <v>241</v>
      </c>
      <c r="G796" t="s">
        <v>241</v>
      </c>
      <c r="J796" t="str">
        <f>IFERROR(__xludf.DUMMYFUNCTION("""COMPUTED_VALUE"""),"")</f>
        <v/>
      </c>
      <c r="K796" t="s">
        <v>241</v>
      </c>
      <c r="L796" t="str">
        <f t="shared" si="1"/>
        <v/>
      </c>
      <c r="M796" t="s">
        <v>241</v>
      </c>
    </row>
    <row r="797">
      <c r="F797" t="s">
        <v>241</v>
      </c>
      <c r="G797" t="s">
        <v>241</v>
      </c>
      <c r="J797" t="str">
        <f>IFERROR(__xludf.DUMMYFUNCTION("""COMPUTED_VALUE"""),"")</f>
        <v/>
      </c>
      <c r="K797" t="s">
        <v>241</v>
      </c>
      <c r="L797" t="str">
        <f t="shared" si="1"/>
        <v/>
      </c>
      <c r="M797" t="s">
        <v>241</v>
      </c>
    </row>
    <row r="798">
      <c r="F798" t="s">
        <v>241</v>
      </c>
      <c r="G798" t="s">
        <v>241</v>
      </c>
      <c r="J798" t="str">
        <f>IFERROR(__xludf.DUMMYFUNCTION("""COMPUTED_VALUE"""),"")</f>
        <v/>
      </c>
      <c r="K798" t="s">
        <v>241</v>
      </c>
      <c r="L798" t="str">
        <f t="shared" si="1"/>
        <v/>
      </c>
      <c r="M798" t="s">
        <v>241</v>
      </c>
    </row>
    <row r="799">
      <c r="F799" t="s">
        <v>241</v>
      </c>
      <c r="G799" t="s">
        <v>241</v>
      </c>
      <c r="J799" t="str">
        <f>IFERROR(__xludf.DUMMYFUNCTION("""COMPUTED_VALUE"""),"")</f>
        <v/>
      </c>
      <c r="K799" t="s">
        <v>241</v>
      </c>
      <c r="L799" t="str">
        <f t="shared" si="1"/>
        <v/>
      </c>
      <c r="M799" t="s">
        <v>241</v>
      </c>
    </row>
    <row r="800">
      <c r="F800" t="s">
        <v>241</v>
      </c>
      <c r="G800" t="s">
        <v>241</v>
      </c>
      <c r="J800" t="str">
        <f>IFERROR(__xludf.DUMMYFUNCTION("""COMPUTED_VALUE"""),"")</f>
        <v/>
      </c>
      <c r="K800" t="s">
        <v>241</v>
      </c>
      <c r="L800" t="str">
        <f t="shared" si="1"/>
        <v/>
      </c>
      <c r="M800" t="s">
        <v>241</v>
      </c>
    </row>
    <row r="801">
      <c r="F801" t="s">
        <v>241</v>
      </c>
      <c r="G801" t="s">
        <v>241</v>
      </c>
      <c r="J801" t="str">
        <f>IFERROR(__xludf.DUMMYFUNCTION("""COMPUTED_VALUE"""),"")</f>
        <v/>
      </c>
      <c r="K801" t="s">
        <v>241</v>
      </c>
      <c r="L801" t="str">
        <f t="shared" si="1"/>
        <v/>
      </c>
      <c r="M801" t="s">
        <v>241</v>
      </c>
    </row>
    <row r="802">
      <c r="F802" t="s">
        <v>241</v>
      </c>
      <c r="G802" t="s">
        <v>241</v>
      </c>
      <c r="J802" t="str">
        <f>IFERROR(__xludf.DUMMYFUNCTION("""COMPUTED_VALUE"""),"")</f>
        <v/>
      </c>
      <c r="K802" t="s">
        <v>241</v>
      </c>
      <c r="L802" t="str">
        <f t="shared" si="1"/>
        <v/>
      </c>
      <c r="M802" t="s">
        <v>241</v>
      </c>
    </row>
    <row r="803">
      <c r="F803" t="s">
        <v>241</v>
      </c>
      <c r="G803" t="s">
        <v>241</v>
      </c>
      <c r="J803" t="str">
        <f>IFERROR(__xludf.DUMMYFUNCTION("""COMPUTED_VALUE"""),"")</f>
        <v/>
      </c>
      <c r="K803" t="s">
        <v>241</v>
      </c>
      <c r="L803" t="str">
        <f t="shared" si="1"/>
        <v/>
      </c>
      <c r="M803" t="s">
        <v>241</v>
      </c>
    </row>
    <row r="804">
      <c r="F804" t="s">
        <v>241</v>
      </c>
      <c r="G804" t="s">
        <v>241</v>
      </c>
      <c r="J804" t="str">
        <f>IFERROR(__xludf.DUMMYFUNCTION("""COMPUTED_VALUE"""),"")</f>
        <v/>
      </c>
      <c r="K804" t="s">
        <v>241</v>
      </c>
      <c r="L804" t="str">
        <f t="shared" si="1"/>
        <v/>
      </c>
      <c r="M804" t="s">
        <v>241</v>
      </c>
    </row>
    <row r="805">
      <c r="F805" t="s">
        <v>241</v>
      </c>
      <c r="G805" t="s">
        <v>241</v>
      </c>
      <c r="J805" t="str">
        <f>IFERROR(__xludf.DUMMYFUNCTION("""COMPUTED_VALUE"""),"")</f>
        <v/>
      </c>
      <c r="K805" t="s">
        <v>241</v>
      </c>
      <c r="L805" t="str">
        <f t="shared" si="1"/>
        <v/>
      </c>
      <c r="M805" t="s">
        <v>241</v>
      </c>
    </row>
    <row r="806">
      <c r="F806" t="s">
        <v>241</v>
      </c>
      <c r="G806" t="s">
        <v>241</v>
      </c>
      <c r="J806" t="str">
        <f>IFERROR(__xludf.DUMMYFUNCTION("""COMPUTED_VALUE"""),"")</f>
        <v/>
      </c>
      <c r="K806" t="s">
        <v>241</v>
      </c>
      <c r="L806" t="str">
        <f t="shared" si="1"/>
        <v/>
      </c>
      <c r="M806" t="s">
        <v>241</v>
      </c>
    </row>
    <row r="807">
      <c r="F807" t="s">
        <v>241</v>
      </c>
      <c r="G807" t="s">
        <v>241</v>
      </c>
      <c r="J807" t="str">
        <f>IFERROR(__xludf.DUMMYFUNCTION("""COMPUTED_VALUE"""),"")</f>
        <v/>
      </c>
      <c r="K807" t="s">
        <v>241</v>
      </c>
      <c r="L807" t="str">
        <f t="shared" si="1"/>
        <v/>
      </c>
      <c r="M807" t="s">
        <v>241</v>
      </c>
    </row>
    <row r="808">
      <c r="F808" t="s">
        <v>241</v>
      </c>
      <c r="G808" t="s">
        <v>241</v>
      </c>
      <c r="J808" t="str">
        <f>IFERROR(__xludf.DUMMYFUNCTION("""COMPUTED_VALUE"""),"")</f>
        <v/>
      </c>
      <c r="K808" t="s">
        <v>241</v>
      </c>
      <c r="L808" t="str">
        <f t="shared" si="1"/>
        <v/>
      </c>
      <c r="M808" t="s">
        <v>241</v>
      </c>
    </row>
    <row r="809">
      <c r="F809" t="s">
        <v>241</v>
      </c>
      <c r="G809" t="s">
        <v>241</v>
      </c>
      <c r="J809" t="str">
        <f>IFERROR(__xludf.DUMMYFUNCTION("""COMPUTED_VALUE"""),"")</f>
        <v/>
      </c>
      <c r="K809" t="s">
        <v>241</v>
      </c>
      <c r="L809" t="str">
        <f t="shared" si="1"/>
        <v/>
      </c>
      <c r="M809" t="s">
        <v>241</v>
      </c>
    </row>
    <row r="810">
      <c r="F810" t="s">
        <v>241</v>
      </c>
      <c r="G810" t="s">
        <v>241</v>
      </c>
      <c r="J810" t="str">
        <f>IFERROR(__xludf.DUMMYFUNCTION("""COMPUTED_VALUE"""),"")</f>
        <v/>
      </c>
      <c r="K810" t="s">
        <v>241</v>
      </c>
      <c r="L810" t="str">
        <f t="shared" si="1"/>
        <v/>
      </c>
      <c r="M810" t="s">
        <v>241</v>
      </c>
    </row>
    <row r="811">
      <c r="F811" t="s">
        <v>241</v>
      </c>
      <c r="G811" t="s">
        <v>241</v>
      </c>
      <c r="J811" t="str">
        <f>IFERROR(__xludf.DUMMYFUNCTION("""COMPUTED_VALUE"""),"")</f>
        <v/>
      </c>
      <c r="K811" t="s">
        <v>241</v>
      </c>
      <c r="L811" t="str">
        <f t="shared" si="1"/>
        <v/>
      </c>
      <c r="M811" t="s">
        <v>241</v>
      </c>
    </row>
    <row r="812">
      <c r="F812" t="s">
        <v>241</v>
      </c>
      <c r="G812" t="s">
        <v>241</v>
      </c>
      <c r="J812" t="str">
        <f>IFERROR(__xludf.DUMMYFUNCTION("""COMPUTED_VALUE"""),"")</f>
        <v/>
      </c>
      <c r="K812" t="s">
        <v>241</v>
      </c>
      <c r="L812" t="str">
        <f t="shared" si="1"/>
        <v/>
      </c>
      <c r="M812" t="s">
        <v>241</v>
      </c>
    </row>
    <row r="813">
      <c r="F813" t="s">
        <v>241</v>
      </c>
      <c r="G813" t="s">
        <v>241</v>
      </c>
      <c r="J813" t="str">
        <f>IFERROR(__xludf.DUMMYFUNCTION("""COMPUTED_VALUE"""),"")</f>
        <v/>
      </c>
      <c r="K813" t="s">
        <v>241</v>
      </c>
      <c r="L813" t="str">
        <f t="shared" si="1"/>
        <v/>
      </c>
      <c r="M813" t="s">
        <v>241</v>
      </c>
    </row>
    <row r="814">
      <c r="F814" t="s">
        <v>241</v>
      </c>
      <c r="G814" t="s">
        <v>241</v>
      </c>
      <c r="J814" t="str">
        <f>IFERROR(__xludf.DUMMYFUNCTION("""COMPUTED_VALUE"""),"")</f>
        <v/>
      </c>
      <c r="K814" t="s">
        <v>241</v>
      </c>
      <c r="L814" t="str">
        <f t="shared" si="1"/>
        <v/>
      </c>
      <c r="M814" t="s">
        <v>241</v>
      </c>
    </row>
    <row r="815">
      <c r="F815" t="s">
        <v>241</v>
      </c>
      <c r="G815" t="s">
        <v>241</v>
      </c>
      <c r="J815" t="str">
        <f>IFERROR(__xludf.DUMMYFUNCTION("""COMPUTED_VALUE"""),"")</f>
        <v/>
      </c>
      <c r="K815" t="s">
        <v>241</v>
      </c>
      <c r="L815" t="str">
        <f t="shared" si="1"/>
        <v/>
      </c>
      <c r="M815" t="s">
        <v>241</v>
      </c>
    </row>
    <row r="816">
      <c r="F816" t="s">
        <v>241</v>
      </c>
      <c r="G816" t="s">
        <v>241</v>
      </c>
      <c r="J816" t="str">
        <f>IFERROR(__xludf.DUMMYFUNCTION("""COMPUTED_VALUE"""),"")</f>
        <v/>
      </c>
      <c r="K816" t="s">
        <v>241</v>
      </c>
      <c r="L816" t="str">
        <f t="shared" si="1"/>
        <v/>
      </c>
      <c r="M816" t="s">
        <v>241</v>
      </c>
    </row>
    <row r="817">
      <c r="F817" t="s">
        <v>241</v>
      </c>
      <c r="G817" t="s">
        <v>241</v>
      </c>
      <c r="J817" t="str">
        <f>IFERROR(__xludf.DUMMYFUNCTION("""COMPUTED_VALUE"""),"")</f>
        <v/>
      </c>
      <c r="K817" t="s">
        <v>241</v>
      </c>
      <c r="L817" t="str">
        <f t="shared" si="1"/>
        <v/>
      </c>
      <c r="M817" t="s">
        <v>241</v>
      </c>
    </row>
    <row r="818">
      <c r="F818" t="s">
        <v>241</v>
      </c>
      <c r="G818" t="s">
        <v>241</v>
      </c>
      <c r="J818" t="str">
        <f>IFERROR(__xludf.DUMMYFUNCTION("""COMPUTED_VALUE"""),"")</f>
        <v/>
      </c>
      <c r="K818" t="s">
        <v>241</v>
      </c>
      <c r="L818" t="str">
        <f t="shared" si="1"/>
        <v/>
      </c>
      <c r="M818" t="s">
        <v>241</v>
      </c>
    </row>
    <row r="819">
      <c r="F819" t="s">
        <v>241</v>
      </c>
      <c r="G819" t="s">
        <v>241</v>
      </c>
      <c r="J819" t="str">
        <f>IFERROR(__xludf.DUMMYFUNCTION("""COMPUTED_VALUE"""),"")</f>
        <v/>
      </c>
      <c r="K819" t="s">
        <v>241</v>
      </c>
      <c r="L819" t="str">
        <f t="shared" si="1"/>
        <v/>
      </c>
      <c r="M819" t="s">
        <v>241</v>
      </c>
    </row>
    <row r="820">
      <c r="F820" t="s">
        <v>241</v>
      </c>
      <c r="G820" t="s">
        <v>241</v>
      </c>
      <c r="J820" t="str">
        <f>IFERROR(__xludf.DUMMYFUNCTION("""COMPUTED_VALUE"""),"")</f>
        <v/>
      </c>
      <c r="K820" t="s">
        <v>241</v>
      </c>
      <c r="L820" t="str">
        <f t="shared" si="1"/>
        <v/>
      </c>
      <c r="M820" t="s">
        <v>241</v>
      </c>
    </row>
    <row r="821">
      <c r="F821" t="s">
        <v>241</v>
      </c>
      <c r="G821" t="s">
        <v>241</v>
      </c>
      <c r="J821" t="str">
        <f>IFERROR(__xludf.DUMMYFUNCTION("""COMPUTED_VALUE"""),"")</f>
        <v/>
      </c>
      <c r="K821" t="s">
        <v>241</v>
      </c>
      <c r="L821" t="str">
        <f t="shared" si="1"/>
        <v/>
      </c>
      <c r="M821" t="s">
        <v>241</v>
      </c>
    </row>
    <row r="822">
      <c r="F822" t="s">
        <v>241</v>
      </c>
      <c r="G822" t="s">
        <v>241</v>
      </c>
      <c r="J822" t="str">
        <f>IFERROR(__xludf.DUMMYFUNCTION("""COMPUTED_VALUE"""),"")</f>
        <v/>
      </c>
      <c r="K822" t="s">
        <v>241</v>
      </c>
      <c r="L822" t="str">
        <f t="shared" si="1"/>
        <v/>
      </c>
      <c r="M822" t="s">
        <v>241</v>
      </c>
    </row>
    <row r="823">
      <c r="F823" t="s">
        <v>241</v>
      </c>
      <c r="G823" t="s">
        <v>241</v>
      </c>
      <c r="J823" t="str">
        <f>IFERROR(__xludf.DUMMYFUNCTION("""COMPUTED_VALUE"""),"")</f>
        <v/>
      </c>
      <c r="K823" t="s">
        <v>241</v>
      </c>
      <c r="L823" t="str">
        <f t="shared" si="1"/>
        <v/>
      </c>
      <c r="M823" t="s">
        <v>241</v>
      </c>
    </row>
    <row r="824">
      <c r="F824" t="s">
        <v>241</v>
      </c>
      <c r="G824" t="s">
        <v>241</v>
      </c>
      <c r="J824" t="str">
        <f>IFERROR(__xludf.DUMMYFUNCTION("""COMPUTED_VALUE"""),"")</f>
        <v/>
      </c>
      <c r="K824" t="s">
        <v>241</v>
      </c>
      <c r="L824" t="str">
        <f t="shared" si="1"/>
        <v/>
      </c>
      <c r="M824" t="s">
        <v>241</v>
      </c>
    </row>
    <row r="825">
      <c r="F825" t="s">
        <v>241</v>
      </c>
      <c r="G825" t="s">
        <v>241</v>
      </c>
      <c r="J825" t="str">
        <f>IFERROR(__xludf.DUMMYFUNCTION("""COMPUTED_VALUE"""),"")</f>
        <v/>
      </c>
      <c r="K825" t="s">
        <v>241</v>
      </c>
      <c r="L825" t="str">
        <f t="shared" si="1"/>
        <v/>
      </c>
      <c r="M825" t="s">
        <v>241</v>
      </c>
    </row>
    <row r="826">
      <c r="F826" t="s">
        <v>241</v>
      </c>
      <c r="G826" t="s">
        <v>241</v>
      </c>
      <c r="J826" t="str">
        <f>IFERROR(__xludf.DUMMYFUNCTION("""COMPUTED_VALUE"""),"")</f>
        <v/>
      </c>
      <c r="K826" t="s">
        <v>241</v>
      </c>
      <c r="L826" t="str">
        <f t="shared" si="1"/>
        <v/>
      </c>
      <c r="M826" t="s">
        <v>241</v>
      </c>
    </row>
    <row r="827">
      <c r="F827" t="s">
        <v>241</v>
      </c>
      <c r="G827" t="s">
        <v>241</v>
      </c>
      <c r="J827" t="str">
        <f>IFERROR(__xludf.DUMMYFUNCTION("""COMPUTED_VALUE"""),"")</f>
        <v/>
      </c>
      <c r="K827" t="s">
        <v>241</v>
      </c>
      <c r="L827" t="str">
        <f t="shared" si="1"/>
        <v/>
      </c>
      <c r="M827" t="s">
        <v>241</v>
      </c>
    </row>
    <row r="828">
      <c r="F828" t="s">
        <v>241</v>
      </c>
      <c r="G828" t="s">
        <v>241</v>
      </c>
      <c r="J828" t="str">
        <f>IFERROR(__xludf.DUMMYFUNCTION("""COMPUTED_VALUE"""),"")</f>
        <v/>
      </c>
      <c r="K828" t="s">
        <v>241</v>
      </c>
      <c r="L828" t="str">
        <f t="shared" si="1"/>
        <v/>
      </c>
      <c r="M828" t="s">
        <v>241</v>
      </c>
    </row>
    <row r="829">
      <c r="F829" t="s">
        <v>241</v>
      </c>
      <c r="G829" t="s">
        <v>241</v>
      </c>
      <c r="J829" t="str">
        <f>IFERROR(__xludf.DUMMYFUNCTION("""COMPUTED_VALUE"""),"")</f>
        <v/>
      </c>
      <c r="K829" t="s">
        <v>241</v>
      </c>
      <c r="L829" t="str">
        <f t="shared" si="1"/>
        <v/>
      </c>
      <c r="M829" t="s">
        <v>241</v>
      </c>
    </row>
    <row r="830">
      <c r="F830" t="s">
        <v>241</v>
      </c>
      <c r="G830" t="s">
        <v>241</v>
      </c>
      <c r="J830" t="str">
        <f>IFERROR(__xludf.DUMMYFUNCTION("""COMPUTED_VALUE"""),"")</f>
        <v/>
      </c>
      <c r="K830" t="s">
        <v>241</v>
      </c>
      <c r="L830" t="str">
        <f t="shared" si="1"/>
        <v/>
      </c>
      <c r="M830" t="s">
        <v>241</v>
      </c>
    </row>
    <row r="831">
      <c r="F831" t="s">
        <v>241</v>
      </c>
      <c r="G831" t="s">
        <v>241</v>
      </c>
      <c r="J831" t="str">
        <f>IFERROR(__xludf.DUMMYFUNCTION("""COMPUTED_VALUE"""),"")</f>
        <v/>
      </c>
      <c r="K831" t="s">
        <v>241</v>
      </c>
      <c r="L831" t="str">
        <f t="shared" si="1"/>
        <v/>
      </c>
      <c r="M831" t="s">
        <v>241</v>
      </c>
    </row>
    <row r="832">
      <c r="F832" t="s">
        <v>241</v>
      </c>
      <c r="G832" t="s">
        <v>241</v>
      </c>
      <c r="J832" t="str">
        <f>IFERROR(__xludf.DUMMYFUNCTION("""COMPUTED_VALUE"""),"")</f>
        <v/>
      </c>
      <c r="K832" t="s">
        <v>241</v>
      </c>
      <c r="L832" t="str">
        <f t="shared" si="1"/>
        <v/>
      </c>
      <c r="M832" t="s">
        <v>241</v>
      </c>
    </row>
    <row r="833">
      <c r="F833" t="s">
        <v>241</v>
      </c>
      <c r="G833" t="s">
        <v>241</v>
      </c>
      <c r="J833" t="str">
        <f>IFERROR(__xludf.DUMMYFUNCTION("""COMPUTED_VALUE"""),"")</f>
        <v/>
      </c>
      <c r="K833" t="s">
        <v>241</v>
      </c>
      <c r="L833" t="str">
        <f t="shared" si="1"/>
        <v/>
      </c>
      <c r="M833" t="s">
        <v>241</v>
      </c>
    </row>
    <row r="834">
      <c r="F834" t="s">
        <v>241</v>
      </c>
      <c r="G834" t="s">
        <v>241</v>
      </c>
      <c r="J834" t="str">
        <f>IFERROR(__xludf.DUMMYFUNCTION("""COMPUTED_VALUE"""),"")</f>
        <v/>
      </c>
      <c r="K834" t="s">
        <v>241</v>
      </c>
      <c r="L834" t="str">
        <f t="shared" si="1"/>
        <v/>
      </c>
      <c r="M834" t="s">
        <v>241</v>
      </c>
    </row>
    <row r="835">
      <c r="F835" t="s">
        <v>241</v>
      </c>
      <c r="G835" t="s">
        <v>241</v>
      </c>
      <c r="J835" t="str">
        <f>IFERROR(__xludf.DUMMYFUNCTION("""COMPUTED_VALUE"""),"")</f>
        <v/>
      </c>
      <c r="K835" t="s">
        <v>241</v>
      </c>
      <c r="L835" t="str">
        <f t="shared" si="1"/>
        <v/>
      </c>
      <c r="M835" t="s">
        <v>241</v>
      </c>
    </row>
    <row r="836">
      <c r="F836" t="s">
        <v>241</v>
      </c>
      <c r="G836" t="s">
        <v>241</v>
      </c>
      <c r="J836" t="str">
        <f>IFERROR(__xludf.DUMMYFUNCTION("""COMPUTED_VALUE"""),"")</f>
        <v/>
      </c>
      <c r="K836" t="s">
        <v>241</v>
      </c>
      <c r="L836" t="str">
        <f t="shared" si="1"/>
        <v/>
      </c>
      <c r="M836" t="s">
        <v>241</v>
      </c>
    </row>
    <row r="837">
      <c r="F837" t="s">
        <v>241</v>
      </c>
      <c r="G837" t="s">
        <v>241</v>
      </c>
      <c r="J837" t="str">
        <f>IFERROR(__xludf.DUMMYFUNCTION("""COMPUTED_VALUE"""),"")</f>
        <v/>
      </c>
      <c r="K837" t="s">
        <v>241</v>
      </c>
      <c r="L837" t="str">
        <f t="shared" si="1"/>
        <v/>
      </c>
      <c r="M837" t="s">
        <v>241</v>
      </c>
    </row>
    <row r="838">
      <c r="F838" t="s">
        <v>241</v>
      </c>
      <c r="G838" t="s">
        <v>241</v>
      </c>
      <c r="J838" t="str">
        <f>IFERROR(__xludf.DUMMYFUNCTION("""COMPUTED_VALUE"""),"")</f>
        <v/>
      </c>
      <c r="K838" t="s">
        <v>241</v>
      </c>
      <c r="L838" t="str">
        <f t="shared" si="1"/>
        <v/>
      </c>
      <c r="M838" t="s">
        <v>241</v>
      </c>
    </row>
    <row r="839">
      <c r="F839" t="s">
        <v>241</v>
      </c>
      <c r="G839" t="s">
        <v>241</v>
      </c>
      <c r="J839" t="str">
        <f>IFERROR(__xludf.DUMMYFUNCTION("""COMPUTED_VALUE"""),"")</f>
        <v/>
      </c>
      <c r="K839" t="s">
        <v>241</v>
      </c>
      <c r="L839" t="str">
        <f t="shared" si="1"/>
        <v/>
      </c>
      <c r="M839" t="s">
        <v>241</v>
      </c>
    </row>
    <row r="840">
      <c r="F840" t="s">
        <v>241</v>
      </c>
      <c r="G840" t="s">
        <v>241</v>
      </c>
      <c r="J840" t="str">
        <f>IFERROR(__xludf.DUMMYFUNCTION("""COMPUTED_VALUE"""),"")</f>
        <v/>
      </c>
      <c r="K840" t="s">
        <v>241</v>
      </c>
      <c r="L840" t="str">
        <f t="shared" si="1"/>
        <v/>
      </c>
      <c r="M840" t="s">
        <v>241</v>
      </c>
    </row>
    <row r="841">
      <c r="F841" t="s">
        <v>241</v>
      </c>
      <c r="G841" t="s">
        <v>241</v>
      </c>
      <c r="J841" t="str">
        <f>IFERROR(__xludf.DUMMYFUNCTION("""COMPUTED_VALUE"""),"")</f>
        <v/>
      </c>
      <c r="K841" t="s">
        <v>241</v>
      </c>
      <c r="L841" t="str">
        <f t="shared" si="1"/>
        <v/>
      </c>
      <c r="M841" t="s">
        <v>241</v>
      </c>
    </row>
    <row r="842">
      <c r="F842" t="s">
        <v>241</v>
      </c>
      <c r="G842" t="s">
        <v>241</v>
      </c>
      <c r="J842" t="str">
        <f>IFERROR(__xludf.DUMMYFUNCTION("""COMPUTED_VALUE"""),"")</f>
        <v/>
      </c>
      <c r="K842" t="s">
        <v>241</v>
      </c>
      <c r="L842" t="str">
        <f t="shared" si="1"/>
        <v/>
      </c>
      <c r="M842" t="s">
        <v>241</v>
      </c>
    </row>
    <row r="843">
      <c r="F843" t="s">
        <v>241</v>
      </c>
      <c r="G843" t="s">
        <v>241</v>
      </c>
      <c r="J843" t="str">
        <f>IFERROR(__xludf.DUMMYFUNCTION("""COMPUTED_VALUE"""),"")</f>
        <v/>
      </c>
      <c r="K843" t="s">
        <v>241</v>
      </c>
      <c r="L843" t="str">
        <f t="shared" si="1"/>
        <v/>
      </c>
      <c r="M843" t="s">
        <v>241</v>
      </c>
    </row>
    <row r="844">
      <c r="F844" t="s">
        <v>241</v>
      </c>
      <c r="G844" t="s">
        <v>241</v>
      </c>
      <c r="J844" t="str">
        <f>IFERROR(__xludf.DUMMYFUNCTION("""COMPUTED_VALUE"""),"")</f>
        <v/>
      </c>
      <c r="K844" t="s">
        <v>241</v>
      </c>
      <c r="L844" t="str">
        <f t="shared" si="1"/>
        <v/>
      </c>
      <c r="M844" t="s">
        <v>241</v>
      </c>
    </row>
    <row r="845">
      <c r="F845" t="s">
        <v>241</v>
      </c>
      <c r="G845" t="s">
        <v>241</v>
      </c>
      <c r="J845" t="str">
        <f>IFERROR(__xludf.DUMMYFUNCTION("""COMPUTED_VALUE"""),"")</f>
        <v/>
      </c>
      <c r="K845" t="s">
        <v>241</v>
      </c>
      <c r="L845" t="str">
        <f t="shared" si="1"/>
        <v/>
      </c>
      <c r="M845" t="s">
        <v>241</v>
      </c>
    </row>
    <row r="846">
      <c r="F846" t="s">
        <v>241</v>
      </c>
      <c r="G846" t="s">
        <v>241</v>
      </c>
      <c r="J846" t="str">
        <f>IFERROR(__xludf.DUMMYFUNCTION("""COMPUTED_VALUE"""),"")</f>
        <v/>
      </c>
      <c r="K846" t="s">
        <v>241</v>
      </c>
      <c r="L846" t="str">
        <f t="shared" si="1"/>
        <v/>
      </c>
      <c r="M846" t="s">
        <v>241</v>
      </c>
    </row>
    <row r="847">
      <c r="F847" t="s">
        <v>241</v>
      </c>
      <c r="G847" t="s">
        <v>241</v>
      </c>
      <c r="J847" t="str">
        <f>IFERROR(__xludf.DUMMYFUNCTION("""COMPUTED_VALUE"""),"")</f>
        <v/>
      </c>
      <c r="K847" t="s">
        <v>241</v>
      </c>
      <c r="L847" t="str">
        <f t="shared" si="1"/>
        <v/>
      </c>
      <c r="M847" t="s">
        <v>241</v>
      </c>
    </row>
    <row r="848">
      <c r="F848" t="s">
        <v>241</v>
      </c>
      <c r="G848" t="s">
        <v>241</v>
      </c>
      <c r="J848" t="str">
        <f>IFERROR(__xludf.DUMMYFUNCTION("""COMPUTED_VALUE"""),"")</f>
        <v/>
      </c>
      <c r="K848" t="s">
        <v>241</v>
      </c>
      <c r="L848" t="str">
        <f t="shared" si="1"/>
        <v/>
      </c>
      <c r="M848" t="s">
        <v>241</v>
      </c>
    </row>
    <row r="849">
      <c r="F849" t="s">
        <v>241</v>
      </c>
      <c r="G849" t="s">
        <v>241</v>
      </c>
      <c r="J849" t="str">
        <f>IFERROR(__xludf.DUMMYFUNCTION("""COMPUTED_VALUE"""),"")</f>
        <v/>
      </c>
      <c r="K849" t="s">
        <v>241</v>
      </c>
      <c r="L849" t="str">
        <f t="shared" si="1"/>
        <v/>
      </c>
      <c r="M849" t="s">
        <v>241</v>
      </c>
    </row>
    <row r="850">
      <c r="F850" t="s">
        <v>241</v>
      </c>
      <c r="G850" t="s">
        <v>241</v>
      </c>
      <c r="J850" t="str">
        <f>IFERROR(__xludf.DUMMYFUNCTION("""COMPUTED_VALUE"""),"")</f>
        <v/>
      </c>
      <c r="K850" t="s">
        <v>241</v>
      </c>
      <c r="L850" t="str">
        <f t="shared" si="1"/>
        <v/>
      </c>
      <c r="M850" t="s">
        <v>241</v>
      </c>
    </row>
    <row r="851">
      <c r="F851" t="s">
        <v>241</v>
      </c>
      <c r="G851" t="s">
        <v>241</v>
      </c>
      <c r="J851" t="str">
        <f>IFERROR(__xludf.DUMMYFUNCTION("""COMPUTED_VALUE"""),"")</f>
        <v/>
      </c>
      <c r="K851" t="s">
        <v>241</v>
      </c>
      <c r="L851" t="str">
        <f t="shared" si="1"/>
        <v/>
      </c>
      <c r="M851" t="s">
        <v>241</v>
      </c>
    </row>
    <row r="852">
      <c r="F852" t="s">
        <v>241</v>
      </c>
      <c r="G852" t="s">
        <v>241</v>
      </c>
      <c r="J852" t="str">
        <f>IFERROR(__xludf.DUMMYFUNCTION("""COMPUTED_VALUE"""),"")</f>
        <v/>
      </c>
      <c r="K852" t="s">
        <v>241</v>
      </c>
      <c r="L852" t="str">
        <f t="shared" si="1"/>
        <v/>
      </c>
      <c r="M852" t="s">
        <v>241</v>
      </c>
    </row>
    <row r="853">
      <c r="F853" t="s">
        <v>241</v>
      </c>
      <c r="G853" t="s">
        <v>241</v>
      </c>
      <c r="J853" t="str">
        <f>IFERROR(__xludf.DUMMYFUNCTION("""COMPUTED_VALUE"""),"")</f>
        <v/>
      </c>
      <c r="K853" t="s">
        <v>241</v>
      </c>
      <c r="L853" t="str">
        <f t="shared" si="1"/>
        <v/>
      </c>
      <c r="M853" t="s">
        <v>241</v>
      </c>
    </row>
    <row r="854">
      <c r="F854" t="s">
        <v>241</v>
      </c>
      <c r="G854" t="s">
        <v>241</v>
      </c>
      <c r="J854" t="str">
        <f>IFERROR(__xludf.DUMMYFUNCTION("""COMPUTED_VALUE"""),"")</f>
        <v/>
      </c>
      <c r="K854" t="s">
        <v>241</v>
      </c>
      <c r="L854" t="str">
        <f t="shared" si="1"/>
        <v/>
      </c>
      <c r="M854" t="s">
        <v>241</v>
      </c>
    </row>
    <row r="855">
      <c r="F855" t="s">
        <v>241</v>
      </c>
      <c r="G855" t="s">
        <v>241</v>
      </c>
      <c r="J855" t="str">
        <f>IFERROR(__xludf.DUMMYFUNCTION("""COMPUTED_VALUE"""),"")</f>
        <v/>
      </c>
      <c r="K855" t="s">
        <v>241</v>
      </c>
      <c r="L855" t="str">
        <f t="shared" si="1"/>
        <v/>
      </c>
      <c r="M855" t="s">
        <v>241</v>
      </c>
    </row>
    <row r="856">
      <c r="F856" t="s">
        <v>241</v>
      </c>
      <c r="G856" t="s">
        <v>241</v>
      </c>
      <c r="J856" t="str">
        <f>IFERROR(__xludf.DUMMYFUNCTION("""COMPUTED_VALUE"""),"")</f>
        <v/>
      </c>
      <c r="K856" t="s">
        <v>241</v>
      </c>
      <c r="L856" t="str">
        <f t="shared" si="1"/>
        <v/>
      </c>
      <c r="M856" t="s">
        <v>241</v>
      </c>
    </row>
    <row r="857">
      <c r="F857" t="s">
        <v>241</v>
      </c>
      <c r="G857" t="s">
        <v>241</v>
      </c>
      <c r="J857" t="str">
        <f>IFERROR(__xludf.DUMMYFUNCTION("""COMPUTED_VALUE"""),"")</f>
        <v/>
      </c>
      <c r="K857" t="s">
        <v>241</v>
      </c>
      <c r="L857" t="str">
        <f t="shared" si="1"/>
        <v/>
      </c>
      <c r="M857" t="s">
        <v>241</v>
      </c>
    </row>
    <row r="858">
      <c r="F858" t="s">
        <v>241</v>
      </c>
      <c r="G858" t="s">
        <v>241</v>
      </c>
      <c r="J858" t="str">
        <f>IFERROR(__xludf.DUMMYFUNCTION("""COMPUTED_VALUE"""),"")</f>
        <v/>
      </c>
      <c r="K858" t="s">
        <v>241</v>
      </c>
      <c r="L858" t="str">
        <f t="shared" si="1"/>
        <v/>
      </c>
      <c r="M858" t="s">
        <v>241</v>
      </c>
    </row>
    <row r="859">
      <c r="F859" t="s">
        <v>241</v>
      </c>
      <c r="G859" t="s">
        <v>241</v>
      </c>
      <c r="J859" t="str">
        <f>IFERROR(__xludf.DUMMYFUNCTION("""COMPUTED_VALUE"""),"")</f>
        <v/>
      </c>
      <c r="K859" t="s">
        <v>241</v>
      </c>
      <c r="L859" t="str">
        <f t="shared" si="1"/>
        <v/>
      </c>
      <c r="M859" t="s">
        <v>241</v>
      </c>
    </row>
    <row r="860">
      <c r="F860" t="s">
        <v>241</v>
      </c>
      <c r="G860" t="s">
        <v>241</v>
      </c>
      <c r="J860" t="str">
        <f>IFERROR(__xludf.DUMMYFUNCTION("""COMPUTED_VALUE"""),"")</f>
        <v/>
      </c>
      <c r="K860" t="s">
        <v>241</v>
      </c>
      <c r="L860" t="str">
        <f t="shared" si="1"/>
        <v/>
      </c>
      <c r="M860" t="s">
        <v>241</v>
      </c>
    </row>
    <row r="861">
      <c r="F861" t="s">
        <v>241</v>
      </c>
      <c r="G861" t="s">
        <v>241</v>
      </c>
      <c r="J861" t="str">
        <f>IFERROR(__xludf.DUMMYFUNCTION("""COMPUTED_VALUE"""),"")</f>
        <v/>
      </c>
      <c r="K861" t="s">
        <v>241</v>
      </c>
      <c r="L861" t="str">
        <f t="shared" si="1"/>
        <v/>
      </c>
      <c r="M861" t="s">
        <v>241</v>
      </c>
    </row>
    <row r="862">
      <c r="F862" t="s">
        <v>241</v>
      </c>
      <c r="G862" t="s">
        <v>241</v>
      </c>
      <c r="J862" t="str">
        <f>IFERROR(__xludf.DUMMYFUNCTION("""COMPUTED_VALUE"""),"")</f>
        <v/>
      </c>
      <c r="K862" t="s">
        <v>241</v>
      </c>
      <c r="L862" t="str">
        <f t="shared" si="1"/>
        <v/>
      </c>
      <c r="M862" t="s">
        <v>241</v>
      </c>
    </row>
    <row r="863">
      <c r="F863" t="s">
        <v>241</v>
      </c>
      <c r="G863" t="s">
        <v>241</v>
      </c>
      <c r="J863" t="str">
        <f>IFERROR(__xludf.DUMMYFUNCTION("""COMPUTED_VALUE"""),"")</f>
        <v/>
      </c>
      <c r="K863" t="s">
        <v>241</v>
      </c>
      <c r="L863" t="str">
        <f t="shared" si="1"/>
        <v/>
      </c>
      <c r="M863" t="s">
        <v>241</v>
      </c>
    </row>
    <row r="864">
      <c r="F864" t="s">
        <v>241</v>
      </c>
      <c r="G864" t="s">
        <v>241</v>
      </c>
      <c r="J864" t="str">
        <f>IFERROR(__xludf.DUMMYFUNCTION("""COMPUTED_VALUE"""),"")</f>
        <v/>
      </c>
      <c r="K864" t="s">
        <v>241</v>
      </c>
      <c r="L864" t="str">
        <f t="shared" si="1"/>
        <v/>
      </c>
      <c r="M864" t="s">
        <v>241</v>
      </c>
    </row>
    <row r="865">
      <c r="F865" t="s">
        <v>241</v>
      </c>
      <c r="G865" t="s">
        <v>241</v>
      </c>
      <c r="J865" t="str">
        <f>IFERROR(__xludf.DUMMYFUNCTION("""COMPUTED_VALUE"""),"")</f>
        <v/>
      </c>
      <c r="K865" t="s">
        <v>241</v>
      </c>
      <c r="L865" t="str">
        <f t="shared" si="1"/>
        <v/>
      </c>
      <c r="M865" t="s">
        <v>241</v>
      </c>
    </row>
    <row r="866">
      <c r="F866" t="s">
        <v>241</v>
      </c>
      <c r="G866" t="s">
        <v>241</v>
      </c>
      <c r="J866" t="str">
        <f>IFERROR(__xludf.DUMMYFUNCTION("""COMPUTED_VALUE"""),"")</f>
        <v/>
      </c>
      <c r="K866" t="s">
        <v>241</v>
      </c>
      <c r="L866" t="str">
        <f t="shared" si="1"/>
        <v/>
      </c>
      <c r="M866" t="s">
        <v>241</v>
      </c>
    </row>
    <row r="867">
      <c r="F867" t="s">
        <v>241</v>
      </c>
      <c r="G867" t="s">
        <v>241</v>
      </c>
      <c r="J867" t="str">
        <f>IFERROR(__xludf.DUMMYFUNCTION("""COMPUTED_VALUE"""),"")</f>
        <v/>
      </c>
      <c r="K867" t="s">
        <v>241</v>
      </c>
      <c r="L867" t="str">
        <f t="shared" si="1"/>
        <v/>
      </c>
      <c r="M867" t="s">
        <v>241</v>
      </c>
    </row>
    <row r="868">
      <c r="F868" t="s">
        <v>241</v>
      </c>
      <c r="G868" t="s">
        <v>241</v>
      </c>
      <c r="J868" t="str">
        <f>IFERROR(__xludf.DUMMYFUNCTION("""COMPUTED_VALUE"""),"")</f>
        <v/>
      </c>
      <c r="K868" t="s">
        <v>241</v>
      </c>
      <c r="L868" t="str">
        <f t="shared" si="1"/>
        <v/>
      </c>
      <c r="M868" t="s">
        <v>241</v>
      </c>
    </row>
    <row r="869">
      <c r="F869" t="s">
        <v>241</v>
      </c>
      <c r="G869" t="s">
        <v>241</v>
      </c>
      <c r="J869" t="str">
        <f>IFERROR(__xludf.DUMMYFUNCTION("""COMPUTED_VALUE"""),"")</f>
        <v/>
      </c>
      <c r="K869" t="s">
        <v>241</v>
      </c>
      <c r="L869" t="str">
        <f t="shared" si="1"/>
        <v/>
      </c>
      <c r="M869" t="s">
        <v>241</v>
      </c>
    </row>
    <row r="870">
      <c r="F870" t="s">
        <v>241</v>
      </c>
      <c r="G870" t="s">
        <v>241</v>
      </c>
      <c r="J870" t="str">
        <f>IFERROR(__xludf.DUMMYFUNCTION("""COMPUTED_VALUE"""),"")</f>
        <v/>
      </c>
      <c r="K870" t="s">
        <v>241</v>
      </c>
      <c r="L870" t="str">
        <f t="shared" si="1"/>
        <v/>
      </c>
      <c r="M870" t="s">
        <v>241</v>
      </c>
    </row>
    <row r="871">
      <c r="F871" t="s">
        <v>241</v>
      </c>
      <c r="G871" t="s">
        <v>241</v>
      </c>
      <c r="J871" t="str">
        <f>IFERROR(__xludf.DUMMYFUNCTION("""COMPUTED_VALUE"""),"")</f>
        <v/>
      </c>
      <c r="K871" t="s">
        <v>241</v>
      </c>
      <c r="L871" t="str">
        <f t="shared" si="1"/>
        <v/>
      </c>
      <c r="M871" t="s">
        <v>241</v>
      </c>
    </row>
    <row r="872">
      <c r="F872" t="s">
        <v>241</v>
      </c>
      <c r="G872" t="s">
        <v>241</v>
      </c>
      <c r="J872" t="str">
        <f>IFERROR(__xludf.DUMMYFUNCTION("""COMPUTED_VALUE"""),"")</f>
        <v/>
      </c>
      <c r="K872" t="s">
        <v>241</v>
      </c>
      <c r="L872" t="str">
        <f t="shared" si="1"/>
        <v/>
      </c>
      <c r="M872" t="s">
        <v>241</v>
      </c>
    </row>
    <row r="873">
      <c r="F873" t="s">
        <v>241</v>
      </c>
      <c r="G873" t="s">
        <v>241</v>
      </c>
      <c r="J873" t="str">
        <f>IFERROR(__xludf.DUMMYFUNCTION("""COMPUTED_VALUE"""),"")</f>
        <v/>
      </c>
      <c r="K873" t="s">
        <v>241</v>
      </c>
      <c r="L873" t="str">
        <f t="shared" si="1"/>
        <v/>
      </c>
      <c r="M873" t="s">
        <v>241</v>
      </c>
    </row>
    <row r="874">
      <c r="F874" t="s">
        <v>241</v>
      </c>
      <c r="G874" t="s">
        <v>241</v>
      </c>
      <c r="J874" t="str">
        <f>IFERROR(__xludf.DUMMYFUNCTION("""COMPUTED_VALUE"""),"")</f>
        <v/>
      </c>
      <c r="K874" t="s">
        <v>241</v>
      </c>
      <c r="L874" t="str">
        <f t="shared" si="1"/>
        <v/>
      </c>
      <c r="M874" t="s">
        <v>241</v>
      </c>
    </row>
    <row r="875">
      <c r="F875" t="s">
        <v>241</v>
      </c>
      <c r="G875" t="s">
        <v>241</v>
      </c>
      <c r="J875" t="str">
        <f>IFERROR(__xludf.DUMMYFUNCTION("""COMPUTED_VALUE"""),"")</f>
        <v/>
      </c>
      <c r="K875" t="s">
        <v>241</v>
      </c>
      <c r="L875" t="str">
        <f t="shared" si="1"/>
        <v/>
      </c>
      <c r="M875" t="s">
        <v>241</v>
      </c>
    </row>
    <row r="876">
      <c r="F876" t="s">
        <v>241</v>
      </c>
      <c r="G876" t="s">
        <v>241</v>
      </c>
      <c r="J876" t="str">
        <f>IFERROR(__xludf.DUMMYFUNCTION("""COMPUTED_VALUE"""),"")</f>
        <v/>
      </c>
      <c r="K876" t="s">
        <v>241</v>
      </c>
      <c r="L876" t="str">
        <f t="shared" si="1"/>
        <v/>
      </c>
      <c r="M876" t="s">
        <v>241</v>
      </c>
    </row>
    <row r="877">
      <c r="F877" t="s">
        <v>241</v>
      </c>
      <c r="G877" t="s">
        <v>241</v>
      </c>
      <c r="J877" t="str">
        <f>IFERROR(__xludf.DUMMYFUNCTION("""COMPUTED_VALUE"""),"")</f>
        <v/>
      </c>
      <c r="K877" t="s">
        <v>241</v>
      </c>
      <c r="L877" t="str">
        <f t="shared" si="1"/>
        <v/>
      </c>
      <c r="M877" t="s">
        <v>241</v>
      </c>
    </row>
    <row r="878">
      <c r="F878" t="s">
        <v>241</v>
      </c>
      <c r="G878" t="s">
        <v>241</v>
      </c>
      <c r="J878" t="str">
        <f>IFERROR(__xludf.DUMMYFUNCTION("""COMPUTED_VALUE"""),"")</f>
        <v/>
      </c>
      <c r="K878" t="s">
        <v>241</v>
      </c>
      <c r="L878" t="str">
        <f t="shared" si="1"/>
        <v/>
      </c>
      <c r="M878" t="s">
        <v>241</v>
      </c>
    </row>
    <row r="879">
      <c r="F879" t="s">
        <v>241</v>
      </c>
      <c r="G879" t="s">
        <v>241</v>
      </c>
      <c r="J879" t="str">
        <f>IFERROR(__xludf.DUMMYFUNCTION("""COMPUTED_VALUE"""),"")</f>
        <v/>
      </c>
      <c r="K879" t="s">
        <v>241</v>
      </c>
      <c r="L879" t="str">
        <f t="shared" si="1"/>
        <v/>
      </c>
      <c r="M879" t="s">
        <v>241</v>
      </c>
    </row>
    <row r="880">
      <c r="F880" t="s">
        <v>241</v>
      </c>
      <c r="G880" t="s">
        <v>241</v>
      </c>
      <c r="J880" t="str">
        <f>IFERROR(__xludf.DUMMYFUNCTION("""COMPUTED_VALUE"""),"")</f>
        <v/>
      </c>
      <c r="K880" t="s">
        <v>241</v>
      </c>
      <c r="L880" t="str">
        <f t="shared" si="1"/>
        <v/>
      </c>
      <c r="M880" t="s">
        <v>241</v>
      </c>
    </row>
    <row r="881">
      <c r="F881" t="s">
        <v>241</v>
      </c>
      <c r="G881" t="s">
        <v>241</v>
      </c>
      <c r="J881" t="str">
        <f>IFERROR(__xludf.DUMMYFUNCTION("""COMPUTED_VALUE"""),"")</f>
        <v/>
      </c>
      <c r="K881" t="s">
        <v>241</v>
      </c>
      <c r="L881" t="str">
        <f t="shared" si="1"/>
        <v/>
      </c>
      <c r="M881" t="s">
        <v>241</v>
      </c>
    </row>
    <row r="882">
      <c r="F882" t="s">
        <v>241</v>
      </c>
      <c r="G882" t="s">
        <v>241</v>
      </c>
      <c r="J882" t="str">
        <f>IFERROR(__xludf.DUMMYFUNCTION("""COMPUTED_VALUE"""),"")</f>
        <v/>
      </c>
      <c r="K882" t="s">
        <v>241</v>
      </c>
      <c r="L882" t="str">
        <f t="shared" si="1"/>
        <v/>
      </c>
      <c r="M882" t="s">
        <v>241</v>
      </c>
    </row>
    <row r="883">
      <c r="F883" t="s">
        <v>241</v>
      </c>
      <c r="G883" t="s">
        <v>241</v>
      </c>
      <c r="J883" t="str">
        <f>IFERROR(__xludf.DUMMYFUNCTION("""COMPUTED_VALUE"""),"")</f>
        <v/>
      </c>
      <c r="K883" t="s">
        <v>241</v>
      </c>
      <c r="L883" t="str">
        <f t="shared" si="1"/>
        <v/>
      </c>
      <c r="M883" t="s">
        <v>241</v>
      </c>
    </row>
    <row r="884">
      <c r="F884" t="s">
        <v>241</v>
      </c>
      <c r="G884" t="s">
        <v>241</v>
      </c>
      <c r="J884" t="str">
        <f>IFERROR(__xludf.DUMMYFUNCTION("""COMPUTED_VALUE"""),"")</f>
        <v/>
      </c>
      <c r="K884" t="s">
        <v>241</v>
      </c>
      <c r="L884" t="str">
        <f t="shared" si="1"/>
        <v/>
      </c>
      <c r="M884" t="s">
        <v>241</v>
      </c>
    </row>
    <row r="885">
      <c r="F885" t="s">
        <v>241</v>
      </c>
      <c r="G885" t="s">
        <v>241</v>
      </c>
      <c r="J885" t="str">
        <f>IFERROR(__xludf.DUMMYFUNCTION("""COMPUTED_VALUE"""),"")</f>
        <v/>
      </c>
      <c r="K885" t="s">
        <v>241</v>
      </c>
      <c r="L885" t="str">
        <f t="shared" si="1"/>
        <v/>
      </c>
      <c r="M885" t="s">
        <v>241</v>
      </c>
    </row>
    <row r="886">
      <c r="F886" t="s">
        <v>241</v>
      </c>
      <c r="G886" t="s">
        <v>241</v>
      </c>
      <c r="J886" t="str">
        <f>IFERROR(__xludf.DUMMYFUNCTION("""COMPUTED_VALUE"""),"")</f>
        <v/>
      </c>
      <c r="K886" t="s">
        <v>241</v>
      </c>
      <c r="L886" t="str">
        <f t="shared" si="1"/>
        <v/>
      </c>
      <c r="M886" t="s">
        <v>241</v>
      </c>
    </row>
    <row r="887">
      <c r="F887" t="s">
        <v>241</v>
      </c>
      <c r="G887" t="s">
        <v>241</v>
      </c>
      <c r="J887" t="str">
        <f>IFERROR(__xludf.DUMMYFUNCTION("""COMPUTED_VALUE"""),"")</f>
        <v/>
      </c>
      <c r="K887" t="s">
        <v>241</v>
      </c>
      <c r="L887" t="str">
        <f t="shared" si="1"/>
        <v/>
      </c>
      <c r="M887" t="s">
        <v>241</v>
      </c>
    </row>
    <row r="888">
      <c r="F888" t="s">
        <v>241</v>
      </c>
      <c r="G888" t="s">
        <v>241</v>
      </c>
      <c r="J888" t="str">
        <f>IFERROR(__xludf.DUMMYFUNCTION("""COMPUTED_VALUE"""),"")</f>
        <v/>
      </c>
      <c r="K888" t="s">
        <v>241</v>
      </c>
      <c r="L888" t="str">
        <f t="shared" si="1"/>
        <v/>
      </c>
      <c r="M888" t="s">
        <v>241</v>
      </c>
    </row>
    <row r="889">
      <c r="F889" t="s">
        <v>241</v>
      </c>
      <c r="G889" t="s">
        <v>241</v>
      </c>
      <c r="J889" t="str">
        <f>IFERROR(__xludf.DUMMYFUNCTION("""COMPUTED_VALUE"""),"")</f>
        <v/>
      </c>
      <c r="K889" t="s">
        <v>241</v>
      </c>
      <c r="L889" t="str">
        <f t="shared" si="1"/>
        <v/>
      </c>
      <c r="M889" t="s">
        <v>241</v>
      </c>
    </row>
    <row r="890">
      <c r="F890" t="s">
        <v>241</v>
      </c>
      <c r="G890" t="s">
        <v>241</v>
      </c>
      <c r="J890" t="str">
        <f>IFERROR(__xludf.DUMMYFUNCTION("""COMPUTED_VALUE"""),"")</f>
        <v/>
      </c>
      <c r="K890" t="s">
        <v>241</v>
      </c>
      <c r="L890" t="str">
        <f t="shared" si="1"/>
        <v/>
      </c>
      <c r="M890" t="s">
        <v>241</v>
      </c>
    </row>
    <row r="891">
      <c r="F891" t="s">
        <v>241</v>
      </c>
      <c r="G891" t="s">
        <v>241</v>
      </c>
      <c r="J891" t="str">
        <f>IFERROR(__xludf.DUMMYFUNCTION("""COMPUTED_VALUE"""),"")</f>
        <v/>
      </c>
      <c r="K891" t="s">
        <v>241</v>
      </c>
      <c r="L891" t="str">
        <f t="shared" si="1"/>
        <v/>
      </c>
      <c r="M891" t="s">
        <v>241</v>
      </c>
    </row>
    <row r="892">
      <c r="F892" t="s">
        <v>241</v>
      </c>
      <c r="G892" t="s">
        <v>241</v>
      </c>
      <c r="J892" t="str">
        <f>IFERROR(__xludf.DUMMYFUNCTION("""COMPUTED_VALUE"""),"")</f>
        <v/>
      </c>
      <c r="K892" t="s">
        <v>241</v>
      </c>
      <c r="L892" t="str">
        <f t="shared" si="1"/>
        <v/>
      </c>
      <c r="M892" t="s">
        <v>241</v>
      </c>
    </row>
    <row r="893">
      <c r="F893" t="s">
        <v>241</v>
      </c>
      <c r="G893" t="s">
        <v>241</v>
      </c>
      <c r="J893" t="str">
        <f>IFERROR(__xludf.DUMMYFUNCTION("""COMPUTED_VALUE"""),"")</f>
        <v/>
      </c>
      <c r="K893" t="s">
        <v>241</v>
      </c>
      <c r="L893" t="str">
        <f t="shared" si="1"/>
        <v/>
      </c>
      <c r="M893" t="s">
        <v>241</v>
      </c>
    </row>
    <row r="894">
      <c r="F894" t="s">
        <v>241</v>
      </c>
      <c r="G894" t="s">
        <v>241</v>
      </c>
      <c r="J894" t="str">
        <f>IFERROR(__xludf.DUMMYFUNCTION("""COMPUTED_VALUE"""),"")</f>
        <v/>
      </c>
      <c r="K894" t="s">
        <v>241</v>
      </c>
      <c r="L894" t="str">
        <f t="shared" si="1"/>
        <v/>
      </c>
      <c r="M894" t="s">
        <v>241</v>
      </c>
    </row>
    <row r="895">
      <c r="F895" t="s">
        <v>241</v>
      </c>
      <c r="G895" t="s">
        <v>241</v>
      </c>
      <c r="J895" t="str">
        <f>IFERROR(__xludf.DUMMYFUNCTION("""COMPUTED_VALUE"""),"")</f>
        <v/>
      </c>
      <c r="K895" t="s">
        <v>241</v>
      </c>
      <c r="L895" t="str">
        <f t="shared" si="1"/>
        <v/>
      </c>
      <c r="M895" t="s">
        <v>241</v>
      </c>
    </row>
    <row r="896">
      <c r="F896" t="s">
        <v>241</v>
      </c>
      <c r="G896" t="s">
        <v>241</v>
      </c>
      <c r="J896" t="str">
        <f>IFERROR(__xludf.DUMMYFUNCTION("""COMPUTED_VALUE"""),"")</f>
        <v/>
      </c>
      <c r="K896" t="s">
        <v>241</v>
      </c>
      <c r="L896" t="str">
        <f t="shared" si="1"/>
        <v/>
      </c>
      <c r="M896" t="s">
        <v>241</v>
      </c>
    </row>
    <row r="897">
      <c r="F897" t="s">
        <v>241</v>
      </c>
      <c r="G897" t="s">
        <v>241</v>
      </c>
      <c r="J897" t="str">
        <f>IFERROR(__xludf.DUMMYFUNCTION("""COMPUTED_VALUE"""),"")</f>
        <v/>
      </c>
      <c r="K897" t="s">
        <v>241</v>
      </c>
      <c r="L897" t="str">
        <f t="shared" si="1"/>
        <v/>
      </c>
      <c r="M897" t="s">
        <v>241</v>
      </c>
    </row>
    <row r="898">
      <c r="F898" t="s">
        <v>241</v>
      </c>
      <c r="G898" t="s">
        <v>241</v>
      </c>
      <c r="J898" t="str">
        <f>IFERROR(__xludf.DUMMYFUNCTION("""COMPUTED_VALUE"""),"")</f>
        <v/>
      </c>
      <c r="K898" t="s">
        <v>241</v>
      </c>
      <c r="L898" t="str">
        <f t="shared" si="1"/>
        <v/>
      </c>
      <c r="M898" t="s">
        <v>241</v>
      </c>
    </row>
    <row r="899">
      <c r="F899" t="s">
        <v>241</v>
      </c>
      <c r="G899" t="s">
        <v>241</v>
      </c>
      <c r="J899" t="str">
        <f>IFERROR(__xludf.DUMMYFUNCTION("""COMPUTED_VALUE"""),"")</f>
        <v/>
      </c>
      <c r="K899" t="s">
        <v>241</v>
      </c>
      <c r="L899" t="str">
        <f t="shared" si="1"/>
        <v/>
      </c>
      <c r="M899" t="s">
        <v>241</v>
      </c>
    </row>
    <row r="900">
      <c r="F900" t="s">
        <v>241</v>
      </c>
      <c r="G900" t="s">
        <v>241</v>
      </c>
      <c r="J900" t="str">
        <f>IFERROR(__xludf.DUMMYFUNCTION("""COMPUTED_VALUE"""),"")</f>
        <v/>
      </c>
      <c r="K900" t="s">
        <v>241</v>
      </c>
      <c r="L900" t="str">
        <f t="shared" si="1"/>
        <v/>
      </c>
      <c r="M900" t="s">
        <v>241</v>
      </c>
    </row>
    <row r="901">
      <c r="F901" t="s">
        <v>241</v>
      </c>
      <c r="G901" t="s">
        <v>241</v>
      </c>
      <c r="J901" t="str">
        <f>IFERROR(__xludf.DUMMYFUNCTION("""COMPUTED_VALUE"""),"")</f>
        <v/>
      </c>
      <c r="K901" t="s">
        <v>241</v>
      </c>
      <c r="L901" t="str">
        <f t="shared" si="1"/>
        <v/>
      </c>
      <c r="M901" t="s">
        <v>241</v>
      </c>
    </row>
    <row r="902">
      <c r="F902" t="s">
        <v>241</v>
      </c>
      <c r="G902" t="s">
        <v>241</v>
      </c>
      <c r="J902" t="str">
        <f>IFERROR(__xludf.DUMMYFUNCTION("""COMPUTED_VALUE"""),"")</f>
        <v/>
      </c>
      <c r="K902" t="s">
        <v>241</v>
      </c>
      <c r="L902" t="str">
        <f t="shared" si="1"/>
        <v/>
      </c>
      <c r="M902" t="s">
        <v>241</v>
      </c>
    </row>
    <row r="903">
      <c r="F903" t="s">
        <v>241</v>
      </c>
      <c r="G903" t="s">
        <v>241</v>
      </c>
      <c r="J903" t="str">
        <f>IFERROR(__xludf.DUMMYFUNCTION("""COMPUTED_VALUE"""),"")</f>
        <v/>
      </c>
      <c r="K903" t="s">
        <v>241</v>
      </c>
      <c r="L903" t="str">
        <f t="shared" si="1"/>
        <v/>
      </c>
      <c r="M903" t="s">
        <v>241</v>
      </c>
    </row>
    <row r="904">
      <c r="F904" t="s">
        <v>241</v>
      </c>
      <c r="G904" t="s">
        <v>241</v>
      </c>
      <c r="J904" t="str">
        <f>IFERROR(__xludf.DUMMYFUNCTION("""COMPUTED_VALUE"""),"")</f>
        <v/>
      </c>
      <c r="K904" t="s">
        <v>241</v>
      </c>
      <c r="L904" t="str">
        <f t="shared" si="1"/>
        <v/>
      </c>
      <c r="M904" t="s">
        <v>241</v>
      </c>
    </row>
    <row r="905">
      <c r="F905" t="s">
        <v>241</v>
      </c>
      <c r="G905" t="s">
        <v>241</v>
      </c>
      <c r="J905" t="str">
        <f>IFERROR(__xludf.DUMMYFUNCTION("""COMPUTED_VALUE"""),"")</f>
        <v/>
      </c>
      <c r="K905" t="s">
        <v>241</v>
      </c>
      <c r="L905" t="str">
        <f t="shared" si="1"/>
        <v/>
      </c>
      <c r="M905" t="s">
        <v>241</v>
      </c>
    </row>
    <row r="906">
      <c r="F906" t="s">
        <v>241</v>
      </c>
      <c r="G906" t="s">
        <v>241</v>
      </c>
      <c r="J906" t="str">
        <f>IFERROR(__xludf.DUMMYFUNCTION("""COMPUTED_VALUE"""),"")</f>
        <v/>
      </c>
      <c r="K906" t="s">
        <v>241</v>
      </c>
      <c r="L906" t="str">
        <f t="shared" si="1"/>
        <v/>
      </c>
      <c r="M906" t="s">
        <v>241</v>
      </c>
    </row>
    <row r="907">
      <c r="F907" t="s">
        <v>241</v>
      </c>
      <c r="G907" t="s">
        <v>241</v>
      </c>
      <c r="J907" t="str">
        <f>IFERROR(__xludf.DUMMYFUNCTION("""COMPUTED_VALUE"""),"")</f>
        <v/>
      </c>
      <c r="K907" t="s">
        <v>241</v>
      </c>
      <c r="L907" t="str">
        <f t="shared" si="1"/>
        <v/>
      </c>
      <c r="M907" t="s">
        <v>241</v>
      </c>
    </row>
    <row r="908">
      <c r="F908" t="s">
        <v>241</v>
      </c>
      <c r="G908" t="s">
        <v>241</v>
      </c>
      <c r="J908" t="str">
        <f>IFERROR(__xludf.DUMMYFUNCTION("""COMPUTED_VALUE"""),"")</f>
        <v/>
      </c>
      <c r="K908" t="s">
        <v>241</v>
      </c>
      <c r="L908" t="str">
        <f t="shared" si="1"/>
        <v/>
      </c>
      <c r="M908" t="s">
        <v>241</v>
      </c>
    </row>
    <row r="909">
      <c r="F909" t="s">
        <v>241</v>
      </c>
      <c r="G909" t="s">
        <v>241</v>
      </c>
      <c r="J909" t="str">
        <f>IFERROR(__xludf.DUMMYFUNCTION("""COMPUTED_VALUE"""),"")</f>
        <v/>
      </c>
      <c r="K909" t="s">
        <v>241</v>
      </c>
      <c r="L909" t="str">
        <f t="shared" si="1"/>
        <v/>
      </c>
      <c r="M909" t="s">
        <v>241</v>
      </c>
    </row>
    <row r="910">
      <c r="F910" t="s">
        <v>241</v>
      </c>
      <c r="G910" t="s">
        <v>241</v>
      </c>
      <c r="J910" t="str">
        <f>IFERROR(__xludf.DUMMYFUNCTION("""COMPUTED_VALUE"""),"")</f>
        <v/>
      </c>
      <c r="K910" t="s">
        <v>241</v>
      </c>
      <c r="L910" t="str">
        <f t="shared" si="1"/>
        <v/>
      </c>
      <c r="M910" t="s">
        <v>241</v>
      </c>
    </row>
    <row r="911">
      <c r="F911" t="s">
        <v>241</v>
      </c>
      <c r="G911" t="s">
        <v>241</v>
      </c>
      <c r="J911" t="str">
        <f>IFERROR(__xludf.DUMMYFUNCTION("""COMPUTED_VALUE"""),"")</f>
        <v/>
      </c>
      <c r="K911" t="s">
        <v>241</v>
      </c>
      <c r="L911" t="str">
        <f t="shared" si="1"/>
        <v/>
      </c>
      <c r="M911" t="s">
        <v>241</v>
      </c>
    </row>
    <row r="912">
      <c r="F912" t="s">
        <v>241</v>
      </c>
      <c r="G912" t="s">
        <v>241</v>
      </c>
      <c r="J912" t="str">
        <f>IFERROR(__xludf.DUMMYFUNCTION("""COMPUTED_VALUE"""),"")</f>
        <v/>
      </c>
      <c r="K912" t="s">
        <v>241</v>
      </c>
      <c r="L912" t="str">
        <f t="shared" si="1"/>
        <v/>
      </c>
      <c r="M912" t="s">
        <v>241</v>
      </c>
    </row>
    <row r="913">
      <c r="F913" t="s">
        <v>241</v>
      </c>
      <c r="G913" t="s">
        <v>241</v>
      </c>
      <c r="J913" t="str">
        <f>IFERROR(__xludf.DUMMYFUNCTION("""COMPUTED_VALUE"""),"")</f>
        <v/>
      </c>
      <c r="K913" t="s">
        <v>241</v>
      </c>
      <c r="L913" t="str">
        <f t="shared" si="1"/>
        <v/>
      </c>
      <c r="M913" t="s">
        <v>241</v>
      </c>
    </row>
    <row r="914">
      <c r="F914" t="s">
        <v>241</v>
      </c>
      <c r="G914" t="s">
        <v>241</v>
      </c>
      <c r="J914" t="str">
        <f>IFERROR(__xludf.DUMMYFUNCTION("""COMPUTED_VALUE"""),"")</f>
        <v/>
      </c>
      <c r="K914" t="s">
        <v>241</v>
      </c>
      <c r="L914" t="str">
        <f t="shared" si="1"/>
        <v/>
      </c>
      <c r="M914" t="s">
        <v>241</v>
      </c>
    </row>
    <row r="915">
      <c r="F915" t="s">
        <v>241</v>
      </c>
      <c r="G915" t="s">
        <v>241</v>
      </c>
      <c r="J915" t="str">
        <f>IFERROR(__xludf.DUMMYFUNCTION("""COMPUTED_VALUE"""),"")</f>
        <v/>
      </c>
      <c r="K915" t="s">
        <v>241</v>
      </c>
      <c r="L915" t="str">
        <f t="shared" si="1"/>
        <v/>
      </c>
      <c r="M915" t="s">
        <v>241</v>
      </c>
    </row>
    <row r="916">
      <c r="F916" t="s">
        <v>241</v>
      </c>
      <c r="G916" t="s">
        <v>241</v>
      </c>
      <c r="J916" t="str">
        <f>IFERROR(__xludf.DUMMYFUNCTION("""COMPUTED_VALUE"""),"")</f>
        <v/>
      </c>
      <c r="K916" t="s">
        <v>241</v>
      </c>
      <c r="L916" t="str">
        <f t="shared" si="1"/>
        <v/>
      </c>
      <c r="M916" t="s">
        <v>241</v>
      </c>
    </row>
    <row r="917">
      <c r="F917" t="s">
        <v>241</v>
      </c>
      <c r="G917" t="s">
        <v>241</v>
      </c>
      <c r="J917" t="str">
        <f>IFERROR(__xludf.DUMMYFUNCTION("""COMPUTED_VALUE"""),"")</f>
        <v/>
      </c>
      <c r="K917" t="s">
        <v>241</v>
      </c>
      <c r="L917" t="str">
        <f t="shared" si="1"/>
        <v/>
      </c>
      <c r="M917" t="s">
        <v>241</v>
      </c>
    </row>
    <row r="918">
      <c r="F918" t="s">
        <v>241</v>
      </c>
      <c r="G918" t="s">
        <v>241</v>
      </c>
      <c r="J918" t="str">
        <f>IFERROR(__xludf.DUMMYFUNCTION("""COMPUTED_VALUE"""),"")</f>
        <v/>
      </c>
      <c r="K918" t="s">
        <v>241</v>
      </c>
      <c r="L918" t="str">
        <f t="shared" si="1"/>
        <v/>
      </c>
      <c r="M918" t="s">
        <v>241</v>
      </c>
    </row>
    <row r="919">
      <c r="F919" t="s">
        <v>241</v>
      </c>
      <c r="G919" t="s">
        <v>241</v>
      </c>
      <c r="J919" t="str">
        <f>IFERROR(__xludf.DUMMYFUNCTION("""COMPUTED_VALUE"""),"")</f>
        <v/>
      </c>
      <c r="K919" t="s">
        <v>241</v>
      </c>
      <c r="L919" t="str">
        <f t="shared" si="1"/>
        <v/>
      </c>
      <c r="M919" t="s">
        <v>241</v>
      </c>
    </row>
    <row r="920">
      <c r="F920" t="s">
        <v>241</v>
      </c>
      <c r="G920" t="s">
        <v>241</v>
      </c>
      <c r="J920" t="str">
        <f>IFERROR(__xludf.DUMMYFUNCTION("""COMPUTED_VALUE"""),"")</f>
        <v/>
      </c>
      <c r="K920" t="s">
        <v>241</v>
      </c>
      <c r="L920" t="str">
        <f t="shared" si="1"/>
        <v/>
      </c>
      <c r="M920" t="s">
        <v>241</v>
      </c>
    </row>
    <row r="921">
      <c r="F921" t="s">
        <v>241</v>
      </c>
      <c r="G921" t="s">
        <v>241</v>
      </c>
      <c r="J921" t="str">
        <f>IFERROR(__xludf.DUMMYFUNCTION("""COMPUTED_VALUE"""),"")</f>
        <v/>
      </c>
      <c r="K921" t="s">
        <v>241</v>
      </c>
      <c r="L921" t="str">
        <f t="shared" si="1"/>
        <v/>
      </c>
      <c r="M921" t="s">
        <v>241</v>
      </c>
    </row>
    <row r="922">
      <c r="F922" t="s">
        <v>241</v>
      </c>
      <c r="G922" t="s">
        <v>241</v>
      </c>
      <c r="J922" t="str">
        <f>IFERROR(__xludf.DUMMYFUNCTION("""COMPUTED_VALUE"""),"")</f>
        <v/>
      </c>
      <c r="K922" t="s">
        <v>241</v>
      </c>
      <c r="L922" t="str">
        <f t="shared" si="1"/>
        <v/>
      </c>
      <c r="M922" t="s">
        <v>241</v>
      </c>
    </row>
    <row r="923">
      <c r="F923" t="s">
        <v>241</v>
      </c>
      <c r="G923" t="s">
        <v>241</v>
      </c>
      <c r="J923" t="str">
        <f>IFERROR(__xludf.DUMMYFUNCTION("""COMPUTED_VALUE"""),"")</f>
        <v/>
      </c>
      <c r="K923" t="s">
        <v>241</v>
      </c>
      <c r="L923" t="str">
        <f t="shared" si="1"/>
        <v/>
      </c>
      <c r="M923" t="s">
        <v>241</v>
      </c>
    </row>
    <row r="924">
      <c r="F924" t="s">
        <v>241</v>
      </c>
      <c r="G924" t="s">
        <v>241</v>
      </c>
      <c r="J924" t="str">
        <f>IFERROR(__xludf.DUMMYFUNCTION("""COMPUTED_VALUE"""),"")</f>
        <v/>
      </c>
      <c r="K924" t="s">
        <v>241</v>
      </c>
      <c r="L924" t="str">
        <f t="shared" si="1"/>
        <v/>
      </c>
      <c r="M924" t="s">
        <v>241</v>
      </c>
    </row>
    <row r="925">
      <c r="F925" t="s">
        <v>241</v>
      </c>
      <c r="G925" t="s">
        <v>241</v>
      </c>
      <c r="J925" t="str">
        <f>IFERROR(__xludf.DUMMYFUNCTION("""COMPUTED_VALUE"""),"")</f>
        <v/>
      </c>
      <c r="K925" t="s">
        <v>241</v>
      </c>
      <c r="L925" t="str">
        <f t="shared" si="1"/>
        <v/>
      </c>
      <c r="M925" t="s">
        <v>241</v>
      </c>
    </row>
    <row r="926">
      <c r="F926" t="s">
        <v>241</v>
      </c>
      <c r="G926" t="s">
        <v>241</v>
      </c>
      <c r="J926" t="str">
        <f>IFERROR(__xludf.DUMMYFUNCTION("""COMPUTED_VALUE"""),"")</f>
        <v/>
      </c>
      <c r="K926" t="s">
        <v>241</v>
      </c>
      <c r="L926" t="str">
        <f t="shared" si="1"/>
        <v/>
      </c>
      <c r="M926" t="s">
        <v>241</v>
      </c>
    </row>
    <row r="927">
      <c r="F927" t="s">
        <v>241</v>
      </c>
      <c r="G927" t="s">
        <v>241</v>
      </c>
      <c r="J927" t="str">
        <f>IFERROR(__xludf.DUMMYFUNCTION("""COMPUTED_VALUE"""),"")</f>
        <v/>
      </c>
      <c r="K927" t="s">
        <v>241</v>
      </c>
      <c r="L927" t="str">
        <f t="shared" si="1"/>
        <v/>
      </c>
      <c r="M927" t="s">
        <v>241</v>
      </c>
    </row>
    <row r="928">
      <c r="F928" t="s">
        <v>241</v>
      </c>
      <c r="G928" t="s">
        <v>241</v>
      </c>
      <c r="J928" t="str">
        <f>IFERROR(__xludf.DUMMYFUNCTION("""COMPUTED_VALUE"""),"")</f>
        <v/>
      </c>
      <c r="K928" t="s">
        <v>241</v>
      </c>
      <c r="L928" t="str">
        <f t="shared" si="1"/>
        <v/>
      </c>
      <c r="M928" t="s">
        <v>241</v>
      </c>
    </row>
    <row r="929">
      <c r="F929" t="s">
        <v>241</v>
      </c>
      <c r="G929" t="s">
        <v>241</v>
      </c>
      <c r="J929" t="str">
        <f>IFERROR(__xludf.DUMMYFUNCTION("""COMPUTED_VALUE"""),"")</f>
        <v/>
      </c>
      <c r="K929" t="s">
        <v>241</v>
      </c>
      <c r="L929" t="str">
        <f t="shared" si="1"/>
        <v/>
      </c>
      <c r="M929" t="s">
        <v>241</v>
      </c>
    </row>
    <row r="930">
      <c r="F930" t="s">
        <v>241</v>
      </c>
      <c r="G930" t="s">
        <v>241</v>
      </c>
      <c r="J930" t="str">
        <f>IFERROR(__xludf.DUMMYFUNCTION("""COMPUTED_VALUE"""),"")</f>
        <v/>
      </c>
      <c r="K930" t="s">
        <v>241</v>
      </c>
      <c r="L930" t="str">
        <f t="shared" si="1"/>
        <v/>
      </c>
      <c r="M930" t="s">
        <v>241</v>
      </c>
    </row>
    <row r="931">
      <c r="F931" t="s">
        <v>241</v>
      </c>
      <c r="G931" t="s">
        <v>241</v>
      </c>
      <c r="J931" t="str">
        <f>IFERROR(__xludf.DUMMYFUNCTION("""COMPUTED_VALUE"""),"")</f>
        <v/>
      </c>
      <c r="K931" t="s">
        <v>241</v>
      </c>
      <c r="L931" t="str">
        <f t="shared" si="1"/>
        <v/>
      </c>
      <c r="M931" t="s">
        <v>241</v>
      </c>
    </row>
    <row r="932">
      <c r="F932" t="s">
        <v>241</v>
      </c>
      <c r="G932" t="s">
        <v>241</v>
      </c>
      <c r="J932" t="str">
        <f>IFERROR(__xludf.DUMMYFUNCTION("""COMPUTED_VALUE"""),"")</f>
        <v/>
      </c>
      <c r="K932" t="s">
        <v>241</v>
      </c>
      <c r="L932" t="str">
        <f t="shared" si="1"/>
        <v/>
      </c>
      <c r="M932" t="s">
        <v>241</v>
      </c>
    </row>
    <row r="933">
      <c r="F933" t="s">
        <v>241</v>
      </c>
      <c r="G933" t="s">
        <v>241</v>
      </c>
      <c r="J933" t="str">
        <f>IFERROR(__xludf.DUMMYFUNCTION("""COMPUTED_VALUE"""),"")</f>
        <v/>
      </c>
      <c r="K933" t="s">
        <v>241</v>
      </c>
      <c r="L933" t="str">
        <f t="shared" si="1"/>
        <v/>
      </c>
      <c r="M933" t="s">
        <v>241</v>
      </c>
    </row>
    <row r="934">
      <c r="F934" t="s">
        <v>241</v>
      </c>
      <c r="G934" t="s">
        <v>241</v>
      </c>
      <c r="J934" t="str">
        <f>IFERROR(__xludf.DUMMYFUNCTION("""COMPUTED_VALUE"""),"")</f>
        <v/>
      </c>
      <c r="K934" t="s">
        <v>241</v>
      </c>
      <c r="L934" t="str">
        <f t="shared" si="1"/>
        <v/>
      </c>
      <c r="M934" t="s">
        <v>241</v>
      </c>
    </row>
    <row r="935">
      <c r="F935" t="s">
        <v>241</v>
      </c>
      <c r="G935" t="s">
        <v>241</v>
      </c>
      <c r="J935" t="str">
        <f>IFERROR(__xludf.DUMMYFUNCTION("""COMPUTED_VALUE"""),"")</f>
        <v/>
      </c>
      <c r="K935" t="s">
        <v>241</v>
      </c>
      <c r="L935" t="str">
        <f t="shared" si="1"/>
        <v/>
      </c>
      <c r="M935" t="s">
        <v>241</v>
      </c>
    </row>
    <row r="936">
      <c r="F936" t="s">
        <v>241</v>
      </c>
      <c r="G936" t="s">
        <v>241</v>
      </c>
      <c r="J936" t="str">
        <f>IFERROR(__xludf.DUMMYFUNCTION("""COMPUTED_VALUE"""),"")</f>
        <v/>
      </c>
      <c r="K936" t="s">
        <v>241</v>
      </c>
      <c r="L936" t="str">
        <f t="shared" si="1"/>
        <v/>
      </c>
      <c r="M936" t="s">
        <v>241</v>
      </c>
    </row>
    <row r="937">
      <c r="F937" t="s">
        <v>241</v>
      </c>
      <c r="G937" t="s">
        <v>241</v>
      </c>
      <c r="J937" t="str">
        <f>IFERROR(__xludf.DUMMYFUNCTION("""COMPUTED_VALUE"""),"")</f>
        <v/>
      </c>
      <c r="K937" t="s">
        <v>241</v>
      </c>
      <c r="L937" t="str">
        <f t="shared" si="1"/>
        <v/>
      </c>
      <c r="M937" t="s">
        <v>241</v>
      </c>
    </row>
    <row r="938">
      <c r="F938" t="s">
        <v>241</v>
      </c>
      <c r="G938" t="s">
        <v>241</v>
      </c>
      <c r="J938" t="str">
        <f>IFERROR(__xludf.DUMMYFUNCTION("""COMPUTED_VALUE"""),"")</f>
        <v/>
      </c>
      <c r="K938" t="s">
        <v>241</v>
      </c>
      <c r="L938" t="str">
        <f t="shared" si="1"/>
        <v/>
      </c>
      <c r="M938" t="s">
        <v>241</v>
      </c>
    </row>
    <row r="939">
      <c r="F939" t="s">
        <v>241</v>
      </c>
      <c r="G939" t="s">
        <v>241</v>
      </c>
      <c r="J939" t="str">
        <f>IFERROR(__xludf.DUMMYFUNCTION("""COMPUTED_VALUE"""),"")</f>
        <v/>
      </c>
      <c r="K939" t="s">
        <v>241</v>
      </c>
      <c r="L939" t="str">
        <f t="shared" si="1"/>
        <v/>
      </c>
      <c r="M939" t="s">
        <v>241</v>
      </c>
    </row>
    <row r="940">
      <c r="F940" t="s">
        <v>241</v>
      </c>
      <c r="G940" t="s">
        <v>241</v>
      </c>
      <c r="J940" t="str">
        <f>IFERROR(__xludf.DUMMYFUNCTION("""COMPUTED_VALUE"""),"")</f>
        <v/>
      </c>
      <c r="K940" t="s">
        <v>241</v>
      </c>
      <c r="L940" t="str">
        <f t="shared" si="1"/>
        <v/>
      </c>
      <c r="M940" t="s">
        <v>241</v>
      </c>
    </row>
    <row r="941">
      <c r="F941" t="s">
        <v>241</v>
      </c>
      <c r="G941" t="s">
        <v>241</v>
      </c>
      <c r="J941" t="str">
        <f>IFERROR(__xludf.DUMMYFUNCTION("""COMPUTED_VALUE"""),"")</f>
        <v/>
      </c>
      <c r="K941" t="s">
        <v>241</v>
      </c>
      <c r="L941" t="str">
        <f t="shared" si="1"/>
        <v/>
      </c>
      <c r="M941" t="s">
        <v>241</v>
      </c>
    </row>
    <row r="942">
      <c r="F942" t="s">
        <v>241</v>
      </c>
      <c r="G942" t="s">
        <v>241</v>
      </c>
      <c r="J942" t="str">
        <f>IFERROR(__xludf.DUMMYFUNCTION("""COMPUTED_VALUE"""),"")</f>
        <v/>
      </c>
      <c r="K942" t="s">
        <v>241</v>
      </c>
      <c r="L942" t="str">
        <f t="shared" si="1"/>
        <v/>
      </c>
      <c r="M942" t="s">
        <v>241</v>
      </c>
    </row>
    <row r="943">
      <c r="F943" t="s">
        <v>241</v>
      </c>
      <c r="G943" t="s">
        <v>241</v>
      </c>
      <c r="J943" t="str">
        <f>IFERROR(__xludf.DUMMYFUNCTION("""COMPUTED_VALUE"""),"")</f>
        <v/>
      </c>
      <c r="K943" t="s">
        <v>241</v>
      </c>
      <c r="L943" t="str">
        <f t="shared" si="1"/>
        <v/>
      </c>
      <c r="M943" t="s">
        <v>241</v>
      </c>
    </row>
    <row r="944">
      <c r="F944" t="s">
        <v>241</v>
      </c>
      <c r="G944" t="s">
        <v>241</v>
      </c>
      <c r="J944" t="str">
        <f>IFERROR(__xludf.DUMMYFUNCTION("""COMPUTED_VALUE"""),"")</f>
        <v/>
      </c>
      <c r="K944" t="s">
        <v>241</v>
      </c>
      <c r="L944" t="str">
        <f t="shared" si="1"/>
        <v/>
      </c>
      <c r="M944" t="s">
        <v>241</v>
      </c>
    </row>
    <row r="945">
      <c r="F945" t="s">
        <v>241</v>
      </c>
      <c r="G945" t="s">
        <v>241</v>
      </c>
      <c r="J945" t="str">
        <f>IFERROR(__xludf.DUMMYFUNCTION("""COMPUTED_VALUE"""),"")</f>
        <v/>
      </c>
      <c r="K945" t="s">
        <v>241</v>
      </c>
      <c r="L945" t="str">
        <f t="shared" si="1"/>
        <v/>
      </c>
      <c r="M945" t="s">
        <v>241</v>
      </c>
    </row>
    <row r="946">
      <c r="F946" t="s">
        <v>241</v>
      </c>
      <c r="G946" t="s">
        <v>241</v>
      </c>
      <c r="J946" t="str">
        <f>IFERROR(__xludf.DUMMYFUNCTION("""COMPUTED_VALUE"""),"")</f>
        <v/>
      </c>
      <c r="K946" t="s">
        <v>241</v>
      </c>
      <c r="L946" t="str">
        <f t="shared" si="1"/>
        <v/>
      </c>
      <c r="M946" t="s">
        <v>241</v>
      </c>
    </row>
    <row r="947">
      <c r="F947" t="s">
        <v>241</v>
      </c>
      <c r="G947" t="s">
        <v>241</v>
      </c>
      <c r="J947" t="str">
        <f>IFERROR(__xludf.DUMMYFUNCTION("""COMPUTED_VALUE"""),"")</f>
        <v/>
      </c>
      <c r="K947" t="s">
        <v>241</v>
      </c>
      <c r="L947" t="str">
        <f t="shared" si="1"/>
        <v/>
      </c>
      <c r="M947" t="s">
        <v>241</v>
      </c>
    </row>
    <row r="948">
      <c r="F948" t="s">
        <v>241</v>
      </c>
      <c r="G948" t="s">
        <v>241</v>
      </c>
      <c r="J948" t="str">
        <f>IFERROR(__xludf.DUMMYFUNCTION("""COMPUTED_VALUE"""),"")</f>
        <v/>
      </c>
      <c r="K948" t="s">
        <v>241</v>
      </c>
      <c r="L948" t="str">
        <f t="shared" si="1"/>
        <v/>
      </c>
      <c r="M948" t="s">
        <v>241</v>
      </c>
    </row>
    <row r="949">
      <c r="F949" t="s">
        <v>241</v>
      </c>
      <c r="G949" t="s">
        <v>241</v>
      </c>
      <c r="J949" t="str">
        <f>IFERROR(__xludf.DUMMYFUNCTION("""COMPUTED_VALUE"""),"")</f>
        <v/>
      </c>
      <c r="K949" t="s">
        <v>241</v>
      </c>
      <c r="L949" t="str">
        <f t="shared" si="1"/>
        <v/>
      </c>
      <c r="M949" t="s">
        <v>241</v>
      </c>
    </row>
    <row r="950">
      <c r="F950" t="s">
        <v>241</v>
      </c>
      <c r="G950" t="s">
        <v>241</v>
      </c>
      <c r="J950" t="str">
        <f>IFERROR(__xludf.DUMMYFUNCTION("""COMPUTED_VALUE"""),"")</f>
        <v/>
      </c>
      <c r="K950" t="s">
        <v>241</v>
      </c>
      <c r="L950" t="str">
        <f t="shared" si="1"/>
        <v/>
      </c>
      <c r="M950" t="s">
        <v>241</v>
      </c>
    </row>
    <row r="951">
      <c r="F951" t="s">
        <v>241</v>
      </c>
      <c r="G951" t="s">
        <v>241</v>
      </c>
      <c r="J951" t="str">
        <f>IFERROR(__xludf.DUMMYFUNCTION("""COMPUTED_VALUE"""),"")</f>
        <v/>
      </c>
      <c r="K951" t="s">
        <v>241</v>
      </c>
      <c r="L951" t="str">
        <f t="shared" si="1"/>
        <v/>
      </c>
      <c r="M951" t="s">
        <v>241</v>
      </c>
    </row>
    <row r="952">
      <c r="F952" t="s">
        <v>241</v>
      </c>
      <c r="G952" t="s">
        <v>241</v>
      </c>
      <c r="J952" t="str">
        <f>IFERROR(__xludf.DUMMYFUNCTION("""COMPUTED_VALUE"""),"")</f>
        <v/>
      </c>
      <c r="K952" t="s">
        <v>241</v>
      </c>
      <c r="L952" t="str">
        <f t="shared" si="1"/>
        <v/>
      </c>
      <c r="M952" t="s">
        <v>241</v>
      </c>
    </row>
    <row r="953">
      <c r="F953" t="s">
        <v>241</v>
      </c>
      <c r="G953" t="s">
        <v>241</v>
      </c>
      <c r="J953" t="str">
        <f>IFERROR(__xludf.DUMMYFUNCTION("""COMPUTED_VALUE"""),"")</f>
        <v/>
      </c>
      <c r="K953" t="s">
        <v>241</v>
      </c>
      <c r="L953" t="str">
        <f t="shared" si="1"/>
        <v/>
      </c>
      <c r="M953" t="s">
        <v>241</v>
      </c>
    </row>
    <row r="954">
      <c r="F954" t="s">
        <v>241</v>
      </c>
      <c r="G954" t="s">
        <v>241</v>
      </c>
      <c r="J954" t="str">
        <f>IFERROR(__xludf.DUMMYFUNCTION("""COMPUTED_VALUE"""),"")</f>
        <v/>
      </c>
      <c r="K954" t="s">
        <v>241</v>
      </c>
      <c r="L954" t="str">
        <f t="shared" si="1"/>
        <v/>
      </c>
      <c r="M954" t="s">
        <v>241</v>
      </c>
    </row>
    <row r="955">
      <c r="F955" t="s">
        <v>241</v>
      </c>
      <c r="G955" t="s">
        <v>241</v>
      </c>
      <c r="J955" t="str">
        <f>IFERROR(__xludf.DUMMYFUNCTION("""COMPUTED_VALUE"""),"")</f>
        <v/>
      </c>
      <c r="K955" t="s">
        <v>241</v>
      </c>
      <c r="L955" t="str">
        <f t="shared" si="1"/>
        <v/>
      </c>
      <c r="M955" t="s">
        <v>241</v>
      </c>
    </row>
    <row r="956">
      <c r="F956" t="s">
        <v>241</v>
      </c>
      <c r="G956" t="s">
        <v>241</v>
      </c>
      <c r="J956" t="str">
        <f>IFERROR(__xludf.DUMMYFUNCTION("""COMPUTED_VALUE"""),"")</f>
        <v/>
      </c>
      <c r="K956" t="s">
        <v>241</v>
      </c>
      <c r="L956" t="str">
        <f t="shared" si="1"/>
        <v/>
      </c>
      <c r="M956" t="s">
        <v>241</v>
      </c>
    </row>
    <row r="957">
      <c r="F957" t="s">
        <v>241</v>
      </c>
      <c r="G957" t="s">
        <v>241</v>
      </c>
      <c r="J957" t="str">
        <f>IFERROR(__xludf.DUMMYFUNCTION("""COMPUTED_VALUE"""),"")</f>
        <v/>
      </c>
      <c r="K957" t="s">
        <v>241</v>
      </c>
      <c r="L957" t="str">
        <f t="shared" si="1"/>
        <v/>
      </c>
      <c r="M957" t="s">
        <v>241</v>
      </c>
    </row>
    <row r="958">
      <c r="F958" t="s">
        <v>241</v>
      </c>
      <c r="G958" t="s">
        <v>241</v>
      </c>
      <c r="J958" t="str">
        <f>IFERROR(__xludf.DUMMYFUNCTION("""COMPUTED_VALUE"""),"")</f>
        <v/>
      </c>
      <c r="K958" t="s">
        <v>241</v>
      </c>
      <c r="L958" t="str">
        <f t="shared" si="1"/>
        <v/>
      </c>
      <c r="M958" t="s">
        <v>241</v>
      </c>
    </row>
    <row r="959">
      <c r="F959" t="s">
        <v>241</v>
      </c>
      <c r="G959" t="s">
        <v>241</v>
      </c>
      <c r="J959" t="str">
        <f>IFERROR(__xludf.DUMMYFUNCTION("""COMPUTED_VALUE"""),"")</f>
        <v/>
      </c>
      <c r="K959" t="s">
        <v>241</v>
      </c>
      <c r="L959" t="str">
        <f t="shared" si="1"/>
        <v/>
      </c>
      <c r="M959" t="s">
        <v>241</v>
      </c>
    </row>
    <row r="960">
      <c r="F960" t="s">
        <v>241</v>
      </c>
      <c r="G960" t="s">
        <v>241</v>
      </c>
      <c r="J960" t="str">
        <f>IFERROR(__xludf.DUMMYFUNCTION("""COMPUTED_VALUE"""),"")</f>
        <v/>
      </c>
      <c r="K960" t="s">
        <v>241</v>
      </c>
      <c r="L960" t="str">
        <f t="shared" si="1"/>
        <v/>
      </c>
      <c r="M960" t="s">
        <v>241</v>
      </c>
    </row>
    <row r="961">
      <c r="F961" t="s">
        <v>241</v>
      </c>
      <c r="G961" t="s">
        <v>241</v>
      </c>
      <c r="J961" t="str">
        <f>IFERROR(__xludf.DUMMYFUNCTION("""COMPUTED_VALUE"""),"")</f>
        <v/>
      </c>
      <c r="K961" t="s">
        <v>241</v>
      </c>
      <c r="L961" t="str">
        <f t="shared" si="1"/>
        <v/>
      </c>
      <c r="M961" t="s">
        <v>241</v>
      </c>
    </row>
    <row r="962">
      <c r="F962" t="s">
        <v>241</v>
      </c>
      <c r="G962" t="s">
        <v>241</v>
      </c>
      <c r="J962" t="str">
        <f>IFERROR(__xludf.DUMMYFUNCTION("""COMPUTED_VALUE"""),"")</f>
        <v/>
      </c>
      <c r="K962" t="s">
        <v>241</v>
      </c>
      <c r="L962" t="str">
        <f t="shared" si="1"/>
        <v/>
      </c>
      <c r="M962" t="s">
        <v>241</v>
      </c>
    </row>
    <row r="963">
      <c r="F963" t="s">
        <v>241</v>
      </c>
      <c r="G963" t="s">
        <v>241</v>
      </c>
      <c r="J963" t="str">
        <f>IFERROR(__xludf.DUMMYFUNCTION("""COMPUTED_VALUE"""),"")</f>
        <v/>
      </c>
      <c r="K963" t="s">
        <v>241</v>
      </c>
      <c r="L963" t="str">
        <f t="shared" si="1"/>
        <v/>
      </c>
      <c r="M963" t="s">
        <v>241</v>
      </c>
    </row>
    <row r="964">
      <c r="F964" t="s">
        <v>241</v>
      </c>
      <c r="G964" t="s">
        <v>241</v>
      </c>
      <c r="J964" t="str">
        <f>IFERROR(__xludf.DUMMYFUNCTION("""COMPUTED_VALUE"""),"")</f>
        <v/>
      </c>
      <c r="K964" t="s">
        <v>241</v>
      </c>
      <c r="L964" t="str">
        <f t="shared" si="1"/>
        <v/>
      </c>
      <c r="M964" t="s">
        <v>241</v>
      </c>
    </row>
    <row r="965">
      <c r="F965" t="s">
        <v>241</v>
      </c>
      <c r="G965" t="s">
        <v>241</v>
      </c>
      <c r="J965" t="str">
        <f>IFERROR(__xludf.DUMMYFUNCTION("""COMPUTED_VALUE"""),"")</f>
        <v/>
      </c>
      <c r="K965" t="s">
        <v>241</v>
      </c>
      <c r="L965" t="str">
        <f t="shared" si="1"/>
        <v/>
      </c>
      <c r="M965" t="s">
        <v>241</v>
      </c>
    </row>
    <row r="966">
      <c r="F966" t="s">
        <v>241</v>
      </c>
      <c r="G966" t="s">
        <v>241</v>
      </c>
      <c r="J966" t="str">
        <f>IFERROR(__xludf.DUMMYFUNCTION("""COMPUTED_VALUE"""),"")</f>
        <v/>
      </c>
      <c r="K966" t="s">
        <v>241</v>
      </c>
      <c r="L966" t="str">
        <f t="shared" si="1"/>
        <v/>
      </c>
      <c r="M966" t="s">
        <v>241</v>
      </c>
    </row>
    <row r="967">
      <c r="F967" t="s">
        <v>241</v>
      </c>
      <c r="G967" t="s">
        <v>241</v>
      </c>
      <c r="J967" t="str">
        <f>IFERROR(__xludf.DUMMYFUNCTION("""COMPUTED_VALUE"""),"")</f>
        <v/>
      </c>
      <c r="K967" t="s">
        <v>241</v>
      </c>
      <c r="L967" t="str">
        <f t="shared" si="1"/>
        <v/>
      </c>
      <c r="M967" t="s">
        <v>241</v>
      </c>
    </row>
    <row r="968">
      <c r="F968" t="s">
        <v>241</v>
      </c>
      <c r="G968" t="s">
        <v>241</v>
      </c>
      <c r="J968" t="str">
        <f>IFERROR(__xludf.DUMMYFUNCTION("""COMPUTED_VALUE"""),"")</f>
        <v/>
      </c>
      <c r="K968" t="s">
        <v>241</v>
      </c>
      <c r="L968" t="str">
        <f t="shared" si="1"/>
        <v/>
      </c>
      <c r="M968" t="s">
        <v>241</v>
      </c>
    </row>
    <row r="969">
      <c r="F969" t="s">
        <v>241</v>
      </c>
      <c r="G969" t="s">
        <v>241</v>
      </c>
      <c r="J969" t="str">
        <f>IFERROR(__xludf.DUMMYFUNCTION("""COMPUTED_VALUE"""),"")</f>
        <v/>
      </c>
      <c r="K969" t="s">
        <v>241</v>
      </c>
      <c r="L969" t="str">
        <f t="shared" si="1"/>
        <v/>
      </c>
      <c r="M969" t="s">
        <v>241</v>
      </c>
    </row>
    <row r="970">
      <c r="F970" t="s">
        <v>241</v>
      </c>
      <c r="G970" t="s">
        <v>241</v>
      </c>
      <c r="J970" t="str">
        <f>IFERROR(__xludf.DUMMYFUNCTION("""COMPUTED_VALUE"""),"")</f>
        <v/>
      </c>
      <c r="K970" t="s">
        <v>241</v>
      </c>
      <c r="L970" t="str">
        <f t="shared" si="1"/>
        <v/>
      </c>
      <c r="M970" t="s">
        <v>241</v>
      </c>
    </row>
    <row r="971">
      <c r="F971" t="s">
        <v>241</v>
      </c>
      <c r="G971" t="s">
        <v>241</v>
      </c>
      <c r="J971" t="str">
        <f>IFERROR(__xludf.DUMMYFUNCTION("""COMPUTED_VALUE"""),"")</f>
        <v/>
      </c>
      <c r="K971" t="s">
        <v>241</v>
      </c>
      <c r="L971" t="str">
        <f t="shared" si="1"/>
        <v/>
      </c>
      <c r="M971" t="s">
        <v>241</v>
      </c>
    </row>
    <row r="972">
      <c r="F972" t="s">
        <v>241</v>
      </c>
      <c r="G972" t="s">
        <v>241</v>
      </c>
      <c r="J972" t="str">
        <f>IFERROR(__xludf.DUMMYFUNCTION("""COMPUTED_VALUE"""),"")</f>
        <v/>
      </c>
      <c r="K972" t="s">
        <v>241</v>
      </c>
      <c r="L972" t="str">
        <f t="shared" si="1"/>
        <v/>
      </c>
      <c r="M972" t="s">
        <v>241</v>
      </c>
    </row>
    <row r="973">
      <c r="F973" t="s">
        <v>241</v>
      </c>
      <c r="G973" t="s">
        <v>241</v>
      </c>
      <c r="J973" t="str">
        <f>IFERROR(__xludf.DUMMYFUNCTION("""COMPUTED_VALUE"""),"")</f>
        <v/>
      </c>
      <c r="K973" t="s">
        <v>241</v>
      </c>
      <c r="L973" t="str">
        <f t="shared" si="1"/>
        <v/>
      </c>
      <c r="M973" t="s">
        <v>241</v>
      </c>
    </row>
    <row r="974">
      <c r="F974" t="s">
        <v>241</v>
      </c>
      <c r="G974" t="s">
        <v>241</v>
      </c>
      <c r="J974" t="str">
        <f>IFERROR(__xludf.DUMMYFUNCTION("""COMPUTED_VALUE"""),"")</f>
        <v/>
      </c>
      <c r="K974" t="s">
        <v>241</v>
      </c>
      <c r="L974" t="str">
        <f t="shared" si="1"/>
        <v/>
      </c>
      <c r="M974" t="s">
        <v>241</v>
      </c>
    </row>
    <row r="975">
      <c r="F975" t="s">
        <v>241</v>
      </c>
      <c r="G975" t="s">
        <v>241</v>
      </c>
      <c r="J975" t="str">
        <f>IFERROR(__xludf.DUMMYFUNCTION("""COMPUTED_VALUE"""),"")</f>
        <v/>
      </c>
      <c r="K975" t="s">
        <v>241</v>
      </c>
      <c r="L975" t="str">
        <f t="shared" si="1"/>
        <v/>
      </c>
      <c r="M975" t="s">
        <v>241</v>
      </c>
    </row>
    <row r="976">
      <c r="F976" t="s">
        <v>241</v>
      </c>
      <c r="G976" t="s">
        <v>241</v>
      </c>
      <c r="J976" t="str">
        <f>IFERROR(__xludf.DUMMYFUNCTION("""COMPUTED_VALUE"""),"")</f>
        <v/>
      </c>
      <c r="K976" t="s">
        <v>241</v>
      </c>
      <c r="L976" t="str">
        <f t="shared" si="1"/>
        <v/>
      </c>
      <c r="M976" t="s">
        <v>241</v>
      </c>
    </row>
    <row r="977">
      <c r="F977" t="s">
        <v>241</v>
      </c>
      <c r="G977" t="s">
        <v>241</v>
      </c>
      <c r="J977" t="str">
        <f>IFERROR(__xludf.DUMMYFUNCTION("""COMPUTED_VALUE"""),"")</f>
        <v/>
      </c>
      <c r="K977" t="s">
        <v>241</v>
      </c>
      <c r="L977" t="str">
        <f t="shared" si="1"/>
        <v/>
      </c>
      <c r="M977" t="s">
        <v>241</v>
      </c>
    </row>
    <row r="978">
      <c r="F978" t="s">
        <v>241</v>
      </c>
      <c r="G978" t="s">
        <v>241</v>
      </c>
      <c r="J978" t="str">
        <f>IFERROR(__xludf.DUMMYFUNCTION("""COMPUTED_VALUE"""),"")</f>
        <v/>
      </c>
      <c r="K978" t="s">
        <v>241</v>
      </c>
      <c r="L978" t="str">
        <f t="shared" si="1"/>
        <v/>
      </c>
      <c r="M978" t="s">
        <v>241</v>
      </c>
    </row>
    <row r="979">
      <c r="F979" t="s">
        <v>241</v>
      </c>
      <c r="G979" t="s">
        <v>241</v>
      </c>
      <c r="J979" t="str">
        <f>IFERROR(__xludf.DUMMYFUNCTION("""COMPUTED_VALUE"""),"")</f>
        <v/>
      </c>
      <c r="K979" t="s">
        <v>241</v>
      </c>
      <c r="L979" t="str">
        <f t="shared" si="1"/>
        <v/>
      </c>
      <c r="M979" t="s">
        <v>241</v>
      </c>
    </row>
    <row r="980">
      <c r="F980" t="s">
        <v>241</v>
      </c>
      <c r="G980" t="s">
        <v>241</v>
      </c>
      <c r="J980" t="str">
        <f>IFERROR(__xludf.DUMMYFUNCTION("""COMPUTED_VALUE"""),"")</f>
        <v/>
      </c>
      <c r="K980" t="s">
        <v>241</v>
      </c>
      <c r="L980" t="str">
        <f t="shared" si="1"/>
        <v/>
      </c>
      <c r="M980" t="s">
        <v>241</v>
      </c>
    </row>
    <row r="981">
      <c r="F981" t="s">
        <v>241</v>
      </c>
      <c r="G981" t="s">
        <v>241</v>
      </c>
      <c r="J981" t="str">
        <f>IFERROR(__xludf.DUMMYFUNCTION("""COMPUTED_VALUE"""),"")</f>
        <v/>
      </c>
      <c r="K981" t="s">
        <v>241</v>
      </c>
      <c r="L981" t="str">
        <f t="shared" si="1"/>
        <v/>
      </c>
      <c r="M981" t="s">
        <v>241</v>
      </c>
    </row>
    <row r="982">
      <c r="F982" t="s">
        <v>241</v>
      </c>
      <c r="G982" t="s">
        <v>241</v>
      </c>
      <c r="J982" t="str">
        <f>IFERROR(__xludf.DUMMYFUNCTION("""COMPUTED_VALUE"""),"")</f>
        <v/>
      </c>
      <c r="K982" t="s">
        <v>241</v>
      </c>
      <c r="L982" t="str">
        <f t="shared" si="1"/>
        <v/>
      </c>
      <c r="M982" t="s">
        <v>241</v>
      </c>
    </row>
    <row r="983">
      <c r="F983" t="s">
        <v>241</v>
      </c>
      <c r="G983" t="s">
        <v>241</v>
      </c>
      <c r="J983" t="str">
        <f>IFERROR(__xludf.DUMMYFUNCTION("""COMPUTED_VALUE"""),"")</f>
        <v/>
      </c>
      <c r="K983" t="s">
        <v>241</v>
      </c>
      <c r="L983" t="str">
        <f t="shared" si="1"/>
        <v/>
      </c>
      <c r="M983" t="s">
        <v>241</v>
      </c>
    </row>
    <row r="984">
      <c r="F984" t="s">
        <v>241</v>
      </c>
      <c r="G984" t="s">
        <v>241</v>
      </c>
      <c r="J984" t="str">
        <f>IFERROR(__xludf.DUMMYFUNCTION("""COMPUTED_VALUE"""),"")</f>
        <v/>
      </c>
      <c r="K984" t="s">
        <v>241</v>
      </c>
      <c r="L984" t="str">
        <f t="shared" si="1"/>
        <v/>
      </c>
      <c r="M984" t="s">
        <v>241</v>
      </c>
    </row>
    <row r="985">
      <c r="F985" t="s">
        <v>241</v>
      </c>
      <c r="G985" t="s">
        <v>241</v>
      </c>
      <c r="J985" t="str">
        <f>IFERROR(__xludf.DUMMYFUNCTION("""COMPUTED_VALUE"""),"")</f>
        <v/>
      </c>
      <c r="K985" t="s">
        <v>241</v>
      </c>
      <c r="L985" t="str">
        <f t="shared" si="1"/>
        <v/>
      </c>
      <c r="M985" t="s">
        <v>241</v>
      </c>
    </row>
    <row r="986">
      <c r="F986" t="s">
        <v>241</v>
      </c>
      <c r="G986" t="s">
        <v>241</v>
      </c>
      <c r="J986" t="str">
        <f>IFERROR(__xludf.DUMMYFUNCTION("""COMPUTED_VALUE"""),"")</f>
        <v/>
      </c>
      <c r="K986" t="s">
        <v>241</v>
      </c>
      <c r="L986" t="str">
        <f t="shared" si="1"/>
        <v/>
      </c>
      <c r="M986" t="s">
        <v>241</v>
      </c>
    </row>
    <row r="987">
      <c r="F987" t="s">
        <v>241</v>
      </c>
      <c r="G987" t="s">
        <v>241</v>
      </c>
      <c r="J987" t="str">
        <f>IFERROR(__xludf.DUMMYFUNCTION("""COMPUTED_VALUE"""),"")</f>
        <v/>
      </c>
      <c r="K987" t="s">
        <v>241</v>
      </c>
      <c r="L987" t="str">
        <f t="shared" si="1"/>
        <v/>
      </c>
      <c r="M987" t="s">
        <v>241</v>
      </c>
    </row>
    <row r="988">
      <c r="F988" t="s">
        <v>241</v>
      </c>
      <c r="G988" t="s">
        <v>241</v>
      </c>
      <c r="J988" t="str">
        <f>IFERROR(__xludf.DUMMYFUNCTION("""COMPUTED_VALUE"""),"")</f>
        <v/>
      </c>
      <c r="K988" t="s">
        <v>241</v>
      </c>
      <c r="L988" t="str">
        <f t="shared" si="1"/>
        <v/>
      </c>
      <c r="M988" t="s">
        <v>241</v>
      </c>
    </row>
    <row r="989">
      <c r="F989" t="s">
        <v>241</v>
      </c>
      <c r="G989" t="s">
        <v>241</v>
      </c>
      <c r="J989" t="str">
        <f>IFERROR(__xludf.DUMMYFUNCTION("""COMPUTED_VALUE"""),"")</f>
        <v/>
      </c>
      <c r="K989" t="s">
        <v>241</v>
      </c>
      <c r="L989" t="str">
        <f t="shared" si="1"/>
        <v/>
      </c>
      <c r="M989" t="s">
        <v>241</v>
      </c>
    </row>
    <row r="990">
      <c r="F990" t="s">
        <v>241</v>
      </c>
      <c r="G990" t="s">
        <v>241</v>
      </c>
      <c r="J990" t="str">
        <f>IFERROR(__xludf.DUMMYFUNCTION("""COMPUTED_VALUE"""),"")</f>
        <v/>
      </c>
      <c r="K990" t="s">
        <v>241</v>
      </c>
      <c r="L990" t="str">
        <f t="shared" si="1"/>
        <v/>
      </c>
      <c r="M990" t="s">
        <v>241</v>
      </c>
    </row>
    <row r="991">
      <c r="F991" t="s">
        <v>241</v>
      </c>
      <c r="G991" t="s">
        <v>241</v>
      </c>
      <c r="J991" t="str">
        <f>IFERROR(__xludf.DUMMYFUNCTION("""COMPUTED_VALUE"""),"")</f>
        <v/>
      </c>
      <c r="K991" t="s">
        <v>241</v>
      </c>
      <c r="L991" t="str">
        <f t="shared" si="1"/>
        <v/>
      </c>
      <c r="M991" t="s">
        <v>241</v>
      </c>
    </row>
    <row r="992">
      <c r="F992" t="s">
        <v>241</v>
      </c>
      <c r="G992" t="s">
        <v>241</v>
      </c>
      <c r="J992" t="str">
        <f>IFERROR(__xludf.DUMMYFUNCTION("""COMPUTED_VALUE"""),"")</f>
        <v/>
      </c>
      <c r="K992" t="s">
        <v>241</v>
      </c>
      <c r="L992" t="str">
        <f t="shared" si="1"/>
        <v/>
      </c>
      <c r="M992" t="s">
        <v>241</v>
      </c>
    </row>
    <row r="993">
      <c r="F993" t="s">
        <v>241</v>
      </c>
      <c r="G993" t="s">
        <v>241</v>
      </c>
      <c r="J993" t="str">
        <f>IFERROR(__xludf.DUMMYFUNCTION("""COMPUTED_VALUE"""),"")</f>
        <v/>
      </c>
      <c r="K993" t="s">
        <v>241</v>
      </c>
      <c r="L993" t="str">
        <f t="shared" si="1"/>
        <v/>
      </c>
      <c r="M993" t="s">
        <v>241</v>
      </c>
    </row>
    <row r="994">
      <c r="F994" t="s">
        <v>241</v>
      </c>
      <c r="G994" t="s">
        <v>241</v>
      </c>
      <c r="J994" t="str">
        <f>IFERROR(__xludf.DUMMYFUNCTION("""COMPUTED_VALUE"""),"")</f>
        <v/>
      </c>
      <c r="K994" t="s">
        <v>241</v>
      </c>
      <c r="L994" t="str">
        <f t="shared" si="1"/>
        <v/>
      </c>
      <c r="M994" t="s">
        <v>241</v>
      </c>
    </row>
    <row r="995">
      <c r="F995" t="s">
        <v>241</v>
      </c>
      <c r="G995" t="s">
        <v>241</v>
      </c>
      <c r="J995" t="str">
        <f>IFERROR(__xludf.DUMMYFUNCTION("""COMPUTED_VALUE"""),"")</f>
        <v/>
      </c>
      <c r="K995" t="s">
        <v>241</v>
      </c>
      <c r="L995" t="str">
        <f t="shared" si="1"/>
        <v/>
      </c>
      <c r="M995" t="s">
        <v>241</v>
      </c>
    </row>
    <row r="996">
      <c r="F996" t="s">
        <v>241</v>
      </c>
      <c r="G996" t="s">
        <v>241</v>
      </c>
      <c r="J996" t="str">
        <f>IFERROR(__xludf.DUMMYFUNCTION("""COMPUTED_VALUE"""),"")</f>
        <v/>
      </c>
      <c r="K996" t="s">
        <v>241</v>
      </c>
      <c r="L996" t="str">
        <f t="shared" si="1"/>
        <v/>
      </c>
      <c r="M996" t="s">
        <v>241</v>
      </c>
    </row>
    <row r="997">
      <c r="F997" t="s">
        <v>241</v>
      </c>
      <c r="G997" t="s">
        <v>241</v>
      </c>
      <c r="J997" t="str">
        <f>IFERROR(__xludf.DUMMYFUNCTION("""COMPUTED_VALUE"""),"")</f>
        <v/>
      </c>
      <c r="K997" t="s">
        <v>241</v>
      </c>
      <c r="L997" t="str">
        <f t="shared" si="1"/>
        <v/>
      </c>
      <c r="M997" t="s">
        <v>241</v>
      </c>
    </row>
    <row r="998">
      <c r="F998" t="s">
        <v>241</v>
      </c>
      <c r="G998" t="s">
        <v>241</v>
      </c>
      <c r="J998" t="str">
        <f>IFERROR(__xludf.DUMMYFUNCTION("""COMPUTED_VALUE"""),"")</f>
        <v/>
      </c>
      <c r="K998" t="s">
        <v>241</v>
      </c>
      <c r="L998" t="str">
        <f t="shared" si="1"/>
        <v/>
      </c>
      <c r="M998" t="s">
        <v>241</v>
      </c>
    </row>
    <row r="999">
      <c r="F999" t="s">
        <v>241</v>
      </c>
      <c r="G999" t="s">
        <v>241</v>
      </c>
      <c r="J999" t="str">
        <f>IFERROR(__xludf.DUMMYFUNCTION("""COMPUTED_VALUE"""),"")</f>
        <v/>
      </c>
      <c r="K999" t="s">
        <v>241</v>
      </c>
      <c r="L999" t="str">
        <f t="shared" si="1"/>
        <v/>
      </c>
      <c r="M999" t="s">
        <v>241</v>
      </c>
    </row>
    <row r="1000">
      <c r="F1000" t="s">
        <v>241</v>
      </c>
      <c r="G1000" t="s">
        <v>241</v>
      </c>
      <c r="J1000" t="str">
        <f>IFERROR(__xludf.DUMMYFUNCTION("""COMPUTED_VALUE"""),"")</f>
        <v/>
      </c>
      <c r="K1000" t="s">
        <v>241</v>
      </c>
      <c r="L1000" t="str">
        <f t="shared" si="1"/>
        <v/>
      </c>
      <c r="M1000" t="s">
        <v>241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</cols>
  <sheetData>
    <row r="1">
      <c r="A1" s="98" t="str">
        <f>IFERROR(__xludf.DUMMYFUNCTION("filter(Teams!A1:A15,not(iferror(match(Teams!A1:A15,DraftTracker!$F:$F,0),false)))"),"AAC")</f>
        <v>AAC</v>
      </c>
      <c r="B1" s="98" t="str">
        <f>IFERROR(__xludf.DUMMYFUNCTION("filter(Teams!B1:B15,not(iferror(match(Teams!B1:B15,DraftTracker!$F:$F,0),false)))"),"ACC")</f>
        <v>ACC</v>
      </c>
      <c r="C1" s="98" t="str">
        <f>IFERROR(__xludf.DUMMYFUNCTION("filter(Teams!C1:C15,not(iferror(match(Teams!C1:C15,DraftTracker!$F:$F,0),false)))"),"Big 12")</f>
        <v>Big 12</v>
      </c>
      <c r="D1" s="98" t="str">
        <f>IFERROR(__xludf.DUMMYFUNCTION("filter(Teams!D1:D15,not(iferror(match(Teams!D1:D15,DraftTracker!$F:$F,0),false)))"),"Big Ten")</f>
        <v>Big Ten</v>
      </c>
      <c r="E1" s="98" t="str">
        <f>IFERROR(__xludf.DUMMYFUNCTION("filter(Teams!E1:E15,not(iferror(match(Teams!E1:E15,DraftTracker!$F:$F,0),false)))"),"CUSA")</f>
        <v>CUSA</v>
      </c>
      <c r="F1" s="98" t="str">
        <f>IFERROR(__xludf.DUMMYFUNCTION("filter(Teams!F1:F15,not(iferror(match(Teams!F1:F15,DraftTracker!$F:$F,0),false)))"),"MAC")</f>
        <v>MAC</v>
      </c>
      <c r="G1" s="98" t="str">
        <f>IFERROR(__xludf.DUMMYFUNCTION("filter(Teams!G1:G15,not(iferror(match(Teams!G1:G15,DraftTracker!$F:$F,0),false)))"),"MWC")</f>
        <v>MWC</v>
      </c>
      <c r="H1" s="98" t="str">
        <f>IFERROR(__xludf.DUMMYFUNCTION("filter(Teams!H1:H15,not(iferror(match(Teams!H1:H15,DraftTracker!$F:$F,0),false)))"),"Pac12")</f>
        <v>Pac12</v>
      </c>
      <c r="I1" s="98" t="str">
        <f>IFERROR(__xludf.DUMMYFUNCTION("filter(Teams!I1:I15,not(iferror(match(Teams!I1:I15,DraftTracker!$F:$F,0),false)))"),"SEC")</f>
        <v>SEC</v>
      </c>
      <c r="J1" s="98" t="str">
        <f>IFERROR(__xludf.DUMMYFUNCTION("filter(Teams!J1:J15,not(iferror(match(Teams!J1:J15,DraftTracker!$F:$F,0),false)))"),"Sun Belt")</f>
        <v>Sun Belt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s="99" t="str">
        <f t="array" ref="A1:L1">transpose(unique(offset('Teams-Conference'!B2:B15,0,(counta('Draft Order'!B2:B15)-10)*2)))</f>
        <v>AAC</v>
      </c>
      <c r="B1" s="100" t="s">
        <v>15</v>
      </c>
      <c r="C1" s="100" t="s">
        <v>17</v>
      </c>
      <c r="D1" s="100" t="s">
        <v>19</v>
      </c>
      <c r="E1" s="101" t="s">
        <v>20</v>
      </c>
      <c r="F1" s="101" t="s">
        <v>22</v>
      </c>
      <c r="G1" s="101" t="s">
        <v>24</v>
      </c>
      <c r="H1" s="101" t="s">
        <v>26</v>
      </c>
      <c r="I1" s="100" t="s">
        <v>28</v>
      </c>
      <c r="J1" s="100" t="s">
        <v>30</v>
      </c>
      <c r="K1" s="100" t="s">
        <v>31</v>
      </c>
    </row>
    <row r="2">
      <c r="A2" s="102" t="str">
        <f>IFERROR(__xludf.DUMMYFUNCTION("filter(offset('Teams-Conference'!$A:$A,0,(counta('Draft Order'!$B2:$B15)-10)*2),offset('Teams-Conference'!$B:$B,0,(counta('Draft Order'!$B2:$B15)-10)*2)=A1)"),"Cincinnati")</f>
        <v>Cincinnati</v>
      </c>
      <c r="B2" s="102" t="str">
        <f>IFERROR(__xludf.DUMMYFUNCTION("filter(offset('Teams-Conference'!$A:$A,0,(counta('Draft Order'!$B2:$B15)-10)*2),offset('Teams-Conference'!$B:$B,0,(counta('Draft Order'!$B2:$B15)-10)*2)=B1)"),"Boston College")</f>
        <v>Boston College</v>
      </c>
      <c r="C2" s="102" t="str">
        <f>IFERROR(__xludf.DUMMYFUNCTION("filter(offset('Teams-Conference'!$A:$A,0,(counta('Draft Order'!$B2:$B15)-10)*2),offset('Teams-Conference'!$B:$B,0,(counta('Draft Order'!$B2:$B15)-10)*2)=C1)"),"Baylor")</f>
        <v>Baylor</v>
      </c>
      <c r="D2" s="102" t="str">
        <f>IFERROR(__xludf.DUMMYFUNCTION("filter(offset('Teams-Conference'!$A:$A,0,(counta('Draft Order'!$B2:$B15)-10)*2),offset('Teams-Conference'!$B:$B,0,(counta('Draft Order'!$B2:$B15)-10)*2)=D1)"),"Illinois")</f>
        <v>Illinois</v>
      </c>
      <c r="E2" s="102" t="str">
        <f>IFERROR(__xludf.DUMMYFUNCTION("filter(offset('Teams-Conference'!$A:$A,0,(counta('Draft Order'!$B2:$B15)-10)*2),offset('Teams-Conference'!$B:$B,0,(counta('Draft Order'!$B2:$B15)-10)*2)=E1)"),"Florida Intl")</f>
        <v>Florida Intl</v>
      </c>
      <c r="F2" s="102" t="str">
        <f>IFERROR(__xludf.DUMMYFUNCTION("filter(offset('Teams-Conference'!$A:$A,0,(counta('Draft Order'!$B2:$B15)-10)*2),offset('Teams-Conference'!$B:$B,0,(counta('Draft Order'!$B2:$B15)-10)*2)=F1)"),"Akron")</f>
        <v>Akron</v>
      </c>
      <c r="G2" s="102" t="str">
        <f>IFERROR(__xludf.DUMMYFUNCTION("filter(offset('Teams-Conference'!$A:$A,0,(counta('Draft Order'!$B2:$B15)-10)*2),offset('Teams-Conference'!$B:$B,0,(counta('Draft Order'!$B2:$B15)-10)*2)=G1)"),"Air Force")</f>
        <v>Air Force</v>
      </c>
      <c r="H2" s="102" t="str">
        <f>IFERROR(__xludf.DUMMYFUNCTION("filter(offset('Teams-Conference'!$A:$A,0,(counta('Draft Order'!$B2:$B15)-10)*2),offset('Teams-Conference'!$B:$B,0,(counta('Draft Order'!$B2:$B15)-10)*2)=H1)"),"Arizona")</f>
        <v>Arizona</v>
      </c>
      <c r="I2" s="102" t="str">
        <f>IFERROR(__xludf.DUMMYFUNCTION("filter(offset('Teams-Conference'!$A:$A,0,(counta('Draft Order'!$B2:$B15)-10)*2),offset('Teams-Conference'!$B:$B,0,(counta('Draft Order'!$B2:$B15)-10)*2)=I1)"),"Alabama")</f>
        <v>Alabama</v>
      </c>
      <c r="J2" s="102" t="str">
        <f>IFERROR(__xludf.DUMMYFUNCTION("filter(offset('Teams-Conference'!$A:$A,0,(counta('Draft Order'!$B2:$B15)-10)*2),offset('Teams-Conference'!$B:$B,0,(counta('Draft Order'!$B2:$B15)-10)*2)=J1)"),"Appalachian State")</f>
        <v>Appalachian State</v>
      </c>
      <c r="K2" s="102" t="str">
        <f>IFERROR(__xludf.DUMMYFUNCTION("filter(offset('Teams-Conference'!$A:$A,0,(counta('Draft Order'!$B2:$B15)-10)*2),offset('Teams-Conference'!$B:$B,0,(counta('Draft Order'!$B2:$B15)-10)*2)=K1)"),"Liberty")</f>
        <v>Liberty</v>
      </c>
    </row>
    <row r="3">
      <c r="A3" s="102" t="str">
        <f>IFERROR(__xludf.DUMMYFUNCTION("""COMPUTED_VALUE"""),"UConn")</f>
        <v>UConn</v>
      </c>
      <c r="B3" s="102" t="str">
        <f>IFERROR(__xludf.DUMMYFUNCTION("""COMPUTED_VALUE"""),"Clemson")</f>
        <v>Clemson</v>
      </c>
      <c r="C3" s="103" t="str">
        <f>IFERROR(__xludf.DUMMYFUNCTION("""COMPUTED_VALUE"""),"Iowa State")</f>
        <v>Iowa State</v>
      </c>
      <c r="D3" s="102" t="str">
        <f>IFERROR(__xludf.DUMMYFUNCTION("""COMPUTED_VALUE"""),"Indiana")</f>
        <v>Indiana</v>
      </c>
      <c r="E3" s="103" t="str">
        <f>IFERROR(__xludf.DUMMYFUNCTION("""COMPUTED_VALUE"""),"Florida Atlantic")</f>
        <v>Florida Atlantic</v>
      </c>
      <c r="F3" s="103" t="str">
        <f>IFERROR(__xludf.DUMMYFUNCTION("""COMPUTED_VALUE"""),"Ball State")</f>
        <v>Ball State</v>
      </c>
      <c r="G3" s="104" t="str">
        <f>IFERROR(__xludf.DUMMYFUNCTION("""COMPUTED_VALUE"""),"Boise State")</f>
        <v>Boise State</v>
      </c>
      <c r="H3" s="103" t="str">
        <f>IFERROR(__xludf.DUMMYFUNCTION("""COMPUTED_VALUE"""),"Arizona State")</f>
        <v>Arizona State</v>
      </c>
      <c r="I3" s="102" t="str">
        <f>IFERROR(__xludf.DUMMYFUNCTION("""COMPUTED_VALUE"""),"Arkansas")</f>
        <v>Arkansas</v>
      </c>
      <c r="J3" s="103" t="str">
        <f>IFERROR(__xludf.DUMMYFUNCTION("""COMPUTED_VALUE"""),"Arkansas State")</f>
        <v>Arkansas State</v>
      </c>
      <c r="K3" s="103" t="str">
        <f>IFERROR(__xludf.DUMMYFUNCTION("""COMPUTED_VALUE"""),"UMASS")</f>
        <v>UMASS</v>
      </c>
    </row>
    <row r="4">
      <c r="A4" s="102" t="str">
        <f>IFERROR(__xludf.DUMMYFUNCTION("""COMPUTED_VALUE"""),"East Carolina")</f>
        <v>East Carolina</v>
      </c>
      <c r="B4" s="102" t="str">
        <f>IFERROR(__xludf.DUMMYFUNCTION("""COMPUTED_VALUE"""),"Duke")</f>
        <v>Duke</v>
      </c>
      <c r="C4" s="102" t="str">
        <f>IFERROR(__xludf.DUMMYFUNCTION("""COMPUTED_VALUE"""),"Kansas")</f>
        <v>Kansas</v>
      </c>
      <c r="D4" s="102" t="str">
        <f>IFERROR(__xludf.DUMMYFUNCTION("""COMPUTED_VALUE"""),"Iowa")</f>
        <v>Iowa</v>
      </c>
      <c r="E4" s="102" t="str">
        <f>IFERROR(__xludf.DUMMYFUNCTION("""COMPUTED_VALUE"""),"Louisiana Tech")</f>
        <v>Louisiana Tech</v>
      </c>
      <c r="F4" s="102" t="str">
        <f>IFERROR(__xludf.DUMMYFUNCTION("""COMPUTED_VALUE"""),"Bowling Green")</f>
        <v>Bowling Green</v>
      </c>
      <c r="G4" s="103" t="str">
        <f>IFERROR(__xludf.DUMMYFUNCTION("""COMPUTED_VALUE"""),"Colorado State")</f>
        <v>Colorado State</v>
      </c>
      <c r="H4" s="102" t="str">
        <f>IFERROR(__xludf.DUMMYFUNCTION("""COMPUTED_VALUE"""),"California")</f>
        <v>California</v>
      </c>
      <c r="I4" s="102" t="str">
        <f>IFERROR(__xludf.DUMMYFUNCTION("""COMPUTED_VALUE"""),"Auburn")</f>
        <v>Auburn</v>
      </c>
      <c r="J4" s="103" t="str">
        <f>IFERROR(__xludf.DUMMYFUNCTION("""COMPUTED_VALUE"""),"Georgia Southern")</f>
        <v>Georgia Southern</v>
      </c>
      <c r="K4" s="103"/>
    </row>
    <row r="5">
      <c r="A5" s="102" t="str">
        <f>IFERROR(__xludf.DUMMYFUNCTION("""COMPUTED_VALUE"""),"Houston")</f>
        <v>Houston</v>
      </c>
      <c r="B5" s="103" t="str">
        <f>IFERROR(__xludf.DUMMYFUNCTION("""COMPUTED_VALUE"""),"Florida State")</f>
        <v>Florida State</v>
      </c>
      <c r="C5" s="103" t="str">
        <f>IFERROR(__xludf.DUMMYFUNCTION("""COMPUTED_VALUE"""),"Kansas State")</f>
        <v>Kansas State</v>
      </c>
      <c r="D5" s="102" t="str">
        <f>IFERROR(__xludf.DUMMYFUNCTION("""COMPUTED_VALUE"""),"Maryland")</f>
        <v>Maryland</v>
      </c>
      <c r="E5" s="102" t="str">
        <f>IFERROR(__xludf.DUMMYFUNCTION("""COMPUTED_VALUE"""),"Marshall")</f>
        <v>Marshall</v>
      </c>
      <c r="F5" s="102" t="str">
        <f>IFERROR(__xludf.DUMMYFUNCTION("""COMPUTED_VALUE"""),"Buffalo")</f>
        <v>Buffalo</v>
      </c>
      <c r="G5" s="103" t="str">
        <f>IFERROR(__xludf.DUMMYFUNCTION("""COMPUTED_VALUE"""),"Fresno State")</f>
        <v>Fresno State</v>
      </c>
      <c r="H5" s="102" t="str">
        <f>IFERROR(__xludf.DUMMYFUNCTION("""COMPUTED_VALUE"""),"Colorado")</f>
        <v>Colorado</v>
      </c>
      <c r="I5" s="102" t="str">
        <f>IFERROR(__xludf.DUMMYFUNCTION("""COMPUTED_VALUE"""),"Florida")</f>
        <v>Florida</v>
      </c>
      <c r="J5" s="103" t="str">
        <f>IFERROR(__xludf.DUMMYFUNCTION("""COMPUTED_VALUE"""),"Georgia State")</f>
        <v>Georgia State</v>
      </c>
      <c r="K5" s="103"/>
    </row>
    <row r="6">
      <c r="A6" s="102" t="str">
        <f>IFERROR(__xludf.DUMMYFUNCTION("""COMPUTED_VALUE"""),"Memphis")</f>
        <v>Memphis</v>
      </c>
      <c r="B6" s="102" t="str">
        <f>IFERROR(__xludf.DUMMYFUNCTION("""COMPUTED_VALUE"""),"Georgia Tech")</f>
        <v>Georgia Tech</v>
      </c>
      <c r="C6" s="102" t="str">
        <f>IFERROR(__xludf.DUMMYFUNCTION("""COMPUTED_VALUE"""),"Oklahoma")</f>
        <v>Oklahoma</v>
      </c>
      <c r="D6" s="102" t="str">
        <f>IFERROR(__xludf.DUMMYFUNCTION("""COMPUTED_VALUE"""),"Michigan")</f>
        <v>Michigan</v>
      </c>
      <c r="E6" s="102" t="str">
        <f>IFERROR(__xludf.DUMMYFUNCTION("""COMPUTED_VALUE"""),"Middle Tennessee")</f>
        <v>Middle Tennessee</v>
      </c>
      <c r="F6" s="102" t="str">
        <f>IFERROR(__xludf.DUMMYFUNCTION("""COMPUTED_VALUE"""),"Central Michigan")</f>
        <v>Central Michigan</v>
      </c>
      <c r="G6" s="102" t="str">
        <f>IFERROR(__xludf.DUMMYFUNCTION("""COMPUTED_VALUE"""),"Hawaii")</f>
        <v>Hawaii</v>
      </c>
      <c r="H6" s="102" t="str">
        <f>IFERROR(__xludf.DUMMYFUNCTION("""COMPUTED_VALUE"""),"Oregon")</f>
        <v>Oregon</v>
      </c>
      <c r="I6" s="102" t="str">
        <f>IFERROR(__xludf.DUMMYFUNCTION("""COMPUTED_VALUE"""),"Georgia")</f>
        <v>Georgia</v>
      </c>
      <c r="J6" s="103" t="str">
        <f>IFERROR(__xludf.DUMMYFUNCTION("""COMPUTED_VALUE"""),"UL Lafayette")</f>
        <v>UL Lafayette</v>
      </c>
      <c r="K6" s="103"/>
    </row>
    <row r="7">
      <c r="A7" s="102" t="str">
        <f>IFERROR(__xludf.DUMMYFUNCTION("""COMPUTED_VALUE"""),"Navy")</f>
        <v>Navy</v>
      </c>
      <c r="B7" s="102" t="str">
        <f>IFERROR(__xludf.DUMMYFUNCTION("""COMPUTED_VALUE"""),"Louisville")</f>
        <v>Louisville</v>
      </c>
      <c r="C7" s="103" t="str">
        <f>IFERROR(__xludf.DUMMYFUNCTION("""COMPUTED_VALUE"""),"Oklahoma State")</f>
        <v>Oklahoma State</v>
      </c>
      <c r="D7" s="103" t="str">
        <f>IFERROR(__xludf.DUMMYFUNCTION("""COMPUTED_VALUE"""),"Michigan State")</f>
        <v>Michigan State</v>
      </c>
      <c r="E7" s="102" t="str">
        <f>IFERROR(__xludf.DUMMYFUNCTION("""COMPUTED_VALUE"""),"North Texas")</f>
        <v>North Texas</v>
      </c>
      <c r="F7" s="102" t="str">
        <f>IFERROR(__xludf.DUMMYFUNCTION("""COMPUTED_VALUE"""),"EMU")</f>
        <v>EMU</v>
      </c>
      <c r="G7" s="102" t="str">
        <f>IFERROR(__xludf.DUMMYFUNCTION("""COMPUTED_VALUE"""),"Nevada")</f>
        <v>Nevada</v>
      </c>
      <c r="H7" s="103" t="str">
        <f>IFERROR(__xludf.DUMMYFUNCTION("""COMPUTED_VALUE"""),"Oregon State")</f>
        <v>Oregon State</v>
      </c>
      <c r="I7" s="102" t="str">
        <f>IFERROR(__xludf.DUMMYFUNCTION("""COMPUTED_VALUE"""),"Kentucky")</f>
        <v>Kentucky</v>
      </c>
      <c r="J7" s="105" t="str">
        <f>IFERROR(__xludf.DUMMYFUNCTION("""COMPUTED_VALUE"""),"UL Monroe")</f>
        <v>UL Monroe</v>
      </c>
      <c r="K7" s="106"/>
    </row>
    <row r="8">
      <c r="A8" s="102" t="str">
        <f>IFERROR(__xludf.DUMMYFUNCTION("""COMPUTED_VALUE"""),"SMU")</f>
        <v>SMU</v>
      </c>
      <c r="B8" s="102" t="str">
        <f>IFERROR(__xludf.DUMMYFUNCTION("""COMPUTED_VALUE"""),"Miami")</f>
        <v>Miami</v>
      </c>
      <c r="C8" s="102" t="str">
        <f>IFERROR(__xludf.DUMMYFUNCTION("""COMPUTED_VALUE"""),"TCU")</f>
        <v>TCU</v>
      </c>
      <c r="D8" s="102" t="str">
        <f>IFERROR(__xludf.DUMMYFUNCTION("""COMPUTED_VALUE"""),"Minnesota")</f>
        <v>Minnesota</v>
      </c>
      <c r="E8" s="102" t="str">
        <f>IFERROR(__xludf.DUMMYFUNCTION("""COMPUTED_VALUE"""),"Old Dominion")</f>
        <v>Old Dominion</v>
      </c>
      <c r="F8" s="103" t="str">
        <f>IFERROR(__xludf.DUMMYFUNCTION("""COMPUTED_VALUE"""),"Kent State")</f>
        <v>Kent State</v>
      </c>
      <c r="G8" s="102" t="str">
        <f>IFERROR(__xludf.DUMMYFUNCTION("""COMPUTED_VALUE"""),"New Mexico")</f>
        <v>New Mexico</v>
      </c>
      <c r="H8" s="102" t="str">
        <f>IFERROR(__xludf.DUMMYFUNCTION("""COMPUTED_VALUE"""),"Stanford")</f>
        <v>Stanford</v>
      </c>
      <c r="I8" s="102" t="str">
        <f>IFERROR(__xludf.DUMMYFUNCTION("""COMPUTED_VALUE"""),"LSU")</f>
        <v>LSU</v>
      </c>
      <c r="J8" s="103" t="str">
        <f>IFERROR(__xludf.DUMMYFUNCTION("""COMPUTED_VALUE"""),"South Alabama")</f>
        <v>South Alabama</v>
      </c>
      <c r="K8" s="103"/>
    </row>
    <row r="9">
      <c r="A9" s="103" t="str">
        <f>IFERROR(__xludf.DUMMYFUNCTION("""COMPUTED_VALUE"""),"South Florida")</f>
        <v>South Florida</v>
      </c>
      <c r="B9" s="103" t="str">
        <f>IFERROR(__xludf.DUMMYFUNCTION("""COMPUTED_VALUE"""),"NC State")</f>
        <v>NC State</v>
      </c>
      <c r="C9" s="102" t="str">
        <f>IFERROR(__xludf.DUMMYFUNCTION("""COMPUTED_VALUE"""),"Texas")</f>
        <v>Texas</v>
      </c>
      <c r="D9" s="102" t="str">
        <f>IFERROR(__xludf.DUMMYFUNCTION("""COMPUTED_VALUE"""),"Nebraska")</f>
        <v>Nebraska</v>
      </c>
      <c r="E9" s="102" t="str">
        <f>IFERROR(__xludf.DUMMYFUNCTION("""COMPUTED_VALUE"""),"Rice")</f>
        <v>Rice</v>
      </c>
      <c r="F9" s="103" t="str">
        <f>IFERROR(__xludf.DUMMYFUNCTION("""COMPUTED_VALUE"""),"Miami-OH")</f>
        <v>Miami-OH</v>
      </c>
      <c r="G9" s="103" t="str">
        <f>IFERROR(__xludf.DUMMYFUNCTION("""COMPUTED_VALUE"""),"San Diego State")</f>
        <v>San Diego State</v>
      </c>
      <c r="H9" s="103" t="str">
        <f>IFERROR(__xludf.DUMMYFUNCTION("""COMPUTED_VALUE"""),"UCLA")</f>
        <v>UCLA</v>
      </c>
      <c r="I9" s="103" t="str">
        <f>IFERROR(__xludf.DUMMYFUNCTION("""COMPUTED_VALUE"""),"Mississippi State")</f>
        <v>Mississippi State</v>
      </c>
      <c r="J9" s="103" t="str">
        <f>IFERROR(__xludf.DUMMYFUNCTION("""COMPUTED_VALUE"""),"Texas State")</f>
        <v>Texas State</v>
      </c>
      <c r="K9" s="103"/>
    </row>
    <row r="10">
      <c r="A10" s="102" t="str">
        <f>IFERROR(__xludf.DUMMYFUNCTION("""COMPUTED_VALUE"""),"Temple")</f>
        <v>Temple</v>
      </c>
      <c r="B10" s="102" t="str">
        <f>IFERROR(__xludf.DUMMYFUNCTION("""COMPUTED_VALUE"""),"North Carolina")</f>
        <v>North Carolina</v>
      </c>
      <c r="C10" s="102" t="str">
        <f>IFERROR(__xludf.DUMMYFUNCTION("""COMPUTED_VALUE"""),"Texas Tech")</f>
        <v>Texas Tech</v>
      </c>
      <c r="D10" s="102" t="str">
        <f>IFERROR(__xludf.DUMMYFUNCTION("""COMPUTED_VALUE"""),"Northwestern")</f>
        <v>Northwestern</v>
      </c>
      <c r="E10" s="103" t="str">
        <f>IFERROR(__xludf.DUMMYFUNCTION("""COMPUTED_VALUE"""),"Southern Mississippi")</f>
        <v>Southern Mississippi</v>
      </c>
      <c r="F10" s="102" t="str">
        <f>IFERROR(__xludf.DUMMYFUNCTION("""COMPUTED_VALUE"""),"Northern Illinois")</f>
        <v>Northern Illinois</v>
      </c>
      <c r="G10" s="103" t="str">
        <f>IFERROR(__xludf.DUMMYFUNCTION("""COMPUTED_VALUE"""),"San José State")</f>
        <v>San José State</v>
      </c>
      <c r="H10" s="102" t="str">
        <f>IFERROR(__xludf.DUMMYFUNCTION("""COMPUTED_VALUE"""),"USC")</f>
        <v>USC</v>
      </c>
      <c r="I10" s="102" t="str">
        <f>IFERROR(__xludf.DUMMYFUNCTION("""COMPUTED_VALUE"""),"Missouri")</f>
        <v>Missouri</v>
      </c>
      <c r="J10" s="103" t="str">
        <f>IFERROR(__xludf.DUMMYFUNCTION("""COMPUTED_VALUE"""),"Troy")</f>
        <v>Troy</v>
      </c>
      <c r="K10" s="103"/>
    </row>
    <row r="11">
      <c r="A11" s="102" t="str">
        <f>IFERROR(__xludf.DUMMYFUNCTION("""COMPUTED_VALUE"""),"Tulane")</f>
        <v>Tulane</v>
      </c>
      <c r="B11" s="102" t="str">
        <f>IFERROR(__xludf.DUMMYFUNCTION("""COMPUTED_VALUE"""),"Pittsburgh")</f>
        <v>Pittsburgh</v>
      </c>
      <c r="C11" s="102" t="str">
        <f>IFERROR(__xludf.DUMMYFUNCTION("""COMPUTED_VALUE"""),"West Virginia")</f>
        <v>West Virginia</v>
      </c>
      <c r="D11" s="103" t="str">
        <f>IFERROR(__xludf.DUMMYFUNCTION("""COMPUTED_VALUE"""),"Ohio State")</f>
        <v>Ohio State</v>
      </c>
      <c r="E11" s="102" t="str">
        <f>IFERROR(__xludf.DUMMYFUNCTION("""COMPUTED_VALUE"""),"Charlotte")</f>
        <v>Charlotte</v>
      </c>
      <c r="F11" s="102" t="str">
        <f>IFERROR(__xludf.DUMMYFUNCTION("""COMPUTED_VALUE"""),"Ohio")</f>
        <v>Ohio</v>
      </c>
      <c r="G11" s="102" t="str">
        <f>IFERROR(__xludf.DUMMYFUNCTION("""COMPUTED_VALUE"""),"UNLV")</f>
        <v>UNLV</v>
      </c>
      <c r="H11" s="102" t="str">
        <f>IFERROR(__xludf.DUMMYFUNCTION("""COMPUTED_VALUE"""),"Utah")</f>
        <v>Utah</v>
      </c>
      <c r="I11" s="102" t="str">
        <f>IFERROR(__xludf.DUMMYFUNCTION("""COMPUTED_VALUE"""),"Ole Miss")</f>
        <v>Ole Miss</v>
      </c>
      <c r="J11" s="102" t="str">
        <f>IFERROR(__xludf.DUMMYFUNCTION("""COMPUTED_VALUE"""),"Coastal Carolina")</f>
        <v>Coastal Carolina</v>
      </c>
      <c r="K11" s="107"/>
    </row>
    <row r="12">
      <c r="A12" s="102" t="str">
        <f>IFERROR(__xludf.DUMMYFUNCTION("""COMPUTED_VALUE"""),"Tulsa")</f>
        <v>Tulsa</v>
      </c>
      <c r="B12" s="102" t="str">
        <f>IFERROR(__xludf.DUMMYFUNCTION("""COMPUTED_VALUE"""),"Syracuse")</f>
        <v>Syracuse</v>
      </c>
      <c r="C12" s="109" t="str">
        <f>IFERROR(__xludf.DUMMYFUNCTION("""COMPUTED_VALUE"""),"Notre Dame")</f>
        <v>Notre Dame</v>
      </c>
      <c r="D12" s="103" t="str">
        <f>IFERROR(__xludf.DUMMYFUNCTION("""COMPUTED_VALUE"""),"Penn State")</f>
        <v>Penn State</v>
      </c>
      <c r="E12" s="102" t="str">
        <f>IFERROR(__xludf.DUMMYFUNCTION("""COMPUTED_VALUE"""),"UTEP")</f>
        <v>UTEP</v>
      </c>
      <c r="F12" s="102" t="str">
        <f>IFERROR(__xludf.DUMMYFUNCTION("""COMPUTED_VALUE"""),"Toledo")</f>
        <v>Toledo</v>
      </c>
      <c r="G12" s="103" t="str">
        <f>IFERROR(__xludf.DUMMYFUNCTION("""COMPUTED_VALUE"""),"Utah State")</f>
        <v>Utah State</v>
      </c>
      <c r="H12" s="102" t="str">
        <f>IFERROR(__xludf.DUMMYFUNCTION("""COMPUTED_VALUE"""),"Washington")</f>
        <v>Washington</v>
      </c>
      <c r="I12" s="102" t="str">
        <f>IFERROR(__xludf.DUMMYFUNCTION("""COMPUTED_VALUE"""),"South Carolina")</f>
        <v>South Carolina</v>
      </c>
      <c r="J12" s="110" t="str">
        <f>IFERROR(__xludf.DUMMYFUNCTION("""COMPUTED_VALUE"""),"New Mexico State")</f>
        <v>New Mexico State</v>
      </c>
      <c r="K12" s="107"/>
    </row>
    <row r="13">
      <c r="A13" s="111" t="str">
        <f>IFERROR(__xludf.DUMMYFUNCTION("""COMPUTED_VALUE"""),"UCF")</f>
        <v>UCF</v>
      </c>
      <c r="B13" s="102" t="str">
        <f>IFERROR(__xludf.DUMMYFUNCTION("""COMPUTED_VALUE"""),"Virginia")</f>
        <v>Virginia</v>
      </c>
      <c r="C13" s="109" t="str">
        <f>IFERROR(__xludf.DUMMYFUNCTION("""COMPUTED_VALUE"""),"BYU")</f>
        <v>BYU</v>
      </c>
      <c r="D13" s="102" t="str">
        <f>IFERROR(__xludf.DUMMYFUNCTION("""COMPUTED_VALUE"""),"Purdue")</f>
        <v>Purdue</v>
      </c>
      <c r="E13" s="103" t="str">
        <f>IFERROR(__xludf.DUMMYFUNCTION("""COMPUTED_VALUE"""),"UTSA")</f>
        <v>UTSA</v>
      </c>
      <c r="F13" s="102" t="str">
        <f>IFERROR(__xludf.DUMMYFUNCTION("""COMPUTED_VALUE"""),"Western Michigan")</f>
        <v>Western Michigan</v>
      </c>
      <c r="G13" s="102" t="str">
        <f>IFERROR(__xludf.DUMMYFUNCTION("""COMPUTED_VALUE"""),"Wyoming")</f>
        <v>Wyoming</v>
      </c>
      <c r="H13" s="103" t="str">
        <f>IFERROR(__xludf.DUMMYFUNCTION("""COMPUTED_VALUE"""),"Washington State")</f>
        <v>Washington State</v>
      </c>
      <c r="I13" s="102" t="str">
        <f>IFERROR(__xludf.DUMMYFUNCTION("""COMPUTED_VALUE"""),"Tennessee")</f>
        <v>Tennessee</v>
      </c>
      <c r="J13" s="112" t="str">
        <f>IFERROR(__xludf.DUMMYFUNCTION("""COMPUTED_VALUE"""),"Army")</f>
        <v>Army</v>
      </c>
      <c r="K13" s="113"/>
    </row>
    <row r="14">
      <c r="A14" s="113"/>
      <c r="B14" s="102" t="str">
        <f>IFERROR(__xludf.DUMMYFUNCTION("""COMPUTED_VALUE"""),"Virginia Tech")</f>
        <v>Virginia Tech</v>
      </c>
      <c r="C14" s="113"/>
      <c r="D14" s="102" t="str">
        <f>IFERROR(__xludf.DUMMYFUNCTION("""COMPUTED_VALUE"""),"Rutgers")</f>
        <v>Rutgers</v>
      </c>
      <c r="E14" s="114" t="str">
        <f>IFERROR(__xludf.DUMMYFUNCTION("""COMPUTED_VALUE"""),"Western Kentucky")</f>
        <v>Western Kentucky</v>
      </c>
      <c r="F14" s="113"/>
      <c r="G14" s="113"/>
      <c r="H14" s="113"/>
      <c r="I14" s="102" t="str">
        <f>IFERROR(__xludf.DUMMYFUNCTION("""COMPUTED_VALUE"""),"Texas A&amp;M")</f>
        <v>Texas A&amp;M</v>
      </c>
      <c r="J14" s="30"/>
      <c r="K14" s="30"/>
    </row>
    <row r="15">
      <c r="A15" s="113"/>
      <c r="B15" s="102" t="str">
        <f>IFERROR(__xludf.DUMMYFUNCTION("""COMPUTED_VALUE"""),"Wake Forest")</f>
        <v>Wake Forest</v>
      </c>
      <c r="C15" s="113"/>
      <c r="D15" s="102" t="str">
        <f>IFERROR(__xludf.DUMMYFUNCTION("""COMPUTED_VALUE"""),"Wisconsin")</f>
        <v>Wisconsin</v>
      </c>
      <c r="E15" s="114" t="str">
        <f>IFERROR(__xludf.DUMMYFUNCTION("""COMPUTED_VALUE"""),"UAB")</f>
        <v>UAB</v>
      </c>
      <c r="F15" s="113"/>
      <c r="G15" s="113"/>
      <c r="H15" s="113"/>
      <c r="I15" s="102" t="str">
        <f>IFERROR(__xludf.DUMMYFUNCTION("""COMPUTED_VALUE"""),"Vanderbilt")</f>
        <v>Vanderbilt</v>
      </c>
      <c r="J15" s="30"/>
      <c r="K15" s="30"/>
    </row>
  </sheetData>
  <conditionalFormatting sqref="A1">
    <cfRule type="expression" dxfId="3" priority="1">
      <formula>A1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s="27" t="str">
        <f>'Picks by Player'!A1</f>
        <v>DavEmily</v>
      </c>
      <c r="B1" s="27" t="str">
        <f>'Picks by Player'!A1</f>
        <v>DavEmily</v>
      </c>
      <c r="C1" s="51" t="str">
        <f>'Picks by Player'!C1</f>
        <v>Nick A.</v>
      </c>
      <c r="D1" s="51" t="str">
        <f>'Picks by Player'!C1</f>
        <v>Nick A.</v>
      </c>
      <c r="E1" s="108" t="str">
        <f>'Picks by Player'!E1</f>
        <v>Gary</v>
      </c>
      <c r="F1" s="108" t="str">
        <f>'Picks by Player'!E1</f>
        <v>Gary</v>
      </c>
      <c r="G1" s="51" t="str">
        <f>'Picks by Player'!G1</f>
        <v>Janice/Mike</v>
      </c>
      <c r="H1" s="108" t="str">
        <f>'Picks by Player'!G1</f>
        <v>Janice/Mike</v>
      </c>
      <c r="I1" s="51" t="str">
        <f>'Picks by Player'!I1</f>
        <v>Nico</v>
      </c>
      <c r="J1" s="51" t="str">
        <f>'Picks by Player'!I1</f>
        <v>Nico</v>
      </c>
      <c r="K1" s="51" t="str">
        <f>'Picks by Player'!K1</f>
        <v>Jeannine</v>
      </c>
      <c r="L1" s="51" t="str">
        <f>'Picks by Player'!K1</f>
        <v>Jeannine</v>
      </c>
      <c r="M1" s="51" t="str">
        <f>'Picks by Player'!M1</f>
        <v>Justin</v>
      </c>
      <c r="N1" s="51" t="str">
        <f>'Picks by Player'!M1</f>
        <v>Justin</v>
      </c>
      <c r="O1" s="51" t="str">
        <f>'Picks by Player'!O1</f>
        <v>Adam</v>
      </c>
      <c r="P1" s="51" t="str">
        <f>'Picks by Player'!O1</f>
        <v>Adam</v>
      </c>
      <c r="Q1" s="51" t="str">
        <f>'Picks by Player'!Q1</f>
        <v>Vu</v>
      </c>
      <c r="R1" s="51" t="str">
        <f>'Picks by Player'!Q1</f>
        <v>Vu</v>
      </c>
      <c r="S1" s="51" t="str">
        <f>'Picks by Player'!S1</f>
        <v>Josh R.</v>
      </c>
      <c r="T1" s="51" t="str">
        <f>'Picks by Player'!S1</f>
        <v>Josh R.</v>
      </c>
      <c r="U1" s="51" t="str">
        <f>'Picks by Player'!U1</f>
        <v>Brad</v>
      </c>
      <c r="V1" s="51" t="str">
        <f>'Picks by Player'!U1</f>
        <v>Brad</v>
      </c>
      <c r="W1" s="51" t="str">
        <f>'Picks by Player'!W1</f>
        <v>Nick G.</v>
      </c>
      <c r="X1" s="51" t="str">
        <f>'Picks by Player'!W1</f>
        <v>Nick G.</v>
      </c>
    </row>
    <row r="2">
      <c r="A2" t="str">
        <f t="array" ref="A2:A130">if(DraftTracker!$D:$D=A1,DraftTracker!$E:$E,"")</f>
        <v/>
      </c>
      <c r="B2" t="str">
        <f t="array" ref="B2:B130">if(DraftTracker!$D:$D=B1,DraftTracker!$F:$F,"")</f>
        <v/>
      </c>
      <c r="C2" t="str">
        <f t="array" ref="C2:C130">if(DraftTracker!$D:$D=C1,DraftTracker!$E:$E,"")</f>
        <v/>
      </c>
      <c r="D2" t="str">
        <f t="array" ref="D2:D130">if(DraftTracker!$D:$D=D1,DraftTracker!$F:$F,"")</f>
        <v/>
      </c>
      <c r="E2" t="str">
        <f t="array" ref="E2:E130">if(DraftTracker!$D:$D=E1,DraftTracker!$E:$E,"")</f>
        <v/>
      </c>
      <c r="F2" t="str">
        <f t="array" ref="F2:F130">if(DraftTracker!$D:$D=F1,DraftTracker!$F:$F,"")</f>
        <v/>
      </c>
      <c r="G2" t="str">
        <f t="array" ref="G2:G130">if(DraftTracker!$D:$D=G1,DraftTracker!$E:$E,"")</f>
        <v/>
      </c>
      <c r="H2" t="str">
        <f t="array" ref="H2:H130">if(DraftTracker!$D:$D=H1,DraftTracker!$F:$F,"")</f>
        <v/>
      </c>
      <c r="I2" t="str">
        <f t="array" ref="I2:I130">if(DraftTracker!$D:$D=I1,DraftTracker!$E:$E,"")</f>
        <v/>
      </c>
      <c r="J2" t="str">
        <f t="array" ref="J2:J130">if(DraftTracker!$D:$D=J1,DraftTracker!$F:$F,"")</f>
        <v/>
      </c>
      <c r="K2" t="str">
        <f t="array" ref="K2:K130">if(DraftTracker!$D:$D=K1,DraftTracker!$E:$E,"")</f>
        <v/>
      </c>
      <c r="L2" t="str">
        <f t="array" ref="L2:L130">if(DraftTracker!$D:$D=L1,DraftTracker!$F:$F,"")</f>
        <v/>
      </c>
      <c r="M2" t="str">
        <f t="array" ref="M2:M130">if(DraftTracker!$D:$D=M1,DraftTracker!$E:$E,"")</f>
        <v/>
      </c>
      <c r="N2" t="str">
        <f t="array" ref="N2:N130">if(DraftTracker!$D:$D=N1,DraftTracker!$F:$F,"")</f>
        <v/>
      </c>
      <c r="O2" t="str">
        <f t="array" ref="O2:O130">if(DraftTracker!$D:$D=O1,DraftTracker!$E:$E,"")</f>
        <v/>
      </c>
      <c r="P2" t="str">
        <f t="array" ref="P2:P130">if(DraftTracker!$D:$D=P1,DraftTracker!$F:$F,"")</f>
        <v/>
      </c>
      <c r="Q2" t="str">
        <f t="array" ref="Q2:Q130">if(DraftTracker!$D:$D=Q1,DraftTracker!$E:$E,"")</f>
        <v/>
      </c>
      <c r="R2" t="str">
        <f t="array" ref="R2:R130">if(DraftTracker!$D:$D=R1,DraftTracker!$F:$F,"")</f>
        <v/>
      </c>
      <c r="S2" t="str">
        <f t="array" ref="S2:S130">if(DraftTracker!$D:$D=S1,DraftTracker!$E:$E,"")</f>
        <v/>
      </c>
      <c r="T2" t="str">
        <f t="array" ref="T2:T130">if(DraftTracker!$D:$D=T1,DraftTracker!$F:$F,"")</f>
        <v/>
      </c>
      <c r="U2" t="str">
        <f t="array" ref="U2:U130">if(DraftTracker!$D:$D=U1,DraftTracker!$E:$E,"")</f>
        <v/>
      </c>
      <c r="V2" t="str">
        <f t="array" ref="V2:V130">if(DraftTracker!$D:$D=V1,DraftTracker!$F:$F,"")</f>
        <v/>
      </c>
      <c r="W2" t="str">
        <f t="array" ref="W2:W130">if(DraftTracker!$D:$D=W1,DraftTracker!$E:$E,"")</f>
        <v/>
      </c>
      <c r="X2" t="str">
        <f t="array" ref="X2:X130">if(DraftTracker!$D:$D=X1,DraftTracker!$F:$F,"")</f>
        <v/>
      </c>
    </row>
    <row r="3">
      <c r="A3" t="s">
        <v>28</v>
      </c>
      <c r="B3" t="s">
        <v>114</v>
      </c>
      <c r="C3" t="s">
        <v>241</v>
      </c>
      <c r="D3" t="s">
        <v>241</v>
      </c>
      <c r="E3" t="s">
        <v>241</v>
      </c>
      <c r="F3" t="s">
        <v>241</v>
      </c>
      <c r="G3" t="s">
        <v>241</v>
      </c>
      <c r="H3" t="s">
        <v>241</v>
      </c>
      <c r="I3" t="s">
        <v>241</v>
      </c>
      <c r="J3" t="s">
        <v>241</v>
      </c>
      <c r="K3" t="s">
        <v>241</v>
      </c>
      <c r="L3" t="s">
        <v>241</v>
      </c>
      <c r="M3" t="s">
        <v>241</v>
      </c>
      <c r="N3" t="s">
        <v>241</v>
      </c>
      <c r="O3" t="s">
        <v>241</v>
      </c>
      <c r="P3" t="s">
        <v>241</v>
      </c>
      <c r="Q3" t="s">
        <v>241</v>
      </c>
      <c r="R3" t="s">
        <v>241</v>
      </c>
      <c r="S3" t="s">
        <v>241</v>
      </c>
      <c r="T3" t="s">
        <v>241</v>
      </c>
      <c r="U3" t="s">
        <v>241</v>
      </c>
      <c r="V3" t="s">
        <v>241</v>
      </c>
      <c r="W3" t="s">
        <v>241</v>
      </c>
      <c r="X3" t="s">
        <v>241</v>
      </c>
    </row>
    <row r="4">
      <c r="A4" t="s">
        <v>241</v>
      </c>
      <c r="B4" t="s">
        <v>241</v>
      </c>
      <c r="C4" t="s">
        <v>15</v>
      </c>
      <c r="D4" t="s">
        <v>68</v>
      </c>
      <c r="E4" t="s">
        <v>241</v>
      </c>
      <c r="F4" t="s">
        <v>241</v>
      </c>
      <c r="G4" t="s">
        <v>241</v>
      </c>
      <c r="H4" t="s">
        <v>241</v>
      </c>
      <c r="I4" t="s">
        <v>241</v>
      </c>
      <c r="J4" t="s">
        <v>241</v>
      </c>
      <c r="K4" t="s">
        <v>241</v>
      </c>
      <c r="L4" t="s">
        <v>241</v>
      </c>
      <c r="M4" t="s">
        <v>241</v>
      </c>
      <c r="N4" t="s">
        <v>241</v>
      </c>
      <c r="O4" t="s">
        <v>241</v>
      </c>
      <c r="P4" t="s">
        <v>241</v>
      </c>
      <c r="Q4" t="s">
        <v>241</v>
      </c>
      <c r="R4" t="s">
        <v>241</v>
      </c>
      <c r="S4" t="s">
        <v>241</v>
      </c>
      <c r="T4" t="s">
        <v>241</v>
      </c>
      <c r="U4" t="s">
        <v>241</v>
      </c>
      <c r="V4" t="s">
        <v>241</v>
      </c>
      <c r="W4" t="s">
        <v>241</v>
      </c>
      <c r="X4" t="s">
        <v>241</v>
      </c>
    </row>
    <row r="5">
      <c r="A5" t="s">
        <v>241</v>
      </c>
      <c r="B5" t="s">
        <v>241</v>
      </c>
      <c r="C5" t="s">
        <v>241</v>
      </c>
      <c r="D5" t="s">
        <v>241</v>
      </c>
      <c r="E5" t="s">
        <v>22</v>
      </c>
      <c r="F5" t="s">
        <v>146</v>
      </c>
      <c r="G5" t="s">
        <v>241</v>
      </c>
      <c r="H5" t="s">
        <v>241</v>
      </c>
      <c r="I5" t="s">
        <v>241</v>
      </c>
      <c r="J5" t="s">
        <v>241</v>
      </c>
      <c r="K5" t="s">
        <v>241</v>
      </c>
      <c r="L5" t="s">
        <v>241</v>
      </c>
      <c r="M5" t="s">
        <v>241</v>
      </c>
      <c r="N5" t="s">
        <v>241</v>
      </c>
      <c r="O5" t="s">
        <v>241</v>
      </c>
      <c r="P5" t="s">
        <v>241</v>
      </c>
      <c r="Q5" t="s">
        <v>241</v>
      </c>
      <c r="R5" t="s">
        <v>241</v>
      </c>
      <c r="S5" t="s">
        <v>241</v>
      </c>
      <c r="T5" t="s">
        <v>241</v>
      </c>
      <c r="U5" t="s">
        <v>241</v>
      </c>
      <c r="V5" t="s">
        <v>241</v>
      </c>
      <c r="W5" t="s">
        <v>241</v>
      </c>
      <c r="X5" t="s">
        <v>241</v>
      </c>
    </row>
    <row r="6">
      <c r="A6" t="s">
        <v>241</v>
      </c>
      <c r="B6" t="s">
        <v>241</v>
      </c>
      <c r="C6" t="s">
        <v>241</v>
      </c>
      <c r="D6" t="s">
        <v>241</v>
      </c>
      <c r="E6" t="s">
        <v>241</v>
      </c>
      <c r="F6" t="s">
        <v>241</v>
      </c>
      <c r="G6" t="s">
        <v>24</v>
      </c>
      <c r="H6" t="s">
        <v>150</v>
      </c>
      <c r="I6" t="s">
        <v>241</v>
      </c>
      <c r="J6" t="s">
        <v>241</v>
      </c>
      <c r="K6" t="s">
        <v>241</v>
      </c>
      <c r="L6" t="s">
        <v>241</v>
      </c>
      <c r="M6" t="s">
        <v>241</v>
      </c>
      <c r="N6" t="s">
        <v>241</v>
      </c>
      <c r="O6" t="s">
        <v>241</v>
      </c>
      <c r="P6" t="s">
        <v>241</v>
      </c>
      <c r="Q6" t="s">
        <v>241</v>
      </c>
      <c r="R6" t="s">
        <v>241</v>
      </c>
      <c r="S6" t="s">
        <v>241</v>
      </c>
      <c r="T6" t="s">
        <v>241</v>
      </c>
      <c r="U6" t="s">
        <v>241</v>
      </c>
      <c r="V6" t="s">
        <v>241</v>
      </c>
      <c r="W6" t="s">
        <v>241</v>
      </c>
      <c r="X6" t="s">
        <v>241</v>
      </c>
    </row>
    <row r="7">
      <c r="A7" t="s">
        <v>241</v>
      </c>
      <c r="B7" t="s">
        <v>241</v>
      </c>
      <c r="C7" t="s">
        <v>241</v>
      </c>
      <c r="D7" t="s">
        <v>241</v>
      </c>
      <c r="E7" t="s">
        <v>241</v>
      </c>
      <c r="F7" t="s">
        <v>241</v>
      </c>
      <c r="G7" t="s">
        <v>241</v>
      </c>
      <c r="H7" t="s">
        <v>241</v>
      </c>
      <c r="I7" t="s">
        <v>28</v>
      </c>
      <c r="J7" t="s">
        <v>176</v>
      </c>
      <c r="K7" t="s">
        <v>241</v>
      </c>
      <c r="L7" t="s">
        <v>241</v>
      </c>
      <c r="M7" t="s">
        <v>241</v>
      </c>
      <c r="N7" t="s">
        <v>241</v>
      </c>
      <c r="O7" t="s">
        <v>241</v>
      </c>
      <c r="P7" t="s">
        <v>241</v>
      </c>
      <c r="Q7" t="s">
        <v>241</v>
      </c>
      <c r="R7" t="s">
        <v>241</v>
      </c>
      <c r="S7" t="s">
        <v>241</v>
      </c>
      <c r="T7" t="s">
        <v>241</v>
      </c>
      <c r="U7" t="s">
        <v>241</v>
      </c>
      <c r="V7" t="s">
        <v>241</v>
      </c>
      <c r="W7" t="s">
        <v>241</v>
      </c>
      <c r="X7" t="s">
        <v>241</v>
      </c>
    </row>
    <row r="8">
      <c r="A8" t="s">
        <v>241</v>
      </c>
      <c r="B8" t="s">
        <v>241</v>
      </c>
      <c r="C8" t="s">
        <v>241</v>
      </c>
      <c r="D8" t="s">
        <v>241</v>
      </c>
      <c r="E8" t="s">
        <v>241</v>
      </c>
      <c r="F8" t="s">
        <v>241</v>
      </c>
      <c r="G8" t="s">
        <v>241</v>
      </c>
      <c r="H8" t="s">
        <v>241</v>
      </c>
      <c r="I8" t="s">
        <v>241</v>
      </c>
      <c r="J8" t="s">
        <v>241</v>
      </c>
      <c r="K8" t="s">
        <v>17</v>
      </c>
      <c r="L8" t="s">
        <v>100</v>
      </c>
      <c r="M8" t="s">
        <v>241</v>
      </c>
      <c r="N8" t="s">
        <v>241</v>
      </c>
      <c r="O8" t="s">
        <v>241</v>
      </c>
      <c r="P8" t="s">
        <v>241</v>
      </c>
      <c r="Q8" t="s">
        <v>241</v>
      </c>
      <c r="R8" t="s">
        <v>241</v>
      </c>
      <c r="S8" t="s">
        <v>241</v>
      </c>
      <c r="T8" t="s">
        <v>241</v>
      </c>
      <c r="U8" t="s">
        <v>241</v>
      </c>
      <c r="V8" t="s">
        <v>241</v>
      </c>
      <c r="W8" t="s">
        <v>241</v>
      </c>
      <c r="X8" t="s">
        <v>241</v>
      </c>
    </row>
    <row r="9">
      <c r="A9" t="s">
        <v>241</v>
      </c>
      <c r="B9" t="s">
        <v>241</v>
      </c>
      <c r="C9" t="s">
        <v>241</v>
      </c>
      <c r="D9" t="s">
        <v>241</v>
      </c>
      <c r="E9" t="s">
        <v>241</v>
      </c>
      <c r="F9" t="s">
        <v>241</v>
      </c>
      <c r="G9" t="s">
        <v>241</v>
      </c>
      <c r="H9" t="s">
        <v>241</v>
      </c>
      <c r="I9" t="s">
        <v>241</v>
      </c>
      <c r="J9" t="s">
        <v>241</v>
      </c>
      <c r="K9" t="s">
        <v>241</v>
      </c>
      <c r="L9" t="s">
        <v>241</v>
      </c>
      <c r="M9" t="s">
        <v>30</v>
      </c>
      <c r="N9" t="s">
        <v>186</v>
      </c>
      <c r="O9" t="s">
        <v>241</v>
      </c>
      <c r="P9" t="s">
        <v>241</v>
      </c>
      <c r="Q9" t="s">
        <v>241</v>
      </c>
      <c r="R9" t="s">
        <v>241</v>
      </c>
      <c r="S9" t="s">
        <v>241</v>
      </c>
      <c r="T9" t="s">
        <v>241</v>
      </c>
      <c r="U9" t="s">
        <v>241</v>
      </c>
      <c r="V9" t="s">
        <v>241</v>
      </c>
      <c r="W9" t="s">
        <v>241</v>
      </c>
      <c r="X9" t="s">
        <v>241</v>
      </c>
    </row>
    <row r="10">
      <c r="A10" t="s">
        <v>241</v>
      </c>
      <c r="B10" t="s">
        <v>241</v>
      </c>
      <c r="C10" t="s">
        <v>241</v>
      </c>
      <c r="D10" t="s">
        <v>241</v>
      </c>
      <c r="E10" t="s">
        <v>241</v>
      </c>
      <c r="F10" t="s">
        <v>241</v>
      </c>
      <c r="G10" t="s">
        <v>241</v>
      </c>
      <c r="H10" t="s">
        <v>241</v>
      </c>
      <c r="I10" t="s">
        <v>241</v>
      </c>
      <c r="J10" t="s">
        <v>241</v>
      </c>
      <c r="K10" t="s">
        <v>241</v>
      </c>
      <c r="L10" t="s">
        <v>241</v>
      </c>
      <c r="M10" t="s">
        <v>241</v>
      </c>
      <c r="N10" t="s">
        <v>241</v>
      </c>
      <c r="O10" t="s">
        <v>11</v>
      </c>
      <c r="P10" t="s">
        <v>59</v>
      </c>
      <c r="Q10" t="s">
        <v>241</v>
      </c>
      <c r="R10" t="s">
        <v>241</v>
      </c>
      <c r="S10" t="s">
        <v>241</v>
      </c>
      <c r="T10" t="s">
        <v>241</v>
      </c>
      <c r="U10" t="s">
        <v>241</v>
      </c>
      <c r="V10" t="s">
        <v>241</v>
      </c>
      <c r="W10" t="s">
        <v>241</v>
      </c>
      <c r="X10" t="s">
        <v>241</v>
      </c>
    </row>
    <row r="11">
      <c r="A11" t="s">
        <v>241</v>
      </c>
      <c r="B11" t="s">
        <v>241</v>
      </c>
      <c r="C11" t="s">
        <v>241</v>
      </c>
      <c r="D11" t="s">
        <v>241</v>
      </c>
      <c r="E11" t="s">
        <v>241</v>
      </c>
      <c r="F11" t="s">
        <v>241</v>
      </c>
      <c r="G11" t="s">
        <v>241</v>
      </c>
      <c r="H11" t="s">
        <v>241</v>
      </c>
      <c r="I11" t="s">
        <v>241</v>
      </c>
      <c r="J11" t="s">
        <v>241</v>
      </c>
      <c r="K11" t="s">
        <v>241</v>
      </c>
      <c r="L11" t="s">
        <v>241</v>
      </c>
      <c r="M11" t="s">
        <v>241</v>
      </c>
      <c r="N11" t="s">
        <v>241</v>
      </c>
      <c r="O11" t="s">
        <v>241</v>
      </c>
      <c r="P11" t="s">
        <v>241</v>
      </c>
      <c r="Q11" t="s">
        <v>26</v>
      </c>
      <c r="R11" t="s">
        <v>171</v>
      </c>
      <c r="S11" t="s">
        <v>241</v>
      </c>
      <c r="T11" t="s">
        <v>241</v>
      </c>
      <c r="U11" t="s">
        <v>241</v>
      </c>
      <c r="V11" t="s">
        <v>241</v>
      </c>
      <c r="W11" t="s">
        <v>241</v>
      </c>
      <c r="X11" t="s">
        <v>241</v>
      </c>
    </row>
    <row r="12">
      <c r="A12" t="s">
        <v>241</v>
      </c>
      <c r="B12" t="s">
        <v>241</v>
      </c>
      <c r="C12" t="s">
        <v>241</v>
      </c>
      <c r="D12" t="s">
        <v>241</v>
      </c>
      <c r="E12" t="s">
        <v>241</v>
      </c>
      <c r="F12" t="s">
        <v>241</v>
      </c>
      <c r="G12" t="s">
        <v>241</v>
      </c>
      <c r="H12" t="s">
        <v>241</v>
      </c>
      <c r="I12" t="s">
        <v>241</v>
      </c>
      <c r="J12" t="s">
        <v>241</v>
      </c>
      <c r="K12" t="s">
        <v>241</v>
      </c>
      <c r="L12" t="s">
        <v>241</v>
      </c>
      <c r="M12" t="s">
        <v>241</v>
      </c>
      <c r="N12" t="s">
        <v>241</v>
      </c>
      <c r="O12" t="s">
        <v>241</v>
      </c>
      <c r="P12" t="s">
        <v>241</v>
      </c>
      <c r="Q12" t="s">
        <v>241</v>
      </c>
      <c r="R12" t="s">
        <v>241</v>
      </c>
      <c r="S12" t="s">
        <v>30</v>
      </c>
      <c r="T12" t="s">
        <v>196</v>
      </c>
      <c r="U12" t="s">
        <v>241</v>
      </c>
      <c r="V12" t="s">
        <v>241</v>
      </c>
      <c r="W12" t="s">
        <v>241</v>
      </c>
      <c r="X12" t="s">
        <v>241</v>
      </c>
    </row>
    <row r="13">
      <c r="A13" t="s">
        <v>241</v>
      </c>
      <c r="B13" t="s">
        <v>241</v>
      </c>
      <c r="C13" t="s">
        <v>241</v>
      </c>
      <c r="D13" t="s">
        <v>241</v>
      </c>
      <c r="E13" t="s">
        <v>241</v>
      </c>
      <c r="F13" t="s">
        <v>241</v>
      </c>
      <c r="G13" t="s">
        <v>241</v>
      </c>
      <c r="H13" t="s">
        <v>241</v>
      </c>
      <c r="I13" t="s">
        <v>241</v>
      </c>
      <c r="J13" t="s">
        <v>241</v>
      </c>
      <c r="K13" t="s">
        <v>241</v>
      </c>
      <c r="L13" t="s">
        <v>241</v>
      </c>
      <c r="M13" t="s">
        <v>241</v>
      </c>
      <c r="N13" t="s">
        <v>241</v>
      </c>
      <c r="O13" t="s">
        <v>241</v>
      </c>
      <c r="P13" t="s">
        <v>241</v>
      </c>
      <c r="Q13" t="s">
        <v>241</v>
      </c>
      <c r="R13" t="s">
        <v>241</v>
      </c>
      <c r="S13" t="s">
        <v>241</v>
      </c>
      <c r="T13" t="s">
        <v>241</v>
      </c>
      <c r="U13" t="s">
        <v>11</v>
      </c>
      <c r="V13" t="s">
        <v>35</v>
      </c>
      <c r="W13" t="s">
        <v>241</v>
      </c>
      <c r="X13" t="s">
        <v>241</v>
      </c>
    </row>
    <row r="14">
      <c r="A14" t="s">
        <v>241</v>
      </c>
      <c r="B14" t="s">
        <v>241</v>
      </c>
      <c r="C14" t="s">
        <v>241</v>
      </c>
      <c r="D14" t="s">
        <v>241</v>
      </c>
      <c r="E14" t="s">
        <v>241</v>
      </c>
      <c r="F14" t="s">
        <v>241</v>
      </c>
      <c r="G14" t="s">
        <v>241</v>
      </c>
      <c r="H14" t="s">
        <v>241</v>
      </c>
      <c r="I14" t="s">
        <v>241</v>
      </c>
      <c r="J14" t="s">
        <v>241</v>
      </c>
      <c r="K14" t="s">
        <v>241</v>
      </c>
      <c r="L14" t="s">
        <v>241</v>
      </c>
      <c r="M14" t="s">
        <v>241</v>
      </c>
      <c r="N14" t="s">
        <v>241</v>
      </c>
      <c r="O14" t="s">
        <v>241</v>
      </c>
      <c r="P14" t="s">
        <v>241</v>
      </c>
      <c r="Q14" t="s">
        <v>241</v>
      </c>
      <c r="R14" t="s">
        <v>241</v>
      </c>
      <c r="S14" t="s">
        <v>241</v>
      </c>
      <c r="T14" t="s">
        <v>241</v>
      </c>
      <c r="U14" t="s">
        <v>241</v>
      </c>
      <c r="V14" t="s">
        <v>241</v>
      </c>
      <c r="W14" t="s">
        <v>19</v>
      </c>
      <c r="X14" t="s">
        <v>118</v>
      </c>
    </row>
    <row r="15">
      <c r="A15" t="s">
        <v>241</v>
      </c>
      <c r="B15" t="s">
        <v>241</v>
      </c>
      <c r="C15" t="s">
        <v>241</v>
      </c>
      <c r="D15" t="s">
        <v>241</v>
      </c>
      <c r="E15" t="s">
        <v>241</v>
      </c>
      <c r="F15" t="s">
        <v>241</v>
      </c>
      <c r="G15" t="s">
        <v>241</v>
      </c>
      <c r="H15" t="s">
        <v>241</v>
      </c>
      <c r="I15" t="s">
        <v>241</v>
      </c>
      <c r="J15" t="s">
        <v>241</v>
      </c>
      <c r="K15" t="s">
        <v>241</v>
      </c>
      <c r="L15" t="s">
        <v>241</v>
      </c>
      <c r="M15" t="s">
        <v>241</v>
      </c>
      <c r="N15" t="s">
        <v>241</v>
      </c>
      <c r="O15" t="s">
        <v>241</v>
      </c>
      <c r="P15" t="s">
        <v>241</v>
      </c>
      <c r="Q15" t="s">
        <v>241</v>
      </c>
      <c r="R15" t="s">
        <v>241</v>
      </c>
      <c r="S15" t="s">
        <v>241</v>
      </c>
      <c r="T15" t="s">
        <v>241</v>
      </c>
      <c r="U15" t="s">
        <v>241</v>
      </c>
      <c r="V15" t="s">
        <v>241</v>
      </c>
      <c r="W15" t="s">
        <v>30</v>
      </c>
      <c r="X15" t="s">
        <v>194</v>
      </c>
    </row>
    <row r="16">
      <c r="A16" t="s">
        <v>241</v>
      </c>
      <c r="B16" t="s">
        <v>241</v>
      </c>
      <c r="C16" t="s">
        <v>241</v>
      </c>
      <c r="D16" t="s">
        <v>241</v>
      </c>
      <c r="E16" t="s">
        <v>241</v>
      </c>
      <c r="F16" t="s">
        <v>241</v>
      </c>
      <c r="G16" t="s">
        <v>241</v>
      </c>
      <c r="H16" t="s">
        <v>241</v>
      </c>
      <c r="I16" t="s">
        <v>241</v>
      </c>
      <c r="J16" t="s">
        <v>241</v>
      </c>
      <c r="K16" t="s">
        <v>241</v>
      </c>
      <c r="L16" t="s">
        <v>241</v>
      </c>
      <c r="M16" t="s">
        <v>241</v>
      </c>
      <c r="N16" t="s">
        <v>241</v>
      </c>
      <c r="O16" t="s">
        <v>241</v>
      </c>
      <c r="P16" t="s">
        <v>241</v>
      </c>
      <c r="Q16" t="s">
        <v>241</v>
      </c>
      <c r="R16" t="s">
        <v>241</v>
      </c>
      <c r="S16" t="s">
        <v>241</v>
      </c>
      <c r="T16" t="s">
        <v>241</v>
      </c>
      <c r="U16" t="s">
        <v>26</v>
      </c>
      <c r="V16" t="s">
        <v>170</v>
      </c>
      <c r="W16" t="s">
        <v>241</v>
      </c>
      <c r="X16" t="s">
        <v>241</v>
      </c>
    </row>
    <row r="17">
      <c r="A17" t="s">
        <v>241</v>
      </c>
      <c r="B17" t="s">
        <v>241</v>
      </c>
      <c r="C17" t="s">
        <v>241</v>
      </c>
      <c r="D17" t="s">
        <v>241</v>
      </c>
      <c r="E17" t="s">
        <v>241</v>
      </c>
      <c r="F17" t="s">
        <v>241</v>
      </c>
      <c r="G17" t="s">
        <v>241</v>
      </c>
      <c r="H17" t="s">
        <v>241</v>
      </c>
      <c r="I17" t="s">
        <v>241</v>
      </c>
      <c r="J17" t="s">
        <v>241</v>
      </c>
      <c r="K17" t="s">
        <v>241</v>
      </c>
      <c r="L17" t="s">
        <v>241</v>
      </c>
      <c r="M17" t="s">
        <v>241</v>
      </c>
      <c r="N17" t="s">
        <v>241</v>
      </c>
      <c r="O17" t="s">
        <v>241</v>
      </c>
      <c r="P17" t="s">
        <v>241</v>
      </c>
      <c r="Q17" t="s">
        <v>241</v>
      </c>
      <c r="R17" t="s">
        <v>241</v>
      </c>
      <c r="S17" t="s">
        <v>22</v>
      </c>
      <c r="T17" t="s">
        <v>147</v>
      </c>
      <c r="U17" t="s">
        <v>241</v>
      </c>
      <c r="V17" t="s">
        <v>241</v>
      </c>
      <c r="W17" t="s">
        <v>241</v>
      </c>
      <c r="X17" t="s">
        <v>241</v>
      </c>
    </row>
    <row r="18">
      <c r="A18" t="s">
        <v>241</v>
      </c>
      <c r="B18" t="s">
        <v>241</v>
      </c>
      <c r="C18" t="s">
        <v>241</v>
      </c>
      <c r="D18" t="s">
        <v>241</v>
      </c>
      <c r="E18" t="s">
        <v>241</v>
      </c>
      <c r="F18" t="s">
        <v>241</v>
      </c>
      <c r="G18" t="s">
        <v>241</v>
      </c>
      <c r="H18" t="s">
        <v>241</v>
      </c>
      <c r="I18" t="s">
        <v>241</v>
      </c>
      <c r="J18" t="s">
        <v>241</v>
      </c>
      <c r="K18" t="s">
        <v>241</v>
      </c>
      <c r="L18" t="s">
        <v>241</v>
      </c>
      <c r="M18" t="s">
        <v>241</v>
      </c>
      <c r="N18" t="s">
        <v>241</v>
      </c>
      <c r="O18" t="s">
        <v>241</v>
      </c>
      <c r="P18" t="s">
        <v>241</v>
      </c>
      <c r="Q18" t="s">
        <v>19</v>
      </c>
      <c r="R18" t="s">
        <v>112</v>
      </c>
      <c r="S18" t="s">
        <v>241</v>
      </c>
      <c r="T18" t="s">
        <v>241</v>
      </c>
      <c r="U18" t="s">
        <v>241</v>
      </c>
      <c r="V18" t="s">
        <v>241</v>
      </c>
      <c r="W18" t="s">
        <v>241</v>
      </c>
      <c r="X18" t="s">
        <v>241</v>
      </c>
    </row>
    <row r="19">
      <c r="A19" t="s">
        <v>241</v>
      </c>
      <c r="B19" t="s">
        <v>241</v>
      </c>
      <c r="C19" t="s">
        <v>241</v>
      </c>
      <c r="D19" t="s">
        <v>241</v>
      </c>
      <c r="E19" t="s">
        <v>241</v>
      </c>
      <c r="F19" t="s">
        <v>241</v>
      </c>
      <c r="G19" t="s">
        <v>241</v>
      </c>
      <c r="H19" t="s">
        <v>241</v>
      </c>
      <c r="I19" t="s">
        <v>241</v>
      </c>
      <c r="J19" t="s">
        <v>241</v>
      </c>
      <c r="K19" t="s">
        <v>241</v>
      </c>
      <c r="L19" t="s">
        <v>241</v>
      </c>
      <c r="M19" t="s">
        <v>241</v>
      </c>
      <c r="N19" t="s">
        <v>241</v>
      </c>
      <c r="O19" t="s">
        <v>17</v>
      </c>
      <c r="P19" t="s">
        <v>103</v>
      </c>
      <c r="Q19" t="s">
        <v>241</v>
      </c>
      <c r="R19" t="s">
        <v>241</v>
      </c>
      <c r="S19" t="s">
        <v>241</v>
      </c>
      <c r="T19" t="s">
        <v>241</v>
      </c>
      <c r="U19" t="s">
        <v>241</v>
      </c>
      <c r="V19" t="s">
        <v>241</v>
      </c>
      <c r="W19" t="s">
        <v>241</v>
      </c>
      <c r="X19" t="s">
        <v>241</v>
      </c>
    </row>
    <row r="20">
      <c r="A20" t="s">
        <v>241</v>
      </c>
      <c r="B20" t="s">
        <v>241</v>
      </c>
      <c r="C20" t="s">
        <v>241</v>
      </c>
      <c r="D20" t="s">
        <v>241</v>
      </c>
      <c r="E20" t="s">
        <v>241</v>
      </c>
      <c r="F20" t="s">
        <v>241</v>
      </c>
      <c r="G20" t="s">
        <v>241</v>
      </c>
      <c r="H20" t="s">
        <v>241</v>
      </c>
      <c r="I20" t="s">
        <v>241</v>
      </c>
      <c r="J20" t="s">
        <v>241</v>
      </c>
      <c r="K20" t="s">
        <v>241</v>
      </c>
      <c r="L20" t="s">
        <v>241</v>
      </c>
      <c r="M20" t="s">
        <v>26</v>
      </c>
      <c r="N20" t="s">
        <v>165</v>
      </c>
      <c r="O20" t="s">
        <v>241</v>
      </c>
      <c r="P20" t="s">
        <v>241</v>
      </c>
      <c r="Q20" t="s">
        <v>241</v>
      </c>
      <c r="R20" t="s">
        <v>241</v>
      </c>
      <c r="S20" t="s">
        <v>241</v>
      </c>
      <c r="T20" t="s">
        <v>241</v>
      </c>
      <c r="U20" t="s">
        <v>241</v>
      </c>
      <c r="V20" t="s">
        <v>241</v>
      </c>
      <c r="W20" t="s">
        <v>241</v>
      </c>
      <c r="X20" t="s">
        <v>241</v>
      </c>
    </row>
    <row r="21">
      <c r="A21" t="s">
        <v>241</v>
      </c>
      <c r="B21" t="s">
        <v>241</v>
      </c>
      <c r="C21" t="s">
        <v>241</v>
      </c>
      <c r="D21" t="s">
        <v>241</v>
      </c>
      <c r="E21" t="s">
        <v>241</v>
      </c>
      <c r="F21" t="s">
        <v>241</v>
      </c>
      <c r="G21" t="s">
        <v>241</v>
      </c>
      <c r="H21" t="s">
        <v>241</v>
      </c>
      <c r="I21" t="s">
        <v>241</v>
      </c>
      <c r="J21" t="s">
        <v>241</v>
      </c>
      <c r="K21" t="s">
        <v>22</v>
      </c>
      <c r="L21" t="s">
        <v>148</v>
      </c>
      <c r="M21" t="s">
        <v>241</v>
      </c>
      <c r="N21" t="s">
        <v>241</v>
      </c>
      <c r="O21" t="s">
        <v>241</v>
      </c>
      <c r="P21" t="s">
        <v>241</v>
      </c>
      <c r="Q21" t="s">
        <v>241</v>
      </c>
      <c r="R21" t="s">
        <v>241</v>
      </c>
      <c r="S21" t="s">
        <v>241</v>
      </c>
      <c r="T21" t="s">
        <v>241</v>
      </c>
      <c r="U21" t="s">
        <v>241</v>
      </c>
      <c r="V21" t="s">
        <v>241</v>
      </c>
      <c r="W21" t="s">
        <v>241</v>
      </c>
      <c r="X21" t="s">
        <v>241</v>
      </c>
    </row>
    <row r="22">
      <c r="A22" t="s">
        <v>241</v>
      </c>
      <c r="B22" t="s">
        <v>241</v>
      </c>
      <c r="C22" t="s">
        <v>241</v>
      </c>
      <c r="D22" t="s">
        <v>241</v>
      </c>
      <c r="E22" t="s">
        <v>241</v>
      </c>
      <c r="F22" t="s">
        <v>241</v>
      </c>
      <c r="G22" t="s">
        <v>241</v>
      </c>
      <c r="H22" t="s">
        <v>241</v>
      </c>
      <c r="I22" t="s">
        <v>30</v>
      </c>
      <c r="J22" t="s">
        <v>187</v>
      </c>
      <c r="K22" t="s">
        <v>241</v>
      </c>
      <c r="L22" t="s">
        <v>241</v>
      </c>
      <c r="M22" t="s">
        <v>241</v>
      </c>
      <c r="N22" t="s">
        <v>241</v>
      </c>
      <c r="O22" t="s">
        <v>241</v>
      </c>
      <c r="P22" t="s">
        <v>241</v>
      </c>
      <c r="Q22" t="s">
        <v>241</v>
      </c>
      <c r="R22" t="s">
        <v>241</v>
      </c>
      <c r="S22" t="s">
        <v>241</v>
      </c>
      <c r="T22" t="s">
        <v>241</v>
      </c>
      <c r="U22" t="s">
        <v>241</v>
      </c>
      <c r="V22" t="s">
        <v>241</v>
      </c>
      <c r="W22" t="s">
        <v>241</v>
      </c>
      <c r="X22" t="s">
        <v>241</v>
      </c>
    </row>
    <row r="23">
      <c r="A23" t="s">
        <v>241</v>
      </c>
      <c r="B23" t="s">
        <v>241</v>
      </c>
      <c r="C23" t="s">
        <v>241</v>
      </c>
      <c r="D23" t="s">
        <v>241</v>
      </c>
      <c r="E23" t="s">
        <v>241</v>
      </c>
      <c r="F23" t="s">
        <v>241</v>
      </c>
      <c r="G23" t="s">
        <v>30</v>
      </c>
      <c r="H23" t="s">
        <v>188</v>
      </c>
      <c r="I23" t="s">
        <v>241</v>
      </c>
      <c r="J23" t="s">
        <v>241</v>
      </c>
      <c r="K23" t="s">
        <v>241</v>
      </c>
      <c r="L23" t="s">
        <v>241</v>
      </c>
      <c r="M23" t="s">
        <v>241</v>
      </c>
      <c r="N23" t="s">
        <v>241</v>
      </c>
      <c r="O23" t="s">
        <v>241</v>
      </c>
      <c r="P23" t="s">
        <v>241</v>
      </c>
      <c r="Q23" t="s">
        <v>241</v>
      </c>
      <c r="R23" t="s">
        <v>241</v>
      </c>
      <c r="S23" t="s">
        <v>241</v>
      </c>
      <c r="T23" t="s">
        <v>241</v>
      </c>
      <c r="U23" t="s">
        <v>241</v>
      </c>
      <c r="V23" t="s">
        <v>241</v>
      </c>
      <c r="W23" t="s">
        <v>241</v>
      </c>
      <c r="X23" t="s">
        <v>241</v>
      </c>
    </row>
    <row r="24">
      <c r="A24" t="s">
        <v>241</v>
      </c>
      <c r="B24" t="s">
        <v>241</v>
      </c>
      <c r="C24" t="s">
        <v>241</v>
      </c>
      <c r="D24" t="s">
        <v>241</v>
      </c>
      <c r="E24" t="s">
        <v>30</v>
      </c>
      <c r="F24" t="s">
        <v>190</v>
      </c>
      <c r="G24" t="s">
        <v>241</v>
      </c>
      <c r="H24" t="s">
        <v>241</v>
      </c>
      <c r="I24" t="s">
        <v>241</v>
      </c>
      <c r="J24" t="s">
        <v>241</v>
      </c>
      <c r="K24" t="s">
        <v>241</v>
      </c>
      <c r="L24" t="s">
        <v>241</v>
      </c>
      <c r="M24" t="s">
        <v>241</v>
      </c>
      <c r="N24" t="s">
        <v>241</v>
      </c>
      <c r="O24" t="s">
        <v>241</v>
      </c>
      <c r="P24" t="s">
        <v>241</v>
      </c>
      <c r="Q24" t="s">
        <v>241</v>
      </c>
      <c r="R24" t="s">
        <v>241</v>
      </c>
      <c r="S24" t="s">
        <v>241</v>
      </c>
      <c r="T24" t="s">
        <v>241</v>
      </c>
      <c r="U24" t="s">
        <v>241</v>
      </c>
      <c r="V24" t="s">
        <v>241</v>
      </c>
      <c r="W24" t="s">
        <v>241</v>
      </c>
      <c r="X24" t="s">
        <v>241</v>
      </c>
    </row>
    <row r="25">
      <c r="A25" t="s">
        <v>241</v>
      </c>
      <c r="B25" t="s">
        <v>241</v>
      </c>
      <c r="C25" t="s">
        <v>26</v>
      </c>
      <c r="D25" t="s">
        <v>172</v>
      </c>
      <c r="E25" t="s">
        <v>241</v>
      </c>
      <c r="F25" t="s">
        <v>241</v>
      </c>
      <c r="G25" t="s">
        <v>241</v>
      </c>
      <c r="H25" t="s">
        <v>241</v>
      </c>
      <c r="I25" t="s">
        <v>241</v>
      </c>
      <c r="J25" t="s">
        <v>241</v>
      </c>
      <c r="K25" t="s">
        <v>241</v>
      </c>
      <c r="L25" t="s">
        <v>241</v>
      </c>
      <c r="M25" t="s">
        <v>241</v>
      </c>
      <c r="N25" t="s">
        <v>241</v>
      </c>
      <c r="O25" t="s">
        <v>241</v>
      </c>
      <c r="P25" t="s">
        <v>241</v>
      </c>
      <c r="Q25" t="s">
        <v>241</v>
      </c>
      <c r="R25" t="s">
        <v>241</v>
      </c>
      <c r="S25" t="s">
        <v>241</v>
      </c>
      <c r="T25" t="s">
        <v>241</v>
      </c>
      <c r="U25" t="s">
        <v>241</v>
      </c>
      <c r="V25" t="s">
        <v>241</v>
      </c>
      <c r="W25" t="s">
        <v>241</v>
      </c>
      <c r="X25" t="s">
        <v>241</v>
      </c>
    </row>
    <row r="26">
      <c r="A26" t="s">
        <v>17</v>
      </c>
      <c r="B26" t="s">
        <v>107</v>
      </c>
      <c r="C26" t="s">
        <v>241</v>
      </c>
      <c r="D26" t="s">
        <v>241</v>
      </c>
      <c r="E26" t="s">
        <v>241</v>
      </c>
      <c r="F26" t="s">
        <v>241</v>
      </c>
      <c r="G26" t="s">
        <v>241</v>
      </c>
      <c r="H26" t="s">
        <v>241</v>
      </c>
      <c r="I26" t="s">
        <v>241</v>
      </c>
      <c r="J26" t="s">
        <v>241</v>
      </c>
      <c r="K26" t="s">
        <v>241</v>
      </c>
      <c r="L26" t="s">
        <v>241</v>
      </c>
      <c r="M26" t="s">
        <v>241</v>
      </c>
      <c r="N26" t="s">
        <v>241</v>
      </c>
      <c r="O26" t="s">
        <v>241</v>
      </c>
      <c r="P26" t="s">
        <v>241</v>
      </c>
      <c r="Q26" t="s">
        <v>241</v>
      </c>
      <c r="R26" t="s">
        <v>241</v>
      </c>
      <c r="S26" t="s">
        <v>241</v>
      </c>
      <c r="T26" t="s">
        <v>241</v>
      </c>
      <c r="U26" t="s">
        <v>241</v>
      </c>
      <c r="V26" t="s">
        <v>241</v>
      </c>
      <c r="W26" t="s">
        <v>241</v>
      </c>
      <c r="X26" t="s">
        <v>241</v>
      </c>
    </row>
    <row r="27">
      <c r="A27" t="s">
        <v>24</v>
      </c>
      <c r="B27" t="s">
        <v>152</v>
      </c>
      <c r="C27" t="s">
        <v>241</v>
      </c>
      <c r="D27" t="s">
        <v>241</v>
      </c>
      <c r="E27" t="s">
        <v>241</v>
      </c>
      <c r="F27" t="s">
        <v>241</v>
      </c>
      <c r="G27" t="s">
        <v>241</v>
      </c>
      <c r="H27" t="s">
        <v>241</v>
      </c>
      <c r="I27" t="s">
        <v>241</v>
      </c>
      <c r="J27" t="s">
        <v>241</v>
      </c>
      <c r="K27" t="s">
        <v>241</v>
      </c>
      <c r="L27" t="s">
        <v>241</v>
      </c>
      <c r="M27" t="s">
        <v>241</v>
      </c>
      <c r="N27" t="s">
        <v>241</v>
      </c>
      <c r="O27" t="s">
        <v>241</v>
      </c>
      <c r="P27" t="s">
        <v>241</v>
      </c>
      <c r="Q27" t="s">
        <v>241</v>
      </c>
      <c r="R27" t="s">
        <v>241</v>
      </c>
      <c r="S27" t="s">
        <v>241</v>
      </c>
      <c r="T27" t="s">
        <v>241</v>
      </c>
      <c r="U27" t="s">
        <v>241</v>
      </c>
      <c r="V27" t="s">
        <v>241</v>
      </c>
      <c r="W27" t="s">
        <v>241</v>
      </c>
      <c r="X27" t="s">
        <v>241</v>
      </c>
    </row>
    <row r="28">
      <c r="A28" t="s">
        <v>241</v>
      </c>
      <c r="B28" t="s">
        <v>241</v>
      </c>
      <c r="C28" t="s">
        <v>24</v>
      </c>
      <c r="D28" t="s">
        <v>156</v>
      </c>
      <c r="E28" t="s">
        <v>241</v>
      </c>
      <c r="F28" t="s">
        <v>241</v>
      </c>
      <c r="G28" t="s">
        <v>241</v>
      </c>
      <c r="H28" t="s">
        <v>241</v>
      </c>
      <c r="I28" t="s">
        <v>241</v>
      </c>
      <c r="J28" t="s">
        <v>241</v>
      </c>
      <c r="K28" t="s">
        <v>241</v>
      </c>
      <c r="L28" t="s">
        <v>241</v>
      </c>
      <c r="M28" t="s">
        <v>241</v>
      </c>
      <c r="N28" t="s">
        <v>241</v>
      </c>
      <c r="O28" t="s">
        <v>241</v>
      </c>
      <c r="P28" t="s">
        <v>241</v>
      </c>
      <c r="Q28" t="s">
        <v>241</v>
      </c>
      <c r="R28" t="s">
        <v>241</v>
      </c>
      <c r="S28" t="s">
        <v>241</v>
      </c>
      <c r="T28" t="s">
        <v>241</v>
      </c>
      <c r="U28" t="s">
        <v>241</v>
      </c>
      <c r="V28" t="s">
        <v>241</v>
      </c>
      <c r="W28" t="s">
        <v>241</v>
      </c>
      <c r="X28" t="s">
        <v>241</v>
      </c>
    </row>
    <row r="29">
      <c r="A29" t="s">
        <v>241</v>
      </c>
      <c r="B29" t="s">
        <v>241</v>
      </c>
      <c r="C29" t="s">
        <v>241</v>
      </c>
      <c r="D29" t="s">
        <v>241</v>
      </c>
      <c r="E29" t="s">
        <v>24</v>
      </c>
      <c r="F29" t="s">
        <v>159</v>
      </c>
      <c r="G29" t="s">
        <v>241</v>
      </c>
      <c r="H29" t="s">
        <v>241</v>
      </c>
      <c r="I29" t="s">
        <v>241</v>
      </c>
      <c r="J29" t="s">
        <v>241</v>
      </c>
      <c r="K29" t="s">
        <v>241</v>
      </c>
      <c r="L29" t="s">
        <v>241</v>
      </c>
      <c r="M29" t="s">
        <v>241</v>
      </c>
      <c r="N29" t="s">
        <v>241</v>
      </c>
      <c r="O29" t="s">
        <v>241</v>
      </c>
      <c r="P29" t="s">
        <v>241</v>
      </c>
      <c r="Q29" t="s">
        <v>241</v>
      </c>
      <c r="R29" t="s">
        <v>241</v>
      </c>
      <c r="S29" t="s">
        <v>241</v>
      </c>
      <c r="T29" t="s">
        <v>241</v>
      </c>
      <c r="U29" t="s">
        <v>241</v>
      </c>
      <c r="V29" t="s">
        <v>241</v>
      </c>
      <c r="W29" t="s">
        <v>241</v>
      </c>
      <c r="X29" t="s">
        <v>241</v>
      </c>
    </row>
    <row r="30">
      <c r="A30" t="s">
        <v>241</v>
      </c>
      <c r="B30" t="s">
        <v>241</v>
      </c>
      <c r="C30" t="s">
        <v>241</v>
      </c>
      <c r="D30" t="s">
        <v>241</v>
      </c>
      <c r="E30" t="s">
        <v>241</v>
      </c>
      <c r="F30" t="s">
        <v>241</v>
      </c>
      <c r="G30" t="s">
        <v>22</v>
      </c>
      <c r="H30" t="s">
        <v>145</v>
      </c>
      <c r="I30" t="s">
        <v>241</v>
      </c>
      <c r="J30" t="s">
        <v>241</v>
      </c>
      <c r="K30" t="s">
        <v>241</v>
      </c>
      <c r="L30" t="s">
        <v>241</v>
      </c>
      <c r="M30" t="s">
        <v>241</v>
      </c>
      <c r="N30" t="s">
        <v>241</v>
      </c>
      <c r="O30" t="s">
        <v>241</v>
      </c>
      <c r="P30" t="s">
        <v>241</v>
      </c>
      <c r="Q30" t="s">
        <v>241</v>
      </c>
      <c r="R30" t="s">
        <v>241</v>
      </c>
      <c r="S30" t="s">
        <v>241</v>
      </c>
      <c r="T30" t="s">
        <v>241</v>
      </c>
      <c r="U30" t="s">
        <v>241</v>
      </c>
      <c r="V30" t="s">
        <v>241</v>
      </c>
      <c r="W30" t="s">
        <v>241</v>
      </c>
      <c r="X30" t="s">
        <v>241</v>
      </c>
    </row>
    <row r="31">
      <c r="A31" t="s">
        <v>241</v>
      </c>
      <c r="B31" t="s">
        <v>241</v>
      </c>
      <c r="C31" t="s">
        <v>241</v>
      </c>
      <c r="D31" t="s">
        <v>241</v>
      </c>
      <c r="E31" t="s">
        <v>241</v>
      </c>
      <c r="F31" t="s">
        <v>241</v>
      </c>
      <c r="G31" t="s">
        <v>241</v>
      </c>
      <c r="H31" t="s">
        <v>241</v>
      </c>
      <c r="I31" t="s">
        <v>11</v>
      </c>
      <c r="J31" t="s">
        <v>33</v>
      </c>
      <c r="K31" t="s">
        <v>241</v>
      </c>
      <c r="L31" t="s">
        <v>241</v>
      </c>
      <c r="M31" t="s">
        <v>241</v>
      </c>
      <c r="N31" t="s">
        <v>241</v>
      </c>
      <c r="O31" t="s">
        <v>241</v>
      </c>
      <c r="P31" t="s">
        <v>241</v>
      </c>
      <c r="Q31" t="s">
        <v>241</v>
      </c>
      <c r="R31" t="s">
        <v>241</v>
      </c>
      <c r="S31" t="s">
        <v>241</v>
      </c>
      <c r="T31" t="s">
        <v>241</v>
      </c>
      <c r="U31" t="s">
        <v>241</v>
      </c>
      <c r="V31" t="s">
        <v>241</v>
      </c>
      <c r="W31" t="s">
        <v>241</v>
      </c>
      <c r="X31" t="s">
        <v>241</v>
      </c>
    </row>
    <row r="32">
      <c r="A32" t="s">
        <v>241</v>
      </c>
      <c r="B32" t="s">
        <v>241</v>
      </c>
      <c r="C32" t="s">
        <v>241</v>
      </c>
      <c r="D32" t="s">
        <v>241</v>
      </c>
      <c r="E32" t="s">
        <v>241</v>
      </c>
      <c r="F32" t="s">
        <v>241</v>
      </c>
      <c r="G32" t="s">
        <v>241</v>
      </c>
      <c r="H32" t="s">
        <v>241</v>
      </c>
      <c r="I32" t="s">
        <v>241</v>
      </c>
      <c r="J32" t="s">
        <v>241</v>
      </c>
      <c r="K32" t="s">
        <v>30</v>
      </c>
      <c r="L32" t="s">
        <v>191</v>
      </c>
      <c r="M32" t="s">
        <v>241</v>
      </c>
      <c r="N32" t="s">
        <v>241</v>
      </c>
      <c r="O32" t="s">
        <v>241</v>
      </c>
      <c r="P32" t="s">
        <v>241</v>
      </c>
      <c r="Q32" t="s">
        <v>241</v>
      </c>
      <c r="R32" t="s">
        <v>241</v>
      </c>
      <c r="S32" t="s">
        <v>241</v>
      </c>
      <c r="T32" t="s">
        <v>241</v>
      </c>
      <c r="U32" t="s">
        <v>241</v>
      </c>
      <c r="V32" t="s">
        <v>241</v>
      </c>
      <c r="W32" t="s">
        <v>241</v>
      </c>
      <c r="X32" t="s">
        <v>241</v>
      </c>
    </row>
    <row r="33">
      <c r="A33" t="s">
        <v>241</v>
      </c>
      <c r="B33" t="s">
        <v>241</v>
      </c>
      <c r="C33" t="s">
        <v>241</v>
      </c>
      <c r="D33" t="s">
        <v>241</v>
      </c>
      <c r="E33" t="s">
        <v>241</v>
      </c>
      <c r="F33" t="s">
        <v>241</v>
      </c>
      <c r="G33" t="s">
        <v>241</v>
      </c>
      <c r="H33" t="s">
        <v>241</v>
      </c>
      <c r="I33" t="s">
        <v>241</v>
      </c>
      <c r="J33" t="s">
        <v>241</v>
      </c>
      <c r="K33" t="s">
        <v>241</v>
      </c>
      <c r="L33" t="s">
        <v>241</v>
      </c>
      <c r="M33" t="s">
        <v>11</v>
      </c>
      <c r="N33" t="s">
        <v>45</v>
      </c>
      <c r="O33" t="s">
        <v>241</v>
      </c>
      <c r="P33" t="s">
        <v>241</v>
      </c>
      <c r="Q33" t="s">
        <v>241</v>
      </c>
      <c r="R33" t="s">
        <v>241</v>
      </c>
      <c r="S33" t="s">
        <v>241</v>
      </c>
      <c r="T33" t="s">
        <v>241</v>
      </c>
      <c r="U33" t="s">
        <v>241</v>
      </c>
      <c r="V33" t="s">
        <v>241</v>
      </c>
      <c r="W33" t="s">
        <v>241</v>
      </c>
      <c r="X33" t="s">
        <v>241</v>
      </c>
    </row>
    <row r="34">
      <c r="A34" t="s">
        <v>241</v>
      </c>
      <c r="B34" t="s">
        <v>241</v>
      </c>
      <c r="C34" t="s">
        <v>241</v>
      </c>
      <c r="D34" t="s">
        <v>241</v>
      </c>
      <c r="E34" t="s">
        <v>241</v>
      </c>
      <c r="F34" t="s">
        <v>241</v>
      </c>
      <c r="G34" t="s">
        <v>241</v>
      </c>
      <c r="H34" t="s">
        <v>241</v>
      </c>
      <c r="I34" t="s">
        <v>241</v>
      </c>
      <c r="J34" t="s">
        <v>241</v>
      </c>
      <c r="K34" t="s">
        <v>241</v>
      </c>
      <c r="L34" t="s">
        <v>241</v>
      </c>
      <c r="M34" t="s">
        <v>241</v>
      </c>
      <c r="N34" t="s">
        <v>241</v>
      </c>
      <c r="O34" t="s">
        <v>24</v>
      </c>
      <c r="P34" t="s">
        <v>149</v>
      </c>
      <c r="Q34" t="s">
        <v>241</v>
      </c>
      <c r="R34" t="s">
        <v>241</v>
      </c>
      <c r="S34" t="s">
        <v>241</v>
      </c>
      <c r="T34" t="s">
        <v>241</v>
      </c>
      <c r="U34" t="s">
        <v>241</v>
      </c>
      <c r="V34" t="s">
        <v>241</v>
      </c>
      <c r="W34" t="s">
        <v>241</v>
      </c>
      <c r="X34" t="s">
        <v>241</v>
      </c>
    </row>
    <row r="35">
      <c r="A35" t="s">
        <v>241</v>
      </c>
      <c r="B35" t="s">
        <v>241</v>
      </c>
      <c r="C35" t="s">
        <v>241</v>
      </c>
      <c r="D35" t="s">
        <v>241</v>
      </c>
      <c r="E35" t="s">
        <v>241</v>
      </c>
      <c r="F35" t="s">
        <v>241</v>
      </c>
      <c r="G35" t="s">
        <v>241</v>
      </c>
      <c r="H35" t="s">
        <v>241</v>
      </c>
      <c r="I35" t="s">
        <v>241</v>
      </c>
      <c r="J35" t="s">
        <v>241</v>
      </c>
      <c r="K35" t="s">
        <v>241</v>
      </c>
      <c r="L35" t="s">
        <v>241</v>
      </c>
      <c r="M35" t="s">
        <v>241</v>
      </c>
      <c r="N35" t="s">
        <v>241</v>
      </c>
      <c r="O35" t="s">
        <v>241</v>
      </c>
      <c r="P35" t="s">
        <v>241</v>
      </c>
      <c r="Q35" t="s">
        <v>11</v>
      </c>
      <c r="R35" t="s">
        <v>5</v>
      </c>
      <c r="S35" t="s">
        <v>241</v>
      </c>
      <c r="T35" t="s">
        <v>241</v>
      </c>
      <c r="U35" t="s">
        <v>241</v>
      </c>
      <c r="V35" t="s">
        <v>241</v>
      </c>
      <c r="W35" t="s">
        <v>241</v>
      </c>
      <c r="X35" t="s">
        <v>241</v>
      </c>
    </row>
    <row r="36">
      <c r="A36" t="s">
        <v>241</v>
      </c>
      <c r="B36" t="s">
        <v>241</v>
      </c>
      <c r="C36" t="s">
        <v>241</v>
      </c>
      <c r="D36" t="s">
        <v>241</v>
      </c>
      <c r="E36" t="s">
        <v>241</v>
      </c>
      <c r="F36" t="s">
        <v>241</v>
      </c>
      <c r="G36" t="s">
        <v>241</v>
      </c>
      <c r="H36" t="s">
        <v>241</v>
      </c>
      <c r="I36" t="s">
        <v>241</v>
      </c>
      <c r="J36" t="s">
        <v>241</v>
      </c>
      <c r="K36" t="s">
        <v>241</v>
      </c>
      <c r="L36" t="s">
        <v>241</v>
      </c>
      <c r="M36" t="s">
        <v>241</v>
      </c>
      <c r="N36" t="s">
        <v>241</v>
      </c>
      <c r="O36" t="s">
        <v>241</v>
      </c>
      <c r="P36" t="s">
        <v>241</v>
      </c>
      <c r="Q36" t="s">
        <v>241</v>
      </c>
      <c r="R36" t="s">
        <v>241</v>
      </c>
      <c r="S36" t="s">
        <v>24</v>
      </c>
      <c r="T36" t="s">
        <v>154</v>
      </c>
      <c r="U36" t="s">
        <v>241</v>
      </c>
      <c r="V36" t="s">
        <v>241</v>
      </c>
      <c r="W36" t="s">
        <v>241</v>
      </c>
      <c r="X36" t="s">
        <v>241</v>
      </c>
    </row>
    <row r="37">
      <c r="A37" t="s">
        <v>241</v>
      </c>
      <c r="B37" t="s">
        <v>241</v>
      </c>
      <c r="C37" t="s">
        <v>241</v>
      </c>
      <c r="D37" t="s">
        <v>241</v>
      </c>
      <c r="E37" t="s">
        <v>241</v>
      </c>
      <c r="F37" t="s">
        <v>241</v>
      </c>
      <c r="G37" t="s">
        <v>241</v>
      </c>
      <c r="H37" t="s">
        <v>241</v>
      </c>
      <c r="I37" t="s">
        <v>241</v>
      </c>
      <c r="J37" t="s">
        <v>241</v>
      </c>
      <c r="K37" t="s">
        <v>241</v>
      </c>
      <c r="L37" t="s">
        <v>241</v>
      </c>
      <c r="M37" t="s">
        <v>241</v>
      </c>
      <c r="N37" t="s">
        <v>241</v>
      </c>
      <c r="O37" t="s">
        <v>241</v>
      </c>
      <c r="P37" t="s">
        <v>241</v>
      </c>
      <c r="Q37" t="s">
        <v>241</v>
      </c>
      <c r="R37" t="s">
        <v>241</v>
      </c>
      <c r="S37" t="s">
        <v>241</v>
      </c>
      <c r="T37" t="s">
        <v>241</v>
      </c>
      <c r="U37" t="s">
        <v>15</v>
      </c>
      <c r="V37" t="s">
        <v>87</v>
      </c>
      <c r="W37" t="s">
        <v>241</v>
      </c>
      <c r="X37" t="s">
        <v>241</v>
      </c>
    </row>
    <row r="38">
      <c r="A38" t="s">
        <v>241</v>
      </c>
      <c r="B38" t="s">
        <v>241</v>
      </c>
      <c r="C38" t="s">
        <v>241</v>
      </c>
      <c r="D38" t="s">
        <v>241</v>
      </c>
      <c r="E38" t="s">
        <v>241</v>
      </c>
      <c r="F38" t="s">
        <v>241</v>
      </c>
      <c r="G38" t="s">
        <v>241</v>
      </c>
      <c r="H38" t="s">
        <v>241</v>
      </c>
      <c r="I38" t="s">
        <v>241</v>
      </c>
      <c r="J38" t="s">
        <v>241</v>
      </c>
      <c r="K38" t="s">
        <v>241</v>
      </c>
      <c r="L38" t="s">
        <v>241</v>
      </c>
      <c r="M38" t="s">
        <v>241</v>
      </c>
      <c r="N38" t="s">
        <v>241</v>
      </c>
      <c r="O38" t="s">
        <v>241</v>
      </c>
      <c r="P38" t="s">
        <v>241</v>
      </c>
      <c r="Q38" t="s">
        <v>241</v>
      </c>
      <c r="R38" t="s">
        <v>241</v>
      </c>
      <c r="S38" t="s">
        <v>241</v>
      </c>
      <c r="T38" t="s">
        <v>241</v>
      </c>
      <c r="U38" t="s">
        <v>241</v>
      </c>
      <c r="V38" t="s">
        <v>241</v>
      </c>
      <c r="W38" t="s">
        <v>20</v>
      </c>
      <c r="X38" t="s">
        <v>124</v>
      </c>
    </row>
    <row r="39">
      <c r="A39" t="s">
        <v>241</v>
      </c>
      <c r="B39" t="s">
        <v>241</v>
      </c>
      <c r="C39" t="s">
        <v>241</v>
      </c>
      <c r="D39" t="s">
        <v>241</v>
      </c>
      <c r="E39" t="s">
        <v>241</v>
      </c>
      <c r="F39" t="s">
        <v>241</v>
      </c>
      <c r="G39" t="s">
        <v>241</v>
      </c>
      <c r="H39" t="s">
        <v>241</v>
      </c>
      <c r="I39" t="s">
        <v>241</v>
      </c>
      <c r="J39" t="s">
        <v>241</v>
      </c>
      <c r="K39" t="s">
        <v>241</v>
      </c>
      <c r="L39" t="s">
        <v>241</v>
      </c>
      <c r="M39" t="s">
        <v>241</v>
      </c>
      <c r="N39" t="s">
        <v>241</v>
      </c>
      <c r="O39" t="s">
        <v>241</v>
      </c>
      <c r="P39" t="s">
        <v>241</v>
      </c>
      <c r="Q39" t="s">
        <v>241</v>
      </c>
      <c r="R39" t="s">
        <v>241</v>
      </c>
      <c r="S39" t="s">
        <v>241</v>
      </c>
      <c r="T39" t="s">
        <v>241</v>
      </c>
      <c r="U39" t="s">
        <v>241</v>
      </c>
      <c r="V39" t="s">
        <v>241</v>
      </c>
      <c r="W39" t="s">
        <v>24</v>
      </c>
      <c r="X39" t="s">
        <v>160</v>
      </c>
    </row>
    <row r="40">
      <c r="A40" t="s">
        <v>241</v>
      </c>
      <c r="B40" t="s">
        <v>241</v>
      </c>
      <c r="C40" t="s">
        <v>241</v>
      </c>
      <c r="D40" t="s">
        <v>241</v>
      </c>
      <c r="E40" t="s">
        <v>241</v>
      </c>
      <c r="F40" t="s">
        <v>241</v>
      </c>
      <c r="G40" t="s">
        <v>241</v>
      </c>
      <c r="H40" t="s">
        <v>241</v>
      </c>
      <c r="I40" t="s">
        <v>241</v>
      </c>
      <c r="J40" t="s">
        <v>241</v>
      </c>
      <c r="K40" t="s">
        <v>241</v>
      </c>
      <c r="L40" t="s">
        <v>241</v>
      </c>
      <c r="M40" t="s">
        <v>241</v>
      </c>
      <c r="N40" t="s">
        <v>241</v>
      </c>
      <c r="O40" t="s">
        <v>241</v>
      </c>
      <c r="P40" t="s">
        <v>241</v>
      </c>
      <c r="Q40" t="s">
        <v>241</v>
      </c>
      <c r="R40" t="s">
        <v>241</v>
      </c>
      <c r="S40" t="s">
        <v>241</v>
      </c>
      <c r="T40" t="s">
        <v>241</v>
      </c>
      <c r="U40" t="s">
        <v>22</v>
      </c>
      <c r="V40" t="s">
        <v>142</v>
      </c>
      <c r="W40" t="s">
        <v>241</v>
      </c>
      <c r="X40" t="s">
        <v>241</v>
      </c>
    </row>
    <row r="41">
      <c r="A41" t="s">
        <v>241</v>
      </c>
      <c r="B41" t="s">
        <v>241</v>
      </c>
      <c r="C41" t="s">
        <v>241</v>
      </c>
      <c r="D41" t="s">
        <v>241</v>
      </c>
      <c r="E41" t="s">
        <v>241</v>
      </c>
      <c r="F41" t="s">
        <v>241</v>
      </c>
      <c r="G41" t="s">
        <v>241</v>
      </c>
      <c r="H41" t="s">
        <v>241</v>
      </c>
      <c r="I41" t="s">
        <v>241</v>
      </c>
      <c r="J41" t="s">
        <v>241</v>
      </c>
      <c r="K41" t="s">
        <v>241</v>
      </c>
      <c r="L41" t="s">
        <v>241</v>
      </c>
      <c r="M41" t="s">
        <v>241</v>
      </c>
      <c r="N41" t="s">
        <v>241</v>
      </c>
      <c r="O41" t="s">
        <v>241</v>
      </c>
      <c r="P41" t="s">
        <v>241</v>
      </c>
      <c r="Q41" t="s">
        <v>241</v>
      </c>
      <c r="R41" t="s">
        <v>241</v>
      </c>
      <c r="S41" t="s">
        <v>11</v>
      </c>
      <c r="T41" t="s">
        <v>49</v>
      </c>
      <c r="U41" t="s">
        <v>241</v>
      </c>
      <c r="V41" t="s">
        <v>241</v>
      </c>
      <c r="W41" t="s">
        <v>241</v>
      </c>
      <c r="X41" t="s">
        <v>241</v>
      </c>
    </row>
    <row r="42">
      <c r="A42" t="s">
        <v>241</v>
      </c>
      <c r="B42" t="s">
        <v>241</v>
      </c>
      <c r="C42" t="s">
        <v>241</v>
      </c>
      <c r="D42" t="s">
        <v>241</v>
      </c>
      <c r="E42" t="s">
        <v>241</v>
      </c>
      <c r="F42" t="s">
        <v>241</v>
      </c>
      <c r="G42" t="s">
        <v>241</v>
      </c>
      <c r="H42" t="s">
        <v>241</v>
      </c>
      <c r="I42" t="s">
        <v>241</v>
      </c>
      <c r="J42" t="s">
        <v>241</v>
      </c>
      <c r="K42" t="s">
        <v>241</v>
      </c>
      <c r="L42" t="s">
        <v>241</v>
      </c>
      <c r="M42" t="s">
        <v>241</v>
      </c>
      <c r="N42" t="s">
        <v>241</v>
      </c>
      <c r="O42" t="s">
        <v>241</v>
      </c>
      <c r="P42" t="s">
        <v>241</v>
      </c>
      <c r="Q42" t="s">
        <v>24</v>
      </c>
      <c r="R42" t="s">
        <v>153</v>
      </c>
      <c r="S42" t="s">
        <v>241</v>
      </c>
      <c r="T42" t="s">
        <v>241</v>
      </c>
      <c r="U42" t="s">
        <v>241</v>
      </c>
      <c r="V42" t="s">
        <v>241</v>
      </c>
      <c r="W42" t="s">
        <v>241</v>
      </c>
      <c r="X42" t="s">
        <v>241</v>
      </c>
    </row>
    <row r="43">
      <c r="A43" t="s">
        <v>241</v>
      </c>
      <c r="B43" t="s">
        <v>241</v>
      </c>
      <c r="C43" t="s">
        <v>241</v>
      </c>
      <c r="D43" t="s">
        <v>241</v>
      </c>
      <c r="E43" t="s">
        <v>241</v>
      </c>
      <c r="F43" t="s">
        <v>241</v>
      </c>
      <c r="G43" t="s">
        <v>241</v>
      </c>
      <c r="H43" t="s">
        <v>241</v>
      </c>
      <c r="I43" t="s">
        <v>241</v>
      </c>
      <c r="J43" t="s">
        <v>241</v>
      </c>
      <c r="K43" t="s">
        <v>241</v>
      </c>
      <c r="L43" t="s">
        <v>241</v>
      </c>
      <c r="M43" t="s">
        <v>241</v>
      </c>
      <c r="N43" t="s">
        <v>241</v>
      </c>
      <c r="O43" t="s">
        <v>20</v>
      </c>
      <c r="P43" t="s">
        <v>123</v>
      </c>
      <c r="Q43" t="s">
        <v>241</v>
      </c>
      <c r="R43" t="s">
        <v>241</v>
      </c>
      <c r="S43" t="s">
        <v>241</v>
      </c>
      <c r="T43" t="s">
        <v>241</v>
      </c>
      <c r="U43" t="s">
        <v>241</v>
      </c>
      <c r="V43" t="s">
        <v>241</v>
      </c>
      <c r="W43" t="s">
        <v>241</v>
      </c>
      <c r="X43" t="s">
        <v>241</v>
      </c>
    </row>
    <row r="44">
      <c r="A44" t="s">
        <v>241</v>
      </c>
      <c r="B44" t="s">
        <v>241</v>
      </c>
      <c r="C44" t="s">
        <v>241</v>
      </c>
      <c r="D44" t="s">
        <v>241</v>
      </c>
      <c r="E44" t="s">
        <v>241</v>
      </c>
      <c r="F44" t="s">
        <v>241</v>
      </c>
      <c r="G44" t="s">
        <v>241</v>
      </c>
      <c r="H44" t="s">
        <v>241</v>
      </c>
      <c r="I44" t="s">
        <v>241</v>
      </c>
      <c r="J44" t="s">
        <v>241</v>
      </c>
      <c r="K44" t="s">
        <v>241</v>
      </c>
      <c r="L44" t="s">
        <v>241</v>
      </c>
      <c r="M44" t="s">
        <v>22</v>
      </c>
      <c r="N44" t="s">
        <v>140</v>
      </c>
      <c r="O44" t="s">
        <v>241</v>
      </c>
      <c r="P44" t="s">
        <v>241</v>
      </c>
      <c r="Q44" t="s">
        <v>241</v>
      </c>
      <c r="R44" t="s">
        <v>241</v>
      </c>
      <c r="S44" t="s">
        <v>241</v>
      </c>
      <c r="T44" t="s">
        <v>241</v>
      </c>
      <c r="U44" t="s">
        <v>241</v>
      </c>
      <c r="V44" t="s">
        <v>241</v>
      </c>
      <c r="W44" t="s">
        <v>241</v>
      </c>
      <c r="X44" t="s">
        <v>241</v>
      </c>
    </row>
    <row r="45">
      <c r="A45" t="s">
        <v>241</v>
      </c>
      <c r="B45" t="s">
        <v>241</v>
      </c>
      <c r="C45" t="s">
        <v>241</v>
      </c>
      <c r="D45" t="s">
        <v>241</v>
      </c>
      <c r="E45" t="s">
        <v>241</v>
      </c>
      <c r="F45" t="s">
        <v>241</v>
      </c>
      <c r="G45" t="s">
        <v>241</v>
      </c>
      <c r="H45" t="s">
        <v>241</v>
      </c>
      <c r="I45" t="s">
        <v>241</v>
      </c>
      <c r="J45" t="s">
        <v>241</v>
      </c>
      <c r="K45" t="s">
        <v>11</v>
      </c>
      <c r="L45" t="s">
        <v>42</v>
      </c>
      <c r="M45" t="s">
        <v>241</v>
      </c>
      <c r="N45" t="s">
        <v>241</v>
      </c>
      <c r="O45" t="s">
        <v>241</v>
      </c>
      <c r="P45" t="s">
        <v>241</v>
      </c>
      <c r="Q45" t="s">
        <v>241</v>
      </c>
      <c r="R45" t="s">
        <v>241</v>
      </c>
      <c r="S45" t="s">
        <v>241</v>
      </c>
      <c r="T45" t="s">
        <v>241</v>
      </c>
      <c r="U45" t="s">
        <v>241</v>
      </c>
      <c r="V45" t="s">
        <v>241</v>
      </c>
      <c r="W45" t="s">
        <v>241</v>
      </c>
      <c r="X45" t="s">
        <v>241</v>
      </c>
    </row>
    <row r="46">
      <c r="A46" t="s">
        <v>241</v>
      </c>
      <c r="B46" t="s">
        <v>241</v>
      </c>
      <c r="C46" t="s">
        <v>241</v>
      </c>
      <c r="D46" t="s">
        <v>241</v>
      </c>
      <c r="E46" t="s">
        <v>241</v>
      </c>
      <c r="F46" t="s">
        <v>241</v>
      </c>
      <c r="G46" t="s">
        <v>241</v>
      </c>
      <c r="H46" t="s">
        <v>241</v>
      </c>
      <c r="I46" t="s">
        <v>22</v>
      </c>
      <c r="J46" t="s">
        <v>144</v>
      </c>
      <c r="K46" t="s">
        <v>241</v>
      </c>
      <c r="L46" t="s">
        <v>241</v>
      </c>
      <c r="M46" t="s">
        <v>241</v>
      </c>
      <c r="N46" t="s">
        <v>241</v>
      </c>
      <c r="O46" t="s">
        <v>241</v>
      </c>
      <c r="P46" t="s">
        <v>241</v>
      </c>
      <c r="Q46" t="s">
        <v>241</v>
      </c>
      <c r="R46" t="s">
        <v>241</v>
      </c>
      <c r="S46" t="s">
        <v>241</v>
      </c>
      <c r="T46" t="s">
        <v>241</v>
      </c>
      <c r="U46" t="s">
        <v>241</v>
      </c>
      <c r="V46" t="s">
        <v>241</v>
      </c>
      <c r="W46" t="s">
        <v>241</v>
      </c>
      <c r="X46" t="s">
        <v>241</v>
      </c>
    </row>
    <row r="47">
      <c r="A47" t="s">
        <v>241</v>
      </c>
      <c r="B47" t="s">
        <v>241</v>
      </c>
      <c r="C47" t="s">
        <v>241</v>
      </c>
      <c r="D47" t="s">
        <v>241</v>
      </c>
      <c r="E47" t="s">
        <v>241</v>
      </c>
      <c r="F47" t="s">
        <v>241</v>
      </c>
      <c r="G47" t="s">
        <v>11</v>
      </c>
      <c r="H47" t="s">
        <v>37</v>
      </c>
      <c r="I47" t="s">
        <v>241</v>
      </c>
      <c r="J47" t="s">
        <v>241</v>
      </c>
      <c r="K47" t="s">
        <v>241</v>
      </c>
      <c r="L47" t="s">
        <v>241</v>
      </c>
      <c r="M47" t="s">
        <v>241</v>
      </c>
      <c r="N47" t="s">
        <v>241</v>
      </c>
      <c r="O47" t="s">
        <v>241</v>
      </c>
      <c r="P47" t="s">
        <v>241</v>
      </c>
      <c r="Q47" t="s">
        <v>241</v>
      </c>
      <c r="R47" t="s">
        <v>241</v>
      </c>
      <c r="S47" t="s">
        <v>241</v>
      </c>
      <c r="T47" t="s">
        <v>241</v>
      </c>
      <c r="U47" t="s">
        <v>241</v>
      </c>
      <c r="V47" t="s">
        <v>241</v>
      </c>
      <c r="W47" t="s">
        <v>241</v>
      </c>
      <c r="X47" t="s">
        <v>241</v>
      </c>
    </row>
    <row r="48">
      <c r="A48" t="s">
        <v>241</v>
      </c>
      <c r="B48" t="s">
        <v>241</v>
      </c>
      <c r="C48" t="s">
        <v>241</v>
      </c>
      <c r="D48" t="s">
        <v>241</v>
      </c>
      <c r="E48" t="s">
        <v>11</v>
      </c>
      <c r="F48" t="s">
        <v>52</v>
      </c>
      <c r="G48" t="s">
        <v>241</v>
      </c>
      <c r="H48" t="s">
        <v>241</v>
      </c>
      <c r="I48" t="s">
        <v>241</v>
      </c>
      <c r="J48" t="s">
        <v>241</v>
      </c>
      <c r="K48" t="s">
        <v>241</v>
      </c>
      <c r="L48" t="s">
        <v>241</v>
      </c>
      <c r="M48" t="s">
        <v>241</v>
      </c>
      <c r="N48" t="s">
        <v>241</v>
      </c>
      <c r="O48" t="s">
        <v>241</v>
      </c>
      <c r="P48" t="s">
        <v>241</v>
      </c>
      <c r="Q48" t="s">
        <v>241</v>
      </c>
      <c r="R48" t="s">
        <v>241</v>
      </c>
      <c r="S48" t="s">
        <v>241</v>
      </c>
      <c r="T48" t="s">
        <v>241</v>
      </c>
      <c r="U48" t="s">
        <v>241</v>
      </c>
      <c r="V48" t="s">
        <v>241</v>
      </c>
      <c r="W48" t="s">
        <v>241</v>
      </c>
      <c r="X48" t="s">
        <v>241</v>
      </c>
    </row>
    <row r="49">
      <c r="A49" t="s">
        <v>241</v>
      </c>
      <c r="B49" t="s">
        <v>241</v>
      </c>
      <c r="C49" t="s">
        <v>17</v>
      </c>
      <c r="D49" t="s">
        <v>97</v>
      </c>
      <c r="E49" t="s">
        <v>241</v>
      </c>
      <c r="F49" t="s">
        <v>241</v>
      </c>
      <c r="G49" t="s">
        <v>241</v>
      </c>
      <c r="H49" t="s">
        <v>241</v>
      </c>
      <c r="I49" t="s">
        <v>241</v>
      </c>
      <c r="J49" t="s">
        <v>241</v>
      </c>
      <c r="K49" t="s">
        <v>241</v>
      </c>
      <c r="L49" t="s">
        <v>241</v>
      </c>
      <c r="M49" t="s">
        <v>241</v>
      </c>
      <c r="N49" t="s">
        <v>241</v>
      </c>
      <c r="O49" t="s">
        <v>241</v>
      </c>
      <c r="P49" t="s">
        <v>241</v>
      </c>
      <c r="Q49" t="s">
        <v>241</v>
      </c>
      <c r="R49" t="s">
        <v>241</v>
      </c>
      <c r="S49" t="s">
        <v>241</v>
      </c>
      <c r="T49" t="s">
        <v>241</v>
      </c>
      <c r="U49" t="s">
        <v>241</v>
      </c>
      <c r="V49" t="s">
        <v>241</v>
      </c>
      <c r="W49" t="s">
        <v>241</v>
      </c>
      <c r="X49" t="s">
        <v>241</v>
      </c>
    </row>
    <row r="50">
      <c r="A50" t="s">
        <v>15</v>
      </c>
      <c r="B50" t="s">
        <v>94</v>
      </c>
      <c r="C50" t="s">
        <v>241</v>
      </c>
      <c r="D50" t="s">
        <v>241</v>
      </c>
      <c r="E50" t="s">
        <v>241</v>
      </c>
      <c r="F50" t="s">
        <v>241</v>
      </c>
      <c r="G50" t="s">
        <v>241</v>
      </c>
      <c r="H50" t="s">
        <v>241</v>
      </c>
      <c r="I50" t="s">
        <v>241</v>
      </c>
      <c r="J50" t="s">
        <v>241</v>
      </c>
      <c r="K50" t="s">
        <v>241</v>
      </c>
      <c r="L50" t="s">
        <v>241</v>
      </c>
      <c r="M50" t="s">
        <v>241</v>
      </c>
      <c r="N50" t="s">
        <v>241</v>
      </c>
      <c r="O50" t="s">
        <v>241</v>
      </c>
      <c r="P50" t="s">
        <v>241</v>
      </c>
      <c r="Q50" t="s">
        <v>241</v>
      </c>
      <c r="R50" t="s">
        <v>241</v>
      </c>
      <c r="S50" t="s">
        <v>241</v>
      </c>
      <c r="T50" t="s">
        <v>241</v>
      </c>
      <c r="U50" t="s">
        <v>241</v>
      </c>
      <c r="V50" t="s">
        <v>241</v>
      </c>
      <c r="W50" t="s">
        <v>241</v>
      </c>
      <c r="X50" t="s">
        <v>241</v>
      </c>
    </row>
    <row r="51">
      <c r="A51" t="s">
        <v>19</v>
      </c>
      <c r="B51" t="s">
        <v>116</v>
      </c>
      <c r="C51" t="s">
        <v>241</v>
      </c>
      <c r="D51" t="s">
        <v>241</v>
      </c>
      <c r="E51" t="s">
        <v>241</v>
      </c>
      <c r="F51" t="s">
        <v>241</v>
      </c>
      <c r="G51" t="s">
        <v>241</v>
      </c>
      <c r="H51" t="s">
        <v>241</v>
      </c>
      <c r="I51" t="s">
        <v>241</v>
      </c>
      <c r="J51" t="s">
        <v>241</v>
      </c>
      <c r="K51" t="s">
        <v>241</v>
      </c>
      <c r="L51" t="s">
        <v>241</v>
      </c>
      <c r="M51" t="s">
        <v>241</v>
      </c>
      <c r="N51" t="s">
        <v>241</v>
      </c>
      <c r="O51" t="s">
        <v>241</v>
      </c>
      <c r="P51" t="s">
        <v>241</v>
      </c>
      <c r="Q51" t="s">
        <v>241</v>
      </c>
      <c r="R51" t="s">
        <v>241</v>
      </c>
      <c r="S51" t="s">
        <v>241</v>
      </c>
      <c r="T51" t="s">
        <v>241</v>
      </c>
      <c r="U51" t="s">
        <v>241</v>
      </c>
      <c r="V51" t="s">
        <v>241</v>
      </c>
      <c r="W51" t="s">
        <v>241</v>
      </c>
      <c r="X51" t="s">
        <v>241</v>
      </c>
    </row>
    <row r="52">
      <c r="A52" t="s">
        <v>241</v>
      </c>
      <c r="B52" t="s">
        <v>241</v>
      </c>
      <c r="C52" t="s">
        <v>28</v>
      </c>
      <c r="D52" t="s">
        <v>178</v>
      </c>
      <c r="E52" t="s">
        <v>241</v>
      </c>
      <c r="F52" t="s">
        <v>241</v>
      </c>
      <c r="G52" t="s">
        <v>241</v>
      </c>
      <c r="H52" t="s">
        <v>241</v>
      </c>
      <c r="I52" t="s">
        <v>241</v>
      </c>
      <c r="J52" t="s">
        <v>241</v>
      </c>
      <c r="K52" t="s">
        <v>241</v>
      </c>
      <c r="L52" t="s">
        <v>241</v>
      </c>
      <c r="M52" t="s">
        <v>241</v>
      </c>
      <c r="N52" t="s">
        <v>241</v>
      </c>
      <c r="O52" t="s">
        <v>241</v>
      </c>
      <c r="P52" t="s">
        <v>241</v>
      </c>
      <c r="Q52" t="s">
        <v>241</v>
      </c>
      <c r="R52" t="s">
        <v>241</v>
      </c>
      <c r="S52" t="s">
        <v>241</v>
      </c>
      <c r="T52" t="s">
        <v>241</v>
      </c>
      <c r="U52" t="s">
        <v>241</v>
      </c>
      <c r="V52" t="s">
        <v>241</v>
      </c>
      <c r="W52" t="s">
        <v>241</v>
      </c>
      <c r="X52" t="s">
        <v>241</v>
      </c>
    </row>
    <row r="53">
      <c r="A53" t="s">
        <v>241</v>
      </c>
      <c r="B53" t="s">
        <v>241</v>
      </c>
      <c r="C53" t="s">
        <v>241</v>
      </c>
      <c r="D53" t="s">
        <v>241</v>
      </c>
      <c r="E53" t="s">
        <v>20</v>
      </c>
      <c r="F53" t="s">
        <v>126</v>
      </c>
      <c r="G53" t="s">
        <v>241</v>
      </c>
      <c r="H53" t="s">
        <v>241</v>
      </c>
      <c r="I53" t="s">
        <v>241</v>
      </c>
      <c r="J53" t="s">
        <v>241</v>
      </c>
      <c r="K53" t="s">
        <v>241</v>
      </c>
      <c r="L53" t="s">
        <v>241</v>
      </c>
      <c r="M53" t="s">
        <v>241</v>
      </c>
      <c r="N53" t="s">
        <v>241</v>
      </c>
      <c r="O53" t="s">
        <v>241</v>
      </c>
      <c r="P53" t="s">
        <v>241</v>
      </c>
      <c r="Q53" t="s">
        <v>241</v>
      </c>
      <c r="R53" t="s">
        <v>241</v>
      </c>
      <c r="S53" t="s">
        <v>241</v>
      </c>
      <c r="T53" t="s">
        <v>241</v>
      </c>
      <c r="U53" t="s">
        <v>241</v>
      </c>
      <c r="V53" t="s">
        <v>241</v>
      </c>
      <c r="W53" t="s">
        <v>241</v>
      </c>
      <c r="X53" t="s">
        <v>241</v>
      </c>
    </row>
    <row r="54">
      <c r="A54" t="s">
        <v>241</v>
      </c>
      <c r="B54" t="s">
        <v>241</v>
      </c>
      <c r="C54" t="s">
        <v>241</v>
      </c>
      <c r="D54" t="s">
        <v>241</v>
      </c>
      <c r="E54" t="s">
        <v>241</v>
      </c>
      <c r="F54" t="s">
        <v>241</v>
      </c>
      <c r="G54" t="s">
        <v>19</v>
      </c>
      <c r="H54" t="s">
        <v>122</v>
      </c>
      <c r="I54" t="s">
        <v>241</v>
      </c>
      <c r="J54" t="s">
        <v>241</v>
      </c>
      <c r="K54" t="s">
        <v>241</v>
      </c>
      <c r="L54" t="s">
        <v>241</v>
      </c>
      <c r="M54" t="s">
        <v>241</v>
      </c>
      <c r="N54" t="s">
        <v>241</v>
      </c>
      <c r="O54" t="s">
        <v>241</v>
      </c>
      <c r="P54" t="s">
        <v>241</v>
      </c>
      <c r="Q54" t="s">
        <v>241</v>
      </c>
      <c r="R54" t="s">
        <v>241</v>
      </c>
      <c r="S54" t="s">
        <v>241</v>
      </c>
      <c r="T54" t="s">
        <v>241</v>
      </c>
      <c r="U54" t="s">
        <v>241</v>
      </c>
      <c r="V54" t="s">
        <v>241</v>
      </c>
      <c r="W54" t="s">
        <v>241</v>
      </c>
      <c r="X54" t="s">
        <v>241</v>
      </c>
    </row>
    <row r="55">
      <c r="A55" t="s">
        <v>241</v>
      </c>
      <c r="B55" t="s">
        <v>241</v>
      </c>
      <c r="C55" t="s">
        <v>241</v>
      </c>
      <c r="D55" t="s">
        <v>241</v>
      </c>
      <c r="E55" t="s">
        <v>241</v>
      </c>
      <c r="F55" t="s">
        <v>241</v>
      </c>
      <c r="G55" t="s">
        <v>241</v>
      </c>
      <c r="H55" t="s">
        <v>241</v>
      </c>
      <c r="I55" t="s">
        <v>24</v>
      </c>
      <c r="J55" t="s">
        <v>155</v>
      </c>
      <c r="K55" t="s">
        <v>241</v>
      </c>
      <c r="L55" t="s">
        <v>241</v>
      </c>
      <c r="M55" t="s">
        <v>241</v>
      </c>
      <c r="N55" t="s">
        <v>241</v>
      </c>
      <c r="O55" t="s">
        <v>241</v>
      </c>
      <c r="P55" t="s">
        <v>241</v>
      </c>
      <c r="Q55" t="s">
        <v>241</v>
      </c>
      <c r="R55" t="s">
        <v>241</v>
      </c>
      <c r="S55" t="s">
        <v>241</v>
      </c>
      <c r="T55" t="s">
        <v>241</v>
      </c>
      <c r="U55" t="s">
        <v>241</v>
      </c>
      <c r="V55" t="s">
        <v>241</v>
      </c>
      <c r="W55" t="s">
        <v>241</v>
      </c>
      <c r="X55" t="s">
        <v>241</v>
      </c>
    </row>
    <row r="56">
      <c r="A56" t="s">
        <v>241</v>
      </c>
      <c r="B56" t="s">
        <v>241</v>
      </c>
      <c r="C56" t="s">
        <v>241</v>
      </c>
      <c r="D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19</v>
      </c>
      <c r="L56" t="s">
        <v>119</v>
      </c>
      <c r="M56" t="s">
        <v>241</v>
      </c>
      <c r="N56" t="s">
        <v>241</v>
      </c>
      <c r="O56" t="s">
        <v>241</v>
      </c>
      <c r="P56" t="s">
        <v>241</v>
      </c>
      <c r="Q56" t="s">
        <v>241</v>
      </c>
      <c r="R56" t="s">
        <v>241</v>
      </c>
      <c r="S56" t="s">
        <v>241</v>
      </c>
      <c r="T56" t="s">
        <v>241</v>
      </c>
      <c r="U56" t="s">
        <v>241</v>
      </c>
      <c r="V56" t="s">
        <v>241</v>
      </c>
      <c r="W56" t="s">
        <v>241</v>
      </c>
      <c r="X56" t="s">
        <v>241</v>
      </c>
    </row>
    <row r="57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</v>
      </c>
      <c r="N57" t="s">
        <v>158</v>
      </c>
      <c r="O57" t="s">
        <v>241</v>
      </c>
      <c r="P57" t="s">
        <v>241</v>
      </c>
      <c r="Q57" t="s">
        <v>241</v>
      </c>
      <c r="R57" t="s">
        <v>241</v>
      </c>
      <c r="S57" t="s">
        <v>241</v>
      </c>
      <c r="T57" t="s">
        <v>241</v>
      </c>
      <c r="U57" t="s">
        <v>241</v>
      </c>
      <c r="V57" t="s">
        <v>241</v>
      </c>
      <c r="W57" t="s">
        <v>241</v>
      </c>
      <c r="X57" t="s">
        <v>241</v>
      </c>
    </row>
    <row r="58">
      <c r="A58" t="s">
        <v>241</v>
      </c>
      <c r="B58" t="s">
        <v>241</v>
      </c>
      <c r="C58" t="s">
        <v>241</v>
      </c>
      <c r="D58" t="s">
        <v>241</v>
      </c>
      <c r="E58" t="s">
        <v>241</v>
      </c>
      <c r="F58" t="s">
        <v>241</v>
      </c>
      <c r="G58" t="s">
        <v>241</v>
      </c>
      <c r="H58" t="s">
        <v>241</v>
      </c>
      <c r="I58" t="s">
        <v>241</v>
      </c>
      <c r="J58" t="s">
        <v>241</v>
      </c>
      <c r="K58" t="s">
        <v>241</v>
      </c>
      <c r="L58" t="s">
        <v>241</v>
      </c>
      <c r="M58" t="s">
        <v>241</v>
      </c>
      <c r="N58" t="s">
        <v>241</v>
      </c>
      <c r="O58" t="s">
        <v>30</v>
      </c>
      <c r="P58" t="s">
        <v>189</v>
      </c>
      <c r="Q58" t="s">
        <v>241</v>
      </c>
      <c r="R58" t="s">
        <v>241</v>
      </c>
      <c r="S58" t="s">
        <v>241</v>
      </c>
      <c r="T58" t="s">
        <v>241</v>
      </c>
      <c r="U58" t="s">
        <v>241</v>
      </c>
      <c r="V58" t="s">
        <v>241</v>
      </c>
      <c r="W58" t="s">
        <v>241</v>
      </c>
      <c r="X58" t="s">
        <v>241</v>
      </c>
    </row>
    <row r="59">
      <c r="A59" t="s">
        <v>241</v>
      </c>
      <c r="B59" t="s">
        <v>241</v>
      </c>
      <c r="C59" t="s">
        <v>241</v>
      </c>
      <c r="D59" t="s">
        <v>241</v>
      </c>
      <c r="E59" t="s">
        <v>241</v>
      </c>
      <c r="F59" t="s">
        <v>241</v>
      </c>
      <c r="G59" t="s">
        <v>241</v>
      </c>
      <c r="H59" t="s">
        <v>241</v>
      </c>
      <c r="I59" t="s">
        <v>241</v>
      </c>
      <c r="J59" t="s">
        <v>241</v>
      </c>
      <c r="K59" t="s">
        <v>241</v>
      </c>
      <c r="L59" t="s">
        <v>241</v>
      </c>
      <c r="M59" t="s">
        <v>241</v>
      </c>
      <c r="N59" t="s">
        <v>241</v>
      </c>
      <c r="O59" t="s">
        <v>241</v>
      </c>
      <c r="P59" t="s">
        <v>241</v>
      </c>
      <c r="Q59" t="s">
        <v>20</v>
      </c>
      <c r="R59" t="s">
        <v>128</v>
      </c>
      <c r="S59" t="s">
        <v>241</v>
      </c>
      <c r="T59" t="s">
        <v>241</v>
      </c>
      <c r="U59" t="s">
        <v>241</v>
      </c>
      <c r="V59" t="s">
        <v>241</v>
      </c>
      <c r="W59" t="s">
        <v>241</v>
      </c>
      <c r="X59" t="s">
        <v>241</v>
      </c>
    </row>
    <row r="60">
      <c r="A60" t="s">
        <v>241</v>
      </c>
      <c r="B60" t="s">
        <v>241</v>
      </c>
      <c r="C60" t="s">
        <v>241</v>
      </c>
      <c r="D60" t="s">
        <v>241</v>
      </c>
      <c r="E60" t="s">
        <v>241</v>
      </c>
      <c r="F60" t="s">
        <v>241</v>
      </c>
      <c r="G60" t="s">
        <v>241</v>
      </c>
      <c r="H60" t="s">
        <v>241</v>
      </c>
      <c r="I60" t="s">
        <v>241</v>
      </c>
      <c r="J60" t="s">
        <v>241</v>
      </c>
      <c r="K60" t="s">
        <v>241</v>
      </c>
      <c r="L60" t="s">
        <v>241</v>
      </c>
      <c r="M60" t="s">
        <v>241</v>
      </c>
      <c r="N60" t="s">
        <v>241</v>
      </c>
      <c r="O60" t="s">
        <v>241</v>
      </c>
      <c r="P60" t="s">
        <v>241</v>
      </c>
      <c r="Q60" t="s">
        <v>241</v>
      </c>
      <c r="R60" t="s">
        <v>241</v>
      </c>
      <c r="S60" t="s">
        <v>26</v>
      </c>
      <c r="T60" t="s">
        <v>169</v>
      </c>
      <c r="U60" t="s">
        <v>241</v>
      </c>
      <c r="V60" t="s">
        <v>241</v>
      </c>
      <c r="W60" t="s">
        <v>241</v>
      </c>
      <c r="X60" t="s">
        <v>241</v>
      </c>
    </row>
    <row r="61">
      <c r="A61" t="s">
        <v>241</v>
      </c>
      <c r="B61" t="s">
        <v>241</v>
      </c>
      <c r="C61" t="s">
        <v>241</v>
      </c>
      <c r="D61" t="s">
        <v>241</v>
      </c>
      <c r="E61" t="s">
        <v>241</v>
      </c>
      <c r="F61" t="s">
        <v>241</v>
      </c>
      <c r="G61" t="s">
        <v>241</v>
      </c>
      <c r="H61" t="s">
        <v>241</v>
      </c>
      <c r="I61" t="s">
        <v>241</v>
      </c>
      <c r="J61" t="s">
        <v>241</v>
      </c>
      <c r="K61" t="s">
        <v>241</v>
      </c>
      <c r="L61" t="s">
        <v>241</v>
      </c>
      <c r="M61" t="s">
        <v>241</v>
      </c>
      <c r="N61" t="s">
        <v>241</v>
      </c>
      <c r="O61" t="s">
        <v>241</v>
      </c>
      <c r="P61" t="s">
        <v>241</v>
      </c>
      <c r="Q61" t="s">
        <v>241</v>
      </c>
      <c r="R61" t="s">
        <v>241</v>
      </c>
      <c r="S61" t="s">
        <v>241</v>
      </c>
      <c r="T61" t="s">
        <v>241</v>
      </c>
      <c r="U61" t="s">
        <v>17</v>
      </c>
      <c r="V61" t="s">
        <v>101</v>
      </c>
      <c r="W61" t="s">
        <v>241</v>
      </c>
      <c r="X61" t="s">
        <v>241</v>
      </c>
    </row>
    <row r="62">
      <c r="A62" t="s">
        <v>241</v>
      </c>
      <c r="B62" t="s">
        <v>241</v>
      </c>
      <c r="C62" t="s">
        <v>241</v>
      </c>
      <c r="D62" t="s">
        <v>241</v>
      </c>
      <c r="E62" t="s">
        <v>241</v>
      </c>
      <c r="F62" t="s">
        <v>241</v>
      </c>
      <c r="G62" t="s">
        <v>241</v>
      </c>
      <c r="H62" t="s">
        <v>241</v>
      </c>
      <c r="I62" t="s">
        <v>241</v>
      </c>
      <c r="J62" t="s">
        <v>241</v>
      </c>
      <c r="K62" t="s">
        <v>241</v>
      </c>
      <c r="L62" t="s">
        <v>241</v>
      </c>
      <c r="M62" t="s">
        <v>241</v>
      </c>
      <c r="N62" t="s">
        <v>241</v>
      </c>
      <c r="O62" t="s">
        <v>241</v>
      </c>
      <c r="P62" t="s">
        <v>241</v>
      </c>
      <c r="Q62" t="s">
        <v>241</v>
      </c>
      <c r="R62" t="s">
        <v>241</v>
      </c>
      <c r="S62" t="s">
        <v>241</v>
      </c>
      <c r="T62" t="s">
        <v>241</v>
      </c>
      <c r="U62" t="s">
        <v>241</v>
      </c>
      <c r="V62" t="s">
        <v>241</v>
      </c>
      <c r="W62" t="s">
        <v>26</v>
      </c>
      <c r="X62" t="s">
        <v>167</v>
      </c>
    </row>
    <row r="63">
      <c r="A63" t="s">
        <v>241</v>
      </c>
      <c r="B63" t="s">
        <v>241</v>
      </c>
      <c r="C63" t="s">
        <v>241</v>
      </c>
      <c r="D63" t="s">
        <v>241</v>
      </c>
      <c r="E63" t="s">
        <v>241</v>
      </c>
      <c r="F63" t="s">
        <v>241</v>
      </c>
      <c r="G63" t="s">
        <v>241</v>
      </c>
      <c r="H63" t="s">
        <v>241</v>
      </c>
      <c r="I63" t="s">
        <v>241</v>
      </c>
      <c r="J63" t="s">
        <v>241</v>
      </c>
      <c r="K63" t="s">
        <v>241</v>
      </c>
      <c r="L63" t="s">
        <v>241</v>
      </c>
      <c r="M63" t="s">
        <v>241</v>
      </c>
      <c r="N63" t="s">
        <v>241</v>
      </c>
      <c r="O63" t="s">
        <v>241</v>
      </c>
      <c r="P63" t="s">
        <v>241</v>
      </c>
      <c r="Q63" t="s">
        <v>241</v>
      </c>
      <c r="R63" t="s">
        <v>241</v>
      </c>
      <c r="S63" t="s">
        <v>241</v>
      </c>
      <c r="T63" t="s">
        <v>241</v>
      </c>
      <c r="U63" t="s">
        <v>241</v>
      </c>
      <c r="V63" t="s">
        <v>241</v>
      </c>
      <c r="W63" t="s">
        <v>28</v>
      </c>
      <c r="X63" t="s">
        <v>174</v>
      </c>
    </row>
    <row r="64">
      <c r="A64" t="s">
        <v>241</v>
      </c>
      <c r="B64" t="s">
        <v>241</v>
      </c>
      <c r="C64" t="s">
        <v>241</v>
      </c>
      <c r="D64" t="s">
        <v>241</v>
      </c>
      <c r="E64" t="s">
        <v>241</v>
      </c>
      <c r="F64" t="s">
        <v>241</v>
      </c>
      <c r="G64" t="s">
        <v>241</v>
      </c>
      <c r="H64" t="s">
        <v>241</v>
      </c>
      <c r="I64" t="s">
        <v>241</v>
      </c>
      <c r="J64" t="s">
        <v>241</v>
      </c>
      <c r="K64" t="s">
        <v>241</v>
      </c>
      <c r="L64" t="s">
        <v>241</v>
      </c>
      <c r="M64" t="s">
        <v>241</v>
      </c>
      <c r="N64" t="s">
        <v>241</v>
      </c>
      <c r="O64" t="s">
        <v>241</v>
      </c>
      <c r="P64" t="s">
        <v>241</v>
      </c>
      <c r="Q64" t="s">
        <v>241</v>
      </c>
      <c r="R64" t="s">
        <v>241</v>
      </c>
      <c r="S64" t="s">
        <v>241</v>
      </c>
      <c r="T64" t="s">
        <v>241</v>
      </c>
      <c r="U64" t="s">
        <v>20</v>
      </c>
      <c r="V64" t="s">
        <v>125</v>
      </c>
      <c r="W64" t="s">
        <v>241</v>
      </c>
      <c r="X64" t="s">
        <v>241</v>
      </c>
    </row>
    <row r="65">
      <c r="A65" t="s">
        <v>241</v>
      </c>
      <c r="B65" t="s">
        <v>241</v>
      </c>
      <c r="C65" t="s">
        <v>241</v>
      </c>
      <c r="D65" t="s">
        <v>241</v>
      </c>
      <c r="E65" t="s">
        <v>241</v>
      </c>
      <c r="F65" t="s">
        <v>241</v>
      </c>
      <c r="G65" t="s">
        <v>241</v>
      </c>
      <c r="H65" t="s">
        <v>241</v>
      </c>
      <c r="I65" t="s">
        <v>241</v>
      </c>
      <c r="J65" t="s">
        <v>241</v>
      </c>
      <c r="K65" t="s">
        <v>241</v>
      </c>
      <c r="L65" t="s">
        <v>241</v>
      </c>
      <c r="M65" t="s">
        <v>241</v>
      </c>
      <c r="N65" t="s">
        <v>241</v>
      </c>
      <c r="O65" t="s">
        <v>241</v>
      </c>
      <c r="P65" t="s">
        <v>241</v>
      </c>
      <c r="Q65" t="s">
        <v>241</v>
      </c>
      <c r="R65" t="s">
        <v>241</v>
      </c>
      <c r="S65" t="s">
        <v>20</v>
      </c>
      <c r="T65" t="s">
        <v>131</v>
      </c>
      <c r="U65" t="s">
        <v>241</v>
      </c>
      <c r="V65" t="s">
        <v>241</v>
      </c>
      <c r="W65" t="s">
        <v>241</v>
      </c>
      <c r="X65" t="s">
        <v>241</v>
      </c>
    </row>
    <row r="66">
      <c r="A66" t="s">
        <v>241</v>
      </c>
      <c r="B66" t="s">
        <v>241</v>
      </c>
      <c r="C66" t="s">
        <v>241</v>
      </c>
      <c r="D66" t="s">
        <v>241</v>
      </c>
      <c r="E66" t="s">
        <v>241</v>
      </c>
      <c r="F66" t="s">
        <v>241</v>
      </c>
      <c r="G66" t="s">
        <v>241</v>
      </c>
      <c r="H66" t="s">
        <v>241</v>
      </c>
      <c r="I66" t="s">
        <v>241</v>
      </c>
      <c r="J66" t="s">
        <v>241</v>
      </c>
      <c r="K66" t="s">
        <v>241</v>
      </c>
      <c r="L66" t="s">
        <v>241</v>
      </c>
      <c r="M66" t="s">
        <v>241</v>
      </c>
      <c r="N66" t="s">
        <v>241</v>
      </c>
      <c r="O66" t="s">
        <v>241</v>
      </c>
      <c r="P66" t="s">
        <v>241</v>
      </c>
      <c r="Q66" t="s">
        <v>17</v>
      </c>
      <c r="R66" t="s">
        <v>102</v>
      </c>
      <c r="S66" t="s">
        <v>241</v>
      </c>
      <c r="T66" t="s">
        <v>241</v>
      </c>
      <c r="U66" t="s">
        <v>241</v>
      </c>
      <c r="V66" t="s">
        <v>241</v>
      </c>
      <c r="W66" t="s">
        <v>241</v>
      </c>
      <c r="X66" t="s">
        <v>241</v>
      </c>
    </row>
    <row r="67">
      <c r="A67" t="s">
        <v>241</v>
      </c>
      <c r="B67" t="s">
        <v>241</v>
      </c>
      <c r="C67" t="s">
        <v>241</v>
      </c>
      <c r="D67" t="s">
        <v>241</v>
      </c>
      <c r="E67" t="s">
        <v>241</v>
      </c>
      <c r="F67" t="s">
        <v>241</v>
      </c>
      <c r="G67" t="s">
        <v>241</v>
      </c>
      <c r="H67" t="s">
        <v>241</v>
      </c>
      <c r="I67" t="s">
        <v>241</v>
      </c>
      <c r="J67" t="s">
        <v>241</v>
      </c>
      <c r="K67" t="s">
        <v>241</v>
      </c>
      <c r="L67" t="s">
        <v>241</v>
      </c>
      <c r="M67" t="s">
        <v>241</v>
      </c>
      <c r="N67" t="s">
        <v>241</v>
      </c>
      <c r="O67" t="s">
        <v>28</v>
      </c>
      <c r="P67" t="s">
        <v>175</v>
      </c>
      <c r="Q67" t="s">
        <v>241</v>
      </c>
      <c r="R67" t="s">
        <v>241</v>
      </c>
      <c r="S67" t="s">
        <v>241</v>
      </c>
      <c r="T67" t="s">
        <v>241</v>
      </c>
      <c r="U67" t="s">
        <v>241</v>
      </c>
      <c r="V67" t="s">
        <v>241</v>
      </c>
      <c r="W67" t="s">
        <v>241</v>
      </c>
      <c r="X67" t="s">
        <v>241</v>
      </c>
    </row>
    <row r="68">
      <c r="A68" t="s">
        <v>241</v>
      </c>
      <c r="B68" t="s">
        <v>241</v>
      </c>
      <c r="C68" t="s">
        <v>241</v>
      </c>
      <c r="D68" t="s">
        <v>241</v>
      </c>
      <c r="E68" t="s">
        <v>241</v>
      </c>
      <c r="F68" t="s">
        <v>241</v>
      </c>
      <c r="G68" t="s">
        <v>241</v>
      </c>
      <c r="H68" t="s">
        <v>241</v>
      </c>
      <c r="I68" t="s">
        <v>241</v>
      </c>
      <c r="J68" t="s">
        <v>241</v>
      </c>
      <c r="K68" t="s">
        <v>241</v>
      </c>
      <c r="L68" t="s">
        <v>241</v>
      </c>
      <c r="M68" t="s">
        <v>17</v>
      </c>
      <c r="N68" t="s">
        <v>96</v>
      </c>
      <c r="O68" t="s">
        <v>241</v>
      </c>
      <c r="P68" t="s">
        <v>241</v>
      </c>
      <c r="Q68" t="s">
        <v>241</v>
      </c>
      <c r="R68" t="s">
        <v>241</v>
      </c>
      <c r="S68" t="s">
        <v>241</v>
      </c>
      <c r="T68" t="s">
        <v>241</v>
      </c>
      <c r="U68" t="s">
        <v>241</v>
      </c>
      <c r="V68" t="s">
        <v>241</v>
      </c>
      <c r="W68" t="s">
        <v>241</v>
      </c>
      <c r="X68" t="s">
        <v>241</v>
      </c>
    </row>
    <row r="69">
      <c r="A69" t="s">
        <v>241</v>
      </c>
      <c r="B69" t="s">
        <v>241</v>
      </c>
      <c r="C69" t="s">
        <v>241</v>
      </c>
      <c r="D69" t="s">
        <v>241</v>
      </c>
      <c r="E69" t="s">
        <v>241</v>
      </c>
      <c r="F69" t="s">
        <v>241</v>
      </c>
      <c r="G69" t="s">
        <v>241</v>
      </c>
      <c r="H69" t="s">
        <v>241</v>
      </c>
      <c r="I69" t="s">
        <v>241</v>
      </c>
      <c r="J69" t="s">
        <v>241</v>
      </c>
      <c r="K69" t="s">
        <v>20</v>
      </c>
      <c r="L69" t="s">
        <v>136</v>
      </c>
      <c r="M69" t="s">
        <v>241</v>
      </c>
      <c r="N69" t="s">
        <v>241</v>
      </c>
      <c r="O69" t="s">
        <v>241</v>
      </c>
      <c r="P69" t="s">
        <v>241</v>
      </c>
      <c r="Q69" t="s">
        <v>241</v>
      </c>
      <c r="R69" t="s">
        <v>241</v>
      </c>
      <c r="S69" t="s">
        <v>241</v>
      </c>
      <c r="T69" t="s">
        <v>241</v>
      </c>
      <c r="U69" t="s">
        <v>241</v>
      </c>
      <c r="V69" t="s">
        <v>241</v>
      </c>
      <c r="W69" t="s">
        <v>241</v>
      </c>
      <c r="X69" t="s">
        <v>241</v>
      </c>
    </row>
    <row r="70">
      <c r="A70" t="s">
        <v>241</v>
      </c>
      <c r="B70" t="s">
        <v>241</v>
      </c>
      <c r="C70" t="s">
        <v>241</v>
      </c>
      <c r="D70" t="s">
        <v>241</v>
      </c>
      <c r="E70" t="s">
        <v>241</v>
      </c>
      <c r="F70" t="s">
        <v>241</v>
      </c>
      <c r="G70" t="s">
        <v>241</v>
      </c>
      <c r="H70" t="s">
        <v>241</v>
      </c>
      <c r="I70" t="s">
        <v>26</v>
      </c>
      <c r="J70" t="s">
        <v>162</v>
      </c>
      <c r="K70" t="s">
        <v>241</v>
      </c>
      <c r="L70" t="s">
        <v>241</v>
      </c>
      <c r="M70" t="s">
        <v>241</v>
      </c>
      <c r="N70" t="s">
        <v>241</v>
      </c>
      <c r="O70" t="s">
        <v>241</v>
      </c>
      <c r="P70" t="s">
        <v>241</v>
      </c>
      <c r="Q70" t="s">
        <v>241</v>
      </c>
      <c r="R70" t="s">
        <v>241</v>
      </c>
      <c r="S70" t="s">
        <v>241</v>
      </c>
      <c r="T70" t="s">
        <v>241</v>
      </c>
      <c r="U70" t="s">
        <v>241</v>
      </c>
      <c r="V70" t="s">
        <v>241</v>
      </c>
      <c r="W70" t="s">
        <v>241</v>
      </c>
      <c r="X70" t="s">
        <v>241</v>
      </c>
    </row>
    <row r="71">
      <c r="A71" t="s">
        <v>241</v>
      </c>
      <c r="B71" t="s">
        <v>241</v>
      </c>
      <c r="C71" t="s">
        <v>241</v>
      </c>
      <c r="D71" t="s">
        <v>241</v>
      </c>
      <c r="E71" t="s">
        <v>241</v>
      </c>
      <c r="F71" t="s">
        <v>241</v>
      </c>
      <c r="G71" t="s">
        <v>26</v>
      </c>
      <c r="H71" t="s">
        <v>161</v>
      </c>
      <c r="I71" t="s">
        <v>241</v>
      </c>
      <c r="J71" t="s">
        <v>241</v>
      </c>
      <c r="K71" t="s">
        <v>241</v>
      </c>
      <c r="L71" t="s">
        <v>241</v>
      </c>
      <c r="M71" t="s">
        <v>241</v>
      </c>
      <c r="N71" t="s">
        <v>241</v>
      </c>
      <c r="O71" t="s">
        <v>241</v>
      </c>
      <c r="P71" t="s">
        <v>241</v>
      </c>
      <c r="Q71" t="s">
        <v>241</v>
      </c>
      <c r="R71" t="s">
        <v>241</v>
      </c>
      <c r="S71" t="s">
        <v>241</v>
      </c>
      <c r="T71" t="s">
        <v>241</v>
      </c>
      <c r="U71" t="s">
        <v>241</v>
      </c>
      <c r="V71" t="s">
        <v>241</v>
      </c>
      <c r="W71" t="s">
        <v>241</v>
      </c>
      <c r="X71" t="s">
        <v>241</v>
      </c>
    </row>
    <row r="72">
      <c r="A72" t="s">
        <v>241</v>
      </c>
      <c r="B72" t="s">
        <v>241</v>
      </c>
      <c r="C72" t="s">
        <v>241</v>
      </c>
      <c r="D72" t="s">
        <v>241</v>
      </c>
      <c r="E72" t="s">
        <v>26</v>
      </c>
      <c r="F72" t="s">
        <v>168</v>
      </c>
      <c r="G72" t="s">
        <v>241</v>
      </c>
      <c r="H72" t="s">
        <v>241</v>
      </c>
      <c r="I72" t="s">
        <v>241</v>
      </c>
      <c r="J72" t="s">
        <v>241</v>
      </c>
      <c r="K72" t="s">
        <v>241</v>
      </c>
      <c r="L72" t="s">
        <v>241</v>
      </c>
      <c r="M72" t="s">
        <v>241</v>
      </c>
      <c r="N72" t="s">
        <v>241</v>
      </c>
      <c r="O72" t="s">
        <v>241</v>
      </c>
      <c r="P72" t="s">
        <v>241</v>
      </c>
      <c r="Q72" t="s">
        <v>241</v>
      </c>
      <c r="R72" t="s">
        <v>241</v>
      </c>
      <c r="S72" t="s">
        <v>241</v>
      </c>
      <c r="T72" t="s">
        <v>241</v>
      </c>
      <c r="U72" t="s">
        <v>241</v>
      </c>
      <c r="V72" t="s">
        <v>241</v>
      </c>
      <c r="W72" t="s">
        <v>241</v>
      </c>
      <c r="X72" t="s">
        <v>241</v>
      </c>
    </row>
    <row r="73">
      <c r="A73" t="s">
        <v>241</v>
      </c>
      <c r="B73" t="s">
        <v>241</v>
      </c>
      <c r="C73" t="s">
        <v>11</v>
      </c>
      <c r="D73" t="s">
        <v>32</v>
      </c>
      <c r="E73" t="s">
        <v>241</v>
      </c>
      <c r="F73" t="s">
        <v>241</v>
      </c>
      <c r="G73" t="s">
        <v>241</v>
      </c>
      <c r="H73" t="s">
        <v>241</v>
      </c>
      <c r="I73" t="s">
        <v>241</v>
      </c>
      <c r="J73" t="s">
        <v>241</v>
      </c>
      <c r="K73" t="s">
        <v>241</v>
      </c>
      <c r="L73" t="s">
        <v>241</v>
      </c>
      <c r="M73" t="s">
        <v>241</v>
      </c>
      <c r="N73" t="s">
        <v>241</v>
      </c>
      <c r="O73" t="s">
        <v>241</v>
      </c>
      <c r="P73" t="s">
        <v>241</v>
      </c>
      <c r="Q73" t="s">
        <v>241</v>
      </c>
      <c r="R73" t="s">
        <v>241</v>
      </c>
      <c r="S73" t="s">
        <v>241</v>
      </c>
      <c r="T73" t="s">
        <v>241</v>
      </c>
      <c r="U73" t="s">
        <v>241</v>
      </c>
      <c r="V73" t="s">
        <v>241</v>
      </c>
      <c r="W73" t="s">
        <v>241</v>
      </c>
      <c r="X73" t="s">
        <v>241</v>
      </c>
    </row>
    <row r="74">
      <c r="A74" t="s">
        <v>26</v>
      </c>
      <c r="B74" t="s">
        <v>163</v>
      </c>
      <c r="C74" t="s">
        <v>241</v>
      </c>
      <c r="D74" t="s">
        <v>241</v>
      </c>
      <c r="E74" t="s">
        <v>241</v>
      </c>
      <c r="F74" t="s">
        <v>241</v>
      </c>
      <c r="G74" t="s">
        <v>241</v>
      </c>
      <c r="H74" t="s">
        <v>241</v>
      </c>
      <c r="I74" t="s">
        <v>241</v>
      </c>
      <c r="J74" t="s">
        <v>241</v>
      </c>
      <c r="K74" t="s">
        <v>241</v>
      </c>
      <c r="L74" t="s">
        <v>241</v>
      </c>
      <c r="M74" t="s">
        <v>241</v>
      </c>
      <c r="N74" t="s">
        <v>241</v>
      </c>
      <c r="O74" t="s">
        <v>241</v>
      </c>
      <c r="P74" t="s">
        <v>241</v>
      </c>
      <c r="Q74" t="s">
        <v>241</v>
      </c>
      <c r="R74" t="s">
        <v>241</v>
      </c>
      <c r="S74" t="s">
        <v>241</v>
      </c>
      <c r="T74" t="s">
        <v>241</v>
      </c>
      <c r="U74" t="s">
        <v>241</v>
      </c>
      <c r="V74" t="s">
        <v>241</v>
      </c>
      <c r="W74" t="s">
        <v>241</v>
      </c>
      <c r="X74" t="s">
        <v>241</v>
      </c>
    </row>
    <row r="75">
      <c r="A75" t="s">
        <v>11</v>
      </c>
      <c r="B75" t="s">
        <v>56</v>
      </c>
      <c r="C75" t="s">
        <v>241</v>
      </c>
      <c r="D75" t="s">
        <v>241</v>
      </c>
      <c r="E75" t="s">
        <v>241</v>
      </c>
      <c r="F75" t="s">
        <v>241</v>
      </c>
      <c r="G75" t="s">
        <v>241</v>
      </c>
      <c r="H75" t="s">
        <v>241</v>
      </c>
      <c r="I75" t="s">
        <v>241</v>
      </c>
      <c r="J75" t="s">
        <v>241</v>
      </c>
      <c r="K75" t="s">
        <v>241</v>
      </c>
      <c r="L75" t="s">
        <v>241</v>
      </c>
      <c r="M75" t="s">
        <v>241</v>
      </c>
      <c r="N75" t="s">
        <v>241</v>
      </c>
      <c r="O75" t="s">
        <v>241</v>
      </c>
      <c r="P75" t="s">
        <v>241</v>
      </c>
      <c r="Q75" t="s">
        <v>241</v>
      </c>
      <c r="R75" t="s">
        <v>241</v>
      </c>
      <c r="S75" t="s">
        <v>241</v>
      </c>
      <c r="T75" t="s">
        <v>241</v>
      </c>
      <c r="U75" t="s">
        <v>241</v>
      </c>
      <c r="V75" t="s">
        <v>241</v>
      </c>
      <c r="W75" t="s">
        <v>241</v>
      </c>
      <c r="X75" t="s">
        <v>241</v>
      </c>
    </row>
    <row r="76">
      <c r="A76" t="s">
        <v>241</v>
      </c>
      <c r="B76" t="s">
        <v>241</v>
      </c>
      <c r="C76" t="s">
        <v>19</v>
      </c>
      <c r="D76" t="s">
        <v>113</v>
      </c>
      <c r="E76" t="s">
        <v>241</v>
      </c>
      <c r="F76" t="s">
        <v>241</v>
      </c>
      <c r="G76" t="s">
        <v>241</v>
      </c>
      <c r="H76" t="s">
        <v>241</v>
      </c>
      <c r="I76" t="s">
        <v>241</v>
      </c>
      <c r="J76" t="s">
        <v>241</v>
      </c>
      <c r="K76" t="s">
        <v>241</v>
      </c>
      <c r="L76" t="s">
        <v>241</v>
      </c>
      <c r="M76" t="s">
        <v>241</v>
      </c>
      <c r="N76" t="s">
        <v>241</v>
      </c>
      <c r="O76" t="s">
        <v>241</v>
      </c>
      <c r="P76" t="s">
        <v>241</v>
      </c>
      <c r="Q76" t="s">
        <v>241</v>
      </c>
      <c r="R76" t="s">
        <v>241</v>
      </c>
      <c r="S76" t="s">
        <v>241</v>
      </c>
      <c r="T76" t="s">
        <v>241</v>
      </c>
      <c r="U76" t="s">
        <v>241</v>
      </c>
      <c r="V76" t="s">
        <v>241</v>
      </c>
      <c r="W76" t="s">
        <v>241</v>
      </c>
      <c r="X76" t="s">
        <v>241</v>
      </c>
    </row>
    <row r="77">
      <c r="A77" t="s">
        <v>241</v>
      </c>
      <c r="B77" t="s">
        <v>241</v>
      </c>
      <c r="C77" t="s">
        <v>241</v>
      </c>
      <c r="D77" t="s">
        <v>241</v>
      </c>
      <c r="E77" t="s">
        <v>17</v>
      </c>
      <c r="F77" t="s">
        <v>109</v>
      </c>
      <c r="G77" t="s">
        <v>241</v>
      </c>
      <c r="H77" t="s">
        <v>241</v>
      </c>
      <c r="I77" t="s">
        <v>241</v>
      </c>
      <c r="J77" t="s">
        <v>241</v>
      </c>
      <c r="K77" t="s">
        <v>241</v>
      </c>
      <c r="L77" t="s">
        <v>241</v>
      </c>
      <c r="M77" t="s">
        <v>241</v>
      </c>
      <c r="N77" t="s">
        <v>241</v>
      </c>
      <c r="O77" t="s">
        <v>241</v>
      </c>
      <c r="P77" t="s">
        <v>241</v>
      </c>
      <c r="Q77" t="s">
        <v>241</v>
      </c>
      <c r="R77" t="s">
        <v>241</v>
      </c>
      <c r="S77" t="s">
        <v>241</v>
      </c>
      <c r="T77" t="s">
        <v>241</v>
      </c>
      <c r="U77" t="s">
        <v>241</v>
      </c>
      <c r="V77" t="s">
        <v>241</v>
      </c>
      <c r="W77" t="s">
        <v>241</v>
      </c>
      <c r="X77" t="s">
        <v>241</v>
      </c>
    </row>
    <row r="78">
      <c r="A78" t="s">
        <v>241</v>
      </c>
      <c r="B78" t="s">
        <v>241</v>
      </c>
      <c r="C78" t="s">
        <v>241</v>
      </c>
      <c r="D78" t="s">
        <v>241</v>
      </c>
      <c r="E78" t="s">
        <v>241</v>
      </c>
      <c r="F78" t="s">
        <v>241</v>
      </c>
      <c r="G78" t="s">
        <v>17</v>
      </c>
      <c r="H78" t="s">
        <v>104</v>
      </c>
      <c r="I78" t="s">
        <v>241</v>
      </c>
      <c r="J78" t="s">
        <v>241</v>
      </c>
      <c r="K78" t="s">
        <v>241</v>
      </c>
      <c r="L78" t="s">
        <v>241</v>
      </c>
      <c r="M78" t="s">
        <v>241</v>
      </c>
      <c r="N78" t="s">
        <v>241</v>
      </c>
      <c r="O78" t="s">
        <v>241</v>
      </c>
      <c r="P78" t="s">
        <v>241</v>
      </c>
      <c r="Q78" t="s">
        <v>241</v>
      </c>
      <c r="R78" t="s">
        <v>241</v>
      </c>
      <c r="S78" t="s">
        <v>241</v>
      </c>
      <c r="T78" t="s">
        <v>241</v>
      </c>
      <c r="U78" t="s">
        <v>241</v>
      </c>
      <c r="V78" t="s">
        <v>241</v>
      </c>
      <c r="W78" t="s">
        <v>241</v>
      </c>
      <c r="X78" t="s">
        <v>241</v>
      </c>
    </row>
    <row r="79">
      <c r="A79" t="s">
        <v>241</v>
      </c>
      <c r="B79" t="s">
        <v>241</v>
      </c>
      <c r="C79" t="s">
        <v>241</v>
      </c>
      <c r="D79" t="s">
        <v>241</v>
      </c>
      <c r="E79" t="s">
        <v>241</v>
      </c>
      <c r="F79" t="s">
        <v>241</v>
      </c>
      <c r="G79" t="s">
        <v>241</v>
      </c>
      <c r="H79" t="s">
        <v>241</v>
      </c>
      <c r="I79" t="s">
        <v>19</v>
      </c>
      <c r="J79" t="s">
        <v>120</v>
      </c>
      <c r="K79" t="s">
        <v>241</v>
      </c>
      <c r="L79" t="s">
        <v>241</v>
      </c>
      <c r="M79" t="s">
        <v>241</v>
      </c>
      <c r="N79" t="s">
        <v>241</v>
      </c>
      <c r="O79" t="s">
        <v>241</v>
      </c>
      <c r="P79" t="s">
        <v>241</v>
      </c>
      <c r="Q79" t="s">
        <v>241</v>
      </c>
      <c r="R79" t="s">
        <v>241</v>
      </c>
      <c r="S79" t="s">
        <v>241</v>
      </c>
      <c r="T79" t="s">
        <v>241</v>
      </c>
      <c r="U79" t="s">
        <v>241</v>
      </c>
      <c r="V79" t="s">
        <v>241</v>
      </c>
      <c r="W79" t="s">
        <v>241</v>
      </c>
      <c r="X79" t="s">
        <v>241</v>
      </c>
    </row>
    <row r="80">
      <c r="A80" t="s">
        <v>241</v>
      </c>
      <c r="B80" t="s">
        <v>241</v>
      </c>
      <c r="C80" t="s">
        <v>241</v>
      </c>
      <c r="D80" t="s">
        <v>241</v>
      </c>
      <c r="E80" t="s">
        <v>241</v>
      </c>
      <c r="F80" t="s">
        <v>241</v>
      </c>
      <c r="G80" t="s">
        <v>241</v>
      </c>
      <c r="H80" t="s">
        <v>241</v>
      </c>
      <c r="I80" t="s">
        <v>241</v>
      </c>
      <c r="J80" t="s">
        <v>241</v>
      </c>
      <c r="K80" t="s">
        <v>26</v>
      </c>
      <c r="L80" t="s">
        <v>164</v>
      </c>
      <c r="M80" t="s">
        <v>241</v>
      </c>
      <c r="N80" t="s">
        <v>241</v>
      </c>
      <c r="O80" t="s">
        <v>241</v>
      </c>
      <c r="P80" t="s">
        <v>241</v>
      </c>
      <c r="Q80" t="s">
        <v>241</v>
      </c>
      <c r="R80" t="s">
        <v>241</v>
      </c>
      <c r="S80" t="s">
        <v>241</v>
      </c>
      <c r="T80" t="s">
        <v>241</v>
      </c>
      <c r="U80" t="s">
        <v>241</v>
      </c>
      <c r="V80" t="s">
        <v>241</v>
      </c>
      <c r="W80" t="s">
        <v>241</v>
      </c>
      <c r="X80" t="s">
        <v>241</v>
      </c>
    </row>
    <row r="81">
      <c r="A81" t="s">
        <v>241</v>
      </c>
      <c r="B81" t="s">
        <v>241</v>
      </c>
      <c r="C81" t="s">
        <v>241</v>
      </c>
      <c r="D81" t="s">
        <v>241</v>
      </c>
      <c r="E81" t="s">
        <v>241</v>
      </c>
      <c r="F81" t="s">
        <v>241</v>
      </c>
      <c r="G81" t="s">
        <v>241</v>
      </c>
      <c r="H81" t="s">
        <v>241</v>
      </c>
      <c r="I81" t="s">
        <v>241</v>
      </c>
      <c r="J81" t="s">
        <v>241</v>
      </c>
      <c r="K81" t="s">
        <v>241</v>
      </c>
      <c r="L81" t="s">
        <v>241</v>
      </c>
      <c r="M81" t="s">
        <v>19</v>
      </c>
      <c r="N81" t="s">
        <v>110</v>
      </c>
      <c r="O81" t="s">
        <v>241</v>
      </c>
      <c r="P81" t="s">
        <v>241</v>
      </c>
      <c r="Q81" t="s">
        <v>241</v>
      </c>
      <c r="R81" t="s">
        <v>241</v>
      </c>
      <c r="S81" t="s">
        <v>241</v>
      </c>
      <c r="T81" t="s">
        <v>241</v>
      </c>
      <c r="U81" t="s">
        <v>241</v>
      </c>
      <c r="V81" t="s">
        <v>241</v>
      </c>
      <c r="W81" t="s">
        <v>241</v>
      </c>
      <c r="X81" t="s">
        <v>241</v>
      </c>
    </row>
    <row r="82">
      <c r="A82" t="s">
        <v>241</v>
      </c>
      <c r="B82" t="s">
        <v>241</v>
      </c>
      <c r="C82" t="s">
        <v>241</v>
      </c>
      <c r="D82" t="s">
        <v>241</v>
      </c>
      <c r="E82" t="s">
        <v>241</v>
      </c>
      <c r="F82" t="s">
        <v>241</v>
      </c>
      <c r="G82" t="s">
        <v>241</v>
      </c>
      <c r="H82" t="s">
        <v>241</v>
      </c>
      <c r="I82" t="s">
        <v>241</v>
      </c>
      <c r="J82" t="s">
        <v>241</v>
      </c>
      <c r="K82" t="s">
        <v>241</v>
      </c>
      <c r="L82" t="s">
        <v>241</v>
      </c>
      <c r="M82" t="s">
        <v>241</v>
      </c>
      <c r="N82" t="s">
        <v>241</v>
      </c>
      <c r="O82" t="s">
        <v>19</v>
      </c>
      <c r="P82" t="s">
        <v>117</v>
      </c>
      <c r="Q82" t="s">
        <v>241</v>
      </c>
      <c r="R82" t="s">
        <v>241</v>
      </c>
      <c r="S82" t="s">
        <v>241</v>
      </c>
      <c r="T82" t="s">
        <v>241</v>
      </c>
      <c r="U82" t="s">
        <v>241</v>
      </c>
      <c r="V82" t="s">
        <v>241</v>
      </c>
      <c r="W82" t="s">
        <v>241</v>
      </c>
      <c r="X82" t="s">
        <v>241</v>
      </c>
    </row>
    <row r="83">
      <c r="A83" t="s">
        <v>241</v>
      </c>
      <c r="B83" t="s">
        <v>241</v>
      </c>
      <c r="C83" t="s">
        <v>241</v>
      </c>
      <c r="D83" t="s">
        <v>241</v>
      </c>
      <c r="E83" t="s">
        <v>241</v>
      </c>
      <c r="F83" t="s">
        <v>241</v>
      </c>
      <c r="G83" t="s">
        <v>241</v>
      </c>
      <c r="H83" t="s">
        <v>241</v>
      </c>
      <c r="I83" t="s">
        <v>241</v>
      </c>
      <c r="J83" t="s">
        <v>241</v>
      </c>
      <c r="K83" t="s">
        <v>241</v>
      </c>
      <c r="L83" t="s">
        <v>241</v>
      </c>
      <c r="M83" t="s">
        <v>241</v>
      </c>
      <c r="N83" t="s">
        <v>241</v>
      </c>
      <c r="O83" t="s">
        <v>241</v>
      </c>
      <c r="P83" t="s">
        <v>241</v>
      </c>
      <c r="Q83" t="s">
        <v>28</v>
      </c>
      <c r="R83" t="s">
        <v>184</v>
      </c>
      <c r="S83" t="s">
        <v>241</v>
      </c>
      <c r="T83" t="s">
        <v>241</v>
      </c>
      <c r="U83" t="s">
        <v>241</v>
      </c>
      <c r="V83" t="s">
        <v>241</v>
      </c>
      <c r="W83" t="s">
        <v>241</v>
      </c>
      <c r="X83" t="s">
        <v>241</v>
      </c>
    </row>
    <row r="84">
      <c r="A84" t="s">
        <v>241</v>
      </c>
      <c r="B84" t="s">
        <v>241</v>
      </c>
      <c r="C84" t="s">
        <v>241</v>
      </c>
      <c r="D84" t="s">
        <v>241</v>
      </c>
      <c r="E84" t="s">
        <v>241</v>
      </c>
      <c r="F84" t="s">
        <v>241</v>
      </c>
      <c r="G84" t="s">
        <v>241</v>
      </c>
      <c r="H84" t="s">
        <v>241</v>
      </c>
      <c r="I84" t="s">
        <v>241</v>
      </c>
      <c r="J84" t="s">
        <v>241</v>
      </c>
      <c r="K84" t="s">
        <v>241</v>
      </c>
      <c r="L84" t="s">
        <v>241</v>
      </c>
      <c r="M84" t="s">
        <v>241</v>
      </c>
      <c r="N84" t="s">
        <v>241</v>
      </c>
      <c r="O84" t="s">
        <v>241</v>
      </c>
      <c r="P84" t="s">
        <v>241</v>
      </c>
      <c r="Q84" t="s">
        <v>241</v>
      </c>
      <c r="R84" t="s">
        <v>241</v>
      </c>
      <c r="S84" t="s">
        <v>19</v>
      </c>
      <c r="T84" t="s">
        <v>115</v>
      </c>
      <c r="U84" t="s">
        <v>241</v>
      </c>
      <c r="V84" t="s">
        <v>241</v>
      </c>
      <c r="W84" t="s">
        <v>241</v>
      </c>
      <c r="X84" t="s">
        <v>241</v>
      </c>
    </row>
    <row r="85">
      <c r="A85" t="s">
        <v>241</v>
      </c>
      <c r="B85" t="s">
        <v>241</v>
      </c>
      <c r="C85" t="s">
        <v>241</v>
      </c>
      <c r="D85" t="s">
        <v>241</v>
      </c>
      <c r="E85" t="s">
        <v>241</v>
      </c>
      <c r="F85" t="s">
        <v>241</v>
      </c>
      <c r="G85" t="s">
        <v>241</v>
      </c>
      <c r="H85" t="s">
        <v>241</v>
      </c>
      <c r="I85" t="s">
        <v>241</v>
      </c>
      <c r="J85" t="s">
        <v>241</v>
      </c>
      <c r="K85" t="s">
        <v>241</v>
      </c>
      <c r="L85" t="s">
        <v>241</v>
      </c>
      <c r="M85" t="s">
        <v>241</v>
      </c>
      <c r="N85" t="s">
        <v>241</v>
      </c>
      <c r="O85" t="s">
        <v>241</v>
      </c>
      <c r="P85" t="s">
        <v>241</v>
      </c>
      <c r="Q85" t="s">
        <v>241</v>
      </c>
      <c r="R85" t="s">
        <v>241</v>
      </c>
      <c r="S85" t="s">
        <v>241</v>
      </c>
      <c r="T85" t="s">
        <v>241</v>
      </c>
      <c r="U85" t="s">
        <v>30</v>
      </c>
      <c r="V85" t="s">
        <v>193</v>
      </c>
      <c r="W85" t="s">
        <v>241</v>
      </c>
      <c r="X85" t="s">
        <v>241</v>
      </c>
    </row>
    <row r="86">
      <c r="A86" t="s">
        <v>241</v>
      </c>
      <c r="B86" t="s">
        <v>241</v>
      </c>
      <c r="C86" t="s">
        <v>241</v>
      </c>
      <c r="D86" t="s">
        <v>241</v>
      </c>
      <c r="E86" t="s">
        <v>241</v>
      </c>
      <c r="F86" t="s">
        <v>241</v>
      </c>
      <c r="G86" t="s">
        <v>241</v>
      </c>
      <c r="H86" t="s">
        <v>241</v>
      </c>
      <c r="I86" t="s">
        <v>241</v>
      </c>
      <c r="J86" t="s">
        <v>241</v>
      </c>
      <c r="K86" t="s">
        <v>241</v>
      </c>
      <c r="L86" t="s">
        <v>241</v>
      </c>
      <c r="M86" t="s">
        <v>241</v>
      </c>
      <c r="N86" t="s">
        <v>241</v>
      </c>
      <c r="O86" t="s">
        <v>241</v>
      </c>
      <c r="P86" t="s">
        <v>241</v>
      </c>
      <c r="Q86" t="s">
        <v>241</v>
      </c>
      <c r="R86" t="s">
        <v>241</v>
      </c>
      <c r="S86" t="s">
        <v>241</v>
      </c>
      <c r="T86" t="s">
        <v>241</v>
      </c>
      <c r="U86" t="s">
        <v>241</v>
      </c>
      <c r="V86" t="s">
        <v>241</v>
      </c>
      <c r="W86" t="s">
        <v>15</v>
      </c>
      <c r="X86" t="s">
        <v>88</v>
      </c>
    </row>
    <row r="87">
      <c r="A87" t="s">
        <v>241</v>
      </c>
      <c r="B87" t="s">
        <v>241</v>
      </c>
      <c r="C87" t="s">
        <v>241</v>
      </c>
      <c r="D87" t="s">
        <v>241</v>
      </c>
      <c r="E87" t="s">
        <v>241</v>
      </c>
      <c r="F87" t="s">
        <v>241</v>
      </c>
      <c r="G87" t="s">
        <v>241</v>
      </c>
      <c r="H87" t="s">
        <v>241</v>
      </c>
      <c r="I87" t="s">
        <v>241</v>
      </c>
      <c r="J87" t="s">
        <v>241</v>
      </c>
      <c r="K87" t="s">
        <v>241</v>
      </c>
      <c r="L87" t="s">
        <v>241</v>
      </c>
      <c r="M87" t="s">
        <v>241</v>
      </c>
      <c r="N87" t="s">
        <v>241</v>
      </c>
      <c r="O87" t="s">
        <v>241</v>
      </c>
      <c r="P87" t="s">
        <v>241</v>
      </c>
      <c r="Q87" t="s">
        <v>241</v>
      </c>
      <c r="R87" t="s">
        <v>241</v>
      </c>
      <c r="S87" t="s">
        <v>241</v>
      </c>
      <c r="T87" t="s">
        <v>241</v>
      </c>
      <c r="U87" t="s">
        <v>241</v>
      </c>
      <c r="V87" t="s">
        <v>241</v>
      </c>
      <c r="W87" t="s">
        <v>17</v>
      </c>
      <c r="X87" t="s">
        <v>99</v>
      </c>
    </row>
    <row r="88">
      <c r="A88" t="s">
        <v>241</v>
      </c>
      <c r="B88" t="s">
        <v>241</v>
      </c>
      <c r="C88" t="s">
        <v>241</v>
      </c>
      <c r="D88" t="s">
        <v>241</v>
      </c>
      <c r="E88" t="s">
        <v>241</v>
      </c>
      <c r="F88" t="s">
        <v>241</v>
      </c>
      <c r="G88" t="s">
        <v>241</v>
      </c>
      <c r="H88" t="s">
        <v>241</v>
      </c>
      <c r="I88" t="s">
        <v>241</v>
      </c>
      <c r="J88" t="s">
        <v>241</v>
      </c>
      <c r="K88" t="s">
        <v>241</v>
      </c>
      <c r="L88" t="s">
        <v>241</v>
      </c>
      <c r="M88" t="s">
        <v>241</v>
      </c>
      <c r="N88" t="s">
        <v>241</v>
      </c>
      <c r="O88" t="s">
        <v>241</v>
      </c>
      <c r="P88" t="s">
        <v>241</v>
      </c>
      <c r="Q88" t="s">
        <v>241</v>
      </c>
      <c r="R88" t="s">
        <v>241</v>
      </c>
      <c r="S88" t="s">
        <v>241</v>
      </c>
      <c r="T88" t="s">
        <v>241</v>
      </c>
      <c r="U88" t="s">
        <v>19</v>
      </c>
      <c r="V88" t="s">
        <v>108</v>
      </c>
      <c r="W88" t="s">
        <v>241</v>
      </c>
      <c r="X88" t="s">
        <v>241</v>
      </c>
    </row>
    <row r="89">
      <c r="A89" t="s">
        <v>241</v>
      </c>
      <c r="B89" t="s">
        <v>241</v>
      </c>
      <c r="C89" t="s">
        <v>241</v>
      </c>
      <c r="D89" t="s">
        <v>241</v>
      </c>
      <c r="E89" t="s">
        <v>241</v>
      </c>
      <c r="F89" t="s">
        <v>241</v>
      </c>
      <c r="G89" t="s">
        <v>241</v>
      </c>
      <c r="H89" t="s">
        <v>241</v>
      </c>
      <c r="I89" t="s">
        <v>241</v>
      </c>
      <c r="J89" t="s">
        <v>241</v>
      </c>
      <c r="K89" t="s">
        <v>241</v>
      </c>
      <c r="L89" t="s">
        <v>241</v>
      </c>
      <c r="M89" t="s">
        <v>241</v>
      </c>
      <c r="N89" t="s">
        <v>241</v>
      </c>
      <c r="O89" t="s">
        <v>241</v>
      </c>
      <c r="P89" t="s">
        <v>241</v>
      </c>
      <c r="Q89" t="s">
        <v>241</v>
      </c>
      <c r="R89" t="s">
        <v>241</v>
      </c>
      <c r="S89" t="s">
        <v>15</v>
      </c>
      <c r="T89" t="s">
        <v>76</v>
      </c>
      <c r="U89" t="s">
        <v>241</v>
      </c>
      <c r="V89" t="s">
        <v>241</v>
      </c>
      <c r="W89" t="s">
        <v>241</v>
      </c>
      <c r="X89" t="s">
        <v>241</v>
      </c>
    </row>
    <row r="90">
      <c r="A90" t="s">
        <v>241</v>
      </c>
      <c r="B90" t="s">
        <v>241</v>
      </c>
      <c r="C90" t="s">
        <v>241</v>
      </c>
      <c r="D90" t="s">
        <v>241</v>
      </c>
      <c r="E90" t="s">
        <v>241</v>
      </c>
      <c r="F90" t="s">
        <v>241</v>
      </c>
      <c r="G90" t="s">
        <v>241</v>
      </c>
      <c r="H90" t="s">
        <v>241</v>
      </c>
      <c r="I90" t="s">
        <v>241</v>
      </c>
      <c r="J90" t="s">
        <v>241</v>
      </c>
      <c r="K90" t="s">
        <v>241</v>
      </c>
      <c r="L90" t="s">
        <v>241</v>
      </c>
      <c r="M90" t="s">
        <v>241</v>
      </c>
      <c r="N90" t="s">
        <v>241</v>
      </c>
      <c r="O90" t="s">
        <v>241</v>
      </c>
      <c r="P90" t="s">
        <v>241</v>
      </c>
      <c r="Q90" t="s">
        <v>15</v>
      </c>
      <c r="R90" t="s">
        <v>92</v>
      </c>
      <c r="S90" t="s">
        <v>241</v>
      </c>
      <c r="T90" t="s">
        <v>241</v>
      </c>
      <c r="U90" t="s">
        <v>241</v>
      </c>
      <c r="V90" t="s">
        <v>241</v>
      </c>
      <c r="W90" t="s">
        <v>241</v>
      </c>
      <c r="X90" t="s">
        <v>241</v>
      </c>
    </row>
    <row r="91">
      <c r="A91" t="s">
        <v>241</v>
      </c>
      <c r="B91" t="s">
        <v>241</v>
      </c>
      <c r="C91" t="s">
        <v>241</v>
      </c>
      <c r="D91" t="s">
        <v>241</v>
      </c>
      <c r="E91" t="s">
        <v>241</v>
      </c>
      <c r="F91" t="s">
        <v>241</v>
      </c>
      <c r="G91" t="s">
        <v>241</v>
      </c>
      <c r="H91" t="s">
        <v>241</v>
      </c>
      <c r="I91" t="s">
        <v>241</v>
      </c>
      <c r="J91" t="s">
        <v>241</v>
      </c>
      <c r="K91" t="s">
        <v>241</v>
      </c>
      <c r="L91" t="s">
        <v>241</v>
      </c>
      <c r="M91" t="s">
        <v>241</v>
      </c>
      <c r="N91" t="s">
        <v>241</v>
      </c>
      <c r="O91" t="s">
        <v>15</v>
      </c>
      <c r="P91" t="s">
        <v>95</v>
      </c>
      <c r="Q91" t="s">
        <v>241</v>
      </c>
      <c r="R91" t="s">
        <v>241</v>
      </c>
      <c r="S91" t="s">
        <v>241</v>
      </c>
      <c r="T91" t="s">
        <v>241</v>
      </c>
      <c r="U91" t="s">
        <v>241</v>
      </c>
      <c r="V91" t="s">
        <v>241</v>
      </c>
      <c r="W91" t="s">
        <v>241</v>
      </c>
      <c r="X91" t="s">
        <v>241</v>
      </c>
    </row>
    <row r="92">
      <c r="A92" t="s">
        <v>241</v>
      </c>
      <c r="B92" t="s">
        <v>241</v>
      </c>
      <c r="C92" t="s">
        <v>241</v>
      </c>
      <c r="D92" t="s">
        <v>241</v>
      </c>
      <c r="E92" t="s">
        <v>241</v>
      </c>
      <c r="F92" t="s">
        <v>241</v>
      </c>
      <c r="G92" t="s">
        <v>241</v>
      </c>
      <c r="H92" t="s">
        <v>241</v>
      </c>
      <c r="I92" t="s">
        <v>241</v>
      </c>
      <c r="J92" t="s">
        <v>241</v>
      </c>
      <c r="K92" t="s">
        <v>241</v>
      </c>
      <c r="L92" t="s">
        <v>241</v>
      </c>
      <c r="M92" t="s">
        <v>20</v>
      </c>
      <c r="N92" t="s">
        <v>135</v>
      </c>
      <c r="O92" t="s">
        <v>241</v>
      </c>
      <c r="P92" t="s">
        <v>241</v>
      </c>
      <c r="Q92" t="s">
        <v>241</v>
      </c>
      <c r="R92" t="s">
        <v>241</v>
      </c>
      <c r="S92" t="s">
        <v>241</v>
      </c>
      <c r="T92" t="s">
        <v>241</v>
      </c>
      <c r="U92" t="s">
        <v>241</v>
      </c>
      <c r="V92" t="s">
        <v>241</v>
      </c>
      <c r="W92" t="s">
        <v>241</v>
      </c>
      <c r="X92" t="s">
        <v>241</v>
      </c>
    </row>
    <row r="93">
      <c r="A93" t="s">
        <v>241</v>
      </c>
      <c r="B93" t="s">
        <v>241</v>
      </c>
      <c r="C93" t="s">
        <v>241</v>
      </c>
      <c r="D93" t="s">
        <v>241</v>
      </c>
      <c r="E93" t="s">
        <v>241</v>
      </c>
      <c r="F93" t="s">
        <v>241</v>
      </c>
      <c r="G93" t="s">
        <v>241</v>
      </c>
      <c r="H93" t="s">
        <v>241</v>
      </c>
      <c r="I93" t="s">
        <v>241</v>
      </c>
      <c r="J93" t="s">
        <v>241</v>
      </c>
      <c r="K93" t="s">
        <v>15</v>
      </c>
      <c r="L93" t="s">
        <v>93</v>
      </c>
      <c r="M93" t="s">
        <v>241</v>
      </c>
      <c r="N93" t="s">
        <v>241</v>
      </c>
      <c r="O93" t="s">
        <v>241</v>
      </c>
      <c r="P93" t="s">
        <v>241</v>
      </c>
      <c r="Q93" t="s">
        <v>241</v>
      </c>
      <c r="R93" t="s">
        <v>241</v>
      </c>
      <c r="S93" t="s">
        <v>241</v>
      </c>
      <c r="T93" t="s">
        <v>241</v>
      </c>
      <c r="U93" t="s">
        <v>241</v>
      </c>
      <c r="V93" t="s">
        <v>241</v>
      </c>
      <c r="W93" t="s">
        <v>241</v>
      </c>
      <c r="X93" t="s">
        <v>241</v>
      </c>
    </row>
    <row r="94">
      <c r="A94" t="s">
        <v>241</v>
      </c>
      <c r="B94" t="s">
        <v>241</v>
      </c>
      <c r="C94" t="s">
        <v>241</v>
      </c>
      <c r="D94" t="s">
        <v>241</v>
      </c>
      <c r="E94" t="s">
        <v>241</v>
      </c>
      <c r="F94" t="s">
        <v>241</v>
      </c>
      <c r="G94" t="s">
        <v>241</v>
      </c>
      <c r="H94" t="s">
        <v>241</v>
      </c>
      <c r="I94" t="s">
        <v>20</v>
      </c>
      <c r="J94" t="s">
        <v>127</v>
      </c>
      <c r="K94" t="s">
        <v>241</v>
      </c>
      <c r="L94" t="s">
        <v>241</v>
      </c>
      <c r="M94" t="s">
        <v>241</v>
      </c>
      <c r="N94" t="s">
        <v>241</v>
      </c>
      <c r="O94" t="s">
        <v>241</v>
      </c>
      <c r="P94" t="s">
        <v>241</v>
      </c>
      <c r="Q94" t="s">
        <v>241</v>
      </c>
      <c r="R94" t="s">
        <v>241</v>
      </c>
      <c r="S94" t="s">
        <v>241</v>
      </c>
      <c r="T94" t="s">
        <v>241</v>
      </c>
      <c r="U94" t="s">
        <v>241</v>
      </c>
      <c r="V94" t="s">
        <v>241</v>
      </c>
      <c r="W94" t="s">
        <v>241</v>
      </c>
      <c r="X94" t="s">
        <v>241</v>
      </c>
    </row>
    <row r="95">
      <c r="A95" t="s">
        <v>241</v>
      </c>
      <c r="B95" t="s">
        <v>241</v>
      </c>
      <c r="C95" t="s">
        <v>241</v>
      </c>
      <c r="D95" t="s">
        <v>241</v>
      </c>
      <c r="E95" t="s">
        <v>241</v>
      </c>
      <c r="F95" t="s">
        <v>241</v>
      </c>
      <c r="G95" t="s">
        <v>20</v>
      </c>
      <c r="H95" t="s">
        <v>132</v>
      </c>
      <c r="I95" t="s">
        <v>241</v>
      </c>
      <c r="J95" t="s">
        <v>241</v>
      </c>
      <c r="K95" t="s">
        <v>241</v>
      </c>
      <c r="L95" t="s">
        <v>241</v>
      </c>
      <c r="M95" t="s">
        <v>241</v>
      </c>
      <c r="N95" t="s">
        <v>241</v>
      </c>
      <c r="O95" t="s">
        <v>241</v>
      </c>
      <c r="P95" t="s">
        <v>241</v>
      </c>
      <c r="Q95" t="s">
        <v>241</v>
      </c>
      <c r="R95" t="s">
        <v>241</v>
      </c>
      <c r="S95" t="s">
        <v>241</v>
      </c>
      <c r="T95" t="s">
        <v>241</v>
      </c>
      <c r="U95" t="s">
        <v>241</v>
      </c>
      <c r="V95" t="s">
        <v>241</v>
      </c>
      <c r="W95" t="s">
        <v>241</v>
      </c>
      <c r="X95" t="s">
        <v>241</v>
      </c>
    </row>
    <row r="96">
      <c r="A96" t="s">
        <v>241</v>
      </c>
      <c r="B96" t="s">
        <v>241</v>
      </c>
      <c r="C96" t="s">
        <v>241</v>
      </c>
      <c r="D96" t="s">
        <v>241</v>
      </c>
      <c r="E96" t="s">
        <v>15</v>
      </c>
      <c r="F96" t="s">
        <v>91</v>
      </c>
      <c r="G96" t="s">
        <v>241</v>
      </c>
      <c r="H96" t="s">
        <v>241</v>
      </c>
      <c r="I96" t="s">
        <v>241</v>
      </c>
      <c r="J96" t="s">
        <v>241</v>
      </c>
      <c r="K96" t="s">
        <v>241</v>
      </c>
      <c r="L96" t="s">
        <v>241</v>
      </c>
      <c r="M96" t="s">
        <v>241</v>
      </c>
      <c r="N96" t="s">
        <v>241</v>
      </c>
      <c r="O96" t="s">
        <v>241</v>
      </c>
      <c r="P96" t="s">
        <v>241</v>
      </c>
      <c r="Q96" t="s">
        <v>241</v>
      </c>
      <c r="R96" t="s">
        <v>241</v>
      </c>
      <c r="S96" t="s">
        <v>241</v>
      </c>
      <c r="T96" t="s">
        <v>241</v>
      </c>
      <c r="U96" t="s">
        <v>241</v>
      </c>
      <c r="V96" t="s">
        <v>241</v>
      </c>
      <c r="W96" t="s">
        <v>241</v>
      </c>
      <c r="X96" t="s">
        <v>241</v>
      </c>
    </row>
    <row r="97">
      <c r="A97" t="s">
        <v>241</v>
      </c>
      <c r="B97" t="s">
        <v>241</v>
      </c>
      <c r="C97" t="s">
        <v>20</v>
      </c>
      <c r="D97" t="s">
        <v>129</v>
      </c>
      <c r="E97" t="s">
        <v>241</v>
      </c>
      <c r="F97" t="s">
        <v>241</v>
      </c>
      <c r="G97" t="s">
        <v>241</v>
      </c>
      <c r="H97" t="s">
        <v>241</v>
      </c>
      <c r="I97" t="s">
        <v>241</v>
      </c>
      <c r="J97" t="s">
        <v>241</v>
      </c>
      <c r="K97" t="s">
        <v>241</v>
      </c>
      <c r="L97" t="s">
        <v>241</v>
      </c>
      <c r="M97" t="s">
        <v>241</v>
      </c>
      <c r="N97" t="s">
        <v>241</v>
      </c>
      <c r="O97" t="s">
        <v>241</v>
      </c>
      <c r="P97" t="s">
        <v>241</v>
      </c>
      <c r="Q97" t="s">
        <v>241</v>
      </c>
      <c r="R97" t="s">
        <v>241</v>
      </c>
      <c r="S97" t="s">
        <v>241</v>
      </c>
      <c r="T97" t="s">
        <v>241</v>
      </c>
      <c r="U97" t="s">
        <v>241</v>
      </c>
      <c r="V97" t="s">
        <v>241</v>
      </c>
      <c r="W97" t="s">
        <v>241</v>
      </c>
      <c r="X97" t="s">
        <v>241</v>
      </c>
    </row>
    <row r="98">
      <c r="A98" t="s">
        <v>22</v>
      </c>
      <c r="B98" t="s">
        <v>138</v>
      </c>
      <c r="C98" t="s">
        <v>241</v>
      </c>
      <c r="D98" t="s">
        <v>241</v>
      </c>
      <c r="E98" t="s">
        <v>241</v>
      </c>
      <c r="F98" t="s">
        <v>241</v>
      </c>
      <c r="G98" t="s">
        <v>241</v>
      </c>
      <c r="H98" t="s">
        <v>241</v>
      </c>
      <c r="I98" t="s">
        <v>241</v>
      </c>
      <c r="J98" t="s">
        <v>241</v>
      </c>
      <c r="K98" t="s">
        <v>241</v>
      </c>
      <c r="L98" t="s">
        <v>241</v>
      </c>
      <c r="M98" t="s">
        <v>241</v>
      </c>
      <c r="N98" t="s">
        <v>241</v>
      </c>
      <c r="O98" t="s">
        <v>241</v>
      </c>
      <c r="P98" t="s">
        <v>241</v>
      </c>
      <c r="Q98" t="s">
        <v>241</v>
      </c>
      <c r="R98" t="s">
        <v>241</v>
      </c>
      <c r="S98" t="s">
        <v>241</v>
      </c>
      <c r="T98" t="s">
        <v>241</v>
      </c>
      <c r="U98" t="s">
        <v>241</v>
      </c>
      <c r="V98" t="s">
        <v>241</v>
      </c>
      <c r="W98" t="s">
        <v>241</v>
      </c>
      <c r="X98" t="s">
        <v>241</v>
      </c>
    </row>
    <row r="99">
      <c r="A99" t="s">
        <v>30</v>
      </c>
      <c r="B99" t="s">
        <v>195</v>
      </c>
      <c r="C99" t="s">
        <v>241</v>
      </c>
      <c r="D99" t="s">
        <v>241</v>
      </c>
      <c r="E99" t="s">
        <v>241</v>
      </c>
      <c r="F99" t="s">
        <v>241</v>
      </c>
      <c r="G99" t="s">
        <v>241</v>
      </c>
      <c r="H99" t="s">
        <v>241</v>
      </c>
      <c r="I99" t="s">
        <v>241</v>
      </c>
      <c r="J99" t="s">
        <v>241</v>
      </c>
      <c r="K99" t="s">
        <v>241</v>
      </c>
      <c r="L99" t="s">
        <v>241</v>
      </c>
      <c r="M99" t="s">
        <v>241</v>
      </c>
      <c r="N99" t="s">
        <v>241</v>
      </c>
      <c r="O99" t="s">
        <v>241</v>
      </c>
      <c r="P99" t="s">
        <v>241</v>
      </c>
      <c r="Q99" t="s">
        <v>241</v>
      </c>
      <c r="R99" t="s">
        <v>241</v>
      </c>
      <c r="S99" t="s">
        <v>241</v>
      </c>
      <c r="T99" t="s">
        <v>241</v>
      </c>
      <c r="U99" t="s">
        <v>241</v>
      </c>
      <c r="V99" t="s">
        <v>241</v>
      </c>
      <c r="W99" t="s">
        <v>241</v>
      </c>
      <c r="X99" t="s">
        <v>241</v>
      </c>
    </row>
    <row r="100">
      <c r="A100" t="s">
        <v>241</v>
      </c>
      <c r="B100" t="s">
        <v>241</v>
      </c>
      <c r="C100" t="s">
        <v>30</v>
      </c>
      <c r="D100" t="s">
        <v>198</v>
      </c>
      <c r="E100" t="s">
        <v>241</v>
      </c>
      <c r="F100" t="s">
        <v>241</v>
      </c>
      <c r="G100" t="s">
        <v>241</v>
      </c>
      <c r="H100" t="s">
        <v>241</v>
      </c>
      <c r="I100" t="s">
        <v>241</v>
      </c>
      <c r="J100" t="s">
        <v>241</v>
      </c>
      <c r="K100" t="s">
        <v>241</v>
      </c>
      <c r="L100" t="s">
        <v>241</v>
      </c>
      <c r="M100" t="s">
        <v>241</v>
      </c>
      <c r="N100" t="s">
        <v>241</v>
      </c>
      <c r="O100" t="s">
        <v>241</v>
      </c>
      <c r="P100" t="s">
        <v>241</v>
      </c>
      <c r="Q100" t="s">
        <v>241</v>
      </c>
      <c r="R100" t="s">
        <v>241</v>
      </c>
      <c r="S100" t="s">
        <v>241</v>
      </c>
      <c r="T100" t="s">
        <v>241</v>
      </c>
      <c r="U100" t="s">
        <v>241</v>
      </c>
      <c r="V100" t="s">
        <v>241</v>
      </c>
      <c r="W100" t="s">
        <v>241</v>
      </c>
      <c r="X100" t="s">
        <v>241</v>
      </c>
    </row>
    <row r="101">
      <c r="A101" t="s">
        <v>241</v>
      </c>
      <c r="B101" t="s">
        <v>241</v>
      </c>
      <c r="C101" t="s">
        <v>241</v>
      </c>
      <c r="D101" t="s">
        <v>241</v>
      </c>
      <c r="E101" t="s">
        <v>28</v>
      </c>
      <c r="F101" t="s">
        <v>180</v>
      </c>
      <c r="G101" t="s">
        <v>241</v>
      </c>
      <c r="H101" t="s">
        <v>241</v>
      </c>
      <c r="I101" t="s">
        <v>241</v>
      </c>
      <c r="J101" t="s">
        <v>241</v>
      </c>
      <c r="K101" t="s">
        <v>241</v>
      </c>
      <c r="L101" t="s">
        <v>241</v>
      </c>
      <c r="M101" t="s">
        <v>241</v>
      </c>
      <c r="N101" t="s">
        <v>241</v>
      </c>
      <c r="O101" t="s">
        <v>241</v>
      </c>
      <c r="P101" t="s">
        <v>241</v>
      </c>
      <c r="Q101" t="s">
        <v>241</v>
      </c>
      <c r="R101" t="s">
        <v>241</v>
      </c>
      <c r="S101" t="s">
        <v>241</v>
      </c>
      <c r="T101" t="s">
        <v>241</v>
      </c>
      <c r="U101" t="s">
        <v>241</v>
      </c>
      <c r="V101" t="s">
        <v>241</v>
      </c>
      <c r="W101" t="s">
        <v>241</v>
      </c>
      <c r="X101" t="s">
        <v>241</v>
      </c>
    </row>
    <row r="102">
      <c r="A102" t="s">
        <v>241</v>
      </c>
      <c r="B102" t="s">
        <v>241</v>
      </c>
      <c r="C102" t="s">
        <v>241</v>
      </c>
      <c r="D102" t="s">
        <v>241</v>
      </c>
      <c r="E102" t="s">
        <v>241</v>
      </c>
      <c r="F102" t="s">
        <v>241</v>
      </c>
      <c r="G102" t="s">
        <v>15</v>
      </c>
      <c r="H102" t="s">
        <v>61</v>
      </c>
      <c r="I102" t="s">
        <v>241</v>
      </c>
      <c r="J102" t="s">
        <v>241</v>
      </c>
      <c r="K102" t="s">
        <v>241</v>
      </c>
      <c r="L102" t="s">
        <v>241</v>
      </c>
      <c r="M102" t="s">
        <v>241</v>
      </c>
      <c r="N102" t="s">
        <v>241</v>
      </c>
      <c r="O102" t="s">
        <v>241</v>
      </c>
      <c r="P102" t="s">
        <v>241</v>
      </c>
      <c r="Q102" t="s">
        <v>241</v>
      </c>
      <c r="R102" t="s">
        <v>241</v>
      </c>
      <c r="S102" t="s">
        <v>241</v>
      </c>
      <c r="T102" t="s">
        <v>241</v>
      </c>
      <c r="U102" t="s">
        <v>241</v>
      </c>
      <c r="V102" t="s">
        <v>241</v>
      </c>
      <c r="W102" t="s">
        <v>241</v>
      </c>
      <c r="X102" t="s">
        <v>241</v>
      </c>
    </row>
    <row r="103">
      <c r="A103" t="s">
        <v>241</v>
      </c>
      <c r="B103" t="s">
        <v>241</v>
      </c>
      <c r="C103" t="s">
        <v>241</v>
      </c>
      <c r="D103" t="s">
        <v>241</v>
      </c>
      <c r="E103" t="s">
        <v>241</v>
      </c>
      <c r="F103" t="s">
        <v>241</v>
      </c>
      <c r="G103" t="s">
        <v>241</v>
      </c>
      <c r="H103" t="s">
        <v>241</v>
      </c>
      <c r="I103" t="s">
        <v>17</v>
      </c>
      <c r="J103" t="s">
        <v>105</v>
      </c>
      <c r="K103" t="s">
        <v>241</v>
      </c>
      <c r="L103" t="s">
        <v>241</v>
      </c>
      <c r="M103" t="s">
        <v>241</v>
      </c>
      <c r="N103" t="s">
        <v>241</v>
      </c>
      <c r="O103" t="s">
        <v>241</v>
      </c>
      <c r="P103" t="s">
        <v>241</v>
      </c>
      <c r="Q103" t="s">
        <v>241</v>
      </c>
      <c r="R103" t="s">
        <v>241</v>
      </c>
      <c r="S103" t="s">
        <v>241</v>
      </c>
      <c r="T103" t="s">
        <v>241</v>
      </c>
      <c r="U103" t="s">
        <v>241</v>
      </c>
      <c r="V103" t="s">
        <v>241</v>
      </c>
      <c r="W103" t="s">
        <v>241</v>
      </c>
      <c r="X103" t="s">
        <v>241</v>
      </c>
    </row>
    <row r="104">
      <c r="A104" t="s">
        <v>241</v>
      </c>
      <c r="B104" t="s">
        <v>241</v>
      </c>
      <c r="C104" t="s">
        <v>241</v>
      </c>
      <c r="D104" t="s">
        <v>241</v>
      </c>
      <c r="E104" t="s">
        <v>241</v>
      </c>
      <c r="F104" t="s">
        <v>241</v>
      </c>
      <c r="G104" t="s">
        <v>241</v>
      </c>
      <c r="H104" t="s">
        <v>241</v>
      </c>
      <c r="I104" t="s">
        <v>241</v>
      </c>
      <c r="J104" t="s">
        <v>241</v>
      </c>
      <c r="K104" t="s">
        <v>28</v>
      </c>
      <c r="L104" t="s">
        <v>179</v>
      </c>
      <c r="M104" t="s">
        <v>241</v>
      </c>
      <c r="N104" t="s">
        <v>241</v>
      </c>
      <c r="O104" t="s">
        <v>241</v>
      </c>
      <c r="P104" t="s">
        <v>241</v>
      </c>
      <c r="Q104" t="s">
        <v>241</v>
      </c>
      <c r="R104" t="s">
        <v>241</v>
      </c>
      <c r="S104" t="s">
        <v>241</v>
      </c>
      <c r="T104" t="s">
        <v>241</v>
      </c>
      <c r="U104" t="s">
        <v>241</v>
      </c>
      <c r="V104" t="s">
        <v>241</v>
      </c>
      <c r="W104" t="s">
        <v>241</v>
      </c>
      <c r="X104" t="s">
        <v>241</v>
      </c>
    </row>
    <row r="105">
      <c r="A105" t="s">
        <v>241</v>
      </c>
      <c r="B105" t="s">
        <v>241</v>
      </c>
      <c r="C105" t="s">
        <v>241</v>
      </c>
      <c r="D105" t="s">
        <v>241</v>
      </c>
      <c r="E105" t="s">
        <v>241</v>
      </c>
      <c r="F105" t="s">
        <v>241</v>
      </c>
      <c r="G105" t="s">
        <v>241</v>
      </c>
      <c r="H105" t="s">
        <v>241</v>
      </c>
      <c r="I105" t="s">
        <v>241</v>
      </c>
      <c r="J105" t="s">
        <v>241</v>
      </c>
      <c r="K105" t="s">
        <v>241</v>
      </c>
      <c r="L105" t="s">
        <v>241</v>
      </c>
      <c r="M105" t="s">
        <v>28</v>
      </c>
      <c r="N105" t="s">
        <v>183</v>
      </c>
      <c r="O105" t="s">
        <v>241</v>
      </c>
      <c r="P105" t="s">
        <v>241</v>
      </c>
      <c r="Q105" t="s">
        <v>241</v>
      </c>
      <c r="R105" t="s">
        <v>241</v>
      </c>
      <c r="S105" t="s">
        <v>241</v>
      </c>
      <c r="T105" t="s">
        <v>241</v>
      </c>
      <c r="U105" t="s">
        <v>241</v>
      </c>
      <c r="V105" t="s">
        <v>241</v>
      </c>
      <c r="W105" t="s">
        <v>241</v>
      </c>
      <c r="X105" t="s">
        <v>241</v>
      </c>
    </row>
    <row r="106">
      <c r="A106" t="s">
        <v>241</v>
      </c>
      <c r="B106" t="s">
        <v>241</v>
      </c>
      <c r="C106" t="s">
        <v>241</v>
      </c>
      <c r="D106" t="s">
        <v>241</v>
      </c>
      <c r="E106" t="s">
        <v>241</v>
      </c>
      <c r="F106" t="s">
        <v>241</v>
      </c>
      <c r="G106" t="s">
        <v>241</v>
      </c>
      <c r="H106" t="s">
        <v>241</v>
      </c>
      <c r="I106" t="s">
        <v>241</v>
      </c>
      <c r="J106" t="s">
        <v>241</v>
      </c>
      <c r="K106" t="s">
        <v>241</v>
      </c>
      <c r="L106" t="s">
        <v>241</v>
      </c>
      <c r="M106" t="s">
        <v>241</v>
      </c>
      <c r="N106" t="s">
        <v>241</v>
      </c>
      <c r="O106" t="s">
        <v>26</v>
      </c>
      <c r="P106" t="s">
        <v>166</v>
      </c>
      <c r="Q106" t="s">
        <v>241</v>
      </c>
      <c r="R106" t="s">
        <v>241</v>
      </c>
      <c r="S106" t="s">
        <v>241</v>
      </c>
      <c r="T106" t="s">
        <v>241</v>
      </c>
      <c r="U106" t="s">
        <v>241</v>
      </c>
      <c r="V106" t="s">
        <v>241</v>
      </c>
      <c r="W106" t="s">
        <v>241</v>
      </c>
      <c r="X106" t="s">
        <v>241</v>
      </c>
    </row>
    <row r="107">
      <c r="A107" t="s">
        <v>241</v>
      </c>
      <c r="B107" t="s">
        <v>241</v>
      </c>
      <c r="C107" t="s">
        <v>241</v>
      </c>
      <c r="D107" t="s">
        <v>241</v>
      </c>
      <c r="E107" t="s">
        <v>241</v>
      </c>
      <c r="F107" t="s">
        <v>241</v>
      </c>
      <c r="G107" t="s">
        <v>241</v>
      </c>
      <c r="H107" t="s">
        <v>241</v>
      </c>
      <c r="I107" t="s">
        <v>241</v>
      </c>
      <c r="J107" t="s">
        <v>241</v>
      </c>
      <c r="K107" t="s">
        <v>241</v>
      </c>
      <c r="L107" t="s">
        <v>241</v>
      </c>
      <c r="M107" t="s">
        <v>241</v>
      </c>
      <c r="N107" t="s">
        <v>241</v>
      </c>
      <c r="O107" t="s">
        <v>241</v>
      </c>
      <c r="P107" t="s">
        <v>241</v>
      </c>
      <c r="Q107" t="s">
        <v>22</v>
      </c>
      <c r="R107" t="s">
        <v>143</v>
      </c>
      <c r="S107" t="s">
        <v>241</v>
      </c>
      <c r="T107" t="s">
        <v>241</v>
      </c>
      <c r="U107" t="s">
        <v>241</v>
      </c>
      <c r="V107" t="s">
        <v>241</v>
      </c>
      <c r="W107" t="s">
        <v>241</v>
      </c>
      <c r="X107" t="s">
        <v>241</v>
      </c>
    </row>
    <row r="108">
      <c r="A108" t="s">
        <v>241</v>
      </c>
      <c r="B108" t="s">
        <v>241</v>
      </c>
      <c r="C108" t="s">
        <v>241</v>
      </c>
      <c r="D108" t="s">
        <v>241</v>
      </c>
      <c r="E108" t="s">
        <v>241</v>
      </c>
      <c r="F108" t="s">
        <v>241</v>
      </c>
      <c r="G108" t="s">
        <v>241</v>
      </c>
      <c r="H108" t="s">
        <v>241</v>
      </c>
      <c r="I108" t="s">
        <v>241</v>
      </c>
      <c r="J108" t="s">
        <v>241</v>
      </c>
      <c r="K108" t="s">
        <v>241</v>
      </c>
      <c r="L108" t="s">
        <v>241</v>
      </c>
      <c r="M108" t="s">
        <v>241</v>
      </c>
      <c r="N108" t="s">
        <v>241</v>
      </c>
      <c r="O108" t="s">
        <v>241</v>
      </c>
      <c r="P108" t="s">
        <v>241</v>
      </c>
      <c r="Q108" t="s">
        <v>241</v>
      </c>
      <c r="R108" t="s">
        <v>241</v>
      </c>
      <c r="S108" t="s">
        <v>28</v>
      </c>
      <c r="T108" t="s">
        <v>177</v>
      </c>
      <c r="U108" t="s">
        <v>241</v>
      </c>
      <c r="V108" t="s">
        <v>241</v>
      </c>
      <c r="W108" t="s">
        <v>241</v>
      </c>
      <c r="X108" t="s">
        <v>241</v>
      </c>
    </row>
    <row r="109">
      <c r="A109" t="s">
        <v>241</v>
      </c>
      <c r="B109" t="s">
        <v>241</v>
      </c>
      <c r="C109" t="s">
        <v>241</v>
      </c>
      <c r="D109" t="s">
        <v>241</v>
      </c>
      <c r="E109" t="s">
        <v>241</v>
      </c>
      <c r="F109" t="s">
        <v>241</v>
      </c>
      <c r="G109" t="s">
        <v>241</v>
      </c>
      <c r="H109" t="s">
        <v>241</v>
      </c>
      <c r="I109" t="s">
        <v>241</v>
      </c>
      <c r="J109" t="s">
        <v>241</v>
      </c>
      <c r="K109" t="s">
        <v>241</v>
      </c>
      <c r="L109" t="s">
        <v>241</v>
      </c>
      <c r="M109" t="s">
        <v>241</v>
      </c>
      <c r="N109" t="s">
        <v>241</v>
      </c>
      <c r="O109" t="s">
        <v>241</v>
      </c>
      <c r="P109" t="s">
        <v>241</v>
      </c>
      <c r="Q109" t="s">
        <v>241</v>
      </c>
      <c r="R109" t="s">
        <v>241</v>
      </c>
      <c r="S109" t="s">
        <v>241</v>
      </c>
      <c r="T109" t="s">
        <v>241</v>
      </c>
      <c r="U109" t="s">
        <v>24</v>
      </c>
      <c r="V109" t="s">
        <v>151</v>
      </c>
      <c r="W109" t="s">
        <v>241</v>
      </c>
      <c r="X109" t="s">
        <v>241</v>
      </c>
    </row>
    <row r="110">
      <c r="A110" t="s">
        <v>241</v>
      </c>
      <c r="B110" t="s">
        <v>241</v>
      </c>
      <c r="C110" t="s">
        <v>241</v>
      </c>
      <c r="D110" t="s">
        <v>241</v>
      </c>
      <c r="E110" t="s">
        <v>241</v>
      </c>
      <c r="F110" t="s">
        <v>241</v>
      </c>
      <c r="G110" t="s">
        <v>241</v>
      </c>
      <c r="H110" t="s">
        <v>241</v>
      </c>
      <c r="I110" t="s">
        <v>241</v>
      </c>
      <c r="J110" t="s">
        <v>241</v>
      </c>
      <c r="K110" t="s">
        <v>241</v>
      </c>
      <c r="L110" t="s">
        <v>241</v>
      </c>
      <c r="M110" t="s">
        <v>241</v>
      </c>
      <c r="N110" t="s">
        <v>241</v>
      </c>
      <c r="O110" t="s">
        <v>241</v>
      </c>
      <c r="P110" t="s">
        <v>241</v>
      </c>
      <c r="Q110" t="s">
        <v>241</v>
      </c>
      <c r="R110" t="s">
        <v>241</v>
      </c>
      <c r="S110" t="s">
        <v>241</v>
      </c>
      <c r="T110" t="s">
        <v>241</v>
      </c>
      <c r="U110" t="s">
        <v>241</v>
      </c>
      <c r="V110" t="s">
        <v>241</v>
      </c>
      <c r="W110" t="s">
        <v>22</v>
      </c>
      <c r="X110" t="s">
        <v>141</v>
      </c>
    </row>
    <row r="111">
      <c r="A111" t="s">
        <v>241</v>
      </c>
      <c r="B111" t="s">
        <v>241</v>
      </c>
      <c r="C111" t="s">
        <v>241</v>
      </c>
      <c r="D111" t="s">
        <v>241</v>
      </c>
      <c r="E111" t="s">
        <v>241</v>
      </c>
      <c r="F111" t="s">
        <v>241</v>
      </c>
      <c r="G111" t="s">
        <v>241</v>
      </c>
      <c r="H111" t="s">
        <v>241</v>
      </c>
      <c r="I111" t="s">
        <v>241</v>
      </c>
      <c r="J111" t="s">
        <v>241</v>
      </c>
      <c r="K111" t="s">
        <v>241</v>
      </c>
      <c r="L111" t="s">
        <v>241</v>
      </c>
      <c r="M111" t="s">
        <v>241</v>
      </c>
      <c r="N111" t="s">
        <v>241</v>
      </c>
      <c r="O111" t="s">
        <v>241</v>
      </c>
      <c r="P111" t="s">
        <v>241</v>
      </c>
      <c r="Q111" t="s">
        <v>241</v>
      </c>
      <c r="R111" t="s">
        <v>241</v>
      </c>
      <c r="S111" t="s">
        <v>241</v>
      </c>
      <c r="T111" t="s">
        <v>241</v>
      </c>
      <c r="U111" t="s">
        <v>241</v>
      </c>
      <c r="V111" t="s">
        <v>241</v>
      </c>
      <c r="W111" t="s">
        <v>11</v>
      </c>
      <c r="X111" t="s">
        <v>23</v>
      </c>
    </row>
    <row r="112">
      <c r="A112" t="s">
        <v>241</v>
      </c>
      <c r="B112" t="s">
        <v>241</v>
      </c>
      <c r="C112" t="s">
        <v>241</v>
      </c>
      <c r="D112" t="s">
        <v>241</v>
      </c>
      <c r="E112" t="s">
        <v>241</v>
      </c>
      <c r="F112" t="s">
        <v>241</v>
      </c>
      <c r="G112" t="s">
        <v>241</v>
      </c>
      <c r="H112" t="s">
        <v>241</v>
      </c>
      <c r="I112" t="s">
        <v>241</v>
      </c>
      <c r="J112" t="s">
        <v>241</v>
      </c>
      <c r="K112" t="s">
        <v>241</v>
      </c>
      <c r="L112" t="s">
        <v>241</v>
      </c>
      <c r="M112" t="s">
        <v>241</v>
      </c>
      <c r="N112" t="s">
        <v>241</v>
      </c>
      <c r="O112" t="s">
        <v>241</v>
      </c>
      <c r="P112" t="s">
        <v>241</v>
      </c>
      <c r="Q112" t="s">
        <v>241</v>
      </c>
      <c r="R112" t="s">
        <v>241</v>
      </c>
      <c r="S112" t="s">
        <v>241</v>
      </c>
      <c r="T112" t="s">
        <v>241</v>
      </c>
      <c r="U112" t="s">
        <v>28</v>
      </c>
      <c r="V112" t="s">
        <v>182</v>
      </c>
      <c r="W112" t="s">
        <v>241</v>
      </c>
      <c r="X112" t="s">
        <v>241</v>
      </c>
    </row>
    <row r="113">
      <c r="A113" t="s">
        <v>241</v>
      </c>
      <c r="B113" t="s">
        <v>241</v>
      </c>
      <c r="C113" t="s">
        <v>241</v>
      </c>
      <c r="D113" t="s">
        <v>241</v>
      </c>
      <c r="E113" t="s">
        <v>241</v>
      </c>
      <c r="F113" t="s">
        <v>241</v>
      </c>
      <c r="G113" t="s">
        <v>241</v>
      </c>
      <c r="H113" t="s">
        <v>241</v>
      </c>
      <c r="I113" t="s">
        <v>241</v>
      </c>
      <c r="J113" t="s">
        <v>241</v>
      </c>
      <c r="K113" t="s">
        <v>241</v>
      </c>
      <c r="L113" t="s">
        <v>241</v>
      </c>
      <c r="M113" t="s">
        <v>241</v>
      </c>
      <c r="N113" t="s">
        <v>241</v>
      </c>
      <c r="O113" t="s">
        <v>241</v>
      </c>
      <c r="P113" t="s">
        <v>241</v>
      </c>
      <c r="Q113" t="s">
        <v>241</v>
      </c>
      <c r="R113" t="s">
        <v>241</v>
      </c>
      <c r="S113" t="s">
        <v>17</v>
      </c>
      <c r="T113" t="s">
        <v>98</v>
      </c>
      <c r="U113" t="s">
        <v>241</v>
      </c>
      <c r="V113" t="s">
        <v>241</v>
      </c>
      <c r="W113" t="s">
        <v>241</v>
      </c>
      <c r="X113" t="s">
        <v>241</v>
      </c>
    </row>
    <row r="114">
      <c r="A114" t="s">
        <v>241</v>
      </c>
      <c r="B114" t="s">
        <v>241</v>
      </c>
      <c r="C114" t="s">
        <v>241</v>
      </c>
      <c r="D114" t="s">
        <v>241</v>
      </c>
      <c r="E114" t="s">
        <v>241</v>
      </c>
      <c r="F114" t="s">
        <v>241</v>
      </c>
      <c r="G114" t="s">
        <v>241</v>
      </c>
      <c r="H114" t="s">
        <v>241</v>
      </c>
      <c r="I114" t="s">
        <v>241</v>
      </c>
      <c r="J114" t="s">
        <v>241</v>
      </c>
      <c r="K114" t="s">
        <v>241</v>
      </c>
      <c r="L114" t="s">
        <v>241</v>
      </c>
      <c r="M114" t="s">
        <v>241</v>
      </c>
      <c r="N114" t="s">
        <v>241</v>
      </c>
      <c r="O114" t="s">
        <v>241</v>
      </c>
      <c r="P114" t="s">
        <v>241</v>
      </c>
      <c r="Q114" t="s">
        <v>30</v>
      </c>
      <c r="R114" t="s">
        <v>192</v>
      </c>
      <c r="S114" t="s">
        <v>241</v>
      </c>
      <c r="T114" t="s">
        <v>241</v>
      </c>
      <c r="U114" t="s">
        <v>241</v>
      </c>
      <c r="V114" t="s">
        <v>241</v>
      </c>
      <c r="W114" t="s">
        <v>241</v>
      </c>
      <c r="X114" t="s">
        <v>241</v>
      </c>
    </row>
    <row r="115">
      <c r="A115" t="s">
        <v>241</v>
      </c>
      <c r="B115" t="s">
        <v>241</v>
      </c>
      <c r="C115" t="s">
        <v>241</v>
      </c>
      <c r="D115" t="s">
        <v>241</v>
      </c>
      <c r="E115" t="s">
        <v>241</v>
      </c>
      <c r="F115" t="s">
        <v>241</v>
      </c>
      <c r="G115" t="s">
        <v>241</v>
      </c>
      <c r="H115" t="s">
        <v>241</v>
      </c>
      <c r="I115" t="s">
        <v>241</v>
      </c>
      <c r="J115" t="s">
        <v>241</v>
      </c>
      <c r="K115" t="s">
        <v>241</v>
      </c>
      <c r="L115" t="s">
        <v>241</v>
      </c>
      <c r="M115" t="s">
        <v>241</v>
      </c>
      <c r="N115" t="s">
        <v>241</v>
      </c>
      <c r="O115" t="s">
        <v>22</v>
      </c>
      <c r="P115" t="s">
        <v>137</v>
      </c>
      <c r="Q115" t="s">
        <v>241</v>
      </c>
      <c r="R115" t="s">
        <v>241</v>
      </c>
      <c r="S115" t="s">
        <v>241</v>
      </c>
      <c r="T115" t="s">
        <v>241</v>
      </c>
      <c r="U115" t="s">
        <v>241</v>
      </c>
      <c r="V115" t="s">
        <v>241</v>
      </c>
      <c r="W115" t="s">
        <v>241</v>
      </c>
      <c r="X115" t="s">
        <v>241</v>
      </c>
    </row>
    <row r="116">
      <c r="A116" t="s">
        <v>241</v>
      </c>
      <c r="B116" t="s">
        <v>241</v>
      </c>
      <c r="C116" t="s">
        <v>241</v>
      </c>
      <c r="D116" t="s">
        <v>241</v>
      </c>
      <c r="E116" t="s">
        <v>241</v>
      </c>
      <c r="F116" t="s">
        <v>241</v>
      </c>
      <c r="G116" t="s">
        <v>241</v>
      </c>
      <c r="H116" t="s">
        <v>241</v>
      </c>
      <c r="I116" t="s">
        <v>241</v>
      </c>
      <c r="J116" t="s">
        <v>241</v>
      </c>
      <c r="K116" t="s">
        <v>241</v>
      </c>
      <c r="L116" t="s">
        <v>241</v>
      </c>
      <c r="M116" t="s">
        <v>15</v>
      </c>
      <c r="N116" t="s">
        <v>72</v>
      </c>
      <c r="O116" t="s">
        <v>241</v>
      </c>
      <c r="P116" t="s">
        <v>241</v>
      </c>
      <c r="Q116" t="s">
        <v>241</v>
      </c>
      <c r="R116" t="s">
        <v>241</v>
      </c>
      <c r="S116" t="s">
        <v>241</v>
      </c>
      <c r="T116" t="s">
        <v>241</v>
      </c>
      <c r="U116" t="s">
        <v>241</v>
      </c>
      <c r="V116" t="s">
        <v>241</v>
      </c>
      <c r="W116" t="s">
        <v>241</v>
      </c>
      <c r="X116" t="s">
        <v>241</v>
      </c>
    </row>
    <row r="117">
      <c r="A117" t="s">
        <v>241</v>
      </c>
      <c r="B117" t="s">
        <v>241</v>
      </c>
      <c r="C117" t="s">
        <v>241</v>
      </c>
      <c r="D117" t="s">
        <v>241</v>
      </c>
      <c r="E117" t="s">
        <v>241</v>
      </c>
      <c r="F117" t="s">
        <v>241</v>
      </c>
      <c r="G117" t="s">
        <v>241</v>
      </c>
      <c r="H117" t="s">
        <v>241</v>
      </c>
      <c r="I117" t="s">
        <v>241</v>
      </c>
      <c r="J117" t="s">
        <v>241</v>
      </c>
      <c r="K117" t="s">
        <v>24</v>
      </c>
      <c r="L117" t="s">
        <v>157</v>
      </c>
      <c r="M117" t="s">
        <v>241</v>
      </c>
      <c r="N117" t="s">
        <v>241</v>
      </c>
      <c r="O117" t="s">
        <v>241</v>
      </c>
      <c r="P117" t="s">
        <v>241</v>
      </c>
      <c r="Q117" t="s">
        <v>241</v>
      </c>
      <c r="R117" t="s">
        <v>241</v>
      </c>
      <c r="S117" t="s">
        <v>241</v>
      </c>
      <c r="T117" t="s">
        <v>241</v>
      </c>
      <c r="U117" t="s">
        <v>241</v>
      </c>
      <c r="V117" t="s">
        <v>241</v>
      </c>
      <c r="W117" t="s">
        <v>241</v>
      </c>
      <c r="X117" t="s">
        <v>241</v>
      </c>
    </row>
    <row r="118">
      <c r="A118" t="s">
        <v>241</v>
      </c>
      <c r="B118" t="s">
        <v>241</v>
      </c>
      <c r="C118" t="s">
        <v>241</v>
      </c>
      <c r="D118" t="s">
        <v>241</v>
      </c>
      <c r="E118" t="s">
        <v>241</v>
      </c>
      <c r="F118" t="s">
        <v>241</v>
      </c>
      <c r="G118" t="s">
        <v>241</v>
      </c>
      <c r="H118" t="s">
        <v>241</v>
      </c>
      <c r="I118" t="s">
        <v>15</v>
      </c>
      <c r="J118" t="s">
        <v>90</v>
      </c>
      <c r="K118" t="s">
        <v>241</v>
      </c>
      <c r="L118" t="s">
        <v>241</v>
      </c>
      <c r="M118" t="s">
        <v>241</v>
      </c>
      <c r="N118" t="s">
        <v>241</v>
      </c>
      <c r="O118" t="s">
        <v>241</v>
      </c>
      <c r="P118" t="s">
        <v>241</v>
      </c>
      <c r="Q118" t="s">
        <v>241</v>
      </c>
      <c r="R118" t="s">
        <v>241</v>
      </c>
      <c r="S118" t="s">
        <v>241</v>
      </c>
      <c r="T118" t="s">
        <v>241</v>
      </c>
      <c r="U118" t="s">
        <v>241</v>
      </c>
      <c r="V118" t="s">
        <v>241</v>
      </c>
      <c r="W118" t="s">
        <v>241</v>
      </c>
      <c r="X118" t="s">
        <v>241</v>
      </c>
    </row>
    <row r="119">
      <c r="A119" t="s">
        <v>241</v>
      </c>
      <c r="B119" t="s">
        <v>241</v>
      </c>
      <c r="C119" t="s">
        <v>241</v>
      </c>
      <c r="D119" t="s">
        <v>241</v>
      </c>
      <c r="E119" t="s">
        <v>241</v>
      </c>
      <c r="F119" t="s">
        <v>241</v>
      </c>
      <c r="G119" t="s">
        <v>28</v>
      </c>
      <c r="H119" t="s">
        <v>173</v>
      </c>
      <c r="I119" t="s">
        <v>241</v>
      </c>
      <c r="J119" t="s">
        <v>241</v>
      </c>
      <c r="K119" t="s">
        <v>241</v>
      </c>
      <c r="L119" t="s">
        <v>241</v>
      </c>
      <c r="M119" t="s">
        <v>241</v>
      </c>
      <c r="N119" t="s">
        <v>241</v>
      </c>
      <c r="O119" t="s">
        <v>241</v>
      </c>
      <c r="P119" t="s">
        <v>241</v>
      </c>
      <c r="Q119" t="s">
        <v>241</v>
      </c>
      <c r="R119" t="s">
        <v>241</v>
      </c>
      <c r="S119" t="s">
        <v>241</v>
      </c>
      <c r="T119" t="s">
        <v>241</v>
      </c>
      <c r="U119" t="s">
        <v>241</v>
      </c>
      <c r="V119" t="s">
        <v>241</v>
      </c>
      <c r="W119" t="s">
        <v>241</v>
      </c>
      <c r="X119" t="s">
        <v>241</v>
      </c>
    </row>
    <row r="120">
      <c r="A120" t="s">
        <v>241</v>
      </c>
      <c r="B120" t="s">
        <v>241</v>
      </c>
      <c r="C120" t="s">
        <v>241</v>
      </c>
      <c r="D120" t="s">
        <v>241</v>
      </c>
      <c r="E120" t="s">
        <v>19</v>
      </c>
      <c r="F120" t="s">
        <v>111</v>
      </c>
      <c r="G120" t="s">
        <v>241</v>
      </c>
      <c r="H120" t="s">
        <v>241</v>
      </c>
      <c r="I120" t="s">
        <v>241</v>
      </c>
      <c r="J120" t="s">
        <v>241</v>
      </c>
      <c r="K120" t="s">
        <v>241</v>
      </c>
      <c r="L120" t="s">
        <v>241</v>
      </c>
      <c r="M120" t="s">
        <v>241</v>
      </c>
      <c r="N120" t="s">
        <v>241</v>
      </c>
      <c r="O120" t="s">
        <v>241</v>
      </c>
      <c r="P120" t="s">
        <v>241</v>
      </c>
      <c r="Q120" t="s">
        <v>241</v>
      </c>
      <c r="R120" t="s">
        <v>241</v>
      </c>
      <c r="S120" t="s">
        <v>241</v>
      </c>
      <c r="T120" t="s">
        <v>241</v>
      </c>
      <c r="U120" t="s">
        <v>241</v>
      </c>
      <c r="V120" t="s">
        <v>241</v>
      </c>
      <c r="W120" t="s">
        <v>241</v>
      </c>
      <c r="X120" t="s">
        <v>241</v>
      </c>
    </row>
    <row r="121">
      <c r="A121" t="s">
        <v>241</v>
      </c>
      <c r="B121" t="s">
        <v>241</v>
      </c>
      <c r="C121" t="s">
        <v>22</v>
      </c>
      <c r="D121" t="s">
        <v>139</v>
      </c>
      <c r="E121" t="s">
        <v>241</v>
      </c>
      <c r="F121" t="s">
        <v>241</v>
      </c>
      <c r="G121" t="s">
        <v>241</v>
      </c>
      <c r="H121" t="s">
        <v>241</v>
      </c>
      <c r="I121" t="s">
        <v>241</v>
      </c>
      <c r="J121" t="s">
        <v>241</v>
      </c>
      <c r="K121" t="s">
        <v>241</v>
      </c>
      <c r="L121" t="s">
        <v>241</v>
      </c>
      <c r="M121" t="s">
        <v>241</v>
      </c>
      <c r="N121" t="s">
        <v>241</v>
      </c>
      <c r="O121" t="s">
        <v>241</v>
      </c>
      <c r="P121" t="s">
        <v>241</v>
      </c>
      <c r="Q121" t="s">
        <v>241</v>
      </c>
      <c r="R121" t="s">
        <v>241</v>
      </c>
      <c r="S121" t="s">
        <v>241</v>
      </c>
      <c r="T121" t="s">
        <v>241</v>
      </c>
      <c r="U121" t="s">
        <v>241</v>
      </c>
      <c r="V121" t="s">
        <v>241</v>
      </c>
      <c r="W121" t="s">
        <v>241</v>
      </c>
      <c r="X121" t="s">
        <v>241</v>
      </c>
    </row>
    <row r="122">
      <c r="A122" t="s">
        <v>20</v>
      </c>
      <c r="B122" t="s">
        <v>134</v>
      </c>
      <c r="C122" t="s">
        <v>241</v>
      </c>
      <c r="D122" t="s">
        <v>241</v>
      </c>
      <c r="E122" t="s">
        <v>241</v>
      </c>
      <c r="F122" t="s">
        <v>241</v>
      </c>
      <c r="G122" t="s">
        <v>241</v>
      </c>
      <c r="H122" t="s">
        <v>241</v>
      </c>
      <c r="I122" t="s">
        <v>241</v>
      </c>
      <c r="J122" t="s">
        <v>241</v>
      </c>
      <c r="K122" t="s">
        <v>241</v>
      </c>
      <c r="L122" t="s">
        <v>241</v>
      </c>
      <c r="M122" t="s">
        <v>241</v>
      </c>
      <c r="N122" t="s">
        <v>241</v>
      </c>
      <c r="O122" t="s">
        <v>241</v>
      </c>
      <c r="P122" t="s">
        <v>241</v>
      </c>
      <c r="Q122" t="s">
        <v>241</v>
      </c>
      <c r="R122" t="s">
        <v>241</v>
      </c>
      <c r="S122" t="s">
        <v>241</v>
      </c>
      <c r="T122" t="s">
        <v>241</v>
      </c>
      <c r="U122" t="s">
        <v>241</v>
      </c>
      <c r="V122" t="s">
        <v>241</v>
      </c>
      <c r="W122" t="s">
        <v>241</v>
      </c>
      <c r="X122" t="s">
        <v>241</v>
      </c>
    </row>
    <row r="123">
      <c r="A123" t="s">
        <v>241</v>
      </c>
      <c r="B123" t="s">
        <v>241</v>
      </c>
      <c r="C123" t="s">
        <v>241</v>
      </c>
      <c r="D123" t="s">
        <v>241</v>
      </c>
      <c r="E123" t="s">
        <v>241</v>
      </c>
      <c r="F123" t="s">
        <v>241</v>
      </c>
      <c r="G123" t="s">
        <v>241</v>
      </c>
      <c r="H123" t="s">
        <v>241</v>
      </c>
      <c r="I123" t="s">
        <v>241</v>
      </c>
      <c r="J123" t="s">
        <v>241</v>
      </c>
      <c r="K123" t="s">
        <v>241</v>
      </c>
      <c r="L123" t="s">
        <v>241</v>
      </c>
      <c r="M123" t="s">
        <v>241</v>
      </c>
      <c r="N123" t="s">
        <v>241</v>
      </c>
      <c r="O123" t="s">
        <v>241</v>
      </c>
      <c r="P123" t="s">
        <v>241</v>
      </c>
      <c r="Q123" t="s">
        <v>241</v>
      </c>
      <c r="R123" t="s">
        <v>241</v>
      </c>
      <c r="S123" t="s">
        <v>241</v>
      </c>
      <c r="T123" t="s">
        <v>241</v>
      </c>
      <c r="U123" t="s">
        <v>241</v>
      </c>
      <c r="V123" t="s">
        <v>241</v>
      </c>
      <c r="W123" t="s">
        <v>241</v>
      </c>
      <c r="X123" t="s">
        <v>241</v>
      </c>
    </row>
    <row r="124">
      <c r="A124" t="s">
        <v>241</v>
      </c>
      <c r="B124" t="s">
        <v>241</v>
      </c>
      <c r="C124" t="s">
        <v>241</v>
      </c>
      <c r="D124" t="s">
        <v>241</v>
      </c>
      <c r="E124" t="s">
        <v>241</v>
      </c>
      <c r="F124" t="s">
        <v>241</v>
      </c>
      <c r="G124" t="s">
        <v>241</v>
      </c>
      <c r="H124" t="s">
        <v>241</v>
      </c>
      <c r="I124" t="s">
        <v>241</v>
      </c>
      <c r="J124" t="s">
        <v>241</v>
      </c>
      <c r="K124" t="s">
        <v>241</v>
      </c>
      <c r="L124" t="s">
        <v>241</v>
      </c>
      <c r="M124" t="s">
        <v>241</v>
      </c>
      <c r="N124" t="s">
        <v>241</v>
      </c>
      <c r="O124" t="s">
        <v>241</v>
      </c>
      <c r="P124" t="s">
        <v>241</v>
      </c>
      <c r="Q124" t="s">
        <v>241</v>
      </c>
      <c r="R124" t="s">
        <v>241</v>
      </c>
      <c r="S124" t="s">
        <v>241</v>
      </c>
      <c r="T124" t="s">
        <v>241</v>
      </c>
      <c r="U124" t="s">
        <v>241</v>
      </c>
      <c r="V124" t="s">
        <v>241</v>
      </c>
      <c r="W124" t="s">
        <v>241</v>
      </c>
      <c r="X124" t="s">
        <v>241</v>
      </c>
    </row>
    <row r="125">
      <c r="A125" t="s">
        <v>241</v>
      </c>
      <c r="B125" t="s">
        <v>241</v>
      </c>
      <c r="C125" t="s">
        <v>241</v>
      </c>
      <c r="D125" t="s">
        <v>241</v>
      </c>
      <c r="E125" t="s">
        <v>241</v>
      </c>
      <c r="F125" t="s">
        <v>241</v>
      </c>
      <c r="G125" t="s">
        <v>241</v>
      </c>
      <c r="H125" t="s">
        <v>241</v>
      </c>
      <c r="I125" t="s">
        <v>241</v>
      </c>
      <c r="J125" t="s">
        <v>241</v>
      </c>
      <c r="K125" t="s">
        <v>241</v>
      </c>
      <c r="L125" t="s">
        <v>241</v>
      </c>
      <c r="M125" t="s">
        <v>241</v>
      </c>
      <c r="N125" t="s">
        <v>241</v>
      </c>
      <c r="O125" t="s">
        <v>241</v>
      </c>
      <c r="P125" t="s">
        <v>241</v>
      </c>
      <c r="Q125" t="s">
        <v>241</v>
      </c>
      <c r="R125" t="s">
        <v>241</v>
      </c>
      <c r="S125" t="s">
        <v>241</v>
      </c>
      <c r="T125" t="s">
        <v>241</v>
      </c>
      <c r="U125" t="s">
        <v>241</v>
      </c>
      <c r="V125" t="s">
        <v>241</v>
      </c>
      <c r="W125" t="s">
        <v>241</v>
      </c>
      <c r="X125" t="s">
        <v>241</v>
      </c>
    </row>
    <row r="126">
      <c r="A126" t="s">
        <v>241</v>
      </c>
      <c r="B126" t="s">
        <v>241</v>
      </c>
      <c r="C126" t="s">
        <v>241</v>
      </c>
      <c r="D126" t="s">
        <v>241</v>
      </c>
      <c r="E126" t="s">
        <v>241</v>
      </c>
      <c r="F126" t="s">
        <v>241</v>
      </c>
      <c r="G126" t="s">
        <v>241</v>
      </c>
      <c r="H126" t="s">
        <v>241</v>
      </c>
      <c r="I126" t="s">
        <v>241</v>
      </c>
      <c r="J126" t="s">
        <v>241</v>
      </c>
      <c r="K126" t="s">
        <v>241</v>
      </c>
      <c r="L126" t="s">
        <v>241</v>
      </c>
      <c r="M126" t="s">
        <v>241</v>
      </c>
      <c r="N126" t="s">
        <v>241</v>
      </c>
      <c r="O126" t="s">
        <v>241</v>
      </c>
      <c r="P126" t="s">
        <v>241</v>
      </c>
      <c r="Q126" t="s">
        <v>241</v>
      </c>
      <c r="R126" t="s">
        <v>241</v>
      </c>
      <c r="S126" t="s">
        <v>241</v>
      </c>
      <c r="T126" t="s">
        <v>241</v>
      </c>
      <c r="U126" t="s">
        <v>241</v>
      </c>
      <c r="V126" t="s">
        <v>241</v>
      </c>
      <c r="W126" t="s">
        <v>241</v>
      </c>
      <c r="X126" t="s">
        <v>241</v>
      </c>
    </row>
    <row r="127">
      <c r="A127" t="s">
        <v>241</v>
      </c>
      <c r="B127" t="s">
        <v>241</v>
      </c>
      <c r="C127" t="s">
        <v>241</v>
      </c>
      <c r="D127" t="s">
        <v>241</v>
      </c>
      <c r="E127" t="s">
        <v>241</v>
      </c>
      <c r="F127" t="s">
        <v>241</v>
      </c>
      <c r="G127" t="s">
        <v>241</v>
      </c>
      <c r="H127" t="s">
        <v>241</v>
      </c>
      <c r="I127" t="s">
        <v>241</v>
      </c>
      <c r="J127" t="s">
        <v>241</v>
      </c>
      <c r="K127" t="s">
        <v>241</v>
      </c>
      <c r="L127" t="s">
        <v>241</v>
      </c>
      <c r="M127" t="s">
        <v>241</v>
      </c>
      <c r="N127" t="s">
        <v>241</v>
      </c>
      <c r="O127" t="s">
        <v>241</v>
      </c>
      <c r="P127" t="s">
        <v>241</v>
      </c>
      <c r="Q127" t="s">
        <v>241</v>
      </c>
      <c r="R127" t="s">
        <v>241</v>
      </c>
      <c r="S127" t="s">
        <v>241</v>
      </c>
      <c r="T127" t="s">
        <v>241</v>
      </c>
      <c r="U127" t="s">
        <v>241</v>
      </c>
      <c r="V127" t="s">
        <v>241</v>
      </c>
      <c r="W127" t="s">
        <v>241</v>
      </c>
      <c r="X127" t="s">
        <v>241</v>
      </c>
    </row>
    <row r="128">
      <c r="A128" t="s">
        <v>241</v>
      </c>
      <c r="B128" t="s">
        <v>241</v>
      </c>
      <c r="C128" t="s">
        <v>241</v>
      </c>
      <c r="D128" t="s">
        <v>241</v>
      </c>
      <c r="E128" t="s">
        <v>241</v>
      </c>
      <c r="F128" t="s">
        <v>241</v>
      </c>
      <c r="G128" t="s">
        <v>241</v>
      </c>
      <c r="H128" t="s">
        <v>241</v>
      </c>
      <c r="I128" t="s">
        <v>241</v>
      </c>
      <c r="J128" t="s">
        <v>241</v>
      </c>
      <c r="K128" t="s">
        <v>241</v>
      </c>
      <c r="L128" t="s">
        <v>241</v>
      </c>
      <c r="M128" t="s">
        <v>241</v>
      </c>
      <c r="N128" t="s">
        <v>241</v>
      </c>
      <c r="O128" t="s">
        <v>241</v>
      </c>
      <c r="P128" t="s">
        <v>241</v>
      </c>
      <c r="Q128" t="s">
        <v>241</v>
      </c>
      <c r="R128" t="s">
        <v>241</v>
      </c>
      <c r="S128" t="s">
        <v>241</v>
      </c>
      <c r="T128" t="s">
        <v>241</v>
      </c>
      <c r="U128" t="s">
        <v>241</v>
      </c>
      <c r="V128" t="s">
        <v>241</v>
      </c>
      <c r="W128" t="s">
        <v>241</v>
      </c>
      <c r="X128" t="s">
        <v>241</v>
      </c>
    </row>
    <row r="129">
      <c r="A129" t="s">
        <v>241</v>
      </c>
      <c r="B129" t="s">
        <v>241</v>
      </c>
      <c r="C129" t="s">
        <v>241</v>
      </c>
      <c r="D129" t="s">
        <v>241</v>
      </c>
      <c r="E129" t="s">
        <v>241</v>
      </c>
      <c r="F129" t="s">
        <v>241</v>
      </c>
      <c r="G129" t="s">
        <v>241</v>
      </c>
      <c r="H129" t="s">
        <v>241</v>
      </c>
      <c r="I129" t="s">
        <v>241</v>
      </c>
      <c r="J129" t="s">
        <v>241</v>
      </c>
      <c r="K129" t="s">
        <v>241</v>
      </c>
      <c r="L129" t="s">
        <v>241</v>
      </c>
      <c r="M129" t="s">
        <v>241</v>
      </c>
      <c r="N129" t="s">
        <v>241</v>
      </c>
      <c r="O129" t="s">
        <v>241</v>
      </c>
      <c r="P129" t="s">
        <v>241</v>
      </c>
      <c r="Q129" t="s">
        <v>241</v>
      </c>
      <c r="R129" t="s">
        <v>241</v>
      </c>
      <c r="S129" t="s">
        <v>241</v>
      </c>
      <c r="T129" t="s">
        <v>241</v>
      </c>
      <c r="U129" t="s">
        <v>241</v>
      </c>
      <c r="V129" t="s">
        <v>241</v>
      </c>
      <c r="W129" t="s">
        <v>241</v>
      </c>
      <c r="X129" t="s">
        <v>241</v>
      </c>
    </row>
    <row r="130">
      <c r="A130" t="s">
        <v>241</v>
      </c>
      <c r="B130" t="s">
        <v>241</v>
      </c>
      <c r="C130" t="s">
        <v>241</v>
      </c>
      <c r="D130" t="s">
        <v>241</v>
      </c>
      <c r="E130" t="s">
        <v>241</v>
      </c>
      <c r="F130" t="s">
        <v>241</v>
      </c>
      <c r="G130" t="s">
        <v>241</v>
      </c>
      <c r="H130" t="s">
        <v>241</v>
      </c>
      <c r="I130" t="s">
        <v>241</v>
      </c>
      <c r="J130" t="s">
        <v>241</v>
      </c>
      <c r="K130" t="s">
        <v>241</v>
      </c>
      <c r="L130" t="s">
        <v>241</v>
      </c>
      <c r="M130" t="s">
        <v>241</v>
      </c>
      <c r="N130" t="s">
        <v>241</v>
      </c>
      <c r="O130" t="s">
        <v>241</v>
      </c>
      <c r="P130" t="s">
        <v>241</v>
      </c>
      <c r="Q130" t="s">
        <v>241</v>
      </c>
      <c r="R130" t="s">
        <v>241</v>
      </c>
      <c r="S130" t="s">
        <v>241</v>
      </c>
      <c r="T130" t="s">
        <v>241</v>
      </c>
      <c r="U130" t="s">
        <v>241</v>
      </c>
      <c r="V130" t="s">
        <v>241</v>
      </c>
      <c r="W130" t="s">
        <v>241</v>
      </c>
      <c r="X130" t="s">
        <v>241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17.75"/>
    <col customWidth="1" min="3" max="3" width="3.88"/>
    <col customWidth="1" min="4" max="4" width="4.5"/>
    <col customWidth="1" min="5" max="5" width="9.63"/>
    <col customWidth="1" min="6" max="6" width="37.13"/>
    <col customWidth="1" min="7" max="7" width="20.38"/>
    <col customWidth="1" min="8" max="10" width="9.63"/>
    <col customWidth="1" hidden="1" min="11" max="11" width="9.63"/>
  </cols>
  <sheetData>
    <row r="1">
      <c r="A1" s="115" t="s">
        <v>2</v>
      </c>
      <c r="B1" s="116" t="s">
        <v>227</v>
      </c>
      <c r="C1" s="117" t="s">
        <v>29</v>
      </c>
      <c r="D1" s="118" t="s">
        <v>34</v>
      </c>
      <c r="E1" s="118" t="s">
        <v>261</v>
      </c>
      <c r="F1" s="119" t="s">
        <v>245</v>
      </c>
      <c r="G1" s="119" t="s">
        <v>228</v>
      </c>
      <c r="H1" s="119" t="s">
        <v>229</v>
      </c>
      <c r="I1" s="119" t="s">
        <v>262</v>
      </c>
      <c r="J1" s="119" t="s">
        <v>263</v>
      </c>
      <c r="K1" s="120" t="s">
        <v>264</v>
      </c>
    </row>
    <row r="2">
      <c r="A2" s="121" t="s">
        <v>27</v>
      </c>
      <c r="B2" s="122" t="s">
        <v>94</v>
      </c>
      <c r="C2" s="123">
        <v>8.0</v>
      </c>
      <c r="D2" s="124">
        <v>4.0</v>
      </c>
      <c r="E2" s="124" t="s">
        <v>265</v>
      </c>
      <c r="F2" s="125" t="s">
        <v>202</v>
      </c>
      <c r="G2" s="126"/>
      <c r="H2" s="127" t="s">
        <v>203</v>
      </c>
      <c r="I2" s="127" t="s">
        <v>203</v>
      </c>
      <c r="J2" s="124"/>
      <c r="K2" s="124">
        <v>9999.0</v>
      </c>
    </row>
    <row r="3">
      <c r="A3" s="121" t="s">
        <v>27</v>
      </c>
      <c r="B3" s="122" t="s">
        <v>138</v>
      </c>
      <c r="C3" s="123">
        <v>5.0</v>
      </c>
      <c r="D3" s="124">
        <v>7.0</v>
      </c>
      <c r="E3" s="124" t="s">
        <v>260</v>
      </c>
      <c r="F3" s="125" t="s">
        <v>202</v>
      </c>
      <c r="G3" s="126"/>
      <c r="H3" s="127" t="s">
        <v>203</v>
      </c>
      <c r="I3" s="127" t="s">
        <v>203</v>
      </c>
      <c r="J3" s="124"/>
      <c r="K3" s="124">
        <v>9999.0</v>
      </c>
    </row>
    <row r="4">
      <c r="A4" s="121" t="s">
        <v>27</v>
      </c>
      <c r="B4" s="122" t="s">
        <v>116</v>
      </c>
      <c r="C4" s="123">
        <v>5.0</v>
      </c>
      <c r="D4" s="124">
        <v>7.0</v>
      </c>
      <c r="E4" s="124" t="s">
        <v>266</v>
      </c>
      <c r="F4" s="125" t="s">
        <v>202</v>
      </c>
      <c r="G4" s="126"/>
      <c r="H4" s="127" t="s">
        <v>203</v>
      </c>
      <c r="I4" s="127" t="s">
        <v>203</v>
      </c>
      <c r="J4" s="124"/>
      <c r="K4" s="124">
        <v>9999.0</v>
      </c>
    </row>
    <row r="5">
      <c r="A5" s="121" t="s">
        <v>27</v>
      </c>
      <c r="B5" s="128" t="s">
        <v>195</v>
      </c>
      <c r="C5" s="123">
        <v>5.0</v>
      </c>
      <c r="D5" s="124">
        <v>7.0</v>
      </c>
      <c r="E5" s="124" t="s">
        <v>267</v>
      </c>
      <c r="F5" s="124" t="s">
        <v>202</v>
      </c>
      <c r="G5" s="129"/>
      <c r="H5" s="127" t="s">
        <v>203</v>
      </c>
      <c r="I5" s="127" t="s">
        <v>203</v>
      </c>
      <c r="J5" s="124"/>
      <c r="K5" s="124">
        <v>9999.0</v>
      </c>
    </row>
    <row r="6">
      <c r="A6" s="121" t="s">
        <v>27</v>
      </c>
      <c r="B6" s="122" t="s">
        <v>56</v>
      </c>
      <c r="C6" s="123">
        <v>4.0</v>
      </c>
      <c r="D6" s="124">
        <v>8.0</v>
      </c>
      <c r="E6" s="124" t="s">
        <v>248</v>
      </c>
      <c r="F6" s="124" t="s">
        <v>202</v>
      </c>
      <c r="G6" s="129"/>
      <c r="H6" s="127" t="s">
        <v>203</v>
      </c>
      <c r="I6" s="127" t="s">
        <v>203</v>
      </c>
      <c r="J6" s="124"/>
      <c r="K6" s="124">
        <v>9999.0</v>
      </c>
    </row>
    <row r="7">
      <c r="A7" s="121" t="s">
        <v>27</v>
      </c>
      <c r="B7" s="122" t="s">
        <v>114</v>
      </c>
      <c r="C7" s="123">
        <v>10.0</v>
      </c>
      <c r="D7" s="124">
        <v>2.0</v>
      </c>
      <c r="E7" s="124" t="s">
        <v>201</v>
      </c>
      <c r="F7" s="124" t="s">
        <v>202</v>
      </c>
      <c r="G7" s="129"/>
      <c r="H7" s="127" t="s">
        <v>203</v>
      </c>
      <c r="I7" s="127" t="s">
        <v>203</v>
      </c>
      <c r="J7" s="124"/>
      <c r="K7" s="124">
        <v>9999.0</v>
      </c>
    </row>
    <row r="8">
      <c r="A8" s="121" t="s">
        <v>27</v>
      </c>
      <c r="B8" s="122" t="s">
        <v>134</v>
      </c>
      <c r="C8" s="123">
        <v>4.0</v>
      </c>
      <c r="D8" s="124">
        <v>8.0</v>
      </c>
      <c r="E8" s="124" t="s">
        <v>267</v>
      </c>
      <c r="F8" s="124" t="s">
        <v>202</v>
      </c>
      <c r="G8" s="129"/>
      <c r="H8" s="127" t="s">
        <v>203</v>
      </c>
      <c r="I8" s="127" t="s">
        <v>203</v>
      </c>
      <c r="J8" s="124"/>
      <c r="K8" s="124">
        <v>9999.0</v>
      </c>
    </row>
    <row r="9">
      <c r="A9" s="121" t="s">
        <v>27</v>
      </c>
      <c r="B9" s="122" t="s">
        <v>107</v>
      </c>
      <c r="C9" s="123">
        <v>10.0</v>
      </c>
      <c r="D9" s="124">
        <v>2.0</v>
      </c>
      <c r="E9" s="124" t="s">
        <v>268</v>
      </c>
      <c r="F9" s="124" t="s">
        <v>202</v>
      </c>
      <c r="G9" s="129"/>
      <c r="H9" s="127" t="s">
        <v>203</v>
      </c>
      <c r="I9" s="127" t="s">
        <v>203</v>
      </c>
      <c r="J9" s="124"/>
      <c r="K9" s="124">
        <v>9999.0</v>
      </c>
    </row>
    <row r="10">
      <c r="A10" s="121" t="s">
        <v>27</v>
      </c>
      <c r="B10" s="122" t="s">
        <v>163</v>
      </c>
      <c r="C10" s="123">
        <v>7.0</v>
      </c>
      <c r="D10" s="124">
        <v>5.0</v>
      </c>
      <c r="E10" s="124" t="s">
        <v>269</v>
      </c>
      <c r="F10" s="124" t="s">
        <v>202</v>
      </c>
      <c r="G10" s="129"/>
      <c r="H10" s="127" t="s">
        <v>203</v>
      </c>
      <c r="I10" s="127" t="s">
        <v>203</v>
      </c>
      <c r="J10" s="124"/>
      <c r="K10" s="124">
        <v>9999.0</v>
      </c>
    </row>
    <row r="11">
      <c r="A11" s="121" t="s">
        <v>27</v>
      </c>
      <c r="B11" s="122" t="s">
        <v>152</v>
      </c>
      <c r="C11" s="123">
        <v>4.0</v>
      </c>
      <c r="D11" s="124">
        <v>8.0</v>
      </c>
      <c r="E11" s="124" t="s">
        <v>215</v>
      </c>
      <c r="F11" s="124" t="s">
        <v>202</v>
      </c>
      <c r="G11" s="129"/>
      <c r="H11" s="127" t="s">
        <v>203</v>
      </c>
      <c r="I11" s="127" t="s">
        <v>203</v>
      </c>
      <c r="J11" s="124"/>
      <c r="K11" s="124">
        <v>9999.0</v>
      </c>
    </row>
    <row r="12">
      <c r="A12" s="115" t="s">
        <v>2</v>
      </c>
      <c r="B12" s="116" t="s">
        <v>227</v>
      </c>
      <c r="C12" s="117" t="s">
        <v>29</v>
      </c>
      <c r="D12" s="118" t="s">
        <v>34</v>
      </c>
      <c r="E12" s="118" t="s">
        <v>261</v>
      </c>
      <c r="F12" s="119" t="s">
        <v>245</v>
      </c>
      <c r="G12" s="119" t="s">
        <v>228</v>
      </c>
      <c r="H12" s="119" t="s">
        <v>229</v>
      </c>
      <c r="I12" s="119" t="s">
        <v>262</v>
      </c>
      <c r="J12" s="119" t="s">
        <v>263</v>
      </c>
      <c r="K12" s="120" t="s">
        <v>264</v>
      </c>
    </row>
    <row r="13">
      <c r="A13" s="121" t="s">
        <v>38</v>
      </c>
      <c r="B13" s="122" t="s">
        <v>178</v>
      </c>
      <c r="C13" s="123">
        <v>12.0</v>
      </c>
      <c r="D13" s="124">
        <v>0.0</v>
      </c>
      <c r="E13" s="124" t="s">
        <v>201</v>
      </c>
      <c r="F13" s="124" t="s">
        <v>235</v>
      </c>
      <c r="G13" s="124" t="s">
        <v>225</v>
      </c>
      <c r="H13" s="127" t="s">
        <v>246</v>
      </c>
      <c r="I13" s="127" t="s">
        <v>237</v>
      </c>
      <c r="J13" s="124" t="s">
        <v>48</v>
      </c>
      <c r="K13" s="124" t="s">
        <v>225</v>
      </c>
    </row>
    <row r="14">
      <c r="A14" s="121" t="s">
        <v>38</v>
      </c>
      <c r="B14" s="122" t="s">
        <v>68</v>
      </c>
      <c r="C14" s="123">
        <v>12.0</v>
      </c>
      <c r="D14" s="124">
        <v>0.0</v>
      </c>
      <c r="E14" s="124" t="s">
        <v>207</v>
      </c>
      <c r="F14" s="124" t="s">
        <v>208</v>
      </c>
      <c r="G14" s="124" t="s">
        <v>209</v>
      </c>
      <c r="H14" s="127">
        <v>-29.0</v>
      </c>
      <c r="I14" s="127">
        <v>54.0</v>
      </c>
      <c r="J14" s="124" t="s">
        <v>53</v>
      </c>
      <c r="K14" s="124" t="s">
        <v>209</v>
      </c>
    </row>
    <row r="15">
      <c r="A15" s="121" t="s">
        <v>38</v>
      </c>
      <c r="B15" s="122" t="s">
        <v>139</v>
      </c>
      <c r="C15" s="123">
        <v>3.0</v>
      </c>
      <c r="D15" s="124">
        <v>9.0</v>
      </c>
      <c r="E15" s="124" t="s">
        <v>215</v>
      </c>
      <c r="F15" s="124" t="s">
        <v>202</v>
      </c>
      <c r="G15" s="129"/>
      <c r="H15" s="127" t="s">
        <v>203</v>
      </c>
      <c r="I15" s="127" t="s">
        <v>203</v>
      </c>
      <c r="J15" s="124"/>
      <c r="K15" s="124">
        <v>9999.0</v>
      </c>
    </row>
    <row r="16">
      <c r="A16" s="121" t="s">
        <v>38</v>
      </c>
      <c r="B16" s="128" t="s">
        <v>172</v>
      </c>
      <c r="C16" s="123">
        <v>6.0</v>
      </c>
      <c r="D16" s="124">
        <v>6.0</v>
      </c>
      <c r="E16" s="124" t="s">
        <v>273</v>
      </c>
      <c r="F16" s="124" t="s">
        <v>202</v>
      </c>
      <c r="G16" s="129"/>
      <c r="H16" s="127" t="s">
        <v>203</v>
      </c>
      <c r="I16" s="127" t="s">
        <v>203</v>
      </c>
      <c r="J16" s="124"/>
      <c r="K16" s="124">
        <v>9999.0</v>
      </c>
    </row>
    <row r="17">
      <c r="A17" s="121" t="s">
        <v>38</v>
      </c>
      <c r="B17" s="122" t="s">
        <v>32</v>
      </c>
      <c r="C17" s="123">
        <v>4.0</v>
      </c>
      <c r="D17" s="124">
        <v>8.0</v>
      </c>
      <c r="E17" s="124" t="s">
        <v>248</v>
      </c>
      <c r="F17" s="124" t="s">
        <v>202</v>
      </c>
      <c r="G17" s="129"/>
      <c r="H17" s="127" t="s">
        <v>203</v>
      </c>
      <c r="I17" s="127" t="s">
        <v>203</v>
      </c>
      <c r="J17" s="124"/>
      <c r="K17" s="124">
        <v>9999.0</v>
      </c>
    </row>
    <row r="18">
      <c r="A18" s="121" t="s">
        <v>38</v>
      </c>
      <c r="B18" s="122" t="s">
        <v>129</v>
      </c>
      <c r="C18" s="123">
        <v>1.0</v>
      </c>
      <c r="D18" s="124">
        <v>11.0</v>
      </c>
      <c r="E18" s="124" t="s">
        <v>248</v>
      </c>
      <c r="F18" s="124" t="s">
        <v>202</v>
      </c>
      <c r="G18" s="129"/>
      <c r="H18" s="127" t="s">
        <v>203</v>
      </c>
      <c r="I18" s="127" t="s">
        <v>203</v>
      </c>
      <c r="J18" s="124"/>
      <c r="K18" s="124">
        <v>9999.0</v>
      </c>
    </row>
    <row r="19">
      <c r="A19" s="121" t="s">
        <v>38</v>
      </c>
      <c r="B19" s="122" t="s">
        <v>198</v>
      </c>
      <c r="C19" s="123">
        <v>2.0</v>
      </c>
      <c r="D19" s="124">
        <v>10.0</v>
      </c>
      <c r="E19" s="124" t="s">
        <v>277</v>
      </c>
      <c r="F19" s="124" t="s">
        <v>202</v>
      </c>
      <c r="G19" s="129"/>
      <c r="H19" s="127" t="s">
        <v>203</v>
      </c>
      <c r="I19" s="127" t="s">
        <v>203</v>
      </c>
      <c r="J19" s="124"/>
      <c r="K19" s="124">
        <v>9999.0</v>
      </c>
    </row>
    <row r="20">
      <c r="A20" s="121" t="s">
        <v>38</v>
      </c>
      <c r="B20" s="122" t="s">
        <v>113</v>
      </c>
      <c r="C20" s="123">
        <v>6.0</v>
      </c>
      <c r="D20" s="124">
        <v>6.0</v>
      </c>
      <c r="E20" s="124" t="s">
        <v>278</v>
      </c>
      <c r="F20" s="124" t="s">
        <v>202</v>
      </c>
      <c r="G20" s="129"/>
      <c r="H20" s="127" t="s">
        <v>203</v>
      </c>
      <c r="I20" s="127" t="s">
        <v>203</v>
      </c>
      <c r="J20" s="124"/>
      <c r="K20" s="124">
        <v>9999.0</v>
      </c>
    </row>
    <row r="21">
      <c r="A21" s="121" t="s">
        <v>38</v>
      </c>
      <c r="B21" s="122" t="s">
        <v>97</v>
      </c>
      <c r="C21" s="123">
        <v>7.0</v>
      </c>
      <c r="D21" s="124">
        <v>5.0</v>
      </c>
      <c r="E21" s="124" t="s">
        <v>269</v>
      </c>
      <c r="F21" s="124" t="s">
        <v>202</v>
      </c>
      <c r="G21" s="129"/>
      <c r="H21" s="127" t="s">
        <v>203</v>
      </c>
      <c r="I21" s="127" t="s">
        <v>203</v>
      </c>
      <c r="J21" s="124"/>
      <c r="K21" s="124">
        <v>9999.0</v>
      </c>
    </row>
    <row r="22">
      <c r="A22" s="121" t="s">
        <v>38</v>
      </c>
      <c r="B22" s="122" t="s">
        <v>156</v>
      </c>
      <c r="C22" s="123">
        <v>9.0</v>
      </c>
      <c r="D22" s="124">
        <v>3.0</v>
      </c>
      <c r="E22" s="124" t="s">
        <v>215</v>
      </c>
      <c r="F22" s="124" t="s">
        <v>202</v>
      </c>
      <c r="G22" s="129"/>
      <c r="H22" s="127" t="s">
        <v>203</v>
      </c>
      <c r="I22" s="127" t="s">
        <v>203</v>
      </c>
      <c r="J22" s="124"/>
      <c r="K22" s="124">
        <v>9999.0</v>
      </c>
    </row>
    <row r="23">
      <c r="A23" s="115" t="s">
        <v>2</v>
      </c>
      <c r="B23" s="116" t="s">
        <v>227</v>
      </c>
      <c r="C23" s="117" t="s">
        <v>29</v>
      </c>
      <c r="D23" s="118" t="s">
        <v>34</v>
      </c>
      <c r="E23" s="118" t="s">
        <v>261</v>
      </c>
      <c r="F23" s="119" t="s">
        <v>245</v>
      </c>
      <c r="G23" s="119" t="s">
        <v>228</v>
      </c>
      <c r="H23" s="119" t="s">
        <v>229</v>
      </c>
      <c r="I23" s="119" t="s">
        <v>262</v>
      </c>
      <c r="J23" s="119" t="s">
        <v>263</v>
      </c>
      <c r="K23" s="120" t="s">
        <v>264</v>
      </c>
    </row>
    <row r="24">
      <c r="A24" s="121" t="s">
        <v>41</v>
      </c>
      <c r="B24" s="122" t="s">
        <v>190</v>
      </c>
      <c r="C24" s="123">
        <v>3.0</v>
      </c>
      <c r="D24" s="124">
        <v>1.0</v>
      </c>
      <c r="E24" s="124" t="s">
        <v>248</v>
      </c>
      <c r="F24" s="125" t="s">
        <v>243</v>
      </c>
      <c r="G24" s="125" t="s">
        <v>239</v>
      </c>
      <c r="H24" s="127" t="s">
        <v>247</v>
      </c>
      <c r="I24" s="127">
        <v>56.0</v>
      </c>
      <c r="J24" s="124" t="s">
        <v>58</v>
      </c>
      <c r="K24" s="124" t="s">
        <v>239</v>
      </c>
    </row>
    <row r="25">
      <c r="A25" s="121" t="s">
        <v>41</v>
      </c>
      <c r="B25" s="122" t="s">
        <v>146</v>
      </c>
      <c r="C25" s="123">
        <v>6.0</v>
      </c>
      <c r="D25" s="124">
        <v>6.0</v>
      </c>
      <c r="E25" s="124" t="s">
        <v>215</v>
      </c>
      <c r="F25" s="125" t="s">
        <v>202</v>
      </c>
      <c r="G25" s="126"/>
      <c r="H25" s="127" t="s">
        <v>203</v>
      </c>
      <c r="I25" s="127" t="s">
        <v>203</v>
      </c>
      <c r="J25" s="124"/>
      <c r="K25" s="124">
        <v>9999.0</v>
      </c>
    </row>
    <row r="26">
      <c r="A26" s="121" t="s">
        <v>41</v>
      </c>
      <c r="B26" s="122" t="s">
        <v>180</v>
      </c>
      <c r="C26" s="123">
        <v>6.0</v>
      </c>
      <c r="D26" s="124">
        <v>6.0</v>
      </c>
      <c r="E26" s="124" t="s">
        <v>234</v>
      </c>
      <c r="F26" s="125" t="s">
        <v>202</v>
      </c>
      <c r="G26" s="126"/>
      <c r="H26" s="127" t="s">
        <v>203</v>
      </c>
      <c r="I26" s="127" t="s">
        <v>203</v>
      </c>
      <c r="J26" s="124"/>
      <c r="K26" s="124">
        <v>9999.0</v>
      </c>
    </row>
    <row r="27">
      <c r="A27" s="121" t="s">
        <v>41</v>
      </c>
      <c r="B27" s="128" t="s">
        <v>126</v>
      </c>
      <c r="C27" s="123">
        <v>8.0</v>
      </c>
      <c r="D27" s="124">
        <v>4.0</v>
      </c>
      <c r="E27" s="124" t="s">
        <v>260</v>
      </c>
      <c r="F27" s="125" t="s">
        <v>202</v>
      </c>
      <c r="G27" s="126"/>
      <c r="H27" s="127" t="s">
        <v>203</v>
      </c>
      <c r="I27" s="127" t="s">
        <v>203</v>
      </c>
      <c r="J27" s="124"/>
      <c r="K27" s="124">
        <v>9999.0</v>
      </c>
    </row>
    <row r="28">
      <c r="A28" s="121" t="s">
        <v>41</v>
      </c>
      <c r="B28" s="122" t="s">
        <v>91</v>
      </c>
      <c r="C28" s="123">
        <v>7.0</v>
      </c>
      <c r="D28" s="124">
        <v>5.0</v>
      </c>
      <c r="E28" s="124" t="s">
        <v>201</v>
      </c>
      <c r="F28" s="125" t="s">
        <v>202</v>
      </c>
      <c r="G28" s="126"/>
      <c r="H28" s="127" t="s">
        <v>203</v>
      </c>
      <c r="I28" s="127" t="s">
        <v>203</v>
      </c>
      <c r="J28" s="124"/>
      <c r="K28" s="124">
        <v>9999.0</v>
      </c>
    </row>
    <row r="29">
      <c r="A29" s="121" t="s">
        <v>41</v>
      </c>
      <c r="B29" s="122" t="s">
        <v>111</v>
      </c>
      <c r="C29" s="123">
        <v>3.0</v>
      </c>
      <c r="D29" s="124">
        <v>9.0</v>
      </c>
      <c r="E29" s="124" t="s">
        <v>248</v>
      </c>
      <c r="F29" s="124" t="s">
        <v>202</v>
      </c>
      <c r="G29" s="129"/>
      <c r="H29" s="127" t="s">
        <v>203</v>
      </c>
      <c r="I29" s="127" t="s">
        <v>203</v>
      </c>
      <c r="J29" s="124"/>
      <c r="K29" s="124">
        <v>9999.0</v>
      </c>
    </row>
    <row r="30">
      <c r="A30" s="121" t="s">
        <v>41</v>
      </c>
      <c r="B30" s="122" t="s">
        <v>159</v>
      </c>
      <c r="C30" s="123">
        <v>7.0</v>
      </c>
      <c r="D30" s="124">
        <v>5.0</v>
      </c>
      <c r="E30" s="124" t="s">
        <v>242</v>
      </c>
      <c r="F30" s="124" t="s">
        <v>202</v>
      </c>
      <c r="G30" s="129"/>
      <c r="H30" s="127" t="s">
        <v>203</v>
      </c>
      <c r="I30" s="127" t="s">
        <v>203</v>
      </c>
      <c r="J30" s="124"/>
      <c r="K30" s="124">
        <v>9999.0</v>
      </c>
    </row>
    <row r="31">
      <c r="A31" s="121" t="s">
        <v>41</v>
      </c>
      <c r="B31" s="122" t="s">
        <v>52</v>
      </c>
      <c r="C31" s="123">
        <v>6.0</v>
      </c>
      <c r="D31" s="124">
        <v>6.0</v>
      </c>
      <c r="E31" s="124" t="s">
        <v>242</v>
      </c>
      <c r="F31" s="124" t="s">
        <v>202</v>
      </c>
      <c r="G31" s="129"/>
      <c r="H31" s="127" t="s">
        <v>203</v>
      </c>
      <c r="I31" s="127" t="s">
        <v>203</v>
      </c>
      <c r="J31" s="124"/>
      <c r="K31" s="124">
        <v>9999.0</v>
      </c>
    </row>
    <row r="32">
      <c r="A32" s="121" t="s">
        <v>41</v>
      </c>
      <c r="B32" s="122" t="s">
        <v>109</v>
      </c>
      <c r="C32" s="123">
        <v>7.0</v>
      </c>
      <c r="D32" s="124">
        <v>5.0</v>
      </c>
      <c r="E32" s="124" t="s">
        <v>279</v>
      </c>
      <c r="F32" s="124" t="s">
        <v>202</v>
      </c>
      <c r="G32" s="129"/>
      <c r="H32" s="127" t="s">
        <v>203</v>
      </c>
      <c r="I32" s="127" t="s">
        <v>203</v>
      </c>
      <c r="J32" s="124"/>
      <c r="K32" s="124">
        <v>9999.0</v>
      </c>
    </row>
    <row r="33">
      <c r="A33" s="121" t="s">
        <v>41</v>
      </c>
      <c r="B33" s="122" t="s">
        <v>168</v>
      </c>
      <c r="C33" s="123">
        <v>4.0</v>
      </c>
      <c r="D33" s="124">
        <v>8.0</v>
      </c>
      <c r="E33" s="124" t="s">
        <v>278</v>
      </c>
      <c r="F33" s="124" t="s">
        <v>202</v>
      </c>
      <c r="G33" s="129"/>
      <c r="H33" s="127" t="s">
        <v>203</v>
      </c>
      <c r="I33" s="127" t="s">
        <v>203</v>
      </c>
      <c r="J33" s="124"/>
      <c r="K33" s="124">
        <v>9999.0</v>
      </c>
    </row>
    <row r="34">
      <c r="A34" s="115" t="s">
        <v>2</v>
      </c>
      <c r="B34" s="116" t="s">
        <v>227</v>
      </c>
      <c r="C34" s="117" t="s">
        <v>29</v>
      </c>
      <c r="D34" s="118" t="s">
        <v>34</v>
      </c>
      <c r="E34" s="118" t="s">
        <v>261</v>
      </c>
      <c r="F34" s="119" t="s">
        <v>245</v>
      </c>
      <c r="G34" s="119" t="s">
        <v>228</v>
      </c>
      <c r="H34" s="119" t="s">
        <v>229</v>
      </c>
      <c r="I34" s="119" t="s">
        <v>262</v>
      </c>
      <c r="J34" s="119" t="s">
        <v>263</v>
      </c>
      <c r="K34" s="120" t="s">
        <v>264</v>
      </c>
    </row>
    <row r="35">
      <c r="A35" s="121" t="s">
        <v>44</v>
      </c>
      <c r="B35" s="122" t="s">
        <v>150</v>
      </c>
      <c r="C35" s="123">
        <v>11.0</v>
      </c>
      <c r="D35" s="124">
        <v>1.0</v>
      </c>
      <c r="E35" s="124" t="s">
        <v>215</v>
      </c>
      <c r="F35" s="125" t="s">
        <v>224</v>
      </c>
      <c r="G35" s="125" t="s">
        <v>225</v>
      </c>
      <c r="H35" s="127" t="s">
        <v>226</v>
      </c>
      <c r="I35" s="127">
        <v>64.0</v>
      </c>
      <c r="J35" s="124" t="s">
        <v>62</v>
      </c>
      <c r="K35" s="124" t="s">
        <v>225</v>
      </c>
    </row>
    <row r="36">
      <c r="A36" s="121" t="s">
        <v>44</v>
      </c>
      <c r="B36" s="122" t="s">
        <v>122</v>
      </c>
      <c r="C36" s="123">
        <v>10.0</v>
      </c>
      <c r="D36" s="124">
        <v>2.0</v>
      </c>
      <c r="E36" s="124" t="s">
        <v>266</v>
      </c>
      <c r="F36" s="125" t="s">
        <v>249</v>
      </c>
      <c r="G36" s="125" t="s">
        <v>250</v>
      </c>
      <c r="H36" s="127" t="s">
        <v>251</v>
      </c>
      <c r="I36" s="127" t="s">
        <v>280</v>
      </c>
      <c r="J36" s="124" t="s">
        <v>74</v>
      </c>
      <c r="K36" s="124" t="s">
        <v>250</v>
      </c>
    </row>
    <row r="37">
      <c r="A37" s="121" t="s">
        <v>44</v>
      </c>
      <c r="B37" s="122" t="s">
        <v>37</v>
      </c>
      <c r="C37" s="123">
        <v>10.0</v>
      </c>
      <c r="D37" s="124">
        <v>2.0</v>
      </c>
      <c r="E37" s="124" t="s">
        <v>268</v>
      </c>
      <c r="F37" s="125" t="s">
        <v>252</v>
      </c>
      <c r="G37" s="125" t="s">
        <v>253</v>
      </c>
      <c r="H37" s="127" t="s">
        <v>203</v>
      </c>
      <c r="I37" s="127" t="s">
        <v>203</v>
      </c>
      <c r="J37" s="124" t="s">
        <v>64</v>
      </c>
      <c r="K37" s="124" t="s">
        <v>253</v>
      </c>
    </row>
    <row r="38">
      <c r="A38" s="121" t="s">
        <v>44</v>
      </c>
      <c r="B38" s="128" t="s">
        <v>145</v>
      </c>
      <c r="C38" s="123">
        <v>5.0</v>
      </c>
      <c r="D38" s="124">
        <v>7.0</v>
      </c>
      <c r="E38" s="124" t="s">
        <v>242</v>
      </c>
      <c r="F38" s="124" t="s">
        <v>202</v>
      </c>
      <c r="G38" s="129"/>
      <c r="H38" s="127" t="s">
        <v>203</v>
      </c>
      <c r="I38" s="127" t="s">
        <v>203</v>
      </c>
      <c r="J38" s="124"/>
      <c r="K38" s="124">
        <v>9999.0</v>
      </c>
    </row>
    <row r="39">
      <c r="A39" s="121" t="s">
        <v>44</v>
      </c>
      <c r="B39" s="122" t="s">
        <v>104</v>
      </c>
      <c r="C39" s="123">
        <v>4.0</v>
      </c>
      <c r="D39" s="124">
        <v>8.0</v>
      </c>
      <c r="E39" s="124" t="s">
        <v>215</v>
      </c>
      <c r="F39" s="124" t="s">
        <v>202</v>
      </c>
      <c r="G39" s="129"/>
      <c r="H39" s="127" t="s">
        <v>203</v>
      </c>
      <c r="I39" s="127" t="s">
        <v>203</v>
      </c>
      <c r="J39" s="124"/>
      <c r="K39" s="124">
        <v>9999.0</v>
      </c>
    </row>
    <row r="40">
      <c r="A40" s="121" t="s">
        <v>44</v>
      </c>
      <c r="B40" s="122" t="s">
        <v>173</v>
      </c>
      <c r="C40" s="123">
        <v>2.0</v>
      </c>
      <c r="D40" s="124">
        <v>10.0</v>
      </c>
      <c r="E40" s="124" t="s">
        <v>248</v>
      </c>
      <c r="F40" s="124" t="s">
        <v>202</v>
      </c>
      <c r="G40" s="129"/>
      <c r="H40" s="127" t="s">
        <v>203</v>
      </c>
      <c r="I40" s="127" t="s">
        <v>203</v>
      </c>
      <c r="J40" s="124"/>
      <c r="K40" s="124">
        <v>9999.0</v>
      </c>
    </row>
    <row r="41">
      <c r="A41" s="121" t="s">
        <v>44</v>
      </c>
      <c r="B41" s="122" t="s">
        <v>132</v>
      </c>
      <c r="C41" s="123">
        <v>7.0</v>
      </c>
      <c r="D41" s="124">
        <v>5.0</v>
      </c>
      <c r="E41" s="124" t="s">
        <v>248</v>
      </c>
      <c r="F41" s="124" t="s">
        <v>202</v>
      </c>
      <c r="G41" s="129"/>
      <c r="H41" s="127" t="s">
        <v>203</v>
      </c>
      <c r="I41" s="127" t="s">
        <v>203</v>
      </c>
      <c r="J41" s="124"/>
      <c r="K41" s="124">
        <v>9999.0</v>
      </c>
    </row>
    <row r="42">
      <c r="A42" s="121" t="s">
        <v>44</v>
      </c>
      <c r="B42" s="122" t="s">
        <v>61</v>
      </c>
      <c r="C42" s="123">
        <v>6.0</v>
      </c>
      <c r="D42" s="124">
        <v>6.0</v>
      </c>
      <c r="E42" s="124" t="s">
        <v>248</v>
      </c>
      <c r="F42" s="124" t="s">
        <v>202</v>
      </c>
      <c r="G42" s="129"/>
      <c r="H42" s="127" t="s">
        <v>203</v>
      </c>
      <c r="I42" s="127" t="s">
        <v>203</v>
      </c>
      <c r="J42" s="124"/>
      <c r="K42" s="124">
        <v>9999.0</v>
      </c>
    </row>
    <row r="43">
      <c r="A43" s="121" t="s">
        <v>44</v>
      </c>
      <c r="B43" s="122" t="s">
        <v>188</v>
      </c>
      <c r="C43" s="123">
        <v>7.0</v>
      </c>
      <c r="D43" s="124">
        <v>5.0</v>
      </c>
      <c r="E43" s="124" t="s">
        <v>267</v>
      </c>
      <c r="F43" s="124" t="s">
        <v>202</v>
      </c>
      <c r="G43" s="129"/>
      <c r="H43" s="127" t="s">
        <v>203</v>
      </c>
      <c r="I43" s="127" t="s">
        <v>203</v>
      </c>
      <c r="J43" s="124"/>
      <c r="K43" s="124">
        <v>9999.0</v>
      </c>
    </row>
    <row r="44">
      <c r="A44" s="121" t="s">
        <v>44</v>
      </c>
      <c r="B44" s="122" t="s">
        <v>161</v>
      </c>
      <c r="C44" s="123">
        <v>4.0</v>
      </c>
      <c r="D44" s="124">
        <v>8.0</v>
      </c>
      <c r="E44" s="124" t="s">
        <v>201</v>
      </c>
      <c r="F44" s="124" t="s">
        <v>202</v>
      </c>
      <c r="G44" s="129"/>
      <c r="H44" s="127" t="s">
        <v>203</v>
      </c>
      <c r="I44" s="127" t="s">
        <v>203</v>
      </c>
      <c r="J44" s="124"/>
      <c r="K44" s="124">
        <v>9999.0</v>
      </c>
    </row>
    <row r="45">
      <c r="A45" s="115" t="s">
        <v>2</v>
      </c>
      <c r="B45" s="116" t="s">
        <v>227</v>
      </c>
      <c r="C45" s="117" t="s">
        <v>29</v>
      </c>
      <c r="D45" s="118" t="s">
        <v>34</v>
      </c>
      <c r="E45" s="118" t="s">
        <v>261</v>
      </c>
      <c r="F45" s="119" t="s">
        <v>245</v>
      </c>
      <c r="G45" s="119" t="s">
        <v>228</v>
      </c>
      <c r="H45" s="119" t="s">
        <v>229</v>
      </c>
      <c r="I45" s="119" t="s">
        <v>262</v>
      </c>
      <c r="J45" s="119" t="s">
        <v>263</v>
      </c>
      <c r="K45" s="120" t="s">
        <v>264</v>
      </c>
    </row>
    <row r="46">
      <c r="A46" s="121" t="s">
        <v>48</v>
      </c>
      <c r="B46" s="122" t="s">
        <v>144</v>
      </c>
      <c r="C46" s="123">
        <v>7.0</v>
      </c>
      <c r="D46" s="124">
        <v>5.0</v>
      </c>
      <c r="E46" s="124" t="s">
        <v>248</v>
      </c>
      <c r="F46" s="125" t="s">
        <v>254</v>
      </c>
      <c r="G46" s="125" t="s">
        <v>239</v>
      </c>
      <c r="H46" s="127" t="s">
        <v>247</v>
      </c>
      <c r="I46" s="127">
        <v>54.0</v>
      </c>
      <c r="J46" s="124" t="s">
        <v>74</v>
      </c>
      <c r="K46" s="124" t="s">
        <v>239</v>
      </c>
    </row>
    <row r="47">
      <c r="A47" s="121" t="s">
        <v>48</v>
      </c>
      <c r="B47" s="122" t="s">
        <v>176</v>
      </c>
      <c r="C47" s="123">
        <v>11.0</v>
      </c>
      <c r="D47" s="124">
        <v>1.0</v>
      </c>
      <c r="E47" s="124" t="s">
        <v>234</v>
      </c>
      <c r="F47" s="124" t="s">
        <v>235</v>
      </c>
      <c r="G47" s="124" t="s">
        <v>225</v>
      </c>
      <c r="H47" s="127" t="s">
        <v>236</v>
      </c>
      <c r="I47" s="127" t="s">
        <v>237</v>
      </c>
      <c r="J47" s="124" t="s">
        <v>38</v>
      </c>
      <c r="K47" s="124" t="s">
        <v>225</v>
      </c>
    </row>
    <row r="48">
      <c r="A48" s="121" t="s">
        <v>48</v>
      </c>
      <c r="B48" s="122" t="s">
        <v>105</v>
      </c>
      <c r="C48" s="123">
        <v>5.0</v>
      </c>
      <c r="D48" s="124">
        <v>7.0</v>
      </c>
      <c r="E48" s="124" t="s">
        <v>201</v>
      </c>
      <c r="F48" s="125" t="s">
        <v>202</v>
      </c>
      <c r="G48" s="126"/>
      <c r="H48" s="127" t="s">
        <v>203</v>
      </c>
      <c r="I48" s="127" t="s">
        <v>203</v>
      </c>
      <c r="J48" s="124"/>
      <c r="K48" s="124">
        <v>9999.0</v>
      </c>
    </row>
    <row r="49">
      <c r="A49" s="121" t="s">
        <v>48</v>
      </c>
      <c r="B49" s="128" t="s">
        <v>187</v>
      </c>
      <c r="C49" s="123">
        <v>2.0</v>
      </c>
      <c r="D49" s="124">
        <v>2.0</v>
      </c>
      <c r="E49" s="124" t="s">
        <v>267</v>
      </c>
      <c r="F49" s="124" t="s">
        <v>202</v>
      </c>
      <c r="G49" s="129"/>
      <c r="H49" s="127" t="s">
        <v>203</v>
      </c>
      <c r="I49" s="127" t="s">
        <v>203</v>
      </c>
      <c r="J49" s="124"/>
      <c r="K49" s="124">
        <v>9999.0</v>
      </c>
    </row>
    <row r="50">
      <c r="A50" s="121" t="s">
        <v>48</v>
      </c>
      <c r="B50" s="122" t="s">
        <v>120</v>
      </c>
      <c r="C50" s="123">
        <v>4.0</v>
      </c>
      <c r="D50" s="124">
        <v>8.0</v>
      </c>
      <c r="E50" s="124" t="s">
        <v>248</v>
      </c>
      <c r="F50" s="124" t="s">
        <v>202</v>
      </c>
      <c r="G50" s="129"/>
      <c r="H50" s="127" t="s">
        <v>203</v>
      </c>
      <c r="I50" s="127" t="s">
        <v>203</v>
      </c>
      <c r="J50" s="124"/>
      <c r="K50" s="124">
        <v>9999.0</v>
      </c>
    </row>
    <row r="51">
      <c r="A51" s="121" t="s">
        <v>48</v>
      </c>
      <c r="B51" s="122" t="s">
        <v>127</v>
      </c>
      <c r="C51" s="123">
        <v>4.0</v>
      </c>
      <c r="D51" s="124">
        <v>8.0</v>
      </c>
      <c r="E51" s="124" t="s">
        <v>267</v>
      </c>
      <c r="F51" s="124" t="s">
        <v>202</v>
      </c>
      <c r="G51" s="129"/>
      <c r="H51" s="127" t="s">
        <v>203</v>
      </c>
      <c r="I51" s="127" t="s">
        <v>203</v>
      </c>
      <c r="J51" s="124"/>
      <c r="K51" s="124">
        <v>9999.0</v>
      </c>
    </row>
    <row r="52">
      <c r="A52" s="121" t="s">
        <v>48</v>
      </c>
      <c r="B52" s="122" t="s">
        <v>155</v>
      </c>
      <c r="C52" s="123">
        <v>2.0</v>
      </c>
      <c r="D52" s="124">
        <v>10.0</v>
      </c>
      <c r="E52" s="124" t="s">
        <v>215</v>
      </c>
      <c r="F52" s="124" t="s">
        <v>202</v>
      </c>
      <c r="G52" s="129"/>
      <c r="H52" s="127" t="s">
        <v>203</v>
      </c>
      <c r="I52" s="127" t="s">
        <v>203</v>
      </c>
      <c r="J52" s="124"/>
      <c r="K52" s="124">
        <v>9999.0</v>
      </c>
    </row>
    <row r="53">
      <c r="A53" s="121" t="s">
        <v>48</v>
      </c>
      <c r="B53" s="122" t="s">
        <v>33</v>
      </c>
      <c r="C53" s="123">
        <v>4.0</v>
      </c>
      <c r="D53" s="124">
        <v>8.0</v>
      </c>
      <c r="E53" s="124" t="s">
        <v>215</v>
      </c>
      <c r="F53" s="124" t="s">
        <v>202</v>
      </c>
      <c r="G53" s="129"/>
      <c r="H53" s="127" t="s">
        <v>203</v>
      </c>
      <c r="I53" s="127" t="s">
        <v>203</v>
      </c>
      <c r="J53" s="124"/>
      <c r="K53" s="124">
        <v>9999.0</v>
      </c>
    </row>
    <row r="54">
      <c r="A54" s="121" t="s">
        <v>48</v>
      </c>
      <c r="B54" s="122" t="s">
        <v>90</v>
      </c>
      <c r="C54" s="123">
        <v>6.0</v>
      </c>
      <c r="D54" s="124">
        <v>6.0</v>
      </c>
      <c r="E54" s="124" t="s">
        <v>201</v>
      </c>
      <c r="F54" s="124" t="s">
        <v>202</v>
      </c>
      <c r="G54" s="129"/>
      <c r="H54" s="127" t="s">
        <v>203</v>
      </c>
      <c r="I54" s="127" t="s">
        <v>203</v>
      </c>
      <c r="J54" s="124"/>
      <c r="K54" s="124">
        <v>9999.0</v>
      </c>
    </row>
    <row r="55">
      <c r="A55" s="121" t="s">
        <v>48</v>
      </c>
      <c r="B55" s="122" t="s">
        <v>162</v>
      </c>
      <c r="C55" s="123">
        <v>7.0</v>
      </c>
      <c r="D55" s="124">
        <v>5.0</v>
      </c>
      <c r="E55" s="124" t="s">
        <v>269</v>
      </c>
      <c r="F55" s="124" t="s">
        <v>202</v>
      </c>
      <c r="G55" s="129"/>
      <c r="H55" s="127" t="s">
        <v>203</v>
      </c>
      <c r="I55" s="127" t="s">
        <v>203</v>
      </c>
      <c r="J55" s="124"/>
      <c r="K55" s="124">
        <v>9999.0</v>
      </c>
    </row>
    <row r="56">
      <c r="A56" s="115" t="s">
        <v>2</v>
      </c>
      <c r="B56" s="116" t="s">
        <v>227</v>
      </c>
      <c r="C56" s="117" t="s">
        <v>29</v>
      </c>
      <c r="D56" s="118" t="s">
        <v>34</v>
      </c>
      <c r="E56" s="118" t="s">
        <v>261</v>
      </c>
      <c r="F56" s="119" t="s">
        <v>245</v>
      </c>
      <c r="G56" s="119" t="s">
        <v>228</v>
      </c>
      <c r="H56" s="119" t="s">
        <v>229</v>
      </c>
      <c r="I56" s="119" t="s">
        <v>262</v>
      </c>
      <c r="J56" s="119" t="s">
        <v>263</v>
      </c>
      <c r="K56" s="120" t="s">
        <v>264</v>
      </c>
    </row>
    <row r="57">
      <c r="A57" s="121" t="s">
        <v>53</v>
      </c>
      <c r="B57" s="122" t="s">
        <v>100</v>
      </c>
      <c r="C57" s="123">
        <v>11.0</v>
      </c>
      <c r="D57" s="124">
        <v>1.0</v>
      </c>
      <c r="E57" s="124" t="s">
        <v>207</v>
      </c>
      <c r="F57" s="125" t="s">
        <v>238</v>
      </c>
      <c r="G57" s="125" t="s">
        <v>239</v>
      </c>
      <c r="H57" s="127">
        <v>-9.0</v>
      </c>
      <c r="I57" s="127" t="s">
        <v>240</v>
      </c>
      <c r="J57" s="124" t="s">
        <v>58</v>
      </c>
      <c r="K57" s="124" t="s">
        <v>239</v>
      </c>
    </row>
    <row r="58">
      <c r="A58" s="121" t="s">
        <v>53</v>
      </c>
      <c r="B58" s="122" t="s">
        <v>136</v>
      </c>
      <c r="C58" s="123">
        <v>9.0</v>
      </c>
      <c r="D58" s="124">
        <v>3.0</v>
      </c>
      <c r="E58" s="124" t="s">
        <v>282</v>
      </c>
      <c r="F58" s="125" t="s">
        <v>255</v>
      </c>
      <c r="G58" s="125" t="s">
        <v>256</v>
      </c>
      <c r="H58" s="127" t="s">
        <v>257</v>
      </c>
      <c r="I58" s="127">
        <v>50.0</v>
      </c>
      <c r="J58" s="124" t="s">
        <v>74</v>
      </c>
      <c r="K58" s="124" t="s">
        <v>256</v>
      </c>
    </row>
    <row r="59">
      <c r="A59" s="121" t="s">
        <v>53</v>
      </c>
      <c r="B59" s="122" t="s">
        <v>93</v>
      </c>
      <c r="C59" s="123">
        <v>9.0</v>
      </c>
      <c r="D59" s="124">
        <v>3.0</v>
      </c>
      <c r="E59" s="124" t="s">
        <v>248</v>
      </c>
      <c r="F59" s="125" t="s">
        <v>208</v>
      </c>
      <c r="G59" s="125" t="s">
        <v>209</v>
      </c>
      <c r="H59" s="127">
        <v>29.0</v>
      </c>
      <c r="I59" s="127">
        <v>54.0</v>
      </c>
      <c r="J59" s="124" t="s">
        <v>38</v>
      </c>
      <c r="K59" s="124" t="s">
        <v>209</v>
      </c>
    </row>
    <row r="60">
      <c r="A60" s="121" t="s">
        <v>53</v>
      </c>
      <c r="B60" s="128" t="s">
        <v>148</v>
      </c>
      <c r="C60" s="123">
        <v>7.0</v>
      </c>
      <c r="D60" s="124">
        <v>5.0</v>
      </c>
      <c r="E60" s="124" t="s">
        <v>215</v>
      </c>
      <c r="F60" s="124" t="s">
        <v>202</v>
      </c>
      <c r="G60" s="129"/>
      <c r="H60" s="127" t="s">
        <v>203</v>
      </c>
      <c r="I60" s="127" t="s">
        <v>203</v>
      </c>
      <c r="J60" s="124"/>
      <c r="K60" s="124">
        <v>9999.0</v>
      </c>
    </row>
    <row r="61">
      <c r="A61" s="121" t="s">
        <v>53</v>
      </c>
      <c r="B61" s="122" t="s">
        <v>179</v>
      </c>
      <c r="C61" s="123">
        <v>6.0</v>
      </c>
      <c r="D61" s="124">
        <v>6.0</v>
      </c>
      <c r="E61" s="124" t="s">
        <v>201</v>
      </c>
      <c r="F61" s="124" t="s">
        <v>202</v>
      </c>
      <c r="G61" s="129"/>
      <c r="H61" s="127" t="s">
        <v>203</v>
      </c>
      <c r="I61" s="127" t="s">
        <v>203</v>
      </c>
      <c r="J61" s="124"/>
      <c r="K61" s="124">
        <v>9999.0</v>
      </c>
    </row>
    <row r="62">
      <c r="A62" s="121" t="s">
        <v>53</v>
      </c>
      <c r="B62" s="122" t="s">
        <v>119</v>
      </c>
      <c r="C62" s="123">
        <v>10.0</v>
      </c>
      <c r="D62" s="124">
        <v>2.0</v>
      </c>
      <c r="E62" s="124" t="s">
        <v>207</v>
      </c>
      <c r="F62" s="124" t="s">
        <v>202</v>
      </c>
      <c r="G62" s="129"/>
      <c r="H62" s="127" t="s">
        <v>203</v>
      </c>
      <c r="I62" s="127" t="s">
        <v>203</v>
      </c>
      <c r="J62" s="124"/>
      <c r="K62" s="124">
        <v>9999.0</v>
      </c>
    </row>
    <row r="63">
      <c r="A63" s="121" t="s">
        <v>53</v>
      </c>
      <c r="B63" s="122" t="s">
        <v>42</v>
      </c>
      <c r="C63" s="123">
        <v>10.0</v>
      </c>
      <c r="D63" s="124">
        <v>2.0</v>
      </c>
      <c r="E63" s="124" t="s">
        <v>248</v>
      </c>
      <c r="F63" s="124" t="s">
        <v>202</v>
      </c>
      <c r="G63" s="129"/>
      <c r="H63" s="127" t="s">
        <v>203</v>
      </c>
      <c r="I63" s="127" t="s">
        <v>203</v>
      </c>
      <c r="J63" s="124"/>
      <c r="K63" s="124">
        <v>9999.0</v>
      </c>
    </row>
    <row r="64">
      <c r="A64" s="121" t="s">
        <v>53</v>
      </c>
      <c r="B64" s="122" t="s">
        <v>164</v>
      </c>
      <c r="C64" s="123">
        <v>5.0</v>
      </c>
      <c r="D64" s="124">
        <v>7.0</v>
      </c>
      <c r="E64" s="124" t="s">
        <v>248</v>
      </c>
      <c r="F64" s="124" t="s">
        <v>202</v>
      </c>
      <c r="G64" s="129"/>
      <c r="H64" s="127" t="s">
        <v>203</v>
      </c>
      <c r="I64" s="127" t="s">
        <v>203</v>
      </c>
      <c r="J64" s="124"/>
      <c r="K64" s="124">
        <v>9999.0</v>
      </c>
    </row>
    <row r="65">
      <c r="A65" s="121" t="s">
        <v>53</v>
      </c>
      <c r="B65" s="122" t="s">
        <v>191</v>
      </c>
      <c r="C65" s="123">
        <v>5.0</v>
      </c>
      <c r="D65" s="124">
        <v>7.0</v>
      </c>
      <c r="E65" s="124" t="s">
        <v>248</v>
      </c>
      <c r="F65" s="124" t="s">
        <v>202</v>
      </c>
      <c r="G65" s="129"/>
      <c r="H65" s="127" t="s">
        <v>203</v>
      </c>
      <c r="I65" s="127" t="s">
        <v>203</v>
      </c>
      <c r="J65" s="124"/>
      <c r="K65" s="124">
        <v>9999.0</v>
      </c>
    </row>
    <row r="66">
      <c r="A66" s="121" t="s">
        <v>53</v>
      </c>
      <c r="B66" s="122" t="s">
        <v>157</v>
      </c>
      <c r="C66" s="123">
        <v>5.0</v>
      </c>
      <c r="D66" s="124">
        <v>7.0</v>
      </c>
      <c r="E66" s="124" t="s">
        <v>248</v>
      </c>
      <c r="F66" s="124" t="s">
        <v>202</v>
      </c>
      <c r="G66" s="129"/>
      <c r="H66" s="127" t="s">
        <v>203</v>
      </c>
      <c r="I66" s="127" t="s">
        <v>203</v>
      </c>
      <c r="J66" s="124"/>
      <c r="K66" s="124">
        <v>9999.0</v>
      </c>
    </row>
    <row r="67">
      <c r="A67" s="115" t="s">
        <v>2</v>
      </c>
      <c r="B67" s="116" t="s">
        <v>227</v>
      </c>
      <c r="C67" s="117" t="s">
        <v>29</v>
      </c>
      <c r="D67" s="118" t="s">
        <v>34</v>
      </c>
      <c r="E67" s="118" t="s">
        <v>261</v>
      </c>
      <c r="F67" s="119" t="s">
        <v>245</v>
      </c>
      <c r="G67" s="119" t="s">
        <v>228</v>
      </c>
      <c r="H67" s="119" t="s">
        <v>229</v>
      </c>
      <c r="I67" s="119" t="s">
        <v>262</v>
      </c>
      <c r="J67" s="119" t="s">
        <v>263</v>
      </c>
      <c r="K67" s="120" t="s">
        <v>264</v>
      </c>
    </row>
    <row r="68">
      <c r="A68" s="121" t="s">
        <v>58</v>
      </c>
      <c r="B68" s="122" t="s">
        <v>165</v>
      </c>
      <c r="C68" s="123">
        <v>10.0</v>
      </c>
      <c r="D68" s="124">
        <v>2.0</v>
      </c>
      <c r="E68" s="124" t="s">
        <v>201</v>
      </c>
      <c r="F68" s="125" t="s">
        <v>258</v>
      </c>
      <c r="G68" s="125" t="s">
        <v>259</v>
      </c>
      <c r="H68" s="127" t="s">
        <v>247</v>
      </c>
      <c r="I68" s="127" t="s">
        <v>283</v>
      </c>
      <c r="J68" s="124" t="s">
        <v>69</v>
      </c>
      <c r="K68" s="124" t="s">
        <v>259</v>
      </c>
    </row>
    <row r="69">
      <c r="A69" s="121" t="s">
        <v>58</v>
      </c>
      <c r="B69" s="122" t="s">
        <v>96</v>
      </c>
      <c r="C69" s="123">
        <v>11.0</v>
      </c>
      <c r="D69" s="124">
        <v>1.0</v>
      </c>
      <c r="E69" s="124" t="s">
        <v>207</v>
      </c>
      <c r="F69" s="125" t="s">
        <v>238</v>
      </c>
      <c r="G69" s="125" t="s">
        <v>239</v>
      </c>
      <c r="H69" s="127">
        <v>9.0</v>
      </c>
      <c r="I69" s="127" t="s">
        <v>240</v>
      </c>
      <c r="J69" s="124" t="s">
        <v>53</v>
      </c>
      <c r="K69" s="124" t="s">
        <v>239</v>
      </c>
    </row>
    <row r="70">
      <c r="A70" s="121" t="s">
        <v>58</v>
      </c>
      <c r="B70" s="122" t="s">
        <v>186</v>
      </c>
      <c r="C70" s="123">
        <v>11.0</v>
      </c>
      <c r="D70" s="124">
        <v>1.0</v>
      </c>
      <c r="E70" s="124" t="s">
        <v>242</v>
      </c>
      <c r="F70" s="125" t="s">
        <v>243</v>
      </c>
      <c r="G70" s="125" t="s">
        <v>239</v>
      </c>
      <c r="H70" s="127" t="s">
        <v>244</v>
      </c>
      <c r="I70" s="127">
        <v>56.0</v>
      </c>
      <c r="J70" s="124" t="s">
        <v>41</v>
      </c>
      <c r="K70" s="124" t="s">
        <v>239</v>
      </c>
    </row>
    <row r="71">
      <c r="A71" s="121" t="s">
        <v>58</v>
      </c>
      <c r="B71" s="128" t="s">
        <v>140</v>
      </c>
      <c r="C71" s="123">
        <v>7.0</v>
      </c>
      <c r="D71" s="124">
        <v>5.0</v>
      </c>
      <c r="E71" s="124" t="s">
        <v>260</v>
      </c>
      <c r="F71" s="124" t="s">
        <v>202</v>
      </c>
      <c r="G71" s="129"/>
      <c r="H71" s="127" t="s">
        <v>203</v>
      </c>
      <c r="I71" s="127" t="s">
        <v>203</v>
      </c>
      <c r="J71" s="124"/>
      <c r="K71" s="124">
        <v>9999.0</v>
      </c>
    </row>
    <row r="72">
      <c r="A72" s="121" t="s">
        <v>58</v>
      </c>
      <c r="B72" s="122" t="s">
        <v>110</v>
      </c>
      <c r="C72" s="123">
        <v>9.0</v>
      </c>
      <c r="D72" s="124">
        <v>3.0</v>
      </c>
      <c r="E72" s="124" t="s">
        <v>278</v>
      </c>
      <c r="F72" s="124" t="s">
        <v>202</v>
      </c>
      <c r="G72" s="129"/>
      <c r="H72" s="127" t="s">
        <v>203</v>
      </c>
      <c r="I72" s="127" t="s">
        <v>203</v>
      </c>
      <c r="J72" s="124"/>
      <c r="K72" s="124">
        <v>9999.0</v>
      </c>
    </row>
    <row r="73">
      <c r="A73" s="121" t="s">
        <v>58</v>
      </c>
      <c r="B73" s="122" t="s">
        <v>45</v>
      </c>
      <c r="C73" s="123">
        <v>4.0</v>
      </c>
      <c r="D73" s="124">
        <v>8.0</v>
      </c>
      <c r="E73" s="124" t="s">
        <v>260</v>
      </c>
      <c r="F73" s="124" t="s">
        <v>202</v>
      </c>
      <c r="G73" s="129"/>
      <c r="H73" s="127" t="s">
        <v>203</v>
      </c>
      <c r="I73" s="127" t="s">
        <v>203</v>
      </c>
      <c r="J73" s="124"/>
      <c r="K73" s="124">
        <v>9999.0</v>
      </c>
    </row>
    <row r="74">
      <c r="A74" s="121" t="s">
        <v>58</v>
      </c>
      <c r="B74" s="122" t="s">
        <v>135</v>
      </c>
      <c r="C74" s="123">
        <v>8.0</v>
      </c>
      <c r="D74" s="124">
        <v>4.0</v>
      </c>
      <c r="E74" s="124" t="s">
        <v>248</v>
      </c>
      <c r="F74" s="124" t="s">
        <v>202</v>
      </c>
      <c r="G74" s="129"/>
      <c r="H74" s="127" t="s">
        <v>203</v>
      </c>
      <c r="I74" s="127" t="s">
        <v>203</v>
      </c>
      <c r="J74" s="124"/>
      <c r="K74" s="124">
        <v>9999.0</v>
      </c>
    </row>
    <row r="75">
      <c r="A75" s="121" t="s">
        <v>58</v>
      </c>
      <c r="B75" s="122" t="s">
        <v>158</v>
      </c>
      <c r="C75" s="123">
        <v>4.0</v>
      </c>
      <c r="D75" s="124">
        <v>8.0</v>
      </c>
      <c r="E75" s="124" t="s">
        <v>284</v>
      </c>
      <c r="F75" s="124" t="s">
        <v>202</v>
      </c>
      <c r="G75" s="129"/>
      <c r="H75" s="127" t="s">
        <v>203</v>
      </c>
      <c r="I75" s="127" t="s">
        <v>203</v>
      </c>
      <c r="J75" s="124"/>
      <c r="K75" s="124">
        <v>9999.0</v>
      </c>
    </row>
    <row r="76">
      <c r="A76" s="121" t="s">
        <v>58</v>
      </c>
      <c r="B76" s="122" t="s">
        <v>72</v>
      </c>
      <c r="C76" s="123">
        <v>5.0</v>
      </c>
      <c r="D76" s="124">
        <v>7.0</v>
      </c>
      <c r="E76" s="124" t="s">
        <v>285</v>
      </c>
      <c r="F76" s="124" t="s">
        <v>202</v>
      </c>
      <c r="G76" s="129"/>
      <c r="H76" s="127" t="s">
        <v>203</v>
      </c>
      <c r="I76" s="127" t="s">
        <v>203</v>
      </c>
      <c r="J76" s="124"/>
      <c r="K76" s="124">
        <v>9999.0</v>
      </c>
    </row>
    <row r="77">
      <c r="A77" s="121" t="s">
        <v>58</v>
      </c>
      <c r="B77" s="122" t="s">
        <v>183</v>
      </c>
      <c r="C77" s="123">
        <v>7.0</v>
      </c>
      <c r="D77" s="124">
        <v>5.0</v>
      </c>
      <c r="E77" s="124" t="s">
        <v>248</v>
      </c>
      <c r="F77" s="124" t="s">
        <v>202</v>
      </c>
      <c r="G77" s="129"/>
      <c r="H77" s="127" t="s">
        <v>203</v>
      </c>
      <c r="I77" s="127" t="s">
        <v>203</v>
      </c>
      <c r="J77" s="124"/>
      <c r="K77" s="124">
        <v>9999.0</v>
      </c>
    </row>
    <row r="78">
      <c r="A78" s="115" t="s">
        <v>2</v>
      </c>
      <c r="B78" s="116" t="s">
        <v>227</v>
      </c>
      <c r="C78" s="117" t="s">
        <v>29</v>
      </c>
      <c r="D78" s="118" t="s">
        <v>34</v>
      </c>
      <c r="E78" s="118" t="s">
        <v>261</v>
      </c>
      <c r="F78" s="119" t="s">
        <v>245</v>
      </c>
      <c r="G78" s="119" t="s">
        <v>228</v>
      </c>
      <c r="H78" s="119" t="s">
        <v>229</v>
      </c>
      <c r="I78" s="119" t="s">
        <v>262</v>
      </c>
      <c r="J78" s="119" t="s">
        <v>263</v>
      </c>
      <c r="K78" s="120" t="s">
        <v>264</v>
      </c>
    </row>
    <row r="79">
      <c r="A79" s="121" t="s">
        <v>60</v>
      </c>
      <c r="B79" s="122" t="s">
        <v>137</v>
      </c>
      <c r="C79" s="123">
        <v>0.0</v>
      </c>
      <c r="D79" s="124">
        <v>12.0</v>
      </c>
      <c r="E79" s="124" t="s">
        <v>248</v>
      </c>
      <c r="F79" s="124" t="s">
        <v>202</v>
      </c>
      <c r="G79" s="129"/>
      <c r="H79" s="127" t="s">
        <v>203</v>
      </c>
      <c r="I79" s="127" t="s">
        <v>203</v>
      </c>
      <c r="J79" s="124"/>
      <c r="K79" s="124">
        <v>9999.0</v>
      </c>
    </row>
    <row r="80">
      <c r="A80" s="121" t="s">
        <v>60</v>
      </c>
      <c r="B80" s="122" t="s">
        <v>103</v>
      </c>
      <c r="C80" s="123">
        <v>7.0</v>
      </c>
      <c r="D80" s="124">
        <v>5.0</v>
      </c>
      <c r="E80" s="124" t="s">
        <v>269</v>
      </c>
      <c r="F80" s="124" t="s">
        <v>202</v>
      </c>
      <c r="G80" s="129"/>
      <c r="H80" s="127" t="s">
        <v>203</v>
      </c>
      <c r="I80" s="127" t="s">
        <v>203</v>
      </c>
      <c r="J80" s="124"/>
      <c r="K80" s="124">
        <v>9999.0</v>
      </c>
    </row>
    <row r="81">
      <c r="A81" s="121" t="s">
        <v>60</v>
      </c>
      <c r="B81" s="122" t="s">
        <v>59</v>
      </c>
      <c r="C81" s="123">
        <v>9.0</v>
      </c>
      <c r="D81" s="124">
        <v>3.0</v>
      </c>
      <c r="E81" s="124" t="s">
        <v>248</v>
      </c>
      <c r="F81" s="124" t="s">
        <v>202</v>
      </c>
      <c r="G81" s="129"/>
      <c r="H81" s="127" t="s">
        <v>203</v>
      </c>
      <c r="I81" s="127" t="s">
        <v>203</v>
      </c>
      <c r="J81" s="124"/>
      <c r="K81" s="124">
        <v>9999.0</v>
      </c>
    </row>
    <row r="82">
      <c r="A82" s="121" t="s">
        <v>60</v>
      </c>
      <c r="B82" s="128" t="s">
        <v>123</v>
      </c>
      <c r="C82" s="123">
        <v>6.0</v>
      </c>
      <c r="D82" s="124">
        <v>6.0</v>
      </c>
      <c r="E82" s="124" t="s">
        <v>248</v>
      </c>
      <c r="F82" s="124" t="s">
        <v>202</v>
      </c>
      <c r="G82" s="129"/>
      <c r="H82" s="127" t="s">
        <v>203</v>
      </c>
      <c r="I82" s="127" t="s">
        <v>203</v>
      </c>
      <c r="J82" s="124"/>
      <c r="K82" s="124">
        <v>9999.0</v>
      </c>
    </row>
    <row r="83">
      <c r="A83" s="121" t="s">
        <v>60</v>
      </c>
      <c r="B83" s="122" t="s">
        <v>117</v>
      </c>
      <c r="C83" s="123">
        <v>3.0</v>
      </c>
      <c r="D83" s="124">
        <v>9.0</v>
      </c>
      <c r="E83" s="124" t="s">
        <v>266</v>
      </c>
      <c r="F83" s="124" t="s">
        <v>202</v>
      </c>
      <c r="G83" s="129"/>
      <c r="H83" s="127" t="s">
        <v>203</v>
      </c>
      <c r="I83" s="127" t="s">
        <v>203</v>
      </c>
      <c r="J83" s="124"/>
      <c r="K83" s="124">
        <v>9999.0</v>
      </c>
    </row>
    <row r="84">
      <c r="A84" s="121" t="s">
        <v>60</v>
      </c>
      <c r="B84" s="122" t="s">
        <v>95</v>
      </c>
      <c r="C84" s="123">
        <v>8.0</v>
      </c>
      <c r="D84" s="124">
        <v>4.0</v>
      </c>
      <c r="E84" s="124" t="s">
        <v>207</v>
      </c>
      <c r="F84" s="124" t="s">
        <v>202</v>
      </c>
      <c r="G84" s="129"/>
      <c r="H84" s="127" t="s">
        <v>203</v>
      </c>
      <c r="I84" s="127" t="s">
        <v>203</v>
      </c>
      <c r="J84" s="124"/>
      <c r="K84" s="124">
        <v>9999.0</v>
      </c>
    </row>
    <row r="85">
      <c r="A85" s="121" t="s">
        <v>60</v>
      </c>
      <c r="B85" s="122" t="s">
        <v>149</v>
      </c>
      <c r="C85" s="123">
        <v>10.0</v>
      </c>
      <c r="D85" s="124">
        <v>2.0</v>
      </c>
      <c r="E85" s="124" t="s">
        <v>215</v>
      </c>
      <c r="F85" s="124" t="s">
        <v>202</v>
      </c>
      <c r="G85" s="129"/>
      <c r="H85" s="127" t="s">
        <v>203</v>
      </c>
      <c r="I85" s="127" t="s">
        <v>203</v>
      </c>
      <c r="J85" s="124"/>
      <c r="K85" s="124">
        <v>9999.0</v>
      </c>
    </row>
    <row r="86">
      <c r="A86" s="121" t="s">
        <v>60</v>
      </c>
      <c r="B86" s="122" t="s">
        <v>166</v>
      </c>
      <c r="C86" s="123">
        <v>5.0</v>
      </c>
      <c r="D86" s="124">
        <v>7.0</v>
      </c>
      <c r="E86" s="124" t="s">
        <v>269</v>
      </c>
      <c r="F86" s="124" t="s">
        <v>202</v>
      </c>
      <c r="G86" s="129"/>
      <c r="H86" s="127" t="s">
        <v>203</v>
      </c>
      <c r="I86" s="127" t="s">
        <v>203</v>
      </c>
      <c r="J86" s="124"/>
      <c r="K86" s="124">
        <v>9999.0</v>
      </c>
    </row>
    <row r="87">
      <c r="A87" s="121" t="s">
        <v>60</v>
      </c>
      <c r="B87" s="122" t="s">
        <v>189</v>
      </c>
      <c r="C87" s="123">
        <v>7.0</v>
      </c>
      <c r="D87" s="124">
        <v>5.0</v>
      </c>
      <c r="E87" s="124" t="s">
        <v>242</v>
      </c>
      <c r="F87" s="124" t="s">
        <v>202</v>
      </c>
      <c r="G87" s="129"/>
      <c r="H87" s="127" t="s">
        <v>203</v>
      </c>
      <c r="I87" s="127" t="s">
        <v>203</v>
      </c>
      <c r="J87" s="124"/>
      <c r="K87" s="124">
        <v>9999.0</v>
      </c>
    </row>
    <row r="88">
      <c r="A88" s="121" t="s">
        <v>60</v>
      </c>
      <c r="B88" s="122" t="s">
        <v>175</v>
      </c>
      <c r="C88" s="123">
        <v>10.0</v>
      </c>
      <c r="D88" s="124">
        <v>2.0</v>
      </c>
      <c r="E88" s="124" t="s">
        <v>234</v>
      </c>
      <c r="F88" s="124" t="s">
        <v>202</v>
      </c>
      <c r="G88" s="129"/>
      <c r="H88" s="127" t="s">
        <v>203</v>
      </c>
      <c r="I88" s="127" t="s">
        <v>203</v>
      </c>
      <c r="J88" s="124"/>
      <c r="K88" s="124">
        <v>9999.0</v>
      </c>
    </row>
    <row r="89">
      <c r="A89" s="115" t="s">
        <v>2</v>
      </c>
      <c r="B89" s="116" t="s">
        <v>227</v>
      </c>
      <c r="C89" s="117" t="s">
        <v>29</v>
      </c>
      <c r="D89" s="118" t="s">
        <v>34</v>
      </c>
      <c r="E89" s="118" t="s">
        <v>261</v>
      </c>
      <c r="F89" s="119" t="s">
        <v>245</v>
      </c>
      <c r="G89" s="119" t="s">
        <v>228</v>
      </c>
      <c r="H89" s="119" t="s">
        <v>229</v>
      </c>
      <c r="I89" s="119" t="s">
        <v>262</v>
      </c>
      <c r="J89" s="119" t="s">
        <v>263</v>
      </c>
      <c r="K89" s="120" t="s">
        <v>264</v>
      </c>
    </row>
    <row r="90">
      <c r="A90" s="121" t="s">
        <v>62</v>
      </c>
      <c r="B90" s="122" t="s">
        <v>5</v>
      </c>
      <c r="C90" s="123">
        <v>10.0</v>
      </c>
      <c r="D90" s="124">
        <v>2.0</v>
      </c>
      <c r="E90" s="124" t="s">
        <v>260</v>
      </c>
      <c r="F90" s="125" t="s">
        <v>270</v>
      </c>
      <c r="G90" s="125" t="s">
        <v>271</v>
      </c>
      <c r="H90" s="127" t="s">
        <v>272</v>
      </c>
      <c r="I90" s="127" t="s">
        <v>276</v>
      </c>
      <c r="J90" s="124" t="s">
        <v>69</v>
      </c>
      <c r="K90" s="124" t="s">
        <v>271</v>
      </c>
    </row>
    <row r="91">
      <c r="A91" s="121" t="s">
        <v>62</v>
      </c>
      <c r="B91" s="122" t="s">
        <v>153</v>
      </c>
      <c r="C91" s="123">
        <v>9.0</v>
      </c>
      <c r="D91" s="124">
        <v>4.0</v>
      </c>
      <c r="E91" s="124" t="s">
        <v>284</v>
      </c>
      <c r="F91" s="124" t="s">
        <v>224</v>
      </c>
      <c r="G91" s="124" t="s">
        <v>225</v>
      </c>
      <c r="H91" s="127" t="s">
        <v>274</v>
      </c>
      <c r="I91" s="127">
        <v>64.0</v>
      </c>
      <c r="J91" s="124" t="s">
        <v>44</v>
      </c>
      <c r="K91" s="124" t="s">
        <v>225</v>
      </c>
    </row>
    <row r="92">
      <c r="A92" s="121" t="s">
        <v>62</v>
      </c>
      <c r="B92" s="122" t="s">
        <v>143</v>
      </c>
      <c r="C92" s="123">
        <v>6.0</v>
      </c>
      <c r="D92" s="124">
        <v>6.0</v>
      </c>
      <c r="E92" s="124" t="s">
        <v>260</v>
      </c>
      <c r="F92" s="125" t="s">
        <v>202</v>
      </c>
      <c r="G92" s="126"/>
      <c r="H92" s="127" t="s">
        <v>203</v>
      </c>
      <c r="I92" s="127" t="s">
        <v>203</v>
      </c>
      <c r="J92" s="124"/>
      <c r="K92" s="124">
        <v>9999.0</v>
      </c>
    </row>
    <row r="93">
      <c r="A93" s="121" t="s">
        <v>62</v>
      </c>
      <c r="B93" s="128" t="s">
        <v>171</v>
      </c>
      <c r="C93" s="123">
        <v>7.0</v>
      </c>
      <c r="D93" s="124">
        <v>5.0</v>
      </c>
      <c r="E93" s="124" t="s">
        <v>248</v>
      </c>
      <c r="F93" s="124" t="s">
        <v>202</v>
      </c>
      <c r="G93" s="129"/>
      <c r="H93" s="127" t="s">
        <v>203</v>
      </c>
      <c r="I93" s="127" t="s">
        <v>203</v>
      </c>
      <c r="J93" s="124"/>
      <c r="K93" s="124">
        <v>9999.0</v>
      </c>
    </row>
    <row r="94">
      <c r="A94" s="121" t="s">
        <v>62</v>
      </c>
      <c r="B94" s="122" t="s">
        <v>102</v>
      </c>
      <c r="C94" s="123">
        <v>5.0</v>
      </c>
      <c r="D94" s="124">
        <v>7.0</v>
      </c>
      <c r="E94" s="124" t="s">
        <v>215</v>
      </c>
      <c r="F94" s="124" t="s">
        <v>202</v>
      </c>
      <c r="G94" s="129"/>
      <c r="H94" s="127" t="s">
        <v>203</v>
      </c>
      <c r="I94" s="127" t="s">
        <v>203</v>
      </c>
      <c r="J94" s="124"/>
      <c r="K94" s="124">
        <v>9999.0</v>
      </c>
    </row>
    <row r="95">
      <c r="A95" s="121" t="s">
        <v>62</v>
      </c>
      <c r="B95" s="122" t="s">
        <v>192</v>
      </c>
      <c r="C95" s="123">
        <v>2.0</v>
      </c>
      <c r="D95" s="124">
        <v>10.0</v>
      </c>
      <c r="E95" s="124" t="s">
        <v>267</v>
      </c>
      <c r="F95" s="124" t="s">
        <v>202</v>
      </c>
      <c r="G95" s="129"/>
      <c r="H95" s="127" t="s">
        <v>203</v>
      </c>
      <c r="I95" s="127" t="s">
        <v>203</v>
      </c>
      <c r="J95" s="124"/>
      <c r="K95" s="124">
        <v>9999.0</v>
      </c>
    </row>
    <row r="96">
      <c r="A96" s="121" t="s">
        <v>62</v>
      </c>
      <c r="B96" s="122" t="s">
        <v>112</v>
      </c>
      <c r="C96" s="123">
        <v>9.0</v>
      </c>
      <c r="D96" s="124">
        <v>3.0</v>
      </c>
      <c r="E96" s="124" t="s">
        <v>278</v>
      </c>
      <c r="F96" s="124" t="s">
        <v>202</v>
      </c>
      <c r="G96" s="129"/>
      <c r="H96" s="127" t="s">
        <v>203</v>
      </c>
      <c r="I96" s="127" t="s">
        <v>203</v>
      </c>
      <c r="J96" s="124"/>
      <c r="K96" s="124">
        <v>9999.0</v>
      </c>
    </row>
    <row r="97">
      <c r="A97" s="121" t="s">
        <v>62</v>
      </c>
      <c r="B97" s="122" t="s">
        <v>92</v>
      </c>
      <c r="C97" s="123">
        <v>5.0</v>
      </c>
      <c r="D97" s="124">
        <v>7.0</v>
      </c>
      <c r="E97" s="124" t="s">
        <v>285</v>
      </c>
      <c r="F97" s="124" t="s">
        <v>202</v>
      </c>
      <c r="G97" s="129"/>
      <c r="H97" s="127" t="s">
        <v>203</v>
      </c>
      <c r="I97" s="127" t="s">
        <v>203</v>
      </c>
      <c r="J97" s="124"/>
      <c r="K97" s="124">
        <v>9999.0</v>
      </c>
    </row>
    <row r="98">
      <c r="A98" s="121" t="s">
        <v>62</v>
      </c>
      <c r="B98" s="122" t="s">
        <v>128</v>
      </c>
      <c r="C98" s="123">
        <v>4.0</v>
      </c>
      <c r="D98" s="124">
        <v>8.0</v>
      </c>
      <c r="E98" s="124" t="s">
        <v>248</v>
      </c>
      <c r="F98" s="124" t="s">
        <v>202</v>
      </c>
      <c r="G98" s="129"/>
      <c r="H98" s="127" t="s">
        <v>203</v>
      </c>
      <c r="I98" s="127" t="s">
        <v>203</v>
      </c>
      <c r="J98" s="124"/>
      <c r="K98" s="124">
        <v>9999.0</v>
      </c>
    </row>
    <row r="99">
      <c r="A99" s="121" t="s">
        <v>62</v>
      </c>
      <c r="B99" s="122" t="s">
        <v>184</v>
      </c>
      <c r="C99" s="123">
        <v>7.0</v>
      </c>
      <c r="D99" s="124">
        <v>5.0</v>
      </c>
      <c r="E99" s="124" t="s">
        <v>287</v>
      </c>
      <c r="F99" s="124" t="s">
        <v>202</v>
      </c>
      <c r="G99" s="129"/>
      <c r="H99" s="127" t="s">
        <v>203</v>
      </c>
      <c r="I99" s="127" t="s">
        <v>203</v>
      </c>
      <c r="J99" s="124"/>
      <c r="K99" s="124">
        <v>9999.0</v>
      </c>
    </row>
    <row r="100">
      <c r="A100" s="115" t="s">
        <v>2</v>
      </c>
      <c r="B100" s="116" t="s">
        <v>227</v>
      </c>
      <c r="C100" s="117" t="s">
        <v>29</v>
      </c>
      <c r="D100" s="118" t="s">
        <v>34</v>
      </c>
      <c r="E100" s="118" t="s">
        <v>261</v>
      </c>
      <c r="F100" s="119" t="s">
        <v>245</v>
      </c>
      <c r="G100" s="119" t="s">
        <v>228</v>
      </c>
      <c r="H100" s="119" t="s">
        <v>229</v>
      </c>
      <c r="I100" s="119" t="s">
        <v>262</v>
      </c>
      <c r="J100" s="119" t="s">
        <v>263</v>
      </c>
      <c r="K100" s="120" t="s">
        <v>264</v>
      </c>
    </row>
    <row r="101">
      <c r="A101" s="121" t="s">
        <v>64</v>
      </c>
      <c r="B101" s="122" t="s">
        <v>196</v>
      </c>
      <c r="C101" s="123">
        <v>5.0</v>
      </c>
      <c r="D101" s="124">
        <v>8.0</v>
      </c>
      <c r="E101" s="124" t="s">
        <v>260</v>
      </c>
      <c r="F101" s="125" t="s">
        <v>252</v>
      </c>
      <c r="G101" s="125" t="s">
        <v>253</v>
      </c>
      <c r="H101" s="127" t="s">
        <v>203</v>
      </c>
      <c r="I101" s="127" t="s">
        <v>203</v>
      </c>
      <c r="J101" s="124" t="s">
        <v>44</v>
      </c>
      <c r="K101" s="124" t="s">
        <v>253</v>
      </c>
    </row>
    <row r="102">
      <c r="A102" s="121" t="s">
        <v>64</v>
      </c>
      <c r="B102" s="122" t="s">
        <v>147</v>
      </c>
      <c r="C102" s="123">
        <v>6.0</v>
      </c>
      <c r="D102" s="124">
        <v>6.0</v>
      </c>
      <c r="E102" s="124" t="s">
        <v>242</v>
      </c>
      <c r="F102" s="125" t="s">
        <v>202</v>
      </c>
      <c r="G102" s="126"/>
      <c r="H102" s="127" t="s">
        <v>203</v>
      </c>
      <c r="I102" s="127" t="s">
        <v>203</v>
      </c>
      <c r="J102" s="124"/>
      <c r="K102" s="124">
        <v>9999.0</v>
      </c>
    </row>
    <row r="103">
      <c r="A103" s="121" t="s">
        <v>64</v>
      </c>
      <c r="B103" s="122" t="s">
        <v>177</v>
      </c>
      <c r="C103" s="123">
        <v>7.0</v>
      </c>
      <c r="D103" s="124">
        <v>5.0</v>
      </c>
      <c r="E103" s="124" t="s">
        <v>287</v>
      </c>
      <c r="F103" s="125" t="s">
        <v>202</v>
      </c>
      <c r="G103" s="126"/>
      <c r="H103" s="127" t="s">
        <v>203</v>
      </c>
      <c r="I103" s="127" t="s">
        <v>203</v>
      </c>
      <c r="J103" s="124"/>
      <c r="K103" s="124">
        <v>9999.0</v>
      </c>
    </row>
    <row r="104">
      <c r="A104" s="121" t="s">
        <v>64</v>
      </c>
      <c r="B104" s="128" t="s">
        <v>154</v>
      </c>
      <c r="C104" s="123">
        <v>7.0</v>
      </c>
      <c r="D104" s="124">
        <v>5.0</v>
      </c>
      <c r="E104" s="124" t="s">
        <v>248</v>
      </c>
      <c r="F104" s="124" t="s">
        <v>202</v>
      </c>
      <c r="G104" s="129"/>
      <c r="H104" s="127" t="s">
        <v>203</v>
      </c>
      <c r="I104" s="127" t="s">
        <v>203</v>
      </c>
      <c r="J104" s="124"/>
      <c r="K104" s="124">
        <v>9999.0</v>
      </c>
    </row>
    <row r="105">
      <c r="A105" s="121" t="s">
        <v>64</v>
      </c>
      <c r="B105" s="122" t="s">
        <v>115</v>
      </c>
      <c r="C105" s="123">
        <v>10.0</v>
      </c>
      <c r="D105" s="124">
        <v>2.0</v>
      </c>
      <c r="E105" s="124" t="s">
        <v>278</v>
      </c>
      <c r="F105" s="124" t="s">
        <v>202</v>
      </c>
      <c r="G105" s="129"/>
      <c r="H105" s="127" t="s">
        <v>203</v>
      </c>
      <c r="I105" s="127" t="s">
        <v>203</v>
      </c>
      <c r="J105" s="124"/>
      <c r="K105" s="124">
        <v>9999.0</v>
      </c>
    </row>
    <row r="106">
      <c r="A106" s="121" t="s">
        <v>64</v>
      </c>
      <c r="B106" s="122" t="s">
        <v>98</v>
      </c>
      <c r="C106" s="123">
        <v>3.0</v>
      </c>
      <c r="D106" s="124">
        <v>9.0</v>
      </c>
      <c r="E106" s="124" t="s">
        <v>269</v>
      </c>
      <c r="F106" s="124" t="s">
        <v>202</v>
      </c>
      <c r="G106" s="129"/>
      <c r="H106" s="127" t="s">
        <v>203</v>
      </c>
      <c r="I106" s="127" t="s">
        <v>203</v>
      </c>
      <c r="J106" s="124"/>
      <c r="K106" s="124">
        <v>9999.0</v>
      </c>
    </row>
    <row r="107">
      <c r="A107" s="121" t="s">
        <v>64</v>
      </c>
      <c r="B107" s="122" t="s">
        <v>49</v>
      </c>
      <c r="C107" s="123">
        <v>8.0</v>
      </c>
      <c r="D107" s="124">
        <v>4.0</v>
      </c>
      <c r="E107" s="124" t="s">
        <v>242</v>
      </c>
      <c r="F107" s="124" t="s">
        <v>202</v>
      </c>
      <c r="G107" s="129"/>
      <c r="H107" s="127" t="s">
        <v>203</v>
      </c>
      <c r="I107" s="127" t="s">
        <v>203</v>
      </c>
      <c r="J107" s="124"/>
      <c r="K107" s="124">
        <v>9999.0</v>
      </c>
    </row>
    <row r="108">
      <c r="A108" s="121" t="s">
        <v>64</v>
      </c>
      <c r="B108" s="122" t="s">
        <v>131</v>
      </c>
      <c r="C108" s="123">
        <v>7.0</v>
      </c>
      <c r="D108" s="124">
        <v>5.0</v>
      </c>
      <c r="E108" s="124" t="s">
        <v>248</v>
      </c>
      <c r="F108" s="124" t="s">
        <v>202</v>
      </c>
      <c r="G108" s="129"/>
      <c r="H108" s="127" t="s">
        <v>203</v>
      </c>
      <c r="I108" s="127" t="s">
        <v>203</v>
      </c>
      <c r="J108" s="124"/>
      <c r="K108" s="124">
        <v>9999.0</v>
      </c>
    </row>
    <row r="109">
      <c r="A109" s="121" t="s">
        <v>64</v>
      </c>
      <c r="B109" s="122" t="s">
        <v>76</v>
      </c>
      <c r="C109" s="123">
        <v>6.0</v>
      </c>
      <c r="D109" s="124">
        <v>6.0</v>
      </c>
      <c r="E109" s="124" t="s">
        <v>265</v>
      </c>
      <c r="F109" s="124" t="s">
        <v>202</v>
      </c>
      <c r="G109" s="129"/>
      <c r="H109" s="127" t="s">
        <v>203</v>
      </c>
      <c r="I109" s="127" t="s">
        <v>203</v>
      </c>
      <c r="J109" s="124"/>
      <c r="K109" s="124">
        <v>9999.0</v>
      </c>
    </row>
    <row r="110">
      <c r="A110" s="121" t="s">
        <v>64</v>
      </c>
      <c r="B110" s="122" t="s">
        <v>169</v>
      </c>
      <c r="C110" s="123">
        <v>8.0</v>
      </c>
      <c r="D110" s="124">
        <v>4.0</v>
      </c>
      <c r="E110" s="124" t="s">
        <v>269</v>
      </c>
      <c r="F110" s="124" t="s">
        <v>202</v>
      </c>
      <c r="G110" s="129"/>
      <c r="H110" s="127" t="s">
        <v>203</v>
      </c>
      <c r="I110" s="127" t="s">
        <v>203</v>
      </c>
      <c r="J110" s="124"/>
      <c r="K110" s="124">
        <v>9999.0</v>
      </c>
    </row>
    <row r="111">
      <c r="A111" s="115" t="s">
        <v>2</v>
      </c>
      <c r="B111" s="116" t="s">
        <v>227</v>
      </c>
      <c r="C111" s="117" t="s">
        <v>29</v>
      </c>
      <c r="D111" s="118" t="s">
        <v>34</v>
      </c>
      <c r="E111" s="118" t="s">
        <v>261</v>
      </c>
      <c r="F111" s="119" t="s">
        <v>245</v>
      </c>
      <c r="G111" s="119" t="s">
        <v>228</v>
      </c>
      <c r="H111" s="119" t="s">
        <v>229</v>
      </c>
      <c r="I111" s="119" t="s">
        <v>262</v>
      </c>
      <c r="J111" s="119" t="s">
        <v>263</v>
      </c>
      <c r="K111" s="124"/>
    </row>
    <row r="112">
      <c r="A112" s="121" t="s">
        <v>69</v>
      </c>
      <c r="B112" s="122" t="s">
        <v>170</v>
      </c>
      <c r="C112" s="123">
        <v>11.0</v>
      </c>
      <c r="D112" s="124">
        <v>1.0</v>
      </c>
      <c r="E112" s="124" t="s">
        <v>278</v>
      </c>
      <c r="F112" s="125" t="s">
        <v>258</v>
      </c>
      <c r="G112" s="125" t="s">
        <v>259</v>
      </c>
      <c r="H112" s="127" t="s">
        <v>244</v>
      </c>
      <c r="I112" s="127" t="s">
        <v>283</v>
      </c>
      <c r="J112" s="124" t="s">
        <v>58</v>
      </c>
      <c r="K112" s="124" t="s">
        <v>259</v>
      </c>
    </row>
    <row r="113">
      <c r="A113" s="121" t="s">
        <v>69</v>
      </c>
      <c r="B113" s="122" t="s">
        <v>35</v>
      </c>
      <c r="C113" s="123">
        <v>11.0</v>
      </c>
      <c r="D113" s="124">
        <v>1.0</v>
      </c>
      <c r="E113" s="124" t="s">
        <v>215</v>
      </c>
      <c r="F113" s="125" t="s">
        <v>270</v>
      </c>
      <c r="G113" s="125" t="s">
        <v>271</v>
      </c>
      <c r="H113" s="127" t="s">
        <v>275</v>
      </c>
      <c r="I113" s="127" t="s">
        <v>276</v>
      </c>
      <c r="J113" s="124" t="s">
        <v>62</v>
      </c>
      <c r="K113" s="124" t="s">
        <v>271</v>
      </c>
    </row>
    <row r="114">
      <c r="A114" s="121" t="s">
        <v>69</v>
      </c>
      <c r="B114" s="122" t="s">
        <v>142</v>
      </c>
      <c r="C114" s="123">
        <v>6.0</v>
      </c>
      <c r="D114" s="124">
        <v>6.0</v>
      </c>
      <c r="E114" s="124" t="s">
        <v>248</v>
      </c>
      <c r="F114" s="125" t="s">
        <v>202</v>
      </c>
      <c r="G114" s="126"/>
      <c r="H114" s="127" t="s">
        <v>203</v>
      </c>
      <c r="I114" s="127" t="s">
        <v>203</v>
      </c>
      <c r="J114" s="124"/>
      <c r="K114" s="124">
        <v>9999.0</v>
      </c>
    </row>
    <row r="115">
      <c r="A115" s="121" t="s">
        <v>69</v>
      </c>
      <c r="B115" s="122" t="s">
        <v>151</v>
      </c>
      <c r="C115" s="123">
        <v>4.0</v>
      </c>
      <c r="D115" s="124">
        <v>8.0</v>
      </c>
      <c r="E115" s="124" t="s">
        <v>215</v>
      </c>
      <c r="F115" s="124" t="s">
        <v>202</v>
      </c>
      <c r="G115" s="129"/>
      <c r="H115" s="127" t="s">
        <v>203</v>
      </c>
      <c r="I115" s="127" t="s">
        <v>203</v>
      </c>
      <c r="J115" s="124"/>
      <c r="K115" s="124">
        <v>9999.0</v>
      </c>
    </row>
    <row r="116">
      <c r="A116" s="121" t="s">
        <v>69</v>
      </c>
      <c r="B116" s="122" t="s">
        <v>182</v>
      </c>
      <c r="C116" s="123">
        <v>4.0</v>
      </c>
      <c r="D116" s="124">
        <v>8.0</v>
      </c>
      <c r="E116" s="124" t="s">
        <v>287</v>
      </c>
      <c r="F116" s="124" t="s">
        <v>202</v>
      </c>
      <c r="G116" s="129"/>
      <c r="H116" s="127" t="s">
        <v>203</v>
      </c>
      <c r="I116" s="127" t="s">
        <v>203</v>
      </c>
      <c r="J116" s="124"/>
      <c r="K116" s="124">
        <v>9999.0</v>
      </c>
    </row>
    <row r="117">
      <c r="A117" s="121" t="s">
        <v>69</v>
      </c>
      <c r="B117" s="122" t="s">
        <v>193</v>
      </c>
      <c r="C117" s="123">
        <v>3.0</v>
      </c>
      <c r="D117" s="124">
        <v>9.0</v>
      </c>
      <c r="E117" s="124" t="s">
        <v>282</v>
      </c>
      <c r="F117" s="124" t="s">
        <v>202</v>
      </c>
      <c r="G117" s="129"/>
      <c r="H117" s="127" t="s">
        <v>203</v>
      </c>
      <c r="I117" s="127" t="s">
        <v>203</v>
      </c>
      <c r="J117" s="124"/>
      <c r="K117" s="124">
        <v>9999.0</v>
      </c>
    </row>
    <row r="118">
      <c r="A118" s="121" t="s">
        <v>69</v>
      </c>
      <c r="B118" s="122" t="s">
        <v>108</v>
      </c>
      <c r="C118" s="123">
        <v>8.0</v>
      </c>
      <c r="D118" s="124">
        <v>4.0</v>
      </c>
      <c r="E118" s="124" t="s">
        <v>207</v>
      </c>
      <c r="F118" s="124" t="s">
        <v>202</v>
      </c>
      <c r="G118" s="129"/>
      <c r="H118" s="127" t="s">
        <v>203</v>
      </c>
      <c r="I118" s="127" t="s">
        <v>203</v>
      </c>
      <c r="J118" s="124"/>
      <c r="K118" s="124">
        <v>9999.0</v>
      </c>
    </row>
    <row r="119">
      <c r="A119" s="121" t="s">
        <v>69</v>
      </c>
      <c r="B119" s="122" t="s">
        <v>125</v>
      </c>
      <c r="C119" s="123">
        <v>9.0</v>
      </c>
      <c r="D119" s="124">
        <v>3.0</v>
      </c>
      <c r="E119" s="124" t="s">
        <v>260</v>
      </c>
      <c r="F119" s="124" t="s">
        <v>202</v>
      </c>
      <c r="G119" s="129"/>
      <c r="H119" s="127" t="s">
        <v>203</v>
      </c>
      <c r="I119" s="127" t="s">
        <v>203</v>
      </c>
      <c r="J119" s="124"/>
      <c r="K119" s="124">
        <v>9999.0</v>
      </c>
    </row>
    <row r="120">
      <c r="A120" s="121" t="s">
        <v>69</v>
      </c>
      <c r="B120" s="122" t="s">
        <v>87</v>
      </c>
      <c r="C120" s="123">
        <v>6.0</v>
      </c>
      <c r="D120" s="124">
        <v>6.0</v>
      </c>
      <c r="E120" s="124" t="s">
        <v>248</v>
      </c>
      <c r="F120" s="124" t="s">
        <v>202</v>
      </c>
      <c r="G120" s="129"/>
      <c r="H120" s="127" t="s">
        <v>203</v>
      </c>
      <c r="I120" s="127" t="s">
        <v>203</v>
      </c>
      <c r="J120" s="124"/>
      <c r="K120" s="124">
        <v>9999.0</v>
      </c>
    </row>
    <row r="121">
      <c r="A121" s="121" t="s">
        <v>69</v>
      </c>
      <c r="B121" s="122" t="s">
        <v>101</v>
      </c>
      <c r="C121" s="123">
        <v>8.0</v>
      </c>
      <c r="D121" s="124">
        <v>4.0</v>
      </c>
      <c r="E121" s="124" t="s">
        <v>269</v>
      </c>
      <c r="F121" s="124" t="s">
        <v>202</v>
      </c>
      <c r="G121" s="129"/>
      <c r="H121" s="127" t="s">
        <v>203</v>
      </c>
      <c r="I121" s="127" t="s">
        <v>203</v>
      </c>
      <c r="J121" s="124"/>
      <c r="K121" s="124">
        <v>9999.0</v>
      </c>
    </row>
    <row r="122">
      <c r="A122" s="115" t="s">
        <v>2</v>
      </c>
      <c r="B122" s="116" t="s">
        <v>227</v>
      </c>
      <c r="C122" s="117" t="s">
        <v>29</v>
      </c>
      <c r="D122" s="118" t="s">
        <v>34</v>
      </c>
      <c r="E122" s="118" t="s">
        <v>261</v>
      </c>
      <c r="F122" s="119" t="s">
        <v>245</v>
      </c>
      <c r="G122" s="119" t="s">
        <v>228</v>
      </c>
      <c r="H122" s="119" t="s">
        <v>229</v>
      </c>
      <c r="I122" s="119" t="s">
        <v>262</v>
      </c>
      <c r="J122" s="119" t="s">
        <v>263</v>
      </c>
      <c r="K122" s="124"/>
    </row>
    <row r="123">
      <c r="A123" s="121" t="s">
        <v>74</v>
      </c>
      <c r="B123" s="122" t="s">
        <v>141</v>
      </c>
      <c r="C123" s="123">
        <v>8.0</v>
      </c>
      <c r="D123" s="124">
        <v>4.0</v>
      </c>
      <c r="E123" s="124" t="s">
        <v>260</v>
      </c>
      <c r="F123" s="125" t="s">
        <v>254</v>
      </c>
      <c r="G123" s="125" t="s">
        <v>239</v>
      </c>
      <c r="H123" s="127" t="s">
        <v>244</v>
      </c>
      <c r="I123" s="127">
        <v>54.0</v>
      </c>
      <c r="J123" s="124" t="s">
        <v>48</v>
      </c>
      <c r="K123" s="124" t="s">
        <v>239</v>
      </c>
    </row>
    <row r="124">
      <c r="A124" s="121" t="s">
        <v>74</v>
      </c>
      <c r="B124" s="122" t="s">
        <v>124</v>
      </c>
      <c r="C124" s="123">
        <v>9.0</v>
      </c>
      <c r="D124" s="124">
        <v>3.0</v>
      </c>
      <c r="E124" s="124" t="s">
        <v>248</v>
      </c>
      <c r="F124" s="125" t="s">
        <v>255</v>
      </c>
      <c r="G124" s="125" t="s">
        <v>256</v>
      </c>
      <c r="H124" s="127" t="s">
        <v>286</v>
      </c>
      <c r="I124" s="127">
        <v>50.0</v>
      </c>
      <c r="J124" s="124" t="s">
        <v>53</v>
      </c>
      <c r="K124" s="124" t="s">
        <v>256</v>
      </c>
    </row>
    <row r="125">
      <c r="A125" s="121" t="s">
        <v>74</v>
      </c>
      <c r="B125" s="122" t="s">
        <v>118</v>
      </c>
      <c r="C125" s="123">
        <v>12.0</v>
      </c>
      <c r="D125" s="124">
        <v>0.0</v>
      </c>
      <c r="E125" s="124" t="s">
        <v>266</v>
      </c>
      <c r="F125" s="125" t="s">
        <v>249</v>
      </c>
      <c r="G125" s="125" t="s">
        <v>250</v>
      </c>
      <c r="H125" s="127" t="s">
        <v>281</v>
      </c>
      <c r="I125" s="127" t="s">
        <v>280</v>
      </c>
      <c r="J125" s="124" t="s">
        <v>44</v>
      </c>
      <c r="K125" s="124" t="s">
        <v>250</v>
      </c>
    </row>
    <row r="126">
      <c r="A126" s="121" t="s">
        <v>74</v>
      </c>
      <c r="B126" s="122" t="s">
        <v>194</v>
      </c>
      <c r="C126" s="123">
        <v>5.0</v>
      </c>
      <c r="D126" s="124">
        <v>7.0</v>
      </c>
      <c r="E126" s="124" t="s">
        <v>282</v>
      </c>
      <c r="F126" s="124" t="s">
        <v>202</v>
      </c>
      <c r="G126" s="129"/>
      <c r="H126" s="127" t="s">
        <v>203</v>
      </c>
      <c r="I126" s="127" t="s">
        <v>203</v>
      </c>
      <c r="J126" s="124"/>
      <c r="K126" s="124">
        <v>9999.0</v>
      </c>
    </row>
    <row r="127">
      <c r="A127" s="121" t="s">
        <v>74</v>
      </c>
      <c r="B127" s="122" t="s">
        <v>160</v>
      </c>
      <c r="C127" s="123">
        <v>7.0</v>
      </c>
      <c r="D127" s="124">
        <v>5.0</v>
      </c>
      <c r="E127" s="124" t="s">
        <v>242</v>
      </c>
      <c r="F127" s="124" t="s">
        <v>202</v>
      </c>
      <c r="G127" s="129"/>
      <c r="H127" s="127" t="s">
        <v>203</v>
      </c>
      <c r="I127" s="127" t="s">
        <v>203</v>
      </c>
      <c r="J127" s="124"/>
      <c r="K127" s="124">
        <v>9999.0</v>
      </c>
    </row>
    <row r="128">
      <c r="A128" s="121" t="s">
        <v>74</v>
      </c>
      <c r="B128" s="122" t="s">
        <v>174</v>
      </c>
      <c r="C128" s="123">
        <v>9.0</v>
      </c>
      <c r="D128" s="124">
        <v>3.0</v>
      </c>
      <c r="E128" s="124" t="s">
        <v>234</v>
      </c>
      <c r="F128" s="124" t="s">
        <v>202</v>
      </c>
      <c r="G128" s="129"/>
      <c r="H128" s="127" t="s">
        <v>203</v>
      </c>
      <c r="I128" s="127" t="s">
        <v>203</v>
      </c>
      <c r="J128" s="124"/>
      <c r="K128" s="124">
        <v>9999.0</v>
      </c>
    </row>
    <row r="129">
      <c r="A129" s="121" t="s">
        <v>74</v>
      </c>
      <c r="B129" s="122" t="s">
        <v>23</v>
      </c>
      <c r="C129" s="123">
        <v>2.0</v>
      </c>
      <c r="D129" s="124">
        <v>10.0</v>
      </c>
      <c r="E129" s="124" t="s">
        <v>248</v>
      </c>
      <c r="F129" s="124" t="s">
        <v>202</v>
      </c>
      <c r="G129" s="129"/>
      <c r="H129" s="127" t="s">
        <v>203</v>
      </c>
      <c r="I129" s="127" t="s">
        <v>203</v>
      </c>
      <c r="J129" s="124"/>
      <c r="K129" s="124">
        <v>9999.0</v>
      </c>
    </row>
    <row r="130">
      <c r="A130" s="121" t="s">
        <v>74</v>
      </c>
      <c r="B130" s="122" t="s">
        <v>167</v>
      </c>
      <c r="C130" s="123">
        <v>4.0</v>
      </c>
      <c r="D130" s="124">
        <v>8.0</v>
      </c>
      <c r="E130" s="124" t="s">
        <v>273</v>
      </c>
      <c r="F130" s="124" t="s">
        <v>202</v>
      </c>
      <c r="G130" s="129"/>
      <c r="H130" s="127" t="s">
        <v>203</v>
      </c>
      <c r="I130" s="127" t="s">
        <v>203</v>
      </c>
      <c r="J130" s="124"/>
      <c r="K130" s="124">
        <v>9999.0</v>
      </c>
    </row>
    <row r="131">
      <c r="A131" s="121" t="s">
        <v>74</v>
      </c>
      <c r="B131" s="122" t="s">
        <v>99</v>
      </c>
      <c r="C131" s="123">
        <v>8.0</v>
      </c>
      <c r="D131" s="124">
        <v>4.0</v>
      </c>
      <c r="E131" s="124" t="s">
        <v>201</v>
      </c>
      <c r="F131" s="124" t="s">
        <v>202</v>
      </c>
      <c r="G131" s="129"/>
      <c r="H131" s="127" t="s">
        <v>203</v>
      </c>
      <c r="I131" s="127" t="s">
        <v>203</v>
      </c>
      <c r="J131" s="124"/>
      <c r="K131" s="124">
        <v>9999.0</v>
      </c>
    </row>
    <row r="132">
      <c r="A132" s="121" t="s">
        <v>74</v>
      </c>
      <c r="B132" s="122" t="s">
        <v>88</v>
      </c>
      <c r="C132" s="123">
        <v>4.0</v>
      </c>
      <c r="D132" s="124">
        <v>8.0</v>
      </c>
      <c r="E132" s="124" t="s">
        <v>285</v>
      </c>
      <c r="F132" s="124" t="s">
        <v>202</v>
      </c>
      <c r="G132" s="129"/>
      <c r="H132" s="127" t="s">
        <v>203</v>
      </c>
      <c r="I132" s="127" t="s">
        <v>203</v>
      </c>
      <c r="J132" s="124"/>
      <c r="K132" s="124">
        <v>9999.0</v>
      </c>
    </row>
    <row r="133">
      <c r="A133" s="136"/>
      <c r="B133" s="122"/>
      <c r="C133" s="123"/>
      <c r="D133" s="124"/>
      <c r="E133" s="124"/>
      <c r="F133" s="124"/>
      <c r="G133" s="129"/>
      <c r="H133" s="127"/>
      <c r="I133" s="127"/>
      <c r="J133" s="124"/>
      <c r="K133" s="124"/>
    </row>
    <row r="134">
      <c r="A134" s="136" t="s">
        <v>288</v>
      </c>
      <c r="B134" s="137" t="s">
        <v>84</v>
      </c>
      <c r="C134" s="123">
        <v>8.0</v>
      </c>
      <c r="D134" s="124">
        <v>4.0</v>
      </c>
      <c r="E134" s="124"/>
      <c r="F134" s="124"/>
      <c r="G134" s="129"/>
      <c r="H134" s="127"/>
      <c r="I134" s="127"/>
      <c r="J134" s="124"/>
      <c r="K134" s="124"/>
    </row>
    <row r="135">
      <c r="A135" s="136" t="s">
        <v>288</v>
      </c>
      <c r="B135" s="137" t="s">
        <v>106</v>
      </c>
      <c r="C135" s="123">
        <v>6.0</v>
      </c>
      <c r="D135" s="124">
        <v>6.0</v>
      </c>
      <c r="E135" s="124"/>
      <c r="F135" s="124"/>
      <c r="G135" s="129"/>
      <c r="H135" s="127"/>
      <c r="I135" s="127"/>
      <c r="J135" s="124"/>
      <c r="K135" s="124"/>
    </row>
    <row r="136">
      <c r="A136" s="136" t="s">
        <v>288</v>
      </c>
      <c r="B136" s="137" t="s">
        <v>181</v>
      </c>
      <c r="C136" s="123">
        <v>4.0</v>
      </c>
      <c r="D136" s="124">
        <v>8.0</v>
      </c>
      <c r="E136" s="124"/>
      <c r="F136" s="124"/>
      <c r="G136" s="129"/>
      <c r="H136" s="127"/>
      <c r="I136" s="127"/>
      <c r="J136" s="124"/>
      <c r="K136" s="124"/>
    </row>
    <row r="137">
      <c r="A137" s="136" t="s">
        <v>288</v>
      </c>
      <c r="B137" s="137" t="s">
        <v>80</v>
      </c>
      <c r="C137" s="123">
        <v>3.0</v>
      </c>
      <c r="D137" s="124">
        <v>9.0</v>
      </c>
      <c r="E137" s="124"/>
      <c r="F137" s="124"/>
      <c r="G137" s="129"/>
      <c r="H137" s="127"/>
      <c r="I137" s="127"/>
      <c r="J137" s="124"/>
      <c r="K137" s="124"/>
    </row>
    <row r="138">
      <c r="A138" s="136" t="s">
        <v>288</v>
      </c>
      <c r="B138" s="137" t="s">
        <v>130</v>
      </c>
      <c r="C138" s="123">
        <v>3.0</v>
      </c>
      <c r="D138" s="124">
        <v>9.0</v>
      </c>
      <c r="E138" s="124"/>
      <c r="F138" s="124"/>
      <c r="G138" s="129"/>
      <c r="H138" s="127"/>
      <c r="I138" s="127"/>
      <c r="J138" s="124"/>
      <c r="K138" s="124"/>
    </row>
    <row r="139">
      <c r="A139" s="136" t="s">
        <v>288</v>
      </c>
      <c r="B139" s="137" t="s">
        <v>185</v>
      </c>
      <c r="C139" s="123">
        <v>3.0</v>
      </c>
      <c r="D139" s="124">
        <v>9.0</v>
      </c>
      <c r="E139" s="124"/>
      <c r="F139" s="124"/>
      <c r="G139" s="129"/>
      <c r="H139" s="127"/>
      <c r="I139" s="127"/>
      <c r="J139" s="124"/>
      <c r="K139" s="124"/>
    </row>
    <row r="140">
      <c r="A140" s="136" t="s">
        <v>288</v>
      </c>
      <c r="B140" s="137" t="s">
        <v>121</v>
      </c>
      <c r="C140" s="123">
        <v>2.0</v>
      </c>
      <c r="D140" s="124">
        <v>10.0</v>
      </c>
      <c r="E140" s="124"/>
      <c r="F140" s="124"/>
      <c r="G140" s="129"/>
      <c r="H140" s="127"/>
      <c r="I140" s="127"/>
      <c r="J140" s="124"/>
      <c r="K140" s="124"/>
    </row>
    <row r="141">
      <c r="A141" s="136" t="s">
        <v>288</v>
      </c>
      <c r="B141" s="137" t="s">
        <v>133</v>
      </c>
      <c r="C141" s="123">
        <v>1.0</v>
      </c>
      <c r="D141" s="124">
        <v>11.0</v>
      </c>
      <c r="E141" s="124"/>
      <c r="F141" s="124"/>
      <c r="G141" s="129"/>
      <c r="H141" s="127"/>
      <c r="I141" s="127"/>
      <c r="J141" s="124"/>
      <c r="K141" s="124"/>
    </row>
  </sheetData>
  <autoFilter ref="$A$1:$K$132"/>
  <customSheetViews>
    <customSheetView guid="{E8BB0BD1-DFB1-4FEB-9799-36CCB85AD57E}" filter="1" showAutoFilter="1">
      <autoFilter ref="$A$1:$K$132">
        <filterColumn colId="6">
          <customFilters>
            <customFilter val="*THU*"/>
          </customFilters>
        </filterColumn>
      </autoFilter>
    </customSheetView>
    <customSheetView guid="{87600410-CE5D-4FB7-8FF7-B940CD7FA48C}" filter="1" showAutoFilter="1">
      <autoFilter ref="$A$1:$K$132">
        <filterColumn colId="0">
          <filters>
            <filter val="DavEmily"/>
          </filters>
        </filterColumn>
      </autoFilter>
    </customSheetView>
    <customSheetView guid="{7F0FA7BF-1695-48B0-BCC4-7A89BCFB0A84}" filter="1" showAutoFilter="1">
      <autoFilter ref="$A$1:$K$132">
        <filterColumn colId="0">
          <filters>
            <filter val="Adam"/>
          </filters>
        </filterColumn>
      </autoFilter>
    </customSheetView>
    <customSheetView guid="{784DF076-0892-41C7-91BD-6FDB8C1F8A07}" filter="1" showAutoFilter="1">
      <autoFilter ref="$A$1:$K$132">
        <filterColumn colId="0">
          <filters>
            <filter val="Gary"/>
          </filters>
        </filterColumn>
      </autoFilter>
    </customSheetView>
    <customSheetView guid="{E1A1E63F-B52D-4B3D-9CD4-E8B5DAD57612}" filter="1" showAutoFilter="1">
      <autoFilter ref="$A$1:$J$132">
        <filterColumn colId="6">
          <customFilters>
            <customFilter val="*TUE*"/>
          </customFilters>
        </filterColumn>
      </autoFilter>
    </customSheetView>
    <customSheetView guid="{661CBFAA-8D14-4B16-A714-C59C7F5D14A6}" filter="1" showAutoFilter="1">
      <autoFilter ref="$A$1:$K$132">
        <filterColumn colId="10">
          <filters/>
        </filterColumn>
        <filterColumn colId="0">
          <filters>
            <filter val="Gary"/>
            <filter val="Nico"/>
            <filter val="Brad"/>
            <filter val="Jeannine"/>
            <filter val="Adam"/>
            <filter val="DavEmily"/>
            <filter val="Nick G."/>
            <filter val="Josh R."/>
            <filter val="Justin"/>
            <filter val="Nick A."/>
            <filter val="Janice/Mike"/>
            <filter val="Vu"/>
          </filters>
        </filterColumn>
        <sortState ref="A1:K132">
          <sortCondition ref="K1:K132"/>
        </sortState>
      </autoFilter>
    </customSheetView>
    <customSheetView guid="{BDA3C783-5A6A-4C85-A603-EE07380756F5}" filter="1" showAutoFilter="1">
      <autoFilter ref="$A$1:$K$132">
        <filterColumn colId="0">
          <filters>
            <filter val="Nico"/>
            <filter val="Jeannine"/>
            <filter val="Adam"/>
            <filter val="Nick G."/>
            <filter val="Janice/Mike"/>
          </filters>
        </filterColumn>
      </autoFilter>
    </customSheetView>
    <customSheetView guid="{CE262B8E-DBF7-4F4A-8061-EAD43351261A}" filter="1" showAutoFilter="1">
      <autoFilter ref="$A$1:$K$132">
        <filterColumn colId="0">
          <filters>
            <filter val="Janice/Mike"/>
          </filters>
        </filterColumn>
      </autoFilter>
    </customSheetView>
    <customSheetView guid="{4D0B2869-4F53-481B-925F-BEC5C87908B5}" filter="1" showAutoFilter="1">
      <autoFilter ref="$A$1:$K$110">
        <filterColumn colId="6">
          <customFilters>
            <customFilter val="*SAT*"/>
          </customFilters>
        </filterColumn>
      </autoFilter>
    </customSheetView>
    <customSheetView guid="{5B6A64CD-CC4A-4CAB-A999-185DB68CE196}" filter="1" showAutoFilter="1">
      <autoFilter ref="$A$1:$K$132">
        <filterColumn colId="0">
          <filters>
            <filter val="Josh R."/>
          </filters>
        </filterColumn>
      </autoFilter>
    </customSheetView>
    <customSheetView guid="{0610BEB5-BA39-41B9-822A-62221A2B91F9}" filter="1" showAutoFilter="1">
      <autoFilter ref="$A$1:$J$132">
        <filterColumn colId="0">
          <filters>
            <filter val="Jeannine"/>
          </filters>
        </filterColumn>
      </autoFilter>
    </customSheetView>
    <customSheetView guid="{497180BE-3B94-4BF5-B6BE-8423F910C24B}" filter="1" showAutoFilter="1">
      <autoFilter ref="$A$1:$J$132">
        <filterColumn colId="6">
          <customFilters>
            <customFilter val="*Wed*"/>
          </customFilters>
        </filterColumn>
      </autoFilter>
    </customSheetView>
    <customSheetView guid="{49190231-989C-41F2-8BEB-6A6A4663E576}" filter="1" showAutoFilter="1">
      <autoFilter ref="$A$1:$K$132">
        <filterColumn colId="0">
          <filters>
            <filter val="Brad"/>
          </filters>
        </filterColumn>
      </autoFilter>
    </customSheetView>
    <customSheetView guid="{C0273C12-8573-49FF-8451-7CB16029B2D8}" filter="1" showAutoFilter="1">
      <autoFilter ref="$A$1:$J$132">
        <filterColumn colId="0">
          <filters>
            <filter val="Jeannine"/>
            <filter val="Justin"/>
          </filters>
        </filterColumn>
      </autoFilter>
    </customSheetView>
    <customSheetView guid="{2E90A10E-F369-4E2B-BCCE-E4E8983ED0D0}" filter="1" showAutoFilter="1">
      <autoFilter ref="$A$1:$K$132">
        <filterColumn colId="0">
          <filters>
            <filter val="Vu"/>
          </filters>
        </filterColumn>
      </autoFilter>
    </customSheetView>
    <customSheetView guid="{C6E23D8C-A9B6-45F7-B028-28FFE358D937}" filter="1" showAutoFilter="1">
      <autoFilter ref="$A$1:$K$132">
        <filterColumn colId="6">
          <customFilters>
            <customFilter val="*FRI*"/>
          </customFilters>
        </filterColumn>
      </autoFilter>
    </customSheetView>
    <customSheetView guid="{8B87EB18-01B1-4082-A5A7-A5074EDC6966}" filter="1" showAutoFilter="1">
      <autoFilter ref="$A$1:$K$132">
        <filterColumn colId="0">
          <filters>
            <filter val="Nick A."/>
          </filters>
        </filterColumn>
      </autoFilter>
    </customSheetView>
    <customSheetView guid="{9C89C2A5-049C-44D5-8DC8-EC58448514A9}" filter="1" showAutoFilter="1">
      <autoFilter ref="$A$1:$K$132">
        <filterColumn colId="0">
          <filters>
            <filter val="Justin"/>
          </filters>
        </filterColumn>
      </autoFilter>
    </customSheetView>
  </customSheetView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2" width="5.5"/>
    <col customWidth="1" min="23" max="30" width="5.5"/>
    <col customWidth="1" hidden="1" min="31" max="44" width="5.5"/>
  </cols>
  <sheetData>
    <row r="1">
      <c r="A1" s="138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0.0</v>
      </c>
      <c r="AL1" s="139">
        <v>0.020833333333333332</v>
      </c>
      <c r="AM1" s="139">
        <v>0.041666666666666664</v>
      </c>
      <c r="AN1" s="140">
        <v>0.0625</v>
      </c>
      <c r="AO1" s="139">
        <v>0.08333333333333333</v>
      </c>
      <c r="AP1" s="139">
        <v>0.10416666666666667</v>
      </c>
      <c r="AQ1" s="139">
        <v>0.125</v>
      </c>
      <c r="AR1" s="139">
        <v>0.14583333333333334</v>
      </c>
    </row>
    <row r="2">
      <c r="A2" s="141">
        <v>8.0</v>
      </c>
      <c r="B2" s="142" t="s">
        <v>242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43" t="s">
        <v>289</v>
      </c>
      <c r="AE2" s="139"/>
      <c r="AF2" s="139"/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</row>
    <row r="3">
      <c r="A3" s="141">
        <v>10.0</v>
      </c>
      <c r="B3" s="142" t="s">
        <v>267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43" t="s">
        <v>290</v>
      </c>
      <c r="AC3" s="139"/>
      <c r="AD3" s="139"/>
      <c r="AE3" s="139"/>
      <c r="AF3" s="139"/>
      <c r="AG3" s="139"/>
      <c r="AH3" s="139"/>
      <c r="AI3" s="139"/>
      <c r="AJ3" s="144"/>
      <c r="AK3" s="144"/>
      <c r="AL3" s="144"/>
      <c r="AM3" s="144"/>
      <c r="AN3" s="144"/>
      <c r="AO3" s="144"/>
      <c r="AP3" s="144"/>
      <c r="AQ3" s="144"/>
      <c r="AR3" s="144"/>
    </row>
  </sheetData>
  <mergeCells count="2">
    <mergeCell ref="Y2:AD2"/>
    <mergeCell ref="W3:AB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5" width="5.5"/>
    <col customWidth="1" min="26" max="31" width="5.5"/>
    <col customWidth="1" hidden="1" min="32" max="44" width="5.5"/>
    <col customWidth="1" min="45" max="48" width="5.5"/>
  </cols>
  <sheetData>
    <row r="1">
      <c r="A1" s="138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0.0</v>
      </c>
      <c r="AL1" s="139">
        <v>0.020833333333333332</v>
      </c>
      <c r="AM1" s="139">
        <v>0.041666666666666664</v>
      </c>
      <c r="AN1" s="139">
        <v>0.0625</v>
      </c>
      <c r="AO1" s="139">
        <v>0.08333333333333333</v>
      </c>
      <c r="AP1" s="139">
        <v>0.10416666666666667</v>
      </c>
      <c r="AQ1" s="139">
        <v>0.125</v>
      </c>
      <c r="AR1" s="139">
        <v>0.14583333333333334</v>
      </c>
      <c r="AS1" s="139"/>
      <c r="AT1" s="139"/>
      <c r="AU1" s="139"/>
      <c r="AV1" s="140"/>
    </row>
    <row r="2">
      <c r="A2" s="141">
        <v>8.0</v>
      </c>
      <c r="B2" s="142" t="s">
        <v>242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43" t="s">
        <v>291</v>
      </c>
      <c r="AF2" s="139"/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</row>
    <row r="3">
      <c r="A3" s="141">
        <v>99.0</v>
      </c>
      <c r="B3" s="142" t="s">
        <v>215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43" t="s">
        <v>292</v>
      </c>
      <c r="AF3" s="139"/>
      <c r="AG3" s="139"/>
      <c r="AH3" s="139"/>
      <c r="AI3" s="139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</row>
  </sheetData>
  <mergeCells count="2">
    <mergeCell ref="Z2:AE2"/>
    <mergeCell ref="Z3:AE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4" width="5.5"/>
    <col customWidth="1" hidden="1" min="25" max="25" width="8.13"/>
    <col customWidth="1" min="26" max="31" width="7.38"/>
    <col customWidth="1" hidden="1" min="32" max="36" width="7.38"/>
    <col customWidth="1" hidden="1" min="37" max="44" width="5.5"/>
  </cols>
  <sheetData>
    <row r="1">
      <c r="A1" s="138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1.0</v>
      </c>
      <c r="AL1" s="139">
        <v>1.0208333333333333</v>
      </c>
      <c r="AM1" s="139">
        <v>1.0416666666666667</v>
      </c>
      <c r="AN1" s="140">
        <v>1.0625</v>
      </c>
      <c r="AO1" s="139">
        <v>1.0833333333333333</v>
      </c>
      <c r="AP1" s="139">
        <v>1.1041666666666667</v>
      </c>
      <c r="AQ1" s="139">
        <v>1.125</v>
      </c>
      <c r="AR1" s="139">
        <v>1.1458333333333333</v>
      </c>
    </row>
    <row r="2">
      <c r="A2" s="141">
        <v>3.0</v>
      </c>
      <c r="B2" s="142" t="s">
        <v>201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45" t="s">
        <v>293</v>
      </c>
      <c r="AF2" s="139"/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</row>
  </sheetData>
  <mergeCells count="1">
    <mergeCell ref="Z2:AE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0" width="5.5"/>
    <col customWidth="1" min="11" max="11" width="5.5"/>
    <col customWidth="1" min="12" max="12" width="9.25"/>
    <col customWidth="1" min="13" max="22" width="5.5"/>
    <col customWidth="1" min="23" max="32" width="8.0"/>
    <col customWidth="1" hidden="1" min="33" max="37" width="8.0"/>
    <col customWidth="1" hidden="1" min="38" max="38" width="7.63"/>
    <col customWidth="1" hidden="1" min="39" max="48" width="5.5"/>
  </cols>
  <sheetData>
    <row r="1">
      <c r="A1" s="146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1.0</v>
      </c>
      <c r="AL1" s="139">
        <v>1.0208333333333333</v>
      </c>
      <c r="AM1" s="139">
        <v>1.0416666666666667</v>
      </c>
      <c r="AN1" s="140">
        <v>1.0625</v>
      </c>
      <c r="AO1" s="139">
        <v>1.0833333333333333</v>
      </c>
      <c r="AP1" s="139">
        <v>1.1041666666666667</v>
      </c>
      <c r="AQ1" s="139">
        <v>1.125</v>
      </c>
      <c r="AR1" s="139">
        <v>1.1458333333333333</v>
      </c>
      <c r="AS1" s="139"/>
      <c r="AT1" s="139"/>
      <c r="AU1" s="139"/>
      <c r="AV1" s="139"/>
    </row>
    <row r="2">
      <c r="A2" s="142">
        <v>1.0</v>
      </c>
      <c r="B2" s="142" t="s">
        <v>207</v>
      </c>
      <c r="C2" s="139"/>
      <c r="D2" s="139"/>
      <c r="E2" s="139"/>
      <c r="F2" s="139"/>
      <c r="G2" s="139"/>
      <c r="H2" s="139"/>
      <c r="I2" s="139"/>
      <c r="J2" s="139"/>
      <c r="K2" s="145" t="s">
        <v>294</v>
      </c>
      <c r="Q2" s="139"/>
      <c r="R2" s="143" t="s">
        <v>295</v>
      </c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</row>
    <row r="3">
      <c r="A3" s="142">
        <v>1.0</v>
      </c>
      <c r="B3" s="142" t="s">
        <v>234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45" t="s">
        <v>296</v>
      </c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</row>
    <row r="4">
      <c r="A4" s="142">
        <v>1.0</v>
      </c>
      <c r="B4" s="142" t="s">
        <v>278</v>
      </c>
      <c r="C4" s="139"/>
      <c r="D4" s="139"/>
      <c r="E4" s="139"/>
      <c r="F4" s="139"/>
      <c r="G4" s="139"/>
      <c r="H4" s="139"/>
      <c r="I4" s="139"/>
      <c r="J4" s="139"/>
      <c r="K4" s="145" t="s">
        <v>297</v>
      </c>
      <c r="Q4" s="139"/>
      <c r="R4" s="139"/>
      <c r="S4" s="147" t="s">
        <v>298</v>
      </c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</row>
    <row r="5">
      <c r="A5" s="142">
        <v>3.0</v>
      </c>
      <c r="B5" s="142" t="s">
        <v>201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45" t="s">
        <v>299</v>
      </c>
      <c r="Y5" s="139"/>
      <c r="Z5" s="139"/>
      <c r="AA5" s="143" t="s">
        <v>300</v>
      </c>
      <c r="AG5" s="139"/>
      <c r="AH5" s="139"/>
      <c r="AI5" s="139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</row>
    <row r="6">
      <c r="A6" s="142">
        <v>7.0</v>
      </c>
      <c r="B6" s="142" t="s">
        <v>266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5" t="s">
        <v>301</v>
      </c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</row>
    <row r="7">
      <c r="A7" s="142">
        <v>8.0</v>
      </c>
      <c r="B7" s="142" t="s">
        <v>242</v>
      </c>
      <c r="C7" s="139"/>
      <c r="D7" s="139"/>
      <c r="E7" s="139"/>
      <c r="F7" s="139"/>
      <c r="G7" s="139"/>
      <c r="H7" s="139"/>
      <c r="I7" s="139"/>
      <c r="J7" s="139"/>
      <c r="K7" s="143" t="s">
        <v>302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</row>
    <row r="8">
      <c r="A8" s="142">
        <v>9.0</v>
      </c>
      <c r="B8" s="142" t="s">
        <v>260</v>
      </c>
      <c r="C8" s="139"/>
      <c r="D8" s="139"/>
      <c r="E8" s="139"/>
      <c r="F8" s="139"/>
      <c r="G8" s="139"/>
      <c r="H8" s="139"/>
      <c r="I8" s="139"/>
      <c r="J8" s="139"/>
      <c r="K8" s="143" t="s">
        <v>303</v>
      </c>
      <c r="Q8" s="139"/>
      <c r="R8" s="143" t="s">
        <v>304</v>
      </c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</row>
    <row r="9">
      <c r="A9" s="142">
        <v>10.0</v>
      </c>
      <c r="B9" s="142" t="s">
        <v>267</v>
      </c>
      <c r="C9" s="139"/>
      <c r="D9" s="139"/>
      <c r="E9" s="139"/>
      <c r="F9" s="139"/>
      <c r="G9" s="139"/>
      <c r="H9" s="139"/>
      <c r="I9" s="139"/>
      <c r="J9" s="139"/>
      <c r="K9" s="143" t="s">
        <v>305</v>
      </c>
      <c r="Q9" s="139"/>
      <c r="R9" s="139"/>
      <c r="S9" s="139"/>
      <c r="T9" s="139"/>
      <c r="U9" s="143" t="s">
        <v>306</v>
      </c>
      <c r="AA9" s="139"/>
      <c r="AB9" s="139"/>
      <c r="AC9" s="139"/>
      <c r="AD9" s="139"/>
      <c r="AE9" s="139"/>
      <c r="AF9" s="139"/>
      <c r="AG9" s="139"/>
      <c r="AH9" s="139"/>
      <c r="AI9" s="139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</row>
    <row r="10">
      <c r="A10" s="142">
        <v>10.0</v>
      </c>
      <c r="B10" s="142" t="s">
        <v>307</v>
      </c>
      <c r="C10" s="139"/>
      <c r="D10" s="139"/>
      <c r="E10" s="139"/>
      <c r="F10" s="139"/>
      <c r="G10" s="139"/>
      <c r="H10" s="139"/>
      <c r="I10" s="139"/>
      <c r="J10" s="139"/>
      <c r="K10" s="143" t="s">
        <v>308</v>
      </c>
      <c r="Q10" s="139"/>
      <c r="R10" s="139"/>
      <c r="S10" s="139"/>
      <c r="T10" s="139"/>
      <c r="U10" s="139"/>
      <c r="V10" s="139"/>
      <c r="W10" s="143" t="s">
        <v>309</v>
      </c>
      <c r="AC10" s="139"/>
      <c r="AD10" s="139"/>
      <c r="AE10" s="139"/>
      <c r="AF10" s="139"/>
      <c r="AG10" s="139"/>
      <c r="AH10" s="139"/>
      <c r="AI10" s="139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</row>
  </sheetData>
  <mergeCells count="15">
    <mergeCell ref="P6:U6"/>
    <mergeCell ref="K7:P7"/>
    <mergeCell ref="K8:P8"/>
    <mergeCell ref="R8:W8"/>
    <mergeCell ref="K9:P9"/>
    <mergeCell ref="U9:Z9"/>
    <mergeCell ref="K10:P10"/>
    <mergeCell ref="W10:AB10"/>
    <mergeCell ref="K2:P2"/>
    <mergeCell ref="R2:W2"/>
    <mergeCell ref="P3:U3"/>
    <mergeCell ref="K4:P4"/>
    <mergeCell ref="S4:X4"/>
    <mergeCell ref="S5:X5"/>
    <mergeCell ref="AA5:AF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0" width="5.5"/>
    <col customWidth="1" min="11" max="11" width="7.13"/>
    <col customWidth="1" min="12" max="12" width="9.25"/>
    <col customWidth="1" min="13" max="41" width="7.5"/>
    <col customWidth="1" hidden="1" min="42" max="42" width="7.5"/>
    <col customWidth="1" hidden="1" min="43" max="46" width="5.5"/>
    <col customWidth="1" min="47" max="48" width="5.5"/>
  </cols>
  <sheetData>
    <row r="1">
      <c r="A1" s="138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0.0</v>
      </c>
      <c r="AL1" s="139">
        <v>0.9791666666666666</v>
      </c>
      <c r="AM1" s="139">
        <v>0.0</v>
      </c>
      <c r="AN1" s="140">
        <v>0.020833333333333332</v>
      </c>
      <c r="AO1" s="139">
        <v>0.041666666666666664</v>
      </c>
      <c r="AP1" s="139">
        <v>0.0625</v>
      </c>
      <c r="AQ1" s="139">
        <v>0.125</v>
      </c>
      <c r="AR1" s="139">
        <v>0.14583333333333334</v>
      </c>
      <c r="AS1" s="139"/>
      <c r="AT1" s="139"/>
      <c r="AU1" s="139"/>
      <c r="AV1" s="139"/>
    </row>
    <row r="2">
      <c r="A2" s="141">
        <v>1.0</v>
      </c>
      <c r="B2" s="142" t="s">
        <v>207</v>
      </c>
      <c r="C2" s="139"/>
      <c r="D2" s="139"/>
      <c r="E2" s="139"/>
      <c r="F2" s="139"/>
      <c r="G2" s="139"/>
      <c r="H2" s="139"/>
      <c r="I2" s="139"/>
      <c r="J2" s="139"/>
      <c r="K2" s="145" t="s">
        <v>310</v>
      </c>
      <c r="Q2" s="139"/>
      <c r="R2" s="145" t="s">
        <v>311</v>
      </c>
      <c r="X2" s="139"/>
      <c r="Y2" s="139"/>
      <c r="Z2" s="147" t="s">
        <v>312</v>
      </c>
      <c r="AF2" s="139"/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  <c r="AS2" s="139"/>
      <c r="AT2" s="139"/>
      <c r="AU2" s="139"/>
      <c r="AV2" s="139"/>
    </row>
    <row r="3">
      <c r="A3" s="141">
        <v>1.0</v>
      </c>
      <c r="B3" s="142" t="s">
        <v>234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45" t="s">
        <v>313</v>
      </c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44"/>
      <c r="AK3" s="144"/>
      <c r="AL3" s="144"/>
      <c r="AM3" s="144"/>
      <c r="AN3" s="144"/>
      <c r="AO3" s="144"/>
      <c r="AP3" s="144"/>
      <c r="AQ3" s="144"/>
      <c r="AR3" s="144"/>
      <c r="AS3" s="139"/>
      <c r="AT3" s="139"/>
      <c r="AU3" s="139"/>
      <c r="AV3" s="139"/>
    </row>
    <row r="4">
      <c r="A4" s="141">
        <v>1.0</v>
      </c>
      <c r="B4" s="142" t="s">
        <v>278</v>
      </c>
      <c r="C4" s="139"/>
      <c r="D4" s="139"/>
      <c r="E4" s="139"/>
      <c r="F4" s="139"/>
      <c r="G4" s="139"/>
      <c r="H4" s="139"/>
      <c r="I4" s="139"/>
      <c r="J4" s="139"/>
      <c r="K4" s="145" t="s">
        <v>314</v>
      </c>
      <c r="Q4" s="139"/>
      <c r="R4" s="139"/>
      <c r="S4" s="147" t="s">
        <v>315</v>
      </c>
      <c r="Y4" s="139"/>
      <c r="Z4" s="139"/>
      <c r="AA4" s="145" t="s">
        <v>316</v>
      </c>
      <c r="AG4" s="139"/>
      <c r="AH4" s="139"/>
      <c r="AI4" s="139"/>
      <c r="AJ4" s="144"/>
      <c r="AK4" s="144"/>
      <c r="AL4" s="144"/>
      <c r="AM4" s="144"/>
      <c r="AN4" s="144"/>
      <c r="AO4" s="144"/>
      <c r="AP4" s="144"/>
      <c r="AQ4" s="144"/>
      <c r="AR4" s="144"/>
      <c r="AS4" s="139"/>
      <c r="AT4" s="139"/>
      <c r="AU4" s="139"/>
      <c r="AV4" s="139"/>
    </row>
    <row r="5">
      <c r="A5" s="141">
        <v>3.0</v>
      </c>
      <c r="B5" s="142" t="s">
        <v>201</v>
      </c>
      <c r="C5" s="139"/>
      <c r="D5" s="139"/>
      <c r="E5" s="139"/>
      <c r="F5" s="139"/>
      <c r="G5" s="139"/>
      <c r="H5" s="139"/>
      <c r="I5" s="139"/>
      <c r="J5" s="139"/>
      <c r="K5" s="145" t="s">
        <v>317</v>
      </c>
      <c r="Q5" s="139"/>
      <c r="R5" s="145" t="s">
        <v>318</v>
      </c>
      <c r="X5" s="139"/>
      <c r="Y5" s="145" t="s">
        <v>319</v>
      </c>
      <c r="AE5" s="147" t="s">
        <v>320</v>
      </c>
      <c r="AK5" s="144"/>
      <c r="AL5" s="144"/>
      <c r="AM5" s="144"/>
      <c r="AN5" s="144"/>
      <c r="AO5" s="144"/>
      <c r="AP5" s="144"/>
      <c r="AQ5" s="144"/>
      <c r="AR5" s="144"/>
      <c r="AS5" s="139"/>
      <c r="AT5" s="139"/>
      <c r="AU5" s="139"/>
      <c r="AV5" s="139"/>
    </row>
    <row r="6">
      <c r="A6" s="141">
        <v>5.0</v>
      </c>
      <c r="B6" s="142" t="s">
        <v>269</v>
      </c>
      <c r="C6" s="139"/>
      <c r="D6" s="139"/>
      <c r="E6" s="139"/>
      <c r="F6" s="139"/>
      <c r="G6" s="139"/>
      <c r="H6" s="139"/>
      <c r="I6" s="139"/>
      <c r="J6" s="139"/>
      <c r="K6" s="145" t="s">
        <v>321</v>
      </c>
      <c r="Q6" s="139"/>
      <c r="R6" s="145" t="s">
        <v>322</v>
      </c>
      <c r="X6" s="139"/>
      <c r="Y6" s="145" t="s">
        <v>323</v>
      </c>
      <c r="AE6" s="139"/>
      <c r="AF6" s="147" t="s">
        <v>324</v>
      </c>
      <c r="AL6" s="144"/>
      <c r="AM6" s="144"/>
      <c r="AN6" s="144"/>
      <c r="AO6" s="144"/>
      <c r="AP6" s="144"/>
      <c r="AQ6" s="144"/>
      <c r="AR6" s="144"/>
      <c r="AS6" s="139"/>
      <c r="AT6" s="139"/>
      <c r="AU6" s="139"/>
      <c r="AV6" s="139"/>
    </row>
    <row r="7">
      <c r="A7" s="141">
        <v>6.0</v>
      </c>
      <c r="B7" s="142" t="s">
        <v>273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48" t="s">
        <v>325</v>
      </c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4"/>
      <c r="AK7" s="144"/>
      <c r="AL7" s="144"/>
      <c r="AM7" s="144"/>
      <c r="AN7" s="144"/>
      <c r="AO7" s="144"/>
      <c r="AP7" s="144"/>
      <c r="AQ7" s="144"/>
      <c r="AR7" s="144"/>
      <c r="AS7" s="139"/>
      <c r="AT7" s="139"/>
      <c r="AU7" s="139"/>
      <c r="AV7" s="139"/>
    </row>
    <row r="8">
      <c r="A8" s="141">
        <v>7.0</v>
      </c>
      <c r="B8" s="142" t="s">
        <v>285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45" t="s">
        <v>326</v>
      </c>
      <c r="X8" s="139"/>
      <c r="Y8" s="145" t="s">
        <v>327</v>
      </c>
      <c r="AE8" s="139"/>
      <c r="AF8" s="139"/>
      <c r="AG8" s="139"/>
      <c r="AH8" s="139"/>
      <c r="AI8" s="139"/>
      <c r="AJ8" s="144"/>
      <c r="AK8" s="144"/>
      <c r="AL8" s="144"/>
      <c r="AM8" s="144"/>
      <c r="AN8" s="144"/>
      <c r="AO8" s="144"/>
      <c r="AP8" s="144"/>
      <c r="AQ8" s="144"/>
      <c r="AR8" s="144"/>
      <c r="AS8" s="139"/>
      <c r="AT8" s="139"/>
      <c r="AU8" s="139"/>
      <c r="AV8" s="139"/>
    </row>
    <row r="9">
      <c r="A9" s="141">
        <v>7.0</v>
      </c>
      <c r="B9" s="142" t="s">
        <v>266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45" t="s">
        <v>328</v>
      </c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44"/>
      <c r="AK9" s="144"/>
      <c r="AL9" s="144"/>
      <c r="AM9" s="144"/>
      <c r="AN9" s="144"/>
      <c r="AO9" s="144"/>
      <c r="AP9" s="144"/>
      <c r="AQ9" s="144"/>
      <c r="AR9" s="144"/>
      <c r="AS9" s="139"/>
      <c r="AT9" s="139"/>
      <c r="AU9" s="139"/>
      <c r="AV9" s="139"/>
    </row>
    <row r="10">
      <c r="A10" s="141">
        <v>7.0</v>
      </c>
      <c r="B10" s="142" t="s">
        <v>287</v>
      </c>
      <c r="C10" s="139"/>
      <c r="D10" s="139"/>
      <c r="E10" s="139"/>
      <c r="F10" s="139"/>
      <c r="G10" s="139"/>
      <c r="H10" s="139"/>
      <c r="I10" s="139"/>
      <c r="J10" s="139"/>
      <c r="K10" s="145" t="s">
        <v>329</v>
      </c>
      <c r="Q10" s="139"/>
      <c r="R10" s="139"/>
      <c r="S10" s="145" t="s">
        <v>330</v>
      </c>
      <c r="Y10" s="139"/>
      <c r="Z10" s="145" t="s">
        <v>331</v>
      </c>
      <c r="AF10" s="139"/>
      <c r="AG10" s="139"/>
      <c r="AH10" s="139"/>
      <c r="AI10" s="139"/>
      <c r="AJ10" s="144"/>
      <c r="AK10" s="144"/>
      <c r="AL10" s="144"/>
      <c r="AM10" s="144"/>
      <c r="AN10" s="144"/>
      <c r="AO10" s="144"/>
      <c r="AP10" s="144"/>
      <c r="AQ10" s="144"/>
      <c r="AR10" s="144"/>
      <c r="AS10" s="139"/>
      <c r="AT10" s="139"/>
      <c r="AU10" s="139"/>
      <c r="AV10" s="139"/>
    </row>
    <row r="11">
      <c r="A11" s="141">
        <v>8.0</v>
      </c>
      <c r="B11" s="142" t="s">
        <v>242</v>
      </c>
      <c r="C11" s="139"/>
      <c r="D11" s="139"/>
      <c r="E11" s="139"/>
      <c r="F11" s="139"/>
      <c r="G11" s="139"/>
      <c r="H11" s="139"/>
      <c r="I11" s="139"/>
      <c r="J11" s="139"/>
      <c r="K11" s="143" t="s">
        <v>332</v>
      </c>
      <c r="Q11" s="139"/>
      <c r="R11" s="139"/>
      <c r="S11" s="143" t="s">
        <v>333</v>
      </c>
      <c r="Y11" s="139"/>
      <c r="Z11" s="143" t="s">
        <v>334</v>
      </c>
      <c r="AF11" s="139"/>
      <c r="AG11" s="139"/>
      <c r="AH11" s="139"/>
      <c r="AI11" s="139"/>
      <c r="AJ11" s="144"/>
      <c r="AK11" s="144"/>
      <c r="AL11" s="144"/>
      <c r="AM11" s="144"/>
      <c r="AN11" s="144"/>
      <c r="AO11" s="144"/>
      <c r="AP11" s="144"/>
      <c r="AQ11" s="144"/>
      <c r="AR11" s="144"/>
      <c r="AS11" s="139"/>
      <c r="AT11" s="139"/>
      <c r="AU11" s="139"/>
      <c r="AV11" s="139"/>
    </row>
    <row r="12">
      <c r="A12" s="141">
        <v>9.0</v>
      </c>
      <c r="B12" s="142" t="s">
        <v>260</v>
      </c>
      <c r="C12" s="139"/>
      <c r="D12" s="139"/>
      <c r="E12" s="139"/>
      <c r="F12" s="139"/>
      <c r="G12" s="139"/>
      <c r="H12" s="139"/>
      <c r="I12" s="139"/>
      <c r="J12" s="139"/>
      <c r="K12" s="149" t="s">
        <v>335</v>
      </c>
      <c r="Q12" s="143" t="s">
        <v>336</v>
      </c>
      <c r="W12" s="139"/>
      <c r="X12" s="139"/>
      <c r="Y12" s="139"/>
      <c r="Z12" s="139"/>
      <c r="AA12" s="139"/>
      <c r="AB12" s="139"/>
      <c r="AC12" s="143" t="s">
        <v>337</v>
      </c>
      <c r="AI12" s="139"/>
      <c r="AJ12" s="143" t="s">
        <v>338</v>
      </c>
      <c r="AP12" s="144"/>
      <c r="AQ12" s="144"/>
      <c r="AR12" s="144"/>
      <c r="AS12" s="139"/>
      <c r="AT12" s="139"/>
      <c r="AU12" s="139"/>
      <c r="AV12" s="139"/>
    </row>
    <row r="13">
      <c r="A13" s="141">
        <v>10.0</v>
      </c>
      <c r="B13" s="142" t="s">
        <v>267</v>
      </c>
      <c r="C13" s="139"/>
      <c r="D13" s="139"/>
      <c r="E13" s="139"/>
      <c r="F13" s="139"/>
      <c r="G13" s="139"/>
      <c r="H13" s="139"/>
      <c r="I13" s="139"/>
      <c r="J13" s="139"/>
      <c r="K13" s="143" t="s">
        <v>339</v>
      </c>
      <c r="Q13" s="139"/>
      <c r="R13" s="143" t="s">
        <v>340</v>
      </c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44"/>
      <c r="AK13" s="144"/>
      <c r="AL13" s="144"/>
      <c r="AM13" s="144"/>
      <c r="AN13" s="144"/>
      <c r="AO13" s="144"/>
      <c r="AP13" s="144"/>
      <c r="AQ13" s="144"/>
      <c r="AR13" s="144"/>
      <c r="AS13" s="139"/>
      <c r="AT13" s="139"/>
      <c r="AU13" s="139"/>
      <c r="AV13" s="139"/>
    </row>
    <row r="14">
      <c r="A14" s="141">
        <v>10.0</v>
      </c>
      <c r="B14" s="142" t="s">
        <v>307</v>
      </c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43" t="s">
        <v>341</v>
      </c>
      <c r="U14" s="139"/>
      <c r="V14" s="139"/>
      <c r="W14" s="143" t="s">
        <v>342</v>
      </c>
      <c r="AC14" s="139"/>
      <c r="AD14" s="139"/>
      <c r="AE14" s="139"/>
      <c r="AF14" s="139"/>
      <c r="AG14" s="139"/>
      <c r="AH14" s="139"/>
      <c r="AI14" s="139"/>
      <c r="AJ14" s="144"/>
      <c r="AK14" s="144"/>
      <c r="AL14" s="144"/>
      <c r="AM14" s="144"/>
      <c r="AN14" s="144"/>
      <c r="AO14" s="144"/>
      <c r="AP14" s="144"/>
      <c r="AQ14" s="144"/>
      <c r="AR14" s="144"/>
      <c r="AS14" s="139"/>
      <c r="AT14" s="139"/>
      <c r="AU14" s="139"/>
      <c r="AV14" s="139"/>
    </row>
    <row r="15">
      <c r="A15" s="141">
        <v>10.0</v>
      </c>
      <c r="B15" s="142" t="s">
        <v>343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43" t="s">
        <v>344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44"/>
      <c r="AK15" s="144"/>
      <c r="AL15" s="144"/>
      <c r="AM15" s="144"/>
      <c r="AN15" s="144"/>
      <c r="AO15" s="144"/>
      <c r="AP15" s="144"/>
      <c r="AQ15" s="144"/>
      <c r="AR15" s="144"/>
      <c r="AS15" s="139"/>
      <c r="AT15" s="139"/>
      <c r="AU15" s="139"/>
      <c r="AV15" s="139"/>
    </row>
    <row r="16">
      <c r="A16" s="141">
        <v>10.0</v>
      </c>
      <c r="B16" s="142" t="s">
        <v>345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43" t="s">
        <v>346</v>
      </c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44"/>
      <c r="AK16" s="144"/>
      <c r="AL16" s="144"/>
      <c r="AM16" s="144"/>
      <c r="AN16" s="144"/>
      <c r="AO16" s="144"/>
      <c r="AP16" s="144"/>
      <c r="AQ16" s="144"/>
      <c r="AR16" s="144"/>
      <c r="AS16" s="139"/>
      <c r="AT16" s="139"/>
      <c r="AU16" s="139"/>
      <c r="AV16" s="139"/>
    </row>
    <row r="17">
      <c r="A17" s="141">
        <v>10.0</v>
      </c>
      <c r="B17" s="142" t="s">
        <v>282</v>
      </c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3" t="s">
        <v>347</v>
      </c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44"/>
      <c r="AK17" s="144"/>
      <c r="AL17" s="144"/>
      <c r="AM17" s="144"/>
      <c r="AN17" s="144"/>
      <c r="AO17" s="144"/>
      <c r="AP17" s="144"/>
      <c r="AQ17" s="144"/>
      <c r="AR17" s="144"/>
      <c r="AS17" s="139"/>
      <c r="AT17" s="139"/>
      <c r="AU17" s="139"/>
      <c r="AV17" s="139"/>
    </row>
    <row r="18">
      <c r="A18" s="141">
        <v>99.0</v>
      </c>
      <c r="B18" s="142" t="s">
        <v>265</v>
      </c>
      <c r="C18" s="139"/>
      <c r="D18" s="139"/>
      <c r="E18" s="139"/>
      <c r="F18" s="139"/>
      <c r="G18" s="139"/>
      <c r="H18" s="139"/>
      <c r="I18" s="139"/>
      <c r="J18" s="139"/>
      <c r="K18" s="139"/>
      <c r="L18" s="149" t="s">
        <v>348</v>
      </c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44"/>
      <c r="AK18" s="144"/>
      <c r="AL18" s="144"/>
      <c r="AM18" s="144"/>
      <c r="AN18" s="144"/>
      <c r="AO18" s="144"/>
      <c r="AP18" s="144"/>
      <c r="AQ18" s="144"/>
      <c r="AR18" s="144"/>
      <c r="AS18" s="139"/>
      <c r="AT18" s="139"/>
      <c r="AU18" s="139"/>
      <c r="AV18" s="139"/>
    </row>
    <row r="19">
      <c r="A19" s="141">
        <v>99.0</v>
      </c>
      <c r="B19" s="142" t="s">
        <v>349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9" t="s">
        <v>350</v>
      </c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44"/>
      <c r="AK19" s="144"/>
      <c r="AL19" s="144"/>
      <c r="AM19" s="144"/>
      <c r="AN19" s="144"/>
      <c r="AO19" s="144"/>
      <c r="AP19" s="144"/>
      <c r="AQ19" s="144"/>
      <c r="AR19" s="144"/>
      <c r="AS19" s="139"/>
      <c r="AT19" s="139"/>
      <c r="AU19" s="139"/>
      <c r="AV19" s="139"/>
    </row>
    <row r="20">
      <c r="A20" s="141">
        <v>99.0</v>
      </c>
      <c r="B20" s="142" t="s">
        <v>215</v>
      </c>
      <c r="C20" s="139"/>
      <c r="D20" s="139"/>
      <c r="E20" s="139"/>
      <c r="F20" s="139"/>
      <c r="G20" s="139"/>
      <c r="H20" s="139"/>
      <c r="I20" s="139"/>
      <c r="J20" s="139"/>
      <c r="K20" s="149" t="s">
        <v>351</v>
      </c>
      <c r="Q20" s="139"/>
      <c r="R20" s="145" t="s">
        <v>352</v>
      </c>
      <c r="X20" s="139"/>
      <c r="Y20" s="143" t="s">
        <v>353</v>
      </c>
      <c r="AE20" s="139"/>
      <c r="AF20" s="143" t="s">
        <v>354</v>
      </c>
      <c r="AL20" s="144"/>
      <c r="AM20" s="144"/>
      <c r="AN20" s="144"/>
      <c r="AO20" s="144"/>
      <c r="AP20" s="144"/>
      <c r="AQ20" s="144"/>
      <c r="AR20" s="144"/>
      <c r="AS20" s="139"/>
      <c r="AT20" s="139"/>
      <c r="AU20" s="139"/>
      <c r="AV20" s="139"/>
    </row>
    <row r="21">
      <c r="A21" s="141">
        <v>99.0</v>
      </c>
      <c r="B21" s="142" t="s">
        <v>355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43" t="s">
        <v>356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44"/>
      <c r="AK21" s="144"/>
      <c r="AL21" s="144"/>
      <c r="AM21" s="144"/>
      <c r="AN21" s="144"/>
      <c r="AO21" s="144"/>
      <c r="AP21" s="144"/>
      <c r="AQ21" s="144"/>
      <c r="AR21" s="144"/>
      <c r="AS21" s="139"/>
      <c r="AT21" s="139"/>
      <c r="AU21" s="139"/>
      <c r="AV21" s="139"/>
    </row>
    <row r="22">
      <c r="A22" s="141">
        <v>99.0</v>
      </c>
      <c r="B22" s="142" t="s">
        <v>357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43" t="s">
        <v>358</v>
      </c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44"/>
      <c r="AK22" s="144"/>
      <c r="AL22" s="144"/>
      <c r="AM22" s="144"/>
      <c r="AN22" s="144"/>
      <c r="AO22" s="144"/>
      <c r="AP22" s="144"/>
      <c r="AQ22" s="144"/>
      <c r="AR22" s="144"/>
      <c r="AS22" s="139"/>
      <c r="AT22" s="139"/>
      <c r="AU22" s="139"/>
      <c r="AV22" s="139"/>
    </row>
    <row r="23">
      <c r="A23" s="141">
        <v>99.0</v>
      </c>
      <c r="B23" s="142" t="s">
        <v>360</v>
      </c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44"/>
      <c r="AK23" s="144"/>
      <c r="AL23" s="144"/>
      <c r="AM23" s="144"/>
      <c r="AN23" s="144"/>
      <c r="AO23" s="144"/>
      <c r="AP23" s="144"/>
      <c r="AQ23" s="144"/>
      <c r="AR23" s="144"/>
      <c r="AS23" s="139"/>
      <c r="AT23" s="139"/>
      <c r="AU23" s="139"/>
      <c r="AV23" s="139"/>
    </row>
    <row r="24">
      <c r="A24" s="141">
        <v>999.0</v>
      </c>
      <c r="B24" s="142" t="s">
        <v>284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3" t="s">
        <v>361</v>
      </c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44"/>
      <c r="AK24" s="144"/>
      <c r="AL24" s="144"/>
      <c r="AM24" s="144"/>
      <c r="AN24" s="144"/>
      <c r="AO24" s="144"/>
      <c r="AP24" s="144"/>
      <c r="AQ24" s="144"/>
      <c r="AR24" s="144"/>
      <c r="AS24" s="139"/>
      <c r="AT24" s="139"/>
      <c r="AU24" s="139"/>
      <c r="AV24" s="139"/>
    </row>
    <row r="25">
      <c r="A25" s="141">
        <v>999.0</v>
      </c>
      <c r="B25" s="142" t="s">
        <v>363</v>
      </c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43" t="s">
        <v>364</v>
      </c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44"/>
      <c r="AK25" s="144"/>
      <c r="AL25" s="144"/>
      <c r="AM25" s="144"/>
      <c r="AN25" s="144"/>
      <c r="AO25" s="144"/>
      <c r="AP25" s="144"/>
      <c r="AQ25" s="144"/>
      <c r="AR25" s="144"/>
      <c r="AS25" s="139"/>
      <c r="AT25" s="139"/>
      <c r="AU25" s="139"/>
      <c r="AV25" s="139"/>
    </row>
  </sheetData>
  <mergeCells count="46">
    <mergeCell ref="K2:P2"/>
    <mergeCell ref="R2:W2"/>
    <mergeCell ref="Z2:AE2"/>
    <mergeCell ref="R3:W3"/>
    <mergeCell ref="K4:P4"/>
    <mergeCell ref="S4:X4"/>
    <mergeCell ref="AA4:AF4"/>
    <mergeCell ref="K5:P5"/>
    <mergeCell ref="R5:W5"/>
    <mergeCell ref="Y5:AD5"/>
    <mergeCell ref="AE5:AJ5"/>
    <mergeCell ref="K6:P6"/>
    <mergeCell ref="Y6:AD6"/>
    <mergeCell ref="AF6:AK6"/>
    <mergeCell ref="Z10:AE10"/>
    <mergeCell ref="Z11:AE11"/>
    <mergeCell ref="AC12:AH12"/>
    <mergeCell ref="AJ12:AO12"/>
    <mergeCell ref="R6:W6"/>
    <mergeCell ref="S7:X7"/>
    <mergeCell ref="R8:W8"/>
    <mergeCell ref="Y8:AD8"/>
    <mergeCell ref="R9:W9"/>
    <mergeCell ref="S10:X10"/>
    <mergeCell ref="S11:X11"/>
    <mergeCell ref="K10:P10"/>
    <mergeCell ref="K11:P11"/>
    <mergeCell ref="K12:P12"/>
    <mergeCell ref="Q12:V12"/>
    <mergeCell ref="K13:P13"/>
    <mergeCell ref="R13:W13"/>
    <mergeCell ref="W14:AB14"/>
    <mergeCell ref="R20:W20"/>
    <mergeCell ref="Y20:AD20"/>
    <mergeCell ref="AF20:AK20"/>
    <mergeCell ref="R21:W21"/>
    <mergeCell ref="S22:X22"/>
    <mergeCell ref="O24:T24"/>
    <mergeCell ref="S25:X25"/>
    <mergeCell ref="O14:T14"/>
    <mergeCell ref="O15:T15"/>
    <mergeCell ref="O16:T16"/>
    <mergeCell ref="Q17:V17"/>
    <mergeCell ref="L18:Q18"/>
    <mergeCell ref="Q19:V19"/>
    <mergeCell ref="K20:P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7" max="7" width="37.25"/>
  </cols>
  <sheetData>
    <row r="1">
      <c r="A1" s="150" t="s">
        <v>359</v>
      </c>
      <c r="B1" s="116" t="s">
        <v>2</v>
      </c>
      <c r="C1" s="117" t="s">
        <v>227</v>
      </c>
      <c r="D1" s="118" t="s">
        <v>29</v>
      </c>
      <c r="E1" s="118" t="s">
        <v>34</v>
      </c>
      <c r="F1" s="119" t="s">
        <v>261</v>
      </c>
      <c r="G1" s="119" t="s">
        <v>245</v>
      </c>
      <c r="H1" s="119" t="s">
        <v>228</v>
      </c>
      <c r="I1" s="119" t="s">
        <v>229</v>
      </c>
      <c r="J1" s="119" t="s">
        <v>262</v>
      </c>
      <c r="K1" s="120" t="s">
        <v>263</v>
      </c>
      <c r="L1" s="120" t="s">
        <v>264</v>
      </c>
      <c r="M1" s="120" t="s">
        <v>362</v>
      </c>
    </row>
    <row r="2">
      <c r="A2" s="151">
        <f>IFERROR(__xludf.DUMMYFUNCTION("filter('Weekly Log'!A:L,'Weekly Log'!D:D&lt;&gt;""W"")"),43702.27976414352)</f>
        <v>43702.27976</v>
      </c>
      <c r="B2" t="str">
        <f>IFERROR(__xludf.DUMMYFUNCTION("""COMPUTED_VALUE"""),"DavEmily")</f>
        <v>DavEmily</v>
      </c>
      <c r="C2" t="str">
        <f>IFERROR(__xludf.DUMMYFUNCTION("""COMPUTED_VALUE"""),"Tulsa")</f>
        <v>Tulsa</v>
      </c>
      <c r="D2">
        <f>IFERROR(__xludf.DUMMYFUNCTION("""COMPUTED_VALUE"""),0.0)</f>
        <v>0</v>
      </c>
      <c r="E2">
        <f>IFERROR(__xludf.DUMMYFUNCTION("""COMPUTED_VALUE"""),0.0)</f>
        <v>0</v>
      </c>
      <c r="F2" t="str">
        <f>IFERROR(__xludf.DUMMYFUNCTION("""COMPUTED_VALUE"""),"NA")</f>
        <v>NA</v>
      </c>
      <c r="G2" t="str">
        <f>IFERROR(__xludf.DUMMYFUNCTION("""COMPUTED_VALUE"""),"Tulsa at (20) Michigan State ")</f>
        <v>Tulsa at (20) Michigan State </v>
      </c>
      <c r="H2" t="str">
        <f>IFERROR(__xludf.DUMMYFUNCTION("""COMPUTED_VALUE"""),"FRI, AUG 30 7:00 PM ET")</f>
        <v>FRI, AUG 30 7:00 PM ET</v>
      </c>
      <c r="I2" t="str">
        <f>IFERROR(__xludf.DUMMYFUNCTION("""COMPUTED_VALUE"""),"22½")</f>
        <v>22½</v>
      </c>
      <c r="J2" t="str">
        <f>IFERROR(__xludf.DUMMYFUNCTION("""COMPUTED_VALUE"""),"47½")</f>
        <v>47½</v>
      </c>
      <c r="K2" t="str">
        <f>IFERROR(__xludf.DUMMYFUNCTION("""COMPUTED_VALUE"""),"Nick A.")</f>
        <v>Nick A.</v>
      </c>
      <c r="L2">
        <f>IFERROR(__xludf.DUMMYFUNCTION("""COMPUTED_VALUE"""),9999.0)</f>
        <v>9999</v>
      </c>
      <c r="M2" s="124">
        <f t="array" ref="M2:M1865">iferror(rounddown((DATEVALUE(A2:A1865)-datevalue(min(A:A)))/7,0),"")</f>
        <v>0</v>
      </c>
    </row>
    <row r="3">
      <c r="A3" s="151">
        <f>IFERROR(__xludf.DUMMYFUNCTION("""COMPUTED_VALUE"""),43702.27976414352)</f>
        <v>43702.27976</v>
      </c>
      <c r="B3" t="str">
        <f>IFERROR(__xludf.DUMMYFUNCTION("""COMPUTED_VALUE"""),"DavEmily")</f>
        <v>DavEmily</v>
      </c>
      <c r="C3" t="str">
        <f>IFERROR(__xludf.DUMMYFUNCTION("""COMPUTED_VALUE"""),"Nebraska")</f>
        <v>Nebraska</v>
      </c>
      <c r="D3">
        <f>IFERROR(__xludf.DUMMYFUNCTION("""COMPUTED_VALUE"""),0.0)</f>
        <v>0</v>
      </c>
      <c r="E3">
        <f>IFERROR(__xludf.DUMMYFUNCTION("""COMPUTED_VALUE"""),0.0)</f>
        <v>0</v>
      </c>
      <c r="F3" t="str">
        <f>IFERROR(__xludf.DUMMYFUNCTION("""COMPUTED_VALUE"""),"NA")</f>
        <v>NA</v>
      </c>
      <c r="G3" t="str">
        <f>IFERROR(__xludf.DUMMYFUNCTION("""COMPUTED_VALUE"""),"South Alabama at Nebraska ")</f>
        <v>South Alabama at Nebraska </v>
      </c>
      <c r="H3" t="str">
        <f>IFERROR(__xludf.DUMMYFUNCTION("""COMPUTED_VALUE"""),"SAT, AUG 31 12:00 PM ET")</f>
        <v>SAT, AUG 31 12:00 PM ET</v>
      </c>
      <c r="I3">
        <f>IFERROR(__xludf.DUMMYFUNCTION("""COMPUTED_VALUE"""),-36.0)</f>
        <v>-36</v>
      </c>
      <c r="J3" t="str">
        <f>IFERROR(__xludf.DUMMYFUNCTION("""COMPUTED_VALUE"""),"64½")</f>
        <v>64½</v>
      </c>
      <c r="K3" t="str">
        <f>IFERROR(__xludf.DUMMYFUNCTION("""COMPUTED_VALUE"""),"Vu")</f>
        <v>Vu</v>
      </c>
      <c r="L3">
        <f>IFERROR(__xludf.DUMMYFUNCTION("""COMPUTED_VALUE"""),9999.0)</f>
        <v>9999</v>
      </c>
      <c r="M3" s="124">
        <v>0.0</v>
      </c>
    </row>
    <row r="4">
      <c r="A4" s="151">
        <f>IFERROR(__xludf.DUMMYFUNCTION("""COMPUTED_VALUE"""),43702.27976414352)</f>
        <v>43702.27976</v>
      </c>
      <c r="B4" t="str">
        <f>IFERROR(__xludf.DUMMYFUNCTION("""COMPUTED_VALUE"""),"DavEmily")</f>
        <v>DavEmily</v>
      </c>
      <c r="C4" t="str">
        <f>IFERROR(__xludf.DUMMYFUNCTION("""COMPUTED_VALUE"""),"Ball State")</f>
        <v>Ball State</v>
      </c>
      <c r="D4">
        <f>IFERROR(__xludf.DUMMYFUNCTION("""COMPUTED_VALUE"""),0.0)</f>
        <v>0</v>
      </c>
      <c r="E4">
        <f>IFERROR(__xludf.DUMMYFUNCTION("""COMPUTED_VALUE"""),0.0)</f>
        <v>0</v>
      </c>
      <c r="F4" t="str">
        <f>IFERROR(__xludf.DUMMYFUNCTION("""COMPUTED_VALUE"""),"NA")</f>
        <v>NA</v>
      </c>
      <c r="G4" t="str">
        <f>IFERROR(__xludf.DUMMYFUNCTION("""COMPUTED_VALUE"""),"Indiana at Ball State ")</f>
        <v>Indiana at Ball State </v>
      </c>
      <c r="H4" t="str">
        <f>IFERROR(__xludf.DUMMYFUNCTION("""COMPUTED_VALUE"""),"SAT, AUG 31 12:00 PM ET")</f>
        <v>SAT, AUG 31 12:00 PM ET</v>
      </c>
      <c r="I4">
        <f>IFERROR(__xludf.DUMMYFUNCTION("""COMPUTED_VALUE"""),17.0)</f>
        <v>17</v>
      </c>
      <c r="J4">
        <f>IFERROR(__xludf.DUMMYFUNCTION("""COMPUTED_VALUE"""),59.0)</f>
        <v>59</v>
      </c>
      <c r="K4" t="str">
        <f>IFERROR(__xludf.DUMMYFUNCTION("""COMPUTED_VALUE"""),"Brad")</f>
        <v>Brad</v>
      </c>
      <c r="L4">
        <f>IFERROR(__xludf.DUMMYFUNCTION("""COMPUTED_VALUE"""),9999.0)</f>
        <v>9999</v>
      </c>
      <c r="M4" s="124">
        <v>0.0</v>
      </c>
    </row>
    <row r="5">
      <c r="A5" s="151">
        <f>IFERROR(__xludf.DUMMYFUNCTION("""COMPUTED_VALUE"""),43702.27976414352)</f>
        <v>43702.27976</v>
      </c>
      <c r="B5" t="str">
        <f>IFERROR(__xludf.DUMMYFUNCTION("""COMPUTED_VALUE"""),"DavEmily")</f>
        <v>DavEmily</v>
      </c>
      <c r="C5" t="str">
        <f>IFERROR(__xludf.DUMMYFUNCTION("""COMPUTED_VALUE"""),"Alabama")</f>
        <v>Alabama</v>
      </c>
      <c r="D5">
        <f>IFERROR(__xludf.DUMMYFUNCTION("""COMPUTED_VALUE"""),0.0)</f>
        <v>0</v>
      </c>
      <c r="E5">
        <f>IFERROR(__xludf.DUMMYFUNCTION("""COMPUTED_VALUE"""),0.0)</f>
        <v>0</v>
      </c>
      <c r="F5" t="str">
        <f>IFERROR(__xludf.DUMMYFUNCTION("""COMPUTED_VALUE"""),"NA")</f>
        <v>NA</v>
      </c>
      <c r="G5" t="str">
        <f>IFERROR(__xludf.DUMMYFUNCTION("""COMPUTED_VALUE"""),"Duke at (2) Alabama ")</f>
        <v>Duke at (2) Alabama </v>
      </c>
      <c r="H5" t="str">
        <f>IFERROR(__xludf.DUMMYFUNCTION("""COMPUTED_VALUE"""),"SAT, AUG 31 3:30 PM ET")</f>
        <v>SAT, AUG 31 3:30 PM ET</v>
      </c>
      <c r="I5" t="str">
        <f>IFERROR(__xludf.DUMMYFUNCTION("""COMPUTED_VALUE"""),"-34½")</f>
        <v>-34½</v>
      </c>
      <c r="J5">
        <f>IFERROR(__xludf.DUMMYFUNCTION("""COMPUTED_VALUE"""),58.0)</f>
        <v>58</v>
      </c>
      <c r="K5" t="str">
        <f>IFERROR(__xludf.DUMMYFUNCTION("""COMPUTED_VALUE"""),"Justin")</f>
        <v>Justin</v>
      </c>
      <c r="L5">
        <f>IFERROR(__xludf.DUMMYFUNCTION("""COMPUTED_VALUE"""),9999.0)</f>
        <v>9999</v>
      </c>
      <c r="M5" s="124">
        <v>0.0</v>
      </c>
    </row>
    <row r="6">
      <c r="A6" s="151">
        <f>IFERROR(__xludf.DUMMYFUNCTION("""COMPUTED_VALUE"""),43702.27976414352)</f>
        <v>43702.27976</v>
      </c>
      <c r="B6" t="str">
        <f>IFERROR(__xludf.DUMMYFUNCTION("""COMPUTED_VALUE"""),"DavEmily")</f>
        <v>DavEmily</v>
      </c>
      <c r="C6" t="str">
        <f>IFERROR(__xludf.DUMMYFUNCTION("""COMPUTED_VALUE"""),"Coastal Carolina")</f>
        <v>Coastal Carolina</v>
      </c>
      <c r="D6">
        <f>IFERROR(__xludf.DUMMYFUNCTION("""COMPUTED_VALUE"""),0.0)</f>
        <v>0</v>
      </c>
      <c r="E6">
        <f>IFERROR(__xludf.DUMMYFUNCTION("""COMPUTED_VALUE"""),0.0)</f>
        <v>0</v>
      </c>
      <c r="F6" t="str">
        <f>IFERROR(__xludf.DUMMYFUNCTION("""COMPUTED_VALUE"""),"NA")</f>
        <v>NA</v>
      </c>
      <c r="G6" t="str">
        <f>IFERROR(__xludf.DUMMYFUNCTION("""COMPUTED_VALUE"""),"EMU at Coastal Carolina ")</f>
        <v>EMU at Coastal Carolina </v>
      </c>
      <c r="H6" t="str">
        <f>IFERROR(__xludf.DUMMYFUNCTION("""COMPUTED_VALUE"""),"SAT, AUG 31 3:30 PM ET")</f>
        <v>SAT, AUG 31 3:30 PM ET</v>
      </c>
      <c r="I6" t="str">
        <f>IFERROR(__xludf.DUMMYFUNCTION("""COMPUTED_VALUE"""),"5½")</f>
        <v>5½</v>
      </c>
      <c r="J6">
        <f>IFERROR(__xludf.DUMMYFUNCTION("""COMPUTED_VALUE"""),55.0)</f>
        <v>55</v>
      </c>
      <c r="K6" t="str">
        <f>IFERROR(__xludf.DUMMYFUNCTION("""COMPUTED_VALUE"""),"Brad")</f>
        <v>Brad</v>
      </c>
      <c r="L6">
        <f>IFERROR(__xludf.DUMMYFUNCTION("""COMPUTED_VALUE"""),9999.0)</f>
        <v>9999</v>
      </c>
      <c r="M6" s="124">
        <v>0.0</v>
      </c>
    </row>
    <row r="7">
      <c r="A7" s="151">
        <f>IFERROR(__xludf.DUMMYFUNCTION("""COMPUTED_VALUE"""),43702.27976414352)</f>
        <v>43702.27976</v>
      </c>
      <c r="B7" t="str">
        <f>IFERROR(__xludf.DUMMYFUNCTION("""COMPUTED_VALUE"""),"DavEmily")</f>
        <v>DavEmily</v>
      </c>
      <c r="C7" t="str">
        <f>IFERROR(__xludf.DUMMYFUNCTION("""COMPUTED_VALUE"""),"Virginia Tech")</f>
        <v>Virginia Tech</v>
      </c>
      <c r="D7">
        <f>IFERROR(__xludf.DUMMYFUNCTION("""COMPUTED_VALUE"""),0.0)</f>
        <v>0</v>
      </c>
      <c r="E7">
        <f>IFERROR(__xludf.DUMMYFUNCTION("""COMPUTED_VALUE"""),0.0)</f>
        <v>0</v>
      </c>
      <c r="F7" t="str">
        <f>IFERROR(__xludf.DUMMYFUNCTION("""COMPUTED_VALUE"""),"NA")</f>
        <v>NA</v>
      </c>
      <c r="G7" t="str">
        <f>IFERROR(__xludf.DUMMYFUNCTION("""COMPUTED_VALUE"""),"Virginia Tech at Boston College ")</f>
        <v>Virginia Tech at Boston College </v>
      </c>
      <c r="H7" t="str">
        <f>IFERROR(__xludf.DUMMYFUNCTION("""COMPUTED_VALUE"""),"SAT, AUG 31 4:00 PM ET")</f>
        <v>SAT, AUG 31 4:00 PM ET</v>
      </c>
      <c r="I7" t="str">
        <f>IFERROR(__xludf.DUMMYFUNCTION("""COMPUTED_VALUE"""),"-3½")</f>
        <v>-3½</v>
      </c>
      <c r="J7">
        <f>IFERROR(__xludf.DUMMYFUNCTION("""COMPUTED_VALUE"""),57.0)</f>
        <v>57</v>
      </c>
      <c r="K7" t="str">
        <f>IFERROR(__xludf.DUMMYFUNCTION("""COMPUTED_VALUE"""),"Janice/Mike")</f>
        <v>Janice/Mike</v>
      </c>
      <c r="L7">
        <f>IFERROR(__xludf.DUMMYFUNCTION("""COMPUTED_VALUE"""),9999.0)</f>
        <v>9999</v>
      </c>
      <c r="M7" s="124">
        <v>0.0</v>
      </c>
    </row>
    <row r="8">
      <c r="A8" s="151">
        <f>IFERROR(__xludf.DUMMYFUNCTION("""COMPUTED_VALUE"""),43702.27976414352)</f>
        <v>43702.27976</v>
      </c>
      <c r="B8" t="str">
        <f>IFERROR(__xludf.DUMMYFUNCTION("""COMPUTED_VALUE"""),"DavEmily")</f>
        <v>DavEmily</v>
      </c>
      <c r="C8" t="str">
        <f>IFERROR(__xludf.DUMMYFUNCTION("""COMPUTED_VALUE"""),"UTSA")</f>
        <v>UTSA</v>
      </c>
      <c r="D8">
        <f>IFERROR(__xludf.DUMMYFUNCTION("""COMPUTED_VALUE"""),0.0)</f>
        <v>0</v>
      </c>
      <c r="E8">
        <f>IFERROR(__xludf.DUMMYFUNCTION("""COMPUTED_VALUE"""),0.0)</f>
        <v>0</v>
      </c>
      <c r="F8" t="str">
        <f>IFERROR(__xludf.DUMMYFUNCTION("""COMPUTED_VALUE"""),"NA")</f>
        <v>NA</v>
      </c>
      <c r="G8" t="str">
        <f>IFERROR(__xludf.DUMMYFUNCTION("""COMPUTED_VALUE"""),"Incarnate Word at UTSA ")</f>
        <v>Incarnate Word at UTSA </v>
      </c>
      <c r="H8" t="str">
        <f>IFERROR(__xludf.DUMMYFUNCTION("""COMPUTED_VALUE"""),"SAT, AUG 31 6:00 PM ET")</f>
        <v>SAT, AUG 31 6:00 PM ET</v>
      </c>
      <c r="I8" t="str">
        <f>IFERROR(__xludf.DUMMYFUNCTION("""COMPUTED_VALUE"""),"No Line")</f>
        <v>No Line</v>
      </c>
      <c r="K8" t="str">
        <f>IFERROR(__xludf.DUMMYFUNCTION("""COMPUTED_VALUE"""),"Undrafted")</f>
        <v>Undrafted</v>
      </c>
      <c r="L8">
        <f>IFERROR(__xludf.DUMMYFUNCTION("""COMPUTED_VALUE"""),9999.0)</f>
        <v>9999</v>
      </c>
      <c r="M8" s="124">
        <v>0.0</v>
      </c>
    </row>
    <row r="9">
      <c r="A9" s="151">
        <f>IFERROR(__xludf.DUMMYFUNCTION("""COMPUTED_VALUE"""),43702.27976414352)</f>
        <v>43702.27976</v>
      </c>
      <c r="B9" t="str">
        <f>IFERROR(__xludf.DUMMYFUNCTION("""COMPUTED_VALUE"""),"DavEmily")</f>
        <v>DavEmily</v>
      </c>
      <c r="C9" t="str">
        <f>IFERROR(__xludf.DUMMYFUNCTION("""COMPUTED_VALUE"""),"California")</f>
        <v>California</v>
      </c>
      <c r="D9">
        <f>IFERROR(__xludf.DUMMYFUNCTION("""COMPUTED_VALUE"""),0.0)</f>
        <v>0</v>
      </c>
      <c r="E9">
        <f>IFERROR(__xludf.DUMMYFUNCTION("""COMPUTED_VALUE"""),0.0)</f>
        <v>0</v>
      </c>
      <c r="F9" t="str">
        <f>IFERROR(__xludf.DUMMYFUNCTION("""COMPUTED_VALUE"""),"NA")</f>
        <v>NA</v>
      </c>
      <c r="G9" t="str">
        <f>IFERROR(__xludf.DUMMYFUNCTION("""COMPUTED_VALUE"""),"UC Davis at California ")</f>
        <v>UC Davis at California </v>
      </c>
      <c r="H9" t="str">
        <f>IFERROR(__xludf.DUMMYFUNCTION("""COMPUTED_VALUE"""),"SAT, AUG 31 6:30 PM ET")</f>
        <v>SAT, AUG 31 6:30 PM ET</v>
      </c>
      <c r="I9" t="str">
        <f>IFERROR(__xludf.DUMMYFUNCTION("""COMPUTED_VALUE"""),"No Line")</f>
        <v>No Line</v>
      </c>
      <c r="K9" t="str">
        <f>IFERROR(__xludf.DUMMYFUNCTION("""COMPUTED_VALUE"""),"Undrafted")</f>
        <v>Undrafted</v>
      </c>
      <c r="L9">
        <f>IFERROR(__xludf.DUMMYFUNCTION("""COMPUTED_VALUE"""),9999.0)</f>
        <v>9999</v>
      </c>
      <c r="M9" s="124">
        <v>0.0</v>
      </c>
    </row>
    <row r="10">
      <c r="A10" s="151">
        <f>IFERROR(__xludf.DUMMYFUNCTION("""COMPUTED_VALUE"""),43702.27976414352)</f>
        <v>43702.27976</v>
      </c>
      <c r="B10" t="str">
        <f>IFERROR(__xludf.DUMMYFUNCTION("""COMPUTED_VALUE"""),"DavEmily")</f>
        <v>DavEmily</v>
      </c>
      <c r="C10" t="str">
        <f>IFERROR(__xludf.DUMMYFUNCTION("""COMPUTED_VALUE"""),"Fresno State")</f>
        <v>Fresno State</v>
      </c>
      <c r="D10">
        <f>IFERROR(__xludf.DUMMYFUNCTION("""COMPUTED_VALUE"""),0.0)</f>
        <v>0</v>
      </c>
      <c r="E10">
        <f>IFERROR(__xludf.DUMMYFUNCTION("""COMPUTED_VALUE"""),0.0)</f>
        <v>0</v>
      </c>
      <c r="F10" t="str">
        <f>IFERROR(__xludf.DUMMYFUNCTION("""COMPUTED_VALUE"""),"NA")</f>
        <v>NA</v>
      </c>
      <c r="G10" t="str">
        <f>IFERROR(__xludf.DUMMYFUNCTION("""COMPUTED_VALUE"""),"Fresno State at USC ")</f>
        <v>Fresno State at USC </v>
      </c>
      <c r="H10" t="str">
        <f>IFERROR(__xludf.DUMMYFUNCTION("""COMPUTED_VALUE"""),"SAT, AUG 31 10:30 PM ET")</f>
        <v>SAT, AUG 31 10:30 PM ET</v>
      </c>
      <c r="I10" t="str">
        <f>IFERROR(__xludf.DUMMYFUNCTION("""COMPUTED_VALUE"""),"13½")</f>
        <v>13½</v>
      </c>
      <c r="J10" t="str">
        <f>IFERROR(__xludf.DUMMYFUNCTION("""COMPUTED_VALUE"""),"52½")</f>
        <v>52½</v>
      </c>
      <c r="K10" t="str">
        <f>IFERROR(__xludf.DUMMYFUNCTION("""COMPUTED_VALUE"""),"Josh R.")</f>
        <v>Josh R.</v>
      </c>
      <c r="L10">
        <f>IFERROR(__xludf.DUMMYFUNCTION("""COMPUTED_VALUE"""),9999.0)</f>
        <v>9999</v>
      </c>
      <c r="M10" s="124">
        <v>0.0</v>
      </c>
    </row>
    <row r="11">
      <c r="A11" s="151">
        <f>IFERROR(__xludf.DUMMYFUNCTION("""COMPUTED_VALUE"""),43702.27976414352)</f>
        <v>43702.27976</v>
      </c>
      <c r="B11" t="str">
        <f>IFERROR(__xludf.DUMMYFUNCTION("""COMPUTED_VALUE"""),"DavEmily")</f>
        <v>DavEmily</v>
      </c>
      <c r="C11" t="str">
        <f>IFERROR(__xludf.DUMMYFUNCTION("""COMPUTED_VALUE"""),"Notre Dame")</f>
        <v>Notre Dame</v>
      </c>
      <c r="D11">
        <f>IFERROR(__xludf.DUMMYFUNCTION("""COMPUTED_VALUE"""),0.0)</f>
        <v>0</v>
      </c>
      <c r="E11">
        <f>IFERROR(__xludf.DUMMYFUNCTION("""COMPUTED_VALUE"""),0.0)</f>
        <v>0</v>
      </c>
      <c r="F11" t="str">
        <f>IFERROR(__xludf.DUMMYFUNCTION("""COMPUTED_VALUE"""),"NA")</f>
        <v>NA</v>
      </c>
      <c r="G11" t="str">
        <f>IFERROR(__xludf.DUMMYFUNCTION("""COMPUTED_VALUE"""),"(9) Notre Dame at Louisville ")</f>
        <v>(9) Notre Dame at Louisville </v>
      </c>
      <c r="H11" t="str">
        <f>IFERROR(__xludf.DUMMYFUNCTION("""COMPUTED_VALUE"""),"MON, SEP 2 8:00 PM ET")</f>
        <v>MON, SEP 2 8:00 PM ET</v>
      </c>
      <c r="I11" t="str">
        <f>IFERROR(__xludf.DUMMYFUNCTION("""COMPUTED_VALUE"""),"-20½")</f>
        <v>-20½</v>
      </c>
      <c r="J11">
        <f>IFERROR(__xludf.DUMMYFUNCTION("""COMPUTED_VALUE"""),57.0)</f>
        <v>57</v>
      </c>
      <c r="K11" t="str">
        <f>IFERROR(__xludf.DUMMYFUNCTION("""COMPUTED_VALUE"""),"Undrafted")</f>
        <v>Undrafted</v>
      </c>
      <c r="L11">
        <f>IFERROR(__xludf.DUMMYFUNCTION("""COMPUTED_VALUE"""),9999.0)</f>
        <v>9999</v>
      </c>
      <c r="M11" s="124">
        <v>0.0</v>
      </c>
    </row>
    <row r="12">
      <c r="A12" s="151">
        <f>IFERROR(__xludf.DUMMYFUNCTION("""COMPUTED_VALUE"""),43702.27976414352)</f>
        <v>43702.27976</v>
      </c>
      <c r="B12" t="str">
        <f>IFERROR(__xludf.DUMMYFUNCTION("""COMPUTED_VALUE"""),"Nick A.")</f>
        <v>Nick A.</v>
      </c>
      <c r="C12" t="str">
        <f>IFERROR(__xludf.DUMMYFUNCTION("""COMPUTED_VALUE"""),"Bowling Green")</f>
        <v>Bowling Green</v>
      </c>
      <c r="D12">
        <f>IFERROR(__xludf.DUMMYFUNCTION("""COMPUTED_VALUE"""),0.0)</f>
        <v>0</v>
      </c>
      <c r="E12">
        <f>IFERROR(__xludf.DUMMYFUNCTION("""COMPUTED_VALUE"""),0.0)</f>
        <v>0</v>
      </c>
      <c r="F12" t="str">
        <f>IFERROR(__xludf.DUMMYFUNCTION("""COMPUTED_VALUE"""),"NA")</f>
        <v>NA</v>
      </c>
      <c r="G12" t="str">
        <f>IFERROR(__xludf.DUMMYFUNCTION("""COMPUTED_VALUE"""),"Morgan State at Bowling Green ")</f>
        <v>Morgan State at Bowling Green </v>
      </c>
      <c r="H12" t="str">
        <f>IFERROR(__xludf.DUMMYFUNCTION("""COMPUTED_VALUE"""),"THU, AUG 29 7:00 PM ET")</f>
        <v>THU, AUG 29 7:00 PM ET</v>
      </c>
      <c r="I12" t="str">
        <f>IFERROR(__xludf.DUMMYFUNCTION("""COMPUTED_VALUE"""),"-21½")</f>
        <v>-21½</v>
      </c>
      <c r="J12" t="str">
        <f>IFERROR(__xludf.DUMMYFUNCTION("""COMPUTED_VALUE"""),"49½")</f>
        <v>49½</v>
      </c>
      <c r="K12" t="str">
        <f>IFERROR(__xludf.DUMMYFUNCTION("""COMPUTED_VALUE"""),"Undrafted")</f>
        <v>Undrafted</v>
      </c>
      <c r="L12">
        <f>IFERROR(__xludf.DUMMYFUNCTION("""COMPUTED_VALUE"""),9999.0)</f>
        <v>9999</v>
      </c>
      <c r="M12" s="124">
        <v>0.0</v>
      </c>
    </row>
    <row r="13">
      <c r="A13" s="151">
        <f>IFERROR(__xludf.DUMMYFUNCTION("""COMPUTED_VALUE"""),43702.27976414352)</f>
        <v>43702.27976</v>
      </c>
      <c r="B13" t="str">
        <f>IFERROR(__xludf.DUMMYFUNCTION("""COMPUTED_VALUE"""),"Nick A.")</f>
        <v>Nick A.</v>
      </c>
      <c r="C13" t="str">
        <f>IFERROR(__xludf.DUMMYFUNCTION("""COMPUTED_VALUE"""),"Clemson")</f>
        <v>Clemson</v>
      </c>
      <c r="D13">
        <f>IFERROR(__xludf.DUMMYFUNCTION("""COMPUTED_VALUE"""),0.0)</f>
        <v>0</v>
      </c>
      <c r="E13">
        <f>IFERROR(__xludf.DUMMYFUNCTION("""COMPUTED_VALUE"""),0.0)</f>
        <v>0</v>
      </c>
      <c r="F13" t="str">
        <f>IFERROR(__xludf.DUMMYFUNCTION("""COMPUTED_VALUE"""),"NA")</f>
        <v>NA</v>
      </c>
      <c r="G13" t="str">
        <f>IFERROR(__xludf.DUMMYFUNCTION("""COMPUTED_VALUE"""),"Georgia Tech at (1) Clemson ")</f>
        <v>Georgia Tech at (1) Clemson </v>
      </c>
      <c r="H13" t="str">
        <f>IFERROR(__xludf.DUMMYFUNCTION("""COMPUTED_VALUE"""),"THU, AUG 29 8:00 PM ET")</f>
        <v>THU, AUG 29 8:00 PM ET</v>
      </c>
      <c r="I13">
        <f>IFERROR(__xludf.DUMMYFUNCTION("""COMPUTED_VALUE"""),-36.0)</f>
        <v>-36</v>
      </c>
      <c r="J13" t="str">
        <f>IFERROR(__xludf.DUMMYFUNCTION("""COMPUTED_VALUE"""),"59½")</f>
        <v>59½</v>
      </c>
      <c r="K13" t="str">
        <f>IFERROR(__xludf.DUMMYFUNCTION("""COMPUTED_VALUE"""),"Undrafted")</f>
        <v>Undrafted</v>
      </c>
      <c r="L13">
        <f>IFERROR(__xludf.DUMMYFUNCTION("""COMPUTED_VALUE"""),9999.0)</f>
        <v>9999</v>
      </c>
      <c r="M13" s="124">
        <v>0.0</v>
      </c>
    </row>
    <row r="14">
      <c r="A14" s="151">
        <f>IFERROR(__xludf.DUMMYFUNCTION("""COMPUTED_VALUE"""),43702.27976414352)</f>
        <v>43702.27976</v>
      </c>
      <c r="B14" t="str">
        <f>IFERROR(__xludf.DUMMYFUNCTION("""COMPUTED_VALUE"""),"Nick A.")</f>
        <v>Nick A.</v>
      </c>
      <c r="C14" t="str">
        <f>IFERROR(__xludf.DUMMYFUNCTION("""COMPUTED_VALUE"""),"Michigan State")</f>
        <v>Michigan State</v>
      </c>
      <c r="D14">
        <f>IFERROR(__xludf.DUMMYFUNCTION("""COMPUTED_VALUE"""),0.0)</f>
        <v>0</v>
      </c>
      <c r="E14">
        <f>IFERROR(__xludf.DUMMYFUNCTION("""COMPUTED_VALUE"""),0.0)</f>
        <v>0</v>
      </c>
      <c r="F14" t="str">
        <f>IFERROR(__xludf.DUMMYFUNCTION("""COMPUTED_VALUE"""),"NA")</f>
        <v>NA</v>
      </c>
      <c r="G14" t="str">
        <f>IFERROR(__xludf.DUMMYFUNCTION("""COMPUTED_VALUE"""),"Tulsa at (20) Michigan State ")</f>
        <v>Tulsa at (20) Michigan State </v>
      </c>
      <c r="H14" t="str">
        <f>IFERROR(__xludf.DUMMYFUNCTION("""COMPUTED_VALUE"""),"FRI, AUG 30 7:00 PM ET")</f>
        <v>FRI, AUG 30 7:00 PM ET</v>
      </c>
      <c r="I14" t="str">
        <f>IFERROR(__xludf.DUMMYFUNCTION("""COMPUTED_VALUE"""),"-22½")</f>
        <v>-22½</v>
      </c>
      <c r="J14" t="str">
        <f>IFERROR(__xludf.DUMMYFUNCTION("""COMPUTED_VALUE"""),"47½")</f>
        <v>47½</v>
      </c>
      <c r="K14" t="str">
        <f>IFERROR(__xludf.DUMMYFUNCTION("""COMPUTED_VALUE"""),"DavEmily")</f>
        <v>DavEmily</v>
      </c>
      <c r="L14">
        <f>IFERROR(__xludf.DUMMYFUNCTION("""COMPUTED_VALUE"""),9999.0)</f>
        <v>9999</v>
      </c>
      <c r="M14" s="124">
        <v>0.0</v>
      </c>
    </row>
    <row r="15">
      <c r="A15" s="151">
        <f>IFERROR(__xludf.DUMMYFUNCTION("""COMPUTED_VALUE"""),43702.27976414352)</f>
        <v>43702.27976</v>
      </c>
      <c r="B15" t="str">
        <f>IFERROR(__xludf.DUMMYFUNCTION("""COMPUTED_VALUE"""),"Nick A.")</f>
        <v>Nick A.</v>
      </c>
      <c r="C15" t="str">
        <f>IFERROR(__xludf.DUMMYFUNCTION("""COMPUTED_VALUE"""),"Iowa State")</f>
        <v>Iowa State</v>
      </c>
      <c r="D15">
        <f>IFERROR(__xludf.DUMMYFUNCTION("""COMPUTED_VALUE"""),0.0)</f>
        <v>0</v>
      </c>
      <c r="E15">
        <f>IFERROR(__xludf.DUMMYFUNCTION("""COMPUTED_VALUE"""),0.0)</f>
        <v>0</v>
      </c>
      <c r="F15" t="str">
        <f>IFERROR(__xludf.DUMMYFUNCTION("""COMPUTED_VALUE"""),"NA")</f>
        <v>NA</v>
      </c>
      <c r="G15" t="str">
        <f>IFERROR(__xludf.DUMMYFUNCTION("""COMPUTED_VALUE"""),"Northern Iowa at (24) Iowa State ")</f>
        <v>Northern Iowa at (24) Iowa State </v>
      </c>
      <c r="H15" t="str">
        <f>IFERROR(__xludf.DUMMYFUNCTION("""COMPUTED_VALUE"""),"SAT, AUG 31 12:00 PM ET")</f>
        <v>SAT, AUG 31 12:00 PM ET</v>
      </c>
      <c r="I15" t="str">
        <f>IFERROR(__xludf.DUMMYFUNCTION("""COMPUTED_VALUE"""),"No Line")</f>
        <v>No Line</v>
      </c>
      <c r="K15" t="str">
        <f>IFERROR(__xludf.DUMMYFUNCTION("""COMPUTED_VALUE"""),"Undrafted")</f>
        <v>Undrafted</v>
      </c>
      <c r="L15">
        <f>IFERROR(__xludf.DUMMYFUNCTION("""COMPUTED_VALUE"""),9999.0)</f>
        <v>9999</v>
      </c>
      <c r="M15" s="124">
        <v>0.0</v>
      </c>
    </row>
    <row r="16">
      <c r="A16" s="151">
        <f>IFERROR(__xludf.DUMMYFUNCTION("""COMPUTED_VALUE"""),43702.27976414352)</f>
        <v>43702.27976</v>
      </c>
      <c r="B16" t="str">
        <f>IFERROR(__xludf.DUMMYFUNCTION("""COMPUTED_VALUE"""),"Nick A.")</f>
        <v>Nick A.</v>
      </c>
      <c r="C16" t="str">
        <f>IFERROR(__xludf.DUMMYFUNCTION("""COMPUTED_VALUE"""),"East Carolina")</f>
        <v>East Carolina</v>
      </c>
      <c r="D16">
        <f>IFERROR(__xludf.DUMMYFUNCTION("""COMPUTED_VALUE"""),0.0)</f>
        <v>0</v>
      </c>
      <c r="E16">
        <f>IFERROR(__xludf.DUMMYFUNCTION("""COMPUTED_VALUE"""),0.0)</f>
        <v>0</v>
      </c>
      <c r="F16" t="str">
        <f>IFERROR(__xludf.DUMMYFUNCTION("""COMPUTED_VALUE"""),"NA")</f>
        <v>NA</v>
      </c>
      <c r="G16" t="str">
        <f>IFERROR(__xludf.DUMMYFUNCTION("""COMPUTED_VALUE"""),"East Carolina at NC State ")</f>
        <v>East Carolina at NC State </v>
      </c>
      <c r="H16" t="str">
        <f>IFERROR(__xludf.DUMMYFUNCTION("""COMPUTED_VALUE"""),"SAT, AUG 31 12:00 PM ET")</f>
        <v>SAT, AUG 31 12:00 PM ET</v>
      </c>
      <c r="I16" t="str">
        <f>IFERROR(__xludf.DUMMYFUNCTION("""COMPUTED_VALUE"""),"16½")</f>
        <v>16½</v>
      </c>
      <c r="J16">
        <f>IFERROR(__xludf.DUMMYFUNCTION("""COMPUTED_VALUE"""),55.0)</f>
        <v>55</v>
      </c>
      <c r="K16" t="str">
        <f>IFERROR(__xludf.DUMMYFUNCTION("""COMPUTED_VALUE"""),"Nick G.")</f>
        <v>Nick G.</v>
      </c>
      <c r="L16">
        <f>IFERROR(__xludf.DUMMYFUNCTION("""COMPUTED_VALUE"""),9999.0)</f>
        <v>9999</v>
      </c>
      <c r="M16" s="124">
        <v>0.0</v>
      </c>
    </row>
    <row r="17">
      <c r="A17" s="151">
        <f>IFERROR(__xludf.DUMMYFUNCTION("""COMPUTED_VALUE"""),43702.27976414352)</f>
        <v>43702.27976</v>
      </c>
      <c r="B17" t="str">
        <f>IFERROR(__xludf.DUMMYFUNCTION("""COMPUTED_VALUE"""),"Nick A.")</f>
        <v>Nick A.</v>
      </c>
      <c r="C17" t="str">
        <f>IFERROR(__xludf.DUMMYFUNCTION("""COMPUTED_VALUE"""),"Old Dominion")</f>
        <v>Old Dominion</v>
      </c>
      <c r="D17">
        <f>IFERROR(__xludf.DUMMYFUNCTION("""COMPUTED_VALUE"""),0.0)</f>
        <v>0</v>
      </c>
      <c r="E17">
        <f>IFERROR(__xludf.DUMMYFUNCTION("""COMPUTED_VALUE"""),0.0)</f>
        <v>0</v>
      </c>
      <c r="F17" t="str">
        <f>IFERROR(__xludf.DUMMYFUNCTION("""COMPUTED_VALUE"""),"NA")</f>
        <v>NA</v>
      </c>
      <c r="G17" t="str">
        <f>IFERROR(__xludf.DUMMYFUNCTION("""COMPUTED_VALUE"""),"Norfolk State at Old Dominion ")</f>
        <v>Norfolk State at Old Dominion </v>
      </c>
      <c r="H17" t="str">
        <f>IFERROR(__xludf.DUMMYFUNCTION("""COMPUTED_VALUE"""),"SAT, AUG 31 7:00 PM ET")</f>
        <v>SAT, AUG 31 7:00 PM ET</v>
      </c>
      <c r="I17" t="str">
        <f>IFERROR(__xludf.DUMMYFUNCTION("""COMPUTED_VALUE"""),"No Line")</f>
        <v>No Line</v>
      </c>
      <c r="K17" t="str">
        <f>IFERROR(__xludf.DUMMYFUNCTION("""COMPUTED_VALUE"""),"Undrafted")</f>
        <v>Undrafted</v>
      </c>
      <c r="L17">
        <f>IFERROR(__xludf.DUMMYFUNCTION("""COMPUTED_VALUE"""),9999.0)</f>
        <v>9999</v>
      </c>
      <c r="M17" s="124">
        <v>0.0</v>
      </c>
    </row>
    <row r="18">
      <c r="A18" s="151">
        <f>IFERROR(__xludf.DUMMYFUNCTION("""COMPUTED_VALUE"""),43702.27976414352)</f>
        <v>43702.27976</v>
      </c>
      <c r="B18" t="str">
        <f>IFERROR(__xludf.DUMMYFUNCTION("""COMPUTED_VALUE"""),"Nick A.")</f>
        <v>Nick A.</v>
      </c>
      <c r="C18" t="str">
        <f>IFERROR(__xludf.DUMMYFUNCTION("""COMPUTED_VALUE"""),"LSU")</f>
        <v>LSU</v>
      </c>
      <c r="D18">
        <f>IFERROR(__xludf.DUMMYFUNCTION("""COMPUTED_VALUE"""),0.0)</f>
        <v>0</v>
      </c>
      <c r="E18">
        <f>IFERROR(__xludf.DUMMYFUNCTION("""COMPUTED_VALUE"""),0.0)</f>
        <v>0</v>
      </c>
      <c r="F18" t="str">
        <f>IFERROR(__xludf.DUMMYFUNCTION("""COMPUTED_VALUE"""),"NA")</f>
        <v>NA</v>
      </c>
      <c r="G18" t="str">
        <f>IFERROR(__xludf.DUMMYFUNCTION("""COMPUTED_VALUE"""),"Georgia Southern at (6) LSU ")</f>
        <v>Georgia Southern at (6) LSU </v>
      </c>
      <c r="H18" t="str">
        <f>IFERROR(__xludf.DUMMYFUNCTION("""COMPUTED_VALUE"""),"SAT, AUG 31 7:30 PM ET")</f>
        <v>SAT, AUG 31 7:30 PM ET</v>
      </c>
      <c r="I18">
        <f>IFERROR(__xludf.DUMMYFUNCTION("""COMPUTED_VALUE"""),-28.0)</f>
        <v>-28</v>
      </c>
      <c r="J18" t="str">
        <f>IFERROR(__xludf.DUMMYFUNCTION("""COMPUTED_VALUE"""),"53½")</f>
        <v>53½</v>
      </c>
      <c r="K18" t="str">
        <f>IFERROR(__xludf.DUMMYFUNCTION("""COMPUTED_VALUE"""),"Janice/Mike")</f>
        <v>Janice/Mike</v>
      </c>
      <c r="L18">
        <f>IFERROR(__xludf.DUMMYFUNCTION("""COMPUTED_VALUE"""),9999.0)</f>
        <v>9999</v>
      </c>
      <c r="M18" s="124">
        <v>0.0</v>
      </c>
    </row>
    <row r="19">
      <c r="A19" s="151">
        <f>IFERROR(__xludf.DUMMYFUNCTION("""COMPUTED_VALUE"""),43702.27976414352)</f>
        <v>43702.27976</v>
      </c>
      <c r="B19" t="str">
        <f>IFERROR(__xludf.DUMMYFUNCTION("""COMPUTED_VALUE"""),"Nick A.")</f>
        <v>Nick A.</v>
      </c>
      <c r="C19" t="str">
        <f>IFERROR(__xludf.DUMMYFUNCTION("""COMPUTED_VALUE"""),"San Diego State")</f>
        <v>San Diego State</v>
      </c>
      <c r="D19">
        <f>IFERROR(__xludf.DUMMYFUNCTION("""COMPUTED_VALUE"""),0.0)</f>
        <v>0</v>
      </c>
      <c r="E19">
        <f>IFERROR(__xludf.DUMMYFUNCTION("""COMPUTED_VALUE"""),0.0)</f>
        <v>0</v>
      </c>
      <c r="F19" t="str">
        <f>IFERROR(__xludf.DUMMYFUNCTION("""COMPUTED_VALUE"""),"NA")</f>
        <v>NA</v>
      </c>
      <c r="G19" t="str">
        <f>IFERROR(__xludf.DUMMYFUNCTION("""COMPUTED_VALUE"""),"Weber State at San Diego State ")</f>
        <v>Weber State at San Diego State </v>
      </c>
      <c r="H19" t="str">
        <f>IFERROR(__xludf.DUMMYFUNCTION("""COMPUTED_VALUE"""),"SAT, AUG 31 9:00 PM ET")</f>
        <v>SAT, AUG 31 9:00 PM ET</v>
      </c>
      <c r="I19" t="str">
        <f>IFERROR(__xludf.DUMMYFUNCTION("""COMPUTED_VALUE"""),"No Line")</f>
        <v>No Line</v>
      </c>
      <c r="K19" t="str">
        <f>IFERROR(__xludf.DUMMYFUNCTION("""COMPUTED_VALUE"""),"Undrafted")</f>
        <v>Undrafted</v>
      </c>
      <c r="L19">
        <f>IFERROR(__xludf.DUMMYFUNCTION("""COMPUTED_VALUE"""),9999.0)</f>
        <v>9999</v>
      </c>
      <c r="M19" s="124">
        <v>0.0</v>
      </c>
    </row>
    <row r="20">
      <c r="A20" s="151">
        <f>IFERROR(__xludf.DUMMYFUNCTION("""COMPUTED_VALUE"""),43702.27976414352)</f>
        <v>43702.27976</v>
      </c>
      <c r="B20" t="str">
        <f>IFERROR(__xludf.DUMMYFUNCTION("""COMPUTED_VALUE"""),"Nick A.")</f>
        <v>Nick A.</v>
      </c>
      <c r="C20" t="str">
        <f>IFERROR(__xludf.DUMMYFUNCTION("""COMPUTED_VALUE"""),"Washington State")</f>
        <v>Washington State</v>
      </c>
      <c r="D20">
        <f>IFERROR(__xludf.DUMMYFUNCTION("""COMPUTED_VALUE"""),0.0)</f>
        <v>0</v>
      </c>
      <c r="E20">
        <f>IFERROR(__xludf.DUMMYFUNCTION("""COMPUTED_VALUE"""),0.0)</f>
        <v>0</v>
      </c>
      <c r="F20" t="str">
        <f>IFERROR(__xludf.DUMMYFUNCTION("""COMPUTED_VALUE"""),"NA")</f>
        <v>NA</v>
      </c>
      <c r="G20" t="str">
        <f>IFERROR(__xludf.DUMMYFUNCTION("""COMPUTED_VALUE"""),"New Mexico State at (21) Washington State ")</f>
        <v>New Mexico State at (21) Washington State </v>
      </c>
      <c r="H20" t="str">
        <f>IFERROR(__xludf.DUMMYFUNCTION("""COMPUTED_VALUE"""),"SAT, AUG 31 10:00 PM ET")</f>
        <v>SAT, AUG 31 10:00 PM ET</v>
      </c>
      <c r="I20">
        <f>IFERROR(__xludf.DUMMYFUNCTION("""COMPUTED_VALUE"""),-32.0)</f>
        <v>-32</v>
      </c>
      <c r="J20" t="str">
        <f>IFERROR(__xludf.DUMMYFUNCTION("""COMPUTED_VALUE"""),"64½")</f>
        <v>64½</v>
      </c>
      <c r="K20" t="str">
        <f>IFERROR(__xludf.DUMMYFUNCTION("""COMPUTED_VALUE"""),"Nick A.")</f>
        <v>Nick A.</v>
      </c>
      <c r="L20">
        <f>IFERROR(__xludf.DUMMYFUNCTION("""COMPUTED_VALUE"""),9999.0)</f>
        <v>9999</v>
      </c>
      <c r="M20" s="124">
        <v>0.0</v>
      </c>
    </row>
    <row r="21">
      <c r="A21" s="151">
        <f>IFERROR(__xludf.DUMMYFUNCTION("""COMPUTED_VALUE"""),43702.27976414352)</f>
        <v>43702.27976</v>
      </c>
      <c r="B21" t="str">
        <f>IFERROR(__xludf.DUMMYFUNCTION("""COMPUTED_VALUE"""),"Nick A.")</f>
        <v>Nick A.</v>
      </c>
      <c r="C21" t="str">
        <f>IFERROR(__xludf.DUMMYFUNCTION("""COMPUTED_VALUE"""),"New Mexico State")</f>
        <v>New Mexico State</v>
      </c>
      <c r="D21">
        <f>IFERROR(__xludf.DUMMYFUNCTION("""COMPUTED_VALUE"""),0.0)</f>
        <v>0</v>
      </c>
      <c r="E21">
        <f>IFERROR(__xludf.DUMMYFUNCTION("""COMPUTED_VALUE"""),0.0)</f>
        <v>0</v>
      </c>
      <c r="F21" t="str">
        <f>IFERROR(__xludf.DUMMYFUNCTION("""COMPUTED_VALUE"""),"NA")</f>
        <v>NA</v>
      </c>
      <c r="G21" t="str">
        <f>IFERROR(__xludf.DUMMYFUNCTION("""COMPUTED_VALUE"""),"New Mexico State at (21) Washington State ")</f>
        <v>New Mexico State at (21) Washington State </v>
      </c>
      <c r="H21" t="str">
        <f>IFERROR(__xludf.DUMMYFUNCTION("""COMPUTED_VALUE"""),"SAT, AUG 31 10:00 PM ET")</f>
        <v>SAT, AUG 31 10:00 PM ET</v>
      </c>
      <c r="I21">
        <f>IFERROR(__xludf.DUMMYFUNCTION("""COMPUTED_VALUE"""),32.0)</f>
        <v>32</v>
      </c>
      <c r="J21" t="str">
        <f>IFERROR(__xludf.DUMMYFUNCTION("""COMPUTED_VALUE"""),"64½")</f>
        <v>64½</v>
      </c>
      <c r="K21" t="str">
        <f>IFERROR(__xludf.DUMMYFUNCTION("""COMPUTED_VALUE"""),"Nick A.")</f>
        <v>Nick A.</v>
      </c>
      <c r="L21">
        <f>IFERROR(__xludf.DUMMYFUNCTION("""COMPUTED_VALUE"""),9999.0)</f>
        <v>9999</v>
      </c>
      <c r="M21" s="124">
        <v>0.0</v>
      </c>
    </row>
    <row r="22">
      <c r="A22" s="151">
        <f>IFERROR(__xludf.DUMMYFUNCTION("""COMPUTED_VALUE"""),43702.27976414352)</f>
        <v>43702.27976</v>
      </c>
      <c r="B22" t="str">
        <f>IFERROR(__xludf.DUMMYFUNCTION("""COMPUTED_VALUE"""),"Gary")</f>
        <v>Gary</v>
      </c>
      <c r="C22" t="str">
        <f>IFERROR(__xludf.DUMMYFUNCTION("""COMPUTED_VALUE"""),"UCLA")</f>
        <v>UCLA</v>
      </c>
      <c r="D22">
        <f>IFERROR(__xludf.DUMMYFUNCTION("""COMPUTED_VALUE"""),0.0)</f>
        <v>0</v>
      </c>
      <c r="E22">
        <f>IFERROR(__xludf.DUMMYFUNCTION("""COMPUTED_VALUE"""),0.0)</f>
        <v>0</v>
      </c>
      <c r="F22" t="str">
        <f>IFERROR(__xludf.DUMMYFUNCTION("""COMPUTED_VALUE"""),"NA")</f>
        <v>NA</v>
      </c>
      <c r="G22" t="str">
        <f>IFERROR(__xludf.DUMMYFUNCTION("""COMPUTED_VALUE"""),"UCLA at Cincinnati ")</f>
        <v>UCLA at Cincinnati </v>
      </c>
      <c r="H22" t="str">
        <f>IFERROR(__xludf.DUMMYFUNCTION("""COMPUTED_VALUE"""),"THU, AUG 29 7:00 PM ET")</f>
        <v>THU, AUG 29 7:00 PM ET</v>
      </c>
      <c r="I22">
        <f>IFERROR(__xludf.DUMMYFUNCTION("""COMPUTED_VALUE"""),3.0)</f>
        <v>3</v>
      </c>
      <c r="J22" t="str">
        <f>IFERROR(__xludf.DUMMYFUNCTION("""COMPUTED_VALUE"""),"60½")</f>
        <v>60½</v>
      </c>
      <c r="K22" t="str">
        <f>IFERROR(__xludf.DUMMYFUNCTION("""COMPUTED_VALUE"""),"Vu")</f>
        <v>Vu</v>
      </c>
      <c r="L22">
        <f>IFERROR(__xludf.DUMMYFUNCTION("""COMPUTED_VALUE"""),9999.0)</f>
        <v>9999</v>
      </c>
      <c r="M22" s="124">
        <v>0.0</v>
      </c>
    </row>
    <row r="23">
      <c r="A23" s="151">
        <f>IFERROR(__xludf.DUMMYFUNCTION("""COMPUTED_VALUE"""),43702.27976414352)</f>
        <v>43702.27976</v>
      </c>
      <c r="B23" t="str">
        <f>IFERROR(__xludf.DUMMYFUNCTION("""COMPUTED_VALUE"""),"Gary")</f>
        <v>Gary</v>
      </c>
      <c r="C23" t="str">
        <f>IFERROR(__xludf.DUMMYFUNCTION("""COMPUTED_VALUE"""),"Tulane")</f>
        <v>Tulane</v>
      </c>
      <c r="D23">
        <f>IFERROR(__xludf.DUMMYFUNCTION("""COMPUTED_VALUE"""),0.0)</f>
        <v>0</v>
      </c>
      <c r="E23">
        <f>IFERROR(__xludf.DUMMYFUNCTION("""COMPUTED_VALUE"""),0.0)</f>
        <v>0</v>
      </c>
      <c r="F23" t="str">
        <f>IFERROR(__xludf.DUMMYFUNCTION("""COMPUTED_VALUE"""),"NA")</f>
        <v>NA</v>
      </c>
      <c r="G23" t="str">
        <f>IFERROR(__xludf.DUMMYFUNCTION("""COMPUTED_VALUE"""),"Florida Intl at Tulane ")</f>
        <v>Florida Intl at Tulane </v>
      </c>
      <c r="H23" t="str">
        <f>IFERROR(__xludf.DUMMYFUNCTION("""COMPUTED_VALUE"""),"THU, AUG 29 8:00 PM ET")</f>
        <v>THU, AUG 29 8:00 PM ET</v>
      </c>
      <c r="I23">
        <f>IFERROR(__xludf.DUMMYFUNCTION("""COMPUTED_VALUE"""),-2.0)</f>
        <v>-2</v>
      </c>
      <c r="J23">
        <f>IFERROR(__xludf.DUMMYFUNCTION("""COMPUTED_VALUE"""),57.0)</f>
        <v>57</v>
      </c>
      <c r="K23" t="str">
        <f>IFERROR(__xludf.DUMMYFUNCTION("""COMPUTED_VALUE"""),"Adam")</f>
        <v>Adam</v>
      </c>
      <c r="L23">
        <f>IFERROR(__xludf.DUMMYFUNCTION("""COMPUTED_VALUE"""),9999.0)</f>
        <v>9999</v>
      </c>
      <c r="M23" s="124">
        <v>0.0</v>
      </c>
    </row>
    <row r="24">
      <c r="A24" s="151">
        <f>IFERROR(__xludf.DUMMYFUNCTION("""COMPUTED_VALUE"""),43702.27976414352)</f>
        <v>43702.27976</v>
      </c>
      <c r="B24" t="str">
        <f>IFERROR(__xludf.DUMMYFUNCTION("""COMPUTED_VALUE"""),"Gary")</f>
        <v>Gary</v>
      </c>
      <c r="C24" t="str">
        <f>IFERROR(__xludf.DUMMYFUNCTION("""COMPUTED_VALUE"""),"BYU")</f>
        <v>BYU</v>
      </c>
      <c r="D24">
        <f>IFERROR(__xludf.DUMMYFUNCTION("""COMPUTED_VALUE"""),0.0)</f>
        <v>0</v>
      </c>
      <c r="E24">
        <f>IFERROR(__xludf.DUMMYFUNCTION("""COMPUTED_VALUE"""),0.0)</f>
        <v>0</v>
      </c>
      <c r="F24" t="str">
        <f>IFERROR(__xludf.DUMMYFUNCTION("""COMPUTED_VALUE"""),"NA")</f>
        <v>NA</v>
      </c>
      <c r="G24" t="str">
        <f>IFERROR(__xludf.DUMMYFUNCTION("""COMPUTED_VALUE"""),"(15) Utah at BYU ")</f>
        <v>(15) Utah at BYU </v>
      </c>
      <c r="H24" t="str">
        <f>IFERROR(__xludf.DUMMYFUNCTION("""COMPUTED_VALUE"""),"THU, AUG 29 10:15 PM ET")</f>
        <v>THU, AUG 29 10:15 PM ET</v>
      </c>
      <c r="I24">
        <f>IFERROR(__xludf.DUMMYFUNCTION("""COMPUTED_VALUE"""),5.0)</f>
        <v>5</v>
      </c>
      <c r="J24">
        <f>IFERROR(__xludf.DUMMYFUNCTION("""COMPUTED_VALUE"""),48.0)</f>
        <v>48</v>
      </c>
      <c r="K24" t="str">
        <f>IFERROR(__xludf.DUMMYFUNCTION("""COMPUTED_VALUE"""),"Brad")</f>
        <v>Brad</v>
      </c>
      <c r="L24">
        <f>IFERROR(__xludf.DUMMYFUNCTION("""COMPUTED_VALUE"""),9999.0)</f>
        <v>9999</v>
      </c>
      <c r="M24" s="124">
        <v>0.0</v>
      </c>
    </row>
    <row r="25">
      <c r="A25" s="151">
        <f>IFERROR(__xludf.DUMMYFUNCTION("""COMPUTED_VALUE"""),43702.27976414352)</f>
        <v>43702.27976</v>
      </c>
      <c r="B25" t="str">
        <f>IFERROR(__xludf.DUMMYFUNCTION("""COMPUTED_VALUE"""),"Gary")</f>
        <v>Gary</v>
      </c>
      <c r="C25" t="str">
        <f>IFERROR(__xludf.DUMMYFUNCTION("""COMPUTED_VALUE"""),"Utah State")</f>
        <v>Utah State</v>
      </c>
      <c r="D25">
        <f>IFERROR(__xludf.DUMMYFUNCTION("""COMPUTED_VALUE"""),0.0)</f>
        <v>0</v>
      </c>
      <c r="E25">
        <f>IFERROR(__xludf.DUMMYFUNCTION("""COMPUTED_VALUE"""),0.0)</f>
        <v>0</v>
      </c>
      <c r="F25" t="str">
        <f>IFERROR(__xludf.DUMMYFUNCTION("""COMPUTED_VALUE"""),"NA")</f>
        <v>NA</v>
      </c>
      <c r="G25" t="str">
        <f>IFERROR(__xludf.DUMMYFUNCTION("""COMPUTED_VALUE"""),"Utah State at Wake Forest ")</f>
        <v>Utah State at Wake Forest </v>
      </c>
      <c r="H25" t="str">
        <f>IFERROR(__xludf.DUMMYFUNCTION("""COMPUTED_VALUE"""),"FRI, AUG 30 8:00 PM ET")</f>
        <v>FRI, AUG 30 8:00 PM ET</v>
      </c>
      <c r="I25" t="str">
        <f>IFERROR(__xludf.DUMMYFUNCTION("""COMPUTED_VALUE"""),"3½")</f>
        <v>3½</v>
      </c>
      <c r="J25" t="str">
        <f>IFERROR(__xludf.DUMMYFUNCTION("""COMPUTED_VALUE"""),"63½")</f>
        <v>63½</v>
      </c>
      <c r="K25" t="str">
        <f>IFERROR(__xludf.DUMMYFUNCTION("""COMPUTED_VALUE"""),"Adam")</f>
        <v>Adam</v>
      </c>
      <c r="L25">
        <f>IFERROR(__xludf.DUMMYFUNCTION("""COMPUTED_VALUE"""),9999.0)</f>
        <v>9999</v>
      </c>
      <c r="M25" s="124">
        <v>0.0</v>
      </c>
    </row>
    <row r="26">
      <c r="A26" s="151">
        <f>IFERROR(__xludf.DUMMYFUNCTION("""COMPUTED_VALUE"""),43702.27976414352)</f>
        <v>43702.27976</v>
      </c>
      <c r="B26" t="str">
        <f>IFERROR(__xludf.DUMMYFUNCTION("""COMPUTED_VALUE"""),"Gary")</f>
        <v>Gary</v>
      </c>
      <c r="C26" t="str">
        <f>IFERROR(__xludf.DUMMYFUNCTION("""COMPUTED_VALUE"""),"Maryland")</f>
        <v>Maryland</v>
      </c>
      <c r="D26">
        <f>IFERROR(__xludf.DUMMYFUNCTION("""COMPUTED_VALUE"""),0.0)</f>
        <v>0</v>
      </c>
      <c r="E26">
        <f>IFERROR(__xludf.DUMMYFUNCTION("""COMPUTED_VALUE"""),0.0)</f>
        <v>0</v>
      </c>
      <c r="F26" t="str">
        <f>IFERROR(__xludf.DUMMYFUNCTION("""COMPUTED_VALUE"""),"NA")</f>
        <v>NA</v>
      </c>
      <c r="G26" t="str">
        <f>IFERROR(__xludf.DUMMYFUNCTION("""COMPUTED_VALUE"""),"Howard at Maryland ")</f>
        <v>Howard at Maryland </v>
      </c>
      <c r="H26" t="str">
        <f>IFERROR(__xludf.DUMMYFUNCTION("""COMPUTED_VALUE"""),"SAT, AUG 31 12:00 PM ET")</f>
        <v>SAT, AUG 31 12:00 PM ET</v>
      </c>
      <c r="I26" t="str">
        <f>IFERROR(__xludf.DUMMYFUNCTION("""COMPUTED_VALUE"""),"No Line")</f>
        <v>No Line</v>
      </c>
      <c r="K26" t="str">
        <f>IFERROR(__xludf.DUMMYFUNCTION("""COMPUTED_VALUE"""),"Undrafted")</f>
        <v>Undrafted</v>
      </c>
      <c r="L26">
        <f>IFERROR(__xludf.DUMMYFUNCTION("""COMPUTED_VALUE"""),9999.0)</f>
        <v>9999</v>
      </c>
      <c r="M26" s="124">
        <v>0.0</v>
      </c>
    </row>
    <row r="27">
      <c r="A27" s="151">
        <f>IFERROR(__xludf.DUMMYFUNCTION("""COMPUTED_VALUE"""),43702.27976414352)</f>
        <v>43702.27976</v>
      </c>
      <c r="B27" t="str">
        <f>IFERROR(__xludf.DUMMYFUNCTION("""COMPUTED_VALUE"""),"Gary")</f>
        <v>Gary</v>
      </c>
      <c r="C27" t="str">
        <f>IFERROR(__xludf.DUMMYFUNCTION("""COMPUTED_VALUE"""),"UL Lafayette")</f>
        <v>UL Lafayette</v>
      </c>
      <c r="D27">
        <f>IFERROR(__xludf.DUMMYFUNCTION("""COMPUTED_VALUE"""),0.0)</f>
        <v>0</v>
      </c>
      <c r="E27">
        <f>IFERROR(__xludf.DUMMYFUNCTION("""COMPUTED_VALUE"""),0.0)</f>
        <v>0</v>
      </c>
      <c r="F27" t="str">
        <f>IFERROR(__xludf.DUMMYFUNCTION("""COMPUTED_VALUE"""),"NA")</f>
        <v>NA</v>
      </c>
      <c r="G27" t="str">
        <f>IFERROR(__xludf.DUMMYFUNCTION("""COMPUTED_VALUE"""),"Mississippi State at UL Lafayette ")</f>
        <v>Mississippi State at UL Lafayette </v>
      </c>
      <c r="H27" t="str">
        <f>IFERROR(__xludf.DUMMYFUNCTION("""COMPUTED_VALUE"""),"SAT, AUG 31 12:00 PM ET")</f>
        <v>SAT, AUG 31 12:00 PM ET</v>
      </c>
      <c r="I27">
        <f>IFERROR(__xludf.DUMMYFUNCTION("""COMPUTED_VALUE"""),21.0)</f>
        <v>21</v>
      </c>
      <c r="J27" t="str">
        <f>IFERROR(__xludf.DUMMYFUNCTION("""COMPUTED_VALUE"""),"57½")</f>
        <v>57½</v>
      </c>
      <c r="K27" t="str">
        <f>IFERROR(__xludf.DUMMYFUNCTION("""COMPUTED_VALUE"""),"Jeannine")</f>
        <v>Jeannine</v>
      </c>
      <c r="L27">
        <f>IFERROR(__xludf.DUMMYFUNCTION("""COMPUTED_VALUE"""),9999.0)</f>
        <v>9999</v>
      </c>
      <c r="M27" s="124">
        <v>0.0</v>
      </c>
    </row>
    <row r="28">
      <c r="A28" s="151">
        <f>IFERROR(__xludf.DUMMYFUNCTION("""COMPUTED_VALUE"""),43702.27976414352)</f>
        <v>43702.27976</v>
      </c>
      <c r="B28" t="str">
        <f>IFERROR(__xludf.DUMMYFUNCTION("""COMPUTED_VALUE"""),"Gary")</f>
        <v>Gary</v>
      </c>
      <c r="C28" t="str">
        <f>IFERROR(__xludf.DUMMYFUNCTION("""COMPUTED_VALUE"""),"Ohio")</f>
        <v>Ohio</v>
      </c>
      <c r="D28">
        <f>IFERROR(__xludf.DUMMYFUNCTION("""COMPUTED_VALUE"""),0.0)</f>
        <v>0</v>
      </c>
      <c r="E28">
        <f>IFERROR(__xludf.DUMMYFUNCTION("""COMPUTED_VALUE"""),0.0)</f>
        <v>0</v>
      </c>
      <c r="F28" t="str">
        <f>IFERROR(__xludf.DUMMYFUNCTION("""COMPUTED_VALUE"""),"NA")</f>
        <v>NA</v>
      </c>
      <c r="G28" t="str">
        <f>IFERROR(__xludf.DUMMYFUNCTION("""COMPUTED_VALUE"""),"Rhode Island at Ohio ")</f>
        <v>Rhode Island at Ohio </v>
      </c>
      <c r="H28" t="str">
        <f>IFERROR(__xludf.DUMMYFUNCTION("""COMPUTED_VALUE"""),"SAT, AUG 31 2:00 PM ET")</f>
        <v>SAT, AUG 31 2:00 PM ET</v>
      </c>
      <c r="I28" t="str">
        <f>IFERROR(__xludf.DUMMYFUNCTION("""COMPUTED_VALUE"""),"No Line")</f>
        <v>No Line</v>
      </c>
      <c r="K28" t="str">
        <f>IFERROR(__xludf.DUMMYFUNCTION("""COMPUTED_VALUE"""),"Undrafted")</f>
        <v>Undrafted</v>
      </c>
      <c r="L28">
        <f>IFERROR(__xludf.DUMMYFUNCTION("""COMPUTED_VALUE"""),9999.0)</f>
        <v>9999</v>
      </c>
      <c r="M28" s="124">
        <v>0.0</v>
      </c>
    </row>
    <row r="29">
      <c r="A29" s="151">
        <f>IFERROR(__xludf.DUMMYFUNCTION("""COMPUTED_VALUE"""),43702.27976414352)</f>
        <v>43702.27976</v>
      </c>
      <c r="B29" t="str">
        <f>IFERROR(__xludf.DUMMYFUNCTION("""COMPUTED_VALUE"""),"Gary")</f>
        <v>Gary</v>
      </c>
      <c r="C29" t="str">
        <f>IFERROR(__xludf.DUMMYFUNCTION("""COMPUTED_VALUE"""),"Marshall")</f>
        <v>Marshall</v>
      </c>
      <c r="D29">
        <f>IFERROR(__xludf.DUMMYFUNCTION("""COMPUTED_VALUE"""),0.0)</f>
        <v>0</v>
      </c>
      <c r="E29">
        <f>IFERROR(__xludf.DUMMYFUNCTION("""COMPUTED_VALUE"""),0.0)</f>
        <v>0</v>
      </c>
      <c r="F29" t="str">
        <f>IFERROR(__xludf.DUMMYFUNCTION("""COMPUTED_VALUE"""),"NA")</f>
        <v>NA</v>
      </c>
      <c r="G29" t="str">
        <f>IFERROR(__xludf.DUMMYFUNCTION("""COMPUTED_VALUE"""),"VMI at Marshall ")</f>
        <v>VMI at Marshall </v>
      </c>
      <c r="H29" t="str">
        <f>IFERROR(__xludf.DUMMYFUNCTION("""COMPUTED_VALUE"""),"SAT, AUG 31 6:30 PM ET")</f>
        <v>SAT, AUG 31 6:30 PM ET</v>
      </c>
      <c r="I29" t="str">
        <f>IFERROR(__xludf.DUMMYFUNCTION("""COMPUTED_VALUE"""),"No Line")</f>
        <v>No Line</v>
      </c>
      <c r="K29" t="str">
        <f>IFERROR(__xludf.DUMMYFUNCTION("""COMPUTED_VALUE"""),"Undrafted")</f>
        <v>Undrafted</v>
      </c>
      <c r="L29">
        <f>IFERROR(__xludf.DUMMYFUNCTION("""COMPUTED_VALUE"""),9999.0)</f>
        <v>9999</v>
      </c>
      <c r="M29" s="124">
        <v>0.0</v>
      </c>
    </row>
    <row r="30">
      <c r="A30" s="151">
        <f>IFERROR(__xludf.DUMMYFUNCTION("""COMPUTED_VALUE"""),43702.27976414352)</f>
        <v>43702.27976</v>
      </c>
      <c r="B30" t="str">
        <f>IFERROR(__xludf.DUMMYFUNCTION("""COMPUTED_VALUE"""),"Gary")</f>
        <v>Gary</v>
      </c>
      <c r="C30" t="str">
        <f>IFERROR(__xludf.DUMMYFUNCTION("""COMPUTED_VALUE"""),"Missouri")</f>
        <v>Missouri</v>
      </c>
      <c r="D30">
        <f>IFERROR(__xludf.DUMMYFUNCTION("""COMPUTED_VALUE"""),0.0)</f>
        <v>0</v>
      </c>
      <c r="E30">
        <f>IFERROR(__xludf.DUMMYFUNCTION("""COMPUTED_VALUE"""),0.0)</f>
        <v>0</v>
      </c>
      <c r="F30" t="str">
        <f>IFERROR(__xludf.DUMMYFUNCTION("""COMPUTED_VALUE"""),"NA")</f>
        <v>NA</v>
      </c>
      <c r="G30" t="str">
        <f>IFERROR(__xludf.DUMMYFUNCTION("""COMPUTED_VALUE"""),"Missouri at Wyoming ")</f>
        <v>Missouri at Wyoming </v>
      </c>
      <c r="H30" t="str">
        <f>IFERROR(__xludf.DUMMYFUNCTION("""COMPUTED_VALUE"""),"SAT, AUG 31 7:30 PM ET")</f>
        <v>SAT, AUG 31 7:30 PM ET</v>
      </c>
      <c r="I30" t="str">
        <f>IFERROR(__xludf.DUMMYFUNCTION("""COMPUTED_VALUE"""),"-17½")</f>
        <v>-17½</v>
      </c>
      <c r="J30" t="str">
        <f>IFERROR(__xludf.DUMMYFUNCTION("""COMPUTED_VALUE"""),"54½")</f>
        <v>54½</v>
      </c>
      <c r="K30" t="str">
        <f>IFERROR(__xludf.DUMMYFUNCTION("""COMPUTED_VALUE"""),"Nick G.")</f>
        <v>Nick G.</v>
      </c>
      <c r="L30">
        <f>IFERROR(__xludf.DUMMYFUNCTION("""COMPUTED_VALUE"""),9999.0)</f>
        <v>9999</v>
      </c>
      <c r="M30" s="124">
        <v>0.0</v>
      </c>
    </row>
    <row r="31">
      <c r="A31" s="151">
        <f>IFERROR(__xludf.DUMMYFUNCTION("""COMPUTED_VALUE"""),43702.27976414352)</f>
        <v>43702.27976</v>
      </c>
      <c r="B31" t="str">
        <f>IFERROR(__xludf.DUMMYFUNCTION("""COMPUTED_VALUE"""),"Gary")</f>
        <v>Gary</v>
      </c>
      <c r="C31" t="str">
        <f>IFERROR(__xludf.DUMMYFUNCTION("""COMPUTED_VALUE"""),"Pittsburgh")</f>
        <v>Pittsburgh</v>
      </c>
      <c r="D31">
        <f>IFERROR(__xludf.DUMMYFUNCTION("""COMPUTED_VALUE"""),0.0)</f>
        <v>0</v>
      </c>
      <c r="E31">
        <f>IFERROR(__xludf.DUMMYFUNCTION("""COMPUTED_VALUE"""),0.0)</f>
        <v>0</v>
      </c>
      <c r="F31" t="str">
        <f>IFERROR(__xludf.DUMMYFUNCTION("""COMPUTED_VALUE"""),"NA")</f>
        <v>NA</v>
      </c>
      <c r="G31" t="str">
        <f>IFERROR(__xludf.DUMMYFUNCTION("""COMPUTED_VALUE"""),"Virginia at Pittsburgh ")</f>
        <v>Virginia at Pittsburgh </v>
      </c>
      <c r="H31" t="str">
        <f>IFERROR(__xludf.DUMMYFUNCTION("""COMPUTED_VALUE"""),"SAT, AUG 31 7:30 PM ET")</f>
        <v>SAT, AUG 31 7:30 PM ET</v>
      </c>
      <c r="I31" t="str">
        <f>IFERROR(__xludf.DUMMYFUNCTION("""COMPUTED_VALUE"""),"2½")</f>
        <v>2½</v>
      </c>
      <c r="J31">
        <f>IFERROR(__xludf.DUMMYFUNCTION("""COMPUTED_VALUE"""),46.0)</f>
        <v>46</v>
      </c>
      <c r="K31" t="str">
        <f>IFERROR(__xludf.DUMMYFUNCTION("""COMPUTED_VALUE"""),"Jeannine")</f>
        <v>Jeannine</v>
      </c>
      <c r="L31">
        <f>IFERROR(__xludf.DUMMYFUNCTION("""COMPUTED_VALUE"""),9999.0)</f>
        <v>9999</v>
      </c>
      <c r="M31" s="124">
        <v>0.0</v>
      </c>
    </row>
    <row r="32">
      <c r="A32" s="151">
        <f>IFERROR(__xludf.DUMMYFUNCTION("""COMPUTED_VALUE"""),43702.27976414352)</f>
        <v>43702.27976</v>
      </c>
      <c r="B32" t="str">
        <f>IFERROR(__xludf.DUMMYFUNCTION("""COMPUTED_VALUE"""),"Janice/Mike")</f>
        <v>Janice/Mike</v>
      </c>
      <c r="C32" t="str">
        <f>IFERROR(__xludf.DUMMYFUNCTION("""COMPUTED_VALUE"""),"Arizona")</f>
        <v>Arizona</v>
      </c>
      <c r="D32">
        <f>IFERROR(__xludf.DUMMYFUNCTION("""COMPUTED_VALUE"""),0.0)</f>
        <v>0</v>
      </c>
      <c r="E32">
        <f>IFERROR(__xludf.DUMMYFUNCTION("""COMPUTED_VALUE"""),1.0)</f>
        <v>1</v>
      </c>
      <c r="F32" t="str">
        <f>IFERROR(__xludf.DUMMYFUNCTION("""COMPUTED_VALUE"""),"CBSSN")</f>
        <v>CBSSN</v>
      </c>
      <c r="G32" t="str">
        <f>IFERROR(__xludf.DUMMYFUNCTION("""COMPUTED_VALUE"""),"Arizona 38 at Hawaii 45")</f>
        <v>Arizona 38 at Hawaii 45</v>
      </c>
      <c r="H32" t="str">
        <f>IFERROR(__xludf.DUMMYFUNCTION("""COMPUTED_VALUE"""),"FINAL")</f>
        <v>FINAL</v>
      </c>
      <c r="I32" t="str">
        <f>IFERROR(__xludf.DUMMYFUNCTION("""COMPUTED_VALUE"""),"-10½")</f>
        <v>-10½</v>
      </c>
      <c r="J32" t="str">
        <f>IFERROR(__xludf.DUMMYFUNCTION("""COMPUTED_VALUE"""),"71½")</f>
        <v>71½</v>
      </c>
      <c r="K32" t="str">
        <f>IFERROR(__xludf.DUMMYFUNCTION("""COMPUTED_VALUE"""),"Vu")</f>
        <v>Vu</v>
      </c>
      <c r="L32">
        <f>IFERROR(__xludf.DUMMYFUNCTION("""COMPUTED_VALUE"""),9999.0)</f>
        <v>9999</v>
      </c>
      <c r="M32" s="124">
        <v>0.0</v>
      </c>
    </row>
    <row r="33">
      <c r="A33" s="151">
        <f>IFERROR(__xludf.DUMMYFUNCTION("""COMPUTED_VALUE"""),43702.27976414352)</f>
        <v>43702.27976</v>
      </c>
      <c r="B33" t="str">
        <f>IFERROR(__xludf.DUMMYFUNCTION("""COMPUTED_VALUE"""),"Janice/Mike")</f>
        <v>Janice/Mike</v>
      </c>
      <c r="C33" t="str">
        <f>IFERROR(__xludf.DUMMYFUNCTION("""COMPUTED_VALUE"""),"Charlotte")</f>
        <v>Charlotte</v>
      </c>
      <c r="D33">
        <f>IFERROR(__xludf.DUMMYFUNCTION("""COMPUTED_VALUE"""),0.0)</f>
        <v>0</v>
      </c>
      <c r="E33">
        <f>IFERROR(__xludf.DUMMYFUNCTION("""COMPUTED_VALUE"""),0.0)</f>
        <v>0</v>
      </c>
      <c r="F33" t="str">
        <f>IFERROR(__xludf.DUMMYFUNCTION("""COMPUTED_VALUE"""),"NA")</f>
        <v>NA</v>
      </c>
      <c r="G33" t="str">
        <f>IFERROR(__xludf.DUMMYFUNCTION("""COMPUTED_VALUE"""),"Gardner-Webb at Charlotte ")</f>
        <v>Gardner-Webb at Charlotte </v>
      </c>
      <c r="H33" t="str">
        <f>IFERROR(__xludf.DUMMYFUNCTION("""COMPUTED_VALUE"""),"THU, AUG 29 7:30 PM ET")</f>
        <v>THU, AUG 29 7:30 PM ET</v>
      </c>
      <c r="I33" t="str">
        <f>IFERROR(__xludf.DUMMYFUNCTION("""COMPUTED_VALUE"""),"-32½")</f>
        <v>-32½</v>
      </c>
      <c r="J33" t="str">
        <f>IFERROR(__xludf.DUMMYFUNCTION("""COMPUTED_VALUE"""),"54½")</f>
        <v>54½</v>
      </c>
      <c r="K33" t="str">
        <f>IFERROR(__xludf.DUMMYFUNCTION("""COMPUTED_VALUE"""),"Undrafted")</f>
        <v>Undrafted</v>
      </c>
      <c r="L33">
        <f>IFERROR(__xludf.DUMMYFUNCTION("""COMPUTED_VALUE"""),9999.0)</f>
        <v>9999</v>
      </c>
      <c r="M33" s="124">
        <v>0.0</v>
      </c>
    </row>
    <row r="34">
      <c r="A34" s="151">
        <f>IFERROR(__xludf.DUMMYFUNCTION("""COMPUTED_VALUE"""),43702.27976414352)</f>
        <v>43702.27976</v>
      </c>
      <c r="B34" t="str">
        <f>IFERROR(__xludf.DUMMYFUNCTION("""COMPUTED_VALUE"""),"Janice/Mike")</f>
        <v>Janice/Mike</v>
      </c>
      <c r="C34" t="str">
        <f>IFERROR(__xludf.DUMMYFUNCTION("""COMPUTED_VALUE"""),"Wisconsin")</f>
        <v>Wisconsin</v>
      </c>
      <c r="D34">
        <f>IFERROR(__xludf.DUMMYFUNCTION("""COMPUTED_VALUE"""),0.0)</f>
        <v>0</v>
      </c>
      <c r="E34">
        <f>IFERROR(__xludf.DUMMYFUNCTION("""COMPUTED_VALUE"""),0.0)</f>
        <v>0</v>
      </c>
      <c r="F34" t="str">
        <f>IFERROR(__xludf.DUMMYFUNCTION("""COMPUTED_VALUE"""),"NA")</f>
        <v>NA</v>
      </c>
      <c r="G34" t="str">
        <f>IFERROR(__xludf.DUMMYFUNCTION("""COMPUTED_VALUE"""),"(17) Wisconsin at South Florida ")</f>
        <v>(17) Wisconsin at South Florida </v>
      </c>
      <c r="H34" t="str">
        <f>IFERROR(__xludf.DUMMYFUNCTION("""COMPUTED_VALUE"""),"FRI, AUG 30 7:00 PM ET")</f>
        <v>FRI, AUG 30 7:00 PM ET</v>
      </c>
      <c r="I34" t="str">
        <f>IFERROR(__xludf.DUMMYFUNCTION("""COMPUTED_VALUE"""),"-13½")</f>
        <v>-13½</v>
      </c>
      <c r="J34" t="str">
        <f>IFERROR(__xludf.DUMMYFUNCTION("""COMPUTED_VALUE"""),"57½")</f>
        <v>57½</v>
      </c>
      <c r="K34" t="str">
        <f>IFERROR(__xludf.DUMMYFUNCTION("""COMPUTED_VALUE"""),"Justin")</f>
        <v>Justin</v>
      </c>
      <c r="L34">
        <f>IFERROR(__xludf.DUMMYFUNCTION("""COMPUTED_VALUE"""),9999.0)</f>
        <v>9999</v>
      </c>
      <c r="M34" s="124">
        <v>0.0</v>
      </c>
    </row>
    <row r="35">
      <c r="A35" s="151">
        <f>IFERROR(__xludf.DUMMYFUNCTION("""COMPUTED_VALUE"""),43702.27976414352)</f>
        <v>43702.27976</v>
      </c>
      <c r="B35" t="str">
        <f>IFERROR(__xludf.DUMMYFUNCTION("""COMPUTED_VALUE"""),"Janice/Mike")</f>
        <v>Janice/Mike</v>
      </c>
      <c r="C35" t="str">
        <f>IFERROR(__xludf.DUMMYFUNCTION("""COMPUTED_VALUE"""),"Navy")</f>
        <v>Navy</v>
      </c>
      <c r="D35">
        <f>IFERROR(__xludf.DUMMYFUNCTION("""COMPUTED_VALUE"""),0.0)</f>
        <v>0</v>
      </c>
      <c r="E35">
        <f>IFERROR(__xludf.DUMMYFUNCTION("""COMPUTED_VALUE"""),0.0)</f>
        <v>0</v>
      </c>
      <c r="F35" t="str">
        <f>IFERROR(__xludf.DUMMYFUNCTION("""COMPUTED_VALUE"""),"NA")</f>
        <v>NA</v>
      </c>
      <c r="G35" t="str">
        <f>IFERROR(__xludf.DUMMYFUNCTION("""COMPUTED_VALUE"""),"Holy Cross at Navy ")</f>
        <v>Holy Cross at Navy </v>
      </c>
      <c r="H35" t="str">
        <f>IFERROR(__xludf.DUMMYFUNCTION("""COMPUTED_VALUE"""),"SAT, AUG 31 3:30 PM ET")</f>
        <v>SAT, AUG 31 3:30 PM ET</v>
      </c>
      <c r="I35" t="str">
        <f>IFERROR(__xludf.DUMMYFUNCTION("""COMPUTED_VALUE"""),"No Line")</f>
        <v>No Line</v>
      </c>
      <c r="K35" t="str">
        <f>IFERROR(__xludf.DUMMYFUNCTION("""COMPUTED_VALUE"""),"Undrafted")</f>
        <v>Undrafted</v>
      </c>
      <c r="L35">
        <f>IFERROR(__xludf.DUMMYFUNCTION("""COMPUTED_VALUE"""),9999.0)</f>
        <v>9999</v>
      </c>
      <c r="M35" s="124">
        <v>0.0</v>
      </c>
    </row>
    <row r="36">
      <c r="A36" s="151">
        <f>IFERROR(__xludf.DUMMYFUNCTION("""COMPUTED_VALUE"""),43702.27976414352)</f>
        <v>43702.27976</v>
      </c>
      <c r="B36" t="str">
        <f>IFERROR(__xludf.DUMMYFUNCTION("""COMPUTED_VALUE"""),"Janice/Mike")</f>
        <v>Janice/Mike</v>
      </c>
      <c r="C36" t="str">
        <f>IFERROR(__xludf.DUMMYFUNCTION("""COMPUTED_VALUE"""),"Arkansas")</f>
        <v>Arkansas</v>
      </c>
      <c r="D36">
        <f>IFERROR(__xludf.DUMMYFUNCTION("""COMPUTED_VALUE"""),0.0)</f>
        <v>0</v>
      </c>
      <c r="E36">
        <f>IFERROR(__xludf.DUMMYFUNCTION("""COMPUTED_VALUE"""),0.0)</f>
        <v>0</v>
      </c>
      <c r="F36" t="str">
        <f>IFERROR(__xludf.DUMMYFUNCTION("""COMPUTED_VALUE"""),"NA")</f>
        <v>NA</v>
      </c>
      <c r="G36" t="str">
        <f>IFERROR(__xludf.DUMMYFUNCTION("""COMPUTED_VALUE"""),"Portland State at Arkansas ")</f>
        <v>Portland State at Arkansas </v>
      </c>
      <c r="H36" t="str">
        <f>IFERROR(__xludf.DUMMYFUNCTION("""COMPUTED_VALUE"""),"SAT, AUG 31 4:00 PM ET")</f>
        <v>SAT, AUG 31 4:00 PM ET</v>
      </c>
      <c r="I36" t="str">
        <f>IFERROR(__xludf.DUMMYFUNCTION("""COMPUTED_VALUE"""),"No Line")</f>
        <v>No Line</v>
      </c>
      <c r="K36" t="str">
        <f>IFERROR(__xludf.DUMMYFUNCTION("""COMPUTED_VALUE"""),"Undrafted")</f>
        <v>Undrafted</v>
      </c>
      <c r="L36">
        <f>IFERROR(__xludf.DUMMYFUNCTION("""COMPUTED_VALUE"""),9999.0)</f>
        <v>9999</v>
      </c>
      <c r="M36" s="124">
        <v>0.0</v>
      </c>
    </row>
    <row r="37">
      <c r="A37" s="151">
        <f>IFERROR(__xludf.DUMMYFUNCTION("""COMPUTED_VALUE"""),43702.27976414352)</f>
        <v>43702.27976</v>
      </c>
      <c r="B37" t="str">
        <f>IFERROR(__xludf.DUMMYFUNCTION("""COMPUTED_VALUE"""),"Janice/Mike")</f>
        <v>Janice/Mike</v>
      </c>
      <c r="C37" t="str">
        <f>IFERROR(__xludf.DUMMYFUNCTION("""COMPUTED_VALUE"""),"Texas Tech")</f>
        <v>Texas Tech</v>
      </c>
      <c r="D37">
        <f>IFERROR(__xludf.DUMMYFUNCTION("""COMPUTED_VALUE"""),0.0)</f>
        <v>0</v>
      </c>
      <c r="E37">
        <f>IFERROR(__xludf.DUMMYFUNCTION("""COMPUTED_VALUE"""),0.0)</f>
        <v>0</v>
      </c>
      <c r="F37" t="str">
        <f>IFERROR(__xludf.DUMMYFUNCTION("""COMPUTED_VALUE"""),"NA")</f>
        <v>NA</v>
      </c>
      <c r="G37" t="str">
        <f>IFERROR(__xludf.DUMMYFUNCTION("""COMPUTED_VALUE"""),"Montana State at Texas Tech ")</f>
        <v>Montana State at Texas Tech </v>
      </c>
      <c r="H37" t="str">
        <f>IFERROR(__xludf.DUMMYFUNCTION("""COMPUTED_VALUE"""),"SAT, AUG 31 4:00 PM ET")</f>
        <v>SAT, AUG 31 4:00 PM ET</v>
      </c>
      <c r="I37" t="str">
        <f>IFERROR(__xludf.DUMMYFUNCTION("""COMPUTED_VALUE"""),"No Line")</f>
        <v>No Line</v>
      </c>
      <c r="K37" t="str">
        <f>IFERROR(__xludf.DUMMYFUNCTION("""COMPUTED_VALUE"""),"Undrafted")</f>
        <v>Undrafted</v>
      </c>
      <c r="L37">
        <f>IFERROR(__xludf.DUMMYFUNCTION("""COMPUTED_VALUE"""),9999.0)</f>
        <v>9999</v>
      </c>
      <c r="M37" s="124">
        <v>0.0</v>
      </c>
    </row>
    <row r="38">
      <c r="A38" s="151">
        <f>IFERROR(__xludf.DUMMYFUNCTION("""COMPUTED_VALUE"""),43702.27976414352)</f>
        <v>43702.27976</v>
      </c>
      <c r="B38" t="str">
        <f>IFERROR(__xludf.DUMMYFUNCTION("""COMPUTED_VALUE"""),"Janice/Mike")</f>
        <v>Janice/Mike</v>
      </c>
      <c r="C38" t="str">
        <f>IFERROR(__xludf.DUMMYFUNCTION("""COMPUTED_VALUE"""),"Boston College")</f>
        <v>Boston College</v>
      </c>
      <c r="D38">
        <f>IFERROR(__xludf.DUMMYFUNCTION("""COMPUTED_VALUE"""),0.0)</f>
        <v>0</v>
      </c>
      <c r="E38">
        <f>IFERROR(__xludf.DUMMYFUNCTION("""COMPUTED_VALUE"""),0.0)</f>
        <v>0</v>
      </c>
      <c r="F38" t="str">
        <f>IFERROR(__xludf.DUMMYFUNCTION("""COMPUTED_VALUE"""),"NA")</f>
        <v>NA</v>
      </c>
      <c r="G38" t="str">
        <f>IFERROR(__xludf.DUMMYFUNCTION("""COMPUTED_VALUE"""),"Virginia Tech at Boston College ")</f>
        <v>Virginia Tech at Boston College </v>
      </c>
      <c r="H38" t="str">
        <f>IFERROR(__xludf.DUMMYFUNCTION("""COMPUTED_VALUE"""),"SAT, AUG 31 4:00 PM ET")</f>
        <v>SAT, AUG 31 4:00 PM ET</v>
      </c>
      <c r="I38" t="str">
        <f>IFERROR(__xludf.DUMMYFUNCTION("""COMPUTED_VALUE"""),"3½")</f>
        <v>3½</v>
      </c>
      <c r="J38">
        <f>IFERROR(__xludf.DUMMYFUNCTION("""COMPUTED_VALUE"""),57.0)</f>
        <v>57</v>
      </c>
      <c r="K38" t="str">
        <f>IFERROR(__xludf.DUMMYFUNCTION("""COMPUTED_VALUE"""),"DavEmily")</f>
        <v>DavEmily</v>
      </c>
      <c r="L38">
        <f>IFERROR(__xludf.DUMMYFUNCTION("""COMPUTED_VALUE"""),9999.0)</f>
        <v>9999</v>
      </c>
      <c r="M38" s="124">
        <v>0.0</v>
      </c>
    </row>
    <row r="39">
      <c r="A39" s="151">
        <f>IFERROR(__xludf.DUMMYFUNCTION("""COMPUTED_VALUE"""),43702.27976414352)</f>
        <v>43702.27976</v>
      </c>
      <c r="B39" t="str">
        <f>IFERROR(__xludf.DUMMYFUNCTION("""COMPUTED_VALUE"""),"Janice/Mike")</f>
        <v>Janice/Mike</v>
      </c>
      <c r="C39" t="str">
        <f>IFERROR(__xludf.DUMMYFUNCTION("""COMPUTED_VALUE"""),"Northern Illinois")</f>
        <v>Northern Illinois</v>
      </c>
      <c r="D39">
        <f>IFERROR(__xludf.DUMMYFUNCTION("""COMPUTED_VALUE"""),0.0)</f>
        <v>0</v>
      </c>
      <c r="E39">
        <f>IFERROR(__xludf.DUMMYFUNCTION("""COMPUTED_VALUE"""),0.0)</f>
        <v>0</v>
      </c>
      <c r="F39" t="str">
        <f>IFERROR(__xludf.DUMMYFUNCTION("""COMPUTED_VALUE"""),"NA")</f>
        <v>NA</v>
      </c>
      <c r="G39" t="str">
        <f>IFERROR(__xludf.DUMMYFUNCTION("""COMPUTED_VALUE"""),"Illinois State at Northern Illinois ")</f>
        <v>Illinois State at Northern Illinois </v>
      </c>
      <c r="H39" t="str">
        <f>IFERROR(__xludf.DUMMYFUNCTION("""COMPUTED_VALUE"""),"SAT, AUG 31 7:00 PM ET")</f>
        <v>SAT, AUG 31 7:00 PM ET</v>
      </c>
      <c r="I39" t="str">
        <f>IFERROR(__xludf.DUMMYFUNCTION("""COMPUTED_VALUE"""),"No Line")</f>
        <v>No Line</v>
      </c>
      <c r="K39" t="str">
        <f>IFERROR(__xludf.DUMMYFUNCTION("""COMPUTED_VALUE"""),"Undrafted")</f>
        <v>Undrafted</v>
      </c>
      <c r="L39">
        <f>IFERROR(__xludf.DUMMYFUNCTION("""COMPUTED_VALUE"""),9999.0)</f>
        <v>9999</v>
      </c>
      <c r="M39" s="124">
        <v>0.0</v>
      </c>
    </row>
    <row r="40">
      <c r="A40" s="151">
        <f>IFERROR(__xludf.DUMMYFUNCTION("""COMPUTED_VALUE"""),43702.27976414352)</f>
        <v>43702.27976</v>
      </c>
      <c r="B40" t="str">
        <f>IFERROR(__xludf.DUMMYFUNCTION("""COMPUTED_VALUE"""),"Janice/Mike")</f>
        <v>Janice/Mike</v>
      </c>
      <c r="C40" t="str">
        <f>IFERROR(__xludf.DUMMYFUNCTION("""COMPUTED_VALUE"""),"Boise State")</f>
        <v>Boise State</v>
      </c>
      <c r="D40">
        <f>IFERROR(__xludf.DUMMYFUNCTION("""COMPUTED_VALUE"""),0.0)</f>
        <v>0</v>
      </c>
      <c r="E40">
        <f>IFERROR(__xludf.DUMMYFUNCTION("""COMPUTED_VALUE"""),0.0)</f>
        <v>0</v>
      </c>
      <c r="F40" t="str">
        <f>IFERROR(__xludf.DUMMYFUNCTION("""COMPUTED_VALUE"""),"NA")</f>
        <v>NA</v>
      </c>
      <c r="G40" t="str">
        <f>IFERROR(__xludf.DUMMYFUNCTION("""COMPUTED_VALUE"""),"Boise State at Florida State ")</f>
        <v>Boise State at Florida State </v>
      </c>
      <c r="H40" t="str">
        <f>IFERROR(__xludf.DUMMYFUNCTION("""COMPUTED_VALUE"""),"SAT, AUG 31 7:00 PM ET")</f>
        <v>SAT, AUG 31 7:00 PM ET</v>
      </c>
      <c r="I40" t="str">
        <f>IFERROR(__xludf.DUMMYFUNCTION("""COMPUTED_VALUE"""),"5½")</f>
        <v>5½</v>
      </c>
      <c r="J40" t="str">
        <f>IFERROR(__xludf.DUMMYFUNCTION("""COMPUTED_VALUE"""),"53½")</f>
        <v>53½</v>
      </c>
      <c r="K40" t="str">
        <f>IFERROR(__xludf.DUMMYFUNCTION("""COMPUTED_VALUE"""),"Josh R.")</f>
        <v>Josh R.</v>
      </c>
      <c r="L40">
        <f>IFERROR(__xludf.DUMMYFUNCTION("""COMPUTED_VALUE"""),9999.0)</f>
        <v>9999</v>
      </c>
      <c r="M40" s="124">
        <v>0.0</v>
      </c>
    </row>
    <row r="41">
      <c r="A41" s="151">
        <f>IFERROR(__xludf.DUMMYFUNCTION("""COMPUTED_VALUE"""),43702.27976414352)</f>
        <v>43702.27976</v>
      </c>
      <c r="B41" t="str">
        <f>IFERROR(__xludf.DUMMYFUNCTION("""COMPUTED_VALUE"""),"Janice/Mike")</f>
        <v>Janice/Mike</v>
      </c>
      <c r="C41" t="str">
        <f>IFERROR(__xludf.DUMMYFUNCTION("""COMPUTED_VALUE"""),"Georgia Southern")</f>
        <v>Georgia Southern</v>
      </c>
      <c r="D41">
        <f>IFERROR(__xludf.DUMMYFUNCTION("""COMPUTED_VALUE"""),0.0)</f>
        <v>0</v>
      </c>
      <c r="E41">
        <f>IFERROR(__xludf.DUMMYFUNCTION("""COMPUTED_VALUE"""),0.0)</f>
        <v>0</v>
      </c>
      <c r="F41" t="str">
        <f>IFERROR(__xludf.DUMMYFUNCTION("""COMPUTED_VALUE"""),"NA")</f>
        <v>NA</v>
      </c>
      <c r="G41" t="str">
        <f>IFERROR(__xludf.DUMMYFUNCTION("""COMPUTED_VALUE"""),"Georgia Southern at (6) LSU ")</f>
        <v>Georgia Southern at (6) LSU </v>
      </c>
      <c r="H41" t="str">
        <f>IFERROR(__xludf.DUMMYFUNCTION("""COMPUTED_VALUE"""),"SAT, AUG 31 7:30 PM ET")</f>
        <v>SAT, AUG 31 7:30 PM ET</v>
      </c>
      <c r="I41">
        <f>IFERROR(__xludf.DUMMYFUNCTION("""COMPUTED_VALUE"""),28.0)</f>
        <v>28</v>
      </c>
      <c r="J41" t="str">
        <f>IFERROR(__xludf.DUMMYFUNCTION("""COMPUTED_VALUE"""),"53½")</f>
        <v>53½</v>
      </c>
      <c r="K41" t="str">
        <f>IFERROR(__xludf.DUMMYFUNCTION("""COMPUTED_VALUE"""),"Nick A.")</f>
        <v>Nick A.</v>
      </c>
      <c r="L41">
        <f>IFERROR(__xludf.DUMMYFUNCTION("""COMPUTED_VALUE"""),9999.0)</f>
        <v>9999</v>
      </c>
      <c r="M41" s="124">
        <v>0.0</v>
      </c>
    </row>
    <row r="42">
      <c r="A42" s="151">
        <f>IFERROR(__xludf.DUMMYFUNCTION("""COMPUTED_VALUE"""),43702.27976414352)</f>
        <v>43702.27976</v>
      </c>
      <c r="B42" t="str">
        <f>IFERROR(__xludf.DUMMYFUNCTION("""COMPUTED_VALUE"""),"Nico")</f>
        <v>Nico</v>
      </c>
      <c r="C42" t="str">
        <f>IFERROR(__xludf.DUMMYFUNCTION("""COMPUTED_VALUE"""),"Arizona State")</f>
        <v>Arizona State</v>
      </c>
      <c r="D42">
        <f>IFERROR(__xludf.DUMMYFUNCTION("""COMPUTED_VALUE"""),0.0)</f>
        <v>0</v>
      </c>
      <c r="E42">
        <f>IFERROR(__xludf.DUMMYFUNCTION("""COMPUTED_VALUE"""),0.0)</f>
        <v>0</v>
      </c>
      <c r="F42" t="str">
        <f>IFERROR(__xludf.DUMMYFUNCTION("""COMPUTED_VALUE"""),"NA")</f>
        <v>NA</v>
      </c>
      <c r="G42" t="str">
        <f>IFERROR(__xludf.DUMMYFUNCTION("""COMPUTED_VALUE"""),"Kent State at Arizona State ")</f>
        <v>Kent State at Arizona State </v>
      </c>
      <c r="H42" t="str">
        <f>IFERROR(__xludf.DUMMYFUNCTION("""COMPUTED_VALUE"""),"THU, AUG 29 10:00 PM ET")</f>
        <v>THU, AUG 29 10:00 PM ET</v>
      </c>
      <c r="I42">
        <f>IFERROR(__xludf.DUMMYFUNCTION("""COMPUTED_VALUE"""),-25.0)</f>
        <v>-25</v>
      </c>
      <c r="J42">
        <f>IFERROR(__xludf.DUMMYFUNCTION("""COMPUTED_VALUE"""),62.0)</f>
        <v>62</v>
      </c>
      <c r="K42" t="str">
        <f>IFERROR(__xludf.DUMMYFUNCTION("""COMPUTED_VALUE"""),"Vu")</f>
        <v>Vu</v>
      </c>
      <c r="L42">
        <f>IFERROR(__xludf.DUMMYFUNCTION("""COMPUTED_VALUE"""),9999.0)</f>
        <v>9999</v>
      </c>
      <c r="M42" s="124">
        <v>0.0</v>
      </c>
    </row>
    <row r="43">
      <c r="A43" s="151">
        <f>IFERROR(__xludf.DUMMYFUNCTION("""COMPUTED_VALUE"""),43702.27976414352)</f>
        <v>43702.27976</v>
      </c>
      <c r="B43" t="str">
        <f>IFERROR(__xludf.DUMMYFUNCTION("""COMPUTED_VALUE"""),"Nico")</f>
        <v>Nico</v>
      </c>
      <c r="C43" t="str">
        <f>IFERROR(__xludf.DUMMYFUNCTION("""COMPUTED_VALUE"""),"Purdue")</f>
        <v>Purdue</v>
      </c>
      <c r="D43">
        <f>IFERROR(__xludf.DUMMYFUNCTION("""COMPUTED_VALUE"""),0.0)</f>
        <v>0</v>
      </c>
      <c r="E43">
        <f>IFERROR(__xludf.DUMMYFUNCTION("""COMPUTED_VALUE"""),0.0)</f>
        <v>0</v>
      </c>
      <c r="F43" t="str">
        <f>IFERROR(__xludf.DUMMYFUNCTION("""COMPUTED_VALUE"""),"NA")</f>
        <v>NA</v>
      </c>
      <c r="G43" t="str">
        <f>IFERROR(__xludf.DUMMYFUNCTION("""COMPUTED_VALUE"""),"Purdue at Nevada ")</f>
        <v>Purdue at Nevada </v>
      </c>
      <c r="H43" t="str">
        <f>IFERROR(__xludf.DUMMYFUNCTION("""COMPUTED_VALUE"""),"FRI, AUG 30 9:30 PM ET")</f>
        <v>FRI, AUG 30 9:30 PM ET</v>
      </c>
      <c r="I43">
        <f>IFERROR(__xludf.DUMMYFUNCTION("""COMPUTED_VALUE"""),-10.0)</f>
        <v>-10</v>
      </c>
      <c r="J43" t="str">
        <f>IFERROR(__xludf.DUMMYFUNCTION("""COMPUTED_VALUE"""),"58½")</f>
        <v>58½</v>
      </c>
      <c r="K43" t="str">
        <f>IFERROR(__xludf.DUMMYFUNCTION("""COMPUTED_VALUE"""),"Josh R.")</f>
        <v>Josh R.</v>
      </c>
      <c r="L43">
        <f>IFERROR(__xludf.DUMMYFUNCTION("""COMPUTED_VALUE"""),9999.0)</f>
        <v>9999</v>
      </c>
      <c r="M43" s="124">
        <v>0.0</v>
      </c>
    </row>
    <row r="44">
      <c r="A44" s="151">
        <f>IFERROR(__xludf.DUMMYFUNCTION("""COMPUTED_VALUE"""),43702.27976414352)</f>
        <v>43702.27976</v>
      </c>
      <c r="B44" t="str">
        <f>IFERROR(__xludf.DUMMYFUNCTION("""COMPUTED_VALUE"""),"Nico")</f>
        <v>Nico</v>
      </c>
      <c r="C44" t="str">
        <f>IFERROR(__xludf.DUMMYFUNCTION("""COMPUTED_VALUE"""),"West Virginia")</f>
        <v>West Virginia</v>
      </c>
      <c r="D44">
        <f>IFERROR(__xludf.DUMMYFUNCTION("""COMPUTED_VALUE"""),0.0)</f>
        <v>0</v>
      </c>
      <c r="E44">
        <f>IFERROR(__xludf.DUMMYFUNCTION("""COMPUTED_VALUE"""),0.0)</f>
        <v>0</v>
      </c>
      <c r="F44" t="str">
        <f>IFERROR(__xludf.DUMMYFUNCTION("""COMPUTED_VALUE"""),"NA")</f>
        <v>NA</v>
      </c>
      <c r="G44" t="str">
        <f>IFERROR(__xludf.DUMMYFUNCTION("""COMPUTED_VALUE"""),"James Madison at West Virginia ")</f>
        <v>James Madison at West Virginia </v>
      </c>
      <c r="H44" t="str">
        <f>IFERROR(__xludf.DUMMYFUNCTION("""COMPUTED_VALUE"""),"SAT, AUG 31 2:00 PM ET")</f>
        <v>SAT, AUG 31 2:00 PM ET</v>
      </c>
      <c r="I44" t="str">
        <f>IFERROR(__xludf.DUMMYFUNCTION("""COMPUTED_VALUE"""),"No Line")</f>
        <v>No Line</v>
      </c>
      <c r="K44" t="str">
        <f>IFERROR(__xludf.DUMMYFUNCTION("""COMPUTED_VALUE"""),"Undrafted")</f>
        <v>Undrafted</v>
      </c>
      <c r="L44">
        <f>IFERROR(__xludf.DUMMYFUNCTION("""COMPUTED_VALUE"""),9999.0)</f>
        <v>9999</v>
      </c>
      <c r="M44" s="124">
        <v>0.0</v>
      </c>
    </row>
    <row r="45">
      <c r="A45" s="151">
        <f>IFERROR(__xludf.DUMMYFUNCTION("""COMPUTED_VALUE"""),43702.27976414352)</f>
        <v>43702.27976</v>
      </c>
      <c r="B45" t="str">
        <f>IFERROR(__xludf.DUMMYFUNCTION("""COMPUTED_VALUE"""),"Nico")</f>
        <v>Nico</v>
      </c>
      <c r="C45" t="str">
        <f>IFERROR(__xludf.DUMMYFUNCTION("""COMPUTED_VALUE"""),"North Carolina")</f>
        <v>North Carolina</v>
      </c>
      <c r="D45">
        <f>IFERROR(__xludf.DUMMYFUNCTION("""COMPUTED_VALUE"""),0.0)</f>
        <v>0</v>
      </c>
      <c r="E45">
        <f>IFERROR(__xludf.DUMMYFUNCTION("""COMPUTED_VALUE"""),0.0)</f>
        <v>0</v>
      </c>
      <c r="F45" t="str">
        <f>IFERROR(__xludf.DUMMYFUNCTION("""COMPUTED_VALUE"""),"NA")</f>
        <v>NA</v>
      </c>
      <c r="G45" t="str">
        <f>IFERROR(__xludf.DUMMYFUNCTION("""COMPUTED_VALUE"""),"South Carolina at North Carolina ")</f>
        <v>South Carolina at North Carolina </v>
      </c>
      <c r="H45" t="str">
        <f>IFERROR(__xludf.DUMMYFUNCTION("""COMPUTED_VALUE"""),"SAT, AUG 31 3:30 PM ET")</f>
        <v>SAT, AUG 31 3:30 PM ET</v>
      </c>
      <c r="I45">
        <f>IFERROR(__xludf.DUMMYFUNCTION("""COMPUTED_VALUE"""),8.0)</f>
        <v>8</v>
      </c>
      <c r="J45">
        <f>IFERROR(__xludf.DUMMYFUNCTION("""COMPUTED_VALUE"""),63.0)</f>
        <v>63</v>
      </c>
      <c r="K45" t="str">
        <f>IFERROR(__xludf.DUMMYFUNCTION("""COMPUTED_VALUE"""),"Brad")</f>
        <v>Brad</v>
      </c>
      <c r="L45">
        <f>IFERROR(__xludf.DUMMYFUNCTION("""COMPUTED_VALUE"""),9999.0)</f>
        <v>9999</v>
      </c>
      <c r="M45" s="124">
        <v>0.0</v>
      </c>
    </row>
    <row r="46">
      <c r="A46" s="151">
        <f>IFERROR(__xludf.DUMMYFUNCTION("""COMPUTED_VALUE"""),43702.27976414352)</f>
        <v>43702.27976</v>
      </c>
      <c r="B46" t="str">
        <f>IFERROR(__xludf.DUMMYFUNCTION("""COMPUTED_VALUE"""),"Nico")</f>
        <v>Nico</v>
      </c>
      <c r="C46" t="str">
        <f>IFERROR(__xludf.DUMMYFUNCTION("""COMPUTED_VALUE"""),"New Mexico")</f>
        <v>New Mexico</v>
      </c>
      <c r="D46">
        <f>IFERROR(__xludf.DUMMYFUNCTION("""COMPUTED_VALUE"""),0.0)</f>
        <v>0</v>
      </c>
      <c r="E46">
        <f>IFERROR(__xludf.DUMMYFUNCTION("""COMPUTED_VALUE"""),0.0)</f>
        <v>0</v>
      </c>
      <c r="F46" t="str">
        <f>IFERROR(__xludf.DUMMYFUNCTION("""COMPUTED_VALUE"""),"NA")</f>
        <v>NA</v>
      </c>
      <c r="G46" t="str">
        <f>IFERROR(__xludf.DUMMYFUNCTION("""COMPUTED_VALUE"""),"Sam Houston State at New Mexico ")</f>
        <v>Sam Houston State at New Mexico </v>
      </c>
      <c r="H46" t="str">
        <f>IFERROR(__xludf.DUMMYFUNCTION("""COMPUTED_VALUE"""),"SAT, AUG 31 6:00 PM ET")</f>
        <v>SAT, AUG 31 6:00 PM ET</v>
      </c>
      <c r="I46" t="str">
        <f>IFERROR(__xludf.DUMMYFUNCTION("""COMPUTED_VALUE"""),"No Line")</f>
        <v>No Line</v>
      </c>
      <c r="K46" t="str">
        <f>IFERROR(__xludf.DUMMYFUNCTION("""COMPUTED_VALUE"""),"Undrafted")</f>
        <v>Undrafted</v>
      </c>
      <c r="L46">
        <f>IFERROR(__xludf.DUMMYFUNCTION("""COMPUTED_VALUE"""),9999.0)</f>
        <v>9999</v>
      </c>
      <c r="M46" s="124">
        <v>0.0</v>
      </c>
    </row>
    <row r="47">
      <c r="A47" s="151">
        <f>IFERROR(__xludf.DUMMYFUNCTION("""COMPUTED_VALUE"""),43702.27976414352)</f>
        <v>43702.27976</v>
      </c>
      <c r="B47" t="str">
        <f>IFERROR(__xludf.DUMMYFUNCTION("""COMPUTED_VALUE"""),"Nico")</f>
        <v>Nico</v>
      </c>
      <c r="C47" t="str">
        <f>IFERROR(__xludf.DUMMYFUNCTION("""COMPUTED_VALUE"""),"Arkansas State")</f>
        <v>Arkansas State</v>
      </c>
      <c r="D47">
        <f>IFERROR(__xludf.DUMMYFUNCTION("""COMPUTED_VALUE"""),0.0)</f>
        <v>0</v>
      </c>
      <c r="E47">
        <f>IFERROR(__xludf.DUMMYFUNCTION("""COMPUTED_VALUE"""),0.0)</f>
        <v>0</v>
      </c>
      <c r="F47" t="str">
        <f>IFERROR(__xludf.DUMMYFUNCTION("""COMPUTED_VALUE"""),"NA")</f>
        <v>NA</v>
      </c>
      <c r="G47" t="str">
        <f>IFERROR(__xludf.DUMMYFUNCTION("""COMPUTED_VALUE"""),"SMU at Arkansas State ")</f>
        <v>SMU at Arkansas State </v>
      </c>
      <c r="H47" t="str">
        <f>IFERROR(__xludf.DUMMYFUNCTION("""COMPUTED_VALUE"""),"SAT, AUG 31 7:00 PM ET")</f>
        <v>SAT, AUG 31 7:00 PM ET</v>
      </c>
      <c r="I47" t="str">
        <f>IFERROR(__xludf.DUMMYFUNCTION("""COMPUTED_VALUE"""),"-2½")</f>
        <v>-2½</v>
      </c>
      <c r="J47">
        <f>IFERROR(__xludf.DUMMYFUNCTION("""COMPUTED_VALUE"""),58.0)</f>
        <v>58</v>
      </c>
      <c r="K47" t="str">
        <f>IFERROR(__xludf.DUMMYFUNCTION("""COMPUTED_VALUE"""),"Jeannine")</f>
        <v>Jeannine</v>
      </c>
      <c r="L47">
        <f>IFERROR(__xludf.DUMMYFUNCTION("""COMPUTED_VALUE"""),9999.0)</f>
        <v>9999</v>
      </c>
      <c r="M47" s="124">
        <v>0.0</v>
      </c>
    </row>
    <row r="48">
      <c r="A48" s="151">
        <f>IFERROR(__xludf.DUMMYFUNCTION("""COMPUTED_VALUE"""),43702.27976414352)</f>
        <v>43702.27976</v>
      </c>
      <c r="B48" t="str">
        <f>IFERROR(__xludf.DUMMYFUNCTION("""COMPUTED_VALUE"""),"Nico")</f>
        <v>Nico</v>
      </c>
      <c r="C48" t="str">
        <f>IFERROR(__xludf.DUMMYFUNCTION("""COMPUTED_VALUE"""),"Georgia")</f>
        <v>Georgia</v>
      </c>
      <c r="D48">
        <f>IFERROR(__xludf.DUMMYFUNCTION("""COMPUTED_VALUE"""),0.0)</f>
        <v>0</v>
      </c>
      <c r="E48">
        <f>IFERROR(__xludf.DUMMYFUNCTION("""COMPUTED_VALUE"""),0.0)</f>
        <v>0</v>
      </c>
      <c r="F48" t="str">
        <f>IFERROR(__xludf.DUMMYFUNCTION("""COMPUTED_VALUE"""),"NA")</f>
        <v>NA</v>
      </c>
      <c r="G48" t="str">
        <f>IFERROR(__xludf.DUMMYFUNCTION("""COMPUTED_VALUE"""),"(3) Georgia at Vanderbilt ")</f>
        <v>(3) Georgia at Vanderbilt </v>
      </c>
      <c r="H48" t="str">
        <f>IFERROR(__xludf.DUMMYFUNCTION("""COMPUTED_VALUE"""),"SAT, AUG 31 7:30 PM ET")</f>
        <v>SAT, AUG 31 7:30 PM ET</v>
      </c>
      <c r="I48">
        <f>IFERROR(__xludf.DUMMYFUNCTION("""COMPUTED_VALUE"""),-21.0)</f>
        <v>-21</v>
      </c>
      <c r="J48" t="str">
        <f>IFERROR(__xludf.DUMMYFUNCTION("""COMPUTED_VALUE"""),"57½")</f>
        <v>57½</v>
      </c>
      <c r="K48" t="str">
        <f>IFERROR(__xludf.DUMMYFUNCTION("""COMPUTED_VALUE"""),"Undrafted")</f>
        <v>Undrafted</v>
      </c>
      <c r="L48">
        <f>IFERROR(__xludf.DUMMYFUNCTION("""COMPUTED_VALUE"""),9999.0)</f>
        <v>9999</v>
      </c>
      <c r="M48" s="124">
        <v>0.0</v>
      </c>
    </row>
    <row r="49">
      <c r="A49" s="151">
        <f>IFERROR(__xludf.DUMMYFUNCTION("""COMPUTED_VALUE"""),43702.27976414352)</f>
        <v>43702.27976</v>
      </c>
      <c r="B49" t="str">
        <f>IFERROR(__xludf.DUMMYFUNCTION("""COMPUTED_VALUE"""),"Nico")</f>
        <v>Nico</v>
      </c>
      <c r="C49" t="str">
        <f>IFERROR(__xludf.DUMMYFUNCTION("""COMPUTED_VALUE"""),"Middle Tennessee")</f>
        <v>Middle Tennessee</v>
      </c>
      <c r="D49">
        <f>IFERROR(__xludf.DUMMYFUNCTION("""COMPUTED_VALUE"""),0.0)</f>
        <v>0</v>
      </c>
      <c r="E49">
        <f>IFERROR(__xludf.DUMMYFUNCTION("""COMPUTED_VALUE"""),0.0)</f>
        <v>0</v>
      </c>
      <c r="F49" t="str">
        <f>IFERROR(__xludf.DUMMYFUNCTION("""COMPUTED_VALUE"""),"NA")</f>
        <v>NA</v>
      </c>
      <c r="G49" t="str">
        <f>IFERROR(__xludf.DUMMYFUNCTION("""COMPUTED_VALUE"""),"Middle Tennessee at (7) Michigan ")</f>
        <v>Middle Tennessee at (7) Michigan </v>
      </c>
      <c r="H49" t="str">
        <f>IFERROR(__xludf.DUMMYFUNCTION("""COMPUTED_VALUE"""),"SAT, AUG 31 7:30 PM ET")</f>
        <v>SAT, AUG 31 7:30 PM ET</v>
      </c>
      <c r="I49" t="str">
        <f>IFERROR(__xludf.DUMMYFUNCTION("""COMPUTED_VALUE"""),"33½")</f>
        <v>33½</v>
      </c>
      <c r="J49">
        <f>IFERROR(__xludf.DUMMYFUNCTION("""COMPUTED_VALUE"""),54.0)</f>
        <v>54</v>
      </c>
      <c r="K49" t="str">
        <f>IFERROR(__xludf.DUMMYFUNCTION("""COMPUTED_VALUE"""),"Vu")</f>
        <v>Vu</v>
      </c>
      <c r="L49">
        <f>IFERROR(__xludf.DUMMYFUNCTION("""COMPUTED_VALUE"""),9999.0)</f>
        <v>9999</v>
      </c>
      <c r="M49" s="124">
        <v>0.0</v>
      </c>
    </row>
    <row r="50">
      <c r="A50" s="151">
        <f>IFERROR(__xludf.DUMMYFUNCTION("""COMPUTED_VALUE"""),43702.27976414352)</f>
        <v>43702.27976</v>
      </c>
      <c r="B50" t="str">
        <f>IFERROR(__xludf.DUMMYFUNCTION("""COMPUTED_VALUE"""),"Nico")</f>
        <v>Nico</v>
      </c>
      <c r="C50" t="str">
        <f>IFERROR(__xludf.DUMMYFUNCTION("""COMPUTED_VALUE"""),"Miami-OH")</f>
        <v>Miami-OH</v>
      </c>
      <c r="D50">
        <f>IFERROR(__xludf.DUMMYFUNCTION("""COMPUTED_VALUE"""),0.0)</f>
        <v>0</v>
      </c>
      <c r="E50">
        <f>IFERROR(__xludf.DUMMYFUNCTION("""COMPUTED_VALUE"""),0.0)</f>
        <v>0</v>
      </c>
      <c r="F50" t="str">
        <f>IFERROR(__xludf.DUMMYFUNCTION("""COMPUTED_VALUE"""),"NA")</f>
        <v>NA</v>
      </c>
      <c r="G50" t="str">
        <f>IFERROR(__xludf.DUMMYFUNCTION("""COMPUTED_VALUE"""),"Miami-OH at (19) Iowa ")</f>
        <v>Miami-OH at (19) Iowa </v>
      </c>
      <c r="H50" t="str">
        <f>IFERROR(__xludf.DUMMYFUNCTION("""COMPUTED_VALUE"""),"SAT, AUG 31 7:30 PM ET")</f>
        <v>SAT, AUG 31 7:30 PM ET</v>
      </c>
      <c r="I50" t="str">
        <f>IFERROR(__xludf.DUMMYFUNCTION("""COMPUTED_VALUE"""),"21½")</f>
        <v>21½</v>
      </c>
      <c r="J50">
        <f>IFERROR(__xludf.DUMMYFUNCTION("""COMPUTED_VALUE"""),49.0)</f>
        <v>49</v>
      </c>
      <c r="K50" t="str">
        <f>IFERROR(__xludf.DUMMYFUNCTION("""COMPUTED_VALUE"""),"Justin")</f>
        <v>Justin</v>
      </c>
      <c r="L50">
        <f>IFERROR(__xludf.DUMMYFUNCTION("""COMPUTED_VALUE"""),9999.0)</f>
        <v>9999</v>
      </c>
      <c r="M50" s="124">
        <v>0.0</v>
      </c>
    </row>
    <row r="51">
      <c r="A51" s="151">
        <f>IFERROR(__xludf.DUMMYFUNCTION("""COMPUTED_VALUE"""),43702.27976414352)</f>
        <v>43702.27976</v>
      </c>
      <c r="B51" t="str">
        <f>IFERROR(__xludf.DUMMYFUNCTION("""COMPUTED_VALUE"""),"Nico")</f>
        <v>Nico</v>
      </c>
      <c r="C51" t="str">
        <f>IFERROR(__xludf.DUMMYFUNCTION("""COMPUTED_VALUE"""),"Houston")</f>
        <v>Houston</v>
      </c>
      <c r="D51">
        <f>IFERROR(__xludf.DUMMYFUNCTION("""COMPUTED_VALUE"""),0.0)</f>
        <v>0</v>
      </c>
      <c r="E51">
        <f>IFERROR(__xludf.DUMMYFUNCTION("""COMPUTED_VALUE"""),0.0)</f>
        <v>0</v>
      </c>
      <c r="F51" t="str">
        <f>IFERROR(__xludf.DUMMYFUNCTION("""COMPUTED_VALUE"""),"NA")</f>
        <v>NA</v>
      </c>
      <c r="G51" t="str">
        <f>IFERROR(__xludf.DUMMYFUNCTION("""COMPUTED_VALUE"""),"Houston at (4) Oklahoma ")</f>
        <v>Houston at (4) Oklahoma </v>
      </c>
      <c r="H51" t="str">
        <f>IFERROR(__xludf.DUMMYFUNCTION("""COMPUTED_VALUE"""),"SUN, SEP 1 7:30 PM ET")</f>
        <v>SUN, SEP 1 7:30 PM ET</v>
      </c>
      <c r="I51" t="str">
        <f>IFERROR(__xludf.DUMMYFUNCTION("""COMPUTED_VALUE"""),"24½")</f>
        <v>24½</v>
      </c>
      <c r="J51">
        <f>IFERROR(__xludf.DUMMYFUNCTION("""COMPUTED_VALUE"""),83.0)</f>
        <v>83</v>
      </c>
      <c r="K51" t="str">
        <f>IFERROR(__xludf.DUMMYFUNCTION("""COMPUTED_VALUE"""),"Jeannine")</f>
        <v>Jeannine</v>
      </c>
      <c r="L51">
        <f>IFERROR(__xludf.DUMMYFUNCTION("""COMPUTED_VALUE"""),9999.0)</f>
        <v>9999</v>
      </c>
      <c r="M51" s="124">
        <v>0.0</v>
      </c>
    </row>
    <row r="52">
      <c r="A52" s="151">
        <f>IFERROR(__xludf.DUMMYFUNCTION("""COMPUTED_VALUE"""),43702.27976414352)</f>
        <v>43702.27976</v>
      </c>
      <c r="B52" t="str">
        <f>IFERROR(__xludf.DUMMYFUNCTION("""COMPUTED_VALUE"""),"Jeannine")</f>
        <v>Jeannine</v>
      </c>
      <c r="C52" t="str">
        <f>IFERROR(__xludf.DUMMYFUNCTION("""COMPUTED_VALUE"""),"UAB")</f>
        <v>UAB</v>
      </c>
      <c r="D52">
        <f>IFERROR(__xludf.DUMMYFUNCTION("""COMPUTED_VALUE"""),0.0)</f>
        <v>0</v>
      </c>
      <c r="E52">
        <f>IFERROR(__xludf.DUMMYFUNCTION("""COMPUTED_VALUE"""),0.0)</f>
        <v>0</v>
      </c>
      <c r="F52" t="str">
        <f>IFERROR(__xludf.DUMMYFUNCTION("""COMPUTED_VALUE"""),"NA")</f>
        <v>NA</v>
      </c>
      <c r="G52" t="str">
        <f>IFERROR(__xludf.DUMMYFUNCTION("""COMPUTED_VALUE"""),"Alabama State at UAB ")</f>
        <v>Alabama State at UAB </v>
      </c>
      <c r="H52" t="str">
        <f>IFERROR(__xludf.DUMMYFUNCTION("""COMPUTED_VALUE"""),"THU, AUG 29 8:00 PM ET")</f>
        <v>THU, AUG 29 8:00 PM ET</v>
      </c>
      <c r="I52" t="str">
        <f>IFERROR(__xludf.DUMMYFUNCTION("""COMPUTED_VALUE"""),"-42½")</f>
        <v>-42½</v>
      </c>
      <c r="J52" t="str">
        <f>IFERROR(__xludf.DUMMYFUNCTION("""COMPUTED_VALUE"""),"51½")</f>
        <v>51½</v>
      </c>
      <c r="K52" t="str">
        <f>IFERROR(__xludf.DUMMYFUNCTION("""COMPUTED_VALUE"""),"Undrafted")</f>
        <v>Undrafted</v>
      </c>
      <c r="L52">
        <f>IFERROR(__xludf.DUMMYFUNCTION("""COMPUTED_VALUE"""),9999.0)</f>
        <v>9999</v>
      </c>
      <c r="M52" s="124">
        <v>0.0</v>
      </c>
    </row>
    <row r="53">
      <c r="A53" s="151">
        <f>IFERROR(__xludf.DUMMYFUNCTION("""COMPUTED_VALUE"""),43702.27976414352)</f>
        <v>43702.27976</v>
      </c>
      <c r="B53" t="str">
        <f>IFERROR(__xludf.DUMMYFUNCTION("""COMPUTED_VALUE"""),"Jeannine")</f>
        <v>Jeannine</v>
      </c>
      <c r="C53" t="str">
        <f>IFERROR(__xludf.DUMMYFUNCTION("""COMPUTED_VALUE"""),"San José State")</f>
        <v>San José State</v>
      </c>
      <c r="D53">
        <f>IFERROR(__xludf.DUMMYFUNCTION("""COMPUTED_VALUE"""),0.0)</f>
        <v>0</v>
      </c>
      <c r="E53">
        <f>IFERROR(__xludf.DUMMYFUNCTION("""COMPUTED_VALUE"""),0.0)</f>
        <v>0</v>
      </c>
      <c r="F53" t="str">
        <f>IFERROR(__xludf.DUMMYFUNCTION("""COMPUTED_VALUE"""),"NA")</f>
        <v>NA</v>
      </c>
      <c r="G53" t="str">
        <f>IFERROR(__xludf.DUMMYFUNCTION("""COMPUTED_VALUE"""),"Northern Colorado at San José State ")</f>
        <v>Northern Colorado at San José State </v>
      </c>
      <c r="H53" t="str">
        <f>IFERROR(__xludf.DUMMYFUNCTION("""COMPUTED_VALUE"""),"THU, AUG 29 10:00 PM ET")</f>
        <v>THU, AUG 29 10:00 PM ET</v>
      </c>
      <c r="I53" t="str">
        <f>IFERROR(__xludf.DUMMYFUNCTION("""COMPUTED_VALUE"""),"-10½")</f>
        <v>-10½</v>
      </c>
      <c r="J53" t="str">
        <f>IFERROR(__xludf.DUMMYFUNCTION("""COMPUTED_VALUE"""),"59½")</f>
        <v>59½</v>
      </c>
      <c r="K53" t="str">
        <f>IFERROR(__xludf.DUMMYFUNCTION("""COMPUTED_VALUE"""),"Undrafted")</f>
        <v>Undrafted</v>
      </c>
      <c r="L53">
        <f>IFERROR(__xludf.DUMMYFUNCTION("""COMPUTED_VALUE"""),9999.0)</f>
        <v>9999</v>
      </c>
      <c r="M53" s="124">
        <v>0.0</v>
      </c>
    </row>
    <row r="54">
      <c r="A54" s="151">
        <f>IFERROR(__xludf.DUMMYFUNCTION("""COMPUTED_VALUE"""),43702.27976414352)</f>
        <v>43702.27976</v>
      </c>
      <c r="B54" t="str">
        <f>IFERROR(__xludf.DUMMYFUNCTION("""COMPUTED_VALUE"""),"Jeannine")</f>
        <v>Jeannine</v>
      </c>
      <c r="C54" t="str">
        <f>IFERROR(__xludf.DUMMYFUNCTION("""COMPUTED_VALUE"""),"Colorado")</f>
        <v>Colorado</v>
      </c>
      <c r="D54">
        <f>IFERROR(__xludf.DUMMYFUNCTION("""COMPUTED_VALUE"""),0.0)</f>
        <v>0</v>
      </c>
      <c r="E54">
        <f>IFERROR(__xludf.DUMMYFUNCTION("""COMPUTED_VALUE"""),0.0)</f>
        <v>0</v>
      </c>
      <c r="F54" t="str">
        <f>IFERROR(__xludf.DUMMYFUNCTION("""COMPUTED_VALUE"""),"NA")</f>
        <v>NA</v>
      </c>
      <c r="G54" t="str">
        <f>IFERROR(__xludf.DUMMYFUNCTION("""COMPUTED_VALUE"""),"Colorado State at Colorado ")</f>
        <v>Colorado State at Colorado </v>
      </c>
      <c r="H54" t="str">
        <f>IFERROR(__xludf.DUMMYFUNCTION("""COMPUTED_VALUE"""),"FRI, AUG 30 10:00 PM ET")</f>
        <v>FRI, AUG 30 10:00 PM ET</v>
      </c>
      <c r="I54">
        <f>IFERROR(__xludf.DUMMYFUNCTION("""COMPUTED_VALUE"""),-13.0)</f>
        <v>-13</v>
      </c>
      <c r="J54" t="str">
        <f>IFERROR(__xludf.DUMMYFUNCTION("""COMPUTED_VALUE"""),"58½")</f>
        <v>58½</v>
      </c>
      <c r="K54" t="str">
        <f>IFERROR(__xludf.DUMMYFUNCTION("""COMPUTED_VALUE"""),"Brad")</f>
        <v>Brad</v>
      </c>
      <c r="L54">
        <f>IFERROR(__xludf.DUMMYFUNCTION("""COMPUTED_VALUE"""),9999.0)</f>
        <v>9999</v>
      </c>
      <c r="M54" s="124">
        <v>0.0</v>
      </c>
    </row>
    <row r="55">
      <c r="A55" s="151">
        <f>IFERROR(__xludf.DUMMYFUNCTION("""COMPUTED_VALUE"""),43702.27976414352)</f>
        <v>43702.27976</v>
      </c>
      <c r="B55" t="str">
        <f>IFERROR(__xludf.DUMMYFUNCTION("""COMPUTED_VALUE"""),"Jeannine")</f>
        <v>Jeannine</v>
      </c>
      <c r="C55" t="str">
        <f>IFERROR(__xludf.DUMMYFUNCTION("""COMPUTED_VALUE"""),"Mississippi State")</f>
        <v>Mississippi State</v>
      </c>
      <c r="D55">
        <f>IFERROR(__xludf.DUMMYFUNCTION("""COMPUTED_VALUE"""),0.0)</f>
        <v>0</v>
      </c>
      <c r="E55">
        <f>IFERROR(__xludf.DUMMYFUNCTION("""COMPUTED_VALUE"""),0.0)</f>
        <v>0</v>
      </c>
      <c r="F55" t="str">
        <f>IFERROR(__xludf.DUMMYFUNCTION("""COMPUTED_VALUE"""),"NA")</f>
        <v>NA</v>
      </c>
      <c r="G55" t="str">
        <f>IFERROR(__xludf.DUMMYFUNCTION("""COMPUTED_VALUE"""),"Mississippi State at UL Lafayette ")</f>
        <v>Mississippi State at UL Lafayette </v>
      </c>
      <c r="H55" t="str">
        <f>IFERROR(__xludf.DUMMYFUNCTION("""COMPUTED_VALUE"""),"SAT, AUG 31 12:00 PM ET")</f>
        <v>SAT, AUG 31 12:00 PM ET</v>
      </c>
      <c r="I55">
        <f>IFERROR(__xludf.DUMMYFUNCTION("""COMPUTED_VALUE"""),-21.0)</f>
        <v>-21</v>
      </c>
      <c r="J55" t="str">
        <f>IFERROR(__xludf.DUMMYFUNCTION("""COMPUTED_VALUE"""),"57½")</f>
        <v>57½</v>
      </c>
      <c r="K55" t="str">
        <f>IFERROR(__xludf.DUMMYFUNCTION("""COMPUTED_VALUE"""),"Gary")</f>
        <v>Gary</v>
      </c>
      <c r="L55">
        <f>IFERROR(__xludf.DUMMYFUNCTION("""COMPUTED_VALUE"""),9999.0)</f>
        <v>9999</v>
      </c>
      <c r="M55" s="124">
        <v>0.0</v>
      </c>
    </row>
    <row r="56">
      <c r="A56" s="151">
        <f>IFERROR(__xludf.DUMMYFUNCTION("""COMPUTED_VALUE"""),43702.27976414352)</f>
        <v>43702.27976</v>
      </c>
      <c r="B56" t="str">
        <f>IFERROR(__xludf.DUMMYFUNCTION("""COMPUTED_VALUE"""),"Jeannine")</f>
        <v>Jeannine</v>
      </c>
      <c r="C56" t="str">
        <f>IFERROR(__xludf.DUMMYFUNCTION("""COMPUTED_VALUE"""),"Penn State")</f>
        <v>Penn State</v>
      </c>
      <c r="D56">
        <f>IFERROR(__xludf.DUMMYFUNCTION("""COMPUTED_VALUE"""),0.0)</f>
        <v>0</v>
      </c>
      <c r="E56">
        <f>IFERROR(__xludf.DUMMYFUNCTION("""COMPUTED_VALUE"""),0.0)</f>
        <v>0</v>
      </c>
      <c r="F56" t="str">
        <f>IFERROR(__xludf.DUMMYFUNCTION("""COMPUTED_VALUE"""),"NA")</f>
        <v>NA</v>
      </c>
      <c r="G56" t="str">
        <f>IFERROR(__xludf.DUMMYFUNCTION("""COMPUTED_VALUE"""),"Idaho at (14) Penn State ")</f>
        <v>Idaho at (14) Penn State </v>
      </c>
      <c r="H56" t="str">
        <f>IFERROR(__xludf.DUMMYFUNCTION("""COMPUTED_VALUE"""),"SAT, AUG 31 3:30 PM ET")</f>
        <v>SAT, AUG 31 3:30 PM ET</v>
      </c>
      <c r="I56" t="str">
        <f>IFERROR(__xludf.DUMMYFUNCTION("""COMPUTED_VALUE"""),"No Line")</f>
        <v>No Line</v>
      </c>
      <c r="K56" t="str">
        <f>IFERROR(__xludf.DUMMYFUNCTION("""COMPUTED_VALUE"""),"Undrafted")</f>
        <v>Undrafted</v>
      </c>
      <c r="L56">
        <f>IFERROR(__xludf.DUMMYFUNCTION("""COMPUTED_VALUE"""),9999.0)</f>
        <v>9999</v>
      </c>
      <c r="M56" s="124">
        <v>0.0</v>
      </c>
    </row>
    <row r="57">
      <c r="A57" s="151">
        <f>IFERROR(__xludf.DUMMYFUNCTION("""COMPUTED_VALUE"""),43702.27976414352)</f>
        <v>43702.27976</v>
      </c>
      <c r="B57" t="str">
        <f>IFERROR(__xludf.DUMMYFUNCTION("""COMPUTED_VALUE"""),"Jeannine")</f>
        <v>Jeannine</v>
      </c>
      <c r="C57" t="str">
        <f>IFERROR(__xludf.DUMMYFUNCTION("""COMPUTED_VALUE"""),"Western Michigan")</f>
        <v>Western Michigan</v>
      </c>
      <c r="D57">
        <f>IFERROR(__xludf.DUMMYFUNCTION("""COMPUTED_VALUE"""),0.0)</f>
        <v>0</v>
      </c>
      <c r="E57">
        <f>IFERROR(__xludf.DUMMYFUNCTION("""COMPUTED_VALUE"""),0.0)</f>
        <v>0</v>
      </c>
      <c r="F57" t="str">
        <f>IFERROR(__xludf.DUMMYFUNCTION("""COMPUTED_VALUE"""),"NA")</f>
        <v>NA</v>
      </c>
      <c r="G57" t="str">
        <f>IFERROR(__xludf.DUMMYFUNCTION("""COMPUTED_VALUE"""),"Monmouth at Western Michigan ")</f>
        <v>Monmouth at Western Michigan </v>
      </c>
      <c r="H57" t="str">
        <f>IFERROR(__xludf.DUMMYFUNCTION("""COMPUTED_VALUE"""),"SAT, AUG 31 7:00 PM ET")</f>
        <v>SAT, AUG 31 7:00 PM ET</v>
      </c>
      <c r="I57" t="str">
        <f>IFERROR(__xludf.DUMMYFUNCTION("""COMPUTED_VALUE"""),"No Line")</f>
        <v>No Line</v>
      </c>
      <c r="K57" t="str">
        <f>IFERROR(__xludf.DUMMYFUNCTION("""COMPUTED_VALUE"""),"Undrafted")</f>
        <v>Undrafted</v>
      </c>
      <c r="L57">
        <f>IFERROR(__xludf.DUMMYFUNCTION("""COMPUTED_VALUE"""),9999.0)</f>
        <v>9999</v>
      </c>
      <c r="M57" s="124">
        <v>0.0</v>
      </c>
    </row>
    <row r="58">
      <c r="A58" s="151">
        <f>IFERROR(__xludf.DUMMYFUNCTION("""COMPUTED_VALUE"""),43702.27976414352)</f>
        <v>43702.27976</v>
      </c>
      <c r="B58" t="str">
        <f>IFERROR(__xludf.DUMMYFUNCTION("""COMPUTED_VALUE"""),"Jeannine")</f>
        <v>Jeannine</v>
      </c>
      <c r="C58" t="str">
        <f>IFERROR(__xludf.DUMMYFUNCTION("""COMPUTED_VALUE"""),"SMU")</f>
        <v>SMU</v>
      </c>
      <c r="D58">
        <f>IFERROR(__xludf.DUMMYFUNCTION("""COMPUTED_VALUE"""),0.0)</f>
        <v>0</v>
      </c>
      <c r="E58">
        <f>IFERROR(__xludf.DUMMYFUNCTION("""COMPUTED_VALUE"""),0.0)</f>
        <v>0</v>
      </c>
      <c r="F58" t="str">
        <f>IFERROR(__xludf.DUMMYFUNCTION("""COMPUTED_VALUE"""),"NA")</f>
        <v>NA</v>
      </c>
      <c r="G58" t="str">
        <f>IFERROR(__xludf.DUMMYFUNCTION("""COMPUTED_VALUE"""),"SMU at Arkansas State ")</f>
        <v>SMU at Arkansas State </v>
      </c>
      <c r="H58" t="str">
        <f>IFERROR(__xludf.DUMMYFUNCTION("""COMPUTED_VALUE"""),"SAT, AUG 31 7:00 PM ET")</f>
        <v>SAT, AUG 31 7:00 PM ET</v>
      </c>
      <c r="I58" t="str">
        <f>IFERROR(__xludf.DUMMYFUNCTION("""COMPUTED_VALUE"""),"2½")</f>
        <v>2½</v>
      </c>
      <c r="J58">
        <f>IFERROR(__xludf.DUMMYFUNCTION("""COMPUTED_VALUE"""),58.0)</f>
        <v>58</v>
      </c>
      <c r="K58" t="str">
        <f>IFERROR(__xludf.DUMMYFUNCTION("""COMPUTED_VALUE"""),"Nico")</f>
        <v>Nico</v>
      </c>
      <c r="L58">
        <f>IFERROR(__xludf.DUMMYFUNCTION("""COMPUTED_VALUE"""),9999.0)</f>
        <v>9999</v>
      </c>
      <c r="M58" s="124">
        <v>0.0</v>
      </c>
    </row>
    <row r="59">
      <c r="A59" s="151">
        <f>IFERROR(__xludf.DUMMYFUNCTION("""COMPUTED_VALUE"""),43702.27976414352)</f>
        <v>43702.27976</v>
      </c>
      <c r="B59" t="str">
        <f>IFERROR(__xludf.DUMMYFUNCTION("""COMPUTED_VALUE"""),"Jeannine")</f>
        <v>Jeannine</v>
      </c>
      <c r="C59" t="str">
        <f>IFERROR(__xludf.DUMMYFUNCTION("""COMPUTED_VALUE"""),"Virginia")</f>
        <v>Virginia</v>
      </c>
      <c r="D59">
        <f>IFERROR(__xludf.DUMMYFUNCTION("""COMPUTED_VALUE"""),0.0)</f>
        <v>0</v>
      </c>
      <c r="E59">
        <f>IFERROR(__xludf.DUMMYFUNCTION("""COMPUTED_VALUE"""),0.0)</f>
        <v>0</v>
      </c>
      <c r="F59" t="str">
        <f>IFERROR(__xludf.DUMMYFUNCTION("""COMPUTED_VALUE"""),"NA")</f>
        <v>NA</v>
      </c>
      <c r="G59" t="str">
        <f>IFERROR(__xludf.DUMMYFUNCTION("""COMPUTED_VALUE"""),"Virginia at Pittsburgh ")</f>
        <v>Virginia at Pittsburgh </v>
      </c>
      <c r="H59" t="str">
        <f>IFERROR(__xludf.DUMMYFUNCTION("""COMPUTED_VALUE"""),"SAT, AUG 31 7:30 PM ET")</f>
        <v>SAT, AUG 31 7:30 PM ET</v>
      </c>
      <c r="I59" t="str">
        <f>IFERROR(__xludf.DUMMYFUNCTION("""COMPUTED_VALUE"""),"-2½")</f>
        <v>-2½</v>
      </c>
      <c r="J59">
        <f>IFERROR(__xludf.DUMMYFUNCTION("""COMPUTED_VALUE"""),46.0)</f>
        <v>46</v>
      </c>
      <c r="K59" t="str">
        <f>IFERROR(__xludf.DUMMYFUNCTION("""COMPUTED_VALUE"""),"Gary")</f>
        <v>Gary</v>
      </c>
      <c r="L59">
        <f>IFERROR(__xludf.DUMMYFUNCTION("""COMPUTED_VALUE"""),9999.0)</f>
        <v>9999</v>
      </c>
      <c r="M59" s="124">
        <v>0.0</v>
      </c>
    </row>
    <row r="60">
      <c r="A60" s="151">
        <f>IFERROR(__xludf.DUMMYFUNCTION("""COMPUTED_VALUE"""),43702.27976414352)</f>
        <v>43702.27976</v>
      </c>
      <c r="B60" t="str">
        <f>IFERROR(__xludf.DUMMYFUNCTION("""COMPUTED_VALUE"""),"Jeannine")</f>
        <v>Jeannine</v>
      </c>
      <c r="C60" t="str">
        <f>IFERROR(__xludf.DUMMYFUNCTION("""COMPUTED_VALUE"""),"UL Monroe")</f>
        <v>UL Monroe</v>
      </c>
      <c r="D60">
        <f>IFERROR(__xludf.DUMMYFUNCTION("""COMPUTED_VALUE"""),0.0)</f>
        <v>0</v>
      </c>
      <c r="E60">
        <f>IFERROR(__xludf.DUMMYFUNCTION("""COMPUTED_VALUE"""),0.0)</f>
        <v>0</v>
      </c>
      <c r="F60" t="str">
        <f>IFERROR(__xludf.DUMMYFUNCTION("""COMPUTED_VALUE"""),"NA")</f>
        <v>NA</v>
      </c>
      <c r="G60" t="str">
        <f>IFERROR(__xludf.DUMMYFUNCTION("""COMPUTED_VALUE"""),"Grambling at UL Monroe ")</f>
        <v>Grambling at UL Monroe </v>
      </c>
      <c r="H60" t="str">
        <f>IFERROR(__xludf.DUMMYFUNCTION("""COMPUTED_VALUE"""),"SAT, AUG 31 8:00 PM ET")</f>
        <v>SAT, AUG 31 8:00 PM ET</v>
      </c>
      <c r="I60" t="str">
        <f>IFERROR(__xludf.DUMMYFUNCTION("""COMPUTED_VALUE"""),"No Line")</f>
        <v>No Line</v>
      </c>
      <c r="K60" t="str">
        <f>IFERROR(__xludf.DUMMYFUNCTION("""COMPUTED_VALUE"""),"Undrafted")</f>
        <v>Undrafted</v>
      </c>
      <c r="L60">
        <f>IFERROR(__xludf.DUMMYFUNCTION("""COMPUTED_VALUE"""),9999.0)</f>
        <v>9999</v>
      </c>
      <c r="M60" s="124">
        <v>0.0</v>
      </c>
    </row>
    <row r="61">
      <c r="A61" s="151">
        <f>IFERROR(__xludf.DUMMYFUNCTION("""COMPUTED_VALUE"""),43702.27976414352)</f>
        <v>43702.27976</v>
      </c>
      <c r="B61" t="str">
        <f>IFERROR(__xludf.DUMMYFUNCTION("""COMPUTED_VALUE"""),"Jeannine")</f>
        <v>Jeannine</v>
      </c>
      <c r="C61" t="str">
        <f>IFERROR(__xludf.DUMMYFUNCTION("""COMPUTED_VALUE"""),"Oklahoma")</f>
        <v>Oklahoma</v>
      </c>
      <c r="D61">
        <f>IFERROR(__xludf.DUMMYFUNCTION("""COMPUTED_VALUE"""),0.0)</f>
        <v>0</v>
      </c>
      <c r="E61">
        <f>IFERROR(__xludf.DUMMYFUNCTION("""COMPUTED_VALUE"""),0.0)</f>
        <v>0</v>
      </c>
      <c r="F61" t="str">
        <f>IFERROR(__xludf.DUMMYFUNCTION("""COMPUTED_VALUE"""),"NA")</f>
        <v>NA</v>
      </c>
      <c r="G61" t="str">
        <f>IFERROR(__xludf.DUMMYFUNCTION("""COMPUTED_VALUE"""),"Houston at (4) Oklahoma ")</f>
        <v>Houston at (4) Oklahoma </v>
      </c>
      <c r="H61" t="str">
        <f>IFERROR(__xludf.DUMMYFUNCTION("""COMPUTED_VALUE"""),"SUN, SEP 1 7:30 PM ET")</f>
        <v>SUN, SEP 1 7:30 PM ET</v>
      </c>
      <c r="I61" t="str">
        <f>IFERROR(__xludf.DUMMYFUNCTION("""COMPUTED_VALUE"""),"-24½")</f>
        <v>-24½</v>
      </c>
      <c r="J61">
        <f>IFERROR(__xludf.DUMMYFUNCTION("""COMPUTED_VALUE"""),83.0)</f>
        <v>83</v>
      </c>
      <c r="K61" t="str">
        <f>IFERROR(__xludf.DUMMYFUNCTION("""COMPUTED_VALUE"""),"Nico")</f>
        <v>Nico</v>
      </c>
      <c r="L61">
        <f>IFERROR(__xludf.DUMMYFUNCTION("""COMPUTED_VALUE"""),9999.0)</f>
        <v>9999</v>
      </c>
      <c r="M61" s="124">
        <v>0.0</v>
      </c>
    </row>
    <row r="62">
      <c r="A62" s="151">
        <f>IFERROR(__xludf.DUMMYFUNCTION("""COMPUTED_VALUE"""),43702.27976414352)</f>
        <v>43702.27976</v>
      </c>
      <c r="B62" t="str">
        <f>IFERROR(__xludf.DUMMYFUNCTION("""COMPUTED_VALUE"""),"Justin")</f>
        <v>Justin</v>
      </c>
      <c r="C62" t="str">
        <f>IFERROR(__xludf.DUMMYFUNCTION("""COMPUTED_VALUE"""),"Buffalo")</f>
        <v>Buffalo</v>
      </c>
      <c r="D62">
        <f>IFERROR(__xludf.DUMMYFUNCTION("""COMPUTED_VALUE"""),0.0)</f>
        <v>0</v>
      </c>
      <c r="E62">
        <f>IFERROR(__xludf.DUMMYFUNCTION("""COMPUTED_VALUE"""),0.0)</f>
        <v>0</v>
      </c>
      <c r="F62" t="str">
        <f>IFERROR(__xludf.DUMMYFUNCTION("""COMPUTED_VALUE"""),"NA")</f>
        <v>NA</v>
      </c>
      <c r="G62" t="str">
        <f>IFERROR(__xludf.DUMMYFUNCTION("""COMPUTED_VALUE"""),"Robert Morris at Buffalo ")</f>
        <v>Robert Morris at Buffalo </v>
      </c>
      <c r="H62" t="str">
        <f>IFERROR(__xludf.DUMMYFUNCTION("""COMPUTED_VALUE"""),"THU, AUG 29 7:00 PM ET")</f>
        <v>THU, AUG 29 7:00 PM ET</v>
      </c>
      <c r="I62" t="str">
        <f>IFERROR(__xludf.DUMMYFUNCTION("""COMPUTED_VALUE"""),"-46½")</f>
        <v>-46½</v>
      </c>
      <c r="J62" t="str">
        <f>IFERROR(__xludf.DUMMYFUNCTION("""COMPUTED_VALUE"""),"65½")</f>
        <v>65½</v>
      </c>
      <c r="K62" t="str">
        <f>IFERROR(__xludf.DUMMYFUNCTION("""COMPUTED_VALUE"""),"Undrafted")</f>
        <v>Undrafted</v>
      </c>
      <c r="L62">
        <f>IFERROR(__xludf.DUMMYFUNCTION("""COMPUTED_VALUE"""),9999.0)</f>
        <v>9999</v>
      </c>
      <c r="M62" s="124">
        <v>0.0</v>
      </c>
    </row>
    <row r="63">
      <c r="A63" s="151">
        <f>IFERROR(__xludf.DUMMYFUNCTION("""COMPUTED_VALUE"""),43702.27976414352)</f>
        <v>43702.27976</v>
      </c>
      <c r="B63" t="str">
        <f>IFERROR(__xludf.DUMMYFUNCTION("""COMPUTED_VALUE"""),"Justin")</f>
        <v>Justin</v>
      </c>
      <c r="C63" t="str">
        <f>IFERROR(__xludf.DUMMYFUNCTION("""COMPUTED_VALUE"""),"Western Kentucky")</f>
        <v>Western Kentucky</v>
      </c>
      <c r="D63">
        <f>IFERROR(__xludf.DUMMYFUNCTION("""COMPUTED_VALUE"""),0.0)</f>
        <v>0</v>
      </c>
      <c r="E63">
        <f>IFERROR(__xludf.DUMMYFUNCTION("""COMPUTED_VALUE"""),0.0)</f>
        <v>0</v>
      </c>
      <c r="F63" t="str">
        <f>IFERROR(__xludf.DUMMYFUNCTION("""COMPUTED_VALUE"""),"NA")</f>
        <v>NA</v>
      </c>
      <c r="G63" t="str">
        <f>IFERROR(__xludf.DUMMYFUNCTION("""COMPUTED_VALUE"""),"Central Arkansas at Western Kentucky ")</f>
        <v>Central Arkansas at Western Kentucky </v>
      </c>
      <c r="H63" t="str">
        <f>IFERROR(__xludf.DUMMYFUNCTION("""COMPUTED_VALUE"""),"THU, AUG 29 7:30 PM ET")</f>
        <v>THU, AUG 29 7:30 PM ET</v>
      </c>
      <c r="I63" t="str">
        <f>IFERROR(__xludf.DUMMYFUNCTION("""COMPUTED_VALUE"""),"-9½")</f>
        <v>-9½</v>
      </c>
      <c r="J63" t="str">
        <f>IFERROR(__xludf.DUMMYFUNCTION("""COMPUTED_VALUE"""),"54½")</f>
        <v>54½</v>
      </c>
      <c r="K63" t="str">
        <f>IFERROR(__xludf.DUMMYFUNCTION("""COMPUTED_VALUE"""),"Undrafted")</f>
        <v>Undrafted</v>
      </c>
      <c r="L63">
        <f>IFERROR(__xludf.DUMMYFUNCTION("""COMPUTED_VALUE"""),9999.0)</f>
        <v>9999</v>
      </c>
      <c r="M63" s="124">
        <v>0.0</v>
      </c>
    </row>
    <row r="64">
      <c r="A64" s="151">
        <f>IFERROR(__xludf.DUMMYFUNCTION("""COMPUTED_VALUE"""),43702.27976414352)</f>
        <v>43702.27976</v>
      </c>
      <c r="B64" t="str">
        <f>IFERROR(__xludf.DUMMYFUNCTION("""COMPUTED_VALUE"""),"Justin")</f>
        <v>Justin</v>
      </c>
      <c r="C64" t="str">
        <f>IFERROR(__xludf.DUMMYFUNCTION("""COMPUTED_VALUE"""),"South Florida")</f>
        <v>South Florida</v>
      </c>
      <c r="D64">
        <f>IFERROR(__xludf.DUMMYFUNCTION("""COMPUTED_VALUE"""),0.0)</f>
        <v>0</v>
      </c>
      <c r="E64">
        <f>IFERROR(__xludf.DUMMYFUNCTION("""COMPUTED_VALUE"""),0.0)</f>
        <v>0</v>
      </c>
      <c r="F64" t="str">
        <f>IFERROR(__xludf.DUMMYFUNCTION("""COMPUTED_VALUE"""),"NA")</f>
        <v>NA</v>
      </c>
      <c r="G64" t="str">
        <f>IFERROR(__xludf.DUMMYFUNCTION("""COMPUTED_VALUE"""),"(17) Wisconsin at South Florida ")</f>
        <v>(17) Wisconsin at South Florida </v>
      </c>
      <c r="H64" t="str">
        <f>IFERROR(__xludf.DUMMYFUNCTION("""COMPUTED_VALUE"""),"FRI, AUG 30 7:00 PM ET")</f>
        <v>FRI, AUG 30 7:00 PM ET</v>
      </c>
      <c r="I64" t="str">
        <f>IFERROR(__xludf.DUMMYFUNCTION("""COMPUTED_VALUE"""),"13½")</f>
        <v>13½</v>
      </c>
      <c r="J64" t="str">
        <f>IFERROR(__xludf.DUMMYFUNCTION("""COMPUTED_VALUE"""),"57½")</f>
        <v>57½</v>
      </c>
      <c r="K64" t="str">
        <f>IFERROR(__xludf.DUMMYFUNCTION("""COMPUTED_VALUE"""),"Janice/Mike")</f>
        <v>Janice/Mike</v>
      </c>
      <c r="L64">
        <f>IFERROR(__xludf.DUMMYFUNCTION("""COMPUTED_VALUE"""),9999.0)</f>
        <v>9999</v>
      </c>
      <c r="M64" s="124">
        <v>0.0</v>
      </c>
    </row>
    <row r="65">
      <c r="A65" s="151">
        <f>IFERROR(__xludf.DUMMYFUNCTION("""COMPUTED_VALUE"""),43702.27976414352)</f>
        <v>43702.27976</v>
      </c>
      <c r="B65" t="str">
        <f>IFERROR(__xludf.DUMMYFUNCTION("""COMPUTED_VALUE"""),"Justin")</f>
        <v>Justin</v>
      </c>
      <c r="C65" t="str">
        <f>IFERROR(__xludf.DUMMYFUNCTION("""COMPUTED_VALUE"""),"Duke")</f>
        <v>Duke</v>
      </c>
      <c r="D65">
        <f>IFERROR(__xludf.DUMMYFUNCTION("""COMPUTED_VALUE"""),0.0)</f>
        <v>0</v>
      </c>
      <c r="E65">
        <f>IFERROR(__xludf.DUMMYFUNCTION("""COMPUTED_VALUE"""),0.0)</f>
        <v>0</v>
      </c>
      <c r="F65" t="str">
        <f>IFERROR(__xludf.DUMMYFUNCTION("""COMPUTED_VALUE"""),"NA")</f>
        <v>NA</v>
      </c>
      <c r="G65" t="str">
        <f>IFERROR(__xludf.DUMMYFUNCTION("""COMPUTED_VALUE"""),"Duke at (2) Alabama ")</f>
        <v>Duke at (2) Alabama </v>
      </c>
      <c r="H65" t="str">
        <f>IFERROR(__xludf.DUMMYFUNCTION("""COMPUTED_VALUE"""),"SAT, AUG 31 3:30 PM ET")</f>
        <v>SAT, AUG 31 3:30 PM ET</v>
      </c>
      <c r="I65" t="str">
        <f>IFERROR(__xludf.DUMMYFUNCTION("""COMPUTED_VALUE"""),"34½")</f>
        <v>34½</v>
      </c>
      <c r="J65">
        <f>IFERROR(__xludf.DUMMYFUNCTION("""COMPUTED_VALUE"""),58.0)</f>
        <v>58</v>
      </c>
      <c r="K65" t="str">
        <f>IFERROR(__xludf.DUMMYFUNCTION("""COMPUTED_VALUE"""),"DavEmily")</f>
        <v>DavEmily</v>
      </c>
      <c r="L65">
        <f>IFERROR(__xludf.DUMMYFUNCTION("""COMPUTED_VALUE"""),9999.0)</f>
        <v>9999</v>
      </c>
      <c r="M65" s="124">
        <v>0.0</v>
      </c>
    </row>
    <row r="66">
      <c r="A66" s="151">
        <f>IFERROR(__xludf.DUMMYFUNCTION("""COMPUTED_VALUE"""),43702.27976414352)</f>
        <v>43702.27976</v>
      </c>
      <c r="B66" t="str">
        <f>IFERROR(__xludf.DUMMYFUNCTION("""COMPUTED_VALUE"""),"Justin")</f>
        <v>Justin</v>
      </c>
      <c r="C66" t="str">
        <f>IFERROR(__xludf.DUMMYFUNCTION("""COMPUTED_VALUE"""),"Tennessee")</f>
        <v>Tennessee</v>
      </c>
      <c r="D66">
        <f>IFERROR(__xludf.DUMMYFUNCTION("""COMPUTED_VALUE"""),0.0)</f>
        <v>0</v>
      </c>
      <c r="E66">
        <f>IFERROR(__xludf.DUMMYFUNCTION("""COMPUTED_VALUE"""),0.0)</f>
        <v>0</v>
      </c>
      <c r="F66" t="str">
        <f>IFERROR(__xludf.DUMMYFUNCTION("""COMPUTED_VALUE"""),"NA")</f>
        <v>NA</v>
      </c>
      <c r="G66" t="str">
        <f>IFERROR(__xludf.DUMMYFUNCTION("""COMPUTED_VALUE"""),"Georgia State at Tennessee ")</f>
        <v>Georgia State at Tennessee </v>
      </c>
      <c r="H66" t="str">
        <f>IFERROR(__xludf.DUMMYFUNCTION("""COMPUTED_VALUE"""),"SAT, AUG 31 3:30 PM ET")</f>
        <v>SAT, AUG 31 3:30 PM ET</v>
      </c>
      <c r="I66">
        <f>IFERROR(__xludf.DUMMYFUNCTION("""COMPUTED_VALUE"""),-26.0)</f>
        <v>-26</v>
      </c>
      <c r="J66" t="str">
        <f>IFERROR(__xludf.DUMMYFUNCTION("""COMPUTED_VALUE"""),"57½")</f>
        <v>57½</v>
      </c>
      <c r="K66" t="str">
        <f>IFERROR(__xludf.DUMMYFUNCTION("""COMPUTED_VALUE"""),"Adam")</f>
        <v>Adam</v>
      </c>
      <c r="L66">
        <f>IFERROR(__xludf.DUMMYFUNCTION("""COMPUTED_VALUE"""),9999.0)</f>
        <v>9999</v>
      </c>
      <c r="M66" s="124">
        <v>0.0</v>
      </c>
    </row>
    <row r="67">
      <c r="A67" s="151">
        <f>IFERROR(__xludf.DUMMYFUNCTION("""COMPUTED_VALUE"""),43702.27976414352)</f>
        <v>43702.27976</v>
      </c>
      <c r="B67" t="str">
        <f>IFERROR(__xludf.DUMMYFUNCTION("""COMPUTED_VALUE"""),"Justin")</f>
        <v>Justin</v>
      </c>
      <c r="C67" t="str">
        <f>IFERROR(__xludf.DUMMYFUNCTION("""COMPUTED_VALUE"""),"Appalachian State")</f>
        <v>Appalachian State</v>
      </c>
      <c r="D67">
        <f>IFERROR(__xludf.DUMMYFUNCTION("""COMPUTED_VALUE"""),0.0)</f>
        <v>0</v>
      </c>
      <c r="E67">
        <f>IFERROR(__xludf.DUMMYFUNCTION("""COMPUTED_VALUE"""),0.0)</f>
        <v>0</v>
      </c>
      <c r="F67" t="str">
        <f>IFERROR(__xludf.DUMMYFUNCTION("""COMPUTED_VALUE"""),"NA")</f>
        <v>NA</v>
      </c>
      <c r="G67" t="str">
        <f>IFERROR(__xludf.DUMMYFUNCTION("""COMPUTED_VALUE"""),"East Tennessee State at Appalachian State ")</f>
        <v>East Tennessee State at Appalachian State </v>
      </c>
      <c r="H67" t="str">
        <f>IFERROR(__xludf.DUMMYFUNCTION("""COMPUTED_VALUE"""),"SAT, AUG 31 3:30 PM ET")</f>
        <v>SAT, AUG 31 3:30 PM ET</v>
      </c>
      <c r="I67" t="str">
        <f>IFERROR(__xludf.DUMMYFUNCTION("""COMPUTED_VALUE"""),"No Line")</f>
        <v>No Line</v>
      </c>
      <c r="K67" t="str">
        <f>IFERROR(__xludf.DUMMYFUNCTION("""COMPUTED_VALUE"""),"Undrafted")</f>
        <v>Undrafted</v>
      </c>
      <c r="L67">
        <f>IFERROR(__xludf.DUMMYFUNCTION("""COMPUTED_VALUE"""),9999.0)</f>
        <v>9999</v>
      </c>
      <c r="M67" s="124">
        <v>0.0</v>
      </c>
    </row>
    <row r="68">
      <c r="A68" s="151">
        <f>IFERROR(__xludf.DUMMYFUNCTION("""COMPUTED_VALUE"""),43702.27976414352)</f>
        <v>43702.27976</v>
      </c>
      <c r="B68" t="str">
        <f>IFERROR(__xludf.DUMMYFUNCTION("""COMPUTED_VALUE"""),"Justin")</f>
        <v>Justin</v>
      </c>
      <c r="C68" t="str">
        <f>IFERROR(__xludf.DUMMYFUNCTION("""COMPUTED_VALUE"""),"Baylor")</f>
        <v>Baylor</v>
      </c>
      <c r="D68">
        <f>IFERROR(__xludf.DUMMYFUNCTION("""COMPUTED_VALUE"""),0.0)</f>
        <v>0</v>
      </c>
      <c r="E68">
        <f>IFERROR(__xludf.DUMMYFUNCTION("""COMPUTED_VALUE"""),0.0)</f>
        <v>0</v>
      </c>
      <c r="F68" t="str">
        <f>IFERROR(__xludf.DUMMYFUNCTION("""COMPUTED_VALUE"""),"NA")</f>
        <v>NA</v>
      </c>
      <c r="G68" t="str">
        <f>IFERROR(__xludf.DUMMYFUNCTION("""COMPUTED_VALUE"""),"Stephen F. Austin at Baylor ")</f>
        <v>Stephen F. Austin at Baylor </v>
      </c>
      <c r="H68" t="str">
        <f>IFERROR(__xludf.DUMMYFUNCTION("""COMPUTED_VALUE"""),"SAT, AUG 31 7:00 PM ET")</f>
        <v>SAT, AUG 31 7:00 PM ET</v>
      </c>
      <c r="I68" t="str">
        <f>IFERROR(__xludf.DUMMYFUNCTION("""COMPUTED_VALUE"""),"No Line")</f>
        <v>No Line</v>
      </c>
      <c r="K68" t="str">
        <f>IFERROR(__xludf.DUMMYFUNCTION("""COMPUTED_VALUE"""),"Undrafted")</f>
        <v>Undrafted</v>
      </c>
      <c r="L68">
        <f>IFERROR(__xludf.DUMMYFUNCTION("""COMPUTED_VALUE"""),9999.0)</f>
        <v>9999</v>
      </c>
      <c r="M68" s="124">
        <v>0.0</v>
      </c>
    </row>
    <row r="69">
      <c r="A69" s="151">
        <f>IFERROR(__xludf.DUMMYFUNCTION("""COMPUTED_VALUE"""),43702.27976414352)</f>
        <v>43702.27976</v>
      </c>
      <c r="B69" t="str">
        <f>IFERROR(__xludf.DUMMYFUNCTION("""COMPUTED_VALUE"""),"Justin")</f>
        <v>Justin</v>
      </c>
      <c r="C69" t="str">
        <f>IFERROR(__xludf.DUMMYFUNCTION("""COMPUTED_VALUE"""),"Oregon")</f>
        <v>Oregon</v>
      </c>
      <c r="D69">
        <f>IFERROR(__xludf.DUMMYFUNCTION("""COMPUTED_VALUE"""),0.0)</f>
        <v>0</v>
      </c>
      <c r="E69">
        <f>IFERROR(__xludf.DUMMYFUNCTION("""COMPUTED_VALUE"""),0.0)</f>
        <v>0</v>
      </c>
      <c r="F69" t="str">
        <f>IFERROR(__xludf.DUMMYFUNCTION("""COMPUTED_VALUE"""),"NA")</f>
        <v>NA</v>
      </c>
      <c r="G69" t="str">
        <f>IFERROR(__xludf.DUMMYFUNCTION("""COMPUTED_VALUE"""),"(13) Oregon at (16) Auburn ")</f>
        <v>(13) Oregon at (16) Auburn </v>
      </c>
      <c r="H69" t="str">
        <f>IFERROR(__xludf.DUMMYFUNCTION("""COMPUTED_VALUE"""),"SAT, AUG 31 7:30 PM ET")</f>
        <v>SAT, AUG 31 7:30 PM ET</v>
      </c>
      <c r="I69" t="str">
        <f>IFERROR(__xludf.DUMMYFUNCTION("""COMPUTED_VALUE"""),"3½")</f>
        <v>3½</v>
      </c>
      <c r="J69">
        <f>IFERROR(__xludf.DUMMYFUNCTION("""COMPUTED_VALUE"""),56.0)</f>
        <v>56</v>
      </c>
      <c r="K69" t="str">
        <f>IFERROR(__xludf.DUMMYFUNCTION("""COMPUTED_VALUE"""),"Nick G.")</f>
        <v>Nick G.</v>
      </c>
      <c r="L69">
        <f>IFERROR(__xludf.DUMMYFUNCTION("""COMPUTED_VALUE"""),9999.0)</f>
        <v>9999</v>
      </c>
      <c r="M69" s="124">
        <v>0.0</v>
      </c>
    </row>
    <row r="70">
      <c r="A70" s="151">
        <f>IFERROR(__xludf.DUMMYFUNCTION("""COMPUTED_VALUE"""),43702.27976414352)</f>
        <v>43702.27976</v>
      </c>
      <c r="B70" t="str">
        <f>IFERROR(__xludf.DUMMYFUNCTION("""COMPUTED_VALUE"""),"Justin")</f>
        <v>Justin</v>
      </c>
      <c r="C70" t="str">
        <f>IFERROR(__xludf.DUMMYFUNCTION("""COMPUTED_VALUE"""),"Iowa")</f>
        <v>Iowa</v>
      </c>
      <c r="D70">
        <f>IFERROR(__xludf.DUMMYFUNCTION("""COMPUTED_VALUE"""),0.0)</f>
        <v>0</v>
      </c>
      <c r="E70">
        <f>IFERROR(__xludf.DUMMYFUNCTION("""COMPUTED_VALUE"""),0.0)</f>
        <v>0</v>
      </c>
      <c r="F70" t="str">
        <f>IFERROR(__xludf.DUMMYFUNCTION("""COMPUTED_VALUE"""),"NA")</f>
        <v>NA</v>
      </c>
      <c r="G70" t="str">
        <f>IFERROR(__xludf.DUMMYFUNCTION("""COMPUTED_VALUE"""),"Miami-OH at (19) Iowa ")</f>
        <v>Miami-OH at (19) Iowa </v>
      </c>
      <c r="H70" t="str">
        <f>IFERROR(__xludf.DUMMYFUNCTION("""COMPUTED_VALUE"""),"SAT, AUG 31 7:30 PM ET")</f>
        <v>SAT, AUG 31 7:30 PM ET</v>
      </c>
      <c r="I70" t="str">
        <f>IFERROR(__xludf.DUMMYFUNCTION("""COMPUTED_VALUE"""),"-21½")</f>
        <v>-21½</v>
      </c>
      <c r="J70">
        <f>IFERROR(__xludf.DUMMYFUNCTION("""COMPUTED_VALUE"""),49.0)</f>
        <v>49</v>
      </c>
      <c r="K70" t="str">
        <f>IFERROR(__xludf.DUMMYFUNCTION("""COMPUTED_VALUE"""),"Nico")</f>
        <v>Nico</v>
      </c>
      <c r="L70">
        <f>IFERROR(__xludf.DUMMYFUNCTION("""COMPUTED_VALUE"""),9999.0)</f>
        <v>9999</v>
      </c>
      <c r="M70" s="124">
        <v>0.0</v>
      </c>
    </row>
    <row r="71">
      <c r="A71" s="151">
        <f>IFERROR(__xludf.DUMMYFUNCTION("""COMPUTED_VALUE"""),43702.27976414352)</f>
        <v>43702.27976</v>
      </c>
      <c r="B71" t="str">
        <f>IFERROR(__xludf.DUMMYFUNCTION("""COMPUTED_VALUE"""),"Justin")</f>
        <v>Justin</v>
      </c>
      <c r="C71" t="str">
        <f>IFERROR(__xludf.DUMMYFUNCTION("""COMPUTED_VALUE"""),"UNLV")</f>
        <v>UNLV</v>
      </c>
      <c r="D71">
        <f>IFERROR(__xludf.DUMMYFUNCTION("""COMPUTED_VALUE"""),0.0)</f>
        <v>0</v>
      </c>
      <c r="E71">
        <f>IFERROR(__xludf.DUMMYFUNCTION("""COMPUTED_VALUE"""),0.0)</f>
        <v>0</v>
      </c>
      <c r="F71" t="str">
        <f>IFERROR(__xludf.DUMMYFUNCTION("""COMPUTED_VALUE"""),"NA")</f>
        <v>NA</v>
      </c>
      <c r="G71" t="str">
        <f>IFERROR(__xludf.DUMMYFUNCTION("""COMPUTED_VALUE"""),"Southern Utah at UNLV ")</f>
        <v>Southern Utah at UNLV </v>
      </c>
      <c r="H71" t="str">
        <f>IFERROR(__xludf.DUMMYFUNCTION("""COMPUTED_VALUE"""),"SAT, AUG 31 10:00 PM ET")</f>
        <v>SAT, AUG 31 10:00 PM ET</v>
      </c>
      <c r="I71" t="str">
        <f>IFERROR(__xludf.DUMMYFUNCTION("""COMPUTED_VALUE"""),"No Line")</f>
        <v>No Line</v>
      </c>
      <c r="K71" t="str">
        <f>IFERROR(__xludf.DUMMYFUNCTION("""COMPUTED_VALUE"""),"Undrafted")</f>
        <v>Undrafted</v>
      </c>
      <c r="L71">
        <f>IFERROR(__xludf.DUMMYFUNCTION("""COMPUTED_VALUE"""),9999.0)</f>
        <v>9999</v>
      </c>
      <c r="M71" s="124">
        <v>0.0</v>
      </c>
    </row>
    <row r="72">
      <c r="A72" s="151">
        <f>IFERROR(__xludf.DUMMYFUNCTION("""COMPUTED_VALUE"""),43702.27976414352)</f>
        <v>43702.27976</v>
      </c>
      <c r="B72" t="str">
        <f>IFERROR(__xludf.DUMMYFUNCTION("""COMPUTED_VALUE"""),"Adam")</f>
        <v>Adam</v>
      </c>
      <c r="C72" t="str">
        <f>IFERROR(__xludf.DUMMYFUNCTION("""COMPUTED_VALUE"""),"Florida")</f>
        <v>Florida</v>
      </c>
      <c r="D72">
        <f>IFERROR(__xludf.DUMMYFUNCTION("""COMPUTED_VALUE"""),1.0)</f>
        <v>1</v>
      </c>
      <c r="E72">
        <f>IFERROR(__xludf.DUMMYFUNCTION("""COMPUTED_VALUE"""),0.0)</f>
        <v>0</v>
      </c>
      <c r="F72" t="str">
        <f>IFERROR(__xludf.DUMMYFUNCTION("""COMPUTED_VALUE"""),"ESPN")</f>
        <v>ESPN</v>
      </c>
      <c r="G72" t="str">
        <f>IFERROR(__xludf.DUMMYFUNCTION("""COMPUTED_VALUE"""),"Miami 20 at (8) Florida 24")</f>
        <v>Miami 20 at (8) Florida 24</v>
      </c>
      <c r="H72" t="str">
        <f>IFERROR(__xludf.DUMMYFUNCTION("""COMPUTED_VALUE"""),"FINAL")</f>
        <v>FINAL</v>
      </c>
      <c r="I72">
        <f>IFERROR(__xludf.DUMMYFUNCTION("""COMPUTED_VALUE"""),-7.0)</f>
        <v>-7</v>
      </c>
      <c r="J72" t="str">
        <f>IFERROR(__xludf.DUMMYFUNCTION("""COMPUTED_VALUE"""),"46½")</f>
        <v>46½</v>
      </c>
      <c r="K72" t="str">
        <f>IFERROR(__xludf.DUMMYFUNCTION("""COMPUTED_VALUE"""),"Brad")</f>
        <v>Brad</v>
      </c>
      <c r="L72">
        <f>IFERROR(__xludf.DUMMYFUNCTION("""COMPUTED_VALUE"""),9999.0)</f>
        <v>9999</v>
      </c>
      <c r="M72" s="124">
        <v>0.0</v>
      </c>
    </row>
    <row r="73">
      <c r="A73" s="151">
        <f>IFERROR(__xludf.DUMMYFUNCTION("""COMPUTED_VALUE"""),43702.27976414352)</f>
        <v>43702.27976</v>
      </c>
      <c r="B73" t="str">
        <f>IFERROR(__xludf.DUMMYFUNCTION("""COMPUTED_VALUE"""),"Adam")</f>
        <v>Adam</v>
      </c>
      <c r="C73" t="str">
        <f>IFERROR(__xludf.DUMMYFUNCTION("""COMPUTED_VALUE"""),"UCF")</f>
        <v>UCF</v>
      </c>
      <c r="D73">
        <f>IFERROR(__xludf.DUMMYFUNCTION("""COMPUTED_VALUE"""),0.0)</f>
        <v>0</v>
      </c>
      <c r="E73">
        <f>IFERROR(__xludf.DUMMYFUNCTION("""COMPUTED_VALUE"""),0.0)</f>
        <v>0</v>
      </c>
      <c r="F73" t="str">
        <f>IFERROR(__xludf.DUMMYFUNCTION("""COMPUTED_VALUE"""),"NA")</f>
        <v>NA</v>
      </c>
      <c r="G73" t="str">
        <f>IFERROR(__xludf.DUMMYFUNCTION("""COMPUTED_VALUE"""),"Florida A&amp;M at (17) UCF ")</f>
        <v>Florida A&amp;M at (17) UCF </v>
      </c>
      <c r="H73" t="str">
        <f>IFERROR(__xludf.DUMMYFUNCTION("""COMPUTED_VALUE"""),"THU, AUG 29 7:30 PM ET")</f>
        <v>THU, AUG 29 7:30 PM ET</v>
      </c>
      <c r="I73" t="str">
        <f>IFERROR(__xludf.DUMMYFUNCTION("""COMPUTED_VALUE"""),"-45½")</f>
        <v>-45½</v>
      </c>
      <c r="J73">
        <f>IFERROR(__xludf.DUMMYFUNCTION("""COMPUTED_VALUE"""),64.0)</f>
        <v>64</v>
      </c>
      <c r="K73" t="str">
        <f>IFERROR(__xludf.DUMMYFUNCTION("""COMPUTED_VALUE"""),"Undrafted")</f>
        <v>Undrafted</v>
      </c>
      <c r="L73">
        <f>IFERROR(__xludf.DUMMYFUNCTION("""COMPUTED_VALUE"""),9999.0)</f>
        <v>9999</v>
      </c>
      <c r="M73" s="124">
        <v>0.0</v>
      </c>
    </row>
    <row r="74">
      <c r="A74" s="151">
        <f>IFERROR(__xludf.DUMMYFUNCTION("""COMPUTED_VALUE"""),43702.27976414352)</f>
        <v>43702.27976</v>
      </c>
      <c r="B74" t="str">
        <f>IFERROR(__xludf.DUMMYFUNCTION("""COMPUTED_VALUE"""),"Adam")</f>
        <v>Adam</v>
      </c>
      <c r="C74" t="str">
        <f>IFERROR(__xludf.DUMMYFUNCTION("""COMPUTED_VALUE"""),"Florida Intl")</f>
        <v>Florida Intl</v>
      </c>
      <c r="D74">
        <f>IFERROR(__xludf.DUMMYFUNCTION("""COMPUTED_VALUE"""),0.0)</f>
        <v>0</v>
      </c>
      <c r="E74">
        <f>IFERROR(__xludf.DUMMYFUNCTION("""COMPUTED_VALUE"""),0.0)</f>
        <v>0</v>
      </c>
      <c r="F74" t="str">
        <f>IFERROR(__xludf.DUMMYFUNCTION("""COMPUTED_VALUE"""),"NA")</f>
        <v>NA</v>
      </c>
      <c r="G74" t="str">
        <f>IFERROR(__xludf.DUMMYFUNCTION("""COMPUTED_VALUE"""),"Florida Intl at Tulane ")</f>
        <v>Florida Intl at Tulane </v>
      </c>
      <c r="H74" t="str">
        <f>IFERROR(__xludf.DUMMYFUNCTION("""COMPUTED_VALUE"""),"THU, AUG 29 8:00 PM ET")</f>
        <v>THU, AUG 29 8:00 PM ET</v>
      </c>
      <c r="I74">
        <f>IFERROR(__xludf.DUMMYFUNCTION("""COMPUTED_VALUE"""),2.0)</f>
        <v>2</v>
      </c>
      <c r="J74">
        <f>IFERROR(__xludf.DUMMYFUNCTION("""COMPUTED_VALUE"""),57.0)</f>
        <v>57</v>
      </c>
      <c r="K74" t="str">
        <f>IFERROR(__xludf.DUMMYFUNCTION("""COMPUTED_VALUE"""),"Gary")</f>
        <v>Gary</v>
      </c>
      <c r="L74">
        <f>IFERROR(__xludf.DUMMYFUNCTION("""COMPUTED_VALUE"""),9999.0)</f>
        <v>9999</v>
      </c>
      <c r="M74" s="124">
        <v>0.0</v>
      </c>
    </row>
    <row r="75">
      <c r="A75" s="151">
        <f>IFERROR(__xludf.DUMMYFUNCTION("""COMPUTED_VALUE"""),43702.27976414352)</f>
        <v>43702.27976</v>
      </c>
      <c r="B75" t="str">
        <f>IFERROR(__xludf.DUMMYFUNCTION("""COMPUTED_VALUE"""),"Adam")</f>
        <v>Adam</v>
      </c>
      <c r="C75" t="str">
        <f>IFERROR(__xludf.DUMMYFUNCTION("""COMPUTED_VALUE"""),"Wake Forest")</f>
        <v>Wake Forest</v>
      </c>
      <c r="D75">
        <f>IFERROR(__xludf.DUMMYFUNCTION("""COMPUTED_VALUE"""),0.0)</f>
        <v>0</v>
      </c>
      <c r="E75">
        <f>IFERROR(__xludf.DUMMYFUNCTION("""COMPUTED_VALUE"""),0.0)</f>
        <v>0</v>
      </c>
      <c r="F75" t="str">
        <f>IFERROR(__xludf.DUMMYFUNCTION("""COMPUTED_VALUE"""),"NA")</f>
        <v>NA</v>
      </c>
      <c r="G75" t="str">
        <f>IFERROR(__xludf.DUMMYFUNCTION("""COMPUTED_VALUE"""),"Utah State at Wake Forest ")</f>
        <v>Utah State at Wake Forest </v>
      </c>
      <c r="H75" t="str">
        <f>IFERROR(__xludf.DUMMYFUNCTION("""COMPUTED_VALUE"""),"FRI, AUG 30 8:00 PM ET")</f>
        <v>FRI, AUG 30 8:00 PM ET</v>
      </c>
      <c r="I75" t="str">
        <f>IFERROR(__xludf.DUMMYFUNCTION("""COMPUTED_VALUE"""),"-3½")</f>
        <v>-3½</v>
      </c>
      <c r="J75" t="str">
        <f>IFERROR(__xludf.DUMMYFUNCTION("""COMPUTED_VALUE"""),"63½")</f>
        <v>63½</v>
      </c>
      <c r="K75" t="str">
        <f>IFERROR(__xludf.DUMMYFUNCTION("""COMPUTED_VALUE"""),"Gary")</f>
        <v>Gary</v>
      </c>
      <c r="L75">
        <f>IFERROR(__xludf.DUMMYFUNCTION("""COMPUTED_VALUE"""),9999.0)</f>
        <v>9999</v>
      </c>
      <c r="M75" s="124">
        <v>0.0</v>
      </c>
    </row>
    <row r="76">
      <c r="A76" s="151">
        <f>IFERROR(__xludf.DUMMYFUNCTION("""COMPUTED_VALUE"""),43702.27976414352)</f>
        <v>43702.27976</v>
      </c>
      <c r="B76" t="str">
        <f>IFERROR(__xludf.DUMMYFUNCTION("""COMPUTED_VALUE"""),"Adam")</f>
        <v>Adam</v>
      </c>
      <c r="C76" t="str">
        <f>IFERROR(__xludf.DUMMYFUNCTION("""COMPUTED_VALUE"""),"Oregon State")</f>
        <v>Oregon State</v>
      </c>
      <c r="D76">
        <f>IFERROR(__xludf.DUMMYFUNCTION("""COMPUTED_VALUE"""),0.0)</f>
        <v>0</v>
      </c>
      <c r="E76">
        <f>IFERROR(__xludf.DUMMYFUNCTION("""COMPUTED_VALUE"""),0.0)</f>
        <v>0</v>
      </c>
      <c r="F76" t="str">
        <f>IFERROR(__xludf.DUMMYFUNCTION("""COMPUTED_VALUE"""),"NA")</f>
        <v>NA</v>
      </c>
      <c r="G76" t="str">
        <f>IFERROR(__xludf.DUMMYFUNCTION("""COMPUTED_VALUE"""),"Oklahoma State at Oregon State ")</f>
        <v>Oklahoma State at Oregon State </v>
      </c>
      <c r="H76" t="str">
        <f>IFERROR(__xludf.DUMMYFUNCTION("""COMPUTED_VALUE"""),"FRI, AUG 30 10:30 PM ET")</f>
        <v>FRI, AUG 30 10:30 PM ET</v>
      </c>
      <c r="I76" t="str">
        <f>IFERROR(__xludf.DUMMYFUNCTION("""COMPUTED_VALUE"""),"15½")</f>
        <v>15½</v>
      </c>
      <c r="J76" t="str">
        <f>IFERROR(__xludf.DUMMYFUNCTION("""COMPUTED_VALUE"""),"73½")</f>
        <v>73½</v>
      </c>
      <c r="K76" t="str">
        <f>IFERROR(__xludf.DUMMYFUNCTION("""COMPUTED_VALUE"""),"Brad")</f>
        <v>Brad</v>
      </c>
      <c r="L76">
        <f>IFERROR(__xludf.DUMMYFUNCTION("""COMPUTED_VALUE"""),9999.0)</f>
        <v>9999</v>
      </c>
      <c r="M76" s="124">
        <v>0.0</v>
      </c>
    </row>
    <row r="77">
      <c r="A77" s="151">
        <f>IFERROR(__xludf.DUMMYFUNCTION("""COMPUTED_VALUE"""),43702.27976414352)</f>
        <v>43702.27976</v>
      </c>
      <c r="B77" t="str">
        <f>IFERROR(__xludf.DUMMYFUNCTION("""COMPUTED_VALUE"""),"Adam")</f>
        <v>Adam</v>
      </c>
      <c r="C77" t="str">
        <f>IFERROR(__xludf.DUMMYFUNCTION("""COMPUTED_VALUE"""),"Akron")</f>
        <v>Akron</v>
      </c>
      <c r="D77">
        <f>IFERROR(__xludf.DUMMYFUNCTION("""COMPUTED_VALUE"""),0.0)</f>
        <v>0</v>
      </c>
      <c r="E77">
        <f>IFERROR(__xludf.DUMMYFUNCTION("""COMPUTED_VALUE"""),0.0)</f>
        <v>0</v>
      </c>
      <c r="F77" t="str">
        <f>IFERROR(__xludf.DUMMYFUNCTION("""COMPUTED_VALUE"""),"NA")</f>
        <v>NA</v>
      </c>
      <c r="G77" t="str">
        <f>IFERROR(__xludf.DUMMYFUNCTION("""COMPUTED_VALUE"""),"Akron at Illinois ")</f>
        <v>Akron at Illinois </v>
      </c>
      <c r="H77" t="str">
        <f>IFERROR(__xludf.DUMMYFUNCTION("""COMPUTED_VALUE"""),"SAT, AUG 31 12:00 PM ET")</f>
        <v>SAT, AUG 31 12:00 PM ET</v>
      </c>
      <c r="I77">
        <f>IFERROR(__xludf.DUMMYFUNCTION("""COMPUTED_VALUE"""),17.0)</f>
        <v>17</v>
      </c>
      <c r="J77">
        <f>IFERROR(__xludf.DUMMYFUNCTION("""COMPUTED_VALUE"""),59.0)</f>
        <v>59</v>
      </c>
      <c r="K77" t="str">
        <f>IFERROR(__xludf.DUMMYFUNCTION("""COMPUTED_VALUE"""),"Undrafted")</f>
        <v>Undrafted</v>
      </c>
      <c r="L77">
        <f>IFERROR(__xludf.DUMMYFUNCTION("""COMPUTED_VALUE"""),9999.0)</f>
        <v>9999</v>
      </c>
      <c r="M77" s="124">
        <v>0.0</v>
      </c>
    </row>
    <row r="78">
      <c r="A78" s="151">
        <f>IFERROR(__xludf.DUMMYFUNCTION("""COMPUTED_VALUE"""),43702.27976414352)</f>
        <v>43702.27976</v>
      </c>
      <c r="B78" t="str">
        <f>IFERROR(__xludf.DUMMYFUNCTION("""COMPUTED_VALUE"""),"Adam")</f>
        <v>Adam</v>
      </c>
      <c r="C78" t="str">
        <f>IFERROR(__xludf.DUMMYFUNCTION("""COMPUTED_VALUE"""),"Air Force")</f>
        <v>Air Force</v>
      </c>
      <c r="D78">
        <f>IFERROR(__xludf.DUMMYFUNCTION("""COMPUTED_VALUE"""),0.0)</f>
        <v>0</v>
      </c>
      <c r="E78">
        <f>IFERROR(__xludf.DUMMYFUNCTION("""COMPUTED_VALUE"""),0.0)</f>
        <v>0</v>
      </c>
      <c r="F78" t="str">
        <f>IFERROR(__xludf.DUMMYFUNCTION("""COMPUTED_VALUE"""),"NA")</f>
        <v>NA</v>
      </c>
      <c r="G78" t="str">
        <f>IFERROR(__xludf.DUMMYFUNCTION("""COMPUTED_VALUE"""),"Colgate at Air Force ")</f>
        <v>Colgate at Air Force </v>
      </c>
      <c r="H78" t="str">
        <f>IFERROR(__xludf.DUMMYFUNCTION("""COMPUTED_VALUE"""),"SAT, AUG 31 3:30 PM ET")</f>
        <v>SAT, AUG 31 3:30 PM ET</v>
      </c>
      <c r="I78" t="str">
        <f>IFERROR(__xludf.DUMMYFUNCTION("""COMPUTED_VALUE"""),"No Line")</f>
        <v>No Line</v>
      </c>
      <c r="K78" t="str">
        <f>IFERROR(__xludf.DUMMYFUNCTION("""COMPUTED_VALUE"""),"Undrafted")</f>
        <v>Undrafted</v>
      </c>
      <c r="L78">
        <f>IFERROR(__xludf.DUMMYFUNCTION("""COMPUTED_VALUE"""),9999.0)</f>
        <v>9999</v>
      </c>
      <c r="M78" s="124">
        <v>0.0</v>
      </c>
    </row>
    <row r="79">
      <c r="A79" s="151">
        <f>IFERROR(__xludf.DUMMYFUNCTION("""COMPUTED_VALUE"""),43702.27976414352)</f>
        <v>43702.27976</v>
      </c>
      <c r="B79" t="str">
        <f>IFERROR(__xludf.DUMMYFUNCTION("""COMPUTED_VALUE"""),"Adam")</f>
        <v>Adam</v>
      </c>
      <c r="C79" t="str">
        <f>IFERROR(__xludf.DUMMYFUNCTION("""COMPUTED_VALUE"""),"Georgia State")</f>
        <v>Georgia State</v>
      </c>
      <c r="D79">
        <f>IFERROR(__xludf.DUMMYFUNCTION("""COMPUTED_VALUE"""),0.0)</f>
        <v>0</v>
      </c>
      <c r="E79">
        <f>IFERROR(__xludf.DUMMYFUNCTION("""COMPUTED_VALUE"""),0.0)</f>
        <v>0</v>
      </c>
      <c r="F79" t="str">
        <f>IFERROR(__xludf.DUMMYFUNCTION("""COMPUTED_VALUE"""),"NA")</f>
        <v>NA</v>
      </c>
      <c r="G79" t="str">
        <f>IFERROR(__xludf.DUMMYFUNCTION("""COMPUTED_VALUE"""),"Georgia State at Tennessee ")</f>
        <v>Georgia State at Tennessee </v>
      </c>
      <c r="H79" t="str">
        <f>IFERROR(__xludf.DUMMYFUNCTION("""COMPUTED_VALUE"""),"SAT, AUG 31 3:30 PM ET")</f>
        <v>SAT, AUG 31 3:30 PM ET</v>
      </c>
      <c r="I79">
        <f>IFERROR(__xludf.DUMMYFUNCTION("""COMPUTED_VALUE"""),26.0)</f>
        <v>26</v>
      </c>
      <c r="J79" t="str">
        <f>IFERROR(__xludf.DUMMYFUNCTION("""COMPUTED_VALUE"""),"57½")</f>
        <v>57½</v>
      </c>
      <c r="K79" t="str">
        <f>IFERROR(__xludf.DUMMYFUNCTION("""COMPUTED_VALUE"""),"Justin")</f>
        <v>Justin</v>
      </c>
      <c r="L79">
        <f>IFERROR(__xludf.DUMMYFUNCTION("""COMPUTED_VALUE"""),9999.0)</f>
        <v>9999</v>
      </c>
      <c r="M79" s="124">
        <v>0.0</v>
      </c>
    </row>
    <row r="80">
      <c r="A80" s="151">
        <f>IFERROR(__xludf.DUMMYFUNCTION("""COMPUTED_VALUE"""),43702.27976414352)</f>
        <v>43702.27976</v>
      </c>
      <c r="B80" t="str">
        <f>IFERROR(__xludf.DUMMYFUNCTION("""COMPUTED_VALUE"""),"Adam")</f>
        <v>Adam</v>
      </c>
      <c r="C80" t="str">
        <f>IFERROR(__xludf.DUMMYFUNCTION("""COMPUTED_VALUE"""),"Northwestern")</f>
        <v>Northwestern</v>
      </c>
      <c r="D80">
        <f>IFERROR(__xludf.DUMMYFUNCTION("""COMPUTED_VALUE"""),0.0)</f>
        <v>0</v>
      </c>
      <c r="E80">
        <f>IFERROR(__xludf.DUMMYFUNCTION("""COMPUTED_VALUE"""),0.0)</f>
        <v>0</v>
      </c>
      <c r="F80" t="str">
        <f>IFERROR(__xludf.DUMMYFUNCTION("""COMPUTED_VALUE"""),"NA")</f>
        <v>NA</v>
      </c>
      <c r="G80" t="str">
        <f>IFERROR(__xludf.DUMMYFUNCTION("""COMPUTED_VALUE"""),"(25) Northwestern at (23) Stanford ")</f>
        <v>(25) Northwestern at (23) Stanford </v>
      </c>
      <c r="H80" t="str">
        <f>IFERROR(__xludf.DUMMYFUNCTION("""COMPUTED_VALUE"""),"SAT, AUG 31 4:00 PM ET")</f>
        <v>SAT, AUG 31 4:00 PM ET</v>
      </c>
      <c r="I80" t="str">
        <f>IFERROR(__xludf.DUMMYFUNCTION("""COMPUTED_VALUE"""),"6½")</f>
        <v>6½</v>
      </c>
      <c r="J80">
        <f>IFERROR(__xludf.DUMMYFUNCTION("""COMPUTED_VALUE"""),47.0)</f>
        <v>47</v>
      </c>
      <c r="K80" t="str">
        <f>IFERROR(__xludf.DUMMYFUNCTION("""COMPUTED_VALUE"""),"Nick G.")</f>
        <v>Nick G.</v>
      </c>
      <c r="L80">
        <f>IFERROR(__xludf.DUMMYFUNCTION("""COMPUTED_VALUE"""),9999.0)</f>
        <v>9999</v>
      </c>
      <c r="M80" s="124">
        <v>0.0</v>
      </c>
    </row>
    <row r="81">
      <c r="A81" s="151">
        <f>IFERROR(__xludf.DUMMYFUNCTION("""COMPUTED_VALUE"""),43702.27976414352)</f>
        <v>43702.27976</v>
      </c>
      <c r="B81" t="str">
        <f>IFERROR(__xludf.DUMMYFUNCTION("""COMPUTED_VALUE"""),"Adam")</f>
        <v>Adam</v>
      </c>
      <c r="C81" t="str">
        <f>IFERROR(__xludf.DUMMYFUNCTION("""COMPUTED_VALUE"""),"Texas")</f>
        <v>Texas</v>
      </c>
      <c r="D81">
        <f>IFERROR(__xludf.DUMMYFUNCTION("""COMPUTED_VALUE"""),0.0)</f>
        <v>0</v>
      </c>
      <c r="E81">
        <f>IFERROR(__xludf.DUMMYFUNCTION("""COMPUTED_VALUE"""),0.0)</f>
        <v>0</v>
      </c>
      <c r="F81" t="str">
        <f>IFERROR(__xludf.DUMMYFUNCTION("""COMPUTED_VALUE"""),"NA")</f>
        <v>NA</v>
      </c>
      <c r="G81" t="str">
        <f>IFERROR(__xludf.DUMMYFUNCTION("""COMPUTED_VALUE"""),"Louisiana Tech at (10) Texas ")</f>
        <v>Louisiana Tech at (10) Texas </v>
      </c>
      <c r="H81" t="str">
        <f>IFERROR(__xludf.DUMMYFUNCTION("""COMPUTED_VALUE"""),"SAT, AUG 31 8:00 PM ET")</f>
        <v>SAT, AUG 31 8:00 PM ET</v>
      </c>
      <c r="I81" t="str">
        <f>IFERROR(__xludf.DUMMYFUNCTION("""COMPUTED_VALUE"""),"-20½")</f>
        <v>-20½</v>
      </c>
      <c r="J81">
        <f>IFERROR(__xludf.DUMMYFUNCTION("""COMPUTED_VALUE"""),55.0)</f>
        <v>55</v>
      </c>
      <c r="K81" t="str">
        <f>IFERROR(__xludf.DUMMYFUNCTION("""COMPUTED_VALUE"""),"Brad")</f>
        <v>Brad</v>
      </c>
      <c r="L81">
        <f>IFERROR(__xludf.DUMMYFUNCTION("""COMPUTED_VALUE"""),9999.0)</f>
        <v>9999</v>
      </c>
      <c r="M81" s="124">
        <v>0.0</v>
      </c>
    </row>
    <row r="82">
      <c r="A82" s="151">
        <f>IFERROR(__xludf.DUMMYFUNCTION("""COMPUTED_VALUE"""),43702.27976414352)</f>
        <v>43702.27976</v>
      </c>
      <c r="B82" t="str">
        <f>IFERROR(__xludf.DUMMYFUNCTION("""COMPUTED_VALUE"""),"Vu")</f>
        <v>Vu</v>
      </c>
      <c r="C82" t="str">
        <f>IFERROR(__xludf.DUMMYFUNCTION("""COMPUTED_VALUE"""),"Hawaii")</f>
        <v>Hawaii</v>
      </c>
      <c r="D82">
        <f>IFERROR(__xludf.DUMMYFUNCTION("""COMPUTED_VALUE"""),1.0)</f>
        <v>1</v>
      </c>
      <c r="E82">
        <f>IFERROR(__xludf.DUMMYFUNCTION("""COMPUTED_VALUE"""),0.0)</f>
        <v>0</v>
      </c>
      <c r="F82" t="str">
        <f>IFERROR(__xludf.DUMMYFUNCTION("""COMPUTED_VALUE"""),"CBSSN")</f>
        <v>CBSSN</v>
      </c>
      <c r="G82" t="str">
        <f>IFERROR(__xludf.DUMMYFUNCTION("""COMPUTED_VALUE"""),"Arizona 38 at Hawaii 45")</f>
        <v>Arizona 38 at Hawaii 45</v>
      </c>
      <c r="H82" t="str">
        <f>IFERROR(__xludf.DUMMYFUNCTION("""COMPUTED_VALUE"""),"FINAL")</f>
        <v>FINAL</v>
      </c>
      <c r="I82" t="str">
        <f>IFERROR(__xludf.DUMMYFUNCTION("""COMPUTED_VALUE"""),"10½")</f>
        <v>10½</v>
      </c>
      <c r="J82" t="str">
        <f>IFERROR(__xludf.DUMMYFUNCTION("""COMPUTED_VALUE"""),"71½")</f>
        <v>71½</v>
      </c>
      <c r="K82" t="str">
        <f>IFERROR(__xludf.DUMMYFUNCTION("""COMPUTED_VALUE"""),"Janice/Mike")</f>
        <v>Janice/Mike</v>
      </c>
      <c r="L82">
        <f>IFERROR(__xludf.DUMMYFUNCTION("""COMPUTED_VALUE"""),9999.0)</f>
        <v>9999</v>
      </c>
      <c r="M82" s="124">
        <v>0.0</v>
      </c>
    </row>
    <row r="83">
      <c r="A83" s="151">
        <f>IFERROR(__xludf.DUMMYFUNCTION("""COMPUTED_VALUE"""),43702.27976414352)</f>
        <v>43702.27976</v>
      </c>
      <c r="B83" t="str">
        <f>IFERROR(__xludf.DUMMYFUNCTION("""COMPUTED_VALUE"""),"Vu")</f>
        <v>Vu</v>
      </c>
      <c r="C83" t="str">
        <f>IFERROR(__xludf.DUMMYFUNCTION("""COMPUTED_VALUE"""),"Cincinnati")</f>
        <v>Cincinnati</v>
      </c>
      <c r="D83">
        <f>IFERROR(__xludf.DUMMYFUNCTION("""COMPUTED_VALUE"""),0.0)</f>
        <v>0</v>
      </c>
      <c r="E83">
        <f>IFERROR(__xludf.DUMMYFUNCTION("""COMPUTED_VALUE"""),0.0)</f>
        <v>0</v>
      </c>
      <c r="F83" t="str">
        <f>IFERROR(__xludf.DUMMYFUNCTION("""COMPUTED_VALUE"""),"NA")</f>
        <v>NA</v>
      </c>
      <c r="G83" t="str">
        <f>IFERROR(__xludf.DUMMYFUNCTION("""COMPUTED_VALUE"""),"UCLA at Cincinnati ")</f>
        <v>UCLA at Cincinnati </v>
      </c>
      <c r="H83" t="str">
        <f>IFERROR(__xludf.DUMMYFUNCTION("""COMPUTED_VALUE"""),"THU, AUG 29 7:00 PM ET")</f>
        <v>THU, AUG 29 7:00 PM ET</v>
      </c>
      <c r="I83">
        <f>IFERROR(__xludf.DUMMYFUNCTION("""COMPUTED_VALUE"""),-3.0)</f>
        <v>-3</v>
      </c>
      <c r="J83" t="str">
        <f>IFERROR(__xludf.DUMMYFUNCTION("""COMPUTED_VALUE"""),"60½")</f>
        <v>60½</v>
      </c>
      <c r="K83" t="str">
        <f>IFERROR(__xludf.DUMMYFUNCTION("""COMPUTED_VALUE"""),"Gary")</f>
        <v>Gary</v>
      </c>
      <c r="L83">
        <f>IFERROR(__xludf.DUMMYFUNCTION("""COMPUTED_VALUE"""),9999.0)</f>
        <v>9999</v>
      </c>
      <c r="M83" s="124">
        <v>0.0</v>
      </c>
    </row>
    <row r="84">
      <c r="A84" s="151">
        <f>IFERROR(__xludf.DUMMYFUNCTION("""COMPUTED_VALUE"""),43702.27976414352)</f>
        <v>43702.27976</v>
      </c>
      <c r="B84" t="str">
        <f>IFERROR(__xludf.DUMMYFUNCTION("""COMPUTED_VALUE"""),"Vu")</f>
        <v>Vu</v>
      </c>
      <c r="C84" t="str">
        <f>IFERROR(__xludf.DUMMYFUNCTION("""COMPUTED_VALUE"""),"Texas A&amp;M")</f>
        <v>Texas A&amp;M</v>
      </c>
      <c r="D84">
        <f>IFERROR(__xludf.DUMMYFUNCTION("""COMPUTED_VALUE"""),0.0)</f>
        <v>0</v>
      </c>
      <c r="E84">
        <f>IFERROR(__xludf.DUMMYFUNCTION("""COMPUTED_VALUE"""),0.0)</f>
        <v>0</v>
      </c>
      <c r="F84" t="str">
        <f>IFERROR(__xludf.DUMMYFUNCTION("""COMPUTED_VALUE"""),"NA")</f>
        <v>NA</v>
      </c>
      <c r="G84" t="str">
        <f>IFERROR(__xludf.DUMMYFUNCTION("""COMPUTED_VALUE"""),"Texas State at (11) Texas A&amp;M ")</f>
        <v>Texas State at (11) Texas A&amp;M </v>
      </c>
      <c r="H84" t="str">
        <f>IFERROR(__xludf.DUMMYFUNCTION("""COMPUTED_VALUE"""),"THU, AUG 29 8:30 PM ET")</f>
        <v>THU, AUG 29 8:30 PM ET</v>
      </c>
      <c r="I84" t="str">
        <f>IFERROR(__xludf.DUMMYFUNCTION("""COMPUTED_VALUE"""),"-33½")</f>
        <v>-33½</v>
      </c>
      <c r="J84" t="str">
        <f>IFERROR(__xludf.DUMMYFUNCTION("""COMPUTED_VALUE"""),"57½")</f>
        <v>57½</v>
      </c>
      <c r="K84" t="str">
        <f>IFERROR(__xludf.DUMMYFUNCTION("""COMPUTED_VALUE"""),"Brad")</f>
        <v>Brad</v>
      </c>
      <c r="L84">
        <f>IFERROR(__xludf.DUMMYFUNCTION("""COMPUTED_VALUE"""),9999.0)</f>
        <v>9999</v>
      </c>
      <c r="M84" s="124">
        <v>0.0</v>
      </c>
    </row>
    <row r="85">
      <c r="A85" s="151">
        <f>IFERROR(__xludf.DUMMYFUNCTION("""COMPUTED_VALUE"""),43702.27976414352)</f>
        <v>43702.27976</v>
      </c>
      <c r="B85" t="str">
        <f>IFERROR(__xludf.DUMMYFUNCTION("""COMPUTED_VALUE"""),"Vu")</f>
        <v>Vu</v>
      </c>
      <c r="C85" t="str">
        <f>IFERROR(__xludf.DUMMYFUNCTION("""COMPUTED_VALUE"""),"Kent State")</f>
        <v>Kent State</v>
      </c>
      <c r="D85">
        <f>IFERROR(__xludf.DUMMYFUNCTION("""COMPUTED_VALUE"""),0.0)</f>
        <v>0</v>
      </c>
      <c r="E85">
        <f>IFERROR(__xludf.DUMMYFUNCTION("""COMPUTED_VALUE"""),0.0)</f>
        <v>0</v>
      </c>
      <c r="F85" t="str">
        <f>IFERROR(__xludf.DUMMYFUNCTION("""COMPUTED_VALUE"""),"NA")</f>
        <v>NA</v>
      </c>
      <c r="G85" t="str">
        <f>IFERROR(__xludf.DUMMYFUNCTION("""COMPUTED_VALUE"""),"Kent State at Arizona State ")</f>
        <v>Kent State at Arizona State </v>
      </c>
      <c r="H85" t="str">
        <f>IFERROR(__xludf.DUMMYFUNCTION("""COMPUTED_VALUE"""),"THU, AUG 29 10:00 PM ET")</f>
        <v>THU, AUG 29 10:00 PM ET</v>
      </c>
      <c r="I85">
        <f>IFERROR(__xludf.DUMMYFUNCTION("""COMPUTED_VALUE"""),25.0)</f>
        <v>25</v>
      </c>
      <c r="J85">
        <f>IFERROR(__xludf.DUMMYFUNCTION("""COMPUTED_VALUE"""),62.0)</f>
        <v>62</v>
      </c>
      <c r="K85" t="str">
        <f>IFERROR(__xludf.DUMMYFUNCTION("""COMPUTED_VALUE"""),"Nico")</f>
        <v>Nico</v>
      </c>
      <c r="L85">
        <f>IFERROR(__xludf.DUMMYFUNCTION("""COMPUTED_VALUE"""),9999.0)</f>
        <v>9999</v>
      </c>
      <c r="M85" s="124">
        <v>0.0</v>
      </c>
    </row>
    <row r="86">
      <c r="A86" s="151">
        <f>IFERROR(__xludf.DUMMYFUNCTION("""COMPUTED_VALUE"""),43702.27976414352)</f>
        <v>43702.27976</v>
      </c>
      <c r="B86" t="str">
        <f>IFERROR(__xludf.DUMMYFUNCTION("""COMPUTED_VALUE"""),"Vu")</f>
        <v>Vu</v>
      </c>
      <c r="C86" t="str">
        <f>IFERROR(__xludf.DUMMYFUNCTION("""COMPUTED_VALUE"""),"South Alabama")</f>
        <v>South Alabama</v>
      </c>
      <c r="D86">
        <f>IFERROR(__xludf.DUMMYFUNCTION("""COMPUTED_VALUE"""),0.0)</f>
        <v>0</v>
      </c>
      <c r="E86">
        <f>IFERROR(__xludf.DUMMYFUNCTION("""COMPUTED_VALUE"""),0.0)</f>
        <v>0</v>
      </c>
      <c r="F86" t="str">
        <f>IFERROR(__xludf.DUMMYFUNCTION("""COMPUTED_VALUE"""),"NA")</f>
        <v>NA</v>
      </c>
      <c r="G86" t="str">
        <f>IFERROR(__xludf.DUMMYFUNCTION("""COMPUTED_VALUE"""),"South Alabama at Nebraska ")</f>
        <v>South Alabama at Nebraska </v>
      </c>
      <c r="H86" t="str">
        <f>IFERROR(__xludf.DUMMYFUNCTION("""COMPUTED_VALUE"""),"SAT, AUG 31 12:00 PM ET")</f>
        <v>SAT, AUG 31 12:00 PM ET</v>
      </c>
      <c r="I86">
        <f>IFERROR(__xludf.DUMMYFUNCTION("""COMPUTED_VALUE"""),36.0)</f>
        <v>36</v>
      </c>
      <c r="J86" t="str">
        <f>IFERROR(__xludf.DUMMYFUNCTION("""COMPUTED_VALUE"""),"64½")</f>
        <v>64½</v>
      </c>
      <c r="K86" t="str">
        <f>IFERROR(__xludf.DUMMYFUNCTION("""COMPUTED_VALUE"""),"DavEmily")</f>
        <v>DavEmily</v>
      </c>
      <c r="L86">
        <f>IFERROR(__xludf.DUMMYFUNCTION("""COMPUTED_VALUE"""),9999.0)</f>
        <v>9999</v>
      </c>
      <c r="M86" s="124">
        <v>0.0</v>
      </c>
    </row>
    <row r="87">
      <c r="A87" s="151">
        <f>IFERROR(__xludf.DUMMYFUNCTION("""COMPUTED_VALUE"""),43702.27976414352)</f>
        <v>43702.27976</v>
      </c>
      <c r="B87" t="str">
        <f>IFERROR(__xludf.DUMMYFUNCTION("""COMPUTED_VALUE"""),"Vu")</f>
        <v>Vu</v>
      </c>
      <c r="C87" t="str">
        <f>IFERROR(__xludf.DUMMYFUNCTION("""COMPUTED_VALUE"""),"Washington")</f>
        <v>Washington</v>
      </c>
      <c r="D87">
        <f>IFERROR(__xludf.DUMMYFUNCTION("""COMPUTED_VALUE"""),0.0)</f>
        <v>0</v>
      </c>
      <c r="E87">
        <f>IFERROR(__xludf.DUMMYFUNCTION("""COMPUTED_VALUE"""),0.0)</f>
        <v>0</v>
      </c>
      <c r="F87" t="str">
        <f>IFERROR(__xludf.DUMMYFUNCTION("""COMPUTED_VALUE"""),"NA")</f>
        <v>NA</v>
      </c>
      <c r="G87" t="str">
        <f>IFERROR(__xludf.DUMMYFUNCTION("""COMPUTED_VALUE"""),"Eastern Washington at (12) Washington ")</f>
        <v>Eastern Washington at (12) Washington </v>
      </c>
      <c r="H87" t="str">
        <f>IFERROR(__xludf.DUMMYFUNCTION("""COMPUTED_VALUE"""),"SAT, AUG 31 3:00 PM ET")</f>
        <v>SAT, AUG 31 3:00 PM ET</v>
      </c>
      <c r="I87" t="str">
        <f>IFERROR(__xludf.DUMMYFUNCTION("""COMPUTED_VALUE"""),"No Line")</f>
        <v>No Line</v>
      </c>
      <c r="K87" t="str">
        <f>IFERROR(__xludf.DUMMYFUNCTION("""COMPUTED_VALUE"""),"Undrafted")</f>
        <v>Undrafted</v>
      </c>
      <c r="L87">
        <f>IFERROR(__xludf.DUMMYFUNCTION("""COMPUTED_VALUE"""),9999.0)</f>
        <v>9999</v>
      </c>
      <c r="M87" s="124">
        <v>0.0</v>
      </c>
    </row>
    <row r="88">
      <c r="A88" s="151">
        <f>IFERROR(__xludf.DUMMYFUNCTION("""COMPUTED_VALUE"""),43702.27976414352)</f>
        <v>43702.27976</v>
      </c>
      <c r="B88" t="str">
        <f>IFERROR(__xludf.DUMMYFUNCTION("""COMPUTED_VALUE"""),"Vu")</f>
        <v>Vu</v>
      </c>
      <c r="C88" t="str">
        <f>IFERROR(__xludf.DUMMYFUNCTION("""COMPUTED_VALUE"""),"Syracuse")</f>
        <v>Syracuse</v>
      </c>
      <c r="D88">
        <f>IFERROR(__xludf.DUMMYFUNCTION("""COMPUTED_VALUE"""),0.0)</f>
        <v>0</v>
      </c>
      <c r="E88">
        <f>IFERROR(__xludf.DUMMYFUNCTION("""COMPUTED_VALUE"""),0.0)</f>
        <v>0</v>
      </c>
      <c r="F88" t="str">
        <f>IFERROR(__xludf.DUMMYFUNCTION("""COMPUTED_VALUE"""),"NA")</f>
        <v>NA</v>
      </c>
      <c r="G88" t="str">
        <f>IFERROR(__xludf.DUMMYFUNCTION("""COMPUTED_VALUE"""),"(22) Syracuse at Liberty ")</f>
        <v>(22) Syracuse at Liberty </v>
      </c>
      <c r="H88" t="str">
        <f>IFERROR(__xludf.DUMMYFUNCTION("""COMPUTED_VALUE"""),"SAT, AUG 31 6:00 PM ET")</f>
        <v>SAT, AUG 31 6:00 PM ET</v>
      </c>
      <c r="I88" t="str">
        <f>IFERROR(__xludf.DUMMYFUNCTION("""COMPUTED_VALUE"""),"-17½")</f>
        <v>-17½</v>
      </c>
      <c r="J88">
        <f>IFERROR(__xludf.DUMMYFUNCTION("""COMPUTED_VALUE"""),66.0)</f>
        <v>66</v>
      </c>
      <c r="K88" t="str">
        <f>IFERROR(__xludf.DUMMYFUNCTION("""COMPUTED_VALUE"""),"Undrafted")</f>
        <v>Undrafted</v>
      </c>
      <c r="L88">
        <f>IFERROR(__xludf.DUMMYFUNCTION("""COMPUTED_VALUE"""),9999.0)</f>
        <v>9999</v>
      </c>
      <c r="M88" s="124">
        <v>0.0</v>
      </c>
    </row>
    <row r="89">
      <c r="A89" s="151">
        <f>IFERROR(__xludf.DUMMYFUNCTION("""COMPUTED_VALUE"""),43702.27976414352)</f>
        <v>43702.27976</v>
      </c>
      <c r="B89" t="str">
        <f>IFERROR(__xludf.DUMMYFUNCTION("""COMPUTED_VALUE"""),"Vu")</f>
        <v>Vu</v>
      </c>
      <c r="C89" t="str">
        <f>IFERROR(__xludf.DUMMYFUNCTION("""COMPUTED_VALUE"""),"Michigan")</f>
        <v>Michigan</v>
      </c>
      <c r="D89">
        <f>IFERROR(__xludf.DUMMYFUNCTION("""COMPUTED_VALUE"""),0.0)</f>
        <v>0</v>
      </c>
      <c r="E89">
        <f>IFERROR(__xludf.DUMMYFUNCTION("""COMPUTED_VALUE"""),0.0)</f>
        <v>0</v>
      </c>
      <c r="F89" t="str">
        <f>IFERROR(__xludf.DUMMYFUNCTION("""COMPUTED_VALUE"""),"NA")</f>
        <v>NA</v>
      </c>
      <c r="G89" t="str">
        <f>IFERROR(__xludf.DUMMYFUNCTION("""COMPUTED_VALUE"""),"Middle Tennessee at (7) Michigan ")</f>
        <v>Middle Tennessee at (7) Michigan </v>
      </c>
      <c r="H89" t="str">
        <f>IFERROR(__xludf.DUMMYFUNCTION("""COMPUTED_VALUE"""),"SAT, AUG 31 7:30 PM ET")</f>
        <v>SAT, AUG 31 7:30 PM ET</v>
      </c>
      <c r="I89" t="str">
        <f>IFERROR(__xludf.DUMMYFUNCTION("""COMPUTED_VALUE"""),"-33½")</f>
        <v>-33½</v>
      </c>
      <c r="J89">
        <f>IFERROR(__xludf.DUMMYFUNCTION("""COMPUTED_VALUE"""),54.0)</f>
        <v>54</v>
      </c>
      <c r="K89" t="str">
        <f>IFERROR(__xludf.DUMMYFUNCTION("""COMPUTED_VALUE"""),"Nico")</f>
        <v>Nico</v>
      </c>
      <c r="L89">
        <f>IFERROR(__xludf.DUMMYFUNCTION("""COMPUTED_VALUE"""),9999.0)</f>
        <v>9999</v>
      </c>
      <c r="M89" s="124">
        <v>0.0</v>
      </c>
    </row>
    <row r="90">
      <c r="A90" s="151">
        <f>IFERROR(__xludf.DUMMYFUNCTION("""COMPUTED_VALUE"""),43702.27976414352)</f>
        <v>43702.27976</v>
      </c>
      <c r="B90" t="str">
        <f>IFERROR(__xludf.DUMMYFUNCTION("""COMPUTED_VALUE"""),"Vu")</f>
        <v>Vu</v>
      </c>
      <c r="C90" t="str">
        <f>IFERROR(__xludf.DUMMYFUNCTION("""COMPUTED_VALUE"""),"North Texas")</f>
        <v>North Texas</v>
      </c>
      <c r="D90">
        <f>IFERROR(__xludf.DUMMYFUNCTION("""COMPUTED_VALUE"""),0.0)</f>
        <v>0</v>
      </c>
      <c r="E90">
        <f>IFERROR(__xludf.DUMMYFUNCTION("""COMPUTED_VALUE"""),0.0)</f>
        <v>0</v>
      </c>
      <c r="F90" t="str">
        <f>IFERROR(__xludf.DUMMYFUNCTION("""COMPUTED_VALUE"""),"NA")</f>
        <v>NA</v>
      </c>
      <c r="G90" t="str">
        <f>IFERROR(__xludf.DUMMYFUNCTION("""COMPUTED_VALUE"""),"Abilene Christian at North Texas ")</f>
        <v>Abilene Christian at North Texas </v>
      </c>
      <c r="H90" t="str">
        <f>IFERROR(__xludf.DUMMYFUNCTION("""COMPUTED_VALUE"""),"SAT, AUG 31 7:30 PM ET")</f>
        <v>SAT, AUG 31 7:30 PM ET</v>
      </c>
      <c r="I90" t="str">
        <f>IFERROR(__xludf.DUMMYFUNCTION("""COMPUTED_VALUE"""),"No Line")</f>
        <v>No Line</v>
      </c>
      <c r="K90" t="str">
        <f>IFERROR(__xludf.DUMMYFUNCTION("""COMPUTED_VALUE"""),"Undrafted")</f>
        <v>Undrafted</v>
      </c>
      <c r="L90">
        <f>IFERROR(__xludf.DUMMYFUNCTION("""COMPUTED_VALUE"""),9999.0)</f>
        <v>9999</v>
      </c>
      <c r="M90" s="124">
        <v>0.0</v>
      </c>
    </row>
    <row r="91">
      <c r="A91" s="151">
        <f>IFERROR(__xludf.DUMMYFUNCTION("""COMPUTED_VALUE"""),43702.27976414352)</f>
        <v>43702.27976</v>
      </c>
      <c r="B91" t="str">
        <f>IFERROR(__xludf.DUMMYFUNCTION("""COMPUTED_VALUE"""),"Vu")</f>
        <v>Vu</v>
      </c>
      <c r="C91" t="str">
        <f>IFERROR(__xludf.DUMMYFUNCTION("""COMPUTED_VALUE"""),"TCU")</f>
        <v>TCU</v>
      </c>
      <c r="D91">
        <f>IFERROR(__xludf.DUMMYFUNCTION("""COMPUTED_VALUE"""),0.0)</f>
        <v>0</v>
      </c>
      <c r="E91">
        <f>IFERROR(__xludf.DUMMYFUNCTION("""COMPUTED_VALUE"""),0.0)</f>
        <v>0</v>
      </c>
      <c r="F91" t="str">
        <f>IFERROR(__xludf.DUMMYFUNCTION("""COMPUTED_VALUE"""),"NA")</f>
        <v>NA</v>
      </c>
      <c r="G91" t="str">
        <f>IFERROR(__xludf.DUMMYFUNCTION("""COMPUTED_VALUE"""),"Arkansas-Pine Bluff at TCU ")</f>
        <v>Arkansas-Pine Bluff at TCU </v>
      </c>
      <c r="H91" t="str">
        <f>IFERROR(__xludf.DUMMYFUNCTION("""COMPUTED_VALUE"""),"SAT, AUG 31 8:00 PM ET")</f>
        <v>SAT, AUG 31 8:00 PM ET</v>
      </c>
      <c r="I91" t="str">
        <f>IFERROR(__xludf.DUMMYFUNCTION("""COMPUTED_VALUE"""),"No Line")</f>
        <v>No Line</v>
      </c>
      <c r="K91" t="str">
        <f>IFERROR(__xludf.DUMMYFUNCTION("""COMPUTED_VALUE"""),"Undrafted")</f>
        <v>Undrafted</v>
      </c>
      <c r="L91">
        <f>IFERROR(__xludf.DUMMYFUNCTION("""COMPUTED_VALUE"""),9999.0)</f>
        <v>9999</v>
      </c>
      <c r="M91" s="124">
        <v>0.0</v>
      </c>
    </row>
    <row r="92">
      <c r="A92" s="151">
        <f>IFERROR(__xludf.DUMMYFUNCTION("""COMPUTED_VALUE"""),43702.27976414352)</f>
        <v>43702.27976</v>
      </c>
      <c r="B92" t="str">
        <f>IFERROR(__xludf.DUMMYFUNCTION("""COMPUTED_VALUE"""),"Josh R.")</f>
        <v>Josh R.</v>
      </c>
      <c r="C92" t="str">
        <f>IFERROR(__xludf.DUMMYFUNCTION("""COMPUTED_VALUE"""),"Minnesota")</f>
        <v>Minnesota</v>
      </c>
      <c r="D92">
        <f>IFERROR(__xludf.DUMMYFUNCTION("""COMPUTED_VALUE"""),0.0)</f>
        <v>0</v>
      </c>
      <c r="E92">
        <f>IFERROR(__xludf.DUMMYFUNCTION("""COMPUTED_VALUE"""),0.0)</f>
        <v>0</v>
      </c>
      <c r="F92" t="str">
        <f>IFERROR(__xludf.DUMMYFUNCTION("""COMPUTED_VALUE"""),"NA")</f>
        <v>NA</v>
      </c>
      <c r="G92" t="str">
        <f>IFERROR(__xludf.DUMMYFUNCTION("""COMPUTED_VALUE"""),"South Dakota State at Minnesota ")</f>
        <v>South Dakota State at Minnesota </v>
      </c>
      <c r="H92" t="str">
        <f>IFERROR(__xludf.DUMMYFUNCTION("""COMPUTED_VALUE"""),"THU, AUG 29 9:00 PM ET")</f>
        <v>THU, AUG 29 9:00 PM ET</v>
      </c>
      <c r="I92" t="str">
        <f>IFERROR(__xludf.DUMMYFUNCTION("""COMPUTED_VALUE"""),"-12½")</f>
        <v>-12½</v>
      </c>
      <c r="J92" t="str">
        <f>IFERROR(__xludf.DUMMYFUNCTION("""COMPUTED_VALUE"""),"56½")</f>
        <v>56½</v>
      </c>
      <c r="K92" t="str">
        <f>IFERROR(__xludf.DUMMYFUNCTION("""COMPUTED_VALUE"""),"Undrafted")</f>
        <v>Undrafted</v>
      </c>
      <c r="L92">
        <f>IFERROR(__xludf.DUMMYFUNCTION("""COMPUTED_VALUE"""),9999.0)</f>
        <v>9999</v>
      </c>
      <c r="M92" s="124">
        <v>0.0</v>
      </c>
    </row>
    <row r="93">
      <c r="A93" s="151">
        <f>IFERROR(__xludf.DUMMYFUNCTION("""COMPUTED_VALUE"""),43702.27976414352)</f>
        <v>43702.27976</v>
      </c>
      <c r="B93" t="str">
        <f>IFERROR(__xludf.DUMMYFUNCTION("""COMPUTED_VALUE"""),"Josh R.")</f>
        <v>Josh R.</v>
      </c>
      <c r="C93" t="str">
        <f>IFERROR(__xludf.DUMMYFUNCTION("""COMPUTED_VALUE"""),"Army")</f>
        <v>Army</v>
      </c>
      <c r="D93">
        <f>IFERROR(__xludf.DUMMYFUNCTION("""COMPUTED_VALUE"""),0.0)</f>
        <v>0</v>
      </c>
      <c r="E93">
        <f>IFERROR(__xludf.DUMMYFUNCTION("""COMPUTED_VALUE"""),0.0)</f>
        <v>0</v>
      </c>
      <c r="F93" t="str">
        <f>IFERROR(__xludf.DUMMYFUNCTION("""COMPUTED_VALUE"""),"NA")</f>
        <v>NA</v>
      </c>
      <c r="G93" t="str">
        <f>IFERROR(__xludf.DUMMYFUNCTION("""COMPUTED_VALUE"""),"Rice at Army ")</f>
        <v>Rice at Army </v>
      </c>
      <c r="H93" t="str">
        <f>IFERROR(__xludf.DUMMYFUNCTION("""COMPUTED_VALUE"""),"FRI, AUG 30 6:00 PM ET")</f>
        <v>FRI, AUG 30 6:00 PM ET</v>
      </c>
      <c r="I93" t="str">
        <f>IFERROR(__xludf.DUMMYFUNCTION("""COMPUTED_VALUE"""),"-23½")</f>
        <v>-23½</v>
      </c>
      <c r="J93" t="str">
        <f>IFERROR(__xludf.DUMMYFUNCTION("""COMPUTED_VALUE"""),"50½")</f>
        <v>50½</v>
      </c>
      <c r="K93" t="str">
        <f>IFERROR(__xludf.DUMMYFUNCTION("""COMPUTED_VALUE"""),"Undrafted")</f>
        <v>Undrafted</v>
      </c>
      <c r="L93">
        <f>IFERROR(__xludf.DUMMYFUNCTION("""COMPUTED_VALUE"""),9999.0)</f>
        <v>9999</v>
      </c>
      <c r="M93" s="124">
        <v>0.0</v>
      </c>
    </row>
    <row r="94">
      <c r="A94" s="151">
        <f>IFERROR(__xludf.DUMMYFUNCTION("""COMPUTED_VALUE"""),43702.27976414352)</f>
        <v>43702.27976</v>
      </c>
      <c r="B94" t="str">
        <f>IFERROR(__xludf.DUMMYFUNCTION("""COMPUTED_VALUE"""),"Josh R.")</f>
        <v>Josh R.</v>
      </c>
      <c r="C94" t="str">
        <f>IFERROR(__xludf.DUMMYFUNCTION("""COMPUTED_VALUE"""),"Nevada")</f>
        <v>Nevada</v>
      </c>
      <c r="D94">
        <f>IFERROR(__xludf.DUMMYFUNCTION("""COMPUTED_VALUE"""),0.0)</f>
        <v>0</v>
      </c>
      <c r="E94">
        <f>IFERROR(__xludf.DUMMYFUNCTION("""COMPUTED_VALUE"""),0.0)</f>
        <v>0</v>
      </c>
      <c r="F94" t="str">
        <f>IFERROR(__xludf.DUMMYFUNCTION("""COMPUTED_VALUE"""),"NA")</f>
        <v>NA</v>
      </c>
      <c r="G94" t="str">
        <f>IFERROR(__xludf.DUMMYFUNCTION("""COMPUTED_VALUE"""),"Purdue at Nevada ")</f>
        <v>Purdue at Nevada </v>
      </c>
      <c r="H94" t="str">
        <f>IFERROR(__xludf.DUMMYFUNCTION("""COMPUTED_VALUE"""),"FRI, AUG 30 9:30 PM ET")</f>
        <v>FRI, AUG 30 9:30 PM ET</v>
      </c>
      <c r="I94">
        <f>IFERROR(__xludf.DUMMYFUNCTION("""COMPUTED_VALUE"""),10.0)</f>
        <v>10</v>
      </c>
      <c r="J94" t="str">
        <f>IFERROR(__xludf.DUMMYFUNCTION("""COMPUTED_VALUE"""),"58½")</f>
        <v>58½</v>
      </c>
      <c r="K94" t="str">
        <f>IFERROR(__xludf.DUMMYFUNCTION("""COMPUTED_VALUE"""),"Nico")</f>
        <v>Nico</v>
      </c>
      <c r="L94">
        <f>IFERROR(__xludf.DUMMYFUNCTION("""COMPUTED_VALUE"""),9999.0)</f>
        <v>9999</v>
      </c>
      <c r="M94" s="124">
        <v>0.0</v>
      </c>
    </row>
    <row r="95">
      <c r="A95" s="151">
        <f>IFERROR(__xludf.DUMMYFUNCTION("""COMPUTED_VALUE"""),43702.27976414352)</f>
        <v>43702.27976</v>
      </c>
      <c r="B95" t="str">
        <f>IFERROR(__xludf.DUMMYFUNCTION("""COMPUTED_VALUE"""),"Josh R.")</f>
        <v>Josh R.</v>
      </c>
      <c r="C95" t="str">
        <f>IFERROR(__xludf.DUMMYFUNCTION("""COMPUTED_VALUE"""),"Kansas")</f>
        <v>Kansas</v>
      </c>
      <c r="D95">
        <f>IFERROR(__xludf.DUMMYFUNCTION("""COMPUTED_VALUE"""),0.0)</f>
        <v>0</v>
      </c>
      <c r="E95">
        <f>IFERROR(__xludf.DUMMYFUNCTION("""COMPUTED_VALUE"""),0.0)</f>
        <v>0</v>
      </c>
      <c r="F95" t="str">
        <f>IFERROR(__xludf.DUMMYFUNCTION("""COMPUTED_VALUE"""),"NA")</f>
        <v>NA</v>
      </c>
      <c r="G95" t="str">
        <f>IFERROR(__xludf.DUMMYFUNCTION("""COMPUTED_VALUE"""),"Indiana State at Kansas ")</f>
        <v>Indiana State at Kansas </v>
      </c>
      <c r="H95" t="str">
        <f>IFERROR(__xludf.DUMMYFUNCTION("""COMPUTED_VALUE"""),"SAT, AUG 31 12:00 PM ET")</f>
        <v>SAT, AUG 31 12:00 PM ET</v>
      </c>
      <c r="I95" t="str">
        <f>IFERROR(__xludf.DUMMYFUNCTION("""COMPUTED_VALUE"""),"No Line")</f>
        <v>No Line</v>
      </c>
      <c r="K95" t="str">
        <f>IFERROR(__xludf.DUMMYFUNCTION("""COMPUTED_VALUE"""),"Undrafted")</f>
        <v>Undrafted</v>
      </c>
      <c r="L95">
        <f>IFERROR(__xludf.DUMMYFUNCTION("""COMPUTED_VALUE"""),9999.0)</f>
        <v>9999</v>
      </c>
      <c r="M95" s="124">
        <v>0.0</v>
      </c>
    </row>
    <row r="96">
      <c r="A96" s="151">
        <f>IFERROR(__xludf.DUMMYFUNCTION("""COMPUTED_VALUE"""),43702.27976414352)</f>
        <v>43702.27976</v>
      </c>
      <c r="B96" t="str">
        <f>IFERROR(__xludf.DUMMYFUNCTION("""COMPUTED_VALUE"""),"Josh R.")</f>
        <v>Josh R.</v>
      </c>
      <c r="C96" t="str">
        <f>IFERROR(__xludf.DUMMYFUNCTION("""COMPUTED_VALUE"""),"Toledo")</f>
        <v>Toledo</v>
      </c>
      <c r="D96">
        <f>IFERROR(__xludf.DUMMYFUNCTION("""COMPUTED_VALUE"""),0.0)</f>
        <v>0</v>
      </c>
      <c r="E96">
        <f>IFERROR(__xludf.DUMMYFUNCTION("""COMPUTED_VALUE"""),0.0)</f>
        <v>0</v>
      </c>
      <c r="F96" t="str">
        <f>IFERROR(__xludf.DUMMYFUNCTION("""COMPUTED_VALUE"""),"NA")</f>
        <v>NA</v>
      </c>
      <c r="G96" t="str">
        <f>IFERROR(__xludf.DUMMYFUNCTION("""COMPUTED_VALUE"""),"Toledo at Kentucky ")</f>
        <v>Toledo at Kentucky </v>
      </c>
      <c r="H96" t="str">
        <f>IFERROR(__xludf.DUMMYFUNCTION("""COMPUTED_VALUE"""),"SAT, AUG 31 12:00 PM ET")</f>
        <v>SAT, AUG 31 12:00 PM ET</v>
      </c>
      <c r="I96">
        <f>IFERROR(__xludf.DUMMYFUNCTION("""COMPUTED_VALUE"""),12.0)</f>
        <v>12</v>
      </c>
      <c r="J96" t="str">
        <f>IFERROR(__xludf.DUMMYFUNCTION("""COMPUTED_VALUE"""),"58½")</f>
        <v>58½</v>
      </c>
      <c r="K96" t="str">
        <f>IFERROR(__xludf.DUMMYFUNCTION("""COMPUTED_VALUE"""),"Josh R.")</f>
        <v>Josh R.</v>
      </c>
      <c r="L96">
        <f>IFERROR(__xludf.DUMMYFUNCTION("""COMPUTED_VALUE"""),9999.0)</f>
        <v>9999</v>
      </c>
      <c r="M96" s="124">
        <v>0.0</v>
      </c>
    </row>
    <row r="97">
      <c r="A97" s="151">
        <f>IFERROR(__xludf.DUMMYFUNCTION("""COMPUTED_VALUE"""),43702.27976414352)</f>
        <v>43702.27976</v>
      </c>
      <c r="B97" t="str">
        <f>IFERROR(__xludf.DUMMYFUNCTION("""COMPUTED_VALUE"""),"Josh R.")</f>
        <v>Josh R.</v>
      </c>
      <c r="C97" t="str">
        <f>IFERROR(__xludf.DUMMYFUNCTION("""COMPUTED_VALUE"""),"Kentucky")</f>
        <v>Kentucky</v>
      </c>
      <c r="D97">
        <f>IFERROR(__xludf.DUMMYFUNCTION("""COMPUTED_VALUE"""),0.0)</f>
        <v>0</v>
      </c>
      <c r="E97">
        <f>IFERROR(__xludf.DUMMYFUNCTION("""COMPUTED_VALUE"""),0.0)</f>
        <v>0</v>
      </c>
      <c r="F97" t="str">
        <f>IFERROR(__xludf.DUMMYFUNCTION("""COMPUTED_VALUE"""),"NA")</f>
        <v>NA</v>
      </c>
      <c r="G97" t="str">
        <f>IFERROR(__xludf.DUMMYFUNCTION("""COMPUTED_VALUE"""),"Toledo at Kentucky ")</f>
        <v>Toledo at Kentucky </v>
      </c>
      <c r="H97" t="str">
        <f>IFERROR(__xludf.DUMMYFUNCTION("""COMPUTED_VALUE"""),"SAT, AUG 31 12:00 PM ET")</f>
        <v>SAT, AUG 31 12:00 PM ET</v>
      </c>
      <c r="I97">
        <f>IFERROR(__xludf.DUMMYFUNCTION("""COMPUTED_VALUE"""),-12.0)</f>
        <v>-12</v>
      </c>
      <c r="J97" t="str">
        <f>IFERROR(__xludf.DUMMYFUNCTION("""COMPUTED_VALUE"""),"58½")</f>
        <v>58½</v>
      </c>
      <c r="K97" t="str">
        <f>IFERROR(__xludf.DUMMYFUNCTION("""COMPUTED_VALUE"""),"Josh R.")</f>
        <v>Josh R.</v>
      </c>
      <c r="L97">
        <f>IFERROR(__xludf.DUMMYFUNCTION("""COMPUTED_VALUE"""),9999.0)</f>
        <v>9999</v>
      </c>
      <c r="M97" s="124">
        <v>0.0</v>
      </c>
    </row>
    <row r="98">
      <c r="A98" s="151">
        <f>IFERROR(__xludf.DUMMYFUNCTION("""COMPUTED_VALUE"""),43702.27976414352)</f>
        <v>43702.27976</v>
      </c>
      <c r="B98" t="str">
        <f>IFERROR(__xludf.DUMMYFUNCTION("""COMPUTED_VALUE"""),"Josh R.")</f>
        <v>Josh R.</v>
      </c>
      <c r="C98" t="str">
        <f>IFERROR(__xludf.DUMMYFUNCTION("""COMPUTED_VALUE"""),"Temple")</f>
        <v>Temple</v>
      </c>
      <c r="D98">
        <f>IFERROR(__xludf.DUMMYFUNCTION("""COMPUTED_VALUE"""),0.0)</f>
        <v>0</v>
      </c>
      <c r="E98">
        <f>IFERROR(__xludf.DUMMYFUNCTION("""COMPUTED_VALUE"""),0.0)</f>
        <v>0</v>
      </c>
      <c r="F98" t="str">
        <f>IFERROR(__xludf.DUMMYFUNCTION("""COMPUTED_VALUE"""),"NA")</f>
        <v>NA</v>
      </c>
      <c r="G98" t="str">
        <f>IFERROR(__xludf.DUMMYFUNCTION("""COMPUTED_VALUE"""),"Bucknell at Temple ")</f>
        <v>Bucknell at Temple </v>
      </c>
      <c r="H98" t="str">
        <f>IFERROR(__xludf.DUMMYFUNCTION("""COMPUTED_VALUE"""),"SAT, AUG 31 3:00 PM ET")</f>
        <v>SAT, AUG 31 3:00 PM ET</v>
      </c>
      <c r="I98" t="str">
        <f>IFERROR(__xludf.DUMMYFUNCTION("""COMPUTED_VALUE"""),"No Line")</f>
        <v>No Line</v>
      </c>
      <c r="K98" t="str">
        <f>IFERROR(__xludf.DUMMYFUNCTION("""COMPUTED_VALUE"""),"Undrafted")</f>
        <v>Undrafted</v>
      </c>
      <c r="L98">
        <f>IFERROR(__xludf.DUMMYFUNCTION("""COMPUTED_VALUE"""),9999.0)</f>
        <v>9999</v>
      </c>
      <c r="M98" s="124">
        <v>0.0</v>
      </c>
    </row>
    <row r="99">
      <c r="A99" s="151">
        <f>IFERROR(__xludf.DUMMYFUNCTION("""COMPUTED_VALUE"""),43702.27976414352)</f>
        <v>43702.27976</v>
      </c>
      <c r="B99" t="str">
        <f>IFERROR(__xludf.DUMMYFUNCTION("""COMPUTED_VALUE"""),"Josh R.")</f>
        <v>Josh R.</v>
      </c>
      <c r="C99" t="str">
        <f>IFERROR(__xludf.DUMMYFUNCTION("""COMPUTED_VALUE"""),"Southern Mississippi")</f>
        <v>Southern Mississippi</v>
      </c>
      <c r="D99">
        <f>IFERROR(__xludf.DUMMYFUNCTION("""COMPUTED_VALUE"""),0.0)</f>
        <v>0</v>
      </c>
      <c r="E99">
        <f>IFERROR(__xludf.DUMMYFUNCTION("""COMPUTED_VALUE"""),0.0)</f>
        <v>0</v>
      </c>
      <c r="F99" t="str">
        <f>IFERROR(__xludf.DUMMYFUNCTION("""COMPUTED_VALUE"""),"NA")</f>
        <v>NA</v>
      </c>
      <c r="G99" t="str">
        <f>IFERROR(__xludf.DUMMYFUNCTION("""COMPUTED_VALUE"""),"Alcorn State at Southern Mississippi ")</f>
        <v>Alcorn State at Southern Mississippi </v>
      </c>
      <c r="H99" t="str">
        <f>IFERROR(__xludf.DUMMYFUNCTION("""COMPUTED_VALUE"""),"SAT, AUG 31 7:00 PM ET")</f>
        <v>SAT, AUG 31 7:00 PM ET</v>
      </c>
      <c r="I99" t="str">
        <f>IFERROR(__xludf.DUMMYFUNCTION("""COMPUTED_VALUE"""),"No Line")</f>
        <v>No Line</v>
      </c>
      <c r="K99" t="str">
        <f>IFERROR(__xludf.DUMMYFUNCTION("""COMPUTED_VALUE"""),"Undrafted")</f>
        <v>Undrafted</v>
      </c>
      <c r="L99">
        <f>IFERROR(__xludf.DUMMYFUNCTION("""COMPUTED_VALUE"""),9999.0)</f>
        <v>9999</v>
      </c>
      <c r="M99" s="124">
        <v>0.0</v>
      </c>
    </row>
    <row r="100">
      <c r="A100" s="151">
        <f>IFERROR(__xludf.DUMMYFUNCTION("""COMPUTED_VALUE"""),43702.27976414352)</f>
        <v>43702.27976</v>
      </c>
      <c r="B100" t="str">
        <f>IFERROR(__xludf.DUMMYFUNCTION("""COMPUTED_VALUE"""),"Josh R.")</f>
        <v>Josh R.</v>
      </c>
      <c r="C100" t="str">
        <f>IFERROR(__xludf.DUMMYFUNCTION("""COMPUTED_VALUE"""),"Florida State")</f>
        <v>Florida State</v>
      </c>
      <c r="D100">
        <f>IFERROR(__xludf.DUMMYFUNCTION("""COMPUTED_VALUE"""),0.0)</f>
        <v>0</v>
      </c>
      <c r="E100">
        <f>IFERROR(__xludf.DUMMYFUNCTION("""COMPUTED_VALUE"""),0.0)</f>
        <v>0</v>
      </c>
      <c r="F100" t="str">
        <f>IFERROR(__xludf.DUMMYFUNCTION("""COMPUTED_VALUE"""),"NA")</f>
        <v>NA</v>
      </c>
      <c r="G100" t="str">
        <f>IFERROR(__xludf.DUMMYFUNCTION("""COMPUTED_VALUE"""),"Boise State at Florida State ")</f>
        <v>Boise State at Florida State </v>
      </c>
      <c r="H100" t="str">
        <f>IFERROR(__xludf.DUMMYFUNCTION("""COMPUTED_VALUE"""),"SAT, AUG 31 7:00 PM ET")</f>
        <v>SAT, AUG 31 7:00 PM ET</v>
      </c>
      <c r="I100" t="str">
        <f>IFERROR(__xludf.DUMMYFUNCTION("""COMPUTED_VALUE"""),"-5½")</f>
        <v>-5½</v>
      </c>
      <c r="J100" t="str">
        <f>IFERROR(__xludf.DUMMYFUNCTION("""COMPUTED_VALUE"""),"53½")</f>
        <v>53½</v>
      </c>
      <c r="K100" t="str">
        <f>IFERROR(__xludf.DUMMYFUNCTION("""COMPUTED_VALUE"""),"Janice/Mike")</f>
        <v>Janice/Mike</v>
      </c>
      <c r="L100">
        <f>IFERROR(__xludf.DUMMYFUNCTION("""COMPUTED_VALUE"""),9999.0)</f>
        <v>9999</v>
      </c>
      <c r="M100" s="124">
        <v>0.0</v>
      </c>
    </row>
    <row r="101">
      <c r="A101" s="151">
        <f>IFERROR(__xludf.DUMMYFUNCTION("""COMPUTED_VALUE"""),43702.27976414352)</f>
        <v>43702.27976</v>
      </c>
      <c r="B101" t="str">
        <f>IFERROR(__xludf.DUMMYFUNCTION("""COMPUTED_VALUE"""),"Josh R.")</f>
        <v>Josh R.</v>
      </c>
      <c r="C101" t="str">
        <f>IFERROR(__xludf.DUMMYFUNCTION("""COMPUTED_VALUE"""),"USC")</f>
        <v>USC</v>
      </c>
      <c r="D101">
        <f>IFERROR(__xludf.DUMMYFUNCTION("""COMPUTED_VALUE"""),0.0)</f>
        <v>0</v>
      </c>
      <c r="E101">
        <f>IFERROR(__xludf.DUMMYFUNCTION("""COMPUTED_VALUE"""),0.0)</f>
        <v>0</v>
      </c>
      <c r="F101" t="str">
        <f>IFERROR(__xludf.DUMMYFUNCTION("""COMPUTED_VALUE"""),"NA")</f>
        <v>NA</v>
      </c>
      <c r="G101" t="str">
        <f>IFERROR(__xludf.DUMMYFUNCTION("""COMPUTED_VALUE"""),"Fresno State at USC ")</f>
        <v>Fresno State at USC </v>
      </c>
      <c r="H101" t="str">
        <f>IFERROR(__xludf.DUMMYFUNCTION("""COMPUTED_VALUE"""),"SAT, AUG 31 10:30 PM ET")</f>
        <v>SAT, AUG 31 10:30 PM ET</v>
      </c>
      <c r="I101" t="str">
        <f>IFERROR(__xludf.DUMMYFUNCTION("""COMPUTED_VALUE"""),"-13½")</f>
        <v>-13½</v>
      </c>
      <c r="J101" t="str">
        <f>IFERROR(__xludf.DUMMYFUNCTION("""COMPUTED_VALUE"""),"52½")</f>
        <v>52½</v>
      </c>
      <c r="K101" t="str">
        <f>IFERROR(__xludf.DUMMYFUNCTION("""COMPUTED_VALUE"""),"DavEmily")</f>
        <v>DavEmily</v>
      </c>
      <c r="L101">
        <f>IFERROR(__xludf.DUMMYFUNCTION("""COMPUTED_VALUE"""),9999.0)</f>
        <v>9999</v>
      </c>
      <c r="M101" s="124">
        <v>0.0</v>
      </c>
    </row>
    <row r="102">
      <c r="A102" s="151">
        <f>IFERROR(__xludf.DUMMYFUNCTION("""COMPUTED_VALUE"""),43702.27976414352)</f>
        <v>43702.27976</v>
      </c>
      <c r="B102" t="str">
        <f>IFERROR(__xludf.DUMMYFUNCTION("""COMPUTED_VALUE"""),"Brad")</f>
        <v>Brad</v>
      </c>
      <c r="C102" t="str">
        <f>IFERROR(__xludf.DUMMYFUNCTION("""COMPUTED_VALUE"""),"Miami")</f>
        <v>Miami</v>
      </c>
      <c r="D102">
        <f>IFERROR(__xludf.DUMMYFUNCTION("""COMPUTED_VALUE"""),0.0)</f>
        <v>0</v>
      </c>
      <c r="E102">
        <f>IFERROR(__xludf.DUMMYFUNCTION("""COMPUTED_VALUE"""),1.0)</f>
        <v>1</v>
      </c>
      <c r="F102" t="str">
        <f>IFERROR(__xludf.DUMMYFUNCTION("""COMPUTED_VALUE"""),"NA")</f>
        <v>NA</v>
      </c>
      <c r="G102" t="str">
        <f>IFERROR(__xludf.DUMMYFUNCTION("""COMPUTED_VALUE"""),"Miami 20 at (8) Florida 24")</f>
        <v>Miami 20 at (8) Florida 24</v>
      </c>
      <c r="H102" t="str">
        <f>IFERROR(__xludf.DUMMYFUNCTION("""COMPUTED_VALUE"""),"FINAL")</f>
        <v>FINAL</v>
      </c>
      <c r="I102">
        <f>IFERROR(__xludf.DUMMYFUNCTION("""COMPUTED_VALUE"""),7.0)</f>
        <v>7</v>
      </c>
      <c r="J102" t="str">
        <f>IFERROR(__xludf.DUMMYFUNCTION("""COMPUTED_VALUE"""),"46½")</f>
        <v>46½</v>
      </c>
      <c r="K102" t="str">
        <f>IFERROR(__xludf.DUMMYFUNCTION("""COMPUTED_VALUE"""),"Adam")</f>
        <v>Adam</v>
      </c>
      <c r="L102">
        <f>IFERROR(__xludf.DUMMYFUNCTION("""COMPUTED_VALUE"""),9999.0)</f>
        <v>9999</v>
      </c>
      <c r="M102" s="124">
        <v>0.0</v>
      </c>
    </row>
    <row r="103">
      <c r="A103" s="151">
        <f>IFERROR(__xludf.DUMMYFUNCTION("""COMPUTED_VALUE"""),43702.27976414352)</f>
        <v>43702.27976</v>
      </c>
      <c r="B103" t="str">
        <f>IFERROR(__xludf.DUMMYFUNCTION("""COMPUTED_VALUE"""),"Brad")</f>
        <v>Brad</v>
      </c>
      <c r="C103" t="str">
        <f>IFERROR(__xludf.DUMMYFUNCTION("""COMPUTED_VALUE"""),"Texas State")</f>
        <v>Texas State</v>
      </c>
      <c r="D103">
        <f>IFERROR(__xludf.DUMMYFUNCTION("""COMPUTED_VALUE"""),0.0)</f>
        <v>0</v>
      </c>
      <c r="E103">
        <f>IFERROR(__xludf.DUMMYFUNCTION("""COMPUTED_VALUE"""),0.0)</f>
        <v>0</v>
      </c>
      <c r="F103" t="str">
        <f>IFERROR(__xludf.DUMMYFUNCTION("""COMPUTED_VALUE"""),"NA")</f>
        <v>NA</v>
      </c>
      <c r="G103" t="str">
        <f>IFERROR(__xludf.DUMMYFUNCTION("""COMPUTED_VALUE"""),"Texas State at (11) Texas A&amp;M ")</f>
        <v>Texas State at (11) Texas A&amp;M </v>
      </c>
      <c r="H103" t="str">
        <f>IFERROR(__xludf.DUMMYFUNCTION("""COMPUTED_VALUE"""),"THU, AUG 29 8:30 PM ET")</f>
        <v>THU, AUG 29 8:30 PM ET</v>
      </c>
      <c r="I103" t="str">
        <f>IFERROR(__xludf.DUMMYFUNCTION("""COMPUTED_VALUE"""),"33½")</f>
        <v>33½</v>
      </c>
      <c r="J103" t="str">
        <f>IFERROR(__xludf.DUMMYFUNCTION("""COMPUTED_VALUE"""),"57½")</f>
        <v>57½</v>
      </c>
      <c r="K103" t="str">
        <f>IFERROR(__xludf.DUMMYFUNCTION("""COMPUTED_VALUE"""),"Vu")</f>
        <v>Vu</v>
      </c>
      <c r="L103">
        <f>IFERROR(__xludf.DUMMYFUNCTION("""COMPUTED_VALUE"""),9999.0)</f>
        <v>9999</v>
      </c>
      <c r="M103" s="124">
        <v>0.0</v>
      </c>
    </row>
    <row r="104">
      <c r="A104" s="151">
        <f>IFERROR(__xludf.DUMMYFUNCTION("""COMPUTED_VALUE"""),43702.27976414352)</f>
        <v>43702.27976</v>
      </c>
      <c r="B104" t="str">
        <f>IFERROR(__xludf.DUMMYFUNCTION("""COMPUTED_VALUE"""),"Brad")</f>
        <v>Brad</v>
      </c>
      <c r="C104" t="str">
        <f>IFERROR(__xludf.DUMMYFUNCTION("""COMPUTED_VALUE"""),"Utah")</f>
        <v>Utah</v>
      </c>
      <c r="D104">
        <f>IFERROR(__xludf.DUMMYFUNCTION("""COMPUTED_VALUE"""),0.0)</f>
        <v>0</v>
      </c>
      <c r="E104">
        <f>IFERROR(__xludf.DUMMYFUNCTION("""COMPUTED_VALUE"""),0.0)</f>
        <v>0</v>
      </c>
      <c r="F104" t="str">
        <f>IFERROR(__xludf.DUMMYFUNCTION("""COMPUTED_VALUE"""),"NA")</f>
        <v>NA</v>
      </c>
      <c r="G104" t="str">
        <f>IFERROR(__xludf.DUMMYFUNCTION("""COMPUTED_VALUE"""),"(15) Utah at BYU ")</f>
        <v>(15) Utah at BYU </v>
      </c>
      <c r="H104" t="str">
        <f>IFERROR(__xludf.DUMMYFUNCTION("""COMPUTED_VALUE"""),"THU, AUG 29 10:15 PM ET")</f>
        <v>THU, AUG 29 10:15 PM ET</v>
      </c>
      <c r="I104">
        <f>IFERROR(__xludf.DUMMYFUNCTION("""COMPUTED_VALUE"""),-5.0)</f>
        <v>-5</v>
      </c>
      <c r="J104">
        <f>IFERROR(__xludf.DUMMYFUNCTION("""COMPUTED_VALUE"""),48.0)</f>
        <v>48</v>
      </c>
      <c r="K104" t="str">
        <f>IFERROR(__xludf.DUMMYFUNCTION("""COMPUTED_VALUE"""),"Gary")</f>
        <v>Gary</v>
      </c>
      <c r="L104">
        <f>IFERROR(__xludf.DUMMYFUNCTION("""COMPUTED_VALUE"""),9999.0)</f>
        <v>9999</v>
      </c>
      <c r="M104" s="124">
        <v>0.0</v>
      </c>
    </row>
    <row r="105">
      <c r="A105" s="151">
        <f>IFERROR(__xludf.DUMMYFUNCTION("""COMPUTED_VALUE"""),43702.27976414352)</f>
        <v>43702.27976</v>
      </c>
      <c r="B105" t="str">
        <f>IFERROR(__xludf.DUMMYFUNCTION("""COMPUTED_VALUE"""),"Brad")</f>
        <v>Brad</v>
      </c>
      <c r="C105" t="str">
        <f>IFERROR(__xludf.DUMMYFUNCTION("""COMPUTED_VALUE"""),"Colorado State")</f>
        <v>Colorado State</v>
      </c>
      <c r="D105">
        <f>IFERROR(__xludf.DUMMYFUNCTION("""COMPUTED_VALUE"""),0.0)</f>
        <v>0</v>
      </c>
      <c r="E105">
        <f>IFERROR(__xludf.DUMMYFUNCTION("""COMPUTED_VALUE"""),0.0)</f>
        <v>0</v>
      </c>
      <c r="F105" t="str">
        <f>IFERROR(__xludf.DUMMYFUNCTION("""COMPUTED_VALUE"""),"NA")</f>
        <v>NA</v>
      </c>
      <c r="G105" t="str">
        <f>IFERROR(__xludf.DUMMYFUNCTION("""COMPUTED_VALUE"""),"Colorado State at Colorado ")</f>
        <v>Colorado State at Colorado </v>
      </c>
      <c r="H105" t="str">
        <f>IFERROR(__xludf.DUMMYFUNCTION("""COMPUTED_VALUE"""),"FRI, AUG 30 10:00 PM ET")</f>
        <v>FRI, AUG 30 10:00 PM ET</v>
      </c>
      <c r="I105">
        <f>IFERROR(__xludf.DUMMYFUNCTION("""COMPUTED_VALUE"""),13.0)</f>
        <v>13</v>
      </c>
      <c r="J105" t="str">
        <f>IFERROR(__xludf.DUMMYFUNCTION("""COMPUTED_VALUE"""),"58½")</f>
        <v>58½</v>
      </c>
      <c r="K105" t="str">
        <f>IFERROR(__xludf.DUMMYFUNCTION("""COMPUTED_VALUE"""),"Jeannine")</f>
        <v>Jeannine</v>
      </c>
      <c r="L105">
        <f>IFERROR(__xludf.DUMMYFUNCTION("""COMPUTED_VALUE"""),9999.0)</f>
        <v>9999</v>
      </c>
      <c r="M105" s="124">
        <v>0.0</v>
      </c>
    </row>
    <row r="106">
      <c r="A106" s="151">
        <f>IFERROR(__xludf.DUMMYFUNCTION("""COMPUTED_VALUE"""),43702.27976414352)</f>
        <v>43702.27976</v>
      </c>
      <c r="B106" t="str">
        <f>IFERROR(__xludf.DUMMYFUNCTION("""COMPUTED_VALUE"""),"Brad")</f>
        <v>Brad</v>
      </c>
      <c r="C106" t="str">
        <f>IFERROR(__xludf.DUMMYFUNCTION("""COMPUTED_VALUE"""),"Oklahoma State")</f>
        <v>Oklahoma State</v>
      </c>
      <c r="D106">
        <f>IFERROR(__xludf.DUMMYFUNCTION("""COMPUTED_VALUE"""),0.0)</f>
        <v>0</v>
      </c>
      <c r="E106">
        <f>IFERROR(__xludf.DUMMYFUNCTION("""COMPUTED_VALUE"""),0.0)</f>
        <v>0</v>
      </c>
      <c r="F106" t="str">
        <f>IFERROR(__xludf.DUMMYFUNCTION("""COMPUTED_VALUE"""),"NA")</f>
        <v>NA</v>
      </c>
      <c r="G106" t="str">
        <f>IFERROR(__xludf.DUMMYFUNCTION("""COMPUTED_VALUE"""),"Oklahoma State at Oregon State ")</f>
        <v>Oklahoma State at Oregon State </v>
      </c>
      <c r="H106" t="str">
        <f>IFERROR(__xludf.DUMMYFUNCTION("""COMPUTED_VALUE"""),"FRI, AUG 30 10:30 PM ET")</f>
        <v>FRI, AUG 30 10:30 PM ET</v>
      </c>
      <c r="I106" t="str">
        <f>IFERROR(__xludf.DUMMYFUNCTION("""COMPUTED_VALUE"""),"-15½")</f>
        <v>-15½</v>
      </c>
      <c r="J106" t="str">
        <f>IFERROR(__xludf.DUMMYFUNCTION("""COMPUTED_VALUE"""),"73½")</f>
        <v>73½</v>
      </c>
      <c r="K106" t="str">
        <f>IFERROR(__xludf.DUMMYFUNCTION("""COMPUTED_VALUE"""),"Adam")</f>
        <v>Adam</v>
      </c>
      <c r="L106">
        <f>IFERROR(__xludf.DUMMYFUNCTION("""COMPUTED_VALUE"""),9999.0)</f>
        <v>9999</v>
      </c>
      <c r="M106" s="124">
        <v>0.0</v>
      </c>
    </row>
    <row r="107">
      <c r="A107" s="151">
        <f>IFERROR(__xludf.DUMMYFUNCTION("""COMPUTED_VALUE"""),43702.27976414352)</f>
        <v>43702.27976</v>
      </c>
      <c r="B107" t="str">
        <f>IFERROR(__xludf.DUMMYFUNCTION("""COMPUTED_VALUE"""),"Brad")</f>
        <v>Brad</v>
      </c>
      <c r="C107" t="str">
        <f>IFERROR(__xludf.DUMMYFUNCTION("""COMPUTED_VALUE"""),"Indiana")</f>
        <v>Indiana</v>
      </c>
      <c r="D107">
        <f>IFERROR(__xludf.DUMMYFUNCTION("""COMPUTED_VALUE"""),0.0)</f>
        <v>0</v>
      </c>
      <c r="E107">
        <f>IFERROR(__xludf.DUMMYFUNCTION("""COMPUTED_VALUE"""),0.0)</f>
        <v>0</v>
      </c>
      <c r="F107" t="str">
        <f>IFERROR(__xludf.DUMMYFUNCTION("""COMPUTED_VALUE"""),"NA")</f>
        <v>NA</v>
      </c>
      <c r="G107" t="str">
        <f>IFERROR(__xludf.DUMMYFUNCTION("""COMPUTED_VALUE"""),"Indiana at Ball State ")</f>
        <v>Indiana at Ball State </v>
      </c>
      <c r="H107" t="str">
        <f>IFERROR(__xludf.DUMMYFUNCTION("""COMPUTED_VALUE"""),"SAT, AUG 31 12:00 PM ET")</f>
        <v>SAT, AUG 31 12:00 PM ET</v>
      </c>
      <c r="I107">
        <f>IFERROR(__xludf.DUMMYFUNCTION("""COMPUTED_VALUE"""),-17.0)</f>
        <v>-17</v>
      </c>
      <c r="J107">
        <f>IFERROR(__xludf.DUMMYFUNCTION("""COMPUTED_VALUE"""),59.0)</f>
        <v>59</v>
      </c>
      <c r="K107" t="str">
        <f>IFERROR(__xludf.DUMMYFUNCTION("""COMPUTED_VALUE"""),"DavEmily")</f>
        <v>DavEmily</v>
      </c>
      <c r="L107">
        <f>IFERROR(__xludf.DUMMYFUNCTION("""COMPUTED_VALUE"""),9999.0)</f>
        <v>9999</v>
      </c>
      <c r="M107" s="124">
        <v>0.0</v>
      </c>
    </row>
    <row r="108">
      <c r="A108" s="151">
        <f>IFERROR(__xludf.DUMMYFUNCTION("""COMPUTED_VALUE"""),43702.27976414352)</f>
        <v>43702.27976</v>
      </c>
      <c r="B108" t="str">
        <f>IFERROR(__xludf.DUMMYFUNCTION("""COMPUTED_VALUE"""),"Brad")</f>
        <v>Brad</v>
      </c>
      <c r="C108" t="str">
        <f>IFERROR(__xludf.DUMMYFUNCTION("""COMPUTED_VALUE"""),"Memphis")</f>
        <v>Memphis</v>
      </c>
      <c r="D108">
        <f>IFERROR(__xludf.DUMMYFUNCTION("""COMPUTED_VALUE"""),0.0)</f>
        <v>0</v>
      </c>
      <c r="E108">
        <f>IFERROR(__xludf.DUMMYFUNCTION("""COMPUTED_VALUE"""),0.0)</f>
        <v>0</v>
      </c>
      <c r="F108" t="str">
        <f>IFERROR(__xludf.DUMMYFUNCTION("""COMPUTED_VALUE"""),"NA")</f>
        <v>NA</v>
      </c>
      <c r="G108" t="str">
        <f>IFERROR(__xludf.DUMMYFUNCTION("""COMPUTED_VALUE"""),"Ole Miss at Memphis ")</f>
        <v>Ole Miss at Memphis </v>
      </c>
      <c r="H108" t="str">
        <f>IFERROR(__xludf.DUMMYFUNCTION("""COMPUTED_VALUE"""),"SAT, AUG 31 12:00 PM ET")</f>
        <v>SAT, AUG 31 12:00 PM ET</v>
      </c>
      <c r="I108">
        <f>IFERROR(__xludf.DUMMYFUNCTION("""COMPUTED_VALUE"""),-6.0)</f>
        <v>-6</v>
      </c>
      <c r="J108">
        <f>IFERROR(__xludf.DUMMYFUNCTION("""COMPUTED_VALUE"""),68.0)</f>
        <v>68</v>
      </c>
      <c r="K108" t="str">
        <f>IFERROR(__xludf.DUMMYFUNCTION("""COMPUTED_VALUE"""),"Undrafted")</f>
        <v>Undrafted</v>
      </c>
      <c r="L108">
        <f>IFERROR(__xludf.DUMMYFUNCTION("""COMPUTED_VALUE"""),9999.0)</f>
        <v>9999</v>
      </c>
      <c r="M108" s="124">
        <v>0.0</v>
      </c>
    </row>
    <row r="109">
      <c r="A109" s="151">
        <f>IFERROR(__xludf.DUMMYFUNCTION("""COMPUTED_VALUE"""),43702.27976414352)</f>
        <v>43702.27976</v>
      </c>
      <c r="B109" t="str">
        <f>IFERROR(__xludf.DUMMYFUNCTION("""COMPUTED_VALUE"""),"Brad")</f>
        <v>Brad</v>
      </c>
      <c r="C109" t="str">
        <f>IFERROR(__xludf.DUMMYFUNCTION("""COMPUTED_VALUE"""),"EMU")</f>
        <v>EMU</v>
      </c>
      <c r="D109">
        <f>IFERROR(__xludf.DUMMYFUNCTION("""COMPUTED_VALUE"""),0.0)</f>
        <v>0</v>
      </c>
      <c r="E109">
        <f>IFERROR(__xludf.DUMMYFUNCTION("""COMPUTED_VALUE"""),0.0)</f>
        <v>0</v>
      </c>
      <c r="F109" t="str">
        <f>IFERROR(__xludf.DUMMYFUNCTION("""COMPUTED_VALUE"""),"NA")</f>
        <v>NA</v>
      </c>
      <c r="G109" t="str">
        <f>IFERROR(__xludf.DUMMYFUNCTION("""COMPUTED_VALUE"""),"EMU at Coastal Carolina ")</f>
        <v>EMU at Coastal Carolina </v>
      </c>
      <c r="H109" t="str">
        <f>IFERROR(__xludf.DUMMYFUNCTION("""COMPUTED_VALUE"""),"SAT, AUG 31 3:30 PM ET")</f>
        <v>SAT, AUG 31 3:30 PM ET</v>
      </c>
      <c r="I109" t="str">
        <f>IFERROR(__xludf.DUMMYFUNCTION("""COMPUTED_VALUE"""),"-5½")</f>
        <v>-5½</v>
      </c>
      <c r="J109">
        <f>IFERROR(__xludf.DUMMYFUNCTION("""COMPUTED_VALUE"""),55.0)</f>
        <v>55</v>
      </c>
      <c r="K109" t="str">
        <f>IFERROR(__xludf.DUMMYFUNCTION("""COMPUTED_VALUE"""),"DavEmily")</f>
        <v>DavEmily</v>
      </c>
      <c r="L109">
        <f>IFERROR(__xludf.DUMMYFUNCTION("""COMPUTED_VALUE"""),9999.0)</f>
        <v>9999</v>
      </c>
      <c r="M109" s="124">
        <v>0.0</v>
      </c>
    </row>
    <row r="110">
      <c r="A110" s="151">
        <f>IFERROR(__xludf.DUMMYFUNCTION("""COMPUTED_VALUE"""),43702.27976414352)</f>
        <v>43702.27976</v>
      </c>
      <c r="B110" t="str">
        <f>IFERROR(__xludf.DUMMYFUNCTION("""COMPUTED_VALUE"""),"Brad")</f>
        <v>Brad</v>
      </c>
      <c r="C110" t="str">
        <f>IFERROR(__xludf.DUMMYFUNCTION("""COMPUTED_VALUE"""),"South Carolina")</f>
        <v>South Carolina</v>
      </c>
      <c r="D110">
        <f>IFERROR(__xludf.DUMMYFUNCTION("""COMPUTED_VALUE"""),0.0)</f>
        <v>0</v>
      </c>
      <c r="E110">
        <f>IFERROR(__xludf.DUMMYFUNCTION("""COMPUTED_VALUE"""),0.0)</f>
        <v>0</v>
      </c>
      <c r="F110" t="str">
        <f>IFERROR(__xludf.DUMMYFUNCTION("""COMPUTED_VALUE"""),"NA")</f>
        <v>NA</v>
      </c>
      <c r="G110" t="str">
        <f>IFERROR(__xludf.DUMMYFUNCTION("""COMPUTED_VALUE"""),"South Carolina at North Carolina ")</f>
        <v>South Carolina at North Carolina </v>
      </c>
      <c r="H110" t="str">
        <f>IFERROR(__xludf.DUMMYFUNCTION("""COMPUTED_VALUE"""),"SAT, AUG 31 3:30 PM ET")</f>
        <v>SAT, AUG 31 3:30 PM ET</v>
      </c>
      <c r="I110">
        <f>IFERROR(__xludf.DUMMYFUNCTION("""COMPUTED_VALUE"""),-8.0)</f>
        <v>-8</v>
      </c>
      <c r="J110">
        <f>IFERROR(__xludf.DUMMYFUNCTION("""COMPUTED_VALUE"""),63.0)</f>
        <v>63</v>
      </c>
      <c r="K110" t="str">
        <f>IFERROR(__xludf.DUMMYFUNCTION("""COMPUTED_VALUE"""),"Nico")</f>
        <v>Nico</v>
      </c>
      <c r="L110">
        <f>IFERROR(__xludf.DUMMYFUNCTION("""COMPUTED_VALUE"""),9999.0)</f>
        <v>9999</v>
      </c>
      <c r="M110" s="124">
        <v>0.0</v>
      </c>
    </row>
    <row r="111">
      <c r="A111" s="151">
        <f>IFERROR(__xludf.DUMMYFUNCTION("""COMPUTED_VALUE"""),43702.27976414352)</f>
        <v>43702.27976</v>
      </c>
      <c r="B111" t="str">
        <f>IFERROR(__xludf.DUMMYFUNCTION("""COMPUTED_VALUE"""),"Brad")</f>
        <v>Brad</v>
      </c>
      <c r="C111" t="str">
        <f>IFERROR(__xludf.DUMMYFUNCTION("""COMPUTED_VALUE"""),"Louisiana Tech")</f>
        <v>Louisiana Tech</v>
      </c>
      <c r="D111">
        <f>IFERROR(__xludf.DUMMYFUNCTION("""COMPUTED_VALUE"""),0.0)</f>
        <v>0</v>
      </c>
      <c r="E111">
        <f>IFERROR(__xludf.DUMMYFUNCTION("""COMPUTED_VALUE"""),0.0)</f>
        <v>0</v>
      </c>
      <c r="F111" t="str">
        <f>IFERROR(__xludf.DUMMYFUNCTION("""COMPUTED_VALUE"""),"NA")</f>
        <v>NA</v>
      </c>
      <c r="G111" t="str">
        <f>IFERROR(__xludf.DUMMYFUNCTION("""COMPUTED_VALUE"""),"Louisiana Tech at (10) Texas ")</f>
        <v>Louisiana Tech at (10) Texas </v>
      </c>
      <c r="H111" t="str">
        <f>IFERROR(__xludf.DUMMYFUNCTION("""COMPUTED_VALUE"""),"SAT, AUG 31 8:00 PM ET")</f>
        <v>SAT, AUG 31 8:00 PM ET</v>
      </c>
      <c r="I111" t="str">
        <f>IFERROR(__xludf.DUMMYFUNCTION("""COMPUTED_VALUE"""),"20½")</f>
        <v>20½</v>
      </c>
      <c r="J111">
        <f>IFERROR(__xludf.DUMMYFUNCTION("""COMPUTED_VALUE"""),55.0)</f>
        <v>55</v>
      </c>
      <c r="K111" t="str">
        <f>IFERROR(__xludf.DUMMYFUNCTION("""COMPUTED_VALUE"""),"Adam")</f>
        <v>Adam</v>
      </c>
      <c r="L111">
        <f>IFERROR(__xludf.DUMMYFUNCTION("""COMPUTED_VALUE"""),9999.0)</f>
        <v>9999</v>
      </c>
      <c r="M111" s="124">
        <v>0.0</v>
      </c>
    </row>
    <row r="112">
      <c r="A112" s="151">
        <f>IFERROR(__xludf.DUMMYFUNCTION("""COMPUTED_VALUE"""),43702.27976414352)</f>
        <v>43702.27976</v>
      </c>
      <c r="B112" t="str">
        <f>IFERROR(__xludf.DUMMYFUNCTION("""COMPUTED_VALUE"""),"Nick G.")</f>
        <v>Nick G.</v>
      </c>
      <c r="C112" t="str">
        <f>IFERROR(__xludf.DUMMYFUNCTION("""COMPUTED_VALUE"""),"UConn")</f>
        <v>UConn</v>
      </c>
      <c r="D112">
        <f>IFERROR(__xludf.DUMMYFUNCTION("""COMPUTED_VALUE"""),0.0)</f>
        <v>0</v>
      </c>
      <c r="E112">
        <f>IFERROR(__xludf.DUMMYFUNCTION("""COMPUTED_VALUE"""),0.0)</f>
        <v>0</v>
      </c>
      <c r="F112" t="str">
        <f>IFERROR(__xludf.DUMMYFUNCTION("""COMPUTED_VALUE"""),"NA")</f>
        <v>NA</v>
      </c>
      <c r="G112" t="str">
        <f>IFERROR(__xludf.DUMMYFUNCTION("""COMPUTED_VALUE"""),"Wagner at UConn ")</f>
        <v>Wagner at UConn </v>
      </c>
      <c r="H112" t="str">
        <f>IFERROR(__xludf.DUMMYFUNCTION("""COMPUTED_VALUE"""),"THU, AUG 29 7:00 PM ET")</f>
        <v>THU, AUG 29 7:00 PM ET</v>
      </c>
      <c r="I112" t="str">
        <f>IFERROR(__xludf.DUMMYFUNCTION("""COMPUTED_VALUE"""),"-17½")</f>
        <v>-17½</v>
      </c>
      <c r="J112" t="str">
        <f>IFERROR(__xludf.DUMMYFUNCTION("""COMPUTED_VALUE"""),"70½")</f>
        <v>70½</v>
      </c>
      <c r="K112" t="str">
        <f>IFERROR(__xludf.DUMMYFUNCTION("""COMPUTED_VALUE"""),"Undrafted")</f>
        <v>Undrafted</v>
      </c>
      <c r="L112">
        <f>IFERROR(__xludf.DUMMYFUNCTION("""COMPUTED_VALUE"""),9999.0)</f>
        <v>9999</v>
      </c>
      <c r="M112" s="124">
        <v>0.0</v>
      </c>
    </row>
    <row r="113">
      <c r="A113" s="151">
        <f>IFERROR(__xludf.DUMMYFUNCTION("""COMPUTED_VALUE"""),43702.27976414352)</f>
        <v>43702.27976</v>
      </c>
      <c r="B113" t="str">
        <f>IFERROR(__xludf.DUMMYFUNCTION("""COMPUTED_VALUE"""),"Nick G.")</f>
        <v>Nick G.</v>
      </c>
      <c r="C113" t="str">
        <f>IFERROR(__xludf.DUMMYFUNCTION("""COMPUTED_VALUE"""),"Central Michigan")</f>
        <v>Central Michigan</v>
      </c>
      <c r="D113">
        <f>IFERROR(__xludf.DUMMYFUNCTION("""COMPUTED_VALUE"""),0.0)</f>
        <v>0</v>
      </c>
      <c r="E113">
        <f>IFERROR(__xludf.DUMMYFUNCTION("""COMPUTED_VALUE"""),0.0)</f>
        <v>0</v>
      </c>
      <c r="F113" t="str">
        <f>IFERROR(__xludf.DUMMYFUNCTION("""COMPUTED_VALUE"""),"NA")</f>
        <v>NA</v>
      </c>
      <c r="G113" t="str">
        <f>IFERROR(__xludf.DUMMYFUNCTION("""COMPUTED_VALUE"""),"Albany at Central Michigan ")</f>
        <v>Albany at Central Michigan </v>
      </c>
      <c r="H113" t="str">
        <f>IFERROR(__xludf.DUMMYFUNCTION("""COMPUTED_VALUE"""),"THU, AUG 29 7:00 PM ET")</f>
        <v>THU, AUG 29 7:00 PM ET</v>
      </c>
      <c r="I113" t="str">
        <f>IFERROR(__xludf.DUMMYFUNCTION("""COMPUTED_VALUE"""),"-11½")</f>
        <v>-11½</v>
      </c>
      <c r="J113" t="str">
        <f>IFERROR(__xludf.DUMMYFUNCTION("""COMPUTED_VALUE"""),"45½")</f>
        <v>45½</v>
      </c>
      <c r="K113" t="str">
        <f>IFERROR(__xludf.DUMMYFUNCTION("""COMPUTED_VALUE"""),"Undrafted")</f>
        <v>Undrafted</v>
      </c>
      <c r="L113">
        <f>IFERROR(__xludf.DUMMYFUNCTION("""COMPUTED_VALUE"""),9999.0)</f>
        <v>9999</v>
      </c>
      <c r="M113" s="124">
        <v>0.0</v>
      </c>
    </row>
    <row r="114">
      <c r="A114" s="151">
        <f>IFERROR(__xludf.DUMMYFUNCTION("""COMPUTED_VALUE"""),43702.27976414352)</f>
        <v>43702.27976</v>
      </c>
      <c r="B114" t="str">
        <f>IFERROR(__xludf.DUMMYFUNCTION("""COMPUTED_VALUE"""),"Nick G.")</f>
        <v>Nick G.</v>
      </c>
      <c r="C114" t="str">
        <f>IFERROR(__xludf.DUMMYFUNCTION("""COMPUTED_VALUE"""),"Ohio State")</f>
        <v>Ohio State</v>
      </c>
      <c r="D114">
        <f>IFERROR(__xludf.DUMMYFUNCTION("""COMPUTED_VALUE"""),0.0)</f>
        <v>0</v>
      </c>
      <c r="E114">
        <f>IFERROR(__xludf.DUMMYFUNCTION("""COMPUTED_VALUE"""),0.0)</f>
        <v>0</v>
      </c>
      <c r="F114" t="str">
        <f>IFERROR(__xludf.DUMMYFUNCTION("""COMPUTED_VALUE"""),"NA")</f>
        <v>NA</v>
      </c>
      <c r="G114" t="str">
        <f>IFERROR(__xludf.DUMMYFUNCTION("""COMPUTED_VALUE"""),"Florida Atlantic at (5) Ohio State ")</f>
        <v>Florida Atlantic at (5) Ohio State </v>
      </c>
      <c r="H114" t="str">
        <f>IFERROR(__xludf.DUMMYFUNCTION("""COMPUTED_VALUE"""),"SAT, AUG 31 12:00 PM ET")</f>
        <v>SAT, AUG 31 12:00 PM ET</v>
      </c>
      <c r="I114" t="str">
        <f>IFERROR(__xludf.DUMMYFUNCTION("""COMPUTED_VALUE"""),"-27½")</f>
        <v>-27½</v>
      </c>
      <c r="J114" t="str">
        <f>IFERROR(__xludf.DUMMYFUNCTION("""COMPUTED_VALUE"""),"63½")</f>
        <v>63½</v>
      </c>
      <c r="K114" t="str">
        <f>IFERROR(__xludf.DUMMYFUNCTION("""COMPUTED_VALUE"""),"Nick G.")</f>
        <v>Nick G.</v>
      </c>
      <c r="L114">
        <f>IFERROR(__xludf.DUMMYFUNCTION("""COMPUTED_VALUE"""),9999.0)</f>
        <v>9999</v>
      </c>
      <c r="M114" s="124">
        <v>0.0</v>
      </c>
    </row>
    <row r="115">
      <c r="A115" s="151">
        <f>IFERROR(__xludf.DUMMYFUNCTION("""COMPUTED_VALUE"""),43702.27976414352)</f>
        <v>43702.27976</v>
      </c>
      <c r="B115" t="str">
        <f>IFERROR(__xludf.DUMMYFUNCTION("""COMPUTED_VALUE"""),"Nick G.")</f>
        <v>Nick G.</v>
      </c>
      <c r="C115" t="str">
        <f>IFERROR(__xludf.DUMMYFUNCTION("""COMPUTED_VALUE"""),"Florida Atlantic")</f>
        <v>Florida Atlantic</v>
      </c>
      <c r="D115">
        <f>IFERROR(__xludf.DUMMYFUNCTION("""COMPUTED_VALUE"""),0.0)</f>
        <v>0</v>
      </c>
      <c r="E115">
        <f>IFERROR(__xludf.DUMMYFUNCTION("""COMPUTED_VALUE"""),0.0)</f>
        <v>0</v>
      </c>
      <c r="F115" t="str">
        <f>IFERROR(__xludf.DUMMYFUNCTION("""COMPUTED_VALUE"""),"NA")</f>
        <v>NA</v>
      </c>
      <c r="G115" t="str">
        <f>IFERROR(__xludf.DUMMYFUNCTION("""COMPUTED_VALUE"""),"Florida Atlantic at (5) Ohio State ")</f>
        <v>Florida Atlantic at (5) Ohio State </v>
      </c>
      <c r="H115" t="str">
        <f>IFERROR(__xludf.DUMMYFUNCTION("""COMPUTED_VALUE"""),"SAT, AUG 31 12:00 PM ET")</f>
        <v>SAT, AUG 31 12:00 PM ET</v>
      </c>
      <c r="I115" t="str">
        <f>IFERROR(__xludf.DUMMYFUNCTION("""COMPUTED_VALUE"""),"27½")</f>
        <v>27½</v>
      </c>
      <c r="J115" t="str">
        <f>IFERROR(__xludf.DUMMYFUNCTION("""COMPUTED_VALUE"""),"63½")</f>
        <v>63½</v>
      </c>
      <c r="K115" t="str">
        <f>IFERROR(__xludf.DUMMYFUNCTION("""COMPUTED_VALUE"""),"Nick G.")</f>
        <v>Nick G.</v>
      </c>
      <c r="L115">
        <f>IFERROR(__xludf.DUMMYFUNCTION("""COMPUTED_VALUE"""),9999.0)</f>
        <v>9999</v>
      </c>
      <c r="M115" s="124">
        <v>0.0</v>
      </c>
    </row>
    <row r="116">
      <c r="A116" s="151">
        <f>IFERROR(__xludf.DUMMYFUNCTION("""COMPUTED_VALUE"""),43702.27976414352)</f>
        <v>43702.27976</v>
      </c>
      <c r="B116" t="str">
        <f>IFERROR(__xludf.DUMMYFUNCTION("""COMPUTED_VALUE"""),"Nick G.")</f>
        <v>Nick G.</v>
      </c>
      <c r="C116" t="str">
        <f>IFERROR(__xludf.DUMMYFUNCTION("""COMPUTED_VALUE"""),"NC State")</f>
        <v>NC State</v>
      </c>
      <c r="D116">
        <f>IFERROR(__xludf.DUMMYFUNCTION("""COMPUTED_VALUE"""),0.0)</f>
        <v>0</v>
      </c>
      <c r="E116">
        <f>IFERROR(__xludf.DUMMYFUNCTION("""COMPUTED_VALUE"""),0.0)</f>
        <v>0</v>
      </c>
      <c r="F116" t="str">
        <f>IFERROR(__xludf.DUMMYFUNCTION("""COMPUTED_VALUE"""),"NA")</f>
        <v>NA</v>
      </c>
      <c r="G116" t="str">
        <f>IFERROR(__xludf.DUMMYFUNCTION("""COMPUTED_VALUE"""),"East Carolina at NC State ")</f>
        <v>East Carolina at NC State </v>
      </c>
      <c r="H116" t="str">
        <f>IFERROR(__xludf.DUMMYFUNCTION("""COMPUTED_VALUE"""),"SAT, AUG 31 12:00 PM ET")</f>
        <v>SAT, AUG 31 12:00 PM ET</v>
      </c>
      <c r="I116" t="str">
        <f>IFERROR(__xludf.DUMMYFUNCTION("""COMPUTED_VALUE"""),"-16½")</f>
        <v>-16½</v>
      </c>
      <c r="J116">
        <f>IFERROR(__xludf.DUMMYFUNCTION("""COMPUTED_VALUE"""),55.0)</f>
        <v>55</v>
      </c>
      <c r="K116" t="str">
        <f>IFERROR(__xludf.DUMMYFUNCTION("""COMPUTED_VALUE"""),"Nick A.")</f>
        <v>Nick A.</v>
      </c>
      <c r="L116">
        <f>IFERROR(__xludf.DUMMYFUNCTION("""COMPUTED_VALUE"""),9999.0)</f>
        <v>9999</v>
      </c>
      <c r="M116" s="124">
        <v>0.0</v>
      </c>
    </row>
    <row r="117">
      <c r="A117" s="151">
        <f>IFERROR(__xludf.DUMMYFUNCTION("""COMPUTED_VALUE"""),43702.27976414352)</f>
        <v>43702.27976</v>
      </c>
      <c r="B117" t="str">
        <f>IFERROR(__xludf.DUMMYFUNCTION("""COMPUTED_VALUE"""),"Nick G.")</f>
        <v>Nick G.</v>
      </c>
      <c r="C117" t="str">
        <f>IFERROR(__xludf.DUMMYFUNCTION("""COMPUTED_VALUE"""),"Stanford")</f>
        <v>Stanford</v>
      </c>
      <c r="D117">
        <f>IFERROR(__xludf.DUMMYFUNCTION("""COMPUTED_VALUE"""),0.0)</f>
        <v>0</v>
      </c>
      <c r="E117">
        <f>IFERROR(__xludf.DUMMYFUNCTION("""COMPUTED_VALUE"""),0.0)</f>
        <v>0</v>
      </c>
      <c r="F117" t="str">
        <f>IFERROR(__xludf.DUMMYFUNCTION("""COMPUTED_VALUE"""),"NA")</f>
        <v>NA</v>
      </c>
      <c r="G117" t="str">
        <f>IFERROR(__xludf.DUMMYFUNCTION("""COMPUTED_VALUE"""),"(25) Northwestern at (23) Stanford ")</f>
        <v>(25) Northwestern at (23) Stanford </v>
      </c>
      <c r="H117" t="str">
        <f>IFERROR(__xludf.DUMMYFUNCTION("""COMPUTED_VALUE"""),"SAT, AUG 31 4:00 PM ET")</f>
        <v>SAT, AUG 31 4:00 PM ET</v>
      </c>
      <c r="I117" t="str">
        <f>IFERROR(__xludf.DUMMYFUNCTION("""COMPUTED_VALUE"""),"-6½")</f>
        <v>-6½</v>
      </c>
      <c r="J117">
        <f>IFERROR(__xludf.DUMMYFUNCTION("""COMPUTED_VALUE"""),47.0)</f>
        <v>47</v>
      </c>
      <c r="K117" t="str">
        <f>IFERROR(__xludf.DUMMYFUNCTION("""COMPUTED_VALUE"""),"Adam")</f>
        <v>Adam</v>
      </c>
      <c r="L117">
        <f>IFERROR(__xludf.DUMMYFUNCTION("""COMPUTED_VALUE"""),9999.0)</f>
        <v>9999</v>
      </c>
      <c r="M117" s="124">
        <v>0.0</v>
      </c>
    </row>
    <row r="118">
      <c r="A118" s="151">
        <f>IFERROR(__xludf.DUMMYFUNCTION("""COMPUTED_VALUE"""),43702.27976414352)</f>
        <v>43702.27976</v>
      </c>
      <c r="B118" t="str">
        <f>IFERROR(__xludf.DUMMYFUNCTION("""COMPUTED_VALUE"""),"Nick G.")</f>
        <v>Nick G.</v>
      </c>
      <c r="C118" t="str">
        <f>IFERROR(__xludf.DUMMYFUNCTION("""COMPUTED_VALUE"""),"Troy")</f>
        <v>Troy</v>
      </c>
      <c r="D118">
        <f>IFERROR(__xludf.DUMMYFUNCTION("""COMPUTED_VALUE"""),0.0)</f>
        <v>0</v>
      </c>
      <c r="E118">
        <f>IFERROR(__xludf.DUMMYFUNCTION("""COMPUTED_VALUE"""),0.0)</f>
        <v>0</v>
      </c>
      <c r="F118" t="str">
        <f>IFERROR(__xludf.DUMMYFUNCTION("""COMPUTED_VALUE"""),"NA")</f>
        <v>NA</v>
      </c>
      <c r="G118" t="str">
        <f>IFERROR(__xludf.DUMMYFUNCTION("""COMPUTED_VALUE"""),"Campbell at Troy ")</f>
        <v>Campbell at Troy </v>
      </c>
      <c r="H118" t="str">
        <f>IFERROR(__xludf.DUMMYFUNCTION("""COMPUTED_VALUE"""),"SAT, AUG 31 6:00 PM ET")</f>
        <v>SAT, AUG 31 6:00 PM ET</v>
      </c>
      <c r="I118" t="str">
        <f>IFERROR(__xludf.DUMMYFUNCTION("""COMPUTED_VALUE"""),"No Line")</f>
        <v>No Line</v>
      </c>
      <c r="K118" t="str">
        <f>IFERROR(__xludf.DUMMYFUNCTION("""COMPUTED_VALUE"""),"Undrafted")</f>
        <v>Undrafted</v>
      </c>
      <c r="L118">
        <f>IFERROR(__xludf.DUMMYFUNCTION("""COMPUTED_VALUE"""),9999.0)</f>
        <v>9999</v>
      </c>
      <c r="M118" s="124">
        <v>0.0</v>
      </c>
    </row>
    <row r="119">
      <c r="A119" s="151">
        <f>IFERROR(__xludf.DUMMYFUNCTION("""COMPUTED_VALUE"""),43702.27976414352)</f>
        <v>43702.27976</v>
      </c>
      <c r="B119" t="str">
        <f>IFERROR(__xludf.DUMMYFUNCTION("""COMPUTED_VALUE"""),"Nick G.")</f>
        <v>Nick G.</v>
      </c>
      <c r="C119" t="str">
        <f>IFERROR(__xludf.DUMMYFUNCTION("""COMPUTED_VALUE"""),"Kansas State")</f>
        <v>Kansas State</v>
      </c>
      <c r="D119">
        <f>IFERROR(__xludf.DUMMYFUNCTION("""COMPUTED_VALUE"""),0.0)</f>
        <v>0</v>
      </c>
      <c r="E119">
        <f>IFERROR(__xludf.DUMMYFUNCTION("""COMPUTED_VALUE"""),0.0)</f>
        <v>0</v>
      </c>
      <c r="F119" t="str">
        <f>IFERROR(__xludf.DUMMYFUNCTION("""COMPUTED_VALUE"""),"NA")</f>
        <v>NA</v>
      </c>
      <c r="G119" t="str">
        <f>IFERROR(__xludf.DUMMYFUNCTION("""COMPUTED_VALUE"""),"Nicholls at Kansas State ")</f>
        <v>Nicholls at Kansas State </v>
      </c>
      <c r="H119" t="str">
        <f>IFERROR(__xludf.DUMMYFUNCTION("""COMPUTED_VALUE"""),"SAT, AUG 31 7:00 PM ET")</f>
        <v>SAT, AUG 31 7:00 PM ET</v>
      </c>
      <c r="I119" t="str">
        <f>IFERROR(__xludf.DUMMYFUNCTION("""COMPUTED_VALUE"""),"No Line")</f>
        <v>No Line</v>
      </c>
      <c r="K119" t="str">
        <f>IFERROR(__xludf.DUMMYFUNCTION("""COMPUTED_VALUE"""),"Undrafted")</f>
        <v>Undrafted</v>
      </c>
      <c r="L119">
        <f>IFERROR(__xludf.DUMMYFUNCTION("""COMPUTED_VALUE"""),9999.0)</f>
        <v>9999</v>
      </c>
      <c r="M119" s="124">
        <v>0.0</v>
      </c>
    </row>
    <row r="120">
      <c r="A120" s="151">
        <f>IFERROR(__xludf.DUMMYFUNCTION("""COMPUTED_VALUE"""),43702.27976414352)</f>
        <v>43702.27976</v>
      </c>
      <c r="B120" t="str">
        <f>IFERROR(__xludf.DUMMYFUNCTION("""COMPUTED_VALUE"""),"Nick G.")</f>
        <v>Nick G.</v>
      </c>
      <c r="C120" t="str">
        <f>IFERROR(__xludf.DUMMYFUNCTION("""COMPUTED_VALUE"""),"Auburn")</f>
        <v>Auburn</v>
      </c>
      <c r="D120">
        <f>IFERROR(__xludf.DUMMYFUNCTION("""COMPUTED_VALUE"""),0.0)</f>
        <v>0</v>
      </c>
      <c r="E120">
        <f>IFERROR(__xludf.DUMMYFUNCTION("""COMPUTED_VALUE"""),0.0)</f>
        <v>0</v>
      </c>
      <c r="F120" t="str">
        <f>IFERROR(__xludf.DUMMYFUNCTION("""COMPUTED_VALUE"""),"NA")</f>
        <v>NA</v>
      </c>
      <c r="G120" t="str">
        <f>IFERROR(__xludf.DUMMYFUNCTION("""COMPUTED_VALUE"""),"(13) Oregon at (16) Auburn ")</f>
        <v>(13) Oregon at (16) Auburn </v>
      </c>
      <c r="H120" t="str">
        <f>IFERROR(__xludf.DUMMYFUNCTION("""COMPUTED_VALUE"""),"SAT, AUG 31 7:30 PM ET")</f>
        <v>SAT, AUG 31 7:30 PM ET</v>
      </c>
      <c r="I120" t="str">
        <f>IFERROR(__xludf.DUMMYFUNCTION("""COMPUTED_VALUE"""),"-3½")</f>
        <v>-3½</v>
      </c>
      <c r="J120">
        <f>IFERROR(__xludf.DUMMYFUNCTION("""COMPUTED_VALUE"""),56.0)</f>
        <v>56</v>
      </c>
      <c r="K120" t="str">
        <f>IFERROR(__xludf.DUMMYFUNCTION("""COMPUTED_VALUE"""),"Justin")</f>
        <v>Justin</v>
      </c>
      <c r="L120">
        <f>IFERROR(__xludf.DUMMYFUNCTION("""COMPUTED_VALUE"""),9999.0)</f>
        <v>9999</v>
      </c>
      <c r="M120" s="124">
        <v>0.0</v>
      </c>
    </row>
    <row r="121">
      <c r="A121" s="151">
        <f>IFERROR(__xludf.DUMMYFUNCTION("""COMPUTED_VALUE"""),43702.27976414352)</f>
        <v>43702.27976</v>
      </c>
      <c r="B121" t="str">
        <f>IFERROR(__xludf.DUMMYFUNCTION("""COMPUTED_VALUE"""),"Nick G.")</f>
        <v>Nick G.</v>
      </c>
      <c r="C121" t="str">
        <f>IFERROR(__xludf.DUMMYFUNCTION("""COMPUTED_VALUE"""),"Wyoming")</f>
        <v>Wyoming</v>
      </c>
      <c r="D121">
        <f>IFERROR(__xludf.DUMMYFUNCTION("""COMPUTED_VALUE"""),0.0)</f>
        <v>0</v>
      </c>
      <c r="E121">
        <f>IFERROR(__xludf.DUMMYFUNCTION("""COMPUTED_VALUE"""),0.0)</f>
        <v>0</v>
      </c>
      <c r="F121" t="str">
        <f>IFERROR(__xludf.DUMMYFUNCTION("""COMPUTED_VALUE"""),"NA")</f>
        <v>NA</v>
      </c>
      <c r="G121" t="str">
        <f>IFERROR(__xludf.DUMMYFUNCTION("""COMPUTED_VALUE"""),"Missouri at Wyoming ")</f>
        <v>Missouri at Wyoming </v>
      </c>
      <c r="H121" t="str">
        <f>IFERROR(__xludf.DUMMYFUNCTION("""COMPUTED_VALUE"""),"SAT, AUG 31 7:30 PM ET")</f>
        <v>SAT, AUG 31 7:30 PM ET</v>
      </c>
      <c r="I121" t="str">
        <f>IFERROR(__xludf.DUMMYFUNCTION("""COMPUTED_VALUE"""),"17½")</f>
        <v>17½</v>
      </c>
      <c r="J121" t="str">
        <f>IFERROR(__xludf.DUMMYFUNCTION("""COMPUTED_VALUE"""),"54½")</f>
        <v>54½</v>
      </c>
      <c r="K121" t="str">
        <f>IFERROR(__xludf.DUMMYFUNCTION("""COMPUTED_VALUE"""),"Gary")</f>
        <v>Gary</v>
      </c>
      <c r="L121">
        <f>IFERROR(__xludf.DUMMYFUNCTION("""COMPUTED_VALUE"""),9999.0)</f>
        <v>9999</v>
      </c>
      <c r="M121" s="124">
        <v>0.0</v>
      </c>
    </row>
    <row r="122">
      <c r="A122" s="151">
        <f>IFERROR(__xludf.DUMMYFUNCTION("""COMPUTED_VALUE"""),43709.147748564814)</f>
        <v>43709.14775</v>
      </c>
      <c r="B122" t="str">
        <f>IFERROR(__xludf.DUMMYFUNCTION("""COMPUTED_VALUE"""),"DavEmily")</f>
        <v>DavEmily</v>
      </c>
      <c r="C122" t="str">
        <f>IFERROR(__xludf.DUMMYFUNCTION("""COMPUTED_VALUE"""),"Tulsa")</f>
        <v>Tulsa</v>
      </c>
      <c r="D122">
        <f>IFERROR(__xludf.DUMMYFUNCTION("""COMPUTED_VALUE"""),0.0)</f>
        <v>0</v>
      </c>
      <c r="E122">
        <f>IFERROR(__xludf.DUMMYFUNCTION("""COMPUTED_VALUE"""),1.0)</f>
        <v>1</v>
      </c>
      <c r="F122" t="str">
        <f>IFERROR(__xludf.DUMMYFUNCTION("""COMPUTED_VALUE"""),"FS1")</f>
        <v>FS1</v>
      </c>
      <c r="G122" t="str">
        <f>IFERROR(__xludf.DUMMYFUNCTION("""COMPUTED_VALUE"""),"Tulsa 7 at (20) Michigan State 28")</f>
        <v>Tulsa 7 at (20) Michigan State 28</v>
      </c>
      <c r="H122" t="str">
        <f>IFERROR(__xludf.DUMMYFUNCTION("""COMPUTED_VALUE"""),"FINAL")</f>
        <v>FINAL</v>
      </c>
      <c r="I122" t="str">
        <f>IFERROR(__xludf.DUMMYFUNCTION("""COMPUTED_VALUE"""),"22½")</f>
        <v>22½</v>
      </c>
      <c r="J122" t="str">
        <f>IFERROR(__xludf.DUMMYFUNCTION("""COMPUTED_VALUE"""),"47½")</f>
        <v>47½</v>
      </c>
      <c r="K122" t="str">
        <f>IFERROR(__xludf.DUMMYFUNCTION("""COMPUTED_VALUE"""),"Nick A.")</f>
        <v>Nick A.</v>
      </c>
      <c r="L122">
        <f>IFERROR(__xludf.DUMMYFUNCTION("""COMPUTED_VALUE"""),9999.0)</f>
        <v>9999</v>
      </c>
      <c r="M122" s="124">
        <v>1.0</v>
      </c>
    </row>
    <row r="123">
      <c r="A123" s="151">
        <f>IFERROR(__xludf.DUMMYFUNCTION("""COMPUTED_VALUE"""),43709.147748564814)</f>
        <v>43709.14775</v>
      </c>
      <c r="B123" t="str">
        <f>IFERROR(__xludf.DUMMYFUNCTION("""COMPUTED_VALUE"""),"DavEmily")</f>
        <v>DavEmily</v>
      </c>
      <c r="C123" t="str">
        <f>IFERROR(__xludf.DUMMYFUNCTION("""COMPUTED_VALUE"""),"Nebraska")</f>
        <v>Nebraska</v>
      </c>
      <c r="D123">
        <f>IFERROR(__xludf.DUMMYFUNCTION("""COMPUTED_VALUE"""),1.0)</f>
        <v>1</v>
      </c>
      <c r="E123">
        <f>IFERROR(__xludf.DUMMYFUNCTION("""COMPUTED_VALUE"""),0.0)</f>
        <v>0</v>
      </c>
      <c r="F123" t="str">
        <f>IFERROR(__xludf.DUMMYFUNCTION("""COMPUTED_VALUE"""),"ESPN")</f>
        <v>ESPN</v>
      </c>
      <c r="G123" t="str">
        <f>IFERROR(__xludf.DUMMYFUNCTION("""COMPUTED_VALUE"""),"South Alabama 21 at Nebraska 35")</f>
        <v>South Alabama 21 at Nebraska 35</v>
      </c>
      <c r="H123" t="str">
        <f>IFERROR(__xludf.DUMMYFUNCTION("""COMPUTED_VALUE"""),"FINAL")</f>
        <v>FINAL</v>
      </c>
      <c r="I123">
        <f>IFERROR(__xludf.DUMMYFUNCTION("""COMPUTED_VALUE"""),-36.0)</f>
        <v>-36</v>
      </c>
      <c r="J123" t="str">
        <f>IFERROR(__xludf.DUMMYFUNCTION("""COMPUTED_VALUE"""),"64½")</f>
        <v>64½</v>
      </c>
      <c r="K123" t="str">
        <f>IFERROR(__xludf.DUMMYFUNCTION("""COMPUTED_VALUE"""),"Vu")</f>
        <v>Vu</v>
      </c>
      <c r="L123">
        <f>IFERROR(__xludf.DUMMYFUNCTION("""COMPUTED_VALUE"""),9999.0)</f>
        <v>9999</v>
      </c>
      <c r="M123" s="124">
        <v>1.0</v>
      </c>
    </row>
    <row r="124">
      <c r="A124" s="151">
        <f>IFERROR(__xludf.DUMMYFUNCTION("""COMPUTED_VALUE"""),43709.147748564814)</f>
        <v>43709.14775</v>
      </c>
      <c r="B124" t="str">
        <f>IFERROR(__xludf.DUMMYFUNCTION("""COMPUTED_VALUE"""),"DavEmily")</f>
        <v>DavEmily</v>
      </c>
      <c r="C124" t="str">
        <f>IFERROR(__xludf.DUMMYFUNCTION("""COMPUTED_VALUE"""),"Ball State")</f>
        <v>Ball State</v>
      </c>
      <c r="D124">
        <f>IFERROR(__xludf.DUMMYFUNCTION("""COMPUTED_VALUE"""),0.0)</f>
        <v>0</v>
      </c>
      <c r="E124">
        <f>IFERROR(__xludf.DUMMYFUNCTION("""COMPUTED_VALUE"""),1.0)</f>
        <v>1</v>
      </c>
      <c r="F124" t="str">
        <f>IFERROR(__xludf.DUMMYFUNCTION("""COMPUTED_VALUE"""),"CBSSN")</f>
        <v>CBSSN</v>
      </c>
      <c r="G124" t="str">
        <f>IFERROR(__xludf.DUMMYFUNCTION("""COMPUTED_VALUE"""),"Indiana 34 at Ball State 24")</f>
        <v>Indiana 34 at Ball State 24</v>
      </c>
      <c r="H124" t="str">
        <f>IFERROR(__xludf.DUMMYFUNCTION("""COMPUTED_VALUE"""),"FINAL")</f>
        <v>FINAL</v>
      </c>
      <c r="I124">
        <f>IFERROR(__xludf.DUMMYFUNCTION("""COMPUTED_VALUE"""),17.0)</f>
        <v>17</v>
      </c>
      <c r="J124">
        <f>IFERROR(__xludf.DUMMYFUNCTION("""COMPUTED_VALUE"""),60.0)</f>
        <v>60</v>
      </c>
      <c r="K124" t="str">
        <f>IFERROR(__xludf.DUMMYFUNCTION("""COMPUTED_VALUE"""),"Brad")</f>
        <v>Brad</v>
      </c>
      <c r="L124">
        <f>IFERROR(__xludf.DUMMYFUNCTION("""COMPUTED_VALUE"""),9999.0)</f>
        <v>9999</v>
      </c>
      <c r="M124" s="124">
        <v>1.0</v>
      </c>
    </row>
    <row r="125">
      <c r="A125" s="151">
        <f>IFERROR(__xludf.DUMMYFUNCTION("""COMPUTED_VALUE"""),43709.147748564814)</f>
        <v>43709.14775</v>
      </c>
      <c r="B125" t="str">
        <f>IFERROR(__xludf.DUMMYFUNCTION("""COMPUTED_VALUE"""),"DavEmily")</f>
        <v>DavEmily</v>
      </c>
      <c r="C125" t="str">
        <f>IFERROR(__xludf.DUMMYFUNCTION("""COMPUTED_VALUE"""),"Alabama")</f>
        <v>Alabama</v>
      </c>
      <c r="D125">
        <f>IFERROR(__xludf.DUMMYFUNCTION("""COMPUTED_VALUE"""),1.0)</f>
        <v>1</v>
      </c>
      <c r="E125">
        <f>IFERROR(__xludf.DUMMYFUNCTION("""COMPUTED_VALUE"""),0.0)</f>
        <v>0</v>
      </c>
      <c r="F125" t="str">
        <f>IFERROR(__xludf.DUMMYFUNCTION("""COMPUTED_VALUE"""),"ABC")</f>
        <v>ABC</v>
      </c>
      <c r="G125" t="str">
        <f>IFERROR(__xludf.DUMMYFUNCTION("""COMPUTED_VALUE"""),"Duke 3 at (2) Alabama 42")</f>
        <v>Duke 3 at (2) Alabama 42</v>
      </c>
      <c r="H125" t="str">
        <f>IFERROR(__xludf.DUMMYFUNCTION("""COMPUTED_VALUE"""),"FINAL")</f>
        <v>FINAL</v>
      </c>
      <c r="I125">
        <f>IFERROR(__xludf.DUMMYFUNCTION("""COMPUTED_VALUE"""),-35.0)</f>
        <v>-35</v>
      </c>
      <c r="J125">
        <f>IFERROR(__xludf.DUMMYFUNCTION("""COMPUTED_VALUE"""),58.0)</f>
        <v>58</v>
      </c>
      <c r="K125" t="str">
        <f>IFERROR(__xludf.DUMMYFUNCTION("""COMPUTED_VALUE"""),"Justin")</f>
        <v>Justin</v>
      </c>
      <c r="L125">
        <f>IFERROR(__xludf.DUMMYFUNCTION("""COMPUTED_VALUE"""),9999.0)</f>
        <v>9999</v>
      </c>
      <c r="M125" s="124">
        <v>1.0</v>
      </c>
    </row>
    <row r="126">
      <c r="A126" s="151">
        <f>IFERROR(__xludf.DUMMYFUNCTION("""COMPUTED_VALUE"""),43709.147748564814)</f>
        <v>43709.14775</v>
      </c>
      <c r="B126" t="str">
        <f>IFERROR(__xludf.DUMMYFUNCTION("""COMPUTED_VALUE"""),"DavEmily")</f>
        <v>DavEmily</v>
      </c>
      <c r="C126" t="str">
        <f>IFERROR(__xludf.DUMMYFUNCTION("""COMPUTED_VALUE"""),"Coastal Carolina")</f>
        <v>Coastal Carolina</v>
      </c>
      <c r="D126">
        <f>IFERROR(__xludf.DUMMYFUNCTION("""COMPUTED_VALUE"""),0.0)</f>
        <v>0</v>
      </c>
      <c r="E126">
        <f>IFERROR(__xludf.DUMMYFUNCTION("""COMPUTED_VALUE"""),1.0)</f>
        <v>1</v>
      </c>
      <c r="F126" t="str">
        <f>IFERROR(__xludf.DUMMYFUNCTION("""COMPUTED_VALUE"""),"espn+ Video")</f>
        <v>espn+ Video</v>
      </c>
      <c r="G126" t="str">
        <f>IFERROR(__xludf.DUMMYFUNCTION("""COMPUTED_VALUE"""),"EMU 30 at Coastal Carolina 23")</f>
        <v>EMU 30 at Coastal Carolina 23</v>
      </c>
      <c r="H126" t="str">
        <f>IFERROR(__xludf.DUMMYFUNCTION("""COMPUTED_VALUE"""),"FINAL")</f>
        <v>FINAL</v>
      </c>
      <c r="I126" t="str">
        <f>IFERROR(__xludf.DUMMYFUNCTION("""COMPUTED_VALUE"""),"5½")</f>
        <v>5½</v>
      </c>
      <c r="J126">
        <f>IFERROR(__xludf.DUMMYFUNCTION("""COMPUTED_VALUE"""),55.0)</f>
        <v>55</v>
      </c>
      <c r="K126" t="str">
        <f>IFERROR(__xludf.DUMMYFUNCTION("""COMPUTED_VALUE"""),"Brad")</f>
        <v>Brad</v>
      </c>
      <c r="L126">
        <f>IFERROR(__xludf.DUMMYFUNCTION("""COMPUTED_VALUE"""),9999.0)</f>
        <v>9999</v>
      </c>
      <c r="M126" s="124">
        <v>1.0</v>
      </c>
    </row>
    <row r="127">
      <c r="A127" s="151">
        <f>IFERROR(__xludf.DUMMYFUNCTION("""COMPUTED_VALUE"""),43709.147748564814)</f>
        <v>43709.14775</v>
      </c>
      <c r="B127" t="str">
        <f>IFERROR(__xludf.DUMMYFUNCTION("""COMPUTED_VALUE"""),"DavEmily")</f>
        <v>DavEmily</v>
      </c>
      <c r="C127" t="str">
        <f>IFERROR(__xludf.DUMMYFUNCTION("""COMPUTED_VALUE"""),"Virginia Tech")</f>
        <v>Virginia Tech</v>
      </c>
      <c r="D127">
        <f>IFERROR(__xludf.DUMMYFUNCTION("""COMPUTED_VALUE"""),0.0)</f>
        <v>0</v>
      </c>
      <c r="E127">
        <f>IFERROR(__xludf.DUMMYFUNCTION("""COMPUTED_VALUE"""),1.0)</f>
        <v>1</v>
      </c>
      <c r="F127" t="str">
        <f>IFERROR(__xludf.DUMMYFUNCTION("""COMPUTED_VALUE"""),"ACC Network")</f>
        <v>ACC Network</v>
      </c>
      <c r="G127" t="str">
        <f>IFERROR(__xludf.DUMMYFUNCTION("""COMPUTED_VALUE"""),"Virginia Tech 28 at Boston College 35")</f>
        <v>Virginia Tech 28 at Boston College 35</v>
      </c>
      <c r="H127" t="str">
        <f>IFERROR(__xludf.DUMMYFUNCTION("""COMPUTED_VALUE"""),"FINAL")</f>
        <v>FINAL</v>
      </c>
      <c r="I127" t="str">
        <f>IFERROR(__xludf.DUMMYFUNCTION("""COMPUTED_VALUE"""),"-3½")</f>
        <v>-3½</v>
      </c>
      <c r="J127">
        <f>IFERROR(__xludf.DUMMYFUNCTION("""COMPUTED_VALUE"""),57.0)</f>
        <v>57</v>
      </c>
      <c r="K127" t="str">
        <f>IFERROR(__xludf.DUMMYFUNCTION("""COMPUTED_VALUE"""),"Janice/Mike")</f>
        <v>Janice/Mike</v>
      </c>
      <c r="L127">
        <f>IFERROR(__xludf.DUMMYFUNCTION("""COMPUTED_VALUE"""),9999.0)</f>
        <v>9999</v>
      </c>
      <c r="M127" s="124">
        <v>1.0</v>
      </c>
    </row>
    <row r="128">
      <c r="A128" s="151">
        <f>IFERROR(__xludf.DUMMYFUNCTION("""COMPUTED_VALUE"""),43709.147748564814)</f>
        <v>43709.14775</v>
      </c>
      <c r="B128" t="str">
        <f>IFERROR(__xludf.DUMMYFUNCTION("""COMPUTED_VALUE"""),"DavEmily")</f>
        <v>DavEmily</v>
      </c>
      <c r="C128" t="str">
        <f>IFERROR(__xludf.DUMMYFUNCTION("""COMPUTED_VALUE"""),"UTSA")</f>
        <v>UTSA</v>
      </c>
      <c r="D128">
        <f>IFERROR(__xludf.DUMMYFUNCTION("""COMPUTED_VALUE"""),1.0)</f>
        <v>1</v>
      </c>
      <c r="E128">
        <f>IFERROR(__xludf.DUMMYFUNCTION("""COMPUTED_VALUE"""),0.0)</f>
        <v>0</v>
      </c>
      <c r="F128" t="str">
        <f>IFERROR(__xludf.DUMMYFUNCTION("""COMPUTED_VALUE"""),"ESPN Extra")</f>
        <v>ESPN Extra</v>
      </c>
      <c r="G128" t="str">
        <f>IFERROR(__xludf.DUMMYFUNCTION("""COMPUTED_VALUE"""),"Incarnate Word 7 at UTSA 35")</f>
        <v>Incarnate Word 7 at UTSA 35</v>
      </c>
      <c r="H128" t="str">
        <f>IFERROR(__xludf.DUMMYFUNCTION("""COMPUTED_VALUE"""),"FINAL")</f>
        <v>FINAL</v>
      </c>
      <c r="I128" t="str">
        <f>IFERROR(__xludf.DUMMYFUNCTION("""COMPUTED_VALUE"""),"-5½")</f>
        <v>-5½</v>
      </c>
      <c r="J128" t="str">
        <f>IFERROR(__xludf.DUMMYFUNCTION("""COMPUTED_VALUE"""),"58½")</f>
        <v>58½</v>
      </c>
      <c r="K128" t="str">
        <f>IFERROR(__xludf.DUMMYFUNCTION("""COMPUTED_VALUE"""),"Undrafted")</f>
        <v>Undrafted</v>
      </c>
      <c r="L128">
        <f>IFERROR(__xludf.DUMMYFUNCTION("""COMPUTED_VALUE"""),9999.0)</f>
        <v>9999</v>
      </c>
      <c r="M128" s="124">
        <v>1.0</v>
      </c>
    </row>
    <row r="129">
      <c r="A129" s="151">
        <f>IFERROR(__xludf.DUMMYFUNCTION("""COMPUTED_VALUE"""),43709.147748564814)</f>
        <v>43709.14775</v>
      </c>
      <c r="B129" t="str">
        <f>IFERROR(__xludf.DUMMYFUNCTION("""COMPUTED_VALUE"""),"DavEmily")</f>
        <v>DavEmily</v>
      </c>
      <c r="C129" t="str">
        <f>IFERROR(__xludf.DUMMYFUNCTION("""COMPUTED_VALUE"""),"California")</f>
        <v>California</v>
      </c>
      <c r="D129">
        <f>IFERROR(__xludf.DUMMYFUNCTION("""COMPUTED_VALUE"""),1.0)</f>
        <v>1</v>
      </c>
      <c r="E129">
        <f>IFERROR(__xludf.DUMMYFUNCTION("""COMPUTED_VALUE"""),0.0)</f>
        <v>0</v>
      </c>
      <c r="F129" t="str">
        <f>IFERROR(__xludf.DUMMYFUNCTION("""COMPUTED_VALUE"""),"Pac-12")</f>
        <v>Pac-12</v>
      </c>
      <c r="G129" t="str">
        <f>IFERROR(__xludf.DUMMYFUNCTION("""COMPUTED_VALUE"""),"UC Davis 13 at California 27")</f>
        <v>UC Davis 13 at California 27</v>
      </c>
      <c r="H129" t="str">
        <f>IFERROR(__xludf.DUMMYFUNCTION("""COMPUTED_VALUE"""),"FINAL")</f>
        <v>FINAL</v>
      </c>
      <c r="I129">
        <f>IFERROR(__xludf.DUMMYFUNCTION("""COMPUTED_VALUE"""),-13.0)</f>
        <v>-13</v>
      </c>
      <c r="J129">
        <f>IFERROR(__xludf.DUMMYFUNCTION("""COMPUTED_VALUE"""),50.0)</f>
        <v>50</v>
      </c>
      <c r="K129" t="str">
        <f>IFERROR(__xludf.DUMMYFUNCTION("""COMPUTED_VALUE"""),"Undrafted")</f>
        <v>Undrafted</v>
      </c>
      <c r="L129">
        <f>IFERROR(__xludf.DUMMYFUNCTION("""COMPUTED_VALUE"""),9999.0)</f>
        <v>9999</v>
      </c>
      <c r="M129" s="124">
        <v>1.0</v>
      </c>
    </row>
    <row r="130">
      <c r="A130" s="151">
        <f>IFERROR(__xludf.DUMMYFUNCTION("""COMPUTED_VALUE"""),43709.147748564814)</f>
        <v>43709.14775</v>
      </c>
      <c r="B130" t="str">
        <f>IFERROR(__xludf.DUMMYFUNCTION("""COMPUTED_VALUE"""),"DavEmily")</f>
        <v>DavEmily</v>
      </c>
      <c r="C130" t="str">
        <f>IFERROR(__xludf.DUMMYFUNCTION("""COMPUTED_VALUE"""),"Fresno State")</f>
        <v>Fresno State</v>
      </c>
      <c r="D130">
        <f>IFERROR(__xludf.DUMMYFUNCTION("""COMPUTED_VALUE"""),0.0)</f>
        <v>0</v>
      </c>
      <c r="E130">
        <f>IFERROR(__xludf.DUMMYFUNCTION("""COMPUTED_VALUE"""),1.0)</f>
        <v>1</v>
      </c>
      <c r="F130" t="str">
        <f>IFERROR(__xludf.DUMMYFUNCTION("""COMPUTED_VALUE"""),"ESPN")</f>
        <v>ESPN</v>
      </c>
      <c r="G130" t="str">
        <f>IFERROR(__xludf.DUMMYFUNCTION("""COMPUTED_VALUE"""),"Fresno State 23 at USC 31")</f>
        <v>Fresno State 23 at USC 31</v>
      </c>
      <c r="H130" t="str">
        <f>IFERROR(__xludf.DUMMYFUNCTION("""COMPUTED_VALUE"""),"FINAL")</f>
        <v>FINAL</v>
      </c>
      <c r="I130" t="str">
        <f>IFERROR(__xludf.DUMMYFUNCTION("""COMPUTED_VALUE"""),"13½")</f>
        <v>13½</v>
      </c>
      <c r="J130" t="str">
        <f>IFERROR(__xludf.DUMMYFUNCTION("""COMPUTED_VALUE"""),"52½")</f>
        <v>52½</v>
      </c>
      <c r="K130" t="str">
        <f>IFERROR(__xludf.DUMMYFUNCTION("""COMPUTED_VALUE"""),"Josh R.")</f>
        <v>Josh R.</v>
      </c>
      <c r="L130">
        <f>IFERROR(__xludf.DUMMYFUNCTION("""COMPUTED_VALUE"""),9999.0)</f>
        <v>9999</v>
      </c>
      <c r="M130" s="124">
        <v>1.0</v>
      </c>
    </row>
    <row r="131">
      <c r="A131" s="151">
        <f>IFERROR(__xludf.DUMMYFUNCTION("""COMPUTED_VALUE"""),43709.147748564814)</f>
        <v>43709.14775</v>
      </c>
      <c r="B131" t="str">
        <f>IFERROR(__xludf.DUMMYFUNCTION("""COMPUTED_VALUE"""),"DavEmily")</f>
        <v>DavEmily</v>
      </c>
      <c r="C131" t="str">
        <f>IFERROR(__xludf.DUMMYFUNCTION("""COMPUTED_VALUE"""),"Notre Dame")</f>
        <v>Notre Dame</v>
      </c>
      <c r="D131">
        <f>IFERROR(__xludf.DUMMYFUNCTION("""COMPUTED_VALUE"""),1.0)</f>
        <v>1</v>
      </c>
      <c r="E131">
        <f>IFERROR(__xludf.DUMMYFUNCTION("""COMPUTED_VALUE"""),0.0)</f>
        <v>0</v>
      </c>
      <c r="F131" t="str">
        <f>IFERROR(__xludf.DUMMYFUNCTION("""COMPUTED_VALUE"""),"ESPN")</f>
        <v>ESPN</v>
      </c>
      <c r="G131" t="str">
        <f>IFERROR(__xludf.DUMMYFUNCTION("""COMPUTED_VALUE"""),"Notre Dame 35 at Louisville 17")</f>
        <v>Notre Dame 35 at Louisville 17</v>
      </c>
      <c r="H131" t="str">
        <f>IFERROR(__xludf.DUMMYFUNCTION("""COMPUTED_VALUE"""),"FINAL")</f>
        <v>FINAL</v>
      </c>
      <c r="I131" t="str">
        <f>IFERROR(__xludf.DUMMYFUNCTION("""COMPUTED_VALUE"""),"-20½")</f>
        <v>-20½</v>
      </c>
      <c r="J131">
        <f>IFERROR(__xludf.DUMMYFUNCTION("""COMPUTED_VALUE"""),57.0)</f>
        <v>57</v>
      </c>
      <c r="K131" t="str">
        <f>IFERROR(__xludf.DUMMYFUNCTION("""COMPUTED_VALUE"""),"Undrafted")</f>
        <v>Undrafted</v>
      </c>
      <c r="L131">
        <f>IFERROR(__xludf.DUMMYFUNCTION("""COMPUTED_VALUE"""),9999.0)</f>
        <v>9999</v>
      </c>
      <c r="M131" s="124">
        <v>1.0</v>
      </c>
    </row>
    <row r="132">
      <c r="A132" s="151">
        <f>IFERROR(__xludf.DUMMYFUNCTION("""COMPUTED_VALUE"""),43709.147748564814)</f>
        <v>43709.14775</v>
      </c>
      <c r="B132" t="str">
        <f>IFERROR(__xludf.DUMMYFUNCTION("""COMPUTED_VALUE"""),"Nick A.")</f>
        <v>Nick A.</v>
      </c>
      <c r="C132" t="str">
        <f>IFERROR(__xludf.DUMMYFUNCTION("""COMPUTED_VALUE"""),"Bowling Green")</f>
        <v>Bowling Green</v>
      </c>
      <c r="D132">
        <f>IFERROR(__xludf.DUMMYFUNCTION("""COMPUTED_VALUE"""),1.0)</f>
        <v>1</v>
      </c>
      <c r="E132">
        <f>IFERROR(__xludf.DUMMYFUNCTION("""COMPUTED_VALUE"""),0.0)</f>
        <v>0</v>
      </c>
      <c r="F132" t="str">
        <f>IFERROR(__xludf.DUMMYFUNCTION("""COMPUTED_VALUE"""),"espn3 Video")</f>
        <v>espn3 Video</v>
      </c>
      <c r="G132" t="str">
        <f>IFERROR(__xludf.DUMMYFUNCTION("""COMPUTED_VALUE"""),"Morgan State 3 at Bowling Green 46")</f>
        <v>Morgan State 3 at Bowling Green 46</v>
      </c>
      <c r="H132" t="str">
        <f>IFERROR(__xludf.DUMMYFUNCTION("""COMPUTED_VALUE"""),"FINAL")</f>
        <v>FINAL</v>
      </c>
      <c r="I132" t="str">
        <f>IFERROR(__xludf.DUMMYFUNCTION("""COMPUTED_VALUE"""),"-21½")</f>
        <v>-21½</v>
      </c>
      <c r="J132" t="str">
        <f>IFERROR(__xludf.DUMMYFUNCTION("""COMPUTED_VALUE"""),"49½")</f>
        <v>49½</v>
      </c>
      <c r="K132" t="str">
        <f>IFERROR(__xludf.DUMMYFUNCTION("""COMPUTED_VALUE"""),"Undrafted")</f>
        <v>Undrafted</v>
      </c>
      <c r="L132">
        <f>IFERROR(__xludf.DUMMYFUNCTION("""COMPUTED_VALUE"""),9999.0)</f>
        <v>9999</v>
      </c>
      <c r="M132" s="124">
        <v>1.0</v>
      </c>
    </row>
    <row r="133">
      <c r="A133" s="151">
        <f>IFERROR(__xludf.DUMMYFUNCTION("""COMPUTED_VALUE"""),43709.147748564814)</f>
        <v>43709.14775</v>
      </c>
      <c r="B133" t="str">
        <f>IFERROR(__xludf.DUMMYFUNCTION("""COMPUTED_VALUE"""),"Nick A.")</f>
        <v>Nick A.</v>
      </c>
      <c r="C133" t="str">
        <f>IFERROR(__xludf.DUMMYFUNCTION("""COMPUTED_VALUE"""),"Clemson")</f>
        <v>Clemson</v>
      </c>
      <c r="D133">
        <f>IFERROR(__xludf.DUMMYFUNCTION("""COMPUTED_VALUE"""),1.0)</f>
        <v>1</v>
      </c>
      <c r="E133">
        <f>IFERROR(__xludf.DUMMYFUNCTION("""COMPUTED_VALUE"""),0.0)</f>
        <v>0</v>
      </c>
      <c r="F133" t="str">
        <f>IFERROR(__xludf.DUMMYFUNCTION("""COMPUTED_VALUE"""),"ACC Network")</f>
        <v>ACC Network</v>
      </c>
      <c r="G133" t="str">
        <f>IFERROR(__xludf.DUMMYFUNCTION("""COMPUTED_VALUE"""),"Georgia Tech 14 at (1) Clemson 52")</f>
        <v>Georgia Tech 14 at (1) Clemson 52</v>
      </c>
      <c r="H133" t="str">
        <f>IFERROR(__xludf.DUMMYFUNCTION("""COMPUTED_VALUE"""),"FINAL")</f>
        <v>FINAL</v>
      </c>
      <c r="I133">
        <f>IFERROR(__xludf.DUMMYFUNCTION("""COMPUTED_VALUE"""),-36.0)</f>
        <v>-36</v>
      </c>
      <c r="J133">
        <f>IFERROR(__xludf.DUMMYFUNCTION("""COMPUTED_VALUE"""),60.0)</f>
        <v>60</v>
      </c>
      <c r="K133" t="str">
        <f>IFERROR(__xludf.DUMMYFUNCTION("""COMPUTED_VALUE"""),"Undrafted")</f>
        <v>Undrafted</v>
      </c>
      <c r="L133">
        <f>IFERROR(__xludf.DUMMYFUNCTION("""COMPUTED_VALUE"""),9999.0)</f>
        <v>9999</v>
      </c>
      <c r="M133" s="124">
        <v>1.0</v>
      </c>
    </row>
    <row r="134">
      <c r="A134" s="151">
        <f>IFERROR(__xludf.DUMMYFUNCTION("""COMPUTED_VALUE"""),43709.147748564814)</f>
        <v>43709.14775</v>
      </c>
      <c r="B134" t="str">
        <f>IFERROR(__xludf.DUMMYFUNCTION("""COMPUTED_VALUE"""),"Nick A.")</f>
        <v>Nick A.</v>
      </c>
      <c r="C134" t="str">
        <f>IFERROR(__xludf.DUMMYFUNCTION("""COMPUTED_VALUE"""),"Michigan State")</f>
        <v>Michigan State</v>
      </c>
      <c r="D134">
        <f>IFERROR(__xludf.DUMMYFUNCTION("""COMPUTED_VALUE"""),1.0)</f>
        <v>1</v>
      </c>
      <c r="E134">
        <f>IFERROR(__xludf.DUMMYFUNCTION("""COMPUTED_VALUE"""),0.0)</f>
        <v>0</v>
      </c>
      <c r="F134" t="str">
        <f>IFERROR(__xludf.DUMMYFUNCTION("""COMPUTED_VALUE"""),"FS1")</f>
        <v>FS1</v>
      </c>
      <c r="G134" t="str">
        <f>IFERROR(__xludf.DUMMYFUNCTION("""COMPUTED_VALUE"""),"Tulsa 7 at (20) Michigan State 28")</f>
        <v>Tulsa 7 at (20) Michigan State 28</v>
      </c>
      <c r="H134" t="str">
        <f>IFERROR(__xludf.DUMMYFUNCTION("""COMPUTED_VALUE"""),"FINAL")</f>
        <v>FINAL</v>
      </c>
      <c r="I134" t="str">
        <f>IFERROR(__xludf.DUMMYFUNCTION("""COMPUTED_VALUE"""),"-22½")</f>
        <v>-22½</v>
      </c>
      <c r="J134" t="str">
        <f>IFERROR(__xludf.DUMMYFUNCTION("""COMPUTED_VALUE"""),"47½")</f>
        <v>47½</v>
      </c>
      <c r="K134" t="str">
        <f>IFERROR(__xludf.DUMMYFUNCTION("""COMPUTED_VALUE"""),"DavEmily")</f>
        <v>DavEmily</v>
      </c>
      <c r="L134">
        <f>IFERROR(__xludf.DUMMYFUNCTION("""COMPUTED_VALUE"""),9999.0)</f>
        <v>9999</v>
      </c>
      <c r="M134" s="124">
        <v>1.0</v>
      </c>
    </row>
    <row r="135">
      <c r="A135" s="151">
        <f>IFERROR(__xludf.DUMMYFUNCTION("""COMPUTED_VALUE"""),43709.147748564814)</f>
        <v>43709.14775</v>
      </c>
      <c r="B135" t="str">
        <f>IFERROR(__xludf.DUMMYFUNCTION("""COMPUTED_VALUE"""),"Nick A.")</f>
        <v>Nick A.</v>
      </c>
      <c r="C135" t="str">
        <f>IFERROR(__xludf.DUMMYFUNCTION("""COMPUTED_VALUE"""),"Iowa State")</f>
        <v>Iowa State</v>
      </c>
      <c r="D135">
        <f>IFERROR(__xludf.DUMMYFUNCTION("""COMPUTED_VALUE"""),1.0)</f>
        <v>1</v>
      </c>
      <c r="E135">
        <f>IFERROR(__xludf.DUMMYFUNCTION("""COMPUTED_VALUE"""),0.0)</f>
        <v>0</v>
      </c>
      <c r="F135" t="str">
        <f>IFERROR(__xludf.DUMMYFUNCTION("""COMPUTED_VALUE"""),"FS1")</f>
        <v>FS1</v>
      </c>
      <c r="G135" t="str">
        <f>IFERROR(__xludf.DUMMYFUNCTION("""COMPUTED_VALUE"""),"Northern Iowa 26 at (24) Iowa State 29")</f>
        <v>Northern Iowa 26 at (24) Iowa State 29</v>
      </c>
      <c r="H135" t="str">
        <f>IFERROR(__xludf.DUMMYFUNCTION("""COMPUTED_VALUE"""),"FINAL - 3RD OT")</f>
        <v>FINAL - 3RD OT</v>
      </c>
      <c r="I135" t="str">
        <f>IFERROR(__xludf.DUMMYFUNCTION("""COMPUTED_VALUE"""),"-18½")</f>
        <v>-18½</v>
      </c>
      <c r="J135" t="str">
        <f>IFERROR(__xludf.DUMMYFUNCTION("""COMPUTED_VALUE"""),"41½")</f>
        <v>41½</v>
      </c>
      <c r="K135" t="str">
        <f>IFERROR(__xludf.DUMMYFUNCTION("""COMPUTED_VALUE"""),"Undrafted")</f>
        <v>Undrafted</v>
      </c>
      <c r="L135">
        <f>IFERROR(__xludf.DUMMYFUNCTION("""COMPUTED_VALUE"""),9999.0)</f>
        <v>9999</v>
      </c>
      <c r="M135" s="124">
        <v>1.0</v>
      </c>
    </row>
    <row r="136">
      <c r="A136" s="151">
        <f>IFERROR(__xludf.DUMMYFUNCTION("""COMPUTED_VALUE"""),43709.147748564814)</f>
        <v>43709.14775</v>
      </c>
      <c r="B136" t="str">
        <f>IFERROR(__xludf.DUMMYFUNCTION("""COMPUTED_VALUE"""),"Nick A.")</f>
        <v>Nick A.</v>
      </c>
      <c r="C136" t="str">
        <f>IFERROR(__xludf.DUMMYFUNCTION("""COMPUTED_VALUE"""),"East Carolina")</f>
        <v>East Carolina</v>
      </c>
      <c r="D136">
        <f>IFERROR(__xludf.DUMMYFUNCTION("""COMPUTED_VALUE"""),0.0)</f>
        <v>0</v>
      </c>
      <c r="E136">
        <f>IFERROR(__xludf.DUMMYFUNCTION("""COMPUTED_VALUE"""),1.0)</f>
        <v>1</v>
      </c>
      <c r="F136" t="str">
        <f>IFERROR(__xludf.DUMMYFUNCTION("""COMPUTED_VALUE"""),"ACC Network")</f>
        <v>ACC Network</v>
      </c>
      <c r="G136" t="str">
        <f>IFERROR(__xludf.DUMMYFUNCTION("""COMPUTED_VALUE"""),"East Carolina 6 at NC State 34")</f>
        <v>East Carolina 6 at NC State 34</v>
      </c>
      <c r="H136" t="str">
        <f>IFERROR(__xludf.DUMMYFUNCTION("""COMPUTED_VALUE"""),"FINAL")</f>
        <v>FINAL</v>
      </c>
      <c r="I136" t="str">
        <f>IFERROR(__xludf.DUMMYFUNCTION("""COMPUTED_VALUE"""),"16½")</f>
        <v>16½</v>
      </c>
      <c r="J136">
        <f>IFERROR(__xludf.DUMMYFUNCTION("""COMPUTED_VALUE"""),55.0)</f>
        <v>55</v>
      </c>
      <c r="K136" t="str">
        <f>IFERROR(__xludf.DUMMYFUNCTION("""COMPUTED_VALUE"""),"Nick G.")</f>
        <v>Nick G.</v>
      </c>
      <c r="L136">
        <f>IFERROR(__xludf.DUMMYFUNCTION("""COMPUTED_VALUE"""),9999.0)</f>
        <v>9999</v>
      </c>
      <c r="M136" s="124">
        <v>1.0</v>
      </c>
    </row>
    <row r="137">
      <c r="A137" s="151">
        <f>IFERROR(__xludf.DUMMYFUNCTION("""COMPUTED_VALUE"""),43709.147748564814)</f>
        <v>43709.14775</v>
      </c>
      <c r="B137" t="str">
        <f>IFERROR(__xludf.DUMMYFUNCTION("""COMPUTED_VALUE"""),"Nick A.")</f>
        <v>Nick A.</v>
      </c>
      <c r="C137" t="str">
        <f>IFERROR(__xludf.DUMMYFUNCTION("""COMPUTED_VALUE"""),"Old Dominion")</f>
        <v>Old Dominion</v>
      </c>
      <c r="D137">
        <f>IFERROR(__xludf.DUMMYFUNCTION("""COMPUTED_VALUE"""),1.0)</f>
        <v>1</v>
      </c>
      <c r="E137">
        <f>IFERROR(__xludf.DUMMYFUNCTION("""COMPUTED_VALUE"""),0.0)</f>
        <v>0</v>
      </c>
      <c r="F137" t="str">
        <f>IFERROR(__xludf.DUMMYFUNCTION("""COMPUTED_VALUE"""),"ESPN Extra")</f>
        <v>ESPN Extra</v>
      </c>
      <c r="G137" t="str">
        <f>IFERROR(__xludf.DUMMYFUNCTION("""COMPUTED_VALUE"""),"Norfolk State 21 at Old Dominion 24")</f>
        <v>Norfolk State 21 at Old Dominion 24</v>
      </c>
      <c r="H137" t="str">
        <f>IFERROR(__xludf.DUMMYFUNCTION("""COMPUTED_VALUE"""),"FINAL")</f>
        <v>FINAL</v>
      </c>
      <c r="I137">
        <f>IFERROR(__xludf.DUMMYFUNCTION("""COMPUTED_VALUE"""),-27.0)</f>
        <v>-27</v>
      </c>
      <c r="J137" t="str">
        <f>IFERROR(__xludf.DUMMYFUNCTION("""COMPUTED_VALUE"""),"55½")</f>
        <v>55½</v>
      </c>
      <c r="K137" t="str">
        <f>IFERROR(__xludf.DUMMYFUNCTION("""COMPUTED_VALUE"""),"Undrafted")</f>
        <v>Undrafted</v>
      </c>
      <c r="L137">
        <f>IFERROR(__xludf.DUMMYFUNCTION("""COMPUTED_VALUE"""),9999.0)</f>
        <v>9999</v>
      </c>
      <c r="M137" s="124">
        <v>1.0</v>
      </c>
    </row>
    <row r="138">
      <c r="A138" s="151">
        <f>IFERROR(__xludf.DUMMYFUNCTION("""COMPUTED_VALUE"""),43709.147748564814)</f>
        <v>43709.14775</v>
      </c>
      <c r="B138" t="str">
        <f>IFERROR(__xludf.DUMMYFUNCTION("""COMPUTED_VALUE"""),"Nick A.")</f>
        <v>Nick A.</v>
      </c>
      <c r="C138" t="str">
        <f>IFERROR(__xludf.DUMMYFUNCTION("""COMPUTED_VALUE"""),"LSU")</f>
        <v>LSU</v>
      </c>
      <c r="D138">
        <f>IFERROR(__xludf.DUMMYFUNCTION("""COMPUTED_VALUE"""),1.0)</f>
        <v>1</v>
      </c>
      <c r="E138">
        <f>IFERROR(__xludf.DUMMYFUNCTION("""COMPUTED_VALUE"""),0.0)</f>
        <v>0</v>
      </c>
      <c r="F138" t="str">
        <f>IFERROR(__xludf.DUMMYFUNCTION("""COMPUTED_VALUE"""),"ESPNU")</f>
        <v>ESPNU</v>
      </c>
      <c r="G138" t="str">
        <f>IFERROR(__xludf.DUMMYFUNCTION("""COMPUTED_VALUE"""),"Georgia Southern 3 at (6) LSU 55")</f>
        <v>Georgia Southern 3 at (6) LSU 55</v>
      </c>
      <c r="H138" t="str">
        <f>IFERROR(__xludf.DUMMYFUNCTION("""COMPUTED_VALUE"""),"FINAL")</f>
        <v>FINAL</v>
      </c>
      <c r="I138">
        <f>IFERROR(__xludf.DUMMYFUNCTION("""COMPUTED_VALUE"""),-28.0)</f>
        <v>-28</v>
      </c>
      <c r="J138">
        <f>IFERROR(__xludf.DUMMYFUNCTION("""COMPUTED_VALUE"""),53.0)</f>
        <v>53</v>
      </c>
      <c r="K138" t="str">
        <f>IFERROR(__xludf.DUMMYFUNCTION("""COMPUTED_VALUE"""),"Janice/Mike")</f>
        <v>Janice/Mike</v>
      </c>
      <c r="L138">
        <f>IFERROR(__xludf.DUMMYFUNCTION("""COMPUTED_VALUE"""),9999.0)</f>
        <v>9999</v>
      </c>
      <c r="M138" s="124">
        <v>1.0</v>
      </c>
    </row>
    <row r="139">
      <c r="A139" s="151">
        <f>IFERROR(__xludf.DUMMYFUNCTION("""COMPUTED_VALUE"""),43709.147748564814)</f>
        <v>43709.14775</v>
      </c>
      <c r="B139" t="str">
        <f>IFERROR(__xludf.DUMMYFUNCTION("""COMPUTED_VALUE"""),"Nick A.")</f>
        <v>Nick A.</v>
      </c>
      <c r="C139" t="str">
        <f>IFERROR(__xludf.DUMMYFUNCTION("""COMPUTED_VALUE"""),"San Diego State")</f>
        <v>San Diego State</v>
      </c>
      <c r="D139">
        <f>IFERROR(__xludf.DUMMYFUNCTION("""COMPUTED_VALUE"""),1.0)</f>
        <v>1</v>
      </c>
      <c r="E139">
        <f>IFERROR(__xludf.DUMMYFUNCTION("""COMPUTED_VALUE"""),0.0)</f>
        <v>0</v>
      </c>
      <c r="F139" t="str">
        <f>IFERROR(__xludf.DUMMYFUNCTION("""COMPUTED_VALUE"""),"Facebook Video")</f>
        <v>Facebook Video</v>
      </c>
      <c r="G139" t="str">
        <f>IFERROR(__xludf.DUMMYFUNCTION("""COMPUTED_VALUE"""),"Weber State 0 at San Diego State 6")</f>
        <v>Weber State 0 at San Diego State 6</v>
      </c>
      <c r="H139" t="str">
        <f>IFERROR(__xludf.DUMMYFUNCTION("""COMPUTED_VALUE"""),"FINAL")</f>
        <v>FINAL</v>
      </c>
      <c r="I139" t="str">
        <f>IFERROR(__xludf.DUMMYFUNCTION("""COMPUTED_VALUE"""),"-7½")</f>
        <v>-7½</v>
      </c>
      <c r="J139" t="str">
        <f>IFERROR(__xludf.DUMMYFUNCTION("""COMPUTED_VALUE"""),"36½")</f>
        <v>36½</v>
      </c>
      <c r="K139" t="str">
        <f>IFERROR(__xludf.DUMMYFUNCTION("""COMPUTED_VALUE"""),"Undrafted")</f>
        <v>Undrafted</v>
      </c>
      <c r="L139">
        <f>IFERROR(__xludf.DUMMYFUNCTION("""COMPUTED_VALUE"""),9999.0)</f>
        <v>9999</v>
      </c>
      <c r="M139" s="124">
        <v>1.0</v>
      </c>
    </row>
    <row r="140">
      <c r="A140" s="151">
        <f>IFERROR(__xludf.DUMMYFUNCTION("""COMPUTED_VALUE"""),43709.147748564814)</f>
        <v>43709.14775</v>
      </c>
      <c r="B140" t="str">
        <f>IFERROR(__xludf.DUMMYFUNCTION("""COMPUTED_VALUE"""),"Nick A.")</f>
        <v>Nick A.</v>
      </c>
      <c r="C140" t="str">
        <f>IFERROR(__xludf.DUMMYFUNCTION("""COMPUTED_VALUE"""),"Washington State")</f>
        <v>Washington State</v>
      </c>
      <c r="D140">
        <f>IFERROR(__xludf.DUMMYFUNCTION("""COMPUTED_VALUE"""),1.0)</f>
        <v>1</v>
      </c>
      <c r="E140">
        <f>IFERROR(__xludf.DUMMYFUNCTION("""COMPUTED_VALUE"""),0.0)</f>
        <v>0</v>
      </c>
      <c r="F140" t="str">
        <f>IFERROR(__xludf.DUMMYFUNCTION("""COMPUTED_VALUE"""),"Pac-12")</f>
        <v>Pac-12</v>
      </c>
      <c r="G140" t="str">
        <f>IFERROR(__xludf.DUMMYFUNCTION("""COMPUTED_VALUE"""),"New Mexico State 7 at (21) Washington State 58")</f>
        <v>New Mexico State 7 at (21) Washington State 58</v>
      </c>
      <c r="H140" t="str">
        <f>IFERROR(__xludf.DUMMYFUNCTION("""COMPUTED_VALUE"""),"FINAL")</f>
        <v>FINAL</v>
      </c>
      <c r="I140">
        <f>IFERROR(__xludf.DUMMYFUNCTION("""COMPUTED_VALUE"""),-32.0)</f>
        <v>-32</v>
      </c>
      <c r="J140" t="str">
        <f>IFERROR(__xludf.DUMMYFUNCTION("""COMPUTED_VALUE"""),"64½")</f>
        <v>64½</v>
      </c>
      <c r="K140" t="str">
        <f>IFERROR(__xludf.DUMMYFUNCTION("""COMPUTED_VALUE"""),"Nick A.")</f>
        <v>Nick A.</v>
      </c>
      <c r="L140">
        <f>IFERROR(__xludf.DUMMYFUNCTION("""COMPUTED_VALUE"""),9999.0)</f>
        <v>9999</v>
      </c>
      <c r="M140" s="124">
        <v>1.0</v>
      </c>
    </row>
    <row r="141">
      <c r="A141" s="151">
        <f>IFERROR(__xludf.DUMMYFUNCTION("""COMPUTED_VALUE"""),43709.147748564814)</f>
        <v>43709.14775</v>
      </c>
      <c r="B141" t="str">
        <f>IFERROR(__xludf.DUMMYFUNCTION("""COMPUTED_VALUE"""),"Nick A.")</f>
        <v>Nick A.</v>
      </c>
      <c r="C141" t="str">
        <f>IFERROR(__xludf.DUMMYFUNCTION("""COMPUTED_VALUE"""),"New Mexico State")</f>
        <v>New Mexico State</v>
      </c>
      <c r="D141">
        <f>IFERROR(__xludf.DUMMYFUNCTION("""COMPUTED_VALUE"""),0.0)</f>
        <v>0</v>
      </c>
      <c r="E141">
        <f>IFERROR(__xludf.DUMMYFUNCTION("""COMPUTED_VALUE"""),1.0)</f>
        <v>1</v>
      </c>
      <c r="F141" t="str">
        <f>IFERROR(__xludf.DUMMYFUNCTION("""COMPUTED_VALUE"""),"Pac-12")</f>
        <v>Pac-12</v>
      </c>
      <c r="G141" t="str">
        <f>IFERROR(__xludf.DUMMYFUNCTION("""COMPUTED_VALUE"""),"New Mexico State 7 at (21) Washington State 58")</f>
        <v>New Mexico State 7 at (21) Washington State 58</v>
      </c>
      <c r="H141" t="str">
        <f>IFERROR(__xludf.DUMMYFUNCTION("""COMPUTED_VALUE"""),"FINAL")</f>
        <v>FINAL</v>
      </c>
      <c r="I141">
        <f>IFERROR(__xludf.DUMMYFUNCTION("""COMPUTED_VALUE"""),32.0)</f>
        <v>32</v>
      </c>
      <c r="J141" t="str">
        <f>IFERROR(__xludf.DUMMYFUNCTION("""COMPUTED_VALUE"""),"64½")</f>
        <v>64½</v>
      </c>
      <c r="K141" t="str">
        <f>IFERROR(__xludf.DUMMYFUNCTION("""COMPUTED_VALUE"""),"Nick A.")</f>
        <v>Nick A.</v>
      </c>
      <c r="L141">
        <f>IFERROR(__xludf.DUMMYFUNCTION("""COMPUTED_VALUE"""),9999.0)</f>
        <v>9999</v>
      </c>
      <c r="M141" s="124">
        <v>1.0</v>
      </c>
    </row>
    <row r="142">
      <c r="A142" s="151">
        <f>IFERROR(__xludf.DUMMYFUNCTION("""COMPUTED_VALUE"""),43709.147748564814)</f>
        <v>43709.14775</v>
      </c>
      <c r="B142" t="str">
        <f>IFERROR(__xludf.DUMMYFUNCTION("""COMPUTED_VALUE"""),"Gary")</f>
        <v>Gary</v>
      </c>
      <c r="C142" t="str">
        <f>IFERROR(__xludf.DUMMYFUNCTION("""COMPUTED_VALUE"""),"UCLA")</f>
        <v>UCLA</v>
      </c>
      <c r="D142">
        <f>IFERROR(__xludf.DUMMYFUNCTION("""COMPUTED_VALUE"""),0.0)</f>
        <v>0</v>
      </c>
      <c r="E142">
        <f>IFERROR(__xludf.DUMMYFUNCTION("""COMPUTED_VALUE"""),1.0)</f>
        <v>1</v>
      </c>
      <c r="F142" t="str">
        <f>IFERROR(__xludf.DUMMYFUNCTION("""COMPUTED_VALUE"""),"ESPN")</f>
        <v>ESPN</v>
      </c>
      <c r="G142" t="str">
        <f>IFERROR(__xludf.DUMMYFUNCTION("""COMPUTED_VALUE"""),"UCLA 14 at Cincinnati 24")</f>
        <v>UCLA 14 at Cincinnati 24</v>
      </c>
      <c r="H142" t="str">
        <f>IFERROR(__xludf.DUMMYFUNCTION("""COMPUTED_VALUE"""),"FINAL")</f>
        <v>FINAL</v>
      </c>
      <c r="I142" t="str">
        <f>IFERROR(__xludf.DUMMYFUNCTION("""COMPUTED_VALUE"""),"2½")</f>
        <v>2½</v>
      </c>
      <c r="J142">
        <f>IFERROR(__xludf.DUMMYFUNCTION("""COMPUTED_VALUE"""),60.0)</f>
        <v>60</v>
      </c>
      <c r="K142" t="str">
        <f>IFERROR(__xludf.DUMMYFUNCTION("""COMPUTED_VALUE"""),"Vu")</f>
        <v>Vu</v>
      </c>
      <c r="L142">
        <f>IFERROR(__xludf.DUMMYFUNCTION("""COMPUTED_VALUE"""),9999.0)</f>
        <v>9999</v>
      </c>
      <c r="M142" s="124">
        <v>1.0</v>
      </c>
    </row>
    <row r="143">
      <c r="A143" s="151">
        <f>IFERROR(__xludf.DUMMYFUNCTION("""COMPUTED_VALUE"""),43709.147748564814)</f>
        <v>43709.14775</v>
      </c>
      <c r="B143" t="str">
        <f>IFERROR(__xludf.DUMMYFUNCTION("""COMPUTED_VALUE"""),"Gary")</f>
        <v>Gary</v>
      </c>
      <c r="C143" t="str">
        <f>IFERROR(__xludf.DUMMYFUNCTION("""COMPUTED_VALUE"""),"Tulane")</f>
        <v>Tulane</v>
      </c>
      <c r="D143">
        <f>IFERROR(__xludf.DUMMYFUNCTION("""COMPUTED_VALUE"""),1.0)</f>
        <v>1</v>
      </c>
      <c r="E143">
        <f>IFERROR(__xludf.DUMMYFUNCTION("""COMPUTED_VALUE"""),0.0)</f>
        <v>0</v>
      </c>
      <c r="F143" t="str">
        <f>IFERROR(__xludf.DUMMYFUNCTION("""COMPUTED_VALUE"""),"espn3 Video")</f>
        <v>espn3 Video</v>
      </c>
      <c r="G143" t="str">
        <f>IFERROR(__xludf.DUMMYFUNCTION("""COMPUTED_VALUE"""),"Florida Intl 14 at Tulane 42")</f>
        <v>Florida Intl 14 at Tulane 42</v>
      </c>
      <c r="H143" t="str">
        <f>IFERROR(__xludf.DUMMYFUNCTION("""COMPUTED_VALUE"""),"FINAL")</f>
        <v>FINAL</v>
      </c>
      <c r="I143">
        <f>IFERROR(__xludf.DUMMYFUNCTION("""COMPUTED_VALUE"""),-2.0)</f>
        <v>-2</v>
      </c>
      <c r="J143">
        <f>IFERROR(__xludf.DUMMYFUNCTION("""COMPUTED_VALUE"""),57.0)</f>
        <v>57</v>
      </c>
      <c r="K143" t="str">
        <f>IFERROR(__xludf.DUMMYFUNCTION("""COMPUTED_VALUE"""),"Adam")</f>
        <v>Adam</v>
      </c>
      <c r="L143">
        <f>IFERROR(__xludf.DUMMYFUNCTION("""COMPUTED_VALUE"""),9999.0)</f>
        <v>9999</v>
      </c>
      <c r="M143" s="124">
        <v>1.0</v>
      </c>
    </row>
    <row r="144">
      <c r="A144" s="151">
        <f>IFERROR(__xludf.DUMMYFUNCTION("""COMPUTED_VALUE"""),43709.147748564814)</f>
        <v>43709.14775</v>
      </c>
      <c r="B144" t="str">
        <f>IFERROR(__xludf.DUMMYFUNCTION("""COMPUTED_VALUE"""),"Gary")</f>
        <v>Gary</v>
      </c>
      <c r="C144" t="str">
        <f>IFERROR(__xludf.DUMMYFUNCTION("""COMPUTED_VALUE"""),"BYU")</f>
        <v>BYU</v>
      </c>
      <c r="D144">
        <f>IFERROR(__xludf.DUMMYFUNCTION("""COMPUTED_VALUE"""),0.0)</f>
        <v>0</v>
      </c>
      <c r="E144">
        <f>IFERROR(__xludf.DUMMYFUNCTION("""COMPUTED_VALUE"""),1.0)</f>
        <v>1</v>
      </c>
      <c r="F144" t="str">
        <f>IFERROR(__xludf.DUMMYFUNCTION("""COMPUTED_VALUE"""),"ESPN")</f>
        <v>ESPN</v>
      </c>
      <c r="G144" t="str">
        <f>IFERROR(__xludf.DUMMYFUNCTION("""COMPUTED_VALUE"""),"(15) Utah 30 at BYU 12")</f>
        <v>(15) Utah 30 at BYU 12</v>
      </c>
      <c r="H144" t="str">
        <f>IFERROR(__xludf.DUMMYFUNCTION("""COMPUTED_VALUE"""),"FINAL")</f>
        <v>FINAL</v>
      </c>
      <c r="I144">
        <f>IFERROR(__xludf.DUMMYFUNCTION("""COMPUTED_VALUE"""),5.0)</f>
        <v>5</v>
      </c>
      <c r="J144">
        <f>IFERROR(__xludf.DUMMYFUNCTION("""COMPUTED_VALUE"""),48.0)</f>
        <v>48</v>
      </c>
      <c r="K144" t="str">
        <f>IFERROR(__xludf.DUMMYFUNCTION("""COMPUTED_VALUE"""),"Brad")</f>
        <v>Brad</v>
      </c>
      <c r="L144">
        <f>IFERROR(__xludf.DUMMYFUNCTION("""COMPUTED_VALUE"""),9999.0)</f>
        <v>9999</v>
      </c>
      <c r="M144" s="124">
        <v>1.0</v>
      </c>
    </row>
    <row r="145">
      <c r="A145" s="151">
        <f>IFERROR(__xludf.DUMMYFUNCTION("""COMPUTED_VALUE"""),43709.147748564814)</f>
        <v>43709.14775</v>
      </c>
      <c r="B145" t="str">
        <f>IFERROR(__xludf.DUMMYFUNCTION("""COMPUTED_VALUE"""),"Gary")</f>
        <v>Gary</v>
      </c>
      <c r="C145" t="str">
        <f>IFERROR(__xludf.DUMMYFUNCTION("""COMPUTED_VALUE"""),"Utah State")</f>
        <v>Utah State</v>
      </c>
      <c r="D145">
        <f>IFERROR(__xludf.DUMMYFUNCTION("""COMPUTED_VALUE"""),0.0)</f>
        <v>0</v>
      </c>
      <c r="E145">
        <f>IFERROR(__xludf.DUMMYFUNCTION("""COMPUTED_VALUE"""),1.0)</f>
        <v>1</v>
      </c>
      <c r="F145" t="str">
        <f>IFERROR(__xludf.DUMMYFUNCTION("""COMPUTED_VALUE"""),"ACC Network")</f>
        <v>ACC Network</v>
      </c>
      <c r="G145" t="str">
        <f>IFERROR(__xludf.DUMMYFUNCTION("""COMPUTED_VALUE"""),"Utah State 35 at Wake Forest 38")</f>
        <v>Utah State 35 at Wake Forest 38</v>
      </c>
      <c r="H145" t="str">
        <f>IFERROR(__xludf.DUMMYFUNCTION("""COMPUTED_VALUE"""),"FINAL")</f>
        <v>FINAL</v>
      </c>
      <c r="I145" t="str">
        <f>IFERROR(__xludf.DUMMYFUNCTION("""COMPUTED_VALUE"""),"3½")</f>
        <v>3½</v>
      </c>
      <c r="J145" t="str">
        <f>IFERROR(__xludf.DUMMYFUNCTION("""COMPUTED_VALUE"""),"63½")</f>
        <v>63½</v>
      </c>
      <c r="K145" t="str">
        <f>IFERROR(__xludf.DUMMYFUNCTION("""COMPUTED_VALUE"""),"Adam")</f>
        <v>Adam</v>
      </c>
      <c r="L145">
        <f>IFERROR(__xludf.DUMMYFUNCTION("""COMPUTED_VALUE"""),9999.0)</f>
        <v>9999</v>
      </c>
      <c r="M145" s="124">
        <v>1.0</v>
      </c>
    </row>
    <row r="146">
      <c r="A146" s="151">
        <f>IFERROR(__xludf.DUMMYFUNCTION("""COMPUTED_VALUE"""),43709.147748564814)</f>
        <v>43709.14775</v>
      </c>
      <c r="B146" t="str">
        <f>IFERROR(__xludf.DUMMYFUNCTION("""COMPUTED_VALUE"""),"Gary")</f>
        <v>Gary</v>
      </c>
      <c r="C146" t="str">
        <f>IFERROR(__xludf.DUMMYFUNCTION("""COMPUTED_VALUE"""),"UL Lafayette")</f>
        <v>UL Lafayette</v>
      </c>
      <c r="D146">
        <f>IFERROR(__xludf.DUMMYFUNCTION("""COMPUTED_VALUE"""),0.0)</f>
        <v>0</v>
      </c>
      <c r="E146">
        <f>IFERROR(__xludf.DUMMYFUNCTION("""COMPUTED_VALUE"""),1.0)</f>
        <v>1</v>
      </c>
      <c r="F146" t="str">
        <f>IFERROR(__xludf.DUMMYFUNCTION("""COMPUTED_VALUE"""),"NA")</f>
        <v>NA</v>
      </c>
      <c r="G146" t="str">
        <f>IFERROR(__xludf.DUMMYFUNCTION("""COMPUTED_VALUE"""),"Mississippi State 38 at UL Lafayette 28")</f>
        <v>Mississippi State 38 at UL Lafayette 28</v>
      </c>
      <c r="H146" t="str">
        <f>IFERROR(__xludf.DUMMYFUNCTION("""COMPUTED_VALUE"""),"FINAL")</f>
        <v>FINAL</v>
      </c>
      <c r="I146" t="str">
        <f>IFERROR(__xludf.DUMMYFUNCTION("""COMPUTED_VALUE"""),"20½")</f>
        <v>20½</v>
      </c>
      <c r="J146" t="str">
        <f>IFERROR(__xludf.DUMMYFUNCTION("""COMPUTED_VALUE"""),"57½")</f>
        <v>57½</v>
      </c>
      <c r="K146" t="str">
        <f>IFERROR(__xludf.DUMMYFUNCTION("""COMPUTED_VALUE"""),"Jeannine")</f>
        <v>Jeannine</v>
      </c>
      <c r="L146">
        <f>IFERROR(__xludf.DUMMYFUNCTION("""COMPUTED_VALUE"""),9999.0)</f>
        <v>9999</v>
      </c>
      <c r="M146" s="124">
        <v>1.0</v>
      </c>
    </row>
    <row r="147">
      <c r="A147" s="151">
        <f>IFERROR(__xludf.DUMMYFUNCTION("""COMPUTED_VALUE"""),43709.147748564814)</f>
        <v>43709.14775</v>
      </c>
      <c r="B147" t="str">
        <f>IFERROR(__xludf.DUMMYFUNCTION("""COMPUTED_VALUE"""),"Gary")</f>
        <v>Gary</v>
      </c>
      <c r="C147" t="str">
        <f>IFERROR(__xludf.DUMMYFUNCTION("""COMPUTED_VALUE"""),"Maryland")</f>
        <v>Maryland</v>
      </c>
      <c r="D147">
        <f>IFERROR(__xludf.DUMMYFUNCTION("""COMPUTED_VALUE"""),1.0)</f>
        <v>1</v>
      </c>
      <c r="E147">
        <f>IFERROR(__xludf.DUMMYFUNCTION("""COMPUTED_VALUE"""),0.0)</f>
        <v>0</v>
      </c>
      <c r="F147" t="str">
        <f>IFERROR(__xludf.DUMMYFUNCTION("""COMPUTED_VALUE"""),"BTN")</f>
        <v>BTN</v>
      </c>
      <c r="G147" t="str">
        <f>IFERROR(__xludf.DUMMYFUNCTION("""COMPUTED_VALUE"""),"Howard 0 at Maryland 79")</f>
        <v>Howard 0 at Maryland 79</v>
      </c>
      <c r="H147" t="str">
        <f>IFERROR(__xludf.DUMMYFUNCTION("""COMPUTED_VALUE"""),"FINAL")</f>
        <v>FINAL</v>
      </c>
      <c r="I147" t="str">
        <f>IFERROR(__xludf.DUMMYFUNCTION("""COMPUTED_VALUE"""),"-29½")</f>
        <v>-29½</v>
      </c>
      <c r="J147" t="str">
        <f>IFERROR(__xludf.DUMMYFUNCTION("""COMPUTED_VALUE"""),"65½")</f>
        <v>65½</v>
      </c>
      <c r="K147" t="str">
        <f>IFERROR(__xludf.DUMMYFUNCTION("""COMPUTED_VALUE"""),"Undrafted")</f>
        <v>Undrafted</v>
      </c>
      <c r="L147">
        <f>IFERROR(__xludf.DUMMYFUNCTION("""COMPUTED_VALUE"""),9999.0)</f>
        <v>9999</v>
      </c>
      <c r="M147" s="124">
        <v>1.0</v>
      </c>
    </row>
    <row r="148">
      <c r="A148" s="151">
        <f>IFERROR(__xludf.DUMMYFUNCTION("""COMPUTED_VALUE"""),43709.147748564814)</f>
        <v>43709.14775</v>
      </c>
      <c r="B148" t="str">
        <f>IFERROR(__xludf.DUMMYFUNCTION("""COMPUTED_VALUE"""),"Gary")</f>
        <v>Gary</v>
      </c>
      <c r="C148" t="str">
        <f>IFERROR(__xludf.DUMMYFUNCTION("""COMPUTED_VALUE"""),"Ohio")</f>
        <v>Ohio</v>
      </c>
      <c r="D148">
        <f>IFERROR(__xludf.DUMMYFUNCTION("""COMPUTED_VALUE"""),1.0)</f>
        <v>1</v>
      </c>
      <c r="E148">
        <f>IFERROR(__xludf.DUMMYFUNCTION("""COMPUTED_VALUE"""),0.0)</f>
        <v>0</v>
      </c>
      <c r="F148" t="str">
        <f>IFERROR(__xludf.DUMMYFUNCTION("""COMPUTED_VALUE"""),"espn+ Video")</f>
        <v>espn+ Video</v>
      </c>
      <c r="G148" t="str">
        <f>IFERROR(__xludf.DUMMYFUNCTION("""COMPUTED_VALUE"""),"Rhode Island 20 at Ohio 41")</f>
        <v>Rhode Island 20 at Ohio 41</v>
      </c>
      <c r="H148" t="str">
        <f>IFERROR(__xludf.DUMMYFUNCTION("""COMPUTED_VALUE"""),"FINAL")</f>
        <v>FINAL</v>
      </c>
      <c r="I148" t="str">
        <f>IFERROR(__xludf.DUMMYFUNCTION("""COMPUTED_VALUE"""),"-22½")</f>
        <v>-22½</v>
      </c>
      <c r="J148" t="str">
        <f>IFERROR(__xludf.DUMMYFUNCTION("""COMPUTED_VALUE"""),"66½")</f>
        <v>66½</v>
      </c>
      <c r="K148" t="str">
        <f>IFERROR(__xludf.DUMMYFUNCTION("""COMPUTED_VALUE"""),"Undrafted")</f>
        <v>Undrafted</v>
      </c>
      <c r="L148">
        <f>IFERROR(__xludf.DUMMYFUNCTION("""COMPUTED_VALUE"""),9999.0)</f>
        <v>9999</v>
      </c>
      <c r="M148" s="124">
        <v>1.0</v>
      </c>
    </row>
    <row r="149">
      <c r="A149" s="151">
        <f>IFERROR(__xludf.DUMMYFUNCTION("""COMPUTED_VALUE"""),43709.147748564814)</f>
        <v>43709.14775</v>
      </c>
      <c r="B149" t="str">
        <f>IFERROR(__xludf.DUMMYFUNCTION("""COMPUTED_VALUE"""),"Gary")</f>
        <v>Gary</v>
      </c>
      <c r="C149" t="str">
        <f>IFERROR(__xludf.DUMMYFUNCTION("""COMPUTED_VALUE"""),"Marshall")</f>
        <v>Marshall</v>
      </c>
      <c r="D149">
        <f>IFERROR(__xludf.DUMMYFUNCTION("""COMPUTED_VALUE"""),1.0)</f>
        <v>1</v>
      </c>
      <c r="E149">
        <f>IFERROR(__xludf.DUMMYFUNCTION("""COMPUTED_VALUE"""),0.0)</f>
        <v>0</v>
      </c>
      <c r="F149" t="str">
        <f>IFERROR(__xludf.DUMMYFUNCTION("""COMPUTED_VALUE"""),"Stadium Video")</f>
        <v>Stadium Video</v>
      </c>
      <c r="G149" t="str">
        <f>IFERROR(__xludf.DUMMYFUNCTION("""COMPUTED_VALUE"""),"VMI 17 at Marshall 56")</f>
        <v>VMI 17 at Marshall 56</v>
      </c>
      <c r="H149" t="str">
        <f>IFERROR(__xludf.DUMMYFUNCTION("""COMPUTED_VALUE"""),"FINAL")</f>
        <v>FINAL</v>
      </c>
      <c r="I149" t="str">
        <f>IFERROR(__xludf.DUMMYFUNCTION("""COMPUTED_VALUE"""),"-40½")</f>
        <v>-40½</v>
      </c>
      <c r="J149" t="str">
        <f>IFERROR(__xludf.DUMMYFUNCTION("""COMPUTED_VALUE"""),"60½")</f>
        <v>60½</v>
      </c>
      <c r="K149" t="str">
        <f>IFERROR(__xludf.DUMMYFUNCTION("""COMPUTED_VALUE"""),"Undrafted")</f>
        <v>Undrafted</v>
      </c>
      <c r="L149">
        <f>IFERROR(__xludf.DUMMYFUNCTION("""COMPUTED_VALUE"""),9999.0)</f>
        <v>9999</v>
      </c>
      <c r="M149" s="124">
        <v>1.0</v>
      </c>
    </row>
    <row r="150">
      <c r="A150" s="151">
        <f>IFERROR(__xludf.DUMMYFUNCTION("""COMPUTED_VALUE"""),43709.147748564814)</f>
        <v>43709.14775</v>
      </c>
      <c r="B150" t="str">
        <f>IFERROR(__xludf.DUMMYFUNCTION("""COMPUTED_VALUE"""),"Gary")</f>
        <v>Gary</v>
      </c>
      <c r="C150" t="str">
        <f>IFERROR(__xludf.DUMMYFUNCTION("""COMPUTED_VALUE"""),"Missouri")</f>
        <v>Missouri</v>
      </c>
      <c r="D150">
        <f>IFERROR(__xludf.DUMMYFUNCTION("""COMPUTED_VALUE"""),0.0)</f>
        <v>0</v>
      </c>
      <c r="E150">
        <f>IFERROR(__xludf.DUMMYFUNCTION("""COMPUTED_VALUE"""),1.0)</f>
        <v>1</v>
      </c>
      <c r="F150" t="str">
        <f>IFERROR(__xludf.DUMMYFUNCTION("""COMPUTED_VALUE"""),"CBSSN")</f>
        <v>CBSSN</v>
      </c>
      <c r="G150" t="str">
        <f>IFERROR(__xludf.DUMMYFUNCTION("""COMPUTED_VALUE"""),"Missouri 31 at Wyoming 37")</f>
        <v>Missouri 31 at Wyoming 37</v>
      </c>
      <c r="H150" t="str">
        <f>IFERROR(__xludf.DUMMYFUNCTION("""COMPUTED_VALUE"""),"FINAL")</f>
        <v>FINAL</v>
      </c>
      <c r="I150" t="str">
        <f>IFERROR(__xludf.DUMMYFUNCTION("""COMPUTED_VALUE"""),"-17½")</f>
        <v>-17½</v>
      </c>
      <c r="J150">
        <f>IFERROR(__xludf.DUMMYFUNCTION("""COMPUTED_VALUE"""),53.0)</f>
        <v>53</v>
      </c>
      <c r="K150" t="str">
        <f>IFERROR(__xludf.DUMMYFUNCTION("""COMPUTED_VALUE"""),"Nick G.")</f>
        <v>Nick G.</v>
      </c>
      <c r="L150">
        <f>IFERROR(__xludf.DUMMYFUNCTION("""COMPUTED_VALUE"""),9999.0)</f>
        <v>9999</v>
      </c>
      <c r="M150" s="124">
        <v>1.0</v>
      </c>
    </row>
    <row r="151">
      <c r="A151" s="151">
        <f>IFERROR(__xludf.DUMMYFUNCTION("""COMPUTED_VALUE"""),43709.147748564814)</f>
        <v>43709.14775</v>
      </c>
      <c r="B151" t="str">
        <f>IFERROR(__xludf.DUMMYFUNCTION("""COMPUTED_VALUE"""),"Gary")</f>
        <v>Gary</v>
      </c>
      <c r="C151" t="str">
        <f>IFERROR(__xludf.DUMMYFUNCTION("""COMPUTED_VALUE"""),"Pittsburgh")</f>
        <v>Pittsburgh</v>
      </c>
      <c r="D151">
        <f>IFERROR(__xludf.DUMMYFUNCTION("""COMPUTED_VALUE"""),0.0)</f>
        <v>0</v>
      </c>
      <c r="E151">
        <f>IFERROR(__xludf.DUMMYFUNCTION("""COMPUTED_VALUE"""),1.0)</f>
        <v>1</v>
      </c>
      <c r="F151" t="str">
        <f>IFERROR(__xludf.DUMMYFUNCTION("""COMPUTED_VALUE"""),"ACC Network")</f>
        <v>ACC Network</v>
      </c>
      <c r="G151" t="str">
        <f>IFERROR(__xludf.DUMMYFUNCTION("""COMPUTED_VALUE"""),"Virginia 30 at Pittsburgh 14")</f>
        <v>Virginia 30 at Pittsburgh 14</v>
      </c>
      <c r="H151" t="str">
        <f>IFERROR(__xludf.DUMMYFUNCTION("""COMPUTED_VALUE"""),"FINAL")</f>
        <v>FINAL</v>
      </c>
      <c r="I151" t="str">
        <f>IFERROR(__xludf.DUMMYFUNCTION("""COMPUTED_VALUE"""),"2½")</f>
        <v>2½</v>
      </c>
      <c r="J151">
        <f>IFERROR(__xludf.DUMMYFUNCTION("""COMPUTED_VALUE"""),46.0)</f>
        <v>46</v>
      </c>
      <c r="K151" t="str">
        <f>IFERROR(__xludf.DUMMYFUNCTION("""COMPUTED_VALUE"""),"Jeannine")</f>
        <v>Jeannine</v>
      </c>
      <c r="L151">
        <f>IFERROR(__xludf.DUMMYFUNCTION("""COMPUTED_VALUE"""),9999.0)</f>
        <v>9999</v>
      </c>
      <c r="M151" s="124">
        <v>1.0</v>
      </c>
    </row>
    <row r="152">
      <c r="A152" s="151">
        <f>IFERROR(__xludf.DUMMYFUNCTION("""COMPUTED_VALUE"""),43709.147748564814)</f>
        <v>43709.14775</v>
      </c>
      <c r="B152" t="str">
        <f>IFERROR(__xludf.DUMMYFUNCTION("""COMPUTED_VALUE"""),"Janice/Mike")</f>
        <v>Janice/Mike</v>
      </c>
      <c r="C152" t="str">
        <f>IFERROR(__xludf.DUMMYFUNCTION("""COMPUTED_VALUE"""),"Arizona")</f>
        <v>Arizona</v>
      </c>
      <c r="D152">
        <f>IFERROR(__xludf.DUMMYFUNCTION("""COMPUTED_VALUE"""),0.0)</f>
        <v>0</v>
      </c>
      <c r="E152">
        <f>IFERROR(__xludf.DUMMYFUNCTION("""COMPUTED_VALUE"""),1.0)</f>
        <v>1</v>
      </c>
      <c r="F152" t="str">
        <f>IFERROR(__xludf.DUMMYFUNCTION("""COMPUTED_VALUE"""),"NA")</f>
        <v>NA</v>
      </c>
      <c r="G152" t="str">
        <f>IFERROR(__xludf.DUMMYFUNCTION("""COMPUTED_VALUE"""),"Arizona 38 at Hawaii 45")</f>
        <v>Arizona 38 at Hawaii 45</v>
      </c>
      <c r="H152" t="str">
        <f>IFERROR(__xludf.DUMMYFUNCTION("""COMPUTED_VALUE"""),"FINAL")</f>
        <v>FINAL</v>
      </c>
      <c r="I152">
        <f>IFERROR(__xludf.DUMMYFUNCTION("""COMPUTED_VALUE"""),-7.0)</f>
        <v>-7</v>
      </c>
      <c r="J152" t="str">
        <f>IFERROR(__xludf.DUMMYFUNCTION("""COMPUTED_VALUE"""),"bye")</f>
        <v>bye</v>
      </c>
      <c r="K152" t="str">
        <f>IFERROR(__xludf.DUMMYFUNCTION("""COMPUTED_VALUE"""),"Vu")</f>
        <v>Vu</v>
      </c>
      <c r="L152">
        <f>IFERROR(__xludf.DUMMYFUNCTION("""COMPUTED_VALUE"""),9999.0)</f>
        <v>9999</v>
      </c>
      <c r="M152" s="124">
        <v>1.0</v>
      </c>
    </row>
    <row r="153">
      <c r="A153" s="151">
        <f>IFERROR(__xludf.DUMMYFUNCTION("""COMPUTED_VALUE"""),43709.147748564814)</f>
        <v>43709.14775</v>
      </c>
      <c r="B153" t="str">
        <f>IFERROR(__xludf.DUMMYFUNCTION("""COMPUTED_VALUE"""),"Janice/Mike")</f>
        <v>Janice/Mike</v>
      </c>
      <c r="C153" t="str">
        <f>IFERROR(__xludf.DUMMYFUNCTION("""COMPUTED_VALUE"""),"Charlotte")</f>
        <v>Charlotte</v>
      </c>
      <c r="D153">
        <f>IFERROR(__xludf.DUMMYFUNCTION("""COMPUTED_VALUE"""),1.0)</f>
        <v>1</v>
      </c>
      <c r="E153">
        <f>IFERROR(__xludf.DUMMYFUNCTION("""COMPUTED_VALUE"""),0.0)</f>
        <v>0</v>
      </c>
      <c r="F153" t="str">
        <f>IFERROR(__xludf.DUMMYFUNCTION("""COMPUTED_VALUE"""),"espn+ Video")</f>
        <v>espn+ Video</v>
      </c>
      <c r="G153" t="str">
        <f>IFERROR(__xludf.DUMMYFUNCTION("""COMPUTED_VALUE"""),"Gardner-Webb 28 at Charlotte 49")</f>
        <v>Gardner-Webb 28 at Charlotte 49</v>
      </c>
      <c r="H153" t="str">
        <f>IFERROR(__xludf.DUMMYFUNCTION("""COMPUTED_VALUE"""),"FINAL")</f>
        <v>FINAL</v>
      </c>
      <c r="I153" t="str">
        <f>IFERROR(__xludf.DUMMYFUNCTION("""COMPUTED_VALUE"""),"-32½")</f>
        <v>-32½</v>
      </c>
      <c r="J153" t="str">
        <f>IFERROR(__xludf.DUMMYFUNCTION("""COMPUTED_VALUE"""),"54½")</f>
        <v>54½</v>
      </c>
      <c r="K153" t="str">
        <f>IFERROR(__xludf.DUMMYFUNCTION("""COMPUTED_VALUE"""),"Undrafted")</f>
        <v>Undrafted</v>
      </c>
      <c r="L153">
        <f>IFERROR(__xludf.DUMMYFUNCTION("""COMPUTED_VALUE"""),9999.0)</f>
        <v>9999</v>
      </c>
      <c r="M153" s="124">
        <v>1.0</v>
      </c>
    </row>
    <row r="154">
      <c r="A154" s="151">
        <f>IFERROR(__xludf.DUMMYFUNCTION("""COMPUTED_VALUE"""),43709.147748564814)</f>
        <v>43709.14775</v>
      </c>
      <c r="B154" t="str">
        <f>IFERROR(__xludf.DUMMYFUNCTION("""COMPUTED_VALUE"""),"Janice/Mike")</f>
        <v>Janice/Mike</v>
      </c>
      <c r="C154" t="str">
        <f>IFERROR(__xludf.DUMMYFUNCTION("""COMPUTED_VALUE"""),"Wisconsin")</f>
        <v>Wisconsin</v>
      </c>
      <c r="D154">
        <f>IFERROR(__xludf.DUMMYFUNCTION("""COMPUTED_VALUE"""),1.0)</f>
        <v>1</v>
      </c>
      <c r="E154">
        <f>IFERROR(__xludf.DUMMYFUNCTION("""COMPUTED_VALUE"""),0.0)</f>
        <v>0</v>
      </c>
      <c r="F154" t="str">
        <f>IFERROR(__xludf.DUMMYFUNCTION("""COMPUTED_VALUE"""),"ESPN")</f>
        <v>ESPN</v>
      </c>
      <c r="G154" t="str">
        <f>IFERROR(__xludf.DUMMYFUNCTION("""COMPUTED_VALUE"""),"(17) Wisconsin 49 at South Florida 0")</f>
        <v>(17) Wisconsin 49 at South Florida 0</v>
      </c>
      <c r="H154" t="str">
        <f>IFERROR(__xludf.DUMMYFUNCTION("""COMPUTED_VALUE"""),"FINAL")</f>
        <v>FINAL</v>
      </c>
      <c r="I154" t="str">
        <f>IFERROR(__xludf.DUMMYFUNCTION("""COMPUTED_VALUE"""),"-13½")</f>
        <v>-13½</v>
      </c>
      <c r="J154" t="str">
        <f>IFERROR(__xludf.DUMMYFUNCTION("""COMPUTED_VALUE"""),"57½")</f>
        <v>57½</v>
      </c>
      <c r="K154" t="str">
        <f>IFERROR(__xludf.DUMMYFUNCTION("""COMPUTED_VALUE"""),"Justin")</f>
        <v>Justin</v>
      </c>
      <c r="L154">
        <f>IFERROR(__xludf.DUMMYFUNCTION("""COMPUTED_VALUE"""),9999.0)</f>
        <v>9999</v>
      </c>
      <c r="M154" s="124">
        <v>1.0</v>
      </c>
    </row>
    <row r="155">
      <c r="A155" s="151">
        <f>IFERROR(__xludf.DUMMYFUNCTION("""COMPUTED_VALUE"""),43709.147748564814)</f>
        <v>43709.14775</v>
      </c>
      <c r="B155" t="str">
        <f>IFERROR(__xludf.DUMMYFUNCTION("""COMPUTED_VALUE"""),"Janice/Mike")</f>
        <v>Janice/Mike</v>
      </c>
      <c r="C155" t="str">
        <f>IFERROR(__xludf.DUMMYFUNCTION("""COMPUTED_VALUE"""),"Boise State")</f>
        <v>Boise State</v>
      </c>
      <c r="D155">
        <f>IFERROR(__xludf.DUMMYFUNCTION("""COMPUTED_VALUE"""),1.0)</f>
        <v>1</v>
      </c>
      <c r="E155">
        <f>IFERROR(__xludf.DUMMYFUNCTION("""COMPUTED_VALUE"""),0.0)</f>
        <v>0</v>
      </c>
      <c r="F155" t="str">
        <f>IFERROR(__xludf.DUMMYFUNCTION("""COMPUTED_VALUE"""),"ESPN")</f>
        <v>ESPN</v>
      </c>
      <c r="G155" t="str">
        <f>IFERROR(__xludf.DUMMYFUNCTION("""COMPUTED_VALUE"""),"Boise State 36 at Florida State 31")</f>
        <v>Boise State 36 at Florida State 31</v>
      </c>
      <c r="H155" t="str">
        <f>IFERROR(__xludf.DUMMYFUNCTION("""COMPUTED_VALUE"""),"FINAL")</f>
        <v>FINAL</v>
      </c>
      <c r="I155" t="str">
        <f>IFERROR(__xludf.DUMMYFUNCTION("""COMPUTED_VALUE"""),"5½")</f>
        <v>5½</v>
      </c>
      <c r="J155" t="str">
        <f>IFERROR(__xludf.DUMMYFUNCTION("""COMPUTED_VALUE"""),"53½")</f>
        <v>53½</v>
      </c>
      <c r="K155" t="str">
        <f>IFERROR(__xludf.DUMMYFUNCTION("""COMPUTED_VALUE"""),"Josh R.")</f>
        <v>Josh R.</v>
      </c>
      <c r="L155">
        <f>IFERROR(__xludf.DUMMYFUNCTION("""COMPUTED_VALUE"""),9999.0)</f>
        <v>9999</v>
      </c>
      <c r="M155" s="124">
        <v>1.0</v>
      </c>
    </row>
    <row r="156">
      <c r="A156" s="151">
        <f>IFERROR(__xludf.DUMMYFUNCTION("""COMPUTED_VALUE"""),43709.147748564814)</f>
        <v>43709.14775</v>
      </c>
      <c r="B156" t="str">
        <f>IFERROR(__xludf.DUMMYFUNCTION("""COMPUTED_VALUE"""),"Janice/Mike")</f>
        <v>Janice/Mike</v>
      </c>
      <c r="C156" t="str">
        <f>IFERROR(__xludf.DUMMYFUNCTION("""COMPUTED_VALUE"""),"Navy")</f>
        <v>Navy</v>
      </c>
      <c r="D156">
        <f>IFERROR(__xludf.DUMMYFUNCTION("""COMPUTED_VALUE"""),1.0)</f>
        <v>1</v>
      </c>
      <c r="E156">
        <f>IFERROR(__xludf.DUMMYFUNCTION("""COMPUTED_VALUE"""),0.0)</f>
        <v>0</v>
      </c>
      <c r="F156" t="str">
        <f>IFERROR(__xludf.DUMMYFUNCTION("""COMPUTED_VALUE"""),"CBSSN")</f>
        <v>CBSSN</v>
      </c>
      <c r="G156" t="str">
        <f>IFERROR(__xludf.DUMMYFUNCTION("""COMPUTED_VALUE"""),"Holy Cross 7 at Navy 45")</f>
        <v>Holy Cross 7 at Navy 45</v>
      </c>
      <c r="H156" t="str">
        <f>IFERROR(__xludf.DUMMYFUNCTION("""COMPUTED_VALUE"""),"FINAL")</f>
        <v>FINAL</v>
      </c>
      <c r="I156" t="str">
        <f>IFERROR(__xludf.DUMMYFUNCTION("""COMPUTED_VALUE"""),"-20½")</f>
        <v>-20½</v>
      </c>
      <c r="J156" t="str">
        <f>IFERROR(__xludf.DUMMYFUNCTION("""COMPUTED_VALUE"""),"54½")</f>
        <v>54½</v>
      </c>
      <c r="K156" t="str">
        <f>IFERROR(__xludf.DUMMYFUNCTION("""COMPUTED_VALUE"""),"Undrafted")</f>
        <v>Undrafted</v>
      </c>
      <c r="L156">
        <f>IFERROR(__xludf.DUMMYFUNCTION("""COMPUTED_VALUE"""),9999.0)</f>
        <v>9999</v>
      </c>
      <c r="M156" s="124">
        <v>1.0</v>
      </c>
    </row>
    <row r="157">
      <c r="A157" s="151">
        <f>IFERROR(__xludf.DUMMYFUNCTION("""COMPUTED_VALUE"""),43709.147748564814)</f>
        <v>43709.14775</v>
      </c>
      <c r="B157" t="str">
        <f>IFERROR(__xludf.DUMMYFUNCTION("""COMPUTED_VALUE"""),"Janice/Mike")</f>
        <v>Janice/Mike</v>
      </c>
      <c r="C157" t="str">
        <f>IFERROR(__xludf.DUMMYFUNCTION("""COMPUTED_VALUE"""),"Arkansas")</f>
        <v>Arkansas</v>
      </c>
      <c r="D157">
        <f>IFERROR(__xludf.DUMMYFUNCTION("""COMPUTED_VALUE"""),1.0)</f>
        <v>1</v>
      </c>
      <c r="E157">
        <f>IFERROR(__xludf.DUMMYFUNCTION("""COMPUTED_VALUE"""),0.0)</f>
        <v>0</v>
      </c>
      <c r="F157" t="str">
        <f>IFERROR(__xludf.DUMMYFUNCTION("""COMPUTED_VALUE"""),"SEC Network")</f>
        <v>SEC Network</v>
      </c>
      <c r="G157" t="str">
        <f>IFERROR(__xludf.DUMMYFUNCTION("""COMPUTED_VALUE"""),"Portland State 13 at Arkansas 20")</f>
        <v>Portland State 13 at Arkansas 20</v>
      </c>
      <c r="H157" t="str">
        <f>IFERROR(__xludf.DUMMYFUNCTION("""COMPUTED_VALUE"""),"FINAL")</f>
        <v>FINAL</v>
      </c>
      <c r="I157" t="str">
        <f>IFERROR(__xludf.DUMMYFUNCTION("""COMPUTED_VALUE"""),"-28½")</f>
        <v>-28½</v>
      </c>
      <c r="J157" t="str">
        <f>IFERROR(__xludf.DUMMYFUNCTION("""COMPUTED_VALUE"""),"60½")</f>
        <v>60½</v>
      </c>
      <c r="K157" t="str">
        <f>IFERROR(__xludf.DUMMYFUNCTION("""COMPUTED_VALUE"""),"Undrafted")</f>
        <v>Undrafted</v>
      </c>
      <c r="L157">
        <f>IFERROR(__xludf.DUMMYFUNCTION("""COMPUTED_VALUE"""),9999.0)</f>
        <v>9999</v>
      </c>
      <c r="M157" s="124">
        <v>1.0</v>
      </c>
    </row>
    <row r="158">
      <c r="A158" s="151">
        <f>IFERROR(__xludf.DUMMYFUNCTION("""COMPUTED_VALUE"""),43709.147748564814)</f>
        <v>43709.14775</v>
      </c>
      <c r="B158" t="str">
        <f>IFERROR(__xludf.DUMMYFUNCTION("""COMPUTED_VALUE"""),"Janice/Mike")</f>
        <v>Janice/Mike</v>
      </c>
      <c r="C158" t="str">
        <f>IFERROR(__xludf.DUMMYFUNCTION("""COMPUTED_VALUE"""),"Texas Tech")</f>
        <v>Texas Tech</v>
      </c>
      <c r="D158">
        <f>IFERROR(__xludf.DUMMYFUNCTION("""COMPUTED_VALUE"""),1.0)</f>
        <v>1</v>
      </c>
      <c r="E158">
        <f>IFERROR(__xludf.DUMMYFUNCTION("""COMPUTED_VALUE"""),0.0)</f>
        <v>0</v>
      </c>
      <c r="F158" t="str">
        <f>IFERROR(__xludf.DUMMYFUNCTION("""COMPUTED_VALUE"""),"FSN")</f>
        <v>FSN</v>
      </c>
      <c r="G158" t="str">
        <f>IFERROR(__xludf.DUMMYFUNCTION("""COMPUTED_VALUE"""),"Montana State 10 at Texas Tech 45")</f>
        <v>Montana State 10 at Texas Tech 45</v>
      </c>
      <c r="H158" t="str">
        <f>IFERROR(__xludf.DUMMYFUNCTION("""COMPUTED_VALUE"""),"FINAL")</f>
        <v>FINAL</v>
      </c>
      <c r="I158">
        <f>IFERROR(__xludf.DUMMYFUNCTION("""COMPUTED_VALUE"""),-25.0)</f>
        <v>-25</v>
      </c>
      <c r="J158">
        <f>IFERROR(__xludf.DUMMYFUNCTION("""COMPUTED_VALUE"""),60.0)</f>
        <v>60</v>
      </c>
      <c r="K158" t="str">
        <f>IFERROR(__xludf.DUMMYFUNCTION("""COMPUTED_VALUE"""),"Undrafted")</f>
        <v>Undrafted</v>
      </c>
      <c r="L158">
        <f>IFERROR(__xludf.DUMMYFUNCTION("""COMPUTED_VALUE"""),9999.0)</f>
        <v>9999</v>
      </c>
      <c r="M158" s="124">
        <v>1.0</v>
      </c>
    </row>
    <row r="159">
      <c r="A159" s="151">
        <f>IFERROR(__xludf.DUMMYFUNCTION("""COMPUTED_VALUE"""),43709.147748564814)</f>
        <v>43709.14775</v>
      </c>
      <c r="B159" t="str">
        <f>IFERROR(__xludf.DUMMYFUNCTION("""COMPUTED_VALUE"""),"Janice/Mike")</f>
        <v>Janice/Mike</v>
      </c>
      <c r="C159" t="str">
        <f>IFERROR(__xludf.DUMMYFUNCTION("""COMPUTED_VALUE"""),"Boston College")</f>
        <v>Boston College</v>
      </c>
      <c r="D159">
        <f>IFERROR(__xludf.DUMMYFUNCTION("""COMPUTED_VALUE"""),1.0)</f>
        <v>1</v>
      </c>
      <c r="E159">
        <f>IFERROR(__xludf.DUMMYFUNCTION("""COMPUTED_VALUE"""),0.0)</f>
        <v>0</v>
      </c>
      <c r="F159" t="str">
        <f>IFERROR(__xludf.DUMMYFUNCTION("""COMPUTED_VALUE"""),"ACC Network")</f>
        <v>ACC Network</v>
      </c>
      <c r="G159" t="str">
        <f>IFERROR(__xludf.DUMMYFUNCTION("""COMPUTED_VALUE"""),"Virginia Tech 28 at Boston College 35")</f>
        <v>Virginia Tech 28 at Boston College 35</v>
      </c>
      <c r="H159" t="str">
        <f>IFERROR(__xludf.DUMMYFUNCTION("""COMPUTED_VALUE"""),"FINAL")</f>
        <v>FINAL</v>
      </c>
      <c r="I159" t="str">
        <f>IFERROR(__xludf.DUMMYFUNCTION("""COMPUTED_VALUE"""),"3½")</f>
        <v>3½</v>
      </c>
      <c r="J159">
        <f>IFERROR(__xludf.DUMMYFUNCTION("""COMPUTED_VALUE"""),57.0)</f>
        <v>57</v>
      </c>
      <c r="K159" t="str">
        <f>IFERROR(__xludf.DUMMYFUNCTION("""COMPUTED_VALUE"""),"DavEmily")</f>
        <v>DavEmily</v>
      </c>
      <c r="L159">
        <f>IFERROR(__xludf.DUMMYFUNCTION("""COMPUTED_VALUE"""),9999.0)</f>
        <v>9999</v>
      </c>
      <c r="M159" s="124">
        <v>1.0</v>
      </c>
    </row>
    <row r="160">
      <c r="A160" s="151">
        <f>IFERROR(__xludf.DUMMYFUNCTION("""COMPUTED_VALUE"""),43709.147748564814)</f>
        <v>43709.14775</v>
      </c>
      <c r="B160" t="str">
        <f>IFERROR(__xludf.DUMMYFUNCTION("""COMPUTED_VALUE"""),"Janice/Mike")</f>
        <v>Janice/Mike</v>
      </c>
      <c r="C160" t="str">
        <f>IFERROR(__xludf.DUMMYFUNCTION("""COMPUTED_VALUE"""),"Northern Illinois")</f>
        <v>Northern Illinois</v>
      </c>
      <c r="D160">
        <f>IFERROR(__xludf.DUMMYFUNCTION("""COMPUTED_VALUE"""),1.0)</f>
        <v>1</v>
      </c>
      <c r="E160">
        <f>IFERROR(__xludf.DUMMYFUNCTION("""COMPUTED_VALUE"""),0.0)</f>
        <v>0</v>
      </c>
      <c r="F160" t="str">
        <f>IFERROR(__xludf.DUMMYFUNCTION("""COMPUTED_VALUE"""),"espn+ Video")</f>
        <v>espn+ Video</v>
      </c>
      <c r="G160" t="str">
        <f>IFERROR(__xludf.DUMMYFUNCTION("""COMPUTED_VALUE"""),"Illinois State 10 at Northern Illinois 24")</f>
        <v>Illinois State 10 at Northern Illinois 24</v>
      </c>
      <c r="H160" t="str">
        <f>IFERROR(__xludf.DUMMYFUNCTION("""COMPUTED_VALUE"""),"FINAL")</f>
        <v>FINAL</v>
      </c>
      <c r="I160" t="str">
        <f>IFERROR(__xludf.DUMMYFUNCTION("""COMPUTED_VALUE"""),"-5½")</f>
        <v>-5½</v>
      </c>
      <c r="J160" t="str">
        <f>IFERROR(__xludf.DUMMYFUNCTION("""COMPUTED_VALUE"""),"42½")</f>
        <v>42½</v>
      </c>
      <c r="K160" t="str">
        <f>IFERROR(__xludf.DUMMYFUNCTION("""COMPUTED_VALUE"""),"Undrafted")</f>
        <v>Undrafted</v>
      </c>
      <c r="L160">
        <f>IFERROR(__xludf.DUMMYFUNCTION("""COMPUTED_VALUE"""),9999.0)</f>
        <v>9999</v>
      </c>
      <c r="M160" s="124">
        <v>1.0</v>
      </c>
    </row>
    <row r="161">
      <c r="A161" s="151">
        <f>IFERROR(__xludf.DUMMYFUNCTION("""COMPUTED_VALUE"""),43709.147748564814)</f>
        <v>43709.14775</v>
      </c>
      <c r="B161" t="str">
        <f>IFERROR(__xludf.DUMMYFUNCTION("""COMPUTED_VALUE"""),"Janice/Mike")</f>
        <v>Janice/Mike</v>
      </c>
      <c r="C161" t="str">
        <f>IFERROR(__xludf.DUMMYFUNCTION("""COMPUTED_VALUE"""),"Georgia Southern")</f>
        <v>Georgia Southern</v>
      </c>
      <c r="D161">
        <f>IFERROR(__xludf.DUMMYFUNCTION("""COMPUTED_VALUE"""),0.0)</f>
        <v>0</v>
      </c>
      <c r="E161">
        <f>IFERROR(__xludf.DUMMYFUNCTION("""COMPUTED_VALUE"""),1.0)</f>
        <v>1</v>
      </c>
      <c r="F161" t="str">
        <f>IFERROR(__xludf.DUMMYFUNCTION("""COMPUTED_VALUE"""),"ESPNU")</f>
        <v>ESPNU</v>
      </c>
      <c r="G161" t="str">
        <f>IFERROR(__xludf.DUMMYFUNCTION("""COMPUTED_VALUE"""),"Georgia Southern 3 at (6) LSU 55")</f>
        <v>Georgia Southern 3 at (6) LSU 55</v>
      </c>
      <c r="H161" t="str">
        <f>IFERROR(__xludf.DUMMYFUNCTION("""COMPUTED_VALUE"""),"FINAL")</f>
        <v>FINAL</v>
      </c>
      <c r="I161">
        <f>IFERROR(__xludf.DUMMYFUNCTION("""COMPUTED_VALUE"""),28.0)</f>
        <v>28</v>
      </c>
      <c r="J161">
        <f>IFERROR(__xludf.DUMMYFUNCTION("""COMPUTED_VALUE"""),53.0)</f>
        <v>53</v>
      </c>
      <c r="K161" t="str">
        <f>IFERROR(__xludf.DUMMYFUNCTION("""COMPUTED_VALUE"""),"Nick A.")</f>
        <v>Nick A.</v>
      </c>
      <c r="L161">
        <f>IFERROR(__xludf.DUMMYFUNCTION("""COMPUTED_VALUE"""),9999.0)</f>
        <v>9999</v>
      </c>
      <c r="M161" s="124">
        <v>1.0</v>
      </c>
    </row>
    <row r="162">
      <c r="A162" s="151">
        <f>IFERROR(__xludf.DUMMYFUNCTION("""COMPUTED_VALUE"""),43709.147748564814)</f>
        <v>43709.14775</v>
      </c>
      <c r="B162" t="str">
        <f>IFERROR(__xludf.DUMMYFUNCTION("""COMPUTED_VALUE"""),"Nico")</f>
        <v>Nico</v>
      </c>
      <c r="C162" t="str">
        <f>IFERROR(__xludf.DUMMYFUNCTION("""COMPUTED_VALUE"""),"Arizona State")</f>
        <v>Arizona State</v>
      </c>
      <c r="D162">
        <f>IFERROR(__xludf.DUMMYFUNCTION("""COMPUTED_VALUE"""),1.0)</f>
        <v>1</v>
      </c>
      <c r="E162">
        <f>IFERROR(__xludf.DUMMYFUNCTION("""COMPUTED_VALUE"""),0.0)</f>
        <v>0</v>
      </c>
      <c r="F162" t="str">
        <f>IFERROR(__xludf.DUMMYFUNCTION("""COMPUTED_VALUE"""),"Pac-12")</f>
        <v>Pac-12</v>
      </c>
      <c r="G162" t="str">
        <f>IFERROR(__xludf.DUMMYFUNCTION("""COMPUTED_VALUE"""),"Kent State 7 at Arizona State 30")</f>
        <v>Kent State 7 at Arizona State 30</v>
      </c>
      <c r="H162" t="str">
        <f>IFERROR(__xludf.DUMMYFUNCTION("""COMPUTED_VALUE"""),"FINAL")</f>
        <v>FINAL</v>
      </c>
      <c r="I162">
        <f>IFERROR(__xludf.DUMMYFUNCTION("""COMPUTED_VALUE"""),-25.0)</f>
        <v>-25</v>
      </c>
      <c r="J162">
        <f>IFERROR(__xludf.DUMMYFUNCTION("""COMPUTED_VALUE"""),60.0)</f>
        <v>60</v>
      </c>
      <c r="K162" t="str">
        <f>IFERROR(__xludf.DUMMYFUNCTION("""COMPUTED_VALUE"""),"Vu")</f>
        <v>Vu</v>
      </c>
      <c r="L162">
        <f>IFERROR(__xludf.DUMMYFUNCTION("""COMPUTED_VALUE"""),9999.0)</f>
        <v>9999</v>
      </c>
      <c r="M162" s="124">
        <v>1.0</v>
      </c>
    </row>
    <row r="163">
      <c r="A163" s="151">
        <f>IFERROR(__xludf.DUMMYFUNCTION("""COMPUTED_VALUE"""),43709.147748564814)</f>
        <v>43709.14775</v>
      </c>
      <c r="B163" t="str">
        <f>IFERROR(__xludf.DUMMYFUNCTION("""COMPUTED_VALUE"""),"Nico")</f>
        <v>Nico</v>
      </c>
      <c r="C163" t="str">
        <f>IFERROR(__xludf.DUMMYFUNCTION("""COMPUTED_VALUE"""),"Purdue")</f>
        <v>Purdue</v>
      </c>
      <c r="D163">
        <f>IFERROR(__xludf.DUMMYFUNCTION("""COMPUTED_VALUE"""),0.0)</f>
        <v>0</v>
      </c>
      <c r="E163">
        <f>IFERROR(__xludf.DUMMYFUNCTION("""COMPUTED_VALUE"""),1.0)</f>
        <v>1</v>
      </c>
      <c r="F163" t="str">
        <f>IFERROR(__xludf.DUMMYFUNCTION("""COMPUTED_VALUE"""),"CBSSN")</f>
        <v>CBSSN</v>
      </c>
      <c r="G163" t="str">
        <f>IFERROR(__xludf.DUMMYFUNCTION("""COMPUTED_VALUE"""),"Purdue 31 at Nevada 34")</f>
        <v>Purdue 31 at Nevada 34</v>
      </c>
      <c r="H163" t="str">
        <f>IFERROR(__xludf.DUMMYFUNCTION("""COMPUTED_VALUE"""),"FINAL")</f>
        <v>FINAL</v>
      </c>
      <c r="I163" t="str">
        <f>IFERROR(__xludf.DUMMYFUNCTION("""COMPUTED_VALUE"""),"-10½")</f>
        <v>-10½</v>
      </c>
      <c r="J163" t="str">
        <f>IFERROR(__xludf.DUMMYFUNCTION("""COMPUTED_VALUE"""),"58½")</f>
        <v>58½</v>
      </c>
      <c r="K163" t="str">
        <f>IFERROR(__xludf.DUMMYFUNCTION("""COMPUTED_VALUE"""),"Josh R.")</f>
        <v>Josh R.</v>
      </c>
      <c r="L163">
        <f>IFERROR(__xludf.DUMMYFUNCTION("""COMPUTED_VALUE"""),9999.0)</f>
        <v>9999</v>
      </c>
      <c r="M163" s="124">
        <v>1.0</v>
      </c>
    </row>
    <row r="164">
      <c r="A164" s="151">
        <f>IFERROR(__xludf.DUMMYFUNCTION("""COMPUTED_VALUE"""),43709.147748564814)</f>
        <v>43709.14775</v>
      </c>
      <c r="B164" t="str">
        <f>IFERROR(__xludf.DUMMYFUNCTION("""COMPUTED_VALUE"""),"Nico")</f>
        <v>Nico</v>
      </c>
      <c r="C164" t="str">
        <f>IFERROR(__xludf.DUMMYFUNCTION("""COMPUTED_VALUE"""),"West Virginia")</f>
        <v>West Virginia</v>
      </c>
      <c r="D164">
        <f>IFERROR(__xludf.DUMMYFUNCTION("""COMPUTED_VALUE"""),1.0)</f>
        <v>1</v>
      </c>
      <c r="E164">
        <f>IFERROR(__xludf.DUMMYFUNCTION("""COMPUTED_VALUE"""),0.0)</f>
        <v>0</v>
      </c>
      <c r="F164" t="str">
        <f>IFERROR(__xludf.DUMMYFUNCTION("""COMPUTED_VALUE"""),"ATTPI")</f>
        <v>ATTPI</v>
      </c>
      <c r="G164" t="str">
        <f>IFERROR(__xludf.DUMMYFUNCTION("""COMPUTED_VALUE"""),"James Madison 13 at West Virginia 20")</f>
        <v>James Madison 13 at West Virginia 20</v>
      </c>
      <c r="H164" t="str">
        <f>IFERROR(__xludf.DUMMYFUNCTION("""COMPUTED_VALUE"""),"FINAL")</f>
        <v>FINAL</v>
      </c>
      <c r="I164">
        <f>IFERROR(__xludf.DUMMYFUNCTION("""COMPUTED_VALUE"""),-7.0)</f>
        <v>-7</v>
      </c>
      <c r="J164" t="str">
        <f>IFERROR(__xludf.DUMMYFUNCTION("""COMPUTED_VALUE"""),"52½")</f>
        <v>52½</v>
      </c>
      <c r="K164" t="str">
        <f>IFERROR(__xludf.DUMMYFUNCTION("""COMPUTED_VALUE"""),"Undrafted")</f>
        <v>Undrafted</v>
      </c>
      <c r="L164">
        <f>IFERROR(__xludf.DUMMYFUNCTION("""COMPUTED_VALUE"""),9999.0)</f>
        <v>9999</v>
      </c>
      <c r="M164" s="124">
        <v>1.0</v>
      </c>
    </row>
    <row r="165">
      <c r="A165" s="151">
        <f>IFERROR(__xludf.DUMMYFUNCTION("""COMPUTED_VALUE"""),43709.147748564814)</f>
        <v>43709.14775</v>
      </c>
      <c r="B165" t="str">
        <f>IFERROR(__xludf.DUMMYFUNCTION("""COMPUTED_VALUE"""),"Nico")</f>
        <v>Nico</v>
      </c>
      <c r="C165" t="str">
        <f>IFERROR(__xludf.DUMMYFUNCTION("""COMPUTED_VALUE"""),"North Carolina")</f>
        <v>North Carolina</v>
      </c>
      <c r="D165">
        <f>IFERROR(__xludf.DUMMYFUNCTION("""COMPUTED_VALUE"""),1.0)</f>
        <v>1</v>
      </c>
      <c r="E165">
        <f>IFERROR(__xludf.DUMMYFUNCTION("""COMPUTED_VALUE"""),0.0)</f>
        <v>0</v>
      </c>
      <c r="F165" t="str">
        <f>IFERROR(__xludf.DUMMYFUNCTION("""COMPUTED_VALUE"""),"ESPN")</f>
        <v>ESPN</v>
      </c>
      <c r="G165" t="str">
        <f>IFERROR(__xludf.DUMMYFUNCTION("""COMPUTED_VALUE"""),"South Carolina 20 at North Carolina 24")</f>
        <v>South Carolina 20 at North Carolina 24</v>
      </c>
      <c r="H165" t="str">
        <f>IFERROR(__xludf.DUMMYFUNCTION("""COMPUTED_VALUE"""),"FINAL")</f>
        <v>FINAL</v>
      </c>
      <c r="I165" t="str">
        <f>IFERROR(__xludf.DUMMYFUNCTION("""COMPUTED_VALUE"""),"9½")</f>
        <v>9½</v>
      </c>
      <c r="J165" t="str">
        <f>IFERROR(__xludf.DUMMYFUNCTION("""COMPUTED_VALUE"""),"63½")</f>
        <v>63½</v>
      </c>
      <c r="K165" t="str">
        <f>IFERROR(__xludf.DUMMYFUNCTION("""COMPUTED_VALUE"""),"Brad")</f>
        <v>Brad</v>
      </c>
      <c r="L165">
        <f>IFERROR(__xludf.DUMMYFUNCTION("""COMPUTED_VALUE"""),9999.0)</f>
        <v>9999</v>
      </c>
      <c r="M165" s="124">
        <v>1.0</v>
      </c>
    </row>
    <row r="166">
      <c r="A166" s="151">
        <f>IFERROR(__xludf.DUMMYFUNCTION("""COMPUTED_VALUE"""),43709.147748564814)</f>
        <v>43709.14775</v>
      </c>
      <c r="B166" t="str">
        <f>IFERROR(__xludf.DUMMYFUNCTION("""COMPUTED_VALUE"""),"Nico")</f>
        <v>Nico</v>
      </c>
      <c r="C166" t="str">
        <f>IFERROR(__xludf.DUMMYFUNCTION("""COMPUTED_VALUE"""),"New Mexico")</f>
        <v>New Mexico</v>
      </c>
      <c r="D166">
        <f>IFERROR(__xludf.DUMMYFUNCTION("""COMPUTED_VALUE"""),1.0)</f>
        <v>1</v>
      </c>
      <c r="E166">
        <f>IFERROR(__xludf.DUMMYFUNCTION("""COMPUTED_VALUE"""),0.0)</f>
        <v>0</v>
      </c>
      <c r="F166" t="str">
        <f>IFERROR(__xludf.DUMMYFUNCTION("""COMPUTED_VALUE"""),"TBA")</f>
        <v>TBA</v>
      </c>
      <c r="G166" t="str">
        <f>IFERROR(__xludf.DUMMYFUNCTION("""COMPUTED_VALUE"""),"Sam Houston State 31 at New Mexico 39")</f>
        <v>Sam Houston State 31 at New Mexico 39</v>
      </c>
      <c r="H166" t="str">
        <f>IFERROR(__xludf.DUMMYFUNCTION("""COMPUTED_VALUE"""),"FINAL")</f>
        <v>FINAL</v>
      </c>
      <c r="I166">
        <f>IFERROR(__xludf.DUMMYFUNCTION("""COMPUTED_VALUE"""),-9.0)</f>
        <v>-9</v>
      </c>
      <c r="J166" t="str">
        <f>IFERROR(__xludf.DUMMYFUNCTION("""COMPUTED_VALUE"""),"62½")</f>
        <v>62½</v>
      </c>
      <c r="K166" t="str">
        <f>IFERROR(__xludf.DUMMYFUNCTION("""COMPUTED_VALUE"""),"Undrafted")</f>
        <v>Undrafted</v>
      </c>
      <c r="L166">
        <f>IFERROR(__xludf.DUMMYFUNCTION("""COMPUTED_VALUE"""),9999.0)</f>
        <v>9999</v>
      </c>
      <c r="M166" s="124">
        <v>1.0</v>
      </c>
    </row>
    <row r="167">
      <c r="A167" s="151">
        <f>IFERROR(__xludf.DUMMYFUNCTION("""COMPUTED_VALUE"""),43709.147748564814)</f>
        <v>43709.14775</v>
      </c>
      <c r="B167" t="str">
        <f>IFERROR(__xludf.DUMMYFUNCTION("""COMPUTED_VALUE"""),"Nico")</f>
        <v>Nico</v>
      </c>
      <c r="C167" t="str">
        <f>IFERROR(__xludf.DUMMYFUNCTION("""COMPUTED_VALUE"""),"Arkansas State")</f>
        <v>Arkansas State</v>
      </c>
      <c r="D167">
        <f>IFERROR(__xludf.DUMMYFUNCTION("""COMPUTED_VALUE"""),0.0)</f>
        <v>0</v>
      </c>
      <c r="E167">
        <f>IFERROR(__xludf.DUMMYFUNCTION("""COMPUTED_VALUE"""),1.0)</f>
        <v>1</v>
      </c>
      <c r="F167" t="str">
        <f>IFERROR(__xludf.DUMMYFUNCTION("""COMPUTED_VALUE"""),"espn+ Video")</f>
        <v>espn+ Video</v>
      </c>
      <c r="G167" t="str">
        <f>IFERROR(__xludf.DUMMYFUNCTION("""COMPUTED_VALUE"""),"SMU 37 at Arkansas State 30")</f>
        <v>SMU 37 at Arkansas State 30</v>
      </c>
      <c r="H167" t="str">
        <f>IFERROR(__xludf.DUMMYFUNCTION("""COMPUTED_VALUE"""),"FINAL")</f>
        <v>FINAL</v>
      </c>
      <c r="I167" t="str">
        <f>IFERROR(__xludf.DUMMYFUNCTION("""COMPUTED_VALUE"""),"-2½")</f>
        <v>-2½</v>
      </c>
      <c r="J167" t="str">
        <f>IFERROR(__xludf.DUMMYFUNCTION("""COMPUTED_VALUE"""),"57½")</f>
        <v>57½</v>
      </c>
      <c r="K167" t="str">
        <f>IFERROR(__xludf.DUMMYFUNCTION("""COMPUTED_VALUE"""),"Jeannine")</f>
        <v>Jeannine</v>
      </c>
      <c r="L167">
        <f>IFERROR(__xludf.DUMMYFUNCTION("""COMPUTED_VALUE"""),9999.0)</f>
        <v>9999</v>
      </c>
      <c r="M167" s="124">
        <v>1.0</v>
      </c>
    </row>
    <row r="168">
      <c r="A168" s="151">
        <f>IFERROR(__xludf.DUMMYFUNCTION("""COMPUTED_VALUE"""),43709.147748564814)</f>
        <v>43709.14775</v>
      </c>
      <c r="B168" t="str">
        <f>IFERROR(__xludf.DUMMYFUNCTION("""COMPUTED_VALUE"""),"Nico")</f>
        <v>Nico</v>
      </c>
      <c r="C168" t="str">
        <f>IFERROR(__xludf.DUMMYFUNCTION("""COMPUTED_VALUE"""),"Georgia")</f>
        <v>Georgia</v>
      </c>
      <c r="D168">
        <f>IFERROR(__xludf.DUMMYFUNCTION("""COMPUTED_VALUE"""),1.0)</f>
        <v>1</v>
      </c>
      <c r="E168">
        <f>IFERROR(__xludf.DUMMYFUNCTION("""COMPUTED_VALUE"""),0.0)</f>
        <v>0</v>
      </c>
      <c r="F168" t="str">
        <f>IFERROR(__xludf.DUMMYFUNCTION("""COMPUTED_VALUE"""),"SEC Network")</f>
        <v>SEC Network</v>
      </c>
      <c r="G168" t="str">
        <f>IFERROR(__xludf.DUMMYFUNCTION("""COMPUTED_VALUE"""),"(3) Georgia 30 at Vanderbilt 6")</f>
        <v>(3) Georgia 30 at Vanderbilt 6</v>
      </c>
      <c r="H168" t="str">
        <f>IFERROR(__xludf.DUMMYFUNCTION("""COMPUTED_VALUE"""),"FINAL")</f>
        <v>FINAL</v>
      </c>
      <c r="I168">
        <f>IFERROR(__xludf.DUMMYFUNCTION("""COMPUTED_VALUE"""),-21.0)</f>
        <v>-21</v>
      </c>
      <c r="J168" t="str">
        <f>IFERROR(__xludf.DUMMYFUNCTION("""COMPUTED_VALUE"""),"57½")</f>
        <v>57½</v>
      </c>
      <c r="K168" t="str">
        <f>IFERROR(__xludf.DUMMYFUNCTION("""COMPUTED_VALUE"""),"Undrafted")</f>
        <v>Undrafted</v>
      </c>
      <c r="L168">
        <f>IFERROR(__xludf.DUMMYFUNCTION("""COMPUTED_VALUE"""),9999.0)</f>
        <v>9999</v>
      </c>
      <c r="M168" s="124">
        <v>1.0</v>
      </c>
    </row>
    <row r="169">
      <c r="A169" s="151">
        <f>IFERROR(__xludf.DUMMYFUNCTION("""COMPUTED_VALUE"""),43709.147748564814)</f>
        <v>43709.14775</v>
      </c>
      <c r="B169" t="str">
        <f>IFERROR(__xludf.DUMMYFUNCTION("""COMPUTED_VALUE"""),"Nico")</f>
        <v>Nico</v>
      </c>
      <c r="C169" t="str">
        <f>IFERROR(__xludf.DUMMYFUNCTION("""COMPUTED_VALUE"""),"Middle Tennessee")</f>
        <v>Middle Tennessee</v>
      </c>
      <c r="D169">
        <f>IFERROR(__xludf.DUMMYFUNCTION("""COMPUTED_VALUE"""),0.0)</f>
        <v>0</v>
      </c>
      <c r="E169">
        <f>IFERROR(__xludf.DUMMYFUNCTION("""COMPUTED_VALUE"""),1.0)</f>
        <v>1</v>
      </c>
      <c r="F169" t="str">
        <f>IFERROR(__xludf.DUMMYFUNCTION("""COMPUTED_VALUE"""),"BTN")</f>
        <v>BTN</v>
      </c>
      <c r="G169" t="str">
        <f>IFERROR(__xludf.DUMMYFUNCTION("""COMPUTED_VALUE"""),"Middle Tennessee 21 at (7) Michigan 40")</f>
        <v>Middle Tennessee 21 at (7) Michigan 40</v>
      </c>
      <c r="H169" t="str">
        <f>IFERROR(__xludf.DUMMYFUNCTION("""COMPUTED_VALUE"""),"FINAL")</f>
        <v>FINAL</v>
      </c>
      <c r="I169" t="str">
        <f>IFERROR(__xludf.DUMMYFUNCTION("""COMPUTED_VALUE"""),"33½")</f>
        <v>33½</v>
      </c>
      <c r="J169">
        <f>IFERROR(__xludf.DUMMYFUNCTION("""COMPUTED_VALUE"""),54.0)</f>
        <v>54</v>
      </c>
      <c r="K169" t="str">
        <f>IFERROR(__xludf.DUMMYFUNCTION("""COMPUTED_VALUE"""),"Vu")</f>
        <v>Vu</v>
      </c>
      <c r="L169">
        <f>IFERROR(__xludf.DUMMYFUNCTION("""COMPUTED_VALUE"""),9999.0)</f>
        <v>9999</v>
      </c>
      <c r="M169" s="124">
        <v>1.0</v>
      </c>
    </row>
    <row r="170">
      <c r="A170" s="151">
        <f>IFERROR(__xludf.DUMMYFUNCTION("""COMPUTED_VALUE"""),43709.147748564814)</f>
        <v>43709.14775</v>
      </c>
      <c r="B170" t="str">
        <f>IFERROR(__xludf.DUMMYFUNCTION("""COMPUTED_VALUE"""),"Nico")</f>
        <v>Nico</v>
      </c>
      <c r="C170" t="str">
        <f>IFERROR(__xludf.DUMMYFUNCTION("""COMPUTED_VALUE"""),"Miami-OH")</f>
        <v>Miami-OH</v>
      </c>
      <c r="D170">
        <f>IFERROR(__xludf.DUMMYFUNCTION("""COMPUTED_VALUE"""),0.0)</f>
        <v>0</v>
      </c>
      <c r="E170">
        <f>IFERROR(__xludf.DUMMYFUNCTION("""COMPUTED_VALUE"""),1.0)</f>
        <v>1</v>
      </c>
      <c r="F170" t="str">
        <f>IFERROR(__xludf.DUMMYFUNCTION("""COMPUTED_VALUE"""),"NA")</f>
        <v>NA</v>
      </c>
      <c r="G170" t="str">
        <f>IFERROR(__xludf.DUMMYFUNCTION("""COMPUTED_VALUE"""),"Miami-OH 14 at (19) Iowa 38")</f>
        <v>Miami-OH 14 at (19) Iowa 38</v>
      </c>
      <c r="H170" t="str">
        <f>IFERROR(__xludf.DUMMYFUNCTION("""COMPUTED_VALUE"""),"FINAL")</f>
        <v>FINAL</v>
      </c>
      <c r="I170" t="str">
        <f>IFERROR(__xludf.DUMMYFUNCTION("""COMPUTED_VALUE"""),"21½")</f>
        <v>21½</v>
      </c>
      <c r="J170" t="str">
        <f>IFERROR(__xludf.DUMMYFUNCTION("""COMPUTED_VALUE"""),"48½")</f>
        <v>48½</v>
      </c>
      <c r="K170" t="str">
        <f>IFERROR(__xludf.DUMMYFUNCTION("""COMPUTED_VALUE"""),"Justin")</f>
        <v>Justin</v>
      </c>
      <c r="L170">
        <f>IFERROR(__xludf.DUMMYFUNCTION("""COMPUTED_VALUE"""),9999.0)</f>
        <v>9999</v>
      </c>
      <c r="M170" s="124">
        <v>1.0</v>
      </c>
    </row>
    <row r="171">
      <c r="A171" s="151">
        <f>IFERROR(__xludf.DUMMYFUNCTION("""COMPUTED_VALUE"""),43709.147748564814)</f>
        <v>43709.14775</v>
      </c>
      <c r="B171" t="str">
        <f>IFERROR(__xludf.DUMMYFUNCTION("""COMPUTED_VALUE"""),"Nico")</f>
        <v>Nico</v>
      </c>
      <c r="C171" t="str">
        <f>IFERROR(__xludf.DUMMYFUNCTION("""COMPUTED_VALUE"""),"Houston")</f>
        <v>Houston</v>
      </c>
      <c r="D171">
        <f>IFERROR(__xludf.DUMMYFUNCTION("""COMPUTED_VALUE"""),0.0)</f>
        <v>0</v>
      </c>
      <c r="E171">
        <f>IFERROR(__xludf.DUMMYFUNCTION("""COMPUTED_VALUE"""),0.0)</f>
        <v>0</v>
      </c>
      <c r="F171" t="str">
        <f>IFERROR(__xludf.DUMMYFUNCTION("""COMPUTED_VALUE"""),"ABC")</f>
        <v>ABC</v>
      </c>
      <c r="G171" t="str">
        <f>IFERROR(__xludf.DUMMYFUNCTION("""COMPUTED_VALUE"""),"Houston at (4) Oklahoma ")</f>
        <v>Houston at (4) Oklahoma </v>
      </c>
      <c r="H171" t="str">
        <f>IFERROR(__xludf.DUMMYFUNCTION("""COMPUTED_VALUE"""),"SUN, SEP 1 7:30 PM ET")</f>
        <v>SUN, SEP 1 7:30 PM ET</v>
      </c>
      <c r="I171" t="str">
        <f>IFERROR(__xludf.DUMMYFUNCTION("""COMPUTED_VALUE"""),"24½")</f>
        <v>24½</v>
      </c>
      <c r="J171">
        <f>IFERROR(__xludf.DUMMYFUNCTION("""COMPUTED_VALUE"""),83.0)</f>
        <v>83</v>
      </c>
      <c r="K171" t="str">
        <f>IFERROR(__xludf.DUMMYFUNCTION("""COMPUTED_VALUE"""),"Jeannine")</f>
        <v>Jeannine</v>
      </c>
      <c r="L171">
        <f>IFERROR(__xludf.DUMMYFUNCTION("""COMPUTED_VALUE"""),9999.0)</f>
        <v>9999</v>
      </c>
      <c r="M171" s="124">
        <v>1.0</v>
      </c>
    </row>
    <row r="172">
      <c r="A172" s="151">
        <f>IFERROR(__xludf.DUMMYFUNCTION("""COMPUTED_VALUE"""),43709.147748564814)</f>
        <v>43709.14775</v>
      </c>
      <c r="B172" t="str">
        <f>IFERROR(__xludf.DUMMYFUNCTION("""COMPUTED_VALUE"""),"Jeannine")</f>
        <v>Jeannine</v>
      </c>
      <c r="C172" t="str">
        <f>IFERROR(__xludf.DUMMYFUNCTION("""COMPUTED_VALUE"""),"UAB")</f>
        <v>UAB</v>
      </c>
      <c r="D172">
        <f>IFERROR(__xludf.DUMMYFUNCTION("""COMPUTED_VALUE"""),1.0)</f>
        <v>1</v>
      </c>
      <c r="E172">
        <f>IFERROR(__xludf.DUMMYFUNCTION("""COMPUTED_VALUE"""),0.0)</f>
        <v>0</v>
      </c>
      <c r="F172" t="str">
        <f>IFERROR(__xludf.DUMMYFUNCTION("""COMPUTED_VALUE"""),"espn+ Video")</f>
        <v>espn+ Video</v>
      </c>
      <c r="G172" t="str">
        <f>IFERROR(__xludf.DUMMYFUNCTION("""COMPUTED_VALUE"""),"Alabama State 19 at UAB 24")</f>
        <v>Alabama State 19 at UAB 24</v>
      </c>
      <c r="H172" t="str">
        <f>IFERROR(__xludf.DUMMYFUNCTION("""COMPUTED_VALUE"""),"FINAL")</f>
        <v>FINAL</v>
      </c>
      <c r="I172" t="str">
        <f>IFERROR(__xludf.DUMMYFUNCTION("""COMPUTED_VALUE"""),"-42½")</f>
        <v>-42½</v>
      </c>
      <c r="J172" t="str">
        <f>IFERROR(__xludf.DUMMYFUNCTION("""COMPUTED_VALUE"""),"51½")</f>
        <v>51½</v>
      </c>
      <c r="K172" t="str">
        <f>IFERROR(__xludf.DUMMYFUNCTION("""COMPUTED_VALUE"""),"Undrafted")</f>
        <v>Undrafted</v>
      </c>
      <c r="L172">
        <f>IFERROR(__xludf.DUMMYFUNCTION("""COMPUTED_VALUE"""),9999.0)</f>
        <v>9999</v>
      </c>
      <c r="M172" s="124">
        <v>1.0</v>
      </c>
    </row>
    <row r="173">
      <c r="A173" s="151">
        <f>IFERROR(__xludf.DUMMYFUNCTION("""COMPUTED_VALUE"""),43709.147748564814)</f>
        <v>43709.14775</v>
      </c>
      <c r="B173" t="str">
        <f>IFERROR(__xludf.DUMMYFUNCTION("""COMPUTED_VALUE"""),"Jeannine")</f>
        <v>Jeannine</v>
      </c>
      <c r="C173" t="str">
        <f>IFERROR(__xludf.DUMMYFUNCTION("""COMPUTED_VALUE"""),"San José State")</f>
        <v>San José State</v>
      </c>
      <c r="D173">
        <f>IFERROR(__xludf.DUMMYFUNCTION("""COMPUTED_VALUE"""),1.0)</f>
        <v>1</v>
      </c>
      <c r="E173">
        <f>IFERROR(__xludf.DUMMYFUNCTION("""COMPUTED_VALUE"""),0.0)</f>
        <v>0</v>
      </c>
      <c r="F173" t="str">
        <f>IFERROR(__xludf.DUMMYFUNCTION("""COMPUTED_VALUE"""),"NA")</f>
        <v>NA</v>
      </c>
      <c r="G173" t="str">
        <f>IFERROR(__xludf.DUMMYFUNCTION("""COMPUTED_VALUE"""),"Northern Colorado 18 at San José State 35")</f>
        <v>Northern Colorado 18 at San José State 35</v>
      </c>
      <c r="H173" t="str">
        <f>IFERROR(__xludf.DUMMYFUNCTION("""COMPUTED_VALUE"""),"FINAL")</f>
        <v>FINAL</v>
      </c>
      <c r="I173" t="str">
        <f>IFERROR(__xludf.DUMMYFUNCTION("""COMPUTED_VALUE"""),"-10½")</f>
        <v>-10½</v>
      </c>
      <c r="J173" t="str">
        <f>IFERROR(__xludf.DUMMYFUNCTION("""COMPUTED_VALUE"""),"59½")</f>
        <v>59½</v>
      </c>
      <c r="K173" t="str">
        <f>IFERROR(__xludf.DUMMYFUNCTION("""COMPUTED_VALUE"""),"Undrafted")</f>
        <v>Undrafted</v>
      </c>
      <c r="L173">
        <f>IFERROR(__xludf.DUMMYFUNCTION("""COMPUTED_VALUE"""),9999.0)</f>
        <v>9999</v>
      </c>
      <c r="M173" s="124">
        <v>1.0</v>
      </c>
    </row>
    <row r="174">
      <c r="A174" s="151">
        <f>IFERROR(__xludf.DUMMYFUNCTION("""COMPUTED_VALUE"""),43709.147748564814)</f>
        <v>43709.14775</v>
      </c>
      <c r="B174" t="str">
        <f>IFERROR(__xludf.DUMMYFUNCTION("""COMPUTED_VALUE"""),"Jeannine")</f>
        <v>Jeannine</v>
      </c>
      <c r="C174" t="str">
        <f>IFERROR(__xludf.DUMMYFUNCTION("""COMPUTED_VALUE"""),"Colorado")</f>
        <v>Colorado</v>
      </c>
      <c r="D174">
        <f>IFERROR(__xludf.DUMMYFUNCTION("""COMPUTED_VALUE"""),1.0)</f>
        <v>1</v>
      </c>
      <c r="E174">
        <f>IFERROR(__xludf.DUMMYFUNCTION("""COMPUTED_VALUE"""),0.0)</f>
        <v>0</v>
      </c>
      <c r="F174" t="str">
        <f>IFERROR(__xludf.DUMMYFUNCTION("""COMPUTED_VALUE"""),"ESPN")</f>
        <v>ESPN</v>
      </c>
      <c r="G174" t="str">
        <f>IFERROR(__xludf.DUMMYFUNCTION("""COMPUTED_VALUE"""),"Colorado State 31 at Colorado 52")</f>
        <v>Colorado State 31 at Colorado 52</v>
      </c>
      <c r="H174" t="str">
        <f>IFERROR(__xludf.DUMMYFUNCTION("""COMPUTED_VALUE"""),"FINAL")</f>
        <v>FINAL</v>
      </c>
      <c r="I174">
        <f>IFERROR(__xludf.DUMMYFUNCTION("""COMPUTED_VALUE"""),-13.0)</f>
        <v>-13</v>
      </c>
      <c r="J174" t="str">
        <f>IFERROR(__xludf.DUMMYFUNCTION("""COMPUTED_VALUE"""),"58½")</f>
        <v>58½</v>
      </c>
      <c r="K174" t="str">
        <f>IFERROR(__xludf.DUMMYFUNCTION("""COMPUTED_VALUE"""),"Brad")</f>
        <v>Brad</v>
      </c>
      <c r="L174">
        <f>IFERROR(__xludf.DUMMYFUNCTION("""COMPUTED_VALUE"""),9999.0)</f>
        <v>9999</v>
      </c>
      <c r="M174" s="124">
        <v>1.0</v>
      </c>
    </row>
    <row r="175">
      <c r="A175" s="151">
        <f>IFERROR(__xludf.DUMMYFUNCTION("""COMPUTED_VALUE"""),43709.147748564814)</f>
        <v>43709.14775</v>
      </c>
      <c r="B175" t="str">
        <f>IFERROR(__xludf.DUMMYFUNCTION("""COMPUTED_VALUE"""),"Jeannine")</f>
        <v>Jeannine</v>
      </c>
      <c r="C175" t="str">
        <f>IFERROR(__xludf.DUMMYFUNCTION("""COMPUTED_VALUE"""),"Mississippi State")</f>
        <v>Mississippi State</v>
      </c>
      <c r="D175">
        <f>IFERROR(__xludf.DUMMYFUNCTION("""COMPUTED_VALUE"""),1.0)</f>
        <v>1</v>
      </c>
      <c r="E175">
        <f>IFERROR(__xludf.DUMMYFUNCTION("""COMPUTED_VALUE"""),0.0)</f>
        <v>0</v>
      </c>
      <c r="F175" t="str">
        <f>IFERROR(__xludf.DUMMYFUNCTION("""COMPUTED_VALUE"""),"NA")</f>
        <v>NA</v>
      </c>
      <c r="G175" t="str">
        <f>IFERROR(__xludf.DUMMYFUNCTION("""COMPUTED_VALUE"""),"Mississippi State 38 at UL Lafayette 28")</f>
        <v>Mississippi State 38 at UL Lafayette 28</v>
      </c>
      <c r="H175" t="str">
        <f>IFERROR(__xludf.DUMMYFUNCTION("""COMPUTED_VALUE"""),"FINAL")</f>
        <v>FINAL</v>
      </c>
      <c r="I175" t="str">
        <f>IFERROR(__xludf.DUMMYFUNCTION("""COMPUTED_VALUE"""),"-20½")</f>
        <v>-20½</v>
      </c>
      <c r="J175" t="str">
        <f>IFERROR(__xludf.DUMMYFUNCTION("""COMPUTED_VALUE"""),"57½")</f>
        <v>57½</v>
      </c>
      <c r="K175" t="str">
        <f>IFERROR(__xludf.DUMMYFUNCTION("""COMPUTED_VALUE"""),"Gary")</f>
        <v>Gary</v>
      </c>
      <c r="L175">
        <f>IFERROR(__xludf.DUMMYFUNCTION("""COMPUTED_VALUE"""),9999.0)</f>
        <v>9999</v>
      </c>
      <c r="M175" s="124">
        <v>1.0</v>
      </c>
    </row>
    <row r="176">
      <c r="A176" s="151">
        <f>IFERROR(__xludf.DUMMYFUNCTION("""COMPUTED_VALUE"""),43709.147748564814)</f>
        <v>43709.14775</v>
      </c>
      <c r="B176" t="str">
        <f>IFERROR(__xludf.DUMMYFUNCTION("""COMPUTED_VALUE"""),"Jeannine")</f>
        <v>Jeannine</v>
      </c>
      <c r="C176" t="str">
        <f>IFERROR(__xludf.DUMMYFUNCTION("""COMPUTED_VALUE"""),"Penn State")</f>
        <v>Penn State</v>
      </c>
      <c r="D176">
        <f>IFERROR(__xludf.DUMMYFUNCTION("""COMPUTED_VALUE"""),1.0)</f>
        <v>1</v>
      </c>
      <c r="E176">
        <f>IFERROR(__xludf.DUMMYFUNCTION("""COMPUTED_VALUE"""),0.0)</f>
        <v>0</v>
      </c>
      <c r="F176" t="str">
        <f>IFERROR(__xludf.DUMMYFUNCTION("""COMPUTED_VALUE"""),"BTN")</f>
        <v>BTN</v>
      </c>
      <c r="G176" t="str">
        <f>IFERROR(__xludf.DUMMYFUNCTION("""COMPUTED_VALUE"""),"Idaho 7 at (14) Penn State 79")</f>
        <v>Idaho 7 at (14) Penn State 79</v>
      </c>
      <c r="H176" t="str">
        <f>IFERROR(__xludf.DUMMYFUNCTION("""COMPUTED_VALUE"""),"FINAL")</f>
        <v>FINAL</v>
      </c>
      <c r="I176">
        <f>IFERROR(__xludf.DUMMYFUNCTION("""COMPUTED_VALUE"""),-40.0)</f>
        <v>-40</v>
      </c>
      <c r="J176" t="str">
        <f>IFERROR(__xludf.DUMMYFUNCTION("""COMPUTED_VALUE"""),"58½")</f>
        <v>58½</v>
      </c>
      <c r="K176" t="str">
        <f>IFERROR(__xludf.DUMMYFUNCTION("""COMPUTED_VALUE"""),"Undrafted")</f>
        <v>Undrafted</v>
      </c>
      <c r="L176">
        <f>IFERROR(__xludf.DUMMYFUNCTION("""COMPUTED_VALUE"""),9999.0)</f>
        <v>9999</v>
      </c>
      <c r="M176" s="124">
        <v>1.0</v>
      </c>
    </row>
    <row r="177">
      <c r="A177" s="151">
        <f>IFERROR(__xludf.DUMMYFUNCTION("""COMPUTED_VALUE"""),43709.147748564814)</f>
        <v>43709.14775</v>
      </c>
      <c r="B177" t="str">
        <f>IFERROR(__xludf.DUMMYFUNCTION("""COMPUTED_VALUE"""),"Jeannine")</f>
        <v>Jeannine</v>
      </c>
      <c r="C177" t="str">
        <f>IFERROR(__xludf.DUMMYFUNCTION("""COMPUTED_VALUE"""),"Western Michigan")</f>
        <v>Western Michigan</v>
      </c>
      <c r="D177">
        <f>IFERROR(__xludf.DUMMYFUNCTION("""COMPUTED_VALUE"""),1.0)</f>
        <v>1</v>
      </c>
      <c r="E177">
        <f>IFERROR(__xludf.DUMMYFUNCTION("""COMPUTED_VALUE"""),0.0)</f>
        <v>0</v>
      </c>
      <c r="F177" t="str">
        <f>IFERROR(__xludf.DUMMYFUNCTION("""COMPUTED_VALUE"""),"ESPN Extra")</f>
        <v>ESPN Extra</v>
      </c>
      <c r="G177" t="str">
        <f>IFERROR(__xludf.DUMMYFUNCTION("""COMPUTED_VALUE"""),"Monmouth 13 at Western Michigan 48")</f>
        <v>Monmouth 13 at Western Michigan 48</v>
      </c>
      <c r="H177" t="str">
        <f>IFERROR(__xludf.DUMMYFUNCTION("""COMPUTED_VALUE"""),"FINAL")</f>
        <v>FINAL</v>
      </c>
      <c r="I177" t="str">
        <f>IFERROR(__xludf.DUMMYFUNCTION("""COMPUTED_VALUE"""),"-25½")</f>
        <v>-25½</v>
      </c>
      <c r="J177" t="str">
        <f>IFERROR(__xludf.DUMMYFUNCTION("""COMPUTED_VALUE"""),"73½")</f>
        <v>73½</v>
      </c>
      <c r="K177" t="str">
        <f>IFERROR(__xludf.DUMMYFUNCTION("""COMPUTED_VALUE"""),"Undrafted")</f>
        <v>Undrafted</v>
      </c>
      <c r="L177">
        <f>IFERROR(__xludf.DUMMYFUNCTION("""COMPUTED_VALUE"""),9999.0)</f>
        <v>9999</v>
      </c>
      <c r="M177" s="124">
        <v>1.0</v>
      </c>
    </row>
    <row r="178">
      <c r="A178" s="151">
        <f>IFERROR(__xludf.DUMMYFUNCTION("""COMPUTED_VALUE"""),43709.147748564814)</f>
        <v>43709.14775</v>
      </c>
      <c r="B178" t="str">
        <f>IFERROR(__xludf.DUMMYFUNCTION("""COMPUTED_VALUE"""),"Jeannine")</f>
        <v>Jeannine</v>
      </c>
      <c r="C178" t="str">
        <f>IFERROR(__xludf.DUMMYFUNCTION("""COMPUTED_VALUE"""),"SMU")</f>
        <v>SMU</v>
      </c>
      <c r="D178">
        <f>IFERROR(__xludf.DUMMYFUNCTION("""COMPUTED_VALUE"""),1.0)</f>
        <v>1</v>
      </c>
      <c r="E178">
        <f>IFERROR(__xludf.DUMMYFUNCTION("""COMPUTED_VALUE"""),0.0)</f>
        <v>0</v>
      </c>
      <c r="F178" t="str">
        <f>IFERROR(__xludf.DUMMYFUNCTION("""COMPUTED_VALUE"""),"espn+ Video")</f>
        <v>espn+ Video</v>
      </c>
      <c r="G178" t="str">
        <f>IFERROR(__xludf.DUMMYFUNCTION("""COMPUTED_VALUE"""),"SMU 37 at Arkansas State 30")</f>
        <v>SMU 37 at Arkansas State 30</v>
      </c>
      <c r="H178" t="str">
        <f>IFERROR(__xludf.DUMMYFUNCTION("""COMPUTED_VALUE"""),"FINAL")</f>
        <v>FINAL</v>
      </c>
      <c r="I178" t="str">
        <f>IFERROR(__xludf.DUMMYFUNCTION("""COMPUTED_VALUE"""),"2½")</f>
        <v>2½</v>
      </c>
      <c r="J178" t="str">
        <f>IFERROR(__xludf.DUMMYFUNCTION("""COMPUTED_VALUE"""),"57½")</f>
        <v>57½</v>
      </c>
      <c r="K178" t="str">
        <f>IFERROR(__xludf.DUMMYFUNCTION("""COMPUTED_VALUE"""),"Nico")</f>
        <v>Nico</v>
      </c>
      <c r="L178">
        <f>IFERROR(__xludf.DUMMYFUNCTION("""COMPUTED_VALUE"""),9999.0)</f>
        <v>9999</v>
      </c>
      <c r="M178" s="124">
        <v>1.0</v>
      </c>
    </row>
    <row r="179">
      <c r="A179" s="151">
        <f>IFERROR(__xludf.DUMMYFUNCTION("""COMPUTED_VALUE"""),43709.147748564814)</f>
        <v>43709.14775</v>
      </c>
      <c r="B179" t="str">
        <f>IFERROR(__xludf.DUMMYFUNCTION("""COMPUTED_VALUE"""),"Jeannine")</f>
        <v>Jeannine</v>
      </c>
      <c r="C179" t="str">
        <f>IFERROR(__xludf.DUMMYFUNCTION("""COMPUTED_VALUE"""),"Virginia")</f>
        <v>Virginia</v>
      </c>
      <c r="D179">
        <f>IFERROR(__xludf.DUMMYFUNCTION("""COMPUTED_VALUE"""),1.0)</f>
        <v>1</v>
      </c>
      <c r="E179">
        <f>IFERROR(__xludf.DUMMYFUNCTION("""COMPUTED_VALUE"""),0.0)</f>
        <v>0</v>
      </c>
      <c r="F179" t="str">
        <f>IFERROR(__xludf.DUMMYFUNCTION("""COMPUTED_VALUE"""),"ACC Network")</f>
        <v>ACC Network</v>
      </c>
      <c r="G179" t="str">
        <f>IFERROR(__xludf.DUMMYFUNCTION("""COMPUTED_VALUE"""),"Virginia 30 at Pittsburgh 14")</f>
        <v>Virginia 30 at Pittsburgh 14</v>
      </c>
      <c r="H179" t="str">
        <f>IFERROR(__xludf.DUMMYFUNCTION("""COMPUTED_VALUE"""),"FINAL")</f>
        <v>FINAL</v>
      </c>
      <c r="I179" t="str">
        <f>IFERROR(__xludf.DUMMYFUNCTION("""COMPUTED_VALUE"""),"-2½")</f>
        <v>-2½</v>
      </c>
      <c r="J179">
        <f>IFERROR(__xludf.DUMMYFUNCTION("""COMPUTED_VALUE"""),46.0)</f>
        <v>46</v>
      </c>
      <c r="K179" t="str">
        <f>IFERROR(__xludf.DUMMYFUNCTION("""COMPUTED_VALUE"""),"Gary")</f>
        <v>Gary</v>
      </c>
      <c r="L179">
        <f>IFERROR(__xludf.DUMMYFUNCTION("""COMPUTED_VALUE"""),9999.0)</f>
        <v>9999</v>
      </c>
      <c r="M179" s="124">
        <v>1.0</v>
      </c>
    </row>
    <row r="180">
      <c r="A180" s="151">
        <f>IFERROR(__xludf.DUMMYFUNCTION("""COMPUTED_VALUE"""),43709.147748564814)</f>
        <v>43709.14775</v>
      </c>
      <c r="B180" t="str">
        <f>IFERROR(__xludf.DUMMYFUNCTION("""COMPUTED_VALUE"""),"Jeannine")</f>
        <v>Jeannine</v>
      </c>
      <c r="C180" t="str">
        <f>IFERROR(__xludf.DUMMYFUNCTION("""COMPUTED_VALUE"""),"UL Monroe")</f>
        <v>UL Monroe</v>
      </c>
      <c r="D180">
        <f>IFERROR(__xludf.DUMMYFUNCTION("""COMPUTED_VALUE"""),1.0)</f>
        <v>1</v>
      </c>
      <c r="E180">
        <f>IFERROR(__xludf.DUMMYFUNCTION("""COMPUTED_VALUE"""),0.0)</f>
        <v>0</v>
      </c>
      <c r="F180" t="str">
        <f>IFERROR(__xludf.DUMMYFUNCTION("""COMPUTED_VALUE"""),"NA")</f>
        <v>NA</v>
      </c>
      <c r="G180" t="str">
        <f>IFERROR(__xludf.DUMMYFUNCTION("""COMPUTED_VALUE"""),"Grambling 9 at UL Monroe 31")</f>
        <v>Grambling 9 at UL Monroe 31</v>
      </c>
      <c r="H180" t="str">
        <f>IFERROR(__xludf.DUMMYFUNCTION("""COMPUTED_VALUE"""),"FINAL")</f>
        <v>FINAL</v>
      </c>
      <c r="I180" t="str">
        <f>IFERROR(__xludf.DUMMYFUNCTION("""COMPUTED_VALUE"""),"-28½")</f>
        <v>-28½</v>
      </c>
      <c r="J180" t="str">
        <f>IFERROR(__xludf.DUMMYFUNCTION("""COMPUTED_VALUE"""),"58½")</f>
        <v>58½</v>
      </c>
      <c r="K180" t="str">
        <f>IFERROR(__xludf.DUMMYFUNCTION("""COMPUTED_VALUE"""),"Undrafted")</f>
        <v>Undrafted</v>
      </c>
      <c r="L180">
        <f>IFERROR(__xludf.DUMMYFUNCTION("""COMPUTED_VALUE"""),9999.0)</f>
        <v>9999</v>
      </c>
      <c r="M180" s="124">
        <v>1.0</v>
      </c>
    </row>
    <row r="181">
      <c r="A181" s="151">
        <f>IFERROR(__xludf.DUMMYFUNCTION("""COMPUTED_VALUE"""),43709.147748564814)</f>
        <v>43709.14775</v>
      </c>
      <c r="B181" t="str">
        <f>IFERROR(__xludf.DUMMYFUNCTION("""COMPUTED_VALUE"""),"Jeannine")</f>
        <v>Jeannine</v>
      </c>
      <c r="C181" t="str">
        <f>IFERROR(__xludf.DUMMYFUNCTION("""COMPUTED_VALUE"""),"Oklahoma")</f>
        <v>Oklahoma</v>
      </c>
      <c r="D181">
        <f>IFERROR(__xludf.DUMMYFUNCTION("""COMPUTED_VALUE"""),1.0)</f>
        <v>1</v>
      </c>
      <c r="E181">
        <f>IFERROR(__xludf.DUMMYFUNCTION("""COMPUTED_VALUE"""),0.0)</f>
        <v>0</v>
      </c>
      <c r="F181" t="str">
        <f>IFERROR(__xludf.DUMMYFUNCTION("""COMPUTED_VALUE"""),"ABC")</f>
        <v>ABC</v>
      </c>
      <c r="G181" t="str">
        <f>IFERROR(__xludf.DUMMYFUNCTION("""COMPUTED_VALUE"""),"Houston 31 at (4) Oklahoma 49")</f>
        <v>Houston 31 at (4) Oklahoma 49</v>
      </c>
      <c r="H181" t="str">
        <f>IFERROR(__xludf.DUMMYFUNCTION("""COMPUTED_VALUE"""),"FINAL")</f>
        <v>FINAL</v>
      </c>
      <c r="I181" t="str">
        <f>IFERROR(__xludf.DUMMYFUNCTION("""COMPUTED_VALUE"""),"-24½")</f>
        <v>-24½</v>
      </c>
      <c r="J181">
        <f>IFERROR(__xludf.DUMMYFUNCTION("""COMPUTED_VALUE"""),83.0)</f>
        <v>83</v>
      </c>
      <c r="K181" t="str">
        <f>IFERROR(__xludf.DUMMYFUNCTION("""COMPUTED_VALUE"""),"Nico")</f>
        <v>Nico</v>
      </c>
      <c r="L181">
        <f>IFERROR(__xludf.DUMMYFUNCTION("""COMPUTED_VALUE"""),9999.0)</f>
        <v>9999</v>
      </c>
      <c r="M181" s="124">
        <v>1.0</v>
      </c>
    </row>
    <row r="182">
      <c r="A182" s="151">
        <f>IFERROR(__xludf.DUMMYFUNCTION("""COMPUTED_VALUE"""),43709.147748564814)</f>
        <v>43709.14775</v>
      </c>
      <c r="B182" t="str">
        <f>IFERROR(__xludf.DUMMYFUNCTION("""COMPUTED_VALUE"""),"Justin")</f>
        <v>Justin</v>
      </c>
      <c r="C182" t="str">
        <f>IFERROR(__xludf.DUMMYFUNCTION("""COMPUTED_VALUE"""),"Buffalo")</f>
        <v>Buffalo</v>
      </c>
      <c r="D182">
        <f>IFERROR(__xludf.DUMMYFUNCTION("""COMPUTED_VALUE"""),1.0)</f>
        <v>1</v>
      </c>
      <c r="E182">
        <f>IFERROR(__xludf.DUMMYFUNCTION("""COMPUTED_VALUE"""),0.0)</f>
        <v>0</v>
      </c>
      <c r="F182" t="str">
        <f>IFERROR(__xludf.DUMMYFUNCTION("""COMPUTED_VALUE"""),"espn+ Video")</f>
        <v>espn+ Video</v>
      </c>
      <c r="G182" t="str">
        <f>IFERROR(__xludf.DUMMYFUNCTION("""COMPUTED_VALUE"""),"Robert Morris 10 at Buffalo 38")</f>
        <v>Robert Morris 10 at Buffalo 38</v>
      </c>
      <c r="H182" t="str">
        <f>IFERROR(__xludf.DUMMYFUNCTION("""COMPUTED_VALUE"""),"FINAL")</f>
        <v>FINAL</v>
      </c>
      <c r="I182" t="str">
        <f>IFERROR(__xludf.DUMMYFUNCTION("""COMPUTED_VALUE"""),"-48½")</f>
        <v>-48½</v>
      </c>
      <c r="J182" t="str">
        <f>IFERROR(__xludf.DUMMYFUNCTION("""COMPUTED_VALUE"""),"63½")</f>
        <v>63½</v>
      </c>
      <c r="K182" t="str">
        <f>IFERROR(__xludf.DUMMYFUNCTION("""COMPUTED_VALUE"""),"Undrafted")</f>
        <v>Undrafted</v>
      </c>
      <c r="L182">
        <f>IFERROR(__xludf.DUMMYFUNCTION("""COMPUTED_VALUE"""),9999.0)</f>
        <v>9999</v>
      </c>
      <c r="M182" s="124">
        <v>1.0</v>
      </c>
    </row>
    <row r="183">
      <c r="A183" s="151">
        <f>IFERROR(__xludf.DUMMYFUNCTION("""COMPUTED_VALUE"""),43709.147748564814)</f>
        <v>43709.14775</v>
      </c>
      <c r="B183" t="str">
        <f>IFERROR(__xludf.DUMMYFUNCTION("""COMPUTED_VALUE"""),"Justin")</f>
        <v>Justin</v>
      </c>
      <c r="C183" t="str">
        <f>IFERROR(__xludf.DUMMYFUNCTION("""COMPUTED_VALUE"""),"Western Kentucky")</f>
        <v>Western Kentucky</v>
      </c>
      <c r="D183">
        <f>IFERROR(__xludf.DUMMYFUNCTION("""COMPUTED_VALUE"""),0.0)</f>
        <v>0</v>
      </c>
      <c r="E183">
        <f>IFERROR(__xludf.DUMMYFUNCTION("""COMPUTED_VALUE"""),1.0)</f>
        <v>1</v>
      </c>
      <c r="F183" t="str">
        <f>IFERROR(__xludf.DUMMYFUNCTION("""COMPUTED_VALUE"""),"espn+ Video")</f>
        <v>espn+ Video</v>
      </c>
      <c r="G183" t="str">
        <f>IFERROR(__xludf.DUMMYFUNCTION("""COMPUTED_VALUE"""),"Central Arkansas 35 at Western Kentucky 28")</f>
        <v>Central Arkansas 35 at Western Kentucky 28</v>
      </c>
      <c r="H183" t="str">
        <f>IFERROR(__xludf.DUMMYFUNCTION("""COMPUTED_VALUE"""),"FINAL")</f>
        <v>FINAL</v>
      </c>
      <c r="I183" t="str">
        <f>IFERROR(__xludf.DUMMYFUNCTION("""COMPUTED_VALUE"""),"-8½")</f>
        <v>-8½</v>
      </c>
      <c r="J183" t="str">
        <f>IFERROR(__xludf.DUMMYFUNCTION("""COMPUTED_VALUE"""),"54½")</f>
        <v>54½</v>
      </c>
      <c r="K183" t="str">
        <f>IFERROR(__xludf.DUMMYFUNCTION("""COMPUTED_VALUE"""),"Undrafted")</f>
        <v>Undrafted</v>
      </c>
      <c r="L183">
        <f>IFERROR(__xludf.DUMMYFUNCTION("""COMPUTED_VALUE"""),9999.0)</f>
        <v>9999</v>
      </c>
      <c r="M183" s="124">
        <v>1.0</v>
      </c>
    </row>
    <row r="184">
      <c r="A184" s="151">
        <f>IFERROR(__xludf.DUMMYFUNCTION("""COMPUTED_VALUE"""),43709.147748564814)</f>
        <v>43709.14775</v>
      </c>
      <c r="B184" t="str">
        <f>IFERROR(__xludf.DUMMYFUNCTION("""COMPUTED_VALUE"""),"Justin")</f>
        <v>Justin</v>
      </c>
      <c r="C184" t="str">
        <f>IFERROR(__xludf.DUMMYFUNCTION("""COMPUTED_VALUE"""),"South Florida")</f>
        <v>South Florida</v>
      </c>
      <c r="D184">
        <f>IFERROR(__xludf.DUMMYFUNCTION("""COMPUTED_VALUE"""),0.0)</f>
        <v>0</v>
      </c>
      <c r="E184">
        <f>IFERROR(__xludf.DUMMYFUNCTION("""COMPUTED_VALUE"""),1.0)</f>
        <v>1</v>
      </c>
      <c r="F184" t="str">
        <f>IFERROR(__xludf.DUMMYFUNCTION("""COMPUTED_VALUE"""),"ESPN")</f>
        <v>ESPN</v>
      </c>
      <c r="G184" t="str">
        <f>IFERROR(__xludf.DUMMYFUNCTION("""COMPUTED_VALUE"""),"(17) Wisconsin 49 at South Florida 0")</f>
        <v>(17) Wisconsin 49 at South Florida 0</v>
      </c>
      <c r="H184" t="str">
        <f>IFERROR(__xludf.DUMMYFUNCTION("""COMPUTED_VALUE"""),"FINAL")</f>
        <v>FINAL</v>
      </c>
      <c r="I184" t="str">
        <f>IFERROR(__xludf.DUMMYFUNCTION("""COMPUTED_VALUE"""),"13½")</f>
        <v>13½</v>
      </c>
      <c r="J184" t="str">
        <f>IFERROR(__xludf.DUMMYFUNCTION("""COMPUTED_VALUE"""),"57½")</f>
        <v>57½</v>
      </c>
      <c r="K184" t="str">
        <f>IFERROR(__xludf.DUMMYFUNCTION("""COMPUTED_VALUE"""),"Janice/Mike")</f>
        <v>Janice/Mike</v>
      </c>
      <c r="L184">
        <f>IFERROR(__xludf.DUMMYFUNCTION("""COMPUTED_VALUE"""),9999.0)</f>
        <v>9999</v>
      </c>
      <c r="M184" s="124">
        <v>1.0</v>
      </c>
    </row>
    <row r="185">
      <c r="A185" s="151">
        <f>IFERROR(__xludf.DUMMYFUNCTION("""COMPUTED_VALUE"""),43709.147748564814)</f>
        <v>43709.14775</v>
      </c>
      <c r="B185" t="str">
        <f>IFERROR(__xludf.DUMMYFUNCTION("""COMPUTED_VALUE"""),"Justin")</f>
        <v>Justin</v>
      </c>
      <c r="C185" t="str">
        <f>IFERROR(__xludf.DUMMYFUNCTION("""COMPUTED_VALUE"""),"Duke")</f>
        <v>Duke</v>
      </c>
      <c r="D185">
        <f>IFERROR(__xludf.DUMMYFUNCTION("""COMPUTED_VALUE"""),0.0)</f>
        <v>0</v>
      </c>
      <c r="E185">
        <f>IFERROR(__xludf.DUMMYFUNCTION("""COMPUTED_VALUE"""),1.0)</f>
        <v>1</v>
      </c>
      <c r="F185" t="str">
        <f>IFERROR(__xludf.DUMMYFUNCTION("""COMPUTED_VALUE"""),"NA")</f>
        <v>NA</v>
      </c>
      <c r="G185" t="str">
        <f>IFERROR(__xludf.DUMMYFUNCTION("""COMPUTED_VALUE"""),"Duke 3 at (2) Alabama 42")</f>
        <v>Duke 3 at (2) Alabama 42</v>
      </c>
      <c r="H185" t="str">
        <f>IFERROR(__xludf.DUMMYFUNCTION("""COMPUTED_VALUE"""),"FINAL")</f>
        <v>FINAL</v>
      </c>
      <c r="I185">
        <f>IFERROR(__xludf.DUMMYFUNCTION("""COMPUTED_VALUE"""),35.0)</f>
        <v>35</v>
      </c>
      <c r="J185">
        <f>IFERROR(__xludf.DUMMYFUNCTION("""COMPUTED_VALUE"""),58.0)</f>
        <v>58</v>
      </c>
      <c r="K185" t="str">
        <f>IFERROR(__xludf.DUMMYFUNCTION("""COMPUTED_VALUE"""),"DavEmily")</f>
        <v>DavEmily</v>
      </c>
      <c r="L185">
        <f>IFERROR(__xludf.DUMMYFUNCTION("""COMPUTED_VALUE"""),9999.0)</f>
        <v>9999</v>
      </c>
      <c r="M185" s="124">
        <v>1.0</v>
      </c>
    </row>
    <row r="186">
      <c r="A186" s="151">
        <f>IFERROR(__xludf.DUMMYFUNCTION("""COMPUTED_VALUE"""),43709.147748564814)</f>
        <v>43709.14775</v>
      </c>
      <c r="B186" t="str">
        <f>IFERROR(__xludf.DUMMYFUNCTION("""COMPUTED_VALUE"""),"Justin")</f>
        <v>Justin</v>
      </c>
      <c r="C186" t="str">
        <f>IFERROR(__xludf.DUMMYFUNCTION("""COMPUTED_VALUE"""),"Tennessee")</f>
        <v>Tennessee</v>
      </c>
      <c r="D186">
        <f>IFERROR(__xludf.DUMMYFUNCTION("""COMPUTED_VALUE"""),0.0)</f>
        <v>0</v>
      </c>
      <c r="E186">
        <f>IFERROR(__xludf.DUMMYFUNCTION("""COMPUTED_VALUE"""),1.0)</f>
        <v>1</v>
      </c>
      <c r="F186" t="str">
        <f>IFERROR(__xludf.DUMMYFUNCTION("""COMPUTED_VALUE"""),"ESPNU")</f>
        <v>ESPNU</v>
      </c>
      <c r="G186" t="str">
        <f>IFERROR(__xludf.DUMMYFUNCTION("""COMPUTED_VALUE"""),"Georgia State 38 at Tennessee 30")</f>
        <v>Georgia State 38 at Tennessee 30</v>
      </c>
      <c r="H186" t="str">
        <f>IFERROR(__xludf.DUMMYFUNCTION("""COMPUTED_VALUE"""),"FINAL")</f>
        <v>FINAL</v>
      </c>
      <c r="I186">
        <f>IFERROR(__xludf.DUMMYFUNCTION("""COMPUTED_VALUE"""),-26.0)</f>
        <v>-26</v>
      </c>
      <c r="J186" t="str">
        <f>IFERROR(__xludf.DUMMYFUNCTION("""COMPUTED_VALUE"""),"57½")</f>
        <v>57½</v>
      </c>
      <c r="K186" t="str">
        <f>IFERROR(__xludf.DUMMYFUNCTION("""COMPUTED_VALUE"""),"Adam")</f>
        <v>Adam</v>
      </c>
      <c r="L186">
        <f>IFERROR(__xludf.DUMMYFUNCTION("""COMPUTED_VALUE"""),9999.0)</f>
        <v>9999</v>
      </c>
      <c r="M186" s="124">
        <v>1.0</v>
      </c>
    </row>
    <row r="187">
      <c r="A187" s="151">
        <f>IFERROR(__xludf.DUMMYFUNCTION("""COMPUTED_VALUE"""),43709.147748564814)</f>
        <v>43709.14775</v>
      </c>
      <c r="B187" t="str">
        <f>IFERROR(__xludf.DUMMYFUNCTION("""COMPUTED_VALUE"""),"Justin")</f>
        <v>Justin</v>
      </c>
      <c r="C187" t="str">
        <f>IFERROR(__xludf.DUMMYFUNCTION("""COMPUTED_VALUE"""),"Appalachian State")</f>
        <v>Appalachian State</v>
      </c>
      <c r="D187">
        <f>IFERROR(__xludf.DUMMYFUNCTION("""COMPUTED_VALUE"""),1.0)</f>
        <v>1</v>
      </c>
      <c r="E187">
        <f>IFERROR(__xludf.DUMMYFUNCTION("""COMPUTED_VALUE"""),0.0)</f>
        <v>0</v>
      </c>
      <c r="F187" t="str">
        <f>IFERROR(__xludf.DUMMYFUNCTION("""COMPUTED_VALUE"""),"espn+ Video")</f>
        <v>espn+ Video</v>
      </c>
      <c r="G187" t="str">
        <f>IFERROR(__xludf.DUMMYFUNCTION("""COMPUTED_VALUE"""),"East Tennessee State 7 at Appalachian State 42")</f>
        <v>East Tennessee State 7 at Appalachian State 42</v>
      </c>
      <c r="H187" t="str">
        <f>IFERROR(__xludf.DUMMYFUNCTION("""COMPUTED_VALUE"""),"FINAL")</f>
        <v>FINAL</v>
      </c>
      <c r="I187" t="str">
        <f>IFERROR(__xludf.DUMMYFUNCTION("""COMPUTED_VALUE"""),"-32½")</f>
        <v>-32½</v>
      </c>
      <c r="J187" t="str">
        <f>IFERROR(__xludf.DUMMYFUNCTION("""COMPUTED_VALUE"""),"51½")</f>
        <v>51½</v>
      </c>
      <c r="K187" t="str">
        <f>IFERROR(__xludf.DUMMYFUNCTION("""COMPUTED_VALUE"""),"Undrafted")</f>
        <v>Undrafted</v>
      </c>
      <c r="L187">
        <f>IFERROR(__xludf.DUMMYFUNCTION("""COMPUTED_VALUE"""),9999.0)</f>
        <v>9999</v>
      </c>
      <c r="M187" s="124">
        <v>1.0</v>
      </c>
    </row>
    <row r="188">
      <c r="A188" s="151">
        <f>IFERROR(__xludf.DUMMYFUNCTION("""COMPUTED_VALUE"""),43709.147748564814)</f>
        <v>43709.14775</v>
      </c>
      <c r="B188" t="str">
        <f>IFERROR(__xludf.DUMMYFUNCTION("""COMPUTED_VALUE"""),"Justin")</f>
        <v>Justin</v>
      </c>
      <c r="C188" t="str">
        <f>IFERROR(__xludf.DUMMYFUNCTION("""COMPUTED_VALUE"""),"Baylor")</f>
        <v>Baylor</v>
      </c>
      <c r="D188">
        <f>IFERROR(__xludf.DUMMYFUNCTION("""COMPUTED_VALUE"""),1.0)</f>
        <v>1</v>
      </c>
      <c r="E188">
        <f>IFERROR(__xludf.DUMMYFUNCTION("""COMPUTED_VALUE"""),0.0)</f>
        <v>0</v>
      </c>
      <c r="F188" t="str">
        <f>IFERROR(__xludf.DUMMYFUNCTION("""COMPUTED_VALUE"""),"espn+ Video")</f>
        <v>espn+ Video</v>
      </c>
      <c r="G188" t="str">
        <f>IFERROR(__xludf.DUMMYFUNCTION("""COMPUTED_VALUE"""),"Stephen F. Austin 17 at Baylor 56")</f>
        <v>Stephen F. Austin 17 at Baylor 56</v>
      </c>
      <c r="H188" t="str">
        <f>IFERROR(__xludf.DUMMYFUNCTION("""COMPUTED_VALUE"""),"FINAL")</f>
        <v>FINAL</v>
      </c>
      <c r="I188">
        <f>IFERROR(__xludf.DUMMYFUNCTION("""COMPUTED_VALUE"""),-38.0)</f>
        <v>-38</v>
      </c>
      <c r="J188" t="str">
        <f>IFERROR(__xludf.DUMMYFUNCTION("""COMPUTED_VALUE"""),"57½")</f>
        <v>57½</v>
      </c>
      <c r="K188" t="str">
        <f>IFERROR(__xludf.DUMMYFUNCTION("""COMPUTED_VALUE"""),"Undrafted")</f>
        <v>Undrafted</v>
      </c>
      <c r="L188">
        <f>IFERROR(__xludf.DUMMYFUNCTION("""COMPUTED_VALUE"""),9999.0)</f>
        <v>9999</v>
      </c>
      <c r="M188" s="124">
        <v>1.0</v>
      </c>
    </row>
    <row r="189">
      <c r="A189" s="151">
        <f>IFERROR(__xludf.DUMMYFUNCTION("""COMPUTED_VALUE"""),43709.147748564814)</f>
        <v>43709.14775</v>
      </c>
      <c r="B189" t="str">
        <f>IFERROR(__xludf.DUMMYFUNCTION("""COMPUTED_VALUE"""),"Justin")</f>
        <v>Justin</v>
      </c>
      <c r="C189" t="str">
        <f>IFERROR(__xludf.DUMMYFUNCTION("""COMPUTED_VALUE"""),"Oregon")</f>
        <v>Oregon</v>
      </c>
      <c r="D189">
        <f>IFERROR(__xludf.DUMMYFUNCTION("""COMPUTED_VALUE"""),0.0)</f>
        <v>0</v>
      </c>
      <c r="E189">
        <f>IFERROR(__xludf.DUMMYFUNCTION("""COMPUTED_VALUE"""),1.0)</f>
        <v>1</v>
      </c>
      <c r="F189" t="str">
        <f>IFERROR(__xludf.DUMMYFUNCTION("""COMPUTED_VALUE"""),"NA")</f>
        <v>NA</v>
      </c>
      <c r="G189" t="str">
        <f>IFERROR(__xludf.DUMMYFUNCTION("""COMPUTED_VALUE"""),"(13) Oregon 21 at (16) Auburn 27")</f>
        <v>(13) Oregon 21 at (16) Auburn 27</v>
      </c>
      <c r="H189" t="str">
        <f>IFERROR(__xludf.DUMMYFUNCTION("""COMPUTED_VALUE"""),"FINAL")</f>
        <v>FINAL</v>
      </c>
      <c r="I189" t="str">
        <f>IFERROR(__xludf.DUMMYFUNCTION("""COMPUTED_VALUE"""),"3½")</f>
        <v>3½</v>
      </c>
      <c r="J189" t="str">
        <f>IFERROR(__xludf.DUMMYFUNCTION("""COMPUTED_VALUE"""),"55½")</f>
        <v>55½</v>
      </c>
      <c r="K189" t="str">
        <f>IFERROR(__xludf.DUMMYFUNCTION("""COMPUTED_VALUE"""),"Nick G.")</f>
        <v>Nick G.</v>
      </c>
      <c r="L189">
        <f>IFERROR(__xludf.DUMMYFUNCTION("""COMPUTED_VALUE"""),9999.0)</f>
        <v>9999</v>
      </c>
      <c r="M189" s="124">
        <v>1.0</v>
      </c>
    </row>
    <row r="190">
      <c r="A190" s="151">
        <f>IFERROR(__xludf.DUMMYFUNCTION("""COMPUTED_VALUE"""),43709.147748564814)</f>
        <v>43709.14775</v>
      </c>
      <c r="B190" t="str">
        <f>IFERROR(__xludf.DUMMYFUNCTION("""COMPUTED_VALUE"""),"Justin")</f>
        <v>Justin</v>
      </c>
      <c r="C190" t="str">
        <f>IFERROR(__xludf.DUMMYFUNCTION("""COMPUTED_VALUE"""),"Iowa")</f>
        <v>Iowa</v>
      </c>
      <c r="D190">
        <f>IFERROR(__xludf.DUMMYFUNCTION("""COMPUTED_VALUE"""),1.0)</f>
        <v>1</v>
      </c>
      <c r="E190">
        <f>IFERROR(__xludf.DUMMYFUNCTION("""COMPUTED_VALUE"""),0.0)</f>
        <v>0</v>
      </c>
      <c r="F190" t="str">
        <f>IFERROR(__xludf.DUMMYFUNCTION("""COMPUTED_VALUE"""),"FS1")</f>
        <v>FS1</v>
      </c>
      <c r="G190" t="str">
        <f>IFERROR(__xludf.DUMMYFUNCTION("""COMPUTED_VALUE"""),"Miami-OH 14 at (19) Iowa 38")</f>
        <v>Miami-OH 14 at (19) Iowa 38</v>
      </c>
      <c r="H190" t="str">
        <f>IFERROR(__xludf.DUMMYFUNCTION("""COMPUTED_VALUE"""),"FINAL")</f>
        <v>FINAL</v>
      </c>
      <c r="I190" t="str">
        <f>IFERROR(__xludf.DUMMYFUNCTION("""COMPUTED_VALUE"""),"-21½")</f>
        <v>-21½</v>
      </c>
      <c r="J190" t="str">
        <f>IFERROR(__xludf.DUMMYFUNCTION("""COMPUTED_VALUE"""),"48½")</f>
        <v>48½</v>
      </c>
      <c r="K190" t="str">
        <f>IFERROR(__xludf.DUMMYFUNCTION("""COMPUTED_VALUE"""),"Nico")</f>
        <v>Nico</v>
      </c>
      <c r="L190">
        <f>IFERROR(__xludf.DUMMYFUNCTION("""COMPUTED_VALUE"""),9999.0)</f>
        <v>9999</v>
      </c>
      <c r="M190" s="124">
        <v>1.0</v>
      </c>
    </row>
    <row r="191">
      <c r="A191" s="151">
        <f>IFERROR(__xludf.DUMMYFUNCTION("""COMPUTED_VALUE"""),43709.147748564814)</f>
        <v>43709.14775</v>
      </c>
      <c r="B191" t="str">
        <f>IFERROR(__xludf.DUMMYFUNCTION("""COMPUTED_VALUE"""),"Justin")</f>
        <v>Justin</v>
      </c>
      <c r="C191" t="str">
        <f>IFERROR(__xludf.DUMMYFUNCTION("""COMPUTED_VALUE"""),"UNLV")</f>
        <v>UNLV</v>
      </c>
      <c r="D191">
        <f>IFERROR(__xludf.DUMMYFUNCTION("""COMPUTED_VALUE"""),1.0)</f>
        <v>1</v>
      </c>
      <c r="E191">
        <f>IFERROR(__xludf.DUMMYFUNCTION("""COMPUTED_VALUE"""),0.0)</f>
        <v>0</v>
      </c>
      <c r="F191" t="str">
        <f>IFERROR(__xludf.DUMMYFUNCTION("""COMPUTED_VALUE"""),"TBA")</f>
        <v>TBA</v>
      </c>
      <c r="G191" t="str">
        <f>IFERROR(__xludf.DUMMYFUNCTION("""COMPUTED_VALUE"""),"Southern Utah 23 at UNLV 56")</f>
        <v>Southern Utah 23 at UNLV 56</v>
      </c>
      <c r="H191" t="str">
        <f>IFERROR(__xludf.DUMMYFUNCTION("""COMPUTED_VALUE"""),"FINAL")</f>
        <v>FINAL</v>
      </c>
      <c r="I191">
        <f>IFERROR(__xludf.DUMMYFUNCTION("""COMPUTED_VALUE"""),-24.0)</f>
        <v>-24</v>
      </c>
      <c r="J191" t="str">
        <f>IFERROR(__xludf.DUMMYFUNCTION("""COMPUTED_VALUE"""),"70½")</f>
        <v>70½</v>
      </c>
      <c r="K191" t="str">
        <f>IFERROR(__xludf.DUMMYFUNCTION("""COMPUTED_VALUE"""),"Undrafted")</f>
        <v>Undrafted</v>
      </c>
      <c r="L191">
        <f>IFERROR(__xludf.DUMMYFUNCTION("""COMPUTED_VALUE"""),9999.0)</f>
        <v>9999</v>
      </c>
      <c r="M191" s="124">
        <v>1.0</v>
      </c>
    </row>
    <row r="192">
      <c r="A192" s="151">
        <f>IFERROR(__xludf.DUMMYFUNCTION("""COMPUTED_VALUE"""),43709.147748564814)</f>
        <v>43709.14775</v>
      </c>
      <c r="B192" t="str">
        <f>IFERROR(__xludf.DUMMYFUNCTION("""COMPUTED_VALUE"""),"Adam")</f>
        <v>Adam</v>
      </c>
      <c r="C192" t="str">
        <f>IFERROR(__xludf.DUMMYFUNCTION("""COMPUTED_VALUE"""),"Florida")</f>
        <v>Florida</v>
      </c>
      <c r="D192">
        <f>IFERROR(__xludf.DUMMYFUNCTION("""COMPUTED_VALUE"""),1.0)</f>
        <v>1</v>
      </c>
      <c r="E192">
        <f>IFERROR(__xludf.DUMMYFUNCTION("""COMPUTED_VALUE"""),0.0)</f>
        <v>0</v>
      </c>
      <c r="F192" t="str">
        <f>IFERROR(__xludf.DUMMYFUNCTION("""COMPUTED_VALUE"""),"NA")</f>
        <v>NA</v>
      </c>
      <c r="G192" t="str">
        <f>IFERROR(__xludf.DUMMYFUNCTION("""COMPUTED_VALUE"""),"Miami 20 at (8) Florida 24")</f>
        <v>Miami 20 at (8) Florida 24</v>
      </c>
      <c r="H192" t="str">
        <f>IFERROR(__xludf.DUMMYFUNCTION("""COMPUTED_VALUE"""),"FINAL")</f>
        <v>FINAL</v>
      </c>
      <c r="I192">
        <f>IFERROR(__xludf.DUMMYFUNCTION("""COMPUTED_VALUE"""),-4.0)</f>
        <v>-4</v>
      </c>
      <c r="J192" t="str">
        <f>IFERROR(__xludf.DUMMYFUNCTION("""COMPUTED_VALUE"""),"bye")</f>
        <v>bye</v>
      </c>
      <c r="K192" t="str">
        <f>IFERROR(__xludf.DUMMYFUNCTION("""COMPUTED_VALUE"""),"Brad")</f>
        <v>Brad</v>
      </c>
      <c r="L192">
        <f>IFERROR(__xludf.DUMMYFUNCTION("""COMPUTED_VALUE"""),9999.0)</f>
        <v>9999</v>
      </c>
      <c r="M192" s="124">
        <v>1.0</v>
      </c>
    </row>
    <row r="193">
      <c r="A193" s="151">
        <f>IFERROR(__xludf.DUMMYFUNCTION("""COMPUTED_VALUE"""),43709.147748564814)</f>
        <v>43709.14775</v>
      </c>
      <c r="B193" t="str">
        <f>IFERROR(__xludf.DUMMYFUNCTION("""COMPUTED_VALUE"""),"Adam")</f>
        <v>Adam</v>
      </c>
      <c r="C193" t="str">
        <f>IFERROR(__xludf.DUMMYFUNCTION("""COMPUTED_VALUE"""),"UCF")</f>
        <v>UCF</v>
      </c>
      <c r="D193">
        <f>IFERROR(__xludf.DUMMYFUNCTION("""COMPUTED_VALUE"""),1.0)</f>
        <v>1</v>
      </c>
      <c r="E193">
        <f>IFERROR(__xludf.DUMMYFUNCTION("""COMPUTED_VALUE"""),0.0)</f>
        <v>0</v>
      </c>
      <c r="F193" t="str">
        <f>IFERROR(__xludf.DUMMYFUNCTION("""COMPUTED_VALUE"""),"CBSSN")</f>
        <v>CBSSN</v>
      </c>
      <c r="G193" t="str">
        <f>IFERROR(__xludf.DUMMYFUNCTION("""COMPUTED_VALUE"""),"Florida A&amp;M 0 at (17) UCF 62")</f>
        <v>Florida A&amp;M 0 at (17) UCF 62</v>
      </c>
      <c r="H193" t="str">
        <f>IFERROR(__xludf.DUMMYFUNCTION("""COMPUTED_VALUE"""),"FINAL")</f>
        <v>FINAL</v>
      </c>
      <c r="I193" t="str">
        <f>IFERROR(__xludf.DUMMYFUNCTION("""COMPUTED_VALUE"""),"-47½")</f>
        <v>-47½</v>
      </c>
      <c r="J193" t="str">
        <f>IFERROR(__xludf.DUMMYFUNCTION("""COMPUTED_VALUE"""),"64½")</f>
        <v>64½</v>
      </c>
      <c r="K193" t="str">
        <f>IFERROR(__xludf.DUMMYFUNCTION("""COMPUTED_VALUE"""),"Undrafted")</f>
        <v>Undrafted</v>
      </c>
      <c r="L193">
        <f>IFERROR(__xludf.DUMMYFUNCTION("""COMPUTED_VALUE"""),9999.0)</f>
        <v>9999</v>
      </c>
      <c r="M193" s="124">
        <v>1.0</v>
      </c>
    </row>
    <row r="194">
      <c r="A194" s="151">
        <f>IFERROR(__xludf.DUMMYFUNCTION("""COMPUTED_VALUE"""),43709.147748564814)</f>
        <v>43709.14775</v>
      </c>
      <c r="B194" t="str">
        <f>IFERROR(__xludf.DUMMYFUNCTION("""COMPUTED_VALUE"""),"Adam")</f>
        <v>Adam</v>
      </c>
      <c r="C194" t="str">
        <f>IFERROR(__xludf.DUMMYFUNCTION("""COMPUTED_VALUE"""),"Florida Intl")</f>
        <v>Florida Intl</v>
      </c>
      <c r="D194">
        <f>IFERROR(__xludf.DUMMYFUNCTION("""COMPUTED_VALUE"""),0.0)</f>
        <v>0</v>
      </c>
      <c r="E194">
        <f>IFERROR(__xludf.DUMMYFUNCTION("""COMPUTED_VALUE"""),1.0)</f>
        <v>1</v>
      </c>
      <c r="F194" t="str">
        <f>IFERROR(__xludf.DUMMYFUNCTION("""COMPUTED_VALUE"""),"NA")</f>
        <v>NA</v>
      </c>
      <c r="G194" t="str">
        <f>IFERROR(__xludf.DUMMYFUNCTION("""COMPUTED_VALUE"""),"Florida Intl 14 at Tulane 42")</f>
        <v>Florida Intl 14 at Tulane 42</v>
      </c>
      <c r="H194" t="str">
        <f>IFERROR(__xludf.DUMMYFUNCTION("""COMPUTED_VALUE"""),"FINAL")</f>
        <v>FINAL</v>
      </c>
      <c r="I194">
        <f>IFERROR(__xludf.DUMMYFUNCTION("""COMPUTED_VALUE"""),2.0)</f>
        <v>2</v>
      </c>
      <c r="J194">
        <f>IFERROR(__xludf.DUMMYFUNCTION("""COMPUTED_VALUE"""),57.0)</f>
        <v>57</v>
      </c>
      <c r="K194" t="str">
        <f>IFERROR(__xludf.DUMMYFUNCTION("""COMPUTED_VALUE"""),"Gary")</f>
        <v>Gary</v>
      </c>
      <c r="L194">
        <f>IFERROR(__xludf.DUMMYFUNCTION("""COMPUTED_VALUE"""),9999.0)</f>
        <v>9999</v>
      </c>
      <c r="M194" s="124">
        <v>1.0</v>
      </c>
    </row>
    <row r="195">
      <c r="A195" s="151">
        <f>IFERROR(__xludf.DUMMYFUNCTION("""COMPUTED_VALUE"""),43709.147748564814)</f>
        <v>43709.14775</v>
      </c>
      <c r="B195" t="str">
        <f>IFERROR(__xludf.DUMMYFUNCTION("""COMPUTED_VALUE"""),"Adam")</f>
        <v>Adam</v>
      </c>
      <c r="C195" t="str">
        <f>IFERROR(__xludf.DUMMYFUNCTION("""COMPUTED_VALUE"""),"Wake Forest")</f>
        <v>Wake Forest</v>
      </c>
      <c r="D195">
        <f>IFERROR(__xludf.DUMMYFUNCTION("""COMPUTED_VALUE"""),1.0)</f>
        <v>1</v>
      </c>
      <c r="E195">
        <f>IFERROR(__xludf.DUMMYFUNCTION("""COMPUTED_VALUE"""),0.0)</f>
        <v>0</v>
      </c>
      <c r="F195" t="str">
        <f>IFERROR(__xludf.DUMMYFUNCTION("""COMPUTED_VALUE"""),"ACC Network")</f>
        <v>ACC Network</v>
      </c>
      <c r="G195" t="str">
        <f>IFERROR(__xludf.DUMMYFUNCTION("""COMPUTED_VALUE"""),"Utah State 35 at Wake Forest 38")</f>
        <v>Utah State 35 at Wake Forest 38</v>
      </c>
      <c r="H195" t="str">
        <f>IFERROR(__xludf.DUMMYFUNCTION("""COMPUTED_VALUE"""),"FINAL")</f>
        <v>FINAL</v>
      </c>
      <c r="I195" t="str">
        <f>IFERROR(__xludf.DUMMYFUNCTION("""COMPUTED_VALUE"""),"-3½")</f>
        <v>-3½</v>
      </c>
      <c r="J195" t="str">
        <f>IFERROR(__xludf.DUMMYFUNCTION("""COMPUTED_VALUE"""),"63½")</f>
        <v>63½</v>
      </c>
      <c r="K195" t="str">
        <f>IFERROR(__xludf.DUMMYFUNCTION("""COMPUTED_VALUE"""),"Gary")</f>
        <v>Gary</v>
      </c>
      <c r="L195">
        <f>IFERROR(__xludf.DUMMYFUNCTION("""COMPUTED_VALUE"""),9999.0)</f>
        <v>9999</v>
      </c>
      <c r="M195" s="124">
        <v>1.0</v>
      </c>
    </row>
    <row r="196">
      <c r="A196" s="151">
        <f>IFERROR(__xludf.DUMMYFUNCTION("""COMPUTED_VALUE"""),43709.147748564814)</f>
        <v>43709.14775</v>
      </c>
      <c r="B196" t="str">
        <f>IFERROR(__xludf.DUMMYFUNCTION("""COMPUTED_VALUE"""),"Adam")</f>
        <v>Adam</v>
      </c>
      <c r="C196" t="str">
        <f>IFERROR(__xludf.DUMMYFUNCTION("""COMPUTED_VALUE"""),"Oregon State")</f>
        <v>Oregon State</v>
      </c>
      <c r="D196">
        <f>IFERROR(__xludf.DUMMYFUNCTION("""COMPUTED_VALUE"""),0.0)</f>
        <v>0</v>
      </c>
      <c r="E196">
        <f>IFERROR(__xludf.DUMMYFUNCTION("""COMPUTED_VALUE"""),1.0)</f>
        <v>1</v>
      </c>
      <c r="F196" t="str">
        <f>IFERROR(__xludf.DUMMYFUNCTION("""COMPUTED_VALUE"""),"FS1")</f>
        <v>FS1</v>
      </c>
      <c r="G196" t="str">
        <f>IFERROR(__xludf.DUMMYFUNCTION("""COMPUTED_VALUE"""),"Oklahoma State 52 at Oregon State 36")</f>
        <v>Oklahoma State 52 at Oregon State 36</v>
      </c>
      <c r="H196" t="str">
        <f>IFERROR(__xludf.DUMMYFUNCTION("""COMPUTED_VALUE"""),"FINAL")</f>
        <v>FINAL</v>
      </c>
      <c r="I196">
        <f>IFERROR(__xludf.DUMMYFUNCTION("""COMPUTED_VALUE"""),15.0)</f>
        <v>15</v>
      </c>
      <c r="J196" t="str">
        <f>IFERROR(__xludf.DUMMYFUNCTION("""COMPUTED_VALUE"""),"73½")</f>
        <v>73½</v>
      </c>
      <c r="K196" t="str">
        <f>IFERROR(__xludf.DUMMYFUNCTION("""COMPUTED_VALUE"""),"Brad")</f>
        <v>Brad</v>
      </c>
      <c r="L196">
        <f>IFERROR(__xludf.DUMMYFUNCTION("""COMPUTED_VALUE"""),9999.0)</f>
        <v>9999</v>
      </c>
      <c r="M196" s="124">
        <v>1.0</v>
      </c>
    </row>
    <row r="197">
      <c r="A197" s="151">
        <f>IFERROR(__xludf.DUMMYFUNCTION("""COMPUTED_VALUE"""),43709.147748564814)</f>
        <v>43709.14775</v>
      </c>
      <c r="B197" t="str">
        <f>IFERROR(__xludf.DUMMYFUNCTION("""COMPUTED_VALUE"""),"Adam")</f>
        <v>Adam</v>
      </c>
      <c r="C197" t="str">
        <f>IFERROR(__xludf.DUMMYFUNCTION("""COMPUTED_VALUE"""),"Akron")</f>
        <v>Akron</v>
      </c>
      <c r="D197">
        <f>IFERROR(__xludf.DUMMYFUNCTION("""COMPUTED_VALUE"""),0.0)</f>
        <v>0</v>
      </c>
      <c r="E197">
        <f>IFERROR(__xludf.DUMMYFUNCTION("""COMPUTED_VALUE"""),1.0)</f>
        <v>1</v>
      </c>
      <c r="F197" t="str">
        <f>IFERROR(__xludf.DUMMYFUNCTION("""COMPUTED_VALUE"""),"BTN")</f>
        <v>BTN</v>
      </c>
      <c r="G197" t="str">
        <f>IFERROR(__xludf.DUMMYFUNCTION("""COMPUTED_VALUE"""),"Akron 3 at Illinois 42")</f>
        <v>Akron 3 at Illinois 42</v>
      </c>
      <c r="H197" t="str">
        <f>IFERROR(__xludf.DUMMYFUNCTION("""COMPUTED_VALUE"""),"FINAL")</f>
        <v>FINAL</v>
      </c>
      <c r="I197">
        <f>IFERROR(__xludf.DUMMYFUNCTION("""COMPUTED_VALUE"""),17.0)</f>
        <v>17</v>
      </c>
      <c r="J197">
        <f>IFERROR(__xludf.DUMMYFUNCTION("""COMPUTED_VALUE"""),59.0)</f>
        <v>59</v>
      </c>
      <c r="K197" t="str">
        <f>IFERROR(__xludf.DUMMYFUNCTION("""COMPUTED_VALUE"""),"Undrafted")</f>
        <v>Undrafted</v>
      </c>
      <c r="L197">
        <f>IFERROR(__xludf.DUMMYFUNCTION("""COMPUTED_VALUE"""),9999.0)</f>
        <v>9999</v>
      </c>
      <c r="M197" s="124">
        <v>1.0</v>
      </c>
    </row>
    <row r="198">
      <c r="A198" s="151">
        <f>IFERROR(__xludf.DUMMYFUNCTION("""COMPUTED_VALUE"""),43709.147748564814)</f>
        <v>43709.14775</v>
      </c>
      <c r="B198" t="str">
        <f>IFERROR(__xludf.DUMMYFUNCTION("""COMPUTED_VALUE"""),"Adam")</f>
        <v>Adam</v>
      </c>
      <c r="C198" t="str">
        <f>IFERROR(__xludf.DUMMYFUNCTION("""COMPUTED_VALUE"""),"Air Force")</f>
        <v>Air Force</v>
      </c>
      <c r="D198">
        <f>IFERROR(__xludf.DUMMYFUNCTION("""COMPUTED_VALUE"""),1.0)</f>
        <v>1</v>
      </c>
      <c r="E198">
        <f>IFERROR(__xludf.DUMMYFUNCTION("""COMPUTED_VALUE"""),0.0)</f>
        <v>0</v>
      </c>
      <c r="F198" t="str">
        <f>IFERROR(__xludf.DUMMYFUNCTION("""COMPUTED_VALUE"""),"ESPN Extra")</f>
        <v>ESPN Extra</v>
      </c>
      <c r="G198" t="str">
        <f>IFERROR(__xludf.DUMMYFUNCTION("""COMPUTED_VALUE"""),"Colgate 7 at Air Force 48")</f>
        <v>Colgate 7 at Air Force 48</v>
      </c>
      <c r="H198" t="str">
        <f>IFERROR(__xludf.DUMMYFUNCTION("""COMPUTED_VALUE"""),"FINAL")</f>
        <v>FINAL</v>
      </c>
      <c r="I198" t="str">
        <f>IFERROR(__xludf.DUMMYFUNCTION("""COMPUTED_VALUE"""),"-17½")</f>
        <v>-17½</v>
      </c>
      <c r="J198" t="str">
        <f>IFERROR(__xludf.DUMMYFUNCTION("""COMPUTED_VALUE"""),"43½")</f>
        <v>43½</v>
      </c>
      <c r="K198" t="str">
        <f>IFERROR(__xludf.DUMMYFUNCTION("""COMPUTED_VALUE"""),"Undrafted")</f>
        <v>Undrafted</v>
      </c>
      <c r="L198">
        <f>IFERROR(__xludf.DUMMYFUNCTION("""COMPUTED_VALUE"""),9999.0)</f>
        <v>9999</v>
      </c>
      <c r="M198" s="124">
        <v>1.0</v>
      </c>
    </row>
    <row r="199">
      <c r="A199" s="151">
        <f>IFERROR(__xludf.DUMMYFUNCTION("""COMPUTED_VALUE"""),43709.147748564814)</f>
        <v>43709.14775</v>
      </c>
      <c r="B199" t="str">
        <f>IFERROR(__xludf.DUMMYFUNCTION("""COMPUTED_VALUE"""),"Adam")</f>
        <v>Adam</v>
      </c>
      <c r="C199" t="str">
        <f>IFERROR(__xludf.DUMMYFUNCTION("""COMPUTED_VALUE"""),"Georgia State")</f>
        <v>Georgia State</v>
      </c>
      <c r="D199">
        <f>IFERROR(__xludf.DUMMYFUNCTION("""COMPUTED_VALUE"""),1.0)</f>
        <v>1</v>
      </c>
      <c r="E199">
        <f>IFERROR(__xludf.DUMMYFUNCTION("""COMPUTED_VALUE"""),0.0)</f>
        <v>0</v>
      </c>
      <c r="F199" t="str">
        <f>IFERROR(__xludf.DUMMYFUNCTION("""COMPUTED_VALUE"""),"ESPNU")</f>
        <v>ESPNU</v>
      </c>
      <c r="G199" t="str">
        <f>IFERROR(__xludf.DUMMYFUNCTION("""COMPUTED_VALUE"""),"Georgia State 38 at Tennessee 30")</f>
        <v>Georgia State 38 at Tennessee 30</v>
      </c>
      <c r="H199" t="str">
        <f>IFERROR(__xludf.DUMMYFUNCTION("""COMPUTED_VALUE"""),"FINAL")</f>
        <v>FINAL</v>
      </c>
      <c r="I199">
        <f>IFERROR(__xludf.DUMMYFUNCTION("""COMPUTED_VALUE"""),26.0)</f>
        <v>26</v>
      </c>
      <c r="J199" t="str">
        <f>IFERROR(__xludf.DUMMYFUNCTION("""COMPUTED_VALUE"""),"57½")</f>
        <v>57½</v>
      </c>
      <c r="K199" t="str">
        <f>IFERROR(__xludf.DUMMYFUNCTION("""COMPUTED_VALUE"""),"Justin")</f>
        <v>Justin</v>
      </c>
      <c r="L199">
        <f>IFERROR(__xludf.DUMMYFUNCTION("""COMPUTED_VALUE"""),9999.0)</f>
        <v>9999</v>
      </c>
      <c r="M199" s="124">
        <v>1.0</v>
      </c>
    </row>
    <row r="200">
      <c r="A200" s="151">
        <f>IFERROR(__xludf.DUMMYFUNCTION("""COMPUTED_VALUE"""),43709.147748564814)</f>
        <v>43709.14775</v>
      </c>
      <c r="B200" t="str">
        <f>IFERROR(__xludf.DUMMYFUNCTION("""COMPUTED_VALUE"""),"Adam")</f>
        <v>Adam</v>
      </c>
      <c r="C200" t="str">
        <f>IFERROR(__xludf.DUMMYFUNCTION("""COMPUTED_VALUE"""),"Northwestern")</f>
        <v>Northwestern</v>
      </c>
      <c r="D200">
        <f>IFERROR(__xludf.DUMMYFUNCTION("""COMPUTED_VALUE"""),0.0)</f>
        <v>0</v>
      </c>
      <c r="E200">
        <f>IFERROR(__xludf.DUMMYFUNCTION("""COMPUTED_VALUE"""),1.0)</f>
        <v>1</v>
      </c>
      <c r="F200" t="str">
        <f>IFERROR(__xludf.DUMMYFUNCTION("""COMPUTED_VALUE"""),"FOX")</f>
        <v>FOX</v>
      </c>
      <c r="G200" t="str">
        <f>IFERROR(__xludf.DUMMYFUNCTION("""COMPUTED_VALUE"""),"(25) Northwestern 7 at (23) Stanford 17")</f>
        <v>(25) Northwestern 7 at (23) Stanford 17</v>
      </c>
      <c r="H200" t="str">
        <f>IFERROR(__xludf.DUMMYFUNCTION("""COMPUTED_VALUE"""),"FINAL")</f>
        <v>FINAL</v>
      </c>
      <c r="I200" t="str">
        <f>IFERROR(__xludf.DUMMYFUNCTION("""COMPUTED_VALUE"""),"6½")</f>
        <v>6½</v>
      </c>
      <c r="J200">
        <f>IFERROR(__xludf.DUMMYFUNCTION("""COMPUTED_VALUE"""),47.0)</f>
        <v>47</v>
      </c>
      <c r="K200" t="str">
        <f>IFERROR(__xludf.DUMMYFUNCTION("""COMPUTED_VALUE"""),"Nick G.")</f>
        <v>Nick G.</v>
      </c>
      <c r="L200">
        <f>IFERROR(__xludf.DUMMYFUNCTION("""COMPUTED_VALUE"""),9999.0)</f>
        <v>9999</v>
      </c>
      <c r="M200" s="124">
        <v>1.0</v>
      </c>
    </row>
    <row r="201">
      <c r="A201" s="151">
        <f>IFERROR(__xludf.DUMMYFUNCTION("""COMPUTED_VALUE"""),43709.147748564814)</f>
        <v>43709.14775</v>
      </c>
      <c r="B201" t="str">
        <f>IFERROR(__xludf.DUMMYFUNCTION("""COMPUTED_VALUE"""),"Adam")</f>
        <v>Adam</v>
      </c>
      <c r="C201" t="str">
        <f>IFERROR(__xludf.DUMMYFUNCTION("""COMPUTED_VALUE"""),"Texas")</f>
        <v>Texas</v>
      </c>
      <c r="D201">
        <f>IFERROR(__xludf.DUMMYFUNCTION("""COMPUTED_VALUE"""),1.0)</f>
        <v>1</v>
      </c>
      <c r="E201">
        <f>IFERROR(__xludf.DUMMYFUNCTION("""COMPUTED_VALUE"""),0.0)</f>
        <v>0</v>
      </c>
      <c r="F201" t="str">
        <f>IFERROR(__xludf.DUMMYFUNCTION("""COMPUTED_VALUE"""),"LHN")</f>
        <v>LHN</v>
      </c>
      <c r="G201" t="str">
        <f>IFERROR(__xludf.DUMMYFUNCTION("""COMPUTED_VALUE"""),"Louisiana Tech 14 at (10) Texas 45")</f>
        <v>Louisiana Tech 14 at (10) Texas 45</v>
      </c>
      <c r="H201" t="str">
        <f>IFERROR(__xludf.DUMMYFUNCTION("""COMPUTED_VALUE"""),"FINAL")</f>
        <v>FINAL</v>
      </c>
      <c r="I201" t="str">
        <f>IFERROR(__xludf.DUMMYFUNCTION("""COMPUTED_VALUE"""),"-20½")</f>
        <v>-20½</v>
      </c>
      <c r="J201">
        <f>IFERROR(__xludf.DUMMYFUNCTION("""COMPUTED_VALUE"""),55.0)</f>
        <v>55</v>
      </c>
      <c r="K201" t="str">
        <f>IFERROR(__xludf.DUMMYFUNCTION("""COMPUTED_VALUE"""),"Brad")</f>
        <v>Brad</v>
      </c>
      <c r="L201">
        <f>IFERROR(__xludf.DUMMYFUNCTION("""COMPUTED_VALUE"""),9999.0)</f>
        <v>9999</v>
      </c>
      <c r="M201" s="124">
        <v>1.0</v>
      </c>
    </row>
    <row r="202">
      <c r="A202" s="151">
        <f>IFERROR(__xludf.DUMMYFUNCTION("""COMPUTED_VALUE"""),43709.147748564814)</f>
        <v>43709.14775</v>
      </c>
      <c r="B202" t="str">
        <f>IFERROR(__xludf.DUMMYFUNCTION("""COMPUTED_VALUE"""),"Vu")</f>
        <v>Vu</v>
      </c>
      <c r="C202" t="str">
        <f>IFERROR(__xludf.DUMMYFUNCTION("""COMPUTED_VALUE"""),"Hawaii")</f>
        <v>Hawaii</v>
      </c>
      <c r="D202">
        <f>IFERROR(__xludf.DUMMYFUNCTION("""COMPUTED_VALUE"""),1.0)</f>
        <v>1</v>
      </c>
      <c r="E202">
        <f>IFERROR(__xludf.DUMMYFUNCTION("""COMPUTED_VALUE"""),0.0)</f>
        <v>0</v>
      </c>
      <c r="F202" t="str">
        <f>IFERROR(__xludf.DUMMYFUNCTION("""COMPUTED_VALUE"""),"NA")</f>
        <v>NA</v>
      </c>
      <c r="G202" t="str">
        <f>IFERROR(__xludf.DUMMYFUNCTION("""COMPUTED_VALUE"""),"Arizona 38 at Hawaii 45")</f>
        <v>Arizona 38 at Hawaii 45</v>
      </c>
      <c r="H202" t="str">
        <f>IFERROR(__xludf.DUMMYFUNCTION("""COMPUTED_VALUE"""),"FINAL")</f>
        <v>FINAL</v>
      </c>
      <c r="I202">
        <f>IFERROR(__xludf.DUMMYFUNCTION("""COMPUTED_VALUE"""),7.0)</f>
        <v>7</v>
      </c>
      <c r="J202" t="str">
        <f>IFERROR(__xludf.DUMMYFUNCTION("""COMPUTED_VALUE"""),"bye")</f>
        <v>bye</v>
      </c>
      <c r="K202" t="str">
        <f>IFERROR(__xludf.DUMMYFUNCTION("""COMPUTED_VALUE"""),"Janice/Mike")</f>
        <v>Janice/Mike</v>
      </c>
      <c r="L202">
        <f>IFERROR(__xludf.DUMMYFUNCTION("""COMPUTED_VALUE"""),9999.0)</f>
        <v>9999</v>
      </c>
      <c r="M202" s="124">
        <v>1.0</v>
      </c>
    </row>
    <row r="203">
      <c r="A203" s="151">
        <f>IFERROR(__xludf.DUMMYFUNCTION("""COMPUTED_VALUE"""),43709.147748564814)</f>
        <v>43709.14775</v>
      </c>
      <c r="B203" t="str">
        <f>IFERROR(__xludf.DUMMYFUNCTION("""COMPUTED_VALUE"""),"Vu")</f>
        <v>Vu</v>
      </c>
      <c r="C203" t="str">
        <f>IFERROR(__xludf.DUMMYFUNCTION("""COMPUTED_VALUE"""),"Cincinnati")</f>
        <v>Cincinnati</v>
      </c>
      <c r="D203">
        <f>IFERROR(__xludf.DUMMYFUNCTION("""COMPUTED_VALUE"""),1.0)</f>
        <v>1</v>
      </c>
      <c r="E203">
        <f>IFERROR(__xludf.DUMMYFUNCTION("""COMPUTED_VALUE"""),0.0)</f>
        <v>0</v>
      </c>
      <c r="F203" t="str">
        <f>IFERROR(__xludf.DUMMYFUNCTION("""COMPUTED_VALUE"""),"ESPN")</f>
        <v>ESPN</v>
      </c>
      <c r="G203" t="str">
        <f>IFERROR(__xludf.DUMMYFUNCTION("""COMPUTED_VALUE"""),"UCLA 14 at Cincinnati 24")</f>
        <v>UCLA 14 at Cincinnati 24</v>
      </c>
      <c r="H203" t="str">
        <f>IFERROR(__xludf.DUMMYFUNCTION("""COMPUTED_VALUE"""),"FINAL")</f>
        <v>FINAL</v>
      </c>
      <c r="I203" t="str">
        <f>IFERROR(__xludf.DUMMYFUNCTION("""COMPUTED_VALUE"""),"-2½")</f>
        <v>-2½</v>
      </c>
      <c r="J203">
        <f>IFERROR(__xludf.DUMMYFUNCTION("""COMPUTED_VALUE"""),60.0)</f>
        <v>60</v>
      </c>
      <c r="K203" t="str">
        <f>IFERROR(__xludf.DUMMYFUNCTION("""COMPUTED_VALUE"""),"Gary")</f>
        <v>Gary</v>
      </c>
      <c r="L203">
        <f>IFERROR(__xludf.DUMMYFUNCTION("""COMPUTED_VALUE"""),9999.0)</f>
        <v>9999</v>
      </c>
      <c r="M203" s="124">
        <v>1.0</v>
      </c>
    </row>
    <row r="204">
      <c r="A204" s="151">
        <f>IFERROR(__xludf.DUMMYFUNCTION("""COMPUTED_VALUE"""),43709.147748564814)</f>
        <v>43709.14775</v>
      </c>
      <c r="B204" t="str">
        <f>IFERROR(__xludf.DUMMYFUNCTION("""COMPUTED_VALUE"""),"Vu")</f>
        <v>Vu</v>
      </c>
      <c r="C204" t="str">
        <f>IFERROR(__xludf.DUMMYFUNCTION("""COMPUTED_VALUE"""),"Texas A&amp;M")</f>
        <v>Texas A&amp;M</v>
      </c>
      <c r="D204">
        <f>IFERROR(__xludf.DUMMYFUNCTION("""COMPUTED_VALUE"""),1.0)</f>
        <v>1</v>
      </c>
      <c r="E204">
        <f>IFERROR(__xludf.DUMMYFUNCTION("""COMPUTED_VALUE"""),0.0)</f>
        <v>0</v>
      </c>
      <c r="F204" t="str">
        <f>IFERROR(__xludf.DUMMYFUNCTION("""COMPUTED_VALUE"""),"SEC Network")</f>
        <v>SEC Network</v>
      </c>
      <c r="G204" t="str">
        <f>IFERROR(__xludf.DUMMYFUNCTION("""COMPUTED_VALUE"""),"Texas State 7 at (11) Texas A&amp;M 41")</f>
        <v>Texas State 7 at (11) Texas A&amp;M 41</v>
      </c>
      <c r="H204" t="str">
        <f>IFERROR(__xludf.DUMMYFUNCTION("""COMPUTED_VALUE"""),"FINAL")</f>
        <v>FINAL</v>
      </c>
      <c r="I204" t="str">
        <f>IFERROR(__xludf.DUMMYFUNCTION("""COMPUTED_VALUE"""),"-33½")</f>
        <v>-33½</v>
      </c>
      <c r="J204" t="str">
        <f>IFERROR(__xludf.DUMMYFUNCTION("""COMPUTED_VALUE"""),"57½")</f>
        <v>57½</v>
      </c>
      <c r="K204" t="str">
        <f>IFERROR(__xludf.DUMMYFUNCTION("""COMPUTED_VALUE"""),"Brad")</f>
        <v>Brad</v>
      </c>
      <c r="L204">
        <f>IFERROR(__xludf.DUMMYFUNCTION("""COMPUTED_VALUE"""),9999.0)</f>
        <v>9999</v>
      </c>
      <c r="M204" s="124">
        <v>1.0</v>
      </c>
    </row>
    <row r="205">
      <c r="A205" s="151">
        <f>IFERROR(__xludf.DUMMYFUNCTION("""COMPUTED_VALUE"""),43709.147748564814)</f>
        <v>43709.14775</v>
      </c>
      <c r="B205" t="str">
        <f>IFERROR(__xludf.DUMMYFUNCTION("""COMPUTED_VALUE"""),"Vu")</f>
        <v>Vu</v>
      </c>
      <c r="C205" t="str">
        <f>IFERROR(__xludf.DUMMYFUNCTION("""COMPUTED_VALUE"""),"Kent State")</f>
        <v>Kent State</v>
      </c>
      <c r="D205">
        <f>IFERROR(__xludf.DUMMYFUNCTION("""COMPUTED_VALUE"""),0.0)</f>
        <v>0</v>
      </c>
      <c r="E205">
        <f>IFERROR(__xludf.DUMMYFUNCTION("""COMPUTED_VALUE"""),1.0)</f>
        <v>1</v>
      </c>
      <c r="F205" t="str">
        <f>IFERROR(__xludf.DUMMYFUNCTION("""COMPUTED_VALUE"""),"Pac-12")</f>
        <v>Pac-12</v>
      </c>
      <c r="G205" t="str">
        <f>IFERROR(__xludf.DUMMYFUNCTION("""COMPUTED_VALUE"""),"Kent State 7 at Arizona State 30")</f>
        <v>Kent State 7 at Arizona State 30</v>
      </c>
      <c r="H205" t="str">
        <f>IFERROR(__xludf.DUMMYFUNCTION("""COMPUTED_VALUE"""),"FINAL")</f>
        <v>FINAL</v>
      </c>
      <c r="I205">
        <f>IFERROR(__xludf.DUMMYFUNCTION("""COMPUTED_VALUE"""),25.0)</f>
        <v>25</v>
      </c>
      <c r="J205">
        <f>IFERROR(__xludf.DUMMYFUNCTION("""COMPUTED_VALUE"""),60.0)</f>
        <v>60</v>
      </c>
      <c r="K205" t="str">
        <f>IFERROR(__xludf.DUMMYFUNCTION("""COMPUTED_VALUE"""),"Nico")</f>
        <v>Nico</v>
      </c>
      <c r="L205">
        <f>IFERROR(__xludf.DUMMYFUNCTION("""COMPUTED_VALUE"""),9999.0)</f>
        <v>9999</v>
      </c>
      <c r="M205" s="124">
        <v>1.0</v>
      </c>
    </row>
    <row r="206">
      <c r="A206" s="151">
        <f>IFERROR(__xludf.DUMMYFUNCTION("""COMPUTED_VALUE"""),43709.147748564814)</f>
        <v>43709.14775</v>
      </c>
      <c r="B206" t="str">
        <f>IFERROR(__xludf.DUMMYFUNCTION("""COMPUTED_VALUE"""),"Vu")</f>
        <v>Vu</v>
      </c>
      <c r="C206" t="str">
        <f>IFERROR(__xludf.DUMMYFUNCTION("""COMPUTED_VALUE"""),"South Alabama")</f>
        <v>South Alabama</v>
      </c>
      <c r="D206">
        <f>IFERROR(__xludf.DUMMYFUNCTION("""COMPUTED_VALUE"""),0.0)</f>
        <v>0</v>
      </c>
      <c r="E206">
        <f>IFERROR(__xludf.DUMMYFUNCTION("""COMPUTED_VALUE"""),1.0)</f>
        <v>1</v>
      </c>
      <c r="F206" t="str">
        <f>IFERROR(__xludf.DUMMYFUNCTION("""COMPUTED_VALUE"""),"ESPN")</f>
        <v>ESPN</v>
      </c>
      <c r="G206" t="str">
        <f>IFERROR(__xludf.DUMMYFUNCTION("""COMPUTED_VALUE"""),"South Alabama 21 at Nebraska 35")</f>
        <v>South Alabama 21 at Nebraska 35</v>
      </c>
      <c r="H206" t="str">
        <f>IFERROR(__xludf.DUMMYFUNCTION("""COMPUTED_VALUE"""),"FINAL")</f>
        <v>FINAL</v>
      </c>
      <c r="I206">
        <f>IFERROR(__xludf.DUMMYFUNCTION("""COMPUTED_VALUE"""),36.0)</f>
        <v>36</v>
      </c>
      <c r="J206" t="str">
        <f>IFERROR(__xludf.DUMMYFUNCTION("""COMPUTED_VALUE"""),"64½")</f>
        <v>64½</v>
      </c>
      <c r="K206" t="str">
        <f>IFERROR(__xludf.DUMMYFUNCTION("""COMPUTED_VALUE"""),"DavEmily")</f>
        <v>DavEmily</v>
      </c>
      <c r="L206">
        <f>IFERROR(__xludf.DUMMYFUNCTION("""COMPUTED_VALUE"""),9999.0)</f>
        <v>9999</v>
      </c>
      <c r="M206" s="124">
        <v>1.0</v>
      </c>
    </row>
    <row r="207">
      <c r="A207" s="151">
        <f>IFERROR(__xludf.DUMMYFUNCTION("""COMPUTED_VALUE"""),43709.147748564814)</f>
        <v>43709.14775</v>
      </c>
      <c r="B207" t="str">
        <f>IFERROR(__xludf.DUMMYFUNCTION("""COMPUTED_VALUE"""),"Vu")</f>
        <v>Vu</v>
      </c>
      <c r="C207" t="str">
        <f>IFERROR(__xludf.DUMMYFUNCTION("""COMPUTED_VALUE"""),"Washington")</f>
        <v>Washington</v>
      </c>
      <c r="D207">
        <f>IFERROR(__xludf.DUMMYFUNCTION("""COMPUTED_VALUE"""),1.0)</f>
        <v>1</v>
      </c>
      <c r="E207">
        <f>IFERROR(__xludf.DUMMYFUNCTION("""COMPUTED_VALUE"""),0.0)</f>
        <v>0</v>
      </c>
      <c r="F207" t="str">
        <f>IFERROR(__xludf.DUMMYFUNCTION("""COMPUTED_VALUE"""),"Pac-12")</f>
        <v>Pac-12</v>
      </c>
      <c r="G207" t="str">
        <f>IFERROR(__xludf.DUMMYFUNCTION("""COMPUTED_VALUE"""),"Eastern Washington 14 at (12) Washington 47")</f>
        <v>Eastern Washington 14 at (12) Washington 47</v>
      </c>
      <c r="H207" t="str">
        <f>IFERROR(__xludf.DUMMYFUNCTION("""COMPUTED_VALUE"""),"FINAL")</f>
        <v>FINAL</v>
      </c>
      <c r="I207">
        <f>IFERROR(__xludf.DUMMYFUNCTION("""COMPUTED_VALUE"""),-21.0)</f>
        <v>-21</v>
      </c>
      <c r="J207" t="str">
        <f>IFERROR(__xludf.DUMMYFUNCTION("""COMPUTED_VALUE"""),"54½")</f>
        <v>54½</v>
      </c>
      <c r="K207" t="str">
        <f>IFERROR(__xludf.DUMMYFUNCTION("""COMPUTED_VALUE"""),"Undrafted")</f>
        <v>Undrafted</v>
      </c>
      <c r="L207">
        <f>IFERROR(__xludf.DUMMYFUNCTION("""COMPUTED_VALUE"""),9999.0)</f>
        <v>9999</v>
      </c>
      <c r="M207" s="124">
        <v>1.0</v>
      </c>
    </row>
    <row r="208">
      <c r="A208" s="151">
        <f>IFERROR(__xludf.DUMMYFUNCTION("""COMPUTED_VALUE"""),43709.147748564814)</f>
        <v>43709.14775</v>
      </c>
      <c r="B208" t="str">
        <f>IFERROR(__xludf.DUMMYFUNCTION("""COMPUTED_VALUE"""),"Vu")</f>
        <v>Vu</v>
      </c>
      <c r="C208" t="str">
        <f>IFERROR(__xludf.DUMMYFUNCTION("""COMPUTED_VALUE"""),"Syracuse")</f>
        <v>Syracuse</v>
      </c>
      <c r="D208">
        <f>IFERROR(__xludf.DUMMYFUNCTION("""COMPUTED_VALUE"""),1.0)</f>
        <v>1</v>
      </c>
      <c r="E208">
        <f>IFERROR(__xludf.DUMMYFUNCTION("""COMPUTED_VALUE"""),0.0)</f>
        <v>0</v>
      </c>
      <c r="F208" t="str">
        <f>IFERROR(__xludf.DUMMYFUNCTION("""COMPUTED_VALUE"""),"espn+ Video")</f>
        <v>espn+ Video</v>
      </c>
      <c r="G208" t="str">
        <f>IFERROR(__xludf.DUMMYFUNCTION("""COMPUTED_VALUE"""),"(22) Syracuse 24 at Liberty 0")</f>
        <v>(22) Syracuse 24 at Liberty 0</v>
      </c>
      <c r="H208" t="str">
        <f>IFERROR(__xludf.DUMMYFUNCTION("""COMPUTED_VALUE"""),"FINAL")</f>
        <v>FINAL</v>
      </c>
      <c r="I208" t="str">
        <f>IFERROR(__xludf.DUMMYFUNCTION("""COMPUTED_VALUE"""),"-17½")</f>
        <v>-17½</v>
      </c>
      <c r="J208">
        <f>IFERROR(__xludf.DUMMYFUNCTION("""COMPUTED_VALUE"""),66.0)</f>
        <v>66</v>
      </c>
      <c r="K208" t="str">
        <f>IFERROR(__xludf.DUMMYFUNCTION("""COMPUTED_VALUE"""),"Undrafted")</f>
        <v>Undrafted</v>
      </c>
      <c r="L208">
        <f>IFERROR(__xludf.DUMMYFUNCTION("""COMPUTED_VALUE"""),9999.0)</f>
        <v>9999</v>
      </c>
      <c r="M208" s="124">
        <v>1.0</v>
      </c>
    </row>
    <row r="209">
      <c r="A209" s="151">
        <f>IFERROR(__xludf.DUMMYFUNCTION("""COMPUTED_VALUE"""),43709.147748564814)</f>
        <v>43709.14775</v>
      </c>
      <c r="B209" t="str">
        <f>IFERROR(__xludf.DUMMYFUNCTION("""COMPUTED_VALUE"""),"Vu")</f>
        <v>Vu</v>
      </c>
      <c r="C209" t="str">
        <f>IFERROR(__xludf.DUMMYFUNCTION("""COMPUTED_VALUE"""),"Michigan")</f>
        <v>Michigan</v>
      </c>
      <c r="D209">
        <f>IFERROR(__xludf.DUMMYFUNCTION("""COMPUTED_VALUE"""),1.0)</f>
        <v>1</v>
      </c>
      <c r="E209">
        <f>IFERROR(__xludf.DUMMYFUNCTION("""COMPUTED_VALUE"""),0.0)</f>
        <v>0</v>
      </c>
      <c r="F209" t="str">
        <f>IFERROR(__xludf.DUMMYFUNCTION("""COMPUTED_VALUE"""),"BTN")</f>
        <v>BTN</v>
      </c>
      <c r="G209" t="str">
        <f>IFERROR(__xludf.DUMMYFUNCTION("""COMPUTED_VALUE"""),"Middle Tennessee 21 at (7) Michigan 40")</f>
        <v>Middle Tennessee 21 at (7) Michigan 40</v>
      </c>
      <c r="H209" t="str">
        <f>IFERROR(__xludf.DUMMYFUNCTION("""COMPUTED_VALUE"""),"FINAL")</f>
        <v>FINAL</v>
      </c>
      <c r="I209" t="str">
        <f>IFERROR(__xludf.DUMMYFUNCTION("""COMPUTED_VALUE"""),"-33½")</f>
        <v>-33½</v>
      </c>
      <c r="J209">
        <f>IFERROR(__xludf.DUMMYFUNCTION("""COMPUTED_VALUE"""),54.0)</f>
        <v>54</v>
      </c>
      <c r="K209" t="str">
        <f>IFERROR(__xludf.DUMMYFUNCTION("""COMPUTED_VALUE"""),"Nico")</f>
        <v>Nico</v>
      </c>
      <c r="L209">
        <f>IFERROR(__xludf.DUMMYFUNCTION("""COMPUTED_VALUE"""),9999.0)</f>
        <v>9999</v>
      </c>
      <c r="M209" s="124">
        <v>1.0</v>
      </c>
    </row>
    <row r="210">
      <c r="A210" s="151">
        <f>IFERROR(__xludf.DUMMYFUNCTION("""COMPUTED_VALUE"""),43709.147748564814)</f>
        <v>43709.14775</v>
      </c>
      <c r="B210" t="str">
        <f>IFERROR(__xludf.DUMMYFUNCTION("""COMPUTED_VALUE"""),"Vu")</f>
        <v>Vu</v>
      </c>
      <c r="C210" t="str">
        <f>IFERROR(__xludf.DUMMYFUNCTION("""COMPUTED_VALUE"""),"North Texas")</f>
        <v>North Texas</v>
      </c>
      <c r="D210">
        <f>IFERROR(__xludf.DUMMYFUNCTION("""COMPUTED_VALUE"""),1.0)</f>
        <v>1</v>
      </c>
      <c r="E210">
        <f>IFERROR(__xludf.DUMMYFUNCTION("""COMPUTED_VALUE"""),0.0)</f>
        <v>0</v>
      </c>
      <c r="F210" t="str">
        <f>IFERROR(__xludf.DUMMYFUNCTION("""COMPUTED_VALUE"""),"espn+ Video")</f>
        <v>espn+ Video</v>
      </c>
      <c r="G210" t="str">
        <f>IFERROR(__xludf.DUMMYFUNCTION("""COMPUTED_VALUE"""),"Abilene Christian 31 at North Texas 51")</f>
        <v>Abilene Christian 31 at North Texas 51</v>
      </c>
      <c r="H210" t="str">
        <f>IFERROR(__xludf.DUMMYFUNCTION("""COMPUTED_VALUE"""),"FINAL")</f>
        <v>FINAL</v>
      </c>
      <c r="I210" t="str">
        <f>IFERROR(__xludf.DUMMYFUNCTION("""COMPUTED_VALUE"""),"-20½")</f>
        <v>-20½</v>
      </c>
      <c r="J210" t="str">
        <f>IFERROR(__xludf.DUMMYFUNCTION("""COMPUTED_VALUE"""),"58½")</f>
        <v>58½</v>
      </c>
      <c r="K210" t="str">
        <f>IFERROR(__xludf.DUMMYFUNCTION("""COMPUTED_VALUE"""),"Undrafted")</f>
        <v>Undrafted</v>
      </c>
      <c r="L210">
        <f>IFERROR(__xludf.DUMMYFUNCTION("""COMPUTED_VALUE"""),9999.0)</f>
        <v>9999</v>
      </c>
      <c r="M210" s="124">
        <v>1.0</v>
      </c>
    </row>
    <row r="211">
      <c r="A211" s="151">
        <f>IFERROR(__xludf.DUMMYFUNCTION("""COMPUTED_VALUE"""),43709.147748564814)</f>
        <v>43709.14775</v>
      </c>
      <c r="B211" t="str">
        <f>IFERROR(__xludf.DUMMYFUNCTION("""COMPUTED_VALUE"""),"Vu")</f>
        <v>Vu</v>
      </c>
      <c r="C211" t="str">
        <f>IFERROR(__xludf.DUMMYFUNCTION("""COMPUTED_VALUE"""),"TCU")</f>
        <v>TCU</v>
      </c>
      <c r="D211">
        <f>IFERROR(__xludf.DUMMYFUNCTION("""COMPUTED_VALUE"""),1.0)</f>
        <v>1</v>
      </c>
      <c r="E211">
        <f>IFERROR(__xludf.DUMMYFUNCTION("""COMPUTED_VALUE"""),0.0)</f>
        <v>0</v>
      </c>
      <c r="F211" t="str">
        <f>IFERROR(__xludf.DUMMYFUNCTION("""COMPUTED_VALUE"""),"FSN")</f>
        <v>FSN</v>
      </c>
      <c r="G211" t="str">
        <f>IFERROR(__xludf.DUMMYFUNCTION("""COMPUTED_VALUE"""),"Arkansas-Pine Bluff 7 at TCU 39")</f>
        <v>Arkansas-Pine Bluff 7 at TCU 39</v>
      </c>
      <c r="H211" t="str">
        <f>IFERROR(__xludf.DUMMYFUNCTION("""COMPUTED_VALUE"""),"FINAL")</f>
        <v>FINAL</v>
      </c>
      <c r="I211" t="str">
        <f>IFERROR(__xludf.DUMMYFUNCTION("""COMPUTED_VALUE"""),"No Line")</f>
        <v>No Line</v>
      </c>
      <c r="K211" t="str">
        <f>IFERROR(__xludf.DUMMYFUNCTION("""COMPUTED_VALUE"""),"Undrafted")</f>
        <v>Undrafted</v>
      </c>
      <c r="L211">
        <f>IFERROR(__xludf.DUMMYFUNCTION("""COMPUTED_VALUE"""),9999.0)</f>
        <v>9999</v>
      </c>
      <c r="M211" s="124">
        <v>1.0</v>
      </c>
    </row>
    <row r="212">
      <c r="A212" s="151">
        <f>IFERROR(__xludf.DUMMYFUNCTION("""COMPUTED_VALUE"""),43709.147748564814)</f>
        <v>43709.14775</v>
      </c>
      <c r="B212" t="str">
        <f>IFERROR(__xludf.DUMMYFUNCTION("""COMPUTED_VALUE"""),"Josh R.")</f>
        <v>Josh R.</v>
      </c>
      <c r="C212" t="str">
        <f>IFERROR(__xludf.DUMMYFUNCTION("""COMPUTED_VALUE"""),"Minnesota")</f>
        <v>Minnesota</v>
      </c>
      <c r="D212">
        <f>IFERROR(__xludf.DUMMYFUNCTION("""COMPUTED_VALUE"""),1.0)</f>
        <v>1</v>
      </c>
      <c r="E212">
        <f>IFERROR(__xludf.DUMMYFUNCTION("""COMPUTED_VALUE"""),0.0)</f>
        <v>0</v>
      </c>
      <c r="F212" t="str">
        <f>IFERROR(__xludf.DUMMYFUNCTION("""COMPUTED_VALUE"""),"FS1")</f>
        <v>FS1</v>
      </c>
      <c r="G212" t="str">
        <f>IFERROR(__xludf.DUMMYFUNCTION("""COMPUTED_VALUE"""),"South Dakota State 21 at Minnesota 28")</f>
        <v>South Dakota State 21 at Minnesota 28</v>
      </c>
      <c r="H212" t="str">
        <f>IFERROR(__xludf.DUMMYFUNCTION("""COMPUTED_VALUE"""),"FINAL")</f>
        <v>FINAL</v>
      </c>
      <c r="I212">
        <f>IFERROR(__xludf.DUMMYFUNCTION("""COMPUTED_VALUE"""),-14.0)</f>
        <v>-14</v>
      </c>
      <c r="J212">
        <f>IFERROR(__xludf.DUMMYFUNCTION("""COMPUTED_VALUE"""),56.0)</f>
        <v>56</v>
      </c>
      <c r="K212" t="str">
        <f>IFERROR(__xludf.DUMMYFUNCTION("""COMPUTED_VALUE"""),"Undrafted")</f>
        <v>Undrafted</v>
      </c>
      <c r="L212">
        <f>IFERROR(__xludf.DUMMYFUNCTION("""COMPUTED_VALUE"""),9999.0)</f>
        <v>9999</v>
      </c>
      <c r="M212" s="124">
        <v>1.0</v>
      </c>
    </row>
    <row r="213">
      <c r="A213" s="151">
        <f>IFERROR(__xludf.DUMMYFUNCTION("""COMPUTED_VALUE"""),43709.147748564814)</f>
        <v>43709.14775</v>
      </c>
      <c r="B213" t="str">
        <f>IFERROR(__xludf.DUMMYFUNCTION("""COMPUTED_VALUE"""),"Josh R.")</f>
        <v>Josh R.</v>
      </c>
      <c r="C213" t="str">
        <f>IFERROR(__xludf.DUMMYFUNCTION("""COMPUTED_VALUE"""),"Army")</f>
        <v>Army</v>
      </c>
      <c r="D213">
        <f>IFERROR(__xludf.DUMMYFUNCTION("""COMPUTED_VALUE"""),1.0)</f>
        <v>1</v>
      </c>
      <c r="E213">
        <f>IFERROR(__xludf.DUMMYFUNCTION("""COMPUTED_VALUE"""),0.0)</f>
        <v>0</v>
      </c>
      <c r="F213" t="str">
        <f>IFERROR(__xludf.DUMMYFUNCTION("""COMPUTED_VALUE"""),"CBSSN")</f>
        <v>CBSSN</v>
      </c>
      <c r="G213" t="str">
        <f>IFERROR(__xludf.DUMMYFUNCTION("""COMPUTED_VALUE"""),"Rice 7 at Army 14")</f>
        <v>Rice 7 at Army 14</v>
      </c>
      <c r="H213" t="str">
        <f>IFERROR(__xludf.DUMMYFUNCTION("""COMPUTED_VALUE"""),"FINAL")</f>
        <v>FINAL</v>
      </c>
      <c r="I213" t="str">
        <f>IFERROR(__xludf.DUMMYFUNCTION("""COMPUTED_VALUE"""),"-23½")</f>
        <v>-23½</v>
      </c>
      <c r="J213">
        <f>IFERROR(__xludf.DUMMYFUNCTION("""COMPUTED_VALUE"""),48.0)</f>
        <v>48</v>
      </c>
      <c r="K213" t="str">
        <f>IFERROR(__xludf.DUMMYFUNCTION("""COMPUTED_VALUE"""),"Undrafted")</f>
        <v>Undrafted</v>
      </c>
      <c r="L213">
        <f>IFERROR(__xludf.DUMMYFUNCTION("""COMPUTED_VALUE"""),9999.0)</f>
        <v>9999</v>
      </c>
      <c r="M213" s="124">
        <v>1.0</v>
      </c>
    </row>
    <row r="214">
      <c r="A214" s="151">
        <f>IFERROR(__xludf.DUMMYFUNCTION("""COMPUTED_VALUE"""),43709.147748564814)</f>
        <v>43709.14775</v>
      </c>
      <c r="B214" t="str">
        <f>IFERROR(__xludf.DUMMYFUNCTION("""COMPUTED_VALUE"""),"Josh R.")</f>
        <v>Josh R.</v>
      </c>
      <c r="C214" t="str">
        <f>IFERROR(__xludf.DUMMYFUNCTION("""COMPUTED_VALUE"""),"Nevada")</f>
        <v>Nevada</v>
      </c>
      <c r="D214">
        <f>IFERROR(__xludf.DUMMYFUNCTION("""COMPUTED_VALUE"""),1.0)</f>
        <v>1</v>
      </c>
      <c r="E214">
        <f>IFERROR(__xludf.DUMMYFUNCTION("""COMPUTED_VALUE"""),0.0)</f>
        <v>0</v>
      </c>
      <c r="F214" t="str">
        <f>IFERROR(__xludf.DUMMYFUNCTION("""COMPUTED_VALUE"""),"CBSSN")</f>
        <v>CBSSN</v>
      </c>
      <c r="G214" t="str">
        <f>IFERROR(__xludf.DUMMYFUNCTION("""COMPUTED_VALUE"""),"Purdue 31 at Nevada 34")</f>
        <v>Purdue 31 at Nevada 34</v>
      </c>
      <c r="H214" t="str">
        <f>IFERROR(__xludf.DUMMYFUNCTION("""COMPUTED_VALUE"""),"FINAL")</f>
        <v>FINAL</v>
      </c>
      <c r="I214" t="str">
        <f>IFERROR(__xludf.DUMMYFUNCTION("""COMPUTED_VALUE"""),"10½")</f>
        <v>10½</v>
      </c>
      <c r="J214" t="str">
        <f>IFERROR(__xludf.DUMMYFUNCTION("""COMPUTED_VALUE"""),"58½")</f>
        <v>58½</v>
      </c>
      <c r="K214" t="str">
        <f>IFERROR(__xludf.DUMMYFUNCTION("""COMPUTED_VALUE"""),"Nico")</f>
        <v>Nico</v>
      </c>
      <c r="L214">
        <f>IFERROR(__xludf.DUMMYFUNCTION("""COMPUTED_VALUE"""),9999.0)</f>
        <v>9999</v>
      </c>
      <c r="M214" s="124">
        <v>1.0</v>
      </c>
    </row>
    <row r="215">
      <c r="A215" s="151">
        <f>IFERROR(__xludf.DUMMYFUNCTION("""COMPUTED_VALUE"""),43709.147748564814)</f>
        <v>43709.14775</v>
      </c>
      <c r="B215" t="str">
        <f>IFERROR(__xludf.DUMMYFUNCTION("""COMPUTED_VALUE"""),"Josh R.")</f>
        <v>Josh R.</v>
      </c>
      <c r="C215" t="str">
        <f>IFERROR(__xludf.DUMMYFUNCTION("""COMPUTED_VALUE"""),"Florida State")</f>
        <v>Florida State</v>
      </c>
      <c r="D215">
        <f>IFERROR(__xludf.DUMMYFUNCTION("""COMPUTED_VALUE"""),0.0)</f>
        <v>0</v>
      </c>
      <c r="E215">
        <f>IFERROR(__xludf.DUMMYFUNCTION("""COMPUTED_VALUE"""),1.0)</f>
        <v>1</v>
      </c>
      <c r="F215" t="str">
        <f>IFERROR(__xludf.DUMMYFUNCTION("""COMPUTED_VALUE"""),"ESPN")</f>
        <v>ESPN</v>
      </c>
      <c r="G215" t="str">
        <f>IFERROR(__xludf.DUMMYFUNCTION("""COMPUTED_VALUE"""),"Boise State 36 at Florida State 31")</f>
        <v>Boise State 36 at Florida State 31</v>
      </c>
      <c r="H215" t="str">
        <f>IFERROR(__xludf.DUMMYFUNCTION("""COMPUTED_VALUE"""),"FINAL")</f>
        <v>FINAL</v>
      </c>
      <c r="I215" t="str">
        <f>IFERROR(__xludf.DUMMYFUNCTION("""COMPUTED_VALUE"""),"-5½")</f>
        <v>-5½</v>
      </c>
      <c r="J215" t="str">
        <f>IFERROR(__xludf.DUMMYFUNCTION("""COMPUTED_VALUE"""),"53½")</f>
        <v>53½</v>
      </c>
      <c r="K215" t="str">
        <f>IFERROR(__xludf.DUMMYFUNCTION("""COMPUTED_VALUE"""),"Janice/Mike")</f>
        <v>Janice/Mike</v>
      </c>
      <c r="L215">
        <f>IFERROR(__xludf.DUMMYFUNCTION("""COMPUTED_VALUE"""),9999.0)</f>
        <v>9999</v>
      </c>
      <c r="M215" s="124">
        <v>1.0</v>
      </c>
    </row>
    <row r="216">
      <c r="A216" s="151">
        <f>IFERROR(__xludf.DUMMYFUNCTION("""COMPUTED_VALUE"""),43709.147748564814)</f>
        <v>43709.14775</v>
      </c>
      <c r="B216" t="str">
        <f>IFERROR(__xludf.DUMMYFUNCTION("""COMPUTED_VALUE"""),"Josh R.")</f>
        <v>Josh R.</v>
      </c>
      <c r="C216" t="str">
        <f>IFERROR(__xludf.DUMMYFUNCTION("""COMPUTED_VALUE"""),"Kansas")</f>
        <v>Kansas</v>
      </c>
      <c r="D216">
        <f>IFERROR(__xludf.DUMMYFUNCTION("""COMPUTED_VALUE"""),1.0)</f>
        <v>1</v>
      </c>
      <c r="E216">
        <f>IFERROR(__xludf.DUMMYFUNCTION("""COMPUTED_VALUE"""),0.0)</f>
        <v>0</v>
      </c>
      <c r="F216" t="str">
        <f>IFERROR(__xludf.DUMMYFUNCTION("""COMPUTED_VALUE"""),"FSN")</f>
        <v>FSN</v>
      </c>
      <c r="G216" t="str">
        <f>IFERROR(__xludf.DUMMYFUNCTION("""COMPUTED_VALUE"""),"Indiana State 17 at Kansas 24")</f>
        <v>Indiana State 17 at Kansas 24</v>
      </c>
      <c r="H216" t="str">
        <f>IFERROR(__xludf.DUMMYFUNCTION("""COMPUTED_VALUE"""),"FINAL")</f>
        <v>FINAL</v>
      </c>
      <c r="I216" t="str">
        <f>IFERROR(__xludf.DUMMYFUNCTION("""COMPUTED_VALUE"""),"-4½")</f>
        <v>-4½</v>
      </c>
      <c r="J216" t="str">
        <f>IFERROR(__xludf.DUMMYFUNCTION("""COMPUTED_VALUE"""),"53½")</f>
        <v>53½</v>
      </c>
      <c r="K216" t="str">
        <f>IFERROR(__xludf.DUMMYFUNCTION("""COMPUTED_VALUE"""),"Undrafted")</f>
        <v>Undrafted</v>
      </c>
      <c r="L216">
        <f>IFERROR(__xludf.DUMMYFUNCTION("""COMPUTED_VALUE"""),9999.0)</f>
        <v>9999</v>
      </c>
      <c r="M216" s="124">
        <v>1.0</v>
      </c>
    </row>
    <row r="217">
      <c r="A217" s="151">
        <f>IFERROR(__xludf.DUMMYFUNCTION("""COMPUTED_VALUE"""),43709.147748564814)</f>
        <v>43709.14775</v>
      </c>
      <c r="B217" t="str">
        <f>IFERROR(__xludf.DUMMYFUNCTION("""COMPUTED_VALUE"""),"Josh R.")</f>
        <v>Josh R.</v>
      </c>
      <c r="C217" t="str">
        <f>IFERROR(__xludf.DUMMYFUNCTION("""COMPUTED_VALUE"""),"Toledo")</f>
        <v>Toledo</v>
      </c>
      <c r="D217">
        <f>IFERROR(__xludf.DUMMYFUNCTION("""COMPUTED_VALUE"""),0.0)</f>
        <v>0</v>
      </c>
      <c r="E217">
        <f>IFERROR(__xludf.DUMMYFUNCTION("""COMPUTED_VALUE"""),1.0)</f>
        <v>1</v>
      </c>
      <c r="F217" t="str">
        <f>IFERROR(__xludf.DUMMYFUNCTION("""COMPUTED_VALUE"""),"SEC Network")</f>
        <v>SEC Network</v>
      </c>
      <c r="G217" t="str">
        <f>IFERROR(__xludf.DUMMYFUNCTION("""COMPUTED_VALUE"""),"Toledo 24 at Kentucky 38")</f>
        <v>Toledo 24 at Kentucky 38</v>
      </c>
      <c r="H217" t="str">
        <f>IFERROR(__xludf.DUMMYFUNCTION("""COMPUTED_VALUE"""),"FINAL")</f>
        <v>FINAL</v>
      </c>
      <c r="I217" t="str">
        <f>IFERROR(__xludf.DUMMYFUNCTION("""COMPUTED_VALUE"""),"11½")</f>
        <v>11½</v>
      </c>
      <c r="J217" t="str">
        <f>IFERROR(__xludf.DUMMYFUNCTION("""COMPUTED_VALUE"""),"58½")</f>
        <v>58½</v>
      </c>
      <c r="K217" t="str">
        <f>IFERROR(__xludf.DUMMYFUNCTION("""COMPUTED_VALUE"""),"Josh R.")</f>
        <v>Josh R.</v>
      </c>
      <c r="L217">
        <f>IFERROR(__xludf.DUMMYFUNCTION("""COMPUTED_VALUE"""),9999.0)</f>
        <v>9999</v>
      </c>
      <c r="M217" s="124">
        <v>1.0</v>
      </c>
    </row>
    <row r="218">
      <c r="A218" s="151">
        <f>IFERROR(__xludf.DUMMYFUNCTION("""COMPUTED_VALUE"""),43709.147748564814)</f>
        <v>43709.14775</v>
      </c>
      <c r="B218" t="str">
        <f>IFERROR(__xludf.DUMMYFUNCTION("""COMPUTED_VALUE"""),"Josh R.")</f>
        <v>Josh R.</v>
      </c>
      <c r="C218" t="str">
        <f>IFERROR(__xludf.DUMMYFUNCTION("""COMPUTED_VALUE"""),"Kentucky")</f>
        <v>Kentucky</v>
      </c>
      <c r="D218">
        <f>IFERROR(__xludf.DUMMYFUNCTION("""COMPUTED_VALUE"""),1.0)</f>
        <v>1</v>
      </c>
      <c r="E218">
        <f>IFERROR(__xludf.DUMMYFUNCTION("""COMPUTED_VALUE"""),0.0)</f>
        <v>0</v>
      </c>
      <c r="F218" t="str">
        <f>IFERROR(__xludf.DUMMYFUNCTION("""COMPUTED_VALUE"""),"SEC Network")</f>
        <v>SEC Network</v>
      </c>
      <c r="G218" t="str">
        <f>IFERROR(__xludf.DUMMYFUNCTION("""COMPUTED_VALUE"""),"Toledo 24 at Kentucky 38")</f>
        <v>Toledo 24 at Kentucky 38</v>
      </c>
      <c r="H218" t="str">
        <f>IFERROR(__xludf.DUMMYFUNCTION("""COMPUTED_VALUE"""),"FINAL")</f>
        <v>FINAL</v>
      </c>
      <c r="I218" t="str">
        <f>IFERROR(__xludf.DUMMYFUNCTION("""COMPUTED_VALUE"""),"-11½")</f>
        <v>-11½</v>
      </c>
      <c r="J218" t="str">
        <f>IFERROR(__xludf.DUMMYFUNCTION("""COMPUTED_VALUE"""),"58½")</f>
        <v>58½</v>
      </c>
      <c r="K218" t="str">
        <f>IFERROR(__xludf.DUMMYFUNCTION("""COMPUTED_VALUE"""),"Josh R.")</f>
        <v>Josh R.</v>
      </c>
      <c r="L218">
        <f>IFERROR(__xludf.DUMMYFUNCTION("""COMPUTED_VALUE"""),9999.0)</f>
        <v>9999</v>
      </c>
      <c r="M218" s="124">
        <v>1.0</v>
      </c>
    </row>
    <row r="219">
      <c r="A219" s="151">
        <f>IFERROR(__xludf.DUMMYFUNCTION("""COMPUTED_VALUE"""),43709.147748564814)</f>
        <v>43709.14775</v>
      </c>
      <c r="B219" t="str">
        <f>IFERROR(__xludf.DUMMYFUNCTION("""COMPUTED_VALUE"""),"Josh R.")</f>
        <v>Josh R.</v>
      </c>
      <c r="C219" t="str">
        <f>IFERROR(__xludf.DUMMYFUNCTION("""COMPUTED_VALUE"""),"Temple")</f>
        <v>Temple</v>
      </c>
      <c r="D219">
        <f>IFERROR(__xludf.DUMMYFUNCTION("""COMPUTED_VALUE"""),1.0)</f>
        <v>1</v>
      </c>
      <c r="E219">
        <f>IFERROR(__xludf.DUMMYFUNCTION("""COMPUTED_VALUE"""),0.0)</f>
        <v>0</v>
      </c>
      <c r="F219" t="str">
        <f>IFERROR(__xludf.DUMMYFUNCTION("""COMPUTED_VALUE"""),"espn3 Video")</f>
        <v>espn3 Video</v>
      </c>
      <c r="G219" t="str">
        <f>IFERROR(__xludf.DUMMYFUNCTION("""COMPUTED_VALUE"""),"Bucknell 12 at Temple 56")</f>
        <v>Bucknell 12 at Temple 56</v>
      </c>
      <c r="H219" t="str">
        <f>IFERROR(__xludf.DUMMYFUNCTION("""COMPUTED_VALUE"""),"FINAL")</f>
        <v>FINAL</v>
      </c>
      <c r="I219" t="str">
        <f>IFERROR(__xludf.DUMMYFUNCTION("""COMPUTED_VALUE"""),"-40½")</f>
        <v>-40½</v>
      </c>
      <c r="J219" t="str">
        <f>IFERROR(__xludf.DUMMYFUNCTION("""COMPUTED_VALUE"""),"53½")</f>
        <v>53½</v>
      </c>
      <c r="K219" t="str">
        <f>IFERROR(__xludf.DUMMYFUNCTION("""COMPUTED_VALUE"""),"Undrafted")</f>
        <v>Undrafted</v>
      </c>
      <c r="L219">
        <f>IFERROR(__xludf.DUMMYFUNCTION("""COMPUTED_VALUE"""),9999.0)</f>
        <v>9999</v>
      </c>
      <c r="M219" s="124">
        <v>1.0</v>
      </c>
    </row>
    <row r="220">
      <c r="A220" s="151">
        <f>IFERROR(__xludf.DUMMYFUNCTION("""COMPUTED_VALUE"""),43709.147748564814)</f>
        <v>43709.14775</v>
      </c>
      <c r="B220" t="str">
        <f>IFERROR(__xludf.DUMMYFUNCTION("""COMPUTED_VALUE"""),"Josh R.")</f>
        <v>Josh R.</v>
      </c>
      <c r="C220" t="str">
        <f>IFERROR(__xludf.DUMMYFUNCTION("""COMPUTED_VALUE"""),"Southern Mississippi")</f>
        <v>Southern Mississippi</v>
      </c>
      <c r="D220">
        <f>IFERROR(__xludf.DUMMYFUNCTION("""COMPUTED_VALUE"""),1.0)</f>
        <v>1</v>
      </c>
      <c r="E220">
        <f>IFERROR(__xludf.DUMMYFUNCTION("""COMPUTED_VALUE"""),0.0)</f>
        <v>0</v>
      </c>
      <c r="F220" t="str">
        <f>IFERROR(__xludf.DUMMYFUNCTION("""COMPUTED_VALUE"""),"NA")</f>
        <v>NA</v>
      </c>
      <c r="G220" t="str">
        <f>IFERROR(__xludf.DUMMYFUNCTION("""COMPUTED_VALUE"""),"Alcorn State 10 at Southern Mississippi 38")</f>
        <v>Alcorn State 10 at Southern Mississippi 38</v>
      </c>
      <c r="H220" t="str">
        <f>IFERROR(__xludf.DUMMYFUNCTION("""COMPUTED_VALUE"""),"FINAL")</f>
        <v>FINAL</v>
      </c>
      <c r="I220">
        <f>IFERROR(__xludf.DUMMYFUNCTION("""COMPUTED_VALUE"""),-26.0)</f>
        <v>-26</v>
      </c>
      <c r="J220">
        <f>IFERROR(__xludf.DUMMYFUNCTION("""COMPUTED_VALUE"""),55.0)</f>
        <v>55</v>
      </c>
      <c r="K220" t="str">
        <f>IFERROR(__xludf.DUMMYFUNCTION("""COMPUTED_VALUE"""),"Undrafted")</f>
        <v>Undrafted</v>
      </c>
      <c r="L220">
        <f>IFERROR(__xludf.DUMMYFUNCTION("""COMPUTED_VALUE"""),9999.0)</f>
        <v>9999</v>
      </c>
      <c r="M220" s="124">
        <v>1.0</v>
      </c>
    </row>
    <row r="221">
      <c r="A221" s="151">
        <f>IFERROR(__xludf.DUMMYFUNCTION("""COMPUTED_VALUE"""),43709.147748564814)</f>
        <v>43709.14775</v>
      </c>
      <c r="B221" t="str">
        <f>IFERROR(__xludf.DUMMYFUNCTION("""COMPUTED_VALUE"""),"Josh R.")</f>
        <v>Josh R.</v>
      </c>
      <c r="C221" t="str">
        <f>IFERROR(__xludf.DUMMYFUNCTION("""COMPUTED_VALUE"""),"USC")</f>
        <v>USC</v>
      </c>
      <c r="D221">
        <f>IFERROR(__xludf.DUMMYFUNCTION("""COMPUTED_VALUE"""),1.0)</f>
        <v>1</v>
      </c>
      <c r="E221">
        <f>IFERROR(__xludf.DUMMYFUNCTION("""COMPUTED_VALUE"""),0.0)</f>
        <v>0</v>
      </c>
      <c r="F221" t="str">
        <f>IFERROR(__xludf.DUMMYFUNCTION("""COMPUTED_VALUE"""),"ESPN")</f>
        <v>ESPN</v>
      </c>
      <c r="G221" t="str">
        <f>IFERROR(__xludf.DUMMYFUNCTION("""COMPUTED_VALUE"""),"Fresno State 23 at USC 31")</f>
        <v>Fresno State 23 at USC 31</v>
      </c>
      <c r="H221" t="str">
        <f>IFERROR(__xludf.DUMMYFUNCTION("""COMPUTED_VALUE"""),"FINAL")</f>
        <v>FINAL</v>
      </c>
      <c r="I221" t="str">
        <f>IFERROR(__xludf.DUMMYFUNCTION("""COMPUTED_VALUE"""),"-13½")</f>
        <v>-13½</v>
      </c>
      <c r="J221" t="str">
        <f>IFERROR(__xludf.DUMMYFUNCTION("""COMPUTED_VALUE"""),"52½")</f>
        <v>52½</v>
      </c>
      <c r="K221" t="str">
        <f>IFERROR(__xludf.DUMMYFUNCTION("""COMPUTED_VALUE"""),"DavEmily")</f>
        <v>DavEmily</v>
      </c>
      <c r="L221">
        <f>IFERROR(__xludf.DUMMYFUNCTION("""COMPUTED_VALUE"""),9999.0)</f>
        <v>9999</v>
      </c>
      <c r="M221" s="124">
        <v>1.0</v>
      </c>
    </row>
    <row r="222">
      <c r="A222" s="151">
        <f>IFERROR(__xludf.DUMMYFUNCTION("""COMPUTED_VALUE"""),43709.147748564814)</f>
        <v>43709.14775</v>
      </c>
      <c r="B222" t="str">
        <f>IFERROR(__xludf.DUMMYFUNCTION("""COMPUTED_VALUE"""),"Brad")</f>
        <v>Brad</v>
      </c>
      <c r="C222" t="str">
        <f>IFERROR(__xludf.DUMMYFUNCTION("""COMPUTED_VALUE"""),"Miami")</f>
        <v>Miami</v>
      </c>
      <c r="D222">
        <f>IFERROR(__xludf.DUMMYFUNCTION("""COMPUTED_VALUE"""),0.0)</f>
        <v>0</v>
      </c>
      <c r="E222">
        <f>IFERROR(__xludf.DUMMYFUNCTION("""COMPUTED_VALUE"""),1.0)</f>
        <v>1</v>
      </c>
      <c r="F222" t="str">
        <f>IFERROR(__xludf.DUMMYFUNCTION("""COMPUTED_VALUE"""),"NA")</f>
        <v>NA</v>
      </c>
      <c r="G222" t="str">
        <f>IFERROR(__xludf.DUMMYFUNCTION("""COMPUTED_VALUE"""),"Miami 20 at (8) Florida 24")</f>
        <v>Miami 20 at (8) Florida 24</v>
      </c>
      <c r="H222" t="str">
        <f>IFERROR(__xludf.DUMMYFUNCTION("""COMPUTED_VALUE"""),"FINAL")</f>
        <v>FINAL</v>
      </c>
      <c r="I222">
        <f>IFERROR(__xludf.DUMMYFUNCTION("""COMPUTED_VALUE"""),4.0)</f>
        <v>4</v>
      </c>
      <c r="J222" t="str">
        <f>IFERROR(__xludf.DUMMYFUNCTION("""COMPUTED_VALUE"""),"bye")</f>
        <v>bye</v>
      </c>
      <c r="K222" t="str">
        <f>IFERROR(__xludf.DUMMYFUNCTION("""COMPUTED_VALUE"""),"Adam")</f>
        <v>Adam</v>
      </c>
      <c r="L222">
        <f>IFERROR(__xludf.DUMMYFUNCTION("""COMPUTED_VALUE"""),9999.0)</f>
        <v>9999</v>
      </c>
      <c r="M222" s="124">
        <v>1.0</v>
      </c>
    </row>
    <row r="223">
      <c r="A223" s="151">
        <f>IFERROR(__xludf.DUMMYFUNCTION("""COMPUTED_VALUE"""),43709.147748564814)</f>
        <v>43709.14775</v>
      </c>
      <c r="B223" t="str">
        <f>IFERROR(__xludf.DUMMYFUNCTION("""COMPUTED_VALUE"""),"Brad")</f>
        <v>Brad</v>
      </c>
      <c r="C223" t="str">
        <f>IFERROR(__xludf.DUMMYFUNCTION("""COMPUTED_VALUE"""),"Texas State")</f>
        <v>Texas State</v>
      </c>
      <c r="D223">
        <f>IFERROR(__xludf.DUMMYFUNCTION("""COMPUTED_VALUE"""),0.0)</f>
        <v>0</v>
      </c>
      <c r="E223">
        <f>IFERROR(__xludf.DUMMYFUNCTION("""COMPUTED_VALUE"""),1.0)</f>
        <v>1</v>
      </c>
      <c r="F223" t="str">
        <f>IFERROR(__xludf.DUMMYFUNCTION("""COMPUTED_VALUE"""),"SEC Network")</f>
        <v>SEC Network</v>
      </c>
      <c r="G223" t="str">
        <f>IFERROR(__xludf.DUMMYFUNCTION("""COMPUTED_VALUE"""),"Texas State 7 at (11) Texas A&amp;M 41")</f>
        <v>Texas State 7 at (11) Texas A&amp;M 41</v>
      </c>
      <c r="H223" t="str">
        <f>IFERROR(__xludf.DUMMYFUNCTION("""COMPUTED_VALUE"""),"FINAL")</f>
        <v>FINAL</v>
      </c>
      <c r="I223" t="str">
        <f>IFERROR(__xludf.DUMMYFUNCTION("""COMPUTED_VALUE"""),"33½")</f>
        <v>33½</v>
      </c>
      <c r="J223" t="str">
        <f>IFERROR(__xludf.DUMMYFUNCTION("""COMPUTED_VALUE"""),"57½")</f>
        <v>57½</v>
      </c>
      <c r="K223" t="str">
        <f>IFERROR(__xludf.DUMMYFUNCTION("""COMPUTED_VALUE"""),"Vu")</f>
        <v>Vu</v>
      </c>
      <c r="L223">
        <f>IFERROR(__xludf.DUMMYFUNCTION("""COMPUTED_VALUE"""),9999.0)</f>
        <v>9999</v>
      </c>
      <c r="M223" s="124">
        <v>1.0</v>
      </c>
    </row>
    <row r="224">
      <c r="A224" s="151">
        <f>IFERROR(__xludf.DUMMYFUNCTION("""COMPUTED_VALUE"""),43709.147748564814)</f>
        <v>43709.14775</v>
      </c>
      <c r="B224" t="str">
        <f>IFERROR(__xludf.DUMMYFUNCTION("""COMPUTED_VALUE"""),"Brad")</f>
        <v>Brad</v>
      </c>
      <c r="C224" t="str">
        <f>IFERROR(__xludf.DUMMYFUNCTION("""COMPUTED_VALUE"""),"Utah")</f>
        <v>Utah</v>
      </c>
      <c r="D224">
        <f>IFERROR(__xludf.DUMMYFUNCTION("""COMPUTED_VALUE"""),1.0)</f>
        <v>1</v>
      </c>
      <c r="E224">
        <f>IFERROR(__xludf.DUMMYFUNCTION("""COMPUTED_VALUE"""),0.0)</f>
        <v>0</v>
      </c>
      <c r="F224" t="str">
        <f>IFERROR(__xludf.DUMMYFUNCTION("""COMPUTED_VALUE"""),"ESPN")</f>
        <v>ESPN</v>
      </c>
      <c r="G224" t="str">
        <f>IFERROR(__xludf.DUMMYFUNCTION("""COMPUTED_VALUE"""),"(15) Utah 30 at BYU 12")</f>
        <v>(15) Utah 30 at BYU 12</v>
      </c>
      <c r="H224" t="str">
        <f>IFERROR(__xludf.DUMMYFUNCTION("""COMPUTED_VALUE"""),"FINAL")</f>
        <v>FINAL</v>
      </c>
      <c r="I224">
        <f>IFERROR(__xludf.DUMMYFUNCTION("""COMPUTED_VALUE"""),-5.0)</f>
        <v>-5</v>
      </c>
      <c r="J224">
        <f>IFERROR(__xludf.DUMMYFUNCTION("""COMPUTED_VALUE"""),48.0)</f>
        <v>48</v>
      </c>
      <c r="K224" t="str">
        <f>IFERROR(__xludf.DUMMYFUNCTION("""COMPUTED_VALUE"""),"Gary")</f>
        <v>Gary</v>
      </c>
      <c r="L224">
        <f>IFERROR(__xludf.DUMMYFUNCTION("""COMPUTED_VALUE"""),9999.0)</f>
        <v>9999</v>
      </c>
      <c r="M224" s="124">
        <v>1.0</v>
      </c>
    </row>
    <row r="225">
      <c r="A225" s="151">
        <f>IFERROR(__xludf.DUMMYFUNCTION("""COMPUTED_VALUE"""),43709.147748564814)</f>
        <v>43709.14775</v>
      </c>
      <c r="B225" t="str">
        <f>IFERROR(__xludf.DUMMYFUNCTION("""COMPUTED_VALUE"""),"Brad")</f>
        <v>Brad</v>
      </c>
      <c r="C225" t="str">
        <f>IFERROR(__xludf.DUMMYFUNCTION("""COMPUTED_VALUE"""),"Colorado State")</f>
        <v>Colorado State</v>
      </c>
      <c r="D225">
        <f>IFERROR(__xludf.DUMMYFUNCTION("""COMPUTED_VALUE"""),0.0)</f>
        <v>0</v>
      </c>
      <c r="E225">
        <f>IFERROR(__xludf.DUMMYFUNCTION("""COMPUTED_VALUE"""),1.0)</f>
        <v>1</v>
      </c>
      <c r="F225" t="str">
        <f>IFERROR(__xludf.DUMMYFUNCTION("""COMPUTED_VALUE"""),"ESPN")</f>
        <v>ESPN</v>
      </c>
      <c r="G225" t="str">
        <f>IFERROR(__xludf.DUMMYFUNCTION("""COMPUTED_VALUE"""),"Colorado State 31 at Colorado 52")</f>
        <v>Colorado State 31 at Colorado 52</v>
      </c>
      <c r="H225" t="str">
        <f>IFERROR(__xludf.DUMMYFUNCTION("""COMPUTED_VALUE"""),"FINAL")</f>
        <v>FINAL</v>
      </c>
      <c r="I225">
        <f>IFERROR(__xludf.DUMMYFUNCTION("""COMPUTED_VALUE"""),13.0)</f>
        <v>13</v>
      </c>
      <c r="J225" t="str">
        <f>IFERROR(__xludf.DUMMYFUNCTION("""COMPUTED_VALUE"""),"58½")</f>
        <v>58½</v>
      </c>
      <c r="K225" t="str">
        <f>IFERROR(__xludf.DUMMYFUNCTION("""COMPUTED_VALUE"""),"Jeannine")</f>
        <v>Jeannine</v>
      </c>
      <c r="L225">
        <f>IFERROR(__xludf.DUMMYFUNCTION("""COMPUTED_VALUE"""),9999.0)</f>
        <v>9999</v>
      </c>
      <c r="M225" s="124">
        <v>1.0</v>
      </c>
    </row>
    <row r="226">
      <c r="A226" s="151">
        <f>IFERROR(__xludf.DUMMYFUNCTION("""COMPUTED_VALUE"""),43709.147748564814)</f>
        <v>43709.14775</v>
      </c>
      <c r="B226" t="str">
        <f>IFERROR(__xludf.DUMMYFUNCTION("""COMPUTED_VALUE"""),"Brad")</f>
        <v>Brad</v>
      </c>
      <c r="C226" t="str">
        <f>IFERROR(__xludf.DUMMYFUNCTION("""COMPUTED_VALUE"""),"Oklahoma State")</f>
        <v>Oklahoma State</v>
      </c>
      <c r="D226">
        <f>IFERROR(__xludf.DUMMYFUNCTION("""COMPUTED_VALUE"""),1.0)</f>
        <v>1</v>
      </c>
      <c r="E226">
        <f>IFERROR(__xludf.DUMMYFUNCTION("""COMPUTED_VALUE"""),0.0)</f>
        <v>0</v>
      </c>
      <c r="F226" t="str">
        <f>IFERROR(__xludf.DUMMYFUNCTION("""COMPUTED_VALUE"""),"FS1")</f>
        <v>FS1</v>
      </c>
      <c r="G226" t="str">
        <f>IFERROR(__xludf.DUMMYFUNCTION("""COMPUTED_VALUE"""),"Oklahoma State 52 at Oregon State 36")</f>
        <v>Oklahoma State 52 at Oregon State 36</v>
      </c>
      <c r="H226" t="str">
        <f>IFERROR(__xludf.DUMMYFUNCTION("""COMPUTED_VALUE"""),"FINAL")</f>
        <v>FINAL</v>
      </c>
      <c r="I226">
        <f>IFERROR(__xludf.DUMMYFUNCTION("""COMPUTED_VALUE"""),-15.0)</f>
        <v>-15</v>
      </c>
      <c r="J226" t="str">
        <f>IFERROR(__xludf.DUMMYFUNCTION("""COMPUTED_VALUE"""),"73½")</f>
        <v>73½</v>
      </c>
      <c r="K226" t="str">
        <f>IFERROR(__xludf.DUMMYFUNCTION("""COMPUTED_VALUE"""),"Adam")</f>
        <v>Adam</v>
      </c>
      <c r="L226">
        <f>IFERROR(__xludf.DUMMYFUNCTION("""COMPUTED_VALUE"""),9999.0)</f>
        <v>9999</v>
      </c>
      <c r="M226" s="124">
        <v>1.0</v>
      </c>
    </row>
    <row r="227">
      <c r="A227" s="151">
        <f>IFERROR(__xludf.DUMMYFUNCTION("""COMPUTED_VALUE"""),43709.147748564814)</f>
        <v>43709.14775</v>
      </c>
      <c r="B227" t="str">
        <f>IFERROR(__xludf.DUMMYFUNCTION("""COMPUTED_VALUE"""),"Brad")</f>
        <v>Brad</v>
      </c>
      <c r="C227" t="str">
        <f>IFERROR(__xludf.DUMMYFUNCTION("""COMPUTED_VALUE"""),"Indiana")</f>
        <v>Indiana</v>
      </c>
      <c r="D227">
        <f>IFERROR(__xludf.DUMMYFUNCTION("""COMPUTED_VALUE"""),1.0)</f>
        <v>1</v>
      </c>
      <c r="E227">
        <f>IFERROR(__xludf.DUMMYFUNCTION("""COMPUTED_VALUE"""),0.0)</f>
        <v>0</v>
      </c>
      <c r="F227" t="str">
        <f>IFERROR(__xludf.DUMMYFUNCTION("""COMPUTED_VALUE"""),"NA")</f>
        <v>NA</v>
      </c>
      <c r="G227" t="str">
        <f>IFERROR(__xludf.DUMMYFUNCTION("""COMPUTED_VALUE"""),"Indiana 34 at Ball State 24")</f>
        <v>Indiana 34 at Ball State 24</v>
      </c>
      <c r="H227" t="str">
        <f>IFERROR(__xludf.DUMMYFUNCTION("""COMPUTED_VALUE"""),"FINAL")</f>
        <v>FINAL</v>
      </c>
      <c r="I227">
        <f>IFERROR(__xludf.DUMMYFUNCTION("""COMPUTED_VALUE"""),-17.0)</f>
        <v>-17</v>
      </c>
      <c r="J227">
        <f>IFERROR(__xludf.DUMMYFUNCTION("""COMPUTED_VALUE"""),60.0)</f>
        <v>60</v>
      </c>
      <c r="K227" t="str">
        <f>IFERROR(__xludf.DUMMYFUNCTION("""COMPUTED_VALUE"""),"DavEmily")</f>
        <v>DavEmily</v>
      </c>
      <c r="L227">
        <f>IFERROR(__xludf.DUMMYFUNCTION("""COMPUTED_VALUE"""),9999.0)</f>
        <v>9999</v>
      </c>
      <c r="M227" s="124">
        <v>1.0</v>
      </c>
    </row>
    <row r="228">
      <c r="A228" s="151">
        <f>IFERROR(__xludf.DUMMYFUNCTION("""COMPUTED_VALUE"""),43709.147748564814)</f>
        <v>43709.14775</v>
      </c>
      <c r="B228" t="str">
        <f>IFERROR(__xludf.DUMMYFUNCTION("""COMPUTED_VALUE"""),"Brad")</f>
        <v>Brad</v>
      </c>
      <c r="C228" t="str">
        <f>IFERROR(__xludf.DUMMYFUNCTION("""COMPUTED_VALUE"""),"Memphis")</f>
        <v>Memphis</v>
      </c>
      <c r="D228">
        <f>IFERROR(__xludf.DUMMYFUNCTION("""COMPUTED_VALUE"""),1.0)</f>
        <v>1</v>
      </c>
      <c r="E228">
        <f>IFERROR(__xludf.DUMMYFUNCTION("""COMPUTED_VALUE"""),0.0)</f>
        <v>0</v>
      </c>
      <c r="F228" t="str">
        <f>IFERROR(__xludf.DUMMYFUNCTION("""COMPUTED_VALUE"""),"ABC")</f>
        <v>ABC</v>
      </c>
      <c r="G228" t="str">
        <f>IFERROR(__xludf.DUMMYFUNCTION("""COMPUTED_VALUE"""),"Ole Miss 10 at Memphis 15")</f>
        <v>Ole Miss 10 at Memphis 15</v>
      </c>
      <c r="H228" t="str">
        <f>IFERROR(__xludf.DUMMYFUNCTION("""COMPUTED_VALUE"""),"FINAL")</f>
        <v>FINAL</v>
      </c>
      <c r="I228" t="str">
        <f>IFERROR(__xludf.DUMMYFUNCTION("""COMPUTED_VALUE"""),"-5½")</f>
        <v>-5½</v>
      </c>
      <c r="J228" t="str">
        <f>IFERROR(__xludf.DUMMYFUNCTION("""COMPUTED_VALUE"""),"67½")</f>
        <v>67½</v>
      </c>
      <c r="K228" t="str">
        <f>IFERROR(__xludf.DUMMYFUNCTION("""COMPUTED_VALUE"""),"Undrafted")</f>
        <v>Undrafted</v>
      </c>
      <c r="L228">
        <f>IFERROR(__xludf.DUMMYFUNCTION("""COMPUTED_VALUE"""),9999.0)</f>
        <v>9999</v>
      </c>
      <c r="M228" s="124">
        <v>1.0</v>
      </c>
    </row>
    <row r="229">
      <c r="A229" s="151">
        <f>IFERROR(__xludf.DUMMYFUNCTION("""COMPUTED_VALUE"""),43709.147748564814)</f>
        <v>43709.14775</v>
      </c>
      <c r="B229" t="str">
        <f>IFERROR(__xludf.DUMMYFUNCTION("""COMPUTED_VALUE"""),"Brad")</f>
        <v>Brad</v>
      </c>
      <c r="C229" t="str">
        <f>IFERROR(__xludf.DUMMYFUNCTION("""COMPUTED_VALUE"""),"EMU")</f>
        <v>EMU</v>
      </c>
      <c r="D229">
        <f>IFERROR(__xludf.DUMMYFUNCTION("""COMPUTED_VALUE"""),1.0)</f>
        <v>1</v>
      </c>
      <c r="E229">
        <f>IFERROR(__xludf.DUMMYFUNCTION("""COMPUTED_VALUE"""),0.0)</f>
        <v>0</v>
      </c>
      <c r="F229" t="str">
        <f>IFERROR(__xludf.DUMMYFUNCTION("""COMPUTED_VALUE"""),"NA")</f>
        <v>NA</v>
      </c>
      <c r="G229" t="str">
        <f>IFERROR(__xludf.DUMMYFUNCTION("""COMPUTED_VALUE"""),"EMU 30 at Coastal Carolina 23")</f>
        <v>EMU 30 at Coastal Carolina 23</v>
      </c>
      <c r="H229" t="str">
        <f>IFERROR(__xludf.DUMMYFUNCTION("""COMPUTED_VALUE"""),"FINAL")</f>
        <v>FINAL</v>
      </c>
      <c r="I229" t="str">
        <f>IFERROR(__xludf.DUMMYFUNCTION("""COMPUTED_VALUE"""),"-5½")</f>
        <v>-5½</v>
      </c>
      <c r="J229">
        <f>IFERROR(__xludf.DUMMYFUNCTION("""COMPUTED_VALUE"""),55.0)</f>
        <v>55</v>
      </c>
      <c r="K229" t="str">
        <f>IFERROR(__xludf.DUMMYFUNCTION("""COMPUTED_VALUE"""),"DavEmily")</f>
        <v>DavEmily</v>
      </c>
      <c r="L229">
        <f>IFERROR(__xludf.DUMMYFUNCTION("""COMPUTED_VALUE"""),9999.0)</f>
        <v>9999</v>
      </c>
      <c r="M229" s="124">
        <v>1.0</v>
      </c>
    </row>
    <row r="230">
      <c r="A230" s="151">
        <f>IFERROR(__xludf.DUMMYFUNCTION("""COMPUTED_VALUE"""),43709.147748564814)</f>
        <v>43709.14775</v>
      </c>
      <c r="B230" t="str">
        <f>IFERROR(__xludf.DUMMYFUNCTION("""COMPUTED_VALUE"""),"Brad")</f>
        <v>Brad</v>
      </c>
      <c r="C230" t="str">
        <f>IFERROR(__xludf.DUMMYFUNCTION("""COMPUTED_VALUE"""),"South Carolina")</f>
        <v>South Carolina</v>
      </c>
      <c r="D230">
        <f>IFERROR(__xludf.DUMMYFUNCTION("""COMPUTED_VALUE"""),0.0)</f>
        <v>0</v>
      </c>
      <c r="E230">
        <f>IFERROR(__xludf.DUMMYFUNCTION("""COMPUTED_VALUE"""),1.0)</f>
        <v>1</v>
      </c>
      <c r="F230" t="str">
        <f>IFERROR(__xludf.DUMMYFUNCTION("""COMPUTED_VALUE"""),"NA")</f>
        <v>NA</v>
      </c>
      <c r="G230" t="str">
        <f>IFERROR(__xludf.DUMMYFUNCTION("""COMPUTED_VALUE"""),"South Carolina 20 at North Carolina 24")</f>
        <v>South Carolina 20 at North Carolina 24</v>
      </c>
      <c r="H230" t="str">
        <f>IFERROR(__xludf.DUMMYFUNCTION("""COMPUTED_VALUE"""),"FINAL")</f>
        <v>FINAL</v>
      </c>
      <c r="I230" t="str">
        <f>IFERROR(__xludf.DUMMYFUNCTION("""COMPUTED_VALUE"""),"-9½")</f>
        <v>-9½</v>
      </c>
      <c r="J230" t="str">
        <f>IFERROR(__xludf.DUMMYFUNCTION("""COMPUTED_VALUE"""),"63½")</f>
        <v>63½</v>
      </c>
      <c r="K230" t="str">
        <f>IFERROR(__xludf.DUMMYFUNCTION("""COMPUTED_VALUE"""),"Nico")</f>
        <v>Nico</v>
      </c>
      <c r="L230">
        <f>IFERROR(__xludf.DUMMYFUNCTION("""COMPUTED_VALUE"""),9999.0)</f>
        <v>9999</v>
      </c>
      <c r="M230" s="124">
        <v>1.0</v>
      </c>
    </row>
    <row r="231">
      <c r="A231" s="151">
        <f>IFERROR(__xludf.DUMMYFUNCTION("""COMPUTED_VALUE"""),43709.147748564814)</f>
        <v>43709.14775</v>
      </c>
      <c r="B231" t="str">
        <f>IFERROR(__xludf.DUMMYFUNCTION("""COMPUTED_VALUE"""),"Brad")</f>
        <v>Brad</v>
      </c>
      <c r="C231" t="str">
        <f>IFERROR(__xludf.DUMMYFUNCTION("""COMPUTED_VALUE"""),"Louisiana Tech")</f>
        <v>Louisiana Tech</v>
      </c>
      <c r="D231">
        <f>IFERROR(__xludf.DUMMYFUNCTION("""COMPUTED_VALUE"""),0.0)</f>
        <v>0</v>
      </c>
      <c r="E231">
        <f>IFERROR(__xludf.DUMMYFUNCTION("""COMPUTED_VALUE"""),1.0)</f>
        <v>1</v>
      </c>
      <c r="F231" t="str">
        <f>IFERROR(__xludf.DUMMYFUNCTION("""COMPUTED_VALUE"""),"LHN")</f>
        <v>LHN</v>
      </c>
      <c r="G231" t="str">
        <f>IFERROR(__xludf.DUMMYFUNCTION("""COMPUTED_VALUE"""),"Louisiana Tech 14 at (10) Texas 45")</f>
        <v>Louisiana Tech 14 at (10) Texas 45</v>
      </c>
      <c r="H231" t="str">
        <f>IFERROR(__xludf.DUMMYFUNCTION("""COMPUTED_VALUE"""),"FINAL")</f>
        <v>FINAL</v>
      </c>
      <c r="I231" t="str">
        <f>IFERROR(__xludf.DUMMYFUNCTION("""COMPUTED_VALUE"""),"20½")</f>
        <v>20½</v>
      </c>
      <c r="J231">
        <f>IFERROR(__xludf.DUMMYFUNCTION("""COMPUTED_VALUE"""),55.0)</f>
        <v>55</v>
      </c>
      <c r="K231" t="str">
        <f>IFERROR(__xludf.DUMMYFUNCTION("""COMPUTED_VALUE"""),"Adam")</f>
        <v>Adam</v>
      </c>
      <c r="L231">
        <f>IFERROR(__xludf.DUMMYFUNCTION("""COMPUTED_VALUE"""),9999.0)</f>
        <v>9999</v>
      </c>
      <c r="M231" s="124">
        <v>1.0</v>
      </c>
    </row>
    <row r="232">
      <c r="A232" s="151">
        <f>IFERROR(__xludf.DUMMYFUNCTION("""COMPUTED_VALUE"""),43709.147748564814)</f>
        <v>43709.14775</v>
      </c>
      <c r="B232" t="str">
        <f>IFERROR(__xludf.DUMMYFUNCTION("""COMPUTED_VALUE"""),"Nick G.")</f>
        <v>Nick G.</v>
      </c>
      <c r="C232" t="str">
        <f>IFERROR(__xludf.DUMMYFUNCTION("""COMPUTED_VALUE"""),"UConn")</f>
        <v>UConn</v>
      </c>
      <c r="D232">
        <f>IFERROR(__xludf.DUMMYFUNCTION("""COMPUTED_VALUE"""),1.0)</f>
        <v>1</v>
      </c>
      <c r="E232">
        <f>IFERROR(__xludf.DUMMYFUNCTION("""COMPUTED_VALUE"""),0.0)</f>
        <v>0</v>
      </c>
      <c r="F232" t="str">
        <f>IFERROR(__xludf.DUMMYFUNCTION("""COMPUTED_VALUE"""),"espn3 Video")</f>
        <v>espn3 Video</v>
      </c>
      <c r="G232" t="str">
        <f>IFERROR(__xludf.DUMMYFUNCTION("""COMPUTED_VALUE"""),"Wagner 21 at UConn 24")</f>
        <v>Wagner 21 at UConn 24</v>
      </c>
      <c r="H232" t="str">
        <f>IFERROR(__xludf.DUMMYFUNCTION("""COMPUTED_VALUE"""),"FINAL")</f>
        <v>FINAL</v>
      </c>
      <c r="I232" t="str">
        <f>IFERROR(__xludf.DUMMYFUNCTION("""COMPUTED_VALUE"""),"-17½")</f>
        <v>-17½</v>
      </c>
      <c r="J232" t="str">
        <f>IFERROR(__xludf.DUMMYFUNCTION("""COMPUTED_VALUE"""),"70½")</f>
        <v>70½</v>
      </c>
      <c r="K232" t="str">
        <f>IFERROR(__xludf.DUMMYFUNCTION("""COMPUTED_VALUE"""),"Undrafted")</f>
        <v>Undrafted</v>
      </c>
      <c r="L232">
        <f>IFERROR(__xludf.DUMMYFUNCTION("""COMPUTED_VALUE"""),9999.0)</f>
        <v>9999</v>
      </c>
      <c r="M232" s="124">
        <v>1.0</v>
      </c>
    </row>
    <row r="233">
      <c r="A233" s="151">
        <f>IFERROR(__xludf.DUMMYFUNCTION("""COMPUTED_VALUE"""),43709.147748564814)</f>
        <v>43709.14775</v>
      </c>
      <c r="B233" t="str">
        <f>IFERROR(__xludf.DUMMYFUNCTION("""COMPUTED_VALUE"""),"Nick G.")</f>
        <v>Nick G.</v>
      </c>
      <c r="C233" t="str">
        <f>IFERROR(__xludf.DUMMYFUNCTION("""COMPUTED_VALUE"""),"Central Michigan")</f>
        <v>Central Michigan</v>
      </c>
      <c r="D233">
        <f>IFERROR(__xludf.DUMMYFUNCTION("""COMPUTED_VALUE"""),1.0)</f>
        <v>1</v>
      </c>
      <c r="E233">
        <f>IFERROR(__xludf.DUMMYFUNCTION("""COMPUTED_VALUE"""),0.0)</f>
        <v>0</v>
      </c>
      <c r="F233" t="str">
        <f>IFERROR(__xludf.DUMMYFUNCTION("""COMPUTED_VALUE"""),"espn3 Video")</f>
        <v>espn3 Video</v>
      </c>
      <c r="G233" t="str">
        <f>IFERROR(__xludf.DUMMYFUNCTION("""COMPUTED_VALUE"""),"Albany 21 at Central Michigan 38")</f>
        <v>Albany 21 at Central Michigan 38</v>
      </c>
      <c r="H233" t="str">
        <f>IFERROR(__xludf.DUMMYFUNCTION("""COMPUTED_VALUE"""),"FINAL")</f>
        <v>FINAL</v>
      </c>
      <c r="I233">
        <f>IFERROR(__xludf.DUMMYFUNCTION("""COMPUTED_VALUE"""),-14.0)</f>
        <v>-14</v>
      </c>
      <c r="J233" t="str">
        <f>IFERROR(__xludf.DUMMYFUNCTION("""COMPUTED_VALUE"""),"45½")</f>
        <v>45½</v>
      </c>
      <c r="K233" t="str">
        <f>IFERROR(__xludf.DUMMYFUNCTION("""COMPUTED_VALUE"""),"Undrafted")</f>
        <v>Undrafted</v>
      </c>
      <c r="L233">
        <f>IFERROR(__xludf.DUMMYFUNCTION("""COMPUTED_VALUE"""),9999.0)</f>
        <v>9999</v>
      </c>
      <c r="M233" s="124">
        <v>1.0</v>
      </c>
    </row>
    <row r="234">
      <c r="A234" s="151">
        <f>IFERROR(__xludf.DUMMYFUNCTION("""COMPUTED_VALUE"""),43709.147748564814)</f>
        <v>43709.14775</v>
      </c>
      <c r="B234" t="str">
        <f>IFERROR(__xludf.DUMMYFUNCTION("""COMPUTED_VALUE"""),"Nick G.")</f>
        <v>Nick G.</v>
      </c>
      <c r="C234" t="str">
        <f>IFERROR(__xludf.DUMMYFUNCTION("""COMPUTED_VALUE"""),"Ohio State")</f>
        <v>Ohio State</v>
      </c>
      <c r="D234">
        <f>IFERROR(__xludf.DUMMYFUNCTION("""COMPUTED_VALUE"""),1.0)</f>
        <v>1</v>
      </c>
      <c r="E234">
        <f>IFERROR(__xludf.DUMMYFUNCTION("""COMPUTED_VALUE"""),0.0)</f>
        <v>0</v>
      </c>
      <c r="F234" t="str">
        <f>IFERROR(__xludf.DUMMYFUNCTION("""COMPUTED_VALUE"""),"FOX")</f>
        <v>FOX</v>
      </c>
      <c r="G234" t="str">
        <f>IFERROR(__xludf.DUMMYFUNCTION("""COMPUTED_VALUE"""),"Florida Atlantic 21 at (5) Ohio State 45")</f>
        <v>Florida Atlantic 21 at (5) Ohio State 45</v>
      </c>
      <c r="H234" t="str">
        <f>IFERROR(__xludf.DUMMYFUNCTION("""COMPUTED_VALUE"""),"FINAL")</f>
        <v>FINAL</v>
      </c>
      <c r="I234" t="str">
        <f>IFERROR(__xludf.DUMMYFUNCTION("""COMPUTED_VALUE"""),"-27½")</f>
        <v>-27½</v>
      </c>
      <c r="J234" t="str">
        <f>IFERROR(__xludf.DUMMYFUNCTION("""COMPUTED_VALUE"""),"63½")</f>
        <v>63½</v>
      </c>
      <c r="K234" t="str">
        <f>IFERROR(__xludf.DUMMYFUNCTION("""COMPUTED_VALUE"""),"Nick G.")</f>
        <v>Nick G.</v>
      </c>
      <c r="L234">
        <f>IFERROR(__xludf.DUMMYFUNCTION("""COMPUTED_VALUE"""),9999.0)</f>
        <v>9999</v>
      </c>
      <c r="M234" s="124">
        <v>1.0</v>
      </c>
    </row>
    <row r="235">
      <c r="A235" s="151">
        <f>IFERROR(__xludf.DUMMYFUNCTION("""COMPUTED_VALUE"""),43709.147748564814)</f>
        <v>43709.14775</v>
      </c>
      <c r="B235" t="str">
        <f>IFERROR(__xludf.DUMMYFUNCTION("""COMPUTED_VALUE"""),"Nick G.")</f>
        <v>Nick G.</v>
      </c>
      <c r="C235" t="str">
        <f>IFERROR(__xludf.DUMMYFUNCTION("""COMPUTED_VALUE"""),"Florida Atlantic")</f>
        <v>Florida Atlantic</v>
      </c>
      <c r="D235">
        <f>IFERROR(__xludf.DUMMYFUNCTION("""COMPUTED_VALUE"""),0.0)</f>
        <v>0</v>
      </c>
      <c r="E235">
        <f>IFERROR(__xludf.DUMMYFUNCTION("""COMPUTED_VALUE"""),1.0)</f>
        <v>1</v>
      </c>
      <c r="F235" t="str">
        <f>IFERROR(__xludf.DUMMYFUNCTION("""COMPUTED_VALUE"""),"FOX")</f>
        <v>FOX</v>
      </c>
      <c r="G235" t="str">
        <f>IFERROR(__xludf.DUMMYFUNCTION("""COMPUTED_VALUE"""),"Florida Atlantic 21 at (5) Ohio State 45")</f>
        <v>Florida Atlantic 21 at (5) Ohio State 45</v>
      </c>
      <c r="H235" t="str">
        <f>IFERROR(__xludf.DUMMYFUNCTION("""COMPUTED_VALUE"""),"FINAL")</f>
        <v>FINAL</v>
      </c>
      <c r="I235" t="str">
        <f>IFERROR(__xludf.DUMMYFUNCTION("""COMPUTED_VALUE"""),"27½")</f>
        <v>27½</v>
      </c>
      <c r="J235" t="str">
        <f>IFERROR(__xludf.DUMMYFUNCTION("""COMPUTED_VALUE"""),"63½")</f>
        <v>63½</v>
      </c>
      <c r="K235" t="str">
        <f>IFERROR(__xludf.DUMMYFUNCTION("""COMPUTED_VALUE"""),"Nick G.")</f>
        <v>Nick G.</v>
      </c>
      <c r="L235">
        <f>IFERROR(__xludf.DUMMYFUNCTION("""COMPUTED_VALUE"""),9999.0)</f>
        <v>9999</v>
      </c>
      <c r="M235" s="124">
        <v>1.0</v>
      </c>
    </row>
    <row r="236">
      <c r="A236" s="151">
        <f>IFERROR(__xludf.DUMMYFUNCTION("""COMPUTED_VALUE"""),43709.147748564814)</f>
        <v>43709.14775</v>
      </c>
      <c r="B236" t="str">
        <f>IFERROR(__xludf.DUMMYFUNCTION("""COMPUTED_VALUE"""),"Nick G.")</f>
        <v>Nick G.</v>
      </c>
      <c r="C236" t="str">
        <f>IFERROR(__xludf.DUMMYFUNCTION("""COMPUTED_VALUE"""),"NC State")</f>
        <v>NC State</v>
      </c>
      <c r="D236">
        <f>IFERROR(__xludf.DUMMYFUNCTION("""COMPUTED_VALUE"""),1.0)</f>
        <v>1</v>
      </c>
      <c r="E236">
        <f>IFERROR(__xludf.DUMMYFUNCTION("""COMPUTED_VALUE"""),0.0)</f>
        <v>0</v>
      </c>
      <c r="F236" t="str">
        <f>IFERROR(__xludf.DUMMYFUNCTION("""COMPUTED_VALUE"""),"ACC Network")</f>
        <v>ACC Network</v>
      </c>
      <c r="G236" t="str">
        <f>IFERROR(__xludf.DUMMYFUNCTION("""COMPUTED_VALUE"""),"East Carolina 6 at NC State 34")</f>
        <v>East Carolina 6 at NC State 34</v>
      </c>
      <c r="H236" t="str">
        <f>IFERROR(__xludf.DUMMYFUNCTION("""COMPUTED_VALUE"""),"FINAL")</f>
        <v>FINAL</v>
      </c>
      <c r="I236" t="str">
        <f>IFERROR(__xludf.DUMMYFUNCTION("""COMPUTED_VALUE"""),"-16½")</f>
        <v>-16½</v>
      </c>
      <c r="J236">
        <f>IFERROR(__xludf.DUMMYFUNCTION("""COMPUTED_VALUE"""),55.0)</f>
        <v>55</v>
      </c>
      <c r="K236" t="str">
        <f>IFERROR(__xludf.DUMMYFUNCTION("""COMPUTED_VALUE"""),"Nick A.")</f>
        <v>Nick A.</v>
      </c>
      <c r="L236">
        <f>IFERROR(__xludf.DUMMYFUNCTION("""COMPUTED_VALUE"""),9999.0)</f>
        <v>9999</v>
      </c>
      <c r="M236" s="124">
        <v>1.0</v>
      </c>
    </row>
    <row r="237">
      <c r="A237" s="151">
        <f>IFERROR(__xludf.DUMMYFUNCTION("""COMPUTED_VALUE"""),43709.147748564814)</f>
        <v>43709.14775</v>
      </c>
      <c r="B237" t="str">
        <f>IFERROR(__xludf.DUMMYFUNCTION("""COMPUTED_VALUE"""),"Nick G.")</f>
        <v>Nick G.</v>
      </c>
      <c r="C237" t="str">
        <f>IFERROR(__xludf.DUMMYFUNCTION("""COMPUTED_VALUE"""),"Stanford")</f>
        <v>Stanford</v>
      </c>
      <c r="D237">
        <f>IFERROR(__xludf.DUMMYFUNCTION("""COMPUTED_VALUE"""),1.0)</f>
        <v>1</v>
      </c>
      <c r="E237">
        <f>IFERROR(__xludf.DUMMYFUNCTION("""COMPUTED_VALUE"""),0.0)</f>
        <v>0</v>
      </c>
      <c r="F237" t="str">
        <f>IFERROR(__xludf.DUMMYFUNCTION("""COMPUTED_VALUE"""),"FOX")</f>
        <v>FOX</v>
      </c>
      <c r="G237" t="str">
        <f>IFERROR(__xludf.DUMMYFUNCTION("""COMPUTED_VALUE"""),"(25) Northwestern 7 at (23) Stanford 17")</f>
        <v>(25) Northwestern 7 at (23) Stanford 17</v>
      </c>
      <c r="H237" t="str">
        <f>IFERROR(__xludf.DUMMYFUNCTION("""COMPUTED_VALUE"""),"FINAL")</f>
        <v>FINAL</v>
      </c>
      <c r="I237" t="str">
        <f>IFERROR(__xludf.DUMMYFUNCTION("""COMPUTED_VALUE"""),"-6½")</f>
        <v>-6½</v>
      </c>
      <c r="J237">
        <f>IFERROR(__xludf.DUMMYFUNCTION("""COMPUTED_VALUE"""),47.0)</f>
        <v>47</v>
      </c>
      <c r="K237" t="str">
        <f>IFERROR(__xludf.DUMMYFUNCTION("""COMPUTED_VALUE"""),"Adam")</f>
        <v>Adam</v>
      </c>
      <c r="L237">
        <f>IFERROR(__xludf.DUMMYFUNCTION("""COMPUTED_VALUE"""),9999.0)</f>
        <v>9999</v>
      </c>
      <c r="M237" s="124">
        <v>1.0</v>
      </c>
    </row>
    <row r="238">
      <c r="A238" s="151">
        <f>IFERROR(__xludf.DUMMYFUNCTION("""COMPUTED_VALUE"""),43709.147748564814)</f>
        <v>43709.14775</v>
      </c>
      <c r="B238" t="str">
        <f>IFERROR(__xludf.DUMMYFUNCTION("""COMPUTED_VALUE"""),"Nick G.")</f>
        <v>Nick G.</v>
      </c>
      <c r="C238" t="str">
        <f>IFERROR(__xludf.DUMMYFUNCTION("""COMPUTED_VALUE"""),"Troy")</f>
        <v>Troy</v>
      </c>
      <c r="D238">
        <f>IFERROR(__xludf.DUMMYFUNCTION("""COMPUTED_VALUE"""),1.0)</f>
        <v>1</v>
      </c>
      <c r="E238">
        <f>IFERROR(__xludf.DUMMYFUNCTION("""COMPUTED_VALUE"""),0.0)</f>
        <v>0</v>
      </c>
      <c r="F238" t="str">
        <f>IFERROR(__xludf.DUMMYFUNCTION("""COMPUTED_VALUE"""),"espn+ Video")</f>
        <v>espn+ Video</v>
      </c>
      <c r="G238" t="str">
        <f>IFERROR(__xludf.DUMMYFUNCTION("""COMPUTED_VALUE"""),"Campbell 14 at Troy 43")</f>
        <v>Campbell 14 at Troy 43</v>
      </c>
      <c r="H238" t="str">
        <f>IFERROR(__xludf.DUMMYFUNCTION("""COMPUTED_VALUE"""),"FINAL")</f>
        <v>FINAL</v>
      </c>
      <c r="I238" t="str">
        <f>IFERROR(__xludf.DUMMYFUNCTION("""COMPUTED_VALUE"""),"-35½")</f>
        <v>-35½</v>
      </c>
      <c r="J238" t="str">
        <f>IFERROR(__xludf.DUMMYFUNCTION("""COMPUTED_VALUE"""),"48½")</f>
        <v>48½</v>
      </c>
      <c r="K238" t="str">
        <f>IFERROR(__xludf.DUMMYFUNCTION("""COMPUTED_VALUE"""),"Undrafted")</f>
        <v>Undrafted</v>
      </c>
      <c r="L238">
        <f>IFERROR(__xludf.DUMMYFUNCTION("""COMPUTED_VALUE"""),9999.0)</f>
        <v>9999</v>
      </c>
      <c r="M238" s="124">
        <v>1.0</v>
      </c>
    </row>
    <row r="239">
      <c r="A239" s="151">
        <f>IFERROR(__xludf.DUMMYFUNCTION("""COMPUTED_VALUE"""),43709.147748564814)</f>
        <v>43709.14775</v>
      </c>
      <c r="B239" t="str">
        <f>IFERROR(__xludf.DUMMYFUNCTION("""COMPUTED_VALUE"""),"Nick G.")</f>
        <v>Nick G.</v>
      </c>
      <c r="C239" t="str">
        <f>IFERROR(__xludf.DUMMYFUNCTION("""COMPUTED_VALUE"""),"Kansas State")</f>
        <v>Kansas State</v>
      </c>
      <c r="D239">
        <f>IFERROR(__xludf.DUMMYFUNCTION("""COMPUTED_VALUE"""),1.0)</f>
        <v>1</v>
      </c>
      <c r="E239">
        <f>IFERROR(__xludf.DUMMYFUNCTION("""COMPUTED_VALUE"""),0.0)</f>
        <v>0</v>
      </c>
      <c r="F239" t="str">
        <f>IFERROR(__xludf.DUMMYFUNCTION("""COMPUTED_VALUE"""),"espn+ Video")</f>
        <v>espn+ Video</v>
      </c>
      <c r="G239" t="str">
        <f>IFERROR(__xludf.DUMMYFUNCTION("""COMPUTED_VALUE"""),"Nicholls 14 at Kansas State 49")</f>
        <v>Nicholls 14 at Kansas State 49</v>
      </c>
      <c r="H239" t="str">
        <f>IFERROR(__xludf.DUMMYFUNCTION("""COMPUTED_VALUE"""),"FINAL")</f>
        <v>FINAL</v>
      </c>
      <c r="I239" t="str">
        <f>IFERROR(__xludf.DUMMYFUNCTION("""COMPUTED_VALUE"""),"-23½")</f>
        <v>-23½</v>
      </c>
      <c r="J239" t="str">
        <f>IFERROR(__xludf.DUMMYFUNCTION("""COMPUTED_VALUE"""),"47½")</f>
        <v>47½</v>
      </c>
      <c r="K239" t="str">
        <f>IFERROR(__xludf.DUMMYFUNCTION("""COMPUTED_VALUE"""),"Undrafted")</f>
        <v>Undrafted</v>
      </c>
      <c r="L239">
        <f>IFERROR(__xludf.DUMMYFUNCTION("""COMPUTED_VALUE"""),9999.0)</f>
        <v>9999</v>
      </c>
      <c r="M239" s="124">
        <v>1.0</v>
      </c>
    </row>
    <row r="240">
      <c r="A240" s="151">
        <f>IFERROR(__xludf.DUMMYFUNCTION("""COMPUTED_VALUE"""),43709.147748564814)</f>
        <v>43709.14775</v>
      </c>
      <c r="B240" t="str">
        <f>IFERROR(__xludf.DUMMYFUNCTION("""COMPUTED_VALUE"""),"Nick G.")</f>
        <v>Nick G.</v>
      </c>
      <c r="C240" t="str">
        <f>IFERROR(__xludf.DUMMYFUNCTION("""COMPUTED_VALUE"""),"Auburn")</f>
        <v>Auburn</v>
      </c>
      <c r="D240">
        <f>IFERROR(__xludf.DUMMYFUNCTION("""COMPUTED_VALUE"""),1.0)</f>
        <v>1</v>
      </c>
      <c r="E240">
        <f>IFERROR(__xludf.DUMMYFUNCTION("""COMPUTED_VALUE"""),0.0)</f>
        <v>0</v>
      </c>
      <c r="F240" t="str">
        <f>IFERROR(__xludf.DUMMYFUNCTION("""COMPUTED_VALUE"""),"ABC")</f>
        <v>ABC</v>
      </c>
      <c r="G240" t="str">
        <f>IFERROR(__xludf.DUMMYFUNCTION("""COMPUTED_VALUE"""),"(13) Oregon 21 at (16) Auburn 27")</f>
        <v>(13) Oregon 21 at (16) Auburn 27</v>
      </c>
      <c r="H240" t="str">
        <f>IFERROR(__xludf.DUMMYFUNCTION("""COMPUTED_VALUE"""),"FINAL")</f>
        <v>FINAL</v>
      </c>
      <c r="I240" t="str">
        <f>IFERROR(__xludf.DUMMYFUNCTION("""COMPUTED_VALUE"""),"-3½")</f>
        <v>-3½</v>
      </c>
      <c r="J240" t="str">
        <f>IFERROR(__xludf.DUMMYFUNCTION("""COMPUTED_VALUE"""),"55½")</f>
        <v>55½</v>
      </c>
      <c r="K240" t="str">
        <f>IFERROR(__xludf.DUMMYFUNCTION("""COMPUTED_VALUE"""),"Justin")</f>
        <v>Justin</v>
      </c>
      <c r="L240">
        <f>IFERROR(__xludf.DUMMYFUNCTION("""COMPUTED_VALUE"""),9999.0)</f>
        <v>9999</v>
      </c>
      <c r="M240" s="124">
        <v>1.0</v>
      </c>
    </row>
    <row r="241">
      <c r="A241" s="151">
        <f>IFERROR(__xludf.DUMMYFUNCTION("""COMPUTED_VALUE"""),43709.147748564814)</f>
        <v>43709.14775</v>
      </c>
      <c r="B241" t="str">
        <f>IFERROR(__xludf.DUMMYFUNCTION("""COMPUTED_VALUE"""),"Nick G.")</f>
        <v>Nick G.</v>
      </c>
      <c r="C241" t="str">
        <f>IFERROR(__xludf.DUMMYFUNCTION("""COMPUTED_VALUE"""),"Wyoming")</f>
        <v>Wyoming</v>
      </c>
      <c r="D241">
        <f>IFERROR(__xludf.DUMMYFUNCTION("""COMPUTED_VALUE"""),1.0)</f>
        <v>1</v>
      </c>
      <c r="E241">
        <f>IFERROR(__xludf.DUMMYFUNCTION("""COMPUTED_VALUE"""),0.0)</f>
        <v>0</v>
      </c>
      <c r="F241" t="str">
        <f>IFERROR(__xludf.DUMMYFUNCTION("""COMPUTED_VALUE"""),"CBSSN")</f>
        <v>CBSSN</v>
      </c>
      <c r="G241" t="str">
        <f>IFERROR(__xludf.DUMMYFUNCTION("""COMPUTED_VALUE"""),"Missouri 31 at Wyoming 37")</f>
        <v>Missouri 31 at Wyoming 37</v>
      </c>
      <c r="H241" t="str">
        <f>IFERROR(__xludf.DUMMYFUNCTION("""COMPUTED_VALUE"""),"FINAL")</f>
        <v>FINAL</v>
      </c>
      <c r="I241" t="str">
        <f>IFERROR(__xludf.DUMMYFUNCTION("""COMPUTED_VALUE"""),"17½")</f>
        <v>17½</v>
      </c>
      <c r="J241">
        <f>IFERROR(__xludf.DUMMYFUNCTION("""COMPUTED_VALUE"""),53.0)</f>
        <v>53</v>
      </c>
      <c r="K241" t="str">
        <f>IFERROR(__xludf.DUMMYFUNCTION("""COMPUTED_VALUE"""),"Gary")</f>
        <v>Gary</v>
      </c>
      <c r="L241">
        <f>IFERROR(__xludf.DUMMYFUNCTION("""COMPUTED_VALUE"""),9999.0)</f>
        <v>9999</v>
      </c>
      <c r="M241" s="124">
        <v>1.0</v>
      </c>
    </row>
    <row r="242">
      <c r="A242" s="151">
        <f>IFERROR(__xludf.DUMMYFUNCTION("""COMPUTED_VALUE"""),43716.14774770833)</f>
        <v>43716.14775</v>
      </c>
      <c r="B242" t="str">
        <f>IFERROR(__xludf.DUMMYFUNCTION("""COMPUTED_VALUE"""),"DavEmily")</f>
        <v>DavEmily</v>
      </c>
      <c r="C242" t="str">
        <f>IFERROR(__xludf.DUMMYFUNCTION("""COMPUTED_VALUE"""),"UTSA")</f>
        <v>UTSA</v>
      </c>
      <c r="D242">
        <f>IFERROR(__xludf.DUMMYFUNCTION("""COMPUTED_VALUE"""),1.0)</f>
        <v>1</v>
      </c>
      <c r="E242">
        <f>IFERROR(__xludf.DUMMYFUNCTION("""COMPUTED_VALUE"""),1.0)</f>
        <v>1</v>
      </c>
      <c r="F242" t="str">
        <f>IFERROR(__xludf.DUMMYFUNCTION("""COMPUTED_VALUE"""),"ESPN Extra")</f>
        <v>ESPN Extra</v>
      </c>
      <c r="G242" t="str">
        <f>IFERROR(__xludf.DUMMYFUNCTION("""COMPUTED_VALUE"""),"UTSA 14 at Baylor 63")</f>
        <v>UTSA 14 at Baylor 63</v>
      </c>
      <c r="H242" t="str">
        <f>IFERROR(__xludf.DUMMYFUNCTION("""COMPUTED_VALUE"""),"FINAL")</f>
        <v>FINAL</v>
      </c>
      <c r="I242" t="str">
        <f>IFERROR(__xludf.DUMMYFUNCTION("""COMPUTED_VALUE"""),"25½")</f>
        <v>25½</v>
      </c>
      <c r="J242" t="str">
        <f>IFERROR(__xludf.DUMMYFUNCTION("""COMPUTED_VALUE"""),"57½")</f>
        <v>57½</v>
      </c>
      <c r="K242" t="str">
        <f>IFERROR(__xludf.DUMMYFUNCTION("""COMPUTED_VALUE"""),"Justin")</f>
        <v>Justin</v>
      </c>
      <c r="L242">
        <f>IFERROR(__xludf.DUMMYFUNCTION("""COMPUTED_VALUE"""),9999.0)</f>
        <v>9999</v>
      </c>
      <c r="M242" s="124">
        <v>2.0</v>
      </c>
    </row>
    <row r="243">
      <c r="A243" s="151">
        <f>IFERROR(__xludf.DUMMYFUNCTION("""COMPUTED_VALUE"""),43716.14774770833)</f>
        <v>43716.14775</v>
      </c>
      <c r="B243" t="str">
        <f>IFERROR(__xludf.DUMMYFUNCTION("""COMPUTED_VALUE"""),"DavEmily")</f>
        <v>DavEmily</v>
      </c>
      <c r="C243" t="str">
        <f>IFERROR(__xludf.DUMMYFUNCTION("""COMPUTED_VALUE"""),"Coastal Carolina")</f>
        <v>Coastal Carolina</v>
      </c>
      <c r="D243">
        <f>IFERROR(__xludf.DUMMYFUNCTION("""COMPUTED_VALUE"""),1.0)</f>
        <v>1</v>
      </c>
      <c r="E243">
        <f>IFERROR(__xludf.DUMMYFUNCTION("""COMPUTED_VALUE"""),1.0)</f>
        <v>1</v>
      </c>
      <c r="F243" t="str">
        <f>IFERROR(__xludf.DUMMYFUNCTION("""COMPUTED_VALUE"""),"espn+ Video")</f>
        <v>espn+ Video</v>
      </c>
      <c r="G243" t="str">
        <f>IFERROR(__xludf.DUMMYFUNCTION("""COMPUTED_VALUE"""),"Coastal Carolina 12 at Kansas 7")</f>
        <v>Coastal Carolina 12 at Kansas 7</v>
      </c>
      <c r="H243" t="str">
        <f>IFERROR(__xludf.DUMMYFUNCTION("""COMPUTED_VALUE"""),"FINAL")</f>
        <v>FINAL</v>
      </c>
      <c r="I243" t="str">
        <f>IFERROR(__xludf.DUMMYFUNCTION("""COMPUTED_VALUE"""),"7½")</f>
        <v>7½</v>
      </c>
      <c r="J243" t="str">
        <f>IFERROR(__xludf.DUMMYFUNCTION("""COMPUTED_VALUE"""),"54½")</f>
        <v>54½</v>
      </c>
      <c r="K243" t="str">
        <f>IFERROR(__xludf.DUMMYFUNCTION("""COMPUTED_VALUE"""),"Josh R.")</f>
        <v>Josh R.</v>
      </c>
      <c r="L243">
        <f>IFERROR(__xludf.DUMMYFUNCTION("""COMPUTED_VALUE"""),9999.0)</f>
        <v>9999</v>
      </c>
      <c r="M243" s="124">
        <v>2.0</v>
      </c>
    </row>
    <row r="244">
      <c r="A244" s="151">
        <f>IFERROR(__xludf.DUMMYFUNCTION("""COMPUTED_VALUE"""),43716.14774770833)</f>
        <v>43716.14775</v>
      </c>
      <c r="B244" t="str">
        <f>IFERROR(__xludf.DUMMYFUNCTION("""COMPUTED_VALUE"""),"DavEmily")</f>
        <v>DavEmily</v>
      </c>
      <c r="C244" t="str">
        <f>IFERROR(__xludf.DUMMYFUNCTION("""COMPUTED_VALUE"""),"California")</f>
        <v>California</v>
      </c>
      <c r="D244">
        <f>IFERROR(__xludf.DUMMYFUNCTION("""COMPUTED_VALUE"""),2.0)</f>
        <v>2</v>
      </c>
      <c r="E244">
        <f>IFERROR(__xludf.DUMMYFUNCTION("""COMPUTED_VALUE"""),0.0)</f>
        <v>0</v>
      </c>
      <c r="F244" t="str">
        <f>IFERROR(__xludf.DUMMYFUNCTION("""COMPUTED_VALUE"""),"Pac-12")</f>
        <v>Pac-12</v>
      </c>
      <c r="G244" t="str">
        <f>IFERROR(__xludf.DUMMYFUNCTION("""COMPUTED_VALUE"""),"California 20 at (12) Washington 19")</f>
        <v>California 20 at (12) Washington 19</v>
      </c>
      <c r="H244" t="str">
        <f>IFERROR(__xludf.DUMMYFUNCTION("""COMPUTED_VALUE"""),"FINAL")</f>
        <v>FINAL</v>
      </c>
      <c r="I244" t="str">
        <f>IFERROR(__xludf.DUMMYFUNCTION("""COMPUTED_VALUE"""),"13½")</f>
        <v>13½</v>
      </c>
      <c r="J244" t="str">
        <f>IFERROR(__xludf.DUMMYFUNCTION("""COMPUTED_VALUE"""),"44½")</f>
        <v>44½</v>
      </c>
      <c r="K244" t="str">
        <f>IFERROR(__xludf.DUMMYFUNCTION("""COMPUTED_VALUE"""),"Vu")</f>
        <v>Vu</v>
      </c>
      <c r="L244">
        <f>IFERROR(__xludf.DUMMYFUNCTION("""COMPUTED_VALUE"""),9999.0)</f>
        <v>9999</v>
      </c>
      <c r="M244" s="124">
        <v>2.0</v>
      </c>
    </row>
    <row r="245">
      <c r="A245" s="151">
        <f>IFERROR(__xludf.DUMMYFUNCTION("""COMPUTED_VALUE"""),43716.14774770833)</f>
        <v>43716.14775</v>
      </c>
      <c r="B245" t="str">
        <f>IFERROR(__xludf.DUMMYFUNCTION("""COMPUTED_VALUE"""),"DavEmily")</f>
        <v>DavEmily</v>
      </c>
      <c r="C245" t="str">
        <f>IFERROR(__xludf.DUMMYFUNCTION("""COMPUTED_VALUE"""),"Fresno State")</f>
        <v>Fresno State</v>
      </c>
      <c r="D245">
        <f>IFERROR(__xludf.DUMMYFUNCTION("""COMPUTED_VALUE"""),0.0)</f>
        <v>0</v>
      </c>
      <c r="E245">
        <f>IFERROR(__xludf.DUMMYFUNCTION("""COMPUTED_VALUE"""),2.0)</f>
        <v>2</v>
      </c>
      <c r="F245" t="str">
        <f>IFERROR(__xludf.DUMMYFUNCTION("""COMPUTED_VALUE"""),"ESPN")</f>
        <v>ESPN</v>
      </c>
      <c r="G245" t="str">
        <f>IFERROR(__xludf.DUMMYFUNCTION("""COMPUTED_VALUE"""),"Minnesota 38 at Fresno State 35")</f>
        <v>Minnesota 38 at Fresno State 35</v>
      </c>
      <c r="H245" t="str">
        <f>IFERROR(__xludf.DUMMYFUNCTION("""COMPUTED_VALUE"""),"FINAL - 2ND OT")</f>
        <v>FINAL - 2ND OT</v>
      </c>
      <c r="I245">
        <f>IFERROR(__xludf.DUMMYFUNCTION("""COMPUTED_VALUE"""),3.0)</f>
        <v>3</v>
      </c>
      <c r="J245" t="str">
        <f>IFERROR(__xludf.DUMMYFUNCTION("""COMPUTED_VALUE"""),"48½")</f>
        <v>48½</v>
      </c>
      <c r="K245" t="str">
        <f>IFERROR(__xludf.DUMMYFUNCTION("""COMPUTED_VALUE"""),"Josh R.")</f>
        <v>Josh R.</v>
      </c>
      <c r="L245">
        <f>IFERROR(__xludf.DUMMYFUNCTION("""COMPUTED_VALUE"""),9999.0)</f>
        <v>9999</v>
      </c>
      <c r="M245" s="124">
        <v>2.0</v>
      </c>
    </row>
    <row r="246">
      <c r="A246" s="151">
        <f>IFERROR(__xludf.DUMMYFUNCTION("""COMPUTED_VALUE"""),43716.14774770833)</f>
        <v>43716.14775</v>
      </c>
      <c r="B246" t="str">
        <f>IFERROR(__xludf.DUMMYFUNCTION("""COMPUTED_VALUE"""),"DavEmily")</f>
        <v>DavEmily</v>
      </c>
      <c r="C246" t="str">
        <f>IFERROR(__xludf.DUMMYFUNCTION("""COMPUTED_VALUE"""),"Notre Dame")</f>
        <v>Notre Dame</v>
      </c>
      <c r="D246">
        <f>IFERROR(__xludf.DUMMYFUNCTION("""COMPUTED_VALUE"""),1.0)</f>
        <v>1</v>
      </c>
      <c r="E246">
        <f>IFERROR(__xludf.DUMMYFUNCTION("""COMPUTED_VALUE"""),0.0)</f>
        <v>0</v>
      </c>
      <c r="F246" t="str">
        <f>IFERROR(__xludf.DUMMYFUNCTION("""COMPUTED_VALUE"""),"ESPN")</f>
        <v>ESPN</v>
      </c>
      <c r="G246" t="str">
        <f>IFERROR(__xludf.DUMMYFUNCTION("""COMPUTED_VALUE"""),"BYE")</f>
        <v>BYE</v>
      </c>
      <c r="I246" t="str">
        <f>IFERROR(__xludf.DUMMYFUNCTION("""COMPUTED_VALUE"""),"bye")</f>
        <v>bye</v>
      </c>
      <c r="J246" t="str">
        <f>IFERROR(__xludf.DUMMYFUNCTION("""COMPUTED_VALUE"""),"bye")</f>
        <v>bye</v>
      </c>
      <c r="L246">
        <f>IFERROR(__xludf.DUMMYFUNCTION("""COMPUTED_VALUE"""),9999.0)</f>
        <v>9999</v>
      </c>
      <c r="M246" s="124">
        <v>2.0</v>
      </c>
    </row>
    <row r="247">
      <c r="A247" s="151">
        <f>IFERROR(__xludf.DUMMYFUNCTION("""COMPUTED_VALUE"""),43716.14774770833)</f>
        <v>43716.14775</v>
      </c>
      <c r="B247" t="str">
        <f>IFERROR(__xludf.DUMMYFUNCTION("""COMPUTED_VALUE"""),"DavEmily")</f>
        <v>DavEmily</v>
      </c>
      <c r="C247" t="str">
        <f>IFERROR(__xludf.DUMMYFUNCTION("""COMPUTED_VALUE"""),"Virginia Tech")</f>
        <v>Virginia Tech</v>
      </c>
      <c r="D247">
        <f>IFERROR(__xludf.DUMMYFUNCTION("""COMPUTED_VALUE"""),1.0)</f>
        <v>1</v>
      </c>
      <c r="E247">
        <f>IFERROR(__xludf.DUMMYFUNCTION("""COMPUTED_VALUE"""),1.0)</f>
        <v>1</v>
      </c>
      <c r="F247" t="str">
        <f>IFERROR(__xludf.DUMMYFUNCTION("""COMPUTED_VALUE"""),"ACC Network")</f>
        <v>ACC Network</v>
      </c>
      <c r="G247" t="str">
        <f>IFERROR(__xludf.DUMMYFUNCTION("""COMPUTED_VALUE"""),"Old Dominion 17 at Virginia Tech 31")</f>
        <v>Old Dominion 17 at Virginia Tech 31</v>
      </c>
      <c r="H247" t="str">
        <f>IFERROR(__xludf.DUMMYFUNCTION("""COMPUTED_VALUE"""),"FINAL")</f>
        <v>FINAL</v>
      </c>
      <c r="I247" t="str">
        <f>IFERROR(__xludf.DUMMYFUNCTION("""COMPUTED_VALUE"""),"-28½")</f>
        <v>-28½</v>
      </c>
      <c r="J247" t="str">
        <f>IFERROR(__xludf.DUMMYFUNCTION("""COMPUTED_VALUE"""),"55½")</f>
        <v>55½</v>
      </c>
      <c r="K247" t="str">
        <f>IFERROR(__xludf.DUMMYFUNCTION("""COMPUTED_VALUE"""),"Nick A.")</f>
        <v>Nick A.</v>
      </c>
      <c r="L247">
        <f>IFERROR(__xludf.DUMMYFUNCTION("""COMPUTED_VALUE"""),9999.0)</f>
        <v>9999</v>
      </c>
      <c r="M247" s="124">
        <v>2.0</v>
      </c>
    </row>
    <row r="248">
      <c r="A248" s="151">
        <f>IFERROR(__xludf.DUMMYFUNCTION("""COMPUTED_VALUE"""),43716.14774770833)</f>
        <v>43716.14775</v>
      </c>
      <c r="B248" t="str">
        <f>IFERROR(__xludf.DUMMYFUNCTION("""COMPUTED_VALUE"""),"DavEmily")</f>
        <v>DavEmily</v>
      </c>
      <c r="C248" t="str">
        <f>IFERROR(__xludf.DUMMYFUNCTION("""COMPUTED_VALUE"""),"Ball State")</f>
        <v>Ball State</v>
      </c>
      <c r="D248">
        <f>IFERROR(__xludf.DUMMYFUNCTION("""COMPUTED_VALUE"""),1.0)</f>
        <v>1</v>
      </c>
      <c r="E248">
        <f>IFERROR(__xludf.DUMMYFUNCTION("""COMPUTED_VALUE"""),1.0)</f>
        <v>1</v>
      </c>
      <c r="F248" t="str">
        <f>IFERROR(__xludf.DUMMYFUNCTION("""COMPUTED_VALUE"""),"CBSSN")</f>
        <v>CBSSN</v>
      </c>
      <c r="G248" t="str">
        <f>IFERROR(__xludf.DUMMYFUNCTION("""COMPUTED_VALUE"""),"Fordham 29 at Ball State 57")</f>
        <v>Fordham 29 at Ball State 57</v>
      </c>
      <c r="H248" t="str">
        <f>IFERROR(__xludf.DUMMYFUNCTION("""COMPUTED_VALUE"""),"FINAL")</f>
        <v>FINAL</v>
      </c>
      <c r="I248" t="str">
        <f>IFERROR(__xludf.DUMMYFUNCTION("""COMPUTED_VALUE"""),"No Line")</f>
        <v>No Line</v>
      </c>
      <c r="K248" t="str">
        <f>IFERROR(__xludf.DUMMYFUNCTION("""COMPUTED_VALUE"""),"Undrafted")</f>
        <v>Undrafted</v>
      </c>
      <c r="L248">
        <f>IFERROR(__xludf.DUMMYFUNCTION("""COMPUTED_VALUE"""),9999.0)</f>
        <v>9999</v>
      </c>
      <c r="M248" s="124">
        <v>2.0</v>
      </c>
    </row>
    <row r="249">
      <c r="A249" s="151">
        <f>IFERROR(__xludf.DUMMYFUNCTION("""COMPUTED_VALUE"""),43716.14774770833)</f>
        <v>43716.14775</v>
      </c>
      <c r="B249" t="str">
        <f>IFERROR(__xludf.DUMMYFUNCTION("""COMPUTED_VALUE"""),"DavEmily")</f>
        <v>DavEmily</v>
      </c>
      <c r="C249" t="str">
        <f>IFERROR(__xludf.DUMMYFUNCTION("""COMPUTED_VALUE"""),"Nebraska")</f>
        <v>Nebraska</v>
      </c>
      <c r="D249">
        <f>IFERROR(__xludf.DUMMYFUNCTION("""COMPUTED_VALUE"""),1.0)</f>
        <v>1</v>
      </c>
      <c r="E249">
        <f>IFERROR(__xludf.DUMMYFUNCTION("""COMPUTED_VALUE"""),1.0)</f>
        <v>1</v>
      </c>
      <c r="F249" t="str">
        <f>IFERROR(__xludf.DUMMYFUNCTION("""COMPUTED_VALUE"""),"ESPN")</f>
        <v>ESPN</v>
      </c>
      <c r="G249" t="str">
        <f>IFERROR(__xludf.DUMMYFUNCTION("""COMPUTED_VALUE"""),"(25) Nebraska 31 at Colorado 34")</f>
        <v>(25) Nebraska 31 at Colorado 34</v>
      </c>
      <c r="H249" t="str">
        <f>IFERROR(__xludf.DUMMYFUNCTION("""COMPUTED_VALUE"""),"FINAL - OT")</f>
        <v>FINAL - OT</v>
      </c>
      <c r="I249">
        <f>IFERROR(__xludf.DUMMYFUNCTION("""COMPUTED_VALUE"""),-4.0)</f>
        <v>-4</v>
      </c>
      <c r="J249">
        <f>IFERROR(__xludf.DUMMYFUNCTION("""COMPUTED_VALUE"""),65.0)</f>
        <v>65</v>
      </c>
      <c r="K249" t="str">
        <f>IFERROR(__xludf.DUMMYFUNCTION("""COMPUTED_VALUE"""),"Jeannine")</f>
        <v>Jeannine</v>
      </c>
      <c r="L249">
        <f>IFERROR(__xludf.DUMMYFUNCTION("""COMPUTED_VALUE"""),9999.0)</f>
        <v>9999</v>
      </c>
      <c r="M249" s="124">
        <v>2.0</v>
      </c>
    </row>
    <row r="250">
      <c r="A250" s="151">
        <f>IFERROR(__xludf.DUMMYFUNCTION("""COMPUTED_VALUE"""),43716.14774770833)</f>
        <v>43716.14775</v>
      </c>
      <c r="B250" t="str">
        <f>IFERROR(__xludf.DUMMYFUNCTION("""COMPUTED_VALUE"""),"DavEmily")</f>
        <v>DavEmily</v>
      </c>
      <c r="C250" t="str">
        <f>IFERROR(__xludf.DUMMYFUNCTION("""COMPUTED_VALUE"""),"Alabama")</f>
        <v>Alabama</v>
      </c>
      <c r="D250">
        <f>IFERROR(__xludf.DUMMYFUNCTION("""COMPUTED_VALUE"""),2.0)</f>
        <v>2</v>
      </c>
      <c r="E250">
        <f>IFERROR(__xludf.DUMMYFUNCTION("""COMPUTED_VALUE"""),0.0)</f>
        <v>0</v>
      </c>
      <c r="F250" t="str">
        <f>IFERROR(__xludf.DUMMYFUNCTION("""COMPUTED_VALUE"""),"ABC")</f>
        <v>ABC</v>
      </c>
      <c r="G250" t="str">
        <f>IFERROR(__xludf.DUMMYFUNCTION("""COMPUTED_VALUE"""),"New Mexico State 10 at (2) Alabama 62")</f>
        <v>New Mexico State 10 at (2) Alabama 62</v>
      </c>
      <c r="H250" t="str">
        <f>IFERROR(__xludf.DUMMYFUNCTION("""COMPUTED_VALUE"""),"FINAL")</f>
        <v>FINAL</v>
      </c>
      <c r="I250" t="str">
        <f>IFERROR(__xludf.DUMMYFUNCTION("""COMPUTED_VALUE"""),"-55½")</f>
        <v>-55½</v>
      </c>
      <c r="J250" t="str">
        <f>IFERROR(__xludf.DUMMYFUNCTION("""COMPUTED_VALUE"""),"64½")</f>
        <v>64½</v>
      </c>
      <c r="K250" t="str">
        <f>IFERROR(__xludf.DUMMYFUNCTION("""COMPUTED_VALUE"""),"Nick A.")</f>
        <v>Nick A.</v>
      </c>
      <c r="L250">
        <f>IFERROR(__xludf.DUMMYFUNCTION("""COMPUTED_VALUE"""),9999.0)</f>
        <v>9999</v>
      </c>
      <c r="M250" s="124">
        <v>2.0</v>
      </c>
    </row>
    <row r="251">
      <c r="A251" s="151">
        <f>IFERROR(__xludf.DUMMYFUNCTION("""COMPUTED_VALUE"""),43716.14774770833)</f>
        <v>43716.14775</v>
      </c>
      <c r="B251" t="str">
        <f>IFERROR(__xludf.DUMMYFUNCTION("""COMPUTED_VALUE"""),"DavEmily")</f>
        <v>DavEmily</v>
      </c>
      <c r="C251" t="str">
        <f>IFERROR(__xludf.DUMMYFUNCTION("""COMPUTED_VALUE"""),"Tulsa")</f>
        <v>Tulsa</v>
      </c>
      <c r="D251">
        <f>IFERROR(__xludf.DUMMYFUNCTION("""COMPUTED_VALUE"""),1.0)</f>
        <v>1</v>
      </c>
      <c r="E251">
        <f>IFERROR(__xludf.DUMMYFUNCTION("""COMPUTED_VALUE"""),1.0)</f>
        <v>1</v>
      </c>
      <c r="F251" t="str">
        <f>IFERROR(__xludf.DUMMYFUNCTION("""COMPUTED_VALUE"""),"FS1")</f>
        <v>FS1</v>
      </c>
      <c r="G251" t="str">
        <f>IFERROR(__xludf.DUMMYFUNCTION("""COMPUTED_VALUE"""),"Tulsa 34 at San José State 16")</f>
        <v>Tulsa 34 at San José State 16</v>
      </c>
      <c r="H251" t="str">
        <f>IFERROR(__xludf.DUMMYFUNCTION("""COMPUTED_VALUE"""),"FINAL")</f>
        <v>FINAL</v>
      </c>
      <c r="I251" t="str">
        <f>IFERROR(__xludf.DUMMYFUNCTION("""COMPUTED_VALUE"""),"-6½")</f>
        <v>-6½</v>
      </c>
      <c r="J251" t="str">
        <f>IFERROR(__xludf.DUMMYFUNCTION("""COMPUTED_VALUE"""),"52½")</f>
        <v>52½</v>
      </c>
      <c r="K251" t="str">
        <f>IFERROR(__xludf.DUMMYFUNCTION("""COMPUTED_VALUE"""),"Jeannine")</f>
        <v>Jeannine</v>
      </c>
      <c r="L251">
        <f>IFERROR(__xludf.DUMMYFUNCTION("""COMPUTED_VALUE"""),9999.0)</f>
        <v>9999</v>
      </c>
      <c r="M251" s="124">
        <v>2.0</v>
      </c>
    </row>
    <row r="252">
      <c r="A252" s="151">
        <f>IFERROR(__xludf.DUMMYFUNCTION("""COMPUTED_VALUE"""),43716.14774770833)</f>
        <v>43716.14775</v>
      </c>
      <c r="B252" t="str">
        <f>IFERROR(__xludf.DUMMYFUNCTION("""COMPUTED_VALUE"""),"Nick A.")</f>
        <v>Nick A.</v>
      </c>
      <c r="C252" t="str">
        <f>IFERROR(__xludf.DUMMYFUNCTION("""COMPUTED_VALUE"""),"Old Dominion")</f>
        <v>Old Dominion</v>
      </c>
      <c r="D252">
        <f>IFERROR(__xludf.DUMMYFUNCTION("""COMPUTED_VALUE"""),1.0)</f>
        <v>1</v>
      </c>
      <c r="E252">
        <f>IFERROR(__xludf.DUMMYFUNCTION("""COMPUTED_VALUE"""),1.0)</f>
        <v>1</v>
      </c>
      <c r="F252" t="str">
        <f>IFERROR(__xludf.DUMMYFUNCTION("""COMPUTED_VALUE"""),"ESPN Extra")</f>
        <v>ESPN Extra</v>
      </c>
      <c r="G252" t="str">
        <f>IFERROR(__xludf.DUMMYFUNCTION("""COMPUTED_VALUE"""),"Old Dominion 17 at Virginia Tech 31")</f>
        <v>Old Dominion 17 at Virginia Tech 31</v>
      </c>
      <c r="H252" t="str">
        <f>IFERROR(__xludf.DUMMYFUNCTION("""COMPUTED_VALUE"""),"FINAL")</f>
        <v>FINAL</v>
      </c>
      <c r="I252" t="str">
        <f>IFERROR(__xludf.DUMMYFUNCTION("""COMPUTED_VALUE"""),"28½")</f>
        <v>28½</v>
      </c>
      <c r="J252" t="str">
        <f>IFERROR(__xludf.DUMMYFUNCTION("""COMPUTED_VALUE"""),"55½")</f>
        <v>55½</v>
      </c>
      <c r="K252" t="str">
        <f>IFERROR(__xludf.DUMMYFUNCTION("""COMPUTED_VALUE"""),"DavEmily")</f>
        <v>DavEmily</v>
      </c>
      <c r="L252">
        <f>IFERROR(__xludf.DUMMYFUNCTION("""COMPUTED_VALUE"""),9999.0)</f>
        <v>9999</v>
      </c>
      <c r="M252" s="124">
        <v>2.0</v>
      </c>
    </row>
    <row r="253">
      <c r="A253" s="151">
        <f>IFERROR(__xludf.DUMMYFUNCTION("""COMPUTED_VALUE"""),43716.14774770833)</f>
        <v>43716.14775</v>
      </c>
      <c r="B253" t="str">
        <f>IFERROR(__xludf.DUMMYFUNCTION("""COMPUTED_VALUE"""),"Nick A.")</f>
        <v>Nick A.</v>
      </c>
      <c r="C253" t="str">
        <f>IFERROR(__xludf.DUMMYFUNCTION("""COMPUTED_VALUE"""),"Bowling Green")</f>
        <v>Bowling Green</v>
      </c>
      <c r="D253">
        <f>IFERROR(__xludf.DUMMYFUNCTION("""COMPUTED_VALUE"""),1.0)</f>
        <v>1</v>
      </c>
      <c r="E253">
        <f>IFERROR(__xludf.DUMMYFUNCTION("""COMPUTED_VALUE"""),1.0)</f>
        <v>1</v>
      </c>
      <c r="F253" t="str">
        <f>IFERROR(__xludf.DUMMYFUNCTION("""COMPUTED_VALUE"""),"espn3 Video")</f>
        <v>espn3 Video</v>
      </c>
      <c r="G253" t="str">
        <f>IFERROR(__xludf.DUMMYFUNCTION("""COMPUTED_VALUE"""),"Bowling Green 0 at Kansas State 52")</f>
        <v>Bowling Green 0 at Kansas State 52</v>
      </c>
      <c r="H253" t="str">
        <f>IFERROR(__xludf.DUMMYFUNCTION("""COMPUTED_VALUE"""),"FINAL")</f>
        <v>FINAL</v>
      </c>
      <c r="I253" t="str">
        <f>IFERROR(__xludf.DUMMYFUNCTION("""COMPUTED_VALUE"""),"23½")</f>
        <v>23½</v>
      </c>
      <c r="J253" t="str">
        <f>IFERROR(__xludf.DUMMYFUNCTION("""COMPUTED_VALUE"""),"58½")</f>
        <v>58½</v>
      </c>
      <c r="K253" t="str">
        <f>IFERROR(__xludf.DUMMYFUNCTION("""COMPUTED_VALUE"""),"Nick G.")</f>
        <v>Nick G.</v>
      </c>
      <c r="L253">
        <f>IFERROR(__xludf.DUMMYFUNCTION("""COMPUTED_VALUE"""),9999.0)</f>
        <v>9999</v>
      </c>
      <c r="M253" s="124">
        <v>2.0</v>
      </c>
    </row>
    <row r="254">
      <c r="A254" s="151">
        <f>IFERROR(__xludf.DUMMYFUNCTION("""COMPUTED_VALUE"""),43716.14774770833)</f>
        <v>43716.14775</v>
      </c>
      <c r="B254" t="str">
        <f>IFERROR(__xludf.DUMMYFUNCTION("""COMPUTED_VALUE"""),"Nick A.")</f>
        <v>Nick A.</v>
      </c>
      <c r="C254" t="str">
        <f>IFERROR(__xludf.DUMMYFUNCTION("""COMPUTED_VALUE"""),"New Mexico State")</f>
        <v>New Mexico State</v>
      </c>
      <c r="D254">
        <f>IFERROR(__xludf.DUMMYFUNCTION("""COMPUTED_VALUE"""),0.0)</f>
        <v>0</v>
      </c>
      <c r="E254">
        <f>IFERROR(__xludf.DUMMYFUNCTION("""COMPUTED_VALUE"""),2.0)</f>
        <v>2</v>
      </c>
      <c r="F254" t="str">
        <f>IFERROR(__xludf.DUMMYFUNCTION("""COMPUTED_VALUE"""),"Pac-12")</f>
        <v>Pac-12</v>
      </c>
      <c r="G254" t="str">
        <f>IFERROR(__xludf.DUMMYFUNCTION("""COMPUTED_VALUE"""),"New Mexico State 10 at (2) Alabama 62")</f>
        <v>New Mexico State 10 at (2) Alabama 62</v>
      </c>
      <c r="H254" t="str">
        <f>IFERROR(__xludf.DUMMYFUNCTION("""COMPUTED_VALUE"""),"FINAL")</f>
        <v>FINAL</v>
      </c>
      <c r="I254" t="str">
        <f>IFERROR(__xludf.DUMMYFUNCTION("""COMPUTED_VALUE"""),"55½")</f>
        <v>55½</v>
      </c>
      <c r="J254" t="str">
        <f>IFERROR(__xludf.DUMMYFUNCTION("""COMPUTED_VALUE"""),"64½")</f>
        <v>64½</v>
      </c>
      <c r="K254" t="str">
        <f>IFERROR(__xludf.DUMMYFUNCTION("""COMPUTED_VALUE"""),"DavEmily")</f>
        <v>DavEmily</v>
      </c>
      <c r="L254">
        <f>IFERROR(__xludf.DUMMYFUNCTION("""COMPUTED_VALUE"""),9999.0)</f>
        <v>9999</v>
      </c>
      <c r="M254" s="124">
        <v>2.0</v>
      </c>
    </row>
    <row r="255">
      <c r="A255" s="151">
        <f>IFERROR(__xludf.DUMMYFUNCTION("""COMPUTED_VALUE"""),43716.14774770833)</f>
        <v>43716.14775</v>
      </c>
      <c r="B255" t="str">
        <f>IFERROR(__xludf.DUMMYFUNCTION("""COMPUTED_VALUE"""),"Nick A.")</f>
        <v>Nick A.</v>
      </c>
      <c r="C255" t="str">
        <f>IFERROR(__xludf.DUMMYFUNCTION("""COMPUTED_VALUE"""),"San Diego State")</f>
        <v>San Diego State</v>
      </c>
      <c r="D255">
        <f>IFERROR(__xludf.DUMMYFUNCTION("""COMPUTED_VALUE"""),2.0)</f>
        <v>2</v>
      </c>
      <c r="E255">
        <f>IFERROR(__xludf.DUMMYFUNCTION("""COMPUTED_VALUE"""),0.0)</f>
        <v>0</v>
      </c>
      <c r="F255" t="str">
        <f>IFERROR(__xludf.DUMMYFUNCTION("""COMPUTED_VALUE"""),"Facebook Video")</f>
        <v>Facebook Video</v>
      </c>
      <c r="G255" t="str">
        <f>IFERROR(__xludf.DUMMYFUNCTION("""COMPUTED_VALUE"""),"San Diego State 23 at UCLA 14")</f>
        <v>San Diego State 23 at UCLA 14</v>
      </c>
      <c r="H255" t="str">
        <f>IFERROR(__xludf.DUMMYFUNCTION("""COMPUTED_VALUE"""),"FINAL")</f>
        <v>FINAL</v>
      </c>
      <c r="I255" t="str">
        <f>IFERROR(__xludf.DUMMYFUNCTION("""COMPUTED_VALUE"""),"7½")</f>
        <v>7½</v>
      </c>
      <c r="J255" t="str">
        <f>IFERROR(__xludf.DUMMYFUNCTION("""COMPUTED_VALUE"""),"45½")</f>
        <v>45½</v>
      </c>
      <c r="K255" t="str">
        <f>IFERROR(__xludf.DUMMYFUNCTION("""COMPUTED_VALUE"""),"Gary")</f>
        <v>Gary</v>
      </c>
      <c r="L255">
        <f>IFERROR(__xludf.DUMMYFUNCTION("""COMPUTED_VALUE"""),9999.0)</f>
        <v>9999</v>
      </c>
      <c r="M255" s="124">
        <v>2.0</v>
      </c>
    </row>
    <row r="256">
      <c r="A256" s="151">
        <f>IFERROR(__xludf.DUMMYFUNCTION("""COMPUTED_VALUE"""),43716.14774770833)</f>
        <v>43716.14775</v>
      </c>
      <c r="B256" t="str">
        <f>IFERROR(__xludf.DUMMYFUNCTION("""COMPUTED_VALUE"""),"Nick A.")</f>
        <v>Nick A.</v>
      </c>
      <c r="C256" t="str">
        <f>IFERROR(__xludf.DUMMYFUNCTION("""COMPUTED_VALUE"""),"Iowa State")</f>
        <v>Iowa State</v>
      </c>
      <c r="D256">
        <f>IFERROR(__xludf.DUMMYFUNCTION("""COMPUTED_VALUE"""),1.0)</f>
        <v>1</v>
      </c>
      <c r="E256">
        <f>IFERROR(__xludf.DUMMYFUNCTION("""COMPUTED_VALUE"""),0.0)</f>
        <v>0</v>
      </c>
      <c r="F256" t="str">
        <f>IFERROR(__xludf.DUMMYFUNCTION("""COMPUTED_VALUE"""),"FS1")</f>
        <v>FS1</v>
      </c>
      <c r="G256" t="str">
        <f>IFERROR(__xludf.DUMMYFUNCTION("""COMPUTED_VALUE"""),"BYE")</f>
        <v>BYE</v>
      </c>
      <c r="I256" t="str">
        <f>IFERROR(__xludf.DUMMYFUNCTION("""COMPUTED_VALUE"""),"bye")</f>
        <v>bye</v>
      </c>
      <c r="J256" t="str">
        <f>IFERROR(__xludf.DUMMYFUNCTION("""COMPUTED_VALUE"""),"bye")</f>
        <v>bye</v>
      </c>
      <c r="L256">
        <f>IFERROR(__xludf.DUMMYFUNCTION("""COMPUTED_VALUE"""),9999.0)</f>
        <v>9999</v>
      </c>
      <c r="M256" s="124">
        <v>2.0</v>
      </c>
    </row>
    <row r="257">
      <c r="A257" s="151">
        <f>IFERROR(__xludf.DUMMYFUNCTION("""COMPUTED_VALUE"""),43716.14774770833)</f>
        <v>43716.14775</v>
      </c>
      <c r="B257" t="str">
        <f>IFERROR(__xludf.DUMMYFUNCTION("""COMPUTED_VALUE"""),"Nick A.")</f>
        <v>Nick A.</v>
      </c>
      <c r="C257" t="str">
        <f>IFERROR(__xludf.DUMMYFUNCTION("""COMPUTED_VALUE"""),"Clemson")</f>
        <v>Clemson</v>
      </c>
      <c r="D257">
        <f>IFERROR(__xludf.DUMMYFUNCTION("""COMPUTED_VALUE"""),2.0)</f>
        <v>2</v>
      </c>
      <c r="E257">
        <f>IFERROR(__xludf.DUMMYFUNCTION("""COMPUTED_VALUE"""),0.0)</f>
        <v>0</v>
      </c>
      <c r="F257" t="str">
        <f>IFERROR(__xludf.DUMMYFUNCTION("""COMPUTED_VALUE"""),"ACC Network")</f>
        <v>ACC Network</v>
      </c>
      <c r="G257" t="str">
        <f>IFERROR(__xludf.DUMMYFUNCTION("""COMPUTED_VALUE"""),"(11) Texas A&amp;M 10 at (1) Clemson 24")</f>
        <v>(11) Texas A&amp;M 10 at (1) Clemson 24</v>
      </c>
      <c r="H257" t="str">
        <f>IFERROR(__xludf.DUMMYFUNCTION("""COMPUTED_VALUE"""),"FINAL")</f>
        <v>FINAL</v>
      </c>
      <c r="I257">
        <f>IFERROR(__xludf.DUMMYFUNCTION("""COMPUTED_VALUE"""),-17.0)</f>
        <v>-17</v>
      </c>
      <c r="J257">
        <f>IFERROR(__xludf.DUMMYFUNCTION("""COMPUTED_VALUE"""),65.0)</f>
        <v>65</v>
      </c>
      <c r="K257" t="str">
        <f>IFERROR(__xludf.DUMMYFUNCTION("""COMPUTED_VALUE"""),"Vu")</f>
        <v>Vu</v>
      </c>
      <c r="L257">
        <f>IFERROR(__xludf.DUMMYFUNCTION("""COMPUTED_VALUE"""),9999.0)</f>
        <v>9999</v>
      </c>
      <c r="M257" s="124">
        <v>2.0</v>
      </c>
    </row>
    <row r="258">
      <c r="A258" s="151">
        <f>IFERROR(__xludf.DUMMYFUNCTION("""COMPUTED_VALUE"""),43716.14774770833)</f>
        <v>43716.14775</v>
      </c>
      <c r="B258" t="str">
        <f>IFERROR(__xludf.DUMMYFUNCTION("""COMPUTED_VALUE"""),"Nick A.")</f>
        <v>Nick A.</v>
      </c>
      <c r="C258" t="str">
        <f>IFERROR(__xludf.DUMMYFUNCTION("""COMPUTED_VALUE"""),"Washington State")</f>
        <v>Washington State</v>
      </c>
      <c r="D258">
        <f>IFERROR(__xludf.DUMMYFUNCTION("""COMPUTED_VALUE"""),2.0)</f>
        <v>2</v>
      </c>
      <c r="E258">
        <f>IFERROR(__xludf.DUMMYFUNCTION("""COMPUTED_VALUE"""),0.0)</f>
        <v>0</v>
      </c>
      <c r="F258" t="str">
        <f>IFERROR(__xludf.DUMMYFUNCTION("""COMPUTED_VALUE"""),"Pac-12")</f>
        <v>Pac-12</v>
      </c>
      <c r="G258" t="str">
        <f>IFERROR(__xludf.DUMMYFUNCTION("""COMPUTED_VALUE"""),"Northern Colorado 17 at (21) Washington State 59")</f>
        <v>Northern Colorado 17 at (21) Washington State 59</v>
      </c>
      <c r="H258" t="str">
        <f>IFERROR(__xludf.DUMMYFUNCTION("""COMPUTED_VALUE"""),"FINAL")</f>
        <v>FINAL</v>
      </c>
      <c r="I258" t="str">
        <f>IFERROR(__xludf.DUMMYFUNCTION("""COMPUTED_VALUE"""),"No Line")</f>
        <v>No Line</v>
      </c>
      <c r="K258" t="str">
        <f>IFERROR(__xludf.DUMMYFUNCTION("""COMPUTED_VALUE"""),"Undrafted")</f>
        <v>Undrafted</v>
      </c>
      <c r="L258">
        <f>IFERROR(__xludf.DUMMYFUNCTION("""COMPUTED_VALUE"""),9999.0)</f>
        <v>9999</v>
      </c>
      <c r="M258" s="124">
        <v>2.0</v>
      </c>
    </row>
    <row r="259">
      <c r="A259" s="151">
        <f>IFERROR(__xludf.DUMMYFUNCTION("""COMPUTED_VALUE"""),43716.14774770833)</f>
        <v>43716.14775</v>
      </c>
      <c r="B259" t="str">
        <f>IFERROR(__xludf.DUMMYFUNCTION("""COMPUTED_VALUE"""),"Nick A.")</f>
        <v>Nick A.</v>
      </c>
      <c r="C259" t="str">
        <f>IFERROR(__xludf.DUMMYFUNCTION("""COMPUTED_VALUE"""),"East Carolina")</f>
        <v>East Carolina</v>
      </c>
      <c r="D259">
        <f>IFERROR(__xludf.DUMMYFUNCTION("""COMPUTED_VALUE"""),1.0)</f>
        <v>1</v>
      </c>
      <c r="E259">
        <f>IFERROR(__xludf.DUMMYFUNCTION("""COMPUTED_VALUE"""),1.0)</f>
        <v>1</v>
      </c>
      <c r="F259" t="str">
        <f>IFERROR(__xludf.DUMMYFUNCTION("""COMPUTED_VALUE"""),"ACC Network")</f>
        <v>ACC Network</v>
      </c>
      <c r="G259" t="str">
        <f>IFERROR(__xludf.DUMMYFUNCTION("""COMPUTED_VALUE"""),"Gardner-Webb 9 at East Carolina 48")</f>
        <v>Gardner-Webb 9 at East Carolina 48</v>
      </c>
      <c r="H259" t="str">
        <f>IFERROR(__xludf.DUMMYFUNCTION("""COMPUTED_VALUE"""),"FINAL")</f>
        <v>FINAL</v>
      </c>
      <c r="I259" t="str">
        <f>IFERROR(__xludf.DUMMYFUNCTION("""COMPUTED_VALUE"""),"No Line")</f>
        <v>No Line</v>
      </c>
      <c r="K259" t="str">
        <f>IFERROR(__xludf.DUMMYFUNCTION("""COMPUTED_VALUE"""),"Undrafted")</f>
        <v>Undrafted</v>
      </c>
      <c r="L259">
        <f>IFERROR(__xludf.DUMMYFUNCTION("""COMPUTED_VALUE"""),9999.0)</f>
        <v>9999</v>
      </c>
      <c r="M259" s="124">
        <v>2.0</v>
      </c>
    </row>
    <row r="260">
      <c r="A260" s="151">
        <f>IFERROR(__xludf.DUMMYFUNCTION("""COMPUTED_VALUE"""),43716.14774770833)</f>
        <v>43716.14775</v>
      </c>
      <c r="B260" t="str">
        <f>IFERROR(__xludf.DUMMYFUNCTION("""COMPUTED_VALUE"""),"Nick A.")</f>
        <v>Nick A.</v>
      </c>
      <c r="C260" t="str">
        <f>IFERROR(__xludf.DUMMYFUNCTION("""COMPUTED_VALUE"""),"LSU")</f>
        <v>LSU</v>
      </c>
      <c r="D260">
        <f>IFERROR(__xludf.DUMMYFUNCTION("""COMPUTED_VALUE"""),2.0)</f>
        <v>2</v>
      </c>
      <c r="E260">
        <f>IFERROR(__xludf.DUMMYFUNCTION("""COMPUTED_VALUE"""),0.0)</f>
        <v>0</v>
      </c>
      <c r="F260" t="str">
        <f>IFERROR(__xludf.DUMMYFUNCTION("""COMPUTED_VALUE"""),"ESPNU")</f>
        <v>ESPNU</v>
      </c>
      <c r="G260" t="str">
        <f>IFERROR(__xludf.DUMMYFUNCTION("""COMPUTED_VALUE"""),"(6) LSU 45 at (9) Texas 38")</f>
        <v>(6) LSU 45 at (9) Texas 38</v>
      </c>
      <c r="H260" t="str">
        <f>IFERROR(__xludf.DUMMYFUNCTION("""COMPUTED_VALUE"""),"FINAL")</f>
        <v>FINAL</v>
      </c>
      <c r="I260" t="str">
        <f>IFERROR(__xludf.DUMMYFUNCTION("""COMPUTED_VALUE"""),"-6½")</f>
        <v>-6½</v>
      </c>
      <c r="J260" t="str">
        <f>IFERROR(__xludf.DUMMYFUNCTION("""COMPUTED_VALUE"""),"55½")</f>
        <v>55½</v>
      </c>
      <c r="K260" t="str">
        <f>IFERROR(__xludf.DUMMYFUNCTION("""COMPUTED_VALUE"""),"Adam")</f>
        <v>Adam</v>
      </c>
      <c r="L260">
        <f>IFERROR(__xludf.DUMMYFUNCTION("""COMPUTED_VALUE"""),9999.0)</f>
        <v>9999</v>
      </c>
      <c r="M260" s="124">
        <v>2.0</v>
      </c>
    </row>
    <row r="261">
      <c r="A261" s="151">
        <f>IFERROR(__xludf.DUMMYFUNCTION("""COMPUTED_VALUE"""),43716.14774770833)</f>
        <v>43716.14775</v>
      </c>
      <c r="B261" t="str">
        <f>IFERROR(__xludf.DUMMYFUNCTION("""COMPUTED_VALUE"""),"Nick A.")</f>
        <v>Nick A.</v>
      </c>
      <c r="C261" t="str">
        <f>IFERROR(__xludf.DUMMYFUNCTION("""COMPUTED_VALUE"""),"Michigan State")</f>
        <v>Michigan State</v>
      </c>
      <c r="D261">
        <f>IFERROR(__xludf.DUMMYFUNCTION("""COMPUTED_VALUE"""),2.0)</f>
        <v>2</v>
      </c>
      <c r="E261">
        <f>IFERROR(__xludf.DUMMYFUNCTION("""COMPUTED_VALUE"""),0.0)</f>
        <v>0</v>
      </c>
      <c r="F261" t="str">
        <f>IFERROR(__xludf.DUMMYFUNCTION("""COMPUTED_VALUE"""),"FS1")</f>
        <v>FS1</v>
      </c>
      <c r="G261" t="str">
        <f>IFERROR(__xludf.DUMMYFUNCTION("""COMPUTED_VALUE"""),"Western Michigan 17 at (20) Michigan State 51")</f>
        <v>Western Michigan 17 at (20) Michigan State 51</v>
      </c>
      <c r="H261" t="str">
        <f>IFERROR(__xludf.DUMMYFUNCTION("""COMPUTED_VALUE"""),"FINAL")</f>
        <v>FINAL</v>
      </c>
      <c r="I261" t="str">
        <f>IFERROR(__xludf.DUMMYFUNCTION("""COMPUTED_VALUE"""),"-15½")</f>
        <v>-15½</v>
      </c>
      <c r="J261" t="str">
        <f>IFERROR(__xludf.DUMMYFUNCTION("""COMPUTED_VALUE"""),"46½")</f>
        <v>46½</v>
      </c>
      <c r="K261" t="str">
        <f>IFERROR(__xludf.DUMMYFUNCTION("""COMPUTED_VALUE"""),"Jeannine")</f>
        <v>Jeannine</v>
      </c>
      <c r="L261">
        <f>IFERROR(__xludf.DUMMYFUNCTION("""COMPUTED_VALUE"""),9999.0)</f>
        <v>9999</v>
      </c>
      <c r="M261" s="124">
        <v>2.0</v>
      </c>
    </row>
    <row r="262">
      <c r="A262" s="151">
        <f>IFERROR(__xludf.DUMMYFUNCTION("""COMPUTED_VALUE"""),43716.14774770833)</f>
        <v>43716.14775</v>
      </c>
      <c r="B262" t="str">
        <f>IFERROR(__xludf.DUMMYFUNCTION("""COMPUTED_VALUE"""),"Gary")</f>
        <v>Gary</v>
      </c>
      <c r="C262" t="str">
        <f>IFERROR(__xludf.DUMMYFUNCTION("""COMPUTED_VALUE"""),"Marshall")</f>
        <v>Marshall</v>
      </c>
      <c r="D262">
        <f>IFERROR(__xludf.DUMMYFUNCTION("""COMPUTED_VALUE"""),1.0)</f>
        <v>1</v>
      </c>
      <c r="E262">
        <f>IFERROR(__xludf.DUMMYFUNCTION("""COMPUTED_VALUE"""),1.0)</f>
        <v>1</v>
      </c>
      <c r="F262" t="str">
        <f>IFERROR(__xludf.DUMMYFUNCTION("""COMPUTED_VALUE"""),"Stadium Video")</f>
        <v>Stadium Video</v>
      </c>
      <c r="G262" t="str">
        <f>IFERROR(__xludf.DUMMYFUNCTION("""COMPUTED_VALUE"""),"Marshall 7 at (24) Boise State 14")</f>
        <v>Marshall 7 at (24) Boise State 14</v>
      </c>
      <c r="H262" t="str">
        <f>IFERROR(__xludf.DUMMYFUNCTION("""COMPUTED_VALUE"""),"FINAL")</f>
        <v>FINAL</v>
      </c>
      <c r="I262">
        <f>IFERROR(__xludf.DUMMYFUNCTION("""COMPUTED_VALUE"""),12.0)</f>
        <v>12</v>
      </c>
      <c r="J262" t="str">
        <f>IFERROR(__xludf.DUMMYFUNCTION("""COMPUTED_VALUE"""),"56½")</f>
        <v>56½</v>
      </c>
      <c r="K262" t="str">
        <f>IFERROR(__xludf.DUMMYFUNCTION("""COMPUTED_VALUE"""),"Janice/Mike")</f>
        <v>Janice/Mike</v>
      </c>
      <c r="L262">
        <f>IFERROR(__xludf.DUMMYFUNCTION("""COMPUTED_VALUE"""),9999.0)</f>
        <v>9999</v>
      </c>
      <c r="M262" s="124">
        <v>2.0</v>
      </c>
    </row>
    <row r="263">
      <c r="A263" s="151">
        <f>IFERROR(__xludf.DUMMYFUNCTION("""COMPUTED_VALUE"""),43716.14774770833)</f>
        <v>43716.14775</v>
      </c>
      <c r="B263" t="str">
        <f>IFERROR(__xludf.DUMMYFUNCTION("""COMPUTED_VALUE"""),"Gary")</f>
        <v>Gary</v>
      </c>
      <c r="C263" t="str">
        <f>IFERROR(__xludf.DUMMYFUNCTION("""COMPUTED_VALUE"""),"Ohio")</f>
        <v>Ohio</v>
      </c>
      <c r="D263">
        <f>IFERROR(__xludf.DUMMYFUNCTION("""COMPUTED_VALUE"""),1.0)</f>
        <v>1</v>
      </c>
      <c r="E263">
        <f>IFERROR(__xludf.DUMMYFUNCTION("""COMPUTED_VALUE"""),1.0)</f>
        <v>1</v>
      </c>
      <c r="F263" t="str">
        <f>IFERROR(__xludf.DUMMYFUNCTION("""COMPUTED_VALUE"""),"espn+ Video")</f>
        <v>espn+ Video</v>
      </c>
      <c r="G263" t="str">
        <f>IFERROR(__xludf.DUMMYFUNCTION("""COMPUTED_VALUE"""),"Ohio 10 at Pittsburgh 20")</f>
        <v>Ohio 10 at Pittsburgh 20</v>
      </c>
      <c r="H263" t="str">
        <f>IFERROR(__xludf.DUMMYFUNCTION("""COMPUTED_VALUE"""),"FINAL")</f>
        <v>FINAL</v>
      </c>
      <c r="I263" t="str">
        <f>IFERROR(__xludf.DUMMYFUNCTION("""COMPUTED_VALUE"""),"5½")</f>
        <v>5½</v>
      </c>
      <c r="J263" t="str">
        <f>IFERROR(__xludf.DUMMYFUNCTION("""COMPUTED_VALUE"""),"54½")</f>
        <v>54½</v>
      </c>
      <c r="K263" t="str">
        <f>IFERROR(__xludf.DUMMYFUNCTION("""COMPUTED_VALUE"""),"Gary")</f>
        <v>Gary</v>
      </c>
      <c r="L263">
        <f>IFERROR(__xludf.DUMMYFUNCTION("""COMPUTED_VALUE"""),9999.0)</f>
        <v>9999</v>
      </c>
      <c r="M263" s="124">
        <v>2.0</v>
      </c>
    </row>
    <row r="264">
      <c r="A264" s="151">
        <f>IFERROR(__xludf.DUMMYFUNCTION("""COMPUTED_VALUE"""),43716.14774770833)</f>
        <v>43716.14775</v>
      </c>
      <c r="B264" t="str">
        <f>IFERROR(__xludf.DUMMYFUNCTION("""COMPUTED_VALUE"""),"Gary")</f>
        <v>Gary</v>
      </c>
      <c r="C264" t="str">
        <f>IFERROR(__xludf.DUMMYFUNCTION("""COMPUTED_VALUE"""),"BYU")</f>
        <v>BYU</v>
      </c>
      <c r="D264">
        <f>IFERROR(__xludf.DUMMYFUNCTION("""COMPUTED_VALUE"""),1.0)</f>
        <v>1</v>
      </c>
      <c r="E264">
        <f>IFERROR(__xludf.DUMMYFUNCTION("""COMPUTED_VALUE"""),1.0)</f>
        <v>1</v>
      </c>
      <c r="F264" t="str">
        <f>IFERROR(__xludf.DUMMYFUNCTION("""COMPUTED_VALUE"""),"ESPN")</f>
        <v>ESPN</v>
      </c>
      <c r="G264" t="str">
        <f>IFERROR(__xludf.DUMMYFUNCTION("""COMPUTED_VALUE"""),"BYU 29 at Tennessee 26")</f>
        <v>BYU 29 at Tennessee 26</v>
      </c>
      <c r="H264" t="str">
        <f>IFERROR(__xludf.DUMMYFUNCTION("""COMPUTED_VALUE"""),"FINAL - 2ND OT")</f>
        <v>FINAL - 2ND OT</v>
      </c>
      <c r="I264" t="str">
        <f>IFERROR(__xludf.DUMMYFUNCTION("""COMPUTED_VALUE"""),"3½")</f>
        <v>3½</v>
      </c>
      <c r="J264" t="str">
        <f>IFERROR(__xludf.DUMMYFUNCTION("""COMPUTED_VALUE"""),"51½")</f>
        <v>51½</v>
      </c>
      <c r="K264" t="str">
        <f>IFERROR(__xludf.DUMMYFUNCTION("""COMPUTED_VALUE"""),"Justin")</f>
        <v>Justin</v>
      </c>
      <c r="L264">
        <f>IFERROR(__xludf.DUMMYFUNCTION("""COMPUTED_VALUE"""),9999.0)</f>
        <v>9999</v>
      </c>
      <c r="M264" s="124">
        <v>2.0</v>
      </c>
    </row>
    <row r="265">
      <c r="A265" s="151">
        <f>IFERROR(__xludf.DUMMYFUNCTION("""COMPUTED_VALUE"""),43716.14774770833)</f>
        <v>43716.14775</v>
      </c>
      <c r="B265" t="str">
        <f>IFERROR(__xludf.DUMMYFUNCTION("""COMPUTED_VALUE"""),"Gary")</f>
        <v>Gary</v>
      </c>
      <c r="C265" t="str">
        <f>IFERROR(__xludf.DUMMYFUNCTION("""COMPUTED_VALUE"""),"Tulane")</f>
        <v>Tulane</v>
      </c>
      <c r="D265">
        <f>IFERROR(__xludf.DUMMYFUNCTION("""COMPUTED_VALUE"""),1.0)</f>
        <v>1</v>
      </c>
      <c r="E265">
        <f>IFERROR(__xludf.DUMMYFUNCTION("""COMPUTED_VALUE"""),1.0)</f>
        <v>1</v>
      </c>
      <c r="F265" t="str">
        <f>IFERROR(__xludf.DUMMYFUNCTION("""COMPUTED_VALUE"""),"espn3 Video")</f>
        <v>espn3 Video</v>
      </c>
      <c r="G265" t="str">
        <f>IFERROR(__xludf.DUMMYFUNCTION("""COMPUTED_VALUE"""),"Tulane 6 at (13) Auburn 24")</f>
        <v>Tulane 6 at (13) Auburn 24</v>
      </c>
      <c r="H265" t="str">
        <f>IFERROR(__xludf.DUMMYFUNCTION("""COMPUTED_VALUE"""),"FINAL")</f>
        <v>FINAL</v>
      </c>
      <c r="I265" t="str">
        <f>IFERROR(__xludf.DUMMYFUNCTION("""COMPUTED_VALUE"""),"17½")</f>
        <v>17½</v>
      </c>
      <c r="J265" t="str">
        <f>IFERROR(__xludf.DUMMYFUNCTION("""COMPUTED_VALUE"""),"51½")</f>
        <v>51½</v>
      </c>
      <c r="K265" t="str">
        <f>IFERROR(__xludf.DUMMYFUNCTION("""COMPUTED_VALUE"""),"Nick G.")</f>
        <v>Nick G.</v>
      </c>
      <c r="L265">
        <f>IFERROR(__xludf.DUMMYFUNCTION("""COMPUTED_VALUE"""),9999.0)</f>
        <v>9999</v>
      </c>
      <c r="M265" s="124">
        <v>2.0</v>
      </c>
    </row>
    <row r="266">
      <c r="A266" s="151">
        <f>IFERROR(__xludf.DUMMYFUNCTION("""COMPUTED_VALUE"""),43716.14774770833)</f>
        <v>43716.14775</v>
      </c>
      <c r="B266" t="str">
        <f>IFERROR(__xludf.DUMMYFUNCTION("""COMPUTED_VALUE"""),"Gary")</f>
        <v>Gary</v>
      </c>
      <c r="C266" t="str">
        <f>IFERROR(__xludf.DUMMYFUNCTION("""COMPUTED_VALUE"""),"Pittsburgh")</f>
        <v>Pittsburgh</v>
      </c>
      <c r="D266">
        <f>IFERROR(__xludf.DUMMYFUNCTION("""COMPUTED_VALUE"""),1.0)</f>
        <v>1</v>
      </c>
      <c r="E266">
        <f>IFERROR(__xludf.DUMMYFUNCTION("""COMPUTED_VALUE"""),1.0)</f>
        <v>1</v>
      </c>
      <c r="F266" t="str">
        <f>IFERROR(__xludf.DUMMYFUNCTION("""COMPUTED_VALUE"""),"ACC Network")</f>
        <v>ACC Network</v>
      </c>
      <c r="G266" t="str">
        <f>IFERROR(__xludf.DUMMYFUNCTION("""COMPUTED_VALUE"""),"Ohio 10 at Pittsburgh 20")</f>
        <v>Ohio 10 at Pittsburgh 20</v>
      </c>
      <c r="H266" t="str">
        <f>IFERROR(__xludf.DUMMYFUNCTION("""COMPUTED_VALUE"""),"FINAL")</f>
        <v>FINAL</v>
      </c>
      <c r="I266" t="str">
        <f>IFERROR(__xludf.DUMMYFUNCTION("""COMPUTED_VALUE"""),"-5½")</f>
        <v>-5½</v>
      </c>
      <c r="J266" t="str">
        <f>IFERROR(__xludf.DUMMYFUNCTION("""COMPUTED_VALUE"""),"54½")</f>
        <v>54½</v>
      </c>
      <c r="K266" t="str">
        <f>IFERROR(__xludf.DUMMYFUNCTION("""COMPUTED_VALUE"""),"Gary")</f>
        <v>Gary</v>
      </c>
      <c r="L266">
        <f>IFERROR(__xludf.DUMMYFUNCTION("""COMPUTED_VALUE"""),9999.0)</f>
        <v>9999</v>
      </c>
      <c r="M266" s="124">
        <v>2.0</v>
      </c>
    </row>
    <row r="267">
      <c r="A267" s="151">
        <f>IFERROR(__xludf.DUMMYFUNCTION("""COMPUTED_VALUE"""),43716.14774770833)</f>
        <v>43716.14775</v>
      </c>
      <c r="B267" t="str">
        <f>IFERROR(__xludf.DUMMYFUNCTION("""COMPUTED_VALUE"""),"Gary")</f>
        <v>Gary</v>
      </c>
      <c r="C267" t="str">
        <f>IFERROR(__xludf.DUMMYFUNCTION("""COMPUTED_VALUE"""),"Maryland")</f>
        <v>Maryland</v>
      </c>
      <c r="D267">
        <f>IFERROR(__xludf.DUMMYFUNCTION("""COMPUTED_VALUE"""),2.0)</f>
        <v>2</v>
      </c>
      <c r="E267">
        <f>IFERROR(__xludf.DUMMYFUNCTION("""COMPUTED_VALUE"""),0.0)</f>
        <v>0</v>
      </c>
      <c r="F267" t="str">
        <f>IFERROR(__xludf.DUMMYFUNCTION("""COMPUTED_VALUE"""),"BTN")</f>
        <v>BTN</v>
      </c>
      <c r="G267" t="str">
        <f>IFERROR(__xludf.DUMMYFUNCTION("""COMPUTED_VALUE"""),"(22) Syracuse 20 at Maryland 63")</f>
        <v>(22) Syracuse 20 at Maryland 63</v>
      </c>
      <c r="H267" t="str">
        <f>IFERROR(__xludf.DUMMYFUNCTION("""COMPUTED_VALUE"""),"FINAL")</f>
        <v>FINAL</v>
      </c>
      <c r="I267">
        <f>IFERROR(__xludf.DUMMYFUNCTION("""COMPUTED_VALUE"""),-2.0)</f>
        <v>-2</v>
      </c>
      <c r="J267">
        <f>IFERROR(__xludf.DUMMYFUNCTION("""COMPUTED_VALUE"""),58.0)</f>
        <v>58</v>
      </c>
      <c r="K267" t="str">
        <f>IFERROR(__xludf.DUMMYFUNCTION("""COMPUTED_VALUE"""),"Vu")</f>
        <v>Vu</v>
      </c>
      <c r="L267">
        <f>IFERROR(__xludf.DUMMYFUNCTION("""COMPUTED_VALUE"""),9999.0)</f>
        <v>9999</v>
      </c>
      <c r="M267" s="124">
        <v>2.0</v>
      </c>
    </row>
    <row r="268">
      <c r="A268" s="151">
        <f>IFERROR(__xludf.DUMMYFUNCTION("""COMPUTED_VALUE"""),43716.14774770833)</f>
        <v>43716.14775</v>
      </c>
      <c r="B268" t="str">
        <f>IFERROR(__xludf.DUMMYFUNCTION("""COMPUTED_VALUE"""),"Gary")</f>
        <v>Gary</v>
      </c>
      <c r="C268" t="str">
        <f>IFERROR(__xludf.DUMMYFUNCTION("""COMPUTED_VALUE"""),"Missouri")</f>
        <v>Missouri</v>
      </c>
      <c r="D268">
        <f>IFERROR(__xludf.DUMMYFUNCTION("""COMPUTED_VALUE"""),1.0)</f>
        <v>1</v>
      </c>
      <c r="E268">
        <f>IFERROR(__xludf.DUMMYFUNCTION("""COMPUTED_VALUE"""),1.0)</f>
        <v>1</v>
      </c>
      <c r="F268" t="str">
        <f>IFERROR(__xludf.DUMMYFUNCTION("""COMPUTED_VALUE"""),"CBSSN")</f>
        <v>CBSSN</v>
      </c>
      <c r="G268" t="str">
        <f>IFERROR(__xludf.DUMMYFUNCTION("""COMPUTED_VALUE"""),"West Virginia 7 at Missouri 38")</f>
        <v>West Virginia 7 at Missouri 38</v>
      </c>
      <c r="H268" t="str">
        <f>IFERROR(__xludf.DUMMYFUNCTION("""COMPUTED_VALUE"""),"FINAL")</f>
        <v>FINAL</v>
      </c>
      <c r="I268">
        <f>IFERROR(__xludf.DUMMYFUNCTION("""COMPUTED_VALUE"""),-14.0)</f>
        <v>-14</v>
      </c>
      <c r="J268" t="str">
        <f>IFERROR(__xludf.DUMMYFUNCTION("""COMPUTED_VALUE"""),"62½")</f>
        <v>62½</v>
      </c>
      <c r="K268" t="str">
        <f>IFERROR(__xludf.DUMMYFUNCTION("""COMPUTED_VALUE"""),"Nico")</f>
        <v>Nico</v>
      </c>
      <c r="L268">
        <f>IFERROR(__xludf.DUMMYFUNCTION("""COMPUTED_VALUE"""),9999.0)</f>
        <v>9999</v>
      </c>
      <c r="M268" s="124">
        <v>2.0</v>
      </c>
    </row>
    <row r="269">
      <c r="A269" s="151">
        <f>IFERROR(__xludf.DUMMYFUNCTION("""COMPUTED_VALUE"""),43716.14774770833)</f>
        <v>43716.14775</v>
      </c>
      <c r="B269" t="str">
        <f>IFERROR(__xludf.DUMMYFUNCTION("""COMPUTED_VALUE"""),"Gary")</f>
        <v>Gary</v>
      </c>
      <c r="C269" t="str">
        <f>IFERROR(__xludf.DUMMYFUNCTION("""COMPUTED_VALUE"""),"UCLA")</f>
        <v>UCLA</v>
      </c>
      <c r="D269">
        <f>IFERROR(__xludf.DUMMYFUNCTION("""COMPUTED_VALUE"""),0.0)</f>
        <v>0</v>
      </c>
      <c r="E269">
        <f>IFERROR(__xludf.DUMMYFUNCTION("""COMPUTED_VALUE"""),2.0)</f>
        <v>2</v>
      </c>
      <c r="F269" t="str">
        <f>IFERROR(__xludf.DUMMYFUNCTION("""COMPUTED_VALUE"""),"ESPN")</f>
        <v>ESPN</v>
      </c>
      <c r="G269" t="str">
        <f>IFERROR(__xludf.DUMMYFUNCTION("""COMPUTED_VALUE"""),"San Diego State 23 at UCLA 14")</f>
        <v>San Diego State 23 at UCLA 14</v>
      </c>
      <c r="H269" t="str">
        <f>IFERROR(__xludf.DUMMYFUNCTION("""COMPUTED_VALUE"""),"FINAL")</f>
        <v>FINAL</v>
      </c>
      <c r="I269" t="str">
        <f>IFERROR(__xludf.DUMMYFUNCTION("""COMPUTED_VALUE"""),"-7½")</f>
        <v>-7½</v>
      </c>
      <c r="J269" t="str">
        <f>IFERROR(__xludf.DUMMYFUNCTION("""COMPUTED_VALUE"""),"45½")</f>
        <v>45½</v>
      </c>
      <c r="K269" t="str">
        <f>IFERROR(__xludf.DUMMYFUNCTION("""COMPUTED_VALUE"""),"Nick A.")</f>
        <v>Nick A.</v>
      </c>
      <c r="L269">
        <f>IFERROR(__xludf.DUMMYFUNCTION("""COMPUTED_VALUE"""),9999.0)</f>
        <v>9999</v>
      </c>
      <c r="M269" s="124">
        <v>2.0</v>
      </c>
    </row>
    <row r="270">
      <c r="A270" s="151">
        <f>IFERROR(__xludf.DUMMYFUNCTION("""COMPUTED_VALUE"""),43716.14774770833)</f>
        <v>43716.14775</v>
      </c>
      <c r="B270" t="str">
        <f>IFERROR(__xludf.DUMMYFUNCTION("""COMPUTED_VALUE"""),"Gary")</f>
        <v>Gary</v>
      </c>
      <c r="C270" t="str">
        <f>IFERROR(__xludf.DUMMYFUNCTION("""COMPUTED_VALUE"""),"Utah State")</f>
        <v>Utah State</v>
      </c>
      <c r="D270">
        <f>IFERROR(__xludf.DUMMYFUNCTION("""COMPUTED_VALUE"""),1.0)</f>
        <v>1</v>
      </c>
      <c r="E270">
        <f>IFERROR(__xludf.DUMMYFUNCTION("""COMPUTED_VALUE"""),1.0)</f>
        <v>1</v>
      </c>
      <c r="F270" t="str">
        <f>IFERROR(__xludf.DUMMYFUNCTION("""COMPUTED_VALUE"""),"ACC Network")</f>
        <v>ACC Network</v>
      </c>
      <c r="G270" t="str">
        <f>IFERROR(__xludf.DUMMYFUNCTION("""COMPUTED_VALUE"""),"Stony Brook 7 at Utah State 62")</f>
        <v>Stony Brook 7 at Utah State 62</v>
      </c>
      <c r="H270" t="str">
        <f>IFERROR(__xludf.DUMMYFUNCTION("""COMPUTED_VALUE"""),"FINAL")</f>
        <v>FINAL</v>
      </c>
      <c r="I270" t="str">
        <f>IFERROR(__xludf.DUMMYFUNCTION("""COMPUTED_VALUE"""),"No Line")</f>
        <v>No Line</v>
      </c>
      <c r="K270" t="str">
        <f>IFERROR(__xludf.DUMMYFUNCTION("""COMPUTED_VALUE"""),"Undrafted")</f>
        <v>Undrafted</v>
      </c>
      <c r="L270">
        <f>IFERROR(__xludf.DUMMYFUNCTION("""COMPUTED_VALUE"""),9999.0)</f>
        <v>9999</v>
      </c>
      <c r="M270" s="124">
        <v>2.0</v>
      </c>
    </row>
    <row r="271">
      <c r="A271" s="151">
        <f>IFERROR(__xludf.DUMMYFUNCTION("""COMPUTED_VALUE"""),43716.14774770833)</f>
        <v>43716.14775</v>
      </c>
      <c r="B271" t="str">
        <f>IFERROR(__xludf.DUMMYFUNCTION("""COMPUTED_VALUE"""),"Gary")</f>
        <v>Gary</v>
      </c>
      <c r="C271" t="str">
        <f>IFERROR(__xludf.DUMMYFUNCTION("""COMPUTED_VALUE"""),"UL Lafayette")</f>
        <v>UL Lafayette</v>
      </c>
      <c r="D271">
        <f>IFERROR(__xludf.DUMMYFUNCTION("""COMPUTED_VALUE"""),1.0)</f>
        <v>1</v>
      </c>
      <c r="E271">
        <f>IFERROR(__xludf.DUMMYFUNCTION("""COMPUTED_VALUE"""),1.0)</f>
        <v>1</v>
      </c>
      <c r="F271" t="str">
        <f>IFERROR(__xludf.DUMMYFUNCTION("""COMPUTED_VALUE"""),"NA")</f>
        <v>NA</v>
      </c>
      <c r="G271" t="str">
        <f>IFERROR(__xludf.DUMMYFUNCTION("""COMPUTED_VALUE"""),"Liberty 14 at UL Lafayette 35")</f>
        <v>Liberty 14 at UL Lafayette 35</v>
      </c>
      <c r="H271" t="str">
        <f>IFERROR(__xludf.DUMMYFUNCTION("""COMPUTED_VALUE"""),"FINAL")</f>
        <v>FINAL</v>
      </c>
      <c r="I271" t="str">
        <f>IFERROR(__xludf.DUMMYFUNCTION("""COMPUTED_VALUE"""),"-13½")</f>
        <v>-13½</v>
      </c>
      <c r="J271" t="str">
        <f>IFERROR(__xludf.DUMMYFUNCTION("""COMPUTED_VALUE"""),"65½")</f>
        <v>65½</v>
      </c>
      <c r="K271" t="str">
        <f>IFERROR(__xludf.DUMMYFUNCTION("""COMPUTED_VALUE"""),"Undrafted")</f>
        <v>Undrafted</v>
      </c>
      <c r="L271">
        <f>IFERROR(__xludf.DUMMYFUNCTION("""COMPUTED_VALUE"""),9999.0)</f>
        <v>9999</v>
      </c>
      <c r="M271" s="124">
        <v>2.0</v>
      </c>
    </row>
    <row r="272">
      <c r="A272" s="151">
        <f>IFERROR(__xludf.DUMMYFUNCTION("""COMPUTED_VALUE"""),43716.14774770833)</f>
        <v>43716.14775</v>
      </c>
      <c r="B272" t="str">
        <f>IFERROR(__xludf.DUMMYFUNCTION("""COMPUTED_VALUE"""),"Janice/Mike")</f>
        <v>Janice/Mike</v>
      </c>
      <c r="C272" t="str">
        <f>IFERROR(__xludf.DUMMYFUNCTION("""COMPUTED_VALUE"""),"Northern Illinois")</f>
        <v>Northern Illinois</v>
      </c>
      <c r="D272">
        <f>IFERROR(__xludf.DUMMYFUNCTION("""COMPUTED_VALUE"""),1.0)</f>
        <v>1</v>
      </c>
      <c r="E272">
        <f>IFERROR(__xludf.DUMMYFUNCTION("""COMPUTED_VALUE"""),1.0)</f>
        <v>1</v>
      </c>
      <c r="F272" t="str">
        <f>IFERROR(__xludf.DUMMYFUNCTION("""COMPUTED_VALUE"""),"espn+ Video")</f>
        <v>espn+ Video</v>
      </c>
      <c r="G272" t="str">
        <f>IFERROR(__xludf.DUMMYFUNCTION("""COMPUTED_VALUE"""),"Northern Illinois 17 at (15) Utah 35")</f>
        <v>Northern Illinois 17 at (15) Utah 35</v>
      </c>
      <c r="H272" t="str">
        <f>IFERROR(__xludf.DUMMYFUNCTION("""COMPUTED_VALUE"""),"FINAL")</f>
        <v>FINAL</v>
      </c>
      <c r="I272" t="str">
        <f>IFERROR(__xludf.DUMMYFUNCTION("""COMPUTED_VALUE"""),"21½")</f>
        <v>21½</v>
      </c>
      <c r="J272" t="str">
        <f>IFERROR(__xludf.DUMMYFUNCTION("""COMPUTED_VALUE"""),"43½")</f>
        <v>43½</v>
      </c>
      <c r="K272" t="str">
        <f>IFERROR(__xludf.DUMMYFUNCTION("""COMPUTED_VALUE"""),"Brad")</f>
        <v>Brad</v>
      </c>
      <c r="L272">
        <f>IFERROR(__xludf.DUMMYFUNCTION("""COMPUTED_VALUE"""),9999.0)</f>
        <v>9999</v>
      </c>
      <c r="M272" s="124">
        <v>2.0</v>
      </c>
    </row>
    <row r="273">
      <c r="A273" s="151">
        <f>IFERROR(__xludf.DUMMYFUNCTION("""COMPUTED_VALUE"""),43716.14774770833)</f>
        <v>43716.14775</v>
      </c>
      <c r="B273" t="str">
        <f>IFERROR(__xludf.DUMMYFUNCTION("""COMPUTED_VALUE"""),"Janice/Mike")</f>
        <v>Janice/Mike</v>
      </c>
      <c r="C273" t="str">
        <f>IFERROR(__xludf.DUMMYFUNCTION("""COMPUTED_VALUE"""),"Charlotte")</f>
        <v>Charlotte</v>
      </c>
      <c r="D273">
        <f>IFERROR(__xludf.DUMMYFUNCTION("""COMPUTED_VALUE"""),1.0)</f>
        <v>1</v>
      </c>
      <c r="E273">
        <f>IFERROR(__xludf.DUMMYFUNCTION("""COMPUTED_VALUE"""),1.0)</f>
        <v>1</v>
      </c>
      <c r="F273" t="str">
        <f>IFERROR(__xludf.DUMMYFUNCTION("""COMPUTED_VALUE"""),"espn+ Video")</f>
        <v>espn+ Video</v>
      </c>
      <c r="G273" t="str">
        <f>IFERROR(__xludf.DUMMYFUNCTION("""COMPUTED_VALUE"""),"Charlotte 41 at Appalachian State 56")</f>
        <v>Charlotte 41 at Appalachian State 56</v>
      </c>
      <c r="H273" t="str">
        <f>IFERROR(__xludf.DUMMYFUNCTION("""COMPUTED_VALUE"""),"FINAL")</f>
        <v>FINAL</v>
      </c>
      <c r="I273" t="str">
        <f>IFERROR(__xludf.DUMMYFUNCTION("""COMPUTED_VALUE"""),"22½")</f>
        <v>22½</v>
      </c>
      <c r="J273">
        <f>IFERROR(__xludf.DUMMYFUNCTION("""COMPUTED_VALUE"""),54.0)</f>
        <v>54</v>
      </c>
      <c r="K273" t="str">
        <f>IFERROR(__xludf.DUMMYFUNCTION("""COMPUTED_VALUE"""),"Justin")</f>
        <v>Justin</v>
      </c>
      <c r="L273">
        <f>IFERROR(__xludf.DUMMYFUNCTION("""COMPUTED_VALUE"""),9999.0)</f>
        <v>9999</v>
      </c>
      <c r="M273" s="124">
        <v>2.0</v>
      </c>
    </row>
    <row r="274">
      <c r="A274" s="151">
        <f>IFERROR(__xludf.DUMMYFUNCTION("""COMPUTED_VALUE"""),43716.14774770833)</f>
        <v>43716.14775</v>
      </c>
      <c r="B274" t="str">
        <f>IFERROR(__xludf.DUMMYFUNCTION("""COMPUTED_VALUE"""),"Janice/Mike")</f>
        <v>Janice/Mike</v>
      </c>
      <c r="C274" t="str">
        <f>IFERROR(__xludf.DUMMYFUNCTION("""COMPUTED_VALUE"""),"Arkansas")</f>
        <v>Arkansas</v>
      </c>
      <c r="D274">
        <f>IFERROR(__xludf.DUMMYFUNCTION("""COMPUTED_VALUE"""),1.0)</f>
        <v>1</v>
      </c>
      <c r="E274">
        <f>IFERROR(__xludf.DUMMYFUNCTION("""COMPUTED_VALUE"""),1.0)</f>
        <v>1</v>
      </c>
      <c r="F274" t="str">
        <f>IFERROR(__xludf.DUMMYFUNCTION("""COMPUTED_VALUE"""),"SEC Network")</f>
        <v>SEC Network</v>
      </c>
      <c r="G274" t="str">
        <f>IFERROR(__xludf.DUMMYFUNCTION("""COMPUTED_VALUE"""),"Arkansas 17 at Ole Miss 31")</f>
        <v>Arkansas 17 at Ole Miss 31</v>
      </c>
      <c r="H274" t="str">
        <f>IFERROR(__xludf.DUMMYFUNCTION("""COMPUTED_VALUE"""),"FINAL")</f>
        <v>FINAL</v>
      </c>
      <c r="I274" t="str">
        <f>IFERROR(__xludf.DUMMYFUNCTION("""COMPUTED_VALUE"""),"6½")</f>
        <v>6½</v>
      </c>
      <c r="J274" t="str">
        <f>IFERROR(__xludf.DUMMYFUNCTION("""COMPUTED_VALUE"""),"50½")</f>
        <v>50½</v>
      </c>
      <c r="K274" t="str">
        <f>IFERROR(__xludf.DUMMYFUNCTION("""COMPUTED_VALUE"""),"Undrafted")</f>
        <v>Undrafted</v>
      </c>
      <c r="L274">
        <f>IFERROR(__xludf.DUMMYFUNCTION("""COMPUTED_VALUE"""),9999.0)</f>
        <v>9999</v>
      </c>
      <c r="M274" s="124">
        <v>2.0</v>
      </c>
    </row>
    <row r="275">
      <c r="A275" s="151">
        <f>IFERROR(__xludf.DUMMYFUNCTION("""COMPUTED_VALUE"""),43716.14774770833)</f>
        <v>43716.14775</v>
      </c>
      <c r="B275" t="str">
        <f>IFERROR(__xludf.DUMMYFUNCTION("""COMPUTED_VALUE"""),"Janice/Mike")</f>
        <v>Janice/Mike</v>
      </c>
      <c r="C275" t="str">
        <f>IFERROR(__xludf.DUMMYFUNCTION("""COMPUTED_VALUE"""),"Navy")</f>
        <v>Navy</v>
      </c>
      <c r="D275">
        <f>IFERROR(__xludf.DUMMYFUNCTION("""COMPUTED_VALUE"""),1.0)</f>
        <v>1</v>
      </c>
      <c r="E275">
        <f>IFERROR(__xludf.DUMMYFUNCTION("""COMPUTED_VALUE"""),0.0)</f>
        <v>0</v>
      </c>
      <c r="F275" t="str">
        <f>IFERROR(__xludf.DUMMYFUNCTION("""COMPUTED_VALUE"""),"CBSSN")</f>
        <v>CBSSN</v>
      </c>
      <c r="G275" t="str">
        <f>IFERROR(__xludf.DUMMYFUNCTION("""COMPUTED_VALUE"""),"BYE")</f>
        <v>BYE</v>
      </c>
      <c r="I275" t="str">
        <f>IFERROR(__xludf.DUMMYFUNCTION("""COMPUTED_VALUE"""),"bye")</f>
        <v>bye</v>
      </c>
      <c r="J275" t="str">
        <f>IFERROR(__xludf.DUMMYFUNCTION("""COMPUTED_VALUE"""),"bye")</f>
        <v>bye</v>
      </c>
      <c r="L275">
        <f>IFERROR(__xludf.DUMMYFUNCTION("""COMPUTED_VALUE"""),9999.0)</f>
        <v>9999</v>
      </c>
      <c r="M275" s="124">
        <v>2.0</v>
      </c>
    </row>
    <row r="276">
      <c r="A276" s="151">
        <f>IFERROR(__xludf.DUMMYFUNCTION("""COMPUTED_VALUE"""),43716.14774770833)</f>
        <v>43716.14775</v>
      </c>
      <c r="B276" t="str">
        <f>IFERROR(__xludf.DUMMYFUNCTION("""COMPUTED_VALUE"""),"Janice/Mike")</f>
        <v>Janice/Mike</v>
      </c>
      <c r="C276" t="str">
        <f>IFERROR(__xludf.DUMMYFUNCTION("""COMPUTED_VALUE"""),"Boise State")</f>
        <v>Boise State</v>
      </c>
      <c r="D276">
        <f>IFERROR(__xludf.DUMMYFUNCTION("""COMPUTED_VALUE"""),2.0)</f>
        <v>2</v>
      </c>
      <c r="E276">
        <f>IFERROR(__xludf.DUMMYFUNCTION("""COMPUTED_VALUE"""),0.0)</f>
        <v>0</v>
      </c>
      <c r="F276" t="str">
        <f>IFERROR(__xludf.DUMMYFUNCTION("""COMPUTED_VALUE"""),"ESPN")</f>
        <v>ESPN</v>
      </c>
      <c r="G276" t="str">
        <f>IFERROR(__xludf.DUMMYFUNCTION("""COMPUTED_VALUE"""),"Marshall 7 at (24) Boise State 14")</f>
        <v>Marshall 7 at (24) Boise State 14</v>
      </c>
      <c r="H276" t="str">
        <f>IFERROR(__xludf.DUMMYFUNCTION("""COMPUTED_VALUE"""),"FINAL")</f>
        <v>FINAL</v>
      </c>
      <c r="I276">
        <f>IFERROR(__xludf.DUMMYFUNCTION("""COMPUTED_VALUE"""),-12.0)</f>
        <v>-12</v>
      </c>
      <c r="J276" t="str">
        <f>IFERROR(__xludf.DUMMYFUNCTION("""COMPUTED_VALUE"""),"56½")</f>
        <v>56½</v>
      </c>
      <c r="K276" t="str">
        <f>IFERROR(__xludf.DUMMYFUNCTION("""COMPUTED_VALUE"""),"Gary")</f>
        <v>Gary</v>
      </c>
      <c r="L276">
        <f>IFERROR(__xludf.DUMMYFUNCTION("""COMPUTED_VALUE"""),9999.0)</f>
        <v>9999</v>
      </c>
      <c r="M276" s="124">
        <v>2.0</v>
      </c>
    </row>
    <row r="277">
      <c r="A277" s="151">
        <f>IFERROR(__xludf.DUMMYFUNCTION("""COMPUTED_VALUE"""),43716.14774770833)</f>
        <v>43716.14775</v>
      </c>
      <c r="B277" t="str">
        <f>IFERROR(__xludf.DUMMYFUNCTION("""COMPUTED_VALUE"""),"Janice/Mike")</f>
        <v>Janice/Mike</v>
      </c>
      <c r="C277" t="str">
        <f>IFERROR(__xludf.DUMMYFUNCTION("""COMPUTED_VALUE"""),"Wisconsin")</f>
        <v>Wisconsin</v>
      </c>
      <c r="D277">
        <f>IFERROR(__xludf.DUMMYFUNCTION("""COMPUTED_VALUE"""),2.0)</f>
        <v>2</v>
      </c>
      <c r="E277">
        <f>IFERROR(__xludf.DUMMYFUNCTION("""COMPUTED_VALUE"""),0.0)</f>
        <v>0</v>
      </c>
      <c r="F277" t="str">
        <f>IFERROR(__xludf.DUMMYFUNCTION("""COMPUTED_VALUE"""),"ESPN")</f>
        <v>ESPN</v>
      </c>
      <c r="G277" t="str">
        <f>IFERROR(__xludf.DUMMYFUNCTION("""COMPUTED_VALUE"""),"Central Michigan 0 at (16) Wisconsin 61")</f>
        <v>Central Michigan 0 at (16) Wisconsin 61</v>
      </c>
      <c r="H277" t="str">
        <f>IFERROR(__xludf.DUMMYFUNCTION("""COMPUTED_VALUE"""),"FINAL")</f>
        <v>FINAL</v>
      </c>
      <c r="I277">
        <f>IFERROR(__xludf.DUMMYFUNCTION("""COMPUTED_VALUE"""),-35.0)</f>
        <v>-35</v>
      </c>
      <c r="J277" t="str">
        <f>IFERROR(__xludf.DUMMYFUNCTION("""COMPUTED_VALUE"""),"51½")</f>
        <v>51½</v>
      </c>
      <c r="K277" t="str">
        <f>IFERROR(__xludf.DUMMYFUNCTION("""COMPUTED_VALUE"""),"Nick G.")</f>
        <v>Nick G.</v>
      </c>
      <c r="L277">
        <f>IFERROR(__xludf.DUMMYFUNCTION("""COMPUTED_VALUE"""),9999.0)</f>
        <v>9999</v>
      </c>
      <c r="M277" s="124">
        <v>2.0</v>
      </c>
    </row>
    <row r="278">
      <c r="A278" s="151">
        <f>IFERROR(__xludf.DUMMYFUNCTION("""COMPUTED_VALUE"""),43716.14774770833)</f>
        <v>43716.14775</v>
      </c>
      <c r="B278" t="str">
        <f>IFERROR(__xludf.DUMMYFUNCTION("""COMPUTED_VALUE"""),"Janice/Mike")</f>
        <v>Janice/Mike</v>
      </c>
      <c r="C278" t="str">
        <f>IFERROR(__xludf.DUMMYFUNCTION("""COMPUTED_VALUE"""),"Boston College")</f>
        <v>Boston College</v>
      </c>
      <c r="D278">
        <f>IFERROR(__xludf.DUMMYFUNCTION("""COMPUTED_VALUE"""),2.0)</f>
        <v>2</v>
      </c>
      <c r="E278">
        <f>IFERROR(__xludf.DUMMYFUNCTION("""COMPUTED_VALUE"""),0.0)</f>
        <v>0</v>
      </c>
      <c r="F278" t="str">
        <f>IFERROR(__xludf.DUMMYFUNCTION("""COMPUTED_VALUE"""),"ACC Network")</f>
        <v>ACC Network</v>
      </c>
      <c r="G278" t="str">
        <f>IFERROR(__xludf.DUMMYFUNCTION("""COMPUTED_VALUE"""),"Richmond 13 at Boston College 45")</f>
        <v>Richmond 13 at Boston College 45</v>
      </c>
      <c r="H278" t="str">
        <f>IFERROR(__xludf.DUMMYFUNCTION("""COMPUTED_VALUE"""),"FINAL")</f>
        <v>FINAL</v>
      </c>
      <c r="I278" t="str">
        <f>IFERROR(__xludf.DUMMYFUNCTION("""COMPUTED_VALUE"""),"No Line")</f>
        <v>No Line</v>
      </c>
      <c r="K278" t="str">
        <f>IFERROR(__xludf.DUMMYFUNCTION("""COMPUTED_VALUE"""),"Undrafted")</f>
        <v>Undrafted</v>
      </c>
      <c r="L278">
        <f>IFERROR(__xludf.DUMMYFUNCTION("""COMPUTED_VALUE"""),9999.0)</f>
        <v>9999</v>
      </c>
      <c r="M278" s="124">
        <v>2.0</v>
      </c>
    </row>
    <row r="279">
      <c r="A279" s="151">
        <f>IFERROR(__xludf.DUMMYFUNCTION("""COMPUTED_VALUE"""),43716.14774770833)</f>
        <v>43716.14775</v>
      </c>
      <c r="B279" t="str">
        <f>IFERROR(__xludf.DUMMYFUNCTION("""COMPUTED_VALUE"""),"Janice/Mike")</f>
        <v>Janice/Mike</v>
      </c>
      <c r="C279" t="str">
        <f>IFERROR(__xludf.DUMMYFUNCTION("""COMPUTED_VALUE"""),"Georgia Southern")</f>
        <v>Georgia Southern</v>
      </c>
      <c r="D279">
        <f>IFERROR(__xludf.DUMMYFUNCTION("""COMPUTED_VALUE"""),1.0)</f>
        <v>1</v>
      </c>
      <c r="E279">
        <f>IFERROR(__xludf.DUMMYFUNCTION("""COMPUTED_VALUE"""),1.0)</f>
        <v>1</v>
      </c>
      <c r="F279" t="str">
        <f>IFERROR(__xludf.DUMMYFUNCTION("""COMPUTED_VALUE"""),"ESPNU")</f>
        <v>ESPNU</v>
      </c>
      <c r="G279" t="str">
        <f>IFERROR(__xludf.DUMMYFUNCTION("""COMPUTED_VALUE"""),"Maine 18 at Georgia Southern 26")</f>
        <v>Maine 18 at Georgia Southern 26</v>
      </c>
      <c r="H279" t="str">
        <f>IFERROR(__xludf.DUMMYFUNCTION("""COMPUTED_VALUE"""),"FINAL")</f>
        <v>FINAL</v>
      </c>
      <c r="I279" t="str">
        <f>IFERROR(__xludf.DUMMYFUNCTION("""COMPUTED_VALUE"""),"No Line")</f>
        <v>No Line</v>
      </c>
      <c r="K279" t="str">
        <f>IFERROR(__xludf.DUMMYFUNCTION("""COMPUTED_VALUE"""),"Undrafted")</f>
        <v>Undrafted</v>
      </c>
      <c r="L279">
        <f>IFERROR(__xludf.DUMMYFUNCTION("""COMPUTED_VALUE"""),9999.0)</f>
        <v>9999</v>
      </c>
      <c r="M279" s="124">
        <v>2.0</v>
      </c>
    </row>
    <row r="280">
      <c r="A280" s="151">
        <f>IFERROR(__xludf.DUMMYFUNCTION("""COMPUTED_VALUE"""),43716.14774770833)</f>
        <v>43716.14775</v>
      </c>
      <c r="B280" t="str">
        <f>IFERROR(__xludf.DUMMYFUNCTION("""COMPUTED_VALUE"""),"Janice/Mike")</f>
        <v>Janice/Mike</v>
      </c>
      <c r="C280" t="str">
        <f>IFERROR(__xludf.DUMMYFUNCTION("""COMPUTED_VALUE"""),"Texas Tech")</f>
        <v>Texas Tech</v>
      </c>
      <c r="D280">
        <f>IFERROR(__xludf.DUMMYFUNCTION("""COMPUTED_VALUE"""),2.0)</f>
        <v>2</v>
      </c>
      <c r="E280">
        <f>IFERROR(__xludf.DUMMYFUNCTION("""COMPUTED_VALUE"""),0.0)</f>
        <v>0</v>
      </c>
      <c r="F280" t="str">
        <f>IFERROR(__xludf.DUMMYFUNCTION("""COMPUTED_VALUE"""),"FSN")</f>
        <v>FSN</v>
      </c>
      <c r="G280" t="str">
        <f>IFERROR(__xludf.DUMMYFUNCTION("""COMPUTED_VALUE"""),"UTEP 3 at Texas Tech 38")</f>
        <v>UTEP 3 at Texas Tech 38</v>
      </c>
      <c r="H280" t="str">
        <f>IFERROR(__xludf.DUMMYFUNCTION("""COMPUTED_VALUE"""),"FINAL")</f>
        <v>FINAL</v>
      </c>
      <c r="I280" t="str">
        <f>IFERROR(__xludf.DUMMYFUNCTION("""COMPUTED_VALUE"""),"-34½")</f>
        <v>-34½</v>
      </c>
      <c r="J280">
        <f>IFERROR(__xludf.DUMMYFUNCTION("""COMPUTED_VALUE"""),65.0)</f>
        <v>65</v>
      </c>
      <c r="K280" t="str">
        <f>IFERROR(__xludf.DUMMYFUNCTION("""COMPUTED_VALUE"""),"Undrafted")</f>
        <v>Undrafted</v>
      </c>
      <c r="L280">
        <f>IFERROR(__xludf.DUMMYFUNCTION("""COMPUTED_VALUE"""),9999.0)</f>
        <v>9999</v>
      </c>
      <c r="M280" s="124">
        <v>2.0</v>
      </c>
    </row>
    <row r="281">
      <c r="A281" s="151">
        <f>IFERROR(__xludf.DUMMYFUNCTION("""COMPUTED_VALUE"""),43716.14774770833)</f>
        <v>43716.14775</v>
      </c>
      <c r="B281" t="str">
        <f>IFERROR(__xludf.DUMMYFUNCTION("""COMPUTED_VALUE"""),"Janice/Mike")</f>
        <v>Janice/Mike</v>
      </c>
      <c r="C281" t="str">
        <f>IFERROR(__xludf.DUMMYFUNCTION("""COMPUTED_VALUE"""),"Arizona")</f>
        <v>Arizona</v>
      </c>
      <c r="D281">
        <f>IFERROR(__xludf.DUMMYFUNCTION("""COMPUTED_VALUE"""),1.0)</f>
        <v>1</v>
      </c>
      <c r="E281">
        <f>IFERROR(__xludf.DUMMYFUNCTION("""COMPUTED_VALUE"""),1.0)</f>
        <v>1</v>
      </c>
      <c r="F281" t="str">
        <f>IFERROR(__xludf.DUMMYFUNCTION("""COMPUTED_VALUE"""),"NA")</f>
        <v>NA</v>
      </c>
      <c r="G281" t="str">
        <f>IFERROR(__xludf.DUMMYFUNCTION("""COMPUTED_VALUE"""),"Northern Arizona 41 at Arizona 65")</f>
        <v>Northern Arizona 41 at Arizona 65</v>
      </c>
      <c r="H281" t="str">
        <f>IFERROR(__xludf.DUMMYFUNCTION("""COMPUTED_VALUE"""),"FINAL")</f>
        <v>FINAL</v>
      </c>
      <c r="I281" t="str">
        <f>IFERROR(__xludf.DUMMYFUNCTION("""COMPUTED_VALUE"""),"No Line")</f>
        <v>No Line</v>
      </c>
      <c r="K281" t="str">
        <f>IFERROR(__xludf.DUMMYFUNCTION("""COMPUTED_VALUE"""),"Undrafted")</f>
        <v>Undrafted</v>
      </c>
      <c r="L281">
        <f>IFERROR(__xludf.DUMMYFUNCTION("""COMPUTED_VALUE"""),9999.0)</f>
        <v>9999</v>
      </c>
      <c r="M281" s="124">
        <v>2.0</v>
      </c>
    </row>
    <row r="282">
      <c r="A282" s="151">
        <f>IFERROR(__xludf.DUMMYFUNCTION("""COMPUTED_VALUE"""),43716.14774770833)</f>
        <v>43716.14775</v>
      </c>
      <c r="B282" t="str">
        <f>IFERROR(__xludf.DUMMYFUNCTION("""COMPUTED_VALUE"""),"Nico")</f>
        <v>Nico</v>
      </c>
      <c r="C282" t="str">
        <f>IFERROR(__xludf.DUMMYFUNCTION("""COMPUTED_VALUE"""),"West Virginia")</f>
        <v>West Virginia</v>
      </c>
      <c r="D282">
        <f>IFERROR(__xludf.DUMMYFUNCTION("""COMPUTED_VALUE"""),1.0)</f>
        <v>1</v>
      </c>
      <c r="E282">
        <f>IFERROR(__xludf.DUMMYFUNCTION("""COMPUTED_VALUE"""),1.0)</f>
        <v>1</v>
      </c>
      <c r="F282" t="str">
        <f>IFERROR(__xludf.DUMMYFUNCTION("""COMPUTED_VALUE"""),"ATTPI")</f>
        <v>ATTPI</v>
      </c>
      <c r="G282" t="str">
        <f>IFERROR(__xludf.DUMMYFUNCTION("""COMPUTED_VALUE"""),"West Virginia 7 at Missouri 38")</f>
        <v>West Virginia 7 at Missouri 38</v>
      </c>
      <c r="H282" t="str">
        <f>IFERROR(__xludf.DUMMYFUNCTION("""COMPUTED_VALUE"""),"FINAL")</f>
        <v>FINAL</v>
      </c>
      <c r="I282">
        <f>IFERROR(__xludf.DUMMYFUNCTION("""COMPUTED_VALUE"""),14.0)</f>
        <v>14</v>
      </c>
      <c r="J282" t="str">
        <f>IFERROR(__xludf.DUMMYFUNCTION("""COMPUTED_VALUE"""),"62½")</f>
        <v>62½</v>
      </c>
      <c r="K282" t="str">
        <f>IFERROR(__xludf.DUMMYFUNCTION("""COMPUTED_VALUE"""),"Gary")</f>
        <v>Gary</v>
      </c>
      <c r="L282">
        <f>IFERROR(__xludf.DUMMYFUNCTION("""COMPUTED_VALUE"""),9999.0)</f>
        <v>9999</v>
      </c>
      <c r="M282" s="124">
        <v>2.0</v>
      </c>
    </row>
    <row r="283">
      <c r="A283" s="151">
        <f>IFERROR(__xludf.DUMMYFUNCTION("""COMPUTED_VALUE"""),43716.14774770833)</f>
        <v>43716.14775</v>
      </c>
      <c r="B283" t="str">
        <f>IFERROR(__xludf.DUMMYFUNCTION("""COMPUTED_VALUE"""),"Nico")</f>
        <v>Nico</v>
      </c>
      <c r="C283" t="str">
        <f>IFERROR(__xludf.DUMMYFUNCTION("""COMPUTED_VALUE"""),"North Carolina")</f>
        <v>North Carolina</v>
      </c>
      <c r="D283">
        <f>IFERROR(__xludf.DUMMYFUNCTION("""COMPUTED_VALUE"""),2.0)</f>
        <v>2</v>
      </c>
      <c r="E283">
        <f>IFERROR(__xludf.DUMMYFUNCTION("""COMPUTED_VALUE"""),0.0)</f>
        <v>0</v>
      </c>
      <c r="F283" t="str">
        <f>IFERROR(__xludf.DUMMYFUNCTION("""COMPUTED_VALUE"""),"ESPN")</f>
        <v>ESPN</v>
      </c>
      <c r="G283" t="str">
        <f>IFERROR(__xludf.DUMMYFUNCTION("""COMPUTED_VALUE"""),"Miami 25 at North Carolina 28")</f>
        <v>Miami 25 at North Carolina 28</v>
      </c>
      <c r="H283" t="str">
        <f>IFERROR(__xludf.DUMMYFUNCTION("""COMPUTED_VALUE"""),"FINAL")</f>
        <v>FINAL</v>
      </c>
      <c r="I283">
        <f>IFERROR(__xludf.DUMMYFUNCTION("""COMPUTED_VALUE"""),4.0)</f>
        <v>4</v>
      </c>
      <c r="J283" t="str">
        <f>IFERROR(__xludf.DUMMYFUNCTION("""COMPUTED_VALUE"""),"47½")</f>
        <v>47½</v>
      </c>
      <c r="K283" t="str">
        <f>IFERROR(__xludf.DUMMYFUNCTION("""COMPUTED_VALUE"""),"Brad")</f>
        <v>Brad</v>
      </c>
      <c r="L283">
        <f>IFERROR(__xludf.DUMMYFUNCTION("""COMPUTED_VALUE"""),9999.0)</f>
        <v>9999</v>
      </c>
      <c r="M283" s="124">
        <v>2.0</v>
      </c>
    </row>
    <row r="284">
      <c r="A284" s="151">
        <f>IFERROR(__xludf.DUMMYFUNCTION("""COMPUTED_VALUE"""),43716.14774770833)</f>
        <v>43716.14775</v>
      </c>
      <c r="B284" t="str">
        <f>IFERROR(__xludf.DUMMYFUNCTION("""COMPUTED_VALUE"""),"Nico")</f>
        <v>Nico</v>
      </c>
      <c r="C284" t="str">
        <f>IFERROR(__xludf.DUMMYFUNCTION("""COMPUTED_VALUE"""),"Arkansas State")</f>
        <v>Arkansas State</v>
      </c>
      <c r="D284">
        <f>IFERROR(__xludf.DUMMYFUNCTION("""COMPUTED_VALUE"""),1.0)</f>
        <v>1</v>
      </c>
      <c r="E284">
        <f>IFERROR(__xludf.DUMMYFUNCTION("""COMPUTED_VALUE"""),1.0)</f>
        <v>1</v>
      </c>
      <c r="F284" t="str">
        <f>IFERROR(__xludf.DUMMYFUNCTION("""COMPUTED_VALUE"""),"espn+ Video")</f>
        <v>espn+ Video</v>
      </c>
      <c r="G284" t="str">
        <f>IFERROR(__xludf.DUMMYFUNCTION("""COMPUTED_VALUE"""),"Arkansas State 43 at UNLV 17")</f>
        <v>Arkansas State 43 at UNLV 17</v>
      </c>
      <c r="H284" t="str">
        <f>IFERROR(__xludf.DUMMYFUNCTION("""COMPUTED_VALUE"""),"FINAL")</f>
        <v>FINAL</v>
      </c>
      <c r="I284" t="str">
        <f>IFERROR(__xludf.DUMMYFUNCTION("""COMPUTED_VALUE"""),"1½")</f>
        <v>1½</v>
      </c>
      <c r="J284" t="str">
        <f>IFERROR(__xludf.DUMMYFUNCTION("""COMPUTED_VALUE"""),"63½")</f>
        <v>63½</v>
      </c>
      <c r="K284" t="str">
        <f>IFERROR(__xludf.DUMMYFUNCTION("""COMPUTED_VALUE"""),"Justin")</f>
        <v>Justin</v>
      </c>
      <c r="L284">
        <f>IFERROR(__xludf.DUMMYFUNCTION("""COMPUTED_VALUE"""),9999.0)</f>
        <v>9999</v>
      </c>
      <c r="M284" s="124">
        <v>2.0</v>
      </c>
    </row>
    <row r="285">
      <c r="A285" s="151">
        <f>IFERROR(__xludf.DUMMYFUNCTION("""COMPUTED_VALUE"""),43716.14774770833)</f>
        <v>43716.14775</v>
      </c>
      <c r="B285" t="str">
        <f>IFERROR(__xludf.DUMMYFUNCTION("""COMPUTED_VALUE"""),"Nico")</f>
        <v>Nico</v>
      </c>
      <c r="C285" t="str">
        <f>IFERROR(__xludf.DUMMYFUNCTION("""COMPUTED_VALUE"""),"New Mexico")</f>
        <v>New Mexico</v>
      </c>
      <c r="D285">
        <f>IFERROR(__xludf.DUMMYFUNCTION("""COMPUTED_VALUE"""),1.0)</f>
        <v>1</v>
      </c>
      <c r="E285">
        <f>IFERROR(__xludf.DUMMYFUNCTION("""COMPUTED_VALUE"""),0.0)</f>
        <v>0</v>
      </c>
      <c r="F285" t="str">
        <f>IFERROR(__xludf.DUMMYFUNCTION("""COMPUTED_VALUE"""),"TBA")</f>
        <v>TBA</v>
      </c>
      <c r="G285" t="str">
        <f>IFERROR(__xludf.DUMMYFUNCTION("""COMPUTED_VALUE"""),"BYE")</f>
        <v>BYE</v>
      </c>
      <c r="I285" t="str">
        <f>IFERROR(__xludf.DUMMYFUNCTION("""COMPUTED_VALUE"""),"bye")</f>
        <v>bye</v>
      </c>
      <c r="J285" t="str">
        <f>IFERROR(__xludf.DUMMYFUNCTION("""COMPUTED_VALUE"""),"bye")</f>
        <v>bye</v>
      </c>
      <c r="L285">
        <f>IFERROR(__xludf.DUMMYFUNCTION("""COMPUTED_VALUE"""),9999.0)</f>
        <v>9999</v>
      </c>
      <c r="M285" s="124">
        <v>2.0</v>
      </c>
    </row>
    <row r="286">
      <c r="A286" s="151">
        <f>IFERROR(__xludf.DUMMYFUNCTION("""COMPUTED_VALUE"""),43716.14774770833)</f>
        <v>43716.14775</v>
      </c>
      <c r="B286" t="str">
        <f>IFERROR(__xludf.DUMMYFUNCTION("""COMPUTED_VALUE"""),"Nico")</f>
        <v>Nico</v>
      </c>
      <c r="C286" t="str">
        <f>IFERROR(__xludf.DUMMYFUNCTION("""COMPUTED_VALUE"""),"Arizona State")</f>
        <v>Arizona State</v>
      </c>
      <c r="D286">
        <f>IFERROR(__xludf.DUMMYFUNCTION("""COMPUTED_VALUE"""),2.0)</f>
        <v>2</v>
      </c>
      <c r="E286">
        <f>IFERROR(__xludf.DUMMYFUNCTION("""COMPUTED_VALUE"""),0.0)</f>
        <v>0</v>
      </c>
      <c r="F286" t="str">
        <f>IFERROR(__xludf.DUMMYFUNCTION("""COMPUTED_VALUE"""),"Pac-12")</f>
        <v>Pac-12</v>
      </c>
      <c r="G286" t="str">
        <f>IFERROR(__xludf.DUMMYFUNCTION("""COMPUTED_VALUE"""),"Sacramento State 7 at Arizona State 19")</f>
        <v>Sacramento State 7 at Arizona State 19</v>
      </c>
      <c r="H286" t="str">
        <f>IFERROR(__xludf.DUMMYFUNCTION("""COMPUTED_VALUE"""),"FINAL")</f>
        <v>FINAL</v>
      </c>
      <c r="I286">
        <f>IFERROR(__xludf.DUMMYFUNCTION("""COMPUTED_VALUE"""),-36.0)</f>
        <v>-36</v>
      </c>
      <c r="J286" t="str">
        <f>IFERROR(__xludf.DUMMYFUNCTION("""COMPUTED_VALUE"""),"63½")</f>
        <v>63½</v>
      </c>
      <c r="K286" t="str">
        <f>IFERROR(__xludf.DUMMYFUNCTION("""COMPUTED_VALUE"""),"Undrafted")</f>
        <v>Undrafted</v>
      </c>
      <c r="L286">
        <f>IFERROR(__xludf.DUMMYFUNCTION("""COMPUTED_VALUE"""),9999.0)</f>
        <v>9999</v>
      </c>
      <c r="M286" s="124">
        <v>2.0</v>
      </c>
    </row>
    <row r="287">
      <c r="A287" s="151">
        <f>IFERROR(__xludf.DUMMYFUNCTION("""COMPUTED_VALUE"""),43716.14774770833)</f>
        <v>43716.14775</v>
      </c>
      <c r="B287" t="str">
        <f>IFERROR(__xludf.DUMMYFUNCTION("""COMPUTED_VALUE"""),"Nico")</f>
        <v>Nico</v>
      </c>
      <c r="C287" t="str">
        <f>IFERROR(__xludf.DUMMYFUNCTION("""COMPUTED_VALUE"""),"Purdue")</f>
        <v>Purdue</v>
      </c>
      <c r="D287">
        <f>IFERROR(__xludf.DUMMYFUNCTION("""COMPUTED_VALUE"""),1.0)</f>
        <v>1</v>
      </c>
      <c r="E287">
        <f>IFERROR(__xludf.DUMMYFUNCTION("""COMPUTED_VALUE"""),1.0)</f>
        <v>1</v>
      </c>
      <c r="F287" t="str">
        <f>IFERROR(__xludf.DUMMYFUNCTION("""COMPUTED_VALUE"""),"CBSSN")</f>
        <v>CBSSN</v>
      </c>
      <c r="G287" t="str">
        <f>IFERROR(__xludf.DUMMYFUNCTION("""COMPUTED_VALUE"""),"Vanderbilt 24 at Purdue 42")</f>
        <v>Vanderbilt 24 at Purdue 42</v>
      </c>
      <c r="H287" t="str">
        <f>IFERROR(__xludf.DUMMYFUNCTION("""COMPUTED_VALUE"""),"FINAL")</f>
        <v>FINAL</v>
      </c>
      <c r="I287">
        <f>IFERROR(__xludf.DUMMYFUNCTION("""COMPUTED_VALUE"""),-7.0)</f>
        <v>-7</v>
      </c>
      <c r="J287" t="str">
        <f>IFERROR(__xludf.DUMMYFUNCTION("""COMPUTED_VALUE"""),"56½")</f>
        <v>56½</v>
      </c>
      <c r="K287" t="str">
        <f>IFERROR(__xludf.DUMMYFUNCTION("""COMPUTED_VALUE"""),"Undrafted")</f>
        <v>Undrafted</v>
      </c>
      <c r="L287">
        <f>IFERROR(__xludf.DUMMYFUNCTION("""COMPUTED_VALUE"""),9999.0)</f>
        <v>9999</v>
      </c>
      <c r="M287" s="124">
        <v>2.0</v>
      </c>
    </row>
    <row r="288">
      <c r="A288" s="151">
        <f>IFERROR(__xludf.DUMMYFUNCTION("""COMPUTED_VALUE"""),43716.14774770833)</f>
        <v>43716.14775</v>
      </c>
      <c r="B288" t="str">
        <f>IFERROR(__xludf.DUMMYFUNCTION("""COMPUTED_VALUE"""),"Nico")</f>
        <v>Nico</v>
      </c>
      <c r="C288" t="str">
        <f>IFERROR(__xludf.DUMMYFUNCTION("""COMPUTED_VALUE"""),"Miami-OH")</f>
        <v>Miami-OH</v>
      </c>
      <c r="D288">
        <f>IFERROR(__xludf.DUMMYFUNCTION("""COMPUTED_VALUE"""),1.0)</f>
        <v>1</v>
      </c>
      <c r="E288">
        <f>IFERROR(__xludf.DUMMYFUNCTION("""COMPUTED_VALUE"""),1.0)</f>
        <v>1</v>
      </c>
      <c r="F288" t="str">
        <f>IFERROR(__xludf.DUMMYFUNCTION("""COMPUTED_VALUE"""),"NA")</f>
        <v>NA</v>
      </c>
      <c r="G288" t="str">
        <f>IFERROR(__xludf.DUMMYFUNCTION("""COMPUTED_VALUE"""),"Tennessee Tech 17 at Miami-OH 48")</f>
        <v>Tennessee Tech 17 at Miami-OH 48</v>
      </c>
      <c r="H288" t="str">
        <f>IFERROR(__xludf.DUMMYFUNCTION("""COMPUTED_VALUE"""),"FINAL")</f>
        <v>FINAL</v>
      </c>
      <c r="I288" t="str">
        <f>IFERROR(__xludf.DUMMYFUNCTION("""COMPUTED_VALUE"""),"No Line")</f>
        <v>No Line</v>
      </c>
      <c r="K288" t="str">
        <f>IFERROR(__xludf.DUMMYFUNCTION("""COMPUTED_VALUE"""),"Undrafted")</f>
        <v>Undrafted</v>
      </c>
      <c r="L288">
        <f>IFERROR(__xludf.DUMMYFUNCTION("""COMPUTED_VALUE"""),9999.0)</f>
        <v>9999</v>
      </c>
      <c r="M288" s="124">
        <v>2.0</v>
      </c>
    </row>
    <row r="289">
      <c r="A289" s="151">
        <f>IFERROR(__xludf.DUMMYFUNCTION("""COMPUTED_VALUE"""),43716.14774770833)</f>
        <v>43716.14775</v>
      </c>
      <c r="B289" t="str">
        <f>IFERROR(__xludf.DUMMYFUNCTION("""COMPUTED_VALUE"""),"Nico")</f>
        <v>Nico</v>
      </c>
      <c r="C289" t="str">
        <f>IFERROR(__xludf.DUMMYFUNCTION("""COMPUTED_VALUE"""),"Georgia")</f>
        <v>Georgia</v>
      </c>
      <c r="D289">
        <f>IFERROR(__xludf.DUMMYFUNCTION("""COMPUTED_VALUE"""),2.0)</f>
        <v>2</v>
      </c>
      <c r="E289">
        <f>IFERROR(__xludf.DUMMYFUNCTION("""COMPUTED_VALUE"""),0.0)</f>
        <v>0</v>
      </c>
      <c r="F289" t="str">
        <f>IFERROR(__xludf.DUMMYFUNCTION("""COMPUTED_VALUE"""),"SEC Network")</f>
        <v>SEC Network</v>
      </c>
      <c r="G289" t="str">
        <f>IFERROR(__xludf.DUMMYFUNCTION("""COMPUTED_VALUE"""),"Murray State 17 at (3) Georgia 63")</f>
        <v>Murray State 17 at (3) Georgia 63</v>
      </c>
      <c r="H289" t="str">
        <f>IFERROR(__xludf.DUMMYFUNCTION("""COMPUTED_VALUE"""),"FINAL")</f>
        <v>FINAL</v>
      </c>
      <c r="I289" t="str">
        <f>IFERROR(__xludf.DUMMYFUNCTION("""COMPUTED_VALUE"""),"No Line")</f>
        <v>No Line</v>
      </c>
      <c r="K289" t="str">
        <f>IFERROR(__xludf.DUMMYFUNCTION("""COMPUTED_VALUE"""),"Undrafted")</f>
        <v>Undrafted</v>
      </c>
      <c r="L289">
        <f>IFERROR(__xludf.DUMMYFUNCTION("""COMPUTED_VALUE"""),9999.0)</f>
        <v>9999</v>
      </c>
      <c r="M289" s="124">
        <v>2.0</v>
      </c>
    </row>
    <row r="290">
      <c r="A290" s="151">
        <f>IFERROR(__xludf.DUMMYFUNCTION("""COMPUTED_VALUE"""),43716.14774770833)</f>
        <v>43716.14775</v>
      </c>
      <c r="B290" t="str">
        <f>IFERROR(__xludf.DUMMYFUNCTION("""COMPUTED_VALUE"""),"Nico")</f>
        <v>Nico</v>
      </c>
      <c r="C290" t="str">
        <f>IFERROR(__xludf.DUMMYFUNCTION("""COMPUTED_VALUE"""),"Middle Tennessee")</f>
        <v>Middle Tennessee</v>
      </c>
      <c r="D290">
        <f>IFERROR(__xludf.DUMMYFUNCTION("""COMPUTED_VALUE"""),1.0)</f>
        <v>1</v>
      </c>
      <c r="E290">
        <f>IFERROR(__xludf.DUMMYFUNCTION("""COMPUTED_VALUE"""),1.0)</f>
        <v>1</v>
      </c>
      <c r="F290" t="str">
        <f>IFERROR(__xludf.DUMMYFUNCTION("""COMPUTED_VALUE"""),"BTN")</f>
        <v>BTN</v>
      </c>
      <c r="G290" t="str">
        <f>IFERROR(__xludf.DUMMYFUNCTION("""COMPUTED_VALUE"""),"Tennessee State 26 at Middle Tennessee 45")</f>
        <v>Tennessee State 26 at Middle Tennessee 45</v>
      </c>
      <c r="H290" t="str">
        <f>IFERROR(__xludf.DUMMYFUNCTION("""COMPUTED_VALUE"""),"FINAL")</f>
        <v>FINAL</v>
      </c>
      <c r="I290" t="str">
        <f>IFERROR(__xludf.DUMMYFUNCTION("""COMPUTED_VALUE"""),"No Line")</f>
        <v>No Line</v>
      </c>
      <c r="K290" t="str">
        <f>IFERROR(__xludf.DUMMYFUNCTION("""COMPUTED_VALUE"""),"Undrafted")</f>
        <v>Undrafted</v>
      </c>
      <c r="L290">
        <f>IFERROR(__xludf.DUMMYFUNCTION("""COMPUTED_VALUE"""),9999.0)</f>
        <v>9999</v>
      </c>
      <c r="M290" s="124">
        <v>2.0</v>
      </c>
    </row>
    <row r="291">
      <c r="A291" s="151">
        <f>IFERROR(__xludf.DUMMYFUNCTION("""COMPUTED_VALUE"""),43716.14774770833)</f>
        <v>43716.14775</v>
      </c>
      <c r="B291" t="str">
        <f>IFERROR(__xludf.DUMMYFUNCTION("""COMPUTED_VALUE"""),"Nico")</f>
        <v>Nico</v>
      </c>
      <c r="C291" t="str">
        <f>IFERROR(__xludf.DUMMYFUNCTION("""COMPUTED_VALUE"""),"Houston")</f>
        <v>Houston</v>
      </c>
      <c r="D291">
        <f>IFERROR(__xludf.DUMMYFUNCTION("""COMPUTED_VALUE"""),1.0)</f>
        <v>1</v>
      </c>
      <c r="E291">
        <f>IFERROR(__xludf.DUMMYFUNCTION("""COMPUTED_VALUE"""),1.0)</f>
        <v>1</v>
      </c>
      <c r="F291" t="str">
        <f>IFERROR(__xludf.DUMMYFUNCTION("""COMPUTED_VALUE"""),"ABC")</f>
        <v>ABC</v>
      </c>
      <c r="G291" t="str">
        <f>IFERROR(__xludf.DUMMYFUNCTION("""COMPUTED_VALUE"""),"Prairie View 17 at Houston 37")</f>
        <v>Prairie View 17 at Houston 37</v>
      </c>
      <c r="H291" t="str">
        <f>IFERROR(__xludf.DUMMYFUNCTION("""COMPUTED_VALUE"""),"FINAL")</f>
        <v>FINAL</v>
      </c>
      <c r="I291" t="str">
        <f>IFERROR(__xludf.DUMMYFUNCTION("""COMPUTED_VALUE"""),"No Line")</f>
        <v>No Line</v>
      </c>
      <c r="K291" t="str">
        <f>IFERROR(__xludf.DUMMYFUNCTION("""COMPUTED_VALUE"""),"Undrafted")</f>
        <v>Undrafted</v>
      </c>
      <c r="L291">
        <f>IFERROR(__xludf.DUMMYFUNCTION("""COMPUTED_VALUE"""),9999.0)</f>
        <v>9999</v>
      </c>
      <c r="M291" s="124">
        <v>2.0</v>
      </c>
    </row>
    <row r="292">
      <c r="A292" s="151">
        <f>IFERROR(__xludf.DUMMYFUNCTION("""COMPUTED_VALUE"""),43716.14774770833)</f>
        <v>43716.14775</v>
      </c>
      <c r="B292" t="str">
        <f>IFERROR(__xludf.DUMMYFUNCTION("""COMPUTED_VALUE"""),"Jeannine")</f>
        <v>Jeannine</v>
      </c>
      <c r="C292" t="str">
        <f>IFERROR(__xludf.DUMMYFUNCTION("""COMPUTED_VALUE"""),"Colorado")</f>
        <v>Colorado</v>
      </c>
      <c r="D292">
        <f>IFERROR(__xludf.DUMMYFUNCTION("""COMPUTED_VALUE"""),2.0)</f>
        <v>2</v>
      </c>
      <c r="E292">
        <f>IFERROR(__xludf.DUMMYFUNCTION("""COMPUTED_VALUE"""),0.0)</f>
        <v>0</v>
      </c>
      <c r="F292" t="str">
        <f>IFERROR(__xludf.DUMMYFUNCTION("""COMPUTED_VALUE"""),"ESPN")</f>
        <v>ESPN</v>
      </c>
      <c r="G292" t="str">
        <f>IFERROR(__xludf.DUMMYFUNCTION("""COMPUTED_VALUE"""),"(25) Nebraska 31 at Colorado 34")</f>
        <v>(25) Nebraska 31 at Colorado 34</v>
      </c>
      <c r="H292" t="str">
        <f>IFERROR(__xludf.DUMMYFUNCTION("""COMPUTED_VALUE"""),"FINAL - OT")</f>
        <v>FINAL - OT</v>
      </c>
      <c r="I292">
        <f>IFERROR(__xludf.DUMMYFUNCTION("""COMPUTED_VALUE"""),4.0)</f>
        <v>4</v>
      </c>
      <c r="J292">
        <f>IFERROR(__xludf.DUMMYFUNCTION("""COMPUTED_VALUE"""),65.0)</f>
        <v>65</v>
      </c>
      <c r="K292" t="str">
        <f>IFERROR(__xludf.DUMMYFUNCTION("""COMPUTED_VALUE"""),"DavEmily")</f>
        <v>DavEmily</v>
      </c>
      <c r="L292">
        <f>IFERROR(__xludf.DUMMYFUNCTION("""COMPUTED_VALUE"""),9999.0)</f>
        <v>9999</v>
      </c>
      <c r="M292" s="124">
        <v>2.0</v>
      </c>
    </row>
    <row r="293">
      <c r="A293" s="151">
        <f>IFERROR(__xludf.DUMMYFUNCTION("""COMPUTED_VALUE"""),43716.14774770833)</f>
        <v>43716.14775</v>
      </c>
      <c r="B293" t="str">
        <f>IFERROR(__xludf.DUMMYFUNCTION("""COMPUTED_VALUE"""),"Jeannine")</f>
        <v>Jeannine</v>
      </c>
      <c r="C293" t="str">
        <f>IFERROR(__xludf.DUMMYFUNCTION("""COMPUTED_VALUE"""),"UL Monroe")</f>
        <v>UL Monroe</v>
      </c>
      <c r="D293">
        <f>IFERROR(__xludf.DUMMYFUNCTION("""COMPUTED_VALUE"""),1.0)</f>
        <v>1</v>
      </c>
      <c r="E293">
        <f>IFERROR(__xludf.DUMMYFUNCTION("""COMPUTED_VALUE"""),1.0)</f>
        <v>1</v>
      </c>
      <c r="F293" t="str">
        <f>IFERROR(__xludf.DUMMYFUNCTION("""COMPUTED_VALUE"""),"NA")</f>
        <v>NA</v>
      </c>
      <c r="G293" t="str">
        <f>IFERROR(__xludf.DUMMYFUNCTION("""COMPUTED_VALUE"""),"UL Monroe 44 at Florida State 45")</f>
        <v>UL Monroe 44 at Florida State 45</v>
      </c>
      <c r="H293" t="str">
        <f>IFERROR(__xludf.DUMMYFUNCTION("""COMPUTED_VALUE"""),"FINAL - OT")</f>
        <v>FINAL - OT</v>
      </c>
      <c r="I293">
        <f>IFERROR(__xludf.DUMMYFUNCTION("""COMPUTED_VALUE"""),21.0)</f>
        <v>21</v>
      </c>
      <c r="J293">
        <f>IFERROR(__xludf.DUMMYFUNCTION("""COMPUTED_VALUE"""),64.0)</f>
        <v>64</v>
      </c>
      <c r="K293" t="str">
        <f>IFERROR(__xludf.DUMMYFUNCTION("""COMPUTED_VALUE"""),"Josh R.")</f>
        <v>Josh R.</v>
      </c>
      <c r="L293">
        <f>IFERROR(__xludf.DUMMYFUNCTION("""COMPUTED_VALUE"""),9999.0)</f>
        <v>9999</v>
      </c>
      <c r="M293" s="124">
        <v>2.0</v>
      </c>
    </row>
    <row r="294">
      <c r="A294" s="151">
        <f>IFERROR(__xludf.DUMMYFUNCTION("""COMPUTED_VALUE"""),43716.14774770833)</f>
        <v>43716.14775</v>
      </c>
      <c r="B294" t="str">
        <f>IFERROR(__xludf.DUMMYFUNCTION("""COMPUTED_VALUE"""),"Jeannine")</f>
        <v>Jeannine</v>
      </c>
      <c r="C294" t="str">
        <f>IFERROR(__xludf.DUMMYFUNCTION("""COMPUTED_VALUE"""),"Western Michigan")</f>
        <v>Western Michigan</v>
      </c>
      <c r="D294">
        <f>IFERROR(__xludf.DUMMYFUNCTION("""COMPUTED_VALUE"""),1.0)</f>
        <v>1</v>
      </c>
      <c r="E294">
        <f>IFERROR(__xludf.DUMMYFUNCTION("""COMPUTED_VALUE"""),1.0)</f>
        <v>1</v>
      </c>
      <c r="F294" t="str">
        <f>IFERROR(__xludf.DUMMYFUNCTION("""COMPUTED_VALUE"""),"ESPN Extra")</f>
        <v>ESPN Extra</v>
      </c>
      <c r="G294" t="str">
        <f>IFERROR(__xludf.DUMMYFUNCTION("""COMPUTED_VALUE"""),"Western Michigan 17 at (20) Michigan State 51")</f>
        <v>Western Michigan 17 at (20) Michigan State 51</v>
      </c>
      <c r="H294" t="str">
        <f>IFERROR(__xludf.DUMMYFUNCTION("""COMPUTED_VALUE"""),"FINAL")</f>
        <v>FINAL</v>
      </c>
      <c r="I294" t="str">
        <f>IFERROR(__xludf.DUMMYFUNCTION("""COMPUTED_VALUE"""),"15½")</f>
        <v>15½</v>
      </c>
      <c r="J294" t="str">
        <f>IFERROR(__xludf.DUMMYFUNCTION("""COMPUTED_VALUE"""),"46½")</f>
        <v>46½</v>
      </c>
      <c r="K294" t="str">
        <f>IFERROR(__xludf.DUMMYFUNCTION("""COMPUTED_VALUE"""),"Nick A.")</f>
        <v>Nick A.</v>
      </c>
      <c r="L294">
        <f>IFERROR(__xludf.DUMMYFUNCTION("""COMPUTED_VALUE"""),9999.0)</f>
        <v>9999</v>
      </c>
      <c r="M294" s="124">
        <v>2.0</v>
      </c>
    </row>
    <row r="295">
      <c r="A295" s="151">
        <f>IFERROR(__xludf.DUMMYFUNCTION("""COMPUTED_VALUE"""),43716.14774770833)</f>
        <v>43716.14775</v>
      </c>
      <c r="B295" t="str">
        <f>IFERROR(__xludf.DUMMYFUNCTION("""COMPUTED_VALUE"""),"Jeannine")</f>
        <v>Jeannine</v>
      </c>
      <c r="C295" t="str">
        <f>IFERROR(__xludf.DUMMYFUNCTION("""COMPUTED_VALUE"""),"San José State")</f>
        <v>San José State</v>
      </c>
      <c r="D295">
        <f>IFERROR(__xludf.DUMMYFUNCTION("""COMPUTED_VALUE"""),1.0)</f>
        <v>1</v>
      </c>
      <c r="E295">
        <f>IFERROR(__xludf.DUMMYFUNCTION("""COMPUTED_VALUE"""),1.0)</f>
        <v>1</v>
      </c>
      <c r="F295" t="str">
        <f>IFERROR(__xludf.DUMMYFUNCTION("""COMPUTED_VALUE"""),"NA")</f>
        <v>NA</v>
      </c>
      <c r="G295" t="str">
        <f>IFERROR(__xludf.DUMMYFUNCTION("""COMPUTED_VALUE"""),"Tulsa 34 at San José State 16")</f>
        <v>Tulsa 34 at San José State 16</v>
      </c>
      <c r="H295" t="str">
        <f>IFERROR(__xludf.DUMMYFUNCTION("""COMPUTED_VALUE"""),"FINAL")</f>
        <v>FINAL</v>
      </c>
      <c r="I295" t="str">
        <f>IFERROR(__xludf.DUMMYFUNCTION("""COMPUTED_VALUE"""),"6½")</f>
        <v>6½</v>
      </c>
      <c r="J295" t="str">
        <f>IFERROR(__xludf.DUMMYFUNCTION("""COMPUTED_VALUE"""),"52½")</f>
        <v>52½</v>
      </c>
      <c r="K295" t="str">
        <f>IFERROR(__xludf.DUMMYFUNCTION("""COMPUTED_VALUE"""),"DavEmily")</f>
        <v>DavEmily</v>
      </c>
      <c r="L295">
        <f>IFERROR(__xludf.DUMMYFUNCTION("""COMPUTED_VALUE"""),9999.0)</f>
        <v>9999</v>
      </c>
      <c r="M295" s="124">
        <v>2.0</v>
      </c>
    </row>
    <row r="296">
      <c r="A296" s="151">
        <f>IFERROR(__xludf.DUMMYFUNCTION("""COMPUTED_VALUE"""),43716.14774770833)</f>
        <v>43716.14775</v>
      </c>
      <c r="B296" t="str">
        <f>IFERROR(__xludf.DUMMYFUNCTION("""COMPUTED_VALUE"""),"Jeannine")</f>
        <v>Jeannine</v>
      </c>
      <c r="C296" t="str">
        <f>IFERROR(__xludf.DUMMYFUNCTION("""COMPUTED_VALUE"""),"Virginia")</f>
        <v>Virginia</v>
      </c>
      <c r="D296">
        <f>IFERROR(__xludf.DUMMYFUNCTION("""COMPUTED_VALUE"""),2.0)</f>
        <v>2</v>
      </c>
      <c r="E296">
        <f>IFERROR(__xludf.DUMMYFUNCTION("""COMPUTED_VALUE"""),0.0)</f>
        <v>0</v>
      </c>
      <c r="F296" t="str">
        <f>IFERROR(__xludf.DUMMYFUNCTION("""COMPUTED_VALUE"""),"ACC Network")</f>
        <v>ACC Network</v>
      </c>
      <c r="G296" t="str">
        <f>IFERROR(__xludf.DUMMYFUNCTION("""COMPUTED_VALUE"""),"William &amp; Mary 17 at Virginia 52")</f>
        <v>William &amp; Mary 17 at Virginia 52</v>
      </c>
      <c r="H296" t="str">
        <f>IFERROR(__xludf.DUMMYFUNCTION("""COMPUTED_VALUE"""),"FINAL")</f>
        <v>FINAL</v>
      </c>
      <c r="I296" t="str">
        <f>IFERROR(__xludf.DUMMYFUNCTION("""COMPUTED_VALUE"""),"No Line")</f>
        <v>No Line</v>
      </c>
      <c r="K296" t="str">
        <f>IFERROR(__xludf.DUMMYFUNCTION("""COMPUTED_VALUE"""),"Undrafted")</f>
        <v>Undrafted</v>
      </c>
      <c r="L296">
        <f>IFERROR(__xludf.DUMMYFUNCTION("""COMPUTED_VALUE"""),9999.0)</f>
        <v>9999</v>
      </c>
      <c r="M296" s="124">
        <v>2.0</v>
      </c>
    </row>
    <row r="297">
      <c r="A297" s="151">
        <f>IFERROR(__xludf.DUMMYFUNCTION("""COMPUTED_VALUE"""),43716.14774770833)</f>
        <v>43716.14775</v>
      </c>
      <c r="B297" t="str">
        <f>IFERROR(__xludf.DUMMYFUNCTION("""COMPUTED_VALUE"""),"Jeannine")</f>
        <v>Jeannine</v>
      </c>
      <c r="C297" t="str">
        <f>IFERROR(__xludf.DUMMYFUNCTION("""COMPUTED_VALUE"""),"UAB")</f>
        <v>UAB</v>
      </c>
      <c r="D297">
        <f>IFERROR(__xludf.DUMMYFUNCTION("""COMPUTED_VALUE"""),2.0)</f>
        <v>2</v>
      </c>
      <c r="E297">
        <f>IFERROR(__xludf.DUMMYFUNCTION("""COMPUTED_VALUE"""),0.0)</f>
        <v>0</v>
      </c>
      <c r="F297" t="str">
        <f>IFERROR(__xludf.DUMMYFUNCTION("""COMPUTED_VALUE"""),"espn+ Video")</f>
        <v>espn+ Video</v>
      </c>
      <c r="G297" t="str">
        <f>IFERROR(__xludf.DUMMYFUNCTION("""COMPUTED_VALUE"""),"UAB 31 at Akron 20")</f>
        <v>UAB 31 at Akron 20</v>
      </c>
      <c r="H297" t="str">
        <f>IFERROR(__xludf.DUMMYFUNCTION("""COMPUTED_VALUE"""),"FINAL")</f>
        <v>FINAL</v>
      </c>
      <c r="I297">
        <f>IFERROR(__xludf.DUMMYFUNCTION("""COMPUTED_VALUE"""),-9.0)</f>
        <v>-9</v>
      </c>
      <c r="J297" t="str">
        <f>IFERROR(__xludf.DUMMYFUNCTION("""COMPUTED_VALUE"""),"46½")</f>
        <v>46½</v>
      </c>
      <c r="K297" t="str">
        <f>IFERROR(__xludf.DUMMYFUNCTION("""COMPUTED_VALUE"""),"Adam")</f>
        <v>Adam</v>
      </c>
      <c r="L297">
        <f>IFERROR(__xludf.DUMMYFUNCTION("""COMPUTED_VALUE"""),9999.0)</f>
        <v>9999</v>
      </c>
      <c r="M297" s="124">
        <v>2.0</v>
      </c>
    </row>
    <row r="298">
      <c r="A298" s="151">
        <f>IFERROR(__xludf.DUMMYFUNCTION("""COMPUTED_VALUE"""),43716.14774770833)</f>
        <v>43716.14775</v>
      </c>
      <c r="B298" t="str">
        <f>IFERROR(__xludf.DUMMYFUNCTION("""COMPUTED_VALUE"""),"Jeannine")</f>
        <v>Jeannine</v>
      </c>
      <c r="C298" t="str">
        <f>IFERROR(__xludf.DUMMYFUNCTION("""COMPUTED_VALUE"""),"Mississippi State")</f>
        <v>Mississippi State</v>
      </c>
      <c r="D298">
        <f>IFERROR(__xludf.DUMMYFUNCTION("""COMPUTED_VALUE"""),2.0)</f>
        <v>2</v>
      </c>
      <c r="E298">
        <f>IFERROR(__xludf.DUMMYFUNCTION("""COMPUTED_VALUE"""),0.0)</f>
        <v>0</v>
      </c>
      <c r="F298" t="str">
        <f>IFERROR(__xludf.DUMMYFUNCTION("""COMPUTED_VALUE"""),"NA")</f>
        <v>NA</v>
      </c>
      <c r="G298" t="str">
        <f>IFERROR(__xludf.DUMMYFUNCTION("""COMPUTED_VALUE"""),"Southern Mississippi 15 at Mississippi State 38")</f>
        <v>Southern Mississippi 15 at Mississippi State 38</v>
      </c>
      <c r="H298" t="str">
        <f>IFERROR(__xludf.DUMMYFUNCTION("""COMPUTED_VALUE"""),"FINAL")</f>
        <v>FINAL</v>
      </c>
      <c r="I298" t="str">
        <f>IFERROR(__xludf.DUMMYFUNCTION("""COMPUTED_VALUE"""),"-16½")</f>
        <v>-16½</v>
      </c>
      <c r="J298" t="str">
        <f>IFERROR(__xludf.DUMMYFUNCTION("""COMPUTED_VALUE"""),"51½")</f>
        <v>51½</v>
      </c>
      <c r="K298" t="str">
        <f>IFERROR(__xludf.DUMMYFUNCTION("""COMPUTED_VALUE"""),"Josh R.")</f>
        <v>Josh R.</v>
      </c>
      <c r="L298">
        <f>IFERROR(__xludf.DUMMYFUNCTION("""COMPUTED_VALUE"""),9999.0)</f>
        <v>9999</v>
      </c>
      <c r="M298" s="124">
        <v>2.0</v>
      </c>
    </row>
    <row r="299">
      <c r="A299" s="151">
        <f>IFERROR(__xludf.DUMMYFUNCTION("""COMPUTED_VALUE"""),43716.14774770833)</f>
        <v>43716.14775</v>
      </c>
      <c r="B299" t="str">
        <f>IFERROR(__xludf.DUMMYFUNCTION("""COMPUTED_VALUE"""),"Jeannine")</f>
        <v>Jeannine</v>
      </c>
      <c r="C299" t="str">
        <f>IFERROR(__xludf.DUMMYFUNCTION("""COMPUTED_VALUE"""),"Oklahoma")</f>
        <v>Oklahoma</v>
      </c>
      <c r="D299">
        <f>IFERROR(__xludf.DUMMYFUNCTION("""COMPUTED_VALUE"""),2.0)</f>
        <v>2</v>
      </c>
      <c r="E299">
        <f>IFERROR(__xludf.DUMMYFUNCTION("""COMPUTED_VALUE"""),0.0)</f>
        <v>0</v>
      </c>
      <c r="F299" t="str">
        <f>IFERROR(__xludf.DUMMYFUNCTION("""COMPUTED_VALUE"""),"ABC")</f>
        <v>ABC</v>
      </c>
      <c r="G299" t="str">
        <f>IFERROR(__xludf.DUMMYFUNCTION("""COMPUTED_VALUE"""),"South Dakota 14 at (4) Oklahoma 70")</f>
        <v>South Dakota 14 at (4) Oklahoma 70</v>
      </c>
      <c r="H299" t="str">
        <f>IFERROR(__xludf.DUMMYFUNCTION("""COMPUTED_VALUE"""),"FINAL")</f>
        <v>FINAL</v>
      </c>
      <c r="I299" t="str">
        <f>IFERROR(__xludf.DUMMYFUNCTION("""COMPUTED_VALUE"""),"No Line")</f>
        <v>No Line</v>
      </c>
      <c r="K299" t="str">
        <f>IFERROR(__xludf.DUMMYFUNCTION("""COMPUTED_VALUE"""),"Undrafted")</f>
        <v>Undrafted</v>
      </c>
      <c r="L299">
        <f>IFERROR(__xludf.DUMMYFUNCTION("""COMPUTED_VALUE"""),9999.0)</f>
        <v>9999</v>
      </c>
      <c r="M299" s="124">
        <v>2.0</v>
      </c>
    </row>
    <row r="300">
      <c r="A300" s="151">
        <f>IFERROR(__xludf.DUMMYFUNCTION("""COMPUTED_VALUE"""),43716.14774770833)</f>
        <v>43716.14775</v>
      </c>
      <c r="B300" t="str">
        <f>IFERROR(__xludf.DUMMYFUNCTION("""COMPUTED_VALUE"""),"Jeannine")</f>
        <v>Jeannine</v>
      </c>
      <c r="C300" t="str">
        <f>IFERROR(__xludf.DUMMYFUNCTION("""COMPUTED_VALUE"""),"SMU")</f>
        <v>SMU</v>
      </c>
      <c r="D300">
        <f>IFERROR(__xludf.DUMMYFUNCTION("""COMPUTED_VALUE"""),2.0)</f>
        <v>2</v>
      </c>
      <c r="E300">
        <f>IFERROR(__xludf.DUMMYFUNCTION("""COMPUTED_VALUE"""),0.0)</f>
        <v>0</v>
      </c>
      <c r="F300" t="str">
        <f>IFERROR(__xludf.DUMMYFUNCTION("""COMPUTED_VALUE"""),"espn+ Video")</f>
        <v>espn+ Video</v>
      </c>
      <c r="G300" t="str">
        <f>IFERROR(__xludf.DUMMYFUNCTION("""COMPUTED_VALUE"""),"North Texas 27 at SMU 49")</f>
        <v>North Texas 27 at SMU 49</v>
      </c>
      <c r="H300" t="str">
        <f>IFERROR(__xludf.DUMMYFUNCTION("""COMPUTED_VALUE"""),"FINAL")</f>
        <v>FINAL</v>
      </c>
      <c r="I300" t="str">
        <f>IFERROR(__xludf.DUMMYFUNCTION("""COMPUTED_VALUE"""),"-3½")</f>
        <v>-3½</v>
      </c>
      <c r="J300">
        <f>IFERROR(__xludf.DUMMYFUNCTION("""COMPUTED_VALUE"""),73.0)</f>
        <v>73</v>
      </c>
      <c r="K300" t="str">
        <f>IFERROR(__xludf.DUMMYFUNCTION("""COMPUTED_VALUE"""),"Vu")</f>
        <v>Vu</v>
      </c>
      <c r="L300">
        <f>IFERROR(__xludf.DUMMYFUNCTION("""COMPUTED_VALUE"""),9999.0)</f>
        <v>9999</v>
      </c>
      <c r="M300" s="124">
        <v>2.0</v>
      </c>
    </row>
    <row r="301">
      <c r="A301" s="151">
        <f>IFERROR(__xludf.DUMMYFUNCTION("""COMPUTED_VALUE"""),43716.14774770833)</f>
        <v>43716.14775</v>
      </c>
      <c r="B301" t="str">
        <f>IFERROR(__xludf.DUMMYFUNCTION("""COMPUTED_VALUE"""),"Jeannine")</f>
        <v>Jeannine</v>
      </c>
      <c r="C301" t="str">
        <f>IFERROR(__xludf.DUMMYFUNCTION("""COMPUTED_VALUE"""),"Penn State")</f>
        <v>Penn State</v>
      </c>
      <c r="D301">
        <f>IFERROR(__xludf.DUMMYFUNCTION("""COMPUTED_VALUE"""),2.0)</f>
        <v>2</v>
      </c>
      <c r="E301">
        <f>IFERROR(__xludf.DUMMYFUNCTION("""COMPUTED_VALUE"""),0.0)</f>
        <v>0</v>
      </c>
      <c r="F301" t="str">
        <f>IFERROR(__xludf.DUMMYFUNCTION("""COMPUTED_VALUE"""),"BTN")</f>
        <v>BTN</v>
      </c>
      <c r="G301" t="str">
        <f>IFERROR(__xludf.DUMMYFUNCTION("""COMPUTED_VALUE"""),"Buffalo 13 at (14) Penn State 45")</f>
        <v>Buffalo 13 at (14) Penn State 45</v>
      </c>
      <c r="H301" t="str">
        <f>IFERROR(__xludf.DUMMYFUNCTION("""COMPUTED_VALUE"""),"FINAL")</f>
        <v>FINAL</v>
      </c>
      <c r="I301" t="str">
        <f>IFERROR(__xludf.DUMMYFUNCTION("""COMPUTED_VALUE"""),"-29½")</f>
        <v>-29½</v>
      </c>
      <c r="J301">
        <f>IFERROR(__xludf.DUMMYFUNCTION("""COMPUTED_VALUE"""),56.0)</f>
        <v>56</v>
      </c>
      <c r="K301" t="str">
        <f>IFERROR(__xludf.DUMMYFUNCTION("""COMPUTED_VALUE"""),"Justin")</f>
        <v>Justin</v>
      </c>
      <c r="L301">
        <f>IFERROR(__xludf.DUMMYFUNCTION("""COMPUTED_VALUE"""),9999.0)</f>
        <v>9999</v>
      </c>
      <c r="M301" s="124">
        <v>2.0</v>
      </c>
    </row>
    <row r="302">
      <c r="A302" s="151">
        <f>IFERROR(__xludf.DUMMYFUNCTION("""COMPUTED_VALUE"""),43716.14774770833)</f>
        <v>43716.14775</v>
      </c>
      <c r="B302" t="str">
        <f>IFERROR(__xludf.DUMMYFUNCTION("""COMPUTED_VALUE"""),"Justin")</f>
        <v>Justin</v>
      </c>
      <c r="C302" t="str">
        <f>IFERROR(__xludf.DUMMYFUNCTION("""COMPUTED_VALUE"""),"South Florida")</f>
        <v>South Florida</v>
      </c>
      <c r="D302">
        <f>IFERROR(__xludf.DUMMYFUNCTION("""COMPUTED_VALUE"""),0.0)</f>
        <v>0</v>
      </c>
      <c r="E302">
        <f>IFERROR(__xludf.DUMMYFUNCTION("""COMPUTED_VALUE"""),2.0)</f>
        <v>2</v>
      </c>
      <c r="F302" t="str">
        <f>IFERROR(__xludf.DUMMYFUNCTION("""COMPUTED_VALUE"""),"ESPN")</f>
        <v>ESPN</v>
      </c>
      <c r="G302" t="str">
        <f>IFERROR(__xludf.DUMMYFUNCTION("""COMPUTED_VALUE"""),"South Florida 10 at Georgia Tech 14")</f>
        <v>South Florida 10 at Georgia Tech 14</v>
      </c>
      <c r="H302" t="str">
        <f>IFERROR(__xludf.DUMMYFUNCTION("""COMPUTED_VALUE"""),"FINAL")</f>
        <v>FINAL</v>
      </c>
      <c r="I302">
        <f>IFERROR(__xludf.DUMMYFUNCTION("""COMPUTED_VALUE"""),6.0)</f>
        <v>6</v>
      </c>
      <c r="J302" t="str">
        <f>IFERROR(__xludf.DUMMYFUNCTION("""COMPUTED_VALUE"""),"62½")</f>
        <v>62½</v>
      </c>
      <c r="K302" t="str">
        <f>IFERROR(__xludf.DUMMYFUNCTION("""COMPUTED_VALUE"""),"Undrafted")</f>
        <v>Undrafted</v>
      </c>
      <c r="L302">
        <f>IFERROR(__xludf.DUMMYFUNCTION("""COMPUTED_VALUE"""),9999.0)</f>
        <v>9999</v>
      </c>
      <c r="M302" s="124">
        <v>2.0</v>
      </c>
    </row>
    <row r="303">
      <c r="A303" s="151">
        <f>IFERROR(__xludf.DUMMYFUNCTION("""COMPUTED_VALUE"""),43716.14774770833)</f>
        <v>43716.14775</v>
      </c>
      <c r="B303" t="str">
        <f>IFERROR(__xludf.DUMMYFUNCTION("""COMPUTED_VALUE"""),"Justin")</f>
        <v>Justin</v>
      </c>
      <c r="C303" t="str">
        <f>IFERROR(__xludf.DUMMYFUNCTION("""COMPUTED_VALUE"""),"Western Kentucky")</f>
        <v>Western Kentucky</v>
      </c>
      <c r="D303">
        <f>IFERROR(__xludf.DUMMYFUNCTION("""COMPUTED_VALUE"""),1.0)</f>
        <v>1</v>
      </c>
      <c r="E303">
        <f>IFERROR(__xludf.DUMMYFUNCTION("""COMPUTED_VALUE"""),1.0)</f>
        <v>1</v>
      </c>
      <c r="F303" t="str">
        <f>IFERROR(__xludf.DUMMYFUNCTION("""COMPUTED_VALUE"""),"espn+ Video")</f>
        <v>espn+ Video</v>
      </c>
      <c r="G303" t="str">
        <f>IFERROR(__xludf.DUMMYFUNCTION("""COMPUTED_VALUE"""),"Western Kentucky 20 at Florida Intl 14")</f>
        <v>Western Kentucky 20 at Florida Intl 14</v>
      </c>
      <c r="H303" t="str">
        <f>IFERROR(__xludf.DUMMYFUNCTION("""COMPUTED_VALUE"""),"FINAL")</f>
        <v>FINAL</v>
      </c>
      <c r="I303">
        <f>IFERROR(__xludf.DUMMYFUNCTION("""COMPUTED_VALUE"""),7.0)</f>
        <v>7</v>
      </c>
      <c r="J303" t="str">
        <f>IFERROR(__xludf.DUMMYFUNCTION("""COMPUTED_VALUE"""),"55½")</f>
        <v>55½</v>
      </c>
      <c r="K303" t="str">
        <f>IFERROR(__xludf.DUMMYFUNCTION("""COMPUTED_VALUE"""),"Adam")</f>
        <v>Adam</v>
      </c>
      <c r="L303">
        <f>IFERROR(__xludf.DUMMYFUNCTION("""COMPUTED_VALUE"""),9999.0)</f>
        <v>9999</v>
      </c>
      <c r="M303" s="124">
        <v>2.0</v>
      </c>
    </row>
    <row r="304">
      <c r="A304" s="151">
        <f>IFERROR(__xludf.DUMMYFUNCTION("""COMPUTED_VALUE"""),43716.14774770833)</f>
        <v>43716.14775</v>
      </c>
      <c r="B304" t="str">
        <f>IFERROR(__xludf.DUMMYFUNCTION("""COMPUTED_VALUE"""),"Justin")</f>
        <v>Justin</v>
      </c>
      <c r="C304" t="str">
        <f>IFERROR(__xludf.DUMMYFUNCTION("""COMPUTED_VALUE"""),"Buffalo")</f>
        <v>Buffalo</v>
      </c>
      <c r="D304">
        <f>IFERROR(__xludf.DUMMYFUNCTION("""COMPUTED_VALUE"""),1.0)</f>
        <v>1</v>
      </c>
      <c r="E304">
        <f>IFERROR(__xludf.DUMMYFUNCTION("""COMPUTED_VALUE"""),1.0)</f>
        <v>1</v>
      </c>
      <c r="F304" t="str">
        <f>IFERROR(__xludf.DUMMYFUNCTION("""COMPUTED_VALUE"""),"espn+ Video")</f>
        <v>espn+ Video</v>
      </c>
      <c r="G304" t="str">
        <f>IFERROR(__xludf.DUMMYFUNCTION("""COMPUTED_VALUE"""),"Buffalo 13 at (14) Penn State 45")</f>
        <v>Buffalo 13 at (14) Penn State 45</v>
      </c>
      <c r="H304" t="str">
        <f>IFERROR(__xludf.DUMMYFUNCTION("""COMPUTED_VALUE"""),"FINAL")</f>
        <v>FINAL</v>
      </c>
      <c r="I304" t="str">
        <f>IFERROR(__xludf.DUMMYFUNCTION("""COMPUTED_VALUE"""),"29½")</f>
        <v>29½</v>
      </c>
      <c r="J304">
        <f>IFERROR(__xludf.DUMMYFUNCTION("""COMPUTED_VALUE"""),56.0)</f>
        <v>56</v>
      </c>
      <c r="K304" t="str">
        <f>IFERROR(__xludf.DUMMYFUNCTION("""COMPUTED_VALUE"""),"Jeannine")</f>
        <v>Jeannine</v>
      </c>
      <c r="L304">
        <f>IFERROR(__xludf.DUMMYFUNCTION("""COMPUTED_VALUE"""),9999.0)</f>
        <v>9999</v>
      </c>
      <c r="M304" s="124">
        <v>2.0</v>
      </c>
    </row>
    <row r="305">
      <c r="A305" s="151">
        <f>IFERROR(__xludf.DUMMYFUNCTION("""COMPUTED_VALUE"""),43716.14774770833)</f>
        <v>43716.14775</v>
      </c>
      <c r="B305" t="str">
        <f>IFERROR(__xludf.DUMMYFUNCTION("""COMPUTED_VALUE"""),"Justin")</f>
        <v>Justin</v>
      </c>
      <c r="C305" t="str">
        <f>IFERROR(__xludf.DUMMYFUNCTION("""COMPUTED_VALUE"""),"Iowa")</f>
        <v>Iowa</v>
      </c>
      <c r="D305">
        <f>IFERROR(__xludf.DUMMYFUNCTION("""COMPUTED_VALUE"""),2.0)</f>
        <v>2</v>
      </c>
      <c r="E305">
        <f>IFERROR(__xludf.DUMMYFUNCTION("""COMPUTED_VALUE"""),0.0)</f>
        <v>0</v>
      </c>
      <c r="F305" t="str">
        <f>IFERROR(__xludf.DUMMYFUNCTION("""COMPUTED_VALUE"""),"FS1")</f>
        <v>FS1</v>
      </c>
      <c r="G305" t="str">
        <f>IFERROR(__xludf.DUMMYFUNCTION("""COMPUTED_VALUE"""),"Rutgers 0 at (19) Iowa 30")</f>
        <v>Rutgers 0 at (19) Iowa 30</v>
      </c>
      <c r="H305" t="str">
        <f>IFERROR(__xludf.DUMMYFUNCTION("""COMPUTED_VALUE"""),"FINAL")</f>
        <v>FINAL</v>
      </c>
      <c r="I305">
        <f>IFERROR(__xludf.DUMMYFUNCTION("""COMPUTED_VALUE"""),-20.0)</f>
        <v>-20</v>
      </c>
      <c r="J305" t="str">
        <f>IFERROR(__xludf.DUMMYFUNCTION("""COMPUTED_VALUE"""),"49½")</f>
        <v>49½</v>
      </c>
      <c r="K305" t="str">
        <f>IFERROR(__xludf.DUMMYFUNCTION("""COMPUTED_VALUE"""),"Undrafted")</f>
        <v>Undrafted</v>
      </c>
      <c r="L305">
        <f>IFERROR(__xludf.DUMMYFUNCTION("""COMPUTED_VALUE"""),9999.0)</f>
        <v>9999</v>
      </c>
      <c r="M305" s="124">
        <v>2.0</v>
      </c>
    </row>
    <row r="306">
      <c r="A306" s="151">
        <f>IFERROR(__xludf.DUMMYFUNCTION("""COMPUTED_VALUE"""),43716.14774770833)</f>
        <v>43716.14775</v>
      </c>
      <c r="B306" t="str">
        <f>IFERROR(__xludf.DUMMYFUNCTION("""COMPUTED_VALUE"""),"Justin")</f>
        <v>Justin</v>
      </c>
      <c r="C306" t="str">
        <f>IFERROR(__xludf.DUMMYFUNCTION("""COMPUTED_VALUE"""),"Appalachian State")</f>
        <v>Appalachian State</v>
      </c>
      <c r="D306">
        <f>IFERROR(__xludf.DUMMYFUNCTION("""COMPUTED_VALUE"""),2.0)</f>
        <v>2</v>
      </c>
      <c r="E306">
        <f>IFERROR(__xludf.DUMMYFUNCTION("""COMPUTED_VALUE"""),0.0)</f>
        <v>0</v>
      </c>
      <c r="F306" t="str">
        <f>IFERROR(__xludf.DUMMYFUNCTION("""COMPUTED_VALUE"""),"espn+ Video")</f>
        <v>espn+ Video</v>
      </c>
      <c r="G306" t="str">
        <f>IFERROR(__xludf.DUMMYFUNCTION("""COMPUTED_VALUE"""),"Charlotte 41 at Appalachian State 56")</f>
        <v>Charlotte 41 at Appalachian State 56</v>
      </c>
      <c r="H306" t="str">
        <f>IFERROR(__xludf.DUMMYFUNCTION("""COMPUTED_VALUE"""),"FINAL")</f>
        <v>FINAL</v>
      </c>
      <c r="I306" t="str">
        <f>IFERROR(__xludf.DUMMYFUNCTION("""COMPUTED_VALUE"""),"-22½")</f>
        <v>-22½</v>
      </c>
      <c r="J306">
        <f>IFERROR(__xludf.DUMMYFUNCTION("""COMPUTED_VALUE"""),54.0)</f>
        <v>54</v>
      </c>
      <c r="K306" t="str">
        <f>IFERROR(__xludf.DUMMYFUNCTION("""COMPUTED_VALUE"""),"Janice/Mike")</f>
        <v>Janice/Mike</v>
      </c>
      <c r="L306">
        <f>IFERROR(__xludf.DUMMYFUNCTION("""COMPUTED_VALUE"""),9999.0)</f>
        <v>9999</v>
      </c>
      <c r="M306" s="124">
        <v>2.0</v>
      </c>
    </row>
    <row r="307">
      <c r="A307" s="151">
        <f>IFERROR(__xludf.DUMMYFUNCTION("""COMPUTED_VALUE"""),43716.14774770833)</f>
        <v>43716.14775</v>
      </c>
      <c r="B307" t="str">
        <f>IFERROR(__xludf.DUMMYFUNCTION("""COMPUTED_VALUE"""),"Justin")</f>
        <v>Justin</v>
      </c>
      <c r="C307" t="str">
        <f>IFERROR(__xludf.DUMMYFUNCTION("""COMPUTED_VALUE"""),"Baylor")</f>
        <v>Baylor</v>
      </c>
      <c r="D307">
        <f>IFERROR(__xludf.DUMMYFUNCTION("""COMPUTED_VALUE"""),2.0)</f>
        <v>2</v>
      </c>
      <c r="E307">
        <f>IFERROR(__xludf.DUMMYFUNCTION("""COMPUTED_VALUE"""),0.0)</f>
        <v>0</v>
      </c>
      <c r="F307" t="str">
        <f>IFERROR(__xludf.DUMMYFUNCTION("""COMPUTED_VALUE"""),"espn+ Video")</f>
        <v>espn+ Video</v>
      </c>
      <c r="G307" t="str">
        <f>IFERROR(__xludf.DUMMYFUNCTION("""COMPUTED_VALUE"""),"UTSA 14 at Baylor 63")</f>
        <v>UTSA 14 at Baylor 63</v>
      </c>
      <c r="H307" t="str">
        <f>IFERROR(__xludf.DUMMYFUNCTION("""COMPUTED_VALUE"""),"FINAL")</f>
        <v>FINAL</v>
      </c>
      <c r="I307" t="str">
        <f>IFERROR(__xludf.DUMMYFUNCTION("""COMPUTED_VALUE"""),"-25½")</f>
        <v>-25½</v>
      </c>
      <c r="J307" t="str">
        <f>IFERROR(__xludf.DUMMYFUNCTION("""COMPUTED_VALUE"""),"57½")</f>
        <v>57½</v>
      </c>
      <c r="K307" t="str">
        <f>IFERROR(__xludf.DUMMYFUNCTION("""COMPUTED_VALUE"""),"DavEmily")</f>
        <v>DavEmily</v>
      </c>
      <c r="L307">
        <f>IFERROR(__xludf.DUMMYFUNCTION("""COMPUTED_VALUE"""),9999.0)</f>
        <v>9999</v>
      </c>
      <c r="M307" s="124">
        <v>2.0</v>
      </c>
    </row>
    <row r="308">
      <c r="A308" s="151">
        <f>IFERROR(__xludf.DUMMYFUNCTION("""COMPUTED_VALUE"""),43716.14774770833)</f>
        <v>43716.14775</v>
      </c>
      <c r="B308" t="str">
        <f>IFERROR(__xludf.DUMMYFUNCTION("""COMPUTED_VALUE"""),"Justin")</f>
        <v>Justin</v>
      </c>
      <c r="C308" t="str">
        <f>IFERROR(__xludf.DUMMYFUNCTION("""COMPUTED_VALUE"""),"Duke")</f>
        <v>Duke</v>
      </c>
      <c r="D308">
        <f>IFERROR(__xludf.DUMMYFUNCTION("""COMPUTED_VALUE"""),1.0)</f>
        <v>1</v>
      </c>
      <c r="E308">
        <f>IFERROR(__xludf.DUMMYFUNCTION("""COMPUTED_VALUE"""),1.0)</f>
        <v>1</v>
      </c>
      <c r="F308" t="str">
        <f>IFERROR(__xludf.DUMMYFUNCTION("""COMPUTED_VALUE"""),"NA")</f>
        <v>NA</v>
      </c>
      <c r="G308" t="str">
        <f>IFERROR(__xludf.DUMMYFUNCTION("""COMPUTED_VALUE"""),"North Carolina A&amp;T 13 at Duke 45")</f>
        <v>North Carolina A&amp;T 13 at Duke 45</v>
      </c>
      <c r="H308" t="str">
        <f>IFERROR(__xludf.DUMMYFUNCTION("""COMPUTED_VALUE"""),"FINAL")</f>
        <v>FINAL</v>
      </c>
      <c r="I308" t="str">
        <f>IFERROR(__xludf.DUMMYFUNCTION("""COMPUTED_VALUE"""),"No Line")</f>
        <v>No Line</v>
      </c>
      <c r="K308" t="str">
        <f>IFERROR(__xludf.DUMMYFUNCTION("""COMPUTED_VALUE"""),"Undrafted")</f>
        <v>Undrafted</v>
      </c>
      <c r="L308">
        <f>IFERROR(__xludf.DUMMYFUNCTION("""COMPUTED_VALUE"""),9999.0)</f>
        <v>9999</v>
      </c>
      <c r="M308" s="124">
        <v>2.0</v>
      </c>
    </row>
    <row r="309">
      <c r="A309" s="151">
        <f>IFERROR(__xludf.DUMMYFUNCTION("""COMPUTED_VALUE"""),43716.14774770833)</f>
        <v>43716.14775</v>
      </c>
      <c r="B309" t="str">
        <f>IFERROR(__xludf.DUMMYFUNCTION("""COMPUTED_VALUE"""),"Justin")</f>
        <v>Justin</v>
      </c>
      <c r="C309" t="str">
        <f>IFERROR(__xludf.DUMMYFUNCTION("""COMPUTED_VALUE"""),"Tennessee")</f>
        <v>Tennessee</v>
      </c>
      <c r="D309">
        <f>IFERROR(__xludf.DUMMYFUNCTION("""COMPUTED_VALUE"""),0.0)</f>
        <v>0</v>
      </c>
      <c r="E309">
        <f>IFERROR(__xludf.DUMMYFUNCTION("""COMPUTED_VALUE"""),2.0)</f>
        <v>2</v>
      </c>
      <c r="F309" t="str">
        <f>IFERROR(__xludf.DUMMYFUNCTION("""COMPUTED_VALUE"""),"ESPNU")</f>
        <v>ESPNU</v>
      </c>
      <c r="G309" t="str">
        <f>IFERROR(__xludf.DUMMYFUNCTION("""COMPUTED_VALUE"""),"BYU 29 at Tennessee 26")</f>
        <v>BYU 29 at Tennessee 26</v>
      </c>
      <c r="H309" t="str">
        <f>IFERROR(__xludf.DUMMYFUNCTION("""COMPUTED_VALUE"""),"FINAL - 2ND OT")</f>
        <v>FINAL - 2ND OT</v>
      </c>
      <c r="I309" t="str">
        <f>IFERROR(__xludf.DUMMYFUNCTION("""COMPUTED_VALUE"""),"-3½")</f>
        <v>-3½</v>
      </c>
      <c r="J309" t="str">
        <f>IFERROR(__xludf.DUMMYFUNCTION("""COMPUTED_VALUE"""),"51½")</f>
        <v>51½</v>
      </c>
      <c r="K309" t="str">
        <f>IFERROR(__xludf.DUMMYFUNCTION("""COMPUTED_VALUE"""),"Gary")</f>
        <v>Gary</v>
      </c>
      <c r="L309">
        <f>IFERROR(__xludf.DUMMYFUNCTION("""COMPUTED_VALUE"""),9999.0)</f>
        <v>9999</v>
      </c>
      <c r="M309" s="124">
        <v>2.0</v>
      </c>
    </row>
    <row r="310">
      <c r="A310" s="151">
        <f>IFERROR(__xludf.DUMMYFUNCTION("""COMPUTED_VALUE"""),43716.14774770833)</f>
        <v>43716.14775</v>
      </c>
      <c r="B310" t="str">
        <f>IFERROR(__xludf.DUMMYFUNCTION("""COMPUTED_VALUE"""),"Justin")</f>
        <v>Justin</v>
      </c>
      <c r="C310" t="str">
        <f>IFERROR(__xludf.DUMMYFUNCTION("""COMPUTED_VALUE"""),"Oregon")</f>
        <v>Oregon</v>
      </c>
      <c r="D310">
        <f>IFERROR(__xludf.DUMMYFUNCTION("""COMPUTED_VALUE"""),1.0)</f>
        <v>1</v>
      </c>
      <c r="E310">
        <f>IFERROR(__xludf.DUMMYFUNCTION("""COMPUTED_VALUE"""),1.0)</f>
        <v>1</v>
      </c>
      <c r="F310" t="str">
        <f>IFERROR(__xludf.DUMMYFUNCTION("""COMPUTED_VALUE"""),"NA")</f>
        <v>NA</v>
      </c>
      <c r="G310" t="str">
        <f>IFERROR(__xludf.DUMMYFUNCTION("""COMPUTED_VALUE"""),"Nevada 6 at (18) Oregon 77")</f>
        <v>Nevada 6 at (18) Oregon 77</v>
      </c>
      <c r="H310" t="str">
        <f>IFERROR(__xludf.DUMMYFUNCTION("""COMPUTED_VALUE"""),"FINAL")</f>
        <v>FINAL</v>
      </c>
      <c r="I310">
        <f>IFERROR(__xludf.DUMMYFUNCTION("""COMPUTED_VALUE"""),-24.0)</f>
        <v>-24</v>
      </c>
      <c r="J310">
        <f>IFERROR(__xludf.DUMMYFUNCTION("""COMPUTED_VALUE"""),61.0)</f>
        <v>61</v>
      </c>
      <c r="K310" t="str">
        <f>IFERROR(__xludf.DUMMYFUNCTION("""COMPUTED_VALUE"""),"Josh R.")</f>
        <v>Josh R.</v>
      </c>
      <c r="L310">
        <f>IFERROR(__xludf.DUMMYFUNCTION("""COMPUTED_VALUE"""),9999.0)</f>
        <v>9999</v>
      </c>
      <c r="M310" s="124">
        <v>2.0</v>
      </c>
    </row>
    <row r="311">
      <c r="A311" s="151">
        <f>IFERROR(__xludf.DUMMYFUNCTION("""COMPUTED_VALUE"""),43716.14774770833)</f>
        <v>43716.14775</v>
      </c>
      <c r="B311" t="str">
        <f>IFERROR(__xludf.DUMMYFUNCTION("""COMPUTED_VALUE"""),"Justin")</f>
        <v>Justin</v>
      </c>
      <c r="C311" t="str">
        <f>IFERROR(__xludf.DUMMYFUNCTION("""COMPUTED_VALUE"""),"UNLV")</f>
        <v>UNLV</v>
      </c>
      <c r="D311">
        <f>IFERROR(__xludf.DUMMYFUNCTION("""COMPUTED_VALUE"""),1.0)</f>
        <v>1</v>
      </c>
      <c r="E311">
        <f>IFERROR(__xludf.DUMMYFUNCTION("""COMPUTED_VALUE"""),1.0)</f>
        <v>1</v>
      </c>
      <c r="F311" t="str">
        <f>IFERROR(__xludf.DUMMYFUNCTION("""COMPUTED_VALUE"""),"TBA")</f>
        <v>TBA</v>
      </c>
      <c r="G311" t="str">
        <f>IFERROR(__xludf.DUMMYFUNCTION("""COMPUTED_VALUE"""),"Arkansas State 43 at UNLV 17")</f>
        <v>Arkansas State 43 at UNLV 17</v>
      </c>
      <c r="H311" t="str">
        <f>IFERROR(__xludf.DUMMYFUNCTION("""COMPUTED_VALUE"""),"FINAL")</f>
        <v>FINAL</v>
      </c>
      <c r="I311" t="str">
        <f>IFERROR(__xludf.DUMMYFUNCTION("""COMPUTED_VALUE"""),"-1½")</f>
        <v>-1½</v>
      </c>
      <c r="J311" t="str">
        <f>IFERROR(__xludf.DUMMYFUNCTION("""COMPUTED_VALUE"""),"63½")</f>
        <v>63½</v>
      </c>
      <c r="K311" t="str">
        <f>IFERROR(__xludf.DUMMYFUNCTION("""COMPUTED_VALUE"""),"Nico")</f>
        <v>Nico</v>
      </c>
      <c r="L311">
        <f>IFERROR(__xludf.DUMMYFUNCTION("""COMPUTED_VALUE"""),9999.0)</f>
        <v>9999</v>
      </c>
      <c r="M311" s="124">
        <v>2.0</v>
      </c>
    </row>
    <row r="312">
      <c r="A312" s="151">
        <f>IFERROR(__xludf.DUMMYFUNCTION("""COMPUTED_VALUE"""),43716.14774770833)</f>
        <v>43716.14775</v>
      </c>
      <c r="B312" t="str">
        <f>IFERROR(__xludf.DUMMYFUNCTION("""COMPUTED_VALUE"""),"Adam")</f>
        <v>Adam</v>
      </c>
      <c r="C312" t="str">
        <f>IFERROR(__xludf.DUMMYFUNCTION("""COMPUTED_VALUE"""),"Akron")</f>
        <v>Akron</v>
      </c>
      <c r="D312">
        <f>IFERROR(__xludf.DUMMYFUNCTION("""COMPUTED_VALUE"""),0.0)</f>
        <v>0</v>
      </c>
      <c r="E312">
        <f>IFERROR(__xludf.DUMMYFUNCTION("""COMPUTED_VALUE"""),2.0)</f>
        <v>2</v>
      </c>
      <c r="F312" t="str">
        <f>IFERROR(__xludf.DUMMYFUNCTION("""COMPUTED_VALUE"""),"BTN")</f>
        <v>BTN</v>
      </c>
      <c r="G312" t="str">
        <f>IFERROR(__xludf.DUMMYFUNCTION("""COMPUTED_VALUE"""),"UAB 31 at Akron 20")</f>
        <v>UAB 31 at Akron 20</v>
      </c>
      <c r="H312" t="str">
        <f>IFERROR(__xludf.DUMMYFUNCTION("""COMPUTED_VALUE"""),"FINAL")</f>
        <v>FINAL</v>
      </c>
      <c r="I312">
        <f>IFERROR(__xludf.DUMMYFUNCTION("""COMPUTED_VALUE"""),9.0)</f>
        <v>9</v>
      </c>
      <c r="J312" t="str">
        <f>IFERROR(__xludf.DUMMYFUNCTION("""COMPUTED_VALUE"""),"46½")</f>
        <v>46½</v>
      </c>
      <c r="K312" t="str">
        <f>IFERROR(__xludf.DUMMYFUNCTION("""COMPUTED_VALUE"""),"Jeannine")</f>
        <v>Jeannine</v>
      </c>
      <c r="L312">
        <f>IFERROR(__xludf.DUMMYFUNCTION("""COMPUTED_VALUE"""),9999.0)</f>
        <v>9999</v>
      </c>
      <c r="M312" s="124">
        <v>2.0</v>
      </c>
    </row>
    <row r="313">
      <c r="A313" s="151">
        <f>IFERROR(__xludf.DUMMYFUNCTION("""COMPUTED_VALUE"""),43716.14774770833)</f>
        <v>43716.14775</v>
      </c>
      <c r="B313" t="str">
        <f>IFERROR(__xludf.DUMMYFUNCTION("""COMPUTED_VALUE"""),"Adam")</f>
        <v>Adam</v>
      </c>
      <c r="C313" t="str">
        <f>IFERROR(__xludf.DUMMYFUNCTION("""COMPUTED_VALUE"""),"Texas")</f>
        <v>Texas</v>
      </c>
      <c r="D313">
        <f>IFERROR(__xludf.DUMMYFUNCTION("""COMPUTED_VALUE"""),1.0)</f>
        <v>1</v>
      </c>
      <c r="E313">
        <f>IFERROR(__xludf.DUMMYFUNCTION("""COMPUTED_VALUE"""),1.0)</f>
        <v>1</v>
      </c>
      <c r="F313" t="str">
        <f>IFERROR(__xludf.DUMMYFUNCTION("""COMPUTED_VALUE"""),"LHN")</f>
        <v>LHN</v>
      </c>
      <c r="G313" t="str">
        <f>IFERROR(__xludf.DUMMYFUNCTION("""COMPUTED_VALUE"""),"(6) LSU 45 at (9) Texas 38")</f>
        <v>(6) LSU 45 at (9) Texas 38</v>
      </c>
      <c r="H313" t="str">
        <f>IFERROR(__xludf.DUMMYFUNCTION("""COMPUTED_VALUE"""),"FINAL")</f>
        <v>FINAL</v>
      </c>
      <c r="I313" t="str">
        <f>IFERROR(__xludf.DUMMYFUNCTION("""COMPUTED_VALUE"""),"6½")</f>
        <v>6½</v>
      </c>
      <c r="J313" t="str">
        <f>IFERROR(__xludf.DUMMYFUNCTION("""COMPUTED_VALUE"""),"55½")</f>
        <v>55½</v>
      </c>
      <c r="K313" t="str">
        <f>IFERROR(__xludf.DUMMYFUNCTION("""COMPUTED_VALUE"""),"Nick A.")</f>
        <v>Nick A.</v>
      </c>
      <c r="L313">
        <f>IFERROR(__xludf.DUMMYFUNCTION("""COMPUTED_VALUE"""),9999.0)</f>
        <v>9999</v>
      </c>
      <c r="M313" s="124">
        <v>2.0</v>
      </c>
    </row>
    <row r="314">
      <c r="A314" s="151">
        <f>IFERROR(__xludf.DUMMYFUNCTION("""COMPUTED_VALUE"""),43716.14774770833)</f>
        <v>43716.14775</v>
      </c>
      <c r="B314" t="str">
        <f>IFERROR(__xludf.DUMMYFUNCTION("""COMPUTED_VALUE"""),"Adam")</f>
        <v>Adam</v>
      </c>
      <c r="C314" t="str">
        <f>IFERROR(__xludf.DUMMYFUNCTION("""COMPUTED_VALUE"""),"Oregon State")</f>
        <v>Oregon State</v>
      </c>
      <c r="D314">
        <f>IFERROR(__xludf.DUMMYFUNCTION("""COMPUTED_VALUE"""),0.0)</f>
        <v>0</v>
      </c>
      <c r="E314">
        <f>IFERROR(__xludf.DUMMYFUNCTION("""COMPUTED_VALUE"""),2.0)</f>
        <v>2</v>
      </c>
      <c r="F314" t="str">
        <f>IFERROR(__xludf.DUMMYFUNCTION("""COMPUTED_VALUE"""),"FS1")</f>
        <v>FS1</v>
      </c>
      <c r="G314" t="str">
        <f>IFERROR(__xludf.DUMMYFUNCTION("""COMPUTED_VALUE"""),"Oregon State 28 at Hawaii 31")</f>
        <v>Oregon State 28 at Hawaii 31</v>
      </c>
      <c r="H314" t="str">
        <f>IFERROR(__xludf.DUMMYFUNCTION("""COMPUTED_VALUE"""),"FINAL")</f>
        <v>FINAL</v>
      </c>
      <c r="I314" t="str">
        <f>IFERROR(__xludf.DUMMYFUNCTION("""COMPUTED_VALUE"""),"6½")</f>
        <v>6½</v>
      </c>
      <c r="J314" t="str">
        <f>IFERROR(__xludf.DUMMYFUNCTION("""COMPUTED_VALUE"""),"78½")</f>
        <v>78½</v>
      </c>
      <c r="K314" t="str">
        <f>IFERROR(__xludf.DUMMYFUNCTION("""COMPUTED_VALUE"""),"Vu")</f>
        <v>Vu</v>
      </c>
      <c r="L314">
        <f>IFERROR(__xludf.DUMMYFUNCTION("""COMPUTED_VALUE"""),9999.0)</f>
        <v>9999</v>
      </c>
      <c r="M314" s="124">
        <v>2.0</v>
      </c>
    </row>
    <row r="315">
      <c r="A315" s="151">
        <f>IFERROR(__xludf.DUMMYFUNCTION("""COMPUTED_VALUE"""),43716.14774770833)</f>
        <v>43716.14775</v>
      </c>
      <c r="B315" t="str">
        <f>IFERROR(__xludf.DUMMYFUNCTION("""COMPUTED_VALUE"""),"Adam")</f>
        <v>Adam</v>
      </c>
      <c r="C315" t="str">
        <f>IFERROR(__xludf.DUMMYFUNCTION("""COMPUTED_VALUE"""),"Air Force")</f>
        <v>Air Force</v>
      </c>
      <c r="D315">
        <f>IFERROR(__xludf.DUMMYFUNCTION("""COMPUTED_VALUE"""),1.0)</f>
        <v>1</v>
      </c>
      <c r="E315">
        <f>IFERROR(__xludf.DUMMYFUNCTION("""COMPUTED_VALUE"""),0.0)</f>
        <v>0</v>
      </c>
      <c r="F315" t="str">
        <f>IFERROR(__xludf.DUMMYFUNCTION("""COMPUTED_VALUE"""),"ESPN Extra")</f>
        <v>ESPN Extra</v>
      </c>
      <c r="G315" t="str">
        <f>IFERROR(__xludf.DUMMYFUNCTION("""COMPUTED_VALUE"""),"BYE")</f>
        <v>BYE</v>
      </c>
      <c r="I315" t="str">
        <f>IFERROR(__xludf.DUMMYFUNCTION("""COMPUTED_VALUE"""),"bye")</f>
        <v>bye</v>
      </c>
      <c r="J315" t="str">
        <f>IFERROR(__xludf.DUMMYFUNCTION("""COMPUTED_VALUE"""),"bye")</f>
        <v>bye</v>
      </c>
      <c r="L315">
        <f>IFERROR(__xludf.DUMMYFUNCTION("""COMPUTED_VALUE"""),9999.0)</f>
        <v>9999</v>
      </c>
      <c r="M315" s="124">
        <v>2.0</v>
      </c>
    </row>
    <row r="316">
      <c r="A316" s="151">
        <f>IFERROR(__xludf.DUMMYFUNCTION("""COMPUTED_VALUE"""),43716.14774770833)</f>
        <v>43716.14775</v>
      </c>
      <c r="B316" t="str">
        <f>IFERROR(__xludf.DUMMYFUNCTION("""COMPUTED_VALUE"""),"Adam")</f>
        <v>Adam</v>
      </c>
      <c r="C316" t="str">
        <f>IFERROR(__xludf.DUMMYFUNCTION("""COMPUTED_VALUE"""),"Northwestern")</f>
        <v>Northwestern</v>
      </c>
      <c r="D316">
        <f>IFERROR(__xludf.DUMMYFUNCTION("""COMPUTED_VALUE"""),0.0)</f>
        <v>0</v>
      </c>
      <c r="E316">
        <f>IFERROR(__xludf.DUMMYFUNCTION("""COMPUTED_VALUE"""),1.0)</f>
        <v>1</v>
      </c>
      <c r="F316" t="str">
        <f>IFERROR(__xludf.DUMMYFUNCTION("""COMPUTED_VALUE"""),"FOX")</f>
        <v>FOX</v>
      </c>
      <c r="G316" t="str">
        <f>IFERROR(__xludf.DUMMYFUNCTION("""COMPUTED_VALUE"""),"BYE")</f>
        <v>BYE</v>
      </c>
      <c r="I316" t="str">
        <f>IFERROR(__xludf.DUMMYFUNCTION("""COMPUTED_VALUE"""),"bye")</f>
        <v>bye</v>
      </c>
      <c r="J316" t="str">
        <f>IFERROR(__xludf.DUMMYFUNCTION("""COMPUTED_VALUE"""),"bye")</f>
        <v>bye</v>
      </c>
      <c r="L316">
        <f>IFERROR(__xludf.DUMMYFUNCTION("""COMPUTED_VALUE"""),9999.0)</f>
        <v>9999</v>
      </c>
      <c r="M316" s="124">
        <v>2.0</v>
      </c>
    </row>
    <row r="317">
      <c r="A317" s="151">
        <f>IFERROR(__xludf.DUMMYFUNCTION("""COMPUTED_VALUE"""),43716.14774770833)</f>
        <v>43716.14775</v>
      </c>
      <c r="B317" t="str">
        <f>IFERROR(__xludf.DUMMYFUNCTION("""COMPUTED_VALUE"""),"Adam")</f>
        <v>Adam</v>
      </c>
      <c r="C317" t="str">
        <f>IFERROR(__xludf.DUMMYFUNCTION("""COMPUTED_VALUE"""),"Wake Forest")</f>
        <v>Wake Forest</v>
      </c>
      <c r="D317">
        <f>IFERROR(__xludf.DUMMYFUNCTION("""COMPUTED_VALUE"""),2.0)</f>
        <v>2</v>
      </c>
      <c r="E317">
        <f>IFERROR(__xludf.DUMMYFUNCTION("""COMPUTED_VALUE"""),0.0)</f>
        <v>0</v>
      </c>
      <c r="F317" t="str">
        <f>IFERROR(__xludf.DUMMYFUNCTION("""COMPUTED_VALUE"""),"ACC Network")</f>
        <v>ACC Network</v>
      </c>
      <c r="G317" t="str">
        <f>IFERROR(__xludf.DUMMYFUNCTION("""COMPUTED_VALUE"""),"Wake Forest 41 at Rice 21")</f>
        <v>Wake Forest 41 at Rice 21</v>
      </c>
      <c r="H317" t="str">
        <f>IFERROR(__xludf.DUMMYFUNCTION("""COMPUTED_VALUE"""),"FINAL")</f>
        <v>FINAL</v>
      </c>
      <c r="I317">
        <f>IFERROR(__xludf.DUMMYFUNCTION("""COMPUTED_VALUE"""),-19.0)</f>
        <v>-19</v>
      </c>
      <c r="J317" t="str">
        <f>IFERROR(__xludf.DUMMYFUNCTION("""COMPUTED_VALUE"""),"58½")</f>
        <v>58½</v>
      </c>
      <c r="K317" t="str">
        <f>IFERROR(__xludf.DUMMYFUNCTION("""COMPUTED_VALUE"""),"Undrafted")</f>
        <v>Undrafted</v>
      </c>
      <c r="L317">
        <f>IFERROR(__xludf.DUMMYFUNCTION("""COMPUTED_VALUE"""),9999.0)</f>
        <v>9999</v>
      </c>
      <c r="M317" s="124">
        <v>2.0</v>
      </c>
    </row>
    <row r="318">
      <c r="A318" s="151">
        <f>IFERROR(__xludf.DUMMYFUNCTION("""COMPUTED_VALUE"""),43716.14774770833)</f>
        <v>43716.14775</v>
      </c>
      <c r="B318" t="str">
        <f>IFERROR(__xludf.DUMMYFUNCTION("""COMPUTED_VALUE"""),"Adam")</f>
        <v>Adam</v>
      </c>
      <c r="C318" t="str">
        <f>IFERROR(__xludf.DUMMYFUNCTION("""COMPUTED_VALUE"""),"UCF")</f>
        <v>UCF</v>
      </c>
      <c r="D318">
        <f>IFERROR(__xludf.DUMMYFUNCTION("""COMPUTED_VALUE"""),2.0)</f>
        <v>2</v>
      </c>
      <c r="E318">
        <f>IFERROR(__xludf.DUMMYFUNCTION("""COMPUTED_VALUE"""),0.0)</f>
        <v>0</v>
      </c>
      <c r="F318" t="str">
        <f>IFERROR(__xludf.DUMMYFUNCTION("""COMPUTED_VALUE"""),"CBSSN")</f>
        <v>CBSSN</v>
      </c>
      <c r="G318" t="str">
        <f>IFERROR(__xludf.DUMMYFUNCTION("""COMPUTED_VALUE"""),"(17) UCF 48 at Florida Atlantic 14")</f>
        <v>(17) UCF 48 at Florida Atlantic 14</v>
      </c>
      <c r="H318" t="str">
        <f>IFERROR(__xludf.DUMMYFUNCTION("""COMPUTED_VALUE"""),"FINAL")</f>
        <v>FINAL</v>
      </c>
      <c r="I318" t="str">
        <f>IFERROR(__xludf.DUMMYFUNCTION("""COMPUTED_VALUE"""),"-10½")</f>
        <v>-10½</v>
      </c>
      <c r="J318">
        <f>IFERROR(__xludf.DUMMYFUNCTION("""COMPUTED_VALUE"""),68.0)</f>
        <v>68</v>
      </c>
      <c r="K318" t="str">
        <f>IFERROR(__xludf.DUMMYFUNCTION("""COMPUTED_VALUE"""),"Nick G.")</f>
        <v>Nick G.</v>
      </c>
      <c r="L318">
        <f>IFERROR(__xludf.DUMMYFUNCTION("""COMPUTED_VALUE"""),9999.0)</f>
        <v>9999</v>
      </c>
      <c r="M318" s="124">
        <v>2.0</v>
      </c>
    </row>
    <row r="319">
      <c r="A319" s="151">
        <f>IFERROR(__xludf.DUMMYFUNCTION("""COMPUTED_VALUE"""),43716.14774770833)</f>
        <v>43716.14775</v>
      </c>
      <c r="B319" t="str">
        <f>IFERROR(__xludf.DUMMYFUNCTION("""COMPUTED_VALUE"""),"Adam")</f>
        <v>Adam</v>
      </c>
      <c r="C319" t="str">
        <f>IFERROR(__xludf.DUMMYFUNCTION("""COMPUTED_VALUE"""),"Georgia State")</f>
        <v>Georgia State</v>
      </c>
      <c r="D319">
        <f>IFERROR(__xludf.DUMMYFUNCTION("""COMPUTED_VALUE"""),2.0)</f>
        <v>2</v>
      </c>
      <c r="E319">
        <f>IFERROR(__xludf.DUMMYFUNCTION("""COMPUTED_VALUE"""),0.0)</f>
        <v>0</v>
      </c>
      <c r="F319" t="str">
        <f>IFERROR(__xludf.DUMMYFUNCTION("""COMPUTED_VALUE"""),"ESPNU")</f>
        <v>ESPNU</v>
      </c>
      <c r="G319" t="str">
        <f>IFERROR(__xludf.DUMMYFUNCTION("""COMPUTED_VALUE"""),"Furman 42 at Georgia State 48")</f>
        <v>Furman 42 at Georgia State 48</v>
      </c>
      <c r="H319" t="str">
        <f>IFERROR(__xludf.DUMMYFUNCTION("""COMPUTED_VALUE"""),"FINAL")</f>
        <v>FINAL</v>
      </c>
      <c r="I319" t="str">
        <f>IFERROR(__xludf.DUMMYFUNCTION("""COMPUTED_VALUE"""),"No Line")</f>
        <v>No Line</v>
      </c>
      <c r="K319" t="str">
        <f>IFERROR(__xludf.DUMMYFUNCTION("""COMPUTED_VALUE"""),"Undrafted")</f>
        <v>Undrafted</v>
      </c>
      <c r="L319">
        <f>IFERROR(__xludf.DUMMYFUNCTION("""COMPUTED_VALUE"""),9999.0)</f>
        <v>9999</v>
      </c>
      <c r="M319" s="124">
        <v>2.0</v>
      </c>
    </row>
    <row r="320">
      <c r="A320" s="151">
        <f>IFERROR(__xludf.DUMMYFUNCTION("""COMPUTED_VALUE"""),43716.14774770833)</f>
        <v>43716.14775</v>
      </c>
      <c r="B320" t="str">
        <f>IFERROR(__xludf.DUMMYFUNCTION("""COMPUTED_VALUE"""),"Adam")</f>
        <v>Adam</v>
      </c>
      <c r="C320" t="str">
        <f>IFERROR(__xludf.DUMMYFUNCTION("""COMPUTED_VALUE"""),"Florida Intl")</f>
        <v>Florida Intl</v>
      </c>
      <c r="D320">
        <f>IFERROR(__xludf.DUMMYFUNCTION("""COMPUTED_VALUE"""),0.0)</f>
        <v>0</v>
      </c>
      <c r="E320">
        <f>IFERROR(__xludf.DUMMYFUNCTION("""COMPUTED_VALUE"""),2.0)</f>
        <v>2</v>
      </c>
      <c r="F320" t="str">
        <f>IFERROR(__xludf.DUMMYFUNCTION("""COMPUTED_VALUE"""),"NA")</f>
        <v>NA</v>
      </c>
      <c r="G320" t="str">
        <f>IFERROR(__xludf.DUMMYFUNCTION("""COMPUTED_VALUE"""),"Western Kentucky 20 at Florida Intl 14")</f>
        <v>Western Kentucky 20 at Florida Intl 14</v>
      </c>
      <c r="H320" t="str">
        <f>IFERROR(__xludf.DUMMYFUNCTION("""COMPUTED_VALUE"""),"FINAL")</f>
        <v>FINAL</v>
      </c>
      <c r="I320">
        <f>IFERROR(__xludf.DUMMYFUNCTION("""COMPUTED_VALUE"""),-7.0)</f>
        <v>-7</v>
      </c>
      <c r="J320" t="str">
        <f>IFERROR(__xludf.DUMMYFUNCTION("""COMPUTED_VALUE"""),"55½")</f>
        <v>55½</v>
      </c>
      <c r="K320" t="str">
        <f>IFERROR(__xludf.DUMMYFUNCTION("""COMPUTED_VALUE"""),"Justin")</f>
        <v>Justin</v>
      </c>
      <c r="L320">
        <f>IFERROR(__xludf.DUMMYFUNCTION("""COMPUTED_VALUE"""),9999.0)</f>
        <v>9999</v>
      </c>
      <c r="M320" s="124">
        <v>2.0</v>
      </c>
    </row>
    <row r="321">
      <c r="A321" s="151">
        <f>IFERROR(__xludf.DUMMYFUNCTION("""COMPUTED_VALUE"""),43716.14774770833)</f>
        <v>43716.14775</v>
      </c>
      <c r="B321" t="str">
        <f>IFERROR(__xludf.DUMMYFUNCTION("""COMPUTED_VALUE"""),"Adam")</f>
        <v>Adam</v>
      </c>
      <c r="C321" t="str">
        <f>IFERROR(__xludf.DUMMYFUNCTION("""COMPUTED_VALUE"""),"Florida")</f>
        <v>Florida</v>
      </c>
      <c r="D321">
        <f>IFERROR(__xludf.DUMMYFUNCTION("""COMPUTED_VALUE"""),2.0)</f>
        <v>2</v>
      </c>
      <c r="E321">
        <f>IFERROR(__xludf.DUMMYFUNCTION("""COMPUTED_VALUE"""),0.0)</f>
        <v>0</v>
      </c>
      <c r="F321" t="str">
        <f>IFERROR(__xludf.DUMMYFUNCTION("""COMPUTED_VALUE"""),"NA")</f>
        <v>NA</v>
      </c>
      <c r="G321" t="str">
        <f>IFERROR(__xludf.DUMMYFUNCTION("""COMPUTED_VALUE"""),"UT Martin 0 at (10) Florida 45")</f>
        <v>UT Martin 0 at (10) Florida 45</v>
      </c>
      <c r="H321" t="str">
        <f>IFERROR(__xludf.DUMMYFUNCTION("""COMPUTED_VALUE"""),"FINAL")</f>
        <v>FINAL</v>
      </c>
      <c r="I321" t="str">
        <f>IFERROR(__xludf.DUMMYFUNCTION("""COMPUTED_VALUE"""),"No Line")</f>
        <v>No Line</v>
      </c>
      <c r="K321" t="str">
        <f>IFERROR(__xludf.DUMMYFUNCTION("""COMPUTED_VALUE"""),"Undrafted")</f>
        <v>Undrafted</v>
      </c>
      <c r="L321">
        <f>IFERROR(__xludf.DUMMYFUNCTION("""COMPUTED_VALUE"""),9999.0)</f>
        <v>9999</v>
      </c>
      <c r="M321" s="124">
        <v>2.0</v>
      </c>
    </row>
    <row r="322">
      <c r="A322" s="151">
        <f>IFERROR(__xludf.DUMMYFUNCTION("""COMPUTED_VALUE"""),43716.14774770833)</f>
        <v>43716.14775</v>
      </c>
      <c r="B322" t="str">
        <f>IFERROR(__xludf.DUMMYFUNCTION("""COMPUTED_VALUE"""),"Vu")</f>
        <v>Vu</v>
      </c>
      <c r="C322" t="str">
        <f>IFERROR(__xludf.DUMMYFUNCTION("""COMPUTED_VALUE"""),"Cincinnati")</f>
        <v>Cincinnati</v>
      </c>
      <c r="D322">
        <f>IFERROR(__xludf.DUMMYFUNCTION("""COMPUTED_VALUE"""),1.0)</f>
        <v>1</v>
      </c>
      <c r="E322">
        <f>IFERROR(__xludf.DUMMYFUNCTION("""COMPUTED_VALUE"""),1.0)</f>
        <v>1</v>
      </c>
      <c r="F322" t="str">
        <f>IFERROR(__xludf.DUMMYFUNCTION("""COMPUTED_VALUE"""),"ESPN")</f>
        <v>ESPN</v>
      </c>
      <c r="G322" t="str">
        <f>IFERROR(__xludf.DUMMYFUNCTION("""COMPUTED_VALUE"""),"Cincinnati 0 at (5) Ohio State 42")</f>
        <v>Cincinnati 0 at (5) Ohio State 42</v>
      </c>
      <c r="H322" t="str">
        <f>IFERROR(__xludf.DUMMYFUNCTION("""COMPUTED_VALUE"""),"FINAL")</f>
        <v>FINAL</v>
      </c>
      <c r="I322">
        <f>IFERROR(__xludf.DUMMYFUNCTION("""COMPUTED_VALUE"""),16.0)</f>
        <v>16</v>
      </c>
      <c r="J322" t="str">
        <f>IFERROR(__xludf.DUMMYFUNCTION("""COMPUTED_VALUE"""),"54½")</f>
        <v>54½</v>
      </c>
      <c r="K322" t="str">
        <f>IFERROR(__xludf.DUMMYFUNCTION("""COMPUTED_VALUE"""),"Nick G.")</f>
        <v>Nick G.</v>
      </c>
      <c r="L322">
        <f>IFERROR(__xludf.DUMMYFUNCTION("""COMPUTED_VALUE"""),9999.0)</f>
        <v>9999</v>
      </c>
      <c r="M322" s="124">
        <v>2.0</v>
      </c>
    </row>
    <row r="323">
      <c r="A323" s="151">
        <f>IFERROR(__xludf.DUMMYFUNCTION("""COMPUTED_VALUE"""),43716.14774770833)</f>
        <v>43716.14775</v>
      </c>
      <c r="B323" t="str">
        <f>IFERROR(__xludf.DUMMYFUNCTION("""COMPUTED_VALUE"""),"Vu")</f>
        <v>Vu</v>
      </c>
      <c r="C323" t="str">
        <f>IFERROR(__xludf.DUMMYFUNCTION("""COMPUTED_VALUE"""),"Syracuse")</f>
        <v>Syracuse</v>
      </c>
      <c r="D323">
        <f>IFERROR(__xludf.DUMMYFUNCTION("""COMPUTED_VALUE"""),1.0)</f>
        <v>1</v>
      </c>
      <c r="E323">
        <f>IFERROR(__xludf.DUMMYFUNCTION("""COMPUTED_VALUE"""),1.0)</f>
        <v>1</v>
      </c>
      <c r="F323" t="str">
        <f>IFERROR(__xludf.DUMMYFUNCTION("""COMPUTED_VALUE"""),"espn+ Video")</f>
        <v>espn+ Video</v>
      </c>
      <c r="G323" t="str">
        <f>IFERROR(__xludf.DUMMYFUNCTION("""COMPUTED_VALUE"""),"(22) Syracuse 20 at Maryland 63")</f>
        <v>(22) Syracuse 20 at Maryland 63</v>
      </c>
      <c r="H323" t="str">
        <f>IFERROR(__xludf.DUMMYFUNCTION("""COMPUTED_VALUE"""),"FINAL")</f>
        <v>FINAL</v>
      </c>
      <c r="I323">
        <f>IFERROR(__xludf.DUMMYFUNCTION("""COMPUTED_VALUE"""),2.0)</f>
        <v>2</v>
      </c>
      <c r="J323">
        <f>IFERROR(__xludf.DUMMYFUNCTION("""COMPUTED_VALUE"""),58.0)</f>
        <v>58</v>
      </c>
      <c r="K323" t="str">
        <f>IFERROR(__xludf.DUMMYFUNCTION("""COMPUTED_VALUE"""),"Gary")</f>
        <v>Gary</v>
      </c>
      <c r="L323">
        <f>IFERROR(__xludf.DUMMYFUNCTION("""COMPUTED_VALUE"""),9999.0)</f>
        <v>9999</v>
      </c>
      <c r="M323" s="124">
        <v>2.0</v>
      </c>
    </row>
    <row r="324">
      <c r="A324" s="151">
        <f>IFERROR(__xludf.DUMMYFUNCTION("""COMPUTED_VALUE"""),43716.14774770833)</f>
        <v>43716.14775</v>
      </c>
      <c r="B324" t="str">
        <f>IFERROR(__xludf.DUMMYFUNCTION("""COMPUTED_VALUE"""),"Vu")</f>
        <v>Vu</v>
      </c>
      <c r="C324" t="str">
        <f>IFERROR(__xludf.DUMMYFUNCTION("""COMPUTED_VALUE"""),"Texas A&amp;M")</f>
        <v>Texas A&amp;M</v>
      </c>
      <c r="D324">
        <f>IFERROR(__xludf.DUMMYFUNCTION("""COMPUTED_VALUE"""),1.0)</f>
        <v>1</v>
      </c>
      <c r="E324">
        <f>IFERROR(__xludf.DUMMYFUNCTION("""COMPUTED_VALUE"""),1.0)</f>
        <v>1</v>
      </c>
      <c r="F324" t="str">
        <f>IFERROR(__xludf.DUMMYFUNCTION("""COMPUTED_VALUE"""),"SEC Network")</f>
        <v>SEC Network</v>
      </c>
      <c r="G324" t="str">
        <f>IFERROR(__xludf.DUMMYFUNCTION("""COMPUTED_VALUE"""),"(11) Texas A&amp;M 10 at (1) Clemson 24")</f>
        <v>(11) Texas A&amp;M 10 at (1) Clemson 24</v>
      </c>
      <c r="H324" t="str">
        <f>IFERROR(__xludf.DUMMYFUNCTION("""COMPUTED_VALUE"""),"FINAL")</f>
        <v>FINAL</v>
      </c>
      <c r="I324">
        <f>IFERROR(__xludf.DUMMYFUNCTION("""COMPUTED_VALUE"""),17.0)</f>
        <v>17</v>
      </c>
      <c r="J324">
        <f>IFERROR(__xludf.DUMMYFUNCTION("""COMPUTED_VALUE"""),65.0)</f>
        <v>65</v>
      </c>
      <c r="K324" t="str">
        <f>IFERROR(__xludf.DUMMYFUNCTION("""COMPUTED_VALUE"""),"Nick A.")</f>
        <v>Nick A.</v>
      </c>
      <c r="L324">
        <f>IFERROR(__xludf.DUMMYFUNCTION("""COMPUTED_VALUE"""),9999.0)</f>
        <v>9999</v>
      </c>
      <c r="M324" s="124">
        <v>2.0</v>
      </c>
    </row>
    <row r="325">
      <c r="A325" s="151">
        <f>IFERROR(__xludf.DUMMYFUNCTION("""COMPUTED_VALUE"""),43716.14774770833)</f>
        <v>43716.14775</v>
      </c>
      <c r="B325" t="str">
        <f>IFERROR(__xludf.DUMMYFUNCTION("""COMPUTED_VALUE"""),"Vu")</f>
        <v>Vu</v>
      </c>
      <c r="C325" t="str">
        <f>IFERROR(__xludf.DUMMYFUNCTION("""COMPUTED_VALUE"""),"North Texas")</f>
        <v>North Texas</v>
      </c>
      <c r="D325">
        <f>IFERROR(__xludf.DUMMYFUNCTION("""COMPUTED_VALUE"""),1.0)</f>
        <v>1</v>
      </c>
      <c r="E325">
        <f>IFERROR(__xludf.DUMMYFUNCTION("""COMPUTED_VALUE"""),1.0)</f>
        <v>1</v>
      </c>
      <c r="F325" t="str">
        <f>IFERROR(__xludf.DUMMYFUNCTION("""COMPUTED_VALUE"""),"espn+ Video")</f>
        <v>espn+ Video</v>
      </c>
      <c r="G325" t="str">
        <f>IFERROR(__xludf.DUMMYFUNCTION("""COMPUTED_VALUE"""),"North Texas 27 at SMU 49")</f>
        <v>North Texas 27 at SMU 49</v>
      </c>
      <c r="H325" t="str">
        <f>IFERROR(__xludf.DUMMYFUNCTION("""COMPUTED_VALUE"""),"FINAL")</f>
        <v>FINAL</v>
      </c>
      <c r="I325" t="str">
        <f>IFERROR(__xludf.DUMMYFUNCTION("""COMPUTED_VALUE"""),"3½")</f>
        <v>3½</v>
      </c>
      <c r="J325">
        <f>IFERROR(__xludf.DUMMYFUNCTION("""COMPUTED_VALUE"""),73.0)</f>
        <v>73</v>
      </c>
      <c r="K325" t="str">
        <f>IFERROR(__xludf.DUMMYFUNCTION("""COMPUTED_VALUE"""),"Jeannine")</f>
        <v>Jeannine</v>
      </c>
      <c r="L325">
        <f>IFERROR(__xludf.DUMMYFUNCTION("""COMPUTED_VALUE"""),9999.0)</f>
        <v>9999</v>
      </c>
      <c r="M325" s="124">
        <v>2.0</v>
      </c>
    </row>
    <row r="326">
      <c r="A326" s="151">
        <f>IFERROR(__xludf.DUMMYFUNCTION("""COMPUTED_VALUE"""),43716.14774770833)</f>
        <v>43716.14775</v>
      </c>
      <c r="B326" t="str">
        <f>IFERROR(__xludf.DUMMYFUNCTION("""COMPUTED_VALUE"""),"Vu")</f>
        <v>Vu</v>
      </c>
      <c r="C326" t="str">
        <f>IFERROR(__xludf.DUMMYFUNCTION("""COMPUTED_VALUE"""),"TCU")</f>
        <v>TCU</v>
      </c>
      <c r="D326">
        <f>IFERROR(__xludf.DUMMYFUNCTION("""COMPUTED_VALUE"""),1.0)</f>
        <v>1</v>
      </c>
      <c r="E326">
        <f>IFERROR(__xludf.DUMMYFUNCTION("""COMPUTED_VALUE"""),0.0)</f>
        <v>0</v>
      </c>
      <c r="F326" t="str">
        <f>IFERROR(__xludf.DUMMYFUNCTION("""COMPUTED_VALUE"""),"FSN")</f>
        <v>FSN</v>
      </c>
      <c r="G326" t="str">
        <f>IFERROR(__xludf.DUMMYFUNCTION("""COMPUTED_VALUE"""),"BYE")</f>
        <v>BYE</v>
      </c>
      <c r="I326" t="str">
        <f>IFERROR(__xludf.DUMMYFUNCTION("""COMPUTED_VALUE"""),"bye")</f>
        <v>bye</v>
      </c>
      <c r="J326" t="str">
        <f>IFERROR(__xludf.DUMMYFUNCTION("""COMPUTED_VALUE"""),"bye")</f>
        <v>bye</v>
      </c>
      <c r="L326">
        <f>IFERROR(__xludf.DUMMYFUNCTION("""COMPUTED_VALUE"""),9999.0)</f>
        <v>9999</v>
      </c>
      <c r="M326" s="124">
        <v>2.0</v>
      </c>
    </row>
    <row r="327">
      <c r="A327" s="151">
        <f>IFERROR(__xludf.DUMMYFUNCTION("""COMPUTED_VALUE"""),43716.14774770833)</f>
        <v>43716.14775</v>
      </c>
      <c r="B327" t="str">
        <f>IFERROR(__xludf.DUMMYFUNCTION("""COMPUTED_VALUE"""),"Vu")</f>
        <v>Vu</v>
      </c>
      <c r="C327" t="str">
        <f>IFERROR(__xludf.DUMMYFUNCTION("""COMPUTED_VALUE"""),"Michigan")</f>
        <v>Michigan</v>
      </c>
      <c r="D327">
        <f>IFERROR(__xludf.DUMMYFUNCTION("""COMPUTED_VALUE"""),2.0)</f>
        <v>2</v>
      </c>
      <c r="E327">
        <f>IFERROR(__xludf.DUMMYFUNCTION("""COMPUTED_VALUE"""),0.0)</f>
        <v>0</v>
      </c>
      <c r="F327" t="str">
        <f>IFERROR(__xludf.DUMMYFUNCTION("""COMPUTED_VALUE"""),"BTN")</f>
        <v>BTN</v>
      </c>
      <c r="G327" t="str">
        <f>IFERROR(__xludf.DUMMYFUNCTION("""COMPUTED_VALUE"""),"Army 21 at (7) Michigan 24")</f>
        <v>Army 21 at (7) Michigan 24</v>
      </c>
      <c r="H327" t="str">
        <f>IFERROR(__xludf.DUMMYFUNCTION("""COMPUTED_VALUE"""),"FINAL - 2ND OT")</f>
        <v>FINAL - 2ND OT</v>
      </c>
      <c r="I327" t="str">
        <f>IFERROR(__xludf.DUMMYFUNCTION("""COMPUTED_VALUE"""),"-22½")</f>
        <v>-22½</v>
      </c>
      <c r="J327">
        <f>IFERROR(__xludf.DUMMYFUNCTION("""COMPUTED_VALUE"""),47.0)</f>
        <v>47</v>
      </c>
      <c r="K327" t="str">
        <f>IFERROR(__xludf.DUMMYFUNCTION("""COMPUTED_VALUE"""),"Josh R.")</f>
        <v>Josh R.</v>
      </c>
      <c r="L327">
        <f>IFERROR(__xludf.DUMMYFUNCTION("""COMPUTED_VALUE"""),9999.0)</f>
        <v>9999</v>
      </c>
      <c r="M327" s="124">
        <v>2.0</v>
      </c>
    </row>
    <row r="328">
      <c r="A328" s="151">
        <f>IFERROR(__xludf.DUMMYFUNCTION("""COMPUTED_VALUE"""),43716.14774770833)</f>
        <v>43716.14775</v>
      </c>
      <c r="B328" t="str">
        <f>IFERROR(__xludf.DUMMYFUNCTION("""COMPUTED_VALUE"""),"Vu")</f>
        <v>Vu</v>
      </c>
      <c r="C328" t="str">
        <f>IFERROR(__xludf.DUMMYFUNCTION("""COMPUTED_VALUE"""),"Kent State")</f>
        <v>Kent State</v>
      </c>
      <c r="D328">
        <f>IFERROR(__xludf.DUMMYFUNCTION("""COMPUTED_VALUE"""),1.0)</f>
        <v>1</v>
      </c>
      <c r="E328">
        <f>IFERROR(__xludf.DUMMYFUNCTION("""COMPUTED_VALUE"""),1.0)</f>
        <v>1</v>
      </c>
      <c r="F328" t="str">
        <f>IFERROR(__xludf.DUMMYFUNCTION("""COMPUTED_VALUE"""),"Pac-12")</f>
        <v>Pac-12</v>
      </c>
      <c r="G328" t="str">
        <f>IFERROR(__xludf.DUMMYFUNCTION("""COMPUTED_VALUE"""),"Kennesaw State 23 at Kent State 26")</f>
        <v>Kennesaw State 23 at Kent State 26</v>
      </c>
      <c r="H328" t="str">
        <f>IFERROR(__xludf.DUMMYFUNCTION("""COMPUTED_VALUE"""),"FINAL - OT")</f>
        <v>FINAL - OT</v>
      </c>
      <c r="I328" t="str">
        <f>IFERROR(__xludf.DUMMYFUNCTION("""COMPUTED_VALUE"""),"No Line")</f>
        <v>No Line</v>
      </c>
      <c r="K328" t="str">
        <f>IFERROR(__xludf.DUMMYFUNCTION("""COMPUTED_VALUE"""),"Undrafted")</f>
        <v>Undrafted</v>
      </c>
      <c r="L328">
        <f>IFERROR(__xludf.DUMMYFUNCTION("""COMPUTED_VALUE"""),9999.0)</f>
        <v>9999</v>
      </c>
      <c r="M328" s="124">
        <v>2.0</v>
      </c>
    </row>
    <row r="329">
      <c r="A329" s="151">
        <f>IFERROR(__xludf.DUMMYFUNCTION("""COMPUTED_VALUE"""),43716.14774770833)</f>
        <v>43716.14775</v>
      </c>
      <c r="B329" t="str">
        <f>IFERROR(__xludf.DUMMYFUNCTION("""COMPUTED_VALUE"""),"Vu")</f>
        <v>Vu</v>
      </c>
      <c r="C329" t="str">
        <f>IFERROR(__xludf.DUMMYFUNCTION("""COMPUTED_VALUE"""),"South Alabama")</f>
        <v>South Alabama</v>
      </c>
      <c r="D329">
        <f>IFERROR(__xludf.DUMMYFUNCTION("""COMPUTED_VALUE"""),1.0)</f>
        <v>1</v>
      </c>
      <c r="E329">
        <f>IFERROR(__xludf.DUMMYFUNCTION("""COMPUTED_VALUE"""),1.0)</f>
        <v>1</v>
      </c>
      <c r="F329" t="str">
        <f>IFERROR(__xludf.DUMMYFUNCTION("""COMPUTED_VALUE"""),"ESPN")</f>
        <v>ESPN</v>
      </c>
      <c r="G329" t="str">
        <f>IFERROR(__xludf.DUMMYFUNCTION("""COMPUTED_VALUE"""),"Jackson State 14 at South Alabama 37")</f>
        <v>Jackson State 14 at South Alabama 37</v>
      </c>
      <c r="H329" t="str">
        <f>IFERROR(__xludf.DUMMYFUNCTION("""COMPUTED_VALUE"""),"FINAL")</f>
        <v>FINAL</v>
      </c>
      <c r="I329" t="str">
        <f>IFERROR(__xludf.DUMMYFUNCTION("""COMPUTED_VALUE"""),"No Line")</f>
        <v>No Line</v>
      </c>
      <c r="K329" t="str">
        <f>IFERROR(__xludf.DUMMYFUNCTION("""COMPUTED_VALUE"""),"Undrafted")</f>
        <v>Undrafted</v>
      </c>
      <c r="L329">
        <f>IFERROR(__xludf.DUMMYFUNCTION("""COMPUTED_VALUE"""),9999.0)</f>
        <v>9999</v>
      </c>
      <c r="M329" s="124">
        <v>2.0</v>
      </c>
    </row>
    <row r="330">
      <c r="A330" s="151">
        <f>IFERROR(__xludf.DUMMYFUNCTION("""COMPUTED_VALUE"""),43716.14774770833)</f>
        <v>43716.14775</v>
      </c>
      <c r="B330" t="str">
        <f>IFERROR(__xludf.DUMMYFUNCTION("""COMPUTED_VALUE"""),"Vu")</f>
        <v>Vu</v>
      </c>
      <c r="C330" t="str">
        <f>IFERROR(__xludf.DUMMYFUNCTION("""COMPUTED_VALUE"""),"Washington")</f>
        <v>Washington</v>
      </c>
      <c r="D330">
        <f>IFERROR(__xludf.DUMMYFUNCTION("""COMPUTED_VALUE"""),1.0)</f>
        <v>1</v>
      </c>
      <c r="E330">
        <f>IFERROR(__xludf.DUMMYFUNCTION("""COMPUTED_VALUE"""),1.0)</f>
        <v>1</v>
      </c>
      <c r="F330" t="str">
        <f>IFERROR(__xludf.DUMMYFUNCTION("""COMPUTED_VALUE"""),"Pac-12")</f>
        <v>Pac-12</v>
      </c>
      <c r="G330" t="str">
        <f>IFERROR(__xludf.DUMMYFUNCTION("""COMPUTED_VALUE"""),"California 20 at (12) Washington 19")</f>
        <v>California 20 at (12) Washington 19</v>
      </c>
      <c r="H330" t="str">
        <f>IFERROR(__xludf.DUMMYFUNCTION("""COMPUTED_VALUE"""),"FINAL")</f>
        <v>FINAL</v>
      </c>
      <c r="I330" t="str">
        <f>IFERROR(__xludf.DUMMYFUNCTION("""COMPUTED_VALUE"""),"-13½")</f>
        <v>-13½</v>
      </c>
      <c r="J330" t="str">
        <f>IFERROR(__xludf.DUMMYFUNCTION("""COMPUTED_VALUE"""),"44½")</f>
        <v>44½</v>
      </c>
      <c r="K330" t="str">
        <f>IFERROR(__xludf.DUMMYFUNCTION("""COMPUTED_VALUE"""),"DavEmily")</f>
        <v>DavEmily</v>
      </c>
      <c r="L330">
        <f>IFERROR(__xludf.DUMMYFUNCTION("""COMPUTED_VALUE"""),9999.0)</f>
        <v>9999</v>
      </c>
      <c r="M330" s="124">
        <v>2.0</v>
      </c>
    </row>
    <row r="331">
      <c r="A331" s="151">
        <f>IFERROR(__xludf.DUMMYFUNCTION("""COMPUTED_VALUE"""),43716.14774770833)</f>
        <v>43716.14775</v>
      </c>
      <c r="B331" t="str">
        <f>IFERROR(__xludf.DUMMYFUNCTION("""COMPUTED_VALUE"""),"Vu")</f>
        <v>Vu</v>
      </c>
      <c r="C331" t="str">
        <f>IFERROR(__xludf.DUMMYFUNCTION("""COMPUTED_VALUE"""),"Hawaii")</f>
        <v>Hawaii</v>
      </c>
      <c r="D331">
        <f>IFERROR(__xludf.DUMMYFUNCTION("""COMPUTED_VALUE"""),2.0)</f>
        <v>2</v>
      </c>
      <c r="E331">
        <f>IFERROR(__xludf.DUMMYFUNCTION("""COMPUTED_VALUE"""),0.0)</f>
        <v>0</v>
      </c>
      <c r="F331" t="str">
        <f>IFERROR(__xludf.DUMMYFUNCTION("""COMPUTED_VALUE"""),"NA")</f>
        <v>NA</v>
      </c>
      <c r="G331" t="str">
        <f>IFERROR(__xludf.DUMMYFUNCTION("""COMPUTED_VALUE"""),"Oregon State 28 at Hawaii 31")</f>
        <v>Oregon State 28 at Hawaii 31</v>
      </c>
      <c r="H331" t="str">
        <f>IFERROR(__xludf.DUMMYFUNCTION("""COMPUTED_VALUE"""),"FINAL")</f>
        <v>FINAL</v>
      </c>
      <c r="I331" t="str">
        <f>IFERROR(__xludf.DUMMYFUNCTION("""COMPUTED_VALUE"""),"-6½")</f>
        <v>-6½</v>
      </c>
      <c r="J331" t="str">
        <f>IFERROR(__xludf.DUMMYFUNCTION("""COMPUTED_VALUE"""),"78½")</f>
        <v>78½</v>
      </c>
      <c r="K331" t="str">
        <f>IFERROR(__xludf.DUMMYFUNCTION("""COMPUTED_VALUE"""),"Adam")</f>
        <v>Adam</v>
      </c>
      <c r="L331">
        <f>IFERROR(__xludf.DUMMYFUNCTION("""COMPUTED_VALUE"""),9999.0)</f>
        <v>9999</v>
      </c>
      <c r="M331" s="124">
        <v>2.0</v>
      </c>
    </row>
    <row r="332">
      <c r="A332" s="151">
        <f>IFERROR(__xludf.DUMMYFUNCTION("""COMPUTED_VALUE"""),43716.14774770833)</f>
        <v>43716.14775</v>
      </c>
      <c r="B332" t="str">
        <f>IFERROR(__xludf.DUMMYFUNCTION("""COMPUTED_VALUE"""),"Josh R.")</f>
        <v>Josh R.</v>
      </c>
      <c r="C332" t="str">
        <f>IFERROR(__xludf.DUMMYFUNCTION("""COMPUTED_VALUE"""),"Army")</f>
        <v>Army</v>
      </c>
      <c r="D332">
        <f>IFERROR(__xludf.DUMMYFUNCTION("""COMPUTED_VALUE"""),1.0)</f>
        <v>1</v>
      </c>
      <c r="E332">
        <f>IFERROR(__xludf.DUMMYFUNCTION("""COMPUTED_VALUE"""),1.0)</f>
        <v>1</v>
      </c>
      <c r="F332" t="str">
        <f>IFERROR(__xludf.DUMMYFUNCTION("""COMPUTED_VALUE"""),"CBSSN")</f>
        <v>CBSSN</v>
      </c>
      <c r="G332" t="str">
        <f>IFERROR(__xludf.DUMMYFUNCTION("""COMPUTED_VALUE"""),"Army 21 at (7) Michigan 24")</f>
        <v>Army 21 at (7) Michigan 24</v>
      </c>
      <c r="H332" t="str">
        <f>IFERROR(__xludf.DUMMYFUNCTION("""COMPUTED_VALUE"""),"FINAL - 2ND OT")</f>
        <v>FINAL - 2ND OT</v>
      </c>
      <c r="I332" t="str">
        <f>IFERROR(__xludf.DUMMYFUNCTION("""COMPUTED_VALUE"""),"22½")</f>
        <v>22½</v>
      </c>
      <c r="J332">
        <f>IFERROR(__xludf.DUMMYFUNCTION("""COMPUTED_VALUE"""),47.0)</f>
        <v>47</v>
      </c>
      <c r="K332" t="str">
        <f>IFERROR(__xludf.DUMMYFUNCTION("""COMPUTED_VALUE"""),"Vu")</f>
        <v>Vu</v>
      </c>
      <c r="L332">
        <f>IFERROR(__xludf.DUMMYFUNCTION("""COMPUTED_VALUE"""),9999.0)</f>
        <v>9999</v>
      </c>
      <c r="M332" s="124">
        <v>2.0</v>
      </c>
    </row>
    <row r="333">
      <c r="A333" s="151">
        <f>IFERROR(__xludf.DUMMYFUNCTION("""COMPUTED_VALUE"""),43716.14774770833)</f>
        <v>43716.14775</v>
      </c>
      <c r="B333" t="str">
        <f>IFERROR(__xludf.DUMMYFUNCTION("""COMPUTED_VALUE"""),"Josh R.")</f>
        <v>Josh R.</v>
      </c>
      <c r="C333" t="str">
        <f>IFERROR(__xludf.DUMMYFUNCTION("""COMPUTED_VALUE"""),"Southern Mississippi")</f>
        <v>Southern Mississippi</v>
      </c>
      <c r="D333">
        <f>IFERROR(__xludf.DUMMYFUNCTION("""COMPUTED_VALUE"""),1.0)</f>
        <v>1</v>
      </c>
      <c r="E333">
        <f>IFERROR(__xludf.DUMMYFUNCTION("""COMPUTED_VALUE"""),1.0)</f>
        <v>1</v>
      </c>
      <c r="F333" t="str">
        <f>IFERROR(__xludf.DUMMYFUNCTION("""COMPUTED_VALUE"""),"NA")</f>
        <v>NA</v>
      </c>
      <c r="G333" t="str">
        <f>IFERROR(__xludf.DUMMYFUNCTION("""COMPUTED_VALUE"""),"Southern Mississippi 15 at Mississippi State 38")</f>
        <v>Southern Mississippi 15 at Mississippi State 38</v>
      </c>
      <c r="H333" t="str">
        <f>IFERROR(__xludf.DUMMYFUNCTION("""COMPUTED_VALUE"""),"FINAL")</f>
        <v>FINAL</v>
      </c>
      <c r="I333" t="str">
        <f>IFERROR(__xludf.DUMMYFUNCTION("""COMPUTED_VALUE"""),"16½")</f>
        <v>16½</v>
      </c>
      <c r="J333" t="str">
        <f>IFERROR(__xludf.DUMMYFUNCTION("""COMPUTED_VALUE"""),"51½")</f>
        <v>51½</v>
      </c>
      <c r="K333" t="str">
        <f>IFERROR(__xludf.DUMMYFUNCTION("""COMPUTED_VALUE"""),"Jeannine")</f>
        <v>Jeannine</v>
      </c>
      <c r="L333">
        <f>IFERROR(__xludf.DUMMYFUNCTION("""COMPUTED_VALUE"""),9999.0)</f>
        <v>9999</v>
      </c>
      <c r="M333" s="124">
        <v>2.0</v>
      </c>
    </row>
    <row r="334">
      <c r="A334" s="151">
        <f>IFERROR(__xludf.DUMMYFUNCTION("""COMPUTED_VALUE"""),43716.14774770833)</f>
        <v>43716.14775</v>
      </c>
      <c r="B334" t="str">
        <f>IFERROR(__xludf.DUMMYFUNCTION("""COMPUTED_VALUE"""),"Josh R.")</f>
        <v>Josh R.</v>
      </c>
      <c r="C334" t="str">
        <f>IFERROR(__xludf.DUMMYFUNCTION("""COMPUTED_VALUE"""),"Nevada")</f>
        <v>Nevada</v>
      </c>
      <c r="D334">
        <f>IFERROR(__xludf.DUMMYFUNCTION("""COMPUTED_VALUE"""),1.0)</f>
        <v>1</v>
      </c>
      <c r="E334">
        <f>IFERROR(__xludf.DUMMYFUNCTION("""COMPUTED_VALUE"""),1.0)</f>
        <v>1</v>
      </c>
      <c r="F334" t="str">
        <f>IFERROR(__xludf.DUMMYFUNCTION("""COMPUTED_VALUE"""),"CBSSN")</f>
        <v>CBSSN</v>
      </c>
      <c r="G334" t="str">
        <f>IFERROR(__xludf.DUMMYFUNCTION("""COMPUTED_VALUE"""),"Nevada 6 at (18) Oregon 77")</f>
        <v>Nevada 6 at (18) Oregon 77</v>
      </c>
      <c r="H334" t="str">
        <f>IFERROR(__xludf.DUMMYFUNCTION("""COMPUTED_VALUE"""),"FINAL")</f>
        <v>FINAL</v>
      </c>
      <c r="I334">
        <f>IFERROR(__xludf.DUMMYFUNCTION("""COMPUTED_VALUE"""),24.0)</f>
        <v>24</v>
      </c>
      <c r="J334">
        <f>IFERROR(__xludf.DUMMYFUNCTION("""COMPUTED_VALUE"""),61.0)</f>
        <v>61</v>
      </c>
      <c r="K334" t="str">
        <f>IFERROR(__xludf.DUMMYFUNCTION("""COMPUTED_VALUE"""),"Justin")</f>
        <v>Justin</v>
      </c>
      <c r="L334">
        <f>IFERROR(__xludf.DUMMYFUNCTION("""COMPUTED_VALUE"""),9999.0)</f>
        <v>9999</v>
      </c>
      <c r="M334" s="124">
        <v>2.0</v>
      </c>
    </row>
    <row r="335">
      <c r="A335" s="151">
        <f>IFERROR(__xludf.DUMMYFUNCTION("""COMPUTED_VALUE"""),43716.14774770833)</f>
        <v>43716.14775</v>
      </c>
      <c r="B335" t="str">
        <f>IFERROR(__xludf.DUMMYFUNCTION("""COMPUTED_VALUE"""),"Josh R.")</f>
        <v>Josh R.</v>
      </c>
      <c r="C335" t="str">
        <f>IFERROR(__xludf.DUMMYFUNCTION("""COMPUTED_VALUE"""),"Toledo")</f>
        <v>Toledo</v>
      </c>
      <c r="D335">
        <f>IFERROR(__xludf.DUMMYFUNCTION("""COMPUTED_VALUE"""),0.0)</f>
        <v>0</v>
      </c>
      <c r="E335">
        <f>IFERROR(__xludf.DUMMYFUNCTION("""COMPUTED_VALUE"""),1.0)</f>
        <v>1</v>
      </c>
      <c r="F335" t="str">
        <f>IFERROR(__xludf.DUMMYFUNCTION("""COMPUTED_VALUE"""),"SEC Network")</f>
        <v>SEC Network</v>
      </c>
      <c r="G335" t="str">
        <f>IFERROR(__xludf.DUMMYFUNCTION("""COMPUTED_VALUE"""),"BYE")</f>
        <v>BYE</v>
      </c>
      <c r="I335" t="str">
        <f>IFERROR(__xludf.DUMMYFUNCTION("""COMPUTED_VALUE"""),"bye")</f>
        <v>bye</v>
      </c>
      <c r="J335" t="str">
        <f>IFERROR(__xludf.DUMMYFUNCTION("""COMPUTED_VALUE"""),"bye")</f>
        <v>bye</v>
      </c>
      <c r="L335">
        <f>IFERROR(__xludf.DUMMYFUNCTION("""COMPUTED_VALUE"""),9999.0)</f>
        <v>9999</v>
      </c>
      <c r="M335" s="124">
        <v>2.0</v>
      </c>
    </row>
    <row r="336">
      <c r="A336" s="151">
        <f>IFERROR(__xludf.DUMMYFUNCTION("""COMPUTED_VALUE"""),43716.14774770833)</f>
        <v>43716.14775</v>
      </c>
      <c r="B336" t="str">
        <f>IFERROR(__xludf.DUMMYFUNCTION("""COMPUTED_VALUE"""),"Josh R.")</f>
        <v>Josh R.</v>
      </c>
      <c r="C336" t="str">
        <f>IFERROR(__xludf.DUMMYFUNCTION("""COMPUTED_VALUE"""),"Temple")</f>
        <v>Temple</v>
      </c>
      <c r="D336">
        <f>IFERROR(__xludf.DUMMYFUNCTION("""COMPUTED_VALUE"""),1.0)</f>
        <v>1</v>
      </c>
      <c r="E336">
        <f>IFERROR(__xludf.DUMMYFUNCTION("""COMPUTED_VALUE"""),0.0)</f>
        <v>0</v>
      </c>
      <c r="F336" t="str">
        <f>IFERROR(__xludf.DUMMYFUNCTION("""COMPUTED_VALUE"""),"espn3 Video")</f>
        <v>espn3 Video</v>
      </c>
      <c r="G336" t="str">
        <f>IFERROR(__xludf.DUMMYFUNCTION("""COMPUTED_VALUE"""),"BYE")</f>
        <v>BYE</v>
      </c>
      <c r="I336" t="str">
        <f>IFERROR(__xludf.DUMMYFUNCTION("""COMPUTED_VALUE"""),"bye")</f>
        <v>bye</v>
      </c>
      <c r="J336" t="str">
        <f>IFERROR(__xludf.DUMMYFUNCTION("""COMPUTED_VALUE"""),"bye")</f>
        <v>bye</v>
      </c>
      <c r="L336">
        <f>IFERROR(__xludf.DUMMYFUNCTION("""COMPUTED_VALUE"""),9999.0)</f>
        <v>9999</v>
      </c>
      <c r="M336" s="124">
        <v>2.0</v>
      </c>
    </row>
    <row r="337">
      <c r="A337" s="151">
        <f>IFERROR(__xludf.DUMMYFUNCTION("""COMPUTED_VALUE"""),43716.14774770833)</f>
        <v>43716.14775</v>
      </c>
      <c r="B337" t="str">
        <f>IFERROR(__xludf.DUMMYFUNCTION("""COMPUTED_VALUE"""),"Josh R.")</f>
        <v>Josh R.</v>
      </c>
      <c r="C337" t="str">
        <f>IFERROR(__xludf.DUMMYFUNCTION("""COMPUTED_VALUE"""),"Florida State")</f>
        <v>Florida State</v>
      </c>
      <c r="D337">
        <f>IFERROR(__xludf.DUMMYFUNCTION("""COMPUTED_VALUE"""),1.0)</f>
        <v>1</v>
      </c>
      <c r="E337">
        <f>IFERROR(__xludf.DUMMYFUNCTION("""COMPUTED_VALUE"""),1.0)</f>
        <v>1</v>
      </c>
      <c r="F337" t="str">
        <f>IFERROR(__xludf.DUMMYFUNCTION("""COMPUTED_VALUE"""),"ESPN")</f>
        <v>ESPN</v>
      </c>
      <c r="G337" t="str">
        <f>IFERROR(__xludf.DUMMYFUNCTION("""COMPUTED_VALUE"""),"UL Monroe 44 at Florida State 45")</f>
        <v>UL Monroe 44 at Florida State 45</v>
      </c>
      <c r="H337" t="str">
        <f>IFERROR(__xludf.DUMMYFUNCTION("""COMPUTED_VALUE"""),"FINAL - OT")</f>
        <v>FINAL - OT</v>
      </c>
      <c r="I337">
        <f>IFERROR(__xludf.DUMMYFUNCTION("""COMPUTED_VALUE"""),-21.0)</f>
        <v>-21</v>
      </c>
      <c r="J337">
        <f>IFERROR(__xludf.DUMMYFUNCTION("""COMPUTED_VALUE"""),64.0)</f>
        <v>64</v>
      </c>
      <c r="K337" t="str">
        <f>IFERROR(__xludf.DUMMYFUNCTION("""COMPUTED_VALUE"""),"Jeannine")</f>
        <v>Jeannine</v>
      </c>
      <c r="L337">
        <f>IFERROR(__xludf.DUMMYFUNCTION("""COMPUTED_VALUE"""),9999.0)</f>
        <v>9999</v>
      </c>
      <c r="M337" s="124">
        <v>2.0</v>
      </c>
    </row>
    <row r="338">
      <c r="A338" s="151">
        <f>IFERROR(__xludf.DUMMYFUNCTION("""COMPUTED_VALUE"""),43716.14774770833)</f>
        <v>43716.14775</v>
      </c>
      <c r="B338" t="str">
        <f>IFERROR(__xludf.DUMMYFUNCTION("""COMPUTED_VALUE"""),"Josh R.")</f>
        <v>Josh R.</v>
      </c>
      <c r="C338" t="str">
        <f>IFERROR(__xludf.DUMMYFUNCTION("""COMPUTED_VALUE"""),"Kansas")</f>
        <v>Kansas</v>
      </c>
      <c r="D338">
        <f>IFERROR(__xludf.DUMMYFUNCTION("""COMPUTED_VALUE"""),1.0)</f>
        <v>1</v>
      </c>
      <c r="E338">
        <f>IFERROR(__xludf.DUMMYFUNCTION("""COMPUTED_VALUE"""),1.0)</f>
        <v>1</v>
      </c>
      <c r="F338" t="str">
        <f>IFERROR(__xludf.DUMMYFUNCTION("""COMPUTED_VALUE"""),"FSN")</f>
        <v>FSN</v>
      </c>
      <c r="G338" t="str">
        <f>IFERROR(__xludf.DUMMYFUNCTION("""COMPUTED_VALUE"""),"Coastal Carolina 12 at Kansas 7")</f>
        <v>Coastal Carolina 12 at Kansas 7</v>
      </c>
      <c r="H338" t="str">
        <f>IFERROR(__xludf.DUMMYFUNCTION("""COMPUTED_VALUE"""),"FINAL")</f>
        <v>FINAL</v>
      </c>
      <c r="I338" t="str">
        <f>IFERROR(__xludf.DUMMYFUNCTION("""COMPUTED_VALUE"""),"-7½")</f>
        <v>-7½</v>
      </c>
      <c r="J338" t="str">
        <f>IFERROR(__xludf.DUMMYFUNCTION("""COMPUTED_VALUE"""),"54½")</f>
        <v>54½</v>
      </c>
      <c r="K338" t="str">
        <f>IFERROR(__xludf.DUMMYFUNCTION("""COMPUTED_VALUE"""),"DavEmily")</f>
        <v>DavEmily</v>
      </c>
      <c r="L338">
        <f>IFERROR(__xludf.DUMMYFUNCTION("""COMPUTED_VALUE"""),9999.0)</f>
        <v>9999</v>
      </c>
      <c r="M338" s="124">
        <v>2.0</v>
      </c>
    </row>
    <row r="339">
      <c r="A339" s="151">
        <f>IFERROR(__xludf.DUMMYFUNCTION("""COMPUTED_VALUE"""),43716.14774770833)</f>
        <v>43716.14775</v>
      </c>
      <c r="B339" t="str">
        <f>IFERROR(__xludf.DUMMYFUNCTION("""COMPUTED_VALUE"""),"Josh R.")</f>
        <v>Josh R.</v>
      </c>
      <c r="C339" t="str">
        <f>IFERROR(__xludf.DUMMYFUNCTION("""COMPUTED_VALUE"""),"Kentucky")</f>
        <v>Kentucky</v>
      </c>
      <c r="D339">
        <f>IFERROR(__xludf.DUMMYFUNCTION("""COMPUTED_VALUE"""),2.0)</f>
        <v>2</v>
      </c>
      <c r="E339">
        <f>IFERROR(__xludf.DUMMYFUNCTION("""COMPUTED_VALUE"""),0.0)</f>
        <v>0</v>
      </c>
      <c r="F339" t="str">
        <f>IFERROR(__xludf.DUMMYFUNCTION("""COMPUTED_VALUE"""),"SEC Network")</f>
        <v>SEC Network</v>
      </c>
      <c r="G339" t="str">
        <f>IFERROR(__xludf.DUMMYFUNCTION("""COMPUTED_VALUE"""),"EMU 17 at Kentucky 38")</f>
        <v>EMU 17 at Kentucky 38</v>
      </c>
      <c r="H339" t="str">
        <f>IFERROR(__xludf.DUMMYFUNCTION("""COMPUTED_VALUE"""),"FINAL")</f>
        <v>FINAL</v>
      </c>
      <c r="I339">
        <f>IFERROR(__xludf.DUMMYFUNCTION("""COMPUTED_VALUE"""),-15.0)</f>
        <v>-15</v>
      </c>
      <c r="J339">
        <f>IFERROR(__xludf.DUMMYFUNCTION("""COMPUTED_VALUE"""),54.0)</f>
        <v>54</v>
      </c>
      <c r="K339" t="str">
        <f>IFERROR(__xludf.DUMMYFUNCTION("""COMPUTED_VALUE"""),"Brad")</f>
        <v>Brad</v>
      </c>
      <c r="L339">
        <f>IFERROR(__xludf.DUMMYFUNCTION("""COMPUTED_VALUE"""),9999.0)</f>
        <v>9999</v>
      </c>
      <c r="M339" s="124">
        <v>2.0</v>
      </c>
    </row>
    <row r="340">
      <c r="A340" s="151">
        <f>IFERROR(__xludf.DUMMYFUNCTION("""COMPUTED_VALUE"""),43716.14774770833)</f>
        <v>43716.14775</v>
      </c>
      <c r="B340" t="str">
        <f>IFERROR(__xludf.DUMMYFUNCTION("""COMPUTED_VALUE"""),"Josh R.")</f>
        <v>Josh R.</v>
      </c>
      <c r="C340" t="str">
        <f>IFERROR(__xludf.DUMMYFUNCTION("""COMPUTED_VALUE"""),"USC")</f>
        <v>USC</v>
      </c>
      <c r="D340">
        <f>IFERROR(__xludf.DUMMYFUNCTION("""COMPUTED_VALUE"""),2.0)</f>
        <v>2</v>
      </c>
      <c r="E340">
        <f>IFERROR(__xludf.DUMMYFUNCTION("""COMPUTED_VALUE"""),0.0)</f>
        <v>0</v>
      </c>
      <c r="F340" t="str">
        <f>IFERROR(__xludf.DUMMYFUNCTION("""COMPUTED_VALUE"""),"ESPN")</f>
        <v>ESPN</v>
      </c>
      <c r="G340" t="str">
        <f>IFERROR(__xludf.DUMMYFUNCTION("""COMPUTED_VALUE"""),"(23) Stanford 20 at USC 45")</f>
        <v>(23) Stanford 20 at USC 45</v>
      </c>
      <c r="H340" t="str">
        <f>IFERROR(__xludf.DUMMYFUNCTION("""COMPUTED_VALUE"""),"FINAL")</f>
        <v>FINAL</v>
      </c>
      <c r="I340">
        <f>IFERROR(__xludf.DUMMYFUNCTION("""COMPUTED_VALUE"""),-1.0)</f>
        <v>-1</v>
      </c>
      <c r="J340">
        <f>IFERROR(__xludf.DUMMYFUNCTION("""COMPUTED_VALUE"""),45.0)</f>
        <v>45</v>
      </c>
      <c r="K340" t="str">
        <f>IFERROR(__xludf.DUMMYFUNCTION("""COMPUTED_VALUE"""),"Nick G.")</f>
        <v>Nick G.</v>
      </c>
      <c r="L340">
        <f>IFERROR(__xludf.DUMMYFUNCTION("""COMPUTED_VALUE"""),9999.0)</f>
        <v>9999</v>
      </c>
      <c r="M340" s="124">
        <v>2.0</v>
      </c>
    </row>
    <row r="341">
      <c r="A341" s="151">
        <f>IFERROR(__xludf.DUMMYFUNCTION("""COMPUTED_VALUE"""),43716.14774770833)</f>
        <v>43716.14775</v>
      </c>
      <c r="B341" t="str">
        <f>IFERROR(__xludf.DUMMYFUNCTION("""COMPUTED_VALUE"""),"Josh R.")</f>
        <v>Josh R.</v>
      </c>
      <c r="C341" t="str">
        <f>IFERROR(__xludf.DUMMYFUNCTION("""COMPUTED_VALUE"""),"Minnesota")</f>
        <v>Minnesota</v>
      </c>
      <c r="D341">
        <f>IFERROR(__xludf.DUMMYFUNCTION("""COMPUTED_VALUE"""),2.0)</f>
        <v>2</v>
      </c>
      <c r="E341">
        <f>IFERROR(__xludf.DUMMYFUNCTION("""COMPUTED_VALUE"""),0.0)</f>
        <v>0</v>
      </c>
      <c r="F341" t="str">
        <f>IFERROR(__xludf.DUMMYFUNCTION("""COMPUTED_VALUE"""),"FS1")</f>
        <v>FS1</v>
      </c>
      <c r="G341" t="str">
        <f>IFERROR(__xludf.DUMMYFUNCTION("""COMPUTED_VALUE"""),"Minnesota 38 at Fresno State 35")</f>
        <v>Minnesota 38 at Fresno State 35</v>
      </c>
      <c r="H341" t="str">
        <f>IFERROR(__xludf.DUMMYFUNCTION("""COMPUTED_VALUE"""),"FINAL - 2ND OT")</f>
        <v>FINAL - 2ND OT</v>
      </c>
      <c r="I341">
        <f>IFERROR(__xludf.DUMMYFUNCTION("""COMPUTED_VALUE"""),-3.0)</f>
        <v>-3</v>
      </c>
      <c r="J341" t="str">
        <f>IFERROR(__xludf.DUMMYFUNCTION("""COMPUTED_VALUE"""),"48½")</f>
        <v>48½</v>
      </c>
      <c r="K341" t="str">
        <f>IFERROR(__xludf.DUMMYFUNCTION("""COMPUTED_VALUE"""),"DavEmily")</f>
        <v>DavEmily</v>
      </c>
      <c r="L341">
        <f>IFERROR(__xludf.DUMMYFUNCTION("""COMPUTED_VALUE"""),9999.0)</f>
        <v>9999</v>
      </c>
      <c r="M341" s="124">
        <v>2.0</v>
      </c>
    </row>
    <row r="342">
      <c r="A342" s="151">
        <f>IFERROR(__xludf.DUMMYFUNCTION("""COMPUTED_VALUE"""),43716.14774770833)</f>
        <v>43716.14775</v>
      </c>
      <c r="B342" t="str">
        <f>IFERROR(__xludf.DUMMYFUNCTION("""COMPUTED_VALUE"""),"Brad")</f>
        <v>Brad</v>
      </c>
      <c r="C342" t="str">
        <f>IFERROR(__xludf.DUMMYFUNCTION("""COMPUTED_VALUE"""),"Texas State")</f>
        <v>Texas State</v>
      </c>
      <c r="D342">
        <f>IFERROR(__xludf.DUMMYFUNCTION("""COMPUTED_VALUE"""),0.0)</f>
        <v>0</v>
      </c>
      <c r="E342">
        <f>IFERROR(__xludf.DUMMYFUNCTION("""COMPUTED_VALUE"""),2.0)</f>
        <v>2</v>
      </c>
      <c r="F342" t="str">
        <f>IFERROR(__xludf.DUMMYFUNCTION("""COMPUTED_VALUE"""),"SEC Network")</f>
        <v>SEC Network</v>
      </c>
      <c r="G342" t="str">
        <f>IFERROR(__xludf.DUMMYFUNCTION("""COMPUTED_VALUE"""),"Wyoming 23 at Texas State 14")</f>
        <v>Wyoming 23 at Texas State 14</v>
      </c>
      <c r="H342" t="str">
        <f>IFERROR(__xludf.DUMMYFUNCTION("""COMPUTED_VALUE"""),"FINAL")</f>
        <v>FINAL</v>
      </c>
      <c r="I342">
        <f>IFERROR(__xludf.DUMMYFUNCTION("""COMPUTED_VALUE"""),7.0)</f>
        <v>7</v>
      </c>
      <c r="J342" t="str">
        <f>IFERROR(__xludf.DUMMYFUNCTION("""COMPUTED_VALUE"""),"47½")</f>
        <v>47½</v>
      </c>
      <c r="K342" t="str">
        <f>IFERROR(__xludf.DUMMYFUNCTION("""COMPUTED_VALUE"""),"Nick G.")</f>
        <v>Nick G.</v>
      </c>
      <c r="L342">
        <f>IFERROR(__xludf.DUMMYFUNCTION("""COMPUTED_VALUE"""),9999.0)</f>
        <v>9999</v>
      </c>
      <c r="M342" s="124">
        <v>2.0</v>
      </c>
    </row>
    <row r="343">
      <c r="A343" s="151">
        <f>IFERROR(__xludf.DUMMYFUNCTION("""COMPUTED_VALUE"""),43716.14774770833)</f>
        <v>43716.14775</v>
      </c>
      <c r="B343" t="str">
        <f>IFERROR(__xludf.DUMMYFUNCTION("""COMPUTED_VALUE"""),"Brad")</f>
        <v>Brad</v>
      </c>
      <c r="C343" t="str">
        <f>IFERROR(__xludf.DUMMYFUNCTION("""COMPUTED_VALUE"""),"EMU")</f>
        <v>EMU</v>
      </c>
      <c r="D343">
        <f>IFERROR(__xludf.DUMMYFUNCTION("""COMPUTED_VALUE"""),1.0)</f>
        <v>1</v>
      </c>
      <c r="E343">
        <f>IFERROR(__xludf.DUMMYFUNCTION("""COMPUTED_VALUE"""),1.0)</f>
        <v>1</v>
      </c>
      <c r="F343" t="str">
        <f>IFERROR(__xludf.DUMMYFUNCTION("""COMPUTED_VALUE"""),"NA")</f>
        <v>NA</v>
      </c>
      <c r="G343" t="str">
        <f>IFERROR(__xludf.DUMMYFUNCTION("""COMPUTED_VALUE"""),"EMU 17 at Kentucky 38")</f>
        <v>EMU 17 at Kentucky 38</v>
      </c>
      <c r="H343" t="str">
        <f>IFERROR(__xludf.DUMMYFUNCTION("""COMPUTED_VALUE"""),"FINAL")</f>
        <v>FINAL</v>
      </c>
      <c r="I343">
        <f>IFERROR(__xludf.DUMMYFUNCTION("""COMPUTED_VALUE"""),15.0)</f>
        <v>15</v>
      </c>
      <c r="J343">
        <f>IFERROR(__xludf.DUMMYFUNCTION("""COMPUTED_VALUE"""),54.0)</f>
        <v>54</v>
      </c>
      <c r="K343" t="str">
        <f>IFERROR(__xludf.DUMMYFUNCTION("""COMPUTED_VALUE"""),"Josh R.")</f>
        <v>Josh R.</v>
      </c>
      <c r="L343">
        <f>IFERROR(__xludf.DUMMYFUNCTION("""COMPUTED_VALUE"""),9999.0)</f>
        <v>9999</v>
      </c>
      <c r="M343" s="124">
        <v>2.0</v>
      </c>
    </row>
    <row r="344">
      <c r="A344" s="151">
        <f>IFERROR(__xludf.DUMMYFUNCTION("""COMPUTED_VALUE"""),43716.14774770833)</f>
        <v>43716.14775</v>
      </c>
      <c r="B344" t="str">
        <f>IFERROR(__xludf.DUMMYFUNCTION("""COMPUTED_VALUE"""),"Brad")</f>
        <v>Brad</v>
      </c>
      <c r="C344" t="str">
        <f>IFERROR(__xludf.DUMMYFUNCTION("""COMPUTED_VALUE"""),"Memphis")</f>
        <v>Memphis</v>
      </c>
      <c r="D344">
        <f>IFERROR(__xludf.DUMMYFUNCTION("""COMPUTED_VALUE"""),2.0)</f>
        <v>2</v>
      </c>
      <c r="E344">
        <f>IFERROR(__xludf.DUMMYFUNCTION("""COMPUTED_VALUE"""),0.0)</f>
        <v>0</v>
      </c>
      <c r="F344" t="str">
        <f>IFERROR(__xludf.DUMMYFUNCTION("""COMPUTED_VALUE"""),"ABC")</f>
        <v>ABC</v>
      </c>
      <c r="G344" t="str">
        <f>IFERROR(__xludf.DUMMYFUNCTION("""COMPUTED_VALUE"""),"Southern 24 at Memphis 55")</f>
        <v>Southern 24 at Memphis 55</v>
      </c>
      <c r="H344" t="str">
        <f>IFERROR(__xludf.DUMMYFUNCTION("""COMPUTED_VALUE"""),"FINAL")</f>
        <v>FINAL</v>
      </c>
      <c r="I344" t="str">
        <f>IFERROR(__xludf.DUMMYFUNCTION("""COMPUTED_VALUE"""),"No Line")</f>
        <v>No Line</v>
      </c>
      <c r="K344" t="str">
        <f>IFERROR(__xludf.DUMMYFUNCTION("""COMPUTED_VALUE"""),"Undrafted")</f>
        <v>Undrafted</v>
      </c>
      <c r="L344">
        <f>IFERROR(__xludf.DUMMYFUNCTION("""COMPUTED_VALUE"""),9999.0)</f>
        <v>9999</v>
      </c>
      <c r="M344" s="124">
        <v>2.0</v>
      </c>
    </row>
    <row r="345">
      <c r="A345" s="151">
        <f>IFERROR(__xludf.DUMMYFUNCTION("""COMPUTED_VALUE"""),43716.14774770833)</f>
        <v>43716.14775</v>
      </c>
      <c r="B345" t="str">
        <f>IFERROR(__xludf.DUMMYFUNCTION("""COMPUTED_VALUE"""),"Brad")</f>
        <v>Brad</v>
      </c>
      <c r="C345" t="str">
        <f>IFERROR(__xludf.DUMMYFUNCTION("""COMPUTED_VALUE"""),"South Carolina")</f>
        <v>South Carolina</v>
      </c>
      <c r="D345">
        <f>IFERROR(__xludf.DUMMYFUNCTION("""COMPUTED_VALUE"""),1.0)</f>
        <v>1</v>
      </c>
      <c r="E345">
        <f>IFERROR(__xludf.DUMMYFUNCTION("""COMPUTED_VALUE"""),1.0)</f>
        <v>1</v>
      </c>
      <c r="F345" t="str">
        <f>IFERROR(__xludf.DUMMYFUNCTION("""COMPUTED_VALUE"""),"NA")</f>
        <v>NA</v>
      </c>
      <c r="G345" t="str">
        <f>IFERROR(__xludf.DUMMYFUNCTION("""COMPUTED_VALUE"""),"Charleston Southern 10 at South Carolina 72")</f>
        <v>Charleston Southern 10 at South Carolina 72</v>
      </c>
      <c r="H345" t="str">
        <f>IFERROR(__xludf.DUMMYFUNCTION("""COMPUTED_VALUE"""),"FINAL")</f>
        <v>FINAL</v>
      </c>
      <c r="I345" t="str">
        <f>IFERROR(__xludf.DUMMYFUNCTION("""COMPUTED_VALUE"""),"No Line")</f>
        <v>No Line</v>
      </c>
      <c r="K345" t="str">
        <f>IFERROR(__xludf.DUMMYFUNCTION("""COMPUTED_VALUE"""),"Undrafted")</f>
        <v>Undrafted</v>
      </c>
      <c r="L345">
        <f>IFERROR(__xludf.DUMMYFUNCTION("""COMPUTED_VALUE"""),9999.0)</f>
        <v>9999</v>
      </c>
      <c r="M345" s="124">
        <v>2.0</v>
      </c>
    </row>
    <row r="346">
      <c r="A346" s="151">
        <f>IFERROR(__xludf.DUMMYFUNCTION("""COMPUTED_VALUE"""),43716.14774770833)</f>
        <v>43716.14775</v>
      </c>
      <c r="B346" t="str">
        <f>IFERROR(__xludf.DUMMYFUNCTION("""COMPUTED_VALUE"""),"Brad")</f>
        <v>Brad</v>
      </c>
      <c r="C346" t="str">
        <f>IFERROR(__xludf.DUMMYFUNCTION("""COMPUTED_VALUE"""),"Utah")</f>
        <v>Utah</v>
      </c>
      <c r="D346">
        <f>IFERROR(__xludf.DUMMYFUNCTION("""COMPUTED_VALUE"""),2.0)</f>
        <v>2</v>
      </c>
      <c r="E346">
        <f>IFERROR(__xludf.DUMMYFUNCTION("""COMPUTED_VALUE"""),0.0)</f>
        <v>0</v>
      </c>
      <c r="F346" t="str">
        <f>IFERROR(__xludf.DUMMYFUNCTION("""COMPUTED_VALUE"""),"ESPN")</f>
        <v>ESPN</v>
      </c>
      <c r="G346" t="str">
        <f>IFERROR(__xludf.DUMMYFUNCTION("""COMPUTED_VALUE"""),"Northern Illinois 17 at (15) Utah 35")</f>
        <v>Northern Illinois 17 at (15) Utah 35</v>
      </c>
      <c r="H346" t="str">
        <f>IFERROR(__xludf.DUMMYFUNCTION("""COMPUTED_VALUE"""),"FINAL")</f>
        <v>FINAL</v>
      </c>
      <c r="I346" t="str">
        <f>IFERROR(__xludf.DUMMYFUNCTION("""COMPUTED_VALUE"""),"-21½")</f>
        <v>-21½</v>
      </c>
      <c r="J346" t="str">
        <f>IFERROR(__xludf.DUMMYFUNCTION("""COMPUTED_VALUE"""),"43½")</f>
        <v>43½</v>
      </c>
      <c r="K346" t="str">
        <f>IFERROR(__xludf.DUMMYFUNCTION("""COMPUTED_VALUE"""),"Janice/Mike")</f>
        <v>Janice/Mike</v>
      </c>
      <c r="L346">
        <f>IFERROR(__xludf.DUMMYFUNCTION("""COMPUTED_VALUE"""),9999.0)</f>
        <v>9999</v>
      </c>
      <c r="M346" s="124">
        <v>2.0</v>
      </c>
    </row>
    <row r="347">
      <c r="A347" s="151">
        <f>IFERROR(__xludf.DUMMYFUNCTION("""COMPUTED_VALUE"""),43716.14774770833)</f>
        <v>43716.14775</v>
      </c>
      <c r="B347" t="str">
        <f>IFERROR(__xludf.DUMMYFUNCTION("""COMPUTED_VALUE"""),"Brad")</f>
        <v>Brad</v>
      </c>
      <c r="C347" t="str">
        <f>IFERROR(__xludf.DUMMYFUNCTION("""COMPUTED_VALUE"""),"Louisiana Tech")</f>
        <v>Louisiana Tech</v>
      </c>
      <c r="D347">
        <f>IFERROR(__xludf.DUMMYFUNCTION("""COMPUTED_VALUE"""),1.0)</f>
        <v>1</v>
      </c>
      <c r="E347">
        <f>IFERROR(__xludf.DUMMYFUNCTION("""COMPUTED_VALUE"""),1.0)</f>
        <v>1</v>
      </c>
      <c r="F347" t="str">
        <f>IFERROR(__xludf.DUMMYFUNCTION("""COMPUTED_VALUE"""),"LHN")</f>
        <v>LHN</v>
      </c>
      <c r="G347" t="str">
        <f>IFERROR(__xludf.DUMMYFUNCTION("""COMPUTED_VALUE"""),"Grambling 14 at Louisiana Tech 20")</f>
        <v>Grambling 14 at Louisiana Tech 20</v>
      </c>
      <c r="H347" t="str">
        <f>IFERROR(__xludf.DUMMYFUNCTION("""COMPUTED_VALUE"""),"FINAL")</f>
        <v>FINAL</v>
      </c>
      <c r="I347" t="str">
        <f>IFERROR(__xludf.DUMMYFUNCTION("""COMPUTED_VALUE"""),"No Line")</f>
        <v>No Line</v>
      </c>
      <c r="K347" t="str">
        <f>IFERROR(__xludf.DUMMYFUNCTION("""COMPUTED_VALUE"""),"Undrafted")</f>
        <v>Undrafted</v>
      </c>
      <c r="L347">
        <f>IFERROR(__xludf.DUMMYFUNCTION("""COMPUTED_VALUE"""),9999.0)</f>
        <v>9999</v>
      </c>
      <c r="M347" s="124">
        <v>2.0</v>
      </c>
    </row>
    <row r="348">
      <c r="A348" s="151">
        <f>IFERROR(__xludf.DUMMYFUNCTION("""COMPUTED_VALUE"""),43716.14774770833)</f>
        <v>43716.14775</v>
      </c>
      <c r="B348" t="str">
        <f>IFERROR(__xludf.DUMMYFUNCTION("""COMPUTED_VALUE"""),"Brad")</f>
        <v>Brad</v>
      </c>
      <c r="C348" t="str">
        <f>IFERROR(__xludf.DUMMYFUNCTION("""COMPUTED_VALUE"""),"Indiana")</f>
        <v>Indiana</v>
      </c>
      <c r="D348">
        <f>IFERROR(__xludf.DUMMYFUNCTION("""COMPUTED_VALUE"""),2.0)</f>
        <v>2</v>
      </c>
      <c r="E348">
        <f>IFERROR(__xludf.DUMMYFUNCTION("""COMPUTED_VALUE"""),0.0)</f>
        <v>0</v>
      </c>
      <c r="F348" t="str">
        <f>IFERROR(__xludf.DUMMYFUNCTION("""COMPUTED_VALUE"""),"NA")</f>
        <v>NA</v>
      </c>
      <c r="G348" t="str">
        <f>IFERROR(__xludf.DUMMYFUNCTION("""COMPUTED_VALUE"""),"Eastern Illinois 0 at Indiana 52")</f>
        <v>Eastern Illinois 0 at Indiana 52</v>
      </c>
      <c r="H348" t="str">
        <f>IFERROR(__xludf.DUMMYFUNCTION("""COMPUTED_VALUE"""),"FINAL")</f>
        <v>FINAL</v>
      </c>
      <c r="I348" t="str">
        <f>IFERROR(__xludf.DUMMYFUNCTION("""COMPUTED_VALUE"""),"No Line")</f>
        <v>No Line</v>
      </c>
      <c r="K348" t="str">
        <f>IFERROR(__xludf.DUMMYFUNCTION("""COMPUTED_VALUE"""),"Undrafted")</f>
        <v>Undrafted</v>
      </c>
      <c r="L348">
        <f>IFERROR(__xludf.DUMMYFUNCTION("""COMPUTED_VALUE"""),9999.0)</f>
        <v>9999</v>
      </c>
      <c r="M348" s="124">
        <v>2.0</v>
      </c>
    </row>
    <row r="349">
      <c r="A349" s="151">
        <f>IFERROR(__xludf.DUMMYFUNCTION("""COMPUTED_VALUE"""),43716.14774770833)</f>
        <v>43716.14775</v>
      </c>
      <c r="B349" t="str">
        <f>IFERROR(__xludf.DUMMYFUNCTION("""COMPUTED_VALUE"""),"Brad")</f>
        <v>Brad</v>
      </c>
      <c r="C349" t="str">
        <f>IFERROR(__xludf.DUMMYFUNCTION("""COMPUTED_VALUE"""),"Colorado State")</f>
        <v>Colorado State</v>
      </c>
      <c r="D349">
        <f>IFERROR(__xludf.DUMMYFUNCTION("""COMPUTED_VALUE"""),1.0)</f>
        <v>1</v>
      </c>
      <c r="E349">
        <f>IFERROR(__xludf.DUMMYFUNCTION("""COMPUTED_VALUE"""),1.0)</f>
        <v>1</v>
      </c>
      <c r="F349" t="str">
        <f>IFERROR(__xludf.DUMMYFUNCTION("""COMPUTED_VALUE"""),"ESPN")</f>
        <v>ESPN</v>
      </c>
      <c r="G349" t="str">
        <f>IFERROR(__xludf.DUMMYFUNCTION("""COMPUTED_VALUE"""),"Western Illinois 13 at Colorado State 38")</f>
        <v>Western Illinois 13 at Colorado State 38</v>
      </c>
      <c r="H349" t="str">
        <f>IFERROR(__xludf.DUMMYFUNCTION("""COMPUTED_VALUE"""),"FINAL")</f>
        <v>FINAL</v>
      </c>
      <c r="I349" t="str">
        <f>IFERROR(__xludf.DUMMYFUNCTION("""COMPUTED_VALUE"""),"No Line")</f>
        <v>No Line</v>
      </c>
      <c r="K349" t="str">
        <f>IFERROR(__xludf.DUMMYFUNCTION("""COMPUTED_VALUE"""),"Undrafted")</f>
        <v>Undrafted</v>
      </c>
      <c r="L349">
        <f>IFERROR(__xludf.DUMMYFUNCTION("""COMPUTED_VALUE"""),9999.0)</f>
        <v>9999</v>
      </c>
      <c r="M349" s="124">
        <v>2.0</v>
      </c>
    </row>
    <row r="350">
      <c r="A350" s="151">
        <f>IFERROR(__xludf.DUMMYFUNCTION("""COMPUTED_VALUE"""),43716.14774770833)</f>
        <v>43716.14775</v>
      </c>
      <c r="B350" t="str">
        <f>IFERROR(__xludf.DUMMYFUNCTION("""COMPUTED_VALUE"""),"Brad")</f>
        <v>Brad</v>
      </c>
      <c r="C350" t="str">
        <f>IFERROR(__xludf.DUMMYFUNCTION("""COMPUTED_VALUE"""),"Oklahoma State")</f>
        <v>Oklahoma State</v>
      </c>
      <c r="D350">
        <f>IFERROR(__xludf.DUMMYFUNCTION("""COMPUTED_VALUE"""),2.0)</f>
        <v>2</v>
      </c>
      <c r="E350">
        <f>IFERROR(__xludf.DUMMYFUNCTION("""COMPUTED_VALUE"""),0.0)</f>
        <v>0</v>
      </c>
      <c r="F350" t="str">
        <f>IFERROR(__xludf.DUMMYFUNCTION("""COMPUTED_VALUE"""),"FS1")</f>
        <v>FS1</v>
      </c>
      <c r="G350" t="str">
        <f>IFERROR(__xludf.DUMMYFUNCTION("""COMPUTED_VALUE"""),"McNeese 14 at Oklahoma State 56")</f>
        <v>McNeese 14 at Oklahoma State 56</v>
      </c>
      <c r="H350" t="str">
        <f>IFERROR(__xludf.DUMMYFUNCTION("""COMPUTED_VALUE"""),"FINAL")</f>
        <v>FINAL</v>
      </c>
      <c r="I350" t="str">
        <f>IFERROR(__xludf.DUMMYFUNCTION("""COMPUTED_VALUE"""),"No Line")</f>
        <v>No Line</v>
      </c>
      <c r="K350" t="str">
        <f>IFERROR(__xludf.DUMMYFUNCTION("""COMPUTED_VALUE"""),"Undrafted")</f>
        <v>Undrafted</v>
      </c>
      <c r="L350">
        <f>IFERROR(__xludf.DUMMYFUNCTION("""COMPUTED_VALUE"""),9999.0)</f>
        <v>9999</v>
      </c>
      <c r="M350" s="124">
        <v>2.0</v>
      </c>
    </row>
    <row r="351">
      <c r="A351" s="151">
        <f>IFERROR(__xludf.DUMMYFUNCTION("""COMPUTED_VALUE"""),43716.14774770833)</f>
        <v>43716.14775</v>
      </c>
      <c r="B351" t="str">
        <f>IFERROR(__xludf.DUMMYFUNCTION("""COMPUTED_VALUE"""),"Brad")</f>
        <v>Brad</v>
      </c>
      <c r="C351" t="str">
        <f>IFERROR(__xludf.DUMMYFUNCTION("""COMPUTED_VALUE"""),"Miami")</f>
        <v>Miami</v>
      </c>
      <c r="D351">
        <f>IFERROR(__xludf.DUMMYFUNCTION("""COMPUTED_VALUE"""),0.0)</f>
        <v>0</v>
      </c>
      <c r="E351">
        <f>IFERROR(__xludf.DUMMYFUNCTION("""COMPUTED_VALUE"""),2.0)</f>
        <v>2</v>
      </c>
      <c r="F351" t="str">
        <f>IFERROR(__xludf.DUMMYFUNCTION("""COMPUTED_VALUE"""),"NA")</f>
        <v>NA</v>
      </c>
      <c r="G351" t="str">
        <f>IFERROR(__xludf.DUMMYFUNCTION("""COMPUTED_VALUE"""),"Miami 25 at North Carolina 28")</f>
        <v>Miami 25 at North Carolina 28</v>
      </c>
      <c r="H351" t="str">
        <f>IFERROR(__xludf.DUMMYFUNCTION("""COMPUTED_VALUE"""),"FINAL")</f>
        <v>FINAL</v>
      </c>
      <c r="I351">
        <f>IFERROR(__xludf.DUMMYFUNCTION("""COMPUTED_VALUE"""),-4.0)</f>
        <v>-4</v>
      </c>
      <c r="J351" t="str">
        <f>IFERROR(__xludf.DUMMYFUNCTION("""COMPUTED_VALUE"""),"47½")</f>
        <v>47½</v>
      </c>
      <c r="K351" t="str">
        <f>IFERROR(__xludf.DUMMYFUNCTION("""COMPUTED_VALUE"""),"Nico")</f>
        <v>Nico</v>
      </c>
      <c r="L351">
        <f>IFERROR(__xludf.DUMMYFUNCTION("""COMPUTED_VALUE"""),9999.0)</f>
        <v>9999</v>
      </c>
      <c r="M351" s="124">
        <v>2.0</v>
      </c>
    </row>
    <row r="352">
      <c r="A352" s="151">
        <f>IFERROR(__xludf.DUMMYFUNCTION("""COMPUTED_VALUE"""),43716.14774770833)</f>
        <v>43716.14775</v>
      </c>
      <c r="B352" t="str">
        <f>IFERROR(__xludf.DUMMYFUNCTION("""COMPUTED_VALUE"""),"Nick G.")</f>
        <v>Nick G.</v>
      </c>
      <c r="C352" t="str">
        <f>IFERROR(__xludf.DUMMYFUNCTION("""COMPUTED_VALUE"""),"Central Michigan")</f>
        <v>Central Michigan</v>
      </c>
      <c r="D352">
        <f>IFERROR(__xludf.DUMMYFUNCTION("""COMPUTED_VALUE"""),1.0)</f>
        <v>1</v>
      </c>
      <c r="E352">
        <f>IFERROR(__xludf.DUMMYFUNCTION("""COMPUTED_VALUE"""),1.0)</f>
        <v>1</v>
      </c>
      <c r="F352" t="str">
        <f>IFERROR(__xludf.DUMMYFUNCTION("""COMPUTED_VALUE"""),"espn3 Video")</f>
        <v>espn3 Video</v>
      </c>
      <c r="G352" t="str">
        <f>IFERROR(__xludf.DUMMYFUNCTION("""COMPUTED_VALUE"""),"Central Michigan 0 at (16) Wisconsin 61")</f>
        <v>Central Michigan 0 at (16) Wisconsin 61</v>
      </c>
      <c r="H352" t="str">
        <f>IFERROR(__xludf.DUMMYFUNCTION("""COMPUTED_VALUE"""),"FINAL")</f>
        <v>FINAL</v>
      </c>
      <c r="I352">
        <f>IFERROR(__xludf.DUMMYFUNCTION("""COMPUTED_VALUE"""),35.0)</f>
        <v>35</v>
      </c>
      <c r="J352" t="str">
        <f>IFERROR(__xludf.DUMMYFUNCTION("""COMPUTED_VALUE"""),"51½")</f>
        <v>51½</v>
      </c>
      <c r="K352" t="str">
        <f>IFERROR(__xludf.DUMMYFUNCTION("""COMPUTED_VALUE"""),"Janice/Mike")</f>
        <v>Janice/Mike</v>
      </c>
      <c r="L352">
        <f>IFERROR(__xludf.DUMMYFUNCTION("""COMPUTED_VALUE"""),9999.0)</f>
        <v>9999</v>
      </c>
      <c r="M352" s="124">
        <v>2.0</v>
      </c>
    </row>
    <row r="353">
      <c r="A353" s="151">
        <f>IFERROR(__xludf.DUMMYFUNCTION("""COMPUTED_VALUE"""),43716.14774770833)</f>
        <v>43716.14775</v>
      </c>
      <c r="B353" t="str">
        <f>IFERROR(__xludf.DUMMYFUNCTION("""COMPUTED_VALUE"""),"Nick G.")</f>
        <v>Nick G.</v>
      </c>
      <c r="C353" t="str">
        <f>IFERROR(__xludf.DUMMYFUNCTION("""COMPUTED_VALUE"""),"UConn")</f>
        <v>UConn</v>
      </c>
      <c r="D353">
        <f>IFERROR(__xludf.DUMMYFUNCTION("""COMPUTED_VALUE"""),1.0)</f>
        <v>1</v>
      </c>
      <c r="E353">
        <f>IFERROR(__xludf.DUMMYFUNCTION("""COMPUTED_VALUE"""),1.0)</f>
        <v>1</v>
      </c>
      <c r="F353" t="str">
        <f>IFERROR(__xludf.DUMMYFUNCTION("""COMPUTED_VALUE"""),"espn3 Video")</f>
        <v>espn3 Video</v>
      </c>
      <c r="G353" t="str">
        <f>IFERROR(__xludf.DUMMYFUNCTION("""COMPUTED_VALUE"""),"Illinois 31 at UConn 23")</f>
        <v>Illinois 31 at UConn 23</v>
      </c>
      <c r="H353" t="str">
        <f>IFERROR(__xludf.DUMMYFUNCTION("""COMPUTED_VALUE"""),"FINAL")</f>
        <v>FINAL</v>
      </c>
      <c r="I353" t="str">
        <f>IFERROR(__xludf.DUMMYFUNCTION("""COMPUTED_VALUE"""),"20½")</f>
        <v>20½</v>
      </c>
      <c r="J353">
        <f>IFERROR(__xludf.DUMMYFUNCTION("""COMPUTED_VALUE"""),59.0)</f>
        <v>59</v>
      </c>
      <c r="K353" t="str">
        <f>IFERROR(__xludf.DUMMYFUNCTION("""COMPUTED_VALUE"""),"Undrafted")</f>
        <v>Undrafted</v>
      </c>
      <c r="L353">
        <f>IFERROR(__xludf.DUMMYFUNCTION("""COMPUTED_VALUE"""),9999.0)</f>
        <v>9999</v>
      </c>
      <c r="M353" s="124">
        <v>2.0</v>
      </c>
    </row>
    <row r="354">
      <c r="A354" s="151">
        <f>IFERROR(__xludf.DUMMYFUNCTION("""COMPUTED_VALUE"""),43716.14774770833)</f>
        <v>43716.14775</v>
      </c>
      <c r="B354" t="str">
        <f>IFERROR(__xludf.DUMMYFUNCTION("""COMPUTED_VALUE"""),"Nick G.")</f>
        <v>Nick G.</v>
      </c>
      <c r="C354" t="str">
        <f>IFERROR(__xludf.DUMMYFUNCTION("""COMPUTED_VALUE"""),"Florida Atlantic")</f>
        <v>Florida Atlantic</v>
      </c>
      <c r="D354">
        <f>IFERROR(__xludf.DUMMYFUNCTION("""COMPUTED_VALUE"""),0.0)</f>
        <v>0</v>
      </c>
      <c r="E354">
        <f>IFERROR(__xludf.DUMMYFUNCTION("""COMPUTED_VALUE"""),2.0)</f>
        <v>2</v>
      </c>
      <c r="F354" t="str">
        <f>IFERROR(__xludf.DUMMYFUNCTION("""COMPUTED_VALUE"""),"FOX")</f>
        <v>FOX</v>
      </c>
      <c r="G354" t="str">
        <f>IFERROR(__xludf.DUMMYFUNCTION("""COMPUTED_VALUE"""),"(17) UCF 48 at Florida Atlantic 14")</f>
        <v>(17) UCF 48 at Florida Atlantic 14</v>
      </c>
      <c r="H354" t="str">
        <f>IFERROR(__xludf.DUMMYFUNCTION("""COMPUTED_VALUE"""),"FINAL")</f>
        <v>FINAL</v>
      </c>
      <c r="I354" t="str">
        <f>IFERROR(__xludf.DUMMYFUNCTION("""COMPUTED_VALUE"""),"10½")</f>
        <v>10½</v>
      </c>
      <c r="J354">
        <f>IFERROR(__xludf.DUMMYFUNCTION("""COMPUTED_VALUE"""),68.0)</f>
        <v>68</v>
      </c>
      <c r="K354" t="str">
        <f>IFERROR(__xludf.DUMMYFUNCTION("""COMPUTED_VALUE"""),"Adam")</f>
        <v>Adam</v>
      </c>
      <c r="L354">
        <f>IFERROR(__xludf.DUMMYFUNCTION("""COMPUTED_VALUE"""),9999.0)</f>
        <v>9999</v>
      </c>
      <c r="M354" s="124">
        <v>2.0</v>
      </c>
    </row>
    <row r="355">
      <c r="A355" s="151">
        <f>IFERROR(__xludf.DUMMYFUNCTION("""COMPUTED_VALUE"""),43716.14774770833)</f>
        <v>43716.14775</v>
      </c>
      <c r="B355" t="str">
        <f>IFERROR(__xludf.DUMMYFUNCTION("""COMPUTED_VALUE"""),"Nick G.")</f>
        <v>Nick G.</v>
      </c>
      <c r="C355" t="str">
        <f>IFERROR(__xludf.DUMMYFUNCTION("""COMPUTED_VALUE"""),"Stanford")</f>
        <v>Stanford</v>
      </c>
      <c r="D355">
        <f>IFERROR(__xludf.DUMMYFUNCTION("""COMPUTED_VALUE"""),1.0)</f>
        <v>1</v>
      </c>
      <c r="E355">
        <f>IFERROR(__xludf.DUMMYFUNCTION("""COMPUTED_VALUE"""),1.0)</f>
        <v>1</v>
      </c>
      <c r="F355" t="str">
        <f>IFERROR(__xludf.DUMMYFUNCTION("""COMPUTED_VALUE"""),"FOX")</f>
        <v>FOX</v>
      </c>
      <c r="G355" t="str">
        <f>IFERROR(__xludf.DUMMYFUNCTION("""COMPUTED_VALUE"""),"(23) Stanford 20 at USC 45")</f>
        <v>(23) Stanford 20 at USC 45</v>
      </c>
      <c r="H355" t="str">
        <f>IFERROR(__xludf.DUMMYFUNCTION("""COMPUTED_VALUE"""),"FINAL")</f>
        <v>FINAL</v>
      </c>
      <c r="I355">
        <f>IFERROR(__xludf.DUMMYFUNCTION("""COMPUTED_VALUE"""),1.0)</f>
        <v>1</v>
      </c>
      <c r="J355">
        <f>IFERROR(__xludf.DUMMYFUNCTION("""COMPUTED_VALUE"""),45.0)</f>
        <v>45</v>
      </c>
      <c r="K355" t="str">
        <f>IFERROR(__xludf.DUMMYFUNCTION("""COMPUTED_VALUE"""),"Josh R.")</f>
        <v>Josh R.</v>
      </c>
      <c r="L355">
        <f>IFERROR(__xludf.DUMMYFUNCTION("""COMPUTED_VALUE"""),9999.0)</f>
        <v>9999</v>
      </c>
      <c r="M355" s="124">
        <v>2.0</v>
      </c>
    </row>
    <row r="356">
      <c r="A356" s="151">
        <f>IFERROR(__xludf.DUMMYFUNCTION("""COMPUTED_VALUE"""),43716.14774770833)</f>
        <v>43716.14775</v>
      </c>
      <c r="B356" t="str">
        <f>IFERROR(__xludf.DUMMYFUNCTION("""COMPUTED_VALUE"""),"Nick G.")</f>
        <v>Nick G.</v>
      </c>
      <c r="C356" t="str">
        <f>IFERROR(__xludf.DUMMYFUNCTION("""COMPUTED_VALUE"""),"Troy")</f>
        <v>Troy</v>
      </c>
      <c r="D356">
        <f>IFERROR(__xludf.DUMMYFUNCTION("""COMPUTED_VALUE"""),1.0)</f>
        <v>1</v>
      </c>
      <c r="E356">
        <f>IFERROR(__xludf.DUMMYFUNCTION("""COMPUTED_VALUE"""),0.0)</f>
        <v>0</v>
      </c>
      <c r="F356" t="str">
        <f>IFERROR(__xludf.DUMMYFUNCTION("""COMPUTED_VALUE"""),"espn+ Video")</f>
        <v>espn+ Video</v>
      </c>
      <c r="G356" t="str">
        <f>IFERROR(__xludf.DUMMYFUNCTION("""COMPUTED_VALUE"""),"BYE")</f>
        <v>BYE</v>
      </c>
      <c r="I356" t="str">
        <f>IFERROR(__xludf.DUMMYFUNCTION("""COMPUTED_VALUE"""),"bye")</f>
        <v>bye</v>
      </c>
      <c r="J356" t="str">
        <f>IFERROR(__xludf.DUMMYFUNCTION("""COMPUTED_VALUE"""),"bye")</f>
        <v>bye</v>
      </c>
      <c r="L356">
        <f>IFERROR(__xludf.DUMMYFUNCTION("""COMPUTED_VALUE"""),9999.0)</f>
        <v>9999</v>
      </c>
      <c r="M356" s="124">
        <v>2.0</v>
      </c>
    </row>
    <row r="357">
      <c r="A357" s="151">
        <f>IFERROR(__xludf.DUMMYFUNCTION("""COMPUTED_VALUE"""),43716.14774770833)</f>
        <v>43716.14775</v>
      </c>
      <c r="B357" t="str">
        <f>IFERROR(__xludf.DUMMYFUNCTION("""COMPUTED_VALUE"""),"Nick G.")</f>
        <v>Nick G.</v>
      </c>
      <c r="C357" t="str">
        <f>IFERROR(__xludf.DUMMYFUNCTION("""COMPUTED_VALUE"""),"Ohio State")</f>
        <v>Ohio State</v>
      </c>
      <c r="D357">
        <f>IFERROR(__xludf.DUMMYFUNCTION("""COMPUTED_VALUE"""),2.0)</f>
        <v>2</v>
      </c>
      <c r="E357">
        <f>IFERROR(__xludf.DUMMYFUNCTION("""COMPUTED_VALUE"""),0.0)</f>
        <v>0</v>
      </c>
      <c r="F357" t="str">
        <f>IFERROR(__xludf.DUMMYFUNCTION("""COMPUTED_VALUE"""),"FOX")</f>
        <v>FOX</v>
      </c>
      <c r="G357" t="str">
        <f>IFERROR(__xludf.DUMMYFUNCTION("""COMPUTED_VALUE"""),"Cincinnati 0 at (5) Ohio State 42")</f>
        <v>Cincinnati 0 at (5) Ohio State 42</v>
      </c>
      <c r="H357" t="str">
        <f>IFERROR(__xludf.DUMMYFUNCTION("""COMPUTED_VALUE"""),"FINAL")</f>
        <v>FINAL</v>
      </c>
      <c r="I357">
        <f>IFERROR(__xludf.DUMMYFUNCTION("""COMPUTED_VALUE"""),-16.0)</f>
        <v>-16</v>
      </c>
      <c r="J357" t="str">
        <f>IFERROR(__xludf.DUMMYFUNCTION("""COMPUTED_VALUE"""),"54½")</f>
        <v>54½</v>
      </c>
      <c r="K357" t="str">
        <f>IFERROR(__xludf.DUMMYFUNCTION("""COMPUTED_VALUE"""),"Vu")</f>
        <v>Vu</v>
      </c>
      <c r="L357">
        <f>IFERROR(__xludf.DUMMYFUNCTION("""COMPUTED_VALUE"""),9999.0)</f>
        <v>9999</v>
      </c>
      <c r="M357" s="124">
        <v>2.0</v>
      </c>
    </row>
    <row r="358">
      <c r="A358" s="151">
        <f>IFERROR(__xludf.DUMMYFUNCTION("""COMPUTED_VALUE"""),43716.14774770833)</f>
        <v>43716.14775</v>
      </c>
      <c r="B358" t="str">
        <f>IFERROR(__xludf.DUMMYFUNCTION("""COMPUTED_VALUE"""),"Nick G.")</f>
        <v>Nick G.</v>
      </c>
      <c r="C358" t="str">
        <f>IFERROR(__xludf.DUMMYFUNCTION("""COMPUTED_VALUE"""),"Kansas State")</f>
        <v>Kansas State</v>
      </c>
      <c r="D358">
        <f>IFERROR(__xludf.DUMMYFUNCTION("""COMPUTED_VALUE"""),2.0)</f>
        <v>2</v>
      </c>
      <c r="E358">
        <f>IFERROR(__xludf.DUMMYFUNCTION("""COMPUTED_VALUE"""),0.0)</f>
        <v>0</v>
      </c>
      <c r="F358" t="str">
        <f>IFERROR(__xludf.DUMMYFUNCTION("""COMPUTED_VALUE"""),"espn+ Video")</f>
        <v>espn+ Video</v>
      </c>
      <c r="G358" t="str">
        <f>IFERROR(__xludf.DUMMYFUNCTION("""COMPUTED_VALUE"""),"Bowling Green 0 at Kansas State 52")</f>
        <v>Bowling Green 0 at Kansas State 52</v>
      </c>
      <c r="H358" t="str">
        <f>IFERROR(__xludf.DUMMYFUNCTION("""COMPUTED_VALUE"""),"FINAL")</f>
        <v>FINAL</v>
      </c>
      <c r="I358" t="str">
        <f>IFERROR(__xludf.DUMMYFUNCTION("""COMPUTED_VALUE"""),"-23½")</f>
        <v>-23½</v>
      </c>
      <c r="J358" t="str">
        <f>IFERROR(__xludf.DUMMYFUNCTION("""COMPUTED_VALUE"""),"58½")</f>
        <v>58½</v>
      </c>
      <c r="K358" t="str">
        <f>IFERROR(__xludf.DUMMYFUNCTION("""COMPUTED_VALUE"""),"Nick A.")</f>
        <v>Nick A.</v>
      </c>
      <c r="L358">
        <f>IFERROR(__xludf.DUMMYFUNCTION("""COMPUTED_VALUE"""),9999.0)</f>
        <v>9999</v>
      </c>
      <c r="M358" s="124">
        <v>2.0</v>
      </c>
    </row>
    <row r="359">
      <c r="A359" s="151">
        <f>IFERROR(__xludf.DUMMYFUNCTION("""COMPUTED_VALUE"""),43716.14774770833)</f>
        <v>43716.14775</v>
      </c>
      <c r="B359" t="str">
        <f>IFERROR(__xludf.DUMMYFUNCTION("""COMPUTED_VALUE"""),"Nick G.")</f>
        <v>Nick G.</v>
      </c>
      <c r="C359" t="str">
        <f>IFERROR(__xludf.DUMMYFUNCTION("""COMPUTED_VALUE"""),"NC State")</f>
        <v>NC State</v>
      </c>
      <c r="D359">
        <f>IFERROR(__xludf.DUMMYFUNCTION("""COMPUTED_VALUE"""),2.0)</f>
        <v>2</v>
      </c>
      <c r="E359">
        <f>IFERROR(__xludf.DUMMYFUNCTION("""COMPUTED_VALUE"""),0.0)</f>
        <v>0</v>
      </c>
      <c r="F359" t="str">
        <f>IFERROR(__xludf.DUMMYFUNCTION("""COMPUTED_VALUE"""),"ACC Network")</f>
        <v>ACC Network</v>
      </c>
      <c r="G359" t="str">
        <f>IFERROR(__xludf.DUMMYFUNCTION("""COMPUTED_VALUE"""),"Western Carolina 0 at NC State 41")</f>
        <v>Western Carolina 0 at NC State 41</v>
      </c>
      <c r="H359" t="str">
        <f>IFERROR(__xludf.DUMMYFUNCTION("""COMPUTED_VALUE"""),"FINAL")</f>
        <v>FINAL</v>
      </c>
      <c r="I359" t="str">
        <f>IFERROR(__xludf.DUMMYFUNCTION("""COMPUTED_VALUE"""),"No Line")</f>
        <v>No Line</v>
      </c>
      <c r="K359" t="str">
        <f>IFERROR(__xludf.DUMMYFUNCTION("""COMPUTED_VALUE"""),"Undrafted")</f>
        <v>Undrafted</v>
      </c>
      <c r="L359">
        <f>IFERROR(__xludf.DUMMYFUNCTION("""COMPUTED_VALUE"""),9999.0)</f>
        <v>9999</v>
      </c>
      <c r="M359" s="124">
        <v>2.0</v>
      </c>
    </row>
    <row r="360">
      <c r="A360" s="151">
        <f>IFERROR(__xludf.DUMMYFUNCTION("""COMPUTED_VALUE"""),43716.14774770833)</f>
        <v>43716.14775</v>
      </c>
      <c r="B360" t="str">
        <f>IFERROR(__xludf.DUMMYFUNCTION("""COMPUTED_VALUE"""),"Nick G.")</f>
        <v>Nick G.</v>
      </c>
      <c r="C360" t="str">
        <f>IFERROR(__xludf.DUMMYFUNCTION("""COMPUTED_VALUE"""),"Wyoming")</f>
        <v>Wyoming</v>
      </c>
      <c r="D360">
        <f>IFERROR(__xludf.DUMMYFUNCTION("""COMPUTED_VALUE"""),2.0)</f>
        <v>2</v>
      </c>
      <c r="E360">
        <f>IFERROR(__xludf.DUMMYFUNCTION("""COMPUTED_VALUE"""),0.0)</f>
        <v>0</v>
      </c>
      <c r="F360" t="str">
        <f>IFERROR(__xludf.DUMMYFUNCTION("""COMPUTED_VALUE"""),"CBSSN")</f>
        <v>CBSSN</v>
      </c>
      <c r="G360" t="str">
        <f>IFERROR(__xludf.DUMMYFUNCTION("""COMPUTED_VALUE"""),"Wyoming 23 at Texas State 14")</f>
        <v>Wyoming 23 at Texas State 14</v>
      </c>
      <c r="H360" t="str">
        <f>IFERROR(__xludf.DUMMYFUNCTION("""COMPUTED_VALUE"""),"FINAL")</f>
        <v>FINAL</v>
      </c>
      <c r="I360">
        <f>IFERROR(__xludf.DUMMYFUNCTION("""COMPUTED_VALUE"""),-7.0)</f>
        <v>-7</v>
      </c>
      <c r="J360" t="str">
        <f>IFERROR(__xludf.DUMMYFUNCTION("""COMPUTED_VALUE"""),"47½")</f>
        <v>47½</v>
      </c>
      <c r="K360" t="str">
        <f>IFERROR(__xludf.DUMMYFUNCTION("""COMPUTED_VALUE"""),"Brad")</f>
        <v>Brad</v>
      </c>
      <c r="L360">
        <f>IFERROR(__xludf.DUMMYFUNCTION("""COMPUTED_VALUE"""),9999.0)</f>
        <v>9999</v>
      </c>
      <c r="M360" s="124">
        <v>2.0</v>
      </c>
    </row>
    <row r="361">
      <c r="A361" s="151">
        <f>IFERROR(__xludf.DUMMYFUNCTION("""COMPUTED_VALUE"""),43716.14774770833)</f>
        <v>43716.14775</v>
      </c>
      <c r="B361" t="str">
        <f>IFERROR(__xludf.DUMMYFUNCTION("""COMPUTED_VALUE"""),"Nick G.")</f>
        <v>Nick G.</v>
      </c>
      <c r="C361" t="str">
        <f>IFERROR(__xludf.DUMMYFUNCTION("""COMPUTED_VALUE"""),"Auburn")</f>
        <v>Auburn</v>
      </c>
      <c r="D361">
        <f>IFERROR(__xludf.DUMMYFUNCTION("""COMPUTED_VALUE"""),2.0)</f>
        <v>2</v>
      </c>
      <c r="E361">
        <f>IFERROR(__xludf.DUMMYFUNCTION("""COMPUTED_VALUE"""),0.0)</f>
        <v>0</v>
      </c>
      <c r="F361" t="str">
        <f>IFERROR(__xludf.DUMMYFUNCTION("""COMPUTED_VALUE"""),"ABC")</f>
        <v>ABC</v>
      </c>
      <c r="G361" t="str">
        <f>IFERROR(__xludf.DUMMYFUNCTION("""COMPUTED_VALUE"""),"Tulane 6 at (13) Auburn 24")</f>
        <v>Tulane 6 at (13) Auburn 24</v>
      </c>
      <c r="H361" t="str">
        <f>IFERROR(__xludf.DUMMYFUNCTION("""COMPUTED_VALUE"""),"FINAL")</f>
        <v>FINAL</v>
      </c>
      <c r="I361" t="str">
        <f>IFERROR(__xludf.DUMMYFUNCTION("""COMPUTED_VALUE"""),"-17½")</f>
        <v>-17½</v>
      </c>
      <c r="J361" t="str">
        <f>IFERROR(__xludf.DUMMYFUNCTION("""COMPUTED_VALUE"""),"51½")</f>
        <v>51½</v>
      </c>
      <c r="K361" t="str">
        <f>IFERROR(__xludf.DUMMYFUNCTION("""COMPUTED_VALUE"""),"Gary")</f>
        <v>Gary</v>
      </c>
      <c r="L361">
        <f>IFERROR(__xludf.DUMMYFUNCTION("""COMPUTED_VALUE"""),9999.0)</f>
        <v>9999</v>
      </c>
      <c r="M361" s="124">
        <v>2.0</v>
      </c>
    </row>
    <row r="362">
      <c r="A362" s="151">
        <f>IFERROR(__xludf.DUMMYFUNCTION("""COMPUTED_VALUE"""),43723.14774881944)</f>
        <v>43723.14775</v>
      </c>
      <c r="B362" t="str">
        <f>IFERROR(__xludf.DUMMYFUNCTION("""COMPUTED_VALUE"""),"DavEmily")</f>
        <v>DavEmily</v>
      </c>
      <c r="C362" t="str">
        <f>IFERROR(__xludf.DUMMYFUNCTION("""COMPUTED_VALUE"""),"UTSA")</f>
        <v>UTSA</v>
      </c>
      <c r="D362">
        <f>IFERROR(__xludf.DUMMYFUNCTION("""COMPUTED_VALUE"""),1.0)</f>
        <v>1</v>
      </c>
      <c r="E362">
        <f>IFERROR(__xludf.DUMMYFUNCTION("""COMPUTED_VALUE"""),2.0)</f>
        <v>2</v>
      </c>
      <c r="F362" t="str">
        <f>IFERROR(__xludf.DUMMYFUNCTION("""COMPUTED_VALUE"""),"NFL Network")</f>
        <v>NFL Network</v>
      </c>
      <c r="G362" t="str">
        <f>IFERROR(__xludf.DUMMYFUNCTION("""COMPUTED_VALUE"""),"Army 31 at UTSA 13")</f>
        <v>Army 31 at UTSA 13</v>
      </c>
      <c r="H362" t="str">
        <f>IFERROR(__xludf.DUMMYFUNCTION("""COMPUTED_VALUE"""),"FINAL")</f>
        <v>FINAL</v>
      </c>
      <c r="I362">
        <f>IFERROR(__xludf.DUMMYFUNCTION("""COMPUTED_VALUE"""),17.0)</f>
        <v>17</v>
      </c>
      <c r="J362">
        <f>IFERROR(__xludf.DUMMYFUNCTION("""COMPUTED_VALUE"""),45.0)</f>
        <v>45</v>
      </c>
      <c r="K362" t="str">
        <f>IFERROR(__xludf.DUMMYFUNCTION("""COMPUTED_VALUE"""),"Josh R.")</f>
        <v>Josh R.</v>
      </c>
      <c r="L362">
        <f>IFERROR(__xludf.DUMMYFUNCTION("""COMPUTED_VALUE"""),9999.0)</f>
        <v>9999</v>
      </c>
      <c r="M362" s="124">
        <v>3.0</v>
      </c>
    </row>
    <row r="363">
      <c r="A363" s="151">
        <f>IFERROR(__xludf.DUMMYFUNCTION("""COMPUTED_VALUE"""),43723.14774881944)</f>
        <v>43723.14775</v>
      </c>
      <c r="B363" t="str">
        <f>IFERROR(__xludf.DUMMYFUNCTION("""COMPUTED_VALUE"""),"DavEmily")</f>
        <v>DavEmily</v>
      </c>
      <c r="C363" t="str">
        <f>IFERROR(__xludf.DUMMYFUNCTION("""COMPUTED_VALUE"""),"Coastal Carolina")</f>
        <v>Coastal Carolina</v>
      </c>
      <c r="D363">
        <f>IFERROR(__xludf.DUMMYFUNCTION("""COMPUTED_VALUE"""),2.0)</f>
        <v>2</v>
      </c>
      <c r="E363">
        <f>IFERROR(__xludf.DUMMYFUNCTION("""COMPUTED_VALUE"""),1.0)</f>
        <v>1</v>
      </c>
      <c r="F363" t="str">
        <f>IFERROR(__xludf.DUMMYFUNCTION("""COMPUTED_VALUE"""),"espn3 Video")</f>
        <v>espn3 Video</v>
      </c>
      <c r="G363" t="str">
        <f>IFERROR(__xludf.DUMMYFUNCTION("""COMPUTED_VALUE"""),"Norfolk State 7 at Coastal Carolina 46")</f>
        <v>Norfolk State 7 at Coastal Carolina 46</v>
      </c>
      <c r="H363" t="str">
        <f>IFERROR(__xludf.DUMMYFUNCTION("""COMPUTED_VALUE"""),"FINAL")</f>
        <v>FINAL</v>
      </c>
      <c r="I363">
        <f>IFERROR(__xludf.DUMMYFUNCTION("""COMPUTED_VALUE"""),-27.0)</f>
        <v>-27</v>
      </c>
      <c r="J363" t="str">
        <f>IFERROR(__xludf.DUMMYFUNCTION("""COMPUTED_VALUE"""),"48½")</f>
        <v>48½</v>
      </c>
      <c r="K363" t="str">
        <f>IFERROR(__xludf.DUMMYFUNCTION("""COMPUTED_VALUE"""),"Undrafted")</f>
        <v>Undrafted</v>
      </c>
      <c r="L363">
        <f>IFERROR(__xludf.DUMMYFUNCTION("""COMPUTED_VALUE"""),9999.0)</f>
        <v>9999</v>
      </c>
      <c r="M363" s="124">
        <v>3.0</v>
      </c>
    </row>
    <row r="364">
      <c r="A364" s="151">
        <f>IFERROR(__xludf.DUMMYFUNCTION("""COMPUTED_VALUE"""),43723.14774881944)</f>
        <v>43723.14775</v>
      </c>
      <c r="B364" t="str">
        <f>IFERROR(__xludf.DUMMYFUNCTION("""COMPUTED_VALUE"""),"DavEmily")</f>
        <v>DavEmily</v>
      </c>
      <c r="C364" t="str">
        <f>IFERROR(__xludf.DUMMYFUNCTION("""COMPUTED_VALUE"""),"California")</f>
        <v>California</v>
      </c>
      <c r="D364">
        <f>IFERROR(__xludf.DUMMYFUNCTION("""COMPUTED_VALUE"""),3.0)</f>
        <v>3</v>
      </c>
      <c r="E364">
        <f>IFERROR(__xludf.DUMMYFUNCTION("""COMPUTED_VALUE"""),0.0)</f>
        <v>0</v>
      </c>
      <c r="F364" t="str">
        <f>IFERROR(__xludf.DUMMYFUNCTION("""COMPUTED_VALUE"""),"Pac-12 Bay Area")</f>
        <v>Pac-12 Bay Area</v>
      </c>
      <c r="G364" t="str">
        <f>IFERROR(__xludf.DUMMYFUNCTION("""COMPUTED_VALUE"""),"North Texas 17 at California 23")</f>
        <v>North Texas 17 at California 23</v>
      </c>
      <c r="H364" t="str">
        <f>IFERROR(__xludf.DUMMYFUNCTION("""COMPUTED_VALUE"""),"FINAL")</f>
        <v>FINAL</v>
      </c>
      <c r="I364">
        <f>IFERROR(__xludf.DUMMYFUNCTION("""COMPUTED_VALUE"""),-14.0)</f>
        <v>-14</v>
      </c>
      <c r="J364" t="str">
        <f>IFERROR(__xludf.DUMMYFUNCTION("""COMPUTED_VALUE"""),"50½")</f>
        <v>50½</v>
      </c>
      <c r="K364" t="str">
        <f>IFERROR(__xludf.DUMMYFUNCTION("""COMPUTED_VALUE"""),"Vu")</f>
        <v>Vu</v>
      </c>
      <c r="L364">
        <f>IFERROR(__xludf.DUMMYFUNCTION("""COMPUTED_VALUE"""),9999.0)</f>
        <v>9999</v>
      </c>
      <c r="M364" s="124">
        <v>3.0</v>
      </c>
    </row>
    <row r="365">
      <c r="A365" s="151">
        <f>IFERROR(__xludf.DUMMYFUNCTION("""COMPUTED_VALUE"""),43723.14774881944)</f>
        <v>43723.14775</v>
      </c>
      <c r="B365" t="str">
        <f>IFERROR(__xludf.DUMMYFUNCTION("""COMPUTED_VALUE"""),"DavEmily")</f>
        <v>DavEmily</v>
      </c>
      <c r="C365" t="str">
        <f>IFERROR(__xludf.DUMMYFUNCTION("""COMPUTED_VALUE"""),"Fresno State")</f>
        <v>Fresno State</v>
      </c>
      <c r="D365">
        <f>IFERROR(__xludf.DUMMYFUNCTION("""COMPUTED_VALUE"""),0.0)</f>
        <v>0</v>
      </c>
      <c r="E365">
        <f>IFERROR(__xludf.DUMMYFUNCTION("""COMPUTED_VALUE"""),2.0)</f>
        <v>2</v>
      </c>
      <c r="F365" t="str">
        <f>IFERROR(__xludf.DUMMYFUNCTION("""COMPUTED_VALUE"""),"NA")</f>
        <v>NA</v>
      </c>
      <c r="G365" t="str">
        <f>IFERROR(__xludf.DUMMYFUNCTION("""COMPUTED_VALUE"""),"BYE")</f>
        <v>BYE</v>
      </c>
      <c r="I365" t="str">
        <f>IFERROR(__xludf.DUMMYFUNCTION("""COMPUTED_VALUE"""),"bye")</f>
        <v>bye</v>
      </c>
      <c r="J365" t="str">
        <f>IFERROR(__xludf.DUMMYFUNCTION("""COMPUTED_VALUE"""),"bye")</f>
        <v>bye</v>
      </c>
      <c r="L365">
        <f>IFERROR(__xludf.DUMMYFUNCTION("""COMPUTED_VALUE"""),9999.0)</f>
        <v>9999</v>
      </c>
      <c r="M365" s="124">
        <v>3.0</v>
      </c>
    </row>
    <row r="366">
      <c r="A366" s="151">
        <f>IFERROR(__xludf.DUMMYFUNCTION("""COMPUTED_VALUE"""),43723.14774881944)</f>
        <v>43723.14775</v>
      </c>
      <c r="B366" t="str">
        <f>IFERROR(__xludf.DUMMYFUNCTION("""COMPUTED_VALUE"""),"DavEmily")</f>
        <v>DavEmily</v>
      </c>
      <c r="C366" t="str">
        <f>IFERROR(__xludf.DUMMYFUNCTION("""COMPUTED_VALUE"""),"Notre Dame")</f>
        <v>Notre Dame</v>
      </c>
      <c r="D366">
        <f>IFERROR(__xludf.DUMMYFUNCTION("""COMPUTED_VALUE"""),2.0)</f>
        <v>2</v>
      </c>
      <c r="E366">
        <f>IFERROR(__xludf.DUMMYFUNCTION("""COMPUTED_VALUE"""),0.0)</f>
        <v>0</v>
      </c>
      <c r="F366" t="str">
        <f>IFERROR(__xludf.DUMMYFUNCTION("""COMPUTED_VALUE"""),"NBC")</f>
        <v>NBC</v>
      </c>
      <c r="G366" t="str">
        <f>IFERROR(__xludf.DUMMYFUNCTION("""COMPUTED_VALUE"""),"New Mexico 14 at (7) Notre Dame 66")</f>
        <v>New Mexico 14 at (7) Notre Dame 66</v>
      </c>
      <c r="H366" t="str">
        <f>IFERROR(__xludf.DUMMYFUNCTION("""COMPUTED_VALUE"""),"FINAL")</f>
        <v>FINAL</v>
      </c>
      <c r="I366">
        <f>IFERROR(__xludf.DUMMYFUNCTION("""COMPUTED_VALUE"""),-35.0)</f>
        <v>-35</v>
      </c>
      <c r="J366" t="str">
        <f>IFERROR(__xludf.DUMMYFUNCTION("""COMPUTED_VALUE"""),"63½")</f>
        <v>63½</v>
      </c>
      <c r="K366" t="str">
        <f>IFERROR(__xludf.DUMMYFUNCTION("""COMPUTED_VALUE"""),"Nico")</f>
        <v>Nico</v>
      </c>
      <c r="L366">
        <f>IFERROR(__xludf.DUMMYFUNCTION("""COMPUTED_VALUE"""),9999.0)</f>
        <v>9999</v>
      </c>
      <c r="M366" s="124">
        <v>3.0</v>
      </c>
    </row>
    <row r="367">
      <c r="A367" s="151">
        <f>IFERROR(__xludf.DUMMYFUNCTION("""COMPUTED_VALUE"""),43723.14774881944)</f>
        <v>43723.14775</v>
      </c>
      <c r="B367" t="str">
        <f>IFERROR(__xludf.DUMMYFUNCTION("""COMPUTED_VALUE"""),"DavEmily")</f>
        <v>DavEmily</v>
      </c>
      <c r="C367" t="str">
        <f>IFERROR(__xludf.DUMMYFUNCTION("""COMPUTED_VALUE"""),"Virginia Tech")</f>
        <v>Virginia Tech</v>
      </c>
      <c r="D367">
        <f>IFERROR(__xludf.DUMMYFUNCTION("""COMPUTED_VALUE"""),2.0)</f>
        <v>2</v>
      </c>
      <c r="E367">
        <f>IFERROR(__xludf.DUMMYFUNCTION("""COMPUTED_VALUE"""),1.0)</f>
        <v>1</v>
      </c>
      <c r="F367" t="str">
        <f>IFERROR(__xludf.DUMMYFUNCTION("""COMPUTED_VALUE"""),"ACC Network")</f>
        <v>ACC Network</v>
      </c>
      <c r="G367" t="str">
        <f>IFERROR(__xludf.DUMMYFUNCTION("""COMPUTED_VALUE"""),"Furman 17 at Virginia Tech 24")</f>
        <v>Furman 17 at Virginia Tech 24</v>
      </c>
      <c r="H367" t="str">
        <f>IFERROR(__xludf.DUMMYFUNCTION("""COMPUTED_VALUE"""),"FINAL")</f>
        <v>FINAL</v>
      </c>
      <c r="I367" t="str">
        <f>IFERROR(__xludf.DUMMYFUNCTION("""COMPUTED_VALUE"""),"-21½")</f>
        <v>-21½</v>
      </c>
      <c r="J367" t="str">
        <f>IFERROR(__xludf.DUMMYFUNCTION("""COMPUTED_VALUE"""),"64½")</f>
        <v>64½</v>
      </c>
      <c r="K367" t="str">
        <f>IFERROR(__xludf.DUMMYFUNCTION("""COMPUTED_VALUE"""),"Undrafted")</f>
        <v>Undrafted</v>
      </c>
      <c r="L367">
        <f>IFERROR(__xludf.DUMMYFUNCTION("""COMPUTED_VALUE"""),9999.0)</f>
        <v>9999</v>
      </c>
      <c r="M367" s="124">
        <v>3.0</v>
      </c>
    </row>
    <row r="368">
      <c r="A368" s="151">
        <f>IFERROR(__xludf.DUMMYFUNCTION("""COMPUTED_VALUE"""),43723.14774881944)</f>
        <v>43723.14775</v>
      </c>
      <c r="B368" t="str">
        <f>IFERROR(__xludf.DUMMYFUNCTION("""COMPUTED_VALUE"""),"DavEmily")</f>
        <v>DavEmily</v>
      </c>
      <c r="C368" t="str">
        <f>IFERROR(__xludf.DUMMYFUNCTION("""COMPUTED_VALUE"""),"Ball State")</f>
        <v>Ball State</v>
      </c>
      <c r="D368">
        <f>IFERROR(__xludf.DUMMYFUNCTION("""COMPUTED_VALUE"""),1.0)</f>
        <v>1</v>
      </c>
      <c r="E368">
        <f>IFERROR(__xludf.DUMMYFUNCTION("""COMPUTED_VALUE"""),2.0)</f>
        <v>2</v>
      </c>
      <c r="F368" t="str">
        <f>IFERROR(__xludf.DUMMYFUNCTION("""COMPUTED_VALUE"""),"espn+ Video")</f>
        <v>espn+ Video</v>
      </c>
      <c r="G368" t="str">
        <f>IFERROR(__xludf.DUMMYFUNCTION("""COMPUTED_VALUE"""),"Florida Atlantic 41 at Ball State 31")</f>
        <v>Florida Atlantic 41 at Ball State 31</v>
      </c>
      <c r="H368" t="str">
        <f>IFERROR(__xludf.DUMMYFUNCTION("""COMPUTED_VALUE"""),"FINAL")</f>
        <v>FINAL</v>
      </c>
      <c r="I368" t="str">
        <f>IFERROR(__xludf.DUMMYFUNCTION("""COMPUTED_VALUE"""),"2½")</f>
        <v>2½</v>
      </c>
      <c r="J368" t="str">
        <f>IFERROR(__xludf.DUMMYFUNCTION("""COMPUTED_VALUE"""),"66½")</f>
        <v>66½</v>
      </c>
      <c r="K368" t="str">
        <f>IFERROR(__xludf.DUMMYFUNCTION("""COMPUTED_VALUE"""),"Nick G.")</f>
        <v>Nick G.</v>
      </c>
      <c r="L368">
        <f>IFERROR(__xludf.DUMMYFUNCTION("""COMPUTED_VALUE"""),9999.0)</f>
        <v>9999</v>
      </c>
      <c r="M368" s="124">
        <v>3.0</v>
      </c>
    </row>
    <row r="369">
      <c r="A369" s="151">
        <f>IFERROR(__xludf.DUMMYFUNCTION("""COMPUTED_VALUE"""),43723.14774881944)</f>
        <v>43723.14775</v>
      </c>
      <c r="B369" t="str">
        <f>IFERROR(__xludf.DUMMYFUNCTION("""COMPUTED_VALUE"""),"DavEmily")</f>
        <v>DavEmily</v>
      </c>
      <c r="C369" t="str">
        <f>IFERROR(__xludf.DUMMYFUNCTION("""COMPUTED_VALUE"""),"Nebraska")</f>
        <v>Nebraska</v>
      </c>
      <c r="D369">
        <f>IFERROR(__xludf.DUMMYFUNCTION("""COMPUTED_VALUE"""),2.0)</f>
        <v>2</v>
      </c>
      <c r="E369">
        <f>IFERROR(__xludf.DUMMYFUNCTION("""COMPUTED_VALUE"""),1.0)</f>
        <v>1</v>
      </c>
      <c r="F369" t="str">
        <f>IFERROR(__xludf.DUMMYFUNCTION("""COMPUTED_VALUE"""),"FS1")</f>
        <v>FS1</v>
      </c>
      <c r="G369" t="str">
        <f>IFERROR(__xludf.DUMMYFUNCTION("""COMPUTED_VALUE"""),"Northern Illinois 8 at Nebraska 44")</f>
        <v>Northern Illinois 8 at Nebraska 44</v>
      </c>
      <c r="H369" t="str">
        <f>IFERROR(__xludf.DUMMYFUNCTION("""COMPUTED_VALUE"""),"FINAL")</f>
        <v>FINAL</v>
      </c>
      <c r="I369">
        <f>IFERROR(__xludf.DUMMYFUNCTION("""COMPUTED_VALUE"""),-14.0)</f>
        <v>-14</v>
      </c>
      <c r="J369" t="str">
        <f>IFERROR(__xludf.DUMMYFUNCTION("""COMPUTED_VALUE"""),"54½")</f>
        <v>54½</v>
      </c>
      <c r="K369" t="str">
        <f>IFERROR(__xludf.DUMMYFUNCTION("""COMPUTED_VALUE"""),"Janice/Mike")</f>
        <v>Janice/Mike</v>
      </c>
      <c r="L369">
        <f>IFERROR(__xludf.DUMMYFUNCTION("""COMPUTED_VALUE"""),9999.0)</f>
        <v>9999</v>
      </c>
      <c r="M369" s="124">
        <v>3.0</v>
      </c>
    </row>
    <row r="370">
      <c r="A370" s="151">
        <f>IFERROR(__xludf.DUMMYFUNCTION("""COMPUTED_VALUE"""),43723.14774881944)</f>
        <v>43723.14775</v>
      </c>
      <c r="B370" t="str">
        <f>IFERROR(__xludf.DUMMYFUNCTION("""COMPUTED_VALUE"""),"DavEmily")</f>
        <v>DavEmily</v>
      </c>
      <c r="C370" t="str">
        <f>IFERROR(__xludf.DUMMYFUNCTION("""COMPUTED_VALUE"""),"Alabama")</f>
        <v>Alabama</v>
      </c>
      <c r="D370">
        <f>IFERROR(__xludf.DUMMYFUNCTION("""COMPUTED_VALUE"""),3.0)</f>
        <v>3</v>
      </c>
      <c r="E370">
        <f>IFERROR(__xludf.DUMMYFUNCTION("""COMPUTED_VALUE"""),0.0)</f>
        <v>0</v>
      </c>
      <c r="F370" t="str">
        <f>IFERROR(__xludf.DUMMYFUNCTION("""COMPUTED_VALUE"""),"CBS")</f>
        <v>CBS</v>
      </c>
      <c r="G370" t="str">
        <f>IFERROR(__xludf.DUMMYFUNCTION("""COMPUTED_VALUE"""),"(2) Alabama 47 at South Carolina 23")</f>
        <v>(2) Alabama 47 at South Carolina 23</v>
      </c>
      <c r="H370" t="str">
        <f>IFERROR(__xludf.DUMMYFUNCTION("""COMPUTED_VALUE"""),"FINAL")</f>
        <v>FINAL</v>
      </c>
      <c r="I370" t="str">
        <f>IFERROR(__xludf.DUMMYFUNCTION("""COMPUTED_VALUE"""),"-25½")</f>
        <v>-25½</v>
      </c>
      <c r="J370">
        <f>IFERROR(__xludf.DUMMYFUNCTION("""COMPUTED_VALUE"""),60.0)</f>
        <v>60</v>
      </c>
      <c r="K370" t="str">
        <f>IFERROR(__xludf.DUMMYFUNCTION("""COMPUTED_VALUE"""),"Brad")</f>
        <v>Brad</v>
      </c>
      <c r="L370">
        <f>IFERROR(__xludf.DUMMYFUNCTION("""COMPUTED_VALUE"""),9999.0)</f>
        <v>9999</v>
      </c>
      <c r="M370" s="124">
        <v>3.0</v>
      </c>
    </row>
    <row r="371">
      <c r="A371" s="151">
        <f>IFERROR(__xludf.DUMMYFUNCTION("""COMPUTED_VALUE"""),43723.14774881944)</f>
        <v>43723.14775</v>
      </c>
      <c r="B371" t="str">
        <f>IFERROR(__xludf.DUMMYFUNCTION("""COMPUTED_VALUE"""),"DavEmily")</f>
        <v>DavEmily</v>
      </c>
      <c r="C371" t="str">
        <f>IFERROR(__xludf.DUMMYFUNCTION("""COMPUTED_VALUE"""),"Tulsa")</f>
        <v>Tulsa</v>
      </c>
      <c r="D371">
        <f>IFERROR(__xludf.DUMMYFUNCTION("""COMPUTED_VALUE"""),1.0)</f>
        <v>1</v>
      </c>
      <c r="E371">
        <f>IFERROR(__xludf.DUMMYFUNCTION("""COMPUTED_VALUE"""),2.0)</f>
        <v>2</v>
      </c>
      <c r="F371" t="str">
        <f>IFERROR(__xludf.DUMMYFUNCTION("""COMPUTED_VALUE"""),"ESPN2")</f>
        <v>ESPN2</v>
      </c>
      <c r="G371" t="str">
        <f>IFERROR(__xludf.DUMMYFUNCTION("""COMPUTED_VALUE"""),"Oklahoma State 40 at Tulsa 21")</f>
        <v>Oklahoma State 40 at Tulsa 21</v>
      </c>
      <c r="H371" t="str">
        <f>IFERROR(__xludf.DUMMYFUNCTION("""COMPUTED_VALUE"""),"FINAL")</f>
        <v>FINAL</v>
      </c>
      <c r="I371">
        <f>IFERROR(__xludf.DUMMYFUNCTION("""COMPUTED_VALUE"""),14.0)</f>
        <v>14</v>
      </c>
      <c r="J371">
        <f>IFERROR(__xludf.DUMMYFUNCTION("""COMPUTED_VALUE"""),65.0)</f>
        <v>65</v>
      </c>
      <c r="K371" t="str">
        <f>IFERROR(__xludf.DUMMYFUNCTION("""COMPUTED_VALUE"""),"Brad")</f>
        <v>Brad</v>
      </c>
      <c r="L371">
        <f>IFERROR(__xludf.DUMMYFUNCTION("""COMPUTED_VALUE"""),9999.0)</f>
        <v>9999</v>
      </c>
      <c r="M371" s="124">
        <v>3.0</v>
      </c>
    </row>
    <row r="372">
      <c r="A372" s="151">
        <f>IFERROR(__xludf.DUMMYFUNCTION("""COMPUTED_VALUE"""),43723.14774881944)</f>
        <v>43723.14775</v>
      </c>
      <c r="B372" t="str">
        <f>IFERROR(__xludf.DUMMYFUNCTION("""COMPUTED_VALUE"""),"Nick A.")</f>
        <v>Nick A.</v>
      </c>
      <c r="C372" t="str">
        <f>IFERROR(__xludf.DUMMYFUNCTION("""COMPUTED_VALUE"""),"Old Dominion")</f>
        <v>Old Dominion</v>
      </c>
      <c r="D372">
        <f>IFERROR(__xludf.DUMMYFUNCTION("""COMPUTED_VALUE"""),1.0)</f>
        <v>1</v>
      </c>
      <c r="E372">
        <f>IFERROR(__xludf.DUMMYFUNCTION("""COMPUTED_VALUE"""),1.0)</f>
        <v>1</v>
      </c>
      <c r="F372" t="str">
        <f>IFERROR(__xludf.DUMMYFUNCTION("""COMPUTED_VALUE"""),"NA")</f>
        <v>NA</v>
      </c>
      <c r="G372" t="str">
        <f>IFERROR(__xludf.DUMMYFUNCTION("""COMPUTED_VALUE"""),"BYE")</f>
        <v>BYE</v>
      </c>
      <c r="I372" t="str">
        <f>IFERROR(__xludf.DUMMYFUNCTION("""COMPUTED_VALUE"""),"bye")</f>
        <v>bye</v>
      </c>
      <c r="J372" t="str">
        <f>IFERROR(__xludf.DUMMYFUNCTION("""COMPUTED_VALUE"""),"bye")</f>
        <v>bye</v>
      </c>
      <c r="L372">
        <f>IFERROR(__xludf.DUMMYFUNCTION("""COMPUTED_VALUE"""),9999.0)</f>
        <v>9999</v>
      </c>
      <c r="M372" s="124">
        <v>3.0</v>
      </c>
    </row>
    <row r="373">
      <c r="A373" s="151">
        <f>IFERROR(__xludf.DUMMYFUNCTION("""COMPUTED_VALUE"""),43723.14774881944)</f>
        <v>43723.14775</v>
      </c>
      <c r="B373" t="str">
        <f>IFERROR(__xludf.DUMMYFUNCTION("""COMPUTED_VALUE"""),"Nick A.")</f>
        <v>Nick A.</v>
      </c>
      <c r="C373" t="str">
        <f>IFERROR(__xludf.DUMMYFUNCTION("""COMPUTED_VALUE"""),"Bowling Green")</f>
        <v>Bowling Green</v>
      </c>
      <c r="D373">
        <f>IFERROR(__xludf.DUMMYFUNCTION("""COMPUTED_VALUE"""),1.0)</f>
        <v>1</v>
      </c>
      <c r="E373">
        <f>IFERROR(__xludf.DUMMYFUNCTION("""COMPUTED_VALUE"""),2.0)</f>
        <v>2</v>
      </c>
      <c r="F373" t="str">
        <f>IFERROR(__xludf.DUMMYFUNCTION("""COMPUTED_VALUE"""),"espn+ Video")</f>
        <v>espn+ Video</v>
      </c>
      <c r="G373" t="str">
        <f>IFERROR(__xludf.DUMMYFUNCTION("""COMPUTED_VALUE"""),"Louisiana Tech 35 at Bowling Green 7")</f>
        <v>Louisiana Tech 35 at Bowling Green 7</v>
      </c>
      <c r="H373" t="str">
        <f>IFERROR(__xludf.DUMMYFUNCTION("""COMPUTED_VALUE"""),"FINAL")</f>
        <v>FINAL</v>
      </c>
      <c r="I373" t="str">
        <f>IFERROR(__xludf.DUMMYFUNCTION("""COMPUTED_VALUE"""),"10½")</f>
        <v>10½</v>
      </c>
      <c r="J373" t="str">
        <f>IFERROR(__xludf.DUMMYFUNCTION("""COMPUTED_VALUE"""),"58½")</f>
        <v>58½</v>
      </c>
      <c r="K373" t="str">
        <f>IFERROR(__xludf.DUMMYFUNCTION("""COMPUTED_VALUE"""),"Brad")</f>
        <v>Brad</v>
      </c>
      <c r="L373">
        <f>IFERROR(__xludf.DUMMYFUNCTION("""COMPUTED_VALUE"""),9999.0)</f>
        <v>9999</v>
      </c>
      <c r="M373" s="124">
        <v>3.0</v>
      </c>
    </row>
    <row r="374">
      <c r="A374" s="151">
        <f>IFERROR(__xludf.DUMMYFUNCTION("""COMPUTED_VALUE"""),43723.14774881944)</f>
        <v>43723.14775</v>
      </c>
      <c r="B374" t="str">
        <f>IFERROR(__xludf.DUMMYFUNCTION("""COMPUTED_VALUE"""),"Nick A.")</f>
        <v>Nick A.</v>
      </c>
      <c r="C374" t="str">
        <f>IFERROR(__xludf.DUMMYFUNCTION("""COMPUTED_VALUE"""),"New Mexico State")</f>
        <v>New Mexico State</v>
      </c>
      <c r="D374">
        <f>IFERROR(__xludf.DUMMYFUNCTION("""COMPUTED_VALUE"""),0.0)</f>
        <v>0</v>
      </c>
      <c r="E374">
        <f>IFERROR(__xludf.DUMMYFUNCTION("""COMPUTED_VALUE"""),3.0)</f>
        <v>3</v>
      </c>
      <c r="F374" t="str">
        <f>IFERROR(__xludf.DUMMYFUNCTION("""COMPUTED_VALUE"""),"Flo Football")</f>
        <v>Flo Football</v>
      </c>
      <c r="G374" t="str">
        <f>IFERROR(__xludf.DUMMYFUNCTION("""COMPUTED_VALUE"""),"San Diego State 31 at New Mexico State 10")</f>
        <v>San Diego State 31 at New Mexico State 10</v>
      </c>
      <c r="H374" t="str">
        <f>IFERROR(__xludf.DUMMYFUNCTION("""COMPUTED_VALUE"""),"FINAL")</f>
        <v>FINAL</v>
      </c>
      <c r="I374">
        <f>IFERROR(__xludf.DUMMYFUNCTION("""COMPUTED_VALUE"""),16.0)</f>
        <v>16</v>
      </c>
      <c r="J374">
        <f>IFERROR(__xludf.DUMMYFUNCTION("""COMPUTED_VALUE"""),50.0)</f>
        <v>50</v>
      </c>
      <c r="K374" t="str">
        <f>IFERROR(__xludf.DUMMYFUNCTION("""COMPUTED_VALUE"""),"Nick A.")</f>
        <v>Nick A.</v>
      </c>
      <c r="L374">
        <f>IFERROR(__xludf.DUMMYFUNCTION("""COMPUTED_VALUE"""),9999.0)</f>
        <v>9999</v>
      </c>
      <c r="M374" s="124">
        <v>3.0</v>
      </c>
    </row>
    <row r="375">
      <c r="A375" s="151">
        <f>IFERROR(__xludf.DUMMYFUNCTION("""COMPUTED_VALUE"""),43723.14774881944)</f>
        <v>43723.14775</v>
      </c>
      <c r="B375" t="str">
        <f>IFERROR(__xludf.DUMMYFUNCTION("""COMPUTED_VALUE"""),"Nick A.")</f>
        <v>Nick A.</v>
      </c>
      <c r="C375" t="str">
        <f>IFERROR(__xludf.DUMMYFUNCTION("""COMPUTED_VALUE"""),"San Diego State")</f>
        <v>San Diego State</v>
      </c>
      <c r="D375">
        <f>IFERROR(__xludf.DUMMYFUNCTION("""COMPUTED_VALUE"""),3.0)</f>
        <v>3</v>
      </c>
      <c r="E375">
        <f>IFERROR(__xludf.DUMMYFUNCTION("""COMPUTED_VALUE"""),0.0)</f>
        <v>0</v>
      </c>
      <c r="F375" t="str">
        <f>IFERROR(__xludf.DUMMYFUNCTION("""COMPUTED_VALUE"""),"Flo Football")</f>
        <v>Flo Football</v>
      </c>
      <c r="G375" t="str">
        <f>IFERROR(__xludf.DUMMYFUNCTION("""COMPUTED_VALUE"""),"San Diego State 31 at New Mexico State 10")</f>
        <v>San Diego State 31 at New Mexico State 10</v>
      </c>
      <c r="H375" t="str">
        <f>IFERROR(__xludf.DUMMYFUNCTION("""COMPUTED_VALUE"""),"FINAL")</f>
        <v>FINAL</v>
      </c>
      <c r="I375">
        <f>IFERROR(__xludf.DUMMYFUNCTION("""COMPUTED_VALUE"""),-16.0)</f>
        <v>-16</v>
      </c>
      <c r="J375">
        <f>IFERROR(__xludf.DUMMYFUNCTION("""COMPUTED_VALUE"""),50.0)</f>
        <v>50</v>
      </c>
      <c r="K375" t="str">
        <f>IFERROR(__xludf.DUMMYFUNCTION("""COMPUTED_VALUE"""),"Nick A.")</f>
        <v>Nick A.</v>
      </c>
      <c r="L375">
        <f>IFERROR(__xludf.DUMMYFUNCTION("""COMPUTED_VALUE"""),9999.0)</f>
        <v>9999</v>
      </c>
      <c r="M375" s="124">
        <v>3.0</v>
      </c>
    </row>
    <row r="376">
      <c r="A376" s="151">
        <f>IFERROR(__xludf.DUMMYFUNCTION("""COMPUTED_VALUE"""),43723.14774881944)</f>
        <v>43723.14775</v>
      </c>
      <c r="B376" t="str">
        <f>IFERROR(__xludf.DUMMYFUNCTION("""COMPUTED_VALUE"""),"Nick A.")</f>
        <v>Nick A.</v>
      </c>
      <c r="C376" t="str">
        <f>IFERROR(__xludf.DUMMYFUNCTION("""COMPUTED_VALUE"""),"Iowa State")</f>
        <v>Iowa State</v>
      </c>
      <c r="D376">
        <f>IFERROR(__xludf.DUMMYFUNCTION("""COMPUTED_VALUE"""),1.0)</f>
        <v>1</v>
      </c>
      <c r="E376">
        <f>IFERROR(__xludf.DUMMYFUNCTION("""COMPUTED_VALUE"""),1.0)</f>
        <v>1</v>
      </c>
      <c r="F376" t="str">
        <f>IFERROR(__xludf.DUMMYFUNCTION("""COMPUTED_VALUE"""),"FS1")</f>
        <v>FS1</v>
      </c>
      <c r="G376" t="str">
        <f>IFERROR(__xludf.DUMMYFUNCTION("""COMPUTED_VALUE"""),"(18) Iowa 18 at Iowa State 17")</f>
        <v>(18) Iowa 18 at Iowa State 17</v>
      </c>
      <c r="H376" t="str">
        <f>IFERROR(__xludf.DUMMYFUNCTION("""COMPUTED_VALUE"""),"FINAL")</f>
        <v>FINAL</v>
      </c>
      <c r="I376" t="str">
        <f>IFERROR(__xludf.DUMMYFUNCTION("""COMPUTED_VALUE"""),"2½")</f>
        <v>2½</v>
      </c>
      <c r="J376" t="str">
        <f>IFERROR(__xludf.DUMMYFUNCTION("""COMPUTED_VALUE"""),"44½")</f>
        <v>44½</v>
      </c>
      <c r="K376" t="str">
        <f>IFERROR(__xludf.DUMMYFUNCTION("""COMPUTED_VALUE"""),"Justin")</f>
        <v>Justin</v>
      </c>
      <c r="L376">
        <f>IFERROR(__xludf.DUMMYFUNCTION("""COMPUTED_VALUE"""),9999.0)</f>
        <v>9999</v>
      </c>
      <c r="M376" s="124">
        <v>3.0</v>
      </c>
    </row>
    <row r="377">
      <c r="A377" s="151">
        <f>IFERROR(__xludf.DUMMYFUNCTION("""COMPUTED_VALUE"""),43723.14774881944)</f>
        <v>43723.14775</v>
      </c>
      <c r="B377" t="str">
        <f>IFERROR(__xludf.DUMMYFUNCTION("""COMPUTED_VALUE"""),"Nick A.")</f>
        <v>Nick A.</v>
      </c>
      <c r="C377" t="str">
        <f>IFERROR(__xludf.DUMMYFUNCTION("""COMPUTED_VALUE"""),"Clemson")</f>
        <v>Clemson</v>
      </c>
      <c r="D377">
        <f>IFERROR(__xludf.DUMMYFUNCTION("""COMPUTED_VALUE"""),3.0)</f>
        <v>3</v>
      </c>
      <c r="E377">
        <f>IFERROR(__xludf.DUMMYFUNCTION("""COMPUTED_VALUE"""),0.0)</f>
        <v>0</v>
      </c>
      <c r="F377" t="str">
        <f>IFERROR(__xludf.DUMMYFUNCTION("""COMPUTED_VALUE"""),"ABC")</f>
        <v>ABC</v>
      </c>
      <c r="G377" t="str">
        <f>IFERROR(__xludf.DUMMYFUNCTION("""COMPUTED_VALUE"""),"(1) Clemson 41 at Syracuse 6")</f>
        <v>(1) Clemson 41 at Syracuse 6</v>
      </c>
      <c r="H377" t="str">
        <f>IFERROR(__xludf.DUMMYFUNCTION("""COMPUTED_VALUE"""),"FINAL")</f>
        <v>FINAL</v>
      </c>
      <c r="I377" t="str">
        <f>IFERROR(__xludf.DUMMYFUNCTION("""COMPUTED_VALUE"""),"-27½")</f>
        <v>-27½</v>
      </c>
      <c r="J377" t="str">
        <f>IFERROR(__xludf.DUMMYFUNCTION("""COMPUTED_VALUE"""),"62½")</f>
        <v>62½</v>
      </c>
      <c r="K377" t="str">
        <f>IFERROR(__xludf.DUMMYFUNCTION("""COMPUTED_VALUE"""),"Vu")</f>
        <v>Vu</v>
      </c>
      <c r="L377">
        <f>IFERROR(__xludf.DUMMYFUNCTION("""COMPUTED_VALUE"""),9999.0)</f>
        <v>9999</v>
      </c>
      <c r="M377" s="124">
        <v>3.0</v>
      </c>
    </row>
    <row r="378">
      <c r="A378" s="151">
        <f>IFERROR(__xludf.DUMMYFUNCTION("""COMPUTED_VALUE"""),43723.14774881944)</f>
        <v>43723.14775</v>
      </c>
      <c r="B378" t="str">
        <f>IFERROR(__xludf.DUMMYFUNCTION("""COMPUTED_VALUE"""),"Nick A.")</f>
        <v>Nick A.</v>
      </c>
      <c r="C378" t="str">
        <f>IFERROR(__xludf.DUMMYFUNCTION("""COMPUTED_VALUE"""),"Washington State")</f>
        <v>Washington State</v>
      </c>
      <c r="D378">
        <f>IFERROR(__xludf.DUMMYFUNCTION("""COMPUTED_VALUE"""),3.0)</f>
        <v>3</v>
      </c>
      <c r="E378">
        <f>IFERROR(__xludf.DUMMYFUNCTION("""COMPUTED_VALUE"""),0.0)</f>
        <v>0</v>
      </c>
      <c r="F378" t="str">
        <f>IFERROR(__xludf.DUMMYFUNCTION("""COMPUTED_VALUE"""),"ESPN")</f>
        <v>ESPN</v>
      </c>
      <c r="G378" t="str">
        <f>IFERROR(__xludf.DUMMYFUNCTION("""COMPUTED_VALUE"""),"(20) Washington State 31 at Houston 24")</f>
        <v>(20) Washington State 31 at Houston 24</v>
      </c>
      <c r="H378" t="str">
        <f>IFERROR(__xludf.DUMMYFUNCTION("""COMPUTED_VALUE"""),"FINAL")</f>
        <v>FINAL</v>
      </c>
      <c r="I378">
        <f>IFERROR(__xludf.DUMMYFUNCTION("""COMPUTED_VALUE"""),-9.0)</f>
        <v>-9</v>
      </c>
      <c r="J378" t="str">
        <f>IFERROR(__xludf.DUMMYFUNCTION("""COMPUTED_VALUE"""),"75½")</f>
        <v>75½</v>
      </c>
      <c r="K378" t="str">
        <f>IFERROR(__xludf.DUMMYFUNCTION("""COMPUTED_VALUE"""),"Nico")</f>
        <v>Nico</v>
      </c>
      <c r="L378">
        <f>IFERROR(__xludf.DUMMYFUNCTION("""COMPUTED_VALUE"""),9999.0)</f>
        <v>9999</v>
      </c>
      <c r="M378" s="124">
        <v>3.0</v>
      </c>
    </row>
    <row r="379">
      <c r="A379" s="151">
        <f>IFERROR(__xludf.DUMMYFUNCTION("""COMPUTED_VALUE"""),43723.14774881944)</f>
        <v>43723.14775</v>
      </c>
      <c r="B379" t="str">
        <f>IFERROR(__xludf.DUMMYFUNCTION("""COMPUTED_VALUE"""),"Nick A.")</f>
        <v>Nick A.</v>
      </c>
      <c r="C379" t="str">
        <f>IFERROR(__xludf.DUMMYFUNCTION("""COMPUTED_VALUE"""),"East Carolina")</f>
        <v>East Carolina</v>
      </c>
      <c r="D379">
        <f>IFERROR(__xludf.DUMMYFUNCTION("""COMPUTED_VALUE"""),1.0)</f>
        <v>1</v>
      </c>
      <c r="E379">
        <f>IFERROR(__xludf.DUMMYFUNCTION("""COMPUTED_VALUE"""),2.0)</f>
        <v>2</v>
      </c>
      <c r="F379" t="str">
        <f>IFERROR(__xludf.DUMMYFUNCTION("""COMPUTED_VALUE"""),"CBSSN")</f>
        <v>CBSSN</v>
      </c>
      <c r="G379" t="str">
        <f>IFERROR(__xludf.DUMMYFUNCTION("""COMPUTED_VALUE"""),"East Carolina 10 at Navy 42")</f>
        <v>East Carolina 10 at Navy 42</v>
      </c>
      <c r="H379" t="str">
        <f>IFERROR(__xludf.DUMMYFUNCTION("""COMPUTED_VALUE"""),"FINAL")</f>
        <v>FINAL</v>
      </c>
      <c r="I379">
        <f>IFERROR(__xludf.DUMMYFUNCTION("""COMPUTED_VALUE"""),7.0)</f>
        <v>7</v>
      </c>
      <c r="J379">
        <f>IFERROR(__xludf.DUMMYFUNCTION("""COMPUTED_VALUE"""),54.0)</f>
        <v>54</v>
      </c>
      <c r="K379" t="str">
        <f>IFERROR(__xludf.DUMMYFUNCTION("""COMPUTED_VALUE"""),"Janice/Mike")</f>
        <v>Janice/Mike</v>
      </c>
      <c r="L379">
        <f>IFERROR(__xludf.DUMMYFUNCTION("""COMPUTED_VALUE"""),9999.0)</f>
        <v>9999</v>
      </c>
      <c r="M379" s="124">
        <v>3.0</v>
      </c>
    </row>
    <row r="380">
      <c r="A380" s="151">
        <f>IFERROR(__xludf.DUMMYFUNCTION("""COMPUTED_VALUE"""),43723.14774881944)</f>
        <v>43723.14775</v>
      </c>
      <c r="B380" t="str">
        <f>IFERROR(__xludf.DUMMYFUNCTION("""COMPUTED_VALUE"""),"Nick A.")</f>
        <v>Nick A.</v>
      </c>
      <c r="C380" t="str">
        <f>IFERROR(__xludf.DUMMYFUNCTION("""COMPUTED_VALUE"""),"LSU")</f>
        <v>LSU</v>
      </c>
      <c r="D380">
        <f>IFERROR(__xludf.DUMMYFUNCTION("""COMPUTED_VALUE"""),3.0)</f>
        <v>3</v>
      </c>
      <c r="E380">
        <f>IFERROR(__xludf.DUMMYFUNCTION("""COMPUTED_VALUE"""),0.0)</f>
        <v>0</v>
      </c>
      <c r="F380" t="str">
        <f>IFERROR(__xludf.DUMMYFUNCTION("""COMPUTED_VALUE"""),"SEC Network")</f>
        <v>SEC Network</v>
      </c>
      <c r="G380" t="str">
        <f>IFERROR(__xludf.DUMMYFUNCTION("""COMPUTED_VALUE"""),"Northwestern State 14 at (5) LSU 65")</f>
        <v>Northwestern State 14 at (5) LSU 65</v>
      </c>
      <c r="H380" t="str">
        <f>IFERROR(__xludf.DUMMYFUNCTION("""COMPUTED_VALUE"""),"FINAL")</f>
        <v>FINAL</v>
      </c>
      <c r="I380">
        <f>IFERROR(__xludf.DUMMYFUNCTION("""COMPUTED_VALUE"""),-51.0)</f>
        <v>-51</v>
      </c>
      <c r="J380" t="str">
        <f>IFERROR(__xludf.DUMMYFUNCTION("""COMPUTED_VALUE""")," No Line")</f>
        <v> No Line</v>
      </c>
      <c r="K380" t="str">
        <f>IFERROR(__xludf.DUMMYFUNCTION("""COMPUTED_VALUE"""),"Undrafted")</f>
        <v>Undrafted</v>
      </c>
      <c r="L380">
        <f>IFERROR(__xludf.DUMMYFUNCTION("""COMPUTED_VALUE"""),9999.0)</f>
        <v>9999</v>
      </c>
      <c r="M380" s="124">
        <v>3.0</v>
      </c>
    </row>
    <row r="381">
      <c r="A381" s="151">
        <f>IFERROR(__xludf.DUMMYFUNCTION("""COMPUTED_VALUE"""),43723.14774881944)</f>
        <v>43723.14775</v>
      </c>
      <c r="B381" t="str">
        <f>IFERROR(__xludf.DUMMYFUNCTION("""COMPUTED_VALUE"""),"Nick A.")</f>
        <v>Nick A.</v>
      </c>
      <c r="C381" t="str">
        <f>IFERROR(__xludf.DUMMYFUNCTION("""COMPUTED_VALUE"""),"Michigan State")</f>
        <v>Michigan State</v>
      </c>
      <c r="D381">
        <f>IFERROR(__xludf.DUMMYFUNCTION("""COMPUTED_VALUE"""),2.0)</f>
        <v>2</v>
      </c>
      <c r="E381">
        <f>IFERROR(__xludf.DUMMYFUNCTION("""COMPUTED_VALUE"""),1.0)</f>
        <v>1</v>
      </c>
      <c r="F381" t="str">
        <f>IFERROR(__xludf.DUMMYFUNCTION("""COMPUTED_VALUE"""),"FOX")</f>
        <v>FOX</v>
      </c>
      <c r="G381" t="str">
        <f>IFERROR(__xludf.DUMMYFUNCTION("""COMPUTED_VALUE"""),"Arizona State 10 at (19) Michigan State 7")</f>
        <v>Arizona State 10 at (19) Michigan State 7</v>
      </c>
      <c r="H381" t="str">
        <f>IFERROR(__xludf.DUMMYFUNCTION("""COMPUTED_VALUE"""),"FINAL")</f>
        <v>FINAL</v>
      </c>
      <c r="I381">
        <f>IFERROR(__xludf.DUMMYFUNCTION("""COMPUTED_VALUE"""),-14.0)</f>
        <v>-14</v>
      </c>
      <c r="J381">
        <f>IFERROR(__xludf.DUMMYFUNCTION("""COMPUTED_VALUE"""),42.0)</f>
        <v>42</v>
      </c>
      <c r="K381" t="str">
        <f>IFERROR(__xludf.DUMMYFUNCTION("""COMPUTED_VALUE"""),"Nico")</f>
        <v>Nico</v>
      </c>
      <c r="L381">
        <f>IFERROR(__xludf.DUMMYFUNCTION("""COMPUTED_VALUE"""),9999.0)</f>
        <v>9999</v>
      </c>
      <c r="M381" s="124">
        <v>3.0</v>
      </c>
    </row>
    <row r="382">
      <c r="A382" s="151">
        <f>IFERROR(__xludf.DUMMYFUNCTION("""COMPUTED_VALUE"""),43723.14774881944)</f>
        <v>43723.14775</v>
      </c>
      <c r="B382" t="str">
        <f>IFERROR(__xludf.DUMMYFUNCTION("""COMPUTED_VALUE"""),"Gary")</f>
        <v>Gary</v>
      </c>
      <c r="C382" t="str">
        <f>IFERROR(__xludf.DUMMYFUNCTION("""COMPUTED_VALUE"""),"Marshall")</f>
        <v>Marshall</v>
      </c>
      <c r="D382">
        <f>IFERROR(__xludf.DUMMYFUNCTION("""COMPUTED_VALUE"""),2.0)</f>
        <v>2</v>
      </c>
      <c r="E382">
        <f>IFERROR(__xludf.DUMMYFUNCTION("""COMPUTED_VALUE"""),1.0)</f>
        <v>1</v>
      </c>
      <c r="F382" t="str">
        <f>IFERROR(__xludf.DUMMYFUNCTION("""COMPUTED_VALUE"""),"Facebook Video")</f>
        <v>Facebook Video</v>
      </c>
      <c r="G382" t="str">
        <f>IFERROR(__xludf.DUMMYFUNCTION("""COMPUTED_VALUE"""),"Ohio 31 at Marshall 33")</f>
        <v>Ohio 31 at Marshall 33</v>
      </c>
      <c r="H382" t="str">
        <f>IFERROR(__xludf.DUMMYFUNCTION("""COMPUTED_VALUE"""),"FINAL")</f>
        <v>FINAL</v>
      </c>
      <c r="I382" t="str">
        <f>IFERROR(__xludf.DUMMYFUNCTION("""COMPUTED_VALUE"""),"-5½")</f>
        <v>-5½</v>
      </c>
      <c r="J382" t="str">
        <f>IFERROR(__xludf.DUMMYFUNCTION("""COMPUTED_VALUE"""),"49½")</f>
        <v>49½</v>
      </c>
      <c r="K382" t="str">
        <f>IFERROR(__xludf.DUMMYFUNCTION("""COMPUTED_VALUE"""),"Gary")</f>
        <v>Gary</v>
      </c>
      <c r="L382">
        <f>IFERROR(__xludf.DUMMYFUNCTION("""COMPUTED_VALUE"""),9999.0)</f>
        <v>9999</v>
      </c>
      <c r="M382" s="124">
        <v>3.0</v>
      </c>
    </row>
    <row r="383">
      <c r="A383" s="151">
        <f>IFERROR(__xludf.DUMMYFUNCTION("""COMPUTED_VALUE"""),43723.14774881944)</f>
        <v>43723.14775</v>
      </c>
      <c r="B383" t="str">
        <f>IFERROR(__xludf.DUMMYFUNCTION("""COMPUTED_VALUE"""),"Gary")</f>
        <v>Gary</v>
      </c>
      <c r="C383" t="str">
        <f>IFERROR(__xludf.DUMMYFUNCTION("""COMPUTED_VALUE"""),"Ohio")</f>
        <v>Ohio</v>
      </c>
      <c r="D383">
        <f>IFERROR(__xludf.DUMMYFUNCTION("""COMPUTED_VALUE"""),1.0)</f>
        <v>1</v>
      </c>
      <c r="E383">
        <f>IFERROR(__xludf.DUMMYFUNCTION("""COMPUTED_VALUE"""),2.0)</f>
        <v>2</v>
      </c>
      <c r="F383" t="str">
        <f>IFERROR(__xludf.DUMMYFUNCTION("""COMPUTED_VALUE"""),"Facebook Video")</f>
        <v>Facebook Video</v>
      </c>
      <c r="G383" t="str">
        <f>IFERROR(__xludf.DUMMYFUNCTION("""COMPUTED_VALUE"""),"Ohio 31 at Marshall 33")</f>
        <v>Ohio 31 at Marshall 33</v>
      </c>
      <c r="H383" t="str">
        <f>IFERROR(__xludf.DUMMYFUNCTION("""COMPUTED_VALUE"""),"FINAL")</f>
        <v>FINAL</v>
      </c>
      <c r="I383" t="str">
        <f>IFERROR(__xludf.DUMMYFUNCTION("""COMPUTED_VALUE"""),"5½")</f>
        <v>5½</v>
      </c>
      <c r="J383" t="str">
        <f>IFERROR(__xludf.DUMMYFUNCTION("""COMPUTED_VALUE"""),"49½")</f>
        <v>49½</v>
      </c>
      <c r="K383" t="str">
        <f>IFERROR(__xludf.DUMMYFUNCTION("""COMPUTED_VALUE"""),"Gary")</f>
        <v>Gary</v>
      </c>
      <c r="L383">
        <f>IFERROR(__xludf.DUMMYFUNCTION("""COMPUTED_VALUE"""),9999.0)</f>
        <v>9999</v>
      </c>
      <c r="M383" s="124">
        <v>3.0</v>
      </c>
    </row>
    <row r="384">
      <c r="A384" s="151">
        <f>IFERROR(__xludf.DUMMYFUNCTION("""COMPUTED_VALUE"""),43723.14774881944)</f>
        <v>43723.14775</v>
      </c>
      <c r="B384" t="str">
        <f>IFERROR(__xludf.DUMMYFUNCTION("""COMPUTED_VALUE"""),"Gary")</f>
        <v>Gary</v>
      </c>
      <c r="C384" t="str">
        <f>IFERROR(__xludf.DUMMYFUNCTION("""COMPUTED_VALUE"""),"BYU")</f>
        <v>BYU</v>
      </c>
      <c r="D384">
        <f>IFERROR(__xludf.DUMMYFUNCTION("""COMPUTED_VALUE"""),2.0)</f>
        <v>2</v>
      </c>
      <c r="E384">
        <f>IFERROR(__xludf.DUMMYFUNCTION("""COMPUTED_VALUE"""),1.0)</f>
        <v>1</v>
      </c>
      <c r="F384" t="str">
        <f>IFERROR(__xludf.DUMMYFUNCTION("""COMPUTED_VALUE"""),"ABC")</f>
        <v>ABC</v>
      </c>
      <c r="G384" t="str">
        <f>IFERROR(__xludf.DUMMYFUNCTION("""COMPUTED_VALUE"""),"(24) USC 27 at BYU 30")</f>
        <v>(24) USC 27 at BYU 30</v>
      </c>
      <c r="H384" t="str">
        <f>IFERROR(__xludf.DUMMYFUNCTION("""COMPUTED_VALUE"""),"FINAL - OT")</f>
        <v>FINAL - OT</v>
      </c>
      <c r="I384" t="str">
        <f>IFERROR(__xludf.DUMMYFUNCTION("""COMPUTED_VALUE"""),"4½")</f>
        <v>4½</v>
      </c>
      <c r="J384" t="str">
        <f>IFERROR(__xludf.DUMMYFUNCTION("""COMPUTED_VALUE"""),"55½")</f>
        <v>55½</v>
      </c>
      <c r="K384" t="str">
        <f>IFERROR(__xludf.DUMMYFUNCTION("""COMPUTED_VALUE"""),"Josh R.")</f>
        <v>Josh R.</v>
      </c>
      <c r="L384">
        <f>IFERROR(__xludf.DUMMYFUNCTION("""COMPUTED_VALUE"""),9999.0)</f>
        <v>9999</v>
      </c>
      <c r="M384" s="124">
        <v>3.0</v>
      </c>
    </row>
    <row r="385">
      <c r="A385" s="151">
        <f>IFERROR(__xludf.DUMMYFUNCTION("""COMPUTED_VALUE"""),43723.14774881944)</f>
        <v>43723.14775</v>
      </c>
      <c r="B385" t="str">
        <f>IFERROR(__xludf.DUMMYFUNCTION("""COMPUTED_VALUE"""),"Gary")</f>
        <v>Gary</v>
      </c>
      <c r="C385" t="str">
        <f>IFERROR(__xludf.DUMMYFUNCTION("""COMPUTED_VALUE"""),"Tulane")</f>
        <v>Tulane</v>
      </c>
      <c r="D385">
        <f>IFERROR(__xludf.DUMMYFUNCTION("""COMPUTED_VALUE"""),2.0)</f>
        <v>2</v>
      </c>
      <c r="E385">
        <f>IFERROR(__xludf.DUMMYFUNCTION("""COMPUTED_VALUE"""),1.0)</f>
        <v>1</v>
      </c>
      <c r="F385" t="str">
        <f>IFERROR(__xludf.DUMMYFUNCTION("""COMPUTED_VALUE"""),"espn3 Video")</f>
        <v>espn3 Video</v>
      </c>
      <c r="G385" t="str">
        <f>IFERROR(__xludf.DUMMYFUNCTION("""COMPUTED_VALUE"""),"Missouri State 6 at Tulane 58")</f>
        <v>Missouri State 6 at Tulane 58</v>
      </c>
      <c r="H385" t="str">
        <f>IFERROR(__xludf.DUMMYFUNCTION("""COMPUTED_VALUE"""),"FINAL")</f>
        <v>FINAL</v>
      </c>
      <c r="I385">
        <f>IFERROR(__xludf.DUMMYFUNCTION("""COMPUTED_VALUE"""),-29.0)</f>
        <v>-29</v>
      </c>
      <c r="J385">
        <f>IFERROR(__xludf.DUMMYFUNCTION("""COMPUTED_VALUE"""),55.0)</f>
        <v>55</v>
      </c>
      <c r="K385" t="str">
        <f>IFERROR(__xludf.DUMMYFUNCTION("""COMPUTED_VALUE"""),"Undrafted")</f>
        <v>Undrafted</v>
      </c>
      <c r="L385">
        <f>IFERROR(__xludf.DUMMYFUNCTION("""COMPUTED_VALUE"""),9999.0)</f>
        <v>9999</v>
      </c>
      <c r="M385" s="124">
        <v>3.0</v>
      </c>
    </row>
    <row r="386">
      <c r="A386" s="151">
        <f>IFERROR(__xludf.DUMMYFUNCTION("""COMPUTED_VALUE"""),43723.14774881944)</f>
        <v>43723.14775</v>
      </c>
      <c r="B386" t="str">
        <f>IFERROR(__xludf.DUMMYFUNCTION("""COMPUTED_VALUE"""),"Gary")</f>
        <v>Gary</v>
      </c>
      <c r="C386" t="str">
        <f>IFERROR(__xludf.DUMMYFUNCTION("""COMPUTED_VALUE"""),"Pittsburgh")</f>
        <v>Pittsburgh</v>
      </c>
      <c r="D386">
        <f>IFERROR(__xludf.DUMMYFUNCTION("""COMPUTED_VALUE"""),1.0)</f>
        <v>1</v>
      </c>
      <c r="E386">
        <f>IFERROR(__xludf.DUMMYFUNCTION("""COMPUTED_VALUE"""),2.0)</f>
        <v>2</v>
      </c>
      <c r="F386" t="str">
        <f>IFERROR(__xludf.DUMMYFUNCTION("""COMPUTED_VALUE"""),"ABC")</f>
        <v>ABC</v>
      </c>
      <c r="G386" t="str">
        <f>IFERROR(__xludf.DUMMYFUNCTION("""COMPUTED_VALUE"""),"Pittsburgh 10 at (11) Penn State 17")</f>
        <v>Pittsburgh 10 at (11) Penn State 17</v>
      </c>
      <c r="H386" t="str">
        <f>IFERROR(__xludf.DUMMYFUNCTION("""COMPUTED_VALUE"""),"FINAL")</f>
        <v>FINAL</v>
      </c>
      <c r="I386">
        <f>IFERROR(__xludf.DUMMYFUNCTION("""COMPUTED_VALUE"""),17.0)</f>
        <v>17</v>
      </c>
      <c r="J386">
        <f>IFERROR(__xludf.DUMMYFUNCTION("""COMPUTED_VALUE"""),52.0)</f>
        <v>52</v>
      </c>
      <c r="K386" t="str">
        <f>IFERROR(__xludf.DUMMYFUNCTION("""COMPUTED_VALUE"""),"Jeannine")</f>
        <v>Jeannine</v>
      </c>
      <c r="L386">
        <f>IFERROR(__xludf.DUMMYFUNCTION("""COMPUTED_VALUE"""),9999.0)</f>
        <v>9999</v>
      </c>
      <c r="M386" s="124">
        <v>3.0</v>
      </c>
    </row>
    <row r="387">
      <c r="A387" s="151">
        <f>IFERROR(__xludf.DUMMYFUNCTION("""COMPUTED_VALUE"""),43723.14774881944)</f>
        <v>43723.14775</v>
      </c>
      <c r="B387" t="str">
        <f>IFERROR(__xludf.DUMMYFUNCTION("""COMPUTED_VALUE"""),"Gary")</f>
        <v>Gary</v>
      </c>
      <c r="C387" t="str">
        <f>IFERROR(__xludf.DUMMYFUNCTION("""COMPUTED_VALUE"""),"Maryland")</f>
        <v>Maryland</v>
      </c>
      <c r="D387">
        <f>IFERROR(__xludf.DUMMYFUNCTION("""COMPUTED_VALUE"""),2.0)</f>
        <v>2</v>
      </c>
      <c r="E387">
        <f>IFERROR(__xludf.DUMMYFUNCTION("""COMPUTED_VALUE"""),1.0)</f>
        <v>1</v>
      </c>
      <c r="F387" t="str">
        <f>IFERROR(__xludf.DUMMYFUNCTION("""COMPUTED_VALUE"""),"CBSSN")</f>
        <v>CBSSN</v>
      </c>
      <c r="G387" t="str">
        <f>IFERROR(__xludf.DUMMYFUNCTION("""COMPUTED_VALUE"""),"(25) Maryland 17 at Temple 20")</f>
        <v>(25) Maryland 17 at Temple 20</v>
      </c>
      <c r="H387" t="str">
        <f>IFERROR(__xludf.DUMMYFUNCTION("""COMPUTED_VALUE"""),"FINAL")</f>
        <v>FINAL</v>
      </c>
      <c r="I387">
        <f>IFERROR(__xludf.DUMMYFUNCTION("""COMPUTED_VALUE"""),-7.0)</f>
        <v>-7</v>
      </c>
      <c r="J387">
        <f>IFERROR(__xludf.DUMMYFUNCTION("""COMPUTED_VALUE"""),64.0)</f>
        <v>64</v>
      </c>
      <c r="K387" t="str">
        <f>IFERROR(__xludf.DUMMYFUNCTION("""COMPUTED_VALUE"""),"Josh R.")</f>
        <v>Josh R.</v>
      </c>
      <c r="L387">
        <f>IFERROR(__xludf.DUMMYFUNCTION("""COMPUTED_VALUE"""),9999.0)</f>
        <v>9999</v>
      </c>
      <c r="M387" s="124">
        <v>3.0</v>
      </c>
    </row>
    <row r="388">
      <c r="A388" s="151">
        <f>IFERROR(__xludf.DUMMYFUNCTION("""COMPUTED_VALUE"""),43723.14774881944)</f>
        <v>43723.14775</v>
      </c>
      <c r="B388" t="str">
        <f>IFERROR(__xludf.DUMMYFUNCTION("""COMPUTED_VALUE"""),"Gary")</f>
        <v>Gary</v>
      </c>
      <c r="C388" t="str">
        <f>IFERROR(__xludf.DUMMYFUNCTION("""COMPUTED_VALUE"""),"Missouri")</f>
        <v>Missouri</v>
      </c>
      <c r="D388">
        <f>IFERROR(__xludf.DUMMYFUNCTION("""COMPUTED_VALUE"""),2.0)</f>
        <v>2</v>
      </c>
      <c r="E388">
        <f>IFERROR(__xludf.DUMMYFUNCTION("""COMPUTED_VALUE"""),1.0)</f>
        <v>1</v>
      </c>
      <c r="F388" t="str">
        <f>IFERROR(__xludf.DUMMYFUNCTION("""COMPUTED_VALUE"""),"SEC Network alternate")</f>
        <v>SEC Network alternate</v>
      </c>
      <c r="G388" t="str">
        <f>IFERROR(__xludf.DUMMYFUNCTION("""COMPUTED_VALUE"""),"Southeast Missouri State 0 at Missouri 50")</f>
        <v>Southeast Missouri State 0 at Missouri 50</v>
      </c>
      <c r="H388" t="str">
        <f>IFERROR(__xludf.DUMMYFUNCTION("""COMPUTED_VALUE"""),"FINAL")</f>
        <v>FINAL</v>
      </c>
      <c r="I388">
        <f>IFERROR(__xludf.DUMMYFUNCTION("""COMPUTED_VALUE"""),-34.0)</f>
        <v>-34</v>
      </c>
      <c r="J388">
        <f>IFERROR(__xludf.DUMMYFUNCTION("""COMPUTED_VALUE"""),67.0)</f>
        <v>67</v>
      </c>
      <c r="K388" t="str">
        <f>IFERROR(__xludf.DUMMYFUNCTION("""COMPUTED_VALUE"""),"Undrafted")</f>
        <v>Undrafted</v>
      </c>
      <c r="L388">
        <f>IFERROR(__xludf.DUMMYFUNCTION("""COMPUTED_VALUE"""),9999.0)</f>
        <v>9999</v>
      </c>
      <c r="M388" s="124">
        <v>3.0</v>
      </c>
    </row>
    <row r="389">
      <c r="A389" s="151">
        <f>IFERROR(__xludf.DUMMYFUNCTION("""COMPUTED_VALUE"""),43723.14774881944)</f>
        <v>43723.14775</v>
      </c>
      <c r="B389" t="str">
        <f>IFERROR(__xludf.DUMMYFUNCTION("""COMPUTED_VALUE"""),"Gary")</f>
        <v>Gary</v>
      </c>
      <c r="C389" t="str">
        <f>IFERROR(__xludf.DUMMYFUNCTION("""COMPUTED_VALUE"""),"UCLA")</f>
        <v>UCLA</v>
      </c>
      <c r="D389">
        <f>IFERROR(__xludf.DUMMYFUNCTION("""COMPUTED_VALUE"""),0.0)</f>
        <v>0</v>
      </c>
      <c r="E389">
        <f>IFERROR(__xludf.DUMMYFUNCTION("""COMPUTED_VALUE"""),3.0)</f>
        <v>3</v>
      </c>
      <c r="F389" t="str">
        <f>IFERROR(__xludf.DUMMYFUNCTION("""COMPUTED_VALUE"""),"FOX")</f>
        <v>FOX</v>
      </c>
      <c r="G389" t="str">
        <f>IFERROR(__xludf.DUMMYFUNCTION("""COMPUTED_VALUE"""),"(4) Oklahoma 48 at UCLA 14")</f>
        <v>(4) Oklahoma 48 at UCLA 14</v>
      </c>
      <c r="H389" t="str">
        <f>IFERROR(__xludf.DUMMYFUNCTION("""COMPUTED_VALUE"""),"FINAL")</f>
        <v>FINAL</v>
      </c>
      <c r="I389">
        <f>IFERROR(__xludf.DUMMYFUNCTION("""COMPUTED_VALUE"""),23.0)</f>
        <v>23</v>
      </c>
      <c r="J389" t="str">
        <f>IFERROR(__xludf.DUMMYFUNCTION("""COMPUTED_VALUE"""),"73½")</f>
        <v>73½</v>
      </c>
      <c r="K389" t="str">
        <f>IFERROR(__xludf.DUMMYFUNCTION("""COMPUTED_VALUE"""),"Jeannine")</f>
        <v>Jeannine</v>
      </c>
      <c r="L389">
        <f>IFERROR(__xludf.DUMMYFUNCTION("""COMPUTED_VALUE"""),9999.0)</f>
        <v>9999</v>
      </c>
      <c r="M389" s="124">
        <v>3.0</v>
      </c>
    </row>
    <row r="390">
      <c r="A390" s="151">
        <f>IFERROR(__xludf.DUMMYFUNCTION("""COMPUTED_VALUE"""),43723.14774881944)</f>
        <v>43723.14775</v>
      </c>
      <c r="B390" t="str">
        <f>IFERROR(__xludf.DUMMYFUNCTION("""COMPUTED_VALUE"""),"Gary")</f>
        <v>Gary</v>
      </c>
      <c r="C390" t="str">
        <f>IFERROR(__xludf.DUMMYFUNCTION("""COMPUTED_VALUE"""),"Utah State")</f>
        <v>Utah State</v>
      </c>
      <c r="D390">
        <f>IFERROR(__xludf.DUMMYFUNCTION("""COMPUTED_VALUE"""),1.0)</f>
        <v>1</v>
      </c>
      <c r="E390">
        <f>IFERROR(__xludf.DUMMYFUNCTION("""COMPUTED_VALUE"""),1.0)</f>
        <v>1</v>
      </c>
      <c r="F390" t="str">
        <f>IFERROR(__xludf.DUMMYFUNCTION("""COMPUTED_VALUE"""),"NA")</f>
        <v>NA</v>
      </c>
      <c r="G390" t="str">
        <f>IFERROR(__xludf.DUMMYFUNCTION("""COMPUTED_VALUE"""),"BYE")</f>
        <v>BYE</v>
      </c>
      <c r="I390" t="str">
        <f>IFERROR(__xludf.DUMMYFUNCTION("""COMPUTED_VALUE"""),"bye")</f>
        <v>bye</v>
      </c>
      <c r="J390" t="str">
        <f>IFERROR(__xludf.DUMMYFUNCTION("""COMPUTED_VALUE"""),"bye")</f>
        <v>bye</v>
      </c>
      <c r="L390">
        <f>IFERROR(__xludf.DUMMYFUNCTION("""COMPUTED_VALUE"""),9999.0)</f>
        <v>9999</v>
      </c>
      <c r="M390" s="124">
        <v>3.0</v>
      </c>
    </row>
    <row r="391">
      <c r="A391" s="151">
        <f>IFERROR(__xludf.DUMMYFUNCTION("""COMPUTED_VALUE"""),43723.14774881944)</f>
        <v>43723.14775</v>
      </c>
      <c r="B391" t="str">
        <f>IFERROR(__xludf.DUMMYFUNCTION("""COMPUTED_VALUE"""),"Gary")</f>
        <v>Gary</v>
      </c>
      <c r="C391" t="str">
        <f>IFERROR(__xludf.DUMMYFUNCTION("""COMPUTED_VALUE"""),"UL Lafayette")</f>
        <v>UL Lafayette</v>
      </c>
      <c r="D391">
        <f>IFERROR(__xludf.DUMMYFUNCTION("""COMPUTED_VALUE"""),2.0)</f>
        <v>2</v>
      </c>
      <c r="E391">
        <f>IFERROR(__xludf.DUMMYFUNCTION("""COMPUTED_VALUE"""),1.0)</f>
        <v>1</v>
      </c>
      <c r="F391" t="str">
        <f>IFERROR(__xludf.DUMMYFUNCTION("""COMPUTED_VALUE"""),"NA")</f>
        <v>NA</v>
      </c>
      <c r="G391" t="str">
        <f>IFERROR(__xludf.DUMMYFUNCTION("""COMPUTED_VALUE"""),"Texas Southern 6 at UL Lafayette 77")</f>
        <v>Texas Southern 6 at UL Lafayette 77</v>
      </c>
      <c r="H391" t="str">
        <f>IFERROR(__xludf.DUMMYFUNCTION("""COMPUTED_VALUE"""),"FINAL")</f>
        <v>FINAL</v>
      </c>
      <c r="I391">
        <f>IFERROR(__xludf.DUMMYFUNCTION("""COMPUTED_VALUE"""),-47.0)</f>
        <v>-47</v>
      </c>
      <c r="J391">
        <f>IFERROR(__xludf.DUMMYFUNCTION("""COMPUTED_VALUE"""),75.0)</f>
        <v>75</v>
      </c>
      <c r="K391" t="str">
        <f>IFERROR(__xludf.DUMMYFUNCTION("""COMPUTED_VALUE"""),"Undrafted")</f>
        <v>Undrafted</v>
      </c>
      <c r="L391">
        <f>IFERROR(__xludf.DUMMYFUNCTION("""COMPUTED_VALUE"""),9999.0)</f>
        <v>9999</v>
      </c>
      <c r="M391" s="124">
        <v>3.0</v>
      </c>
    </row>
    <row r="392">
      <c r="A392" s="151">
        <f>IFERROR(__xludf.DUMMYFUNCTION("""COMPUTED_VALUE"""),43723.14774881944)</f>
        <v>43723.14775</v>
      </c>
      <c r="B392" t="str">
        <f>IFERROR(__xludf.DUMMYFUNCTION("""COMPUTED_VALUE"""),"Janice/Mike")</f>
        <v>Janice/Mike</v>
      </c>
      <c r="C392" t="str">
        <f>IFERROR(__xludf.DUMMYFUNCTION("""COMPUTED_VALUE"""),"Northern Illinois")</f>
        <v>Northern Illinois</v>
      </c>
      <c r="D392">
        <f>IFERROR(__xludf.DUMMYFUNCTION("""COMPUTED_VALUE"""),1.0)</f>
        <v>1</v>
      </c>
      <c r="E392">
        <f>IFERROR(__xludf.DUMMYFUNCTION("""COMPUTED_VALUE"""),2.0)</f>
        <v>2</v>
      </c>
      <c r="F392" t="str">
        <f>IFERROR(__xludf.DUMMYFUNCTION("""COMPUTED_VALUE"""),"FS1")</f>
        <v>FS1</v>
      </c>
      <c r="G392" t="str">
        <f>IFERROR(__xludf.DUMMYFUNCTION("""COMPUTED_VALUE"""),"Northern Illinois 8 at Nebraska 44")</f>
        <v>Northern Illinois 8 at Nebraska 44</v>
      </c>
      <c r="H392" t="str">
        <f>IFERROR(__xludf.DUMMYFUNCTION("""COMPUTED_VALUE"""),"FINAL")</f>
        <v>FINAL</v>
      </c>
      <c r="I392">
        <f>IFERROR(__xludf.DUMMYFUNCTION("""COMPUTED_VALUE"""),14.0)</f>
        <v>14</v>
      </c>
      <c r="J392" t="str">
        <f>IFERROR(__xludf.DUMMYFUNCTION("""COMPUTED_VALUE"""),"54½")</f>
        <v>54½</v>
      </c>
      <c r="K392" t="str">
        <f>IFERROR(__xludf.DUMMYFUNCTION("""COMPUTED_VALUE"""),"DavEmily")</f>
        <v>DavEmily</v>
      </c>
      <c r="L392">
        <f>IFERROR(__xludf.DUMMYFUNCTION("""COMPUTED_VALUE"""),9999.0)</f>
        <v>9999</v>
      </c>
      <c r="M392" s="124">
        <v>3.0</v>
      </c>
    </row>
    <row r="393">
      <c r="A393" s="151">
        <f>IFERROR(__xludf.DUMMYFUNCTION("""COMPUTED_VALUE"""),43723.14774881944)</f>
        <v>43723.14775</v>
      </c>
      <c r="B393" t="str">
        <f>IFERROR(__xludf.DUMMYFUNCTION("""COMPUTED_VALUE"""),"Janice/Mike")</f>
        <v>Janice/Mike</v>
      </c>
      <c r="C393" t="str">
        <f>IFERROR(__xludf.DUMMYFUNCTION("""COMPUTED_VALUE"""),"Charlotte")</f>
        <v>Charlotte</v>
      </c>
      <c r="D393">
        <f>IFERROR(__xludf.DUMMYFUNCTION("""COMPUTED_VALUE"""),2.0)</f>
        <v>2</v>
      </c>
      <c r="E393">
        <f>IFERROR(__xludf.DUMMYFUNCTION("""COMPUTED_VALUE"""),1.0)</f>
        <v>1</v>
      </c>
      <c r="F393" t="str">
        <f>IFERROR(__xludf.DUMMYFUNCTION("""COMPUTED_VALUE"""),"espn+ Video")</f>
        <v>espn+ Video</v>
      </c>
      <c r="G393" t="str">
        <f>IFERROR(__xludf.DUMMYFUNCTION("""COMPUTED_VALUE"""),"UMass 17 at Charlotte 52")</f>
        <v>UMass 17 at Charlotte 52</v>
      </c>
      <c r="H393" t="str">
        <f>IFERROR(__xludf.DUMMYFUNCTION("""COMPUTED_VALUE"""),"FINAL")</f>
        <v>FINAL</v>
      </c>
      <c r="I393" t="str">
        <f>IFERROR(__xludf.DUMMYFUNCTION("""COMPUTED_VALUE"""),"-19½")</f>
        <v>-19½</v>
      </c>
      <c r="J393">
        <f>IFERROR(__xludf.DUMMYFUNCTION("""COMPUTED_VALUE"""),69.0)</f>
        <v>69</v>
      </c>
      <c r="K393" t="str">
        <f>IFERROR(__xludf.DUMMYFUNCTION("""COMPUTED_VALUE"""),"Undrafted")</f>
        <v>Undrafted</v>
      </c>
      <c r="L393">
        <f>IFERROR(__xludf.DUMMYFUNCTION("""COMPUTED_VALUE"""),9999.0)</f>
        <v>9999</v>
      </c>
      <c r="M393" s="124">
        <v>3.0</v>
      </c>
    </row>
    <row r="394">
      <c r="A394" s="151">
        <f>IFERROR(__xludf.DUMMYFUNCTION("""COMPUTED_VALUE"""),43723.14774881944)</f>
        <v>43723.14775</v>
      </c>
      <c r="B394" t="str">
        <f>IFERROR(__xludf.DUMMYFUNCTION("""COMPUTED_VALUE"""),"Janice/Mike")</f>
        <v>Janice/Mike</v>
      </c>
      <c r="C394" t="str">
        <f>IFERROR(__xludf.DUMMYFUNCTION("""COMPUTED_VALUE"""),"Arkansas")</f>
        <v>Arkansas</v>
      </c>
      <c r="D394">
        <f>IFERROR(__xludf.DUMMYFUNCTION("""COMPUTED_VALUE"""),2.0)</f>
        <v>2</v>
      </c>
      <c r="E394">
        <f>IFERROR(__xludf.DUMMYFUNCTION("""COMPUTED_VALUE"""),1.0)</f>
        <v>1</v>
      </c>
      <c r="F394" t="str">
        <f>IFERROR(__xludf.DUMMYFUNCTION("""COMPUTED_VALUE"""),"SEC Network")</f>
        <v>SEC Network</v>
      </c>
      <c r="G394" t="str">
        <f>IFERROR(__xludf.DUMMYFUNCTION("""COMPUTED_VALUE"""),"Colorado State 34 at Arkansas 55")</f>
        <v>Colorado State 34 at Arkansas 55</v>
      </c>
      <c r="H394" t="str">
        <f>IFERROR(__xludf.DUMMYFUNCTION("""COMPUTED_VALUE"""),"FINAL")</f>
        <v>FINAL</v>
      </c>
      <c r="I394" t="str">
        <f>IFERROR(__xludf.DUMMYFUNCTION("""COMPUTED_VALUE"""),"-9½")</f>
        <v>-9½</v>
      </c>
      <c r="J394" t="str">
        <f>IFERROR(__xludf.DUMMYFUNCTION("""COMPUTED_VALUE"""),"60½")</f>
        <v>60½</v>
      </c>
      <c r="K394" t="str">
        <f>IFERROR(__xludf.DUMMYFUNCTION("""COMPUTED_VALUE"""),"Brad")</f>
        <v>Brad</v>
      </c>
      <c r="L394">
        <f>IFERROR(__xludf.DUMMYFUNCTION("""COMPUTED_VALUE"""),9999.0)</f>
        <v>9999</v>
      </c>
      <c r="M394" s="124">
        <v>3.0</v>
      </c>
    </row>
    <row r="395">
      <c r="A395" s="151">
        <f>IFERROR(__xludf.DUMMYFUNCTION("""COMPUTED_VALUE"""),43723.14774881944)</f>
        <v>43723.14775</v>
      </c>
      <c r="B395" t="str">
        <f>IFERROR(__xludf.DUMMYFUNCTION("""COMPUTED_VALUE"""),"Janice/Mike")</f>
        <v>Janice/Mike</v>
      </c>
      <c r="C395" t="str">
        <f>IFERROR(__xludf.DUMMYFUNCTION("""COMPUTED_VALUE"""),"Navy")</f>
        <v>Navy</v>
      </c>
      <c r="D395">
        <f>IFERROR(__xludf.DUMMYFUNCTION("""COMPUTED_VALUE"""),2.0)</f>
        <v>2</v>
      </c>
      <c r="E395">
        <f>IFERROR(__xludf.DUMMYFUNCTION("""COMPUTED_VALUE"""),0.0)</f>
        <v>0</v>
      </c>
      <c r="F395" t="str">
        <f>IFERROR(__xludf.DUMMYFUNCTION("""COMPUTED_VALUE"""),"CBSSN")</f>
        <v>CBSSN</v>
      </c>
      <c r="G395" t="str">
        <f>IFERROR(__xludf.DUMMYFUNCTION("""COMPUTED_VALUE"""),"East Carolina 10 at Navy 42")</f>
        <v>East Carolina 10 at Navy 42</v>
      </c>
      <c r="H395" t="str">
        <f>IFERROR(__xludf.DUMMYFUNCTION("""COMPUTED_VALUE"""),"FINAL")</f>
        <v>FINAL</v>
      </c>
      <c r="I395">
        <f>IFERROR(__xludf.DUMMYFUNCTION("""COMPUTED_VALUE"""),-7.0)</f>
        <v>-7</v>
      </c>
      <c r="J395">
        <f>IFERROR(__xludf.DUMMYFUNCTION("""COMPUTED_VALUE"""),54.0)</f>
        <v>54</v>
      </c>
      <c r="K395" t="str">
        <f>IFERROR(__xludf.DUMMYFUNCTION("""COMPUTED_VALUE"""),"Nick A.")</f>
        <v>Nick A.</v>
      </c>
      <c r="L395">
        <f>IFERROR(__xludf.DUMMYFUNCTION("""COMPUTED_VALUE"""),9999.0)</f>
        <v>9999</v>
      </c>
      <c r="M395" s="124">
        <v>3.0</v>
      </c>
    </row>
    <row r="396">
      <c r="A396" s="151">
        <f>IFERROR(__xludf.DUMMYFUNCTION("""COMPUTED_VALUE"""),43723.14774881944)</f>
        <v>43723.14775</v>
      </c>
      <c r="B396" t="str">
        <f>IFERROR(__xludf.DUMMYFUNCTION("""COMPUTED_VALUE"""),"Janice/Mike")</f>
        <v>Janice/Mike</v>
      </c>
      <c r="C396" t="str">
        <f>IFERROR(__xludf.DUMMYFUNCTION("""COMPUTED_VALUE"""),"Boise State")</f>
        <v>Boise State</v>
      </c>
      <c r="D396">
        <f>IFERROR(__xludf.DUMMYFUNCTION("""COMPUTED_VALUE"""),3.0)</f>
        <v>3</v>
      </c>
      <c r="E396">
        <f>IFERROR(__xludf.DUMMYFUNCTION("""COMPUTED_VALUE"""),0.0)</f>
        <v>0</v>
      </c>
      <c r="F396" t="str">
        <f>IFERROR(__xludf.DUMMYFUNCTION("""COMPUTED_VALUE"""),"ESPN2")</f>
        <v>ESPN2</v>
      </c>
      <c r="G396" t="str">
        <f>IFERROR(__xludf.DUMMYFUNCTION("""COMPUTED_VALUE"""),"Portland State 10 at (22) Boise State 45")</f>
        <v>Portland State 10 at (22) Boise State 45</v>
      </c>
      <c r="H396" t="str">
        <f>IFERROR(__xludf.DUMMYFUNCTION("""COMPUTED_VALUE"""),"FINAL")</f>
        <v>FINAL</v>
      </c>
      <c r="I396" t="str">
        <f>IFERROR(__xludf.DUMMYFUNCTION("""COMPUTED_VALUE"""),"-31½")</f>
        <v>-31½</v>
      </c>
      <c r="J396">
        <f>IFERROR(__xludf.DUMMYFUNCTION("""COMPUTED_VALUE"""),54.0)</f>
        <v>54</v>
      </c>
      <c r="K396" t="str">
        <f>IFERROR(__xludf.DUMMYFUNCTION("""COMPUTED_VALUE"""),"Undrafted")</f>
        <v>Undrafted</v>
      </c>
      <c r="L396">
        <f>IFERROR(__xludf.DUMMYFUNCTION("""COMPUTED_VALUE"""),9999.0)</f>
        <v>9999</v>
      </c>
      <c r="M396" s="124">
        <v>3.0</v>
      </c>
    </row>
    <row r="397">
      <c r="A397" s="151">
        <f>IFERROR(__xludf.DUMMYFUNCTION("""COMPUTED_VALUE"""),43723.14774881944)</f>
        <v>43723.14775</v>
      </c>
      <c r="B397" t="str">
        <f>IFERROR(__xludf.DUMMYFUNCTION("""COMPUTED_VALUE"""),"Janice/Mike")</f>
        <v>Janice/Mike</v>
      </c>
      <c r="C397" t="str">
        <f>IFERROR(__xludf.DUMMYFUNCTION("""COMPUTED_VALUE"""),"Wisconsin")</f>
        <v>Wisconsin</v>
      </c>
      <c r="D397">
        <f>IFERROR(__xludf.DUMMYFUNCTION("""COMPUTED_VALUE"""),2.0)</f>
        <v>2</v>
      </c>
      <c r="E397">
        <f>IFERROR(__xludf.DUMMYFUNCTION("""COMPUTED_VALUE"""),0.0)</f>
        <v>0</v>
      </c>
      <c r="F397" t="str">
        <f>IFERROR(__xludf.DUMMYFUNCTION("""COMPUTED_VALUE"""),"NA")</f>
        <v>NA</v>
      </c>
      <c r="G397" t="str">
        <f>IFERROR(__xludf.DUMMYFUNCTION("""COMPUTED_VALUE"""),"BYE")</f>
        <v>BYE</v>
      </c>
      <c r="I397" t="str">
        <f>IFERROR(__xludf.DUMMYFUNCTION("""COMPUTED_VALUE"""),"bye")</f>
        <v>bye</v>
      </c>
      <c r="J397" t="str">
        <f>IFERROR(__xludf.DUMMYFUNCTION("""COMPUTED_VALUE"""),"bye")</f>
        <v>bye</v>
      </c>
      <c r="L397">
        <f>IFERROR(__xludf.DUMMYFUNCTION("""COMPUTED_VALUE"""),9999.0)</f>
        <v>9999</v>
      </c>
      <c r="M397" s="124">
        <v>3.0</v>
      </c>
    </row>
    <row r="398">
      <c r="A398" s="151">
        <f>IFERROR(__xludf.DUMMYFUNCTION("""COMPUTED_VALUE"""),43723.14774881944)</f>
        <v>43723.14775</v>
      </c>
      <c r="B398" t="str">
        <f>IFERROR(__xludf.DUMMYFUNCTION("""COMPUTED_VALUE"""),"Janice/Mike")</f>
        <v>Janice/Mike</v>
      </c>
      <c r="C398" t="str">
        <f>IFERROR(__xludf.DUMMYFUNCTION("""COMPUTED_VALUE"""),"Boston College")</f>
        <v>Boston College</v>
      </c>
      <c r="D398">
        <f>IFERROR(__xludf.DUMMYFUNCTION("""COMPUTED_VALUE"""),2.0)</f>
        <v>2</v>
      </c>
      <c r="E398">
        <f>IFERROR(__xludf.DUMMYFUNCTION("""COMPUTED_VALUE"""),1.0)</f>
        <v>1</v>
      </c>
      <c r="F398" t="str">
        <f>IFERROR(__xludf.DUMMYFUNCTION("""COMPUTED_VALUE"""),"ACC Network")</f>
        <v>ACC Network</v>
      </c>
      <c r="G398" t="str">
        <f>IFERROR(__xludf.DUMMYFUNCTION("""COMPUTED_VALUE"""),"Kansas 48 at Boston College 24")</f>
        <v>Kansas 48 at Boston College 24</v>
      </c>
      <c r="H398" t="str">
        <f>IFERROR(__xludf.DUMMYFUNCTION("""COMPUTED_VALUE"""),"FINAL")</f>
        <v>FINAL</v>
      </c>
      <c r="I398">
        <f>IFERROR(__xludf.DUMMYFUNCTION("""COMPUTED_VALUE"""),-21.0)</f>
        <v>-21</v>
      </c>
      <c r="J398">
        <f>IFERROR(__xludf.DUMMYFUNCTION("""COMPUTED_VALUE"""),53.0)</f>
        <v>53</v>
      </c>
      <c r="K398" t="str">
        <f>IFERROR(__xludf.DUMMYFUNCTION("""COMPUTED_VALUE"""),"Josh R.")</f>
        <v>Josh R.</v>
      </c>
      <c r="L398">
        <f>IFERROR(__xludf.DUMMYFUNCTION("""COMPUTED_VALUE"""),9999.0)</f>
        <v>9999</v>
      </c>
      <c r="M398" s="124">
        <v>3.0</v>
      </c>
    </row>
    <row r="399">
      <c r="A399" s="151">
        <f>IFERROR(__xludf.DUMMYFUNCTION("""COMPUTED_VALUE"""),43723.14774881944)</f>
        <v>43723.14775</v>
      </c>
      <c r="B399" t="str">
        <f>IFERROR(__xludf.DUMMYFUNCTION("""COMPUTED_VALUE"""),"Janice/Mike")</f>
        <v>Janice/Mike</v>
      </c>
      <c r="C399" t="str">
        <f>IFERROR(__xludf.DUMMYFUNCTION("""COMPUTED_VALUE"""),"Georgia Southern")</f>
        <v>Georgia Southern</v>
      </c>
      <c r="D399">
        <f>IFERROR(__xludf.DUMMYFUNCTION("""COMPUTED_VALUE"""),1.0)</f>
        <v>1</v>
      </c>
      <c r="E399">
        <f>IFERROR(__xludf.DUMMYFUNCTION("""COMPUTED_VALUE"""),2.0)</f>
        <v>2</v>
      </c>
      <c r="F399" t="str">
        <f>IFERROR(__xludf.DUMMYFUNCTION("""COMPUTED_VALUE"""),"BTN")</f>
        <v>BTN</v>
      </c>
      <c r="G399" t="str">
        <f>IFERROR(__xludf.DUMMYFUNCTION("""COMPUTED_VALUE"""),"Georgia Southern 32 at Minnesota 35")</f>
        <v>Georgia Southern 32 at Minnesota 35</v>
      </c>
      <c r="H399" t="str">
        <f>IFERROR(__xludf.DUMMYFUNCTION("""COMPUTED_VALUE"""),"FINAL")</f>
        <v>FINAL</v>
      </c>
      <c r="I399" t="str">
        <f>IFERROR(__xludf.DUMMYFUNCTION("""COMPUTED_VALUE"""),"15½")</f>
        <v>15½</v>
      </c>
      <c r="J399">
        <f>IFERROR(__xludf.DUMMYFUNCTION("""COMPUTED_VALUE"""),46.0)</f>
        <v>46</v>
      </c>
      <c r="K399" t="str">
        <f>IFERROR(__xludf.DUMMYFUNCTION("""COMPUTED_VALUE"""),"Josh R.")</f>
        <v>Josh R.</v>
      </c>
      <c r="L399">
        <f>IFERROR(__xludf.DUMMYFUNCTION("""COMPUTED_VALUE"""),9999.0)</f>
        <v>9999</v>
      </c>
      <c r="M399" s="124">
        <v>3.0</v>
      </c>
    </row>
    <row r="400">
      <c r="A400" s="151">
        <f>IFERROR(__xludf.DUMMYFUNCTION("""COMPUTED_VALUE"""),43723.14774881944)</f>
        <v>43723.14775</v>
      </c>
      <c r="B400" t="str">
        <f>IFERROR(__xludf.DUMMYFUNCTION("""COMPUTED_VALUE"""),"Janice/Mike")</f>
        <v>Janice/Mike</v>
      </c>
      <c r="C400" t="str">
        <f>IFERROR(__xludf.DUMMYFUNCTION("""COMPUTED_VALUE"""),"Texas Tech")</f>
        <v>Texas Tech</v>
      </c>
      <c r="D400">
        <f>IFERROR(__xludf.DUMMYFUNCTION("""COMPUTED_VALUE"""),2.0)</f>
        <v>2</v>
      </c>
      <c r="E400">
        <f>IFERROR(__xludf.DUMMYFUNCTION("""COMPUTED_VALUE"""),1.0)</f>
        <v>1</v>
      </c>
      <c r="F400" t="str">
        <f>IFERROR(__xludf.DUMMYFUNCTION("""COMPUTED_VALUE"""),"ESPN")</f>
        <v>ESPN</v>
      </c>
      <c r="G400" t="str">
        <f>IFERROR(__xludf.DUMMYFUNCTION("""COMPUTED_VALUE"""),"Texas Tech 14 at Arizona 28")</f>
        <v>Texas Tech 14 at Arizona 28</v>
      </c>
      <c r="H400" t="str">
        <f>IFERROR(__xludf.DUMMYFUNCTION("""COMPUTED_VALUE"""),"FINAL")</f>
        <v>FINAL</v>
      </c>
      <c r="I400" t="str">
        <f>IFERROR(__xludf.DUMMYFUNCTION("""COMPUTED_VALUE"""),"-2½")</f>
        <v>-2½</v>
      </c>
      <c r="J400" t="str">
        <f>IFERROR(__xludf.DUMMYFUNCTION("""COMPUTED_VALUE"""),"76½")</f>
        <v>76½</v>
      </c>
      <c r="K400" t="str">
        <f>IFERROR(__xludf.DUMMYFUNCTION("""COMPUTED_VALUE"""),"Janice/Mike")</f>
        <v>Janice/Mike</v>
      </c>
      <c r="L400">
        <f>IFERROR(__xludf.DUMMYFUNCTION("""COMPUTED_VALUE"""),9999.0)</f>
        <v>9999</v>
      </c>
      <c r="M400" s="124">
        <v>3.0</v>
      </c>
    </row>
    <row r="401">
      <c r="A401" s="151">
        <f>IFERROR(__xludf.DUMMYFUNCTION("""COMPUTED_VALUE"""),43723.14774881944)</f>
        <v>43723.14775</v>
      </c>
      <c r="B401" t="str">
        <f>IFERROR(__xludf.DUMMYFUNCTION("""COMPUTED_VALUE"""),"Janice/Mike")</f>
        <v>Janice/Mike</v>
      </c>
      <c r="C401" t="str">
        <f>IFERROR(__xludf.DUMMYFUNCTION("""COMPUTED_VALUE"""),"Arizona")</f>
        <v>Arizona</v>
      </c>
      <c r="D401">
        <f>IFERROR(__xludf.DUMMYFUNCTION("""COMPUTED_VALUE"""),2.0)</f>
        <v>2</v>
      </c>
      <c r="E401">
        <f>IFERROR(__xludf.DUMMYFUNCTION("""COMPUTED_VALUE"""),1.0)</f>
        <v>1</v>
      </c>
      <c r="F401" t="str">
        <f>IFERROR(__xludf.DUMMYFUNCTION("""COMPUTED_VALUE"""),"ESPN")</f>
        <v>ESPN</v>
      </c>
      <c r="G401" t="str">
        <f>IFERROR(__xludf.DUMMYFUNCTION("""COMPUTED_VALUE"""),"Texas Tech 14 at Arizona 28")</f>
        <v>Texas Tech 14 at Arizona 28</v>
      </c>
      <c r="H401" t="str">
        <f>IFERROR(__xludf.DUMMYFUNCTION("""COMPUTED_VALUE"""),"FINAL")</f>
        <v>FINAL</v>
      </c>
      <c r="I401" t="str">
        <f>IFERROR(__xludf.DUMMYFUNCTION("""COMPUTED_VALUE"""),"2½")</f>
        <v>2½</v>
      </c>
      <c r="J401" t="str">
        <f>IFERROR(__xludf.DUMMYFUNCTION("""COMPUTED_VALUE"""),"76½")</f>
        <v>76½</v>
      </c>
      <c r="K401" t="str">
        <f>IFERROR(__xludf.DUMMYFUNCTION("""COMPUTED_VALUE"""),"Janice/Mike")</f>
        <v>Janice/Mike</v>
      </c>
      <c r="L401">
        <f>IFERROR(__xludf.DUMMYFUNCTION("""COMPUTED_VALUE"""),9999.0)</f>
        <v>9999</v>
      </c>
      <c r="M401" s="124">
        <v>3.0</v>
      </c>
    </row>
    <row r="402">
      <c r="A402" s="151">
        <f>IFERROR(__xludf.DUMMYFUNCTION("""COMPUTED_VALUE"""),43723.14774881944)</f>
        <v>43723.14775</v>
      </c>
      <c r="B402" t="str">
        <f>IFERROR(__xludf.DUMMYFUNCTION("""COMPUTED_VALUE"""),"Nico")</f>
        <v>Nico</v>
      </c>
      <c r="C402" t="str">
        <f>IFERROR(__xludf.DUMMYFUNCTION("""COMPUTED_VALUE"""),"West Virginia")</f>
        <v>West Virginia</v>
      </c>
      <c r="D402">
        <f>IFERROR(__xludf.DUMMYFUNCTION("""COMPUTED_VALUE"""),2.0)</f>
        <v>2</v>
      </c>
      <c r="E402">
        <f>IFERROR(__xludf.DUMMYFUNCTION("""COMPUTED_VALUE"""),1.0)</f>
        <v>1</v>
      </c>
      <c r="F402" t="str">
        <f>IFERROR(__xludf.DUMMYFUNCTION("""COMPUTED_VALUE"""),"FS1")</f>
        <v>FS1</v>
      </c>
      <c r="G402" t="str">
        <f>IFERROR(__xludf.DUMMYFUNCTION("""COMPUTED_VALUE"""),"NC State 27 at West Virginia 44")</f>
        <v>NC State 27 at West Virginia 44</v>
      </c>
      <c r="H402" t="str">
        <f>IFERROR(__xludf.DUMMYFUNCTION("""COMPUTED_VALUE"""),"FINAL")</f>
        <v>FINAL</v>
      </c>
      <c r="I402" t="str">
        <f>IFERROR(__xludf.DUMMYFUNCTION("""COMPUTED_VALUE"""),"6½")</f>
        <v>6½</v>
      </c>
      <c r="J402">
        <f>IFERROR(__xludf.DUMMYFUNCTION("""COMPUTED_VALUE"""),47.0)</f>
        <v>47</v>
      </c>
      <c r="K402" t="str">
        <f>IFERROR(__xludf.DUMMYFUNCTION("""COMPUTED_VALUE"""),"Nick G.")</f>
        <v>Nick G.</v>
      </c>
      <c r="L402">
        <f>IFERROR(__xludf.DUMMYFUNCTION("""COMPUTED_VALUE"""),9999.0)</f>
        <v>9999</v>
      </c>
      <c r="M402" s="124">
        <v>3.0</v>
      </c>
    </row>
    <row r="403">
      <c r="A403" s="151">
        <f>IFERROR(__xludf.DUMMYFUNCTION("""COMPUTED_VALUE"""),43723.14774881944)</f>
        <v>43723.14775</v>
      </c>
      <c r="B403" t="str">
        <f>IFERROR(__xludf.DUMMYFUNCTION("""COMPUTED_VALUE"""),"Nico")</f>
        <v>Nico</v>
      </c>
      <c r="C403" t="str">
        <f>IFERROR(__xludf.DUMMYFUNCTION("""COMPUTED_VALUE"""),"North Carolina")</f>
        <v>North Carolina</v>
      </c>
      <c r="D403">
        <f>IFERROR(__xludf.DUMMYFUNCTION("""COMPUTED_VALUE"""),2.0)</f>
        <v>2</v>
      </c>
      <c r="E403">
        <f>IFERROR(__xludf.DUMMYFUNCTION("""COMPUTED_VALUE"""),1.0)</f>
        <v>1</v>
      </c>
      <c r="F403" t="str">
        <f>IFERROR(__xludf.DUMMYFUNCTION("""COMPUTED_VALUE"""),"NA")</f>
        <v>NA</v>
      </c>
      <c r="G403" t="str">
        <f>IFERROR(__xludf.DUMMYFUNCTION("""COMPUTED_VALUE"""),"North Carolina 18 at Wake Forest 24")</f>
        <v>North Carolina 18 at Wake Forest 24</v>
      </c>
      <c r="H403" t="str">
        <f>IFERROR(__xludf.DUMMYFUNCTION("""COMPUTED_VALUE"""),"FINAL")</f>
        <v>FINAL</v>
      </c>
      <c r="I403">
        <f>IFERROR(__xludf.DUMMYFUNCTION("""COMPUTED_VALUE"""),3.0)</f>
        <v>3</v>
      </c>
      <c r="J403">
        <f>IFERROR(__xludf.DUMMYFUNCTION("""COMPUTED_VALUE"""),67.0)</f>
        <v>67</v>
      </c>
      <c r="K403" t="str">
        <f>IFERROR(__xludf.DUMMYFUNCTION("""COMPUTED_VALUE"""),"Adam")</f>
        <v>Adam</v>
      </c>
      <c r="L403">
        <f>IFERROR(__xludf.DUMMYFUNCTION("""COMPUTED_VALUE"""),9999.0)</f>
        <v>9999</v>
      </c>
      <c r="M403" s="124">
        <v>3.0</v>
      </c>
    </row>
    <row r="404">
      <c r="A404" s="151">
        <f>IFERROR(__xludf.DUMMYFUNCTION("""COMPUTED_VALUE"""),43723.14774881944)</f>
        <v>43723.14775</v>
      </c>
      <c r="B404" t="str">
        <f>IFERROR(__xludf.DUMMYFUNCTION("""COMPUTED_VALUE"""),"Nico")</f>
        <v>Nico</v>
      </c>
      <c r="C404" t="str">
        <f>IFERROR(__xludf.DUMMYFUNCTION("""COMPUTED_VALUE"""),"Arkansas State")</f>
        <v>Arkansas State</v>
      </c>
      <c r="D404">
        <f>IFERROR(__xludf.DUMMYFUNCTION("""COMPUTED_VALUE"""),1.0)</f>
        <v>1</v>
      </c>
      <c r="E404">
        <f>IFERROR(__xludf.DUMMYFUNCTION("""COMPUTED_VALUE"""),2.0)</f>
        <v>2</v>
      </c>
      <c r="F404" t="str">
        <f>IFERROR(__xludf.DUMMYFUNCTION("""COMPUTED_VALUE"""),"ESPN2")</f>
        <v>ESPN2</v>
      </c>
      <c r="G404" t="str">
        <f>IFERROR(__xludf.DUMMYFUNCTION("""COMPUTED_VALUE"""),"Arkansas State 0 at (3) Georgia 55")</f>
        <v>Arkansas State 0 at (3) Georgia 55</v>
      </c>
      <c r="H404" t="str">
        <f>IFERROR(__xludf.DUMMYFUNCTION("""COMPUTED_VALUE"""),"FINAL")</f>
        <v>FINAL</v>
      </c>
      <c r="I404" t="str">
        <f>IFERROR(__xludf.DUMMYFUNCTION("""COMPUTED_VALUE"""),"33½")</f>
        <v>33½</v>
      </c>
      <c r="J404">
        <f>IFERROR(__xludf.DUMMYFUNCTION("""COMPUTED_VALUE"""),58.0)</f>
        <v>58</v>
      </c>
      <c r="K404" t="str">
        <f>IFERROR(__xludf.DUMMYFUNCTION("""COMPUTED_VALUE"""),"Nico")</f>
        <v>Nico</v>
      </c>
      <c r="L404">
        <f>IFERROR(__xludf.DUMMYFUNCTION("""COMPUTED_VALUE"""),9999.0)</f>
        <v>9999</v>
      </c>
      <c r="M404" s="124">
        <v>3.0</v>
      </c>
    </row>
    <row r="405">
      <c r="A405" s="151">
        <f>IFERROR(__xludf.DUMMYFUNCTION("""COMPUTED_VALUE"""),43723.14774881944)</f>
        <v>43723.14775</v>
      </c>
      <c r="B405" t="str">
        <f>IFERROR(__xludf.DUMMYFUNCTION("""COMPUTED_VALUE"""),"Nico")</f>
        <v>Nico</v>
      </c>
      <c r="C405" t="str">
        <f>IFERROR(__xludf.DUMMYFUNCTION("""COMPUTED_VALUE"""),"New Mexico")</f>
        <v>New Mexico</v>
      </c>
      <c r="D405">
        <f>IFERROR(__xludf.DUMMYFUNCTION("""COMPUTED_VALUE"""),1.0)</f>
        <v>1</v>
      </c>
      <c r="E405">
        <f>IFERROR(__xludf.DUMMYFUNCTION("""COMPUTED_VALUE"""),1.0)</f>
        <v>1</v>
      </c>
      <c r="F405" t="str">
        <f>IFERROR(__xludf.DUMMYFUNCTION("""COMPUTED_VALUE"""),"NBC")</f>
        <v>NBC</v>
      </c>
      <c r="G405" t="str">
        <f>IFERROR(__xludf.DUMMYFUNCTION("""COMPUTED_VALUE"""),"New Mexico 14 at (7) Notre Dame 66")</f>
        <v>New Mexico 14 at (7) Notre Dame 66</v>
      </c>
      <c r="H405" t="str">
        <f>IFERROR(__xludf.DUMMYFUNCTION("""COMPUTED_VALUE"""),"FINAL")</f>
        <v>FINAL</v>
      </c>
      <c r="I405">
        <f>IFERROR(__xludf.DUMMYFUNCTION("""COMPUTED_VALUE"""),35.0)</f>
        <v>35</v>
      </c>
      <c r="J405" t="str">
        <f>IFERROR(__xludf.DUMMYFUNCTION("""COMPUTED_VALUE"""),"63½")</f>
        <v>63½</v>
      </c>
      <c r="K405" t="str">
        <f>IFERROR(__xludf.DUMMYFUNCTION("""COMPUTED_VALUE"""),"DavEmily")</f>
        <v>DavEmily</v>
      </c>
      <c r="L405">
        <f>IFERROR(__xludf.DUMMYFUNCTION("""COMPUTED_VALUE"""),9999.0)</f>
        <v>9999</v>
      </c>
      <c r="M405" s="124">
        <v>3.0</v>
      </c>
    </row>
    <row r="406">
      <c r="A406" s="151">
        <f>IFERROR(__xludf.DUMMYFUNCTION("""COMPUTED_VALUE"""),43723.14774881944)</f>
        <v>43723.14775</v>
      </c>
      <c r="B406" t="str">
        <f>IFERROR(__xludf.DUMMYFUNCTION("""COMPUTED_VALUE"""),"Nico")</f>
        <v>Nico</v>
      </c>
      <c r="C406" t="str">
        <f>IFERROR(__xludf.DUMMYFUNCTION("""COMPUTED_VALUE"""),"Arizona State")</f>
        <v>Arizona State</v>
      </c>
      <c r="D406">
        <f>IFERROR(__xludf.DUMMYFUNCTION("""COMPUTED_VALUE"""),3.0)</f>
        <v>3</v>
      </c>
      <c r="E406">
        <f>IFERROR(__xludf.DUMMYFUNCTION("""COMPUTED_VALUE"""),0.0)</f>
        <v>0</v>
      </c>
      <c r="F406" t="str">
        <f>IFERROR(__xludf.DUMMYFUNCTION("""COMPUTED_VALUE"""),"FOX")</f>
        <v>FOX</v>
      </c>
      <c r="G406" t="str">
        <f>IFERROR(__xludf.DUMMYFUNCTION("""COMPUTED_VALUE"""),"Arizona State 10 at (19) Michigan State 7")</f>
        <v>Arizona State 10 at (19) Michigan State 7</v>
      </c>
      <c r="H406" t="str">
        <f>IFERROR(__xludf.DUMMYFUNCTION("""COMPUTED_VALUE"""),"FINAL")</f>
        <v>FINAL</v>
      </c>
      <c r="I406">
        <f>IFERROR(__xludf.DUMMYFUNCTION("""COMPUTED_VALUE"""),14.0)</f>
        <v>14</v>
      </c>
      <c r="J406">
        <f>IFERROR(__xludf.DUMMYFUNCTION("""COMPUTED_VALUE"""),42.0)</f>
        <v>42</v>
      </c>
      <c r="K406" t="str">
        <f>IFERROR(__xludf.DUMMYFUNCTION("""COMPUTED_VALUE"""),"Nick A.")</f>
        <v>Nick A.</v>
      </c>
      <c r="L406">
        <f>IFERROR(__xludf.DUMMYFUNCTION("""COMPUTED_VALUE"""),9999.0)</f>
        <v>9999</v>
      </c>
      <c r="M406" s="124">
        <v>3.0</v>
      </c>
    </row>
    <row r="407">
      <c r="A407" s="151">
        <f>IFERROR(__xludf.DUMMYFUNCTION("""COMPUTED_VALUE"""),43723.14774881944)</f>
        <v>43723.14775</v>
      </c>
      <c r="B407" t="str">
        <f>IFERROR(__xludf.DUMMYFUNCTION("""COMPUTED_VALUE"""),"Nico")</f>
        <v>Nico</v>
      </c>
      <c r="C407" t="str">
        <f>IFERROR(__xludf.DUMMYFUNCTION("""COMPUTED_VALUE"""),"Purdue")</f>
        <v>Purdue</v>
      </c>
      <c r="D407">
        <f>IFERROR(__xludf.DUMMYFUNCTION("""COMPUTED_VALUE"""),1.0)</f>
        <v>1</v>
      </c>
      <c r="E407">
        <f>IFERROR(__xludf.DUMMYFUNCTION("""COMPUTED_VALUE"""),2.0)</f>
        <v>2</v>
      </c>
      <c r="F407" t="str">
        <f>IFERROR(__xludf.DUMMYFUNCTION("""COMPUTED_VALUE"""),"BTN")</f>
        <v>BTN</v>
      </c>
      <c r="G407" t="str">
        <f>IFERROR(__xludf.DUMMYFUNCTION("""COMPUTED_VALUE"""),"TCU 34 at Purdue 13")</f>
        <v>TCU 34 at Purdue 13</v>
      </c>
      <c r="H407" t="str">
        <f>IFERROR(__xludf.DUMMYFUNCTION("""COMPUTED_VALUE"""),"FINAL")</f>
        <v>FINAL</v>
      </c>
      <c r="I407" t="str">
        <f>IFERROR(__xludf.DUMMYFUNCTION("""COMPUTED_VALUE"""),"2½")</f>
        <v>2½</v>
      </c>
      <c r="J407">
        <f>IFERROR(__xludf.DUMMYFUNCTION("""COMPUTED_VALUE"""),51.0)</f>
        <v>51</v>
      </c>
      <c r="K407" t="str">
        <f>IFERROR(__xludf.DUMMYFUNCTION("""COMPUTED_VALUE"""),"Vu")</f>
        <v>Vu</v>
      </c>
      <c r="L407">
        <f>IFERROR(__xludf.DUMMYFUNCTION("""COMPUTED_VALUE"""),9999.0)</f>
        <v>9999</v>
      </c>
      <c r="M407" s="124">
        <v>3.0</v>
      </c>
    </row>
    <row r="408">
      <c r="A408" s="151">
        <f>IFERROR(__xludf.DUMMYFUNCTION("""COMPUTED_VALUE"""),43723.14774881944)</f>
        <v>43723.14775</v>
      </c>
      <c r="B408" t="str">
        <f>IFERROR(__xludf.DUMMYFUNCTION("""COMPUTED_VALUE"""),"Nico")</f>
        <v>Nico</v>
      </c>
      <c r="C408" t="str">
        <f>IFERROR(__xludf.DUMMYFUNCTION("""COMPUTED_VALUE"""),"Miami-OH")</f>
        <v>Miami-OH</v>
      </c>
      <c r="D408">
        <f>IFERROR(__xludf.DUMMYFUNCTION("""COMPUTED_VALUE"""),1.0)</f>
        <v>1</v>
      </c>
      <c r="E408">
        <f>IFERROR(__xludf.DUMMYFUNCTION("""COMPUTED_VALUE"""),2.0)</f>
        <v>2</v>
      </c>
      <c r="F408" t="str">
        <f>IFERROR(__xludf.DUMMYFUNCTION("""COMPUTED_VALUE"""),"NA")</f>
        <v>NA</v>
      </c>
      <c r="G408" t="str">
        <f>IFERROR(__xludf.DUMMYFUNCTION("""COMPUTED_VALUE"""),"Miami-OH 13 at Cincinnati 35")</f>
        <v>Miami-OH 13 at Cincinnati 35</v>
      </c>
      <c r="H408" t="str">
        <f>IFERROR(__xludf.DUMMYFUNCTION("""COMPUTED_VALUE"""),"FINAL")</f>
        <v>FINAL</v>
      </c>
      <c r="I408">
        <f>IFERROR(__xludf.DUMMYFUNCTION("""COMPUTED_VALUE"""),17.0)</f>
        <v>17</v>
      </c>
      <c r="J408">
        <f>IFERROR(__xludf.DUMMYFUNCTION("""COMPUTED_VALUE"""),49.0)</f>
        <v>49</v>
      </c>
      <c r="K408" t="str">
        <f>IFERROR(__xludf.DUMMYFUNCTION("""COMPUTED_VALUE"""),"Vu")</f>
        <v>Vu</v>
      </c>
      <c r="L408">
        <f>IFERROR(__xludf.DUMMYFUNCTION("""COMPUTED_VALUE"""),9999.0)</f>
        <v>9999</v>
      </c>
      <c r="M408" s="124">
        <v>3.0</v>
      </c>
    </row>
    <row r="409">
      <c r="A409" s="151">
        <f>IFERROR(__xludf.DUMMYFUNCTION("""COMPUTED_VALUE"""),43723.14774881944)</f>
        <v>43723.14775</v>
      </c>
      <c r="B409" t="str">
        <f>IFERROR(__xludf.DUMMYFUNCTION("""COMPUTED_VALUE"""),"Nico")</f>
        <v>Nico</v>
      </c>
      <c r="C409" t="str">
        <f>IFERROR(__xludf.DUMMYFUNCTION("""COMPUTED_VALUE"""),"Georgia")</f>
        <v>Georgia</v>
      </c>
      <c r="D409">
        <f>IFERROR(__xludf.DUMMYFUNCTION("""COMPUTED_VALUE"""),3.0)</f>
        <v>3</v>
      </c>
      <c r="E409">
        <f>IFERROR(__xludf.DUMMYFUNCTION("""COMPUTED_VALUE"""),0.0)</f>
        <v>0</v>
      </c>
      <c r="F409" t="str">
        <f>IFERROR(__xludf.DUMMYFUNCTION("""COMPUTED_VALUE"""),"ESPN2")</f>
        <v>ESPN2</v>
      </c>
      <c r="G409" t="str">
        <f>IFERROR(__xludf.DUMMYFUNCTION("""COMPUTED_VALUE"""),"Arkansas State 0 at (3) Georgia 55")</f>
        <v>Arkansas State 0 at (3) Georgia 55</v>
      </c>
      <c r="H409" t="str">
        <f>IFERROR(__xludf.DUMMYFUNCTION("""COMPUTED_VALUE"""),"FINAL")</f>
        <v>FINAL</v>
      </c>
      <c r="I409" t="str">
        <f>IFERROR(__xludf.DUMMYFUNCTION("""COMPUTED_VALUE"""),"-33½")</f>
        <v>-33½</v>
      </c>
      <c r="J409">
        <f>IFERROR(__xludf.DUMMYFUNCTION("""COMPUTED_VALUE"""),58.0)</f>
        <v>58</v>
      </c>
      <c r="K409" t="str">
        <f>IFERROR(__xludf.DUMMYFUNCTION("""COMPUTED_VALUE"""),"Nico")</f>
        <v>Nico</v>
      </c>
      <c r="L409">
        <f>IFERROR(__xludf.DUMMYFUNCTION("""COMPUTED_VALUE"""),9999.0)</f>
        <v>9999</v>
      </c>
      <c r="M409" s="124">
        <v>3.0</v>
      </c>
    </row>
    <row r="410">
      <c r="A410" s="151">
        <f>IFERROR(__xludf.DUMMYFUNCTION("""COMPUTED_VALUE"""),43723.14774881944)</f>
        <v>43723.14775</v>
      </c>
      <c r="B410" t="str">
        <f>IFERROR(__xludf.DUMMYFUNCTION("""COMPUTED_VALUE"""),"Nico")</f>
        <v>Nico</v>
      </c>
      <c r="C410" t="str">
        <f>IFERROR(__xludf.DUMMYFUNCTION("""COMPUTED_VALUE"""),"Middle Tennessee")</f>
        <v>Middle Tennessee</v>
      </c>
      <c r="D410">
        <f>IFERROR(__xludf.DUMMYFUNCTION("""COMPUTED_VALUE"""),1.0)</f>
        <v>1</v>
      </c>
      <c r="E410">
        <f>IFERROR(__xludf.DUMMYFUNCTION("""COMPUTED_VALUE"""),2.0)</f>
        <v>2</v>
      </c>
      <c r="F410" t="str">
        <f>IFERROR(__xludf.DUMMYFUNCTION("""COMPUTED_VALUE"""),"Facebook Video")</f>
        <v>Facebook Video</v>
      </c>
      <c r="G410" t="str">
        <f>IFERROR(__xludf.DUMMYFUNCTION("""COMPUTED_VALUE"""),"Duke 41 at Middle Tennessee 18")</f>
        <v>Duke 41 at Middle Tennessee 18</v>
      </c>
      <c r="H410" t="str">
        <f>IFERROR(__xludf.DUMMYFUNCTION("""COMPUTED_VALUE"""),"FINAL")</f>
        <v>FINAL</v>
      </c>
      <c r="I410" t="str">
        <f>IFERROR(__xludf.DUMMYFUNCTION("""COMPUTED_VALUE"""),"6½")</f>
        <v>6½</v>
      </c>
      <c r="J410" t="str">
        <f>IFERROR(__xludf.DUMMYFUNCTION("""COMPUTED_VALUE"""),"50½")</f>
        <v>50½</v>
      </c>
      <c r="K410" t="str">
        <f>IFERROR(__xludf.DUMMYFUNCTION("""COMPUTED_VALUE"""),"Justin")</f>
        <v>Justin</v>
      </c>
      <c r="L410">
        <f>IFERROR(__xludf.DUMMYFUNCTION("""COMPUTED_VALUE"""),9999.0)</f>
        <v>9999</v>
      </c>
      <c r="M410" s="124">
        <v>3.0</v>
      </c>
    </row>
    <row r="411">
      <c r="A411" s="151">
        <f>IFERROR(__xludf.DUMMYFUNCTION("""COMPUTED_VALUE"""),43723.14774881944)</f>
        <v>43723.14775</v>
      </c>
      <c r="B411" t="str">
        <f>IFERROR(__xludf.DUMMYFUNCTION("""COMPUTED_VALUE"""),"Nico")</f>
        <v>Nico</v>
      </c>
      <c r="C411" t="str">
        <f>IFERROR(__xludf.DUMMYFUNCTION("""COMPUTED_VALUE"""),"Houston")</f>
        <v>Houston</v>
      </c>
      <c r="D411">
        <f>IFERROR(__xludf.DUMMYFUNCTION("""COMPUTED_VALUE"""),1.0)</f>
        <v>1</v>
      </c>
      <c r="E411">
        <f>IFERROR(__xludf.DUMMYFUNCTION("""COMPUTED_VALUE"""),2.0)</f>
        <v>2</v>
      </c>
      <c r="F411" t="str">
        <f>IFERROR(__xludf.DUMMYFUNCTION("""COMPUTED_VALUE"""),"ESPN")</f>
        <v>ESPN</v>
      </c>
      <c r="G411" t="str">
        <f>IFERROR(__xludf.DUMMYFUNCTION("""COMPUTED_VALUE"""),"(20) Washington State 31 at Houston 24")</f>
        <v>(20) Washington State 31 at Houston 24</v>
      </c>
      <c r="H411" t="str">
        <f>IFERROR(__xludf.DUMMYFUNCTION("""COMPUTED_VALUE"""),"FINAL")</f>
        <v>FINAL</v>
      </c>
      <c r="I411">
        <f>IFERROR(__xludf.DUMMYFUNCTION("""COMPUTED_VALUE"""),9.0)</f>
        <v>9</v>
      </c>
      <c r="J411" t="str">
        <f>IFERROR(__xludf.DUMMYFUNCTION("""COMPUTED_VALUE"""),"75½")</f>
        <v>75½</v>
      </c>
      <c r="K411" t="str">
        <f>IFERROR(__xludf.DUMMYFUNCTION("""COMPUTED_VALUE"""),"Nick A.")</f>
        <v>Nick A.</v>
      </c>
      <c r="L411">
        <f>IFERROR(__xludf.DUMMYFUNCTION("""COMPUTED_VALUE"""),9999.0)</f>
        <v>9999</v>
      </c>
      <c r="M411" s="124">
        <v>3.0</v>
      </c>
    </row>
    <row r="412">
      <c r="A412" s="151">
        <f>IFERROR(__xludf.DUMMYFUNCTION("""COMPUTED_VALUE"""),43723.14774881944)</f>
        <v>43723.14775</v>
      </c>
      <c r="B412" t="str">
        <f>IFERROR(__xludf.DUMMYFUNCTION("""COMPUTED_VALUE"""),"Jeannine")</f>
        <v>Jeannine</v>
      </c>
      <c r="C412" t="str">
        <f>IFERROR(__xludf.DUMMYFUNCTION("""COMPUTED_VALUE"""),"Colorado")</f>
        <v>Colorado</v>
      </c>
      <c r="D412">
        <f>IFERROR(__xludf.DUMMYFUNCTION("""COMPUTED_VALUE"""),2.0)</f>
        <v>2</v>
      </c>
      <c r="E412">
        <f>IFERROR(__xludf.DUMMYFUNCTION("""COMPUTED_VALUE"""),1.0)</f>
        <v>1</v>
      </c>
      <c r="F412" t="str">
        <f>IFERROR(__xludf.DUMMYFUNCTION("""COMPUTED_VALUE"""),"Pac-12")</f>
        <v>Pac-12</v>
      </c>
      <c r="G412" t="str">
        <f>IFERROR(__xludf.DUMMYFUNCTION("""COMPUTED_VALUE"""),"Air Force 30 at Colorado 23")</f>
        <v>Air Force 30 at Colorado 23</v>
      </c>
      <c r="H412" t="str">
        <f>IFERROR(__xludf.DUMMYFUNCTION("""COMPUTED_VALUE"""),"FINAL - OT")</f>
        <v>FINAL - OT</v>
      </c>
      <c r="I412">
        <f>IFERROR(__xludf.DUMMYFUNCTION("""COMPUTED_VALUE"""),-4.0)</f>
        <v>-4</v>
      </c>
      <c r="J412" t="str">
        <f>IFERROR(__xludf.DUMMYFUNCTION("""COMPUTED_VALUE"""),"58½")</f>
        <v>58½</v>
      </c>
      <c r="K412" t="str">
        <f>IFERROR(__xludf.DUMMYFUNCTION("""COMPUTED_VALUE"""),"Adam")</f>
        <v>Adam</v>
      </c>
      <c r="L412">
        <f>IFERROR(__xludf.DUMMYFUNCTION("""COMPUTED_VALUE"""),9999.0)</f>
        <v>9999</v>
      </c>
      <c r="M412" s="124">
        <v>3.0</v>
      </c>
    </row>
    <row r="413">
      <c r="A413" s="151">
        <f>IFERROR(__xludf.DUMMYFUNCTION("""COMPUTED_VALUE"""),43723.14774881944)</f>
        <v>43723.14775</v>
      </c>
      <c r="B413" t="str">
        <f>IFERROR(__xludf.DUMMYFUNCTION("""COMPUTED_VALUE"""),"Jeannine")</f>
        <v>Jeannine</v>
      </c>
      <c r="C413" t="str">
        <f>IFERROR(__xludf.DUMMYFUNCTION("""COMPUTED_VALUE"""),"UL Monroe")</f>
        <v>UL Monroe</v>
      </c>
      <c r="D413">
        <f>IFERROR(__xludf.DUMMYFUNCTION("""COMPUTED_VALUE"""),1.0)</f>
        <v>1</v>
      </c>
      <c r="E413">
        <f>IFERROR(__xludf.DUMMYFUNCTION("""COMPUTED_VALUE"""),1.0)</f>
        <v>1</v>
      </c>
      <c r="F413" t="str">
        <f>IFERROR(__xludf.DUMMYFUNCTION("""COMPUTED_VALUE"""),"NA")</f>
        <v>NA</v>
      </c>
      <c r="G413" t="str">
        <f>IFERROR(__xludf.DUMMYFUNCTION("""COMPUTED_VALUE"""),"BYE")</f>
        <v>BYE</v>
      </c>
      <c r="I413" t="str">
        <f>IFERROR(__xludf.DUMMYFUNCTION("""COMPUTED_VALUE"""),"bye")</f>
        <v>bye</v>
      </c>
      <c r="J413" t="str">
        <f>IFERROR(__xludf.DUMMYFUNCTION("""COMPUTED_VALUE"""),"bye")</f>
        <v>bye</v>
      </c>
      <c r="L413">
        <f>IFERROR(__xludf.DUMMYFUNCTION("""COMPUTED_VALUE"""),9999.0)</f>
        <v>9999</v>
      </c>
      <c r="M413" s="124">
        <v>3.0</v>
      </c>
    </row>
    <row r="414">
      <c r="A414" s="151">
        <f>IFERROR(__xludf.DUMMYFUNCTION("""COMPUTED_VALUE"""),43723.14774881944)</f>
        <v>43723.14775</v>
      </c>
      <c r="B414" t="str">
        <f>IFERROR(__xludf.DUMMYFUNCTION("""COMPUTED_VALUE"""),"Jeannine")</f>
        <v>Jeannine</v>
      </c>
      <c r="C414" t="str">
        <f>IFERROR(__xludf.DUMMYFUNCTION("""COMPUTED_VALUE"""),"Western Michigan")</f>
        <v>Western Michigan</v>
      </c>
      <c r="D414">
        <f>IFERROR(__xludf.DUMMYFUNCTION("""COMPUTED_VALUE"""),2.0)</f>
        <v>2</v>
      </c>
      <c r="E414">
        <f>IFERROR(__xludf.DUMMYFUNCTION("""COMPUTED_VALUE"""),1.0)</f>
        <v>1</v>
      </c>
      <c r="F414" t="str">
        <f>IFERROR(__xludf.DUMMYFUNCTION("""COMPUTED_VALUE"""),"espn+ Video")</f>
        <v>espn+ Video</v>
      </c>
      <c r="G414" t="str">
        <f>IFERROR(__xludf.DUMMYFUNCTION("""COMPUTED_VALUE"""),"Georgia State 10 at Western Michigan 57")</f>
        <v>Georgia State 10 at Western Michigan 57</v>
      </c>
      <c r="H414" t="str">
        <f>IFERROR(__xludf.DUMMYFUNCTION("""COMPUTED_VALUE"""),"FINAL")</f>
        <v>FINAL</v>
      </c>
      <c r="I414" t="str">
        <f>IFERROR(__xludf.DUMMYFUNCTION("""COMPUTED_VALUE"""),"-9½")</f>
        <v>-9½</v>
      </c>
      <c r="J414" t="str">
        <f>IFERROR(__xludf.DUMMYFUNCTION("""COMPUTED_VALUE"""),"69½")</f>
        <v>69½</v>
      </c>
      <c r="K414" t="str">
        <f>IFERROR(__xludf.DUMMYFUNCTION("""COMPUTED_VALUE"""),"Adam")</f>
        <v>Adam</v>
      </c>
      <c r="L414">
        <f>IFERROR(__xludf.DUMMYFUNCTION("""COMPUTED_VALUE"""),9999.0)</f>
        <v>9999</v>
      </c>
      <c r="M414" s="124">
        <v>3.0</v>
      </c>
    </row>
    <row r="415">
      <c r="A415" s="151">
        <f>IFERROR(__xludf.DUMMYFUNCTION("""COMPUTED_VALUE"""),43723.14774881944)</f>
        <v>43723.14775</v>
      </c>
      <c r="B415" t="str">
        <f>IFERROR(__xludf.DUMMYFUNCTION("""COMPUTED_VALUE"""),"Jeannine")</f>
        <v>Jeannine</v>
      </c>
      <c r="C415" t="str">
        <f>IFERROR(__xludf.DUMMYFUNCTION("""COMPUTED_VALUE"""),"San José State")</f>
        <v>San José State</v>
      </c>
      <c r="D415">
        <f>IFERROR(__xludf.DUMMYFUNCTION("""COMPUTED_VALUE"""),1.0)</f>
        <v>1</v>
      </c>
      <c r="E415">
        <f>IFERROR(__xludf.DUMMYFUNCTION("""COMPUTED_VALUE"""),1.0)</f>
        <v>1</v>
      </c>
      <c r="F415" t="str">
        <f>IFERROR(__xludf.DUMMYFUNCTION("""COMPUTED_VALUE"""),"NA")</f>
        <v>NA</v>
      </c>
      <c r="G415" t="str">
        <f>IFERROR(__xludf.DUMMYFUNCTION("""COMPUTED_VALUE"""),"BYE")</f>
        <v>BYE</v>
      </c>
      <c r="I415" t="str">
        <f>IFERROR(__xludf.DUMMYFUNCTION("""COMPUTED_VALUE"""),"bye")</f>
        <v>bye</v>
      </c>
      <c r="J415" t="str">
        <f>IFERROR(__xludf.DUMMYFUNCTION("""COMPUTED_VALUE"""),"bye")</f>
        <v>bye</v>
      </c>
      <c r="L415">
        <f>IFERROR(__xludf.DUMMYFUNCTION("""COMPUTED_VALUE"""),9999.0)</f>
        <v>9999</v>
      </c>
      <c r="M415" s="124">
        <v>3.0</v>
      </c>
    </row>
    <row r="416">
      <c r="A416" s="151">
        <f>IFERROR(__xludf.DUMMYFUNCTION("""COMPUTED_VALUE"""),43723.14774881944)</f>
        <v>43723.14775</v>
      </c>
      <c r="B416" t="str">
        <f>IFERROR(__xludf.DUMMYFUNCTION("""COMPUTED_VALUE"""),"Jeannine")</f>
        <v>Jeannine</v>
      </c>
      <c r="C416" t="str">
        <f>IFERROR(__xludf.DUMMYFUNCTION("""COMPUTED_VALUE"""),"Virginia")</f>
        <v>Virginia</v>
      </c>
      <c r="D416">
        <f>IFERROR(__xludf.DUMMYFUNCTION("""COMPUTED_VALUE"""),3.0)</f>
        <v>3</v>
      </c>
      <c r="E416">
        <f>IFERROR(__xludf.DUMMYFUNCTION("""COMPUTED_VALUE"""),0.0)</f>
        <v>0</v>
      </c>
      <c r="F416" t="str">
        <f>IFERROR(__xludf.DUMMYFUNCTION("""COMPUTED_VALUE"""),"ACC Network")</f>
        <v>ACC Network</v>
      </c>
      <c r="G416" t="str">
        <f>IFERROR(__xludf.DUMMYFUNCTION("""COMPUTED_VALUE"""),"Florida State 24 at Virginia 31")</f>
        <v>Florida State 24 at Virginia 31</v>
      </c>
      <c r="H416" t="str">
        <f>IFERROR(__xludf.DUMMYFUNCTION("""COMPUTED_VALUE"""),"FINAL")</f>
        <v>FINAL</v>
      </c>
      <c r="I416">
        <f>IFERROR(__xludf.DUMMYFUNCTION("""COMPUTED_VALUE"""),-7.0)</f>
        <v>-7</v>
      </c>
      <c r="J416">
        <f>IFERROR(__xludf.DUMMYFUNCTION("""COMPUTED_VALUE"""),57.0)</f>
        <v>57</v>
      </c>
      <c r="K416" t="str">
        <f>IFERROR(__xludf.DUMMYFUNCTION("""COMPUTED_VALUE"""),"Josh R.")</f>
        <v>Josh R.</v>
      </c>
      <c r="L416">
        <f>IFERROR(__xludf.DUMMYFUNCTION("""COMPUTED_VALUE"""),9999.0)</f>
        <v>9999</v>
      </c>
      <c r="M416" s="124">
        <v>3.0</v>
      </c>
    </row>
    <row r="417">
      <c r="A417" s="151">
        <f>IFERROR(__xludf.DUMMYFUNCTION("""COMPUTED_VALUE"""),43723.14774881944)</f>
        <v>43723.14775</v>
      </c>
      <c r="B417" t="str">
        <f>IFERROR(__xludf.DUMMYFUNCTION("""COMPUTED_VALUE"""),"Jeannine")</f>
        <v>Jeannine</v>
      </c>
      <c r="C417" t="str">
        <f>IFERROR(__xludf.DUMMYFUNCTION("""COMPUTED_VALUE"""),"UAB")</f>
        <v>UAB</v>
      </c>
      <c r="D417">
        <f>IFERROR(__xludf.DUMMYFUNCTION("""COMPUTED_VALUE"""),2.0)</f>
        <v>2</v>
      </c>
      <c r="E417">
        <f>IFERROR(__xludf.DUMMYFUNCTION("""COMPUTED_VALUE"""),0.0)</f>
        <v>0</v>
      </c>
      <c r="F417" t="str">
        <f>IFERROR(__xludf.DUMMYFUNCTION("""COMPUTED_VALUE"""),"NA")</f>
        <v>NA</v>
      </c>
      <c r="G417" t="str">
        <f>IFERROR(__xludf.DUMMYFUNCTION("""COMPUTED_VALUE"""),"BYE")</f>
        <v>BYE</v>
      </c>
      <c r="I417" t="str">
        <f>IFERROR(__xludf.DUMMYFUNCTION("""COMPUTED_VALUE"""),"bye")</f>
        <v>bye</v>
      </c>
      <c r="J417" t="str">
        <f>IFERROR(__xludf.DUMMYFUNCTION("""COMPUTED_VALUE"""),"bye")</f>
        <v>bye</v>
      </c>
      <c r="L417">
        <f>IFERROR(__xludf.DUMMYFUNCTION("""COMPUTED_VALUE"""),9999.0)</f>
        <v>9999</v>
      </c>
      <c r="M417" s="124">
        <v>3.0</v>
      </c>
    </row>
    <row r="418">
      <c r="A418" s="151">
        <f>IFERROR(__xludf.DUMMYFUNCTION("""COMPUTED_VALUE"""),43723.14774881944)</f>
        <v>43723.14775</v>
      </c>
      <c r="B418" t="str">
        <f>IFERROR(__xludf.DUMMYFUNCTION("""COMPUTED_VALUE"""),"Jeannine")</f>
        <v>Jeannine</v>
      </c>
      <c r="C418" t="str">
        <f>IFERROR(__xludf.DUMMYFUNCTION("""COMPUTED_VALUE"""),"Mississippi State")</f>
        <v>Mississippi State</v>
      </c>
      <c r="D418">
        <f>IFERROR(__xludf.DUMMYFUNCTION("""COMPUTED_VALUE"""),2.0)</f>
        <v>2</v>
      </c>
      <c r="E418">
        <f>IFERROR(__xludf.DUMMYFUNCTION("""COMPUTED_VALUE"""),1.0)</f>
        <v>1</v>
      </c>
      <c r="F418" t="str">
        <f>IFERROR(__xludf.DUMMYFUNCTION("""COMPUTED_VALUE"""),"ESPN")</f>
        <v>ESPN</v>
      </c>
      <c r="G418" t="str">
        <f>IFERROR(__xludf.DUMMYFUNCTION("""COMPUTED_VALUE"""),"Kansas State 31 at (23) Mississippi State 24")</f>
        <v>Kansas State 31 at (23) Mississippi State 24</v>
      </c>
      <c r="H418" t="str">
        <f>IFERROR(__xludf.DUMMYFUNCTION("""COMPUTED_VALUE"""),"FINAL")</f>
        <v>FINAL</v>
      </c>
      <c r="I418" t="str">
        <f>IFERROR(__xludf.DUMMYFUNCTION("""COMPUTED_VALUE"""),"-7½")</f>
        <v>-7½</v>
      </c>
      <c r="J418" t="str">
        <f>IFERROR(__xludf.DUMMYFUNCTION("""COMPUTED_VALUE"""),"52½")</f>
        <v>52½</v>
      </c>
      <c r="K418" t="str">
        <f>IFERROR(__xludf.DUMMYFUNCTION("""COMPUTED_VALUE"""),"Nick G.")</f>
        <v>Nick G.</v>
      </c>
      <c r="L418">
        <f>IFERROR(__xludf.DUMMYFUNCTION("""COMPUTED_VALUE"""),9999.0)</f>
        <v>9999</v>
      </c>
      <c r="M418" s="124">
        <v>3.0</v>
      </c>
    </row>
    <row r="419">
      <c r="A419" s="151">
        <f>IFERROR(__xludf.DUMMYFUNCTION("""COMPUTED_VALUE"""),43723.14774881944)</f>
        <v>43723.14775</v>
      </c>
      <c r="B419" t="str">
        <f>IFERROR(__xludf.DUMMYFUNCTION("""COMPUTED_VALUE"""),"Jeannine")</f>
        <v>Jeannine</v>
      </c>
      <c r="C419" t="str">
        <f>IFERROR(__xludf.DUMMYFUNCTION("""COMPUTED_VALUE"""),"Oklahoma")</f>
        <v>Oklahoma</v>
      </c>
      <c r="D419">
        <f>IFERROR(__xludf.DUMMYFUNCTION("""COMPUTED_VALUE"""),3.0)</f>
        <v>3</v>
      </c>
      <c r="E419">
        <f>IFERROR(__xludf.DUMMYFUNCTION("""COMPUTED_VALUE"""),0.0)</f>
        <v>0</v>
      </c>
      <c r="F419" t="str">
        <f>IFERROR(__xludf.DUMMYFUNCTION("""COMPUTED_VALUE"""),"FOX")</f>
        <v>FOX</v>
      </c>
      <c r="G419" t="str">
        <f>IFERROR(__xludf.DUMMYFUNCTION("""COMPUTED_VALUE"""),"(4) Oklahoma 48 at UCLA 14")</f>
        <v>(4) Oklahoma 48 at UCLA 14</v>
      </c>
      <c r="H419" t="str">
        <f>IFERROR(__xludf.DUMMYFUNCTION("""COMPUTED_VALUE"""),"FINAL")</f>
        <v>FINAL</v>
      </c>
      <c r="I419">
        <f>IFERROR(__xludf.DUMMYFUNCTION("""COMPUTED_VALUE"""),-23.0)</f>
        <v>-23</v>
      </c>
      <c r="J419" t="str">
        <f>IFERROR(__xludf.DUMMYFUNCTION("""COMPUTED_VALUE"""),"73½")</f>
        <v>73½</v>
      </c>
      <c r="K419" t="str">
        <f>IFERROR(__xludf.DUMMYFUNCTION("""COMPUTED_VALUE"""),"Gary")</f>
        <v>Gary</v>
      </c>
      <c r="L419">
        <f>IFERROR(__xludf.DUMMYFUNCTION("""COMPUTED_VALUE"""),9999.0)</f>
        <v>9999</v>
      </c>
      <c r="M419" s="124">
        <v>3.0</v>
      </c>
    </row>
    <row r="420">
      <c r="A420" s="151">
        <f>IFERROR(__xludf.DUMMYFUNCTION("""COMPUTED_VALUE"""),43723.14774881944)</f>
        <v>43723.14775</v>
      </c>
      <c r="B420" t="str">
        <f>IFERROR(__xludf.DUMMYFUNCTION("""COMPUTED_VALUE"""),"Jeannine")</f>
        <v>Jeannine</v>
      </c>
      <c r="C420" t="str">
        <f>IFERROR(__xludf.DUMMYFUNCTION("""COMPUTED_VALUE"""),"SMU")</f>
        <v>SMU</v>
      </c>
      <c r="D420">
        <f>IFERROR(__xludf.DUMMYFUNCTION("""COMPUTED_VALUE"""),3.0)</f>
        <v>3</v>
      </c>
      <c r="E420">
        <f>IFERROR(__xludf.DUMMYFUNCTION("""COMPUTED_VALUE"""),0.0)</f>
        <v>0</v>
      </c>
      <c r="F420" t="str">
        <f>IFERROR(__xludf.DUMMYFUNCTION("""COMPUTED_VALUE"""),"espn3 Video")</f>
        <v>espn3 Video</v>
      </c>
      <c r="G420" t="str">
        <f>IFERROR(__xludf.DUMMYFUNCTION("""COMPUTED_VALUE"""),"Texas State 17 at SMU 47")</f>
        <v>Texas State 17 at SMU 47</v>
      </c>
      <c r="H420" t="str">
        <f>IFERROR(__xludf.DUMMYFUNCTION("""COMPUTED_VALUE"""),"FINAL")</f>
        <v>FINAL</v>
      </c>
      <c r="I420" t="str">
        <f>IFERROR(__xludf.DUMMYFUNCTION("""COMPUTED_VALUE"""),"-17½")</f>
        <v>-17½</v>
      </c>
      <c r="J420" t="str">
        <f>IFERROR(__xludf.DUMMYFUNCTION("""COMPUTED_VALUE"""),"59½")</f>
        <v>59½</v>
      </c>
      <c r="K420" t="str">
        <f>IFERROR(__xludf.DUMMYFUNCTION("""COMPUTED_VALUE"""),"Brad")</f>
        <v>Brad</v>
      </c>
      <c r="L420">
        <f>IFERROR(__xludf.DUMMYFUNCTION("""COMPUTED_VALUE"""),9999.0)</f>
        <v>9999</v>
      </c>
      <c r="M420" s="124">
        <v>3.0</v>
      </c>
    </row>
    <row r="421">
      <c r="A421" s="151">
        <f>IFERROR(__xludf.DUMMYFUNCTION("""COMPUTED_VALUE"""),43723.14774881944)</f>
        <v>43723.14775</v>
      </c>
      <c r="B421" t="str">
        <f>IFERROR(__xludf.DUMMYFUNCTION("""COMPUTED_VALUE"""),"Jeannine")</f>
        <v>Jeannine</v>
      </c>
      <c r="C421" t="str">
        <f>IFERROR(__xludf.DUMMYFUNCTION("""COMPUTED_VALUE"""),"Penn State")</f>
        <v>Penn State</v>
      </c>
      <c r="D421">
        <f>IFERROR(__xludf.DUMMYFUNCTION("""COMPUTED_VALUE"""),3.0)</f>
        <v>3</v>
      </c>
      <c r="E421">
        <f>IFERROR(__xludf.DUMMYFUNCTION("""COMPUTED_VALUE"""),0.0)</f>
        <v>0</v>
      </c>
      <c r="F421" t="str">
        <f>IFERROR(__xludf.DUMMYFUNCTION("""COMPUTED_VALUE"""),"ABC")</f>
        <v>ABC</v>
      </c>
      <c r="G421" t="str">
        <f>IFERROR(__xludf.DUMMYFUNCTION("""COMPUTED_VALUE"""),"Pittsburgh 10 at (11) Penn State 17")</f>
        <v>Pittsburgh 10 at (11) Penn State 17</v>
      </c>
      <c r="H421" t="str">
        <f>IFERROR(__xludf.DUMMYFUNCTION("""COMPUTED_VALUE"""),"FINAL")</f>
        <v>FINAL</v>
      </c>
      <c r="I421">
        <f>IFERROR(__xludf.DUMMYFUNCTION("""COMPUTED_VALUE"""),-17.0)</f>
        <v>-17</v>
      </c>
      <c r="J421">
        <f>IFERROR(__xludf.DUMMYFUNCTION("""COMPUTED_VALUE"""),52.0)</f>
        <v>52</v>
      </c>
      <c r="K421" t="str">
        <f>IFERROR(__xludf.DUMMYFUNCTION("""COMPUTED_VALUE"""),"Gary")</f>
        <v>Gary</v>
      </c>
      <c r="L421">
        <f>IFERROR(__xludf.DUMMYFUNCTION("""COMPUTED_VALUE"""),9999.0)</f>
        <v>9999</v>
      </c>
      <c r="M421" s="124">
        <v>3.0</v>
      </c>
    </row>
    <row r="422">
      <c r="A422" s="151">
        <f>IFERROR(__xludf.DUMMYFUNCTION("""COMPUTED_VALUE"""),43723.14774881944)</f>
        <v>43723.14775</v>
      </c>
      <c r="B422" t="str">
        <f>IFERROR(__xludf.DUMMYFUNCTION("""COMPUTED_VALUE"""),"Justin")</f>
        <v>Justin</v>
      </c>
      <c r="C422" t="str">
        <f>IFERROR(__xludf.DUMMYFUNCTION("""COMPUTED_VALUE"""),"South Florida")</f>
        <v>South Florida</v>
      </c>
      <c r="D422">
        <f>IFERROR(__xludf.DUMMYFUNCTION("""COMPUTED_VALUE"""),1.0)</f>
        <v>1</v>
      </c>
      <c r="E422">
        <f>IFERROR(__xludf.DUMMYFUNCTION("""COMPUTED_VALUE"""),2.0)</f>
        <v>2</v>
      </c>
      <c r="F422" t="str">
        <f>IFERROR(__xludf.DUMMYFUNCTION("""COMPUTED_VALUE"""),"espn3 Video")</f>
        <v>espn3 Video</v>
      </c>
      <c r="G422" t="str">
        <f>IFERROR(__xludf.DUMMYFUNCTION("""COMPUTED_VALUE"""),"South Carolina State 16 at South Florida 55")</f>
        <v>South Carolina State 16 at South Florida 55</v>
      </c>
      <c r="H422" t="str">
        <f>IFERROR(__xludf.DUMMYFUNCTION("""COMPUTED_VALUE"""),"FINAL")</f>
        <v>FINAL</v>
      </c>
      <c r="I422" t="str">
        <f>IFERROR(__xludf.DUMMYFUNCTION("""COMPUTED_VALUE"""),"-24½")</f>
        <v>-24½</v>
      </c>
      <c r="J422" t="str">
        <f>IFERROR(__xludf.DUMMYFUNCTION("""COMPUTED_VALUE"""),"49½")</f>
        <v>49½</v>
      </c>
      <c r="K422" t="str">
        <f>IFERROR(__xludf.DUMMYFUNCTION("""COMPUTED_VALUE"""),"Undrafted")</f>
        <v>Undrafted</v>
      </c>
      <c r="L422">
        <f>IFERROR(__xludf.DUMMYFUNCTION("""COMPUTED_VALUE"""),9999.0)</f>
        <v>9999</v>
      </c>
      <c r="M422" s="124">
        <v>3.0</v>
      </c>
    </row>
    <row r="423">
      <c r="A423" s="151">
        <f>IFERROR(__xludf.DUMMYFUNCTION("""COMPUTED_VALUE"""),43723.14774881944)</f>
        <v>43723.14775</v>
      </c>
      <c r="B423" t="str">
        <f>IFERROR(__xludf.DUMMYFUNCTION("""COMPUTED_VALUE"""),"Justin")</f>
        <v>Justin</v>
      </c>
      <c r="C423" t="str">
        <f>IFERROR(__xludf.DUMMYFUNCTION("""COMPUTED_VALUE"""),"Western Kentucky")</f>
        <v>Western Kentucky</v>
      </c>
      <c r="D423">
        <f>IFERROR(__xludf.DUMMYFUNCTION("""COMPUTED_VALUE"""),1.0)</f>
        <v>1</v>
      </c>
      <c r="E423">
        <f>IFERROR(__xludf.DUMMYFUNCTION("""COMPUTED_VALUE"""),2.0)</f>
        <v>2</v>
      </c>
      <c r="F423" t="str">
        <f>IFERROR(__xludf.DUMMYFUNCTION("""COMPUTED_VALUE"""),"NA")</f>
        <v>NA</v>
      </c>
      <c r="G423" t="str">
        <f>IFERROR(__xludf.DUMMYFUNCTION("""COMPUTED_VALUE"""),"Louisville 38 at Western Kentucky 21")</f>
        <v>Louisville 38 at Western Kentucky 21</v>
      </c>
      <c r="H423" t="str">
        <f>IFERROR(__xludf.DUMMYFUNCTION("""COMPUTED_VALUE"""),"FINAL")</f>
        <v>FINAL</v>
      </c>
      <c r="I423">
        <f>IFERROR(__xludf.DUMMYFUNCTION("""COMPUTED_VALUE"""),10.0)</f>
        <v>10</v>
      </c>
      <c r="J423" t="str">
        <f>IFERROR(__xludf.DUMMYFUNCTION("""COMPUTED_VALUE"""),"51½")</f>
        <v>51½</v>
      </c>
      <c r="K423" t="str">
        <f>IFERROR(__xludf.DUMMYFUNCTION("""COMPUTED_VALUE"""),"Undrafted")</f>
        <v>Undrafted</v>
      </c>
      <c r="L423">
        <f>IFERROR(__xludf.DUMMYFUNCTION("""COMPUTED_VALUE"""),9999.0)</f>
        <v>9999</v>
      </c>
      <c r="M423" s="124">
        <v>3.0</v>
      </c>
    </row>
    <row r="424">
      <c r="A424" s="151">
        <f>IFERROR(__xludf.DUMMYFUNCTION("""COMPUTED_VALUE"""),43723.14774881944)</f>
        <v>43723.14775</v>
      </c>
      <c r="B424" t="str">
        <f>IFERROR(__xludf.DUMMYFUNCTION("""COMPUTED_VALUE"""),"Justin")</f>
        <v>Justin</v>
      </c>
      <c r="C424" t="str">
        <f>IFERROR(__xludf.DUMMYFUNCTION("""COMPUTED_VALUE"""),"Buffalo")</f>
        <v>Buffalo</v>
      </c>
      <c r="D424">
        <f>IFERROR(__xludf.DUMMYFUNCTION("""COMPUTED_VALUE"""),1.0)</f>
        <v>1</v>
      </c>
      <c r="E424">
        <f>IFERROR(__xludf.DUMMYFUNCTION("""COMPUTED_VALUE"""),2.0)</f>
        <v>2</v>
      </c>
      <c r="F424" t="str">
        <f>IFERROR(__xludf.DUMMYFUNCTION("""COMPUTED_VALUE"""),"espn+ Video")</f>
        <v>espn+ Video</v>
      </c>
      <c r="G424" t="str">
        <f>IFERROR(__xludf.DUMMYFUNCTION("""COMPUTED_VALUE"""),"Buffalo 17 at Liberty 35")</f>
        <v>Buffalo 17 at Liberty 35</v>
      </c>
      <c r="H424" t="str">
        <f>IFERROR(__xludf.DUMMYFUNCTION("""COMPUTED_VALUE"""),"FINAL")</f>
        <v>FINAL</v>
      </c>
      <c r="I424" t="str">
        <f>IFERROR(__xludf.DUMMYFUNCTION("""COMPUTED_VALUE"""),"-4½")</f>
        <v>-4½</v>
      </c>
      <c r="J424" t="str">
        <f>IFERROR(__xludf.DUMMYFUNCTION("""COMPUTED_VALUE"""),"57½")</f>
        <v>57½</v>
      </c>
      <c r="K424" t="str">
        <f>IFERROR(__xludf.DUMMYFUNCTION("""COMPUTED_VALUE"""),"Undrafted")</f>
        <v>Undrafted</v>
      </c>
      <c r="L424">
        <f>IFERROR(__xludf.DUMMYFUNCTION("""COMPUTED_VALUE"""),9999.0)</f>
        <v>9999</v>
      </c>
      <c r="M424" s="124">
        <v>3.0</v>
      </c>
    </row>
    <row r="425">
      <c r="A425" s="151">
        <f>IFERROR(__xludf.DUMMYFUNCTION("""COMPUTED_VALUE"""),43723.14774881944)</f>
        <v>43723.14775</v>
      </c>
      <c r="B425" t="str">
        <f>IFERROR(__xludf.DUMMYFUNCTION("""COMPUTED_VALUE"""),"Justin")</f>
        <v>Justin</v>
      </c>
      <c r="C425" t="str">
        <f>IFERROR(__xludf.DUMMYFUNCTION("""COMPUTED_VALUE"""),"Iowa")</f>
        <v>Iowa</v>
      </c>
      <c r="D425">
        <f>IFERROR(__xludf.DUMMYFUNCTION("""COMPUTED_VALUE"""),3.0)</f>
        <v>3</v>
      </c>
      <c r="E425">
        <f>IFERROR(__xludf.DUMMYFUNCTION("""COMPUTED_VALUE"""),0.0)</f>
        <v>0</v>
      </c>
      <c r="F425" t="str">
        <f>IFERROR(__xludf.DUMMYFUNCTION("""COMPUTED_VALUE"""),"FS1")</f>
        <v>FS1</v>
      </c>
      <c r="G425" t="str">
        <f>IFERROR(__xludf.DUMMYFUNCTION("""COMPUTED_VALUE"""),"(18) Iowa 18 at Iowa State 17")</f>
        <v>(18) Iowa 18 at Iowa State 17</v>
      </c>
      <c r="H425" t="str">
        <f>IFERROR(__xludf.DUMMYFUNCTION("""COMPUTED_VALUE"""),"FINAL")</f>
        <v>FINAL</v>
      </c>
      <c r="I425" t="str">
        <f>IFERROR(__xludf.DUMMYFUNCTION("""COMPUTED_VALUE"""),"-2½")</f>
        <v>-2½</v>
      </c>
      <c r="J425" t="str">
        <f>IFERROR(__xludf.DUMMYFUNCTION("""COMPUTED_VALUE"""),"44½")</f>
        <v>44½</v>
      </c>
      <c r="K425" t="str">
        <f>IFERROR(__xludf.DUMMYFUNCTION("""COMPUTED_VALUE"""),"Nick A.")</f>
        <v>Nick A.</v>
      </c>
      <c r="L425">
        <f>IFERROR(__xludf.DUMMYFUNCTION("""COMPUTED_VALUE"""),9999.0)</f>
        <v>9999</v>
      </c>
      <c r="M425" s="124">
        <v>3.0</v>
      </c>
    </row>
    <row r="426">
      <c r="A426" s="151">
        <f>IFERROR(__xludf.DUMMYFUNCTION("""COMPUTED_VALUE"""),43723.14774881944)</f>
        <v>43723.14775</v>
      </c>
      <c r="B426" t="str">
        <f>IFERROR(__xludf.DUMMYFUNCTION("""COMPUTED_VALUE"""),"Justin")</f>
        <v>Justin</v>
      </c>
      <c r="C426" t="str">
        <f>IFERROR(__xludf.DUMMYFUNCTION("""COMPUTED_VALUE"""),"Appalachian State")</f>
        <v>Appalachian State</v>
      </c>
      <c r="D426">
        <f>IFERROR(__xludf.DUMMYFUNCTION("""COMPUTED_VALUE"""),2.0)</f>
        <v>2</v>
      </c>
      <c r="E426">
        <f>IFERROR(__xludf.DUMMYFUNCTION("""COMPUTED_VALUE"""),0.0)</f>
        <v>0</v>
      </c>
      <c r="F426" t="str">
        <f>IFERROR(__xludf.DUMMYFUNCTION("""COMPUTED_VALUE"""),"NA")</f>
        <v>NA</v>
      </c>
      <c r="G426" t="str">
        <f>IFERROR(__xludf.DUMMYFUNCTION("""COMPUTED_VALUE"""),"BYE")</f>
        <v>BYE</v>
      </c>
      <c r="I426" t="str">
        <f>IFERROR(__xludf.DUMMYFUNCTION("""COMPUTED_VALUE"""),"bye")</f>
        <v>bye</v>
      </c>
      <c r="J426" t="str">
        <f>IFERROR(__xludf.DUMMYFUNCTION("""COMPUTED_VALUE"""),"bye")</f>
        <v>bye</v>
      </c>
      <c r="L426">
        <f>IFERROR(__xludf.DUMMYFUNCTION("""COMPUTED_VALUE"""),9999.0)</f>
        <v>9999</v>
      </c>
      <c r="M426" s="124">
        <v>3.0</v>
      </c>
    </row>
    <row r="427">
      <c r="A427" s="151">
        <f>IFERROR(__xludf.DUMMYFUNCTION("""COMPUTED_VALUE"""),43723.14774881944)</f>
        <v>43723.14775</v>
      </c>
      <c r="B427" t="str">
        <f>IFERROR(__xludf.DUMMYFUNCTION("""COMPUTED_VALUE"""),"Justin")</f>
        <v>Justin</v>
      </c>
      <c r="C427" t="str">
        <f>IFERROR(__xludf.DUMMYFUNCTION("""COMPUTED_VALUE"""),"Baylor")</f>
        <v>Baylor</v>
      </c>
      <c r="D427">
        <f>IFERROR(__xludf.DUMMYFUNCTION("""COMPUTED_VALUE"""),2.0)</f>
        <v>2</v>
      </c>
      <c r="E427">
        <f>IFERROR(__xludf.DUMMYFUNCTION("""COMPUTED_VALUE"""),0.0)</f>
        <v>0</v>
      </c>
      <c r="F427" t="str">
        <f>IFERROR(__xludf.DUMMYFUNCTION("""COMPUTED_VALUE"""),"NA")</f>
        <v>NA</v>
      </c>
      <c r="G427" t="str">
        <f>IFERROR(__xludf.DUMMYFUNCTION("""COMPUTED_VALUE"""),"BYE")</f>
        <v>BYE</v>
      </c>
      <c r="I427" t="str">
        <f>IFERROR(__xludf.DUMMYFUNCTION("""COMPUTED_VALUE"""),"bye")</f>
        <v>bye</v>
      </c>
      <c r="J427" t="str">
        <f>IFERROR(__xludf.DUMMYFUNCTION("""COMPUTED_VALUE"""),"bye")</f>
        <v>bye</v>
      </c>
      <c r="L427">
        <f>IFERROR(__xludf.DUMMYFUNCTION("""COMPUTED_VALUE"""),9999.0)</f>
        <v>9999</v>
      </c>
      <c r="M427" s="124">
        <v>3.0</v>
      </c>
    </row>
    <row r="428">
      <c r="A428" s="151">
        <f>IFERROR(__xludf.DUMMYFUNCTION("""COMPUTED_VALUE"""),43723.14774881944)</f>
        <v>43723.14775</v>
      </c>
      <c r="B428" t="str">
        <f>IFERROR(__xludf.DUMMYFUNCTION("""COMPUTED_VALUE"""),"Justin")</f>
        <v>Justin</v>
      </c>
      <c r="C428" t="str">
        <f>IFERROR(__xludf.DUMMYFUNCTION("""COMPUTED_VALUE"""),"Duke")</f>
        <v>Duke</v>
      </c>
      <c r="D428">
        <f>IFERROR(__xludf.DUMMYFUNCTION("""COMPUTED_VALUE"""),2.0)</f>
        <v>2</v>
      </c>
      <c r="E428">
        <f>IFERROR(__xludf.DUMMYFUNCTION("""COMPUTED_VALUE"""),1.0)</f>
        <v>1</v>
      </c>
      <c r="F428" t="str">
        <f>IFERROR(__xludf.DUMMYFUNCTION("""COMPUTED_VALUE"""),"Facebook Video")</f>
        <v>Facebook Video</v>
      </c>
      <c r="G428" t="str">
        <f>IFERROR(__xludf.DUMMYFUNCTION("""COMPUTED_VALUE"""),"Duke 41 at Middle Tennessee 18")</f>
        <v>Duke 41 at Middle Tennessee 18</v>
      </c>
      <c r="H428" t="str">
        <f>IFERROR(__xludf.DUMMYFUNCTION("""COMPUTED_VALUE"""),"FINAL")</f>
        <v>FINAL</v>
      </c>
      <c r="I428" t="str">
        <f>IFERROR(__xludf.DUMMYFUNCTION("""COMPUTED_VALUE"""),"-6½")</f>
        <v>-6½</v>
      </c>
      <c r="J428" t="str">
        <f>IFERROR(__xludf.DUMMYFUNCTION("""COMPUTED_VALUE"""),"50½")</f>
        <v>50½</v>
      </c>
      <c r="K428" t="str">
        <f>IFERROR(__xludf.DUMMYFUNCTION("""COMPUTED_VALUE"""),"Nico")</f>
        <v>Nico</v>
      </c>
      <c r="L428">
        <f>IFERROR(__xludf.DUMMYFUNCTION("""COMPUTED_VALUE"""),9999.0)</f>
        <v>9999</v>
      </c>
      <c r="M428" s="124">
        <v>3.0</v>
      </c>
    </row>
    <row r="429">
      <c r="A429" s="151">
        <f>IFERROR(__xludf.DUMMYFUNCTION("""COMPUTED_VALUE"""),43723.14774881944)</f>
        <v>43723.14775</v>
      </c>
      <c r="B429" t="str">
        <f>IFERROR(__xludf.DUMMYFUNCTION("""COMPUTED_VALUE"""),"Justin")</f>
        <v>Justin</v>
      </c>
      <c r="C429" t="str">
        <f>IFERROR(__xludf.DUMMYFUNCTION("""COMPUTED_VALUE"""),"Tennessee")</f>
        <v>Tennessee</v>
      </c>
      <c r="D429">
        <f>IFERROR(__xludf.DUMMYFUNCTION("""COMPUTED_VALUE"""),1.0)</f>
        <v>1</v>
      </c>
      <c r="E429">
        <f>IFERROR(__xludf.DUMMYFUNCTION("""COMPUTED_VALUE"""),2.0)</f>
        <v>2</v>
      </c>
      <c r="F429" t="str">
        <f>IFERROR(__xludf.DUMMYFUNCTION("""COMPUTED_VALUE"""),"SEC Network")</f>
        <v>SEC Network</v>
      </c>
      <c r="G429" t="str">
        <f>IFERROR(__xludf.DUMMYFUNCTION("""COMPUTED_VALUE"""),"Chattanooga 0 at Tennessee 45")</f>
        <v>Chattanooga 0 at Tennessee 45</v>
      </c>
      <c r="H429" t="str">
        <f>IFERROR(__xludf.DUMMYFUNCTION("""COMPUTED_VALUE"""),"FINAL")</f>
        <v>FINAL</v>
      </c>
      <c r="I429">
        <f>IFERROR(__xludf.DUMMYFUNCTION("""COMPUTED_VALUE"""),-28.0)</f>
        <v>-28</v>
      </c>
      <c r="J429" t="str">
        <f>IFERROR(__xludf.DUMMYFUNCTION("""COMPUTED_VALUE"""),"51½")</f>
        <v>51½</v>
      </c>
      <c r="K429" t="str">
        <f>IFERROR(__xludf.DUMMYFUNCTION("""COMPUTED_VALUE"""),"Undrafted")</f>
        <v>Undrafted</v>
      </c>
      <c r="L429">
        <f>IFERROR(__xludf.DUMMYFUNCTION("""COMPUTED_VALUE"""),9999.0)</f>
        <v>9999</v>
      </c>
      <c r="M429" s="124">
        <v>3.0</v>
      </c>
    </row>
    <row r="430">
      <c r="A430" s="151">
        <f>IFERROR(__xludf.DUMMYFUNCTION("""COMPUTED_VALUE"""),43723.14774881944)</f>
        <v>43723.14775</v>
      </c>
      <c r="B430" t="str">
        <f>IFERROR(__xludf.DUMMYFUNCTION("""COMPUTED_VALUE"""),"Justin")</f>
        <v>Justin</v>
      </c>
      <c r="C430" t="str">
        <f>IFERROR(__xludf.DUMMYFUNCTION("""COMPUTED_VALUE"""),"Oregon")</f>
        <v>Oregon</v>
      </c>
      <c r="D430">
        <f>IFERROR(__xludf.DUMMYFUNCTION("""COMPUTED_VALUE"""),2.0)</f>
        <v>2</v>
      </c>
      <c r="E430">
        <f>IFERROR(__xludf.DUMMYFUNCTION("""COMPUTED_VALUE"""),1.0)</f>
        <v>1</v>
      </c>
      <c r="F430" t="str">
        <f>IFERROR(__xludf.DUMMYFUNCTION("""COMPUTED_VALUE"""),"Pac-12")</f>
        <v>Pac-12</v>
      </c>
      <c r="G430" t="str">
        <f>IFERROR(__xludf.DUMMYFUNCTION("""COMPUTED_VALUE"""),"Montana 3 at (17) Oregon 35")</f>
        <v>Montana 3 at (17) Oregon 35</v>
      </c>
      <c r="H430" t="str">
        <f>IFERROR(__xludf.DUMMYFUNCTION("""COMPUTED_VALUE"""),"FINAL")</f>
        <v>FINAL</v>
      </c>
      <c r="I430" t="str">
        <f>IFERROR(__xludf.DUMMYFUNCTION("""COMPUTED_VALUE"""),"-36½")</f>
        <v>-36½</v>
      </c>
      <c r="J430" t="str">
        <f>IFERROR(__xludf.DUMMYFUNCTION("""COMPUTED_VALUE"""),"64½")</f>
        <v>64½</v>
      </c>
      <c r="K430" t="str">
        <f>IFERROR(__xludf.DUMMYFUNCTION("""COMPUTED_VALUE"""),"Undrafted")</f>
        <v>Undrafted</v>
      </c>
      <c r="L430">
        <f>IFERROR(__xludf.DUMMYFUNCTION("""COMPUTED_VALUE"""),9999.0)</f>
        <v>9999</v>
      </c>
      <c r="M430" s="124">
        <v>3.0</v>
      </c>
    </row>
    <row r="431">
      <c r="A431" s="151">
        <f>IFERROR(__xludf.DUMMYFUNCTION("""COMPUTED_VALUE"""),43723.14774881944)</f>
        <v>43723.14775</v>
      </c>
      <c r="B431" t="str">
        <f>IFERROR(__xludf.DUMMYFUNCTION("""COMPUTED_VALUE"""),"Justin")</f>
        <v>Justin</v>
      </c>
      <c r="C431" t="str">
        <f>IFERROR(__xludf.DUMMYFUNCTION("""COMPUTED_VALUE"""),"UNLV")</f>
        <v>UNLV</v>
      </c>
      <c r="D431">
        <f>IFERROR(__xludf.DUMMYFUNCTION("""COMPUTED_VALUE"""),1.0)</f>
        <v>1</v>
      </c>
      <c r="E431">
        <f>IFERROR(__xludf.DUMMYFUNCTION("""COMPUTED_VALUE"""),2.0)</f>
        <v>2</v>
      </c>
      <c r="F431" t="str">
        <f>IFERROR(__xludf.DUMMYFUNCTION("""COMPUTED_VALUE"""),"BTN")</f>
        <v>BTN</v>
      </c>
      <c r="G431" t="str">
        <f>IFERROR(__xludf.DUMMYFUNCTION("""COMPUTED_VALUE"""),"UNLV 14 at Northwestern 30")</f>
        <v>UNLV 14 at Northwestern 30</v>
      </c>
      <c r="H431" t="str">
        <f>IFERROR(__xludf.DUMMYFUNCTION("""COMPUTED_VALUE"""),"FINAL")</f>
        <v>FINAL</v>
      </c>
      <c r="I431" t="str">
        <f>IFERROR(__xludf.DUMMYFUNCTION("""COMPUTED_VALUE"""),"18½")</f>
        <v>18½</v>
      </c>
      <c r="J431">
        <f>IFERROR(__xludf.DUMMYFUNCTION("""COMPUTED_VALUE"""),54.0)</f>
        <v>54</v>
      </c>
      <c r="K431" t="str">
        <f>IFERROR(__xludf.DUMMYFUNCTION("""COMPUTED_VALUE"""),"Adam")</f>
        <v>Adam</v>
      </c>
      <c r="L431">
        <f>IFERROR(__xludf.DUMMYFUNCTION("""COMPUTED_VALUE"""),9999.0)</f>
        <v>9999</v>
      </c>
      <c r="M431" s="124">
        <v>3.0</v>
      </c>
    </row>
    <row r="432">
      <c r="A432" s="151">
        <f>IFERROR(__xludf.DUMMYFUNCTION("""COMPUTED_VALUE"""),43723.14774881944)</f>
        <v>43723.14775</v>
      </c>
      <c r="B432" t="str">
        <f>IFERROR(__xludf.DUMMYFUNCTION("""COMPUTED_VALUE"""),"Adam")</f>
        <v>Adam</v>
      </c>
      <c r="C432" t="str">
        <f>IFERROR(__xludf.DUMMYFUNCTION("""COMPUTED_VALUE"""),"Akron")</f>
        <v>Akron</v>
      </c>
      <c r="D432">
        <f>IFERROR(__xludf.DUMMYFUNCTION("""COMPUTED_VALUE"""),0.0)</f>
        <v>0</v>
      </c>
      <c r="E432">
        <f>IFERROR(__xludf.DUMMYFUNCTION("""COMPUTED_VALUE"""),3.0)</f>
        <v>3</v>
      </c>
      <c r="F432" t="str">
        <f>IFERROR(__xludf.DUMMYFUNCTION("""COMPUTED_VALUE"""),"espn+ Video")</f>
        <v>espn+ Video</v>
      </c>
      <c r="G432" t="str">
        <f>IFERROR(__xludf.DUMMYFUNCTION("""COMPUTED_VALUE"""),"Akron 24 at Central Michigan 45")</f>
        <v>Akron 24 at Central Michigan 45</v>
      </c>
      <c r="H432" t="str">
        <f>IFERROR(__xludf.DUMMYFUNCTION("""COMPUTED_VALUE"""),"FINAL")</f>
        <v>FINAL</v>
      </c>
      <c r="I432" t="str">
        <f>IFERROR(__xludf.DUMMYFUNCTION("""COMPUTED_VALUE"""),"3½")</f>
        <v>3½</v>
      </c>
      <c r="J432" t="str">
        <f>IFERROR(__xludf.DUMMYFUNCTION("""COMPUTED_VALUE"""),"46½")</f>
        <v>46½</v>
      </c>
      <c r="K432" t="str">
        <f>IFERROR(__xludf.DUMMYFUNCTION("""COMPUTED_VALUE"""),"Nick G.")</f>
        <v>Nick G.</v>
      </c>
      <c r="L432">
        <f>IFERROR(__xludf.DUMMYFUNCTION("""COMPUTED_VALUE"""),9999.0)</f>
        <v>9999</v>
      </c>
      <c r="M432" s="124">
        <v>3.0</v>
      </c>
    </row>
    <row r="433">
      <c r="A433" s="151">
        <f>IFERROR(__xludf.DUMMYFUNCTION("""COMPUTED_VALUE"""),43723.14774881944)</f>
        <v>43723.14775</v>
      </c>
      <c r="B433" t="str">
        <f>IFERROR(__xludf.DUMMYFUNCTION("""COMPUTED_VALUE"""),"Adam")</f>
        <v>Adam</v>
      </c>
      <c r="C433" t="str">
        <f>IFERROR(__xludf.DUMMYFUNCTION("""COMPUTED_VALUE"""),"Texas")</f>
        <v>Texas</v>
      </c>
      <c r="D433">
        <f>IFERROR(__xludf.DUMMYFUNCTION("""COMPUTED_VALUE"""),2.0)</f>
        <v>2</v>
      </c>
      <c r="E433">
        <f>IFERROR(__xludf.DUMMYFUNCTION("""COMPUTED_VALUE"""),1.0)</f>
        <v>1</v>
      </c>
      <c r="F433" t="str">
        <f>IFERROR(__xludf.DUMMYFUNCTION("""COMPUTED_VALUE"""),"CBSSN")</f>
        <v>CBSSN</v>
      </c>
      <c r="G433" t="str">
        <f>IFERROR(__xludf.DUMMYFUNCTION("""COMPUTED_VALUE"""),"(13) Texas 48 at Rice 13")</f>
        <v>(13) Texas 48 at Rice 13</v>
      </c>
      <c r="H433" t="str">
        <f>IFERROR(__xludf.DUMMYFUNCTION("""COMPUTED_VALUE"""),"FINAL")</f>
        <v>FINAL</v>
      </c>
      <c r="I433">
        <f>IFERROR(__xludf.DUMMYFUNCTION("""COMPUTED_VALUE"""),-32.0)</f>
        <v>-32</v>
      </c>
      <c r="J433" t="str">
        <f>IFERROR(__xludf.DUMMYFUNCTION("""COMPUTED_VALUE"""),"56½")</f>
        <v>56½</v>
      </c>
      <c r="K433" t="str">
        <f>IFERROR(__xludf.DUMMYFUNCTION("""COMPUTED_VALUE"""),"Undrafted")</f>
        <v>Undrafted</v>
      </c>
      <c r="L433">
        <f>IFERROR(__xludf.DUMMYFUNCTION("""COMPUTED_VALUE"""),9999.0)</f>
        <v>9999</v>
      </c>
      <c r="M433" s="124">
        <v>3.0</v>
      </c>
    </row>
    <row r="434">
      <c r="A434" s="151">
        <f>IFERROR(__xludf.DUMMYFUNCTION("""COMPUTED_VALUE"""),43723.14774881944)</f>
        <v>43723.14775</v>
      </c>
      <c r="B434" t="str">
        <f>IFERROR(__xludf.DUMMYFUNCTION("""COMPUTED_VALUE"""),"Adam")</f>
        <v>Adam</v>
      </c>
      <c r="C434" t="str">
        <f>IFERROR(__xludf.DUMMYFUNCTION("""COMPUTED_VALUE"""),"Oregon State")</f>
        <v>Oregon State</v>
      </c>
      <c r="D434">
        <f>IFERROR(__xludf.DUMMYFUNCTION("""COMPUTED_VALUE"""),1.0)</f>
        <v>1</v>
      </c>
      <c r="E434">
        <f>IFERROR(__xludf.DUMMYFUNCTION("""COMPUTED_VALUE"""),2.0)</f>
        <v>2</v>
      </c>
      <c r="F434" t="str">
        <f>IFERROR(__xludf.DUMMYFUNCTION("""COMPUTED_VALUE"""),"Pac-12 Oregon")</f>
        <v>Pac-12 Oregon</v>
      </c>
      <c r="G434" t="str">
        <f>IFERROR(__xludf.DUMMYFUNCTION("""COMPUTED_VALUE"""),"Cal Poly 7 at Oregon State 45")</f>
        <v>Cal Poly 7 at Oregon State 45</v>
      </c>
      <c r="H434" t="str">
        <f>IFERROR(__xludf.DUMMYFUNCTION("""COMPUTED_VALUE"""),"FINAL")</f>
        <v>FINAL</v>
      </c>
      <c r="I434">
        <f>IFERROR(__xludf.DUMMYFUNCTION("""COMPUTED_VALUE"""),-17.0)</f>
        <v>-17</v>
      </c>
      <c r="J434">
        <f>IFERROR(__xludf.DUMMYFUNCTION("""COMPUTED_VALUE"""),76.0)</f>
        <v>76</v>
      </c>
      <c r="K434" t="str">
        <f>IFERROR(__xludf.DUMMYFUNCTION("""COMPUTED_VALUE"""),"Undrafted")</f>
        <v>Undrafted</v>
      </c>
      <c r="L434">
        <f>IFERROR(__xludf.DUMMYFUNCTION("""COMPUTED_VALUE"""),9999.0)</f>
        <v>9999</v>
      </c>
      <c r="M434" s="124">
        <v>3.0</v>
      </c>
    </row>
    <row r="435">
      <c r="A435" s="151">
        <f>IFERROR(__xludf.DUMMYFUNCTION("""COMPUTED_VALUE"""),43723.14774881944)</f>
        <v>43723.14775</v>
      </c>
      <c r="B435" t="str">
        <f>IFERROR(__xludf.DUMMYFUNCTION("""COMPUTED_VALUE"""),"Adam")</f>
        <v>Adam</v>
      </c>
      <c r="C435" t="str">
        <f>IFERROR(__xludf.DUMMYFUNCTION("""COMPUTED_VALUE"""),"Air Force")</f>
        <v>Air Force</v>
      </c>
      <c r="D435">
        <f>IFERROR(__xludf.DUMMYFUNCTION("""COMPUTED_VALUE"""),2.0)</f>
        <v>2</v>
      </c>
      <c r="E435">
        <f>IFERROR(__xludf.DUMMYFUNCTION("""COMPUTED_VALUE"""),0.0)</f>
        <v>0</v>
      </c>
      <c r="F435" t="str">
        <f>IFERROR(__xludf.DUMMYFUNCTION("""COMPUTED_VALUE"""),"Pac-12")</f>
        <v>Pac-12</v>
      </c>
      <c r="G435" t="str">
        <f>IFERROR(__xludf.DUMMYFUNCTION("""COMPUTED_VALUE"""),"Air Force 30 at Colorado 23")</f>
        <v>Air Force 30 at Colorado 23</v>
      </c>
      <c r="H435" t="str">
        <f>IFERROR(__xludf.DUMMYFUNCTION("""COMPUTED_VALUE"""),"FINAL - OT")</f>
        <v>FINAL - OT</v>
      </c>
      <c r="I435">
        <f>IFERROR(__xludf.DUMMYFUNCTION("""COMPUTED_VALUE"""),4.0)</f>
        <v>4</v>
      </c>
      <c r="J435" t="str">
        <f>IFERROR(__xludf.DUMMYFUNCTION("""COMPUTED_VALUE"""),"58½")</f>
        <v>58½</v>
      </c>
      <c r="K435" t="str">
        <f>IFERROR(__xludf.DUMMYFUNCTION("""COMPUTED_VALUE"""),"Jeannine")</f>
        <v>Jeannine</v>
      </c>
      <c r="L435">
        <f>IFERROR(__xludf.DUMMYFUNCTION("""COMPUTED_VALUE"""),9999.0)</f>
        <v>9999</v>
      </c>
      <c r="M435" s="124">
        <v>3.0</v>
      </c>
    </row>
    <row r="436">
      <c r="A436" s="151">
        <f>IFERROR(__xludf.DUMMYFUNCTION("""COMPUTED_VALUE"""),43723.14774881944)</f>
        <v>43723.14775</v>
      </c>
      <c r="B436" t="str">
        <f>IFERROR(__xludf.DUMMYFUNCTION("""COMPUTED_VALUE"""),"Adam")</f>
        <v>Adam</v>
      </c>
      <c r="C436" t="str">
        <f>IFERROR(__xludf.DUMMYFUNCTION("""COMPUTED_VALUE"""),"Northwestern")</f>
        <v>Northwestern</v>
      </c>
      <c r="D436">
        <f>IFERROR(__xludf.DUMMYFUNCTION("""COMPUTED_VALUE"""),1.0)</f>
        <v>1</v>
      </c>
      <c r="E436">
        <f>IFERROR(__xludf.DUMMYFUNCTION("""COMPUTED_VALUE"""),1.0)</f>
        <v>1</v>
      </c>
      <c r="F436" t="str">
        <f>IFERROR(__xludf.DUMMYFUNCTION("""COMPUTED_VALUE"""),"BTN")</f>
        <v>BTN</v>
      </c>
      <c r="G436" t="str">
        <f>IFERROR(__xludf.DUMMYFUNCTION("""COMPUTED_VALUE"""),"UNLV 14 at Northwestern 30")</f>
        <v>UNLV 14 at Northwestern 30</v>
      </c>
      <c r="H436" t="str">
        <f>IFERROR(__xludf.DUMMYFUNCTION("""COMPUTED_VALUE"""),"FINAL")</f>
        <v>FINAL</v>
      </c>
      <c r="I436" t="str">
        <f>IFERROR(__xludf.DUMMYFUNCTION("""COMPUTED_VALUE"""),"-18½")</f>
        <v>-18½</v>
      </c>
      <c r="J436">
        <f>IFERROR(__xludf.DUMMYFUNCTION("""COMPUTED_VALUE"""),54.0)</f>
        <v>54</v>
      </c>
      <c r="K436" t="str">
        <f>IFERROR(__xludf.DUMMYFUNCTION("""COMPUTED_VALUE"""),"Justin")</f>
        <v>Justin</v>
      </c>
      <c r="L436">
        <f>IFERROR(__xludf.DUMMYFUNCTION("""COMPUTED_VALUE"""),9999.0)</f>
        <v>9999</v>
      </c>
      <c r="M436" s="124">
        <v>3.0</v>
      </c>
    </row>
    <row r="437">
      <c r="A437" s="151">
        <f>IFERROR(__xludf.DUMMYFUNCTION("""COMPUTED_VALUE"""),43723.14774881944)</f>
        <v>43723.14775</v>
      </c>
      <c r="B437" t="str">
        <f>IFERROR(__xludf.DUMMYFUNCTION("""COMPUTED_VALUE"""),"Adam")</f>
        <v>Adam</v>
      </c>
      <c r="C437" t="str">
        <f>IFERROR(__xludf.DUMMYFUNCTION("""COMPUTED_VALUE"""),"Wake Forest")</f>
        <v>Wake Forest</v>
      </c>
      <c r="D437">
        <f>IFERROR(__xludf.DUMMYFUNCTION("""COMPUTED_VALUE"""),3.0)</f>
        <v>3</v>
      </c>
      <c r="E437">
        <f>IFERROR(__xludf.DUMMYFUNCTION("""COMPUTED_VALUE"""),0.0)</f>
        <v>0</v>
      </c>
      <c r="F437" t="str">
        <f>IFERROR(__xludf.DUMMYFUNCTION("""COMPUTED_VALUE"""),"NA")</f>
        <v>NA</v>
      </c>
      <c r="G437" t="str">
        <f>IFERROR(__xludf.DUMMYFUNCTION("""COMPUTED_VALUE"""),"North Carolina 18 at Wake Forest 24")</f>
        <v>North Carolina 18 at Wake Forest 24</v>
      </c>
      <c r="H437" t="str">
        <f>IFERROR(__xludf.DUMMYFUNCTION("""COMPUTED_VALUE"""),"FINAL")</f>
        <v>FINAL</v>
      </c>
      <c r="I437">
        <f>IFERROR(__xludf.DUMMYFUNCTION("""COMPUTED_VALUE"""),-3.0)</f>
        <v>-3</v>
      </c>
      <c r="J437">
        <f>IFERROR(__xludf.DUMMYFUNCTION("""COMPUTED_VALUE"""),67.0)</f>
        <v>67</v>
      </c>
      <c r="K437" t="str">
        <f>IFERROR(__xludf.DUMMYFUNCTION("""COMPUTED_VALUE"""),"Nico")</f>
        <v>Nico</v>
      </c>
      <c r="L437">
        <f>IFERROR(__xludf.DUMMYFUNCTION("""COMPUTED_VALUE"""),9999.0)</f>
        <v>9999</v>
      </c>
      <c r="M437" s="124">
        <v>3.0</v>
      </c>
    </row>
    <row r="438">
      <c r="A438" s="151">
        <f>IFERROR(__xludf.DUMMYFUNCTION("""COMPUTED_VALUE"""),43723.14774881944)</f>
        <v>43723.14775</v>
      </c>
      <c r="B438" t="str">
        <f>IFERROR(__xludf.DUMMYFUNCTION("""COMPUTED_VALUE"""),"Adam")</f>
        <v>Adam</v>
      </c>
      <c r="C438" t="str">
        <f>IFERROR(__xludf.DUMMYFUNCTION("""COMPUTED_VALUE"""),"UCF")</f>
        <v>UCF</v>
      </c>
      <c r="D438">
        <f>IFERROR(__xludf.DUMMYFUNCTION("""COMPUTED_VALUE"""),3.0)</f>
        <v>3</v>
      </c>
      <c r="E438">
        <f>IFERROR(__xludf.DUMMYFUNCTION("""COMPUTED_VALUE"""),0.0)</f>
        <v>0</v>
      </c>
      <c r="F438" t="str">
        <f>IFERROR(__xludf.DUMMYFUNCTION("""COMPUTED_VALUE"""),"ESPN")</f>
        <v>ESPN</v>
      </c>
      <c r="G438" t="str">
        <f>IFERROR(__xludf.DUMMYFUNCTION("""COMPUTED_VALUE"""),"Stanford 27 at (16) UCF 45")</f>
        <v>Stanford 27 at (16) UCF 45</v>
      </c>
      <c r="H438" t="str">
        <f>IFERROR(__xludf.DUMMYFUNCTION("""COMPUTED_VALUE"""),"FINAL")</f>
        <v>FINAL</v>
      </c>
      <c r="I438" t="str">
        <f>IFERROR(__xludf.DUMMYFUNCTION("""COMPUTED_VALUE"""),"-7½")</f>
        <v>-7½</v>
      </c>
      <c r="J438" t="str">
        <f>IFERROR(__xludf.DUMMYFUNCTION("""COMPUTED_VALUE"""),"61½")</f>
        <v>61½</v>
      </c>
      <c r="K438" t="str">
        <f>IFERROR(__xludf.DUMMYFUNCTION("""COMPUTED_VALUE"""),"Nick G.")</f>
        <v>Nick G.</v>
      </c>
      <c r="L438">
        <f>IFERROR(__xludf.DUMMYFUNCTION("""COMPUTED_VALUE"""),9999.0)</f>
        <v>9999</v>
      </c>
      <c r="M438" s="124">
        <v>3.0</v>
      </c>
    </row>
    <row r="439">
      <c r="A439" s="151">
        <f>IFERROR(__xludf.DUMMYFUNCTION("""COMPUTED_VALUE"""),43723.14774881944)</f>
        <v>43723.14775</v>
      </c>
      <c r="B439" t="str">
        <f>IFERROR(__xludf.DUMMYFUNCTION("""COMPUTED_VALUE"""),"Adam")</f>
        <v>Adam</v>
      </c>
      <c r="C439" t="str">
        <f>IFERROR(__xludf.DUMMYFUNCTION("""COMPUTED_VALUE"""),"Georgia State")</f>
        <v>Georgia State</v>
      </c>
      <c r="D439">
        <f>IFERROR(__xludf.DUMMYFUNCTION("""COMPUTED_VALUE"""),2.0)</f>
        <v>2</v>
      </c>
      <c r="E439">
        <f>IFERROR(__xludf.DUMMYFUNCTION("""COMPUTED_VALUE"""),1.0)</f>
        <v>1</v>
      </c>
      <c r="F439" t="str">
        <f>IFERROR(__xludf.DUMMYFUNCTION("""COMPUTED_VALUE"""),"espn+ Video")</f>
        <v>espn+ Video</v>
      </c>
      <c r="G439" t="str">
        <f>IFERROR(__xludf.DUMMYFUNCTION("""COMPUTED_VALUE"""),"Georgia State 10 at Western Michigan 57")</f>
        <v>Georgia State 10 at Western Michigan 57</v>
      </c>
      <c r="H439" t="str">
        <f>IFERROR(__xludf.DUMMYFUNCTION("""COMPUTED_VALUE"""),"FINAL")</f>
        <v>FINAL</v>
      </c>
      <c r="I439" t="str">
        <f>IFERROR(__xludf.DUMMYFUNCTION("""COMPUTED_VALUE"""),"9½")</f>
        <v>9½</v>
      </c>
      <c r="J439" t="str">
        <f>IFERROR(__xludf.DUMMYFUNCTION("""COMPUTED_VALUE"""),"69½")</f>
        <v>69½</v>
      </c>
      <c r="K439" t="str">
        <f>IFERROR(__xludf.DUMMYFUNCTION("""COMPUTED_VALUE"""),"Jeannine")</f>
        <v>Jeannine</v>
      </c>
      <c r="L439">
        <f>IFERROR(__xludf.DUMMYFUNCTION("""COMPUTED_VALUE"""),9999.0)</f>
        <v>9999</v>
      </c>
      <c r="M439" s="124">
        <v>3.0</v>
      </c>
    </row>
    <row r="440">
      <c r="A440" s="151">
        <f>IFERROR(__xludf.DUMMYFUNCTION("""COMPUTED_VALUE"""),43723.14774881944)</f>
        <v>43723.14775</v>
      </c>
      <c r="B440" t="str">
        <f>IFERROR(__xludf.DUMMYFUNCTION("""COMPUTED_VALUE"""),"Adam")</f>
        <v>Adam</v>
      </c>
      <c r="C440" t="str">
        <f>IFERROR(__xludf.DUMMYFUNCTION("""COMPUTED_VALUE"""),"Florida Intl")</f>
        <v>Florida Intl</v>
      </c>
      <c r="D440">
        <f>IFERROR(__xludf.DUMMYFUNCTION("""COMPUTED_VALUE"""),1.0)</f>
        <v>1</v>
      </c>
      <c r="E440">
        <f>IFERROR(__xludf.DUMMYFUNCTION("""COMPUTED_VALUE"""),2.0)</f>
        <v>2</v>
      </c>
      <c r="F440" t="str">
        <f>IFERROR(__xludf.DUMMYFUNCTION("""COMPUTED_VALUE"""),"NA")</f>
        <v>NA</v>
      </c>
      <c r="G440" t="str">
        <f>IFERROR(__xludf.DUMMYFUNCTION("""COMPUTED_VALUE"""),"New Hampshire 17 at Florida Intl 30")</f>
        <v>New Hampshire 17 at Florida Intl 30</v>
      </c>
      <c r="H440" t="str">
        <f>IFERROR(__xludf.DUMMYFUNCTION("""COMPUTED_VALUE"""),"FINAL")</f>
        <v>FINAL</v>
      </c>
      <c r="I440" t="str">
        <f>IFERROR(__xludf.DUMMYFUNCTION("""COMPUTED_VALUE"""),"-9½")</f>
        <v>-9½</v>
      </c>
      <c r="J440" t="str">
        <f>IFERROR(__xludf.DUMMYFUNCTION("""COMPUTED_VALUE"""),"43½")</f>
        <v>43½</v>
      </c>
      <c r="K440" t="str">
        <f>IFERROR(__xludf.DUMMYFUNCTION("""COMPUTED_VALUE"""),"Undrafted")</f>
        <v>Undrafted</v>
      </c>
      <c r="L440">
        <f>IFERROR(__xludf.DUMMYFUNCTION("""COMPUTED_VALUE"""),9999.0)</f>
        <v>9999</v>
      </c>
      <c r="M440" s="124">
        <v>3.0</v>
      </c>
    </row>
    <row r="441">
      <c r="A441" s="151">
        <f>IFERROR(__xludf.DUMMYFUNCTION("""COMPUTED_VALUE"""),43723.14774881944)</f>
        <v>43723.14775</v>
      </c>
      <c r="B441" t="str">
        <f>IFERROR(__xludf.DUMMYFUNCTION("""COMPUTED_VALUE"""),"Adam")</f>
        <v>Adam</v>
      </c>
      <c r="C441" t="str">
        <f>IFERROR(__xludf.DUMMYFUNCTION("""COMPUTED_VALUE"""),"Florida")</f>
        <v>Florida</v>
      </c>
      <c r="D441">
        <f>IFERROR(__xludf.DUMMYFUNCTION("""COMPUTED_VALUE"""),3.0)</f>
        <v>3</v>
      </c>
      <c r="E441">
        <f>IFERROR(__xludf.DUMMYFUNCTION("""COMPUTED_VALUE"""),0.0)</f>
        <v>0</v>
      </c>
      <c r="F441" t="str">
        <f>IFERROR(__xludf.DUMMYFUNCTION("""COMPUTED_VALUE"""),"ESPN")</f>
        <v>ESPN</v>
      </c>
      <c r="G441" t="str">
        <f>IFERROR(__xludf.DUMMYFUNCTION("""COMPUTED_VALUE"""),"(8) Florida 29 at Kentucky 21")</f>
        <v>(8) Florida 29 at Kentucky 21</v>
      </c>
      <c r="H441" t="str">
        <f>IFERROR(__xludf.DUMMYFUNCTION("""COMPUTED_VALUE"""),"FINAL")</f>
        <v>FINAL</v>
      </c>
      <c r="I441">
        <f>IFERROR(__xludf.DUMMYFUNCTION("""COMPUTED_VALUE"""),-8.0)</f>
        <v>-8</v>
      </c>
      <c r="J441" t="str">
        <f>IFERROR(__xludf.DUMMYFUNCTION("""COMPUTED_VALUE"""),"50½")</f>
        <v>50½</v>
      </c>
      <c r="K441" t="str">
        <f>IFERROR(__xludf.DUMMYFUNCTION("""COMPUTED_VALUE"""),"Josh R.")</f>
        <v>Josh R.</v>
      </c>
      <c r="L441">
        <f>IFERROR(__xludf.DUMMYFUNCTION("""COMPUTED_VALUE"""),9999.0)</f>
        <v>9999</v>
      </c>
      <c r="M441" s="124">
        <v>3.0</v>
      </c>
    </row>
    <row r="442">
      <c r="A442" s="151">
        <f>IFERROR(__xludf.DUMMYFUNCTION("""COMPUTED_VALUE"""),43723.14774881944)</f>
        <v>43723.14775</v>
      </c>
      <c r="B442" t="str">
        <f>IFERROR(__xludf.DUMMYFUNCTION("""COMPUTED_VALUE"""),"Vu")</f>
        <v>Vu</v>
      </c>
      <c r="C442" t="str">
        <f>IFERROR(__xludf.DUMMYFUNCTION("""COMPUTED_VALUE"""),"Cincinnati")</f>
        <v>Cincinnati</v>
      </c>
      <c r="D442">
        <f>IFERROR(__xludf.DUMMYFUNCTION("""COMPUTED_VALUE"""),2.0)</f>
        <v>2</v>
      </c>
      <c r="E442">
        <f>IFERROR(__xludf.DUMMYFUNCTION("""COMPUTED_VALUE"""),1.0)</f>
        <v>1</v>
      </c>
      <c r="F442" t="str">
        <f>IFERROR(__xludf.DUMMYFUNCTION("""COMPUTED_VALUE"""),"ESPNU")</f>
        <v>ESPNU</v>
      </c>
      <c r="G442" t="str">
        <f>IFERROR(__xludf.DUMMYFUNCTION("""COMPUTED_VALUE"""),"Miami-OH 13 at Cincinnati 35")</f>
        <v>Miami-OH 13 at Cincinnati 35</v>
      </c>
      <c r="H442" t="str">
        <f>IFERROR(__xludf.DUMMYFUNCTION("""COMPUTED_VALUE"""),"FINAL")</f>
        <v>FINAL</v>
      </c>
      <c r="I442">
        <f>IFERROR(__xludf.DUMMYFUNCTION("""COMPUTED_VALUE"""),-17.0)</f>
        <v>-17</v>
      </c>
      <c r="J442">
        <f>IFERROR(__xludf.DUMMYFUNCTION("""COMPUTED_VALUE"""),49.0)</f>
        <v>49</v>
      </c>
      <c r="K442" t="str">
        <f>IFERROR(__xludf.DUMMYFUNCTION("""COMPUTED_VALUE"""),"Nico")</f>
        <v>Nico</v>
      </c>
      <c r="L442">
        <f>IFERROR(__xludf.DUMMYFUNCTION("""COMPUTED_VALUE"""),9999.0)</f>
        <v>9999</v>
      </c>
      <c r="M442" s="124">
        <v>3.0</v>
      </c>
    </row>
    <row r="443">
      <c r="A443" s="151">
        <f>IFERROR(__xludf.DUMMYFUNCTION("""COMPUTED_VALUE"""),43723.14774881944)</f>
        <v>43723.14775</v>
      </c>
      <c r="B443" t="str">
        <f>IFERROR(__xludf.DUMMYFUNCTION("""COMPUTED_VALUE"""),"Vu")</f>
        <v>Vu</v>
      </c>
      <c r="C443" t="str">
        <f>IFERROR(__xludf.DUMMYFUNCTION("""COMPUTED_VALUE"""),"Syracuse")</f>
        <v>Syracuse</v>
      </c>
      <c r="D443">
        <f>IFERROR(__xludf.DUMMYFUNCTION("""COMPUTED_VALUE"""),1.0)</f>
        <v>1</v>
      </c>
      <c r="E443">
        <f>IFERROR(__xludf.DUMMYFUNCTION("""COMPUTED_VALUE"""),2.0)</f>
        <v>2</v>
      </c>
      <c r="F443" t="str">
        <f>IFERROR(__xludf.DUMMYFUNCTION("""COMPUTED_VALUE"""),"ABC")</f>
        <v>ABC</v>
      </c>
      <c r="G443" t="str">
        <f>IFERROR(__xludf.DUMMYFUNCTION("""COMPUTED_VALUE"""),"(1) Clemson 41 at Syracuse 6")</f>
        <v>(1) Clemson 41 at Syracuse 6</v>
      </c>
      <c r="H443" t="str">
        <f>IFERROR(__xludf.DUMMYFUNCTION("""COMPUTED_VALUE"""),"FINAL")</f>
        <v>FINAL</v>
      </c>
      <c r="I443" t="str">
        <f>IFERROR(__xludf.DUMMYFUNCTION("""COMPUTED_VALUE"""),"27½")</f>
        <v>27½</v>
      </c>
      <c r="J443" t="str">
        <f>IFERROR(__xludf.DUMMYFUNCTION("""COMPUTED_VALUE"""),"62½")</f>
        <v>62½</v>
      </c>
      <c r="K443" t="str">
        <f>IFERROR(__xludf.DUMMYFUNCTION("""COMPUTED_VALUE"""),"Nick A.")</f>
        <v>Nick A.</v>
      </c>
      <c r="L443">
        <f>IFERROR(__xludf.DUMMYFUNCTION("""COMPUTED_VALUE"""),9999.0)</f>
        <v>9999</v>
      </c>
      <c r="M443" s="124">
        <v>3.0</v>
      </c>
    </row>
    <row r="444">
      <c r="A444" s="151">
        <f>IFERROR(__xludf.DUMMYFUNCTION("""COMPUTED_VALUE"""),43723.14774881944)</f>
        <v>43723.14775</v>
      </c>
      <c r="B444" t="str">
        <f>IFERROR(__xludf.DUMMYFUNCTION("""COMPUTED_VALUE"""),"Vu")</f>
        <v>Vu</v>
      </c>
      <c r="C444" t="str">
        <f>IFERROR(__xludf.DUMMYFUNCTION("""COMPUTED_VALUE"""),"Texas A&amp;M")</f>
        <v>Texas A&amp;M</v>
      </c>
      <c r="D444">
        <f>IFERROR(__xludf.DUMMYFUNCTION("""COMPUTED_VALUE"""),2.0)</f>
        <v>2</v>
      </c>
      <c r="E444">
        <f>IFERROR(__xludf.DUMMYFUNCTION("""COMPUTED_VALUE"""),1.0)</f>
        <v>1</v>
      </c>
      <c r="F444" t="str">
        <f>IFERROR(__xludf.DUMMYFUNCTION("""COMPUTED_VALUE"""),"ESPN2 or ESPNU")</f>
        <v>ESPN2 or ESPNU</v>
      </c>
      <c r="G444" t="str">
        <f>IFERROR(__xludf.DUMMYFUNCTION("""COMPUTED_VALUE"""),"Lamar 3 at (15) Texas A&amp;M 62")</f>
        <v>Lamar 3 at (15) Texas A&amp;M 62</v>
      </c>
      <c r="H444" t="str">
        <f>IFERROR(__xludf.DUMMYFUNCTION("""COMPUTED_VALUE"""),"FINAL")</f>
        <v>FINAL</v>
      </c>
      <c r="I444" t="str">
        <f>IFERROR(__xludf.DUMMYFUNCTION("""COMPUTED_VALUE"""),"-43½")</f>
        <v>-43½</v>
      </c>
      <c r="J444">
        <f>IFERROR(__xludf.DUMMYFUNCTION("""COMPUTED_VALUE"""),63.0)</f>
        <v>63</v>
      </c>
      <c r="K444" t="str">
        <f>IFERROR(__xludf.DUMMYFUNCTION("""COMPUTED_VALUE"""),"Undrafted")</f>
        <v>Undrafted</v>
      </c>
      <c r="L444">
        <f>IFERROR(__xludf.DUMMYFUNCTION("""COMPUTED_VALUE"""),9999.0)</f>
        <v>9999</v>
      </c>
      <c r="M444" s="124">
        <v>3.0</v>
      </c>
    </row>
    <row r="445">
      <c r="A445" s="151">
        <f>IFERROR(__xludf.DUMMYFUNCTION("""COMPUTED_VALUE"""),43723.14774881944)</f>
        <v>43723.14775</v>
      </c>
      <c r="B445" t="str">
        <f>IFERROR(__xludf.DUMMYFUNCTION("""COMPUTED_VALUE"""),"Vu")</f>
        <v>Vu</v>
      </c>
      <c r="C445" t="str">
        <f>IFERROR(__xludf.DUMMYFUNCTION("""COMPUTED_VALUE"""),"North Texas")</f>
        <v>North Texas</v>
      </c>
      <c r="D445">
        <f>IFERROR(__xludf.DUMMYFUNCTION("""COMPUTED_VALUE"""),1.0)</f>
        <v>1</v>
      </c>
      <c r="E445">
        <f>IFERROR(__xludf.DUMMYFUNCTION("""COMPUTED_VALUE"""),2.0)</f>
        <v>2</v>
      </c>
      <c r="F445" t="str">
        <f>IFERROR(__xludf.DUMMYFUNCTION("""COMPUTED_VALUE"""),"Pac-12 Bay Area")</f>
        <v>Pac-12 Bay Area</v>
      </c>
      <c r="G445" t="str">
        <f>IFERROR(__xludf.DUMMYFUNCTION("""COMPUTED_VALUE"""),"North Texas 17 at California 23")</f>
        <v>North Texas 17 at California 23</v>
      </c>
      <c r="H445" t="str">
        <f>IFERROR(__xludf.DUMMYFUNCTION("""COMPUTED_VALUE"""),"FINAL")</f>
        <v>FINAL</v>
      </c>
      <c r="I445">
        <f>IFERROR(__xludf.DUMMYFUNCTION("""COMPUTED_VALUE"""),14.0)</f>
        <v>14</v>
      </c>
      <c r="J445" t="str">
        <f>IFERROR(__xludf.DUMMYFUNCTION("""COMPUTED_VALUE"""),"50½")</f>
        <v>50½</v>
      </c>
      <c r="K445" t="str">
        <f>IFERROR(__xludf.DUMMYFUNCTION("""COMPUTED_VALUE"""),"DavEmily")</f>
        <v>DavEmily</v>
      </c>
      <c r="L445">
        <f>IFERROR(__xludf.DUMMYFUNCTION("""COMPUTED_VALUE"""),9999.0)</f>
        <v>9999</v>
      </c>
      <c r="M445" s="124">
        <v>3.0</v>
      </c>
    </row>
    <row r="446">
      <c r="A446" s="151">
        <f>IFERROR(__xludf.DUMMYFUNCTION("""COMPUTED_VALUE"""),43723.14774881944)</f>
        <v>43723.14775</v>
      </c>
      <c r="B446" t="str">
        <f>IFERROR(__xludf.DUMMYFUNCTION("""COMPUTED_VALUE"""),"Vu")</f>
        <v>Vu</v>
      </c>
      <c r="C446" t="str">
        <f>IFERROR(__xludf.DUMMYFUNCTION("""COMPUTED_VALUE"""),"TCU")</f>
        <v>TCU</v>
      </c>
      <c r="D446">
        <f>IFERROR(__xludf.DUMMYFUNCTION("""COMPUTED_VALUE"""),2.0)</f>
        <v>2</v>
      </c>
      <c r="E446">
        <f>IFERROR(__xludf.DUMMYFUNCTION("""COMPUTED_VALUE"""),0.0)</f>
        <v>0</v>
      </c>
      <c r="F446" t="str">
        <f>IFERROR(__xludf.DUMMYFUNCTION("""COMPUTED_VALUE"""),"BTN")</f>
        <v>BTN</v>
      </c>
      <c r="G446" t="str">
        <f>IFERROR(__xludf.DUMMYFUNCTION("""COMPUTED_VALUE"""),"TCU 34 at Purdue 13")</f>
        <v>TCU 34 at Purdue 13</v>
      </c>
      <c r="H446" t="str">
        <f>IFERROR(__xludf.DUMMYFUNCTION("""COMPUTED_VALUE"""),"FINAL")</f>
        <v>FINAL</v>
      </c>
      <c r="I446" t="str">
        <f>IFERROR(__xludf.DUMMYFUNCTION("""COMPUTED_VALUE"""),"-2½")</f>
        <v>-2½</v>
      </c>
      <c r="J446">
        <f>IFERROR(__xludf.DUMMYFUNCTION("""COMPUTED_VALUE"""),51.0)</f>
        <v>51</v>
      </c>
      <c r="K446" t="str">
        <f>IFERROR(__xludf.DUMMYFUNCTION("""COMPUTED_VALUE"""),"Nico")</f>
        <v>Nico</v>
      </c>
      <c r="L446">
        <f>IFERROR(__xludf.DUMMYFUNCTION("""COMPUTED_VALUE"""),9999.0)</f>
        <v>9999</v>
      </c>
      <c r="M446" s="124">
        <v>3.0</v>
      </c>
    </row>
    <row r="447">
      <c r="A447" s="151">
        <f>IFERROR(__xludf.DUMMYFUNCTION("""COMPUTED_VALUE"""),43723.14774881944)</f>
        <v>43723.14775</v>
      </c>
      <c r="B447" t="str">
        <f>IFERROR(__xludf.DUMMYFUNCTION("""COMPUTED_VALUE"""),"Vu")</f>
        <v>Vu</v>
      </c>
      <c r="C447" t="str">
        <f>IFERROR(__xludf.DUMMYFUNCTION("""COMPUTED_VALUE"""),"Michigan")</f>
        <v>Michigan</v>
      </c>
      <c r="D447">
        <f>IFERROR(__xludf.DUMMYFUNCTION("""COMPUTED_VALUE"""),2.0)</f>
        <v>2</v>
      </c>
      <c r="E447">
        <f>IFERROR(__xludf.DUMMYFUNCTION("""COMPUTED_VALUE"""),0.0)</f>
        <v>0</v>
      </c>
      <c r="F447" t="str">
        <f>IFERROR(__xludf.DUMMYFUNCTION("""COMPUTED_VALUE"""),"NA")</f>
        <v>NA</v>
      </c>
      <c r="G447" t="str">
        <f>IFERROR(__xludf.DUMMYFUNCTION("""COMPUTED_VALUE"""),"BYE")</f>
        <v>BYE</v>
      </c>
      <c r="I447" t="str">
        <f>IFERROR(__xludf.DUMMYFUNCTION("""COMPUTED_VALUE"""),"bye")</f>
        <v>bye</v>
      </c>
      <c r="J447" t="str">
        <f>IFERROR(__xludf.DUMMYFUNCTION("""COMPUTED_VALUE"""),"bye")</f>
        <v>bye</v>
      </c>
      <c r="L447">
        <f>IFERROR(__xludf.DUMMYFUNCTION("""COMPUTED_VALUE"""),9999.0)</f>
        <v>9999</v>
      </c>
      <c r="M447" s="124">
        <v>3.0</v>
      </c>
    </row>
    <row r="448">
      <c r="A448" s="151">
        <f>IFERROR(__xludf.DUMMYFUNCTION("""COMPUTED_VALUE"""),43723.14774881944)</f>
        <v>43723.14775</v>
      </c>
      <c r="B448" t="str">
        <f>IFERROR(__xludf.DUMMYFUNCTION("""COMPUTED_VALUE"""),"Vu")</f>
        <v>Vu</v>
      </c>
      <c r="C448" t="str">
        <f>IFERROR(__xludf.DUMMYFUNCTION("""COMPUTED_VALUE"""),"Kent State")</f>
        <v>Kent State</v>
      </c>
      <c r="D448">
        <f>IFERROR(__xludf.DUMMYFUNCTION("""COMPUTED_VALUE"""),1.0)</f>
        <v>1</v>
      </c>
      <c r="E448">
        <f>IFERROR(__xludf.DUMMYFUNCTION("""COMPUTED_VALUE"""),2.0)</f>
        <v>2</v>
      </c>
      <c r="F448" t="str">
        <f>IFERROR(__xludf.DUMMYFUNCTION("""COMPUTED_VALUE"""),"ESPN2 or ESPNU")</f>
        <v>ESPN2 or ESPNU</v>
      </c>
      <c r="G448" t="str">
        <f>IFERROR(__xludf.DUMMYFUNCTION("""COMPUTED_VALUE"""),"Kent State 16 at (9) Auburn 55")</f>
        <v>Kent State 16 at (9) Auburn 55</v>
      </c>
      <c r="H448" t="str">
        <f>IFERROR(__xludf.DUMMYFUNCTION("""COMPUTED_VALUE"""),"FINAL")</f>
        <v>FINAL</v>
      </c>
      <c r="I448">
        <f>IFERROR(__xludf.DUMMYFUNCTION("""COMPUTED_VALUE"""),35.0)</f>
        <v>35</v>
      </c>
      <c r="J448" t="str">
        <f>IFERROR(__xludf.DUMMYFUNCTION("""COMPUTED_VALUE"""),"52½")</f>
        <v>52½</v>
      </c>
      <c r="K448" t="str">
        <f>IFERROR(__xludf.DUMMYFUNCTION("""COMPUTED_VALUE"""),"Nick G.")</f>
        <v>Nick G.</v>
      </c>
      <c r="L448">
        <f>IFERROR(__xludf.DUMMYFUNCTION("""COMPUTED_VALUE"""),9999.0)</f>
        <v>9999</v>
      </c>
      <c r="M448" s="124">
        <v>3.0</v>
      </c>
    </row>
    <row r="449">
      <c r="A449" s="151">
        <f>IFERROR(__xludf.DUMMYFUNCTION("""COMPUTED_VALUE"""),43723.14774881944)</f>
        <v>43723.14775</v>
      </c>
      <c r="B449" t="str">
        <f>IFERROR(__xludf.DUMMYFUNCTION("""COMPUTED_VALUE"""),"Vu")</f>
        <v>Vu</v>
      </c>
      <c r="C449" t="str">
        <f>IFERROR(__xludf.DUMMYFUNCTION("""COMPUTED_VALUE"""),"South Alabama")</f>
        <v>South Alabama</v>
      </c>
      <c r="D449">
        <f>IFERROR(__xludf.DUMMYFUNCTION("""COMPUTED_VALUE"""),1.0)</f>
        <v>1</v>
      </c>
      <c r="E449">
        <f>IFERROR(__xludf.DUMMYFUNCTION("""COMPUTED_VALUE"""),2.0)</f>
        <v>2</v>
      </c>
      <c r="F449" t="str">
        <f>IFERROR(__xludf.DUMMYFUNCTION("""COMPUTED_VALUE"""),"ESPNU")</f>
        <v>ESPNU</v>
      </c>
      <c r="G449" t="str">
        <f>IFERROR(__xludf.DUMMYFUNCTION("""COMPUTED_VALUE"""),"Memphis 42 at South Alabama 6")</f>
        <v>Memphis 42 at South Alabama 6</v>
      </c>
      <c r="H449" t="str">
        <f>IFERROR(__xludf.DUMMYFUNCTION("""COMPUTED_VALUE"""),"FINAL")</f>
        <v>FINAL</v>
      </c>
      <c r="I449">
        <f>IFERROR(__xludf.DUMMYFUNCTION("""COMPUTED_VALUE"""),19.0)</f>
        <v>19</v>
      </c>
      <c r="J449" t="str">
        <f>IFERROR(__xludf.DUMMYFUNCTION("""COMPUTED_VALUE"""),"57½")</f>
        <v>57½</v>
      </c>
      <c r="K449" t="str">
        <f>IFERROR(__xludf.DUMMYFUNCTION("""COMPUTED_VALUE"""),"Brad")</f>
        <v>Brad</v>
      </c>
      <c r="L449">
        <f>IFERROR(__xludf.DUMMYFUNCTION("""COMPUTED_VALUE"""),9999.0)</f>
        <v>9999</v>
      </c>
      <c r="M449" s="124">
        <v>3.0</v>
      </c>
    </row>
    <row r="450">
      <c r="A450" s="151">
        <f>IFERROR(__xludf.DUMMYFUNCTION("""COMPUTED_VALUE"""),43723.14774881944)</f>
        <v>43723.14775</v>
      </c>
      <c r="B450" t="str">
        <f>IFERROR(__xludf.DUMMYFUNCTION("""COMPUTED_VALUE"""),"Vu")</f>
        <v>Vu</v>
      </c>
      <c r="C450" t="str">
        <f>IFERROR(__xludf.DUMMYFUNCTION("""COMPUTED_VALUE"""),"Washington")</f>
        <v>Washington</v>
      </c>
      <c r="D450">
        <f>IFERROR(__xludf.DUMMYFUNCTION("""COMPUTED_VALUE"""),2.0)</f>
        <v>2</v>
      </c>
      <c r="E450">
        <f>IFERROR(__xludf.DUMMYFUNCTION("""COMPUTED_VALUE"""),1.0)</f>
        <v>1</v>
      </c>
      <c r="F450" t="str">
        <f>IFERROR(__xludf.DUMMYFUNCTION("""COMPUTED_VALUE"""),"Pac-12")</f>
        <v>Pac-12</v>
      </c>
      <c r="G450" t="str">
        <f>IFERROR(__xludf.DUMMYFUNCTION("""COMPUTED_VALUE"""),"Hawaii 20 at (21) Washington 52")</f>
        <v>Hawaii 20 at (21) Washington 52</v>
      </c>
      <c r="H450" t="str">
        <f>IFERROR(__xludf.DUMMYFUNCTION("""COMPUTED_VALUE"""),"FINAL")</f>
        <v>FINAL</v>
      </c>
      <c r="I450">
        <f>IFERROR(__xludf.DUMMYFUNCTION("""COMPUTED_VALUE"""),-21.0)</f>
        <v>-21</v>
      </c>
      <c r="J450" t="str">
        <f>IFERROR(__xludf.DUMMYFUNCTION("""COMPUTED_VALUE"""),"58½")</f>
        <v>58½</v>
      </c>
      <c r="K450" t="str">
        <f>IFERROR(__xludf.DUMMYFUNCTION("""COMPUTED_VALUE"""),"Vu")</f>
        <v>Vu</v>
      </c>
      <c r="L450">
        <f>IFERROR(__xludf.DUMMYFUNCTION("""COMPUTED_VALUE"""),9999.0)</f>
        <v>9999</v>
      </c>
      <c r="M450" s="124">
        <v>3.0</v>
      </c>
    </row>
    <row r="451">
      <c r="A451" s="151">
        <f>IFERROR(__xludf.DUMMYFUNCTION("""COMPUTED_VALUE"""),43723.14774881944)</f>
        <v>43723.14775</v>
      </c>
      <c r="B451" t="str">
        <f>IFERROR(__xludf.DUMMYFUNCTION("""COMPUTED_VALUE"""),"Vu")</f>
        <v>Vu</v>
      </c>
      <c r="C451" t="str">
        <f>IFERROR(__xludf.DUMMYFUNCTION("""COMPUTED_VALUE"""),"Hawaii")</f>
        <v>Hawaii</v>
      </c>
      <c r="D451">
        <f>IFERROR(__xludf.DUMMYFUNCTION("""COMPUTED_VALUE"""),2.0)</f>
        <v>2</v>
      </c>
      <c r="E451">
        <f>IFERROR(__xludf.DUMMYFUNCTION("""COMPUTED_VALUE"""),1.0)</f>
        <v>1</v>
      </c>
      <c r="F451" t="str">
        <f>IFERROR(__xludf.DUMMYFUNCTION("""COMPUTED_VALUE"""),"Pac-12")</f>
        <v>Pac-12</v>
      </c>
      <c r="G451" t="str">
        <f>IFERROR(__xludf.DUMMYFUNCTION("""COMPUTED_VALUE"""),"Hawaii 20 at (21) Washington 52")</f>
        <v>Hawaii 20 at (21) Washington 52</v>
      </c>
      <c r="H451" t="str">
        <f>IFERROR(__xludf.DUMMYFUNCTION("""COMPUTED_VALUE"""),"FINAL")</f>
        <v>FINAL</v>
      </c>
      <c r="I451">
        <f>IFERROR(__xludf.DUMMYFUNCTION("""COMPUTED_VALUE"""),21.0)</f>
        <v>21</v>
      </c>
      <c r="J451" t="str">
        <f>IFERROR(__xludf.DUMMYFUNCTION("""COMPUTED_VALUE"""),"58½")</f>
        <v>58½</v>
      </c>
      <c r="K451" t="str">
        <f>IFERROR(__xludf.DUMMYFUNCTION("""COMPUTED_VALUE"""),"Vu")</f>
        <v>Vu</v>
      </c>
      <c r="L451">
        <f>IFERROR(__xludf.DUMMYFUNCTION("""COMPUTED_VALUE"""),9999.0)</f>
        <v>9999</v>
      </c>
      <c r="M451" s="124">
        <v>3.0</v>
      </c>
    </row>
    <row r="452">
      <c r="A452" s="151">
        <f>IFERROR(__xludf.DUMMYFUNCTION("""COMPUTED_VALUE"""),43723.14774881944)</f>
        <v>43723.14775</v>
      </c>
      <c r="B452" t="str">
        <f>IFERROR(__xludf.DUMMYFUNCTION("""COMPUTED_VALUE"""),"Josh R.")</f>
        <v>Josh R.</v>
      </c>
      <c r="C452" t="str">
        <f>IFERROR(__xludf.DUMMYFUNCTION("""COMPUTED_VALUE"""),"Army")</f>
        <v>Army</v>
      </c>
      <c r="D452">
        <f>IFERROR(__xludf.DUMMYFUNCTION("""COMPUTED_VALUE"""),2.0)</f>
        <v>2</v>
      </c>
      <c r="E452">
        <f>IFERROR(__xludf.DUMMYFUNCTION("""COMPUTED_VALUE"""),1.0)</f>
        <v>1</v>
      </c>
      <c r="F452" t="str">
        <f>IFERROR(__xludf.DUMMYFUNCTION("""COMPUTED_VALUE"""),"NFL Network")</f>
        <v>NFL Network</v>
      </c>
      <c r="G452" t="str">
        <f>IFERROR(__xludf.DUMMYFUNCTION("""COMPUTED_VALUE"""),"Army 31 at UTSA 13")</f>
        <v>Army 31 at UTSA 13</v>
      </c>
      <c r="H452" t="str">
        <f>IFERROR(__xludf.DUMMYFUNCTION("""COMPUTED_VALUE"""),"FINAL")</f>
        <v>FINAL</v>
      </c>
      <c r="I452">
        <f>IFERROR(__xludf.DUMMYFUNCTION("""COMPUTED_VALUE"""),-17.0)</f>
        <v>-17</v>
      </c>
      <c r="J452">
        <f>IFERROR(__xludf.DUMMYFUNCTION("""COMPUTED_VALUE"""),45.0)</f>
        <v>45</v>
      </c>
      <c r="K452" t="str">
        <f>IFERROR(__xludf.DUMMYFUNCTION("""COMPUTED_VALUE"""),"DavEmily")</f>
        <v>DavEmily</v>
      </c>
      <c r="L452">
        <f>IFERROR(__xludf.DUMMYFUNCTION("""COMPUTED_VALUE"""),9999.0)</f>
        <v>9999</v>
      </c>
      <c r="M452" s="124">
        <v>3.0</v>
      </c>
    </row>
    <row r="453">
      <c r="A453" s="151">
        <f>IFERROR(__xludf.DUMMYFUNCTION("""COMPUTED_VALUE"""),43723.14774881944)</f>
        <v>43723.14775</v>
      </c>
      <c r="B453" t="str">
        <f>IFERROR(__xludf.DUMMYFUNCTION("""COMPUTED_VALUE"""),"Josh R.")</f>
        <v>Josh R.</v>
      </c>
      <c r="C453" t="str">
        <f>IFERROR(__xludf.DUMMYFUNCTION("""COMPUTED_VALUE"""),"Southern Mississippi")</f>
        <v>Southern Mississippi</v>
      </c>
      <c r="D453">
        <f>IFERROR(__xludf.DUMMYFUNCTION("""COMPUTED_VALUE"""),2.0)</f>
        <v>2</v>
      </c>
      <c r="E453">
        <f>IFERROR(__xludf.DUMMYFUNCTION("""COMPUTED_VALUE"""),1.0)</f>
        <v>1</v>
      </c>
      <c r="F453" t="str">
        <f>IFERROR(__xludf.DUMMYFUNCTION("""COMPUTED_VALUE"""),"NA")</f>
        <v>NA</v>
      </c>
      <c r="G453" t="str">
        <f>IFERROR(__xludf.DUMMYFUNCTION("""COMPUTED_VALUE"""),"Southern Mississippi 47 at Troy 42")</f>
        <v>Southern Mississippi 47 at Troy 42</v>
      </c>
      <c r="H453" t="str">
        <f>IFERROR(__xludf.DUMMYFUNCTION("""COMPUTED_VALUE"""),"FINAL")</f>
        <v>FINAL</v>
      </c>
      <c r="I453" t="str">
        <f>IFERROR(__xludf.DUMMYFUNCTION("""COMPUTED_VALUE"""),"2½")</f>
        <v>2½</v>
      </c>
      <c r="J453">
        <f>IFERROR(__xludf.DUMMYFUNCTION("""COMPUTED_VALUE"""),49.0)</f>
        <v>49</v>
      </c>
      <c r="K453" t="str">
        <f>IFERROR(__xludf.DUMMYFUNCTION("""COMPUTED_VALUE"""),"Nick G.")</f>
        <v>Nick G.</v>
      </c>
      <c r="L453">
        <f>IFERROR(__xludf.DUMMYFUNCTION("""COMPUTED_VALUE"""),9999.0)</f>
        <v>9999</v>
      </c>
      <c r="M453" s="124">
        <v>3.0</v>
      </c>
    </row>
    <row r="454">
      <c r="A454" s="151">
        <f>IFERROR(__xludf.DUMMYFUNCTION("""COMPUTED_VALUE"""),43723.14774881944)</f>
        <v>43723.14775</v>
      </c>
      <c r="B454" t="str">
        <f>IFERROR(__xludf.DUMMYFUNCTION("""COMPUTED_VALUE"""),"Josh R.")</f>
        <v>Josh R.</v>
      </c>
      <c r="C454" t="str">
        <f>IFERROR(__xludf.DUMMYFUNCTION("""COMPUTED_VALUE"""),"Nevada")</f>
        <v>Nevada</v>
      </c>
      <c r="D454">
        <f>IFERROR(__xludf.DUMMYFUNCTION("""COMPUTED_VALUE"""),2.0)</f>
        <v>2</v>
      </c>
      <c r="E454">
        <f>IFERROR(__xludf.DUMMYFUNCTION("""COMPUTED_VALUE"""),1.0)</f>
        <v>1</v>
      </c>
      <c r="F454" t="str">
        <f>IFERROR(__xludf.DUMMYFUNCTION("""COMPUTED_VALUE"""),"espn3 Video")</f>
        <v>espn3 Video</v>
      </c>
      <c r="G454" t="str">
        <f>IFERROR(__xludf.DUMMYFUNCTION("""COMPUTED_VALUE"""),"Weber State 13 at Nevada 19")</f>
        <v>Weber State 13 at Nevada 19</v>
      </c>
      <c r="H454" t="str">
        <f>IFERROR(__xludf.DUMMYFUNCTION("""COMPUTED_VALUE"""),"FINAL")</f>
        <v>FINAL</v>
      </c>
      <c r="I454">
        <f>IFERROR(__xludf.DUMMYFUNCTION("""COMPUTED_VALUE"""),-9.0)</f>
        <v>-9</v>
      </c>
      <c r="J454" t="str">
        <f>IFERROR(__xludf.DUMMYFUNCTION("""COMPUTED_VALUE"""),"51½")</f>
        <v>51½</v>
      </c>
      <c r="K454" t="str">
        <f>IFERROR(__xludf.DUMMYFUNCTION("""COMPUTED_VALUE"""),"Undrafted")</f>
        <v>Undrafted</v>
      </c>
      <c r="L454">
        <f>IFERROR(__xludf.DUMMYFUNCTION("""COMPUTED_VALUE"""),9999.0)</f>
        <v>9999</v>
      </c>
      <c r="M454" s="124">
        <v>3.0</v>
      </c>
    </row>
    <row r="455">
      <c r="A455" s="151">
        <f>IFERROR(__xludf.DUMMYFUNCTION("""COMPUTED_VALUE"""),43723.14774881944)</f>
        <v>43723.14775</v>
      </c>
      <c r="B455" t="str">
        <f>IFERROR(__xludf.DUMMYFUNCTION("""COMPUTED_VALUE"""),"Josh R.")</f>
        <v>Josh R.</v>
      </c>
      <c r="C455" t="str">
        <f>IFERROR(__xludf.DUMMYFUNCTION("""COMPUTED_VALUE"""),"Toledo")</f>
        <v>Toledo</v>
      </c>
      <c r="D455">
        <f>IFERROR(__xludf.DUMMYFUNCTION("""COMPUTED_VALUE"""),1.0)</f>
        <v>1</v>
      </c>
      <c r="E455">
        <f>IFERROR(__xludf.DUMMYFUNCTION("""COMPUTED_VALUE"""),1.0)</f>
        <v>1</v>
      </c>
      <c r="F455" t="str">
        <f>IFERROR(__xludf.DUMMYFUNCTION("""COMPUTED_VALUE"""),"espn3 Video")</f>
        <v>espn3 Video</v>
      </c>
      <c r="G455" t="str">
        <f>IFERROR(__xludf.DUMMYFUNCTION("""COMPUTED_VALUE"""),"Murray State 0 at Toledo 45")</f>
        <v>Murray State 0 at Toledo 45</v>
      </c>
      <c r="H455" t="str">
        <f>IFERROR(__xludf.DUMMYFUNCTION("""COMPUTED_VALUE"""),"FINAL")</f>
        <v>FINAL</v>
      </c>
      <c r="I455" t="str">
        <f>IFERROR(__xludf.DUMMYFUNCTION("""COMPUTED_VALUE"""),"-38½")</f>
        <v>-38½</v>
      </c>
      <c r="J455">
        <f>IFERROR(__xludf.DUMMYFUNCTION("""COMPUTED_VALUE"""),70.0)</f>
        <v>70</v>
      </c>
      <c r="K455" t="str">
        <f>IFERROR(__xludf.DUMMYFUNCTION("""COMPUTED_VALUE"""),"Undrafted")</f>
        <v>Undrafted</v>
      </c>
      <c r="L455">
        <f>IFERROR(__xludf.DUMMYFUNCTION("""COMPUTED_VALUE"""),9999.0)</f>
        <v>9999</v>
      </c>
      <c r="M455" s="124">
        <v>3.0</v>
      </c>
    </row>
    <row r="456">
      <c r="A456" s="151">
        <f>IFERROR(__xludf.DUMMYFUNCTION("""COMPUTED_VALUE"""),43723.14774881944)</f>
        <v>43723.14775</v>
      </c>
      <c r="B456" t="str">
        <f>IFERROR(__xludf.DUMMYFUNCTION("""COMPUTED_VALUE"""),"Josh R.")</f>
        <v>Josh R.</v>
      </c>
      <c r="C456" t="str">
        <f>IFERROR(__xludf.DUMMYFUNCTION("""COMPUTED_VALUE"""),"Temple")</f>
        <v>Temple</v>
      </c>
      <c r="D456">
        <f>IFERROR(__xludf.DUMMYFUNCTION("""COMPUTED_VALUE"""),2.0)</f>
        <v>2</v>
      </c>
      <c r="E456">
        <f>IFERROR(__xludf.DUMMYFUNCTION("""COMPUTED_VALUE"""),0.0)</f>
        <v>0</v>
      </c>
      <c r="F456" t="str">
        <f>IFERROR(__xludf.DUMMYFUNCTION("""COMPUTED_VALUE"""),"CBSSN")</f>
        <v>CBSSN</v>
      </c>
      <c r="G456" t="str">
        <f>IFERROR(__xludf.DUMMYFUNCTION("""COMPUTED_VALUE"""),"(25) Maryland 17 at Temple 20")</f>
        <v>(25) Maryland 17 at Temple 20</v>
      </c>
      <c r="H456" t="str">
        <f>IFERROR(__xludf.DUMMYFUNCTION("""COMPUTED_VALUE"""),"FINAL")</f>
        <v>FINAL</v>
      </c>
      <c r="I456">
        <f>IFERROR(__xludf.DUMMYFUNCTION("""COMPUTED_VALUE"""),7.0)</f>
        <v>7</v>
      </c>
      <c r="J456">
        <f>IFERROR(__xludf.DUMMYFUNCTION("""COMPUTED_VALUE"""),64.0)</f>
        <v>64</v>
      </c>
      <c r="K456" t="str">
        <f>IFERROR(__xludf.DUMMYFUNCTION("""COMPUTED_VALUE"""),"Gary")</f>
        <v>Gary</v>
      </c>
      <c r="L456">
        <f>IFERROR(__xludf.DUMMYFUNCTION("""COMPUTED_VALUE"""),9999.0)</f>
        <v>9999</v>
      </c>
      <c r="M456" s="124">
        <v>3.0</v>
      </c>
    </row>
    <row r="457">
      <c r="A457" s="151">
        <f>IFERROR(__xludf.DUMMYFUNCTION("""COMPUTED_VALUE"""),43723.14774881944)</f>
        <v>43723.14775</v>
      </c>
      <c r="B457" t="str">
        <f>IFERROR(__xludf.DUMMYFUNCTION("""COMPUTED_VALUE"""),"Josh R.")</f>
        <v>Josh R.</v>
      </c>
      <c r="C457" t="str">
        <f>IFERROR(__xludf.DUMMYFUNCTION("""COMPUTED_VALUE"""),"Florida State")</f>
        <v>Florida State</v>
      </c>
      <c r="D457">
        <f>IFERROR(__xludf.DUMMYFUNCTION("""COMPUTED_VALUE"""),1.0)</f>
        <v>1</v>
      </c>
      <c r="E457">
        <f>IFERROR(__xludf.DUMMYFUNCTION("""COMPUTED_VALUE"""),2.0)</f>
        <v>2</v>
      </c>
      <c r="F457" t="str">
        <f>IFERROR(__xludf.DUMMYFUNCTION("""COMPUTED_VALUE"""),"ACC Network")</f>
        <v>ACC Network</v>
      </c>
      <c r="G457" t="str">
        <f>IFERROR(__xludf.DUMMYFUNCTION("""COMPUTED_VALUE"""),"Florida State 24 at Virginia 31")</f>
        <v>Florida State 24 at Virginia 31</v>
      </c>
      <c r="H457" t="str">
        <f>IFERROR(__xludf.DUMMYFUNCTION("""COMPUTED_VALUE"""),"FINAL")</f>
        <v>FINAL</v>
      </c>
      <c r="I457">
        <f>IFERROR(__xludf.DUMMYFUNCTION("""COMPUTED_VALUE"""),7.0)</f>
        <v>7</v>
      </c>
      <c r="J457">
        <f>IFERROR(__xludf.DUMMYFUNCTION("""COMPUTED_VALUE"""),57.0)</f>
        <v>57</v>
      </c>
      <c r="K457" t="str">
        <f>IFERROR(__xludf.DUMMYFUNCTION("""COMPUTED_VALUE"""),"Jeannine")</f>
        <v>Jeannine</v>
      </c>
      <c r="L457">
        <f>IFERROR(__xludf.DUMMYFUNCTION("""COMPUTED_VALUE"""),9999.0)</f>
        <v>9999</v>
      </c>
      <c r="M457" s="124">
        <v>3.0</v>
      </c>
    </row>
    <row r="458">
      <c r="A458" s="151">
        <f>IFERROR(__xludf.DUMMYFUNCTION("""COMPUTED_VALUE"""),43723.14774881944)</f>
        <v>43723.14775</v>
      </c>
      <c r="B458" t="str">
        <f>IFERROR(__xludf.DUMMYFUNCTION("""COMPUTED_VALUE"""),"Josh R.")</f>
        <v>Josh R.</v>
      </c>
      <c r="C458" t="str">
        <f>IFERROR(__xludf.DUMMYFUNCTION("""COMPUTED_VALUE"""),"Kansas")</f>
        <v>Kansas</v>
      </c>
      <c r="D458">
        <f>IFERROR(__xludf.DUMMYFUNCTION("""COMPUTED_VALUE"""),2.0)</f>
        <v>2</v>
      </c>
      <c r="E458">
        <f>IFERROR(__xludf.DUMMYFUNCTION("""COMPUTED_VALUE"""),1.0)</f>
        <v>1</v>
      </c>
      <c r="F458" t="str">
        <f>IFERROR(__xludf.DUMMYFUNCTION("""COMPUTED_VALUE"""),"ACC Network")</f>
        <v>ACC Network</v>
      </c>
      <c r="G458" t="str">
        <f>IFERROR(__xludf.DUMMYFUNCTION("""COMPUTED_VALUE"""),"Kansas 48 at Boston College 24")</f>
        <v>Kansas 48 at Boston College 24</v>
      </c>
      <c r="H458" t="str">
        <f>IFERROR(__xludf.DUMMYFUNCTION("""COMPUTED_VALUE"""),"FINAL")</f>
        <v>FINAL</v>
      </c>
      <c r="I458">
        <f>IFERROR(__xludf.DUMMYFUNCTION("""COMPUTED_VALUE"""),21.0)</f>
        <v>21</v>
      </c>
      <c r="J458">
        <f>IFERROR(__xludf.DUMMYFUNCTION("""COMPUTED_VALUE"""),53.0)</f>
        <v>53</v>
      </c>
      <c r="K458" t="str">
        <f>IFERROR(__xludf.DUMMYFUNCTION("""COMPUTED_VALUE"""),"Janice/Mike")</f>
        <v>Janice/Mike</v>
      </c>
      <c r="L458">
        <f>IFERROR(__xludf.DUMMYFUNCTION("""COMPUTED_VALUE"""),9999.0)</f>
        <v>9999</v>
      </c>
      <c r="M458" s="124">
        <v>3.0</v>
      </c>
    </row>
    <row r="459">
      <c r="A459" s="151">
        <f>IFERROR(__xludf.DUMMYFUNCTION("""COMPUTED_VALUE"""),43723.14774881944)</f>
        <v>43723.14775</v>
      </c>
      <c r="B459" t="str">
        <f>IFERROR(__xludf.DUMMYFUNCTION("""COMPUTED_VALUE"""),"Josh R.")</f>
        <v>Josh R.</v>
      </c>
      <c r="C459" t="str">
        <f>IFERROR(__xludf.DUMMYFUNCTION("""COMPUTED_VALUE"""),"Kentucky")</f>
        <v>Kentucky</v>
      </c>
      <c r="D459">
        <f>IFERROR(__xludf.DUMMYFUNCTION("""COMPUTED_VALUE"""),2.0)</f>
        <v>2</v>
      </c>
      <c r="E459">
        <f>IFERROR(__xludf.DUMMYFUNCTION("""COMPUTED_VALUE"""),1.0)</f>
        <v>1</v>
      </c>
      <c r="F459" t="str">
        <f>IFERROR(__xludf.DUMMYFUNCTION("""COMPUTED_VALUE"""),"ESPN")</f>
        <v>ESPN</v>
      </c>
      <c r="G459" t="str">
        <f>IFERROR(__xludf.DUMMYFUNCTION("""COMPUTED_VALUE"""),"(8) Florida 29 at Kentucky 21")</f>
        <v>(8) Florida 29 at Kentucky 21</v>
      </c>
      <c r="H459" t="str">
        <f>IFERROR(__xludf.DUMMYFUNCTION("""COMPUTED_VALUE"""),"FINAL")</f>
        <v>FINAL</v>
      </c>
      <c r="I459">
        <f>IFERROR(__xludf.DUMMYFUNCTION("""COMPUTED_VALUE"""),8.0)</f>
        <v>8</v>
      </c>
      <c r="J459" t="str">
        <f>IFERROR(__xludf.DUMMYFUNCTION("""COMPUTED_VALUE"""),"50½")</f>
        <v>50½</v>
      </c>
      <c r="K459" t="str">
        <f>IFERROR(__xludf.DUMMYFUNCTION("""COMPUTED_VALUE"""),"Adam")</f>
        <v>Adam</v>
      </c>
      <c r="L459">
        <f>IFERROR(__xludf.DUMMYFUNCTION("""COMPUTED_VALUE"""),9999.0)</f>
        <v>9999</v>
      </c>
      <c r="M459" s="124">
        <v>3.0</v>
      </c>
    </row>
    <row r="460">
      <c r="A460" s="151">
        <f>IFERROR(__xludf.DUMMYFUNCTION("""COMPUTED_VALUE"""),43723.14774881944)</f>
        <v>43723.14775</v>
      </c>
      <c r="B460" t="str">
        <f>IFERROR(__xludf.DUMMYFUNCTION("""COMPUTED_VALUE"""),"Josh R.")</f>
        <v>Josh R.</v>
      </c>
      <c r="C460" t="str">
        <f>IFERROR(__xludf.DUMMYFUNCTION("""COMPUTED_VALUE"""),"USC")</f>
        <v>USC</v>
      </c>
      <c r="D460">
        <f>IFERROR(__xludf.DUMMYFUNCTION("""COMPUTED_VALUE"""),2.0)</f>
        <v>2</v>
      </c>
      <c r="E460">
        <f>IFERROR(__xludf.DUMMYFUNCTION("""COMPUTED_VALUE"""),1.0)</f>
        <v>1</v>
      </c>
      <c r="F460" t="str">
        <f>IFERROR(__xludf.DUMMYFUNCTION("""COMPUTED_VALUE"""),"ABC")</f>
        <v>ABC</v>
      </c>
      <c r="G460" t="str">
        <f>IFERROR(__xludf.DUMMYFUNCTION("""COMPUTED_VALUE"""),"(24) USC 27 at BYU 30")</f>
        <v>(24) USC 27 at BYU 30</v>
      </c>
      <c r="H460" t="str">
        <f>IFERROR(__xludf.DUMMYFUNCTION("""COMPUTED_VALUE"""),"FINAL - OT")</f>
        <v>FINAL - OT</v>
      </c>
      <c r="I460" t="str">
        <f>IFERROR(__xludf.DUMMYFUNCTION("""COMPUTED_VALUE"""),"-4½")</f>
        <v>-4½</v>
      </c>
      <c r="J460" t="str">
        <f>IFERROR(__xludf.DUMMYFUNCTION("""COMPUTED_VALUE"""),"55½")</f>
        <v>55½</v>
      </c>
      <c r="K460" t="str">
        <f>IFERROR(__xludf.DUMMYFUNCTION("""COMPUTED_VALUE"""),"Gary")</f>
        <v>Gary</v>
      </c>
      <c r="L460">
        <f>IFERROR(__xludf.DUMMYFUNCTION("""COMPUTED_VALUE"""),9999.0)</f>
        <v>9999</v>
      </c>
      <c r="M460" s="124">
        <v>3.0</v>
      </c>
    </row>
    <row r="461">
      <c r="A461" s="151">
        <f>IFERROR(__xludf.DUMMYFUNCTION("""COMPUTED_VALUE"""),43723.14774881944)</f>
        <v>43723.14775</v>
      </c>
      <c r="B461" t="str">
        <f>IFERROR(__xludf.DUMMYFUNCTION("""COMPUTED_VALUE"""),"Josh R.")</f>
        <v>Josh R.</v>
      </c>
      <c r="C461" t="str">
        <f>IFERROR(__xludf.DUMMYFUNCTION("""COMPUTED_VALUE"""),"Minnesota")</f>
        <v>Minnesota</v>
      </c>
      <c r="D461">
        <f>IFERROR(__xludf.DUMMYFUNCTION("""COMPUTED_VALUE"""),3.0)</f>
        <v>3</v>
      </c>
      <c r="E461">
        <f>IFERROR(__xludf.DUMMYFUNCTION("""COMPUTED_VALUE"""),0.0)</f>
        <v>0</v>
      </c>
      <c r="F461" t="str">
        <f>IFERROR(__xludf.DUMMYFUNCTION("""COMPUTED_VALUE"""),"BTN")</f>
        <v>BTN</v>
      </c>
      <c r="G461" t="str">
        <f>IFERROR(__xludf.DUMMYFUNCTION("""COMPUTED_VALUE"""),"Georgia Southern 32 at Minnesota 35")</f>
        <v>Georgia Southern 32 at Minnesota 35</v>
      </c>
      <c r="H461" t="str">
        <f>IFERROR(__xludf.DUMMYFUNCTION("""COMPUTED_VALUE"""),"FINAL")</f>
        <v>FINAL</v>
      </c>
      <c r="I461" t="str">
        <f>IFERROR(__xludf.DUMMYFUNCTION("""COMPUTED_VALUE"""),"-15½")</f>
        <v>-15½</v>
      </c>
      <c r="J461">
        <f>IFERROR(__xludf.DUMMYFUNCTION("""COMPUTED_VALUE"""),46.0)</f>
        <v>46</v>
      </c>
      <c r="K461" t="str">
        <f>IFERROR(__xludf.DUMMYFUNCTION("""COMPUTED_VALUE"""),"Janice/Mike")</f>
        <v>Janice/Mike</v>
      </c>
      <c r="L461">
        <f>IFERROR(__xludf.DUMMYFUNCTION("""COMPUTED_VALUE"""),9999.0)</f>
        <v>9999</v>
      </c>
      <c r="M461" s="124">
        <v>3.0</v>
      </c>
    </row>
    <row r="462">
      <c r="A462" s="151">
        <f>IFERROR(__xludf.DUMMYFUNCTION("""COMPUTED_VALUE"""),43723.14774881944)</f>
        <v>43723.14775</v>
      </c>
      <c r="B462" t="str">
        <f>IFERROR(__xludf.DUMMYFUNCTION("""COMPUTED_VALUE"""),"Brad")</f>
        <v>Brad</v>
      </c>
      <c r="C462" t="str">
        <f>IFERROR(__xludf.DUMMYFUNCTION("""COMPUTED_VALUE"""),"Texas State")</f>
        <v>Texas State</v>
      </c>
      <c r="D462">
        <f>IFERROR(__xludf.DUMMYFUNCTION("""COMPUTED_VALUE"""),0.0)</f>
        <v>0</v>
      </c>
      <c r="E462">
        <f>IFERROR(__xludf.DUMMYFUNCTION("""COMPUTED_VALUE"""),3.0)</f>
        <v>3</v>
      </c>
      <c r="F462" t="str">
        <f>IFERROR(__xludf.DUMMYFUNCTION("""COMPUTED_VALUE"""),"espn3 Video")</f>
        <v>espn3 Video</v>
      </c>
      <c r="G462" t="str">
        <f>IFERROR(__xludf.DUMMYFUNCTION("""COMPUTED_VALUE"""),"Texas State 17 at SMU 47")</f>
        <v>Texas State 17 at SMU 47</v>
      </c>
      <c r="H462" t="str">
        <f>IFERROR(__xludf.DUMMYFUNCTION("""COMPUTED_VALUE"""),"FINAL")</f>
        <v>FINAL</v>
      </c>
      <c r="I462" t="str">
        <f>IFERROR(__xludf.DUMMYFUNCTION("""COMPUTED_VALUE"""),"17½")</f>
        <v>17½</v>
      </c>
      <c r="J462" t="str">
        <f>IFERROR(__xludf.DUMMYFUNCTION("""COMPUTED_VALUE"""),"59½")</f>
        <v>59½</v>
      </c>
      <c r="K462" t="str">
        <f>IFERROR(__xludf.DUMMYFUNCTION("""COMPUTED_VALUE"""),"Jeannine")</f>
        <v>Jeannine</v>
      </c>
      <c r="L462">
        <f>IFERROR(__xludf.DUMMYFUNCTION("""COMPUTED_VALUE"""),9999.0)</f>
        <v>9999</v>
      </c>
      <c r="M462" s="124">
        <v>3.0</v>
      </c>
    </row>
    <row r="463">
      <c r="A463" s="151">
        <f>IFERROR(__xludf.DUMMYFUNCTION("""COMPUTED_VALUE"""),43723.14774881944)</f>
        <v>43723.14775</v>
      </c>
      <c r="B463" t="str">
        <f>IFERROR(__xludf.DUMMYFUNCTION("""COMPUTED_VALUE"""),"Brad")</f>
        <v>Brad</v>
      </c>
      <c r="C463" t="str">
        <f>IFERROR(__xludf.DUMMYFUNCTION("""COMPUTED_VALUE"""),"EMU")</f>
        <v>EMU</v>
      </c>
      <c r="D463">
        <f>IFERROR(__xludf.DUMMYFUNCTION("""COMPUTED_VALUE"""),2.0)</f>
        <v>2</v>
      </c>
      <c r="E463">
        <f>IFERROR(__xludf.DUMMYFUNCTION("""COMPUTED_VALUE"""),1.0)</f>
        <v>1</v>
      </c>
      <c r="F463" t="str">
        <f>IFERROR(__xludf.DUMMYFUNCTION("""COMPUTED_VALUE"""),"NA")</f>
        <v>NA</v>
      </c>
      <c r="G463" t="str">
        <f>IFERROR(__xludf.DUMMYFUNCTION("""COMPUTED_VALUE"""),"EMU 34 at Illinois 31")</f>
        <v>EMU 34 at Illinois 31</v>
      </c>
      <c r="H463" t="str">
        <f>IFERROR(__xludf.DUMMYFUNCTION("""COMPUTED_VALUE"""),"FINAL")</f>
        <v>FINAL</v>
      </c>
      <c r="I463" t="str">
        <f>IFERROR(__xludf.DUMMYFUNCTION("""COMPUTED_VALUE"""),"7½")</f>
        <v>7½</v>
      </c>
      <c r="J463" t="str">
        <f>IFERROR(__xludf.DUMMYFUNCTION("""COMPUTED_VALUE"""),"55½")</f>
        <v>55½</v>
      </c>
      <c r="K463" t="str">
        <f>IFERROR(__xludf.DUMMYFUNCTION("""COMPUTED_VALUE"""),"Undrafted")</f>
        <v>Undrafted</v>
      </c>
      <c r="L463">
        <f>IFERROR(__xludf.DUMMYFUNCTION("""COMPUTED_VALUE"""),9999.0)</f>
        <v>9999</v>
      </c>
      <c r="M463" s="124">
        <v>3.0</v>
      </c>
    </row>
    <row r="464">
      <c r="A464" s="151">
        <f>IFERROR(__xludf.DUMMYFUNCTION("""COMPUTED_VALUE"""),43723.14774881944)</f>
        <v>43723.14775</v>
      </c>
      <c r="B464" t="str">
        <f>IFERROR(__xludf.DUMMYFUNCTION("""COMPUTED_VALUE"""),"Brad")</f>
        <v>Brad</v>
      </c>
      <c r="C464" t="str">
        <f>IFERROR(__xludf.DUMMYFUNCTION("""COMPUTED_VALUE"""),"Memphis")</f>
        <v>Memphis</v>
      </c>
      <c r="D464">
        <f>IFERROR(__xludf.DUMMYFUNCTION("""COMPUTED_VALUE"""),3.0)</f>
        <v>3</v>
      </c>
      <c r="E464">
        <f>IFERROR(__xludf.DUMMYFUNCTION("""COMPUTED_VALUE"""),0.0)</f>
        <v>0</v>
      </c>
      <c r="F464" t="str">
        <f>IFERROR(__xludf.DUMMYFUNCTION("""COMPUTED_VALUE"""),"ESPNU")</f>
        <v>ESPNU</v>
      </c>
      <c r="G464" t="str">
        <f>IFERROR(__xludf.DUMMYFUNCTION("""COMPUTED_VALUE"""),"Memphis 42 at South Alabama 6")</f>
        <v>Memphis 42 at South Alabama 6</v>
      </c>
      <c r="H464" t="str">
        <f>IFERROR(__xludf.DUMMYFUNCTION("""COMPUTED_VALUE"""),"FINAL")</f>
        <v>FINAL</v>
      </c>
      <c r="I464">
        <f>IFERROR(__xludf.DUMMYFUNCTION("""COMPUTED_VALUE"""),-19.0)</f>
        <v>-19</v>
      </c>
      <c r="J464" t="str">
        <f>IFERROR(__xludf.DUMMYFUNCTION("""COMPUTED_VALUE"""),"57½")</f>
        <v>57½</v>
      </c>
      <c r="K464" t="str">
        <f>IFERROR(__xludf.DUMMYFUNCTION("""COMPUTED_VALUE"""),"Vu")</f>
        <v>Vu</v>
      </c>
      <c r="L464">
        <f>IFERROR(__xludf.DUMMYFUNCTION("""COMPUTED_VALUE"""),9999.0)</f>
        <v>9999</v>
      </c>
      <c r="M464" s="124">
        <v>3.0</v>
      </c>
    </row>
    <row r="465">
      <c r="A465" s="151">
        <f>IFERROR(__xludf.DUMMYFUNCTION("""COMPUTED_VALUE"""),43723.14774881944)</f>
        <v>43723.14775</v>
      </c>
      <c r="B465" t="str">
        <f>IFERROR(__xludf.DUMMYFUNCTION("""COMPUTED_VALUE"""),"Brad")</f>
        <v>Brad</v>
      </c>
      <c r="C465" t="str">
        <f>IFERROR(__xludf.DUMMYFUNCTION("""COMPUTED_VALUE"""),"South Carolina")</f>
        <v>South Carolina</v>
      </c>
      <c r="D465">
        <f>IFERROR(__xludf.DUMMYFUNCTION("""COMPUTED_VALUE"""),1.0)</f>
        <v>1</v>
      </c>
      <c r="E465">
        <f>IFERROR(__xludf.DUMMYFUNCTION("""COMPUTED_VALUE"""),2.0)</f>
        <v>2</v>
      </c>
      <c r="F465" t="str">
        <f>IFERROR(__xludf.DUMMYFUNCTION("""COMPUTED_VALUE"""),"CBS")</f>
        <v>CBS</v>
      </c>
      <c r="G465" t="str">
        <f>IFERROR(__xludf.DUMMYFUNCTION("""COMPUTED_VALUE"""),"(2) Alabama 47 at South Carolina 23")</f>
        <v>(2) Alabama 47 at South Carolina 23</v>
      </c>
      <c r="H465" t="str">
        <f>IFERROR(__xludf.DUMMYFUNCTION("""COMPUTED_VALUE"""),"FINAL")</f>
        <v>FINAL</v>
      </c>
      <c r="I465" t="str">
        <f>IFERROR(__xludf.DUMMYFUNCTION("""COMPUTED_VALUE"""),"25½")</f>
        <v>25½</v>
      </c>
      <c r="J465">
        <f>IFERROR(__xludf.DUMMYFUNCTION("""COMPUTED_VALUE"""),60.0)</f>
        <v>60</v>
      </c>
      <c r="K465" t="str">
        <f>IFERROR(__xludf.DUMMYFUNCTION("""COMPUTED_VALUE"""),"DavEmily")</f>
        <v>DavEmily</v>
      </c>
      <c r="L465">
        <f>IFERROR(__xludf.DUMMYFUNCTION("""COMPUTED_VALUE"""),9999.0)</f>
        <v>9999</v>
      </c>
      <c r="M465" s="124">
        <v>3.0</v>
      </c>
    </row>
    <row r="466">
      <c r="A466" s="151">
        <f>IFERROR(__xludf.DUMMYFUNCTION("""COMPUTED_VALUE"""),43723.14774881944)</f>
        <v>43723.14775</v>
      </c>
      <c r="B466" t="str">
        <f>IFERROR(__xludf.DUMMYFUNCTION("""COMPUTED_VALUE"""),"Brad")</f>
        <v>Brad</v>
      </c>
      <c r="C466" t="str">
        <f>IFERROR(__xludf.DUMMYFUNCTION("""COMPUTED_VALUE"""),"Utah")</f>
        <v>Utah</v>
      </c>
      <c r="D466">
        <f>IFERROR(__xludf.DUMMYFUNCTION("""COMPUTED_VALUE"""),3.0)</f>
        <v>3</v>
      </c>
      <c r="E466">
        <f>IFERROR(__xludf.DUMMYFUNCTION("""COMPUTED_VALUE"""),0.0)</f>
        <v>0</v>
      </c>
      <c r="F466" t="str">
        <f>IFERROR(__xludf.DUMMYFUNCTION("""COMPUTED_VALUE"""),"Pac-12 Mountain")</f>
        <v>Pac-12 Mountain</v>
      </c>
      <c r="G466" t="str">
        <f>IFERROR(__xludf.DUMMYFUNCTION("""COMPUTED_VALUE"""),"Idaho State 0 at (12) Utah 31")</f>
        <v>Idaho State 0 at (12) Utah 31</v>
      </c>
      <c r="H466" t="str">
        <f>IFERROR(__xludf.DUMMYFUNCTION("""COMPUTED_VALUE"""),"FINAL")</f>
        <v>FINAL</v>
      </c>
      <c r="I466" t="str">
        <f>IFERROR(__xludf.DUMMYFUNCTION("""COMPUTED_VALUE"""),"-36½")</f>
        <v>-36½</v>
      </c>
      <c r="J466">
        <f>IFERROR(__xludf.DUMMYFUNCTION("""COMPUTED_VALUE"""),64.0)</f>
        <v>64</v>
      </c>
      <c r="K466" t="str">
        <f>IFERROR(__xludf.DUMMYFUNCTION("""COMPUTED_VALUE"""),"Undrafted")</f>
        <v>Undrafted</v>
      </c>
      <c r="L466">
        <f>IFERROR(__xludf.DUMMYFUNCTION("""COMPUTED_VALUE"""),9999.0)</f>
        <v>9999</v>
      </c>
      <c r="M466" s="124">
        <v>3.0</v>
      </c>
    </row>
    <row r="467">
      <c r="A467" s="151">
        <f>IFERROR(__xludf.DUMMYFUNCTION("""COMPUTED_VALUE"""),43723.14774881944)</f>
        <v>43723.14775</v>
      </c>
      <c r="B467" t="str">
        <f>IFERROR(__xludf.DUMMYFUNCTION("""COMPUTED_VALUE"""),"Brad")</f>
        <v>Brad</v>
      </c>
      <c r="C467" t="str">
        <f>IFERROR(__xludf.DUMMYFUNCTION("""COMPUTED_VALUE"""),"Louisiana Tech")</f>
        <v>Louisiana Tech</v>
      </c>
      <c r="D467">
        <f>IFERROR(__xludf.DUMMYFUNCTION("""COMPUTED_VALUE"""),2.0)</f>
        <v>2</v>
      </c>
      <c r="E467">
        <f>IFERROR(__xludf.DUMMYFUNCTION("""COMPUTED_VALUE"""),1.0)</f>
        <v>1</v>
      </c>
      <c r="F467" t="str">
        <f>IFERROR(__xludf.DUMMYFUNCTION("""COMPUTED_VALUE"""),"espn+ Video")</f>
        <v>espn+ Video</v>
      </c>
      <c r="G467" t="str">
        <f>IFERROR(__xludf.DUMMYFUNCTION("""COMPUTED_VALUE"""),"Louisiana Tech 35 at Bowling Green 7")</f>
        <v>Louisiana Tech 35 at Bowling Green 7</v>
      </c>
      <c r="H467" t="str">
        <f>IFERROR(__xludf.DUMMYFUNCTION("""COMPUTED_VALUE"""),"FINAL")</f>
        <v>FINAL</v>
      </c>
      <c r="I467" t="str">
        <f>IFERROR(__xludf.DUMMYFUNCTION("""COMPUTED_VALUE"""),"-10½")</f>
        <v>-10½</v>
      </c>
      <c r="J467" t="str">
        <f>IFERROR(__xludf.DUMMYFUNCTION("""COMPUTED_VALUE"""),"58½")</f>
        <v>58½</v>
      </c>
      <c r="K467" t="str">
        <f>IFERROR(__xludf.DUMMYFUNCTION("""COMPUTED_VALUE"""),"Nick A.")</f>
        <v>Nick A.</v>
      </c>
      <c r="L467">
        <f>IFERROR(__xludf.DUMMYFUNCTION("""COMPUTED_VALUE"""),9999.0)</f>
        <v>9999</v>
      </c>
      <c r="M467" s="124">
        <v>3.0</v>
      </c>
    </row>
    <row r="468">
      <c r="A468" s="151">
        <f>IFERROR(__xludf.DUMMYFUNCTION("""COMPUTED_VALUE"""),43723.14774881944)</f>
        <v>43723.14775</v>
      </c>
      <c r="B468" t="str">
        <f>IFERROR(__xludf.DUMMYFUNCTION("""COMPUTED_VALUE"""),"Brad")</f>
        <v>Brad</v>
      </c>
      <c r="C468" t="str">
        <f>IFERROR(__xludf.DUMMYFUNCTION("""COMPUTED_VALUE"""),"Indiana")</f>
        <v>Indiana</v>
      </c>
      <c r="D468">
        <f>IFERROR(__xludf.DUMMYFUNCTION("""COMPUTED_VALUE"""),2.0)</f>
        <v>2</v>
      </c>
      <c r="E468">
        <f>IFERROR(__xludf.DUMMYFUNCTION("""COMPUTED_VALUE"""),1.0)</f>
        <v>1</v>
      </c>
      <c r="F468" t="str">
        <f>IFERROR(__xludf.DUMMYFUNCTION("""COMPUTED_VALUE"""),"FOX")</f>
        <v>FOX</v>
      </c>
      <c r="G468" t="str">
        <f>IFERROR(__xludf.DUMMYFUNCTION("""COMPUTED_VALUE"""),"(6) Ohio State 51 at Indiana 10")</f>
        <v>(6) Ohio State 51 at Indiana 10</v>
      </c>
      <c r="H468" t="str">
        <f>IFERROR(__xludf.DUMMYFUNCTION("""COMPUTED_VALUE"""),"FINAL")</f>
        <v>FINAL</v>
      </c>
      <c r="I468">
        <f>IFERROR(__xludf.DUMMYFUNCTION("""COMPUTED_VALUE"""),16.0)</f>
        <v>16</v>
      </c>
      <c r="J468">
        <f>IFERROR(__xludf.DUMMYFUNCTION("""COMPUTED_VALUE"""),61.0)</f>
        <v>61</v>
      </c>
      <c r="K468" t="str">
        <f>IFERROR(__xludf.DUMMYFUNCTION("""COMPUTED_VALUE"""),"Nick G.")</f>
        <v>Nick G.</v>
      </c>
      <c r="L468">
        <f>IFERROR(__xludf.DUMMYFUNCTION("""COMPUTED_VALUE"""),9999.0)</f>
        <v>9999</v>
      </c>
      <c r="M468" s="124">
        <v>3.0</v>
      </c>
    </row>
    <row r="469">
      <c r="A469" s="151">
        <f>IFERROR(__xludf.DUMMYFUNCTION("""COMPUTED_VALUE"""),43723.14774881944)</f>
        <v>43723.14775</v>
      </c>
      <c r="B469" t="str">
        <f>IFERROR(__xludf.DUMMYFUNCTION("""COMPUTED_VALUE"""),"Brad")</f>
        <v>Brad</v>
      </c>
      <c r="C469" t="str">
        <f>IFERROR(__xludf.DUMMYFUNCTION("""COMPUTED_VALUE"""),"Colorado State")</f>
        <v>Colorado State</v>
      </c>
      <c r="D469">
        <f>IFERROR(__xludf.DUMMYFUNCTION("""COMPUTED_VALUE"""),1.0)</f>
        <v>1</v>
      </c>
      <c r="E469">
        <f>IFERROR(__xludf.DUMMYFUNCTION("""COMPUTED_VALUE"""),2.0)</f>
        <v>2</v>
      </c>
      <c r="F469" t="str">
        <f>IFERROR(__xludf.DUMMYFUNCTION("""COMPUTED_VALUE"""),"SEC Network")</f>
        <v>SEC Network</v>
      </c>
      <c r="G469" t="str">
        <f>IFERROR(__xludf.DUMMYFUNCTION("""COMPUTED_VALUE"""),"Colorado State 34 at Arkansas 55")</f>
        <v>Colorado State 34 at Arkansas 55</v>
      </c>
      <c r="H469" t="str">
        <f>IFERROR(__xludf.DUMMYFUNCTION("""COMPUTED_VALUE"""),"FINAL")</f>
        <v>FINAL</v>
      </c>
      <c r="I469" t="str">
        <f>IFERROR(__xludf.DUMMYFUNCTION("""COMPUTED_VALUE"""),"9½")</f>
        <v>9½</v>
      </c>
      <c r="J469" t="str">
        <f>IFERROR(__xludf.DUMMYFUNCTION("""COMPUTED_VALUE"""),"60½")</f>
        <v>60½</v>
      </c>
      <c r="K469" t="str">
        <f>IFERROR(__xludf.DUMMYFUNCTION("""COMPUTED_VALUE"""),"Janice/Mike")</f>
        <v>Janice/Mike</v>
      </c>
      <c r="L469">
        <f>IFERROR(__xludf.DUMMYFUNCTION("""COMPUTED_VALUE"""),9999.0)</f>
        <v>9999</v>
      </c>
      <c r="M469" s="124">
        <v>3.0</v>
      </c>
    </row>
    <row r="470">
      <c r="A470" s="151">
        <f>IFERROR(__xludf.DUMMYFUNCTION("""COMPUTED_VALUE"""),43723.14774881944)</f>
        <v>43723.14775</v>
      </c>
      <c r="B470" t="str">
        <f>IFERROR(__xludf.DUMMYFUNCTION("""COMPUTED_VALUE"""),"Brad")</f>
        <v>Brad</v>
      </c>
      <c r="C470" t="str">
        <f>IFERROR(__xludf.DUMMYFUNCTION("""COMPUTED_VALUE"""),"Oklahoma State")</f>
        <v>Oklahoma State</v>
      </c>
      <c r="D470">
        <f>IFERROR(__xludf.DUMMYFUNCTION("""COMPUTED_VALUE"""),3.0)</f>
        <v>3</v>
      </c>
      <c r="E470">
        <f>IFERROR(__xludf.DUMMYFUNCTION("""COMPUTED_VALUE"""),0.0)</f>
        <v>0</v>
      </c>
      <c r="F470" t="str">
        <f>IFERROR(__xludf.DUMMYFUNCTION("""COMPUTED_VALUE"""),"ESPN2")</f>
        <v>ESPN2</v>
      </c>
      <c r="G470" t="str">
        <f>IFERROR(__xludf.DUMMYFUNCTION("""COMPUTED_VALUE"""),"Oklahoma State 40 at Tulsa 21")</f>
        <v>Oklahoma State 40 at Tulsa 21</v>
      </c>
      <c r="H470" t="str">
        <f>IFERROR(__xludf.DUMMYFUNCTION("""COMPUTED_VALUE"""),"FINAL")</f>
        <v>FINAL</v>
      </c>
      <c r="I470">
        <f>IFERROR(__xludf.DUMMYFUNCTION("""COMPUTED_VALUE"""),-14.0)</f>
        <v>-14</v>
      </c>
      <c r="J470">
        <f>IFERROR(__xludf.DUMMYFUNCTION("""COMPUTED_VALUE"""),65.0)</f>
        <v>65</v>
      </c>
      <c r="K470" t="str">
        <f>IFERROR(__xludf.DUMMYFUNCTION("""COMPUTED_VALUE"""),"DavEmily")</f>
        <v>DavEmily</v>
      </c>
      <c r="L470">
        <f>IFERROR(__xludf.DUMMYFUNCTION("""COMPUTED_VALUE"""),9999.0)</f>
        <v>9999</v>
      </c>
      <c r="M470" s="124">
        <v>3.0</v>
      </c>
    </row>
    <row r="471">
      <c r="A471" s="151">
        <f>IFERROR(__xludf.DUMMYFUNCTION("""COMPUTED_VALUE"""),43723.14774881944)</f>
        <v>43723.14775</v>
      </c>
      <c r="B471" t="str">
        <f>IFERROR(__xludf.DUMMYFUNCTION("""COMPUTED_VALUE"""),"Brad")</f>
        <v>Brad</v>
      </c>
      <c r="C471" t="str">
        <f>IFERROR(__xludf.DUMMYFUNCTION("""COMPUTED_VALUE"""),"Miami")</f>
        <v>Miami</v>
      </c>
      <c r="D471">
        <f>IFERROR(__xludf.DUMMYFUNCTION("""COMPUTED_VALUE"""),1.0)</f>
        <v>1</v>
      </c>
      <c r="E471">
        <f>IFERROR(__xludf.DUMMYFUNCTION("""COMPUTED_VALUE"""),2.0)</f>
        <v>2</v>
      </c>
      <c r="F471" t="str">
        <f>IFERROR(__xludf.DUMMYFUNCTION("""COMPUTED_VALUE"""),"ACC Network")</f>
        <v>ACC Network</v>
      </c>
      <c r="G471" t="str">
        <f>IFERROR(__xludf.DUMMYFUNCTION("""COMPUTED_VALUE"""),"Bethune-Cookman 0 at Miami 63")</f>
        <v>Bethune-Cookman 0 at Miami 63</v>
      </c>
      <c r="H471" t="str">
        <f>IFERROR(__xludf.DUMMYFUNCTION("""COMPUTED_VALUE"""),"FINAL")</f>
        <v>FINAL</v>
      </c>
      <c r="I471">
        <f>IFERROR(__xludf.DUMMYFUNCTION("""COMPUTED_VALUE"""),-41.0)</f>
        <v>-41</v>
      </c>
      <c r="J471">
        <f>IFERROR(__xludf.DUMMYFUNCTION("""COMPUTED_VALUE"""),56.0)</f>
        <v>56</v>
      </c>
      <c r="K471" t="str">
        <f>IFERROR(__xludf.DUMMYFUNCTION("""COMPUTED_VALUE"""),"Undrafted")</f>
        <v>Undrafted</v>
      </c>
      <c r="L471">
        <f>IFERROR(__xludf.DUMMYFUNCTION("""COMPUTED_VALUE"""),9999.0)</f>
        <v>9999</v>
      </c>
      <c r="M471" s="124">
        <v>3.0</v>
      </c>
    </row>
    <row r="472">
      <c r="A472" s="151">
        <f>IFERROR(__xludf.DUMMYFUNCTION("""COMPUTED_VALUE"""),43723.14774881944)</f>
        <v>43723.14775</v>
      </c>
      <c r="B472" t="str">
        <f>IFERROR(__xludf.DUMMYFUNCTION("""COMPUTED_VALUE"""),"Nick G.")</f>
        <v>Nick G.</v>
      </c>
      <c r="C472" t="str">
        <f>IFERROR(__xludf.DUMMYFUNCTION("""COMPUTED_VALUE"""),"Central Michigan")</f>
        <v>Central Michigan</v>
      </c>
      <c r="D472">
        <f>IFERROR(__xludf.DUMMYFUNCTION("""COMPUTED_VALUE"""),2.0)</f>
        <v>2</v>
      </c>
      <c r="E472">
        <f>IFERROR(__xludf.DUMMYFUNCTION("""COMPUTED_VALUE"""),1.0)</f>
        <v>1</v>
      </c>
      <c r="F472" t="str">
        <f>IFERROR(__xludf.DUMMYFUNCTION("""COMPUTED_VALUE"""),"espn+ Video")</f>
        <v>espn+ Video</v>
      </c>
      <c r="G472" t="str">
        <f>IFERROR(__xludf.DUMMYFUNCTION("""COMPUTED_VALUE"""),"Akron 24 at Central Michigan 45")</f>
        <v>Akron 24 at Central Michigan 45</v>
      </c>
      <c r="H472" t="str">
        <f>IFERROR(__xludf.DUMMYFUNCTION("""COMPUTED_VALUE"""),"FINAL")</f>
        <v>FINAL</v>
      </c>
      <c r="I472" t="str">
        <f>IFERROR(__xludf.DUMMYFUNCTION("""COMPUTED_VALUE"""),"-3½")</f>
        <v>-3½</v>
      </c>
      <c r="J472" t="str">
        <f>IFERROR(__xludf.DUMMYFUNCTION("""COMPUTED_VALUE"""),"46½")</f>
        <v>46½</v>
      </c>
      <c r="K472" t="str">
        <f>IFERROR(__xludf.DUMMYFUNCTION("""COMPUTED_VALUE"""),"Adam")</f>
        <v>Adam</v>
      </c>
      <c r="L472">
        <f>IFERROR(__xludf.DUMMYFUNCTION("""COMPUTED_VALUE"""),9999.0)</f>
        <v>9999</v>
      </c>
      <c r="M472" s="124">
        <v>3.0</v>
      </c>
    </row>
    <row r="473">
      <c r="A473" s="151">
        <f>IFERROR(__xludf.DUMMYFUNCTION("""COMPUTED_VALUE"""),43723.14774881944)</f>
        <v>43723.14775</v>
      </c>
      <c r="B473" t="str">
        <f>IFERROR(__xludf.DUMMYFUNCTION("""COMPUTED_VALUE"""),"Nick G.")</f>
        <v>Nick G.</v>
      </c>
      <c r="C473" t="str">
        <f>IFERROR(__xludf.DUMMYFUNCTION("""COMPUTED_VALUE"""),"UConn")</f>
        <v>UConn</v>
      </c>
      <c r="D473">
        <f>IFERROR(__xludf.DUMMYFUNCTION("""COMPUTED_VALUE"""),1.0)</f>
        <v>1</v>
      </c>
      <c r="E473">
        <f>IFERROR(__xludf.DUMMYFUNCTION("""COMPUTED_VALUE"""),1.0)</f>
        <v>1</v>
      </c>
      <c r="F473" t="str">
        <f>IFERROR(__xludf.DUMMYFUNCTION("""COMPUTED_VALUE"""),"NA")</f>
        <v>NA</v>
      </c>
      <c r="G473" t="str">
        <f>IFERROR(__xludf.DUMMYFUNCTION("""COMPUTED_VALUE"""),"BYE")</f>
        <v>BYE</v>
      </c>
      <c r="I473" t="str">
        <f>IFERROR(__xludf.DUMMYFUNCTION("""COMPUTED_VALUE"""),"bye")</f>
        <v>bye</v>
      </c>
      <c r="J473" t="str">
        <f>IFERROR(__xludf.DUMMYFUNCTION("""COMPUTED_VALUE"""),"bye")</f>
        <v>bye</v>
      </c>
      <c r="L473">
        <f>IFERROR(__xludf.DUMMYFUNCTION("""COMPUTED_VALUE"""),9999.0)</f>
        <v>9999</v>
      </c>
      <c r="M473" s="124">
        <v>3.0</v>
      </c>
    </row>
    <row r="474">
      <c r="A474" s="151">
        <f>IFERROR(__xludf.DUMMYFUNCTION("""COMPUTED_VALUE"""),43723.14774881944)</f>
        <v>43723.14775</v>
      </c>
      <c r="B474" t="str">
        <f>IFERROR(__xludf.DUMMYFUNCTION("""COMPUTED_VALUE"""),"Nick G.")</f>
        <v>Nick G.</v>
      </c>
      <c r="C474" t="str">
        <f>IFERROR(__xludf.DUMMYFUNCTION("""COMPUTED_VALUE"""),"Florida Atlantic")</f>
        <v>Florida Atlantic</v>
      </c>
      <c r="D474">
        <f>IFERROR(__xludf.DUMMYFUNCTION("""COMPUTED_VALUE"""),1.0)</f>
        <v>1</v>
      </c>
      <c r="E474">
        <f>IFERROR(__xludf.DUMMYFUNCTION("""COMPUTED_VALUE"""),2.0)</f>
        <v>2</v>
      </c>
      <c r="F474" t="str">
        <f>IFERROR(__xludf.DUMMYFUNCTION("""COMPUTED_VALUE"""),"espn+ Video")</f>
        <v>espn+ Video</v>
      </c>
      <c r="G474" t="str">
        <f>IFERROR(__xludf.DUMMYFUNCTION("""COMPUTED_VALUE"""),"Florida Atlantic 41 at Ball State 31")</f>
        <v>Florida Atlantic 41 at Ball State 31</v>
      </c>
      <c r="H474" t="str">
        <f>IFERROR(__xludf.DUMMYFUNCTION("""COMPUTED_VALUE"""),"FINAL")</f>
        <v>FINAL</v>
      </c>
      <c r="I474" t="str">
        <f>IFERROR(__xludf.DUMMYFUNCTION("""COMPUTED_VALUE"""),"-2½")</f>
        <v>-2½</v>
      </c>
      <c r="J474" t="str">
        <f>IFERROR(__xludf.DUMMYFUNCTION("""COMPUTED_VALUE"""),"66½")</f>
        <v>66½</v>
      </c>
      <c r="K474" t="str">
        <f>IFERROR(__xludf.DUMMYFUNCTION("""COMPUTED_VALUE"""),"DavEmily")</f>
        <v>DavEmily</v>
      </c>
      <c r="L474">
        <f>IFERROR(__xludf.DUMMYFUNCTION("""COMPUTED_VALUE"""),9999.0)</f>
        <v>9999</v>
      </c>
      <c r="M474" s="124">
        <v>3.0</v>
      </c>
    </row>
    <row r="475">
      <c r="A475" s="151">
        <f>IFERROR(__xludf.DUMMYFUNCTION("""COMPUTED_VALUE"""),43723.14774881944)</f>
        <v>43723.14775</v>
      </c>
      <c r="B475" t="str">
        <f>IFERROR(__xludf.DUMMYFUNCTION("""COMPUTED_VALUE"""),"Nick G.")</f>
        <v>Nick G.</v>
      </c>
      <c r="C475" t="str">
        <f>IFERROR(__xludf.DUMMYFUNCTION("""COMPUTED_VALUE"""),"Stanford")</f>
        <v>Stanford</v>
      </c>
      <c r="D475">
        <f>IFERROR(__xludf.DUMMYFUNCTION("""COMPUTED_VALUE"""),1.0)</f>
        <v>1</v>
      </c>
      <c r="E475">
        <f>IFERROR(__xludf.DUMMYFUNCTION("""COMPUTED_VALUE"""),2.0)</f>
        <v>2</v>
      </c>
      <c r="F475" t="str">
        <f>IFERROR(__xludf.DUMMYFUNCTION("""COMPUTED_VALUE"""),"ESPN")</f>
        <v>ESPN</v>
      </c>
      <c r="G475" t="str">
        <f>IFERROR(__xludf.DUMMYFUNCTION("""COMPUTED_VALUE"""),"Stanford 27 at (16) UCF 45")</f>
        <v>Stanford 27 at (16) UCF 45</v>
      </c>
      <c r="H475" t="str">
        <f>IFERROR(__xludf.DUMMYFUNCTION("""COMPUTED_VALUE"""),"FINAL")</f>
        <v>FINAL</v>
      </c>
      <c r="I475" t="str">
        <f>IFERROR(__xludf.DUMMYFUNCTION("""COMPUTED_VALUE"""),"7½")</f>
        <v>7½</v>
      </c>
      <c r="J475" t="str">
        <f>IFERROR(__xludf.DUMMYFUNCTION("""COMPUTED_VALUE"""),"61½")</f>
        <v>61½</v>
      </c>
      <c r="K475" t="str">
        <f>IFERROR(__xludf.DUMMYFUNCTION("""COMPUTED_VALUE"""),"Adam")</f>
        <v>Adam</v>
      </c>
      <c r="L475">
        <f>IFERROR(__xludf.DUMMYFUNCTION("""COMPUTED_VALUE"""),9999.0)</f>
        <v>9999</v>
      </c>
      <c r="M475" s="124">
        <v>3.0</v>
      </c>
    </row>
    <row r="476">
      <c r="A476" s="151">
        <f>IFERROR(__xludf.DUMMYFUNCTION("""COMPUTED_VALUE"""),43723.14774881944)</f>
        <v>43723.14775</v>
      </c>
      <c r="B476" t="str">
        <f>IFERROR(__xludf.DUMMYFUNCTION("""COMPUTED_VALUE"""),"Nick G.")</f>
        <v>Nick G.</v>
      </c>
      <c r="C476" t="str">
        <f>IFERROR(__xludf.DUMMYFUNCTION("""COMPUTED_VALUE"""),"Troy")</f>
        <v>Troy</v>
      </c>
      <c r="D476">
        <f>IFERROR(__xludf.DUMMYFUNCTION("""COMPUTED_VALUE"""),1.0)</f>
        <v>1</v>
      </c>
      <c r="E476">
        <f>IFERROR(__xludf.DUMMYFUNCTION("""COMPUTED_VALUE"""),1.0)</f>
        <v>1</v>
      </c>
      <c r="F476" t="str">
        <f>IFERROR(__xludf.DUMMYFUNCTION("""COMPUTED_VALUE"""),"espn+ Video")</f>
        <v>espn+ Video</v>
      </c>
      <c r="G476" t="str">
        <f>IFERROR(__xludf.DUMMYFUNCTION("""COMPUTED_VALUE"""),"Southern Mississippi 47 at Troy 42")</f>
        <v>Southern Mississippi 47 at Troy 42</v>
      </c>
      <c r="H476" t="str">
        <f>IFERROR(__xludf.DUMMYFUNCTION("""COMPUTED_VALUE"""),"FINAL")</f>
        <v>FINAL</v>
      </c>
      <c r="I476" t="str">
        <f>IFERROR(__xludf.DUMMYFUNCTION("""COMPUTED_VALUE"""),"-2½")</f>
        <v>-2½</v>
      </c>
      <c r="J476">
        <f>IFERROR(__xludf.DUMMYFUNCTION("""COMPUTED_VALUE"""),49.0)</f>
        <v>49</v>
      </c>
      <c r="K476" t="str">
        <f>IFERROR(__xludf.DUMMYFUNCTION("""COMPUTED_VALUE"""),"Josh R.")</f>
        <v>Josh R.</v>
      </c>
      <c r="L476">
        <f>IFERROR(__xludf.DUMMYFUNCTION("""COMPUTED_VALUE"""),9999.0)</f>
        <v>9999</v>
      </c>
      <c r="M476" s="124">
        <v>3.0</v>
      </c>
    </row>
    <row r="477">
      <c r="A477" s="151">
        <f>IFERROR(__xludf.DUMMYFUNCTION("""COMPUTED_VALUE"""),43723.14774881944)</f>
        <v>43723.14775</v>
      </c>
      <c r="B477" t="str">
        <f>IFERROR(__xludf.DUMMYFUNCTION("""COMPUTED_VALUE"""),"Nick G.")</f>
        <v>Nick G.</v>
      </c>
      <c r="C477" t="str">
        <f>IFERROR(__xludf.DUMMYFUNCTION("""COMPUTED_VALUE"""),"Ohio State")</f>
        <v>Ohio State</v>
      </c>
      <c r="D477">
        <f>IFERROR(__xludf.DUMMYFUNCTION("""COMPUTED_VALUE"""),3.0)</f>
        <v>3</v>
      </c>
      <c r="E477">
        <f>IFERROR(__xludf.DUMMYFUNCTION("""COMPUTED_VALUE"""),0.0)</f>
        <v>0</v>
      </c>
      <c r="F477" t="str">
        <f>IFERROR(__xludf.DUMMYFUNCTION("""COMPUTED_VALUE"""),"FOX")</f>
        <v>FOX</v>
      </c>
      <c r="G477" t="str">
        <f>IFERROR(__xludf.DUMMYFUNCTION("""COMPUTED_VALUE"""),"(6) Ohio State 51 at Indiana 10")</f>
        <v>(6) Ohio State 51 at Indiana 10</v>
      </c>
      <c r="H477" t="str">
        <f>IFERROR(__xludf.DUMMYFUNCTION("""COMPUTED_VALUE"""),"FINAL")</f>
        <v>FINAL</v>
      </c>
      <c r="I477">
        <f>IFERROR(__xludf.DUMMYFUNCTION("""COMPUTED_VALUE"""),-16.0)</f>
        <v>-16</v>
      </c>
      <c r="J477">
        <f>IFERROR(__xludf.DUMMYFUNCTION("""COMPUTED_VALUE"""),61.0)</f>
        <v>61</v>
      </c>
      <c r="K477" t="str">
        <f>IFERROR(__xludf.DUMMYFUNCTION("""COMPUTED_VALUE"""),"Brad")</f>
        <v>Brad</v>
      </c>
      <c r="L477">
        <f>IFERROR(__xludf.DUMMYFUNCTION("""COMPUTED_VALUE"""),9999.0)</f>
        <v>9999</v>
      </c>
      <c r="M477" s="124">
        <v>3.0</v>
      </c>
    </row>
    <row r="478">
      <c r="A478" s="151">
        <f>IFERROR(__xludf.DUMMYFUNCTION("""COMPUTED_VALUE"""),43723.14774881944)</f>
        <v>43723.14775</v>
      </c>
      <c r="B478" t="str">
        <f>IFERROR(__xludf.DUMMYFUNCTION("""COMPUTED_VALUE"""),"Nick G.")</f>
        <v>Nick G.</v>
      </c>
      <c r="C478" t="str">
        <f>IFERROR(__xludf.DUMMYFUNCTION("""COMPUTED_VALUE"""),"Kansas State")</f>
        <v>Kansas State</v>
      </c>
      <c r="D478">
        <f>IFERROR(__xludf.DUMMYFUNCTION("""COMPUTED_VALUE"""),3.0)</f>
        <v>3</v>
      </c>
      <c r="E478">
        <f>IFERROR(__xludf.DUMMYFUNCTION("""COMPUTED_VALUE"""),0.0)</f>
        <v>0</v>
      </c>
      <c r="F478" t="str">
        <f>IFERROR(__xludf.DUMMYFUNCTION("""COMPUTED_VALUE"""),"ESPN")</f>
        <v>ESPN</v>
      </c>
      <c r="G478" t="str">
        <f>IFERROR(__xludf.DUMMYFUNCTION("""COMPUTED_VALUE"""),"Kansas State 31 at (23) Mississippi State 24")</f>
        <v>Kansas State 31 at (23) Mississippi State 24</v>
      </c>
      <c r="H478" t="str">
        <f>IFERROR(__xludf.DUMMYFUNCTION("""COMPUTED_VALUE"""),"FINAL")</f>
        <v>FINAL</v>
      </c>
      <c r="I478" t="str">
        <f>IFERROR(__xludf.DUMMYFUNCTION("""COMPUTED_VALUE"""),"7½")</f>
        <v>7½</v>
      </c>
      <c r="J478" t="str">
        <f>IFERROR(__xludf.DUMMYFUNCTION("""COMPUTED_VALUE"""),"52½")</f>
        <v>52½</v>
      </c>
      <c r="K478" t="str">
        <f>IFERROR(__xludf.DUMMYFUNCTION("""COMPUTED_VALUE"""),"Jeannine")</f>
        <v>Jeannine</v>
      </c>
      <c r="L478">
        <f>IFERROR(__xludf.DUMMYFUNCTION("""COMPUTED_VALUE"""),9999.0)</f>
        <v>9999</v>
      </c>
      <c r="M478" s="124">
        <v>3.0</v>
      </c>
    </row>
    <row r="479">
      <c r="A479" s="151">
        <f>IFERROR(__xludf.DUMMYFUNCTION("""COMPUTED_VALUE"""),43723.14774881944)</f>
        <v>43723.14775</v>
      </c>
      <c r="B479" t="str">
        <f>IFERROR(__xludf.DUMMYFUNCTION("""COMPUTED_VALUE"""),"Nick G.")</f>
        <v>Nick G.</v>
      </c>
      <c r="C479" t="str">
        <f>IFERROR(__xludf.DUMMYFUNCTION("""COMPUTED_VALUE"""),"NC State")</f>
        <v>NC State</v>
      </c>
      <c r="D479">
        <f>IFERROR(__xludf.DUMMYFUNCTION("""COMPUTED_VALUE"""),2.0)</f>
        <v>2</v>
      </c>
      <c r="E479">
        <f>IFERROR(__xludf.DUMMYFUNCTION("""COMPUTED_VALUE"""),1.0)</f>
        <v>1</v>
      </c>
      <c r="F479" t="str">
        <f>IFERROR(__xludf.DUMMYFUNCTION("""COMPUTED_VALUE"""),"FS1")</f>
        <v>FS1</v>
      </c>
      <c r="G479" t="str">
        <f>IFERROR(__xludf.DUMMYFUNCTION("""COMPUTED_VALUE"""),"NC State 27 at West Virginia 44")</f>
        <v>NC State 27 at West Virginia 44</v>
      </c>
      <c r="H479" t="str">
        <f>IFERROR(__xludf.DUMMYFUNCTION("""COMPUTED_VALUE"""),"FINAL")</f>
        <v>FINAL</v>
      </c>
      <c r="I479" t="str">
        <f>IFERROR(__xludf.DUMMYFUNCTION("""COMPUTED_VALUE"""),"-6½")</f>
        <v>-6½</v>
      </c>
      <c r="J479">
        <f>IFERROR(__xludf.DUMMYFUNCTION("""COMPUTED_VALUE"""),47.0)</f>
        <v>47</v>
      </c>
      <c r="K479" t="str">
        <f>IFERROR(__xludf.DUMMYFUNCTION("""COMPUTED_VALUE"""),"Nico")</f>
        <v>Nico</v>
      </c>
      <c r="L479">
        <f>IFERROR(__xludf.DUMMYFUNCTION("""COMPUTED_VALUE"""),9999.0)</f>
        <v>9999</v>
      </c>
      <c r="M479" s="124">
        <v>3.0</v>
      </c>
    </row>
    <row r="480">
      <c r="A480" s="151">
        <f>IFERROR(__xludf.DUMMYFUNCTION("""COMPUTED_VALUE"""),43723.14774881944)</f>
        <v>43723.14775</v>
      </c>
      <c r="B480" t="str">
        <f>IFERROR(__xludf.DUMMYFUNCTION("""COMPUTED_VALUE"""),"Nick G.")</f>
        <v>Nick G.</v>
      </c>
      <c r="C480" t="str">
        <f>IFERROR(__xludf.DUMMYFUNCTION("""COMPUTED_VALUE"""),"Wyoming")</f>
        <v>Wyoming</v>
      </c>
      <c r="D480">
        <f>IFERROR(__xludf.DUMMYFUNCTION("""COMPUTED_VALUE"""),3.0)</f>
        <v>3</v>
      </c>
      <c r="E480">
        <f>IFERROR(__xludf.DUMMYFUNCTION("""COMPUTED_VALUE"""),0.0)</f>
        <v>0</v>
      </c>
      <c r="F480" t="str">
        <f>IFERROR(__xludf.DUMMYFUNCTION("""COMPUTED_VALUE"""),"espn3 Video")</f>
        <v>espn3 Video</v>
      </c>
      <c r="G480" t="str">
        <f>IFERROR(__xludf.DUMMYFUNCTION("""COMPUTED_VALUE"""),"Idaho 16 at Wyoming 21")</f>
        <v>Idaho 16 at Wyoming 21</v>
      </c>
      <c r="H480" t="str">
        <f>IFERROR(__xludf.DUMMYFUNCTION("""COMPUTED_VALUE"""),"FINAL")</f>
        <v>FINAL</v>
      </c>
      <c r="I480">
        <f>IFERROR(__xludf.DUMMYFUNCTION("""COMPUTED_VALUE"""),-25.0)</f>
        <v>-25</v>
      </c>
      <c r="J480">
        <f>IFERROR(__xludf.DUMMYFUNCTION("""COMPUTED_VALUE"""),55.0)</f>
        <v>55</v>
      </c>
      <c r="K480" t="str">
        <f>IFERROR(__xludf.DUMMYFUNCTION("""COMPUTED_VALUE"""),"Undrafted")</f>
        <v>Undrafted</v>
      </c>
      <c r="L480">
        <f>IFERROR(__xludf.DUMMYFUNCTION("""COMPUTED_VALUE"""),9999.0)</f>
        <v>9999</v>
      </c>
      <c r="M480" s="124">
        <v>3.0</v>
      </c>
    </row>
    <row r="481">
      <c r="A481" s="151">
        <f>IFERROR(__xludf.DUMMYFUNCTION("""COMPUTED_VALUE"""),43723.14774881944)</f>
        <v>43723.14775</v>
      </c>
      <c r="B481" t="str">
        <f>IFERROR(__xludf.DUMMYFUNCTION("""COMPUTED_VALUE"""),"Nick G.")</f>
        <v>Nick G.</v>
      </c>
      <c r="C481" t="str">
        <f>IFERROR(__xludf.DUMMYFUNCTION("""COMPUTED_VALUE"""),"Auburn")</f>
        <v>Auburn</v>
      </c>
      <c r="D481">
        <f>IFERROR(__xludf.DUMMYFUNCTION("""COMPUTED_VALUE"""),3.0)</f>
        <v>3</v>
      </c>
      <c r="E481">
        <f>IFERROR(__xludf.DUMMYFUNCTION("""COMPUTED_VALUE"""),0.0)</f>
        <v>0</v>
      </c>
      <c r="F481" t="str">
        <f>IFERROR(__xludf.DUMMYFUNCTION("""COMPUTED_VALUE"""),"ESPN2 or ESPNU")</f>
        <v>ESPN2 or ESPNU</v>
      </c>
      <c r="G481" t="str">
        <f>IFERROR(__xludf.DUMMYFUNCTION("""COMPUTED_VALUE"""),"Kent State 16 at (9) Auburn 55")</f>
        <v>Kent State 16 at (9) Auburn 55</v>
      </c>
      <c r="H481" t="str">
        <f>IFERROR(__xludf.DUMMYFUNCTION("""COMPUTED_VALUE"""),"FINAL")</f>
        <v>FINAL</v>
      </c>
      <c r="I481">
        <f>IFERROR(__xludf.DUMMYFUNCTION("""COMPUTED_VALUE"""),-35.0)</f>
        <v>-35</v>
      </c>
      <c r="J481" t="str">
        <f>IFERROR(__xludf.DUMMYFUNCTION("""COMPUTED_VALUE"""),"52½")</f>
        <v>52½</v>
      </c>
      <c r="K481" t="str">
        <f>IFERROR(__xludf.DUMMYFUNCTION("""COMPUTED_VALUE"""),"Vu")</f>
        <v>Vu</v>
      </c>
      <c r="L481">
        <f>IFERROR(__xludf.DUMMYFUNCTION("""COMPUTED_VALUE"""),9999.0)</f>
        <v>9999</v>
      </c>
      <c r="M481" s="124">
        <v>3.0</v>
      </c>
    </row>
    <row r="482">
      <c r="A482" s="151">
        <f>IFERROR(__xludf.DUMMYFUNCTION("""COMPUTED_VALUE"""),43730.147751111115)</f>
        <v>43730.14775</v>
      </c>
      <c r="B482" t="str">
        <f>IFERROR(__xludf.DUMMYFUNCTION("""COMPUTED_VALUE"""),"DavEmily")</f>
        <v>DavEmily</v>
      </c>
      <c r="C482" t="str">
        <f>IFERROR(__xludf.DUMMYFUNCTION("""COMPUTED_VALUE"""),"UTSA")</f>
        <v>UTSA</v>
      </c>
      <c r="D482">
        <f>IFERROR(__xludf.DUMMYFUNCTION("""COMPUTED_VALUE"""),1.0)</f>
        <v>1</v>
      </c>
      <c r="E482">
        <f>IFERROR(__xludf.DUMMYFUNCTION("""COMPUTED_VALUE"""),3.0)</f>
        <v>3</v>
      </c>
      <c r="F482" t="str">
        <f>IFERROR(__xludf.DUMMYFUNCTION("""COMPUTED_VALUE"""),"NFL Network")</f>
        <v>NFL Network</v>
      </c>
      <c r="G482" t="str">
        <f>IFERROR(__xludf.DUMMYFUNCTION("""COMPUTED_VALUE"""),"UTSA 3 at North Texas 45")</f>
        <v>UTSA 3 at North Texas 45</v>
      </c>
      <c r="H482" t="str">
        <f>IFERROR(__xludf.DUMMYFUNCTION("""COMPUTED_VALUE"""),"FINAL")</f>
        <v>FINAL</v>
      </c>
      <c r="I482">
        <f>IFERROR(__xludf.DUMMYFUNCTION("""COMPUTED_VALUE"""),17.0)</f>
        <v>17</v>
      </c>
      <c r="J482">
        <f>IFERROR(__xludf.DUMMYFUNCTION("""COMPUTED_VALUE"""),45.0)</f>
        <v>45</v>
      </c>
      <c r="K482" t="str">
        <f>IFERROR(__xludf.DUMMYFUNCTION("""COMPUTED_VALUE"""),"Vu")</f>
        <v>Vu</v>
      </c>
      <c r="L482">
        <f>IFERROR(__xludf.DUMMYFUNCTION("""COMPUTED_VALUE"""),9999.0)</f>
        <v>9999</v>
      </c>
      <c r="M482" s="124">
        <v>4.0</v>
      </c>
    </row>
    <row r="483">
      <c r="A483" s="151">
        <f>IFERROR(__xludf.DUMMYFUNCTION("""COMPUTED_VALUE"""),43730.147751111115)</f>
        <v>43730.14775</v>
      </c>
      <c r="B483" t="str">
        <f>IFERROR(__xludf.DUMMYFUNCTION("""COMPUTED_VALUE"""),"DavEmily")</f>
        <v>DavEmily</v>
      </c>
      <c r="C483" t="str">
        <f>IFERROR(__xludf.DUMMYFUNCTION("""COMPUTED_VALUE"""),"Coastal Carolina")</f>
        <v>Coastal Carolina</v>
      </c>
      <c r="D483">
        <f>IFERROR(__xludf.DUMMYFUNCTION("""COMPUTED_VALUE"""),3.0)</f>
        <v>3</v>
      </c>
      <c r="E483">
        <f>IFERROR(__xludf.DUMMYFUNCTION("""COMPUTED_VALUE"""),1.0)</f>
        <v>1</v>
      </c>
      <c r="F483" t="str">
        <f>IFERROR(__xludf.DUMMYFUNCTION("""COMPUTED_VALUE"""),"espn3 Video")</f>
        <v>espn3 Video</v>
      </c>
      <c r="G483" t="str">
        <f>IFERROR(__xludf.DUMMYFUNCTION("""COMPUTED_VALUE"""),"Coastal Carolina 62 at UMass 28")</f>
        <v>Coastal Carolina 62 at UMass 28</v>
      </c>
      <c r="H483" t="str">
        <f>IFERROR(__xludf.DUMMYFUNCTION("""COMPUTED_VALUE"""),"FINAL")</f>
        <v>FINAL</v>
      </c>
      <c r="I483">
        <f>IFERROR(__xludf.DUMMYFUNCTION("""COMPUTED_VALUE"""),-27.0)</f>
        <v>-27</v>
      </c>
      <c r="J483" t="str">
        <f>IFERROR(__xludf.DUMMYFUNCTION("""COMPUTED_VALUE"""),"48½")</f>
        <v>48½</v>
      </c>
      <c r="K483" t="str">
        <f>IFERROR(__xludf.DUMMYFUNCTION("""COMPUTED_VALUE"""),"Undrafted")</f>
        <v>Undrafted</v>
      </c>
      <c r="L483">
        <f>IFERROR(__xludf.DUMMYFUNCTION("""COMPUTED_VALUE"""),9999.0)</f>
        <v>9999</v>
      </c>
      <c r="M483" s="124">
        <v>4.0</v>
      </c>
    </row>
    <row r="484">
      <c r="A484" s="151">
        <f>IFERROR(__xludf.DUMMYFUNCTION("""COMPUTED_VALUE"""),43730.147751111115)</f>
        <v>43730.14775</v>
      </c>
      <c r="B484" t="str">
        <f>IFERROR(__xludf.DUMMYFUNCTION("""COMPUTED_VALUE"""),"DavEmily")</f>
        <v>DavEmily</v>
      </c>
      <c r="C484" t="str">
        <f>IFERROR(__xludf.DUMMYFUNCTION("""COMPUTED_VALUE"""),"California")</f>
        <v>California</v>
      </c>
      <c r="D484">
        <f>IFERROR(__xludf.DUMMYFUNCTION("""COMPUTED_VALUE"""),4.0)</f>
        <v>4</v>
      </c>
      <c r="E484">
        <f>IFERROR(__xludf.DUMMYFUNCTION("""COMPUTED_VALUE"""),0.0)</f>
        <v>0</v>
      </c>
      <c r="F484" t="str">
        <f>IFERROR(__xludf.DUMMYFUNCTION("""COMPUTED_VALUE"""),"Pac-12 Bay Area")</f>
        <v>Pac-12 Bay Area</v>
      </c>
      <c r="G484" t="str">
        <f>IFERROR(__xludf.DUMMYFUNCTION("""COMPUTED_VALUE"""),"(23) California 28 at Ole Miss 20")</f>
        <v>(23) California 28 at Ole Miss 20</v>
      </c>
      <c r="H484" t="str">
        <f>IFERROR(__xludf.DUMMYFUNCTION("""COMPUTED_VALUE"""),"FINAL")</f>
        <v>FINAL</v>
      </c>
      <c r="I484">
        <f>IFERROR(__xludf.DUMMYFUNCTION("""COMPUTED_VALUE"""),-14.0)</f>
        <v>-14</v>
      </c>
      <c r="J484" t="str">
        <f>IFERROR(__xludf.DUMMYFUNCTION("""COMPUTED_VALUE"""),"50½")</f>
        <v>50½</v>
      </c>
      <c r="K484" t="str">
        <f>IFERROR(__xludf.DUMMYFUNCTION("""COMPUTED_VALUE"""),"Undrafted")</f>
        <v>Undrafted</v>
      </c>
      <c r="L484">
        <f>IFERROR(__xludf.DUMMYFUNCTION("""COMPUTED_VALUE"""),9999.0)</f>
        <v>9999</v>
      </c>
      <c r="M484" s="124">
        <v>4.0</v>
      </c>
    </row>
    <row r="485">
      <c r="A485" s="151">
        <f>IFERROR(__xludf.DUMMYFUNCTION("""COMPUTED_VALUE"""),43730.147751111115)</f>
        <v>43730.14775</v>
      </c>
      <c r="B485" t="str">
        <f>IFERROR(__xludf.DUMMYFUNCTION("""COMPUTED_VALUE"""),"DavEmily")</f>
        <v>DavEmily</v>
      </c>
      <c r="C485" t="str">
        <f>IFERROR(__xludf.DUMMYFUNCTION("""COMPUTED_VALUE"""),"Fresno State")</f>
        <v>Fresno State</v>
      </c>
      <c r="D485">
        <f>IFERROR(__xludf.DUMMYFUNCTION("""COMPUTED_VALUE"""),1.0)</f>
        <v>1</v>
      </c>
      <c r="E485">
        <f>IFERROR(__xludf.DUMMYFUNCTION("""COMPUTED_VALUE"""),2.0)</f>
        <v>2</v>
      </c>
      <c r="F485" t="str">
        <f>IFERROR(__xludf.DUMMYFUNCTION("""COMPUTED_VALUE"""),"NA")</f>
        <v>NA</v>
      </c>
      <c r="G485" t="str">
        <f>IFERROR(__xludf.DUMMYFUNCTION("""COMPUTED_VALUE"""),"Sacramento State 20 at Fresno State 34")</f>
        <v>Sacramento State 20 at Fresno State 34</v>
      </c>
      <c r="H485" t="str">
        <f>IFERROR(__xludf.DUMMYFUNCTION("""COMPUTED_VALUE"""),"FINAL")</f>
        <v>FINAL</v>
      </c>
      <c r="I485" t="str">
        <f>IFERROR(__xludf.DUMMYFUNCTION("""COMPUTED_VALUE"""),"bye")</f>
        <v>bye</v>
      </c>
      <c r="J485" t="str">
        <f>IFERROR(__xludf.DUMMYFUNCTION("""COMPUTED_VALUE"""),"bye")</f>
        <v>bye</v>
      </c>
      <c r="K485" t="str">
        <f>IFERROR(__xludf.DUMMYFUNCTION("""COMPUTED_VALUE"""),"Undrafted")</f>
        <v>Undrafted</v>
      </c>
      <c r="L485">
        <f>IFERROR(__xludf.DUMMYFUNCTION("""COMPUTED_VALUE"""),9999.0)</f>
        <v>9999</v>
      </c>
      <c r="M485" s="124">
        <v>4.0</v>
      </c>
    </row>
    <row r="486">
      <c r="A486" s="151">
        <f>IFERROR(__xludf.DUMMYFUNCTION("""COMPUTED_VALUE"""),43730.147751111115)</f>
        <v>43730.14775</v>
      </c>
      <c r="B486" t="str">
        <f>IFERROR(__xludf.DUMMYFUNCTION("""COMPUTED_VALUE"""),"DavEmily")</f>
        <v>DavEmily</v>
      </c>
      <c r="C486" t="str">
        <f>IFERROR(__xludf.DUMMYFUNCTION("""COMPUTED_VALUE"""),"Notre Dame")</f>
        <v>Notre Dame</v>
      </c>
      <c r="D486">
        <f>IFERROR(__xludf.DUMMYFUNCTION("""COMPUTED_VALUE"""),2.0)</f>
        <v>2</v>
      </c>
      <c r="E486">
        <f>IFERROR(__xludf.DUMMYFUNCTION("""COMPUTED_VALUE"""),1.0)</f>
        <v>1</v>
      </c>
      <c r="F486" t="str">
        <f>IFERROR(__xludf.DUMMYFUNCTION("""COMPUTED_VALUE"""),"NBC")</f>
        <v>NBC</v>
      </c>
      <c r="G486" t="str">
        <f>IFERROR(__xludf.DUMMYFUNCTION("""COMPUTED_VALUE"""),"(7) Notre Dame 17 at (3) Georgia 23")</f>
        <v>(7) Notre Dame 17 at (3) Georgia 23</v>
      </c>
      <c r="H486" t="str">
        <f>IFERROR(__xludf.DUMMYFUNCTION("""COMPUTED_VALUE"""),"FINAL")</f>
        <v>FINAL</v>
      </c>
      <c r="I486">
        <f>IFERROR(__xludf.DUMMYFUNCTION("""COMPUTED_VALUE"""),-35.0)</f>
        <v>-35</v>
      </c>
      <c r="J486" t="str">
        <f>IFERROR(__xludf.DUMMYFUNCTION("""COMPUTED_VALUE"""),"63½")</f>
        <v>63½</v>
      </c>
      <c r="K486" t="str">
        <f>IFERROR(__xludf.DUMMYFUNCTION("""COMPUTED_VALUE"""),"Nico")</f>
        <v>Nico</v>
      </c>
      <c r="L486">
        <f>IFERROR(__xludf.DUMMYFUNCTION("""COMPUTED_VALUE"""),9999.0)</f>
        <v>9999</v>
      </c>
      <c r="M486" s="124">
        <v>4.0</v>
      </c>
    </row>
    <row r="487">
      <c r="A487" s="151">
        <f>IFERROR(__xludf.DUMMYFUNCTION("""COMPUTED_VALUE"""),43730.147751111115)</f>
        <v>43730.14775</v>
      </c>
      <c r="B487" t="str">
        <f>IFERROR(__xludf.DUMMYFUNCTION("""COMPUTED_VALUE"""),"DavEmily")</f>
        <v>DavEmily</v>
      </c>
      <c r="C487" t="str">
        <f>IFERROR(__xludf.DUMMYFUNCTION("""COMPUTED_VALUE"""),"Virginia Tech")</f>
        <v>Virginia Tech</v>
      </c>
      <c r="D487">
        <f>IFERROR(__xludf.DUMMYFUNCTION("""COMPUTED_VALUE"""),2.0)</f>
        <v>2</v>
      </c>
      <c r="E487">
        <f>IFERROR(__xludf.DUMMYFUNCTION("""COMPUTED_VALUE"""),1.0)</f>
        <v>1</v>
      </c>
      <c r="F487" t="str">
        <f>IFERROR(__xludf.DUMMYFUNCTION("""COMPUTED_VALUE"""),"ACC Network")</f>
        <v>ACC Network</v>
      </c>
      <c r="G487" t="str">
        <f>IFERROR(__xludf.DUMMYFUNCTION("""COMPUTED_VALUE"""),"BYE")</f>
        <v>BYE</v>
      </c>
      <c r="I487" t="str">
        <f>IFERROR(__xludf.DUMMYFUNCTION("""COMPUTED_VALUE"""),"-21½")</f>
        <v>-21½</v>
      </c>
      <c r="J487" t="str">
        <f>IFERROR(__xludf.DUMMYFUNCTION("""COMPUTED_VALUE"""),"64½")</f>
        <v>64½</v>
      </c>
      <c r="L487">
        <f>IFERROR(__xludf.DUMMYFUNCTION("""COMPUTED_VALUE"""),9999.0)</f>
        <v>9999</v>
      </c>
      <c r="M487" s="124">
        <v>4.0</v>
      </c>
    </row>
    <row r="488">
      <c r="A488" s="151">
        <f>IFERROR(__xludf.DUMMYFUNCTION("""COMPUTED_VALUE"""),43730.147751111115)</f>
        <v>43730.14775</v>
      </c>
      <c r="B488" t="str">
        <f>IFERROR(__xludf.DUMMYFUNCTION("""COMPUTED_VALUE"""),"DavEmily")</f>
        <v>DavEmily</v>
      </c>
      <c r="C488" t="str">
        <f>IFERROR(__xludf.DUMMYFUNCTION("""COMPUTED_VALUE"""),"Ball State")</f>
        <v>Ball State</v>
      </c>
      <c r="D488">
        <f>IFERROR(__xludf.DUMMYFUNCTION("""COMPUTED_VALUE"""),1.0)</f>
        <v>1</v>
      </c>
      <c r="E488">
        <f>IFERROR(__xludf.DUMMYFUNCTION("""COMPUTED_VALUE"""),3.0)</f>
        <v>3</v>
      </c>
      <c r="F488" t="str">
        <f>IFERROR(__xludf.DUMMYFUNCTION("""COMPUTED_VALUE"""),"espn+ Video")</f>
        <v>espn+ Video</v>
      </c>
      <c r="G488" t="str">
        <f>IFERROR(__xludf.DUMMYFUNCTION("""COMPUTED_VALUE"""),"Ball State 23 at NC State 34")</f>
        <v>Ball State 23 at NC State 34</v>
      </c>
      <c r="H488" t="str">
        <f>IFERROR(__xludf.DUMMYFUNCTION("""COMPUTED_VALUE"""),"FINAL")</f>
        <v>FINAL</v>
      </c>
      <c r="I488" t="str">
        <f>IFERROR(__xludf.DUMMYFUNCTION("""COMPUTED_VALUE"""),"2½")</f>
        <v>2½</v>
      </c>
      <c r="J488" t="str">
        <f>IFERROR(__xludf.DUMMYFUNCTION("""COMPUTED_VALUE"""),"66½")</f>
        <v>66½</v>
      </c>
      <c r="K488" t="str">
        <f>IFERROR(__xludf.DUMMYFUNCTION("""COMPUTED_VALUE"""),"Nick G.")</f>
        <v>Nick G.</v>
      </c>
      <c r="L488">
        <f>IFERROR(__xludf.DUMMYFUNCTION("""COMPUTED_VALUE"""),9999.0)</f>
        <v>9999</v>
      </c>
      <c r="M488" s="124">
        <v>4.0</v>
      </c>
    </row>
    <row r="489">
      <c r="A489" s="151">
        <f>IFERROR(__xludf.DUMMYFUNCTION("""COMPUTED_VALUE"""),43730.147751111115)</f>
        <v>43730.14775</v>
      </c>
      <c r="B489" t="str">
        <f>IFERROR(__xludf.DUMMYFUNCTION("""COMPUTED_VALUE"""),"DavEmily")</f>
        <v>DavEmily</v>
      </c>
      <c r="C489" t="str">
        <f>IFERROR(__xludf.DUMMYFUNCTION("""COMPUTED_VALUE"""),"Nebraska")</f>
        <v>Nebraska</v>
      </c>
      <c r="D489">
        <f>IFERROR(__xludf.DUMMYFUNCTION("""COMPUTED_VALUE"""),3.0)</f>
        <v>3</v>
      </c>
      <c r="E489">
        <f>IFERROR(__xludf.DUMMYFUNCTION("""COMPUTED_VALUE"""),1.0)</f>
        <v>1</v>
      </c>
      <c r="F489" t="str">
        <f>IFERROR(__xludf.DUMMYFUNCTION("""COMPUTED_VALUE"""),"FS1")</f>
        <v>FS1</v>
      </c>
      <c r="G489" t="str">
        <f>IFERROR(__xludf.DUMMYFUNCTION("""COMPUTED_VALUE"""),"Nebraska 42 at Illinois 38")</f>
        <v>Nebraska 42 at Illinois 38</v>
      </c>
      <c r="H489" t="str">
        <f>IFERROR(__xludf.DUMMYFUNCTION("""COMPUTED_VALUE"""),"FINAL")</f>
        <v>FINAL</v>
      </c>
      <c r="I489">
        <f>IFERROR(__xludf.DUMMYFUNCTION("""COMPUTED_VALUE"""),-14.0)</f>
        <v>-14</v>
      </c>
      <c r="J489" t="str">
        <f>IFERROR(__xludf.DUMMYFUNCTION("""COMPUTED_VALUE"""),"54½")</f>
        <v>54½</v>
      </c>
      <c r="K489" t="str">
        <f>IFERROR(__xludf.DUMMYFUNCTION("""COMPUTED_VALUE"""),"Undrafted")</f>
        <v>Undrafted</v>
      </c>
      <c r="L489">
        <f>IFERROR(__xludf.DUMMYFUNCTION("""COMPUTED_VALUE"""),9999.0)</f>
        <v>9999</v>
      </c>
      <c r="M489" s="124">
        <v>4.0</v>
      </c>
    </row>
    <row r="490">
      <c r="A490" s="151">
        <f>IFERROR(__xludf.DUMMYFUNCTION("""COMPUTED_VALUE"""),43730.147751111115)</f>
        <v>43730.14775</v>
      </c>
      <c r="B490" t="str">
        <f>IFERROR(__xludf.DUMMYFUNCTION("""COMPUTED_VALUE"""),"DavEmily")</f>
        <v>DavEmily</v>
      </c>
      <c r="C490" t="str">
        <f>IFERROR(__xludf.DUMMYFUNCTION("""COMPUTED_VALUE"""),"Alabama")</f>
        <v>Alabama</v>
      </c>
      <c r="D490">
        <f>IFERROR(__xludf.DUMMYFUNCTION("""COMPUTED_VALUE"""),4.0)</f>
        <v>4</v>
      </c>
      <c r="E490">
        <f>IFERROR(__xludf.DUMMYFUNCTION("""COMPUTED_VALUE"""),0.0)</f>
        <v>0</v>
      </c>
      <c r="F490" t="str">
        <f>IFERROR(__xludf.DUMMYFUNCTION("""COMPUTED_VALUE"""),"CBS")</f>
        <v>CBS</v>
      </c>
      <c r="G490" t="str">
        <f>IFERROR(__xludf.DUMMYFUNCTION("""COMPUTED_VALUE"""),"Southern Mississippi 7 at (2) Alabama 49")</f>
        <v>Southern Mississippi 7 at (2) Alabama 49</v>
      </c>
      <c r="H490" t="str">
        <f>IFERROR(__xludf.DUMMYFUNCTION("""COMPUTED_VALUE"""),"FINAL")</f>
        <v>FINAL</v>
      </c>
      <c r="I490" t="str">
        <f>IFERROR(__xludf.DUMMYFUNCTION("""COMPUTED_VALUE"""),"-25½")</f>
        <v>-25½</v>
      </c>
      <c r="J490">
        <f>IFERROR(__xludf.DUMMYFUNCTION("""COMPUTED_VALUE"""),60.0)</f>
        <v>60</v>
      </c>
      <c r="K490" t="str">
        <f>IFERROR(__xludf.DUMMYFUNCTION("""COMPUTED_VALUE"""),"Josh R.")</f>
        <v>Josh R.</v>
      </c>
      <c r="L490">
        <f>IFERROR(__xludf.DUMMYFUNCTION("""COMPUTED_VALUE"""),9999.0)</f>
        <v>9999</v>
      </c>
      <c r="M490" s="124">
        <v>4.0</v>
      </c>
    </row>
    <row r="491">
      <c r="A491" s="151">
        <f>IFERROR(__xludf.DUMMYFUNCTION("""COMPUTED_VALUE"""),43730.147751111115)</f>
        <v>43730.14775</v>
      </c>
      <c r="B491" t="str">
        <f>IFERROR(__xludf.DUMMYFUNCTION("""COMPUTED_VALUE"""),"DavEmily")</f>
        <v>DavEmily</v>
      </c>
      <c r="C491" t="str">
        <f>IFERROR(__xludf.DUMMYFUNCTION("""COMPUTED_VALUE"""),"Tulsa")</f>
        <v>Tulsa</v>
      </c>
      <c r="D491">
        <f>IFERROR(__xludf.DUMMYFUNCTION("""COMPUTED_VALUE"""),2.0)</f>
        <v>2</v>
      </c>
      <c r="E491">
        <f>IFERROR(__xludf.DUMMYFUNCTION("""COMPUTED_VALUE"""),2.0)</f>
        <v>2</v>
      </c>
      <c r="F491" t="str">
        <f>IFERROR(__xludf.DUMMYFUNCTION("""COMPUTED_VALUE"""),"ESPN2")</f>
        <v>ESPN2</v>
      </c>
      <c r="G491" t="str">
        <f>IFERROR(__xludf.DUMMYFUNCTION("""COMPUTED_VALUE"""),"Wyoming 21 at Tulsa 24")</f>
        <v>Wyoming 21 at Tulsa 24</v>
      </c>
      <c r="H491" t="str">
        <f>IFERROR(__xludf.DUMMYFUNCTION("""COMPUTED_VALUE"""),"FINAL")</f>
        <v>FINAL</v>
      </c>
      <c r="I491">
        <f>IFERROR(__xludf.DUMMYFUNCTION("""COMPUTED_VALUE"""),14.0)</f>
        <v>14</v>
      </c>
      <c r="J491">
        <f>IFERROR(__xludf.DUMMYFUNCTION("""COMPUTED_VALUE"""),65.0)</f>
        <v>65</v>
      </c>
      <c r="K491" t="str">
        <f>IFERROR(__xludf.DUMMYFUNCTION("""COMPUTED_VALUE"""),"Nick G.")</f>
        <v>Nick G.</v>
      </c>
      <c r="L491">
        <f>IFERROR(__xludf.DUMMYFUNCTION("""COMPUTED_VALUE"""),9999.0)</f>
        <v>9999</v>
      </c>
      <c r="M491" s="124">
        <v>4.0</v>
      </c>
    </row>
    <row r="492">
      <c r="A492" s="151">
        <f>IFERROR(__xludf.DUMMYFUNCTION("""COMPUTED_VALUE"""),43730.147751111115)</f>
        <v>43730.14775</v>
      </c>
      <c r="B492" t="str">
        <f>IFERROR(__xludf.DUMMYFUNCTION("""COMPUTED_VALUE"""),"Nick A.")</f>
        <v>Nick A.</v>
      </c>
      <c r="C492" t="str">
        <f>IFERROR(__xludf.DUMMYFUNCTION("""COMPUTED_VALUE"""),"Old Dominion")</f>
        <v>Old Dominion</v>
      </c>
      <c r="D492">
        <f>IFERROR(__xludf.DUMMYFUNCTION("""COMPUTED_VALUE"""),1.0)</f>
        <v>1</v>
      </c>
      <c r="E492">
        <f>IFERROR(__xludf.DUMMYFUNCTION("""COMPUTED_VALUE"""),2.0)</f>
        <v>2</v>
      </c>
      <c r="F492" t="str">
        <f>IFERROR(__xludf.DUMMYFUNCTION("""COMPUTED_VALUE"""),"NA")</f>
        <v>NA</v>
      </c>
      <c r="G492" t="str">
        <f>IFERROR(__xludf.DUMMYFUNCTION("""COMPUTED_VALUE"""),"Old Dominion 17 at (22) Virginia 28")</f>
        <v>Old Dominion 17 at (22) Virginia 28</v>
      </c>
      <c r="H492" t="str">
        <f>IFERROR(__xludf.DUMMYFUNCTION("""COMPUTED_VALUE"""),"FINAL")</f>
        <v>FINAL</v>
      </c>
      <c r="I492" t="str">
        <f>IFERROR(__xludf.DUMMYFUNCTION("""COMPUTED_VALUE"""),"bye")</f>
        <v>bye</v>
      </c>
      <c r="J492" t="str">
        <f>IFERROR(__xludf.DUMMYFUNCTION("""COMPUTED_VALUE"""),"bye")</f>
        <v>bye</v>
      </c>
      <c r="K492" t="str">
        <f>IFERROR(__xludf.DUMMYFUNCTION("""COMPUTED_VALUE"""),"Jeannine")</f>
        <v>Jeannine</v>
      </c>
      <c r="L492">
        <f>IFERROR(__xludf.DUMMYFUNCTION("""COMPUTED_VALUE"""),9999.0)</f>
        <v>9999</v>
      </c>
      <c r="M492" s="124">
        <v>4.0</v>
      </c>
    </row>
    <row r="493">
      <c r="A493" s="151">
        <f>IFERROR(__xludf.DUMMYFUNCTION("""COMPUTED_VALUE"""),43730.147751111115)</f>
        <v>43730.14775</v>
      </c>
      <c r="B493" t="str">
        <f>IFERROR(__xludf.DUMMYFUNCTION("""COMPUTED_VALUE"""),"Nick A.")</f>
        <v>Nick A.</v>
      </c>
      <c r="C493" t="str">
        <f>IFERROR(__xludf.DUMMYFUNCTION("""COMPUTED_VALUE"""),"Bowling Green")</f>
        <v>Bowling Green</v>
      </c>
      <c r="D493">
        <f>IFERROR(__xludf.DUMMYFUNCTION("""COMPUTED_VALUE"""),1.0)</f>
        <v>1</v>
      </c>
      <c r="E493">
        <f>IFERROR(__xludf.DUMMYFUNCTION("""COMPUTED_VALUE"""),3.0)</f>
        <v>3</v>
      </c>
      <c r="F493" t="str">
        <f>IFERROR(__xludf.DUMMYFUNCTION("""COMPUTED_VALUE"""),"espn+ Video")</f>
        <v>espn+ Video</v>
      </c>
      <c r="G493" t="str">
        <f>IFERROR(__xludf.DUMMYFUNCTION("""COMPUTED_VALUE"""),"Bowling Green 20 at Kent State 62")</f>
        <v>Bowling Green 20 at Kent State 62</v>
      </c>
      <c r="H493" t="str">
        <f>IFERROR(__xludf.DUMMYFUNCTION("""COMPUTED_VALUE"""),"FINAL")</f>
        <v>FINAL</v>
      </c>
      <c r="I493" t="str">
        <f>IFERROR(__xludf.DUMMYFUNCTION("""COMPUTED_VALUE"""),"10½")</f>
        <v>10½</v>
      </c>
      <c r="J493" t="str">
        <f>IFERROR(__xludf.DUMMYFUNCTION("""COMPUTED_VALUE"""),"58½")</f>
        <v>58½</v>
      </c>
      <c r="K493" t="str">
        <f>IFERROR(__xludf.DUMMYFUNCTION("""COMPUTED_VALUE"""),"Vu")</f>
        <v>Vu</v>
      </c>
      <c r="L493">
        <f>IFERROR(__xludf.DUMMYFUNCTION("""COMPUTED_VALUE"""),9999.0)</f>
        <v>9999</v>
      </c>
      <c r="M493" s="124">
        <v>4.0</v>
      </c>
    </row>
    <row r="494">
      <c r="A494" s="151">
        <f>IFERROR(__xludf.DUMMYFUNCTION("""COMPUTED_VALUE"""),43730.147751111115)</f>
        <v>43730.14775</v>
      </c>
      <c r="B494" t="str">
        <f>IFERROR(__xludf.DUMMYFUNCTION("""COMPUTED_VALUE"""),"Nick A.")</f>
        <v>Nick A.</v>
      </c>
      <c r="C494" t="str">
        <f>IFERROR(__xludf.DUMMYFUNCTION("""COMPUTED_VALUE"""),"New Mexico State")</f>
        <v>New Mexico State</v>
      </c>
      <c r="D494">
        <f>IFERROR(__xludf.DUMMYFUNCTION("""COMPUTED_VALUE"""),0.0)</f>
        <v>0</v>
      </c>
      <c r="E494">
        <f>IFERROR(__xludf.DUMMYFUNCTION("""COMPUTED_VALUE"""),4.0)</f>
        <v>4</v>
      </c>
      <c r="F494" t="str">
        <f>IFERROR(__xludf.DUMMYFUNCTION("""COMPUTED_VALUE"""),"Flo Football")</f>
        <v>Flo Football</v>
      </c>
      <c r="G494" t="str">
        <f>IFERROR(__xludf.DUMMYFUNCTION("""COMPUTED_VALUE"""),"New Mexico State 52 at New Mexico 55")</f>
        <v>New Mexico State 52 at New Mexico 55</v>
      </c>
      <c r="H494" t="str">
        <f>IFERROR(__xludf.DUMMYFUNCTION("""COMPUTED_VALUE"""),"FINAL")</f>
        <v>FINAL</v>
      </c>
      <c r="I494">
        <f>IFERROR(__xludf.DUMMYFUNCTION("""COMPUTED_VALUE"""),16.0)</f>
        <v>16</v>
      </c>
      <c r="J494">
        <f>IFERROR(__xludf.DUMMYFUNCTION("""COMPUTED_VALUE"""),50.0)</f>
        <v>50</v>
      </c>
      <c r="K494" t="str">
        <f>IFERROR(__xludf.DUMMYFUNCTION("""COMPUTED_VALUE"""),"Nico")</f>
        <v>Nico</v>
      </c>
      <c r="L494">
        <f>IFERROR(__xludf.DUMMYFUNCTION("""COMPUTED_VALUE"""),9999.0)</f>
        <v>9999</v>
      </c>
      <c r="M494" s="124">
        <v>4.0</v>
      </c>
    </row>
    <row r="495">
      <c r="A495" s="151">
        <f>IFERROR(__xludf.DUMMYFUNCTION("""COMPUTED_VALUE"""),43730.147751111115)</f>
        <v>43730.14775</v>
      </c>
      <c r="B495" t="str">
        <f>IFERROR(__xludf.DUMMYFUNCTION("""COMPUTED_VALUE"""),"Nick A.")</f>
        <v>Nick A.</v>
      </c>
      <c r="C495" t="str">
        <f>IFERROR(__xludf.DUMMYFUNCTION("""COMPUTED_VALUE"""),"San Diego State")</f>
        <v>San Diego State</v>
      </c>
      <c r="D495">
        <f>IFERROR(__xludf.DUMMYFUNCTION("""COMPUTED_VALUE"""),3.0)</f>
        <v>3</v>
      </c>
      <c r="E495">
        <f>IFERROR(__xludf.DUMMYFUNCTION("""COMPUTED_VALUE"""),0.0)</f>
        <v>0</v>
      </c>
      <c r="F495" t="str">
        <f>IFERROR(__xludf.DUMMYFUNCTION("""COMPUTED_VALUE"""),"Flo Football")</f>
        <v>Flo Football</v>
      </c>
      <c r="G495" t="str">
        <f>IFERROR(__xludf.DUMMYFUNCTION("""COMPUTED_VALUE"""),"Utah State 23 at San Diego State 17")</f>
        <v>Utah State 23 at San Diego State 17</v>
      </c>
      <c r="H495" t="str">
        <f>IFERROR(__xludf.DUMMYFUNCTION("""COMPUTED_VALUE"""),"FINAL")</f>
        <v>FINAL</v>
      </c>
      <c r="I495">
        <f>IFERROR(__xludf.DUMMYFUNCTION("""COMPUTED_VALUE"""),-16.0)</f>
        <v>-16</v>
      </c>
      <c r="J495">
        <f>IFERROR(__xludf.DUMMYFUNCTION("""COMPUTED_VALUE"""),50.0)</f>
        <v>50</v>
      </c>
      <c r="K495" t="str">
        <f>IFERROR(__xludf.DUMMYFUNCTION("""COMPUTED_VALUE"""),"Gary")</f>
        <v>Gary</v>
      </c>
      <c r="L495">
        <f>IFERROR(__xludf.DUMMYFUNCTION("""COMPUTED_VALUE"""),9999.0)</f>
        <v>9999</v>
      </c>
      <c r="M495" s="124">
        <v>4.0</v>
      </c>
    </row>
    <row r="496">
      <c r="A496" s="151">
        <f>IFERROR(__xludf.DUMMYFUNCTION("""COMPUTED_VALUE"""),43730.147751111115)</f>
        <v>43730.14775</v>
      </c>
      <c r="B496" t="str">
        <f>IFERROR(__xludf.DUMMYFUNCTION("""COMPUTED_VALUE"""),"Nick A.")</f>
        <v>Nick A.</v>
      </c>
      <c r="C496" t="str">
        <f>IFERROR(__xludf.DUMMYFUNCTION("""COMPUTED_VALUE"""),"Iowa State")</f>
        <v>Iowa State</v>
      </c>
      <c r="D496">
        <f>IFERROR(__xludf.DUMMYFUNCTION("""COMPUTED_VALUE"""),2.0)</f>
        <v>2</v>
      </c>
      <c r="E496">
        <f>IFERROR(__xludf.DUMMYFUNCTION("""COMPUTED_VALUE"""),1.0)</f>
        <v>1</v>
      </c>
      <c r="F496" t="str">
        <f>IFERROR(__xludf.DUMMYFUNCTION("""COMPUTED_VALUE"""),"FS1")</f>
        <v>FS1</v>
      </c>
      <c r="G496" t="str">
        <f>IFERROR(__xludf.DUMMYFUNCTION("""COMPUTED_VALUE"""),"UL Monroe 20 at Iowa State 72")</f>
        <v>UL Monroe 20 at Iowa State 72</v>
      </c>
      <c r="H496" t="str">
        <f>IFERROR(__xludf.DUMMYFUNCTION("""COMPUTED_VALUE"""),"FINAL")</f>
        <v>FINAL</v>
      </c>
      <c r="I496" t="str">
        <f>IFERROR(__xludf.DUMMYFUNCTION("""COMPUTED_VALUE"""),"2½")</f>
        <v>2½</v>
      </c>
      <c r="J496" t="str">
        <f>IFERROR(__xludf.DUMMYFUNCTION("""COMPUTED_VALUE"""),"44½")</f>
        <v>44½</v>
      </c>
      <c r="K496" t="str">
        <f>IFERROR(__xludf.DUMMYFUNCTION("""COMPUTED_VALUE"""),"Jeannine")</f>
        <v>Jeannine</v>
      </c>
      <c r="L496">
        <f>IFERROR(__xludf.DUMMYFUNCTION("""COMPUTED_VALUE"""),9999.0)</f>
        <v>9999</v>
      </c>
      <c r="M496" s="124">
        <v>4.0</v>
      </c>
    </row>
    <row r="497">
      <c r="A497" s="151">
        <f>IFERROR(__xludf.DUMMYFUNCTION("""COMPUTED_VALUE"""),43730.147751111115)</f>
        <v>43730.14775</v>
      </c>
      <c r="B497" t="str">
        <f>IFERROR(__xludf.DUMMYFUNCTION("""COMPUTED_VALUE"""),"Nick A.")</f>
        <v>Nick A.</v>
      </c>
      <c r="C497" t="str">
        <f>IFERROR(__xludf.DUMMYFUNCTION("""COMPUTED_VALUE"""),"Clemson")</f>
        <v>Clemson</v>
      </c>
      <c r="D497">
        <f>IFERROR(__xludf.DUMMYFUNCTION("""COMPUTED_VALUE"""),4.0)</f>
        <v>4</v>
      </c>
      <c r="E497">
        <f>IFERROR(__xludf.DUMMYFUNCTION("""COMPUTED_VALUE"""),0.0)</f>
        <v>0</v>
      </c>
      <c r="F497" t="str">
        <f>IFERROR(__xludf.DUMMYFUNCTION("""COMPUTED_VALUE"""),"ABC")</f>
        <v>ABC</v>
      </c>
      <c r="G497" t="str">
        <f>IFERROR(__xludf.DUMMYFUNCTION("""COMPUTED_VALUE"""),"Charlotte 10 at (1) Clemson 52")</f>
        <v>Charlotte 10 at (1) Clemson 52</v>
      </c>
      <c r="H497" t="str">
        <f>IFERROR(__xludf.DUMMYFUNCTION("""COMPUTED_VALUE"""),"FINAL")</f>
        <v>FINAL</v>
      </c>
      <c r="I497" t="str">
        <f>IFERROR(__xludf.DUMMYFUNCTION("""COMPUTED_VALUE"""),"-27½")</f>
        <v>-27½</v>
      </c>
      <c r="J497" t="str">
        <f>IFERROR(__xludf.DUMMYFUNCTION("""COMPUTED_VALUE"""),"62½")</f>
        <v>62½</v>
      </c>
      <c r="K497" t="str">
        <f>IFERROR(__xludf.DUMMYFUNCTION("""COMPUTED_VALUE"""),"Janice/Mike")</f>
        <v>Janice/Mike</v>
      </c>
      <c r="L497">
        <f>IFERROR(__xludf.DUMMYFUNCTION("""COMPUTED_VALUE"""),9999.0)</f>
        <v>9999</v>
      </c>
      <c r="M497" s="124">
        <v>4.0</v>
      </c>
    </row>
    <row r="498">
      <c r="A498" s="151">
        <f>IFERROR(__xludf.DUMMYFUNCTION("""COMPUTED_VALUE"""),43730.147751111115)</f>
        <v>43730.14775</v>
      </c>
      <c r="B498" t="str">
        <f>IFERROR(__xludf.DUMMYFUNCTION("""COMPUTED_VALUE"""),"Nick A.")</f>
        <v>Nick A.</v>
      </c>
      <c r="C498" t="str">
        <f>IFERROR(__xludf.DUMMYFUNCTION("""COMPUTED_VALUE"""),"Washington State")</f>
        <v>Washington State</v>
      </c>
      <c r="D498">
        <f>IFERROR(__xludf.DUMMYFUNCTION("""COMPUTED_VALUE"""),3.0)</f>
        <v>3</v>
      </c>
      <c r="E498">
        <f>IFERROR(__xludf.DUMMYFUNCTION("""COMPUTED_VALUE"""),0.0)</f>
        <v>0</v>
      </c>
      <c r="F498" t="str">
        <f>IFERROR(__xludf.DUMMYFUNCTION("""COMPUTED_VALUE"""),"ESPN")</f>
        <v>ESPN</v>
      </c>
      <c r="G498" t="str">
        <f>IFERROR(__xludf.DUMMYFUNCTION("""COMPUTED_VALUE"""),"UCLA 67 at (19) Washington State 63")</f>
        <v>UCLA 67 at (19) Washington State 63</v>
      </c>
      <c r="H498" t="str">
        <f>IFERROR(__xludf.DUMMYFUNCTION("""COMPUTED_VALUE"""),"FINAL")</f>
        <v>FINAL</v>
      </c>
      <c r="I498">
        <f>IFERROR(__xludf.DUMMYFUNCTION("""COMPUTED_VALUE"""),-9.0)</f>
        <v>-9</v>
      </c>
      <c r="J498" t="str">
        <f>IFERROR(__xludf.DUMMYFUNCTION("""COMPUTED_VALUE"""),"75½")</f>
        <v>75½</v>
      </c>
      <c r="K498" t="str">
        <f>IFERROR(__xludf.DUMMYFUNCTION("""COMPUTED_VALUE"""),"Gary")</f>
        <v>Gary</v>
      </c>
      <c r="L498">
        <f>IFERROR(__xludf.DUMMYFUNCTION("""COMPUTED_VALUE"""),9999.0)</f>
        <v>9999</v>
      </c>
      <c r="M498" s="124">
        <v>4.0</v>
      </c>
    </row>
    <row r="499">
      <c r="A499" s="151">
        <f>IFERROR(__xludf.DUMMYFUNCTION("""COMPUTED_VALUE"""),43730.147751111115)</f>
        <v>43730.14775</v>
      </c>
      <c r="B499" t="str">
        <f>IFERROR(__xludf.DUMMYFUNCTION("""COMPUTED_VALUE"""),"Nick A.")</f>
        <v>Nick A.</v>
      </c>
      <c r="C499" t="str">
        <f>IFERROR(__xludf.DUMMYFUNCTION("""COMPUTED_VALUE"""),"East Carolina")</f>
        <v>East Carolina</v>
      </c>
      <c r="D499">
        <f>IFERROR(__xludf.DUMMYFUNCTION("""COMPUTED_VALUE"""),2.0)</f>
        <v>2</v>
      </c>
      <c r="E499">
        <f>IFERROR(__xludf.DUMMYFUNCTION("""COMPUTED_VALUE"""),2.0)</f>
        <v>2</v>
      </c>
      <c r="F499" t="str">
        <f>IFERROR(__xludf.DUMMYFUNCTION("""COMPUTED_VALUE"""),"CBSSN")</f>
        <v>CBSSN</v>
      </c>
      <c r="G499" t="str">
        <f>IFERROR(__xludf.DUMMYFUNCTION("""COMPUTED_VALUE"""),"William &amp; Mary 7 at East Carolina 19")</f>
        <v>William &amp; Mary 7 at East Carolina 19</v>
      </c>
      <c r="H499" t="str">
        <f>IFERROR(__xludf.DUMMYFUNCTION("""COMPUTED_VALUE"""),"FINAL")</f>
        <v>FINAL</v>
      </c>
      <c r="I499">
        <f>IFERROR(__xludf.DUMMYFUNCTION("""COMPUTED_VALUE"""),7.0)</f>
        <v>7</v>
      </c>
      <c r="J499">
        <f>IFERROR(__xludf.DUMMYFUNCTION("""COMPUTED_VALUE"""),54.0)</f>
        <v>54</v>
      </c>
      <c r="K499" t="str">
        <f>IFERROR(__xludf.DUMMYFUNCTION("""COMPUTED_VALUE"""),"Undrafted")</f>
        <v>Undrafted</v>
      </c>
      <c r="L499">
        <f>IFERROR(__xludf.DUMMYFUNCTION("""COMPUTED_VALUE"""),9999.0)</f>
        <v>9999</v>
      </c>
      <c r="M499" s="124">
        <v>4.0</v>
      </c>
    </row>
    <row r="500">
      <c r="A500" s="151">
        <f>IFERROR(__xludf.DUMMYFUNCTION("""COMPUTED_VALUE"""),43730.147751111115)</f>
        <v>43730.14775</v>
      </c>
      <c r="B500" t="str">
        <f>IFERROR(__xludf.DUMMYFUNCTION("""COMPUTED_VALUE"""),"Nick A.")</f>
        <v>Nick A.</v>
      </c>
      <c r="C500" t="str">
        <f>IFERROR(__xludf.DUMMYFUNCTION("""COMPUTED_VALUE"""),"LSU")</f>
        <v>LSU</v>
      </c>
      <c r="D500">
        <f>IFERROR(__xludf.DUMMYFUNCTION("""COMPUTED_VALUE"""),4.0)</f>
        <v>4</v>
      </c>
      <c r="E500">
        <f>IFERROR(__xludf.DUMMYFUNCTION("""COMPUTED_VALUE"""),0.0)</f>
        <v>0</v>
      </c>
      <c r="F500" t="str">
        <f>IFERROR(__xludf.DUMMYFUNCTION("""COMPUTED_VALUE"""),"SEC Network")</f>
        <v>SEC Network</v>
      </c>
      <c r="G500" t="str">
        <f>IFERROR(__xludf.DUMMYFUNCTION("""COMPUTED_VALUE"""),"(5) LSU 66 at Vanderbilt 38")</f>
        <v>(5) LSU 66 at Vanderbilt 38</v>
      </c>
      <c r="H500" t="str">
        <f>IFERROR(__xludf.DUMMYFUNCTION("""COMPUTED_VALUE"""),"FINAL")</f>
        <v>FINAL</v>
      </c>
      <c r="I500">
        <f>IFERROR(__xludf.DUMMYFUNCTION("""COMPUTED_VALUE"""),-51.0)</f>
        <v>-51</v>
      </c>
      <c r="J500" t="str">
        <f>IFERROR(__xludf.DUMMYFUNCTION("""COMPUTED_VALUE""")," No Line")</f>
        <v> No Line</v>
      </c>
      <c r="K500" t="str">
        <f>IFERROR(__xludf.DUMMYFUNCTION("""COMPUTED_VALUE"""),"Undrafted")</f>
        <v>Undrafted</v>
      </c>
      <c r="L500">
        <f>IFERROR(__xludf.DUMMYFUNCTION("""COMPUTED_VALUE"""),9999.0)</f>
        <v>9999</v>
      </c>
      <c r="M500" s="124">
        <v>4.0</v>
      </c>
    </row>
    <row r="501">
      <c r="A501" s="151">
        <f>IFERROR(__xludf.DUMMYFUNCTION("""COMPUTED_VALUE"""),43730.147751111115)</f>
        <v>43730.14775</v>
      </c>
      <c r="B501" t="str">
        <f>IFERROR(__xludf.DUMMYFUNCTION("""COMPUTED_VALUE"""),"Nick A.")</f>
        <v>Nick A.</v>
      </c>
      <c r="C501" t="str">
        <f>IFERROR(__xludf.DUMMYFUNCTION("""COMPUTED_VALUE"""),"Michigan State")</f>
        <v>Michigan State</v>
      </c>
      <c r="D501">
        <f>IFERROR(__xludf.DUMMYFUNCTION("""COMPUTED_VALUE"""),3.0)</f>
        <v>3</v>
      </c>
      <c r="E501">
        <f>IFERROR(__xludf.DUMMYFUNCTION("""COMPUTED_VALUE"""),1.0)</f>
        <v>1</v>
      </c>
      <c r="F501" t="str">
        <f>IFERROR(__xludf.DUMMYFUNCTION("""COMPUTED_VALUE"""),"FOX")</f>
        <v>FOX</v>
      </c>
      <c r="G501" t="str">
        <f>IFERROR(__xludf.DUMMYFUNCTION("""COMPUTED_VALUE"""),"Michigan State 31 at Northwestern 10")</f>
        <v>Michigan State 31 at Northwestern 10</v>
      </c>
      <c r="H501" t="str">
        <f>IFERROR(__xludf.DUMMYFUNCTION("""COMPUTED_VALUE"""),"FINAL")</f>
        <v>FINAL</v>
      </c>
      <c r="I501">
        <f>IFERROR(__xludf.DUMMYFUNCTION("""COMPUTED_VALUE"""),-14.0)</f>
        <v>-14</v>
      </c>
      <c r="J501">
        <f>IFERROR(__xludf.DUMMYFUNCTION("""COMPUTED_VALUE"""),42.0)</f>
        <v>42</v>
      </c>
      <c r="K501" t="str">
        <f>IFERROR(__xludf.DUMMYFUNCTION("""COMPUTED_VALUE"""),"Adam")</f>
        <v>Adam</v>
      </c>
      <c r="L501">
        <f>IFERROR(__xludf.DUMMYFUNCTION("""COMPUTED_VALUE"""),9999.0)</f>
        <v>9999</v>
      </c>
      <c r="M501" s="124">
        <v>4.0</v>
      </c>
    </row>
    <row r="502">
      <c r="A502" s="151">
        <f>IFERROR(__xludf.DUMMYFUNCTION("""COMPUTED_VALUE"""),43730.147751111115)</f>
        <v>43730.14775</v>
      </c>
      <c r="B502" t="str">
        <f>IFERROR(__xludf.DUMMYFUNCTION("""COMPUTED_VALUE"""),"Gary")</f>
        <v>Gary</v>
      </c>
      <c r="C502" t="str">
        <f>IFERROR(__xludf.DUMMYFUNCTION("""COMPUTED_VALUE"""),"Marshall")</f>
        <v>Marshall</v>
      </c>
      <c r="D502">
        <f>IFERROR(__xludf.DUMMYFUNCTION("""COMPUTED_VALUE"""),2.0)</f>
        <v>2</v>
      </c>
      <c r="E502">
        <f>IFERROR(__xludf.DUMMYFUNCTION("""COMPUTED_VALUE"""),1.0)</f>
        <v>1</v>
      </c>
      <c r="F502" t="str">
        <f>IFERROR(__xludf.DUMMYFUNCTION("""COMPUTED_VALUE"""),"Facebook Video")</f>
        <v>Facebook Video</v>
      </c>
      <c r="G502" t="str">
        <f>IFERROR(__xludf.DUMMYFUNCTION("""COMPUTED_VALUE"""),"BYE")</f>
        <v>BYE</v>
      </c>
      <c r="I502" t="str">
        <f>IFERROR(__xludf.DUMMYFUNCTION("""COMPUTED_VALUE"""),"-5½")</f>
        <v>-5½</v>
      </c>
      <c r="J502" t="str">
        <f>IFERROR(__xludf.DUMMYFUNCTION("""COMPUTED_VALUE"""),"49½")</f>
        <v>49½</v>
      </c>
      <c r="L502">
        <f>IFERROR(__xludf.DUMMYFUNCTION("""COMPUTED_VALUE"""),9999.0)</f>
        <v>9999</v>
      </c>
      <c r="M502" s="124">
        <v>4.0</v>
      </c>
    </row>
    <row r="503">
      <c r="A503" s="151">
        <f>IFERROR(__xludf.DUMMYFUNCTION("""COMPUTED_VALUE"""),43730.147751111115)</f>
        <v>43730.14775</v>
      </c>
      <c r="B503" t="str">
        <f>IFERROR(__xludf.DUMMYFUNCTION("""COMPUTED_VALUE"""),"Gary")</f>
        <v>Gary</v>
      </c>
      <c r="C503" t="str">
        <f>IFERROR(__xludf.DUMMYFUNCTION("""COMPUTED_VALUE"""),"Ohio")</f>
        <v>Ohio</v>
      </c>
      <c r="D503">
        <f>IFERROR(__xludf.DUMMYFUNCTION("""COMPUTED_VALUE"""),1.0)</f>
        <v>1</v>
      </c>
      <c r="E503">
        <f>IFERROR(__xludf.DUMMYFUNCTION("""COMPUTED_VALUE"""),3.0)</f>
        <v>3</v>
      </c>
      <c r="F503" t="str">
        <f>IFERROR(__xludf.DUMMYFUNCTION("""COMPUTED_VALUE"""),"Facebook Video")</f>
        <v>Facebook Video</v>
      </c>
      <c r="G503" t="str">
        <f>IFERROR(__xludf.DUMMYFUNCTION("""COMPUTED_VALUE"""),"UL Lafayette 45 at Ohio 25")</f>
        <v>UL Lafayette 45 at Ohio 25</v>
      </c>
      <c r="H503" t="str">
        <f>IFERROR(__xludf.DUMMYFUNCTION("""COMPUTED_VALUE"""),"FINAL")</f>
        <v>FINAL</v>
      </c>
      <c r="I503" t="str">
        <f>IFERROR(__xludf.DUMMYFUNCTION("""COMPUTED_VALUE"""),"5½")</f>
        <v>5½</v>
      </c>
      <c r="J503" t="str">
        <f>IFERROR(__xludf.DUMMYFUNCTION("""COMPUTED_VALUE"""),"49½")</f>
        <v>49½</v>
      </c>
      <c r="K503" t="str">
        <f>IFERROR(__xludf.DUMMYFUNCTION("""COMPUTED_VALUE"""),"Gary")</f>
        <v>Gary</v>
      </c>
      <c r="L503">
        <f>IFERROR(__xludf.DUMMYFUNCTION("""COMPUTED_VALUE"""),9999.0)</f>
        <v>9999</v>
      </c>
      <c r="M503" s="124">
        <v>4.0</v>
      </c>
    </row>
    <row r="504">
      <c r="A504" s="151">
        <f>IFERROR(__xludf.DUMMYFUNCTION("""COMPUTED_VALUE"""),43730.147751111115)</f>
        <v>43730.14775</v>
      </c>
      <c r="B504" t="str">
        <f>IFERROR(__xludf.DUMMYFUNCTION("""COMPUTED_VALUE"""),"Gary")</f>
        <v>Gary</v>
      </c>
      <c r="C504" t="str">
        <f>IFERROR(__xludf.DUMMYFUNCTION("""COMPUTED_VALUE"""),"BYU")</f>
        <v>BYU</v>
      </c>
      <c r="D504">
        <f>IFERROR(__xludf.DUMMYFUNCTION("""COMPUTED_VALUE"""),2.0)</f>
        <v>2</v>
      </c>
      <c r="E504">
        <f>IFERROR(__xludf.DUMMYFUNCTION("""COMPUTED_VALUE"""),2.0)</f>
        <v>2</v>
      </c>
      <c r="F504" t="str">
        <f>IFERROR(__xludf.DUMMYFUNCTION("""COMPUTED_VALUE"""),"ABC")</f>
        <v>ABC</v>
      </c>
      <c r="G504" t="str">
        <f>IFERROR(__xludf.DUMMYFUNCTION("""COMPUTED_VALUE"""),"(21) Washington 45 at BYU 19")</f>
        <v>(21) Washington 45 at BYU 19</v>
      </c>
      <c r="H504" t="str">
        <f>IFERROR(__xludf.DUMMYFUNCTION("""COMPUTED_VALUE"""),"FINAL")</f>
        <v>FINAL</v>
      </c>
      <c r="I504" t="str">
        <f>IFERROR(__xludf.DUMMYFUNCTION("""COMPUTED_VALUE"""),"4½")</f>
        <v>4½</v>
      </c>
      <c r="J504" t="str">
        <f>IFERROR(__xludf.DUMMYFUNCTION("""COMPUTED_VALUE"""),"55½")</f>
        <v>55½</v>
      </c>
      <c r="K504" t="str">
        <f>IFERROR(__xludf.DUMMYFUNCTION("""COMPUTED_VALUE"""),"Vu")</f>
        <v>Vu</v>
      </c>
      <c r="L504">
        <f>IFERROR(__xludf.DUMMYFUNCTION("""COMPUTED_VALUE"""),9999.0)</f>
        <v>9999</v>
      </c>
      <c r="M504" s="124">
        <v>4.0</v>
      </c>
    </row>
    <row r="505">
      <c r="A505" s="151">
        <f>IFERROR(__xludf.DUMMYFUNCTION("""COMPUTED_VALUE"""),43730.147751111115)</f>
        <v>43730.14775</v>
      </c>
      <c r="B505" t="str">
        <f>IFERROR(__xludf.DUMMYFUNCTION("""COMPUTED_VALUE"""),"Gary")</f>
        <v>Gary</v>
      </c>
      <c r="C505" t="str">
        <f>IFERROR(__xludf.DUMMYFUNCTION("""COMPUTED_VALUE"""),"Tulane")</f>
        <v>Tulane</v>
      </c>
      <c r="D505">
        <f>IFERROR(__xludf.DUMMYFUNCTION("""COMPUTED_VALUE"""),3.0)</f>
        <v>3</v>
      </c>
      <c r="E505">
        <f>IFERROR(__xludf.DUMMYFUNCTION("""COMPUTED_VALUE"""),1.0)</f>
        <v>1</v>
      </c>
      <c r="F505" t="str">
        <f>IFERROR(__xludf.DUMMYFUNCTION("""COMPUTED_VALUE"""),"espn3 Video")</f>
        <v>espn3 Video</v>
      </c>
      <c r="G505" t="str">
        <f>IFERROR(__xludf.DUMMYFUNCTION("""COMPUTED_VALUE"""),"Houston 31 at Tulane 38")</f>
        <v>Houston 31 at Tulane 38</v>
      </c>
      <c r="H505" t="str">
        <f>IFERROR(__xludf.DUMMYFUNCTION("""COMPUTED_VALUE"""),"FINAL")</f>
        <v>FINAL</v>
      </c>
      <c r="I505">
        <f>IFERROR(__xludf.DUMMYFUNCTION("""COMPUTED_VALUE"""),-29.0)</f>
        <v>-29</v>
      </c>
      <c r="J505">
        <f>IFERROR(__xludf.DUMMYFUNCTION("""COMPUTED_VALUE"""),55.0)</f>
        <v>55</v>
      </c>
      <c r="K505" t="str">
        <f>IFERROR(__xludf.DUMMYFUNCTION("""COMPUTED_VALUE"""),"Nico")</f>
        <v>Nico</v>
      </c>
      <c r="L505">
        <f>IFERROR(__xludf.DUMMYFUNCTION("""COMPUTED_VALUE"""),9999.0)</f>
        <v>9999</v>
      </c>
      <c r="M505" s="124">
        <v>4.0</v>
      </c>
    </row>
    <row r="506">
      <c r="A506" s="151">
        <f>IFERROR(__xludf.DUMMYFUNCTION("""COMPUTED_VALUE"""),43730.147751111115)</f>
        <v>43730.14775</v>
      </c>
      <c r="B506" t="str">
        <f>IFERROR(__xludf.DUMMYFUNCTION("""COMPUTED_VALUE"""),"Gary")</f>
        <v>Gary</v>
      </c>
      <c r="C506" t="str">
        <f>IFERROR(__xludf.DUMMYFUNCTION("""COMPUTED_VALUE"""),"Pittsburgh")</f>
        <v>Pittsburgh</v>
      </c>
      <c r="D506">
        <f>IFERROR(__xludf.DUMMYFUNCTION("""COMPUTED_VALUE"""),2.0)</f>
        <v>2</v>
      </c>
      <c r="E506">
        <f>IFERROR(__xludf.DUMMYFUNCTION("""COMPUTED_VALUE"""),2.0)</f>
        <v>2</v>
      </c>
      <c r="F506" t="str">
        <f>IFERROR(__xludf.DUMMYFUNCTION("""COMPUTED_VALUE"""),"ABC")</f>
        <v>ABC</v>
      </c>
      <c r="G506" t="str">
        <f>IFERROR(__xludf.DUMMYFUNCTION("""COMPUTED_VALUE"""),"(16) UCF 34 at Pittsburgh 35")</f>
        <v>(16) UCF 34 at Pittsburgh 35</v>
      </c>
      <c r="H506" t="str">
        <f>IFERROR(__xludf.DUMMYFUNCTION("""COMPUTED_VALUE"""),"FINAL")</f>
        <v>FINAL</v>
      </c>
      <c r="I506">
        <f>IFERROR(__xludf.DUMMYFUNCTION("""COMPUTED_VALUE"""),17.0)</f>
        <v>17</v>
      </c>
      <c r="J506">
        <f>IFERROR(__xludf.DUMMYFUNCTION("""COMPUTED_VALUE"""),52.0)</f>
        <v>52</v>
      </c>
      <c r="K506" t="str">
        <f>IFERROR(__xludf.DUMMYFUNCTION("""COMPUTED_VALUE"""),"Adam")</f>
        <v>Adam</v>
      </c>
      <c r="L506">
        <f>IFERROR(__xludf.DUMMYFUNCTION("""COMPUTED_VALUE"""),9999.0)</f>
        <v>9999</v>
      </c>
      <c r="M506" s="124">
        <v>4.0</v>
      </c>
    </row>
    <row r="507">
      <c r="A507" s="151">
        <f>IFERROR(__xludf.DUMMYFUNCTION("""COMPUTED_VALUE"""),43730.147751111115)</f>
        <v>43730.14775</v>
      </c>
      <c r="B507" t="str">
        <f>IFERROR(__xludf.DUMMYFUNCTION("""COMPUTED_VALUE"""),"Gary")</f>
        <v>Gary</v>
      </c>
      <c r="C507" t="str">
        <f>IFERROR(__xludf.DUMMYFUNCTION("""COMPUTED_VALUE"""),"Maryland")</f>
        <v>Maryland</v>
      </c>
      <c r="D507">
        <f>IFERROR(__xludf.DUMMYFUNCTION("""COMPUTED_VALUE"""),2.0)</f>
        <v>2</v>
      </c>
      <c r="E507">
        <f>IFERROR(__xludf.DUMMYFUNCTION("""COMPUTED_VALUE"""),1.0)</f>
        <v>1</v>
      </c>
      <c r="F507" t="str">
        <f>IFERROR(__xludf.DUMMYFUNCTION("""COMPUTED_VALUE"""),"CBSSN")</f>
        <v>CBSSN</v>
      </c>
      <c r="G507" t="str">
        <f>IFERROR(__xludf.DUMMYFUNCTION("""COMPUTED_VALUE"""),"BYE")</f>
        <v>BYE</v>
      </c>
      <c r="I507">
        <f>IFERROR(__xludf.DUMMYFUNCTION("""COMPUTED_VALUE"""),-7.0)</f>
        <v>-7</v>
      </c>
      <c r="J507">
        <f>IFERROR(__xludf.DUMMYFUNCTION("""COMPUTED_VALUE"""),64.0)</f>
        <v>64</v>
      </c>
      <c r="L507">
        <f>IFERROR(__xludf.DUMMYFUNCTION("""COMPUTED_VALUE"""),9999.0)</f>
        <v>9999</v>
      </c>
      <c r="M507" s="124">
        <v>4.0</v>
      </c>
    </row>
    <row r="508">
      <c r="A508" s="151">
        <f>IFERROR(__xludf.DUMMYFUNCTION("""COMPUTED_VALUE"""),43730.147751111115)</f>
        <v>43730.14775</v>
      </c>
      <c r="B508" t="str">
        <f>IFERROR(__xludf.DUMMYFUNCTION("""COMPUTED_VALUE"""),"Gary")</f>
        <v>Gary</v>
      </c>
      <c r="C508" t="str">
        <f>IFERROR(__xludf.DUMMYFUNCTION("""COMPUTED_VALUE"""),"Missouri")</f>
        <v>Missouri</v>
      </c>
      <c r="D508">
        <f>IFERROR(__xludf.DUMMYFUNCTION("""COMPUTED_VALUE"""),3.0)</f>
        <v>3</v>
      </c>
      <c r="E508">
        <f>IFERROR(__xludf.DUMMYFUNCTION("""COMPUTED_VALUE"""),1.0)</f>
        <v>1</v>
      </c>
      <c r="F508" t="str">
        <f>IFERROR(__xludf.DUMMYFUNCTION("""COMPUTED_VALUE"""),"SEC Network alternate")</f>
        <v>SEC Network alternate</v>
      </c>
      <c r="G508" t="str">
        <f>IFERROR(__xludf.DUMMYFUNCTION("""COMPUTED_VALUE"""),"South Carolina 14 at Missouri 34")</f>
        <v>South Carolina 14 at Missouri 34</v>
      </c>
      <c r="H508" t="str">
        <f>IFERROR(__xludf.DUMMYFUNCTION("""COMPUTED_VALUE"""),"FINAL")</f>
        <v>FINAL</v>
      </c>
      <c r="I508">
        <f>IFERROR(__xludf.DUMMYFUNCTION("""COMPUTED_VALUE"""),-34.0)</f>
        <v>-34</v>
      </c>
      <c r="J508">
        <f>IFERROR(__xludf.DUMMYFUNCTION("""COMPUTED_VALUE"""),67.0)</f>
        <v>67</v>
      </c>
      <c r="K508" t="str">
        <f>IFERROR(__xludf.DUMMYFUNCTION("""COMPUTED_VALUE"""),"Brad")</f>
        <v>Brad</v>
      </c>
      <c r="L508">
        <f>IFERROR(__xludf.DUMMYFUNCTION("""COMPUTED_VALUE"""),9999.0)</f>
        <v>9999</v>
      </c>
      <c r="M508" s="124">
        <v>4.0</v>
      </c>
    </row>
    <row r="509">
      <c r="A509" s="151">
        <f>IFERROR(__xludf.DUMMYFUNCTION("""COMPUTED_VALUE"""),43730.147751111115)</f>
        <v>43730.14775</v>
      </c>
      <c r="B509" t="str">
        <f>IFERROR(__xludf.DUMMYFUNCTION("""COMPUTED_VALUE"""),"Gary")</f>
        <v>Gary</v>
      </c>
      <c r="C509" t="str">
        <f>IFERROR(__xludf.DUMMYFUNCTION("""COMPUTED_VALUE"""),"UCLA")</f>
        <v>UCLA</v>
      </c>
      <c r="D509">
        <f>IFERROR(__xludf.DUMMYFUNCTION("""COMPUTED_VALUE"""),0.0)</f>
        <v>0</v>
      </c>
      <c r="E509">
        <f>IFERROR(__xludf.DUMMYFUNCTION("""COMPUTED_VALUE"""),3.0)</f>
        <v>3</v>
      </c>
      <c r="F509" t="str">
        <f>IFERROR(__xludf.DUMMYFUNCTION("""COMPUTED_VALUE"""),"FOX")</f>
        <v>FOX</v>
      </c>
      <c r="G509" t="str">
        <f>IFERROR(__xludf.DUMMYFUNCTION("""COMPUTED_VALUE"""),"UCLA 67 at (19) Washington State 63")</f>
        <v>UCLA 67 at (19) Washington State 63</v>
      </c>
      <c r="H509" t="str">
        <f>IFERROR(__xludf.DUMMYFUNCTION("""COMPUTED_VALUE"""),"FINAL")</f>
        <v>FINAL</v>
      </c>
      <c r="I509">
        <f>IFERROR(__xludf.DUMMYFUNCTION("""COMPUTED_VALUE"""),23.0)</f>
        <v>23</v>
      </c>
      <c r="J509" t="str">
        <f>IFERROR(__xludf.DUMMYFUNCTION("""COMPUTED_VALUE"""),"73½")</f>
        <v>73½</v>
      </c>
      <c r="K509" t="str">
        <f>IFERROR(__xludf.DUMMYFUNCTION("""COMPUTED_VALUE"""),"Nick A.")</f>
        <v>Nick A.</v>
      </c>
      <c r="L509">
        <f>IFERROR(__xludf.DUMMYFUNCTION("""COMPUTED_VALUE"""),9999.0)</f>
        <v>9999</v>
      </c>
      <c r="M509" s="124">
        <v>4.0</v>
      </c>
    </row>
    <row r="510">
      <c r="A510" s="151">
        <f>IFERROR(__xludf.DUMMYFUNCTION("""COMPUTED_VALUE"""),43730.147751111115)</f>
        <v>43730.14775</v>
      </c>
      <c r="B510" t="str">
        <f>IFERROR(__xludf.DUMMYFUNCTION("""COMPUTED_VALUE"""),"Gary")</f>
        <v>Gary</v>
      </c>
      <c r="C510" t="str">
        <f>IFERROR(__xludf.DUMMYFUNCTION("""COMPUTED_VALUE"""),"Utah State")</f>
        <v>Utah State</v>
      </c>
      <c r="D510">
        <f>IFERROR(__xludf.DUMMYFUNCTION("""COMPUTED_VALUE"""),1.0)</f>
        <v>1</v>
      </c>
      <c r="E510">
        <f>IFERROR(__xludf.DUMMYFUNCTION("""COMPUTED_VALUE"""),1.0)</f>
        <v>1</v>
      </c>
      <c r="F510" t="str">
        <f>IFERROR(__xludf.DUMMYFUNCTION("""COMPUTED_VALUE"""),"NA")</f>
        <v>NA</v>
      </c>
      <c r="G510" t="str">
        <f>IFERROR(__xludf.DUMMYFUNCTION("""COMPUTED_VALUE"""),"Utah State 23 at San Diego State 17")</f>
        <v>Utah State 23 at San Diego State 17</v>
      </c>
      <c r="H510" t="str">
        <f>IFERROR(__xludf.DUMMYFUNCTION("""COMPUTED_VALUE"""),"FINAL")</f>
        <v>FINAL</v>
      </c>
      <c r="I510" t="str">
        <f>IFERROR(__xludf.DUMMYFUNCTION("""COMPUTED_VALUE"""),"bye")</f>
        <v>bye</v>
      </c>
      <c r="J510" t="str">
        <f>IFERROR(__xludf.DUMMYFUNCTION("""COMPUTED_VALUE"""),"bye")</f>
        <v>bye</v>
      </c>
      <c r="K510" t="str">
        <f>IFERROR(__xludf.DUMMYFUNCTION("""COMPUTED_VALUE"""),"Nick A.")</f>
        <v>Nick A.</v>
      </c>
      <c r="L510">
        <f>IFERROR(__xludf.DUMMYFUNCTION("""COMPUTED_VALUE"""),9999.0)</f>
        <v>9999</v>
      </c>
      <c r="M510" s="124">
        <v>4.0</v>
      </c>
    </row>
    <row r="511">
      <c r="A511" s="151">
        <f>IFERROR(__xludf.DUMMYFUNCTION("""COMPUTED_VALUE"""),43730.147751111115)</f>
        <v>43730.14775</v>
      </c>
      <c r="B511" t="str">
        <f>IFERROR(__xludf.DUMMYFUNCTION("""COMPUTED_VALUE"""),"Gary")</f>
        <v>Gary</v>
      </c>
      <c r="C511" t="str">
        <f>IFERROR(__xludf.DUMMYFUNCTION("""COMPUTED_VALUE"""),"UL Lafayette")</f>
        <v>UL Lafayette</v>
      </c>
      <c r="D511">
        <f>IFERROR(__xludf.DUMMYFUNCTION("""COMPUTED_VALUE"""),3.0)</f>
        <v>3</v>
      </c>
      <c r="E511">
        <f>IFERROR(__xludf.DUMMYFUNCTION("""COMPUTED_VALUE"""),1.0)</f>
        <v>1</v>
      </c>
      <c r="F511" t="str">
        <f>IFERROR(__xludf.DUMMYFUNCTION("""COMPUTED_VALUE"""),"NA")</f>
        <v>NA</v>
      </c>
      <c r="G511" t="str">
        <f>IFERROR(__xludf.DUMMYFUNCTION("""COMPUTED_VALUE"""),"UL Lafayette 45 at Ohio 25")</f>
        <v>UL Lafayette 45 at Ohio 25</v>
      </c>
      <c r="H511" t="str">
        <f>IFERROR(__xludf.DUMMYFUNCTION("""COMPUTED_VALUE"""),"FINAL")</f>
        <v>FINAL</v>
      </c>
      <c r="I511">
        <f>IFERROR(__xludf.DUMMYFUNCTION("""COMPUTED_VALUE"""),-47.0)</f>
        <v>-47</v>
      </c>
      <c r="J511">
        <f>IFERROR(__xludf.DUMMYFUNCTION("""COMPUTED_VALUE"""),75.0)</f>
        <v>75</v>
      </c>
      <c r="K511" t="str">
        <f>IFERROR(__xludf.DUMMYFUNCTION("""COMPUTED_VALUE"""),"Gary")</f>
        <v>Gary</v>
      </c>
      <c r="L511">
        <f>IFERROR(__xludf.DUMMYFUNCTION("""COMPUTED_VALUE"""),9999.0)</f>
        <v>9999</v>
      </c>
      <c r="M511" s="124">
        <v>4.0</v>
      </c>
    </row>
    <row r="512">
      <c r="A512" s="151">
        <f>IFERROR(__xludf.DUMMYFUNCTION("""COMPUTED_VALUE"""),43730.147751111115)</f>
        <v>43730.14775</v>
      </c>
      <c r="B512" t="str">
        <f>IFERROR(__xludf.DUMMYFUNCTION("""COMPUTED_VALUE"""),"Janice/Mike")</f>
        <v>Janice/Mike</v>
      </c>
      <c r="C512" t="str">
        <f>IFERROR(__xludf.DUMMYFUNCTION("""COMPUTED_VALUE"""),"Northern Illinois")</f>
        <v>Northern Illinois</v>
      </c>
      <c r="D512">
        <f>IFERROR(__xludf.DUMMYFUNCTION("""COMPUTED_VALUE"""),1.0)</f>
        <v>1</v>
      </c>
      <c r="E512">
        <f>IFERROR(__xludf.DUMMYFUNCTION("""COMPUTED_VALUE"""),2.0)</f>
        <v>2</v>
      </c>
      <c r="F512" t="str">
        <f>IFERROR(__xludf.DUMMYFUNCTION("""COMPUTED_VALUE"""),"FS1")</f>
        <v>FS1</v>
      </c>
      <c r="G512" t="str">
        <f>IFERROR(__xludf.DUMMYFUNCTION("""COMPUTED_VALUE"""),"BYE")</f>
        <v>BYE</v>
      </c>
      <c r="I512">
        <f>IFERROR(__xludf.DUMMYFUNCTION("""COMPUTED_VALUE"""),14.0)</f>
        <v>14</v>
      </c>
      <c r="J512" t="str">
        <f>IFERROR(__xludf.DUMMYFUNCTION("""COMPUTED_VALUE"""),"54½")</f>
        <v>54½</v>
      </c>
      <c r="L512">
        <f>IFERROR(__xludf.DUMMYFUNCTION("""COMPUTED_VALUE"""),9999.0)</f>
        <v>9999</v>
      </c>
      <c r="M512" s="124">
        <v>4.0</v>
      </c>
    </row>
    <row r="513">
      <c r="A513" s="151">
        <f>IFERROR(__xludf.DUMMYFUNCTION("""COMPUTED_VALUE"""),43730.147751111115)</f>
        <v>43730.14775</v>
      </c>
      <c r="B513" t="str">
        <f>IFERROR(__xludf.DUMMYFUNCTION("""COMPUTED_VALUE"""),"Janice/Mike")</f>
        <v>Janice/Mike</v>
      </c>
      <c r="C513" t="str">
        <f>IFERROR(__xludf.DUMMYFUNCTION("""COMPUTED_VALUE"""),"Charlotte")</f>
        <v>Charlotte</v>
      </c>
      <c r="D513">
        <f>IFERROR(__xludf.DUMMYFUNCTION("""COMPUTED_VALUE"""),2.0)</f>
        <v>2</v>
      </c>
      <c r="E513">
        <f>IFERROR(__xludf.DUMMYFUNCTION("""COMPUTED_VALUE"""),2.0)</f>
        <v>2</v>
      </c>
      <c r="F513" t="str">
        <f>IFERROR(__xludf.DUMMYFUNCTION("""COMPUTED_VALUE"""),"espn+ Video")</f>
        <v>espn+ Video</v>
      </c>
      <c r="G513" t="str">
        <f>IFERROR(__xludf.DUMMYFUNCTION("""COMPUTED_VALUE"""),"Charlotte 10 at (1) Clemson 52")</f>
        <v>Charlotte 10 at (1) Clemson 52</v>
      </c>
      <c r="H513" t="str">
        <f>IFERROR(__xludf.DUMMYFUNCTION("""COMPUTED_VALUE"""),"FINAL")</f>
        <v>FINAL</v>
      </c>
      <c r="I513" t="str">
        <f>IFERROR(__xludf.DUMMYFUNCTION("""COMPUTED_VALUE"""),"-19½")</f>
        <v>-19½</v>
      </c>
      <c r="J513">
        <f>IFERROR(__xludf.DUMMYFUNCTION("""COMPUTED_VALUE"""),69.0)</f>
        <v>69</v>
      </c>
      <c r="K513" t="str">
        <f>IFERROR(__xludf.DUMMYFUNCTION("""COMPUTED_VALUE"""),"Nick A.")</f>
        <v>Nick A.</v>
      </c>
      <c r="L513">
        <f>IFERROR(__xludf.DUMMYFUNCTION("""COMPUTED_VALUE"""),9999.0)</f>
        <v>9999</v>
      </c>
      <c r="M513" s="124">
        <v>4.0</v>
      </c>
    </row>
    <row r="514">
      <c r="A514" s="151">
        <f>IFERROR(__xludf.DUMMYFUNCTION("""COMPUTED_VALUE"""),43730.147751111115)</f>
        <v>43730.14775</v>
      </c>
      <c r="B514" t="str">
        <f>IFERROR(__xludf.DUMMYFUNCTION("""COMPUTED_VALUE"""),"Janice/Mike")</f>
        <v>Janice/Mike</v>
      </c>
      <c r="C514" t="str">
        <f>IFERROR(__xludf.DUMMYFUNCTION("""COMPUTED_VALUE"""),"Arkansas")</f>
        <v>Arkansas</v>
      </c>
      <c r="D514">
        <f>IFERROR(__xludf.DUMMYFUNCTION("""COMPUTED_VALUE"""),2.0)</f>
        <v>2</v>
      </c>
      <c r="E514">
        <f>IFERROR(__xludf.DUMMYFUNCTION("""COMPUTED_VALUE"""),2.0)</f>
        <v>2</v>
      </c>
      <c r="F514" t="str">
        <f>IFERROR(__xludf.DUMMYFUNCTION("""COMPUTED_VALUE"""),"SEC Network")</f>
        <v>SEC Network</v>
      </c>
      <c r="G514" t="str">
        <f>IFERROR(__xludf.DUMMYFUNCTION("""COMPUTED_VALUE"""),"San José State 31 at Arkansas 24")</f>
        <v>San José State 31 at Arkansas 24</v>
      </c>
      <c r="H514" t="str">
        <f>IFERROR(__xludf.DUMMYFUNCTION("""COMPUTED_VALUE"""),"FINAL")</f>
        <v>FINAL</v>
      </c>
      <c r="I514" t="str">
        <f>IFERROR(__xludf.DUMMYFUNCTION("""COMPUTED_VALUE"""),"-9½")</f>
        <v>-9½</v>
      </c>
      <c r="J514" t="str">
        <f>IFERROR(__xludf.DUMMYFUNCTION("""COMPUTED_VALUE"""),"60½")</f>
        <v>60½</v>
      </c>
      <c r="K514" t="str">
        <f>IFERROR(__xludf.DUMMYFUNCTION("""COMPUTED_VALUE"""),"Jeannine")</f>
        <v>Jeannine</v>
      </c>
      <c r="L514">
        <f>IFERROR(__xludf.DUMMYFUNCTION("""COMPUTED_VALUE"""),9999.0)</f>
        <v>9999</v>
      </c>
      <c r="M514" s="124">
        <v>4.0</v>
      </c>
    </row>
    <row r="515">
      <c r="A515" s="151">
        <f>IFERROR(__xludf.DUMMYFUNCTION("""COMPUTED_VALUE"""),43730.147751111115)</f>
        <v>43730.14775</v>
      </c>
      <c r="B515" t="str">
        <f>IFERROR(__xludf.DUMMYFUNCTION("""COMPUTED_VALUE"""),"Janice/Mike")</f>
        <v>Janice/Mike</v>
      </c>
      <c r="C515" t="str">
        <f>IFERROR(__xludf.DUMMYFUNCTION("""COMPUTED_VALUE"""),"Navy")</f>
        <v>Navy</v>
      </c>
      <c r="D515">
        <f>IFERROR(__xludf.DUMMYFUNCTION("""COMPUTED_VALUE"""),2.0)</f>
        <v>2</v>
      </c>
      <c r="E515">
        <f>IFERROR(__xludf.DUMMYFUNCTION("""COMPUTED_VALUE"""),0.0)</f>
        <v>0</v>
      </c>
      <c r="F515" t="str">
        <f>IFERROR(__xludf.DUMMYFUNCTION("""COMPUTED_VALUE"""),"CBSSN")</f>
        <v>CBSSN</v>
      </c>
      <c r="G515" t="str">
        <f>IFERROR(__xludf.DUMMYFUNCTION("""COMPUTED_VALUE"""),"BYE")</f>
        <v>BYE</v>
      </c>
      <c r="I515">
        <f>IFERROR(__xludf.DUMMYFUNCTION("""COMPUTED_VALUE"""),-7.0)</f>
        <v>-7</v>
      </c>
      <c r="J515">
        <f>IFERROR(__xludf.DUMMYFUNCTION("""COMPUTED_VALUE"""),54.0)</f>
        <v>54</v>
      </c>
      <c r="L515">
        <f>IFERROR(__xludf.DUMMYFUNCTION("""COMPUTED_VALUE"""),9999.0)</f>
        <v>9999</v>
      </c>
      <c r="M515" s="124">
        <v>4.0</v>
      </c>
    </row>
    <row r="516">
      <c r="A516" s="151">
        <f>IFERROR(__xludf.DUMMYFUNCTION("""COMPUTED_VALUE"""),43730.147751111115)</f>
        <v>43730.14775</v>
      </c>
      <c r="B516" t="str">
        <f>IFERROR(__xludf.DUMMYFUNCTION("""COMPUTED_VALUE"""),"Janice/Mike")</f>
        <v>Janice/Mike</v>
      </c>
      <c r="C516" t="str">
        <f>IFERROR(__xludf.DUMMYFUNCTION("""COMPUTED_VALUE"""),"Boise State")</f>
        <v>Boise State</v>
      </c>
      <c r="D516">
        <f>IFERROR(__xludf.DUMMYFUNCTION("""COMPUTED_VALUE"""),4.0)</f>
        <v>4</v>
      </c>
      <c r="E516">
        <f>IFERROR(__xludf.DUMMYFUNCTION("""COMPUTED_VALUE"""),0.0)</f>
        <v>0</v>
      </c>
      <c r="F516" t="str">
        <f>IFERROR(__xludf.DUMMYFUNCTION("""COMPUTED_VALUE"""),"ESPN2")</f>
        <v>ESPN2</v>
      </c>
      <c r="G516" t="str">
        <f>IFERROR(__xludf.DUMMYFUNCTION("""COMPUTED_VALUE"""),"Air Force 19 at (20) Boise State 30")</f>
        <v>Air Force 19 at (20) Boise State 30</v>
      </c>
      <c r="H516" t="str">
        <f>IFERROR(__xludf.DUMMYFUNCTION("""COMPUTED_VALUE"""),"FINAL")</f>
        <v>FINAL</v>
      </c>
      <c r="I516" t="str">
        <f>IFERROR(__xludf.DUMMYFUNCTION("""COMPUTED_VALUE"""),"-31½")</f>
        <v>-31½</v>
      </c>
      <c r="J516">
        <f>IFERROR(__xludf.DUMMYFUNCTION("""COMPUTED_VALUE"""),54.0)</f>
        <v>54</v>
      </c>
      <c r="K516" t="str">
        <f>IFERROR(__xludf.DUMMYFUNCTION("""COMPUTED_VALUE"""),"Adam")</f>
        <v>Adam</v>
      </c>
      <c r="L516">
        <f>IFERROR(__xludf.DUMMYFUNCTION("""COMPUTED_VALUE"""),9999.0)</f>
        <v>9999</v>
      </c>
      <c r="M516" s="124">
        <v>4.0</v>
      </c>
    </row>
    <row r="517">
      <c r="A517" s="151">
        <f>IFERROR(__xludf.DUMMYFUNCTION("""COMPUTED_VALUE"""),43730.147751111115)</f>
        <v>43730.14775</v>
      </c>
      <c r="B517" t="str">
        <f>IFERROR(__xludf.DUMMYFUNCTION("""COMPUTED_VALUE"""),"Janice/Mike")</f>
        <v>Janice/Mike</v>
      </c>
      <c r="C517" t="str">
        <f>IFERROR(__xludf.DUMMYFUNCTION("""COMPUTED_VALUE"""),"Wisconsin")</f>
        <v>Wisconsin</v>
      </c>
      <c r="D517">
        <f>IFERROR(__xludf.DUMMYFUNCTION("""COMPUTED_VALUE"""),3.0)</f>
        <v>3</v>
      </c>
      <c r="E517">
        <f>IFERROR(__xludf.DUMMYFUNCTION("""COMPUTED_VALUE"""),0.0)</f>
        <v>0</v>
      </c>
      <c r="F517" t="str">
        <f>IFERROR(__xludf.DUMMYFUNCTION("""COMPUTED_VALUE"""),"NA")</f>
        <v>NA</v>
      </c>
      <c r="G517" t="str">
        <f>IFERROR(__xludf.DUMMYFUNCTION("""COMPUTED_VALUE"""),"(10) Michigan 14 at (14) Wisconsin 35")</f>
        <v>(10) Michigan 14 at (14) Wisconsin 35</v>
      </c>
      <c r="H517" t="str">
        <f>IFERROR(__xludf.DUMMYFUNCTION("""COMPUTED_VALUE"""),"FINAL")</f>
        <v>FINAL</v>
      </c>
      <c r="I517" t="str">
        <f>IFERROR(__xludf.DUMMYFUNCTION("""COMPUTED_VALUE"""),"bye")</f>
        <v>bye</v>
      </c>
      <c r="J517" t="str">
        <f>IFERROR(__xludf.DUMMYFUNCTION("""COMPUTED_VALUE"""),"bye")</f>
        <v>bye</v>
      </c>
      <c r="K517" t="str">
        <f>IFERROR(__xludf.DUMMYFUNCTION("""COMPUTED_VALUE"""),"Vu")</f>
        <v>Vu</v>
      </c>
      <c r="L517">
        <f>IFERROR(__xludf.DUMMYFUNCTION("""COMPUTED_VALUE"""),9999.0)</f>
        <v>9999</v>
      </c>
      <c r="M517" s="124">
        <v>4.0</v>
      </c>
    </row>
    <row r="518">
      <c r="A518" s="151">
        <f>IFERROR(__xludf.DUMMYFUNCTION("""COMPUTED_VALUE"""),43730.147751111115)</f>
        <v>43730.14775</v>
      </c>
      <c r="B518" t="str">
        <f>IFERROR(__xludf.DUMMYFUNCTION("""COMPUTED_VALUE"""),"Janice/Mike")</f>
        <v>Janice/Mike</v>
      </c>
      <c r="C518" t="str">
        <f>IFERROR(__xludf.DUMMYFUNCTION("""COMPUTED_VALUE"""),"Boston College")</f>
        <v>Boston College</v>
      </c>
      <c r="D518">
        <f>IFERROR(__xludf.DUMMYFUNCTION("""COMPUTED_VALUE"""),3.0)</f>
        <v>3</v>
      </c>
      <c r="E518">
        <f>IFERROR(__xludf.DUMMYFUNCTION("""COMPUTED_VALUE"""),1.0)</f>
        <v>1</v>
      </c>
      <c r="F518" t="str">
        <f>IFERROR(__xludf.DUMMYFUNCTION("""COMPUTED_VALUE"""),"ACC Network")</f>
        <v>ACC Network</v>
      </c>
      <c r="G518" t="str">
        <f>IFERROR(__xludf.DUMMYFUNCTION("""COMPUTED_VALUE"""),"Boston College 30 at Rutgers 16")</f>
        <v>Boston College 30 at Rutgers 16</v>
      </c>
      <c r="H518" t="str">
        <f>IFERROR(__xludf.DUMMYFUNCTION("""COMPUTED_VALUE"""),"FINAL")</f>
        <v>FINAL</v>
      </c>
      <c r="I518">
        <f>IFERROR(__xludf.DUMMYFUNCTION("""COMPUTED_VALUE"""),-21.0)</f>
        <v>-21</v>
      </c>
      <c r="J518">
        <f>IFERROR(__xludf.DUMMYFUNCTION("""COMPUTED_VALUE"""),53.0)</f>
        <v>53</v>
      </c>
      <c r="K518" t="str">
        <f>IFERROR(__xludf.DUMMYFUNCTION("""COMPUTED_VALUE"""),"Undrafted")</f>
        <v>Undrafted</v>
      </c>
      <c r="L518">
        <f>IFERROR(__xludf.DUMMYFUNCTION("""COMPUTED_VALUE"""),9999.0)</f>
        <v>9999</v>
      </c>
      <c r="M518" s="124">
        <v>4.0</v>
      </c>
    </row>
    <row r="519">
      <c r="A519" s="151">
        <f>IFERROR(__xludf.DUMMYFUNCTION("""COMPUTED_VALUE"""),43730.147751111115)</f>
        <v>43730.14775</v>
      </c>
      <c r="B519" t="str">
        <f>IFERROR(__xludf.DUMMYFUNCTION("""COMPUTED_VALUE"""),"Janice/Mike")</f>
        <v>Janice/Mike</v>
      </c>
      <c r="C519" t="str">
        <f>IFERROR(__xludf.DUMMYFUNCTION("""COMPUTED_VALUE"""),"Georgia Southern")</f>
        <v>Georgia Southern</v>
      </c>
      <c r="D519">
        <f>IFERROR(__xludf.DUMMYFUNCTION("""COMPUTED_VALUE"""),1.0)</f>
        <v>1</v>
      </c>
      <c r="E519">
        <f>IFERROR(__xludf.DUMMYFUNCTION("""COMPUTED_VALUE"""),2.0)</f>
        <v>2</v>
      </c>
      <c r="F519" t="str">
        <f>IFERROR(__xludf.DUMMYFUNCTION("""COMPUTED_VALUE"""),"BTN")</f>
        <v>BTN</v>
      </c>
      <c r="G519" t="str">
        <f>IFERROR(__xludf.DUMMYFUNCTION("""COMPUTED_VALUE"""),"BYE")</f>
        <v>BYE</v>
      </c>
      <c r="I519" t="str">
        <f>IFERROR(__xludf.DUMMYFUNCTION("""COMPUTED_VALUE"""),"15½")</f>
        <v>15½</v>
      </c>
      <c r="J519">
        <f>IFERROR(__xludf.DUMMYFUNCTION("""COMPUTED_VALUE"""),46.0)</f>
        <v>46</v>
      </c>
      <c r="L519">
        <f>IFERROR(__xludf.DUMMYFUNCTION("""COMPUTED_VALUE"""),9999.0)</f>
        <v>9999</v>
      </c>
      <c r="M519" s="124">
        <v>4.0</v>
      </c>
    </row>
    <row r="520">
      <c r="A520" s="151">
        <f>IFERROR(__xludf.DUMMYFUNCTION("""COMPUTED_VALUE"""),43730.147751111115)</f>
        <v>43730.14775</v>
      </c>
      <c r="B520" t="str">
        <f>IFERROR(__xludf.DUMMYFUNCTION("""COMPUTED_VALUE"""),"Janice/Mike")</f>
        <v>Janice/Mike</v>
      </c>
      <c r="C520" t="str">
        <f>IFERROR(__xludf.DUMMYFUNCTION("""COMPUTED_VALUE"""),"Texas Tech")</f>
        <v>Texas Tech</v>
      </c>
      <c r="D520">
        <f>IFERROR(__xludf.DUMMYFUNCTION("""COMPUTED_VALUE"""),2.0)</f>
        <v>2</v>
      </c>
      <c r="E520">
        <f>IFERROR(__xludf.DUMMYFUNCTION("""COMPUTED_VALUE"""),1.0)</f>
        <v>1</v>
      </c>
      <c r="F520" t="str">
        <f>IFERROR(__xludf.DUMMYFUNCTION("""COMPUTED_VALUE"""),"ESPN")</f>
        <v>ESPN</v>
      </c>
      <c r="G520" t="str">
        <f>IFERROR(__xludf.DUMMYFUNCTION("""COMPUTED_VALUE"""),"BYE")</f>
        <v>BYE</v>
      </c>
      <c r="I520" t="str">
        <f>IFERROR(__xludf.DUMMYFUNCTION("""COMPUTED_VALUE"""),"-2½")</f>
        <v>-2½</v>
      </c>
      <c r="J520" t="str">
        <f>IFERROR(__xludf.DUMMYFUNCTION("""COMPUTED_VALUE"""),"76½")</f>
        <v>76½</v>
      </c>
      <c r="L520">
        <f>IFERROR(__xludf.DUMMYFUNCTION("""COMPUTED_VALUE"""),9999.0)</f>
        <v>9999</v>
      </c>
      <c r="M520" s="124">
        <v>4.0</v>
      </c>
    </row>
    <row r="521">
      <c r="A521" s="151">
        <f>IFERROR(__xludf.DUMMYFUNCTION("""COMPUTED_VALUE"""),43730.147751111115)</f>
        <v>43730.14775</v>
      </c>
      <c r="B521" t="str">
        <f>IFERROR(__xludf.DUMMYFUNCTION("""COMPUTED_VALUE"""),"Janice/Mike")</f>
        <v>Janice/Mike</v>
      </c>
      <c r="C521" t="str">
        <f>IFERROR(__xludf.DUMMYFUNCTION("""COMPUTED_VALUE"""),"Arizona")</f>
        <v>Arizona</v>
      </c>
      <c r="D521">
        <f>IFERROR(__xludf.DUMMYFUNCTION("""COMPUTED_VALUE"""),2.0)</f>
        <v>2</v>
      </c>
      <c r="E521">
        <f>IFERROR(__xludf.DUMMYFUNCTION("""COMPUTED_VALUE"""),1.0)</f>
        <v>1</v>
      </c>
      <c r="F521" t="str">
        <f>IFERROR(__xludf.DUMMYFUNCTION("""COMPUTED_VALUE"""),"ESPN")</f>
        <v>ESPN</v>
      </c>
      <c r="G521" t="str">
        <f>IFERROR(__xludf.DUMMYFUNCTION("""COMPUTED_VALUE"""),"BYE")</f>
        <v>BYE</v>
      </c>
      <c r="I521" t="str">
        <f>IFERROR(__xludf.DUMMYFUNCTION("""COMPUTED_VALUE"""),"2½")</f>
        <v>2½</v>
      </c>
      <c r="J521" t="str">
        <f>IFERROR(__xludf.DUMMYFUNCTION("""COMPUTED_VALUE"""),"76½")</f>
        <v>76½</v>
      </c>
      <c r="L521">
        <f>IFERROR(__xludf.DUMMYFUNCTION("""COMPUTED_VALUE"""),9999.0)</f>
        <v>9999</v>
      </c>
      <c r="M521" s="124">
        <v>4.0</v>
      </c>
    </row>
    <row r="522">
      <c r="A522" s="151">
        <f>IFERROR(__xludf.DUMMYFUNCTION("""COMPUTED_VALUE"""),43730.147751111115)</f>
        <v>43730.14775</v>
      </c>
      <c r="B522" t="str">
        <f>IFERROR(__xludf.DUMMYFUNCTION("""COMPUTED_VALUE"""),"Nico")</f>
        <v>Nico</v>
      </c>
      <c r="C522" t="str">
        <f>IFERROR(__xludf.DUMMYFUNCTION("""COMPUTED_VALUE"""),"West Virginia")</f>
        <v>West Virginia</v>
      </c>
      <c r="D522">
        <f>IFERROR(__xludf.DUMMYFUNCTION("""COMPUTED_VALUE"""),3.0)</f>
        <v>3</v>
      </c>
      <c r="E522">
        <f>IFERROR(__xludf.DUMMYFUNCTION("""COMPUTED_VALUE"""),1.0)</f>
        <v>1</v>
      </c>
      <c r="F522" t="str">
        <f>IFERROR(__xludf.DUMMYFUNCTION("""COMPUTED_VALUE"""),"FS1")</f>
        <v>FS1</v>
      </c>
      <c r="G522" t="str">
        <f>IFERROR(__xludf.DUMMYFUNCTION("""COMPUTED_VALUE"""),"West Virginia 29 at Kansas 24")</f>
        <v>West Virginia 29 at Kansas 24</v>
      </c>
      <c r="H522" t="str">
        <f>IFERROR(__xludf.DUMMYFUNCTION("""COMPUTED_VALUE"""),"FINAL")</f>
        <v>FINAL</v>
      </c>
      <c r="I522" t="str">
        <f>IFERROR(__xludf.DUMMYFUNCTION("""COMPUTED_VALUE"""),"6½")</f>
        <v>6½</v>
      </c>
      <c r="J522">
        <f>IFERROR(__xludf.DUMMYFUNCTION("""COMPUTED_VALUE"""),47.0)</f>
        <v>47</v>
      </c>
      <c r="K522" t="str">
        <f>IFERROR(__xludf.DUMMYFUNCTION("""COMPUTED_VALUE"""),"Josh R.")</f>
        <v>Josh R.</v>
      </c>
      <c r="L522">
        <f>IFERROR(__xludf.DUMMYFUNCTION("""COMPUTED_VALUE"""),9999.0)</f>
        <v>9999</v>
      </c>
      <c r="M522" s="124">
        <v>4.0</v>
      </c>
    </row>
    <row r="523">
      <c r="A523" s="151">
        <f>IFERROR(__xludf.DUMMYFUNCTION("""COMPUTED_VALUE"""),43730.147751111115)</f>
        <v>43730.14775</v>
      </c>
      <c r="B523" t="str">
        <f>IFERROR(__xludf.DUMMYFUNCTION("""COMPUTED_VALUE"""),"Nico")</f>
        <v>Nico</v>
      </c>
      <c r="C523" t="str">
        <f>IFERROR(__xludf.DUMMYFUNCTION("""COMPUTED_VALUE"""),"North Carolina")</f>
        <v>North Carolina</v>
      </c>
      <c r="D523">
        <f>IFERROR(__xludf.DUMMYFUNCTION("""COMPUTED_VALUE"""),2.0)</f>
        <v>2</v>
      </c>
      <c r="E523">
        <f>IFERROR(__xludf.DUMMYFUNCTION("""COMPUTED_VALUE"""),2.0)</f>
        <v>2</v>
      </c>
      <c r="F523" t="str">
        <f>IFERROR(__xludf.DUMMYFUNCTION("""COMPUTED_VALUE"""),"NA")</f>
        <v>NA</v>
      </c>
      <c r="G523" t="str">
        <f>IFERROR(__xludf.DUMMYFUNCTION("""COMPUTED_VALUE"""),"Appalachian State 34 at North Carolina 31")</f>
        <v>Appalachian State 34 at North Carolina 31</v>
      </c>
      <c r="H523" t="str">
        <f>IFERROR(__xludf.DUMMYFUNCTION("""COMPUTED_VALUE"""),"FINAL")</f>
        <v>FINAL</v>
      </c>
      <c r="I523">
        <f>IFERROR(__xludf.DUMMYFUNCTION("""COMPUTED_VALUE"""),3.0)</f>
        <v>3</v>
      </c>
      <c r="J523">
        <f>IFERROR(__xludf.DUMMYFUNCTION("""COMPUTED_VALUE"""),67.0)</f>
        <v>67</v>
      </c>
      <c r="K523" t="str">
        <f>IFERROR(__xludf.DUMMYFUNCTION("""COMPUTED_VALUE"""),"Justin")</f>
        <v>Justin</v>
      </c>
      <c r="L523">
        <f>IFERROR(__xludf.DUMMYFUNCTION("""COMPUTED_VALUE"""),9999.0)</f>
        <v>9999</v>
      </c>
      <c r="M523" s="124">
        <v>4.0</v>
      </c>
    </row>
    <row r="524">
      <c r="A524" s="151">
        <f>IFERROR(__xludf.DUMMYFUNCTION("""COMPUTED_VALUE"""),43730.147751111115)</f>
        <v>43730.14775</v>
      </c>
      <c r="B524" t="str">
        <f>IFERROR(__xludf.DUMMYFUNCTION("""COMPUTED_VALUE"""),"Nico")</f>
        <v>Nico</v>
      </c>
      <c r="C524" t="str">
        <f>IFERROR(__xludf.DUMMYFUNCTION("""COMPUTED_VALUE"""),"Arkansas State")</f>
        <v>Arkansas State</v>
      </c>
      <c r="D524">
        <f>IFERROR(__xludf.DUMMYFUNCTION("""COMPUTED_VALUE"""),2.0)</f>
        <v>2</v>
      </c>
      <c r="E524">
        <f>IFERROR(__xludf.DUMMYFUNCTION("""COMPUTED_VALUE"""),2.0)</f>
        <v>2</v>
      </c>
      <c r="F524" t="str">
        <f>IFERROR(__xludf.DUMMYFUNCTION("""COMPUTED_VALUE"""),"ESPN2")</f>
        <v>ESPN2</v>
      </c>
      <c r="G524" t="str">
        <f>IFERROR(__xludf.DUMMYFUNCTION("""COMPUTED_VALUE"""),"Southern Illinois 28 at Arkansas State 41")</f>
        <v>Southern Illinois 28 at Arkansas State 41</v>
      </c>
      <c r="H524" t="str">
        <f>IFERROR(__xludf.DUMMYFUNCTION("""COMPUTED_VALUE"""),"FINAL")</f>
        <v>FINAL</v>
      </c>
      <c r="I524" t="str">
        <f>IFERROR(__xludf.DUMMYFUNCTION("""COMPUTED_VALUE"""),"33½")</f>
        <v>33½</v>
      </c>
      <c r="J524">
        <f>IFERROR(__xludf.DUMMYFUNCTION("""COMPUTED_VALUE"""),58.0)</f>
        <v>58</v>
      </c>
      <c r="K524" t="str">
        <f>IFERROR(__xludf.DUMMYFUNCTION("""COMPUTED_VALUE"""),"Undrafted")</f>
        <v>Undrafted</v>
      </c>
      <c r="L524">
        <f>IFERROR(__xludf.DUMMYFUNCTION("""COMPUTED_VALUE"""),9999.0)</f>
        <v>9999</v>
      </c>
      <c r="M524" s="124">
        <v>4.0</v>
      </c>
    </row>
    <row r="525">
      <c r="A525" s="151">
        <f>IFERROR(__xludf.DUMMYFUNCTION("""COMPUTED_VALUE"""),43730.147751111115)</f>
        <v>43730.14775</v>
      </c>
      <c r="B525" t="str">
        <f>IFERROR(__xludf.DUMMYFUNCTION("""COMPUTED_VALUE"""),"Nico")</f>
        <v>Nico</v>
      </c>
      <c r="C525" t="str">
        <f>IFERROR(__xludf.DUMMYFUNCTION("""COMPUTED_VALUE"""),"New Mexico")</f>
        <v>New Mexico</v>
      </c>
      <c r="D525">
        <f>IFERROR(__xludf.DUMMYFUNCTION("""COMPUTED_VALUE"""),2.0)</f>
        <v>2</v>
      </c>
      <c r="E525">
        <f>IFERROR(__xludf.DUMMYFUNCTION("""COMPUTED_VALUE"""),1.0)</f>
        <v>1</v>
      </c>
      <c r="F525" t="str">
        <f>IFERROR(__xludf.DUMMYFUNCTION("""COMPUTED_VALUE"""),"NBC")</f>
        <v>NBC</v>
      </c>
      <c r="G525" t="str">
        <f>IFERROR(__xludf.DUMMYFUNCTION("""COMPUTED_VALUE"""),"New Mexico State 52 at New Mexico 55")</f>
        <v>New Mexico State 52 at New Mexico 55</v>
      </c>
      <c r="H525" t="str">
        <f>IFERROR(__xludf.DUMMYFUNCTION("""COMPUTED_VALUE"""),"FINAL")</f>
        <v>FINAL</v>
      </c>
      <c r="I525">
        <f>IFERROR(__xludf.DUMMYFUNCTION("""COMPUTED_VALUE"""),35.0)</f>
        <v>35</v>
      </c>
      <c r="J525" t="str">
        <f>IFERROR(__xludf.DUMMYFUNCTION("""COMPUTED_VALUE"""),"63½")</f>
        <v>63½</v>
      </c>
      <c r="K525" t="str">
        <f>IFERROR(__xludf.DUMMYFUNCTION("""COMPUTED_VALUE"""),"Nick A.")</f>
        <v>Nick A.</v>
      </c>
      <c r="L525">
        <f>IFERROR(__xludf.DUMMYFUNCTION("""COMPUTED_VALUE"""),9999.0)</f>
        <v>9999</v>
      </c>
      <c r="M525" s="124">
        <v>4.0</v>
      </c>
    </row>
    <row r="526">
      <c r="A526" s="151">
        <f>IFERROR(__xludf.DUMMYFUNCTION("""COMPUTED_VALUE"""),43730.147751111115)</f>
        <v>43730.14775</v>
      </c>
      <c r="B526" t="str">
        <f>IFERROR(__xludf.DUMMYFUNCTION("""COMPUTED_VALUE"""),"Nico")</f>
        <v>Nico</v>
      </c>
      <c r="C526" t="str">
        <f>IFERROR(__xludf.DUMMYFUNCTION("""COMPUTED_VALUE"""),"Arizona State")</f>
        <v>Arizona State</v>
      </c>
      <c r="D526">
        <f>IFERROR(__xludf.DUMMYFUNCTION("""COMPUTED_VALUE"""),3.0)</f>
        <v>3</v>
      </c>
      <c r="E526">
        <f>IFERROR(__xludf.DUMMYFUNCTION("""COMPUTED_VALUE"""),1.0)</f>
        <v>1</v>
      </c>
      <c r="F526" t="str">
        <f>IFERROR(__xludf.DUMMYFUNCTION("""COMPUTED_VALUE"""),"FOX")</f>
        <v>FOX</v>
      </c>
      <c r="G526" t="str">
        <f>IFERROR(__xludf.DUMMYFUNCTION("""COMPUTED_VALUE"""),"Colorado 34 at (24) Arizona State 31")</f>
        <v>Colorado 34 at (24) Arizona State 31</v>
      </c>
      <c r="H526" t="str">
        <f>IFERROR(__xludf.DUMMYFUNCTION("""COMPUTED_VALUE"""),"FINAL")</f>
        <v>FINAL</v>
      </c>
      <c r="I526">
        <f>IFERROR(__xludf.DUMMYFUNCTION("""COMPUTED_VALUE"""),14.0)</f>
        <v>14</v>
      </c>
      <c r="J526">
        <f>IFERROR(__xludf.DUMMYFUNCTION("""COMPUTED_VALUE"""),42.0)</f>
        <v>42</v>
      </c>
      <c r="K526" t="str">
        <f>IFERROR(__xludf.DUMMYFUNCTION("""COMPUTED_VALUE"""),"Jeannine")</f>
        <v>Jeannine</v>
      </c>
      <c r="L526">
        <f>IFERROR(__xludf.DUMMYFUNCTION("""COMPUTED_VALUE"""),9999.0)</f>
        <v>9999</v>
      </c>
      <c r="M526" s="124">
        <v>4.0</v>
      </c>
    </row>
    <row r="527">
      <c r="A527" s="151">
        <f>IFERROR(__xludf.DUMMYFUNCTION("""COMPUTED_VALUE"""),43730.147751111115)</f>
        <v>43730.14775</v>
      </c>
      <c r="B527" t="str">
        <f>IFERROR(__xludf.DUMMYFUNCTION("""COMPUTED_VALUE"""),"Nico")</f>
        <v>Nico</v>
      </c>
      <c r="C527" t="str">
        <f>IFERROR(__xludf.DUMMYFUNCTION("""COMPUTED_VALUE"""),"Purdue")</f>
        <v>Purdue</v>
      </c>
      <c r="D527">
        <f>IFERROR(__xludf.DUMMYFUNCTION("""COMPUTED_VALUE"""),1.0)</f>
        <v>1</v>
      </c>
      <c r="E527">
        <f>IFERROR(__xludf.DUMMYFUNCTION("""COMPUTED_VALUE"""),2.0)</f>
        <v>2</v>
      </c>
      <c r="F527" t="str">
        <f>IFERROR(__xludf.DUMMYFUNCTION("""COMPUTED_VALUE"""),"BTN")</f>
        <v>BTN</v>
      </c>
      <c r="G527" t="str">
        <f>IFERROR(__xludf.DUMMYFUNCTION("""COMPUTED_VALUE"""),"BYE")</f>
        <v>BYE</v>
      </c>
      <c r="I527" t="str">
        <f>IFERROR(__xludf.DUMMYFUNCTION("""COMPUTED_VALUE"""),"2½")</f>
        <v>2½</v>
      </c>
      <c r="J527">
        <f>IFERROR(__xludf.DUMMYFUNCTION("""COMPUTED_VALUE"""),51.0)</f>
        <v>51</v>
      </c>
      <c r="L527">
        <f>IFERROR(__xludf.DUMMYFUNCTION("""COMPUTED_VALUE"""),9999.0)</f>
        <v>9999</v>
      </c>
      <c r="M527" s="124">
        <v>4.0</v>
      </c>
    </row>
    <row r="528">
      <c r="A528" s="151">
        <f>IFERROR(__xludf.DUMMYFUNCTION("""COMPUTED_VALUE"""),43730.147751111115)</f>
        <v>43730.14775</v>
      </c>
      <c r="B528" t="str">
        <f>IFERROR(__xludf.DUMMYFUNCTION("""COMPUTED_VALUE"""),"Nico")</f>
        <v>Nico</v>
      </c>
      <c r="C528" t="str">
        <f>IFERROR(__xludf.DUMMYFUNCTION("""COMPUTED_VALUE"""),"Miami-OH")</f>
        <v>Miami-OH</v>
      </c>
      <c r="D528">
        <f>IFERROR(__xludf.DUMMYFUNCTION("""COMPUTED_VALUE"""),1.0)</f>
        <v>1</v>
      </c>
      <c r="E528">
        <f>IFERROR(__xludf.DUMMYFUNCTION("""COMPUTED_VALUE"""),3.0)</f>
        <v>3</v>
      </c>
      <c r="F528" t="str">
        <f>IFERROR(__xludf.DUMMYFUNCTION("""COMPUTED_VALUE"""),"NA")</f>
        <v>NA</v>
      </c>
      <c r="G528" t="str">
        <f>IFERROR(__xludf.DUMMYFUNCTION("""COMPUTED_VALUE"""),"Miami-OH 5 at (6) Ohio State 76")</f>
        <v>Miami-OH 5 at (6) Ohio State 76</v>
      </c>
      <c r="H528" t="str">
        <f>IFERROR(__xludf.DUMMYFUNCTION("""COMPUTED_VALUE"""),"FINAL")</f>
        <v>FINAL</v>
      </c>
      <c r="I528">
        <f>IFERROR(__xludf.DUMMYFUNCTION("""COMPUTED_VALUE"""),17.0)</f>
        <v>17</v>
      </c>
      <c r="J528">
        <f>IFERROR(__xludf.DUMMYFUNCTION("""COMPUTED_VALUE"""),49.0)</f>
        <v>49</v>
      </c>
      <c r="K528" t="str">
        <f>IFERROR(__xludf.DUMMYFUNCTION("""COMPUTED_VALUE"""),"Nick G.")</f>
        <v>Nick G.</v>
      </c>
      <c r="L528">
        <f>IFERROR(__xludf.DUMMYFUNCTION("""COMPUTED_VALUE"""),9999.0)</f>
        <v>9999</v>
      </c>
      <c r="M528" s="124">
        <v>4.0</v>
      </c>
    </row>
    <row r="529">
      <c r="A529" s="151">
        <f>IFERROR(__xludf.DUMMYFUNCTION("""COMPUTED_VALUE"""),43730.147751111115)</f>
        <v>43730.14775</v>
      </c>
      <c r="B529" t="str">
        <f>IFERROR(__xludf.DUMMYFUNCTION("""COMPUTED_VALUE"""),"Nico")</f>
        <v>Nico</v>
      </c>
      <c r="C529" t="str">
        <f>IFERROR(__xludf.DUMMYFUNCTION("""COMPUTED_VALUE"""),"Georgia")</f>
        <v>Georgia</v>
      </c>
      <c r="D529">
        <f>IFERROR(__xludf.DUMMYFUNCTION("""COMPUTED_VALUE"""),4.0)</f>
        <v>4</v>
      </c>
      <c r="E529">
        <f>IFERROR(__xludf.DUMMYFUNCTION("""COMPUTED_VALUE"""),0.0)</f>
        <v>0</v>
      </c>
      <c r="F529" t="str">
        <f>IFERROR(__xludf.DUMMYFUNCTION("""COMPUTED_VALUE"""),"ESPN2")</f>
        <v>ESPN2</v>
      </c>
      <c r="G529" t="str">
        <f>IFERROR(__xludf.DUMMYFUNCTION("""COMPUTED_VALUE"""),"(7) Notre Dame 17 at (3) Georgia 23")</f>
        <v>(7) Notre Dame 17 at (3) Georgia 23</v>
      </c>
      <c r="H529" t="str">
        <f>IFERROR(__xludf.DUMMYFUNCTION("""COMPUTED_VALUE"""),"FINAL")</f>
        <v>FINAL</v>
      </c>
      <c r="I529" t="str">
        <f>IFERROR(__xludf.DUMMYFUNCTION("""COMPUTED_VALUE"""),"-33½")</f>
        <v>-33½</v>
      </c>
      <c r="J529">
        <f>IFERROR(__xludf.DUMMYFUNCTION("""COMPUTED_VALUE"""),58.0)</f>
        <v>58</v>
      </c>
      <c r="K529" t="str">
        <f>IFERROR(__xludf.DUMMYFUNCTION("""COMPUTED_VALUE"""),"DavEmily")</f>
        <v>DavEmily</v>
      </c>
      <c r="L529">
        <f>IFERROR(__xludf.DUMMYFUNCTION("""COMPUTED_VALUE"""),9999.0)</f>
        <v>9999</v>
      </c>
      <c r="M529" s="124">
        <v>4.0</v>
      </c>
    </row>
    <row r="530">
      <c r="A530" s="151">
        <f>IFERROR(__xludf.DUMMYFUNCTION("""COMPUTED_VALUE"""),43730.147751111115)</f>
        <v>43730.14775</v>
      </c>
      <c r="B530" t="str">
        <f>IFERROR(__xludf.DUMMYFUNCTION("""COMPUTED_VALUE"""),"Nico")</f>
        <v>Nico</v>
      </c>
      <c r="C530" t="str">
        <f>IFERROR(__xludf.DUMMYFUNCTION("""COMPUTED_VALUE"""),"Middle Tennessee")</f>
        <v>Middle Tennessee</v>
      </c>
      <c r="D530">
        <f>IFERROR(__xludf.DUMMYFUNCTION("""COMPUTED_VALUE"""),1.0)</f>
        <v>1</v>
      </c>
      <c r="E530">
        <f>IFERROR(__xludf.DUMMYFUNCTION("""COMPUTED_VALUE"""),2.0)</f>
        <v>2</v>
      </c>
      <c r="F530" t="str">
        <f>IFERROR(__xludf.DUMMYFUNCTION("""COMPUTED_VALUE"""),"Facebook Video")</f>
        <v>Facebook Video</v>
      </c>
      <c r="G530" t="str">
        <f>IFERROR(__xludf.DUMMYFUNCTION("""COMPUTED_VALUE"""),"BYE")</f>
        <v>BYE</v>
      </c>
      <c r="I530" t="str">
        <f>IFERROR(__xludf.DUMMYFUNCTION("""COMPUTED_VALUE"""),"6½")</f>
        <v>6½</v>
      </c>
      <c r="J530" t="str">
        <f>IFERROR(__xludf.DUMMYFUNCTION("""COMPUTED_VALUE"""),"50½")</f>
        <v>50½</v>
      </c>
      <c r="L530">
        <f>IFERROR(__xludf.DUMMYFUNCTION("""COMPUTED_VALUE"""),9999.0)</f>
        <v>9999</v>
      </c>
      <c r="M530" s="124">
        <v>4.0</v>
      </c>
    </row>
    <row r="531">
      <c r="A531" s="151">
        <f>IFERROR(__xludf.DUMMYFUNCTION("""COMPUTED_VALUE"""),43730.147751111115)</f>
        <v>43730.14775</v>
      </c>
      <c r="B531" t="str">
        <f>IFERROR(__xludf.DUMMYFUNCTION("""COMPUTED_VALUE"""),"Nico")</f>
        <v>Nico</v>
      </c>
      <c r="C531" t="str">
        <f>IFERROR(__xludf.DUMMYFUNCTION("""COMPUTED_VALUE"""),"Houston")</f>
        <v>Houston</v>
      </c>
      <c r="D531">
        <f>IFERROR(__xludf.DUMMYFUNCTION("""COMPUTED_VALUE"""),1.0)</f>
        <v>1</v>
      </c>
      <c r="E531">
        <f>IFERROR(__xludf.DUMMYFUNCTION("""COMPUTED_VALUE"""),3.0)</f>
        <v>3</v>
      </c>
      <c r="F531" t="str">
        <f>IFERROR(__xludf.DUMMYFUNCTION("""COMPUTED_VALUE"""),"ESPN")</f>
        <v>ESPN</v>
      </c>
      <c r="G531" t="str">
        <f>IFERROR(__xludf.DUMMYFUNCTION("""COMPUTED_VALUE"""),"Houston 31 at Tulane 38")</f>
        <v>Houston 31 at Tulane 38</v>
      </c>
      <c r="H531" t="str">
        <f>IFERROR(__xludf.DUMMYFUNCTION("""COMPUTED_VALUE"""),"FINAL")</f>
        <v>FINAL</v>
      </c>
      <c r="I531">
        <f>IFERROR(__xludf.DUMMYFUNCTION("""COMPUTED_VALUE"""),9.0)</f>
        <v>9</v>
      </c>
      <c r="J531" t="str">
        <f>IFERROR(__xludf.DUMMYFUNCTION("""COMPUTED_VALUE"""),"75½")</f>
        <v>75½</v>
      </c>
      <c r="K531" t="str">
        <f>IFERROR(__xludf.DUMMYFUNCTION("""COMPUTED_VALUE"""),"Gary")</f>
        <v>Gary</v>
      </c>
      <c r="L531">
        <f>IFERROR(__xludf.DUMMYFUNCTION("""COMPUTED_VALUE"""),9999.0)</f>
        <v>9999</v>
      </c>
      <c r="M531" s="124">
        <v>4.0</v>
      </c>
    </row>
    <row r="532">
      <c r="A532" s="151">
        <f>IFERROR(__xludf.DUMMYFUNCTION("""COMPUTED_VALUE"""),43730.147751111115)</f>
        <v>43730.14775</v>
      </c>
      <c r="B532" t="str">
        <f>IFERROR(__xludf.DUMMYFUNCTION("""COMPUTED_VALUE"""),"Jeannine")</f>
        <v>Jeannine</v>
      </c>
      <c r="C532" t="str">
        <f>IFERROR(__xludf.DUMMYFUNCTION("""COMPUTED_VALUE"""),"Colorado")</f>
        <v>Colorado</v>
      </c>
      <c r="D532">
        <f>IFERROR(__xludf.DUMMYFUNCTION("""COMPUTED_VALUE"""),3.0)</f>
        <v>3</v>
      </c>
      <c r="E532">
        <f>IFERROR(__xludf.DUMMYFUNCTION("""COMPUTED_VALUE"""),1.0)</f>
        <v>1</v>
      </c>
      <c r="F532" t="str">
        <f>IFERROR(__xludf.DUMMYFUNCTION("""COMPUTED_VALUE"""),"Pac-12")</f>
        <v>Pac-12</v>
      </c>
      <c r="G532" t="str">
        <f>IFERROR(__xludf.DUMMYFUNCTION("""COMPUTED_VALUE"""),"Colorado 34 at (24) Arizona State 31")</f>
        <v>Colorado 34 at (24) Arizona State 31</v>
      </c>
      <c r="H532" t="str">
        <f>IFERROR(__xludf.DUMMYFUNCTION("""COMPUTED_VALUE"""),"FINAL")</f>
        <v>FINAL</v>
      </c>
      <c r="I532">
        <f>IFERROR(__xludf.DUMMYFUNCTION("""COMPUTED_VALUE"""),-4.0)</f>
        <v>-4</v>
      </c>
      <c r="J532" t="str">
        <f>IFERROR(__xludf.DUMMYFUNCTION("""COMPUTED_VALUE"""),"58½")</f>
        <v>58½</v>
      </c>
      <c r="K532" t="str">
        <f>IFERROR(__xludf.DUMMYFUNCTION("""COMPUTED_VALUE"""),"Nico")</f>
        <v>Nico</v>
      </c>
      <c r="L532">
        <f>IFERROR(__xludf.DUMMYFUNCTION("""COMPUTED_VALUE"""),9999.0)</f>
        <v>9999</v>
      </c>
      <c r="M532" s="124">
        <v>4.0</v>
      </c>
    </row>
    <row r="533">
      <c r="A533" s="151">
        <f>IFERROR(__xludf.DUMMYFUNCTION("""COMPUTED_VALUE"""),43730.147751111115)</f>
        <v>43730.14775</v>
      </c>
      <c r="B533" t="str">
        <f>IFERROR(__xludf.DUMMYFUNCTION("""COMPUTED_VALUE"""),"Jeannine")</f>
        <v>Jeannine</v>
      </c>
      <c r="C533" t="str">
        <f>IFERROR(__xludf.DUMMYFUNCTION("""COMPUTED_VALUE"""),"UL Monroe")</f>
        <v>UL Monroe</v>
      </c>
      <c r="D533">
        <f>IFERROR(__xludf.DUMMYFUNCTION("""COMPUTED_VALUE"""),1.0)</f>
        <v>1</v>
      </c>
      <c r="E533">
        <f>IFERROR(__xludf.DUMMYFUNCTION("""COMPUTED_VALUE"""),2.0)</f>
        <v>2</v>
      </c>
      <c r="F533" t="str">
        <f>IFERROR(__xludf.DUMMYFUNCTION("""COMPUTED_VALUE"""),"NA")</f>
        <v>NA</v>
      </c>
      <c r="G533" t="str">
        <f>IFERROR(__xludf.DUMMYFUNCTION("""COMPUTED_VALUE"""),"UL Monroe 20 at Iowa State 72")</f>
        <v>UL Monroe 20 at Iowa State 72</v>
      </c>
      <c r="H533" t="str">
        <f>IFERROR(__xludf.DUMMYFUNCTION("""COMPUTED_VALUE"""),"FINAL")</f>
        <v>FINAL</v>
      </c>
      <c r="I533" t="str">
        <f>IFERROR(__xludf.DUMMYFUNCTION("""COMPUTED_VALUE"""),"bye")</f>
        <v>bye</v>
      </c>
      <c r="J533" t="str">
        <f>IFERROR(__xludf.DUMMYFUNCTION("""COMPUTED_VALUE"""),"bye")</f>
        <v>bye</v>
      </c>
      <c r="K533" t="str">
        <f>IFERROR(__xludf.DUMMYFUNCTION("""COMPUTED_VALUE"""),"Nick A.")</f>
        <v>Nick A.</v>
      </c>
      <c r="L533">
        <f>IFERROR(__xludf.DUMMYFUNCTION("""COMPUTED_VALUE"""),9999.0)</f>
        <v>9999</v>
      </c>
      <c r="M533" s="124">
        <v>4.0</v>
      </c>
    </row>
    <row r="534">
      <c r="A534" s="151">
        <f>IFERROR(__xludf.DUMMYFUNCTION("""COMPUTED_VALUE"""),43730.147751111115)</f>
        <v>43730.14775</v>
      </c>
      <c r="B534" t="str">
        <f>IFERROR(__xludf.DUMMYFUNCTION("""COMPUTED_VALUE"""),"Jeannine")</f>
        <v>Jeannine</v>
      </c>
      <c r="C534" t="str">
        <f>IFERROR(__xludf.DUMMYFUNCTION("""COMPUTED_VALUE"""),"Western Michigan")</f>
        <v>Western Michigan</v>
      </c>
      <c r="D534">
        <f>IFERROR(__xludf.DUMMYFUNCTION("""COMPUTED_VALUE"""),2.0)</f>
        <v>2</v>
      </c>
      <c r="E534">
        <f>IFERROR(__xludf.DUMMYFUNCTION("""COMPUTED_VALUE"""),2.0)</f>
        <v>2</v>
      </c>
      <c r="F534" t="str">
        <f>IFERROR(__xludf.DUMMYFUNCTION("""COMPUTED_VALUE"""),"espn+ Video")</f>
        <v>espn+ Video</v>
      </c>
      <c r="G534" t="str">
        <f>IFERROR(__xludf.DUMMYFUNCTION("""COMPUTED_VALUE"""),"Western Michigan 33 at Syracuse 52")</f>
        <v>Western Michigan 33 at Syracuse 52</v>
      </c>
      <c r="H534" t="str">
        <f>IFERROR(__xludf.DUMMYFUNCTION("""COMPUTED_VALUE"""),"FINAL")</f>
        <v>FINAL</v>
      </c>
      <c r="I534" t="str">
        <f>IFERROR(__xludf.DUMMYFUNCTION("""COMPUTED_VALUE"""),"-9½")</f>
        <v>-9½</v>
      </c>
      <c r="J534" t="str">
        <f>IFERROR(__xludf.DUMMYFUNCTION("""COMPUTED_VALUE"""),"69½")</f>
        <v>69½</v>
      </c>
      <c r="K534" t="str">
        <f>IFERROR(__xludf.DUMMYFUNCTION("""COMPUTED_VALUE"""),"Vu")</f>
        <v>Vu</v>
      </c>
      <c r="L534">
        <f>IFERROR(__xludf.DUMMYFUNCTION("""COMPUTED_VALUE"""),9999.0)</f>
        <v>9999</v>
      </c>
      <c r="M534" s="124">
        <v>4.0</v>
      </c>
    </row>
    <row r="535">
      <c r="A535" s="151">
        <f>IFERROR(__xludf.DUMMYFUNCTION("""COMPUTED_VALUE"""),43730.147751111115)</f>
        <v>43730.14775</v>
      </c>
      <c r="B535" t="str">
        <f>IFERROR(__xludf.DUMMYFUNCTION("""COMPUTED_VALUE"""),"Jeannine")</f>
        <v>Jeannine</v>
      </c>
      <c r="C535" t="str">
        <f>IFERROR(__xludf.DUMMYFUNCTION("""COMPUTED_VALUE"""),"San José State")</f>
        <v>San José State</v>
      </c>
      <c r="D535">
        <f>IFERROR(__xludf.DUMMYFUNCTION("""COMPUTED_VALUE"""),2.0)</f>
        <v>2</v>
      </c>
      <c r="E535">
        <f>IFERROR(__xludf.DUMMYFUNCTION("""COMPUTED_VALUE"""),1.0)</f>
        <v>1</v>
      </c>
      <c r="F535" t="str">
        <f>IFERROR(__xludf.DUMMYFUNCTION("""COMPUTED_VALUE"""),"NA")</f>
        <v>NA</v>
      </c>
      <c r="G535" t="str">
        <f>IFERROR(__xludf.DUMMYFUNCTION("""COMPUTED_VALUE"""),"San José State 31 at Arkansas 24")</f>
        <v>San José State 31 at Arkansas 24</v>
      </c>
      <c r="H535" t="str">
        <f>IFERROR(__xludf.DUMMYFUNCTION("""COMPUTED_VALUE"""),"FINAL")</f>
        <v>FINAL</v>
      </c>
      <c r="I535" t="str">
        <f>IFERROR(__xludf.DUMMYFUNCTION("""COMPUTED_VALUE"""),"bye")</f>
        <v>bye</v>
      </c>
      <c r="J535" t="str">
        <f>IFERROR(__xludf.DUMMYFUNCTION("""COMPUTED_VALUE"""),"bye")</f>
        <v>bye</v>
      </c>
      <c r="K535" t="str">
        <f>IFERROR(__xludf.DUMMYFUNCTION("""COMPUTED_VALUE"""),"Janice/Mike")</f>
        <v>Janice/Mike</v>
      </c>
      <c r="L535">
        <f>IFERROR(__xludf.DUMMYFUNCTION("""COMPUTED_VALUE"""),9999.0)</f>
        <v>9999</v>
      </c>
      <c r="M535" s="124">
        <v>4.0</v>
      </c>
    </row>
    <row r="536">
      <c r="A536" s="151">
        <f>IFERROR(__xludf.DUMMYFUNCTION("""COMPUTED_VALUE"""),43730.147751111115)</f>
        <v>43730.14775</v>
      </c>
      <c r="B536" t="str">
        <f>IFERROR(__xludf.DUMMYFUNCTION("""COMPUTED_VALUE"""),"Jeannine")</f>
        <v>Jeannine</v>
      </c>
      <c r="C536" t="str">
        <f>IFERROR(__xludf.DUMMYFUNCTION("""COMPUTED_VALUE"""),"Virginia")</f>
        <v>Virginia</v>
      </c>
      <c r="D536">
        <f>IFERROR(__xludf.DUMMYFUNCTION("""COMPUTED_VALUE"""),4.0)</f>
        <v>4</v>
      </c>
      <c r="E536">
        <f>IFERROR(__xludf.DUMMYFUNCTION("""COMPUTED_VALUE"""),0.0)</f>
        <v>0</v>
      </c>
      <c r="F536" t="str">
        <f>IFERROR(__xludf.DUMMYFUNCTION("""COMPUTED_VALUE"""),"ACC Network")</f>
        <v>ACC Network</v>
      </c>
      <c r="G536" t="str">
        <f>IFERROR(__xludf.DUMMYFUNCTION("""COMPUTED_VALUE"""),"Old Dominion 17 at (22) Virginia 28")</f>
        <v>Old Dominion 17 at (22) Virginia 28</v>
      </c>
      <c r="H536" t="str">
        <f>IFERROR(__xludf.DUMMYFUNCTION("""COMPUTED_VALUE"""),"FINAL")</f>
        <v>FINAL</v>
      </c>
      <c r="I536">
        <f>IFERROR(__xludf.DUMMYFUNCTION("""COMPUTED_VALUE"""),-7.0)</f>
        <v>-7</v>
      </c>
      <c r="J536">
        <f>IFERROR(__xludf.DUMMYFUNCTION("""COMPUTED_VALUE"""),57.0)</f>
        <v>57</v>
      </c>
      <c r="K536" t="str">
        <f>IFERROR(__xludf.DUMMYFUNCTION("""COMPUTED_VALUE"""),"Nick A.")</f>
        <v>Nick A.</v>
      </c>
      <c r="L536">
        <f>IFERROR(__xludf.DUMMYFUNCTION("""COMPUTED_VALUE"""),9999.0)</f>
        <v>9999</v>
      </c>
      <c r="M536" s="124">
        <v>4.0</v>
      </c>
    </row>
    <row r="537">
      <c r="A537" s="151">
        <f>IFERROR(__xludf.DUMMYFUNCTION("""COMPUTED_VALUE"""),43730.147751111115)</f>
        <v>43730.14775</v>
      </c>
      <c r="B537" t="str">
        <f>IFERROR(__xludf.DUMMYFUNCTION("""COMPUTED_VALUE"""),"Jeannine")</f>
        <v>Jeannine</v>
      </c>
      <c r="C537" t="str">
        <f>IFERROR(__xludf.DUMMYFUNCTION("""COMPUTED_VALUE"""),"UAB")</f>
        <v>UAB</v>
      </c>
      <c r="D537">
        <f>IFERROR(__xludf.DUMMYFUNCTION("""COMPUTED_VALUE"""),3.0)</f>
        <v>3</v>
      </c>
      <c r="E537">
        <f>IFERROR(__xludf.DUMMYFUNCTION("""COMPUTED_VALUE"""),0.0)</f>
        <v>0</v>
      </c>
      <c r="F537" t="str">
        <f>IFERROR(__xludf.DUMMYFUNCTION("""COMPUTED_VALUE"""),"NA")</f>
        <v>NA</v>
      </c>
      <c r="G537" t="str">
        <f>IFERROR(__xludf.DUMMYFUNCTION("""COMPUTED_VALUE"""),"South Alabama 3 at UAB 35")</f>
        <v>South Alabama 3 at UAB 35</v>
      </c>
      <c r="H537" t="str">
        <f>IFERROR(__xludf.DUMMYFUNCTION("""COMPUTED_VALUE"""),"FINAL")</f>
        <v>FINAL</v>
      </c>
      <c r="I537" t="str">
        <f>IFERROR(__xludf.DUMMYFUNCTION("""COMPUTED_VALUE"""),"bye")</f>
        <v>bye</v>
      </c>
      <c r="J537" t="str">
        <f>IFERROR(__xludf.DUMMYFUNCTION("""COMPUTED_VALUE"""),"bye")</f>
        <v>bye</v>
      </c>
      <c r="K537" t="str">
        <f>IFERROR(__xludf.DUMMYFUNCTION("""COMPUTED_VALUE"""),"Vu")</f>
        <v>Vu</v>
      </c>
      <c r="L537">
        <f>IFERROR(__xludf.DUMMYFUNCTION("""COMPUTED_VALUE"""),9999.0)</f>
        <v>9999</v>
      </c>
      <c r="M537" s="124">
        <v>4.0</v>
      </c>
    </row>
    <row r="538">
      <c r="A538" s="151">
        <f>IFERROR(__xludf.DUMMYFUNCTION("""COMPUTED_VALUE"""),43730.147751111115)</f>
        <v>43730.14775</v>
      </c>
      <c r="B538" t="str">
        <f>IFERROR(__xludf.DUMMYFUNCTION("""COMPUTED_VALUE"""),"Jeannine")</f>
        <v>Jeannine</v>
      </c>
      <c r="C538" t="str">
        <f>IFERROR(__xludf.DUMMYFUNCTION("""COMPUTED_VALUE"""),"Mississippi State")</f>
        <v>Mississippi State</v>
      </c>
      <c r="D538">
        <f>IFERROR(__xludf.DUMMYFUNCTION("""COMPUTED_VALUE"""),3.0)</f>
        <v>3</v>
      </c>
      <c r="E538">
        <f>IFERROR(__xludf.DUMMYFUNCTION("""COMPUTED_VALUE"""),1.0)</f>
        <v>1</v>
      </c>
      <c r="F538" t="str">
        <f>IFERROR(__xludf.DUMMYFUNCTION("""COMPUTED_VALUE"""),"ESPN")</f>
        <v>ESPN</v>
      </c>
      <c r="G538" t="str">
        <f>IFERROR(__xludf.DUMMYFUNCTION("""COMPUTED_VALUE"""),"Kentucky 13 at Mississippi State 28")</f>
        <v>Kentucky 13 at Mississippi State 28</v>
      </c>
      <c r="H538" t="str">
        <f>IFERROR(__xludf.DUMMYFUNCTION("""COMPUTED_VALUE"""),"FINAL")</f>
        <v>FINAL</v>
      </c>
      <c r="I538" t="str">
        <f>IFERROR(__xludf.DUMMYFUNCTION("""COMPUTED_VALUE"""),"-7½")</f>
        <v>-7½</v>
      </c>
      <c r="J538" t="str">
        <f>IFERROR(__xludf.DUMMYFUNCTION("""COMPUTED_VALUE"""),"52½")</f>
        <v>52½</v>
      </c>
      <c r="K538" t="str">
        <f>IFERROR(__xludf.DUMMYFUNCTION("""COMPUTED_VALUE"""),"Josh R.")</f>
        <v>Josh R.</v>
      </c>
      <c r="L538">
        <f>IFERROR(__xludf.DUMMYFUNCTION("""COMPUTED_VALUE"""),9999.0)</f>
        <v>9999</v>
      </c>
      <c r="M538" s="124">
        <v>4.0</v>
      </c>
    </row>
    <row r="539">
      <c r="A539" s="151">
        <f>IFERROR(__xludf.DUMMYFUNCTION("""COMPUTED_VALUE"""),43730.147751111115)</f>
        <v>43730.14775</v>
      </c>
      <c r="B539" t="str">
        <f>IFERROR(__xludf.DUMMYFUNCTION("""COMPUTED_VALUE"""),"Jeannine")</f>
        <v>Jeannine</v>
      </c>
      <c r="C539" t="str">
        <f>IFERROR(__xludf.DUMMYFUNCTION("""COMPUTED_VALUE"""),"Oklahoma")</f>
        <v>Oklahoma</v>
      </c>
      <c r="D539">
        <f>IFERROR(__xludf.DUMMYFUNCTION("""COMPUTED_VALUE"""),3.0)</f>
        <v>3</v>
      </c>
      <c r="E539">
        <f>IFERROR(__xludf.DUMMYFUNCTION("""COMPUTED_VALUE"""),0.0)</f>
        <v>0</v>
      </c>
      <c r="F539" t="str">
        <f>IFERROR(__xludf.DUMMYFUNCTION("""COMPUTED_VALUE"""),"FOX")</f>
        <v>FOX</v>
      </c>
      <c r="G539" t="str">
        <f>IFERROR(__xludf.DUMMYFUNCTION("""COMPUTED_VALUE"""),"BYE")</f>
        <v>BYE</v>
      </c>
      <c r="I539">
        <f>IFERROR(__xludf.DUMMYFUNCTION("""COMPUTED_VALUE"""),-23.0)</f>
        <v>-23</v>
      </c>
      <c r="J539" t="str">
        <f>IFERROR(__xludf.DUMMYFUNCTION("""COMPUTED_VALUE"""),"73½")</f>
        <v>73½</v>
      </c>
      <c r="L539">
        <f>IFERROR(__xludf.DUMMYFUNCTION("""COMPUTED_VALUE"""),9999.0)</f>
        <v>9999</v>
      </c>
      <c r="M539" s="124">
        <v>4.0</v>
      </c>
    </row>
    <row r="540">
      <c r="A540" s="151">
        <f>IFERROR(__xludf.DUMMYFUNCTION("""COMPUTED_VALUE"""),43730.147751111115)</f>
        <v>43730.14775</v>
      </c>
      <c r="B540" t="str">
        <f>IFERROR(__xludf.DUMMYFUNCTION("""COMPUTED_VALUE"""),"Jeannine")</f>
        <v>Jeannine</v>
      </c>
      <c r="C540" t="str">
        <f>IFERROR(__xludf.DUMMYFUNCTION("""COMPUTED_VALUE"""),"SMU")</f>
        <v>SMU</v>
      </c>
      <c r="D540">
        <f>IFERROR(__xludf.DUMMYFUNCTION("""COMPUTED_VALUE"""),4.0)</f>
        <v>4</v>
      </c>
      <c r="E540">
        <f>IFERROR(__xludf.DUMMYFUNCTION("""COMPUTED_VALUE"""),0.0)</f>
        <v>0</v>
      </c>
      <c r="F540" t="str">
        <f>IFERROR(__xludf.DUMMYFUNCTION("""COMPUTED_VALUE"""),"espn3 Video")</f>
        <v>espn3 Video</v>
      </c>
      <c r="G540" t="str">
        <f>IFERROR(__xludf.DUMMYFUNCTION("""COMPUTED_VALUE"""),"SMU 41 at TCU 38")</f>
        <v>SMU 41 at TCU 38</v>
      </c>
      <c r="H540" t="str">
        <f>IFERROR(__xludf.DUMMYFUNCTION("""COMPUTED_VALUE"""),"FINAL")</f>
        <v>FINAL</v>
      </c>
      <c r="I540" t="str">
        <f>IFERROR(__xludf.DUMMYFUNCTION("""COMPUTED_VALUE"""),"-17½")</f>
        <v>-17½</v>
      </c>
      <c r="J540" t="str">
        <f>IFERROR(__xludf.DUMMYFUNCTION("""COMPUTED_VALUE"""),"59½")</f>
        <v>59½</v>
      </c>
      <c r="K540" t="str">
        <f>IFERROR(__xludf.DUMMYFUNCTION("""COMPUTED_VALUE"""),"Vu")</f>
        <v>Vu</v>
      </c>
      <c r="L540">
        <f>IFERROR(__xludf.DUMMYFUNCTION("""COMPUTED_VALUE"""),9999.0)</f>
        <v>9999</v>
      </c>
      <c r="M540" s="124">
        <v>4.0</v>
      </c>
    </row>
    <row r="541">
      <c r="A541" s="151">
        <f>IFERROR(__xludf.DUMMYFUNCTION("""COMPUTED_VALUE"""),43730.147751111115)</f>
        <v>43730.14775</v>
      </c>
      <c r="B541" t="str">
        <f>IFERROR(__xludf.DUMMYFUNCTION("""COMPUTED_VALUE"""),"Jeannine")</f>
        <v>Jeannine</v>
      </c>
      <c r="C541" t="str">
        <f>IFERROR(__xludf.DUMMYFUNCTION("""COMPUTED_VALUE"""),"Penn State")</f>
        <v>Penn State</v>
      </c>
      <c r="D541">
        <f>IFERROR(__xludf.DUMMYFUNCTION("""COMPUTED_VALUE"""),3.0)</f>
        <v>3</v>
      </c>
      <c r="E541">
        <f>IFERROR(__xludf.DUMMYFUNCTION("""COMPUTED_VALUE"""),0.0)</f>
        <v>0</v>
      </c>
      <c r="F541" t="str">
        <f>IFERROR(__xludf.DUMMYFUNCTION("""COMPUTED_VALUE"""),"ABC")</f>
        <v>ABC</v>
      </c>
      <c r="G541" t="str">
        <f>IFERROR(__xludf.DUMMYFUNCTION("""COMPUTED_VALUE"""),"BYE")</f>
        <v>BYE</v>
      </c>
      <c r="I541">
        <f>IFERROR(__xludf.DUMMYFUNCTION("""COMPUTED_VALUE"""),-17.0)</f>
        <v>-17</v>
      </c>
      <c r="J541">
        <f>IFERROR(__xludf.DUMMYFUNCTION("""COMPUTED_VALUE"""),52.0)</f>
        <v>52</v>
      </c>
      <c r="L541">
        <f>IFERROR(__xludf.DUMMYFUNCTION("""COMPUTED_VALUE"""),9999.0)</f>
        <v>9999</v>
      </c>
      <c r="M541" s="124">
        <v>4.0</v>
      </c>
    </row>
    <row r="542">
      <c r="A542" s="151">
        <f>IFERROR(__xludf.DUMMYFUNCTION("""COMPUTED_VALUE"""),43730.147751111115)</f>
        <v>43730.14775</v>
      </c>
      <c r="B542" t="str">
        <f>IFERROR(__xludf.DUMMYFUNCTION("""COMPUTED_VALUE"""),"Justin")</f>
        <v>Justin</v>
      </c>
      <c r="C542" t="str">
        <f>IFERROR(__xludf.DUMMYFUNCTION("""COMPUTED_VALUE"""),"South Florida")</f>
        <v>South Florida</v>
      </c>
      <c r="D542">
        <f>IFERROR(__xludf.DUMMYFUNCTION("""COMPUTED_VALUE"""),1.0)</f>
        <v>1</v>
      </c>
      <c r="E542">
        <f>IFERROR(__xludf.DUMMYFUNCTION("""COMPUTED_VALUE"""),2.0)</f>
        <v>2</v>
      </c>
      <c r="F542" t="str">
        <f>IFERROR(__xludf.DUMMYFUNCTION("""COMPUTED_VALUE"""),"espn3 Video")</f>
        <v>espn3 Video</v>
      </c>
      <c r="G542" t="str">
        <f>IFERROR(__xludf.DUMMYFUNCTION("""COMPUTED_VALUE"""),"BYE")</f>
        <v>BYE</v>
      </c>
      <c r="I542" t="str">
        <f>IFERROR(__xludf.DUMMYFUNCTION("""COMPUTED_VALUE"""),"-24½")</f>
        <v>-24½</v>
      </c>
      <c r="J542" t="str">
        <f>IFERROR(__xludf.DUMMYFUNCTION("""COMPUTED_VALUE"""),"49½")</f>
        <v>49½</v>
      </c>
      <c r="L542">
        <f>IFERROR(__xludf.DUMMYFUNCTION("""COMPUTED_VALUE"""),9999.0)</f>
        <v>9999</v>
      </c>
      <c r="M542" s="124">
        <v>4.0</v>
      </c>
    </row>
    <row r="543">
      <c r="A543" s="151">
        <f>IFERROR(__xludf.DUMMYFUNCTION("""COMPUTED_VALUE"""),43730.147751111115)</f>
        <v>43730.14775</v>
      </c>
      <c r="B543" t="str">
        <f>IFERROR(__xludf.DUMMYFUNCTION("""COMPUTED_VALUE"""),"Justin")</f>
        <v>Justin</v>
      </c>
      <c r="C543" t="str">
        <f>IFERROR(__xludf.DUMMYFUNCTION("""COMPUTED_VALUE"""),"Western Kentucky")</f>
        <v>Western Kentucky</v>
      </c>
      <c r="D543">
        <f>IFERROR(__xludf.DUMMYFUNCTION("""COMPUTED_VALUE"""),1.0)</f>
        <v>1</v>
      </c>
      <c r="E543">
        <f>IFERROR(__xludf.DUMMYFUNCTION("""COMPUTED_VALUE"""),2.0)</f>
        <v>2</v>
      </c>
      <c r="F543" t="str">
        <f>IFERROR(__xludf.DUMMYFUNCTION("""COMPUTED_VALUE"""),"NA")</f>
        <v>NA</v>
      </c>
      <c r="G543" t="str">
        <f>IFERROR(__xludf.DUMMYFUNCTION("""COMPUTED_VALUE"""),"BYE")</f>
        <v>BYE</v>
      </c>
      <c r="I543">
        <f>IFERROR(__xludf.DUMMYFUNCTION("""COMPUTED_VALUE"""),10.0)</f>
        <v>10</v>
      </c>
      <c r="J543" t="str">
        <f>IFERROR(__xludf.DUMMYFUNCTION("""COMPUTED_VALUE"""),"51½")</f>
        <v>51½</v>
      </c>
      <c r="L543">
        <f>IFERROR(__xludf.DUMMYFUNCTION("""COMPUTED_VALUE"""),9999.0)</f>
        <v>9999</v>
      </c>
      <c r="M543" s="124">
        <v>4.0</v>
      </c>
    </row>
    <row r="544">
      <c r="A544" s="151">
        <f>IFERROR(__xludf.DUMMYFUNCTION("""COMPUTED_VALUE"""),43730.147751111115)</f>
        <v>43730.14775</v>
      </c>
      <c r="B544" t="str">
        <f>IFERROR(__xludf.DUMMYFUNCTION("""COMPUTED_VALUE"""),"Justin")</f>
        <v>Justin</v>
      </c>
      <c r="C544" t="str">
        <f>IFERROR(__xludf.DUMMYFUNCTION("""COMPUTED_VALUE"""),"Buffalo")</f>
        <v>Buffalo</v>
      </c>
      <c r="D544">
        <f>IFERROR(__xludf.DUMMYFUNCTION("""COMPUTED_VALUE"""),2.0)</f>
        <v>2</v>
      </c>
      <c r="E544">
        <f>IFERROR(__xludf.DUMMYFUNCTION("""COMPUTED_VALUE"""),2.0)</f>
        <v>2</v>
      </c>
      <c r="F544" t="str">
        <f>IFERROR(__xludf.DUMMYFUNCTION("""COMPUTED_VALUE"""),"espn+ Video")</f>
        <v>espn+ Video</v>
      </c>
      <c r="G544" t="str">
        <f>IFERROR(__xludf.DUMMYFUNCTION("""COMPUTED_VALUE"""),"Temple 22 at Buffalo 38")</f>
        <v>Temple 22 at Buffalo 38</v>
      </c>
      <c r="H544" t="str">
        <f>IFERROR(__xludf.DUMMYFUNCTION("""COMPUTED_VALUE"""),"FINAL")</f>
        <v>FINAL</v>
      </c>
      <c r="I544" t="str">
        <f>IFERROR(__xludf.DUMMYFUNCTION("""COMPUTED_VALUE"""),"-4½")</f>
        <v>-4½</v>
      </c>
      <c r="J544" t="str">
        <f>IFERROR(__xludf.DUMMYFUNCTION("""COMPUTED_VALUE"""),"57½")</f>
        <v>57½</v>
      </c>
      <c r="K544" t="str">
        <f>IFERROR(__xludf.DUMMYFUNCTION("""COMPUTED_VALUE"""),"Josh R.")</f>
        <v>Josh R.</v>
      </c>
      <c r="L544">
        <f>IFERROR(__xludf.DUMMYFUNCTION("""COMPUTED_VALUE"""),9999.0)</f>
        <v>9999</v>
      </c>
      <c r="M544" s="124">
        <v>4.0</v>
      </c>
    </row>
    <row r="545">
      <c r="A545" s="151">
        <f>IFERROR(__xludf.DUMMYFUNCTION("""COMPUTED_VALUE"""),43730.147751111115)</f>
        <v>43730.14775</v>
      </c>
      <c r="B545" t="str">
        <f>IFERROR(__xludf.DUMMYFUNCTION("""COMPUTED_VALUE"""),"Justin")</f>
        <v>Justin</v>
      </c>
      <c r="C545" t="str">
        <f>IFERROR(__xludf.DUMMYFUNCTION("""COMPUTED_VALUE"""),"Iowa")</f>
        <v>Iowa</v>
      </c>
      <c r="D545">
        <f>IFERROR(__xludf.DUMMYFUNCTION("""COMPUTED_VALUE"""),3.0)</f>
        <v>3</v>
      </c>
      <c r="E545">
        <f>IFERROR(__xludf.DUMMYFUNCTION("""COMPUTED_VALUE"""),0.0)</f>
        <v>0</v>
      </c>
      <c r="F545" t="str">
        <f>IFERROR(__xludf.DUMMYFUNCTION("""COMPUTED_VALUE"""),"FS1")</f>
        <v>FS1</v>
      </c>
      <c r="G545" t="str">
        <f>IFERROR(__xludf.DUMMYFUNCTION("""COMPUTED_VALUE"""),"BYE")</f>
        <v>BYE</v>
      </c>
      <c r="I545" t="str">
        <f>IFERROR(__xludf.DUMMYFUNCTION("""COMPUTED_VALUE"""),"-2½")</f>
        <v>-2½</v>
      </c>
      <c r="J545" t="str">
        <f>IFERROR(__xludf.DUMMYFUNCTION("""COMPUTED_VALUE"""),"44½")</f>
        <v>44½</v>
      </c>
      <c r="L545">
        <f>IFERROR(__xludf.DUMMYFUNCTION("""COMPUTED_VALUE"""),9999.0)</f>
        <v>9999</v>
      </c>
      <c r="M545" s="124">
        <v>4.0</v>
      </c>
    </row>
    <row r="546">
      <c r="A546" s="151">
        <f>IFERROR(__xludf.DUMMYFUNCTION("""COMPUTED_VALUE"""),43730.147751111115)</f>
        <v>43730.14775</v>
      </c>
      <c r="B546" t="str">
        <f>IFERROR(__xludf.DUMMYFUNCTION("""COMPUTED_VALUE"""),"Justin")</f>
        <v>Justin</v>
      </c>
      <c r="C546" t="str">
        <f>IFERROR(__xludf.DUMMYFUNCTION("""COMPUTED_VALUE"""),"Appalachian State")</f>
        <v>Appalachian State</v>
      </c>
      <c r="D546">
        <f>IFERROR(__xludf.DUMMYFUNCTION("""COMPUTED_VALUE"""),3.0)</f>
        <v>3</v>
      </c>
      <c r="E546">
        <f>IFERROR(__xludf.DUMMYFUNCTION("""COMPUTED_VALUE"""),0.0)</f>
        <v>0</v>
      </c>
      <c r="F546" t="str">
        <f>IFERROR(__xludf.DUMMYFUNCTION("""COMPUTED_VALUE"""),"NA")</f>
        <v>NA</v>
      </c>
      <c r="G546" t="str">
        <f>IFERROR(__xludf.DUMMYFUNCTION("""COMPUTED_VALUE"""),"Appalachian State 34 at North Carolina 31")</f>
        <v>Appalachian State 34 at North Carolina 31</v>
      </c>
      <c r="H546" t="str">
        <f>IFERROR(__xludf.DUMMYFUNCTION("""COMPUTED_VALUE"""),"FINAL")</f>
        <v>FINAL</v>
      </c>
      <c r="I546" t="str">
        <f>IFERROR(__xludf.DUMMYFUNCTION("""COMPUTED_VALUE"""),"bye")</f>
        <v>bye</v>
      </c>
      <c r="J546" t="str">
        <f>IFERROR(__xludf.DUMMYFUNCTION("""COMPUTED_VALUE"""),"bye")</f>
        <v>bye</v>
      </c>
      <c r="K546" t="str">
        <f>IFERROR(__xludf.DUMMYFUNCTION("""COMPUTED_VALUE"""),"Nico")</f>
        <v>Nico</v>
      </c>
      <c r="L546">
        <f>IFERROR(__xludf.DUMMYFUNCTION("""COMPUTED_VALUE"""),9999.0)</f>
        <v>9999</v>
      </c>
      <c r="M546" s="124">
        <v>4.0</v>
      </c>
    </row>
    <row r="547">
      <c r="A547" s="151">
        <f>IFERROR(__xludf.DUMMYFUNCTION("""COMPUTED_VALUE"""),43730.147751111115)</f>
        <v>43730.14775</v>
      </c>
      <c r="B547" t="str">
        <f>IFERROR(__xludf.DUMMYFUNCTION("""COMPUTED_VALUE"""),"Justin")</f>
        <v>Justin</v>
      </c>
      <c r="C547" t="str">
        <f>IFERROR(__xludf.DUMMYFUNCTION("""COMPUTED_VALUE"""),"Baylor")</f>
        <v>Baylor</v>
      </c>
      <c r="D547">
        <f>IFERROR(__xludf.DUMMYFUNCTION("""COMPUTED_VALUE"""),3.0)</f>
        <v>3</v>
      </c>
      <c r="E547">
        <f>IFERROR(__xludf.DUMMYFUNCTION("""COMPUTED_VALUE"""),0.0)</f>
        <v>0</v>
      </c>
      <c r="F547" t="str">
        <f>IFERROR(__xludf.DUMMYFUNCTION("""COMPUTED_VALUE"""),"NA")</f>
        <v>NA</v>
      </c>
      <c r="G547" t="str">
        <f>IFERROR(__xludf.DUMMYFUNCTION("""COMPUTED_VALUE"""),"Baylor 21 at Rice 13")</f>
        <v>Baylor 21 at Rice 13</v>
      </c>
      <c r="H547" t="str">
        <f>IFERROR(__xludf.DUMMYFUNCTION("""COMPUTED_VALUE"""),"FINAL")</f>
        <v>FINAL</v>
      </c>
      <c r="I547" t="str">
        <f>IFERROR(__xludf.DUMMYFUNCTION("""COMPUTED_VALUE"""),"bye")</f>
        <v>bye</v>
      </c>
      <c r="J547" t="str">
        <f>IFERROR(__xludf.DUMMYFUNCTION("""COMPUTED_VALUE"""),"bye")</f>
        <v>bye</v>
      </c>
      <c r="K547" t="str">
        <f>IFERROR(__xludf.DUMMYFUNCTION("""COMPUTED_VALUE"""),"Undrafted")</f>
        <v>Undrafted</v>
      </c>
      <c r="L547">
        <f>IFERROR(__xludf.DUMMYFUNCTION("""COMPUTED_VALUE"""),9999.0)</f>
        <v>9999</v>
      </c>
      <c r="M547" s="124">
        <v>4.0</v>
      </c>
    </row>
    <row r="548">
      <c r="A548" s="151">
        <f>IFERROR(__xludf.DUMMYFUNCTION("""COMPUTED_VALUE"""),43730.147751111115)</f>
        <v>43730.14775</v>
      </c>
      <c r="B548" t="str">
        <f>IFERROR(__xludf.DUMMYFUNCTION("""COMPUTED_VALUE"""),"Justin")</f>
        <v>Justin</v>
      </c>
      <c r="C548" t="str">
        <f>IFERROR(__xludf.DUMMYFUNCTION("""COMPUTED_VALUE"""),"Duke")</f>
        <v>Duke</v>
      </c>
      <c r="D548">
        <f>IFERROR(__xludf.DUMMYFUNCTION("""COMPUTED_VALUE"""),2.0)</f>
        <v>2</v>
      </c>
      <c r="E548">
        <f>IFERROR(__xludf.DUMMYFUNCTION("""COMPUTED_VALUE"""),1.0)</f>
        <v>1</v>
      </c>
      <c r="F548" t="str">
        <f>IFERROR(__xludf.DUMMYFUNCTION("""COMPUTED_VALUE"""),"Facebook Video")</f>
        <v>Facebook Video</v>
      </c>
      <c r="G548" t="str">
        <f>IFERROR(__xludf.DUMMYFUNCTION("""COMPUTED_VALUE"""),"BYE")</f>
        <v>BYE</v>
      </c>
      <c r="I548" t="str">
        <f>IFERROR(__xludf.DUMMYFUNCTION("""COMPUTED_VALUE"""),"-6½")</f>
        <v>-6½</v>
      </c>
      <c r="J548" t="str">
        <f>IFERROR(__xludf.DUMMYFUNCTION("""COMPUTED_VALUE"""),"50½")</f>
        <v>50½</v>
      </c>
      <c r="L548">
        <f>IFERROR(__xludf.DUMMYFUNCTION("""COMPUTED_VALUE"""),9999.0)</f>
        <v>9999</v>
      </c>
      <c r="M548" s="124">
        <v>4.0</v>
      </c>
    </row>
    <row r="549">
      <c r="A549" s="151">
        <f>IFERROR(__xludf.DUMMYFUNCTION("""COMPUTED_VALUE"""),43730.147751111115)</f>
        <v>43730.14775</v>
      </c>
      <c r="B549" t="str">
        <f>IFERROR(__xludf.DUMMYFUNCTION("""COMPUTED_VALUE"""),"Justin")</f>
        <v>Justin</v>
      </c>
      <c r="C549" t="str">
        <f>IFERROR(__xludf.DUMMYFUNCTION("""COMPUTED_VALUE"""),"Tennessee")</f>
        <v>Tennessee</v>
      </c>
      <c r="D549">
        <f>IFERROR(__xludf.DUMMYFUNCTION("""COMPUTED_VALUE"""),1.0)</f>
        <v>1</v>
      </c>
      <c r="E549">
        <f>IFERROR(__xludf.DUMMYFUNCTION("""COMPUTED_VALUE"""),3.0)</f>
        <v>3</v>
      </c>
      <c r="F549" t="str">
        <f>IFERROR(__xludf.DUMMYFUNCTION("""COMPUTED_VALUE"""),"SEC Network")</f>
        <v>SEC Network</v>
      </c>
      <c r="G549" t="str">
        <f>IFERROR(__xludf.DUMMYFUNCTION("""COMPUTED_VALUE"""),"Tennessee 3 at (8) Florida 34")</f>
        <v>Tennessee 3 at (8) Florida 34</v>
      </c>
      <c r="H549" t="str">
        <f>IFERROR(__xludf.DUMMYFUNCTION("""COMPUTED_VALUE"""),"FINAL")</f>
        <v>FINAL</v>
      </c>
      <c r="I549">
        <f>IFERROR(__xludf.DUMMYFUNCTION("""COMPUTED_VALUE"""),-28.0)</f>
        <v>-28</v>
      </c>
      <c r="J549" t="str">
        <f>IFERROR(__xludf.DUMMYFUNCTION("""COMPUTED_VALUE"""),"51½")</f>
        <v>51½</v>
      </c>
      <c r="K549" t="str">
        <f>IFERROR(__xludf.DUMMYFUNCTION("""COMPUTED_VALUE"""),"Adam")</f>
        <v>Adam</v>
      </c>
      <c r="L549">
        <f>IFERROR(__xludf.DUMMYFUNCTION("""COMPUTED_VALUE"""),9999.0)</f>
        <v>9999</v>
      </c>
      <c r="M549" s="124">
        <v>4.0</v>
      </c>
    </row>
    <row r="550">
      <c r="A550" s="151">
        <f>IFERROR(__xludf.DUMMYFUNCTION("""COMPUTED_VALUE"""),43730.147751111115)</f>
        <v>43730.14775</v>
      </c>
      <c r="B550" t="str">
        <f>IFERROR(__xludf.DUMMYFUNCTION("""COMPUTED_VALUE"""),"Justin")</f>
        <v>Justin</v>
      </c>
      <c r="C550" t="str">
        <f>IFERROR(__xludf.DUMMYFUNCTION("""COMPUTED_VALUE"""),"Oregon")</f>
        <v>Oregon</v>
      </c>
      <c r="D550">
        <f>IFERROR(__xludf.DUMMYFUNCTION("""COMPUTED_VALUE"""),3.0)</f>
        <v>3</v>
      </c>
      <c r="E550">
        <f>IFERROR(__xludf.DUMMYFUNCTION("""COMPUTED_VALUE"""),1.0)</f>
        <v>1</v>
      </c>
      <c r="F550" t="str">
        <f>IFERROR(__xludf.DUMMYFUNCTION("""COMPUTED_VALUE"""),"Pac-12")</f>
        <v>Pac-12</v>
      </c>
      <c r="G550" t="str">
        <f>IFERROR(__xludf.DUMMYFUNCTION("""COMPUTED_VALUE"""),"(17) Oregon 21 at Stanford 6")</f>
        <v>(17) Oregon 21 at Stanford 6</v>
      </c>
      <c r="H550" t="str">
        <f>IFERROR(__xludf.DUMMYFUNCTION("""COMPUTED_VALUE"""),"FINAL")</f>
        <v>FINAL</v>
      </c>
      <c r="I550" t="str">
        <f>IFERROR(__xludf.DUMMYFUNCTION("""COMPUTED_VALUE"""),"-36½")</f>
        <v>-36½</v>
      </c>
      <c r="J550" t="str">
        <f>IFERROR(__xludf.DUMMYFUNCTION("""COMPUTED_VALUE"""),"64½")</f>
        <v>64½</v>
      </c>
      <c r="K550" t="str">
        <f>IFERROR(__xludf.DUMMYFUNCTION("""COMPUTED_VALUE"""),"Nick G.")</f>
        <v>Nick G.</v>
      </c>
      <c r="L550">
        <f>IFERROR(__xludf.DUMMYFUNCTION("""COMPUTED_VALUE"""),9999.0)</f>
        <v>9999</v>
      </c>
      <c r="M550" s="124">
        <v>4.0</v>
      </c>
    </row>
    <row r="551">
      <c r="A551" s="151">
        <f>IFERROR(__xludf.DUMMYFUNCTION("""COMPUTED_VALUE"""),43730.147751111115)</f>
        <v>43730.14775</v>
      </c>
      <c r="B551" t="str">
        <f>IFERROR(__xludf.DUMMYFUNCTION("""COMPUTED_VALUE"""),"Justin")</f>
        <v>Justin</v>
      </c>
      <c r="C551" t="str">
        <f>IFERROR(__xludf.DUMMYFUNCTION("""COMPUTED_VALUE"""),"UNLV")</f>
        <v>UNLV</v>
      </c>
      <c r="D551">
        <f>IFERROR(__xludf.DUMMYFUNCTION("""COMPUTED_VALUE"""),1.0)</f>
        <v>1</v>
      </c>
      <c r="E551">
        <f>IFERROR(__xludf.DUMMYFUNCTION("""COMPUTED_VALUE"""),2.0)</f>
        <v>2</v>
      </c>
      <c r="F551" t="str">
        <f>IFERROR(__xludf.DUMMYFUNCTION("""COMPUTED_VALUE"""),"BTN")</f>
        <v>BTN</v>
      </c>
      <c r="G551" t="str">
        <f>IFERROR(__xludf.DUMMYFUNCTION("""COMPUTED_VALUE"""),"BYE")</f>
        <v>BYE</v>
      </c>
      <c r="I551" t="str">
        <f>IFERROR(__xludf.DUMMYFUNCTION("""COMPUTED_VALUE"""),"18½")</f>
        <v>18½</v>
      </c>
      <c r="J551">
        <f>IFERROR(__xludf.DUMMYFUNCTION("""COMPUTED_VALUE"""),54.0)</f>
        <v>54</v>
      </c>
      <c r="L551">
        <f>IFERROR(__xludf.DUMMYFUNCTION("""COMPUTED_VALUE"""),9999.0)</f>
        <v>9999</v>
      </c>
      <c r="M551" s="124">
        <v>4.0</v>
      </c>
    </row>
    <row r="552">
      <c r="A552" s="151">
        <f>IFERROR(__xludf.DUMMYFUNCTION("""COMPUTED_VALUE"""),43730.147751111115)</f>
        <v>43730.14775</v>
      </c>
      <c r="B552" t="str">
        <f>IFERROR(__xludf.DUMMYFUNCTION("""COMPUTED_VALUE"""),"Adam")</f>
        <v>Adam</v>
      </c>
      <c r="C552" t="str">
        <f>IFERROR(__xludf.DUMMYFUNCTION("""COMPUTED_VALUE"""),"Akron")</f>
        <v>Akron</v>
      </c>
      <c r="D552">
        <f>IFERROR(__xludf.DUMMYFUNCTION("""COMPUTED_VALUE"""),0.0)</f>
        <v>0</v>
      </c>
      <c r="E552">
        <f>IFERROR(__xludf.DUMMYFUNCTION("""COMPUTED_VALUE"""),4.0)</f>
        <v>4</v>
      </c>
      <c r="F552" t="str">
        <f>IFERROR(__xludf.DUMMYFUNCTION("""COMPUTED_VALUE"""),"espn+ Video")</f>
        <v>espn+ Video</v>
      </c>
      <c r="G552" t="str">
        <f>IFERROR(__xludf.DUMMYFUNCTION("""COMPUTED_VALUE"""),"Troy 35 at Akron 7")</f>
        <v>Troy 35 at Akron 7</v>
      </c>
      <c r="H552" t="str">
        <f>IFERROR(__xludf.DUMMYFUNCTION("""COMPUTED_VALUE"""),"FINAL")</f>
        <v>FINAL</v>
      </c>
      <c r="I552" t="str">
        <f>IFERROR(__xludf.DUMMYFUNCTION("""COMPUTED_VALUE"""),"3½")</f>
        <v>3½</v>
      </c>
      <c r="J552" t="str">
        <f>IFERROR(__xludf.DUMMYFUNCTION("""COMPUTED_VALUE"""),"46½")</f>
        <v>46½</v>
      </c>
      <c r="K552" t="str">
        <f>IFERROR(__xludf.DUMMYFUNCTION("""COMPUTED_VALUE"""),"Nick G.")</f>
        <v>Nick G.</v>
      </c>
      <c r="L552">
        <f>IFERROR(__xludf.DUMMYFUNCTION("""COMPUTED_VALUE"""),9999.0)</f>
        <v>9999</v>
      </c>
      <c r="M552" s="124">
        <v>4.0</v>
      </c>
    </row>
    <row r="553">
      <c r="A553" s="151">
        <f>IFERROR(__xludf.DUMMYFUNCTION("""COMPUTED_VALUE"""),43730.147751111115)</f>
        <v>43730.14775</v>
      </c>
      <c r="B553" t="str">
        <f>IFERROR(__xludf.DUMMYFUNCTION("""COMPUTED_VALUE"""),"Adam")</f>
        <v>Adam</v>
      </c>
      <c r="C553" t="str">
        <f>IFERROR(__xludf.DUMMYFUNCTION("""COMPUTED_VALUE"""),"Texas")</f>
        <v>Texas</v>
      </c>
      <c r="D553">
        <f>IFERROR(__xludf.DUMMYFUNCTION("""COMPUTED_VALUE"""),3.0)</f>
        <v>3</v>
      </c>
      <c r="E553">
        <f>IFERROR(__xludf.DUMMYFUNCTION("""COMPUTED_VALUE"""),1.0)</f>
        <v>1</v>
      </c>
      <c r="F553" t="str">
        <f>IFERROR(__xludf.DUMMYFUNCTION("""COMPUTED_VALUE"""),"CBSSN")</f>
        <v>CBSSN</v>
      </c>
      <c r="G553" t="str">
        <f>IFERROR(__xludf.DUMMYFUNCTION("""COMPUTED_VALUE"""),"Oklahoma State 30 at (13) Texas 36")</f>
        <v>Oklahoma State 30 at (13) Texas 36</v>
      </c>
      <c r="H553" t="str">
        <f>IFERROR(__xludf.DUMMYFUNCTION("""COMPUTED_VALUE"""),"FINAL")</f>
        <v>FINAL</v>
      </c>
      <c r="I553">
        <f>IFERROR(__xludf.DUMMYFUNCTION("""COMPUTED_VALUE"""),-32.0)</f>
        <v>-32</v>
      </c>
      <c r="J553" t="str">
        <f>IFERROR(__xludf.DUMMYFUNCTION("""COMPUTED_VALUE"""),"56½")</f>
        <v>56½</v>
      </c>
      <c r="K553" t="str">
        <f>IFERROR(__xludf.DUMMYFUNCTION("""COMPUTED_VALUE"""),"Brad")</f>
        <v>Brad</v>
      </c>
      <c r="L553">
        <f>IFERROR(__xludf.DUMMYFUNCTION("""COMPUTED_VALUE"""),9999.0)</f>
        <v>9999</v>
      </c>
      <c r="M553" s="124">
        <v>4.0</v>
      </c>
    </row>
    <row r="554">
      <c r="A554" s="151">
        <f>IFERROR(__xludf.DUMMYFUNCTION("""COMPUTED_VALUE"""),43730.147751111115)</f>
        <v>43730.14775</v>
      </c>
      <c r="B554" t="str">
        <f>IFERROR(__xludf.DUMMYFUNCTION("""COMPUTED_VALUE"""),"Adam")</f>
        <v>Adam</v>
      </c>
      <c r="C554" t="str">
        <f>IFERROR(__xludf.DUMMYFUNCTION("""COMPUTED_VALUE"""),"Oregon State")</f>
        <v>Oregon State</v>
      </c>
      <c r="D554">
        <f>IFERROR(__xludf.DUMMYFUNCTION("""COMPUTED_VALUE"""),1.0)</f>
        <v>1</v>
      </c>
      <c r="E554">
        <f>IFERROR(__xludf.DUMMYFUNCTION("""COMPUTED_VALUE"""),2.0)</f>
        <v>2</v>
      </c>
      <c r="F554" t="str">
        <f>IFERROR(__xludf.DUMMYFUNCTION("""COMPUTED_VALUE"""),"Pac-12 Oregon")</f>
        <v>Pac-12 Oregon</v>
      </c>
      <c r="G554" t="str">
        <f>IFERROR(__xludf.DUMMYFUNCTION("""COMPUTED_VALUE"""),"BYE")</f>
        <v>BYE</v>
      </c>
      <c r="I554">
        <f>IFERROR(__xludf.DUMMYFUNCTION("""COMPUTED_VALUE"""),-17.0)</f>
        <v>-17</v>
      </c>
      <c r="J554">
        <f>IFERROR(__xludf.DUMMYFUNCTION("""COMPUTED_VALUE"""),76.0)</f>
        <v>76</v>
      </c>
      <c r="L554">
        <f>IFERROR(__xludf.DUMMYFUNCTION("""COMPUTED_VALUE"""),9999.0)</f>
        <v>9999</v>
      </c>
      <c r="M554" s="124">
        <v>4.0</v>
      </c>
    </row>
    <row r="555">
      <c r="A555" s="151">
        <f>IFERROR(__xludf.DUMMYFUNCTION("""COMPUTED_VALUE"""),43730.147751111115)</f>
        <v>43730.14775</v>
      </c>
      <c r="B555" t="str">
        <f>IFERROR(__xludf.DUMMYFUNCTION("""COMPUTED_VALUE"""),"Adam")</f>
        <v>Adam</v>
      </c>
      <c r="C555" t="str">
        <f>IFERROR(__xludf.DUMMYFUNCTION("""COMPUTED_VALUE"""),"Air Force")</f>
        <v>Air Force</v>
      </c>
      <c r="D555">
        <f>IFERROR(__xludf.DUMMYFUNCTION("""COMPUTED_VALUE"""),2.0)</f>
        <v>2</v>
      </c>
      <c r="E555">
        <f>IFERROR(__xludf.DUMMYFUNCTION("""COMPUTED_VALUE"""),1.0)</f>
        <v>1</v>
      </c>
      <c r="F555" t="str">
        <f>IFERROR(__xludf.DUMMYFUNCTION("""COMPUTED_VALUE"""),"Pac-12")</f>
        <v>Pac-12</v>
      </c>
      <c r="G555" t="str">
        <f>IFERROR(__xludf.DUMMYFUNCTION("""COMPUTED_VALUE"""),"Air Force 19 at (20) Boise State 30")</f>
        <v>Air Force 19 at (20) Boise State 30</v>
      </c>
      <c r="H555" t="str">
        <f>IFERROR(__xludf.DUMMYFUNCTION("""COMPUTED_VALUE"""),"FINAL")</f>
        <v>FINAL</v>
      </c>
      <c r="I555">
        <f>IFERROR(__xludf.DUMMYFUNCTION("""COMPUTED_VALUE"""),4.0)</f>
        <v>4</v>
      </c>
      <c r="J555" t="str">
        <f>IFERROR(__xludf.DUMMYFUNCTION("""COMPUTED_VALUE"""),"58½")</f>
        <v>58½</v>
      </c>
      <c r="K555" t="str">
        <f>IFERROR(__xludf.DUMMYFUNCTION("""COMPUTED_VALUE"""),"Janice/Mike")</f>
        <v>Janice/Mike</v>
      </c>
      <c r="L555">
        <f>IFERROR(__xludf.DUMMYFUNCTION("""COMPUTED_VALUE"""),9999.0)</f>
        <v>9999</v>
      </c>
      <c r="M555" s="124">
        <v>4.0</v>
      </c>
    </row>
    <row r="556">
      <c r="A556" s="151">
        <f>IFERROR(__xludf.DUMMYFUNCTION("""COMPUTED_VALUE"""),43730.147751111115)</f>
        <v>43730.14775</v>
      </c>
      <c r="B556" t="str">
        <f>IFERROR(__xludf.DUMMYFUNCTION("""COMPUTED_VALUE"""),"Adam")</f>
        <v>Adam</v>
      </c>
      <c r="C556" t="str">
        <f>IFERROR(__xludf.DUMMYFUNCTION("""COMPUTED_VALUE"""),"Northwestern")</f>
        <v>Northwestern</v>
      </c>
      <c r="D556">
        <f>IFERROR(__xludf.DUMMYFUNCTION("""COMPUTED_VALUE"""),1.0)</f>
        <v>1</v>
      </c>
      <c r="E556">
        <f>IFERROR(__xludf.DUMMYFUNCTION("""COMPUTED_VALUE"""),2.0)</f>
        <v>2</v>
      </c>
      <c r="F556" t="str">
        <f>IFERROR(__xludf.DUMMYFUNCTION("""COMPUTED_VALUE"""),"BTN")</f>
        <v>BTN</v>
      </c>
      <c r="G556" t="str">
        <f>IFERROR(__xludf.DUMMYFUNCTION("""COMPUTED_VALUE"""),"Michigan State 31 at Northwestern 10")</f>
        <v>Michigan State 31 at Northwestern 10</v>
      </c>
      <c r="H556" t="str">
        <f>IFERROR(__xludf.DUMMYFUNCTION("""COMPUTED_VALUE"""),"FINAL")</f>
        <v>FINAL</v>
      </c>
      <c r="I556" t="str">
        <f>IFERROR(__xludf.DUMMYFUNCTION("""COMPUTED_VALUE"""),"-18½")</f>
        <v>-18½</v>
      </c>
      <c r="J556">
        <f>IFERROR(__xludf.DUMMYFUNCTION("""COMPUTED_VALUE"""),54.0)</f>
        <v>54</v>
      </c>
      <c r="K556" t="str">
        <f>IFERROR(__xludf.DUMMYFUNCTION("""COMPUTED_VALUE"""),"Nick A.")</f>
        <v>Nick A.</v>
      </c>
      <c r="L556">
        <f>IFERROR(__xludf.DUMMYFUNCTION("""COMPUTED_VALUE"""),9999.0)</f>
        <v>9999</v>
      </c>
      <c r="M556" s="124">
        <v>4.0</v>
      </c>
    </row>
    <row r="557">
      <c r="A557" s="151">
        <f>IFERROR(__xludf.DUMMYFUNCTION("""COMPUTED_VALUE"""),43730.147751111115)</f>
        <v>43730.14775</v>
      </c>
      <c r="B557" t="str">
        <f>IFERROR(__xludf.DUMMYFUNCTION("""COMPUTED_VALUE"""),"Adam")</f>
        <v>Adam</v>
      </c>
      <c r="C557" t="str">
        <f>IFERROR(__xludf.DUMMYFUNCTION("""COMPUTED_VALUE"""),"Wake Forest")</f>
        <v>Wake Forest</v>
      </c>
      <c r="D557">
        <f>IFERROR(__xludf.DUMMYFUNCTION("""COMPUTED_VALUE"""),4.0)</f>
        <v>4</v>
      </c>
      <c r="E557">
        <f>IFERROR(__xludf.DUMMYFUNCTION("""COMPUTED_VALUE"""),0.0)</f>
        <v>0</v>
      </c>
      <c r="F557" t="str">
        <f>IFERROR(__xludf.DUMMYFUNCTION("""COMPUTED_VALUE"""),"NA")</f>
        <v>NA</v>
      </c>
      <c r="G557" t="str">
        <f>IFERROR(__xludf.DUMMYFUNCTION("""COMPUTED_VALUE"""),"Elon 7 at Wake Forest 49")</f>
        <v>Elon 7 at Wake Forest 49</v>
      </c>
      <c r="H557" t="str">
        <f>IFERROR(__xludf.DUMMYFUNCTION("""COMPUTED_VALUE"""),"FINAL")</f>
        <v>FINAL</v>
      </c>
      <c r="I557">
        <f>IFERROR(__xludf.DUMMYFUNCTION("""COMPUTED_VALUE"""),-3.0)</f>
        <v>-3</v>
      </c>
      <c r="J557">
        <f>IFERROR(__xludf.DUMMYFUNCTION("""COMPUTED_VALUE"""),67.0)</f>
        <v>67</v>
      </c>
      <c r="K557" t="str">
        <f>IFERROR(__xludf.DUMMYFUNCTION("""COMPUTED_VALUE"""),"Undrafted")</f>
        <v>Undrafted</v>
      </c>
      <c r="L557">
        <f>IFERROR(__xludf.DUMMYFUNCTION("""COMPUTED_VALUE"""),9999.0)</f>
        <v>9999</v>
      </c>
      <c r="M557" s="124">
        <v>4.0</v>
      </c>
    </row>
    <row r="558">
      <c r="A558" s="151">
        <f>IFERROR(__xludf.DUMMYFUNCTION("""COMPUTED_VALUE"""),43730.147751111115)</f>
        <v>43730.14775</v>
      </c>
      <c r="B558" t="str">
        <f>IFERROR(__xludf.DUMMYFUNCTION("""COMPUTED_VALUE"""),"Adam")</f>
        <v>Adam</v>
      </c>
      <c r="C558" t="str">
        <f>IFERROR(__xludf.DUMMYFUNCTION("""COMPUTED_VALUE"""),"UCF")</f>
        <v>UCF</v>
      </c>
      <c r="D558">
        <f>IFERROR(__xludf.DUMMYFUNCTION("""COMPUTED_VALUE"""),3.0)</f>
        <v>3</v>
      </c>
      <c r="E558">
        <f>IFERROR(__xludf.DUMMYFUNCTION("""COMPUTED_VALUE"""),1.0)</f>
        <v>1</v>
      </c>
      <c r="F558" t="str">
        <f>IFERROR(__xludf.DUMMYFUNCTION("""COMPUTED_VALUE"""),"ESPN")</f>
        <v>ESPN</v>
      </c>
      <c r="G558" t="str">
        <f>IFERROR(__xludf.DUMMYFUNCTION("""COMPUTED_VALUE"""),"(16) UCF 34 at Pittsburgh 35")</f>
        <v>(16) UCF 34 at Pittsburgh 35</v>
      </c>
      <c r="H558" t="str">
        <f>IFERROR(__xludf.DUMMYFUNCTION("""COMPUTED_VALUE"""),"FINAL")</f>
        <v>FINAL</v>
      </c>
      <c r="I558" t="str">
        <f>IFERROR(__xludf.DUMMYFUNCTION("""COMPUTED_VALUE"""),"-7½")</f>
        <v>-7½</v>
      </c>
      <c r="J558" t="str">
        <f>IFERROR(__xludf.DUMMYFUNCTION("""COMPUTED_VALUE"""),"61½")</f>
        <v>61½</v>
      </c>
      <c r="K558" t="str">
        <f>IFERROR(__xludf.DUMMYFUNCTION("""COMPUTED_VALUE"""),"Gary")</f>
        <v>Gary</v>
      </c>
      <c r="L558">
        <f>IFERROR(__xludf.DUMMYFUNCTION("""COMPUTED_VALUE"""),9999.0)</f>
        <v>9999</v>
      </c>
      <c r="M558" s="124">
        <v>4.0</v>
      </c>
    </row>
    <row r="559">
      <c r="A559" s="151">
        <f>IFERROR(__xludf.DUMMYFUNCTION("""COMPUTED_VALUE"""),43730.147751111115)</f>
        <v>43730.14775</v>
      </c>
      <c r="B559" t="str">
        <f>IFERROR(__xludf.DUMMYFUNCTION("""COMPUTED_VALUE"""),"Adam")</f>
        <v>Adam</v>
      </c>
      <c r="C559" t="str">
        <f>IFERROR(__xludf.DUMMYFUNCTION("""COMPUTED_VALUE"""),"Georgia State")</f>
        <v>Georgia State</v>
      </c>
      <c r="D559">
        <f>IFERROR(__xludf.DUMMYFUNCTION("""COMPUTED_VALUE"""),2.0)</f>
        <v>2</v>
      </c>
      <c r="E559">
        <f>IFERROR(__xludf.DUMMYFUNCTION("""COMPUTED_VALUE"""),2.0)</f>
        <v>2</v>
      </c>
      <c r="F559" t="str">
        <f>IFERROR(__xludf.DUMMYFUNCTION("""COMPUTED_VALUE"""),"espn+ Video")</f>
        <v>espn+ Video</v>
      </c>
      <c r="G559" t="str">
        <f>IFERROR(__xludf.DUMMYFUNCTION("""COMPUTED_VALUE"""),"Georgia State 34 at Texas State 37")</f>
        <v>Georgia State 34 at Texas State 37</v>
      </c>
      <c r="H559" t="str">
        <f>IFERROR(__xludf.DUMMYFUNCTION("""COMPUTED_VALUE"""),"FINAL - 3RD OT")</f>
        <v>FINAL - 3RD OT</v>
      </c>
      <c r="I559" t="str">
        <f>IFERROR(__xludf.DUMMYFUNCTION("""COMPUTED_VALUE"""),"9½")</f>
        <v>9½</v>
      </c>
      <c r="J559" t="str">
        <f>IFERROR(__xludf.DUMMYFUNCTION("""COMPUTED_VALUE"""),"69½")</f>
        <v>69½</v>
      </c>
      <c r="K559" t="str">
        <f>IFERROR(__xludf.DUMMYFUNCTION("""COMPUTED_VALUE"""),"Brad")</f>
        <v>Brad</v>
      </c>
      <c r="L559">
        <f>IFERROR(__xludf.DUMMYFUNCTION("""COMPUTED_VALUE"""),9999.0)</f>
        <v>9999</v>
      </c>
      <c r="M559" s="124">
        <v>4.0</v>
      </c>
    </row>
    <row r="560">
      <c r="A560" s="151">
        <f>IFERROR(__xludf.DUMMYFUNCTION("""COMPUTED_VALUE"""),43730.147751111115)</f>
        <v>43730.14775</v>
      </c>
      <c r="B560" t="str">
        <f>IFERROR(__xludf.DUMMYFUNCTION("""COMPUTED_VALUE"""),"Adam")</f>
        <v>Adam</v>
      </c>
      <c r="C560" t="str">
        <f>IFERROR(__xludf.DUMMYFUNCTION("""COMPUTED_VALUE"""),"Florida Intl")</f>
        <v>Florida Intl</v>
      </c>
      <c r="D560">
        <f>IFERROR(__xludf.DUMMYFUNCTION("""COMPUTED_VALUE"""),1.0)</f>
        <v>1</v>
      </c>
      <c r="E560">
        <f>IFERROR(__xludf.DUMMYFUNCTION("""COMPUTED_VALUE"""),3.0)</f>
        <v>3</v>
      </c>
      <c r="F560" t="str">
        <f>IFERROR(__xludf.DUMMYFUNCTION("""COMPUTED_VALUE"""),"NA")</f>
        <v>NA</v>
      </c>
      <c r="G560" t="str">
        <f>IFERROR(__xludf.DUMMYFUNCTION("""COMPUTED_VALUE"""),"Florida Intl 31 at Louisiana Tech 43")</f>
        <v>Florida Intl 31 at Louisiana Tech 43</v>
      </c>
      <c r="H560" t="str">
        <f>IFERROR(__xludf.DUMMYFUNCTION("""COMPUTED_VALUE"""),"FINAL")</f>
        <v>FINAL</v>
      </c>
      <c r="I560" t="str">
        <f>IFERROR(__xludf.DUMMYFUNCTION("""COMPUTED_VALUE"""),"-9½")</f>
        <v>-9½</v>
      </c>
      <c r="J560" t="str">
        <f>IFERROR(__xludf.DUMMYFUNCTION("""COMPUTED_VALUE"""),"43½")</f>
        <v>43½</v>
      </c>
      <c r="K560" t="str">
        <f>IFERROR(__xludf.DUMMYFUNCTION("""COMPUTED_VALUE"""),"Brad")</f>
        <v>Brad</v>
      </c>
      <c r="L560">
        <f>IFERROR(__xludf.DUMMYFUNCTION("""COMPUTED_VALUE"""),9999.0)</f>
        <v>9999</v>
      </c>
      <c r="M560" s="124">
        <v>4.0</v>
      </c>
    </row>
    <row r="561">
      <c r="A561" s="151">
        <f>IFERROR(__xludf.DUMMYFUNCTION("""COMPUTED_VALUE"""),43730.147751111115)</f>
        <v>43730.14775</v>
      </c>
      <c r="B561" t="str">
        <f>IFERROR(__xludf.DUMMYFUNCTION("""COMPUTED_VALUE"""),"Adam")</f>
        <v>Adam</v>
      </c>
      <c r="C561" t="str">
        <f>IFERROR(__xludf.DUMMYFUNCTION("""COMPUTED_VALUE"""),"Florida")</f>
        <v>Florida</v>
      </c>
      <c r="D561">
        <f>IFERROR(__xludf.DUMMYFUNCTION("""COMPUTED_VALUE"""),4.0)</f>
        <v>4</v>
      </c>
      <c r="E561">
        <f>IFERROR(__xludf.DUMMYFUNCTION("""COMPUTED_VALUE"""),0.0)</f>
        <v>0</v>
      </c>
      <c r="F561" t="str">
        <f>IFERROR(__xludf.DUMMYFUNCTION("""COMPUTED_VALUE"""),"ESPN")</f>
        <v>ESPN</v>
      </c>
      <c r="G561" t="str">
        <f>IFERROR(__xludf.DUMMYFUNCTION("""COMPUTED_VALUE"""),"Tennessee 3 at (8) Florida 34")</f>
        <v>Tennessee 3 at (8) Florida 34</v>
      </c>
      <c r="H561" t="str">
        <f>IFERROR(__xludf.DUMMYFUNCTION("""COMPUTED_VALUE"""),"FINAL")</f>
        <v>FINAL</v>
      </c>
      <c r="I561">
        <f>IFERROR(__xludf.DUMMYFUNCTION("""COMPUTED_VALUE"""),-8.0)</f>
        <v>-8</v>
      </c>
      <c r="J561" t="str">
        <f>IFERROR(__xludf.DUMMYFUNCTION("""COMPUTED_VALUE"""),"50½")</f>
        <v>50½</v>
      </c>
      <c r="K561" t="str">
        <f>IFERROR(__xludf.DUMMYFUNCTION("""COMPUTED_VALUE"""),"Justin")</f>
        <v>Justin</v>
      </c>
      <c r="L561">
        <f>IFERROR(__xludf.DUMMYFUNCTION("""COMPUTED_VALUE"""),9999.0)</f>
        <v>9999</v>
      </c>
      <c r="M561" s="124">
        <v>4.0</v>
      </c>
    </row>
    <row r="562">
      <c r="A562" s="151">
        <f>IFERROR(__xludf.DUMMYFUNCTION("""COMPUTED_VALUE"""),43730.147751111115)</f>
        <v>43730.14775</v>
      </c>
      <c r="B562" t="str">
        <f>IFERROR(__xludf.DUMMYFUNCTION("""COMPUTED_VALUE"""),"Vu")</f>
        <v>Vu</v>
      </c>
      <c r="C562" t="str">
        <f>IFERROR(__xludf.DUMMYFUNCTION("""COMPUTED_VALUE"""),"Cincinnati")</f>
        <v>Cincinnati</v>
      </c>
      <c r="D562">
        <f>IFERROR(__xludf.DUMMYFUNCTION("""COMPUTED_VALUE"""),2.0)</f>
        <v>2</v>
      </c>
      <c r="E562">
        <f>IFERROR(__xludf.DUMMYFUNCTION("""COMPUTED_VALUE"""),1.0)</f>
        <v>1</v>
      </c>
      <c r="F562" t="str">
        <f>IFERROR(__xludf.DUMMYFUNCTION("""COMPUTED_VALUE"""),"ESPNU")</f>
        <v>ESPNU</v>
      </c>
      <c r="G562" t="str">
        <f>IFERROR(__xludf.DUMMYFUNCTION("""COMPUTED_VALUE"""),"BYE")</f>
        <v>BYE</v>
      </c>
      <c r="I562">
        <f>IFERROR(__xludf.DUMMYFUNCTION("""COMPUTED_VALUE"""),-17.0)</f>
        <v>-17</v>
      </c>
      <c r="J562">
        <f>IFERROR(__xludf.DUMMYFUNCTION("""COMPUTED_VALUE"""),49.0)</f>
        <v>49</v>
      </c>
      <c r="L562">
        <f>IFERROR(__xludf.DUMMYFUNCTION("""COMPUTED_VALUE"""),9999.0)</f>
        <v>9999</v>
      </c>
      <c r="M562" s="124">
        <v>4.0</v>
      </c>
    </row>
    <row r="563">
      <c r="A563" s="151">
        <f>IFERROR(__xludf.DUMMYFUNCTION("""COMPUTED_VALUE"""),43730.147751111115)</f>
        <v>43730.14775</v>
      </c>
      <c r="B563" t="str">
        <f>IFERROR(__xludf.DUMMYFUNCTION("""COMPUTED_VALUE"""),"Vu")</f>
        <v>Vu</v>
      </c>
      <c r="C563" t="str">
        <f>IFERROR(__xludf.DUMMYFUNCTION("""COMPUTED_VALUE"""),"Syracuse")</f>
        <v>Syracuse</v>
      </c>
      <c r="D563">
        <f>IFERROR(__xludf.DUMMYFUNCTION("""COMPUTED_VALUE"""),2.0)</f>
        <v>2</v>
      </c>
      <c r="E563">
        <f>IFERROR(__xludf.DUMMYFUNCTION("""COMPUTED_VALUE"""),2.0)</f>
        <v>2</v>
      </c>
      <c r="F563" t="str">
        <f>IFERROR(__xludf.DUMMYFUNCTION("""COMPUTED_VALUE"""),"ABC")</f>
        <v>ABC</v>
      </c>
      <c r="G563" t="str">
        <f>IFERROR(__xludf.DUMMYFUNCTION("""COMPUTED_VALUE"""),"Western Michigan 33 at Syracuse 52")</f>
        <v>Western Michigan 33 at Syracuse 52</v>
      </c>
      <c r="H563" t="str">
        <f>IFERROR(__xludf.DUMMYFUNCTION("""COMPUTED_VALUE"""),"FINAL")</f>
        <v>FINAL</v>
      </c>
      <c r="I563" t="str">
        <f>IFERROR(__xludf.DUMMYFUNCTION("""COMPUTED_VALUE"""),"27½")</f>
        <v>27½</v>
      </c>
      <c r="J563" t="str">
        <f>IFERROR(__xludf.DUMMYFUNCTION("""COMPUTED_VALUE"""),"62½")</f>
        <v>62½</v>
      </c>
      <c r="K563" t="str">
        <f>IFERROR(__xludf.DUMMYFUNCTION("""COMPUTED_VALUE"""),"Jeannine")</f>
        <v>Jeannine</v>
      </c>
      <c r="L563">
        <f>IFERROR(__xludf.DUMMYFUNCTION("""COMPUTED_VALUE"""),9999.0)</f>
        <v>9999</v>
      </c>
      <c r="M563" s="124">
        <v>4.0</v>
      </c>
    </row>
    <row r="564">
      <c r="A564" s="151">
        <f>IFERROR(__xludf.DUMMYFUNCTION("""COMPUTED_VALUE"""),43730.147751111115)</f>
        <v>43730.14775</v>
      </c>
      <c r="B564" t="str">
        <f>IFERROR(__xludf.DUMMYFUNCTION("""COMPUTED_VALUE"""),"Vu")</f>
        <v>Vu</v>
      </c>
      <c r="C564" t="str">
        <f>IFERROR(__xludf.DUMMYFUNCTION("""COMPUTED_VALUE"""),"Texas A&amp;M")</f>
        <v>Texas A&amp;M</v>
      </c>
      <c r="D564">
        <f>IFERROR(__xludf.DUMMYFUNCTION("""COMPUTED_VALUE"""),2.0)</f>
        <v>2</v>
      </c>
      <c r="E564">
        <f>IFERROR(__xludf.DUMMYFUNCTION("""COMPUTED_VALUE"""),2.0)</f>
        <v>2</v>
      </c>
      <c r="F564" t="str">
        <f>IFERROR(__xludf.DUMMYFUNCTION("""COMPUTED_VALUE"""),"ESPN2 or ESPNU")</f>
        <v>ESPN2 or ESPNU</v>
      </c>
      <c r="G564" t="str">
        <f>IFERROR(__xludf.DUMMYFUNCTION("""COMPUTED_VALUE"""),"(9) Auburn 28 at (15) Texas A&amp;M 20")</f>
        <v>(9) Auburn 28 at (15) Texas A&amp;M 20</v>
      </c>
      <c r="H564" t="str">
        <f>IFERROR(__xludf.DUMMYFUNCTION("""COMPUTED_VALUE"""),"FINAL")</f>
        <v>FINAL</v>
      </c>
      <c r="I564" t="str">
        <f>IFERROR(__xludf.DUMMYFUNCTION("""COMPUTED_VALUE"""),"-43½")</f>
        <v>-43½</v>
      </c>
      <c r="J564">
        <f>IFERROR(__xludf.DUMMYFUNCTION("""COMPUTED_VALUE"""),63.0)</f>
        <v>63</v>
      </c>
      <c r="K564" t="str">
        <f>IFERROR(__xludf.DUMMYFUNCTION("""COMPUTED_VALUE"""),"Nick G.")</f>
        <v>Nick G.</v>
      </c>
      <c r="L564">
        <f>IFERROR(__xludf.DUMMYFUNCTION("""COMPUTED_VALUE"""),9999.0)</f>
        <v>9999</v>
      </c>
      <c r="M564" s="124">
        <v>4.0</v>
      </c>
    </row>
    <row r="565">
      <c r="A565" s="151">
        <f>IFERROR(__xludf.DUMMYFUNCTION("""COMPUTED_VALUE"""),43730.147751111115)</f>
        <v>43730.14775</v>
      </c>
      <c r="B565" t="str">
        <f>IFERROR(__xludf.DUMMYFUNCTION("""COMPUTED_VALUE"""),"Vu")</f>
        <v>Vu</v>
      </c>
      <c r="C565" t="str">
        <f>IFERROR(__xludf.DUMMYFUNCTION("""COMPUTED_VALUE"""),"North Texas")</f>
        <v>North Texas</v>
      </c>
      <c r="D565">
        <f>IFERROR(__xludf.DUMMYFUNCTION("""COMPUTED_VALUE"""),2.0)</f>
        <v>2</v>
      </c>
      <c r="E565">
        <f>IFERROR(__xludf.DUMMYFUNCTION("""COMPUTED_VALUE"""),2.0)</f>
        <v>2</v>
      </c>
      <c r="F565" t="str">
        <f>IFERROR(__xludf.DUMMYFUNCTION("""COMPUTED_VALUE"""),"Pac-12 Bay Area")</f>
        <v>Pac-12 Bay Area</v>
      </c>
      <c r="G565" t="str">
        <f>IFERROR(__xludf.DUMMYFUNCTION("""COMPUTED_VALUE"""),"UTSA 3 at North Texas 45")</f>
        <v>UTSA 3 at North Texas 45</v>
      </c>
      <c r="H565" t="str">
        <f>IFERROR(__xludf.DUMMYFUNCTION("""COMPUTED_VALUE"""),"FINAL")</f>
        <v>FINAL</v>
      </c>
      <c r="I565">
        <f>IFERROR(__xludf.DUMMYFUNCTION("""COMPUTED_VALUE"""),14.0)</f>
        <v>14</v>
      </c>
      <c r="J565" t="str">
        <f>IFERROR(__xludf.DUMMYFUNCTION("""COMPUTED_VALUE"""),"50½")</f>
        <v>50½</v>
      </c>
      <c r="K565" t="str">
        <f>IFERROR(__xludf.DUMMYFUNCTION("""COMPUTED_VALUE"""),"DavEmily")</f>
        <v>DavEmily</v>
      </c>
      <c r="L565">
        <f>IFERROR(__xludf.DUMMYFUNCTION("""COMPUTED_VALUE"""),9999.0)</f>
        <v>9999</v>
      </c>
      <c r="M565" s="124">
        <v>4.0</v>
      </c>
    </row>
    <row r="566">
      <c r="A566" s="151">
        <f>IFERROR(__xludf.DUMMYFUNCTION("""COMPUTED_VALUE"""),43730.147751111115)</f>
        <v>43730.14775</v>
      </c>
      <c r="B566" t="str">
        <f>IFERROR(__xludf.DUMMYFUNCTION("""COMPUTED_VALUE"""),"Vu")</f>
        <v>Vu</v>
      </c>
      <c r="C566" t="str">
        <f>IFERROR(__xludf.DUMMYFUNCTION("""COMPUTED_VALUE"""),"TCU")</f>
        <v>TCU</v>
      </c>
      <c r="D566">
        <f>IFERROR(__xludf.DUMMYFUNCTION("""COMPUTED_VALUE"""),2.0)</f>
        <v>2</v>
      </c>
      <c r="E566">
        <f>IFERROR(__xludf.DUMMYFUNCTION("""COMPUTED_VALUE"""),1.0)</f>
        <v>1</v>
      </c>
      <c r="F566" t="str">
        <f>IFERROR(__xludf.DUMMYFUNCTION("""COMPUTED_VALUE"""),"BTN")</f>
        <v>BTN</v>
      </c>
      <c r="G566" t="str">
        <f>IFERROR(__xludf.DUMMYFUNCTION("""COMPUTED_VALUE"""),"SMU 41 at TCU 38")</f>
        <v>SMU 41 at TCU 38</v>
      </c>
      <c r="H566" t="str">
        <f>IFERROR(__xludf.DUMMYFUNCTION("""COMPUTED_VALUE"""),"FINAL")</f>
        <v>FINAL</v>
      </c>
      <c r="I566" t="str">
        <f>IFERROR(__xludf.DUMMYFUNCTION("""COMPUTED_VALUE"""),"-2½")</f>
        <v>-2½</v>
      </c>
      <c r="J566">
        <f>IFERROR(__xludf.DUMMYFUNCTION("""COMPUTED_VALUE"""),51.0)</f>
        <v>51</v>
      </c>
      <c r="K566" t="str">
        <f>IFERROR(__xludf.DUMMYFUNCTION("""COMPUTED_VALUE"""),"Jeannine")</f>
        <v>Jeannine</v>
      </c>
      <c r="L566">
        <f>IFERROR(__xludf.DUMMYFUNCTION("""COMPUTED_VALUE"""),9999.0)</f>
        <v>9999</v>
      </c>
      <c r="M566" s="124">
        <v>4.0</v>
      </c>
    </row>
    <row r="567">
      <c r="A567" s="151">
        <f>IFERROR(__xludf.DUMMYFUNCTION("""COMPUTED_VALUE"""),43730.147751111115)</f>
        <v>43730.14775</v>
      </c>
      <c r="B567" t="str">
        <f>IFERROR(__xludf.DUMMYFUNCTION("""COMPUTED_VALUE"""),"Vu")</f>
        <v>Vu</v>
      </c>
      <c r="C567" t="str">
        <f>IFERROR(__xludf.DUMMYFUNCTION("""COMPUTED_VALUE"""),"Michigan")</f>
        <v>Michigan</v>
      </c>
      <c r="D567">
        <f>IFERROR(__xludf.DUMMYFUNCTION("""COMPUTED_VALUE"""),2.0)</f>
        <v>2</v>
      </c>
      <c r="E567">
        <f>IFERROR(__xludf.DUMMYFUNCTION("""COMPUTED_VALUE"""),1.0)</f>
        <v>1</v>
      </c>
      <c r="F567" t="str">
        <f>IFERROR(__xludf.DUMMYFUNCTION("""COMPUTED_VALUE"""),"NA")</f>
        <v>NA</v>
      </c>
      <c r="G567" t="str">
        <f>IFERROR(__xludf.DUMMYFUNCTION("""COMPUTED_VALUE"""),"(10) Michigan 14 at (14) Wisconsin 35")</f>
        <v>(10) Michigan 14 at (14) Wisconsin 35</v>
      </c>
      <c r="H567" t="str">
        <f>IFERROR(__xludf.DUMMYFUNCTION("""COMPUTED_VALUE"""),"FINAL")</f>
        <v>FINAL</v>
      </c>
      <c r="I567" t="str">
        <f>IFERROR(__xludf.DUMMYFUNCTION("""COMPUTED_VALUE"""),"bye")</f>
        <v>bye</v>
      </c>
      <c r="J567" t="str">
        <f>IFERROR(__xludf.DUMMYFUNCTION("""COMPUTED_VALUE"""),"bye")</f>
        <v>bye</v>
      </c>
      <c r="K567" t="str">
        <f>IFERROR(__xludf.DUMMYFUNCTION("""COMPUTED_VALUE"""),"Janice/Mike")</f>
        <v>Janice/Mike</v>
      </c>
      <c r="L567">
        <f>IFERROR(__xludf.DUMMYFUNCTION("""COMPUTED_VALUE"""),9999.0)</f>
        <v>9999</v>
      </c>
      <c r="M567" s="124">
        <v>4.0</v>
      </c>
    </row>
    <row r="568">
      <c r="A568" s="151">
        <f>IFERROR(__xludf.DUMMYFUNCTION("""COMPUTED_VALUE"""),43730.147751111115)</f>
        <v>43730.14775</v>
      </c>
      <c r="B568" t="str">
        <f>IFERROR(__xludf.DUMMYFUNCTION("""COMPUTED_VALUE"""),"Vu")</f>
        <v>Vu</v>
      </c>
      <c r="C568" t="str">
        <f>IFERROR(__xludf.DUMMYFUNCTION("""COMPUTED_VALUE"""),"Kent State")</f>
        <v>Kent State</v>
      </c>
      <c r="D568">
        <f>IFERROR(__xludf.DUMMYFUNCTION("""COMPUTED_VALUE"""),2.0)</f>
        <v>2</v>
      </c>
      <c r="E568">
        <f>IFERROR(__xludf.DUMMYFUNCTION("""COMPUTED_VALUE"""),2.0)</f>
        <v>2</v>
      </c>
      <c r="F568" t="str">
        <f>IFERROR(__xludf.DUMMYFUNCTION("""COMPUTED_VALUE"""),"ESPN2 or ESPNU")</f>
        <v>ESPN2 or ESPNU</v>
      </c>
      <c r="G568" t="str">
        <f>IFERROR(__xludf.DUMMYFUNCTION("""COMPUTED_VALUE"""),"Bowling Green 20 at Kent State 62")</f>
        <v>Bowling Green 20 at Kent State 62</v>
      </c>
      <c r="H568" t="str">
        <f>IFERROR(__xludf.DUMMYFUNCTION("""COMPUTED_VALUE"""),"FINAL")</f>
        <v>FINAL</v>
      </c>
      <c r="I568">
        <f>IFERROR(__xludf.DUMMYFUNCTION("""COMPUTED_VALUE"""),35.0)</f>
        <v>35</v>
      </c>
      <c r="J568" t="str">
        <f>IFERROR(__xludf.DUMMYFUNCTION("""COMPUTED_VALUE"""),"52½")</f>
        <v>52½</v>
      </c>
      <c r="K568" t="str">
        <f>IFERROR(__xludf.DUMMYFUNCTION("""COMPUTED_VALUE"""),"Nick A.")</f>
        <v>Nick A.</v>
      </c>
      <c r="L568">
        <f>IFERROR(__xludf.DUMMYFUNCTION("""COMPUTED_VALUE"""),9999.0)</f>
        <v>9999</v>
      </c>
      <c r="M568" s="124">
        <v>4.0</v>
      </c>
    </row>
    <row r="569">
      <c r="A569" s="151">
        <f>IFERROR(__xludf.DUMMYFUNCTION("""COMPUTED_VALUE"""),43730.147751111115)</f>
        <v>43730.14775</v>
      </c>
      <c r="B569" t="str">
        <f>IFERROR(__xludf.DUMMYFUNCTION("""COMPUTED_VALUE"""),"Vu")</f>
        <v>Vu</v>
      </c>
      <c r="C569" t="str">
        <f>IFERROR(__xludf.DUMMYFUNCTION("""COMPUTED_VALUE"""),"South Alabama")</f>
        <v>South Alabama</v>
      </c>
      <c r="D569">
        <f>IFERROR(__xludf.DUMMYFUNCTION("""COMPUTED_VALUE"""),1.0)</f>
        <v>1</v>
      </c>
      <c r="E569">
        <f>IFERROR(__xludf.DUMMYFUNCTION("""COMPUTED_VALUE"""),3.0)</f>
        <v>3</v>
      </c>
      <c r="F569" t="str">
        <f>IFERROR(__xludf.DUMMYFUNCTION("""COMPUTED_VALUE"""),"ESPNU")</f>
        <v>ESPNU</v>
      </c>
      <c r="G569" t="str">
        <f>IFERROR(__xludf.DUMMYFUNCTION("""COMPUTED_VALUE"""),"South Alabama 3 at UAB 35")</f>
        <v>South Alabama 3 at UAB 35</v>
      </c>
      <c r="H569" t="str">
        <f>IFERROR(__xludf.DUMMYFUNCTION("""COMPUTED_VALUE"""),"FINAL")</f>
        <v>FINAL</v>
      </c>
      <c r="I569">
        <f>IFERROR(__xludf.DUMMYFUNCTION("""COMPUTED_VALUE"""),19.0)</f>
        <v>19</v>
      </c>
      <c r="J569" t="str">
        <f>IFERROR(__xludf.DUMMYFUNCTION("""COMPUTED_VALUE"""),"57½")</f>
        <v>57½</v>
      </c>
      <c r="K569" t="str">
        <f>IFERROR(__xludf.DUMMYFUNCTION("""COMPUTED_VALUE"""),"Jeannine")</f>
        <v>Jeannine</v>
      </c>
      <c r="L569">
        <f>IFERROR(__xludf.DUMMYFUNCTION("""COMPUTED_VALUE"""),9999.0)</f>
        <v>9999</v>
      </c>
      <c r="M569" s="124">
        <v>4.0</v>
      </c>
    </row>
    <row r="570">
      <c r="A570" s="151">
        <f>IFERROR(__xludf.DUMMYFUNCTION("""COMPUTED_VALUE"""),43730.147751111115)</f>
        <v>43730.14775</v>
      </c>
      <c r="B570" t="str">
        <f>IFERROR(__xludf.DUMMYFUNCTION("""COMPUTED_VALUE"""),"Vu")</f>
        <v>Vu</v>
      </c>
      <c r="C570" t="str">
        <f>IFERROR(__xludf.DUMMYFUNCTION("""COMPUTED_VALUE"""),"Washington")</f>
        <v>Washington</v>
      </c>
      <c r="D570">
        <f>IFERROR(__xludf.DUMMYFUNCTION("""COMPUTED_VALUE"""),3.0)</f>
        <v>3</v>
      </c>
      <c r="E570">
        <f>IFERROR(__xludf.DUMMYFUNCTION("""COMPUTED_VALUE"""),1.0)</f>
        <v>1</v>
      </c>
      <c r="F570" t="str">
        <f>IFERROR(__xludf.DUMMYFUNCTION("""COMPUTED_VALUE"""),"Pac-12")</f>
        <v>Pac-12</v>
      </c>
      <c r="G570" t="str">
        <f>IFERROR(__xludf.DUMMYFUNCTION("""COMPUTED_VALUE"""),"(21) Washington 45 at BYU 19")</f>
        <v>(21) Washington 45 at BYU 19</v>
      </c>
      <c r="H570" t="str">
        <f>IFERROR(__xludf.DUMMYFUNCTION("""COMPUTED_VALUE"""),"FINAL")</f>
        <v>FINAL</v>
      </c>
      <c r="I570">
        <f>IFERROR(__xludf.DUMMYFUNCTION("""COMPUTED_VALUE"""),-21.0)</f>
        <v>-21</v>
      </c>
      <c r="J570" t="str">
        <f>IFERROR(__xludf.DUMMYFUNCTION("""COMPUTED_VALUE"""),"58½")</f>
        <v>58½</v>
      </c>
      <c r="K570" t="str">
        <f>IFERROR(__xludf.DUMMYFUNCTION("""COMPUTED_VALUE"""),"Gary")</f>
        <v>Gary</v>
      </c>
      <c r="L570">
        <f>IFERROR(__xludf.DUMMYFUNCTION("""COMPUTED_VALUE"""),9999.0)</f>
        <v>9999</v>
      </c>
      <c r="M570" s="124">
        <v>4.0</v>
      </c>
    </row>
    <row r="571">
      <c r="A571" s="151">
        <f>IFERROR(__xludf.DUMMYFUNCTION("""COMPUTED_VALUE"""),43730.147751111115)</f>
        <v>43730.14775</v>
      </c>
      <c r="B571" t="str">
        <f>IFERROR(__xludf.DUMMYFUNCTION("""COMPUTED_VALUE"""),"Vu")</f>
        <v>Vu</v>
      </c>
      <c r="C571" t="str">
        <f>IFERROR(__xludf.DUMMYFUNCTION("""COMPUTED_VALUE"""),"Hawaii")</f>
        <v>Hawaii</v>
      </c>
      <c r="D571">
        <f>IFERROR(__xludf.DUMMYFUNCTION("""COMPUTED_VALUE"""),2.0)</f>
        <v>2</v>
      </c>
      <c r="E571">
        <f>IFERROR(__xludf.DUMMYFUNCTION("""COMPUTED_VALUE"""),1.0)</f>
        <v>1</v>
      </c>
      <c r="F571" t="str">
        <f>IFERROR(__xludf.DUMMYFUNCTION("""COMPUTED_VALUE"""),"Pac-12")</f>
        <v>Pac-12</v>
      </c>
      <c r="G571" t="str">
        <f>IFERROR(__xludf.DUMMYFUNCTION("""COMPUTED_VALUE"""),"Central Arkansas 16 at Hawaii 35")</f>
        <v>Central Arkansas 16 at Hawaii 35</v>
      </c>
      <c r="H571" t="str">
        <f>IFERROR(__xludf.DUMMYFUNCTION("""COMPUTED_VALUE"""),"FINAL")</f>
        <v>FINAL</v>
      </c>
      <c r="I571">
        <f>IFERROR(__xludf.DUMMYFUNCTION("""COMPUTED_VALUE"""),21.0)</f>
        <v>21</v>
      </c>
      <c r="J571" t="str">
        <f>IFERROR(__xludf.DUMMYFUNCTION("""COMPUTED_VALUE"""),"58½")</f>
        <v>58½</v>
      </c>
      <c r="K571" t="str">
        <f>IFERROR(__xludf.DUMMYFUNCTION("""COMPUTED_VALUE"""),"Undrafted")</f>
        <v>Undrafted</v>
      </c>
      <c r="L571">
        <f>IFERROR(__xludf.DUMMYFUNCTION("""COMPUTED_VALUE"""),9999.0)</f>
        <v>9999</v>
      </c>
      <c r="M571" s="124">
        <v>4.0</v>
      </c>
    </row>
    <row r="572">
      <c r="A572" s="151">
        <f>IFERROR(__xludf.DUMMYFUNCTION("""COMPUTED_VALUE"""),43730.147751111115)</f>
        <v>43730.14775</v>
      </c>
      <c r="B572" t="str">
        <f>IFERROR(__xludf.DUMMYFUNCTION("""COMPUTED_VALUE"""),"Josh R.")</f>
        <v>Josh R.</v>
      </c>
      <c r="C572" t="str">
        <f>IFERROR(__xludf.DUMMYFUNCTION("""COMPUTED_VALUE"""),"Army")</f>
        <v>Army</v>
      </c>
      <c r="D572">
        <f>IFERROR(__xludf.DUMMYFUNCTION("""COMPUTED_VALUE"""),3.0)</f>
        <v>3</v>
      </c>
      <c r="E572">
        <f>IFERROR(__xludf.DUMMYFUNCTION("""COMPUTED_VALUE"""),1.0)</f>
        <v>1</v>
      </c>
      <c r="F572" t="str">
        <f>IFERROR(__xludf.DUMMYFUNCTION("""COMPUTED_VALUE"""),"NFL Network")</f>
        <v>NFL Network</v>
      </c>
      <c r="G572" t="str">
        <f>IFERROR(__xludf.DUMMYFUNCTION("""COMPUTED_VALUE"""),"Morgan State 21 at Army 52")</f>
        <v>Morgan State 21 at Army 52</v>
      </c>
      <c r="H572" t="str">
        <f>IFERROR(__xludf.DUMMYFUNCTION("""COMPUTED_VALUE"""),"FINAL")</f>
        <v>FINAL</v>
      </c>
      <c r="I572">
        <f>IFERROR(__xludf.DUMMYFUNCTION("""COMPUTED_VALUE"""),-17.0)</f>
        <v>-17</v>
      </c>
      <c r="J572">
        <f>IFERROR(__xludf.DUMMYFUNCTION("""COMPUTED_VALUE"""),45.0)</f>
        <v>45</v>
      </c>
      <c r="K572" t="str">
        <f>IFERROR(__xludf.DUMMYFUNCTION("""COMPUTED_VALUE"""),"Undrafted")</f>
        <v>Undrafted</v>
      </c>
      <c r="L572">
        <f>IFERROR(__xludf.DUMMYFUNCTION("""COMPUTED_VALUE"""),9999.0)</f>
        <v>9999</v>
      </c>
      <c r="M572" s="124">
        <v>4.0</v>
      </c>
    </row>
    <row r="573">
      <c r="A573" s="151">
        <f>IFERROR(__xludf.DUMMYFUNCTION("""COMPUTED_VALUE"""),43730.147751111115)</f>
        <v>43730.14775</v>
      </c>
      <c r="B573" t="str">
        <f>IFERROR(__xludf.DUMMYFUNCTION("""COMPUTED_VALUE"""),"Josh R.")</f>
        <v>Josh R.</v>
      </c>
      <c r="C573" t="str">
        <f>IFERROR(__xludf.DUMMYFUNCTION("""COMPUTED_VALUE"""),"Southern Mississippi")</f>
        <v>Southern Mississippi</v>
      </c>
      <c r="D573">
        <f>IFERROR(__xludf.DUMMYFUNCTION("""COMPUTED_VALUE"""),2.0)</f>
        <v>2</v>
      </c>
      <c r="E573">
        <f>IFERROR(__xludf.DUMMYFUNCTION("""COMPUTED_VALUE"""),2.0)</f>
        <v>2</v>
      </c>
      <c r="F573" t="str">
        <f>IFERROR(__xludf.DUMMYFUNCTION("""COMPUTED_VALUE"""),"NA")</f>
        <v>NA</v>
      </c>
      <c r="G573" t="str">
        <f>IFERROR(__xludf.DUMMYFUNCTION("""COMPUTED_VALUE"""),"Southern Mississippi 7 at (2) Alabama 49")</f>
        <v>Southern Mississippi 7 at (2) Alabama 49</v>
      </c>
      <c r="H573" t="str">
        <f>IFERROR(__xludf.DUMMYFUNCTION("""COMPUTED_VALUE"""),"FINAL")</f>
        <v>FINAL</v>
      </c>
      <c r="I573" t="str">
        <f>IFERROR(__xludf.DUMMYFUNCTION("""COMPUTED_VALUE"""),"2½")</f>
        <v>2½</v>
      </c>
      <c r="J573">
        <f>IFERROR(__xludf.DUMMYFUNCTION("""COMPUTED_VALUE"""),49.0)</f>
        <v>49</v>
      </c>
      <c r="K573" t="str">
        <f>IFERROR(__xludf.DUMMYFUNCTION("""COMPUTED_VALUE"""),"DavEmily")</f>
        <v>DavEmily</v>
      </c>
      <c r="L573">
        <f>IFERROR(__xludf.DUMMYFUNCTION("""COMPUTED_VALUE"""),9999.0)</f>
        <v>9999</v>
      </c>
      <c r="M573" s="124">
        <v>4.0</v>
      </c>
    </row>
    <row r="574">
      <c r="A574" s="151">
        <f>IFERROR(__xludf.DUMMYFUNCTION("""COMPUTED_VALUE"""),43730.147751111115)</f>
        <v>43730.14775</v>
      </c>
      <c r="B574" t="str">
        <f>IFERROR(__xludf.DUMMYFUNCTION("""COMPUTED_VALUE"""),"Josh R.")</f>
        <v>Josh R.</v>
      </c>
      <c r="C574" t="str">
        <f>IFERROR(__xludf.DUMMYFUNCTION("""COMPUTED_VALUE"""),"Nevada")</f>
        <v>Nevada</v>
      </c>
      <c r="D574">
        <f>IFERROR(__xludf.DUMMYFUNCTION("""COMPUTED_VALUE"""),3.0)</f>
        <v>3</v>
      </c>
      <c r="E574">
        <f>IFERROR(__xludf.DUMMYFUNCTION("""COMPUTED_VALUE"""),1.0)</f>
        <v>1</v>
      </c>
      <c r="F574" t="str">
        <f>IFERROR(__xludf.DUMMYFUNCTION("""COMPUTED_VALUE"""),"espn3 Video")</f>
        <v>espn3 Video</v>
      </c>
      <c r="G574" t="str">
        <f>IFERROR(__xludf.DUMMYFUNCTION("""COMPUTED_VALUE"""),"Nevada 37 at UTEP 21")</f>
        <v>Nevada 37 at UTEP 21</v>
      </c>
      <c r="H574" t="str">
        <f>IFERROR(__xludf.DUMMYFUNCTION("""COMPUTED_VALUE"""),"FINAL")</f>
        <v>FINAL</v>
      </c>
      <c r="I574">
        <f>IFERROR(__xludf.DUMMYFUNCTION("""COMPUTED_VALUE"""),-9.0)</f>
        <v>-9</v>
      </c>
      <c r="J574" t="str">
        <f>IFERROR(__xludf.DUMMYFUNCTION("""COMPUTED_VALUE"""),"51½")</f>
        <v>51½</v>
      </c>
      <c r="K574" t="str">
        <f>IFERROR(__xludf.DUMMYFUNCTION("""COMPUTED_VALUE"""),"Undrafted")</f>
        <v>Undrafted</v>
      </c>
      <c r="L574">
        <f>IFERROR(__xludf.DUMMYFUNCTION("""COMPUTED_VALUE"""),9999.0)</f>
        <v>9999</v>
      </c>
      <c r="M574" s="124">
        <v>4.0</v>
      </c>
    </row>
    <row r="575">
      <c r="A575" s="151">
        <f>IFERROR(__xludf.DUMMYFUNCTION("""COMPUTED_VALUE"""),43730.147751111115)</f>
        <v>43730.14775</v>
      </c>
      <c r="B575" t="str">
        <f>IFERROR(__xludf.DUMMYFUNCTION("""COMPUTED_VALUE"""),"Josh R.")</f>
        <v>Josh R.</v>
      </c>
      <c r="C575" t="str">
        <f>IFERROR(__xludf.DUMMYFUNCTION("""COMPUTED_VALUE"""),"Toledo")</f>
        <v>Toledo</v>
      </c>
      <c r="D575">
        <f>IFERROR(__xludf.DUMMYFUNCTION("""COMPUTED_VALUE"""),1.0)</f>
        <v>1</v>
      </c>
      <c r="E575">
        <f>IFERROR(__xludf.DUMMYFUNCTION("""COMPUTED_VALUE"""),1.0)</f>
        <v>1</v>
      </c>
      <c r="F575" t="str">
        <f>IFERROR(__xludf.DUMMYFUNCTION("""COMPUTED_VALUE"""),"espn3 Video")</f>
        <v>espn3 Video</v>
      </c>
      <c r="G575" t="str">
        <f>IFERROR(__xludf.DUMMYFUNCTION("""COMPUTED_VALUE"""),"Toledo 41 at Colorado State 35")</f>
        <v>Toledo 41 at Colorado State 35</v>
      </c>
      <c r="H575" t="str">
        <f>IFERROR(__xludf.DUMMYFUNCTION("""COMPUTED_VALUE"""),"FINAL")</f>
        <v>FINAL</v>
      </c>
      <c r="I575" t="str">
        <f>IFERROR(__xludf.DUMMYFUNCTION("""COMPUTED_VALUE"""),"-38½")</f>
        <v>-38½</v>
      </c>
      <c r="J575">
        <f>IFERROR(__xludf.DUMMYFUNCTION("""COMPUTED_VALUE"""),70.0)</f>
        <v>70</v>
      </c>
      <c r="K575" t="str">
        <f>IFERROR(__xludf.DUMMYFUNCTION("""COMPUTED_VALUE"""),"Brad")</f>
        <v>Brad</v>
      </c>
      <c r="L575">
        <f>IFERROR(__xludf.DUMMYFUNCTION("""COMPUTED_VALUE"""),9999.0)</f>
        <v>9999</v>
      </c>
      <c r="M575" s="124">
        <v>4.0</v>
      </c>
    </row>
    <row r="576">
      <c r="A576" s="151">
        <f>IFERROR(__xludf.DUMMYFUNCTION("""COMPUTED_VALUE"""),43730.147751111115)</f>
        <v>43730.14775</v>
      </c>
      <c r="B576" t="str">
        <f>IFERROR(__xludf.DUMMYFUNCTION("""COMPUTED_VALUE"""),"Josh R.")</f>
        <v>Josh R.</v>
      </c>
      <c r="C576" t="str">
        <f>IFERROR(__xludf.DUMMYFUNCTION("""COMPUTED_VALUE"""),"Temple")</f>
        <v>Temple</v>
      </c>
      <c r="D576">
        <f>IFERROR(__xludf.DUMMYFUNCTION("""COMPUTED_VALUE"""),2.0)</f>
        <v>2</v>
      </c>
      <c r="E576">
        <f>IFERROR(__xludf.DUMMYFUNCTION("""COMPUTED_VALUE"""),1.0)</f>
        <v>1</v>
      </c>
      <c r="F576" t="str">
        <f>IFERROR(__xludf.DUMMYFUNCTION("""COMPUTED_VALUE"""),"CBSSN")</f>
        <v>CBSSN</v>
      </c>
      <c r="G576" t="str">
        <f>IFERROR(__xludf.DUMMYFUNCTION("""COMPUTED_VALUE"""),"Temple 22 at Buffalo 38")</f>
        <v>Temple 22 at Buffalo 38</v>
      </c>
      <c r="H576" t="str">
        <f>IFERROR(__xludf.DUMMYFUNCTION("""COMPUTED_VALUE"""),"FINAL")</f>
        <v>FINAL</v>
      </c>
      <c r="I576">
        <f>IFERROR(__xludf.DUMMYFUNCTION("""COMPUTED_VALUE"""),7.0)</f>
        <v>7</v>
      </c>
      <c r="J576">
        <f>IFERROR(__xludf.DUMMYFUNCTION("""COMPUTED_VALUE"""),64.0)</f>
        <v>64</v>
      </c>
      <c r="K576" t="str">
        <f>IFERROR(__xludf.DUMMYFUNCTION("""COMPUTED_VALUE"""),"Justin")</f>
        <v>Justin</v>
      </c>
      <c r="L576">
        <f>IFERROR(__xludf.DUMMYFUNCTION("""COMPUTED_VALUE"""),9999.0)</f>
        <v>9999</v>
      </c>
      <c r="M576" s="124">
        <v>4.0</v>
      </c>
    </row>
    <row r="577">
      <c r="A577" s="151">
        <f>IFERROR(__xludf.DUMMYFUNCTION("""COMPUTED_VALUE"""),43730.147751111115)</f>
        <v>43730.14775</v>
      </c>
      <c r="B577" t="str">
        <f>IFERROR(__xludf.DUMMYFUNCTION("""COMPUTED_VALUE"""),"Josh R.")</f>
        <v>Josh R.</v>
      </c>
      <c r="C577" t="str">
        <f>IFERROR(__xludf.DUMMYFUNCTION("""COMPUTED_VALUE"""),"Florida State")</f>
        <v>Florida State</v>
      </c>
      <c r="D577">
        <f>IFERROR(__xludf.DUMMYFUNCTION("""COMPUTED_VALUE"""),2.0)</f>
        <v>2</v>
      </c>
      <c r="E577">
        <f>IFERROR(__xludf.DUMMYFUNCTION("""COMPUTED_VALUE"""),2.0)</f>
        <v>2</v>
      </c>
      <c r="F577" t="str">
        <f>IFERROR(__xludf.DUMMYFUNCTION("""COMPUTED_VALUE"""),"ACC Network")</f>
        <v>ACC Network</v>
      </c>
      <c r="G577" t="str">
        <f>IFERROR(__xludf.DUMMYFUNCTION("""COMPUTED_VALUE"""),"Louisville 24 at Florida State 35")</f>
        <v>Louisville 24 at Florida State 35</v>
      </c>
      <c r="H577" t="str">
        <f>IFERROR(__xludf.DUMMYFUNCTION("""COMPUTED_VALUE"""),"FINAL")</f>
        <v>FINAL</v>
      </c>
      <c r="I577">
        <f>IFERROR(__xludf.DUMMYFUNCTION("""COMPUTED_VALUE"""),7.0)</f>
        <v>7</v>
      </c>
      <c r="J577">
        <f>IFERROR(__xludf.DUMMYFUNCTION("""COMPUTED_VALUE"""),57.0)</f>
        <v>57</v>
      </c>
      <c r="K577" t="str">
        <f>IFERROR(__xludf.DUMMYFUNCTION("""COMPUTED_VALUE"""),"Undrafted")</f>
        <v>Undrafted</v>
      </c>
      <c r="L577">
        <f>IFERROR(__xludf.DUMMYFUNCTION("""COMPUTED_VALUE"""),9999.0)</f>
        <v>9999</v>
      </c>
      <c r="M577" s="124">
        <v>4.0</v>
      </c>
    </row>
    <row r="578">
      <c r="A578" s="151">
        <f>IFERROR(__xludf.DUMMYFUNCTION("""COMPUTED_VALUE"""),43730.147751111115)</f>
        <v>43730.14775</v>
      </c>
      <c r="B578" t="str">
        <f>IFERROR(__xludf.DUMMYFUNCTION("""COMPUTED_VALUE"""),"Josh R.")</f>
        <v>Josh R.</v>
      </c>
      <c r="C578" t="str">
        <f>IFERROR(__xludf.DUMMYFUNCTION("""COMPUTED_VALUE"""),"Kansas")</f>
        <v>Kansas</v>
      </c>
      <c r="D578">
        <f>IFERROR(__xludf.DUMMYFUNCTION("""COMPUTED_VALUE"""),2.0)</f>
        <v>2</v>
      </c>
      <c r="E578">
        <f>IFERROR(__xludf.DUMMYFUNCTION("""COMPUTED_VALUE"""),2.0)</f>
        <v>2</v>
      </c>
      <c r="F578" t="str">
        <f>IFERROR(__xludf.DUMMYFUNCTION("""COMPUTED_VALUE"""),"ACC Network")</f>
        <v>ACC Network</v>
      </c>
      <c r="G578" t="str">
        <f>IFERROR(__xludf.DUMMYFUNCTION("""COMPUTED_VALUE"""),"West Virginia 29 at Kansas 24")</f>
        <v>West Virginia 29 at Kansas 24</v>
      </c>
      <c r="H578" t="str">
        <f>IFERROR(__xludf.DUMMYFUNCTION("""COMPUTED_VALUE"""),"FINAL")</f>
        <v>FINAL</v>
      </c>
      <c r="I578">
        <f>IFERROR(__xludf.DUMMYFUNCTION("""COMPUTED_VALUE"""),21.0)</f>
        <v>21</v>
      </c>
      <c r="J578">
        <f>IFERROR(__xludf.DUMMYFUNCTION("""COMPUTED_VALUE"""),53.0)</f>
        <v>53</v>
      </c>
      <c r="K578" t="str">
        <f>IFERROR(__xludf.DUMMYFUNCTION("""COMPUTED_VALUE"""),"Nico")</f>
        <v>Nico</v>
      </c>
      <c r="L578">
        <f>IFERROR(__xludf.DUMMYFUNCTION("""COMPUTED_VALUE"""),9999.0)</f>
        <v>9999</v>
      </c>
      <c r="M578" s="124">
        <v>4.0</v>
      </c>
    </row>
    <row r="579">
      <c r="A579" s="151">
        <f>IFERROR(__xludf.DUMMYFUNCTION("""COMPUTED_VALUE"""),43730.147751111115)</f>
        <v>43730.14775</v>
      </c>
      <c r="B579" t="str">
        <f>IFERROR(__xludf.DUMMYFUNCTION("""COMPUTED_VALUE"""),"Josh R.")</f>
        <v>Josh R.</v>
      </c>
      <c r="C579" t="str">
        <f>IFERROR(__xludf.DUMMYFUNCTION("""COMPUTED_VALUE"""),"Kentucky")</f>
        <v>Kentucky</v>
      </c>
      <c r="D579">
        <f>IFERROR(__xludf.DUMMYFUNCTION("""COMPUTED_VALUE"""),2.0)</f>
        <v>2</v>
      </c>
      <c r="E579">
        <f>IFERROR(__xludf.DUMMYFUNCTION("""COMPUTED_VALUE"""),2.0)</f>
        <v>2</v>
      </c>
      <c r="F579" t="str">
        <f>IFERROR(__xludf.DUMMYFUNCTION("""COMPUTED_VALUE"""),"ESPN")</f>
        <v>ESPN</v>
      </c>
      <c r="G579" t="str">
        <f>IFERROR(__xludf.DUMMYFUNCTION("""COMPUTED_VALUE"""),"Kentucky 13 at Mississippi State 28")</f>
        <v>Kentucky 13 at Mississippi State 28</v>
      </c>
      <c r="H579" t="str">
        <f>IFERROR(__xludf.DUMMYFUNCTION("""COMPUTED_VALUE"""),"FINAL")</f>
        <v>FINAL</v>
      </c>
      <c r="I579">
        <f>IFERROR(__xludf.DUMMYFUNCTION("""COMPUTED_VALUE"""),8.0)</f>
        <v>8</v>
      </c>
      <c r="J579" t="str">
        <f>IFERROR(__xludf.DUMMYFUNCTION("""COMPUTED_VALUE"""),"50½")</f>
        <v>50½</v>
      </c>
      <c r="K579" t="str">
        <f>IFERROR(__xludf.DUMMYFUNCTION("""COMPUTED_VALUE"""),"Jeannine")</f>
        <v>Jeannine</v>
      </c>
      <c r="L579">
        <f>IFERROR(__xludf.DUMMYFUNCTION("""COMPUTED_VALUE"""),9999.0)</f>
        <v>9999</v>
      </c>
      <c r="M579" s="124">
        <v>4.0</v>
      </c>
    </row>
    <row r="580">
      <c r="A580" s="151">
        <f>IFERROR(__xludf.DUMMYFUNCTION("""COMPUTED_VALUE"""),43730.147751111115)</f>
        <v>43730.14775</v>
      </c>
      <c r="B580" t="str">
        <f>IFERROR(__xludf.DUMMYFUNCTION("""COMPUTED_VALUE"""),"Josh R.")</f>
        <v>Josh R.</v>
      </c>
      <c r="C580" t="str">
        <f>IFERROR(__xludf.DUMMYFUNCTION("""COMPUTED_VALUE"""),"USC")</f>
        <v>USC</v>
      </c>
      <c r="D580">
        <f>IFERROR(__xludf.DUMMYFUNCTION("""COMPUTED_VALUE"""),3.0)</f>
        <v>3</v>
      </c>
      <c r="E580">
        <f>IFERROR(__xludf.DUMMYFUNCTION("""COMPUTED_VALUE"""),1.0)</f>
        <v>1</v>
      </c>
      <c r="F580" t="str">
        <f>IFERROR(__xludf.DUMMYFUNCTION("""COMPUTED_VALUE"""),"ABC")</f>
        <v>ABC</v>
      </c>
      <c r="G580" t="str">
        <f>IFERROR(__xludf.DUMMYFUNCTION("""COMPUTED_VALUE"""),"(11) Utah 23 at USC 30")</f>
        <v>(11) Utah 23 at USC 30</v>
      </c>
      <c r="H580" t="str">
        <f>IFERROR(__xludf.DUMMYFUNCTION("""COMPUTED_VALUE"""),"FINAL")</f>
        <v>FINAL</v>
      </c>
      <c r="I580" t="str">
        <f>IFERROR(__xludf.DUMMYFUNCTION("""COMPUTED_VALUE"""),"-4½")</f>
        <v>-4½</v>
      </c>
      <c r="J580" t="str">
        <f>IFERROR(__xludf.DUMMYFUNCTION("""COMPUTED_VALUE"""),"55½")</f>
        <v>55½</v>
      </c>
      <c r="K580" t="str">
        <f>IFERROR(__xludf.DUMMYFUNCTION("""COMPUTED_VALUE"""),"Brad")</f>
        <v>Brad</v>
      </c>
      <c r="L580">
        <f>IFERROR(__xludf.DUMMYFUNCTION("""COMPUTED_VALUE"""),9999.0)</f>
        <v>9999</v>
      </c>
      <c r="M580" s="124">
        <v>4.0</v>
      </c>
    </row>
    <row r="581">
      <c r="A581" s="151">
        <f>IFERROR(__xludf.DUMMYFUNCTION("""COMPUTED_VALUE"""),43730.147751111115)</f>
        <v>43730.14775</v>
      </c>
      <c r="B581" t="str">
        <f>IFERROR(__xludf.DUMMYFUNCTION("""COMPUTED_VALUE"""),"Josh R.")</f>
        <v>Josh R.</v>
      </c>
      <c r="C581" t="str">
        <f>IFERROR(__xludf.DUMMYFUNCTION("""COMPUTED_VALUE"""),"Minnesota")</f>
        <v>Minnesota</v>
      </c>
      <c r="D581">
        <f>IFERROR(__xludf.DUMMYFUNCTION("""COMPUTED_VALUE"""),3.0)</f>
        <v>3</v>
      </c>
      <c r="E581">
        <f>IFERROR(__xludf.DUMMYFUNCTION("""COMPUTED_VALUE"""),0.0)</f>
        <v>0</v>
      </c>
      <c r="F581" t="str">
        <f>IFERROR(__xludf.DUMMYFUNCTION("""COMPUTED_VALUE"""),"BTN")</f>
        <v>BTN</v>
      </c>
      <c r="G581" t="str">
        <f>IFERROR(__xludf.DUMMYFUNCTION("""COMPUTED_VALUE"""),"BYE")</f>
        <v>BYE</v>
      </c>
      <c r="I581" t="str">
        <f>IFERROR(__xludf.DUMMYFUNCTION("""COMPUTED_VALUE"""),"-15½")</f>
        <v>-15½</v>
      </c>
      <c r="J581">
        <f>IFERROR(__xludf.DUMMYFUNCTION("""COMPUTED_VALUE"""),46.0)</f>
        <v>46</v>
      </c>
      <c r="L581">
        <f>IFERROR(__xludf.DUMMYFUNCTION("""COMPUTED_VALUE"""),9999.0)</f>
        <v>9999</v>
      </c>
      <c r="M581" s="124">
        <v>4.0</v>
      </c>
    </row>
    <row r="582">
      <c r="A582" s="151">
        <f>IFERROR(__xludf.DUMMYFUNCTION("""COMPUTED_VALUE"""),43730.147751111115)</f>
        <v>43730.14775</v>
      </c>
      <c r="B582" t="str">
        <f>IFERROR(__xludf.DUMMYFUNCTION("""COMPUTED_VALUE"""),"Brad")</f>
        <v>Brad</v>
      </c>
      <c r="C582" t="str">
        <f>IFERROR(__xludf.DUMMYFUNCTION("""COMPUTED_VALUE"""),"Texas State")</f>
        <v>Texas State</v>
      </c>
      <c r="D582">
        <f>IFERROR(__xludf.DUMMYFUNCTION("""COMPUTED_VALUE"""),1.0)</f>
        <v>1</v>
      </c>
      <c r="E582">
        <f>IFERROR(__xludf.DUMMYFUNCTION("""COMPUTED_VALUE"""),3.0)</f>
        <v>3</v>
      </c>
      <c r="F582" t="str">
        <f>IFERROR(__xludf.DUMMYFUNCTION("""COMPUTED_VALUE"""),"espn3 Video")</f>
        <v>espn3 Video</v>
      </c>
      <c r="G582" t="str">
        <f>IFERROR(__xludf.DUMMYFUNCTION("""COMPUTED_VALUE"""),"Georgia State 34 at Texas State 37")</f>
        <v>Georgia State 34 at Texas State 37</v>
      </c>
      <c r="H582" t="str">
        <f>IFERROR(__xludf.DUMMYFUNCTION("""COMPUTED_VALUE"""),"FINAL - 3RD OT")</f>
        <v>FINAL - 3RD OT</v>
      </c>
      <c r="I582" t="str">
        <f>IFERROR(__xludf.DUMMYFUNCTION("""COMPUTED_VALUE"""),"17½")</f>
        <v>17½</v>
      </c>
      <c r="J582" t="str">
        <f>IFERROR(__xludf.DUMMYFUNCTION("""COMPUTED_VALUE"""),"59½")</f>
        <v>59½</v>
      </c>
      <c r="K582" t="str">
        <f>IFERROR(__xludf.DUMMYFUNCTION("""COMPUTED_VALUE"""),"Adam")</f>
        <v>Adam</v>
      </c>
      <c r="L582">
        <f>IFERROR(__xludf.DUMMYFUNCTION("""COMPUTED_VALUE"""),9999.0)</f>
        <v>9999</v>
      </c>
      <c r="M582" s="124">
        <v>4.0</v>
      </c>
    </row>
    <row r="583">
      <c r="A583" s="151">
        <f>IFERROR(__xludf.DUMMYFUNCTION("""COMPUTED_VALUE"""),43730.147751111115)</f>
        <v>43730.14775</v>
      </c>
      <c r="B583" t="str">
        <f>IFERROR(__xludf.DUMMYFUNCTION("""COMPUTED_VALUE"""),"Brad")</f>
        <v>Brad</v>
      </c>
      <c r="C583" t="str">
        <f>IFERROR(__xludf.DUMMYFUNCTION("""COMPUTED_VALUE"""),"EMU")</f>
        <v>EMU</v>
      </c>
      <c r="D583">
        <f>IFERROR(__xludf.DUMMYFUNCTION("""COMPUTED_VALUE"""),3.0)</f>
        <v>3</v>
      </c>
      <c r="E583">
        <f>IFERROR(__xludf.DUMMYFUNCTION("""COMPUTED_VALUE"""),1.0)</f>
        <v>1</v>
      </c>
      <c r="F583" t="str">
        <f>IFERROR(__xludf.DUMMYFUNCTION("""COMPUTED_VALUE"""),"NA")</f>
        <v>NA</v>
      </c>
      <c r="G583" t="str">
        <f>IFERROR(__xludf.DUMMYFUNCTION("""COMPUTED_VALUE"""),"Central Connecticut 29 at EMU 34")</f>
        <v>Central Connecticut 29 at EMU 34</v>
      </c>
      <c r="H583" t="str">
        <f>IFERROR(__xludf.DUMMYFUNCTION("""COMPUTED_VALUE"""),"FINAL")</f>
        <v>FINAL</v>
      </c>
      <c r="I583" t="str">
        <f>IFERROR(__xludf.DUMMYFUNCTION("""COMPUTED_VALUE"""),"7½")</f>
        <v>7½</v>
      </c>
      <c r="J583" t="str">
        <f>IFERROR(__xludf.DUMMYFUNCTION("""COMPUTED_VALUE"""),"55½")</f>
        <v>55½</v>
      </c>
      <c r="K583" t="str">
        <f>IFERROR(__xludf.DUMMYFUNCTION("""COMPUTED_VALUE"""),"Undrafted")</f>
        <v>Undrafted</v>
      </c>
      <c r="L583">
        <f>IFERROR(__xludf.DUMMYFUNCTION("""COMPUTED_VALUE"""),9999.0)</f>
        <v>9999</v>
      </c>
      <c r="M583" s="124">
        <v>4.0</v>
      </c>
    </row>
    <row r="584">
      <c r="A584" s="151">
        <f>IFERROR(__xludf.DUMMYFUNCTION("""COMPUTED_VALUE"""),43730.147751111115)</f>
        <v>43730.14775</v>
      </c>
      <c r="B584" t="str">
        <f>IFERROR(__xludf.DUMMYFUNCTION("""COMPUTED_VALUE"""),"Brad")</f>
        <v>Brad</v>
      </c>
      <c r="C584" t="str">
        <f>IFERROR(__xludf.DUMMYFUNCTION("""COMPUTED_VALUE"""),"Memphis")</f>
        <v>Memphis</v>
      </c>
      <c r="D584">
        <f>IFERROR(__xludf.DUMMYFUNCTION("""COMPUTED_VALUE"""),3.0)</f>
        <v>3</v>
      </c>
      <c r="E584">
        <f>IFERROR(__xludf.DUMMYFUNCTION("""COMPUTED_VALUE"""),0.0)</f>
        <v>0</v>
      </c>
      <c r="F584" t="str">
        <f>IFERROR(__xludf.DUMMYFUNCTION("""COMPUTED_VALUE"""),"ESPNU")</f>
        <v>ESPNU</v>
      </c>
      <c r="G584" t="str">
        <f>IFERROR(__xludf.DUMMYFUNCTION("""COMPUTED_VALUE"""),"BYE")</f>
        <v>BYE</v>
      </c>
      <c r="I584">
        <f>IFERROR(__xludf.DUMMYFUNCTION("""COMPUTED_VALUE"""),-19.0)</f>
        <v>-19</v>
      </c>
      <c r="J584" t="str">
        <f>IFERROR(__xludf.DUMMYFUNCTION("""COMPUTED_VALUE"""),"57½")</f>
        <v>57½</v>
      </c>
      <c r="L584">
        <f>IFERROR(__xludf.DUMMYFUNCTION("""COMPUTED_VALUE"""),9999.0)</f>
        <v>9999</v>
      </c>
      <c r="M584" s="124">
        <v>4.0</v>
      </c>
    </row>
    <row r="585">
      <c r="A585" s="151">
        <f>IFERROR(__xludf.DUMMYFUNCTION("""COMPUTED_VALUE"""),43730.147751111115)</f>
        <v>43730.14775</v>
      </c>
      <c r="B585" t="str">
        <f>IFERROR(__xludf.DUMMYFUNCTION("""COMPUTED_VALUE"""),"Brad")</f>
        <v>Brad</v>
      </c>
      <c r="C585" t="str">
        <f>IFERROR(__xludf.DUMMYFUNCTION("""COMPUTED_VALUE"""),"South Carolina")</f>
        <v>South Carolina</v>
      </c>
      <c r="D585">
        <f>IFERROR(__xludf.DUMMYFUNCTION("""COMPUTED_VALUE"""),1.0)</f>
        <v>1</v>
      </c>
      <c r="E585">
        <f>IFERROR(__xludf.DUMMYFUNCTION("""COMPUTED_VALUE"""),3.0)</f>
        <v>3</v>
      </c>
      <c r="F585" t="str">
        <f>IFERROR(__xludf.DUMMYFUNCTION("""COMPUTED_VALUE"""),"CBS")</f>
        <v>CBS</v>
      </c>
      <c r="G585" t="str">
        <f>IFERROR(__xludf.DUMMYFUNCTION("""COMPUTED_VALUE"""),"South Carolina 14 at Missouri 34")</f>
        <v>South Carolina 14 at Missouri 34</v>
      </c>
      <c r="H585" t="str">
        <f>IFERROR(__xludf.DUMMYFUNCTION("""COMPUTED_VALUE"""),"FINAL")</f>
        <v>FINAL</v>
      </c>
      <c r="I585" t="str">
        <f>IFERROR(__xludf.DUMMYFUNCTION("""COMPUTED_VALUE"""),"25½")</f>
        <v>25½</v>
      </c>
      <c r="J585">
        <f>IFERROR(__xludf.DUMMYFUNCTION("""COMPUTED_VALUE"""),60.0)</f>
        <v>60</v>
      </c>
      <c r="K585" t="str">
        <f>IFERROR(__xludf.DUMMYFUNCTION("""COMPUTED_VALUE"""),"Gary")</f>
        <v>Gary</v>
      </c>
      <c r="L585">
        <f>IFERROR(__xludf.DUMMYFUNCTION("""COMPUTED_VALUE"""),9999.0)</f>
        <v>9999</v>
      </c>
      <c r="M585" s="124">
        <v>4.0</v>
      </c>
    </row>
    <row r="586">
      <c r="A586" s="151">
        <f>IFERROR(__xludf.DUMMYFUNCTION("""COMPUTED_VALUE"""),43730.147751111115)</f>
        <v>43730.14775</v>
      </c>
      <c r="B586" t="str">
        <f>IFERROR(__xludf.DUMMYFUNCTION("""COMPUTED_VALUE"""),"Brad")</f>
        <v>Brad</v>
      </c>
      <c r="C586" t="str">
        <f>IFERROR(__xludf.DUMMYFUNCTION("""COMPUTED_VALUE"""),"Utah")</f>
        <v>Utah</v>
      </c>
      <c r="D586">
        <f>IFERROR(__xludf.DUMMYFUNCTION("""COMPUTED_VALUE"""),3.0)</f>
        <v>3</v>
      </c>
      <c r="E586">
        <f>IFERROR(__xludf.DUMMYFUNCTION("""COMPUTED_VALUE"""),1.0)</f>
        <v>1</v>
      </c>
      <c r="F586" t="str">
        <f>IFERROR(__xludf.DUMMYFUNCTION("""COMPUTED_VALUE"""),"Pac-12 Mountain")</f>
        <v>Pac-12 Mountain</v>
      </c>
      <c r="G586" t="str">
        <f>IFERROR(__xludf.DUMMYFUNCTION("""COMPUTED_VALUE"""),"(11) Utah 23 at USC 30")</f>
        <v>(11) Utah 23 at USC 30</v>
      </c>
      <c r="H586" t="str">
        <f>IFERROR(__xludf.DUMMYFUNCTION("""COMPUTED_VALUE"""),"FINAL")</f>
        <v>FINAL</v>
      </c>
      <c r="I586" t="str">
        <f>IFERROR(__xludf.DUMMYFUNCTION("""COMPUTED_VALUE"""),"-36½")</f>
        <v>-36½</v>
      </c>
      <c r="J586">
        <f>IFERROR(__xludf.DUMMYFUNCTION("""COMPUTED_VALUE"""),64.0)</f>
        <v>64</v>
      </c>
      <c r="K586" t="str">
        <f>IFERROR(__xludf.DUMMYFUNCTION("""COMPUTED_VALUE"""),"Josh R.")</f>
        <v>Josh R.</v>
      </c>
      <c r="L586">
        <f>IFERROR(__xludf.DUMMYFUNCTION("""COMPUTED_VALUE"""),9999.0)</f>
        <v>9999</v>
      </c>
      <c r="M586" s="124">
        <v>4.0</v>
      </c>
    </row>
    <row r="587">
      <c r="A587" s="151">
        <f>IFERROR(__xludf.DUMMYFUNCTION("""COMPUTED_VALUE"""),43730.147751111115)</f>
        <v>43730.14775</v>
      </c>
      <c r="B587" t="str">
        <f>IFERROR(__xludf.DUMMYFUNCTION("""COMPUTED_VALUE"""),"Brad")</f>
        <v>Brad</v>
      </c>
      <c r="C587" t="str">
        <f>IFERROR(__xludf.DUMMYFUNCTION("""COMPUTED_VALUE"""),"Louisiana Tech")</f>
        <v>Louisiana Tech</v>
      </c>
      <c r="D587">
        <f>IFERROR(__xludf.DUMMYFUNCTION("""COMPUTED_VALUE"""),3.0)</f>
        <v>3</v>
      </c>
      <c r="E587">
        <f>IFERROR(__xludf.DUMMYFUNCTION("""COMPUTED_VALUE"""),1.0)</f>
        <v>1</v>
      </c>
      <c r="F587" t="str">
        <f>IFERROR(__xludf.DUMMYFUNCTION("""COMPUTED_VALUE"""),"espn+ Video")</f>
        <v>espn+ Video</v>
      </c>
      <c r="G587" t="str">
        <f>IFERROR(__xludf.DUMMYFUNCTION("""COMPUTED_VALUE"""),"Florida Intl 31 at Louisiana Tech 43")</f>
        <v>Florida Intl 31 at Louisiana Tech 43</v>
      </c>
      <c r="H587" t="str">
        <f>IFERROR(__xludf.DUMMYFUNCTION("""COMPUTED_VALUE"""),"FINAL")</f>
        <v>FINAL</v>
      </c>
      <c r="I587" t="str">
        <f>IFERROR(__xludf.DUMMYFUNCTION("""COMPUTED_VALUE"""),"-10½")</f>
        <v>-10½</v>
      </c>
      <c r="J587" t="str">
        <f>IFERROR(__xludf.DUMMYFUNCTION("""COMPUTED_VALUE"""),"58½")</f>
        <v>58½</v>
      </c>
      <c r="K587" t="str">
        <f>IFERROR(__xludf.DUMMYFUNCTION("""COMPUTED_VALUE"""),"Adam")</f>
        <v>Adam</v>
      </c>
      <c r="L587">
        <f>IFERROR(__xludf.DUMMYFUNCTION("""COMPUTED_VALUE"""),9999.0)</f>
        <v>9999</v>
      </c>
      <c r="M587" s="124">
        <v>4.0</v>
      </c>
    </row>
    <row r="588">
      <c r="A588" s="151">
        <f>IFERROR(__xludf.DUMMYFUNCTION("""COMPUTED_VALUE"""),43730.147751111115)</f>
        <v>43730.14775</v>
      </c>
      <c r="B588" t="str">
        <f>IFERROR(__xludf.DUMMYFUNCTION("""COMPUTED_VALUE"""),"Brad")</f>
        <v>Brad</v>
      </c>
      <c r="C588" t="str">
        <f>IFERROR(__xludf.DUMMYFUNCTION("""COMPUTED_VALUE"""),"Indiana")</f>
        <v>Indiana</v>
      </c>
      <c r="D588">
        <f>IFERROR(__xludf.DUMMYFUNCTION("""COMPUTED_VALUE"""),3.0)</f>
        <v>3</v>
      </c>
      <c r="E588">
        <f>IFERROR(__xludf.DUMMYFUNCTION("""COMPUTED_VALUE"""),1.0)</f>
        <v>1</v>
      </c>
      <c r="F588" t="str">
        <f>IFERROR(__xludf.DUMMYFUNCTION("""COMPUTED_VALUE"""),"FOX")</f>
        <v>FOX</v>
      </c>
      <c r="G588" t="str">
        <f>IFERROR(__xludf.DUMMYFUNCTION("""COMPUTED_VALUE"""),"UConn 3 at Indiana 38")</f>
        <v>UConn 3 at Indiana 38</v>
      </c>
      <c r="H588" t="str">
        <f>IFERROR(__xludf.DUMMYFUNCTION("""COMPUTED_VALUE"""),"FINAL")</f>
        <v>FINAL</v>
      </c>
      <c r="I588">
        <f>IFERROR(__xludf.DUMMYFUNCTION("""COMPUTED_VALUE"""),16.0)</f>
        <v>16</v>
      </c>
      <c r="J588">
        <f>IFERROR(__xludf.DUMMYFUNCTION("""COMPUTED_VALUE"""),61.0)</f>
        <v>61</v>
      </c>
      <c r="K588" t="str">
        <f>IFERROR(__xludf.DUMMYFUNCTION("""COMPUTED_VALUE"""),"Nick G.")</f>
        <v>Nick G.</v>
      </c>
      <c r="L588">
        <f>IFERROR(__xludf.DUMMYFUNCTION("""COMPUTED_VALUE"""),9999.0)</f>
        <v>9999</v>
      </c>
      <c r="M588" s="124">
        <v>4.0</v>
      </c>
    </row>
    <row r="589">
      <c r="A589" s="151">
        <f>IFERROR(__xludf.DUMMYFUNCTION("""COMPUTED_VALUE"""),43730.147751111115)</f>
        <v>43730.14775</v>
      </c>
      <c r="B589" t="str">
        <f>IFERROR(__xludf.DUMMYFUNCTION("""COMPUTED_VALUE"""),"Brad")</f>
        <v>Brad</v>
      </c>
      <c r="C589" t="str">
        <f>IFERROR(__xludf.DUMMYFUNCTION("""COMPUTED_VALUE"""),"Colorado State")</f>
        <v>Colorado State</v>
      </c>
      <c r="D589">
        <f>IFERROR(__xludf.DUMMYFUNCTION("""COMPUTED_VALUE"""),1.0)</f>
        <v>1</v>
      </c>
      <c r="E589">
        <f>IFERROR(__xludf.DUMMYFUNCTION("""COMPUTED_VALUE"""),2.0)</f>
        <v>2</v>
      </c>
      <c r="F589" t="str">
        <f>IFERROR(__xludf.DUMMYFUNCTION("""COMPUTED_VALUE"""),"SEC Network")</f>
        <v>SEC Network</v>
      </c>
      <c r="G589" t="str">
        <f>IFERROR(__xludf.DUMMYFUNCTION("""COMPUTED_VALUE"""),"Toledo 41 at Colorado State 35")</f>
        <v>Toledo 41 at Colorado State 35</v>
      </c>
      <c r="H589" t="str">
        <f>IFERROR(__xludf.DUMMYFUNCTION("""COMPUTED_VALUE"""),"FINAL")</f>
        <v>FINAL</v>
      </c>
      <c r="I589" t="str">
        <f>IFERROR(__xludf.DUMMYFUNCTION("""COMPUTED_VALUE"""),"9½")</f>
        <v>9½</v>
      </c>
      <c r="J589" t="str">
        <f>IFERROR(__xludf.DUMMYFUNCTION("""COMPUTED_VALUE"""),"60½")</f>
        <v>60½</v>
      </c>
      <c r="K589" t="str">
        <f>IFERROR(__xludf.DUMMYFUNCTION("""COMPUTED_VALUE"""),"Josh R.")</f>
        <v>Josh R.</v>
      </c>
      <c r="L589">
        <f>IFERROR(__xludf.DUMMYFUNCTION("""COMPUTED_VALUE"""),9999.0)</f>
        <v>9999</v>
      </c>
      <c r="M589" s="124">
        <v>4.0</v>
      </c>
    </row>
    <row r="590">
      <c r="A590" s="151">
        <f>IFERROR(__xludf.DUMMYFUNCTION("""COMPUTED_VALUE"""),43730.147751111115)</f>
        <v>43730.14775</v>
      </c>
      <c r="B590" t="str">
        <f>IFERROR(__xludf.DUMMYFUNCTION("""COMPUTED_VALUE"""),"Brad")</f>
        <v>Brad</v>
      </c>
      <c r="C590" t="str">
        <f>IFERROR(__xludf.DUMMYFUNCTION("""COMPUTED_VALUE"""),"Oklahoma State")</f>
        <v>Oklahoma State</v>
      </c>
      <c r="D590">
        <f>IFERROR(__xludf.DUMMYFUNCTION("""COMPUTED_VALUE"""),3.0)</f>
        <v>3</v>
      </c>
      <c r="E590">
        <f>IFERROR(__xludf.DUMMYFUNCTION("""COMPUTED_VALUE"""),1.0)</f>
        <v>1</v>
      </c>
      <c r="F590" t="str">
        <f>IFERROR(__xludf.DUMMYFUNCTION("""COMPUTED_VALUE"""),"ESPN2")</f>
        <v>ESPN2</v>
      </c>
      <c r="G590" t="str">
        <f>IFERROR(__xludf.DUMMYFUNCTION("""COMPUTED_VALUE"""),"Oklahoma State 30 at (13) Texas 36")</f>
        <v>Oklahoma State 30 at (13) Texas 36</v>
      </c>
      <c r="H590" t="str">
        <f>IFERROR(__xludf.DUMMYFUNCTION("""COMPUTED_VALUE"""),"FINAL")</f>
        <v>FINAL</v>
      </c>
      <c r="I590">
        <f>IFERROR(__xludf.DUMMYFUNCTION("""COMPUTED_VALUE"""),-14.0)</f>
        <v>-14</v>
      </c>
      <c r="J590">
        <f>IFERROR(__xludf.DUMMYFUNCTION("""COMPUTED_VALUE"""),65.0)</f>
        <v>65</v>
      </c>
      <c r="K590" t="str">
        <f>IFERROR(__xludf.DUMMYFUNCTION("""COMPUTED_VALUE"""),"Adam")</f>
        <v>Adam</v>
      </c>
      <c r="L590">
        <f>IFERROR(__xludf.DUMMYFUNCTION("""COMPUTED_VALUE"""),9999.0)</f>
        <v>9999</v>
      </c>
      <c r="M590" s="124">
        <v>4.0</v>
      </c>
    </row>
    <row r="591">
      <c r="A591" s="151">
        <f>IFERROR(__xludf.DUMMYFUNCTION("""COMPUTED_VALUE"""),43730.147751111115)</f>
        <v>43730.14775</v>
      </c>
      <c r="B591" t="str">
        <f>IFERROR(__xludf.DUMMYFUNCTION("""COMPUTED_VALUE"""),"Brad")</f>
        <v>Brad</v>
      </c>
      <c r="C591" t="str">
        <f>IFERROR(__xludf.DUMMYFUNCTION("""COMPUTED_VALUE"""),"Miami")</f>
        <v>Miami</v>
      </c>
      <c r="D591">
        <f>IFERROR(__xludf.DUMMYFUNCTION("""COMPUTED_VALUE"""),2.0)</f>
        <v>2</v>
      </c>
      <c r="E591">
        <f>IFERROR(__xludf.DUMMYFUNCTION("""COMPUTED_VALUE"""),2.0)</f>
        <v>2</v>
      </c>
      <c r="F591" t="str">
        <f>IFERROR(__xludf.DUMMYFUNCTION("""COMPUTED_VALUE"""),"ACC Network")</f>
        <v>ACC Network</v>
      </c>
      <c r="G591" t="str">
        <f>IFERROR(__xludf.DUMMYFUNCTION("""COMPUTED_VALUE"""),"Central Michigan 12 at Miami 17")</f>
        <v>Central Michigan 12 at Miami 17</v>
      </c>
      <c r="H591" t="str">
        <f>IFERROR(__xludf.DUMMYFUNCTION("""COMPUTED_VALUE"""),"FINAL")</f>
        <v>FINAL</v>
      </c>
      <c r="I591">
        <f>IFERROR(__xludf.DUMMYFUNCTION("""COMPUTED_VALUE"""),-41.0)</f>
        <v>-41</v>
      </c>
      <c r="J591">
        <f>IFERROR(__xludf.DUMMYFUNCTION("""COMPUTED_VALUE"""),56.0)</f>
        <v>56</v>
      </c>
      <c r="K591" t="str">
        <f>IFERROR(__xludf.DUMMYFUNCTION("""COMPUTED_VALUE"""),"Nick G.")</f>
        <v>Nick G.</v>
      </c>
      <c r="L591">
        <f>IFERROR(__xludf.DUMMYFUNCTION("""COMPUTED_VALUE"""),9999.0)</f>
        <v>9999</v>
      </c>
      <c r="M591" s="124">
        <v>4.0</v>
      </c>
    </row>
    <row r="592">
      <c r="A592" s="151">
        <f>IFERROR(__xludf.DUMMYFUNCTION("""COMPUTED_VALUE"""),43730.147751111115)</f>
        <v>43730.14775</v>
      </c>
      <c r="B592" t="str">
        <f>IFERROR(__xludf.DUMMYFUNCTION("""COMPUTED_VALUE"""),"Nick G.")</f>
        <v>Nick G.</v>
      </c>
      <c r="C592" t="str">
        <f>IFERROR(__xludf.DUMMYFUNCTION("""COMPUTED_VALUE"""),"Central Michigan")</f>
        <v>Central Michigan</v>
      </c>
      <c r="D592">
        <f>IFERROR(__xludf.DUMMYFUNCTION("""COMPUTED_VALUE"""),2.0)</f>
        <v>2</v>
      </c>
      <c r="E592">
        <f>IFERROR(__xludf.DUMMYFUNCTION("""COMPUTED_VALUE"""),2.0)</f>
        <v>2</v>
      </c>
      <c r="F592" t="str">
        <f>IFERROR(__xludf.DUMMYFUNCTION("""COMPUTED_VALUE"""),"espn+ Video")</f>
        <v>espn+ Video</v>
      </c>
      <c r="G592" t="str">
        <f>IFERROR(__xludf.DUMMYFUNCTION("""COMPUTED_VALUE"""),"Central Michigan 12 at Miami 17")</f>
        <v>Central Michigan 12 at Miami 17</v>
      </c>
      <c r="H592" t="str">
        <f>IFERROR(__xludf.DUMMYFUNCTION("""COMPUTED_VALUE"""),"FINAL")</f>
        <v>FINAL</v>
      </c>
      <c r="I592" t="str">
        <f>IFERROR(__xludf.DUMMYFUNCTION("""COMPUTED_VALUE"""),"-3½")</f>
        <v>-3½</v>
      </c>
      <c r="J592" t="str">
        <f>IFERROR(__xludf.DUMMYFUNCTION("""COMPUTED_VALUE"""),"46½")</f>
        <v>46½</v>
      </c>
      <c r="K592" t="str">
        <f>IFERROR(__xludf.DUMMYFUNCTION("""COMPUTED_VALUE"""),"Brad")</f>
        <v>Brad</v>
      </c>
      <c r="L592">
        <f>IFERROR(__xludf.DUMMYFUNCTION("""COMPUTED_VALUE"""),9999.0)</f>
        <v>9999</v>
      </c>
      <c r="M592" s="124">
        <v>4.0</v>
      </c>
    </row>
    <row r="593">
      <c r="A593" s="151">
        <f>IFERROR(__xludf.DUMMYFUNCTION("""COMPUTED_VALUE"""),43730.147751111115)</f>
        <v>43730.14775</v>
      </c>
      <c r="B593" t="str">
        <f>IFERROR(__xludf.DUMMYFUNCTION("""COMPUTED_VALUE"""),"Nick G.")</f>
        <v>Nick G.</v>
      </c>
      <c r="C593" t="str">
        <f>IFERROR(__xludf.DUMMYFUNCTION("""COMPUTED_VALUE"""),"UConn")</f>
        <v>UConn</v>
      </c>
      <c r="D593">
        <f>IFERROR(__xludf.DUMMYFUNCTION("""COMPUTED_VALUE"""),1.0)</f>
        <v>1</v>
      </c>
      <c r="E593">
        <f>IFERROR(__xludf.DUMMYFUNCTION("""COMPUTED_VALUE"""),2.0)</f>
        <v>2</v>
      </c>
      <c r="F593" t="str">
        <f>IFERROR(__xludf.DUMMYFUNCTION("""COMPUTED_VALUE"""),"NA")</f>
        <v>NA</v>
      </c>
      <c r="G593" t="str">
        <f>IFERROR(__xludf.DUMMYFUNCTION("""COMPUTED_VALUE"""),"UConn 3 at Indiana 38")</f>
        <v>UConn 3 at Indiana 38</v>
      </c>
      <c r="H593" t="str">
        <f>IFERROR(__xludf.DUMMYFUNCTION("""COMPUTED_VALUE"""),"FINAL")</f>
        <v>FINAL</v>
      </c>
      <c r="I593" t="str">
        <f>IFERROR(__xludf.DUMMYFUNCTION("""COMPUTED_VALUE"""),"bye")</f>
        <v>bye</v>
      </c>
      <c r="J593" t="str">
        <f>IFERROR(__xludf.DUMMYFUNCTION("""COMPUTED_VALUE"""),"bye")</f>
        <v>bye</v>
      </c>
      <c r="K593" t="str">
        <f>IFERROR(__xludf.DUMMYFUNCTION("""COMPUTED_VALUE"""),"Brad")</f>
        <v>Brad</v>
      </c>
      <c r="L593">
        <f>IFERROR(__xludf.DUMMYFUNCTION("""COMPUTED_VALUE"""),9999.0)</f>
        <v>9999</v>
      </c>
      <c r="M593" s="124">
        <v>4.0</v>
      </c>
    </row>
    <row r="594">
      <c r="A594" s="151">
        <f>IFERROR(__xludf.DUMMYFUNCTION("""COMPUTED_VALUE"""),43730.147751111115)</f>
        <v>43730.14775</v>
      </c>
      <c r="B594" t="str">
        <f>IFERROR(__xludf.DUMMYFUNCTION("""COMPUTED_VALUE"""),"Nick G.")</f>
        <v>Nick G.</v>
      </c>
      <c r="C594" t="str">
        <f>IFERROR(__xludf.DUMMYFUNCTION("""COMPUTED_VALUE"""),"Florida Atlantic")</f>
        <v>Florida Atlantic</v>
      </c>
      <c r="D594">
        <f>IFERROR(__xludf.DUMMYFUNCTION("""COMPUTED_VALUE"""),2.0)</f>
        <v>2</v>
      </c>
      <c r="E594">
        <f>IFERROR(__xludf.DUMMYFUNCTION("""COMPUTED_VALUE"""),2.0)</f>
        <v>2</v>
      </c>
      <c r="F594" t="str">
        <f>IFERROR(__xludf.DUMMYFUNCTION("""COMPUTED_VALUE"""),"espn+ Video")</f>
        <v>espn+ Video</v>
      </c>
      <c r="G594" t="str">
        <f>IFERROR(__xludf.DUMMYFUNCTION("""COMPUTED_VALUE"""),"Wagner 7 at Florida Atlantic 42")</f>
        <v>Wagner 7 at Florida Atlantic 42</v>
      </c>
      <c r="H594" t="str">
        <f>IFERROR(__xludf.DUMMYFUNCTION("""COMPUTED_VALUE"""),"FINAL")</f>
        <v>FINAL</v>
      </c>
      <c r="I594" t="str">
        <f>IFERROR(__xludf.DUMMYFUNCTION("""COMPUTED_VALUE"""),"-2½")</f>
        <v>-2½</v>
      </c>
      <c r="J594" t="str">
        <f>IFERROR(__xludf.DUMMYFUNCTION("""COMPUTED_VALUE"""),"66½")</f>
        <v>66½</v>
      </c>
      <c r="K594" t="str">
        <f>IFERROR(__xludf.DUMMYFUNCTION("""COMPUTED_VALUE"""),"Undrafted")</f>
        <v>Undrafted</v>
      </c>
      <c r="L594">
        <f>IFERROR(__xludf.DUMMYFUNCTION("""COMPUTED_VALUE"""),9999.0)</f>
        <v>9999</v>
      </c>
      <c r="M594" s="124">
        <v>4.0</v>
      </c>
    </row>
    <row r="595">
      <c r="A595" s="151">
        <f>IFERROR(__xludf.DUMMYFUNCTION("""COMPUTED_VALUE"""),43730.147751111115)</f>
        <v>43730.14775</v>
      </c>
      <c r="B595" t="str">
        <f>IFERROR(__xludf.DUMMYFUNCTION("""COMPUTED_VALUE"""),"Nick G.")</f>
        <v>Nick G.</v>
      </c>
      <c r="C595" t="str">
        <f>IFERROR(__xludf.DUMMYFUNCTION("""COMPUTED_VALUE"""),"Stanford")</f>
        <v>Stanford</v>
      </c>
      <c r="D595">
        <f>IFERROR(__xludf.DUMMYFUNCTION("""COMPUTED_VALUE"""),1.0)</f>
        <v>1</v>
      </c>
      <c r="E595">
        <f>IFERROR(__xludf.DUMMYFUNCTION("""COMPUTED_VALUE"""),3.0)</f>
        <v>3</v>
      </c>
      <c r="F595" t="str">
        <f>IFERROR(__xludf.DUMMYFUNCTION("""COMPUTED_VALUE"""),"ESPN")</f>
        <v>ESPN</v>
      </c>
      <c r="G595" t="str">
        <f>IFERROR(__xludf.DUMMYFUNCTION("""COMPUTED_VALUE"""),"(17) Oregon 21 at Stanford 6")</f>
        <v>(17) Oregon 21 at Stanford 6</v>
      </c>
      <c r="H595" t="str">
        <f>IFERROR(__xludf.DUMMYFUNCTION("""COMPUTED_VALUE"""),"FINAL")</f>
        <v>FINAL</v>
      </c>
      <c r="I595" t="str">
        <f>IFERROR(__xludf.DUMMYFUNCTION("""COMPUTED_VALUE"""),"7½")</f>
        <v>7½</v>
      </c>
      <c r="J595" t="str">
        <f>IFERROR(__xludf.DUMMYFUNCTION("""COMPUTED_VALUE"""),"61½")</f>
        <v>61½</v>
      </c>
      <c r="K595" t="str">
        <f>IFERROR(__xludf.DUMMYFUNCTION("""COMPUTED_VALUE"""),"Justin")</f>
        <v>Justin</v>
      </c>
      <c r="L595">
        <f>IFERROR(__xludf.DUMMYFUNCTION("""COMPUTED_VALUE"""),9999.0)</f>
        <v>9999</v>
      </c>
      <c r="M595" s="124">
        <v>4.0</v>
      </c>
    </row>
    <row r="596">
      <c r="A596" s="151">
        <f>IFERROR(__xludf.DUMMYFUNCTION("""COMPUTED_VALUE"""),43730.147751111115)</f>
        <v>43730.14775</v>
      </c>
      <c r="B596" t="str">
        <f>IFERROR(__xludf.DUMMYFUNCTION("""COMPUTED_VALUE"""),"Nick G.")</f>
        <v>Nick G.</v>
      </c>
      <c r="C596" t="str">
        <f>IFERROR(__xludf.DUMMYFUNCTION("""COMPUTED_VALUE"""),"Troy")</f>
        <v>Troy</v>
      </c>
      <c r="D596">
        <f>IFERROR(__xludf.DUMMYFUNCTION("""COMPUTED_VALUE"""),2.0)</f>
        <v>2</v>
      </c>
      <c r="E596">
        <f>IFERROR(__xludf.DUMMYFUNCTION("""COMPUTED_VALUE"""),1.0)</f>
        <v>1</v>
      </c>
      <c r="F596" t="str">
        <f>IFERROR(__xludf.DUMMYFUNCTION("""COMPUTED_VALUE"""),"espn+ Video")</f>
        <v>espn+ Video</v>
      </c>
      <c r="G596" t="str">
        <f>IFERROR(__xludf.DUMMYFUNCTION("""COMPUTED_VALUE"""),"Troy 35 at Akron 7")</f>
        <v>Troy 35 at Akron 7</v>
      </c>
      <c r="H596" t="str">
        <f>IFERROR(__xludf.DUMMYFUNCTION("""COMPUTED_VALUE"""),"FINAL")</f>
        <v>FINAL</v>
      </c>
      <c r="I596" t="str">
        <f>IFERROR(__xludf.DUMMYFUNCTION("""COMPUTED_VALUE"""),"-2½")</f>
        <v>-2½</v>
      </c>
      <c r="J596">
        <f>IFERROR(__xludf.DUMMYFUNCTION("""COMPUTED_VALUE"""),49.0)</f>
        <v>49</v>
      </c>
      <c r="K596" t="str">
        <f>IFERROR(__xludf.DUMMYFUNCTION("""COMPUTED_VALUE"""),"Adam")</f>
        <v>Adam</v>
      </c>
      <c r="L596">
        <f>IFERROR(__xludf.DUMMYFUNCTION("""COMPUTED_VALUE"""),9999.0)</f>
        <v>9999</v>
      </c>
      <c r="M596" s="124">
        <v>4.0</v>
      </c>
    </row>
    <row r="597">
      <c r="A597" s="151">
        <f>IFERROR(__xludf.DUMMYFUNCTION("""COMPUTED_VALUE"""),43730.147751111115)</f>
        <v>43730.14775</v>
      </c>
      <c r="B597" t="str">
        <f>IFERROR(__xludf.DUMMYFUNCTION("""COMPUTED_VALUE"""),"Nick G.")</f>
        <v>Nick G.</v>
      </c>
      <c r="C597" t="str">
        <f>IFERROR(__xludf.DUMMYFUNCTION("""COMPUTED_VALUE"""),"Ohio State")</f>
        <v>Ohio State</v>
      </c>
      <c r="D597">
        <f>IFERROR(__xludf.DUMMYFUNCTION("""COMPUTED_VALUE"""),4.0)</f>
        <v>4</v>
      </c>
      <c r="E597">
        <f>IFERROR(__xludf.DUMMYFUNCTION("""COMPUTED_VALUE"""),0.0)</f>
        <v>0</v>
      </c>
      <c r="F597" t="str">
        <f>IFERROR(__xludf.DUMMYFUNCTION("""COMPUTED_VALUE"""),"FOX")</f>
        <v>FOX</v>
      </c>
      <c r="G597" t="str">
        <f>IFERROR(__xludf.DUMMYFUNCTION("""COMPUTED_VALUE"""),"Miami-OH 5 at (6) Ohio State 76")</f>
        <v>Miami-OH 5 at (6) Ohio State 76</v>
      </c>
      <c r="H597" t="str">
        <f>IFERROR(__xludf.DUMMYFUNCTION("""COMPUTED_VALUE"""),"FINAL")</f>
        <v>FINAL</v>
      </c>
      <c r="I597">
        <f>IFERROR(__xludf.DUMMYFUNCTION("""COMPUTED_VALUE"""),-16.0)</f>
        <v>-16</v>
      </c>
      <c r="J597">
        <f>IFERROR(__xludf.DUMMYFUNCTION("""COMPUTED_VALUE"""),61.0)</f>
        <v>61</v>
      </c>
      <c r="K597" t="str">
        <f>IFERROR(__xludf.DUMMYFUNCTION("""COMPUTED_VALUE"""),"Nico")</f>
        <v>Nico</v>
      </c>
      <c r="L597">
        <f>IFERROR(__xludf.DUMMYFUNCTION("""COMPUTED_VALUE"""),9999.0)</f>
        <v>9999</v>
      </c>
      <c r="M597" s="124">
        <v>4.0</v>
      </c>
    </row>
    <row r="598">
      <c r="A598" s="151">
        <f>IFERROR(__xludf.DUMMYFUNCTION("""COMPUTED_VALUE"""),43730.147751111115)</f>
        <v>43730.14775</v>
      </c>
      <c r="B598" t="str">
        <f>IFERROR(__xludf.DUMMYFUNCTION("""COMPUTED_VALUE"""),"Nick G.")</f>
        <v>Nick G.</v>
      </c>
      <c r="C598" t="str">
        <f>IFERROR(__xludf.DUMMYFUNCTION("""COMPUTED_VALUE"""),"Kansas State")</f>
        <v>Kansas State</v>
      </c>
      <c r="D598">
        <f>IFERROR(__xludf.DUMMYFUNCTION("""COMPUTED_VALUE"""),3.0)</f>
        <v>3</v>
      </c>
      <c r="E598">
        <f>IFERROR(__xludf.DUMMYFUNCTION("""COMPUTED_VALUE"""),0.0)</f>
        <v>0</v>
      </c>
      <c r="F598" t="str">
        <f>IFERROR(__xludf.DUMMYFUNCTION("""COMPUTED_VALUE"""),"ESPN")</f>
        <v>ESPN</v>
      </c>
      <c r="G598" t="str">
        <f>IFERROR(__xludf.DUMMYFUNCTION("""COMPUTED_VALUE"""),"BYE")</f>
        <v>BYE</v>
      </c>
      <c r="I598" t="str">
        <f>IFERROR(__xludf.DUMMYFUNCTION("""COMPUTED_VALUE"""),"7½")</f>
        <v>7½</v>
      </c>
      <c r="J598" t="str">
        <f>IFERROR(__xludf.DUMMYFUNCTION("""COMPUTED_VALUE"""),"52½")</f>
        <v>52½</v>
      </c>
      <c r="L598">
        <f>IFERROR(__xludf.DUMMYFUNCTION("""COMPUTED_VALUE"""),9999.0)</f>
        <v>9999</v>
      </c>
      <c r="M598" s="124">
        <v>4.0</v>
      </c>
    </row>
    <row r="599">
      <c r="A599" s="151">
        <f>IFERROR(__xludf.DUMMYFUNCTION("""COMPUTED_VALUE"""),43730.147751111115)</f>
        <v>43730.14775</v>
      </c>
      <c r="B599" t="str">
        <f>IFERROR(__xludf.DUMMYFUNCTION("""COMPUTED_VALUE"""),"Nick G.")</f>
        <v>Nick G.</v>
      </c>
      <c r="C599" t="str">
        <f>IFERROR(__xludf.DUMMYFUNCTION("""COMPUTED_VALUE"""),"NC State")</f>
        <v>NC State</v>
      </c>
      <c r="D599">
        <f>IFERROR(__xludf.DUMMYFUNCTION("""COMPUTED_VALUE"""),3.0)</f>
        <v>3</v>
      </c>
      <c r="E599">
        <f>IFERROR(__xludf.DUMMYFUNCTION("""COMPUTED_VALUE"""),1.0)</f>
        <v>1</v>
      </c>
      <c r="F599" t="str">
        <f>IFERROR(__xludf.DUMMYFUNCTION("""COMPUTED_VALUE"""),"FS1")</f>
        <v>FS1</v>
      </c>
      <c r="G599" t="str">
        <f>IFERROR(__xludf.DUMMYFUNCTION("""COMPUTED_VALUE"""),"Ball State 23 at NC State 34")</f>
        <v>Ball State 23 at NC State 34</v>
      </c>
      <c r="H599" t="str">
        <f>IFERROR(__xludf.DUMMYFUNCTION("""COMPUTED_VALUE"""),"FINAL")</f>
        <v>FINAL</v>
      </c>
      <c r="I599" t="str">
        <f>IFERROR(__xludf.DUMMYFUNCTION("""COMPUTED_VALUE"""),"-6½")</f>
        <v>-6½</v>
      </c>
      <c r="J599">
        <f>IFERROR(__xludf.DUMMYFUNCTION("""COMPUTED_VALUE"""),47.0)</f>
        <v>47</v>
      </c>
      <c r="K599" t="str">
        <f>IFERROR(__xludf.DUMMYFUNCTION("""COMPUTED_VALUE"""),"DavEmily")</f>
        <v>DavEmily</v>
      </c>
      <c r="L599">
        <f>IFERROR(__xludf.DUMMYFUNCTION("""COMPUTED_VALUE"""),9999.0)</f>
        <v>9999</v>
      </c>
      <c r="M599" s="124">
        <v>4.0</v>
      </c>
    </row>
    <row r="600">
      <c r="A600" s="151">
        <f>IFERROR(__xludf.DUMMYFUNCTION("""COMPUTED_VALUE"""),43730.147751111115)</f>
        <v>43730.14775</v>
      </c>
      <c r="B600" t="str">
        <f>IFERROR(__xludf.DUMMYFUNCTION("""COMPUTED_VALUE"""),"Nick G.")</f>
        <v>Nick G.</v>
      </c>
      <c r="C600" t="str">
        <f>IFERROR(__xludf.DUMMYFUNCTION("""COMPUTED_VALUE"""),"Wyoming")</f>
        <v>Wyoming</v>
      </c>
      <c r="D600">
        <f>IFERROR(__xludf.DUMMYFUNCTION("""COMPUTED_VALUE"""),3.0)</f>
        <v>3</v>
      </c>
      <c r="E600">
        <f>IFERROR(__xludf.DUMMYFUNCTION("""COMPUTED_VALUE"""),1.0)</f>
        <v>1</v>
      </c>
      <c r="F600" t="str">
        <f>IFERROR(__xludf.DUMMYFUNCTION("""COMPUTED_VALUE"""),"espn3 Video")</f>
        <v>espn3 Video</v>
      </c>
      <c r="G600" t="str">
        <f>IFERROR(__xludf.DUMMYFUNCTION("""COMPUTED_VALUE"""),"Wyoming 21 at Tulsa 24")</f>
        <v>Wyoming 21 at Tulsa 24</v>
      </c>
      <c r="H600" t="str">
        <f>IFERROR(__xludf.DUMMYFUNCTION("""COMPUTED_VALUE"""),"FINAL")</f>
        <v>FINAL</v>
      </c>
      <c r="I600">
        <f>IFERROR(__xludf.DUMMYFUNCTION("""COMPUTED_VALUE"""),-25.0)</f>
        <v>-25</v>
      </c>
      <c r="J600">
        <f>IFERROR(__xludf.DUMMYFUNCTION("""COMPUTED_VALUE"""),55.0)</f>
        <v>55</v>
      </c>
      <c r="K600" t="str">
        <f>IFERROR(__xludf.DUMMYFUNCTION("""COMPUTED_VALUE"""),"DavEmily")</f>
        <v>DavEmily</v>
      </c>
      <c r="L600">
        <f>IFERROR(__xludf.DUMMYFUNCTION("""COMPUTED_VALUE"""),9999.0)</f>
        <v>9999</v>
      </c>
      <c r="M600" s="124">
        <v>4.0</v>
      </c>
    </row>
    <row r="601">
      <c r="A601" s="151">
        <f>IFERROR(__xludf.DUMMYFUNCTION("""COMPUTED_VALUE"""),43730.147751111115)</f>
        <v>43730.14775</v>
      </c>
      <c r="B601" t="str">
        <f>IFERROR(__xludf.DUMMYFUNCTION("""COMPUTED_VALUE"""),"Nick G.")</f>
        <v>Nick G.</v>
      </c>
      <c r="C601" t="str">
        <f>IFERROR(__xludf.DUMMYFUNCTION("""COMPUTED_VALUE"""),"Auburn")</f>
        <v>Auburn</v>
      </c>
      <c r="D601">
        <f>IFERROR(__xludf.DUMMYFUNCTION("""COMPUTED_VALUE"""),4.0)</f>
        <v>4</v>
      </c>
      <c r="E601">
        <f>IFERROR(__xludf.DUMMYFUNCTION("""COMPUTED_VALUE"""),0.0)</f>
        <v>0</v>
      </c>
      <c r="F601" t="str">
        <f>IFERROR(__xludf.DUMMYFUNCTION("""COMPUTED_VALUE"""),"ESPN2 or ESPNU")</f>
        <v>ESPN2 or ESPNU</v>
      </c>
      <c r="G601" t="str">
        <f>IFERROR(__xludf.DUMMYFUNCTION("""COMPUTED_VALUE"""),"(9) Auburn 28 at (15) Texas A&amp;M 20")</f>
        <v>(9) Auburn 28 at (15) Texas A&amp;M 20</v>
      </c>
      <c r="H601" t="str">
        <f>IFERROR(__xludf.DUMMYFUNCTION("""COMPUTED_VALUE"""),"FINAL")</f>
        <v>FINAL</v>
      </c>
      <c r="I601">
        <f>IFERROR(__xludf.DUMMYFUNCTION("""COMPUTED_VALUE"""),-35.0)</f>
        <v>-35</v>
      </c>
      <c r="J601" t="str">
        <f>IFERROR(__xludf.DUMMYFUNCTION("""COMPUTED_VALUE"""),"52½")</f>
        <v>52½</v>
      </c>
      <c r="K601" t="str">
        <f>IFERROR(__xludf.DUMMYFUNCTION("""COMPUTED_VALUE"""),"Vu")</f>
        <v>Vu</v>
      </c>
      <c r="L601">
        <f>IFERROR(__xludf.DUMMYFUNCTION("""COMPUTED_VALUE"""),9999.0)</f>
        <v>9999</v>
      </c>
      <c r="M601" s="124">
        <v>4.0</v>
      </c>
    </row>
    <row r="602">
      <c r="A602" s="151">
        <f>IFERROR(__xludf.DUMMYFUNCTION("""COMPUTED_VALUE"""),43737.14775020833)</f>
        <v>43737.14775</v>
      </c>
      <c r="B602" t="str">
        <f>IFERROR(__xludf.DUMMYFUNCTION("""COMPUTED_VALUE"""),"DavEmily")</f>
        <v>DavEmily</v>
      </c>
      <c r="C602" t="str">
        <f>IFERROR(__xludf.DUMMYFUNCTION("""COMPUTED_VALUE"""),"UTSA")</f>
        <v>UTSA</v>
      </c>
      <c r="D602">
        <f>IFERROR(__xludf.DUMMYFUNCTION("""COMPUTED_VALUE"""),1.0)</f>
        <v>1</v>
      </c>
      <c r="E602">
        <f>IFERROR(__xludf.DUMMYFUNCTION("""COMPUTED_VALUE"""),3.0)</f>
        <v>3</v>
      </c>
      <c r="F602" t="str">
        <f>IFERROR(__xludf.DUMMYFUNCTION("""COMPUTED_VALUE"""),"NFL Network")</f>
        <v>NFL Network</v>
      </c>
      <c r="G602" t="str">
        <f>IFERROR(__xludf.DUMMYFUNCTION("""COMPUTED_VALUE"""),"BYE")</f>
        <v>BYE</v>
      </c>
      <c r="I602" t="str">
        <f>IFERROR(__xludf.DUMMYFUNCTION("""COMPUTED_VALUE"""),"bye")</f>
        <v>bye</v>
      </c>
      <c r="J602" t="str">
        <f>IFERROR(__xludf.DUMMYFUNCTION("""COMPUTED_VALUE"""),"bye")</f>
        <v>bye</v>
      </c>
      <c r="L602">
        <f>IFERROR(__xludf.DUMMYFUNCTION("""COMPUTED_VALUE"""),9999.0)</f>
        <v>9999</v>
      </c>
      <c r="M602" s="124">
        <v>5.0</v>
      </c>
    </row>
    <row r="603">
      <c r="A603" s="151">
        <f>IFERROR(__xludf.DUMMYFUNCTION("""COMPUTED_VALUE"""),43737.14775020833)</f>
        <v>43737.14775</v>
      </c>
      <c r="B603" t="str">
        <f>IFERROR(__xludf.DUMMYFUNCTION("""COMPUTED_VALUE"""),"DavEmily")</f>
        <v>DavEmily</v>
      </c>
      <c r="C603" t="str">
        <f>IFERROR(__xludf.DUMMYFUNCTION("""COMPUTED_VALUE"""),"Coastal Carolina")</f>
        <v>Coastal Carolina</v>
      </c>
      <c r="D603">
        <f>IFERROR(__xludf.DUMMYFUNCTION("""COMPUTED_VALUE"""),3.0)</f>
        <v>3</v>
      </c>
      <c r="E603">
        <f>IFERROR(__xludf.DUMMYFUNCTION("""COMPUTED_VALUE"""),2.0)</f>
        <v>2</v>
      </c>
      <c r="F603" t="str">
        <f>IFERROR(__xludf.DUMMYFUNCTION("""COMPUTED_VALUE"""),"espn3 Video")</f>
        <v>espn3 Video</v>
      </c>
      <c r="G603" t="str">
        <f>IFERROR(__xludf.DUMMYFUNCTION("""COMPUTED_VALUE"""),"Coastal Carolina 37 at Appalachian State 56")</f>
        <v>Coastal Carolina 37 at Appalachian State 56</v>
      </c>
      <c r="H603" t="str">
        <f>IFERROR(__xludf.DUMMYFUNCTION("""COMPUTED_VALUE"""),"FINAL")</f>
        <v>FINAL</v>
      </c>
      <c r="I603">
        <f>IFERROR(__xludf.DUMMYFUNCTION("""COMPUTED_VALUE"""),16.0)</f>
        <v>16</v>
      </c>
      <c r="J603">
        <f>IFERROR(__xludf.DUMMYFUNCTION("""COMPUTED_VALUE"""),60.0)</f>
        <v>60</v>
      </c>
      <c r="K603" t="str">
        <f>IFERROR(__xludf.DUMMYFUNCTION("""COMPUTED_VALUE"""),"Justin")</f>
        <v>Justin</v>
      </c>
      <c r="L603">
        <f>IFERROR(__xludf.DUMMYFUNCTION("""COMPUTED_VALUE"""),9999.0)</f>
        <v>9999</v>
      </c>
      <c r="M603" s="124">
        <v>5.0</v>
      </c>
    </row>
    <row r="604">
      <c r="A604" s="151">
        <f>IFERROR(__xludf.DUMMYFUNCTION("""COMPUTED_VALUE"""),43737.14775020833)</f>
        <v>43737.14775</v>
      </c>
      <c r="B604" t="str">
        <f>IFERROR(__xludf.DUMMYFUNCTION("""COMPUTED_VALUE"""),"DavEmily")</f>
        <v>DavEmily</v>
      </c>
      <c r="C604" t="str">
        <f>IFERROR(__xludf.DUMMYFUNCTION("""COMPUTED_VALUE"""),"California")</f>
        <v>California</v>
      </c>
      <c r="D604">
        <f>IFERROR(__xludf.DUMMYFUNCTION("""COMPUTED_VALUE"""),4.0)</f>
        <v>4</v>
      </c>
      <c r="E604">
        <f>IFERROR(__xludf.DUMMYFUNCTION("""COMPUTED_VALUE"""),1.0)</f>
        <v>1</v>
      </c>
      <c r="F604" t="str">
        <f>IFERROR(__xludf.DUMMYFUNCTION("""COMPUTED_VALUE"""),"Pac-12 Bay Area")</f>
        <v>Pac-12 Bay Area</v>
      </c>
      <c r="G604" t="str">
        <f>IFERROR(__xludf.DUMMYFUNCTION("""COMPUTED_VALUE"""),"Arizona State 24 at (16) California 17")</f>
        <v>Arizona State 24 at (16) California 17</v>
      </c>
      <c r="H604" t="str">
        <f>IFERROR(__xludf.DUMMYFUNCTION("""COMPUTED_VALUE"""),"FINAL")</f>
        <v>FINAL</v>
      </c>
      <c r="I604" t="str">
        <f>IFERROR(__xludf.DUMMYFUNCTION("""COMPUTED_VALUE"""),"-4½")</f>
        <v>-4½</v>
      </c>
      <c r="J604">
        <f>IFERROR(__xludf.DUMMYFUNCTION("""COMPUTED_VALUE"""),41.0)</f>
        <v>41</v>
      </c>
      <c r="K604" t="str">
        <f>IFERROR(__xludf.DUMMYFUNCTION("""COMPUTED_VALUE"""),"Nico")</f>
        <v>Nico</v>
      </c>
      <c r="L604">
        <f>IFERROR(__xludf.DUMMYFUNCTION("""COMPUTED_VALUE"""),9999.0)</f>
        <v>9999</v>
      </c>
      <c r="M604" s="124">
        <v>5.0</v>
      </c>
    </row>
    <row r="605">
      <c r="A605" s="151">
        <f>IFERROR(__xludf.DUMMYFUNCTION("""COMPUTED_VALUE"""),43737.14775020833)</f>
        <v>43737.14775</v>
      </c>
      <c r="B605" t="str">
        <f>IFERROR(__xludf.DUMMYFUNCTION("""COMPUTED_VALUE"""),"DavEmily")</f>
        <v>DavEmily</v>
      </c>
      <c r="C605" t="str">
        <f>IFERROR(__xludf.DUMMYFUNCTION("""COMPUTED_VALUE"""),"Fresno State")</f>
        <v>Fresno State</v>
      </c>
      <c r="D605">
        <f>IFERROR(__xludf.DUMMYFUNCTION("""COMPUTED_VALUE"""),2.0)</f>
        <v>2</v>
      </c>
      <c r="E605">
        <f>IFERROR(__xludf.DUMMYFUNCTION("""COMPUTED_VALUE"""),2.0)</f>
        <v>2</v>
      </c>
      <c r="F605" t="str">
        <f>IFERROR(__xludf.DUMMYFUNCTION("""COMPUTED_VALUE"""),"NA")</f>
        <v>NA</v>
      </c>
      <c r="G605" t="str">
        <f>IFERROR(__xludf.DUMMYFUNCTION("""COMPUTED_VALUE"""),"Fresno State 30 at New Mexico State 17")</f>
        <v>Fresno State 30 at New Mexico State 17</v>
      </c>
      <c r="H605" t="str">
        <f>IFERROR(__xludf.DUMMYFUNCTION("""COMPUTED_VALUE"""),"FINAL")</f>
        <v>FINAL</v>
      </c>
      <c r="I605">
        <f>IFERROR(__xludf.DUMMYFUNCTION("""COMPUTED_VALUE"""),-18.0)</f>
        <v>-18</v>
      </c>
      <c r="J605">
        <f>IFERROR(__xludf.DUMMYFUNCTION("""COMPUTED_VALUE"""),63.0)</f>
        <v>63</v>
      </c>
      <c r="K605" t="str">
        <f>IFERROR(__xludf.DUMMYFUNCTION("""COMPUTED_VALUE"""),"Nick A.")</f>
        <v>Nick A.</v>
      </c>
      <c r="L605">
        <f>IFERROR(__xludf.DUMMYFUNCTION("""COMPUTED_VALUE"""),9999.0)</f>
        <v>9999</v>
      </c>
      <c r="M605" s="124">
        <v>5.0</v>
      </c>
    </row>
    <row r="606">
      <c r="A606" s="151">
        <f>IFERROR(__xludf.DUMMYFUNCTION("""COMPUTED_VALUE"""),43737.14775020833)</f>
        <v>43737.14775</v>
      </c>
      <c r="B606" t="str">
        <f>IFERROR(__xludf.DUMMYFUNCTION("""COMPUTED_VALUE"""),"DavEmily")</f>
        <v>DavEmily</v>
      </c>
      <c r="C606" t="str">
        <f>IFERROR(__xludf.DUMMYFUNCTION("""COMPUTED_VALUE"""),"Notre Dame")</f>
        <v>Notre Dame</v>
      </c>
      <c r="D606">
        <f>IFERROR(__xludf.DUMMYFUNCTION("""COMPUTED_VALUE"""),3.0)</f>
        <v>3</v>
      </c>
      <c r="E606">
        <f>IFERROR(__xludf.DUMMYFUNCTION("""COMPUTED_VALUE"""),1.0)</f>
        <v>1</v>
      </c>
      <c r="F606" t="str">
        <f>IFERROR(__xludf.DUMMYFUNCTION("""COMPUTED_VALUE"""),"NBC")</f>
        <v>NBC</v>
      </c>
      <c r="G606" t="str">
        <f>IFERROR(__xludf.DUMMYFUNCTION("""COMPUTED_VALUE"""),"(18) Virginia 20 at (10) Notre Dame 35")</f>
        <v>(18) Virginia 20 at (10) Notre Dame 35</v>
      </c>
      <c r="H606" t="str">
        <f>IFERROR(__xludf.DUMMYFUNCTION("""COMPUTED_VALUE"""),"FINAL")</f>
        <v>FINAL</v>
      </c>
      <c r="I606" t="str">
        <f>IFERROR(__xludf.DUMMYFUNCTION("""COMPUTED_VALUE"""),"-12½")</f>
        <v>-12½</v>
      </c>
      <c r="J606" t="str">
        <f>IFERROR(__xludf.DUMMYFUNCTION("""COMPUTED_VALUE"""),"48½")</f>
        <v>48½</v>
      </c>
      <c r="K606" t="str">
        <f>IFERROR(__xludf.DUMMYFUNCTION("""COMPUTED_VALUE"""),"Jeannine")</f>
        <v>Jeannine</v>
      </c>
      <c r="L606">
        <f>IFERROR(__xludf.DUMMYFUNCTION("""COMPUTED_VALUE"""),9999.0)</f>
        <v>9999</v>
      </c>
      <c r="M606" s="124">
        <v>5.0</v>
      </c>
    </row>
    <row r="607">
      <c r="A607" s="151">
        <f>IFERROR(__xludf.DUMMYFUNCTION("""COMPUTED_VALUE"""),43737.14775020833)</f>
        <v>43737.14775</v>
      </c>
      <c r="B607" t="str">
        <f>IFERROR(__xludf.DUMMYFUNCTION("""COMPUTED_VALUE"""),"DavEmily")</f>
        <v>DavEmily</v>
      </c>
      <c r="C607" t="str">
        <f>IFERROR(__xludf.DUMMYFUNCTION("""COMPUTED_VALUE"""),"Virginia Tech")</f>
        <v>Virginia Tech</v>
      </c>
      <c r="D607">
        <f>IFERROR(__xludf.DUMMYFUNCTION("""COMPUTED_VALUE"""),2.0)</f>
        <v>2</v>
      </c>
      <c r="E607">
        <f>IFERROR(__xludf.DUMMYFUNCTION("""COMPUTED_VALUE"""),2.0)</f>
        <v>2</v>
      </c>
      <c r="F607" t="str">
        <f>IFERROR(__xludf.DUMMYFUNCTION("""COMPUTED_VALUE"""),"ACC Network")</f>
        <v>ACC Network</v>
      </c>
      <c r="G607" t="str">
        <f>IFERROR(__xludf.DUMMYFUNCTION("""COMPUTED_VALUE"""),"Duke 45 at Virginia Tech 10")</f>
        <v>Duke 45 at Virginia Tech 10</v>
      </c>
      <c r="H607" t="str">
        <f>IFERROR(__xludf.DUMMYFUNCTION("""COMPUTED_VALUE"""),"FINAL")</f>
        <v>FINAL</v>
      </c>
      <c r="I607">
        <f>IFERROR(__xludf.DUMMYFUNCTION("""COMPUTED_VALUE"""),-3.0)</f>
        <v>-3</v>
      </c>
      <c r="J607">
        <f>IFERROR(__xludf.DUMMYFUNCTION("""COMPUTED_VALUE"""),53.0)</f>
        <v>53</v>
      </c>
      <c r="K607" t="str">
        <f>IFERROR(__xludf.DUMMYFUNCTION("""COMPUTED_VALUE"""),"Justin")</f>
        <v>Justin</v>
      </c>
      <c r="L607">
        <f>IFERROR(__xludf.DUMMYFUNCTION("""COMPUTED_VALUE"""),9999.0)</f>
        <v>9999</v>
      </c>
      <c r="M607" s="124">
        <v>5.0</v>
      </c>
    </row>
    <row r="608">
      <c r="A608" s="151">
        <f>IFERROR(__xludf.DUMMYFUNCTION("""COMPUTED_VALUE"""),43737.14775020833)</f>
        <v>43737.14775</v>
      </c>
      <c r="B608" t="str">
        <f>IFERROR(__xludf.DUMMYFUNCTION("""COMPUTED_VALUE"""),"DavEmily")</f>
        <v>DavEmily</v>
      </c>
      <c r="C608" t="str">
        <f>IFERROR(__xludf.DUMMYFUNCTION("""COMPUTED_VALUE"""),"Ball State")</f>
        <v>Ball State</v>
      </c>
      <c r="D608">
        <f>IFERROR(__xludf.DUMMYFUNCTION("""COMPUTED_VALUE"""),1.0)</f>
        <v>1</v>
      </c>
      <c r="E608">
        <f>IFERROR(__xludf.DUMMYFUNCTION("""COMPUTED_VALUE"""),3.0)</f>
        <v>3</v>
      </c>
      <c r="F608" t="str">
        <f>IFERROR(__xludf.DUMMYFUNCTION("""COMPUTED_VALUE"""),"espn+ Video")</f>
        <v>espn+ Video</v>
      </c>
      <c r="G608" t="str">
        <f>IFERROR(__xludf.DUMMYFUNCTION("""COMPUTED_VALUE"""),"BYE")</f>
        <v>BYE</v>
      </c>
      <c r="I608" t="str">
        <f>IFERROR(__xludf.DUMMYFUNCTION("""COMPUTED_VALUE"""),"bye")</f>
        <v>bye</v>
      </c>
      <c r="J608" t="str">
        <f>IFERROR(__xludf.DUMMYFUNCTION("""COMPUTED_VALUE"""),"bye")</f>
        <v>bye</v>
      </c>
      <c r="L608">
        <f>IFERROR(__xludf.DUMMYFUNCTION("""COMPUTED_VALUE"""),9999.0)</f>
        <v>9999</v>
      </c>
      <c r="M608" s="124">
        <v>5.0</v>
      </c>
    </row>
    <row r="609">
      <c r="A609" s="151">
        <f>IFERROR(__xludf.DUMMYFUNCTION("""COMPUTED_VALUE"""),43737.14775020833)</f>
        <v>43737.14775</v>
      </c>
      <c r="B609" t="str">
        <f>IFERROR(__xludf.DUMMYFUNCTION("""COMPUTED_VALUE"""),"DavEmily")</f>
        <v>DavEmily</v>
      </c>
      <c r="C609" t="str">
        <f>IFERROR(__xludf.DUMMYFUNCTION("""COMPUTED_VALUE"""),"Nebraska")</f>
        <v>Nebraska</v>
      </c>
      <c r="D609">
        <f>IFERROR(__xludf.DUMMYFUNCTION("""COMPUTED_VALUE"""),3.0)</f>
        <v>3</v>
      </c>
      <c r="E609">
        <f>IFERROR(__xludf.DUMMYFUNCTION("""COMPUTED_VALUE"""),2.0)</f>
        <v>2</v>
      </c>
      <c r="F609" t="str">
        <f>IFERROR(__xludf.DUMMYFUNCTION("""COMPUTED_VALUE"""),"FS1")</f>
        <v>FS1</v>
      </c>
      <c r="G609" t="str">
        <f>IFERROR(__xludf.DUMMYFUNCTION("""COMPUTED_VALUE"""),"(6) Ohio State 48 at Nebraska 7")</f>
        <v>(6) Ohio State 48 at Nebraska 7</v>
      </c>
      <c r="H609" t="str">
        <f>IFERROR(__xludf.DUMMYFUNCTION("""COMPUTED_VALUE"""),"FINAL")</f>
        <v>FINAL</v>
      </c>
      <c r="I609">
        <f>IFERROR(__xludf.DUMMYFUNCTION("""COMPUTED_VALUE"""),17.0)</f>
        <v>17</v>
      </c>
      <c r="J609" t="str">
        <f>IFERROR(__xludf.DUMMYFUNCTION("""COMPUTED_VALUE"""),"66½")</f>
        <v>66½</v>
      </c>
      <c r="K609" t="str">
        <f>IFERROR(__xludf.DUMMYFUNCTION("""COMPUTED_VALUE"""),"Nick G.")</f>
        <v>Nick G.</v>
      </c>
      <c r="L609">
        <f>IFERROR(__xludf.DUMMYFUNCTION("""COMPUTED_VALUE"""),9999.0)</f>
        <v>9999</v>
      </c>
      <c r="M609" s="124">
        <v>5.0</v>
      </c>
    </row>
    <row r="610">
      <c r="A610" s="151">
        <f>IFERROR(__xludf.DUMMYFUNCTION("""COMPUTED_VALUE"""),43737.14775020833)</f>
        <v>43737.14775</v>
      </c>
      <c r="B610" t="str">
        <f>IFERROR(__xludf.DUMMYFUNCTION("""COMPUTED_VALUE"""),"DavEmily")</f>
        <v>DavEmily</v>
      </c>
      <c r="C610" t="str">
        <f>IFERROR(__xludf.DUMMYFUNCTION("""COMPUTED_VALUE"""),"Alabama")</f>
        <v>Alabama</v>
      </c>
      <c r="D610">
        <f>IFERROR(__xludf.DUMMYFUNCTION("""COMPUTED_VALUE"""),5.0)</f>
        <v>5</v>
      </c>
      <c r="E610">
        <f>IFERROR(__xludf.DUMMYFUNCTION("""COMPUTED_VALUE"""),0.0)</f>
        <v>0</v>
      </c>
      <c r="F610" t="str">
        <f>IFERROR(__xludf.DUMMYFUNCTION("""COMPUTED_VALUE"""),"CBS")</f>
        <v>CBS</v>
      </c>
      <c r="G610" t="str">
        <f>IFERROR(__xludf.DUMMYFUNCTION("""COMPUTED_VALUE"""),"Ole Miss 31 at (2) Alabama 59")</f>
        <v>Ole Miss 31 at (2) Alabama 59</v>
      </c>
      <c r="H610" t="str">
        <f>IFERROR(__xludf.DUMMYFUNCTION("""COMPUTED_VALUE"""),"FINAL")</f>
        <v>FINAL</v>
      </c>
      <c r="I610">
        <f>IFERROR(__xludf.DUMMYFUNCTION("""COMPUTED_VALUE"""),-38.0)</f>
        <v>-38</v>
      </c>
      <c r="J610">
        <f>IFERROR(__xludf.DUMMYFUNCTION("""COMPUTED_VALUE"""),61.0)</f>
        <v>61</v>
      </c>
      <c r="K610" t="str">
        <f>IFERROR(__xludf.DUMMYFUNCTION("""COMPUTED_VALUE"""),"Undrafted")</f>
        <v>Undrafted</v>
      </c>
      <c r="L610">
        <f>IFERROR(__xludf.DUMMYFUNCTION("""COMPUTED_VALUE"""),9999.0)</f>
        <v>9999</v>
      </c>
      <c r="M610" s="124">
        <v>5.0</v>
      </c>
    </row>
    <row r="611">
      <c r="A611" s="151">
        <f>IFERROR(__xludf.DUMMYFUNCTION("""COMPUTED_VALUE"""),43737.14775020833)</f>
        <v>43737.14775</v>
      </c>
      <c r="B611" t="str">
        <f>IFERROR(__xludf.DUMMYFUNCTION("""COMPUTED_VALUE"""),"DavEmily")</f>
        <v>DavEmily</v>
      </c>
      <c r="C611" t="str">
        <f>IFERROR(__xludf.DUMMYFUNCTION("""COMPUTED_VALUE"""),"Tulsa")</f>
        <v>Tulsa</v>
      </c>
      <c r="D611">
        <f>IFERROR(__xludf.DUMMYFUNCTION("""COMPUTED_VALUE"""),2.0)</f>
        <v>2</v>
      </c>
      <c r="E611">
        <f>IFERROR(__xludf.DUMMYFUNCTION("""COMPUTED_VALUE"""),2.0)</f>
        <v>2</v>
      </c>
      <c r="F611" t="str">
        <f>IFERROR(__xludf.DUMMYFUNCTION("""COMPUTED_VALUE"""),"ESPN2")</f>
        <v>ESPN2</v>
      </c>
      <c r="G611" t="str">
        <f>IFERROR(__xludf.DUMMYFUNCTION("""COMPUTED_VALUE"""),"BYE")</f>
        <v>BYE</v>
      </c>
      <c r="I611" t="str">
        <f>IFERROR(__xludf.DUMMYFUNCTION("""COMPUTED_VALUE"""),"bye")</f>
        <v>bye</v>
      </c>
      <c r="J611" t="str">
        <f>IFERROR(__xludf.DUMMYFUNCTION("""COMPUTED_VALUE"""),"bye")</f>
        <v>bye</v>
      </c>
      <c r="L611">
        <f>IFERROR(__xludf.DUMMYFUNCTION("""COMPUTED_VALUE"""),9999.0)</f>
        <v>9999</v>
      </c>
      <c r="M611" s="124">
        <v>5.0</v>
      </c>
    </row>
    <row r="612">
      <c r="A612" s="151">
        <f>IFERROR(__xludf.DUMMYFUNCTION("""COMPUTED_VALUE"""),43737.14775020833)</f>
        <v>43737.14775</v>
      </c>
      <c r="B612" t="str">
        <f>IFERROR(__xludf.DUMMYFUNCTION("""COMPUTED_VALUE"""),"Nick A.")</f>
        <v>Nick A.</v>
      </c>
      <c r="C612" t="str">
        <f>IFERROR(__xludf.DUMMYFUNCTION("""COMPUTED_VALUE"""),"Old Dominion")</f>
        <v>Old Dominion</v>
      </c>
      <c r="D612">
        <f>IFERROR(__xludf.DUMMYFUNCTION("""COMPUTED_VALUE"""),1.0)</f>
        <v>1</v>
      </c>
      <c r="E612">
        <f>IFERROR(__xludf.DUMMYFUNCTION("""COMPUTED_VALUE"""),3.0)</f>
        <v>3</v>
      </c>
      <c r="F612" t="str">
        <f>IFERROR(__xludf.DUMMYFUNCTION("""COMPUTED_VALUE"""),"NA")</f>
        <v>NA</v>
      </c>
      <c r="G612" t="str">
        <f>IFERROR(__xludf.DUMMYFUNCTION("""COMPUTED_VALUE"""),"East Carolina 24 at Old Dominion 21")</f>
        <v>East Carolina 24 at Old Dominion 21</v>
      </c>
      <c r="H612" t="str">
        <f>IFERROR(__xludf.DUMMYFUNCTION("""COMPUTED_VALUE"""),"FINAL")</f>
        <v>FINAL</v>
      </c>
      <c r="I612">
        <f>IFERROR(__xludf.DUMMYFUNCTION("""COMPUTED_VALUE"""),-3.0)</f>
        <v>-3</v>
      </c>
      <c r="J612">
        <f>IFERROR(__xludf.DUMMYFUNCTION("""COMPUTED_VALUE"""),47.0)</f>
        <v>47</v>
      </c>
      <c r="K612" t="str">
        <f>IFERROR(__xludf.DUMMYFUNCTION("""COMPUTED_VALUE"""),"Nick A.")</f>
        <v>Nick A.</v>
      </c>
      <c r="L612">
        <f>IFERROR(__xludf.DUMMYFUNCTION("""COMPUTED_VALUE"""),9999.0)</f>
        <v>9999</v>
      </c>
      <c r="M612" s="124">
        <v>5.0</v>
      </c>
    </row>
    <row r="613">
      <c r="A613" s="151">
        <f>IFERROR(__xludf.DUMMYFUNCTION("""COMPUTED_VALUE"""),43737.14775020833)</f>
        <v>43737.14775</v>
      </c>
      <c r="B613" t="str">
        <f>IFERROR(__xludf.DUMMYFUNCTION("""COMPUTED_VALUE"""),"Nick A.")</f>
        <v>Nick A.</v>
      </c>
      <c r="C613" t="str">
        <f>IFERROR(__xludf.DUMMYFUNCTION("""COMPUTED_VALUE"""),"Bowling Green")</f>
        <v>Bowling Green</v>
      </c>
      <c r="D613">
        <f>IFERROR(__xludf.DUMMYFUNCTION("""COMPUTED_VALUE"""),1.0)</f>
        <v>1</v>
      </c>
      <c r="E613">
        <f>IFERROR(__xludf.DUMMYFUNCTION("""COMPUTED_VALUE"""),3.0)</f>
        <v>3</v>
      </c>
      <c r="F613" t="str">
        <f>IFERROR(__xludf.DUMMYFUNCTION("""COMPUTED_VALUE"""),"espn+ Video")</f>
        <v>espn+ Video</v>
      </c>
      <c r="G613" t="str">
        <f>IFERROR(__xludf.DUMMYFUNCTION("""COMPUTED_VALUE"""),"BYE")</f>
        <v>BYE</v>
      </c>
      <c r="I613" t="str">
        <f>IFERROR(__xludf.DUMMYFUNCTION("""COMPUTED_VALUE"""),"bye")</f>
        <v>bye</v>
      </c>
      <c r="J613" t="str">
        <f>IFERROR(__xludf.DUMMYFUNCTION("""COMPUTED_VALUE"""),"bye")</f>
        <v>bye</v>
      </c>
      <c r="L613">
        <f>IFERROR(__xludf.DUMMYFUNCTION("""COMPUTED_VALUE"""),9999.0)</f>
        <v>9999</v>
      </c>
      <c r="M613" s="124">
        <v>5.0</v>
      </c>
    </row>
    <row r="614">
      <c r="A614" s="151">
        <f>IFERROR(__xludf.DUMMYFUNCTION("""COMPUTED_VALUE"""),43737.14775020833)</f>
        <v>43737.14775</v>
      </c>
      <c r="B614" t="str">
        <f>IFERROR(__xludf.DUMMYFUNCTION("""COMPUTED_VALUE"""),"Nick A.")</f>
        <v>Nick A.</v>
      </c>
      <c r="C614" t="str">
        <f>IFERROR(__xludf.DUMMYFUNCTION("""COMPUTED_VALUE"""),"New Mexico State")</f>
        <v>New Mexico State</v>
      </c>
      <c r="D614">
        <f>IFERROR(__xludf.DUMMYFUNCTION("""COMPUTED_VALUE"""),0.0)</f>
        <v>0</v>
      </c>
      <c r="E614">
        <f>IFERROR(__xludf.DUMMYFUNCTION("""COMPUTED_VALUE"""),5.0)</f>
        <v>5</v>
      </c>
      <c r="F614" t="str">
        <f>IFERROR(__xludf.DUMMYFUNCTION("""COMPUTED_VALUE"""),"Flo Football")</f>
        <v>Flo Football</v>
      </c>
      <c r="G614" t="str">
        <f>IFERROR(__xludf.DUMMYFUNCTION("""COMPUTED_VALUE"""),"Fresno State 30 at New Mexico State 17")</f>
        <v>Fresno State 30 at New Mexico State 17</v>
      </c>
      <c r="H614" t="str">
        <f>IFERROR(__xludf.DUMMYFUNCTION("""COMPUTED_VALUE"""),"FINAL")</f>
        <v>FINAL</v>
      </c>
      <c r="I614">
        <f>IFERROR(__xludf.DUMMYFUNCTION("""COMPUTED_VALUE"""),18.0)</f>
        <v>18</v>
      </c>
      <c r="J614">
        <f>IFERROR(__xludf.DUMMYFUNCTION("""COMPUTED_VALUE"""),63.0)</f>
        <v>63</v>
      </c>
      <c r="K614" t="str">
        <f>IFERROR(__xludf.DUMMYFUNCTION("""COMPUTED_VALUE"""),"DavEmily")</f>
        <v>DavEmily</v>
      </c>
      <c r="L614">
        <f>IFERROR(__xludf.DUMMYFUNCTION("""COMPUTED_VALUE"""),9999.0)</f>
        <v>9999</v>
      </c>
      <c r="M614" s="124">
        <v>5.0</v>
      </c>
    </row>
    <row r="615">
      <c r="A615" s="151">
        <f>IFERROR(__xludf.DUMMYFUNCTION("""COMPUTED_VALUE"""),43737.14775020833)</f>
        <v>43737.14775</v>
      </c>
      <c r="B615" t="str">
        <f>IFERROR(__xludf.DUMMYFUNCTION("""COMPUTED_VALUE"""),"Nick A.")</f>
        <v>Nick A.</v>
      </c>
      <c r="C615" t="str">
        <f>IFERROR(__xludf.DUMMYFUNCTION("""COMPUTED_VALUE"""),"San Diego State")</f>
        <v>San Diego State</v>
      </c>
      <c r="D615">
        <f>IFERROR(__xludf.DUMMYFUNCTION("""COMPUTED_VALUE"""),3.0)</f>
        <v>3</v>
      </c>
      <c r="E615">
        <f>IFERROR(__xludf.DUMMYFUNCTION("""COMPUTED_VALUE"""),1.0)</f>
        <v>1</v>
      </c>
      <c r="F615" t="str">
        <f>IFERROR(__xludf.DUMMYFUNCTION("""COMPUTED_VALUE"""),"Flo Football")</f>
        <v>Flo Football</v>
      </c>
      <c r="G615" t="str">
        <f>IFERROR(__xludf.DUMMYFUNCTION("""COMPUTED_VALUE"""),"BYE")</f>
        <v>BYE</v>
      </c>
      <c r="I615" t="str">
        <f>IFERROR(__xludf.DUMMYFUNCTION("""COMPUTED_VALUE"""),"bye")</f>
        <v>bye</v>
      </c>
      <c r="J615" t="str">
        <f>IFERROR(__xludf.DUMMYFUNCTION("""COMPUTED_VALUE"""),"bye")</f>
        <v>bye</v>
      </c>
      <c r="L615">
        <f>IFERROR(__xludf.DUMMYFUNCTION("""COMPUTED_VALUE"""),9999.0)</f>
        <v>9999</v>
      </c>
      <c r="M615" s="124">
        <v>5.0</v>
      </c>
    </row>
    <row r="616">
      <c r="A616" s="151">
        <f>IFERROR(__xludf.DUMMYFUNCTION("""COMPUTED_VALUE"""),43737.14775020833)</f>
        <v>43737.14775</v>
      </c>
      <c r="B616" t="str">
        <f>IFERROR(__xludf.DUMMYFUNCTION("""COMPUTED_VALUE"""),"Nick A.")</f>
        <v>Nick A.</v>
      </c>
      <c r="C616" t="str">
        <f>IFERROR(__xludf.DUMMYFUNCTION("""COMPUTED_VALUE"""),"Iowa State")</f>
        <v>Iowa State</v>
      </c>
      <c r="D616">
        <f>IFERROR(__xludf.DUMMYFUNCTION("""COMPUTED_VALUE"""),2.0)</f>
        <v>2</v>
      </c>
      <c r="E616">
        <f>IFERROR(__xludf.DUMMYFUNCTION("""COMPUTED_VALUE"""),2.0)</f>
        <v>2</v>
      </c>
      <c r="F616" t="str">
        <f>IFERROR(__xludf.DUMMYFUNCTION("""COMPUTED_VALUE"""),"FS1")</f>
        <v>FS1</v>
      </c>
      <c r="G616" t="str">
        <f>IFERROR(__xludf.DUMMYFUNCTION("""COMPUTED_VALUE"""),"Iowa State 21 at Baylor 23")</f>
        <v>Iowa State 21 at Baylor 23</v>
      </c>
      <c r="H616" t="str">
        <f>IFERROR(__xludf.DUMMYFUNCTION("""COMPUTED_VALUE"""),"FINAL")</f>
        <v>FINAL</v>
      </c>
      <c r="I616">
        <f>IFERROR(__xludf.DUMMYFUNCTION("""COMPUTED_VALUE"""),-3.0)</f>
        <v>-3</v>
      </c>
      <c r="J616" t="str">
        <f>IFERROR(__xludf.DUMMYFUNCTION("""COMPUTED_VALUE"""),"55½")</f>
        <v>55½</v>
      </c>
      <c r="K616" t="str">
        <f>IFERROR(__xludf.DUMMYFUNCTION("""COMPUTED_VALUE"""),"Justin")</f>
        <v>Justin</v>
      </c>
      <c r="L616">
        <f>IFERROR(__xludf.DUMMYFUNCTION("""COMPUTED_VALUE"""),9999.0)</f>
        <v>9999</v>
      </c>
      <c r="M616" s="124">
        <v>5.0</v>
      </c>
    </row>
    <row r="617">
      <c r="A617" s="151">
        <f>IFERROR(__xludf.DUMMYFUNCTION("""COMPUTED_VALUE"""),43737.14775020833)</f>
        <v>43737.14775</v>
      </c>
      <c r="B617" t="str">
        <f>IFERROR(__xludf.DUMMYFUNCTION("""COMPUTED_VALUE"""),"Nick A.")</f>
        <v>Nick A.</v>
      </c>
      <c r="C617" t="str">
        <f>IFERROR(__xludf.DUMMYFUNCTION("""COMPUTED_VALUE"""),"Clemson")</f>
        <v>Clemson</v>
      </c>
      <c r="D617">
        <f>IFERROR(__xludf.DUMMYFUNCTION("""COMPUTED_VALUE"""),5.0)</f>
        <v>5</v>
      </c>
      <c r="E617">
        <f>IFERROR(__xludf.DUMMYFUNCTION("""COMPUTED_VALUE"""),0.0)</f>
        <v>0</v>
      </c>
      <c r="F617" t="str">
        <f>IFERROR(__xludf.DUMMYFUNCTION("""COMPUTED_VALUE"""),"ABC")</f>
        <v>ABC</v>
      </c>
      <c r="G617" t="str">
        <f>IFERROR(__xludf.DUMMYFUNCTION("""COMPUTED_VALUE"""),"(1) Clemson 21 at North Carolina 20")</f>
        <v>(1) Clemson 21 at North Carolina 20</v>
      </c>
      <c r="H617" t="str">
        <f>IFERROR(__xludf.DUMMYFUNCTION("""COMPUTED_VALUE"""),"FINAL")</f>
        <v>FINAL</v>
      </c>
      <c r="I617">
        <f>IFERROR(__xludf.DUMMYFUNCTION("""COMPUTED_VALUE"""),-27.0)</f>
        <v>-27</v>
      </c>
      <c r="J617">
        <f>IFERROR(__xludf.DUMMYFUNCTION("""COMPUTED_VALUE"""),60.0)</f>
        <v>60</v>
      </c>
      <c r="K617" t="str">
        <f>IFERROR(__xludf.DUMMYFUNCTION("""COMPUTED_VALUE"""),"Nico")</f>
        <v>Nico</v>
      </c>
      <c r="L617">
        <f>IFERROR(__xludf.DUMMYFUNCTION("""COMPUTED_VALUE"""),9999.0)</f>
        <v>9999</v>
      </c>
      <c r="M617" s="124">
        <v>5.0</v>
      </c>
    </row>
    <row r="618">
      <c r="A618" s="151">
        <f>IFERROR(__xludf.DUMMYFUNCTION("""COMPUTED_VALUE"""),43737.14775020833)</f>
        <v>43737.14775</v>
      </c>
      <c r="B618" t="str">
        <f>IFERROR(__xludf.DUMMYFUNCTION("""COMPUTED_VALUE"""),"Nick A.")</f>
        <v>Nick A.</v>
      </c>
      <c r="C618" t="str">
        <f>IFERROR(__xludf.DUMMYFUNCTION("""COMPUTED_VALUE"""),"Washington State")</f>
        <v>Washington State</v>
      </c>
      <c r="D618">
        <f>IFERROR(__xludf.DUMMYFUNCTION("""COMPUTED_VALUE"""),3.0)</f>
        <v>3</v>
      </c>
      <c r="E618">
        <f>IFERROR(__xludf.DUMMYFUNCTION("""COMPUTED_VALUE"""),2.0)</f>
        <v>2</v>
      </c>
      <c r="F618" t="str">
        <f>IFERROR(__xludf.DUMMYFUNCTION("""COMPUTED_VALUE"""),"ESPN")</f>
        <v>ESPN</v>
      </c>
      <c r="G618" t="str">
        <f>IFERROR(__xludf.DUMMYFUNCTION("""COMPUTED_VALUE"""),"Washington State 13 at (19) Utah 38")</f>
        <v>Washington State 13 at (19) Utah 38</v>
      </c>
      <c r="H618" t="str">
        <f>IFERROR(__xludf.DUMMYFUNCTION("""COMPUTED_VALUE"""),"FINAL")</f>
        <v>FINAL</v>
      </c>
      <c r="I618" t="str">
        <f>IFERROR(__xludf.DUMMYFUNCTION("""COMPUTED_VALUE"""),"5½")</f>
        <v>5½</v>
      </c>
      <c r="J618">
        <f>IFERROR(__xludf.DUMMYFUNCTION("""COMPUTED_VALUE"""),56.0)</f>
        <v>56</v>
      </c>
      <c r="K618" t="str">
        <f>IFERROR(__xludf.DUMMYFUNCTION("""COMPUTED_VALUE"""),"Brad")</f>
        <v>Brad</v>
      </c>
      <c r="L618">
        <f>IFERROR(__xludf.DUMMYFUNCTION("""COMPUTED_VALUE"""),9999.0)</f>
        <v>9999</v>
      </c>
      <c r="M618" s="124">
        <v>5.0</v>
      </c>
    </row>
    <row r="619">
      <c r="A619" s="151">
        <f>IFERROR(__xludf.DUMMYFUNCTION("""COMPUTED_VALUE"""),43737.14775020833)</f>
        <v>43737.14775</v>
      </c>
      <c r="B619" t="str">
        <f>IFERROR(__xludf.DUMMYFUNCTION("""COMPUTED_VALUE"""),"Nick A.")</f>
        <v>Nick A.</v>
      </c>
      <c r="C619" t="str">
        <f>IFERROR(__xludf.DUMMYFUNCTION("""COMPUTED_VALUE"""),"East Carolina")</f>
        <v>East Carolina</v>
      </c>
      <c r="D619">
        <f>IFERROR(__xludf.DUMMYFUNCTION("""COMPUTED_VALUE"""),3.0)</f>
        <v>3</v>
      </c>
      <c r="E619">
        <f>IFERROR(__xludf.DUMMYFUNCTION("""COMPUTED_VALUE"""),2.0)</f>
        <v>2</v>
      </c>
      <c r="F619" t="str">
        <f>IFERROR(__xludf.DUMMYFUNCTION("""COMPUTED_VALUE"""),"CBSSN")</f>
        <v>CBSSN</v>
      </c>
      <c r="G619" t="str">
        <f>IFERROR(__xludf.DUMMYFUNCTION("""COMPUTED_VALUE"""),"East Carolina 24 at Old Dominion 21")</f>
        <v>East Carolina 24 at Old Dominion 21</v>
      </c>
      <c r="H619" t="str">
        <f>IFERROR(__xludf.DUMMYFUNCTION("""COMPUTED_VALUE"""),"FINAL")</f>
        <v>FINAL</v>
      </c>
      <c r="I619">
        <f>IFERROR(__xludf.DUMMYFUNCTION("""COMPUTED_VALUE"""),3.0)</f>
        <v>3</v>
      </c>
      <c r="J619">
        <f>IFERROR(__xludf.DUMMYFUNCTION("""COMPUTED_VALUE"""),47.0)</f>
        <v>47</v>
      </c>
      <c r="K619" t="str">
        <f>IFERROR(__xludf.DUMMYFUNCTION("""COMPUTED_VALUE"""),"Nick A.")</f>
        <v>Nick A.</v>
      </c>
      <c r="L619">
        <f>IFERROR(__xludf.DUMMYFUNCTION("""COMPUTED_VALUE"""),9999.0)</f>
        <v>9999</v>
      </c>
      <c r="M619" s="124">
        <v>5.0</v>
      </c>
    </row>
    <row r="620">
      <c r="A620" s="151">
        <f>IFERROR(__xludf.DUMMYFUNCTION("""COMPUTED_VALUE"""),43737.14775020833)</f>
        <v>43737.14775</v>
      </c>
      <c r="B620" t="str">
        <f>IFERROR(__xludf.DUMMYFUNCTION("""COMPUTED_VALUE"""),"Nick A.")</f>
        <v>Nick A.</v>
      </c>
      <c r="C620" t="str">
        <f>IFERROR(__xludf.DUMMYFUNCTION("""COMPUTED_VALUE"""),"LSU")</f>
        <v>LSU</v>
      </c>
      <c r="D620">
        <f>IFERROR(__xludf.DUMMYFUNCTION("""COMPUTED_VALUE"""),4.0)</f>
        <v>4</v>
      </c>
      <c r="E620">
        <f>IFERROR(__xludf.DUMMYFUNCTION("""COMPUTED_VALUE"""),0.0)</f>
        <v>0</v>
      </c>
      <c r="F620" t="str">
        <f>IFERROR(__xludf.DUMMYFUNCTION("""COMPUTED_VALUE"""),"SEC Network")</f>
        <v>SEC Network</v>
      </c>
      <c r="G620" t="str">
        <f>IFERROR(__xludf.DUMMYFUNCTION("""COMPUTED_VALUE"""),"BYE")</f>
        <v>BYE</v>
      </c>
      <c r="I620" t="str">
        <f>IFERROR(__xludf.DUMMYFUNCTION("""COMPUTED_VALUE"""),"bye")</f>
        <v>bye</v>
      </c>
      <c r="J620" t="str">
        <f>IFERROR(__xludf.DUMMYFUNCTION("""COMPUTED_VALUE"""),"bye")</f>
        <v>bye</v>
      </c>
      <c r="L620">
        <f>IFERROR(__xludf.DUMMYFUNCTION("""COMPUTED_VALUE"""),9999.0)</f>
        <v>9999</v>
      </c>
      <c r="M620" s="124">
        <v>5.0</v>
      </c>
    </row>
    <row r="621">
      <c r="A621" s="151">
        <f>IFERROR(__xludf.DUMMYFUNCTION("""COMPUTED_VALUE"""),43737.14775020833)</f>
        <v>43737.14775</v>
      </c>
      <c r="B621" t="str">
        <f>IFERROR(__xludf.DUMMYFUNCTION("""COMPUTED_VALUE"""),"Nick A.")</f>
        <v>Nick A.</v>
      </c>
      <c r="C621" t="str">
        <f>IFERROR(__xludf.DUMMYFUNCTION("""COMPUTED_VALUE"""),"Michigan State")</f>
        <v>Michigan State</v>
      </c>
      <c r="D621">
        <f>IFERROR(__xludf.DUMMYFUNCTION("""COMPUTED_VALUE"""),4.0)</f>
        <v>4</v>
      </c>
      <c r="E621">
        <f>IFERROR(__xludf.DUMMYFUNCTION("""COMPUTED_VALUE"""),1.0)</f>
        <v>1</v>
      </c>
      <c r="F621" t="str">
        <f>IFERROR(__xludf.DUMMYFUNCTION("""COMPUTED_VALUE"""),"FOX")</f>
        <v>FOX</v>
      </c>
      <c r="G621" t="str">
        <f>IFERROR(__xludf.DUMMYFUNCTION("""COMPUTED_VALUE"""),"Indiana 31 at Michigan State 40")</f>
        <v>Indiana 31 at Michigan State 40</v>
      </c>
      <c r="H621" t="str">
        <f>IFERROR(__xludf.DUMMYFUNCTION("""COMPUTED_VALUE"""),"FINAL")</f>
        <v>FINAL</v>
      </c>
      <c r="I621">
        <f>IFERROR(__xludf.DUMMYFUNCTION("""COMPUTED_VALUE"""),-14.0)</f>
        <v>-14</v>
      </c>
      <c r="J621">
        <f>IFERROR(__xludf.DUMMYFUNCTION("""COMPUTED_VALUE"""),44.0)</f>
        <v>44</v>
      </c>
      <c r="K621" t="str">
        <f>IFERROR(__xludf.DUMMYFUNCTION("""COMPUTED_VALUE"""),"Brad")</f>
        <v>Brad</v>
      </c>
      <c r="L621">
        <f>IFERROR(__xludf.DUMMYFUNCTION("""COMPUTED_VALUE"""),9999.0)</f>
        <v>9999</v>
      </c>
      <c r="M621" s="124">
        <v>5.0</v>
      </c>
    </row>
    <row r="622">
      <c r="A622" s="151">
        <f>IFERROR(__xludf.DUMMYFUNCTION("""COMPUTED_VALUE"""),43737.14775020833)</f>
        <v>43737.14775</v>
      </c>
      <c r="B622" t="str">
        <f>IFERROR(__xludf.DUMMYFUNCTION("""COMPUTED_VALUE"""),"Gary")</f>
        <v>Gary</v>
      </c>
      <c r="C622" t="str">
        <f>IFERROR(__xludf.DUMMYFUNCTION("""COMPUTED_VALUE"""),"Marshall")</f>
        <v>Marshall</v>
      </c>
      <c r="D622">
        <f>IFERROR(__xludf.DUMMYFUNCTION("""COMPUTED_VALUE"""),2.0)</f>
        <v>2</v>
      </c>
      <c r="E622">
        <f>IFERROR(__xludf.DUMMYFUNCTION("""COMPUTED_VALUE"""),2.0)</f>
        <v>2</v>
      </c>
      <c r="F622" t="str">
        <f>IFERROR(__xludf.DUMMYFUNCTION("""COMPUTED_VALUE"""),"Facebook Video")</f>
        <v>Facebook Video</v>
      </c>
      <c r="G622" t="str">
        <f>IFERROR(__xludf.DUMMYFUNCTION("""COMPUTED_VALUE"""),"Cincinnati 52 at Marshall 14")</f>
        <v>Cincinnati 52 at Marshall 14</v>
      </c>
      <c r="H622" t="str">
        <f>IFERROR(__xludf.DUMMYFUNCTION("""COMPUTED_VALUE"""),"FINAL")</f>
        <v>FINAL</v>
      </c>
      <c r="I622" t="str">
        <f>IFERROR(__xludf.DUMMYFUNCTION("""COMPUTED_VALUE"""),"3½")</f>
        <v>3½</v>
      </c>
      <c r="J622">
        <f>IFERROR(__xludf.DUMMYFUNCTION("""COMPUTED_VALUE"""),47.0)</f>
        <v>47</v>
      </c>
      <c r="K622" t="str">
        <f>IFERROR(__xludf.DUMMYFUNCTION("""COMPUTED_VALUE"""),"Vu")</f>
        <v>Vu</v>
      </c>
      <c r="L622">
        <f>IFERROR(__xludf.DUMMYFUNCTION("""COMPUTED_VALUE"""),9999.0)</f>
        <v>9999</v>
      </c>
      <c r="M622" s="124">
        <v>5.0</v>
      </c>
    </row>
    <row r="623">
      <c r="A623" s="151">
        <f>IFERROR(__xludf.DUMMYFUNCTION("""COMPUTED_VALUE"""),43737.14775020833)</f>
        <v>43737.14775</v>
      </c>
      <c r="B623" t="str">
        <f>IFERROR(__xludf.DUMMYFUNCTION("""COMPUTED_VALUE"""),"Gary")</f>
        <v>Gary</v>
      </c>
      <c r="C623" t="str">
        <f>IFERROR(__xludf.DUMMYFUNCTION("""COMPUTED_VALUE"""),"Ohio")</f>
        <v>Ohio</v>
      </c>
      <c r="D623">
        <f>IFERROR(__xludf.DUMMYFUNCTION("""COMPUTED_VALUE"""),1.0)</f>
        <v>1</v>
      </c>
      <c r="E623">
        <f>IFERROR(__xludf.DUMMYFUNCTION("""COMPUTED_VALUE"""),3.0)</f>
        <v>3</v>
      </c>
      <c r="F623" t="str">
        <f>IFERROR(__xludf.DUMMYFUNCTION("""COMPUTED_VALUE"""),"Facebook Video")</f>
        <v>Facebook Video</v>
      </c>
      <c r="G623" t="str">
        <f>IFERROR(__xludf.DUMMYFUNCTION("""COMPUTED_VALUE"""),"BYE")</f>
        <v>BYE</v>
      </c>
      <c r="I623" t="str">
        <f>IFERROR(__xludf.DUMMYFUNCTION("""COMPUTED_VALUE"""),"bye")</f>
        <v>bye</v>
      </c>
      <c r="J623" t="str">
        <f>IFERROR(__xludf.DUMMYFUNCTION("""COMPUTED_VALUE"""),"bye")</f>
        <v>bye</v>
      </c>
      <c r="L623">
        <f>IFERROR(__xludf.DUMMYFUNCTION("""COMPUTED_VALUE"""),9999.0)</f>
        <v>9999</v>
      </c>
      <c r="M623" s="124">
        <v>5.0</v>
      </c>
    </row>
    <row r="624">
      <c r="A624" s="151">
        <f>IFERROR(__xludf.DUMMYFUNCTION("""COMPUTED_VALUE"""),43737.14775020833)</f>
        <v>43737.14775</v>
      </c>
      <c r="B624" t="str">
        <f>IFERROR(__xludf.DUMMYFUNCTION("""COMPUTED_VALUE"""),"Gary")</f>
        <v>Gary</v>
      </c>
      <c r="C624" t="str">
        <f>IFERROR(__xludf.DUMMYFUNCTION("""COMPUTED_VALUE"""),"BYU")</f>
        <v>BYU</v>
      </c>
      <c r="D624">
        <f>IFERROR(__xludf.DUMMYFUNCTION("""COMPUTED_VALUE"""),2.0)</f>
        <v>2</v>
      </c>
      <c r="E624">
        <f>IFERROR(__xludf.DUMMYFUNCTION("""COMPUTED_VALUE"""),3.0)</f>
        <v>3</v>
      </c>
      <c r="F624" t="str">
        <f>IFERROR(__xludf.DUMMYFUNCTION("""COMPUTED_VALUE"""),"ABC")</f>
        <v>ABC</v>
      </c>
      <c r="G624" t="str">
        <f>IFERROR(__xludf.DUMMYFUNCTION("""COMPUTED_VALUE"""),"BYU 21 at Toledo 28")</f>
        <v>BYU 21 at Toledo 28</v>
      </c>
      <c r="H624" t="str">
        <f>IFERROR(__xludf.DUMMYFUNCTION("""COMPUTED_VALUE"""),"FINAL")</f>
        <v>FINAL</v>
      </c>
      <c r="I624" t="str">
        <f>IFERROR(__xludf.DUMMYFUNCTION("""COMPUTED_VALUE"""),"-2½")</f>
        <v>-2½</v>
      </c>
      <c r="J624" t="str">
        <f>IFERROR(__xludf.DUMMYFUNCTION("""COMPUTED_VALUE"""),"60½")</f>
        <v>60½</v>
      </c>
      <c r="K624" t="str">
        <f>IFERROR(__xludf.DUMMYFUNCTION("""COMPUTED_VALUE"""),"Josh R.")</f>
        <v>Josh R.</v>
      </c>
      <c r="L624">
        <f>IFERROR(__xludf.DUMMYFUNCTION("""COMPUTED_VALUE"""),9999.0)</f>
        <v>9999</v>
      </c>
      <c r="M624" s="124">
        <v>5.0</v>
      </c>
    </row>
    <row r="625">
      <c r="A625" s="151">
        <f>IFERROR(__xludf.DUMMYFUNCTION("""COMPUTED_VALUE"""),43737.14775020833)</f>
        <v>43737.14775</v>
      </c>
      <c r="B625" t="str">
        <f>IFERROR(__xludf.DUMMYFUNCTION("""COMPUTED_VALUE"""),"Gary")</f>
        <v>Gary</v>
      </c>
      <c r="C625" t="str">
        <f>IFERROR(__xludf.DUMMYFUNCTION("""COMPUTED_VALUE"""),"Tulane")</f>
        <v>Tulane</v>
      </c>
      <c r="D625">
        <f>IFERROR(__xludf.DUMMYFUNCTION("""COMPUTED_VALUE"""),3.0)</f>
        <v>3</v>
      </c>
      <c r="E625">
        <f>IFERROR(__xludf.DUMMYFUNCTION("""COMPUTED_VALUE"""),1.0)</f>
        <v>1</v>
      </c>
      <c r="F625" t="str">
        <f>IFERROR(__xludf.DUMMYFUNCTION("""COMPUTED_VALUE"""),"espn3 Video")</f>
        <v>espn3 Video</v>
      </c>
      <c r="G625" t="str">
        <f>IFERROR(__xludf.DUMMYFUNCTION("""COMPUTED_VALUE"""),"BYE")</f>
        <v>BYE</v>
      </c>
      <c r="I625" t="str">
        <f>IFERROR(__xludf.DUMMYFUNCTION("""COMPUTED_VALUE"""),"bye")</f>
        <v>bye</v>
      </c>
      <c r="J625" t="str">
        <f>IFERROR(__xludf.DUMMYFUNCTION("""COMPUTED_VALUE"""),"bye")</f>
        <v>bye</v>
      </c>
      <c r="L625">
        <f>IFERROR(__xludf.DUMMYFUNCTION("""COMPUTED_VALUE"""),9999.0)</f>
        <v>9999</v>
      </c>
      <c r="M625" s="124">
        <v>5.0</v>
      </c>
    </row>
    <row r="626">
      <c r="A626" s="151">
        <f>IFERROR(__xludf.DUMMYFUNCTION("""COMPUTED_VALUE"""),43737.14775020833)</f>
        <v>43737.14775</v>
      </c>
      <c r="B626" t="str">
        <f>IFERROR(__xludf.DUMMYFUNCTION("""COMPUTED_VALUE"""),"Gary")</f>
        <v>Gary</v>
      </c>
      <c r="C626" t="str">
        <f>IFERROR(__xludf.DUMMYFUNCTION("""COMPUTED_VALUE"""),"Pittsburgh")</f>
        <v>Pittsburgh</v>
      </c>
      <c r="D626">
        <f>IFERROR(__xludf.DUMMYFUNCTION("""COMPUTED_VALUE"""),3.0)</f>
        <v>3</v>
      </c>
      <c r="E626">
        <f>IFERROR(__xludf.DUMMYFUNCTION("""COMPUTED_VALUE"""),2.0)</f>
        <v>2</v>
      </c>
      <c r="F626" t="str">
        <f>IFERROR(__xludf.DUMMYFUNCTION("""COMPUTED_VALUE"""),"ABC")</f>
        <v>ABC</v>
      </c>
      <c r="G626" t="str">
        <f>IFERROR(__xludf.DUMMYFUNCTION("""COMPUTED_VALUE"""),"Delaware 14 at Pittsburgh 17")</f>
        <v>Delaware 14 at Pittsburgh 17</v>
      </c>
      <c r="H626" t="str">
        <f>IFERROR(__xludf.DUMMYFUNCTION("""COMPUTED_VALUE"""),"FINAL")</f>
        <v>FINAL</v>
      </c>
      <c r="I626">
        <f>IFERROR(__xludf.DUMMYFUNCTION("""COMPUTED_VALUE"""),-27.0)</f>
        <v>-27</v>
      </c>
      <c r="J626" t="str">
        <f>IFERROR(__xludf.DUMMYFUNCTION("""COMPUTED_VALUE"""),"50½")</f>
        <v>50½</v>
      </c>
      <c r="K626" t="str">
        <f>IFERROR(__xludf.DUMMYFUNCTION("""COMPUTED_VALUE"""),"Undrafted")</f>
        <v>Undrafted</v>
      </c>
      <c r="L626">
        <f>IFERROR(__xludf.DUMMYFUNCTION("""COMPUTED_VALUE"""),9999.0)</f>
        <v>9999</v>
      </c>
      <c r="M626" s="124">
        <v>5.0</v>
      </c>
    </row>
    <row r="627">
      <c r="A627" s="151">
        <f>IFERROR(__xludf.DUMMYFUNCTION("""COMPUTED_VALUE"""),43737.14775020833)</f>
        <v>43737.14775</v>
      </c>
      <c r="B627" t="str">
        <f>IFERROR(__xludf.DUMMYFUNCTION("""COMPUTED_VALUE"""),"Gary")</f>
        <v>Gary</v>
      </c>
      <c r="C627" t="str">
        <f>IFERROR(__xludf.DUMMYFUNCTION("""COMPUTED_VALUE"""),"Maryland")</f>
        <v>Maryland</v>
      </c>
      <c r="D627">
        <f>IFERROR(__xludf.DUMMYFUNCTION("""COMPUTED_VALUE"""),2.0)</f>
        <v>2</v>
      </c>
      <c r="E627">
        <f>IFERROR(__xludf.DUMMYFUNCTION("""COMPUTED_VALUE"""),2.0)</f>
        <v>2</v>
      </c>
      <c r="F627" t="str">
        <f>IFERROR(__xludf.DUMMYFUNCTION("""COMPUTED_VALUE"""),"CBSSN")</f>
        <v>CBSSN</v>
      </c>
      <c r="G627" t="str">
        <f>IFERROR(__xludf.DUMMYFUNCTION("""COMPUTED_VALUE"""),"(11) Penn State 59 at Maryland 0")</f>
        <v>(11) Penn State 59 at Maryland 0</v>
      </c>
      <c r="H627" t="str">
        <f>IFERROR(__xludf.DUMMYFUNCTION("""COMPUTED_VALUE"""),"FINAL")</f>
        <v>FINAL</v>
      </c>
      <c r="I627" t="str">
        <f>IFERROR(__xludf.DUMMYFUNCTION("""COMPUTED_VALUE"""),"6½")</f>
        <v>6½</v>
      </c>
      <c r="J627">
        <f>IFERROR(__xludf.DUMMYFUNCTION("""COMPUTED_VALUE"""),62.0)</f>
        <v>62</v>
      </c>
      <c r="K627" t="str">
        <f>IFERROR(__xludf.DUMMYFUNCTION("""COMPUTED_VALUE"""),"Jeannine")</f>
        <v>Jeannine</v>
      </c>
      <c r="L627">
        <f>IFERROR(__xludf.DUMMYFUNCTION("""COMPUTED_VALUE"""),9999.0)</f>
        <v>9999</v>
      </c>
      <c r="M627" s="124">
        <v>5.0</v>
      </c>
    </row>
    <row r="628">
      <c r="A628" s="151">
        <f>IFERROR(__xludf.DUMMYFUNCTION("""COMPUTED_VALUE"""),43737.14775020833)</f>
        <v>43737.14775</v>
      </c>
      <c r="B628" t="str">
        <f>IFERROR(__xludf.DUMMYFUNCTION("""COMPUTED_VALUE"""),"Gary")</f>
        <v>Gary</v>
      </c>
      <c r="C628" t="str">
        <f>IFERROR(__xludf.DUMMYFUNCTION("""COMPUTED_VALUE"""),"Missouri")</f>
        <v>Missouri</v>
      </c>
      <c r="D628">
        <f>IFERROR(__xludf.DUMMYFUNCTION("""COMPUTED_VALUE"""),3.0)</f>
        <v>3</v>
      </c>
      <c r="E628">
        <f>IFERROR(__xludf.DUMMYFUNCTION("""COMPUTED_VALUE"""),1.0)</f>
        <v>1</v>
      </c>
      <c r="F628" t="str">
        <f>IFERROR(__xludf.DUMMYFUNCTION("""COMPUTED_VALUE"""),"SEC Network alternate")</f>
        <v>SEC Network alternate</v>
      </c>
      <c r="G628" t="str">
        <f>IFERROR(__xludf.DUMMYFUNCTION("""COMPUTED_VALUE"""),"BYE")</f>
        <v>BYE</v>
      </c>
      <c r="I628" t="str">
        <f>IFERROR(__xludf.DUMMYFUNCTION("""COMPUTED_VALUE"""),"bye")</f>
        <v>bye</v>
      </c>
      <c r="J628" t="str">
        <f>IFERROR(__xludf.DUMMYFUNCTION("""COMPUTED_VALUE"""),"bye")</f>
        <v>bye</v>
      </c>
      <c r="L628">
        <f>IFERROR(__xludf.DUMMYFUNCTION("""COMPUTED_VALUE"""),9999.0)</f>
        <v>9999</v>
      </c>
      <c r="M628" s="124">
        <v>5.0</v>
      </c>
    </row>
    <row r="629">
      <c r="A629" s="151">
        <f>IFERROR(__xludf.DUMMYFUNCTION("""COMPUTED_VALUE"""),43737.14775020833)</f>
        <v>43737.14775</v>
      </c>
      <c r="B629" t="str">
        <f>IFERROR(__xludf.DUMMYFUNCTION("""COMPUTED_VALUE"""),"Gary")</f>
        <v>Gary</v>
      </c>
      <c r="C629" t="str">
        <f>IFERROR(__xludf.DUMMYFUNCTION("""COMPUTED_VALUE"""),"UCLA")</f>
        <v>UCLA</v>
      </c>
      <c r="D629">
        <f>IFERROR(__xludf.DUMMYFUNCTION("""COMPUTED_VALUE"""),1.0)</f>
        <v>1</v>
      </c>
      <c r="E629">
        <f>IFERROR(__xludf.DUMMYFUNCTION("""COMPUTED_VALUE"""),4.0)</f>
        <v>4</v>
      </c>
      <c r="F629" t="str">
        <f>IFERROR(__xludf.DUMMYFUNCTION("""COMPUTED_VALUE"""),"FOX")</f>
        <v>FOX</v>
      </c>
      <c r="G629" t="str">
        <f>IFERROR(__xludf.DUMMYFUNCTION("""COMPUTED_VALUE"""),"UCLA 17 at Arizona 20")</f>
        <v>UCLA 17 at Arizona 20</v>
      </c>
      <c r="H629" t="str">
        <f>IFERROR(__xludf.DUMMYFUNCTION("""COMPUTED_VALUE"""),"FINAL")</f>
        <v>FINAL</v>
      </c>
      <c r="I629" t="str">
        <f>IFERROR(__xludf.DUMMYFUNCTION("""COMPUTED_VALUE"""),"6½")</f>
        <v>6½</v>
      </c>
      <c r="J629">
        <f>IFERROR(__xludf.DUMMYFUNCTION("""COMPUTED_VALUE"""),71.0)</f>
        <v>71</v>
      </c>
      <c r="K629" t="str">
        <f>IFERROR(__xludf.DUMMYFUNCTION("""COMPUTED_VALUE"""),"Janice/Mike")</f>
        <v>Janice/Mike</v>
      </c>
      <c r="L629">
        <f>IFERROR(__xludf.DUMMYFUNCTION("""COMPUTED_VALUE"""),9999.0)</f>
        <v>9999</v>
      </c>
      <c r="M629" s="124">
        <v>5.0</v>
      </c>
    </row>
    <row r="630">
      <c r="A630" s="151">
        <f>IFERROR(__xludf.DUMMYFUNCTION("""COMPUTED_VALUE"""),43737.14775020833)</f>
        <v>43737.14775</v>
      </c>
      <c r="B630" t="str">
        <f>IFERROR(__xludf.DUMMYFUNCTION("""COMPUTED_VALUE"""),"Gary")</f>
        <v>Gary</v>
      </c>
      <c r="C630" t="str">
        <f>IFERROR(__xludf.DUMMYFUNCTION("""COMPUTED_VALUE"""),"Utah State")</f>
        <v>Utah State</v>
      </c>
      <c r="D630">
        <f>IFERROR(__xludf.DUMMYFUNCTION("""COMPUTED_VALUE"""),3.0)</f>
        <v>3</v>
      </c>
      <c r="E630">
        <f>IFERROR(__xludf.DUMMYFUNCTION("""COMPUTED_VALUE"""),1.0)</f>
        <v>1</v>
      </c>
      <c r="F630" t="str">
        <f>IFERROR(__xludf.DUMMYFUNCTION("""COMPUTED_VALUE"""),"NA")</f>
        <v>NA</v>
      </c>
      <c r="G630" t="str">
        <f>IFERROR(__xludf.DUMMYFUNCTION("""COMPUTED_VALUE"""),"Colorado State 24 at Utah State 34")</f>
        <v>Colorado State 24 at Utah State 34</v>
      </c>
      <c r="H630" t="str">
        <f>IFERROR(__xludf.DUMMYFUNCTION("""COMPUTED_VALUE"""),"FINAL")</f>
        <v>FINAL</v>
      </c>
      <c r="I630">
        <f>IFERROR(__xludf.DUMMYFUNCTION("""COMPUTED_VALUE"""),-24.0)</f>
        <v>-24</v>
      </c>
      <c r="J630" t="str">
        <f>IFERROR(__xludf.DUMMYFUNCTION("""COMPUTED_VALUE"""),"70½")</f>
        <v>70½</v>
      </c>
      <c r="K630" t="str">
        <f>IFERROR(__xludf.DUMMYFUNCTION("""COMPUTED_VALUE"""),"Brad")</f>
        <v>Brad</v>
      </c>
      <c r="L630">
        <f>IFERROR(__xludf.DUMMYFUNCTION("""COMPUTED_VALUE"""),9999.0)</f>
        <v>9999</v>
      </c>
      <c r="M630" s="124">
        <v>5.0</v>
      </c>
    </row>
    <row r="631">
      <c r="A631" s="151">
        <f>IFERROR(__xludf.DUMMYFUNCTION("""COMPUTED_VALUE"""),43737.14775020833)</f>
        <v>43737.14775</v>
      </c>
      <c r="B631" t="str">
        <f>IFERROR(__xludf.DUMMYFUNCTION("""COMPUTED_VALUE"""),"Gary")</f>
        <v>Gary</v>
      </c>
      <c r="C631" t="str">
        <f>IFERROR(__xludf.DUMMYFUNCTION("""COMPUTED_VALUE"""),"UL Lafayette")</f>
        <v>UL Lafayette</v>
      </c>
      <c r="D631">
        <f>IFERROR(__xludf.DUMMYFUNCTION("""COMPUTED_VALUE"""),3.0)</f>
        <v>3</v>
      </c>
      <c r="E631">
        <f>IFERROR(__xludf.DUMMYFUNCTION("""COMPUTED_VALUE"""),1.0)</f>
        <v>1</v>
      </c>
      <c r="F631" t="str">
        <f>IFERROR(__xludf.DUMMYFUNCTION("""COMPUTED_VALUE"""),"NA")</f>
        <v>NA</v>
      </c>
      <c r="G631" t="str">
        <f>IFERROR(__xludf.DUMMYFUNCTION("""COMPUTED_VALUE"""),"UL Lafayette 37 at Georgia Southern 24")</f>
        <v>UL Lafayette 37 at Georgia Southern 24</v>
      </c>
      <c r="H631" t="str">
        <f>IFERROR(__xludf.DUMMYFUNCTION("""COMPUTED_VALUE"""),"FINAL")</f>
        <v>FINAL</v>
      </c>
      <c r="I631" t="str">
        <f>IFERROR(__xludf.DUMMYFUNCTION("""COMPUTED_VALUE"""),"-3½")</f>
        <v>-3½</v>
      </c>
      <c r="J631">
        <f>IFERROR(__xludf.DUMMYFUNCTION("""COMPUTED_VALUE"""),55.0)</f>
        <v>55</v>
      </c>
      <c r="K631" t="str">
        <f>IFERROR(__xludf.DUMMYFUNCTION("""COMPUTED_VALUE"""),"Janice/Mike")</f>
        <v>Janice/Mike</v>
      </c>
      <c r="L631">
        <f>IFERROR(__xludf.DUMMYFUNCTION("""COMPUTED_VALUE"""),9999.0)</f>
        <v>9999</v>
      </c>
      <c r="M631" s="124">
        <v>5.0</v>
      </c>
    </row>
    <row r="632">
      <c r="A632" s="151">
        <f>IFERROR(__xludf.DUMMYFUNCTION("""COMPUTED_VALUE"""),43737.14775020833)</f>
        <v>43737.14775</v>
      </c>
      <c r="B632" t="str">
        <f>IFERROR(__xludf.DUMMYFUNCTION("""COMPUTED_VALUE"""),"Janice/Mike")</f>
        <v>Janice/Mike</v>
      </c>
      <c r="C632" t="str">
        <f>IFERROR(__xludf.DUMMYFUNCTION("""COMPUTED_VALUE"""),"Northern Illinois")</f>
        <v>Northern Illinois</v>
      </c>
      <c r="D632">
        <f>IFERROR(__xludf.DUMMYFUNCTION("""COMPUTED_VALUE"""),1.0)</f>
        <v>1</v>
      </c>
      <c r="E632">
        <f>IFERROR(__xludf.DUMMYFUNCTION("""COMPUTED_VALUE"""),3.0)</f>
        <v>3</v>
      </c>
      <c r="F632" t="str">
        <f>IFERROR(__xludf.DUMMYFUNCTION("""COMPUTED_VALUE"""),"FS1")</f>
        <v>FS1</v>
      </c>
      <c r="G632" t="str">
        <f>IFERROR(__xludf.DUMMYFUNCTION("""COMPUTED_VALUE"""),"Northern Illinois 18 at Vanderbilt 24")</f>
        <v>Northern Illinois 18 at Vanderbilt 24</v>
      </c>
      <c r="H632" t="str">
        <f>IFERROR(__xludf.DUMMYFUNCTION("""COMPUTED_VALUE"""),"FINAL")</f>
        <v>FINAL</v>
      </c>
      <c r="I632" t="str">
        <f>IFERROR(__xludf.DUMMYFUNCTION("""COMPUTED_VALUE"""),"6½")</f>
        <v>6½</v>
      </c>
      <c r="J632" t="str">
        <f>IFERROR(__xludf.DUMMYFUNCTION("""COMPUTED_VALUE"""),"51½")</f>
        <v>51½</v>
      </c>
      <c r="K632" t="str">
        <f>IFERROR(__xludf.DUMMYFUNCTION("""COMPUTED_VALUE"""),"Undrafted")</f>
        <v>Undrafted</v>
      </c>
      <c r="L632">
        <f>IFERROR(__xludf.DUMMYFUNCTION("""COMPUTED_VALUE"""),9999.0)</f>
        <v>9999</v>
      </c>
      <c r="M632" s="124">
        <v>5.0</v>
      </c>
    </row>
    <row r="633">
      <c r="A633" s="151">
        <f>IFERROR(__xludf.DUMMYFUNCTION("""COMPUTED_VALUE"""),43737.14775020833)</f>
        <v>43737.14775</v>
      </c>
      <c r="B633" t="str">
        <f>IFERROR(__xludf.DUMMYFUNCTION("""COMPUTED_VALUE"""),"Janice/Mike")</f>
        <v>Janice/Mike</v>
      </c>
      <c r="C633" t="str">
        <f>IFERROR(__xludf.DUMMYFUNCTION("""COMPUTED_VALUE"""),"Charlotte")</f>
        <v>Charlotte</v>
      </c>
      <c r="D633">
        <f>IFERROR(__xludf.DUMMYFUNCTION("""COMPUTED_VALUE"""),2.0)</f>
        <v>2</v>
      </c>
      <c r="E633">
        <f>IFERROR(__xludf.DUMMYFUNCTION("""COMPUTED_VALUE"""),3.0)</f>
        <v>3</v>
      </c>
      <c r="F633" t="str">
        <f>IFERROR(__xludf.DUMMYFUNCTION("""COMPUTED_VALUE"""),"espn+ Video")</f>
        <v>espn+ Video</v>
      </c>
      <c r="G633" t="str">
        <f>IFERROR(__xludf.DUMMYFUNCTION("""COMPUTED_VALUE"""),"Florida Atlantic 45 at Charlotte 27")</f>
        <v>Florida Atlantic 45 at Charlotte 27</v>
      </c>
      <c r="H633" t="str">
        <f>IFERROR(__xludf.DUMMYFUNCTION("""COMPUTED_VALUE"""),"FINAL")</f>
        <v>FINAL</v>
      </c>
      <c r="I633">
        <f>IFERROR(__xludf.DUMMYFUNCTION("""COMPUTED_VALUE"""),-1.0)</f>
        <v>-1</v>
      </c>
      <c r="J633" t="str">
        <f>IFERROR(__xludf.DUMMYFUNCTION("""COMPUTED_VALUE"""),"64½")</f>
        <v>64½</v>
      </c>
      <c r="K633" t="str">
        <f>IFERROR(__xludf.DUMMYFUNCTION("""COMPUTED_VALUE"""),"Nick G.")</f>
        <v>Nick G.</v>
      </c>
      <c r="L633">
        <f>IFERROR(__xludf.DUMMYFUNCTION("""COMPUTED_VALUE"""),9999.0)</f>
        <v>9999</v>
      </c>
      <c r="M633" s="124">
        <v>5.0</v>
      </c>
    </row>
    <row r="634">
      <c r="A634" s="151">
        <f>IFERROR(__xludf.DUMMYFUNCTION("""COMPUTED_VALUE"""),43737.14775020833)</f>
        <v>43737.14775</v>
      </c>
      <c r="B634" t="str">
        <f>IFERROR(__xludf.DUMMYFUNCTION("""COMPUTED_VALUE"""),"Janice/Mike")</f>
        <v>Janice/Mike</v>
      </c>
      <c r="C634" t="str">
        <f>IFERROR(__xludf.DUMMYFUNCTION("""COMPUTED_VALUE"""),"Arkansas")</f>
        <v>Arkansas</v>
      </c>
      <c r="D634">
        <f>IFERROR(__xludf.DUMMYFUNCTION("""COMPUTED_VALUE"""),2.0)</f>
        <v>2</v>
      </c>
      <c r="E634">
        <f>IFERROR(__xludf.DUMMYFUNCTION("""COMPUTED_VALUE"""),3.0)</f>
        <v>3</v>
      </c>
      <c r="F634" t="str">
        <f>IFERROR(__xludf.DUMMYFUNCTION("""COMPUTED_VALUE"""),"SEC Network")</f>
        <v>SEC Network</v>
      </c>
      <c r="G634" t="str">
        <f>IFERROR(__xludf.DUMMYFUNCTION("""COMPUTED_VALUE"""),"(21) Texas A&amp;M 31 at Arkansas 27")</f>
        <v>(21) Texas A&amp;M 31 at Arkansas 27</v>
      </c>
      <c r="H634" t="str">
        <f>IFERROR(__xludf.DUMMYFUNCTION("""COMPUTED_VALUE"""),"FINAL")</f>
        <v>FINAL</v>
      </c>
      <c r="I634">
        <f>IFERROR(__xludf.DUMMYFUNCTION("""COMPUTED_VALUE"""),23.0)</f>
        <v>23</v>
      </c>
      <c r="J634" t="str">
        <f>IFERROR(__xludf.DUMMYFUNCTION("""COMPUTED_VALUE"""),"59½")</f>
        <v>59½</v>
      </c>
      <c r="K634" t="str">
        <f>IFERROR(__xludf.DUMMYFUNCTION("""COMPUTED_VALUE"""),"Vu")</f>
        <v>Vu</v>
      </c>
      <c r="L634">
        <f>IFERROR(__xludf.DUMMYFUNCTION("""COMPUTED_VALUE"""),9999.0)</f>
        <v>9999</v>
      </c>
      <c r="M634" s="124">
        <v>5.0</v>
      </c>
    </row>
    <row r="635">
      <c r="A635" s="151">
        <f>IFERROR(__xludf.DUMMYFUNCTION("""COMPUTED_VALUE"""),43737.14775020833)</f>
        <v>43737.14775</v>
      </c>
      <c r="B635" t="str">
        <f>IFERROR(__xludf.DUMMYFUNCTION("""COMPUTED_VALUE"""),"Janice/Mike")</f>
        <v>Janice/Mike</v>
      </c>
      <c r="C635" t="str">
        <f>IFERROR(__xludf.DUMMYFUNCTION("""COMPUTED_VALUE"""),"Navy")</f>
        <v>Navy</v>
      </c>
      <c r="D635">
        <f>IFERROR(__xludf.DUMMYFUNCTION("""COMPUTED_VALUE"""),2.0)</f>
        <v>2</v>
      </c>
      <c r="E635">
        <f>IFERROR(__xludf.DUMMYFUNCTION("""COMPUTED_VALUE"""),1.0)</f>
        <v>1</v>
      </c>
      <c r="F635" t="str">
        <f>IFERROR(__xludf.DUMMYFUNCTION("""COMPUTED_VALUE"""),"CBSSN")</f>
        <v>CBSSN</v>
      </c>
      <c r="G635" t="str">
        <f>IFERROR(__xludf.DUMMYFUNCTION("""COMPUTED_VALUE"""),"Navy 23 at Memphis 35")</f>
        <v>Navy 23 at Memphis 35</v>
      </c>
      <c r="H635" t="str">
        <f>IFERROR(__xludf.DUMMYFUNCTION("""COMPUTED_VALUE"""),"FINAL")</f>
        <v>FINAL</v>
      </c>
      <c r="I635" t="str">
        <f>IFERROR(__xludf.DUMMYFUNCTION("""COMPUTED_VALUE"""),"10½")</f>
        <v>10½</v>
      </c>
      <c r="J635" t="str">
        <f>IFERROR(__xludf.DUMMYFUNCTION("""COMPUTED_VALUE"""),"53½")</f>
        <v>53½</v>
      </c>
      <c r="K635" t="str">
        <f>IFERROR(__xludf.DUMMYFUNCTION("""COMPUTED_VALUE"""),"Brad")</f>
        <v>Brad</v>
      </c>
      <c r="L635">
        <f>IFERROR(__xludf.DUMMYFUNCTION("""COMPUTED_VALUE"""),9999.0)</f>
        <v>9999</v>
      </c>
      <c r="M635" s="124">
        <v>5.0</v>
      </c>
    </row>
    <row r="636">
      <c r="A636" s="151">
        <f>IFERROR(__xludf.DUMMYFUNCTION("""COMPUTED_VALUE"""),43737.14775020833)</f>
        <v>43737.14775</v>
      </c>
      <c r="B636" t="str">
        <f>IFERROR(__xludf.DUMMYFUNCTION("""COMPUTED_VALUE"""),"Janice/Mike")</f>
        <v>Janice/Mike</v>
      </c>
      <c r="C636" t="str">
        <f>IFERROR(__xludf.DUMMYFUNCTION("""COMPUTED_VALUE"""),"Boise State")</f>
        <v>Boise State</v>
      </c>
      <c r="D636">
        <f>IFERROR(__xludf.DUMMYFUNCTION("""COMPUTED_VALUE"""),4.0)</f>
        <v>4</v>
      </c>
      <c r="E636">
        <f>IFERROR(__xludf.DUMMYFUNCTION("""COMPUTED_VALUE"""),0.0)</f>
        <v>0</v>
      </c>
      <c r="F636" t="str">
        <f>IFERROR(__xludf.DUMMYFUNCTION("""COMPUTED_VALUE"""),"ESPN2")</f>
        <v>ESPN2</v>
      </c>
      <c r="G636" t="str">
        <f>IFERROR(__xludf.DUMMYFUNCTION("""COMPUTED_VALUE"""),"BYE")</f>
        <v>BYE</v>
      </c>
      <c r="I636" t="str">
        <f>IFERROR(__xludf.DUMMYFUNCTION("""COMPUTED_VALUE"""),"bye")</f>
        <v>bye</v>
      </c>
      <c r="J636" t="str">
        <f>IFERROR(__xludf.DUMMYFUNCTION("""COMPUTED_VALUE"""),"bye")</f>
        <v>bye</v>
      </c>
      <c r="L636">
        <f>IFERROR(__xludf.DUMMYFUNCTION("""COMPUTED_VALUE"""),9999.0)</f>
        <v>9999</v>
      </c>
      <c r="M636" s="124">
        <v>5.0</v>
      </c>
    </row>
    <row r="637">
      <c r="A637" s="151">
        <f>IFERROR(__xludf.DUMMYFUNCTION("""COMPUTED_VALUE"""),43737.14775020833)</f>
        <v>43737.14775</v>
      </c>
      <c r="B637" t="str">
        <f>IFERROR(__xludf.DUMMYFUNCTION("""COMPUTED_VALUE"""),"Janice/Mike")</f>
        <v>Janice/Mike</v>
      </c>
      <c r="C637" t="str">
        <f>IFERROR(__xludf.DUMMYFUNCTION("""COMPUTED_VALUE"""),"Wisconsin")</f>
        <v>Wisconsin</v>
      </c>
      <c r="D637">
        <f>IFERROR(__xludf.DUMMYFUNCTION("""COMPUTED_VALUE"""),4.0)</f>
        <v>4</v>
      </c>
      <c r="E637">
        <f>IFERROR(__xludf.DUMMYFUNCTION("""COMPUTED_VALUE"""),0.0)</f>
        <v>0</v>
      </c>
      <c r="F637" t="str">
        <f>IFERROR(__xludf.DUMMYFUNCTION("""COMPUTED_VALUE"""),"NA")</f>
        <v>NA</v>
      </c>
      <c r="G637" t="str">
        <f>IFERROR(__xludf.DUMMYFUNCTION("""COMPUTED_VALUE"""),"Northwestern 15 at (9) Wisconsin 24")</f>
        <v>Northwestern 15 at (9) Wisconsin 24</v>
      </c>
      <c r="H637" t="str">
        <f>IFERROR(__xludf.DUMMYFUNCTION("""COMPUTED_VALUE"""),"FINAL")</f>
        <v>FINAL</v>
      </c>
      <c r="I637" t="str">
        <f>IFERROR(__xludf.DUMMYFUNCTION("""COMPUTED_VALUE"""),"-24½")</f>
        <v>-24½</v>
      </c>
      <c r="J637" t="str">
        <f>IFERROR(__xludf.DUMMYFUNCTION("""COMPUTED_VALUE"""),"46½")</f>
        <v>46½</v>
      </c>
      <c r="K637" t="str">
        <f>IFERROR(__xludf.DUMMYFUNCTION("""COMPUTED_VALUE"""),"Adam")</f>
        <v>Adam</v>
      </c>
      <c r="L637">
        <f>IFERROR(__xludf.DUMMYFUNCTION("""COMPUTED_VALUE"""),9999.0)</f>
        <v>9999</v>
      </c>
      <c r="M637" s="124">
        <v>5.0</v>
      </c>
    </row>
    <row r="638">
      <c r="A638" s="151">
        <f>IFERROR(__xludf.DUMMYFUNCTION("""COMPUTED_VALUE"""),43737.14775020833)</f>
        <v>43737.14775</v>
      </c>
      <c r="B638" t="str">
        <f>IFERROR(__xludf.DUMMYFUNCTION("""COMPUTED_VALUE"""),"Janice/Mike")</f>
        <v>Janice/Mike</v>
      </c>
      <c r="C638" t="str">
        <f>IFERROR(__xludf.DUMMYFUNCTION("""COMPUTED_VALUE"""),"Boston College")</f>
        <v>Boston College</v>
      </c>
      <c r="D638">
        <f>IFERROR(__xludf.DUMMYFUNCTION("""COMPUTED_VALUE"""),3.0)</f>
        <v>3</v>
      </c>
      <c r="E638">
        <f>IFERROR(__xludf.DUMMYFUNCTION("""COMPUTED_VALUE"""),2.0)</f>
        <v>2</v>
      </c>
      <c r="F638" t="str">
        <f>IFERROR(__xludf.DUMMYFUNCTION("""COMPUTED_VALUE"""),"ACC Network")</f>
        <v>ACC Network</v>
      </c>
      <c r="G638" t="str">
        <f>IFERROR(__xludf.DUMMYFUNCTION("""COMPUTED_VALUE"""),"(24) Wake Forest 27 at Boston College 24")</f>
        <v>(24) Wake Forest 27 at Boston College 24</v>
      </c>
      <c r="H638" t="str">
        <f>IFERROR(__xludf.DUMMYFUNCTION("""COMPUTED_VALUE"""),"FINAL")</f>
        <v>FINAL</v>
      </c>
      <c r="I638" t="str">
        <f>IFERROR(__xludf.DUMMYFUNCTION("""COMPUTED_VALUE"""),"6½")</f>
        <v>6½</v>
      </c>
      <c r="J638">
        <f>IFERROR(__xludf.DUMMYFUNCTION("""COMPUTED_VALUE"""),69.0)</f>
        <v>69</v>
      </c>
      <c r="K638" t="str">
        <f>IFERROR(__xludf.DUMMYFUNCTION("""COMPUTED_VALUE"""),"Adam")</f>
        <v>Adam</v>
      </c>
      <c r="L638">
        <f>IFERROR(__xludf.DUMMYFUNCTION("""COMPUTED_VALUE"""),9999.0)</f>
        <v>9999</v>
      </c>
      <c r="M638" s="124">
        <v>5.0</v>
      </c>
    </row>
    <row r="639">
      <c r="A639" s="151">
        <f>IFERROR(__xludf.DUMMYFUNCTION("""COMPUTED_VALUE"""),43737.14775020833)</f>
        <v>43737.14775</v>
      </c>
      <c r="B639" t="str">
        <f>IFERROR(__xludf.DUMMYFUNCTION("""COMPUTED_VALUE"""),"Janice/Mike")</f>
        <v>Janice/Mike</v>
      </c>
      <c r="C639" t="str">
        <f>IFERROR(__xludf.DUMMYFUNCTION("""COMPUTED_VALUE"""),"Georgia Southern")</f>
        <v>Georgia Southern</v>
      </c>
      <c r="D639">
        <f>IFERROR(__xludf.DUMMYFUNCTION("""COMPUTED_VALUE"""),1.0)</f>
        <v>1</v>
      </c>
      <c r="E639">
        <f>IFERROR(__xludf.DUMMYFUNCTION("""COMPUTED_VALUE"""),3.0)</f>
        <v>3</v>
      </c>
      <c r="F639" t="str">
        <f>IFERROR(__xludf.DUMMYFUNCTION("""COMPUTED_VALUE"""),"BTN")</f>
        <v>BTN</v>
      </c>
      <c r="G639" t="str">
        <f>IFERROR(__xludf.DUMMYFUNCTION("""COMPUTED_VALUE"""),"UL Lafayette 37 at Georgia Southern 24")</f>
        <v>UL Lafayette 37 at Georgia Southern 24</v>
      </c>
      <c r="H639" t="str">
        <f>IFERROR(__xludf.DUMMYFUNCTION("""COMPUTED_VALUE"""),"FINAL")</f>
        <v>FINAL</v>
      </c>
      <c r="I639" t="str">
        <f>IFERROR(__xludf.DUMMYFUNCTION("""COMPUTED_VALUE"""),"3½")</f>
        <v>3½</v>
      </c>
      <c r="J639">
        <f>IFERROR(__xludf.DUMMYFUNCTION("""COMPUTED_VALUE"""),55.0)</f>
        <v>55</v>
      </c>
      <c r="K639" t="str">
        <f>IFERROR(__xludf.DUMMYFUNCTION("""COMPUTED_VALUE"""),"Gary")</f>
        <v>Gary</v>
      </c>
      <c r="L639">
        <f>IFERROR(__xludf.DUMMYFUNCTION("""COMPUTED_VALUE"""),9999.0)</f>
        <v>9999</v>
      </c>
      <c r="M639" s="124">
        <v>5.0</v>
      </c>
    </row>
    <row r="640">
      <c r="A640" s="151">
        <f>IFERROR(__xludf.DUMMYFUNCTION("""COMPUTED_VALUE"""),43737.14775020833)</f>
        <v>43737.14775</v>
      </c>
      <c r="B640" t="str">
        <f>IFERROR(__xludf.DUMMYFUNCTION("""COMPUTED_VALUE"""),"Janice/Mike")</f>
        <v>Janice/Mike</v>
      </c>
      <c r="C640" t="str">
        <f>IFERROR(__xludf.DUMMYFUNCTION("""COMPUTED_VALUE"""),"Texas Tech")</f>
        <v>Texas Tech</v>
      </c>
      <c r="D640">
        <f>IFERROR(__xludf.DUMMYFUNCTION("""COMPUTED_VALUE"""),2.0)</f>
        <v>2</v>
      </c>
      <c r="E640">
        <f>IFERROR(__xludf.DUMMYFUNCTION("""COMPUTED_VALUE"""),2.0)</f>
        <v>2</v>
      </c>
      <c r="F640" t="str">
        <f>IFERROR(__xludf.DUMMYFUNCTION("""COMPUTED_VALUE"""),"ESPN")</f>
        <v>ESPN</v>
      </c>
      <c r="G640" t="str">
        <f>IFERROR(__xludf.DUMMYFUNCTION("""COMPUTED_VALUE"""),"Texas Tech 16 at (4) Oklahoma 55")</f>
        <v>Texas Tech 16 at (4) Oklahoma 55</v>
      </c>
      <c r="H640" t="str">
        <f>IFERROR(__xludf.DUMMYFUNCTION("""COMPUTED_VALUE"""),"FINAL")</f>
        <v>FINAL</v>
      </c>
      <c r="I640">
        <f>IFERROR(__xludf.DUMMYFUNCTION("""COMPUTED_VALUE"""),27.0)</f>
        <v>27</v>
      </c>
      <c r="J640" t="str">
        <f>IFERROR(__xludf.DUMMYFUNCTION("""COMPUTED_VALUE"""),"70½")</f>
        <v>70½</v>
      </c>
      <c r="K640" t="str">
        <f>IFERROR(__xludf.DUMMYFUNCTION("""COMPUTED_VALUE"""),"Jeannine")</f>
        <v>Jeannine</v>
      </c>
      <c r="L640">
        <f>IFERROR(__xludf.DUMMYFUNCTION("""COMPUTED_VALUE"""),9999.0)</f>
        <v>9999</v>
      </c>
      <c r="M640" s="124">
        <v>5.0</v>
      </c>
    </row>
    <row r="641">
      <c r="A641" s="151">
        <f>IFERROR(__xludf.DUMMYFUNCTION("""COMPUTED_VALUE"""),43737.14775020833)</f>
        <v>43737.14775</v>
      </c>
      <c r="B641" t="str">
        <f>IFERROR(__xludf.DUMMYFUNCTION("""COMPUTED_VALUE"""),"Janice/Mike")</f>
        <v>Janice/Mike</v>
      </c>
      <c r="C641" t="str">
        <f>IFERROR(__xludf.DUMMYFUNCTION("""COMPUTED_VALUE"""),"Arizona")</f>
        <v>Arizona</v>
      </c>
      <c r="D641">
        <f>IFERROR(__xludf.DUMMYFUNCTION("""COMPUTED_VALUE"""),3.0)</f>
        <v>3</v>
      </c>
      <c r="E641">
        <f>IFERROR(__xludf.DUMMYFUNCTION("""COMPUTED_VALUE"""),1.0)</f>
        <v>1</v>
      </c>
      <c r="F641" t="str">
        <f>IFERROR(__xludf.DUMMYFUNCTION("""COMPUTED_VALUE"""),"ESPN")</f>
        <v>ESPN</v>
      </c>
      <c r="G641" t="str">
        <f>IFERROR(__xludf.DUMMYFUNCTION("""COMPUTED_VALUE"""),"UCLA 17 at Arizona 20")</f>
        <v>UCLA 17 at Arizona 20</v>
      </c>
      <c r="H641" t="str">
        <f>IFERROR(__xludf.DUMMYFUNCTION("""COMPUTED_VALUE"""),"FINAL")</f>
        <v>FINAL</v>
      </c>
      <c r="I641" t="str">
        <f>IFERROR(__xludf.DUMMYFUNCTION("""COMPUTED_VALUE"""),"-6½")</f>
        <v>-6½</v>
      </c>
      <c r="J641">
        <f>IFERROR(__xludf.DUMMYFUNCTION("""COMPUTED_VALUE"""),71.0)</f>
        <v>71</v>
      </c>
      <c r="K641" t="str">
        <f>IFERROR(__xludf.DUMMYFUNCTION("""COMPUTED_VALUE"""),"Gary")</f>
        <v>Gary</v>
      </c>
      <c r="L641">
        <f>IFERROR(__xludf.DUMMYFUNCTION("""COMPUTED_VALUE"""),9999.0)</f>
        <v>9999</v>
      </c>
      <c r="M641" s="124">
        <v>5.0</v>
      </c>
    </row>
    <row r="642">
      <c r="A642" s="151">
        <f>IFERROR(__xludf.DUMMYFUNCTION("""COMPUTED_VALUE"""),43737.14775020833)</f>
        <v>43737.14775</v>
      </c>
      <c r="B642" t="str">
        <f>IFERROR(__xludf.DUMMYFUNCTION("""COMPUTED_VALUE"""),"Nico")</f>
        <v>Nico</v>
      </c>
      <c r="C642" t="str">
        <f>IFERROR(__xludf.DUMMYFUNCTION("""COMPUTED_VALUE"""),"West Virginia")</f>
        <v>West Virginia</v>
      </c>
      <c r="D642">
        <f>IFERROR(__xludf.DUMMYFUNCTION("""COMPUTED_VALUE"""),3.0)</f>
        <v>3</v>
      </c>
      <c r="E642">
        <f>IFERROR(__xludf.DUMMYFUNCTION("""COMPUTED_VALUE"""),1.0)</f>
        <v>1</v>
      </c>
      <c r="F642" t="str">
        <f>IFERROR(__xludf.DUMMYFUNCTION("""COMPUTED_VALUE"""),"FS1")</f>
        <v>FS1</v>
      </c>
      <c r="G642" t="str">
        <f>IFERROR(__xludf.DUMMYFUNCTION("""COMPUTED_VALUE"""),"BYE")</f>
        <v>BYE</v>
      </c>
      <c r="I642" t="str">
        <f>IFERROR(__xludf.DUMMYFUNCTION("""COMPUTED_VALUE"""),"bye")</f>
        <v>bye</v>
      </c>
      <c r="J642" t="str">
        <f>IFERROR(__xludf.DUMMYFUNCTION("""COMPUTED_VALUE"""),"bye")</f>
        <v>bye</v>
      </c>
      <c r="L642">
        <f>IFERROR(__xludf.DUMMYFUNCTION("""COMPUTED_VALUE"""),9999.0)</f>
        <v>9999</v>
      </c>
      <c r="M642" s="124">
        <v>5.0</v>
      </c>
    </row>
    <row r="643">
      <c r="A643" s="151">
        <f>IFERROR(__xludf.DUMMYFUNCTION("""COMPUTED_VALUE"""),43737.14775020833)</f>
        <v>43737.14775</v>
      </c>
      <c r="B643" t="str">
        <f>IFERROR(__xludf.DUMMYFUNCTION("""COMPUTED_VALUE"""),"Nico")</f>
        <v>Nico</v>
      </c>
      <c r="C643" t="str">
        <f>IFERROR(__xludf.DUMMYFUNCTION("""COMPUTED_VALUE"""),"North Carolina")</f>
        <v>North Carolina</v>
      </c>
      <c r="D643">
        <f>IFERROR(__xludf.DUMMYFUNCTION("""COMPUTED_VALUE"""),2.0)</f>
        <v>2</v>
      </c>
      <c r="E643">
        <f>IFERROR(__xludf.DUMMYFUNCTION("""COMPUTED_VALUE"""),3.0)</f>
        <v>3</v>
      </c>
      <c r="F643" t="str">
        <f>IFERROR(__xludf.DUMMYFUNCTION("""COMPUTED_VALUE"""),"NA")</f>
        <v>NA</v>
      </c>
      <c r="G643" t="str">
        <f>IFERROR(__xludf.DUMMYFUNCTION("""COMPUTED_VALUE"""),"(1) Clemson 21 at North Carolina 20")</f>
        <v>(1) Clemson 21 at North Carolina 20</v>
      </c>
      <c r="H643" t="str">
        <f>IFERROR(__xludf.DUMMYFUNCTION("""COMPUTED_VALUE"""),"FINAL")</f>
        <v>FINAL</v>
      </c>
      <c r="I643">
        <f>IFERROR(__xludf.DUMMYFUNCTION("""COMPUTED_VALUE"""),27.0)</f>
        <v>27</v>
      </c>
      <c r="J643">
        <f>IFERROR(__xludf.DUMMYFUNCTION("""COMPUTED_VALUE"""),60.0)</f>
        <v>60</v>
      </c>
      <c r="K643" t="str">
        <f>IFERROR(__xludf.DUMMYFUNCTION("""COMPUTED_VALUE"""),"Nick A.")</f>
        <v>Nick A.</v>
      </c>
      <c r="L643">
        <f>IFERROR(__xludf.DUMMYFUNCTION("""COMPUTED_VALUE"""),9999.0)</f>
        <v>9999</v>
      </c>
      <c r="M643" s="124">
        <v>5.0</v>
      </c>
    </row>
    <row r="644">
      <c r="A644" s="151">
        <f>IFERROR(__xludf.DUMMYFUNCTION("""COMPUTED_VALUE"""),43737.14775020833)</f>
        <v>43737.14775</v>
      </c>
      <c r="B644" t="str">
        <f>IFERROR(__xludf.DUMMYFUNCTION("""COMPUTED_VALUE"""),"Nico")</f>
        <v>Nico</v>
      </c>
      <c r="C644" t="str">
        <f>IFERROR(__xludf.DUMMYFUNCTION("""COMPUTED_VALUE"""),"Arkansas State")</f>
        <v>Arkansas State</v>
      </c>
      <c r="D644">
        <f>IFERROR(__xludf.DUMMYFUNCTION("""COMPUTED_VALUE"""),2.0)</f>
        <v>2</v>
      </c>
      <c r="E644">
        <f>IFERROR(__xludf.DUMMYFUNCTION("""COMPUTED_VALUE"""),2.0)</f>
        <v>2</v>
      </c>
      <c r="F644" t="str">
        <f>IFERROR(__xludf.DUMMYFUNCTION("""COMPUTED_VALUE"""),"ESPN2")</f>
        <v>ESPN2</v>
      </c>
      <c r="G644" t="str">
        <f>IFERROR(__xludf.DUMMYFUNCTION("""COMPUTED_VALUE"""),"Arkansas State 50 at Troy 43")</f>
        <v>Arkansas State 50 at Troy 43</v>
      </c>
      <c r="H644" t="str">
        <f>IFERROR(__xludf.DUMMYFUNCTION("""COMPUTED_VALUE"""),"FINAL")</f>
        <v>FINAL</v>
      </c>
      <c r="I644">
        <f>IFERROR(__xludf.DUMMYFUNCTION("""COMPUTED_VALUE"""),7.0)</f>
        <v>7</v>
      </c>
      <c r="J644">
        <f>IFERROR(__xludf.DUMMYFUNCTION("""COMPUTED_VALUE"""),59.0)</f>
        <v>59</v>
      </c>
      <c r="K644" t="str">
        <f>IFERROR(__xludf.DUMMYFUNCTION("""COMPUTED_VALUE"""),"Nick G.")</f>
        <v>Nick G.</v>
      </c>
      <c r="L644">
        <f>IFERROR(__xludf.DUMMYFUNCTION("""COMPUTED_VALUE"""),9999.0)</f>
        <v>9999</v>
      </c>
      <c r="M644" s="124">
        <v>5.0</v>
      </c>
    </row>
    <row r="645">
      <c r="A645" s="151">
        <f>IFERROR(__xludf.DUMMYFUNCTION("""COMPUTED_VALUE"""),43737.14775020833)</f>
        <v>43737.14775</v>
      </c>
      <c r="B645" t="str">
        <f>IFERROR(__xludf.DUMMYFUNCTION("""COMPUTED_VALUE"""),"Nico")</f>
        <v>Nico</v>
      </c>
      <c r="C645" t="str">
        <f>IFERROR(__xludf.DUMMYFUNCTION("""COMPUTED_VALUE"""),"New Mexico")</f>
        <v>New Mexico</v>
      </c>
      <c r="D645">
        <f>IFERROR(__xludf.DUMMYFUNCTION("""COMPUTED_VALUE"""),2.0)</f>
        <v>2</v>
      </c>
      <c r="E645">
        <f>IFERROR(__xludf.DUMMYFUNCTION("""COMPUTED_VALUE"""),2.0)</f>
        <v>2</v>
      </c>
      <c r="F645" t="str">
        <f>IFERROR(__xludf.DUMMYFUNCTION("""COMPUTED_VALUE"""),"NBC")</f>
        <v>NBC</v>
      </c>
      <c r="G645" t="str">
        <f>IFERROR(__xludf.DUMMYFUNCTION("""COMPUTED_VALUE"""),"New Mexico 10 at Liberty 17")</f>
        <v>New Mexico 10 at Liberty 17</v>
      </c>
      <c r="H645" t="str">
        <f>IFERROR(__xludf.DUMMYFUNCTION("""COMPUTED_VALUE"""),"FINAL")</f>
        <v>FINAL</v>
      </c>
      <c r="I645">
        <f>IFERROR(__xludf.DUMMYFUNCTION("""COMPUTED_VALUE"""),7.0)</f>
        <v>7</v>
      </c>
      <c r="J645">
        <f>IFERROR(__xludf.DUMMYFUNCTION("""COMPUTED_VALUE"""),73.0)</f>
        <v>73</v>
      </c>
      <c r="K645" t="str">
        <f>IFERROR(__xludf.DUMMYFUNCTION("""COMPUTED_VALUE"""),"Undrafted")</f>
        <v>Undrafted</v>
      </c>
      <c r="L645">
        <f>IFERROR(__xludf.DUMMYFUNCTION("""COMPUTED_VALUE"""),9999.0)</f>
        <v>9999</v>
      </c>
      <c r="M645" s="124">
        <v>5.0</v>
      </c>
    </row>
    <row r="646">
      <c r="A646" s="151">
        <f>IFERROR(__xludf.DUMMYFUNCTION("""COMPUTED_VALUE"""),43737.14775020833)</f>
        <v>43737.14775</v>
      </c>
      <c r="B646" t="str">
        <f>IFERROR(__xludf.DUMMYFUNCTION("""COMPUTED_VALUE"""),"Nico")</f>
        <v>Nico</v>
      </c>
      <c r="C646" t="str">
        <f>IFERROR(__xludf.DUMMYFUNCTION("""COMPUTED_VALUE"""),"Arizona State")</f>
        <v>Arizona State</v>
      </c>
      <c r="D646">
        <f>IFERROR(__xludf.DUMMYFUNCTION("""COMPUTED_VALUE"""),4.0)</f>
        <v>4</v>
      </c>
      <c r="E646">
        <f>IFERROR(__xludf.DUMMYFUNCTION("""COMPUTED_VALUE"""),1.0)</f>
        <v>1</v>
      </c>
      <c r="F646" t="str">
        <f>IFERROR(__xludf.DUMMYFUNCTION("""COMPUTED_VALUE"""),"FOX")</f>
        <v>FOX</v>
      </c>
      <c r="G646" t="str">
        <f>IFERROR(__xludf.DUMMYFUNCTION("""COMPUTED_VALUE"""),"Arizona State 24 at (16) California 17")</f>
        <v>Arizona State 24 at (16) California 17</v>
      </c>
      <c r="H646" t="str">
        <f>IFERROR(__xludf.DUMMYFUNCTION("""COMPUTED_VALUE"""),"FINAL")</f>
        <v>FINAL</v>
      </c>
      <c r="I646" t="str">
        <f>IFERROR(__xludf.DUMMYFUNCTION("""COMPUTED_VALUE"""),"4½")</f>
        <v>4½</v>
      </c>
      <c r="J646">
        <f>IFERROR(__xludf.DUMMYFUNCTION("""COMPUTED_VALUE"""),41.0)</f>
        <v>41</v>
      </c>
      <c r="K646" t="str">
        <f>IFERROR(__xludf.DUMMYFUNCTION("""COMPUTED_VALUE"""),"DavEmily")</f>
        <v>DavEmily</v>
      </c>
      <c r="L646">
        <f>IFERROR(__xludf.DUMMYFUNCTION("""COMPUTED_VALUE"""),9999.0)</f>
        <v>9999</v>
      </c>
      <c r="M646" s="124">
        <v>5.0</v>
      </c>
    </row>
    <row r="647">
      <c r="A647" s="151">
        <f>IFERROR(__xludf.DUMMYFUNCTION("""COMPUTED_VALUE"""),43737.14775020833)</f>
        <v>43737.14775</v>
      </c>
      <c r="B647" t="str">
        <f>IFERROR(__xludf.DUMMYFUNCTION("""COMPUTED_VALUE"""),"Nico")</f>
        <v>Nico</v>
      </c>
      <c r="C647" t="str">
        <f>IFERROR(__xludf.DUMMYFUNCTION("""COMPUTED_VALUE"""),"Purdue")</f>
        <v>Purdue</v>
      </c>
      <c r="D647">
        <f>IFERROR(__xludf.DUMMYFUNCTION("""COMPUTED_VALUE"""),1.0)</f>
        <v>1</v>
      </c>
      <c r="E647">
        <f>IFERROR(__xludf.DUMMYFUNCTION("""COMPUTED_VALUE"""),3.0)</f>
        <v>3</v>
      </c>
      <c r="F647" t="str">
        <f>IFERROR(__xludf.DUMMYFUNCTION("""COMPUTED_VALUE"""),"BTN")</f>
        <v>BTN</v>
      </c>
      <c r="G647" t="str">
        <f>IFERROR(__xludf.DUMMYFUNCTION("""COMPUTED_VALUE"""),"Minnesota 38 at Purdue 31")</f>
        <v>Minnesota 38 at Purdue 31</v>
      </c>
      <c r="H647" t="str">
        <f>IFERROR(__xludf.DUMMYFUNCTION("""COMPUTED_VALUE"""),"FINAL")</f>
        <v>FINAL</v>
      </c>
      <c r="I647">
        <f>IFERROR(__xludf.DUMMYFUNCTION("""COMPUTED_VALUE"""),1.0)</f>
        <v>1</v>
      </c>
      <c r="J647" t="str">
        <f>IFERROR(__xludf.DUMMYFUNCTION("""COMPUTED_VALUE"""),"53½")</f>
        <v>53½</v>
      </c>
      <c r="K647" t="str">
        <f>IFERROR(__xludf.DUMMYFUNCTION("""COMPUTED_VALUE"""),"Josh R.")</f>
        <v>Josh R.</v>
      </c>
      <c r="L647">
        <f>IFERROR(__xludf.DUMMYFUNCTION("""COMPUTED_VALUE"""),9999.0)</f>
        <v>9999</v>
      </c>
      <c r="M647" s="124">
        <v>5.0</v>
      </c>
    </row>
    <row r="648">
      <c r="A648" s="151">
        <f>IFERROR(__xludf.DUMMYFUNCTION("""COMPUTED_VALUE"""),43737.14775020833)</f>
        <v>43737.14775</v>
      </c>
      <c r="B648" t="str">
        <f>IFERROR(__xludf.DUMMYFUNCTION("""COMPUTED_VALUE"""),"Nico")</f>
        <v>Nico</v>
      </c>
      <c r="C648" t="str">
        <f>IFERROR(__xludf.DUMMYFUNCTION("""COMPUTED_VALUE"""),"Miami-OH")</f>
        <v>Miami-OH</v>
      </c>
      <c r="D648">
        <f>IFERROR(__xludf.DUMMYFUNCTION("""COMPUTED_VALUE"""),2.0)</f>
        <v>2</v>
      </c>
      <c r="E648">
        <f>IFERROR(__xludf.DUMMYFUNCTION("""COMPUTED_VALUE"""),3.0)</f>
        <v>3</v>
      </c>
      <c r="F648" t="str">
        <f>IFERROR(__xludf.DUMMYFUNCTION("""COMPUTED_VALUE"""),"NA")</f>
        <v>NA</v>
      </c>
      <c r="G648" t="str">
        <f>IFERROR(__xludf.DUMMYFUNCTION("""COMPUTED_VALUE"""),"Buffalo 20 at Miami-OH 34")</f>
        <v>Buffalo 20 at Miami-OH 34</v>
      </c>
      <c r="H648" t="str">
        <f>IFERROR(__xludf.DUMMYFUNCTION("""COMPUTED_VALUE"""),"FINAL")</f>
        <v>FINAL</v>
      </c>
      <c r="I648">
        <f>IFERROR(__xludf.DUMMYFUNCTION("""COMPUTED_VALUE"""),3.0)</f>
        <v>3</v>
      </c>
      <c r="J648" t="str">
        <f>IFERROR(__xludf.DUMMYFUNCTION("""COMPUTED_VALUE"""),"47½")</f>
        <v>47½</v>
      </c>
      <c r="K648" t="str">
        <f>IFERROR(__xludf.DUMMYFUNCTION("""COMPUTED_VALUE"""),"Justin")</f>
        <v>Justin</v>
      </c>
      <c r="L648">
        <f>IFERROR(__xludf.DUMMYFUNCTION("""COMPUTED_VALUE"""),9999.0)</f>
        <v>9999</v>
      </c>
      <c r="M648" s="124">
        <v>5.0</v>
      </c>
    </row>
    <row r="649">
      <c r="A649" s="151">
        <f>IFERROR(__xludf.DUMMYFUNCTION("""COMPUTED_VALUE"""),43737.14775020833)</f>
        <v>43737.14775</v>
      </c>
      <c r="B649" t="str">
        <f>IFERROR(__xludf.DUMMYFUNCTION("""COMPUTED_VALUE"""),"Nico")</f>
        <v>Nico</v>
      </c>
      <c r="C649" t="str">
        <f>IFERROR(__xludf.DUMMYFUNCTION("""COMPUTED_VALUE"""),"Georgia")</f>
        <v>Georgia</v>
      </c>
      <c r="D649">
        <f>IFERROR(__xludf.DUMMYFUNCTION("""COMPUTED_VALUE"""),4.0)</f>
        <v>4</v>
      </c>
      <c r="E649">
        <f>IFERROR(__xludf.DUMMYFUNCTION("""COMPUTED_VALUE"""),0.0)</f>
        <v>0</v>
      </c>
      <c r="F649" t="str">
        <f>IFERROR(__xludf.DUMMYFUNCTION("""COMPUTED_VALUE"""),"ESPN2")</f>
        <v>ESPN2</v>
      </c>
      <c r="G649" t="str">
        <f>IFERROR(__xludf.DUMMYFUNCTION("""COMPUTED_VALUE"""),"BYE")</f>
        <v>BYE</v>
      </c>
      <c r="I649" t="str">
        <f>IFERROR(__xludf.DUMMYFUNCTION("""COMPUTED_VALUE"""),"bye")</f>
        <v>bye</v>
      </c>
      <c r="J649" t="str">
        <f>IFERROR(__xludf.DUMMYFUNCTION("""COMPUTED_VALUE"""),"bye")</f>
        <v>bye</v>
      </c>
      <c r="L649">
        <f>IFERROR(__xludf.DUMMYFUNCTION("""COMPUTED_VALUE"""),9999.0)</f>
        <v>9999</v>
      </c>
      <c r="M649" s="124">
        <v>5.0</v>
      </c>
    </row>
    <row r="650">
      <c r="A650" s="151">
        <f>IFERROR(__xludf.DUMMYFUNCTION("""COMPUTED_VALUE"""),43737.14775020833)</f>
        <v>43737.14775</v>
      </c>
      <c r="B650" t="str">
        <f>IFERROR(__xludf.DUMMYFUNCTION("""COMPUTED_VALUE"""),"Nico")</f>
        <v>Nico</v>
      </c>
      <c r="C650" t="str">
        <f>IFERROR(__xludf.DUMMYFUNCTION("""COMPUTED_VALUE"""),"Middle Tennessee")</f>
        <v>Middle Tennessee</v>
      </c>
      <c r="D650">
        <f>IFERROR(__xludf.DUMMYFUNCTION("""COMPUTED_VALUE"""),1.0)</f>
        <v>1</v>
      </c>
      <c r="E650">
        <f>IFERROR(__xludf.DUMMYFUNCTION("""COMPUTED_VALUE"""),3.0)</f>
        <v>3</v>
      </c>
      <c r="F650" t="str">
        <f>IFERROR(__xludf.DUMMYFUNCTION("""COMPUTED_VALUE"""),"Facebook Video")</f>
        <v>Facebook Video</v>
      </c>
      <c r="G650" t="str">
        <f>IFERROR(__xludf.DUMMYFUNCTION("""COMPUTED_VALUE"""),"Middle Tennessee 3 at (14) Iowa 48")</f>
        <v>Middle Tennessee 3 at (14) Iowa 48</v>
      </c>
      <c r="H650" t="str">
        <f>IFERROR(__xludf.DUMMYFUNCTION("""COMPUTED_VALUE"""),"FINAL")</f>
        <v>FINAL</v>
      </c>
      <c r="I650" t="str">
        <f>IFERROR(__xludf.DUMMYFUNCTION("""COMPUTED_VALUE"""),"23½")</f>
        <v>23½</v>
      </c>
      <c r="J650">
        <f>IFERROR(__xludf.DUMMYFUNCTION("""COMPUTED_VALUE"""),52.0)</f>
        <v>52</v>
      </c>
      <c r="K650" t="str">
        <f>IFERROR(__xludf.DUMMYFUNCTION("""COMPUTED_VALUE"""),"Justin")</f>
        <v>Justin</v>
      </c>
      <c r="L650">
        <f>IFERROR(__xludf.DUMMYFUNCTION("""COMPUTED_VALUE"""),9999.0)</f>
        <v>9999</v>
      </c>
      <c r="M650" s="124">
        <v>5.0</v>
      </c>
    </row>
    <row r="651">
      <c r="A651" s="151">
        <f>IFERROR(__xludf.DUMMYFUNCTION("""COMPUTED_VALUE"""),43737.14775020833)</f>
        <v>43737.14775</v>
      </c>
      <c r="B651" t="str">
        <f>IFERROR(__xludf.DUMMYFUNCTION("""COMPUTED_VALUE"""),"Nico")</f>
        <v>Nico</v>
      </c>
      <c r="C651" t="str">
        <f>IFERROR(__xludf.DUMMYFUNCTION("""COMPUTED_VALUE"""),"Houston")</f>
        <v>Houston</v>
      </c>
      <c r="D651">
        <f>IFERROR(__xludf.DUMMYFUNCTION("""COMPUTED_VALUE"""),2.0)</f>
        <v>2</v>
      </c>
      <c r="E651">
        <f>IFERROR(__xludf.DUMMYFUNCTION("""COMPUTED_VALUE"""),3.0)</f>
        <v>3</v>
      </c>
      <c r="F651" t="str">
        <f>IFERROR(__xludf.DUMMYFUNCTION("""COMPUTED_VALUE"""),"ESPN")</f>
        <v>ESPN</v>
      </c>
      <c r="G651" t="str">
        <f>IFERROR(__xludf.DUMMYFUNCTION("""COMPUTED_VALUE"""),"Houston 46 at North Texas 25")</f>
        <v>Houston 46 at North Texas 25</v>
      </c>
      <c r="H651" t="str">
        <f>IFERROR(__xludf.DUMMYFUNCTION("""COMPUTED_VALUE"""),"FINAL")</f>
        <v>FINAL</v>
      </c>
      <c r="I651" t="str">
        <f>IFERROR(__xludf.DUMMYFUNCTION("""COMPUTED_VALUE"""),"7½")</f>
        <v>7½</v>
      </c>
      <c r="J651">
        <f>IFERROR(__xludf.DUMMYFUNCTION("""COMPUTED_VALUE"""),59.0)</f>
        <v>59</v>
      </c>
      <c r="K651" t="str">
        <f>IFERROR(__xludf.DUMMYFUNCTION("""COMPUTED_VALUE"""),"Vu")</f>
        <v>Vu</v>
      </c>
      <c r="L651">
        <f>IFERROR(__xludf.DUMMYFUNCTION("""COMPUTED_VALUE"""),9999.0)</f>
        <v>9999</v>
      </c>
      <c r="M651" s="124">
        <v>5.0</v>
      </c>
    </row>
    <row r="652">
      <c r="A652" s="151">
        <f>IFERROR(__xludf.DUMMYFUNCTION("""COMPUTED_VALUE"""),43737.14775020833)</f>
        <v>43737.14775</v>
      </c>
      <c r="B652" t="str">
        <f>IFERROR(__xludf.DUMMYFUNCTION("""COMPUTED_VALUE"""),"Jeannine")</f>
        <v>Jeannine</v>
      </c>
      <c r="C652" t="str">
        <f>IFERROR(__xludf.DUMMYFUNCTION("""COMPUTED_VALUE"""),"Colorado")</f>
        <v>Colorado</v>
      </c>
      <c r="D652">
        <f>IFERROR(__xludf.DUMMYFUNCTION("""COMPUTED_VALUE"""),3.0)</f>
        <v>3</v>
      </c>
      <c r="E652">
        <f>IFERROR(__xludf.DUMMYFUNCTION("""COMPUTED_VALUE"""),1.0)</f>
        <v>1</v>
      </c>
      <c r="F652" t="str">
        <f>IFERROR(__xludf.DUMMYFUNCTION("""COMPUTED_VALUE"""),"Pac-12")</f>
        <v>Pac-12</v>
      </c>
      <c r="G652" t="str">
        <f>IFERROR(__xludf.DUMMYFUNCTION("""COMPUTED_VALUE"""),"BYE")</f>
        <v>BYE</v>
      </c>
      <c r="I652" t="str">
        <f>IFERROR(__xludf.DUMMYFUNCTION("""COMPUTED_VALUE"""),"bye")</f>
        <v>bye</v>
      </c>
      <c r="J652" t="str">
        <f>IFERROR(__xludf.DUMMYFUNCTION("""COMPUTED_VALUE"""),"bye")</f>
        <v>bye</v>
      </c>
      <c r="L652">
        <f>IFERROR(__xludf.DUMMYFUNCTION("""COMPUTED_VALUE"""),9999.0)</f>
        <v>9999</v>
      </c>
      <c r="M652" s="124">
        <v>5.0</v>
      </c>
    </row>
    <row r="653">
      <c r="A653" s="151">
        <f>IFERROR(__xludf.DUMMYFUNCTION("""COMPUTED_VALUE"""),43737.14775020833)</f>
        <v>43737.14775</v>
      </c>
      <c r="B653" t="str">
        <f>IFERROR(__xludf.DUMMYFUNCTION("""COMPUTED_VALUE"""),"Jeannine")</f>
        <v>Jeannine</v>
      </c>
      <c r="C653" t="str">
        <f>IFERROR(__xludf.DUMMYFUNCTION("""COMPUTED_VALUE"""),"UL Monroe")</f>
        <v>UL Monroe</v>
      </c>
      <c r="D653">
        <f>IFERROR(__xludf.DUMMYFUNCTION("""COMPUTED_VALUE"""),2.0)</f>
        <v>2</v>
      </c>
      <c r="E653">
        <f>IFERROR(__xludf.DUMMYFUNCTION("""COMPUTED_VALUE"""),2.0)</f>
        <v>2</v>
      </c>
      <c r="F653" t="str">
        <f>IFERROR(__xludf.DUMMYFUNCTION("""COMPUTED_VALUE"""),"NA")</f>
        <v>NA</v>
      </c>
      <c r="G653" t="str">
        <f>IFERROR(__xludf.DUMMYFUNCTION("""COMPUTED_VALUE"""),"South Alabama 17 at UL Monroe 30")</f>
        <v>South Alabama 17 at UL Monroe 30</v>
      </c>
      <c r="H653" t="str">
        <f>IFERROR(__xludf.DUMMYFUNCTION("""COMPUTED_VALUE"""),"FINAL")</f>
        <v>FINAL</v>
      </c>
      <c r="I653">
        <f>IFERROR(__xludf.DUMMYFUNCTION("""COMPUTED_VALUE"""),-16.0)</f>
        <v>-16</v>
      </c>
      <c r="J653">
        <f>IFERROR(__xludf.DUMMYFUNCTION("""COMPUTED_VALUE"""),57.0)</f>
        <v>57</v>
      </c>
      <c r="K653" t="str">
        <f>IFERROR(__xludf.DUMMYFUNCTION("""COMPUTED_VALUE"""),"Vu")</f>
        <v>Vu</v>
      </c>
      <c r="L653">
        <f>IFERROR(__xludf.DUMMYFUNCTION("""COMPUTED_VALUE"""),9999.0)</f>
        <v>9999</v>
      </c>
      <c r="M653" s="124">
        <v>5.0</v>
      </c>
    </row>
    <row r="654">
      <c r="A654" s="151">
        <f>IFERROR(__xludf.DUMMYFUNCTION("""COMPUTED_VALUE"""),43737.14775020833)</f>
        <v>43737.14775</v>
      </c>
      <c r="B654" t="str">
        <f>IFERROR(__xludf.DUMMYFUNCTION("""COMPUTED_VALUE"""),"Jeannine")</f>
        <v>Jeannine</v>
      </c>
      <c r="C654" t="str">
        <f>IFERROR(__xludf.DUMMYFUNCTION("""COMPUTED_VALUE"""),"Western Michigan")</f>
        <v>Western Michigan</v>
      </c>
      <c r="D654">
        <f>IFERROR(__xludf.DUMMYFUNCTION("""COMPUTED_VALUE"""),3.0)</f>
        <v>3</v>
      </c>
      <c r="E654">
        <f>IFERROR(__xludf.DUMMYFUNCTION("""COMPUTED_VALUE"""),2.0)</f>
        <v>2</v>
      </c>
      <c r="F654" t="str">
        <f>IFERROR(__xludf.DUMMYFUNCTION("""COMPUTED_VALUE"""),"espn+ Video")</f>
        <v>espn+ Video</v>
      </c>
      <c r="G654" t="str">
        <f>IFERROR(__xludf.DUMMYFUNCTION("""COMPUTED_VALUE"""),"Central Michigan 15 at Western Michigan 31")</f>
        <v>Central Michigan 15 at Western Michigan 31</v>
      </c>
      <c r="H654" t="str">
        <f>IFERROR(__xludf.DUMMYFUNCTION("""COMPUTED_VALUE"""),"FINAL")</f>
        <v>FINAL</v>
      </c>
      <c r="I654" t="str">
        <f>IFERROR(__xludf.DUMMYFUNCTION("""COMPUTED_VALUE"""),"-17½")</f>
        <v>-17½</v>
      </c>
      <c r="J654" t="str">
        <f>IFERROR(__xludf.DUMMYFUNCTION("""COMPUTED_VALUE"""),"59½")</f>
        <v>59½</v>
      </c>
      <c r="K654" t="str">
        <f>IFERROR(__xludf.DUMMYFUNCTION("""COMPUTED_VALUE"""),"Nick G.")</f>
        <v>Nick G.</v>
      </c>
      <c r="L654">
        <f>IFERROR(__xludf.DUMMYFUNCTION("""COMPUTED_VALUE"""),9999.0)</f>
        <v>9999</v>
      </c>
      <c r="M654" s="124">
        <v>5.0</v>
      </c>
    </row>
    <row r="655">
      <c r="A655" s="151">
        <f>IFERROR(__xludf.DUMMYFUNCTION("""COMPUTED_VALUE"""),43737.14775020833)</f>
        <v>43737.14775</v>
      </c>
      <c r="B655" t="str">
        <f>IFERROR(__xludf.DUMMYFUNCTION("""COMPUTED_VALUE"""),"Jeannine")</f>
        <v>Jeannine</v>
      </c>
      <c r="C655" t="str">
        <f>IFERROR(__xludf.DUMMYFUNCTION("""COMPUTED_VALUE"""),"San José State")</f>
        <v>San José State</v>
      </c>
      <c r="D655">
        <f>IFERROR(__xludf.DUMMYFUNCTION("""COMPUTED_VALUE"""),2.0)</f>
        <v>2</v>
      </c>
      <c r="E655">
        <f>IFERROR(__xludf.DUMMYFUNCTION("""COMPUTED_VALUE"""),2.0)</f>
        <v>2</v>
      </c>
      <c r="F655" t="str">
        <f>IFERROR(__xludf.DUMMYFUNCTION("""COMPUTED_VALUE"""),"NA")</f>
        <v>NA</v>
      </c>
      <c r="G655" t="str">
        <f>IFERROR(__xludf.DUMMYFUNCTION("""COMPUTED_VALUE"""),"San José State 24 at Air Force 41")</f>
        <v>San José State 24 at Air Force 41</v>
      </c>
      <c r="H655" t="str">
        <f>IFERROR(__xludf.DUMMYFUNCTION("""COMPUTED_VALUE"""),"FINAL")</f>
        <v>FINAL</v>
      </c>
      <c r="I655">
        <f>IFERROR(__xludf.DUMMYFUNCTION("""COMPUTED_VALUE"""),19.0)</f>
        <v>19</v>
      </c>
      <c r="J655" t="str">
        <f>IFERROR(__xludf.DUMMYFUNCTION("""COMPUTED_VALUE"""),"56½")</f>
        <v>56½</v>
      </c>
      <c r="K655" t="str">
        <f>IFERROR(__xludf.DUMMYFUNCTION("""COMPUTED_VALUE"""),"Adam")</f>
        <v>Adam</v>
      </c>
      <c r="L655">
        <f>IFERROR(__xludf.DUMMYFUNCTION("""COMPUTED_VALUE"""),9999.0)</f>
        <v>9999</v>
      </c>
      <c r="M655" s="124">
        <v>5.0</v>
      </c>
    </row>
    <row r="656">
      <c r="A656" s="151">
        <f>IFERROR(__xludf.DUMMYFUNCTION("""COMPUTED_VALUE"""),43737.14775020833)</f>
        <v>43737.14775</v>
      </c>
      <c r="B656" t="str">
        <f>IFERROR(__xludf.DUMMYFUNCTION("""COMPUTED_VALUE"""),"Jeannine")</f>
        <v>Jeannine</v>
      </c>
      <c r="C656" t="str">
        <f>IFERROR(__xludf.DUMMYFUNCTION("""COMPUTED_VALUE"""),"Virginia")</f>
        <v>Virginia</v>
      </c>
      <c r="D656">
        <f>IFERROR(__xludf.DUMMYFUNCTION("""COMPUTED_VALUE"""),4.0)</f>
        <v>4</v>
      </c>
      <c r="E656">
        <f>IFERROR(__xludf.DUMMYFUNCTION("""COMPUTED_VALUE"""),1.0)</f>
        <v>1</v>
      </c>
      <c r="F656" t="str">
        <f>IFERROR(__xludf.DUMMYFUNCTION("""COMPUTED_VALUE"""),"ACC Network")</f>
        <v>ACC Network</v>
      </c>
      <c r="G656" t="str">
        <f>IFERROR(__xludf.DUMMYFUNCTION("""COMPUTED_VALUE"""),"(18) Virginia 20 at (10) Notre Dame 35")</f>
        <v>(18) Virginia 20 at (10) Notre Dame 35</v>
      </c>
      <c r="H656" t="str">
        <f>IFERROR(__xludf.DUMMYFUNCTION("""COMPUTED_VALUE"""),"FINAL")</f>
        <v>FINAL</v>
      </c>
      <c r="I656" t="str">
        <f>IFERROR(__xludf.DUMMYFUNCTION("""COMPUTED_VALUE"""),"12½")</f>
        <v>12½</v>
      </c>
      <c r="J656" t="str">
        <f>IFERROR(__xludf.DUMMYFUNCTION("""COMPUTED_VALUE"""),"48½")</f>
        <v>48½</v>
      </c>
      <c r="K656" t="str">
        <f>IFERROR(__xludf.DUMMYFUNCTION("""COMPUTED_VALUE"""),"DavEmily")</f>
        <v>DavEmily</v>
      </c>
      <c r="L656">
        <f>IFERROR(__xludf.DUMMYFUNCTION("""COMPUTED_VALUE"""),9999.0)</f>
        <v>9999</v>
      </c>
      <c r="M656" s="124">
        <v>5.0</v>
      </c>
    </row>
    <row r="657">
      <c r="A657" s="151">
        <f>IFERROR(__xludf.DUMMYFUNCTION("""COMPUTED_VALUE"""),43737.14775020833)</f>
        <v>43737.14775</v>
      </c>
      <c r="B657" t="str">
        <f>IFERROR(__xludf.DUMMYFUNCTION("""COMPUTED_VALUE"""),"Jeannine")</f>
        <v>Jeannine</v>
      </c>
      <c r="C657" t="str">
        <f>IFERROR(__xludf.DUMMYFUNCTION("""COMPUTED_VALUE"""),"UAB")</f>
        <v>UAB</v>
      </c>
      <c r="D657">
        <f>IFERROR(__xludf.DUMMYFUNCTION("""COMPUTED_VALUE"""),3.0)</f>
        <v>3</v>
      </c>
      <c r="E657">
        <f>IFERROR(__xludf.DUMMYFUNCTION("""COMPUTED_VALUE"""),1.0)</f>
        <v>1</v>
      </c>
      <c r="F657" t="str">
        <f>IFERROR(__xludf.DUMMYFUNCTION("""COMPUTED_VALUE"""),"NA")</f>
        <v>NA</v>
      </c>
      <c r="G657" t="str">
        <f>IFERROR(__xludf.DUMMYFUNCTION("""COMPUTED_VALUE"""),"UAB 13 at Western Kentucky 20")</f>
        <v>UAB 13 at Western Kentucky 20</v>
      </c>
      <c r="H657" t="str">
        <f>IFERROR(__xludf.DUMMYFUNCTION("""COMPUTED_VALUE"""),"FINAL")</f>
        <v>FINAL</v>
      </c>
      <c r="I657">
        <f>IFERROR(__xludf.DUMMYFUNCTION("""COMPUTED_VALUE"""),-3.0)</f>
        <v>-3</v>
      </c>
      <c r="J657">
        <f>IFERROR(__xludf.DUMMYFUNCTION("""COMPUTED_VALUE"""),47.0)</f>
        <v>47</v>
      </c>
      <c r="K657" t="str">
        <f>IFERROR(__xludf.DUMMYFUNCTION("""COMPUTED_VALUE"""),"Justin")</f>
        <v>Justin</v>
      </c>
      <c r="L657">
        <f>IFERROR(__xludf.DUMMYFUNCTION("""COMPUTED_VALUE"""),9999.0)</f>
        <v>9999</v>
      </c>
      <c r="M657" s="124">
        <v>5.0</v>
      </c>
    </row>
    <row r="658">
      <c r="A658" s="151">
        <f>IFERROR(__xludf.DUMMYFUNCTION("""COMPUTED_VALUE"""),43737.14775020833)</f>
        <v>43737.14775</v>
      </c>
      <c r="B658" t="str">
        <f>IFERROR(__xludf.DUMMYFUNCTION("""COMPUTED_VALUE"""),"Jeannine")</f>
        <v>Jeannine</v>
      </c>
      <c r="C658" t="str">
        <f>IFERROR(__xludf.DUMMYFUNCTION("""COMPUTED_VALUE"""),"Mississippi State")</f>
        <v>Mississippi State</v>
      </c>
      <c r="D658">
        <f>IFERROR(__xludf.DUMMYFUNCTION("""COMPUTED_VALUE"""),3.0)</f>
        <v>3</v>
      </c>
      <c r="E658">
        <f>IFERROR(__xludf.DUMMYFUNCTION("""COMPUTED_VALUE"""),2.0)</f>
        <v>2</v>
      </c>
      <c r="F658" t="str">
        <f>IFERROR(__xludf.DUMMYFUNCTION("""COMPUTED_VALUE"""),"ESPN")</f>
        <v>ESPN</v>
      </c>
      <c r="G658" t="str">
        <f>IFERROR(__xludf.DUMMYFUNCTION("""COMPUTED_VALUE"""),"Mississippi State 23 at (7) Auburn 56")</f>
        <v>Mississippi State 23 at (7) Auburn 56</v>
      </c>
      <c r="H658" t="str">
        <f>IFERROR(__xludf.DUMMYFUNCTION("""COMPUTED_VALUE"""),"FINAL")</f>
        <v>FINAL</v>
      </c>
      <c r="I658" t="str">
        <f>IFERROR(__xludf.DUMMYFUNCTION("""COMPUTED_VALUE"""),"10½")</f>
        <v>10½</v>
      </c>
      <c r="J658">
        <f>IFERROR(__xludf.DUMMYFUNCTION("""COMPUTED_VALUE"""),47.0)</f>
        <v>47</v>
      </c>
      <c r="K658" t="str">
        <f>IFERROR(__xludf.DUMMYFUNCTION("""COMPUTED_VALUE"""),"Nick G.")</f>
        <v>Nick G.</v>
      </c>
      <c r="L658">
        <f>IFERROR(__xludf.DUMMYFUNCTION("""COMPUTED_VALUE"""),9999.0)</f>
        <v>9999</v>
      </c>
      <c r="M658" s="124">
        <v>5.0</v>
      </c>
    </row>
    <row r="659">
      <c r="A659" s="151">
        <f>IFERROR(__xludf.DUMMYFUNCTION("""COMPUTED_VALUE"""),43737.14775020833)</f>
        <v>43737.14775</v>
      </c>
      <c r="B659" t="str">
        <f>IFERROR(__xludf.DUMMYFUNCTION("""COMPUTED_VALUE"""),"Jeannine")</f>
        <v>Jeannine</v>
      </c>
      <c r="C659" t="str">
        <f>IFERROR(__xludf.DUMMYFUNCTION("""COMPUTED_VALUE"""),"Oklahoma")</f>
        <v>Oklahoma</v>
      </c>
      <c r="D659">
        <f>IFERROR(__xludf.DUMMYFUNCTION("""COMPUTED_VALUE"""),4.0)</f>
        <v>4</v>
      </c>
      <c r="E659">
        <f>IFERROR(__xludf.DUMMYFUNCTION("""COMPUTED_VALUE"""),0.0)</f>
        <v>0</v>
      </c>
      <c r="F659" t="str">
        <f>IFERROR(__xludf.DUMMYFUNCTION("""COMPUTED_VALUE"""),"FOX")</f>
        <v>FOX</v>
      </c>
      <c r="G659" t="str">
        <f>IFERROR(__xludf.DUMMYFUNCTION("""COMPUTED_VALUE"""),"Texas Tech 16 at (4) Oklahoma 55")</f>
        <v>Texas Tech 16 at (4) Oklahoma 55</v>
      </c>
      <c r="H659" t="str">
        <f>IFERROR(__xludf.DUMMYFUNCTION("""COMPUTED_VALUE"""),"FINAL")</f>
        <v>FINAL</v>
      </c>
      <c r="I659">
        <f>IFERROR(__xludf.DUMMYFUNCTION("""COMPUTED_VALUE"""),-27.0)</f>
        <v>-27</v>
      </c>
      <c r="J659" t="str">
        <f>IFERROR(__xludf.DUMMYFUNCTION("""COMPUTED_VALUE"""),"70½")</f>
        <v>70½</v>
      </c>
      <c r="K659" t="str">
        <f>IFERROR(__xludf.DUMMYFUNCTION("""COMPUTED_VALUE"""),"Janice/Mike")</f>
        <v>Janice/Mike</v>
      </c>
      <c r="L659">
        <f>IFERROR(__xludf.DUMMYFUNCTION("""COMPUTED_VALUE"""),9999.0)</f>
        <v>9999</v>
      </c>
      <c r="M659" s="124">
        <v>5.0</v>
      </c>
    </row>
    <row r="660">
      <c r="A660" s="151">
        <f>IFERROR(__xludf.DUMMYFUNCTION("""COMPUTED_VALUE"""),43737.14775020833)</f>
        <v>43737.14775</v>
      </c>
      <c r="B660" t="str">
        <f>IFERROR(__xludf.DUMMYFUNCTION("""COMPUTED_VALUE"""),"Jeannine")</f>
        <v>Jeannine</v>
      </c>
      <c r="C660" t="str">
        <f>IFERROR(__xludf.DUMMYFUNCTION("""COMPUTED_VALUE"""),"SMU")</f>
        <v>SMU</v>
      </c>
      <c r="D660">
        <f>IFERROR(__xludf.DUMMYFUNCTION("""COMPUTED_VALUE"""),5.0)</f>
        <v>5</v>
      </c>
      <c r="E660">
        <f>IFERROR(__xludf.DUMMYFUNCTION("""COMPUTED_VALUE"""),0.0)</f>
        <v>0</v>
      </c>
      <c r="F660" t="str">
        <f>IFERROR(__xludf.DUMMYFUNCTION("""COMPUTED_VALUE"""),"espn3 Video")</f>
        <v>espn3 Video</v>
      </c>
      <c r="G660" t="str">
        <f>IFERROR(__xludf.DUMMYFUNCTION("""COMPUTED_VALUE"""),"SMU 48 at South Florida 21")</f>
        <v>SMU 48 at South Florida 21</v>
      </c>
      <c r="H660" t="str">
        <f>IFERROR(__xludf.DUMMYFUNCTION("""COMPUTED_VALUE"""),"FINAL")</f>
        <v>FINAL</v>
      </c>
      <c r="I660" t="str">
        <f>IFERROR(__xludf.DUMMYFUNCTION("""COMPUTED_VALUE"""),"-7½")</f>
        <v>-7½</v>
      </c>
      <c r="J660" t="str">
        <f>IFERROR(__xludf.DUMMYFUNCTION("""COMPUTED_VALUE"""),"62½")</f>
        <v>62½</v>
      </c>
      <c r="K660" t="str">
        <f>IFERROR(__xludf.DUMMYFUNCTION("""COMPUTED_VALUE"""),"Justin")</f>
        <v>Justin</v>
      </c>
      <c r="L660">
        <f>IFERROR(__xludf.DUMMYFUNCTION("""COMPUTED_VALUE"""),9999.0)</f>
        <v>9999</v>
      </c>
      <c r="M660" s="124">
        <v>5.0</v>
      </c>
    </row>
    <row r="661">
      <c r="A661" s="151">
        <f>IFERROR(__xludf.DUMMYFUNCTION("""COMPUTED_VALUE"""),43737.14775020833)</f>
        <v>43737.14775</v>
      </c>
      <c r="B661" t="str">
        <f>IFERROR(__xludf.DUMMYFUNCTION("""COMPUTED_VALUE"""),"Jeannine")</f>
        <v>Jeannine</v>
      </c>
      <c r="C661" t="str">
        <f>IFERROR(__xludf.DUMMYFUNCTION("""COMPUTED_VALUE"""),"Penn State")</f>
        <v>Penn State</v>
      </c>
      <c r="D661">
        <f>IFERROR(__xludf.DUMMYFUNCTION("""COMPUTED_VALUE"""),4.0)</f>
        <v>4</v>
      </c>
      <c r="E661">
        <f>IFERROR(__xludf.DUMMYFUNCTION("""COMPUTED_VALUE"""),0.0)</f>
        <v>0</v>
      </c>
      <c r="F661" t="str">
        <f>IFERROR(__xludf.DUMMYFUNCTION("""COMPUTED_VALUE"""),"ABC")</f>
        <v>ABC</v>
      </c>
      <c r="G661" t="str">
        <f>IFERROR(__xludf.DUMMYFUNCTION("""COMPUTED_VALUE"""),"(11) Penn State 59 at Maryland 0")</f>
        <v>(11) Penn State 59 at Maryland 0</v>
      </c>
      <c r="H661" t="str">
        <f>IFERROR(__xludf.DUMMYFUNCTION("""COMPUTED_VALUE"""),"FINAL")</f>
        <v>FINAL</v>
      </c>
      <c r="I661" t="str">
        <f>IFERROR(__xludf.DUMMYFUNCTION("""COMPUTED_VALUE"""),"-6½")</f>
        <v>-6½</v>
      </c>
      <c r="J661">
        <f>IFERROR(__xludf.DUMMYFUNCTION("""COMPUTED_VALUE"""),62.0)</f>
        <v>62</v>
      </c>
      <c r="K661" t="str">
        <f>IFERROR(__xludf.DUMMYFUNCTION("""COMPUTED_VALUE"""),"Gary")</f>
        <v>Gary</v>
      </c>
      <c r="L661">
        <f>IFERROR(__xludf.DUMMYFUNCTION("""COMPUTED_VALUE"""),9999.0)</f>
        <v>9999</v>
      </c>
      <c r="M661" s="124">
        <v>5.0</v>
      </c>
    </row>
    <row r="662">
      <c r="A662" s="151">
        <f>IFERROR(__xludf.DUMMYFUNCTION("""COMPUTED_VALUE"""),43737.14775020833)</f>
        <v>43737.14775</v>
      </c>
      <c r="B662" t="str">
        <f>IFERROR(__xludf.DUMMYFUNCTION("""COMPUTED_VALUE"""),"Justin")</f>
        <v>Justin</v>
      </c>
      <c r="C662" t="str">
        <f>IFERROR(__xludf.DUMMYFUNCTION("""COMPUTED_VALUE"""),"South Florida")</f>
        <v>South Florida</v>
      </c>
      <c r="D662">
        <f>IFERROR(__xludf.DUMMYFUNCTION("""COMPUTED_VALUE"""),1.0)</f>
        <v>1</v>
      </c>
      <c r="E662">
        <f>IFERROR(__xludf.DUMMYFUNCTION("""COMPUTED_VALUE"""),3.0)</f>
        <v>3</v>
      </c>
      <c r="F662" t="str">
        <f>IFERROR(__xludf.DUMMYFUNCTION("""COMPUTED_VALUE"""),"espn3 Video")</f>
        <v>espn3 Video</v>
      </c>
      <c r="G662" t="str">
        <f>IFERROR(__xludf.DUMMYFUNCTION("""COMPUTED_VALUE"""),"SMU 48 at South Florida 21")</f>
        <v>SMU 48 at South Florida 21</v>
      </c>
      <c r="H662" t="str">
        <f>IFERROR(__xludf.DUMMYFUNCTION("""COMPUTED_VALUE"""),"FINAL")</f>
        <v>FINAL</v>
      </c>
      <c r="I662" t="str">
        <f>IFERROR(__xludf.DUMMYFUNCTION("""COMPUTED_VALUE"""),"7½")</f>
        <v>7½</v>
      </c>
      <c r="J662" t="str">
        <f>IFERROR(__xludf.DUMMYFUNCTION("""COMPUTED_VALUE"""),"62½")</f>
        <v>62½</v>
      </c>
      <c r="K662" t="str">
        <f>IFERROR(__xludf.DUMMYFUNCTION("""COMPUTED_VALUE"""),"Jeannine")</f>
        <v>Jeannine</v>
      </c>
      <c r="L662">
        <f>IFERROR(__xludf.DUMMYFUNCTION("""COMPUTED_VALUE"""),9999.0)</f>
        <v>9999</v>
      </c>
      <c r="M662" s="124">
        <v>5.0</v>
      </c>
    </row>
    <row r="663">
      <c r="A663" s="151">
        <f>IFERROR(__xludf.DUMMYFUNCTION("""COMPUTED_VALUE"""),43737.14775020833)</f>
        <v>43737.14775</v>
      </c>
      <c r="B663" t="str">
        <f>IFERROR(__xludf.DUMMYFUNCTION("""COMPUTED_VALUE"""),"Justin")</f>
        <v>Justin</v>
      </c>
      <c r="C663" t="str">
        <f>IFERROR(__xludf.DUMMYFUNCTION("""COMPUTED_VALUE"""),"Western Kentucky")</f>
        <v>Western Kentucky</v>
      </c>
      <c r="D663">
        <f>IFERROR(__xludf.DUMMYFUNCTION("""COMPUTED_VALUE"""),2.0)</f>
        <v>2</v>
      </c>
      <c r="E663">
        <f>IFERROR(__xludf.DUMMYFUNCTION("""COMPUTED_VALUE"""),2.0)</f>
        <v>2</v>
      </c>
      <c r="F663" t="str">
        <f>IFERROR(__xludf.DUMMYFUNCTION("""COMPUTED_VALUE"""),"NA")</f>
        <v>NA</v>
      </c>
      <c r="G663" t="str">
        <f>IFERROR(__xludf.DUMMYFUNCTION("""COMPUTED_VALUE"""),"UAB 13 at Western Kentucky 20")</f>
        <v>UAB 13 at Western Kentucky 20</v>
      </c>
      <c r="H663" t="str">
        <f>IFERROR(__xludf.DUMMYFUNCTION("""COMPUTED_VALUE"""),"FINAL")</f>
        <v>FINAL</v>
      </c>
      <c r="I663">
        <f>IFERROR(__xludf.DUMMYFUNCTION("""COMPUTED_VALUE"""),3.0)</f>
        <v>3</v>
      </c>
      <c r="J663">
        <f>IFERROR(__xludf.DUMMYFUNCTION("""COMPUTED_VALUE"""),47.0)</f>
        <v>47</v>
      </c>
      <c r="K663" t="str">
        <f>IFERROR(__xludf.DUMMYFUNCTION("""COMPUTED_VALUE"""),"Jeannine")</f>
        <v>Jeannine</v>
      </c>
      <c r="L663">
        <f>IFERROR(__xludf.DUMMYFUNCTION("""COMPUTED_VALUE"""),9999.0)</f>
        <v>9999</v>
      </c>
      <c r="M663" s="124">
        <v>5.0</v>
      </c>
    </row>
    <row r="664">
      <c r="A664" s="151">
        <f>IFERROR(__xludf.DUMMYFUNCTION("""COMPUTED_VALUE"""),43737.14775020833)</f>
        <v>43737.14775</v>
      </c>
      <c r="B664" t="str">
        <f>IFERROR(__xludf.DUMMYFUNCTION("""COMPUTED_VALUE"""),"Justin")</f>
        <v>Justin</v>
      </c>
      <c r="C664" t="str">
        <f>IFERROR(__xludf.DUMMYFUNCTION("""COMPUTED_VALUE"""),"Buffalo")</f>
        <v>Buffalo</v>
      </c>
      <c r="D664">
        <f>IFERROR(__xludf.DUMMYFUNCTION("""COMPUTED_VALUE"""),2.0)</f>
        <v>2</v>
      </c>
      <c r="E664">
        <f>IFERROR(__xludf.DUMMYFUNCTION("""COMPUTED_VALUE"""),3.0)</f>
        <v>3</v>
      </c>
      <c r="F664" t="str">
        <f>IFERROR(__xludf.DUMMYFUNCTION("""COMPUTED_VALUE"""),"espn+ Video")</f>
        <v>espn+ Video</v>
      </c>
      <c r="G664" t="str">
        <f>IFERROR(__xludf.DUMMYFUNCTION("""COMPUTED_VALUE"""),"Buffalo 20 at Miami-OH 34")</f>
        <v>Buffalo 20 at Miami-OH 34</v>
      </c>
      <c r="H664" t="str">
        <f>IFERROR(__xludf.DUMMYFUNCTION("""COMPUTED_VALUE"""),"FINAL")</f>
        <v>FINAL</v>
      </c>
      <c r="I664">
        <f>IFERROR(__xludf.DUMMYFUNCTION("""COMPUTED_VALUE"""),-3.0)</f>
        <v>-3</v>
      </c>
      <c r="J664" t="str">
        <f>IFERROR(__xludf.DUMMYFUNCTION("""COMPUTED_VALUE"""),"47½")</f>
        <v>47½</v>
      </c>
      <c r="K664" t="str">
        <f>IFERROR(__xludf.DUMMYFUNCTION("""COMPUTED_VALUE"""),"Nico")</f>
        <v>Nico</v>
      </c>
      <c r="L664">
        <f>IFERROR(__xludf.DUMMYFUNCTION("""COMPUTED_VALUE"""),9999.0)</f>
        <v>9999</v>
      </c>
      <c r="M664" s="124">
        <v>5.0</v>
      </c>
    </row>
    <row r="665">
      <c r="A665" s="151">
        <f>IFERROR(__xludf.DUMMYFUNCTION("""COMPUTED_VALUE"""),43737.14775020833)</f>
        <v>43737.14775</v>
      </c>
      <c r="B665" t="str">
        <f>IFERROR(__xludf.DUMMYFUNCTION("""COMPUTED_VALUE"""),"Justin")</f>
        <v>Justin</v>
      </c>
      <c r="C665" t="str">
        <f>IFERROR(__xludf.DUMMYFUNCTION("""COMPUTED_VALUE"""),"Iowa")</f>
        <v>Iowa</v>
      </c>
      <c r="D665">
        <f>IFERROR(__xludf.DUMMYFUNCTION("""COMPUTED_VALUE"""),4.0)</f>
        <v>4</v>
      </c>
      <c r="E665">
        <f>IFERROR(__xludf.DUMMYFUNCTION("""COMPUTED_VALUE"""),0.0)</f>
        <v>0</v>
      </c>
      <c r="F665" t="str">
        <f>IFERROR(__xludf.DUMMYFUNCTION("""COMPUTED_VALUE"""),"FS1")</f>
        <v>FS1</v>
      </c>
      <c r="G665" t="str">
        <f>IFERROR(__xludf.DUMMYFUNCTION("""COMPUTED_VALUE"""),"Middle Tennessee 3 at (14) Iowa 48")</f>
        <v>Middle Tennessee 3 at (14) Iowa 48</v>
      </c>
      <c r="H665" t="str">
        <f>IFERROR(__xludf.DUMMYFUNCTION("""COMPUTED_VALUE"""),"FINAL")</f>
        <v>FINAL</v>
      </c>
      <c r="I665" t="str">
        <f>IFERROR(__xludf.DUMMYFUNCTION("""COMPUTED_VALUE"""),"-23½")</f>
        <v>-23½</v>
      </c>
      <c r="J665">
        <f>IFERROR(__xludf.DUMMYFUNCTION("""COMPUTED_VALUE"""),52.0)</f>
        <v>52</v>
      </c>
      <c r="K665" t="str">
        <f>IFERROR(__xludf.DUMMYFUNCTION("""COMPUTED_VALUE"""),"Nico")</f>
        <v>Nico</v>
      </c>
      <c r="L665">
        <f>IFERROR(__xludf.DUMMYFUNCTION("""COMPUTED_VALUE"""),9999.0)</f>
        <v>9999</v>
      </c>
      <c r="M665" s="124">
        <v>5.0</v>
      </c>
    </row>
    <row r="666">
      <c r="A666" s="151">
        <f>IFERROR(__xludf.DUMMYFUNCTION("""COMPUTED_VALUE"""),43737.14775020833)</f>
        <v>43737.14775</v>
      </c>
      <c r="B666" t="str">
        <f>IFERROR(__xludf.DUMMYFUNCTION("""COMPUTED_VALUE"""),"Justin")</f>
        <v>Justin</v>
      </c>
      <c r="C666" t="str">
        <f>IFERROR(__xludf.DUMMYFUNCTION("""COMPUTED_VALUE"""),"Appalachian State")</f>
        <v>Appalachian State</v>
      </c>
      <c r="D666">
        <f>IFERROR(__xludf.DUMMYFUNCTION("""COMPUTED_VALUE"""),4.0)</f>
        <v>4</v>
      </c>
      <c r="E666">
        <f>IFERROR(__xludf.DUMMYFUNCTION("""COMPUTED_VALUE"""),0.0)</f>
        <v>0</v>
      </c>
      <c r="F666" t="str">
        <f>IFERROR(__xludf.DUMMYFUNCTION("""COMPUTED_VALUE"""),"NA")</f>
        <v>NA</v>
      </c>
      <c r="G666" t="str">
        <f>IFERROR(__xludf.DUMMYFUNCTION("""COMPUTED_VALUE"""),"Coastal Carolina 37 at Appalachian State 56")</f>
        <v>Coastal Carolina 37 at Appalachian State 56</v>
      </c>
      <c r="H666" t="str">
        <f>IFERROR(__xludf.DUMMYFUNCTION("""COMPUTED_VALUE"""),"FINAL")</f>
        <v>FINAL</v>
      </c>
      <c r="I666">
        <f>IFERROR(__xludf.DUMMYFUNCTION("""COMPUTED_VALUE"""),-16.0)</f>
        <v>-16</v>
      </c>
      <c r="J666">
        <f>IFERROR(__xludf.DUMMYFUNCTION("""COMPUTED_VALUE"""),60.0)</f>
        <v>60</v>
      </c>
      <c r="K666" t="str">
        <f>IFERROR(__xludf.DUMMYFUNCTION("""COMPUTED_VALUE"""),"DavEmily")</f>
        <v>DavEmily</v>
      </c>
      <c r="L666">
        <f>IFERROR(__xludf.DUMMYFUNCTION("""COMPUTED_VALUE"""),9999.0)</f>
        <v>9999</v>
      </c>
      <c r="M666" s="124">
        <v>5.0</v>
      </c>
    </row>
    <row r="667">
      <c r="A667" s="151">
        <f>IFERROR(__xludf.DUMMYFUNCTION("""COMPUTED_VALUE"""),43737.14775020833)</f>
        <v>43737.14775</v>
      </c>
      <c r="B667" t="str">
        <f>IFERROR(__xludf.DUMMYFUNCTION("""COMPUTED_VALUE"""),"Justin")</f>
        <v>Justin</v>
      </c>
      <c r="C667" t="str">
        <f>IFERROR(__xludf.DUMMYFUNCTION("""COMPUTED_VALUE"""),"Baylor")</f>
        <v>Baylor</v>
      </c>
      <c r="D667">
        <f>IFERROR(__xludf.DUMMYFUNCTION("""COMPUTED_VALUE"""),4.0)</f>
        <v>4</v>
      </c>
      <c r="E667">
        <f>IFERROR(__xludf.DUMMYFUNCTION("""COMPUTED_VALUE"""),0.0)</f>
        <v>0</v>
      </c>
      <c r="F667" t="str">
        <f>IFERROR(__xludf.DUMMYFUNCTION("""COMPUTED_VALUE"""),"NA")</f>
        <v>NA</v>
      </c>
      <c r="G667" t="str">
        <f>IFERROR(__xludf.DUMMYFUNCTION("""COMPUTED_VALUE"""),"Iowa State 21 at Baylor 23")</f>
        <v>Iowa State 21 at Baylor 23</v>
      </c>
      <c r="H667" t="str">
        <f>IFERROR(__xludf.DUMMYFUNCTION("""COMPUTED_VALUE"""),"FINAL")</f>
        <v>FINAL</v>
      </c>
      <c r="I667">
        <f>IFERROR(__xludf.DUMMYFUNCTION("""COMPUTED_VALUE"""),3.0)</f>
        <v>3</v>
      </c>
      <c r="J667" t="str">
        <f>IFERROR(__xludf.DUMMYFUNCTION("""COMPUTED_VALUE"""),"55½")</f>
        <v>55½</v>
      </c>
      <c r="K667" t="str">
        <f>IFERROR(__xludf.DUMMYFUNCTION("""COMPUTED_VALUE"""),"Nick A.")</f>
        <v>Nick A.</v>
      </c>
      <c r="L667">
        <f>IFERROR(__xludf.DUMMYFUNCTION("""COMPUTED_VALUE"""),9999.0)</f>
        <v>9999</v>
      </c>
      <c r="M667" s="124">
        <v>5.0</v>
      </c>
    </row>
    <row r="668">
      <c r="A668" s="151">
        <f>IFERROR(__xludf.DUMMYFUNCTION("""COMPUTED_VALUE"""),43737.14775020833)</f>
        <v>43737.14775</v>
      </c>
      <c r="B668" t="str">
        <f>IFERROR(__xludf.DUMMYFUNCTION("""COMPUTED_VALUE"""),"Justin")</f>
        <v>Justin</v>
      </c>
      <c r="C668" t="str">
        <f>IFERROR(__xludf.DUMMYFUNCTION("""COMPUTED_VALUE"""),"Duke")</f>
        <v>Duke</v>
      </c>
      <c r="D668">
        <f>IFERROR(__xludf.DUMMYFUNCTION("""COMPUTED_VALUE"""),3.0)</f>
        <v>3</v>
      </c>
      <c r="E668">
        <f>IFERROR(__xludf.DUMMYFUNCTION("""COMPUTED_VALUE"""),1.0)</f>
        <v>1</v>
      </c>
      <c r="F668" t="str">
        <f>IFERROR(__xludf.DUMMYFUNCTION("""COMPUTED_VALUE"""),"Facebook Video")</f>
        <v>Facebook Video</v>
      </c>
      <c r="G668" t="str">
        <f>IFERROR(__xludf.DUMMYFUNCTION("""COMPUTED_VALUE"""),"Duke 45 at Virginia Tech 10")</f>
        <v>Duke 45 at Virginia Tech 10</v>
      </c>
      <c r="H668" t="str">
        <f>IFERROR(__xludf.DUMMYFUNCTION("""COMPUTED_VALUE"""),"FINAL")</f>
        <v>FINAL</v>
      </c>
      <c r="I668">
        <f>IFERROR(__xludf.DUMMYFUNCTION("""COMPUTED_VALUE"""),3.0)</f>
        <v>3</v>
      </c>
      <c r="J668">
        <f>IFERROR(__xludf.DUMMYFUNCTION("""COMPUTED_VALUE"""),53.0)</f>
        <v>53</v>
      </c>
      <c r="K668" t="str">
        <f>IFERROR(__xludf.DUMMYFUNCTION("""COMPUTED_VALUE"""),"DavEmily")</f>
        <v>DavEmily</v>
      </c>
      <c r="L668">
        <f>IFERROR(__xludf.DUMMYFUNCTION("""COMPUTED_VALUE"""),9999.0)</f>
        <v>9999</v>
      </c>
      <c r="M668" s="124">
        <v>5.0</v>
      </c>
    </row>
    <row r="669">
      <c r="A669" s="151">
        <f>IFERROR(__xludf.DUMMYFUNCTION("""COMPUTED_VALUE"""),43737.14775020833)</f>
        <v>43737.14775</v>
      </c>
      <c r="B669" t="str">
        <f>IFERROR(__xludf.DUMMYFUNCTION("""COMPUTED_VALUE"""),"Justin")</f>
        <v>Justin</v>
      </c>
      <c r="C669" t="str">
        <f>IFERROR(__xludf.DUMMYFUNCTION("""COMPUTED_VALUE"""),"Tennessee")</f>
        <v>Tennessee</v>
      </c>
      <c r="D669">
        <f>IFERROR(__xludf.DUMMYFUNCTION("""COMPUTED_VALUE"""),1.0)</f>
        <v>1</v>
      </c>
      <c r="E669">
        <f>IFERROR(__xludf.DUMMYFUNCTION("""COMPUTED_VALUE"""),3.0)</f>
        <v>3</v>
      </c>
      <c r="F669" t="str">
        <f>IFERROR(__xludf.DUMMYFUNCTION("""COMPUTED_VALUE"""),"SEC Network")</f>
        <v>SEC Network</v>
      </c>
      <c r="G669" t="str">
        <f>IFERROR(__xludf.DUMMYFUNCTION("""COMPUTED_VALUE"""),"BYE")</f>
        <v>BYE</v>
      </c>
      <c r="I669" t="str">
        <f>IFERROR(__xludf.DUMMYFUNCTION("""COMPUTED_VALUE"""),"bye")</f>
        <v>bye</v>
      </c>
      <c r="J669" t="str">
        <f>IFERROR(__xludf.DUMMYFUNCTION("""COMPUTED_VALUE"""),"bye")</f>
        <v>bye</v>
      </c>
      <c r="L669">
        <f>IFERROR(__xludf.DUMMYFUNCTION("""COMPUTED_VALUE"""),9999.0)</f>
        <v>9999</v>
      </c>
      <c r="M669" s="124">
        <v>5.0</v>
      </c>
    </row>
    <row r="670">
      <c r="A670" s="151">
        <f>IFERROR(__xludf.DUMMYFUNCTION("""COMPUTED_VALUE"""),43737.14775020833)</f>
        <v>43737.14775</v>
      </c>
      <c r="B670" t="str">
        <f>IFERROR(__xludf.DUMMYFUNCTION("""COMPUTED_VALUE"""),"Justin")</f>
        <v>Justin</v>
      </c>
      <c r="C670" t="str">
        <f>IFERROR(__xludf.DUMMYFUNCTION("""COMPUTED_VALUE"""),"Oregon")</f>
        <v>Oregon</v>
      </c>
      <c r="D670">
        <f>IFERROR(__xludf.DUMMYFUNCTION("""COMPUTED_VALUE"""),3.0)</f>
        <v>3</v>
      </c>
      <c r="E670">
        <f>IFERROR(__xludf.DUMMYFUNCTION("""COMPUTED_VALUE"""),1.0)</f>
        <v>1</v>
      </c>
      <c r="F670" t="str">
        <f>IFERROR(__xludf.DUMMYFUNCTION("""COMPUTED_VALUE"""),"Pac-12")</f>
        <v>Pac-12</v>
      </c>
      <c r="G670" t="str">
        <f>IFERROR(__xludf.DUMMYFUNCTION("""COMPUTED_VALUE"""),"BYE")</f>
        <v>BYE</v>
      </c>
      <c r="I670" t="str">
        <f>IFERROR(__xludf.DUMMYFUNCTION("""COMPUTED_VALUE"""),"bye")</f>
        <v>bye</v>
      </c>
      <c r="J670" t="str">
        <f>IFERROR(__xludf.DUMMYFUNCTION("""COMPUTED_VALUE"""),"bye")</f>
        <v>bye</v>
      </c>
      <c r="L670">
        <f>IFERROR(__xludf.DUMMYFUNCTION("""COMPUTED_VALUE"""),9999.0)</f>
        <v>9999</v>
      </c>
      <c r="M670" s="124">
        <v>5.0</v>
      </c>
    </row>
    <row r="671">
      <c r="A671" s="151">
        <f>IFERROR(__xludf.DUMMYFUNCTION("""COMPUTED_VALUE"""),43737.14775020833)</f>
        <v>43737.14775</v>
      </c>
      <c r="B671" t="str">
        <f>IFERROR(__xludf.DUMMYFUNCTION("""COMPUTED_VALUE"""),"Justin")</f>
        <v>Justin</v>
      </c>
      <c r="C671" t="str">
        <f>IFERROR(__xludf.DUMMYFUNCTION("""COMPUTED_VALUE"""),"UNLV")</f>
        <v>UNLV</v>
      </c>
      <c r="D671">
        <f>IFERROR(__xludf.DUMMYFUNCTION("""COMPUTED_VALUE"""),1.0)</f>
        <v>1</v>
      </c>
      <c r="E671">
        <f>IFERROR(__xludf.DUMMYFUNCTION("""COMPUTED_VALUE"""),3.0)</f>
        <v>3</v>
      </c>
      <c r="F671" t="str">
        <f>IFERROR(__xludf.DUMMYFUNCTION("""COMPUTED_VALUE"""),"BTN")</f>
        <v>BTN</v>
      </c>
      <c r="G671" t="str">
        <f>IFERROR(__xludf.DUMMYFUNCTION("""COMPUTED_VALUE"""),"UNLV 17 at Wyoming 53")</f>
        <v>UNLV 17 at Wyoming 53</v>
      </c>
      <c r="H671" t="str">
        <f>IFERROR(__xludf.DUMMYFUNCTION("""COMPUTED_VALUE"""),"FINAL")</f>
        <v>FINAL</v>
      </c>
      <c r="I671" t="str">
        <f>IFERROR(__xludf.DUMMYFUNCTION("""COMPUTED_VALUE"""),"9½")</f>
        <v>9½</v>
      </c>
      <c r="J671">
        <f>IFERROR(__xludf.DUMMYFUNCTION("""COMPUTED_VALUE"""),48.0)</f>
        <v>48</v>
      </c>
      <c r="K671" t="str">
        <f>IFERROR(__xludf.DUMMYFUNCTION("""COMPUTED_VALUE"""),"Nick G.")</f>
        <v>Nick G.</v>
      </c>
      <c r="L671">
        <f>IFERROR(__xludf.DUMMYFUNCTION("""COMPUTED_VALUE"""),9999.0)</f>
        <v>9999</v>
      </c>
      <c r="M671" s="124">
        <v>5.0</v>
      </c>
    </row>
    <row r="672">
      <c r="A672" s="151">
        <f>IFERROR(__xludf.DUMMYFUNCTION("""COMPUTED_VALUE"""),43737.14775020833)</f>
        <v>43737.14775</v>
      </c>
      <c r="B672" t="str">
        <f>IFERROR(__xludf.DUMMYFUNCTION("""COMPUTED_VALUE"""),"Adam")</f>
        <v>Adam</v>
      </c>
      <c r="C672" t="str">
        <f>IFERROR(__xludf.DUMMYFUNCTION("""COMPUTED_VALUE"""),"Akron")</f>
        <v>Akron</v>
      </c>
      <c r="D672">
        <f>IFERROR(__xludf.DUMMYFUNCTION("""COMPUTED_VALUE"""),0.0)</f>
        <v>0</v>
      </c>
      <c r="E672">
        <f>IFERROR(__xludf.DUMMYFUNCTION("""COMPUTED_VALUE"""),5.0)</f>
        <v>5</v>
      </c>
      <c r="F672" t="str">
        <f>IFERROR(__xludf.DUMMYFUNCTION("""COMPUTED_VALUE"""),"espn+ Video")</f>
        <v>espn+ Video</v>
      </c>
      <c r="G672" t="str">
        <f>IFERROR(__xludf.DUMMYFUNCTION("""COMPUTED_VALUE"""),"Akron 29 at UMass 37")</f>
        <v>Akron 29 at UMass 37</v>
      </c>
      <c r="H672" t="str">
        <f>IFERROR(__xludf.DUMMYFUNCTION("""COMPUTED_VALUE"""),"FINAL")</f>
        <v>FINAL</v>
      </c>
      <c r="I672" t="str">
        <f>IFERROR(__xludf.DUMMYFUNCTION("""COMPUTED_VALUE"""),"-7½")</f>
        <v>-7½</v>
      </c>
      <c r="J672" t="str">
        <f>IFERROR(__xludf.DUMMYFUNCTION("""COMPUTED_VALUE"""),"62½")</f>
        <v>62½</v>
      </c>
      <c r="K672" t="str">
        <f>IFERROR(__xludf.DUMMYFUNCTION("""COMPUTED_VALUE"""),"Undrafted")</f>
        <v>Undrafted</v>
      </c>
      <c r="L672">
        <f>IFERROR(__xludf.DUMMYFUNCTION("""COMPUTED_VALUE"""),9999.0)</f>
        <v>9999</v>
      </c>
      <c r="M672" s="124">
        <v>5.0</v>
      </c>
    </row>
    <row r="673">
      <c r="A673" s="151">
        <f>IFERROR(__xludf.DUMMYFUNCTION("""COMPUTED_VALUE"""),43737.14775020833)</f>
        <v>43737.14775</v>
      </c>
      <c r="B673" t="str">
        <f>IFERROR(__xludf.DUMMYFUNCTION("""COMPUTED_VALUE"""),"Adam")</f>
        <v>Adam</v>
      </c>
      <c r="C673" t="str">
        <f>IFERROR(__xludf.DUMMYFUNCTION("""COMPUTED_VALUE"""),"Texas")</f>
        <v>Texas</v>
      </c>
      <c r="D673">
        <f>IFERROR(__xludf.DUMMYFUNCTION("""COMPUTED_VALUE"""),3.0)</f>
        <v>3</v>
      </c>
      <c r="E673">
        <f>IFERROR(__xludf.DUMMYFUNCTION("""COMPUTED_VALUE"""),1.0)</f>
        <v>1</v>
      </c>
      <c r="F673" t="str">
        <f>IFERROR(__xludf.DUMMYFUNCTION("""COMPUTED_VALUE"""),"CBSSN")</f>
        <v>CBSSN</v>
      </c>
      <c r="G673" t="str">
        <f>IFERROR(__xludf.DUMMYFUNCTION("""COMPUTED_VALUE"""),"BYE")</f>
        <v>BYE</v>
      </c>
      <c r="I673" t="str">
        <f>IFERROR(__xludf.DUMMYFUNCTION("""COMPUTED_VALUE"""),"bye")</f>
        <v>bye</v>
      </c>
      <c r="J673" t="str">
        <f>IFERROR(__xludf.DUMMYFUNCTION("""COMPUTED_VALUE"""),"bye")</f>
        <v>bye</v>
      </c>
      <c r="L673">
        <f>IFERROR(__xludf.DUMMYFUNCTION("""COMPUTED_VALUE"""),9999.0)</f>
        <v>9999</v>
      </c>
      <c r="M673" s="124">
        <v>5.0</v>
      </c>
    </row>
    <row r="674">
      <c r="A674" s="151">
        <f>IFERROR(__xludf.DUMMYFUNCTION("""COMPUTED_VALUE"""),43737.14775020833)</f>
        <v>43737.14775</v>
      </c>
      <c r="B674" t="str">
        <f>IFERROR(__xludf.DUMMYFUNCTION("""COMPUTED_VALUE"""),"Adam")</f>
        <v>Adam</v>
      </c>
      <c r="C674" t="str">
        <f>IFERROR(__xludf.DUMMYFUNCTION("""COMPUTED_VALUE"""),"Oregon State")</f>
        <v>Oregon State</v>
      </c>
      <c r="D674">
        <f>IFERROR(__xludf.DUMMYFUNCTION("""COMPUTED_VALUE"""),1.0)</f>
        <v>1</v>
      </c>
      <c r="E674">
        <f>IFERROR(__xludf.DUMMYFUNCTION("""COMPUTED_VALUE"""),3.0)</f>
        <v>3</v>
      </c>
      <c r="F674" t="str">
        <f>IFERROR(__xludf.DUMMYFUNCTION("""COMPUTED_VALUE"""),"Pac-12 Oregon")</f>
        <v>Pac-12 Oregon</v>
      </c>
      <c r="G674" t="str">
        <f>IFERROR(__xludf.DUMMYFUNCTION("""COMPUTED_VALUE"""),"Stanford 31 at Oregon State 28")</f>
        <v>Stanford 31 at Oregon State 28</v>
      </c>
      <c r="H674" t="str">
        <f>IFERROR(__xludf.DUMMYFUNCTION("""COMPUTED_VALUE"""),"FINAL")</f>
        <v>FINAL</v>
      </c>
      <c r="I674" t="str">
        <f>IFERROR(__xludf.DUMMYFUNCTION("""COMPUTED_VALUE"""),"4½")</f>
        <v>4½</v>
      </c>
      <c r="J674" t="str">
        <f>IFERROR(__xludf.DUMMYFUNCTION("""COMPUTED_VALUE"""),"57½")</f>
        <v>57½</v>
      </c>
      <c r="K674" t="str">
        <f>IFERROR(__xludf.DUMMYFUNCTION("""COMPUTED_VALUE"""),"Nick G.")</f>
        <v>Nick G.</v>
      </c>
      <c r="L674">
        <f>IFERROR(__xludf.DUMMYFUNCTION("""COMPUTED_VALUE"""),9999.0)</f>
        <v>9999</v>
      </c>
      <c r="M674" s="124">
        <v>5.0</v>
      </c>
    </row>
    <row r="675">
      <c r="A675" s="151">
        <f>IFERROR(__xludf.DUMMYFUNCTION("""COMPUTED_VALUE"""),43737.14775020833)</f>
        <v>43737.14775</v>
      </c>
      <c r="B675" t="str">
        <f>IFERROR(__xludf.DUMMYFUNCTION("""COMPUTED_VALUE"""),"Adam")</f>
        <v>Adam</v>
      </c>
      <c r="C675" t="str">
        <f>IFERROR(__xludf.DUMMYFUNCTION("""COMPUTED_VALUE"""),"Air Force")</f>
        <v>Air Force</v>
      </c>
      <c r="D675">
        <f>IFERROR(__xludf.DUMMYFUNCTION("""COMPUTED_VALUE"""),3.0)</f>
        <v>3</v>
      </c>
      <c r="E675">
        <f>IFERROR(__xludf.DUMMYFUNCTION("""COMPUTED_VALUE"""),1.0)</f>
        <v>1</v>
      </c>
      <c r="F675" t="str">
        <f>IFERROR(__xludf.DUMMYFUNCTION("""COMPUTED_VALUE"""),"Pac-12")</f>
        <v>Pac-12</v>
      </c>
      <c r="G675" t="str">
        <f>IFERROR(__xludf.DUMMYFUNCTION("""COMPUTED_VALUE"""),"San José State 24 at Air Force 41")</f>
        <v>San José State 24 at Air Force 41</v>
      </c>
      <c r="H675" t="str">
        <f>IFERROR(__xludf.DUMMYFUNCTION("""COMPUTED_VALUE"""),"FINAL")</f>
        <v>FINAL</v>
      </c>
      <c r="I675">
        <f>IFERROR(__xludf.DUMMYFUNCTION("""COMPUTED_VALUE"""),-19.0)</f>
        <v>-19</v>
      </c>
      <c r="J675" t="str">
        <f>IFERROR(__xludf.DUMMYFUNCTION("""COMPUTED_VALUE"""),"56½")</f>
        <v>56½</v>
      </c>
      <c r="K675" t="str">
        <f>IFERROR(__xludf.DUMMYFUNCTION("""COMPUTED_VALUE"""),"Jeannine")</f>
        <v>Jeannine</v>
      </c>
      <c r="L675">
        <f>IFERROR(__xludf.DUMMYFUNCTION("""COMPUTED_VALUE"""),9999.0)</f>
        <v>9999</v>
      </c>
      <c r="M675" s="124">
        <v>5.0</v>
      </c>
    </row>
    <row r="676">
      <c r="A676" s="151">
        <f>IFERROR(__xludf.DUMMYFUNCTION("""COMPUTED_VALUE"""),43737.14775020833)</f>
        <v>43737.14775</v>
      </c>
      <c r="B676" t="str">
        <f>IFERROR(__xludf.DUMMYFUNCTION("""COMPUTED_VALUE"""),"Adam")</f>
        <v>Adam</v>
      </c>
      <c r="C676" t="str">
        <f>IFERROR(__xludf.DUMMYFUNCTION("""COMPUTED_VALUE"""),"Northwestern")</f>
        <v>Northwestern</v>
      </c>
      <c r="D676">
        <f>IFERROR(__xludf.DUMMYFUNCTION("""COMPUTED_VALUE"""),1.0)</f>
        <v>1</v>
      </c>
      <c r="E676">
        <f>IFERROR(__xludf.DUMMYFUNCTION("""COMPUTED_VALUE"""),3.0)</f>
        <v>3</v>
      </c>
      <c r="F676" t="str">
        <f>IFERROR(__xludf.DUMMYFUNCTION("""COMPUTED_VALUE"""),"BTN")</f>
        <v>BTN</v>
      </c>
      <c r="G676" t="str">
        <f>IFERROR(__xludf.DUMMYFUNCTION("""COMPUTED_VALUE"""),"Northwestern 15 at (9) Wisconsin 24")</f>
        <v>Northwestern 15 at (9) Wisconsin 24</v>
      </c>
      <c r="H676" t="str">
        <f>IFERROR(__xludf.DUMMYFUNCTION("""COMPUTED_VALUE"""),"FINAL")</f>
        <v>FINAL</v>
      </c>
      <c r="I676" t="str">
        <f>IFERROR(__xludf.DUMMYFUNCTION("""COMPUTED_VALUE"""),"24½")</f>
        <v>24½</v>
      </c>
      <c r="J676" t="str">
        <f>IFERROR(__xludf.DUMMYFUNCTION("""COMPUTED_VALUE"""),"46½")</f>
        <v>46½</v>
      </c>
      <c r="K676" t="str">
        <f>IFERROR(__xludf.DUMMYFUNCTION("""COMPUTED_VALUE"""),"Janice/Mike")</f>
        <v>Janice/Mike</v>
      </c>
      <c r="L676">
        <f>IFERROR(__xludf.DUMMYFUNCTION("""COMPUTED_VALUE"""),9999.0)</f>
        <v>9999</v>
      </c>
      <c r="M676" s="124">
        <v>5.0</v>
      </c>
    </row>
    <row r="677">
      <c r="A677" s="151">
        <f>IFERROR(__xludf.DUMMYFUNCTION("""COMPUTED_VALUE"""),43737.14775020833)</f>
        <v>43737.14775</v>
      </c>
      <c r="B677" t="str">
        <f>IFERROR(__xludf.DUMMYFUNCTION("""COMPUTED_VALUE"""),"Adam")</f>
        <v>Adam</v>
      </c>
      <c r="C677" t="str">
        <f>IFERROR(__xludf.DUMMYFUNCTION("""COMPUTED_VALUE"""),"Wake Forest")</f>
        <v>Wake Forest</v>
      </c>
      <c r="D677">
        <f>IFERROR(__xludf.DUMMYFUNCTION("""COMPUTED_VALUE"""),5.0)</f>
        <v>5</v>
      </c>
      <c r="E677">
        <f>IFERROR(__xludf.DUMMYFUNCTION("""COMPUTED_VALUE"""),0.0)</f>
        <v>0</v>
      </c>
      <c r="F677" t="str">
        <f>IFERROR(__xludf.DUMMYFUNCTION("""COMPUTED_VALUE"""),"NA")</f>
        <v>NA</v>
      </c>
      <c r="G677" t="str">
        <f>IFERROR(__xludf.DUMMYFUNCTION("""COMPUTED_VALUE"""),"(24) Wake Forest 27 at Boston College 24")</f>
        <v>(24) Wake Forest 27 at Boston College 24</v>
      </c>
      <c r="H677" t="str">
        <f>IFERROR(__xludf.DUMMYFUNCTION("""COMPUTED_VALUE"""),"FINAL")</f>
        <v>FINAL</v>
      </c>
      <c r="I677" t="str">
        <f>IFERROR(__xludf.DUMMYFUNCTION("""COMPUTED_VALUE"""),"-6½")</f>
        <v>-6½</v>
      </c>
      <c r="J677">
        <f>IFERROR(__xludf.DUMMYFUNCTION("""COMPUTED_VALUE"""),69.0)</f>
        <v>69</v>
      </c>
      <c r="K677" t="str">
        <f>IFERROR(__xludf.DUMMYFUNCTION("""COMPUTED_VALUE"""),"Janice/Mike")</f>
        <v>Janice/Mike</v>
      </c>
      <c r="L677">
        <f>IFERROR(__xludf.DUMMYFUNCTION("""COMPUTED_VALUE"""),9999.0)</f>
        <v>9999</v>
      </c>
      <c r="M677" s="124">
        <v>5.0</v>
      </c>
    </row>
    <row r="678">
      <c r="A678" s="151">
        <f>IFERROR(__xludf.DUMMYFUNCTION("""COMPUTED_VALUE"""),43737.14775020833)</f>
        <v>43737.14775</v>
      </c>
      <c r="B678" t="str">
        <f>IFERROR(__xludf.DUMMYFUNCTION("""COMPUTED_VALUE"""),"Adam")</f>
        <v>Adam</v>
      </c>
      <c r="C678" t="str">
        <f>IFERROR(__xludf.DUMMYFUNCTION("""COMPUTED_VALUE"""),"UCF")</f>
        <v>UCF</v>
      </c>
      <c r="D678">
        <f>IFERROR(__xludf.DUMMYFUNCTION("""COMPUTED_VALUE"""),4.0)</f>
        <v>4</v>
      </c>
      <c r="E678">
        <f>IFERROR(__xludf.DUMMYFUNCTION("""COMPUTED_VALUE"""),1.0)</f>
        <v>1</v>
      </c>
      <c r="F678" t="str">
        <f>IFERROR(__xludf.DUMMYFUNCTION("""COMPUTED_VALUE"""),"ESPN")</f>
        <v>ESPN</v>
      </c>
      <c r="G678" t="str">
        <f>IFERROR(__xludf.DUMMYFUNCTION("""COMPUTED_VALUE"""),"UConn 21 at (23) UCF 56")</f>
        <v>UConn 21 at (23) UCF 56</v>
      </c>
      <c r="H678" t="str">
        <f>IFERROR(__xludf.DUMMYFUNCTION("""COMPUTED_VALUE"""),"FINAL")</f>
        <v>FINAL</v>
      </c>
      <c r="I678">
        <f>IFERROR(__xludf.DUMMYFUNCTION("""COMPUTED_VALUE"""),-44.0)</f>
        <v>-44</v>
      </c>
      <c r="J678" t="str">
        <f>IFERROR(__xludf.DUMMYFUNCTION("""COMPUTED_VALUE"""),"64½")</f>
        <v>64½</v>
      </c>
      <c r="K678" t="str">
        <f>IFERROR(__xludf.DUMMYFUNCTION("""COMPUTED_VALUE"""),"Nick G.")</f>
        <v>Nick G.</v>
      </c>
      <c r="L678">
        <f>IFERROR(__xludf.DUMMYFUNCTION("""COMPUTED_VALUE"""),9999.0)</f>
        <v>9999</v>
      </c>
      <c r="M678" s="124">
        <v>5.0</v>
      </c>
    </row>
    <row r="679">
      <c r="A679" s="151">
        <f>IFERROR(__xludf.DUMMYFUNCTION("""COMPUTED_VALUE"""),43737.14775020833)</f>
        <v>43737.14775</v>
      </c>
      <c r="B679" t="str">
        <f>IFERROR(__xludf.DUMMYFUNCTION("""COMPUTED_VALUE"""),"Adam")</f>
        <v>Adam</v>
      </c>
      <c r="C679" t="str">
        <f>IFERROR(__xludf.DUMMYFUNCTION("""COMPUTED_VALUE"""),"Georgia State")</f>
        <v>Georgia State</v>
      </c>
      <c r="D679">
        <f>IFERROR(__xludf.DUMMYFUNCTION("""COMPUTED_VALUE"""),2.0)</f>
        <v>2</v>
      </c>
      <c r="E679">
        <f>IFERROR(__xludf.DUMMYFUNCTION("""COMPUTED_VALUE"""),2.0)</f>
        <v>2</v>
      </c>
      <c r="F679" t="str">
        <f>IFERROR(__xludf.DUMMYFUNCTION("""COMPUTED_VALUE"""),"espn+ Video")</f>
        <v>espn+ Video</v>
      </c>
      <c r="G679" t="str">
        <f>IFERROR(__xludf.DUMMYFUNCTION("""COMPUTED_VALUE"""),"BYE")</f>
        <v>BYE</v>
      </c>
      <c r="I679" t="str">
        <f>IFERROR(__xludf.DUMMYFUNCTION("""COMPUTED_VALUE"""),"bye")</f>
        <v>bye</v>
      </c>
      <c r="J679" t="str">
        <f>IFERROR(__xludf.DUMMYFUNCTION("""COMPUTED_VALUE"""),"bye")</f>
        <v>bye</v>
      </c>
      <c r="L679">
        <f>IFERROR(__xludf.DUMMYFUNCTION("""COMPUTED_VALUE"""),9999.0)</f>
        <v>9999</v>
      </c>
      <c r="M679" s="124">
        <v>5.0</v>
      </c>
    </row>
    <row r="680">
      <c r="A680" s="151">
        <f>IFERROR(__xludf.DUMMYFUNCTION("""COMPUTED_VALUE"""),43737.14775020833)</f>
        <v>43737.14775</v>
      </c>
      <c r="B680" t="str">
        <f>IFERROR(__xludf.DUMMYFUNCTION("""COMPUTED_VALUE"""),"Adam")</f>
        <v>Adam</v>
      </c>
      <c r="C680" t="str">
        <f>IFERROR(__xludf.DUMMYFUNCTION("""COMPUTED_VALUE"""),"Florida Intl")</f>
        <v>Florida Intl</v>
      </c>
      <c r="D680">
        <f>IFERROR(__xludf.DUMMYFUNCTION("""COMPUTED_VALUE"""),1.0)</f>
        <v>1</v>
      </c>
      <c r="E680">
        <f>IFERROR(__xludf.DUMMYFUNCTION("""COMPUTED_VALUE"""),3.0)</f>
        <v>3</v>
      </c>
      <c r="F680" t="str">
        <f>IFERROR(__xludf.DUMMYFUNCTION("""COMPUTED_VALUE"""),"NA")</f>
        <v>NA</v>
      </c>
      <c r="G680" t="str">
        <f>IFERROR(__xludf.DUMMYFUNCTION("""COMPUTED_VALUE"""),"BYE")</f>
        <v>BYE</v>
      </c>
      <c r="I680" t="str">
        <f>IFERROR(__xludf.DUMMYFUNCTION("""COMPUTED_VALUE"""),"bye")</f>
        <v>bye</v>
      </c>
      <c r="J680" t="str">
        <f>IFERROR(__xludf.DUMMYFUNCTION("""COMPUTED_VALUE"""),"bye")</f>
        <v>bye</v>
      </c>
      <c r="L680">
        <f>IFERROR(__xludf.DUMMYFUNCTION("""COMPUTED_VALUE"""),9999.0)</f>
        <v>9999</v>
      </c>
      <c r="M680" s="124">
        <v>5.0</v>
      </c>
    </row>
    <row r="681">
      <c r="A681" s="151">
        <f>IFERROR(__xludf.DUMMYFUNCTION("""COMPUTED_VALUE"""),43737.14775020833)</f>
        <v>43737.14775</v>
      </c>
      <c r="B681" t="str">
        <f>IFERROR(__xludf.DUMMYFUNCTION("""COMPUTED_VALUE"""),"Adam")</f>
        <v>Adam</v>
      </c>
      <c r="C681" t="str">
        <f>IFERROR(__xludf.DUMMYFUNCTION("""COMPUTED_VALUE"""),"Florida")</f>
        <v>Florida</v>
      </c>
      <c r="D681">
        <f>IFERROR(__xludf.DUMMYFUNCTION("""COMPUTED_VALUE"""),5.0)</f>
        <v>5</v>
      </c>
      <c r="E681">
        <f>IFERROR(__xludf.DUMMYFUNCTION("""COMPUTED_VALUE"""),0.0)</f>
        <v>0</v>
      </c>
      <c r="F681" t="str">
        <f>IFERROR(__xludf.DUMMYFUNCTION("""COMPUTED_VALUE"""),"ESPN")</f>
        <v>ESPN</v>
      </c>
      <c r="G681" t="str">
        <f>IFERROR(__xludf.DUMMYFUNCTION("""COMPUTED_VALUE"""),"Towson 0 at (8) Florida 38")</f>
        <v>Towson 0 at (8) Florida 38</v>
      </c>
      <c r="H681" t="str">
        <f>IFERROR(__xludf.DUMMYFUNCTION("""COMPUTED_VALUE"""),"FINAL")</f>
        <v>FINAL</v>
      </c>
      <c r="I681" t="str">
        <f>IFERROR(__xludf.DUMMYFUNCTION("""COMPUTED_VALUE"""),"-36½")</f>
        <v>-36½</v>
      </c>
      <c r="J681" t="str">
        <f>IFERROR(__xludf.DUMMYFUNCTION("""COMPUTED_VALUE"""),"62½")</f>
        <v>62½</v>
      </c>
      <c r="K681" t="str">
        <f>IFERROR(__xludf.DUMMYFUNCTION("""COMPUTED_VALUE"""),"Undrafted")</f>
        <v>Undrafted</v>
      </c>
      <c r="L681">
        <f>IFERROR(__xludf.DUMMYFUNCTION("""COMPUTED_VALUE"""),9999.0)</f>
        <v>9999</v>
      </c>
      <c r="M681" s="124">
        <v>5.0</v>
      </c>
    </row>
    <row r="682">
      <c r="A682" s="151">
        <f>IFERROR(__xludf.DUMMYFUNCTION("""COMPUTED_VALUE"""),43737.14775020833)</f>
        <v>43737.14775</v>
      </c>
      <c r="B682" t="str">
        <f>IFERROR(__xludf.DUMMYFUNCTION("""COMPUTED_VALUE"""),"Vu")</f>
        <v>Vu</v>
      </c>
      <c r="C682" t="str">
        <f>IFERROR(__xludf.DUMMYFUNCTION("""COMPUTED_VALUE"""),"Cincinnati")</f>
        <v>Cincinnati</v>
      </c>
      <c r="D682">
        <f>IFERROR(__xludf.DUMMYFUNCTION("""COMPUTED_VALUE"""),3.0)</f>
        <v>3</v>
      </c>
      <c r="E682">
        <f>IFERROR(__xludf.DUMMYFUNCTION("""COMPUTED_VALUE"""),1.0)</f>
        <v>1</v>
      </c>
      <c r="F682" t="str">
        <f>IFERROR(__xludf.DUMMYFUNCTION("""COMPUTED_VALUE"""),"ESPNU")</f>
        <v>ESPNU</v>
      </c>
      <c r="G682" t="str">
        <f>IFERROR(__xludf.DUMMYFUNCTION("""COMPUTED_VALUE"""),"Cincinnati 52 at Marshall 14")</f>
        <v>Cincinnati 52 at Marshall 14</v>
      </c>
      <c r="H682" t="str">
        <f>IFERROR(__xludf.DUMMYFUNCTION("""COMPUTED_VALUE"""),"FINAL")</f>
        <v>FINAL</v>
      </c>
      <c r="I682" t="str">
        <f>IFERROR(__xludf.DUMMYFUNCTION("""COMPUTED_VALUE"""),"-3½")</f>
        <v>-3½</v>
      </c>
      <c r="J682">
        <f>IFERROR(__xludf.DUMMYFUNCTION("""COMPUTED_VALUE"""),47.0)</f>
        <v>47</v>
      </c>
      <c r="K682" t="str">
        <f>IFERROR(__xludf.DUMMYFUNCTION("""COMPUTED_VALUE"""),"Gary")</f>
        <v>Gary</v>
      </c>
      <c r="L682">
        <f>IFERROR(__xludf.DUMMYFUNCTION("""COMPUTED_VALUE"""),9999.0)</f>
        <v>9999</v>
      </c>
      <c r="M682" s="124">
        <v>5.0</v>
      </c>
    </row>
    <row r="683">
      <c r="A683" s="151">
        <f>IFERROR(__xludf.DUMMYFUNCTION("""COMPUTED_VALUE"""),43737.14775020833)</f>
        <v>43737.14775</v>
      </c>
      <c r="B683" t="str">
        <f>IFERROR(__xludf.DUMMYFUNCTION("""COMPUTED_VALUE"""),"Vu")</f>
        <v>Vu</v>
      </c>
      <c r="C683" t="str">
        <f>IFERROR(__xludf.DUMMYFUNCTION("""COMPUTED_VALUE"""),"Syracuse")</f>
        <v>Syracuse</v>
      </c>
      <c r="D683">
        <f>IFERROR(__xludf.DUMMYFUNCTION("""COMPUTED_VALUE"""),3.0)</f>
        <v>3</v>
      </c>
      <c r="E683">
        <f>IFERROR(__xludf.DUMMYFUNCTION("""COMPUTED_VALUE"""),2.0)</f>
        <v>2</v>
      </c>
      <c r="F683" t="str">
        <f>IFERROR(__xludf.DUMMYFUNCTION("""COMPUTED_VALUE"""),"ABC")</f>
        <v>ABC</v>
      </c>
      <c r="G683" t="str">
        <f>IFERROR(__xludf.DUMMYFUNCTION("""COMPUTED_VALUE"""),"Holy Cross 3 at Syracuse 41")</f>
        <v>Holy Cross 3 at Syracuse 41</v>
      </c>
      <c r="H683" t="str">
        <f>IFERROR(__xludf.DUMMYFUNCTION("""COMPUTED_VALUE"""),"FINAL")</f>
        <v>FINAL</v>
      </c>
      <c r="I683" t="str">
        <f>IFERROR(__xludf.DUMMYFUNCTION("""COMPUTED_VALUE"""),"-38½")</f>
        <v>-38½</v>
      </c>
      <c r="J683">
        <f>IFERROR(__xludf.DUMMYFUNCTION("""COMPUTED_VALUE"""),55.0)</f>
        <v>55</v>
      </c>
      <c r="K683" t="str">
        <f>IFERROR(__xludf.DUMMYFUNCTION("""COMPUTED_VALUE"""),"Undrafted")</f>
        <v>Undrafted</v>
      </c>
      <c r="L683">
        <f>IFERROR(__xludf.DUMMYFUNCTION("""COMPUTED_VALUE"""),9999.0)</f>
        <v>9999</v>
      </c>
      <c r="M683" s="124">
        <v>5.0</v>
      </c>
    </row>
    <row r="684">
      <c r="A684" s="151">
        <f>IFERROR(__xludf.DUMMYFUNCTION("""COMPUTED_VALUE"""),43737.14775020833)</f>
        <v>43737.14775</v>
      </c>
      <c r="B684" t="str">
        <f>IFERROR(__xludf.DUMMYFUNCTION("""COMPUTED_VALUE"""),"Vu")</f>
        <v>Vu</v>
      </c>
      <c r="C684" t="str">
        <f>IFERROR(__xludf.DUMMYFUNCTION("""COMPUTED_VALUE"""),"Texas A&amp;M")</f>
        <v>Texas A&amp;M</v>
      </c>
      <c r="D684">
        <f>IFERROR(__xludf.DUMMYFUNCTION("""COMPUTED_VALUE"""),3.0)</f>
        <v>3</v>
      </c>
      <c r="E684">
        <f>IFERROR(__xludf.DUMMYFUNCTION("""COMPUTED_VALUE"""),2.0)</f>
        <v>2</v>
      </c>
      <c r="F684" t="str">
        <f>IFERROR(__xludf.DUMMYFUNCTION("""COMPUTED_VALUE"""),"ESPN2 or ESPNU")</f>
        <v>ESPN2 or ESPNU</v>
      </c>
      <c r="G684" t="str">
        <f>IFERROR(__xludf.DUMMYFUNCTION("""COMPUTED_VALUE"""),"(21) Texas A&amp;M 31 at Arkansas 27")</f>
        <v>(21) Texas A&amp;M 31 at Arkansas 27</v>
      </c>
      <c r="H684" t="str">
        <f>IFERROR(__xludf.DUMMYFUNCTION("""COMPUTED_VALUE"""),"FINAL")</f>
        <v>FINAL</v>
      </c>
      <c r="I684">
        <f>IFERROR(__xludf.DUMMYFUNCTION("""COMPUTED_VALUE"""),-23.0)</f>
        <v>-23</v>
      </c>
      <c r="J684" t="str">
        <f>IFERROR(__xludf.DUMMYFUNCTION("""COMPUTED_VALUE"""),"59½")</f>
        <v>59½</v>
      </c>
      <c r="K684" t="str">
        <f>IFERROR(__xludf.DUMMYFUNCTION("""COMPUTED_VALUE"""),"Janice/Mike")</f>
        <v>Janice/Mike</v>
      </c>
      <c r="L684">
        <f>IFERROR(__xludf.DUMMYFUNCTION("""COMPUTED_VALUE"""),9999.0)</f>
        <v>9999</v>
      </c>
      <c r="M684" s="124">
        <v>5.0</v>
      </c>
    </row>
    <row r="685">
      <c r="A685" s="151">
        <f>IFERROR(__xludf.DUMMYFUNCTION("""COMPUTED_VALUE"""),43737.14775020833)</f>
        <v>43737.14775</v>
      </c>
      <c r="B685" t="str">
        <f>IFERROR(__xludf.DUMMYFUNCTION("""COMPUTED_VALUE"""),"Vu")</f>
        <v>Vu</v>
      </c>
      <c r="C685" t="str">
        <f>IFERROR(__xludf.DUMMYFUNCTION("""COMPUTED_VALUE"""),"North Texas")</f>
        <v>North Texas</v>
      </c>
      <c r="D685">
        <f>IFERROR(__xludf.DUMMYFUNCTION("""COMPUTED_VALUE"""),2.0)</f>
        <v>2</v>
      </c>
      <c r="E685">
        <f>IFERROR(__xludf.DUMMYFUNCTION("""COMPUTED_VALUE"""),3.0)</f>
        <v>3</v>
      </c>
      <c r="F685" t="str">
        <f>IFERROR(__xludf.DUMMYFUNCTION("""COMPUTED_VALUE"""),"Pac-12 Bay Area")</f>
        <v>Pac-12 Bay Area</v>
      </c>
      <c r="G685" t="str">
        <f>IFERROR(__xludf.DUMMYFUNCTION("""COMPUTED_VALUE"""),"Houston 46 at North Texas 25")</f>
        <v>Houston 46 at North Texas 25</v>
      </c>
      <c r="H685" t="str">
        <f>IFERROR(__xludf.DUMMYFUNCTION("""COMPUTED_VALUE"""),"FINAL")</f>
        <v>FINAL</v>
      </c>
      <c r="I685" t="str">
        <f>IFERROR(__xludf.DUMMYFUNCTION("""COMPUTED_VALUE"""),"-7½")</f>
        <v>-7½</v>
      </c>
      <c r="J685">
        <f>IFERROR(__xludf.DUMMYFUNCTION("""COMPUTED_VALUE"""),59.0)</f>
        <v>59</v>
      </c>
      <c r="K685" t="str">
        <f>IFERROR(__xludf.DUMMYFUNCTION("""COMPUTED_VALUE"""),"Nico")</f>
        <v>Nico</v>
      </c>
      <c r="L685">
        <f>IFERROR(__xludf.DUMMYFUNCTION("""COMPUTED_VALUE"""),9999.0)</f>
        <v>9999</v>
      </c>
      <c r="M685" s="124">
        <v>5.0</v>
      </c>
    </row>
    <row r="686">
      <c r="A686" s="151">
        <f>IFERROR(__xludf.DUMMYFUNCTION("""COMPUTED_VALUE"""),43737.14775020833)</f>
        <v>43737.14775</v>
      </c>
      <c r="B686" t="str">
        <f>IFERROR(__xludf.DUMMYFUNCTION("""COMPUTED_VALUE"""),"Vu")</f>
        <v>Vu</v>
      </c>
      <c r="C686" t="str">
        <f>IFERROR(__xludf.DUMMYFUNCTION("""COMPUTED_VALUE"""),"TCU")</f>
        <v>TCU</v>
      </c>
      <c r="D686">
        <f>IFERROR(__xludf.DUMMYFUNCTION("""COMPUTED_VALUE"""),3.0)</f>
        <v>3</v>
      </c>
      <c r="E686">
        <f>IFERROR(__xludf.DUMMYFUNCTION("""COMPUTED_VALUE"""),1.0)</f>
        <v>1</v>
      </c>
      <c r="F686" t="str">
        <f>IFERROR(__xludf.DUMMYFUNCTION("""COMPUTED_VALUE"""),"BTN")</f>
        <v>BTN</v>
      </c>
      <c r="G686" t="str">
        <f>IFERROR(__xludf.DUMMYFUNCTION("""COMPUTED_VALUE"""),"Kansas 14 at TCU 51")</f>
        <v>Kansas 14 at TCU 51</v>
      </c>
      <c r="H686" t="str">
        <f>IFERROR(__xludf.DUMMYFUNCTION("""COMPUTED_VALUE"""),"FINAL")</f>
        <v>FINAL</v>
      </c>
      <c r="I686" t="str">
        <f>IFERROR(__xludf.DUMMYFUNCTION("""COMPUTED_VALUE"""),"-15½")</f>
        <v>-15½</v>
      </c>
      <c r="J686">
        <f>IFERROR(__xludf.DUMMYFUNCTION("""COMPUTED_VALUE"""),49.0)</f>
        <v>49</v>
      </c>
      <c r="K686" t="str">
        <f>IFERROR(__xludf.DUMMYFUNCTION("""COMPUTED_VALUE"""),"Josh R.")</f>
        <v>Josh R.</v>
      </c>
      <c r="L686">
        <f>IFERROR(__xludf.DUMMYFUNCTION("""COMPUTED_VALUE"""),9999.0)</f>
        <v>9999</v>
      </c>
      <c r="M686" s="124">
        <v>5.0</v>
      </c>
    </row>
    <row r="687">
      <c r="A687" s="151">
        <f>IFERROR(__xludf.DUMMYFUNCTION("""COMPUTED_VALUE"""),43737.14775020833)</f>
        <v>43737.14775</v>
      </c>
      <c r="B687" t="str">
        <f>IFERROR(__xludf.DUMMYFUNCTION("""COMPUTED_VALUE"""),"Vu")</f>
        <v>Vu</v>
      </c>
      <c r="C687" t="str">
        <f>IFERROR(__xludf.DUMMYFUNCTION("""COMPUTED_VALUE"""),"Michigan")</f>
        <v>Michigan</v>
      </c>
      <c r="D687">
        <f>IFERROR(__xludf.DUMMYFUNCTION("""COMPUTED_VALUE"""),3.0)</f>
        <v>3</v>
      </c>
      <c r="E687">
        <f>IFERROR(__xludf.DUMMYFUNCTION("""COMPUTED_VALUE"""),1.0)</f>
        <v>1</v>
      </c>
      <c r="F687" t="str">
        <f>IFERROR(__xludf.DUMMYFUNCTION("""COMPUTED_VALUE"""),"NA")</f>
        <v>NA</v>
      </c>
      <c r="G687" t="str">
        <f>IFERROR(__xludf.DUMMYFUNCTION("""COMPUTED_VALUE"""),"Rutgers 0 at (20) Michigan 52")</f>
        <v>Rutgers 0 at (20) Michigan 52</v>
      </c>
      <c r="H687" t="str">
        <f>IFERROR(__xludf.DUMMYFUNCTION("""COMPUTED_VALUE"""),"FINAL")</f>
        <v>FINAL</v>
      </c>
      <c r="I687" t="str">
        <f>IFERROR(__xludf.DUMMYFUNCTION("""COMPUTED_VALUE"""),"-27½")</f>
        <v>-27½</v>
      </c>
      <c r="J687">
        <f>IFERROR(__xludf.DUMMYFUNCTION("""COMPUTED_VALUE"""),49.0)</f>
        <v>49</v>
      </c>
      <c r="K687" t="str">
        <f>IFERROR(__xludf.DUMMYFUNCTION("""COMPUTED_VALUE"""),"Undrafted")</f>
        <v>Undrafted</v>
      </c>
      <c r="L687">
        <f>IFERROR(__xludf.DUMMYFUNCTION("""COMPUTED_VALUE"""),9999.0)</f>
        <v>9999</v>
      </c>
      <c r="M687" s="124">
        <v>5.0</v>
      </c>
    </row>
    <row r="688">
      <c r="A688" s="151">
        <f>IFERROR(__xludf.DUMMYFUNCTION("""COMPUTED_VALUE"""),43737.14775020833)</f>
        <v>43737.14775</v>
      </c>
      <c r="B688" t="str">
        <f>IFERROR(__xludf.DUMMYFUNCTION("""COMPUTED_VALUE"""),"Vu")</f>
        <v>Vu</v>
      </c>
      <c r="C688" t="str">
        <f>IFERROR(__xludf.DUMMYFUNCTION("""COMPUTED_VALUE"""),"Kent State")</f>
        <v>Kent State</v>
      </c>
      <c r="D688">
        <f>IFERROR(__xludf.DUMMYFUNCTION("""COMPUTED_VALUE"""),2.0)</f>
        <v>2</v>
      </c>
      <c r="E688">
        <f>IFERROR(__xludf.DUMMYFUNCTION("""COMPUTED_VALUE"""),2.0)</f>
        <v>2</v>
      </c>
      <c r="F688" t="str">
        <f>IFERROR(__xludf.DUMMYFUNCTION("""COMPUTED_VALUE"""),"ESPN2 or ESPNU")</f>
        <v>ESPN2 or ESPNU</v>
      </c>
      <c r="G688" t="str">
        <f>IFERROR(__xludf.DUMMYFUNCTION("""COMPUTED_VALUE"""),"BYE")</f>
        <v>BYE</v>
      </c>
      <c r="I688" t="str">
        <f>IFERROR(__xludf.DUMMYFUNCTION("""COMPUTED_VALUE"""),"bye")</f>
        <v>bye</v>
      </c>
      <c r="J688" t="str">
        <f>IFERROR(__xludf.DUMMYFUNCTION("""COMPUTED_VALUE"""),"bye")</f>
        <v>bye</v>
      </c>
      <c r="L688">
        <f>IFERROR(__xludf.DUMMYFUNCTION("""COMPUTED_VALUE"""),9999.0)</f>
        <v>9999</v>
      </c>
      <c r="M688" s="124">
        <v>5.0</v>
      </c>
    </row>
    <row r="689">
      <c r="A689" s="151">
        <f>IFERROR(__xludf.DUMMYFUNCTION("""COMPUTED_VALUE"""),43737.14775020833)</f>
        <v>43737.14775</v>
      </c>
      <c r="B689" t="str">
        <f>IFERROR(__xludf.DUMMYFUNCTION("""COMPUTED_VALUE"""),"Vu")</f>
        <v>Vu</v>
      </c>
      <c r="C689" t="str">
        <f>IFERROR(__xludf.DUMMYFUNCTION("""COMPUTED_VALUE"""),"South Alabama")</f>
        <v>South Alabama</v>
      </c>
      <c r="D689">
        <f>IFERROR(__xludf.DUMMYFUNCTION("""COMPUTED_VALUE"""),1.0)</f>
        <v>1</v>
      </c>
      <c r="E689">
        <f>IFERROR(__xludf.DUMMYFUNCTION("""COMPUTED_VALUE"""),4.0)</f>
        <v>4</v>
      </c>
      <c r="F689" t="str">
        <f>IFERROR(__xludf.DUMMYFUNCTION("""COMPUTED_VALUE"""),"ESPNU")</f>
        <v>ESPNU</v>
      </c>
      <c r="G689" t="str">
        <f>IFERROR(__xludf.DUMMYFUNCTION("""COMPUTED_VALUE"""),"South Alabama 17 at UL Monroe 30")</f>
        <v>South Alabama 17 at UL Monroe 30</v>
      </c>
      <c r="H689" t="str">
        <f>IFERROR(__xludf.DUMMYFUNCTION("""COMPUTED_VALUE"""),"FINAL")</f>
        <v>FINAL</v>
      </c>
      <c r="I689">
        <f>IFERROR(__xludf.DUMMYFUNCTION("""COMPUTED_VALUE"""),16.0)</f>
        <v>16</v>
      </c>
      <c r="J689">
        <f>IFERROR(__xludf.DUMMYFUNCTION("""COMPUTED_VALUE"""),57.0)</f>
        <v>57</v>
      </c>
      <c r="K689" t="str">
        <f>IFERROR(__xludf.DUMMYFUNCTION("""COMPUTED_VALUE"""),"Jeannine")</f>
        <v>Jeannine</v>
      </c>
      <c r="L689">
        <f>IFERROR(__xludf.DUMMYFUNCTION("""COMPUTED_VALUE"""),9999.0)</f>
        <v>9999</v>
      </c>
      <c r="M689" s="124">
        <v>5.0</v>
      </c>
    </row>
    <row r="690">
      <c r="A690" s="151">
        <f>IFERROR(__xludf.DUMMYFUNCTION("""COMPUTED_VALUE"""),43737.14775020833)</f>
        <v>43737.14775</v>
      </c>
      <c r="B690" t="str">
        <f>IFERROR(__xludf.DUMMYFUNCTION("""COMPUTED_VALUE"""),"Vu")</f>
        <v>Vu</v>
      </c>
      <c r="C690" t="str">
        <f>IFERROR(__xludf.DUMMYFUNCTION("""COMPUTED_VALUE"""),"Washington")</f>
        <v>Washington</v>
      </c>
      <c r="D690">
        <f>IFERROR(__xludf.DUMMYFUNCTION("""COMPUTED_VALUE"""),4.0)</f>
        <v>4</v>
      </c>
      <c r="E690">
        <f>IFERROR(__xludf.DUMMYFUNCTION("""COMPUTED_VALUE"""),1.0)</f>
        <v>1</v>
      </c>
      <c r="F690" t="str">
        <f>IFERROR(__xludf.DUMMYFUNCTION("""COMPUTED_VALUE"""),"Pac-12")</f>
        <v>Pac-12</v>
      </c>
      <c r="G690" t="str">
        <f>IFERROR(__xludf.DUMMYFUNCTION("""COMPUTED_VALUE"""),"(25) USC 14 at (17) Washington 28")</f>
        <v>(25) USC 14 at (17) Washington 28</v>
      </c>
      <c r="H690" t="str">
        <f>IFERROR(__xludf.DUMMYFUNCTION("""COMPUTED_VALUE"""),"FINAL")</f>
        <v>FINAL</v>
      </c>
      <c r="I690" t="str">
        <f>IFERROR(__xludf.DUMMYFUNCTION("""COMPUTED_VALUE"""),"-10½")</f>
        <v>-10½</v>
      </c>
      <c r="J690">
        <f>IFERROR(__xludf.DUMMYFUNCTION("""COMPUTED_VALUE"""),61.0)</f>
        <v>61</v>
      </c>
      <c r="K690" t="str">
        <f>IFERROR(__xludf.DUMMYFUNCTION("""COMPUTED_VALUE"""),"Josh R.")</f>
        <v>Josh R.</v>
      </c>
      <c r="L690">
        <f>IFERROR(__xludf.DUMMYFUNCTION("""COMPUTED_VALUE"""),9999.0)</f>
        <v>9999</v>
      </c>
      <c r="M690" s="124">
        <v>5.0</v>
      </c>
    </row>
    <row r="691">
      <c r="A691" s="151">
        <f>IFERROR(__xludf.DUMMYFUNCTION("""COMPUTED_VALUE"""),43737.14775020833)</f>
        <v>43737.14775</v>
      </c>
      <c r="B691" t="str">
        <f>IFERROR(__xludf.DUMMYFUNCTION("""COMPUTED_VALUE"""),"Vu")</f>
        <v>Vu</v>
      </c>
      <c r="C691" t="str">
        <f>IFERROR(__xludf.DUMMYFUNCTION("""COMPUTED_VALUE"""),"Hawaii")</f>
        <v>Hawaii</v>
      </c>
      <c r="D691">
        <f>IFERROR(__xludf.DUMMYFUNCTION("""COMPUTED_VALUE"""),4.0)</f>
        <v>4</v>
      </c>
      <c r="E691">
        <f>IFERROR(__xludf.DUMMYFUNCTION("""COMPUTED_VALUE"""),1.0)</f>
        <v>1</v>
      </c>
      <c r="F691" t="str">
        <f>IFERROR(__xludf.DUMMYFUNCTION("""COMPUTED_VALUE"""),"Pac-12")</f>
        <v>Pac-12</v>
      </c>
      <c r="G691" t="str">
        <f>IFERROR(__xludf.DUMMYFUNCTION("""COMPUTED_VALUE"""),"Hawaii 54 at Nevada 3")</f>
        <v>Hawaii 54 at Nevada 3</v>
      </c>
      <c r="H691" t="str">
        <f>IFERROR(__xludf.DUMMYFUNCTION("""COMPUTED_VALUE"""),"FINAL")</f>
        <v>FINAL</v>
      </c>
      <c r="I691" t="str">
        <f>IFERROR(__xludf.DUMMYFUNCTION("""COMPUTED_VALUE"""),"2½")</f>
        <v>2½</v>
      </c>
      <c r="J691">
        <f>IFERROR(__xludf.DUMMYFUNCTION("""COMPUTED_VALUE"""),65.0)</f>
        <v>65</v>
      </c>
      <c r="K691" t="str">
        <f>IFERROR(__xludf.DUMMYFUNCTION("""COMPUTED_VALUE"""),"Josh R.")</f>
        <v>Josh R.</v>
      </c>
      <c r="L691">
        <f>IFERROR(__xludf.DUMMYFUNCTION("""COMPUTED_VALUE"""),9999.0)</f>
        <v>9999</v>
      </c>
      <c r="M691" s="124">
        <v>5.0</v>
      </c>
    </row>
    <row r="692">
      <c r="A692" s="151">
        <f>IFERROR(__xludf.DUMMYFUNCTION("""COMPUTED_VALUE"""),43737.14775020833)</f>
        <v>43737.14775</v>
      </c>
      <c r="B692" t="str">
        <f>IFERROR(__xludf.DUMMYFUNCTION("""COMPUTED_VALUE"""),"Josh R.")</f>
        <v>Josh R.</v>
      </c>
      <c r="C692" t="str">
        <f>IFERROR(__xludf.DUMMYFUNCTION("""COMPUTED_VALUE"""),"Army")</f>
        <v>Army</v>
      </c>
      <c r="D692">
        <f>IFERROR(__xludf.DUMMYFUNCTION("""COMPUTED_VALUE"""),3.0)</f>
        <v>3</v>
      </c>
      <c r="E692">
        <f>IFERROR(__xludf.DUMMYFUNCTION("""COMPUTED_VALUE"""),1.0)</f>
        <v>1</v>
      </c>
      <c r="F692" t="str">
        <f>IFERROR(__xludf.DUMMYFUNCTION("""COMPUTED_VALUE"""),"NFL Network")</f>
        <v>NFL Network</v>
      </c>
      <c r="G692" t="str">
        <f>IFERROR(__xludf.DUMMYFUNCTION("""COMPUTED_VALUE"""),"BYE")</f>
        <v>BYE</v>
      </c>
      <c r="I692" t="str">
        <f>IFERROR(__xludf.DUMMYFUNCTION("""COMPUTED_VALUE"""),"bye")</f>
        <v>bye</v>
      </c>
      <c r="J692" t="str">
        <f>IFERROR(__xludf.DUMMYFUNCTION("""COMPUTED_VALUE"""),"bye")</f>
        <v>bye</v>
      </c>
      <c r="L692">
        <f>IFERROR(__xludf.DUMMYFUNCTION("""COMPUTED_VALUE"""),9999.0)</f>
        <v>9999</v>
      </c>
      <c r="M692" s="124">
        <v>5.0</v>
      </c>
    </row>
    <row r="693">
      <c r="A693" s="151">
        <f>IFERROR(__xludf.DUMMYFUNCTION("""COMPUTED_VALUE"""),43737.14775020833)</f>
        <v>43737.14775</v>
      </c>
      <c r="B693" t="str">
        <f>IFERROR(__xludf.DUMMYFUNCTION("""COMPUTED_VALUE"""),"Josh R.")</f>
        <v>Josh R.</v>
      </c>
      <c r="C693" t="str">
        <f>IFERROR(__xludf.DUMMYFUNCTION("""COMPUTED_VALUE"""),"Southern Mississippi")</f>
        <v>Southern Mississippi</v>
      </c>
      <c r="D693">
        <f>IFERROR(__xludf.DUMMYFUNCTION("""COMPUTED_VALUE"""),3.0)</f>
        <v>3</v>
      </c>
      <c r="E693">
        <f>IFERROR(__xludf.DUMMYFUNCTION("""COMPUTED_VALUE"""),2.0)</f>
        <v>2</v>
      </c>
      <c r="F693" t="str">
        <f>IFERROR(__xludf.DUMMYFUNCTION("""COMPUTED_VALUE"""),"NA")</f>
        <v>NA</v>
      </c>
      <c r="G693" t="str">
        <f>IFERROR(__xludf.DUMMYFUNCTION("""COMPUTED_VALUE"""),"UTEP 13 at Southern Mississippi 31")</f>
        <v>UTEP 13 at Southern Mississippi 31</v>
      </c>
      <c r="H693" t="str">
        <f>IFERROR(__xludf.DUMMYFUNCTION("""COMPUTED_VALUE"""),"FINAL")</f>
        <v>FINAL</v>
      </c>
      <c r="I693" t="str">
        <f>IFERROR(__xludf.DUMMYFUNCTION("""COMPUTED_VALUE"""),"-26½")</f>
        <v>-26½</v>
      </c>
      <c r="J693">
        <f>IFERROR(__xludf.DUMMYFUNCTION("""COMPUTED_VALUE"""),49.0)</f>
        <v>49</v>
      </c>
      <c r="K693" t="str">
        <f>IFERROR(__xludf.DUMMYFUNCTION("""COMPUTED_VALUE"""),"Undrafted")</f>
        <v>Undrafted</v>
      </c>
      <c r="L693">
        <f>IFERROR(__xludf.DUMMYFUNCTION("""COMPUTED_VALUE"""),9999.0)</f>
        <v>9999</v>
      </c>
      <c r="M693" s="124">
        <v>5.0</v>
      </c>
    </row>
    <row r="694">
      <c r="A694" s="151">
        <f>IFERROR(__xludf.DUMMYFUNCTION("""COMPUTED_VALUE"""),43737.14775020833)</f>
        <v>43737.14775</v>
      </c>
      <c r="B694" t="str">
        <f>IFERROR(__xludf.DUMMYFUNCTION("""COMPUTED_VALUE"""),"Josh R.")</f>
        <v>Josh R.</v>
      </c>
      <c r="C694" t="str">
        <f>IFERROR(__xludf.DUMMYFUNCTION("""COMPUTED_VALUE"""),"Nevada")</f>
        <v>Nevada</v>
      </c>
      <c r="D694">
        <f>IFERROR(__xludf.DUMMYFUNCTION("""COMPUTED_VALUE"""),3.0)</f>
        <v>3</v>
      </c>
      <c r="E694">
        <f>IFERROR(__xludf.DUMMYFUNCTION("""COMPUTED_VALUE"""),2.0)</f>
        <v>2</v>
      </c>
      <c r="F694" t="str">
        <f>IFERROR(__xludf.DUMMYFUNCTION("""COMPUTED_VALUE"""),"espn3 Video")</f>
        <v>espn3 Video</v>
      </c>
      <c r="G694" t="str">
        <f>IFERROR(__xludf.DUMMYFUNCTION("""COMPUTED_VALUE"""),"Hawaii 54 at Nevada 3")</f>
        <v>Hawaii 54 at Nevada 3</v>
      </c>
      <c r="H694" t="str">
        <f>IFERROR(__xludf.DUMMYFUNCTION("""COMPUTED_VALUE"""),"FINAL")</f>
        <v>FINAL</v>
      </c>
      <c r="I694" t="str">
        <f>IFERROR(__xludf.DUMMYFUNCTION("""COMPUTED_VALUE"""),"-2½")</f>
        <v>-2½</v>
      </c>
      <c r="J694">
        <f>IFERROR(__xludf.DUMMYFUNCTION("""COMPUTED_VALUE"""),65.0)</f>
        <v>65</v>
      </c>
      <c r="K694" t="str">
        <f>IFERROR(__xludf.DUMMYFUNCTION("""COMPUTED_VALUE"""),"Vu")</f>
        <v>Vu</v>
      </c>
      <c r="L694">
        <f>IFERROR(__xludf.DUMMYFUNCTION("""COMPUTED_VALUE"""),9999.0)</f>
        <v>9999</v>
      </c>
      <c r="M694" s="124">
        <v>5.0</v>
      </c>
    </row>
    <row r="695">
      <c r="A695" s="151">
        <f>IFERROR(__xludf.DUMMYFUNCTION("""COMPUTED_VALUE"""),43737.14775020833)</f>
        <v>43737.14775</v>
      </c>
      <c r="B695" t="str">
        <f>IFERROR(__xludf.DUMMYFUNCTION("""COMPUTED_VALUE"""),"Josh R.")</f>
        <v>Josh R.</v>
      </c>
      <c r="C695" t="str">
        <f>IFERROR(__xludf.DUMMYFUNCTION("""COMPUTED_VALUE"""),"Toledo")</f>
        <v>Toledo</v>
      </c>
      <c r="D695">
        <f>IFERROR(__xludf.DUMMYFUNCTION("""COMPUTED_VALUE"""),3.0)</f>
        <v>3</v>
      </c>
      <c r="E695">
        <f>IFERROR(__xludf.DUMMYFUNCTION("""COMPUTED_VALUE"""),1.0)</f>
        <v>1</v>
      </c>
      <c r="F695" t="str">
        <f>IFERROR(__xludf.DUMMYFUNCTION("""COMPUTED_VALUE"""),"espn3 Video")</f>
        <v>espn3 Video</v>
      </c>
      <c r="G695" t="str">
        <f>IFERROR(__xludf.DUMMYFUNCTION("""COMPUTED_VALUE"""),"BYU 21 at Toledo 28")</f>
        <v>BYU 21 at Toledo 28</v>
      </c>
      <c r="H695" t="str">
        <f>IFERROR(__xludf.DUMMYFUNCTION("""COMPUTED_VALUE"""),"FINAL")</f>
        <v>FINAL</v>
      </c>
      <c r="I695" t="str">
        <f>IFERROR(__xludf.DUMMYFUNCTION("""COMPUTED_VALUE"""),"2½")</f>
        <v>2½</v>
      </c>
      <c r="J695" t="str">
        <f>IFERROR(__xludf.DUMMYFUNCTION("""COMPUTED_VALUE"""),"60½")</f>
        <v>60½</v>
      </c>
      <c r="K695" t="str">
        <f>IFERROR(__xludf.DUMMYFUNCTION("""COMPUTED_VALUE"""),"Gary")</f>
        <v>Gary</v>
      </c>
      <c r="L695">
        <f>IFERROR(__xludf.DUMMYFUNCTION("""COMPUTED_VALUE"""),9999.0)</f>
        <v>9999</v>
      </c>
      <c r="M695" s="124">
        <v>5.0</v>
      </c>
    </row>
    <row r="696">
      <c r="A696" s="151">
        <f>IFERROR(__xludf.DUMMYFUNCTION("""COMPUTED_VALUE"""),43737.14775020833)</f>
        <v>43737.14775</v>
      </c>
      <c r="B696" t="str">
        <f>IFERROR(__xludf.DUMMYFUNCTION("""COMPUTED_VALUE"""),"Josh R.")</f>
        <v>Josh R.</v>
      </c>
      <c r="C696" t="str">
        <f>IFERROR(__xludf.DUMMYFUNCTION("""COMPUTED_VALUE"""),"Temple")</f>
        <v>Temple</v>
      </c>
      <c r="D696">
        <f>IFERROR(__xludf.DUMMYFUNCTION("""COMPUTED_VALUE"""),3.0)</f>
        <v>3</v>
      </c>
      <c r="E696">
        <f>IFERROR(__xludf.DUMMYFUNCTION("""COMPUTED_VALUE"""),1.0)</f>
        <v>1</v>
      </c>
      <c r="F696" t="str">
        <f>IFERROR(__xludf.DUMMYFUNCTION("""COMPUTED_VALUE"""),"CBSSN")</f>
        <v>CBSSN</v>
      </c>
      <c r="G696" t="str">
        <f>IFERROR(__xludf.DUMMYFUNCTION("""COMPUTED_VALUE"""),"Georgia Tech 2 at Temple 24")</f>
        <v>Georgia Tech 2 at Temple 24</v>
      </c>
      <c r="H696" t="str">
        <f>IFERROR(__xludf.DUMMYFUNCTION("""COMPUTED_VALUE"""),"FINAL")</f>
        <v>FINAL</v>
      </c>
      <c r="I696" t="str">
        <f>IFERROR(__xludf.DUMMYFUNCTION("""COMPUTED_VALUE"""),"-8½")</f>
        <v>-8½</v>
      </c>
      <c r="J696">
        <f>IFERROR(__xludf.DUMMYFUNCTION("""COMPUTED_VALUE"""),49.0)</f>
        <v>49</v>
      </c>
      <c r="K696" t="str">
        <f>IFERROR(__xludf.DUMMYFUNCTION("""COMPUTED_VALUE"""),"Undrafted")</f>
        <v>Undrafted</v>
      </c>
      <c r="L696">
        <f>IFERROR(__xludf.DUMMYFUNCTION("""COMPUTED_VALUE"""),9999.0)</f>
        <v>9999</v>
      </c>
      <c r="M696" s="124">
        <v>5.0</v>
      </c>
    </row>
    <row r="697">
      <c r="A697" s="151">
        <f>IFERROR(__xludf.DUMMYFUNCTION("""COMPUTED_VALUE"""),43737.14775020833)</f>
        <v>43737.14775</v>
      </c>
      <c r="B697" t="str">
        <f>IFERROR(__xludf.DUMMYFUNCTION("""COMPUTED_VALUE"""),"Josh R.")</f>
        <v>Josh R.</v>
      </c>
      <c r="C697" t="str">
        <f>IFERROR(__xludf.DUMMYFUNCTION("""COMPUTED_VALUE"""),"Florida State")</f>
        <v>Florida State</v>
      </c>
      <c r="D697">
        <f>IFERROR(__xludf.DUMMYFUNCTION("""COMPUTED_VALUE"""),3.0)</f>
        <v>3</v>
      </c>
      <c r="E697">
        <f>IFERROR(__xludf.DUMMYFUNCTION("""COMPUTED_VALUE"""),2.0)</f>
        <v>2</v>
      </c>
      <c r="F697" t="str">
        <f>IFERROR(__xludf.DUMMYFUNCTION("""COMPUTED_VALUE"""),"ACC Network")</f>
        <v>ACC Network</v>
      </c>
      <c r="G697" t="str">
        <f>IFERROR(__xludf.DUMMYFUNCTION("""COMPUTED_VALUE"""),"NC State 13 at Florida State 31")</f>
        <v>NC State 13 at Florida State 31</v>
      </c>
      <c r="H697" t="str">
        <f>IFERROR(__xludf.DUMMYFUNCTION("""COMPUTED_VALUE"""),"FINAL")</f>
        <v>FINAL</v>
      </c>
      <c r="I697" t="str">
        <f>IFERROR(__xludf.DUMMYFUNCTION("""COMPUTED_VALUE"""),"-6½")</f>
        <v>-6½</v>
      </c>
      <c r="J697" t="str">
        <f>IFERROR(__xludf.DUMMYFUNCTION("""COMPUTED_VALUE"""),"61½")</f>
        <v>61½</v>
      </c>
      <c r="K697" t="str">
        <f>IFERROR(__xludf.DUMMYFUNCTION("""COMPUTED_VALUE"""),"Nick G.")</f>
        <v>Nick G.</v>
      </c>
      <c r="L697">
        <f>IFERROR(__xludf.DUMMYFUNCTION("""COMPUTED_VALUE"""),9999.0)</f>
        <v>9999</v>
      </c>
      <c r="M697" s="124">
        <v>5.0</v>
      </c>
    </row>
    <row r="698">
      <c r="A698" s="151">
        <f>IFERROR(__xludf.DUMMYFUNCTION("""COMPUTED_VALUE"""),43737.14775020833)</f>
        <v>43737.14775</v>
      </c>
      <c r="B698" t="str">
        <f>IFERROR(__xludf.DUMMYFUNCTION("""COMPUTED_VALUE"""),"Josh R.")</f>
        <v>Josh R.</v>
      </c>
      <c r="C698" t="str">
        <f>IFERROR(__xludf.DUMMYFUNCTION("""COMPUTED_VALUE"""),"Kansas")</f>
        <v>Kansas</v>
      </c>
      <c r="D698">
        <f>IFERROR(__xludf.DUMMYFUNCTION("""COMPUTED_VALUE"""),2.0)</f>
        <v>2</v>
      </c>
      <c r="E698">
        <f>IFERROR(__xludf.DUMMYFUNCTION("""COMPUTED_VALUE"""),3.0)</f>
        <v>3</v>
      </c>
      <c r="F698" t="str">
        <f>IFERROR(__xludf.DUMMYFUNCTION("""COMPUTED_VALUE"""),"ACC Network")</f>
        <v>ACC Network</v>
      </c>
      <c r="G698" t="str">
        <f>IFERROR(__xludf.DUMMYFUNCTION("""COMPUTED_VALUE"""),"Kansas 14 at TCU 51")</f>
        <v>Kansas 14 at TCU 51</v>
      </c>
      <c r="H698" t="str">
        <f>IFERROR(__xludf.DUMMYFUNCTION("""COMPUTED_VALUE"""),"FINAL")</f>
        <v>FINAL</v>
      </c>
      <c r="I698" t="str">
        <f>IFERROR(__xludf.DUMMYFUNCTION("""COMPUTED_VALUE"""),"15½")</f>
        <v>15½</v>
      </c>
      <c r="J698">
        <f>IFERROR(__xludf.DUMMYFUNCTION("""COMPUTED_VALUE"""),49.0)</f>
        <v>49</v>
      </c>
      <c r="K698" t="str">
        <f>IFERROR(__xludf.DUMMYFUNCTION("""COMPUTED_VALUE"""),"Vu")</f>
        <v>Vu</v>
      </c>
      <c r="L698">
        <f>IFERROR(__xludf.DUMMYFUNCTION("""COMPUTED_VALUE"""),9999.0)</f>
        <v>9999</v>
      </c>
      <c r="M698" s="124">
        <v>5.0</v>
      </c>
    </row>
    <row r="699">
      <c r="A699" s="151">
        <f>IFERROR(__xludf.DUMMYFUNCTION("""COMPUTED_VALUE"""),43737.14775020833)</f>
        <v>43737.14775</v>
      </c>
      <c r="B699" t="str">
        <f>IFERROR(__xludf.DUMMYFUNCTION("""COMPUTED_VALUE"""),"Josh R.")</f>
        <v>Josh R.</v>
      </c>
      <c r="C699" t="str">
        <f>IFERROR(__xludf.DUMMYFUNCTION("""COMPUTED_VALUE"""),"Kentucky")</f>
        <v>Kentucky</v>
      </c>
      <c r="D699">
        <f>IFERROR(__xludf.DUMMYFUNCTION("""COMPUTED_VALUE"""),2.0)</f>
        <v>2</v>
      </c>
      <c r="E699">
        <f>IFERROR(__xludf.DUMMYFUNCTION("""COMPUTED_VALUE"""),3.0)</f>
        <v>3</v>
      </c>
      <c r="F699" t="str">
        <f>IFERROR(__xludf.DUMMYFUNCTION("""COMPUTED_VALUE"""),"ESPN")</f>
        <v>ESPN</v>
      </c>
      <c r="G699" t="str">
        <f>IFERROR(__xludf.DUMMYFUNCTION("""COMPUTED_VALUE"""),"Kentucky 7 at South Carolina 24")</f>
        <v>Kentucky 7 at South Carolina 24</v>
      </c>
      <c r="H699" t="str">
        <f>IFERROR(__xludf.DUMMYFUNCTION("""COMPUTED_VALUE"""),"FINAL")</f>
        <v>FINAL</v>
      </c>
      <c r="I699">
        <f>IFERROR(__xludf.DUMMYFUNCTION("""COMPUTED_VALUE"""),3.0)</f>
        <v>3</v>
      </c>
      <c r="J699">
        <f>IFERROR(__xludf.DUMMYFUNCTION("""COMPUTED_VALUE"""),53.0)</f>
        <v>53</v>
      </c>
      <c r="K699" t="str">
        <f>IFERROR(__xludf.DUMMYFUNCTION("""COMPUTED_VALUE"""),"Brad")</f>
        <v>Brad</v>
      </c>
      <c r="L699">
        <f>IFERROR(__xludf.DUMMYFUNCTION("""COMPUTED_VALUE"""),9999.0)</f>
        <v>9999</v>
      </c>
      <c r="M699" s="124">
        <v>5.0</v>
      </c>
    </row>
    <row r="700">
      <c r="A700" s="151">
        <f>IFERROR(__xludf.DUMMYFUNCTION("""COMPUTED_VALUE"""),43737.14775020833)</f>
        <v>43737.14775</v>
      </c>
      <c r="B700" t="str">
        <f>IFERROR(__xludf.DUMMYFUNCTION("""COMPUTED_VALUE"""),"Josh R.")</f>
        <v>Josh R.</v>
      </c>
      <c r="C700" t="str">
        <f>IFERROR(__xludf.DUMMYFUNCTION("""COMPUTED_VALUE"""),"USC")</f>
        <v>USC</v>
      </c>
      <c r="D700">
        <f>IFERROR(__xludf.DUMMYFUNCTION("""COMPUTED_VALUE"""),3.0)</f>
        <v>3</v>
      </c>
      <c r="E700">
        <f>IFERROR(__xludf.DUMMYFUNCTION("""COMPUTED_VALUE"""),2.0)</f>
        <v>2</v>
      </c>
      <c r="F700" t="str">
        <f>IFERROR(__xludf.DUMMYFUNCTION("""COMPUTED_VALUE"""),"ABC")</f>
        <v>ABC</v>
      </c>
      <c r="G700" t="str">
        <f>IFERROR(__xludf.DUMMYFUNCTION("""COMPUTED_VALUE"""),"(25) USC 14 at (17) Washington 28")</f>
        <v>(25) USC 14 at (17) Washington 28</v>
      </c>
      <c r="H700" t="str">
        <f>IFERROR(__xludf.DUMMYFUNCTION("""COMPUTED_VALUE"""),"FINAL")</f>
        <v>FINAL</v>
      </c>
      <c r="I700" t="str">
        <f>IFERROR(__xludf.DUMMYFUNCTION("""COMPUTED_VALUE"""),"10½")</f>
        <v>10½</v>
      </c>
      <c r="J700">
        <f>IFERROR(__xludf.DUMMYFUNCTION("""COMPUTED_VALUE"""),61.0)</f>
        <v>61</v>
      </c>
      <c r="K700" t="str">
        <f>IFERROR(__xludf.DUMMYFUNCTION("""COMPUTED_VALUE"""),"Vu")</f>
        <v>Vu</v>
      </c>
      <c r="L700">
        <f>IFERROR(__xludf.DUMMYFUNCTION("""COMPUTED_VALUE"""),9999.0)</f>
        <v>9999</v>
      </c>
      <c r="M700" s="124">
        <v>5.0</v>
      </c>
    </row>
    <row r="701">
      <c r="A701" s="151">
        <f>IFERROR(__xludf.DUMMYFUNCTION("""COMPUTED_VALUE"""),43737.14775020833)</f>
        <v>43737.14775</v>
      </c>
      <c r="B701" t="str">
        <f>IFERROR(__xludf.DUMMYFUNCTION("""COMPUTED_VALUE"""),"Josh R.")</f>
        <v>Josh R.</v>
      </c>
      <c r="C701" t="str">
        <f>IFERROR(__xludf.DUMMYFUNCTION("""COMPUTED_VALUE"""),"Minnesota")</f>
        <v>Minnesota</v>
      </c>
      <c r="D701">
        <f>IFERROR(__xludf.DUMMYFUNCTION("""COMPUTED_VALUE"""),4.0)</f>
        <v>4</v>
      </c>
      <c r="E701">
        <f>IFERROR(__xludf.DUMMYFUNCTION("""COMPUTED_VALUE"""),0.0)</f>
        <v>0</v>
      </c>
      <c r="F701" t="str">
        <f>IFERROR(__xludf.DUMMYFUNCTION("""COMPUTED_VALUE"""),"BTN")</f>
        <v>BTN</v>
      </c>
      <c r="G701" t="str">
        <f>IFERROR(__xludf.DUMMYFUNCTION("""COMPUTED_VALUE"""),"Minnesota 38 at Purdue 31")</f>
        <v>Minnesota 38 at Purdue 31</v>
      </c>
      <c r="H701" t="str">
        <f>IFERROR(__xludf.DUMMYFUNCTION("""COMPUTED_VALUE"""),"FINAL")</f>
        <v>FINAL</v>
      </c>
      <c r="I701">
        <f>IFERROR(__xludf.DUMMYFUNCTION("""COMPUTED_VALUE"""),-1.0)</f>
        <v>-1</v>
      </c>
      <c r="J701" t="str">
        <f>IFERROR(__xludf.DUMMYFUNCTION("""COMPUTED_VALUE"""),"53½")</f>
        <v>53½</v>
      </c>
      <c r="K701" t="str">
        <f>IFERROR(__xludf.DUMMYFUNCTION("""COMPUTED_VALUE"""),"Nico")</f>
        <v>Nico</v>
      </c>
      <c r="L701">
        <f>IFERROR(__xludf.DUMMYFUNCTION("""COMPUTED_VALUE"""),9999.0)</f>
        <v>9999</v>
      </c>
      <c r="M701" s="124">
        <v>5.0</v>
      </c>
    </row>
    <row r="702">
      <c r="A702" s="151">
        <f>IFERROR(__xludf.DUMMYFUNCTION("""COMPUTED_VALUE"""),43737.14775020833)</f>
        <v>43737.14775</v>
      </c>
      <c r="B702" t="str">
        <f>IFERROR(__xludf.DUMMYFUNCTION("""COMPUTED_VALUE"""),"Brad")</f>
        <v>Brad</v>
      </c>
      <c r="C702" t="str">
        <f>IFERROR(__xludf.DUMMYFUNCTION("""COMPUTED_VALUE"""),"Texas State")</f>
        <v>Texas State</v>
      </c>
      <c r="D702">
        <f>IFERROR(__xludf.DUMMYFUNCTION("""COMPUTED_VALUE"""),2.0)</f>
        <v>2</v>
      </c>
      <c r="E702">
        <f>IFERROR(__xludf.DUMMYFUNCTION("""COMPUTED_VALUE"""),3.0)</f>
        <v>3</v>
      </c>
      <c r="F702" t="str">
        <f>IFERROR(__xludf.DUMMYFUNCTION("""COMPUTED_VALUE"""),"espn3 Video")</f>
        <v>espn3 Video</v>
      </c>
      <c r="G702" t="str">
        <f>IFERROR(__xludf.DUMMYFUNCTION("""COMPUTED_VALUE"""),"Nicholls 3 at Texas State 24")</f>
        <v>Nicholls 3 at Texas State 24</v>
      </c>
      <c r="H702" t="str">
        <f>IFERROR(__xludf.DUMMYFUNCTION("""COMPUTED_VALUE"""),"FINAL")</f>
        <v>FINAL</v>
      </c>
      <c r="I702" t="str">
        <f>IFERROR(__xludf.DUMMYFUNCTION("""COMPUTED_VALUE"""),"No Line")</f>
        <v>No Line</v>
      </c>
      <c r="K702" t="str">
        <f>IFERROR(__xludf.DUMMYFUNCTION("""COMPUTED_VALUE"""),"Undrafted")</f>
        <v>Undrafted</v>
      </c>
      <c r="L702">
        <f>IFERROR(__xludf.DUMMYFUNCTION("""COMPUTED_VALUE"""),9999.0)</f>
        <v>9999</v>
      </c>
      <c r="M702" s="124">
        <v>5.0</v>
      </c>
    </row>
    <row r="703">
      <c r="A703" s="151">
        <f>IFERROR(__xludf.DUMMYFUNCTION("""COMPUTED_VALUE"""),43737.14775020833)</f>
        <v>43737.14775</v>
      </c>
      <c r="B703" t="str">
        <f>IFERROR(__xludf.DUMMYFUNCTION("""COMPUTED_VALUE"""),"Brad")</f>
        <v>Brad</v>
      </c>
      <c r="C703" t="str">
        <f>IFERROR(__xludf.DUMMYFUNCTION("""COMPUTED_VALUE"""),"EMU")</f>
        <v>EMU</v>
      </c>
      <c r="D703">
        <f>IFERROR(__xludf.DUMMYFUNCTION("""COMPUTED_VALUE"""),3.0)</f>
        <v>3</v>
      </c>
      <c r="E703">
        <f>IFERROR(__xludf.DUMMYFUNCTION("""COMPUTED_VALUE"""),1.0)</f>
        <v>1</v>
      </c>
      <c r="F703" t="str">
        <f>IFERROR(__xludf.DUMMYFUNCTION("""COMPUTED_VALUE"""),"NA")</f>
        <v>NA</v>
      </c>
      <c r="G703" t="str">
        <f>IFERROR(__xludf.DUMMYFUNCTION("""COMPUTED_VALUE"""),"BYE")</f>
        <v>BYE</v>
      </c>
      <c r="I703" t="str">
        <f>IFERROR(__xludf.DUMMYFUNCTION("""COMPUTED_VALUE"""),"bye")</f>
        <v>bye</v>
      </c>
      <c r="J703" t="str">
        <f>IFERROR(__xludf.DUMMYFUNCTION("""COMPUTED_VALUE"""),"bye")</f>
        <v>bye</v>
      </c>
      <c r="L703">
        <f>IFERROR(__xludf.DUMMYFUNCTION("""COMPUTED_VALUE"""),9999.0)</f>
        <v>9999</v>
      </c>
      <c r="M703" s="124">
        <v>5.0</v>
      </c>
    </row>
    <row r="704">
      <c r="A704" s="151">
        <f>IFERROR(__xludf.DUMMYFUNCTION("""COMPUTED_VALUE"""),43737.14775020833)</f>
        <v>43737.14775</v>
      </c>
      <c r="B704" t="str">
        <f>IFERROR(__xludf.DUMMYFUNCTION("""COMPUTED_VALUE"""),"Brad")</f>
        <v>Brad</v>
      </c>
      <c r="C704" t="str">
        <f>IFERROR(__xludf.DUMMYFUNCTION("""COMPUTED_VALUE"""),"Memphis")</f>
        <v>Memphis</v>
      </c>
      <c r="D704">
        <f>IFERROR(__xludf.DUMMYFUNCTION("""COMPUTED_VALUE"""),4.0)</f>
        <v>4</v>
      </c>
      <c r="E704">
        <f>IFERROR(__xludf.DUMMYFUNCTION("""COMPUTED_VALUE"""),0.0)</f>
        <v>0</v>
      </c>
      <c r="F704" t="str">
        <f>IFERROR(__xludf.DUMMYFUNCTION("""COMPUTED_VALUE"""),"ESPNU")</f>
        <v>ESPNU</v>
      </c>
      <c r="G704" t="str">
        <f>IFERROR(__xludf.DUMMYFUNCTION("""COMPUTED_VALUE"""),"Navy 23 at Memphis 35")</f>
        <v>Navy 23 at Memphis 35</v>
      </c>
      <c r="H704" t="str">
        <f>IFERROR(__xludf.DUMMYFUNCTION("""COMPUTED_VALUE"""),"FINAL")</f>
        <v>FINAL</v>
      </c>
      <c r="I704" t="str">
        <f>IFERROR(__xludf.DUMMYFUNCTION("""COMPUTED_VALUE"""),"-10½")</f>
        <v>-10½</v>
      </c>
      <c r="J704" t="str">
        <f>IFERROR(__xludf.DUMMYFUNCTION("""COMPUTED_VALUE"""),"53½")</f>
        <v>53½</v>
      </c>
      <c r="K704" t="str">
        <f>IFERROR(__xludf.DUMMYFUNCTION("""COMPUTED_VALUE"""),"Janice/Mike")</f>
        <v>Janice/Mike</v>
      </c>
      <c r="L704">
        <f>IFERROR(__xludf.DUMMYFUNCTION("""COMPUTED_VALUE"""),9999.0)</f>
        <v>9999</v>
      </c>
      <c r="M704" s="124">
        <v>5.0</v>
      </c>
    </row>
    <row r="705">
      <c r="A705" s="151">
        <f>IFERROR(__xludf.DUMMYFUNCTION("""COMPUTED_VALUE"""),43737.14775020833)</f>
        <v>43737.14775</v>
      </c>
      <c r="B705" t="str">
        <f>IFERROR(__xludf.DUMMYFUNCTION("""COMPUTED_VALUE"""),"Brad")</f>
        <v>Brad</v>
      </c>
      <c r="C705" t="str">
        <f>IFERROR(__xludf.DUMMYFUNCTION("""COMPUTED_VALUE"""),"South Carolina")</f>
        <v>South Carolina</v>
      </c>
      <c r="D705">
        <f>IFERROR(__xludf.DUMMYFUNCTION("""COMPUTED_VALUE"""),2.0)</f>
        <v>2</v>
      </c>
      <c r="E705">
        <f>IFERROR(__xludf.DUMMYFUNCTION("""COMPUTED_VALUE"""),3.0)</f>
        <v>3</v>
      </c>
      <c r="F705" t="str">
        <f>IFERROR(__xludf.DUMMYFUNCTION("""COMPUTED_VALUE"""),"CBS")</f>
        <v>CBS</v>
      </c>
      <c r="G705" t="str">
        <f>IFERROR(__xludf.DUMMYFUNCTION("""COMPUTED_VALUE"""),"Kentucky 7 at South Carolina 24")</f>
        <v>Kentucky 7 at South Carolina 24</v>
      </c>
      <c r="H705" t="str">
        <f>IFERROR(__xludf.DUMMYFUNCTION("""COMPUTED_VALUE"""),"FINAL")</f>
        <v>FINAL</v>
      </c>
      <c r="I705">
        <f>IFERROR(__xludf.DUMMYFUNCTION("""COMPUTED_VALUE"""),-3.0)</f>
        <v>-3</v>
      </c>
      <c r="J705">
        <f>IFERROR(__xludf.DUMMYFUNCTION("""COMPUTED_VALUE"""),53.0)</f>
        <v>53</v>
      </c>
      <c r="K705" t="str">
        <f>IFERROR(__xludf.DUMMYFUNCTION("""COMPUTED_VALUE"""),"Josh R.")</f>
        <v>Josh R.</v>
      </c>
      <c r="L705">
        <f>IFERROR(__xludf.DUMMYFUNCTION("""COMPUTED_VALUE"""),9999.0)</f>
        <v>9999</v>
      </c>
      <c r="M705" s="124">
        <v>5.0</v>
      </c>
    </row>
    <row r="706">
      <c r="A706" s="151">
        <f>IFERROR(__xludf.DUMMYFUNCTION("""COMPUTED_VALUE"""),43737.14775020833)</f>
        <v>43737.14775</v>
      </c>
      <c r="B706" t="str">
        <f>IFERROR(__xludf.DUMMYFUNCTION("""COMPUTED_VALUE"""),"Brad")</f>
        <v>Brad</v>
      </c>
      <c r="C706" t="str">
        <f>IFERROR(__xludf.DUMMYFUNCTION("""COMPUTED_VALUE"""),"Utah")</f>
        <v>Utah</v>
      </c>
      <c r="D706">
        <f>IFERROR(__xludf.DUMMYFUNCTION("""COMPUTED_VALUE"""),4.0)</f>
        <v>4</v>
      </c>
      <c r="E706">
        <f>IFERROR(__xludf.DUMMYFUNCTION("""COMPUTED_VALUE"""),1.0)</f>
        <v>1</v>
      </c>
      <c r="F706" t="str">
        <f>IFERROR(__xludf.DUMMYFUNCTION("""COMPUTED_VALUE"""),"Pac-12 Mountain")</f>
        <v>Pac-12 Mountain</v>
      </c>
      <c r="G706" t="str">
        <f>IFERROR(__xludf.DUMMYFUNCTION("""COMPUTED_VALUE"""),"Washington State 13 at (19) Utah 38")</f>
        <v>Washington State 13 at (19) Utah 38</v>
      </c>
      <c r="H706" t="str">
        <f>IFERROR(__xludf.DUMMYFUNCTION("""COMPUTED_VALUE"""),"FINAL")</f>
        <v>FINAL</v>
      </c>
      <c r="I706" t="str">
        <f>IFERROR(__xludf.DUMMYFUNCTION("""COMPUTED_VALUE"""),"-5½")</f>
        <v>-5½</v>
      </c>
      <c r="J706">
        <f>IFERROR(__xludf.DUMMYFUNCTION("""COMPUTED_VALUE"""),56.0)</f>
        <v>56</v>
      </c>
      <c r="K706" t="str">
        <f>IFERROR(__xludf.DUMMYFUNCTION("""COMPUTED_VALUE"""),"Nick A.")</f>
        <v>Nick A.</v>
      </c>
      <c r="L706">
        <f>IFERROR(__xludf.DUMMYFUNCTION("""COMPUTED_VALUE"""),9999.0)</f>
        <v>9999</v>
      </c>
      <c r="M706" s="124">
        <v>5.0</v>
      </c>
    </row>
    <row r="707">
      <c r="A707" s="151">
        <f>IFERROR(__xludf.DUMMYFUNCTION("""COMPUTED_VALUE"""),43737.14775020833)</f>
        <v>43737.14775</v>
      </c>
      <c r="B707" t="str">
        <f>IFERROR(__xludf.DUMMYFUNCTION("""COMPUTED_VALUE"""),"Brad")</f>
        <v>Brad</v>
      </c>
      <c r="C707" t="str">
        <f>IFERROR(__xludf.DUMMYFUNCTION("""COMPUTED_VALUE"""),"Louisiana Tech")</f>
        <v>Louisiana Tech</v>
      </c>
      <c r="D707">
        <f>IFERROR(__xludf.DUMMYFUNCTION("""COMPUTED_VALUE"""),4.0)</f>
        <v>4</v>
      </c>
      <c r="E707">
        <f>IFERROR(__xludf.DUMMYFUNCTION("""COMPUTED_VALUE"""),1.0)</f>
        <v>1</v>
      </c>
      <c r="F707" t="str">
        <f>IFERROR(__xludf.DUMMYFUNCTION("""COMPUTED_VALUE"""),"espn+ Video")</f>
        <v>espn+ Video</v>
      </c>
      <c r="G707" t="str">
        <f>IFERROR(__xludf.DUMMYFUNCTION("""COMPUTED_VALUE"""),"Louisiana Tech 23 at Rice 20")</f>
        <v>Louisiana Tech 23 at Rice 20</v>
      </c>
      <c r="H707" t="str">
        <f>IFERROR(__xludf.DUMMYFUNCTION("""COMPUTED_VALUE"""),"FINAL - OT")</f>
        <v>FINAL - OT</v>
      </c>
      <c r="I707">
        <f>IFERROR(__xludf.DUMMYFUNCTION("""COMPUTED_VALUE"""),-9.0)</f>
        <v>-9</v>
      </c>
      <c r="J707" t="str">
        <f>IFERROR(__xludf.DUMMYFUNCTION("""COMPUTED_VALUE"""),"48½")</f>
        <v>48½</v>
      </c>
      <c r="K707" t="str">
        <f>IFERROR(__xludf.DUMMYFUNCTION("""COMPUTED_VALUE"""),"Undrafted")</f>
        <v>Undrafted</v>
      </c>
      <c r="L707">
        <f>IFERROR(__xludf.DUMMYFUNCTION("""COMPUTED_VALUE"""),9999.0)</f>
        <v>9999</v>
      </c>
      <c r="M707" s="124">
        <v>5.0</v>
      </c>
    </row>
    <row r="708">
      <c r="A708" s="151">
        <f>IFERROR(__xludf.DUMMYFUNCTION("""COMPUTED_VALUE"""),43737.14775020833)</f>
        <v>43737.14775</v>
      </c>
      <c r="B708" t="str">
        <f>IFERROR(__xludf.DUMMYFUNCTION("""COMPUTED_VALUE"""),"Brad")</f>
        <v>Brad</v>
      </c>
      <c r="C708" t="str">
        <f>IFERROR(__xludf.DUMMYFUNCTION("""COMPUTED_VALUE"""),"Indiana")</f>
        <v>Indiana</v>
      </c>
      <c r="D708">
        <f>IFERROR(__xludf.DUMMYFUNCTION("""COMPUTED_VALUE"""),3.0)</f>
        <v>3</v>
      </c>
      <c r="E708">
        <f>IFERROR(__xludf.DUMMYFUNCTION("""COMPUTED_VALUE"""),2.0)</f>
        <v>2</v>
      </c>
      <c r="F708" t="str">
        <f>IFERROR(__xludf.DUMMYFUNCTION("""COMPUTED_VALUE"""),"FOX")</f>
        <v>FOX</v>
      </c>
      <c r="G708" t="str">
        <f>IFERROR(__xludf.DUMMYFUNCTION("""COMPUTED_VALUE"""),"Indiana 31 at Michigan State 40")</f>
        <v>Indiana 31 at Michigan State 40</v>
      </c>
      <c r="H708" t="str">
        <f>IFERROR(__xludf.DUMMYFUNCTION("""COMPUTED_VALUE"""),"FINAL")</f>
        <v>FINAL</v>
      </c>
      <c r="I708">
        <f>IFERROR(__xludf.DUMMYFUNCTION("""COMPUTED_VALUE"""),14.0)</f>
        <v>14</v>
      </c>
      <c r="J708">
        <f>IFERROR(__xludf.DUMMYFUNCTION("""COMPUTED_VALUE"""),44.0)</f>
        <v>44</v>
      </c>
      <c r="K708" t="str">
        <f>IFERROR(__xludf.DUMMYFUNCTION("""COMPUTED_VALUE"""),"Nick A.")</f>
        <v>Nick A.</v>
      </c>
      <c r="L708">
        <f>IFERROR(__xludf.DUMMYFUNCTION("""COMPUTED_VALUE"""),9999.0)</f>
        <v>9999</v>
      </c>
      <c r="M708" s="124">
        <v>5.0</v>
      </c>
    </row>
    <row r="709">
      <c r="A709" s="151">
        <f>IFERROR(__xludf.DUMMYFUNCTION("""COMPUTED_VALUE"""),43737.14775020833)</f>
        <v>43737.14775</v>
      </c>
      <c r="B709" t="str">
        <f>IFERROR(__xludf.DUMMYFUNCTION("""COMPUTED_VALUE"""),"Brad")</f>
        <v>Brad</v>
      </c>
      <c r="C709" t="str">
        <f>IFERROR(__xludf.DUMMYFUNCTION("""COMPUTED_VALUE"""),"Colorado State")</f>
        <v>Colorado State</v>
      </c>
      <c r="D709">
        <f>IFERROR(__xludf.DUMMYFUNCTION("""COMPUTED_VALUE"""),1.0)</f>
        <v>1</v>
      </c>
      <c r="E709">
        <f>IFERROR(__xludf.DUMMYFUNCTION("""COMPUTED_VALUE"""),4.0)</f>
        <v>4</v>
      </c>
      <c r="F709" t="str">
        <f>IFERROR(__xludf.DUMMYFUNCTION("""COMPUTED_VALUE"""),"SEC Network")</f>
        <v>SEC Network</v>
      </c>
      <c r="G709" t="str">
        <f>IFERROR(__xludf.DUMMYFUNCTION("""COMPUTED_VALUE"""),"Colorado State 24 at Utah State 34")</f>
        <v>Colorado State 24 at Utah State 34</v>
      </c>
      <c r="H709" t="str">
        <f>IFERROR(__xludf.DUMMYFUNCTION("""COMPUTED_VALUE"""),"FINAL")</f>
        <v>FINAL</v>
      </c>
      <c r="I709">
        <f>IFERROR(__xludf.DUMMYFUNCTION("""COMPUTED_VALUE"""),24.0)</f>
        <v>24</v>
      </c>
      <c r="J709" t="str">
        <f>IFERROR(__xludf.DUMMYFUNCTION("""COMPUTED_VALUE"""),"70½")</f>
        <v>70½</v>
      </c>
      <c r="K709" t="str">
        <f>IFERROR(__xludf.DUMMYFUNCTION("""COMPUTED_VALUE"""),"Gary")</f>
        <v>Gary</v>
      </c>
      <c r="L709">
        <f>IFERROR(__xludf.DUMMYFUNCTION("""COMPUTED_VALUE"""),9999.0)</f>
        <v>9999</v>
      </c>
      <c r="M709" s="124">
        <v>5.0</v>
      </c>
    </row>
    <row r="710">
      <c r="A710" s="151">
        <f>IFERROR(__xludf.DUMMYFUNCTION("""COMPUTED_VALUE"""),43737.14775020833)</f>
        <v>43737.14775</v>
      </c>
      <c r="B710" t="str">
        <f>IFERROR(__xludf.DUMMYFUNCTION("""COMPUTED_VALUE"""),"Brad")</f>
        <v>Brad</v>
      </c>
      <c r="C710" t="str">
        <f>IFERROR(__xludf.DUMMYFUNCTION("""COMPUTED_VALUE"""),"Oklahoma State")</f>
        <v>Oklahoma State</v>
      </c>
      <c r="D710">
        <f>IFERROR(__xludf.DUMMYFUNCTION("""COMPUTED_VALUE"""),4.0)</f>
        <v>4</v>
      </c>
      <c r="E710">
        <f>IFERROR(__xludf.DUMMYFUNCTION("""COMPUTED_VALUE"""),1.0)</f>
        <v>1</v>
      </c>
      <c r="F710" t="str">
        <f>IFERROR(__xludf.DUMMYFUNCTION("""COMPUTED_VALUE"""),"ESPN2")</f>
        <v>ESPN2</v>
      </c>
      <c r="G710" t="str">
        <f>IFERROR(__xludf.DUMMYFUNCTION("""COMPUTED_VALUE"""),"(22) Kansas State 13 at Oklahoma State 26")</f>
        <v>(22) Kansas State 13 at Oklahoma State 26</v>
      </c>
      <c r="H710" t="str">
        <f>IFERROR(__xludf.DUMMYFUNCTION("""COMPUTED_VALUE"""),"FINAL")</f>
        <v>FINAL</v>
      </c>
      <c r="I710" t="str">
        <f>IFERROR(__xludf.DUMMYFUNCTION("""COMPUTED_VALUE"""),"-4½")</f>
        <v>-4½</v>
      </c>
      <c r="J710" t="str">
        <f>IFERROR(__xludf.DUMMYFUNCTION("""COMPUTED_VALUE"""),"60½")</f>
        <v>60½</v>
      </c>
      <c r="K710" t="str">
        <f>IFERROR(__xludf.DUMMYFUNCTION("""COMPUTED_VALUE"""),"Nick G.")</f>
        <v>Nick G.</v>
      </c>
      <c r="L710">
        <f>IFERROR(__xludf.DUMMYFUNCTION("""COMPUTED_VALUE"""),9999.0)</f>
        <v>9999</v>
      </c>
      <c r="M710" s="124">
        <v>5.0</v>
      </c>
    </row>
    <row r="711">
      <c r="A711" s="151">
        <f>IFERROR(__xludf.DUMMYFUNCTION("""COMPUTED_VALUE"""),43737.14775020833)</f>
        <v>43737.14775</v>
      </c>
      <c r="B711" t="str">
        <f>IFERROR(__xludf.DUMMYFUNCTION("""COMPUTED_VALUE"""),"Brad")</f>
        <v>Brad</v>
      </c>
      <c r="C711" t="str">
        <f>IFERROR(__xludf.DUMMYFUNCTION("""COMPUTED_VALUE"""),"Miami")</f>
        <v>Miami</v>
      </c>
      <c r="D711">
        <f>IFERROR(__xludf.DUMMYFUNCTION("""COMPUTED_VALUE"""),2.0)</f>
        <v>2</v>
      </c>
      <c r="E711">
        <f>IFERROR(__xludf.DUMMYFUNCTION("""COMPUTED_VALUE"""),2.0)</f>
        <v>2</v>
      </c>
      <c r="F711" t="str">
        <f>IFERROR(__xludf.DUMMYFUNCTION("""COMPUTED_VALUE"""),"ACC Network")</f>
        <v>ACC Network</v>
      </c>
      <c r="G711" t="str">
        <f>IFERROR(__xludf.DUMMYFUNCTION("""COMPUTED_VALUE"""),"BYE")</f>
        <v>BYE</v>
      </c>
      <c r="I711" t="str">
        <f>IFERROR(__xludf.DUMMYFUNCTION("""COMPUTED_VALUE"""),"bye")</f>
        <v>bye</v>
      </c>
      <c r="J711" t="str">
        <f>IFERROR(__xludf.DUMMYFUNCTION("""COMPUTED_VALUE"""),"bye")</f>
        <v>bye</v>
      </c>
      <c r="L711">
        <f>IFERROR(__xludf.DUMMYFUNCTION("""COMPUTED_VALUE"""),9999.0)</f>
        <v>9999</v>
      </c>
      <c r="M711" s="124">
        <v>5.0</v>
      </c>
    </row>
    <row r="712">
      <c r="A712" s="151">
        <f>IFERROR(__xludf.DUMMYFUNCTION("""COMPUTED_VALUE"""),43737.14775020833)</f>
        <v>43737.14775</v>
      </c>
      <c r="B712" t="str">
        <f>IFERROR(__xludf.DUMMYFUNCTION("""COMPUTED_VALUE"""),"Nick G.")</f>
        <v>Nick G.</v>
      </c>
      <c r="C712" t="str">
        <f>IFERROR(__xludf.DUMMYFUNCTION("""COMPUTED_VALUE"""),"Central Michigan")</f>
        <v>Central Michigan</v>
      </c>
      <c r="D712">
        <f>IFERROR(__xludf.DUMMYFUNCTION("""COMPUTED_VALUE"""),2.0)</f>
        <v>2</v>
      </c>
      <c r="E712">
        <f>IFERROR(__xludf.DUMMYFUNCTION("""COMPUTED_VALUE"""),3.0)</f>
        <v>3</v>
      </c>
      <c r="F712" t="str">
        <f>IFERROR(__xludf.DUMMYFUNCTION("""COMPUTED_VALUE"""),"espn+ Video")</f>
        <v>espn+ Video</v>
      </c>
      <c r="G712" t="str">
        <f>IFERROR(__xludf.DUMMYFUNCTION("""COMPUTED_VALUE"""),"Central Michigan 15 at Western Michigan 31")</f>
        <v>Central Michigan 15 at Western Michigan 31</v>
      </c>
      <c r="H712" t="str">
        <f>IFERROR(__xludf.DUMMYFUNCTION("""COMPUTED_VALUE"""),"FINAL")</f>
        <v>FINAL</v>
      </c>
      <c r="I712" t="str">
        <f>IFERROR(__xludf.DUMMYFUNCTION("""COMPUTED_VALUE"""),"17½")</f>
        <v>17½</v>
      </c>
      <c r="J712" t="str">
        <f>IFERROR(__xludf.DUMMYFUNCTION("""COMPUTED_VALUE"""),"59½")</f>
        <v>59½</v>
      </c>
      <c r="K712" t="str">
        <f>IFERROR(__xludf.DUMMYFUNCTION("""COMPUTED_VALUE"""),"Jeannine")</f>
        <v>Jeannine</v>
      </c>
      <c r="L712">
        <f>IFERROR(__xludf.DUMMYFUNCTION("""COMPUTED_VALUE"""),9999.0)</f>
        <v>9999</v>
      </c>
      <c r="M712" s="124">
        <v>5.0</v>
      </c>
    </row>
    <row r="713">
      <c r="A713" s="151">
        <f>IFERROR(__xludf.DUMMYFUNCTION("""COMPUTED_VALUE"""),43737.14775020833)</f>
        <v>43737.14775</v>
      </c>
      <c r="B713" t="str">
        <f>IFERROR(__xludf.DUMMYFUNCTION("""COMPUTED_VALUE"""),"Nick G.")</f>
        <v>Nick G.</v>
      </c>
      <c r="C713" t="str">
        <f>IFERROR(__xludf.DUMMYFUNCTION("""COMPUTED_VALUE"""),"UConn")</f>
        <v>UConn</v>
      </c>
      <c r="D713">
        <f>IFERROR(__xludf.DUMMYFUNCTION("""COMPUTED_VALUE"""),1.0)</f>
        <v>1</v>
      </c>
      <c r="E713">
        <f>IFERROR(__xludf.DUMMYFUNCTION("""COMPUTED_VALUE"""),3.0)</f>
        <v>3</v>
      </c>
      <c r="F713" t="str">
        <f>IFERROR(__xludf.DUMMYFUNCTION("""COMPUTED_VALUE"""),"NA")</f>
        <v>NA</v>
      </c>
      <c r="G713" t="str">
        <f>IFERROR(__xludf.DUMMYFUNCTION("""COMPUTED_VALUE"""),"UConn 21 at (23) UCF 56")</f>
        <v>UConn 21 at (23) UCF 56</v>
      </c>
      <c r="H713" t="str">
        <f>IFERROR(__xludf.DUMMYFUNCTION("""COMPUTED_VALUE"""),"FINAL")</f>
        <v>FINAL</v>
      </c>
      <c r="I713">
        <f>IFERROR(__xludf.DUMMYFUNCTION("""COMPUTED_VALUE"""),44.0)</f>
        <v>44</v>
      </c>
      <c r="J713" t="str">
        <f>IFERROR(__xludf.DUMMYFUNCTION("""COMPUTED_VALUE"""),"64½")</f>
        <v>64½</v>
      </c>
      <c r="K713" t="str">
        <f>IFERROR(__xludf.DUMMYFUNCTION("""COMPUTED_VALUE"""),"Adam")</f>
        <v>Adam</v>
      </c>
      <c r="L713">
        <f>IFERROR(__xludf.DUMMYFUNCTION("""COMPUTED_VALUE"""),9999.0)</f>
        <v>9999</v>
      </c>
      <c r="M713" s="124">
        <v>5.0</v>
      </c>
    </row>
    <row r="714">
      <c r="A714" s="151">
        <f>IFERROR(__xludf.DUMMYFUNCTION("""COMPUTED_VALUE"""),43737.14775020833)</f>
        <v>43737.14775</v>
      </c>
      <c r="B714" t="str">
        <f>IFERROR(__xludf.DUMMYFUNCTION("""COMPUTED_VALUE"""),"Nick G.")</f>
        <v>Nick G.</v>
      </c>
      <c r="C714" t="str">
        <f>IFERROR(__xludf.DUMMYFUNCTION("""COMPUTED_VALUE"""),"Florida Atlantic")</f>
        <v>Florida Atlantic</v>
      </c>
      <c r="D714">
        <f>IFERROR(__xludf.DUMMYFUNCTION("""COMPUTED_VALUE"""),3.0)</f>
        <v>3</v>
      </c>
      <c r="E714">
        <f>IFERROR(__xludf.DUMMYFUNCTION("""COMPUTED_VALUE"""),2.0)</f>
        <v>2</v>
      </c>
      <c r="F714" t="str">
        <f>IFERROR(__xludf.DUMMYFUNCTION("""COMPUTED_VALUE"""),"espn+ Video")</f>
        <v>espn+ Video</v>
      </c>
      <c r="G714" t="str">
        <f>IFERROR(__xludf.DUMMYFUNCTION("""COMPUTED_VALUE"""),"Florida Atlantic 45 at Charlotte 27")</f>
        <v>Florida Atlantic 45 at Charlotte 27</v>
      </c>
      <c r="H714" t="str">
        <f>IFERROR(__xludf.DUMMYFUNCTION("""COMPUTED_VALUE"""),"FINAL")</f>
        <v>FINAL</v>
      </c>
      <c r="I714">
        <f>IFERROR(__xludf.DUMMYFUNCTION("""COMPUTED_VALUE"""),1.0)</f>
        <v>1</v>
      </c>
      <c r="J714" t="str">
        <f>IFERROR(__xludf.DUMMYFUNCTION("""COMPUTED_VALUE"""),"64½")</f>
        <v>64½</v>
      </c>
      <c r="K714" t="str">
        <f>IFERROR(__xludf.DUMMYFUNCTION("""COMPUTED_VALUE"""),"Janice/Mike")</f>
        <v>Janice/Mike</v>
      </c>
      <c r="L714">
        <f>IFERROR(__xludf.DUMMYFUNCTION("""COMPUTED_VALUE"""),9999.0)</f>
        <v>9999</v>
      </c>
      <c r="M714" s="124">
        <v>5.0</v>
      </c>
    </row>
    <row r="715">
      <c r="A715" s="151">
        <f>IFERROR(__xludf.DUMMYFUNCTION("""COMPUTED_VALUE"""),43737.14775020833)</f>
        <v>43737.14775</v>
      </c>
      <c r="B715" t="str">
        <f>IFERROR(__xludf.DUMMYFUNCTION("""COMPUTED_VALUE"""),"Nick G.")</f>
        <v>Nick G.</v>
      </c>
      <c r="C715" t="str">
        <f>IFERROR(__xludf.DUMMYFUNCTION("""COMPUTED_VALUE"""),"Stanford")</f>
        <v>Stanford</v>
      </c>
      <c r="D715">
        <f>IFERROR(__xludf.DUMMYFUNCTION("""COMPUTED_VALUE"""),2.0)</f>
        <v>2</v>
      </c>
      <c r="E715">
        <f>IFERROR(__xludf.DUMMYFUNCTION("""COMPUTED_VALUE"""),3.0)</f>
        <v>3</v>
      </c>
      <c r="F715" t="str">
        <f>IFERROR(__xludf.DUMMYFUNCTION("""COMPUTED_VALUE"""),"ESPN")</f>
        <v>ESPN</v>
      </c>
      <c r="G715" t="str">
        <f>IFERROR(__xludf.DUMMYFUNCTION("""COMPUTED_VALUE"""),"Stanford 31 at Oregon State 28")</f>
        <v>Stanford 31 at Oregon State 28</v>
      </c>
      <c r="H715" t="str">
        <f>IFERROR(__xludf.DUMMYFUNCTION("""COMPUTED_VALUE"""),"FINAL")</f>
        <v>FINAL</v>
      </c>
      <c r="I715" t="str">
        <f>IFERROR(__xludf.DUMMYFUNCTION("""COMPUTED_VALUE"""),"-4½")</f>
        <v>-4½</v>
      </c>
      <c r="J715" t="str">
        <f>IFERROR(__xludf.DUMMYFUNCTION("""COMPUTED_VALUE"""),"57½")</f>
        <v>57½</v>
      </c>
      <c r="K715" t="str">
        <f>IFERROR(__xludf.DUMMYFUNCTION("""COMPUTED_VALUE"""),"Adam")</f>
        <v>Adam</v>
      </c>
      <c r="L715">
        <f>IFERROR(__xludf.DUMMYFUNCTION("""COMPUTED_VALUE"""),9999.0)</f>
        <v>9999</v>
      </c>
      <c r="M715" s="124">
        <v>5.0</v>
      </c>
    </row>
    <row r="716">
      <c r="A716" s="151">
        <f>IFERROR(__xludf.DUMMYFUNCTION("""COMPUTED_VALUE"""),43737.14775020833)</f>
        <v>43737.14775</v>
      </c>
      <c r="B716" t="str">
        <f>IFERROR(__xludf.DUMMYFUNCTION("""COMPUTED_VALUE"""),"Nick G.")</f>
        <v>Nick G.</v>
      </c>
      <c r="C716" t="str">
        <f>IFERROR(__xludf.DUMMYFUNCTION("""COMPUTED_VALUE"""),"Troy")</f>
        <v>Troy</v>
      </c>
      <c r="D716">
        <f>IFERROR(__xludf.DUMMYFUNCTION("""COMPUTED_VALUE"""),2.0)</f>
        <v>2</v>
      </c>
      <c r="E716">
        <f>IFERROR(__xludf.DUMMYFUNCTION("""COMPUTED_VALUE"""),2.0)</f>
        <v>2</v>
      </c>
      <c r="F716" t="str">
        <f>IFERROR(__xludf.DUMMYFUNCTION("""COMPUTED_VALUE"""),"espn+ Video")</f>
        <v>espn+ Video</v>
      </c>
      <c r="G716" t="str">
        <f>IFERROR(__xludf.DUMMYFUNCTION("""COMPUTED_VALUE"""),"Arkansas State 50 at Troy 43")</f>
        <v>Arkansas State 50 at Troy 43</v>
      </c>
      <c r="H716" t="str">
        <f>IFERROR(__xludf.DUMMYFUNCTION("""COMPUTED_VALUE"""),"FINAL")</f>
        <v>FINAL</v>
      </c>
      <c r="I716">
        <f>IFERROR(__xludf.DUMMYFUNCTION("""COMPUTED_VALUE"""),-7.0)</f>
        <v>-7</v>
      </c>
      <c r="J716">
        <f>IFERROR(__xludf.DUMMYFUNCTION("""COMPUTED_VALUE"""),59.0)</f>
        <v>59</v>
      </c>
      <c r="K716" t="str">
        <f>IFERROR(__xludf.DUMMYFUNCTION("""COMPUTED_VALUE"""),"Nico")</f>
        <v>Nico</v>
      </c>
      <c r="L716">
        <f>IFERROR(__xludf.DUMMYFUNCTION("""COMPUTED_VALUE"""),9999.0)</f>
        <v>9999</v>
      </c>
      <c r="M716" s="124">
        <v>5.0</v>
      </c>
    </row>
    <row r="717">
      <c r="A717" s="151">
        <f>IFERROR(__xludf.DUMMYFUNCTION("""COMPUTED_VALUE"""),43737.14775020833)</f>
        <v>43737.14775</v>
      </c>
      <c r="B717" t="str">
        <f>IFERROR(__xludf.DUMMYFUNCTION("""COMPUTED_VALUE"""),"Nick G.")</f>
        <v>Nick G.</v>
      </c>
      <c r="C717" t="str">
        <f>IFERROR(__xludf.DUMMYFUNCTION("""COMPUTED_VALUE"""),"Ohio State")</f>
        <v>Ohio State</v>
      </c>
      <c r="D717">
        <f>IFERROR(__xludf.DUMMYFUNCTION("""COMPUTED_VALUE"""),5.0)</f>
        <v>5</v>
      </c>
      <c r="E717">
        <f>IFERROR(__xludf.DUMMYFUNCTION("""COMPUTED_VALUE"""),0.0)</f>
        <v>0</v>
      </c>
      <c r="F717" t="str">
        <f>IFERROR(__xludf.DUMMYFUNCTION("""COMPUTED_VALUE"""),"FOX")</f>
        <v>FOX</v>
      </c>
      <c r="G717" t="str">
        <f>IFERROR(__xludf.DUMMYFUNCTION("""COMPUTED_VALUE"""),"(6) Ohio State 48 at Nebraska 7")</f>
        <v>(6) Ohio State 48 at Nebraska 7</v>
      </c>
      <c r="H717" t="str">
        <f>IFERROR(__xludf.DUMMYFUNCTION("""COMPUTED_VALUE"""),"FINAL")</f>
        <v>FINAL</v>
      </c>
      <c r="I717">
        <f>IFERROR(__xludf.DUMMYFUNCTION("""COMPUTED_VALUE"""),-17.0)</f>
        <v>-17</v>
      </c>
      <c r="J717" t="str">
        <f>IFERROR(__xludf.DUMMYFUNCTION("""COMPUTED_VALUE"""),"66½")</f>
        <v>66½</v>
      </c>
      <c r="K717" t="str">
        <f>IFERROR(__xludf.DUMMYFUNCTION("""COMPUTED_VALUE"""),"DavEmily")</f>
        <v>DavEmily</v>
      </c>
      <c r="L717">
        <f>IFERROR(__xludf.DUMMYFUNCTION("""COMPUTED_VALUE"""),9999.0)</f>
        <v>9999</v>
      </c>
      <c r="M717" s="124">
        <v>5.0</v>
      </c>
    </row>
    <row r="718">
      <c r="A718" s="151">
        <f>IFERROR(__xludf.DUMMYFUNCTION("""COMPUTED_VALUE"""),43737.14775020833)</f>
        <v>43737.14775</v>
      </c>
      <c r="B718" t="str">
        <f>IFERROR(__xludf.DUMMYFUNCTION("""COMPUTED_VALUE"""),"Nick G.")</f>
        <v>Nick G.</v>
      </c>
      <c r="C718" t="str">
        <f>IFERROR(__xludf.DUMMYFUNCTION("""COMPUTED_VALUE"""),"Kansas State")</f>
        <v>Kansas State</v>
      </c>
      <c r="D718">
        <f>IFERROR(__xludf.DUMMYFUNCTION("""COMPUTED_VALUE"""),3.0)</f>
        <v>3</v>
      </c>
      <c r="E718">
        <f>IFERROR(__xludf.DUMMYFUNCTION("""COMPUTED_VALUE"""),1.0)</f>
        <v>1</v>
      </c>
      <c r="F718" t="str">
        <f>IFERROR(__xludf.DUMMYFUNCTION("""COMPUTED_VALUE"""),"ESPN")</f>
        <v>ESPN</v>
      </c>
      <c r="G718" t="str">
        <f>IFERROR(__xludf.DUMMYFUNCTION("""COMPUTED_VALUE"""),"(22) Kansas State 13 at Oklahoma State 26")</f>
        <v>(22) Kansas State 13 at Oklahoma State 26</v>
      </c>
      <c r="H718" t="str">
        <f>IFERROR(__xludf.DUMMYFUNCTION("""COMPUTED_VALUE"""),"FINAL")</f>
        <v>FINAL</v>
      </c>
      <c r="I718" t="str">
        <f>IFERROR(__xludf.DUMMYFUNCTION("""COMPUTED_VALUE"""),"4½")</f>
        <v>4½</v>
      </c>
      <c r="J718" t="str">
        <f>IFERROR(__xludf.DUMMYFUNCTION("""COMPUTED_VALUE"""),"60½")</f>
        <v>60½</v>
      </c>
      <c r="K718" t="str">
        <f>IFERROR(__xludf.DUMMYFUNCTION("""COMPUTED_VALUE"""),"Brad")</f>
        <v>Brad</v>
      </c>
      <c r="L718">
        <f>IFERROR(__xludf.DUMMYFUNCTION("""COMPUTED_VALUE"""),9999.0)</f>
        <v>9999</v>
      </c>
      <c r="M718" s="124">
        <v>5.0</v>
      </c>
    </row>
    <row r="719">
      <c r="A719" s="151">
        <f>IFERROR(__xludf.DUMMYFUNCTION("""COMPUTED_VALUE"""),43737.14775020833)</f>
        <v>43737.14775</v>
      </c>
      <c r="B719" t="str">
        <f>IFERROR(__xludf.DUMMYFUNCTION("""COMPUTED_VALUE"""),"Nick G.")</f>
        <v>Nick G.</v>
      </c>
      <c r="C719" t="str">
        <f>IFERROR(__xludf.DUMMYFUNCTION("""COMPUTED_VALUE"""),"NC State")</f>
        <v>NC State</v>
      </c>
      <c r="D719">
        <f>IFERROR(__xludf.DUMMYFUNCTION("""COMPUTED_VALUE"""),3.0)</f>
        <v>3</v>
      </c>
      <c r="E719">
        <f>IFERROR(__xludf.DUMMYFUNCTION("""COMPUTED_VALUE"""),2.0)</f>
        <v>2</v>
      </c>
      <c r="F719" t="str">
        <f>IFERROR(__xludf.DUMMYFUNCTION("""COMPUTED_VALUE"""),"FS1")</f>
        <v>FS1</v>
      </c>
      <c r="G719" t="str">
        <f>IFERROR(__xludf.DUMMYFUNCTION("""COMPUTED_VALUE"""),"NC State 13 at Florida State 31")</f>
        <v>NC State 13 at Florida State 31</v>
      </c>
      <c r="H719" t="str">
        <f>IFERROR(__xludf.DUMMYFUNCTION("""COMPUTED_VALUE"""),"FINAL")</f>
        <v>FINAL</v>
      </c>
      <c r="I719" t="str">
        <f>IFERROR(__xludf.DUMMYFUNCTION("""COMPUTED_VALUE"""),"6½")</f>
        <v>6½</v>
      </c>
      <c r="J719" t="str">
        <f>IFERROR(__xludf.DUMMYFUNCTION("""COMPUTED_VALUE"""),"61½")</f>
        <v>61½</v>
      </c>
      <c r="K719" t="str">
        <f>IFERROR(__xludf.DUMMYFUNCTION("""COMPUTED_VALUE"""),"Josh R.")</f>
        <v>Josh R.</v>
      </c>
      <c r="L719">
        <f>IFERROR(__xludf.DUMMYFUNCTION("""COMPUTED_VALUE"""),9999.0)</f>
        <v>9999</v>
      </c>
      <c r="M719" s="124">
        <v>5.0</v>
      </c>
    </row>
    <row r="720">
      <c r="A720" s="151">
        <f>IFERROR(__xludf.DUMMYFUNCTION("""COMPUTED_VALUE"""),43737.14775020833)</f>
        <v>43737.14775</v>
      </c>
      <c r="B720" t="str">
        <f>IFERROR(__xludf.DUMMYFUNCTION("""COMPUTED_VALUE"""),"Nick G.")</f>
        <v>Nick G.</v>
      </c>
      <c r="C720" t="str">
        <f>IFERROR(__xludf.DUMMYFUNCTION("""COMPUTED_VALUE"""),"Wyoming")</f>
        <v>Wyoming</v>
      </c>
      <c r="D720">
        <f>IFERROR(__xludf.DUMMYFUNCTION("""COMPUTED_VALUE"""),4.0)</f>
        <v>4</v>
      </c>
      <c r="E720">
        <f>IFERROR(__xludf.DUMMYFUNCTION("""COMPUTED_VALUE"""),1.0)</f>
        <v>1</v>
      </c>
      <c r="F720" t="str">
        <f>IFERROR(__xludf.DUMMYFUNCTION("""COMPUTED_VALUE"""),"espn3 Video")</f>
        <v>espn3 Video</v>
      </c>
      <c r="G720" t="str">
        <f>IFERROR(__xludf.DUMMYFUNCTION("""COMPUTED_VALUE"""),"UNLV 17 at Wyoming 53")</f>
        <v>UNLV 17 at Wyoming 53</v>
      </c>
      <c r="H720" t="str">
        <f>IFERROR(__xludf.DUMMYFUNCTION("""COMPUTED_VALUE"""),"FINAL")</f>
        <v>FINAL</v>
      </c>
      <c r="I720" t="str">
        <f>IFERROR(__xludf.DUMMYFUNCTION("""COMPUTED_VALUE"""),"-9½")</f>
        <v>-9½</v>
      </c>
      <c r="J720">
        <f>IFERROR(__xludf.DUMMYFUNCTION("""COMPUTED_VALUE"""),48.0)</f>
        <v>48</v>
      </c>
      <c r="K720" t="str">
        <f>IFERROR(__xludf.DUMMYFUNCTION("""COMPUTED_VALUE"""),"Justin")</f>
        <v>Justin</v>
      </c>
      <c r="L720">
        <f>IFERROR(__xludf.DUMMYFUNCTION("""COMPUTED_VALUE"""),9999.0)</f>
        <v>9999</v>
      </c>
      <c r="M720" s="124">
        <v>5.0</v>
      </c>
    </row>
    <row r="721">
      <c r="A721" s="151">
        <f>IFERROR(__xludf.DUMMYFUNCTION("""COMPUTED_VALUE"""),43737.14775020833)</f>
        <v>43737.14775</v>
      </c>
      <c r="B721" t="str">
        <f>IFERROR(__xludf.DUMMYFUNCTION("""COMPUTED_VALUE"""),"Nick G.")</f>
        <v>Nick G.</v>
      </c>
      <c r="C721" t="str">
        <f>IFERROR(__xludf.DUMMYFUNCTION("""COMPUTED_VALUE"""),"Auburn")</f>
        <v>Auburn</v>
      </c>
      <c r="D721">
        <f>IFERROR(__xludf.DUMMYFUNCTION("""COMPUTED_VALUE"""),5.0)</f>
        <v>5</v>
      </c>
      <c r="E721">
        <f>IFERROR(__xludf.DUMMYFUNCTION("""COMPUTED_VALUE"""),0.0)</f>
        <v>0</v>
      </c>
      <c r="F721" t="str">
        <f>IFERROR(__xludf.DUMMYFUNCTION("""COMPUTED_VALUE"""),"ESPN2 or ESPNU")</f>
        <v>ESPN2 or ESPNU</v>
      </c>
      <c r="G721" t="str">
        <f>IFERROR(__xludf.DUMMYFUNCTION("""COMPUTED_VALUE"""),"Mississippi State 23 at (7) Auburn 56")</f>
        <v>Mississippi State 23 at (7) Auburn 56</v>
      </c>
      <c r="H721" t="str">
        <f>IFERROR(__xludf.DUMMYFUNCTION("""COMPUTED_VALUE"""),"FINAL")</f>
        <v>FINAL</v>
      </c>
      <c r="I721" t="str">
        <f>IFERROR(__xludf.DUMMYFUNCTION("""COMPUTED_VALUE"""),"-10½")</f>
        <v>-10½</v>
      </c>
      <c r="J721">
        <f>IFERROR(__xludf.DUMMYFUNCTION("""COMPUTED_VALUE"""),47.0)</f>
        <v>47</v>
      </c>
      <c r="K721" t="str">
        <f>IFERROR(__xludf.DUMMYFUNCTION("""COMPUTED_VALUE"""),"Jeannine")</f>
        <v>Jeannine</v>
      </c>
      <c r="L721">
        <f>IFERROR(__xludf.DUMMYFUNCTION("""COMPUTED_VALUE"""),9999.0)</f>
        <v>9999</v>
      </c>
      <c r="M721" s="124">
        <v>5.0</v>
      </c>
    </row>
    <row r="722">
      <c r="A722" s="151">
        <f>IFERROR(__xludf.DUMMYFUNCTION("""COMPUTED_VALUE"""),43744.147749525466)</f>
        <v>43744.14775</v>
      </c>
      <c r="B722" t="str">
        <f>IFERROR(__xludf.DUMMYFUNCTION("""COMPUTED_VALUE"""),"DavEmily")</f>
        <v>DavEmily</v>
      </c>
      <c r="C722" t="str">
        <f>IFERROR(__xludf.DUMMYFUNCTION("""COMPUTED_VALUE"""),"Notre Dame")</f>
        <v>Notre Dame</v>
      </c>
      <c r="D722">
        <f>IFERROR(__xludf.DUMMYFUNCTION("""COMPUTED_VALUE"""),4.0)</f>
        <v>4</v>
      </c>
      <c r="E722">
        <f>IFERROR(__xludf.DUMMYFUNCTION("""COMPUTED_VALUE"""),1.0)</f>
        <v>1</v>
      </c>
      <c r="F722" t="str">
        <f>IFERROR(__xludf.DUMMYFUNCTION("""COMPUTED_VALUE"""),"NBC")</f>
        <v>NBC</v>
      </c>
      <c r="G722" t="str">
        <f>IFERROR(__xludf.DUMMYFUNCTION("""COMPUTED_VALUE"""),"Bowling Green 0 at (10) Notre Dame 52")</f>
        <v>Bowling Green 0 at (10) Notre Dame 52</v>
      </c>
      <c r="H722" t="str">
        <f>IFERROR(__xludf.DUMMYFUNCTION("""COMPUTED_VALUE"""),"FINAL")</f>
        <v>FINAL</v>
      </c>
      <c r="I722" t="str">
        <f>IFERROR(__xludf.DUMMYFUNCTION("""COMPUTED_VALUE"""),"-45½")</f>
        <v>-45½</v>
      </c>
      <c r="J722" t="str">
        <f>IFERROR(__xludf.DUMMYFUNCTION("""COMPUTED_VALUE"""),"60½")</f>
        <v>60½</v>
      </c>
      <c r="K722" t="str">
        <f>IFERROR(__xludf.DUMMYFUNCTION("""COMPUTED_VALUE"""),"Nick A.")</f>
        <v>Nick A.</v>
      </c>
      <c r="L722" t="str">
        <f>IFERROR(__xludf.DUMMYFUNCTION("""COMPUTED_VALUE"""),"FINAL")</f>
        <v>FINAL</v>
      </c>
      <c r="M722" s="124">
        <v>6.0</v>
      </c>
    </row>
    <row r="723">
      <c r="A723" s="151">
        <f>IFERROR(__xludf.DUMMYFUNCTION("""COMPUTED_VALUE"""),43744.147749525466)</f>
        <v>43744.14775</v>
      </c>
      <c r="B723" t="str">
        <f>IFERROR(__xludf.DUMMYFUNCTION("""COMPUTED_VALUE"""),"DavEmily")</f>
        <v>DavEmily</v>
      </c>
      <c r="C723" t="str">
        <f>IFERROR(__xludf.DUMMYFUNCTION("""COMPUTED_VALUE"""),"Ball State")</f>
        <v>Ball State</v>
      </c>
      <c r="D723">
        <f>IFERROR(__xludf.DUMMYFUNCTION("""COMPUTED_VALUE"""),2.0)</f>
        <v>2</v>
      </c>
      <c r="E723">
        <f>IFERROR(__xludf.DUMMYFUNCTION("""COMPUTED_VALUE"""),3.0)</f>
        <v>3</v>
      </c>
      <c r="F723" t="str">
        <f>IFERROR(__xludf.DUMMYFUNCTION("""COMPUTED_VALUE"""),"espn+ Video")</f>
        <v>espn+ Video</v>
      </c>
      <c r="G723" t="str">
        <f>IFERROR(__xludf.DUMMYFUNCTION("""COMPUTED_VALUE"""),"Ball State 27 at Northern Illinois 20")</f>
        <v>Ball State 27 at Northern Illinois 20</v>
      </c>
      <c r="H723" t="str">
        <f>IFERROR(__xludf.DUMMYFUNCTION("""COMPUTED_VALUE"""),"FINAL")</f>
        <v>FINAL</v>
      </c>
      <c r="I723" t="str">
        <f>IFERROR(__xludf.DUMMYFUNCTION("""COMPUTED_VALUE"""),"4½")</f>
        <v>4½</v>
      </c>
      <c r="J723" t="str">
        <f>IFERROR(__xludf.DUMMYFUNCTION("""COMPUTED_VALUE"""),"55½")</f>
        <v>55½</v>
      </c>
      <c r="K723" t="str">
        <f>IFERROR(__xludf.DUMMYFUNCTION("""COMPUTED_VALUE"""),"Janice/Mike")</f>
        <v>Janice/Mike</v>
      </c>
      <c r="L723" t="str">
        <f>IFERROR(__xludf.DUMMYFUNCTION("""COMPUTED_VALUE"""),"FINAL")</f>
        <v>FINAL</v>
      </c>
      <c r="M723" s="124">
        <v>6.0</v>
      </c>
    </row>
    <row r="724">
      <c r="A724" s="151">
        <f>IFERROR(__xludf.DUMMYFUNCTION("""COMPUTED_VALUE"""),43744.147749525466)</f>
        <v>43744.14775</v>
      </c>
      <c r="B724" t="str">
        <f>IFERROR(__xludf.DUMMYFUNCTION("""COMPUTED_VALUE"""),"DavEmily")</f>
        <v>DavEmily</v>
      </c>
      <c r="C724" t="str">
        <f>IFERROR(__xludf.DUMMYFUNCTION("""COMPUTED_VALUE"""),"Virginia Tech")</f>
        <v>Virginia Tech</v>
      </c>
      <c r="D724">
        <f>IFERROR(__xludf.DUMMYFUNCTION("""COMPUTED_VALUE"""),3.0)</f>
        <v>3</v>
      </c>
      <c r="E724">
        <f>IFERROR(__xludf.DUMMYFUNCTION("""COMPUTED_VALUE"""),2.0)</f>
        <v>2</v>
      </c>
      <c r="F724" t="str">
        <f>IFERROR(__xludf.DUMMYFUNCTION("""COMPUTED_VALUE"""),"ACC Network")</f>
        <v>ACC Network</v>
      </c>
      <c r="G724" t="str">
        <f>IFERROR(__xludf.DUMMYFUNCTION("""COMPUTED_VALUE"""),"Virginia Tech 42 at Miami 35")</f>
        <v>Virginia Tech 42 at Miami 35</v>
      </c>
      <c r="H724" t="str">
        <f>IFERROR(__xludf.DUMMYFUNCTION("""COMPUTED_VALUE"""),"FINAL")</f>
        <v>FINAL</v>
      </c>
      <c r="I724">
        <f>IFERROR(__xludf.DUMMYFUNCTION("""COMPUTED_VALUE"""),14.0)</f>
        <v>14</v>
      </c>
      <c r="J724">
        <f>IFERROR(__xludf.DUMMYFUNCTION("""COMPUTED_VALUE"""),47.0)</f>
        <v>47</v>
      </c>
      <c r="K724" t="str">
        <f>IFERROR(__xludf.DUMMYFUNCTION("""COMPUTED_VALUE"""),"Brad")</f>
        <v>Brad</v>
      </c>
      <c r="L724" t="str">
        <f>IFERROR(__xludf.DUMMYFUNCTION("""COMPUTED_VALUE"""),"FINAL")</f>
        <v>FINAL</v>
      </c>
      <c r="M724" s="124">
        <v>6.0</v>
      </c>
    </row>
    <row r="725">
      <c r="A725" s="151">
        <f>IFERROR(__xludf.DUMMYFUNCTION("""COMPUTED_VALUE"""),43744.147749525466)</f>
        <v>43744.14775</v>
      </c>
      <c r="B725" t="str">
        <f>IFERROR(__xludf.DUMMYFUNCTION("""COMPUTED_VALUE"""),"DavEmily")</f>
        <v>DavEmily</v>
      </c>
      <c r="C725" t="str">
        <f>IFERROR(__xludf.DUMMYFUNCTION("""COMPUTED_VALUE"""),"Nebraska")</f>
        <v>Nebraska</v>
      </c>
      <c r="D725">
        <f>IFERROR(__xludf.DUMMYFUNCTION("""COMPUTED_VALUE"""),4.0)</f>
        <v>4</v>
      </c>
      <c r="E725">
        <f>IFERROR(__xludf.DUMMYFUNCTION("""COMPUTED_VALUE"""),2.0)</f>
        <v>2</v>
      </c>
      <c r="F725" t="str">
        <f>IFERROR(__xludf.DUMMYFUNCTION("""COMPUTED_VALUE"""),"FS1")</f>
        <v>FS1</v>
      </c>
      <c r="G725" t="str">
        <f>IFERROR(__xludf.DUMMYFUNCTION("""COMPUTED_VALUE"""),"Northwestern 10 at Nebraska 13")</f>
        <v>Northwestern 10 at Nebraska 13</v>
      </c>
      <c r="H725" t="str">
        <f>IFERROR(__xludf.DUMMYFUNCTION("""COMPUTED_VALUE"""),"FINAL")</f>
        <v>FINAL</v>
      </c>
      <c r="I725" t="str">
        <f>IFERROR(__xludf.DUMMYFUNCTION("""COMPUTED_VALUE"""),"-7½")</f>
        <v>-7½</v>
      </c>
      <c r="J725" t="str">
        <f>IFERROR(__xludf.DUMMYFUNCTION("""COMPUTED_VALUE"""),"49½")</f>
        <v>49½</v>
      </c>
      <c r="K725" t="str">
        <f>IFERROR(__xludf.DUMMYFUNCTION("""COMPUTED_VALUE"""),"Adam")</f>
        <v>Adam</v>
      </c>
      <c r="L725" t="str">
        <f>IFERROR(__xludf.DUMMYFUNCTION("""COMPUTED_VALUE"""),"FINAL")</f>
        <v>FINAL</v>
      </c>
      <c r="M725" s="124">
        <v>6.0</v>
      </c>
    </row>
    <row r="726">
      <c r="A726" s="151">
        <f>IFERROR(__xludf.DUMMYFUNCTION("""COMPUTED_VALUE"""),43744.147749525466)</f>
        <v>43744.14775</v>
      </c>
      <c r="B726" t="str">
        <f>IFERROR(__xludf.DUMMYFUNCTION("""COMPUTED_VALUE"""),"DavEmily")</f>
        <v>DavEmily</v>
      </c>
      <c r="C726" t="str">
        <f>IFERROR(__xludf.DUMMYFUNCTION("""COMPUTED_VALUE"""),"Tulsa")</f>
        <v>Tulsa</v>
      </c>
      <c r="D726">
        <f>IFERROR(__xludf.DUMMYFUNCTION("""COMPUTED_VALUE"""),2.0)</f>
        <v>2</v>
      </c>
      <c r="E726">
        <f>IFERROR(__xludf.DUMMYFUNCTION("""COMPUTED_VALUE"""),3.0)</f>
        <v>3</v>
      </c>
      <c r="F726" t="str">
        <f>IFERROR(__xludf.DUMMYFUNCTION("""COMPUTED_VALUE"""),"ESPN2")</f>
        <v>ESPN2</v>
      </c>
      <c r="G726" t="str">
        <f>IFERROR(__xludf.DUMMYFUNCTION("""COMPUTED_VALUE"""),"Tulsa 37 at SMU 43")</f>
        <v>Tulsa 37 at SMU 43</v>
      </c>
      <c r="H726" t="str">
        <f>IFERROR(__xludf.DUMMYFUNCTION("""COMPUTED_VALUE"""),"FINAL - 3RD OT")</f>
        <v>FINAL - 3RD OT</v>
      </c>
      <c r="I726">
        <f>IFERROR(__xludf.DUMMYFUNCTION("""COMPUTED_VALUE"""),13.0)</f>
        <v>13</v>
      </c>
      <c r="J726">
        <f>IFERROR(__xludf.DUMMYFUNCTION("""COMPUTED_VALUE"""),63.0)</f>
        <v>63</v>
      </c>
      <c r="K726" t="str">
        <f>IFERROR(__xludf.DUMMYFUNCTION("""COMPUTED_VALUE"""),"Jeannine")</f>
        <v>Jeannine</v>
      </c>
      <c r="L726" t="str">
        <f>IFERROR(__xludf.DUMMYFUNCTION("""COMPUTED_VALUE"""),"FINAL - 3RD OT")</f>
        <v>FINAL - 3RD OT</v>
      </c>
      <c r="M726" s="124">
        <v>6.0</v>
      </c>
    </row>
    <row r="727">
      <c r="A727" s="151">
        <f>IFERROR(__xludf.DUMMYFUNCTION("""COMPUTED_VALUE"""),43744.147749525466)</f>
        <v>43744.14775</v>
      </c>
      <c r="B727" t="str">
        <f>IFERROR(__xludf.DUMMYFUNCTION("""COMPUTED_VALUE"""),"DavEmily")</f>
        <v>DavEmily</v>
      </c>
      <c r="C727" t="str">
        <f>IFERROR(__xludf.DUMMYFUNCTION("""COMPUTED_VALUE"""),"California")</f>
        <v>California</v>
      </c>
      <c r="D727">
        <f>IFERROR(__xludf.DUMMYFUNCTION("""COMPUTED_VALUE"""),4.0)</f>
        <v>4</v>
      </c>
      <c r="E727">
        <f>IFERROR(__xludf.DUMMYFUNCTION("""COMPUTED_VALUE"""),2.0)</f>
        <v>2</v>
      </c>
      <c r="F727" t="str">
        <f>IFERROR(__xludf.DUMMYFUNCTION("""COMPUTED_VALUE"""),"Pac-12 Bay Area")</f>
        <v>Pac-12 Bay Area</v>
      </c>
      <c r="G727" t="str">
        <f>IFERROR(__xludf.DUMMYFUNCTION("""COMPUTED_VALUE"""),"California 7 at (13) Oregon 17")</f>
        <v>California 7 at (13) Oregon 17</v>
      </c>
      <c r="H727" t="str">
        <f>IFERROR(__xludf.DUMMYFUNCTION("""COMPUTED_VALUE"""),"FINAL")</f>
        <v>FINAL</v>
      </c>
      <c r="I727">
        <f>IFERROR(__xludf.DUMMYFUNCTION("""COMPUTED_VALUE"""),18.0)</f>
        <v>18</v>
      </c>
      <c r="J727" t="str">
        <f>IFERROR(__xludf.DUMMYFUNCTION("""COMPUTED_VALUE"""),"46½")</f>
        <v>46½</v>
      </c>
      <c r="K727" t="str">
        <f>IFERROR(__xludf.DUMMYFUNCTION("""COMPUTED_VALUE"""),"Justin")</f>
        <v>Justin</v>
      </c>
      <c r="L727" t="str">
        <f>IFERROR(__xludf.DUMMYFUNCTION("""COMPUTED_VALUE"""),"FINAL")</f>
        <v>FINAL</v>
      </c>
      <c r="M727" s="124">
        <v>6.0</v>
      </c>
    </row>
    <row r="728">
      <c r="A728" s="151">
        <f>IFERROR(__xludf.DUMMYFUNCTION("""COMPUTED_VALUE"""),43744.147749525466)</f>
        <v>43744.14775</v>
      </c>
      <c r="B728" t="str">
        <f>IFERROR(__xludf.DUMMYFUNCTION("""COMPUTED_VALUE"""),"DavEmily")</f>
        <v>DavEmily</v>
      </c>
      <c r="C728" t="str">
        <f>IFERROR(__xludf.DUMMYFUNCTION("""COMPUTED_VALUE"""),"UTSA")</f>
        <v>UTSA</v>
      </c>
      <c r="D728">
        <f>IFERROR(__xludf.DUMMYFUNCTION("""COMPUTED_VALUE"""),2.0)</f>
        <v>2</v>
      </c>
      <c r="E728">
        <f>IFERROR(__xludf.DUMMYFUNCTION("""COMPUTED_VALUE"""),3.0)</f>
        <v>3</v>
      </c>
      <c r="F728" t="str">
        <f>IFERROR(__xludf.DUMMYFUNCTION("""COMPUTED_VALUE"""),"NFL Network")</f>
        <v>NFL Network</v>
      </c>
      <c r="G728" t="str">
        <f>IFERROR(__xludf.DUMMYFUNCTION("""COMPUTED_VALUE"""),"UTSA 26 at UTEP 16")</f>
        <v>UTSA 26 at UTEP 16</v>
      </c>
      <c r="H728" t="str">
        <f>IFERROR(__xludf.DUMMYFUNCTION("""COMPUTED_VALUE"""),"FINAL")</f>
        <v>FINAL</v>
      </c>
      <c r="I728" t="str">
        <f>IFERROR(__xludf.DUMMYFUNCTION("""COMPUTED_VALUE"""),"1½")</f>
        <v>1½</v>
      </c>
      <c r="J728" t="str">
        <f>IFERROR(__xludf.DUMMYFUNCTION("""COMPUTED_VALUE"""),"45½")</f>
        <v>45½</v>
      </c>
      <c r="K728" t="str">
        <f>IFERROR(__xludf.DUMMYFUNCTION("""COMPUTED_VALUE"""),"Undrafted")</f>
        <v>Undrafted</v>
      </c>
      <c r="L728" t="str">
        <f>IFERROR(__xludf.DUMMYFUNCTION("""COMPUTED_VALUE"""),"FINAL")</f>
        <v>FINAL</v>
      </c>
      <c r="M728" s="124">
        <v>6.0</v>
      </c>
    </row>
    <row r="729">
      <c r="A729" s="151">
        <f>IFERROR(__xludf.DUMMYFUNCTION("""COMPUTED_VALUE"""),43744.147749525466)</f>
        <v>43744.14775</v>
      </c>
      <c r="B729" t="str">
        <f>IFERROR(__xludf.DUMMYFUNCTION("""COMPUTED_VALUE"""),"DavEmily")</f>
        <v>DavEmily</v>
      </c>
      <c r="C729" t="str">
        <f>IFERROR(__xludf.DUMMYFUNCTION("""COMPUTED_VALUE"""),"Coastal Carolina")</f>
        <v>Coastal Carolina</v>
      </c>
      <c r="D729">
        <f>IFERROR(__xludf.DUMMYFUNCTION("""COMPUTED_VALUE"""),3.0)</f>
        <v>3</v>
      </c>
      <c r="E729">
        <f>IFERROR(__xludf.DUMMYFUNCTION("""COMPUTED_VALUE"""),2.0)</f>
        <v>2</v>
      </c>
      <c r="F729" t="str">
        <f>IFERROR(__xludf.DUMMYFUNCTION("""COMPUTED_VALUE"""),"espn3 Video")</f>
        <v>espn3 Video</v>
      </c>
      <c r="G729" t="str">
        <f>IFERROR(__xludf.DUMMYFUNCTION("""COMPUTED_VALUE"""),"BYE")</f>
        <v>BYE</v>
      </c>
      <c r="I729" t="str">
        <f>IFERROR(__xludf.DUMMYFUNCTION("""COMPUTED_VALUE"""),"bye")</f>
        <v>bye</v>
      </c>
      <c r="J729" t="str">
        <f>IFERROR(__xludf.DUMMYFUNCTION("""COMPUTED_VALUE"""),"bye")</f>
        <v>bye</v>
      </c>
      <c r="L729">
        <f>IFERROR(__xludf.DUMMYFUNCTION("""COMPUTED_VALUE"""),9999.0)</f>
        <v>9999</v>
      </c>
      <c r="M729" s="124">
        <v>6.0</v>
      </c>
    </row>
    <row r="730">
      <c r="A730" s="151">
        <f>IFERROR(__xludf.DUMMYFUNCTION("""COMPUTED_VALUE"""),43744.147749525466)</f>
        <v>43744.14775</v>
      </c>
      <c r="B730" t="str">
        <f>IFERROR(__xludf.DUMMYFUNCTION("""COMPUTED_VALUE"""),"DavEmily")</f>
        <v>DavEmily</v>
      </c>
      <c r="C730" t="str">
        <f>IFERROR(__xludf.DUMMYFUNCTION("""COMPUTED_VALUE"""),"Fresno State")</f>
        <v>Fresno State</v>
      </c>
      <c r="D730">
        <f>IFERROR(__xludf.DUMMYFUNCTION("""COMPUTED_VALUE"""),2.0)</f>
        <v>2</v>
      </c>
      <c r="E730">
        <f>IFERROR(__xludf.DUMMYFUNCTION("""COMPUTED_VALUE"""),2.0)</f>
        <v>2</v>
      </c>
      <c r="F730" t="str">
        <f>IFERROR(__xludf.DUMMYFUNCTION("""COMPUTED_VALUE"""),"NA")</f>
        <v>NA</v>
      </c>
      <c r="G730" t="str">
        <f>IFERROR(__xludf.DUMMYFUNCTION("""COMPUTED_VALUE"""),"BYE")</f>
        <v>BYE</v>
      </c>
      <c r="I730" t="str">
        <f>IFERROR(__xludf.DUMMYFUNCTION("""COMPUTED_VALUE"""),"bye")</f>
        <v>bye</v>
      </c>
      <c r="J730" t="str">
        <f>IFERROR(__xludf.DUMMYFUNCTION("""COMPUTED_VALUE"""),"bye")</f>
        <v>bye</v>
      </c>
      <c r="L730">
        <f>IFERROR(__xludf.DUMMYFUNCTION("""COMPUTED_VALUE"""),9999.0)</f>
        <v>9999</v>
      </c>
      <c r="M730" s="124">
        <v>6.0</v>
      </c>
    </row>
    <row r="731">
      <c r="A731" s="151">
        <f>IFERROR(__xludf.DUMMYFUNCTION("""COMPUTED_VALUE"""),43744.147749525466)</f>
        <v>43744.14775</v>
      </c>
      <c r="B731" t="str">
        <f>IFERROR(__xludf.DUMMYFUNCTION("""COMPUTED_VALUE"""),"DavEmily")</f>
        <v>DavEmily</v>
      </c>
      <c r="C731" t="str">
        <f>IFERROR(__xludf.DUMMYFUNCTION("""COMPUTED_VALUE"""),"Alabama")</f>
        <v>Alabama</v>
      </c>
      <c r="D731">
        <f>IFERROR(__xludf.DUMMYFUNCTION("""COMPUTED_VALUE"""),5.0)</f>
        <v>5</v>
      </c>
      <c r="E731">
        <f>IFERROR(__xludf.DUMMYFUNCTION("""COMPUTED_VALUE"""),0.0)</f>
        <v>0</v>
      </c>
      <c r="F731" t="str">
        <f>IFERROR(__xludf.DUMMYFUNCTION("""COMPUTED_VALUE"""),"CBS")</f>
        <v>CBS</v>
      </c>
      <c r="G731" t="str">
        <f>IFERROR(__xludf.DUMMYFUNCTION("""COMPUTED_VALUE"""),"BYE")</f>
        <v>BYE</v>
      </c>
      <c r="I731" t="str">
        <f>IFERROR(__xludf.DUMMYFUNCTION("""COMPUTED_VALUE"""),"bye")</f>
        <v>bye</v>
      </c>
      <c r="J731" t="str">
        <f>IFERROR(__xludf.DUMMYFUNCTION("""COMPUTED_VALUE"""),"bye")</f>
        <v>bye</v>
      </c>
      <c r="L731">
        <f>IFERROR(__xludf.DUMMYFUNCTION("""COMPUTED_VALUE"""),9999.0)</f>
        <v>9999</v>
      </c>
      <c r="M731" s="124">
        <v>6.0</v>
      </c>
    </row>
    <row r="732">
      <c r="A732" s="151">
        <f>IFERROR(__xludf.DUMMYFUNCTION("""COMPUTED_VALUE"""),43744.147749525466)</f>
        <v>43744.14775</v>
      </c>
      <c r="B732" t="str">
        <f>IFERROR(__xludf.DUMMYFUNCTION("""COMPUTED_VALUE"""),"Nick A.")</f>
        <v>Nick A.</v>
      </c>
      <c r="C732" t="str">
        <f>IFERROR(__xludf.DUMMYFUNCTION("""COMPUTED_VALUE"""),"East Carolina")</f>
        <v>East Carolina</v>
      </c>
      <c r="D732">
        <f>IFERROR(__xludf.DUMMYFUNCTION("""COMPUTED_VALUE"""),3.0)</f>
        <v>3</v>
      </c>
      <c r="E732">
        <f>IFERROR(__xludf.DUMMYFUNCTION("""COMPUTED_VALUE"""),3.0)</f>
        <v>3</v>
      </c>
      <c r="F732" t="str">
        <f>IFERROR(__xludf.DUMMYFUNCTION("""COMPUTED_VALUE"""),"CBSSN")</f>
        <v>CBSSN</v>
      </c>
      <c r="G732" t="str">
        <f>IFERROR(__xludf.DUMMYFUNCTION("""COMPUTED_VALUE"""),"Temple 27 at East Carolina 17")</f>
        <v>Temple 27 at East Carolina 17</v>
      </c>
      <c r="H732" t="str">
        <f>IFERROR(__xludf.DUMMYFUNCTION("""COMPUTED_VALUE"""),"FINAL")</f>
        <v>FINAL</v>
      </c>
      <c r="I732" t="str">
        <f>IFERROR(__xludf.DUMMYFUNCTION("""COMPUTED_VALUE"""),"11½")</f>
        <v>11½</v>
      </c>
      <c r="J732">
        <f>IFERROR(__xludf.DUMMYFUNCTION("""COMPUTED_VALUE"""),49.0)</f>
        <v>49</v>
      </c>
      <c r="K732" t="str">
        <f>IFERROR(__xludf.DUMMYFUNCTION("""COMPUTED_VALUE"""),"Josh R.")</f>
        <v>Josh R.</v>
      </c>
      <c r="L732" t="str">
        <f>IFERROR(__xludf.DUMMYFUNCTION("""COMPUTED_VALUE"""),"FINAL")</f>
        <v>FINAL</v>
      </c>
      <c r="M732" s="124">
        <v>6.0</v>
      </c>
    </row>
    <row r="733">
      <c r="A733" s="151">
        <f>IFERROR(__xludf.DUMMYFUNCTION("""COMPUTED_VALUE"""),43744.147749525466)</f>
        <v>43744.14775</v>
      </c>
      <c r="B733" t="str">
        <f>IFERROR(__xludf.DUMMYFUNCTION("""COMPUTED_VALUE"""),"Nick A.")</f>
        <v>Nick A.</v>
      </c>
      <c r="C733" t="str">
        <f>IFERROR(__xludf.DUMMYFUNCTION("""COMPUTED_VALUE"""),"LSU")</f>
        <v>LSU</v>
      </c>
      <c r="D733">
        <f>IFERROR(__xludf.DUMMYFUNCTION("""COMPUTED_VALUE"""),5.0)</f>
        <v>5</v>
      </c>
      <c r="E733">
        <f>IFERROR(__xludf.DUMMYFUNCTION("""COMPUTED_VALUE"""),0.0)</f>
        <v>0</v>
      </c>
      <c r="F733" t="str">
        <f>IFERROR(__xludf.DUMMYFUNCTION("""COMPUTED_VALUE"""),"SEC Network")</f>
        <v>SEC Network</v>
      </c>
      <c r="G733" t="str">
        <f>IFERROR(__xludf.DUMMYFUNCTION("""COMPUTED_VALUE"""),"Utah State 6 at (6) LSU 42")</f>
        <v>Utah State 6 at (6) LSU 42</v>
      </c>
      <c r="H733" t="str">
        <f>IFERROR(__xludf.DUMMYFUNCTION("""COMPUTED_VALUE"""),"FINAL")</f>
        <v>FINAL</v>
      </c>
      <c r="I733">
        <f>IFERROR(__xludf.DUMMYFUNCTION("""COMPUTED_VALUE"""),-28.0)</f>
        <v>-28</v>
      </c>
      <c r="J733" t="str">
        <f>IFERROR(__xludf.DUMMYFUNCTION("""COMPUTED_VALUE"""),"72½")</f>
        <v>72½</v>
      </c>
      <c r="K733" t="str">
        <f>IFERROR(__xludf.DUMMYFUNCTION("""COMPUTED_VALUE"""),"Gary")</f>
        <v>Gary</v>
      </c>
      <c r="L733" t="str">
        <f>IFERROR(__xludf.DUMMYFUNCTION("""COMPUTED_VALUE"""),"FINAL")</f>
        <v>FINAL</v>
      </c>
      <c r="M733" s="124">
        <v>6.0</v>
      </c>
    </row>
    <row r="734">
      <c r="A734" s="151">
        <f>IFERROR(__xludf.DUMMYFUNCTION("""COMPUTED_VALUE"""),43744.147749525466)</f>
        <v>43744.14775</v>
      </c>
      <c r="B734" t="str">
        <f>IFERROR(__xludf.DUMMYFUNCTION("""COMPUTED_VALUE"""),"Nick A.")</f>
        <v>Nick A.</v>
      </c>
      <c r="C734" t="str">
        <f>IFERROR(__xludf.DUMMYFUNCTION("""COMPUTED_VALUE"""),"Iowa State")</f>
        <v>Iowa State</v>
      </c>
      <c r="D734">
        <f>IFERROR(__xludf.DUMMYFUNCTION("""COMPUTED_VALUE"""),3.0)</f>
        <v>3</v>
      </c>
      <c r="E734">
        <f>IFERROR(__xludf.DUMMYFUNCTION("""COMPUTED_VALUE"""),2.0)</f>
        <v>2</v>
      </c>
      <c r="F734" t="str">
        <f>IFERROR(__xludf.DUMMYFUNCTION("""COMPUTED_VALUE"""),"FS1")</f>
        <v>FS1</v>
      </c>
      <c r="G734" t="str">
        <f>IFERROR(__xludf.DUMMYFUNCTION("""COMPUTED_VALUE"""),"TCU 24 at Iowa State 49")</f>
        <v>TCU 24 at Iowa State 49</v>
      </c>
      <c r="H734" t="str">
        <f>IFERROR(__xludf.DUMMYFUNCTION("""COMPUTED_VALUE"""),"FINAL")</f>
        <v>FINAL</v>
      </c>
      <c r="I734" t="str">
        <f>IFERROR(__xludf.DUMMYFUNCTION("""COMPUTED_VALUE"""),"-3½")</f>
        <v>-3½</v>
      </c>
      <c r="J734">
        <f>IFERROR(__xludf.DUMMYFUNCTION("""COMPUTED_VALUE"""),45.0)</f>
        <v>45</v>
      </c>
      <c r="K734" t="str">
        <f>IFERROR(__xludf.DUMMYFUNCTION("""COMPUTED_VALUE"""),"Vu")</f>
        <v>Vu</v>
      </c>
      <c r="L734" t="str">
        <f>IFERROR(__xludf.DUMMYFUNCTION("""COMPUTED_VALUE"""),"FINAL")</f>
        <v>FINAL</v>
      </c>
      <c r="M734" s="124">
        <v>6.0</v>
      </c>
    </row>
    <row r="735">
      <c r="A735" s="151">
        <f>IFERROR(__xludf.DUMMYFUNCTION("""COMPUTED_VALUE"""),43744.147749525466)</f>
        <v>43744.14775</v>
      </c>
      <c r="B735" t="str">
        <f>IFERROR(__xludf.DUMMYFUNCTION("""COMPUTED_VALUE"""),"Nick A.")</f>
        <v>Nick A.</v>
      </c>
      <c r="C735" t="str">
        <f>IFERROR(__xludf.DUMMYFUNCTION("""COMPUTED_VALUE"""),"Bowling Green")</f>
        <v>Bowling Green</v>
      </c>
      <c r="D735">
        <f>IFERROR(__xludf.DUMMYFUNCTION("""COMPUTED_VALUE"""),1.0)</f>
        <v>1</v>
      </c>
      <c r="E735">
        <f>IFERROR(__xludf.DUMMYFUNCTION("""COMPUTED_VALUE"""),4.0)</f>
        <v>4</v>
      </c>
      <c r="F735" t="str">
        <f>IFERROR(__xludf.DUMMYFUNCTION("""COMPUTED_VALUE"""),"espn+ Video")</f>
        <v>espn+ Video</v>
      </c>
      <c r="G735" t="str">
        <f>IFERROR(__xludf.DUMMYFUNCTION("""COMPUTED_VALUE"""),"Bowling Green 0 at (10) Notre Dame 52")</f>
        <v>Bowling Green 0 at (10) Notre Dame 52</v>
      </c>
      <c r="H735" t="str">
        <f>IFERROR(__xludf.DUMMYFUNCTION("""COMPUTED_VALUE"""),"FINAL")</f>
        <v>FINAL</v>
      </c>
      <c r="I735" t="str">
        <f>IFERROR(__xludf.DUMMYFUNCTION("""COMPUTED_VALUE"""),"45½")</f>
        <v>45½</v>
      </c>
      <c r="J735" t="str">
        <f>IFERROR(__xludf.DUMMYFUNCTION("""COMPUTED_VALUE"""),"60½")</f>
        <v>60½</v>
      </c>
      <c r="K735" t="str">
        <f>IFERROR(__xludf.DUMMYFUNCTION("""COMPUTED_VALUE"""),"DavEmily")</f>
        <v>DavEmily</v>
      </c>
      <c r="L735" t="str">
        <f>IFERROR(__xludf.DUMMYFUNCTION("""COMPUTED_VALUE"""),"FINAL")</f>
        <v>FINAL</v>
      </c>
      <c r="M735" s="124">
        <v>6.0</v>
      </c>
    </row>
    <row r="736">
      <c r="A736" s="151">
        <f>IFERROR(__xludf.DUMMYFUNCTION("""COMPUTED_VALUE"""),43744.147749525466)</f>
        <v>43744.14775</v>
      </c>
      <c r="B736" t="str">
        <f>IFERROR(__xludf.DUMMYFUNCTION("""COMPUTED_VALUE"""),"Nick A.")</f>
        <v>Nick A.</v>
      </c>
      <c r="C736" t="str">
        <f>IFERROR(__xludf.DUMMYFUNCTION("""COMPUTED_VALUE"""),"Old Dominion")</f>
        <v>Old Dominion</v>
      </c>
      <c r="D736">
        <f>IFERROR(__xludf.DUMMYFUNCTION("""COMPUTED_VALUE"""),1.0)</f>
        <v>1</v>
      </c>
      <c r="E736">
        <f>IFERROR(__xludf.DUMMYFUNCTION("""COMPUTED_VALUE"""),4.0)</f>
        <v>4</v>
      </c>
      <c r="F736" t="str">
        <f>IFERROR(__xludf.DUMMYFUNCTION("""COMPUTED_VALUE"""),"NA")</f>
        <v>NA</v>
      </c>
      <c r="G736" t="str">
        <f>IFERROR(__xludf.DUMMYFUNCTION("""COMPUTED_VALUE"""),"Western Kentucky 20 at Old Dominion 3")</f>
        <v>Western Kentucky 20 at Old Dominion 3</v>
      </c>
      <c r="H736" t="str">
        <f>IFERROR(__xludf.DUMMYFUNCTION("""COMPUTED_VALUE"""),"FINAL")</f>
        <v>FINAL</v>
      </c>
      <c r="I736" t="str">
        <f>IFERROR(__xludf.DUMMYFUNCTION("""COMPUTED_VALUE"""),"3½")</f>
        <v>3½</v>
      </c>
      <c r="J736" t="str">
        <f>IFERROR(__xludf.DUMMYFUNCTION("""COMPUTED_VALUE"""),"44½")</f>
        <v>44½</v>
      </c>
      <c r="K736" t="str">
        <f>IFERROR(__xludf.DUMMYFUNCTION("""COMPUTED_VALUE"""),"Justin")</f>
        <v>Justin</v>
      </c>
      <c r="L736" t="str">
        <f>IFERROR(__xludf.DUMMYFUNCTION("""COMPUTED_VALUE"""),"FINAL")</f>
        <v>FINAL</v>
      </c>
      <c r="M736" s="124">
        <v>6.0</v>
      </c>
    </row>
    <row r="737">
      <c r="A737" s="151">
        <f>IFERROR(__xludf.DUMMYFUNCTION("""COMPUTED_VALUE"""),43744.147749525466)</f>
        <v>43744.14775</v>
      </c>
      <c r="B737" t="str">
        <f>IFERROR(__xludf.DUMMYFUNCTION("""COMPUTED_VALUE"""),"Nick A.")</f>
        <v>Nick A.</v>
      </c>
      <c r="C737" t="str">
        <f>IFERROR(__xludf.DUMMYFUNCTION("""COMPUTED_VALUE"""),"Michigan State")</f>
        <v>Michigan State</v>
      </c>
      <c r="D737">
        <f>IFERROR(__xludf.DUMMYFUNCTION("""COMPUTED_VALUE"""),4.0)</f>
        <v>4</v>
      </c>
      <c r="E737">
        <f>IFERROR(__xludf.DUMMYFUNCTION("""COMPUTED_VALUE"""),2.0)</f>
        <v>2</v>
      </c>
      <c r="F737" t="str">
        <f>IFERROR(__xludf.DUMMYFUNCTION("""COMPUTED_VALUE"""),"FOX")</f>
        <v>FOX</v>
      </c>
      <c r="G737" t="str">
        <f>IFERROR(__xludf.DUMMYFUNCTION("""COMPUTED_VALUE"""),"(23) Michigan State 10 at (5) Ohio State 34")</f>
        <v>(23) Michigan State 10 at (5) Ohio State 34</v>
      </c>
      <c r="H737" t="str">
        <f>IFERROR(__xludf.DUMMYFUNCTION("""COMPUTED_VALUE"""),"FINAL")</f>
        <v>FINAL</v>
      </c>
      <c r="I737">
        <f>IFERROR(__xludf.DUMMYFUNCTION("""COMPUTED_VALUE"""),20.0)</f>
        <v>20</v>
      </c>
      <c r="J737">
        <f>IFERROR(__xludf.DUMMYFUNCTION("""COMPUTED_VALUE"""),49.0)</f>
        <v>49</v>
      </c>
      <c r="K737" t="str">
        <f>IFERROR(__xludf.DUMMYFUNCTION("""COMPUTED_VALUE"""),"Nick G.")</f>
        <v>Nick G.</v>
      </c>
      <c r="L737" t="str">
        <f>IFERROR(__xludf.DUMMYFUNCTION("""COMPUTED_VALUE"""),"FINAL")</f>
        <v>FINAL</v>
      </c>
      <c r="M737" s="124">
        <v>6.0</v>
      </c>
    </row>
    <row r="738">
      <c r="A738" s="151">
        <f>IFERROR(__xludf.DUMMYFUNCTION("""COMPUTED_VALUE"""),43744.147749525466)</f>
        <v>43744.14775</v>
      </c>
      <c r="B738" t="str">
        <f>IFERROR(__xludf.DUMMYFUNCTION("""COMPUTED_VALUE"""),"Nick A.")</f>
        <v>Nick A.</v>
      </c>
      <c r="C738" t="str">
        <f>IFERROR(__xludf.DUMMYFUNCTION("""COMPUTED_VALUE"""),"New Mexico State")</f>
        <v>New Mexico State</v>
      </c>
      <c r="D738">
        <f>IFERROR(__xludf.DUMMYFUNCTION("""COMPUTED_VALUE"""),0.0)</f>
        <v>0</v>
      </c>
      <c r="E738">
        <f>IFERROR(__xludf.DUMMYFUNCTION("""COMPUTED_VALUE"""),6.0)</f>
        <v>6</v>
      </c>
      <c r="F738" t="str">
        <f>IFERROR(__xludf.DUMMYFUNCTION("""COMPUTED_VALUE"""),"Flo Football")</f>
        <v>Flo Football</v>
      </c>
      <c r="G738" t="str">
        <f>IFERROR(__xludf.DUMMYFUNCTION("""COMPUTED_VALUE"""),"Liberty 20 at New Mexico State 13")</f>
        <v>Liberty 20 at New Mexico State 13</v>
      </c>
      <c r="H738" t="str">
        <f>IFERROR(__xludf.DUMMYFUNCTION("""COMPUTED_VALUE"""),"FINAL")</f>
        <v>FINAL</v>
      </c>
      <c r="I738" t="str">
        <f>IFERROR(__xludf.DUMMYFUNCTION("""COMPUTED_VALUE"""),"5½")</f>
        <v>5½</v>
      </c>
      <c r="J738">
        <f>IFERROR(__xludf.DUMMYFUNCTION("""COMPUTED_VALUE"""),60.0)</f>
        <v>60</v>
      </c>
      <c r="K738" t="str">
        <f>IFERROR(__xludf.DUMMYFUNCTION("""COMPUTED_VALUE"""),"Undrafted")</f>
        <v>Undrafted</v>
      </c>
      <c r="L738" t="str">
        <f>IFERROR(__xludf.DUMMYFUNCTION("""COMPUTED_VALUE"""),"FINAL")</f>
        <v>FINAL</v>
      </c>
      <c r="M738" s="124">
        <v>6.0</v>
      </c>
    </row>
    <row r="739">
      <c r="A739" s="151">
        <f>IFERROR(__xludf.DUMMYFUNCTION("""COMPUTED_VALUE"""),43744.147749525466)</f>
        <v>43744.14775</v>
      </c>
      <c r="B739" t="str">
        <f>IFERROR(__xludf.DUMMYFUNCTION("""COMPUTED_VALUE"""),"Nick A.")</f>
        <v>Nick A.</v>
      </c>
      <c r="C739" t="str">
        <f>IFERROR(__xludf.DUMMYFUNCTION("""COMPUTED_VALUE"""),"San Diego State")</f>
        <v>San Diego State</v>
      </c>
      <c r="D739">
        <f>IFERROR(__xludf.DUMMYFUNCTION("""COMPUTED_VALUE"""),4.0)</f>
        <v>4</v>
      </c>
      <c r="E739">
        <f>IFERROR(__xludf.DUMMYFUNCTION("""COMPUTED_VALUE"""),1.0)</f>
        <v>1</v>
      </c>
      <c r="F739" t="str">
        <f>IFERROR(__xludf.DUMMYFUNCTION("""COMPUTED_VALUE"""),"Flo Football")</f>
        <v>Flo Football</v>
      </c>
      <c r="G739" t="str">
        <f>IFERROR(__xludf.DUMMYFUNCTION("""COMPUTED_VALUE"""),"San Diego State 24 at Colorado State 10")</f>
        <v>San Diego State 24 at Colorado State 10</v>
      </c>
      <c r="H739" t="str">
        <f>IFERROR(__xludf.DUMMYFUNCTION("""COMPUTED_VALUE"""),"FINAL")</f>
        <v>FINAL</v>
      </c>
      <c r="I739" t="str">
        <f>IFERROR(__xludf.DUMMYFUNCTION("""COMPUTED_VALUE"""),"-7½")</f>
        <v>-7½</v>
      </c>
      <c r="J739" t="str">
        <f>IFERROR(__xludf.DUMMYFUNCTION("""COMPUTED_VALUE"""),"51½")</f>
        <v>51½</v>
      </c>
      <c r="K739" t="str">
        <f>IFERROR(__xludf.DUMMYFUNCTION("""COMPUTED_VALUE"""),"Brad")</f>
        <v>Brad</v>
      </c>
      <c r="L739" t="str">
        <f>IFERROR(__xludf.DUMMYFUNCTION("""COMPUTED_VALUE"""),"FINAL")</f>
        <v>FINAL</v>
      </c>
      <c r="M739" s="124">
        <v>6.0</v>
      </c>
    </row>
    <row r="740">
      <c r="A740" s="151">
        <f>IFERROR(__xludf.DUMMYFUNCTION("""COMPUTED_VALUE"""),43744.147749525466)</f>
        <v>43744.14775</v>
      </c>
      <c r="B740" t="str">
        <f>IFERROR(__xludf.DUMMYFUNCTION("""COMPUTED_VALUE"""),"Nick A.")</f>
        <v>Nick A.</v>
      </c>
      <c r="C740" t="str">
        <f>IFERROR(__xludf.DUMMYFUNCTION("""COMPUTED_VALUE"""),"Clemson")</f>
        <v>Clemson</v>
      </c>
      <c r="D740">
        <f>IFERROR(__xludf.DUMMYFUNCTION("""COMPUTED_VALUE"""),5.0)</f>
        <v>5</v>
      </c>
      <c r="E740">
        <f>IFERROR(__xludf.DUMMYFUNCTION("""COMPUTED_VALUE"""),0.0)</f>
        <v>0</v>
      </c>
      <c r="F740" t="str">
        <f>IFERROR(__xludf.DUMMYFUNCTION("""COMPUTED_VALUE"""),"ABC")</f>
        <v>ABC</v>
      </c>
      <c r="G740" t="str">
        <f>IFERROR(__xludf.DUMMYFUNCTION("""COMPUTED_VALUE"""),"BYE")</f>
        <v>BYE</v>
      </c>
      <c r="I740" t="str">
        <f>IFERROR(__xludf.DUMMYFUNCTION("""COMPUTED_VALUE"""),"bye")</f>
        <v>bye</v>
      </c>
      <c r="J740" t="str">
        <f>IFERROR(__xludf.DUMMYFUNCTION("""COMPUTED_VALUE"""),"bye")</f>
        <v>bye</v>
      </c>
      <c r="L740">
        <f>IFERROR(__xludf.DUMMYFUNCTION("""COMPUTED_VALUE"""),9999.0)</f>
        <v>9999</v>
      </c>
      <c r="M740" s="124">
        <v>6.0</v>
      </c>
    </row>
    <row r="741">
      <c r="A741" s="151">
        <f>IFERROR(__xludf.DUMMYFUNCTION("""COMPUTED_VALUE"""),43744.147749525466)</f>
        <v>43744.14775</v>
      </c>
      <c r="B741" t="str">
        <f>IFERROR(__xludf.DUMMYFUNCTION("""COMPUTED_VALUE"""),"Nick A.")</f>
        <v>Nick A.</v>
      </c>
      <c r="C741" t="str">
        <f>IFERROR(__xludf.DUMMYFUNCTION("""COMPUTED_VALUE"""),"Washington State")</f>
        <v>Washington State</v>
      </c>
      <c r="D741">
        <f>IFERROR(__xludf.DUMMYFUNCTION("""COMPUTED_VALUE"""),3.0)</f>
        <v>3</v>
      </c>
      <c r="E741">
        <f>IFERROR(__xludf.DUMMYFUNCTION("""COMPUTED_VALUE"""),2.0)</f>
        <v>2</v>
      </c>
      <c r="F741" t="str">
        <f>IFERROR(__xludf.DUMMYFUNCTION("""COMPUTED_VALUE"""),"ESPN")</f>
        <v>ESPN</v>
      </c>
      <c r="G741" t="str">
        <f>IFERROR(__xludf.DUMMYFUNCTION("""COMPUTED_VALUE"""),"BYE")</f>
        <v>BYE</v>
      </c>
      <c r="I741" t="str">
        <f>IFERROR(__xludf.DUMMYFUNCTION("""COMPUTED_VALUE"""),"bye")</f>
        <v>bye</v>
      </c>
      <c r="J741" t="str">
        <f>IFERROR(__xludf.DUMMYFUNCTION("""COMPUTED_VALUE"""),"bye")</f>
        <v>bye</v>
      </c>
      <c r="L741">
        <f>IFERROR(__xludf.DUMMYFUNCTION("""COMPUTED_VALUE"""),9999.0)</f>
        <v>9999</v>
      </c>
      <c r="M741" s="124">
        <v>6.0</v>
      </c>
    </row>
    <row r="742">
      <c r="A742" s="151">
        <f>IFERROR(__xludf.DUMMYFUNCTION("""COMPUTED_VALUE"""),43744.147749525466)</f>
        <v>43744.14775</v>
      </c>
      <c r="B742" t="str">
        <f>IFERROR(__xludf.DUMMYFUNCTION("""COMPUTED_VALUE"""),"Gary")</f>
        <v>Gary</v>
      </c>
      <c r="C742" t="str">
        <f>IFERROR(__xludf.DUMMYFUNCTION("""COMPUTED_VALUE"""),"Utah State")</f>
        <v>Utah State</v>
      </c>
      <c r="D742">
        <f>IFERROR(__xludf.DUMMYFUNCTION("""COMPUTED_VALUE"""),3.0)</f>
        <v>3</v>
      </c>
      <c r="E742">
        <f>IFERROR(__xludf.DUMMYFUNCTION("""COMPUTED_VALUE"""),2.0)</f>
        <v>2</v>
      </c>
      <c r="F742" t="str">
        <f>IFERROR(__xludf.DUMMYFUNCTION("""COMPUTED_VALUE"""),"NA")</f>
        <v>NA</v>
      </c>
      <c r="G742" t="str">
        <f>IFERROR(__xludf.DUMMYFUNCTION("""COMPUTED_VALUE"""),"Utah State 6 at (6) LSU 42")</f>
        <v>Utah State 6 at (6) LSU 42</v>
      </c>
      <c r="H742" t="str">
        <f>IFERROR(__xludf.DUMMYFUNCTION("""COMPUTED_VALUE"""),"FINAL")</f>
        <v>FINAL</v>
      </c>
      <c r="I742">
        <f>IFERROR(__xludf.DUMMYFUNCTION("""COMPUTED_VALUE"""),28.0)</f>
        <v>28</v>
      </c>
      <c r="J742" t="str">
        <f>IFERROR(__xludf.DUMMYFUNCTION("""COMPUTED_VALUE"""),"72½")</f>
        <v>72½</v>
      </c>
      <c r="K742" t="str">
        <f>IFERROR(__xludf.DUMMYFUNCTION("""COMPUTED_VALUE"""),"Nick A.")</f>
        <v>Nick A.</v>
      </c>
      <c r="L742" t="str">
        <f>IFERROR(__xludf.DUMMYFUNCTION("""COMPUTED_VALUE"""),"FINAL")</f>
        <v>FINAL</v>
      </c>
      <c r="M742" s="124">
        <v>6.0</v>
      </c>
    </row>
    <row r="743">
      <c r="A743" s="151">
        <f>IFERROR(__xludf.DUMMYFUNCTION("""COMPUTED_VALUE"""),43744.147749525466)</f>
        <v>43744.14775</v>
      </c>
      <c r="B743" t="str">
        <f>IFERROR(__xludf.DUMMYFUNCTION("""COMPUTED_VALUE"""),"Gary")</f>
        <v>Gary</v>
      </c>
      <c r="C743" t="str">
        <f>IFERROR(__xludf.DUMMYFUNCTION("""COMPUTED_VALUE"""),"Maryland")</f>
        <v>Maryland</v>
      </c>
      <c r="D743">
        <f>IFERROR(__xludf.DUMMYFUNCTION("""COMPUTED_VALUE"""),3.0)</f>
        <v>3</v>
      </c>
      <c r="E743">
        <f>IFERROR(__xludf.DUMMYFUNCTION("""COMPUTED_VALUE"""),2.0)</f>
        <v>2</v>
      </c>
      <c r="F743" t="str">
        <f>IFERROR(__xludf.DUMMYFUNCTION("""COMPUTED_VALUE"""),"CBSSN")</f>
        <v>CBSSN</v>
      </c>
      <c r="G743" t="str">
        <f>IFERROR(__xludf.DUMMYFUNCTION("""COMPUTED_VALUE"""),"Maryland 48 at Rutgers 7")</f>
        <v>Maryland 48 at Rutgers 7</v>
      </c>
      <c r="H743" t="str">
        <f>IFERROR(__xludf.DUMMYFUNCTION("""COMPUTED_VALUE"""),"FINAL")</f>
        <v>FINAL</v>
      </c>
      <c r="I743" t="str">
        <f>IFERROR(__xludf.DUMMYFUNCTION("""COMPUTED_VALUE"""),"-13½")</f>
        <v>-13½</v>
      </c>
      <c r="J743">
        <f>IFERROR(__xludf.DUMMYFUNCTION("""COMPUTED_VALUE"""),54.0)</f>
        <v>54</v>
      </c>
      <c r="K743" t="str">
        <f>IFERROR(__xludf.DUMMYFUNCTION("""COMPUTED_VALUE"""),"Undrafted")</f>
        <v>Undrafted</v>
      </c>
      <c r="L743" t="str">
        <f>IFERROR(__xludf.DUMMYFUNCTION("""COMPUTED_VALUE"""),"FINAL")</f>
        <v>FINAL</v>
      </c>
      <c r="M743" s="124">
        <v>6.0</v>
      </c>
    </row>
    <row r="744">
      <c r="A744" s="151">
        <f>IFERROR(__xludf.DUMMYFUNCTION("""COMPUTED_VALUE"""),43744.147749525466)</f>
        <v>43744.14775</v>
      </c>
      <c r="B744" t="str">
        <f>IFERROR(__xludf.DUMMYFUNCTION("""COMPUTED_VALUE"""),"Gary")</f>
        <v>Gary</v>
      </c>
      <c r="C744" t="str">
        <f>IFERROR(__xludf.DUMMYFUNCTION("""COMPUTED_VALUE"""),"Tulane")</f>
        <v>Tulane</v>
      </c>
      <c r="D744">
        <f>IFERROR(__xludf.DUMMYFUNCTION("""COMPUTED_VALUE"""),4.0)</f>
        <v>4</v>
      </c>
      <c r="E744">
        <f>IFERROR(__xludf.DUMMYFUNCTION("""COMPUTED_VALUE"""),1.0)</f>
        <v>1</v>
      </c>
      <c r="F744" t="str">
        <f>IFERROR(__xludf.DUMMYFUNCTION("""COMPUTED_VALUE"""),"espn3 Video")</f>
        <v>espn3 Video</v>
      </c>
      <c r="G744" t="str">
        <f>IFERROR(__xludf.DUMMYFUNCTION("""COMPUTED_VALUE"""),"Tulane 42 at Army 33")</f>
        <v>Tulane 42 at Army 33</v>
      </c>
      <c r="H744" t="str">
        <f>IFERROR(__xludf.DUMMYFUNCTION("""COMPUTED_VALUE"""),"FINAL")</f>
        <v>FINAL</v>
      </c>
      <c r="I744">
        <f>IFERROR(__xludf.DUMMYFUNCTION("""COMPUTED_VALUE"""),-3.0)</f>
        <v>-3</v>
      </c>
      <c r="J744" t="str">
        <f>IFERROR(__xludf.DUMMYFUNCTION("""COMPUTED_VALUE"""),"45½")</f>
        <v>45½</v>
      </c>
      <c r="K744" t="str">
        <f>IFERROR(__xludf.DUMMYFUNCTION("""COMPUTED_VALUE"""),"Josh R.")</f>
        <v>Josh R.</v>
      </c>
      <c r="L744" t="str">
        <f>IFERROR(__xludf.DUMMYFUNCTION("""COMPUTED_VALUE"""),"FINAL")</f>
        <v>FINAL</v>
      </c>
      <c r="M744" s="124">
        <v>6.0</v>
      </c>
    </row>
    <row r="745">
      <c r="A745" s="151">
        <f>IFERROR(__xludf.DUMMYFUNCTION("""COMPUTED_VALUE"""),43744.147749525466)</f>
        <v>43744.14775</v>
      </c>
      <c r="B745" t="str">
        <f>IFERROR(__xludf.DUMMYFUNCTION("""COMPUTED_VALUE"""),"Gary")</f>
        <v>Gary</v>
      </c>
      <c r="C745" t="str">
        <f>IFERROR(__xludf.DUMMYFUNCTION("""COMPUTED_VALUE"""),"Ohio")</f>
        <v>Ohio</v>
      </c>
      <c r="D745">
        <f>IFERROR(__xludf.DUMMYFUNCTION("""COMPUTED_VALUE"""),2.0)</f>
        <v>2</v>
      </c>
      <c r="E745">
        <f>IFERROR(__xludf.DUMMYFUNCTION("""COMPUTED_VALUE"""),3.0)</f>
        <v>3</v>
      </c>
      <c r="F745" t="str">
        <f>IFERROR(__xludf.DUMMYFUNCTION("""COMPUTED_VALUE"""),"Facebook Video")</f>
        <v>Facebook Video</v>
      </c>
      <c r="G745" t="str">
        <f>IFERROR(__xludf.DUMMYFUNCTION("""COMPUTED_VALUE"""),"Ohio 21 at Buffalo 20")</f>
        <v>Ohio 21 at Buffalo 20</v>
      </c>
      <c r="H745" t="str">
        <f>IFERROR(__xludf.DUMMYFUNCTION("""COMPUTED_VALUE"""),"FINAL - OT")</f>
        <v>FINAL - OT</v>
      </c>
      <c r="I745" t="str">
        <f>IFERROR(__xludf.DUMMYFUNCTION("""COMPUTED_VALUE"""),"-3½")</f>
        <v>-3½</v>
      </c>
      <c r="J745" t="str">
        <f>IFERROR(__xludf.DUMMYFUNCTION("""COMPUTED_VALUE"""),"54½")</f>
        <v>54½</v>
      </c>
      <c r="K745" t="str">
        <f>IFERROR(__xludf.DUMMYFUNCTION("""COMPUTED_VALUE"""),"Justin")</f>
        <v>Justin</v>
      </c>
      <c r="L745" t="str">
        <f>IFERROR(__xludf.DUMMYFUNCTION("""COMPUTED_VALUE"""),"FINAL - OT")</f>
        <v>FINAL - OT</v>
      </c>
      <c r="M745" s="124">
        <v>6.0</v>
      </c>
    </row>
    <row r="746">
      <c r="A746" s="151">
        <f>IFERROR(__xludf.DUMMYFUNCTION("""COMPUTED_VALUE"""),43744.147749525466)</f>
        <v>43744.14775</v>
      </c>
      <c r="B746" t="str">
        <f>IFERROR(__xludf.DUMMYFUNCTION("""COMPUTED_VALUE"""),"Gary")</f>
        <v>Gary</v>
      </c>
      <c r="C746" t="str">
        <f>IFERROR(__xludf.DUMMYFUNCTION("""COMPUTED_VALUE"""),"Marshall")</f>
        <v>Marshall</v>
      </c>
      <c r="D746">
        <f>IFERROR(__xludf.DUMMYFUNCTION("""COMPUTED_VALUE"""),2.0)</f>
        <v>2</v>
      </c>
      <c r="E746">
        <f>IFERROR(__xludf.DUMMYFUNCTION("""COMPUTED_VALUE"""),3.0)</f>
        <v>3</v>
      </c>
      <c r="F746" t="str">
        <f>IFERROR(__xludf.DUMMYFUNCTION("""COMPUTED_VALUE"""),"Facebook Video")</f>
        <v>Facebook Video</v>
      </c>
      <c r="G746" t="str">
        <f>IFERROR(__xludf.DUMMYFUNCTION("""COMPUTED_VALUE"""),"Marshall 13 at Middle Tennessee 24")</f>
        <v>Marshall 13 at Middle Tennessee 24</v>
      </c>
      <c r="H746" t="str">
        <f>IFERROR(__xludf.DUMMYFUNCTION("""COMPUTED_VALUE"""),"FINAL")</f>
        <v>FINAL</v>
      </c>
      <c r="I746">
        <f>IFERROR(__xludf.DUMMYFUNCTION("""COMPUTED_VALUE"""),-4.0)</f>
        <v>-4</v>
      </c>
      <c r="J746">
        <f>IFERROR(__xludf.DUMMYFUNCTION("""COMPUTED_VALUE"""),56.0)</f>
        <v>56</v>
      </c>
      <c r="K746" t="str">
        <f>IFERROR(__xludf.DUMMYFUNCTION("""COMPUTED_VALUE"""),"Nico")</f>
        <v>Nico</v>
      </c>
      <c r="L746" t="str">
        <f>IFERROR(__xludf.DUMMYFUNCTION("""COMPUTED_VALUE"""),"FINAL")</f>
        <v>FINAL</v>
      </c>
      <c r="M746" s="124">
        <v>6.0</v>
      </c>
    </row>
    <row r="747">
      <c r="A747" s="151">
        <f>IFERROR(__xludf.DUMMYFUNCTION("""COMPUTED_VALUE"""),43744.147749525466)</f>
        <v>43744.14775</v>
      </c>
      <c r="B747" t="str">
        <f>IFERROR(__xludf.DUMMYFUNCTION("""COMPUTED_VALUE"""),"Gary")</f>
        <v>Gary</v>
      </c>
      <c r="C747" t="str">
        <f>IFERROR(__xludf.DUMMYFUNCTION("""COMPUTED_VALUE"""),"Missouri")</f>
        <v>Missouri</v>
      </c>
      <c r="D747">
        <f>IFERROR(__xludf.DUMMYFUNCTION("""COMPUTED_VALUE"""),4.0)</f>
        <v>4</v>
      </c>
      <c r="E747">
        <f>IFERROR(__xludf.DUMMYFUNCTION("""COMPUTED_VALUE"""),1.0)</f>
        <v>1</v>
      </c>
      <c r="F747" t="str">
        <f>IFERROR(__xludf.DUMMYFUNCTION("""COMPUTED_VALUE"""),"SEC Network alternate")</f>
        <v>SEC Network alternate</v>
      </c>
      <c r="G747" t="str">
        <f>IFERROR(__xludf.DUMMYFUNCTION("""COMPUTED_VALUE"""),"Troy 10 at Missouri 42")</f>
        <v>Troy 10 at Missouri 42</v>
      </c>
      <c r="H747" t="str">
        <f>IFERROR(__xludf.DUMMYFUNCTION("""COMPUTED_VALUE"""),"FINAL")</f>
        <v>FINAL</v>
      </c>
      <c r="I747">
        <f>IFERROR(__xludf.DUMMYFUNCTION("""COMPUTED_VALUE"""),-25.0)</f>
        <v>-25</v>
      </c>
      <c r="J747">
        <f>IFERROR(__xludf.DUMMYFUNCTION("""COMPUTED_VALUE"""),66.0)</f>
        <v>66</v>
      </c>
      <c r="K747" t="str">
        <f>IFERROR(__xludf.DUMMYFUNCTION("""COMPUTED_VALUE"""),"Nick G.")</f>
        <v>Nick G.</v>
      </c>
      <c r="L747" t="str">
        <f>IFERROR(__xludf.DUMMYFUNCTION("""COMPUTED_VALUE"""),"FINAL")</f>
        <v>FINAL</v>
      </c>
      <c r="M747" s="124">
        <v>6.0</v>
      </c>
    </row>
    <row r="748">
      <c r="A748" s="151">
        <f>IFERROR(__xludf.DUMMYFUNCTION("""COMPUTED_VALUE"""),43744.147749525466)</f>
        <v>43744.14775</v>
      </c>
      <c r="B748" t="str">
        <f>IFERROR(__xludf.DUMMYFUNCTION("""COMPUTED_VALUE"""),"Gary")</f>
        <v>Gary</v>
      </c>
      <c r="C748" t="str">
        <f>IFERROR(__xludf.DUMMYFUNCTION("""COMPUTED_VALUE"""),"Pittsburgh")</f>
        <v>Pittsburgh</v>
      </c>
      <c r="D748">
        <f>IFERROR(__xludf.DUMMYFUNCTION("""COMPUTED_VALUE"""),4.0)</f>
        <v>4</v>
      </c>
      <c r="E748">
        <f>IFERROR(__xludf.DUMMYFUNCTION("""COMPUTED_VALUE"""),2.0)</f>
        <v>2</v>
      </c>
      <c r="F748" t="str">
        <f>IFERROR(__xludf.DUMMYFUNCTION("""COMPUTED_VALUE"""),"ABC")</f>
        <v>ABC</v>
      </c>
      <c r="G748" t="str">
        <f>IFERROR(__xludf.DUMMYFUNCTION("""COMPUTED_VALUE"""),"Pittsburgh 33 at Duke 30")</f>
        <v>Pittsburgh 33 at Duke 30</v>
      </c>
      <c r="H748" t="str">
        <f>IFERROR(__xludf.DUMMYFUNCTION("""COMPUTED_VALUE"""),"FINAL")</f>
        <v>FINAL</v>
      </c>
      <c r="I748">
        <f>IFERROR(__xludf.DUMMYFUNCTION("""COMPUTED_VALUE"""),4.0)</f>
        <v>4</v>
      </c>
      <c r="J748" t="str">
        <f>IFERROR(__xludf.DUMMYFUNCTION("""COMPUTED_VALUE"""),"48½")</f>
        <v>48½</v>
      </c>
      <c r="K748" t="str">
        <f>IFERROR(__xludf.DUMMYFUNCTION("""COMPUTED_VALUE"""),"Justin")</f>
        <v>Justin</v>
      </c>
      <c r="L748" t="str">
        <f>IFERROR(__xludf.DUMMYFUNCTION("""COMPUTED_VALUE"""),"FINAL")</f>
        <v>FINAL</v>
      </c>
      <c r="M748" s="124">
        <v>6.0</v>
      </c>
    </row>
    <row r="749">
      <c r="A749" s="151">
        <f>IFERROR(__xludf.DUMMYFUNCTION("""COMPUTED_VALUE"""),43744.147749525466)</f>
        <v>43744.14775</v>
      </c>
      <c r="B749" t="str">
        <f>IFERROR(__xludf.DUMMYFUNCTION("""COMPUTED_VALUE"""),"Gary")</f>
        <v>Gary</v>
      </c>
      <c r="C749" t="str">
        <f>IFERROR(__xludf.DUMMYFUNCTION("""COMPUTED_VALUE"""),"UCLA")</f>
        <v>UCLA</v>
      </c>
      <c r="D749">
        <f>IFERROR(__xludf.DUMMYFUNCTION("""COMPUTED_VALUE"""),1.0)</f>
        <v>1</v>
      </c>
      <c r="E749">
        <f>IFERROR(__xludf.DUMMYFUNCTION("""COMPUTED_VALUE"""),5.0)</f>
        <v>5</v>
      </c>
      <c r="F749" t="str">
        <f>IFERROR(__xludf.DUMMYFUNCTION("""COMPUTED_VALUE"""),"FOX")</f>
        <v>FOX</v>
      </c>
      <c r="G749" t="str">
        <f>IFERROR(__xludf.DUMMYFUNCTION("""COMPUTED_VALUE"""),"Oregon State 48 at UCLA 31")</f>
        <v>Oregon State 48 at UCLA 31</v>
      </c>
      <c r="H749" t="str">
        <f>IFERROR(__xludf.DUMMYFUNCTION("""COMPUTED_VALUE"""),"FINAL")</f>
        <v>FINAL</v>
      </c>
      <c r="I749" t="str">
        <f>IFERROR(__xludf.DUMMYFUNCTION("""COMPUTED_VALUE"""),"-5½")</f>
        <v>-5½</v>
      </c>
      <c r="J749" t="str">
        <f>IFERROR(__xludf.DUMMYFUNCTION("""COMPUTED_VALUE"""),"65½")</f>
        <v>65½</v>
      </c>
      <c r="K749" t="str">
        <f>IFERROR(__xludf.DUMMYFUNCTION("""COMPUTED_VALUE"""),"Adam")</f>
        <v>Adam</v>
      </c>
      <c r="L749" t="str">
        <f>IFERROR(__xludf.DUMMYFUNCTION("""COMPUTED_VALUE"""),"FINAL")</f>
        <v>FINAL</v>
      </c>
      <c r="M749" s="124">
        <v>6.0</v>
      </c>
    </row>
    <row r="750">
      <c r="A750" s="151">
        <f>IFERROR(__xludf.DUMMYFUNCTION("""COMPUTED_VALUE"""),43744.147749525466)</f>
        <v>43744.14775</v>
      </c>
      <c r="B750" t="str">
        <f>IFERROR(__xludf.DUMMYFUNCTION("""COMPUTED_VALUE"""),"Gary")</f>
        <v>Gary</v>
      </c>
      <c r="C750" t="str">
        <f>IFERROR(__xludf.DUMMYFUNCTION("""COMPUTED_VALUE"""),"BYU")</f>
        <v>BYU</v>
      </c>
      <c r="D750">
        <f>IFERROR(__xludf.DUMMYFUNCTION("""COMPUTED_VALUE"""),2.0)</f>
        <v>2</v>
      </c>
      <c r="E750">
        <f>IFERROR(__xludf.DUMMYFUNCTION("""COMPUTED_VALUE"""),3.0)</f>
        <v>3</v>
      </c>
      <c r="F750" t="str">
        <f>IFERROR(__xludf.DUMMYFUNCTION("""COMPUTED_VALUE"""),"ABC")</f>
        <v>ABC</v>
      </c>
      <c r="G750" t="str">
        <f>IFERROR(__xludf.DUMMYFUNCTION("""COMPUTED_VALUE"""),"BYE")</f>
        <v>BYE</v>
      </c>
      <c r="I750" t="str">
        <f>IFERROR(__xludf.DUMMYFUNCTION("""COMPUTED_VALUE"""),"bye")</f>
        <v>bye</v>
      </c>
      <c r="J750" t="str">
        <f>IFERROR(__xludf.DUMMYFUNCTION("""COMPUTED_VALUE"""),"bye")</f>
        <v>bye</v>
      </c>
      <c r="L750">
        <f>IFERROR(__xludf.DUMMYFUNCTION("""COMPUTED_VALUE"""),9999.0)</f>
        <v>9999</v>
      </c>
      <c r="M750" s="124">
        <v>6.0</v>
      </c>
    </row>
    <row r="751">
      <c r="A751" s="151">
        <f>IFERROR(__xludf.DUMMYFUNCTION("""COMPUTED_VALUE"""),43744.147749525466)</f>
        <v>43744.14775</v>
      </c>
      <c r="B751" t="str">
        <f>IFERROR(__xludf.DUMMYFUNCTION("""COMPUTED_VALUE"""),"Gary")</f>
        <v>Gary</v>
      </c>
      <c r="C751" t="str">
        <f>IFERROR(__xludf.DUMMYFUNCTION("""COMPUTED_VALUE"""),"UL Lafayette")</f>
        <v>UL Lafayette</v>
      </c>
      <c r="D751">
        <f>IFERROR(__xludf.DUMMYFUNCTION("""COMPUTED_VALUE"""),3.0)</f>
        <v>3</v>
      </c>
      <c r="E751">
        <f>IFERROR(__xludf.DUMMYFUNCTION("""COMPUTED_VALUE"""),1.0)</f>
        <v>1</v>
      </c>
      <c r="F751" t="str">
        <f>IFERROR(__xludf.DUMMYFUNCTION("""COMPUTED_VALUE"""),"NA")</f>
        <v>NA</v>
      </c>
      <c r="G751" t="str">
        <f>IFERROR(__xludf.DUMMYFUNCTION("""COMPUTED_VALUE"""),"BYE")</f>
        <v>BYE</v>
      </c>
      <c r="I751" t="str">
        <f>IFERROR(__xludf.DUMMYFUNCTION("""COMPUTED_VALUE"""),"bye")</f>
        <v>bye</v>
      </c>
      <c r="J751" t="str">
        <f>IFERROR(__xludf.DUMMYFUNCTION("""COMPUTED_VALUE"""),"bye")</f>
        <v>bye</v>
      </c>
      <c r="L751">
        <f>IFERROR(__xludf.DUMMYFUNCTION("""COMPUTED_VALUE"""),9999.0)</f>
        <v>9999</v>
      </c>
      <c r="M751" s="124">
        <v>6.0</v>
      </c>
    </row>
    <row r="752">
      <c r="A752" s="151">
        <f>IFERROR(__xludf.DUMMYFUNCTION("""COMPUTED_VALUE"""),43744.147749525466)</f>
        <v>43744.14775</v>
      </c>
      <c r="B752" t="str">
        <f>IFERROR(__xludf.DUMMYFUNCTION("""COMPUTED_VALUE"""),"Janice/Mike")</f>
        <v>Janice/Mike</v>
      </c>
      <c r="C752" t="str">
        <f>IFERROR(__xludf.DUMMYFUNCTION("""COMPUTED_VALUE"""),"Georgia Southern")</f>
        <v>Georgia Southern</v>
      </c>
      <c r="D752">
        <f>IFERROR(__xludf.DUMMYFUNCTION("""COMPUTED_VALUE"""),2.0)</f>
        <v>2</v>
      </c>
      <c r="E752">
        <f>IFERROR(__xludf.DUMMYFUNCTION("""COMPUTED_VALUE"""),3.0)</f>
        <v>3</v>
      </c>
      <c r="F752" t="str">
        <f>IFERROR(__xludf.DUMMYFUNCTION("""COMPUTED_VALUE"""),"BTN")</f>
        <v>BTN</v>
      </c>
      <c r="G752" t="str">
        <f>IFERROR(__xludf.DUMMYFUNCTION("""COMPUTED_VALUE"""),"Georgia Southern 20 at South Alabama 17")</f>
        <v>Georgia Southern 20 at South Alabama 17</v>
      </c>
      <c r="H752" t="str">
        <f>IFERROR(__xludf.DUMMYFUNCTION("""COMPUTED_VALUE"""),"FINAL - 2ND OT")</f>
        <v>FINAL - 2ND OT</v>
      </c>
      <c r="I752">
        <f>IFERROR(__xludf.DUMMYFUNCTION("""COMPUTED_VALUE"""),-10.0)</f>
        <v>-10</v>
      </c>
      <c r="J752">
        <f>IFERROR(__xludf.DUMMYFUNCTION("""COMPUTED_VALUE"""),46.0)</f>
        <v>46</v>
      </c>
      <c r="K752" t="str">
        <f>IFERROR(__xludf.DUMMYFUNCTION("""COMPUTED_VALUE"""),"Vu")</f>
        <v>Vu</v>
      </c>
      <c r="L752" t="str">
        <f>IFERROR(__xludf.DUMMYFUNCTION("""COMPUTED_VALUE"""),"FINAL - 2ND OT")</f>
        <v>FINAL - 2ND OT</v>
      </c>
      <c r="M752" s="124">
        <v>6.0</v>
      </c>
    </row>
    <row r="753">
      <c r="A753" s="151">
        <f>IFERROR(__xludf.DUMMYFUNCTION("""COMPUTED_VALUE"""),43744.147749525466)</f>
        <v>43744.14775</v>
      </c>
      <c r="B753" t="str">
        <f>IFERROR(__xludf.DUMMYFUNCTION("""COMPUTED_VALUE"""),"Janice/Mike")</f>
        <v>Janice/Mike</v>
      </c>
      <c r="C753" t="str">
        <f>IFERROR(__xludf.DUMMYFUNCTION("""COMPUTED_VALUE"""),"Wisconsin")</f>
        <v>Wisconsin</v>
      </c>
      <c r="D753">
        <f>IFERROR(__xludf.DUMMYFUNCTION("""COMPUTED_VALUE"""),5.0)</f>
        <v>5</v>
      </c>
      <c r="E753">
        <f>IFERROR(__xludf.DUMMYFUNCTION("""COMPUTED_VALUE"""),0.0)</f>
        <v>0</v>
      </c>
      <c r="F753" t="str">
        <f>IFERROR(__xludf.DUMMYFUNCTION("""COMPUTED_VALUE"""),"NA")</f>
        <v>NA</v>
      </c>
      <c r="G753" t="str">
        <f>IFERROR(__xludf.DUMMYFUNCTION("""COMPUTED_VALUE"""),"Kent State 0 at (9) Wisconsin 48")</f>
        <v>Kent State 0 at (9) Wisconsin 48</v>
      </c>
      <c r="H753" t="str">
        <f>IFERROR(__xludf.DUMMYFUNCTION("""COMPUTED_VALUE"""),"FINAL")</f>
        <v>FINAL</v>
      </c>
      <c r="I753" t="str">
        <f>IFERROR(__xludf.DUMMYFUNCTION("""COMPUTED_VALUE"""),"-36½")</f>
        <v>-36½</v>
      </c>
      <c r="J753" t="str">
        <f>IFERROR(__xludf.DUMMYFUNCTION("""COMPUTED_VALUE"""),"57½")</f>
        <v>57½</v>
      </c>
      <c r="K753" t="str">
        <f>IFERROR(__xludf.DUMMYFUNCTION("""COMPUTED_VALUE"""),"Vu")</f>
        <v>Vu</v>
      </c>
      <c r="L753" t="str">
        <f>IFERROR(__xludf.DUMMYFUNCTION("""COMPUTED_VALUE"""),"FINAL")</f>
        <v>FINAL</v>
      </c>
      <c r="M753" s="124">
        <v>6.0</v>
      </c>
    </row>
    <row r="754">
      <c r="A754" s="151">
        <f>IFERROR(__xludf.DUMMYFUNCTION("""COMPUTED_VALUE"""),43744.147749525466)</f>
        <v>43744.14775</v>
      </c>
      <c r="B754" t="str">
        <f>IFERROR(__xludf.DUMMYFUNCTION("""COMPUTED_VALUE"""),"Janice/Mike")</f>
        <v>Janice/Mike</v>
      </c>
      <c r="C754" t="str">
        <f>IFERROR(__xludf.DUMMYFUNCTION("""COMPUTED_VALUE"""),"Texas Tech")</f>
        <v>Texas Tech</v>
      </c>
      <c r="D754">
        <f>IFERROR(__xludf.DUMMYFUNCTION("""COMPUTED_VALUE"""),3.0)</f>
        <v>3</v>
      </c>
      <c r="E754">
        <f>IFERROR(__xludf.DUMMYFUNCTION("""COMPUTED_VALUE"""),2.0)</f>
        <v>2</v>
      </c>
      <c r="F754" t="str">
        <f>IFERROR(__xludf.DUMMYFUNCTION("""COMPUTED_VALUE"""),"ESPN")</f>
        <v>ESPN</v>
      </c>
      <c r="G754" t="str">
        <f>IFERROR(__xludf.DUMMYFUNCTION("""COMPUTED_VALUE"""),"(25) Oklahoma State 35 at Texas Tech 45")</f>
        <v>(25) Oklahoma State 35 at Texas Tech 45</v>
      </c>
      <c r="H754" t="str">
        <f>IFERROR(__xludf.DUMMYFUNCTION("""COMPUTED_VALUE"""),"FINAL")</f>
        <v>FINAL</v>
      </c>
      <c r="I754">
        <f>IFERROR(__xludf.DUMMYFUNCTION("""COMPUTED_VALUE"""),10.0)</f>
        <v>10</v>
      </c>
      <c r="J754">
        <f>IFERROR(__xludf.DUMMYFUNCTION("""COMPUTED_VALUE"""),64.0)</f>
        <v>64</v>
      </c>
      <c r="K754" t="str">
        <f>IFERROR(__xludf.DUMMYFUNCTION("""COMPUTED_VALUE"""),"Brad")</f>
        <v>Brad</v>
      </c>
      <c r="L754" t="str">
        <f>IFERROR(__xludf.DUMMYFUNCTION("""COMPUTED_VALUE"""),"FINAL")</f>
        <v>FINAL</v>
      </c>
      <c r="M754" s="124">
        <v>6.0</v>
      </c>
    </row>
    <row r="755">
      <c r="A755" s="151">
        <f>IFERROR(__xludf.DUMMYFUNCTION("""COMPUTED_VALUE"""),43744.147749525466)</f>
        <v>43744.14775</v>
      </c>
      <c r="B755" t="str">
        <f>IFERROR(__xludf.DUMMYFUNCTION("""COMPUTED_VALUE"""),"Janice/Mike")</f>
        <v>Janice/Mike</v>
      </c>
      <c r="C755" t="str">
        <f>IFERROR(__xludf.DUMMYFUNCTION("""COMPUTED_VALUE"""),"Boston College")</f>
        <v>Boston College</v>
      </c>
      <c r="D755">
        <f>IFERROR(__xludf.DUMMYFUNCTION("""COMPUTED_VALUE"""),3.0)</f>
        <v>3</v>
      </c>
      <c r="E755">
        <f>IFERROR(__xludf.DUMMYFUNCTION("""COMPUTED_VALUE"""),3.0)</f>
        <v>3</v>
      </c>
      <c r="F755" t="str">
        <f>IFERROR(__xludf.DUMMYFUNCTION("""COMPUTED_VALUE"""),"ACC Network")</f>
        <v>ACC Network</v>
      </c>
      <c r="G755" t="str">
        <f>IFERROR(__xludf.DUMMYFUNCTION("""COMPUTED_VALUE"""),"Boston College 39 at Louisville 41")</f>
        <v>Boston College 39 at Louisville 41</v>
      </c>
      <c r="H755" t="str">
        <f>IFERROR(__xludf.DUMMYFUNCTION("""COMPUTED_VALUE"""),"FINAL")</f>
        <v>FINAL</v>
      </c>
      <c r="I755" t="str">
        <f>IFERROR(__xludf.DUMMYFUNCTION("""COMPUTED_VALUE"""),"6½")</f>
        <v>6½</v>
      </c>
      <c r="J755" t="str">
        <f>IFERROR(__xludf.DUMMYFUNCTION("""COMPUTED_VALUE"""),"60½")</f>
        <v>60½</v>
      </c>
      <c r="K755" t="str">
        <f>IFERROR(__xludf.DUMMYFUNCTION("""COMPUTED_VALUE"""),"Undrafted")</f>
        <v>Undrafted</v>
      </c>
      <c r="L755" t="str">
        <f>IFERROR(__xludf.DUMMYFUNCTION("""COMPUTED_VALUE"""),"FINAL")</f>
        <v>FINAL</v>
      </c>
      <c r="M755" s="124">
        <v>6.0</v>
      </c>
    </row>
    <row r="756">
      <c r="A756" s="151">
        <f>IFERROR(__xludf.DUMMYFUNCTION("""COMPUTED_VALUE"""),43744.147749525466)</f>
        <v>43744.14775</v>
      </c>
      <c r="B756" t="str">
        <f>IFERROR(__xludf.DUMMYFUNCTION("""COMPUTED_VALUE"""),"Janice/Mike")</f>
        <v>Janice/Mike</v>
      </c>
      <c r="C756" t="str">
        <f>IFERROR(__xludf.DUMMYFUNCTION("""COMPUTED_VALUE"""),"Northern Illinois")</f>
        <v>Northern Illinois</v>
      </c>
      <c r="D756">
        <f>IFERROR(__xludf.DUMMYFUNCTION("""COMPUTED_VALUE"""),1.0)</f>
        <v>1</v>
      </c>
      <c r="E756">
        <f>IFERROR(__xludf.DUMMYFUNCTION("""COMPUTED_VALUE"""),4.0)</f>
        <v>4</v>
      </c>
      <c r="F756" t="str">
        <f>IFERROR(__xludf.DUMMYFUNCTION("""COMPUTED_VALUE"""),"FS1")</f>
        <v>FS1</v>
      </c>
      <c r="G756" t="str">
        <f>IFERROR(__xludf.DUMMYFUNCTION("""COMPUTED_VALUE"""),"Ball State 27 at Northern Illinois 20")</f>
        <v>Ball State 27 at Northern Illinois 20</v>
      </c>
      <c r="H756" t="str">
        <f>IFERROR(__xludf.DUMMYFUNCTION("""COMPUTED_VALUE"""),"FINAL")</f>
        <v>FINAL</v>
      </c>
      <c r="I756" t="str">
        <f>IFERROR(__xludf.DUMMYFUNCTION("""COMPUTED_VALUE"""),"-4½")</f>
        <v>-4½</v>
      </c>
      <c r="J756" t="str">
        <f>IFERROR(__xludf.DUMMYFUNCTION("""COMPUTED_VALUE"""),"55½")</f>
        <v>55½</v>
      </c>
      <c r="K756" t="str">
        <f>IFERROR(__xludf.DUMMYFUNCTION("""COMPUTED_VALUE"""),"DavEmily")</f>
        <v>DavEmily</v>
      </c>
      <c r="L756" t="str">
        <f>IFERROR(__xludf.DUMMYFUNCTION("""COMPUTED_VALUE"""),"FINAL")</f>
        <v>FINAL</v>
      </c>
      <c r="M756" s="124">
        <v>6.0</v>
      </c>
    </row>
    <row r="757">
      <c r="A757" s="151">
        <f>IFERROR(__xludf.DUMMYFUNCTION("""COMPUTED_VALUE"""),43744.147749525466)</f>
        <v>43744.14775</v>
      </c>
      <c r="B757" t="str">
        <f>IFERROR(__xludf.DUMMYFUNCTION("""COMPUTED_VALUE"""),"Janice/Mike")</f>
        <v>Janice/Mike</v>
      </c>
      <c r="C757" t="str">
        <f>IFERROR(__xludf.DUMMYFUNCTION("""COMPUTED_VALUE"""),"Navy")</f>
        <v>Navy</v>
      </c>
      <c r="D757">
        <f>IFERROR(__xludf.DUMMYFUNCTION("""COMPUTED_VALUE"""),3.0)</f>
        <v>3</v>
      </c>
      <c r="E757">
        <f>IFERROR(__xludf.DUMMYFUNCTION("""COMPUTED_VALUE"""),1.0)</f>
        <v>1</v>
      </c>
      <c r="F757" t="str">
        <f>IFERROR(__xludf.DUMMYFUNCTION("""COMPUTED_VALUE"""),"CBSSN")</f>
        <v>CBSSN</v>
      </c>
      <c r="G757" t="str">
        <f>IFERROR(__xludf.DUMMYFUNCTION("""COMPUTED_VALUE"""),"Air Force 25 at Navy 34")</f>
        <v>Air Force 25 at Navy 34</v>
      </c>
      <c r="H757" t="str">
        <f>IFERROR(__xludf.DUMMYFUNCTION("""COMPUTED_VALUE"""),"FINAL")</f>
        <v>FINAL</v>
      </c>
      <c r="I757" t="str">
        <f>IFERROR(__xludf.DUMMYFUNCTION("""COMPUTED_VALUE"""),"3½")</f>
        <v>3½</v>
      </c>
      <c r="J757" t="str">
        <f>IFERROR(__xludf.DUMMYFUNCTION("""COMPUTED_VALUE"""),"44½")</f>
        <v>44½</v>
      </c>
      <c r="K757" t="str">
        <f>IFERROR(__xludf.DUMMYFUNCTION("""COMPUTED_VALUE"""),"Adam")</f>
        <v>Adam</v>
      </c>
      <c r="L757" t="str">
        <f>IFERROR(__xludf.DUMMYFUNCTION("""COMPUTED_VALUE"""),"FINAL")</f>
        <v>FINAL</v>
      </c>
      <c r="M757" s="124">
        <v>6.0</v>
      </c>
    </row>
    <row r="758">
      <c r="A758" s="151">
        <f>IFERROR(__xludf.DUMMYFUNCTION("""COMPUTED_VALUE"""),43744.147749525466)</f>
        <v>43744.14775</v>
      </c>
      <c r="B758" t="str">
        <f>IFERROR(__xludf.DUMMYFUNCTION("""COMPUTED_VALUE"""),"Janice/Mike")</f>
        <v>Janice/Mike</v>
      </c>
      <c r="C758" t="str">
        <f>IFERROR(__xludf.DUMMYFUNCTION("""COMPUTED_VALUE"""),"Arizona")</f>
        <v>Arizona</v>
      </c>
      <c r="D758">
        <f>IFERROR(__xludf.DUMMYFUNCTION("""COMPUTED_VALUE"""),4.0)</f>
        <v>4</v>
      </c>
      <c r="E758">
        <f>IFERROR(__xludf.DUMMYFUNCTION("""COMPUTED_VALUE"""),1.0)</f>
        <v>1</v>
      </c>
      <c r="F758" t="str">
        <f>IFERROR(__xludf.DUMMYFUNCTION("""COMPUTED_VALUE"""),"ESPN")</f>
        <v>ESPN</v>
      </c>
      <c r="G758" t="str">
        <f>IFERROR(__xludf.DUMMYFUNCTION("""COMPUTED_VALUE"""),"Arizona 35 at Colorado 30")</f>
        <v>Arizona 35 at Colorado 30</v>
      </c>
      <c r="H758" t="str">
        <f>IFERROR(__xludf.DUMMYFUNCTION("""COMPUTED_VALUE"""),"FINAL")</f>
        <v>FINAL</v>
      </c>
      <c r="I758" t="str">
        <f>IFERROR(__xludf.DUMMYFUNCTION("""COMPUTED_VALUE"""),"4½")</f>
        <v>4½</v>
      </c>
      <c r="J758" t="str">
        <f>IFERROR(__xludf.DUMMYFUNCTION("""COMPUTED_VALUE"""),"63½")</f>
        <v>63½</v>
      </c>
      <c r="K758" t="str">
        <f>IFERROR(__xludf.DUMMYFUNCTION("""COMPUTED_VALUE"""),"Jeannine")</f>
        <v>Jeannine</v>
      </c>
      <c r="L758" t="str">
        <f>IFERROR(__xludf.DUMMYFUNCTION("""COMPUTED_VALUE"""),"FINAL")</f>
        <v>FINAL</v>
      </c>
      <c r="M758" s="124">
        <v>6.0</v>
      </c>
    </row>
    <row r="759">
      <c r="A759" s="151">
        <f>IFERROR(__xludf.DUMMYFUNCTION("""COMPUTED_VALUE"""),43744.147749525466)</f>
        <v>43744.14775</v>
      </c>
      <c r="B759" t="str">
        <f>IFERROR(__xludf.DUMMYFUNCTION("""COMPUTED_VALUE"""),"Janice/Mike")</f>
        <v>Janice/Mike</v>
      </c>
      <c r="C759" t="str">
        <f>IFERROR(__xludf.DUMMYFUNCTION("""COMPUTED_VALUE"""),"Boise State")</f>
        <v>Boise State</v>
      </c>
      <c r="D759">
        <f>IFERROR(__xludf.DUMMYFUNCTION("""COMPUTED_VALUE"""),5.0)</f>
        <v>5</v>
      </c>
      <c r="E759">
        <f>IFERROR(__xludf.DUMMYFUNCTION("""COMPUTED_VALUE"""),0.0)</f>
        <v>0</v>
      </c>
      <c r="F759" t="str">
        <f>IFERROR(__xludf.DUMMYFUNCTION("""COMPUTED_VALUE"""),"ESPN2")</f>
        <v>ESPN2</v>
      </c>
      <c r="G759" t="str">
        <f>IFERROR(__xludf.DUMMYFUNCTION("""COMPUTED_VALUE"""),"(15) Boise State 38 at UNLV 13")</f>
        <v>(15) Boise State 38 at UNLV 13</v>
      </c>
      <c r="H759" t="str">
        <f>IFERROR(__xludf.DUMMYFUNCTION("""COMPUTED_VALUE"""),"FINAL")</f>
        <v>FINAL</v>
      </c>
      <c r="I759">
        <f>IFERROR(__xludf.DUMMYFUNCTION("""COMPUTED_VALUE"""),-23.0)</f>
        <v>-23</v>
      </c>
      <c r="J759" t="str">
        <f>IFERROR(__xludf.DUMMYFUNCTION("""COMPUTED_VALUE"""),"55½")</f>
        <v>55½</v>
      </c>
      <c r="K759" t="str">
        <f>IFERROR(__xludf.DUMMYFUNCTION("""COMPUTED_VALUE"""),"Justin")</f>
        <v>Justin</v>
      </c>
      <c r="L759" t="str">
        <f>IFERROR(__xludf.DUMMYFUNCTION("""COMPUTED_VALUE"""),"FINAL")</f>
        <v>FINAL</v>
      </c>
      <c r="M759" s="124">
        <v>6.0</v>
      </c>
    </row>
    <row r="760">
      <c r="A760" s="151">
        <f>IFERROR(__xludf.DUMMYFUNCTION("""COMPUTED_VALUE"""),43744.147749525466)</f>
        <v>43744.14775</v>
      </c>
      <c r="B760" t="str">
        <f>IFERROR(__xludf.DUMMYFUNCTION("""COMPUTED_VALUE"""),"Janice/Mike")</f>
        <v>Janice/Mike</v>
      </c>
      <c r="C760" t="str">
        <f>IFERROR(__xludf.DUMMYFUNCTION("""COMPUTED_VALUE"""),"Charlotte")</f>
        <v>Charlotte</v>
      </c>
      <c r="D760">
        <f>IFERROR(__xludf.DUMMYFUNCTION("""COMPUTED_VALUE"""),2.0)</f>
        <v>2</v>
      </c>
      <c r="E760">
        <f>IFERROR(__xludf.DUMMYFUNCTION("""COMPUTED_VALUE"""),3.0)</f>
        <v>3</v>
      </c>
      <c r="F760" t="str">
        <f>IFERROR(__xludf.DUMMYFUNCTION("""COMPUTED_VALUE"""),"espn+ Video")</f>
        <v>espn+ Video</v>
      </c>
      <c r="G760" t="str">
        <f>IFERROR(__xludf.DUMMYFUNCTION("""COMPUTED_VALUE"""),"BYE")</f>
        <v>BYE</v>
      </c>
      <c r="I760" t="str">
        <f>IFERROR(__xludf.DUMMYFUNCTION("""COMPUTED_VALUE"""),"bye")</f>
        <v>bye</v>
      </c>
      <c r="J760" t="str">
        <f>IFERROR(__xludf.DUMMYFUNCTION("""COMPUTED_VALUE"""),"bye")</f>
        <v>bye</v>
      </c>
      <c r="L760">
        <f>IFERROR(__xludf.DUMMYFUNCTION("""COMPUTED_VALUE"""),9999.0)</f>
        <v>9999</v>
      </c>
      <c r="M760" s="124">
        <v>6.0</v>
      </c>
    </row>
    <row r="761">
      <c r="A761" s="151">
        <f>IFERROR(__xludf.DUMMYFUNCTION("""COMPUTED_VALUE"""),43744.147749525466)</f>
        <v>43744.14775</v>
      </c>
      <c r="B761" t="str">
        <f>IFERROR(__xludf.DUMMYFUNCTION("""COMPUTED_VALUE"""),"Janice/Mike")</f>
        <v>Janice/Mike</v>
      </c>
      <c r="C761" t="str">
        <f>IFERROR(__xludf.DUMMYFUNCTION("""COMPUTED_VALUE"""),"Arkansas")</f>
        <v>Arkansas</v>
      </c>
      <c r="D761">
        <f>IFERROR(__xludf.DUMMYFUNCTION("""COMPUTED_VALUE"""),2.0)</f>
        <v>2</v>
      </c>
      <c r="E761">
        <f>IFERROR(__xludf.DUMMYFUNCTION("""COMPUTED_VALUE"""),3.0)</f>
        <v>3</v>
      </c>
      <c r="F761" t="str">
        <f>IFERROR(__xludf.DUMMYFUNCTION("""COMPUTED_VALUE"""),"SEC Network")</f>
        <v>SEC Network</v>
      </c>
      <c r="G761" t="str">
        <f>IFERROR(__xludf.DUMMYFUNCTION("""COMPUTED_VALUE"""),"BYE")</f>
        <v>BYE</v>
      </c>
      <c r="I761" t="str">
        <f>IFERROR(__xludf.DUMMYFUNCTION("""COMPUTED_VALUE"""),"bye")</f>
        <v>bye</v>
      </c>
      <c r="J761" t="str">
        <f>IFERROR(__xludf.DUMMYFUNCTION("""COMPUTED_VALUE"""),"bye")</f>
        <v>bye</v>
      </c>
      <c r="L761">
        <f>IFERROR(__xludf.DUMMYFUNCTION("""COMPUTED_VALUE"""),9999.0)</f>
        <v>9999</v>
      </c>
      <c r="M761" s="124">
        <v>6.0</v>
      </c>
    </row>
    <row r="762">
      <c r="A762" s="151">
        <f>IFERROR(__xludf.DUMMYFUNCTION("""COMPUTED_VALUE"""),43744.147749525466)</f>
        <v>43744.14775</v>
      </c>
      <c r="B762" t="str">
        <f>IFERROR(__xludf.DUMMYFUNCTION("""COMPUTED_VALUE"""),"Nico")</f>
        <v>Nico</v>
      </c>
      <c r="C762" t="str">
        <f>IFERROR(__xludf.DUMMYFUNCTION("""COMPUTED_VALUE"""),"New Mexico")</f>
        <v>New Mexico</v>
      </c>
      <c r="D762">
        <f>IFERROR(__xludf.DUMMYFUNCTION("""COMPUTED_VALUE"""),2.0)</f>
        <v>2</v>
      </c>
      <c r="E762">
        <f>IFERROR(__xludf.DUMMYFUNCTION("""COMPUTED_VALUE"""),3.0)</f>
        <v>3</v>
      </c>
      <c r="F762" t="str">
        <f>IFERROR(__xludf.DUMMYFUNCTION("""COMPUTED_VALUE"""),"NBC")</f>
        <v>NBC</v>
      </c>
      <c r="G762" t="str">
        <f>IFERROR(__xludf.DUMMYFUNCTION("""COMPUTED_VALUE"""),"New Mexico 21 at San José State 32")</f>
        <v>New Mexico 21 at San José State 32</v>
      </c>
      <c r="H762" t="str">
        <f>IFERROR(__xludf.DUMMYFUNCTION("""COMPUTED_VALUE"""),"FINAL")</f>
        <v>FINAL</v>
      </c>
      <c r="I762" t="str">
        <f>IFERROR(__xludf.DUMMYFUNCTION("""COMPUTED_VALUE"""),"6½")</f>
        <v>6½</v>
      </c>
      <c r="J762">
        <f>IFERROR(__xludf.DUMMYFUNCTION("""COMPUTED_VALUE"""),64.0)</f>
        <v>64</v>
      </c>
      <c r="K762" t="str">
        <f>IFERROR(__xludf.DUMMYFUNCTION("""COMPUTED_VALUE"""),"Jeannine")</f>
        <v>Jeannine</v>
      </c>
      <c r="L762" t="str">
        <f>IFERROR(__xludf.DUMMYFUNCTION("""COMPUTED_VALUE"""),"FINAL")</f>
        <v>FINAL</v>
      </c>
      <c r="M762" s="124">
        <v>6.0</v>
      </c>
    </row>
    <row r="763">
      <c r="A763" s="151">
        <f>IFERROR(__xludf.DUMMYFUNCTION("""COMPUTED_VALUE"""),43744.147749525466)</f>
        <v>43744.14775</v>
      </c>
      <c r="B763" t="str">
        <f>IFERROR(__xludf.DUMMYFUNCTION("""COMPUTED_VALUE"""),"Nico")</f>
        <v>Nico</v>
      </c>
      <c r="C763" t="str">
        <f>IFERROR(__xludf.DUMMYFUNCTION("""COMPUTED_VALUE"""),"Purdue")</f>
        <v>Purdue</v>
      </c>
      <c r="D763">
        <f>IFERROR(__xludf.DUMMYFUNCTION("""COMPUTED_VALUE"""),1.0)</f>
        <v>1</v>
      </c>
      <c r="E763">
        <f>IFERROR(__xludf.DUMMYFUNCTION("""COMPUTED_VALUE"""),4.0)</f>
        <v>4</v>
      </c>
      <c r="F763" t="str">
        <f>IFERROR(__xludf.DUMMYFUNCTION("""COMPUTED_VALUE"""),"BTN")</f>
        <v>BTN</v>
      </c>
      <c r="G763" t="str">
        <f>IFERROR(__xludf.DUMMYFUNCTION("""COMPUTED_VALUE"""),"Purdue 7 at (11) Penn State 35")</f>
        <v>Purdue 7 at (11) Penn State 35</v>
      </c>
      <c r="H763" t="str">
        <f>IFERROR(__xludf.DUMMYFUNCTION("""COMPUTED_VALUE"""),"FINAL")</f>
        <v>FINAL</v>
      </c>
      <c r="I763">
        <f>IFERROR(__xludf.DUMMYFUNCTION("""COMPUTED_VALUE"""),28.0)</f>
        <v>28</v>
      </c>
      <c r="J763">
        <f>IFERROR(__xludf.DUMMYFUNCTION("""COMPUTED_VALUE"""),56.0)</f>
        <v>56</v>
      </c>
      <c r="K763" t="str">
        <f>IFERROR(__xludf.DUMMYFUNCTION("""COMPUTED_VALUE"""),"Jeannine")</f>
        <v>Jeannine</v>
      </c>
      <c r="L763" t="str">
        <f>IFERROR(__xludf.DUMMYFUNCTION("""COMPUTED_VALUE"""),"FINAL")</f>
        <v>FINAL</v>
      </c>
      <c r="M763" s="124">
        <v>6.0</v>
      </c>
    </row>
    <row r="764">
      <c r="A764" s="151">
        <f>IFERROR(__xludf.DUMMYFUNCTION("""COMPUTED_VALUE"""),43744.147749525466)</f>
        <v>43744.14775</v>
      </c>
      <c r="B764" t="str">
        <f>IFERROR(__xludf.DUMMYFUNCTION("""COMPUTED_VALUE"""),"Nico")</f>
        <v>Nico</v>
      </c>
      <c r="C764" t="str">
        <f>IFERROR(__xludf.DUMMYFUNCTION("""COMPUTED_VALUE"""),"West Virginia")</f>
        <v>West Virginia</v>
      </c>
      <c r="D764">
        <f>IFERROR(__xludf.DUMMYFUNCTION("""COMPUTED_VALUE"""),3.0)</f>
        <v>3</v>
      </c>
      <c r="E764">
        <f>IFERROR(__xludf.DUMMYFUNCTION("""COMPUTED_VALUE"""),2.0)</f>
        <v>2</v>
      </c>
      <c r="F764" t="str">
        <f>IFERROR(__xludf.DUMMYFUNCTION("""COMPUTED_VALUE"""),"FS1")</f>
        <v>FS1</v>
      </c>
      <c r="G764" t="str">
        <f>IFERROR(__xludf.DUMMYFUNCTION("""COMPUTED_VALUE"""),"(12) Texas 42 at West Virginia 31")</f>
        <v>(12) Texas 42 at West Virginia 31</v>
      </c>
      <c r="H764" t="str">
        <f>IFERROR(__xludf.DUMMYFUNCTION("""COMPUTED_VALUE"""),"FINAL")</f>
        <v>FINAL</v>
      </c>
      <c r="I764">
        <f>IFERROR(__xludf.DUMMYFUNCTION("""COMPUTED_VALUE"""),11.0)</f>
        <v>11</v>
      </c>
      <c r="J764" t="str">
        <f>IFERROR(__xludf.DUMMYFUNCTION("""COMPUTED_VALUE"""),"59½")</f>
        <v>59½</v>
      </c>
      <c r="K764" t="str">
        <f>IFERROR(__xludf.DUMMYFUNCTION("""COMPUTED_VALUE"""),"Adam")</f>
        <v>Adam</v>
      </c>
      <c r="L764" t="str">
        <f>IFERROR(__xludf.DUMMYFUNCTION("""COMPUTED_VALUE"""),"FINAL")</f>
        <v>FINAL</v>
      </c>
      <c r="M764" s="124">
        <v>6.0</v>
      </c>
    </row>
    <row r="765">
      <c r="A765" s="151">
        <f>IFERROR(__xludf.DUMMYFUNCTION("""COMPUTED_VALUE"""),43744.147749525466)</f>
        <v>43744.14775</v>
      </c>
      <c r="B765" t="str">
        <f>IFERROR(__xludf.DUMMYFUNCTION("""COMPUTED_VALUE"""),"Nico")</f>
        <v>Nico</v>
      </c>
      <c r="C765" t="str">
        <f>IFERROR(__xludf.DUMMYFUNCTION("""COMPUTED_VALUE"""),"Arkansas State")</f>
        <v>Arkansas State</v>
      </c>
      <c r="D765">
        <f>IFERROR(__xludf.DUMMYFUNCTION("""COMPUTED_VALUE"""),2.0)</f>
        <v>2</v>
      </c>
      <c r="E765">
        <f>IFERROR(__xludf.DUMMYFUNCTION("""COMPUTED_VALUE"""),2.0)</f>
        <v>2</v>
      </c>
      <c r="F765" t="str">
        <f>IFERROR(__xludf.DUMMYFUNCTION("""COMPUTED_VALUE"""),"ESPN2")</f>
        <v>ESPN2</v>
      </c>
      <c r="G765" t="str">
        <f>IFERROR(__xludf.DUMMYFUNCTION("""COMPUTED_VALUE"""),"Arkansas State 38 at Georgia State 52")</f>
        <v>Arkansas State 38 at Georgia State 52</v>
      </c>
      <c r="H765" t="str">
        <f>IFERROR(__xludf.DUMMYFUNCTION("""COMPUTED_VALUE"""),"FINAL")</f>
        <v>FINAL</v>
      </c>
      <c r="I765" t="str">
        <f>IFERROR(__xludf.DUMMYFUNCTION("""COMPUTED_VALUE"""),"-7½")</f>
        <v>-7½</v>
      </c>
      <c r="J765" t="str">
        <f>IFERROR(__xludf.DUMMYFUNCTION("""COMPUTED_VALUE"""),"71½")</f>
        <v>71½</v>
      </c>
      <c r="K765" t="str">
        <f>IFERROR(__xludf.DUMMYFUNCTION("""COMPUTED_VALUE"""),"Adam")</f>
        <v>Adam</v>
      </c>
      <c r="L765" t="str">
        <f>IFERROR(__xludf.DUMMYFUNCTION("""COMPUTED_VALUE"""),"FINAL")</f>
        <v>FINAL</v>
      </c>
      <c r="M765" s="124">
        <v>6.0</v>
      </c>
    </row>
    <row r="766">
      <c r="A766" s="151">
        <f>IFERROR(__xludf.DUMMYFUNCTION("""COMPUTED_VALUE"""),43744.147749525466)</f>
        <v>43744.14775</v>
      </c>
      <c r="B766" t="str">
        <f>IFERROR(__xludf.DUMMYFUNCTION("""COMPUTED_VALUE"""),"Nico")</f>
        <v>Nico</v>
      </c>
      <c r="C766" t="str">
        <f>IFERROR(__xludf.DUMMYFUNCTION("""COMPUTED_VALUE"""),"Middle Tennessee")</f>
        <v>Middle Tennessee</v>
      </c>
      <c r="D766">
        <f>IFERROR(__xludf.DUMMYFUNCTION("""COMPUTED_VALUE"""),2.0)</f>
        <v>2</v>
      </c>
      <c r="E766">
        <f>IFERROR(__xludf.DUMMYFUNCTION("""COMPUTED_VALUE"""),3.0)</f>
        <v>3</v>
      </c>
      <c r="F766" t="str">
        <f>IFERROR(__xludf.DUMMYFUNCTION("""COMPUTED_VALUE"""),"Facebook Video")</f>
        <v>Facebook Video</v>
      </c>
      <c r="G766" t="str">
        <f>IFERROR(__xludf.DUMMYFUNCTION("""COMPUTED_VALUE"""),"Marshall 13 at Middle Tennessee 24")</f>
        <v>Marshall 13 at Middle Tennessee 24</v>
      </c>
      <c r="H766" t="str">
        <f>IFERROR(__xludf.DUMMYFUNCTION("""COMPUTED_VALUE"""),"FINAL")</f>
        <v>FINAL</v>
      </c>
      <c r="I766">
        <f>IFERROR(__xludf.DUMMYFUNCTION("""COMPUTED_VALUE"""),4.0)</f>
        <v>4</v>
      </c>
      <c r="J766">
        <f>IFERROR(__xludf.DUMMYFUNCTION("""COMPUTED_VALUE"""),56.0)</f>
        <v>56</v>
      </c>
      <c r="K766" t="str">
        <f>IFERROR(__xludf.DUMMYFUNCTION("""COMPUTED_VALUE"""),"Gary")</f>
        <v>Gary</v>
      </c>
      <c r="L766" t="str">
        <f>IFERROR(__xludf.DUMMYFUNCTION("""COMPUTED_VALUE"""),"FINAL")</f>
        <v>FINAL</v>
      </c>
      <c r="M766" s="124">
        <v>6.0</v>
      </c>
    </row>
    <row r="767">
      <c r="A767" s="151">
        <f>IFERROR(__xludf.DUMMYFUNCTION("""COMPUTED_VALUE"""),43744.147749525466)</f>
        <v>43744.14775</v>
      </c>
      <c r="B767" t="str">
        <f>IFERROR(__xludf.DUMMYFUNCTION("""COMPUTED_VALUE"""),"Nico")</f>
        <v>Nico</v>
      </c>
      <c r="C767" t="str">
        <f>IFERROR(__xludf.DUMMYFUNCTION("""COMPUTED_VALUE"""),"North Carolina")</f>
        <v>North Carolina</v>
      </c>
      <c r="D767">
        <f>IFERROR(__xludf.DUMMYFUNCTION("""COMPUTED_VALUE"""),3.0)</f>
        <v>3</v>
      </c>
      <c r="E767">
        <f>IFERROR(__xludf.DUMMYFUNCTION("""COMPUTED_VALUE"""),3.0)</f>
        <v>3</v>
      </c>
      <c r="F767" t="str">
        <f>IFERROR(__xludf.DUMMYFUNCTION("""COMPUTED_VALUE"""),"NA")</f>
        <v>NA</v>
      </c>
      <c r="G767" t="str">
        <f>IFERROR(__xludf.DUMMYFUNCTION("""COMPUTED_VALUE"""),"North Carolina 38 at Georgia Tech 22")</f>
        <v>North Carolina 38 at Georgia Tech 22</v>
      </c>
      <c r="H767" t="str">
        <f>IFERROR(__xludf.DUMMYFUNCTION("""COMPUTED_VALUE"""),"FINAL")</f>
        <v>FINAL</v>
      </c>
      <c r="I767">
        <f>IFERROR(__xludf.DUMMYFUNCTION("""COMPUTED_VALUE"""),-10.0)</f>
        <v>-10</v>
      </c>
      <c r="J767" t="str">
        <f>IFERROR(__xludf.DUMMYFUNCTION("""COMPUTED_VALUE"""),"48½")</f>
        <v>48½</v>
      </c>
      <c r="K767" t="str">
        <f>IFERROR(__xludf.DUMMYFUNCTION("""COMPUTED_VALUE"""),"Undrafted")</f>
        <v>Undrafted</v>
      </c>
      <c r="L767" t="str">
        <f>IFERROR(__xludf.DUMMYFUNCTION("""COMPUTED_VALUE"""),"FINAL")</f>
        <v>FINAL</v>
      </c>
      <c r="M767" s="124">
        <v>6.0</v>
      </c>
    </row>
    <row r="768">
      <c r="A768" s="151">
        <f>IFERROR(__xludf.DUMMYFUNCTION("""COMPUTED_VALUE"""),43744.147749525466)</f>
        <v>43744.14775</v>
      </c>
      <c r="B768" t="str">
        <f>IFERROR(__xludf.DUMMYFUNCTION("""COMPUTED_VALUE"""),"Nico")</f>
        <v>Nico</v>
      </c>
      <c r="C768" t="str">
        <f>IFERROR(__xludf.DUMMYFUNCTION("""COMPUTED_VALUE"""),"Georgia")</f>
        <v>Georgia</v>
      </c>
      <c r="D768">
        <f>IFERROR(__xludf.DUMMYFUNCTION("""COMPUTED_VALUE"""),5.0)</f>
        <v>5</v>
      </c>
      <c r="E768">
        <f>IFERROR(__xludf.DUMMYFUNCTION("""COMPUTED_VALUE"""),0.0)</f>
        <v>0</v>
      </c>
      <c r="F768" t="str">
        <f>IFERROR(__xludf.DUMMYFUNCTION("""COMPUTED_VALUE"""),"ESPN2")</f>
        <v>ESPN2</v>
      </c>
      <c r="G768" t="str">
        <f>IFERROR(__xludf.DUMMYFUNCTION("""COMPUTED_VALUE"""),"(3) Georgia 43 at Tennessee 14")</f>
        <v>(3) Georgia 43 at Tennessee 14</v>
      </c>
      <c r="H768" t="str">
        <f>IFERROR(__xludf.DUMMYFUNCTION("""COMPUTED_VALUE"""),"FINAL")</f>
        <v>FINAL</v>
      </c>
      <c r="I768" t="str">
        <f>IFERROR(__xludf.DUMMYFUNCTION("""COMPUTED_VALUE"""),"-25½")</f>
        <v>-25½</v>
      </c>
      <c r="J768" t="str">
        <f>IFERROR(__xludf.DUMMYFUNCTION("""COMPUTED_VALUE"""),"52½")</f>
        <v>52½</v>
      </c>
      <c r="K768" t="str">
        <f>IFERROR(__xludf.DUMMYFUNCTION("""COMPUTED_VALUE"""),"Justin")</f>
        <v>Justin</v>
      </c>
      <c r="L768" t="str">
        <f>IFERROR(__xludf.DUMMYFUNCTION("""COMPUTED_VALUE"""),"FINAL")</f>
        <v>FINAL</v>
      </c>
      <c r="M768" s="124">
        <v>6.0</v>
      </c>
    </row>
    <row r="769">
      <c r="A769" s="151">
        <f>IFERROR(__xludf.DUMMYFUNCTION("""COMPUTED_VALUE"""),43744.147749525466)</f>
        <v>43744.14775</v>
      </c>
      <c r="B769" t="str">
        <f>IFERROR(__xludf.DUMMYFUNCTION("""COMPUTED_VALUE"""),"Nico")</f>
        <v>Nico</v>
      </c>
      <c r="C769" t="str">
        <f>IFERROR(__xludf.DUMMYFUNCTION("""COMPUTED_VALUE"""),"Arizona State")</f>
        <v>Arizona State</v>
      </c>
      <c r="D769">
        <f>IFERROR(__xludf.DUMMYFUNCTION("""COMPUTED_VALUE"""),4.0)</f>
        <v>4</v>
      </c>
      <c r="E769">
        <f>IFERROR(__xludf.DUMMYFUNCTION("""COMPUTED_VALUE"""),1.0)</f>
        <v>1</v>
      </c>
      <c r="F769" t="str">
        <f>IFERROR(__xludf.DUMMYFUNCTION("""COMPUTED_VALUE"""),"FOX")</f>
        <v>FOX</v>
      </c>
      <c r="G769" t="str">
        <f>IFERROR(__xludf.DUMMYFUNCTION("""COMPUTED_VALUE"""),"BYE")</f>
        <v>BYE</v>
      </c>
      <c r="I769" t="str">
        <f>IFERROR(__xludf.DUMMYFUNCTION("""COMPUTED_VALUE"""),"bye")</f>
        <v>bye</v>
      </c>
      <c r="J769" t="str">
        <f>IFERROR(__xludf.DUMMYFUNCTION("""COMPUTED_VALUE"""),"bye")</f>
        <v>bye</v>
      </c>
      <c r="L769">
        <f>IFERROR(__xludf.DUMMYFUNCTION("""COMPUTED_VALUE"""),9999.0)</f>
        <v>9999</v>
      </c>
      <c r="M769" s="124">
        <v>6.0</v>
      </c>
    </row>
    <row r="770">
      <c r="A770" s="151">
        <f>IFERROR(__xludf.DUMMYFUNCTION("""COMPUTED_VALUE"""),43744.147749525466)</f>
        <v>43744.14775</v>
      </c>
      <c r="B770" t="str">
        <f>IFERROR(__xludf.DUMMYFUNCTION("""COMPUTED_VALUE"""),"Nico")</f>
        <v>Nico</v>
      </c>
      <c r="C770" t="str">
        <f>IFERROR(__xludf.DUMMYFUNCTION("""COMPUTED_VALUE"""),"Miami-OH")</f>
        <v>Miami-OH</v>
      </c>
      <c r="D770">
        <f>IFERROR(__xludf.DUMMYFUNCTION("""COMPUTED_VALUE"""),2.0)</f>
        <v>2</v>
      </c>
      <c r="E770">
        <f>IFERROR(__xludf.DUMMYFUNCTION("""COMPUTED_VALUE"""),3.0)</f>
        <v>3</v>
      </c>
      <c r="F770" t="str">
        <f>IFERROR(__xludf.DUMMYFUNCTION("""COMPUTED_VALUE"""),"NA")</f>
        <v>NA</v>
      </c>
      <c r="G770" t="str">
        <f>IFERROR(__xludf.DUMMYFUNCTION("""COMPUTED_VALUE"""),"BYE")</f>
        <v>BYE</v>
      </c>
      <c r="I770" t="str">
        <f>IFERROR(__xludf.DUMMYFUNCTION("""COMPUTED_VALUE"""),"bye")</f>
        <v>bye</v>
      </c>
      <c r="J770" t="str">
        <f>IFERROR(__xludf.DUMMYFUNCTION("""COMPUTED_VALUE"""),"bye")</f>
        <v>bye</v>
      </c>
      <c r="L770">
        <f>IFERROR(__xludf.DUMMYFUNCTION("""COMPUTED_VALUE"""),9999.0)</f>
        <v>9999</v>
      </c>
      <c r="M770" s="124">
        <v>6.0</v>
      </c>
    </row>
    <row r="771">
      <c r="A771" s="151">
        <f>IFERROR(__xludf.DUMMYFUNCTION("""COMPUTED_VALUE"""),43744.147749525466)</f>
        <v>43744.14775</v>
      </c>
      <c r="B771" t="str">
        <f>IFERROR(__xludf.DUMMYFUNCTION("""COMPUTED_VALUE"""),"Nico")</f>
        <v>Nico</v>
      </c>
      <c r="C771" t="str">
        <f>IFERROR(__xludf.DUMMYFUNCTION("""COMPUTED_VALUE"""),"Houston")</f>
        <v>Houston</v>
      </c>
      <c r="D771">
        <f>IFERROR(__xludf.DUMMYFUNCTION("""COMPUTED_VALUE"""),2.0)</f>
        <v>2</v>
      </c>
      <c r="E771">
        <f>IFERROR(__xludf.DUMMYFUNCTION("""COMPUTED_VALUE"""),3.0)</f>
        <v>3</v>
      </c>
      <c r="F771" t="str">
        <f>IFERROR(__xludf.DUMMYFUNCTION("""COMPUTED_VALUE"""),"ESPN")</f>
        <v>ESPN</v>
      </c>
      <c r="G771" t="str">
        <f>IFERROR(__xludf.DUMMYFUNCTION("""COMPUTED_VALUE"""),"BYE")</f>
        <v>BYE</v>
      </c>
      <c r="I771" t="str">
        <f>IFERROR(__xludf.DUMMYFUNCTION("""COMPUTED_VALUE"""),"bye")</f>
        <v>bye</v>
      </c>
      <c r="J771" t="str">
        <f>IFERROR(__xludf.DUMMYFUNCTION("""COMPUTED_VALUE"""),"bye")</f>
        <v>bye</v>
      </c>
      <c r="L771">
        <f>IFERROR(__xludf.DUMMYFUNCTION("""COMPUTED_VALUE"""),9999.0)</f>
        <v>9999</v>
      </c>
      <c r="M771" s="124">
        <v>6.0</v>
      </c>
    </row>
    <row r="772">
      <c r="A772" s="151">
        <f>IFERROR(__xludf.DUMMYFUNCTION("""COMPUTED_VALUE"""),43744.147749525466)</f>
        <v>43744.14775</v>
      </c>
      <c r="B772" t="str">
        <f>IFERROR(__xludf.DUMMYFUNCTION("""COMPUTED_VALUE"""),"Jeannine")</f>
        <v>Jeannine</v>
      </c>
      <c r="C772" t="str">
        <f>IFERROR(__xludf.DUMMYFUNCTION("""COMPUTED_VALUE"""),"San José State")</f>
        <v>San José State</v>
      </c>
      <c r="D772">
        <f>IFERROR(__xludf.DUMMYFUNCTION("""COMPUTED_VALUE"""),3.0)</f>
        <v>3</v>
      </c>
      <c r="E772">
        <f>IFERROR(__xludf.DUMMYFUNCTION("""COMPUTED_VALUE"""),2.0)</f>
        <v>2</v>
      </c>
      <c r="F772" t="str">
        <f>IFERROR(__xludf.DUMMYFUNCTION("""COMPUTED_VALUE"""),"NA")</f>
        <v>NA</v>
      </c>
      <c r="G772" t="str">
        <f>IFERROR(__xludf.DUMMYFUNCTION("""COMPUTED_VALUE"""),"New Mexico 21 at San José State 32")</f>
        <v>New Mexico 21 at San José State 32</v>
      </c>
      <c r="H772" t="str">
        <f>IFERROR(__xludf.DUMMYFUNCTION("""COMPUTED_VALUE"""),"FINAL")</f>
        <v>FINAL</v>
      </c>
      <c r="I772" t="str">
        <f>IFERROR(__xludf.DUMMYFUNCTION("""COMPUTED_VALUE"""),"-6½")</f>
        <v>-6½</v>
      </c>
      <c r="J772">
        <f>IFERROR(__xludf.DUMMYFUNCTION("""COMPUTED_VALUE"""),64.0)</f>
        <v>64</v>
      </c>
      <c r="K772" t="str">
        <f>IFERROR(__xludf.DUMMYFUNCTION("""COMPUTED_VALUE"""),"Nico")</f>
        <v>Nico</v>
      </c>
      <c r="L772" t="str">
        <f>IFERROR(__xludf.DUMMYFUNCTION("""COMPUTED_VALUE"""),"FINAL")</f>
        <v>FINAL</v>
      </c>
      <c r="M772" s="124">
        <v>6.0</v>
      </c>
    </row>
    <row r="773">
      <c r="A773" s="151">
        <f>IFERROR(__xludf.DUMMYFUNCTION("""COMPUTED_VALUE"""),43744.147749525466)</f>
        <v>43744.14775</v>
      </c>
      <c r="B773" t="str">
        <f>IFERROR(__xludf.DUMMYFUNCTION("""COMPUTED_VALUE"""),"Jeannine")</f>
        <v>Jeannine</v>
      </c>
      <c r="C773" t="str">
        <f>IFERROR(__xludf.DUMMYFUNCTION("""COMPUTED_VALUE"""),"Oklahoma")</f>
        <v>Oklahoma</v>
      </c>
      <c r="D773">
        <f>IFERROR(__xludf.DUMMYFUNCTION("""COMPUTED_VALUE"""),5.0)</f>
        <v>5</v>
      </c>
      <c r="E773">
        <f>IFERROR(__xludf.DUMMYFUNCTION("""COMPUTED_VALUE"""),0.0)</f>
        <v>0</v>
      </c>
      <c r="F773" t="str">
        <f>IFERROR(__xludf.DUMMYFUNCTION("""COMPUTED_VALUE"""),"FOX")</f>
        <v>FOX</v>
      </c>
      <c r="G773" t="str">
        <f>IFERROR(__xludf.DUMMYFUNCTION("""COMPUTED_VALUE"""),"(4) Oklahoma 45 at Kansas 20")</f>
        <v>(4) Oklahoma 45 at Kansas 20</v>
      </c>
      <c r="H773" t="str">
        <f>IFERROR(__xludf.DUMMYFUNCTION("""COMPUTED_VALUE"""),"FINAL")</f>
        <v>FINAL</v>
      </c>
      <c r="I773">
        <f>IFERROR(__xludf.DUMMYFUNCTION("""COMPUTED_VALUE"""),-33.0)</f>
        <v>-33</v>
      </c>
      <c r="J773">
        <f>IFERROR(__xludf.DUMMYFUNCTION("""COMPUTED_VALUE"""),67.0)</f>
        <v>67</v>
      </c>
      <c r="K773" t="str">
        <f>IFERROR(__xludf.DUMMYFUNCTION("""COMPUTED_VALUE"""),"Josh R.")</f>
        <v>Josh R.</v>
      </c>
      <c r="L773" t="str">
        <f>IFERROR(__xludf.DUMMYFUNCTION("""COMPUTED_VALUE"""),"FINAL")</f>
        <v>FINAL</v>
      </c>
      <c r="M773" s="124">
        <v>6.0</v>
      </c>
    </row>
    <row r="774">
      <c r="A774" s="151">
        <f>IFERROR(__xludf.DUMMYFUNCTION("""COMPUTED_VALUE"""),43744.147749525466)</f>
        <v>43744.14775</v>
      </c>
      <c r="B774" t="str">
        <f>IFERROR(__xludf.DUMMYFUNCTION("""COMPUTED_VALUE"""),"Jeannine")</f>
        <v>Jeannine</v>
      </c>
      <c r="C774" t="str">
        <f>IFERROR(__xludf.DUMMYFUNCTION("""COMPUTED_VALUE"""),"Penn State")</f>
        <v>Penn State</v>
      </c>
      <c r="D774">
        <f>IFERROR(__xludf.DUMMYFUNCTION("""COMPUTED_VALUE"""),5.0)</f>
        <v>5</v>
      </c>
      <c r="E774">
        <f>IFERROR(__xludf.DUMMYFUNCTION("""COMPUTED_VALUE"""),0.0)</f>
        <v>0</v>
      </c>
      <c r="F774" t="str">
        <f>IFERROR(__xludf.DUMMYFUNCTION("""COMPUTED_VALUE"""),"ABC")</f>
        <v>ABC</v>
      </c>
      <c r="G774" t="str">
        <f>IFERROR(__xludf.DUMMYFUNCTION("""COMPUTED_VALUE"""),"Purdue 7 at (11) Penn State 35")</f>
        <v>Purdue 7 at (11) Penn State 35</v>
      </c>
      <c r="H774" t="str">
        <f>IFERROR(__xludf.DUMMYFUNCTION("""COMPUTED_VALUE"""),"FINAL")</f>
        <v>FINAL</v>
      </c>
      <c r="I774">
        <f>IFERROR(__xludf.DUMMYFUNCTION("""COMPUTED_VALUE"""),-28.0)</f>
        <v>-28</v>
      </c>
      <c r="J774">
        <f>IFERROR(__xludf.DUMMYFUNCTION("""COMPUTED_VALUE"""),56.0)</f>
        <v>56</v>
      </c>
      <c r="K774" t="str">
        <f>IFERROR(__xludf.DUMMYFUNCTION("""COMPUTED_VALUE"""),"Nico")</f>
        <v>Nico</v>
      </c>
      <c r="L774" t="str">
        <f>IFERROR(__xludf.DUMMYFUNCTION("""COMPUTED_VALUE"""),"FINAL")</f>
        <v>FINAL</v>
      </c>
      <c r="M774" s="124">
        <v>6.0</v>
      </c>
    </row>
    <row r="775">
      <c r="A775" s="151">
        <f>IFERROR(__xludf.DUMMYFUNCTION("""COMPUTED_VALUE"""),43744.147749525466)</f>
        <v>43744.14775</v>
      </c>
      <c r="B775" t="str">
        <f>IFERROR(__xludf.DUMMYFUNCTION("""COMPUTED_VALUE"""),"Jeannine")</f>
        <v>Jeannine</v>
      </c>
      <c r="C775" t="str">
        <f>IFERROR(__xludf.DUMMYFUNCTION("""COMPUTED_VALUE"""),"Western Michigan")</f>
        <v>Western Michigan</v>
      </c>
      <c r="D775">
        <f>IFERROR(__xludf.DUMMYFUNCTION("""COMPUTED_VALUE"""),3.0)</f>
        <v>3</v>
      </c>
      <c r="E775">
        <f>IFERROR(__xludf.DUMMYFUNCTION("""COMPUTED_VALUE"""),3.0)</f>
        <v>3</v>
      </c>
      <c r="F775" t="str">
        <f>IFERROR(__xludf.DUMMYFUNCTION("""COMPUTED_VALUE"""),"espn+ Video")</f>
        <v>espn+ Video</v>
      </c>
      <c r="G775" t="str">
        <f>IFERROR(__xludf.DUMMYFUNCTION("""COMPUTED_VALUE"""),"Western Michigan 24 at Toledo 31")</f>
        <v>Western Michigan 24 at Toledo 31</v>
      </c>
      <c r="H775" t="str">
        <f>IFERROR(__xludf.DUMMYFUNCTION("""COMPUTED_VALUE"""),"FINAL")</f>
        <v>FINAL</v>
      </c>
      <c r="I775" t="str">
        <f>IFERROR(__xludf.DUMMYFUNCTION("""COMPUTED_VALUE"""),"1½")</f>
        <v>1½</v>
      </c>
      <c r="J775" t="str">
        <f>IFERROR(__xludf.DUMMYFUNCTION("""COMPUTED_VALUE"""),"68½")</f>
        <v>68½</v>
      </c>
      <c r="K775" t="str">
        <f>IFERROR(__xludf.DUMMYFUNCTION("""COMPUTED_VALUE"""),"Josh R.")</f>
        <v>Josh R.</v>
      </c>
      <c r="L775" t="str">
        <f>IFERROR(__xludf.DUMMYFUNCTION("""COMPUTED_VALUE"""),"FINAL")</f>
        <v>FINAL</v>
      </c>
      <c r="M775" s="124">
        <v>6.0</v>
      </c>
    </row>
    <row r="776">
      <c r="A776" s="151">
        <f>IFERROR(__xludf.DUMMYFUNCTION("""COMPUTED_VALUE"""),43744.147749525466)</f>
        <v>43744.14775</v>
      </c>
      <c r="B776" t="str">
        <f>IFERROR(__xludf.DUMMYFUNCTION("""COMPUTED_VALUE"""),"Jeannine")</f>
        <v>Jeannine</v>
      </c>
      <c r="C776" t="str">
        <f>IFERROR(__xludf.DUMMYFUNCTION("""COMPUTED_VALUE"""),"UL Monroe")</f>
        <v>UL Monroe</v>
      </c>
      <c r="D776">
        <f>IFERROR(__xludf.DUMMYFUNCTION("""COMPUTED_VALUE"""),2.0)</f>
        <v>2</v>
      </c>
      <c r="E776">
        <f>IFERROR(__xludf.DUMMYFUNCTION("""COMPUTED_VALUE"""),3.0)</f>
        <v>3</v>
      </c>
      <c r="F776" t="str">
        <f>IFERROR(__xludf.DUMMYFUNCTION("""COMPUTED_VALUE"""),"NA")</f>
        <v>NA</v>
      </c>
      <c r="G776" t="str">
        <f>IFERROR(__xludf.DUMMYFUNCTION("""COMPUTED_VALUE"""),"(23) Memphis 52 at UL Monroe 33")</f>
        <v>(23) Memphis 52 at UL Monroe 33</v>
      </c>
      <c r="H776" t="str">
        <f>IFERROR(__xludf.DUMMYFUNCTION("""COMPUTED_VALUE"""),"FINAL")</f>
        <v>FINAL</v>
      </c>
      <c r="I776">
        <f>IFERROR(__xludf.DUMMYFUNCTION("""COMPUTED_VALUE"""),15.0)</f>
        <v>15</v>
      </c>
      <c r="J776">
        <f>IFERROR(__xludf.DUMMYFUNCTION("""COMPUTED_VALUE"""),64.0)</f>
        <v>64</v>
      </c>
      <c r="K776" t="str">
        <f>IFERROR(__xludf.DUMMYFUNCTION("""COMPUTED_VALUE"""),"Brad")</f>
        <v>Brad</v>
      </c>
      <c r="L776" t="str">
        <f>IFERROR(__xludf.DUMMYFUNCTION("""COMPUTED_VALUE"""),"FINAL")</f>
        <v>FINAL</v>
      </c>
      <c r="M776" s="124">
        <v>6.0</v>
      </c>
    </row>
    <row r="777">
      <c r="A777" s="151">
        <f>IFERROR(__xludf.DUMMYFUNCTION("""COMPUTED_VALUE"""),43744.147749525466)</f>
        <v>43744.14775</v>
      </c>
      <c r="B777" t="str">
        <f>IFERROR(__xludf.DUMMYFUNCTION("""COMPUTED_VALUE"""),"Jeannine")</f>
        <v>Jeannine</v>
      </c>
      <c r="C777" t="str">
        <f>IFERROR(__xludf.DUMMYFUNCTION("""COMPUTED_VALUE"""),"Colorado")</f>
        <v>Colorado</v>
      </c>
      <c r="D777">
        <f>IFERROR(__xludf.DUMMYFUNCTION("""COMPUTED_VALUE"""),3.0)</f>
        <v>3</v>
      </c>
      <c r="E777">
        <f>IFERROR(__xludf.DUMMYFUNCTION("""COMPUTED_VALUE"""),2.0)</f>
        <v>2</v>
      </c>
      <c r="F777" t="str">
        <f>IFERROR(__xludf.DUMMYFUNCTION("""COMPUTED_VALUE"""),"Pac-12")</f>
        <v>Pac-12</v>
      </c>
      <c r="G777" t="str">
        <f>IFERROR(__xludf.DUMMYFUNCTION("""COMPUTED_VALUE"""),"Arizona 35 at Colorado 30")</f>
        <v>Arizona 35 at Colorado 30</v>
      </c>
      <c r="H777" t="str">
        <f>IFERROR(__xludf.DUMMYFUNCTION("""COMPUTED_VALUE"""),"FINAL")</f>
        <v>FINAL</v>
      </c>
      <c r="I777" t="str">
        <f>IFERROR(__xludf.DUMMYFUNCTION("""COMPUTED_VALUE"""),"-4½")</f>
        <v>-4½</v>
      </c>
      <c r="J777" t="str">
        <f>IFERROR(__xludf.DUMMYFUNCTION("""COMPUTED_VALUE"""),"63½")</f>
        <v>63½</v>
      </c>
      <c r="K777" t="str">
        <f>IFERROR(__xludf.DUMMYFUNCTION("""COMPUTED_VALUE"""),"Janice/Mike")</f>
        <v>Janice/Mike</v>
      </c>
      <c r="L777" t="str">
        <f>IFERROR(__xludf.DUMMYFUNCTION("""COMPUTED_VALUE"""),"FINAL")</f>
        <v>FINAL</v>
      </c>
      <c r="M777" s="124">
        <v>6.0</v>
      </c>
    </row>
    <row r="778">
      <c r="A778" s="151">
        <f>IFERROR(__xludf.DUMMYFUNCTION("""COMPUTED_VALUE"""),43744.147749525466)</f>
        <v>43744.14775</v>
      </c>
      <c r="B778" t="str">
        <f>IFERROR(__xludf.DUMMYFUNCTION("""COMPUTED_VALUE"""),"Jeannine")</f>
        <v>Jeannine</v>
      </c>
      <c r="C778" t="str">
        <f>IFERROR(__xludf.DUMMYFUNCTION("""COMPUTED_VALUE"""),"UAB")</f>
        <v>UAB</v>
      </c>
      <c r="D778">
        <f>IFERROR(__xludf.DUMMYFUNCTION("""COMPUTED_VALUE"""),4.0)</f>
        <v>4</v>
      </c>
      <c r="E778">
        <f>IFERROR(__xludf.DUMMYFUNCTION("""COMPUTED_VALUE"""),1.0)</f>
        <v>1</v>
      </c>
      <c r="F778" t="str">
        <f>IFERROR(__xludf.DUMMYFUNCTION("""COMPUTED_VALUE"""),"NA")</f>
        <v>NA</v>
      </c>
      <c r="G778" t="str">
        <f>IFERROR(__xludf.DUMMYFUNCTION("""COMPUTED_VALUE"""),"Rice 20 at UAB 35")</f>
        <v>Rice 20 at UAB 35</v>
      </c>
      <c r="H778" t="str">
        <f>IFERROR(__xludf.DUMMYFUNCTION("""COMPUTED_VALUE"""),"FINAL")</f>
        <v>FINAL</v>
      </c>
      <c r="I778">
        <f>IFERROR(__xludf.DUMMYFUNCTION("""COMPUTED_VALUE"""),-9.0)</f>
        <v>-9</v>
      </c>
      <c r="J778">
        <f>IFERROR(__xludf.DUMMYFUNCTION("""COMPUTED_VALUE"""),43.0)</f>
        <v>43</v>
      </c>
      <c r="K778" t="str">
        <f>IFERROR(__xludf.DUMMYFUNCTION("""COMPUTED_VALUE"""),"Undrafted")</f>
        <v>Undrafted</v>
      </c>
      <c r="L778" t="str">
        <f>IFERROR(__xludf.DUMMYFUNCTION("""COMPUTED_VALUE"""),"FINAL")</f>
        <v>FINAL</v>
      </c>
      <c r="M778" s="124">
        <v>6.0</v>
      </c>
    </row>
    <row r="779">
      <c r="A779" s="151">
        <f>IFERROR(__xludf.DUMMYFUNCTION("""COMPUTED_VALUE"""),43744.147749525466)</f>
        <v>43744.14775</v>
      </c>
      <c r="B779" t="str">
        <f>IFERROR(__xludf.DUMMYFUNCTION("""COMPUTED_VALUE"""),"Jeannine")</f>
        <v>Jeannine</v>
      </c>
      <c r="C779" t="str">
        <f>IFERROR(__xludf.DUMMYFUNCTION("""COMPUTED_VALUE"""),"SMU")</f>
        <v>SMU</v>
      </c>
      <c r="D779">
        <f>IFERROR(__xludf.DUMMYFUNCTION("""COMPUTED_VALUE"""),6.0)</f>
        <v>6</v>
      </c>
      <c r="E779">
        <f>IFERROR(__xludf.DUMMYFUNCTION("""COMPUTED_VALUE"""),0.0)</f>
        <v>0</v>
      </c>
      <c r="F779" t="str">
        <f>IFERROR(__xludf.DUMMYFUNCTION("""COMPUTED_VALUE"""),"espn3 Video")</f>
        <v>espn3 Video</v>
      </c>
      <c r="G779" t="str">
        <f>IFERROR(__xludf.DUMMYFUNCTION("""COMPUTED_VALUE"""),"Tulsa 37 at SMU 43")</f>
        <v>Tulsa 37 at SMU 43</v>
      </c>
      <c r="H779" t="str">
        <f>IFERROR(__xludf.DUMMYFUNCTION("""COMPUTED_VALUE"""),"FINAL - 3RD OT")</f>
        <v>FINAL - 3RD OT</v>
      </c>
      <c r="I779">
        <f>IFERROR(__xludf.DUMMYFUNCTION("""COMPUTED_VALUE"""),-13.0)</f>
        <v>-13</v>
      </c>
      <c r="J779">
        <f>IFERROR(__xludf.DUMMYFUNCTION("""COMPUTED_VALUE"""),63.0)</f>
        <v>63</v>
      </c>
      <c r="K779" t="str">
        <f>IFERROR(__xludf.DUMMYFUNCTION("""COMPUTED_VALUE"""),"DavEmily")</f>
        <v>DavEmily</v>
      </c>
      <c r="L779" t="str">
        <f>IFERROR(__xludf.DUMMYFUNCTION("""COMPUTED_VALUE"""),"FINAL - 3RD OT")</f>
        <v>FINAL - 3RD OT</v>
      </c>
      <c r="M779" s="124">
        <v>6.0</v>
      </c>
    </row>
    <row r="780">
      <c r="A780" s="151">
        <f>IFERROR(__xludf.DUMMYFUNCTION("""COMPUTED_VALUE"""),43744.147749525466)</f>
        <v>43744.14775</v>
      </c>
      <c r="B780" t="str">
        <f>IFERROR(__xludf.DUMMYFUNCTION("""COMPUTED_VALUE"""),"Jeannine")</f>
        <v>Jeannine</v>
      </c>
      <c r="C780" t="str">
        <f>IFERROR(__xludf.DUMMYFUNCTION("""COMPUTED_VALUE"""),"Virginia")</f>
        <v>Virginia</v>
      </c>
      <c r="D780">
        <f>IFERROR(__xludf.DUMMYFUNCTION("""COMPUTED_VALUE"""),4.0)</f>
        <v>4</v>
      </c>
      <c r="E780">
        <f>IFERROR(__xludf.DUMMYFUNCTION("""COMPUTED_VALUE"""),1.0)</f>
        <v>1</v>
      </c>
      <c r="F780" t="str">
        <f>IFERROR(__xludf.DUMMYFUNCTION("""COMPUTED_VALUE"""),"ACC Network")</f>
        <v>ACC Network</v>
      </c>
      <c r="G780" t="str">
        <f>IFERROR(__xludf.DUMMYFUNCTION("""COMPUTED_VALUE"""),"BYE")</f>
        <v>BYE</v>
      </c>
      <c r="I780" t="str">
        <f>IFERROR(__xludf.DUMMYFUNCTION("""COMPUTED_VALUE"""),"bye")</f>
        <v>bye</v>
      </c>
      <c r="J780" t="str">
        <f>IFERROR(__xludf.DUMMYFUNCTION("""COMPUTED_VALUE"""),"bye")</f>
        <v>bye</v>
      </c>
      <c r="L780">
        <f>IFERROR(__xludf.DUMMYFUNCTION("""COMPUTED_VALUE"""),9999.0)</f>
        <v>9999</v>
      </c>
      <c r="M780" s="124">
        <v>6.0</v>
      </c>
    </row>
    <row r="781">
      <c r="A781" s="151">
        <f>IFERROR(__xludf.DUMMYFUNCTION("""COMPUTED_VALUE"""),43744.147749525466)</f>
        <v>43744.14775</v>
      </c>
      <c r="B781" t="str">
        <f>IFERROR(__xludf.DUMMYFUNCTION("""COMPUTED_VALUE"""),"Jeannine")</f>
        <v>Jeannine</v>
      </c>
      <c r="C781" t="str">
        <f>IFERROR(__xludf.DUMMYFUNCTION("""COMPUTED_VALUE"""),"Mississippi State")</f>
        <v>Mississippi State</v>
      </c>
      <c r="D781">
        <f>IFERROR(__xludf.DUMMYFUNCTION("""COMPUTED_VALUE"""),3.0)</f>
        <v>3</v>
      </c>
      <c r="E781">
        <f>IFERROR(__xludf.DUMMYFUNCTION("""COMPUTED_VALUE"""),2.0)</f>
        <v>2</v>
      </c>
      <c r="F781" t="str">
        <f>IFERROR(__xludf.DUMMYFUNCTION("""COMPUTED_VALUE"""),"ESPN")</f>
        <v>ESPN</v>
      </c>
      <c r="G781" t="str">
        <f>IFERROR(__xludf.DUMMYFUNCTION("""COMPUTED_VALUE"""),"BYE")</f>
        <v>BYE</v>
      </c>
      <c r="I781" t="str">
        <f>IFERROR(__xludf.DUMMYFUNCTION("""COMPUTED_VALUE"""),"bye")</f>
        <v>bye</v>
      </c>
      <c r="J781" t="str">
        <f>IFERROR(__xludf.DUMMYFUNCTION("""COMPUTED_VALUE"""),"bye")</f>
        <v>bye</v>
      </c>
      <c r="L781">
        <f>IFERROR(__xludf.DUMMYFUNCTION("""COMPUTED_VALUE"""),9999.0)</f>
        <v>9999</v>
      </c>
      <c r="M781" s="124">
        <v>6.0</v>
      </c>
    </row>
    <row r="782">
      <c r="A782" s="151">
        <f>IFERROR(__xludf.DUMMYFUNCTION("""COMPUTED_VALUE"""),43744.147749525466)</f>
        <v>43744.14775</v>
      </c>
      <c r="B782" t="str">
        <f>IFERROR(__xludf.DUMMYFUNCTION("""COMPUTED_VALUE"""),"Justin")</f>
        <v>Justin</v>
      </c>
      <c r="C782" t="str">
        <f>IFERROR(__xludf.DUMMYFUNCTION("""COMPUTED_VALUE"""),"Iowa")</f>
        <v>Iowa</v>
      </c>
      <c r="D782">
        <f>IFERROR(__xludf.DUMMYFUNCTION("""COMPUTED_VALUE"""),4.0)</f>
        <v>4</v>
      </c>
      <c r="E782">
        <f>IFERROR(__xludf.DUMMYFUNCTION("""COMPUTED_VALUE"""),1.0)</f>
        <v>1</v>
      </c>
      <c r="F782" t="str">
        <f>IFERROR(__xludf.DUMMYFUNCTION("""COMPUTED_VALUE"""),"FS1")</f>
        <v>FS1</v>
      </c>
      <c r="G782" t="str">
        <f>IFERROR(__xludf.DUMMYFUNCTION("""COMPUTED_VALUE"""),"(14) Iowa 3 at (18) Michigan 10")</f>
        <v>(14) Iowa 3 at (18) Michigan 10</v>
      </c>
      <c r="H782" t="str">
        <f>IFERROR(__xludf.DUMMYFUNCTION("""COMPUTED_VALUE"""),"FINAL")</f>
        <v>FINAL</v>
      </c>
      <c r="I782" t="str">
        <f>IFERROR(__xludf.DUMMYFUNCTION("""COMPUTED_VALUE"""),"3½")</f>
        <v>3½</v>
      </c>
      <c r="J782">
        <f>IFERROR(__xludf.DUMMYFUNCTION("""COMPUTED_VALUE"""),47.0)</f>
        <v>47</v>
      </c>
      <c r="K782" t="str">
        <f>IFERROR(__xludf.DUMMYFUNCTION("""COMPUTED_VALUE"""),"Vu")</f>
        <v>Vu</v>
      </c>
      <c r="L782" t="str">
        <f>IFERROR(__xludf.DUMMYFUNCTION("""COMPUTED_VALUE"""),"FINAL")</f>
        <v>FINAL</v>
      </c>
      <c r="M782" s="124">
        <v>6.0</v>
      </c>
    </row>
    <row r="783">
      <c r="A783" s="151">
        <f>IFERROR(__xludf.DUMMYFUNCTION("""COMPUTED_VALUE"""),43744.147749525466)</f>
        <v>43744.14775</v>
      </c>
      <c r="B783" t="str">
        <f>IFERROR(__xludf.DUMMYFUNCTION("""COMPUTED_VALUE"""),"Justin")</f>
        <v>Justin</v>
      </c>
      <c r="C783" t="str">
        <f>IFERROR(__xludf.DUMMYFUNCTION("""COMPUTED_VALUE"""),"South Florida")</f>
        <v>South Florida</v>
      </c>
      <c r="D783">
        <f>IFERROR(__xludf.DUMMYFUNCTION("""COMPUTED_VALUE"""),2.0)</f>
        <v>2</v>
      </c>
      <c r="E783">
        <f>IFERROR(__xludf.DUMMYFUNCTION("""COMPUTED_VALUE"""),3.0)</f>
        <v>3</v>
      </c>
      <c r="F783" t="str">
        <f>IFERROR(__xludf.DUMMYFUNCTION("""COMPUTED_VALUE"""),"espn3 Video")</f>
        <v>espn3 Video</v>
      </c>
      <c r="G783" t="str">
        <f>IFERROR(__xludf.DUMMYFUNCTION("""COMPUTED_VALUE"""),"South Florida 48 at UConn 22")</f>
        <v>South Florida 48 at UConn 22</v>
      </c>
      <c r="H783" t="str">
        <f>IFERROR(__xludf.DUMMYFUNCTION("""COMPUTED_VALUE"""),"FINAL")</f>
        <v>FINAL</v>
      </c>
      <c r="I783" t="str">
        <f>IFERROR(__xludf.DUMMYFUNCTION("""COMPUTED_VALUE"""),"-10½")</f>
        <v>-10½</v>
      </c>
      <c r="J783">
        <f>IFERROR(__xludf.DUMMYFUNCTION("""COMPUTED_VALUE"""),52.0)</f>
        <v>52</v>
      </c>
      <c r="K783" t="str">
        <f>IFERROR(__xludf.DUMMYFUNCTION("""COMPUTED_VALUE"""),"Nick G.")</f>
        <v>Nick G.</v>
      </c>
      <c r="L783" t="str">
        <f>IFERROR(__xludf.DUMMYFUNCTION("""COMPUTED_VALUE"""),"FINAL")</f>
        <v>FINAL</v>
      </c>
      <c r="M783" s="124">
        <v>6.0</v>
      </c>
    </row>
    <row r="784">
      <c r="A784" s="151">
        <f>IFERROR(__xludf.DUMMYFUNCTION("""COMPUTED_VALUE"""),43744.147749525466)</f>
        <v>43744.14775</v>
      </c>
      <c r="B784" t="str">
        <f>IFERROR(__xludf.DUMMYFUNCTION("""COMPUTED_VALUE"""),"Justin")</f>
        <v>Justin</v>
      </c>
      <c r="C784" t="str">
        <f>IFERROR(__xludf.DUMMYFUNCTION("""COMPUTED_VALUE"""),"Buffalo")</f>
        <v>Buffalo</v>
      </c>
      <c r="D784">
        <f>IFERROR(__xludf.DUMMYFUNCTION("""COMPUTED_VALUE"""),2.0)</f>
        <v>2</v>
      </c>
      <c r="E784">
        <f>IFERROR(__xludf.DUMMYFUNCTION("""COMPUTED_VALUE"""),4.0)</f>
        <v>4</v>
      </c>
      <c r="F784" t="str">
        <f>IFERROR(__xludf.DUMMYFUNCTION("""COMPUTED_VALUE"""),"espn+ Video")</f>
        <v>espn+ Video</v>
      </c>
      <c r="G784" t="str">
        <f>IFERROR(__xludf.DUMMYFUNCTION("""COMPUTED_VALUE"""),"Ohio 21 at Buffalo 20")</f>
        <v>Ohio 21 at Buffalo 20</v>
      </c>
      <c r="H784" t="str">
        <f>IFERROR(__xludf.DUMMYFUNCTION("""COMPUTED_VALUE"""),"FINAL - OT")</f>
        <v>FINAL - OT</v>
      </c>
      <c r="I784" t="str">
        <f>IFERROR(__xludf.DUMMYFUNCTION("""COMPUTED_VALUE"""),"3½")</f>
        <v>3½</v>
      </c>
      <c r="J784" t="str">
        <f>IFERROR(__xludf.DUMMYFUNCTION("""COMPUTED_VALUE"""),"54½")</f>
        <v>54½</v>
      </c>
      <c r="K784" t="str">
        <f>IFERROR(__xludf.DUMMYFUNCTION("""COMPUTED_VALUE"""),"Gary")</f>
        <v>Gary</v>
      </c>
      <c r="L784" t="str">
        <f>IFERROR(__xludf.DUMMYFUNCTION("""COMPUTED_VALUE"""),"FINAL - OT")</f>
        <v>FINAL - OT</v>
      </c>
      <c r="M784" s="124">
        <v>6.0</v>
      </c>
    </row>
    <row r="785">
      <c r="A785" s="151">
        <f>IFERROR(__xludf.DUMMYFUNCTION("""COMPUTED_VALUE"""),43744.147749525466)</f>
        <v>43744.14775</v>
      </c>
      <c r="B785" t="str">
        <f>IFERROR(__xludf.DUMMYFUNCTION("""COMPUTED_VALUE"""),"Justin")</f>
        <v>Justin</v>
      </c>
      <c r="C785" t="str">
        <f>IFERROR(__xludf.DUMMYFUNCTION("""COMPUTED_VALUE"""),"Baylor")</f>
        <v>Baylor</v>
      </c>
      <c r="D785">
        <f>IFERROR(__xludf.DUMMYFUNCTION("""COMPUTED_VALUE"""),5.0)</f>
        <v>5</v>
      </c>
      <c r="E785">
        <f>IFERROR(__xludf.DUMMYFUNCTION("""COMPUTED_VALUE"""),0.0)</f>
        <v>0</v>
      </c>
      <c r="F785" t="str">
        <f>IFERROR(__xludf.DUMMYFUNCTION("""COMPUTED_VALUE"""),"NA")</f>
        <v>NA</v>
      </c>
      <c r="G785" t="str">
        <f>IFERROR(__xludf.DUMMYFUNCTION("""COMPUTED_VALUE"""),"Baylor 31 at Kansas State 12")</f>
        <v>Baylor 31 at Kansas State 12</v>
      </c>
      <c r="H785" t="str">
        <f>IFERROR(__xludf.DUMMYFUNCTION("""COMPUTED_VALUE"""),"FINAL")</f>
        <v>FINAL</v>
      </c>
      <c r="I785">
        <f>IFERROR(__xludf.DUMMYFUNCTION("""COMPUTED_VALUE"""),2.0)</f>
        <v>2</v>
      </c>
      <c r="J785" t="str">
        <f>IFERROR(__xludf.DUMMYFUNCTION("""COMPUTED_VALUE"""),"50½")</f>
        <v>50½</v>
      </c>
      <c r="K785" t="str">
        <f>IFERROR(__xludf.DUMMYFUNCTION("""COMPUTED_VALUE"""),"Nick G.")</f>
        <v>Nick G.</v>
      </c>
      <c r="L785" t="str">
        <f>IFERROR(__xludf.DUMMYFUNCTION("""COMPUTED_VALUE"""),"FINAL")</f>
        <v>FINAL</v>
      </c>
      <c r="M785" s="124">
        <v>6.0</v>
      </c>
    </row>
    <row r="786">
      <c r="A786" s="151">
        <f>IFERROR(__xludf.DUMMYFUNCTION("""COMPUTED_VALUE"""),43744.147749525466)</f>
        <v>43744.14775</v>
      </c>
      <c r="B786" t="str">
        <f>IFERROR(__xludf.DUMMYFUNCTION("""COMPUTED_VALUE"""),"Justin")</f>
        <v>Justin</v>
      </c>
      <c r="C786" t="str">
        <f>IFERROR(__xludf.DUMMYFUNCTION("""COMPUTED_VALUE"""),"Western Kentucky")</f>
        <v>Western Kentucky</v>
      </c>
      <c r="D786">
        <f>IFERROR(__xludf.DUMMYFUNCTION("""COMPUTED_VALUE"""),3.0)</f>
        <v>3</v>
      </c>
      <c r="E786">
        <f>IFERROR(__xludf.DUMMYFUNCTION("""COMPUTED_VALUE"""),2.0)</f>
        <v>2</v>
      </c>
      <c r="F786" t="str">
        <f>IFERROR(__xludf.DUMMYFUNCTION("""COMPUTED_VALUE"""),"NA")</f>
        <v>NA</v>
      </c>
      <c r="G786" t="str">
        <f>IFERROR(__xludf.DUMMYFUNCTION("""COMPUTED_VALUE"""),"Western Kentucky 20 at Old Dominion 3")</f>
        <v>Western Kentucky 20 at Old Dominion 3</v>
      </c>
      <c r="H786" t="str">
        <f>IFERROR(__xludf.DUMMYFUNCTION("""COMPUTED_VALUE"""),"FINAL")</f>
        <v>FINAL</v>
      </c>
      <c r="I786" t="str">
        <f>IFERROR(__xludf.DUMMYFUNCTION("""COMPUTED_VALUE"""),"-3½")</f>
        <v>-3½</v>
      </c>
      <c r="J786" t="str">
        <f>IFERROR(__xludf.DUMMYFUNCTION("""COMPUTED_VALUE"""),"44½")</f>
        <v>44½</v>
      </c>
      <c r="K786" t="str">
        <f>IFERROR(__xludf.DUMMYFUNCTION("""COMPUTED_VALUE"""),"Nick A.")</f>
        <v>Nick A.</v>
      </c>
      <c r="L786" t="str">
        <f>IFERROR(__xludf.DUMMYFUNCTION("""COMPUTED_VALUE"""),"FINAL")</f>
        <v>FINAL</v>
      </c>
      <c r="M786" s="124">
        <v>6.0</v>
      </c>
    </row>
    <row r="787">
      <c r="A787" s="151">
        <f>IFERROR(__xludf.DUMMYFUNCTION("""COMPUTED_VALUE"""),43744.147749525466)</f>
        <v>43744.14775</v>
      </c>
      <c r="B787" t="str">
        <f>IFERROR(__xludf.DUMMYFUNCTION("""COMPUTED_VALUE"""),"Justin")</f>
        <v>Justin</v>
      </c>
      <c r="C787" t="str">
        <f>IFERROR(__xludf.DUMMYFUNCTION("""COMPUTED_VALUE"""),"Tennessee")</f>
        <v>Tennessee</v>
      </c>
      <c r="D787">
        <f>IFERROR(__xludf.DUMMYFUNCTION("""COMPUTED_VALUE"""),1.0)</f>
        <v>1</v>
      </c>
      <c r="E787">
        <f>IFERROR(__xludf.DUMMYFUNCTION("""COMPUTED_VALUE"""),4.0)</f>
        <v>4</v>
      </c>
      <c r="F787" t="str">
        <f>IFERROR(__xludf.DUMMYFUNCTION("""COMPUTED_VALUE"""),"SEC Network")</f>
        <v>SEC Network</v>
      </c>
      <c r="G787" t="str">
        <f>IFERROR(__xludf.DUMMYFUNCTION("""COMPUTED_VALUE"""),"(3) Georgia 43 at Tennessee 14")</f>
        <v>(3) Georgia 43 at Tennessee 14</v>
      </c>
      <c r="H787" t="str">
        <f>IFERROR(__xludf.DUMMYFUNCTION("""COMPUTED_VALUE"""),"FINAL")</f>
        <v>FINAL</v>
      </c>
      <c r="I787" t="str">
        <f>IFERROR(__xludf.DUMMYFUNCTION("""COMPUTED_VALUE"""),"25½")</f>
        <v>25½</v>
      </c>
      <c r="J787" t="str">
        <f>IFERROR(__xludf.DUMMYFUNCTION("""COMPUTED_VALUE"""),"52½")</f>
        <v>52½</v>
      </c>
      <c r="K787" t="str">
        <f>IFERROR(__xludf.DUMMYFUNCTION("""COMPUTED_VALUE"""),"Nico")</f>
        <v>Nico</v>
      </c>
      <c r="L787" t="str">
        <f>IFERROR(__xludf.DUMMYFUNCTION("""COMPUTED_VALUE"""),"FINAL")</f>
        <v>FINAL</v>
      </c>
      <c r="M787" s="124">
        <v>6.0</v>
      </c>
    </row>
    <row r="788">
      <c r="A788" s="151">
        <f>IFERROR(__xludf.DUMMYFUNCTION("""COMPUTED_VALUE"""),43744.147749525466)</f>
        <v>43744.14775</v>
      </c>
      <c r="B788" t="str">
        <f>IFERROR(__xludf.DUMMYFUNCTION("""COMPUTED_VALUE"""),"Justin")</f>
        <v>Justin</v>
      </c>
      <c r="C788" t="str">
        <f>IFERROR(__xludf.DUMMYFUNCTION("""COMPUTED_VALUE"""),"Oregon")</f>
        <v>Oregon</v>
      </c>
      <c r="D788">
        <f>IFERROR(__xludf.DUMMYFUNCTION("""COMPUTED_VALUE"""),4.0)</f>
        <v>4</v>
      </c>
      <c r="E788">
        <f>IFERROR(__xludf.DUMMYFUNCTION("""COMPUTED_VALUE"""),1.0)</f>
        <v>1</v>
      </c>
      <c r="F788" t="str">
        <f>IFERROR(__xludf.DUMMYFUNCTION("""COMPUTED_VALUE"""),"Pac-12")</f>
        <v>Pac-12</v>
      </c>
      <c r="G788" t="str">
        <f>IFERROR(__xludf.DUMMYFUNCTION("""COMPUTED_VALUE"""),"California 7 at (13) Oregon 17")</f>
        <v>California 7 at (13) Oregon 17</v>
      </c>
      <c r="H788" t="str">
        <f>IFERROR(__xludf.DUMMYFUNCTION("""COMPUTED_VALUE"""),"FINAL")</f>
        <v>FINAL</v>
      </c>
      <c r="I788">
        <f>IFERROR(__xludf.DUMMYFUNCTION("""COMPUTED_VALUE"""),-18.0)</f>
        <v>-18</v>
      </c>
      <c r="J788" t="str">
        <f>IFERROR(__xludf.DUMMYFUNCTION("""COMPUTED_VALUE"""),"46½")</f>
        <v>46½</v>
      </c>
      <c r="K788" t="str">
        <f>IFERROR(__xludf.DUMMYFUNCTION("""COMPUTED_VALUE"""),"DavEmily")</f>
        <v>DavEmily</v>
      </c>
      <c r="L788" t="str">
        <f>IFERROR(__xludf.DUMMYFUNCTION("""COMPUTED_VALUE"""),"FINAL")</f>
        <v>FINAL</v>
      </c>
      <c r="M788" s="124">
        <v>6.0</v>
      </c>
    </row>
    <row r="789">
      <c r="A789" s="151">
        <f>IFERROR(__xludf.DUMMYFUNCTION("""COMPUTED_VALUE"""),43744.147749525466)</f>
        <v>43744.14775</v>
      </c>
      <c r="B789" t="str">
        <f>IFERROR(__xludf.DUMMYFUNCTION("""COMPUTED_VALUE"""),"Justin")</f>
        <v>Justin</v>
      </c>
      <c r="C789" t="str">
        <f>IFERROR(__xludf.DUMMYFUNCTION("""COMPUTED_VALUE"""),"Duke")</f>
        <v>Duke</v>
      </c>
      <c r="D789">
        <f>IFERROR(__xludf.DUMMYFUNCTION("""COMPUTED_VALUE"""),3.0)</f>
        <v>3</v>
      </c>
      <c r="E789">
        <f>IFERROR(__xludf.DUMMYFUNCTION("""COMPUTED_VALUE"""),2.0)</f>
        <v>2</v>
      </c>
      <c r="F789" t="str">
        <f>IFERROR(__xludf.DUMMYFUNCTION("""COMPUTED_VALUE"""),"Facebook Video")</f>
        <v>Facebook Video</v>
      </c>
      <c r="G789" t="str">
        <f>IFERROR(__xludf.DUMMYFUNCTION("""COMPUTED_VALUE"""),"Pittsburgh 33 at Duke 30")</f>
        <v>Pittsburgh 33 at Duke 30</v>
      </c>
      <c r="H789" t="str">
        <f>IFERROR(__xludf.DUMMYFUNCTION("""COMPUTED_VALUE"""),"FINAL")</f>
        <v>FINAL</v>
      </c>
      <c r="I789">
        <f>IFERROR(__xludf.DUMMYFUNCTION("""COMPUTED_VALUE"""),-4.0)</f>
        <v>-4</v>
      </c>
      <c r="J789" t="str">
        <f>IFERROR(__xludf.DUMMYFUNCTION("""COMPUTED_VALUE"""),"48½")</f>
        <v>48½</v>
      </c>
      <c r="K789" t="str">
        <f>IFERROR(__xludf.DUMMYFUNCTION("""COMPUTED_VALUE"""),"Gary")</f>
        <v>Gary</v>
      </c>
      <c r="L789" t="str">
        <f>IFERROR(__xludf.DUMMYFUNCTION("""COMPUTED_VALUE"""),"FINAL")</f>
        <v>FINAL</v>
      </c>
      <c r="M789" s="124">
        <v>6.0</v>
      </c>
    </row>
    <row r="790">
      <c r="A790" s="151">
        <f>IFERROR(__xludf.DUMMYFUNCTION("""COMPUTED_VALUE"""),43744.147749525466)</f>
        <v>43744.14775</v>
      </c>
      <c r="B790" t="str">
        <f>IFERROR(__xludf.DUMMYFUNCTION("""COMPUTED_VALUE"""),"Justin")</f>
        <v>Justin</v>
      </c>
      <c r="C790" t="str">
        <f>IFERROR(__xludf.DUMMYFUNCTION("""COMPUTED_VALUE"""),"UNLV")</f>
        <v>UNLV</v>
      </c>
      <c r="D790">
        <f>IFERROR(__xludf.DUMMYFUNCTION("""COMPUTED_VALUE"""),1.0)</f>
        <v>1</v>
      </c>
      <c r="E790">
        <f>IFERROR(__xludf.DUMMYFUNCTION("""COMPUTED_VALUE"""),4.0)</f>
        <v>4</v>
      </c>
      <c r="F790" t="str">
        <f>IFERROR(__xludf.DUMMYFUNCTION("""COMPUTED_VALUE"""),"BTN")</f>
        <v>BTN</v>
      </c>
      <c r="G790" t="str">
        <f>IFERROR(__xludf.DUMMYFUNCTION("""COMPUTED_VALUE"""),"(15) Boise State 38 at UNLV 13")</f>
        <v>(15) Boise State 38 at UNLV 13</v>
      </c>
      <c r="H790" t="str">
        <f>IFERROR(__xludf.DUMMYFUNCTION("""COMPUTED_VALUE"""),"FINAL")</f>
        <v>FINAL</v>
      </c>
      <c r="I790">
        <f>IFERROR(__xludf.DUMMYFUNCTION("""COMPUTED_VALUE"""),23.0)</f>
        <v>23</v>
      </c>
      <c r="J790" t="str">
        <f>IFERROR(__xludf.DUMMYFUNCTION("""COMPUTED_VALUE"""),"55½")</f>
        <v>55½</v>
      </c>
      <c r="K790" t="str">
        <f>IFERROR(__xludf.DUMMYFUNCTION("""COMPUTED_VALUE"""),"Janice/Mike")</f>
        <v>Janice/Mike</v>
      </c>
      <c r="L790" t="str">
        <f>IFERROR(__xludf.DUMMYFUNCTION("""COMPUTED_VALUE"""),"FINAL")</f>
        <v>FINAL</v>
      </c>
      <c r="M790" s="124">
        <v>6.0</v>
      </c>
    </row>
    <row r="791">
      <c r="A791" s="151">
        <f>IFERROR(__xludf.DUMMYFUNCTION("""COMPUTED_VALUE"""),43744.147749525466)</f>
        <v>43744.14775</v>
      </c>
      <c r="B791" t="str">
        <f>IFERROR(__xludf.DUMMYFUNCTION("""COMPUTED_VALUE"""),"Justin")</f>
        <v>Justin</v>
      </c>
      <c r="C791" t="str">
        <f>IFERROR(__xludf.DUMMYFUNCTION("""COMPUTED_VALUE"""),"Appalachian State")</f>
        <v>Appalachian State</v>
      </c>
      <c r="D791">
        <f>IFERROR(__xludf.DUMMYFUNCTION("""COMPUTED_VALUE"""),4.0)</f>
        <v>4</v>
      </c>
      <c r="E791">
        <f>IFERROR(__xludf.DUMMYFUNCTION("""COMPUTED_VALUE"""),0.0)</f>
        <v>0</v>
      </c>
      <c r="F791" t="str">
        <f>IFERROR(__xludf.DUMMYFUNCTION("""COMPUTED_VALUE"""),"NA")</f>
        <v>NA</v>
      </c>
      <c r="G791" t="str">
        <f>IFERROR(__xludf.DUMMYFUNCTION("""COMPUTED_VALUE"""),"BYE")</f>
        <v>BYE</v>
      </c>
      <c r="I791" t="str">
        <f>IFERROR(__xludf.DUMMYFUNCTION("""COMPUTED_VALUE"""),"bye")</f>
        <v>bye</v>
      </c>
      <c r="J791" t="str">
        <f>IFERROR(__xludf.DUMMYFUNCTION("""COMPUTED_VALUE"""),"bye")</f>
        <v>bye</v>
      </c>
      <c r="L791">
        <f>IFERROR(__xludf.DUMMYFUNCTION("""COMPUTED_VALUE"""),9999.0)</f>
        <v>9999</v>
      </c>
      <c r="M791" s="124">
        <v>6.0</v>
      </c>
    </row>
    <row r="792">
      <c r="A792" s="151">
        <f>IFERROR(__xludf.DUMMYFUNCTION("""COMPUTED_VALUE"""),43744.147749525466)</f>
        <v>43744.14775</v>
      </c>
      <c r="B792" t="str">
        <f>IFERROR(__xludf.DUMMYFUNCTION("""COMPUTED_VALUE"""),"Adam")</f>
        <v>Adam</v>
      </c>
      <c r="C792" t="str">
        <f>IFERROR(__xludf.DUMMYFUNCTION("""COMPUTED_VALUE"""),"UCF")</f>
        <v>UCF</v>
      </c>
      <c r="D792">
        <f>IFERROR(__xludf.DUMMYFUNCTION("""COMPUTED_VALUE"""),4.0)</f>
        <v>4</v>
      </c>
      <c r="E792">
        <f>IFERROR(__xludf.DUMMYFUNCTION("""COMPUTED_VALUE"""),2.0)</f>
        <v>2</v>
      </c>
      <c r="F792" t="str">
        <f>IFERROR(__xludf.DUMMYFUNCTION("""COMPUTED_VALUE"""),"ESPN")</f>
        <v>ESPN</v>
      </c>
      <c r="G792" t="str">
        <f>IFERROR(__xludf.DUMMYFUNCTION("""COMPUTED_VALUE"""),"(19) UCF 24 at Cincinnati 27")</f>
        <v>(19) UCF 24 at Cincinnati 27</v>
      </c>
      <c r="H792" t="str">
        <f>IFERROR(__xludf.DUMMYFUNCTION("""COMPUTED_VALUE"""),"FINAL")</f>
        <v>FINAL</v>
      </c>
      <c r="I792">
        <f>IFERROR(__xludf.DUMMYFUNCTION("""COMPUTED_VALUE"""),-4.0)</f>
        <v>-4</v>
      </c>
      <c r="J792">
        <f>IFERROR(__xludf.DUMMYFUNCTION("""COMPUTED_VALUE"""),60.0)</f>
        <v>60</v>
      </c>
      <c r="K792" t="str">
        <f>IFERROR(__xludf.DUMMYFUNCTION("""COMPUTED_VALUE"""),"Vu")</f>
        <v>Vu</v>
      </c>
      <c r="L792" t="str">
        <f>IFERROR(__xludf.DUMMYFUNCTION("""COMPUTED_VALUE"""),"FINAL")</f>
        <v>FINAL</v>
      </c>
      <c r="M792" s="124">
        <v>6.0</v>
      </c>
    </row>
    <row r="793">
      <c r="A793" s="151">
        <f>IFERROR(__xludf.DUMMYFUNCTION("""COMPUTED_VALUE"""),43744.147749525466)</f>
        <v>43744.14775</v>
      </c>
      <c r="B793" t="str">
        <f>IFERROR(__xludf.DUMMYFUNCTION("""COMPUTED_VALUE"""),"Adam")</f>
        <v>Adam</v>
      </c>
      <c r="C793" t="str">
        <f>IFERROR(__xludf.DUMMYFUNCTION("""COMPUTED_VALUE"""),"Florida")</f>
        <v>Florida</v>
      </c>
      <c r="D793">
        <f>IFERROR(__xludf.DUMMYFUNCTION("""COMPUTED_VALUE"""),6.0)</f>
        <v>6</v>
      </c>
      <c r="E793">
        <f>IFERROR(__xludf.DUMMYFUNCTION("""COMPUTED_VALUE"""),0.0)</f>
        <v>0</v>
      </c>
      <c r="F793" t="str">
        <f>IFERROR(__xludf.DUMMYFUNCTION("""COMPUTED_VALUE"""),"ESPN")</f>
        <v>ESPN</v>
      </c>
      <c r="G793" t="str">
        <f>IFERROR(__xludf.DUMMYFUNCTION("""COMPUTED_VALUE"""),"(7) Auburn 13 at (8) Florida 24")</f>
        <v>(7) Auburn 13 at (8) Florida 24</v>
      </c>
      <c r="H793" t="str">
        <f>IFERROR(__xludf.DUMMYFUNCTION("""COMPUTED_VALUE"""),"FINAL")</f>
        <v>FINAL</v>
      </c>
      <c r="I793">
        <f>IFERROR(__xludf.DUMMYFUNCTION("""COMPUTED_VALUE"""),3.0)</f>
        <v>3</v>
      </c>
      <c r="J793">
        <f>IFERROR(__xludf.DUMMYFUNCTION("""COMPUTED_VALUE"""),48.0)</f>
        <v>48</v>
      </c>
      <c r="K793" t="str">
        <f>IFERROR(__xludf.DUMMYFUNCTION("""COMPUTED_VALUE"""),"Nick G.")</f>
        <v>Nick G.</v>
      </c>
      <c r="L793" t="str">
        <f>IFERROR(__xludf.DUMMYFUNCTION("""COMPUTED_VALUE"""),"FINAL")</f>
        <v>FINAL</v>
      </c>
      <c r="M793" s="124">
        <v>6.0</v>
      </c>
    </row>
    <row r="794">
      <c r="A794" s="151">
        <f>IFERROR(__xludf.DUMMYFUNCTION("""COMPUTED_VALUE"""),43744.147749525466)</f>
        <v>43744.14775</v>
      </c>
      <c r="B794" t="str">
        <f>IFERROR(__xludf.DUMMYFUNCTION("""COMPUTED_VALUE"""),"Adam")</f>
        <v>Adam</v>
      </c>
      <c r="C794" t="str">
        <f>IFERROR(__xludf.DUMMYFUNCTION("""COMPUTED_VALUE"""),"Texas")</f>
        <v>Texas</v>
      </c>
      <c r="D794">
        <f>IFERROR(__xludf.DUMMYFUNCTION("""COMPUTED_VALUE"""),4.0)</f>
        <v>4</v>
      </c>
      <c r="E794">
        <f>IFERROR(__xludf.DUMMYFUNCTION("""COMPUTED_VALUE"""),1.0)</f>
        <v>1</v>
      </c>
      <c r="F794" t="str">
        <f>IFERROR(__xludf.DUMMYFUNCTION("""COMPUTED_VALUE"""),"CBSSN")</f>
        <v>CBSSN</v>
      </c>
      <c r="G794" t="str">
        <f>IFERROR(__xludf.DUMMYFUNCTION("""COMPUTED_VALUE"""),"(12) Texas 42 at West Virginia 31")</f>
        <v>(12) Texas 42 at West Virginia 31</v>
      </c>
      <c r="H794" t="str">
        <f>IFERROR(__xludf.DUMMYFUNCTION("""COMPUTED_VALUE"""),"FINAL")</f>
        <v>FINAL</v>
      </c>
      <c r="I794">
        <f>IFERROR(__xludf.DUMMYFUNCTION("""COMPUTED_VALUE"""),-11.0)</f>
        <v>-11</v>
      </c>
      <c r="J794" t="str">
        <f>IFERROR(__xludf.DUMMYFUNCTION("""COMPUTED_VALUE"""),"59½")</f>
        <v>59½</v>
      </c>
      <c r="K794" t="str">
        <f>IFERROR(__xludf.DUMMYFUNCTION("""COMPUTED_VALUE"""),"Nico")</f>
        <v>Nico</v>
      </c>
      <c r="L794" t="str">
        <f>IFERROR(__xludf.DUMMYFUNCTION("""COMPUTED_VALUE"""),"FINAL")</f>
        <v>FINAL</v>
      </c>
      <c r="M794" s="124">
        <v>6.0</v>
      </c>
    </row>
    <row r="795">
      <c r="A795" s="151">
        <f>IFERROR(__xludf.DUMMYFUNCTION("""COMPUTED_VALUE"""),43744.147749525466)</f>
        <v>43744.14775</v>
      </c>
      <c r="B795" t="str">
        <f>IFERROR(__xludf.DUMMYFUNCTION("""COMPUTED_VALUE"""),"Adam")</f>
        <v>Adam</v>
      </c>
      <c r="C795" t="str">
        <f>IFERROR(__xludf.DUMMYFUNCTION("""COMPUTED_VALUE"""),"Georgia State")</f>
        <v>Georgia State</v>
      </c>
      <c r="D795">
        <f>IFERROR(__xludf.DUMMYFUNCTION("""COMPUTED_VALUE"""),3.0)</f>
        <v>3</v>
      </c>
      <c r="E795">
        <f>IFERROR(__xludf.DUMMYFUNCTION("""COMPUTED_VALUE"""),2.0)</f>
        <v>2</v>
      </c>
      <c r="F795" t="str">
        <f>IFERROR(__xludf.DUMMYFUNCTION("""COMPUTED_VALUE"""),"espn+ Video")</f>
        <v>espn+ Video</v>
      </c>
      <c r="G795" t="str">
        <f>IFERROR(__xludf.DUMMYFUNCTION("""COMPUTED_VALUE"""),"Arkansas State 38 at Georgia State 52")</f>
        <v>Arkansas State 38 at Georgia State 52</v>
      </c>
      <c r="H795" t="str">
        <f>IFERROR(__xludf.DUMMYFUNCTION("""COMPUTED_VALUE"""),"FINAL")</f>
        <v>FINAL</v>
      </c>
      <c r="I795" t="str">
        <f>IFERROR(__xludf.DUMMYFUNCTION("""COMPUTED_VALUE"""),"7½")</f>
        <v>7½</v>
      </c>
      <c r="J795" t="str">
        <f>IFERROR(__xludf.DUMMYFUNCTION("""COMPUTED_VALUE"""),"71½")</f>
        <v>71½</v>
      </c>
      <c r="K795" t="str">
        <f>IFERROR(__xludf.DUMMYFUNCTION("""COMPUTED_VALUE"""),"Nico")</f>
        <v>Nico</v>
      </c>
      <c r="L795" t="str">
        <f>IFERROR(__xludf.DUMMYFUNCTION("""COMPUTED_VALUE"""),"FINAL")</f>
        <v>FINAL</v>
      </c>
      <c r="M795" s="124">
        <v>6.0</v>
      </c>
    </row>
    <row r="796">
      <c r="A796" s="151">
        <f>IFERROR(__xludf.DUMMYFUNCTION("""COMPUTED_VALUE"""),43744.147749525466)</f>
        <v>43744.14775</v>
      </c>
      <c r="B796" t="str">
        <f>IFERROR(__xludf.DUMMYFUNCTION("""COMPUTED_VALUE"""),"Adam")</f>
        <v>Adam</v>
      </c>
      <c r="C796" t="str">
        <f>IFERROR(__xludf.DUMMYFUNCTION("""COMPUTED_VALUE"""),"Air Force")</f>
        <v>Air Force</v>
      </c>
      <c r="D796">
        <f>IFERROR(__xludf.DUMMYFUNCTION("""COMPUTED_VALUE"""),3.0)</f>
        <v>3</v>
      </c>
      <c r="E796">
        <f>IFERROR(__xludf.DUMMYFUNCTION("""COMPUTED_VALUE"""),2.0)</f>
        <v>2</v>
      </c>
      <c r="F796" t="str">
        <f>IFERROR(__xludf.DUMMYFUNCTION("""COMPUTED_VALUE"""),"Pac-12")</f>
        <v>Pac-12</v>
      </c>
      <c r="G796" t="str">
        <f>IFERROR(__xludf.DUMMYFUNCTION("""COMPUTED_VALUE"""),"Air Force 25 at Navy 34")</f>
        <v>Air Force 25 at Navy 34</v>
      </c>
      <c r="H796" t="str">
        <f>IFERROR(__xludf.DUMMYFUNCTION("""COMPUTED_VALUE"""),"FINAL")</f>
        <v>FINAL</v>
      </c>
      <c r="I796" t="str">
        <f>IFERROR(__xludf.DUMMYFUNCTION("""COMPUTED_VALUE"""),"-3½")</f>
        <v>-3½</v>
      </c>
      <c r="J796" t="str">
        <f>IFERROR(__xludf.DUMMYFUNCTION("""COMPUTED_VALUE"""),"44½")</f>
        <v>44½</v>
      </c>
      <c r="K796" t="str">
        <f>IFERROR(__xludf.DUMMYFUNCTION("""COMPUTED_VALUE"""),"Janice/Mike")</f>
        <v>Janice/Mike</v>
      </c>
      <c r="L796" t="str">
        <f>IFERROR(__xludf.DUMMYFUNCTION("""COMPUTED_VALUE"""),"FINAL")</f>
        <v>FINAL</v>
      </c>
      <c r="M796" s="124">
        <v>6.0</v>
      </c>
    </row>
    <row r="797">
      <c r="A797" s="151">
        <f>IFERROR(__xludf.DUMMYFUNCTION("""COMPUTED_VALUE"""),43744.147749525466)</f>
        <v>43744.14775</v>
      </c>
      <c r="B797" t="str">
        <f>IFERROR(__xludf.DUMMYFUNCTION("""COMPUTED_VALUE"""),"Adam")</f>
        <v>Adam</v>
      </c>
      <c r="C797" t="str">
        <f>IFERROR(__xludf.DUMMYFUNCTION("""COMPUTED_VALUE"""),"Northwestern")</f>
        <v>Northwestern</v>
      </c>
      <c r="D797">
        <f>IFERROR(__xludf.DUMMYFUNCTION("""COMPUTED_VALUE"""),1.0)</f>
        <v>1</v>
      </c>
      <c r="E797">
        <f>IFERROR(__xludf.DUMMYFUNCTION("""COMPUTED_VALUE"""),4.0)</f>
        <v>4</v>
      </c>
      <c r="F797" t="str">
        <f>IFERROR(__xludf.DUMMYFUNCTION("""COMPUTED_VALUE"""),"BTN")</f>
        <v>BTN</v>
      </c>
      <c r="G797" t="str">
        <f>IFERROR(__xludf.DUMMYFUNCTION("""COMPUTED_VALUE"""),"Northwestern 10 at Nebraska 13")</f>
        <v>Northwestern 10 at Nebraska 13</v>
      </c>
      <c r="H797" t="str">
        <f>IFERROR(__xludf.DUMMYFUNCTION("""COMPUTED_VALUE"""),"FINAL")</f>
        <v>FINAL</v>
      </c>
      <c r="I797" t="str">
        <f>IFERROR(__xludf.DUMMYFUNCTION("""COMPUTED_VALUE"""),"7½")</f>
        <v>7½</v>
      </c>
      <c r="J797" t="str">
        <f>IFERROR(__xludf.DUMMYFUNCTION("""COMPUTED_VALUE"""),"49½")</f>
        <v>49½</v>
      </c>
      <c r="K797" t="str">
        <f>IFERROR(__xludf.DUMMYFUNCTION("""COMPUTED_VALUE"""),"DavEmily")</f>
        <v>DavEmily</v>
      </c>
      <c r="L797" t="str">
        <f>IFERROR(__xludf.DUMMYFUNCTION("""COMPUTED_VALUE"""),"FINAL")</f>
        <v>FINAL</v>
      </c>
      <c r="M797" s="124">
        <v>6.0</v>
      </c>
    </row>
    <row r="798">
      <c r="A798" s="151">
        <f>IFERROR(__xludf.DUMMYFUNCTION("""COMPUTED_VALUE"""),43744.147749525466)</f>
        <v>43744.14775</v>
      </c>
      <c r="B798" t="str">
        <f>IFERROR(__xludf.DUMMYFUNCTION("""COMPUTED_VALUE"""),"Adam")</f>
        <v>Adam</v>
      </c>
      <c r="C798" t="str">
        <f>IFERROR(__xludf.DUMMYFUNCTION("""COMPUTED_VALUE"""),"Florida Intl")</f>
        <v>Florida Intl</v>
      </c>
      <c r="D798">
        <f>IFERROR(__xludf.DUMMYFUNCTION("""COMPUTED_VALUE"""),2.0)</f>
        <v>2</v>
      </c>
      <c r="E798">
        <f>IFERROR(__xludf.DUMMYFUNCTION("""COMPUTED_VALUE"""),3.0)</f>
        <v>3</v>
      </c>
      <c r="F798" t="str">
        <f>IFERROR(__xludf.DUMMYFUNCTION("""COMPUTED_VALUE"""),"NA")</f>
        <v>NA</v>
      </c>
      <c r="G798" t="str">
        <f>IFERROR(__xludf.DUMMYFUNCTION("""COMPUTED_VALUE"""),"UMass 0 at Florida Intl 44")</f>
        <v>UMass 0 at Florida Intl 44</v>
      </c>
      <c r="H798" t="str">
        <f>IFERROR(__xludf.DUMMYFUNCTION("""COMPUTED_VALUE"""),"FINAL")</f>
        <v>FINAL</v>
      </c>
      <c r="I798" t="str">
        <f>IFERROR(__xludf.DUMMYFUNCTION("""COMPUTED_VALUE"""),"-26½")</f>
        <v>-26½</v>
      </c>
      <c r="J798">
        <f>IFERROR(__xludf.DUMMYFUNCTION("""COMPUTED_VALUE"""),67.0)</f>
        <v>67</v>
      </c>
      <c r="K798" t="str">
        <f>IFERROR(__xludf.DUMMYFUNCTION("""COMPUTED_VALUE"""),"Undrafted")</f>
        <v>Undrafted</v>
      </c>
      <c r="L798" t="str">
        <f>IFERROR(__xludf.DUMMYFUNCTION("""COMPUTED_VALUE"""),"FINAL")</f>
        <v>FINAL</v>
      </c>
      <c r="M798" s="124">
        <v>6.0</v>
      </c>
    </row>
    <row r="799">
      <c r="A799" s="151">
        <f>IFERROR(__xludf.DUMMYFUNCTION("""COMPUTED_VALUE"""),43744.147749525466)</f>
        <v>43744.14775</v>
      </c>
      <c r="B799" t="str">
        <f>IFERROR(__xludf.DUMMYFUNCTION("""COMPUTED_VALUE"""),"Adam")</f>
        <v>Adam</v>
      </c>
      <c r="C799" t="str">
        <f>IFERROR(__xludf.DUMMYFUNCTION("""COMPUTED_VALUE"""),"Oregon State")</f>
        <v>Oregon State</v>
      </c>
      <c r="D799">
        <f>IFERROR(__xludf.DUMMYFUNCTION("""COMPUTED_VALUE"""),2.0)</f>
        <v>2</v>
      </c>
      <c r="E799">
        <f>IFERROR(__xludf.DUMMYFUNCTION("""COMPUTED_VALUE"""),3.0)</f>
        <v>3</v>
      </c>
      <c r="F799" t="str">
        <f>IFERROR(__xludf.DUMMYFUNCTION("""COMPUTED_VALUE"""),"Pac-12 Oregon")</f>
        <v>Pac-12 Oregon</v>
      </c>
      <c r="G799" t="str">
        <f>IFERROR(__xludf.DUMMYFUNCTION("""COMPUTED_VALUE"""),"Oregon State 48 at UCLA 31")</f>
        <v>Oregon State 48 at UCLA 31</v>
      </c>
      <c r="H799" t="str">
        <f>IFERROR(__xludf.DUMMYFUNCTION("""COMPUTED_VALUE"""),"FINAL")</f>
        <v>FINAL</v>
      </c>
      <c r="I799" t="str">
        <f>IFERROR(__xludf.DUMMYFUNCTION("""COMPUTED_VALUE"""),"5½")</f>
        <v>5½</v>
      </c>
      <c r="J799" t="str">
        <f>IFERROR(__xludf.DUMMYFUNCTION("""COMPUTED_VALUE"""),"65½")</f>
        <v>65½</v>
      </c>
      <c r="K799" t="str">
        <f>IFERROR(__xludf.DUMMYFUNCTION("""COMPUTED_VALUE"""),"Gary")</f>
        <v>Gary</v>
      </c>
      <c r="L799" t="str">
        <f>IFERROR(__xludf.DUMMYFUNCTION("""COMPUTED_VALUE"""),"FINAL")</f>
        <v>FINAL</v>
      </c>
      <c r="M799" s="124">
        <v>6.0</v>
      </c>
    </row>
    <row r="800">
      <c r="A800" s="151">
        <f>IFERROR(__xludf.DUMMYFUNCTION("""COMPUTED_VALUE"""),43744.147749525466)</f>
        <v>43744.14775</v>
      </c>
      <c r="B800" t="str">
        <f>IFERROR(__xludf.DUMMYFUNCTION("""COMPUTED_VALUE"""),"Adam")</f>
        <v>Adam</v>
      </c>
      <c r="C800" t="str">
        <f>IFERROR(__xludf.DUMMYFUNCTION("""COMPUTED_VALUE"""),"Akron")</f>
        <v>Akron</v>
      </c>
      <c r="D800">
        <f>IFERROR(__xludf.DUMMYFUNCTION("""COMPUTED_VALUE"""),0.0)</f>
        <v>0</v>
      </c>
      <c r="E800">
        <f>IFERROR(__xludf.DUMMYFUNCTION("""COMPUTED_VALUE"""),5.0)</f>
        <v>5</v>
      </c>
      <c r="F800" t="str">
        <f>IFERROR(__xludf.DUMMYFUNCTION("""COMPUTED_VALUE"""),"espn+ Video")</f>
        <v>espn+ Video</v>
      </c>
      <c r="G800" t="str">
        <f>IFERROR(__xludf.DUMMYFUNCTION("""COMPUTED_VALUE"""),"BYE")</f>
        <v>BYE</v>
      </c>
      <c r="I800" t="str">
        <f>IFERROR(__xludf.DUMMYFUNCTION("""COMPUTED_VALUE"""),"bye")</f>
        <v>bye</v>
      </c>
      <c r="J800" t="str">
        <f>IFERROR(__xludf.DUMMYFUNCTION("""COMPUTED_VALUE"""),"bye")</f>
        <v>bye</v>
      </c>
      <c r="L800">
        <f>IFERROR(__xludf.DUMMYFUNCTION("""COMPUTED_VALUE"""),9999.0)</f>
        <v>9999</v>
      </c>
      <c r="M800" s="124">
        <v>6.0</v>
      </c>
    </row>
    <row r="801">
      <c r="A801" s="151">
        <f>IFERROR(__xludf.DUMMYFUNCTION("""COMPUTED_VALUE"""),43744.147749525466)</f>
        <v>43744.14775</v>
      </c>
      <c r="B801" t="str">
        <f>IFERROR(__xludf.DUMMYFUNCTION("""COMPUTED_VALUE"""),"Adam")</f>
        <v>Adam</v>
      </c>
      <c r="C801" t="str">
        <f>IFERROR(__xludf.DUMMYFUNCTION("""COMPUTED_VALUE"""),"Wake Forest")</f>
        <v>Wake Forest</v>
      </c>
      <c r="D801">
        <f>IFERROR(__xludf.DUMMYFUNCTION("""COMPUTED_VALUE"""),5.0)</f>
        <v>5</v>
      </c>
      <c r="E801">
        <f>IFERROR(__xludf.DUMMYFUNCTION("""COMPUTED_VALUE"""),0.0)</f>
        <v>0</v>
      </c>
      <c r="F801" t="str">
        <f>IFERROR(__xludf.DUMMYFUNCTION("""COMPUTED_VALUE"""),"NA")</f>
        <v>NA</v>
      </c>
      <c r="G801" t="str">
        <f>IFERROR(__xludf.DUMMYFUNCTION("""COMPUTED_VALUE"""),"BYE")</f>
        <v>BYE</v>
      </c>
      <c r="I801" t="str">
        <f>IFERROR(__xludf.DUMMYFUNCTION("""COMPUTED_VALUE"""),"bye")</f>
        <v>bye</v>
      </c>
      <c r="J801" t="str">
        <f>IFERROR(__xludf.DUMMYFUNCTION("""COMPUTED_VALUE"""),"bye")</f>
        <v>bye</v>
      </c>
      <c r="L801">
        <f>IFERROR(__xludf.DUMMYFUNCTION("""COMPUTED_VALUE"""),9999.0)</f>
        <v>9999</v>
      </c>
      <c r="M801" s="124">
        <v>6.0</v>
      </c>
    </row>
    <row r="802">
      <c r="A802" s="151">
        <f>IFERROR(__xludf.DUMMYFUNCTION("""COMPUTED_VALUE"""),43744.147749525466)</f>
        <v>43744.14775</v>
      </c>
      <c r="B802" t="str">
        <f>IFERROR(__xludf.DUMMYFUNCTION("""COMPUTED_VALUE"""),"Vu")</f>
        <v>Vu</v>
      </c>
      <c r="C802" t="str">
        <f>IFERROR(__xludf.DUMMYFUNCTION("""COMPUTED_VALUE"""),"South Alabama")</f>
        <v>South Alabama</v>
      </c>
      <c r="D802">
        <f>IFERROR(__xludf.DUMMYFUNCTION("""COMPUTED_VALUE"""),1.0)</f>
        <v>1</v>
      </c>
      <c r="E802">
        <f>IFERROR(__xludf.DUMMYFUNCTION("""COMPUTED_VALUE"""),5.0)</f>
        <v>5</v>
      </c>
      <c r="F802" t="str">
        <f>IFERROR(__xludf.DUMMYFUNCTION("""COMPUTED_VALUE"""),"ESPNU")</f>
        <v>ESPNU</v>
      </c>
      <c r="G802" t="str">
        <f>IFERROR(__xludf.DUMMYFUNCTION("""COMPUTED_VALUE"""),"Georgia Southern 20 at South Alabama 17")</f>
        <v>Georgia Southern 20 at South Alabama 17</v>
      </c>
      <c r="H802" t="str">
        <f>IFERROR(__xludf.DUMMYFUNCTION("""COMPUTED_VALUE"""),"FINAL - 2ND OT")</f>
        <v>FINAL - 2ND OT</v>
      </c>
      <c r="I802">
        <f>IFERROR(__xludf.DUMMYFUNCTION("""COMPUTED_VALUE"""),10.0)</f>
        <v>10</v>
      </c>
      <c r="J802">
        <f>IFERROR(__xludf.DUMMYFUNCTION("""COMPUTED_VALUE"""),46.0)</f>
        <v>46</v>
      </c>
      <c r="K802" t="str">
        <f>IFERROR(__xludf.DUMMYFUNCTION("""COMPUTED_VALUE"""),"Janice/Mike")</f>
        <v>Janice/Mike</v>
      </c>
      <c r="L802" t="str">
        <f>IFERROR(__xludf.DUMMYFUNCTION("""COMPUTED_VALUE"""),"FINAL - 2ND OT")</f>
        <v>FINAL - 2ND OT</v>
      </c>
      <c r="M802" s="124">
        <v>6.0</v>
      </c>
    </row>
    <row r="803">
      <c r="A803" s="151">
        <f>IFERROR(__xludf.DUMMYFUNCTION("""COMPUTED_VALUE"""),43744.147749525466)</f>
        <v>43744.14775</v>
      </c>
      <c r="B803" t="str">
        <f>IFERROR(__xludf.DUMMYFUNCTION("""COMPUTED_VALUE"""),"Vu")</f>
        <v>Vu</v>
      </c>
      <c r="C803" t="str">
        <f>IFERROR(__xludf.DUMMYFUNCTION("""COMPUTED_VALUE"""),"Cincinnati")</f>
        <v>Cincinnati</v>
      </c>
      <c r="D803">
        <f>IFERROR(__xludf.DUMMYFUNCTION("""COMPUTED_VALUE"""),4.0)</f>
        <v>4</v>
      </c>
      <c r="E803">
        <f>IFERROR(__xludf.DUMMYFUNCTION("""COMPUTED_VALUE"""),1.0)</f>
        <v>1</v>
      </c>
      <c r="F803" t="str">
        <f>IFERROR(__xludf.DUMMYFUNCTION("""COMPUTED_VALUE"""),"ESPNU")</f>
        <v>ESPNU</v>
      </c>
      <c r="G803" t="str">
        <f>IFERROR(__xludf.DUMMYFUNCTION("""COMPUTED_VALUE"""),"(19) UCF 24 at Cincinnati 27")</f>
        <v>(19) UCF 24 at Cincinnati 27</v>
      </c>
      <c r="H803" t="str">
        <f>IFERROR(__xludf.DUMMYFUNCTION("""COMPUTED_VALUE"""),"FINAL")</f>
        <v>FINAL</v>
      </c>
      <c r="I803">
        <f>IFERROR(__xludf.DUMMYFUNCTION("""COMPUTED_VALUE"""),4.0)</f>
        <v>4</v>
      </c>
      <c r="J803">
        <f>IFERROR(__xludf.DUMMYFUNCTION("""COMPUTED_VALUE"""),60.0)</f>
        <v>60</v>
      </c>
      <c r="K803" t="str">
        <f>IFERROR(__xludf.DUMMYFUNCTION("""COMPUTED_VALUE"""),"Adam")</f>
        <v>Adam</v>
      </c>
      <c r="L803" t="str">
        <f>IFERROR(__xludf.DUMMYFUNCTION("""COMPUTED_VALUE"""),"FINAL")</f>
        <v>FINAL</v>
      </c>
      <c r="M803" s="124">
        <v>6.0</v>
      </c>
    </row>
    <row r="804">
      <c r="A804" s="151">
        <f>IFERROR(__xludf.DUMMYFUNCTION("""COMPUTED_VALUE"""),43744.147749525466)</f>
        <v>43744.14775</v>
      </c>
      <c r="B804" t="str">
        <f>IFERROR(__xludf.DUMMYFUNCTION("""COMPUTED_VALUE"""),"Vu")</f>
        <v>Vu</v>
      </c>
      <c r="C804" t="str">
        <f>IFERROR(__xludf.DUMMYFUNCTION("""COMPUTED_VALUE"""),"Kent State")</f>
        <v>Kent State</v>
      </c>
      <c r="D804">
        <f>IFERROR(__xludf.DUMMYFUNCTION("""COMPUTED_VALUE"""),2.0)</f>
        <v>2</v>
      </c>
      <c r="E804">
        <f>IFERROR(__xludf.DUMMYFUNCTION("""COMPUTED_VALUE"""),3.0)</f>
        <v>3</v>
      </c>
      <c r="F804" t="str">
        <f>IFERROR(__xludf.DUMMYFUNCTION("""COMPUTED_VALUE"""),"ESPN2 or ESPNU")</f>
        <v>ESPN2 or ESPNU</v>
      </c>
      <c r="G804" t="str">
        <f>IFERROR(__xludf.DUMMYFUNCTION("""COMPUTED_VALUE"""),"Kent State 0 at (9) Wisconsin 48")</f>
        <v>Kent State 0 at (9) Wisconsin 48</v>
      </c>
      <c r="H804" t="str">
        <f>IFERROR(__xludf.DUMMYFUNCTION("""COMPUTED_VALUE"""),"FINAL")</f>
        <v>FINAL</v>
      </c>
      <c r="I804" t="str">
        <f>IFERROR(__xludf.DUMMYFUNCTION("""COMPUTED_VALUE"""),"36½")</f>
        <v>36½</v>
      </c>
      <c r="J804" t="str">
        <f>IFERROR(__xludf.DUMMYFUNCTION("""COMPUTED_VALUE"""),"57½")</f>
        <v>57½</v>
      </c>
      <c r="K804" t="str">
        <f>IFERROR(__xludf.DUMMYFUNCTION("""COMPUTED_VALUE"""),"Janice/Mike")</f>
        <v>Janice/Mike</v>
      </c>
      <c r="L804" t="str">
        <f>IFERROR(__xludf.DUMMYFUNCTION("""COMPUTED_VALUE"""),"FINAL")</f>
        <v>FINAL</v>
      </c>
      <c r="M804" s="124">
        <v>6.0</v>
      </c>
    </row>
    <row r="805">
      <c r="A805" s="151">
        <f>IFERROR(__xludf.DUMMYFUNCTION("""COMPUTED_VALUE"""),43744.147749525466)</f>
        <v>43744.14775</v>
      </c>
      <c r="B805" t="str">
        <f>IFERROR(__xludf.DUMMYFUNCTION("""COMPUTED_VALUE"""),"Vu")</f>
        <v>Vu</v>
      </c>
      <c r="C805" t="str">
        <f>IFERROR(__xludf.DUMMYFUNCTION("""COMPUTED_VALUE"""),"Michigan")</f>
        <v>Michigan</v>
      </c>
      <c r="D805">
        <f>IFERROR(__xludf.DUMMYFUNCTION("""COMPUTED_VALUE"""),4.0)</f>
        <v>4</v>
      </c>
      <c r="E805">
        <f>IFERROR(__xludf.DUMMYFUNCTION("""COMPUTED_VALUE"""),1.0)</f>
        <v>1</v>
      </c>
      <c r="F805" t="str">
        <f>IFERROR(__xludf.DUMMYFUNCTION("""COMPUTED_VALUE"""),"NA")</f>
        <v>NA</v>
      </c>
      <c r="G805" t="str">
        <f>IFERROR(__xludf.DUMMYFUNCTION("""COMPUTED_VALUE"""),"(14) Iowa 3 at (18) Michigan 10")</f>
        <v>(14) Iowa 3 at (18) Michigan 10</v>
      </c>
      <c r="H805" t="str">
        <f>IFERROR(__xludf.DUMMYFUNCTION("""COMPUTED_VALUE"""),"FINAL")</f>
        <v>FINAL</v>
      </c>
      <c r="I805" t="str">
        <f>IFERROR(__xludf.DUMMYFUNCTION("""COMPUTED_VALUE"""),"-3½")</f>
        <v>-3½</v>
      </c>
      <c r="J805">
        <f>IFERROR(__xludf.DUMMYFUNCTION("""COMPUTED_VALUE"""),47.0)</f>
        <v>47</v>
      </c>
      <c r="K805" t="str">
        <f>IFERROR(__xludf.DUMMYFUNCTION("""COMPUTED_VALUE"""),"Justin")</f>
        <v>Justin</v>
      </c>
      <c r="L805" t="str">
        <f>IFERROR(__xludf.DUMMYFUNCTION("""COMPUTED_VALUE"""),"FINAL")</f>
        <v>FINAL</v>
      </c>
      <c r="M805" s="124">
        <v>6.0</v>
      </c>
    </row>
    <row r="806">
      <c r="A806" s="151">
        <f>IFERROR(__xludf.DUMMYFUNCTION("""COMPUTED_VALUE"""),43744.147749525466)</f>
        <v>43744.14775</v>
      </c>
      <c r="B806" t="str">
        <f>IFERROR(__xludf.DUMMYFUNCTION("""COMPUTED_VALUE"""),"Vu")</f>
        <v>Vu</v>
      </c>
      <c r="C806" t="str">
        <f>IFERROR(__xludf.DUMMYFUNCTION("""COMPUTED_VALUE"""),"TCU")</f>
        <v>TCU</v>
      </c>
      <c r="D806">
        <f>IFERROR(__xludf.DUMMYFUNCTION("""COMPUTED_VALUE"""),3.0)</f>
        <v>3</v>
      </c>
      <c r="E806">
        <f>IFERROR(__xludf.DUMMYFUNCTION("""COMPUTED_VALUE"""),2.0)</f>
        <v>2</v>
      </c>
      <c r="F806" t="str">
        <f>IFERROR(__xludf.DUMMYFUNCTION("""COMPUTED_VALUE"""),"BTN")</f>
        <v>BTN</v>
      </c>
      <c r="G806" t="str">
        <f>IFERROR(__xludf.DUMMYFUNCTION("""COMPUTED_VALUE"""),"TCU 24 at Iowa State 49")</f>
        <v>TCU 24 at Iowa State 49</v>
      </c>
      <c r="H806" t="str">
        <f>IFERROR(__xludf.DUMMYFUNCTION("""COMPUTED_VALUE"""),"FINAL")</f>
        <v>FINAL</v>
      </c>
      <c r="I806" t="str">
        <f>IFERROR(__xludf.DUMMYFUNCTION("""COMPUTED_VALUE"""),"3½")</f>
        <v>3½</v>
      </c>
      <c r="J806">
        <f>IFERROR(__xludf.DUMMYFUNCTION("""COMPUTED_VALUE"""),45.0)</f>
        <v>45</v>
      </c>
      <c r="K806" t="str">
        <f>IFERROR(__xludf.DUMMYFUNCTION("""COMPUTED_VALUE"""),"Nick A.")</f>
        <v>Nick A.</v>
      </c>
      <c r="L806" t="str">
        <f>IFERROR(__xludf.DUMMYFUNCTION("""COMPUTED_VALUE"""),"FINAL")</f>
        <v>FINAL</v>
      </c>
      <c r="M806" s="124">
        <v>6.0</v>
      </c>
    </row>
    <row r="807">
      <c r="A807" s="151">
        <f>IFERROR(__xludf.DUMMYFUNCTION("""COMPUTED_VALUE"""),43744.147749525466)</f>
        <v>43744.14775</v>
      </c>
      <c r="B807" t="str">
        <f>IFERROR(__xludf.DUMMYFUNCTION("""COMPUTED_VALUE"""),"Vu")</f>
        <v>Vu</v>
      </c>
      <c r="C807" t="str">
        <f>IFERROR(__xludf.DUMMYFUNCTION("""COMPUTED_VALUE"""),"Washington")</f>
        <v>Washington</v>
      </c>
      <c r="D807">
        <f>IFERROR(__xludf.DUMMYFUNCTION("""COMPUTED_VALUE"""),4.0)</f>
        <v>4</v>
      </c>
      <c r="E807">
        <f>IFERROR(__xludf.DUMMYFUNCTION("""COMPUTED_VALUE"""),2.0)</f>
        <v>2</v>
      </c>
      <c r="F807" t="str">
        <f>IFERROR(__xludf.DUMMYFUNCTION("""COMPUTED_VALUE"""),"Pac-12")</f>
        <v>Pac-12</v>
      </c>
      <c r="G807" t="str">
        <f>IFERROR(__xludf.DUMMYFUNCTION("""COMPUTED_VALUE"""),"(16) Washington 13 at Stanford 23")</f>
        <v>(16) Washington 13 at Stanford 23</v>
      </c>
      <c r="H807" t="str">
        <f>IFERROR(__xludf.DUMMYFUNCTION("""COMPUTED_VALUE"""),"FINAL")</f>
        <v>FINAL</v>
      </c>
      <c r="I807" t="str">
        <f>IFERROR(__xludf.DUMMYFUNCTION("""COMPUTED_VALUE"""),"-16½")</f>
        <v>-16½</v>
      </c>
      <c r="J807">
        <f>IFERROR(__xludf.DUMMYFUNCTION("""COMPUTED_VALUE"""),52.0)</f>
        <v>52</v>
      </c>
      <c r="K807" t="str">
        <f>IFERROR(__xludf.DUMMYFUNCTION("""COMPUTED_VALUE"""),"Nick G.")</f>
        <v>Nick G.</v>
      </c>
      <c r="L807" t="str">
        <f>IFERROR(__xludf.DUMMYFUNCTION("""COMPUTED_VALUE"""),"FINAL")</f>
        <v>FINAL</v>
      </c>
      <c r="M807" s="124">
        <v>6.0</v>
      </c>
    </row>
    <row r="808">
      <c r="A808" s="151">
        <f>IFERROR(__xludf.DUMMYFUNCTION("""COMPUTED_VALUE"""),43744.147749525466)</f>
        <v>43744.14775</v>
      </c>
      <c r="B808" t="str">
        <f>IFERROR(__xludf.DUMMYFUNCTION("""COMPUTED_VALUE"""),"Vu")</f>
        <v>Vu</v>
      </c>
      <c r="C808" t="str">
        <f>IFERROR(__xludf.DUMMYFUNCTION("""COMPUTED_VALUE"""),"Syracuse")</f>
        <v>Syracuse</v>
      </c>
      <c r="D808">
        <f>IFERROR(__xludf.DUMMYFUNCTION("""COMPUTED_VALUE"""),3.0)</f>
        <v>3</v>
      </c>
      <c r="E808">
        <f>IFERROR(__xludf.DUMMYFUNCTION("""COMPUTED_VALUE"""),2.0)</f>
        <v>2</v>
      </c>
      <c r="F808" t="str">
        <f>IFERROR(__xludf.DUMMYFUNCTION("""COMPUTED_VALUE"""),"ABC")</f>
        <v>ABC</v>
      </c>
      <c r="G808" t="str">
        <f>IFERROR(__xludf.DUMMYFUNCTION("""COMPUTED_VALUE"""),"BYE")</f>
        <v>BYE</v>
      </c>
      <c r="I808" t="str">
        <f>IFERROR(__xludf.DUMMYFUNCTION("""COMPUTED_VALUE"""),"bye")</f>
        <v>bye</v>
      </c>
      <c r="J808" t="str">
        <f>IFERROR(__xludf.DUMMYFUNCTION("""COMPUTED_VALUE"""),"bye")</f>
        <v>bye</v>
      </c>
      <c r="L808">
        <f>IFERROR(__xludf.DUMMYFUNCTION("""COMPUTED_VALUE"""),9999.0)</f>
        <v>9999</v>
      </c>
      <c r="M808" s="124">
        <v>6.0</v>
      </c>
    </row>
    <row r="809">
      <c r="A809" s="151">
        <f>IFERROR(__xludf.DUMMYFUNCTION("""COMPUTED_VALUE"""),43744.147749525466)</f>
        <v>43744.14775</v>
      </c>
      <c r="B809" t="str">
        <f>IFERROR(__xludf.DUMMYFUNCTION("""COMPUTED_VALUE"""),"Vu")</f>
        <v>Vu</v>
      </c>
      <c r="C809" t="str">
        <f>IFERROR(__xludf.DUMMYFUNCTION("""COMPUTED_VALUE"""),"Texas A&amp;M")</f>
        <v>Texas A&amp;M</v>
      </c>
      <c r="D809">
        <f>IFERROR(__xludf.DUMMYFUNCTION("""COMPUTED_VALUE"""),3.0)</f>
        <v>3</v>
      </c>
      <c r="E809">
        <f>IFERROR(__xludf.DUMMYFUNCTION("""COMPUTED_VALUE"""),2.0)</f>
        <v>2</v>
      </c>
      <c r="F809" t="str">
        <f>IFERROR(__xludf.DUMMYFUNCTION("""COMPUTED_VALUE"""),"ESPN2 or ESPNU")</f>
        <v>ESPN2 or ESPNU</v>
      </c>
      <c r="G809" t="str">
        <f>IFERROR(__xludf.DUMMYFUNCTION("""COMPUTED_VALUE"""),"BYE")</f>
        <v>BYE</v>
      </c>
      <c r="I809" t="str">
        <f>IFERROR(__xludf.DUMMYFUNCTION("""COMPUTED_VALUE"""),"bye")</f>
        <v>bye</v>
      </c>
      <c r="J809" t="str">
        <f>IFERROR(__xludf.DUMMYFUNCTION("""COMPUTED_VALUE"""),"bye")</f>
        <v>bye</v>
      </c>
      <c r="L809">
        <f>IFERROR(__xludf.DUMMYFUNCTION("""COMPUTED_VALUE"""),9999.0)</f>
        <v>9999</v>
      </c>
      <c r="M809" s="124">
        <v>6.0</v>
      </c>
    </row>
    <row r="810">
      <c r="A810" s="151">
        <f>IFERROR(__xludf.DUMMYFUNCTION("""COMPUTED_VALUE"""),43744.147749525466)</f>
        <v>43744.14775</v>
      </c>
      <c r="B810" t="str">
        <f>IFERROR(__xludf.DUMMYFUNCTION("""COMPUTED_VALUE"""),"Vu")</f>
        <v>Vu</v>
      </c>
      <c r="C810" t="str">
        <f>IFERROR(__xludf.DUMMYFUNCTION("""COMPUTED_VALUE"""),"North Texas")</f>
        <v>North Texas</v>
      </c>
      <c r="D810">
        <f>IFERROR(__xludf.DUMMYFUNCTION("""COMPUTED_VALUE"""),2.0)</f>
        <v>2</v>
      </c>
      <c r="E810">
        <f>IFERROR(__xludf.DUMMYFUNCTION("""COMPUTED_VALUE"""),3.0)</f>
        <v>3</v>
      </c>
      <c r="F810" t="str">
        <f>IFERROR(__xludf.DUMMYFUNCTION("""COMPUTED_VALUE"""),"Pac-12 Bay Area")</f>
        <v>Pac-12 Bay Area</v>
      </c>
      <c r="G810" t="str">
        <f>IFERROR(__xludf.DUMMYFUNCTION("""COMPUTED_VALUE"""),"BYE")</f>
        <v>BYE</v>
      </c>
      <c r="I810" t="str">
        <f>IFERROR(__xludf.DUMMYFUNCTION("""COMPUTED_VALUE"""),"bye")</f>
        <v>bye</v>
      </c>
      <c r="J810" t="str">
        <f>IFERROR(__xludf.DUMMYFUNCTION("""COMPUTED_VALUE"""),"bye")</f>
        <v>bye</v>
      </c>
      <c r="L810">
        <f>IFERROR(__xludf.DUMMYFUNCTION("""COMPUTED_VALUE"""),9999.0)</f>
        <v>9999</v>
      </c>
      <c r="M810" s="124">
        <v>6.0</v>
      </c>
    </row>
    <row r="811">
      <c r="A811" s="151">
        <f>IFERROR(__xludf.DUMMYFUNCTION("""COMPUTED_VALUE"""),43744.147749525466)</f>
        <v>43744.14775</v>
      </c>
      <c r="B811" t="str">
        <f>IFERROR(__xludf.DUMMYFUNCTION("""COMPUTED_VALUE"""),"Vu")</f>
        <v>Vu</v>
      </c>
      <c r="C811" t="str">
        <f>IFERROR(__xludf.DUMMYFUNCTION("""COMPUTED_VALUE"""),"Hawaii")</f>
        <v>Hawaii</v>
      </c>
      <c r="D811">
        <f>IFERROR(__xludf.DUMMYFUNCTION("""COMPUTED_VALUE"""),4.0)</f>
        <v>4</v>
      </c>
      <c r="E811">
        <f>IFERROR(__xludf.DUMMYFUNCTION("""COMPUTED_VALUE"""),1.0)</f>
        <v>1</v>
      </c>
      <c r="F811" t="str">
        <f>IFERROR(__xludf.DUMMYFUNCTION("""COMPUTED_VALUE"""),"Pac-12")</f>
        <v>Pac-12</v>
      </c>
      <c r="G811" t="str">
        <f>IFERROR(__xludf.DUMMYFUNCTION("""COMPUTED_VALUE"""),"BYE")</f>
        <v>BYE</v>
      </c>
      <c r="I811" t="str">
        <f>IFERROR(__xludf.DUMMYFUNCTION("""COMPUTED_VALUE"""),"bye")</f>
        <v>bye</v>
      </c>
      <c r="J811" t="str">
        <f>IFERROR(__xludf.DUMMYFUNCTION("""COMPUTED_VALUE"""),"bye")</f>
        <v>bye</v>
      </c>
      <c r="L811">
        <f>IFERROR(__xludf.DUMMYFUNCTION("""COMPUTED_VALUE"""),9999.0)</f>
        <v>9999</v>
      </c>
      <c r="M811" s="124">
        <v>6.0</v>
      </c>
    </row>
    <row r="812">
      <c r="A812" s="151">
        <f>IFERROR(__xludf.DUMMYFUNCTION("""COMPUTED_VALUE"""),43744.147749525466)</f>
        <v>43744.14775</v>
      </c>
      <c r="B812" t="str">
        <f>IFERROR(__xludf.DUMMYFUNCTION("""COMPUTED_VALUE"""),"Josh R.")</f>
        <v>Josh R.</v>
      </c>
      <c r="C812" t="str">
        <f>IFERROR(__xludf.DUMMYFUNCTION("""COMPUTED_VALUE"""),"Temple")</f>
        <v>Temple</v>
      </c>
      <c r="D812">
        <f>IFERROR(__xludf.DUMMYFUNCTION("""COMPUTED_VALUE"""),4.0)</f>
        <v>4</v>
      </c>
      <c r="E812">
        <f>IFERROR(__xludf.DUMMYFUNCTION("""COMPUTED_VALUE"""),1.0)</f>
        <v>1</v>
      </c>
      <c r="F812" t="str">
        <f>IFERROR(__xludf.DUMMYFUNCTION("""COMPUTED_VALUE"""),"CBSSN")</f>
        <v>CBSSN</v>
      </c>
      <c r="G812" t="str">
        <f>IFERROR(__xludf.DUMMYFUNCTION("""COMPUTED_VALUE"""),"Temple 27 at East Carolina 17")</f>
        <v>Temple 27 at East Carolina 17</v>
      </c>
      <c r="H812" t="str">
        <f>IFERROR(__xludf.DUMMYFUNCTION("""COMPUTED_VALUE"""),"FINAL")</f>
        <v>FINAL</v>
      </c>
      <c r="I812" t="str">
        <f>IFERROR(__xludf.DUMMYFUNCTION("""COMPUTED_VALUE"""),"-11½")</f>
        <v>-11½</v>
      </c>
      <c r="J812">
        <f>IFERROR(__xludf.DUMMYFUNCTION("""COMPUTED_VALUE"""),49.0)</f>
        <v>49</v>
      </c>
      <c r="K812" t="str">
        <f>IFERROR(__xludf.DUMMYFUNCTION("""COMPUTED_VALUE"""),"Nick A.")</f>
        <v>Nick A.</v>
      </c>
      <c r="L812" t="str">
        <f>IFERROR(__xludf.DUMMYFUNCTION("""COMPUTED_VALUE"""),"FINAL")</f>
        <v>FINAL</v>
      </c>
      <c r="M812" s="124">
        <v>6.0</v>
      </c>
    </row>
    <row r="813">
      <c r="A813" s="151">
        <f>IFERROR(__xludf.DUMMYFUNCTION("""COMPUTED_VALUE"""),43744.147749525466)</f>
        <v>43744.14775</v>
      </c>
      <c r="B813" t="str">
        <f>IFERROR(__xludf.DUMMYFUNCTION("""COMPUTED_VALUE"""),"Josh R.")</f>
        <v>Josh R.</v>
      </c>
      <c r="C813" t="str">
        <f>IFERROR(__xludf.DUMMYFUNCTION("""COMPUTED_VALUE"""),"Kansas")</f>
        <v>Kansas</v>
      </c>
      <c r="D813">
        <f>IFERROR(__xludf.DUMMYFUNCTION("""COMPUTED_VALUE"""),2.0)</f>
        <v>2</v>
      </c>
      <c r="E813">
        <f>IFERROR(__xludf.DUMMYFUNCTION("""COMPUTED_VALUE"""),4.0)</f>
        <v>4</v>
      </c>
      <c r="F813" t="str">
        <f>IFERROR(__xludf.DUMMYFUNCTION("""COMPUTED_VALUE"""),"ACC Network")</f>
        <v>ACC Network</v>
      </c>
      <c r="G813" t="str">
        <f>IFERROR(__xludf.DUMMYFUNCTION("""COMPUTED_VALUE"""),"(4) Oklahoma 45 at Kansas 20")</f>
        <v>(4) Oklahoma 45 at Kansas 20</v>
      </c>
      <c r="H813" t="str">
        <f>IFERROR(__xludf.DUMMYFUNCTION("""COMPUTED_VALUE"""),"FINAL")</f>
        <v>FINAL</v>
      </c>
      <c r="I813">
        <f>IFERROR(__xludf.DUMMYFUNCTION("""COMPUTED_VALUE"""),33.0)</f>
        <v>33</v>
      </c>
      <c r="J813">
        <f>IFERROR(__xludf.DUMMYFUNCTION("""COMPUTED_VALUE"""),67.0)</f>
        <v>67</v>
      </c>
      <c r="K813" t="str">
        <f>IFERROR(__xludf.DUMMYFUNCTION("""COMPUTED_VALUE"""),"Jeannine")</f>
        <v>Jeannine</v>
      </c>
      <c r="L813" t="str">
        <f>IFERROR(__xludf.DUMMYFUNCTION("""COMPUTED_VALUE"""),"FINAL")</f>
        <v>FINAL</v>
      </c>
      <c r="M813" s="124">
        <v>6.0</v>
      </c>
    </row>
    <row r="814">
      <c r="A814" s="151">
        <f>IFERROR(__xludf.DUMMYFUNCTION("""COMPUTED_VALUE"""),43744.147749525466)</f>
        <v>43744.14775</v>
      </c>
      <c r="B814" t="str">
        <f>IFERROR(__xludf.DUMMYFUNCTION("""COMPUTED_VALUE"""),"Josh R.")</f>
        <v>Josh R.</v>
      </c>
      <c r="C814" t="str">
        <f>IFERROR(__xludf.DUMMYFUNCTION("""COMPUTED_VALUE"""),"Army")</f>
        <v>Army</v>
      </c>
      <c r="D814">
        <f>IFERROR(__xludf.DUMMYFUNCTION("""COMPUTED_VALUE"""),3.0)</f>
        <v>3</v>
      </c>
      <c r="E814">
        <f>IFERROR(__xludf.DUMMYFUNCTION("""COMPUTED_VALUE"""),2.0)</f>
        <v>2</v>
      </c>
      <c r="F814" t="str">
        <f>IFERROR(__xludf.DUMMYFUNCTION("""COMPUTED_VALUE"""),"NFL Network")</f>
        <v>NFL Network</v>
      </c>
      <c r="G814" t="str">
        <f>IFERROR(__xludf.DUMMYFUNCTION("""COMPUTED_VALUE"""),"Tulane 42 at Army 33")</f>
        <v>Tulane 42 at Army 33</v>
      </c>
      <c r="H814" t="str">
        <f>IFERROR(__xludf.DUMMYFUNCTION("""COMPUTED_VALUE"""),"FINAL")</f>
        <v>FINAL</v>
      </c>
      <c r="I814">
        <f>IFERROR(__xludf.DUMMYFUNCTION("""COMPUTED_VALUE"""),3.0)</f>
        <v>3</v>
      </c>
      <c r="J814" t="str">
        <f>IFERROR(__xludf.DUMMYFUNCTION("""COMPUTED_VALUE"""),"45½")</f>
        <v>45½</v>
      </c>
      <c r="K814" t="str">
        <f>IFERROR(__xludf.DUMMYFUNCTION("""COMPUTED_VALUE"""),"Gary")</f>
        <v>Gary</v>
      </c>
      <c r="L814" t="str">
        <f>IFERROR(__xludf.DUMMYFUNCTION("""COMPUTED_VALUE"""),"FINAL")</f>
        <v>FINAL</v>
      </c>
      <c r="M814" s="124">
        <v>6.0</v>
      </c>
    </row>
    <row r="815">
      <c r="A815" s="151">
        <f>IFERROR(__xludf.DUMMYFUNCTION("""COMPUTED_VALUE"""),43744.147749525466)</f>
        <v>43744.14775</v>
      </c>
      <c r="B815" t="str">
        <f>IFERROR(__xludf.DUMMYFUNCTION("""COMPUTED_VALUE"""),"Josh R.")</f>
        <v>Josh R.</v>
      </c>
      <c r="C815" t="str">
        <f>IFERROR(__xludf.DUMMYFUNCTION("""COMPUTED_VALUE"""),"Toledo")</f>
        <v>Toledo</v>
      </c>
      <c r="D815">
        <f>IFERROR(__xludf.DUMMYFUNCTION("""COMPUTED_VALUE"""),4.0)</f>
        <v>4</v>
      </c>
      <c r="E815">
        <f>IFERROR(__xludf.DUMMYFUNCTION("""COMPUTED_VALUE"""),1.0)</f>
        <v>1</v>
      </c>
      <c r="F815" t="str">
        <f>IFERROR(__xludf.DUMMYFUNCTION("""COMPUTED_VALUE"""),"espn3 Video")</f>
        <v>espn3 Video</v>
      </c>
      <c r="G815" t="str">
        <f>IFERROR(__xludf.DUMMYFUNCTION("""COMPUTED_VALUE"""),"Western Michigan 24 at Toledo 31")</f>
        <v>Western Michigan 24 at Toledo 31</v>
      </c>
      <c r="H815" t="str">
        <f>IFERROR(__xludf.DUMMYFUNCTION("""COMPUTED_VALUE"""),"FINAL")</f>
        <v>FINAL</v>
      </c>
      <c r="I815" t="str">
        <f>IFERROR(__xludf.DUMMYFUNCTION("""COMPUTED_VALUE"""),"-1½")</f>
        <v>-1½</v>
      </c>
      <c r="J815" t="str">
        <f>IFERROR(__xludf.DUMMYFUNCTION("""COMPUTED_VALUE"""),"68½")</f>
        <v>68½</v>
      </c>
      <c r="K815" t="str">
        <f>IFERROR(__xludf.DUMMYFUNCTION("""COMPUTED_VALUE"""),"Jeannine")</f>
        <v>Jeannine</v>
      </c>
      <c r="L815" t="str">
        <f>IFERROR(__xludf.DUMMYFUNCTION("""COMPUTED_VALUE"""),"FINAL")</f>
        <v>FINAL</v>
      </c>
      <c r="M815" s="124">
        <v>6.0</v>
      </c>
    </row>
    <row r="816">
      <c r="A816" s="151">
        <f>IFERROR(__xludf.DUMMYFUNCTION("""COMPUTED_VALUE"""),43744.147749525466)</f>
        <v>43744.14775</v>
      </c>
      <c r="B816" t="str">
        <f>IFERROR(__xludf.DUMMYFUNCTION("""COMPUTED_VALUE"""),"Josh R.")</f>
        <v>Josh R.</v>
      </c>
      <c r="C816" t="str">
        <f>IFERROR(__xludf.DUMMYFUNCTION("""COMPUTED_VALUE"""),"Minnesota")</f>
        <v>Minnesota</v>
      </c>
      <c r="D816">
        <f>IFERROR(__xludf.DUMMYFUNCTION("""COMPUTED_VALUE"""),5.0)</f>
        <v>5</v>
      </c>
      <c r="E816">
        <f>IFERROR(__xludf.DUMMYFUNCTION("""COMPUTED_VALUE"""),0.0)</f>
        <v>0</v>
      </c>
      <c r="F816" t="str">
        <f>IFERROR(__xludf.DUMMYFUNCTION("""COMPUTED_VALUE"""),"BTN")</f>
        <v>BTN</v>
      </c>
      <c r="G816" t="str">
        <f>IFERROR(__xludf.DUMMYFUNCTION("""COMPUTED_VALUE"""),"Illinois 17 at Minnesota 40")</f>
        <v>Illinois 17 at Minnesota 40</v>
      </c>
      <c r="H816" t="str">
        <f>IFERROR(__xludf.DUMMYFUNCTION("""COMPUTED_VALUE"""),"FINAL")</f>
        <v>FINAL</v>
      </c>
      <c r="I816">
        <f>IFERROR(__xludf.DUMMYFUNCTION("""COMPUTED_VALUE"""),-14.0)</f>
        <v>-14</v>
      </c>
      <c r="J816">
        <f>IFERROR(__xludf.DUMMYFUNCTION("""COMPUTED_VALUE"""),58.0)</f>
        <v>58</v>
      </c>
      <c r="K816" t="str">
        <f>IFERROR(__xludf.DUMMYFUNCTION("""COMPUTED_VALUE"""),"Undrafted")</f>
        <v>Undrafted</v>
      </c>
      <c r="L816" t="str">
        <f>IFERROR(__xludf.DUMMYFUNCTION("""COMPUTED_VALUE"""),"FINAL")</f>
        <v>FINAL</v>
      </c>
      <c r="M816" s="124">
        <v>6.0</v>
      </c>
    </row>
    <row r="817">
      <c r="A817" s="151">
        <f>IFERROR(__xludf.DUMMYFUNCTION("""COMPUTED_VALUE"""),43744.147749525466)</f>
        <v>43744.14775</v>
      </c>
      <c r="B817" t="str">
        <f>IFERROR(__xludf.DUMMYFUNCTION("""COMPUTED_VALUE"""),"Josh R.")</f>
        <v>Josh R.</v>
      </c>
      <c r="C817" t="str">
        <f>IFERROR(__xludf.DUMMYFUNCTION("""COMPUTED_VALUE"""),"Southern Mississippi")</f>
        <v>Southern Mississippi</v>
      </c>
      <c r="D817">
        <f>IFERROR(__xludf.DUMMYFUNCTION("""COMPUTED_VALUE"""),3.0)</f>
        <v>3</v>
      </c>
      <c r="E817">
        <f>IFERROR(__xludf.DUMMYFUNCTION("""COMPUTED_VALUE"""),2.0)</f>
        <v>2</v>
      </c>
      <c r="F817" t="str">
        <f>IFERROR(__xludf.DUMMYFUNCTION("""COMPUTED_VALUE"""),"NA")</f>
        <v>NA</v>
      </c>
      <c r="G817" t="str">
        <f>IFERROR(__xludf.DUMMYFUNCTION("""COMPUTED_VALUE"""),"BYE")</f>
        <v>BYE</v>
      </c>
      <c r="I817" t="str">
        <f>IFERROR(__xludf.DUMMYFUNCTION("""COMPUTED_VALUE"""),"bye")</f>
        <v>bye</v>
      </c>
      <c r="J817" t="str">
        <f>IFERROR(__xludf.DUMMYFUNCTION("""COMPUTED_VALUE"""),"bye")</f>
        <v>bye</v>
      </c>
      <c r="L817">
        <f>IFERROR(__xludf.DUMMYFUNCTION("""COMPUTED_VALUE"""),9999.0)</f>
        <v>9999</v>
      </c>
      <c r="M817" s="124">
        <v>6.0</v>
      </c>
    </row>
    <row r="818">
      <c r="A818" s="151">
        <f>IFERROR(__xludf.DUMMYFUNCTION("""COMPUTED_VALUE"""),43744.147749525466)</f>
        <v>43744.14775</v>
      </c>
      <c r="B818" t="str">
        <f>IFERROR(__xludf.DUMMYFUNCTION("""COMPUTED_VALUE"""),"Josh R.")</f>
        <v>Josh R.</v>
      </c>
      <c r="C818" t="str">
        <f>IFERROR(__xludf.DUMMYFUNCTION("""COMPUTED_VALUE"""),"Nevada")</f>
        <v>Nevada</v>
      </c>
      <c r="D818">
        <f>IFERROR(__xludf.DUMMYFUNCTION("""COMPUTED_VALUE"""),3.0)</f>
        <v>3</v>
      </c>
      <c r="E818">
        <f>IFERROR(__xludf.DUMMYFUNCTION("""COMPUTED_VALUE"""),2.0)</f>
        <v>2</v>
      </c>
      <c r="F818" t="str">
        <f>IFERROR(__xludf.DUMMYFUNCTION("""COMPUTED_VALUE"""),"espn3 Video")</f>
        <v>espn3 Video</v>
      </c>
      <c r="G818" t="str">
        <f>IFERROR(__xludf.DUMMYFUNCTION("""COMPUTED_VALUE"""),"BYE")</f>
        <v>BYE</v>
      </c>
      <c r="I818" t="str">
        <f>IFERROR(__xludf.DUMMYFUNCTION("""COMPUTED_VALUE"""),"bye")</f>
        <v>bye</v>
      </c>
      <c r="J818" t="str">
        <f>IFERROR(__xludf.DUMMYFUNCTION("""COMPUTED_VALUE"""),"bye")</f>
        <v>bye</v>
      </c>
      <c r="L818">
        <f>IFERROR(__xludf.DUMMYFUNCTION("""COMPUTED_VALUE"""),9999.0)</f>
        <v>9999</v>
      </c>
      <c r="M818" s="124">
        <v>6.0</v>
      </c>
    </row>
    <row r="819">
      <c r="A819" s="151">
        <f>IFERROR(__xludf.DUMMYFUNCTION("""COMPUTED_VALUE"""),43744.147749525466)</f>
        <v>43744.14775</v>
      </c>
      <c r="B819" t="str">
        <f>IFERROR(__xludf.DUMMYFUNCTION("""COMPUTED_VALUE"""),"Josh R.")</f>
        <v>Josh R.</v>
      </c>
      <c r="C819" t="str">
        <f>IFERROR(__xludf.DUMMYFUNCTION("""COMPUTED_VALUE"""),"Florida State")</f>
        <v>Florida State</v>
      </c>
      <c r="D819">
        <f>IFERROR(__xludf.DUMMYFUNCTION("""COMPUTED_VALUE"""),3.0)</f>
        <v>3</v>
      </c>
      <c r="E819">
        <f>IFERROR(__xludf.DUMMYFUNCTION("""COMPUTED_VALUE"""),2.0)</f>
        <v>2</v>
      </c>
      <c r="F819" t="str">
        <f>IFERROR(__xludf.DUMMYFUNCTION("""COMPUTED_VALUE"""),"ACC Network")</f>
        <v>ACC Network</v>
      </c>
      <c r="G819" t="str">
        <f>IFERROR(__xludf.DUMMYFUNCTION("""COMPUTED_VALUE"""),"BYE")</f>
        <v>BYE</v>
      </c>
      <c r="I819" t="str">
        <f>IFERROR(__xludf.DUMMYFUNCTION("""COMPUTED_VALUE"""),"bye")</f>
        <v>bye</v>
      </c>
      <c r="J819" t="str">
        <f>IFERROR(__xludf.DUMMYFUNCTION("""COMPUTED_VALUE"""),"bye")</f>
        <v>bye</v>
      </c>
      <c r="L819">
        <f>IFERROR(__xludf.DUMMYFUNCTION("""COMPUTED_VALUE"""),9999.0)</f>
        <v>9999</v>
      </c>
      <c r="M819" s="124">
        <v>6.0</v>
      </c>
    </row>
    <row r="820">
      <c r="A820" s="151">
        <f>IFERROR(__xludf.DUMMYFUNCTION("""COMPUTED_VALUE"""),43744.147749525466)</f>
        <v>43744.14775</v>
      </c>
      <c r="B820" t="str">
        <f>IFERROR(__xludf.DUMMYFUNCTION("""COMPUTED_VALUE"""),"Josh R.")</f>
        <v>Josh R.</v>
      </c>
      <c r="C820" t="str">
        <f>IFERROR(__xludf.DUMMYFUNCTION("""COMPUTED_VALUE"""),"Kentucky")</f>
        <v>Kentucky</v>
      </c>
      <c r="D820">
        <f>IFERROR(__xludf.DUMMYFUNCTION("""COMPUTED_VALUE"""),2.0)</f>
        <v>2</v>
      </c>
      <c r="E820">
        <f>IFERROR(__xludf.DUMMYFUNCTION("""COMPUTED_VALUE"""),3.0)</f>
        <v>3</v>
      </c>
      <c r="F820" t="str">
        <f>IFERROR(__xludf.DUMMYFUNCTION("""COMPUTED_VALUE"""),"ESPN")</f>
        <v>ESPN</v>
      </c>
      <c r="G820" t="str">
        <f>IFERROR(__xludf.DUMMYFUNCTION("""COMPUTED_VALUE"""),"BYE")</f>
        <v>BYE</v>
      </c>
      <c r="I820" t="str">
        <f>IFERROR(__xludf.DUMMYFUNCTION("""COMPUTED_VALUE"""),"bye")</f>
        <v>bye</v>
      </c>
      <c r="J820" t="str">
        <f>IFERROR(__xludf.DUMMYFUNCTION("""COMPUTED_VALUE"""),"bye")</f>
        <v>bye</v>
      </c>
      <c r="L820">
        <f>IFERROR(__xludf.DUMMYFUNCTION("""COMPUTED_VALUE"""),9999.0)</f>
        <v>9999</v>
      </c>
      <c r="M820" s="124">
        <v>6.0</v>
      </c>
    </row>
    <row r="821">
      <c r="A821" s="151">
        <f>IFERROR(__xludf.DUMMYFUNCTION("""COMPUTED_VALUE"""),43744.147749525466)</f>
        <v>43744.14775</v>
      </c>
      <c r="B821" t="str">
        <f>IFERROR(__xludf.DUMMYFUNCTION("""COMPUTED_VALUE"""),"Josh R.")</f>
        <v>Josh R.</v>
      </c>
      <c r="C821" t="str">
        <f>IFERROR(__xludf.DUMMYFUNCTION("""COMPUTED_VALUE"""),"USC")</f>
        <v>USC</v>
      </c>
      <c r="D821">
        <f>IFERROR(__xludf.DUMMYFUNCTION("""COMPUTED_VALUE"""),3.0)</f>
        <v>3</v>
      </c>
      <c r="E821">
        <f>IFERROR(__xludf.DUMMYFUNCTION("""COMPUTED_VALUE"""),2.0)</f>
        <v>2</v>
      </c>
      <c r="F821" t="str">
        <f>IFERROR(__xludf.DUMMYFUNCTION("""COMPUTED_VALUE"""),"ABC")</f>
        <v>ABC</v>
      </c>
      <c r="G821" t="str">
        <f>IFERROR(__xludf.DUMMYFUNCTION("""COMPUTED_VALUE"""),"BYE")</f>
        <v>BYE</v>
      </c>
      <c r="I821" t="str">
        <f>IFERROR(__xludf.DUMMYFUNCTION("""COMPUTED_VALUE"""),"bye")</f>
        <v>bye</v>
      </c>
      <c r="J821" t="str">
        <f>IFERROR(__xludf.DUMMYFUNCTION("""COMPUTED_VALUE"""),"bye")</f>
        <v>bye</v>
      </c>
      <c r="L821">
        <f>IFERROR(__xludf.DUMMYFUNCTION("""COMPUTED_VALUE"""),9999.0)</f>
        <v>9999</v>
      </c>
      <c r="M821" s="124">
        <v>6.0</v>
      </c>
    </row>
    <row r="822">
      <c r="A822" s="151">
        <f>IFERROR(__xludf.DUMMYFUNCTION("""COMPUTED_VALUE"""),43744.147749525466)</f>
        <v>43744.14775</v>
      </c>
      <c r="B822" t="str">
        <f>IFERROR(__xludf.DUMMYFUNCTION("""COMPUTED_VALUE"""),"Brad")</f>
        <v>Brad</v>
      </c>
      <c r="C822" t="str">
        <f>IFERROR(__xludf.DUMMYFUNCTION("""COMPUTED_VALUE"""),"Oklahoma State")</f>
        <v>Oklahoma State</v>
      </c>
      <c r="D822">
        <f>IFERROR(__xludf.DUMMYFUNCTION("""COMPUTED_VALUE"""),4.0)</f>
        <v>4</v>
      </c>
      <c r="E822">
        <f>IFERROR(__xludf.DUMMYFUNCTION("""COMPUTED_VALUE"""),2.0)</f>
        <v>2</v>
      </c>
      <c r="F822" t="str">
        <f>IFERROR(__xludf.DUMMYFUNCTION("""COMPUTED_VALUE"""),"ESPN2")</f>
        <v>ESPN2</v>
      </c>
      <c r="G822" t="str">
        <f>IFERROR(__xludf.DUMMYFUNCTION("""COMPUTED_VALUE"""),"(25) Oklahoma State 35 at Texas Tech 45")</f>
        <v>(25) Oklahoma State 35 at Texas Tech 45</v>
      </c>
      <c r="H822" t="str">
        <f>IFERROR(__xludf.DUMMYFUNCTION("""COMPUTED_VALUE"""),"FINAL")</f>
        <v>FINAL</v>
      </c>
      <c r="I822">
        <f>IFERROR(__xludf.DUMMYFUNCTION("""COMPUTED_VALUE"""),-10.0)</f>
        <v>-10</v>
      </c>
      <c r="J822">
        <f>IFERROR(__xludf.DUMMYFUNCTION("""COMPUTED_VALUE"""),64.0)</f>
        <v>64</v>
      </c>
      <c r="K822" t="str">
        <f>IFERROR(__xludf.DUMMYFUNCTION("""COMPUTED_VALUE"""),"Janice/Mike")</f>
        <v>Janice/Mike</v>
      </c>
      <c r="L822" t="str">
        <f>IFERROR(__xludf.DUMMYFUNCTION("""COMPUTED_VALUE"""),"FINAL")</f>
        <v>FINAL</v>
      </c>
      <c r="M822" s="124">
        <v>6.0</v>
      </c>
    </row>
    <row r="823">
      <c r="A823" s="151">
        <f>IFERROR(__xludf.DUMMYFUNCTION("""COMPUTED_VALUE"""),43744.147749525466)</f>
        <v>43744.14775</v>
      </c>
      <c r="B823" t="str">
        <f>IFERROR(__xludf.DUMMYFUNCTION("""COMPUTED_VALUE"""),"Brad")</f>
        <v>Brad</v>
      </c>
      <c r="C823" t="str">
        <f>IFERROR(__xludf.DUMMYFUNCTION("""COMPUTED_VALUE"""),"EMU")</f>
        <v>EMU</v>
      </c>
      <c r="D823">
        <f>IFERROR(__xludf.DUMMYFUNCTION("""COMPUTED_VALUE"""),3.0)</f>
        <v>3</v>
      </c>
      <c r="E823">
        <f>IFERROR(__xludf.DUMMYFUNCTION("""COMPUTED_VALUE"""),2.0)</f>
        <v>2</v>
      </c>
      <c r="F823" t="str">
        <f>IFERROR(__xludf.DUMMYFUNCTION("""COMPUTED_VALUE"""),"NA")</f>
        <v>NA</v>
      </c>
      <c r="G823" t="str">
        <f>IFERROR(__xludf.DUMMYFUNCTION("""COMPUTED_VALUE"""),"EMU 16 at Central Michigan 42")</f>
        <v>EMU 16 at Central Michigan 42</v>
      </c>
      <c r="H823" t="str">
        <f>IFERROR(__xludf.DUMMYFUNCTION("""COMPUTED_VALUE"""),"FINAL")</f>
        <v>FINAL</v>
      </c>
      <c r="I823" t="str">
        <f>IFERROR(__xludf.DUMMYFUNCTION("""COMPUTED_VALUE"""),"-6½")</f>
        <v>-6½</v>
      </c>
      <c r="J823" t="str">
        <f>IFERROR(__xludf.DUMMYFUNCTION("""COMPUTED_VALUE"""),"53½")</f>
        <v>53½</v>
      </c>
      <c r="K823" t="str">
        <f>IFERROR(__xludf.DUMMYFUNCTION("""COMPUTED_VALUE"""),"Nick G.")</f>
        <v>Nick G.</v>
      </c>
      <c r="L823" t="str">
        <f>IFERROR(__xludf.DUMMYFUNCTION("""COMPUTED_VALUE"""),"FINAL")</f>
        <v>FINAL</v>
      </c>
      <c r="M823" s="124">
        <v>6.0</v>
      </c>
    </row>
    <row r="824">
      <c r="A824" s="151">
        <f>IFERROR(__xludf.DUMMYFUNCTION("""COMPUTED_VALUE"""),43744.147749525466)</f>
        <v>43744.14775</v>
      </c>
      <c r="B824" t="str">
        <f>IFERROR(__xludf.DUMMYFUNCTION("""COMPUTED_VALUE"""),"Brad")</f>
        <v>Brad</v>
      </c>
      <c r="C824" t="str">
        <f>IFERROR(__xludf.DUMMYFUNCTION("""COMPUTED_VALUE"""),"Miami")</f>
        <v>Miami</v>
      </c>
      <c r="D824">
        <f>IFERROR(__xludf.DUMMYFUNCTION("""COMPUTED_VALUE"""),2.0)</f>
        <v>2</v>
      </c>
      <c r="E824">
        <f>IFERROR(__xludf.DUMMYFUNCTION("""COMPUTED_VALUE"""),3.0)</f>
        <v>3</v>
      </c>
      <c r="F824" t="str">
        <f>IFERROR(__xludf.DUMMYFUNCTION("""COMPUTED_VALUE"""),"ACC Network")</f>
        <v>ACC Network</v>
      </c>
      <c r="G824" t="str">
        <f>IFERROR(__xludf.DUMMYFUNCTION("""COMPUTED_VALUE"""),"Virginia Tech 42 at Miami 35")</f>
        <v>Virginia Tech 42 at Miami 35</v>
      </c>
      <c r="H824" t="str">
        <f>IFERROR(__xludf.DUMMYFUNCTION("""COMPUTED_VALUE"""),"FINAL")</f>
        <v>FINAL</v>
      </c>
      <c r="I824">
        <f>IFERROR(__xludf.DUMMYFUNCTION("""COMPUTED_VALUE"""),-14.0)</f>
        <v>-14</v>
      </c>
      <c r="J824">
        <f>IFERROR(__xludf.DUMMYFUNCTION("""COMPUTED_VALUE"""),47.0)</f>
        <v>47</v>
      </c>
      <c r="K824" t="str">
        <f>IFERROR(__xludf.DUMMYFUNCTION("""COMPUTED_VALUE"""),"DavEmily")</f>
        <v>DavEmily</v>
      </c>
      <c r="L824" t="str">
        <f>IFERROR(__xludf.DUMMYFUNCTION("""COMPUTED_VALUE"""),"FINAL")</f>
        <v>FINAL</v>
      </c>
      <c r="M824" s="124">
        <v>6.0</v>
      </c>
    </row>
    <row r="825">
      <c r="A825" s="151">
        <f>IFERROR(__xludf.DUMMYFUNCTION("""COMPUTED_VALUE"""),43744.147749525466)</f>
        <v>43744.14775</v>
      </c>
      <c r="B825" t="str">
        <f>IFERROR(__xludf.DUMMYFUNCTION("""COMPUTED_VALUE"""),"Brad")</f>
        <v>Brad</v>
      </c>
      <c r="C825" t="str">
        <f>IFERROR(__xludf.DUMMYFUNCTION("""COMPUTED_VALUE"""),"Memphis")</f>
        <v>Memphis</v>
      </c>
      <c r="D825">
        <f>IFERROR(__xludf.DUMMYFUNCTION("""COMPUTED_VALUE"""),5.0)</f>
        <v>5</v>
      </c>
      <c r="E825">
        <f>IFERROR(__xludf.DUMMYFUNCTION("""COMPUTED_VALUE"""),0.0)</f>
        <v>0</v>
      </c>
      <c r="F825" t="str">
        <f>IFERROR(__xludf.DUMMYFUNCTION("""COMPUTED_VALUE"""),"ESPNU")</f>
        <v>ESPNU</v>
      </c>
      <c r="G825" t="str">
        <f>IFERROR(__xludf.DUMMYFUNCTION("""COMPUTED_VALUE"""),"(23) Memphis 52 at UL Monroe 33")</f>
        <v>(23) Memphis 52 at UL Monroe 33</v>
      </c>
      <c r="H825" t="str">
        <f>IFERROR(__xludf.DUMMYFUNCTION("""COMPUTED_VALUE"""),"FINAL")</f>
        <v>FINAL</v>
      </c>
      <c r="I825">
        <f>IFERROR(__xludf.DUMMYFUNCTION("""COMPUTED_VALUE"""),-15.0)</f>
        <v>-15</v>
      </c>
      <c r="J825">
        <f>IFERROR(__xludf.DUMMYFUNCTION("""COMPUTED_VALUE"""),64.0)</f>
        <v>64</v>
      </c>
      <c r="K825" t="str">
        <f>IFERROR(__xludf.DUMMYFUNCTION("""COMPUTED_VALUE"""),"Jeannine")</f>
        <v>Jeannine</v>
      </c>
      <c r="L825" t="str">
        <f>IFERROR(__xludf.DUMMYFUNCTION("""COMPUTED_VALUE"""),"FINAL")</f>
        <v>FINAL</v>
      </c>
      <c r="M825" s="124">
        <v>6.0</v>
      </c>
    </row>
    <row r="826">
      <c r="A826" s="151">
        <f>IFERROR(__xludf.DUMMYFUNCTION("""COMPUTED_VALUE"""),43744.147749525466)</f>
        <v>43744.14775</v>
      </c>
      <c r="B826" t="str">
        <f>IFERROR(__xludf.DUMMYFUNCTION("""COMPUTED_VALUE"""),"Brad")</f>
        <v>Brad</v>
      </c>
      <c r="C826" t="str">
        <f>IFERROR(__xludf.DUMMYFUNCTION("""COMPUTED_VALUE"""),"Colorado State")</f>
        <v>Colorado State</v>
      </c>
      <c r="D826">
        <f>IFERROR(__xludf.DUMMYFUNCTION("""COMPUTED_VALUE"""),1.0)</f>
        <v>1</v>
      </c>
      <c r="E826">
        <f>IFERROR(__xludf.DUMMYFUNCTION("""COMPUTED_VALUE"""),5.0)</f>
        <v>5</v>
      </c>
      <c r="F826" t="str">
        <f>IFERROR(__xludf.DUMMYFUNCTION("""COMPUTED_VALUE"""),"SEC Network")</f>
        <v>SEC Network</v>
      </c>
      <c r="G826" t="str">
        <f>IFERROR(__xludf.DUMMYFUNCTION("""COMPUTED_VALUE"""),"San Diego State 24 at Colorado State 10")</f>
        <v>San Diego State 24 at Colorado State 10</v>
      </c>
      <c r="H826" t="str">
        <f>IFERROR(__xludf.DUMMYFUNCTION("""COMPUTED_VALUE"""),"FINAL")</f>
        <v>FINAL</v>
      </c>
      <c r="I826" t="str">
        <f>IFERROR(__xludf.DUMMYFUNCTION("""COMPUTED_VALUE"""),"7½")</f>
        <v>7½</v>
      </c>
      <c r="J826" t="str">
        <f>IFERROR(__xludf.DUMMYFUNCTION("""COMPUTED_VALUE"""),"51½")</f>
        <v>51½</v>
      </c>
      <c r="K826" t="str">
        <f>IFERROR(__xludf.DUMMYFUNCTION("""COMPUTED_VALUE"""),"Nick A.")</f>
        <v>Nick A.</v>
      </c>
      <c r="L826" t="str">
        <f>IFERROR(__xludf.DUMMYFUNCTION("""COMPUTED_VALUE"""),"FINAL")</f>
        <v>FINAL</v>
      </c>
      <c r="M826" s="124">
        <v>6.0</v>
      </c>
    </row>
    <row r="827">
      <c r="A827" s="151">
        <f>IFERROR(__xludf.DUMMYFUNCTION("""COMPUTED_VALUE"""),43744.147749525466)</f>
        <v>43744.14775</v>
      </c>
      <c r="B827" t="str">
        <f>IFERROR(__xludf.DUMMYFUNCTION("""COMPUTED_VALUE"""),"Brad")</f>
        <v>Brad</v>
      </c>
      <c r="C827" t="str">
        <f>IFERROR(__xludf.DUMMYFUNCTION("""COMPUTED_VALUE"""),"Texas State")</f>
        <v>Texas State</v>
      </c>
      <c r="D827">
        <f>IFERROR(__xludf.DUMMYFUNCTION("""COMPUTED_VALUE"""),2.0)</f>
        <v>2</v>
      </c>
      <c r="E827">
        <f>IFERROR(__xludf.DUMMYFUNCTION("""COMPUTED_VALUE"""),3.0)</f>
        <v>3</v>
      </c>
      <c r="F827" t="str">
        <f>IFERROR(__xludf.DUMMYFUNCTION("""COMPUTED_VALUE"""),"espn3 Video")</f>
        <v>espn3 Video</v>
      </c>
      <c r="G827" t="str">
        <f>IFERROR(__xludf.DUMMYFUNCTION("""COMPUTED_VALUE"""),"BYE")</f>
        <v>BYE</v>
      </c>
      <c r="I827" t="str">
        <f>IFERROR(__xludf.DUMMYFUNCTION("""COMPUTED_VALUE"""),"bye")</f>
        <v>bye</v>
      </c>
      <c r="J827" t="str">
        <f>IFERROR(__xludf.DUMMYFUNCTION("""COMPUTED_VALUE"""),"bye")</f>
        <v>bye</v>
      </c>
      <c r="L827">
        <f>IFERROR(__xludf.DUMMYFUNCTION("""COMPUTED_VALUE"""),9999.0)</f>
        <v>9999</v>
      </c>
      <c r="M827" s="124">
        <v>6.0</v>
      </c>
    </row>
    <row r="828">
      <c r="A828" s="151">
        <f>IFERROR(__xludf.DUMMYFUNCTION("""COMPUTED_VALUE"""),43744.147749525466)</f>
        <v>43744.14775</v>
      </c>
      <c r="B828" t="str">
        <f>IFERROR(__xludf.DUMMYFUNCTION("""COMPUTED_VALUE"""),"Brad")</f>
        <v>Brad</v>
      </c>
      <c r="C828" t="str">
        <f>IFERROR(__xludf.DUMMYFUNCTION("""COMPUTED_VALUE"""),"South Carolina")</f>
        <v>South Carolina</v>
      </c>
      <c r="D828">
        <f>IFERROR(__xludf.DUMMYFUNCTION("""COMPUTED_VALUE"""),2.0)</f>
        <v>2</v>
      </c>
      <c r="E828">
        <f>IFERROR(__xludf.DUMMYFUNCTION("""COMPUTED_VALUE"""),3.0)</f>
        <v>3</v>
      </c>
      <c r="F828" t="str">
        <f>IFERROR(__xludf.DUMMYFUNCTION("""COMPUTED_VALUE"""),"CBS")</f>
        <v>CBS</v>
      </c>
      <c r="G828" t="str">
        <f>IFERROR(__xludf.DUMMYFUNCTION("""COMPUTED_VALUE"""),"BYE")</f>
        <v>BYE</v>
      </c>
      <c r="I828" t="str">
        <f>IFERROR(__xludf.DUMMYFUNCTION("""COMPUTED_VALUE"""),"bye")</f>
        <v>bye</v>
      </c>
      <c r="J828" t="str">
        <f>IFERROR(__xludf.DUMMYFUNCTION("""COMPUTED_VALUE"""),"bye")</f>
        <v>bye</v>
      </c>
      <c r="L828">
        <f>IFERROR(__xludf.DUMMYFUNCTION("""COMPUTED_VALUE"""),9999.0)</f>
        <v>9999</v>
      </c>
      <c r="M828" s="124">
        <v>6.0</v>
      </c>
    </row>
    <row r="829">
      <c r="A829" s="151">
        <f>IFERROR(__xludf.DUMMYFUNCTION("""COMPUTED_VALUE"""),43744.147749525466)</f>
        <v>43744.14775</v>
      </c>
      <c r="B829" t="str">
        <f>IFERROR(__xludf.DUMMYFUNCTION("""COMPUTED_VALUE"""),"Brad")</f>
        <v>Brad</v>
      </c>
      <c r="C829" t="str">
        <f>IFERROR(__xludf.DUMMYFUNCTION("""COMPUTED_VALUE"""),"Utah")</f>
        <v>Utah</v>
      </c>
      <c r="D829">
        <f>IFERROR(__xludf.DUMMYFUNCTION("""COMPUTED_VALUE"""),4.0)</f>
        <v>4</v>
      </c>
      <c r="E829">
        <f>IFERROR(__xludf.DUMMYFUNCTION("""COMPUTED_VALUE"""),1.0)</f>
        <v>1</v>
      </c>
      <c r="F829" t="str">
        <f>IFERROR(__xludf.DUMMYFUNCTION("""COMPUTED_VALUE"""),"Pac-12 Mountain")</f>
        <v>Pac-12 Mountain</v>
      </c>
      <c r="G829" t="str">
        <f>IFERROR(__xludf.DUMMYFUNCTION("""COMPUTED_VALUE"""),"BYE")</f>
        <v>BYE</v>
      </c>
      <c r="I829" t="str">
        <f>IFERROR(__xludf.DUMMYFUNCTION("""COMPUTED_VALUE"""),"bye")</f>
        <v>bye</v>
      </c>
      <c r="J829" t="str">
        <f>IFERROR(__xludf.DUMMYFUNCTION("""COMPUTED_VALUE"""),"bye")</f>
        <v>bye</v>
      </c>
      <c r="L829">
        <f>IFERROR(__xludf.DUMMYFUNCTION("""COMPUTED_VALUE"""),9999.0)</f>
        <v>9999</v>
      </c>
      <c r="M829" s="124">
        <v>6.0</v>
      </c>
    </row>
    <row r="830">
      <c r="A830" s="151">
        <f>IFERROR(__xludf.DUMMYFUNCTION("""COMPUTED_VALUE"""),43744.147749525466)</f>
        <v>43744.14775</v>
      </c>
      <c r="B830" t="str">
        <f>IFERROR(__xludf.DUMMYFUNCTION("""COMPUTED_VALUE"""),"Brad")</f>
        <v>Brad</v>
      </c>
      <c r="C830" t="str">
        <f>IFERROR(__xludf.DUMMYFUNCTION("""COMPUTED_VALUE"""),"Louisiana Tech")</f>
        <v>Louisiana Tech</v>
      </c>
      <c r="D830">
        <f>IFERROR(__xludf.DUMMYFUNCTION("""COMPUTED_VALUE"""),4.0)</f>
        <v>4</v>
      </c>
      <c r="E830">
        <f>IFERROR(__xludf.DUMMYFUNCTION("""COMPUTED_VALUE"""),1.0)</f>
        <v>1</v>
      </c>
      <c r="F830" t="str">
        <f>IFERROR(__xludf.DUMMYFUNCTION("""COMPUTED_VALUE"""),"espn+ Video")</f>
        <v>espn+ Video</v>
      </c>
      <c r="G830" t="str">
        <f>IFERROR(__xludf.DUMMYFUNCTION("""COMPUTED_VALUE"""),"BYE")</f>
        <v>BYE</v>
      </c>
      <c r="I830" t="str">
        <f>IFERROR(__xludf.DUMMYFUNCTION("""COMPUTED_VALUE"""),"bye")</f>
        <v>bye</v>
      </c>
      <c r="J830" t="str">
        <f>IFERROR(__xludf.DUMMYFUNCTION("""COMPUTED_VALUE"""),"bye")</f>
        <v>bye</v>
      </c>
      <c r="L830">
        <f>IFERROR(__xludf.DUMMYFUNCTION("""COMPUTED_VALUE"""),9999.0)</f>
        <v>9999</v>
      </c>
      <c r="M830" s="124">
        <v>6.0</v>
      </c>
    </row>
    <row r="831">
      <c r="A831" s="151">
        <f>IFERROR(__xludf.DUMMYFUNCTION("""COMPUTED_VALUE"""),43744.147749525466)</f>
        <v>43744.14775</v>
      </c>
      <c r="B831" t="str">
        <f>IFERROR(__xludf.DUMMYFUNCTION("""COMPUTED_VALUE"""),"Brad")</f>
        <v>Brad</v>
      </c>
      <c r="C831" t="str">
        <f>IFERROR(__xludf.DUMMYFUNCTION("""COMPUTED_VALUE"""),"Indiana")</f>
        <v>Indiana</v>
      </c>
      <c r="D831">
        <f>IFERROR(__xludf.DUMMYFUNCTION("""COMPUTED_VALUE"""),3.0)</f>
        <v>3</v>
      </c>
      <c r="E831">
        <f>IFERROR(__xludf.DUMMYFUNCTION("""COMPUTED_VALUE"""),2.0)</f>
        <v>2</v>
      </c>
      <c r="F831" t="str">
        <f>IFERROR(__xludf.DUMMYFUNCTION("""COMPUTED_VALUE"""),"FOX")</f>
        <v>FOX</v>
      </c>
      <c r="G831" t="str">
        <f>IFERROR(__xludf.DUMMYFUNCTION("""COMPUTED_VALUE"""),"BYE")</f>
        <v>BYE</v>
      </c>
      <c r="I831" t="str">
        <f>IFERROR(__xludf.DUMMYFUNCTION("""COMPUTED_VALUE"""),"bye")</f>
        <v>bye</v>
      </c>
      <c r="J831" t="str">
        <f>IFERROR(__xludf.DUMMYFUNCTION("""COMPUTED_VALUE"""),"bye")</f>
        <v>bye</v>
      </c>
      <c r="L831">
        <f>IFERROR(__xludf.DUMMYFUNCTION("""COMPUTED_VALUE"""),9999.0)</f>
        <v>9999</v>
      </c>
      <c r="M831" s="124">
        <v>6.0</v>
      </c>
    </row>
    <row r="832">
      <c r="A832" s="151">
        <f>IFERROR(__xludf.DUMMYFUNCTION("""COMPUTED_VALUE"""),43744.147749525466)</f>
        <v>43744.14775</v>
      </c>
      <c r="B832" t="str">
        <f>IFERROR(__xludf.DUMMYFUNCTION("""COMPUTED_VALUE"""),"Nick G.")</f>
        <v>Nick G.</v>
      </c>
      <c r="C832" t="str">
        <f>IFERROR(__xludf.DUMMYFUNCTION("""COMPUTED_VALUE"""),"UConn")</f>
        <v>UConn</v>
      </c>
      <c r="D832">
        <f>IFERROR(__xludf.DUMMYFUNCTION("""COMPUTED_VALUE"""),1.0)</f>
        <v>1</v>
      </c>
      <c r="E832">
        <f>IFERROR(__xludf.DUMMYFUNCTION("""COMPUTED_VALUE"""),4.0)</f>
        <v>4</v>
      </c>
      <c r="F832" t="str">
        <f>IFERROR(__xludf.DUMMYFUNCTION("""COMPUTED_VALUE"""),"NA")</f>
        <v>NA</v>
      </c>
      <c r="G832" t="str">
        <f>IFERROR(__xludf.DUMMYFUNCTION("""COMPUTED_VALUE"""),"South Florida 48 at UConn 22")</f>
        <v>South Florida 48 at UConn 22</v>
      </c>
      <c r="H832" t="str">
        <f>IFERROR(__xludf.DUMMYFUNCTION("""COMPUTED_VALUE"""),"FINAL")</f>
        <v>FINAL</v>
      </c>
      <c r="I832" t="str">
        <f>IFERROR(__xludf.DUMMYFUNCTION("""COMPUTED_VALUE"""),"10½")</f>
        <v>10½</v>
      </c>
      <c r="J832">
        <f>IFERROR(__xludf.DUMMYFUNCTION("""COMPUTED_VALUE"""),52.0)</f>
        <v>52</v>
      </c>
      <c r="K832" t="str">
        <f>IFERROR(__xludf.DUMMYFUNCTION("""COMPUTED_VALUE"""),"Justin")</f>
        <v>Justin</v>
      </c>
      <c r="L832" t="str">
        <f>IFERROR(__xludf.DUMMYFUNCTION("""COMPUTED_VALUE"""),"FINAL")</f>
        <v>FINAL</v>
      </c>
      <c r="M832" s="124">
        <v>6.0</v>
      </c>
    </row>
    <row r="833">
      <c r="A833" s="151">
        <f>IFERROR(__xludf.DUMMYFUNCTION("""COMPUTED_VALUE"""),43744.147749525466)</f>
        <v>43744.14775</v>
      </c>
      <c r="B833" t="str">
        <f>IFERROR(__xludf.DUMMYFUNCTION("""COMPUTED_VALUE"""),"Nick G.")</f>
        <v>Nick G.</v>
      </c>
      <c r="C833" t="str">
        <f>IFERROR(__xludf.DUMMYFUNCTION("""COMPUTED_VALUE"""),"Central Michigan")</f>
        <v>Central Michigan</v>
      </c>
      <c r="D833">
        <f>IFERROR(__xludf.DUMMYFUNCTION("""COMPUTED_VALUE"""),3.0)</f>
        <v>3</v>
      </c>
      <c r="E833">
        <f>IFERROR(__xludf.DUMMYFUNCTION("""COMPUTED_VALUE"""),3.0)</f>
        <v>3</v>
      </c>
      <c r="F833" t="str">
        <f>IFERROR(__xludf.DUMMYFUNCTION("""COMPUTED_VALUE"""),"espn+ Video")</f>
        <v>espn+ Video</v>
      </c>
      <c r="G833" t="str">
        <f>IFERROR(__xludf.DUMMYFUNCTION("""COMPUTED_VALUE"""),"EMU 16 at Central Michigan 42")</f>
        <v>EMU 16 at Central Michigan 42</v>
      </c>
      <c r="H833" t="str">
        <f>IFERROR(__xludf.DUMMYFUNCTION("""COMPUTED_VALUE"""),"FINAL")</f>
        <v>FINAL</v>
      </c>
      <c r="I833" t="str">
        <f>IFERROR(__xludf.DUMMYFUNCTION("""COMPUTED_VALUE"""),"6½")</f>
        <v>6½</v>
      </c>
      <c r="J833" t="str">
        <f>IFERROR(__xludf.DUMMYFUNCTION("""COMPUTED_VALUE"""),"53½")</f>
        <v>53½</v>
      </c>
      <c r="K833" t="str">
        <f>IFERROR(__xludf.DUMMYFUNCTION("""COMPUTED_VALUE"""),"Brad")</f>
        <v>Brad</v>
      </c>
      <c r="L833" t="str">
        <f>IFERROR(__xludf.DUMMYFUNCTION("""COMPUTED_VALUE"""),"FINAL")</f>
        <v>FINAL</v>
      </c>
      <c r="M833" s="124">
        <v>6.0</v>
      </c>
    </row>
    <row r="834">
      <c r="A834" s="151">
        <f>IFERROR(__xludf.DUMMYFUNCTION("""COMPUTED_VALUE"""),43744.147749525466)</f>
        <v>43744.14775</v>
      </c>
      <c r="B834" t="str">
        <f>IFERROR(__xludf.DUMMYFUNCTION("""COMPUTED_VALUE"""),"Nick G.")</f>
        <v>Nick G.</v>
      </c>
      <c r="C834" t="str">
        <f>IFERROR(__xludf.DUMMYFUNCTION("""COMPUTED_VALUE"""),"Auburn")</f>
        <v>Auburn</v>
      </c>
      <c r="D834">
        <f>IFERROR(__xludf.DUMMYFUNCTION("""COMPUTED_VALUE"""),5.0)</f>
        <v>5</v>
      </c>
      <c r="E834">
        <f>IFERROR(__xludf.DUMMYFUNCTION("""COMPUTED_VALUE"""),1.0)</f>
        <v>1</v>
      </c>
      <c r="F834" t="str">
        <f>IFERROR(__xludf.DUMMYFUNCTION("""COMPUTED_VALUE"""),"ESPN2 or ESPNU")</f>
        <v>ESPN2 or ESPNU</v>
      </c>
      <c r="G834" t="str">
        <f>IFERROR(__xludf.DUMMYFUNCTION("""COMPUTED_VALUE"""),"(7) Auburn 13 at (8) Florida 24")</f>
        <v>(7) Auburn 13 at (8) Florida 24</v>
      </c>
      <c r="H834" t="str">
        <f>IFERROR(__xludf.DUMMYFUNCTION("""COMPUTED_VALUE"""),"FINAL")</f>
        <v>FINAL</v>
      </c>
      <c r="I834">
        <f>IFERROR(__xludf.DUMMYFUNCTION("""COMPUTED_VALUE"""),-3.0)</f>
        <v>-3</v>
      </c>
      <c r="J834">
        <f>IFERROR(__xludf.DUMMYFUNCTION("""COMPUTED_VALUE"""),48.0)</f>
        <v>48</v>
      </c>
      <c r="K834" t="str">
        <f>IFERROR(__xludf.DUMMYFUNCTION("""COMPUTED_VALUE"""),"Adam")</f>
        <v>Adam</v>
      </c>
      <c r="L834" t="str">
        <f>IFERROR(__xludf.DUMMYFUNCTION("""COMPUTED_VALUE"""),"FINAL")</f>
        <v>FINAL</v>
      </c>
      <c r="M834" s="124">
        <v>6.0</v>
      </c>
    </row>
    <row r="835">
      <c r="A835" s="151">
        <f>IFERROR(__xludf.DUMMYFUNCTION("""COMPUTED_VALUE"""),43744.147749525466)</f>
        <v>43744.14775</v>
      </c>
      <c r="B835" t="str">
        <f>IFERROR(__xludf.DUMMYFUNCTION("""COMPUTED_VALUE"""),"Nick G.")</f>
        <v>Nick G.</v>
      </c>
      <c r="C835" t="str">
        <f>IFERROR(__xludf.DUMMYFUNCTION("""COMPUTED_VALUE"""),"Kansas State")</f>
        <v>Kansas State</v>
      </c>
      <c r="D835">
        <f>IFERROR(__xludf.DUMMYFUNCTION("""COMPUTED_VALUE"""),3.0)</f>
        <v>3</v>
      </c>
      <c r="E835">
        <f>IFERROR(__xludf.DUMMYFUNCTION("""COMPUTED_VALUE"""),2.0)</f>
        <v>2</v>
      </c>
      <c r="F835" t="str">
        <f>IFERROR(__xludf.DUMMYFUNCTION("""COMPUTED_VALUE"""),"ESPN")</f>
        <v>ESPN</v>
      </c>
      <c r="G835" t="str">
        <f>IFERROR(__xludf.DUMMYFUNCTION("""COMPUTED_VALUE"""),"Baylor 31 at Kansas State 12")</f>
        <v>Baylor 31 at Kansas State 12</v>
      </c>
      <c r="H835" t="str">
        <f>IFERROR(__xludf.DUMMYFUNCTION("""COMPUTED_VALUE"""),"FINAL")</f>
        <v>FINAL</v>
      </c>
      <c r="I835">
        <f>IFERROR(__xludf.DUMMYFUNCTION("""COMPUTED_VALUE"""),-2.0)</f>
        <v>-2</v>
      </c>
      <c r="J835" t="str">
        <f>IFERROR(__xludf.DUMMYFUNCTION("""COMPUTED_VALUE"""),"50½")</f>
        <v>50½</v>
      </c>
      <c r="K835" t="str">
        <f>IFERROR(__xludf.DUMMYFUNCTION("""COMPUTED_VALUE"""),"Justin")</f>
        <v>Justin</v>
      </c>
      <c r="L835" t="str">
        <f>IFERROR(__xludf.DUMMYFUNCTION("""COMPUTED_VALUE"""),"FINAL")</f>
        <v>FINAL</v>
      </c>
      <c r="M835" s="124">
        <v>6.0</v>
      </c>
    </row>
    <row r="836">
      <c r="A836" s="151">
        <f>IFERROR(__xludf.DUMMYFUNCTION("""COMPUTED_VALUE"""),43744.147749525466)</f>
        <v>43744.14775</v>
      </c>
      <c r="B836" t="str">
        <f>IFERROR(__xludf.DUMMYFUNCTION("""COMPUTED_VALUE"""),"Nick G.")</f>
        <v>Nick G.</v>
      </c>
      <c r="C836" t="str">
        <f>IFERROR(__xludf.DUMMYFUNCTION("""COMPUTED_VALUE"""),"Troy")</f>
        <v>Troy</v>
      </c>
      <c r="D836">
        <f>IFERROR(__xludf.DUMMYFUNCTION("""COMPUTED_VALUE"""),2.0)</f>
        <v>2</v>
      </c>
      <c r="E836">
        <f>IFERROR(__xludf.DUMMYFUNCTION("""COMPUTED_VALUE"""),3.0)</f>
        <v>3</v>
      </c>
      <c r="F836" t="str">
        <f>IFERROR(__xludf.DUMMYFUNCTION("""COMPUTED_VALUE"""),"espn+ Video")</f>
        <v>espn+ Video</v>
      </c>
      <c r="G836" t="str">
        <f>IFERROR(__xludf.DUMMYFUNCTION("""COMPUTED_VALUE"""),"Troy 10 at Missouri 42")</f>
        <v>Troy 10 at Missouri 42</v>
      </c>
      <c r="H836" t="str">
        <f>IFERROR(__xludf.DUMMYFUNCTION("""COMPUTED_VALUE"""),"FINAL")</f>
        <v>FINAL</v>
      </c>
      <c r="I836">
        <f>IFERROR(__xludf.DUMMYFUNCTION("""COMPUTED_VALUE"""),25.0)</f>
        <v>25</v>
      </c>
      <c r="J836">
        <f>IFERROR(__xludf.DUMMYFUNCTION("""COMPUTED_VALUE"""),66.0)</f>
        <v>66</v>
      </c>
      <c r="K836" t="str">
        <f>IFERROR(__xludf.DUMMYFUNCTION("""COMPUTED_VALUE"""),"Gary")</f>
        <v>Gary</v>
      </c>
      <c r="L836" t="str">
        <f>IFERROR(__xludf.DUMMYFUNCTION("""COMPUTED_VALUE"""),"FINAL")</f>
        <v>FINAL</v>
      </c>
      <c r="M836" s="124">
        <v>6.0</v>
      </c>
    </row>
    <row r="837">
      <c r="A837" s="151">
        <f>IFERROR(__xludf.DUMMYFUNCTION("""COMPUTED_VALUE"""),43744.147749525466)</f>
        <v>43744.14775</v>
      </c>
      <c r="B837" t="str">
        <f>IFERROR(__xludf.DUMMYFUNCTION("""COMPUTED_VALUE"""),"Nick G.")</f>
        <v>Nick G.</v>
      </c>
      <c r="C837" t="str">
        <f>IFERROR(__xludf.DUMMYFUNCTION("""COMPUTED_VALUE"""),"Ohio State")</f>
        <v>Ohio State</v>
      </c>
      <c r="D837">
        <f>IFERROR(__xludf.DUMMYFUNCTION("""COMPUTED_VALUE"""),6.0)</f>
        <v>6</v>
      </c>
      <c r="E837">
        <f>IFERROR(__xludf.DUMMYFUNCTION("""COMPUTED_VALUE"""),0.0)</f>
        <v>0</v>
      </c>
      <c r="F837" t="str">
        <f>IFERROR(__xludf.DUMMYFUNCTION("""COMPUTED_VALUE"""),"FOX")</f>
        <v>FOX</v>
      </c>
      <c r="G837" t="str">
        <f>IFERROR(__xludf.DUMMYFUNCTION("""COMPUTED_VALUE"""),"(23) Michigan State 10 at (5) Ohio State 34")</f>
        <v>(23) Michigan State 10 at (5) Ohio State 34</v>
      </c>
      <c r="H837" t="str">
        <f>IFERROR(__xludf.DUMMYFUNCTION("""COMPUTED_VALUE"""),"FINAL")</f>
        <v>FINAL</v>
      </c>
      <c r="I837">
        <f>IFERROR(__xludf.DUMMYFUNCTION("""COMPUTED_VALUE"""),-20.0)</f>
        <v>-20</v>
      </c>
      <c r="J837">
        <f>IFERROR(__xludf.DUMMYFUNCTION("""COMPUTED_VALUE"""),49.0)</f>
        <v>49</v>
      </c>
      <c r="K837" t="str">
        <f>IFERROR(__xludf.DUMMYFUNCTION("""COMPUTED_VALUE"""),"Nick A.")</f>
        <v>Nick A.</v>
      </c>
      <c r="L837" t="str">
        <f>IFERROR(__xludf.DUMMYFUNCTION("""COMPUTED_VALUE"""),"FINAL")</f>
        <v>FINAL</v>
      </c>
      <c r="M837" s="124">
        <v>6.0</v>
      </c>
    </row>
    <row r="838">
      <c r="A838" s="151">
        <f>IFERROR(__xludf.DUMMYFUNCTION("""COMPUTED_VALUE"""),43744.147749525466)</f>
        <v>43744.14775</v>
      </c>
      <c r="B838" t="str">
        <f>IFERROR(__xludf.DUMMYFUNCTION("""COMPUTED_VALUE"""),"Nick G.")</f>
        <v>Nick G.</v>
      </c>
      <c r="C838" t="str">
        <f>IFERROR(__xludf.DUMMYFUNCTION("""COMPUTED_VALUE"""),"Stanford")</f>
        <v>Stanford</v>
      </c>
      <c r="D838">
        <f>IFERROR(__xludf.DUMMYFUNCTION("""COMPUTED_VALUE"""),3.0)</f>
        <v>3</v>
      </c>
      <c r="E838">
        <f>IFERROR(__xludf.DUMMYFUNCTION("""COMPUTED_VALUE"""),3.0)</f>
        <v>3</v>
      </c>
      <c r="F838" t="str">
        <f>IFERROR(__xludf.DUMMYFUNCTION("""COMPUTED_VALUE"""),"ESPN")</f>
        <v>ESPN</v>
      </c>
      <c r="G838" t="str">
        <f>IFERROR(__xludf.DUMMYFUNCTION("""COMPUTED_VALUE"""),"(16) Washington 13 at Stanford 23")</f>
        <v>(16) Washington 13 at Stanford 23</v>
      </c>
      <c r="H838" t="str">
        <f>IFERROR(__xludf.DUMMYFUNCTION("""COMPUTED_VALUE"""),"FINAL")</f>
        <v>FINAL</v>
      </c>
      <c r="I838" t="str">
        <f>IFERROR(__xludf.DUMMYFUNCTION("""COMPUTED_VALUE"""),"16½")</f>
        <v>16½</v>
      </c>
      <c r="J838">
        <f>IFERROR(__xludf.DUMMYFUNCTION("""COMPUTED_VALUE"""),52.0)</f>
        <v>52</v>
      </c>
      <c r="K838" t="str">
        <f>IFERROR(__xludf.DUMMYFUNCTION("""COMPUTED_VALUE"""),"Vu")</f>
        <v>Vu</v>
      </c>
      <c r="L838" t="str">
        <f>IFERROR(__xludf.DUMMYFUNCTION("""COMPUTED_VALUE"""),"FINAL")</f>
        <v>FINAL</v>
      </c>
      <c r="M838" s="124">
        <v>6.0</v>
      </c>
    </row>
    <row r="839">
      <c r="A839" s="151">
        <f>IFERROR(__xludf.DUMMYFUNCTION("""COMPUTED_VALUE"""),43744.147749525466)</f>
        <v>43744.14775</v>
      </c>
      <c r="B839" t="str">
        <f>IFERROR(__xludf.DUMMYFUNCTION("""COMPUTED_VALUE"""),"Nick G.")</f>
        <v>Nick G.</v>
      </c>
      <c r="C839" t="str">
        <f>IFERROR(__xludf.DUMMYFUNCTION("""COMPUTED_VALUE"""),"Florida Atlantic")</f>
        <v>Florida Atlantic</v>
      </c>
      <c r="D839">
        <f>IFERROR(__xludf.DUMMYFUNCTION("""COMPUTED_VALUE"""),3.0)</f>
        <v>3</v>
      </c>
      <c r="E839">
        <f>IFERROR(__xludf.DUMMYFUNCTION("""COMPUTED_VALUE"""),2.0)</f>
        <v>2</v>
      </c>
      <c r="F839" t="str">
        <f>IFERROR(__xludf.DUMMYFUNCTION("""COMPUTED_VALUE"""),"espn+ Video")</f>
        <v>espn+ Video</v>
      </c>
      <c r="G839" t="str">
        <f>IFERROR(__xludf.DUMMYFUNCTION("""COMPUTED_VALUE"""),"BYE")</f>
        <v>BYE</v>
      </c>
      <c r="I839" t="str">
        <f>IFERROR(__xludf.DUMMYFUNCTION("""COMPUTED_VALUE"""),"bye")</f>
        <v>bye</v>
      </c>
      <c r="J839" t="str">
        <f>IFERROR(__xludf.DUMMYFUNCTION("""COMPUTED_VALUE"""),"bye")</f>
        <v>bye</v>
      </c>
      <c r="L839">
        <f>IFERROR(__xludf.DUMMYFUNCTION("""COMPUTED_VALUE"""),9999.0)</f>
        <v>9999</v>
      </c>
      <c r="M839" s="124">
        <v>6.0</v>
      </c>
    </row>
    <row r="840">
      <c r="A840" s="151">
        <f>IFERROR(__xludf.DUMMYFUNCTION("""COMPUTED_VALUE"""),43744.147749525466)</f>
        <v>43744.14775</v>
      </c>
      <c r="B840" t="str">
        <f>IFERROR(__xludf.DUMMYFUNCTION("""COMPUTED_VALUE"""),"Nick G.")</f>
        <v>Nick G.</v>
      </c>
      <c r="C840" t="str">
        <f>IFERROR(__xludf.DUMMYFUNCTION("""COMPUTED_VALUE"""),"NC State")</f>
        <v>NC State</v>
      </c>
      <c r="D840">
        <f>IFERROR(__xludf.DUMMYFUNCTION("""COMPUTED_VALUE"""),3.0)</f>
        <v>3</v>
      </c>
      <c r="E840">
        <f>IFERROR(__xludf.DUMMYFUNCTION("""COMPUTED_VALUE"""),2.0)</f>
        <v>2</v>
      </c>
      <c r="F840" t="str">
        <f>IFERROR(__xludf.DUMMYFUNCTION("""COMPUTED_VALUE"""),"FS1")</f>
        <v>FS1</v>
      </c>
      <c r="G840" t="str">
        <f>IFERROR(__xludf.DUMMYFUNCTION("""COMPUTED_VALUE"""),"BYE")</f>
        <v>BYE</v>
      </c>
      <c r="I840" t="str">
        <f>IFERROR(__xludf.DUMMYFUNCTION("""COMPUTED_VALUE"""),"bye")</f>
        <v>bye</v>
      </c>
      <c r="J840" t="str">
        <f>IFERROR(__xludf.DUMMYFUNCTION("""COMPUTED_VALUE"""),"bye")</f>
        <v>bye</v>
      </c>
      <c r="L840">
        <f>IFERROR(__xludf.DUMMYFUNCTION("""COMPUTED_VALUE"""),9999.0)</f>
        <v>9999</v>
      </c>
      <c r="M840" s="124">
        <v>6.0</v>
      </c>
    </row>
    <row r="841">
      <c r="A841" s="151">
        <f>IFERROR(__xludf.DUMMYFUNCTION("""COMPUTED_VALUE"""),43744.147749525466)</f>
        <v>43744.14775</v>
      </c>
      <c r="B841" t="str">
        <f>IFERROR(__xludf.DUMMYFUNCTION("""COMPUTED_VALUE"""),"Nick G.")</f>
        <v>Nick G.</v>
      </c>
      <c r="C841" t="str">
        <f>IFERROR(__xludf.DUMMYFUNCTION("""COMPUTED_VALUE"""),"Wyoming")</f>
        <v>Wyoming</v>
      </c>
      <c r="D841">
        <f>IFERROR(__xludf.DUMMYFUNCTION("""COMPUTED_VALUE"""),4.0)</f>
        <v>4</v>
      </c>
      <c r="E841">
        <f>IFERROR(__xludf.DUMMYFUNCTION("""COMPUTED_VALUE"""),1.0)</f>
        <v>1</v>
      </c>
      <c r="F841" t="str">
        <f>IFERROR(__xludf.DUMMYFUNCTION("""COMPUTED_VALUE"""),"espn3 Video")</f>
        <v>espn3 Video</v>
      </c>
      <c r="G841" t="str">
        <f>IFERROR(__xludf.DUMMYFUNCTION("""COMPUTED_VALUE"""),"BYE")</f>
        <v>BYE</v>
      </c>
      <c r="I841" t="str">
        <f>IFERROR(__xludf.DUMMYFUNCTION("""COMPUTED_VALUE"""),"bye")</f>
        <v>bye</v>
      </c>
      <c r="J841" t="str">
        <f>IFERROR(__xludf.DUMMYFUNCTION("""COMPUTED_VALUE"""),"bye")</f>
        <v>bye</v>
      </c>
      <c r="L841">
        <f>IFERROR(__xludf.DUMMYFUNCTION("""COMPUTED_VALUE"""),9999.0)</f>
        <v>9999</v>
      </c>
      <c r="M841" s="124">
        <v>6.0</v>
      </c>
    </row>
    <row r="842">
      <c r="A842" s="151">
        <f>IFERROR(__xludf.DUMMYFUNCTION("""COMPUTED_VALUE"""),43751.147748460644)</f>
        <v>43751.14775</v>
      </c>
      <c r="B842" t="str">
        <f>IFERROR(__xludf.DUMMYFUNCTION("""COMPUTED_VALUE"""),"DavEmily")</f>
        <v>DavEmily</v>
      </c>
      <c r="C842" t="str">
        <f>IFERROR(__xludf.DUMMYFUNCTION("""COMPUTED_VALUE"""),"Ball State")</f>
        <v>Ball State</v>
      </c>
      <c r="D842">
        <f>IFERROR(__xludf.DUMMYFUNCTION("""COMPUTED_VALUE"""),3.0)</f>
        <v>3</v>
      </c>
      <c r="E842">
        <f>IFERROR(__xludf.DUMMYFUNCTION("""COMPUTED_VALUE"""),3.0)</f>
        <v>3</v>
      </c>
      <c r="F842" t="str">
        <f>IFERROR(__xludf.DUMMYFUNCTION("""COMPUTED_VALUE"""),"espn+ Video")</f>
        <v>espn+ Video</v>
      </c>
      <c r="G842" t="str">
        <f>IFERROR(__xludf.DUMMYFUNCTION("""COMPUTED_VALUE"""),"Ball State 29 at EMU 23")</f>
        <v>Ball State 29 at EMU 23</v>
      </c>
      <c r="H842" t="str">
        <f>IFERROR(__xludf.DUMMYFUNCTION("""COMPUTED_VALUE"""),"FINAL")</f>
        <v>FINAL</v>
      </c>
      <c r="I842" t="str">
        <f>IFERROR(__xludf.DUMMYFUNCTION("""COMPUTED_VALUE"""),"-1½")</f>
        <v>-1½</v>
      </c>
      <c r="J842">
        <f>IFERROR(__xludf.DUMMYFUNCTION("""COMPUTED_VALUE"""),58.0)</f>
        <v>58</v>
      </c>
      <c r="K842" t="str">
        <f>IFERROR(__xludf.DUMMYFUNCTION("""COMPUTED_VALUE"""),"Brad")</f>
        <v>Brad</v>
      </c>
      <c r="L842" t="str">
        <f>IFERROR(__xludf.DUMMYFUNCTION("""COMPUTED_VALUE"""),"FINAL")</f>
        <v>FINAL</v>
      </c>
      <c r="M842" s="124">
        <v>7.0</v>
      </c>
    </row>
    <row r="843">
      <c r="A843" s="151">
        <f>IFERROR(__xludf.DUMMYFUNCTION("""COMPUTED_VALUE"""),43751.147748460644)</f>
        <v>43751.14775</v>
      </c>
      <c r="B843" t="str">
        <f>IFERROR(__xludf.DUMMYFUNCTION("""COMPUTED_VALUE"""),"DavEmily")</f>
        <v>DavEmily</v>
      </c>
      <c r="C843" t="str">
        <f>IFERROR(__xludf.DUMMYFUNCTION("""COMPUTED_VALUE"""),"Alabama")</f>
        <v>Alabama</v>
      </c>
      <c r="D843">
        <f>IFERROR(__xludf.DUMMYFUNCTION("""COMPUTED_VALUE"""),6.0)</f>
        <v>6</v>
      </c>
      <c r="E843">
        <f>IFERROR(__xludf.DUMMYFUNCTION("""COMPUTED_VALUE"""),0.0)</f>
        <v>0</v>
      </c>
      <c r="F843" t="str">
        <f>IFERROR(__xludf.DUMMYFUNCTION("""COMPUTED_VALUE"""),"CBS")</f>
        <v>CBS</v>
      </c>
      <c r="G843" t="str">
        <f>IFERROR(__xludf.DUMMYFUNCTION("""COMPUTED_VALUE"""),"(1) Alabama 47 at (21) Texas A&amp;M 28")</f>
        <v>(1) Alabama 47 at (21) Texas A&amp;M 28</v>
      </c>
      <c r="H843" t="str">
        <f>IFERROR(__xludf.DUMMYFUNCTION("""COMPUTED_VALUE"""),"FINAL")</f>
        <v>FINAL</v>
      </c>
      <c r="I843">
        <f>IFERROR(__xludf.DUMMYFUNCTION("""COMPUTED_VALUE"""),-17.0)</f>
        <v>-17</v>
      </c>
      <c r="J843">
        <f>IFERROR(__xludf.DUMMYFUNCTION("""COMPUTED_VALUE"""),61.0)</f>
        <v>61</v>
      </c>
      <c r="K843" t="str">
        <f>IFERROR(__xludf.DUMMYFUNCTION("""COMPUTED_VALUE"""),"Vu")</f>
        <v>Vu</v>
      </c>
      <c r="L843" t="str">
        <f>IFERROR(__xludf.DUMMYFUNCTION("""COMPUTED_VALUE"""),"FINAL")</f>
        <v>FINAL</v>
      </c>
      <c r="M843" s="124">
        <v>7.0</v>
      </c>
    </row>
    <row r="844">
      <c r="A844" s="151">
        <f>IFERROR(__xludf.DUMMYFUNCTION("""COMPUTED_VALUE"""),43751.147748460644)</f>
        <v>43751.14775</v>
      </c>
      <c r="B844" t="str">
        <f>IFERROR(__xludf.DUMMYFUNCTION("""COMPUTED_VALUE"""),"DavEmily")</f>
        <v>DavEmily</v>
      </c>
      <c r="C844" t="str">
        <f>IFERROR(__xludf.DUMMYFUNCTION("""COMPUTED_VALUE"""),"Virginia Tech")</f>
        <v>Virginia Tech</v>
      </c>
      <c r="D844">
        <f>IFERROR(__xludf.DUMMYFUNCTION("""COMPUTED_VALUE"""),4.0)</f>
        <v>4</v>
      </c>
      <c r="E844">
        <f>IFERROR(__xludf.DUMMYFUNCTION("""COMPUTED_VALUE"""),2.0)</f>
        <v>2</v>
      </c>
      <c r="F844" t="str">
        <f>IFERROR(__xludf.DUMMYFUNCTION("""COMPUTED_VALUE"""),"ACC Network")</f>
        <v>ACC Network</v>
      </c>
      <c r="G844" t="str">
        <f>IFERROR(__xludf.DUMMYFUNCTION("""COMPUTED_VALUE"""),"Rhode Island 17 at Virginia Tech 34")</f>
        <v>Rhode Island 17 at Virginia Tech 34</v>
      </c>
      <c r="H844" t="str">
        <f>IFERROR(__xludf.DUMMYFUNCTION("""COMPUTED_VALUE"""),"FINAL")</f>
        <v>FINAL</v>
      </c>
      <c r="I844" t="str">
        <f>IFERROR(__xludf.DUMMYFUNCTION("""COMPUTED_VALUE"""),"PK")</f>
        <v>PK</v>
      </c>
      <c r="J844" t="str">
        <f>IFERROR(__xludf.DUMMYFUNCTION("""COMPUTED_VALUE""")," No Line")</f>
        <v> No Line</v>
      </c>
      <c r="K844" t="str">
        <f>IFERROR(__xludf.DUMMYFUNCTION("""COMPUTED_VALUE"""),"Undrafted")</f>
        <v>Undrafted</v>
      </c>
      <c r="L844" t="str">
        <f>IFERROR(__xludf.DUMMYFUNCTION("""COMPUTED_VALUE"""),"FINAL")</f>
        <v>FINAL</v>
      </c>
      <c r="M844" s="124">
        <v>7.0</v>
      </c>
    </row>
    <row r="845">
      <c r="A845" s="151">
        <f>IFERROR(__xludf.DUMMYFUNCTION("""COMPUTED_VALUE"""),43751.147748460644)</f>
        <v>43751.14775</v>
      </c>
      <c r="B845" t="str">
        <f>IFERROR(__xludf.DUMMYFUNCTION("""COMPUTED_VALUE"""),"DavEmily")</f>
        <v>DavEmily</v>
      </c>
      <c r="C845" t="str">
        <f>IFERROR(__xludf.DUMMYFUNCTION("""COMPUTED_VALUE"""),"Coastal Carolina")</f>
        <v>Coastal Carolina</v>
      </c>
      <c r="D845">
        <f>IFERROR(__xludf.DUMMYFUNCTION("""COMPUTED_VALUE"""),3.0)</f>
        <v>3</v>
      </c>
      <c r="E845">
        <f>IFERROR(__xludf.DUMMYFUNCTION("""COMPUTED_VALUE"""),3.0)</f>
        <v>3</v>
      </c>
      <c r="F845" t="str">
        <f>IFERROR(__xludf.DUMMYFUNCTION("""COMPUTED_VALUE"""),"espn+ Video")</f>
        <v>espn+ Video</v>
      </c>
      <c r="G845" t="str">
        <f>IFERROR(__xludf.DUMMYFUNCTION("""COMPUTED_VALUE"""),"Georgia State 31 at Coastal Carolina 21")</f>
        <v>Georgia State 31 at Coastal Carolina 21</v>
      </c>
      <c r="H845" t="str">
        <f>IFERROR(__xludf.DUMMYFUNCTION("""COMPUTED_VALUE"""),"FINAL")</f>
        <v>FINAL</v>
      </c>
      <c r="I845">
        <f>IFERROR(__xludf.DUMMYFUNCTION("""COMPUTED_VALUE"""),-6.0)</f>
        <v>-6</v>
      </c>
      <c r="J845">
        <f>IFERROR(__xludf.DUMMYFUNCTION("""COMPUTED_VALUE"""),67.0)</f>
        <v>67</v>
      </c>
      <c r="K845" t="str">
        <f>IFERROR(__xludf.DUMMYFUNCTION("""COMPUTED_VALUE"""),"Adam")</f>
        <v>Adam</v>
      </c>
      <c r="L845" t="str">
        <f>IFERROR(__xludf.DUMMYFUNCTION("""COMPUTED_VALUE"""),"FINAL")</f>
        <v>FINAL</v>
      </c>
      <c r="M845" s="124">
        <v>7.0</v>
      </c>
    </row>
    <row r="846">
      <c r="A846" s="151">
        <f>IFERROR(__xludf.DUMMYFUNCTION("""COMPUTED_VALUE"""),43751.147748460644)</f>
        <v>43751.14775</v>
      </c>
      <c r="B846" t="str">
        <f>IFERROR(__xludf.DUMMYFUNCTION("""COMPUTED_VALUE"""),"DavEmily")</f>
        <v>DavEmily</v>
      </c>
      <c r="C846" t="str">
        <f>IFERROR(__xludf.DUMMYFUNCTION("""COMPUTED_VALUE"""),"UTSA")</f>
        <v>UTSA</v>
      </c>
      <c r="D846">
        <f>IFERROR(__xludf.DUMMYFUNCTION("""COMPUTED_VALUE"""),2.0)</f>
        <v>2</v>
      </c>
      <c r="E846">
        <f>IFERROR(__xludf.DUMMYFUNCTION("""COMPUTED_VALUE"""),4.0)</f>
        <v>4</v>
      </c>
      <c r="F846" t="str">
        <f>IFERROR(__xludf.DUMMYFUNCTION("""COMPUTED_VALUE"""),"espn+ Video")</f>
        <v>espn+ Video</v>
      </c>
      <c r="G846" t="str">
        <f>IFERROR(__xludf.DUMMYFUNCTION("""COMPUTED_VALUE"""),"UAB 33 at UTSA 14")</f>
        <v>UAB 33 at UTSA 14</v>
      </c>
      <c r="H846" t="str">
        <f>IFERROR(__xludf.DUMMYFUNCTION("""COMPUTED_VALUE"""),"FINAL")</f>
        <v>FINAL</v>
      </c>
      <c r="I846">
        <f>IFERROR(__xludf.DUMMYFUNCTION("""COMPUTED_VALUE"""),11.0)</f>
        <v>11</v>
      </c>
      <c r="J846">
        <f>IFERROR(__xludf.DUMMYFUNCTION("""COMPUTED_VALUE"""),45.0)</f>
        <v>45</v>
      </c>
      <c r="K846" t="str">
        <f>IFERROR(__xludf.DUMMYFUNCTION("""COMPUTED_VALUE"""),"Jeannine")</f>
        <v>Jeannine</v>
      </c>
      <c r="L846" t="str">
        <f>IFERROR(__xludf.DUMMYFUNCTION("""COMPUTED_VALUE"""),"FINAL")</f>
        <v>FINAL</v>
      </c>
      <c r="M846" s="124">
        <v>7.0</v>
      </c>
    </row>
    <row r="847">
      <c r="A847" s="151">
        <f>IFERROR(__xludf.DUMMYFUNCTION("""COMPUTED_VALUE"""),43751.147748460644)</f>
        <v>43751.14775</v>
      </c>
      <c r="B847" t="str">
        <f>IFERROR(__xludf.DUMMYFUNCTION("""COMPUTED_VALUE"""),"DavEmily")</f>
        <v>DavEmily</v>
      </c>
      <c r="C847" t="str">
        <f>IFERROR(__xludf.DUMMYFUNCTION("""COMPUTED_VALUE"""),"Fresno State")</f>
        <v>Fresno State</v>
      </c>
      <c r="D847">
        <f>IFERROR(__xludf.DUMMYFUNCTION("""COMPUTED_VALUE"""),2.0)</f>
        <v>2</v>
      </c>
      <c r="E847">
        <f>IFERROR(__xludf.DUMMYFUNCTION("""COMPUTED_VALUE"""),3.0)</f>
        <v>3</v>
      </c>
      <c r="F847" t="str">
        <f>IFERROR(__xludf.DUMMYFUNCTION("""COMPUTED_VALUE"""),"CBSSN")</f>
        <v>CBSSN</v>
      </c>
      <c r="G847" t="str">
        <f>IFERROR(__xludf.DUMMYFUNCTION("""COMPUTED_VALUE"""),"Fresno State 24 at Air Force 43")</f>
        <v>Fresno State 24 at Air Force 43</v>
      </c>
      <c r="H847" t="str">
        <f>IFERROR(__xludf.DUMMYFUNCTION("""COMPUTED_VALUE"""),"FINAL")</f>
        <v>FINAL</v>
      </c>
      <c r="I847">
        <f>IFERROR(__xludf.DUMMYFUNCTION("""COMPUTED_VALUE"""),4.0)</f>
        <v>4</v>
      </c>
      <c r="J847" t="str">
        <f>IFERROR(__xludf.DUMMYFUNCTION("""COMPUTED_VALUE"""),"50½")</f>
        <v>50½</v>
      </c>
      <c r="K847" t="str">
        <f>IFERROR(__xludf.DUMMYFUNCTION("""COMPUTED_VALUE"""),"Adam")</f>
        <v>Adam</v>
      </c>
      <c r="L847" t="str">
        <f>IFERROR(__xludf.DUMMYFUNCTION("""COMPUTED_VALUE"""),"FINAL")</f>
        <v>FINAL</v>
      </c>
      <c r="M847" s="124">
        <v>7.0</v>
      </c>
    </row>
    <row r="848">
      <c r="A848" s="151">
        <f>IFERROR(__xludf.DUMMYFUNCTION("""COMPUTED_VALUE"""),43751.147748460644)</f>
        <v>43751.14775</v>
      </c>
      <c r="B848" t="str">
        <f>IFERROR(__xludf.DUMMYFUNCTION("""COMPUTED_VALUE"""),"DavEmily")</f>
        <v>DavEmily</v>
      </c>
      <c r="C848" t="str">
        <f>IFERROR(__xludf.DUMMYFUNCTION("""COMPUTED_VALUE"""),"Notre Dame")</f>
        <v>Notre Dame</v>
      </c>
      <c r="D848">
        <f>IFERROR(__xludf.DUMMYFUNCTION("""COMPUTED_VALUE"""),5.0)</f>
        <v>5</v>
      </c>
      <c r="E848">
        <f>IFERROR(__xludf.DUMMYFUNCTION("""COMPUTED_VALUE"""),1.0)</f>
        <v>1</v>
      </c>
      <c r="F848" t="str">
        <f>IFERROR(__xludf.DUMMYFUNCTION("""COMPUTED_VALUE"""),"NBC")</f>
        <v>NBC</v>
      </c>
      <c r="G848" t="str">
        <f>IFERROR(__xludf.DUMMYFUNCTION("""COMPUTED_VALUE"""),"USC 27 at (10) Notre Dame 30")</f>
        <v>USC 27 at (10) Notre Dame 30</v>
      </c>
      <c r="H848" t="str">
        <f>IFERROR(__xludf.DUMMYFUNCTION("""COMPUTED_VALUE"""),"FINAL")</f>
        <v>FINAL</v>
      </c>
      <c r="I848">
        <f>IFERROR(__xludf.DUMMYFUNCTION("""COMPUTED_VALUE"""),-11.0)</f>
        <v>-11</v>
      </c>
      <c r="J848">
        <f>IFERROR(__xludf.DUMMYFUNCTION("""COMPUTED_VALUE"""),56.0)</f>
        <v>56</v>
      </c>
      <c r="K848" t="str">
        <f>IFERROR(__xludf.DUMMYFUNCTION("""COMPUTED_VALUE"""),"Josh R.")</f>
        <v>Josh R.</v>
      </c>
      <c r="L848" t="str">
        <f>IFERROR(__xludf.DUMMYFUNCTION("""COMPUTED_VALUE"""),"FINAL")</f>
        <v>FINAL</v>
      </c>
      <c r="M848" s="124">
        <v>7.0</v>
      </c>
    </row>
    <row r="849">
      <c r="A849" s="151">
        <f>IFERROR(__xludf.DUMMYFUNCTION("""COMPUTED_VALUE"""),43751.147748460644)</f>
        <v>43751.14775</v>
      </c>
      <c r="B849" t="str">
        <f>IFERROR(__xludf.DUMMYFUNCTION("""COMPUTED_VALUE"""),"DavEmily")</f>
        <v>DavEmily</v>
      </c>
      <c r="C849" t="str">
        <f>IFERROR(__xludf.DUMMYFUNCTION("""COMPUTED_VALUE"""),"Nebraska")</f>
        <v>Nebraska</v>
      </c>
      <c r="D849">
        <f>IFERROR(__xludf.DUMMYFUNCTION("""COMPUTED_VALUE"""),4.0)</f>
        <v>4</v>
      </c>
      <c r="E849">
        <f>IFERROR(__xludf.DUMMYFUNCTION("""COMPUTED_VALUE"""),3.0)</f>
        <v>3</v>
      </c>
      <c r="F849" t="str">
        <f>IFERROR(__xludf.DUMMYFUNCTION("""COMPUTED_VALUE"""),"FS1")</f>
        <v>FS1</v>
      </c>
      <c r="G849" t="str">
        <f>IFERROR(__xludf.DUMMYFUNCTION("""COMPUTED_VALUE"""),"Nebraska 7 at (25) Minnesota 34")</f>
        <v>Nebraska 7 at (25) Minnesota 34</v>
      </c>
      <c r="H849" t="str">
        <f>IFERROR(__xludf.DUMMYFUNCTION("""COMPUTED_VALUE"""),"FINAL")</f>
        <v>FINAL</v>
      </c>
      <c r="I849" t="str">
        <f>IFERROR(__xludf.DUMMYFUNCTION("""COMPUTED_VALUE"""),"7½")</f>
        <v>7½</v>
      </c>
      <c r="J849" t="str">
        <f>IFERROR(__xludf.DUMMYFUNCTION("""COMPUTED_VALUE"""),"52½")</f>
        <v>52½</v>
      </c>
      <c r="K849" t="str">
        <f>IFERROR(__xludf.DUMMYFUNCTION("""COMPUTED_VALUE"""),"Josh R.")</f>
        <v>Josh R.</v>
      </c>
      <c r="L849" t="str">
        <f>IFERROR(__xludf.DUMMYFUNCTION("""COMPUTED_VALUE"""),"FINAL")</f>
        <v>FINAL</v>
      </c>
      <c r="M849" s="124">
        <v>7.0</v>
      </c>
    </row>
    <row r="850">
      <c r="A850" s="151">
        <f>IFERROR(__xludf.DUMMYFUNCTION("""COMPUTED_VALUE"""),43751.147748460644)</f>
        <v>43751.14775</v>
      </c>
      <c r="B850" t="str">
        <f>IFERROR(__xludf.DUMMYFUNCTION("""COMPUTED_VALUE"""),"DavEmily")</f>
        <v>DavEmily</v>
      </c>
      <c r="C850" t="str">
        <f>IFERROR(__xludf.DUMMYFUNCTION("""COMPUTED_VALUE"""),"Tulsa")</f>
        <v>Tulsa</v>
      </c>
      <c r="D850">
        <f>IFERROR(__xludf.DUMMYFUNCTION("""COMPUTED_VALUE"""),2.0)</f>
        <v>2</v>
      </c>
      <c r="E850">
        <f>IFERROR(__xludf.DUMMYFUNCTION("""COMPUTED_VALUE"""),4.0)</f>
        <v>4</v>
      </c>
      <c r="F850" t="str">
        <f>IFERROR(__xludf.DUMMYFUNCTION("""COMPUTED_VALUE"""),"ESPNU")</f>
        <v>ESPNU</v>
      </c>
      <c r="G850" t="str">
        <f>IFERROR(__xludf.DUMMYFUNCTION("""COMPUTED_VALUE"""),"Navy 45 at Tulsa 17")</f>
        <v>Navy 45 at Tulsa 17</v>
      </c>
      <c r="H850" t="str">
        <f>IFERROR(__xludf.DUMMYFUNCTION("""COMPUTED_VALUE"""),"FINAL")</f>
        <v>FINAL</v>
      </c>
      <c r="I850">
        <f>IFERROR(__xludf.DUMMYFUNCTION("""COMPUTED_VALUE"""),-1.0)</f>
        <v>-1</v>
      </c>
      <c r="J850" t="str">
        <f>IFERROR(__xludf.DUMMYFUNCTION("""COMPUTED_VALUE"""),"53½")</f>
        <v>53½</v>
      </c>
      <c r="K850" t="str">
        <f>IFERROR(__xludf.DUMMYFUNCTION("""COMPUTED_VALUE"""),"Janice/Mike")</f>
        <v>Janice/Mike</v>
      </c>
      <c r="L850" t="str">
        <f>IFERROR(__xludf.DUMMYFUNCTION("""COMPUTED_VALUE"""),"FINAL")</f>
        <v>FINAL</v>
      </c>
      <c r="M850" s="124">
        <v>7.0</v>
      </c>
    </row>
    <row r="851">
      <c r="A851" s="151">
        <f>IFERROR(__xludf.DUMMYFUNCTION("""COMPUTED_VALUE"""),43751.147748460644)</f>
        <v>43751.14775</v>
      </c>
      <c r="B851" t="str">
        <f>IFERROR(__xludf.DUMMYFUNCTION("""COMPUTED_VALUE"""),"DavEmily")</f>
        <v>DavEmily</v>
      </c>
      <c r="C851" t="str">
        <f>IFERROR(__xludf.DUMMYFUNCTION("""COMPUTED_VALUE"""),"California")</f>
        <v>California</v>
      </c>
      <c r="D851">
        <f>IFERROR(__xludf.DUMMYFUNCTION("""COMPUTED_VALUE"""),4.0)</f>
        <v>4</v>
      </c>
      <c r="E851">
        <f>IFERROR(__xludf.DUMMYFUNCTION("""COMPUTED_VALUE"""),2.0)</f>
        <v>2</v>
      </c>
      <c r="F851" t="str">
        <f>IFERROR(__xludf.DUMMYFUNCTION("""COMPUTED_VALUE"""),"NA")</f>
        <v>NA</v>
      </c>
      <c r="G851" t="str">
        <f>IFERROR(__xludf.DUMMYFUNCTION("""COMPUTED_VALUE"""),"BYE")</f>
        <v>BYE</v>
      </c>
      <c r="I851" t="str">
        <f>IFERROR(__xludf.DUMMYFUNCTION("""COMPUTED_VALUE"""),"bye")</f>
        <v>bye</v>
      </c>
      <c r="J851" t="str">
        <f>IFERROR(__xludf.DUMMYFUNCTION("""COMPUTED_VALUE"""),"bye")</f>
        <v>bye</v>
      </c>
      <c r="L851">
        <f>IFERROR(__xludf.DUMMYFUNCTION("""COMPUTED_VALUE"""),9999.0)</f>
        <v>9999</v>
      </c>
      <c r="M851" s="124">
        <v>7.0</v>
      </c>
    </row>
    <row r="852">
      <c r="A852" s="151">
        <f>IFERROR(__xludf.DUMMYFUNCTION("""COMPUTED_VALUE"""),43751.147748460644)</f>
        <v>43751.14775</v>
      </c>
      <c r="B852" t="str">
        <f>IFERROR(__xludf.DUMMYFUNCTION("""COMPUTED_VALUE"""),"Nick A.")</f>
        <v>Nick A.</v>
      </c>
      <c r="C852" t="str">
        <f>IFERROR(__xludf.DUMMYFUNCTION("""COMPUTED_VALUE"""),"Bowling Green")</f>
        <v>Bowling Green</v>
      </c>
      <c r="D852">
        <f>IFERROR(__xludf.DUMMYFUNCTION("""COMPUTED_VALUE"""),2.0)</f>
        <v>2</v>
      </c>
      <c r="E852">
        <f>IFERROR(__xludf.DUMMYFUNCTION("""COMPUTED_VALUE"""),4.0)</f>
        <v>4</v>
      </c>
      <c r="F852" t="str">
        <f>IFERROR(__xludf.DUMMYFUNCTION("""COMPUTED_VALUE"""),"CBSSN")</f>
        <v>CBSSN</v>
      </c>
      <c r="G852" t="str">
        <f>IFERROR(__xludf.DUMMYFUNCTION("""COMPUTED_VALUE"""),"Toledo 7 at Bowling Green 20")</f>
        <v>Toledo 7 at Bowling Green 20</v>
      </c>
      <c r="H852" t="str">
        <f>IFERROR(__xludf.DUMMYFUNCTION("""COMPUTED_VALUE"""),"FINAL")</f>
        <v>FINAL</v>
      </c>
      <c r="I852" t="str">
        <f>IFERROR(__xludf.DUMMYFUNCTION("""COMPUTED_VALUE"""),"25½")</f>
        <v>25½</v>
      </c>
      <c r="J852">
        <f>IFERROR(__xludf.DUMMYFUNCTION("""COMPUTED_VALUE"""),64.0)</f>
        <v>64</v>
      </c>
      <c r="K852" t="str">
        <f>IFERROR(__xludf.DUMMYFUNCTION("""COMPUTED_VALUE"""),"Josh R.")</f>
        <v>Josh R.</v>
      </c>
      <c r="L852" t="str">
        <f>IFERROR(__xludf.DUMMYFUNCTION("""COMPUTED_VALUE"""),"FINAL")</f>
        <v>FINAL</v>
      </c>
      <c r="M852" s="124">
        <v>7.0</v>
      </c>
    </row>
    <row r="853">
      <c r="A853" s="151">
        <f>IFERROR(__xludf.DUMMYFUNCTION("""COMPUTED_VALUE"""),43751.147748460644)</f>
        <v>43751.14775</v>
      </c>
      <c r="B853" t="str">
        <f>IFERROR(__xludf.DUMMYFUNCTION("""COMPUTED_VALUE"""),"Nick A.")</f>
        <v>Nick A.</v>
      </c>
      <c r="C853" t="str">
        <f>IFERROR(__xludf.DUMMYFUNCTION("""COMPUTED_VALUE"""),"Old Dominion")</f>
        <v>Old Dominion</v>
      </c>
      <c r="D853">
        <f>IFERROR(__xludf.DUMMYFUNCTION("""COMPUTED_VALUE"""),1.0)</f>
        <v>1</v>
      </c>
      <c r="E853">
        <f>IFERROR(__xludf.DUMMYFUNCTION("""COMPUTED_VALUE"""),5.0)</f>
        <v>5</v>
      </c>
      <c r="F853" t="str">
        <f>IFERROR(__xludf.DUMMYFUNCTION("""COMPUTED_VALUE"""),"Stadium Video")</f>
        <v>Stadium Video</v>
      </c>
      <c r="G853" t="str">
        <f>IFERROR(__xludf.DUMMYFUNCTION("""COMPUTED_VALUE"""),"Old Dominion 17 at Marshall 31")</f>
        <v>Old Dominion 17 at Marshall 31</v>
      </c>
      <c r="H853" t="str">
        <f>IFERROR(__xludf.DUMMYFUNCTION("""COMPUTED_VALUE"""),"FINAL")</f>
        <v>FINAL</v>
      </c>
      <c r="I853">
        <f>IFERROR(__xludf.DUMMYFUNCTION("""COMPUTED_VALUE"""),15.0)</f>
        <v>15</v>
      </c>
      <c r="J853">
        <f>IFERROR(__xludf.DUMMYFUNCTION("""COMPUTED_VALUE"""),45.0)</f>
        <v>45</v>
      </c>
      <c r="K853" t="str">
        <f>IFERROR(__xludf.DUMMYFUNCTION("""COMPUTED_VALUE"""),"Gary")</f>
        <v>Gary</v>
      </c>
      <c r="L853" t="str">
        <f>IFERROR(__xludf.DUMMYFUNCTION("""COMPUTED_VALUE"""),"FINAL")</f>
        <v>FINAL</v>
      </c>
      <c r="M853" s="124">
        <v>7.0</v>
      </c>
    </row>
    <row r="854">
      <c r="A854" s="151">
        <f>IFERROR(__xludf.DUMMYFUNCTION("""COMPUTED_VALUE"""),43751.147748460644)</f>
        <v>43751.14775</v>
      </c>
      <c r="B854" t="str">
        <f>IFERROR(__xludf.DUMMYFUNCTION("""COMPUTED_VALUE"""),"Nick A.")</f>
        <v>Nick A.</v>
      </c>
      <c r="C854" t="str">
        <f>IFERROR(__xludf.DUMMYFUNCTION("""COMPUTED_VALUE"""),"New Mexico State")</f>
        <v>New Mexico State</v>
      </c>
      <c r="D854">
        <f>IFERROR(__xludf.DUMMYFUNCTION("""COMPUTED_VALUE"""),0.0)</f>
        <v>0</v>
      </c>
      <c r="E854">
        <f>IFERROR(__xludf.DUMMYFUNCTION("""COMPUTED_VALUE"""),7.0)</f>
        <v>7</v>
      </c>
      <c r="F854" t="str">
        <f>IFERROR(__xludf.DUMMYFUNCTION("""COMPUTED_VALUE"""),"espn3 Video")</f>
        <v>espn3 Video</v>
      </c>
      <c r="G854" t="str">
        <f>IFERROR(__xludf.DUMMYFUNCTION("""COMPUTED_VALUE"""),"New Mexico State 28 at Central Michigan 42")</f>
        <v>New Mexico State 28 at Central Michigan 42</v>
      </c>
      <c r="H854" t="str">
        <f>IFERROR(__xludf.DUMMYFUNCTION("""COMPUTED_VALUE"""),"FINAL")</f>
        <v>FINAL</v>
      </c>
      <c r="I854" t="str">
        <f>IFERROR(__xludf.DUMMYFUNCTION("""COMPUTED_VALUE"""),"11½")</f>
        <v>11½</v>
      </c>
      <c r="J854">
        <f>IFERROR(__xludf.DUMMYFUNCTION("""COMPUTED_VALUE"""),57.0)</f>
        <v>57</v>
      </c>
      <c r="K854" t="str">
        <f>IFERROR(__xludf.DUMMYFUNCTION("""COMPUTED_VALUE"""),"Nick G.")</f>
        <v>Nick G.</v>
      </c>
      <c r="L854" t="str">
        <f>IFERROR(__xludf.DUMMYFUNCTION("""COMPUTED_VALUE"""),"FINAL")</f>
        <v>FINAL</v>
      </c>
      <c r="M854" s="124">
        <v>7.0</v>
      </c>
    </row>
    <row r="855">
      <c r="A855" s="151">
        <f>IFERROR(__xludf.DUMMYFUNCTION("""COMPUTED_VALUE"""),43751.147748460644)</f>
        <v>43751.14775</v>
      </c>
      <c r="B855" t="str">
        <f>IFERROR(__xludf.DUMMYFUNCTION("""COMPUTED_VALUE"""),"Nick A.")</f>
        <v>Nick A.</v>
      </c>
      <c r="C855" t="str">
        <f>IFERROR(__xludf.DUMMYFUNCTION("""COMPUTED_VALUE"""),"Clemson")</f>
        <v>Clemson</v>
      </c>
      <c r="D855">
        <f>IFERROR(__xludf.DUMMYFUNCTION("""COMPUTED_VALUE"""),6.0)</f>
        <v>6</v>
      </c>
      <c r="E855">
        <f>IFERROR(__xludf.DUMMYFUNCTION("""COMPUTED_VALUE"""),0.0)</f>
        <v>0</v>
      </c>
      <c r="F855" t="str">
        <f>IFERROR(__xludf.DUMMYFUNCTION("""COMPUTED_VALUE"""),"ABC")</f>
        <v>ABC</v>
      </c>
      <c r="G855" t="str">
        <f>IFERROR(__xludf.DUMMYFUNCTION("""COMPUTED_VALUE"""),"Florida State 14 at (2) Clemson 45")</f>
        <v>Florida State 14 at (2) Clemson 45</v>
      </c>
      <c r="H855" t="str">
        <f>IFERROR(__xludf.DUMMYFUNCTION("""COMPUTED_VALUE"""),"FINAL")</f>
        <v>FINAL</v>
      </c>
      <c r="I855">
        <f>IFERROR(__xludf.DUMMYFUNCTION("""COMPUTED_VALUE"""),-27.0)</f>
        <v>-27</v>
      </c>
      <c r="J855" t="str">
        <f>IFERROR(__xludf.DUMMYFUNCTION("""COMPUTED_VALUE"""),"61½")</f>
        <v>61½</v>
      </c>
      <c r="K855" t="str">
        <f>IFERROR(__xludf.DUMMYFUNCTION("""COMPUTED_VALUE"""),"Josh R.")</f>
        <v>Josh R.</v>
      </c>
      <c r="L855" t="str">
        <f>IFERROR(__xludf.DUMMYFUNCTION("""COMPUTED_VALUE"""),"FINAL")</f>
        <v>FINAL</v>
      </c>
      <c r="M855" s="124">
        <v>7.0</v>
      </c>
    </row>
    <row r="856">
      <c r="A856" s="151">
        <f>IFERROR(__xludf.DUMMYFUNCTION("""COMPUTED_VALUE"""),43751.147748460644)</f>
        <v>43751.14775</v>
      </c>
      <c r="B856" t="str">
        <f>IFERROR(__xludf.DUMMYFUNCTION("""COMPUTED_VALUE"""),"Nick A.")</f>
        <v>Nick A.</v>
      </c>
      <c r="C856" t="str">
        <f>IFERROR(__xludf.DUMMYFUNCTION("""COMPUTED_VALUE"""),"Michigan State")</f>
        <v>Michigan State</v>
      </c>
      <c r="D856">
        <f>IFERROR(__xludf.DUMMYFUNCTION("""COMPUTED_VALUE"""),4.0)</f>
        <v>4</v>
      </c>
      <c r="E856">
        <f>IFERROR(__xludf.DUMMYFUNCTION("""COMPUTED_VALUE"""),3.0)</f>
        <v>3</v>
      </c>
      <c r="F856" t="str">
        <f>IFERROR(__xludf.DUMMYFUNCTION("""COMPUTED_VALUE"""),"BTN")</f>
        <v>BTN</v>
      </c>
      <c r="G856" t="str">
        <f>IFERROR(__xludf.DUMMYFUNCTION("""COMPUTED_VALUE"""),"Michigan State 0 at (8) Wisconsin 38")</f>
        <v>Michigan State 0 at (8) Wisconsin 38</v>
      </c>
      <c r="H856" t="str">
        <f>IFERROR(__xludf.DUMMYFUNCTION("""COMPUTED_VALUE"""),"FINAL")</f>
        <v>FINAL</v>
      </c>
      <c r="I856">
        <f>IFERROR(__xludf.DUMMYFUNCTION("""COMPUTED_VALUE"""),10.0)</f>
        <v>10</v>
      </c>
      <c r="J856">
        <f>IFERROR(__xludf.DUMMYFUNCTION("""COMPUTED_VALUE"""),41.0)</f>
        <v>41</v>
      </c>
      <c r="K856" t="str">
        <f>IFERROR(__xludf.DUMMYFUNCTION("""COMPUTED_VALUE"""),"Janice/Mike")</f>
        <v>Janice/Mike</v>
      </c>
      <c r="L856" t="str">
        <f>IFERROR(__xludf.DUMMYFUNCTION("""COMPUTED_VALUE"""),"FINAL")</f>
        <v>FINAL</v>
      </c>
      <c r="M856" s="124">
        <v>7.0</v>
      </c>
    </row>
    <row r="857">
      <c r="A857" s="151">
        <f>IFERROR(__xludf.DUMMYFUNCTION("""COMPUTED_VALUE"""),43751.147748460644)</f>
        <v>43751.14775</v>
      </c>
      <c r="B857" t="str">
        <f>IFERROR(__xludf.DUMMYFUNCTION("""COMPUTED_VALUE"""),"Nick A.")</f>
        <v>Nick A.</v>
      </c>
      <c r="C857" t="str">
        <f>IFERROR(__xludf.DUMMYFUNCTION("""COMPUTED_VALUE"""),"Washington State")</f>
        <v>Washington State</v>
      </c>
      <c r="D857">
        <f>IFERROR(__xludf.DUMMYFUNCTION("""COMPUTED_VALUE"""),3.0)</f>
        <v>3</v>
      </c>
      <c r="E857">
        <f>IFERROR(__xludf.DUMMYFUNCTION("""COMPUTED_VALUE"""),3.0)</f>
        <v>3</v>
      </c>
      <c r="F857" t="str">
        <f>IFERROR(__xludf.DUMMYFUNCTION("""COMPUTED_VALUE"""),"Pac-12")</f>
        <v>Pac-12</v>
      </c>
      <c r="G857" t="str">
        <f>IFERROR(__xludf.DUMMYFUNCTION("""COMPUTED_VALUE"""),"Washington State 34 at (24) Arizona State 38")</f>
        <v>Washington State 34 at (24) Arizona State 38</v>
      </c>
      <c r="H857" t="str">
        <f>IFERROR(__xludf.DUMMYFUNCTION("""COMPUTED_VALUE"""),"FINAL")</f>
        <v>FINAL</v>
      </c>
      <c r="I857" t="str">
        <f>IFERROR(__xludf.DUMMYFUNCTION("""COMPUTED_VALUE"""),"2½")</f>
        <v>2½</v>
      </c>
      <c r="J857">
        <f>IFERROR(__xludf.DUMMYFUNCTION("""COMPUTED_VALUE"""),58.0)</f>
        <v>58</v>
      </c>
      <c r="K857" t="str">
        <f>IFERROR(__xludf.DUMMYFUNCTION("""COMPUTED_VALUE"""),"Nico")</f>
        <v>Nico</v>
      </c>
      <c r="L857" t="str">
        <f>IFERROR(__xludf.DUMMYFUNCTION("""COMPUTED_VALUE"""),"FINAL")</f>
        <v>FINAL</v>
      </c>
      <c r="M857" s="124">
        <v>7.0</v>
      </c>
    </row>
    <row r="858">
      <c r="A858" s="151">
        <f>IFERROR(__xludf.DUMMYFUNCTION("""COMPUTED_VALUE"""),43751.147748460644)</f>
        <v>43751.14775</v>
      </c>
      <c r="B858" t="str">
        <f>IFERROR(__xludf.DUMMYFUNCTION("""COMPUTED_VALUE"""),"Nick A.")</f>
        <v>Nick A.</v>
      </c>
      <c r="C858" t="str">
        <f>IFERROR(__xludf.DUMMYFUNCTION("""COMPUTED_VALUE"""),"Iowa State")</f>
        <v>Iowa State</v>
      </c>
      <c r="D858">
        <f>IFERROR(__xludf.DUMMYFUNCTION("""COMPUTED_VALUE"""),4.0)</f>
        <v>4</v>
      </c>
      <c r="E858">
        <f>IFERROR(__xludf.DUMMYFUNCTION("""COMPUTED_VALUE"""),2.0)</f>
        <v>2</v>
      </c>
      <c r="F858" t="str">
        <f>IFERROR(__xludf.DUMMYFUNCTION("""COMPUTED_VALUE"""),"ESPN")</f>
        <v>ESPN</v>
      </c>
      <c r="G858" t="str">
        <f>IFERROR(__xludf.DUMMYFUNCTION("""COMPUTED_VALUE"""),"Iowa State 38 at West Virginia 14")</f>
        <v>Iowa State 38 at West Virginia 14</v>
      </c>
      <c r="H858" t="str">
        <f>IFERROR(__xludf.DUMMYFUNCTION("""COMPUTED_VALUE"""),"FINAL")</f>
        <v>FINAL</v>
      </c>
      <c r="I858" t="str">
        <f>IFERROR(__xludf.DUMMYFUNCTION("""COMPUTED_VALUE"""),"-10½")</f>
        <v>-10½</v>
      </c>
      <c r="J858">
        <f>IFERROR(__xludf.DUMMYFUNCTION("""COMPUTED_VALUE"""),56.0)</f>
        <v>56</v>
      </c>
      <c r="K858" t="str">
        <f>IFERROR(__xludf.DUMMYFUNCTION("""COMPUTED_VALUE"""),"Nico")</f>
        <v>Nico</v>
      </c>
      <c r="L858" t="str">
        <f>IFERROR(__xludf.DUMMYFUNCTION("""COMPUTED_VALUE"""),"FINAL")</f>
        <v>FINAL</v>
      </c>
      <c r="M858" s="124">
        <v>7.0</v>
      </c>
    </row>
    <row r="859">
      <c r="A859" s="151">
        <f>IFERROR(__xludf.DUMMYFUNCTION("""COMPUTED_VALUE"""),43751.147748460644)</f>
        <v>43751.14775</v>
      </c>
      <c r="B859" t="str">
        <f>IFERROR(__xludf.DUMMYFUNCTION("""COMPUTED_VALUE"""),"Nick A.")</f>
        <v>Nick A.</v>
      </c>
      <c r="C859" t="str">
        <f>IFERROR(__xludf.DUMMYFUNCTION("""COMPUTED_VALUE"""),"LSU")</f>
        <v>LSU</v>
      </c>
      <c r="D859">
        <f>IFERROR(__xludf.DUMMYFUNCTION("""COMPUTED_VALUE"""),6.0)</f>
        <v>6</v>
      </c>
      <c r="E859">
        <f>IFERROR(__xludf.DUMMYFUNCTION("""COMPUTED_VALUE"""),0.0)</f>
        <v>0</v>
      </c>
      <c r="F859" t="str">
        <f>IFERROR(__xludf.DUMMYFUNCTION("""COMPUTED_VALUE"""),"ESPN")</f>
        <v>ESPN</v>
      </c>
      <c r="G859" t="str">
        <f>IFERROR(__xludf.DUMMYFUNCTION("""COMPUTED_VALUE"""),"(7) Florida 28 at (6) LSU 42")</f>
        <v>(7) Florida 28 at (6) LSU 42</v>
      </c>
      <c r="H859" t="str">
        <f>IFERROR(__xludf.DUMMYFUNCTION("""COMPUTED_VALUE"""),"FINAL")</f>
        <v>FINAL</v>
      </c>
      <c r="I859" t="str">
        <f>IFERROR(__xludf.DUMMYFUNCTION("""COMPUTED_VALUE"""),"-13½")</f>
        <v>-13½</v>
      </c>
      <c r="J859" t="str">
        <f>IFERROR(__xludf.DUMMYFUNCTION("""COMPUTED_VALUE"""),"55½")</f>
        <v>55½</v>
      </c>
      <c r="K859" t="str">
        <f>IFERROR(__xludf.DUMMYFUNCTION("""COMPUTED_VALUE"""),"Adam")</f>
        <v>Adam</v>
      </c>
      <c r="L859" t="str">
        <f>IFERROR(__xludf.DUMMYFUNCTION("""COMPUTED_VALUE"""),"FINAL")</f>
        <v>FINAL</v>
      </c>
      <c r="M859" s="124">
        <v>7.0</v>
      </c>
    </row>
    <row r="860">
      <c r="A860" s="151">
        <f>IFERROR(__xludf.DUMMYFUNCTION("""COMPUTED_VALUE"""),43751.147748460644)</f>
        <v>43751.14775</v>
      </c>
      <c r="B860" t="str">
        <f>IFERROR(__xludf.DUMMYFUNCTION("""COMPUTED_VALUE"""),"Nick A.")</f>
        <v>Nick A.</v>
      </c>
      <c r="C860" t="str">
        <f>IFERROR(__xludf.DUMMYFUNCTION("""COMPUTED_VALUE"""),"San Diego State")</f>
        <v>San Diego State</v>
      </c>
      <c r="D860">
        <f>IFERROR(__xludf.DUMMYFUNCTION("""COMPUTED_VALUE"""),5.0)</f>
        <v>5</v>
      </c>
      <c r="E860">
        <f>IFERROR(__xludf.DUMMYFUNCTION("""COMPUTED_VALUE"""),1.0)</f>
        <v>1</v>
      </c>
      <c r="F860" t="str">
        <f>IFERROR(__xludf.DUMMYFUNCTION("""COMPUTED_VALUE"""),"CBSSN")</f>
        <v>CBSSN</v>
      </c>
      <c r="G860" t="str">
        <f>IFERROR(__xludf.DUMMYFUNCTION("""COMPUTED_VALUE"""),"Wyoming 22 at San Diego State 26")</f>
        <v>Wyoming 22 at San Diego State 26</v>
      </c>
      <c r="H860" t="str">
        <f>IFERROR(__xludf.DUMMYFUNCTION("""COMPUTED_VALUE"""),"FINAL")</f>
        <v>FINAL</v>
      </c>
      <c r="I860">
        <f>IFERROR(__xludf.DUMMYFUNCTION("""COMPUTED_VALUE"""),-4.0)</f>
        <v>-4</v>
      </c>
      <c r="J860" t="str">
        <f>IFERROR(__xludf.DUMMYFUNCTION("""COMPUTED_VALUE"""),"40½")</f>
        <v>40½</v>
      </c>
      <c r="K860" t="str">
        <f>IFERROR(__xludf.DUMMYFUNCTION("""COMPUTED_VALUE"""),"Nick G.")</f>
        <v>Nick G.</v>
      </c>
      <c r="L860" t="str">
        <f>IFERROR(__xludf.DUMMYFUNCTION("""COMPUTED_VALUE"""),"FINAL")</f>
        <v>FINAL</v>
      </c>
      <c r="M860" s="124">
        <v>7.0</v>
      </c>
    </row>
    <row r="861">
      <c r="A861" s="151">
        <f>IFERROR(__xludf.DUMMYFUNCTION("""COMPUTED_VALUE"""),43751.147748460644)</f>
        <v>43751.14775</v>
      </c>
      <c r="B861" t="str">
        <f>IFERROR(__xludf.DUMMYFUNCTION("""COMPUTED_VALUE"""),"Nick A.")</f>
        <v>Nick A.</v>
      </c>
      <c r="C861" t="str">
        <f>IFERROR(__xludf.DUMMYFUNCTION("""COMPUTED_VALUE"""),"East Carolina")</f>
        <v>East Carolina</v>
      </c>
      <c r="D861">
        <f>IFERROR(__xludf.DUMMYFUNCTION("""COMPUTED_VALUE"""),3.0)</f>
        <v>3</v>
      </c>
      <c r="E861">
        <f>IFERROR(__xludf.DUMMYFUNCTION("""COMPUTED_VALUE"""),3.0)</f>
        <v>3</v>
      </c>
      <c r="F861" t="str">
        <f>IFERROR(__xludf.DUMMYFUNCTION("""COMPUTED_VALUE"""),"NA")</f>
        <v>NA</v>
      </c>
      <c r="G861" t="str">
        <f>IFERROR(__xludf.DUMMYFUNCTION("""COMPUTED_VALUE"""),"BYE")</f>
        <v>BYE</v>
      </c>
      <c r="I861" t="str">
        <f>IFERROR(__xludf.DUMMYFUNCTION("""COMPUTED_VALUE"""),"bye")</f>
        <v>bye</v>
      </c>
      <c r="J861" t="str">
        <f>IFERROR(__xludf.DUMMYFUNCTION("""COMPUTED_VALUE"""),"bye")</f>
        <v>bye</v>
      </c>
      <c r="L861">
        <f>IFERROR(__xludf.DUMMYFUNCTION("""COMPUTED_VALUE"""),9999.0)</f>
        <v>9999</v>
      </c>
      <c r="M861" s="124">
        <v>7.0</v>
      </c>
    </row>
    <row r="862">
      <c r="A862" s="151">
        <f>IFERROR(__xludf.DUMMYFUNCTION("""COMPUTED_VALUE"""),43751.147748460644)</f>
        <v>43751.14775</v>
      </c>
      <c r="B862" t="str">
        <f>IFERROR(__xludf.DUMMYFUNCTION("""COMPUTED_VALUE"""),"Gary")</f>
        <v>Gary</v>
      </c>
      <c r="C862" t="str">
        <f>IFERROR(__xludf.DUMMYFUNCTION("""COMPUTED_VALUE"""),"UL Lafayette")</f>
        <v>UL Lafayette</v>
      </c>
      <c r="D862">
        <f>IFERROR(__xludf.DUMMYFUNCTION("""COMPUTED_VALUE"""),3.0)</f>
        <v>3</v>
      </c>
      <c r="E862">
        <f>IFERROR(__xludf.DUMMYFUNCTION("""COMPUTED_VALUE"""),1.0)</f>
        <v>1</v>
      </c>
      <c r="F862" t="str">
        <f>IFERROR(__xludf.DUMMYFUNCTION("""COMPUTED_VALUE"""),"NA")</f>
        <v>NA</v>
      </c>
      <c r="G862" t="str">
        <f>IFERROR(__xludf.DUMMYFUNCTION("""COMPUTED_VALUE"""),"Appalachian State 17 at UL Lafayette 7")</f>
        <v>Appalachian State 17 at UL Lafayette 7</v>
      </c>
      <c r="H862" t="str">
        <f>IFERROR(__xludf.DUMMYFUNCTION("""COMPUTED_VALUE"""),"FINAL")</f>
        <v>FINAL</v>
      </c>
      <c r="I862" t="str">
        <f>IFERROR(__xludf.DUMMYFUNCTION("""COMPUTED_VALUE"""),"-1½")</f>
        <v>-1½</v>
      </c>
      <c r="J862" t="str">
        <f>IFERROR(__xludf.DUMMYFUNCTION("""COMPUTED_VALUE"""),"68½")</f>
        <v>68½</v>
      </c>
      <c r="K862" t="str">
        <f>IFERROR(__xludf.DUMMYFUNCTION("""COMPUTED_VALUE"""),"Justin")</f>
        <v>Justin</v>
      </c>
      <c r="L862" t="str">
        <f>IFERROR(__xludf.DUMMYFUNCTION("""COMPUTED_VALUE"""),"FINAL")</f>
        <v>FINAL</v>
      </c>
      <c r="M862" s="124">
        <v>7.0</v>
      </c>
    </row>
    <row r="863">
      <c r="A863" s="151">
        <f>IFERROR(__xludf.DUMMYFUNCTION("""COMPUTED_VALUE"""),43751.147748460644)</f>
        <v>43751.14775</v>
      </c>
      <c r="B863" t="str">
        <f>IFERROR(__xludf.DUMMYFUNCTION("""COMPUTED_VALUE"""),"Gary")</f>
        <v>Gary</v>
      </c>
      <c r="C863" t="str">
        <f>IFERROR(__xludf.DUMMYFUNCTION("""COMPUTED_VALUE"""),"Maryland")</f>
        <v>Maryland</v>
      </c>
      <c r="D863">
        <f>IFERROR(__xludf.DUMMYFUNCTION("""COMPUTED_VALUE"""),3.0)</f>
        <v>3</v>
      </c>
      <c r="E863">
        <f>IFERROR(__xludf.DUMMYFUNCTION("""COMPUTED_VALUE"""),3.0)</f>
        <v>3</v>
      </c>
      <c r="F863" t="str">
        <f>IFERROR(__xludf.DUMMYFUNCTION("""COMPUTED_VALUE"""),"BTN")</f>
        <v>BTN</v>
      </c>
      <c r="G863" t="str">
        <f>IFERROR(__xludf.DUMMYFUNCTION("""COMPUTED_VALUE"""),"Maryland 14 at Purdue 40")</f>
        <v>Maryland 14 at Purdue 40</v>
      </c>
      <c r="H863" t="str">
        <f>IFERROR(__xludf.DUMMYFUNCTION("""COMPUTED_VALUE"""),"FINAL")</f>
        <v>FINAL</v>
      </c>
      <c r="I863" t="str">
        <f>IFERROR(__xludf.DUMMYFUNCTION("""COMPUTED_VALUE"""),"-4½")</f>
        <v>-4½</v>
      </c>
      <c r="J863">
        <f>IFERROR(__xludf.DUMMYFUNCTION("""COMPUTED_VALUE"""),57.0)</f>
        <v>57</v>
      </c>
      <c r="K863" t="str">
        <f>IFERROR(__xludf.DUMMYFUNCTION("""COMPUTED_VALUE"""),"Nico")</f>
        <v>Nico</v>
      </c>
      <c r="L863" t="str">
        <f>IFERROR(__xludf.DUMMYFUNCTION("""COMPUTED_VALUE"""),"FINAL")</f>
        <v>FINAL</v>
      </c>
      <c r="M863" s="124">
        <v>7.0</v>
      </c>
    </row>
    <row r="864">
      <c r="A864" s="151">
        <f>IFERROR(__xludf.DUMMYFUNCTION("""COMPUTED_VALUE"""),43751.147748460644)</f>
        <v>43751.14775</v>
      </c>
      <c r="B864" t="str">
        <f>IFERROR(__xludf.DUMMYFUNCTION("""COMPUTED_VALUE"""),"Gary")</f>
        <v>Gary</v>
      </c>
      <c r="C864" t="str">
        <f>IFERROR(__xludf.DUMMYFUNCTION("""COMPUTED_VALUE"""),"Marshall")</f>
        <v>Marshall</v>
      </c>
      <c r="D864">
        <f>IFERROR(__xludf.DUMMYFUNCTION("""COMPUTED_VALUE"""),3.0)</f>
        <v>3</v>
      </c>
      <c r="E864">
        <f>IFERROR(__xludf.DUMMYFUNCTION("""COMPUTED_VALUE"""),3.0)</f>
        <v>3</v>
      </c>
      <c r="F864" t="str">
        <f>IFERROR(__xludf.DUMMYFUNCTION("""COMPUTED_VALUE"""),"Stadium Video")</f>
        <v>Stadium Video</v>
      </c>
      <c r="G864" t="str">
        <f>IFERROR(__xludf.DUMMYFUNCTION("""COMPUTED_VALUE"""),"Old Dominion 17 at Marshall 31")</f>
        <v>Old Dominion 17 at Marshall 31</v>
      </c>
      <c r="H864" t="str">
        <f>IFERROR(__xludf.DUMMYFUNCTION("""COMPUTED_VALUE"""),"FINAL")</f>
        <v>FINAL</v>
      </c>
      <c r="I864">
        <f>IFERROR(__xludf.DUMMYFUNCTION("""COMPUTED_VALUE"""),-15.0)</f>
        <v>-15</v>
      </c>
      <c r="J864">
        <f>IFERROR(__xludf.DUMMYFUNCTION("""COMPUTED_VALUE"""),45.0)</f>
        <v>45</v>
      </c>
      <c r="K864" t="str">
        <f>IFERROR(__xludf.DUMMYFUNCTION("""COMPUTED_VALUE"""),"Nick A.")</f>
        <v>Nick A.</v>
      </c>
      <c r="L864" t="str">
        <f>IFERROR(__xludf.DUMMYFUNCTION("""COMPUTED_VALUE"""),"FINAL")</f>
        <v>FINAL</v>
      </c>
      <c r="M864" s="124">
        <v>7.0</v>
      </c>
    </row>
    <row r="865">
      <c r="A865" s="151">
        <f>IFERROR(__xludf.DUMMYFUNCTION("""COMPUTED_VALUE"""),43751.147748460644)</f>
        <v>43751.14775</v>
      </c>
      <c r="B865" t="str">
        <f>IFERROR(__xludf.DUMMYFUNCTION("""COMPUTED_VALUE"""),"Gary")</f>
        <v>Gary</v>
      </c>
      <c r="C865" t="str">
        <f>IFERROR(__xludf.DUMMYFUNCTION("""COMPUTED_VALUE"""),"BYU")</f>
        <v>BYU</v>
      </c>
      <c r="D865">
        <f>IFERROR(__xludf.DUMMYFUNCTION("""COMPUTED_VALUE"""),2.0)</f>
        <v>2</v>
      </c>
      <c r="E865">
        <f>IFERROR(__xludf.DUMMYFUNCTION("""COMPUTED_VALUE"""),4.0)</f>
        <v>4</v>
      </c>
      <c r="F865" t="str">
        <f>IFERROR(__xludf.DUMMYFUNCTION("""COMPUTED_VALUE"""),"CBSSN")</f>
        <v>CBSSN</v>
      </c>
      <c r="G865" t="str">
        <f>IFERROR(__xludf.DUMMYFUNCTION("""COMPUTED_VALUE"""),"BYU 23 at South Florida 27")</f>
        <v>BYU 23 at South Florida 27</v>
      </c>
      <c r="H865" t="str">
        <f>IFERROR(__xludf.DUMMYFUNCTION("""COMPUTED_VALUE"""),"FINAL")</f>
        <v>FINAL</v>
      </c>
      <c r="I865" t="str">
        <f>IFERROR(__xludf.DUMMYFUNCTION("""COMPUTED_VALUE"""),"-5½")</f>
        <v>-5½</v>
      </c>
      <c r="J865">
        <f>IFERROR(__xludf.DUMMYFUNCTION("""COMPUTED_VALUE"""),51.0)</f>
        <v>51</v>
      </c>
      <c r="K865" t="str">
        <f>IFERROR(__xludf.DUMMYFUNCTION("""COMPUTED_VALUE"""),"Justin")</f>
        <v>Justin</v>
      </c>
      <c r="L865" t="str">
        <f>IFERROR(__xludf.DUMMYFUNCTION("""COMPUTED_VALUE"""),"FINAL")</f>
        <v>FINAL</v>
      </c>
      <c r="M865" s="124">
        <v>7.0</v>
      </c>
    </row>
    <row r="866">
      <c r="A866" s="151">
        <f>IFERROR(__xludf.DUMMYFUNCTION("""COMPUTED_VALUE"""),43751.147748460644)</f>
        <v>43751.14775</v>
      </c>
      <c r="B866" t="str">
        <f>IFERROR(__xludf.DUMMYFUNCTION("""COMPUTED_VALUE"""),"Gary")</f>
        <v>Gary</v>
      </c>
      <c r="C866" t="str">
        <f>IFERROR(__xludf.DUMMYFUNCTION("""COMPUTED_VALUE"""),"Ohio")</f>
        <v>Ohio</v>
      </c>
      <c r="D866">
        <f>IFERROR(__xludf.DUMMYFUNCTION("""COMPUTED_VALUE"""),2.0)</f>
        <v>2</v>
      </c>
      <c r="E866">
        <f>IFERROR(__xludf.DUMMYFUNCTION("""COMPUTED_VALUE"""),4.0)</f>
        <v>4</v>
      </c>
      <c r="F866" t="str">
        <f>IFERROR(__xludf.DUMMYFUNCTION("""COMPUTED_VALUE"""),"espn+ Video")</f>
        <v>espn+ Video</v>
      </c>
      <c r="G866" t="str">
        <f>IFERROR(__xludf.DUMMYFUNCTION("""COMPUTED_VALUE"""),"Northern Illinois 39 at Ohio 36")</f>
        <v>Northern Illinois 39 at Ohio 36</v>
      </c>
      <c r="H866" t="str">
        <f>IFERROR(__xludf.DUMMYFUNCTION("""COMPUTED_VALUE"""),"FINAL")</f>
        <v>FINAL</v>
      </c>
      <c r="I866" t="str">
        <f>IFERROR(__xludf.DUMMYFUNCTION("""COMPUTED_VALUE"""),"-6½")</f>
        <v>-6½</v>
      </c>
      <c r="J866" t="str">
        <f>IFERROR(__xludf.DUMMYFUNCTION("""COMPUTED_VALUE"""),"49½")</f>
        <v>49½</v>
      </c>
      <c r="K866" t="str">
        <f>IFERROR(__xludf.DUMMYFUNCTION("""COMPUTED_VALUE"""),"Janice/Mike")</f>
        <v>Janice/Mike</v>
      </c>
      <c r="L866" t="str">
        <f>IFERROR(__xludf.DUMMYFUNCTION("""COMPUTED_VALUE"""),"FINAL")</f>
        <v>FINAL</v>
      </c>
      <c r="M866" s="124">
        <v>7.0</v>
      </c>
    </row>
    <row r="867">
      <c r="A867" s="151">
        <f>IFERROR(__xludf.DUMMYFUNCTION("""COMPUTED_VALUE"""),43751.147748460644)</f>
        <v>43751.14775</v>
      </c>
      <c r="B867" t="str">
        <f>IFERROR(__xludf.DUMMYFUNCTION("""COMPUTED_VALUE"""),"Gary")</f>
        <v>Gary</v>
      </c>
      <c r="C867" t="str">
        <f>IFERROR(__xludf.DUMMYFUNCTION("""COMPUTED_VALUE"""),"Tulane")</f>
        <v>Tulane</v>
      </c>
      <c r="D867">
        <f>IFERROR(__xludf.DUMMYFUNCTION("""COMPUTED_VALUE"""),5.0)</f>
        <v>5</v>
      </c>
      <c r="E867">
        <f>IFERROR(__xludf.DUMMYFUNCTION("""COMPUTED_VALUE"""),1.0)</f>
        <v>1</v>
      </c>
      <c r="F867" t="str">
        <f>IFERROR(__xludf.DUMMYFUNCTION("""COMPUTED_VALUE"""),"ESPNU")</f>
        <v>ESPNU</v>
      </c>
      <c r="G867" t="str">
        <f>IFERROR(__xludf.DUMMYFUNCTION("""COMPUTED_VALUE"""),"UConn 7 at Tulane 49")</f>
        <v>UConn 7 at Tulane 49</v>
      </c>
      <c r="H867" t="str">
        <f>IFERROR(__xludf.DUMMYFUNCTION("""COMPUTED_VALUE"""),"FINAL")</f>
        <v>FINAL</v>
      </c>
      <c r="I867" t="str">
        <f>IFERROR(__xludf.DUMMYFUNCTION("""COMPUTED_VALUE"""),"-34½")</f>
        <v>-34½</v>
      </c>
      <c r="J867" t="str">
        <f>IFERROR(__xludf.DUMMYFUNCTION("""COMPUTED_VALUE"""),"59½")</f>
        <v>59½</v>
      </c>
      <c r="K867" t="str">
        <f>IFERROR(__xludf.DUMMYFUNCTION("""COMPUTED_VALUE"""),"Nick G.")</f>
        <v>Nick G.</v>
      </c>
      <c r="L867" t="str">
        <f>IFERROR(__xludf.DUMMYFUNCTION("""COMPUTED_VALUE"""),"FINAL")</f>
        <v>FINAL</v>
      </c>
      <c r="M867" s="124">
        <v>7.0</v>
      </c>
    </row>
    <row r="868">
      <c r="A868" s="151">
        <f>IFERROR(__xludf.DUMMYFUNCTION("""COMPUTED_VALUE"""),43751.147748460644)</f>
        <v>43751.14775</v>
      </c>
      <c r="B868" t="str">
        <f>IFERROR(__xludf.DUMMYFUNCTION("""COMPUTED_VALUE"""),"Gary")</f>
        <v>Gary</v>
      </c>
      <c r="C868" t="str">
        <f>IFERROR(__xludf.DUMMYFUNCTION("""COMPUTED_VALUE"""),"Missouri")</f>
        <v>Missouri</v>
      </c>
      <c r="D868">
        <f>IFERROR(__xludf.DUMMYFUNCTION("""COMPUTED_VALUE"""),5.0)</f>
        <v>5</v>
      </c>
      <c r="E868">
        <f>IFERROR(__xludf.DUMMYFUNCTION("""COMPUTED_VALUE"""),1.0)</f>
        <v>1</v>
      </c>
      <c r="F868" t="str">
        <f>IFERROR(__xludf.DUMMYFUNCTION("""COMPUTED_VALUE"""),"ESPN2")</f>
        <v>ESPN2</v>
      </c>
      <c r="G868" t="str">
        <f>IFERROR(__xludf.DUMMYFUNCTION("""COMPUTED_VALUE"""),"Ole Miss 27 at Missouri 38")</f>
        <v>Ole Miss 27 at Missouri 38</v>
      </c>
      <c r="H868" t="str">
        <f>IFERROR(__xludf.DUMMYFUNCTION("""COMPUTED_VALUE"""),"FINAL")</f>
        <v>FINAL</v>
      </c>
      <c r="I868">
        <f>IFERROR(__xludf.DUMMYFUNCTION("""COMPUTED_VALUE"""),-11.0)</f>
        <v>-11</v>
      </c>
      <c r="J868">
        <f>IFERROR(__xludf.DUMMYFUNCTION("""COMPUTED_VALUE"""),55.0)</f>
        <v>55</v>
      </c>
      <c r="K868" t="str">
        <f>IFERROR(__xludf.DUMMYFUNCTION("""COMPUTED_VALUE"""),"Undrafted")</f>
        <v>Undrafted</v>
      </c>
      <c r="L868" t="str">
        <f>IFERROR(__xludf.DUMMYFUNCTION("""COMPUTED_VALUE"""),"FINAL")</f>
        <v>FINAL</v>
      </c>
      <c r="M868" s="124">
        <v>7.0</v>
      </c>
    </row>
    <row r="869">
      <c r="A869" s="151">
        <f>IFERROR(__xludf.DUMMYFUNCTION("""COMPUTED_VALUE"""),43751.147748460644)</f>
        <v>43751.14775</v>
      </c>
      <c r="B869" t="str">
        <f>IFERROR(__xludf.DUMMYFUNCTION("""COMPUTED_VALUE"""),"Gary")</f>
        <v>Gary</v>
      </c>
      <c r="C869" t="str">
        <f>IFERROR(__xludf.DUMMYFUNCTION("""COMPUTED_VALUE"""),"Utah State")</f>
        <v>Utah State</v>
      </c>
      <c r="D869">
        <f>IFERROR(__xludf.DUMMYFUNCTION("""COMPUTED_VALUE"""),3.0)</f>
        <v>3</v>
      </c>
      <c r="E869">
        <f>IFERROR(__xludf.DUMMYFUNCTION("""COMPUTED_VALUE"""),2.0)</f>
        <v>2</v>
      </c>
      <c r="F869" t="str">
        <f>IFERROR(__xludf.DUMMYFUNCTION("""COMPUTED_VALUE"""),"NA")</f>
        <v>NA</v>
      </c>
      <c r="G869" t="str">
        <f>IFERROR(__xludf.DUMMYFUNCTION("""COMPUTED_VALUE"""),"BYE")</f>
        <v>BYE</v>
      </c>
      <c r="I869" t="str">
        <f>IFERROR(__xludf.DUMMYFUNCTION("""COMPUTED_VALUE"""),"bye")</f>
        <v>bye</v>
      </c>
      <c r="J869" t="str">
        <f>IFERROR(__xludf.DUMMYFUNCTION("""COMPUTED_VALUE"""),"bye")</f>
        <v>bye</v>
      </c>
      <c r="L869">
        <f>IFERROR(__xludf.DUMMYFUNCTION("""COMPUTED_VALUE"""),9999.0)</f>
        <v>9999</v>
      </c>
      <c r="M869" s="124">
        <v>7.0</v>
      </c>
    </row>
    <row r="870">
      <c r="A870" s="151">
        <f>IFERROR(__xludf.DUMMYFUNCTION("""COMPUTED_VALUE"""),43751.147748460644)</f>
        <v>43751.14775</v>
      </c>
      <c r="B870" t="str">
        <f>IFERROR(__xludf.DUMMYFUNCTION("""COMPUTED_VALUE"""),"Gary")</f>
        <v>Gary</v>
      </c>
      <c r="C870" t="str">
        <f>IFERROR(__xludf.DUMMYFUNCTION("""COMPUTED_VALUE"""),"Pittsburgh")</f>
        <v>Pittsburgh</v>
      </c>
      <c r="D870">
        <f>IFERROR(__xludf.DUMMYFUNCTION("""COMPUTED_VALUE"""),4.0)</f>
        <v>4</v>
      </c>
      <c r="E870">
        <f>IFERROR(__xludf.DUMMYFUNCTION("""COMPUTED_VALUE"""),2.0)</f>
        <v>2</v>
      </c>
      <c r="F870" t="str">
        <f>IFERROR(__xludf.DUMMYFUNCTION("""COMPUTED_VALUE"""),"NA")</f>
        <v>NA</v>
      </c>
      <c r="G870" t="str">
        <f>IFERROR(__xludf.DUMMYFUNCTION("""COMPUTED_VALUE"""),"BYE")</f>
        <v>BYE</v>
      </c>
      <c r="I870" t="str">
        <f>IFERROR(__xludf.DUMMYFUNCTION("""COMPUTED_VALUE"""),"bye")</f>
        <v>bye</v>
      </c>
      <c r="J870" t="str">
        <f>IFERROR(__xludf.DUMMYFUNCTION("""COMPUTED_VALUE"""),"bye")</f>
        <v>bye</v>
      </c>
      <c r="L870">
        <f>IFERROR(__xludf.DUMMYFUNCTION("""COMPUTED_VALUE"""),9999.0)</f>
        <v>9999</v>
      </c>
      <c r="M870" s="124">
        <v>7.0</v>
      </c>
    </row>
    <row r="871">
      <c r="A871" s="151">
        <f>IFERROR(__xludf.DUMMYFUNCTION("""COMPUTED_VALUE"""),43751.147748460644)</f>
        <v>43751.14775</v>
      </c>
      <c r="B871" t="str">
        <f>IFERROR(__xludf.DUMMYFUNCTION("""COMPUTED_VALUE"""),"Gary")</f>
        <v>Gary</v>
      </c>
      <c r="C871" t="str">
        <f>IFERROR(__xludf.DUMMYFUNCTION("""COMPUTED_VALUE"""),"UCLA")</f>
        <v>UCLA</v>
      </c>
      <c r="D871">
        <f>IFERROR(__xludf.DUMMYFUNCTION("""COMPUTED_VALUE"""),1.0)</f>
        <v>1</v>
      </c>
      <c r="E871">
        <f>IFERROR(__xludf.DUMMYFUNCTION("""COMPUTED_VALUE"""),5.0)</f>
        <v>5</v>
      </c>
      <c r="F871" t="str">
        <f>IFERROR(__xludf.DUMMYFUNCTION("""COMPUTED_VALUE"""),"NA")</f>
        <v>NA</v>
      </c>
      <c r="G871" t="str">
        <f>IFERROR(__xludf.DUMMYFUNCTION("""COMPUTED_VALUE"""),"BYE")</f>
        <v>BYE</v>
      </c>
      <c r="I871" t="str">
        <f>IFERROR(__xludf.DUMMYFUNCTION("""COMPUTED_VALUE"""),"bye")</f>
        <v>bye</v>
      </c>
      <c r="J871" t="str">
        <f>IFERROR(__xludf.DUMMYFUNCTION("""COMPUTED_VALUE"""),"bye")</f>
        <v>bye</v>
      </c>
      <c r="L871">
        <f>IFERROR(__xludf.DUMMYFUNCTION("""COMPUTED_VALUE"""),9999.0)</f>
        <v>9999</v>
      </c>
      <c r="M871" s="124">
        <v>7.0</v>
      </c>
    </row>
    <row r="872">
      <c r="A872" s="151">
        <f>IFERROR(__xludf.DUMMYFUNCTION("""COMPUTED_VALUE"""),43751.147748460644)</f>
        <v>43751.14775</v>
      </c>
      <c r="B872" t="str">
        <f>IFERROR(__xludf.DUMMYFUNCTION("""COMPUTED_VALUE"""),"Janice/Mike")</f>
        <v>Janice/Mike</v>
      </c>
      <c r="C872" t="str">
        <f>IFERROR(__xludf.DUMMYFUNCTION("""COMPUTED_VALUE"""),"Wisconsin")</f>
        <v>Wisconsin</v>
      </c>
      <c r="D872">
        <f>IFERROR(__xludf.DUMMYFUNCTION("""COMPUTED_VALUE"""),6.0)</f>
        <v>6</v>
      </c>
      <c r="E872">
        <f>IFERROR(__xludf.DUMMYFUNCTION("""COMPUTED_VALUE"""),0.0)</f>
        <v>0</v>
      </c>
      <c r="F872" t="str">
        <f>IFERROR(__xludf.DUMMYFUNCTION("""COMPUTED_VALUE"""),"BTN")</f>
        <v>BTN</v>
      </c>
      <c r="G872" t="str">
        <f>IFERROR(__xludf.DUMMYFUNCTION("""COMPUTED_VALUE"""),"Michigan State 0 at (8) Wisconsin 38")</f>
        <v>Michigan State 0 at (8) Wisconsin 38</v>
      </c>
      <c r="H872" t="str">
        <f>IFERROR(__xludf.DUMMYFUNCTION("""COMPUTED_VALUE"""),"FINAL")</f>
        <v>FINAL</v>
      </c>
      <c r="I872">
        <f>IFERROR(__xludf.DUMMYFUNCTION("""COMPUTED_VALUE"""),-10.0)</f>
        <v>-10</v>
      </c>
      <c r="J872">
        <f>IFERROR(__xludf.DUMMYFUNCTION("""COMPUTED_VALUE"""),41.0)</f>
        <v>41</v>
      </c>
      <c r="K872" t="str">
        <f>IFERROR(__xludf.DUMMYFUNCTION("""COMPUTED_VALUE"""),"Nick A.")</f>
        <v>Nick A.</v>
      </c>
      <c r="L872" t="str">
        <f>IFERROR(__xludf.DUMMYFUNCTION("""COMPUTED_VALUE"""),"FINAL")</f>
        <v>FINAL</v>
      </c>
      <c r="M872" s="124">
        <v>7.0</v>
      </c>
    </row>
    <row r="873">
      <c r="A873" s="151">
        <f>IFERROR(__xludf.DUMMYFUNCTION("""COMPUTED_VALUE"""),43751.147748460644)</f>
        <v>43751.14775</v>
      </c>
      <c r="B873" t="str">
        <f>IFERROR(__xludf.DUMMYFUNCTION("""COMPUTED_VALUE"""),"Janice/Mike")</f>
        <v>Janice/Mike</v>
      </c>
      <c r="C873" t="str">
        <f>IFERROR(__xludf.DUMMYFUNCTION("""COMPUTED_VALUE"""),"Northern Illinois")</f>
        <v>Northern Illinois</v>
      </c>
      <c r="D873">
        <f>IFERROR(__xludf.DUMMYFUNCTION("""COMPUTED_VALUE"""),2.0)</f>
        <v>2</v>
      </c>
      <c r="E873">
        <f>IFERROR(__xludf.DUMMYFUNCTION("""COMPUTED_VALUE"""),4.0)</f>
        <v>4</v>
      </c>
      <c r="F873" t="str">
        <f>IFERROR(__xludf.DUMMYFUNCTION("""COMPUTED_VALUE"""),"espn+ Video")</f>
        <v>espn+ Video</v>
      </c>
      <c r="G873" t="str">
        <f>IFERROR(__xludf.DUMMYFUNCTION("""COMPUTED_VALUE"""),"Northern Illinois 39 at Ohio 36")</f>
        <v>Northern Illinois 39 at Ohio 36</v>
      </c>
      <c r="H873" t="str">
        <f>IFERROR(__xludf.DUMMYFUNCTION("""COMPUTED_VALUE"""),"FINAL")</f>
        <v>FINAL</v>
      </c>
      <c r="I873" t="str">
        <f>IFERROR(__xludf.DUMMYFUNCTION("""COMPUTED_VALUE"""),"6½")</f>
        <v>6½</v>
      </c>
      <c r="J873" t="str">
        <f>IFERROR(__xludf.DUMMYFUNCTION("""COMPUTED_VALUE"""),"49½")</f>
        <v>49½</v>
      </c>
      <c r="K873" t="str">
        <f>IFERROR(__xludf.DUMMYFUNCTION("""COMPUTED_VALUE"""),"Gary")</f>
        <v>Gary</v>
      </c>
      <c r="L873" t="str">
        <f>IFERROR(__xludf.DUMMYFUNCTION("""COMPUTED_VALUE"""),"FINAL")</f>
        <v>FINAL</v>
      </c>
      <c r="M873" s="124">
        <v>7.0</v>
      </c>
    </row>
    <row r="874">
      <c r="A874" s="151">
        <f>IFERROR(__xludf.DUMMYFUNCTION("""COMPUTED_VALUE"""),43751.147748460644)</f>
        <v>43751.14775</v>
      </c>
      <c r="B874" t="str">
        <f>IFERROR(__xludf.DUMMYFUNCTION("""COMPUTED_VALUE"""),"Janice/Mike")</f>
        <v>Janice/Mike</v>
      </c>
      <c r="C874" t="str">
        <f>IFERROR(__xludf.DUMMYFUNCTION("""COMPUTED_VALUE"""),"Texas Tech")</f>
        <v>Texas Tech</v>
      </c>
      <c r="D874">
        <f>IFERROR(__xludf.DUMMYFUNCTION("""COMPUTED_VALUE"""),3.0)</f>
        <v>3</v>
      </c>
      <c r="E874">
        <f>IFERROR(__xludf.DUMMYFUNCTION("""COMPUTED_VALUE"""),3.0)</f>
        <v>3</v>
      </c>
      <c r="F874" t="str">
        <f>IFERROR(__xludf.DUMMYFUNCTION("""COMPUTED_VALUE"""),"FS1")</f>
        <v>FS1</v>
      </c>
      <c r="G874" t="str">
        <f>IFERROR(__xludf.DUMMYFUNCTION("""COMPUTED_VALUE"""),"Texas Tech 30 at (23) Baylor 33")</f>
        <v>Texas Tech 30 at (23) Baylor 33</v>
      </c>
      <c r="H874" t="str">
        <f>IFERROR(__xludf.DUMMYFUNCTION("""COMPUTED_VALUE"""),"FINAL - 2ND OT")</f>
        <v>FINAL - 2ND OT</v>
      </c>
      <c r="I874">
        <f>IFERROR(__xludf.DUMMYFUNCTION("""COMPUTED_VALUE"""),10.0)</f>
        <v>10</v>
      </c>
      <c r="J874">
        <f>IFERROR(__xludf.DUMMYFUNCTION("""COMPUTED_VALUE"""),58.0)</f>
        <v>58</v>
      </c>
      <c r="K874" t="str">
        <f>IFERROR(__xludf.DUMMYFUNCTION("""COMPUTED_VALUE"""),"Justin")</f>
        <v>Justin</v>
      </c>
      <c r="L874" t="str">
        <f>IFERROR(__xludf.DUMMYFUNCTION("""COMPUTED_VALUE"""),"FINAL - 2ND OT")</f>
        <v>FINAL - 2ND OT</v>
      </c>
      <c r="M874" s="124">
        <v>7.0</v>
      </c>
    </row>
    <row r="875">
      <c r="A875" s="151">
        <f>IFERROR(__xludf.DUMMYFUNCTION("""COMPUTED_VALUE"""),43751.147748460644)</f>
        <v>43751.14775</v>
      </c>
      <c r="B875" t="str">
        <f>IFERROR(__xludf.DUMMYFUNCTION("""COMPUTED_VALUE"""),"Janice/Mike")</f>
        <v>Janice/Mike</v>
      </c>
      <c r="C875" t="str">
        <f>IFERROR(__xludf.DUMMYFUNCTION("""COMPUTED_VALUE"""),"Charlotte")</f>
        <v>Charlotte</v>
      </c>
      <c r="D875">
        <f>IFERROR(__xludf.DUMMYFUNCTION("""COMPUTED_VALUE"""),2.0)</f>
        <v>2</v>
      </c>
      <c r="E875">
        <f>IFERROR(__xludf.DUMMYFUNCTION("""COMPUTED_VALUE"""),4.0)</f>
        <v>4</v>
      </c>
      <c r="F875" t="str">
        <f>IFERROR(__xludf.DUMMYFUNCTION("""COMPUTED_VALUE"""),"espn+ Video")</f>
        <v>espn+ Video</v>
      </c>
      <c r="G875" t="str">
        <f>IFERROR(__xludf.DUMMYFUNCTION("""COMPUTED_VALUE"""),"Charlotte 23 at Florida Intl 48")</f>
        <v>Charlotte 23 at Florida Intl 48</v>
      </c>
      <c r="H875" t="str">
        <f>IFERROR(__xludf.DUMMYFUNCTION("""COMPUTED_VALUE"""),"FINAL")</f>
        <v>FINAL</v>
      </c>
      <c r="I875" t="str">
        <f>IFERROR(__xludf.DUMMYFUNCTION("""COMPUTED_VALUE"""),"5½")</f>
        <v>5½</v>
      </c>
      <c r="J875" t="str">
        <f>IFERROR(__xludf.DUMMYFUNCTION("""COMPUTED_VALUE"""),"63½")</f>
        <v>63½</v>
      </c>
      <c r="K875" t="str">
        <f>IFERROR(__xludf.DUMMYFUNCTION("""COMPUTED_VALUE"""),"Adam")</f>
        <v>Adam</v>
      </c>
      <c r="L875" t="str">
        <f>IFERROR(__xludf.DUMMYFUNCTION("""COMPUTED_VALUE"""),"FINAL")</f>
        <v>FINAL</v>
      </c>
      <c r="M875" s="124">
        <v>7.0</v>
      </c>
    </row>
    <row r="876">
      <c r="A876" s="151">
        <f>IFERROR(__xludf.DUMMYFUNCTION("""COMPUTED_VALUE"""),43751.147748460644)</f>
        <v>43751.14775</v>
      </c>
      <c r="B876" t="str">
        <f>IFERROR(__xludf.DUMMYFUNCTION("""COMPUTED_VALUE"""),"Janice/Mike")</f>
        <v>Janice/Mike</v>
      </c>
      <c r="C876" t="str">
        <f>IFERROR(__xludf.DUMMYFUNCTION("""COMPUTED_VALUE"""),"Arkansas")</f>
        <v>Arkansas</v>
      </c>
      <c r="D876">
        <f>IFERROR(__xludf.DUMMYFUNCTION("""COMPUTED_VALUE"""),2.0)</f>
        <v>2</v>
      </c>
      <c r="E876">
        <f>IFERROR(__xludf.DUMMYFUNCTION("""COMPUTED_VALUE"""),4.0)</f>
        <v>4</v>
      </c>
      <c r="F876" t="str">
        <f>IFERROR(__xludf.DUMMYFUNCTION("""COMPUTED_VALUE"""),"SEC Network")</f>
        <v>SEC Network</v>
      </c>
      <c r="G876" t="str">
        <f>IFERROR(__xludf.DUMMYFUNCTION("""COMPUTED_VALUE"""),"Arkansas 20 at Kentucky 24")</f>
        <v>Arkansas 20 at Kentucky 24</v>
      </c>
      <c r="H876" t="str">
        <f>IFERROR(__xludf.DUMMYFUNCTION("""COMPUTED_VALUE"""),"FINAL")</f>
        <v>FINAL</v>
      </c>
      <c r="I876" t="str">
        <f>IFERROR(__xludf.DUMMYFUNCTION("""COMPUTED_VALUE"""),"6½")</f>
        <v>6½</v>
      </c>
      <c r="J876" t="str">
        <f>IFERROR(__xludf.DUMMYFUNCTION("""COMPUTED_VALUE"""),"53½")</f>
        <v>53½</v>
      </c>
      <c r="K876" t="str">
        <f>IFERROR(__xludf.DUMMYFUNCTION("""COMPUTED_VALUE"""),"Josh R.")</f>
        <v>Josh R.</v>
      </c>
      <c r="L876" t="str">
        <f>IFERROR(__xludf.DUMMYFUNCTION("""COMPUTED_VALUE"""),"FINAL")</f>
        <v>FINAL</v>
      </c>
      <c r="M876" s="124">
        <v>7.0</v>
      </c>
    </row>
    <row r="877">
      <c r="A877" s="151">
        <f>IFERROR(__xludf.DUMMYFUNCTION("""COMPUTED_VALUE"""),43751.147748460644)</f>
        <v>43751.14775</v>
      </c>
      <c r="B877" t="str">
        <f>IFERROR(__xludf.DUMMYFUNCTION("""COMPUTED_VALUE"""),"Janice/Mike")</f>
        <v>Janice/Mike</v>
      </c>
      <c r="C877" t="str">
        <f>IFERROR(__xludf.DUMMYFUNCTION("""COMPUTED_VALUE"""),"Navy")</f>
        <v>Navy</v>
      </c>
      <c r="D877">
        <f>IFERROR(__xludf.DUMMYFUNCTION("""COMPUTED_VALUE"""),4.0)</f>
        <v>4</v>
      </c>
      <c r="E877">
        <f>IFERROR(__xludf.DUMMYFUNCTION("""COMPUTED_VALUE"""),1.0)</f>
        <v>1</v>
      </c>
      <c r="F877" t="str">
        <f>IFERROR(__xludf.DUMMYFUNCTION("""COMPUTED_VALUE"""),"ESPNU")</f>
        <v>ESPNU</v>
      </c>
      <c r="G877" t="str">
        <f>IFERROR(__xludf.DUMMYFUNCTION("""COMPUTED_VALUE"""),"Navy 45 at Tulsa 17")</f>
        <v>Navy 45 at Tulsa 17</v>
      </c>
      <c r="H877" t="str">
        <f>IFERROR(__xludf.DUMMYFUNCTION("""COMPUTED_VALUE"""),"FINAL")</f>
        <v>FINAL</v>
      </c>
      <c r="I877">
        <f>IFERROR(__xludf.DUMMYFUNCTION("""COMPUTED_VALUE"""),1.0)</f>
        <v>1</v>
      </c>
      <c r="J877" t="str">
        <f>IFERROR(__xludf.DUMMYFUNCTION("""COMPUTED_VALUE"""),"53½")</f>
        <v>53½</v>
      </c>
      <c r="K877" t="str">
        <f>IFERROR(__xludf.DUMMYFUNCTION("""COMPUTED_VALUE"""),"DavEmily")</f>
        <v>DavEmily</v>
      </c>
      <c r="L877" t="str">
        <f>IFERROR(__xludf.DUMMYFUNCTION("""COMPUTED_VALUE"""),"FINAL")</f>
        <v>FINAL</v>
      </c>
      <c r="M877" s="124">
        <v>7.0</v>
      </c>
    </row>
    <row r="878">
      <c r="A878" s="151">
        <f>IFERROR(__xludf.DUMMYFUNCTION("""COMPUTED_VALUE"""),43751.147748460644)</f>
        <v>43751.14775</v>
      </c>
      <c r="B878" t="str">
        <f>IFERROR(__xludf.DUMMYFUNCTION("""COMPUTED_VALUE"""),"Janice/Mike")</f>
        <v>Janice/Mike</v>
      </c>
      <c r="C878" t="str">
        <f>IFERROR(__xludf.DUMMYFUNCTION("""COMPUTED_VALUE"""),"Boise State")</f>
        <v>Boise State</v>
      </c>
      <c r="D878">
        <f>IFERROR(__xludf.DUMMYFUNCTION("""COMPUTED_VALUE"""),6.0)</f>
        <v>6</v>
      </c>
      <c r="E878">
        <f>IFERROR(__xludf.DUMMYFUNCTION("""COMPUTED_VALUE"""),0.0)</f>
        <v>0</v>
      </c>
      <c r="F878" t="str">
        <f>IFERROR(__xludf.DUMMYFUNCTION("""COMPUTED_VALUE"""),"ESPN2")</f>
        <v>ESPN2</v>
      </c>
      <c r="G878" t="str">
        <f>IFERROR(__xludf.DUMMYFUNCTION("""COMPUTED_VALUE"""),"Hawaii 37 at (14) Boise State 59")</f>
        <v>Hawaii 37 at (14) Boise State 59</v>
      </c>
      <c r="H878" t="str">
        <f>IFERROR(__xludf.DUMMYFUNCTION("""COMPUTED_VALUE"""),"FINAL")</f>
        <v>FINAL</v>
      </c>
      <c r="I878">
        <f>IFERROR(__xludf.DUMMYFUNCTION("""COMPUTED_VALUE"""),-12.0)</f>
        <v>-12</v>
      </c>
      <c r="J878" t="str">
        <f>IFERROR(__xludf.DUMMYFUNCTION("""COMPUTED_VALUE"""),"60½")</f>
        <v>60½</v>
      </c>
      <c r="K878" t="str">
        <f>IFERROR(__xludf.DUMMYFUNCTION("""COMPUTED_VALUE"""),"Vu")</f>
        <v>Vu</v>
      </c>
      <c r="L878" t="str">
        <f>IFERROR(__xludf.DUMMYFUNCTION("""COMPUTED_VALUE"""),"FINAL")</f>
        <v>FINAL</v>
      </c>
      <c r="M878" s="124">
        <v>7.0</v>
      </c>
    </row>
    <row r="879">
      <c r="A879" s="151">
        <f>IFERROR(__xludf.DUMMYFUNCTION("""COMPUTED_VALUE"""),43751.147748460644)</f>
        <v>43751.14775</v>
      </c>
      <c r="B879" t="str">
        <f>IFERROR(__xludf.DUMMYFUNCTION("""COMPUTED_VALUE"""),"Janice/Mike")</f>
        <v>Janice/Mike</v>
      </c>
      <c r="C879" t="str">
        <f>IFERROR(__xludf.DUMMYFUNCTION("""COMPUTED_VALUE"""),"Arizona")</f>
        <v>Arizona</v>
      </c>
      <c r="D879">
        <f>IFERROR(__xludf.DUMMYFUNCTION("""COMPUTED_VALUE"""),4.0)</f>
        <v>4</v>
      </c>
      <c r="E879">
        <f>IFERROR(__xludf.DUMMYFUNCTION("""COMPUTED_VALUE"""),2.0)</f>
        <v>2</v>
      </c>
      <c r="F879" t="str">
        <f>IFERROR(__xludf.DUMMYFUNCTION("""COMPUTED_VALUE"""),"FS1")</f>
        <v>FS1</v>
      </c>
      <c r="G879" t="str">
        <f>IFERROR(__xludf.DUMMYFUNCTION("""COMPUTED_VALUE"""),"Washington 51 at Arizona 27")</f>
        <v>Washington 51 at Arizona 27</v>
      </c>
      <c r="H879" t="str">
        <f>IFERROR(__xludf.DUMMYFUNCTION("""COMPUTED_VALUE"""),"FINAL")</f>
        <v>FINAL</v>
      </c>
      <c r="I879" t="str">
        <f>IFERROR(__xludf.DUMMYFUNCTION("""COMPUTED_VALUE"""),"6½")</f>
        <v>6½</v>
      </c>
      <c r="J879">
        <f>IFERROR(__xludf.DUMMYFUNCTION("""COMPUTED_VALUE"""),59.0)</f>
        <v>59</v>
      </c>
      <c r="K879" t="str">
        <f>IFERROR(__xludf.DUMMYFUNCTION("""COMPUTED_VALUE"""),"Vu")</f>
        <v>Vu</v>
      </c>
      <c r="L879" t="str">
        <f>IFERROR(__xludf.DUMMYFUNCTION("""COMPUTED_VALUE"""),"FINAL")</f>
        <v>FINAL</v>
      </c>
      <c r="M879" s="124">
        <v>7.0</v>
      </c>
    </row>
    <row r="880">
      <c r="A880" s="151">
        <f>IFERROR(__xludf.DUMMYFUNCTION("""COMPUTED_VALUE"""),43751.147748460644)</f>
        <v>43751.14775</v>
      </c>
      <c r="B880" t="str">
        <f>IFERROR(__xludf.DUMMYFUNCTION("""COMPUTED_VALUE"""),"Janice/Mike")</f>
        <v>Janice/Mike</v>
      </c>
      <c r="C880" t="str">
        <f>IFERROR(__xludf.DUMMYFUNCTION("""COMPUTED_VALUE"""),"Georgia Southern")</f>
        <v>Georgia Southern</v>
      </c>
      <c r="D880">
        <f>IFERROR(__xludf.DUMMYFUNCTION("""COMPUTED_VALUE"""),2.0)</f>
        <v>2</v>
      </c>
      <c r="E880">
        <f>IFERROR(__xludf.DUMMYFUNCTION("""COMPUTED_VALUE"""),3.0)</f>
        <v>3</v>
      </c>
      <c r="F880" t="str">
        <f>IFERROR(__xludf.DUMMYFUNCTION("""COMPUTED_VALUE"""),"NA")</f>
        <v>NA</v>
      </c>
      <c r="G880" t="str">
        <f>IFERROR(__xludf.DUMMYFUNCTION("""COMPUTED_VALUE"""),"BYE")</f>
        <v>BYE</v>
      </c>
      <c r="I880" t="str">
        <f>IFERROR(__xludf.DUMMYFUNCTION("""COMPUTED_VALUE"""),"bye")</f>
        <v>bye</v>
      </c>
      <c r="J880" t="str">
        <f>IFERROR(__xludf.DUMMYFUNCTION("""COMPUTED_VALUE"""),"bye")</f>
        <v>bye</v>
      </c>
      <c r="L880">
        <f>IFERROR(__xludf.DUMMYFUNCTION("""COMPUTED_VALUE"""),9999.0)</f>
        <v>9999</v>
      </c>
      <c r="M880" s="124">
        <v>7.0</v>
      </c>
    </row>
    <row r="881">
      <c r="A881" s="151">
        <f>IFERROR(__xludf.DUMMYFUNCTION("""COMPUTED_VALUE"""),43751.147748460644)</f>
        <v>43751.14775</v>
      </c>
      <c r="B881" t="str">
        <f>IFERROR(__xludf.DUMMYFUNCTION("""COMPUTED_VALUE"""),"Janice/Mike")</f>
        <v>Janice/Mike</v>
      </c>
      <c r="C881" t="str">
        <f>IFERROR(__xludf.DUMMYFUNCTION("""COMPUTED_VALUE"""),"Boston College")</f>
        <v>Boston College</v>
      </c>
      <c r="D881">
        <f>IFERROR(__xludf.DUMMYFUNCTION("""COMPUTED_VALUE"""),3.0)</f>
        <v>3</v>
      </c>
      <c r="E881">
        <f>IFERROR(__xludf.DUMMYFUNCTION("""COMPUTED_VALUE"""),3.0)</f>
        <v>3</v>
      </c>
      <c r="F881" t="str">
        <f>IFERROR(__xludf.DUMMYFUNCTION("""COMPUTED_VALUE"""),"NA")</f>
        <v>NA</v>
      </c>
      <c r="G881" t="str">
        <f>IFERROR(__xludf.DUMMYFUNCTION("""COMPUTED_VALUE"""),"BYE")</f>
        <v>BYE</v>
      </c>
      <c r="I881" t="str">
        <f>IFERROR(__xludf.DUMMYFUNCTION("""COMPUTED_VALUE"""),"bye")</f>
        <v>bye</v>
      </c>
      <c r="J881" t="str">
        <f>IFERROR(__xludf.DUMMYFUNCTION("""COMPUTED_VALUE"""),"bye")</f>
        <v>bye</v>
      </c>
      <c r="L881">
        <f>IFERROR(__xludf.DUMMYFUNCTION("""COMPUTED_VALUE"""),9999.0)</f>
        <v>9999</v>
      </c>
      <c r="M881" s="124">
        <v>7.0</v>
      </c>
    </row>
    <row r="882">
      <c r="A882" s="151">
        <f>IFERROR(__xludf.DUMMYFUNCTION("""COMPUTED_VALUE"""),43751.147748460644)</f>
        <v>43751.14775</v>
      </c>
      <c r="B882" t="str">
        <f>IFERROR(__xludf.DUMMYFUNCTION("""COMPUTED_VALUE"""),"Nico")</f>
        <v>Nico</v>
      </c>
      <c r="C882" t="str">
        <f>IFERROR(__xludf.DUMMYFUNCTION("""COMPUTED_VALUE"""),"New Mexico")</f>
        <v>New Mexico</v>
      </c>
      <c r="D882">
        <f>IFERROR(__xludf.DUMMYFUNCTION("""COMPUTED_VALUE"""),2.0)</f>
        <v>2</v>
      </c>
      <c r="E882">
        <f>IFERROR(__xludf.DUMMYFUNCTION("""COMPUTED_VALUE"""),4.0)</f>
        <v>4</v>
      </c>
      <c r="F882" t="str">
        <f>IFERROR(__xludf.DUMMYFUNCTION("""COMPUTED_VALUE"""),"CBSSN")</f>
        <v>CBSSN</v>
      </c>
      <c r="G882" t="str">
        <f>IFERROR(__xludf.DUMMYFUNCTION("""COMPUTED_VALUE"""),"Colorado State 35 at New Mexico 21")</f>
        <v>Colorado State 35 at New Mexico 21</v>
      </c>
      <c r="H882" t="str">
        <f>IFERROR(__xludf.DUMMYFUNCTION("""COMPUTED_VALUE"""),"FINAL")</f>
        <v>FINAL</v>
      </c>
      <c r="I882">
        <f>IFERROR(__xludf.DUMMYFUNCTION("""COMPUTED_VALUE"""),4.0)</f>
        <v>4</v>
      </c>
      <c r="J882" t="str">
        <f>IFERROR(__xludf.DUMMYFUNCTION("""COMPUTED_VALUE"""),"66½")</f>
        <v>66½</v>
      </c>
      <c r="K882" t="str">
        <f>IFERROR(__xludf.DUMMYFUNCTION("""COMPUTED_VALUE"""),"Brad")</f>
        <v>Brad</v>
      </c>
      <c r="L882" t="str">
        <f>IFERROR(__xludf.DUMMYFUNCTION("""COMPUTED_VALUE"""),"FINAL")</f>
        <v>FINAL</v>
      </c>
      <c r="M882" s="124">
        <v>7.0</v>
      </c>
    </row>
    <row r="883">
      <c r="A883" s="151">
        <f>IFERROR(__xludf.DUMMYFUNCTION("""COMPUTED_VALUE"""),43751.147748460644)</f>
        <v>43751.14775</v>
      </c>
      <c r="B883" t="str">
        <f>IFERROR(__xludf.DUMMYFUNCTION("""COMPUTED_VALUE"""),"Nico")</f>
        <v>Nico</v>
      </c>
      <c r="C883" t="str">
        <f>IFERROR(__xludf.DUMMYFUNCTION("""COMPUTED_VALUE"""),"Georgia")</f>
        <v>Georgia</v>
      </c>
      <c r="D883">
        <f>IFERROR(__xludf.DUMMYFUNCTION("""COMPUTED_VALUE"""),5.0)</f>
        <v>5</v>
      </c>
      <c r="E883">
        <f>IFERROR(__xludf.DUMMYFUNCTION("""COMPUTED_VALUE"""),1.0)</f>
        <v>1</v>
      </c>
      <c r="F883" t="str">
        <f>IFERROR(__xludf.DUMMYFUNCTION("""COMPUTED_VALUE"""),"ESPN")</f>
        <v>ESPN</v>
      </c>
      <c r="G883" t="str">
        <f>IFERROR(__xludf.DUMMYFUNCTION("""COMPUTED_VALUE"""),"South Carolina 20 at (3) Georgia 17")</f>
        <v>South Carolina 20 at (3) Georgia 17</v>
      </c>
      <c r="H883" t="str">
        <f>IFERROR(__xludf.DUMMYFUNCTION("""COMPUTED_VALUE"""),"FINAL - 2ND OT")</f>
        <v>FINAL - 2ND OT</v>
      </c>
      <c r="I883">
        <f>IFERROR(__xludf.DUMMYFUNCTION("""COMPUTED_VALUE"""),-25.0)</f>
        <v>-25</v>
      </c>
      <c r="J883">
        <f>IFERROR(__xludf.DUMMYFUNCTION("""COMPUTED_VALUE"""),54.0)</f>
        <v>54</v>
      </c>
      <c r="K883" t="str">
        <f>IFERROR(__xludf.DUMMYFUNCTION("""COMPUTED_VALUE"""),"Brad")</f>
        <v>Brad</v>
      </c>
      <c r="L883" t="str">
        <f>IFERROR(__xludf.DUMMYFUNCTION("""COMPUTED_VALUE"""),"FINAL - 2ND OT")</f>
        <v>FINAL - 2ND OT</v>
      </c>
      <c r="M883" s="124">
        <v>7.0</v>
      </c>
    </row>
    <row r="884">
      <c r="A884" s="151">
        <f>IFERROR(__xludf.DUMMYFUNCTION("""COMPUTED_VALUE"""),43751.147748460644)</f>
        <v>43751.14775</v>
      </c>
      <c r="B884" t="str">
        <f>IFERROR(__xludf.DUMMYFUNCTION("""COMPUTED_VALUE"""),"Nico")</f>
        <v>Nico</v>
      </c>
      <c r="C884" t="str">
        <f>IFERROR(__xludf.DUMMYFUNCTION("""COMPUTED_VALUE"""),"Purdue")</f>
        <v>Purdue</v>
      </c>
      <c r="D884">
        <f>IFERROR(__xludf.DUMMYFUNCTION("""COMPUTED_VALUE"""),2.0)</f>
        <v>2</v>
      </c>
      <c r="E884">
        <f>IFERROR(__xludf.DUMMYFUNCTION("""COMPUTED_VALUE"""),4.0)</f>
        <v>4</v>
      </c>
      <c r="F884" t="str">
        <f>IFERROR(__xludf.DUMMYFUNCTION("""COMPUTED_VALUE"""),"BTN")</f>
        <v>BTN</v>
      </c>
      <c r="G884" t="str">
        <f>IFERROR(__xludf.DUMMYFUNCTION("""COMPUTED_VALUE"""),"Maryland 14 at Purdue 40")</f>
        <v>Maryland 14 at Purdue 40</v>
      </c>
      <c r="H884" t="str">
        <f>IFERROR(__xludf.DUMMYFUNCTION("""COMPUTED_VALUE"""),"FINAL")</f>
        <v>FINAL</v>
      </c>
      <c r="I884" t="str">
        <f>IFERROR(__xludf.DUMMYFUNCTION("""COMPUTED_VALUE"""),"4½")</f>
        <v>4½</v>
      </c>
      <c r="J884">
        <f>IFERROR(__xludf.DUMMYFUNCTION("""COMPUTED_VALUE"""),57.0)</f>
        <v>57</v>
      </c>
      <c r="K884" t="str">
        <f>IFERROR(__xludf.DUMMYFUNCTION("""COMPUTED_VALUE"""),"Gary")</f>
        <v>Gary</v>
      </c>
      <c r="L884" t="str">
        <f>IFERROR(__xludf.DUMMYFUNCTION("""COMPUTED_VALUE"""),"FINAL")</f>
        <v>FINAL</v>
      </c>
      <c r="M884" s="124">
        <v>7.0</v>
      </c>
    </row>
    <row r="885">
      <c r="A885" s="151">
        <f>IFERROR(__xludf.DUMMYFUNCTION("""COMPUTED_VALUE"""),43751.147748460644)</f>
        <v>43751.14775</v>
      </c>
      <c r="B885" t="str">
        <f>IFERROR(__xludf.DUMMYFUNCTION("""COMPUTED_VALUE"""),"Nico")</f>
        <v>Nico</v>
      </c>
      <c r="C885" t="str">
        <f>IFERROR(__xludf.DUMMYFUNCTION("""COMPUTED_VALUE"""),"Miami-OH")</f>
        <v>Miami-OH</v>
      </c>
      <c r="D885">
        <f>IFERROR(__xludf.DUMMYFUNCTION("""COMPUTED_VALUE"""),2.0)</f>
        <v>2</v>
      </c>
      <c r="E885">
        <f>IFERROR(__xludf.DUMMYFUNCTION("""COMPUTED_VALUE"""),4.0)</f>
        <v>4</v>
      </c>
      <c r="F885" t="str">
        <f>IFERROR(__xludf.DUMMYFUNCTION("""COMPUTED_VALUE"""),"NA")</f>
        <v>NA</v>
      </c>
      <c r="G885" t="str">
        <f>IFERROR(__xludf.DUMMYFUNCTION("""COMPUTED_VALUE"""),"Miami-OH 16 at Western Michigan 38")</f>
        <v>Miami-OH 16 at Western Michigan 38</v>
      </c>
      <c r="H885" t="str">
        <f>IFERROR(__xludf.DUMMYFUNCTION("""COMPUTED_VALUE"""),"FINAL")</f>
        <v>FINAL</v>
      </c>
      <c r="I885" t="str">
        <f>IFERROR(__xludf.DUMMYFUNCTION("""COMPUTED_VALUE"""),"13½")</f>
        <v>13½</v>
      </c>
      <c r="J885">
        <f>IFERROR(__xludf.DUMMYFUNCTION("""COMPUTED_VALUE"""),58.0)</f>
        <v>58</v>
      </c>
      <c r="K885" t="str">
        <f>IFERROR(__xludf.DUMMYFUNCTION("""COMPUTED_VALUE"""),"Jeannine")</f>
        <v>Jeannine</v>
      </c>
      <c r="L885" t="str">
        <f>IFERROR(__xludf.DUMMYFUNCTION("""COMPUTED_VALUE"""),"FINAL")</f>
        <v>FINAL</v>
      </c>
      <c r="M885" s="124">
        <v>7.0</v>
      </c>
    </row>
    <row r="886">
      <c r="A886" s="151">
        <f>IFERROR(__xludf.DUMMYFUNCTION("""COMPUTED_VALUE"""),43751.147748460644)</f>
        <v>43751.14775</v>
      </c>
      <c r="B886" t="str">
        <f>IFERROR(__xludf.DUMMYFUNCTION("""COMPUTED_VALUE"""),"Nico")</f>
        <v>Nico</v>
      </c>
      <c r="C886" t="str">
        <f>IFERROR(__xludf.DUMMYFUNCTION("""COMPUTED_VALUE"""),"Arizona State")</f>
        <v>Arizona State</v>
      </c>
      <c r="D886">
        <f>IFERROR(__xludf.DUMMYFUNCTION("""COMPUTED_VALUE"""),5.0)</f>
        <v>5</v>
      </c>
      <c r="E886">
        <f>IFERROR(__xludf.DUMMYFUNCTION("""COMPUTED_VALUE"""),1.0)</f>
        <v>1</v>
      </c>
      <c r="F886" t="str">
        <f>IFERROR(__xludf.DUMMYFUNCTION("""COMPUTED_VALUE"""),"Pac-12")</f>
        <v>Pac-12</v>
      </c>
      <c r="G886" t="str">
        <f>IFERROR(__xludf.DUMMYFUNCTION("""COMPUTED_VALUE"""),"Washington State 34 at (24) Arizona State 38")</f>
        <v>Washington State 34 at (24) Arizona State 38</v>
      </c>
      <c r="H886" t="str">
        <f>IFERROR(__xludf.DUMMYFUNCTION("""COMPUTED_VALUE"""),"FINAL")</f>
        <v>FINAL</v>
      </c>
      <c r="I886" t="str">
        <f>IFERROR(__xludf.DUMMYFUNCTION("""COMPUTED_VALUE"""),"-2½")</f>
        <v>-2½</v>
      </c>
      <c r="J886">
        <f>IFERROR(__xludf.DUMMYFUNCTION("""COMPUTED_VALUE"""),58.0)</f>
        <v>58</v>
      </c>
      <c r="K886" t="str">
        <f>IFERROR(__xludf.DUMMYFUNCTION("""COMPUTED_VALUE"""),"Nick A.")</f>
        <v>Nick A.</v>
      </c>
      <c r="L886" t="str">
        <f>IFERROR(__xludf.DUMMYFUNCTION("""COMPUTED_VALUE"""),"FINAL")</f>
        <v>FINAL</v>
      </c>
      <c r="M886" s="124">
        <v>7.0</v>
      </c>
    </row>
    <row r="887">
      <c r="A887" s="151">
        <f>IFERROR(__xludf.DUMMYFUNCTION("""COMPUTED_VALUE"""),43751.147748460644)</f>
        <v>43751.14775</v>
      </c>
      <c r="B887" t="str">
        <f>IFERROR(__xludf.DUMMYFUNCTION("""COMPUTED_VALUE"""),"Nico")</f>
        <v>Nico</v>
      </c>
      <c r="C887" t="str">
        <f>IFERROR(__xludf.DUMMYFUNCTION("""COMPUTED_VALUE"""),"Houston")</f>
        <v>Houston</v>
      </c>
      <c r="D887">
        <f>IFERROR(__xludf.DUMMYFUNCTION("""COMPUTED_VALUE"""),2.0)</f>
        <v>2</v>
      </c>
      <c r="E887">
        <f>IFERROR(__xludf.DUMMYFUNCTION("""COMPUTED_VALUE"""),4.0)</f>
        <v>4</v>
      </c>
      <c r="F887" t="str">
        <f>IFERROR(__xludf.DUMMYFUNCTION("""COMPUTED_VALUE"""),"ESPN2")</f>
        <v>ESPN2</v>
      </c>
      <c r="G887" t="str">
        <f>IFERROR(__xludf.DUMMYFUNCTION("""COMPUTED_VALUE"""),"Cincinnati 38 at Houston 23")</f>
        <v>Cincinnati 38 at Houston 23</v>
      </c>
      <c r="H887" t="str">
        <f>IFERROR(__xludf.DUMMYFUNCTION("""COMPUTED_VALUE"""),"FINAL")</f>
        <v>FINAL</v>
      </c>
      <c r="I887">
        <f>IFERROR(__xludf.DUMMYFUNCTION("""COMPUTED_VALUE"""),7.0)</f>
        <v>7</v>
      </c>
      <c r="J887">
        <f>IFERROR(__xludf.DUMMYFUNCTION("""COMPUTED_VALUE"""),54.0)</f>
        <v>54</v>
      </c>
      <c r="K887" t="str">
        <f>IFERROR(__xludf.DUMMYFUNCTION("""COMPUTED_VALUE"""),"Vu")</f>
        <v>Vu</v>
      </c>
      <c r="L887" t="str">
        <f>IFERROR(__xludf.DUMMYFUNCTION("""COMPUTED_VALUE"""),"FINAL")</f>
        <v>FINAL</v>
      </c>
      <c r="M887" s="124">
        <v>7.0</v>
      </c>
    </row>
    <row r="888">
      <c r="A888" s="151">
        <f>IFERROR(__xludf.DUMMYFUNCTION("""COMPUTED_VALUE"""),43751.147748460644)</f>
        <v>43751.14775</v>
      </c>
      <c r="B888" t="str">
        <f>IFERROR(__xludf.DUMMYFUNCTION("""COMPUTED_VALUE"""),"Nico")</f>
        <v>Nico</v>
      </c>
      <c r="C888" t="str">
        <f>IFERROR(__xludf.DUMMYFUNCTION("""COMPUTED_VALUE"""),"West Virginia")</f>
        <v>West Virginia</v>
      </c>
      <c r="D888">
        <f>IFERROR(__xludf.DUMMYFUNCTION("""COMPUTED_VALUE"""),3.0)</f>
        <v>3</v>
      </c>
      <c r="E888">
        <f>IFERROR(__xludf.DUMMYFUNCTION("""COMPUTED_VALUE"""),3.0)</f>
        <v>3</v>
      </c>
      <c r="F888" t="str">
        <f>IFERROR(__xludf.DUMMYFUNCTION("""COMPUTED_VALUE"""),"ESPN")</f>
        <v>ESPN</v>
      </c>
      <c r="G888" t="str">
        <f>IFERROR(__xludf.DUMMYFUNCTION("""COMPUTED_VALUE"""),"Iowa State 38 at West Virginia 14")</f>
        <v>Iowa State 38 at West Virginia 14</v>
      </c>
      <c r="H888" t="str">
        <f>IFERROR(__xludf.DUMMYFUNCTION("""COMPUTED_VALUE"""),"FINAL")</f>
        <v>FINAL</v>
      </c>
      <c r="I888" t="str">
        <f>IFERROR(__xludf.DUMMYFUNCTION("""COMPUTED_VALUE"""),"10½")</f>
        <v>10½</v>
      </c>
      <c r="J888">
        <f>IFERROR(__xludf.DUMMYFUNCTION("""COMPUTED_VALUE"""),56.0)</f>
        <v>56</v>
      </c>
      <c r="K888" t="str">
        <f>IFERROR(__xludf.DUMMYFUNCTION("""COMPUTED_VALUE"""),"Nick A.")</f>
        <v>Nick A.</v>
      </c>
      <c r="L888" t="str">
        <f>IFERROR(__xludf.DUMMYFUNCTION("""COMPUTED_VALUE"""),"FINAL")</f>
        <v>FINAL</v>
      </c>
      <c r="M888" s="124">
        <v>7.0</v>
      </c>
    </row>
    <row r="889">
      <c r="A889" s="151">
        <f>IFERROR(__xludf.DUMMYFUNCTION("""COMPUTED_VALUE"""),43751.147748460644)</f>
        <v>43751.14775</v>
      </c>
      <c r="B889" t="str">
        <f>IFERROR(__xludf.DUMMYFUNCTION("""COMPUTED_VALUE"""),"Nico")</f>
        <v>Nico</v>
      </c>
      <c r="C889" t="str">
        <f>IFERROR(__xludf.DUMMYFUNCTION("""COMPUTED_VALUE"""),"Middle Tennessee")</f>
        <v>Middle Tennessee</v>
      </c>
      <c r="D889">
        <f>IFERROR(__xludf.DUMMYFUNCTION("""COMPUTED_VALUE"""),2.0)</f>
        <v>2</v>
      </c>
      <c r="E889">
        <f>IFERROR(__xludf.DUMMYFUNCTION("""COMPUTED_VALUE"""),4.0)</f>
        <v>4</v>
      </c>
      <c r="F889" t="str">
        <f>IFERROR(__xludf.DUMMYFUNCTION("""COMPUTED_VALUE"""),"espn+ Video")</f>
        <v>espn+ Video</v>
      </c>
      <c r="G889" t="str">
        <f>IFERROR(__xludf.DUMMYFUNCTION("""COMPUTED_VALUE"""),"Middle Tennessee 13 at Florida Atlantic 28")</f>
        <v>Middle Tennessee 13 at Florida Atlantic 28</v>
      </c>
      <c r="H889" t="str">
        <f>IFERROR(__xludf.DUMMYFUNCTION("""COMPUTED_VALUE"""),"FINAL")</f>
        <v>FINAL</v>
      </c>
      <c r="I889">
        <f>IFERROR(__xludf.DUMMYFUNCTION("""COMPUTED_VALUE"""),11.0)</f>
        <v>11</v>
      </c>
      <c r="J889">
        <f>IFERROR(__xludf.DUMMYFUNCTION("""COMPUTED_VALUE"""),62.0)</f>
        <v>62</v>
      </c>
      <c r="K889" t="str">
        <f>IFERROR(__xludf.DUMMYFUNCTION("""COMPUTED_VALUE"""),"Nick G.")</f>
        <v>Nick G.</v>
      </c>
      <c r="L889" t="str">
        <f>IFERROR(__xludf.DUMMYFUNCTION("""COMPUTED_VALUE"""),"FINAL")</f>
        <v>FINAL</v>
      </c>
      <c r="M889" s="124">
        <v>7.0</v>
      </c>
    </row>
    <row r="890">
      <c r="A890" s="151">
        <f>IFERROR(__xludf.DUMMYFUNCTION("""COMPUTED_VALUE"""),43751.147748460644)</f>
        <v>43751.14775</v>
      </c>
      <c r="B890" t="str">
        <f>IFERROR(__xludf.DUMMYFUNCTION("""COMPUTED_VALUE"""),"Nico")</f>
        <v>Nico</v>
      </c>
      <c r="C890" t="str">
        <f>IFERROR(__xludf.DUMMYFUNCTION("""COMPUTED_VALUE"""),"Arkansas State")</f>
        <v>Arkansas State</v>
      </c>
      <c r="D890">
        <f>IFERROR(__xludf.DUMMYFUNCTION("""COMPUTED_VALUE"""),2.0)</f>
        <v>2</v>
      </c>
      <c r="E890">
        <f>IFERROR(__xludf.DUMMYFUNCTION("""COMPUTED_VALUE"""),2.0)</f>
        <v>2</v>
      </c>
      <c r="F890" t="str">
        <f>IFERROR(__xludf.DUMMYFUNCTION("""COMPUTED_VALUE"""),"NA")</f>
        <v>NA</v>
      </c>
      <c r="G890" t="str">
        <f>IFERROR(__xludf.DUMMYFUNCTION("""COMPUTED_VALUE"""),"BYE")</f>
        <v>BYE</v>
      </c>
      <c r="I890" t="str">
        <f>IFERROR(__xludf.DUMMYFUNCTION("""COMPUTED_VALUE"""),"bye")</f>
        <v>bye</v>
      </c>
      <c r="J890" t="str">
        <f>IFERROR(__xludf.DUMMYFUNCTION("""COMPUTED_VALUE"""),"bye")</f>
        <v>bye</v>
      </c>
      <c r="L890">
        <f>IFERROR(__xludf.DUMMYFUNCTION("""COMPUTED_VALUE"""),9999.0)</f>
        <v>9999</v>
      </c>
      <c r="M890" s="124">
        <v>7.0</v>
      </c>
    </row>
    <row r="891">
      <c r="A891" s="151">
        <f>IFERROR(__xludf.DUMMYFUNCTION("""COMPUTED_VALUE"""),43751.147748460644)</f>
        <v>43751.14775</v>
      </c>
      <c r="B891" t="str">
        <f>IFERROR(__xludf.DUMMYFUNCTION("""COMPUTED_VALUE"""),"Nico")</f>
        <v>Nico</v>
      </c>
      <c r="C891" t="str">
        <f>IFERROR(__xludf.DUMMYFUNCTION("""COMPUTED_VALUE"""),"North Carolina")</f>
        <v>North Carolina</v>
      </c>
      <c r="D891">
        <f>IFERROR(__xludf.DUMMYFUNCTION("""COMPUTED_VALUE"""),3.0)</f>
        <v>3</v>
      </c>
      <c r="E891">
        <f>IFERROR(__xludf.DUMMYFUNCTION("""COMPUTED_VALUE"""),3.0)</f>
        <v>3</v>
      </c>
      <c r="F891" t="str">
        <f>IFERROR(__xludf.DUMMYFUNCTION("""COMPUTED_VALUE"""),"NA")</f>
        <v>NA</v>
      </c>
      <c r="G891" t="str">
        <f>IFERROR(__xludf.DUMMYFUNCTION("""COMPUTED_VALUE"""),"BYE")</f>
        <v>BYE</v>
      </c>
      <c r="I891" t="str">
        <f>IFERROR(__xludf.DUMMYFUNCTION("""COMPUTED_VALUE"""),"bye")</f>
        <v>bye</v>
      </c>
      <c r="J891" t="str">
        <f>IFERROR(__xludf.DUMMYFUNCTION("""COMPUTED_VALUE"""),"bye")</f>
        <v>bye</v>
      </c>
      <c r="L891">
        <f>IFERROR(__xludf.DUMMYFUNCTION("""COMPUTED_VALUE"""),9999.0)</f>
        <v>9999</v>
      </c>
      <c r="M891" s="124">
        <v>7.0</v>
      </c>
    </row>
    <row r="892">
      <c r="A892" s="151">
        <f>IFERROR(__xludf.DUMMYFUNCTION("""COMPUTED_VALUE"""),43751.147748460644)</f>
        <v>43751.14775</v>
      </c>
      <c r="B892" t="str">
        <f>IFERROR(__xludf.DUMMYFUNCTION("""COMPUTED_VALUE"""),"Jeannine")</f>
        <v>Jeannine</v>
      </c>
      <c r="C892" t="str">
        <f>IFERROR(__xludf.DUMMYFUNCTION("""COMPUTED_VALUE"""),"UL Monroe")</f>
        <v>UL Monroe</v>
      </c>
      <c r="D892">
        <f>IFERROR(__xludf.DUMMYFUNCTION("""COMPUTED_VALUE"""),3.0)</f>
        <v>3</v>
      </c>
      <c r="E892">
        <f>IFERROR(__xludf.DUMMYFUNCTION("""COMPUTED_VALUE"""),3.0)</f>
        <v>3</v>
      </c>
      <c r="F892" t="str">
        <f>IFERROR(__xludf.DUMMYFUNCTION("""COMPUTED_VALUE"""),"NA")</f>
        <v>NA</v>
      </c>
      <c r="G892" t="str">
        <f>IFERROR(__xludf.DUMMYFUNCTION("""COMPUTED_VALUE"""),"UL Monroe 24 at Texas State 14")</f>
        <v>UL Monroe 24 at Texas State 14</v>
      </c>
      <c r="H892" t="str">
        <f>IFERROR(__xludf.DUMMYFUNCTION("""COMPUTED_VALUE"""),"FINAL")</f>
        <v>FINAL</v>
      </c>
      <c r="I892">
        <f>IFERROR(__xludf.DUMMYFUNCTION("""COMPUTED_VALUE"""),-3.0)</f>
        <v>-3</v>
      </c>
      <c r="J892" t="str">
        <f>IFERROR(__xludf.DUMMYFUNCTION("""COMPUTED_VALUE"""),"62½")</f>
        <v>62½</v>
      </c>
      <c r="K892" t="str">
        <f>IFERROR(__xludf.DUMMYFUNCTION("""COMPUTED_VALUE"""),"Brad")</f>
        <v>Brad</v>
      </c>
      <c r="L892" t="str">
        <f>IFERROR(__xludf.DUMMYFUNCTION("""COMPUTED_VALUE"""),"FINAL")</f>
        <v>FINAL</v>
      </c>
      <c r="M892" s="124">
        <v>7.0</v>
      </c>
    </row>
    <row r="893">
      <c r="A893" s="151">
        <f>IFERROR(__xludf.DUMMYFUNCTION("""COMPUTED_VALUE"""),43751.147748460644)</f>
        <v>43751.14775</v>
      </c>
      <c r="B893" t="str">
        <f>IFERROR(__xludf.DUMMYFUNCTION("""COMPUTED_VALUE"""),"Jeannine")</f>
        <v>Jeannine</v>
      </c>
      <c r="C893" t="str">
        <f>IFERROR(__xludf.DUMMYFUNCTION("""COMPUTED_VALUE"""),"Virginia")</f>
        <v>Virginia</v>
      </c>
      <c r="D893">
        <f>IFERROR(__xludf.DUMMYFUNCTION("""COMPUTED_VALUE"""),4.0)</f>
        <v>4</v>
      </c>
      <c r="E893">
        <f>IFERROR(__xludf.DUMMYFUNCTION("""COMPUTED_VALUE"""),2.0)</f>
        <v>2</v>
      </c>
      <c r="F893" t="str">
        <f>IFERROR(__xludf.DUMMYFUNCTION("""COMPUTED_VALUE"""),"ESPN")</f>
        <v>ESPN</v>
      </c>
      <c r="G893" t="str">
        <f>IFERROR(__xludf.DUMMYFUNCTION("""COMPUTED_VALUE"""),"(19) Virginia 9 at Miami 17")</f>
        <v>(19) Virginia 9 at Miami 17</v>
      </c>
      <c r="H893" t="str">
        <f>IFERROR(__xludf.DUMMYFUNCTION("""COMPUTED_VALUE"""),"FINAL")</f>
        <v>FINAL</v>
      </c>
      <c r="I893">
        <f>IFERROR(__xludf.DUMMYFUNCTION("""COMPUTED_VALUE"""),1.0)</f>
        <v>1</v>
      </c>
      <c r="J893">
        <f>IFERROR(__xludf.DUMMYFUNCTION("""COMPUTED_VALUE"""),46.0)</f>
        <v>46</v>
      </c>
      <c r="K893" t="str">
        <f>IFERROR(__xludf.DUMMYFUNCTION("""COMPUTED_VALUE"""),"Brad")</f>
        <v>Brad</v>
      </c>
      <c r="L893" t="str">
        <f>IFERROR(__xludf.DUMMYFUNCTION("""COMPUTED_VALUE"""),"FINAL")</f>
        <v>FINAL</v>
      </c>
      <c r="M893" s="124">
        <v>7.0</v>
      </c>
    </row>
    <row r="894">
      <c r="A894" s="151">
        <f>IFERROR(__xludf.DUMMYFUNCTION("""COMPUTED_VALUE"""),43751.147748460644)</f>
        <v>43751.14775</v>
      </c>
      <c r="B894" t="str">
        <f>IFERROR(__xludf.DUMMYFUNCTION("""COMPUTED_VALUE"""),"Jeannine")</f>
        <v>Jeannine</v>
      </c>
      <c r="C894" t="str">
        <f>IFERROR(__xludf.DUMMYFUNCTION("""COMPUTED_VALUE"""),"Colorado")</f>
        <v>Colorado</v>
      </c>
      <c r="D894">
        <f>IFERROR(__xludf.DUMMYFUNCTION("""COMPUTED_VALUE"""),3.0)</f>
        <v>3</v>
      </c>
      <c r="E894">
        <f>IFERROR(__xludf.DUMMYFUNCTION("""COMPUTED_VALUE"""),3.0)</f>
        <v>3</v>
      </c>
      <c r="F894" t="str">
        <f>IFERROR(__xludf.DUMMYFUNCTION("""COMPUTED_VALUE"""),"FS1")</f>
        <v>FS1</v>
      </c>
      <c r="G894" t="str">
        <f>IFERROR(__xludf.DUMMYFUNCTION("""COMPUTED_VALUE"""),"Colorado 3 at (13) Oregon 45")</f>
        <v>Colorado 3 at (13) Oregon 45</v>
      </c>
      <c r="H894" t="str">
        <f>IFERROR(__xludf.DUMMYFUNCTION("""COMPUTED_VALUE"""),"FINAL")</f>
        <v>FINAL</v>
      </c>
      <c r="I894" t="str">
        <f>IFERROR(__xludf.DUMMYFUNCTION("""COMPUTED_VALUE"""),"20½")</f>
        <v>20½</v>
      </c>
      <c r="J894">
        <f>IFERROR(__xludf.DUMMYFUNCTION("""COMPUTED_VALUE"""),57.0)</f>
        <v>57</v>
      </c>
      <c r="K894" t="str">
        <f>IFERROR(__xludf.DUMMYFUNCTION("""COMPUTED_VALUE"""),"Justin")</f>
        <v>Justin</v>
      </c>
      <c r="L894" t="str">
        <f>IFERROR(__xludf.DUMMYFUNCTION("""COMPUTED_VALUE"""),"FINAL")</f>
        <v>FINAL</v>
      </c>
      <c r="M894" s="124">
        <v>7.0</v>
      </c>
    </row>
    <row r="895">
      <c r="A895" s="151">
        <f>IFERROR(__xludf.DUMMYFUNCTION("""COMPUTED_VALUE"""),43751.147748460644)</f>
        <v>43751.14775</v>
      </c>
      <c r="B895" t="str">
        <f>IFERROR(__xludf.DUMMYFUNCTION("""COMPUTED_VALUE"""),"Jeannine")</f>
        <v>Jeannine</v>
      </c>
      <c r="C895" t="str">
        <f>IFERROR(__xludf.DUMMYFUNCTION("""COMPUTED_VALUE"""),"Oklahoma")</f>
        <v>Oklahoma</v>
      </c>
      <c r="D895">
        <f>IFERROR(__xludf.DUMMYFUNCTION("""COMPUTED_VALUE"""),6.0)</f>
        <v>6</v>
      </c>
      <c r="E895">
        <f>IFERROR(__xludf.DUMMYFUNCTION("""COMPUTED_VALUE"""),0.0)</f>
        <v>0</v>
      </c>
      <c r="F895" t="str">
        <f>IFERROR(__xludf.DUMMYFUNCTION("""COMPUTED_VALUE"""),"FOX")</f>
        <v>FOX</v>
      </c>
      <c r="G895" t="str">
        <f>IFERROR(__xludf.DUMMYFUNCTION("""COMPUTED_VALUE"""),"(5) Oklahoma 34 at (11) Texas 27")</f>
        <v>(5) Oklahoma 34 at (11) Texas 27</v>
      </c>
      <c r="H895" t="str">
        <f>IFERROR(__xludf.DUMMYFUNCTION("""COMPUTED_VALUE"""),"FINAL")</f>
        <v>FINAL</v>
      </c>
      <c r="I895">
        <f>IFERROR(__xludf.DUMMYFUNCTION("""COMPUTED_VALUE"""),-11.0)</f>
        <v>-11</v>
      </c>
      <c r="J895" t="str">
        <f>IFERROR(__xludf.DUMMYFUNCTION("""COMPUTED_VALUE"""),"75½")</f>
        <v>75½</v>
      </c>
      <c r="K895" t="str">
        <f>IFERROR(__xludf.DUMMYFUNCTION("""COMPUTED_VALUE"""),"Adam")</f>
        <v>Adam</v>
      </c>
      <c r="L895" t="str">
        <f>IFERROR(__xludf.DUMMYFUNCTION("""COMPUTED_VALUE"""),"FINAL")</f>
        <v>FINAL</v>
      </c>
      <c r="M895" s="124">
        <v>7.0</v>
      </c>
    </row>
    <row r="896">
      <c r="A896" s="151">
        <f>IFERROR(__xludf.DUMMYFUNCTION("""COMPUTED_VALUE"""),43751.147748460644)</f>
        <v>43751.14775</v>
      </c>
      <c r="B896" t="str">
        <f>IFERROR(__xludf.DUMMYFUNCTION("""COMPUTED_VALUE"""),"Jeannine")</f>
        <v>Jeannine</v>
      </c>
      <c r="C896" t="str">
        <f>IFERROR(__xludf.DUMMYFUNCTION("""COMPUTED_VALUE"""),"Mississippi State")</f>
        <v>Mississippi State</v>
      </c>
      <c r="D896">
        <f>IFERROR(__xludf.DUMMYFUNCTION("""COMPUTED_VALUE"""),3.0)</f>
        <v>3</v>
      </c>
      <c r="E896">
        <f>IFERROR(__xludf.DUMMYFUNCTION("""COMPUTED_VALUE"""),3.0)</f>
        <v>3</v>
      </c>
      <c r="F896" t="str">
        <f>IFERROR(__xludf.DUMMYFUNCTION("""COMPUTED_VALUE"""),"SEC Network")</f>
        <v>SEC Network</v>
      </c>
      <c r="G896" t="str">
        <f>IFERROR(__xludf.DUMMYFUNCTION("""COMPUTED_VALUE"""),"Mississippi State 10 at Tennessee 20")</f>
        <v>Mississippi State 10 at Tennessee 20</v>
      </c>
      <c r="H896" t="str">
        <f>IFERROR(__xludf.DUMMYFUNCTION("""COMPUTED_VALUE"""),"FINAL")</f>
        <v>FINAL</v>
      </c>
      <c r="I896" t="str">
        <f>IFERROR(__xludf.DUMMYFUNCTION("""COMPUTED_VALUE"""),"-6½")</f>
        <v>-6½</v>
      </c>
      <c r="J896">
        <f>IFERROR(__xludf.DUMMYFUNCTION("""COMPUTED_VALUE"""),53.0)</f>
        <v>53</v>
      </c>
      <c r="K896" t="str">
        <f>IFERROR(__xludf.DUMMYFUNCTION("""COMPUTED_VALUE"""),"Justin")</f>
        <v>Justin</v>
      </c>
      <c r="L896" t="str">
        <f>IFERROR(__xludf.DUMMYFUNCTION("""COMPUTED_VALUE"""),"FINAL")</f>
        <v>FINAL</v>
      </c>
      <c r="M896" s="124">
        <v>7.0</v>
      </c>
    </row>
    <row r="897">
      <c r="A897" s="151">
        <f>IFERROR(__xludf.DUMMYFUNCTION("""COMPUTED_VALUE"""),43751.147748460644)</f>
        <v>43751.14775</v>
      </c>
      <c r="B897" t="str">
        <f>IFERROR(__xludf.DUMMYFUNCTION("""COMPUTED_VALUE"""),"Jeannine")</f>
        <v>Jeannine</v>
      </c>
      <c r="C897" t="str">
        <f>IFERROR(__xludf.DUMMYFUNCTION("""COMPUTED_VALUE"""),"Western Michigan")</f>
        <v>Western Michigan</v>
      </c>
      <c r="D897">
        <f>IFERROR(__xludf.DUMMYFUNCTION("""COMPUTED_VALUE"""),4.0)</f>
        <v>4</v>
      </c>
      <c r="E897">
        <f>IFERROR(__xludf.DUMMYFUNCTION("""COMPUTED_VALUE"""),3.0)</f>
        <v>3</v>
      </c>
      <c r="F897" t="str">
        <f>IFERROR(__xludf.DUMMYFUNCTION("""COMPUTED_VALUE"""),"ESPNU")</f>
        <v>ESPNU</v>
      </c>
      <c r="G897" t="str">
        <f>IFERROR(__xludf.DUMMYFUNCTION("""COMPUTED_VALUE"""),"Miami-OH 16 at Western Michigan 38")</f>
        <v>Miami-OH 16 at Western Michigan 38</v>
      </c>
      <c r="H897" t="str">
        <f>IFERROR(__xludf.DUMMYFUNCTION("""COMPUTED_VALUE"""),"FINAL")</f>
        <v>FINAL</v>
      </c>
      <c r="I897" t="str">
        <f>IFERROR(__xludf.DUMMYFUNCTION("""COMPUTED_VALUE"""),"-13½")</f>
        <v>-13½</v>
      </c>
      <c r="J897">
        <f>IFERROR(__xludf.DUMMYFUNCTION("""COMPUTED_VALUE"""),58.0)</f>
        <v>58</v>
      </c>
      <c r="K897" t="str">
        <f>IFERROR(__xludf.DUMMYFUNCTION("""COMPUTED_VALUE"""),"Nico")</f>
        <v>Nico</v>
      </c>
      <c r="L897" t="str">
        <f>IFERROR(__xludf.DUMMYFUNCTION("""COMPUTED_VALUE"""),"FINAL")</f>
        <v>FINAL</v>
      </c>
      <c r="M897" s="124">
        <v>7.0</v>
      </c>
    </row>
    <row r="898">
      <c r="A898" s="151">
        <f>IFERROR(__xludf.DUMMYFUNCTION("""COMPUTED_VALUE"""),43751.147748460644)</f>
        <v>43751.14775</v>
      </c>
      <c r="B898" t="str">
        <f>IFERROR(__xludf.DUMMYFUNCTION("""COMPUTED_VALUE"""),"Jeannine")</f>
        <v>Jeannine</v>
      </c>
      <c r="C898" t="str">
        <f>IFERROR(__xludf.DUMMYFUNCTION("""COMPUTED_VALUE"""),"San José State")</f>
        <v>San José State</v>
      </c>
      <c r="D898">
        <f>IFERROR(__xludf.DUMMYFUNCTION("""COMPUTED_VALUE"""),3.0)</f>
        <v>3</v>
      </c>
      <c r="E898">
        <f>IFERROR(__xludf.DUMMYFUNCTION("""COMPUTED_VALUE"""),3.0)</f>
        <v>3</v>
      </c>
      <c r="F898" t="str">
        <f>IFERROR(__xludf.DUMMYFUNCTION("""COMPUTED_VALUE"""),"NA")</f>
        <v>NA</v>
      </c>
      <c r="G898" t="str">
        <f>IFERROR(__xludf.DUMMYFUNCTION("""COMPUTED_VALUE"""),"San José State 38 at Nevada 41")</f>
        <v>San José State 38 at Nevada 41</v>
      </c>
      <c r="H898" t="str">
        <f>IFERROR(__xludf.DUMMYFUNCTION("""COMPUTED_VALUE"""),"FINAL")</f>
        <v>FINAL</v>
      </c>
      <c r="I898" t="str">
        <f>IFERROR(__xludf.DUMMYFUNCTION("""COMPUTED_VALUE"""),"1½")</f>
        <v>1½</v>
      </c>
      <c r="J898">
        <f>IFERROR(__xludf.DUMMYFUNCTION("""COMPUTED_VALUE"""),58.0)</f>
        <v>58</v>
      </c>
      <c r="K898" t="str">
        <f>IFERROR(__xludf.DUMMYFUNCTION("""COMPUTED_VALUE"""),"Josh R.")</f>
        <v>Josh R.</v>
      </c>
      <c r="L898" t="str">
        <f>IFERROR(__xludf.DUMMYFUNCTION("""COMPUTED_VALUE"""),"FINAL")</f>
        <v>FINAL</v>
      </c>
      <c r="M898" s="124">
        <v>7.0</v>
      </c>
    </row>
    <row r="899">
      <c r="A899" s="151">
        <f>IFERROR(__xludf.DUMMYFUNCTION("""COMPUTED_VALUE"""),43751.147748460644)</f>
        <v>43751.14775</v>
      </c>
      <c r="B899" t="str">
        <f>IFERROR(__xludf.DUMMYFUNCTION("""COMPUTED_VALUE"""),"Jeannine")</f>
        <v>Jeannine</v>
      </c>
      <c r="C899" t="str">
        <f>IFERROR(__xludf.DUMMYFUNCTION("""COMPUTED_VALUE"""),"UAB")</f>
        <v>UAB</v>
      </c>
      <c r="D899">
        <f>IFERROR(__xludf.DUMMYFUNCTION("""COMPUTED_VALUE"""),5.0)</f>
        <v>5</v>
      </c>
      <c r="E899">
        <f>IFERROR(__xludf.DUMMYFUNCTION("""COMPUTED_VALUE"""),1.0)</f>
        <v>1</v>
      </c>
      <c r="F899" t="str">
        <f>IFERROR(__xludf.DUMMYFUNCTION("""COMPUTED_VALUE"""),"espn+ Video")</f>
        <v>espn+ Video</v>
      </c>
      <c r="G899" t="str">
        <f>IFERROR(__xludf.DUMMYFUNCTION("""COMPUTED_VALUE"""),"UAB 33 at UTSA 14")</f>
        <v>UAB 33 at UTSA 14</v>
      </c>
      <c r="H899" t="str">
        <f>IFERROR(__xludf.DUMMYFUNCTION("""COMPUTED_VALUE"""),"FINAL")</f>
        <v>FINAL</v>
      </c>
      <c r="I899">
        <f>IFERROR(__xludf.DUMMYFUNCTION("""COMPUTED_VALUE"""),-11.0)</f>
        <v>-11</v>
      </c>
      <c r="J899">
        <f>IFERROR(__xludf.DUMMYFUNCTION("""COMPUTED_VALUE"""),45.0)</f>
        <v>45</v>
      </c>
      <c r="K899" t="str">
        <f>IFERROR(__xludf.DUMMYFUNCTION("""COMPUTED_VALUE"""),"DavEmily")</f>
        <v>DavEmily</v>
      </c>
      <c r="L899" t="str">
        <f>IFERROR(__xludf.DUMMYFUNCTION("""COMPUTED_VALUE"""),"FINAL")</f>
        <v>FINAL</v>
      </c>
      <c r="M899" s="124">
        <v>7.0</v>
      </c>
    </row>
    <row r="900">
      <c r="A900" s="151">
        <f>IFERROR(__xludf.DUMMYFUNCTION("""COMPUTED_VALUE"""),43751.147748460644)</f>
        <v>43751.14775</v>
      </c>
      <c r="B900" t="str">
        <f>IFERROR(__xludf.DUMMYFUNCTION("""COMPUTED_VALUE"""),"Jeannine")</f>
        <v>Jeannine</v>
      </c>
      <c r="C900" t="str">
        <f>IFERROR(__xludf.DUMMYFUNCTION("""COMPUTED_VALUE"""),"Penn State")</f>
        <v>Penn State</v>
      </c>
      <c r="D900">
        <f>IFERROR(__xludf.DUMMYFUNCTION("""COMPUTED_VALUE"""),6.0)</f>
        <v>6</v>
      </c>
      <c r="E900">
        <f>IFERROR(__xludf.DUMMYFUNCTION("""COMPUTED_VALUE"""),0.0)</f>
        <v>0</v>
      </c>
      <c r="F900" t="str">
        <f>IFERROR(__xludf.DUMMYFUNCTION("""COMPUTED_VALUE"""),"ABC")</f>
        <v>ABC</v>
      </c>
      <c r="G900" t="str">
        <f>IFERROR(__xludf.DUMMYFUNCTION("""COMPUTED_VALUE"""),"(9) Penn State 17 at (18) Iowa 12")</f>
        <v>(9) Penn State 17 at (18) Iowa 12</v>
      </c>
      <c r="H900" t="str">
        <f>IFERROR(__xludf.DUMMYFUNCTION("""COMPUTED_VALUE"""),"FINAL")</f>
        <v>FINAL</v>
      </c>
      <c r="I900" t="str">
        <f>IFERROR(__xludf.DUMMYFUNCTION("""COMPUTED_VALUE"""),"-4½")</f>
        <v>-4½</v>
      </c>
      <c r="J900" t="str">
        <f>IFERROR(__xludf.DUMMYFUNCTION("""COMPUTED_VALUE"""),"43½")</f>
        <v>43½</v>
      </c>
      <c r="K900" t="str">
        <f>IFERROR(__xludf.DUMMYFUNCTION("""COMPUTED_VALUE"""),"Justin")</f>
        <v>Justin</v>
      </c>
      <c r="L900" t="str">
        <f>IFERROR(__xludf.DUMMYFUNCTION("""COMPUTED_VALUE"""),"FINAL")</f>
        <v>FINAL</v>
      </c>
      <c r="M900" s="124">
        <v>7.0</v>
      </c>
    </row>
    <row r="901">
      <c r="A901" s="151">
        <f>IFERROR(__xludf.DUMMYFUNCTION("""COMPUTED_VALUE"""),43751.147748460644)</f>
        <v>43751.14775</v>
      </c>
      <c r="B901" t="str">
        <f>IFERROR(__xludf.DUMMYFUNCTION("""COMPUTED_VALUE"""),"Jeannine")</f>
        <v>Jeannine</v>
      </c>
      <c r="C901" t="str">
        <f>IFERROR(__xludf.DUMMYFUNCTION("""COMPUTED_VALUE"""),"SMU")</f>
        <v>SMU</v>
      </c>
      <c r="D901">
        <f>IFERROR(__xludf.DUMMYFUNCTION("""COMPUTED_VALUE"""),6.0)</f>
        <v>6</v>
      </c>
      <c r="E901">
        <f>IFERROR(__xludf.DUMMYFUNCTION("""COMPUTED_VALUE"""),0.0)</f>
        <v>0</v>
      </c>
      <c r="F901" t="str">
        <f>IFERROR(__xludf.DUMMYFUNCTION("""COMPUTED_VALUE"""),"NA")</f>
        <v>NA</v>
      </c>
      <c r="G901" t="str">
        <f>IFERROR(__xludf.DUMMYFUNCTION("""COMPUTED_VALUE"""),"BYE")</f>
        <v>BYE</v>
      </c>
      <c r="I901" t="str">
        <f>IFERROR(__xludf.DUMMYFUNCTION("""COMPUTED_VALUE"""),"bye")</f>
        <v>bye</v>
      </c>
      <c r="J901" t="str">
        <f>IFERROR(__xludf.DUMMYFUNCTION("""COMPUTED_VALUE"""),"bye")</f>
        <v>bye</v>
      </c>
      <c r="L901">
        <f>IFERROR(__xludf.DUMMYFUNCTION("""COMPUTED_VALUE"""),9999.0)</f>
        <v>9999</v>
      </c>
      <c r="M901" s="124">
        <v>7.0</v>
      </c>
    </row>
    <row r="902">
      <c r="A902" s="151">
        <f>IFERROR(__xludf.DUMMYFUNCTION("""COMPUTED_VALUE"""),43751.147748460644)</f>
        <v>43751.14775</v>
      </c>
      <c r="B902" t="str">
        <f>IFERROR(__xludf.DUMMYFUNCTION("""COMPUTED_VALUE"""),"Justin")</f>
        <v>Justin</v>
      </c>
      <c r="C902" t="str">
        <f>IFERROR(__xludf.DUMMYFUNCTION("""COMPUTED_VALUE"""),"Appalachian State")</f>
        <v>Appalachian State</v>
      </c>
      <c r="D902">
        <f>IFERROR(__xludf.DUMMYFUNCTION("""COMPUTED_VALUE"""),5.0)</f>
        <v>5</v>
      </c>
      <c r="E902">
        <f>IFERROR(__xludf.DUMMYFUNCTION("""COMPUTED_VALUE"""),0.0)</f>
        <v>0</v>
      </c>
      <c r="F902" t="str">
        <f>IFERROR(__xludf.DUMMYFUNCTION("""COMPUTED_VALUE"""),"NA")</f>
        <v>NA</v>
      </c>
      <c r="G902" t="str">
        <f>IFERROR(__xludf.DUMMYFUNCTION("""COMPUTED_VALUE"""),"Appalachian State 17 at UL Lafayette 7")</f>
        <v>Appalachian State 17 at UL Lafayette 7</v>
      </c>
      <c r="H902" t="str">
        <f>IFERROR(__xludf.DUMMYFUNCTION("""COMPUTED_VALUE"""),"FINAL")</f>
        <v>FINAL</v>
      </c>
      <c r="I902" t="str">
        <f>IFERROR(__xludf.DUMMYFUNCTION("""COMPUTED_VALUE"""),"1½")</f>
        <v>1½</v>
      </c>
      <c r="J902" t="str">
        <f>IFERROR(__xludf.DUMMYFUNCTION("""COMPUTED_VALUE"""),"68½")</f>
        <v>68½</v>
      </c>
      <c r="K902" t="str">
        <f>IFERROR(__xludf.DUMMYFUNCTION("""COMPUTED_VALUE"""),"Gary")</f>
        <v>Gary</v>
      </c>
      <c r="L902" t="str">
        <f>IFERROR(__xludf.DUMMYFUNCTION("""COMPUTED_VALUE"""),"FINAL")</f>
        <v>FINAL</v>
      </c>
      <c r="M902" s="124">
        <v>7.0</v>
      </c>
    </row>
    <row r="903">
      <c r="A903" s="151">
        <f>IFERROR(__xludf.DUMMYFUNCTION("""COMPUTED_VALUE"""),43751.147748460644)</f>
        <v>43751.14775</v>
      </c>
      <c r="B903" t="str">
        <f>IFERROR(__xludf.DUMMYFUNCTION("""COMPUTED_VALUE"""),"Justin")</f>
        <v>Justin</v>
      </c>
      <c r="C903" t="str">
        <f>IFERROR(__xludf.DUMMYFUNCTION("""COMPUTED_VALUE"""),"Oregon")</f>
        <v>Oregon</v>
      </c>
      <c r="D903">
        <f>IFERROR(__xludf.DUMMYFUNCTION("""COMPUTED_VALUE"""),5.0)</f>
        <v>5</v>
      </c>
      <c r="E903">
        <f>IFERROR(__xludf.DUMMYFUNCTION("""COMPUTED_VALUE"""),1.0)</f>
        <v>1</v>
      </c>
      <c r="F903" t="str">
        <f>IFERROR(__xludf.DUMMYFUNCTION("""COMPUTED_VALUE"""),"FS1")</f>
        <v>FS1</v>
      </c>
      <c r="G903" t="str">
        <f>IFERROR(__xludf.DUMMYFUNCTION("""COMPUTED_VALUE"""),"Colorado 3 at (13) Oregon 45")</f>
        <v>Colorado 3 at (13) Oregon 45</v>
      </c>
      <c r="H903" t="str">
        <f>IFERROR(__xludf.DUMMYFUNCTION("""COMPUTED_VALUE"""),"FINAL")</f>
        <v>FINAL</v>
      </c>
      <c r="I903" t="str">
        <f>IFERROR(__xludf.DUMMYFUNCTION("""COMPUTED_VALUE"""),"-20½")</f>
        <v>-20½</v>
      </c>
      <c r="J903">
        <f>IFERROR(__xludf.DUMMYFUNCTION("""COMPUTED_VALUE"""),57.0)</f>
        <v>57</v>
      </c>
      <c r="K903" t="str">
        <f>IFERROR(__xludf.DUMMYFUNCTION("""COMPUTED_VALUE"""),"Jeannine")</f>
        <v>Jeannine</v>
      </c>
      <c r="L903" t="str">
        <f>IFERROR(__xludf.DUMMYFUNCTION("""COMPUTED_VALUE"""),"FINAL")</f>
        <v>FINAL</v>
      </c>
      <c r="M903" s="124">
        <v>7.0</v>
      </c>
    </row>
    <row r="904">
      <c r="A904" s="151">
        <f>IFERROR(__xludf.DUMMYFUNCTION("""COMPUTED_VALUE"""),43751.147748460644)</f>
        <v>43751.14775</v>
      </c>
      <c r="B904" t="str">
        <f>IFERROR(__xludf.DUMMYFUNCTION("""COMPUTED_VALUE"""),"Justin")</f>
        <v>Justin</v>
      </c>
      <c r="C904" t="str">
        <f>IFERROR(__xludf.DUMMYFUNCTION("""COMPUTED_VALUE"""),"Tennessee")</f>
        <v>Tennessee</v>
      </c>
      <c r="D904">
        <f>IFERROR(__xludf.DUMMYFUNCTION("""COMPUTED_VALUE"""),2.0)</f>
        <v>2</v>
      </c>
      <c r="E904">
        <f>IFERROR(__xludf.DUMMYFUNCTION("""COMPUTED_VALUE"""),4.0)</f>
        <v>4</v>
      </c>
      <c r="F904" t="str">
        <f>IFERROR(__xludf.DUMMYFUNCTION("""COMPUTED_VALUE"""),"SEC Network")</f>
        <v>SEC Network</v>
      </c>
      <c r="G904" t="str">
        <f>IFERROR(__xludf.DUMMYFUNCTION("""COMPUTED_VALUE"""),"Mississippi State 10 at Tennessee 20")</f>
        <v>Mississippi State 10 at Tennessee 20</v>
      </c>
      <c r="H904" t="str">
        <f>IFERROR(__xludf.DUMMYFUNCTION("""COMPUTED_VALUE"""),"FINAL")</f>
        <v>FINAL</v>
      </c>
      <c r="I904" t="str">
        <f>IFERROR(__xludf.DUMMYFUNCTION("""COMPUTED_VALUE"""),"6½")</f>
        <v>6½</v>
      </c>
      <c r="J904">
        <f>IFERROR(__xludf.DUMMYFUNCTION("""COMPUTED_VALUE"""),53.0)</f>
        <v>53</v>
      </c>
      <c r="K904" t="str">
        <f>IFERROR(__xludf.DUMMYFUNCTION("""COMPUTED_VALUE"""),"Jeannine")</f>
        <v>Jeannine</v>
      </c>
      <c r="L904" t="str">
        <f>IFERROR(__xludf.DUMMYFUNCTION("""COMPUTED_VALUE"""),"FINAL")</f>
        <v>FINAL</v>
      </c>
      <c r="M904" s="124">
        <v>7.0</v>
      </c>
    </row>
    <row r="905">
      <c r="A905" s="151">
        <f>IFERROR(__xludf.DUMMYFUNCTION("""COMPUTED_VALUE"""),43751.147748460644)</f>
        <v>43751.14775</v>
      </c>
      <c r="B905" t="str">
        <f>IFERROR(__xludf.DUMMYFUNCTION("""COMPUTED_VALUE"""),"Justin")</f>
        <v>Justin</v>
      </c>
      <c r="C905" t="str">
        <f>IFERROR(__xludf.DUMMYFUNCTION("""COMPUTED_VALUE"""),"Duke")</f>
        <v>Duke</v>
      </c>
      <c r="D905">
        <f>IFERROR(__xludf.DUMMYFUNCTION("""COMPUTED_VALUE"""),4.0)</f>
        <v>4</v>
      </c>
      <c r="E905">
        <f>IFERROR(__xludf.DUMMYFUNCTION("""COMPUTED_VALUE"""),2.0)</f>
        <v>2</v>
      </c>
      <c r="F905" t="str">
        <f>IFERROR(__xludf.DUMMYFUNCTION("""COMPUTED_VALUE"""),"ACC RSN")</f>
        <v>ACC RSN</v>
      </c>
      <c r="G905" t="str">
        <f>IFERROR(__xludf.DUMMYFUNCTION("""COMPUTED_VALUE"""),"Georgia Tech 23 at Duke 41")</f>
        <v>Georgia Tech 23 at Duke 41</v>
      </c>
      <c r="H905" t="str">
        <f>IFERROR(__xludf.DUMMYFUNCTION("""COMPUTED_VALUE"""),"FINAL")</f>
        <v>FINAL</v>
      </c>
      <c r="I905">
        <f>IFERROR(__xludf.DUMMYFUNCTION("""COMPUTED_VALUE"""),-17.0)</f>
        <v>-17</v>
      </c>
      <c r="J905" t="str">
        <f>IFERROR(__xludf.DUMMYFUNCTION("""COMPUTED_VALUE"""),"47½")</f>
        <v>47½</v>
      </c>
      <c r="K905" t="str">
        <f>IFERROR(__xludf.DUMMYFUNCTION("""COMPUTED_VALUE"""),"Undrafted")</f>
        <v>Undrafted</v>
      </c>
      <c r="L905" t="str">
        <f>IFERROR(__xludf.DUMMYFUNCTION("""COMPUTED_VALUE"""),"FINAL")</f>
        <v>FINAL</v>
      </c>
      <c r="M905" s="124">
        <v>7.0</v>
      </c>
    </row>
    <row r="906">
      <c r="A906" s="151">
        <f>IFERROR(__xludf.DUMMYFUNCTION("""COMPUTED_VALUE"""),43751.147748460644)</f>
        <v>43751.14775</v>
      </c>
      <c r="B906" t="str">
        <f>IFERROR(__xludf.DUMMYFUNCTION("""COMPUTED_VALUE"""),"Justin")</f>
        <v>Justin</v>
      </c>
      <c r="C906" t="str">
        <f>IFERROR(__xludf.DUMMYFUNCTION("""COMPUTED_VALUE"""),"South Florida")</f>
        <v>South Florida</v>
      </c>
      <c r="D906">
        <f>IFERROR(__xludf.DUMMYFUNCTION("""COMPUTED_VALUE"""),3.0)</f>
        <v>3</v>
      </c>
      <c r="E906">
        <f>IFERROR(__xludf.DUMMYFUNCTION("""COMPUTED_VALUE"""),3.0)</f>
        <v>3</v>
      </c>
      <c r="F906" t="str">
        <f>IFERROR(__xludf.DUMMYFUNCTION("""COMPUTED_VALUE"""),"CBSSN")</f>
        <v>CBSSN</v>
      </c>
      <c r="G906" t="str">
        <f>IFERROR(__xludf.DUMMYFUNCTION("""COMPUTED_VALUE"""),"BYU 23 at South Florida 27")</f>
        <v>BYU 23 at South Florida 27</v>
      </c>
      <c r="H906" t="str">
        <f>IFERROR(__xludf.DUMMYFUNCTION("""COMPUTED_VALUE"""),"FINAL")</f>
        <v>FINAL</v>
      </c>
      <c r="I906" t="str">
        <f>IFERROR(__xludf.DUMMYFUNCTION("""COMPUTED_VALUE"""),"5½")</f>
        <v>5½</v>
      </c>
      <c r="J906">
        <f>IFERROR(__xludf.DUMMYFUNCTION("""COMPUTED_VALUE"""),51.0)</f>
        <v>51</v>
      </c>
      <c r="K906" t="str">
        <f>IFERROR(__xludf.DUMMYFUNCTION("""COMPUTED_VALUE"""),"Gary")</f>
        <v>Gary</v>
      </c>
      <c r="L906" t="str">
        <f>IFERROR(__xludf.DUMMYFUNCTION("""COMPUTED_VALUE"""),"FINAL")</f>
        <v>FINAL</v>
      </c>
      <c r="M906" s="124">
        <v>7.0</v>
      </c>
    </row>
    <row r="907">
      <c r="A907" s="151">
        <f>IFERROR(__xludf.DUMMYFUNCTION("""COMPUTED_VALUE"""),43751.147748460644)</f>
        <v>43751.14775</v>
      </c>
      <c r="B907" t="str">
        <f>IFERROR(__xludf.DUMMYFUNCTION("""COMPUTED_VALUE"""),"Justin")</f>
        <v>Justin</v>
      </c>
      <c r="C907" t="str">
        <f>IFERROR(__xludf.DUMMYFUNCTION("""COMPUTED_VALUE"""),"Baylor")</f>
        <v>Baylor</v>
      </c>
      <c r="D907">
        <f>IFERROR(__xludf.DUMMYFUNCTION("""COMPUTED_VALUE"""),6.0)</f>
        <v>6</v>
      </c>
      <c r="E907">
        <f>IFERROR(__xludf.DUMMYFUNCTION("""COMPUTED_VALUE"""),0.0)</f>
        <v>0</v>
      </c>
      <c r="F907" t="str">
        <f>IFERROR(__xludf.DUMMYFUNCTION("""COMPUTED_VALUE"""),"FS1")</f>
        <v>FS1</v>
      </c>
      <c r="G907" t="str">
        <f>IFERROR(__xludf.DUMMYFUNCTION("""COMPUTED_VALUE"""),"Texas Tech 30 at (23) Baylor 33")</f>
        <v>Texas Tech 30 at (23) Baylor 33</v>
      </c>
      <c r="H907" t="str">
        <f>IFERROR(__xludf.DUMMYFUNCTION("""COMPUTED_VALUE"""),"FINAL - 2ND OT")</f>
        <v>FINAL - 2ND OT</v>
      </c>
      <c r="I907">
        <f>IFERROR(__xludf.DUMMYFUNCTION("""COMPUTED_VALUE"""),-10.0)</f>
        <v>-10</v>
      </c>
      <c r="J907">
        <f>IFERROR(__xludf.DUMMYFUNCTION("""COMPUTED_VALUE"""),58.0)</f>
        <v>58</v>
      </c>
      <c r="K907" t="str">
        <f>IFERROR(__xludf.DUMMYFUNCTION("""COMPUTED_VALUE"""),"Janice/Mike")</f>
        <v>Janice/Mike</v>
      </c>
      <c r="L907" t="str">
        <f>IFERROR(__xludf.DUMMYFUNCTION("""COMPUTED_VALUE"""),"FINAL - 2ND OT")</f>
        <v>FINAL - 2ND OT</v>
      </c>
      <c r="M907" s="124">
        <v>7.0</v>
      </c>
    </row>
    <row r="908">
      <c r="A908" s="151">
        <f>IFERROR(__xludf.DUMMYFUNCTION("""COMPUTED_VALUE"""),43751.147748460644)</f>
        <v>43751.14775</v>
      </c>
      <c r="B908" t="str">
        <f>IFERROR(__xludf.DUMMYFUNCTION("""COMPUTED_VALUE"""),"Justin")</f>
        <v>Justin</v>
      </c>
      <c r="C908" t="str">
        <f>IFERROR(__xludf.DUMMYFUNCTION("""COMPUTED_VALUE"""),"UNLV")</f>
        <v>UNLV</v>
      </c>
      <c r="D908">
        <f>IFERROR(__xludf.DUMMYFUNCTION("""COMPUTED_VALUE"""),2.0)</f>
        <v>2</v>
      </c>
      <c r="E908">
        <f>IFERROR(__xludf.DUMMYFUNCTION("""COMPUTED_VALUE"""),4.0)</f>
        <v>4</v>
      </c>
      <c r="F908" t="str">
        <f>IFERROR(__xludf.DUMMYFUNCTION("""COMPUTED_VALUE"""),"SEC Network")</f>
        <v>SEC Network</v>
      </c>
      <c r="G908" t="str">
        <f>IFERROR(__xludf.DUMMYFUNCTION("""COMPUTED_VALUE"""),"UNLV 34 at Vanderbilt 10")</f>
        <v>UNLV 34 at Vanderbilt 10</v>
      </c>
      <c r="H908" t="str">
        <f>IFERROR(__xludf.DUMMYFUNCTION("""COMPUTED_VALUE"""),"FINAL")</f>
        <v>FINAL</v>
      </c>
      <c r="I908">
        <f>IFERROR(__xludf.DUMMYFUNCTION("""COMPUTED_VALUE"""),15.0)</f>
        <v>15</v>
      </c>
      <c r="J908">
        <f>IFERROR(__xludf.DUMMYFUNCTION("""COMPUTED_VALUE"""),59.0)</f>
        <v>59</v>
      </c>
      <c r="K908" t="str">
        <f>IFERROR(__xludf.DUMMYFUNCTION("""COMPUTED_VALUE"""),"Undrafted")</f>
        <v>Undrafted</v>
      </c>
      <c r="L908" t="str">
        <f>IFERROR(__xludf.DUMMYFUNCTION("""COMPUTED_VALUE"""),"FINAL")</f>
        <v>FINAL</v>
      </c>
      <c r="M908" s="124">
        <v>7.0</v>
      </c>
    </row>
    <row r="909">
      <c r="A909" s="151">
        <f>IFERROR(__xludf.DUMMYFUNCTION("""COMPUTED_VALUE"""),43751.147748460644)</f>
        <v>43751.14775</v>
      </c>
      <c r="B909" t="str">
        <f>IFERROR(__xludf.DUMMYFUNCTION("""COMPUTED_VALUE"""),"Justin")</f>
        <v>Justin</v>
      </c>
      <c r="C909" t="str">
        <f>IFERROR(__xludf.DUMMYFUNCTION("""COMPUTED_VALUE"""),"Western Kentucky")</f>
        <v>Western Kentucky</v>
      </c>
      <c r="D909">
        <f>IFERROR(__xludf.DUMMYFUNCTION("""COMPUTED_VALUE"""),4.0)</f>
        <v>4</v>
      </c>
      <c r="E909">
        <f>IFERROR(__xludf.DUMMYFUNCTION("""COMPUTED_VALUE"""),2.0)</f>
        <v>2</v>
      </c>
      <c r="F909" t="str">
        <f>IFERROR(__xludf.DUMMYFUNCTION("""COMPUTED_VALUE"""),"Stadium Video")</f>
        <v>Stadium Video</v>
      </c>
      <c r="G909" t="str">
        <f>IFERROR(__xludf.DUMMYFUNCTION("""COMPUTED_VALUE"""),"Army 8 at Western Kentucky 17")</f>
        <v>Army 8 at Western Kentucky 17</v>
      </c>
      <c r="H909" t="str">
        <f>IFERROR(__xludf.DUMMYFUNCTION("""COMPUTED_VALUE"""),"FINAL")</f>
        <v>FINAL</v>
      </c>
      <c r="I909">
        <f>IFERROR(__xludf.DUMMYFUNCTION("""COMPUTED_VALUE"""),4.0)</f>
        <v>4</v>
      </c>
      <c r="J909" t="str">
        <f>IFERROR(__xludf.DUMMYFUNCTION("""COMPUTED_VALUE"""),"42½")</f>
        <v>42½</v>
      </c>
      <c r="K909" t="str">
        <f>IFERROR(__xludf.DUMMYFUNCTION("""COMPUTED_VALUE"""),"Josh R.")</f>
        <v>Josh R.</v>
      </c>
      <c r="L909" t="str">
        <f>IFERROR(__xludf.DUMMYFUNCTION("""COMPUTED_VALUE"""),"FINAL")</f>
        <v>FINAL</v>
      </c>
      <c r="M909" s="124">
        <v>7.0</v>
      </c>
    </row>
    <row r="910">
      <c r="A910" s="151">
        <f>IFERROR(__xludf.DUMMYFUNCTION("""COMPUTED_VALUE"""),43751.147748460644)</f>
        <v>43751.14775</v>
      </c>
      <c r="B910" t="str">
        <f>IFERROR(__xludf.DUMMYFUNCTION("""COMPUTED_VALUE"""),"Justin")</f>
        <v>Justin</v>
      </c>
      <c r="C910" t="str">
        <f>IFERROR(__xludf.DUMMYFUNCTION("""COMPUTED_VALUE"""),"Iowa")</f>
        <v>Iowa</v>
      </c>
      <c r="D910">
        <f>IFERROR(__xludf.DUMMYFUNCTION("""COMPUTED_VALUE"""),4.0)</f>
        <v>4</v>
      </c>
      <c r="E910">
        <f>IFERROR(__xludf.DUMMYFUNCTION("""COMPUTED_VALUE"""),2.0)</f>
        <v>2</v>
      </c>
      <c r="F910" t="str">
        <f>IFERROR(__xludf.DUMMYFUNCTION("""COMPUTED_VALUE"""),"ABC")</f>
        <v>ABC</v>
      </c>
      <c r="G910" t="str">
        <f>IFERROR(__xludf.DUMMYFUNCTION("""COMPUTED_VALUE"""),"(9) Penn State 17 at (18) Iowa 12")</f>
        <v>(9) Penn State 17 at (18) Iowa 12</v>
      </c>
      <c r="H910" t="str">
        <f>IFERROR(__xludf.DUMMYFUNCTION("""COMPUTED_VALUE"""),"FINAL")</f>
        <v>FINAL</v>
      </c>
      <c r="I910" t="str">
        <f>IFERROR(__xludf.DUMMYFUNCTION("""COMPUTED_VALUE"""),"4½")</f>
        <v>4½</v>
      </c>
      <c r="J910" t="str">
        <f>IFERROR(__xludf.DUMMYFUNCTION("""COMPUTED_VALUE"""),"43½")</f>
        <v>43½</v>
      </c>
      <c r="K910" t="str">
        <f>IFERROR(__xludf.DUMMYFUNCTION("""COMPUTED_VALUE"""),"Jeannine")</f>
        <v>Jeannine</v>
      </c>
      <c r="L910" t="str">
        <f>IFERROR(__xludf.DUMMYFUNCTION("""COMPUTED_VALUE"""),"FINAL")</f>
        <v>FINAL</v>
      </c>
      <c r="M910" s="124">
        <v>7.0</v>
      </c>
    </row>
    <row r="911">
      <c r="A911" s="151">
        <f>IFERROR(__xludf.DUMMYFUNCTION("""COMPUTED_VALUE"""),43751.147748460644)</f>
        <v>43751.14775</v>
      </c>
      <c r="B911" t="str">
        <f>IFERROR(__xludf.DUMMYFUNCTION("""COMPUTED_VALUE"""),"Justin")</f>
        <v>Justin</v>
      </c>
      <c r="C911" t="str">
        <f>IFERROR(__xludf.DUMMYFUNCTION("""COMPUTED_VALUE"""),"Buffalo")</f>
        <v>Buffalo</v>
      </c>
      <c r="D911">
        <f>IFERROR(__xludf.DUMMYFUNCTION("""COMPUTED_VALUE"""),2.0)</f>
        <v>2</v>
      </c>
      <c r="E911">
        <f>IFERROR(__xludf.DUMMYFUNCTION("""COMPUTED_VALUE"""),4.0)</f>
        <v>4</v>
      </c>
      <c r="F911" t="str">
        <f>IFERROR(__xludf.DUMMYFUNCTION("""COMPUTED_VALUE"""),"NA")</f>
        <v>NA</v>
      </c>
      <c r="G911" t="str">
        <f>IFERROR(__xludf.DUMMYFUNCTION("""COMPUTED_VALUE"""),"BYE")</f>
        <v>BYE</v>
      </c>
      <c r="I911" t="str">
        <f>IFERROR(__xludf.DUMMYFUNCTION("""COMPUTED_VALUE"""),"bye")</f>
        <v>bye</v>
      </c>
      <c r="J911" t="str">
        <f>IFERROR(__xludf.DUMMYFUNCTION("""COMPUTED_VALUE"""),"bye")</f>
        <v>bye</v>
      </c>
      <c r="L911">
        <f>IFERROR(__xludf.DUMMYFUNCTION("""COMPUTED_VALUE"""),9999.0)</f>
        <v>9999</v>
      </c>
      <c r="M911" s="124">
        <v>7.0</v>
      </c>
    </row>
    <row r="912">
      <c r="A912" s="151">
        <f>IFERROR(__xludf.DUMMYFUNCTION("""COMPUTED_VALUE"""),43751.147748460644)</f>
        <v>43751.14775</v>
      </c>
      <c r="B912" t="str">
        <f>IFERROR(__xludf.DUMMYFUNCTION("""COMPUTED_VALUE"""),"Adam")</f>
        <v>Adam</v>
      </c>
      <c r="C912" t="str">
        <f>IFERROR(__xludf.DUMMYFUNCTION("""COMPUTED_VALUE"""),"Texas")</f>
        <v>Texas</v>
      </c>
      <c r="D912">
        <f>IFERROR(__xludf.DUMMYFUNCTION("""COMPUTED_VALUE"""),4.0)</f>
        <v>4</v>
      </c>
      <c r="E912">
        <f>IFERROR(__xludf.DUMMYFUNCTION("""COMPUTED_VALUE"""),2.0)</f>
        <v>2</v>
      </c>
      <c r="F912" t="str">
        <f>IFERROR(__xludf.DUMMYFUNCTION("""COMPUTED_VALUE"""),"FOX")</f>
        <v>FOX</v>
      </c>
      <c r="G912" t="str">
        <f>IFERROR(__xludf.DUMMYFUNCTION("""COMPUTED_VALUE"""),"(5) Oklahoma 34 at (11) Texas 27")</f>
        <v>(5) Oklahoma 34 at (11) Texas 27</v>
      </c>
      <c r="H912" t="str">
        <f>IFERROR(__xludf.DUMMYFUNCTION("""COMPUTED_VALUE"""),"FINAL")</f>
        <v>FINAL</v>
      </c>
      <c r="I912">
        <f>IFERROR(__xludf.DUMMYFUNCTION("""COMPUTED_VALUE"""),11.0)</f>
        <v>11</v>
      </c>
      <c r="J912" t="str">
        <f>IFERROR(__xludf.DUMMYFUNCTION("""COMPUTED_VALUE"""),"75½")</f>
        <v>75½</v>
      </c>
      <c r="K912" t="str">
        <f>IFERROR(__xludf.DUMMYFUNCTION("""COMPUTED_VALUE"""),"Jeannine")</f>
        <v>Jeannine</v>
      </c>
      <c r="L912" t="str">
        <f>IFERROR(__xludf.DUMMYFUNCTION("""COMPUTED_VALUE"""),"FINAL")</f>
        <v>FINAL</v>
      </c>
      <c r="M912" s="124">
        <v>7.0</v>
      </c>
    </row>
    <row r="913">
      <c r="A913" s="151">
        <f>IFERROR(__xludf.DUMMYFUNCTION("""COMPUTED_VALUE"""),43751.147748460644)</f>
        <v>43751.14775</v>
      </c>
      <c r="B913" t="str">
        <f>IFERROR(__xludf.DUMMYFUNCTION("""COMPUTED_VALUE"""),"Adam")</f>
        <v>Adam</v>
      </c>
      <c r="C913" t="str">
        <f>IFERROR(__xludf.DUMMYFUNCTION("""COMPUTED_VALUE"""),"Akron")</f>
        <v>Akron</v>
      </c>
      <c r="D913">
        <f>IFERROR(__xludf.DUMMYFUNCTION("""COMPUTED_VALUE"""),0.0)</f>
        <v>0</v>
      </c>
      <c r="E913">
        <f>IFERROR(__xludf.DUMMYFUNCTION("""COMPUTED_VALUE"""),6.0)</f>
        <v>6</v>
      </c>
      <c r="F913" t="str">
        <f>IFERROR(__xludf.DUMMYFUNCTION("""COMPUTED_VALUE"""),"espn3 Video")</f>
        <v>espn3 Video</v>
      </c>
      <c r="G913" t="str">
        <f>IFERROR(__xludf.DUMMYFUNCTION("""COMPUTED_VALUE"""),"Kent State 26 at Akron 3")</f>
        <v>Kent State 26 at Akron 3</v>
      </c>
      <c r="H913" t="str">
        <f>IFERROR(__xludf.DUMMYFUNCTION("""COMPUTED_VALUE"""),"FINAL")</f>
        <v>FINAL</v>
      </c>
      <c r="I913">
        <f>IFERROR(__xludf.DUMMYFUNCTION("""COMPUTED_VALUE"""),12.0)</f>
        <v>12</v>
      </c>
      <c r="J913" t="str">
        <f>IFERROR(__xludf.DUMMYFUNCTION("""COMPUTED_VALUE"""),"55½")</f>
        <v>55½</v>
      </c>
      <c r="K913" t="str">
        <f>IFERROR(__xludf.DUMMYFUNCTION("""COMPUTED_VALUE"""),"Vu")</f>
        <v>Vu</v>
      </c>
      <c r="L913" t="str">
        <f>IFERROR(__xludf.DUMMYFUNCTION("""COMPUTED_VALUE"""),"FINAL")</f>
        <v>FINAL</v>
      </c>
      <c r="M913" s="124">
        <v>7.0</v>
      </c>
    </row>
    <row r="914">
      <c r="A914" s="151">
        <f>IFERROR(__xludf.DUMMYFUNCTION("""COMPUTED_VALUE"""),43751.147748460644)</f>
        <v>43751.14775</v>
      </c>
      <c r="B914" t="str">
        <f>IFERROR(__xludf.DUMMYFUNCTION("""COMPUTED_VALUE"""),"Adam")</f>
        <v>Adam</v>
      </c>
      <c r="C914" t="str">
        <f>IFERROR(__xludf.DUMMYFUNCTION("""COMPUTED_VALUE"""),"Georgia State")</f>
        <v>Georgia State</v>
      </c>
      <c r="D914">
        <f>IFERROR(__xludf.DUMMYFUNCTION("""COMPUTED_VALUE"""),4.0)</f>
        <v>4</v>
      </c>
      <c r="E914">
        <f>IFERROR(__xludf.DUMMYFUNCTION("""COMPUTED_VALUE"""),2.0)</f>
        <v>2</v>
      </c>
      <c r="F914" t="str">
        <f>IFERROR(__xludf.DUMMYFUNCTION("""COMPUTED_VALUE"""),"espn+ Video")</f>
        <v>espn+ Video</v>
      </c>
      <c r="G914" t="str">
        <f>IFERROR(__xludf.DUMMYFUNCTION("""COMPUTED_VALUE"""),"Georgia State 31 at Coastal Carolina 21")</f>
        <v>Georgia State 31 at Coastal Carolina 21</v>
      </c>
      <c r="H914" t="str">
        <f>IFERROR(__xludf.DUMMYFUNCTION("""COMPUTED_VALUE"""),"FINAL")</f>
        <v>FINAL</v>
      </c>
      <c r="I914">
        <f>IFERROR(__xludf.DUMMYFUNCTION("""COMPUTED_VALUE"""),6.0)</f>
        <v>6</v>
      </c>
      <c r="J914">
        <f>IFERROR(__xludf.DUMMYFUNCTION("""COMPUTED_VALUE"""),67.0)</f>
        <v>67</v>
      </c>
      <c r="K914" t="str">
        <f>IFERROR(__xludf.DUMMYFUNCTION("""COMPUTED_VALUE"""),"DavEmily")</f>
        <v>DavEmily</v>
      </c>
      <c r="L914" t="str">
        <f>IFERROR(__xludf.DUMMYFUNCTION("""COMPUTED_VALUE"""),"FINAL")</f>
        <v>FINAL</v>
      </c>
      <c r="M914" s="124">
        <v>7.0</v>
      </c>
    </row>
    <row r="915">
      <c r="A915" s="151">
        <f>IFERROR(__xludf.DUMMYFUNCTION("""COMPUTED_VALUE"""),43751.147748460644)</f>
        <v>43751.14775</v>
      </c>
      <c r="B915" t="str">
        <f>IFERROR(__xludf.DUMMYFUNCTION("""COMPUTED_VALUE"""),"Adam")</f>
        <v>Adam</v>
      </c>
      <c r="C915" t="str">
        <f>IFERROR(__xludf.DUMMYFUNCTION("""COMPUTED_VALUE"""),"Air Force")</f>
        <v>Air Force</v>
      </c>
      <c r="D915">
        <f>IFERROR(__xludf.DUMMYFUNCTION("""COMPUTED_VALUE"""),4.0)</f>
        <v>4</v>
      </c>
      <c r="E915">
        <f>IFERROR(__xludf.DUMMYFUNCTION("""COMPUTED_VALUE"""),2.0)</f>
        <v>2</v>
      </c>
      <c r="F915" t="str">
        <f>IFERROR(__xludf.DUMMYFUNCTION("""COMPUTED_VALUE"""),"CBSSN")</f>
        <v>CBSSN</v>
      </c>
      <c r="G915" t="str">
        <f>IFERROR(__xludf.DUMMYFUNCTION("""COMPUTED_VALUE"""),"Fresno State 24 at Air Force 43")</f>
        <v>Fresno State 24 at Air Force 43</v>
      </c>
      <c r="H915" t="str">
        <f>IFERROR(__xludf.DUMMYFUNCTION("""COMPUTED_VALUE"""),"FINAL")</f>
        <v>FINAL</v>
      </c>
      <c r="I915">
        <f>IFERROR(__xludf.DUMMYFUNCTION("""COMPUTED_VALUE"""),-4.0)</f>
        <v>-4</v>
      </c>
      <c r="J915" t="str">
        <f>IFERROR(__xludf.DUMMYFUNCTION("""COMPUTED_VALUE"""),"50½")</f>
        <v>50½</v>
      </c>
      <c r="K915" t="str">
        <f>IFERROR(__xludf.DUMMYFUNCTION("""COMPUTED_VALUE"""),"DavEmily")</f>
        <v>DavEmily</v>
      </c>
      <c r="L915" t="str">
        <f>IFERROR(__xludf.DUMMYFUNCTION("""COMPUTED_VALUE"""),"FINAL")</f>
        <v>FINAL</v>
      </c>
      <c r="M915" s="124">
        <v>7.0</v>
      </c>
    </row>
    <row r="916">
      <c r="A916" s="151">
        <f>IFERROR(__xludf.DUMMYFUNCTION("""COMPUTED_VALUE"""),43751.147748460644)</f>
        <v>43751.14775</v>
      </c>
      <c r="B916" t="str">
        <f>IFERROR(__xludf.DUMMYFUNCTION("""COMPUTED_VALUE"""),"Adam")</f>
        <v>Adam</v>
      </c>
      <c r="C916" t="str">
        <f>IFERROR(__xludf.DUMMYFUNCTION("""COMPUTED_VALUE"""),"Florida Intl")</f>
        <v>Florida Intl</v>
      </c>
      <c r="D916">
        <f>IFERROR(__xludf.DUMMYFUNCTION("""COMPUTED_VALUE"""),3.0)</f>
        <v>3</v>
      </c>
      <c r="E916">
        <f>IFERROR(__xludf.DUMMYFUNCTION("""COMPUTED_VALUE"""),3.0)</f>
        <v>3</v>
      </c>
      <c r="F916" t="str">
        <f>IFERROR(__xludf.DUMMYFUNCTION("""COMPUTED_VALUE"""),"NA")</f>
        <v>NA</v>
      </c>
      <c r="G916" t="str">
        <f>IFERROR(__xludf.DUMMYFUNCTION("""COMPUTED_VALUE"""),"Charlotte 23 at Florida Intl 48")</f>
        <v>Charlotte 23 at Florida Intl 48</v>
      </c>
      <c r="H916" t="str">
        <f>IFERROR(__xludf.DUMMYFUNCTION("""COMPUTED_VALUE"""),"FINAL")</f>
        <v>FINAL</v>
      </c>
      <c r="I916" t="str">
        <f>IFERROR(__xludf.DUMMYFUNCTION("""COMPUTED_VALUE"""),"-5½")</f>
        <v>-5½</v>
      </c>
      <c r="J916" t="str">
        <f>IFERROR(__xludf.DUMMYFUNCTION("""COMPUTED_VALUE"""),"63½")</f>
        <v>63½</v>
      </c>
      <c r="K916" t="str">
        <f>IFERROR(__xludf.DUMMYFUNCTION("""COMPUTED_VALUE"""),"Janice/Mike")</f>
        <v>Janice/Mike</v>
      </c>
      <c r="L916" t="str">
        <f>IFERROR(__xludf.DUMMYFUNCTION("""COMPUTED_VALUE"""),"FINAL")</f>
        <v>FINAL</v>
      </c>
      <c r="M916" s="124">
        <v>7.0</v>
      </c>
    </row>
    <row r="917">
      <c r="A917" s="151">
        <f>IFERROR(__xludf.DUMMYFUNCTION("""COMPUTED_VALUE"""),43751.147748460644)</f>
        <v>43751.14775</v>
      </c>
      <c r="B917" t="str">
        <f>IFERROR(__xludf.DUMMYFUNCTION("""COMPUTED_VALUE"""),"Adam")</f>
        <v>Adam</v>
      </c>
      <c r="C917" t="str">
        <f>IFERROR(__xludf.DUMMYFUNCTION("""COMPUTED_VALUE"""),"Wake Forest")</f>
        <v>Wake Forest</v>
      </c>
      <c r="D917">
        <f>IFERROR(__xludf.DUMMYFUNCTION("""COMPUTED_VALUE"""),5.0)</f>
        <v>5</v>
      </c>
      <c r="E917">
        <f>IFERROR(__xludf.DUMMYFUNCTION("""COMPUTED_VALUE"""),1.0)</f>
        <v>1</v>
      </c>
      <c r="F917" t="str">
        <f>IFERROR(__xludf.DUMMYFUNCTION("""COMPUTED_VALUE"""),"ACC Network")</f>
        <v>ACC Network</v>
      </c>
      <c r="G917" t="str">
        <f>IFERROR(__xludf.DUMMYFUNCTION("""COMPUTED_VALUE"""),"Louisville 62 at (17) Wake Forest 59")</f>
        <v>Louisville 62 at (17) Wake Forest 59</v>
      </c>
      <c r="H917" t="str">
        <f>IFERROR(__xludf.DUMMYFUNCTION("""COMPUTED_VALUE"""),"FINAL")</f>
        <v>FINAL</v>
      </c>
      <c r="I917" t="str">
        <f>IFERROR(__xludf.DUMMYFUNCTION("""COMPUTED_VALUE"""),"-6½")</f>
        <v>-6½</v>
      </c>
      <c r="J917">
        <f>IFERROR(__xludf.DUMMYFUNCTION("""COMPUTED_VALUE"""),66.0)</f>
        <v>66</v>
      </c>
      <c r="K917" t="str">
        <f>IFERROR(__xludf.DUMMYFUNCTION("""COMPUTED_VALUE"""),"Undrafted")</f>
        <v>Undrafted</v>
      </c>
      <c r="L917" t="str">
        <f>IFERROR(__xludf.DUMMYFUNCTION("""COMPUTED_VALUE"""),"FINAL")</f>
        <v>FINAL</v>
      </c>
      <c r="M917" s="124">
        <v>7.0</v>
      </c>
    </row>
    <row r="918">
      <c r="A918" s="151">
        <f>IFERROR(__xludf.DUMMYFUNCTION("""COMPUTED_VALUE"""),43751.147748460644)</f>
        <v>43751.14775</v>
      </c>
      <c r="B918" t="str">
        <f>IFERROR(__xludf.DUMMYFUNCTION("""COMPUTED_VALUE"""),"Adam")</f>
        <v>Adam</v>
      </c>
      <c r="C918" t="str">
        <f>IFERROR(__xludf.DUMMYFUNCTION("""COMPUTED_VALUE"""),"Florida")</f>
        <v>Florida</v>
      </c>
      <c r="D918">
        <f>IFERROR(__xludf.DUMMYFUNCTION("""COMPUTED_VALUE"""),6.0)</f>
        <v>6</v>
      </c>
      <c r="E918">
        <f>IFERROR(__xludf.DUMMYFUNCTION("""COMPUTED_VALUE"""),1.0)</f>
        <v>1</v>
      </c>
      <c r="F918" t="str">
        <f>IFERROR(__xludf.DUMMYFUNCTION("""COMPUTED_VALUE"""),"ESPN")</f>
        <v>ESPN</v>
      </c>
      <c r="G918" t="str">
        <f>IFERROR(__xludf.DUMMYFUNCTION("""COMPUTED_VALUE"""),"(7) Florida 28 at (6) LSU 42")</f>
        <v>(7) Florida 28 at (6) LSU 42</v>
      </c>
      <c r="H918" t="str">
        <f>IFERROR(__xludf.DUMMYFUNCTION("""COMPUTED_VALUE"""),"FINAL")</f>
        <v>FINAL</v>
      </c>
      <c r="I918" t="str">
        <f>IFERROR(__xludf.DUMMYFUNCTION("""COMPUTED_VALUE"""),"13½")</f>
        <v>13½</v>
      </c>
      <c r="J918" t="str">
        <f>IFERROR(__xludf.DUMMYFUNCTION("""COMPUTED_VALUE"""),"55½")</f>
        <v>55½</v>
      </c>
      <c r="K918" t="str">
        <f>IFERROR(__xludf.DUMMYFUNCTION("""COMPUTED_VALUE"""),"Nick A.")</f>
        <v>Nick A.</v>
      </c>
      <c r="L918" t="str">
        <f>IFERROR(__xludf.DUMMYFUNCTION("""COMPUTED_VALUE"""),"FINAL")</f>
        <v>FINAL</v>
      </c>
      <c r="M918" s="124">
        <v>7.0</v>
      </c>
    </row>
    <row r="919">
      <c r="A919" s="151">
        <f>IFERROR(__xludf.DUMMYFUNCTION("""COMPUTED_VALUE"""),43751.147748460644)</f>
        <v>43751.14775</v>
      </c>
      <c r="B919" t="str">
        <f>IFERROR(__xludf.DUMMYFUNCTION("""COMPUTED_VALUE"""),"Adam")</f>
        <v>Adam</v>
      </c>
      <c r="C919" t="str">
        <f>IFERROR(__xludf.DUMMYFUNCTION("""COMPUTED_VALUE"""),"Oregon State")</f>
        <v>Oregon State</v>
      </c>
      <c r="D919">
        <f>IFERROR(__xludf.DUMMYFUNCTION("""COMPUTED_VALUE"""),2.0)</f>
        <v>2</v>
      </c>
      <c r="E919">
        <f>IFERROR(__xludf.DUMMYFUNCTION("""COMPUTED_VALUE"""),4.0)</f>
        <v>4</v>
      </c>
      <c r="F919" t="str">
        <f>IFERROR(__xludf.DUMMYFUNCTION("""COMPUTED_VALUE"""),"Pac-12")</f>
        <v>Pac-12</v>
      </c>
      <c r="G919" t="str">
        <f>IFERROR(__xludf.DUMMYFUNCTION("""COMPUTED_VALUE"""),"(15) Utah 52 at Oregon State 7")</f>
        <v>(15) Utah 52 at Oregon State 7</v>
      </c>
      <c r="H919" t="str">
        <f>IFERROR(__xludf.DUMMYFUNCTION("""COMPUTED_VALUE"""),"FINAL")</f>
        <v>FINAL</v>
      </c>
      <c r="I919" t="str">
        <f>IFERROR(__xludf.DUMMYFUNCTION("""COMPUTED_VALUE"""),"13½")</f>
        <v>13½</v>
      </c>
      <c r="J919">
        <f>IFERROR(__xludf.DUMMYFUNCTION("""COMPUTED_VALUE"""),61.0)</f>
        <v>61</v>
      </c>
      <c r="K919" t="str">
        <f>IFERROR(__xludf.DUMMYFUNCTION("""COMPUTED_VALUE"""),"Brad")</f>
        <v>Brad</v>
      </c>
      <c r="L919" t="str">
        <f>IFERROR(__xludf.DUMMYFUNCTION("""COMPUTED_VALUE"""),"FINAL")</f>
        <v>FINAL</v>
      </c>
      <c r="M919" s="124">
        <v>7.0</v>
      </c>
    </row>
    <row r="920">
      <c r="A920" s="151">
        <f>IFERROR(__xludf.DUMMYFUNCTION("""COMPUTED_VALUE"""),43751.147748460644)</f>
        <v>43751.14775</v>
      </c>
      <c r="B920" t="str">
        <f>IFERROR(__xludf.DUMMYFUNCTION("""COMPUTED_VALUE"""),"Adam")</f>
        <v>Adam</v>
      </c>
      <c r="C920" t="str">
        <f>IFERROR(__xludf.DUMMYFUNCTION("""COMPUTED_VALUE"""),"UCF")</f>
        <v>UCF</v>
      </c>
      <c r="D920">
        <f>IFERROR(__xludf.DUMMYFUNCTION("""COMPUTED_VALUE"""),4.0)</f>
        <v>4</v>
      </c>
      <c r="E920">
        <f>IFERROR(__xludf.DUMMYFUNCTION("""COMPUTED_VALUE"""),2.0)</f>
        <v>2</v>
      </c>
      <c r="F920" t="str">
        <f>IFERROR(__xludf.DUMMYFUNCTION("""COMPUTED_VALUE"""),"NA")</f>
        <v>NA</v>
      </c>
      <c r="G920" t="str">
        <f>IFERROR(__xludf.DUMMYFUNCTION("""COMPUTED_VALUE"""),"BYE")</f>
        <v>BYE</v>
      </c>
      <c r="I920" t="str">
        <f>IFERROR(__xludf.DUMMYFUNCTION("""COMPUTED_VALUE"""),"bye")</f>
        <v>bye</v>
      </c>
      <c r="J920" t="str">
        <f>IFERROR(__xludf.DUMMYFUNCTION("""COMPUTED_VALUE"""),"bye")</f>
        <v>bye</v>
      </c>
      <c r="L920">
        <f>IFERROR(__xludf.DUMMYFUNCTION("""COMPUTED_VALUE"""),9999.0)</f>
        <v>9999</v>
      </c>
      <c r="M920" s="124">
        <v>7.0</v>
      </c>
    </row>
    <row r="921">
      <c r="A921" s="151">
        <f>IFERROR(__xludf.DUMMYFUNCTION("""COMPUTED_VALUE"""),43751.147748460644)</f>
        <v>43751.14775</v>
      </c>
      <c r="B921" t="str">
        <f>IFERROR(__xludf.DUMMYFUNCTION("""COMPUTED_VALUE"""),"Adam")</f>
        <v>Adam</v>
      </c>
      <c r="C921" t="str">
        <f>IFERROR(__xludf.DUMMYFUNCTION("""COMPUTED_VALUE"""),"Northwestern")</f>
        <v>Northwestern</v>
      </c>
      <c r="D921">
        <f>IFERROR(__xludf.DUMMYFUNCTION("""COMPUTED_VALUE"""),1.0)</f>
        <v>1</v>
      </c>
      <c r="E921">
        <f>IFERROR(__xludf.DUMMYFUNCTION("""COMPUTED_VALUE"""),4.0)</f>
        <v>4</v>
      </c>
      <c r="F921" t="str">
        <f>IFERROR(__xludf.DUMMYFUNCTION("""COMPUTED_VALUE"""),"NA")</f>
        <v>NA</v>
      </c>
      <c r="G921" t="str">
        <f>IFERROR(__xludf.DUMMYFUNCTION("""COMPUTED_VALUE"""),"BYE")</f>
        <v>BYE</v>
      </c>
      <c r="I921" t="str">
        <f>IFERROR(__xludf.DUMMYFUNCTION("""COMPUTED_VALUE"""),"bye")</f>
        <v>bye</v>
      </c>
      <c r="J921" t="str">
        <f>IFERROR(__xludf.DUMMYFUNCTION("""COMPUTED_VALUE"""),"bye")</f>
        <v>bye</v>
      </c>
      <c r="L921">
        <f>IFERROR(__xludf.DUMMYFUNCTION("""COMPUTED_VALUE"""),9999.0)</f>
        <v>9999</v>
      </c>
      <c r="M921" s="124">
        <v>7.0</v>
      </c>
    </row>
    <row r="922">
      <c r="A922" s="151">
        <f>IFERROR(__xludf.DUMMYFUNCTION("""COMPUTED_VALUE"""),43751.147748460644)</f>
        <v>43751.14775</v>
      </c>
      <c r="B922" t="str">
        <f>IFERROR(__xludf.DUMMYFUNCTION("""COMPUTED_VALUE"""),"Vu")</f>
        <v>Vu</v>
      </c>
      <c r="C922" t="str">
        <f>IFERROR(__xludf.DUMMYFUNCTION("""COMPUTED_VALUE"""),"Syracuse")</f>
        <v>Syracuse</v>
      </c>
      <c r="D922">
        <f>IFERROR(__xludf.DUMMYFUNCTION("""COMPUTED_VALUE"""),3.0)</f>
        <v>3</v>
      </c>
      <c r="E922">
        <f>IFERROR(__xludf.DUMMYFUNCTION("""COMPUTED_VALUE"""),3.0)</f>
        <v>3</v>
      </c>
      <c r="F922" t="str">
        <f>IFERROR(__xludf.DUMMYFUNCTION("""COMPUTED_VALUE"""),"ESPN")</f>
        <v>ESPN</v>
      </c>
      <c r="G922" t="str">
        <f>IFERROR(__xludf.DUMMYFUNCTION("""COMPUTED_VALUE"""),"Syracuse 10 at NC State 16")</f>
        <v>Syracuse 10 at NC State 16</v>
      </c>
      <c r="H922" t="str">
        <f>IFERROR(__xludf.DUMMYFUNCTION("""COMPUTED_VALUE"""),"FINAL")</f>
        <v>FINAL</v>
      </c>
      <c r="I922" t="str">
        <f>IFERROR(__xludf.DUMMYFUNCTION("""COMPUTED_VALUE"""),"4½")</f>
        <v>4½</v>
      </c>
      <c r="J922">
        <f>IFERROR(__xludf.DUMMYFUNCTION("""COMPUTED_VALUE"""),58.0)</f>
        <v>58</v>
      </c>
      <c r="K922" t="str">
        <f>IFERROR(__xludf.DUMMYFUNCTION("""COMPUTED_VALUE"""),"Nick G.")</f>
        <v>Nick G.</v>
      </c>
      <c r="L922" t="str">
        <f>IFERROR(__xludf.DUMMYFUNCTION("""COMPUTED_VALUE"""),"FINAL")</f>
        <v>FINAL</v>
      </c>
      <c r="M922" s="124">
        <v>7.0</v>
      </c>
    </row>
    <row r="923">
      <c r="A923" s="151">
        <f>IFERROR(__xludf.DUMMYFUNCTION("""COMPUTED_VALUE"""),43751.147748460644)</f>
        <v>43751.14775</v>
      </c>
      <c r="B923" t="str">
        <f>IFERROR(__xludf.DUMMYFUNCTION("""COMPUTED_VALUE"""),"Vu")</f>
        <v>Vu</v>
      </c>
      <c r="C923" t="str">
        <f>IFERROR(__xludf.DUMMYFUNCTION("""COMPUTED_VALUE"""),"Michigan")</f>
        <v>Michigan</v>
      </c>
      <c r="D923">
        <f>IFERROR(__xludf.DUMMYFUNCTION("""COMPUTED_VALUE"""),5.0)</f>
        <v>5</v>
      </c>
      <c r="E923">
        <f>IFERROR(__xludf.DUMMYFUNCTION("""COMPUTED_VALUE"""),1.0)</f>
        <v>1</v>
      </c>
      <c r="F923" t="str">
        <f>IFERROR(__xludf.DUMMYFUNCTION("""COMPUTED_VALUE"""),"ABC")</f>
        <v>ABC</v>
      </c>
      <c r="G923" t="str">
        <f>IFERROR(__xludf.DUMMYFUNCTION("""COMPUTED_VALUE"""),"(16) Michigan 42 at Illinois 25")</f>
        <v>(16) Michigan 42 at Illinois 25</v>
      </c>
      <c r="H923" t="str">
        <f>IFERROR(__xludf.DUMMYFUNCTION("""COMPUTED_VALUE"""),"FINAL")</f>
        <v>FINAL</v>
      </c>
      <c r="I923" t="str">
        <f>IFERROR(__xludf.DUMMYFUNCTION("""COMPUTED_VALUE"""),"-21½")</f>
        <v>-21½</v>
      </c>
      <c r="J923" t="str">
        <f>IFERROR(__xludf.DUMMYFUNCTION("""COMPUTED_VALUE"""),"51½")</f>
        <v>51½</v>
      </c>
      <c r="K923" t="str">
        <f>IFERROR(__xludf.DUMMYFUNCTION("""COMPUTED_VALUE"""),"Undrafted")</f>
        <v>Undrafted</v>
      </c>
      <c r="L923" t="str">
        <f>IFERROR(__xludf.DUMMYFUNCTION("""COMPUTED_VALUE"""),"FINAL")</f>
        <v>FINAL</v>
      </c>
      <c r="M923" s="124">
        <v>7.0</v>
      </c>
    </row>
    <row r="924">
      <c r="A924" s="151">
        <f>IFERROR(__xludf.DUMMYFUNCTION("""COMPUTED_VALUE"""),43751.147748460644)</f>
        <v>43751.14775</v>
      </c>
      <c r="B924" t="str">
        <f>IFERROR(__xludf.DUMMYFUNCTION("""COMPUTED_VALUE"""),"Vu")</f>
        <v>Vu</v>
      </c>
      <c r="C924" t="str">
        <f>IFERROR(__xludf.DUMMYFUNCTION("""COMPUTED_VALUE"""),"Texas A&amp;M")</f>
        <v>Texas A&amp;M</v>
      </c>
      <c r="D924">
        <f>IFERROR(__xludf.DUMMYFUNCTION("""COMPUTED_VALUE"""),3.0)</f>
        <v>3</v>
      </c>
      <c r="E924">
        <f>IFERROR(__xludf.DUMMYFUNCTION("""COMPUTED_VALUE"""),3.0)</f>
        <v>3</v>
      </c>
      <c r="F924" t="str">
        <f>IFERROR(__xludf.DUMMYFUNCTION("""COMPUTED_VALUE"""),"CBS")</f>
        <v>CBS</v>
      </c>
      <c r="G924" t="str">
        <f>IFERROR(__xludf.DUMMYFUNCTION("""COMPUTED_VALUE"""),"(1) Alabama 47 at (21) Texas A&amp;M 28")</f>
        <v>(1) Alabama 47 at (21) Texas A&amp;M 28</v>
      </c>
      <c r="H924" t="str">
        <f>IFERROR(__xludf.DUMMYFUNCTION("""COMPUTED_VALUE"""),"FINAL")</f>
        <v>FINAL</v>
      </c>
      <c r="I924">
        <f>IFERROR(__xludf.DUMMYFUNCTION("""COMPUTED_VALUE"""),17.0)</f>
        <v>17</v>
      </c>
      <c r="J924">
        <f>IFERROR(__xludf.DUMMYFUNCTION("""COMPUTED_VALUE"""),61.0)</f>
        <v>61</v>
      </c>
      <c r="K924" t="str">
        <f>IFERROR(__xludf.DUMMYFUNCTION("""COMPUTED_VALUE"""),"DavEmily")</f>
        <v>DavEmily</v>
      </c>
      <c r="L924" t="str">
        <f>IFERROR(__xludf.DUMMYFUNCTION("""COMPUTED_VALUE"""),"FINAL")</f>
        <v>FINAL</v>
      </c>
      <c r="M924" s="124">
        <v>7.0</v>
      </c>
    </row>
    <row r="925">
      <c r="A925" s="151">
        <f>IFERROR(__xludf.DUMMYFUNCTION("""COMPUTED_VALUE"""),43751.147748460644)</f>
        <v>43751.14775</v>
      </c>
      <c r="B925" t="str">
        <f>IFERROR(__xludf.DUMMYFUNCTION("""COMPUTED_VALUE"""),"Vu")</f>
        <v>Vu</v>
      </c>
      <c r="C925" t="str">
        <f>IFERROR(__xludf.DUMMYFUNCTION("""COMPUTED_VALUE"""),"Cincinnati")</f>
        <v>Cincinnati</v>
      </c>
      <c r="D925">
        <f>IFERROR(__xludf.DUMMYFUNCTION("""COMPUTED_VALUE"""),5.0)</f>
        <v>5</v>
      </c>
      <c r="E925">
        <f>IFERROR(__xludf.DUMMYFUNCTION("""COMPUTED_VALUE"""),1.0)</f>
        <v>1</v>
      </c>
      <c r="F925" t="str">
        <f>IFERROR(__xludf.DUMMYFUNCTION("""COMPUTED_VALUE"""),"ESPN2")</f>
        <v>ESPN2</v>
      </c>
      <c r="G925" t="str">
        <f>IFERROR(__xludf.DUMMYFUNCTION("""COMPUTED_VALUE"""),"Cincinnati 38 at Houston 23")</f>
        <v>Cincinnati 38 at Houston 23</v>
      </c>
      <c r="H925" t="str">
        <f>IFERROR(__xludf.DUMMYFUNCTION("""COMPUTED_VALUE"""),"FINAL")</f>
        <v>FINAL</v>
      </c>
      <c r="I925">
        <f>IFERROR(__xludf.DUMMYFUNCTION("""COMPUTED_VALUE"""),-7.0)</f>
        <v>-7</v>
      </c>
      <c r="J925">
        <f>IFERROR(__xludf.DUMMYFUNCTION("""COMPUTED_VALUE"""),54.0)</f>
        <v>54</v>
      </c>
      <c r="K925" t="str">
        <f>IFERROR(__xludf.DUMMYFUNCTION("""COMPUTED_VALUE"""),"Nico")</f>
        <v>Nico</v>
      </c>
      <c r="L925" t="str">
        <f>IFERROR(__xludf.DUMMYFUNCTION("""COMPUTED_VALUE"""),"FINAL")</f>
        <v>FINAL</v>
      </c>
      <c r="M925" s="124">
        <v>7.0</v>
      </c>
    </row>
    <row r="926">
      <c r="A926" s="151">
        <f>IFERROR(__xludf.DUMMYFUNCTION("""COMPUTED_VALUE"""),43751.147748460644)</f>
        <v>43751.14775</v>
      </c>
      <c r="B926" t="str">
        <f>IFERROR(__xludf.DUMMYFUNCTION("""COMPUTED_VALUE"""),"Vu")</f>
        <v>Vu</v>
      </c>
      <c r="C926" t="str">
        <f>IFERROR(__xludf.DUMMYFUNCTION("""COMPUTED_VALUE"""),"Kent State")</f>
        <v>Kent State</v>
      </c>
      <c r="D926">
        <f>IFERROR(__xludf.DUMMYFUNCTION("""COMPUTED_VALUE"""),3.0)</f>
        <v>3</v>
      </c>
      <c r="E926">
        <f>IFERROR(__xludf.DUMMYFUNCTION("""COMPUTED_VALUE"""),3.0)</f>
        <v>3</v>
      </c>
      <c r="F926" t="str">
        <f>IFERROR(__xludf.DUMMYFUNCTION("""COMPUTED_VALUE"""),"espn3 Video")</f>
        <v>espn3 Video</v>
      </c>
      <c r="G926" t="str">
        <f>IFERROR(__xludf.DUMMYFUNCTION("""COMPUTED_VALUE"""),"Kent State 26 at Akron 3")</f>
        <v>Kent State 26 at Akron 3</v>
      </c>
      <c r="H926" t="str">
        <f>IFERROR(__xludf.DUMMYFUNCTION("""COMPUTED_VALUE"""),"FINAL")</f>
        <v>FINAL</v>
      </c>
      <c r="I926">
        <f>IFERROR(__xludf.DUMMYFUNCTION("""COMPUTED_VALUE"""),-12.0)</f>
        <v>-12</v>
      </c>
      <c r="J926" t="str">
        <f>IFERROR(__xludf.DUMMYFUNCTION("""COMPUTED_VALUE"""),"55½")</f>
        <v>55½</v>
      </c>
      <c r="K926" t="str">
        <f>IFERROR(__xludf.DUMMYFUNCTION("""COMPUTED_VALUE"""),"Adam")</f>
        <v>Adam</v>
      </c>
      <c r="L926" t="str">
        <f>IFERROR(__xludf.DUMMYFUNCTION("""COMPUTED_VALUE"""),"FINAL")</f>
        <v>FINAL</v>
      </c>
      <c r="M926" s="124">
        <v>7.0</v>
      </c>
    </row>
    <row r="927">
      <c r="A927" s="151">
        <f>IFERROR(__xludf.DUMMYFUNCTION("""COMPUTED_VALUE"""),43751.147748460644)</f>
        <v>43751.14775</v>
      </c>
      <c r="B927" t="str">
        <f>IFERROR(__xludf.DUMMYFUNCTION("""COMPUTED_VALUE"""),"Vu")</f>
        <v>Vu</v>
      </c>
      <c r="C927" t="str">
        <f>IFERROR(__xludf.DUMMYFUNCTION("""COMPUTED_VALUE"""),"North Texas")</f>
        <v>North Texas</v>
      </c>
      <c r="D927">
        <f>IFERROR(__xludf.DUMMYFUNCTION("""COMPUTED_VALUE"""),2.0)</f>
        <v>2</v>
      </c>
      <c r="E927">
        <f>IFERROR(__xludf.DUMMYFUNCTION("""COMPUTED_VALUE"""),4.0)</f>
        <v>4</v>
      </c>
      <c r="F927" t="str">
        <f>IFERROR(__xludf.DUMMYFUNCTION("""COMPUTED_VALUE"""),"Facebook Video")</f>
        <v>Facebook Video</v>
      </c>
      <c r="G927" t="str">
        <f>IFERROR(__xludf.DUMMYFUNCTION("""COMPUTED_VALUE"""),"North Texas 27 at Southern Mississippi 45")</f>
        <v>North Texas 27 at Southern Mississippi 45</v>
      </c>
      <c r="H927" t="str">
        <f>IFERROR(__xludf.DUMMYFUNCTION("""COMPUTED_VALUE"""),"FINAL")</f>
        <v>FINAL</v>
      </c>
      <c r="I927">
        <f>IFERROR(__xludf.DUMMYFUNCTION("""COMPUTED_VALUE"""),4.0)</f>
        <v>4</v>
      </c>
      <c r="J927">
        <f>IFERROR(__xludf.DUMMYFUNCTION("""COMPUTED_VALUE"""),60.0)</f>
        <v>60</v>
      </c>
      <c r="K927" t="str">
        <f>IFERROR(__xludf.DUMMYFUNCTION("""COMPUTED_VALUE"""),"Josh R.")</f>
        <v>Josh R.</v>
      </c>
      <c r="L927" t="str">
        <f>IFERROR(__xludf.DUMMYFUNCTION("""COMPUTED_VALUE"""),"FINAL")</f>
        <v>FINAL</v>
      </c>
      <c r="M927" s="124">
        <v>7.0</v>
      </c>
    </row>
    <row r="928">
      <c r="A928" s="151">
        <f>IFERROR(__xludf.DUMMYFUNCTION("""COMPUTED_VALUE"""),43751.147748460644)</f>
        <v>43751.14775</v>
      </c>
      <c r="B928" t="str">
        <f>IFERROR(__xludf.DUMMYFUNCTION("""COMPUTED_VALUE"""),"Vu")</f>
        <v>Vu</v>
      </c>
      <c r="C928" t="str">
        <f>IFERROR(__xludf.DUMMYFUNCTION("""COMPUTED_VALUE"""),"Hawaii")</f>
        <v>Hawaii</v>
      </c>
      <c r="D928">
        <f>IFERROR(__xludf.DUMMYFUNCTION("""COMPUTED_VALUE"""),4.0)</f>
        <v>4</v>
      </c>
      <c r="E928">
        <f>IFERROR(__xludf.DUMMYFUNCTION("""COMPUTED_VALUE"""),2.0)</f>
        <v>2</v>
      </c>
      <c r="F928" t="str">
        <f>IFERROR(__xludf.DUMMYFUNCTION("""COMPUTED_VALUE"""),"ESPN2")</f>
        <v>ESPN2</v>
      </c>
      <c r="G928" t="str">
        <f>IFERROR(__xludf.DUMMYFUNCTION("""COMPUTED_VALUE"""),"Hawaii 37 at (14) Boise State 59")</f>
        <v>Hawaii 37 at (14) Boise State 59</v>
      </c>
      <c r="H928" t="str">
        <f>IFERROR(__xludf.DUMMYFUNCTION("""COMPUTED_VALUE"""),"FINAL")</f>
        <v>FINAL</v>
      </c>
      <c r="I928">
        <f>IFERROR(__xludf.DUMMYFUNCTION("""COMPUTED_VALUE"""),12.0)</f>
        <v>12</v>
      </c>
      <c r="J928" t="str">
        <f>IFERROR(__xludf.DUMMYFUNCTION("""COMPUTED_VALUE"""),"60½")</f>
        <v>60½</v>
      </c>
      <c r="K928" t="str">
        <f>IFERROR(__xludf.DUMMYFUNCTION("""COMPUTED_VALUE"""),"Janice/Mike")</f>
        <v>Janice/Mike</v>
      </c>
      <c r="L928" t="str">
        <f>IFERROR(__xludf.DUMMYFUNCTION("""COMPUTED_VALUE"""),"FINAL")</f>
        <v>FINAL</v>
      </c>
      <c r="M928" s="124">
        <v>7.0</v>
      </c>
    </row>
    <row r="929">
      <c r="A929" s="151">
        <f>IFERROR(__xludf.DUMMYFUNCTION("""COMPUTED_VALUE"""),43751.147748460644)</f>
        <v>43751.14775</v>
      </c>
      <c r="B929" t="str">
        <f>IFERROR(__xludf.DUMMYFUNCTION("""COMPUTED_VALUE"""),"Vu")</f>
        <v>Vu</v>
      </c>
      <c r="C929" t="str">
        <f>IFERROR(__xludf.DUMMYFUNCTION("""COMPUTED_VALUE"""),"Washington")</f>
        <v>Washington</v>
      </c>
      <c r="D929">
        <f>IFERROR(__xludf.DUMMYFUNCTION("""COMPUTED_VALUE"""),5.0)</f>
        <v>5</v>
      </c>
      <c r="E929">
        <f>IFERROR(__xludf.DUMMYFUNCTION("""COMPUTED_VALUE"""),2.0)</f>
        <v>2</v>
      </c>
      <c r="F929" t="str">
        <f>IFERROR(__xludf.DUMMYFUNCTION("""COMPUTED_VALUE"""),"FS1")</f>
        <v>FS1</v>
      </c>
      <c r="G929" t="str">
        <f>IFERROR(__xludf.DUMMYFUNCTION("""COMPUTED_VALUE"""),"Washington 51 at Arizona 27")</f>
        <v>Washington 51 at Arizona 27</v>
      </c>
      <c r="H929" t="str">
        <f>IFERROR(__xludf.DUMMYFUNCTION("""COMPUTED_VALUE"""),"FINAL")</f>
        <v>FINAL</v>
      </c>
      <c r="I929" t="str">
        <f>IFERROR(__xludf.DUMMYFUNCTION("""COMPUTED_VALUE"""),"-6½")</f>
        <v>-6½</v>
      </c>
      <c r="J929">
        <f>IFERROR(__xludf.DUMMYFUNCTION("""COMPUTED_VALUE"""),59.0)</f>
        <v>59</v>
      </c>
      <c r="K929" t="str">
        <f>IFERROR(__xludf.DUMMYFUNCTION("""COMPUTED_VALUE"""),"Janice/Mike")</f>
        <v>Janice/Mike</v>
      </c>
      <c r="L929" t="str">
        <f>IFERROR(__xludf.DUMMYFUNCTION("""COMPUTED_VALUE"""),"FINAL")</f>
        <v>FINAL</v>
      </c>
      <c r="M929" s="124">
        <v>7.0</v>
      </c>
    </row>
    <row r="930">
      <c r="A930" s="151">
        <f>IFERROR(__xludf.DUMMYFUNCTION("""COMPUTED_VALUE"""),43751.147748460644)</f>
        <v>43751.14775</v>
      </c>
      <c r="B930" t="str">
        <f>IFERROR(__xludf.DUMMYFUNCTION("""COMPUTED_VALUE"""),"Vu")</f>
        <v>Vu</v>
      </c>
      <c r="C930" t="str">
        <f>IFERROR(__xludf.DUMMYFUNCTION("""COMPUTED_VALUE"""),"South Alabama")</f>
        <v>South Alabama</v>
      </c>
      <c r="D930">
        <f>IFERROR(__xludf.DUMMYFUNCTION("""COMPUTED_VALUE"""),1.0)</f>
        <v>1</v>
      </c>
      <c r="E930">
        <f>IFERROR(__xludf.DUMMYFUNCTION("""COMPUTED_VALUE"""),5.0)</f>
        <v>5</v>
      </c>
      <c r="F930" t="str">
        <f>IFERROR(__xludf.DUMMYFUNCTION("""COMPUTED_VALUE"""),"NA")</f>
        <v>NA</v>
      </c>
      <c r="G930" t="str">
        <f>IFERROR(__xludf.DUMMYFUNCTION("""COMPUTED_VALUE"""),"BYE")</f>
        <v>BYE</v>
      </c>
      <c r="I930" t="str">
        <f>IFERROR(__xludf.DUMMYFUNCTION("""COMPUTED_VALUE"""),"bye")</f>
        <v>bye</v>
      </c>
      <c r="J930" t="str">
        <f>IFERROR(__xludf.DUMMYFUNCTION("""COMPUTED_VALUE"""),"bye")</f>
        <v>bye</v>
      </c>
      <c r="L930">
        <f>IFERROR(__xludf.DUMMYFUNCTION("""COMPUTED_VALUE"""),9999.0)</f>
        <v>9999</v>
      </c>
      <c r="M930" s="124">
        <v>7.0</v>
      </c>
    </row>
    <row r="931">
      <c r="A931" s="151">
        <f>IFERROR(__xludf.DUMMYFUNCTION("""COMPUTED_VALUE"""),43751.147748460644)</f>
        <v>43751.14775</v>
      </c>
      <c r="B931" t="str">
        <f>IFERROR(__xludf.DUMMYFUNCTION("""COMPUTED_VALUE"""),"Vu")</f>
        <v>Vu</v>
      </c>
      <c r="C931" t="str">
        <f>IFERROR(__xludf.DUMMYFUNCTION("""COMPUTED_VALUE"""),"TCU")</f>
        <v>TCU</v>
      </c>
      <c r="D931">
        <f>IFERROR(__xludf.DUMMYFUNCTION("""COMPUTED_VALUE"""),3.0)</f>
        <v>3</v>
      </c>
      <c r="E931">
        <f>IFERROR(__xludf.DUMMYFUNCTION("""COMPUTED_VALUE"""),2.0)</f>
        <v>2</v>
      </c>
      <c r="F931" t="str">
        <f>IFERROR(__xludf.DUMMYFUNCTION("""COMPUTED_VALUE"""),"NA")</f>
        <v>NA</v>
      </c>
      <c r="G931" t="str">
        <f>IFERROR(__xludf.DUMMYFUNCTION("""COMPUTED_VALUE"""),"BYE")</f>
        <v>BYE</v>
      </c>
      <c r="I931" t="str">
        <f>IFERROR(__xludf.DUMMYFUNCTION("""COMPUTED_VALUE"""),"bye")</f>
        <v>bye</v>
      </c>
      <c r="J931" t="str">
        <f>IFERROR(__xludf.DUMMYFUNCTION("""COMPUTED_VALUE"""),"bye")</f>
        <v>bye</v>
      </c>
      <c r="L931">
        <f>IFERROR(__xludf.DUMMYFUNCTION("""COMPUTED_VALUE"""),9999.0)</f>
        <v>9999</v>
      </c>
      <c r="M931" s="124">
        <v>7.0</v>
      </c>
    </row>
    <row r="932">
      <c r="A932" s="151">
        <f>IFERROR(__xludf.DUMMYFUNCTION("""COMPUTED_VALUE"""),43751.147748460644)</f>
        <v>43751.14775</v>
      </c>
      <c r="B932" t="str">
        <f>IFERROR(__xludf.DUMMYFUNCTION("""COMPUTED_VALUE"""),"Josh R.")</f>
        <v>Josh R.</v>
      </c>
      <c r="C932" t="str">
        <f>IFERROR(__xludf.DUMMYFUNCTION("""COMPUTED_VALUE"""),"Temple")</f>
        <v>Temple</v>
      </c>
      <c r="D932">
        <f>IFERROR(__xludf.DUMMYFUNCTION("""COMPUTED_VALUE"""),5.0)</f>
        <v>5</v>
      </c>
      <c r="E932">
        <f>IFERROR(__xludf.DUMMYFUNCTION("""COMPUTED_VALUE"""),1.0)</f>
        <v>1</v>
      </c>
      <c r="F932" t="str">
        <f>IFERROR(__xludf.DUMMYFUNCTION("""COMPUTED_VALUE"""),"ESPN2")</f>
        <v>ESPN2</v>
      </c>
      <c r="G932" t="str">
        <f>IFERROR(__xludf.DUMMYFUNCTION("""COMPUTED_VALUE"""),"(20) Memphis 28 at Temple 30")</f>
        <v>(20) Memphis 28 at Temple 30</v>
      </c>
      <c r="H932" t="str">
        <f>IFERROR(__xludf.DUMMYFUNCTION("""COMPUTED_VALUE"""),"FINAL")</f>
        <v>FINAL</v>
      </c>
      <c r="I932">
        <f>IFERROR(__xludf.DUMMYFUNCTION("""COMPUTED_VALUE"""),5.0)</f>
        <v>5</v>
      </c>
      <c r="J932" t="str">
        <f>IFERROR(__xludf.DUMMYFUNCTION("""COMPUTED_VALUE"""),"50½")</f>
        <v>50½</v>
      </c>
      <c r="K932" t="str">
        <f>IFERROR(__xludf.DUMMYFUNCTION("""COMPUTED_VALUE"""),"Brad")</f>
        <v>Brad</v>
      </c>
      <c r="L932" t="str">
        <f>IFERROR(__xludf.DUMMYFUNCTION("""COMPUTED_VALUE"""),"FINAL")</f>
        <v>FINAL</v>
      </c>
      <c r="M932" s="124">
        <v>7.0</v>
      </c>
    </row>
    <row r="933">
      <c r="A933" s="151">
        <f>IFERROR(__xludf.DUMMYFUNCTION("""COMPUTED_VALUE"""),43751.147748460644)</f>
        <v>43751.14775</v>
      </c>
      <c r="B933" t="str">
        <f>IFERROR(__xludf.DUMMYFUNCTION("""COMPUTED_VALUE"""),"Josh R.")</f>
        <v>Josh R.</v>
      </c>
      <c r="C933" t="str">
        <f>IFERROR(__xludf.DUMMYFUNCTION("""COMPUTED_VALUE"""),"Toledo")</f>
        <v>Toledo</v>
      </c>
      <c r="D933">
        <f>IFERROR(__xludf.DUMMYFUNCTION("""COMPUTED_VALUE"""),4.0)</f>
        <v>4</v>
      </c>
      <c r="E933">
        <f>IFERROR(__xludf.DUMMYFUNCTION("""COMPUTED_VALUE"""),2.0)</f>
        <v>2</v>
      </c>
      <c r="F933" t="str">
        <f>IFERROR(__xludf.DUMMYFUNCTION("""COMPUTED_VALUE"""),"CBSSN")</f>
        <v>CBSSN</v>
      </c>
      <c r="G933" t="str">
        <f>IFERROR(__xludf.DUMMYFUNCTION("""COMPUTED_VALUE"""),"Toledo 7 at Bowling Green 20")</f>
        <v>Toledo 7 at Bowling Green 20</v>
      </c>
      <c r="H933" t="str">
        <f>IFERROR(__xludf.DUMMYFUNCTION("""COMPUTED_VALUE"""),"FINAL")</f>
        <v>FINAL</v>
      </c>
      <c r="I933" t="str">
        <f>IFERROR(__xludf.DUMMYFUNCTION("""COMPUTED_VALUE"""),"-25½")</f>
        <v>-25½</v>
      </c>
      <c r="J933">
        <f>IFERROR(__xludf.DUMMYFUNCTION("""COMPUTED_VALUE"""),64.0)</f>
        <v>64</v>
      </c>
      <c r="K933" t="str">
        <f>IFERROR(__xludf.DUMMYFUNCTION("""COMPUTED_VALUE"""),"Nick A.")</f>
        <v>Nick A.</v>
      </c>
      <c r="L933" t="str">
        <f>IFERROR(__xludf.DUMMYFUNCTION("""COMPUTED_VALUE"""),"FINAL")</f>
        <v>FINAL</v>
      </c>
      <c r="M933" s="124">
        <v>7.0</v>
      </c>
    </row>
    <row r="934">
      <c r="A934" s="151">
        <f>IFERROR(__xludf.DUMMYFUNCTION("""COMPUTED_VALUE"""),43751.147748460644)</f>
        <v>43751.14775</v>
      </c>
      <c r="B934" t="str">
        <f>IFERROR(__xludf.DUMMYFUNCTION("""COMPUTED_VALUE"""),"Josh R.")</f>
        <v>Josh R.</v>
      </c>
      <c r="C934" t="str">
        <f>IFERROR(__xludf.DUMMYFUNCTION("""COMPUTED_VALUE"""),"Florida State")</f>
        <v>Florida State</v>
      </c>
      <c r="D934">
        <f>IFERROR(__xludf.DUMMYFUNCTION("""COMPUTED_VALUE"""),3.0)</f>
        <v>3</v>
      </c>
      <c r="E934">
        <f>IFERROR(__xludf.DUMMYFUNCTION("""COMPUTED_VALUE"""),3.0)</f>
        <v>3</v>
      </c>
      <c r="F934" t="str">
        <f>IFERROR(__xludf.DUMMYFUNCTION("""COMPUTED_VALUE"""),"ABC")</f>
        <v>ABC</v>
      </c>
      <c r="G934" t="str">
        <f>IFERROR(__xludf.DUMMYFUNCTION("""COMPUTED_VALUE"""),"Florida State 14 at (2) Clemson 45")</f>
        <v>Florida State 14 at (2) Clemson 45</v>
      </c>
      <c r="H934" t="str">
        <f>IFERROR(__xludf.DUMMYFUNCTION("""COMPUTED_VALUE"""),"FINAL")</f>
        <v>FINAL</v>
      </c>
      <c r="I934">
        <f>IFERROR(__xludf.DUMMYFUNCTION("""COMPUTED_VALUE"""),27.0)</f>
        <v>27</v>
      </c>
      <c r="J934" t="str">
        <f>IFERROR(__xludf.DUMMYFUNCTION("""COMPUTED_VALUE"""),"61½")</f>
        <v>61½</v>
      </c>
      <c r="K934" t="str">
        <f>IFERROR(__xludf.DUMMYFUNCTION("""COMPUTED_VALUE"""),"Nick A.")</f>
        <v>Nick A.</v>
      </c>
      <c r="L934" t="str">
        <f>IFERROR(__xludf.DUMMYFUNCTION("""COMPUTED_VALUE"""),"FINAL")</f>
        <v>FINAL</v>
      </c>
      <c r="M934" s="124">
        <v>7.0</v>
      </c>
    </row>
    <row r="935">
      <c r="A935" s="151">
        <f>IFERROR(__xludf.DUMMYFUNCTION("""COMPUTED_VALUE"""),43751.147748460644)</f>
        <v>43751.14775</v>
      </c>
      <c r="B935" t="str">
        <f>IFERROR(__xludf.DUMMYFUNCTION("""COMPUTED_VALUE"""),"Josh R.")</f>
        <v>Josh R.</v>
      </c>
      <c r="C935" t="str">
        <f>IFERROR(__xludf.DUMMYFUNCTION("""COMPUTED_VALUE"""),"Nevada")</f>
        <v>Nevada</v>
      </c>
      <c r="D935">
        <f>IFERROR(__xludf.DUMMYFUNCTION("""COMPUTED_VALUE"""),4.0)</f>
        <v>4</v>
      </c>
      <c r="E935">
        <f>IFERROR(__xludf.DUMMYFUNCTION("""COMPUTED_VALUE"""),2.0)</f>
        <v>2</v>
      </c>
      <c r="F935" t="str">
        <f>IFERROR(__xludf.DUMMYFUNCTION("""COMPUTED_VALUE"""),"ATTRM")</f>
        <v>ATTRM</v>
      </c>
      <c r="G935" t="str">
        <f>IFERROR(__xludf.DUMMYFUNCTION("""COMPUTED_VALUE"""),"San José State 38 at Nevada 41")</f>
        <v>San José State 38 at Nevada 41</v>
      </c>
      <c r="H935" t="str">
        <f>IFERROR(__xludf.DUMMYFUNCTION("""COMPUTED_VALUE"""),"FINAL")</f>
        <v>FINAL</v>
      </c>
      <c r="I935" t="str">
        <f>IFERROR(__xludf.DUMMYFUNCTION("""COMPUTED_VALUE"""),"-1½")</f>
        <v>-1½</v>
      </c>
      <c r="J935">
        <f>IFERROR(__xludf.DUMMYFUNCTION("""COMPUTED_VALUE"""),58.0)</f>
        <v>58</v>
      </c>
      <c r="K935" t="str">
        <f>IFERROR(__xludf.DUMMYFUNCTION("""COMPUTED_VALUE"""),"Jeannine")</f>
        <v>Jeannine</v>
      </c>
      <c r="L935" t="str">
        <f>IFERROR(__xludf.DUMMYFUNCTION("""COMPUTED_VALUE"""),"FINAL")</f>
        <v>FINAL</v>
      </c>
      <c r="M935" s="124">
        <v>7.0</v>
      </c>
    </row>
    <row r="936">
      <c r="A936" s="151">
        <f>IFERROR(__xludf.DUMMYFUNCTION("""COMPUTED_VALUE"""),43751.147748460644)</f>
        <v>43751.14775</v>
      </c>
      <c r="B936" t="str">
        <f>IFERROR(__xludf.DUMMYFUNCTION("""COMPUTED_VALUE"""),"Josh R.")</f>
        <v>Josh R.</v>
      </c>
      <c r="C936" t="str">
        <f>IFERROR(__xludf.DUMMYFUNCTION("""COMPUTED_VALUE"""),"Army")</f>
        <v>Army</v>
      </c>
      <c r="D936">
        <f>IFERROR(__xludf.DUMMYFUNCTION("""COMPUTED_VALUE"""),3.0)</f>
        <v>3</v>
      </c>
      <c r="E936">
        <f>IFERROR(__xludf.DUMMYFUNCTION("""COMPUTED_VALUE"""),3.0)</f>
        <v>3</v>
      </c>
      <c r="F936" t="str">
        <f>IFERROR(__xludf.DUMMYFUNCTION("""COMPUTED_VALUE"""),"Stadium Video")</f>
        <v>Stadium Video</v>
      </c>
      <c r="G936" t="str">
        <f>IFERROR(__xludf.DUMMYFUNCTION("""COMPUTED_VALUE"""),"Army 8 at Western Kentucky 17")</f>
        <v>Army 8 at Western Kentucky 17</v>
      </c>
      <c r="H936" t="str">
        <f>IFERROR(__xludf.DUMMYFUNCTION("""COMPUTED_VALUE"""),"FINAL")</f>
        <v>FINAL</v>
      </c>
      <c r="I936">
        <f>IFERROR(__xludf.DUMMYFUNCTION("""COMPUTED_VALUE"""),-4.0)</f>
        <v>-4</v>
      </c>
      <c r="J936" t="str">
        <f>IFERROR(__xludf.DUMMYFUNCTION("""COMPUTED_VALUE"""),"42½")</f>
        <v>42½</v>
      </c>
      <c r="K936" t="str">
        <f>IFERROR(__xludf.DUMMYFUNCTION("""COMPUTED_VALUE"""),"Justin")</f>
        <v>Justin</v>
      </c>
      <c r="L936" t="str">
        <f>IFERROR(__xludf.DUMMYFUNCTION("""COMPUTED_VALUE"""),"FINAL")</f>
        <v>FINAL</v>
      </c>
      <c r="M936" s="124">
        <v>7.0</v>
      </c>
    </row>
    <row r="937">
      <c r="A937" s="151">
        <f>IFERROR(__xludf.DUMMYFUNCTION("""COMPUTED_VALUE"""),43751.147748460644)</f>
        <v>43751.14775</v>
      </c>
      <c r="B937" t="str">
        <f>IFERROR(__xludf.DUMMYFUNCTION("""COMPUTED_VALUE"""),"Josh R.")</f>
        <v>Josh R.</v>
      </c>
      <c r="C937" t="str">
        <f>IFERROR(__xludf.DUMMYFUNCTION("""COMPUTED_VALUE"""),"Southern Mississippi")</f>
        <v>Southern Mississippi</v>
      </c>
      <c r="D937">
        <f>IFERROR(__xludf.DUMMYFUNCTION("""COMPUTED_VALUE"""),4.0)</f>
        <v>4</v>
      </c>
      <c r="E937">
        <f>IFERROR(__xludf.DUMMYFUNCTION("""COMPUTED_VALUE"""),2.0)</f>
        <v>2</v>
      </c>
      <c r="F937" t="str">
        <f>IFERROR(__xludf.DUMMYFUNCTION("""COMPUTED_VALUE"""),"NA")</f>
        <v>NA</v>
      </c>
      <c r="G937" t="str">
        <f>IFERROR(__xludf.DUMMYFUNCTION("""COMPUTED_VALUE"""),"North Texas 27 at Southern Mississippi 45")</f>
        <v>North Texas 27 at Southern Mississippi 45</v>
      </c>
      <c r="H937" t="str">
        <f>IFERROR(__xludf.DUMMYFUNCTION("""COMPUTED_VALUE"""),"FINAL")</f>
        <v>FINAL</v>
      </c>
      <c r="I937">
        <f>IFERROR(__xludf.DUMMYFUNCTION("""COMPUTED_VALUE"""),-4.0)</f>
        <v>-4</v>
      </c>
      <c r="J937">
        <f>IFERROR(__xludf.DUMMYFUNCTION("""COMPUTED_VALUE"""),60.0)</f>
        <v>60</v>
      </c>
      <c r="K937" t="str">
        <f>IFERROR(__xludf.DUMMYFUNCTION("""COMPUTED_VALUE"""),"Vu")</f>
        <v>Vu</v>
      </c>
      <c r="L937" t="str">
        <f>IFERROR(__xludf.DUMMYFUNCTION("""COMPUTED_VALUE"""),"FINAL")</f>
        <v>FINAL</v>
      </c>
      <c r="M937" s="124">
        <v>7.0</v>
      </c>
    </row>
    <row r="938">
      <c r="A938" s="151">
        <f>IFERROR(__xludf.DUMMYFUNCTION("""COMPUTED_VALUE"""),43751.147748460644)</f>
        <v>43751.14775</v>
      </c>
      <c r="B938" t="str">
        <f>IFERROR(__xludf.DUMMYFUNCTION("""COMPUTED_VALUE"""),"Josh R.")</f>
        <v>Josh R.</v>
      </c>
      <c r="C938" t="str">
        <f>IFERROR(__xludf.DUMMYFUNCTION("""COMPUTED_VALUE"""),"USC")</f>
        <v>USC</v>
      </c>
      <c r="D938">
        <f>IFERROR(__xludf.DUMMYFUNCTION("""COMPUTED_VALUE"""),3.0)</f>
        <v>3</v>
      </c>
      <c r="E938">
        <f>IFERROR(__xludf.DUMMYFUNCTION("""COMPUTED_VALUE"""),3.0)</f>
        <v>3</v>
      </c>
      <c r="F938" t="str">
        <f>IFERROR(__xludf.DUMMYFUNCTION("""COMPUTED_VALUE"""),"NBC")</f>
        <v>NBC</v>
      </c>
      <c r="G938" t="str">
        <f>IFERROR(__xludf.DUMMYFUNCTION("""COMPUTED_VALUE"""),"USC 27 at (10) Notre Dame 30")</f>
        <v>USC 27 at (10) Notre Dame 30</v>
      </c>
      <c r="H938" t="str">
        <f>IFERROR(__xludf.DUMMYFUNCTION("""COMPUTED_VALUE"""),"FINAL")</f>
        <v>FINAL</v>
      </c>
      <c r="I938">
        <f>IFERROR(__xludf.DUMMYFUNCTION("""COMPUTED_VALUE"""),11.0)</f>
        <v>11</v>
      </c>
      <c r="J938">
        <f>IFERROR(__xludf.DUMMYFUNCTION("""COMPUTED_VALUE"""),56.0)</f>
        <v>56</v>
      </c>
      <c r="K938" t="str">
        <f>IFERROR(__xludf.DUMMYFUNCTION("""COMPUTED_VALUE"""),"DavEmily")</f>
        <v>DavEmily</v>
      </c>
      <c r="L938" t="str">
        <f>IFERROR(__xludf.DUMMYFUNCTION("""COMPUTED_VALUE"""),"FINAL")</f>
        <v>FINAL</v>
      </c>
      <c r="M938" s="124">
        <v>7.0</v>
      </c>
    </row>
    <row r="939">
      <c r="A939" s="151">
        <f>IFERROR(__xludf.DUMMYFUNCTION("""COMPUTED_VALUE"""),43751.147748460644)</f>
        <v>43751.14775</v>
      </c>
      <c r="B939" t="str">
        <f>IFERROR(__xludf.DUMMYFUNCTION("""COMPUTED_VALUE"""),"Josh R.")</f>
        <v>Josh R.</v>
      </c>
      <c r="C939" t="str">
        <f>IFERROR(__xludf.DUMMYFUNCTION("""COMPUTED_VALUE"""),"Minnesota")</f>
        <v>Minnesota</v>
      </c>
      <c r="D939">
        <f>IFERROR(__xludf.DUMMYFUNCTION("""COMPUTED_VALUE"""),6.0)</f>
        <v>6</v>
      </c>
      <c r="E939">
        <f>IFERROR(__xludf.DUMMYFUNCTION("""COMPUTED_VALUE"""),0.0)</f>
        <v>0</v>
      </c>
      <c r="F939" t="str">
        <f>IFERROR(__xludf.DUMMYFUNCTION("""COMPUTED_VALUE"""),"FS1")</f>
        <v>FS1</v>
      </c>
      <c r="G939" t="str">
        <f>IFERROR(__xludf.DUMMYFUNCTION("""COMPUTED_VALUE"""),"Nebraska 7 at (25) Minnesota 34")</f>
        <v>Nebraska 7 at (25) Minnesota 34</v>
      </c>
      <c r="H939" t="str">
        <f>IFERROR(__xludf.DUMMYFUNCTION("""COMPUTED_VALUE"""),"FINAL")</f>
        <v>FINAL</v>
      </c>
      <c r="I939" t="str">
        <f>IFERROR(__xludf.DUMMYFUNCTION("""COMPUTED_VALUE"""),"-7½")</f>
        <v>-7½</v>
      </c>
      <c r="J939" t="str">
        <f>IFERROR(__xludf.DUMMYFUNCTION("""COMPUTED_VALUE"""),"52½")</f>
        <v>52½</v>
      </c>
      <c r="K939" t="str">
        <f>IFERROR(__xludf.DUMMYFUNCTION("""COMPUTED_VALUE"""),"DavEmily")</f>
        <v>DavEmily</v>
      </c>
      <c r="L939" t="str">
        <f>IFERROR(__xludf.DUMMYFUNCTION("""COMPUTED_VALUE"""),"FINAL")</f>
        <v>FINAL</v>
      </c>
      <c r="M939" s="124">
        <v>7.0</v>
      </c>
    </row>
    <row r="940">
      <c r="A940" s="151">
        <f>IFERROR(__xludf.DUMMYFUNCTION("""COMPUTED_VALUE"""),43751.147748460644)</f>
        <v>43751.14775</v>
      </c>
      <c r="B940" t="str">
        <f>IFERROR(__xludf.DUMMYFUNCTION("""COMPUTED_VALUE"""),"Josh R.")</f>
        <v>Josh R.</v>
      </c>
      <c r="C940" t="str">
        <f>IFERROR(__xludf.DUMMYFUNCTION("""COMPUTED_VALUE"""),"Kentucky")</f>
        <v>Kentucky</v>
      </c>
      <c r="D940">
        <f>IFERROR(__xludf.DUMMYFUNCTION("""COMPUTED_VALUE"""),3.0)</f>
        <v>3</v>
      </c>
      <c r="E940">
        <f>IFERROR(__xludf.DUMMYFUNCTION("""COMPUTED_VALUE"""),3.0)</f>
        <v>3</v>
      </c>
      <c r="F940" t="str">
        <f>IFERROR(__xludf.DUMMYFUNCTION("""COMPUTED_VALUE"""),"SEC Network")</f>
        <v>SEC Network</v>
      </c>
      <c r="G940" t="str">
        <f>IFERROR(__xludf.DUMMYFUNCTION("""COMPUTED_VALUE"""),"Arkansas 20 at Kentucky 24")</f>
        <v>Arkansas 20 at Kentucky 24</v>
      </c>
      <c r="H940" t="str">
        <f>IFERROR(__xludf.DUMMYFUNCTION("""COMPUTED_VALUE"""),"FINAL")</f>
        <v>FINAL</v>
      </c>
      <c r="I940" t="str">
        <f>IFERROR(__xludf.DUMMYFUNCTION("""COMPUTED_VALUE"""),"-6½")</f>
        <v>-6½</v>
      </c>
      <c r="J940" t="str">
        <f>IFERROR(__xludf.DUMMYFUNCTION("""COMPUTED_VALUE"""),"53½")</f>
        <v>53½</v>
      </c>
      <c r="K940" t="str">
        <f>IFERROR(__xludf.DUMMYFUNCTION("""COMPUTED_VALUE"""),"Janice/Mike")</f>
        <v>Janice/Mike</v>
      </c>
      <c r="L940" t="str">
        <f>IFERROR(__xludf.DUMMYFUNCTION("""COMPUTED_VALUE"""),"FINAL")</f>
        <v>FINAL</v>
      </c>
      <c r="M940" s="124">
        <v>7.0</v>
      </c>
    </row>
    <row r="941">
      <c r="A941" s="151">
        <f>IFERROR(__xludf.DUMMYFUNCTION("""COMPUTED_VALUE"""),43751.147748460644)</f>
        <v>43751.14775</v>
      </c>
      <c r="B941" t="str">
        <f>IFERROR(__xludf.DUMMYFUNCTION("""COMPUTED_VALUE"""),"Josh R.")</f>
        <v>Josh R.</v>
      </c>
      <c r="C941" t="str">
        <f>IFERROR(__xludf.DUMMYFUNCTION("""COMPUTED_VALUE"""),"Kansas")</f>
        <v>Kansas</v>
      </c>
      <c r="D941">
        <f>IFERROR(__xludf.DUMMYFUNCTION("""COMPUTED_VALUE"""),2.0)</f>
        <v>2</v>
      </c>
      <c r="E941">
        <f>IFERROR(__xludf.DUMMYFUNCTION("""COMPUTED_VALUE"""),4.0)</f>
        <v>4</v>
      </c>
      <c r="F941" t="str">
        <f>IFERROR(__xludf.DUMMYFUNCTION("""COMPUTED_VALUE"""),"NA")</f>
        <v>NA</v>
      </c>
      <c r="G941" t="str">
        <f>IFERROR(__xludf.DUMMYFUNCTION("""COMPUTED_VALUE"""),"BYE")</f>
        <v>BYE</v>
      </c>
      <c r="I941" t="str">
        <f>IFERROR(__xludf.DUMMYFUNCTION("""COMPUTED_VALUE"""),"bye")</f>
        <v>bye</v>
      </c>
      <c r="J941" t="str">
        <f>IFERROR(__xludf.DUMMYFUNCTION("""COMPUTED_VALUE"""),"bye")</f>
        <v>bye</v>
      </c>
      <c r="L941">
        <f>IFERROR(__xludf.DUMMYFUNCTION("""COMPUTED_VALUE"""),9999.0)</f>
        <v>9999</v>
      </c>
      <c r="M941" s="124">
        <v>7.0</v>
      </c>
    </row>
    <row r="942">
      <c r="A942" s="151">
        <f>IFERROR(__xludf.DUMMYFUNCTION("""COMPUTED_VALUE"""),43751.147748460644)</f>
        <v>43751.14775</v>
      </c>
      <c r="B942" t="str">
        <f>IFERROR(__xludf.DUMMYFUNCTION("""COMPUTED_VALUE"""),"Brad")</f>
        <v>Brad</v>
      </c>
      <c r="C942" t="str">
        <f>IFERROR(__xludf.DUMMYFUNCTION("""COMPUTED_VALUE"""),"Texas State")</f>
        <v>Texas State</v>
      </c>
      <c r="D942">
        <f>IFERROR(__xludf.DUMMYFUNCTION("""COMPUTED_VALUE"""),2.0)</f>
        <v>2</v>
      </c>
      <c r="E942">
        <f>IFERROR(__xludf.DUMMYFUNCTION("""COMPUTED_VALUE"""),4.0)</f>
        <v>4</v>
      </c>
      <c r="F942" t="str">
        <f>IFERROR(__xludf.DUMMYFUNCTION("""COMPUTED_VALUE"""),"ESPNU")</f>
        <v>ESPNU</v>
      </c>
      <c r="G942" t="str">
        <f>IFERROR(__xludf.DUMMYFUNCTION("""COMPUTED_VALUE"""),"UL Monroe 24 at Texas State 14")</f>
        <v>UL Monroe 24 at Texas State 14</v>
      </c>
      <c r="H942" t="str">
        <f>IFERROR(__xludf.DUMMYFUNCTION("""COMPUTED_VALUE"""),"FINAL")</f>
        <v>FINAL</v>
      </c>
      <c r="I942">
        <f>IFERROR(__xludf.DUMMYFUNCTION("""COMPUTED_VALUE"""),3.0)</f>
        <v>3</v>
      </c>
      <c r="J942" t="str">
        <f>IFERROR(__xludf.DUMMYFUNCTION("""COMPUTED_VALUE"""),"62½")</f>
        <v>62½</v>
      </c>
      <c r="K942" t="str">
        <f>IFERROR(__xludf.DUMMYFUNCTION("""COMPUTED_VALUE"""),"Jeannine")</f>
        <v>Jeannine</v>
      </c>
      <c r="L942" t="str">
        <f>IFERROR(__xludf.DUMMYFUNCTION("""COMPUTED_VALUE"""),"FINAL")</f>
        <v>FINAL</v>
      </c>
      <c r="M942" s="124">
        <v>7.0</v>
      </c>
    </row>
    <row r="943">
      <c r="A943" s="151">
        <f>IFERROR(__xludf.DUMMYFUNCTION("""COMPUTED_VALUE"""),43751.147748460644)</f>
        <v>43751.14775</v>
      </c>
      <c r="B943" t="str">
        <f>IFERROR(__xludf.DUMMYFUNCTION("""COMPUTED_VALUE"""),"Brad")</f>
        <v>Brad</v>
      </c>
      <c r="C943" t="str">
        <f>IFERROR(__xludf.DUMMYFUNCTION("""COMPUTED_VALUE"""),"Miami")</f>
        <v>Miami</v>
      </c>
      <c r="D943">
        <f>IFERROR(__xludf.DUMMYFUNCTION("""COMPUTED_VALUE"""),3.0)</f>
        <v>3</v>
      </c>
      <c r="E943">
        <f>IFERROR(__xludf.DUMMYFUNCTION("""COMPUTED_VALUE"""),3.0)</f>
        <v>3</v>
      </c>
      <c r="F943" t="str">
        <f>IFERROR(__xludf.DUMMYFUNCTION("""COMPUTED_VALUE"""),"ESPN")</f>
        <v>ESPN</v>
      </c>
      <c r="G943" t="str">
        <f>IFERROR(__xludf.DUMMYFUNCTION("""COMPUTED_VALUE"""),"(19) Virginia 9 at Miami 17")</f>
        <v>(19) Virginia 9 at Miami 17</v>
      </c>
      <c r="H943" t="str">
        <f>IFERROR(__xludf.DUMMYFUNCTION("""COMPUTED_VALUE"""),"FINAL")</f>
        <v>FINAL</v>
      </c>
      <c r="I943">
        <f>IFERROR(__xludf.DUMMYFUNCTION("""COMPUTED_VALUE"""),-1.0)</f>
        <v>-1</v>
      </c>
      <c r="J943">
        <f>IFERROR(__xludf.DUMMYFUNCTION("""COMPUTED_VALUE"""),46.0)</f>
        <v>46</v>
      </c>
      <c r="K943" t="str">
        <f>IFERROR(__xludf.DUMMYFUNCTION("""COMPUTED_VALUE"""),"Jeannine")</f>
        <v>Jeannine</v>
      </c>
      <c r="L943" t="str">
        <f>IFERROR(__xludf.DUMMYFUNCTION("""COMPUTED_VALUE"""),"FINAL")</f>
        <v>FINAL</v>
      </c>
      <c r="M943" s="124">
        <v>7.0</v>
      </c>
    </row>
    <row r="944">
      <c r="A944" s="151">
        <f>IFERROR(__xludf.DUMMYFUNCTION("""COMPUTED_VALUE"""),43751.147748460644)</f>
        <v>43751.14775</v>
      </c>
      <c r="B944" t="str">
        <f>IFERROR(__xludf.DUMMYFUNCTION("""COMPUTED_VALUE"""),"Brad")</f>
        <v>Brad</v>
      </c>
      <c r="C944" t="str">
        <f>IFERROR(__xludf.DUMMYFUNCTION("""COMPUTED_VALUE"""),"Colorado State")</f>
        <v>Colorado State</v>
      </c>
      <c r="D944">
        <f>IFERROR(__xludf.DUMMYFUNCTION("""COMPUTED_VALUE"""),2.0)</f>
        <v>2</v>
      </c>
      <c r="E944">
        <f>IFERROR(__xludf.DUMMYFUNCTION("""COMPUTED_VALUE"""),5.0)</f>
        <v>5</v>
      </c>
      <c r="F944" t="str">
        <f>IFERROR(__xludf.DUMMYFUNCTION("""COMPUTED_VALUE"""),"CBSSN")</f>
        <v>CBSSN</v>
      </c>
      <c r="G944" t="str">
        <f>IFERROR(__xludf.DUMMYFUNCTION("""COMPUTED_VALUE"""),"Colorado State 35 at New Mexico 21")</f>
        <v>Colorado State 35 at New Mexico 21</v>
      </c>
      <c r="H944" t="str">
        <f>IFERROR(__xludf.DUMMYFUNCTION("""COMPUTED_VALUE"""),"FINAL")</f>
        <v>FINAL</v>
      </c>
      <c r="I944">
        <f>IFERROR(__xludf.DUMMYFUNCTION("""COMPUTED_VALUE"""),-4.0)</f>
        <v>-4</v>
      </c>
      <c r="J944" t="str">
        <f>IFERROR(__xludf.DUMMYFUNCTION("""COMPUTED_VALUE"""),"66½")</f>
        <v>66½</v>
      </c>
      <c r="K944" t="str">
        <f>IFERROR(__xludf.DUMMYFUNCTION("""COMPUTED_VALUE"""),"Nico")</f>
        <v>Nico</v>
      </c>
      <c r="L944" t="str">
        <f>IFERROR(__xludf.DUMMYFUNCTION("""COMPUTED_VALUE"""),"FINAL")</f>
        <v>FINAL</v>
      </c>
      <c r="M944" s="124">
        <v>7.0</v>
      </c>
    </row>
    <row r="945">
      <c r="A945" s="151">
        <f>IFERROR(__xludf.DUMMYFUNCTION("""COMPUTED_VALUE"""),43751.147748460644)</f>
        <v>43751.14775</v>
      </c>
      <c r="B945" t="str">
        <f>IFERROR(__xludf.DUMMYFUNCTION("""COMPUTED_VALUE"""),"Brad")</f>
        <v>Brad</v>
      </c>
      <c r="C945" t="str">
        <f>IFERROR(__xludf.DUMMYFUNCTION("""COMPUTED_VALUE"""),"South Carolina")</f>
        <v>South Carolina</v>
      </c>
      <c r="D945">
        <f>IFERROR(__xludf.DUMMYFUNCTION("""COMPUTED_VALUE"""),3.0)</f>
        <v>3</v>
      </c>
      <c r="E945">
        <f>IFERROR(__xludf.DUMMYFUNCTION("""COMPUTED_VALUE"""),3.0)</f>
        <v>3</v>
      </c>
      <c r="F945" t="str">
        <f>IFERROR(__xludf.DUMMYFUNCTION("""COMPUTED_VALUE"""),"ESPN")</f>
        <v>ESPN</v>
      </c>
      <c r="G945" t="str">
        <f>IFERROR(__xludf.DUMMYFUNCTION("""COMPUTED_VALUE"""),"South Carolina 20 at (3) Georgia 17")</f>
        <v>South Carolina 20 at (3) Georgia 17</v>
      </c>
      <c r="H945" t="str">
        <f>IFERROR(__xludf.DUMMYFUNCTION("""COMPUTED_VALUE"""),"FINAL - 2ND OT")</f>
        <v>FINAL - 2ND OT</v>
      </c>
      <c r="I945">
        <f>IFERROR(__xludf.DUMMYFUNCTION("""COMPUTED_VALUE"""),25.0)</f>
        <v>25</v>
      </c>
      <c r="J945">
        <f>IFERROR(__xludf.DUMMYFUNCTION("""COMPUTED_VALUE"""),54.0)</f>
        <v>54</v>
      </c>
      <c r="K945" t="str">
        <f>IFERROR(__xludf.DUMMYFUNCTION("""COMPUTED_VALUE"""),"Nico")</f>
        <v>Nico</v>
      </c>
      <c r="L945" t="str">
        <f>IFERROR(__xludf.DUMMYFUNCTION("""COMPUTED_VALUE"""),"FINAL - 2ND OT")</f>
        <v>FINAL - 2ND OT</v>
      </c>
      <c r="M945" s="124">
        <v>7.0</v>
      </c>
    </row>
    <row r="946">
      <c r="A946" s="151">
        <f>IFERROR(__xludf.DUMMYFUNCTION("""COMPUTED_VALUE"""),43751.147748460644)</f>
        <v>43751.14775</v>
      </c>
      <c r="B946" t="str">
        <f>IFERROR(__xludf.DUMMYFUNCTION("""COMPUTED_VALUE"""),"Brad")</f>
        <v>Brad</v>
      </c>
      <c r="C946" t="str">
        <f>IFERROR(__xludf.DUMMYFUNCTION("""COMPUTED_VALUE"""),"Memphis")</f>
        <v>Memphis</v>
      </c>
      <c r="D946">
        <f>IFERROR(__xludf.DUMMYFUNCTION("""COMPUTED_VALUE"""),5.0)</f>
        <v>5</v>
      </c>
      <c r="E946">
        <f>IFERROR(__xludf.DUMMYFUNCTION("""COMPUTED_VALUE"""),1.0)</f>
        <v>1</v>
      </c>
      <c r="F946" t="str">
        <f>IFERROR(__xludf.DUMMYFUNCTION("""COMPUTED_VALUE"""),"ESPN2")</f>
        <v>ESPN2</v>
      </c>
      <c r="G946" t="str">
        <f>IFERROR(__xludf.DUMMYFUNCTION("""COMPUTED_VALUE"""),"(20) Memphis 28 at Temple 30")</f>
        <v>(20) Memphis 28 at Temple 30</v>
      </c>
      <c r="H946" t="str">
        <f>IFERROR(__xludf.DUMMYFUNCTION("""COMPUTED_VALUE"""),"FINAL")</f>
        <v>FINAL</v>
      </c>
      <c r="I946">
        <f>IFERROR(__xludf.DUMMYFUNCTION("""COMPUTED_VALUE"""),-5.0)</f>
        <v>-5</v>
      </c>
      <c r="J946" t="str">
        <f>IFERROR(__xludf.DUMMYFUNCTION("""COMPUTED_VALUE"""),"50½")</f>
        <v>50½</v>
      </c>
      <c r="K946" t="str">
        <f>IFERROR(__xludf.DUMMYFUNCTION("""COMPUTED_VALUE"""),"Josh R.")</f>
        <v>Josh R.</v>
      </c>
      <c r="L946" t="str">
        <f>IFERROR(__xludf.DUMMYFUNCTION("""COMPUTED_VALUE"""),"FINAL")</f>
        <v>FINAL</v>
      </c>
      <c r="M946" s="124">
        <v>7.0</v>
      </c>
    </row>
    <row r="947">
      <c r="A947" s="151">
        <f>IFERROR(__xludf.DUMMYFUNCTION("""COMPUTED_VALUE"""),43751.147748460644)</f>
        <v>43751.14775</v>
      </c>
      <c r="B947" t="str">
        <f>IFERROR(__xludf.DUMMYFUNCTION("""COMPUTED_VALUE"""),"Brad")</f>
        <v>Brad</v>
      </c>
      <c r="C947" t="str">
        <f>IFERROR(__xludf.DUMMYFUNCTION("""COMPUTED_VALUE"""),"Indiana")</f>
        <v>Indiana</v>
      </c>
      <c r="D947">
        <f>IFERROR(__xludf.DUMMYFUNCTION("""COMPUTED_VALUE"""),4.0)</f>
        <v>4</v>
      </c>
      <c r="E947">
        <f>IFERROR(__xludf.DUMMYFUNCTION("""COMPUTED_VALUE"""),2.0)</f>
        <v>2</v>
      </c>
      <c r="F947" t="str">
        <f>IFERROR(__xludf.DUMMYFUNCTION("""COMPUTED_VALUE"""),"BTN")</f>
        <v>BTN</v>
      </c>
      <c r="G947" t="str">
        <f>IFERROR(__xludf.DUMMYFUNCTION("""COMPUTED_VALUE"""),"Rutgers 0 at Indiana 35")</f>
        <v>Rutgers 0 at Indiana 35</v>
      </c>
      <c r="H947" t="str">
        <f>IFERROR(__xludf.DUMMYFUNCTION("""COMPUTED_VALUE"""),"FINAL")</f>
        <v>FINAL</v>
      </c>
      <c r="I947">
        <f>IFERROR(__xludf.DUMMYFUNCTION("""COMPUTED_VALUE"""),-27.0)</f>
        <v>-27</v>
      </c>
      <c r="J947">
        <f>IFERROR(__xludf.DUMMYFUNCTION("""COMPUTED_VALUE"""),51.0)</f>
        <v>51</v>
      </c>
      <c r="K947" t="str">
        <f>IFERROR(__xludf.DUMMYFUNCTION("""COMPUTED_VALUE"""),"Undrafted")</f>
        <v>Undrafted</v>
      </c>
      <c r="L947" t="str">
        <f>IFERROR(__xludf.DUMMYFUNCTION("""COMPUTED_VALUE"""),"FINAL")</f>
        <v>FINAL</v>
      </c>
      <c r="M947" s="124">
        <v>7.0</v>
      </c>
    </row>
    <row r="948">
      <c r="A948" s="151">
        <f>IFERROR(__xludf.DUMMYFUNCTION("""COMPUTED_VALUE"""),43751.147748460644)</f>
        <v>43751.14775</v>
      </c>
      <c r="B948" t="str">
        <f>IFERROR(__xludf.DUMMYFUNCTION("""COMPUTED_VALUE"""),"Brad")</f>
        <v>Brad</v>
      </c>
      <c r="C948" t="str">
        <f>IFERROR(__xludf.DUMMYFUNCTION("""COMPUTED_VALUE"""),"EMU")</f>
        <v>EMU</v>
      </c>
      <c r="D948">
        <f>IFERROR(__xludf.DUMMYFUNCTION("""COMPUTED_VALUE"""),3.0)</f>
        <v>3</v>
      </c>
      <c r="E948">
        <f>IFERROR(__xludf.DUMMYFUNCTION("""COMPUTED_VALUE"""),3.0)</f>
        <v>3</v>
      </c>
      <c r="F948" t="str">
        <f>IFERROR(__xludf.DUMMYFUNCTION("""COMPUTED_VALUE"""),"NA")</f>
        <v>NA</v>
      </c>
      <c r="G948" t="str">
        <f>IFERROR(__xludf.DUMMYFUNCTION("""COMPUTED_VALUE"""),"Ball State 29 at EMU 23")</f>
        <v>Ball State 29 at EMU 23</v>
      </c>
      <c r="H948" t="str">
        <f>IFERROR(__xludf.DUMMYFUNCTION("""COMPUTED_VALUE"""),"FINAL")</f>
        <v>FINAL</v>
      </c>
      <c r="I948" t="str">
        <f>IFERROR(__xludf.DUMMYFUNCTION("""COMPUTED_VALUE"""),"1½")</f>
        <v>1½</v>
      </c>
      <c r="J948">
        <f>IFERROR(__xludf.DUMMYFUNCTION("""COMPUTED_VALUE"""),58.0)</f>
        <v>58</v>
      </c>
      <c r="K948" t="str">
        <f>IFERROR(__xludf.DUMMYFUNCTION("""COMPUTED_VALUE"""),"DavEmily")</f>
        <v>DavEmily</v>
      </c>
      <c r="L948" t="str">
        <f>IFERROR(__xludf.DUMMYFUNCTION("""COMPUTED_VALUE"""),"FINAL")</f>
        <v>FINAL</v>
      </c>
      <c r="M948" s="124">
        <v>7.0</v>
      </c>
    </row>
    <row r="949">
      <c r="A949" s="151">
        <f>IFERROR(__xludf.DUMMYFUNCTION("""COMPUTED_VALUE"""),43751.147748460644)</f>
        <v>43751.14775</v>
      </c>
      <c r="B949" t="str">
        <f>IFERROR(__xludf.DUMMYFUNCTION("""COMPUTED_VALUE"""),"Brad")</f>
        <v>Brad</v>
      </c>
      <c r="C949" t="str">
        <f>IFERROR(__xludf.DUMMYFUNCTION("""COMPUTED_VALUE"""),"Louisiana Tech")</f>
        <v>Louisiana Tech</v>
      </c>
      <c r="D949">
        <f>IFERROR(__xludf.DUMMYFUNCTION("""COMPUTED_VALUE"""),5.0)</f>
        <v>5</v>
      </c>
      <c r="E949">
        <f>IFERROR(__xludf.DUMMYFUNCTION("""COMPUTED_VALUE"""),1.0)</f>
        <v>1</v>
      </c>
      <c r="F949" t="str">
        <f>IFERROR(__xludf.DUMMYFUNCTION("""COMPUTED_VALUE"""),"espn3 Video")</f>
        <v>espn3 Video</v>
      </c>
      <c r="G949" t="str">
        <f>IFERROR(__xludf.DUMMYFUNCTION("""COMPUTED_VALUE"""),"UMass 21 at Louisiana Tech 69")</f>
        <v>UMass 21 at Louisiana Tech 69</v>
      </c>
      <c r="H949" t="str">
        <f>IFERROR(__xludf.DUMMYFUNCTION("""COMPUTED_VALUE"""),"FINAL")</f>
        <v>FINAL</v>
      </c>
      <c r="I949" t="str">
        <f>IFERROR(__xludf.DUMMYFUNCTION("""COMPUTED_VALUE"""),"-31½")</f>
        <v>-31½</v>
      </c>
      <c r="J949">
        <f>IFERROR(__xludf.DUMMYFUNCTION("""COMPUTED_VALUE"""),61.0)</f>
        <v>61</v>
      </c>
      <c r="K949" t="str">
        <f>IFERROR(__xludf.DUMMYFUNCTION("""COMPUTED_VALUE"""),"Undrafted")</f>
        <v>Undrafted</v>
      </c>
      <c r="L949" t="str">
        <f>IFERROR(__xludf.DUMMYFUNCTION("""COMPUTED_VALUE"""),"FINAL")</f>
        <v>FINAL</v>
      </c>
      <c r="M949" s="124">
        <v>7.0</v>
      </c>
    </row>
    <row r="950">
      <c r="A950" s="151">
        <f>IFERROR(__xludf.DUMMYFUNCTION("""COMPUTED_VALUE"""),43751.147748460644)</f>
        <v>43751.14775</v>
      </c>
      <c r="B950" t="str">
        <f>IFERROR(__xludf.DUMMYFUNCTION("""COMPUTED_VALUE"""),"Brad")</f>
        <v>Brad</v>
      </c>
      <c r="C950" t="str">
        <f>IFERROR(__xludf.DUMMYFUNCTION("""COMPUTED_VALUE"""),"Utah")</f>
        <v>Utah</v>
      </c>
      <c r="D950">
        <f>IFERROR(__xludf.DUMMYFUNCTION("""COMPUTED_VALUE"""),5.0)</f>
        <v>5</v>
      </c>
      <c r="E950">
        <f>IFERROR(__xludf.DUMMYFUNCTION("""COMPUTED_VALUE"""),1.0)</f>
        <v>1</v>
      </c>
      <c r="F950" t="str">
        <f>IFERROR(__xludf.DUMMYFUNCTION("""COMPUTED_VALUE"""),"Pac-12")</f>
        <v>Pac-12</v>
      </c>
      <c r="G950" t="str">
        <f>IFERROR(__xludf.DUMMYFUNCTION("""COMPUTED_VALUE"""),"(15) Utah 52 at Oregon State 7")</f>
        <v>(15) Utah 52 at Oregon State 7</v>
      </c>
      <c r="H950" t="str">
        <f>IFERROR(__xludf.DUMMYFUNCTION("""COMPUTED_VALUE"""),"FINAL")</f>
        <v>FINAL</v>
      </c>
      <c r="I950" t="str">
        <f>IFERROR(__xludf.DUMMYFUNCTION("""COMPUTED_VALUE"""),"-13½")</f>
        <v>-13½</v>
      </c>
      <c r="J950">
        <f>IFERROR(__xludf.DUMMYFUNCTION("""COMPUTED_VALUE"""),61.0)</f>
        <v>61</v>
      </c>
      <c r="K950" t="str">
        <f>IFERROR(__xludf.DUMMYFUNCTION("""COMPUTED_VALUE"""),"Adam")</f>
        <v>Adam</v>
      </c>
      <c r="L950" t="str">
        <f>IFERROR(__xludf.DUMMYFUNCTION("""COMPUTED_VALUE"""),"FINAL")</f>
        <v>FINAL</v>
      </c>
      <c r="M950" s="124">
        <v>7.0</v>
      </c>
    </row>
    <row r="951">
      <c r="A951" s="151">
        <f>IFERROR(__xludf.DUMMYFUNCTION("""COMPUTED_VALUE"""),43751.147748460644)</f>
        <v>43751.14775</v>
      </c>
      <c r="B951" t="str">
        <f>IFERROR(__xludf.DUMMYFUNCTION("""COMPUTED_VALUE"""),"Brad")</f>
        <v>Brad</v>
      </c>
      <c r="C951" t="str">
        <f>IFERROR(__xludf.DUMMYFUNCTION("""COMPUTED_VALUE"""),"Oklahoma State")</f>
        <v>Oklahoma State</v>
      </c>
      <c r="D951">
        <f>IFERROR(__xludf.DUMMYFUNCTION("""COMPUTED_VALUE"""),4.0)</f>
        <v>4</v>
      </c>
      <c r="E951">
        <f>IFERROR(__xludf.DUMMYFUNCTION("""COMPUTED_VALUE"""),2.0)</f>
        <v>2</v>
      </c>
      <c r="F951" t="str">
        <f>IFERROR(__xludf.DUMMYFUNCTION("""COMPUTED_VALUE"""),"NA")</f>
        <v>NA</v>
      </c>
      <c r="G951" t="str">
        <f>IFERROR(__xludf.DUMMYFUNCTION("""COMPUTED_VALUE"""),"BYE")</f>
        <v>BYE</v>
      </c>
      <c r="I951" t="str">
        <f>IFERROR(__xludf.DUMMYFUNCTION("""COMPUTED_VALUE"""),"bye")</f>
        <v>bye</v>
      </c>
      <c r="J951" t="str">
        <f>IFERROR(__xludf.DUMMYFUNCTION("""COMPUTED_VALUE"""),"bye")</f>
        <v>bye</v>
      </c>
      <c r="L951">
        <f>IFERROR(__xludf.DUMMYFUNCTION("""COMPUTED_VALUE"""),9999.0)</f>
        <v>9999</v>
      </c>
      <c r="M951" s="124">
        <v>7.0</v>
      </c>
    </row>
    <row r="952">
      <c r="A952" s="151">
        <f>IFERROR(__xludf.DUMMYFUNCTION("""COMPUTED_VALUE"""),43751.147748460644)</f>
        <v>43751.14775</v>
      </c>
      <c r="B952" t="str">
        <f>IFERROR(__xludf.DUMMYFUNCTION("""COMPUTED_VALUE"""),"Nick G.")</f>
        <v>Nick G.</v>
      </c>
      <c r="C952" t="str">
        <f>IFERROR(__xludf.DUMMYFUNCTION("""COMPUTED_VALUE"""),"NC State")</f>
        <v>NC State</v>
      </c>
      <c r="D952">
        <f>IFERROR(__xludf.DUMMYFUNCTION("""COMPUTED_VALUE"""),4.0)</f>
        <v>4</v>
      </c>
      <c r="E952">
        <f>IFERROR(__xludf.DUMMYFUNCTION("""COMPUTED_VALUE"""),2.0)</f>
        <v>2</v>
      </c>
      <c r="F952" t="str">
        <f>IFERROR(__xludf.DUMMYFUNCTION("""COMPUTED_VALUE"""),"ESPN")</f>
        <v>ESPN</v>
      </c>
      <c r="G952" t="str">
        <f>IFERROR(__xludf.DUMMYFUNCTION("""COMPUTED_VALUE"""),"Syracuse 10 at NC State 16")</f>
        <v>Syracuse 10 at NC State 16</v>
      </c>
      <c r="H952" t="str">
        <f>IFERROR(__xludf.DUMMYFUNCTION("""COMPUTED_VALUE"""),"FINAL")</f>
        <v>FINAL</v>
      </c>
      <c r="I952" t="str">
        <f>IFERROR(__xludf.DUMMYFUNCTION("""COMPUTED_VALUE"""),"-4½")</f>
        <v>-4½</v>
      </c>
      <c r="J952">
        <f>IFERROR(__xludf.DUMMYFUNCTION("""COMPUTED_VALUE"""),58.0)</f>
        <v>58</v>
      </c>
      <c r="K952" t="str">
        <f>IFERROR(__xludf.DUMMYFUNCTION("""COMPUTED_VALUE"""),"Vu")</f>
        <v>Vu</v>
      </c>
      <c r="L952" t="str">
        <f>IFERROR(__xludf.DUMMYFUNCTION("""COMPUTED_VALUE"""),"FINAL")</f>
        <v>FINAL</v>
      </c>
      <c r="M952" s="124">
        <v>7.0</v>
      </c>
    </row>
    <row r="953">
      <c r="A953" s="151">
        <f>IFERROR(__xludf.DUMMYFUNCTION("""COMPUTED_VALUE"""),43751.147748460644)</f>
        <v>43751.14775</v>
      </c>
      <c r="B953" t="str">
        <f>IFERROR(__xludf.DUMMYFUNCTION("""COMPUTED_VALUE"""),"Nick G.")</f>
        <v>Nick G.</v>
      </c>
      <c r="C953" t="str">
        <f>IFERROR(__xludf.DUMMYFUNCTION("""COMPUTED_VALUE"""),"Central Michigan")</f>
        <v>Central Michigan</v>
      </c>
      <c r="D953">
        <f>IFERROR(__xludf.DUMMYFUNCTION("""COMPUTED_VALUE"""),4.0)</f>
        <v>4</v>
      </c>
      <c r="E953">
        <f>IFERROR(__xludf.DUMMYFUNCTION("""COMPUTED_VALUE"""),3.0)</f>
        <v>3</v>
      </c>
      <c r="F953" t="str">
        <f>IFERROR(__xludf.DUMMYFUNCTION("""COMPUTED_VALUE"""),"espn3 Video")</f>
        <v>espn3 Video</v>
      </c>
      <c r="G953" t="str">
        <f>IFERROR(__xludf.DUMMYFUNCTION("""COMPUTED_VALUE"""),"New Mexico State 28 at Central Michigan 42")</f>
        <v>New Mexico State 28 at Central Michigan 42</v>
      </c>
      <c r="H953" t="str">
        <f>IFERROR(__xludf.DUMMYFUNCTION("""COMPUTED_VALUE"""),"FINAL")</f>
        <v>FINAL</v>
      </c>
      <c r="I953" t="str">
        <f>IFERROR(__xludf.DUMMYFUNCTION("""COMPUTED_VALUE"""),"-11½")</f>
        <v>-11½</v>
      </c>
      <c r="J953">
        <f>IFERROR(__xludf.DUMMYFUNCTION("""COMPUTED_VALUE"""),57.0)</f>
        <v>57</v>
      </c>
      <c r="K953" t="str">
        <f>IFERROR(__xludf.DUMMYFUNCTION("""COMPUTED_VALUE"""),"Nick A.")</f>
        <v>Nick A.</v>
      </c>
      <c r="L953" t="str">
        <f>IFERROR(__xludf.DUMMYFUNCTION("""COMPUTED_VALUE"""),"FINAL")</f>
        <v>FINAL</v>
      </c>
      <c r="M953" s="124">
        <v>7.0</v>
      </c>
    </row>
    <row r="954">
      <c r="A954" s="151">
        <f>IFERROR(__xludf.DUMMYFUNCTION("""COMPUTED_VALUE"""),43751.147748460644)</f>
        <v>43751.14775</v>
      </c>
      <c r="B954" t="str">
        <f>IFERROR(__xludf.DUMMYFUNCTION("""COMPUTED_VALUE"""),"Nick G.")</f>
        <v>Nick G.</v>
      </c>
      <c r="C954" t="str">
        <f>IFERROR(__xludf.DUMMYFUNCTION("""COMPUTED_VALUE"""),"UConn")</f>
        <v>UConn</v>
      </c>
      <c r="D954">
        <f>IFERROR(__xludf.DUMMYFUNCTION("""COMPUTED_VALUE"""),1.0)</f>
        <v>1</v>
      </c>
      <c r="E954">
        <f>IFERROR(__xludf.DUMMYFUNCTION("""COMPUTED_VALUE"""),5.0)</f>
        <v>5</v>
      </c>
      <c r="F954" t="str">
        <f>IFERROR(__xludf.DUMMYFUNCTION("""COMPUTED_VALUE"""),"ESPNU")</f>
        <v>ESPNU</v>
      </c>
      <c r="G954" t="str">
        <f>IFERROR(__xludf.DUMMYFUNCTION("""COMPUTED_VALUE"""),"UConn 7 at Tulane 49")</f>
        <v>UConn 7 at Tulane 49</v>
      </c>
      <c r="H954" t="str">
        <f>IFERROR(__xludf.DUMMYFUNCTION("""COMPUTED_VALUE"""),"FINAL")</f>
        <v>FINAL</v>
      </c>
      <c r="I954" t="str">
        <f>IFERROR(__xludf.DUMMYFUNCTION("""COMPUTED_VALUE"""),"34½")</f>
        <v>34½</v>
      </c>
      <c r="J954" t="str">
        <f>IFERROR(__xludf.DUMMYFUNCTION("""COMPUTED_VALUE"""),"59½")</f>
        <v>59½</v>
      </c>
      <c r="K954" t="str">
        <f>IFERROR(__xludf.DUMMYFUNCTION("""COMPUTED_VALUE"""),"Gary")</f>
        <v>Gary</v>
      </c>
      <c r="L954" t="str">
        <f>IFERROR(__xludf.DUMMYFUNCTION("""COMPUTED_VALUE"""),"FINAL")</f>
        <v>FINAL</v>
      </c>
      <c r="M954" s="124">
        <v>7.0</v>
      </c>
    </row>
    <row r="955">
      <c r="A955" s="151">
        <f>IFERROR(__xludf.DUMMYFUNCTION("""COMPUTED_VALUE"""),43751.147748460644)</f>
        <v>43751.14775</v>
      </c>
      <c r="B955" t="str">
        <f>IFERROR(__xludf.DUMMYFUNCTION("""COMPUTED_VALUE"""),"Nick G.")</f>
        <v>Nick G.</v>
      </c>
      <c r="C955" t="str">
        <f>IFERROR(__xludf.DUMMYFUNCTION("""COMPUTED_VALUE"""),"Florida Atlantic")</f>
        <v>Florida Atlantic</v>
      </c>
      <c r="D955">
        <f>IFERROR(__xludf.DUMMYFUNCTION("""COMPUTED_VALUE"""),4.0)</f>
        <v>4</v>
      </c>
      <c r="E955">
        <f>IFERROR(__xludf.DUMMYFUNCTION("""COMPUTED_VALUE"""),2.0)</f>
        <v>2</v>
      </c>
      <c r="F955" t="str">
        <f>IFERROR(__xludf.DUMMYFUNCTION("""COMPUTED_VALUE"""),"espn+ Video")</f>
        <v>espn+ Video</v>
      </c>
      <c r="G955" t="str">
        <f>IFERROR(__xludf.DUMMYFUNCTION("""COMPUTED_VALUE"""),"Middle Tennessee 13 at Florida Atlantic 28")</f>
        <v>Middle Tennessee 13 at Florida Atlantic 28</v>
      </c>
      <c r="H955" t="str">
        <f>IFERROR(__xludf.DUMMYFUNCTION("""COMPUTED_VALUE"""),"FINAL")</f>
        <v>FINAL</v>
      </c>
      <c r="I955">
        <f>IFERROR(__xludf.DUMMYFUNCTION("""COMPUTED_VALUE"""),-11.0)</f>
        <v>-11</v>
      </c>
      <c r="J955">
        <f>IFERROR(__xludf.DUMMYFUNCTION("""COMPUTED_VALUE"""),62.0)</f>
        <v>62</v>
      </c>
      <c r="K955" t="str">
        <f>IFERROR(__xludf.DUMMYFUNCTION("""COMPUTED_VALUE"""),"Nico")</f>
        <v>Nico</v>
      </c>
      <c r="L955" t="str">
        <f>IFERROR(__xludf.DUMMYFUNCTION("""COMPUTED_VALUE"""),"FINAL")</f>
        <v>FINAL</v>
      </c>
      <c r="M955" s="124">
        <v>7.0</v>
      </c>
    </row>
    <row r="956">
      <c r="A956" s="151">
        <f>IFERROR(__xludf.DUMMYFUNCTION("""COMPUTED_VALUE"""),43751.147748460644)</f>
        <v>43751.14775</v>
      </c>
      <c r="B956" t="str">
        <f>IFERROR(__xludf.DUMMYFUNCTION("""COMPUTED_VALUE"""),"Nick G.")</f>
        <v>Nick G.</v>
      </c>
      <c r="C956" t="str">
        <f>IFERROR(__xludf.DUMMYFUNCTION("""COMPUTED_VALUE"""),"Wyoming")</f>
        <v>Wyoming</v>
      </c>
      <c r="D956">
        <f>IFERROR(__xludf.DUMMYFUNCTION("""COMPUTED_VALUE"""),4.0)</f>
        <v>4</v>
      </c>
      <c r="E956">
        <f>IFERROR(__xludf.DUMMYFUNCTION("""COMPUTED_VALUE"""),2.0)</f>
        <v>2</v>
      </c>
      <c r="F956" t="str">
        <f>IFERROR(__xludf.DUMMYFUNCTION("""COMPUTED_VALUE"""),"CBSSN")</f>
        <v>CBSSN</v>
      </c>
      <c r="G956" t="str">
        <f>IFERROR(__xludf.DUMMYFUNCTION("""COMPUTED_VALUE"""),"Wyoming 22 at San Diego State 26")</f>
        <v>Wyoming 22 at San Diego State 26</v>
      </c>
      <c r="H956" t="str">
        <f>IFERROR(__xludf.DUMMYFUNCTION("""COMPUTED_VALUE"""),"FINAL")</f>
        <v>FINAL</v>
      </c>
      <c r="I956">
        <f>IFERROR(__xludf.DUMMYFUNCTION("""COMPUTED_VALUE"""),4.0)</f>
        <v>4</v>
      </c>
      <c r="J956" t="str">
        <f>IFERROR(__xludf.DUMMYFUNCTION("""COMPUTED_VALUE"""),"40½")</f>
        <v>40½</v>
      </c>
      <c r="K956" t="str">
        <f>IFERROR(__xludf.DUMMYFUNCTION("""COMPUTED_VALUE"""),"Nick A.")</f>
        <v>Nick A.</v>
      </c>
      <c r="L956" t="str">
        <f>IFERROR(__xludf.DUMMYFUNCTION("""COMPUTED_VALUE"""),"FINAL")</f>
        <v>FINAL</v>
      </c>
      <c r="M956" s="124">
        <v>7.0</v>
      </c>
    </row>
    <row r="957">
      <c r="A957" s="151">
        <f>IFERROR(__xludf.DUMMYFUNCTION("""COMPUTED_VALUE"""),43751.147748460644)</f>
        <v>43751.14775</v>
      </c>
      <c r="B957" t="str">
        <f>IFERROR(__xludf.DUMMYFUNCTION("""COMPUTED_VALUE"""),"Nick G.")</f>
        <v>Nick G.</v>
      </c>
      <c r="C957" t="str">
        <f>IFERROR(__xludf.DUMMYFUNCTION("""COMPUTED_VALUE"""),"Auburn")</f>
        <v>Auburn</v>
      </c>
      <c r="D957">
        <f>IFERROR(__xludf.DUMMYFUNCTION("""COMPUTED_VALUE"""),5.0)</f>
        <v>5</v>
      </c>
      <c r="E957">
        <f>IFERROR(__xludf.DUMMYFUNCTION("""COMPUTED_VALUE"""),1.0)</f>
        <v>1</v>
      </c>
      <c r="F957" t="str">
        <f>IFERROR(__xludf.DUMMYFUNCTION("""COMPUTED_VALUE"""),"NA")</f>
        <v>NA</v>
      </c>
      <c r="G957" t="str">
        <f>IFERROR(__xludf.DUMMYFUNCTION("""COMPUTED_VALUE"""),"BYE")</f>
        <v>BYE</v>
      </c>
      <c r="I957" t="str">
        <f>IFERROR(__xludf.DUMMYFUNCTION("""COMPUTED_VALUE"""),"bye")</f>
        <v>bye</v>
      </c>
      <c r="J957" t="str">
        <f>IFERROR(__xludf.DUMMYFUNCTION("""COMPUTED_VALUE"""),"bye")</f>
        <v>bye</v>
      </c>
      <c r="L957">
        <f>IFERROR(__xludf.DUMMYFUNCTION("""COMPUTED_VALUE"""),9999.0)</f>
        <v>9999</v>
      </c>
      <c r="M957" s="124">
        <v>7.0</v>
      </c>
    </row>
    <row r="958">
      <c r="A958" s="151">
        <f>IFERROR(__xludf.DUMMYFUNCTION("""COMPUTED_VALUE"""),43751.147748460644)</f>
        <v>43751.14775</v>
      </c>
      <c r="B958" t="str">
        <f>IFERROR(__xludf.DUMMYFUNCTION("""COMPUTED_VALUE"""),"Nick G.")</f>
        <v>Nick G.</v>
      </c>
      <c r="C958" t="str">
        <f>IFERROR(__xludf.DUMMYFUNCTION("""COMPUTED_VALUE"""),"Kansas State")</f>
        <v>Kansas State</v>
      </c>
      <c r="D958">
        <f>IFERROR(__xludf.DUMMYFUNCTION("""COMPUTED_VALUE"""),3.0)</f>
        <v>3</v>
      </c>
      <c r="E958">
        <f>IFERROR(__xludf.DUMMYFUNCTION("""COMPUTED_VALUE"""),2.0)</f>
        <v>2</v>
      </c>
      <c r="F958" t="str">
        <f>IFERROR(__xludf.DUMMYFUNCTION("""COMPUTED_VALUE"""),"NA")</f>
        <v>NA</v>
      </c>
      <c r="G958" t="str">
        <f>IFERROR(__xludf.DUMMYFUNCTION("""COMPUTED_VALUE"""),"BYE")</f>
        <v>BYE</v>
      </c>
      <c r="I958" t="str">
        <f>IFERROR(__xludf.DUMMYFUNCTION("""COMPUTED_VALUE"""),"bye")</f>
        <v>bye</v>
      </c>
      <c r="J958" t="str">
        <f>IFERROR(__xludf.DUMMYFUNCTION("""COMPUTED_VALUE"""),"bye")</f>
        <v>bye</v>
      </c>
      <c r="L958">
        <f>IFERROR(__xludf.DUMMYFUNCTION("""COMPUTED_VALUE"""),9999.0)</f>
        <v>9999</v>
      </c>
      <c r="M958" s="124">
        <v>7.0</v>
      </c>
    </row>
    <row r="959">
      <c r="A959" s="151">
        <f>IFERROR(__xludf.DUMMYFUNCTION("""COMPUTED_VALUE"""),43751.147748460644)</f>
        <v>43751.14775</v>
      </c>
      <c r="B959" t="str">
        <f>IFERROR(__xludf.DUMMYFUNCTION("""COMPUTED_VALUE"""),"Nick G.")</f>
        <v>Nick G.</v>
      </c>
      <c r="C959" t="str">
        <f>IFERROR(__xludf.DUMMYFUNCTION("""COMPUTED_VALUE"""),"Troy")</f>
        <v>Troy</v>
      </c>
      <c r="D959">
        <f>IFERROR(__xludf.DUMMYFUNCTION("""COMPUTED_VALUE"""),2.0)</f>
        <v>2</v>
      </c>
      <c r="E959">
        <f>IFERROR(__xludf.DUMMYFUNCTION("""COMPUTED_VALUE"""),3.0)</f>
        <v>3</v>
      </c>
      <c r="F959" t="str">
        <f>IFERROR(__xludf.DUMMYFUNCTION("""COMPUTED_VALUE"""),"NA")</f>
        <v>NA</v>
      </c>
      <c r="G959" t="str">
        <f>IFERROR(__xludf.DUMMYFUNCTION("""COMPUTED_VALUE"""),"BYE")</f>
        <v>BYE</v>
      </c>
      <c r="I959" t="str">
        <f>IFERROR(__xludf.DUMMYFUNCTION("""COMPUTED_VALUE"""),"bye")</f>
        <v>bye</v>
      </c>
      <c r="J959" t="str">
        <f>IFERROR(__xludf.DUMMYFUNCTION("""COMPUTED_VALUE"""),"bye")</f>
        <v>bye</v>
      </c>
      <c r="L959">
        <f>IFERROR(__xludf.DUMMYFUNCTION("""COMPUTED_VALUE"""),9999.0)</f>
        <v>9999</v>
      </c>
      <c r="M959" s="124">
        <v>7.0</v>
      </c>
    </row>
    <row r="960">
      <c r="A960" s="151">
        <f>IFERROR(__xludf.DUMMYFUNCTION("""COMPUTED_VALUE"""),43751.147748460644)</f>
        <v>43751.14775</v>
      </c>
      <c r="B960" t="str">
        <f>IFERROR(__xludf.DUMMYFUNCTION("""COMPUTED_VALUE"""),"Nick G.")</f>
        <v>Nick G.</v>
      </c>
      <c r="C960" t="str">
        <f>IFERROR(__xludf.DUMMYFUNCTION("""COMPUTED_VALUE"""),"Ohio State")</f>
        <v>Ohio State</v>
      </c>
      <c r="D960">
        <f>IFERROR(__xludf.DUMMYFUNCTION("""COMPUTED_VALUE"""),6.0)</f>
        <v>6</v>
      </c>
      <c r="E960">
        <f>IFERROR(__xludf.DUMMYFUNCTION("""COMPUTED_VALUE"""),0.0)</f>
        <v>0</v>
      </c>
      <c r="F960" t="str">
        <f>IFERROR(__xludf.DUMMYFUNCTION("""COMPUTED_VALUE"""),"NA")</f>
        <v>NA</v>
      </c>
      <c r="G960" t="str">
        <f>IFERROR(__xludf.DUMMYFUNCTION("""COMPUTED_VALUE"""),"BYE")</f>
        <v>BYE</v>
      </c>
      <c r="I960" t="str">
        <f>IFERROR(__xludf.DUMMYFUNCTION("""COMPUTED_VALUE"""),"bye")</f>
        <v>bye</v>
      </c>
      <c r="J960" t="str">
        <f>IFERROR(__xludf.DUMMYFUNCTION("""COMPUTED_VALUE"""),"bye")</f>
        <v>bye</v>
      </c>
      <c r="L960">
        <f>IFERROR(__xludf.DUMMYFUNCTION("""COMPUTED_VALUE"""),9999.0)</f>
        <v>9999</v>
      </c>
      <c r="M960" s="124">
        <v>7.0</v>
      </c>
    </row>
    <row r="961">
      <c r="A961" s="151">
        <f>IFERROR(__xludf.DUMMYFUNCTION("""COMPUTED_VALUE"""),43751.147748460644)</f>
        <v>43751.14775</v>
      </c>
      <c r="B961" t="str">
        <f>IFERROR(__xludf.DUMMYFUNCTION("""COMPUTED_VALUE"""),"Nick G.")</f>
        <v>Nick G.</v>
      </c>
      <c r="C961" t="str">
        <f>IFERROR(__xludf.DUMMYFUNCTION("""COMPUTED_VALUE"""),"Stanford")</f>
        <v>Stanford</v>
      </c>
      <c r="D961">
        <f>IFERROR(__xludf.DUMMYFUNCTION("""COMPUTED_VALUE"""),3.0)</f>
        <v>3</v>
      </c>
      <c r="E961">
        <f>IFERROR(__xludf.DUMMYFUNCTION("""COMPUTED_VALUE"""),3.0)</f>
        <v>3</v>
      </c>
      <c r="F961" t="str">
        <f>IFERROR(__xludf.DUMMYFUNCTION("""COMPUTED_VALUE"""),"NA")</f>
        <v>NA</v>
      </c>
      <c r="G961" t="str">
        <f>IFERROR(__xludf.DUMMYFUNCTION("""COMPUTED_VALUE"""),"BYE")</f>
        <v>BYE</v>
      </c>
      <c r="I961" t="str">
        <f>IFERROR(__xludf.DUMMYFUNCTION("""COMPUTED_VALUE"""),"bye")</f>
        <v>bye</v>
      </c>
      <c r="J961" t="str">
        <f>IFERROR(__xludf.DUMMYFUNCTION("""COMPUTED_VALUE"""),"bye")</f>
        <v>bye</v>
      </c>
      <c r="L961">
        <f>IFERROR(__xludf.DUMMYFUNCTION("""COMPUTED_VALUE"""),9999.0)</f>
        <v>9999</v>
      </c>
      <c r="M961" s="124">
        <v>7.0</v>
      </c>
    </row>
    <row r="962">
      <c r="A962" s="151">
        <f>IFERROR(__xludf.DUMMYFUNCTION("""COMPUTED_VALUE"""),43758.147747337964)</f>
        <v>43758.14775</v>
      </c>
      <c r="B962" t="str">
        <f>IFERROR(__xludf.DUMMYFUNCTION("""COMPUTED_VALUE"""),"DavEmily")</f>
        <v>DavEmily</v>
      </c>
      <c r="C962" t="str">
        <f>IFERROR(__xludf.DUMMYFUNCTION("""COMPUTED_VALUE"""),"Fresno State")</f>
        <v>Fresno State</v>
      </c>
      <c r="D962">
        <f>IFERROR(__xludf.DUMMYFUNCTION("""COMPUTED_VALUE"""),3.0)</f>
        <v>3</v>
      </c>
      <c r="E962">
        <f>IFERROR(__xludf.DUMMYFUNCTION("""COMPUTED_VALUE"""),3.0)</f>
        <v>3</v>
      </c>
      <c r="F962" t="str">
        <f>IFERROR(__xludf.DUMMYFUNCTION("""COMPUTED_VALUE"""),"CBSSN")</f>
        <v>CBSSN</v>
      </c>
      <c r="G962" t="str">
        <f>IFERROR(__xludf.DUMMYFUNCTION("""COMPUTED_VALUE"""),"UNLV 27 at Fresno State 56")</f>
        <v>UNLV 27 at Fresno State 56</v>
      </c>
      <c r="H962" t="str">
        <f>IFERROR(__xludf.DUMMYFUNCTION("""COMPUTED_VALUE"""),"FINAL")</f>
        <v>FINAL</v>
      </c>
      <c r="I962" t="str">
        <f>IFERROR(__xludf.DUMMYFUNCTION("""COMPUTED_VALUE"""),"-15½")</f>
        <v>-15½</v>
      </c>
      <c r="J962">
        <f>IFERROR(__xludf.DUMMYFUNCTION("""COMPUTED_VALUE"""),54.0)</f>
        <v>54</v>
      </c>
      <c r="K962" t="str">
        <f>IFERROR(__xludf.DUMMYFUNCTION("""COMPUTED_VALUE"""),"Justin")</f>
        <v>Justin</v>
      </c>
      <c r="L962" t="str">
        <f>IFERROR(__xludf.DUMMYFUNCTION("""COMPUTED_VALUE"""),"FINAL")</f>
        <v>FINAL</v>
      </c>
      <c r="M962" s="124">
        <v>8.0</v>
      </c>
    </row>
    <row r="963">
      <c r="A963" s="151">
        <f>IFERROR(__xludf.DUMMYFUNCTION("""COMPUTED_VALUE"""),43758.147747337964)</f>
        <v>43758.14775</v>
      </c>
      <c r="B963" t="str">
        <f>IFERROR(__xludf.DUMMYFUNCTION("""COMPUTED_VALUE"""),"DavEmily")</f>
        <v>DavEmily</v>
      </c>
      <c r="C963" t="str">
        <f>IFERROR(__xludf.DUMMYFUNCTION("""COMPUTED_VALUE"""),"Ball State")</f>
        <v>Ball State</v>
      </c>
      <c r="D963">
        <f>IFERROR(__xludf.DUMMYFUNCTION("""COMPUTED_VALUE"""),4.0)</f>
        <v>4</v>
      </c>
      <c r="E963">
        <f>IFERROR(__xludf.DUMMYFUNCTION("""COMPUTED_VALUE"""),3.0)</f>
        <v>3</v>
      </c>
      <c r="F963" t="str">
        <f>IFERROR(__xludf.DUMMYFUNCTION("""COMPUTED_VALUE"""),"espn+ Video")</f>
        <v>espn+ Video</v>
      </c>
      <c r="G963" t="str">
        <f>IFERROR(__xludf.DUMMYFUNCTION("""COMPUTED_VALUE"""),"Toledo 14 at Ball State 52")</f>
        <v>Toledo 14 at Ball State 52</v>
      </c>
      <c r="H963" t="str">
        <f>IFERROR(__xludf.DUMMYFUNCTION("""COMPUTED_VALUE"""),"FINAL")</f>
        <v>FINAL</v>
      </c>
      <c r="I963" t="str">
        <f>IFERROR(__xludf.DUMMYFUNCTION("""COMPUTED_VALUE"""),"1½")</f>
        <v>1½</v>
      </c>
      <c r="J963" t="str">
        <f>IFERROR(__xludf.DUMMYFUNCTION("""COMPUTED_VALUE"""),"59½")</f>
        <v>59½</v>
      </c>
      <c r="K963" t="str">
        <f>IFERROR(__xludf.DUMMYFUNCTION("""COMPUTED_VALUE"""),"Josh R.")</f>
        <v>Josh R.</v>
      </c>
      <c r="L963" t="str">
        <f>IFERROR(__xludf.DUMMYFUNCTION("""COMPUTED_VALUE"""),"FINAL")</f>
        <v>FINAL</v>
      </c>
      <c r="M963" s="124">
        <v>8.0</v>
      </c>
    </row>
    <row r="964">
      <c r="A964" s="151">
        <f>IFERROR(__xludf.DUMMYFUNCTION("""COMPUTED_VALUE"""),43758.147747337964)</f>
        <v>43758.14775</v>
      </c>
      <c r="B964" t="str">
        <f>IFERROR(__xludf.DUMMYFUNCTION("""COMPUTED_VALUE"""),"DavEmily")</f>
        <v>DavEmily</v>
      </c>
      <c r="C964" t="str">
        <f>IFERROR(__xludf.DUMMYFUNCTION("""COMPUTED_VALUE"""),"California")</f>
        <v>California</v>
      </c>
      <c r="D964">
        <f>IFERROR(__xludf.DUMMYFUNCTION("""COMPUTED_VALUE"""),4.0)</f>
        <v>4</v>
      </c>
      <c r="E964">
        <f>IFERROR(__xludf.DUMMYFUNCTION("""COMPUTED_VALUE"""),3.0)</f>
        <v>3</v>
      </c>
      <c r="F964" t="str">
        <f>IFERROR(__xludf.DUMMYFUNCTION("""COMPUTED_VALUE"""),"Pac-12")</f>
        <v>Pac-12</v>
      </c>
      <c r="G964" t="str">
        <f>IFERROR(__xludf.DUMMYFUNCTION("""COMPUTED_VALUE"""),"Oregon State 21 at California 17")</f>
        <v>Oregon State 21 at California 17</v>
      </c>
      <c r="H964" t="str">
        <f>IFERROR(__xludf.DUMMYFUNCTION("""COMPUTED_VALUE"""),"FINAL")</f>
        <v>FINAL</v>
      </c>
      <c r="I964">
        <f>IFERROR(__xludf.DUMMYFUNCTION("""COMPUTED_VALUE"""),-11.0)</f>
        <v>-11</v>
      </c>
      <c r="J964" t="str">
        <f>IFERROR(__xludf.DUMMYFUNCTION("""COMPUTED_VALUE"""),"51½")</f>
        <v>51½</v>
      </c>
      <c r="K964" t="str">
        <f>IFERROR(__xludf.DUMMYFUNCTION("""COMPUTED_VALUE"""),"Adam")</f>
        <v>Adam</v>
      </c>
      <c r="L964" t="str">
        <f>IFERROR(__xludf.DUMMYFUNCTION("""COMPUTED_VALUE"""),"FINAL")</f>
        <v>FINAL</v>
      </c>
      <c r="M964" s="124">
        <v>8.0</v>
      </c>
    </row>
    <row r="965">
      <c r="A965" s="151">
        <f>IFERROR(__xludf.DUMMYFUNCTION("""COMPUTED_VALUE"""),43758.147747337964)</f>
        <v>43758.14775</v>
      </c>
      <c r="B965" t="str">
        <f>IFERROR(__xludf.DUMMYFUNCTION("""COMPUTED_VALUE"""),"DavEmily")</f>
        <v>DavEmily</v>
      </c>
      <c r="C965" t="str">
        <f>IFERROR(__xludf.DUMMYFUNCTION("""COMPUTED_VALUE"""),"Coastal Carolina")</f>
        <v>Coastal Carolina</v>
      </c>
      <c r="D965">
        <f>IFERROR(__xludf.DUMMYFUNCTION("""COMPUTED_VALUE"""),3.0)</f>
        <v>3</v>
      </c>
      <c r="E965">
        <f>IFERROR(__xludf.DUMMYFUNCTION("""COMPUTED_VALUE"""),4.0)</f>
        <v>4</v>
      </c>
      <c r="F965" t="str">
        <f>IFERROR(__xludf.DUMMYFUNCTION("""COMPUTED_VALUE"""),"espn3 Video")</f>
        <v>espn3 Video</v>
      </c>
      <c r="G965" t="str">
        <f>IFERROR(__xludf.DUMMYFUNCTION("""COMPUTED_VALUE"""),"Coastal Carolina 27 at Georgia Southern 30")</f>
        <v>Coastal Carolina 27 at Georgia Southern 30</v>
      </c>
      <c r="H965" t="str">
        <f>IFERROR(__xludf.DUMMYFUNCTION("""COMPUTED_VALUE"""),"FINAL - 3RD OT")</f>
        <v>FINAL - 3RD OT</v>
      </c>
      <c r="I965" t="str">
        <f>IFERROR(__xludf.DUMMYFUNCTION("""COMPUTED_VALUE"""),"6½")</f>
        <v>6½</v>
      </c>
      <c r="J965" t="str">
        <f>IFERROR(__xludf.DUMMYFUNCTION("""COMPUTED_VALUE"""),"49½")</f>
        <v>49½</v>
      </c>
      <c r="K965" t="str">
        <f>IFERROR(__xludf.DUMMYFUNCTION("""COMPUTED_VALUE"""),"Janice/Mike")</f>
        <v>Janice/Mike</v>
      </c>
      <c r="L965" t="str">
        <f>IFERROR(__xludf.DUMMYFUNCTION("""COMPUTED_VALUE"""),"FINAL - 3RD OT")</f>
        <v>FINAL - 3RD OT</v>
      </c>
      <c r="M965" s="124">
        <v>8.0</v>
      </c>
    </row>
    <row r="966">
      <c r="A966" s="151">
        <f>IFERROR(__xludf.DUMMYFUNCTION("""COMPUTED_VALUE"""),43758.147747337964)</f>
        <v>43758.14775</v>
      </c>
      <c r="B966" t="str">
        <f>IFERROR(__xludf.DUMMYFUNCTION("""COMPUTED_VALUE"""),"DavEmily")</f>
        <v>DavEmily</v>
      </c>
      <c r="C966" t="str">
        <f>IFERROR(__xludf.DUMMYFUNCTION("""COMPUTED_VALUE"""),"Tulsa")</f>
        <v>Tulsa</v>
      </c>
      <c r="D966">
        <f>IFERROR(__xludf.DUMMYFUNCTION("""COMPUTED_VALUE"""),2.0)</f>
        <v>2</v>
      </c>
      <c r="E966">
        <f>IFERROR(__xludf.DUMMYFUNCTION("""COMPUTED_VALUE"""),5.0)</f>
        <v>5</v>
      </c>
      <c r="F966" t="str">
        <f>IFERROR(__xludf.DUMMYFUNCTION("""COMPUTED_VALUE"""),"ESPNU")</f>
        <v>ESPNU</v>
      </c>
      <c r="G966" t="str">
        <f>IFERROR(__xludf.DUMMYFUNCTION("""COMPUTED_VALUE"""),"Tulsa 13 at (21) Cincinnati 24")</f>
        <v>Tulsa 13 at (21) Cincinnati 24</v>
      </c>
      <c r="H966" t="str">
        <f>IFERROR(__xludf.DUMMYFUNCTION("""COMPUTED_VALUE"""),"FINAL")</f>
        <v>FINAL</v>
      </c>
      <c r="I966">
        <f>IFERROR(__xludf.DUMMYFUNCTION("""COMPUTED_VALUE"""),17.0)</f>
        <v>17</v>
      </c>
      <c r="J966" t="str">
        <f>IFERROR(__xludf.DUMMYFUNCTION("""COMPUTED_VALUE"""),"50½")</f>
        <v>50½</v>
      </c>
      <c r="K966" t="str">
        <f>IFERROR(__xludf.DUMMYFUNCTION("""COMPUTED_VALUE"""),"Vu")</f>
        <v>Vu</v>
      </c>
      <c r="L966" t="str">
        <f>IFERROR(__xludf.DUMMYFUNCTION("""COMPUTED_VALUE"""),"FINAL")</f>
        <v>FINAL</v>
      </c>
      <c r="M966" s="124">
        <v>8.0</v>
      </c>
    </row>
    <row r="967">
      <c r="A967" s="151">
        <f>IFERROR(__xludf.DUMMYFUNCTION("""COMPUTED_VALUE"""),43758.147747337964)</f>
        <v>43758.14775</v>
      </c>
      <c r="B967" t="str">
        <f>IFERROR(__xludf.DUMMYFUNCTION("""COMPUTED_VALUE"""),"DavEmily")</f>
        <v>DavEmily</v>
      </c>
      <c r="C967" t="str">
        <f>IFERROR(__xludf.DUMMYFUNCTION("""COMPUTED_VALUE"""),"Virginia Tech")</f>
        <v>Virginia Tech</v>
      </c>
      <c r="D967">
        <f>IFERROR(__xludf.DUMMYFUNCTION("""COMPUTED_VALUE"""),5.0)</f>
        <v>5</v>
      </c>
      <c r="E967">
        <f>IFERROR(__xludf.DUMMYFUNCTION("""COMPUTED_VALUE"""),2.0)</f>
        <v>2</v>
      </c>
      <c r="F967" t="str">
        <f>IFERROR(__xludf.DUMMYFUNCTION("""COMPUTED_VALUE"""),"ACC RSN")</f>
        <v>ACC RSN</v>
      </c>
      <c r="G967" t="str">
        <f>IFERROR(__xludf.DUMMYFUNCTION("""COMPUTED_VALUE"""),"North Carolina 41 at Virginia Tech 43")</f>
        <v>North Carolina 41 at Virginia Tech 43</v>
      </c>
      <c r="H967" t="str">
        <f>IFERROR(__xludf.DUMMYFUNCTION("""COMPUTED_VALUE"""),"FINAL - 6TH OT")</f>
        <v>FINAL - 6TH OT</v>
      </c>
      <c r="I967">
        <f>IFERROR(__xludf.DUMMYFUNCTION("""COMPUTED_VALUE"""),3.0)</f>
        <v>3</v>
      </c>
      <c r="J967" t="str">
        <f>IFERROR(__xludf.DUMMYFUNCTION("""COMPUTED_VALUE"""),"56½")</f>
        <v>56½</v>
      </c>
      <c r="K967" t="str">
        <f>IFERROR(__xludf.DUMMYFUNCTION("""COMPUTED_VALUE"""),"Nico")</f>
        <v>Nico</v>
      </c>
      <c r="L967" t="str">
        <f>IFERROR(__xludf.DUMMYFUNCTION("""COMPUTED_VALUE"""),"FINAL - 6TH OT")</f>
        <v>FINAL - 6TH OT</v>
      </c>
      <c r="M967" s="124">
        <v>8.0</v>
      </c>
    </row>
    <row r="968">
      <c r="A968" s="151">
        <f>IFERROR(__xludf.DUMMYFUNCTION("""COMPUTED_VALUE"""),43758.147747337964)</f>
        <v>43758.14775</v>
      </c>
      <c r="B968" t="str">
        <f>IFERROR(__xludf.DUMMYFUNCTION("""COMPUTED_VALUE"""),"DavEmily")</f>
        <v>DavEmily</v>
      </c>
      <c r="C968" t="str">
        <f>IFERROR(__xludf.DUMMYFUNCTION("""COMPUTED_VALUE"""),"UTSA")</f>
        <v>UTSA</v>
      </c>
      <c r="D968">
        <f>IFERROR(__xludf.DUMMYFUNCTION("""COMPUTED_VALUE"""),3.0)</f>
        <v>3</v>
      </c>
      <c r="E968">
        <f>IFERROR(__xludf.DUMMYFUNCTION("""COMPUTED_VALUE"""),4.0)</f>
        <v>4</v>
      </c>
      <c r="F968" t="str">
        <f>IFERROR(__xludf.DUMMYFUNCTION("""COMPUTED_VALUE"""),"espn3 Video")</f>
        <v>espn3 Video</v>
      </c>
      <c r="G968" t="str">
        <f>IFERROR(__xludf.DUMMYFUNCTION("""COMPUTED_VALUE"""),"Rice 27 at UTSA 31")</f>
        <v>Rice 27 at UTSA 31</v>
      </c>
      <c r="H968" t="str">
        <f>IFERROR(__xludf.DUMMYFUNCTION("""COMPUTED_VALUE"""),"FINAL")</f>
        <v>FINAL</v>
      </c>
      <c r="I968">
        <f>IFERROR(__xludf.DUMMYFUNCTION("""COMPUTED_VALUE"""),4.0)</f>
        <v>4</v>
      </c>
      <c r="J968" t="str">
        <f>IFERROR(__xludf.DUMMYFUNCTION("""COMPUTED_VALUE"""),"44½")</f>
        <v>44½</v>
      </c>
      <c r="K968" t="str">
        <f>IFERROR(__xludf.DUMMYFUNCTION("""COMPUTED_VALUE"""),"Undrafted")</f>
        <v>Undrafted</v>
      </c>
      <c r="L968" t="str">
        <f>IFERROR(__xludf.DUMMYFUNCTION("""COMPUTED_VALUE"""),"FINAL")</f>
        <v>FINAL</v>
      </c>
      <c r="M968" s="124">
        <v>8.0</v>
      </c>
    </row>
    <row r="969">
      <c r="A969" s="151">
        <f>IFERROR(__xludf.DUMMYFUNCTION("""COMPUTED_VALUE"""),43758.147747337964)</f>
        <v>43758.14775</v>
      </c>
      <c r="B969" t="str">
        <f>IFERROR(__xludf.DUMMYFUNCTION("""COMPUTED_VALUE"""),"DavEmily")</f>
        <v>DavEmily</v>
      </c>
      <c r="C969" t="str">
        <f>IFERROR(__xludf.DUMMYFUNCTION("""COMPUTED_VALUE"""),"Alabama")</f>
        <v>Alabama</v>
      </c>
      <c r="D969">
        <f>IFERROR(__xludf.DUMMYFUNCTION("""COMPUTED_VALUE"""),7.0)</f>
        <v>7</v>
      </c>
      <c r="E969">
        <f>IFERROR(__xludf.DUMMYFUNCTION("""COMPUTED_VALUE"""),0.0)</f>
        <v>0</v>
      </c>
      <c r="F969" t="str">
        <f>IFERROR(__xludf.DUMMYFUNCTION("""COMPUTED_VALUE"""),"ESPN")</f>
        <v>ESPN</v>
      </c>
      <c r="G969" t="str">
        <f>IFERROR(__xludf.DUMMYFUNCTION("""COMPUTED_VALUE"""),"Tennessee 13 at (1) Alabama 35")</f>
        <v>Tennessee 13 at (1) Alabama 35</v>
      </c>
      <c r="H969" t="str">
        <f>IFERROR(__xludf.DUMMYFUNCTION("""COMPUTED_VALUE"""),"FINAL")</f>
        <v>FINAL</v>
      </c>
      <c r="I969" t="str">
        <f>IFERROR(__xludf.DUMMYFUNCTION("""COMPUTED_VALUE"""),"-34½")</f>
        <v>-34½</v>
      </c>
      <c r="J969">
        <f>IFERROR(__xludf.DUMMYFUNCTION("""COMPUTED_VALUE"""),62.0)</f>
        <v>62</v>
      </c>
      <c r="K969" t="str">
        <f>IFERROR(__xludf.DUMMYFUNCTION("""COMPUTED_VALUE"""),"Justin")</f>
        <v>Justin</v>
      </c>
      <c r="L969" t="str">
        <f>IFERROR(__xludf.DUMMYFUNCTION("""COMPUTED_VALUE"""),"FINAL")</f>
        <v>FINAL</v>
      </c>
      <c r="M969" s="124">
        <v>8.0</v>
      </c>
    </row>
    <row r="970">
      <c r="A970" s="151">
        <f>IFERROR(__xludf.DUMMYFUNCTION("""COMPUTED_VALUE"""),43758.147747337964)</f>
        <v>43758.14775</v>
      </c>
      <c r="B970" t="str">
        <f>IFERROR(__xludf.DUMMYFUNCTION("""COMPUTED_VALUE"""),"DavEmily")</f>
        <v>DavEmily</v>
      </c>
      <c r="C970" t="str">
        <f>IFERROR(__xludf.DUMMYFUNCTION("""COMPUTED_VALUE"""),"Notre Dame")</f>
        <v>Notre Dame</v>
      </c>
      <c r="D970">
        <f>IFERROR(__xludf.DUMMYFUNCTION("""COMPUTED_VALUE"""),5.0)</f>
        <v>5</v>
      </c>
      <c r="E970">
        <f>IFERROR(__xludf.DUMMYFUNCTION("""COMPUTED_VALUE"""),1.0)</f>
        <v>1</v>
      </c>
      <c r="F970" t="str">
        <f>IFERROR(__xludf.DUMMYFUNCTION("""COMPUTED_VALUE"""),"NA")</f>
        <v>NA</v>
      </c>
      <c r="G970" t="str">
        <f>IFERROR(__xludf.DUMMYFUNCTION("""COMPUTED_VALUE"""),"BYE")</f>
        <v>BYE</v>
      </c>
      <c r="I970" t="str">
        <f>IFERROR(__xludf.DUMMYFUNCTION("""COMPUTED_VALUE"""),"bye")</f>
        <v>bye</v>
      </c>
      <c r="J970" t="str">
        <f>IFERROR(__xludf.DUMMYFUNCTION("""COMPUTED_VALUE"""),"bye")</f>
        <v>bye</v>
      </c>
      <c r="L970">
        <f>IFERROR(__xludf.DUMMYFUNCTION("""COMPUTED_VALUE"""),9999.0)</f>
        <v>9999</v>
      </c>
      <c r="M970" s="124">
        <v>8.0</v>
      </c>
    </row>
    <row r="971">
      <c r="A971" s="151">
        <f>IFERROR(__xludf.DUMMYFUNCTION("""COMPUTED_VALUE"""),43758.147747337964)</f>
        <v>43758.14775</v>
      </c>
      <c r="B971" t="str">
        <f>IFERROR(__xludf.DUMMYFUNCTION("""COMPUTED_VALUE"""),"DavEmily")</f>
        <v>DavEmily</v>
      </c>
      <c r="C971" t="str">
        <f>IFERROR(__xludf.DUMMYFUNCTION("""COMPUTED_VALUE"""),"Nebraska")</f>
        <v>Nebraska</v>
      </c>
      <c r="D971">
        <f>IFERROR(__xludf.DUMMYFUNCTION("""COMPUTED_VALUE"""),4.0)</f>
        <v>4</v>
      </c>
      <c r="E971">
        <f>IFERROR(__xludf.DUMMYFUNCTION("""COMPUTED_VALUE"""),3.0)</f>
        <v>3</v>
      </c>
      <c r="F971" t="str">
        <f>IFERROR(__xludf.DUMMYFUNCTION("""COMPUTED_VALUE"""),"NA")</f>
        <v>NA</v>
      </c>
      <c r="G971" t="str">
        <f>IFERROR(__xludf.DUMMYFUNCTION("""COMPUTED_VALUE"""),"BYE")</f>
        <v>BYE</v>
      </c>
      <c r="I971" t="str">
        <f>IFERROR(__xludf.DUMMYFUNCTION("""COMPUTED_VALUE"""),"bye")</f>
        <v>bye</v>
      </c>
      <c r="J971" t="str">
        <f>IFERROR(__xludf.DUMMYFUNCTION("""COMPUTED_VALUE"""),"bye")</f>
        <v>bye</v>
      </c>
      <c r="L971">
        <f>IFERROR(__xludf.DUMMYFUNCTION("""COMPUTED_VALUE"""),9999.0)</f>
        <v>9999</v>
      </c>
      <c r="M971" s="124">
        <v>8.0</v>
      </c>
    </row>
    <row r="972">
      <c r="A972" s="151">
        <f>IFERROR(__xludf.DUMMYFUNCTION("""COMPUTED_VALUE"""),43758.147747337964)</f>
        <v>43758.14775</v>
      </c>
      <c r="B972" t="str">
        <f>IFERROR(__xludf.DUMMYFUNCTION("""COMPUTED_VALUE"""),"Nick A.")</f>
        <v>Nick A.</v>
      </c>
      <c r="C972" t="str">
        <f>IFERROR(__xludf.DUMMYFUNCTION("""COMPUTED_VALUE"""),"Clemson")</f>
        <v>Clemson</v>
      </c>
      <c r="D972">
        <f>IFERROR(__xludf.DUMMYFUNCTION("""COMPUTED_VALUE"""),7.0)</f>
        <v>7</v>
      </c>
      <c r="E972">
        <f>IFERROR(__xludf.DUMMYFUNCTION("""COMPUTED_VALUE"""),0.0)</f>
        <v>0</v>
      </c>
      <c r="F972" t="str">
        <f>IFERROR(__xludf.DUMMYFUNCTION("""COMPUTED_VALUE"""),"ABC")</f>
        <v>ABC</v>
      </c>
      <c r="G972" t="str">
        <f>IFERROR(__xludf.DUMMYFUNCTION("""COMPUTED_VALUE"""),"(2) Clemson 45 at Louisville 10")</f>
        <v>(2) Clemson 45 at Louisville 10</v>
      </c>
      <c r="H972" t="str">
        <f>IFERROR(__xludf.DUMMYFUNCTION("""COMPUTED_VALUE"""),"FINAL")</f>
        <v>FINAL</v>
      </c>
      <c r="I972" t="str">
        <f>IFERROR(__xludf.DUMMYFUNCTION("""COMPUTED_VALUE"""),"-24½ E")</f>
        <v>-24½ E</v>
      </c>
      <c r="J972" t="str">
        <f>IFERROR(__xludf.DUMMYFUNCTION("""COMPUTED_VALUE"""),"62½")</f>
        <v>62½</v>
      </c>
      <c r="K972" t="str">
        <f>IFERROR(__xludf.DUMMYFUNCTION("""COMPUTED_VALUE"""),"Undrafted")</f>
        <v>Undrafted</v>
      </c>
      <c r="L972" t="str">
        <f>IFERROR(__xludf.DUMMYFUNCTION("""COMPUTED_VALUE"""),"FINAL")</f>
        <v>FINAL</v>
      </c>
      <c r="M972" s="124">
        <v>8.0</v>
      </c>
    </row>
    <row r="973">
      <c r="A973" s="151">
        <f>IFERROR(__xludf.DUMMYFUNCTION("""COMPUTED_VALUE"""),43758.147747337964)</f>
        <v>43758.14775</v>
      </c>
      <c r="B973" t="str">
        <f>IFERROR(__xludf.DUMMYFUNCTION("""COMPUTED_VALUE"""),"Nick A.")</f>
        <v>Nick A.</v>
      </c>
      <c r="C973" t="str">
        <f>IFERROR(__xludf.DUMMYFUNCTION("""COMPUTED_VALUE"""),"Iowa State")</f>
        <v>Iowa State</v>
      </c>
      <c r="D973">
        <f>IFERROR(__xludf.DUMMYFUNCTION("""COMPUTED_VALUE"""),5.0)</f>
        <v>5</v>
      </c>
      <c r="E973">
        <f>IFERROR(__xludf.DUMMYFUNCTION("""COMPUTED_VALUE"""),2.0)</f>
        <v>2</v>
      </c>
      <c r="F973" t="str">
        <f>IFERROR(__xludf.DUMMYFUNCTION("""COMPUTED_VALUE"""),"FS1")</f>
        <v>FS1</v>
      </c>
      <c r="G973" t="str">
        <f>IFERROR(__xludf.DUMMYFUNCTION("""COMPUTED_VALUE"""),"Iowa State 34 at Texas Tech 24")</f>
        <v>Iowa State 34 at Texas Tech 24</v>
      </c>
      <c r="H973" t="str">
        <f>IFERROR(__xludf.DUMMYFUNCTION("""COMPUTED_VALUE"""),"FINAL")</f>
        <v>FINAL</v>
      </c>
      <c r="I973">
        <f>IFERROR(__xludf.DUMMYFUNCTION("""COMPUTED_VALUE"""),-7.0)</f>
        <v>-7</v>
      </c>
      <c r="J973" t="str">
        <f>IFERROR(__xludf.DUMMYFUNCTION("""COMPUTED_VALUE"""),"57½")</f>
        <v>57½</v>
      </c>
      <c r="K973" t="str">
        <f>IFERROR(__xludf.DUMMYFUNCTION("""COMPUTED_VALUE"""),"Janice/Mike")</f>
        <v>Janice/Mike</v>
      </c>
      <c r="L973" t="str">
        <f>IFERROR(__xludf.DUMMYFUNCTION("""COMPUTED_VALUE"""),"FINAL")</f>
        <v>FINAL</v>
      </c>
      <c r="M973" s="124">
        <v>8.0</v>
      </c>
    </row>
    <row r="974">
      <c r="A974" s="151">
        <f>IFERROR(__xludf.DUMMYFUNCTION("""COMPUTED_VALUE"""),43758.147747337964)</f>
        <v>43758.14775</v>
      </c>
      <c r="B974" t="str">
        <f>IFERROR(__xludf.DUMMYFUNCTION("""COMPUTED_VALUE"""),"Nick A.")</f>
        <v>Nick A.</v>
      </c>
      <c r="C974" t="str">
        <f>IFERROR(__xludf.DUMMYFUNCTION("""COMPUTED_VALUE"""),"Bowling Green")</f>
        <v>Bowling Green</v>
      </c>
      <c r="D974">
        <f>IFERROR(__xludf.DUMMYFUNCTION("""COMPUTED_VALUE"""),2.0)</f>
        <v>2</v>
      </c>
      <c r="E974">
        <f>IFERROR(__xludf.DUMMYFUNCTION("""COMPUTED_VALUE"""),5.0)</f>
        <v>5</v>
      </c>
      <c r="F974" t="str">
        <f>IFERROR(__xludf.DUMMYFUNCTION("""COMPUTED_VALUE"""),"espn3 Video")</f>
        <v>espn3 Video</v>
      </c>
      <c r="G974" t="str">
        <f>IFERROR(__xludf.DUMMYFUNCTION("""COMPUTED_VALUE"""),"Central Michigan 38 at Bowling Green 20")</f>
        <v>Central Michigan 38 at Bowling Green 20</v>
      </c>
      <c r="H974" t="str">
        <f>IFERROR(__xludf.DUMMYFUNCTION("""COMPUTED_VALUE"""),"FINAL")</f>
        <v>FINAL</v>
      </c>
      <c r="I974">
        <f>IFERROR(__xludf.DUMMYFUNCTION("""COMPUTED_VALUE"""),12.0)</f>
        <v>12</v>
      </c>
      <c r="J974" t="str">
        <f>IFERROR(__xludf.DUMMYFUNCTION("""COMPUTED_VALUE"""),"54½")</f>
        <v>54½</v>
      </c>
      <c r="K974" t="str">
        <f>IFERROR(__xludf.DUMMYFUNCTION("""COMPUTED_VALUE"""),"Nick G.")</f>
        <v>Nick G.</v>
      </c>
      <c r="L974" t="str">
        <f>IFERROR(__xludf.DUMMYFUNCTION("""COMPUTED_VALUE"""),"FINAL")</f>
        <v>FINAL</v>
      </c>
      <c r="M974" s="124">
        <v>8.0</v>
      </c>
    </row>
    <row r="975">
      <c r="A975" s="151">
        <f>IFERROR(__xludf.DUMMYFUNCTION("""COMPUTED_VALUE"""),43758.147747337964)</f>
        <v>43758.14775</v>
      </c>
      <c r="B975" t="str">
        <f>IFERROR(__xludf.DUMMYFUNCTION("""COMPUTED_VALUE"""),"Nick A.")</f>
        <v>Nick A.</v>
      </c>
      <c r="C975" t="str">
        <f>IFERROR(__xludf.DUMMYFUNCTION("""COMPUTED_VALUE"""),"LSU")</f>
        <v>LSU</v>
      </c>
      <c r="D975">
        <f>IFERROR(__xludf.DUMMYFUNCTION("""COMPUTED_VALUE"""),7.0)</f>
        <v>7</v>
      </c>
      <c r="E975">
        <f>IFERROR(__xludf.DUMMYFUNCTION("""COMPUTED_VALUE"""),0.0)</f>
        <v>0</v>
      </c>
      <c r="F975" t="str">
        <f>IFERROR(__xludf.DUMMYFUNCTION("""COMPUTED_VALUE"""),"CBS")</f>
        <v>CBS</v>
      </c>
      <c r="G975" t="str">
        <f>IFERROR(__xludf.DUMMYFUNCTION("""COMPUTED_VALUE"""),"(3) LSU 36 at Mississippi State 13")</f>
        <v>(3) LSU 36 at Mississippi State 13</v>
      </c>
      <c r="H975" t="str">
        <f>IFERROR(__xludf.DUMMYFUNCTION("""COMPUTED_VALUE"""),"FINAL")</f>
        <v>FINAL</v>
      </c>
      <c r="I975" t="str">
        <f>IFERROR(__xludf.DUMMYFUNCTION("""COMPUTED_VALUE"""),"-19½")</f>
        <v>-19½</v>
      </c>
      <c r="J975" t="str">
        <f>IFERROR(__xludf.DUMMYFUNCTION("""COMPUTED_VALUE"""),"61½")</f>
        <v>61½</v>
      </c>
      <c r="K975" t="str">
        <f>IFERROR(__xludf.DUMMYFUNCTION("""COMPUTED_VALUE"""),"Jeannine")</f>
        <v>Jeannine</v>
      </c>
      <c r="L975" t="str">
        <f>IFERROR(__xludf.DUMMYFUNCTION("""COMPUTED_VALUE"""),"FINAL")</f>
        <v>FINAL</v>
      </c>
      <c r="M975" s="124">
        <v>8.0</v>
      </c>
    </row>
    <row r="976">
      <c r="A976" s="151">
        <f>IFERROR(__xludf.DUMMYFUNCTION("""COMPUTED_VALUE"""),43758.147747337964)</f>
        <v>43758.14775</v>
      </c>
      <c r="B976" t="str">
        <f>IFERROR(__xludf.DUMMYFUNCTION("""COMPUTED_VALUE"""),"Nick A.")</f>
        <v>Nick A.</v>
      </c>
      <c r="C976" t="str">
        <f>IFERROR(__xludf.DUMMYFUNCTION("""COMPUTED_VALUE"""),"Old Dominion")</f>
        <v>Old Dominion</v>
      </c>
      <c r="D976">
        <f>IFERROR(__xludf.DUMMYFUNCTION("""COMPUTED_VALUE"""),1.0)</f>
        <v>1</v>
      </c>
      <c r="E976">
        <f>IFERROR(__xludf.DUMMYFUNCTION("""COMPUTED_VALUE"""),6.0)</f>
        <v>6</v>
      </c>
      <c r="F976" t="str">
        <f>IFERROR(__xludf.DUMMYFUNCTION("""COMPUTED_VALUE"""),"espn+ Video")</f>
        <v>espn+ Video</v>
      </c>
      <c r="G976" t="str">
        <f>IFERROR(__xludf.DUMMYFUNCTION("""COMPUTED_VALUE"""),"Old Dominion 14 at UAB 38")</f>
        <v>Old Dominion 14 at UAB 38</v>
      </c>
      <c r="H976" t="str">
        <f>IFERROR(__xludf.DUMMYFUNCTION("""COMPUTED_VALUE"""),"FINAL")</f>
        <v>FINAL</v>
      </c>
      <c r="I976" t="str">
        <f>IFERROR(__xludf.DUMMYFUNCTION("""COMPUTED_VALUE"""),"15½")</f>
        <v>15½</v>
      </c>
      <c r="J976">
        <f>IFERROR(__xludf.DUMMYFUNCTION("""COMPUTED_VALUE"""),44.0)</f>
        <v>44</v>
      </c>
      <c r="K976" t="str">
        <f>IFERROR(__xludf.DUMMYFUNCTION("""COMPUTED_VALUE"""),"Jeannine")</f>
        <v>Jeannine</v>
      </c>
      <c r="L976" t="str">
        <f>IFERROR(__xludf.DUMMYFUNCTION("""COMPUTED_VALUE"""),"FINAL")</f>
        <v>FINAL</v>
      </c>
      <c r="M976" s="124">
        <v>8.0</v>
      </c>
    </row>
    <row r="977">
      <c r="A977" s="151">
        <f>IFERROR(__xludf.DUMMYFUNCTION("""COMPUTED_VALUE"""),43758.147747337964)</f>
        <v>43758.14775</v>
      </c>
      <c r="B977" t="str">
        <f>IFERROR(__xludf.DUMMYFUNCTION("""COMPUTED_VALUE"""),"Nick A.")</f>
        <v>Nick A.</v>
      </c>
      <c r="C977" t="str">
        <f>IFERROR(__xludf.DUMMYFUNCTION("""COMPUTED_VALUE"""),"East Carolina")</f>
        <v>East Carolina</v>
      </c>
      <c r="D977">
        <f>IFERROR(__xludf.DUMMYFUNCTION("""COMPUTED_VALUE"""),3.0)</f>
        <v>3</v>
      </c>
      <c r="E977">
        <f>IFERROR(__xludf.DUMMYFUNCTION("""COMPUTED_VALUE"""),4.0)</f>
        <v>4</v>
      </c>
      <c r="F977" t="str">
        <f>IFERROR(__xludf.DUMMYFUNCTION("""COMPUTED_VALUE"""),"CBSSN")</f>
        <v>CBSSN</v>
      </c>
      <c r="G977" t="str">
        <f>IFERROR(__xludf.DUMMYFUNCTION("""COMPUTED_VALUE"""),"East Carolina 28 at UCF 41")</f>
        <v>East Carolina 28 at UCF 41</v>
      </c>
      <c r="H977" t="str">
        <f>IFERROR(__xludf.DUMMYFUNCTION("""COMPUTED_VALUE"""),"FINAL")</f>
        <v>FINAL</v>
      </c>
      <c r="I977">
        <f>IFERROR(__xludf.DUMMYFUNCTION("""COMPUTED_VALUE"""),33.0)</f>
        <v>33</v>
      </c>
      <c r="J977">
        <f>IFERROR(__xludf.DUMMYFUNCTION("""COMPUTED_VALUE"""),61.0)</f>
        <v>61</v>
      </c>
      <c r="K977" t="str">
        <f>IFERROR(__xludf.DUMMYFUNCTION("""COMPUTED_VALUE"""),"Adam")</f>
        <v>Adam</v>
      </c>
      <c r="L977" t="str">
        <f>IFERROR(__xludf.DUMMYFUNCTION("""COMPUTED_VALUE"""),"FINAL")</f>
        <v>FINAL</v>
      </c>
      <c r="M977" s="124">
        <v>8.0</v>
      </c>
    </row>
    <row r="978">
      <c r="A978" s="151">
        <f>IFERROR(__xludf.DUMMYFUNCTION("""COMPUTED_VALUE"""),43758.147747337964)</f>
        <v>43758.14775</v>
      </c>
      <c r="B978" t="str">
        <f>IFERROR(__xludf.DUMMYFUNCTION("""COMPUTED_VALUE"""),"Nick A.")</f>
        <v>Nick A.</v>
      </c>
      <c r="C978" t="str">
        <f>IFERROR(__xludf.DUMMYFUNCTION("""COMPUTED_VALUE"""),"San Diego State")</f>
        <v>San Diego State</v>
      </c>
      <c r="D978">
        <f>IFERROR(__xludf.DUMMYFUNCTION("""COMPUTED_VALUE"""),6.0)</f>
        <v>6</v>
      </c>
      <c r="E978">
        <f>IFERROR(__xludf.DUMMYFUNCTION("""COMPUTED_VALUE"""),1.0)</f>
        <v>1</v>
      </c>
      <c r="F978" t="str">
        <f>IFERROR(__xludf.DUMMYFUNCTION("""COMPUTED_VALUE"""),"Facebook Video")</f>
        <v>Facebook Video</v>
      </c>
      <c r="G978" t="str">
        <f>IFERROR(__xludf.DUMMYFUNCTION("""COMPUTED_VALUE"""),"San Diego State 27 at San José State 17")</f>
        <v>San Diego State 27 at San José State 17</v>
      </c>
      <c r="H978" t="str">
        <f>IFERROR(__xludf.DUMMYFUNCTION("""COMPUTED_VALUE"""),"FINAL")</f>
        <v>FINAL</v>
      </c>
      <c r="I978">
        <f>IFERROR(__xludf.DUMMYFUNCTION("""COMPUTED_VALUE"""),-8.0)</f>
        <v>-8</v>
      </c>
      <c r="J978" t="str">
        <f>IFERROR(__xludf.DUMMYFUNCTION("""COMPUTED_VALUE"""),"47½")</f>
        <v>47½</v>
      </c>
      <c r="K978" t="str">
        <f>IFERROR(__xludf.DUMMYFUNCTION("""COMPUTED_VALUE"""),"Jeannine")</f>
        <v>Jeannine</v>
      </c>
      <c r="L978" t="str">
        <f>IFERROR(__xludf.DUMMYFUNCTION("""COMPUTED_VALUE"""),"FINAL")</f>
        <v>FINAL</v>
      </c>
      <c r="M978" s="124">
        <v>8.0</v>
      </c>
    </row>
    <row r="979">
      <c r="A979" s="151">
        <f>IFERROR(__xludf.DUMMYFUNCTION("""COMPUTED_VALUE"""),43758.147747337964)</f>
        <v>43758.14775</v>
      </c>
      <c r="B979" t="str">
        <f>IFERROR(__xludf.DUMMYFUNCTION("""COMPUTED_VALUE"""),"Nick A.")</f>
        <v>Nick A.</v>
      </c>
      <c r="C979" t="str">
        <f>IFERROR(__xludf.DUMMYFUNCTION("""COMPUTED_VALUE"""),"Washington State")</f>
        <v>Washington State</v>
      </c>
      <c r="D979">
        <f>IFERROR(__xludf.DUMMYFUNCTION("""COMPUTED_VALUE"""),4.0)</f>
        <v>4</v>
      </c>
      <c r="E979">
        <f>IFERROR(__xludf.DUMMYFUNCTION("""COMPUTED_VALUE"""),3.0)</f>
        <v>3</v>
      </c>
      <c r="F979" t="str">
        <f>IFERROR(__xludf.DUMMYFUNCTION("""COMPUTED_VALUE"""),"ESPNU")</f>
        <v>ESPNU</v>
      </c>
      <c r="G979" t="str">
        <f>IFERROR(__xludf.DUMMYFUNCTION("""COMPUTED_VALUE"""),"Colorado 10 at Washington State 41")</f>
        <v>Colorado 10 at Washington State 41</v>
      </c>
      <c r="H979" t="str">
        <f>IFERROR(__xludf.DUMMYFUNCTION("""COMPUTED_VALUE"""),"FINAL")</f>
        <v>FINAL</v>
      </c>
      <c r="I979" t="str">
        <f>IFERROR(__xludf.DUMMYFUNCTION("""COMPUTED_VALUE"""),"-13½")</f>
        <v>-13½</v>
      </c>
      <c r="J979">
        <f>IFERROR(__xludf.DUMMYFUNCTION("""COMPUTED_VALUE"""),71.0)</f>
        <v>71</v>
      </c>
      <c r="K979" t="str">
        <f>IFERROR(__xludf.DUMMYFUNCTION("""COMPUTED_VALUE"""),"Jeannine")</f>
        <v>Jeannine</v>
      </c>
      <c r="L979" t="str">
        <f>IFERROR(__xludf.DUMMYFUNCTION("""COMPUTED_VALUE"""),"FINAL")</f>
        <v>FINAL</v>
      </c>
      <c r="M979" s="124">
        <v>8.0</v>
      </c>
    </row>
    <row r="980">
      <c r="A980" s="151">
        <f>IFERROR(__xludf.DUMMYFUNCTION("""COMPUTED_VALUE"""),43758.147747337964)</f>
        <v>43758.14775</v>
      </c>
      <c r="B980" t="str">
        <f>IFERROR(__xludf.DUMMYFUNCTION("""COMPUTED_VALUE"""),"Nick A.")</f>
        <v>Nick A.</v>
      </c>
      <c r="C980" t="str">
        <f>IFERROR(__xludf.DUMMYFUNCTION("""COMPUTED_VALUE"""),"New Mexico State")</f>
        <v>New Mexico State</v>
      </c>
      <c r="D980">
        <f>IFERROR(__xludf.DUMMYFUNCTION("""COMPUTED_VALUE"""),0.0)</f>
        <v>0</v>
      </c>
      <c r="E980">
        <f>IFERROR(__xludf.DUMMYFUNCTION("""COMPUTED_VALUE"""),7.0)</f>
        <v>7</v>
      </c>
      <c r="F980" t="str">
        <f>IFERROR(__xludf.DUMMYFUNCTION("""COMPUTED_VALUE"""),"NA")</f>
        <v>NA</v>
      </c>
      <c r="G980" t="str">
        <f>IFERROR(__xludf.DUMMYFUNCTION("""COMPUTED_VALUE"""),"BYE")</f>
        <v>BYE</v>
      </c>
      <c r="I980" t="str">
        <f>IFERROR(__xludf.DUMMYFUNCTION("""COMPUTED_VALUE"""),"bye")</f>
        <v>bye</v>
      </c>
      <c r="J980" t="str">
        <f>IFERROR(__xludf.DUMMYFUNCTION("""COMPUTED_VALUE"""),"bye")</f>
        <v>bye</v>
      </c>
      <c r="L980">
        <f>IFERROR(__xludf.DUMMYFUNCTION("""COMPUTED_VALUE"""),9999.0)</f>
        <v>9999</v>
      </c>
      <c r="M980" s="124">
        <v>8.0</v>
      </c>
    </row>
    <row r="981">
      <c r="A981" s="151">
        <f>IFERROR(__xludf.DUMMYFUNCTION("""COMPUTED_VALUE"""),43758.147747337964)</f>
        <v>43758.14775</v>
      </c>
      <c r="B981" t="str">
        <f>IFERROR(__xludf.DUMMYFUNCTION("""COMPUTED_VALUE"""),"Nick A.")</f>
        <v>Nick A.</v>
      </c>
      <c r="C981" t="str">
        <f>IFERROR(__xludf.DUMMYFUNCTION("""COMPUTED_VALUE"""),"Michigan State")</f>
        <v>Michigan State</v>
      </c>
      <c r="D981">
        <f>IFERROR(__xludf.DUMMYFUNCTION("""COMPUTED_VALUE"""),4.0)</f>
        <v>4</v>
      </c>
      <c r="E981">
        <f>IFERROR(__xludf.DUMMYFUNCTION("""COMPUTED_VALUE"""),3.0)</f>
        <v>3</v>
      </c>
      <c r="F981" t="str">
        <f>IFERROR(__xludf.DUMMYFUNCTION("""COMPUTED_VALUE"""),"NA")</f>
        <v>NA</v>
      </c>
      <c r="G981" t="str">
        <f>IFERROR(__xludf.DUMMYFUNCTION("""COMPUTED_VALUE"""),"BYE")</f>
        <v>BYE</v>
      </c>
      <c r="I981" t="str">
        <f>IFERROR(__xludf.DUMMYFUNCTION("""COMPUTED_VALUE"""),"bye")</f>
        <v>bye</v>
      </c>
      <c r="J981" t="str">
        <f>IFERROR(__xludf.DUMMYFUNCTION("""COMPUTED_VALUE"""),"bye")</f>
        <v>bye</v>
      </c>
      <c r="L981">
        <f>IFERROR(__xludf.DUMMYFUNCTION("""COMPUTED_VALUE"""),9999.0)</f>
        <v>9999</v>
      </c>
      <c r="M981" s="124">
        <v>8.0</v>
      </c>
    </row>
    <row r="982">
      <c r="A982" s="151">
        <f>IFERROR(__xludf.DUMMYFUNCTION("""COMPUTED_VALUE"""),43758.147747337964)</f>
        <v>43758.14775</v>
      </c>
      <c r="B982" t="str">
        <f>IFERROR(__xludf.DUMMYFUNCTION("""COMPUTED_VALUE"""),"Gary")</f>
        <v>Gary</v>
      </c>
      <c r="C982" t="str">
        <f>IFERROR(__xludf.DUMMYFUNCTION("""COMPUTED_VALUE"""),"UL Lafayette")</f>
        <v>UL Lafayette</v>
      </c>
      <c r="D982">
        <f>IFERROR(__xludf.DUMMYFUNCTION("""COMPUTED_VALUE"""),3.0)</f>
        <v>3</v>
      </c>
      <c r="E982">
        <f>IFERROR(__xludf.DUMMYFUNCTION("""COMPUTED_VALUE"""),1.0)</f>
        <v>1</v>
      </c>
      <c r="F982" t="str">
        <f>IFERROR(__xludf.DUMMYFUNCTION("""COMPUTED_VALUE"""),"NA")</f>
        <v>NA</v>
      </c>
      <c r="G982" t="str">
        <f>IFERROR(__xludf.DUMMYFUNCTION("""COMPUTED_VALUE"""),"UL Lafayette 37 at Arkansas State 20")</f>
        <v>UL Lafayette 37 at Arkansas State 20</v>
      </c>
      <c r="H982" t="str">
        <f>IFERROR(__xludf.DUMMYFUNCTION("""COMPUTED_VALUE"""),"FINAL")</f>
        <v>FINAL</v>
      </c>
      <c r="I982">
        <f>IFERROR(__xludf.DUMMYFUNCTION("""COMPUTED_VALUE"""),-6.0)</f>
        <v>-6</v>
      </c>
      <c r="J982" t="str">
        <f>IFERROR(__xludf.DUMMYFUNCTION("""COMPUTED_VALUE"""),"67½")</f>
        <v>67½</v>
      </c>
      <c r="K982" t="str">
        <f>IFERROR(__xludf.DUMMYFUNCTION("""COMPUTED_VALUE"""),"Nico")</f>
        <v>Nico</v>
      </c>
      <c r="L982" t="str">
        <f>IFERROR(__xludf.DUMMYFUNCTION("""COMPUTED_VALUE"""),"FINAL")</f>
        <v>FINAL</v>
      </c>
      <c r="M982" s="124">
        <v>8.0</v>
      </c>
    </row>
    <row r="983">
      <c r="A983" s="151">
        <f>IFERROR(__xludf.DUMMYFUNCTION("""COMPUTED_VALUE"""),43758.147747337964)</f>
        <v>43758.14775</v>
      </c>
      <c r="B983" t="str">
        <f>IFERROR(__xludf.DUMMYFUNCTION("""COMPUTED_VALUE"""),"Gary")</f>
        <v>Gary</v>
      </c>
      <c r="C983" t="str">
        <f>IFERROR(__xludf.DUMMYFUNCTION("""COMPUTED_VALUE"""),"UCLA")</f>
        <v>UCLA</v>
      </c>
      <c r="D983">
        <f>IFERROR(__xludf.DUMMYFUNCTION("""COMPUTED_VALUE"""),2.0)</f>
        <v>2</v>
      </c>
      <c r="E983">
        <f>IFERROR(__xludf.DUMMYFUNCTION("""COMPUTED_VALUE"""),5.0)</f>
        <v>5</v>
      </c>
      <c r="F983" t="str">
        <f>IFERROR(__xludf.DUMMYFUNCTION("""COMPUTED_VALUE"""),"ESPN")</f>
        <v>ESPN</v>
      </c>
      <c r="G983" t="str">
        <f>IFERROR(__xludf.DUMMYFUNCTION("""COMPUTED_VALUE"""),"UCLA 34 at Stanford 16")</f>
        <v>UCLA 34 at Stanford 16</v>
      </c>
      <c r="H983" t="str">
        <f>IFERROR(__xludf.DUMMYFUNCTION("""COMPUTED_VALUE"""),"FINAL")</f>
        <v>FINAL</v>
      </c>
      <c r="I983">
        <f>IFERROR(__xludf.DUMMYFUNCTION("""COMPUTED_VALUE"""),9.0)</f>
        <v>9</v>
      </c>
      <c r="J983">
        <f>IFERROR(__xludf.DUMMYFUNCTION("""COMPUTED_VALUE"""),54.0)</f>
        <v>54</v>
      </c>
      <c r="K983" t="str">
        <f>IFERROR(__xludf.DUMMYFUNCTION("""COMPUTED_VALUE"""),"Nick G.")</f>
        <v>Nick G.</v>
      </c>
      <c r="L983" t="str">
        <f>IFERROR(__xludf.DUMMYFUNCTION("""COMPUTED_VALUE"""),"FINAL")</f>
        <v>FINAL</v>
      </c>
      <c r="M983" s="124">
        <v>8.0</v>
      </c>
    </row>
    <row r="984">
      <c r="A984" s="151">
        <f>IFERROR(__xludf.DUMMYFUNCTION("""COMPUTED_VALUE"""),43758.147747337964)</f>
        <v>43758.14775</v>
      </c>
      <c r="B984" t="str">
        <f>IFERROR(__xludf.DUMMYFUNCTION("""COMPUTED_VALUE"""),"Gary")</f>
        <v>Gary</v>
      </c>
      <c r="C984" t="str">
        <f>IFERROR(__xludf.DUMMYFUNCTION("""COMPUTED_VALUE"""),"Marshall")</f>
        <v>Marshall</v>
      </c>
      <c r="D984">
        <f>IFERROR(__xludf.DUMMYFUNCTION("""COMPUTED_VALUE"""),4.0)</f>
        <v>4</v>
      </c>
      <c r="E984">
        <f>IFERROR(__xludf.DUMMYFUNCTION("""COMPUTED_VALUE"""),3.0)</f>
        <v>3</v>
      </c>
      <c r="F984" t="str">
        <f>IFERROR(__xludf.DUMMYFUNCTION("""COMPUTED_VALUE"""),"CBSSN")</f>
        <v>CBSSN</v>
      </c>
      <c r="G984" t="str">
        <f>IFERROR(__xludf.DUMMYFUNCTION("""COMPUTED_VALUE"""),"Marshall 36 at Florida Atlantic 31")</f>
        <v>Marshall 36 at Florida Atlantic 31</v>
      </c>
      <c r="H984" t="str">
        <f>IFERROR(__xludf.DUMMYFUNCTION("""COMPUTED_VALUE"""),"FINAL")</f>
        <v>FINAL</v>
      </c>
      <c r="I984" t="str">
        <f>IFERROR(__xludf.DUMMYFUNCTION("""COMPUTED_VALUE"""),"5½")</f>
        <v>5½</v>
      </c>
      <c r="J984" t="str">
        <f>IFERROR(__xludf.DUMMYFUNCTION("""COMPUTED_VALUE"""),"57½")</f>
        <v>57½</v>
      </c>
      <c r="K984" t="str">
        <f>IFERROR(__xludf.DUMMYFUNCTION("""COMPUTED_VALUE"""),"Nick G.")</f>
        <v>Nick G.</v>
      </c>
      <c r="L984" t="str">
        <f>IFERROR(__xludf.DUMMYFUNCTION("""COMPUTED_VALUE"""),"FINAL")</f>
        <v>FINAL</v>
      </c>
      <c r="M984" s="124">
        <v>8.0</v>
      </c>
    </row>
    <row r="985">
      <c r="A985" s="151">
        <f>IFERROR(__xludf.DUMMYFUNCTION("""COMPUTED_VALUE"""),43758.147747337964)</f>
        <v>43758.14775</v>
      </c>
      <c r="B985" t="str">
        <f>IFERROR(__xludf.DUMMYFUNCTION("""COMPUTED_VALUE"""),"Gary")</f>
        <v>Gary</v>
      </c>
      <c r="C985" t="str">
        <f>IFERROR(__xludf.DUMMYFUNCTION("""COMPUTED_VALUE"""),"Pittsburgh")</f>
        <v>Pittsburgh</v>
      </c>
      <c r="D985">
        <f>IFERROR(__xludf.DUMMYFUNCTION("""COMPUTED_VALUE"""),5.0)</f>
        <v>5</v>
      </c>
      <c r="E985">
        <f>IFERROR(__xludf.DUMMYFUNCTION("""COMPUTED_VALUE"""),2.0)</f>
        <v>2</v>
      </c>
      <c r="F985" t="str">
        <f>IFERROR(__xludf.DUMMYFUNCTION("""COMPUTED_VALUE"""),"ESPN")</f>
        <v>ESPN</v>
      </c>
      <c r="G985" t="str">
        <f>IFERROR(__xludf.DUMMYFUNCTION("""COMPUTED_VALUE"""),"Pittsburgh 27 at Syracuse 20")</f>
        <v>Pittsburgh 27 at Syracuse 20</v>
      </c>
      <c r="H985" t="str">
        <f>IFERROR(__xludf.DUMMYFUNCTION("""COMPUTED_VALUE"""),"FINAL")</f>
        <v>FINAL</v>
      </c>
      <c r="I985" t="str">
        <f>IFERROR(__xludf.DUMMYFUNCTION("""COMPUTED_VALUE"""),"-3½")</f>
        <v>-3½</v>
      </c>
      <c r="J985" t="str">
        <f>IFERROR(__xludf.DUMMYFUNCTION("""COMPUTED_VALUE"""),"51½")</f>
        <v>51½</v>
      </c>
      <c r="K985" t="str">
        <f>IFERROR(__xludf.DUMMYFUNCTION("""COMPUTED_VALUE"""),"Vu")</f>
        <v>Vu</v>
      </c>
      <c r="L985" t="str">
        <f>IFERROR(__xludf.DUMMYFUNCTION("""COMPUTED_VALUE"""),"FINAL")</f>
        <v>FINAL</v>
      </c>
      <c r="M985" s="124">
        <v>8.0</v>
      </c>
    </row>
    <row r="986">
      <c r="A986" s="151">
        <f>IFERROR(__xludf.DUMMYFUNCTION("""COMPUTED_VALUE"""),43758.147747337964)</f>
        <v>43758.14775</v>
      </c>
      <c r="B986" t="str">
        <f>IFERROR(__xludf.DUMMYFUNCTION("""COMPUTED_VALUE"""),"Gary")</f>
        <v>Gary</v>
      </c>
      <c r="C986" t="str">
        <f>IFERROR(__xludf.DUMMYFUNCTION("""COMPUTED_VALUE"""),"Ohio")</f>
        <v>Ohio</v>
      </c>
      <c r="D986">
        <f>IFERROR(__xludf.DUMMYFUNCTION("""COMPUTED_VALUE"""),3.0)</f>
        <v>3</v>
      </c>
      <c r="E986">
        <f>IFERROR(__xludf.DUMMYFUNCTION("""COMPUTED_VALUE"""),4.0)</f>
        <v>4</v>
      </c>
      <c r="F986" t="str">
        <f>IFERROR(__xludf.DUMMYFUNCTION("""COMPUTED_VALUE"""),"CBSSN")</f>
        <v>CBSSN</v>
      </c>
      <c r="G986" t="str">
        <f>IFERROR(__xludf.DUMMYFUNCTION("""COMPUTED_VALUE"""),"Kent State 38 at Ohio 45")</f>
        <v>Kent State 38 at Ohio 45</v>
      </c>
      <c r="H986" t="str">
        <f>IFERROR(__xludf.DUMMYFUNCTION("""COMPUTED_VALUE"""),"FINAL")</f>
        <v>FINAL</v>
      </c>
      <c r="I986" t="str">
        <f>IFERROR(__xludf.DUMMYFUNCTION("""COMPUTED_VALUE"""),"-7½")</f>
        <v>-7½</v>
      </c>
      <c r="J986" t="str">
        <f>IFERROR(__xludf.DUMMYFUNCTION("""COMPUTED_VALUE"""),"59½")</f>
        <v>59½</v>
      </c>
      <c r="K986" t="str">
        <f>IFERROR(__xludf.DUMMYFUNCTION("""COMPUTED_VALUE"""),"Vu")</f>
        <v>Vu</v>
      </c>
      <c r="L986" t="str">
        <f>IFERROR(__xludf.DUMMYFUNCTION("""COMPUTED_VALUE"""),"FINAL")</f>
        <v>FINAL</v>
      </c>
      <c r="M986" s="124">
        <v>8.0</v>
      </c>
    </row>
    <row r="987">
      <c r="A987" s="151">
        <f>IFERROR(__xludf.DUMMYFUNCTION("""COMPUTED_VALUE"""),43758.147747337964)</f>
        <v>43758.14775</v>
      </c>
      <c r="B987" t="str">
        <f>IFERROR(__xludf.DUMMYFUNCTION("""COMPUTED_VALUE"""),"Gary")</f>
        <v>Gary</v>
      </c>
      <c r="C987" t="str">
        <f>IFERROR(__xludf.DUMMYFUNCTION("""COMPUTED_VALUE"""),"Maryland")</f>
        <v>Maryland</v>
      </c>
      <c r="D987">
        <f>IFERROR(__xludf.DUMMYFUNCTION("""COMPUTED_VALUE"""),3.0)</f>
        <v>3</v>
      </c>
      <c r="E987">
        <f>IFERROR(__xludf.DUMMYFUNCTION("""COMPUTED_VALUE"""),4.0)</f>
        <v>4</v>
      </c>
      <c r="F987" t="str">
        <f>IFERROR(__xludf.DUMMYFUNCTION("""COMPUTED_VALUE"""),"BTN")</f>
        <v>BTN</v>
      </c>
      <c r="G987" t="str">
        <f>IFERROR(__xludf.DUMMYFUNCTION("""COMPUTED_VALUE"""),"Indiana 34 at Maryland 28")</f>
        <v>Indiana 34 at Maryland 28</v>
      </c>
      <c r="H987" t="str">
        <f>IFERROR(__xludf.DUMMYFUNCTION("""COMPUTED_VALUE"""),"FINAL")</f>
        <v>FINAL</v>
      </c>
      <c r="I987" t="str">
        <f>IFERROR(__xludf.DUMMYFUNCTION("""COMPUTED_VALUE"""),"3½")</f>
        <v>3½</v>
      </c>
      <c r="J987" t="str">
        <f>IFERROR(__xludf.DUMMYFUNCTION("""COMPUTED_VALUE"""),"56½")</f>
        <v>56½</v>
      </c>
      <c r="K987" t="str">
        <f>IFERROR(__xludf.DUMMYFUNCTION("""COMPUTED_VALUE"""),"Brad")</f>
        <v>Brad</v>
      </c>
      <c r="L987" t="str">
        <f>IFERROR(__xludf.DUMMYFUNCTION("""COMPUTED_VALUE"""),"FINAL")</f>
        <v>FINAL</v>
      </c>
      <c r="M987" s="124">
        <v>8.0</v>
      </c>
    </row>
    <row r="988">
      <c r="A988" s="151">
        <f>IFERROR(__xludf.DUMMYFUNCTION("""COMPUTED_VALUE"""),43758.147747337964)</f>
        <v>43758.14775</v>
      </c>
      <c r="B988" t="str">
        <f>IFERROR(__xludf.DUMMYFUNCTION("""COMPUTED_VALUE"""),"Gary")</f>
        <v>Gary</v>
      </c>
      <c r="C988" t="str">
        <f>IFERROR(__xludf.DUMMYFUNCTION("""COMPUTED_VALUE"""),"Missouri")</f>
        <v>Missouri</v>
      </c>
      <c r="D988">
        <f>IFERROR(__xludf.DUMMYFUNCTION("""COMPUTED_VALUE"""),5.0)</f>
        <v>5</v>
      </c>
      <c r="E988">
        <f>IFERROR(__xludf.DUMMYFUNCTION("""COMPUTED_VALUE"""),2.0)</f>
        <v>2</v>
      </c>
      <c r="F988" t="str">
        <f>IFERROR(__xludf.DUMMYFUNCTION("""COMPUTED_VALUE"""),"SEC Network")</f>
        <v>SEC Network</v>
      </c>
      <c r="G988" t="str">
        <f>IFERROR(__xludf.DUMMYFUNCTION("""COMPUTED_VALUE"""),"Missouri 14 at Vanderbilt 21")</f>
        <v>Missouri 14 at Vanderbilt 21</v>
      </c>
      <c r="H988" t="str">
        <f>IFERROR(__xludf.DUMMYFUNCTION("""COMPUTED_VALUE"""),"FINAL")</f>
        <v>FINAL</v>
      </c>
      <c r="I988">
        <f>IFERROR(__xludf.DUMMYFUNCTION("""COMPUTED_VALUE"""),-21.0)</f>
        <v>-21</v>
      </c>
      <c r="J988" t="str">
        <f>IFERROR(__xludf.DUMMYFUNCTION("""COMPUTED_VALUE"""),"56½")</f>
        <v>56½</v>
      </c>
      <c r="K988" t="str">
        <f>IFERROR(__xludf.DUMMYFUNCTION("""COMPUTED_VALUE"""),"Undrafted")</f>
        <v>Undrafted</v>
      </c>
      <c r="L988" t="str">
        <f>IFERROR(__xludf.DUMMYFUNCTION("""COMPUTED_VALUE"""),"FINAL")</f>
        <v>FINAL</v>
      </c>
      <c r="M988" s="124">
        <v>8.0</v>
      </c>
    </row>
    <row r="989">
      <c r="A989" s="151">
        <f>IFERROR(__xludf.DUMMYFUNCTION("""COMPUTED_VALUE"""),43758.147747337964)</f>
        <v>43758.14775</v>
      </c>
      <c r="B989" t="str">
        <f>IFERROR(__xludf.DUMMYFUNCTION("""COMPUTED_VALUE"""),"Gary")</f>
        <v>Gary</v>
      </c>
      <c r="C989" t="str">
        <f>IFERROR(__xludf.DUMMYFUNCTION("""COMPUTED_VALUE"""),"Tulane")</f>
        <v>Tulane</v>
      </c>
      <c r="D989">
        <f>IFERROR(__xludf.DUMMYFUNCTION("""COMPUTED_VALUE"""),5.0)</f>
        <v>5</v>
      </c>
      <c r="E989">
        <f>IFERROR(__xludf.DUMMYFUNCTION("""COMPUTED_VALUE"""),2.0)</f>
        <v>2</v>
      </c>
      <c r="F989" t="str">
        <f>IFERROR(__xludf.DUMMYFUNCTION("""COMPUTED_VALUE"""),"ESPN2")</f>
        <v>ESPN2</v>
      </c>
      <c r="G989" t="str">
        <f>IFERROR(__xludf.DUMMYFUNCTION("""COMPUTED_VALUE"""),"Tulane 17 at Memphis 47")</f>
        <v>Tulane 17 at Memphis 47</v>
      </c>
      <c r="H989" t="str">
        <f>IFERROR(__xludf.DUMMYFUNCTION("""COMPUTED_VALUE"""),"FINAL")</f>
        <v>FINAL</v>
      </c>
      <c r="I989">
        <f>IFERROR(__xludf.DUMMYFUNCTION("""COMPUTED_VALUE"""),4.0)</f>
        <v>4</v>
      </c>
      <c r="J989">
        <f>IFERROR(__xludf.DUMMYFUNCTION("""COMPUTED_VALUE"""),59.0)</f>
        <v>59</v>
      </c>
      <c r="K989" t="str">
        <f>IFERROR(__xludf.DUMMYFUNCTION("""COMPUTED_VALUE"""),"Brad")</f>
        <v>Brad</v>
      </c>
      <c r="L989" t="str">
        <f>IFERROR(__xludf.DUMMYFUNCTION("""COMPUTED_VALUE"""),"FINAL")</f>
        <v>FINAL</v>
      </c>
      <c r="M989" s="124">
        <v>8.0</v>
      </c>
    </row>
    <row r="990">
      <c r="A990" s="151">
        <f>IFERROR(__xludf.DUMMYFUNCTION("""COMPUTED_VALUE"""),43758.147747337964)</f>
        <v>43758.14775</v>
      </c>
      <c r="B990" t="str">
        <f>IFERROR(__xludf.DUMMYFUNCTION("""COMPUTED_VALUE"""),"Gary")</f>
        <v>Gary</v>
      </c>
      <c r="C990" t="str">
        <f>IFERROR(__xludf.DUMMYFUNCTION("""COMPUTED_VALUE"""),"BYU")</f>
        <v>BYU</v>
      </c>
      <c r="D990">
        <f>IFERROR(__xludf.DUMMYFUNCTION("""COMPUTED_VALUE"""),3.0)</f>
        <v>3</v>
      </c>
      <c r="E990">
        <f>IFERROR(__xludf.DUMMYFUNCTION("""COMPUTED_VALUE"""),4.0)</f>
        <v>4</v>
      </c>
      <c r="F990" t="str">
        <f>IFERROR(__xludf.DUMMYFUNCTION("""COMPUTED_VALUE"""),"ESPN2")</f>
        <v>ESPN2</v>
      </c>
      <c r="G990" t="str">
        <f>IFERROR(__xludf.DUMMYFUNCTION("""COMPUTED_VALUE"""),"(13) Boise State 25 at BYU 28")</f>
        <v>(13) Boise State 25 at BYU 28</v>
      </c>
      <c r="H990" t="str">
        <f>IFERROR(__xludf.DUMMYFUNCTION("""COMPUTED_VALUE"""),"FINAL")</f>
        <v>FINAL</v>
      </c>
      <c r="I990" t="str">
        <f>IFERROR(__xludf.DUMMYFUNCTION("""COMPUTED_VALUE"""),"6½")</f>
        <v>6½</v>
      </c>
      <c r="J990" t="str">
        <f>IFERROR(__xludf.DUMMYFUNCTION("""COMPUTED_VALUE"""),"50½")</f>
        <v>50½</v>
      </c>
      <c r="K990" t="str">
        <f>IFERROR(__xludf.DUMMYFUNCTION("""COMPUTED_VALUE"""),"Janice/Mike")</f>
        <v>Janice/Mike</v>
      </c>
      <c r="L990" t="str">
        <f>IFERROR(__xludf.DUMMYFUNCTION("""COMPUTED_VALUE"""),"FINAL")</f>
        <v>FINAL</v>
      </c>
      <c r="M990" s="124">
        <v>8.0</v>
      </c>
    </row>
    <row r="991">
      <c r="A991" s="151">
        <f>IFERROR(__xludf.DUMMYFUNCTION("""COMPUTED_VALUE"""),43758.147747337964)</f>
        <v>43758.14775</v>
      </c>
      <c r="B991" t="str">
        <f>IFERROR(__xludf.DUMMYFUNCTION("""COMPUTED_VALUE"""),"Gary")</f>
        <v>Gary</v>
      </c>
      <c r="C991" t="str">
        <f>IFERROR(__xludf.DUMMYFUNCTION("""COMPUTED_VALUE"""),"Utah State")</f>
        <v>Utah State</v>
      </c>
      <c r="D991">
        <f>IFERROR(__xludf.DUMMYFUNCTION("""COMPUTED_VALUE"""),4.0)</f>
        <v>4</v>
      </c>
      <c r="E991">
        <f>IFERROR(__xludf.DUMMYFUNCTION("""COMPUTED_VALUE"""),2.0)</f>
        <v>2</v>
      </c>
      <c r="F991" t="str">
        <f>IFERROR(__xludf.DUMMYFUNCTION("""COMPUTED_VALUE"""),"ESPNU")</f>
        <v>ESPNU</v>
      </c>
      <c r="G991" t="str">
        <f>IFERROR(__xludf.DUMMYFUNCTION("""COMPUTED_VALUE"""),"Nevada 10 at Utah State 36")</f>
        <v>Nevada 10 at Utah State 36</v>
      </c>
      <c r="H991" t="str">
        <f>IFERROR(__xludf.DUMMYFUNCTION("""COMPUTED_VALUE"""),"FINAL")</f>
        <v>FINAL</v>
      </c>
      <c r="I991">
        <f>IFERROR(__xludf.DUMMYFUNCTION("""COMPUTED_VALUE"""),-21.0)</f>
        <v>-21</v>
      </c>
      <c r="J991" t="str">
        <f>IFERROR(__xludf.DUMMYFUNCTION("""COMPUTED_VALUE"""),"61½")</f>
        <v>61½</v>
      </c>
      <c r="K991" t="str">
        <f>IFERROR(__xludf.DUMMYFUNCTION("""COMPUTED_VALUE"""),"Josh R.")</f>
        <v>Josh R.</v>
      </c>
      <c r="L991" t="str">
        <f>IFERROR(__xludf.DUMMYFUNCTION("""COMPUTED_VALUE"""),"FINAL")</f>
        <v>FINAL</v>
      </c>
      <c r="M991" s="124">
        <v>8.0</v>
      </c>
    </row>
    <row r="992">
      <c r="A992" s="151">
        <f>IFERROR(__xludf.DUMMYFUNCTION("""COMPUTED_VALUE"""),43758.147747337964)</f>
        <v>43758.14775</v>
      </c>
      <c r="B992" t="str">
        <f>IFERROR(__xludf.DUMMYFUNCTION("""COMPUTED_VALUE"""),"Janice/Mike")</f>
        <v>Janice/Mike</v>
      </c>
      <c r="C992" t="str">
        <f>IFERROR(__xludf.DUMMYFUNCTION("""COMPUTED_VALUE"""),"Wisconsin")</f>
        <v>Wisconsin</v>
      </c>
      <c r="D992">
        <f>IFERROR(__xludf.DUMMYFUNCTION("""COMPUTED_VALUE"""),6.0)</f>
        <v>6</v>
      </c>
      <c r="E992">
        <f>IFERROR(__xludf.DUMMYFUNCTION("""COMPUTED_VALUE"""),1.0)</f>
        <v>1</v>
      </c>
      <c r="F992" t="str">
        <f>IFERROR(__xludf.DUMMYFUNCTION("""COMPUTED_VALUE"""),"BTN")</f>
        <v>BTN</v>
      </c>
      <c r="G992" t="str">
        <f>IFERROR(__xludf.DUMMYFUNCTION("""COMPUTED_VALUE"""),"(6) Wisconsin 23 at Illinois 24")</f>
        <v>(6) Wisconsin 23 at Illinois 24</v>
      </c>
      <c r="H992" t="str">
        <f>IFERROR(__xludf.DUMMYFUNCTION("""COMPUTED_VALUE"""),"FINAL")</f>
        <v>FINAL</v>
      </c>
      <c r="I992">
        <f>IFERROR(__xludf.DUMMYFUNCTION("""COMPUTED_VALUE"""),-31.0)</f>
        <v>-31</v>
      </c>
      <c r="J992" t="str">
        <f>IFERROR(__xludf.DUMMYFUNCTION("""COMPUTED_VALUE"""),"49½")</f>
        <v>49½</v>
      </c>
      <c r="K992" t="str">
        <f>IFERROR(__xludf.DUMMYFUNCTION("""COMPUTED_VALUE"""),"Undrafted")</f>
        <v>Undrafted</v>
      </c>
      <c r="L992" t="str">
        <f>IFERROR(__xludf.DUMMYFUNCTION("""COMPUTED_VALUE"""),"FINAL")</f>
        <v>FINAL</v>
      </c>
      <c r="M992" s="124">
        <v>8.0</v>
      </c>
    </row>
    <row r="993">
      <c r="A993" s="151">
        <f>IFERROR(__xludf.DUMMYFUNCTION("""COMPUTED_VALUE"""),43758.147747337964)</f>
        <v>43758.14775</v>
      </c>
      <c r="B993" t="str">
        <f>IFERROR(__xludf.DUMMYFUNCTION("""COMPUTED_VALUE"""),"Janice/Mike")</f>
        <v>Janice/Mike</v>
      </c>
      <c r="C993" t="str">
        <f>IFERROR(__xludf.DUMMYFUNCTION("""COMPUTED_VALUE"""),"Arkansas")</f>
        <v>Arkansas</v>
      </c>
      <c r="D993">
        <f>IFERROR(__xludf.DUMMYFUNCTION("""COMPUTED_VALUE"""),2.0)</f>
        <v>2</v>
      </c>
      <c r="E993">
        <f>IFERROR(__xludf.DUMMYFUNCTION("""COMPUTED_VALUE"""),5.0)</f>
        <v>5</v>
      </c>
      <c r="F993" t="str">
        <f>IFERROR(__xludf.DUMMYFUNCTION("""COMPUTED_VALUE"""),"SEC Network")</f>
        <v>SEC Network</v>
      </c>
      <c r="G993" t="str">
        <f>IFERROR(__xludf.DUMMYFUNCTION("""COMPUTED_VALUE"""),"(11) Auburn 51 at Arkansas 10")</f>
        <v>(11) Auburn 51 at Arkansas 10</v>
      </c>
      <c r="H993" t="str">
        <f>IFERROR(__xludf.DUMMYFUNCTION("""COMPUTED_VALUE"""),"FINAL")</f>
        <v>FINAL</v>
      </c>
      <c r="I993" t="str">
        <f>IFERROR(__xludf.DUMMYFUNCTION("""COMPUTED_VALUE"""),"18½")</f>
        <v>18½</v>
      </c>
      <c r="J993" t="str">
        <f>IFERROR(__xludf.DUMMYFUNCTION("""COMPUTED_VALUE"""),"55½")</f>
        <v>55½</v>
      </c>
      <c r="K993" t="str">
        <f>IFERROR(__xludf.DUMMYFUNCTION("""COMPUTED_VALUE"""),"Nick G.")</f>
        <v>Nick G.</v>
      </c>
      <c r="L993" t="str">
        <f>IFERROR(__xludf.DUMMYFUNCTION("""COMPUTED_VALUE"""),"FINAL")</f>
        <v>FINAL</v>
      </c>
      <c r="M993" s="124">
        <v>8.0</v>
      </c>
    </row>
    <row r="994">
      <c r="A994" s="151">
        <f>IFERROR(__xludf.DUMMYFUNCTION("""COMPUTED_VALUE"""),43758.147747337964)</f>
        <v>43758.14775</v>
      </c>
      <c r="B994" t="str">
        <f>IFERROR(__xludf.DUMMYFUNCTION("""COMPUTED_VALUE"""),"Janice/Mike")</f>
        <v>Janice/Mike</v>
      </c>
      <c r="C994" t="str">
        <f>IFERROR(__xludf.DUMMYFUNCTION("""COMPUTED_VALUE"""),"Boston College")</f>
        <v>Boston College</v>
      </c>
      <c r="D994">
        <f>IFERROR(__xludf.DUMMYFUNCTION("""COMPUTED_VALUE"""),4.0)</f>
        <v>4</v>
      </c>
      <c r="E994">
        <f>IFERROR(__xludf.DUMMYFUNCTION("""COMPUTED_VALUE"""),3.0)</f>
        <v>3</v>
      </c>
      <c r="F994" t="str">
        <f>IFERROR(__xludf.DUMMYFUNCTION("""COMPUTED_VALUE"""),"ACC RSN")</f>
        <v>ACC RSN</v>
      </c>
      <c r="G994" t="str">
        <f>IFERROR(__xludf.DUMMYFUNCTION("""COMPUTED_VALUE"""),"NC State 24 at Boston College 45")</f>
        <v>NC State 24 at Boston College 45</v>
      </c>
      <c r="H994" t="str">
        <f>IFERROR(__xludf.DUMMYFUNCTION("""COMPUTED_VALUE"""),"FINAL")</f>
        <v>FINAL</v>
      </c>
      <c r="I994" t="str">
        <f>IFERROR(__xludf.DUMMYFUNCTION("""COMPUTED_VALUE"""),"2½")</f>
        <v>2½</v>
      </c>
      <c r="J994" t="str">
        <f>IFERROR(__xludf.DUMMYFUNCTION("""COMPUTED_VALUE"""),"52½")</f>
        <v>52½</v>
      </c>
      <c r="K994" t="str">
        <f>IFERROR(__xludf.DUMMYFUNCTION("""COMPUTED_VALUE"""),"Nick G.")</f>
        <v>Nick G.</v>
      </c>
      <c r="L994" t="str">
        <f>IFERROR(__xludf.DUMMYFUNCTION("""COMPUTED_VALUE"""),"FINAL")</f>
        <v>FINAL</v>
      </c>
      <c r="M994" s="124">
        <v>8.0</v>
      </c>
    </row>
    <row r="995">
      <c r="A995" s="151">
        <f>IFERROR(__xludf.DUMMYFUNCTION("""COMPUTED_VALUE"""),43758.147747337964)</f>
        <v>43758.14775</v>
      </c>
      <c r="B995" t="str">
        <f>IFERROR(__xludf.DUMMYFUNCTION("""COMPUTED_VALUE"""),"Janice/Mike")</f>
        <v>Janice/Mike</v>
      </c>
      <c r="C995" t="str">
        <f>IFERROR(__xludf.DUMMYFUNCTION("""COMPUTED_VALUE"""),"Texas Tech")</f>
        <v>Texas Tech</v>
      </c>
      <c r="D995">
        <f>IFERROR(__xludf.DUMMYFUNCTION("""COMPUTED_VALUE"""),3.0)</f>
        <v>3</v>
      </c>
      <c r="E995">
        <f>IFERROR(__xludf.DUMMYFUNCTION("""COMPUTED_VALUE"""),4.0)</f>
        <v>4</v>
      </c>
      <c r="F995" t="str">
        <f>IFERROR(__xludf.DUMMYFUNCTION("""COMPUTED_VALUE"""),"FS1")</f>
        <v>FS1</v>
      </c>
      <c r="G995" t="str">
        <f>IFERROR(__xludf.DUMMYFUNCTION("""COMPUTED_VALUE"""),"Iowa State 34 at Texas Tech 24")</f>
        <v>Iowa State 34 at Texas Tech 24</v>
      </c>
      <c r="H995" t="str">
        <f>IFERROR(__xludf.DUMMYFUNCTION("""COMPUTED_VALUE"""),"FINAL")</f>
        <v>FINAL</v>
      </c>
      <c r="I995">
        <f>IFERROR(__xludf.DUMMYFUNCTION("""COMPUTED_VALUE"""),7.0)</f>
        <v>7</v>
      </c>
      <c r="J995" t="str">
        <f>IFERROR(__xludf.DUMMYFUNCTION("""COMPUTED_VALUE"""),"57½")</f>
        <v>57½</v>
      </c>
      <c r="K995" t="str">
        <f>IFERROR(__xludf.DUMMYFUNCTION("""COMPUTED_VALUE"""),"Nick A.")</f>
        <v>Nick A.</v>
      </c>
      <c r="L995" t="str">
        <f>IFERROR(__xludf.DUMMYFUNCTION("""COMPUTED_VALUE"""),"FINAL")</f>
        <v>FINAL</v>
      </c>
      <c r="M995" s="124">
        <v>8.0</v>
      </c>
    </row>
    <row r="996">
      <c r="A996" s="151">
        <f>IFERROR(__xludf.DUMMYFUNCTION("""COMPUTED_VALUE"""),43758.147747337964)</f>
        <v>43758.14775</v>
      </c>
      <c r="B996" t="str">
        <f>IFERROR(__xludf.DUMMYFUNCTION("""COMPUTED_VALUE"""),"Janice/Mike")</f>
        <v>Janice/Mike</v>
      </c>
      <c r="C996" t="str">
        <f>IFERROR(__xludf.DUMMYFUNCTION("""COMPUTED_VALUE"""),"Northern Illinois")</f>
        <v>Northern Illinois</v>
      </c>
      <c r="D996">
        <f>IFERROR(__xludf.DUMMYFUNCTION("""COMPUTED_VALUE"""),2.0)</f>
        <v>2</v>
      </c>
      <c r="E996">
        <f>IFERROR(__xludf.DUMMYFUNCTION("""COMPUTED_VALUE"""),5.0)</f>
        <v>5</v>
      </c>
      <c r="F996" t="str">
        <f>IFERROR(__xludf.DUMMYFUNCTION("""COMPUTED_VALUE"""),"espn+ Video")</f>
        <v>espn+ Video</v>
      </c>
      <c r="G996" t="str">
        <f>IFERROR(__xludf.DUMMYFUNCTION("""COMPUTED_VALUE"""),"Northern Illinois 24 at Miami-OH 27")</f>
        <v>Northern Illinois 24 at Miami-OH 27</v>
      </c>
      <c r="H996" t="str">
        <f>IFERROR(__xludf.DUMMYFUNCTION("""COMPUTED_VALUE"""),"FINAL")</f>
        <v>FINAL</v>
      </c>
      <c r="I996">
        <f>IFERROR(__xludf.DUMMYFUNCTION("""COMPUTED_VALUE"""),-1.0)</f>
        <v>-1</v>
      </c>
      <c r="J996">
        <f>IFERROR(__xludf.DUMMYFUNCTION("""COMPUTED_VALUE"""),48.0)</f>
        <v>48</v>
      </c>
      <c r="K996" t="str">
        <f>IFERROR(__xludf.DUMMYFUNCTION("""COMPUTED_VALUE"""),"Nico")</f>
        <v>Nico</v>
      </c>
      <c r="L996" t="str">
        <f>IFERROR(__xludf.DUMMYFUNCTION("""COMPUTED_VALUE"""),"FINAL")</f>
        <v>FINAL</v>
      </c>
      <c r="M996" s="124">
        <v>8.0</v>
      </c>
    </row>
    <row r="997">
      <c r="A997" s="151">
        <f>IFERROR(__xludf.DUMMYFUNCTION("""COMPUTED_VALUE"""),43758.147747337964)</f>
        <v>43758.14775</v>
      </c>
      <c r="B997" t="str">
        <f>IFERROR(__xludf.DUMMYFUNCTION("""COMPUTED_VALUE"""),"Janice/Mike")</f>
        <v>Janice/Mike</v>
      </c>
      <c r="C997" t="str">
        <f>IFERROR(__xludf.DUMMYFUNCTION("""COMPUTED_VALUE"""),"Georgia Southern")</f>
        <v>Georgia Southern</v>
      </c>
      <c r="D997">
        <f>IFERROR(__xludf.DUMMYFUNCTION("""COMPUTED_VALUE"""),3.0)</f>
        <v>3</v>
      </c>
      <c r="E997">
        <f>IFERROR(__xludf.DUMMYFUNCTION("""COMPUTED_VALUE"""),3.0)</f>
        <v>3</v>
      </c>
      <c r="F997" t="str">
        <f>IFERROR(__xludf.DUMMYFUNCTION("""COMPUTED_VALUE"""),"espn3 Video")</f>
        <v>espn3 Video</v>
      </c>
      <c r="G997" t="str">
        <f>IFERROR(__xludf.DUMMYFUNCTION("""COMPUTED_VALUE"""),"Coastal Carolina 27 at Georgia Southern 30")</f>
        <v>Coastal Carolina 27 at Georgia Southern 30</v>
      </c>
      <c r="H997" t="str">
        <f>IFERROR(__xludf.DUMMYFUNCTION("""COMPUTED_VALUE"""),"FINAL - 3RD OT")</f>
        <v>FINAL - 3RD OT</v>
      </c>
      <c r="I997" t="str">
        <f>IFERROR(__xludf.DUMMYFUNCTION("""COMPUTED_VALUE"""),"-6½")</f>
        <v>-6½</v>
      </c>
      <c r="J997" t="str">
        <f>IFERROR(__xludf.DUMMYFUNCTION("""COMPUTED_VALUE"""),"49½")</f>
        <v>49½</v>
      </c>
      <c r="K997" t="str">
        <f>IFERROR(__xludf.DUMMYFUNCTION("""COMPUTED_VALUE"""),"DavEmily")</f>
        <v>DavEmily</v>
      </c>
      <c r="L997" t="str">
        <f>IFERROR(__xludf.DUMMYFUNCTION("""COMPUTED_VALUE"""),"FINAL - 3RD OT")</f>
        <v>FINAL - 3RD OT</v>
      </c>
      <c r="M997" s="124">
        <v>8.0</v>
      </c>
    </row>
    <row r="998">
      <c r="A998" s="151">
        <f>IFERROR(__xludf.DUMMYFUNCTION("""COMPUTED_VALUE"""),43758.147747337964)</f>
        <v>43758.14775</v>
      </c>
      <c r="B998" t="str">
        <f>IFERROR(__xludf.DUMMYFUNCTION("""COMPUTED_VALUE"""),"Janice/Mike")</f>
        <v>Janice/Mike</v>
      </c>
      <c r="C998" t="str">
        <f>IFERROR(__xludf.DUMMYFUNCTION("""COMPUTED_VALUE"""),"Navy")</f>
        <v>Navy</v>
      </c>
      <c r="D998">
        <f>IFERROR(__xludf.DUMMYFUNCTION("""COMPUTED_VALUE"""),5.0)</f>
        <v>5</v>
      </c>
      <c r="E998">
        <f>IFERROR(__xludf.DUMMYFUNCTION("""COMPUTED_VALUE"""),1.0)</f>
        <v>1</v>
      </c>
      <c r="F998" t="str">
        <f>IFERROR(__xludf.DUMMYFUNCTION("""COMPUTED_VALUE"""),"CBSSN")</f>
        <v>CBSSN</v>
      </c>
      <c r="G998" t="str">
        <f>IFERROR(__xludf.DUMMYFUNCTION("""COMPUTED_VALUE"""),"South Florida 3 at Navy 35")</f>
        <v>South Florida 3 at Navy 35</v>
      </c>
      <c r="H998" t="str">
        <f>IFERROR(__xludf.DUMMYFUNCTION("""COMPUTED_VALUE"""),"FINAL")</f>
        <v>FINAL</v>
      </c>
      <c r="I998" t="str">
        <f>IFERROR(__xludf.DUMMYFUNCTION("""COMPUTED_VALUE"""),"-13½")</f>
        <v>-13½</v>
      </c>
      <c r="J998" t="str">
        <f>IFERROR(__xludf.DUMMYFUNCTION("""COMPUTED_VALUE"""),"53½")</f>
        <v>53½</v>
      </c>
      <c r="K998" t="str">
        <f>IFERROR(__xludf.DUMMYFUNCTION("""COMPUTED_VALUE"""),"Justin")</f>
        <v>Justin</v>
      </c>
      <c r="L998" t="str">
        <f>IFERROR(__xludf.DUMMYFUNCTION("""COMPUTED_VALUE"""),"FINAL")</f>
        <v>FINAL</v>
      </c>
      <c r="M998" s="124">
        <v>8.0</v>
      </c>
    </row>
    <row r="999">
      <c r="A999" s="151">
        <f>IFERROR(__xludf.DUMMYFUNCTION("""COMPUTED_VALUE"""),43758.147747337964)</f>
        <v>43758.14775</v>
      </c>
      <c r="B999" t="str">
        <f>IFERROR(__xludf.DUMMYFUNCTION("""COMPUTED_VALUE"""),"Janice/Mike")</f>
        <v>Janice/Mike</v>
      </c>
      <c r="C999" t="str">
        <f>IFERROR(__xludf.DUMMYFUNCTION("""COMPUTED_VALUE"""),"Charlotte")</f>
        <v>Charlotte</v>
      </c>
      <c r="D999">
        <f>IFERROR(__xludf.DUMMYFUNCTION("""COMPUTED_VALUE"""),2.0)</f>
        <v>2</v>
      </c>
      <c r="E999">
        <f>IFERROR(__xludf.DUMMYFUNCTION("""COMPUTED_VALUE"""),5.0)</f>
        <v>5</v>
      </c>
      <c r="F999" t="str">
        <f>IFERROR(__xludf.DUMMYFUNCTION("""COMPUTED_VALUE"""),"espn+ Video")</f>
        <v>espn+ Video</v>
      </c>
      <c r="G999" t="str">
        <f>IFERROR(__xludf.DUMMYFUNCTION("""COMPUTED_VALUE"""),"Charlotte 14 at Western Kentucky 30")</f>
        <v>Charlotte 14 at Western Kentucky 30</v>
      </c>
      <c r="H999" t="str">
        <f>IFERROR(__xludf.DUMMYFUNCTION("""COMPUTED_VALUE"""),"FINAL")</f>
        <v>FINAL</v>
      </c>
      <c r="I999">
        <f>IFERROR(__xludf.DUMMYFUNCTION("""COMPUTED_VALUE"""),9.0)</f>
        <v>9</v>
      </c>
      <c r="J999" t="str">
        <f>IFERROR(__xludf.DUMMYFUNCTION("""COMPUTED_VALUE"""),"50½")</f>
        <v>50½</v>
      </c>
      <c r="K999" t="str">
        <f>IFERROR(__xludf.DUMMYFUNCTION("""COMPUTED_VALUE"""),"Justin")</f>
        <v>Justin</v>
      </c>
      <c r="L999" t="str">
        <f>IFERROR(__xludf.DUMMYFUNCTION("""COMPUTED_VALUE"""),"FINAL")</f>
        <v>FINAL</v>
      </c>
      <c r="M999" s="124">
        <v>8.0</v>
      </c>
    </row>
    <row r="1000">
      <c r="A1000" s="151">
        <f>IFERROR(__xludf.DUMMYFUNCTION("""COMPUTED_VALUE"""),43758.147747337964)</f>
        <v>43758.14775</v>
      </c>
      <c r="B1000" t="str">
        <f>IFERROR(__xludf.DUMMYFUNCTION("""COMPUTED_VALUE"""),"Janice/Mike")</f>
        <v>Janice/Mike</v>
      </c>
      <c r="C1000" t="str">
        <f>IFERROR(__xludf.DUMMYFUNCTION("""COMPUTED_VALUE"""),"Arizona")</f>
        <v>Arizona</v>
      </c>
      <c r="D1000">
        <f>IFERROR(__xludf.DUMMYFUNCTION("""COMPUTED_VALUE"""),4.0)</f>
        <v>4</v>
      </c>
      <c r="E1000">
        <f>IFERROR(__xludf.DUMMYFUNCTION("""COMPUTED_VALUE"""),3.0)</f>
        <v>3</v>
      </c>
      <c r="F1000" t="str">
        <f>IFERROR(__xludf.DUMMYFUNCTION("""COMPUTED_VALUE"""),"Pac-12")</f>
        <v>Pac-12</v>
      </c>
      <c r="G1000" t="str">
        <f>IFERROR(__xludf.DUMMYFUNCTION("""COMPUTED_VALUE"""),"Arizona 14 at USC 41")</f>
        <v>Arizona 14 at USC 41</v>
      </c>
      <c r="H1000" t="str">
        <f>IFERROR(__xludf.DUMMYFUNCTION("""COMPUTED_VALUE"""),"FINAL")</f>
        <v>FINAL</v>
      </c>
      <c r="I1000" t="str">
        <f>IFERROR(__xludf.DUMMYFUNCTION("""COMPUTED_VALUE"""),"9½")</f>
        <v>9½</v>
      </c>
      <c r="J1000">
        <f>IFERROR(__xludf.DUMMYFUNCTION("""COMPUTED_VALUE"""),67.0)</f>
        <v>67</v>
      </c>
      <c r="K1000" t="str">
        <f>IFERROR(__xludf.DUMMYFUNCTION("""COMPUTED_VALUE"""),"Josh R.")</f>
        <v>Josh R.</v>
      </c>
      <c r="L1000" t="str">
        <f>IFERROR(__xludf.DUMMYFUNCTION("""COMPUTED_VALUE"""),"FINAL")</f>
        <v>FINAL</v>
      </c>
      <c r="M1000" s="124">
        <v>8.0</v>
      </c>
    </row>
    <row r="1001">
      <c r="A1001" s="151">
        <f>IFERROR(__xludf.DUMMYFUNCTION("""COMPUTED_VALUE"""),43758.147747337964)</f>
        <v>43758.14775</v>
      </c>
      <c r="B1001" t="str">
        <f>IFERROR(__xludf.DUMMYFUNCTION("""COMPUTED_VALUE"""),"Janice/Mike")</f>
        <v>Janice/Mike</v>
      </c>
      <c r="C1001" t="str">
        <f>IFERROR(__xludf.DUMMYFUNCTION("""COMPUTED_VALUE"""),"Boise State")</f>
        <v>Boise State</v>
      </c>
      <c r="D1001">
        <f>IFERROR(__xludf.DUMMYFUNCTION("""COMPUTED_VALUE"""),6.0)</f>
        <v>6</v>
      </c>
      <c r="E1001">
        <f>IFERROR(__xludf.DUMMYFUNCTION("""COMPUTED_VALUE"""),1.0)</f>
        <v>1</v>
      </c>
      <c r="F1001" t="str">
        <f>IFERROR(__xludf.DUMMYFUNCTION("""COMPUTED_VALUE"""),"ESPN2")</f>
        <v>ESPN2</v>
      </c>
      <c r="G1001" t="str">
        <f>IFERROR(__xludf.DUMMYFUNCTION("""COMPUTED_VALUE"""),"(13) Boise State 25 at BYU 28")</f>
        <v>(13) Boise State 25 at BYU 28</v>
      </c>
      <c r="H1001" t="str">
        <f>IFERROR(__xludf.DUMMYFUNCTION("""COMPUTED_VALUE"""),"FINAL")</f>
        <v>FINAL</v>
      </c>
      <c r="I1001" t="str">
        <f>IFERROR(__xludf.DUMMYFUNCTION("""COMPUTED_VALUE"""),"-6½")</f>
        <v>-6½</v>
      </c>
      <c r="J1001" t="str">
        <f>IFERROR(__xludf.DUMMYFUNCTION("""COMPUTED_VALUE"""),"50½")</f>
        <v>50½</v>
      </c>
      <c r="K1001" t="str">
        <f>IFERROR(__xludf.DUMMYFUNCTION("""COMPUTED_VALUE"""),"Gary")</f>
        <v>Gary</v>
      </c>
      <c r="L1001" t="str">
        <f>IFERROR(__xludf.DUMMYFUNCTION("""COMPUTED_VALUE"""),"FINAL")</f>
        <v>FINAL</v>
      </c>
      <c r="M1001" s="124">
        <v>8.0</v>
      </c>
    </row>
    <row r="1002">
      <c r="A1002" s="151">
        <f>IFERROR(__xludf.DUMMYFUNCTION("""COMPUTED_VALUE"""),43758.147747337964)</f>
        <v>43758.14775</v>
      </c>
      <c r="B1002" t="str">
        <f>IFERROR(__xludf.DUMMYFUNCTION("""COMPUTED_VALUE"""),"Nico")</f>
        <v>Nico</v>
      </c>
      <c r="C1002" t="str">
        <f>IFERROR(__xludf.DUMMYFUNCTION("""COMPUTED_VALUE"""),"Arkansas State")</f>
        <v>Arkansas State</v>
      </c>
      <c r="D1002">
        <f>IFERROR(__xludf.DUMMYFUNCTION("""COMPUTED_VALUE"""),2.0)</f>
        <v>2</v>
      </c>
      <c r="E1002">
        <f>IFERROR(__xludf.DUMMYFUNCTION("""COMPUTED_VALUE"""),2.0)</f>
        <v>2</v>
      </c>
      <c r="F1002" t="str">
        <f>IFERROR(__xludf.DUMMYFUNCTION("""COMPUTED_VALUE"""),"ESPNU")</f>
        <v>ESPNU</v>
      </c>
      <c r="G1002" t="str">
        <f>IFERROR(__xludf.DUMMYFUNCTION("""COMPUTED_VALUE"""),"UL Lafayette 37 at Arkansas State 20")</f>
        <v>UL Lafayette 37 at Arkansas State 20</v>
      </c>
      <c r="H1002" t="str">
        <f>IFERROR(__xludf.DUMMYFUNCTION("""COMPUTED_VALUE"""),"FINAL")</f>
        <v>FINAL</v>
      </c>
      <c r="I1002">
        <f>IFERROR(__xludf.DUMMYFUNCTION("""COMPUTED_VALUE"""),6.0)</f>
        <v>6</v>
      </c>
      <c r="J1002" t="str">
        <f>IFERROR(__xludf.DUMMYFUNCTION("""COMPUTED_VALUE"""),"67½")</f>
        <v>67½</v>
      </c>
      <c r="K1002" t="str">
        <f>IFERROR(__xludf.DUMMYFUNCTION("""COMPUTED_VALUE"""),"Gary")</f>
        <v>Gary</v>
      </c>
      <c r="L1002" t="str">
        <f>IFERROR(__xludf.DUMMYFUNCTION("""COMPUTED_VALUE"""),"FINAL")</f>
        <v>FINAL</v>
      </c>
      <c r="M1002" s="124">
        <v>8.0</v>
      </c>
    </row>
    <row r="1003">
      <c r="A1003" s="151">
        <f>IFERROR(__xludf.DUMMYFUNCTION("""COMPUTED_VALUE"""),43758.147747337964)</f>
        <v>43758.14775</v>
      </c>
      <c r="B1003" t="str">
        <f>IFERROR(__xludf.DUMMYFUNCTION("""COMPUTED_VALUE"""),"Nico")</f>
        <v>Nico</v>
      </c>
      <c r="C1003" t="str">
        <f>IFERROR(__xludf.DUMMYFUNCTION("""COMPUTED_VALUE"""),"West Virginia")</f>
        <v>West Virginia</v>
      </c>
      <c r="D1003">
        <f>IFERROR(__xludf.DUMMYFUNCTION("""COMPUTED_VALUE"""),3.0)</f>
        <v>3</v>
      </c>
      <c r="E1003">
        <f>IFERROR(__xludf.DUMMYFUNCTION("""COMPUTED_VALUE"""),4.0)</f>
        <v>4</v>
      </c>
      <c r="F1003" t="str">
        <f>IFERROR(__xludf.DUMMYFUNCTION("""COMPUTED_VALUE"""),"FOX")</f>
        <v>FOX</v>
      </c>
      <c r="G1003" t="str">
        <f>IFERROR(__xludf.DUMMYFUNCTION("""COMPUTED_VALUE"""),"West Virginia 14 at (5) Oklahoma 52")</f>
        <v>West Virginia 14 at (5) Oklahoma 52</v>
      </c>
      <c r="H1003" t="str">
        <f>IFERROR(__xludf.DUMMYFUNCTION("""COMPUTED_VALUE"""),"FINAL")</f>
        <v>FINAL</v>
      </c>
      <c r="I1003" t="str">
        <f>IFERROR(__xludf.DUMMYFUNCTION("""COMPUTED_VALUE"""),"33½")</f>
        <v>33½</v>
      </c>
      <c r="J1003">
        <f>IFERROR(__xludf.DUMMYFUNCTION("""COMPUTED_VALUE"""),65.0)</f>
        <v>65</v>
      </c>
      <c r="K1003" t="str">
        <f>IFERROR(__xludf.DUMMYFUNCTION("""COMPUTED_VALUE"""),"Jeannine")</f>
        <v>Jeannine</v>
      </c>
      <c r="L1003" t="str">
        <f>IFERROR(__xludf.DUMMYFUNCTION("""COMPUTED_VALUE"""),"FINAL")</f>
        <v>FINAL</v>
      </c>
      <c r="M1003" s="124">
        <v>8.0</v>
      </c>
    </row>
    <row r="1004">
      <c r="A1004" s="151">
        <f>IFERROR(__xludf.DUMMYFUNCTION("""COMPUTED_VALUE"""),43758.147747337964)</f>
        <v>43758.14775</v>
      </c>
      <c r="B1004" t="str">
        <f>IFERROR(__xludf.DUMMYFUNCTION("""COMPUTED_VALUE"""),"Nico")</f>
        <v>Nico</v>
      </c>
      <c r="C1004" t="str">
        <f>IFERROR(__xludf.DUMMYFUNCTION("""COMPUTED_VALUE"""),"Purdue")</f>
        <v>Purdue</v>
      </c>
      <c r="D1004">
        <f>IFERROR(__xludf.DUMMYFUNCTION("""COMPUTED_VALUE"""),2.0)</f>
        <v>2</v>
      </c>
      <c r="E1004">
        <f>IFERROR(__xludf.DUMMYFUNCTION("""COMPUTED_VALUE"""),5.0)</f>
        <v>5</v>
      </c>
      <c r="F1004" t="str">
        <f>IFERROR(__xludf.DUMMYFUNCTION("""COMPUTED_VALUE"""),"ESPN2")</f>
        <v>ESPN2</v>
      </c>
      <c r="G1004" t="str">
        <f>IFERROR(__xludf.DUMMYFUNCTION("""COMPUTED_VALUE"""),"Purdue 20 at (22) Iowa 26")</f>
        <v>Purdue 20 at (22) Iowa 26</v>
      </c>
      <c r="H1004" t="str">
        <f>IFERROR(__xludf.DUMMYFUNCTION("""COMPUTED_VALUE"""),"FINAL")</f>
        <v>FINAL</v>
      </c>
      <c r="I1004">
        <f>IFERROR(__xludf.DUMMYFUNCTION("""COMPUTED_VALUE"""),18.0)</f>
        <v>18</v>
      </c>
      <c r="J1004" t="str">
        <f>IFERROR(__xludf.DUMMYFUNCTION("""COMPUTED_VALUE"""),"49½")</f>
        <v>49½</v>
      </c>
      <c r="K1004" t="str">
        <f>IFERROR(__xludf.DUMMYFUNCTION("""COMPUTED_VALUE"""),"Justin")</f>
        <v>Justin</v>
      </c>
      <c r="L1004" t="str">
        <f>IFERROR(__xludf.DUMMYFUNCTION("""COMPUTED_VALUE"""),"FINAL")</f>
        <v>FINAL</v>
      </c>
      <c r="M1004" s="124">
        <v>8.0</v>
      </c>
    </row>
    <row r="1005">
      <c r="A1005" s="151">
        <f>IFERROR(__xludf.DUMMYFUNCTION("""COMPUTED_VALUE"""),43758.147747337964)</f>
        <v>43758.14775</v>
      </c>
      <c r="B1005" t="str">
        <f>IFERROR(__xludf.DUMMYFUNCTION("""COMPUTED_VALUE"""),"Nico")</f>
        <v>Nico</v>
      </c>
      <c r="C1005" t="str">
        <f>IFERROR(__xludf.DUMMYFUNCTION("""COMPUTED_VALUE"""),"Houston")</f>
        <v>Houston</v>
      </c>
      <c r="D1005">
        <f>IFERROR(__xludf.DUMMYFUNCTION("""COMPUTED_VALUE"""),3.0)</f>
        <v>3</v>
      </c>
      <c r="E1005">
        <f>IFERROR(__xludf.DUMMYFUNCTION("""COMPUTED_VALUE"""),4.0)</f>
        <v>4</v>
      </c>
      <c r="F1005" t="str">
        <f>IFERROR(__xludf.DUMMYFUNCTION("""COMPUTED_VALUE"""),"ESPNU")</f>
        <v>ESPNU</v>
      </c>
      <c r="G1005" t="str">
        <f>IFERROR(__xludf.DUMMYFUNCTION("""COMPUTED_VALUE"""),"Houston 24 at UConn 17")</f>
        <v>Houston 24 at UConn 17</v>
      </c>
      <c r="H1005" t="str">
        <f>IFERROR(__xludf.DUMMYFUNCTION("""COMPUTED_VALUE"""),"FINAL")</f>
        <v>FINAL</v>
      </c>
      <c r="I1005" t="str">
        <f>IFERROR(__xludf.DUMMYFUNCTION("""COMPUTED_VALUE"""),"-21½")</f>
        <v>-21½</v>
      </c>
      <c r="J1005" t="str">
        <f>IFERROR(__xludf.DUMMYFUNCTION("""COMPUTED_VALUE"""),"59½")</f>
        <v>59½</v>
      </c>
      <c r="K1005" t="str">
        <f>IFERROR(__xludf.DUMMYFUNCTION("""COMPUTED_VALUE"""),"Nick G.")</f>
        <v>Nick G.</v>
      </c>
      <c r="L1005" t="str">
        <f>IFERROR(__xludf.DUMMYFUNCTION("""COMPUTED_VALUE"""),"FINAL")</f>
        <v>FINAL</v>
      </c>
      <c r="M1005" s="124">
        <v>8.0</v>
      </c>
    </row>
    <row r="1006">
      <c r="A1006" s="151">
        <f>IFERROR(__xludf.DUMMYFUNCTION("""COMPUTED_VALUE"""),43758.147747337964)</f>
        <v>43758.14775</v>
      </c>
      <c r="B1006" t="str">
        <f>IFERROR(__xludf.DUMMYFUNCTION("""COMPUTED_VALUE"""),"Nico")</f>
        <v>Nico</v>
      </c>
      <c r="C1006" t="str">
        <f>IFERROR(__xludf.DUMMYFUNCTION("""COMPUTED_VALUE"""),"Miami-OH")</f>
        <v>Miami-OH</v>
      </c>
      <c r="D1006">
        <f>IFERROR(__xludf.DUMMYFUNCTION("""COMPUTED_VALUE"""),3.0)</f>
        <v>3</v>
      </c>
      <c r="E1006">
        <f>IFERROR(__xludf.DUMMYFUNCTION("""COMPUTED_VALUE"""),4.0)</f>
        <v>4</v>
      </c>
      <c r="F1006" t="str">
        <f>IFERROR(__xludf.DUMMYFUNCTION("""COMPUTED_VALUE"""),"NA")</f>
        <v>NA</v>
      </c>
      <c r="G1006" t="str">
        <f>IFERROR(__xludf.DUMMYFUNCTION("""COMPUTED_VALUE"""),"Northern Illinois 24 at Miami-OH 27")</f>
        <v>Northern Illinois 24 at Miami-OH 27</v>
      </c>
      <c r="H1006" t="str">
        <f>IFERROR(__xludf.DUMMYFUNCTION("""COMPUTED_VALUE"""),"FINAL")</f>
        <v>FINAL</v>
      </c>
      <c r="I1006">
        <f>IFERROR(__xludf.DUMMYFUNCTION("""COMPUTED_VALUE"""),1.0)</f>
        <v>1</v>
      </c>
      <c r="J1006">
        <f>IFERROR(__xludf.DUMMYFUNCTION("""COMPUTED_VALUE"""),48.0)</f>
        <v>48</v>
      </c>
      <c r="K1006" t="str">
        <f>IFERROR(__xludf.DUMMYFUNCTION("""COMPUTED_VALUE"""),"Janice/Mike")</f>
        <v>Janice/Mike</v>
      </c>
      <c r="L1006" t="str">
        <f>IFERROR(__xludf.DUMMYFUNCTION("""COMPUTED_VALUE"""),"FINAL")</f>
        <v>FINAL</v>
      </c>
      <c r="M1006" s="124">
        <v>8.0</v>
      </c>
    </row>
    <row r="1007">
      <c r="A1007" s="151">
        <f>IFERROR(__xludf.DUMMYFUNCTION("""COMPUTED_VALUE"""),43758.147747337964)</f>
        <v>43758.14775</v>
      </c>
      <c r="B1007" t="str">
        <f>IFERROR(__xludf.DUMMYFUNCTION("""COMPUTED_VALUE"""),"Nico")</f>
        <v>Nico</v>
      </c>
      <c r="C1007" t="str">
        <f>IFERROR(__xludf.DUMMYFUNCTION("""COMPUTED_VALUE"""),"New Mexico")</f>
        <v>New Mexico</v>
      </c>
      <c r="D1007">
        <f>IFERROR(__xludf.DUMMYFUNCTION("""COMPUTED_VALUE"""),2.0)</f>
        <v>2</v>
      </c>
      <c r="E1007">
        <f>IFERROR(__xludf.DUMMYFUNCTION("""COMPUTED_VALUE"""),5.0)</f>
        <v>5</v>
      </c>
      <c r="F1007" t="str">
        <f>IFERROR(__xludf.DUMMYFUNCTION("""COMPUTED_VALUE"""),"ATTRM")</f>
        <v>ATTRM</v>
      </c>
      <c r="G1007" t="str">
        <f>IFERROR(__xludf.DUMMYFUNCTION("""COMPUTED_VALUE"""),"New Mexico 10 at Wyoming 23")</f>
        <v>New Mexico 10 at Wyoming 23</v>
      </c>
      <c r="H1007" t="str">
        <f>IFERROR(__xludf.DUMMYFUNCTION("""COMPUTED_VALUE"""),"FINAL")</f>
        <v>FINAL</v>
      </c>
      <c r="I1007">
        <f>IFERROR(__xludf.DUMMYFUNCTION("""COMPUTED_VALUE"""),20.0)</f>
        <v>20</v>
      </c>
      <c r="J1007">
        <f>IFERROR(__xludf.DUMMYFUNCTION("""COMPUTED_VALUE"""),52.0)</f>
        <v>52</v>
      </c>
      <c r="K1007" t="str">
        <f>IFERROR(__xludf.DUMMYFUNCTION("""COMPUTED_VALUE"""),"Nick G.")</f>
        <v>Nick G.</v>
      </c>
      <c r="L1007" t="str">
        <f>IFERROR(__xludf.DUMMYFUNCTION("""COMPUTED_VALUE"""),"FINAL")</f>
        <v>FINAL</v>
      </c>
      <c r="M1007" s="124">
        <v>8.0</v>
      </c>
    </row>
    <row r="1008">
      <c r="A1008" s="151">
        <f>IFERROR(__xludf.DUMMYFUNCTION("""COMPUTED_VALUE"""),43758.147747337964)</f>
        <v>43758.14775</v>
      </c>
      <c r="B1008" t="str">
        <f>IFERROR(__xludf.DUMMYFUNCTION("""COMPUTED_VALUE"""),"Nico")</f>
        <v>Nico</v>
      </c>
      <c r="C1008" t="str">
        <f>IFERROR(__xludf.DUMMYFUNCTION("""COMPUTED_VALUE"""),"North Carolina")</f>
        <v>North Carolina</v>
      </c>
      <c r="D1008">
        <f>IFERROR(__xludf.DUMMYFUNCTION("""COMPUTED_VALUE"""),3.0)</f>
        <v>3</v>
      </c>
      <c r="E1008">
        <f>IFERROR(__xludf.DUMMYFUNCTION("""COMPUTED_VALUE"""),4.0)</f>
        <v>4</v>
      </c>
      <c r="F1008" t="str">
        <f>IFERROR(__xludf.DUMMYFUNCTION("""COMPUTED_VALUE"""),"ACC RSN")</f>
        <v>ACC RSN</v>
      </c>
      <c r="G1008" t="str">
        <f>IFERROR(__xludf.DUMMYFUNCTION("""COMPUTED_VALUE"""),"North Carolina 41 at Virginia Tech 43")</f>
        <v>North Carolina 41 at Virginia Tech 43</v>
      </c>
      <c r="H1008" t="str">
        <f>IFERROR(__xludf.DUMMYFUNCTION("""COMPUTED_VALUE"""),"FINAL - 6TH OT")</f>
        <v>FINAL - 6TH OT</v>
      </c>
      <c r="I1008">
        <f>IFERROR(__xludf.DUMMYFUNCTION("""COMPUTED_VALUE"""),-3.0)</f>
        <v>-3</v>
      </c>
      <c r="J1008" t="str">
        <f>IFERROR(__xludf.DUMMYFUNCTION("""COMPUTED_VALUE"""),"56½")</f>
        <v>56½</v>
      </c>
      <c r="K1008" t="str">
        <f>IFERROR(__xludf.DUMMYFUNCTION("""COMPUTED_VALUE"""),"DavEmily")</f>
        <v>DavEmily</v>
      </c>
      <c r="L1008" t="str">
        <f>IFERROR(__xludf.DUMMYFUNCTION("""COMPUTED_VALUE"""),"FINAL - 6TH OT")</f>
        <v>FINAL - 6TH OT</v>
      </c>
      <c r="M1008" s="124">
        <v>8.0</v>
      </c>
    </row>
    <row r="1009">
      <c r="A1009" s="151">
        <f>IFERROR(__xludf.DUMMYFUNCTION("""COMPUTED_VALUE"""),43758.147747337964)</f>
        <v>43758.14775</v>
      </c>
      <c r="B1009" t="str">
        <f>IFERROR(__xludf.DUMMYFUNCTION("""COMPUTED_VALUE"""),"Nico")</f>
        <v>Nico</v>
      </c>
      <c r="C1009" t="str">
        <f>IFERROR(__xludf.DUMMYFUNCTION("""COMPUTED_VALUE"""),"Middle Tennessee")</f>
        <v>Middle Tennessee</v>
      </c>
      <c r="D1009">
        <f>IFERROR(__xludf.DUMMYFUNCTION("""COMPUTED_VALUE"""),2.0)</f>
        <v>2</v>
      </c>
      <c r="E1009">
        <f>IFERROR(__xludf.DUMMYFUNCTION("""COMPUTED_VALUE"""),5.0)</f>
        <v>5</v>
      </c>
      <c r="F1009" t="str">
        <f>IFERROR(__xludf.DUMMYFUNCTION("""COMPUTED_VALUE"""),"Stadium Video")</f>
        <v>Stadium Video</v>
      </c>
      <c r="G1009" t="str">
        <f>IFERROR(__xludf.DUMMYFUNCTION("""COMPUTED_VALUE"""),"Middle Tennessee 30 at North Texas 33")</f>
        <v>Middle Tennessee 30 at North Texas 33</v>
      </c>
      <c r="H1009" t="str">
        <f>IFERROR(__xludf.DUMMYFUNCTION("""COMPUTED_VALUE"""),"FINAL")</f>
        <v>FINAL</v>
      </c>
      <c r="I1009">
        <f>IFERROR(__xludf.DUMMYFUNCTION("""COMPUTED_VALUE"""),10.0)</f>
        <v>10</v>
      </c>
      <c r="J1009">
        <f>IFERROR(__xludf.DUMMYFUNCTION("""COMPUTED_VALUE"""),58.0)</f>
        <v>58</v>
      </c>
      <c r="K1009" t="str">
        <f>IFERROR(__xludf.DUMMYFUNCTION("""COMPUTED_VALUE"""),"Vu")</f>
        <v>Vu</v>
      </c>
      <c r="L1009" t="str">
        <f>IFERROR(__xludf.DUMMYFUNCTION("""COMPUTED_VALUE"""),"FINAL")</f>
        <v>FINAL</v>
      </c>
      <c r="M1009" s="124">
        <v>8.0</v>
      </c>
    </row>
    <row r="1010">
      <c r="A1010" s="151">
        <f>IFERROR(__xludf.DUMMYFUNCTION("""COMPUTED_VALUE"""),43758.147747337964)</f>
        <v>43758.14775</v>
      </c>
      <c r="B1010" t="str">
        <f>IFERROR(__xludf.DUMMYFUNCTION("""COMPUTED_VALUE"""),"Nico")</f>
        <v>Nico</v>
      </c>
      <c r="C1010" t="str">
        <f>IFERROR(__xludf.DUMMYFUNCTION("""COMPUTED_VALUE"""),"Georgia")</f>
        <v>Georgia</v>
      </c>
      <c r="D1010">
        <f>IFERROR(__xludf.DUMMYFUNCTION("""COMPUTED_VALUE"""),6.0)</f>
        <v>6</v>
      </c>
      <c r="E1010">
        <f>IFERROR(__xludf.DUMMYFUNCTION("""COMPUTED_VALUE"""),1.0)</f>
        <v>1</v>
      </c>
      <c r="F1010" t="str">
        <f>IFERROR(__xludf.DUMMYFUNCTION("""COMPUTED_VALUE"""),"ESPN")</f>
        <v>ESPN</v>
      </c>
      <c r="G1010" t="str">
        <f>IFERROR(__xludf.DUMMYFUNCTION("""COMPUTED_VALUE"""),"Kentucky 0 at (10) Georgia 21")</f>
        <v>Kentucky 0 at (10) Georgia 21</v>
      </c>
      <c r="H1010" t="str">
        <f>IFERROR(__xludf.DUMMYFUNCTION("""COMPUTED_VALUE"""),"FINAL")</f>
        <v>FINAL</v>
      </c>
      <c r="I1010" t="str">
        <f>IFERROR(__xludf.DUMMYFUNCTION("""COMPUTED_VALUE"""),"-24½")</f>
        <v>-24½</v>
      </c>
      <c r="J1010">
        <f>IFERROR(__xludf.DUMMYFUNCTION("""COMPUTED_VALUE"""),48.0)</f>
        <v>48</v>
      </c>
      <c r="K1010" t="str">
        <f>IFERROR(__xludf.DUMMYFUNCTION("""COMPUTED_VALUE"""),"Josh R.")</f>
        <v>Josh R.</v>
      </c>
      <c r="L1010" t="str">
        <f>IFERROR(__xludf.DUMMYFUNCTION("""COMPUTED_VALUE"""),"FINAL")</f>
        <v>FINAL</v>
      </c>
      <c r="M1010" s="124">
        <v>8.0</v>
      </c>
    </row>
    <row r="1011">
      <c r="A1011" s="151">
        <f>IFERROR(__xludf.DUMMYFUNCTION("""COMPUTED_VALUE"""),43758.147747337964)</f>
        <v>43758.14775</v>
      </c>
      <c r="B1011" t="str">
        <f>IFERROR(__xludf.DUMMYFUNCTION("""COMPUTED_VALUE"""),"Nico")</f>
        <v>Nico</v>
      </c>
      <c r="C1011" t="str">
        <f>IFERROR(__xludf.DUMMYFUNCTION("""COMPUTED_VALUE"""),"Arizona State")</f>
        <v>Arizona State</v>
      </c>
      <c r="D1011">
        <f>IFERROR(__xludf.DUMMYFUNCTION("""COMPUTED_VALUE"""),5.0)</f>
        <v>5</v>
      </c>
      <c r="E1011">
        <f>IFERROR(__xludf.DUMMYFUNCTION("""COMPUTED_VALUE"""),2.0)</f>
        <v>2</v>
      </c>
      <c r="F1011" t="str">
        <f>IFERROR(__xludf.DUMMYFUNCTION("""COMPUTED_VALUE"""),"Pac-12")</f>
        <v>Pac-12</v>
      </c>
      <c r="G1011" t="str">
        <f>IFERROR(__xludf.DUMMYFUNCTION("""COMPUTED_VALUE"""),"(17) Arizona State 3 at (14) Utah 21")</f>
        <v>(17) Arizona State 3 at (14) Utah 21</v>
      </c>
      <c r="H1011" t="str">
        <f>IFERROR(__xludf.DUMMYFUNCTION("""COMPUTED_VALUE"""),"FINAL")</f>
        <v>FINAL</v>
      </c>
      <c r="I1011" t="str">
        <f>IFERROR(__xludf.DUMMYFUNCTION("""COMPUTED_VALUE"""),"13½")</f>
        <v>13½</v>
      </c>
      <c r="J1011" t="str">
        <f>IFERROR(__xludf.DUMMYFUNCTION("""COMPUTED_VALUE"""),"48½")</f>
        <v>48½</v>
      </c>
      <c r="K1011" t="str">
        <f>IFERROR(__xludf.DUMMYFUNCTION("""COMPUTED_VALUE"""),"Brad")</f>
        <v>Brad</v>
      </c>
      <c r="L1011" t="str">
        <f>IFERROR(__xludf.DUMMYFUNCTION("""COMPUTED_VALUE"""),"FINAL")</f>
        <v>FINAL</v>
      </c>
      <c r="M1011" s="124">
        <v>8.0</v>
      </c>
    </row>
    <row r="1012">
      <c r="A1012" s="151">
        <f>IFERROR(__xludf.DUMMYFUNCTION("""COMPUTED_VALUE"""),43758.147747337964)</f>
        <v>43758.14775</v>
      </c>
      <c r="B1012" t="str">
        <f>IFERROR(__xludf.DUMMYFUNCTION("""COMPUTED_VALUE"""),"Jeannine")</f>
        <v>Jeannine</v>
      </c>
      <c r="C1012" t="str">
        <f>IFERROR(__xludf.DUMMYFUNCTION("""COMPUTED_VALUE"""),"Oklahoma")</f>
        <v>Oklahoma</v>
      </c>
      <c r="D1012">
        <f>IFERROR(__xludf.DUMMYFUNCTION("""COMPUTED_VALUE"""),7.0)</f>
        <v>7</v>
      </c>
      <c r="E1012">
        <f>IFERROR(__xludf.DUMMYFUNCTION("""COMPUTED_VALUE"""),0.0)</f>
        <v>0</v>
      </c>
      <c r="F1012" t="str">
        <f>IFERROR(__xludf.DUMMYFUNCTION("""COMPUTED_VALUE"""),"FOX")</f>
        <v>FOX</v>
      </c>
      <c r="G1012" t="str">
        <f>IFERROR(__xludf.DUMMYFUNCTION("""COMPUTED_VALUE"""),"West Virginia 14 at (5) Oklahoma 52")</f>
        <v>West Virginia 14 at (5) Oklahoma 52</v>
      </c>
      <c r="H1012" t="str">
        <f>IFERROR(__xludf.DUMMYFUNCTION("""COMPUTED_VALUE"""),"FINAL")</f>
        <v>FINAL</v>
      </c>
      <c r="I1012" t="str">
        <f>IFERROR(__xludf.DUMMYFUNCTION("""COMPUTED_VALUE"""),"-33½")</f>
        <v>-33½</v>
      </c>
      <c r="J1012">
        <f>IFERROR(__xludf.DUMMYFUNCTION("""COMPUTED_VALUE"""),65.0)</f>
        <v>65</v>
      </c>
      <c r="K1012" t="str">
        <f>IFERROR(__xludf.DUMMYFUNCTION("""COMPUTED_VALUE"""),"Nico")</f>
        <v>Nico</v>
      </c>
      <c r="L1012" t="str">
        <f>IFERROR(__xludf.DUMMYFUNCTION("""COMPUTED_VALUE"""),"FINAL")</f>
        <v>FINAL</v>
      </c>
      <c r="M1012" s="124">
        <v>8.0</v>
      </c>
    </row>
    <row r="1013">
      <c r="A1013" s="151">
        <f>IFERROR(__xludf.DUMMYFUNCTION("""COMPUTED_VALUE"""),43758.147747337964)</f>
        <v>43758.14775</v>
      </c>
      <c r="B1013" t="str">
        <f>IFERROR(__xludf.DUMMYFUNCTION("""COMPUTED_VALUE"""),"Jeannine")</f>
        <v>Jeannine</v>
      </c>
      <c r="C1013" t="str">
        <f>IFERROR(__xludf.DUMMYFUNCTION("""COMPUTED_VALUE"""),"Mississippi State")</f>
        <v>Mississippi State</v>
      </c>
      <c r="D1013">
        <f>IFERROR(__xludf.DUMMYFUNCTION("""COMPUTED_VALUE"""),3.0)</f>
        <v>3</v>
      </c>
      <c r="E1013">
        <f>IFERROR(__xludf.DUMMYFUNCTION("""COMPUTED_VALUE"""),4.0)</f>
        <v>4</v>
      </c>
      <c r="F1013" t="str">
        <f>IFERROR(__xludf.DUMMYFUNCTION("""COMPUTED_VALUE"""),"CBS")</f>
        <v>CBS</v>
      </c>
      <c r="G1013" t="str">
        <f>IFERROR(__xludf.DUMMYFUNCTION("""COMPUTED_VALUE"""),"(3) LSU 36 at Mississippi State 13")</f>
        <v>(3) LSU 36 at Mississippi State 13</v>
      </c>
      <c r="H1013" t="str">
        <f>IFERROR(__xludf.DUMMYFUNCTION("""COMPUTED_VALUE"""),"FINAL")</f>
        <v>FINAL</v>
      </c>
      <c r="I1013" t="str">
        <f>IFERROR(__xludf.DUMMYFUNCTION("""COMPUTED_VALUE"""),"19½")</f>
        <v>19½</v>
      </c>
      <c r="J1013" t="str">
        <f>IFERROR(__xludf.DUMMYFUNCTION("""COMPUTED_VALUE"""),"61½")</f>
        <v>61½</v>
      </c>
      <c r="K1013" t="str">
        <f>IFERROR(__xludf.DUMMYFUNCTION("""COMPUTED_VALUE"""),"Nick A.")</f>
        <v>Nick A.</v>
      </c>
      <c r="L1013" t="str">
        <f>IFERROR(__xludf.DUMMYFUNCTION("""COMPUTED_VALUE"""),"FINAL")</f>
        <v>FINAL</v>
      </c>
      <c r="M1013" s="124">
        <v>8.0</v>
      </c>
    </row>
    <row r="1014">
      <c r="A1014" s="151">
        <f>IFERROR(__xludf.DUMMYFUNCTION("""COMPUTED_VALUE"""),43758.147747337964)</f>
        <v>43758.14775</v>
      </c>
      <c r="B1014" t="str">
        <f>IFERROR(__xludf.DUMMYFUNCTION("""COMPUTED_VALUE"""),"Jeannine")</f>
        <v>Jeannine</v>
      </c>
      <c r="C1014" t="str">
        <f>IFERROR(__xludf.DUMMYFUNCTION("""COMPUTED_VALUE"""),"SMU")</f>
        <v>SMU</v>
      </c>
      <c r="D1014">
        <f>IFERROR(__xludf.DUMMYFUNCTION("""COMPUTED_VALUE"""),7.0)</f>
        <v>7</v>
      </c>
      <c r="E1014">
        <f>IFERROR(__xludf.DUMMYFUNCTION("""COMPUTED_VALUE"""),0.0)</f>
        <v>0</v>
      </c>
      <c r="F1014" t="str">
        <f>IFERROR(__xludf.DUMMYFUNCTION("""COMPUTED_VALUE"""),"ESPN2")</f>
        <v>ESPN2</v>
      </c>
      <c r="G1014" t="str">
        <f>IFERROR(__xludf.DUMMYFUNCTION("""COMPUTED_VALUE"""),"(25) Temple 21 at (19) SMU 45")</f>
        <v>(25) Temple 21 at (19) SMU 45</v>
      </c>
      <c r="H1014" t="str">
        <f>IFERROR(__xludf.DUMMYFUNCTION("""COMPUTED_VALUE"""),"FINAL")</f>
        <v>FINAL</v>
      </c>
      <c r="I1014" t="str">
        <f>IFERROR(__xludf.DUMMYFUNCTION("""COMPUTED_VALUE"""),"-7½")</f>
        <v>-7½</v>
      </c>
      <c r="J1014">
        <f>IFERROR(__xludf.DUMMYFUNCTION("""COMPUTED_VALUE"""),59.0)</f>
        <v>59</v>
      </c>
      <c r="K1014" t="str">
        <f>IFERROR(__xludf.DUMMYFUNCTION("""COMPUTED_VALUE"""),"Josh R.")</f>
        <v>Josh R.</v>
      </c>
      <c r="L1014" t="str">
        <f>IFERROR(__xludf.DUMMYFUNCTION("""COMPUTED_VALUE"""),"FINAL")</f>
        <v>FINAL</v>
      </c>
      <c r="M1014" s="124">
        <v>8.0</v>
      </c>
    </row>
    <row r="1015">
      <c r="A1015" s="151">
        <f>IFERROR(__xludf.DUMMYFUNCTION("""COMPUTED_VALUE"""),43758.147747337964)</f>
        <v>43758.14775</v>
      </c>
      <c r="B1015" t="str">
        <f>IFERROR(__xludf.DUMMYFUNCTION("""COMPUTED_VALUE"""),"Jeannine")</f>
        <v>Jeannine</v>
      </c>
      <c r="C1015" t="str">
        <f>IFERROR(__xludf.DUMMYFUNCTION("""COMPUTED_VALUE"""),"UL Monroe")</f>
        <v>UL Monroe</v>
      </c>
      <c r="D1015">
        <f>IFERROR(__xludf.DUMMYFUNCTION("""COMPUTED_VALUE"""),3.0)</f>
        <v>3</v>
      </c>
      <c r="E1015">
        <f>IFERROR(__xludf.DUMMYFUNCTION("""COMPUTED_VALUE"""),4.0)</f>
        <v>4</v>
      </c>
      <c r="F1015" t="str">
        <f>IFERROR(__xludf.DUMMYFUNCTION("""COMPUTED_VALUE"""),"NA")</f>
        <v>NA</v>
      </c>
      <c r="G1015" t="str">
        <f>IFERROR(__xludf.DUMMYFUNCTION("""COMPUTED_VALUE"""),"UL Monroe 7 at (24) Appalachian State 52")</f>
        <v>UL Monroe 7 at (24) Appalachian State 52</v>
      </c>
      <c r="H1015" t="str">
        <f>IFERROR(__xludf.DUMMYFUNCTION("""COMPUTED_VALUE"""),"FINAL")</f>
        <v>FINAL</v>
      </c>
      <c r="I1015" t="str">
        <f>IFERROR(__xludf.DUMMYFUNCTION("""COMPUTED_VALUE"""),"14½")</f>
        <v>14½</v>
      </c>
      <c r="J1015">
        <f>IFERROR(__xludf.DUMMYFUNCTION("""COMPUTED_VALUE"""),65.0)</f>
        <v>65</v>
      </c>
      <c r="K1015" t="str">
        <f>IFERROR(__xludf.DUMMYFUNCTION("""COMPUTED_VALUE"""),"Justin")</f>
        <v>Justin</v>
      </c>
      <c r="L1015" t="str">
        <f>IFERROR(__xludf.DUMMYFUNCTION("""COMPUTED_VALUE"""),"FINAL")</f>
        <v>FINAL</v>
      </c>
      <c r="M1015" s="124">
        <v>8.0</v>
      </c>
    </row>
    <row r="1016">
      <c r="A1016" s="151">
        <f>IFERROR(__xludf.DUMMYFUNCTION("""COMPUTED_VALUE"""),43758.147747337964)</f>
        <v>43758.14775</v>
      </c>
      <c r="B1016" t="str">
        <f>IFERROR(__xludf.DUMMYFUNCTION("""COMPUTED_VALUE"""),"Jeannine")</f>
        <v>Jeannine</v>
      </c>
      <c r="C1016" t="str">
        <f>IFERROR(__xludf.DUMMYFUNCTION("""COMPUTED_VALUE"""),"Virginia")</f>
        <v>Virginia</v>
      </c>
      <c r="D1016">
        <f>IFERROR(__xludf.DUMMYFUNCTION("""COMPUTED_VALUE"""),5.0)</f>
        <v>5</v>
      </c>
      <c r="E1016">
        <f>IFERROR(__xludf.DUMMYFUNCTION("""COMPUTED_VALUE"""),2.0)</f>
        <v>2</v>
      </c>
      <c r="F1016" t="str">
        <f>IFERROR(__xludf.DUMMYFUNCTION("""COMPUTED_VALUE"""),"ACC Network")</f>
        <v>ACC Network</v>
      </c>
      <c r="G1016" t="str">
        <f>IFERROR(__xludf.DUMMYFUNCTION("""COMPUTED_VALUE"""),"Duke 14 at Virginia 48")</f>
        <v>Duke 14 at Virginia 48</v>
      </c>
      <c r="H1016" t="str">
        <f>IFERROR(__xludf.DUMMYFUNCTION("""COMPUTED_VALUE"""),"FINAL")</f>
        <v>FINAL</v>
      </c>
      <c r="I1016" t="str">
        <f>IFERROR(__xludf.DUMMYFUNCTION("""COMPUTED_VALUE"""),"-3½")</f>
        <v>-3½</v>
      </c>
      <c r="J1016">
        <f>IFERROR(__xludf.DUMMYFUNCTION("""COMPUTED_VALUE"""),47.0)</f>
        <v>47</v>
      </c>
      <c r="K1016" t="str">
        <f>IFERROR(__xludf.DUMMYFUNCTION("""COMPUTED_VALUE"""),"Justin")</f>
        <v>Justin</v>
      </c>
      <c r="L1016" t="str">
        <f>IFERROR(__xludf.DUMMYFUNCTION("""COMPUTED_VALUE"""),"FINAL")</f>
        <v>FINAL</v>
      </c>
      <c r="M1016" s="124">
        <v>8.0</v>
      </c>
    </row>
    <row r="1017">
      <c r="A1017" s="151">
        <f>IFERROR(__xludf.DUMMYFUNCTION("""COMPUTED_VALUE"""),43758.147747337964)</f>
        <v>43758.14775</v>
      </c>
      <c r="B1017" t="str">
        <f>IFERROR(__xludf.DUMMYFUNCTION("""COMPUTED_VALUE"""),"Jeannine")</f>
        <v>Jeannine</v>
      </c>
      <c r="C1017" t="str">
        <f>IFERROR(__xludf.DUMMYFUNCTION("""COMPUTED_VALUE"""),"UAB")</f>
        <v>UAB</v>
      </c>
      <c r="D1017">
        <f>IFERROR(__xludf.DUMMYFUNCTION("""COMPUTED_VALUE"""),6.0)</f>
        <v>6</v>
      </c>
      <c r="E1017">
        <f>IFERROR(__xludf.DUMMYFUNCTION("""COMPUTED_VALUE"""),1.0)</f>
        <v>1</v>
      </c>
      <c r="F1017" t="str">
        <f>IFERROR(__xludf.DUMMYFUNCTION("""COMPUTED_VALUE"""),"espn+ Video")</f>
        <v>espn+ Video</v>
      </c>
      <c r="G1017" t="str">
        <f>IFERROR(__xludf.DUMMYFUNCTION("""COMPUTED_VALUE"""),"Old Dominion 14 at UAB 38")</f>
        <v>Old Dominion 14 at UAB 38</v>
      </c>
      <c r="H1017" t="str">
        <f>IFERROR(__xludf.DUMMYFUNCTION("""COMPUTED_VALUE"""),"FINAL")</f>
        <v>FINAL</v>
      </c>
      <c r="I1017" t="str">
        <f>IFERROR(__xludf.DUMMYFUNCTION("""COMPUTED_VALUE"""),"-15½")</f>
        <v>-15½</v>
      </c>
      <c r="J1017">
        <f>IFERROR(__xludf.DUMMYFUNCTION("""COMPUTED_VALUE"""),44.0)</f>
        <v>44</v>
      </c>
      <c r="K1017" t="str">
        <f>IFERROR(__xludf.DUMMYFUNCTION("""COMPUTED_VALUE"""),"Nick A.")</f>
        <v>Nick A.</v>
      </c>
      <c r="L1017" t="str">
        <f>IFERROR(__xludf.DUMMYFUNCTION("""COMPUTED_VALUE"""),"FINAL")</f>
        <v>FINAL</v>
      </c>
      <c r="M1017" s="124">
        <v>8.0</v>
      </c>
    </row>
    <row r="1018">
      <c r="A1018" s="151">
        <f>IFERROR(__xludf.DUMMYFUNCTION("""COMPUTED_VALUE"""),43758.147747337964)</f>
        <v>43758.14775</v>
      </c>
      <c r="B1018" t="str">
        <f>IFERROR(__xludf.DUMMYFUNCTION("""COMPUTED_VALUE"""),"Jeannine")</f>
        <v>Jeannine</v>
      </c>
      <c r="C1018" t="str">
        <f>IFERROR(__xludf.DUMMYFUNCTION("""COMPUTED_VALUE"""),"San José State")</f>
        <v>San José State</v>
      </c>
      <c r="D1018">
        <f>IFERROR(__xludf.DUMMYFUNCTION("""COMPUTED_VALUE"""),3.0)</f>
        <v>3</v>
      </c>
      <c r="E1018">
        <f>IFERROR(__xludf.DUMMYFUNCTION("""COMPUTED_VALUE"""),4.0)</f>
        <v>4</v>
      </c>
      <c r="F1018" t="str">
        <f>IFERROR(__xludf.DUMMYFUNCTION("""COMPUTED_VALUE"""),"NA")</f>
        <v>NA</v>
      </c>
      <c r="G1018" t="str">
        <f>IFERROR(__xludf.DUMMYFUNCTION("""COMPUTED_VALUE"""),"San Diego State 27 at San José State 17")</f>
        <v>San Diego State 27 at San José State 17</v>
      </c>
      <c r="H1018" t="str">
        <f>IFERROR(__xludf.DUMMYFUNCTION("""COMPUTED_VALUE"""),"FINAL")</f>
        <v>FINAL</v>
      </c>
      <c r="I1018">
        <f>IFERROR(__xludf.DUMMYFUNCTION("""COMPUTED_VALUE"""),8.0)</f>
        <v>8</v>
      </c>
      <c r="J1018" t="str">
        <f>IFERROR(__xludf.DUMMYFUNCTION("""COMPUTED_VALUE"""),"47½")</f>
        <v>47½</v>
      </c>
      <c r="K1018" t="str">
        <f>IFERROR(__xludf.DUMMYFUNCTION("""COMPUTED_VALUE"""),"Nick A.")</f>
        <v>Nick A.</v>
      </c>
      <c r="L1018" t="str">
        <f>IFERROR(__xludf.DUMMYFUNCTION("""COMPUTED_VALUE"""),"FINAL")</f>
        <v>FINAL</v>
      </c>
      <c r="M1018" s="124">
        <v>8.0</v>
      </c>
    </row>
    <row r="1019">
      <c r="A1019" s="151">
        <f>IFERROR(__xludf.DUMMYFUNCTION("""COMPUTED_VALUE"""),43758.147747337964)</f>
        <v>43758.14775</v>
      </c>
      <c r="B1019" t="str">
        <f>IFERROR(__xludf.DUMMYFUNCTION("""COMPUTED_VALUE"""),"Jeannine")</f>
        <v>Jeannine</v>
      </c>
      <c r="C1019" t="str">
        <f>IFERROR(__xludf.DUMMYFUNCTION("""COMPUTED_VALUE"""),"Western Michigan")</f>
        <v>Western Michigan</v>
      </c>
      <c r="D1019">
        <f>IFERROR(__xludf.DUMMYFUNCTION("""COMPUTED_VALUE"""),4.0)</f>
        <v>4</v>
      </c>
      <c r="E1019">
        <f>IFERROR(__xludf.DUMMYFUNCTION("""COMPUTED_VALUE"""),4.0)</f>
        <v>4</v>
      </c>
      <c r="F1019" t="str">
        <f>IFERROR(__xludf.DUMMYFUNCTION("""COMPUTED_VALUE"""),"espn+ Video")</f>
        <v>espn+ Video</v>
      </c>
      <c r="G1019" t="str">
        <f>IFERROR(__xludf.DUMMYFUNCTION("""COMPUTED_VALUE"""),"Western Michigan 27 at EMU 34")</f>
        <v>Western Michigan 27 at EMU 34</v>
      </c>
      <c r="H1019" t="str">
        <f>IFERROR(__xludf.DUMMYFUNCTION("""COMPUTED_VALUE"""),"FINAL")</f>
        <v>FINAL</v>
      </c>
      <c r="I1019" t="str">
        <f>IFERROR(__xludf.DUMMYFUNCTION("""COMPUTED_VALUE"""),"-8½")</f>
        <v>-8½</v>
      </c>
      <c r="J1019" t="str">
        <f>IFERROR(__xludf.DUMMYFUNCTION("""COMPUTED_VALUE"""),"61½")</f>
        <v>61½</v>
      </c>
      <c r="K1019" t="str">
        <f>IFERROR(__xludf.DUMMYFUNCTION("""COMPUTED_VALUE"""),"Brad")</f>
        <v>Brad</v>
      </c>
      <c r="L1019" t="str">
        <f>IFERROR(__xludf.DUMMYFUNCTION("""COMPUTED_VALUE"""),"FINAL")</f>
        <v>FINAL</v>
      </c>
      <c r="M1019" s="124">
        <v>8.0</v>
      </c>
    </row>
    <row r="1020">
      <c r="A1020" s="151">
        <f>IFERROR(__xludf.DUMMYFUNCTION("""COMPUTED_VALUE"""),43758.147747337964)</f>
        <v>43758.14775</v>
      </c>
      <c r="B1020" t="str">
        <f>IFERROR(__xludf.DUMMYFUNCTION("""COMPUTED_VALUE"""),"Jeannine")</f>
        <v>Jeannine</v>
      </c>
      <c r="C1020" t="str">
        <f>IFERROR(__xludf.DUMMYFUNCTION("""COMPUTED_VALUE"""),"Colorado")</f>
        <v>Colorado</v>
      </c>
      <c r="D1020">
        <f>IFERROR(__xludf.DUMMYFUNCTION("""COMPUTED_VALUE"""),3.0)</f>
        <v>3</v>
      </c>
      <c r="E1020">
        <f>IFERROR(__xludf.DUMMYFUNCTION("""COMPUTED_VALUE"""),4.0)</f>
        <v>4</v>
      </c>
      <c r="F1020" t="str">
        <f>IFERROR(__xludf.DUMMYFUNCTION("""COMPUTED_VALUE"""),"ESPNU")</f>
        <v>ESPNU</v>
      </c>
      <c r="G1020" t="str">
        <f>IFERROR(__xludf.DUMMYFUNCTION("""COMPUTED_VALUE"""),"Colorado 10 at Washington State 41")</f>
        <v>Colorado 10 at Washington State 41</v>
      </c>
      <c r="H1020" t="str">
        <f>IFERROR(__xludf.DUMMYFUNCTION("""COMPUTED_VALUE"""),"FINAL")</f>
        <v>FINAL</v>
      </c>
      <c r="I1020" t="str">
        <f>IFERROR(__xludf.DUMMYFUNCTION("""COMPUTED_VALUE"""),"13½")</f>
        <v>13½</v>
      </c>
      <c r="J1020">
        <f>IFERROR(__xludf.DUMMYFUNCTION("""COMPUTED_VALUE"""),71.0)</f>
        <v>71</v>
      </c>
      <c r="K1020" t="str">
        <f>IFERROR(__xludf.DUMMYFUNCTION("""COMPUTED_VALUE"""),"Nick A.")</f>
        <v>Nick A.</v>
      </c>
      <c r="L1020" t="str">
        <f>IFERROR(__xludf.DUMMYFUNCTION("""COMPUTED_VALUE"""),"FINAL")</f>
        <v>FINAL</v>
      </c>
      <c r="M1020" s="124">
        <v>8.0</v>
      </c>
    </row>
    <row r="1021">
      <c r="A1021" s="151">
        <f>IFERROR(__xludf.DUMMYFUNCTION("""COMPUTED_VALUE"""),43758.147747337964)</f>
        <v>43758.14775</v>
      </c>
      <c r="B1021" t="str">
        <f>IFERROR(__xludf.DUMMYFUNCTION("""COMPUTED_VALUE"""),"Jeannine")</f>
        <v>Jeannine</v>
      </c>
      <c r="C1021" t="str">
        <f>IFERROR(__xludf.DUMMYFUNCTION("""COMPUTED_VALUE"""),"Penn State")</f>
        <v>Penn State</v>
      </c>
      <c r="D1021">
        <f>IFERROR(__xludf.DUMMYFUNCTION("""COMPUTED_VALUE"""),7.0)</f>
        <v>7</v>
      </c>
      <c r="E1021">
        <f>IFERROR(__xludf.DUMMYFUNCTION("""COMPUTED_VALUE"""),0.0)</f>
        <v>0</v>
      </c>
      <c r="F1021" t="str">
        <f>IFERROR(__xludf.DUMMYFUNCTION("""COMPUTED_VALUE"""),"ABC")</f>
        <v>ABC</v>
      </c>
      <c r="G1021" t="str">
        <f>IFERROR(__xludf.DUMMYFUNCTION("""COMPUTED_VALUE"""),"(16) Michigan 21 at (7) Penn State 28")</f>
        <v>(16) Michigan 21 at (7) Penn State 28</v>
      </c>
      <c r="H1021" t="str">
        <f>IFERROR(__xludf.DUMMYFUNCTION("""COMPUTED_VALUE"""),"FINAL")</f>
        <v>FINAL</v>
      </c>
      <c r="I1021">
        <f>IFERROR(__xludf.DUMMYFUNCTION("""COMPUTED_VALUE"""),-9.0)</f>
        <v>-9</v>
      </c>
      <c r="J1021">
        <f>IFERROR(__xludf.DUMMYFUNCTION("""COMPUTED_VALUE"""),45.0)</f>
        <v>45</v>
      </c>
      <c r="K1021" t="str">
        <f>IFERROR(__xludf.DUMMYFUNCTION("""COMPUTED_VALUE"""),"Vu")</f>
        <v>Vu</v>
      </c>
      <c r="L1021" t="str">
        <f>IFERROR(__xludf.DUMMYFUNCTION("""COMPUTED_VALUE"""),"FINAL")</f>
        <v>FINAL</v>
      </c>
      <c r="M1021" s="124">
        <v>8.0</v>
      </c>
    </row>
    <row r="1022">
      <c r="A1022" s="151">
        <f>IFERROR(__xludf.DUMMYFUNCTION("""COMPUTED_VALUE"""),43758.147747337964)</f>
        <v>43758.14775</v>
      </c>
      <c r="B1022" t="str">
        <f>IFERROR(__xludf.DUMMYFUNCTION("""COMPUTED_VALUE"""),"Justin")</f>
        <v>Justin</v>
      </c>
      <c r="C1022" t="str">
        <f>IFERROR(__xludf.DUMMYFUNCTION("""COMPUTED_VALUE"""),"UNLV")</f>
        <v>UNLV</v>
      </c>
      <c r="D1022">
        <f>IFERROR(__xludf.DUMMYFUNCTION("""COMPUTED_VALUE"""),2.0)</f>
        <v>2</v>
      </c>
      <c r="E1022">
        <f>IFERROR(__xludf.DUMMYFUNCTION("""COMPUTED_VALUE"""),5.0)</f>
        <v>5</v>
      </c>
      <c r="F1022" t="str">
        <f>IFERROR(__xludf.DUMMYFUNCTION("""COMPUTED_VALUE"""),"CBSSN")</f>
        <v>CBSSN</v>
      </c>
      <c r="G1022" t="str">
        <f>IFERROR(__xludf.DUMMYFUNCTION("""COMPUTED_VALUE"""),"UNLV 27 at Fresno State 56")</f>
        <v>UNLV 27 at Fresno State 56</v>
      </c>
      <c r="H1022" t="str">
        <f>IFERROR(__xludf.DUMMYFUNCTION("""COMPUTED_VALUE"""),"FINAL")</f>
        <v>FINAL</v>
      </c>
      <c r="I1022" t="str">
        <f>IFERROR(__xludf.DUMMYFUNCTION("""COMPUTED_VALUE"""),"15½")</f>
        <v>15½</v>
      </c>
      <c r="J1022">
        <f>IFERROR(__xludf.DUMMYFUNCTION("""COMPUTED_VALUE"""),54.0)</f>
        <v>54</v>
      </c>
      <c r="K1022" t="str">
        <f>IFERROR(__xludf.DUMMYFUNCTION("""COMPUTED_VALUE"""),"DavEmily")</f>
        <v>DavEmily</v>
      </c>
      <c r="L1022" t="str">
        <f>IFERROR(__xludf.DUMMYFUNCTION("""COMPUTED_VALUE"""),"FINAL")</f>
        <v>FINAL</v>
      </c>
      <c r="M1022" s="124">
        <v>8.0</v>
      </c>
    </row>
    <row r="1023">
      <c r="A1023" s="151">
        <f>IFERROR(__xludf.DUMMYFUNCTION("""COMPUTED_VALUE"""),43758.147747337964)</f>
        <v>43758.14775</v>
      </c>
      <c r="B1023" t="str">
        <f>IFERROR(__xludf.DUMMYFUNCTION("""COMPUTED_VALUE"""),"Justin")</f>
        <v>Justin</v>
      </c>
      <c r="C1023" t="str">
        <f>IFERROR(__xludf.DUMMYFUNCTION("""COMPUTED_VALUE"""),"Iowa")</f>
        <v>Iowa</v>
      </c>
      <c r="D1023">
        <f>IFERROR(__xludf.DUMMYFUNCTION("""COMPUTED_VALUE"""),5.0)</f>
        <v>5</v>
      </c>
      <c r="E1023">
        <f>IFERROR(__xludf.DUMMYFUNCTION("""COMPUTED_VALUE"""),2.0)</f>
        <v>2</v>
      </c>
      <c r="F1023" t="str">
        <f>IFERROR(__xludf.DUMMYFUNCTION("""COMPUTED_VALUE"""),"ESPN2")</f>
        <v>ESPN2</v>
      </c>
      <c r="G1023" t="str">
        <f>IFERROR(__xludf.DUMMYFUNCTION("""COMPUTED_VALUE"""),"Purdue 20 at (22) Iowa 26")</f>
        <v>Purdue 20 at (22) Iowa 26</v>
      </c>
      <c r="H1023" t="str">
        <f>IFERROR(__xludf.DUMMYFUNCTION("""COMPUTED_VALUE"""),"FINAL")</f>
        <v>FINAL</v>
      </c>
      <c r="I1023">
        <f>IFERROR(__xludf.DUMMYFUNCTION("""COMPUTED_VALUE"""),-18.0)</f>
        <v>-18</v>
      </c>
      <c r="J1023" t="str">
        <f>IFERROR(__xludf.DUMMYFUNCTION("""COMPUTED_VALUE"""),"49½")</f>
        <v>49½</v>
      </c>
      <c r="K1023" t="str">
        <f>IFERROR(__xludf.DUMMYFUNCTION("""COMPUTED_VALUE"""),"Nico")</f>
        <v>Nico</v>
      </c>
      <c r="L1023" t="str">
        <f>IFERROR(__xludf.DUMMYFUNCTION("""COMPUTED_VALUE"""),"FINAL")</f>
        <v>FINAL</v>
      </c>
      <c r="M1023" s="124">
        <v>8.0</v>
      </c>
    </row>
    <row r="1024">
      <c r="A1024" s="151">
        <f>IFERROR(__xludf.DUMMYFUNCTION("""COMPUTED_VALUE"""),43758.147747337964)</f>
        <v>43758.14775</v>
      </c>
      <c r="B1024" t="str">
        <f>IFERROR(__xludf.DUMMYFUNCTION("""COMPUTED_VALUE"""),"Justin")</f>
        <v>Justin</v>
      </c>
      <c r="C1024" t="str">
        <f>IFERROR(__xludf.DUMMYFUNCTION("""COMPUTED_VALUE"""),"Oregon")</f>
        <v>Oregon</v>
      </c>
      <c r="D1024">
        <f>IFERROR(__xludf.DUMMYFUNCTION("""COMPUTED_VALUE"""),6.0)</f>
        <v>6</v>
      </c>
      <c r="E1024">
        <f>IFERROR(__xludf.DUMMYFUNCTION("""COMPUTED_VALUE"""),1.0)</f>
        <v>1</v>
      </c>
      <c r="F1024" t="str">
        <f>IFERROR(__xludf.DUMMYFUNCTION("""COMPUTED_VALUE"""),"ABC")</f>
        <v>ABC</v>
      </c>
      <c r="G1024" t="str">
        <f>IFERROR(__xludf.DUMMYFUNCTION("""COMPUTED_VALUE"""),"(12) Oregon 35 at (23) Washington 31")</f>
        <v>(12) Oregon 35 at (23) Washington 31</v>
      </c>
      <c r="H1024" t="str">
        <f>IFERROR(__xludf.DUMMYFUNCTION("""COMPUTED_VALUE"""),"FINAL")</f>
        <v>FINAL</v>
      </c>
      <c r="I1024" t="str">
        <f>IFERROR(__xludf.DUMMYFUNCTION("""COMPUTED_VALUE"""),"-2½")</f>
        <v>-2½</v>
      </c>
      <c r="J1024">
        <f>IFERROR(__xludf.DUMMYFUNCTION("""COMPUTED_VALUE"""),51.0)</f>
        <v>51</v>
      </c>
      <c r="K1024" t="str">
        <f>IFERROR(__xludf.DUMMYFUNCTION("""COMPUTED_VALUE"""),"Vu")</f>
        <v>Vu</v>
      </c>
      <c r="L1024" t="str">
        <f>IFERROR(__xludf.DUMMYFUNCTION("""COMPUTED_VALUE"""),"FINAL")</f>
        <v>FINAL</v>
      </c>
      <c r="M1024" s="124">
        <v>8.0</v>
      </c>
    </row>
    <row r="1025">
      <c r="A1025" s="151">
        <f>IFERROR(__xludf.DUMMYFUNCTION("""COMPUTED_VALUE"""),43758.147747337964)</f>
        <v>43758.14775</v>
      </c>
      <c r="B1025" t="str">
        <f>IFERROR(__xludf.DUMMYFUNCTION("""COMPUTED_VALUE"""),"Justin")</f>
        <v>Justin</v>
      </c>
      <c r="C1025" t="str">
        <f>IFERROR(__xludf.DUMMYFUNCTION("""COMPUTED_VALUE"""),"Appalachian State")</f>
        <v>Appalachian State</v>
      </c>
      <c r="D1025">
        <f>IFERROR(__xludf.DUMMYFUNCTION("""COMPUTED_VALUE"""),6.0)</f>
        <v>6</v>
      </c>
      <c r="E1025">
        <f>IFERROR(__xludf.DUMMYFUNCTION("""COMPUTED_VALUE"""),0.0)</f>
        <v>0</v>
      </c>
      <c r="F1025" t="str">
        <f>IFERROR(__xludf.DUMMYFUNCTION("""COMPUTED_VALUE"""),"espn+ Video")</f>
        <v>espn+ Video</v>
      </c>
      <c r="G1025" t="str">
        <f>IFERROR(__xludf.DUMMYFUNCTION("""COMPUTED_VALUE"""),"UL Monroe 7 at (24) Appalachian State 52")</f>
        <v>UL Monroe 7 at (24) Appalachian State 52</v>
      </c>
      <c r="H1025" t="str">
        <f>IFERROR(__xludf.DUMMYFUNCTION("""COMPUTED_VALUE"""),"FINAL")</f>
        <v>FINAL</v>
      </c>
      <c r="I1025" t="str">
        <f>IFERROR(__xludf.DUMMYFUNCTION("""COMPUTED_VALUE"""),"-14½")</f>
        <v>-14½</v>
      </c>
      <c r="J1025">
        <f>IFERROR(__xludf.DUMMYFUNCTION("""COMPUTED_VALUE"""),65.0)</f>
        <v>65</v>
      </c>
      <c r="K1025" t="str">
        <f>IFERROR(__xludf.DUMMYFUNCTION("""COMPUTED_VALUE"""),"Jeannine")</f>
        <v>Jeannine</v>
      </c>
      <c r="L1025" t="str">
        <f>IFERROR(__xludf.DUMMYFUNCTION("""COMPUTED_VALUE"""),"FINAL")</f>
        <v>FINAL</v>
      </c>
      <c r="M1025" s="124">
        <v>8.0</v>
      </c>
    </row>
    <row r="1026">
      <c r="A1026" s="151">
        <f>IFERROR(__xludf.DUMMYFUNCTION("""COMPUTED_VALUE"""),43758.147747337964)</f>
        <v>43758.14775</v>
      </c>
      <c r="B1026" t="str">
        <f>IFERROR(__xludf.DUMMYFUNCTION("""COMPUTED_VALUE"""),"Justin")</f>
        <v>Justin</v>
      </c>
      <c r="C1026" t="str">
        <f>IFERROR(__xludf.DUMMYFUNCTION("""COMPUTED_VALUE"""),"South Florida")</f>
        <v>South Florida</v>
      </c>
      <c r="D1026">
        <f>IFERROR(__xludf.DUMMYFUNCTION("""COMPUTED_VALUE"""),3.0)</f>
        <v>3</v>
      </c>
      <c r="E1026">
        <f>IFERROR(__xludf.DUMMYFUNCTION("""COMPUTED_VALUE"""),4.0)</f>
        <v>4</v>
      </c>
      <c r="F1026" t="str">
        <f>IFERROR(__xludf.DUMMYFUNCTION("""COMPUTED_VALUE"""),"CBSSN")</f>
        <v>CBSSN</v>
      </c>
      <c r="G1026" t="str">
        <f>IFERROR(__xludf.DUMMYFUNCTION("""COMPUTED_VALUE"""),"South Florida 3 at Navy 35")</f>
        <v>South Florida 3 at Navy 35</v>
      </c>
      <c r="H1026" t="str">
        <f>IFERROR(__xludf.DUMMYFUNCTION("""COMPUTED_VALUE"""),"FINAL")</f>
        <v>FINAL</v>
      </c>
      <c r="I1026" t="str">
        <f>IFERROR(__xludf.DUMMYFUNCTION("""COMPUTED_VALUE"""),"13½")</f>
        <v>13½</v>
      </c>
      <c r="J1026" t="str">
        <f>IFERROR(__xludf.DUMMYFUNCTION("""COMPUTED_VALUE"""),"53½")</f>
        <v>53½</v>
      </c>
      <c r="K1026" t="str">
        <f>IFERROR(__xludf.DUMMYFUNCTION("""COMPUTED_VALUE"""),"Janice/Mike")</f>
        <v>Janice/Mike</v>
      </c>
      <c r="L1026" t="str">
        <f>IFERROR(__xludf.DUMMYFUNCTION("""COMPUTED_VALUE"""),"FINAL")</f>
        <v>FINAL</v>
      </c>
      <c r="M1026" s="124">
        <v>8.0</v>
      </c>
    </row>
    <row r="1027">
      <c r="A1027" s="151">
        <f>IFERROR(__xludf.DUMMYFUNCTION("""COMPUTED_VALUE"""),43758.147747337964)</f>
        <v>43758.14775</v>
      </c>
      <c r="B1027" t="str">
        <f>IFERROR(__xludf.DUMMYFUNCTION("""COMPUTED_VALUE"""),"Justin")</f>
        <v>Justin</v>
      </c>
      <c r="C1027" t="str">
        <f>IFERROR(__xludf.DUMMYFUNCTION("""COMPUTED_VALUE"""),"Buffalo")</f>
        <v>Buffalo</v>
      </c>
      <c r="D1027">
        <f>IFERROR(__xludf.DUMMYFUNCTION("""COMPUTED_VALUE"""),3.0)</f>
        <v>3</v>
      </c>
      <c r="E1027">
        <f>IFERROR(__xludf.DUMMYFUNCTION("""COMPUTED_VALUE"""),4.0)</f>
        <v>4</v>
      </c>
      <c r="F1027" t="str">
        <f>IFERROR(__xludf.DUMMYFUNCTION("""COMPUTED_VALUE"""),"espn3 Video")</f>
        <v>espn3 Video</v>
      </c>
      <c r="G1027" t="str">
        <f>IFERROR(__xludf.DUMMYFUNCTION("""COMPUTED_VALUE"""),"Buffalo 21 at Akron 0")</f>
        <v>Buffalo 21 at Akron 0</v>
      </c>
      <c r="H1027" t="str">
        <f>IFERROR(__xludf.DUMMYFUNCTION("""COMPUTED_VALUE"""),"FINAL")</f>
        <v>FINAL</v>
      </c>
      <c r="I1027" t="str">
        <f>IFERROR(__xludf.DUMMYFUNCTION("""COMPUTED_VALUE"""),"-17½")</f>
        <v>-17½</v>
      </c>
      <c r="J1027">
        <f>IFERROR(__xludf.DUMMYFUNCTION("""COMPUTED_VALUE"""),48.0)</f>
        <v>48</v>
      </c>
      <c r="K1027" t="str">
        <f>IFERROR(__xludf.DUMMYFUNCTION("""COMPUTED_VALUE"""),"Adam")</f>
        <v>Adam</v>
      </c>
      <c r="L1027" t="str">
        <f>IFERROR(__xludf.DUMMYFUNCTION("""COMPUTED_VALUE"""),"FINAL")</f>
        <v>FINAL</v>
      </c>
      <c r="M1027" s="124">
        <v>8.0</v>
      </c>
    </row>
    <row r="1028">
      <c r="A1028" s="151">
        <f>IFERROR(__xludf.DUMMYFUNCTION("""COMPUTED_VALUE"""),43758.147747337964)</f>
        <v>43758.14775</v>
      </c>
      <c r="B1028" t="str">
        <f>IFERROR(__xludf.DUMMYFUNCTION("""COMPUTED_VALUE"""),"Justin")</f>
        <v>Justin</v>
      </c>
      <c r="C1028" t="str">
        <f>IFERROR(__xludf.DUMMYFUNCTION("""COMPUTED_VALUE"""),"Duke")</f>
        <v>Duke</v>
      </c>
      <c r="D1028">
        <f>IFERROR(__xludf.DUMMYFUNCTION("""COMPUTED_VALUE"""),4.0)</f>
        <v>4</v>
      </c>
      <c r="E1028">
        <f>IFERROR(__xludf.DUMMYFUNCTION("""COMPUTED_VALUE"""),3.0)</f>
        <v>3</v>
      </c>
      <c r="F1028" t="str">
        <f>IFERROR(__xludf.DUMMYFUNCTION("""COMPUTED_VALUE"""),"ACC Network")</f>
        <v>ACC Network</v>
      </c>
      <c r="G1028" t="str">
        <f>IFERROR(__xludf.DUMMYFUNCTION("""COMPUTED_VALUE"""),"Duke 14 at Virginia 48")</f>
        <v>Duke 14 at Virginia 48</v>
      </c>
      <c r="H1028" t="str">
        <f>IFERROR(__xludf.DUMMYFUNCTION("""COMPUTED_VALUE"""),"FINAL")</f>
        <v>FINAL</v>
      </c>
      <c r="I1028" t="str">
        <f>IFERROR(__xludf.DUMMYFUNCTION("""COMPUTED_VALUE"""),"3½")</f>
        <v>3½</v>
      </c>
      <c r="J1028">
        <f>IFERROR(__xludf.DUMMYFUNCTION("""COMPUTED_VALUE"""),47.0)</f>
        <v>47</v>
      </c>
      <c r="K1028" t="str">
        <f>IFERROR(__xludf.DUMMYFUNCTION("""COMPUTED_VALUE"""),"Jeannine")</f>
        <v>Jeannine</v>
      </c>
      <c r="L1028" t="str">
        <f>IFERROR(__xludf.DUMMYFUNCTION("""COMPUTED_VALUE"""),"FINAL")</f>
        <v>FINAL</v>
      </c>
      <c r="M1028" s="124">
        <v>8.0</v>
      </c>
    </row>
    <row r="1029">
      <c r="A1029" s="151">
        <f>IFERROR(__xludf.DUMMYFUNCTION("""COMPUTED_VALUE"""),43758.147747337964)</f>
        <v>43758.14775</v>
      </c>
      <c r="B1029" t="str">
        <f>IFERROR(__xludf.DUMMYFUNCTION("""COMPUTED_VALUE"""),"Justin")</f>
        <v>Justin</v>
      </c>
      <c r="C1029" t="str">
        <f>IFERROR(__xludf.DUMMYFUNCTION("""COMPUTED_VALUE"""),"Baylor")</f>
        <v>Baylor</v>
      </c>
      <c r="D1029">
        <f>IFERROR(__xludf.DUMMYFUNCTION("""COMPUTED_VALUE"""),7.0)</f>
        <v>7</v>
      </c>
      <c r="E1029">
        <f>IFERROR(__xludf.DUMMYFUNCTION("""COMPUTED_VALUE"""),0.0)</f>
        <v>0</v>
      </c>
      <c r="F1029" t="str">
        <f>IFERROR(__xludf.DUMMYFUNCTION("""COMPUTED_VALUE"""),"FOX")</f>
        <v>FOX</v>
      </c>
      <c r="G1029" t="str">
        <f>IFERROR(__xludf.DUMMYFUNCTION("""COMPUTED_VALUE"""),"(18) Baylor 45 at Oklahoma State 27")</f>
        <v>(18) Baylor 45 at Oklahoma State 27</v>
      </c>
      <c r="H1029" t="str">
        <f>IFERROR(__xludf.DUMMYFUNCTION("""COMPUTED_VALUE"""),"FINAL")</f>
        <v>FINAL</v>
      </c>
      <c r="I1029">
        <f>IFERROR(__xludf.DUMMYFUNCTION("""COMPUTED_VALUE"""),3.0)</f>
        <v>3</v>
      </c>
      <c r="J1029" t="str">
        <f>IFERROR(__xludf.DUMMYFUNCTION("""COMPUTED_VALUE"""),"64½")</f>
        <v>64½</v>
      </c>
      <c r="K1029" t="str">
        <f>IFERROR(__xludf.DUMMYFUNCTION("""COMPUTED_VALUE"""),"Brad")</f>
        <v>Brad</v>
      </c>
      <c r="L1029" t="str">
        <f>IFERROR(__xludf.DUMMYFUNCTION("""COMPUTED_VALUE"""),"FINAL")</f>
        <v>FINAL</v>
      </c>
      <c r="M1029" s="124">
        <v>8.0</v>
      </c>
    </row>
    <row r="1030">
      <c r="A1030" s="151">
        <f>IFERROR(__xludf.DUMMYFUNCTION("""COMPUTED_VALUE"""),43758.147747337964)</f>
        <v>43758.14775</v>
      </c>
      <c r="B1030" t="str">
        <f>IFERROR(__xludf.DUMMYFUNCTION("""COMPUTED_VALUE"""),"Justin")</f>
        <v>Justin</v>
      </c>
      <c r="C1030" t="str">
        <f>IFERROR(__xludf.DUMMYFUNCTION("""COMPUTED_VALUE"""),"Western Kentucky")</f>
        <v>Western Kentucky</v>
      </c>
      <c r="D1030">
        <f>IFERROR(__xludf.DUMMYFUNCTION("""COMPUTED_VALUE"""),5.0)</f>
        <v>5</v>
      </c>
      <c r="E1030">
        <f>IFERROR(__xludf.DUMMYFUNCTION("""COMPUTED_VALUE"""),2.0)</f>
        <v>2</v>
      </c>
      <c r="F1030" t="str">
        <f>IFERROR(__xludf.DUMMYFUNCTION("""COMPUTED_VALUE"""),"espn+ Video")</f>
        <v>espn+ Video</v>
      </c>
      <c r="G1030" t="str">
        <f>IFERROR(__xludf.DUMMYFUNCTION("""COMPUTED_VALUE"""),"Charlotte 14 at Western Kentucky 30")</f>
        <v>Charlotte 14 at Western Kentucky 30</v>
      </c>
      <c r="H1030" t="str">
        <f>IFERROR(__xludf.DUMMYFUNCTION("""COMPUTED_VALUE"""),"FINAL")</f>
        <v>FINAL</v>
      </c>
      <c r="I1030">
        <f>IFERROR(__xludf.DUMMYFUNCTION("""COMPUTED_VALUE"""),-9.0)</f>
        <v>-9</v>
      </c>
      <c r="J1030" t="str">
        <f>IFERROR(__xludf.DUMMYFUNCTION("""COMPUTED_VALUE"""),"50½")</f>
        <v>50½</v>
      </c>
      <c r="K1030" t="str">
        <f>IFERROR(__xludf.DUMMYFUNCTION("""COMPUTED_VALUE"""),"Janice/Mike")</f>
        <v>Janice/Mike</v>
      </c>
      <c r="L1030" t="str">
        <f>IFERROR(__xludf.DUMMYFUNCTION("""COMPUTED_VALUE"""),"FINAL")</f>
        <v>FINAL</v>
      </c>
      <c r="M1030" s="124">
        <v>8.0</v>
      </c>
    </row>
    <row r="1031">
      <c r="A1031" s="151">
        <f>IFERROR(__xludf.DUMMYFUNCTION("""COMPUTED_VALUE"""),43758.147747337964)</f>
        <v>43758.14775</v>
      </c>
      <c r="B1031" t="str">
        <f>IFERROR(__xludf.DUMMYFUNCTION("""COMPUTED_VALUE"""),"Justin")</f>
        <v>Justin</v>
      </c>
      <c r="C1031" t="str">
        <f>IFERROR(__xludf.DUMMYFUNCTION("""COMPUTED_VALUE"""),"Tennessee")</f>
        <v>Tennessee</v>
      </c>
      <c r="D1031">
        <f>IFERROR(__xludf.DUMMYFUNCTION("""COMPUTED_VALUE"""),2.0)</f>
        <v>2</v>
      </c>
      <c r="E1031">
        <f>IFERROR(__xludf.DUMMYFUNCTION("""COMPUTED_VALUE"""),5.0)</f>
        <v>5</v>
      </c>
      <c r="F1031" t="str">
        <f>IFERROR(__xludf.DUMMYFUNCTION("""COMPUTED_VALUE"""),"ESPN")</f>
        <v>ESPN</v>
      </c>
      <c r="G1031" t="str">
        <f>IFERROR(__xludf.DUMMYFUNCTION("""COMPUTED_VALUE"""),"Tennessee 13 at (1) Alabama 35")</f>
        <v>Tennessee 13 at (1) Alabama 35</v>
      </c>
      <c r="H1031" t="str">
        <f>IFERROR(__xludf.DUMMYFUNCTION("""COMPUTED_VALUE"""),"FINAL")</f>
        <v>FINAL</v>
      </c>
      <c r="I1031" t="str">
        <f>IFERROR(__xludf.DUMMYFUNCTION("""COMPUTED_VALUE"""),"34½")</f>
        <v>34½</v>
      </c>
      <c r="J1031">
        <f>IFERROR(__xludf.DUMMYFUNCTION("""COMPUTED_VALUE"""),62.0)</f>
        <v>62</v>
      </c>
      <c r="K1031" t="str">
        <f>IFERROR(__xludf.DUMMYFUNCTION("""COMPUTED_VALUE"""),"DavEmily")</f>
        <v>DavEmily</v>
      </c>
      <c r="L1031" t="str">
        <f>IFERROR(__xludf.DUMMYFUNCTION("""COMPUTED_VALUE"""),"FINAL")</f>
        <v>FINAL</v>
      </c>
      <c r="M1031" s="124">
        <v>8.0</v>
      </c>
    </row>
    <row r="1032">
      <c r="A1032" s="151">
        <f>IFERROR(__xludf.DUMMYFUNCTION("""COMPUTED_VALUE"""),43758.147747337964)</f>
        <v>43758.14775</v>
      </c>
      <c r="B1032" t="str">
        <f>IFERROR(__xludf.DUMMYFUNCTION("""COMPUTED_VALUE"""),"Adam")</f>
        <v>Adam</v>
      </c>
      <c r="C1032" t="str">
        <f>IFERROR(__xludf.DUMMYFUNCTION("""COMPUTED_VALUE"""),"Northwestern")</f>
        <v>Northwestern</v>
      </c>
      <c r="D1032">
        <f>IFERROR(__xludf.DUMMYFUNCTION("""COMPUTED_VALUE"""),1.0)</f>
        <v>1</v>
      </c>
      <c r="E1032">
        <f>IFERROR(__xludf.DUMMYFUNCTION("""COMPUTED_VALUE"""),5.0)</f>
        <v>5</v>
      </c>
      <c r="F1032" t="str">
        <f>IFERROR(__xludf.DUMMYFUNCTION("""COMPUTED_VALUE"""),"FS1")</f>
        <v>FS1</v>
      </c>
      <c r="G1032" t="str">
        <f>IFERROR(__xludf.DUMMYFUNCTION("""COMPUTED_VALUE"""),"(4) Ohio State 52 at Northwestern 3")</f>
        <v>(4) Ohio State 52 at Northwestern 3</v>
      </c>
      <c r="H1032" t="str">
        <f>IFERROR(__xludf.DUMMYFUNCTION("""COMPUTED_VALUE"""),"FINAL")</f>
        <v>FINAL</v>
      </c>
      <c r="I1032" t="str">
        <f>IFERROR(__xludf.DUMMYFUNCTION("""COMPUTED_VALUE"""),"28½")</f>
        <v>28½</v>
      </c>
      <c r="J1032">
        <f>IFERROR(__xludf.DUMMYFUNCTION("""COMPUTED_VALUE"""),50.0)</f>
        <v>50</v>
      </c>
      <c r="K1032" t="str">
        <f>IFERROR(__xludf.DUMMYFUNCTION("""COMPUTED_VALUE"""),"Nick G.")</f>
        <v>Nick G.</v>
      </c>
      <c r="L1032" t="str">
        <f>IFERROR(__xludf.DUMMYFUNCTION("""COMPUTED_VALUE"""),"FINAL")</f>
        <v>FINAL</v>
      </c>
      <c r="M1032" s="124">
        <v>8.0</v>
      </c>
    </row>
    <row r="1033">
      <c r="A1033" s="151">
        <f>IFERROR(__xludf.DUMMYFUNCTION("""COMPUTED_VALUE"""),43758.147747337964)</f>
        <v>43758.14775</v>
      </c>
      <c r="B1033" t="str">
        <f>IFERROR(__xludf.DUMMYFUNCTION("""COMPUTED_VALUE"""),"Adam")</f>
        <v>Adam</v>
      </c>
      <c r="C1033" t="str">
        <f>IFERROR(__xludf.DUMMYFUNCTION("""COMPUTED_VALUE"""),"Florida")</f>
        <v>Florida</v>
      </c>
      <c r="D1033">
        <f>IFERROR(__xludf.DUMMYFUNCTION("""COMPUTED_VALUE"""),7.0)</f>
        <v>7</v>
      </c>
      <c r="E1033">
        <f>IFERROR(__xludf.DUMMYFUNCTION("""COMPUTED_VALUE"""),1.0)</f>
        <v>1</v>
      </c>
      <c r="F1033" t="str">
        <f>IFERROR(__xludf.DUMMYFUNCTION("""COMPUTED_VALUE"""),"ESPN")</f>
        <v>ESPN</v>
      </c>
      <c r="G1033" t="str">
        <f>IFERROR(__xludf.DUMMYFUNCTION("""COMPUTED_VALUE"""),"(9) Florida 38 at South Carolina 27")</f>
        <v>(9) Florida 38 at South Carolina 27</v>
      </c>
      <c r="H1033" t="str">
        <f>IFERROR(__xludf.DUMMYFUNCTION("""COMPUTED_VALUE"""),"FINAL")</f>
        <v>FINAL</v>
      </c>
      <c r="I1033" t="str">
        <f>IFERROR(__xludf.DUMMYFUNCTION("""COMPUTED_VALUE"""),"-6½")</f>
        <v>-6½</v>
      </c>
      <c r="J1033">
        <f>IFERROR(__xludf.DUMMYFUNCTION("""COMPUTED_VALUE"""),48.0)</f>
        <v>48</v>
      </c>
      <c r="K1033" t="str">
        <f>IFERROR(__xludf.DUMMYFUNCTION("""COMPUTED_VALUE"""),"Brad")</f>
        <v>Brad</v>
      </c>
      <c r="L1033" t="str">
        <f>IFERROR(__xludf.DUMMYFUNCTION("""COMPUTED_VALUE"""),"FINAL")</f>
        <v>FINAL</v>
      </c>
      <c r="M1033" s="124">
        <v>8.0</v>
      </c>
    </row>
    <row r="1034">
      <c r="A1034" s="151">
        <f>IFERROR(__xludf.DUMMYFUNCTION("""COMPUTED_VALUE"""),43758.147747337964)</f>
        <v>43758.14775</v>
      </c>
      <c r="B1034" t="str">
        <f>IFERROR(__xludf.DUMMYFUNCTION("""COMPUTED_VALUE"""),"Adam")</f>
        <v>Adam</v>
      </c>
      <c r="C1034" t="str">
        <f>IFERROR(__xludf.DUMMYFUNCTION("""COMPUTED_VALUE"""),"Oregon State")</f>
        <v>Oregon State</v>
      </c>
      <c r="D1034">
        <f>IFERROR(__xludf.DUMMYFUNCTION("""COMPUTED_VALUE"""),3.0)</f>
        <v>3</v>
      </c>
      <c r="E1034">
        <f>IFERROR(__xludf.DUMMYFUNCTION("""COMPUTED_VALUE"""),4.0)</f>
        <v>4</v>
      </c>
      <c r="F1034" t="str">
        <f>IFERROR(__xludf.DUMMYFUNCTION("""COMPUTED_VALUE"""),"Pac-12")</f>
        <v>Pac-12</v>
      </c>
      <c r="G1034" t="str">
        <f>IFERROR(__xludf.DUMMYFUNCTION("""COMPUTED_VALUE"""),"Oregon State 21 at California 17")</f>
        <v>Oregon State 21 at California 17</v>
      </c>
      <c r="H1034" t="str">
        <f>IFERROR(__xludf.DUMMYFUNCTION("""COMPUTED_VALUE"""),"FINAL")</f>
        <v>FINAL</v>
      </c>
      <c r="I1034">
        <f>IFERROR(__xludf.DUMMYFUNCTION("""COMPUTED_VALUE"""),11.0)</f>
        <v>11</v>
      </c>
      <c r="J1034" t="str">
        <f>IFERROR(__xludf.DUMMYFUNCTION("""COMPUTED_VALUE"""),"51½")</f>
        <v>51½</v>
      </c>
      <c r="K1034" t="str">
        <f>IFERROR(__xludf.DUMMYFUNCTION("""COMPUTED_VALUE"""),"DavEmily")</f>
        <v>DavEmily</v>
      </c>
      <c r="L1034" t="str">
        <f>IFERROR(__xludf.DUMMYFUNCTION("""COMPUTED_VALUE"""),"FINAL")</f>
        <v>FINAL</v>
      </c>
      <c r="M1034" s="124">
        <v>8.0</v>
      </c>
    </row>
    <row r="1035">
      <c r="A1035" s="151">
        <f>IFERROR(__xludf.DUMMYFUNCTION("""COMPUTED_VALUE"""),43758.147747337964)</f>
        <v>43758.14775</v>
      </c>
      <c r="B1035" t="str">
        <f>IFERROR(__xludf.DUMMYFUNCTION("""COMPUTED_VALUE"""),"Adam")</f>
        <v>Adam</v>
      </c>
      <c r="C1035" t="str">
        <f>IFERROR(__xludf.DUMMYFUNCTION("""COMPUTED_VALUE"""),"Akron")</f>
        <v>Akron</v>
      </c>
      <c r="D1035">
        <f>IFERROR(__xludf.DUMMYFUNCTION("""COMPUTED_VALUE"""),0.0)</f>
        <v>0</v>
      </c>
      <c r="E1035">
        <f>IFERROR(__xludf.DUMMYFUNCTION("""COMPUTED_VALUE"""),7.0)</f>
        <v>7</v>
      </c>
      <c r="F1035" t="str">
        <f>IFERROR(__xludf.DUMMYFUNCTION("""COMPUTED_VALUE"""),"espn3 Video")</f>
        <v>espn3 Video</v>
      </c>
      <c r="G1035" t="str">
        <f>IFERROR(__xludf.DUMMYFUNCTION("""COMPUTED_VALUE"""),"Buffalo 21 at Akron 0")</f>
        <v>Buffalo 21 at Akron 0</v>
      </c>
      <c r="H1035" t="str">
        <f>IFERROR(__xludf.DUMMYFUNCTION("""COMPUTED_VALUE"""),"FINAL")</f>
        <v>FINAL</v>
      </c>
      <c r="I1035" t="str">
        <f>IFERROR(__xludf.DUMMYFUNCTION("""COMPUTED_VALUE"""),"17½")</f>
        <v>17½</v>
      </c>
      <c r="J1035">
        <f>IFERROR(__xludf.DUMMYFUNCTION("""COMPUTED_VALUE"""),48.0)</f>
        <v>48</v>
      </c>
      <c r="K1035" t="str">
        <f>IFERROR(__xludf.DUMMYFUNCTION("""COMPUTED_VALUE"""),"Justin")</f>
        <v>Justin</v>
      </c>
      <c r="L1035" t="str">
        <f>IFERROR(__xludf.DUMMYFUNCTION("""COMPUTED_VALUE"""),"FINAL")</f>
        <v>FINAL</v>
      </c>
      <c r="M1035" s="124">
        <v>8.0</v>
      </c>
    </row>
    <row r="1036">
      <c r="A1036" s="151">
        <f>IFERROR(__xludf.DUMMYFUNCTION("""COMPUTED_VALUE"""),43758.147747337964)</f>
        <v>43758.14775</v>
      </c>
      <c r="B1036" t="str">
        <f>IFERROR(__xludf.DUMMYFUNCTION("""COMPUTED_VALUE"""),"Adam")</f>
        <v>Adam</v>
      </c>
      <c r="C1036" t="str">
        <f>IFERROR(__xludf.DUMMYFUNCTION("""COMPUTED_VALUE"""),"Texas")</f>
        <v>Texas</v>
      </c>
      <c r="D1036">
        <f>IFERROR(__xludf.DUMMYFUNCTION("""COMPUTED_VALUE"""),5.0)</f>
        <v>5</v>
      </c>
      <c r="E1036">
        <f>IFERROR(__xludf.DUMMYFUNCTION("""COMPUTED_VALUE"""),2.0)</f>
        <v>2</v>
      </c>
      <c r="F1036" t="str">
        <f>IFERROR(__xludf.DUMMYFUNCTION("""COMPUTED_VALUE"""),"LHN")</f>
        <v>LHN</v>
      </c>
      <c r="G1036" t="str">
        <f>IFERROR(__xludf.DUMMYFUNCTION("""COMPUTED_VALUE"""),"Kansas 48 at (15) Texas 50")</f>
        <v>Kansas 48 at (15) Texas 50</v>
      </c>
      <c r="H1036" t="str">
        <f>IFERROR(__xludf.DUMMYFUNCTION("""COMPUTED_VALUE"""),"FINAL")</f>
        <v>FINAL</v>
      </c>
      <c r="I1036" t="str">
        <f>IFERROR(__xludf.DUMMYFUNCTION("""COMPUTED_VALUE"""),"-21½")</f>
        <v>-21½</v>
      </c>
      <c r="J1036">
        <f>IFERROR(__xludf.DUMMYFUNCTION("""COMPUTED_VALUE"""),62.0)</f>
        <v>62</v>
      </c>
      <c r="K1036" t="str">
        <f>IFERROR(__xludf.DUMMYFUNCTION("""COMPUTED_VALUE"""),"Josh R.")</f>
        <v>Josh R.</v>
      </c>
      <c r="L1036" t="str">
        <f>IFERROR(__xludf.DUMMYFUNCTION("""COMPUTED_VALUE"""),"FINAL")</f>
        <v>FINAL</v>
      </c>
      <c r="M1036" s="124">
        <v>8.0</v>
      </c>
    </row>
    <row r="1037">
      <c r="A1037" s="151">
        <f>IFERROR(__xludf.DUMMYFUNCTION("""COMPUTED_VALUE"""),43758.147747337964)</f>
        <v>43758.14775</v>
      </c>
      <c r="B1037" t="str">
        <f>IFERROR(__xludf.DUMMYFUNCTION("""COMPUTED_VALUE"""),"Adam")</f>
        <v>Adam</v>
      </c>
      <c r="C1037" t="str">
        <f>IFERROR(__xludf.DUMMYFUNCTION("""COMPUTED_VALUE"""),"UCF")</f>
        <v>UCF</v>
      </c>
      <c r="D1037">
        <f>IFERROR(__xludf.DUMMYFUNCTION("""COMPUTED_VALUE"""),5.0)</f>
        <v>5</v>
      </c>
      <c r="E1037">
        <f>IFERROR(__xludf.DUMMYFUNCTION("""COMPUTED_VALUE"""),2.0)</f>
        <v>2</v>
      </c>
      <c r="F1037" t="str">
        <f>IFERROR(__xludf.DUMMYFUNCTION("""COMPUTED_VALUE"""),"CBSSN")</f>
        <v>CBSSN</v>
      </c>
      <c r="G1037" t="str">
        <f>IFERROR(__xludf.DUMMYFUNCTION("""COMPUTED_VALUE"""),"East Carolina 28 at UCF 41")</f>
        <v>East Carolina 28 at UCF 41</v>
      </c>
      <c r="H1037" t="str">
        <f>IFERROR(__xludf.DUMMYFUNCTION("""COMPUTED_VALUE"""),"FINAL")</f>
        <v>FINAL</v>
      </c>
      <c r="I1037">
        <f>IFERROR(__xludf.DUMMYFUNCTION("""COMPUTED_VALUE"""),-33.0)</f>
        <v>-33</v>
      </c>
      <c r="J1037">
        <f>IFERROR(__xludf.DUMMYFUNCTION("""COMPUTED_VALUE"""),61.0)</f>
        <v>61</v>
      </c>
      <c r="K1037" t="str">
        <f>IFERROR(__xludf.DUMMYFUNCTION("""COMPUTED_VALUE"""),"Nick A.")</f>
        <v>Nick A.</v>
      </c>
      <c r="L1037" t="str">
        <f>IFERROR(__xludf.DUMMYFUNCTION("""COMPUTED_VALUE"""),"FINAL")</f>
        <v>FINAL</v>
      </c>
      <c r="M1037" s="124">
        <v>8.0</v>
      </c>
    </row>
    <row r="1038">
      <c r="A1038" s="151">
        <f>IFERROR(__xludf.DUMMYFUNCTION("""COMPUTED_VALUE"""),43758.147747337964)</f>
        <v>43758.14775</v>
      </c>
      <c r="B1038" t="str">
        <f>IFERROR(__xludf.DUMMYFUNCTION("""COMPUTED_VALUE"""),"Adam")</f>
        <v>Adam</v>
      </c>
      <c r="C1038" t="str">
        <f>IFERROR(__xludf.DUMMYFUNCTION("""COMPUTED_VALUE"""),"Georgia State")</f>
        <v>Georgia State</v>
      </c>
      <c r="D1038">
        <f>IFERROR(__xludf.DUMMYFUNCTION("""COMPUTED_VALUE"""),5.0)</f>
        <v>5</v>
      </c>
      <c r="E1038">
        <f>IFERROR(__xludf.DUMMYFUNCTION("""COMPUTED_VALUE"""),2.0)</f>
        <v>2</v>
      </c>
      <c r="F1038" t="str">
        <f>IFERROR(__xludf.DUMMYFUNCTION("""COMPUTED_VALUE"""),"espn+ Video")</f>
        <v>espn+ Video</v>
      </c>
      <c r="G1038" t="str">
        <f>IFERROR(__xludf.DUMMYFUNCTION("""COMPUTED_VALUE"""),"Army 21 at Georgia State 28")</f>
        <v>Army 21 at Georgia State 28</v>
      </c>
      <c r="H1038" t="str">
        <f>IFERROR(__xludf.DUMMYFUNCTION("""COMPUTED_VALUE"""),"FINAL")</f>
        <v>FINAL</v>
      </c>
      <c r="I1038" t="str">
        <f>IFERROR(__xludf.DUMMYFUNCTION("""COMPUTED_VALUE"""),"6½")</f>
        <v>6½</v>
      </c>
      <c r="J1038" t="str">
        <f>IFERROR(__xludf.DUMMYFUNCTION("""COMPUTED_VALUE"""),"56½")</f>
        <v>56½</v>
      </c>
      <c r="K1038" t="str">
        <f>IFERROR(__xludf.DUMMYFUNCTION("""COMPUTED_VALUE"""),"Josh R.")</f>
        <v>Josh R.</v>
      </c>
      <c r="L1038" t="str">
        <f>IFERROR(__xludf.DUMMYFUNCTION("""COMPUTED_VALUE"""),"FINAL")</f>
        <v>FINAL</v>
      </c>
      <c r="M1038" s="124">
        <v>8.0</v>
      </c>
    </row>
    <row r="1039">
      <c r="A1039" s="151">
        <f>IFERROR(__xludf.DUMMYFUNCTION("""COMPUTED_VALUE"""),43758.147747337964)</f>
        <v>43758.14775</v>
      </c>
      <c r="B1039" t="str">
        <f>IFERROR(__xludf.DUMMYFUNCTION("""COMPUTED_VALUE"""),"Adam")</f>
        <v>Adam</v>
      </c>
      <c r="C1039" t="str">
        <f>IFERROR(__xludf.DUMMYFUNCTION("""COMPUTED_VALUE"""),"Florida Intl")</f>
        <v>Florida Intl</v>
      </c>
      <c r="D1039">
        <f>IFERROR(__xludf.DUMMYFUNCTION("""COMPUTED_VALUE"""),4.0)</f>
        <v>4</v>
      </c>
      <c r="E1039">
        <f>IFERROR(__xludf.DUMMYFUNCTION("""COMPUTED_VALUE"""),3.0)</f>
        <v>3</v>
      </c>
      <c r="F1039" t="str">
        <f>IFERROR(__xludf.DUMMYFUNCTION("""COMPUTED_VALUE"""),"NA")</f>
        <v>NA</v>
      </c>
      <c r="G1039" t="str">
        <f>IFERROR(__xludf.DUMMYFUNCTION("""COMPUTED_VALUE"""),"UTEP 17 at Florida Intl 32")</f>
        <v>UTEP 17 at Florida Intl 32</v>
      </c>
      <c r="H1039" t="str">
        <f>IFERROR(__xludf.DUMMYFUNCTION("""COMPUTED_VALUE"""),"FINAL")</f>
        <v>FINAL</v>
      </c>
      <c r="I1039" t="str">
        <f>IFERROR(__xludf.DUMMYFUNCTION("""COMPUTED_VALUE"""),"-23½")</f>
        <v>-23½</v>
      </c>
      <c r="J1039">
        <f>IFERROR(__xludf.DUMMYFUNCTION("""COMPUTED_VALUE"""),54.0)</f>
        <v>54</v>
      </c>
      <c r="K1039" t="str">
        <f>IFERROR(__xludf.DUMMYFUNCTION("""COMPUTED_VALUE"""),"Undrafted")</f>
        <v>Undrafted</v>
      </c>
      <c r="L1039" t="str">
        <f>IFERROR(__xludf.DUMMYFUNCTION("""COMPUTED_VALUE"""),"FINAL")</f>
        <v>FINAL</v>
      </c>
      <c r="M1039" s="124">
        <v>8.0</v>
      </c>
    </row>
    <row r="1040">
      <c r="A1040" s="151">
        <f>IFERROR(__xludf.DUMMYFUNCTION("""COMPUTED_VALUE"""),43758.147747337964)</f>
        <v>43758.14775</v>
      </c>
      <c r="B1040" t="str">
        <f>IFERROR(__xludf.DUMMYFUNCTION("""COMPUTED_VALUE"""),"Adam")</f>
        <v>Adam</v>
      </c>
      <c r="C1040" t="str">
        <f>IFERROR(__xludf.DUMMYFUNCTION("""COMPUTED_VALUE"""),"Wake Forest")</f>
        <v>Wake Forest</v>
      </c>
      <c r="D1040">
        <f>IFERROR(__xludf.DUMMYFUNCTION("""COMPUTED_VALUE"""),6.0)</f>
        <v>6</v>
      </c>
      <c r="E1040">
        <f>IFERROR(__xludf.DUMMYFUNCTION("""COMPUTED_VALUE"""),1.0)</f>
        <v>1</v>
      </c>
      <c r="F1040" t="str">
        <f>IFERROR(__xludf.DUMMYFUNCTION("""COMPUTED_VALUE"""),"ACC Network")</f>
        <v>ACC Network</v>
      </c>
      <c r="G1040" t="str">
        <f>IFERROR(__xludf.DUMMYFUNCTION("""COMPUTED_VALUE"""),"Florida State 20 at Wake Forest 22")</f>
        <v>Florida State 20 at Wake Forest 22</v>
      </c>
      <c r="H1040" t="str">
        <f>IFERROR(__xludf.DUMMYFUNCTION("""COMPUTED_VALUE"""),"FINAL")</f>
        <v>FINAL</v>
      </c>
      <c r="I1040" t="str">
        <f>IFERROR(__xludf.DUMMYFUNCTION("""COMPUTED_VALUE"""),"-2½")</f>
        <v>-2½</v>
      </c>
      <c r="J1040" t="str">
        <f>IFERROR(__xludf.DUMMYFUNCTION("""COMPUTED_VALUE"""),"68½")</f>
        <v>68½</v>
      </c>
      <c r="K1040" t="str">
        <f>IFERROR(__xludf.DUMMYFUNCTION("""COMPUTED_VALUE"""),"Josh R.")</f>
        <v>Josh R.</v>
      </c>
      <c r="L1040" t="str">
        <f>IFERROR(__xludf.DUMMYFUNCTION("""COMPUTED_VALUE"""),"FINAL")</f>
        <v>FINAL</v>
      </c>
      <c r="M1040" s="124">
        <v>8.0</v>
      </c>
    </row>
    <row r="1041">
      <c r="A1041" s="151">
        <f>IFERROR(__xludf.DUMMYFUNCTION("""COMPUTED_VALUE"""),43758.147747337964)</f>
        <v>43758.14775</v>
      </c>
      <c r="B1041" t="str">
        <f>IFERROR(__xludf.DUMMYFUNCTION("""COMPUTED_VALUE"""),"Adam")</f>
        <v>Adam</v>
      </c>
      <c r="C1041" t="str">
        <f>IFERROR(__xludf.DUMMYFUNCTION("""COMPUTED_VALUE"""),"Air Force")</f>
        <v>Air Force</v>
      </c>
      <c r="D1041">
        <f>IFERROR(__xludf.DUMMYFUNCTION("""COMPUTED_VALUE"""),5.0)</f>
        <v>5</v>
      </c>
      <c r="E1041">
        <f>IFERROR(__xludf.DUMMYFUNCTION("""COMPUTED_VALUE"""),2.0)</f>
        <v>2</v>
      </c>
      <c r="F1041" t="str">
        <f>IFERROR(__xludf.DUMMYFUNCTION("""COMPUTED_VALUE"""),"CBSSN")</f>
        <v>CBSSN</v>
      </c>
      <c r="G1041" t="str">
        <f>IFERROR(__xludf.DUMMYFUNCTION("""COMPUTED_VALUE"""),"Air Force 56 at Hawaii 26")</f>
        <v>Air Force 56 at Hawaii 26</v>
      </c>
      <c r="H1041" t="str">
        <f>IFERROR(__xludf.DUMMYFUNCTION("""COMPUTED_VALUE"""),"FINAL")</f>
        <v>FINAL</v>
      </c>
      <c r="I1041" t="str">
        <f>IFERROR(__xludf.DUMMYFUNCTION("""COMPUTED_VALUE"""),"-3½ +0")</f>
        <v>-3½ +0</v>
      </c>
      <c r="J1041">
        <f>IFERROR(__xludf.DUMMYFUNCTION("""COMPUTED_VALUE"""),65.0)</f>
        <v>65</v>
      </c>
      <c r="K1041" t="str">
        <f>IFERROR(__xludf.DUMMYFUNCTION("""COMPUTED_VALUE"""),"Vu")</f>
        <v>Vu</v>
      </c>
      <c r="L1041" t="str">
        <f>IFERROR(__xludf.DUMMYFUNCTION("""COMPUTED_VALUE"""),"FINAL")</f>
        <v>FINAL</v>
      </c>
      <c r="M1041" s="124">
        <v>8.0</v>
      </c>
    </row>
    <row r="1042">
      <c r="A1042" s="151">
        <f>IFERROR(__xludf.DUMMYFUNCTION("""COMPUTED_VALUE"""),43758.147747337964)</f>
        <v>43758.14775</v>
      </c>
      <c r="B1042" t="str">
        <f>IFERROR(__xludf.DUMMYFUNCTION("""COMPUTED_VALUE"""),"Vu")</f>
        <v>Vu</v>
      </c>
      <c r="C1042" t="str">
        <f>IFERROR(__xludf.DUMMYFUNCTION("""COMPUTED_VALUE"""),"South Alabama")</f>
        <v>South Alabama</v>
      </c>
      <c r="D1042">
        <f>IFERROR(__xludf.DUMMYFUNCTION("""COMPUTED_VALUE"""),1.0)</f>
        <v>1</v>
      </c>
      <c r="E1042">
        <f>IFERROR(__xludf.DUMMYFUNCTION("""COMPUTED_VALUE"""),6.0)</f>
        <v>6</v>
      </c>
      <c r="F1042" t="str">
        <f>IFERROR(__xludf.DUMMYFUNCTION("""COMPUTED_VALUE"""),"NA")</f>
        <v>NA</v>
      </c>
      <c r="G1042" t="str">
        <f>IFERROR(__xludf.DUMMYFUNCTION("""COMPUTED_VALUE"""),"South Alabama 13 at Troy 37")</f>
        <v>South Alabama 13 at Troy 37</v>
      </c>
      <c r="H1042" t="str">
        <f>IFERROR(__xludf.DUMMYFUNCTION("""COMPUTED_VALUE"""),"FINAL")</f>
        <v>FINAL</v>
      </c>
      <c r="I1042">
        <f>IFERROR(__xludf.DUMMYFUNCTION("""COMPUTED_VALUE"""),15.0)</f>
        <v>15</v>
      </c>
      <c r="J1042">
        <f>IFERROR(__xludf.DUMMYFUNCTION("""COMPUTED_VALUE"""),55.0)</f>
        <v>55</v>
      </c>
      <c r="K1042" t="str">
        <f>IFERROR(__xludf.DUMMYFUNCTION("""COMPUTED_VALUE"""),"Nick G.")</f>
        <v>Nick G.</v>
      </c>
      <c r="L1042" t="str">
        <f>IFERROR(__xludf.DUMMYFUNCTION("""COMPUTED_VALUE"""),"FINAL")</f>
        <v>FINAL</v>
      </c>
      <c r="M1042" s="124">
        <v>8.0</v>
      </c>
    </row>
    <row r="1043">
      <c r="A1043" s="151">
        <f>IFERROR(__xludf.DUMMYFUNCTION("""COMPUTED_VALUE"""),43758.147747337964)</f>
        <v>43758.14775</v>
      </c>
      <c r="B1043" t="str">
        <f>IFERROR(__xludf.DUMMYFUNCTION("""COMPUTED_VALUE"""),"Vu")</f>
        <v>Vu</v>
      </c>
      <c r="C1043" t="str">
        <f>IFERROR(__xludf.DUMMYFUNCTION("""COMPUTED_VALUE"""),"Syracuse")</f>
        <v>Syracuse</v>
      </c>
      <c r="D1043">
        <f>IFERROR(__xludf.DUMMYFUNCTION("""COMPUTED_VALUE"""),3.0)</f>
        <v>3</v>
      </c>
      <c r="E1043">
        <f>IFERROR(__xludf.DUMMYFUNCTION("""COMPUTED_VALUE"""),4.0)</f>
        <v>4</v>
      </c>
      <c r="F1043" t="str">
        <f>IFERROR(__xludf.DUMMYFUNCTION("""COMPUTED_VALUE"""),"ESPN")</f>
        <v>ESPN</v>
      </c>
      <c r="G1043" t="str">
        <f>IFERROR(__xludf.DUMMYFUNCTION("""COMPUTED_VALUE"""),"Pittsburgh 27 at Syracuse 20")</f>
        <v>Pittsburgh 27 at Syracuse 20</v>
      </c>
      <c r="H1043" t="str">
        <f>IFERROR(__xludf.DUMMYFUNCTION("""COMPUTED_VALUE"""),"FINAL")</f>
        <v>FINAL</v>
      </c>
      <c r="I1043" t="str">
        <f>IFERROR(__xludf.DUMMYFUNCTION("""COMPUTED_VALUE"""),"3½")</f>
        <v>3½</v>
      </c>
      <c r="J1043" t="str">
        <f>IFERROR(__xludf.DUMMYFUNCTION("""COMPUTED_VALUE"""),"51½")</f>
        <v>51½</v>
      </c>
      <c r="K1043" t="str">
        <f>IFERROR(__xludf.DUMMYFUNCTION("""COMPUTED_VALUE"""),"Gary")</f>
        <v>Gary</v>
      </c>
      <c r="L1043" t="str">
        <f>IFERROR(__xludf.DUMMYFUNCTION("""COMPUTED_VALUE"""),"FINAL")</f>
        <v>FINAL</v>
      </c>
      <c r="M1043" s="124">
        <v>8.0</v>
      </c>
    </row>
    <row r="1044">
      <c r="A1044" s="151">
        <f>IFERROR(__xludf.DUMMYFUNCTION("""COMPUTED_VALUE"""),43758.147747337964)</f>
        <v>43758.14775</v>
      </c>
      <c r="B1044" t="str">
        <f>IFERROR(__xludf.DUMMYFUNCTION("""COMPUTED_VALUE"""),"Vu")</f>
        <v>Vu</v>
      </c>
      <c r="C1044" t="str">
        <f>IFERROR(__xludf.DUMMYFUNCTION("""COMPUTED_VALUE"""),"Kent State")</f>
        <v>Kent State</v>
      </c>
      <c r="D1044">
        <f>IFERROR(__xludf.DUMMYFUNCTION("""COMPUTED_VALUE"""),3.0)</f>
        <v>3</v>
      </c>
      <c r="E1044">
        <f>IFERROR(__xludf.DUMMYFUNCTION("""COMPUTED_VALUE"""),4.0)</f>
        <v>4</v>
      </c>
      <c r="F1044" t="str">
        <f>IFERROR(__xludf.DUMMYFUNCTION("""COMPUTED_VALUE"""),"CBSSN")</f>
        <v>CBSSN</v>
      </c>
      <c r="G1044" t="str">
        <f>IFERROR(__xludf.DUMMYFUNCTION("""COMPUTED_VALUE"""),"Kent State 38 at Ohio 45")</f>
        <v>Kent State 38 at Ohio 45</v>
      </c>
      <c r="H1044" t="str">
        <f>IFERROR(__xludf.DUMMYFUNCTION("""COMPUTED_VALUE"""),"FINAL")</f>
        <v>FINAL</v>
      </c>
      <c r="I1044" t="str">
        <f>IFERROR(__xludf.DUMMYFUNCTION("""COMPUTED_VALUE"""),"7½")</f>
        <v>7½</v>
      </c>
      <c r="J1044" t="str">
        <f>IFERROR(__xludf.DUMMYFUNCTION("""COMPUTED_VALUE"""),"59½")</f>
        <v>59½</v>
      </c>
      <c r="K1044" t="str">
        <f>IFERROR(__xludf.DUMMYFUNCTION("""COMPUTED_VALUE"""),"Gary")</f>
        <v>Gary</v>
      </c>
      <c r="L1044" t="str">
        <f>IFERROR(__xludf.DUMMYFUNCTION("""COMPUTED_VALUE"""),"FINAL")</f>
        <v>FINAL</v>
      </c>
      <c r="M1044" s="124">
        <v>8.0</v>
      </c>
    </row>
    <row r="1045">
      <c r="A1045" s="151">
        <f>IFERROR(__xludf.DUMMYFUNCTION("""COMPUTED_VALUE"""),43758.147747337964)</f>
        <v>43758.14775</v>
      </c>
      <c r="B1045" t="str">
        <f>IFERROR(__xludf.DUMMYFUNCTION("""COMPUTED_VALUE"""),"Vu")</f>
        <v>Vu</v>
      </c>
      <c r="C1045" t="str">
        <f>IFERROR(__xludf.DUMMYFUNCTION("""COMPUTED_VALUE"""),"TCU")</f>
        <v>TCU</v>
      </c>
      <c r="D1045">
        <f>IFERROR(__xludf.DUMMYFUNCTION("""COMPUTED_VALUE"""),3.0)</f>
        <v>3</v>
      </c>
      <c r="E1045">
        <f>IFERROR(__xludf.DUMMYFUNCTION("""COMPUTED_VALUE"""),3.0)</f>
        <v>3</v>
      </c>
      <c r="F1045" t="str">
        <f>IFERROR(__xludf.DUMMYFUNCTION("""COMPUTED_VALUE"""),"FSN")</f>
        <v>FSN</v>
      </c>
      <c r="G1045" t="str">
        <f>IFERROR(__xludf.DUMMYFUNCTION("""COMPUTED_VALUE"""),"TCU 17 at Kansas State 24")</f>
        <v>TCU 17 at Kansas State 24</v>
      </c>
      <c r="H1045" t="str">
        <f>IFERROR(__xludf.DUMMYFUNCTION("""COMPUTED_VALUE"""),"FINAL")</f>
        <v>FINAL</v>
      </c>
      <c r="I1045" t="str">
        <f>IFERROR(__xludf.DUMMYFUNCTION("""COMPUTED_VALUE"""),"-3½")</f>
        <v>-3½</v>
      </c>
      <c r="J1045">
        <f>IFERROR(__xludf.DUMMYFUNCTION("""COMPUTED_VALUE"""),46.0)</f>
        <v>46</v>
      </c>
      <c r="K1045" t="str">
        <f>IFERROR(__xludf.DUMMYFUNCTION("""COMPUTED_VALUE"""),"Nick G.")</f>
        <v>Nick G.</v>
      </c>
      <c r="L1045" t="str">
        <f>IFERROR(__xludf.DUMMYFUNCTION("""COMPUTED_VALUE"""),"FINAL")</f>
        <v>FINAL</v>
      </c>
      <c r="M1045" s="124">
        <v>8.0</v>
      </c>
    </row>
    <row r="1046">
      <c r="A1046" s="151">
        <f>IFERROR(__xludf.DUMMYFUNCTION("""COMPUTED_VALUE"""),43758.147747337964)</f>
        <v>43758.14775</v>
      </c>
      <c r="B1046" t="str">
        <f>IFERROR(__xludf.DUMMYFUNCTION("""COMPUTED_VALUE"""),"Vu")</f>
        <v>Vu</v>
      </c>
      <c r="C1046" t="str">
        <f>IFERROR(__xludf.DUMMYFUNCTION("""COMPUTED_VALUE"""),"Washington")</f>
        <v>Washington</v>
      </c>
      <c r="D1046">
        <f>IFERROR(__xludf.DUMMYFUNCTION("""COMPUTED_VALUE"""),5.0)</f>
        <v>5</v>
      </c>
      <c r="E1046">
        <f>IFERROR(__xludf.DUMMYFUNCTION("""COMPUTED_VALUE"""),3.0)</f>
        <v>3</v>
      </c>
      <c r="F1046" t="str">
        <f>IFERROR(__xludf.DUMMYFUNCTION("""COMPUTED_VALUE"""),"ABC")</f>
        <v>ABC</v>
      </c>
      <c r="G1046" t="str">
        <f>IFERROR(__xludf.DUMMYFUNCTION("""COMPUTED_VALUE"""),"(12) Oregon 35 at (23) Washington 31")</f>
        <v>(12) Oregon 35 at (23) Washington 31</v>
      </c>
      <c r="H1046" t="str">
        <f>IFERROR(__xludf.DUMMYFUNCTION("""COMPUTED_VALUE"""),"FINAL")</f>
        <v>FINAL</v>
      </c>
      <c r="I1046" t="str">
        <f>IFERROR(__xludf.DUMMYFUNCTION("""COMPUTED_VALUE"""),"2½")</f>
        <v>2½</v>
      </c>
      <c r="J1046">
        <f>IFERROR(__xludf.DUMMYFUNCTION("""COMPUTED_VALUE"""),51.0)</f>
        <v>51</v>
      </c>
      <c r="K1046" t="str">
        <f>IFERROR(__xludf.DUMMYFUNCTION("""COMPUTED_VALUE"""),"Justin")</f>
        <v>Justin</v>
      </c>
      <c r="L1046" t="str">
        <f>IFERROR(__xludf.DUMMYFUNCTION("""COMPUTED_VALUE"""),"FINAL")</f>
        <v>FINAL</v>
      </c>
      <c r="M1046" s="124">
        <v>8.0</v>
      </c>
    </row>
    <row r="1047">
      <c r="A1047" s="151">
        <f>IFERROR(__xludf.DUMMYFUNCTION("""COMPUTED_VALUE"""),43758.147747337964)</f>
        <v>43758.14775</v>
      </c>
      <c r="B1047" t="str">
        <f>IFERROR(__xludf.DUMMYFUNCTION("""COMPUTED_VALUE"""),"Vu")</f>
        <v>Vu</v>
      </c>
      <c r="C1047" t="str">
        <f>IFERROR(__xludf.DUMMYFUNCTION("""COMPUTED_VALUE"""),"Cincinnati")</f>
        <v>Cincinnati</v>
      </c>
      <c r="D1047">
        <f>IFERROR(__xludf.DUMMYFUNCTION("""COMPUTED_VALUE"""),6.0)</f>
        <v>6</v>
      </c>
      <c r="E1047">
        <f>IFERROR(__xludf.DUMMYFUNCTION("""COMPUTED_VALUE"""),1.0)</f>
        <v>1</v>
      </c>
      <c r="F1047" t="str">
        <f>IFERROR(__xludf.DUMMYFUNCTION("""COMPUTED_VALUE"""),"ESPNU")</f>
        <v>ESPNU</v>
      </c>
      <c r="G1047" t="str">
        <f>IFERROR(__xludf.DUMMYFUNCTION("""COMPUTED_VALUE"""),"Tulsa 13 at (21) Cincinnati 24")</f>
        <v>Tulsa 13 at (21) Cincinnati 24</v>
      </c>
      <c r="H1047" t="str">
        <f>IFERROR(__xludf.DUMMYFUNCTION("""COMPUTED_VALUE"""),"FINAL")</f>
        <v>FINAL</v>
      </c>
      <c r="I1047">
        <f>IFERROR(__xludf.DUMMYFUNCTION("""COMPUTED_VALUE"""),-17.0)</f>
        <v>-17</v>
      </c>
      <c r="J1047" t="str">
        <f>IFERROR(__xludf.DUMMYFUNCTION("""COMPUTED_VALUE"""),"50½")</f>
        <v>50½</v>
      </c>
      <c r="K1047" t="str">
        <f>IFERROR(__xludf.DUMMYFUNCTION("""COMPUTED_VALUE"""),"DavEmily")</f>
        <v>DavEmily</v>
      </c>
      <c r="L1047" t="str">
        <f>IFERROR(__xludf.DUMMYFUNCTION("""COMPUTED_VALUE"""),"FINAL")</f>
        <v>FINAL</v>
      </c>
      <c r="M1047" s="124">
        <v>8.0</v>
      </c>
    </row>
    <row r="1048">
      <c r="A1048" s="151">
        <f>IFERROR(__xludf.DUMMYFUNCTION("""COMPUTED_VALUE"""),43758.147747337964)</f>
        <v>43758.14775</v>
      </c>
      <c r="B1048" t="str">
        <f>IFERROR(__xludf.DUMMYFUNCTION("""COMPUTED_VALUE"""),"Vu")</f>
        <v>Vu</v>
      </c>
      <c r="C1048" t="str">
        <f>IFERROR(__xludf.DUMMYFUNCTION("""COMPUTED_VALUE"""),"North Texas")</f>
        <v>North Texas</v>
      </c>
      <c r="D1048">
        <f>IFERROR(__xludf.DUMMYFUNCTION("""COMPUTED_VALUE"""),3.0)</f>
        <v>3</v>
      </c>
      <c r="E1048">
        <f>IFERROR(__xludf.DUMMYFUNCTION("""COMPUTED_VALUE"""),4.0)</f>
        <v>4</v>
      </c>
      <c r="F1048" t="str">
        <f>IFERROR(__xludf.DUMMYFUNCTION("""COMPUTED_VALUE"""),"Stadium Video")</f>
        <v>Stadium Video</v>
      </c>
      <c r="G1048" t="str">
        <f>IFERROR(__xludf.DUMMYFUNCTION("""COMPUTED_VALUE"""),"Middle Tennessee 30 at North Texas 33")</f>
        <v>Middle Tennessee 30 at North Texas 33</v>
      </c>
      <c r="H1048" t="str">
        <f>IFERROR(__xludf.DUMMYFUNCTION("""COMPUTED_VALUE"""),"FINAL")</f>
        <v>FINAL</v>
      </c>
      <c r="I1048">
        <f>IFERROR(__xludf.DUMMYFUNCTION("""COMPUTED_VALUE"""),-10.0)</f>
        <v>-10</v>
      </c>
      <c r="J1048">
        <f>IFERROR(__xludf.DUMMYFUNCTION("""COMPUTED_VALUE"""),58.0)</f>
        <v>58</v>
      </c>
      <c r="K1048" t="str">
        <f>IFERROR(__xludf.DUMMYFUNCTION("""COMPUTED_VALUE"""),"Nico")</f>
        <v>Nico</v>
      </c>
      <c r="L1048" t="str">
        <f>IFERROR(__xludf.DUMMYFUNCTION("""COMPUTED_VALUE"""),"FINAL")</f>
        <v>FINAL</v>
      </c>
      <c r="M1048" s="124">
        <v>8.0</v>
      </c>
    </row>
    <row r="1049">
      <c r="A1049" s="151">
        <f>IFERROR(__xludf.DUMMYFUNCTION("""COMPUTED_VALUE"""),43758.147747337964)</f>
        <v>43758.14775</v>
      </c>
      <c r="B1049" t="str">
        <f>IFERROR(__xludf.DUMMYFUNCTION("""COMPUTED_VALUE"""),"Vu")</f>
        <v>Vu</v>
      </c>
      <c r="C1049" t="str">
        <f>IFERROR(__xludf.DUMMYFUNCTION("""COMPUTED_VALUE"""),"Michigan")</f>
        <v>Michigan</v>
      </c>
      <c r="D1049">
        <f>IFERROR(__xludf.DUMMYFUNCTION("""COMPUTED_VALUE"""),5.0)</f>
        <v>5</v>
      </c>
      <c r="E1049">
        <f>IFERROR(__xludf.DUMMYFUNCTION("""COMPUTED_VALUE"""),2.0)</f>
        <v>2</v>
      </c>
      <c r="F1049" t="str">
        <f>IFERROR(__xludf.DUMMYFUNCTION("""COMPUTED_VALUE"""),"ABC")</f>
        <v>ABC</v>
      </c>
      <c r="G1049" t="str">
        <f>IFERROR(__xludf.DUMMYFUNCTION("""COMPUTED_VALUE"""),"(16) Michigan 21 at (7) Penn State 28")</f>
        <v>(16) Michigan 21 at (7) Penn State 28</v>
      </c>
      <c r="H1049" t="str">
        <f>IFERROR(__xludf.DUMMYFUNCTION("""COMPUTED_VALUE"""),"FINAL")</f>
        <v>FINAL</v>
      </c>
      <c r="I1049">
        <f>IFERROR(__xludf.DUMMYFUNCTION("""COMPUTED_VALUE"""),9.0)</f>
        <v>9</v>
      </c>
      <c r="J1049">
        <f>IFERROR(__xludf.DUMMYFUNCTION("""COMPUTED_VALUE"""),45.0)</f>
        <v>45</v>
      </c>
      <c r="K1049" t="str">
        <f>IFERROR(__xludf.DUMMYFUNCTION("""COMPUTED_VALUE"""),"Jeannine")</f>
        <v>Jeannine</v>
      </c>
      <c r="L1049" t="str">
        <f>IFERROR(__xludf.DUMMYFUNCTION("""COMPUTED_VALUE"""),"FINAL")</f>
        <v>FINAL</v>
      </c>
      <c r="M1049" s="124">
        <v>8.0</v>
      </c>
    </row>
    <row r="1050">
      <c r="A1050" s="151">
        <f>IFERROR(__xludf.DUMMYFUNCTION("""COMPUTED_VALUE"""),43758.147747337964)</f>
        <v>43758.14775</v>
      </c>
      <c r="B1050" t="str">
        <f>IFERROR(__xludf.DUMMYFUNCTION("""COMPUTED_VALUE"""),"Vu")</f>
        <v>Vu</v>
      </c>
      <c r="C1050" t="str">
        <f>IFERROR(__xludf.DUMMYFUNCTION("""COMPUTED_VALUE"""),"Texas A&amp;M")</f>
        <v>Texas A&amp;M</v>
      </c>
      <c r="D1050">
        <f>IFERROR(__xludf.DUMMYFUNCTION("""COMPUTED_VALUE"""),4.0)</f>
        <v>4</v>
      </c>
      <c r="E1050">
        <f>IFERROR(__xludf.DUMMYFUNCTION("""COMPUTED_VALUE"""),3.0)</f>
        <v>3</v>
      </c>
      <c r="F1050" t="str">
        <f>IFERROR(__xludf.DUMMYFUNCTION("""COMPUTED_VALUE"""),"SEC Network")</f>
        <v>SEC Network</v>
      </c>
      <c r="G1050" t="str">
        <f>IFERROR(__xludf.DUMMYFUNCTION("""COMPUTED_VALUE"""),"Texas A&amp;M 24 at Ole Miss 17")</f>
        <v>Texas A&amp;M 24 at Ole Miss 17</v>
      </c>
      <c r="H1050" t="str">
        <f>IFERROR(__xludf.DUMMYFUNCTION("""COMPUTED_VALUE"""),"FINAL")</f>
        <v>FINAL</v>
      </c>
      <c r="I1050" t="str">
        <f>IFERROR(__xludf.DUMMYFUNCTION("""COMPUTED_VALUE"""),"-6½")</f>
        <v>-6½</v>
      </c>
      <c r="J1050" t="str">
        <f>IFERROR(__xludf.DUMMYFUNCTION("""COMPUTED_VALUE"""),"56½")</f>
        <v>56½</v>
      </c>
      <c r="K1050" t="str">
        <f>IFERROR(__xludf.DUMMYFUNCTION("""COMPUTED_VALUE"""),"Undrafted")</f>
        <v>Undrafted</v>
      </c>
      <c r="L1050" t="str">
        <f>IFERROR(__xludf.DUMMYFUNCTION("""COMPUTED_VALUE"""),"FINAL")</f>
        <v>FINAL</v>
      </c>
      <c r="M1050" s="124">
        <v>8.0</v>
      </c>
    </row>
    <row r="1051">
      <c r="A1051" s="151">
        <f>IFERROR(__xludf.DUMMYFUNCTION("""COMPUTED_VALUE"""),43758.147747337964)</f>
        <v>43758.14775</v>
      </c>
      <c r="B1051" t="str">
        <f>IFERROR(__xludf.DUMMYFUNCTION("""COMPUTED_VALUE"""),"Vu")</f>
        <v>Vu</v>
      </c>
      <c r="C1051" t="str">
        <f>IFERROR(__xludf.DUMMYFUNCTION("""COMPUTED_VALUE"""),"Hawaii")</f>
        <v>Hawaii</v>
      </c>
      <c r="D1051">
        <f>IFERROR(__xludf.DUMMYFUNCTION("""COMPUTED_VALUE"""),4.0)</f>
        <v>4</v>
      </c>
      <c r="E1051">
        <f>IFERROR(__xludf.DUMMYFUNCTION("""COMPUTED_VALUE"""),3.0)</f>
        <v>3</v>
      </c>
      <c r="F1051" t="str">
        <f>IFERROR(__xludf.DUMMYFUNCTION("""COMPUTED_VALUE"""),"CBSSN")</f>
        <v>CBSSN</v>
      </c>
      <c r="G1051" t="str">
        <f>IFERROR(__xludf.DUMMYFUNCTION("""COMPUTED_VALUE"""),"Air Force 56 at Hawaii 26")</f>
        <v>Air Force 56 at Hawaii 26</v>
      </c>
      <c r="H1051" t="str">
        <f>IFERROR(__xludf.DUMMYFUNCTION("""COMPUTED_VALUE"""),"FINAL")</f>
        <v>FINAL</v>
      </c>
      <c r="I1051" t="str">
        <f>IFERROR(__xludf.DUMMYFUNCTION("""COMPUTED_VALUE"""),"3½ +0")</f>
        <v>3½ +0</v>
      </c>
      <c r="J1051">
        <f>IFERROR(__xludf.DUMMYFUNCTION("""COMPUTED_VALUE"""),65.0)</f>
        <v>65</v>
      </c>
      <c r="K1051" t="str">
        <f>IFERROR(__xludf.DUMMYFUNCTION("""COMPUTED_VALUE"""),"Adam")</f>
        <v>Adam</v>
      </c>
      <c r="L1051" t="str">
        <f>IFERROR(__xludf.DUMMYFUNCTION("""COMPUTED_VALUE"""),"FINAL")</f>
        <v>FINAL</v>
      </c>
      <c r="M1051" s="124">
        <v>8.0</v>
      </c>
    </row>
    <row r="1052">
      <c r="A1052" s="151">
        <f>IFERROR(__xludf.DUMMYFUNCTION("""COMPUTED_VALUE"""),43758.147747337964)</f>
        <v>43758.14775</v>
      </c>
      <c r="B1052" t="str">
        <f>IFERROR(__xludf.DUMMYFUNCTION("""COMPUTED_VALUE"""),"Josh R.")</f>
        <v>Josh R.</v>
      </c>
      <c r="C1052" t="str">
        <f>IFERROR(__xludf.DUMMYFUNCTION("""COMPUTED_VALUE"""),"Toledo")</f>
        <v>Toledo</v>
      </c>
      <c r="D1052">
        <f>IFERROR(__xludf.DUMMYFUNCTION("""COMPUTED_VALUE"""),4.0)</f>
        <v>4</v>
      </c>
      <c r="E1052">
        <f>IFERROR(__xludf.DUMMYFUNCTION("""COMPUTED_VALUE"""),3.0)</f>
        <v>3</v>
      </c>
      <c r="F1052" t="str">
        <f>IFERROR(__xludf.DUMMYFUNCTION("""COMPUTED_VALUE"""),"espn+ Video")</f>
        <v>espn+ Video</v>
      </c>
      <c r="G1052" t="str">
        <f>IFERROR(__xludf.DUMMYFUNCTION("""COMPUTED_VALUE"""),"Toledo 14 at Ball State 52")</f>
        <v>Toledo 14 at Ball State 52</v>
      </c>
      <c r="H1052" t="str">
        <f>IFERROR(__xludf.DUMMYFUNCTION("""COMPUTED_VALUE"""),"FINAL")</f>
        <v>FINAL</v>
      </c>
      <c r="I1052" t="str">
        <f>IFERROR(__xludf.DUMMYFUNCTION("""COMPUTED_VALUE"""),"-1½")</f>
        <v>-1½</v>
      </c>
      <c r="J1052" t="str">
        <f>IFERROR(__xludf.DUMMYFUNCTION("""COMPUTED_VALUE"""),"59½")</f>
        <v>59½</v>
      </c>
      <c r="K1052" t="str">
        <f>IFERROR(__xludf.DUMMYFUNCTION("""COMPUTED_VALUE"""),"DavEmily")</f>
        <v>DavEmily</v>
      </c>
      <c r="L1052" t="str">
        <f>IFERROR(__xludf.DUMMYFUNCTION("""COMPUTED_VALUE"""),"FINAL")</f>
        <v>FINAL</v>
      </c>
      <c r="M1052" s="124">
        <v>8.0</v>
      </c>
    </row>
    <row r="1053">
      <c r="A1053" s="151">
        <f>IFERROR(__xludf.DUMMYFUNCTION("""COMPUTED_VALUE"""),43758.147747337964)</f>
        <v>43758.14775</v>
      </c>
      <c r="B1053" t="str">
        <f>IFERROR(__xludf.DUMMYFUNCTION("""COMPUTED_VALUE"""),"Josh R.")</f>
        <v>Josh R.</v>
      </c>
      <c r="C1053" t="str">
        <f>IFERROR(__xludf.DUMMYFUNCTION("""COMPUTED_VALUE"""),"Temple")</f>
        <v>Temple</v>
      </c>
      <c r="D1053">
        <f>IFERROR(__xludf.DUMMYFUNCTION("""COMPUTED_VALUE"""),5.0)</f>
        <v>5</v>
      </c>
      <c r="E1053">
        <f>IFERROR(__xludf.DUMMYFUNCTION("""COMPUTED_VALUE"""),2.0)</f>
        <v>2</v>
      </c>
      <c r="F1053" t="str">
        <f>IFERROR(__xludf.DUMMYFUNCTION("""COMPUTED_VALUE"""),"ESPN2")</f>
        <v>ESPN2</v>
      </c>
      <c r="G1053" t="str">
        <f>IFERROR(__xludf.DUMMYFUNCTION("""COMPUTED_VALUE"""),"(25) Temple 21 at (19) SMU 45")</f>
        <v>(25) Temple 21 at (19) SMU 45</v>
      </c>
      <c r="H1053" t="str">
        <f>IFERROR(__xludf.DUMMYFUNCTION("""COMPUTED_VALUE"""),"FINAL")</f>
        <v>FINAL</v>
      </c>
      <c r="I1053" t="str">
        <f>IFERROR(__xludf.DUMMYFUNCTION("""COMPUTED_VALUE"""),"7½")</f>
        <v>7½</v>
      </c>
      <c r="J1053">
        <f>IFERROR(__xludf.DUMMYFUNCTION("""COMPUTED_VALUE"""),59.0)</f>
        <v>59</v>
      </c>
      <c r="K1053" t="str">
        <f>IFERROR(__xludf.DUMMYFUNCTION("""COMPUTED_VALUE"""),"Jeannine")</f>
        <v>Jeannine</v>
      </c>
      <c r="L1053" t="str">
        <f>IFERROR(__xludf.DUMMYFUNCTION("""COMPUTED_VALUE"""),"FINAL")</f>
        <v>FINAL</v>
      </c>
      <c r="M1053" s="124">
        <v>8.0</v>
      </c>
    </row>
    <row r="1054">
      <c r="A1054" s="151">
        <f>IFERROR(__xludf.DUMMYFUNCTION("""COMPUTED_VALUE"""),43758.147747337964)</f>
        <v>43758.14775</v>
      </c>
      <c r="B1054" t="str">
        <f>IFERROR(__xludf.DUMMYFUNCTION("""COMPUTED_VALUE"""),"Josh R.")</f>
        <v>Josh R.</v>
      </c>
      <c r="C1054" t="str">
        <f>IFERROR(__xludf.DUMMYFUNCTION("""COMPUTED_VALUE"""),"Minnesota")</f>
        <v>Minnesota</v>
      </c>
      <c r="D1054">
        <f>IFERROR(__xludf.DUMMYFUNCTION("""COMPUTED_VALUE"""),7.0)</f>
        <v>7</v>
      </c>
      <c r="E1054">
        <f>IFERROR(__xludf.DUMMYFUNCTION("""COMPUTED_VALUE"""),0.0)</f>
        <v>0</v>
      </c>
      <c r="F1054" t="str">
        <f>IFERROR(__xludf.DUMMYFUNCTION("""COMPUTED_VALUE"""),"BTN")</f>
        <v>BTN</v>
      </c>
      <c r="G1054" t="str">
        <f>IFERROR(__xludf.DUMMYFUNCTION("""COMPUTED_VALUE"""),"(20) Minnesota 42 at Rutgers 7")</f>
        <v>(20) Minnesota 42 at Rutgers 7</v>
      </c>
      <c r="H1054" t="str">
        <f>IFERROR(__xludf.DUMMYFUNCTION("""COMPUTED_VALUE"""),"FINAL")</f>
        <v>FINAL</v>
      </c>
      <c r="I1054">
        <f>IFERROR(__xludf.DUMMYFUNCTION("""COMPUTED_VALUE"""),-29.0)</f>
        <v>-29</v>
      </c>
      <c r="J1054" t="str">
        <f>IFERROR(__xludf.DUMMYFUNCTION("""COMPUTED_VALUE"""),"48½")</f>
        <v>48½</v>
      </c>
      <c r="K1054" t="str">
        <f>IFERROR(__xludf.DUMMYFUNCTION("""COMPUTED_VALUE"""),"Undrafted")</f>
        <v>Undrafted</v>
      </c>
      <c r="L1054" t="str">
        <f>IFERROR(__xludf.DUMMYFUNCTION("""COMPUTED_VALUE"""),"FINAL")</f>
        <v>FINAL</v>
      </c>
      <c r="M1054" s="124">
        <v>8.0</v>
      </c>
    </row>
    <row r="1055">
      <c r="A1055" s="151">
        <f>IFERROR(__xludf.DUMMYFUNCTION("""COMPUTED_VALUE"""),43758.147747337964)</f>
        <v>43758.14775</v>
      </c>
      <c r="B1055" t="str">
        <f>IFERROR(__xludf.DUMMYFUNCTION("""COMPUTED_VALUE"""),"Josh R.")</f>
        <v>Josh R.</v>
      </c>
      <c r="C1055" t="str">
        <f>IFERROR(__xludf.DUMMYFUNCTION("""COMPUTED_VALUE"""),"Southern Mississippi")</f>
        <v>Southern Mississippi</v>
      </c>
      <c r="D1055">
        <f>IFERROR(__xludf.DUMMYFUNCTION("""COMPUTED_VALUE"""),4.0)</f>
        <v>4</v>
      </c>
      <c r="E1055">
        <f>IFERROR(__xludf.DUMMYFUNCTION("""COMPUTED_VALUE"""),3.0)</f>
        <v>3</v>
      </c>
      <c r="F1055" t="str">
        <f>IFERROR(__xludf.DUMMYFUNCTION("""COMPUTED_VALUE"""),"NA")</f>
        <v>NA</v>
      </c>
      <c r="G1055" t="str">
        <f>IFERROR(__xludf.DUMMYFUNCTION("""COMPUTED_VALUE"""),"Southern Mississippi 30 at Louisiana Tech 45")</f>
        <v>Southern Mississippi 30 at Louisiana Tech 45</v>
      </c>
      <c r="H1055" t="str">
        <f>IFERROR(__xludf.DUMMYFUNCTION("""COMPUTED_VALUE"""),"FINAL")</f>
        <v>FINAL</v>
      </c>
      <c r="I1055">
        <f>IFERROR(__xludf.DUMMYFUNCTION("""COMPUTED_VALUE"""),2.0)</f>
        <v>2</v>
      </c>
      <c r="J1055">
        <f>IFERROR(__xludf.DUMMYFUNCTION("""COMPUTED_VALUE"""),56.0)</f>
        <v>56</v>
      </c>
      <c r="K1055" t="str">
        <f>IFERROR(__xludf.DUMMYFUNCTION("""COMPUTED_VALUE"""),"Brad")</f>
        <v>Brad</v>
      </c>
      <c r="L1055" t="str">
        <f>IFERROR(__xludf.DUMMYFUNCTION("""COMPUTED_VALUE"""),"FINAL")</f>
        <v>FINAL</v>
      </c>
      <c r="M1055" s="124">
        <v>8.0</v>
      </c>
    </row>
    <row r="1056">
      <c r="A1056" s="151">
        <f>IFERROR(__xludf.DUMMYFUNCTION("""COMPUTED_VALUE"""),43758.147747337964)</f>
        <v>43758.14775</v>
      </c>
      <c r="B1056" t="str">
        <f>IFERROR(__xludf.DUMMYFUNCTION("""COMPUTED_VALUE"""),"Josh R.")</f>
        <v>Josh R.</v>
      </c>
      <c r="C1056" t="str">
        <f>IFERROR(__xludf.DUMMYFUNCTION("""COMPUTED_VALUE"""),"Kentucky")</f>
        <v>Kentucky</v>
      </c>
      <c r="D1056">
        <f>IFERROR(__xludf.DUMMYFUNCTION("""COMPUTED_VALUE"""),3.0)</f>
        <v>3</v>
      </c>
      <c r="E1056">
        <f>IFERROR(__xludf.DUMMYFUNCTION("""COMPUTED_VALUE"""),4.0)</f>
        <v>4</v>
      </c>
      <c r="F1056" t="str">
        <f>IFERROR(__xludf.DUMMYFUNCTION("""COMPUTED_VALUE"""),"ESPN")</f>
        <v>ESPN</v>
      </c>
      <c r="G1056" t="str">
        <f>IFERROR(__xludf.DUMMYFUNCTION("""COMPUTED_VALUE"""),"Kentucky 0 at (10) Georgia 21")</f>
        <v>Kentucky 0 at (10) Georgia 21</v>
      </c>
      <c r="H1056" t="str">
        <f>IFERROR(__xludf.DUMMYFUNCTION("""COMPUTED_VALUE"""),"FINAL")</f>
        <v>FINAL</v>
      </c>
      <c r="I1056" t="str">
        <f>IFERROR(__xludf.DUMMYFUNCTION("""COMPUTED_VALUE"""),"24½")</f>
        <v>24½</v>
      </c>
      <c r="J1056">
        <f>IFERROR(__xludf.DUMMYFUNCTION("""COMPUTED_VALUE"""),48.0)</f>
        <v>48</v>
      </c>
      <c r="K1056" t="str">
        <f>IFERROR(__xludf.DUMMYFUNCTION("""COMPUTED_VALUE"""),"Nico")</f>
        <v>Nico</v>
      </c>
      <c r="L1056" t="str">
        <f>IFERROR(__xludf.DUMMYFUNCTION("""COMPUTED_VALUE"""),"FINAL")</f>
        <v>FINAL</v>
      </c>
      <c r="M1056" s="124">
        <v>8.0</v>
      </c>
    </row>
    <row r="1057">
      <c r="A1057" s="151">
        <f>IFERROR(__xludf.DUMMYFUNCTION("""COMPUTED_VALUE"""),43758.147747337964)</f>
        <v>43758.14775</v>
      </c>
      <c r="B1057" t="str">
        <f>IFERROR(__xludf.DUMMYFUNCTION("""COMPUTED_VALUE"""),"Josh R.")</f>
        <v>Josh R.</v>
      </c>
      <c r="C1057" t="str">
        <f>IFERROR(__xludf.DUMMYFUNCTION("""COMPUTED_VALUE"""),"Kansas")</f>
        <v>Kansas</v>
      </c>
      <c r="D1057">
        <f>IFERROR(__xludf.DUMMYFUNCTION("""COMPUTED_VALUE"""),2.0)</f>
        <v>2</v>
      </c>
      <c r="E1057">
        <f>IFERROR(__xludf.DUMMYFUNCTION("""COMPUTED_VALUE"""),5.0)</f>
        <v>5</v>
      </c>
      <c r="F1057" t="str">
        <f>IFERROR(__xludf.DUMMYFUNCTION("""COMPUTED_VALUE"""),"LHN")</f>
        <v>LHN</v>
      </c>
      <c r="G1057" t="str">
        <f>IFERROR(__xludf.DUMMYFUNCTION("""COMPUTED_VALUE"""),"Kansas 48 at (15) Texas 50")</f>
        <v>Kansas 48 at (15) Texas 50</v>
      </c>
      <c r="H1057" t="str">
        <f>IFERROR(__xludf.DUMMYFUNCTION("""COMPUTED_VALUE"""),"FINAL")</f>
        <v>FINAL</v>
      </c>
      <c r="I1057" t="str">
        <f>IFERROR(__xludf.DUMMYFUNCTION("""COMPUTED_VALUE"""),"21½")</f>
        <v>21½</v>
      </c>
      <c r="J1057">
        <f>IFERROR(__xludf.DUMMYFUNCTION("""COMPUTED_VALUE"""),62.0)</f>
        <v>62</v>
      </c>
      <c r="K1057" t="str">
        <f>IFERROR(__xludf.DUMMYFUNCTION("""COMPUTED_VALUE"""),"Adam")</f>
        <v>Adam</v>
      </c>
      <c r="L1057" t="str">
        <f>IFERROR(__xludf.DUMMYFUNCTION("""COMPUTED_VALUE"""),"FINAL")</f>
        <v>FINAL</v>
      </c>
      <c r="M1057" s="124">
        <v>8.0</v>
      </c>
    </row>
    <row r="1058">
      <c r="A1058" s="151">
        <f>IFERROR(__xludf.DUMMYFUNCTION("""COMPUTED_VALUE"""),43758.147747337964)</f>
        <v>43758.14775</v>
      </c>
      <c r="B1058" t="str">
        <f>IFERROR(__xludf.DUMMYFUNCTION("""COMPUTED_VALUE"""),"Josh R.")</f>
        <v>Josh R.</v>
      </c>
      <c r="C1058" t="str">
        <f>IFERROR(__xludf.DUMMYFUNCTION("""COMPUTED_VALUE"""),"Army")</f>
        <v>Army</v>
      </c>
      <c r="D1058">
        <f>IFERROR(__xludf.DUMMYFUNCTION("""COMPUTED_VALUE"""),3.0)</f>
        <v>3</v>
      </c>
      <c r="E1058">
        <f>IFERROR(__xludf.DUMMYFUNCTION("""COMPUTED_VALUE"""),4.0)</f>
        <v>4</v>
      </c>
      <c r="F1058" t="str">
        <f>IFERROR(__xludf.DUMMYFUNCTION("""COMPUTED_VALUE"""),"espn+ Video")</f>
        <v>espn+ Video</v>
      </c>
      <c r="G1058" t="str">
        <f>IFERROR(__xludf.DUMMYFUNCTION("""COMPUTED_VALUE"""),"Army 21 at Georgia State 28")</f>
        <v>Army 21 at Georgia State 28</v>
      </c>
      <c r="H1058" t="str">
        <f>IFERROR(__xludf.DUMMYFUNCTION("""COMPUTED_VALUE"""),"FINAL")</f>
        <v>FINAL</v>
      </c>
      <c r="I1058" t="str">
        <f>IFERROR(__xludf.DUMMYFUNCTION("""COMPUTED_VALUE"""),"-6½")</f>
        <v>-6½</v>
      </c>
      <c r="J1058" t="str">
        <f>IFERROR(__xludf.DUMMYFUNCTION("""COMPUTED_VALUE"""),"56½")</f>
        <v>56½</v>
      </c>
      <c r="K1058" t="str">
        <f>IFERROR(__xludf.DUMMYFUNCTION("""COMPUTED_VALUE"""),"Adam")</f>
        <v>Adam</v>
      </c>
      <c r="L1058" t="str">
        <f>IFERROR(__xludf.DUMMYFUNCTION("""COMPUTED_VALUE"""),"FINAL")</f>
        <v>FINAL</v>
      </c>
      <c r="M1058" s="124">
        <v>8.0</v>
      </c>
    </row>
    <row r="1059">
      <c r="A1059" s="151">
        <f>IFERROR(__xludf.DUMMYFUNCTION("""COMPUTED_VALUE"""),43758.147747337964)</f>
        <v>43758.14775</v>
      </c>
      <c r="B1059" t="str">
        <f>IFERROR(__xludf.DUMMYFUNCTION("""COMPUTED_VALUE"""),"Josh R.")</f>
        <v>Josh R.</v>
      </c>
      <c r="C1059" t="str">
        <f>IFERROR(__xludf.DUMMYFUNCTION("""COMPUTED_VALUE"""),"Florida State")</f>
        <v>Florida State</v>
      </c>
      <c r="D1059">
        <f>IFERROR(__xludf.DUMMYFUNCTION("""COMPUTED_VALUE"""),3.0)</f>
        <v>3</v>
      </c>
      <c r="E1059">
        <f>IFERROR(__xludf.DUMMYFUNCTION("""COMPUTED_VALUE"""),4.0)</f>
        <v>4</v>
      </c>
      <c r="F1059" t="str">
        <f>IFERROR(__xludf.DUMMYFUNCTION("""COMPUTED_VALUE"""),"ACC Network")</f>
        <v>ACC Network</v>
      </c>
      <c r="G1059" t="str">
        <f>IFERROR(__xludf.DUMMYFUNCTION("""COMPUTED_VALUE"""),"Florida State 20 at Wake Forest 22")</f>
        <v>Florida State 20 at Wake Forest 22</v>
      </c>
      <c r="H1059" t="str">
        <f>IFERROR(__xludf.DUMMYFUNCTION("""COMPUTED_VALUE"""),"FINAL")</f>
        <v>FINAL</v>
      </c>
      <c r="I1059" t="str">
        <f>IFERROR(__xludf.DUMMYFUNCTION("""COMPUTED_VALUE"""),"2½")</f>
        <v>2½</v>
      </c>
      <c r="J1059" t="str">
        <f>IFERROR(__xludf.DUMMYFUNCTION("""COMPUTED_VALUE"""),"68½")</f>
        <v>68½</v>
      </c>
      <c r="K1059" t="str">
        <f>IFERROR(__xludf.DUMMYFUNCTION("""COMPUTED_VALUE"""),"Adam")</f>
        <v>Adam</v>
      </c>
      <c r="L1059" t="str">
        <f>IFERROR(__xludf.DUMMYFUNCTION("""COMPUTED_VALUE"""),"FINAL")</f>
        <v>FINAL</v>
      </c>
      <c r="M1059" s="124">
        <v>8.0</v>
      </c>
    </row>
    <row r="1060">
      <c r="A1060" s="151">
        <f>IFERROR(__xludf.DUMMYFUNCTION("""COMPUTED_VALUE"""),43758.147747337964)</f>
        <v>43758.14775</v>
      </c>
      <c r="B1060" t="str">
        <f>IFERROR(__xludf.DUMMYFUNCTION("""COMPUTED_VALUE"""),"Josh R.")</f>
        <v>Josh R.</v>
      </c>
      <c r="C1060" t="str">
        <f>IFERROR(__xludf.DUMMYFUNCTION("""COMPUTED_VALUE"""),"USC")</f>
        <v>USC</v>
      </c>
      <c r="D1060">
        <f>IFERROR(__xludf.DUMMYFUNCTION("""COMPUTED_VALUE"""),4.0)</f>
        <v>4</v>
      </c>
      <c r="E1060">
        <f>IFERROR(__xludf.DUMMYFUNCTION("""COMPUTED_VALUE"""),3.0)</f>
        <v>3</v>
      </c>
      <c r="F1060" t="str">
        <f>IFERROR(__xludf.DUMMYFUNCTION("""COMPUTED_VALUE"""),"Pac-12")</f>
        <v>Pac-12</v>
      </c>
      <c r="G1060" t="str">
        <f>IFERROR(__xludf.DUMMYFUNCTION("""COMPUTED_VALUE"""),"Arizona 14 at USC 41")</f>
        <v>Arizona 14 at USC 41</v>
      </c>
      <c r="H1060" t="str">
        <f>IFERROR(__xludf.DUMMYFUNCTION("""COMPUTED_VALUE"""),"FINAL")</f>
        <v>FINAL</v>
      </c>
      <c r="I1060" t="str">
        <f>IFERROR(__xludf.DUMMYFUNCTION("""COMPUTED_VALUE"""),"-9½")</f>
        <v>-9½</v>
      </c>
      <c r="J1060">
        <f>IFERROR(__xludf.DUMMYFUNCTION("""COMPUTED_VALUE"""),67.0)</f>
        <v>67</v>
      </c>
      <c r="K1060" t="str">
        <f>IFERROR(__xludf.DUMMYFUNCTION("""COMPUTED_VALUE"""),"Janice/Mike")</f>
        <v>Janice/Mike</v>
      </c>
      <c r="L1060" t="str">
        <f>IFERROR(__xludf.DUMMYFUNCTION("""COMPUTED_VALUE"""),"FINAL")</f>
        <v>FINAL</v>
      </c>
      <c r="M1060" s="124">
        <v>8.0</v>
      </c>
    </row>
    <row r="1061">
      <c r="A1061" s="151">
        <f>IFERROR(__xludf.DUMMYFUNCTION("""COMPUTED_VALUE"""),43758.147747337964)</f>
        <v>43758.14775</v>
      </c>
      <c r="B1061" t="str">
        <f>IFERROR(__xludf.DUMMYFUNCTION("""COMPUTED_VALUE"""),"Josh R.")</f>
        <v>Josh R.</v>
      </c>
      <c r="C1061" t="str">
        <f>IFERROR(__xludf.DUMMYFUNCTION("""COMPUTED_VALUE"""),"Nevada")</f>
        <v>Nevada</v>
      </c>
      <c r="D1061">
        <f>IFERROR(__xludf.DUMMYFUNCTION("""COMPUTED_VALUE"""),4.0)</f>
        <v>4</v>
      </c>
      <c r="E1061">
        <f>IFERROR(__xludf.DUMMYFUNCTION("""COMPUTED_VALUE"""),3.0)</f>
        <v>3</v>
      </c>
      <c r="F1061" t="str">
        <f>IFERROR(__xludf.DUMMYFUNCTION("""COMPUTED_VALUE"""),"ESPNU")</f>
        <v>ESPNU</v>
      </c>
      <c r="G1061" t="str">
        <f>IFERROR(__xludf.DUMMYFUNCTION("""COMPUTED_VALUE"""),"Nevada 10 at Utah State 36")</f>
        <v>Nevada 10 at Utah State 36</v>
      </c>
      <c r="H1061" t="str">
        <f>IFERROR(__xludf.DUMMYFUNCTION("""COMPUTED_VALUE"""),"FINAL")</f>
        <v>FINAL</v>
      </c>
      <c r="I1061">
        <f>IFERROR(__xludf.DUMMYFUNCTION("""COMPUTED_VALUE"""),21.0)</f>
        <v>21</v>
      </c>
      <c r="J1061" t="str">
        <f>IFERROR(__xludf.DUMMYFUNCTION("""COMPUTED_VALUE"""),"61½")</f>
        <v>61½</v>
      </c>
      <c r="K1061" t="str">
        <f>IFERROR(__xludf.DUMMYFUNCTION("""COMPUTED_VALUE"""),"Gary")</f>
        <v>Gary</v>
      </c>
      <c r="L1061" t="str">
        <f>IFERROR(__xludf.DUMMYFUNCTION("""COMPUTED_VALUE"""),"FINAL")</f>
        <v>FINAL</v>
      </c>
      <c r="M1061" s="124">
        <v>8.0</v>
      </c>
    </row>
    <row r="1062">
      <c r="A1062" s="151">
        <f>IFERROR(__xludf.DUMMYFUNCTION("""COMPUTED_VALUE"""),43758.147747337964)</f>
        <v>43758.14775</v>
      </c>
      <c r="B1062" t="str">
        <f>IFERROR(__xludf.DUMMYFUNCTION("""COMPUTED_VALUE"""),"Brad")</f>
        <v>Brad</v>
      </c>
      <c r="C1062" t="str">
        <f>IFERROR(__xludf.DUMMYFUNCTION("""COMPUTED_VALUE"""),"South Carolina")</f>
        <v>South Carolina</v>
      </c>
      <c r="D1062">
        <f>IFERROR(__xludf.DUMMYFUNCTION("""COMPUTED_VALUE"""),3.0)</f>
        <v>3</v>
      </c>
      <c r="E1062">
        <f>IFERROR(__xludf.DUMMYFUNCTION("""COMPUTED_VALUE"""),4.0)</f>
        <v>4</v>
      </c>
      <c r="F1062" t="str">
        <f>IFERROR(__xludf.DUMMYFUNCTION("""COMPUTED_VALUE"""),"ESPN")</f>
        <v>ESPN</v>
      </c>
      <c r="G1062" t="str">
        <f>IFERROR(__xludf.DUMMYFUNCTION("""COMPUTED_VALUE"""),"(9) Florida 38 at South Carolina 27")</f>
        <v>(9) Florida 38 at South Carolina 27</v>
      </c>
      <c r="H1062" t="str">
        <f>IFERROR(__xludf.DUMMYFUNCTION("""COMPUTED_VALUE"""),"FINAL")</f>
        <v>FINAL</v>
      </c>
      <c r="I1062" t="str">
        <f>IFERROR(__xludf.DUMMYFUNCTION("""COMPUTED_VALUE"""),"6½")</f>
        <v>6½</v>
      </c>
      <c r="J1062">
        <f>IFERROR(__xludf.DUMMYFUNCTION("""COMPUTED_VALUE"""),48.0)</f>
        <v>48</v>
      </c>
      <c r="K1062" t="str">
        <f>IFERROR(__xludf.DUMMYFUNCTION("""COMPUTED_VALUE"""),"Adam")</f>
        <v>Adam</v>
      </c>
      <c r="L1062" t="str">
        <f>IFERROR(__xludf.DUMMYFUNCTION("""COMPUTED_VALUE"""),"FINAL")</f>
        <v>FINAL</v>
      </c>
      <c r="M1062" s="124">
        <v>8.0</v>
      </c>
    </row>
    <row r="1063">
      <c r="A1063" s="151">
        <f>IFERROR(__xludf.DUMMYFUNCTION("""COMPUTED_VALUE"""),43758.147747337964)</f>
        <v>43758.14775</v>
      </c>
      <c r="B1063" t="str">
        <f>IFERROR(__xludf.DUMMYFUNCTION("""COMPUTED_VALUE"""),"Brad")</f>
        <v>Brad</v>
      </c>
      <c r="C1063" t="str">
        <f>IFERROR(__xludf.DUMMYFUNCTION("""COMPUTED_VALUE"""),"Miami")</f>
        <v>Miami</v>
      </c>
      <c r="D1063">
        <f>IFERROR(__xludf.DUMMYFUNCTION("""COMPUTED_VALUE"""),3.0)</f>
        <v>3</v>
      </c>
      <c r="E1063">
        <f>IFERROR(__xludf.DUMMYFUNCTION("""COMPUTED_VALUE"""),4.0)</f>
        <v>4</v>
      </c>
      <c r="F1063" t="str">
        <f>IFERROR(__xludf.DUMMYFUNCTION("""COMPUTED_VALUE"""),"ACC Network")</f>
        <v>ACC Network</v>
      </c>
      <c r="G1063" t="str">
        <f>IFERROR(__xludf.DUMMYFUNCTION("""COMPUTED_VALUE"""),"Georgia Tech 28 at Miami 21")</f>
        <v>Georgia Tech 28 at Miami 21</v>
      </c>
      <c r="H1063" t="str">
        <f>IFERROR(__xludf.DUMMYFUNCTION("""COMPUTED_VALUE"""),"FINAL - OT")</f>
        <v>FINAL - OT</v>
      </c>
      <c r="I1063">
        <f>IFERROR(__xludf.DUMMYFUNCTION("""COMPUTED_VALUE"""),-18.0)</f>
        <v>-18</v>
      </c>
      <c r="J1063">
        <f>IFERROR(__xludf.DUMMYFUNCTION("""COMPUTED_VALUE"""),47.0)</f>
        <v>47</v>
      </c>
      <c r="K1063" t="str">
        <f>IFERROR(__xludf.DUMMYFUNCTION("""COMPUTED_VALUE"""),"Undrafted")</f>
        <v>Undrafted</v>
      </c>
      <c r="L1063" t="str">
        <f>IFERROR(__xludf.DUMMYFUNCTION("""COMPUTED_VALUE"""),"FINAL - OT")</f>
        <v>FINAL - OT</v>
      </c>
      <c r="M1063" s="124">
        <v>8.0</v>
      </c>
    </row>
    <row r="1064">
      <c r="A1064" s="151">
        <f>IFERROR(__xludf.DUMMYFUNCTION("""COMPUTED_VALUE"""),43758.147747337964)</f>
        <v>43758.14775</v>
      </c>
      <c r="B1064" t="str">
        <f>IFERROR(__xludf.DUMMYFUNCTION("""COMPUTED_VALUE"""),"Brad")</f>
        <v>Brad</v>
      </c>
      <c r="C1064" t="str">
        <f>IFERROR(__xludf.DUMMYFUNCTION("""COMPUTED_VALUE"""),"Louisiana Tech")</f>
        <v>Louisiana Tech</v>
      </c>
      <c r="D1064">
        <f>IFERROR(__xludf.DUMMYFUNCTION("""COMPUTED_VALUE"""),6.0)</f>
        <v>6</v>
      </c>
      <c r="E1064">
        <f>IFERROR(__xludf.DUMMYFUNCTION("""COMPUTED_VALUE"""),1.0)</f>
        <v>1</v>
      </c>
      <c r="F1064" t="str">
        <f>IFERROR(__xludf.DUMMYFUNCTION("""COMPUTED_VALUE"""),"NFL Network")</f>
        <v>NFL Network</v>
      </c>
      <c r="G1064" t="str">
        <f>IFERROR(__xludf.DUMMYFUNCTION("""COMPUTED_VALUE"""),"Southern Mississippi 30 at Louisiana Tech 45")</f>
        <v>Southern Mississippi 30 at Louisiana Tech 45</v>
      </c>
      <c r="H1064" t="str">
        <f>IFERROR(__xludf.DUMMYFUNCTION("""COMPUTED_VALUE"""),"FINAL")</f>
        <v>FINAL</v>
      </c>
      <c r="I1064">
        <f>IFERROR(__xludf.DUMMYFUNCTION("""COMPUTED_VALUE"""),-2.0)</f>
        <v>-2</v>
      </c>
      <c r="J1064">
        <f>IFERROR(__xludf.DUMMYFUNCTION("""COMPUTED_VALUE"""),56.0)</f>
        <v>56</v>
      </c>
      <c r="K1064" t="str">
        <f>IFERROR(__xludf.DUMMYFUNCTION("""COMPUTED_VALUE"""),"Josh R.")</f>
        <v>Josh R.</v>
      </c>
      <c r="L1064" t="str">
        <f>IFERROR(__xludf.DUMMYFUNCTION("""COMPUTED_VALUE"""),"FINAL")</f>
        <v>FINAL</v>
      </c>
      <c r="M1064" s="124">
        <v>8.0</v>
      </c>
    </row>
    <row r="1065">
      <c r="A1065" s="151">
        <f>IFERROR(__xludf.DUMMYFUNCTION("""COMPUTED_VALUE"""),43758.147747337964)</f>
        <v>43758.14775</v>
      </c>
      <c r="B1065" t="str">
        <f>IFERROR(__xludf.DUMMYFUNCTION("""COMPUTED_VALUE"""),"Brad")</f>
        <v>Brad</v>
      </c>
      <c r="C1065" t="str">
        <f>IFERROR(__xludf.DUMMYFUNCTION("""COMPUTED_VALUE"""),"Indiana")</f>
        <v>Indiana</v>
      </c>
      <c r="D1065">
        <f>IFERROR(__xludf.DUMMYFUNCTION("""COMPUTED_VALUE"""),5.0)</f>
        <v>5</v>
      </c>
      <c r="E1065">
        <f>IFERROR(__xludf.DUMMYFUNCTION("""COMPUTED_VALUE"""),2.0)</f>
        <v>2</v>
      </c>
      <c r="F1065" t="str">
        <f>IFERROR(__xludf.DUMMYFUNCTION("""COMPUTED_VALUE"""),"BTN")</f>
        <v>BTN</v>
      </c>
      <c r="G1065" t="str">
        <f>IFERROR(__xludf.DUMMYFUNCTION("""COMPUTED_VALUE"""),"Indiana 34 at Maryland 28")</f>
        <v>Indiana 34 at Maryland 28</v>
      </c>
      <c r="H1065" t="str">
        <f>IFERROR(__xludf.DUMMYFUNCTION("""COMPUTED_VALUE"""),"FINAL")</f>
        <v>FINAL</v>
      </c>
      <c r="I1065" t="str">
        <f>IFERROR(__xludf.DUMMYFUNCTION("""COMPUTED_VALUE"""),"-3½")</f>
        <v>-3½</v>
      </c>
      <c r="J1065" t="str">
        <f>IFERROR(__xludf.DUMMYFUNCTION("""COMPUTED_VALUE"""),"56½")</f>
        <v>56½</v>
      </c>
      <c r="K1065" t="str">
        <f>IFERROR(__xludf.DUMMYFUNCTION("""COMPUTED_VALUE"""),"Gary")</f>
        <v>Gary</v>
      </c>
      <c r="L1065" t="str">
        <f>IFERROR(__xludf.DUMMYFUNCTION("""COMPUTED_VALUE"""),"FINAL")</f>
        <v>FINAL</v>
      </c>
      <c r="M1065" s="124">
        <v>8.0</v>
      </c>
    </row>
    <row r="1066">
      <c r="A1066" s="151">
        <f>IFERROR(__xludf.DUMMYFUNCTION("""COMPUTED_VALUE"""),43758.147747337964)</f>
        <v>43758.14775</v>
      </c>
      <c r="B1066" t="str">
        <f>IFERROR(__xludf.DUMMYFUNCTION("""COMPUTED_VALUE"""),"Brad")</f>
        <v>Brad</v>
      </c>
      <c r="C1066" t="str">
        <f>IFERROR(__xludf.DUMMYFUNCTION("""COMPUTED_VALUE"""),"Oklahoma State")</f>
        <v>Oklahoma State</v>
      </c>
      <c r="D1066">
        <f>IFERROR(__xludf.DUMMYFUNCTION("""COMPUTED_VALUE"""),4.0)</f>
        <v>4</v>
      </c>
      <c r="E1066">
        <f>IFERROR(__xludf.DUMMYFUNCTION("""COMPUTED_VALUE"""),3.0)</f>
        <v>3</v>
      </c>
      <c r="F1066" t="str">
        <f>IFERROR(__xludf.DUMMYFUNCTION("""COMPUTED_VALUE"""),"FOX")</f>
        <v>FOX</v>
      </c>
      <c r="G1066" t="str">
        <f>IFERROR(__xludf.DUMMYFUNCTION("""COMPUTED_VALUE"""),"(18) Baylor 45 at Oklahoma State 27")</f>
        <v>(18) Baylor 45 at Oklahoma State 27</v>
      </c>
      <c r="H1066" t="str">
        <f>IFERROR(__xludf.DUMMYFUNCTION("""COMPUTED_VALUE"""),"FINAL")</f>
        <v>FINAL</v>
      </c>
      <c r="I1066">
        <f>IFERROR(__xludf.DUMMYFUNCTION("""COMPUTED_VALUE"""),-3.0)</f>
        <v>-3</v>
      </c>
      <c r="J1066" t="str">
        <f>IFERROR(__xludf.DUMMYFUNCTION("""COMPUTED_VALUE"""),"64½")</f>
        <v>64½</v>
      </c>
      <c r="K1066" t="str">
        <f>IFERROR(__xludf.DUMMYFUNCTION("""COMPUTED_VALUE"""),"Justin")</f>
        <v>Justin</v>
      </c>
      <c r="L1066" t="str">
        <f>IFERROR(__xludf.DUMMYFUNCTION("""COMPUTED_VALUE"""),"FINAL")</f>
        <v>FINAL</v>
      </c>
      <c r="M1066" s="124">
        <v>8.0</v>
      </c>
    </row>
    <row r="1067">
      <c r="A1067" s="151">
        <f>IFERROR(__xludf.DUMMYFUNCTION("""COMPUTED_VALUE"""),43758.147747337964)</f>
        <v>43758.14775</v>
      </c>
      <c r="B1067" t="str">
        <f>IFERROR(__xludf.DUMMYFUNCTION("""COMPUTED_VALUE"""),"Brad")</f>
        <v>Brad</v>
      </c>
      <c r="C1067" t="str">
        <f>IFERROR(__xludf.DUMMYFUNCTION("""COMPUTED_VALUE"""),"Utah")</f>
        <v>Utah</v>
      </c>
      <c r="D1067">
        <f>IFERROR(__xludf.DUMMYFUNCTION("""COMPUTED_VALUE"""),6.0)</f>
        <v>6</v>
      </c>
      <c r="E1067">
        <f>IFERROR(__xludf.DUMMYFUNCTION("""COMPUTED_VALUE"""),1.0)</f>
        <v>1</v>
      </c>
      <c r="F1067" t="str">
        <f>IFERROR(__xludf.DUMMYFUNCTION("""COMPUTED_VALUE"""),"Pac-12")</f>
        <v>Pac-12</v>
      </c>
      <c r="G1067" t="str">
        <f>IFERROR(__xludf.DUMMYFUNCTION("""COMPUTED_VALUE"""),"(17) Arizona State 3 at (14) Utah 21")</f>
        <v>(17) Arizona State 3 at (14) Utah 21</v>
      </c>
      <c r="H1067" t="str">
        <f>IFERROR(__xludf.DUMMYFUNCTION("""COMPUTED_VALUE"""),"FINAL")</f>
        <v>FINAL</v>
      </c>
      <c r="I1067" t="str">
        <f>IFERROR(__xludf.DUMMYFUNCTION("""COMPUTED_VALUE"""),"-13½")</f>
        <v>-13½</v>
      </c>
      <c r="J1067" t="str">
        <f>IFERROR(__xludf.DUMMYFUNCTION("""COMPUTED_VALUE"""),"48½")</f>
        <v>48½</v>
      </c>
      <c r="K1067" t="str">
        <f>IFERROR(__xludf.DUMMYFUNCTION("""COMPUTED_VALUE"""),"Nico")</f>
        <v>Nico</v>
      </c>
      <c r="L1067" t="str">
        <f>IFERROR(__xludf.DUMMYFUNCTION("""COMPUTED_VALUE"""),"FINAL")</f>
        <v>FINAL</v>
      </c>
      <c r="M1067" s="124">
        <v>8.0</v>
      </c>
    </row>
    <row r="1068">
      <c r="A1068" s="151">
        <f>IFERROR(__xludf.DUMMYFUNCTION("""COMPUTED_VALUE"""),43758.147747337964)</f>
        <v>43758.14775</v>
      </c>
      <c r="B1068" t="str">
        <f>IFERROR(__xludf.DUMMYFUNCTION("""COMPUTED_VALUE"""),"Brad")</f>
        <v>Brad</v>
      </c>
      <c r="C1068" t="str">
        <f>IFERROR(__xludf.DUMMYFUNCTION("""COMPUTED_VALUE"""),"Memphis")</f>
        <v>Memphis</v>
      </c>
      <c r="D1068">
        <f>IFERROR(__xludf.DUMMYFUNCTION("""COMPUTED_VALUE"""),6.0)</f>
        <v>6</v>
      </c>
      <c r="E1068">
        <f>IFERROR(__xludf.DUMMYFUNCTION("""COMPUTED_VALUE"""),1.0)</f>
        <v>1</v>
      </c>
      <c r="F1068" t="str">
        <f>IFERROR(__xludf.DUMMYFUNCTION("""COMPUTED_VALUE"""),"ESPN2")</f>
        <v>ESPN2</v>
      </c>
      <c r="G1068" t="str">
        <f>IFERROR(__xludf.DUMMYFUNCTION("""COMPUTED_VALUE"""),"Tulane 17 at Memphis 47")</f>
        <v>Tulane 17 at Memphis 47</v>
      </c>
      <c r="H1068" t="str">
        <f>IFERROR(__xludf.DUMMYFUNCTION("""COMPUTED_VALUE"""),"FINAL")</f>
        <v>FINAL</v>
      </c>
      <c r="I1068">
        <f>IFERROR(__xludf.DUMMYFUNCTION("""COMPUTED_VALUE"""),-4.0)</f>
        <v>-4</v>
      </c>
      <c r="J1068">
        <f>IFERROR(__xludf.DUMMYFUNCTION("""COMPUTED_VALUE"""),59.0)</f>
        <v>59</v>
      </c>
      <c r="K1068" t="str">
        <f>IFERROR(__xludf.DUMMYFUNCTION("""COMPUTED_VALUE"""),"Gary")</f>
        <v>Gary</v>
      </c>
      <c r="L1068" t="str">
        <f>IFERROR(__xludf.DUMMYFUNCTION("""COMPUTED_VALUE"""),"FINAL")</f>
        <v>FINAL</v>
      </c>
      <c r="M1068" s="124">
        <v>8.0</v>
      </c>
    </row>
    <row r="1069">
      <c r="A1069" s="151">
        <f>IFERROR(__xludf.DUMMYFUNCTION("""COMPUTED_VALUE"""),43758.147747337964)</f>
        <v>43758.14775</v>
      </c>
      <c r="B1069" t="str">
        <f>IFERROR(__xludf.DUMMYFUNCTION("""COMPUTED_VALUE"""),"Brad")</f>
        <v>Brad</v>
      </c>
      <c r="C1069" t="str">
        <f>IFERROR(__xludf.DUMMYFUNCTION("""COMPUTED_VALUE"""),"EMU")</f>
        <v>EMU</v>
      </c>
      <c r="D1069">
        <f>IFERROR(__xludf.DUMMYFUNCTION("""COMPUTED_VALUE"""),4.0)</f>
        <v>4</v>
      </c>
      <c r="E1069">
        <f>IFERROR(__xludf.DUMMYFUNCTION("""COMPUTED_VALUE"""),3.0)</f>
        <v>3</v>
      </c>
      <c r="F1069" t="str">
        <f>IFERROR(__xludf.DUMMYFUNCTION("""COMPUTED_VALUE"""),"NA")</f>
        <v>NA</v>
      </c>
      <c r="G1069" t="str">
        <f>IFERROR(__xludf.DUMMYFUNCTION("""COMPUTED_VALUE"""),"Western Michigan 27 at EMU 34")</f>
        <v>Western Michigan 27 at EMU 34</v>
      </c>
      <c r="H1069" t="str">
        <f>IFERROR(__xludf.DUMMYFUNCTION("""COMPUTED_VALUE"""),"FINAL")</f>
        <v>FINAL</v>
      </c>
      <c r="I1069" t="str">
        <f>IFERROR(__xludf.DUMMYFUNCTION("""COMPUTED_VALUE"""),"8½")</f>
        <v>8½</v>
      </c>
      <c r="J1069" t="str">
        <f>IFERROR(__xludf.DUMMYFUNCTION("""COMPUTED_VALUE"""),"61½")</f>
        <v>61½</v>
      </c>
      <c r="K1069" t="str">
        <f>IFERROR(__xludf.DUMMYFUNCTION("""COMPUTED_VALUE"""),"Jeannine")</f>
        <v>Jeannine</v>
      </c>
      <c r="L1069" t="str">
        <f>IFERROR(__xludf.DUMMYFUNCTION("""COMPUTED_VALUE"""),"FINAL")</f>
        <v>FINAL</v>
      </c>
      <c r="M1069" s="124">
        <v>8.0</v>
      </c>
    </row>
    <row r="1070">
      <c r="A1070" s="151">
        <f>IFERROR(__xludf.DUMMYFUNCTION("""COMPUTED_VALUE"""),43758.147747337964)</f>
        <v>43758.14775</v>
      </c>
      <c r="B1070" t="str">
        <f>IFERROR(__xludf.DUMMYFUNCTION("""COMPUTED_VALUE"""),"Brad")</f>
        <v>Brad</v>
      </c>
      <c r="C1070" t="str">
        <f>IFERROR(__xludf.DUMMYFUNCTION("""COMPUTED_VALUE"""),"Texas State")</f>
        <v>Texas State</v>
      </c>
      <c r="D1070">
        <f>IFERROR(__xludf.DUMMYFUNCTION("""COMPUTED_VALUE"""),2.0)</f>
        <v>2</v>
      </c>
      <c r="E1070">
        <f>IFERROR(__xludf.DUMMYFUNCTION("""COMPUTED_VALUE"""),4.0)</f>
        <v>4</v>
      </c>
      <c r="F1070" t="str">
        <f>IFERROR(__xludf.DUMMYFUNCTION("""COMPUTED_VALUE"""),"NA")</f>
        <v>NA</v>
      </c>
      <c r="G1070" t="str">
        <f>IFERROR(__xludf.DUMMYFUNCTION("""COMPUTED_VALUE"""),"BYE")</f>
        <v>BYE</v>
      </c>
      <c r="I1070" t="str">
        <f>IFERROR(__xludf.DUMMYFUNCTION("""COMPUTED_VALUE"""),"bye")</f>
        <v>bye</v>
      </c>
      <c r="J1070" t="str">
        <f>IFERROR(__xludf.DUMMYFUNCTION("""COMPUTED_VALUE"""),"bye")</f>
        <v>bye</v>
      </c>
      <c r="L1070">
        <f>IFERROR(__xludf.DUMMYFUNCTION("""COMPUTED_VALUE"""),9999.0)</f>
        <v>9999</v>
      </c>
      <c r="M1070" s="124">
        <v>8.0</v>
      </c>
    </row>
    <row r="1071">
      <c r="A1071" s="151">
        <f>IFERROR(__xludf.DUMMYFUNCTION("""COMPUTED_VALUE"""),43758.147747337964)</f>
        <v>43758.14775</v>
      </c>
      <c r="B1071" t="str">
        <f>IFERROR(__xludf.DUMMYFUNCTION("""COMPUTED_VALUE"""),"Brad")</f>
        <v>Brad</v>
      </c>
      <c r="C1071" t="str">
        <f>IFERROR(__xludf.DUMMYFUNCTION("""COMPUTED_VALUE"""),"Colorado State")</f>
        <v>Colorado State</v>
      </c>
      <c r="D1071">
        <f>IFERROR(__xludf.DUMMYFUNCTION("""COMPUTED_VALUE"""),2.0)</f>
        <v>2</v>
      </c>
      <c r="E1071">
        <f>IFERROR(__xludf.DUMMYFUNCTION("""COMPUTED_VALUE"""),5.0)</f>
        <v>5</v>
      </c>
      <c r="F1071" t="str">
        <f>IFERROR(__xludf.DUMMYFUNCTION("""COMPUTED_VALUE"""),"NA")</f>
        <v>NA</v>
      </c>
      <c r="G1071" t="str">
        <f>IFERROR(__xludf.DUMMYFUNCTION("""COMPUTED_VALUE"""),"BYE")</f>
        <v>BYE</v>
      </c>
      <c r="I1071" t="str">
        <f>IFERROR(__xludf.DUMMYFUNCTION("""COMPUTED_VALUE"""),"bye")</f>
        <v>bye</v>
      </c>
      <c r="J1071" t="str">
        <f>IFERROR(__xludf.DUMMYFUNCTION("""COMPUTED_VALUE"""),"bye")</f>
        <v>bye</v>
      </c>
      <c r="L1071">
        <f>IFERROR(__xludf.DUMMYFUNCTION("""COMPUTED_VALUE"""),9999.0)</f>
        <v>9999</v>
      </c>
      <c r="M1071" s="124">
        <v>8.0</v>
      </c>
    </row>
    <row r="1072">
      <c r="A1072" s="151">
        <f>IFERROR(__xludf.DUMMYFUNCTION("""COMPUTED_VALUE"""),43758.147747337964)</f>
        <v>43758.14775</v>
      </c>
      <c r="B1072" t="str">
        <f>IFERROR(__xludf.DUMMYFUNCTION("""COMPUTED_VALUE"""),"Nick G.")</f>
        <v>Nick G.</v>
      </c>
      <c r="C1072" t="str">
        <f>IFERROR(__xludf.DUMMYFUNCTION("""COMPUTED_VALUE"""),"Troy")</f>
        <v>Troy</v>
      </c>
      <c r="D1072">
        <f>IFERROR(__xludf.DUMMYFUNCTION("""COMPUTED_VALUE"""),3.0)</f>
        <v>3</v>
      </c>
      <c r="E1072">
        <f>IFERROR(__xludf.DUMMYFUNCTION("""COMPUTED_VALUE"""),3.0)</f>
        <v>3</v>
      </c>
      <c r="F1072" t="str">
        <f>IFERROR(__xludf.DUMMYFUNCTION("""COMPUTED_VALUE"""),"NA")</f>
        <v>NA</v>
      </c>
      <c r="G1072" t="str">
        <f>IFERROR(__xludf.DUMMYFUNCTION("""COMPUTED_VALUE"""),"South Alabama 13 at Troy 37")</f>
        <v>South Alabama 13 at Troy 37</v>
      </c>
      <c r="H1072" t="str">
        <f>IFERROR(__xludf.DUMMYFUNCTION("""COMPUTED_VALUE"""),"FINAL")</f>
        <v>FINAL</v>
      </c>
      <c r="I1072">
        <f>IFERROR(__xludf.DUMMYFUNCTION("""COMPUTED_VALUE"""),-15.0)</f>
        <v>-15</v>
      </c>
      <c r="J1072">
        <f>IFERROR(__xludf.DUMMYFUNCTION("""COMPUTED_VALUE"""),55.0)</f>
        <v>55</v>
      </c>
      <c r="K1072" t="str">
        <f>IFERROR(__xludf.DUMMYFUNCTION("""COMPUTED_VALUE"""),"Vu")</f>
        <v>Vu</v>
      </c>
      <c r="L1072" t="str">
        <f>IFERROR(__xludf.DUMMYFUNCTION("""COMPUTED_VALUE"""),"FINAL")</f>
        <v>FINAL</v>
      </c>
      <c r="M1072" s="124">
        <v>8.0</v>
      </c>
    </row>
    <row r="1073">
      <c r="A1073" s="151">
        <f>IFERROR(__xludf.DUMMYFUNCTION("""COMPUTED_VALUE"""),43758.147747337964)</f>
        <v>43758.14775</v>
      </c>
      <c r="B1073" t="str">
        <f>IFERROR(__xludf.DUMMYFUNCTION("""COMPUTED_VALUE"""),"Nick G.")</f>
        <v>Nick G.</v>
      </c>
      <c r="C1073" t="str">
        <f>IFERROR(__xludf.DUMMYFUNCTION("""COMPUTED_VALUE"""),"Stanford")</f>
        <v>Stanford</v>
      </c>
      <c r="D1073">
        <f>IFERROR(__xludf.DUMMYFUNCTION("""COMPUTED_VALUE"""),3.0)</f>
        <v>3</v>
      </c>
      <c r="E1073">
        <f>IFERROR(__xludf.DUMMYFUNCTION("""COMPUTED_VALUE"""),4.0)</f>
        <v>4</v>
      </c>
      <c r="F1073" t="str">
        <f>IFERROR(__xludf.DUMMYFUNCTION("""COMPUTED_VALUE"""),"ESPN")</f>
        <v>ESPN</v>
      </c>
      <c r="G1073" t="str">
        <f>IFERROR(__xludf.DUMMYFUNCTION("""COMPUTED_VALUE"""),"UCLA 34 at Stanford 16")</f>
        <v>UCLA 34 at Stanford 16</v>
      </c>
      <c r="H1073" t="str">
        <f>IFERROR(__xludf.DUMMYFUNCTION("""COMPUTED_VALUE"""),"FINAL")</f>
        <v>FINAL</v>
      </c>
      <c r="I1073">
        <f>IFERROR(__xludf.DUMMYFUNCTION("""COMPUTED_VALUE"""),-9.0)</f>
        <v>-9</v>
      </c>
      <c r="J1073">
        <f>IFERROR(__xludf.DUMMYFUNCTION("""COMPUTED_VALUE"""),54.0)</f>
        <v>54</v>
      </c>
      <c r="K1073" t="str">
        <f>IFERROR(__xludf.DUMMYFUNCTION("""COMPUTED_VALUE"""),"Gary")</f>
        <v>Gary</v>
      </c>
      <c r="L1073" t="str">
        <f>IFERROR(__xludf.DUMMYFUNCTION("""COMPUTED_VALUE"""),"FINAL")</f>
        <v>FINAL</v>
      </c>
      <c r="M1073" s="124">
        <v>8.0</v>
      </c>
    </row>
    <row r="1074">
      <c r="A1074" s="151">
        <f>IFERROR(__xludf.DUMMYFUNCTION("""COMPUTED_VALUE"""),43758.147747337964)</f>
        <v>43758.14775</v>
      </c>
      <c r="B1074" t="str">
        <f>IFERROR(__xludf.DUMMYFUNCTION("""COMPUTED_VALUE"""),"Nick G.")</f>
        <v>Nick G.</v>
      </c>
      <c r="C1074" t="str">
        <f>IFERROR(__xludf.DUMMYFUNCTION("""COMPUTED_VALUE"""),"Florida Atlantic")</f>
        <v>Florida Atlantic</v>
      </c>
      <c r="D1074">
        <f>IFERROR(__xludf.DUMMYFUNCTION("""COMPUTED_VALUE"""),4.0)</f>
        <v>4</v>
      </c>
      <c r="E1074">
        <f>IFERROR(__xludf.DUMMYFUNCTION("""COMPUTED_VALUE"""),3.0)</f>
        <v>3</v>
      </c>
      <c r="F1074" t="str">
        <f>IFERROR(__xludf.DUMMYFUNCTION("""COMPUTED_VALUE"""),"CBSSN")</f>
        <v>CBSSN</v>
      </c>
      <c r="G1074" t="str">
        <f>IFERROR(__xludf.DUMMYFUNCTION("""COMPUTED_VALUE"""),"Marshall 36 at Florida Atlantic 31")</f>
        <v>Marshall 36 at Florida Atlantic 31</v>
      </c>
      <c r="H1074" t="str">
        <f>IFERROR(__xludf.DUMMYFUNCTION("""COMPUTED_VALUE"""),"FINAL")</f>
        <v>FINAL</v>
      </c>
      <c r="I1074" t="str">
        <f>IFERROR(__xludf.DUMMYFUNCTION("""COMPUTED_VALUE"""),"-5½")</f>
        <v>-5½</v>
      </c>
      <c r="J1074" t="str">
        <f>IFERROR(__xludf.DUMMYFUNCTION("""COMPUTED_VALUE"""),"57½")</f>
        <v>57½</v>
      </c>
      <c r="K1074" t="str">
        <f>IFERROR(__xludf.DUMMYFUNCTION("""COMPUTED_VALUE"""),"Gary")</f>
        <v>Gary</v>
      </c>
      <c r="L1074" t="str">
        <f>IFERROR(__xludf.DUMMYFUNCTION("""COMPUTED_VALUE"""),"FINAL")</f>
        <v>FINAL</v>
      </c>
      <c r="M1074" s="124">
        <v>8.0</v>
      </c>
    </row>
    <row r="1075">
      <c r="A1075" s="151">
        <f>IFERROR(__xludf.DUMMYFUNCTION("""COMPUTED_VALUE"""),43758.147747337964)</f>
        <v>43758.14775</v>
      </c>
      <c r="B1075" t="str">
        <f>IFERROR(__xludf.DUMMYFUNCTION("""COMPUTED_VALUE"""),"Nick G.")</f>
        <v>Nick G.</v>
      </c>
      <c r="C1075" t="str">
        <f>IFERROR(__xludf.DUMMYFUNCTION("""COMPUTED_VALUE"""),"Ohio State")</f>
        <v>Ohio State</v>
      </c>
      <c r="D1075">
        <f>IFERROR(__xludf.DUMMYFUNCTION("""COMPUTED_VALUE"""),7.0)</f>
        <v>7</v>
      </c>
      <c r="E1075">
        <f>IFERROR(__xludf.DUMMYFUNCTION("""COMPUTED_VALUE"""),0.0)</f>
        <v>0</v>
      </c>
      <c r="F1075" t="str">
        <f>IFERROR(__xludf.DUMMYFUNCTION("""COMPUTED_VALUE"""),"FS1")</f>
        <v>FS1</v>
      </c>
      <c r="G1075" t="str">
        <f>IFERROR(__xludf.DUMMYFUNCTION("""COMPUTED_VALUE"""),"(4) Ohio State 52 at Northwestern 3")</f>
        <v>(4) Ohio State 52 at Northwestern 3</v>
      </c>
      <c r="H1075" t="str">
        <f>IFERROR(__xludf.DUMMYFUNCTION("""COMPUTED_VALUE"""),"FINAL")</f>
        <v>FINAL</v>
      </c>
      <c r="I1075" t="str">
        <f>IFERROR(__xludf.DUMMYFUNCTION("""COMPUTED_VALUE"""),"-28½")</f>
        <v>-28½</v>
      </c>
      <c r="J1075">
        <f>IFERROR(__xludf.DUMMYFUNCTION("""COMPUTED_VALUE"""),50.0)</f>
        <v>50</v>
      </c>
      <c r="K1075" t="str">
        <f>IFERROR(__xludf.DUMMYFUNCTION("""COMPUTED_VALUE"""),"Adam")</f>
        <v>Adam</v>
      </c>
      <c r="L1075" t="str">
        <f>IFERROR(__xludf.DUMMYFUNCTION("""COMPUTED_VALUE"""),"FINAL")</f>
        <v>FINAL</v>
      </c>
      <c r="M1075" s="124">
        <v>8.0</v>
      </c>
    </row>
    <row r="1076">
      <c r="A1076" s="151">
        <f>IFERROR(__xludf.DUMMYFUNCTION("""COMPUTED_VALUE"""),43758.147747337964)</f>
        <v>43758.14775</v>
      </c>
      <c r="B1076" t="str">
        <f>IFERROR(__xludf.DUMMYFUNCTION("""COMPUTED_VALUE"""),"Nick G.")</f>
        <v>Nick G.</v>
      </c>
      <c r="C1076" t="str">
        <f>IFERROR(__xludf.DUMMYFUNCTION("""COMPUTED_VALUE"""),"Auburn")</f>
        <v>Auburn</v>
      </c>
      <c r="D1076">
        <f>IFERROR(__xludf.DUMMYFUNCTION("""COMPUTED_VALUE"""),6.0)</f>
        <v>6</v>
      </c>
      <c r="E1076">
        <f>IFERROR(__xludf.DUMMYFUNCTION("""COMPUTED_VALUE"""),1.0)</f>
        <v>1</v>
      </c>
      <c r="F1076" t="str">
        <f>IFERROR(__xludf.DUMMYFUNCTION("""COMPUTED_VALUE"""),"SEC Network")</f>
        <v>SEC Network</v>
      </c>
      <c r="G1076" t="str">
        <f>IFERROR(__xludf.DUMMYFUNCTION("""COMPUTED_VALUE"""),"(11) Auburn 51 at Arkansas 10")</f>
        <v>(11) Auburn 51 at Arkansas 10</v>
      </c>
      <c r="H1076" t="str">
        <f>IFERROR(__xludf.DUMMYFUNCTION("""COMPUTED_VALUE"""),"FINAL")</f>
        <v>FINAL</v>
      </c>
      <c r="I1076" t="str">
        <f>IFERROR(__xludf.DUMMYFUNCTION("""COMPUTED_VALUE"""),"-18½")</f>
        <v>-18½</v>
      </c>
      <c r="J1076" t="str">
        <f>IFERROR(__xludf.DUMMYFUNCTION("""COMPUTED_VALUE"""),"55½")</f>
        <v>55½</v>
      </c>
      <c r="K1076" t="str">
        <f>IFERROR(__xludf.DUMMYFUNCTION("""COMPUTED_VALUE"""),"Janice/Mike")</f>
        <v>Janice/Mike</v>
      </c>
      <c r="L1076" t="str">
        <f>IFERROR(__xludf.DUMMYFUNCTION("""COMPUTED_VALUE"""),"FINAL")</f>
        <v>FINAL</v>
      </c>
      <c r="M1076" s="124">
        <v>8.0</v>
      </c>
    </row>
    <row r="1077">
      <c r="A1077" s="151">
        <f>IFERROR(__xludf.DUMMYFUNCTION("""COMPUTED_VALUE"""),43758.147747337964)</f>
        <v>43758.14775</v>
      </c>
      <c r="B1077" t="str">
        <f>IFERROR(__xludf.DUMMYFUNCTION("""COMPUTED_VALUE"""),"Nick G.")</f>
        <v>Nick G.</v>
      </c>
      <c r="C1077" t="str">
        <f>IFERROR(__xludf.DUMMYFUNCTION("""COMPUTED_VALUE"""),"UConn")</f>
        <v>UConn</v>
      </c>
      <c r="D1077">
        <f>IFERROR(__xludf.DUMMYFUNCTION("""COMPUTED_VALUE"""),1.0)</f>
        <v>1</v>
      </c>
      <c r="E1077">
        <f>IFERROR(__xludf.DUMMYFUNCTION("""COMPUTED_VALUE"""),6.0)</f>
        <v>6</v>
      </c>
      <c r="F1077" t="str">
        <f>IFERROR(__xludf.DUMMYFUNCTION("""COMPUTED_VALUE"""),"ESPNU")</f>
        <v>ESPNU</v>
      </c>
      <c r="G1077" t="str">
        <f>IFERROR(__xludf.DUMMYFUNCTION("""COMPUTED_VALUE"""),"Houston 24 at UConn 17")</f>
        <v>Houston 24 at UConn 17</v>
      </c>
      <c r="H1077" t="str">
        <f>IFERROR(__xludf.DUMMYFUNCTION("""COMPUTED_VALUE"""),"FINAL")</f>
        <v>FINAL</v>
      </c>
      <c r="I1077" t="str">
        <f>IFERROR(__xludf.DUMMYFUNCTION("""COMPUTED_VALUE"""),"21½")</f>
        <v>21½</v>
      </c>
      <c r="J1077" t="str">
        <f>IFERROR(__xludf.DUMMYFUNCTION("""COMPUTED_VALUE"""),"59½")</f>
        <v>59½</v>
      </c>
      <c r="K1077" t="str">
        <f>IFERROR(__xludf.DUMMYFUNCTION("""COMPUTED_VALUE"""),"Nico")</f>
        <v>Nico</v>
      </c>
      <c r="L1077" t="str">
        <f>IFERROR(__xludf.DUMMYFUNCTION("""COMPUTED_VALUE"""),"FINAL")</f>
        <v>FINAL</v>
      </c>
      <c r="M1077" s="124">
        <v>8.0</v>
      </c>
    </row>
    <row r="1078">
      <c r="A1078" s="151">
        <f>IFERROR(__xludf.DUMMYFUNCTION("""COMPUTED_VALUE"""),43758.147747337964)</f>
        <v>43758.14775</v>
      </c>
      <c r="B1078" t="str">
        <f>IFERROR(__xludf.DUMMYFUNCTION("""COMPUTED_VALUE"""),"Nick G.")</f>
        <v>Nick G.</v>
      </c>
      <c r="C1078" t="str">
        <f>IFERROR(__xludf.DUMMYFUNCTION("""COMPUTED_VALUE"""),"NC State")</f>
        <v>NC State</v>
      </c>
      <c r="D1078">
        <f>IFERROR(__xludf.DUMMYFUNCTION("""COMPUTED_VALUE"""),4.0)</f>
        <v>4</v>
      </c>
      <c r="E1078">
        <f>IFERROR(__xludf.DUMMYFUNCTION("""COMPUTED_VALUE"""),3.0)</f>
        <v>3</v>
      </c>
      <c r="F1078" t="str">
        <f>IFERROR(__xludf.DUMMYFUNCTION("""COMPUTED_VALUE"""),"ACC RSN")</f>
        <v>ACC RSN</v>
      </c>
      <c r="G1078" t="str">
        <f>IFERROR(__xludf.DUMMYFUNCTION("""COMPUTED_VALUE"""),"NC State 24 at Boston College 45")</f>
        <v>NC State 24 at Boston College 45</v>
      </c>
      <c r="H1078" t="str">
        <f>IFERROR(__xludf.DUMMYFUNCTION("""COMPUTED_VALUE"""),"FINAL")</f>
        <v>FINAL</v>
      </c>
      <c r="I1078" t="str">
        <f>IFERROR(__xludf.DUMMYFUNCTION("""COMPUTED_VALUE"""),"-2½")</f>
        <v>-2½</v>
      </c>
      <c r="J1078" t="str">
        <f>IFERROR(__xludf.DUMMYFUNCTION("""COMPUTED_VALUE"""),"52½")</f>
        <v>52½</v>
      </c>
      <c r="K1078" t="str">
        <f>IFERROR(__xludf.DUMMYFUNCTION("""COMPUTED_VALUE"""),"Janice/Mike")</f>
        <v>Janice/Mike</v>
      </c>
      <c r="L1078" t="str">
        <f>IFERROR(__xludf.DUMMYFUNCTION("""COMPUTED_VALUE"""),"FINAL")</f>
        <v>FINAL</v>
      </c>
      <c r="M1078" s="124">
        <v>8.0</v>
      </c>
    </row>
    <row r="1079">
      <c r="A1079" s="151">
        <f>IFERROR(__xludf.DUMMYFUNCTION("""COMPUTED_VALUE"""),43758.147747337964)</f>
        <v>43758.14775</v>
      </c>
      <c r="B1079" t="str">
        <f>IFERROR(__xludf.DUMMYFUNCTION("""COMPUTED_VALUE"""),"Nick G.")</f>
        <v>Nick G.</v>
      </c>
      <c r="C1079" t="str">
        <f>IFERROR(__xludf.DUMMYFUNCTION("""COMPUTED_VALUE"""),"Central Michigan")</f>
        <v>Central Michigan</v>
      </c>
      <c r="D1079">
        <f>IFERROR(__xludf.DUMMYFUNCTION("""COMPUTED_VALUE"""),5.0)</f>
        <v>5</v>
      </c>
      <c r="E1079">
        <f>IFERROR(__xludf.DUMMYFUNCTION("""COMPUTED_VALUE"""),3.0)</f>
        <v>3</v>
      </c>
      <c r="F1079" t="str">
        <f>IFERROR(__xludf.DUMMYFUNCTION("""COMPUTED_VALUE"""),"espn3 Video")</f>
        <v>espn3 Video</v>
      </c>
      <c r="G1079" t="str">
        <f>IFERROR(__xludf.DUMMYFUNCTION("""COMPUTED_VALUE"""),"Central Michigan 38 at Bowling Green 20")</f>
        <v>Central Michigan 38 at Bowling Green 20</v>
      </c>
      <c r="H1079" t="str">
        <f>IFERROR(__xludf.DUMMYFUNCTION("""COMPUTED_VALUE"""),"FINAL")</f>
        <v>FINAL</v>
      </c>
      <c r="I1079">
        <f>IFERROR(__xludf.DUMMYFUNCTION("""COMPUTED_VALUE"""),-12.0)</f>
        <v>-12</v>
      </c>
      <c r="J1079" t="str">
        <f>IFERROR(__xludf.DUMMYFUNCTION("""COMPUTED_VALUE"""),"54½")</f>
        <v>54½</v>
      </c>
      <c r="K1079" t="str">
        <f>IFERROR(__xludf.DUMMYFUNCTION("""COMPUTED_VALUE"""),"Nick A.")</f>
        <v>Nick A.</v>
      </c>
      <c r="L1079" t="str">
        <f>IFERROR(__xludf.DUMMYFUNCTION("""COMPUTED_VALUE"""),"FINAL")</f>
        <v>FINAL</v>
      </c>
      <c r="M1079" s="124">
        <v>8.0</v>
      </c>
    </row>
    <row r="1080">
      <c r="A1080" s="151">
        <f>IFERROR(__xludf.DUMMYFUNCTION("""COMPUTED_VALUE"""),43758.147747337964)</f>
        <v>43758.14775</v>
      </c>
      <c r="B1080" t="str">
        <f>IFERROR(__xludf.DUMMYFUNCTION("""COMPUTED_VALUE"""),"Nick G.")</f>
        <v>Nick G.</v>
      </c>
      <c r="C1080" t="str">
        <f>IFERROR(__xludf.DUMMYFUNCTION("""COMPUTED_VALUE"""),"Kansas State")</f>
        <v>Kansas State</v>
      </c>
      <c r="D1080">
        <f>IFERROR(__xludf.DUMMYFUNCTION("""COMPUTED_VALUE"""),4.0)</f>
        <v>4</v>
      </c>
      <c r="E1080">
        <f>IFERROR(__xludf.DUMMYFUNCTION("""COMPUTED_VALUE"""),2.0)</f>
        <v>2</v>
      </c>
      <c r="F1080" t="str">
        <f>IFERROR(__xludf.DUMMYFUNCTION("""COMPUTED_VALUE"""),"FSN")</f>
        <v>FSN</v>
      </c>
      <c r="G1080" t="str">
        <f>IFERROR(__xludf.DUMMYFUNCTION("""COMPUTED_VALUE"""),"TCU 17 at Kansas State 24")</f>
        <v>TCU 17 at Kansas State 24</v>
      </c>
      <c r="H1080" t="str">
        <f>IFERROR(__xludf.DUMMYFUNCTION("""COMPUTED_VALUE"""),"FINAL")</f>
        <v>FINAL</v>
      </c>
      <c r="I1080" t="str">
        <f>IFERROR(__xludf.DUMMYFUNCTION("""COMPUTED_VALUE"""),"3½")</f>
        <v>3½</v>
      </c>
      <c r="J1080">
        <f>IFERROR(__xludf.DUMMYFUNCTION("""COMPUTED_VALUE"""),46.0)</f>
        <v>46</v>
      </c>
      <c r="K1080" t="str">
        <f>IFERROR(__xludf.DUMMYFUNCTION("""COMPUTED_VALUE"""),"Vu")</f>
        <v>Vu</v>
      </c>
      <c r="L1080" t="str">
        <f>IFERROR(__xludf.DUMMYFUNCTION("""COMPUTED_VALUE"""),"FINAL")</f>
        <v>FINAL</v>
      </c>
      <c r="M1080" s="124">
        <v>8.0</v>
      </c>
    </row>
    <row r="1081">
      <c r="A1081" s="151">
        <f>IFERROR(__xludf.DUMMYFUNCTION("""COMPUTED_VALUE"""),43758.147747337964)</f>
        <v>43758.14775</v>
      </c>
      <c r="B1081" t="str">
        <f>IFERROR(__xludf.DUMMYFUNCTION("""COMPUTED_VALUE"""),"Nick G.")</f>
        <v>Nick G.</v>
      </c>
      <c r="C1081" t="str">
        <f>IFERROR(__xludf.DUMMYFUNCTION("""COMPUTED_VALUE"""),"Wyoming")</f>
        <v>Wyoming</v>
      </c>
      <c r="D1081">
        <f>IFERROR(__xludf.DUMMYFUNCTION("""COMPUTED_VALUE"""),5.0)</f>
        <v>5</v>
      </c>
      <c r="E1081">
        <f>IFERROR(__xludf.DUMMYFUNCTION("""COMPUTED_VALUE"""),2.0)</f>
        <v>2</v>
      </c>
      <c r="F1081" t="str">
        <f>IFERROR(__xludf.DUMMYFUNCTION("""COMPUTED_VALUE"""),"ATTRM")</f>
        <v>ATTRM</v>
      </c>
      <c r="G1081" t="str">
        <f>IFERROR(__xludf.DUMMYFUNCTION("""COMPUTED_VALUE"""),"New Mexico 10 at Wyoming 23")</f>
        <v>New Mexico 10 at Wyoming 23</v>
      </c>
      <c r="H1081" t="str">
        <f>IFERROR(__xludf.DUMMYFUNCTION("""COMPUTED_VALUE"""),"FINAL")</f>
        <v>FINAL</v>
      </c>
      <c r="I1081">
        <f>IFERROR(__xludf.DUMMYFUNCTION("""COMPUTED_VALUE"""),-20.0)</f>
        <v>-20</v>
      </c>
      <c r="J1081">
        <f>IFERROR(__xludf.DUMMYFUNCTION("""COMPUTED_VALUE"""),52.0)</f>
        <v>52</v>
      </c>
      <c r="K1081" t="str">
        <f>IFERROR(__xludf.DUMMYFUNCTION("""COMPUTED_VALUE"""),"Nico")</f>
        <v>Nico</v>
      </c>
      <c r="L1081" t="str">
        <f>IFERROR(__xludf.DUMMYFUNCTION("""COMPUTED_VALUE"""),"FINAL")</f>
        <v>FINAL</v>
      </c>
      <c r="M1081" s="124">
        <v>8.0</v>
      </c>
    </row>
    <row r="1082">
      <c r="A1082" s="151">
        <f>IFERROR(__xludf.DUMMYFUNCTION("""COMPUTED_VALUE"""),43765.147748449075)</f>
        <v>43765.14775</v>
      </c>
      <c r="B1082" t="str">
        <f>IFERROR(__xludf.DUMMYFUNCTION("""COMPUTED_VALUE"""),"DavEmily")</f>
        <v>DavEmily</v>
      </c>
      <c r="C1082" t="str">
        <f>IFERROR(__xludf.DUMMYFUNCTION("""COMPUTED_VALUE"""),"Ball State")</f>
        <v>Ball State</v>
      </c>
      <c r="D1082">
        <f>IFERROR(__xludf.DUMMYFUNCTION("""COMPUTED_VALUE"""),4.0)</f>
        <v>4</v>
      </c>
      <c r="E1082">
        <f>IFERROR(__xludf.DUMMYFUNCTION("""COMPUTED_VALUE"""),4.0)</f>
        <v>4</v>
      </c>
      <c r="F1082" t="str">
        <f>IFERROR(__xludf.DUMMYFUNCTION("""COMPUTED_VALUE"""),"espn+ Video")</f>
        <v>espn+ Video</v>
      </c>
      <c r="G1082" t="str">
        <f>IFERROR(__xludf.DUMMYFUNCTION("""COMPUTED_VALUE"""),"Ohio 34 at Ball State 21")</f>
        <v>Ohio 34 at Ball State 21</v>
      </c>
      <c r="H1082" t="str">
        <f>IFERROR(__xludf.DUMMYFUNCTION("""COMPUTED_VALUE"""),"FINAL")</f>
        <v>FINAL</v>
      </c>
      <c r="I1082">
        <f>IFERROR(__xludf.DUMMYFUNCTION("""COMPUTED_VALUE"""),-3.0)</f>
        <v>-3</v>
      </c>
      <c r="J1082" t="str">
        <f>IFERROR(__xludf.DUMMYFUNCTION("""COMPUTED_VALUE"""),"63½")</f>
        <v>63½</v>
      </c>
      <c r="K1082" t="str">
        <f>IFERROR(__xludf.DUMMYFUNCTION("""COMPUTED_VALUE"""),"Gary")</f>
        <v>Gary</v>
      </c>
      <c r="L1082" t="str">
        <f>IFERROR(__xludf.DUMMYFUNCTION("""COMPUTED_VALUE"""),"FINAL")</f>
        <v>FINAL</v>
      </c>
      <c r="M1082" s="124">
        <v>9.0</v>
      </c>
    </row>
    <row r="1083">
      <c r="A1083" s="151">
        <f>IFERROR(__xludf.DUMMYFUNCTION("""COMPUTED_VALUE"""),43765.147748449075)</f>
        <v>43765.14775</v>
      </c>
      <c r="B1083" t="str">
        <f>IFERROR(__xludf.DUMMYFUNCTION("""COMPUTED_VALUE"""),"DavEmily")</f>
        <v>DavEmily</v>
      </c>
      <c r="C1083" t="str">
        <f>IFERROR(__xludf.DUMMYFUNCTION("""COMPUTED_VALUE"""),"Nebraska")</f>
        <v>Nebraska</v>
      </c>
      <c r="D1083">
        <f>IFERROR(__xludf.DUMMYFUNCTION("""COMPUTED_VALUE"""),4.0)</f>
        <v>4</v>
      </c>
      <c r="E1083">
        <f>IFERROR(__xludf.DUMMYFUNCTION("""COMPUTED_VALUE"""),4.0)</f>
        <v>4</v>
      </c>
      <c r="F1083" t="str">
        <f>IFERROR(__xludf.DUMMYFUNCTION("""COMPUTED_VALUE"""),"BTN")</f>
        <v>BTN</v>
      </c>
      <c r="G1083" t="str">
        <f>IFERROR(__xludf.DUMMYFUNCTION("""COMPUTED_VALUE"""),"Indiana 38 at Nebraska 31")</f>
        <v>Indiana 38 at Nebraska 31</v>
      </c>
      <c r="H1083" t="str">
        <f>IFERROR(__xludf.DUMMYFUNCTION("""COMPUTED_VALUE"""),"FINAL")</f>
        <v>FINAL</v>
      </c>
      <c r="I1083">
        <f>IFERROR(__xludf.DUMMYFUNCTION("""COMPUTED_VALUE"""),-1.0)</f>
        <v>-1</v>
      </c>
      <c r="J1083">
        <f>IFERROR(__xludf.DUMMYFUNCTION("""COMPUTED_VALUE"""),55.0)</f>
        <v>55</v>
      </c>
      <c r="K1083" t="str">
        <f>IFERROR(__xludf.DUMMYFUNCTION("""COMPUTED_VALUE"""),"Brad")</f>
        <v>Brad</v>
      </c>
      <c r="L1083" t="str">
        <f>IFERROR(__xludf.DUMMYFUNCTION("""COMPUTED_VALUE"""),"FINAL")</f>
        <v>FINAL</v>
      </c>
      <c r="M1083" s="124">
        <v>9.0</v>
      </c>
    </row>
    <row r="1084">
      <c r="A1084" s="151">
        <f>IFERROR(__xludf.DUMMYFUNCTION("""COMPUTED_VALUE"""),43765.147748449075)</f>
        <v>43765.14775</v>
      </c>
      <c r="B1084" t="str">
        <f>IFERROR(__xludf.DUMMYFUNCTION("""COMPUTED_VALUE"""),"DavEmily")</f>
        <v>DavEmily</v>
      </c>
      <c r="C1084" t="str">
        <f>IFERROR(__xludf.DUMMYFUNCTION("""COMPUTED_VALUE"""),"Alabama")</f>
        <v>Alabama</v>
      </c>
      <c r="D1084">
        <f>IFERROR(__xludf.DUMMYFUNCTION("""COMPUTED_VALUE"""),8.0)</f>
        <v>8</v>
      </c>
      <c r="E1084">
        <f>IFERROR(__xludf.DUMMYFUNCTION("""COMPUTED_VALUE"""),0.0)</f>
        <v>0</v>
      </c>
      <c r="F1084" t="str">
        <f>IFERROR(__xludf.DUMMYFUNCTION("""COMPUTED_VALUE"""),"ESPN")</f>
        <v>ESPN</v>
      </c>
      <c r="G1084" t="str">
        <f>IFERROR(__xludf.DUMMYFUNCTION("""COMPUTED_VALUE"""),"Arkansas 7 at (1) Alabama 48")</f>
        <v>Arkansas 7 at (1) Alabama 48</v>
      </c>
      <c r="H1084" t="str">
        <f>IFERROR(__xludf.DUMMYFUNCTION("""COMPUTED_VALUE"""),"FINAL")</f>
        <v>FINAL</v>
      </c>
      <c r="I1084">
        <f>IFERROR(__xludf.DUMMYFUNCTION("""COMPUTED_VALUE"""),-32.0)</f>
        <v>-32</v>
      </c>
      <c r="J1084" t="str">
        <f>IFERROR(__xludf.DUMMYFUNCTION("""COMPUTED_VALUE"""),"55½")</f>
        <v>55½</v>
      </c>
      <c r="K1084" t="str">
        <f>IFERROR(__xludf.DUMMYFUNCTION("""COMPUTED_VALUE"""),"Janice/Mike")</f>
        <v>Janice/Mike</v>
      </c>
      <c r="L1084" t="str">
        <f>IFERROR(__xludf.DUMMYFUNCTION("""COMPUTED_VALUE"""),"FINAL")</f>
        <v>FINAL</v>
      </c>
      <c r="M1084" s="124">
        <v>9.0</v>
      </c>
    </row>
    <row r="1085">
      <c r="A1085" s="151">
        <f>IFERROR(__xludf.DUMMYFUNCTION("""COMPUTED_VALUE"""),43765.147748449075)</f>
        <v>43765.14775</v>
      </c>
      <c r="B1085" t="str">
        <f>IFERROR(__xludf.DUMMYFUNCTION("""COMPUTED_VALUE"""),"DavEmily")</f>
        <v>DavEmily</v>
      </c>
      <c r="C1085" t="str">
        <f>IFERROR(__xludf.DUMMYFUNCTION("""COMPUTED_VALUE"""),"Tulsa")</f>
        <v>Tulsa</v>
      </c>
      <c r="D1085">
        <f>IFERROR(__xludf.DUMMYFUNCTION("""COMPUTED_VALUE"""),2.0)</f>
        <v>2</v>
      </c>
      <c r="E1085">
        <f>IFERROR(__xludf.DUMMYFUNCTION("""COMPUTED_VALUE"""),6.0)</f>
        <v>6</v>
      </c>
      <c r="F1085" t="str">
        <f>IFERROR(__xludf.DUMMYFUNCTION("""COMPUTED_VALUE"""),"CBSSN")</f>
        <v>CBSSN</v>
      </c>
      <c r="G1085" t="str">
        <f>IFERROR(__xludf.DUMMYFUNCTION("""COMPUTED_VALUE"""),"(25) Memphis 42 at Tulsa 41")</f>
        <v>(25) Memphis 42 at Tulsa 41</v>
      </c>
      <c r="H1085" t="str">
        <f>IFERROR(__xludf.DUMMYFUNCTION("""COMPUTED_VALUE"""),"FINAL")</f>
        <v>FINAL</v>
      </c>
      <c r="I1085" t="str">
        <f>IFERROR(__xludf.DUMMYFUNCTION("""COMPUTED_VALUE"""),"10½")</f>
        <v>10½</v>
      </c>
      <c r="J1085" t="str">
        <f>IFERROR(__xludf.DUMMYFUNCTION("""COMPUTED_VALUE"""),"56½")</f>
        <v>56½</v>
      </c>
      <c r="K1085" t="str">
        <f>IFERROR(__xludf.DUMMYFUNCTION("""COMPUTED_VALUE"""),"Brad")</f>
        <v>Brad</v>
      </c>
      <c r="L1085" t="str">
        <f>IFERROR(__xludf.DUMMYFUNCTION("""COMPUTED_VALUE"""),"FINAL")</f>
        <v>FINAL</v>
      </c>
      <c r="M1085" s="124">
        <v>9.0</v>
      </c>
    </row>
    <row r="1086">
      <c r="A1086" s="151">
        <f>IFERROR(__xludf.DUMMYFUNCTION("""COMPUTED_VALUE"""),43765.147748449075)</f>
        <v>43765.14775</v>
      </c>
      <c r="B1086" t="str">
        <f>IFERROR(__xludf.DUMMYFUNCTION("""COMPUTED_VALUE"""),"DavEmily")</f>
        <v>DavEmily</v>
      </c>
      <c r="C1086" t="str">
        <f>IFERROR(__xludf.DUMMYFUNCTION("""COMPUTED_VALUE"""),"Notre Dame")</f>
        <v>Notre Dame</v>
      </c>
      <c r="D1086">
        <f>IFERROR(__xludf.DUMMYFUNCTION("""COMPUTED_VALUE"""),5.0)</f>
        <v>5</v>
      </c>
      <c r="E1086">
        <f>IFERROR(__xludf.DUMMYFUNCTION("""COMPUTED_VALUE"""),2.0)</f>
        <v>2</v>
      </c>
      <c r="F1086" t="str">
        <f>IFERROR(__xludf.DUMMYFUNCTION("""COMPUTED_VALUE"""),"ABC")</f>
        <v>ABC</v>
      </c>
      <c r="G1086" t="str">
        <f>IFERROR(__xludf.DUMMYFUNCTION("""COMPUTED_VALUE"""),"(7) Notre Dame 14 at (20) Michigan 45")</f>
        <v>(7) Notre Dame 14 at (20) Michigan 45</v>
      </c>
      <c r="H1086" t="str">
        <f>IFERROR(__xludf.DUMMYFUNCTION("""COMPUTED_VALUE"""),"FINAL")</f>
        <v>FINAL</v>
      </c>
      <c r="I1086">
        <f>IFERROR(__xludf.DUMMYFUNCTION("""COMPUTED_VALUE"""),1.0)</f>
        <v>1</v>
      </c>
      <c r="J1086">
        <f>IFERROR(__xludf.DUMMYFUNCTION("""COMPUTED_VALUE"""),50.0)</f>
        <v>50</v>
      </c>
      <c r="K1086" t="str">
        <f>IFERROR(__xludf.DUMMYFUNCTION("""COMPUTED_VALUE"""),"Vu")</f>
        <v>Vu</v>
      </c>
      <c r="L1086" t="str">
        <f>IFERROR(__xludf.DUMMYFUNCTION("""COMPUTED_VALUE"""),"FINAL")</f>
        <v>FINAL</v>
      </c>
      <c r="M1086" s="124">
        <v>9.0</v>
      </c>
    </row>
    <row r="1087">
      <c r="A1087" s="151">
        <f>IFERROR(__xludf.DUMMYFUNCTION("""COMPUTED_VALUE"""),43765.147748449075)</f>
        <v>43765.14775</v>
      </c>
      <c r="B1087" t="str">
        <f>IFERROR(__xludf.DUMMYFUNCTION("""COMPUTED_VALUE"""),"DavEmily")</f>
        <v>DavEmily</v>
      </c>
      <c r="C1087" t="str">
        <f>IFERROR(__xludf.DUMMYFUNCTION("""COMPUTED_VALUE"""),"Fresno State")</f>
        <v>Fresno State</v>
      </c>
      <c r="D1087">
        <f>IFERROR(__xludf.DUMMYFUNCTION("""COMPUTED_VALUE"""),3.0)</f>
        <v>3</v>
      </c>
      <c r="E1087">
        <f>IFERROR(__xludf.DUMMYFUNCTION("""COMPUTED_VALUE"""),4.0)</f>
        <v>4</v>
      </c>
      <c r="F1087" t="str">
        <f>IFERROR(__xludf.DUMMYFUNCTION("""COMPUTED_VALUE"""),"ESPNU")</f>
        <v>ESPNU</v>
      </c>
      <c r="G1087" t="str">
        <f>IFERROR(__xludf.DUMMYFUNCTION("""COMPUTED_VALUE"""),"Colorado State 41 at Fresno State 31")</f>
        <v>Colorado State 41 at Fresno State 31</v>
      </c>
      <c r="H1087" t="str">
        <f>IFERROR(__xludf.DUMMYFUNCTION("""COMPUTED_VALUE"""),"FINAL")</f>
        <v>FINAL</v>
      </c>
      <c r="I1087">
        <f>IFERROR(__xludf.DUMMYFUNCTION("""COMPUTED_VALUE"""),-14.0)</f>
        <v>-14</v>
      </c>
      <c r="J1087">
        <f>IFERROR(__xludf.DUMMYFUNCTION("""COMPUTED_VALUE"""),59.0)</f>
        <v>59</v>
      </c>
      <c r="K1087" t="str">
        <f>IFERROR(__xludf.DUMMYFUNCTION("""COMPUTED_VALUE"""),"Brad")</f>
        <v>Brad</v>
      </c>
      <c r="L1087" t="str">
        <f>IFERROR(__xludf.DUMMYFUNCTION("""COMPUTED_VALUE"""),"FINAL")</f>
        <v>FINAL</v>
      </c>
      <c r="M1087" s="124">
        <v>9.0</v>
      </c>
    </row>
    <row r="1088">
      <c r="A1088" s="151">
        <f>IFERROR(__xludf.DUMMYFUNCTION("""COMPUTED_VALUE"""),43765.147748449075)</f>
        <v>43765.14775</v>
      </c>
      <c r="B1088" t="str">
        <f>IFERROR(__xludf.DUMMYFUNCTION("""COMPUTED_VALUE"""),"DavEmily")</f>
        <v>DavEmily</v>
      </c>
      <c r="C1088" t="str">
        <f>IFERROR(__xludf.DUMMYFUNCTION("""COMPUTED_VALUE"""),"California")</f>
        <v>California</v>
      </c>
      <c r="D1088">
        <f>IFERROR(__xludf.DUMMYFUNCTION("""COMPUTED_VALUE"""),4.0)</f>
        <v>4</v>
      </c>
      <c r="E1088">
        <f>IFERROR(__xludf.DUMMYFUNCTION("""COMPUTED_VALUE"""),4.0)</f>
        <v>4</v>
      </c>
      <c r="F1088" t="str">
        <f>IFERROR(__xludf.DUMMYFUNCTION("""COMPUTED_VALUE"""),"FS1")</f>
        <v>FS1</v>
      </c>
      <c r="G1088" t="str">
        <f>IFERROR(__xludf.DUMMYFUNCTION("""COMPUTED_VALUE"""),"California 0 at (12) Utah 35")</f>
        <v>California 0 at (12) Utah 35</v>
      </c>
      <c r="H1088" t="str">
        <f>IFERROR(__xludf.DUMMYFUNCTION("""COMPUTED_VALUE"""),"FINAL")</f>
        <v>FINAL</v>
      </c>
      <c r="I1088">
        <f>IFERROR(__xludf.DUMMYFUNCTION("""COMPUTED_VALUE"""),18.0)</f>
        <v>18</v>
      </c>
      <c r="J1088" t="str">
        <f>IFERROR(__xludf.DUMMYFUNCTION("""COMPUTED_VALUE"""),"38½")</f>
        <v>38½</v>
      </c>
      <c r="K1088" t="str">
        <f>IFERROR(__xludf.DUMMYFUNCTION("""COMPUTED_VALUE"""),"Brad")</f>
        <v>Brad</v>
      </c>
      <c r="L1088" t="str">
        <f>IFERROR(__xludf.DUMMYFUNCTION("""COMPUTED_VALUE"""),"FINAL")</f>
        <v>FINAL</v>
      </c>
      <c r="M1088" s="124">
        <v>9.0</v>
      </c>
    </row>
    <row r="1089">
      <c r="A1089" s="151">
        <f>IFERROR(__xludf.DUMMYFUNCTION("""COMPUTED_VALUE"""),43765.147748449075)</f>
        <v>43765.14775</v>
      </c>
      <c r="B1089" t="str">
        <f>IFERROR(__xludf.DUMMYFUNCTION("""COMPUTED_VALUE"""),"DavEmily")</f>
        <v>DavEmily</v>
      </c>
      <c r="C1089" t="str">
        <f>IFERROR(__xludf.DUMMYFUNCTION("""COMPUTED_VALUE"""),"Coastal Carolina")</f>
        <v>Coastal Carolina</v>
      </c>
      <c r="D1089">
        <f>IFERROR(__xludf.DUMMYFUNCTION("""COMPUTED_VALUE"""),3.0)</f>
        <v>3</v>
      </c>
      <c r="E1089">
        <f>IFERROR(__xludf.DUMMYFUNCTION("""COMPUTED_VALUE"""),4.0)</f>
        <v>4</v>
      </c>
      <c r="F1089" t="str">
        <f>IFERROR(__xludf.DUMMYFUNCTION("""COMPUTED_VALUE"""),"NA")</f>
        <v>NA</v>
      </c>
      <c r="G1089" t="str">
        <f>IFERROR(__xludf.DUMMYFUNCTION("""COMPUTED_VALUE"""),"BYE")</f>
        <v>BYE</v>
      </c>
      <c r="I1089" t="str">
        <f>IFERROR(__xludf.DUMMYFUNCTION("""COMPUTED_VALUE"""),"bye")</f>
        <v>bye</v>
      </c>
      <c r="J1089" t="str">
        <f>IFERROR(__xludf.DUMMYFUNCTION("""COMPUTED_VALUE"""),"bye")</f>
        <v>bye</v>
      </c>
      <c r="L1089">
        <f>IFERROR(__xludf.DUMMYFUNCTION("""COMPUTED_VALUE"""),9999.0)</f>
        <v>9999</v>
      </c>
      <c r="M1089" s="124">
        <v>9.0</v>
      </c>
    </row>
    <row r="1090">
      <c r="A1090" s="151">
        <f>IFERROR(__xludf.DUMMYFUNCTION("""COMPUTED_VALUE"""),43765.147748449075)</f>
        <v>43765.14775</v>
      </c>
      <c r="B1090" t="str">
        <f>IFERROR(__xludf.DUMMYFUNCTION("""COMPUTED_VALUE"""),"DavEmily")</f>
        <v>DavEmily</v>
      </c>
      <c r="C1090" t="str">
        <f>IFERROR(__xludf.DUMMYFUNCTION("""COMPUTED_VALUE"""),"Virginia Tech")</f>
        <v>Virginia Tech</v>
      </c>
      <c r="D1090">
        <f>IFERROR(__xludf.DUMMYFUNCTION("""COMPUTED_VALUE"""),5.0)</f>
        <v>5</v>
      </c>
      <c r="E1090">
        <f>IFERROR(__xludf.DUMMYFUNCTION("""COMPUTED_VALUE"""),2.0)</f>
        <v>2</v>
      </c>
      <c r="F1090" t="str">
        <f>IFERROR(__xludf.DUMMYFUNCTION("""COMPUTED_VALUE"""),"NA")</f>
        <v>NA</v>
      </c>
      <c r="G1090" t="str">
        <f>IFERROR(__xludf.DUMMYFUNCTION("""COMPUTED_VALUE"""),"BYE")</f>
        <v>BYE</v>
      </c>
      <c r="I1090" t="str">
        <f>IFERROR(__xludf.DUMMYFUNCTION("""COMPUTED_VALUE"""),"bye")</f>
        <v>bye</v>
      </c>
      <c r="J1090" t="str">
        <f>IFERROR(__xludf.DUMMYFUNCTION("""COMPUTED_VALUE"""),"bye")</f>
        <v>bye</v>
      </c>
      <c r="L1090">
        <f>IFERROR(__xludf.DUMMYFUNCTION("""COMPUTED_VALUE"""),9999.0)</f>
        <v>9999</v>
      </c>
      <c r="M1090" s="124">
        <v>9.0</v>
      </c>
    </row>
    <row r="1091">
      <c r="A1091" s="151">
        <f>IFERROR(__xludf.DUMMYFUNCTION("""COMPUTED_VALUE"""),43765.147748449075)</f>
        <v>43765.14775</v>
      </c>
      <c r="B1091" t="str">
        <f>IFERROR(__xludf.DUMMYFUNCTION("""COMPUTED_VALUE"""),"DavEmily")</f>
        <v>DavEmily</v>
      </c>
      <c r="C1091" t="str">
        <f>IFERROR(__xludf.DUMMYFUNCTION("""COMPUTED_VALUE"""),"UTSA")</f>
        <v>UTSA</v>
      </c>
      <c r="D1091">
        <f>IFERROR(__xludf.DUMMYFUNCTION("""COMPUTED_VALUE"""),3.0)</f>
        <v>3</v>
      </c>
      <c r="E1091">
        <f>IFERROR(__xludf.DUMMYFUNCTION("""COMPUTED_VALUE"""),4.0)</f>
        <v>4</v>
      </c>
      <c r="F1091" t="str">
        <f>IFERROR(__xludf.DUMMYFUNCTION("""COMPUTED_VALUE"""),"NA")</f>
        <v>NA</v>
      </c>
      <c r="G1091" t="str">
        <f>IFERROR(__xludf.DUMMYFUNCTION("""COMPUTED_VALUE"""),"BYE")</f>
        <v>BYE</v>
      </c>
      <c r="I1091" t="str">
        <f>IFERROR(__xludf.DUMMYFUNCTION("""COMPUTED_VALUE"""),"bye")</f>
        <v>bye</v>
      </c>
      <c r="J1091" t="str">
        <f>IFERROR(__xludf.DUMMYFUNCTION("""COMPUTED_VALUE"""),"bye")</f>
        <v>bye</v>
      </c>
      <c r="L1091">
        <f>IFERROR(__xludf.DUMMYFUNCTION("""COMPUTED_VALUE"""),9999.0)</f>
        <v>9999</v>
      </c>
      <c r="M1091" s="124">
        <v>9.0</v>
      </c>
    </row>
    <row r="1092">
      <c r="A1092" s="151">
        <f>IFERROR(__xludf.DUMMYFUNCTION("""COMPUTED_VALUE"""),43765.147748449075)</f>
        <v>43765.14775</v>
      </c>
      <c r="B1092" t="str">
        <f>IFERROR(__xludf.DUMMYFUNCTION("""COMPUTED_VALUE"""),"Nick A.")</f>
        <v>Nick A.</v>
      </c>
      <c r="C1092" t="str">
        <f>IFERROR(__xludf.DUMMYFUNCTION("""COMPUTED_VALUE"""),"Bowling Green")</f>
        <v>Bowling Green</v>
      </c>
      <c r="D1092">
        <f>IFERROR(__xludf.DUMMYFUNCTION("""COMPUTED_VALUE"""),2.0)</f>
        <v>2</v>
      </c>
      <c r="E1092">
        <f>IFERROR(__xludf.DUMMYFUNCTION("""COMPUTED_VALUE"""),6.0)</f>
        <v>6</v>
      </c>
      <c r="F1092" t="str">
        <f>IFERROR(__xludf.DUMMYFUNCTION("""COMPUTED_VALUE"""),"espn3 Video")</f>
        <v>espn3 Video</v>
      </c>
      <c r="G1092" t="str">
        <f>IFERROR(__xludf.DUMMYFUNCTION("""COMPUTED_VALUE"""),"Bowling Green 10 at Western Michigan 49")</f>
        <v>Bowling Green 10 at Western Michigan 49</v>
      </c>
      <c r="H1092" t="str">
        <f>IFERROR(__xludf.DUMMYFUNCTION("""COMPUTED_VALUE"""),"FINAL")</f>
        <v>FINAL</v>
      </c>
      <c r="I1092" t="str">
        <f>IFERROR(__xludf.DUMMYFUNCTION("""COMPUTED_VALUE"""),"27½")</f>
        <v>27½</v>
      </c>
      <c r="J1092">
        <f>IFERROR(__xludf.DUMMYFUNCTION("""COMPUTED_VALUE"""),63.0)</f>
        <v>63</v>
      </c>
      <c r="K1092" t="str">
        <f>IFERROR(__xludf.DUMMYFUNCTION("""COMPUTED_VALUE"""),"Jeannine")</f>
        <v>Jeannine</v>
      </c>
      <c r="L1092" t="str">
        <f>IFERROR(__xludf.DUMMYFUNCTION("""COMPUTED_VALUE"""),"FINAL")</f>
        <v>FINAL</v>
      </c>
      <c r="M1092" s="124">
        <v>9.0</v>
      </c>
    </row>
    <row r="1093">
      <c r="A1093" s="151">
        <f>IFERROR(__xludf.DUMMYFUNCTION("""COMPUTED_VALUE"""),43765.147748449075)</f>
        <v>43765.14775</v>
      </c>
      <c r="B1093" t="str">
        <f>IFERROR(__xludf.DUMMYFUNCTION("""COMPUTED_VALUE"""),"Nick A.")</f>
        <v>Nick A.</v>
      </c>
      <c r="C1093" t="str">
        <f>IFERROR(__xludf.DUMMYFUNCTION("""COMPUTED_VALUE"""),"New Mexico State")</f>
        <v>New Mexico State</v>
      </c>
      <c r="D1093">
        <f>IFERROR(__xludf.DUMMYFUNCTION("""COMPUTED_VALUE"""),0.0)</f>
        <v>0</v>
      </c>
      <c r="E1093">
        <f>IFERROR(__xludf.DUMMYFUNCTION("""COMPUTED_VALUE"""),8.0)</f>
        <v>8</v>
      </c>
      <c r="F1093" t="str">
        <f>IFERROR(__xludf.DUMMYFUNCTION("""COMPUTED_VALUE"""),"espn3 Video")</f>
        <v>espn3 Video</v>
      </c>
      <c r="G1093" t="str">
        <f>IFERROR(__xludf.DUMMYFUNCTION("""COMPUTED_VALUE"""),"New Mexico State 7 at Georgia Southern 41")</f>
        <v>New Mexico State 7 at Georgia Southern 41</v>
      </c>
      <c r="H1093" t="str">
        <f>IFERROR(__xludf.DUMMYFUNCTION("""COMPUTED_VALUE"""),"FINAL")</f>
        <v>FINAL</v>
      </c>
      <c r="I1093" t="str">
        <f>IFERROR(__xludf.DUMMYFUNCTION("""COMPUTED_VALUE"""),"14½")</f>
        <v>14½</v>
      </c>
      <c r="J1093">
        <f>IFERROR(__xludf.DUMMYFUNCTION("""COMPUTED_VALUE"""),54.0)</f>
        <v>54</v>
      </c>
      <c r="K1093" t="str">
        <f>IFERROR(__xludf.DUMMYFUNCTION("""COMPUTED_VALUE"""),"Janice/Mike")</f>
        <v>Janice/Mike</v>
      </c>
      <c r="L1093" t="str">
        <f>IFERROR(__xludf.DUMMYFUNCTION("""COMPUTED_VALUE"""),"FINAL")</f>
        <v>FINAL</v>
      </c>
      <c r="M1093" s="124">
        <v>9.0</v>
      </c>
    </row>
    <row r="1094">
      <c r="A1094" s="151">
        <f>IFERROR(__xludf.DUMMYFUNCTION("""COMPUTED_VALUE"""),43765.147748449075)</f>
        <v>43765.14775</v>
      </c>
      <c r="B1094" t="str">
        <f>IFERROR(__xludf.DUMMYFUNCTION("""COMPUTED_VALUE"""),"Nick A.")</f>
        <v>Nick A.</v>
      </c>
      <c r="C1094" t="str">
        <f>IFERROR(__xludf.DUMMYFUNCTION("""COMPUTED_VALUE"""),"LSU")</f>
        <v>LSU</v>
      </c>
      <c r="D1094">
        <f>IFERROR(__xludf.DUMMYFUNCTION("""COMPUTED_VALUE"""),8.0)</f>
        <v>8</v>
      </c>
      <c r="E1094">
        <f>IFERROR(__xludf.DUMMYFUNCTION("""COMPUTED_VALUE"""),0.0)</f>
        <v>0</v>
      </c>
      <c r="F1094" t="str">
        <f>IFERROR(__xludf.DUMMYFUNCTION("""COMPUTED_VALUE"""),"CBS")</f>
        <v>CBS</v>
      </c>
      <c r="G1094" t="str">
        <f>IFERROR(__xludf.DUMMYFUNCTION("""COMPUTED_VALUE"""),"(10) Auburn 20 at (3) LSU 23")</f>
        <v>(10) Auburn 20 at (3) LSU 23</v>
      </c>
      <c r="H1094" t="str">
        <f>IFERROR(__xludf.DUMMYFUNCTION("""COMPUTED_VALUE"""),"FINAL")</f>
        <v>FINAL</v>
      </c>
      <c r="I1094" t="str">
        <f>IFERROR(__xludf.DUMMYFUNCTION("""COMPUTED_VALUE"""),"-11½")</f>
        <v>-11½</v>
      </c>
      <c r="J1094">
        <f>IFERROR(__xludf.DUMMYFUNCTION("""COMPUTED_VALUE"""),59.0)</f>
        <v>59</v>
      </c>
      <c r="K1094" t="str">
        <f>IFERROR(__xludf.DUMMYFUNCTION("""COMPUTED_VALUE"""),"Nick G.")</f>
        <v>Nick G.</v>
      </c>
      <c r="L1094" t="str">
        <f>IFERROR(__xludf.DUMMYFUNCTION("""COMPUTED_VALUE"""),"FINAL")</f>
        <v>FINAL</v>
      </c>
      <c r="M1094" s="124">
        <v>9.0</v>
      </c>
    </row>
    <row r="1095">
      <c r="A1095" s="151">
        <f>IFERROR(__xludf.DUMMYFUNCTION("""COMPUTED_VALUE"""),43765.147748449075)</f>
        <v>43765.14775</v>
      </c>
      <c r="B1095" t="str">
        <f>IFERROR(__xludf.DUMMYFUNCTION("""COMPUTED_VALUE"""),"Nick A.")</f>
        <v>Nick A.</v>
      </c>
      <c r="C1095" t="str">
        <f>IFERROR(__xludf.DUMMYFUNCTION("""COMPUTED_VALUE"""),"Michigan State")</f>
        <v>Michigan State</v>
      </c>
      <c r="D1095">
        <f>IFERROR(__xludf.DUMMYFUNCTION("""COMPUTED_VALUE"""),4.0)</f>
        <v>4</v>
      </c>
      <c r="E1095">
        <f>IFERROR(__xludf.DUMMYFUNCTION("""COMPUTED_VALUE"""),4.0)</f>
        <v>4</v>
      </c>
      <c r="F1095" t="str">
        <f>IFERROR(__xludf.DUMMYFUNCTION("""COMPUTED_VALUE"""),"ABC")</f>
        <v>ABC</v>
      </c>
      <c r="G1095" t="str">
        <f>IFERROR(__xludf.DUMMYFUNCTION("""COMPUTED_VALUE"""),"(6) Penn State 28 at Michigan State 7")</f>
        <v>(6) Penn State 28 at Michigan State 7</v>
      </c>
      <c r="H1095" t="str">
        <f>IFERROR(__xludf.DUMMYFUNCTION("""COMPUTED_VALUE"""),"FINAL")</f>
        <v>FINAL</v>
      </c>
      <c r="I1095">
        <f>IFERROR(__xludf.DUMMYFUNCTION("""COMPUTED_VALUE"""),6.0)</f>
        <v>6</v>
      </c>
      <c r="J1095" t="str">
        <f>IFERROR(__xludf.DUMMYFUNCTION("""COMPUTED_VALUE"""),"43½")</f>
        <v>43½</v>
      </c>
      <c r="K1095" t="str">
        <f>IFERROR(__xludf.DUMMYFUNCTION("""COMPUTED_VALUE"""),"Jeannine")</f>
        <v>Jeannine</v>
      </c>
      <c r="L1095" t="str">
        <f>IFERROR(__xludf.DUMMYFUNCTION("""COMPUTED_VALUE"""),"FINAL")</f>
        <v>FINAL</v>
      </c>
      <c r="M1095" s="124">
        <v>9.0</v>
      </c>
    </row>
    <row r="1096">
      <c r="A1096" s="151">
        <f>IFERROR(__xludf.DUMMYFUNCTION("""COMPUTED_VALUE"""),43765.147748449075)</f>
        <v>43765.14775</v>
      </c>
      <c r="B1096" t="str">
        <f>IFERROR(__xludf.DUMMYFUNCTION("""COMPUTED_VALUE"""),"Nick A.")</f>
        <v>Nick A.</v>
      </c>
      <c r="C1096" t="str">
        <f>IFERROR(__xludf.DUMMYFUNCTION("""COMPUTED_VALUE"""),"Iowa State")</f>
        <v>Iowa State</v>
      </c>
      <c r="D1096">
        <f>IFERROR(__xludf.DUMMYFUNCTION("""COMPUTED_VALUE"""),5.0)</f>
        <v>5</v>
      </c>
      <c r="E1096">
        <f>IFERROR(__xludf.DUMMYFUNCTION("""COMPUTED_VALUE"""),3.0)</f>
        <v>3</v>
      </c>
      <c r="F1096" t="str">
        <f>IFERROR(__xludf.DUMMYFUNCTION("""COMPUTED_VALUE"""),"FS1")</f>
        <v>FS1</v>
      </c>
      <c r="G1096" t="str">
        <f>IFERROR(__xludf.DUMMYFUNCTION("""COMPUTED_VALUE"""),"Oklahoma State 34 at Iowa State 27")</f>
        <v>Oklahoma State 34 at Iowa State 27</v>
      </c>
      <c r="H1096" t="str">
        <f>IFERROR(__xludf.DUMMYFUNCTION("""COMPUTED_VALUE"""),"FINAL")</f>
        <v>FINAL</v>
      </c>
      <c r="I1096" t="str">
        <f>IFERROR(__xludf.DUMMYFUNCTION("""COMPUTED_VALUE"""),"-10½")</f>
        <v>-10½</v>
      </c>
      <c r="J1096" t="str">
        <f>IFERROR(__xludf.DUMMYFUNCTION("""COMPUTED_VALUE"""),"64½")</f>
        <v>64½</v>
      </c>
      <c r="K1096" t="str">
        <f>IFERROR(__xludf.DUMMYFUNCTION("""COMPUTED_VALUE"""),"Brad")</f>
        <v>Brad</v>
      </c>
      <c r="L1096" t="str">
        <f>IFERROR(__xludf.DUMMYFUNCTION("""COMPUTED_VALUE"""),"FINAL")</f>
        <v>FINAL</v>
      </c>
      <c r="M1096" s="124">
        <v>9.0</v>
      </c>
    </row>
    <row r="1097">
      <c r="A1097" s="151">
        <f>IFERROR(__xludf.DUMMYFUNCTION("""COMPUTED_VALUE"""),43765.147748449075)</f>
        <v>43765.14775</v>
      </c>
      <c r="B1097" t="str">
        <f>IFERROR(__xludf.DUMMYFUNCTION("""COMPUTED_VALUE"""),"Nick A.")</f>
        <v>Nick A.</v>
      </c>
      <c r="C1097" t="str">
        <f>IFERROR(__xludf.DUMMYFUNCTION("""COMPUTED_VALUE"""),"Old Dominion")</f>
        <v>Old Dominion</v>
      </c>
      <c r="D1097">
        <f>IFERROR(__xludf.DUMMYFUNCTION("""COMPUTED_VALUE"""),1.0)</f>
        <v>1</v>
      </c>
      <c r="E1097">
        <f>IFERROR(__xludf.DUMMYFUNCTION("""COMPUTED_VALUE"""),7.0)</f>
        <v>7</v>
      </c>
      <c r="F1097" t="str">
        <f>IFERROR(__xludf.DUMMYFUNCTION("""COMPUTED_VALUE"""),"espn+ Video")</f>
        <v>espn+ Video</v>
      </c>
      <c r="G1097" t="str">
        <f>IFERROR(__xludf.DUMMYFUNCTION("""COMPUTED_VALUE"""),"Florida Atlantic 41 at Old Dominion 3")</f>
        <v>Florida Atlantic 41 at Old Dominion 3</v>
      </c>
      <c r="H1097" t="str">
        <f>IFERROR(__xludf.DUMMYFUNCTION("""COMPUTED_VALUE"""),"FINAL")</f>
        <v>FINAL</v>
      </c>
      <c r="I1097" t="str">
        <f>IFERROR(__xludf.DUMMYFUNCTION("""COMPUTED_VALUE"""),"13½")</f>
        <v>13½</v>
      </c>
      <c r="J1097" t="str">
        <f>IFERROR(__xludf.DUMMYFUNCTION("""COMPUTED_VALUE"""),"52½")</f>
        <v>52½</v>
      </c>
      <c r="K1097" t="str">
        <f>IFERROR(__xludf.DUMMYFUNCTION("""COMPUTED_VALUE"""),"Nick G.")</f>
        <v>Nick G.</v>
      </c>
      <c r="L1097" t="str">
        <f>IFERROR(__xludf.DUMMYFUNCTION("""COMPUTED_VALUE"""),"FINAL")</f>
        <v>FINAL</v>
      </c>
      <c r="M1097" s="124">
        <v>9.0</v>
      </c>
    </row>
    <row r="1098">
      <c r="A1098" s="151">
        <f>IFERROR(__xludf.DUMMYFUNCTION("""COMPUTED_VALUE"""),43765.147748449075)</f>
        <v>43765.14775</v>
      </c>
      <c r="B1098" t="str">
        <f>IFERROR(__xludf.DUMMYFUNCTION("""COMPUTED_VALUE"""),"Nick A.")</f>
        <v>Nick A.</v>
      </c>
      <c r="C1098" t="str">
        <f>IFERROR(__xludf.DUMMYFUNCTION("""COMPUTED_VALUE"""),"East Carolina")</f>
        <v>East Carolina</v>
      </c>
      <c r="D1098">
        <f>IFERROR(__xludf.DUMMYFUNCTION("""COMPUTED_VALUE"""),3.0)</f>
        <v>3</v>
      </c>
      <c r="E1098">
        <f>IFERROR(__xludf.DUMMYFUNCTION("""COMPUTED_VALUE"""),5.0)</f>
        <v>5</v>
      </c>
      <c r="F1098" t="str">
        <f>IFERROR(__xludf.DUMMYFUNCTION("""COMPUTED_VALUE"""),"ESPNU")</f>
        <v>ESPNU</v>
      </c>
      <c r="G1098" t="str">
        <f>IFERROR(__xludf.DUMMYFUNCTION("""COMPUTED_VALUE"""),"South Florida 45 at East Carolina 20")</f>
        <v>South Florida 45 at East Carolina 20</v>
      </c>
      <c r="H1098" t="str">
        <f>IFERROR(__xludf.DUMMYFUNCTION("""COMPUTED_VALUE"""),"FINAL")</f>
        <v>FINAL</v>
      </c>
      <c r="I1098">
        <f>IFERROR(__xludf.DUMMYFUNCTION("""COMPUTED_VALUE"""),2.0)</f>
        <v>2</v>
      </c>
      <c r="J1098">
        <f>IFERROR(__xludf.DUMMYFUNCTION("""COMPUTED_VALUE"""),51.0)</f>
        <v>51</v>
      </c>
      <c r="K1098" t="str">
        <f>IFERROR(__xludf.DUMMYFUNCTION("""COMPUTED_VALUE"""),"Justin")</f>
        <v>Justin</v>
      </c>
      <c r="L1098" t="str">
        <f>IFERROR(__xludf.DUMMYFUNCTION("""COMPUTED_VALUE"""),"FINAL")</f>
        <v>FINAL</v>
      </c>
      <c r="M1098" s="124">
        <v>9.0</v>
      </c>
    </row>
    <row r="1099">
      <c r="A1099" s="151">
        <f>IFERROR(__xludf.DUMMYFUNCTION("""COMPUTED_VALUE"""),43765.147748449075)</f>
        <v>43765.14775</v>
      </c>
      <c r="B1099" t="str">
        <f>IFERROR(__xludf.DUMMYFUNCTION("""COMPUTED_VALUE"""),"Nick A.")</f>
        <v>Nick A.</v>
      </c>
      <c r="C1099" t="str">
        <f>IFERROR(__xludf.DUMMYFUNCTION("""COMPUTED_VALUE"""),"Clemson")</f>
        <v>Clemson</v>
      </c>
      <c r="D1099">
        <f>IFERROR(__xludf.DUMMYFUNCTION("""COMPUTED_VALUE"""),8.0)</f>
        <v>8</v>
      </c>
      <c r="E1099">
        <f>IFERROR(__xludf.DUMMYFUNCTION("""COMPUTED_VALUE"""),0.0)</f>
        <v>0</v>
      </c>
      <c r="F1099" t="str">
        <f>IFERROR(__xludf.DUMMYFUNCTION("""COMPUTED_VALUE"""),"ACC Network")</f>
        <v>ACC Network</v>
      </c>
      <c r="G1099" t="str">
        <f>IFERROR(__xludf.DUMMYFUNCTION("""COMPUTED_VALUE"""),"Boston College 7 at (2) Clemson 59")</f>
        <v>Boston College 7 at (2) Clemson 59</v>
      </c>
      <c r="H1099" t="str">
        <f>IFERROR(__xludf.DUMMYFUNCTION("""COMPUTED_VALUE"""),"FINAL")</f>
        <v>FINAL</v>
      </c>
      <c r="I1099">
        <f>IFERROR(__xludf.DUMMYFUNCTION("""COMPUTED_VALUE"""),-33.0)</f>
        <v>-33</v>
      </c>
      <c r="J1099" t="str">
        <f>IFERROR(__xludf.DUMMYFUNCTION("""COMPUTED_VALUE"""),"58½")</f>
        <v>58½</v>
      </c>
      <c r="K1099" t="str">
        <f>IFERROR(__xludf.DUMMYFUNCTION("""COMPUTED_VALUE"""),"Janice/Mike")</f>
        <v>Janice/Mike</v>
      </c>
      <c r="L1099" t="str">
        <f>IFERROR(__xludf.DUMMYFUNCTION("""COMPUTED_VALUE"""),"FINAL")</f>
        <v>FINAL</v>
      </c>
      <c r="M1099" s="124">
        <v>9.0</v>
      </c>
    </row>
    <row r="1100">
      <c r="A1100" s="151">
        <f>IFERROR(__xludf.DUMMYFUNCTION("""COMPUTED_VALUE"""),43765.147748449075)</f>
        <v>43765.14775</v>
      </c>
      <c r="B1100" t="str">
        <f>IFERROR(__xludf.DUMMYFUNCTION("""COMPUTED_VALUE"""),"Nick A.")</f>
        <v>Nick A.</v>
      </c>
      <c r="C1100" t="str">
        <f>IFERROR(__xludf.DUMMYFUNCTION("""COMPUTED_VALUE"""),"Washington State")</f>
        <v>Washington State</v>
      </c>
      <c r="D1100">
        <f>IFERROR(__xludf.DUMMYFUNCTION("""COMPUTED_VALUE"""),4.0)</f>
        <v>4</v>
      </c>
      <c r="E1100">
        <f>IFERROR(__xludf.DUMMYFUNCTION("""COMPUTED_VALUE"""),4.0)</f>
        <v>4</v>
      </c>
      <c r="F1100" t="str">
        <f>IFERROR(__xludf.DUMMYFUNCTION("""COMPUTED_VALUE"""),"ESPN")</f>
        <v>ESPN</v>
      </c>
      <c r="G1100" t="str">
        <f>IFERROR(__xludf.DUMMYFUNCTION("""COMPUTED_VALUE"""),"Washington State 35 at (11) Oregon 37")</f>
        <v>Washington State 35 at (11) Oregon 37</v>
      </c>
      <c r="H1100" t="str">
        <f>IFERROR(__xludf.DUMMYFUNCTION("""COMPUTED_VALUE"""),"FINAL")</f>
        <v>FINAL</v>
      </c>
      <c r="I1100">
        <f>IFERROR(__xludf.DUMMYFUNCTION("""COMPUTED_VALUE"""),14.0)</f>
        <v>14</v>
      </c>
      <c r="J1100">
        <f>IFERROR(__xludf.DUMMYFUNCTION("""COMPUTED_VALUE"""),64.0)</f>
        <v>64</v>
      </c>
      <c r="K1100" t="str">
        <f>IFERROR(__xludf.DUMMYFUNCTION("""COMPUTED_VALUE"""),"Justin")</f>
        <v>Justin</v>
      </c>
      <c r="L1100" t="str">
        <f>IFERROR(__xludf.DUMMYFUNCTION("""COMPUTED_VALUE"""),"FINAL")</f>
        <v>FINAL</v>
      </c>
      <c r="M1100" s="124">
        <v>9.0</v>
      </c>
    </row>
    <row r="1101">
      <c r="A1101" s="151">
        <f>IFERROR(__xludf.DUMMYFUNCTION("""COMPUTED_VALUE"""),43765.147748449075)</f>
        <v>43765.14775</v>
      </c>
      <c r="B1101" t="str">
        <f>IFERROR(__xludf.DUMMYFUNCTION("""COMPUTED_VALUE"""),"Nick A.")</f>
        <v>Nick A.</v>
      </c>
      <c r="C1101" t="str">
        <f>IFERROR(__xludf.DUMMYFUNCTION("""COMPUTED_VALUE"""),"San Diego State")</f>
        <v>San Diego State</v>
      </c>
      <c r="D1101">
        <f>IFERROR(__xludf.DUMMYFUNCTION("""COMPUTED_VALUE"""),7.0)</f>
        <v>7</v>
      </c>
      <c r="E1101">
        <f>IFERROR(__xludf.DUMMYFUNCTION("""COMPUTED_VALUE"""),1.0)</f>
        <v>1</v>
      </c>
      <c r="F1101" t="str">
        <f>IFERROR(__xludf.DUMMYFUNCTION("""COMPUTED_VALUE"""),"CBSSN")</f>
        <v>CBSSN</v>
      </c>
      <c r="G1101" t="str">
        <f>IFERROR(__xludf.DUMMYFUNCTION("""COMPUTED_VALUE"""),"San Diego State 20 at UNLV 17")</f>
        <v>San Diego State 20 at UNLV 17</v>
      </c>
      <c r="H1101" t="str">
        <f>IFERROR(__xludf.DUMMYFUNCTION("""COMPUTED_VALUE"""),"FINAL")</f>
        <v>FINAL</v>
      </c>
      <c r="I1101" t="str">
        <f>IFERROR(__xludf.DUMMYFUNCTION("""COMPUTED_VALUE"""),"-13½")</f>
        <v>-13½</v>
      </c>
      <c r="J1101" t="str">
        <f>IFERROR(__xludf.DUMMYFUNCTION("""COMPUTED_VALUE"""),"47½")</f>
        <v>47½</v>
      </c>
      <c r="K1101" t="str">
        <f>IFERROR(__xludf.DUMMYFUNCTION("""COMPUTED_VALUE"""),"Justin")</f>
        <v>Justin</v>
      </c>
      <c r="L1101" t="str">
        <f>IFERROR(__xludf.DUMMYFUNCTION("""COMPUTED_VALUE"""),"FINAL")</f>
        <v>FINAL</v>
      </c>
      <c r="M1101" s="124">
        <v>9.0</v>
      </c>
    </row>
    <row r="1102">
      <c r="A1102" s="151">
        <f>IFERROR(__xludf.DUMMYFUNCTION("""COMPUTED_VALUE"""),43765.147748449075)</f>
        <v>43765.14775</v>
      </c>
      <c r="B1102" t="str">
        <f>IFERROR(__xludf.DUMMYFUNCTION("""COMPUTED_VALUE"""),"Gary")</f>
        <v>Gary</v>
      </c>
      <c r="C1102" t="str">
        <f>IFERROR(__xludf.DUMMYFUNCTION("""COMPUTED_VALUE"""),"Pittsburgh")</f>
        <v>Pittsburgh</v>
      </c>
      <c r="D1102">
        <f>IFERROR(__xludf.DUMMYFUNCTION("""COMPUTED_VALUE"""),5.0)</f>
        <v>5</v>
      </c>
      <c r="E1102">
        <f>IFERROR(__xludf.DUMMYFUNCTION("""COMPUTED_VALUE"""),3.0)</f>
        <v>3</v>
      </c>
      <c r="F1102" t="str">
        <f>IFERROR(__xludf.DUMMYFUNCTION("""COMPUTED_VALUE"""),"ESPN")</f>
        <v>ESPN</v>
      </c>
      <c r="G1102" t="str">
        <f>IFERROR(__xludf.DUMMYFUNCTION("""COMPUTED_VALUE"""),"Miami 16 at Pittsburgh 12")</f>
        <v>Miami 16 at Pittsburgh 12</v>
      </c>
      <c r="H1102" t="str">
        <f>IFERROR(__xludf.DUMMYFUNCTION("""COMPUTED_VALUE"""),"FINAL")</f>
        <v>FINAL</v>
      </c>
      <c r="I1102" t="str">
        <f>IFERROR(__xludf.DUMMYFUNCTION("""COMPUTED_VALUE"""),"-5½")</f>
        <v>-5½</v>
      </c>
      <c r="J1102" t="str">
        <f>IFERROR(__xludf.DUMMYFUNCTION("""COMPUTED_VALUE"""),"46½")</f>
        <v>46½</v>
      </c>
      <c r="K1102" t="str">
        <f>IFERROR(__xludf.DUMMYFUNCTION("""COMPUTED_VALUE"""),"Brad")</f>
        <v>Brad</v>
      </c>
      <c r="L1102" t="str">
        <f>IFERROR(__xludf.DUMMYFUNCTION("""COMPUTED_VALUE"""),"FINAL")</f>
        <v>FINAL</v>
      </c>
      <c r="M1102" s="124">
        <v>9.0</v>
      </c>
    </row>
    <row r="1103">
      <c r="A1103" s="151">
        <f>IFERROR(__xludf.DUMMYFUNCTION("""COMPUTED_VALUE"""),43765.147748449075)</f>
        <v>43765.14775</v>
      </c>
      <c r="B1103" t="str">
        <f>IFERROR(__xludf.DUMMYFUNCTION("""COMPUTED_VALUE"""),"Gary")</f>
        <v>Gary</v>
      </c>
      <c r="C1103" t="str">
        <f>IFERROR(__xludf.DUMMYFUNCTION("""COMPUTED_VALUE"""),"Ohio")</f>
        <v>Ohio</v>
      </c>
      <c r="D1103">
        <f>IFERROR(__xludf.DUMMYFUNCTION("""COMPUTED_VALUE"""),4.0)</f>
        <v>4</v>
      </c>
      <c r="E1103">
        <f>IFERROR(__xludf.DUMMYFUNCTION("""COMPUTED_VALUE"""),4.0)</f>
        <v>4</v>
      </c>
      <c r="F1103" t="str">
        <f>IFERROR(__xludf.DUMMYFUNCTION("""COMPUTED_VALUE"""),"espn+ Video")</f>
        <v>espn+ Video</v>
      </c>
      <c r="G1103" t="str">
        <f>IFERROR(__xludf.DUMMYFUNCTION("""COMPUTED_VALUE"""),"Ohio 34 at Ball State 21")</f>
        <v>Ohio 34 at Ball State 21</v>
      </c>
      <c r="H1103" t="str">
        <f>IFERROR(__xludf.DUMMYFUNCTION("""COMPUTED_VALUE"""),"FINAL")</f>
        <v>FINAL</v>
      </c>
      <c r="I1103">
        <f>IFERROR(__xludf.DUMMYFUNCTION("""COMPUTED_VALUE"""),3.0)</f>
        <v>3</v>
      </c>
      <c r="J1103" t="str">
        <f>IFERROR(__xludf.DUMMYFUNCTION("""COMPUTED_VALUE"""),"63½")</f>
        <v>63½</v>
      </c>
      <c r="K1103" t="str">
        <f>IFERROR(__xludf.DUMMYFUNCTION("""COMPUTED_VALUE"""),"DavEmily")</f>
        <v>DavEmily</v>
      </c>
      <c r="L1103" t="str">
        <f>IFERROR(__xludf.DUMMYFUNCTION("""COMPUTED_VALUE"""),"FINAL")</f>
        <v>FINAL</v>
      </c>
      <c r="M1103" s="124">
        <v>9.0</v>
      </c>
    </row>
    <row r="1104">
      <c r="A1104" s="151">
        <f>IFERROR(__xludf.DUMMYFUNCTION("""COMPUTED_VALUE"""),43765.147748449075)</f>
        <v>43765.14775</v>
      </c>
      <c r="B1104" t="str">
        <f>IFERROR(__xludf.DUMMYFUNCTION("""COMPUTED_VALUE"""),"Gary")</f>
        <v>Gary</v>
      </c>
      <c r="C1104" t="str">
        <f>IFERROR(__xludf.DUMMYFUNCTION("""COMPUTED_VALUE"""),"Marshall")</f>
        <v>Marshall</v>
      </c>
      <c r="D1104">
        <f>IFERROR(__xludf.DUMMYFUNCTION("""COMPUTED_VALUE"""),5.0)</f>
        <v>5</v>
      </c>
      <c r="E1104">
        <f>IFERROR(__xludf.DUMMYFUNCTION("""COMPUTED_VALUE"""),3.0)</f>
        <v>3</v>
      </c>
      <c r="F1104" t="str">
        <f>IFERROR(__xludf.DUMMYFUNCTION("""COMPUTED_VALUE"""),"Facebook Video")</f>
        <v>Facebook Video</v>
      </c>
      <c r="G1104" t="str">
        <f>IFERROR(__xludf.DUMMYFUNCTION("""COMPUTED_VALUE"""),"Western Kentucky 23 at Marshall 26")</f>
        <v>Western Kentucky 23 at Marshall 26</v>
      </c>
      <c r="H1104" t="str">
        <f>IFERROR(__xludf.DUMMYFUNCTION("""COMPUTED_VALUE"""),"FINAL")</f>
        <v>FINAL</v>
      </c>
      <c r="I1104">
        <f>IFERROR(__xludf.DUMMYFUNCTION("""COMPUTED_VALUE"""),-6.0)</f>
        <v>-6</v>
      </c>
      <c r="J1104">
        <f>IFERROR(__xludf.DUMMYFUNCTION("""COMPUTED_VALUE"""),45.0)</f>
        <v>45</v>
      </c>
      <c r="K1104" t="str">
        <f>IFERROR(__xludf.DUMMYFUNCTION("""COMPUTED_VALUE"""),"Justin")</f>
        <v>Justin</v>
      </c>
      <c r="L1104" t="str">
        <f>IFERROR(__xludf.DUMMYFUNCTION("""COMPUTED_VALUE"""),"FINAL")</f>
        <v>FINAL</v>
      </c>
      <c r="M1104" s="124">
        <v>9.0</v>
      </c>
    </row>
    <row r="1105">
      <c r="A1105" s="151">
        <f>IFERROR(__xludf.DUMMYFUNCTION("""COMPUTED_VALUE"""),43765.147748449075)</f>
        <v>43765.14775</v>
      </c>
      <c r="B1105" t="str">
        <f>IFERROR(__xludf.DUMMYFUNCTION("""COMPUTED_VALUE"""),"Gary")</f>
        <v>Gary</v>
      </c>
      <c r="C1105" t="str">
        <f>IFERROR(__xludf.DUMMYFUNCTION("""COMPUTED_VALUE"""),"Maryland")</f>
        <v>Maryland</v>
      </c>
      <c r="D1105">
        <f>IFERROR(__xludf.DUMMYFUNCTION("""COMPUTED_VALUE"""),3.0)</f>
        <v>3</v>
      </c>
      <c r="E1105">
        <f>IFERROR(__xludf.DUMMYFUNCTION("""COMPUTED_VALUE"""),5.0)</f>
        <v>5</v>
      </c>
      <c r="F1105" t="str">
        <f>IFERROR(__xludf.DUMMYFUNCTION("""COMPUTED_VALUE"""),"ESPN")</f>
        <v>ESPN</v>
      </c>
      <c r="G1105" t="str">
        <f>IFERROR(__xludf.DUMMYFUNCTION("""COMPUTED_VALUE"""),"Maryland 10 at (16) Minnesota 52")</f>
        <v>Maryland 10 at (16) Minnesota 52</v>
      </c>
      <c r="H1105" t="str">
        <f>IFERROR(__xludf.DUMMYFUNCTION("""COMPUTED_VALUE"""),"FINAL")</f>
        <v>FINAL</v>
      </c>
      <c r="I1105">
        <f>IFERROR(__xludf.DUMMYFUNCTION("""COMPUTED_VALUE"""),17.0)</f>
        <v>17</v>
      </c>
      <c r="J1105">
        <f>IFERROR(__xludf.DUMMYFUNCTION("""COMPUTED_VALUE"""),56.0)</f>
        <v>56</v>
      </c>
      <c r="K1105" t="str">
        <f>IFERROR(__xludf.DUMMYFUNCTION("""COMPUTED_VALUE"""),"Josh R.")</f>
        <v>Josh R.</v>
      </c>
      <c r="L1105" t="str">
        <f>IFERROR(__xludf.DUMMYFUNCTION("""COMPUTED_VALUE"""),"FINAL")</f>
        <v>FINAL</v>
      </c>
      <c r="M1105" s="124">
        <v>9.0</v>
      </c>
    </row>
    <row r="1106">
      <c r="A1106" s="151">
        <f>IFERROR(__xludf.DUMMYFUNCTION("""COMPUTED_VALUE"""),43765.147748449075)</f>
        <v>43765.14775</v>
      </c>
      <c r="B1106" t="str">
        <f>IFERROR(__xludf.DUMMYFUNCTION("""COMPUTED_VALUE"""),"Gary")</f>
        <v>Gary</v>
      </c>
      <c r="C1106" t="str">
        <f>IFERROR(__xludf.DUMMYFUNCTION("""COMPUTED_VALUE"""),"Tulane")</f>
        <v>Tulane</v>
      </c>
      <c r="D1106">
        <f>IFERROR(__xludf.DUMMYFUNCTION("""COMPUTED_VALUE"""),5.0)</f>
        <v>5</v>
      </c>
      <c r="E1106">
        <f>IFERROR(__xludf.DUMMYFUNCTION("""COMPUTED_VALUE"""),3.0)</f>
        <v>3</v>
      </c>
      <c r="F1106" t="str">
        <f>IFERROR(__xludf.DUMMYFUNCTION("""COMPUTED_VALUE"""),"CBSSN")</f>
        <v>CBSSN</v>
      </c>
      <c r="G1106" t="str">
        <f>IFERROR(__xludf.DUMMYFUNCTION("""COMPUTED_VALUE"""),"Tulane 38 at Navy 41")</f>
        <v>Tulane 38 at Navy 41</v>
      </c>
      <c r="H1106" t="str">
        <f>IFERROR(__xludf.DUMMYFUNCTION("""COMPUTED_VALUE"""),"FINAL")</f>
        <v>FINAL</v>
      </c>
      <c r="I1106" t="str">
        <f>IFERROR(__xludf.DUMMYFUNCTION("""COMPUTED_VALUE"""),"3½")</f>
        <v>3½</v>
      </c>
      <c r="J1106">
        <f>IFERROR(__xludf.DUMMYFUNCTION("""COMPUTED_VALUE"""),52.0)</f>
        <v>52</v>
      </c>
      <c r="K1106" t="str">
        <f>IFERROR(__xludf.DUMMYFUNCTION("""COMPUTED_VALUE"""),"Janice/Mike")</f>
        <v>Janice/Mike</v>
      </c>
      <c r="L1106" t="str">
        <f>IFERROR(__xludf.DUMMYFUNCTION("""COMPUTED_VALUE"""),"FINAL")</f>
        <v>FINAL</v>
      </c>
      <c r="M1106" s="124">
        <v>9.0</v>
      </c>
    </row>
    <row r="1107">
      <c r="A1107" s="151">
        <f>IFERROR(__xludf.DUMMYFUNCTION("""COMPUTED_VALUE"""),43765.147748449075)</f>
        <v>43765.14775</v>
      </c>
      <c r="B1107" t="str">
        <f>IFERROR(__xludf.DUMMYFUNCTION("""COMPUTED_VALUE"""),"Gary")</f>
        <v>Gary</v>
      </c>
      <c r="C1107" t="str">
        <f>IFERROR(__xludf.DUMMYFUNCTION("""COMPUTED_VALUE"""),"UCLA")</f>
        <v>UCLA</v>
      </c>
      <c r="D1107">
        <f>IFERROR(__xludf.DUMMYFUNCTION("""COMPUTED_VALUE"""),3.0)</f>
        <v>3</v>
      </c>
      <c r="E1107">
        <f>IFERROR(__xludf.DUMMYFUNCTION("""COMPUTED_VALUE"""),5.0)</f>
        <v>5</v>
      </c>
      <c r="F1107" t="str">
        <f>IFERROR(__xludf.DUMMYFUNCTION("""COMPUTED_VALUE"""),"Pac-12")</f>
        <v>Pac-12</v>
      </c>
      <c r="G1107" t="str">
        <f>IFERROR(__xludf.DUMMYFUNCTION("""COMPUTED_VALUE"""),"(24) Arizona State 32 at UCLA 42")</f>
        <v>(24) Arizona State 32 at UCLA 42</v>
      </c>
      <c r="H1107" t="str">
        <f>IFERROR(__xludf.DUMMYFUNCTION("""COMPUTED_VALUE"""),"FINAL")</f>
        <v>FINAL</v>
      </c>
      <c r="I1107">
        <f>IFERROR(__xludf.DUMMYFUNCTION("""COMPUTED_VALUE"""),4.0)</f>
        <v>4</v>
      </c>
      <c r="J1107" t="str">
        <f>IFERROR(__xludf.DUMMYFUNCTION("""COMPUTED_VALUE"""),"55½")</f>
        <v>55½</v>
      </c>
      <c r="K1107" t="str">
        <f>IFERROR(__xludf.DUMMYFUNCTION("""COMPUTED_VALUE"""),"Nico")</f>
        <v>Nico</v>
      </c>
      <c r="L1107" t="str">
        <f>IFERROR(__xludf.DUMMYFUNCTION("""COMPUTED_VALUE"""),"FINAL")</f>
        <v>FINAL</v>
      </c>
      <c r="M1107" s="124">
        <v>9.0</v>
      </c>
    </row>
    <row r="1108">
      <c r="A1108" s="151">
        <f>IFERROR(__xludf.DUMMYFUNCTION("""COMPUTED_VALUE"""),43765.147748449075)</f>
        <v>43765.14775</v>
      </c>
      <c r="B1108" t="str">
        <f>IFERROR(__xludf.DUMMYFUNCTION("""COMPUTED_VALUE"""),"Gary")</f>
        <v>Gary</v>
      </c>
      <c r="C1108" t="str">
        <f>IFERROR(__xludf.DUMMYFUNCTION("""COMPUTED_VALUE"""),"Missouri")</f>
        <v>Missouri</v>
      </c>
      <c r="D1108">
        <f>IFERROR(__xludf.DUMMYFUNCTION("""COMPUTED_VALUE"""),5.0)</f>
        <v>5</v>
      </c>
      <c r="E1108">
        <f>IFERROR(__xludf.DUMMYFUNCTION("""COMPUTED_VALUE"""),3.0)</f>
        <v>3</v>
      </c>
      <c r="F1108" t="str">
        <f>IFERROR(__xludf.DUMMYFUNCTION("""COMPUTED_VALUE"""),"SEC Network")</f>
        <v>SEC Network</v>
      </c>
      <c r="G1108" t="str">
        <f>IFERROR(__xludf.DUMMYFUNCTION("""COMPUTED_VALUE"""),"Missouri 7 at Kentucky 29")</f>
        <v>Missouri 7 at Kentucky 29</v>
      </c>
      <c r="H1108" t="str">
        <f>IFERROR(__xludf.DUMMYFUNCTION("""COMPUTED_VALUE"""),"FINAL")</f>
        <v>FINAL</v>
      </c>
      <c r="I1108">
        <f>IFERROR(__xludf.DUMMYFUNCTION("""COMPUTED_VALUE"""),-10.0)</f>
        <v>-10</v>
      </c>
      <c r="J1108">
        <f>IFERROR(__xludf.DUMMYFUNCTION("""COMPUTED_VALUE"""),48.0)</f>
        <v>48</v>
      </c>
      <c r="K1108" t="str">
        <f>IFERROR(__xludf.DUMMYFUNCTION("""COMPUTED_VALUE"""),"Josh R.")</f>
        <v>Josh R.</v>
      </c>
      <c r="L1108" t="str">
        <f>IFERROR(__xludf.DUMMYFUNCTION("""COMPUTED_VALUE"""),"FINAL")</f>
        <v>FINAL</v>
      </c>
      <c r="M1108" s="124">
        <v>9.0</v>
      </c>
    </row>
    <row r="1109">
      <c r="A1109" s="151">
        <f>IFERROR(__xludf.DUMMYFUNCTION("""COMPUTED_VALUE"""),43765.147748449075)</f>
        <v>43765.14775</v>
      </c>
      <c r="B1109" t="str">
        <f>IFERROR(__xludf.DUMMYFUNCTION("""COMPUTED_VALUE"""),"Gary")</f>
        <v>Gary</v>
      </c>
      <c r="C1109" t="str">
        <f>IFERROR(__xludf.DUMMYFUNCTION("""COMPUTED_VALUE"""),"Utah State")</f>
        <v>Utah State</v>
      </c>
      <c r="D1109">
        <f>IFERROR(__xludf.DUMMYFUNCTION("""COMPUTED_VALUE"""),4.0)</f>
        <v>4</v>
      </c>
      <c r="E1109">
        <f>IFERROR(__xludf.DUMMYFUNCTION("""COMPUTED_VALUE"""),3.0)</f>
        <v>3</v>
      </c>
      <c r="F1109" t="str">
        <f>IFERROR(__xludf.DUMMYFUNCTION("""COMPUTED_VALUE"""),"ESPN2")</f>
        <v>ESPN2</v>
      </c>
      <c r="G1109" t="str">
        <f>IFERROR(__xludf.DUMMYFUNCTION("""COMPUTED_VALUE"""),"Utah State 7 at Air Force 31")</f>
        <v>Utah State 7 at Air Force 31</v>
      </c>
      <c r="H1109" t="str">
        <f>IFERROR(__xludf.DUMMYFUNCTION("""COMPUTED_VALUE"""),"FINAL")</f>
        <v>FINAL</v>
      </c>
      <c r="I1109" t="str">
        <f>IFERROR(__xludf.DUMMYFUNCTION("""COMPUTED_VALUE"""),"3½")</f>
        <v>3½</v>
      </c>
      <c r="J1109">
        <f>IFERROR(__xludf.DUMMYFUNCTION("""COMPUTED_VALUE"""),59.0)</f>
        <v>59</v>
      </c>
      <c r="K1109" t="str">
        <f>IFERROR(__xludf.DUMMYFUNCTION("""COMPUTED_VALUE"""),"Adam")</f>
        <v>Adam</v>
      </c>
      <c r="L1109" t="str">
        <f>IFERROR(__xludf.DUMMYFUNCTION("""COMPUTED_VALUE"""),"FINAL")</f>
        <v>FINAL</v>
      </c>
      <c r="M1109" s="124">
        <v>9.0</v>
      </c>
    </row>
    <row r="1110">
      <c r="A1110" s="151">
        <f>IFERROR(__xludf.DUMMYFUNCTION("""COMPUTED_VALUE"""),43765.147748449075)</f>
        <v>43765.14775</v>
      </c>
      <c r="B1110" t="str">
        <f>IFERROR(__xludf.DUMMYFUNCTION("""COMPUTED_VALUE"""),"Gary")</f>
        <v>Gary</v>
      </c>
      <c r="C1110" t="str">
        <f>IFERROR(__xludf.DUMMYFUNCTION("""COMPUTED_VALUE"""),"UL Lafayette")</f>
        <v>UL Lafayette</v>
      </c>
      <c r="D1110">
        <f>IFERROR(__xludf.DUMMYFUNCTION("""COMPUTED_VALUE"""),3.0)</f>
        <v>3</v>
      </c>
      <c r="E1110">
        <f>IFERROR(__xludf.DUMMYFUNCTION("""COMPUTED_VALUE"""),1.0)</f>
        <v>1</v>
      </c>
      <c r="F1110" t="str">
        <f>IFERROR(__xludf.DUMMYFUNCTION("""COMPUTED_VALUE"""),"NA")</f>
        <v>NA</v>
      </c>
      <c r="G1110" t="str">
        <f>IFERROR(__xludf.DUMMYFUNCTION("""COMPUTED_VALUE"""),"BYE")</f>
        <v>BYE</v>
      </c>
      <c r="I1110" t="str">
        <f>IFERROR(__xludf.DUMMYFUNCTION("""COMPUTED_VALUE"""),"bye")</f>
        <v>bye</v>
      </c>
      <c r="J1110" t="str">
        <f>IFERROR(__xludf.DUMMYFUNCTION("""COMPUTED_VALUE"""),"bye")</f>
        <v>bye</v>
      </c>
      <c r="L1110">
        <f>IFERROR(__xludf.DUMMYFUNCTION("""COMPUTED_VALUE"""),9999.0)</f>
        <v>9999</v>
      </c>
      <c r="M1110" s="124">
        <v>9.0</v>
      </c>
    </row>
    <row r="1111">
      <c r="A1111" s="151">
        <f>IFERROR(__xludf.DUMMYFUNCTION("""COMPUTED_VALUE"""),43765.147748449075)</f>
        <v>43765.14775</v>
      </c>
      <c r="B1111" t="str">
        <f>IFERROR(__xludf.DUMMYFUNCTION("""COMPUTED_VALUE"""),"Gary")</f>
        <v>Gary</v>
      </c>
      <c r="C1111" t="str">
        <f>IFERROR(__xludf.DUMMYFUNCTION("""COMPUTED_VALUE"""),"BYU")</f>
        <v>BYU</v>
      </c>
      <c r="D1111">
        <f>IFERROR(__xludf.DUMMYFUNCTION("""COMPUTED_VALUE"""),3.0)</f>
        <v>3</v>
      </c>
      <c r="E1111">
        <f>IFERROR(__xludf.DUMMYFUNCTION("""COMPUTED_VALUE"""),4.0)</f>
        <v>4</v>
      </c>
      <c r="F1111" t="str">
        <f>IFERROR(__xludf.DUMMYFUNCTION("""COMPUTED_VALUE"""),"NA")</f>
        <v>NA</v>
      </c>
      <c r="G1111" t="str">
        <f>IFERROR(__xludf.DUMMYFUNCTION("""COMPUTED_VALUE"""),"BYE")</f>
        <v>BYE</v>
      </c>
      <c r="I1111" t="str">
        <f>IFERROR(__xludf.DUMMYFUNCTION("""COMPUTED_VALUE"""),"bye")</f>
        <v>bye</v>
      </c>
      <c r="J1111" t="str">
        <f>IFERROR(__xludf.DUMMYFUNCTION("""COMPUTED_VALUE"""),"bye")</f>
        <v>bye</v>
      </c>
      <c r="L1111">
        <f>IFERROR(__xludf.DUMMYFUNCTION("""COMPUTED_VALUE"""),9999.0)</f>
        <v>9999</v>
      </c>
      <c r="M1111" s="124">
        <v>9.0</v>
      </c>
    </row>
    <row r="1112">
      <c r="A1112" s="151">
        <f>IFERROR(__xludf.DUMMYFUNCTION("""COMPUTED_VALUE"""),43765.147748449075)</f>
        <v>43765.14775</v>
      </c>
      <c r="B1112" t="str">
        <f>IFERROR(__xludf.DUMMYFUNCTION("""COMPUTED_VALUE"""),"Janice/Mike")</f>
        <v>Janice/Mike</v>
      </c>
      <c r="C1112" t="str">
        <f>IFERROR(__xludf.DUMMYFUNCTION("""COMPUTED_VALUE"""),"Wisconsin")</f>
        <v>Wisconsin</v>
      </c>
      <c r="D1112">
        <f>IFERROR(__xludf.DUMMYFUNCTION("""COMPUTED_VALUE"""),6.0)</f>
        <v>6</v>
      </c>
      <c r="E1112">
        <f>IFERROR(__xludf.DUMMYFUNCTION("""COMPUTED_VALUE"""),2.0)</f>
        <v>2</v>
      </c>
      <c r="F1112" t="str">
        <f>IFERROR(__xludf.DUMMYFUNCTION("""COMPUTED_VALUE"""),"FOX")</f>
        <v>FOX</v>
      </c>
      <c r="G1112" t="str">
        <f>IFERROR(__xludf.DUMMYFUNCTION("""COMPUTED_VALUE"""),"(13) Wisconsin 7 at (4) Ohio State 38")</f>
        <v>(13) Wisconsin 7 at (4) Ohio State 38</v>
      </c>
      <c r="H1112" t="str">
        <f>IFERROR(__xludf.DUMMYFUNCTION("""COMPUTED_VALUE"""),"FINAL")</f>
        <v>FINAL</v>
      </c>
      <c r="I1112" t="str">
        <f>IFERROR(__xludf.DUMMYFUNCTION("""COMPUTED_VALUE"""),"14½")</f>
        <v>14½</v>
      </c>
      <c r="J1112">
        <f>IFERROR(__xludf.DUMMYFUNCTION("""COMPUTED_VALUE"""),51.0)</f>
        <v>51</v>
      </c>
      <c r="K1112" t="str">
        <f>IFERROR(__xludf.DUMMYFUNCTION("""COMPUTED_VALUE"""),"Nick G.")</f>
        <v>Nick G.</v>
      </c>
      <c r="L1112" t="str">
        <f>IFERROR(__xludf.DUMMYFUNCTION("""COMPUTED_VALUE"""),"FINAL")</f>
        <v>FINAL</v>
      </c>
      <c r="M1112" s="124">
        <v>9.0</v>
      </c>
    </row>
    <row r="1113">
      <c r="A1113" s="151">
        <f>IFERROR(__xludf.DUMMYFUNCTION("""COMPUTED_VALUE"""),43765.147748449075)</f>
        <v>43765.14775</v>
      </c>
      <c r="B1113" t="str">
        <f>IFERROR(__xludf.DUMMYFUNCTION("""COMPUTED_VALUE"""),"Janice/Mike")</f>
        <v>Janice/Mike</v>
      </c>
      <c r="C1113" t="str">
        <f>IFERROR(__xludf.DUMMYFUNCTION("""COMPUTED_VALUE"""),"Georgia Southern")</f>
        <v>Georgia Southern</v>
      </c>
      <c r="D1113">
        <f>IFERROR(__xludf.DUMMYFUNCTION("""COMPUTED_VALUE"""),4.0)</f>
        <v>4</v>
      </c>
      <c r="E1113">
        <f>IFERROR(__xludf.DUMMYFUNCTION("""COMPUTED_VALUE"""),3.0)</f>
        <v>3</v>
      </c>
      <c r="F1113" t="str">
        <f>IFERROR(__xludf.DUMMYFUNCTION("""COMPUTED_VALUE"""),"espn3 Video")</f>
        <v>espn3 Video</v>
      </c>
      <c r="G1113" t="str">
        <f>IFERROR(__xludf.DUMMYFUNCTION("""COMPUTED_VALUE"""),"New Mexico State 7 at Georgia Southern 41")</f>
        <v>New Mexico State 7 at Georgia Southern 41</v>
      </c>
      <c r="H1113" t="str">
        <f>IFERROR(__xludf.DUMMYFUNCTION("""COMPUTED_VALUE"""),"FINAL")</f>
        <v>FINAL</v>
      </c>
      <c r="I1113" t="str">
        <f>IFERROR(__xludf.DUMMYFUNCTION("""COMPUTED_VALUE"""),"-14½")</f>
        <v>-14½</v>
      </c>
      <c r="J1113">
        <f>IFERROR(__xludf.DUMMYFUNCTION("""COMPUTED_VALUE"""),54.0)</f>
        <v>54</v>
      </c>
      <c r="K1113" t="str">
        <f>IFERROR(__xludf.DUMMYFUNCTION("""COMPUTED_VALUE"""),"Nick A.")</f>
        <v>Nick A.</v>
      </c>
      <c r="L1113" t="str">
        <f>IFERROR(__xludf.DUMMYFUNCTION("""COMPUTED_VALUE"""),"FINAL")</f>
        <v>FINAL</v>
      </c>
      <c r="M1113" s="124">
        <v>9.0</v>
      </c>
    </row>
    <row r="1114">
      <c r="A1114" s="151">
        <f>IFERROR(__xludf.DUMMYFUNCTION("""COMPUTED_VALUE"""),43765.147748449075)</f>
        <v>43765.14775</v>
      </c>
      <c r="B1114" t="str">
        <f>IFERROR(__xludf.DUMMYFUNCTION("""COMPUTED_VALUE"""),"Janice/Mike")</f>
        <v>Janice/Mike</v>
      </c>
      <c r="C1114" t="str">
        <f>IFERROR(__xludf.DUMMYFUNCTION("""COMPUTED_VALUE"""),"Charlotte")</f>
        <v>Charlotte</v>
      </c>
      <c r="D1114">
        <f>IFERROR(__xludf.DUMMYFUNCTION("""COMPUTED_VALUE"""),3.0)</f>
        <v>3</v>
      </c>
      <c r="E1114">
        <f>IFERROR(__xludf.DUMMYFUNCTION("""COMPUTED_VALUE"""),5.0)</f>
        <v>5</v>
      </c>
      <c r="F1114" t="str">
        <f>IFERROR(__xludf.DUMMYFUNCTION("""COMPUTED_VALUE"""),"espn+ Video")</f>
        <v>espn+ Video</v>
      </c>
      <c r="G1114" t="str">
        <f>IFERROR(__xludf.DUMMYFUNCTION("""COMPUTED_VALUE"""),"North Texas 38 at Charlotte 39")</f>
        <v>North Texas 38 at Charlotte 39</v>
      </c>
      <c r="H1114" t="str">
        <f>IFERROR(__xludf.DUMMYFUNCTION("""COMPUTED_VALUE"""),"FINAL")</f>
        <v>FINAL</v>
      </c>
      <c r="I1114" t="str">
        <f>IFERROR(__xludf.DUMMYFUNCTION("""COMPUTED_VALUE"""),"4½")</f>
        <v>4½</v>
      </c>
      <c r="J1114">
        <f>IFERROR(__xludf.DUMMYFUNCTION("""COMPUTED_VALUE"""),65.0)</f>
        <v>65</v>
      </c>
      <c r="K1114" t="str">
        <f>IFERROR(__xludf.DUMMYFUNCTION("""COMPUTED_VALUE"""),"Vu")</f>
        <v>Vu</v>
      </c>
      <c r="L1114" t="str">
        <f>IFERROR(__xludf.DUMMYFUNCTION("""COMPUTED_VALUE"""),"FINAL")</f>
        <v>FINAL</v>
      </c>
      <c r="M1114" s="124">
        <v>9.0</v>
      </c>
    </row>
    <row r="1115">
      <c r="A1115" s="151">
        <f>IFERROR(__xludf.DUMMYFUNCTION("""COMPUTED_VALUE"""),43765.147748449075)</f>
        <v>43765.14775</v>
      </c>
      <c r="B1115" t="str">
        <f>IFERROR(__xludf.DUMMYFUNCTION("""COMPUTED_VALUE"""),"Janice/Mike")</f>
        <v>Janice/Mike</v>
      </c>
      <c r="C1115" t="str">
        <f>IFERROR(__xludf.DUMMYFUNCTION("""COMPUTED_VALUE"""),"Arizona")</f>
        <v>Arizona</v>
      </c>
      <c r="D1115">
        <f>IFERROR(__xludf.DUMMYFUNCTION("""COMPUTED_VALUE"""),4.0)</f>
        <v>4</v>
      </c>
      <c r="E1115">
        <f>IFERROR(__xludf.DUMMYFUNCTION("""COMPUTED_VALUE"""),4.0)</f>
        <v>4</v>
      </c>
      <c r="F1115" t="str">
        <f>IFERROR(__xludf.DUMMYFUNCTION("""COMPUTED_VALUE"""),"Pac-12")</f>
        <v>Pac-12</v>
      </c>
      <c r="G1115" t="str">
        <f>IFERROR(__xludf.DUMMYFUNCTION("""COMPUTED_VALUE"""),"Arizona 31 at Stanford 41")</f>
        <v>Arizona 31 at Stanford 41</v>
      </c>
      <c r="H1115" t="str">
        <f>IFERROR(__xludf.DUMMYFUNCTION("""COMPUTED_VALUE"""),"FINAL")</f>
        <v>FINAL</v>
      </c>
      <c r="I1115">
        <f>IFERROR(__xludf.DUMMYFUNCTION("""COMPUTED_VALUE"""),-1.0)</f>
        <v>-1</v>
      </c>
      <c r="J1115" t="str">
        <f>IFERROR(__xludf.DUMMYFUNCTION("""COMPUTED_VALUE"""),"53½")</f>
        <v>53½</v>
      </c>
      <c r="K1115" t="str">
        <f>IFERROR(__xludf.DUMMYFUNCTION("""COMPUTED_VALUE"""),"Nick G.")</f>
        <v>Nick G.</v>
      </c>
      <c r="L1115" t="str">
        <f>IFERROR(__xludf.DUMMYFUNCTION("""COMPUTED_VALUE"""),"FINAL")</f>
        <v>FINAL</v>
      </c>
      <c r="M1115" s="124">
        <v>9.0</v>
      </c>
    </row>
    <row r="1116">
      <c r="A1116" s="151">
        <f>IFERROR(__xludf.DUMMYFUNCTION("""COMPUTED_VALUE"""),43765.147748449075)</f>
        <v>43765.14775</v>
      </c>
      <c r="B1116" t="str">
        <f>IFERROR(__xludf.DUMMYFUNCTION("""COMPUTED_VALUE"""),"Janice/Mike")</f>
        <v>Janice/Mike</v>
      </c>
      <c r="C1116" t="str">
        <f>IFERROR(__xludf.DUMMYFUNCTION("""COMPUTED_VALUE"""),"Navy")</f>
        <v>Navy</v>
      </c>
      <c r="D1116">
        <f>IFERROR(__xludf.DUMMYFUNCTION("""COMPUTED_VALUE"""),6.0)</f>
        <v>6</v>
      </c>
      <c r="E1116">
        <f>IFERROR(__xludf.DUMMYFUNCTION("""COMPUTED_VALUE"""),1.0)</f>
        <v>1</v>
      </c>
      <c r="F1116" t="str">
        <f>IFERROR(__xludf.DUMMYFUNCTION("""COMPUTED_VALUE"""),"CBSSN")</f>
        <v>CBSSN</v>
      </c>
      <c r="G1116" t="str">
        <f>IFERROR(__xludf.DUMMYFUNCTION("""COMPUTED_VALUE"""),"Tulane 38 at Navy 41")</f>
        <v>Tulane 38 at Navy 41</v>
      </c>
      <c r="H1116" t="str">
        <f>IFERROR(__xludf.DUMMYFUNCTION("""COMPUTED_VALUE"""),"FINAL")</f>
        <v>FINAL</v>
      </c>
      <c r="I1116" t="str">
        <f>IFERROR(__xludf.DUMMYFUNCTION("""COMPUTED_VALUE"""),"-3½")</f>
        <v>-3½</v>
      </c>
      <c r="J1116">
        <f>IFERROR(__xludf.DUMMYFUNCTION("""COMPUTED_VALUE"""),52.0)</f>
        <v>52</v>
      </c>
      <c r="K1116" t="str">
        <f>IFERROR(__xludf.DUMMYFUNCTION("""COMPUTED_VALUE"""),"Gary")</f>
        <v>Gary</v>
      </c>
      <c r="L1116" t="str">
        <f>IFERROR(__xludf.DUMMYFUNCTION("""COMPUTED_VALUE"""),"FINAL")</f>
        <v>FINAL</v>
      </c>
      <c r="M1116" s="124">
        <v>9.0</v>
      </c>
    </row>
    <row r="1117">
      <c r="A1117" s="151">
        <f>IFERROR(__xludf.DUMMYFUNCTION("""COMPUTED_VALUE"""),43765.147748449075)</f>
        <v>43765.14775</v>
      </c>
      <c r="B1117" t="str">
        <f>IFERROR(__xludf.DUMMYFUNCTION("""COMPUTED_VALUE"""),"Janice/Mike")</f>
        <v>Janice/Mike</v>
      </c>
      <c r="C1117" t="str">
        <f>IFERROR(__xludf.DUMMYFUNCTION("""COMPUTED_VALUE"""),"Northern Illinois")</f>
        <v>Northern Illinois</v>
      </c>
      <c r="D1117">
        <f>IFERROR(__xludf.DUMMYFUNCTION("""COMPUTED_VALUE"""),3.0)</f>
        <v>3</v>
      </c>
      <c r="E1117">
        <f>IFERROR(__xludf.DUMMYFUNCTION("""COMPUTED_VALUE"""),5.0)</f>
        <v>5</v>
      </c>
      <c r="F1117" t="str">
        <f>IFERROR(__xludf.DUMMYFUNCTION("""COMPUTED_VALUE"""),"espn3 Video")</f>
        <v>espn3 Video</v>
      </c>
      <c r="G1117" t="str">
        <f>IFERROR(__xludf.DUMMYFUNCTION("""COMPUTED_VALUE"""),"Akron 0 at Northern Illinois 49")</f>
        <v>Akron 0 at Northern Illinois 49</v>
      </c>
      <c r="H1117" t="str">
        <f>IFERROR(__xludf.DUMMYFUNCTION("""COMPUTED_VALUE"""),"FINAL")</f>
        <v>FINAL</v>
      </c>
      <c r="I1117">
        <f>IFERROR(__xludf.DUMMYFUNCTION("""COMPUTED_VALUE"""),-24.0)</f>
        <v>-24</v>
      </c>
      <c r="J1117" t="str">
        <f>IFERROR(__xludf.DUMMYFUNCTION("""COMPUTED_VALUE"""),"44½")</f>
        <v>44½</v>
      </c>
      <c r="K1117" t="str">
        <f>IFERROR(__xludf.DUMMYFUNCTION("""COMPUTED_VALUE"""),"Adam")</f>
        <v>Adam</v>
      </c>
      <c r="L1117" t="str">
        <f>IFERROR(__xludf.DUMMYFUNCTION("""COMPUTED_VALUE"""),"FINAL")</f>
        <v>FINAL</v>
      </c>
      <c r="M1117" s="124">
        <v>9.0</v>
      </c>
    </row>
    <row r="1118">
      <c r="A1118" s="151">
        <f>IFERROR(__xludf.DUMMYFUNCTION("""COMPUTED_VALUE"""),43765.147748449075)</f>
        <v>43765.14775</v>
      </c>
      <c r="B1118" t="str">
        <f>IFERROR(__xludf.DUMMYFUNCTION("""COMPUTED_VALUE"""),"Janice/Mike")</f>
        <v>Janice/Mike</v>
      </c>
      <c r="C1118" t="str">
        <f>IFERROR(__xludf.DUMMYFUNCTION("""COMPUTED_VALUE"""),"Arkansas")</f>
        <v>Arkansas</v>
      </c>
      <c r="D1118">
        <f>IFERROR(__xludf.DUMMYFUNCTION("""COMPUTED_VALUE"""),2.0)</f>
        <v>2</v>
      </c>
      <c r="E1118">
        <f>IFERROR(__xludf.DUMMYFUNCTION("""COMPUTED_VALUE"""),6.0)</f>
        <v>6</v>
      </c>
      <c r="F1118" t="str">
        <f>IFERROR(__xludf.DUMMYFUNCTION("""COMPUTED_VALUE"""),"ESPN")</f>
        <v>ESPN</v>
      </c>
      <c r="G1118" t="str">
        <f>IFERROR(__xludf.DUMMYFUNCTION("""COMPUTED_VALUE"""),"Arkansas 7 at (1) Alabama 48")</f>
        <v>Arkansas 7 at (1) Alabama 48</v>
      </c>
      <c r="H1118" t="str">
        <f>IFERROR(__xludf.DUMMYFUNCTION("""COMPUTED_VALUE"""),"FINAL")</f>
        <v>FINAL</v>
      </c>
      <c r="I1118">
        <f>IFERROR(__xludf.DUMMYFUNCTION("""COMPUTED_VALUE"""),32.0)</f>
        <v>32</v>
      </c>
      <c r="J1118" t="str">
        <f>IFERROR(__xludf.DUMMYFUNCTION("""COMPUTED_VALUE"""),"55½")</f>
        <v>55½</v>
      </c>
      <c r="K1118" t="str">
        <f>IFERROR(__xludf.DUMMYFUNCTION("""COMPUTED_VALUE"""),"DavEmily")</f>
        <v>DavEmily</v>
      </c>
      <c r="L1118" t="str">
        <f>IFERROR(__xludf.DUMMYFUNCTION("""COMPUTED_VALUE"""),"FINAL")</f>
        <v>FINAL</v>
      </c>
      <c r="M1118" s="124">
        <v>9.0</v>
      </c>
    </row>
    <row r="1119">
      <c r="A1119" s="151">
        <f>IFERROR(__xludf.DUMMYFUNCTION("""COMPUTED_VALUE"""),43765.147748449075)</f>
        <v>43765.14775</v>
      </c>
      <c r="B1119" t="str">
        <f>IFERROR(__xludf.DUMMYFUNCTION("""COMPUTED_VALUE"""),"Janice/Mike")</f>
        <v>Janice/Mike</v>
      </c>
      <c r="C1119" t="str">
        <f>IFERROR(__xludf.DUMMYFUNCTION("""COMPUTED_VALUE"""),"Texas Tech")</f>
        <v>Texas Tech</v>
      </c>
      <c r="D1119">
        <f>IFERROR(__xludf.DUMMYFUNCTION("""COMPUTED_VALUE"""),3.0)</f>
        <v>3</v>
      </c>
      <c r="E1119">
        <f>IFERROR(__xludf.DUMMYFUNCTION("""COMPUTED_VALUE"""),5.0)</f>
        <v>5</v>
      </c>
      <c r="F1119" t="str">
        <f>IFERROR(__xludf.DUMMYFUNCTION("""COMPUTED_VALUE"""),"FS1")</f>
        <v>FS1</v>
      </c>
      <c r="G1119" t="str">
        <f>IFERROR(__xludf.DUMMYFUNCTION("""COMPUTED_VALUE"""),"Texas Tech 34 at Kansas 37")</f>
        <v>Texas Tech 34 at Kansas 37</v>
      </c>
      <c r="H1119" t="str">
        <f>IFERROR(__xludf.DUMMYFUNCTION("""COMPUTED_VALUE"""),"FINAL")</f>
        <v>FINAL</v>
      </c>
      <c r="I1119">
        <f>IFERROR(__xludf.DUMMYFUNCTION("""COMPUTED_VALUE"""),-3.0)</f>
        <v>-3</v>
      </c>
      <c r="J1119" t="str">
        <f>IFERROR(__xludf.DUMMYFUNCTION("""COMPUTED_VALUE"""),"60½")</f>
        <v>60½</v>
      </c>
      <c r="K1119" t="str">
        <f>IFERROR(__xludf.DUMMYFUNCTION("""COMPUTED_VALUE"""),"Josh R.")</f>
        <v>Josh R.</v>
      </c>
      <c r="L1119" t="str">
        <f>IFERROR(__xludf.DUMMYFUNCTION("""COMPUTED_VALUE"""),"FINAL")</f>
        <v>FINAL</v>
      </c>
      <c r="M1119" s="124">
        <v>9.0</v>
      </c>
    </row>
    <row r="1120">
      <c r="A1120" s="151">
        <f>IFERROR(__xludf.DUMMYFUNCTION("""COMPUTED_VALUE"""),43765.147748449075)</f>
        <v>43765.14775</v>
      </c>
      <c r="B1120" t="str">
        <f>IFERROR(__xludf.DUMMYFUNCTION("""COMPUTED_VALUE"""),"Janice/Mike")</f>
        <v>Janice/Mike</v>
      </c>
      <c r="C1120" t="str">
        <f>IFERROR(__xludf.DUMMYFUNCTION("""COMPUTED_VALUE"""),"Boston College")</f>
        <v>Boston College</v>
      </c>
      <c r="D1120">
        <f>IFERROR(__xludf.DUMMYFUNCTION("""COMPUTED_VALUE"""),4.0)</f>
        <v>4</v>
      </c>
      <c r="E1120">
        <f>IFERROR(__xludf.DUMMYFUNCTION("""COMPUTED_VALUE"""),4.0)</f>
        <v>4</v>
      </c>
      <c r="F1120" t="str">
        <f>IFERROR(__xludf.DUMMYFUNCTION("""COMPUTED_VALUE"""),"ACC Network")</f>
        <v>ACC Network</v>
      </c>
      <c r="G1120" t="str">
        <f>IFERROR(__xludf.DUMMYFUNCTION("""COMPUTED_VALUE"""),"Boston College 7 at (2) Clemson 59")</f>
        <v>Boston College 7 at (2) Clemson 59</v>
      </c>
      <c r="H1120" t="str">
        <f>IFERROR(__xludf.DUMMYFUNCTION("""COMPUTED_VALUE"""),"FINAL")</f>
        <v>FINAL</v>
      </c>
      <c r="I1120">
        <f>IFERROR(__xludf.DUMMYFUNCTION("""COMPUTED_VALUE"""),33.0)</f>
        <v>33</v>
      </c>
      <c r="J1120" t="str">
        <f>IFERROR(__xludf.DUMMYFUNCTION("""COMPUTED_VALUE"""),"58½")</f>
        <v>58½</v>
      </c>
      <c r="K1120" t="str">
        <f>IFERROR(__xludf.DUMMYFUNCTION("""COMPUTED_VALUE"""),"Nick A.")</f>
        <v>Nick A.</v>
      </c>
      <c r="L1120" t="str">
        <f>IFERROR(__xludf.DUMMYFUNCTION("""COMPUTED_VALUE"""),"FINAL")</f>
        <v>FINAL</v>
      </c>
      <c r="M1120" s="124">
        <v>9.0</v>
      </c>
    </row>
    <row r="1121">
      <c r="A1121" s="151">
        <f>IFERROR(__xludf.DUMMYFUNCTION("""COMPUTED_VALUE"""),43765.147748449075)</f>
        <v>43765.14775</v>
      </c>
      <c r="B1121" t="str">
        <f>IFERROR(__xludf.DUMMYFUNCTION("""COMPUTED_VALUE"""),"Janice/Mike")</f>
        <v>Janice/Mike</v>
      </c>
      <c r="C1121" t="str">
        <f>IFERROR(__xludf.DUMMYFUNCTION("""COMPUTED_VALUE"""),"Boise State")</f>
        <v>Boise State</v>
      </c>
      <c r="D1121">
        <f>IFERROR(__xludf.DUMMYFUNCTION("""COMPUTED_VALUE"""),6.0)</f>
        <v>6</v>
      </c>
      <c r="E1121">
        <f>IFERROR(__xludf.DUMMYFUNCTION("""COMPUTED_VALUE"""),1.0)</f>
        <v>1</v>
      </c>
      <c r="F1121" t="str">
        <f>IFERROR(__xludf.DUMMYFUNCTION("""COMPUTED_VALUE"""),"NA")</f>
        <v>NA</v>
      </c>
      <c r="G1121" t="str">
        <f>IFERROR(__xludf.DUMMYFUNCTION("""COMPUTED_VALUE"""),"BYE")</f>
        <v>BYE</v>
      </c>
      <c r="I1121" t="str">
        <f>IFERROR(__xludf.DUMMYFUNCTION("""COMPUTED_VALUE"""),"bye")</f>
        <v>bye</v>
      </c>
      <c r="J1121" t="str">
        <f>IFERROR(__xludf.DUMMYFUNCTION("""COMPUTED_VALUE"""),"bye")</f>
        <v>bye</v>
      </c>
      <c r="L1121">
        <f>IFERROR(__xludf.DUMMYFUNCTION("""COMPUTED_VALUE"""),9999.0)</f>
        <v>9999</v>
      </c>
      <c r="M1121" s="124">
        <v>9.0</v>
      </c>
    </row>
    <row r="1122">
      <c r="A1122" s="151">
        <f>IFERROR(__xludf.DUMMYFUNCTION("""COMPUTED_VALUE"""),43765.147748449075)</f>
        <v>43765.14775</v>
      </c>
      <c r="B1122" t="str">
        <f>IFERROR(__xludf.DUMMYFUNCTION("""COMPUTED_VALUE"""),"Nico")</f>
        <v>Nico</v>
      </c>
      <c r="C1122" t="str">
        <f>IFERROR(__xludf.DUMMYFUNCTION("""COMPUTED_VALUE"""),"Houston")</f>
        <v>Houston</v>
      </c>
      <c r="D1122">
        <f>IFERROR(__xludf.DUMMYFUNCTION("""COMPUTED_VALUE"""),3.0)</f>
        <v>3</v>
      </c>
      <c r="E1122">
        <f>IFERROR(__xludf.DUMMYFUNCTION("""COMPUTED_VALUE"""),5.0)</f>
        <v>5</v>
      </c>
      <c r="F1122" t="str">
        <f>IFERROR(__xludf.DUMMYFUNCTION("""COMPUTED_VALUE"""),"ESPN")</f>
        <v>ESPN</v>
      </c>
      <c r="G1122" t="str">
        <f>IFERROR(__xludf.DUMMYFUNCTION("""COMPUTED_VALUE"""),"(17) SMU 34 at Houston 31")</f>
        <v>(17) SMU 34 at Houston 31</v>
      </c>
      <c r="H1122" t="str">
        <f>IFERROR(__xludf.DUMMYFUNCTION("""COMPUTED_VALUE"""),"FINAL")</f>
        <v>FINAL</v>
      </c>
      <c r="I1122" t="str">
        <f>IFERROR(__xludf.DUMMYFUNCTION("""COMPUTED_VALUE"""),"13½")</f>
        <v>13½</v>
      </c>
      <c r="J1122" t="str">
        <f>IFERROR(__xludf.DUMMYFUNCTION("""COMPUTED_VALUE"""),"67½")</f>
        <v>67½</v>
      </c>
      <c r="K1122" t="str">
        <f>IFERROR(__xludf.DUMMYFUNCTION("""COMPUTED_VALUE"""),"Jeannine")</f>
        <v>Jeannine</v>
      </c>
      <c r="L1122" t="str">
        <f>IFERROR(__xludf.DUMMYFUNCTION("""COMPUTED_VALUE"""),"FINAL")</f>
        <v>FINAL</v>
      </c>
      <c r="M1122" s="124">
        <v>9.0</v>
      </c>
    </row>
    <row r="1123">
      <c r="A1123" s="151">
        <f>IFERROR(__xludf.DUMMYFUNCTION("""COMPUTED_VALUE"""),43765.147748449075)</f>
        <v>43765.14775</v>
      </c>
      <c r="B1123" t="str">
        <f>IFERROR(__xludf.DUMMYFUNCTION("""COMPUTED_VALUE"""),"Nico")</f>
        <v>Nico</v>
      </c>
      <c r="C1123" t="str">
        <f>IFERROR(__xludf.DUMMYFUNCTION("""COMPUTED_VALUE"""),"Purdue")</f>
        <v>Purdue</v>
      </c>
      <c r="D1123">
        <f>IFERROR(__xludf.DUMMYFUNCTION("""COMPUTED_VALUE"""),2.0)</f>
        <v>2</v>
      </c>
      <c r="E1123">
        <f>IFERROR(__xludf.DUMMYFUNCTION("""COMPUTED_VALUE"""),6.0)</f>
        <v>6</v>
      </c>
      <c r="F1123" t="str">
        <f>IFERROR(__xludf.DUMMYFUNCTION("""COMPUTED_VALUE"""),"BTN")</f>
        <v>BTN</v>
      </c>
      <c r="G1123" t="str">
        <f>IFERROR(__xludf.DUMMYFUNCTION("""COMPUTED_VALUE"""),"Illinois 24 at Purdue 6")</f>
        <v>Illinois 24 at Purdue 6</v>
      </c>
      <c r="H1123" t="str">
        <f>IFERROR(__xludf.DUMMYFUNCTION("""COMPUTED_VALUE"""),"FINAL")</f>
        <v>FINAL</v>
      </c>
      <c r="I1123">
        <f>IFERROR(__xludf.DUMMYFUNCTION("""COMPUTED_VALUE"""),-8.0)</f>
        <v>-8</v>
      </c>
      <c r="J1123" t="str">
        <f>IFERROR(__xludf.DUMMYFUNCTION("""COMPUTED_VALUE"""),"58½")</f>
        <v>58½</v>
      </c>
      <c r="K1123" t="str">
        <f>IFERROR(__xludf.DUMMYFUNCTION("""COMPUTED_VALUE"""),"Undrafted")</f>
        <v>Undrafted</v>
      </c>
      <c r="L1123" t="str">
        <f>IFERROR(__xludf.DUMMYFUNCTION("""COMPUTED_VALUE"""),"FINAL")</f>
        <v>FINAL</v>
      </c>
      <c r="M1123" s="124">
        <v>9.0</v>
      </c>
    </row>
    <row r="1124">
      <c r="A1124" s="151">
        <f>IFERROR(__xludf.DUMMYFUNCTION("""COMPUTED_VALUE"""),43765.147748449075)</f>
        <v>43765.14775</v>
      </c>
      <c r="B1124" t="str">
        <f>IFERROR(__xludf.DUMMYFUNCTION("""COMPUTED_VALUE"""),"Nico")</f>
        <v>Nico</v>
      </c>
      <c r="C1124" t="str">
        <f>IFERROR(__xludf.DUMMYFUNCTION("""COMPUTED_VALUE"""),"Middle Tennessee")</f>
        <v>Middle Tennessee</v>
      </c>
      <c r="D1124">
        <f>IFERROR(__xludf.DUMMYFUNCTION("""COMPUTED_VALUE"""),3.0)</f>
        <v>3</v>
      </c>
      <c r="E1124">
        <f>IFERROR(__xludf.DUMMYFUNCTION("""COMPUTED_VALUE"""),5.0)</f>
        <v>5</v>
      </c>
      <c r="F1124" t="str">
        <f>IFERROR(__xludf.DUMMYFUNCTION("""COMPUTED_VALUE"""),"NFL Network")</f>
        <v>NFL Network</v>
      </c>
      <c r="G1124" t="str">
        <f>IFERROR(__xludf.DUMMYFUNCTION("""COMPUTED_VALUE"""),"Florida Intl 17 at Middle Tennessee 50")</f>
        <v>Florida Intl 17 at Middle Tennessee 50</v>
      </c>
      <c r="H1124" t="str">
        <f>IFERROR(__xludf.DUMMYFUNCTION("""COMPUTED_VALUE"""),"FINAL")</f>
        <v>FINAL</v>
      </c>
      <c r="I1124">
        <f>IFERROR(__xludf.DUMMYFUNCTION("""COMPUTED_VALUE"""),3.0)</f>
        <v>3</v>
      </c>
      <c r="J1124">
        <f>IFERROR(__xludf.DUMMYFUNCTION("""COMPUTED_VALUE"""),59.0)</f>
        <v>59</v>
      </c>
      <c r="K1124" t="str">
        <f>IFERROR(__xludf.DUMMYFUNCTION("""COMPUTED_VALUE"""),"Adam")</f>
        <v>Adam</v>
      </c>
      <c r="L1124" t="str">
        <f>IFERROR(__xludf.DUMMYFUNCTION("""COMPUTED_VALUE"""),"FINAL")</f>
        <v>FINAL</v>
      </c>
      <c r="M1124" s="124">
        <v>9.0</v>
      </c>
    </row>
    <row r="1125">
      <c r="A1125" s="151">
        <f>IFERROR(__xludf.DUMMYFUNCTION("""COMPUTED_VALUE"""),43765.147748449075)</f>
        <v>43765.14775</v>
      </c>
      <c r="B1125" t="str">
        <f>IFERROR(__xludf.DUMMYFUNCTION("""COMPUTED_VALUE"""),"Nico")</f>
        <v>Nico</v>
      </c>
      <c r="C1125" t="str">
        <f>IFERROR(__xludf.DUMMYFUNCTION("""COMPUTED_VALUE"""),"Miami-OH")</f>
        <v>Miami-OH</v>
      </c>
      <c r="D1125">
        <f>IFERROR(__xludf.DUMMYFUNCTION("""COMPUTED_VALUE"""),4.0)</f>
        <v>4</v>
      </c>
      <c r="E1125">
        <f>IFERROR(__xludf.DUMMYFUNCTION("""COMPUTED_VALUE"""),4.0)</f>
        <v>4</v>
      </c>
      <c r="F1125" t="str">
        <f>IFERROR(__xludf.DUMMYFUNCTION("""COMPUTED_VALUE"""),"NA")</f>
        <v>NA</v>
      </c>
      <c r="G1125" t="str">
        <f>IFERROR(__xludf.DUMMYFUNCTION("""COMPUTED_VALUE"""),"Miami-OH 23 at Kent State 16")</f>
        <v>Miami-OH 23 at Kent State 16</v>
      </c>
      <c r="H1125" t="str">
        <f>IFERROR(__xludf.DUMMYFUNCTION("""COMPUTED_VALUE"""),"FINAL")</f>
        <v>FINAL</v>
      </c>
      <c r="I1125">
        <f>IFERROR(__xludf.DUMMYFUNCTION("""COMPUTED_VALUE"""),2.0)</f>
        <v>2</v>
      </c>
      <c r="J1125">
        <f>IFERROR(__xludf.DUMMYFUNCTION("""COMPUTED_VALUE"""),58.0)</f>
        <v>58</v>
      </c>
      <c r="K1125" t="str">
        <f>IFERROR(__xludf.DUMMYFUNCTION("""COMPUTED_VALUE"""),"Vu")</f>
        <v>Vu</v>
      </c>
      <c r="L1125" t="str">
        <f>IFERROR(__xludf.DUMMYFUNCTION("""COMPUTED_VALUE"""),"FINAL")</f>
        <v>FINAL</v>
      </c>
      <c r="M1125" s="124">
        <v>9.0</v>
      </c>
    </row>
    <row r="1126">
      <c r="A1126" s="151">
        <f>IFERROR(__xludf.DUMMYFUNCTION("""COMPUTED_VALUE"""),43765.147748449075)</f>
        <v>43765.14775</v>
      </c>
      <c r="B1126" t="str">
        <f>IFERROR(__xludf.DUMMYFUNCTION("""COMPUTED_VALUE"""),"Nico")</f>
        <v>Nico</v>
      </c>
      <c r="C1126" t="str">
        <f>IFERROR(__xludf.DUMMYFUNCTION("""COMPUTED_VALUE"""),"New Mexico")</f>
        <v>New Mexico</v>
      </c>
      <c r="D1126">
        <f>IFERROR(__xludf.DUMMYFUNCTION("""COMPUTED_VALUE"""),2.0)</f>
        <v>2</v>
      </c>
      <c r="E1126">
        <f>IFERROR(__xludf.DUMMYFUNCTION("""COMPUTED_VALUE"""),6.0)</f>
        <v>6</v>
      </c>
      <c r="F1126" t="str">
        <f>IFERROR(__xludf.DUMMYFUNCTION("""COMPUTED_VALUE"""),"Facebook Video")</f>
        <v>Facebook Video</v>
      </c>
      <c r="G1126" t="str">
        <f>IFERROR(__xludf.DUMMYFUNCTION("""COMPUTED_VALUE"""),"Hawaii 45 at New Mexico 31")</f>
        <v>Hawaii 45 at New Mexico 31</v>
      </c>
      <c r="H1126" t="str">
        <f>IFERROR(__xludf.DUMMYFUNCTION("""COMPUTED_VALUE"""),"FINAL")</f>
        <v>FINAL</v>
      </c>
      <c r="I1126">
        <f>IFERROR(__xludf.DUMMYFUNCTION("""COMPUTED_VALUE"""),10.0)</f>
        <v>10</v>
      </c>
      <c r="J1126">
        <f>IFERROR(__xludf.DUMMYFUNCTION("""COMPUTED_VALUE"""),70.0)</f>
        <v>70</v>
      </c>
      <c r="K1126" t="str">
        <f>IFERROR(__xludf.DUMMYFUNCTION("""COMPUTED_VALUE"""),"Vu")</f>
        <v>Vu</v>
      </c>
      <c r="L1126" t="str">
        <f>IFERROR(__xludf.DUMMYFUNCTION("""COMPUTED_VALUE"""),"FINAL")</f>
        <v>FINAL</v>
      </c>
      <c r="M1126" s="124">
        <v>9.0</v>
      </c>
    </row>
    <row r="1127">
      <c r="A1127" s="151">
        <f>IFERROR(__xludf.DUMMYFUNCTION("""COMPUTED_VALUE"""),43765.147748449075)</f>
        <v>43765.14775</v>
      </c>
      <c r="B1127" t="str">
        <f>IFERROR(__xludf.DUMMYFUNCTION("""COMPUTED_VALUE"""),"Nico")</f>
        <v>Nico</v>
      </c>
      <c r="C1127" t="str">
        <f>IFERROR(__xludf.DUMMYFUNCTION("""COMPUTED_VALUE"""),"North Carolina")</f>
        <v>North Carolina</v>
      </c>
      <c r="D1127">
        <f>IFERROR(__xludf.DUMMYFUNCTION("""COMPUTED_VALUE"""),4.0)</f>
        <v>4</v>
      </c>
      <c r="E1127">
        <f>IFERROR(__xludf.DUMMYFUNCTION("""COMPUTED_VALUE"""),4.0)</f>
        <v>4</v>
      </c>
      <c r="F1127" t="str">
        <f>IFERROR(__xludf.DUMMYFUNCTION("""COMPUTED_VALUE"""),"ACC RSN")</f>
        <v>ACC RSN</v>
      </c>
      <c r="G1127" t="str">
        <f>IFERROR(__xludf.DUMMYFUNCTION("""COMPUTED_VALUE"""),"Duke 17 at North Carolina 20")</f>
        <v>Duke 17 at North Carolina 20</v>
      </c>
      <c r="H1127" t="str">
        <f>IFERROR(__xludf.DUMMYFUNCTION("""COMPUTED_VALUE"""),"FINAL")</f>
        <v>FINAL</v>
      </c>
      <c r="I1127" t="str">
        <f>IFERROR(__xludf.DUMMYFUNCTION("""COMPUTED_VALUE"""),"-3½")</f>
        <v>-3½</v>
      </c>
      <c r="J1127">
        <f>IFERROR(__xludf.DUMMYFUNCTION("""COMPUTED_VALUE"""),55.0)</f>
        <v>55</v>
      </c>
      <c r="K1127" t="str">
        <f>IFERROR(__xludf.DUMMYFUNCTION("""COMPUTED_VALUE"""),"Justin")</f>
        <v>Justin</v>
      </c>
      <c r="L1127" t="str">
        <f>IFERROR(__xludf.DUMMYFUNCTION("""COMPUTED_VALUE"""),"FINAL")</f>
        <v>FINAL</v>
      </c>
      <c r="M1127" s="124">
        <v>9.0</v>
      </c>
    </row>
    <row r="1128">
      <c r="A1128" s="151">
        <f>IFERROR(__xludf.DUMMYFUNCTION("""COMPUTED_VALUE"""),43765.147748449075)</f>
        <v>43765.14775</v>
      </c>
      <c r="B1128" t="str">
        <f>IFERROR(__xludf.DUMMYFUNCTION("""COMPUTED_VALUE"""),"Nico")</f>
        <v>Nico</v>
      </c>
      <c r="C1128" t="str">
        <f>IFERROR(__xludf.DUMMYFUNCTION("""COMPUTED_VALUE"""),"Arkansas State")</f>
        <v>Arkansas State</v>
      </c>
      <c r="D1128">
        <f>IFERROR(__xludf.DUMMYFUNCTION("""COMPUTED_VALUE"""),2.0)</f>
        <v>2</v>
      </c>
      <c r="E1128">
        <f>IFERROR(__xludf.DUMMYFUNCTION("""COMPUTED_VALUE"""),2.0)</f>
        <v>2</v>
      </c>
      <c r="F1128" t="str">
        <f>IFERROR(__xludf.DUMMYFUNCTION("""COMPUTED_VALUE"""),"espn+ Video")</f>
        <v>espn+ Video</v>
      </c>
      <c r="G1128" t="str">
        <f>IFERROR(__xludf.DUMMYFUNCTION("""COMPUTED_VALUE"""),"Texas State 14 at Arkansas State 38")</f>
        <v>Texas State 14 at Arkansas State 38</v>
      </c>
      <c r="H1128" t="str">
        <f>IFERROR(__xludf.DUMMYFUNCTION("""COMPUTED_VALUE"""),"FINAL")</f>
        <v>FINAL</v>
      </c>
      <c r="I1128">
        <f>IFERROR(__xludf.DUMMYFUNCTION("""COMPUTED_VALUE"""),-11.0)</f>
        <v>-11</v>
      </c>
      <c r="J1128" t="str">
        <f>IFERROR(__xludf.DUMMYFUNCTION("""COMPUTED_VALUE"""),"58½")</f>
        <v>58½</v>
      </c>
      <c r="K1128" t="str">
        <f>IFERROR(__xludf.DUMMYFUNCTION("""COMPUTED_VALUE"""),"Brad")</f>
        <v>Brad</v>
      </c>
      <c r="L1128" t="str">
        <f>IFERROR(__xludf.DUMMYFUNCTION("""COMPUTED_VALUE"""),"FINAL")</f>
        <v>FINAL</v>
      </c>
      <c r="M1128" s="124">
        <v>9.0</v>
      </c>
    </row>
    <row r="1129">
      <c r="A1129" s="151">
        <f>IFERROR(__xludf.DUMMYFUNCTION("""COMPUTED_VALUE"""),43765.147748449075)</f>
        <v>43765.14775</v>
      </c>
      <c r="B1129" t="str">
        <f>IFERROR(__xludf.DUMMYFUNCTION("""COMPUTED_VALUE"""),"Nico")</f>
        <v>Nico</v>
      </c>
      <c r="C1129" t="str">
        <f>IFERROR(__xludf.DUMMYFUNCTION("""COMPUTED_VALUE"""),"Arizona State")</f>
        <v>Arizona State</v>
      </c>
      <c r="D1129">
        <f>IFERROR(__xludf.DUMMYFUNCTION("""COMPUTED_VALUE"""),5.0)</f>
        <v>5</v>
      </c>
      <c r="E1129">
        <f>IFERROR(__xludf.DUMMYFUNCTION("""COMPUTED_VALUE"""),3.0)</f>
        <v>3</v>
      </c>
      <c r="F1129" t="str">
        <f>IFERROR(__xludf.DUMMYFUNCTION("""COMPUTED_VALUE"""),"Pac-12")</f>
        <v>Pac-12</v>
      </c>
      <c r="G1129" t="str">
        <f>IFERROR(__xludf.DUMMYFUNCTION("""COMPUTED_VALUE"""),"(24) Arizona State 32 at UCLA 42")</f>
        <v>(24) Arizona State 32 at UCLA 42</v>
      </c>
      <c r="H1129" t="str">
        <f>IFERROR(__xludf.DUMMYFUNCTION("""COMPUTED_VALUE"""),"FINAL")</f>
        <v>FINAL</v>
      </c>
      <c r="I1129">
        <f>IFERROR(__xludf.DUMMYFUNCTION("""COMPUTED_VALUE"""),-4.0)</f>
        <v>-4</v>
      </c>
      <c r="J1129" t="str">
        <f>IFERROR(__xludf.DUMMYFUNCTION("""COMPUTED_VALUE"""),"55½")</f>
        <v>55½</v>
      </c>
      <c r="K1129" t="str">
        <f>IFERROR(__xludf.DUMMYFUNCTION("""COMPUTED_VALUE"""),"Gary")</f>
        <v>Gary</v>
      </c>
      <c r="L1129" t="str">
        <f>IFERROR(__xludf.DUMMYFUNCTION("""COMPUTED_VALUE"""),"FINAL")</f>
        <v>FINAL</v>
      </c>
      <c r="M1129" s="124">
        <v>9.0</v>
      </c>
    </row>
    <row r="1130">
      <c r="A1130" s="151">
        <f>IFERROR(__xludf.DUMMYFUNCTION("""COMPUTED_VALUE"""),43765.147748449075)</f>
        <v>43765.14775</v>
      </c>
      <c r="B1130" t="str">
        <f>IFERROR(__xludf.DUMMYFUNCTION("""COMPUTED_VALUE"""),"Nico")</f>
        <v>Nico</v>
      </c>
      <c r="C1130" t="str">
        <f>IFERROR(__xludf.DUMMYFUNCTION("""COMPUTED_VALUE"""),"West Virginia")</f>
        <v>West Virginia</v>
      </c>
      <c r="D1130">
        <f>IFERROR(__xludf.DUMMYFUNCTION("""COMPUTED_VALUE"""),3.0)</f>
        <v>3</v>
      </c>
      <c r="E1130">
        <f>IFERROR(__xludf.DUMMYFUNCTION("""COMPUTED_VALUE"""),4.0)</f>
        <v>4</v>
      </c>
      <c r="F1130" t="str">
        <f>IFERROR(__xludf.DUMMYFUNCTION("""COMPUTED_VALUE"""),"NA")</f>
        <v>NA</v>
      </c>
      <c r="G1130" t="str">
        <f>IFERROR(__xludf.DUMMYFUNCTION("""COMPUTED_VALUE"""),"BYE")</f>
        <v>BYE</v>
      </c>
      <c r="I1130" t="str">
        <f>IFERROR(__xludf.DUMMYFUNCTION("""COMPUTED_VALUE"""),"bye")</f>
        <v>bye</v>
      </c>
      <c r="J1130" t="str">
        <f>IFERROR(__xludf.DUMMYFUNCTION("""COMPUTED_VALUE"""),"bye")</f>
        <v>bye</v>
      </c>
      <c r="L1130">
        <f>IFERROR(__xludf.DUMMYFUNCTION("""COMPUTED_VALUE"""),9999.0)</f>
        <v>9999</v>
      </c>
      <c r="M1130" s="124">
        <v>9.0</v>
      </c>
    </row>
    <row r="1131">
      <c r="A1131" s="151">
        <f>IFERROR(__xludf.DUMMYFUNCTION("""COMPUTED_VALUE"""),43765.147748449075)</f>
        <v>43765.14775</v>
      </c>
      <c r="B1131" t="str">
        <f>IFERROR(__xludf.DUMMYFUNCTION("""COMPUTED_VALUE"""),"Nico")</f>
        <v>Nico</v>
      </c>
      <c r="C1131" t="str">
        <f>IFERROR(__xludf.DUMMYFUNCTION("""COMPUTED_VALUE"""),"Georgia")</f>
        <v>Georgia</v>
      </c>
      <c r="D1131">
        <f>IFERROR(__xludf.DUMMYFUNCTION("""COMPUTED_VALUE"""),6.0)</f>
        <v>6</v>
      </c>
      <c r="E1131">
        <f>IFERROR(__xludf.DUMMYFUNCTION("""COMPUTED_VALUE"""),1.0)</f>
        <v>1</v>
      </c>
      <c r="F1131" t="str">
        <f>IFERROR(__xludf.DUMMYFUNCTION("""COMPUTED_VALUE"""),"NA")</f>
        <v>NA</v>
      </c>
      <c r="G1131" t="str">
        <f>IFERROR(__xludf.DUMMYFUNCTION("""COMPUTED_VALUE"""),"BYE")</f>
        <v>BYE</v>
      </c>
      <c r="I1131" t="str">
        <f>IFERROR(__xludf.DUMMYFUNCTION("""COMPUTED_VALUE"""),"bye")</f>
        <v>bye</v>
      </c>
      <c r="J1131" t="str">
        <f>IFERROR(__xludf.DUMMYFUNCTION("""COMPUTED_VALUE"""),"bye")</f>
        <v>bye</v>
      </c>
      <c r="L1131">
        <f>IFERROR(__xludf.DUMMYFUNCTION("""COMPUTED_VALUE"""),9999.0)</f>
        <v>9999</v>
      </c>
      <c r="M1131" s="124">
        <v>9.0</v>
      </c>
    </row>
    <row r="1132">
      <c r="A1132" s="151">
        <f>IFERROR(__xludf.DUMMYFUNCTION("""COMPUTED_VALUE"""),43765.147748449075)</f>
        <v>43765.14775</v>
      </c>
      <c r="B1132" t="str">
        <f>IFERROR(__xludf.DUMMYFUNCTION("""COMPUTED_VALUE"""),"Jeannine")</f>
        <v>Jeannine</v>
      </c>
      <c r="C1132" t="str">
        <f>IFERROR(__xludf.DUMMYFUNCTION("""COMPUTED_VALUE"""),"SMU")</f>
        <v>SMU</v>
      </c>
      <c r="D1132">
        <f>IFERROR(__xludf.DUMMYFUNCTION("""COMPUTED_VALUE"""),8.0)</f>
        <v>8</v>
      </c>
      <c r="E1132">
        <f>IFERROR(__xludf.DUMMYFUNCTION("""COMPUTED_VALUE"""),0.0)</f>
        <v>0</v>
      </c>
      <c r="F1132" t="str">
        <f>IFERROR(__xludf.DUMMYFUNCTION("""COMPUTED_VALUE"""),"ESPN")</f>
        <v>ESPN</v>
      </c>
      <c r="G1132" t="str">
        <f>IFERROR(__xludf.DUMMYFUNCTION("""COMPUTED_VALUE"""),"(17) SMU 34 at Houston 31")</f>
        <v>(17) SMU 34 at Houston 31</v>
      </c>
      <c r="H1132" t="str">
        <f>IFERROR(__xludf.DUMMYFUNCTION("""COMPUTED_VALUE"""),"FINAL")</f>
        <v>FINAL</v>
      </c>
      <c r="I1132" t="str">
        <f>IFERROR(__xludf.DUMMYFUNCTION("""COMPUTED_VALUE"""),"-13½")</f>
        <v>-13½</v>
      </c>
      <c r="J1132" t="str">
        <f>IFERROR(__xludf.DUMMYFUNCTION("""COMPUTED_VALUE"""),"67½")</f>
        <v>67½</v>
      </c>
      <c r="K1132" t="str">
        <f>IFERROR(__xludf.DUMMYFUNCTION("""COMPUTED_VALUE"""),"Nico")</f>
        <v>Nico</v>
      </c>
      <c r="L1132" t="str">
        <f>IFERROR(__xludf.DUMMYFUNCTION("""COMPUTED_VALUE"""),"FINAL")</f>
        <v>FINAL</v>
      </c>
      <c r="M1132" s="124">
        <v>9.0</v>
      </c>
    </row>
    <row r="1133">
      <c r="A1133" s="151">
        <f>IFERROR(__xludf.DUMMYFUNCTION("""COMPUTED_VALUE"""),43765.147748449075)</f>
        <v>43765.14775</v>
      </c>
      <c r="B1133" t="str">
        <f>IFERROR(__xludf.DUMMYFUNCTION("""COMPUTED_VALUE"""),"Jeannine")</f>
        <v>Jeannine</v>
      </c>
      <c r="C1133" t="str">
        <f>IFERROR(__xludf.DUMMYFUNCTION("""COMPUTED_VALUE"""),"Colorado")</f>
        <v>Colorado</v>
      </c>
      <c r="D1133">
        <f>IFERROR(__xludf.DUMMYFUNCTION("""COMPUTED_VALUE"""),3.0)</f>
        <v>3</v>
      </c>
      <c r="E1133">
        <f>IFERROR(__xludf.DUMMYFUNCTION("""COMPUTED_VALUE"""),5.0)</f>
        <v>5</v>
      </c>
      <c r="F1133" t="str">
        <f>IFERROR(__xludf.DUMMYFUNCTION("""COMPUTED_VALUE"""),"ESPN2")</f>
        <v>ESPN2</v>
      </c>
      <c r="G1133" t="str">
        <f>IFERROR(__xludf.DUMMYFUNCTION("""COMPUTED_VALUE"""),"USC 35 at Colorado 31")</f>
        <v>USC 35 at Colorado 31</v>
      </c>
      <c r="H1133" t="str">
        <f>IFERROR(__xludf.DUMMYFUNCTION("""COMPUTED_VALUE"""),"FINAL")</f>
        <v>FINAL</v>
      </c>
      <c r="I1133">
        <f>IFERROR(__xludf.DUMMYFUNCTION("""COMPUTED_VALUE"""),13.0)</f>
        <v>13</v>
      </c>
      <c r="J1133" t="str">
        <f>IFERROR(__xludf.DUMMYFUNCTION("""COMPUTED_VALUE"""),"60½")</f>
        <v>60½</v>
      </c>
      <c r="K1133" t="str">
        <f>IFERROR(__xludf.DUMMYFUNCTION("""COMPUTED_VALUE"""),"Josh R.")</f>
        <v>Josh R.</v>
      </c>
      <c r="L1133" t="str">
        <f>IFERROR(__xludf.DUMMYFUNCTION("""COMPUTED_VALUE"""),"FINAL")</f>
        <v>FINAL</v>
      </c>
      <c r="M1133" s="124">
        <v>9.0</v>
      </c>
    </row>
    <row r="1134">
      <c r="A1134" s="151">
        <f>IFERROR(__xludf.DUMMYFUNCTION("""COMPUTED_VALUE"""),43765.147748449075)</f>
        <v>43765.14775</v>
      </c>
      <c r="B1134" t="str">
        <f>IFERROR(__xludf.DUMMYFUNCTION("""COMPUTED_VALUE"""),"Jeannine")</f>
        <v>Jeannine</v>
      </c>
      <c r="C1134" t="str">
        <f>IFERROR(__xludf.DUMMYFUNCTION("""COMPUTED_VALUE"""),"Oklahoma")</f>
        <v>Oklahoma</v>
      </c>
      <c r="D1134">
        <f>IFERROR(__xludf.DUMMYFUNCTION("""COMPUTED_VALUE"""),7.0)</f>
        <v>7</v>
      </c>
      <c r="E1134">
        <f>IFERROR(__xludf.DUMMYFUNCTION("""COMPUTED_VALUE"""),1.0)</f>
        <v>1</v>
      </c>
      <c r="F1134" t="str">
        <f>IFERROR(__xludf.DUMMYFUNCTION("""COMPUTED_VALUE"""),"ABC")</f>
        <v>ABC</v>
      </c>
      <c r="G1134" t="str">
        <f>IFERROR(__xludf.DUMMYFUNCTION("""COMPUTED_VALUE"""),"(5) Oklahoma 41 at Kansas State 48")</f>
        <v>(5) Oklahoma 41 at Kansas State 48</v>
      </c>
      <c r="H1134" t="str">
        <f>IFERROR(__xludf.DUMMYFUNCTION("""COMPUTED_VALUE"""),"FINAL")</f>
        <v>FINAL</v>
      </c>
      <c r="I1134" t="str">
        <f>IFERROR(__xludf.DUMMYFUNCTION("""COMPUTED_VALUE"""),"-23½")</f>
        <v>-23½</v>
      </c>
      <c r="J1134" t="str">
        <f>IFERROR(__xludf.DUMMYFUNCTION("""COMPUTED_VALUE"""),"57½")</f>
        <v>57½</v>
      </c>
      <c r="K1134" t="str">
        <f>IFERROR(__xludf.DUMMYFUNCTION("""COMPUTED_VALUE"""),"Nick G.")</f>
        <v>Nick G.</v>
      </c>
      <c r="L1134" t="str">
        <f>IFERROR(__xludf.DUMMYFUNCTION("""COMPUTED_VALUE"""),"FINAL")</f>
        <v>FINAL</v>
      </c>
      <c r="M1134" s="124">
        <v>9.0</v>
      </c>
    </row>
    <row r="1135">
      <c r="A1135" s="151">
        <f>IFERROR(__xludf.DUMMYFUNCTION("""COMPUTED_VALUE"""),43765.147748449075)</f>
        <v>43765.14775</v>
      </c>
      <c r="B1135" t="str">
        <f>IFERROR(__xludf.DUMMYFUNCTION("""COMPUTED_VALUE"""),"Jeannine")</f>
        <v>Jeannine</v>
      </c>
      <c r="C1135" t="str">
        <f>IFERROR(__xludf.DUMMYFUNCTION("""COMPUTED_VALUE"""),"San José State")</f>
        <v>San José State</v>
      </c>
      <c r="D1135">
        <f>IFERROR(__xludf.DUMMYFUNCTION("""COMPUTED_VALUE"""),4.0)</f>
        <v>4</v>
      </c>
      <c r="E1135">
        <f>IFERROR(__xludf.DUMMYFUNCTION("""COMPUTED_VALUE"""),4.0)</f>
        <v>4</v>
      </c>
      <c r="F1135" t="str">
        <f>IFERROR(__xludf.DUMMYFUNCTION("""COMPUTED_VALUE"""),"NA")</f>
        <v>NA</v>
      </c>
      <c r="G1135" t="str">
        <f>IFERROR(__xludf.DUMMYFUNCTION("""COMPUTED_VALUE"""),"San José State 34 at Army 29")</f>
        <v>San José State 34 at Army 29</v>
      </c>
      <c r="H1135" t="str">
        <f>IFERROR(__xludf.DUMMYFUNCTION("""COMPUTED_VALUE"""),"FINAL")</f>
        <v>FINAL</v>
      </c>
      <c r="I1135" t="str">
        <f>IFERROR(__xludf.DUMMYFUNCTION("""COMPUTED_VALUE"""),"9½")</f>
        <v>9½</v>
      </c>
      <c r="J1135" t="str">
        <f>IFERROR(__xludf.DUMMYFUNCTION("""COMPUTED_VALUE"""),"50½")</f>
        <v>50½</v>
      </c>
      <c r="K1135" t="str">
        <f>IFERROR(__xludf.DUMMYFUNCTION("""COMPUTED_VALUE"""),"Josh R.")</f>
        <v>Josh R.</v>
      </c>
      <c r="L1135" t="str">
        <f>IFERROR(__xludf.DUMMYFUNCTION("""COMPUTED_VALUE"""),"FINAL")</f>
        <v>FINAL</v>
      </c>
      <c r="M1135" s="124">
        <v>9.0</v>
      </c>
    </row>
    <row r="1136">
      <c r="A1136" s="151">
        <f>IFERROR(__xludf.DUMMYFUNCTION("""COMPUTED_VALUE"""),43765.147748449075)</f>
        <v>43765.14775</v>
      </c>
      <c r="B1136" t="str">
        <f>IFERROR(__xludf.DUMMYFUNCTION("""COMPUTED_VALUE"""),"Jeannine")</f>
        <v>Jeannine</v>
      </c>
      <c r="C1136" t="str">
        <f>IFERROR(__xludf.DUMMYFUNCTION("""COMPUTED_VALUE"""),"Mississippi State")</f>
        <v>Mississippi State</v>
      </c>
      <c r="D1136">
        <f>IFERROR(__xludf.DUMMYFUNCTION("""COMPUTED_VALUE"""),3.0)</f>
        <v>3</v>
      </c>
      <c r="E1136">
        <f>IFERROR(__xludf.DUMMYFUNCTION("""COMPUTED_VALUE"""),5.0)</f>
        <v>5</v>
      </c>
      <c r="F1136" t="str">
        <f>IFERROR(__xludf.DUMMYFUNCTION("""COMPUTED_VALUE"""),"SEC Network")</f>
        <v>SEC Network</v>
      </c>
      <c r="G1136" t="str">
        <f>IFERROR(__xludf.DUMMYFUNCTION("""COMPUTED_VALUE"""),"Mississippi State 30 at Texas A&amp;M 49")</f>
        <v>Mississippi State 30 at Texas A&amp;M 49</v>
      </c>
      <c r="H1136" t="str">
        <f>IFERROR(__xludf.DUMMYFUNCTION("""COMPUTED_VALUE"""),"FINAL")</f>
        <v>FINAL</v>
      </c>
      <c r="I1136" t="str">
        <f>IFERROR(__xludf.DUMMYFUNCTION("""COMPUTED_VALUE"""),"10½")</f>
        <v>10½</v>
      </c>
      <c r="J1136">
        <f>IFERROR(__xludf.DUMMYFUNCTION("""COMPUTED_VALUE"""),51.0)</f>
        <v>51</v>
      </c>
      <c r="K1136" t="str">
        <f>IFERROR(__xludf.DUMMYFUNCTION("""COMPUTED_VALUE"""),"Vu")</f>
        <v>Vu</v>
      </c>
      <c r="L1136" t="str">
        <f>IFERROR(__xludf.DUMMYFUNCTION("""COMPUTED_VALUE"""),"FINAL")</f>
        <v>FINAL</v>
      </c>
      <c r="M1136" s="124">
        <v>9.0</v>
      </c>
    </row>
    <row r="1137">
      <c r="A1137" s="151">
        <f>IFERROR(__xludf.DUMMYFUNCTION("""COMPUTED_VALUE"""),43765.147748449075)</f>
        <v>43765.14775</v>
      </c>
      <c r="B1137" t="str">
        <f>IFERROR(__xludf.DUMMYFUNCTION("""COMPUTED_VALUE"""),"Jeannine")</f>
        <v>Jeannine</v>
      </c>
      <c r="C1137" t="str">
        <f>IFERROR(__xludf.DUMMYFUNCTION("""COMPUTED_VALUE"""),"Western Michigan")</f>
        <v>Western Michigan</v>
      </c>
      <c r="D1137">
        <f>IFERROR(__xludf.DUMMYFUNCTION("""COMPUTED_VALUE"""),5.0)</f>
        <v>5</v>
      </c>
      <c r="E1137">
        <f>IFERROR(__xludf.DUMMYFUNCTION("""COMPUTED_VALUE"""),4.0)</f>
        <v>4</v>
      </c>
      <c r="F1137" t="str">
        <f>IFERROR(__xludf.DUMMYFUNCTION("""COMPUTED_VALUE"""),"espn3 Video")</f>
        <v>espn3 Video</v>
      </c>
      <c r="G1137" t="str">
        <f>IFERROR(__xludf.DUMMYFUNCTION("""COMPUTED_VALUE"""),"Bowling Green 10 at Western Michigan 49")</f>
        <v>Bowling Green 10 at Western Michigan 49</v>
      </c>
      <c r="H1137" t="str">
        <f>IFERROR(__xludf.DUMMYFUNCTION("""COMPUTED_VALUE"""),"FINAL")</f>
        <v>FINAL</v>
      </c>
      <c r="I1137" t="str">
        <f>IFERROR(__xludf.DUMMYFUNCTION("""COMPUTED_VALUE"""),"-27½")</f>
        <v>-27½</v>
      </c>
      <c r="J1137">
        <f>IFERROR(__xludf.DUMMYFUNCTION("""COMPUTED_VALUE"""),63.0)</f>
        <v>63</v>
      </c>
      <c r="K1137" t="str">
        <f>IFERROR(__xludf.DUMMYFUNCTION("""COMPUTED_VALUE"""),"Nick A.")</f>
        <v>Nick A.</v>
      </c>
      <c r="L1137" t="str">
        <f>IFERROR(__xludf.DUMMYFUNCTION("""COMPUTED_VALUE"""),"FINAL")</f>
        <v>FINAL</v>
      </c>
      <c r="M1137" s="124">
        <v>9.0</v>
      </c>
    </row>
    <row r="1138">
      <c r="A1138" s="151">
        <f>IFERROR(__xludf.DUMMYFUNCTION("""COMPUTED_VALUE"""),43765.147748449075)</f>
        <v>43765.14775</v>
      </c>
      <c r="B1138" t="str">
        <f>IFERROR(__xludf.DUMMYFUNCTION("""COMPUTED_VALUE"""),"Jeannine")</f>
        <v>Jeannine</v>
      </c>
      <c r="C1138" t="str">
        <f>IFERROR(__xludf.DUMMYFUNCTION("""COMPUTED_VALUE"""),"Penn State")</f>
        <v>Penn State</v>
      </c>
      <c r="D1138">
        <f>IFERROR(__xludf.DUMMYFUNCTION("""COMPUTED_VALUE"""),8.0)</f>
        <v>8</v>
      </c>
      <c r="E1138">
        <f>IFERROR(__xludf.DUMMYFUNCTION("""COMPUTED_VALUE"""),0.0)</f>
        <v>0</v>
      </c>
      <c r="F1138" t="str">
        <f>IFERROR(__xludf.DUMMYFUNCTION("""COMPUTED_VALUE"""),"ABC")</f>
        <v>ABC</v>
      </c>
      <c r="G1138" t="str">
        <f>IFERROR(__xludf.DUMMYFUNCTION("""COMPUTED_VALUE"""),"(6) Penn State 28 at Michigan State 7")</f>
        <v>(6) Penn State 28 at Michigan State 7</v>
      </c>
      <c r="H1138" t="str">
        <f>IFERROR(__xludf.DUMMYFUNCTION("""COMPUTED_VALUE"""),"FINAL")</f>
        <v>FINAL</v>
      </c>
      <c r="I1138">
        <f>IFERROR(__xludf.DUMMYFUNCTION("""COMPUTED_VALUE"""),-6.0)</f>
        <v>-6</v>
      </c>
      <c r="J1138" t="str">
        <f>IFERROR(__xludf.DUMMYFUNCTION("""COMPUTED_VALUE"""),"43½")</f>
        <v>43½</v>
      </c>
      <c r="K1138" t="str">
        <f>IFERROR(__xludf.DUMMYFUNCTION("""COMPUTED_VALUE"""),"Nick A.")</f>
        <v>Nick A.</v>
      </c>
      <c r="L1138" t="str">
        <f>IFERROR(__xludf.DUMMYFUNCTION("""COMPUTED_VALUE"""),"FINAL")</f>
        <v>FINAL</v>
      </c>
      <c r="M1138" s="124">
        <v>9.0</v>
      </c>
    </row>
    <row r="1139">
      <c r="A1139" s="151">
        <f>IFERROR(__xludf.DUMMYFUNCTION("""COMPUTED_VALUE"""),43765.147748449075)</f>
        <v>43765.14775</v>
      </c>
      <c r="B1139" t="str">
        <f>IFERROR(__xludf.DUMMYFUNCTION("""COMPUTED_VALUE"""),"Jeannine")</f>
        <v>Jeannine</v>
      </c>
      <c r="C1139" t="str">
        <f>IFERROR(__xludf.DUMMYFUNCTION("""COMPUTED_VALUE"""),"Virginia")</f>
        <v>Virginia</v>
      </c>
      <c r="D1139">
        <f>IFERROR(__xludf.DUMMYFUNCTION("""COMPUTED_VALUE"""),5.0)</f>
        <v>5</v>
      </c>
      <c r="E1139">
        <f>IFERROR(__xludf.DUMMYFUNCTION("""COMPUTED_VALUE"""),3.0)</f>
        <v>3</v>
      </c>
      <c r="F1139" t="str">
        <f>IFERROR(__xludf.DUMMYFUNCTION("""COMPUTED_VALUE"""),"ACC Network")</f>
        <v>ACC Network</v>
      </c>
      <c r="G1139" t="str">
        <f>IFERROR(__xludf.DUMMYFUNCTION("""COMPUTED_VALUE"""),"Virginia 21 at Louisville 28")</f>
        <v>Virginia 21 at Louisville 28</v>
      </c>
      <c r="H1139" t="str">
        <f>IFERROR(__xludf.DUMMYFUNCTION("""COMPUTED_VALUE"""),"FINAL")</f>
        <v>FINAL</v>
      </c>
      <c r="I1139">
        <f>IFERROR(__xludf.DUMMYFUNCTION("""COMPUTED_VALUE"""),-3.0)</f>
        <v>-3</v>
      </c>
      <c r="J1139" t="str">
        <f>IFERROR(__xludf.DUMMYFUNCTION("""COMPUTED_VALUE"""),"55½")</f>
        <v>55½</v>
      </c>
      <c r="K1139" t="str">
        <f>IFERROR(__xludf.DUMMYFUNCTION("""COMPUTED_VALUE"""),"Undrafted")</f>
        <v>Undrafted</v>
      </c>
      <c r="L1139" t="str">
        <f>IFERROR(__xludf.DUMMYFUNCTION("""COMPUTED_VALUE"""),"FINAL")</f>
        <v>FINAL</v>
      </c>
      <c r="M1139" s="124">
        <v>9.0</v>
      </c>
    </row>
    <row r="1140">
      <c r="A1140" s="151">
        <f>IFERROR(__xludf.DUMMYFUNCTION("""COMPUTED_VALUE"""),43765.147748449075)</f>
        <v>43765.14775</v>
      </c>
      <c r="B1140" t="str">
        <f>IFERROR(__xludf.DUMMYFUNCTION("""COMPUTED_VALUE"""),"Jeannine")</f>
        <v>Jeannine</v>
      </c>
      <c r="C1140" t="str">
        <f>IFERROR(__xludf.DUMMYFUNCTION("""COMPUTED_VALUE"""),"UL Monroe")</f>
        <v>UL Monroe</v>
      </c>
      <c r="D1140">
        <f>IFERROR(__xludf.DUMMYFUNCTION("""COMPUTED_VALUE"""),3.0)</f>
        <v>3</v>
      </c>
      <c r="E1140">
        <f>IFERROR(__xludf.DUMMYFUNCTION("""COMPUTED_VALUE"""),4.0)</f>
        <v>4</v>
      </c>
      <c r="F1140" t="str">
        <f>IFERROR(__xludf.DUMMYFUNCTION("""COMPUTED_VALUE"""),"NA")</f>
        <v>NA</v>
      </c>
      <c r="G1140" t="str">
        <f>IFERROR(__xludf.DUMMYFUNCTION("""COMPUTED_VALUE"""),"BYE")</f>
        <v>BYE</v>
      </c>
      <c r="I1140" t="str">
        <f>IFERROR(__xludf.DUMMYFUNCTION("""COMPUTED_VALUE"""),"bye")</f>
        <v>bye</v>
      </c>
      <c r="J1140" t="str">
        <f>IFERROR(__xludf.DUMMYFUNCTION("""COMPUTED_VALUE"""),"bye")</f>
        <v>bye</v>
      </c>
      <c r="L1140">
        <f>IFERROR(__xludf.DUMMYFUNCTION("""COMPUTED_VALUE"""),9999.0)</f>
        <v>9999</v>
      </c>
      <c r="M1140" s="124">
        <v>9.0</v>
      </c>
    </row>
    <row r="1141">
      <c r="A1141" s="151">
        <f>IFERROR(__xludf.DUMMYFUNCTION("""COMPUTED_VALUE"""),43765.147748449075)</f>
        <v>43765.14775</v>
      </c>
      <c r="B1141" t="str">
        <f>IFERROR(__xludf.DUMMYFUNCTION("""COMPUTED_VALUE"""),"Jeannine")</f>
        <v>Jeannine</v>
      </c>
      <c r="C1141" t="str">
        <f>IFERROR(__xludf.DUMMYFUNCTION("""COMPUTED_VALUE"""),"UAB")</f>
        <v>UAB</v>
      </c>
      <c r="D1141">
        <f>IFERROR(__xludf.DUMMYFUNCTION("""COMPUTED_VALUE"""),6.0)</f>
        <v>6</v>
      </c>
      <c r="E1141">
        <f>IFERROR(__xludf.DUMMYFUNCTION("""COMPUTED_VALUE"""),1.0)</f>
        <v>1</v>
      </c>
      <c r="F1141" t="str">
        <f>IFERROR(__xludf.DUMMYFUNCTION("""COMPUTED_VALUE"""),"NA")</f>
        <v>NA</v>
      </c>
      <c r="G1141" t="str">
        <f>IFERROR(__xludf.DUMMYFUNCTION("""COMPUTED_VALUE"""),"BYE")</f>
        <v>BYE</v>
      </c>
      <c r="I1141" t="str">
        <f>IFERROR(__xludf.DUMMYFUNCTION("""COMPUTED_VALUE"""),"bye")</f>
        <v>bye</v>
      </c>
      <c r="J1141" t="str">
        <f>IFERROR(__xludf.DUMMYFUNCTION("""COMPUTED_VALUE"""),"bye")</f>
        <v>bye</v>
      </c>
      <c r="L1141">
        <f>IFERROR(__xludf.DUMMYFUNCTION("""COMPUTED_VALUE"""),9999.0)</f>
        <v>9999</v>
      </c>
      <c r="M1141" s="124">
        <v>9.0</v>
      </c>
    </row>
    <row r="1142">
      <c r="A1142" s="151">
        <f>IFERROR(__xludf.DUMMYFUNCTION("""COMPUTED_VALUE"""),43765.147748449075)</f>
        <v>43765.14775</v>
      </c>
      <c r="B1142" t="str">
        <f>IFERROR(__xludf.DUMMYFUNCTION("""COMPUTED_VALUE"""),"Justin")</f>
        <v>Justin</v>
      </c>
      <c r="C1142" t="str">
        <f>IFERROR(__xludf.DUMMYFUNCTION("""COMPUTED_VALUE"""),"Iowa")</f>
        <v>Iowa</v>
      </c>
      <c r="D1142">
        <f>IFERROR(__xludf.DUMMYFUNCTION("""COMPUTED_VALUE"""),6.0)</f>
        <v>6</v>
      </c>
      <c r="E1142">
        <f>IFERROR(__xludf.DUMMYFUNCTION("""COMPUTED_VALUE"""),2.0)</f>
        <v>2</v>
      </c>
      <c r="F1142" t="str">
        <f>IFERROR(__xludf.DUMMYFUNCTION("""COMPUTED_VALUE"""),"ESPN2")</f>
        <v>ESPN2</v>
      </c>
      <c r="G1142" t="str">
        <f>IFERROR(__xludf.DUMMYFUNCTION("""COMPUTED_VALUE"""),"(19) Iowa 20 at Northwestern 0")</f>
        <v>(19) Iowa 20 at Northwestern 0</v>
      </c>
      <c r="H1142" t="str">
        <f>IFERROR(__xludf.DUMMYFUNCTION("""COMPUTED_VALUE"""),"FINAL")</f>
        <v>FINAL</v>
      </c>
      <c r="I1142" t="str">
        <f>IFERROR(__xludf.DUMMYFUNCTION("""COMPUTED_VALUE"""),"-10½")</f>
        <v>-10½</v>
      </c>
      <c r="J1142" t="str">
        <f>IFERROR(__xludf.DUMMYFUNCTION("""COMPUTED_VALUE"""),"37½")</f>
        <v>37½</v>
      </c>
      <c r="K1142" t="str">
        <f>IFERROR(__xludf.DUMMYFUNCTION("""COMPUTED_VALUE"""),"Adam")</f>
        <v>Adam</v>
      </c>
      <c r="L1142" t="str">
        <f>IFERROR(__xludf.DUMMYFUNCTION("""COMPUTED_VALUE"""),"FINAL")</f>
        <v>FINAL</v>
      </c>
      <c r="M1142" s="124">
        <v>9.0</v>
      </c>
    </row>
    <row r="1143">
      <c r="A1143" s="151">
        <f>IFERROR(__xludf.DUMMYFUNCTION("""COMPUTED_VALUE"""),43765.147748449075)</f>
        <v>43765.14775</v>
      </c>
      <c r="B1143" t="str">
        <f>IFERROR(__xludf.DUMMYFUNCTION("""COMPUTED_VALUE"""),"Justin")</f>
        <v>Justin</v>
      </c>
      <c r="C1143" t="str">
        <f>IFERROR(__xludf.DUMMYFUNCTION("""COMPUTED_VALUE"""),"Appalachian State")</f>
        <v>Appalachian State</v>
      </c>
      <c r="D1143">
        <f>IFERROR(__xludf.DUMMYFUNCTION("""COMPUTED_VALUE"""),7.0)</f>
        <v>7</v>
      </c>
      <c r="E1143">
        <f>IFERROR(__xludf.DUMMYFUNCTION("""COMPUTED_VALUE"""),0.0)</f>
        <v>0</v>
      </c>
      <c r="F1143" t="str">
        <f>IFERROR(__xludf.DUMMYFUNCTION("""COMPUTED_VALUE"""),"ESPNU")</f>
        <v>ESPNU</v>
      </c>
      <c r="G1143" t="str">
        <f>IFERROR(__xludf.DUMMYFUNCTION("""COMPUTED_VALUE"""),"(22) Appalachian State 30 at South Alabama 3")</f>
        <v>(22) Appalachian State 30 at South Alabama 3</v>
      </c>
      <c r="H1143" t="str">
        <f>IFERROR(__xludf.DUMMYFUNCTION("""COMPUTED_VALUE"""),"FINAL")</f>
        <v>FINAL</v>
      </c>
      <c r="I1143" t="str">
        <f>IFERROR(__xludf.DUMMYFUNCTION("""COMPUTED_VALUE"""),"-24½")</f>
        <v>-24½</v>
      </c>
      <c r="J1143">
        <f>IFERROR(__xludf.DUMMYFUNCTION("""COMPUTED_VALUE"""),53.0)</f>
        <v>53</v>
      </c>
      <c r="K1143" t="str">
        <f>IFERROR(__xludf.DUMMYFUNCTION("""COMPUTED_VALUE"""),"Vu")</f>
        <v>Vu</v>
      </c>
      <c r="L1143" t="str">
        <f>IFERROR(__xludf.DUMMYFUNCTION("""COMPUTED_VALUE"""),"FINAL")</f>
        <v>FINAL</v>
      </c>
      <c r="M1143" s="124">
        <v>9.0</v>
      </c>
    </row>
    <row r="1144">
      <c r="A1144" s="151">
        <f>IFERROR(__xludf.DUMMYFUNCTION("""COMPUTED_VALUE"""),43765.147748449075)</f>
        <v>43765.14775</v>
      </c>
      <c r="B1144" t="str">
        <f>IFERROR(__xludf.DUMMYFUNCTION("""COMPUTED_VALUE"""),"Justin")</f>
        <v>Justin</v>
      </c>
      <c r="C1144" t="str">
        <f>IFERROR(__xludf.DUMMYFUNCTION("""COMPUTED_VALUE"""),"Western Kentucky")</f>
        <v>Western Kentucky</v>
      </c>
      <c r="D1144">
        <f>IFERROR(__xludf.DUMMYFUNCTION("""COMPUTED_VALUE"""),5.0)</f>
        <v>5</v>
      </c>
      <c r="E1144">
        <f>IFERROR(__xludf.DUMMYFUNCTION("""COMPUTED_VALUE"""),3.0)</f>
        <v>3</v>
      </c>
      <c r="F1144" t="str">
        <f>IFERROR(__xludf.DUMMYFUNCTION("""COMPUTED_VALUE"""),"Facebook Video")</f>
        <v>Facebook Video</v>
      </c>
      <c r="G1144" t="str">
        <f>IFERROR(__xludf.DUMMYFUNCTION("""COMPUTED_VALUE"""),"Western Kentucky 23 at Marshall 26")</f>
        <v>Western Kentucky 23 at Marshall 26</v>
      </c>
      <c r="H1144" t="str">
        <f>IFERROR(__xludf.DUMMYFUNCTION("""COMPUTED_VALUE"""),"FINAL")</f>
        <v>FINAL</v>
      </c>
      <c r="I1144">
        <f>IFERROR(__xludf.DUMMYFUNCTION("""COMPUTED_VALUE"""),6.0)</f>
        <v>6</v>
      </c>
      <c r="J1144">
        <f>IFERROR(__xludf.DUMMYFUNCTION("""COMPUTED_VALUE"""),45.0)</f>
        <v>45</v>
      </c>
      <c r="K1144" t="str">
        <f>IFERROR(__xludf.DUMMYFUNCTION("""COMPUTED_VALUE"""),"Gary")</f>
        <v>Gary</v>
      </c>
      <c r="L1144" t="str">
        <f>IFERROR(__xludf.DUMMYFUNCTION("""COMPUTED_VALUE"""),"FINAL")</f>
        <v>FINAL</v>
      </c>
      <c r="M1144" s="124">
        <v>9.0</v>
      </c>
    </row>
    <row r="1145">
      <c r="A1145" s="151">
        <f>IFERROR(__xludf.DUMMYFUNCTION("""COMPUTED_VALUE"""),43765.147748449075)</f>
        <v>43765.14775</v>
      </c>
      <c r="B1145" t="str">
        <f>IFERROR(__xludf.DUMMYFUNCTION("""COMPUTED_VALUE"""),"Justin")</f>
        <v>Justin</v>
      </c>
      <c r="C1145" t="str">
        <f>IFERROR(__xludf.DUMMYFUNCTION("""COMPUTED_VALUE"""),"Buffalo")</f>
        <v>Buffalo</v>
      </c>
      <c r="D1145">
        <f>IFERROR(__xludf.DUMMYFUNCTION("""COMPUTED_VALUE"""),4.0)</f>
        <v>4</v>
      </c>
      <c r="E1145">
        <f>IFERROR(__xludf.DUMMYFUNCTION("""COMPUTED_VALUE"""),4.0)</f>
        <v>4</v>
      </c>
      <c r="F1145" t="str">
        <f>IFERROR(__xludf.DUMMYFUNCTION("""COMPUTED_VALUE"""),"espn+ Video")</f>
        <v>espn+ Video</v>
      </c>
      <c r="G1145" t="str">
        <f>IFERROR(__xludf.DUMMYFUNCTION("""COMPUTED_VALUE"""),"Central Michigan 20 at Buffalo 43")</f>
        <v>Central Michigan 20 at Buffalo 43</v>
      </c>
      <c r="H1145" t="str">
        <f>IFERROR(__xludf.DUMMYFUNCTION("""COMPUTED_VALUE"""),"FINAL")</f>
        <v>FINAL</v>
      </c>
      <c r="I1145" t="str">
        <f>IFERROR(__xludf.DUMMYFUNCTION("""COMPUTED_VALUE"""),"-2½")</f>
        <v>-2½</v>
      </c>
      <c r="J1145">
        <f>IFERROR(__xludf.DUMMYFUNCTION("""COMPUTED_VALUE"""),49.0)</f>
        <v>49</v>
      </c>
      <c r="K1145" t="str">
        <f>IFERROR(__xludf.DUMMYFUNCTION("""COMPUTED_VALUE"""),"Nick G.")</f>
        <v>Nick G.</v>
      </c>
      <c r="L1145" t="str">
        <f>IFERROR(__xludf.DUMMYFUNCTION("""COMPUTED_VALUE"""),"FINAL")</f>
        <v>FINAL</v>
      </c>
      <c r="M1145" s="124">
        <v>9.0</v>
      </c>
    </row>
    <row r="1146">
      <c r="A1146" s="151">
        <f>IFERROR(__xludf.DUMMYFUNCTION("""COMPUTED_VALUE"""),43765.147748449075)</f>
        <v>43765.14775</v>
      </c>
      <c r="B1146" t="str">
        <f>IFERROR(__xludf.DUMMYFUNCTION("""COMPUTED_VALUE"""),"Justin")</f>
        <v>Justin</v>
      </c>
      <c r="C1146" t="str">
        <f>IFERROR(__xludf.DUMMYFUNCTION("""COMPUTED_VALUE"""),"South Florida")</f>
        <v>South Florida</v>
      </c>
      <c r="D1146">
        <f>IFERROR(__xludf.DUMMYFUNCTION("""COMPUTED_VALUE"""),4.0)</f>
        <v>4</v>
      </c>
      <c r="E1146">
        <f>IFERROR(__xludf.DUMMYFUNCTION("""COMPUTED_VALUE"""),4.0)</f>
        <v>4</v>
      </c>
      <c r="F1146" t="str">
        <f>IFERROR(__xludf.DUMMYFUNCTION("""COMPUTED_VALUE"""),"ESPNU")</f>
        <v>ESPNU</v>
      </c>
      <c r="G1146" t="str">
        <f>IFERROR(__xludf.DUMMYFUNCTION("""COMPUTED_VALUE"""),"South Florida 45 at East Carolina 20")</f>
        <v>South Florida 45 at East Carolina 20</v>
      </c>
      <c r="H1146" t="str">
        <f>IFERROR(__xludf.DUMMYFUNCTION("""COMPUTED_VALUE"""),"FINAL")</f>
        <v>FINAL</v>
      </c>
      <c r="I1146">
        <f>IFERROR(__xludf.DUMMYFUNCTION("""COMPUTED_VALUE"""),-2.0)</f>
        <v>-2</v>
      </c>
      <c r="J1146">
        <f>IFERROR(__xludf.DUMMYFUNCTION("""COMPUTED_VALUE"""),51.0)</f>
        <v>51</v>
      </c>
      <c r="K1146" t="str">
        <f>IFERROR(__xludf.DUMMYFUNCTION("""COMPUTED_VALUE"""),"Nick A.")</f>
        <v>Nick A.</v>
      </c>
      <c r="L1146" t="str">
        <f>IFERROR(__xludf.DUMMYFUNCTION("""COMPUTED_VALUE"""),"FINAL")</f>
        <v>FINAL</v>
      </c>
      <c r="M1146" s="124">
        <v>9.0</v>
      </c>
    </row>
    <row r="1147">
      <c r="A1147" s="151">
        <f>IFERROR(__xludf.DUMMYFUNCTION("""COMPUTED_VALUE"""),43765.147748449075)</f>
        <v>43765.14775</v>
      </c>
      <c r="B1147" t="str">
        <f>IFERROR(__xludf.DUMMYFUNCTION("""COMPUTED_VALUE"""),"Justin")</f>
        <v>Justin</v>
      </c>
      <c r="C1147" t="str">
        <f>IFERROR(__xludf.DUMMYFUNCTION("""COMPUTED_VALUE"""),"Duke")</f>
        <v>Duke</v>
      </c>
      <c r="D1147">
        <f>IFERROR(__xludf.DUMMYFUNCTION("""COMPUTED_VALUE"""),4.0)</f>
        <v>4</v>
      </c>
      <c r="E1147">
        <f>IFERROR(__xludf.DUMMYFUNCTION("""COMPUTED_VALUE"""),4.0)</f>
        <v>4</v>
      </c>
      <c r="F1147" t="str">
        <f>IFERROR(__xludf.DUMMYFUNCTION("""COMPUTED_VALUE"""),"ACC RSN")</f>
        <v>ACC RSN</v>
      </c>
      <c r="G1147" t="str">
        <f>IFERROR(__xludf.DUMMYFUNCTION("""COMPUTED_VALUE"""),"Duke 17 at North Carolina 20")</f>
        <v>Duke 17 at North Carolina 20</v>
      </c>
      <c r="H1147" t="str">
        <f>IFERROR(__xludf.DUMMYFUNCTION("""COMPUTED_VALUE"""),"FINAL")</f>
        <v>FINAL</v>
      </c>
      <c r="I1147" t="str">
        <f>IFERROR(__xludf.DUMMYFUNCTION("""COMPUTED_VALUE"""),"3½")</f>
        <v>3½</v>
      </c>
      <c r="J1147">
        <f>IFERROR(__xludf.DUMMYFUNCTION("""COMPUTED_VALUE"""),55.0)</f>
        <v>55</v>
      </c>
      <c r="K1147" t="str">
        <f>IFERROR(__xludf.DUMMYFUNCTION("""COMPUTED_VALUE"""),"Nico")</f>
        <v>Nico</v>
      </c>
      <c r="L1147" t="str">
        <f>IFERROR(__xludf.DUMMYFUNCTION("""COMPUTED_VALUE"""),"FINAL")</f>
        <v>FINAL</v>
      </c>
      <c r="M1147" s="124">
        <v>9.0</v>
      </c>
    </row>
    <row r="1148">
      <c r="A1148" s="151">
        <f>IFERROR(__xludf.DUMMYFUNCTION("""COMPUTED_VALUE"""),43765.147748449075)</f>
        <v>43765.14775</v>
      </c>
      <c r="B1148" t="str">
        <f>IFERROR(__xludf.DUMMYFUNCTION("""COMPUTED_VALUE"""),"Justin")</f>
        <v>Justin</v>
      </c>
      <c r="C1148" t="str">
        <f>IFERROR(__xludf.DUMMYFUNCTION("""COMPUTED_VALUE"""),"Tennessee")</f>
        <v>Tennessee</v>
      </c>
      <c r="D1148">
        <f>IFERROR(__xludf.DUMMYFUNCTION("""COMPUTED_VALUE"""),3.0)</f>
        <v>3</v>
      </c>
      <c r="E1148">
        <f>IFERROR(__xludf.DUMMYFUNCTION("""COMPUTED_VALUE"""),5.0)</f>
        <v>5</v>
      </c>
      <c r="F1148" t="str">
        <f>IFERROR(__xludf.DUMMYFUNCTION("""COMPUTED_VALUE"""),"SEC Network")</f>
        <v>SEC Network</v>
      </c>
      <c r="G1148" t="str">
        <f>IFERROR(__xludf.DUMMYFUNCTION("""COMPUTED_VALUE"""),"South Carolina 21 at Tennessee 41")</f>
        <v>South Carolina 21 at Tennessee 41</v>
      </c>
      <c r="H1148" t="str">
        <f>IFERROR(__xludf.DUMMYFUNCTION("""COMPUTED_VALUE"""),"FINAL")</f>
        <v>FINAL</v>
      </c>
      <c r="I1148">
        <f>IFERROR(__xludf.DUMMYFUNCTION("""COMPUTED_VALUE"""),4.0)</f>
        <v>4</v>
      </c>
      <c r="J1148" t="str">
        <f>IFERROR(__xludf.DUMMYFUNCTION("""COMPUTED_VALUE"""),"47½")</f>
        <v>47½</v>
      </c>
      <c r="K1148" t="str">
        <f>IFERROR(__xludf.DUMMYFUNCTION("""COMPUTED_VALUE"""),"Brad")</f>
        <v>Brad</v>
      </c>
      <c r="L1148" t="str">
        <f>IFERROR(__xludf.DUMMYFUNCTION("""COMPUTED_VALUE"""),"FINAL")</f>
        <v>FINAL</v>
      </c>
      <c r="M1148" s="124">
        <v>9.0</v>
      </c>
    </row>
    <row r="1149">
      <c r="A1149" s="151">
        <f>IFERROR(__xludf.DUMMYFUNCTION("""COMPUTED_VALUE"""),43765.147748449075)</f>
        <v>43765.14775</v>
      </c>
      <c r="B1149" t="str">
        <f>IFERROR(__xludf.DUMMYFUNCTION("""COMPUTED_VALUE"""),"Justin")</f>
        <v>Justin</v>
      </c>
      <c r="C1149" t="str">
        <f>IFERROR(__xludf.DUMMYFUNCTION("""COMPUTED_VALUE"""),"Oregon")</f>
        <v>Oregon</v>
      </c>
      <c r="D1149">
        <f>IFERROR(__xludf.DUMMYFUNCTION("""COMPUTED_VALUE"""),7.0)</f>
        <v>7</v>
      </c>
      <c r="E1149">
        <f>IFERROR(__xludf.DUMMYFUNCTION("""COMPUTED_VALUE"""),1.0)</f>
        <v>1</v>
      </c>
      <c r="F1149" t="str">
        <f>IFERROR(__xludf.DUMMYFUNCTION("""COMPUTED_VALUE"""),"ESPN")</f>
        <v>ESPN</v>
      </c>
      <c r="G1149" t="str">
        <f>IFERROR(__xludf.DUMMYFUNCTION("""COMPUTED_VALUE"""),"Washington State 35 at (11) Oregon 37")</f>
        <v>Washington State 35 at (11) Oregon 37</v>
      </c>
      <c r="H1149" t="str">
        <f>IFERROR(__xludf.DUMMYFUNCTION("""COMPUTED_VALUE"""),"FINAL")</f>
        <v>FINAL</v>
      </c>
      <c r="I1149">
        <f>IFERROR(__xludf.DUMMYFUNCTION("""COMPUTED_VALUE"""),-14.0)</f>
        <v>-14</v>
      </c>
      <c r="J1149">
        <f>IFERROR(__xludf.DUMMYFUNCTION("""COMPUTED_VALUE"""),64.0)</f>
        <v>64</v>
      </c>
      <c r="K1149" t="str">
        <f>IFERROR(__xludf.DUMMYFUNCTION("""COMPUTED_VALUE"""),"Nick A.")</f>
        <v>Nick A.</v>
      </c>
      <c r="L1149" t="str">
        <f>IFERROR(__xludf.DUMMYFUNCTION("""COMPUTED_VALUE"""),"FINAL")</f>
        <v>FINAL</v>
      </c>
      <c r="M1149" s="124">
        <v>9.0</v>
      </c>
    </row>
    <row r="1150">
      <c r="A1150" s="151">
        <f>IFERROR(__xludf.DUMMYFUNCTION("""COMPUTED_VALUE"""),43765.147748449075)</f>
        <v>43765.14775</v>
      </c>
      <c r="B1150" t="str">
        <f>IFERROR(__xludf.DUMMYFUNCTION("""COMPUTED_VALUE"""),"Justin")</f>
        <v>Justin</v>
      </c>
      <c r="C1150" t="str">
        <f>IFERROR(__xludf.DUMMYFUNCTION("""COMPUTED_VALUE"""),"UNLV")</f>
        <v>UNLV</v>
      </c>
      <c r="D1150">
        <f>IFERROR(__xludf.DUMMYFUNCTION("""COMPUTED_VALUE"""),2.0)</f>
        <v>2</v>
      </c>
      <c r="E1150">
        <f>IFERROR(__xludf.DUMMYFUNCTION("""COMPUTED_VALUE"""),6.0)</f>
        <v>6</v>
      </c>
      <c r="F1150" t="str">
        <f>IFERROR(__xludf.DUMMYFUNCTION("""COMPUTED_VALUE"""),"CBSSN")</f>
        <v>CBSSN</v>
      </c>
      <c r="G1150" t="str">
        <f>IFERROR(__xludf.DUMMYFUNCTION("""COMPUTED_VALUE"""),"San Diego State 20 at UNLV 17")</f>
        <v>San Diego State 20 at UNLV 17</v>
      </c>
      <c r="H1150" t="str">
        <f>IFERROR(__xludf.DUMMYFUNCTION("""COMPUTED_VALUE"""),"FINAL")</f>
        <v>FINAL</v>
      </c>
      <c r="I1150" t="str">
        <f>IFERROR(__xludf.DUMMYFUNCTION("""COMPUTED_VALUE"""),"13½")</f>
        <v>13½</v>
      </c>
      <c r="J1150" t="str">
        <f>IFERROR(__xludf.DUMMYFUNCTION("""COMPUTED_VALUE"""),"47½")</f>
        <v>47½</v>
      </c>
      <c r="K1150" t="str">
        <f>IFERROR(__xludf.DUMMYFUNCTION("""COMPUTED_VALUE"""),"Nick A.")</f>
        <v>Nick A.</v>
      </c>
      <c r="L1150" t="str">
        <f>IFERROR(__xludf.DUMMYFUNCTION("""COMPUTED_VALUE"""),"FINAL")</f>
        <v>FINAL</v>
      </c>
      <c r="M1150" s="124">
        <v>9.0</v>
      </c>
    </row>
    <row r="1151">
      <c r="A1151" s="151">
        <f>IFERROR(__xludf.DUMMYFUNCTION("""COMPUTED_VALUE"""),43765.147748449075)</f>
        <v>43765.14775</v>
      </c>
      <c r="B1151" t="str">
        <f>IFERROR(__xludf.DUMMYFUNCTION("""COMPUTED_VALUE"""),"Justin")</f>
        <v>Justin</v>
      </c>
      <c r="C1151" t="str">
        <f>IFERROR(__xludf.DUMMYFUNCTION("""COMPUTED_VALUE"""),"Baylor")</f>
        <v>Baylor</v>
      </c>
      <c r="D1151">
        <f>IFERROR(__xludf.DUMMYFUNCTION("""COMPUTED_VALUE"""),7.0)</f>
        <v>7</v>
      </c>
      <c r="E1151">
        <f>IFERROR(__xludf.DUMMYFUNCTION("""COMPUTED_VALUE"""),0.0)</f>
        <v>0</v>
      </c>
      <c r="F1151" t="str">
        <f>IFERROR(__xludf.DUMMYFUNCTION("""COMPUTED_VALUE"""),"NA")</f>
        <v>NA</v>
      </c>
      <c r="G1151" t="str">
        <f>IFERROR(__xludf.DUMMYFUNCTION("""COMPUTED_VALUE"""),"BYE")</f>
        <v>BYE</v>
      </c>
      <c r="I1151" t="str">
        <f>IFERROR(__xludf.DUMMYFUNCTION("""COMPUTED_VALUE"""),"bye")</f>
        <v>bye</v>
      </c>
      <c r="J1151" t="str">
        <f>IFERROR(__xludf.DUMMYFUNCTION("""COMPUTED_VALUE"""),"bye")</f>
        <v>bye</v>
      </c>
      <c r="L1151">
        <f>IFERROR(__xludf.DUMMYFUNCTION("""COMPUTED_VALUE"""),9999.0)</f>
        <v>9999</v>
      </c>
      <c r="M1151" s="124">
        <v>9.0</v>
      </c>
    </row>
    <row r="1152">
      <c r="A1152" s="151">
        <f>IFERROR(__xludf.DUMMYFUNCTION("""COMPUTED_VALUE"""),43765.147748449075)</f>
        <v>43765.14775</v>
      </c>
      <c r="B1152" t="str">
        <f>IFERROR(__xludf.DUMMYFUNCTION("""COMPUTED_VALUE"""),"Adam")</f>
        <v>Adam</v>
      </c>
      <c r="C1152" t="str">
        <f>IFERROR(__xludf.DUMMYFUNCTION("""COMPUTED_VALUE"""),"Northwestern")</f>
        <v>Northwestern</v>
      </c>
      <c r="D1152">
        <f>IFERROR(__xludf.DUMMYFUNCTION("""COMPUTED_VALUE"""),1.0)</f>
        <v>1</v>
      </c>
      <c r="E1152">
        <f>IFERROR(__xludf.DUMMYFUNCTION("""COMPUTED_VALUE"""),6.0)</f>
        <v>6</v>
      </c>
      <c r="F1152" t="str">
        <f>IFERROR(__xludf.DUMMYFUNCTION("""COMPUTED_VALUE"""),"ESPN2")</f>
        <v>ESPN2</v>
      </c>
      <c r="G1152" t="str">
        <f>IFERROR(__xludf.DUMMYFUNCTION("""COMPUTED_VALUE"""),"(19) Iowa 20 at Northwestern 0")</f>
        <v>(19) Iowa 20 at Northwestern 0</v>
      </c>
      <c r="H1152" t="str">
        <f>IFERROR(__xludf.DUMMYFUNCTION("""COMPUTED_VALUE"""),"FINAL")</f>
        <v>FINAL</v>
      </c>
      <c r="I1152" t="str">
        <f>IFERROR(__xludf.DUMMYFUNCTION("""COMPUTED_VALUE"""),"10½")</f>
        <v>10½</v>
      </c>
      <c r="J1152" t="str">
        <f>IFERROR(__xludf.DUMMYFUNCTION("""COMPUTED_VALUE"""),"37½")</f>
        <v>37½</v>
      </c>
      <c r="K1152" t="str">
        <f>IFERROR(__xludf.DUMMYFUNCTION("""COMPUTED_VALUE"""),"Justin")</f>
        <v>Justin</v>
      </c>
      <c r="L1152" t="str">
        <f>IFERROR(__xludf.DUMMYFUNCTION("""COMPUTED_VALUE"""),"FINAL")</f>
        <v>FINAL</v>
      </c>
      <c r="M1152" s="124">
        <v>9.0</v>
      </c>
    </row>
    <row r="1153">
      <c r="A1153" s="151">
        <f>IFERROR(__xludf.DUMMYFUNCTION("""COMPUTED_VALUE"""),43765.147748449075)</f>
        <v>43765.14775</v>
      </c>
      <c r="B1153" t="str">
        <f>IFERROR(__xludf.DUMMYFUNCTION("""COMPUTED_VALUE"""),"Adam")</f>
        <v>Adam</v>
      </c>
      <c r="C1153" t="str">
        <f>IFERROR(__xludf.DUMMYFUNCTION("""COMPUTED_VALUE"""),"Texas")</f>
        <v>Texas</v>
      </c>
      <c r="D1153">
        <f>IFERROR(__xludf.DUMMYFUNCTION("""COMPUTED_VALUE"""),5.0)</f>
        <v>5</v>
      </c>
      <c r="E1153">
        <f>IFERROR(__xludf.DUMMYFUNCTION("""COMPUTED_VALUE"""),3.0)</f>
        <v>3</v>
      </c>
      <c r="F1153" t="str">
        <f>IFERROR(__xludf.DUMMYFUNCTION("""COMPUTED_VALUE"""),"FOX")</f>
        <v>FOX</v>
      </c>
      <c r="G1153" t="str">
        <f>IFERROR(__xludf.DUMMYFUNCTION("""COMPUTED_VALUE"""),"(15) Texas 27 at TCU 37")</f>
        <v>(15) Texas 27 at TCU 37</v>
      </c>
      <c r="H1153" t="str">
        <f>IFERROR(__xludf.DUMMYFUNCTION("""COMPUTED_VALUE"""),"FINAL")</f>
        <v>FINAL</v>
      </c>
      <c r="I1153" t="str">
        <f>IFERROR(__xludf.DUMMYFUNCTION("""COMPUTED_VALUE"""),"-1½")</f>
        <v>-1½</v>
      </c>
      <c r="J1153">
        <f>IFERROR(__xludf.DUMMYFUNCTION("""COMPUTED_VALUE"""),61.0)</f>
        <v>61</v>
      </c>
      <c r="K1153" t="str">
        <f>IFERROR(__xludf.DUMMYFUNCTION("""COMPUTED_VALUE"""),"Vu")</f>
        <v>Vu</v>
      </c>
      <c r="L1153" t="str">
        <f>IFERROR(__xludf.DUMMYFUNCTION("""COMPUTED_VALUE"""),"FINAL")</f>
        <v>FINAL</v>
      </c>
      <c r="M1153" s="124">
        <v>9.0</v>
      </c>
    </row>
    <row r="1154">
      <c r="A1154" s="151">
        <f>IFERROR(__xludf.DUMMYFUNCTION("""COMPUTED_VALUE"""),43765.147748449075)</f>
        <v>43765.14775</v>
      </c>
      <c r="B1154" t="str">
        <f>IFERROR(__xludf.DUMMYFUNCTION("""COMPUTED_VALUE"""),"Adam")</f>
        <v>Adam</v>
      </c>
      <c r="C1154" t="str">
        <f>IFERROR(__xludf.DUMMYFUNCTION("""COMPUTED_VALUE"""),"Florida Intl")</f>
        <v>Florida Intl</v>
      </c>
      <c r="D1154">
        <f>IFERROR(__xludf.DUMMYFUNCTION("""COMPUTED_VALUE"""),4.0)</f>
        <v>4</v>
      </c>
      <c r="E1154">
        <f>IFERROR(__xludf.DUMMYFUNCTION("""COMPUTED_VALUE"""),4.0)</f>
        <v>4</v>
      </c>
      <c r="F1154" t="str">
        <f>IFERROR(__xludf.DUMMYFUNCTION("""COMPUTED_VALUE"""),"NA")</f>
        <v>NA</v>
      </c>
      <c r="G1154" t="str">
        <f>IFERROR(__xludf.DUMMYFUNCTION("""COMPUTED_VALUE"""),"Florida Intl 17 at Middle Tennessee 50")</f>
        <v>Florida Intl 17 at Middle Tennessee 50</v>
      </c>
      <c r="H1154" t="str">
        <f>IFERROR(__xludf.DUMMYFUNCTION("""COMPUTED_VALUE"""),"FINAL")</f>
        <v>FINAL</v>
      </c>
      <c r="I1154">
        <f>IFERROR(__xludf.DUMMYFUNCTION("""COMPUTED_VALUE"""),-3.0)</f>
        <v>-3</v>
      </c>
      <c r="J1154">
        <f>IFERROR(__xludf.DUMMYFUNCTION("""COMPUTED_VALUE"""),59.0)</f>
        <v>59</v>
      </c>
      <c r="K1154" t="str">
        <f>IFERROR(__xludf.DUMMYFUNCTION("""COMPUTED_VALUE"""),"Nico")</f>
        <v>Nico</v>
      </c>
      <c r="L1154" t="str">
        <f>IFERROR(__xludf.DUMMYFUNCTION("""COMPUTED_VALUE"""),"FINAL")</f>
        <v>FINAL</v>
      </c>
      <c r="M1154" s="124">
        <v>9.0</v>
      </c>
    </row>
    <row r="1155">
      <c r="A1155" s="151">
        <f>IFERROR(__xludf.DUMMYFUNCTION("""COMPUTED_VALUE"""),43765.147748449075)</f>
        <v>43765.14775</v>
      </c>
      <c r="B1155" t="str">
        <f>IFERROR(__xludf.DUMMYFUNCTION("""COMPUTED_VALUE"""),"Adam")</f>
        <v>Adam</v>
      </c>
      <c r="C1155" t="str">
        <f>IFERROR(__xludf.DUMMYFUNCTION("""COMPUTED_VALUE"""),"Akron")</f>
        <v>Akron</v>
      </c>
      <c r="D1155">
        <f>IFERROR(__xludf.DUMMYFUNCTION("""COMPUTED_VALUE"""),0.0)</f>
        <v>0</v>
      </c>
      <c r="E1155">
        <f>IFERROR(__xludf.DUMMYFUNCTION("""COMPUTED_VALUE"""),8.0)</f>
        <v>8</v>
      </c>
      <c r="F1155" t="str">
        <f>IFERROR(__xludf.DUMMYFUNCTION("""COMPUTED_VALUE"""),"espn3 Video")</f>
        <v>espn3 Video</v>
      </c>
      <c r="G1155" t="str">
        <f>IFERROR(__xludf.DUMMYFUNCTION("""COMPUTED_VALUE"""),"Akron 0 at Northern Illinois 49")</f>
        <v>Akron 0 at Northern Illinois 49</v>
      </c>
      <c r="H1155" t="str">
        <f>IFERROR(__xludf.DUMMYFUNCTION("""COMPUTED_VALUE"""),"FINAL")</f>
        <v>FINAL</v>
      </c>
      <c r="I1155">
        <f>IFERROR(__xludf.DUMMYFUNCTION("""COMPUTED_VALUE"""),24.0)</f>
        <v>24</v>
      </c>
      <c r="J1155" t="str">
        <f>IFERROR(__xludf.DUMMYFUNCTION("""COMPUTED_VALUE"""),"44½")</f>
        <v>44½</v>
      </c>
      <c r="K1155" t="str">
        <f>IFERROR(__xludf.DUMMYFUNCTION("""COMPUTED_VALUE"""),"Janice/Mike")</f>
        <v>Janice/Mike</v>
      </c>
      <c r="L1155" t="str">
        <f>IFERROR(__xludf.DUMMYFUNCTION("""COMPUTED_VALUE"""),"FINAL")</f>
        <v>FINAL</v>
      </c>
      <c r="M1155" s="124">
        <v>9.0</v>
      </c>
    </row>
    <row r="1156">
      <c r="A1156" s="151">
        <f>IFERROR(__xludf.DUMMYFUNCTION("""COMPUTED_VALUE"""),43765.147748449075)</f>
        <v>43765.14775</v>
      </c>
      <c r="B1156" t="str">
        <f>IFERROR(__xludf.DUMMYFUNCTION("""COMPUTED_VALUE"""),"Adam")</f>
        <v>Adam</v>
      </c>
      <c r="C1156" t="str">
        <f>IFERROR(__xludf.DUMMYFUNCTION("""COMPUTED_VALUE"""),"UCF")</f>
        <v>UCF</v>
      </c>
      <c r="D1156">
        <f>IFERROR(__xludf.DUMMYFUNCTION("""COMPUTED_VALUE"""),6.0)</f>
        <v>6</v>
      </c>
      <c r="E1156">
        <f>IFERROR(__xludf.DUMMYFUNCTION("""COMPUTED_VALUE"""),2.0)</f>
        <v>2</v>
      </c>
      <c r="F1156" t="str">
        <f>IFERROR(__xludf.DUMMYFUNCTION("""COMPUTED_VALUE"""),"ESPN2")</f>
        <v>ESPN2</v>
      </c>
      <c r="G1156" t="str">
        <f>IFERROR(__xludf.DUMMYFUNCTION("""COMPUTED_VALUE"""),"UCF 63 at Temple 21")</f>
        <v>UCF 63 at Temple 21</v>
      </c>
      <c r="H1156" t="str">
        <f>IFERROR(__xludf.DUMMYFUNCTION("""COMPUTED_VALUE"""),"FINAL")</f>
        <v>FINAL</v>
      </c>
      <c r="I1156">
        <f>IFERROR(__xludf.DUMMYFUNCTION("""COMPUTED_VALUE"""),-10.0)</f>
        <v>-10</v>
      </c>
      <c r="J1156">
        <f>IFERROR(__xludf.DUMMYFUNCTION("""COMPUTED_VALUE"""),61.0)</f>
        <v>61</v>
      </c>
      <c r="K1156" t="str">
        <f>IFERROR(__xludf.DUMMYFUNCTION("""COMPUTED_VALUE"""),"Josh R.")</f>
        <v>Josh R.</v>
      </c>
      <c r="L1156" t="str">
        <f>IFERROR(__xludf.DUMMYFUNCTION("""COMPUTED_VALUE"""),"FINAL")</f>
        <v>FINAL</v>
      </c>
      <c r="M1156" s="124">
        <v>9.0</v>
      </c>
    </row>
    <row r="1157">
      <c r="A1157" s="151">
        <f>IFERROR(__xludf.DUMMYFUNCTION("""COMPUTED_VALUE"""),43765.147748449075)</f>
        <v>43765.14775</v>
      </c>
      <c r="B1157" t="str">
        <f>IFERROR(__xludf.DUMMYFUNCTION("""COMPUTED_VALUE"""),"Adam")</f>
        <v>Adam</v>
      </c>
      <c r="C1157" t="str">
        <f>IFERROR(__xludf.DUMMYFUNCTION("""COMPUTED_VALUE"""),"Georgia State")</f>
        <v>Georgia State</v>
      </c>
      <c r="D1157">
        <f>IFERROR(__xludf.DUMMYFUNCTION("""COMPUTED_VALUE"""),6.0)</f>
        <v>6</v>
      </c>
      <c r="E1157">
        <f>IFERROR(__xludf.DUMMYFUNCTION("""COMPUTED_VALUE"""),2.0)</f>
        <v>2</v>
      </c>
      <c r="F1157" t="str">
        <f>IFERROR(__xludf.DUMMYFUNCTION("""COMPUTED_VALUE"""),"espn+ Video")</f>
        <v>espn+ Video</v>
      </c>
      <c r="G1157" t="str">
        <f>IFERROR(__xludf.DUMMYFUNCTION("""COMPUTED_VALUE"""),"Troy 33 at Georgia State 52")</f>
        <v>Troy 33 at Georgia State 52</v>
      </c>
      <c r="H1157" t="str">
        <f>IFERROR(__xludf.DUMMYFUNCTION("""COMPUTED_VALUE"""),"FINAL")</f>
        <v>FINAL</v>
      </c>
      <c r="I1157">
        <f>IFERROR(__xludf.DUMMYFUNCTION("""COMPUTED_VALUE"""),-1.0)</f>
        <v>-1</v>
      </c>
      <c r="J1157">
        <f>IFERROR(__xludf.DUMMYFUNCTION("""COMPUTED_VALUE"""),66.0)</f>
        <v>66</v>
      </c>
      <c r="K1157" t="str">
        <f>IFERROR(__xludf.DUMMYFUNCTION("""COMPUTED_VALUE"""),"Nick G.")</f>
        <v>Nick G.</v>
      </c>
      <c r="L1157" t="str">
        <f>IFERROR(__xludf.DUMMYFUNCTION("""COMPUTED_VALUE"""),"FINAL")</f>
        <v>FINAL</v>
      </c>
      <c r="M1157" s="124">
        <v>9.0</v>
      </c>
    </row>
    <row r="1158">
      <c r="A1158" s="151">
        <f>IFERROR(__xludf.DUMMYFUNCTION("""COMPUTED_VALUE"""),43765.147748449075)</f>
        <v>43765.14775</v>
      </c>
      <c r="B1158" t="str">
        <f>IFERROR(__xludf.DUMMYFUNCTION("""COMPUTED_VALUE"""),"Adam")</f>
        <v>Adam</v>
      </c>
      <c r="C1158" t="str">
        <f>IFERROR(__xludf.DUMMYFUNCTION("""COMPUTED_VALUE"""),"Air Force")</f>
        <v>Air Force</v>
      </c>
      <c r="D1158">
        <f>IFERROR(__xludf.DUMMYFUNCTION("""COMPUTED_VALUE"""),6.0)</f>
        <v>6</v>
      </c>
      <c r="E1158">
        <f>IFERROR(__xludf.DUMMYFUNCTION("""COMPUTED_VALUE"""),2.0)</f>
        <v>2</v>
      </c>
      <c r="F1158" t="str">
        <f>IFERROR(__xludf.DUMMYFUNCTION("""COMPUTED_VALUE"""),"ESPN2")</f>
        <v>ESPN2</v>
      </c>
      <c r="G1158" t="str">
        <f>IFERROR(__xludf.DUMMYFUNCTION("""COMPUTED_VALUE"""),"Utah State 7 at Air Force 31")</f>
        <v>Utah State 7 at Air Force 31</v>
      </c>
      <c r="H1158" t="str">
        <f>IFERROR(__xludf.DUMMYFUNCTION("""COMPUTED_VALUE"""),"FINAL")</f>
        <v>FINAL</v>
      </c>
      <c r="I1158" t="str">
        <f>IFERROR(__xludf.DUMMYFUNCTION("""COMPUTED_VALUE"""),"-3½")</f>
        <v>-3½</v>
      </c>
      <c r="J1158">
        <f>IFERROR(__xludf.DUMMYFUNCTION("""COMPUTED_VALUE"""),59.0)</f>
        <v>59</v>
      </c>
      <c r="K1158" t="str">
        <f>IFERROR(__xludf.DUMMYFUNCTION("""COMPUTED_VALUE"""),"Gary")</f>
        <v>Gary</v>
      </c>
      <c r="L1158" t="str">
        <f>IFERROR(__xludf.DUMMYFUNCTION("""COMPUTED_VALUE"""),"FINAL")</f>
        <v>FINAL</v>
      </c>
      <c r="M1158" s="124">
        <v>9.0</v>
      </c>
    </row>
    <row r="1159">
      <c r="A1159" s="151">
        <f>IFERROR(__xludf.DUMMYFUNCTION("""COMPUTED_VALUE"""),43765.147748449075)</f>
        <v>43765.14775</v>
      </c>
      <c r="B1159" t="str">
        <f>IFERROR(__xludf.DUMMYFUNCTION("""COMPUTED_VALUE"""),"Adam")</f>
        <v>Adam</v>
      </c>
      <c r="C1159" t="str">
        <f>IFERROR(__xludf.DUMMYFUNCTION("""COMPUTED_VALUE"""),"Florida")</f>
        <v>Florida</v>
      </c>
      <c r="D1159">
        <f>IFERROR(__xludf.DUMMYFUNCTION("""COMPUTED_VALUE"""),7.0)</f>
        <v>7</v>
      </c>
      <c r="E1159">
        <f>IFERROR(__xludf.DUMMYFUNCTION("""COMPUTED_VALUE"""),1.0)</f>
        <v>1</v>
      </c>
      <c r="F1159" t="str">
        <f>IFERROR(__xludf.DUMMYFUNCTION("""COMPUTED_VALUE"""),"NA")</f>
        <v>NA</v>
      </c>
      <c r="G1159" t="str">
        <f>IFERROR(__xludf.DUMMYFUNCTION("""COMPUTED_VALUE"""),"BYE")</f>
        <v>BYE</v>
      </c>
      <c r="I1159" t="str">
        <f>IFERROR(__xludf.DUMMYFUNCTION("""COMPUTED_VALUE"""),"bye")</f>
        <v>bye</v>
      </c>
      <c r="J1159" t="str">
        <f>IFERROR(__xludf.DUMMYFUNCTION("""COMPUTED_VALUE"""),"bye")</f>
        <v>bye</v>
      </c>
      <c r="L1159">
        <f>IFERROR(__xludf.DUMMYFUNCTION("""COMPUTED_VALUE"""),9999.0)</f>
        <v>9999</v>
      </c>
      <c r="M1159" s="124">
        <v>9.0</v>
      </c>
    </row>
    <row r="1160">
      <c r="A1160" s="151">
        <f>IFERROR(__xludf.DUMMYFUNCTION("""COMPUTED_VALUE"""),43765.147748449075)</f>
        <v>43765.14775</v>
      </c>
      <c r="B1160" t="str">
        <f>IFERROR(__xludf.DUMMYFUNCTION("""COMPUTED_VALUE"""),"Adam")</f>
        <v>Adam</v>
      </c>
      <c r="C1160" t="str">
        <f>IFERROR(__xludf.DUMMYFUNCTION("""COMPUTED_VALUE"""),"Oregon State")</f>
        <v>Oregon State</v>
      </c>
      <c r="D1160">
        <f>IFERROR(__xludf.DUMMYFUNCTION("""COMPUTED_VALUE"""),3.0)</f>
        <v>3</v>
      </c>
      <c r="E1160">
        <f>IFERROR(__xludf.DUMMYFUNCTION("""COMPUTED_VALUE"""),4.0)</f>
        <v>4</v>
      </c>
      <c r="F1160" t="str">
        <f>IFERROR(__xludf.DUMMYFUNCTION("""COMPUTED_VALUE"""),"NA")</f>
        <v>NA</v>
      </c>
      <c r="G1160" t="str">
        <f>IFERROR(__xludf.DUMMYFUNCTION("""COMPUTED_VALUE"""),"BYE")</f>
        <v>BYE</v>
      </c>
      <c r="I1160" t="str">
        <f>IFERROR(__xludf.DUMMYFUNCTION("""COMPUTED_VALUE"""),"bye")</f>
        <v>bye</v>
      </c>
      <c r="J1160" t="str">
        <f>IFERROR(__xludf.DUMMYFUNCTION("""COMPUTED_VALUE"""),"bye")</f>
        <v>bye</v>
      </c>
      <c r="L1160">
        <f>IFERROR(__xludf.DUMMYFUNCTION("""COMPUTED_VALUE"""),9999.0)</f>
        <v>9999</v>
      </c>
      <c r="M1160" s="124">
        <v>9.0</v>
      </c>
    </row>
    <row r="1161">
      <c r="A1161" s="151">
        <f>IFERROR(__xludf.DUMMYFUNCTION("""COMPUTED_VALUE"""),43765.147748449075)</f>
        <v>43765.14775</v>
      </c>
      <c r="B1161" t="str">
        <f>IFERROR(__xludf.DUMMYFUNCTION("""COMPUTED_VALUE"""),"Adam")</f>
        <v>Adam</v>
      </c>
      <c r="C1161" t="str">
        <f>IFERROR(__xludf.DUMMYFUNCTION("""COMPUTED_VALUE"""),"Wake Forest")</f>
        <v>Wake Forest</v>
      </c>
      <c r="D1161">
        <f>IFERROR(__xludf.DUMMYFUNCTION("""COMPUTED_VALUE"""),6.0)</f>
        <v>6</v>
      </c>
      <c r="E1161">
        <f>IFERROR(__xludf.DUMMYFUNCTION("""COMPUTED_VALUE"""),1.0)</f>
        <v>1</v>
      </c>
      <c r="F1161" t="str">
        <f>IFERROR(__xludf.DUMMYFUNCTION("""COMPUTED_VALUE"""),"NA")</f>
        <v>NA</v>
      </c>
      <c r="G1161" t="str">
        <f>IFERROR(__xludf.DUMMYFUNCTION("""COMPUTED_VALUE"""),"BYE")</f>
        <v>BYE</v>
      </c>
      <c r="I1161" t="str">
        <f>IFERROR(__xludf.DUMMYFUNCTION("""COMPUTED_VALUE"""),"bye")</f>
        <v>bye</v>
      </c>
      <c r="J1161" t="str">
        <f>IFERROR(__xludf.DUMMYFUNCTION("""COMPUTED_VALUE"""),"bye")</f>
        <v>bye</v>
      </c>
      <c r="L1161">
        <f>IFERROR(__xludf.DUMMYFUNCTION("""COMPUTED_VALUE"""),9999.0)</f>
        <v>9999</v>
      </c>
      <c r="M1161" s="124">
        <v>9.0</v>
      </c>
    </row>
    <row r="1162">
      <c r="A1162" s="151">
        <f>IFERROR(__xludf.DUMMYFUNCTION("""COMPUTED_VALUE"""),43765.147748449075)</f>
        <v>43765.14775</v>
      </c>
      <c r="B1162" t="str">
        <f>IFERROR(__xludf.DUMMYFUNCTION("""COMPUTED_VALUE"""),"Vu")</f>
        <v>Vu</v>
      </c>
      <c r="C1162" t="str">
        <f>IFERROR(__xludf.DUMMYFUNCTION("""COMPUTED_VALUE"""),"South Alabama")</f>
        <v>South Alabama</v>
      </c>
      <c r="D1162">
        <f>IFERROR(__xludf.DUMMYFUNCTION("""COMPUTED_VALUE"""),1.0)</f>
        <v>1</v>
      </c>
      <c r="E1162">
        <f>IFERROR(__xludf.DUMMYFUNCTION("""COMPUTED_VALUE"""),7.0)</f>
        <v>7</v>
      </c>
      <c r="F1162" t="str">
        <f>IFERROR(__xludf.DUMMYFUNCTION("""COMPUTED_VALUE"""),"ESPNU")</f>
        <v>ESPNU</v>
      </c>
      <c r="G1162" t="str">
        <f>IFERROR(__xludf.DUMMYFUNCTION("""COMPUTED_VALUE"""),"(22) Appalachian State 30 at South Alabama 3")</f>
        <v>(22) Appalachian State 30 at South Alabama 3</v>
      </c>
      <c r="H1162" t="str">
        <f>IFERROR(__xludf.DUMMYFUNCTION("""COMPUTED_VALUE"""),"FINAL")</f>
        <v>FINAL</v>
      </c>
      <c r="I1162" t="str">
        <f>IFERROR(__xludf.DUMMYFUNCTION("""COMPUTED_VALUE"""),"24½")</f>
        <v>24½</v>
      </c>
      <c r="J1162">
        <f>IFERROR(__xludf.DUMMYFUNCTION("""COMPUTED_VALUE"""),53.0)</f>
        <v>53</v>
      </c>
      <c r="K1162" t="str">
        <f>IFERROR(__xludf.DUMMYFUNCTION("""COMPUTED_VALUE"""),"Justin")</f>
        <v>Justin</v>
      </c>
      <c r="L1162" t="str">
        <f>IFERROR(__xludf.DUMMYFUNCTION("""COMPUTED_VALUE"""),"FINAL")</f>
        <v>FINAL</v>
      </c>
      <c r="M1162" s="124">
        <v>9.0</v>
      </c>
    </row>
    <row r="1163">
      <c r="A1163" s="151">
        <f>IFERROR(__xludf.DUMMYFUNCTION("""COMPUTED_VALUE"""),43765.147748449075)</f>
        <v>43765.14775</v>
      </c>
      <c r="B1163" t="str">
        <f>IFERROR(__xludf.DUMMYFUNCTION("""COMPUTED_VALUE"""),"Vu")</f>
        <v>Vu</v>
      </c>
      <c r="C1163" t="str">
        <f>IFERROR(__xludf.DUMMYFUNCTION("""COMPUTED_VALUE"""),"Texas A&amp;M")</f>
        <v>Texas A&amp;M</v>
      </c>
      <c r="D1163">
        <f>IFERROR(__xludf.DUMMYFUNCTION("""COMPUTED_VALUE"""),5.0)</f>
        <v>5</v>
      </c>
      <c r="E1163">
        <f>IFERROR(__xludf.DUMMYFUNCTION("""COMPUTED_VALUE"""),3.0)</f>
        <v>3</v>
      </c>
      <c r="F1163" t="str">
        <f>IFERROR(__xludf.DUMMYFUNCTION("""COMPUTED_VALUE"""),"SEC Network")</f>
        <v>SEC Network</v>
      </c>
      <c r="G1163" t="str">
        <f>IFERROR(__xludf.DUMMYFUNCTION("""COMPUTED_VALUE"""),"Mississippi State 30 at Texas A&amp;M 49")</f>
        <v>Mississippi State 30 at Texas A&amp;M 49</v>
      </c>
      <c r="H1163" t="str">
        <f>IFERROR(__xludf.DUMMYFUNCTION("""COMPUTED_VALUE"""),"FINAL")</f>
        <v>FINAL</v>
      </c>
      <c r="I1163" t="str">
        <f>IFERROR(__xludf.DUMMYFUNCTION("""COMPUTED_VALUE"""),"-10½")</f>
        <v>-10½</v>
      </c>
      <c r="J1163">
        <f>IFERROR(__xludf.DUMMYFUNCTION("""COMPUTED_VALUE"""),51.0)</f>
        <v>51</v>
      </c>
      <c r="K1163" t="str">
        <f>IFERROR(__xludf.DUMMYFUNCTION("""COMPUTED_VALUE"""),"Jeannine")</f>
        <v>Jeannine</v>
      </c>
      <c r="L1163" t="str">
        <f>IFERROR(__xludf.DUMMYFUNCTION("""COMPUTED_VALUE"""),"FINAL")</f>
        <v>FINAL</v>
      </c>
      <c r="M1163" s="124">
        <v>9.0</v>
      </c>
    </row>
    <row r="1164">
      <c r="A1164" s="151">
        <f>IFERROR(__xludf.DUMMYFUNCTION("""COMPUTED_VALUE"""),43765.147748449075)</f>
        <v>43765.14775</v>
      </c>
      <c r="B1164" t="str">
        <f>IFERROR(__xludf.DUMMYFUNCTION("""COMPUTED_VALUE"""),"Vu")</f>
        <v>Vu</v>
      </c>
      <c r="C1164" t="str">
        <f>IFERROR(__xludf.DUMMYFUNCTION("""COMPUTED_VALUE"""),"TCU")</f>
        <v>TCU</v>
      </c>
      <c r="D1164">
        <f>IFERROR(__xludf.DUMMYFUNCTION("""COMPUTED_VALUE"""),4.0)</f>
        <v>4</v>
      </c>
      <c r="E1164">
        <f>IFERROR(__xludf.DUMMYFUNCTION("""COMPUTED_VALUE"""),3.0)</f>
        <v>3</v>
      </c>
      <c r="F1164" t="str">
        <f>IFERROR(__xludf.DUMMYFUNCTION("""COMPUTED_VALUE"""),"FOX")</f>
        <v>FOX</v>
      </c>
      <c r="G1164" t="str">
        <f>IFERROR(__xludf.DUMMYFUNCTION("""COMPUTED_VALUE"""),"(15) Texas 27 at TCU 37")</f>
        <v>(15) Texas 27 at TCU 37</v>
      </c>
      <c r="H1164" t="str">
        <f>IFERROR(__xludf.DUMMYFUNCTION("""COMPUTED_VALUE"""),"FINAL")</f>
        <v>FINAL</v>
      </c>
      <c r="I1164" t="str">
        <f>IFERROR(__xludf.DUMMYFUNCTION("""COMPUTED_VALUE"""),"1½")</f>
        <v>1½</v>
      </c>
      <c r="J1164">
        <f>IFERROR(__xludf.DUMMYFUNCTION("""COMPUTED_VALUE"""),61.0)</f>
        <v>61</v>
      </c>
      <c r="K1164" t="str">
        <f>IFERROR(__xludf.DUMMYFUNCTION("""COMPUTED_VALUE"""),"Adam")</f>
        <v>Adam</v>
      </c>
      <c r="L1164" t="str">
        <f>IFERROR(__xludf.DUMMYFUNCTION("""COMPUTED_VALUE"""),"FINAL")</f>
        <v>FINAL</v>
      </c>
      <c r="M1164" s="124">
        <v>9.0</v>
      </c>
    </row>
    <row r="1165">
      <c r="A1165" s="151">
        <f>IFERROR(__xludf.DUMMYFUNCTION("""COMPUTED_VALUE"""),43765.147748449075)</f>
        <v>43765.14775</v>
      </c>
      <c r="B1165" t="str">
        <f>IFERROR(__xludf.DUMMYFUNCTION("""COMPUTED_VALUE"""),"Vu")</f>
        <v>Vu</v>
      </c>
      <c r="C1165" t="str">
        <f>IFERROR(__xludf.DUMMYFUNCTION("""COMPUTED_VALUE"""),"North Texas")</f>
        <v>North Texas</v>
      </c>
      <c r="D1165">
        <f>IFERROR(__xludf.DUMMYFUNCTION("""COMPUTED_VALUE"""),3.0)</f>
        <v>3</v>
      </c>
      <c r="E1165">
        <f>IFERROR(__xludf.DUMMYFUNCTION("""COMPUTED_VALUE"""),5.0)</f>
        <v>5</v>
      </c>
      <c r="F1165" t="str">
        <f>IFERROR(__xludf.DUMMYFUNCTION("""COMPUTED_VALUE"""),"espn+ Video")</f>
        <v>espn+ Video</v>
      </c>
      <c r="G1165" t="str">
        <f>IFERROR(__xludf.DUMMYFUNCTION("""COMPUTED_VALUE"""),"North Texas 38 at Charlotte 39")</f>
        <v>North Texas 38 at Charlotte 39</v>
      </c>
      <c r="H1165" t="str">
        <f>IFERROR(__xludf.DUMMYFUNCTION("""COMPUTED_VALUE"""),"FINAL")</f>
        <v>FINAL</v>
      </c>
      <c r="I1165" t="str">
        <f>IFERROR(__xludf.DUMMYFUNCTION("""COMPUTED_VALUE"""),"-4½")</f>
        <v>-4½</v>
      </c>
      <c r="J1165">
        <f>IFERROR(__xludf.DUMMYFUNCTION("""COMPUTED_VALUE"""),65.0)</f>
        <v>65</v>
      </c>
      <c r="K1165" t="str">
        <f>IFERROR(__xludf.DUMMYFUNCTION("""COMPUTED_VALUE"""),"Janice/Mike")</f>
        <v>Janice/Mike</v>
      </c>
      <c r="L1165" t="str">
        <f>IFERROR(__xludf.DUMMYFUNCTION("""COMPUTED_VALUE"""),"FINAL")</f>
        <v>FINAL</v>
      </c>
      <c r="M1165" s="124">
        <v>9.0</v>
      </c>
    </row>
    <row r="1166">
      <c r="A1166" s="151">
        <f>IFERROR(__xludf.DUMMYFUNCTION("""COMPUTED_VALUE"""),43765.147748449075)</f>
        <v>43765.14775</v>
      </c>
      <c r="B1166" t="str">
        <f>IFERROR(__xludf.DUMMYFUNCTION("""COMPUTED_VALUE"""),"Vu")</f>
        <v>Vu</v>
      </c>
      <c r="C1166" t="str">
        <f>IFERROR(__xludf.DUMMYFUNCTION("""COMPUTED_VALUE"""),"Syracuse")</f>
        <v>Syracuse</v>
      </c>
      <c r="D1166">
        <f>IFERROR(__xludf.DUMMYFUNCTION("""COMPUTED_VALUE"""),3.0)</f>
        <v>3</v>
      </c>
      <c r="E1166">
        <f>IFERROR(__xludf.DUMMYFUNCTION("""COMPUTED_VALUE"""),5.0)</f>
        <v>5</v>
      </c>
      <c r="F1166" t="str">
        <f>IFERROR(__xludf.DUMMYFUNCTION("""COMPUTED_VALUE"""),"ESPN2")</f>
        <v>ESPN2</v>
      </c>
      <c r="G1166" t="str">
        <f>IFERROR(__xludf.DUMMYFUNCTION("""COMPUTED_VALUE"""),"Syracuse 17 at Florida State 35")</f>
        <v>Syracuse 17 at Florida State 35</v>
      </c>
      <c r="H1166" t="str">
        <f>IFERROR(__xludf.DUMMYFUNCTION("""COMPUTED_VALUE"""),"FINAL")</f>
        <v>FINAL</v>
      </c>
      <c r="I1166" t="str">
        <f>IFERROR(__xludf.DUMMYFUNCTION("""COMPUTED_VALUE"""),"10½")</f>
        <v>10½</v>
      </c>
      <c r="J1166" t="str">
        <f>IFERROR(__xludf.DUMMYFUNCTION("""COMPUTED_VALUE"""),"57½")</f>
        <v>57½</v>
      </c>
      <c r="K1166" t="str">
        <f>IFERROR(__xludf.DUMMYFUNCTION("""COMPUTED_VALUE"""),"Josh R.")</f>
        <v>Josh R.</v>
      </c>
      <c r="L1166" t="str">
        <f>IFERROR(__xludf.DUMMYFUNCTION("""COMPUTED_VALUE"""),"FINAL")</f>
        <v>FINAL</v>
      </c>
      <c r="M1166" s="124">
        <v>9.0</v>
      </c>
    </row>
    <row r="1167">
      <c r="A1167" s="151">
        <f>IFERROR(__xludf.DUMMYFUNCTION("""COMPUTED_VALUE"""),43765.147748449075)</f>
        <v>43765.14775</v>
      </c>
      <c r="B1167" t="str">
        <f>IFERROR(__xludf.DUMMYFUNCTION("""COMPUTED_VALUE"""),"Vu")</f>
        <v>Vu</v>
      </c>
      <c r="C1167" t="str">
        <f>IFERROR(__xludf.DUMMYFUNCTION("""COMPUTED_VALUE"""),"Kent State")</f>
        <v>Kent State</v>
      </c>
      <c r="D1167">
        <f>IFERROR(__xludf.DUMMYFUNCTION("""COMPUTED_VALUE"""),3.0)</f>
        <v>3</v>
      </c>
      <c r="E1167">
        <f>IFERROR(__xludf.DUMMYFUNCTION("""COMPUTED_VALUE"""),5.0)</f>
        <v>5</v>
      </c>
      <c r="F1167" t="str">
        <f>IFERROR(__xludf.DUMMYFUNCTION("""COMPUTED_VALUE"""),"espn+ Video")</f>
        <v>espn+ Video</v>
      </c>
      <c r="G1167" t="str">
        <f>IFERROR(__xludf.DUMMYFUNCTION("""COMPUTED_VALUE"""),"Miami-OH 23 at Kent State 16")</f>
        <v>Miami-OH 23 at Kent State 16</v>
      </c>
      <c r="H1167" t="str">
        <f>IFERROR(__xludf.DUMMYFUNCTION("""COMPUTED_VALUE"""),"FINAL")</f>
        <v>FINAL</v>
      </c>
      <c r="I1167">
        <f>IFERROR(__xludf.DUMMYFUNCTION("""COMPUTED_VALUE"""),-2.0)</f>
        <v>-2</v>
      </c>
      <c r="J1167">
        <f>IFERROR(__xludf.DUMMYFUNCTION("""COMPUTED_VALUE"""),58.0)</f>
        <v>58</v>
      </c>
      <c r="K1167" t="str">
        <f>IFERROR(__xludf.DUMMYFUNCTION("""COMPUTED_VALUE"""),"Nico")</f>
        <v>Nico</v>
      </c>
      <c r="L1167" t="str">
        <f>IFERROR(__xludf.DUMMYFUNCTION("""COMPUTED_VALUE"""),"FINAL")</f>
        <v>FINAL</v>
      </c>
      <c r="M1167" s="124">
        <v>9.0</v>
      </c>
    </row>
    <row r="1168">
      <c r="A1168" s="151">
        <f>IFERROR(__xludf.DUMMYFUNCTION("""COMPUTED_VALUE"""),43765.147748449075)</f>
        <v>43765.14775</v>
      </c>
      <c r="B1168" t="str">
        <f>IFERROR(__xludf.DUMMYFUNCTION("""COMPUTED_VALUE"""),"Vu")</f>
        <v>Vu</v>
      </c>
      <c r="C1168" t="str">
        <f>IFERROR(__xludf.DUMMYFUNCTION("""COMPUTED_VALUE"""),"Hawaii")</f>
        <v>Hawaii</v>
      </c>
      <c r="D1168">
        <f>IFERROR(__xludf.DUMMYFUNCTION("""COMPUTED_VALUE"""),5.0)</f>
        <v>5</v>
      </c>
      <c r="E1168">
        <f>IFERROR(__xludf.DUMMYFUNCTION("""COMPUTED_VALUE"""),3.0)</f>
        <v>3</v>
      </c>
      <c r="F1168" t="str">
        <f>IFERROR(__xludf.DUMMYFUNCTION("""COMPUTED_VALUE"""),"Facebook Video")</f>
        <v>Facebook Video</v>
      </c>
      <c r="G1168" t="str">
        <f>IFERROR(__xludf.DUMMYFUNCTION("""COMPUTED_VALUE"""),"Hawaii 45 at New Mexico 31")</f>
        <v>Hawaii 45 at New Mexico 31</v>
      </c>
      <c r="H1168" t="str">
        <f>IFERROR(__xludf.DUMMYFUNCTION("""COMPUTED_VALUE"""),"FINAL")</f>
        <v>FINAL</v>
      </c>
      <c r="I1168">
        <f>IFERROR(__xludf.DUMMYFUNCTION("""COMPUTED_VALUE"""),-10.0)</f>
        <v>-10</v>
      </c>
      <c r="J1168">
        <f>IFERROR(__xludf.DUMMYFUNCTION("""COMPUTED_VALUE"""),70.0)</f>
        <v>70</v>
      </c>
      <c r="K1168" t="str">
        <f>IFERROR(__xludf.DUMMYFUNCTION("""COMPUTED_VALUE"""),"Nico")</f>
        <v>Nico</v>
      </c>
      <c r="L1168" t="str">
        <f>IFERROR(__xludf.DUMMYFUNCTION("""COMPUTED_VALUE"""),"FINAL")</f>
        <v>FINAL</v>
      </c>
      <c r="M1168" s="124">
        <v>9.0</v>
      </c>
    </row>
    <row r="1169">
      <c r="A1169" s="151">
        <f>IFERROR(__xludf.DUMMYFUNCTION("""COMPUTED_VALUE"""),43765.147748449075)</f>
        <v>43765.14775</v>
      </c>
      <c r="B1169" t="str">
        <f>IFERROR(__xludf.DUMMYFUNCTION("""COMPUTED_VALUE"""),"Vu")</f>
        <v>Vu</v>
      </c>
      <c r="C1169" t="str">
        <f>IFERROR(__xludf.DUMMYFUNCTION("""COMPUTED_VALUE"""),"Michigan")</f>
        <v>Michigan</v>
      </c>
      <c r="D1169">
        <f>IFERROR(__xludf.DUMMYFUNCTION("""COMPUTED_VALUE"""),6.0)</f>
        <v>6</v>
      </c>
      <c r="E1169">
        <f>IFERROR(__xludf.DUMMYFUNCTION("""COMPUTED_VALUE"""),2.0)</f>
        <v>2</v>
      </c>
      <c r="F1169" t="str">
        <f>IFERROR(__xludf.DUMMYFUNCTION("""COMPUTED_VALUE"""),"ABC")</f>
        <v>ABC</v>
      </c>
      <c r="G1169" t="str">
        <f>IFERROR(__xludf.DUMMYFUNCTION("""COMPUTED_VALUE"""),"(7) Notre Dame 14 at (20) Michigan 45")</f>
        <v>(7) Notre Dame 14 at (20) Michigan 45</v>
      </c>
      <c r="H1169" t="str">
        <f>IFERROR(__xludf.DUMMYFUNCTION("""COMPUTED_VALUE"""),"FINAL")</f>
        <v>FINAL</v>
      </c>
      <c r="I1169">
        <f>IFERROR(__xludf.DUMMYFUNCTION("""COMPUTED_VALUE"""),-1.0)</f>
        <v>-1</v>
      </c>
      <c r="J1169">
        <f>IFERROR(__xludf.DUMMYFUNCTION("""COMPUTED_VALUE"""),50.0)</f>
        <v>50</v>
      </c>
      <c r="K1169" t="str">
        <f>IFERROR(__xludf.DUMMYFUNCTION("""COMPUTED_VALUE"""),"DavEmily")</f>
        <v>DavEmily</v>
      </c>
      <c r="L1169" t="str">
        <f>IFERROR(__xludf.DUMMYFUNCTION("""COMPUTED_VALUE"""),"FINAL")</f>
        <v>FINAL</v>
      </c>
      <c r="M1169" s="124">
        <v>9.0</v>
      </c>
    </row>
    <row r="1170">
      <c r="A1170" s="151">
        <f>IFERROR(__xludf.DUMMYFUNCTION("""COMPUTED_VALUE"""),43765.147748449075)</f>
        <v>43765.14775</v>
      </c>
      <c r="B1170" t="str">
        <f>IFERROR(__xludf.DUMMYFUNCTION("""COMPUTED_VALUE"""),"Vu")</f>
        <v>Vu</v>
      </c>
      <c r="C1170" t="str">
        <f>IFERROR(__xludf.DUMMYFUNCTION("""COMPUTED_VALUE"""),"Washington")</f>
        <v>Washington</v>
      </c>
      <c r="D1170">
        <f>IFERROR(__xludf.DUMMYFUNCTION("""COMPUTED_VALUE"""),5.0)</f>
        <v>5</v>
      </c>
      <c r="E1170">
        <f>IFERROR(__xludf.DUMMYFUNCTION("""COMPUTED_VALUE"""),3.0)</f>
        <v>3</v>
      </c>
      <c r="F1170" t="str">
        <f>IFERROR(__xludf.DUMMYFUNCTION("""COMPUTED_VALUE"""),"NA")</f>
        <v>NA</v>
      </c>
      <c r="G1170" t="str">
        <f>IFERROR(__xludf.DUMMYFUNCTION("""COMPUTED_VALUE"""),"BYE")</f>
        <v>BYE</v>
      </c>
      <c r="I1170" t="str">
        <f>IFERROR(__xludf.DUMMYFUNCTION("""COMPUTED_VALUE"""),"bye")</f>
        <v>bye</v>
      </c>
      <c r="J1170" t="str">
        <f>IFERROR(__xludf.DUMMYFUNCTION("""COMPUTED_VALUE"""),"bye")</f>
        <v>bye</v>
      </c>
      <c r="L1170">
        <f>IFERROR(__xludf.DUMMYFUNCTION("""COMPUTED_VALUE"""),9999.0)</f>
        <v>9999</v>
      </c>
      <c r="M1170" s="124">
        <v>9.0</v>
      </c>
    </row>
    <row r="1171">
      <c r="A1171" s="151">
        <f>IFERROR(__xludf.DUMMYFUNCTION("""COMPUTED_VALUE"""),43765.147748449075)</f>
        <v>43765.14775</v>
      </c>
      <c r="B1171" t="str">
        <f>IFERROR(__xludf.DUMMYFUNCTION("""COMPUTED_VALUE"""),"Vu")</f>
        <v>Vu</v>
      </c>
      <c r="C1171" t="str">
        <f>IFERROR(__xludf.DUMMYFUNCTION("""COMPUTED_VALUE"""),"Cincinnati")</f>
        <v>Cincinnati</v>
      </c>
      <c r="D1171">
        <f>IFERROR(__xludf.DUMMYFUNCTION("""COMPUTED_VALUE"""),6.0)</f>
        <v>6</v>
      </c>
      <c r="E1171">
        <f>IFERROR(__xludf.DUMMYFUNCTION("""COMPUTED_VALUE"""),1.0)</f>
        <v>1</v>
      </c>
      <c r="F1171" t="str">
        <f>IFERROR(__xludf.DUMMYFUNCTION("""COMPUTED_VALUE"""),"NA")</f>
        <v>NA</v>
      </c>
      <c r="G1171" t="str">
        <f>IFERROR(__xludf.DUMMYFUNCTION("""COMPUTED_VALUE"""),"BYE")</f>
        <v>BYE</v>
      </c>
      <c r="I1171" t="str">
        <f>IFERROR(__xludf.DUMMYFUNCTION("""COMPUTED_VALUE"""),"bye")</f>
        <v>bye</v>
      </c>
      <c r="J1171" t="str">
        <f>IFERROR(__xludf.DUMMYFUNCTION("""COMPUTED_VALUE"""),"bye")</f>
        <v>bye</v>
      </c>
      <c r="L1171">
        <f>IFERROR(__xludf.DUMMYFUNCTION("""COMPUTED_VALUE"""),9999.0)</f>
        <v>9999</v>
      </c>
      <c r="M1171" s="124">
        <v>9.0</v>
      </c>
    </row>
    <row r="1172">
      <c r="A1172" s="151">
        <f>IFERROR(__xludf.DUMMYFUNCTION("""COMPUTED_VALUE"""),43765.147748449075)</f>
        <v>43765.14775</v>
      </c>
      <c r="B1172" t="str">
        <f>IFERROR(__xludf.DUMMYFUNCTION("""COMPUTED_VALUE"""),"Josh R.")</f>
        <v>Josh R.</v>
      </c>
      <c r="C1172" t="str">
        <f>IFERROR(__xludf.DUMMYFUNCTION("""COMPUTED_VALUE"""),"USC")</f>
        <v>USC</v>
      </c>
      <c r="D1172">
        <f>IFERROR(__xludf.DUMMYFUNCTION("""COMPUTED_VALUE"""),5.0)</f>
        <v>5</v>
      </c>
      <c r="E1172">
        <f>IFERROR(__xludf.DUMMYFUNCTION("""COMPUTED_VALUE"""),3.0)</f>
        <v>3</v>
      </c>
      <c r="F1172" t="str">
        <f>IFERROR(__xludf.DUMMYFUNCTION("""COMPUTED_VALUE"""),"ESPN2")</f>
        <v>ESPN2</v>
      </c>
      <c r="G1172" t="str">
        <f>IFERROR(__xludf.DUMMYFUNCTION("""COMPUTED_VALUE"""),"USC 35 at Colorado 31")</f>
        <v>USC 35 at Colorado 31</v>
      </c>
      <c r="H1172" t="str">
        <f>IFERROR(__xludf.DUMMYFUNCTION("""COMPUTED_VALUE"""),"FINAL")</f>
        <v>FINAL</v>
      </c>
      <c r="I1172">
        <f>IFERROR(__xludf.DUMMYFUNCTION("""COMPUTED_VALUE"""),-13.0)</f>
        <v>-13</v>
      </c>
      <c r="J1172" t="str">
        <f>IFERROR(__xludf.DUMMYFUNCTION("""COMPUTED_VALUE"""),"60½")</f>
        <v>60½</v>
      </c>
      <c r="K1172" t="str">
        <f>IFERROR(__xludf.DUMMYFUNCTION("""COMPUTED_VALUE"""),"Jeannine")</f>
        <v>Jeannine</v>
      </c>
      <c r="L1172" t="str">
        <f>IFERROR(__xludf.DUMMYFUNCTION("""COMPUTED_VALUE"""),"FINAL")</f>
        <v>FINAL</v>
      </c>
      <c r="M1172" s="124">
        <v>9.0</v>
      </c>
    </row>
    <row r="1173">
      <c r="A1173" s="151">
        <f>IFERROR(__xludf.DUMMYFUNCTION("""COMPUTED_VALUE"""),43765.147748449075)</f>
        <v>43765.14775</v>
      </c>
      <c r="B1173" t="str">
        <f>IFERROR(__xludf.DUMMYFUNCTION("""COMPUTED_VALUE"""),"Josh R.")</f>
        <v>Josh R.</v>
      </c>
      <c r="C1173" t="str">
        <f>IFERROR(__xludf.DUMMYFUNCTION("""COMPUTED_VALUE"""),"Army")</f>
        <v>Army</v>
      </c>
      <c r="D1173">
        <f>IFERROR(__xludf.DUMMYFUNCTION("""COMPUTED_VALUE"""),3.0)</f>
        <v>3</v>
      </c>
      <c r="E1173">
        <f>IFERROR(__xludf.DUMMYFUNCTION("""COMPUTED_VALUE"""),5.0)</f>
        <v>5</v>
      </c>
      <c r="F1173" t="str">
        <f>IFERROR(__xludf.DUMMYFUNCTION("""COMPUTED_VALUE"""),"CBSSN")</f>
        <v>CBSSN</v>
      </c>
      <c r="G1173" t="str">
        <f>IFERROR(__xludf.DUMMYFUNCTION("""COMPUTED_VALUE"""),"San José State 34 at Army 29")</f>
        <v>San José State 34 at Army 29</v>
      </c>
      <c r="H1173" t="str">
        <f>IFERROR(__xludf.DUMMYFUNCTION("""COMPUTED_VALUE"""),"FINAL")</f>
        <v>FINAL</v>
      </c>
      <c r="I1173" t="str">
        <f>IFERROR(__xludf.DUMMYFUNCTION("""COMPUTED_VALUE"""),"-9½")</f>
        <v>-9½</v>
      </c>
      <c r="J1173" t="str">
        <f>IFERROR(__xludf.DUMMYFUNCTION("""COMPUTED_VALUE"""),"50½")</f>
        <v>50½</v>
      </c>
      <c r="K1173" t="str">
        <f>IFERROR(__xludf.DUMMYFUNCTION("""COMPUTED_VALUE"""),"Jeannine")</f>
        <v>Jeannine</v>
      </c>
      <c r="L1173" t="str">
        <f>IFERROR(__xludf.DUMMYFUNCTION("""COMPUTED_VALUE"""),"FINAL")</f>
        <v>FINAL</v>
      </c>
      <c r="M1173" s="124">
        <v>9.0</v>
      </c>
    </row>
    <row r="1174">
      <c r="A1174" s="151">
        <f>IFERROR(__xludf.DUMMYFUNCTION("""COMPUTED_VALUE"""),43765.147748449075)</f>
        <v>43765.14775</v>
      </c>
      <c r="B1174" t="str">
        <f>IFERROR(__xludf.DUMMYFUNCTION("""COMPUTED_VALUE"""),"Josh R.")</f>
        <v>Josh R.</v>
      </c>
      <c r="C1174" t="str">
        <f>IFERROR(__xludf.DUMMYFUNCTION("""COMPUTED_VALUE"""),"Southern Mississippi")</f>
        <v>Southern Mississippi</v>
      </c>
      <c r="D1174">
        <f>IFERROR(__xludf.DUMMYFUNCTION("""COMPUTED_VALUE"""),5.0)</f>
        <v>5</v>
      </c>
      <c r="E1174">
        <f>IFERROR(__xludf.DUMMYFUNCTION("""COMPUTED_VALUE"""),3.0)</f>
        <v>3</v>
      </c>
      <c r="F1174" t="str">
        <f>IFERROR(__xludf.DUMMYFUNCTION("""COMPUTED_VALUE"""),"NA")</f>
        <v>NA</v>
      </c>
      <c r="G1174" t="str">
        <f>IFERROR(__xludf.DUMMYFUNCTION("""COMPUTED_VALUE"""),"Southern Mississippi 20 at Rice 6")</f>
        <v>Southern Mississippi 20 at Rice 6</v>
      </c>
      <c r="H1174" t="str">
        <f>IFERROR(__xludf.DUMMYFUNCTION("""COMPUTED_VALUE"""),"FINAL")</f>
        <v>FINAL</v>
      </c>
      <c r="I1174" t="str">
        <f>IFERROR(__xludf.DUMMYFUNCTION("""COMPUTED_VALUE"""),"-10½")</f>
        <v>-10½</v>
      </c>
      <c r="J1174">
        <f>IFERROR(__xludf.DUMMYFUNCTION("""COMPUTED_VALUE"""),53.0)</f>
        <v>53</v>
      </c>
      <c r="K1174" t="str">
        <f>IFERROR(__xludf.DUMMYFUNCTION("""COMPUTED_VALUE"""),"Undrafted")</f>
        <v>Undrafted</v>
      </c>
      <c r="L1174" t="str">
        <f>IFERROR(__xludf.DUMMYFUNCTION("""COMPUTED_VALUE"""),"FINAL")</f>
        <v>FINAL</v>
      </c>
      <c r="M1174" s="124">
        <v>9.0</v>
      </c>
    </row>
    <row r="1175">
      <c r="A1175" s="151">
        <f>IFERROR(__xludf.DUMMYFUNCTION("""COMPUTED_VALUE"""),43765.147748449075)</f>
        <v>43765.14775</v>
      </c>
      <c r="B1175" t="str">
        <f>IFERROR(__xludf.DUMMYFUNCTION("""COMPUTED_VALUE"""),"Josh R.")</f>
        <v>Josh R.</v>
      </c>
      <c r="C1175" t="str">
        <f>IFERROR(__xludf.DUMMYFUNCTION("""COMPUTED_VALUE"""),"Nevada")</f>
        <v>Nevada</v>
      </c>
      <c r="D1175">
        <f>IFERROR(__xludf.DUMMYFUNCTION("""COMPUTED_VALUE"""),4.0)</f>
        <v>4</v>
      </c>
      <c r="E1175">
        <f>IFERROR(__xludf.DUMMYFUNCTION("""COMPUTED_VALUE"""),4.0)</f>
        <v>4</v>
      </c>
      <c r="F1175" t="str">
        <f>IFERROR(__xludf.DUMMYFUNCTION("""COMPUTED_VALUE"""),"ATTRM")</f>
        <v>ATTRM</v>
      </c>
      <c r="G1175" t="str">
        <f>IFERROR(__xludf.DUMMYFUNCTION("""COMPUTED_VALUE"""),"Nevada 3 at Wyoming 31")</f>
        <v>Nevada 3 at Wyoming 31</v>
      </c>
      <c r="H1175" t="str">
        <f>IFERROR(__xludf.DUMMYFUNCTION("""COMPUTED_VALUE"""),"FINAL")</f>
        <v>FINAL</v>
      </c>
      <c r="I1175" t="str">
        <f>IFERROR(__xludf.DUMMYFUNCTION("""COMPUTED_VALUE"""),"13½")</f>
        <v>13½</v>
      </c>
      <c r="J1175">
        <f>IFERROR(__xludf.DUMMYFUNCTION("""COMPUTED_VALUE"""),45.0)</f>
        <v>45</v>
      </c>
      <c r="K1175" t="str">
        <f>IFERROR(__xludf.DUMMYFUNCTION("""COMPUTED_VALUE"""),"Nick G.")</f>
        <v>Nick G.</v>
      </c>
      <c r="L1175" t="str">
        <f>IFERROR(__xludf.DUMMYFUNCTION("""COMPUTED_VALUE"""),"FINAL")</f>
        <v>FINAL</v>
      </c>
      <c r="M1175" s="124">
        <v>9.0</v>
      </c>
    </row>
    <row r="1176">
      <c r="A1176" s="151">
        <f>IFERROR(__xludf.DUMMYFUNCTION("""COMPUTED_VALUE"""),43765.147748449075)</f>
        <v>43765.14775</v>
      </c>
      <c r="B1176" t="str">
        <f>IFERROR(__xludf.DUMMYFUNCTION("""COMPUTED_VALUE"""),"Josh R.")</f>
        <v>Josh R.</v>
      </c>
      <c r="C1176" t="str">
        <f>IFERROR(__xludf.DUMMYFUNCTION("""COMPUTED_VALUE"""),"Minnesota")</f>
        <v>Minnesota</v>
      </c>
      <c r="D1176">
        <f>IFERROR(__xludf.DUMMYFUNCTION("""COMPUTED_VALUE"""),8.0)</f>
        <v>8</v>
      </c>
      <c r="E1176">
        <f>IFERROR(__xludf.DUMMYFUNCTION("""COMPUTED_VALUE"""),0.0)</f>
        <v>0</v>
      </c>
      <c r="F1176" t="str">
        <f>IFERROR(__xludf.DUMMYFUNCTION("""COMPUTED_VALUE"""),"ESPN")</f>
        <v>ESPN</v>
      </c>
      <c r="G1176" t="str">
        <f>IFERROR(__xludf.DUMMYFUNCTION("""COMPUTED_VALUE"""),"Maryland 10 at (16) Minnesota 52")</f>
        <v>Maryland 10 at (16) Minnesota 52</v>
      </c>
      <c r="H1176" t="str">
        <f>IFERROR(__xludf.DUMMYFUNCTION("""COMPUTED_VALUE"""),"FINAL")</f>
        <v>FINAL</v>
      </c>
      <c r="I1176">
        <f>IFERROR(__xludf.DUMMYFUNCTION("""COMPUTED_VALUE"""),-17.0)</f>
        <v>-17</v>
      </c>
      <c r="J1176">
        <f>IFERROR(__xludf.DUMMYFUNCTION("""COMPUTED_VALUE"""),56.0)</f>
        <v>56</v>
      </c>
      <c r="K1176" t="str">
        <f>IFERROR(__xludf.DUMMYFUNCTION("""COMPUTED_VALUE"""),"Gary")</f>
        <v>Gary</v>
      </c>
      <c r="L1176" t="str">
        <f>IFERROR(__xludf.DUMMYFUNCTION("""COMPUTED_VALUE"""),"FINAL")</f>
        <v>FINAL</v>
      </c>
      <c r="M1176" s="124">
        <v>9.0</v>
      </c>
    </row>
    <row r="1177">
      <c r="A1177" s="151">
        <f>IFERROR(__xludf.DUMMYFUNCTION("""COMPUTED_VALUE"""),43765.147748449075)</f>
        <v>43765.14775</v>
      </c>
      <c r="B1177" t="str">
        <f>IFERROR(__xludf.DUMMYFUNCTION("""COMPUTED_VALUE"""),"Josh R.")</f>
        <v>Josh R.</v>
      </c>
      <c r="C1177" t="str">
        <f>IFERROR(__xludf.DUMMYFUNCTION("""COMPUTED_VALUE"""),"Florida State")</f>
        <v>Florida State</v>
      </c>
      <c r="D1177">
        <f>IFERROR(__xludf.DUMMYFUNCTION("""COMPUTED_VALUE"""),4.0)</f>
        <v>4</v>
      </c>
      <c r="E1177">
        <f>IFERROR(__xludf.DUMMYFUNCTION("""COMPUTED_VALUE"""),4.0)</f>
        <v>4</v>
      </c>
      <c r="F1177" t="str">
        <f>IFERROR(__xludf.DUMMYFUNCTION("""COMPUTED_VALUE"""),"ESPN2")</f>
        <v>ESPN2</v>
      </c>
      <c r="G1177" t="str">
        <f>IFERROR(__xludf.DUMMYFUNCTION("""COMPUTED_VALUE"""),"Syracuse 17 at Florida State 35")</f>
        <v>Syracuse 17 at Florida State 35</v>
      </c>
      <c r="H1177" t="str">
        <f>IFERROR(__xludf.DUMMYFUNCTION("""COMPUTED_VALUE"""),"FINAL")</f>
        <v>FINAL</v>
      </c>
      <c r="I1177" t="str">
        <f>IFERROR(__xludf.DUMMYFUNCTION("""COMPUTED_VALUE"""),"-10½")</f>
        <v>-10½</v>
      </c>
      <c r="J1177" t="str">
        <f>IFERROR(__xludf.DUMMYFUNCTION("""COMPUTED_VALUE"""),"57½")</f>
        <v>57½</v>
      </c>
      <c r="K1177" t="str">
        <f>IFERROR(__xludf.DUMMYFUNCTION("""COMPUTED_VALUE"""),"Vu")</f>
        <v>Vu</v>
      </c>
      <c r="L1177" t="str">
        <f>IFERROR(__xludf.DUMMYFUNCTION("""COMPUTED_VALUE"""),"FINAL")</f>
        <v>FINAL</v>
      </c>
      <c r="M1177" s="124">
        <v>9.0</v>
      </c>
    </row>
    <row r="1178">
      <c r="A1178" s="151">
        <f>IFERROR(__xludf.DUMMYFUNCTION("""COMPUTED_VALUE"""),43765.147748449075)</f>
        <v>43765.14775</v>
      </c>
      <c r="B1178" t="str">
        <f>IFERROR(__xludf.DUMMYFUNCTION("""COMPUTED_VALUE"""),"Josh R.")</f>
        <v>Josh R.</v>
      </c>
      <c r="C1178" t="str">
        <f>IFERROR(__xludf.DUMMYFUNCTION("""COMPUTED_VALUE"""),"Toledo")</f>
        <v>Toledo</v>
      </c>
      <c r="D1178">
        <f>IFERROR(__xludf.DUMMYFUNCTION("""COMPUTED_VALUE"""),5.0)</f>
        <v>5</v>
      </c>
      <c r="E1178">
        <f>IFERROR(__xludf.DUMMYFUNCTION("""COMPUTED_VALUE"""),3.0)</f>
        <v>3</v>
      </c>
      <c r="F1178" t="str">
        <f>IFERROR(__xludf.DUMMYFUNCTION("""COMPUTED_VALUE"""),"espn+ Video")</f>
        <v>espn+ Video</v>
      </c>
      <c r="G1178" t="str">
        <f>IFERROR(__xludf.DUMMYFUNCTION("""COMPUTED_VALUE"""),"EMU 34 at Toledo 37")</f>
        <v>EMU 34 at Toledo 37</v>
      </c>
      <c r="H1178" t="str">
        <f>IFERROR(__xludf.DUMMYFUNCTION("""COMPUTED_VALUE"""),"FINAL - OT")</f>
        <v>FINAL - OT</v>
      </c>
      <c r="I1178">
        <f>IFERROR(__xludf.DUMMYFUNCTION("""COMPUTED_VALUE"""),-4.0)</f>
        <v>-4</v>
      </c>
      <c r="J1178">
        <f>IFERROR(__xludf.DUMMYFUNCTION("""COMPUTED_VALUE"""),57.0)</f>
        <v>57</v>
      </c>
      <c r="K1178" t="str">
        <f>IFERROR(__xludf.DUMMYFUNCTION("""COMPUTED_VALUE"""),"Brad")</f>
        <v>Brad</v>
      </c>
      <c r="L1178" t="str">
        <f>IFERROR(__xludf.DUMMYFUNCTION("""COMPUTED_VALUE"""),"FINAL - OT")</f>
        <v>FINAL - OT</v>
      </c>
      <c r="M1178" s="124">
        <v>9.0</v>
      </c>
    </row>
    <row r="1179">
      <c r="A1179" s="151">
        <f>IFERROR(__xludf.DUMMYFUNCTION("""COMPUTED_VALUE"""),43765.147748449075)</f>
        <v>43765.14775</v>
      </c>
      <c r="B1179" t="str">
        <f>IFERROR(__xludf.DUMMYFUNCTION("""COMPUTED_VALUE"""),"Josh R.")</f>
        <v>Josh R.</v>
      </c>
      <c r="C1179" t="str">
        <f>IFERROR(__xludf.DUMMYFUNCTION("""COMPUTED_VALUE"""),"Kansas")</f>
        <v>Kansas</v>
      </c>
      <c r="D1179">
        <f>IFERROR(__xludf.DUMMYFUNCTION("""COMPUTED_VALUE"""),3.0)</f>
        <v>3</v>
      </c>
      <c r="E1179">
        <f>IFERROR(__xludf.DUMMYFUNCTION("""COMPUTED_VALUE"""),5.0)</f>
        <v>5</v>
      </c>
      <c r="F1179" t="str">
        <f>IFERROR(__xludf.DUMMYFUNCTION("""COMPUTED_VALUE"""),"FS1")</f>
        <v>FS1</v>
      </c>
      <c r="G1179" t="str">
        <f>IFERROR(__xludf.DUMMYFUNCTION("""COMPUTED_VALUE"""),"Texas Tech 34 at Kansas 37")</f>
        <v>Texas Tech 34 at Kansas 37</v>
      </c>
      <c r="H1179" t="str">
        <f>IFERROR(__xludf.DUMMYFUNCTION("""COMPUTED_VALUE"""),"FINAL")</f>
        <v>FINAL</v>
      </c>
      <c r="I1179">
        <f>IFERROR(__xludf.DUMMYFUNCTION("""COMPUTED_VALUE"""),3.0)</f>
        <v>3</v>
      </c>
      <c r="J1179" t="str">
        <f>IFERROR(__xludf.DUMMYFUNCTION("""COMPUTED_VALUE"""),"60½")</f>
        <v>60½</v>
      </c>
      <c r="K1179" t="str">
        <f>IFERROR(__xludf.DUMMYFUNCTION("""COMPUTED_VALUE"""),"Janice/Mike")</f>
        <v>Janice/Mike</v>
      </c>
      <c r="L1179" t="str">
        <f>IFERROR(__xludf.DUMMYFUNCTION("""COMPUTED_VALUE"""),"FINAL")</f>
        <v>FINAL</v>
      </c>
      <c r="M1179" s="124">
        <v>9.0</v>
      </c>
    </row>
    <row r="1180">
      <c r="A1180" s="151">
        <f>IFERROR(__xludf.DUMMYFUNCTION("""COMPUTED_VALUE"""),43765.147748449075)</f>
        <v>43765.14775</v>
      </c>
      <c r="B1180" t="str">
        <f>IFERROR(__xludf.DUMMYFUNCTION("""COMPUTED_VALUE"""),"Josh R.")</f>
        <v>Josh R.</v>
      </c>
      <c r="C1180" t="str">
        <f>IFERROR(__xludf.DUMMYFUNCTION("""COMPUTED_VALUE"""),"Temple")</f>
        <v>Temple</v>
      </c>
      <c r="D1180">
        <f>IFERROR(__xludf.DUMMYFUNCTION("""COMPUTED_VALUE"""),5.0)</f>
        <v>5</v>
      </c>
      <c r="E1180">
        <f>IFERROR(__xludf.DUMMYFUNCTION("""COMPUTED_VALUE"""),3.0)</f>
        <v>3</v>
      </c>
      <c r="F1180" t="str">
        <f>IFERROR(__xludf.DUMMYFUNCTION("""COMPUTED_VALUE"""),"ESPN2")</f>
        <v>ESPN2</v>
      </c>
      <c r="G1180" t="str">
        <f>IFERROR(__xludf.DUMMYFUNCTION("""COMPUTED_VALUE"""),"UCF 63 at Temple 21")</f>
        <v>UCF 63 at Temple 21</v>
      </c>
      <c r="H1180" t="str">
        <f>IFERROR(__xludf.DUMMYFUNCTION("""COMPUTED_VALUE"""),"FINAL")</f>
        <v>FINAL</v>
      </c>
      <c r="I1180">
        <f>IFERROR(__xludf.DUMMYFUNCTION("""COMPUTED_VALUE"""),10.0)</f>
        <v>10</v>
      </c>
      <c r="J1180">
        <f>IFERROR(__xludf.DUMMYFUNCTION("""COMPUTED_VALUE"""),61.0)</f>
        <v>61</v>
      </c>
      <c r="K1180" t="str">
        <f>IFERROR(__xludf.DUMMYFUNCTION("""COMPUTED_VALUE"""),"Adam")</f>
        <v>Adam</v>
      </c>
      <c r="L1180" t="str">
        <f>IFERROR(__xludf.DUMMYFUNCTION("""COMPUTED_VALUE"""),"FINAL")</f>
        <v>FINAL</v>
      </c>
      <c r="M1180" s="124">
        <v>9.0</v>
      </c>
    </row>
    <row r="1181">
      <c r="A1181" s="151">
        <f>IFERROR(__xludf.DUMMYFUNCTION("""COMPUTED_VALUE"""),43765.147748449075)</f>
        <v>43765.14775</v>
      </c>
      <c r="B1181" t="str">
        <f>IFERROR(__xludf.DUMMYFUNCTION("""COMPUTED_VALUE"""),"Josh R.")</f>
        <v>Josh R.</v>
      </c>
      <c r="C1181" t="str">
        <f>IFERROR(__xludf.DUMMYFUNCTION("""COMPUTED_VALUE"""),"Kentucky")</f>
        <v>Kentucky</v>
      </c>
      <c r="D1181">
        <f>IFERROR(__xludf.DUMMYFUNCTION("""COMPUTED_VALUE"""),4.0)</f>
        <v>4</v>
      </c>
      <c r="E1181">
        <f>IFERROR(__xludf.DUMMYFUNCTION("""COMPUTED_VALUE"""),4.0)</f>
        <v>4</v>
      </c>
      <c r="F1181" t="str">
        <f>IFERROR(__xludf.DUMMYFUNCTION("""COMPUTED_VALUE"""),"SEC Network")</f>
        <v>SEC Network</v>
      </c>
      <c r="G1181" t="str">
        <f>IFERROR(__xludf.DUMMYFUNCTION("""COMPUTED_VALUE"""),"Missouri 7 at Kentucky 29")</f>
        <v>Missouri 7 at Kentucky 29</v>
      </c>
      <c r="H1181" t="str">
        <f>IFERROR(__xludf.DUMMYFUNCTION("""COMPUTED_VALUE"""),"FINAL")</f>
        <v>FINAL</v>
      </c>
      <c r="I1181">
        <f>IFERROR(__xludf.DUMMYFUNCTION("""COMPUTED_VALUE"""),10.0)</f>
        <v>10</v>
      </c>
      <c r="J1181">
        <f>IFERROR(__xludf.DUMMYFUNCTION("""COMPUTED_VALUE"""),48.0)</f>
        <v>48</v>
      </c>
      <c r="K1181" t="str">
        <f>IFERROR(__xludf.DUMMYFUNCTION("""COMPUTED_VALUE"""),"Gary")</f>
        <v>Gary</v>
      </c>
      <c r="L1181" t="str">
        <f>IFERROR(__xludf.DUMMYFUNCTION("""COMPUTED_VALUE"""),"FINAL")</f>
        <v>FINAL</v>
      </c>
      <c r="M1181" s="124">
        <v>9.0</v>
      </c>
    </row>
    <row r="1182">
      <c r="A1182" s="151">
        <f>IFERROR(__xludf.DUMMYFUNCTION("""COMPUTED_VALUE"""),43765.147748449075)</f>
        <v>43765.14775</v>
      </c>
      <c r="B1182" t="str">
        <f>IFERROR(__xludf.DUMMYFUNCTION("""COMPUTED_VALUE"""),"Brad")</f>
        <v>Brad</v>
      </c>
      <c r="C1182" t="str">
        <f>IFERROR(__xludf.DUMMYFUNCTION("""COMPUTED_VALUE"""),"Miami")</f>
        <v>Miami</v>
      </c>
      <c r="D1182">
        <f>IFERROR(__xludf.DUMMYFUNCTION("""COMPUTED_VALUE"""),4.0)</f>
        <v>4</v>
      </c>
      <c r="E1182">
        <f>IFERROR(__xludf.DUMMYFUNCTION("""COMPUTED_VALUE"""),4.0)</f>
        <v>4</v>
      </c>
      <c r="F1182" t="str">
        <f>IFERROR(__xludf.DUMMYFUNCTION("""COMPUTED_VALUE"""),"ESPN")</f>
        <v>ESPN</v>
      </c>
      <c r="G1182" t="str">
        <f>IFERROR(__xludf.DUMMYFUNCTION("""COMPUTED_VALUE"""),"Miami 16 at Pittsburgh 12")</f>
        <v>Miami 16 at Pittsburgh 12</v>
      </c>
      <c r="H1182" t="str">
        <f>IFERROR(__xludf.DUMMYFUNCTION("""COMPUTED_VALUE"""),"FINAL")</f>
        <v>FINAL</v>
      </c>
      <c r="I1182" t="str">
        <f>IFERROR(__xludf.DUMMYFUNCTION("""COMPUTED_VALUE"""),"5½")</f>
        <v>5½</v>
      </c>
      <c r="J1182" t="str">
        <f>IFERROR(__xludf.DUMMYFUNCTION("""COMPUTED_VALUE"""),"46½")</f>
        <v>46½</v>
      </c>
      <c r="K1182" t="str">
        <f>IFERROR(__xludf.DUMMYFUNCTION("""COMPUTED_VALUE"""),"Gary")</f>
        <v>Gary</v>
      </c>
      <c r="L1182" t="str">
        <f>IFERROR(__xludf.DUMMYFUNCTION("""COMPUTED_VALUE"""),"FINAL")</f>
        <v>FINAL</v>
      </c>
      <c r="M1182" s="124">
        <v>9.0</v>
      </c>
    </row>
    <row r="1183">
      <c r="A1183" s="151">
        <f>IFERROR(__xludf.DUMMYFUNCTION("""COMPUTED_VALUE"""),43765.147748449075)</f>
        <v>43765.14775</v>
      </c>
      <c r="B1183" t="str">
        <f>IFERROR(__xludf.DUMMYFUNCTION("""COMPUTED_VALUE"""),"Brad")</f>
        <v>Brad</v>
      </c>
      <c r="C1183" t="str">
        <f>IFERROR(__xludf.DUMMYFUNCTION("""COMPUTED_VALUE"""),"Oklahoma State")</f>
        <v>Oklahoma State</v>
      </c>
      <c r="D1183">
        <f>IFERROR(__xludf.DUMMYFUNCTION("""COMPUTED_VALUE"""),5.0)</f>
        <v>5</v>
      </c>
      <c r="E1183">
        <f>IFERROR(__xludf.DUMMYFUNCTION("""COMPUTED_VALUE"""),3.0)</f>
        <v>3</v>
      </c>
      <c r="F1183" t="str">
        <f>IFERROR(__xludf.DUMMYFUNCTION("""COMPUTED_VALUE"""),"FS1")</f>
        <v>FS1</v>
      </c>
      <c r="G1183" t="str">
        <f>IFERROR(__xludf.DUMMYFUNCTION("""COMPUTED_VALUE"""),"Oklahoma State 34 at Iowa State 27")</f>
        <v>Oklahoma State 34 at Iowa State 27</v>
      </c>
      <c r="H1183" t="str">
        <f>IFERROR(__xludf.DUMMYFUNCTION("""COMPUTED_VALUE"""),"FINAL")</f>
        <v>FINAL</v>
      </c>
      <c r="I1183" t="str">
        <f>IFERROR(__xludf.DUMMYFUNCTION("""COMPUTED_VALUE"""),"10½")</f>
        <v>10½</v>
      </c>
      <c r="J1183" t="str">
        <f>IFERROR(__xludf.DUMMYFUNCTION("""COMPUTED_VALUE"""),"64½")</f>
        <v>64½</v>
      </c>
      <c r="K1183" t="str">
        <f>IFERROR(__xludf.DUMMYFUNCTION("""COMPUTED_VALUE"""),"Nick A.")</f>
        <v>Nick A.</v>
      </c>
      <c r="L1183" t="str">
        <f>IFERROR(__xludf.DUMMYFUNCTION("""COMPUTED_VALUE"""),"FINAL")</f>
        <v>FINAL</v>
      </c>
      <c r="M1183" s="124">
        <v>9.0</v>
      </c>
    </row>
    <row r="1184">
      <c r="A1184" s="151">
        <f>IFERROR(__xludf.DUMMYFUNCTION("""COMPUTED_VALUE"""),43765.147748449075)</f>
        <v>43765.14775</v>
      </c>
      <c r="B1184" t="str">
        <f>IFERROR(__xludf.DUMMYFUNCTION("""COMPUTED_VALUE"""),"Brad")</f>
        <v>Brad</v>
      </c>
      <c r="C1184" t="str">
        <f>IFERROR(__xludf.DUMMYFUNCTION("""COMPUTED_VALUE"""),"Indiana")</f>
        <v>Indiana</v>
      </c>
      <c r="D1184">
        <f>IFERROR(__xludf.DUMMYFUNCTION("""COMPUTED_VALUE"""),6.0)</f>
        <v>6</v>
      </c>
      <c r="E1184">
        <f>IFERROR(__xludf.DUMMYFUNCTION("""COMPUTED_VALUE"""),2.0)</f>
        <v>2</v>
      </c>
      <c r="F1184" t="str">
        <f>IFERROR(__xludf.DUMMYFUNCTION("""COMPUTED_VALUE"""),"BTN")</f>
        <v>BTN</v>
      </c>
      <c r="G1184" t="str">
        <f>IFERROR(__xludf.DUMMYFUNCTION("""COMPUTED_VALUE"""),"Indiana 38 at Nebraska 31")</f>
        <v>Indiana 38 at Nebraska 31</v>
      </c>
      <c r="H1184" t="str">
        <f>IFERROR(__xludf.DUMMYFUNCTION("""COMPUTED_VALUE"""),"FINAL")</f>
        <v>FINAL</v>
      </c>
      <c r="I1184">
        <f>IFERROR(__xludf.DUMMYFUNCTION("""COMPUTED_VALUE"""),1.0)</f>
        <v>1</v>
      </c>
      <c r="J1184">
        <f>IFERROR(__xludf.DUMMYFUNCTION("""COMPUTED_VALUE"""),55.0)</f>
        <v>55</v>
      </c>
      <c r="K1184" t="str">
        <f>IFERROR(__xludf.DUMMYFUNCTION("""COMPUTED_VALUE"""),"DavEmily")</f>
        <v>DavEmily</v>
      </c>
      <c r="L1184" t="str">
        <f>IFERROR(__xludf.DUMMYFUNCTION("""COMPUTED_VALUE"""),"FINAL")</f>
        <v>FINAL</v>
      </c>
      <c r="M1184" s="124">
        <v>9.0</v>
      </c>
    </row>
    <row r="1185">
      <c r="A1185" s="151">
        <f>IFERROR(__xludf.DUMMYFUNCTION("""COMPUTED_VALUE"""),43765.147748449075)</f>
        <v>43765.14775</v>
      </c>
      <c r="B1185" t="str">
        <f>IFERROR(__xludf.DUMMYFUNCTION("""COMPUTED_VALUE"""),"Brad")</f>
        <v>Brad</v>
      </c>
      <c r="C1185" t="str">
        <f>IFERROR(__xludf.DUMMYFUNCTION("""COMPUTED_VALUE"""),"EMU")</f>
        <v>EMU</v>
      </c>
      <c r="D1185">
        <f>IFERROR(__xludf.DUMMYFUNCTION("""COMPUTED_VALUE"""),4.0)</f>
        <v>4</v>
      </c>
      <c r="E1185">
        <f>IFERROR(__xludf.DUMMYFUNCTION("""COMPUTED_VALUE"""),4.0)</f>
        <v>4</v>
      </c>
      <c r="F1185" t="str">
        <f>IFERROR(__xludf.DUMMYFUNCTION("""COMPUTED_VALUE"""),"NA")</f>
        <v>NA</v>
      </c>
      <c r="G1185" t="str">
        <f>IFERROR(__xludf.DUMMYFUNCTION("""COMPUTED_VALUE"""),"EMU 34 at Toledo 37")</f>
        <v>EMU 34 at Toledo 37</v>
      </c>
      <c r="H1185" t="str">
        <f>IFERROR(__xludf.DUMMYFUNCTION("""COMPUTED_VALUE"""),"FINAL - OT")</f>
        <v>FINAL - OT</v>
      </c>
      <c r="I1185">
        <f>IFERROR(__xludf.DUMMYFUNCTION("""COMPUTED_VALUE"""),4.0)</f>
        <v>4</v>
      </c>
      <c r="J1185">
        <f>IFERROR(__xludf.DUMMYFUNCTION("""COMPUTED_VALUE"""),57.0)</f>
        <v>57</v>
      </c>
      <c r="K1185" t="str">
        <f>IFERROR(__xludf.DUMMYFUNCTION("""COMPUTED_VALUE"""),"Josh R.")</f>
        <v>Josh R.</v>
      </c>
      <c r="L1185" t="str">
        <f>IFERROR(__xludf.DUMMYFUNCTION("""COMPUTED_VALUE"""),"FINAL - OT")</f>
        <v>FINAL - OT</v>
      </c>
      <c r="M1185" s="124">
        <v>9.0</v>
      </c>
    </row>
    <row r="1186">
      <c r="A1186" s="151">
        <f>IFERROR(__xludf.DUMMYFUNCTION("""COMPUTED_VALUE"""),43765.147748449075)</f>
        <v>43765.14775</v>
      </c>
      <c r="B1186" t="str">
        <f>IFERROR(__xludf.DUMMYFUNCTION("""COMPUTED_VALUE"""),"Brad")</f>
        <v>Brad</v>
      </c>
      <c r="C1186" t="str">
        <f>IFERROR(__xludf.DUMMYFUNCTION("""COMPUTED_VALUE"""),"South Carolina")</f>
        <v>South Carolina</v>
      </c>
      <c r="D1186">
        <f>IFERROR(__xludf.DUMMYFUNCTION("""COMPUTED_VALUE"""),3.0)</f>
        <v>3</v>
      </c>
      <c r="E1186">
        <f>IFERROR(__xludf.DUMMYFUNCTION("""COMPUTED_VALUE"""),5.0)</f>
        <v>5</v>
      </c>
      <c r="F1186" t="str">
        <f>IFERROR(__xludf.DUMMYFUNCTION("""COMPUTED_VALUE"""),"SEC Network")</f>
        <v>SEC Network</v>
      </c>
      <c r="G1186" t="str">
        <f>IFERROR(__xludf.DUMMYFUNCTION("""COMPUTED_VALUE"""),"South Carolina 21 at Tennessee 41")</f>
        <v>South Carolina 21 at Tennessee 41</v>
      </c>
      <c r="H1186" t="str">
        <f>IFERROR(__xludf.DUMMYFUNCTION("""COMPUTED_VALUE"""),"FINAL")</f>
        <v>FINAL</v>
      </c>
      <c r="I1186">
        <f>IFERROR(__xludf.DUMMYFUNCTION("""COMPUTED_VALUE"""),-4.0)</f>
        <v>-4</v>
      </c>
      <c r="J1186" t="str">
        <f>IFERROR(__xludf.DUMMYFUNCTION("""COMPUTED_VALUE"""),"47½")</f>
        <v>47½</v>
      </c>
      <c r="K1186" t="str">
        <f>IFERROR(__xludf.DUMMYFUNCTION("""COMPUTED_VALUE"""),"Justin")</f>
        <v>Justin</v>
      </c>
      <c r="L1186" t="str">
        <f>IFERROR(__xludf.DUMMYFUNCTION("""COMPUTED_VALUE"""),"FINAL")</f>
        <v>FINAL</v>
      </c>
      <c r="M1186" s="124">
        <v>9.0</v>
      </c>
    </row>
    <row r="1187">
      <c r="A1187" s="151">
        <f>IFERROR(__xludf.DUMMYFUNCTION("""COMPUTED_VALUE"""),43765.147748449075)</f>
        <v>43765.14775</v>
      </c>
      <c r="B1187" t="str">
        <f>IFERROR(__xludf.DUMMYFUNCTION("""COMPUTED_VALUE"""),"Brad")</f>
        <v>Brad</v>
      </c>
      <c r="C1187" t="str">
        <f>IFERROR(__xludf.DUMMYFUNCTION("""COMPUTED_VALUE"""),"Memphis")</f>
        <v>Memphis</v>
      </c>
      <c r="D1187">
        <f>IFERROR(__xludf.DUMMYFUNCTION("""COMPUTED_VALUE"""),7.0)</f>
        <v>7</v>
      </c>
      <c r="E1187">
        <f>IFERROR(__xludf.DUMMYFUNCTION("""COMPUTED_VALUE"""),1.0)</f>
        <v>1</v>
      </c>
      <c r="F1187" t="str">
        <f>IFERROR(__xludf.DUMMYFUNCTION("""COMPUTED_VALUE"""),"CBSSN")</f>
        <v>CBSSN</v>
      </c>
      <c r="G1187" t="str">
        <f>IFERROR(__xludf.DUMMYFUNCTION("""COMPUTED_VALUE"""),"(25) Memphis 42 at Tulsa 41")</f>
        <v>(25) Memphis 42 at Tulsa 41</v>
      </c>
      <c r="H1187" t="str">
        <f>IFERROR(__xludf.DUMMYFUNCTION("""COMPUTED_VALUE"""),"FINAL")</f>
        <v>FINAL</v>
      </c>
      <c r="I1187" t="str">
        <f>IFERROR(__xludf.DUMMYFUNCTION("""COMPUTED_VALUE"""),"-10½")</f>
        <v>-10½</v>
      </c>
      <c r="J1187" t="str">
        <f>IFERROR(__xludf.DUMMYFUNCTION("""COMPUTED_VALUE"""),"56½")</f>
        <v>56½</v>
      </c>
      <c r="K1187" t="str">
        <f>IFERROR(__xludf.DUMMYFUNCTION("""COMPUTED_VALUE"""),"DavEmily")</f>
        <v>DavEmily</v>
      </c>
      <c r="L1187" t="str">
        <f>IFERROR(__xludf.DUMMYFUNCTION("""COMPUTED_VALUE"""),"FINAL")</f>
        <v>FINAL</v>
      </c>
      <c r="M1187" s="124">
        <v>9.0</v>
      </c>
    </row>
    <row r="1188">
      <c r="A1188" s="151">
        <f>IFERROR(__xludf.DUMMYFUNCTION("""COMPUTED_VALUE"""),43765.147748449075)</f>
        <v>43765.14775</v>
      </c>
      <c r="B1188" t="str">
        <f>IFERROR(__xludf.DUMMYFUNCTION("""COMPUTED_VALUE"""),"Brad")</f>
        <v>Brad</v>
      </c>
      <c r="C1188" t="str">
        <f>IFERROR(__xludf.DUMMYFUNCTION("""COMPUTED_VALUE"""),"Texas State")</f>
        <v>Texas State</v>
      </c>
      <c r="D1188">
        <f>IFERROR(__xludf.DUMMYFUNCTION("""COMPUTED_VALUE"""),2.0)</f>
        <v>2</v>
      </c>
      <c r="E1188">
        <f>IFERROR(__xludf.DUMMYFUNCTION("""COMPUTED_VALUE"""),5.0)</f>
        <v>5</v>
      </c>
      <c r="F1188" t="str">
        <f>IFERROR(__xludf.DUMMYFUNCTION("""COMPUTED_VALUE"""),"espn+ Video")</f>
        <v>espn+ Video</v>
      </c>
      <c r="G1188" t="str">
        <f>IFERROR(__xludf.DUMMYFUNCTION("""COMPUTED_VALUE"""),"Texas State 14 at Arkansas State 38")</f>
        <v>Texas State 14 at Arkansas State 38</v>
      </c>
      <c r="H1188" t="str">
        <f>IFERROR(__xludf.DUMMYFUNCTION("""COMPUTED_VALUE"""),"FINAL")</f>
        <v>FINAL</v>
      </c>
      <c r="I1188">
        <f>IFERROR(__xludf.DUMMYFUNCTION("""COMPUTED_VALUE"""),11.0)</f>
        <v>11</v>
      </c>
      <c r="J1188" t="str">
        <f>IFERROR(__xludf.DUMMYFUNCTION("""COMPUTED_VALUE"""),"58½")</f>
        <v>58½</v>
      </c>
      <c r="K1188" t="str">
        <f>IFERROR(__xludf.DUMMYFUNCTION("""COMPUTED_VALUE"""),"Nico")</f>
        <v>Nico</v>
      </c>
      <c r="L1188" t="str">
        <f>IFERROR(__xludf.DUMMYFUNCTION("""COMPUTED_VALUE"""),"FINAL")</f>
        <v>FINAL</v>
      </c>
      <c r="M1188" s="124">
        <v>9.0</v>
      </c>
    </row>
    <row r="1189">
      <c r="A1189" s="151">
        <f>IFERROR(__xludf.DUMMYFUNCTION("""COMPUTED_VALUE"""),43765.147748449075)</f>
        <v>43765.14775</v>
      </c>
      <c r="B1189" t="str">
        <f>IFERROR(__xludf.DUMMYFUNCTION("""COMPUTED_VALUE"""),"Brad")</f>
        <v>Brad</v>
      </c>
      <c r="C1189" t="str">
        <f>IFERROR(__xludf.DUMMYFUNCTION("""COMPUTED_VALUE"""),"Colorado State")</f>
        <v>Colorado State</v>
      </c>
      <c r="D1189">
        <f>IFERROR(__xludf.DUMMYFUNCTION("""COMPUTED_VALUE"""),3.0)</f>
        <v>3</v>
      </c>
      <c r="E1189">
        <f>IFERROR(__xludf.DUMMYFUNCTION("""COMPUTED_VALUE"""),5.0)</f>
        <v>5</v>
      </c>
      <c r="F1189" t="str">
        <f>IFERROR(__xludf.DUMMYFUNCTION("""COMPUTED_VALUE"""),"ESPNU")</f>
        <v>ESPNU</v>
      </c>
      <c r="G1189" t="str">
        <f>IFERROR(__xludf.DUMMYFUNCTION("""COMPUTED_VALUE"""),"Colorado State 41 at Fresno State 31")</f>
        <v>Colorado State 41 at Fresno State 31</v>
      </c>
      <c r="H1189" t="str">
        <f>IFERROR(__xludf.DUMMYFUNCTION("""COMPUTED_VALUE"""),"FINAL")</f>
        <v>FINAL</v>
      </c>
      <c r="I1189">
        <f>IFERROR(__xludf.DUMMYFUNCTION("""COMPUTED_VALUE"""),14.0)</f>
        <v>14</v>
      </c>
      <c r="J1189">
        <f>IFERROR(__xludf.DUMMYFUNCTION("""COMPUTED_VALUE"""),59.0)</f>
        <v>59</v>
      </c>
      <c r="K1189" t="str">
        <f>IFERROR(__xludf.DUMMYFUNCTION("""COMPUTED_VALUE"""),"DavEmily")</f>
        <v>DavEmily</v>
      </c>
      <c r="L1189" t="str">
        <f>IFERROR(__xludf.DUMMYFUNCTION("""COMPUTED_VALUE"""),"FINAL")</f>
        <v>FINAL</v>
      </c>
      <c r="M1189" s="124">
        <v>9.0</v>
      </c>
    </row>
    <row r="1190">
      <c r="A1190" s="151">
        <f>IFERROR(__xludf.DUMMYFUNCTION("""COMPUTED_VALUE"""),43765.147748449075)</f>
        <v>43765.14775</v>
      </c>
      <c r="B1190" t="str">
        <f>IFERROR(__xludf.DUMMYFUNCTION("""COMPUTED_VALUE"""),"Brad")</f>
        <v>Brad</v>
      </c>
      <c r="C1190" t="str">
        <f>IFERROR(__xludf.DUMMYFUNCTION("""COMPUTED_VALUE"""),"Louisiana Tech")</f>
        <v>Louisiana Tech</v>
      </c>
      <c r="D1190">
        <f>IFERROR(__xludf.DUMMYFUNCTION("""COMPUTED_VALUE"""),7.0)</f>
        <v>7</v>
      </c>
      <c r="E1190">
        <f>IFERROR(__xludf.DUMMYFUNCTION("""COMPUTED_VALUE"""),1.0)</f>
        <v>1</v>
      </c>
      <c r="F1190" t="str">
        <f>IFERROR(__xludf.DUMMYFUNCTION("""COMPUTED_VALUE"""),"espn3 Video")</f>
        <v>espn3 Video</v>
      </c>
      <c r="G1190" t="str">
        <f>IFERROR(__xludf.DUMMYFUNCTION("""COMPUTED_VALUE"""),"Louisiana Tech 42 at UTEP 21")</f>
        <v>Louisiana Tech 42 at UTEP 21</v>
      </c>
      <c r="H1190" t="str">
        <f>IFERROR(__xludf.DUMMYFUNCTION("""COMPUTED_VALUE"""),"FINAL")</f>
        <v>FINAL</v>
      </c>
      <c r="I1190" t="str">
        <f>IFERROR(__xludf.DUMMYFUNCTION("""COMPUTED_VALUE"""),"-20½")</f>
        <v>-20½</v>
      </c>
      <c r="J1190" t="str">
        <f>IFERROR(__xludf.DUMMYFUNCTION("""COMPUTED_VALUE"""),"53½")</f>
        <v>53½</v>
      </c>
      <c r="K1190" t="str">
        <f>IFERROR(__xludf.DUMMYFUNCTION("""COMPUTED_VALUE"""),"Undrafted")</f>
        <v>Undrafted</v>
      </c>
      <c r="L1190" t="str">
        <f>IFERROR(__xludf.DUMMYFUNCTION("""COMPUTED_VALUE"""),"FINAL")</f>
        <v>FINAL</v>
      </c>
      <c r="M1190" s="124">
        <v>9.0</v>
      </c>
    </row>
    <row r="1191">
      <c r="A1191" s="151">
        <f>IFERROR(__xludf.DUMMYFUNCTION("""COMPUTED_VALUE"""),43765.147748449075)</f>
        <v>43765.14775</v>
      </c>
      <c r="B1191" t="str">
        <f>IFERROR(__xludf.DUMMYFUNCTION("""COMPUTED_VALUE"""),"Brad")</f>
        <v>Brad</v>
      </c>
      <c r="C1191" t="str">
        <f>IFERROR(__xludf.DUMMYFUNCTION("""COMPUTED_VALUE"""),"Utah")</f>
        <v>Utah</v>
      </c>
      <c r="D1191">
        <f>IFERROR(__xludf.DUMMYFUNCTION("""COMPUTED_VALUE"""),7.0)</f>
        <v>7</v>
      </c>
      <c r="E1191">
        <f>IFERROR(__xludf.DUMMYFUNCTION("""COMPUTED_VALUE"""),1.0)</f>
        <v>1</v>
      </c>
      <c r="F1191" t="str">
        <f>IFERROR(__xludf.DUMMYFUNCTION("""COMPUTED_VALUE"""),"FS1")</f>
        <v>FS1</v>
      </c>
      <c r="G1191" t="str">
        <f>IFERROR(__xludf.DUMMYFUNCTION("""COMPUTED_VALUE"""),"California 0 at (12) Utah 35")</f>
        <v>California 0 at (12) Utah 35</v>
      </c>
      <c r="H1191" t="str">
        <f>IFERROR(__xludf.DUMMYFUNCTION("""COMPUTED_VALUE"""),"FINAL")</f>
        <v>FINAL</v>
      </c>
      <c r="I1191">
        <f>IFERROR(__xludf.DUMMYFUNCTION("""COMPUTED_VALUE"""),-18.0)</f>
        <v>-18</v>
      </c>
      <c r="J1191" t="str">
        <f>IFERROR(__xludf.DUMMYFUNCTION("""COMPUTED_VALUE"""),"38½")</f>
        <v>38½</v>
      </c>
      <c r="K1191" t="str">
        <f>IFERROR(__xludf.DUMMYFUNCTION("""COMPUTED_VALUE"""),"DavEmily")</f>
        <v>DavEmily</v>
      </c>
      <c r="L1191" t="str">
        <f>IFERROR(__xludf.DUMMYFUNCTION("""COMPUTED_VALUE"""),"FINAL")</f>
        <v>FINAL</v>
      </c>
      <c r="M1191" s="124">
        <v>9.0</v>
      </c>
    </row>
    <row r="1192">
      <c r="A1192" s="151">
        <f>IFERROR(__xludf.DUMMYFUNCTION("""COMPUTED_VALUE"""),43765.147748449075)</f>
        <v>43765.14775</v>
      </c>
      <c r="B1192" t="str">
        <f>IFERROR(__xludf.DUMMYFUNCTION("""COMPUTED_VALUE"""),"Nick G.")</f>
        <v>Nick G.</v>
      </c>
      <c r="C1192" t="str">
        <f>IFERROR(__xludf.DUMMYFUNCTION("""COMPUTED_VALUE"""),"Ohio State")</f>
        <v>Ohio State</v>
      </c>
      <c r="D1192">
        <f>IFERROR(__xludf.DUMMYFUNCTION("""COMPUTED_VALUE"""),8.0)</f>
        <v>8</v>
      </c>
      <c r="E1192">
        <f>IFERROR(__xludf.DUMMYFUNCTION("""COMPUTED_VALUE"""),0.0)</f>
        <v>0</v>
      </c>
      <c r="F1192" t="str">
        <f>IFERROR(__xludf.DUMMYFUNCTION("""COMPUTED_VALUE"""),"FOX")</f>
        <v>FOX</v>
      </c>
      <c r="G1192" t="str">
        <f>IFERROR(__xludf.DUMMYFUNCTION("""COMPUTED_VALUE"""),"(13) Wisconsin 7 at (4) Ohio State 38")</f>
        <v>(13) Wisconsin 7 at (4) Ohio State 38</v>
      </c>
      <c r="H1192" t="str">
        <f>IFERROR(__xludf.DUMMYFUNCTION("""COMPUTED_VALUE"""),"FINAL")</f>
        <v>FINAL</v>
      </c>
      <c r="I1192" t="str">
        <f>IFERROR(__xludf.DUMMYFUNCTION("""COMPUTED_VALUE"""),"-14½")</f>
        <v>-14½</v>
      </c>
      <c r="J1192">
        <f>IFERROR(__xludf.DUMMYFUNCTION("""COMPUTED_VALUE"""),51.0)</f>
        <v>51</v>
      </c>
      <c r="K1192" t="str">
        <f>IFERROR(__xludf.DUMMYFUNCTION("""COMPUTED_VALUE"""),"Janice/Mike")</f>
        <v>Janice/Mike</v>
      </c>
      <c r="L1192" t="str">
        <f>IFERROR(__xludf.DUMMYFUNCTION("""COMPUTED_VALUE"""),"FINAL")</f>
        <v>FINAL</v>
      </c>
      <c r="M1192" s="124">
        <v>9.0</v>
      </c>
    </row>
    <row r="1193">
      <c r="A1193" s="151">
        <f>IFERROR(__xludf.DUMMYFUNCTION("""COMPUTED_VALUE"""),43765.147748449075)</f>
        <v>43765.14775</v>
      </c>
      <c r="B1193" t="str">
        <f>IFERROR(__xludf.DUMMYFUNCTION("""COMPUTED_VALUE"""),"Nick G.")</f>
        <v>Nick G.</v>
      </c>
      <c r="C1193" t="str">
        <f>IFERROR(__xludf.DUMMYFUNCTION("""COMPUTED_VALUE"""),"Kansas State")</f>
        <v>Kansas State</v>
      </c>
      <c r="D1193">
        <f>IFERROR(__xludf.DUMMYFUNCTION("""COMPUTED_VALUE"""),5.0)</f>
        <v>5</v>
      </c>
      <c r="E1193">
        <f>IFERROR(__xludf.DUMMYFUNCTION("""COMPUTED_VALUE"""),2.0)</f>
        <v>2</v>
      </c>
      <c r="F1193" t="str">
        <f>IFERROR(__xludf.DUMMYFUNCTION("""COMPUTED_VALUE"""),"ABC")</f>
        <v>ABC</v>
      </c>
      <c r="G1193" t="str">
        <f>IFERROR(__xludf.DUMMYFUNCTION("""COMPUTED_VALUE"""),"(5) Oklahoma 41 at Kansas State 48")</f>
        <v>(5) Oklahoma 41 at Kansas State 48</v>
      </c>
      <c r="H1193" t="str">
        <f>IFERROR(__xludf.DUMMYFUNCTION("""COMPUTED_VALUE"""),"FINAL")</f>
        <v>FINAL</v>
      </c>
      <c r="I1193" t="str">
        <f>IFERROR(__xludf.DUMMYFUNCTION("""COMPUTED_VALUE"""),"23½")</f>
        <v>23½</v>
      </c>
      <c r="J1193" t="str">
        <f>IFERROR(__xludf.DUMMYFUNCTION("""COMPUTED_VALUE"""),"57½")</f>
        <v>57½</v>
      </c>
      <c r="K1193" t="str">
        <f>IFERROR(__xludf.DUMMYFUNCTION("""COMPUTED_VALUE"""),"Jeannine")</f>
        <v>Jeannine</v>
      </c>
      <c r="L1193" t="str">
        <f>IFERROR(__xludf.DUMMYFUNCTION("""COMPUTED_VALUE"""),"FINAL")</f>
        <v>FINAL</v>
      </c>
      <c r="M1193" s="124">
        <v>9.0</v>
      </c>
    </row>
    <row r="1194">
      <c r="A1194" s="151">
        <f>IFERROR(__xludf.DUMMYFUNCTION("""COMPUTED_VALUE"""),43765.147748449075)</f>
        <v>43765.14775</v>
      </c>
      <c r="B1194" t="str">
        <f>IFERROR(__xludf.DUMMYFUNCTION("""COMPUTED_VALUE"""),"Nick G.")</f>
        <v>Nick G.</v>
      </c>
      <c r="C1194" t="str">
        <f>IFERROR(__xludf.DUMMYFUNCTION("""COMPUTED_VALUE"""),"Wyoming")</f>
        <v>Wyoming</v>
      </c>
      <c r="D1194">
        <f>IFERROR(__xludf.DUMMYFUNCTION("""COMPUTED_VALUE"""),6.0)</f>
        <v>6</v>
      </c>
      <c r="E1194">
        <f>IFERROR(__xludf.DUMMYFUNCTION("""COMPUTED_VALUE"""),2.0)</f>
        <v>2</v>
      </c>
      <c r="F1194" t="str">
        <f>IFERROR(__xludf.DUMMYFUNCTION("""COMPUTED_VALUE"""),"ATTRM")</f>
        <v>ATTRM</v>
      </c>
      <c r="G1194" t="str">
        <f>IFERROR(__xludf.DUMMYFUNCTION("""COMPUTED_VALUE"""),"Nevada 3 at Wyoming 31")</f>
        <v>Nevada 3 at Wyoming 31</v>
      </c>
      <c r="H1194" t="str">
        <f>IFERROR(__xludf.DUMMYFUNCTION("""COMPUTED_VALUE"""),"FINAL")</f>
        <v>FINAL</v>
      </c>
      <c r="I1194" t="str">
        <f>IFERROR(__xludf.DUMMYFUNCTION("""COMPUTED_VALUE"""),"-13½")</f>
        <v>-13½</v>
      </c>
      <c r="J1194">
        <f>IFERROR(__xludf.DUMMYFUNCTION("""COMPUTED_VALUE"""),45.0)</f>
        <v>45</v>
      </c>
      <c r="K1194" t="str">
        <f>IFERROR(__xludf.DUMMYFUNCTION("""COMPUTED_VALUE"""),"Josh R.")</f>
        <v>Josh R.</v>
      </c>
      <c r="L1194" t="str">
        <f>IFERROR(__xludf.DUMMYFUNCTION("""COMPUTED_VALUE"""),"FINAL")</f>
        <v>FINAL</v>
      </c>
      <c r="M1194" s="124">
        <v>9.0</v>
      </c>
    </row>
    <row r="1195">
      <c r="A1195" s="151">
        <f>IFERROR(__xludf.DUMMYFUNCTION("""COMPUTED_VALUE"""),43765.147748449075)</f>
        <v>43765.14775</v>
      </c>
      <c r="B1195" t="str">
        <f>IFERROR(__xludf.DUMMYFUNCTION("""COMPUTED_VALUE"""),"Nick G.")</f>
        <v>Nick G.</v>
      </c>
      <c r="C1195" t="str">
        <f>IFERROR(__xludf.DUMMYFUNCTION("""COMPUTED_VALUE"""),"Auburn")</f>
        <v>Auburn</v>
      </c>
      <c r="D1195">
        <f>IFERROR(__xludf.DUMMYFUNCTION("""COMPUTED_VALUE"""),6.0)</f>
        <v>6</v>
      </c>
      <c r="E1195">
        <f>IFERROR(__xludf.DUMMYFUNCTION("""COMPUTED_VALUE"""),2.0)</f>
        <v>2</v>
      </c>
      <c r="F1195" t="str">
        <f>IFERROR(__xludf.DUMMYFUNCTION("""COMPUTED_VALUE"""),"CBS")</f>
        <v>CBS</v>
      </c>
      <c r="G1195" t="str">
        <f>IFERROR(__xludf.DUMMYFUNCTION("""COMPUTED_VALUE"""),"(10) Auburn 20 at (3) LSU 23")</f>
        <v>(10) Auburn 20 at (3) LSU 23</v>
      </c>
      <c r="H1195" t="str">
        <f>IFERROR(__xludf.DUMMYFUNCTION("""COMPUTED_VALUE"""),"FINAL")</f>
        <v>FINAL</v>
      </c>
      <c r="I1195" t="str">
        <f>IFERROR(__xludf.DUMMYFUNCTION("""COMPUTED_VALUE"""),"11½")</f>
        <v>11½</v>
      </c>
      <c r="J1195">
        <f>IFERROR(__xludf.DUMMYFUNCTION("""COMPUTED_VALUE"""),59.0)</f>
        <v>59</v>
      </c>
      <c r="K1195" t="str">
        <f>IFERROR(__xludf.DUMMYFUNCTION("""COMPUTED_VALUE"""),"Nick A.")</f>
        <v>Nick A.</v>
      </c>
      <c r="L1195" t="str">
        <f>IFERROR(__xludf.DUMMYFUNCTION("""COMPUTED_VALUE"""),"FINAL")</f>
        <v>FINAL</v>
      </c>
      <c r="M1195" s="124">
        <v>9.0</v>
      </c>
    </row>
    <row r="1196">
      <c r="A1196" s="151">
        <f>IFERROR(__xludf.DUMMYFUNCTION("""COMPUTED_VALUE"""),43765.147748449075)</f>
        <v>43765.14775</v>
      </c>
      <c r="B1196" t="str">
        <f>IFERROR(__xludf.DUMMYFUNCTION("""COMPUTED_VALUE"""),"Nick G.")</f>
        <v>Nick G.</v>
      </c>
      <c r="C1196" t="str">
        <f>IFERROR(__xludf.DUMMYFUNCTION("""COMPUTED_VALUE"""),"UConn")</f>
        <v>UConn</v>
      </c>
      <c r="D1196">
        <f>IFERROR(__xludf.DUMMYFUNCTION("""COMPUTED_VALUE"""),2.0)</f>
        <v>2</v>
      </c>
      <c r="E1196">
        <f>IFERROR(__xludf.DUMMYFUNCTION("""COMPUTED_VALUE"""),6.0)</f>
        <v>6</v>
      </c>
      <c r="F1196" t="str">
        <f>IFERROR(__xludf.DUMMYFUNCTION("""COMPUTED_VALUE"""),"NESN")</f>
        <v>NESN</v>
      </c>
      <c r="G1196" t="str">
        <f>IFERROR(__xludf.DUMMYFUNCTION("""COMPUTED_VALUE"""),"UConn 56 at UMass 35")</f>
        <v>UConn 56 at UMass 35</v>
      </c>
      <c r="H1196" t="str">
        <f>IFERROR(__xludf.DUMMYFUNCTION("""COMPUTED_VALUE"""),"FINAL")</f>
        <v>FINAL</v>
      </c>
      <c r="I1196" t="str">
        <f>IFERROR(__xludf.DUMMYFUNCTION("""COMPUTED_VALUE"""),"-10½")</f>
        <v>-10½</v>
      </c>
      <c r="J1196" t="str">
        <f>IFERROR(__xludf.DUMMYFUNCTION("""COMPUTED_VALUE"""),"63½")</f>
        <v>63½</v>
      </c>
      <c r="K1196" t="str">
        <f>IFERROR(__xludf.DUMMYFUNCTION("""COMPUTED_VALUE"""),"Undrafted")</f>
        <v>Undrafted</v>
      </c>
      <c r="L1196" t="str">
        <f>IFERROR(__xludf.DUMMYFUNCTION("""COMPUTED_VALUE"""),"FINAL")</f>
        <v>FINAL</v>
      </c>
      <c r="M1196" s="124">
        <v>9.0</v>
      </c>
    </row>
    <row r="1197">
      <c r="A1197" s="151">
        <f>IFERROR(__xludf.DUMMYFUNCTION("""COMPUTED_VALUE"""),43765.147748449075)</f>
        <v>43765.14775</v>
      </c>
      <c r="B1197" t="str">
        <f>IFERROR(__xludf.DUMMYFUNCTION("""COMPUTED_VALUE"""),"Nick G.")</f>
        <v>Nick G.</v>
      </c>
      <c r="C1197" t="str">
        <f>IFERROR(__xludf.DUMMYFUNCTION("""COMPUTED_VALUE"""),"Florida Atlantic")</f>
        <v>Florida Atlantic</v>
      </c>
      <c r="D1197">
        <f>IFERROR(__xludf.DUMMYFUNCTION("""COMPUTED_VALUE"""),5.0)</f>
        <v>5</v>
      </c>
      <c r="E1197">
        <f>IFERROR(__xludf.DUMMYFUNCTION("""COMPUTED_VALUE"""),3.0)</f>
        <v>3</v>
      </c>
      <c r="F1197" t="str">
        <f>IFERROR(__xludf.DUMMYFUNCTION("""COMPUTED_VALUE"""),"espn+ Video")</f>
        <v>espn+ Video</v>
      </c>
      <c r="G1197" t="str">
        <f>IFERROR(__xludf.DUMMYFUNCTION("""COMPUTED_VALUE"""),"Florida Atlantic 41 at Old Dominion 3")</f>
        <v>Florida Atlantic 41 at Old Dominion 3</v>
      </c>
      <c r="H1197" t="str">
        <f>IFERROR(__xludf.DUMMYFUNCTION("""COMPUTED_VALUE"""),"FINAL")</f>
        <v>FINAL</v>
      </c>
      <c r="I1197" t="str">
        <f>IFERROR(__xludf.DUMMYFUNCTION("""COMPUTED_VALUE"""),"-13½")</f>
        <v>-13½</v>
      </c>
      <c r="J1197" t="str">
        <f>IFERROR(__xludf.DUMMYFUNCTION("""COMPUTED_VALUE"""),"52½")</f>
        <v>52½</v>
      </c>
      <c r="K1197" t="str">
        <f>IFERROR(__xludf.DUMMYFUNCTION("""COMPUTED_VALUE"""),"Nick A.")</f>
        <v>Nick A.</v>
      </c>
      <c r="L1197" t="str">
        <f>IFERROR(__xludf.DUMMYFUNCTION("""COMPUTED_VALUE"""),"FINAL")</f>
        <v>FINAL</v>
      </c>
      <c r="M1197" s="124">
        <v>9.0</v>
      </c>
    </row>
    <row r="1198">
      <c r="A1198" s="151">
        <f>IFERROR(__xludf.DUMMYFUNCTION("""COMPUTED_VALUE"""),43765.147748449075)</f>
        <v>43765.14775</v>
      </c>
      <c r="B1198" t="str">
        <f>IFERROR(__xludf.DUMMYFUNCTION("""COMPUTED_VALUE"""),"Nick G.")</f>
        <v>Nick G.</v>
      </c>
      <c r="C1198" t="str">
        <f>IFERROR(__xludf.DUMMYFUNCTION("""COMPUTED_VALUE"""),"Stanford")</f>
        <v>Stanford</v>
      </c>
      <c r="D1198">
        <f>IFERROR(__xludf.DUMMYFUNCTION("""COMPUTED_VALUE"""),4.0)</f>
        <v>4</v>
      </c>
      <c r="E1198">
        <f>IFERROR(__xludf.DUMMYFUNCTION("""COMPUTED_VALUE"""),4.0)</f>
        <v>4</v>
      </c>
      <c r="F1198" t="str">
        <f>IFERROR(__xludf.DUMMYFUNCTION("""COMPUTED_VALUE"""),"Pac-12")</f>
        <v>Pac-12</v>
      </c>
      <c r="G1198" t="str">
        <f>IFERROR(__xludf.DUMMYFUNCTION("""COMPUTED_VALUE"""),"Arizona 31 at Stanford 41")</f>
        <v>Arizona 31 at Stanford 41</v>
      </c>
      <c r="H1198" t="str">
        <f>IFERROR(__xludf.DUMMYFUNCTION("""COMPUTED_VALUE"""),"FINAL")</f>
        <v>FINAL</v>
      </c>
      <c r="I1198">
        <f>IFERROR(__xludf.DUMMYFUNCTION("""COMPUTED_VALUE"""),1.0)</f>
        <v>1</v>
      </c>
      <c r="J1198" t="str">
        <f>IFERROR(__xludf.DUMMYFUNCTION("""COMPUTED_VALUE"""),"53½")</f>
        <v>53½</v>
      </c>
      <c r="K1198" t="str">
        <f>IFERROR(__xludf.DUMMYFUNCTION("""COMPUTED_VALUE"""),"Janice/Mike")</f>
        <v>Janice/Mike</v>
      </c>
      <c r="L1198" t="str">
        <f>IFERROR(__xludf.DUMMYFUNCTION("""COMPUTED_VALUE"""),"FINAL")</f>
        <v>FINAL</v>
      </c>
      <c r="M1198" s="124">
        <v>9.0</v>
      </c>
    </row>
    <row r="1199">
      <c r="A1199" s="151">
        <f>IFERROR(__xludf.DUMMYFUNCTION("""COMPUTED_VALUE"""),43765.147748449075)</f>
        <v>43765.14775</v>
      </c>
      <c r="B1199" t="str">
        <f>IFERROR(__xludf.DUMMYFUNCTION("""COMPUTED_VALUE"""),"Nick G.")</f>
        <v>Nick G.</v>
      </c>
      <c r="C1199" t="str">
        <f>IFERROR(__xludf.DUMMYFUNCTION("""COMPUTED_VALUE"""),"Central Michigan")</f>
        <v>Central Michigan</v>
      </c>
      <c r="D1199">
        <f>IFERROR(__xludf.DUMMYFUNCTION("""COMPUTED_VALUE"""),5.0)</f>
        <v>5</v>
      </c>
      <c r="E1199">
        <f>IFERROR(__xludf.DUMMYFUNCTION("""COMPUTED_VALUE"""),4.0)</f>
        <v>4</v>
      </c>
      <c r="F1199" t="str">
        <f>IFERROR(__xludf.DUMMYFUNCTION("""COMPUTED_VALUE"""),"espn+ Video")</f>
        <v>espn+ Video</v>
      </c>
      <c r="G1199" t="str">
        <f>IFERROR(__xludf.DUMMYFUNCTION("""COMPUTED_VALUE"""),"Central Michigan 20 at Buffalo 43")</f>
        <v>Central Michigan 20 at Buffalo 43</v>
      </c>
      <c r="H1199" t="str">
        <f>IFERROR(__xludf.DUMMYFUNCTION("""COMPUTED_VALUE"""),"FINAL")</f>
        <v>FINAL</v>
      </c>
      <c r="I1199" t="str">
        <f>IFERROR(__xludf.DUMMYFUNCTION("""COMPUTED_VALUE"""),"2½")</f>
        <v>2½</v>
      </c>
      <c r="J1199">
        <f>IFERROR(__xludf.DUMMYFUNCTION("""COMPUTED_VALUE"""),49.0)</f>
        <v>49</v>
      </c>
      <c r="K1199" t="str">
        <f>IFERROR(__xludf.DUMMYFUNCTION("""COMPUTED_VALUE"""),"Justin")</f>
        <v>Justin</v>
      </c>
      <c r="L1199" t="str">
        <f>IFERROR(__xludf.DUMMYFUNCTION("""COMPUTED_VALUE"""),"FINAL")</f>
        <v>FINAL</v>
      </c>
      <c r="M1199" s="124">
        <v>9.0</v>
      </c>
    </row>
    <row r="1200">
      <c r="A1200" s="151">
        <f>IFERROR(__xludf.DUMMYFUNCTION("""COMPUTED_VALUE"""),43765.147748449075)</f>
        <v>43765.14775</v>
      </c>
      <c r="B1200" t="str">
        <f>IFERROR(__xludf.DUMMYFUNCTION("""COMPUTED_VALUE"""),"Nick G.")</f>
        <v>Nick G.</v>
      </c>
      <c r="C1200" t="str">
        <f>IFERROR(__xludf.DUMMYFUNCTION("""COMPUTED_VALUE"""),"Troy")</f>
        <v>Troy</v>
      </c>
      <c r="D1200">
        <f>IFERROR(__xludf.DUMMYFUNCTION("""COMPUTED_VALUE"""),3.0)</f>
        <v>3</v>
      </c>
      <c r="E1200">
        <f>IFERROR(__xludf.DUMMYFUNCTION("""COMPUTED_VALUE"""),4.0)</f>
        <v>4</v>
      </c>
      <c r="F1200" t="str">
        <f>IFERROR(__xludf.DUMMYFUNCTION("""COMPUTED_VALUE"""),"espn+ Video")</f>
        <v>espn+ Video</v>
      </c>
      <c r="G1200" t="str">
        <f>IFERROR(__xludf.DUMMYFUNCTION("""COMPUTED_VALUE"""),"Troy 33 at Georgia State 52")</f>
        <v>Troy 33 at Georgia State 52</v>
      </c>
      <c r="H1200" t="str">
        <f>IFERROR(__xludf.DUMMYFUNCTION("""COMPUTED_VALUE"""),"FINAL")</f>
        <v>FINAL</v>
      </c>
      <c r="I1200">
        <f>IFERROR(__xludf.DUMMYFUNCTION("""COMPUTED_VALUE"""),1.0)</f>
        <v>1</v>
      </c>
      <c r="J1200">
        <f>IFERROR(__xludf.DUMMYFUNCTION("""COMPUTED_VALUE"""),66.0)</f>
        <v>66</v>
      </c>
      <c r="K1200" t="str">
        <f>IFERROR(__xludf.DUMMYFUNCTION("""COMPUTED_VALUE"""),"Adam")</f>
        <v>Adam</v>
      </c>
      <c r="L1200" t="str">
        <f>IFERROR(__xludf.DUMMYFUNCTION("""COMPUTED_VALUE"""),"FINAL")</f>
        <v>FINAL</v>
      </c>
      <c r="M1200" s="124">
        <v>9.0</v>
      </c>
    </row>
    <row r="1201">
      <c r="A1201" s="151">
        <f>IFERROR(__xludf.DUMMYFUNCTION("""COMPUTED_VALUE"""),43765.147748449075)</f>
        <v>43765.14775</v>
      </c>
      <c r="B1201" t="str">
        <f>IFERROR(__xludf.DUMMYFUNCTION("""COMPUTED_VALUE"""),"Nick G.")</f>
        <v>Nick G.</v>
      </c>
      <c r="C1201" t="str">
        <f>IFERROR(__xludf.DUMMYFUNCTION("""COMPUTED_VALUE"""),"NC State")</f>
        <v>NC State</v>
      </c>
      <c r="D1201">
        <f>IFERROR(__xludf.DUMMYFUNCTION("""COMPUTED_VALUE"""),4.0)</f>
        <v>4</v>
      </c>
      <c r="E1201">
        <f>IFERROR(__xludf.DUMMYFUNCTION("""COMPUTED_VALUE"""),3.0)</f>
        <v>3</v>
      </c>
      <c r="F1201" t="str">
        <f>IFERROR(__xludf.DUMMYFUNCTION("""COMPUTED_VALUE"""),"NA")</f>
        <v>NA</v>
      </c>
      <c r="G1201" t="str">
        <f>IFERROR(__xludf.DUMMYFUNCTION("""COMPUTED_VALUE"""),"BYE")</f>
        <v>BYE</v>
      </c>
      <c r="I1201" t="str">
        <f>IFERROR(__xludf.DUMMYFUNCTION("""COMPUTED_VALUE"""),"bye")</f>
        <v>bye</v>
      </c>
      <c r="J1201" t="str">
        <f>IFERROR(__xludf.DUMMYFUNCTION("""COMPUTED_VALUE"""),"bye")</f>
        <v>bye</v>
      </c>
      <c r="L1201">
        <f>IFERROR(__xludf.DUMMYFUNCTION("""COMPUTED_VALUE"""),9999.0)</f>
        <v>9999</v>
      </c>
      <c r="M1201" s="124">
        <v>9.0</v>
      </c>
    </row>
    <row r="1202">
      <c r="A1202" s="151">
        <f>IFERROR(__xludf.DUMMYFUNCTION("""COMPUTED_VALUE"""),43772.14775020833)</f>
        <v>43772.14775</v>
      </c>
      <c r="B1202" t="str">
        <f>IFERROR(__xludf.DUMMYFUNCTION("""COMPUTED_VALUE"""),"DavEmily")</f>
        <v>DavEmily</v>
      </c>
      <c r="C1202" t="str">
        <f>IFERROR(__xludf.DUMMYFUNCTION("""COMPUTED_VALUE"""),"Nebraska")</f>
        <v>Nebraska</v>
      </c>
      <c r="D1202">
        <f>IFERROR(__xludf.DUMMYFUNCTION("""COMPUTED_VALUE"""),4.0)</f>
        <v>4</v>
      </c>
      <c r="E1202">
        <f>IFERROR(__xludf.DUMMYFUNCTION("""COMPUTED_VALUE"""),5.0)</f>
        <v>5</v>
      </c>
      <c r="F1202" t="str">
        <f>IFERROR(__xludf.DUMMYFUNCTION("""COMPUTED_VALUE"""),"FOX")</f>
        <v>FOX</v>
      </c>
      <c r="G1202" t="str">
        <f>IFERROR(__xludf.DUMMYFUNCTION("""COMPUTED_VALUE"""),"Nebraska 27 at Purdue 31")</f>
        <v>Nebraska 27 at Purdue 31</v>
      </c>
      <c r="H1202" t="str">
        <f>IFERROR(__xludf.DUMMYFUNCTION("""COMPUTED_VALUE"""),"FINAL")</f>
        <v>FINAL</v>
      </c>
      <c r="I1202">
        <f>IFERROR(__xludf.DUMMYFUNCTION("""COMPUTED_VALUE"""),-2.0)</f>
        <v>-2</v>
      </c>
      <c r="J1202">
        <f>IFERROR(__xludf.DUMMYFUNCTION("""COMPUTED_VALUE"""),55.0)</f>
        <v>55</v>
      </c>
      <c r="K1202" t="str">
        <f>IFERROR(__xludf.DUMMYFUNCTION("""COMPUTED_VALUE"""),"Nico")</f>
        <v>Nico</v>
      </c>
      <c r="L1202" t="str">
        <f>IFERROR(__xludf.DUMMYFUNCTION("""COMPUTED_VALUE"""),"FINAL")</f>
        <v>FINAL</v>
      </c>
      <c r="M1202" s="124">
        <v>10.0</v>
      </c>
    </row>
    <row r="1203">
      <c r="A1203" s="151">
        <f>IFERROR(__xludf.DUMMYFUNCTION("""COMPUTED_VALUE"""),43772.14775020833)</f>
        <v>43772.14775</v>
      </c>
      <c r="B1203" t="str">
        <f>IFERROR(__xludf.DUMMYFUNCTION("""COMPUTED_VALUE"""),"DavEmily")</f>
        <v>DavEmily</v>
      </c>
      <c r="C1203" t="str">
        <f>IFERROR(__xludf.DUMMYFUNCTION("""COMPUTED_VALUE"""),"UTSA")</f>
        <v>UTSA</v>
      </c>
      <c r="D1203">
        <f>IFERROR(__xludf.DUMMYFUNCTION("""COMPUTED_VALUE"""),3.0)</f>
        <v>3</v>
      </c>
      <c r="E1203">
        <f>IFERROR(__xludf.DUMMYFUNCTION("""COMPUTED_VALUE"""),5.0)</f>
        <v>5</v>
      </c>
      <c r="F1203" t="str">
        <f>IFERROR(__xludf.DUMMYFUNCTION("""COMPUTED_VALUE"""),"SEC Network")</f>
        <v>SEC Network</v>
      </c>
      <c r="G1203" t="str">
        <f>IFERROR(__xludf.DUMMYFUNCTION("""COMPUTED_VALUE"""),"UTSA 14 at Texas A&amp;M 45")</f>
        <v>UTSA 14 at Texas A&amp;M 45</v>
      </c>
      <c r="H1203" t="str">
        <f>IFERROR(__xludf.DUMMYFUNCTION("""COMPUTED_VALUE"""),"FINAL")</f>
        <v>FINAL</v>
      </c>
      <c r="I1203" t="str">
        <f>IFERROR(__xludf.DUMMYFUNCTION("""COMPUTED_VALUE"""),"38½")</f>
        <v>38½</v>
      </c>
      <c r="J1203">
        <f>IFERROR(__xludf.DUMMYFUNCTION("""COMPUTED_VALUE"""),53.0)</f>
        <v>53</v>
      </c>
      <c r="K1203" t="str">
        <f>IFERROR(__xludf.DUMMYFUNCTION("""COMPUTED_VALUE"""),"Vu")</f>
        <v>Vu</v>
      </c>
      <c r="L1203" t="str">
        <f>IFERROR(__xludf.DUMMYFUNCTION("""COMPUTED_VALUE"""),"FINAL")</f>
        <v>FINAL</v>
      </c>
      <c r="M1203" s="124">
        <v>10.0</v>
      </c>
    </row>
    <row r="1204">
      <c r="A1204" s="151">
        <f>IFERROR(__xludf.DUMMYFUNCTION("""COMPUTED_VALUE"""),43772.14775020833)</f>
        <v>43772.14775</v>
      </c>
      <c r="B1204" t="str">
        <f>IFERROR(__xludf.DUMMYFUNCTION("""COMPUTED_VALUE"""),"DavEmily")</f>
        <v>DavEmily</v>
      </c>
      <c r="C1204" t="str">
        <f>IFERROR(__xludf.DUMMYFUNCTION("""COMPUTED_VALUE"""),"Notre Dame")</f>
        <v>Notre Dame</v>
      </c>
      <c r="D1204">
        <f>IFERROR(__xludf.DUMMYFUNCTION("""COMPUTED_VALUE"""),6.0)</f>
        <v>6</v>
      </c>
      <c r="E1204">
        <f>IFERROR(__xludf.DUMMYFUNCTION("""COMPUTED_VALUE"""),2.0)</f>
        <v>2</v>
      </c>
      <c r="F1204" t="str">
        <f>IFERROR(__xludf.DUMMYFUNCTION("""COMPUTED_VALUE"""),"NBC")</f>
        <v>NBC</v>
      </c>
      <c r="G1204" t="str">
        <f>IFERROR(__xludf.DUMMYFUNCTION("""COMPUTED_VALUE"""),"Virginia Tech 20 at (16) Notre Dame 21")</f>
        <v>Virginia Tech 20 at (16) Notre Dame 21</v>
      </c>
      <c r="H1204" t="str">
        <f>IFERROR(__xludf.DUMMYFUNCTION("""COMPUTED_VALUE"""),"FINAL")</f>
        <v>FINAL</v>
      </c>
      <c r="I1204">
        <f>IFERROR(__xludf.DUMMYFUNCTION("""COMPUTED_VALUE"""),-17.0)</f>
        <v>-17</v>
      </c>
      <c r="J1204">
        <f>IFERROR(__xludf.DUMMYFUNCTION("""COMPUTED_VALUE"""),58.0)</f>
        <v>58</v>
      </c>
      <c r="K1204" t="str">
        <f>IFERROR(__xludf.DUMMYFUNCTION("""COMPUTED_VALUE"""),"DavEmily")</f>
        <v>DavEmily</v>
      </c>
      <c r="L1204" t="str">
        <f>IFERROR(__xludf.DUMMYFUNCTION("""COMPUTED_VALUE"""),"FINAL")</f>
        <v>FINAL</v>
      </c>
      <c r="M1204" s="124">
        <v>10.0</v>
      </c>
    </row>
    <row r="1205">
      <c r="A1205" s="151">
        <f>IFERROR(__xludf.DUMMYFUNCTION("""COMPUTED_VALUE"""),43772.14775020833)</f>
        <v>43772.14775</v>
      </c>
      <c r="B1205" t="str">
        <f>IFERROR(__xludf.DUMMYFUNCTION("""COMPUTED_VALUE"""),"DavEmily")</f>
        <v>DavEmily</v>
      </c>
      <c r="C1205" t="str">
        <f>IFERROR(__xludf.DUMMYFUNCTION("""COMPUTED_VALUE"""),"Virginia Tech")</f>
        <v>Virginia Tech</v>
      </c>
      <c r="D1205">
        <f>IFERROR(__xludf.DUMMYFUNCTION("""COMPUTED_VALUE"""),5.0)</f>
        <v>5</v>
      </c>
      <c r="E1205">
        <f>IFERROR(__xludf.DUMMYFUNCTION("""COMPUTED_VALUE"""),3.0)</f>
        <v>3</v>
      </c>
      <c r="F1205" t="str">
        <f>IFERROR(__xludf.DUMMYFUNCTION("""COMPUTED_VALUE"""),"NBC")</f>
        <v>NBC</v>
      </c>
      <c r="G1205" t="str">
        <f>IFERROR(__xludf.DUMMYFUNCTION("""COMPUTED_VALUE"""),"Virginia Tech 20 at (16) Notre Dame 21")</f>
        <v>Virginia Tech 20 at (16) Notre Dame 21</v>
      </c>
      <c r="H1205" t="str">
        <f>IFERROR(__xludf.DUMMYFUNCTION("""COMPUTED_VALUE"""),"FINAL")</f>
        <v>FINAL</v>
      </c>
      <c r="I1205">
        <f>IFERROR(__xludf.DUMMYFUNCTION("""COMPUTED_VALUE"""),17.0)</f>
        <v>17</v>
      </c>
      <c r="J1205">
        <f>IFERROR(__xludf.DUMMYFUNCTION("""COMPUTED_VALUE"""),58.0)</f>
        <v>58</v>
      </c>
      <c r="K1205" t="str">
        <f>IFERROR(__xludf.DUMMYFUNCTION("""COMPUTED_VALUE"""),"DavEmily")</f>
        <v>DavEmily</v>
      </c>
      <c r="L1205" t="str">
        <f>IFERROR(__xludf.DUMMYFUNCTION("""COMPUTED_VALUE"""),"FINAL")</f>
        <v>FINAL</v>
      </c>
      <c r="M1205" s="124">
        <v>10.0</v>
      </c>
    </row>
    <row r="1206">
      <c r="A1206" s="151">
        <f>IFERROR(__xludf.DUMMYFUNCTION("""COMPUTED_VALUE"""),43772.14775020833)</f>
        <v>43772.14775</v>
      </c>
      <c r="B1206" t="str">
        <f>IFERROR(__xludf.DUMMYFUNCTION("""COMPUTED_VALUE"""),"DavEmily")</f>
        <v>DavEmily</v>
      </c>
      <c r="C1206" t="str">
        <f>IFERROR(__xludf.DUMMYFUNCTION("""COMPUTED_VALUE"""),"Coastal Carolina")</f>
        <v>Coastal Carolina</v>
      </c>
      <c r="D1206">
        <f>IFERROR(__xludf.DUMMYFUNCTION("""COMPUTED_VALUE"""),4.0)</f>
        <v>4</v>
      </c>
      <c r="E1206">
        <f>IFERROR(__xludf.DUMMYFUNCTION("""COMPUTED_VALUE"""),4.0)</f>
        <v>4</v>
      </c>
      <c r="F1206" t="str">
        <f>IFERROR(__xludf.DUMMYFUNCTION("""COMPUTED_VALUE"""),"espn3 Video")</f>
        <v>espn3 Video</v>
      </c>
      <c r="G1206" t="str">
        <f>IFERROR(__xludf.DUMMYFUNCTION("""COMPUTED_VALUE"""),"Troy 35 at Coastal Carolina 36")</f>
        <v>Troy 35 at Coastal Carolina 36</v>
      </c>
      <c r="H1206" t="str">
        <f>IFERROR(__xludf.DUMMYFUNCTION("""COMPUTED_VALUE"""),"FINAL")</f>
        <v>FINAL</v>
      </c>
      <c r="I1206">
        <f>IFERROR(__xludf.DUMMYFUNCTION("""COMPUTED_VALUE"""),1.0)</f>
        <v>1</v>
      </c>
      <c r="J1206" t="str">
        <f>IFERROR(__xludf.DUMMYFUNCTION("""COMPUTED_VALUE"""),"61½")</f>
        <v>61½</v>
      </c>
      <c r="K1206" t="str">
        <f>IFERROR(__xludf.DUMMYFUNCTION("""COMPUTED_VALUE"""),"Nick G.")</f>
        <v>Nick G.</v>
      </c>
      <c r="L1206" t="str">
        <f>IFERROR(__xludf.DUMMYFUNCTION("""COMPUTED_VALUE"""),"FINAL")</f>
        <v>FINAL</v>
      </c>
      <c r="M1206" s="124">
        <v>10.0</v>
      </c>
    </row>
    <row r="1207">
      <c r="A1207" s="151">
        <f>IFERROR(__xludf.DUMMYFUNCTION("""COMPUTED_VALUE"""),43772.14775020833)</f>
        <v>43772.14775</v>
      </c>
      <c r="B1207" t="str">
        <f>IFERROR(__xludf.DUMMYFUNCTION("""COMPUTED_VALUE"""),"DavEmily")</f>
        <v>DavEmily</v>
      </c>
      <c r="C1207" t="str">
        <f>IFERROR(__xludf.DUMMYFUNCTION("""COMPUTED_VALUE"""),"Tulsa")</f>
        <v>Tulsa</v>
      </c>
      <c r="D1207">
        <f>IFERROR(__xludf.DUMMYFUNCTION("""COMPUTED_VALUE"""),2.0)</f>
        <v>2</v>
      </c>
      <c r="E1207">
        <f>IFERROR(__xludf.DUMMYFUNCTION("""COMPUTED_VALUE"""),7.0)</f>
        <v>7</v>
      </c>
      <c r="F1207" t="str">
        <f>IFERROR(__xludf.DUMMYFUNCTION("""COMPUTED_VALUE"""),"ESPN2")</f>
        <v>ESPN2</v>
      </c>
      <c r="G1207" t="str">
        <f>IFERROR(__xludf.DUMMYFUNCTION("""COMPUTED_VALUE"""),"Tulsa 26 at Tulane 38")</f>
        <v>Tulsa 26 at Tulane 38</v>
      </c>
      <c r="H1207" t="str">
        <f>IFERROR(__xludf.DUMMYFUNCTION("""COMPUTED_VALUE"""),"FINAL")</f>
        <v>FINAL</v>
      </c>
      <c r="I1207">
        <f>IFERROR(__xludf.DUMMYFUNCTION("""COMPUTED_VALUE"""),10.0)</f>
        <v>10</v>
      </c>
      <c r="J1207">
        <f>IFERROR(__xludf.DUMMYFUNCTION("""COMPUTED_VALUE"""),62.0)</f>
        <v>62</v>
      </c>
      <c r="K1207" t="str">
        <f>IFERROR(__xludf.DUMMYFUNCTION("""COMPUTED_VALUE"""),"Gary")</f>
        <v>Gary</v>
      </c>
      <c r="L1207" t="str">
        <f>IFERROR(__xludf.DUMMYFUNCTION("""COMPUTED_VALUE"""),"FINAL")</f>
        <v>FINAL</v>
      </c>
      <c r="M1207" s="124">
        <v>10.0</v>
      </c>
    </row>
    <row r="1208">
      <c r="A1208" s="151">
        <f>IFERROR(__xludf.DUMMYFUNCTION("""COMPUTED_VALUE"""),43772.14775020833)</f>
        <v>43772.14775</v>
      </c>
      <c r="B1208" t="str">
        <f>IFERROR(__xludf.DUMMYFUNCTION("""COMPUTED_VALUE"""),"DavEmily")</f>
        <v>DavEmily</v>
      </c>
      <c r="C1208" t="str">
        <f>IFERROR(__xludf.DUMMYFUNCTION("""COMPUTED_VALUE"""),"Fresno State")</f>
        <v>Fresno State</v>
      </c>
      <c r="D1208">
        <f>IFERROR(__xludf.DUMMYFUNCTION("""COMPUTED_VALUE"""),4.0)</f>
        <v>4</v>
      </c>
      <c r="E1208">
        <f>IFERROR(__xludf.DUMMYFUNCTION("""COMPUTED_VALUE"""),4.0)</f>
        <v>4</v>
      </c>
      <c r="F1208" t="str">
        <f>IFERROR(__xludf.DUMMYFUNCTION("""COMPUTED_VALUE"""),"Facebook Video")</f>
        <v>Facebook Video</v>
      </c>
      <c r="G1208" t="str">
        <f>IFERROR(__xludf.DUMMYFUNCTION("""COMPUTED_VALUE"""),"Fresno State 41 at Hawaii 38")</f>
        <v>Fresno State 41 at Hawaii 38</v>
      </c>
      <c r="H1208" t="str">
        <f>IFERROR(__xludf.DUMMYFUNCTION("""COMPUTED_VALUE"""),"FINAL")</f>
        <v>FINAL</v>
      </c>
      <c r="I1208" t="str">
        <f>IFERROR(__xludf.DUMMYFUNCTION("""COMPUTED_VALUE"""),"bye")</f>
        <v>bye</v>
      </c>
      <c r="J1208" t="str">
        <f>IFERROR(__xludf.DUMMYFUNCTION("""COMPUTED_VALUE"""),"bye")</f>
        <v>bye</v>
      </c>
      <c r="K1208" t="str">
        <f>IFERROR(__xludf.DUMMYFUNCTION("""COMPUTED_VALUE"""),"Vu")</f>
        <v>Vu</v>
      </c>
      <c r="L1208" t="str">
        <f>IFERROR(__xludf.DUMMYFUNCTION("""COMPUTED_VALUE"""),"FINAL")</f>
        <v>FINAL</v>
      </c>
      <c r="M1208" s="124">
        <v>10.0</v>
      </c>
    </row>
    <row r="1209">
      <c r="A1209" s="151">
        <f>IFERROR(__xludf.DUMMYFUNCTION("""COMPUTED_VALUE"""),43772.14775020833)</f>
        <v>43772.14775</v>
      </c>
      <c r="B1209" t="str">
        <f>IFERROR(__xludf.DUMMYFUNCTION("""COMPUTED_VALUE"""),"DavEmily")</f>
        <v>DavEmily</v>
      </c>
      <c r="C1209" t="str">
        <f>IFERROR(__xludf.DUMMYFUNCTION("""COMPUTED_VALUE"""),"Ball State")</f>
        <v>Ball State</v>
      </c>
      <c r="D1209">
        <f>IFERROR(__xludf.DUMMYFUNCTION("""COMPUTED_VALUE"""),4.0)</f>
        <v>4</v>
      </c>
      <c r="E1209">
        <f>IFERROR(__xludf.DUMMYFUNCTION("""COMPUTED_VALUE"""),4.0)</f>
        <v>4</v>
      </c>
      <c r="F1209" t="str">
        <f>IFERROR(__xludf.DUMMYFUNCTION("""COMPUTED_VALUE"""),"CBSSN")</f>
        <v>CBSSN</v>
      </c>
      <c r="G1209" t="str">
        <f>IFERROR(__xludf.DUMMYFUNCTION("""COMPUTED_VALUE"""),"BYE")</f>
        <v>BYE</v>
      </c>
      <c r="I1209" t="str">
        <f>IFERROR(__xludf.DUMMYFUNCTION("""COMPUTED_VALUE"""),"bye")</f>
        <v>bye</v>
      </c>
      <c r="J1209" t="str">
        <f>IFERROR(__xludf.DUMMYFUNCTION("""COMPUTED_VALUE"""),"bye")</f>
        <v>bye</v>
      </c>
      <c r="L1209">
        <f>IFERROR(__xludf.DUMMYFUNCTION("""COMPUTED_VALUE"""),9999.0)</f>
        <v>9999</v>
      </c>
      <c r="M1209" s="124">
        <v>10.0</v>
      </c>
    </row>
    <row r="1210">
      <c r="A1210" s="151">
        <f>IFERROR(__xludf.DUMMYFUNCTION("""COMPUTED_VALUE"""),43772.14775020833)</f>
        <v>43772.14775</v>
      </c>
      <c r="B1210" t="str">
        <f>IFERROR(__xludf.DUMMYFUNCTION("""COMPUTED_VALUE"""),"DavEmily")</f>
        <v>DavEmily</v>
      </c>
      <c r="C1210" t="str">
        <f>IFERROR(__xludf.DUMMYFUNCTION("""COMPUTED_VALUE"""),"Alabama")</f>
        <v>Alabama</v>
      </c>
      <c r="D1210">
        <f>IFERROR(__xludf.DUMMYFUNCTION("""COMPUTED_VALUE"""),8.0)</f>
        <v>8</v>
      </c>
      <c r="E1210">
        <f>IFERROR(__xludf.DUMMYFUNCTION("""COMPUTED_VALUE"""),0.0)</f>
        <v>0</v>
      </c>
      <c r="F1210" t="str">
        <f>IFERROR(__xludf.DUMMYFUNCTION("""COMPUTED_VALUE"""),"NA")</f>
        <v>NA</v>
      </c>
      <c r="G1210" t="str">
        <f>IFERROR(__xludf.DUMMYFUNCTION("""COMPUTED_VALUE"""),"BYE")</f>
        <v>BYE</v>
      </c>
      <c r="I1210" t="str">
        <f>IFERROR(__xludf.DUMMYFUNCTION("""COMPUTED_VALUE"""),"bye")</f>
        <v>bye</v>
      </c>
      <c r="J1210" t="str">
        <f>IFERROR(__xludf.DUMMYFUNCTION("""COMPUTED_VALUE"""),"bye")</f>
        <v>bye</v>
      </c>
      <c r="L1210">
        <f>IFERROR(__xludf.DUMMYFUNCTION("""COMPUTED_VALUE"""),9999.0)</f>
        <v>9999</v>
      </c>
      <c r="M1210" s="124">
        <v>10.0</v>
      </c>
    </row>
    <row r="1211">
      <c r="A1211" s="151">
        <f>IFERROR(__xludf.DUMMYFUNCTION("""COMPUTED_VALUE"""),43772.14775020833)</f>
        <v>43772.14775</v>
      </c>
      <c r="B1211" t="str">
        <f>IFERROR(__xludf.DUMMYFUNCTION("""COMPUTED_VALUE"""),"DavEmily")</f>
        <v>DavEmily</v>
      </c>
      <c r="C1211" t="str">
        <f>IFERROR(__xludf.DUMMYFUNCTION("""COMPUTED_VALUE"""),"California")</f>
        <v>California</v>
      </c>
      <c r="D1211">
        <f>IFERROR(__xludf.DUMMYFUNCTION("""COMPUTED_VALUE"""),4.0)</f>
        <v>4</v>
      </c>
      <c r="E1211">
        <f>IFERROR(__xludf.DUMMYFUNCTION("""COMPUTED_VALUE"""),4.0)</f>
        <v>4</v>
      </c>
      <c r="F1211" t="str">
        <f>IFERROR(__xludf.DUMMYFUNCTION("""COMPUTED_VALUE"""),"NA")</f>
        <v>NA</v>
      </c>
      <c r="G1211" t="str">
        <f>IFERROR(__xludf.DUMMYFUNCTION("""COMPUTED_VALUE"""),"BYE")</f>
        <v>BYE</v>
      </c>
      <c r="I1211" t="str">
        <f>IFERROR(__xludf.DUMMYFUNCTION("""COMPUTED_VALUE"""),"bye")</f>
        <v>bye</v>
      </c>
      <c r="J1211" t="str">
        <f>IFERROR(__xludf.DUMMYFUNCTION("""COMPUTED_VALUE"""),"bye")</f>
        <v>bye</v>
      </c>
      <c r="L1211">
        <f>IFERROR(__xludf.DUMMYFUNCTION("""COMPUTED_VALUE"""),9999.0)</f>
        <v>9999</v>
      </c>
      <c r="M1211" s="124">
        <v>10.0</v>
      </c>
    </row>
    <row r="1212">
      <c r="A1212" s="151">
        <f>IFERROR(__xludf.DUMMYFUNCTION("""COMPUTED_VALUE"""),43772.14775020833)</f>
        <v>43772.14775</v>
      </c>
      <c r="B1212" t="str">
        <f>IFERROR(__xludf.DUMMYFUNCTION("""COMPUTED_VALUE"""),"Nick A.")</f>
        <v>Nick A.</v>
      </c>
      <c r="C1212" s="169" t="str">
        <f>IFERROR(__xludf.DUMMYFUNCTION("""COMPUTED_VALUE"""),"Old Dominion")</f>
        <v>Old Dominion</v>
      </c>
      <c r="D1212">
        <f>IFERROR(__xludf.DUMMYFUNCTION("""COMPUTED_VALUE"""),1.0)</f>
        <v>1</v>
      </c>
      <c r="E1212">
        <f>IFERROR(__xludf.DUMMYFUNCTION("""COMPUTED_VALUE"""),8.0)</f>
        <v>8</v>
      </c>
      <c r="F1212" t="str">
        <f>IFERROR(__xludf.DUMMYFUNCTION("""COMPUTED_VALUE"""),"espn+ Video")</f>
        <v>espn+ Video</v>
      </c>
      <c r="G1212" t="str">
        <f>IFERROR(__xludf.DUMMYFUNCTION("""COMPUTED_VALUE"""),"Old Dominion 17 at Florida Intl 24")</f>
        <v>Old Dominion 17 at Florida Intl 24</v>
      </c>
      <c r="H1212" t="str">
        <f>IFERROR(__xludf.DUMMYFUNCTION("""COMPUTED_VALUE"""),"FINAL")</f>
        <v>FINAL</v>
      </c>
      <c r="I1212">
        <f>IFERROR(__xludf.DUMMYFUNCTION("""COMPUTED_VALUE"""),17.0)</f>
        <v>17</v>
      </c>
      <c r="J1212">
        <f>IFERROR(__xludf.DUMMYFUNCTION("""COMPUTED_VALUE"""),49.0)</f>
        <v>49</v>
      </c>
      <c r="K1212" t="str">
        <f>IFERROR(__xludf.DUMMYFUNCTION("""COMPUTED_VALUE"""),"Adam")</f>
        <v>Adam</v>
      </c>
      <c r="L1212" t="str">
        <f>IFERROR(__xludf.DUMMYFUNCTION("""COMPUTED_VALUE"""),"FINAL")</f>
        <v>FINAL</v>
      </c>
      <c r="M1212" s="124">
        <v>10.0</v>
      </c>
    </row>
    <row r="1213">
      <c r="A1213" s="151">
        <f>IFERROR(__xludf.DUMMYFUNCTION("""COMPUTED_VALUE"""),43772.14775020833)</f>
        <v>43772.14775</v>
      </c>
      <c r="B1213" t="str">
        <f>IFERROR(__xludf.DUMMYFUNCTION("""COMPUTED_VALUE"""),"Nick A.")</f>
        <v>Nick A.</v>
      </c>
      <c r="C1213" s="169" t="str">
        <f>IFERROR(__xludf.DUMMYFUNCTION("""COMPUTED_VALUE"""),"Bowling Green")</f>
        <v>Bowling Green</v>
      </c>
      <c r="D1213">
        <f>IFERROR(__xludf.DUMMYFUNCTION("""COMPUTED_VALUE"""),3.0)</f>
        <v>3</v>
      </c>
      <c r="E1213">
        <f>IFERROR(__xludf.DUMMYFUNCTION("""COMPUTED_VALUE"""),6.0)</f>
        <v>6</v>
      </c>
      <c r="F1213" t="str">
        <f>IFERROR(__xludf.DUMMYFUNCTION("""COMPUTED_VALUE"""),"espn+ Video")</f>
        <v>espn+ Video</v>
      </c>
      <c r="G1213" t="str">
        <f>IFERROR(__xludf.DUMMYFUNCTION("""COMPUTED_VALUE"""),"Akron 6 at Bowling Green 35")</f>
        <v>Akron 6 at Bowling Green 35</v>
      </c>
      <c r="H1213" t="str">
        <f>IFERROR(__xludf.DUMMYFUNCTION("""COMPUTED_VALUE"""),"FINAL")</f>
        <v>FINAL</v>
      </c>
      <c r="I1213">
        <f>IFERROR(__xludf.DUMMYFUNCTION("""COMPUTED_VALUE"""),-6.0)</f>
        <v>-6</v>
      </c>
      <c r="J1213">
        <f>IFERROR(__xludf.DUMMYFUNCTION("""COMPUTED_VALUE"""),50.0)</f>
        <v>50</v>
      </c>
      <c r="K1213" t="str">
        <f>IFERROR(__xludf.DUMMYFUNCTION("""COMPUTED_VALUE"""),"Adam")</f>
        <v>Adam</v>
      </c>
      <c r="L1213" t="str">
        <f>IFERROR(__xludf.DUMMYFUNCTION("""COMPUTED_VALUE"""),"FINAL")</f>
        <v>FINAL</v>
      </c>
      <c r="M1213" s="124">
        <v>10.0</v>
      </c>
    </row>
    <row r="1214">
      <c r="A1214" s="151">
        <f>IFERROR(__xludf.DUMMYFUNCTION("""COMPUTED_VALUE"""),43772.14775020833)</f>
        <v>43772.14775</v>
      </c>
      <c r="B1214" t="str">
        <f>IFERROR(__xludf.DUMMYFUNCTION("""COMPUTED_VALUE"""),"Nick A.")</f>
        <v>Nick A.</v>
      </c>
      <c r="C1214" s="169" t="str">
        <f>IFERROR(__xludf.DUMMYFUNCTION("""COMPUTED_VALUE"""),"Clemson")</f>
        <v>Clemson</v>
      </c>
      <c r="D1214">
        <f>IFERROR(__xludf.DUMMYFUNCTION("""COMPUTED_VALUE"""),9.0)</f>
        <v>9</v>
      </c>
      <c r="E1214">
        <f>IFERROR(__xludf.DUMMYFUNCTION("""COMPUTED_VALUE"""),0.0)</f>
        <v>0</v>
      </c>
      <c r="F1214" t="str">
        <f>IFERROR(__xludf.DUMMYFUNCTION("""COMPUTED_VALUE"""),"ACC Network")</f>
        <v>ACC Network</v>
      </c>
      <c r="G1214" t="str">
        <f>IFERROR(__xludf.DUMMYFUNCTION("""COMPUTED_VALUE"""),"Wofford 14 at (3) Clemson 59")</f>
        <v>Wofford 14 at (3) Clemson 59</v>
      </c>
      <c r="H1214" t="str">
        <f>IFERROR(__xludf.DUMMYFUNCTION("""COMPUTED_VALUE"""),"FINAL")</f>
        <v>FINAL</v>
      </c>
      <c r="I1214">
        <f>IFERROR(__xludf.DUMMYFUNCTION("""COMPUTED_VALUE"""),-47.0)</f>
        <v>-47</v>
      </c>
      <c r="J1214" t="str">
        <f>IFERROR(__xludf.DUMMYFUNCTION("""COMPUTED_VALUE""")," No Line")</f>
        <v> No Line</v>
      </c>
      <c r="K1214" t="str">
        <f>IFERROR(__xludf.DUMMYFUNCTION("""COMPUTED_VALUE"""),"Undrafted")</f>
        <v>Undrafted</v>
      </c>
      <c r="L1214" t="str">
        <f>IFERROR(__xludf.DUMMYFUNCTION("""COMPUTED_VALUE"""),"FINAL")</f>
        <v>FINAL</v>
      </c>
      <c r="M1214" s="124">
        <v>10.0</v>
      </c>
    </row>
    <row r="1215">
      <c r="A1215" s="151">
        <f>IFERROR(__xludf.DUMMYFUNCTION("""COMPUTED_VALUE"""),43772.14775020833)</f>
        <v>43772.14775</v>
      </c>
      <c r="B1215" t="str">
        <f>IFERROR(__xludf.DUMMYFUNCTION("""COMPUTED_VALUE"""),"Nick A.")</f>
        <v>Nick A.</v>
      </c>
      <c r="C1215" s="169" t="str">
        <f>IFERROR(__xludf.DUMMYFUNCTION("""COMPUTED_VALUE"""),"East Carolina")</f>
        <v>East Carolina</v>
      </c>
      <c r="D1215">
        <f>IFERROR(__xludf.DUMMYFUNCTION("""COMPUTED_VALUE"""),3.0)</f>
        <v>3</v>
      </c>
      <c r="E1215">
        <f>IFERROR(__xludf.DUMMYFUNCTION("""COMPUTED_VALUE"""),6.0)</f>
        <v>6</v>
      </c>
      <c r="F1215" t="str">
        <f>IFERROR(__xludf.DUMMYFUNCTION("""COMPUTED_VALUE"""),"CBSSN")</f>
        <v>CBSSN</v>
      </c>
      <c r="G1215" t="str">
        <f>IFERROR(__xludf.DUMMYFUNCTION("""COMPUTED_VALUE"""),"(18) Cincinnati 46 at East Carolina 43")</f>
        <v>(18) Cincinnati 46 at East Carolina 43</v>
      </c>
      <c r="H1215" t="str">
        <f>IFERROR(__xludf.DUMMYFUNCTION("""COMPUTED_VALUE"""),"FINAL")</f>
        <v>FINAL</v>
      </c>
      <c r="I1215" t="str">
        <f>IFERROR(__xludf.DUMMYFUNCTION("""COMPUTED_VALUE"""),"22½")</f>
        <v>22½</v>
      </c>
      <c r="J1215" t="str">
        <f>IFERROR(__xludf.DUMMYFUNCTION("""COMPUTED_VALUE"""),"48½")</f>
        <v>48½</v>
      </c>
      <c r="K1215" t="str">
        <f>IFERROR(__xludf.DUMMYFUNCTION("""COMPUTED_VALUE"""),"Vu")</f>
        <v>Vu</v>
      </c>
      <c r="L1215" t="str">
        <f>IFERROR(__xludf.DUMMYFUNCTION("""COMPUTED_VALUE"""),"FINAL")</f>
        <v>FINAL</v>
      </c>
      <c r="M1215" s="124">
        <v>10.0</v>
      </c>
    </row>
    <row r="1216">
      <c r="A1216" s="151">
        <f>IFERROR(__xludf.DUMMYFUNCTION("""COMPUTED_VALUE"""),43772.14775020833)</f>
        <v>43772.14775</v>
      </c>
      <c r="B1216" t="str">
        <f>IFERROR(__xludf.DUMMYFUNCTION("""COMPUTED_VALUE"""),"Nick A.")</f>
        <v>Nick A.</v>
      </c>
      <c r="C1216" s="169" t="str">
        <f>IFERROR(__xludf.DUMMYFUNCTION("""COMPUTED_VALUE"""),"New Mexico State")</f>
        <v>New Mexico State</v>
      </c>
      <c r="D1216">
        <f>IFERROR(__xludf.DUMMYFUNCTION("""COMPUTED_VALUE"""),0.0)</f>
        <v>0</v>
      </c>
      <c r="E1216">
        <f>IFERROR(__xludf.DUMMYFUNCTION("""COMPUTED_VALUE"""),8.0)</f>
        <v>8</v>
      </c>
      <c r="F1216" t="str">
        <f>IFERROR(__xludf.DUMMYFUNCTION("""COMPUTED_VALUE"""),"NA")</f>
        <v>NA</v>
      </c>
      <c r="G1216" t="str">
        <f>IFERROR(__xludf.DUMMYFUNCTION("""COMPUTED_VALUE"""),"BYE")</f>
        <v>BYE</v>
      </c>
      <c r="I1216" t="str">
        <f>IFERROR(__xludf.DUMMYFUNCTION("""COMPUTED_VALUE"""),"bye")</f>
        <v>bye</v>
      </c>
      <c r="J1216" t="str">
        <f>IFERROR(__xludf.DUMMYFUNCTION("""COMPUTED_VALUE"""),"bye")</f>
        <v>bye</v>
      </c>
      <c r="L1216">
        <f>IFERROR(__xludf.DUMMYFUNCTION("""COMPUTED_VALUE"""),9999.0)</f>
        <v>9999</v>
      </c>
      <c r="M1216" s="124">
        <v>10.0</v>
      </c>
    </row>
    <row r="1217">
      <c r="A1217" s="151">
        <f>IFERROR(__xludf.DUMMYFUNCTION("""COMPUTED_VALUE"""),43772.14775020833)</f>
        <v>43772.14775</v>
      </c>
      <c r="B1217" t="str">
        <f>IFERROR(__xludf.DUMMYFUNCTION("""COMPUTED_VALUE"""),"Nick A.")</f>
        <v>Nick A.</v>
      </c>
      <c r="C1217" s="169" t="str">
        <f>IFERROR(__xludf.DUMMYFUNCTION("""COMPUTED_VALUE"""),"LSU")</f>
        <v>LSU</v>
      </c>
      <c r="D1217">
        <f>IFERROR(__xludf.DUMMYFUNCTION("""COMPUTED_VALUE"""),8.0)</f>
        <v>8</v>
      </c>
      <c r="E1217">
        <f>IFERROR(__xludf.DUMMYFUNCTION("""COMPUTED_VALUE"""),0.0)</f>
        <v>0</v>
      </c>
      <c r="F1217" t="str">
        <f>IFERROR(__xludf.DUMMYFUNCTION("""COMPUTED_VALUE"""),"NA")</f>
        <v>NA</v>
      </c>
      <c r="G1217" t="str">
        <f>IFERROR(__xludf.DUMMYFUNCTION("""COMPUTED_VALUE"""),"BYE")</f>
        <v>BYE</v>
      </c>
      <c r="I1217" t="str">
        <f>IFERROR(__xludf.DUMMYFUNCTION("""COMPUTED_VALUE"""),"bye")</f>
        <v>bye</v>
      </c>
      <c r="J1217" t="str">
        <f>IFERROR(__xludf.DUMMYFUNCTION("""COMPUTED_VALUE"""),"bye")</f>
        <v>bye</v>
      </c>
      <c r="L1217">
        <f>IFERROR(__xludf.DUMMYFUNCTION("""COMPUTED_VALUE"""),9999.0)</f>
        <v>9999</v>
      </c>
      <c r="M1217" s="124">
        <v>10.0</v>
      </c>
    </row>
    <row r="1218">
      <c r="A1218" s="151">
        <f>IFERROR(__xludf.DUMMYFUNCTION("""COMPUTED_VALUE"""),43772.14775020833)</f>
        <v>43772.14775</v>
      </c>
      <c r="B1218" t="str">
        <f>IFERROR(__xludf.DUMMYFUNCTION("""COMPUTED_VALUE"""),"Nick A.")</f>
        <v>Nick A.</v>
      </c>
      <c r="C1218" s="169" t="str">
        <f>IFERROR(__xludf.DUMMYFUNCTION("""COMPUTED_VALUE"""),"Michigan State")</f>
        <v>Michigan State</v>
      </c>
      <c r="D1218">
        <f>IFERROR(__xludf.DUMMYFUNCTION("""COMPUTED_VALUE"""),4.0)</f>
        <v>4</v>
      </c>
      <c r="E1218">
        <f>IFERROR(__xludf.DUMMYFUNCTION("""COMPUTED_VALUE"""),4.0)</f>
        <v>4</v>
      </c>
      <c r="F1218" t="str">
        <f>IFERROR(__xludf.DUMMYFUNCTION("""COMPUTED_VALUE"""),"NA")</f>
        <v>NA</v>
      </c>
      <c r="G1218" t="str">
        <f>IFERROR(__xludf.DUMMYFUNCTION("""COMPUTED_VALUE"""),"BYE")</f>
        <v>BYE</v>
      </c>
      <c r="I1218" t="str">
        <f>IFERROR(__xludf.DUMMYFUNCTION("""COMPUTED_VALUE"""),"bye")</f>
        <v>bye</v>
      </c>
      <c r="J1218" t="str">
        <f>IFERROR(__xludf.DUMMYFUNCTION("""COMPUTED_VALUE"""),"bye")</f>
        <v>bye</v>
      </c>
      <c r="L1218">
        <f>IFERROR(__xludf.DUMMYFUNCTION("""COMPUTED_VALUE"""),9999.0)</f>
        <v>9999</v>
      </c>
      <c r="M1218" s="124">
        <v>10.0</v>
      </c>
    </row>
    <row r="1219">
      <c r="A1219" s="151">
        <f>IFERROR(__xludf.DUMMYFUNCTION("""COMPUTED_VALUE"""),43772.14775020833)</f>
        <v>43772.14775</v>
      </c>
      <c r="B1219" t="str">
        <f>IFERROR(__xludf.DUMMYFUNCTION("""COMPUTED_VALUE"""),"Nick A.")</f>
        <v>Nick A.</v>
      </c>
      <c r="C1219" s="169" t="str">
        <f>IFERROR(__xludf.DUMMYFUNCTION("""COMPUTED_VALUE"""),"Iowa State")</f>
        <v>Iowa State</v>
      </c>
      <c r="D1219">
        <f>IFERROR(__xludf.DUMMYFUNCTION("""COMPUTED_VALUE"""),5.0)</f>
        <v>5</v>
      </c>
      <c r="E1219">
        <f>IFERROR(__xludf.DUMMYFUNCTION("""COMPUTED_VALUE"""),3.0)</f>
        <v>3</v>
      </c>
      <c r="F1219" t="str">
        <f>IFERROR(__xludf.DUMMYFUNCTION("""COMPUTED_VALUE"""),"NA")</f>
        <v>NA</v>
      </c>
      <c r="G1219" t="str">
        <f>IFERROR(__xludf.DUMMYFUNCTION("""COMPUTED_VALUE"""),"BYE")</f>
        <v>BYE</v>
      </c>
      <c r="I1219" t="str">
        <f>IFERROR(__xludf.DUMMYFUNCTION("""COMPUTED_VALUE"""),"bye")</f>
        <v>bye</v>
      </c>
      <c r="J1219" t="str">
        <f>IFERROR(__xludf.DUMMYFUNCTION("""COMPUTED_VALUE"""),"bye")</f>
        <v>bye</v>
      </c>
      <c r="L1219">
        <f>IFERROR(__xludf.DUMMYFUNCTION("""COMPUTED_VALUE"""),9999.0)</f>
        <v>9999</v>
      </c>
      <c r="M1219" s="124">
        <v>10.0</v>
      </c>
    </row>
    <row r="1220">
      <c r="A1220" s="151">
        <f>IFERROR(__xludf.DUMMYFUNCTION("""COMPUTED_VALUE"""),43772.14775020833)</f>
        <v>43772.14775</v>
      </c>
      <c r="B1220" t="str">
        <f>IFERROR(__xludf.DUMMYFUNCTION("""COMPUTED_VALUE"""),"Nick A.")</f>
        <v>Nick A.</v>
      </c>
      <c r="C1220" s="169" t="str">
        <f>IFERROR(__xludf.DUMMYFUNCTION("""COMPUTED_VALUE"""),"Washington State")</f>
        <v>Washington State</v>
      </c>
      <c r="D1220">
        <f>IFERROR(__xludf.DUMMYFUNCTION("""COMPUTED_VALUE"""),4.0)</f>
        <v>4</v>
      </c>
      <c r="E1220">
        <f>IFERROR(__xludf.DUMMYFUNCTION("""COMPUTED_VALUE"""),4.0)</f>
        <v>4</v>
      </c>
      <c r="F1220" t="str">
        <f>IFERROR(__xludf.DUMMYFUNCTION("""COMPUTED_VALUE"""),"NA")</f>
        <v>NA</v>
      </c>
      <c r="G1220" t="str">
        <f>IFERROR(__xludf.DUMMYFUNCTION("""COMPUTED_VALUE"""),"BYE")</f>
        <v>BYE</v>
      </c>
      <c r="I1220" t="str">
        <f>IFERROR(__xludf.DUMMYFUNCTION("""COMPUTED_VALUE"""),"bye")</f>
        <v>bye</v>
      </c>
      <c r="J1220" t="str">
        <f>IFERROR(__xludf.DUMMYFUNCTION("""COMPUTED_VALUE"""),"bye")</f>
        <v>bye</v>
      </c>
      <c r="L1220">
        <f>IFERROR(__xludf.DUMMYFUNCTION("""COMPUTED_VALUE"""),9999.0)</f>
        <v>9999</v>
      </c>
      <c r="M1220" s="124">
        <v>10.0</v>
      </c>
    </row>
    <row r="1221">
      <c r="A1221" s="151">
        <f>IFERROR(__xludf.DUMMYFUNCTION("""COMPUTED_VALUE"""),43772.14775020833)</f>
        <v>43772.14775</v>
      </c>
      <c r="B1221" t="str">
        <f>IFERROR(__xludf.DUMMYFUNCTION("""COMPUTED_VALUE"""),"Nick A.")</f>
        <v>Nick A.</v>
      </c>
      <c r="C1221" s="169" t="str">
        <f>IFERROR(__xludf.DUMMYFUNCTION("""COMPUTED_VALUE"""),"San Diego State")</f>
        <v>San Diego State</v>
      </c>
      <c r="D1221">
        <f>IFERROR(__xludf.DUMMYFUNCTION("""COMPUTED_VALUE"""),7.0)</f>
        <v>7</v>
      </c>
      <c r="E1221">
        <f>IFERROR(__xludf.DUMMYFUNCTION("""COMPUTED_VALUE"""),1.0)</f>
        <v>1</v>
      </c>
      <c r="F1221" t="str">
        <f>IFERROR(__xludf.DUMMYFUNCTION("""COMPUTED_VALUE"""),"NA")</f>
        <v>NA</v>
      </c>
      <c r="G1221" t="str">
        <f>IFERROR(__xludf.DUMMYFUNCTION("""COMPUTED_VALUE"""),"BYE")</f>
        <v>BYE</v>
      </c>
      <c r="I1221" t="str">
        <f>IFERROR(__xludf.DUMMYFUNCTION("""COMPUTED_VALUE"""),"bye")</f>
        <v>bye</v>
      </c>
      <c r="J1221" t="str">
        <f>IFERROR(__xludf.DUMMYFUNCTION("""COMPUTED_VALUE"""),"bye")</f>
        <v>bye</v>
      </c>
      <c r="L1221">
        <f>IFERROR(__xludf.DUMMYFUNCTION("""COMPUTED_VALUE"""),9999.0)</f>
        <v>9999</v>
      </c>
      <c r="M1221" s="124">
        <v>10.0</v>
      </c>
    </row>
    <row r="1222">
      <c r="A1222" s="151">
        <f>IFERROR(__xludf.DUMMYFUNCTION("""COMPUTED_VALUE"""),43772.14775020833)</f>
        <v>43772.14775</v>
      </c>
      <c r="B1222" t="str">
        <f>IFERROR(__xludf.DUMMYFUNCTION("""COMPUTED_VALUE"""),"Gary")</f>
        <v>Gary</v>
      </c>
      <c r="C1222" s="169" t="str">
        <f>IFERROR(__xludf.DUMMYFUNCTION("""COMPUTED_VALUE"""),"Maryland")</f>
        <v>Maryland</v>
      </c>
      <c r="D1222">
        <f>IFERROR(__xludf.DUMMYFUNCTION("""COMPUTED_VALUE"""),3.0)</f>
        <v>3</v>
      </c>
      <c r="E1222">
        <f>IFERROR(__xludf.DUMMYFUNCTION("""COMPUTED_VALUE"""),6.0)</f>
        <v>6</v>
      </c>
      <c r="F1222" t="str">
        <f>IFERROR(__xludf.DUMMYFUNCTION("""COMPUTED_VALUE"""),"ABC")</f>
        <v>ABC</v>
      </c>
      <c r="G1222" t="str">
        <f>IFERROR(__xludf.DUMMYFUNCTION("""COMPUTED_VALUE"""),"(15) Michigan 38 at Maryland 7")</f>
        <v>(15) Michigan 38 at Maryland 7</v>
      </c>
      <c r="H1222" t="str">
        <f>IFERROR(__xludf.DUMMYFUNCTION("""COMPUTED_VALUE"""),"FINAL")</f>
        <v>FINAL</v>
      </c>
      <c r="I1222" t="str">
        <f>IFERROR(__xludf.DUMMYFUNCTION("""COMPUTED_VALUE"""),"18½")</f>
        <v>18½</v>
      </c>
      <c r="J1222" t="str">
        <f>IFERROR(__xludf.DUMMYFUNCTION("""COMPUTED_VALUE"""),"55½")</f>
        <v>55½</v>
      </c>
      <c r="K1222" t="str">
        <f>IFERROR(__xludf.DUMMYFUNCTION("""COMPUTED_VALUE"""),"Vu")</f>
        <v>Vu</v>
      </c>
      <c r="L1222" t="str">
        <f>IFERROR(__xludf.DUMMYFUNCTION("""COMPUTED_VALUE"""),"FINAL")</f>
        <v>FINAL</v>
      </c>
      <c r="M1222" s="124">
        <v>10.0</v>
      </c>
    </row>
    <row r="1223">
      <c r="A1223" s="151">
        <f>IFERROR(__xludf.DUMMYFUNCTION("""COMPUTED_VALUE"""),43772.14775020833)</f>
        <v>43772.14775</v>
      </c>
      <c r="B1223" t="str">
        <f>IFERROR(__xludf.DUMMYFUNCTION("""COMPUTED_VALUE"""),"Gary")</f>
        <v>Gary</v>
      </c>
      <c r="C1223" s="169" t="str">
        <f>IFERROR(__xludf.DUMMYFUNCTION("""COMPUTED_VALUE"""),"Marshall")</f>
        <v>Marshall</v>
      </c>
      <c r="D1223">
        <f>IFERROR(__xludf.DUMMYFUNCTION("""COMPUTED_VALUE"""),6.0)</f>
        <v>6</v>
      </c>
      <c r="E1223">
        <f>IFERROR(__xludf.DUMMYFUNCTION("""COMPUTED_VALUE"""),3.0)</f>
        <v>3</v>
      </c>
      <c r="F1223" t="str">
        <f>IFERROR(__xludf.DUMMYFUNCTION("""COMPUTED_VALUE"""),"Facebook Video")</f>
        <v>Facebook Video</v>
      </c>
      <c r="G1223" t="str">
        <f>IFERROR(__xludf.DUMMYFUNCTION("""COMPUTED_VALUE"""),"Marshall 20 at Rice 7")</f>
        <v>Marshall 20 at Rice 7</v>
      </c>
      <c r="H1223" t="str">
        <f>IFERROR(__xludf.DUMMYFUNCTION("""COMPUTED_VALUE"""),"FINAL")</f>
        <v>FINAL</v>
      </c>
      <c r="I1223" t="str">
        <f>IFERROR(__xludf.DUMMYFUNCTION("""COMPUTED_VALUE"""),"-10½")</f>
        <v>-10½</v>
      </c>
      <c r="J1223">
        <f>IFERROR(__xludf.DUMMYFUNCTION("""COMPUTED_VALUE"""),47.0)</f>
        <v>47</v>
      </c>
      <c r="K1223" t="str">
        <f>IFERROR(__xludf.DUMMYFUNCTION("""COMPUTED_VALUE"""),"Undrafted")</f>
        <v>Undrafted</v>
      </c>
      <c r="L1223" t="str">
        <f>IFERROR(__xludf.DUMMYFUNCTION("""COMPUTED_VALUE"""),"FINAL")</f>
        <v>FINAL</v>
      </c>
      <c r="M1223" s="124">
        <v>10.0</v>
      </c>
    </row>
    <row r="1224">
      <c r="A1224" s="151">
        <f>IFERROR(__xludf.DUMMYFUNCTION("""COMPUTED_VALUE"""),43772.14775020833)</f>
        <v>43772.14775</v>
      </c>
      <c r="B1224" t="str">
        <f>IFERROR(__xludf.DUMMYFUNCTION("""COMPUTED_VALUE"""),"Gary")</f>
        <v>Gary</v>
      </c>
      <c r="C1224" s="169" t="str">
        <f>IFERROR(__xludf.DUMMYFUNCTION("""COMPUTED_VALUE"""),"Pittsburgh")</f>
        <v>Pittsburgh</v>
      </c>
      <c r="D1224">
        <f>IFERROR(__xludf.DUMMYFUNCTION("""COMPUTED_VALUE"""),6.0)</f>
        <v>6</v>
      </c>
      <c r="E1224">
        <f>IFERROR(__xludf.DUMMYFUNCTION("""COMPUTED_VALUE"""),3.0)</f>
        <v>3</v>
      </c>
      <c r="F1224" t="str">
        <f>IFERROR(__xludf.DUMMYFUNCTION("""COMPUTED_VALUE"""),"ACC RSN")</f>
        <v>ACC RSN</v>
      </c>
      <c r="G1224" t="str">
        <f>IFERROR(__xludf.DUMMYFUNCTION("""COMPUTED_VALUE"""),"Pittsburgh 20 at Georgia Tech 10")</f>
        <v>Pittsburgh 20 at Georgia Tech 10</v>
      </c>
      <c r="H1224" t="str">
        <f>IFERROR(__xludf.DUMMYFUNCTION("""COMPUTED_VALUE"""),"FINAL")</f>
        <v>FINAL</v>
      </c>
      <c r="I1224" t="str">
        <f>IFERROR(__xludf.DUMMYFUNCTION("""COMPUTED_VALUE"""),"-7½")</f>
        <v>-7½</v>
      </c>
      <c r="J1224" t="str">
        <f>IFERROR(__xludf.DUMMYFUNCTION("""COMPUTED_VALUE"""),"44½")</f>
        <v>44½</v>
      </c>
      <c r="K1224" t="str">
        <f>IFERROR(__xludf.DUMMYFUNCTION("""COMPUTED_VALUE"""),"Undrafted")</f>
        <v>Undrafted</v>
      </c>
      <c r="L1224" t="str">
        <f>IFERROR(__xludf.DUMMYFUNCTION("""COMPUTED_VALUE"""),"FINAL")</f>
        <v>FINAL</v>
      </c>
      <c r="M1224" s="124">
        <v>10.0</v>
      </c>
    </row>
    <row r="1225">
      <c r="A1225" s="151">
        <f>IFERROR(__xludf.DUMMYFUNCTION("""COMPUTED_VALUE"""),43772.14775020833)</f>
        <v>43772.14775</v>
      </c>
      <c r="B1225" t="str">
        <f>IFERROR(__xludf.DUMMYFUNCTION("""COMPUTED_VALUE"""),"Gary")</f>
        <v>Gary</v>
      </c>
      <c r="C1225" s="169" t="str">
        <f>IFERROR(__xludf.DUMMYFUNCTION("""COMPUTED_VALUE"""),"Tulane")</f>
        <v>Tulane</v>
      </c>
      <c r="D1225">
        <f>IFERROR(__xludf.DUMMYFUNCTION("""COMPUTED_VALUE"""),6.0)</f>
        <v>6</v>
      </c>
      <c r="E1225">
        <f>IFERROR(__xludf.DUMMYFUNCTION("""COMPUTED_VALUE"""),3.0)</f>
        <v>3</v>
      </c>
      <c r="F1225" t="str">
        <f>IFERROR(__xludf.DUMMYFUNCTION("""COMPUTED_VALUE"""),"ESPN2")</f>
        <v>ESPN2</v>
      </c>
      <c r="G1225" t="str">
        <f>IFERROR(__xludf.DUMMYFUNCTION("""COMPUTED_VALUE"""),"Tulsa 26 at Tulane 38")</f>
        <v>Tulsa 26 at Tulane 38</v>
      </c>
      <c r="H1225" t="str">
        <f>IFERROR(__xludf.DUMMYFUNCTION("""COMPUTED_VALUE"""),"FINAL")</f>
        <v>FINAL</v>
      </c>
      <c r="I1225">
        <f>IFERROR(__xludf.DUMMYFUNCTION("""COMPUTED_VALUE"""),-10.0)</f>
        <v>-10</v>
      </c>
      <c r="J1225">
        <f>IFERROR(__xludf.DUMMYFUNCTION("""COMPUTED_VALUE"""),62.0)</f>
        <v>62</v>
      </c>
      <c r="K1225" t="str">
        <f>IFERROR(__xludf.DUMMYFUNCTION("""COMPUTED_VALUE"""),"DavEmily")</f>
        <v>DavEmily</v>
      </c>
      <c r="L1225" t="str">
        <f>IFERROR(__xludf.DUMMYFUNCTION("""COMPUTED_VALUE"""),"FINAL")</f>
        <v>FINAL</v>
      </c>
      <c r="M1225" s="124">
        <v>10.0</v>
      </c>
    </row>
    <row r="1226">
      <c r="A1226" s="151">
        <f>IFERROR(__xludf.DUMMYFUNCTION("""COMPUTED_VALUE"""),43772.14775020833)</f>
        <v>43772.14775</v>
      </c>
      <c r="B1226" t="str">
        <f>IFERROR(__xludf.DUMMYFUNCTION("""COMPUTED_VALUE"""),"Gary")</f>
        <v>Gary</v>
      </c>
      <c r="C1226" s="169" t="str">
        <f>IFERROR(__xludf.DUMMYFUNCTION("""COMPUTED_VALUE"""),"UL Lafayette")</f>
        <v>UL Lafayette</v>
      </c>
      <c r="D1226">
        <f>IFERROR(__xludf.DUMMYFUNCTION("""COMPUTED_VALUE"""),3.0)</f>
        <v>3</v>
      </c>
      <c r="E1226">
        <f>IFERROR(__xludf.DUMMYFUNCTION("""COMPUTED_VALUE"""),1.0)</f>
        <v>1</v>
      </c>
      <c r="F1226" t="str">
        <f>IFERROR(__xludf.DUMMYFUNCTION("""COMPUTED_VALUE"""),"NA")</f>
        <v>NA</v>
      </c>
      <c r="G1226" t="str">
        <f>IFERROR(__xludf.DUMMYFUNCTION("""COMPUTED_VALUE"""),"Texas State 3 at UL Lafayette 31")</f>
        <v>Texas State 3 at UL Lafayette 31</v>
      </c>
      <c r="H1226" t="str">
        <f>IFERROR(__xludf.DUMMYFUNCTION("""COMPUTED_VALUE"""),"FINAL")</f>
        <v>FINAL</v>
      </c>
      <c r="I1226">
        <f>IFERROR(__xludf.DUMMYFUNCTION("""COMPUTED_VALUE"""),-22.0)</f>
        <v>-22</v>
      </c>
      <c r="J1226">
        <f>IFERROR(__xludf.DUMMYFUNCTION("""COMPUTED_VALUE"""),57.0)</f>
        <v>57</v>
      </c>
      <c r="K1226" t="str">
        <f>IFERROR(__xludf.DUMMYFUNCTION("""COMPUTED_VALUE"""),"Brad")</f>
        <v>Brad</v>
      </c>
      <c r="L1226" t="str">
        <f>IFERROR(__xludf.DUMMYFUNCTION("""COMPUTED_VALUE"""),"FINAL")</f>
        <v>FINAL</v>
      </c>
      <c r="M1226" s="124">
        <v>10.0</v>
      </c>
    </row>
    <row r="1227">
      <c r="A1227" s="151">
        <f>IFERROR(__xludf.DUMMYFUNCTION("""COMPUTED_VALUE"""),43772.14775020833)</f>
        <v>43772.14775</v>
      </c>
      <c r="B1227" t="str">
        <f>IFERROR(__xludf.DUMMYFUNCTION("""COMPUTED_VALUE"""),"Gary")</f>
        <v>Gary</v>
      </c>
      <c r="C1227" s="169" t="str">
        <f>IFERROR(__xludf.DUMMYFUNCTION("""COMPUTED_VALUE"""),"UCLA")</f>
        <v>UCLA</v>
      </c>
      <c r="D1227">
        <f>IFERROR(__xludf.DUMMYFUNCTION("""COMPUTED_VALUE"""),4.0)</f>
        <v>4</v>
      </c>
      <c r="E1227">
        <f>IFERROR(__xludf.DUMMYFUNCTION("""COMPUTED_VALUE"""),5.0)</f>
        <v>5</v>
      </c>
      <c r="F1227" t="str">
        <f>IFERROR(__xludf.DUMMYFUNCTION("""COMPUTED_VALUE"""),"Pac-12")</f>
        <v>Pac-12</v>
      </c>
      <c r="G1227" t="str">
        <f>IFERROR(__xludf.DUMMYFUNCTION("""COMPUTED_VALUE"""),"Colorado 14 at UCLA 31")</f>
        <v>Colorado 14 at UCLA 31</v>
      </c>
      <c r="H1227" t="str">
        <f>IFERROR(__xludf.DUMMYFUNCTION("""COMPUTED_VALUE"""),"FINAL")</f>
        <v>FINAL</v>
      </c>
      <c r="I1227" t="str">
        <f>IFERROR(__xludf.DUMMYFUNCTION("""COMPUTED_VALUE"""),"-6½")</f>
        <v>-6½</v>
      </c>
      <c r="J1227">
        <f>IFERROR(__xludf.DUMMYFUNCTION("""COMPUTED_VALUE"""),65.0)</f>
        <v>65</v>
      </c>
      <c r="K1227" t="str">
        <f>IFERROR(__xludf.DUMMYFUNCTION("""COMPUTED_VALUE"""),"Jeannine")</f>
        <v>Jeannine</v>
      </c>
      <c r="L1227" t="str">
        <f>IFERROR(__xludf.DUMMYFUNCTION("""COMPUTED_VALUE"""),"FINAL")</f>
        <v>FINAL</v>
      </c>
      <c r="M1227" s="124">
        <v>10.0</v>
      </c>
    </row>
    <row r="1228">
      <c r="A1228" s="151">
        <f>IFERROR(__xludf.DUMMYFUNCTION("""COMPUTED_VALUE"""),43772.14775020833)</f>
        <v>43772.14775</v>
      </c>
      <c r="B1228" t="str">
        <f>IFERROR(__xludf.DUMMYFUNCTION("""COMPUTED_VALUE"""),"Gary")</f>
        <v>Gary</v>
      </c>
      <c r="C1228" s="169" t="str">
        <f>IFERROR(__xludf.DUMMYFUNCTION("""COMPUTED_VALUE"""),"Utah State")</f>
        <v>Utah State</v>
      </c>
      <c r="D1228">
        <f>IFERROR(__xludf.DUMMYFUNCTION("""COMPUTED_VALUE"""),4.0)</f>
        <v>4</v>
      </c>
      <c r="E1228">
        <f>IFERROR(__xludf.DUMMYFUNCTION("""COMPUTED_VALUE"""),4.0)</f>
        <v>4</v>
      </c>
      <c r="F1228" t="str">
        <f>IFERROR(__xludf.DUMMYFUNCTION("""COMPUTED_VALUE"""),"ESPN2")</f>
        <v>ESPN2</v>
      </c>
      <c r="G1228" t="str">
        <f>IFERROR(__xludf.DUMMYFUNCTION("""COMPUTED_VALUE"""),"BYU 42 at Utah State 14")</f>
        <v>BYU 42 at Utah State 14</v>
      </c>
      <c r="H1228" t="str">
        <f>IFERROR(__xludf.DUMMYFUNCTION("""COMPUTED_VALUE"""),"FINAL")</f>
        <v>FINAL</v>
      </c>
      <c r="I1228" t="str">
        <f>IFERROR(__xludf.DUMMYFUNCTION("""COMPUTED_VALUE"""),"-3½")</f>
        <v>-3½</v>
      </c>
      <c r="J1228">
        <f>IFERROR(__xludf.DUMMYFUNCTION("""COMPUTED_VALUE"""),50.0)</f>
        <v>50</v>
      </c>
      <c r="K1228" t="str">
        <f>IFERROR(__xludf.DUMMYFUNCTION("""COMPUTED_VALUE"""),"Gary")</f>
        <v>Gary</v>
      </c>
      <c r="L1228" t="str">
        <f>IFERROR(__xludf.DUMMYFUNCTION("""COMPUTED_VALUE"""),"FINAL")</f>
        <v>FINAL</v>
      </c>
      <c r="M1228" s="124">
        <v>10.0</v>
      </c>
    </row>
    <row r="1229">
      <c r="A1229" s="151">
        <f>IFERROR(__xludf.DUMMYFUNCTION("""COMPUTED_VALUE"""),43772.14775020833)</f>
        <v>43772.14775</v>
      </c>
      <c r="B1229" t="str">
        <f>IFERROR(__xludf.DUMMYFUNCTION("""COMPUTED_VALUE"""),"Gary")</f>
        <v>Gary</v>
      </c>
      <c r="C1229" s="169" t="str">
        <f>IFERROR(__xludf.DUMMYFUNCTION("""COMPUTED_VALUE"""),"BYU")</f>
        <v>BYU</v>
      </c>
      <c r="D1229">
        <f>IFERROR(__xludf.DUMMYFUNCTION("""COMPUTED_VALUE"""),4.0)</f>
        <v>4</v>
      </c>
      <c r="E1229">
        <f>IFERROR(__xludf.DUMMYFUNCTION("""COMPUTED_VALUE"""),4.0)</f>
        <v>4</v>
      </c>
      <c r="F1229" t="str">
        <f>IFERROR(__xludf.DUMMYFUNCTION("""COMPUTED_VALUE"""),"ESPN2")</f>
        <v>ESPN2</v>
      </c>
      <c r="G1229" t="str">
        <f>IFERROR(__xludf.DUMMYFUNCTION("""COMPUTED_VALUE"""),"BYU 42 at Utah State 14")</f>
        <v>BYU 42 at Utah State 14</v>
      </c>
      <c r="H1229" t="str">
        <f>IFERROR(__xludf.DUMMYFUNCTION("""COMPUTED_VALUE"""),"FINAL")</f>
        <v>FINAL</v>
      </c>
      <c r="I1229" t="str">
        <f>IFERROR(__xludf.DUMMYFUNCTION("""COMPUTED_VALUE"""),"3½")</f>
        <v>3½</v>
      </c>
      <c r="J1229">
        <f>IFERROR(__xludf.DUMMYFUNCTION("""COMPUTED_VALUE"""),50.0)</f>
        <v>50</v>
      </c>
      <c r="K1229" t="str">
        <f>IFERROR(__xludf.DUMMYFUNCTION("""COMPUTED_VALUE"""),"Gary")</f>
        <v>Gary</v>
      </c>
      <c r="L1229" t="str">
        <f>IFERROR(__xludf.DUMMYFUNCTION("""COMPUTED_VALUE"""),"FINAL")</f>
        <v>FINAL</v>
      </c>
      <c r="M1229" s="124">
        <v>10.0</v>
      </c>
    </row>
    <row r="1230">
      <c r="A1230" s="151">
        <f>IFERROR(__xludf.DUMMYFUNCTION("""COMPUTED_VALUE"""),43772.14775020833)</f>
        <v>43772.14775</v>
      </c>
      <c r="B1230" t="str">
        <f>IFERROR(__xludf.DUMMYFUNCTION("""COMPUTED_VALUE"""),"Gary")</f>
        <v>Gary</v>
      </c>
      <c r="C1230" s="169" t="str">
        <f>IFERROR(__xludf.DUMMYFUNCTION("""COMPUTED_VALUE"""),"Ohio")</f>
        <v>Ohio</v>
      </c>
      <c r="D1230">
        <f>IFERROR(__xludf.DUMMYFUNCTION("""COMPUTED_VALUE"""),4.0)</f>
        <v>4</v>
      </c>
      <c r="E1230">
        <f>IFERROR(__xludf.DUMMYFUNCTION("""COMPUTED_VALUE"""),4.0)</f>
        <v>4</v>
      </c>
      <c r="F1230" t="str">
        <f>IFERROR(__xludf.DUMMYFUNCTION("""COMPUTED_VALUE"""),"NA")</f>
        <v>NA</v>
      </c>
      <c r="G1230" t="str">
        <f>IFERROR(__xludf.DUMMYFUNCTION("""COMPUTED_VALUE"""),"BYE")</f>
        <v>BYE</v>
      </c>
      <c r="I1230" t="str">
        <f>IFERROR(__xludf.DUMMYFUNCTION("""COMPUTED_VALUE"""),"bye")</f>
        <v>bye</v>
      </c>
      <c r="J1230" t="str">
        <f>IFERROR(__xludf.DUMMYFUNCTION("""COMPUTED_VALUE"""),"bye")</f>
        <v>bye</v>
      </c>
      <c r="L1230">
        <f>IFERROR(__xludf.DUMMYFUNCTION("""COMPUTED_VALUE"""),9999.0)</f>
        <v>9999</v>
      </c>
      <c r="M1230" s="124">
        <v>10.0</v>
      </c>
    </row>
    <row r="1231">
      <c r="A1231" s="151">
        <f>IFERROR(__xludf.DUMMYFUNCTION("""COMPUTED_VALUE"""),43772.14775020833)</f>
        <v>43772.14775</v>
      </c>
      <c r="B1231" t="str">
        <f>IFERROR(__xludf.DUMMYFUNCTION("""COMPUTED_VALUE"""),"Gary")</f>
        <v>Gary</v>
      </c>
      <c r="C1231" s="169" t="str">
        <f>IFERROR(__xludf.DUMMYFUNCTION("""COMPUTED_VALUE"""),"Missouri")</f>
        <v>Missouri</v>
      </c>
      <c r="D1231">
        <f>IFERROR(__xludf.DUMMYFUNCTION("""COMPUTED_VALUE"""),5.0)</f>
        <v>5</v>
      </c>
      <c r="E1231">
        <f>IFERROR(__xludf.DUMMYFUNCTION("""COMPUTED_VALUE"""),3.0)</f>
        <v>3</v>
      </c>
      <c r="F1231" t="str">
        <f>IFERROR(__xludf.DUMMYFUNCTION("""COMPUTED_VALUE"""),"NA")</f>
        <v>NA</v>
      </c>
      <c r="G1231" t="str">
        <f>IFERROR(__xludf.DUMMYFUNCTION("""COMPUTED_VALUE"""),"BYE")</f>
        <v>BYE</v>
      </c>
      <c r="I1231" t="str">
        <f>IFERROR(__xludf.DUMMYFUNCTION("""COMPUTED_VALUE"""),"bye")</f>
        <v>bye</v>
      </c>
      <c r="J1231" t="str">
        <f>IFERROR(__xludf.DUMMYFUNCTION("""COMPUTED_VALUE"""),"bye")</f>
        <v>bye</v>
      </c>
      <c r="L1231">
        <f>IFERROR(__xludf.DUMMYFUNCTION("""COMPUTED_VALUE"""),9999.0)</f>
        <v>9999</v>
      </c>
      <c r="M1231" s="124">
        <v>10.0</v>
      </c>
    </row>
    <row r="1232">
      <c r="A1232" s="151">
        <f>IFERROR(__xludf.DUMMYFUNCTION("""COMPUTED_VALUE"""),43772.14775020833)</f>
        <v>43772.14775</v>
      </c>
      <c r="B1232" t="str">
        <f>IFERROR(__xludf.DUMMYFUNCTION("""COMPUTED_VALUE"""),"Janice/Mike")</f>
        <v>Janice/Mike</v>
      </c>
      <c r="C1232" s="169" t="str">
        <f>IFERROR(__xludf.DUMMYFUNCTION("""COMPUTED_VALUE"""),"Georgia Southern")</f>
        <v>Georgia Southern</v>
      </c>
      <c r="D1232">
        <f>IFERROR(__xludf.DUMMYFUNCTION("""COMPUTED_VALUE"""),5.0)</f>
        <v>5</v>
      </c>
      <c r="E1232">
        <f>IFERROR(__xludf.DUMMYFUNCTION("""COMPUTED_VALUE"""),3.0)</f>
        <v>3</v>
      </c>
      <c r="F1232" t="str">
        <f>IFERROR(__xludf.DUMMYFUNCTION("""COMPUTED_VALUE"""),"NA")</f>
        <v>NA</v>
      </c>
      <c r="G1232" t="str">
        <f>IFERROR(__xludf.DUMMYFUNCTION("""COMPUTED_VALUE"""),"Georgia Southern 24 at (20) Appalachian State 21")</f>
        <v>Georgia Southern 24 at (20) Appalachian State 21</v>
      </c>
      <c r="H1232" t="str">
        <f>IFERROR(__xludf.DUMMYFUNCTION("""COMPUTED_VALUE"""),"FINAL")</f>
        <v>FINAL</v>
      </c>
      <c r="I1232" t="str">
        <f>IFERROR(__xludf.DUMMYFUNCTION("""COMPUTED_VALUE"""),"16½")</f>
        <v>16½</v>
      </c>
      <c r="J1232" t="str">
        <f>IFERROR(__xludf.DUMMYFUNCTION("""COMPUTED_VALUE"""),"47½")</f>
        <v>47½</v>
      </c>
      <c r="K1232" t="str">
        <f>IFERROR(__xludf.DUMMYFUNCTION("""COMPUTED_VALUE"""),"Justin")</f>
        <v>Justin</v>
      </c>
      <c r="L1232" t="str">
        <f>IFERROR(__xludf.DUMMYFUNCTION("""COMPUTED_VALUE"""),"FINAL")</f>
        <v>FINAL</v>
      </c>
      <c r="M1232" s="124">
        <v>10.0</v>
      </c>
    </row>
    <row r="1233">
      <c r="A1233" s="151">
        <f>IFERROR(__xludf.DUMMYFUNCTION("""COMPUTED_VALUE"""),43772.14775020833)</f>
        <v>43772.14775</v>
      </c>
      <c r="B1233" t="str">
        <f>IFERROR(__xludf.DUMMYFUNCTION("""COMPUTED_VALUE"""),"Janice/Mike")</f>
        <v>Janice/Mike</v>
      </c>
      <c r="C1233" s="169" t="str">
        <f>IFERROR(__xludf.DUMMYFUNCTION("""COMPUTED_VALUE"""),"Navy")</f>
        <v>Navy</v>
      </c>
      <c r="D1233">
        <f>IFERROR(__xludf.DUMMYFUNCTION("""COMPUTED_VALUE"""),7.0)</f>
        <v>7</v>
      </c>
      <c r="E1233">
        <f>IFERROR(__xludf.DUMMYFUNCTION("""COMPUTED_VALUE"""),1.0)</f>
        <v>1</v>
      </c>
      <c r="F1233" t="str">
        <f>IFERROR(__xludf.DUMMYFUNCTION("""COMPUTED_VALUE"""),"ESPN2")</f>
        <v>ESPN2</v>
      </c>
      <c r="G1233" t="str">
        <f>IFERROR(__xludf.DUMMYFUNCTION("""COMPUTED_VALUE"""),"Navy 56 at UConn 10")</f>
        <v>Navy 56 at UConn 10</v>
      </c>
      <c r="H1233" t="str">
        <f>IFERROR(__xludf.DUMMYFUNCTION("""COMPUTED_VALUE"""),"FINAL")</f>
        <v>FINAL</v>
      </c>
      <c r="I1233" t="str">
        <f>IFERROR(__xludf.DUMMYFUNCTION("""COMPUTED_VALUE"""),"-27½")</f>
        <v>-27½</v>
      </c>
      <c r="J1233">
        <f>IFERROR(__xludf.DUMMYFUNCTION("""COMPUTED_VALUE"""),56.0)</f>
        <v>56</v>
      </c>
      <c r="K1233" t="str">
        <f>IFERROR(__xludf.DUMMYFUNCTION("""COMPUTED_VALUE"""),"Nick G.")</f>
        <v>Nick G.</v>
      </c>
      <c r="L1233" t="str">
        <f>IFERROR(__xludf.DUMMYFUNCTION("""COMPUTED_VALUE"""),"FINAL")</f>
        <v>FINAL</v>
      </c>
      <c r="M1233" s="124">
        <v>10.0</v>
      </c>
    </row>
    <row r="1234">
      <c r="A1234" s="151">
        <f>IFERROR(__xludf.DUMMYFUNCTION("""COMPUTED_VALUE"""),43772.14775020833)</f>
        <v>43772.14775</v>
      </c>
      <c r="B1234" t="str">
        <f>IFERROR(__xludf.DUMMYFUNCTION("""COMPUTED_VALUE"""),"Janice/Mike")</f>
        <v>Janice/Mike</v>
      </c>
      <c r="C1234" s="169" t="str">
        <f>IFERROR(__xludf.DUMMYFUNCTION("""COMPUTED_VALUE"""),"Northern Illinois")</f>
        <v>Northern Illinois</v>
      </c>
      <c r="D1234">
        <f>IFERROR(__xludf.DUMMYFUNCTION("""COMPUTED_VALUE"""),3.0)</f>
        <v>3</v>
      </c>
      <c r="E1234">
        <f>IFERROR(__xludf.DUMMYFUNCTION("""COMPUTED_VALUE"""),6.0)</f>
        <v>6</v>
      </c>
      <c r="F1234" t="str">
        <f>IFERROR(__xludf.DUMMYFUNCTION("""COMPUTED_VALUE"""),"CBSSN")</f>
        <v>CBSSN</v>
      </c>
      <c r="G1234" t="str">
        <f>IFERROR(__xludf.DUMMYFUNCTION("""COMPUTED_VALUE"""),"Northern Illinois 10 at Central Michigan 48")</f>
        <v>Northern Illinois 10 at Central Michigan 48</v>
      </c>
      <c r="H1234" t="str">
        <f>IFERROR(__xludf.DUMMYFUNCTION("""COMPUTED_VALUE"""),"FINAL")</f>
        <v>FINAL</v>
      </c>
      <c r="I1234">
        <f>IFERROR(__xludf.DUMMYFUNCTION("""COMPUTED_VALUE"""),-1.0)</f>
        <v>-1</v>
      </c>
      <c r="J1234" t="str">
        <f>IFERROR(__xludf.DUMMYFUNCTION("""COMPUTED_VALUE"""),"52½")</f>
        <v>52½</v>
      </c>
      <c r="K1234" t="str">
        <f>IFERROR(__xludf.DUMMYFUNCTION("""COMPUTED_VALUE"""),"Nick G.")</f>
        <v>Nick G.</v>
      </c>
      <c r="L1234" t="str">
        <f>IFERROR(__xludf.DUMMYFUNCTION("""COMPUTED_VALUE"""),"FINAL")</f>
        <v>FINAL</v>
      </c>
      <c r="M1234" s="124">
        <v>10.0</v>
      </c>
    </row>
    <row r="1235">
      <c r="A1235" s="151">
        <f>IFERROR(__xludf.DUMMYFUNCTION("""COMPUTED_VALUE"""),43772.14775020833)</f>
        <v>43772.14775</v>
      </c>
      <c r="B1235" t="str">
        <f>IFERROR(__xludf.DUMMYFUNCTION("""COMPUTED_VALUE"""),"Janice/Mike")</f>
        <v>Janice/Mike</v>
      </c>
      <c r="C1235" s="169" t="str">
        <f>IFERROR(__xludf.DUMMYFUNCTION("""COMPUTED_VALUE"""),"Boston College")</f>
        <v>Boston College</v>
      </c>
      <c r="D1235">
        <f>IFERROR(__xludf.DUMMYFUNCTION("""COMPUTED_VALUE"""),5.0)</f>
        <v>5</v>
      </c>
      <c r="E1235">
        <f>IFERROR(__xludf.DUMMYFUNCTION("""COMPUTED_VALUE"""),4.0)</f>
        <v>4</v>
      </c>
      <c r="F1235" t="str">
        <f>IFERROR(__xludf.DUMMYFUNCTION("""COMPUTED_VALUE"""),"ACC Network")</f>
        <v>ACC Network</v>
      </c>
      <c r="G1235" t="str">
        <f>IFERROR(__xludf.DUMMYFUNCTION("""COMPUTED_VALUE"""),"Boston College 58 at Syracuse 27")</f>
        <v>Boston College 58 at Syracuse 27</v>
      </c>
      <c r="H1235" t="str">
        <f>IFERROR(__xludf.DUMMYFUNCTION("""COMPUTED_VALUE"""),"FINAL")</f>
        <v>FINAL</v>
      </c>
      <c r="I1235" t="str">
        <f>IFERROR(__xludf.DUMMYFUNCTION("""COMPUTED_VALUE"""),"2½")</f>
        <v>2½</v>
      </c>
      <c r="J1235">
        <f>IFERROR(__xludf.DUMMYFUNCTION("""COMPUTED_VALUE"""),60.0)</f>
        <v>60</v>
      </c>
      <c r="K1235" t="str">
        <f>IFERROR(__xludf.DUMMYFUNCTION("""COMPUTED_VALUE"""),"Vu")</f>
        <v>Vu</v>
      </c>
      <c r="L1235" t="str">
        <f>IFERROR(__xludf.DUMMYFUNCTION("""COMPUTED_VALUE"""),"FINAL")</f>
        <v>FINAL</v>
      </c>
      <c r="M1235" s="124">
        <v>10.0</v>
      </c>
    </row>
    <row r="1236">
      <c r="A1236" s="151">
        <f>IFERROR(__xludf.DUMMYFUNCTION("""COMPUTED_VALUE"""),43772.14775020833)</f>
        <v>43772.14775</v>
      </c>
      <c r="B1236" t="str">
        <f>IFERROR(__xludf.DUMMYFUNCTION("""COMPUTED_VALUE"""),"Janice/Mike")</f>
        <v>Janice/Mike</v>
      </c>
      <c r="C1236" s="169" t="str">
        <f>IFERROR(__xludf.DUMMYFUNCTION("""COMPUTED_VALUE"""),"Charlotte")</f>
        <v>Charlotte</v>
      </c>
      <c r="D1236">
        <f>IFERROR(__xludf.DUMMYFUNCTION("""COMPUTED_VALUE"""),4.0)</f>
        <v>4</v>
      </c>
      <c r="E1236">
        <f>IFERROR(__xludf.DUMMYFUNCTION("""COMPUTED_VALUE"""),5.0)</f>
        <v>5</v>
      </c>
      <c r="F1236" t="str">
        <f>IFERROR(__xludf.DUMMYFUNCTION("""COMPUTED_VALUE"""),"espn3 Video")</f>
        <v>espn3 Video</v>
      </c>
      <c r="G1236" t="str">
        <f>IFERROR(__xludf.DUMMYFUNCTION("""COMPUTED_VALUE"""),"Middle Tennessee 20 at Charlotte 34")</f>
        <v>Middle Tennessee 20 at Charlotte 34</v>
      </c>
      <c r="H1236" t="str">
        <f>IFERROR(__xludf.DUMMYFUNCTION("""COMPUTED_VALUE"""),"FINAL")</f>
        <v>FINAL</v>
      </c>
      <c r="I1236">
        <f>IFERROR(__xludf.DUMMYFUNCTION("""COMPUTED_VALUE"""),3.0)</f>
        <v>3</v>
      </c>
      <c r="J1236" t="str">
        <f>IFERROR(__xludf.DUMMYFUNCTION("""COMPUTED_VALUE"""),"63½")</f>
        <v>63½</v>
      </c>
      <c r="K1236" t="str">
        <f>IFERROR(__xludf.DUMMYFUNCTION("""COMPUTED_VALUE"""),"Nico")</f>
        <v>Nico</v>
      </c>
      <c r="L1236" t="str">
        <f>IFERROR(__xludf.DUMMYFUNCTION("""COMPUTED_VALUE"""),"FINAL")</f>
        <v>FINAL</v>
      </c>
      <c r="M1236" s="124">
        <v>10.0</v>
      </c>
    </row>
    <row r="1237">
      <c r="A1237" s="151">
        <f>IFERROR(__xludf.DUMMYFUNCTION("""COMPUTED_VALUE"""),43772.14775020833)</f>
        <v>43772.14775</v>
      </c>
      <c r="B1237" t="str">
        <f>IFERROR(__xludf.DUMMYFUNCTION("""COMPUTED_VALUE"""),"Janice/Mike")</f>
        <v>Janice/Mike</v>
      </c>
      <c r="C1237" s="169" t="str">
        <f>IFERROR(__xludf.DUMMYFUNCTION("""COMPUTED_VALUE"""),"Arkansas")</f>
        <v>Arkansas</v>
      </c>
      <c r="D1237">
        <f>IFERROR(__xludf.DUMMYFUNCTION("""COMPUTED_VALUE"""),2.0)</f>
        <v>2</v>
      </c>
      <c r="E1237">
        <f>IFERROR(__xludf.DUMMYFUNCTION("""COMPUTED_VALUE"""),7.0)</f>
        <v>7</v>
      </c>
      <c r="F1237" t="str">
        <f>IFERROR(__xludf.DUMMYFUNCTION("""COMPUTED_VALUE"""),"SEC Network")</f>
        <v>SEC Network</v>
      </c>
      <c r="G1237" t="str">
        <f>IFERROR(__xludf.DUMMYFUNCTION("""COMPUTED_VALUE"""),"Mississippi State 54 at Arkansas 24")</f>
        <v>Mississippi State 54 at Arkansas 24</v>
      </c>
      <c r="H1237" t="str">
        <f>IFERROR(__xludf.DUMMYFUNCTION("""COMPUTED_VALUE"""),"FINAL")</f>
        <v>FINAL</v>
      </c>
      <c r="I1237" t="str">
        <f>IFERROR(__xludf.DUMMYFUNCTION("""COMPUTED_VALUE"""),"7½")</f>
        <v>7½</v>
      </c>
      <c r="J1237">
        <f>IFERROR(__xludf.DUMMYFUNCTION("""COMPUTED_VALUE"""),58.0)</f>
        <v>58</v>
      </c>
      <c r="K1237" t="str">
        <f>IFERROR(__xludf.DUMMYFUNCTION("""COMPUTED_VALUE"""),"Jeannine")</f>
        <v>Jeannine</v>
      </c>
      <c r="L1237" t="str">
        <f>IFERROR(__xludf.DUMMYFUNCTION("""COMPUTED_VALUE"""),"FINAL")</f>
        <v>FINAL</v>
      </c>
      <c r="M1237" s="124">
        <v>10.0</v>
      </c>
    </row>
    <row r="1238">
      <c r="A1238" s="151">
        <f>IFERROR(__xludf.DUMMYFUNCTION("""COMPUTED_VALUE"""),43772.14775020833)</f>
        <v>43772.14775</v>
      </c>
      <c r="B1238" t="str">
        <f>IFERROR(__xludf.DUMMYFUNCTION("""COMPUTED_VALUE"""),"Janice/Mike")</f>
        <v>Janice/Mike</v>
      </c>
      <c r="C1238" s="169" t="str">
        <f>IFERROR(__xludf.DUMMYFUNCTION("""COMPUTED_VALUE"""),"Arizona")</f>
        <v>Arizona</v>
      </c>
      <c r="D1238">
        <f>IFERROR(__xludf.DUMMYFUNCTION("""COMPUTED_VALUE"""),4.0)</f>
        <v>4</v>
      </c>
      <c r="E1238">
        <f>IFERROR(__xludf.DUMMYFUNCTION("""COMPUTED_VALUE"""),5.0)</f>
        <v>5</v>
      </c>
      <c r="F1238" t="str">
        <f>IFERROR(__xludf.DUMMYFUNCTION("""COMPUTED_VALUE"""),"Pac-12")</f>
        <v>Pac-12</v>
      </c>
      <c r="G1238" t="str">
        <f>IFERROR(__xludf.DUMMYFUNCTION("""COMPUTED_VALUE"""),"Oregon State 56 at Arizona 38")</f>
        <v>Oregon State 56 at Arizona 38</v>
      </c>
      <c r="H1238" t="str">
        <f>IFERROR(__xludf.DUMMYFUNCTION("""COMPUTED_VALUE"""),"FINAL")</f>
        <v>FINAL</v>
      </c>
      <c r="I1238" t="str">
        <f>IFERROR(__xludf.DUMMYFUNCTION("""COMPUTED_VALUE"""),"-5½")</f>
        <v>-5½</v>
      </c>
      <c r="J1238">
        <f>IFERROR(__xludf.DUMMYFUNCTION("""COMPUTED_VALUE"""),71.0)</f>
        <v>71</v>
      </c>
      <c r="K1238" t="str">
        <f>IFERROR(__xludf.DUMMYFUNCTION("""COMPUTED_VALUE"""),"Adam")</f>
        <v>Adam</v>
      </c>
      <c r="L1238" t="str">
        <f>IFERROR(__xludf.DUMMYFUNCTION("""COMPUTED_VALUE"""),"FINAL")</f>
        <v>FINAL</v>
      </c>
      <c r="M1238" s="124">
        <v>10.0</v>
      </c>
    </row>
    <row r="1239">
      <c r="A1239" s="151">
        <f>IFERROR(__xludf.DUMMYFUNCTION("""COMPUTED_VALUE"""),43772.14775020833)</f>
        <v>43772.14775</v>
      </c>
      <c r="B1239" t="str">
        <f>IFERROR(__xludf.DUMMYFUNCTION("""COMPUTED_VALUE"""),"Janice/Mike")</f>
        <v>Janice/Mike</v>
      </c>
      <c r="C1239" s="169" t="str">
        <f>IFERROR(__xludf.DUMMYFUNCTION("""COMPUTED_VALUE"""),"Boise State")</f>
        <v>Boise State</v>
      </c>
      <c r="D1239">
        <f>IFERROR(__xludf.DUMMYFUNCTION("""COMPUTED_VALUE"""),7.0)</f>
        <v>7</v>
      </c>
      <c r="E1239">
        <f>IFERROR(__xludf.DUMMYFUNCTION("""COMPUTED_VALUE"""),1.0)</f>
        <v>1</v>
      </c>
      <c r="F1239" t="str">
        <f>IFERROR(__xludf.DUMMYFUNCTION("""COMPUTED_VALUE"""),"CBSSN")</f>
        <v>CBSSN</v>
      </c>
      <c r="G1239" t="str">
        <f>IFERROR(__xludf.DUMMYFUNCTION("""COMPUTED_VALUE"""),"(21) Boise State 52 at San José State 42")</f>
        <v>(21) Boise State 52 at San José State 42</v>
      </c>
      <c r="H1239" t="str">
        <f>IFERROR(__xludf.DUMMYFUNCTION("""COMPUTED_VALUE"""),"FINAL")</f>
        <v>FINAL</v>
      </c>
      <c r="I1239">
        <f>IFERROR(__xludf.DUMMYFUNCTION("""COMPUTED_VALUE"""),-17.0)</f>
        <v>-17</v>
      </c>
      <c r="J1239">
        <f>IFERROR(__xludf.DUMMYFUNCTION("""COMPUTED_VALUE"""),59.0)</f>
        <v>59</v>
      </c>
      <c r="K1239" t="str">
        <f>IFERROR(__xludf.DUMMYFUNCTION("""COMPUTED_VALUE"""),"Jeannine")</f>
        <v>Jeannine</v>
      </c>
      <c r="L1239" t="str">
        <f>IFERROR(__xludf.DUMMYFUNCTION("""COMPUTED_VALUE"""),"FINAL")</f>
        <v>FINAL</v>
      </c>
      <c r="M1239" s="124">
        <v>10.0</v>
      </c>
    </row>
    <row r="1240">
      <c r="A1240" s="151">
        <f>IFERROR(__xludf.DUMMYFUNCTION("""COMPUTED_VALUE"""),43772.14775020833)</f>
        <v>43772.14775</v>
      </c>
      <c r="B1240" t="str">
        <f>IFERROR(__xludf.DUMMYFUNCTION("""COMPUTED_VALUE"""),"Janice/Mike")</f>
        <v>Janice/Mike</v>
      </c>
      <c r="C1240" s="169" t="str">
        <f>IFERROR(__xludf.DUMMYFUNCTION("""COMPUTED_VALUE"""),"Wisconsin")</f>
        <v>Wisconsin</v>
      </c>
      <c r="D1240">
        <f>IFERROR(__xludf.DUMMYFUNCTION("""COMPUTED_VALUE"""),6.0)</f>
        <v>6</v>
      </c>
      <c r="E1240">
        <f>IFERROR(__xludf.DUMMYFUNCTION("""COMPUTED_VALUE"""),2.0)</f>
        <v>2</v>
      </c>
      <c r="F1240" t="str">
        <f>IFERROR(__xludf.DUMMYFUNCTION("""COMPUTED_VALUE"""),"NA")</f>
        <v>NA</v>
      </c>
      <c r="G1240" t="str">
        <f>IFERROR(__xludf.DUMMYFUNCTION("""COMPUTED_VALUE"""),"BYE")</f>
        <v>BYE</v>
      </c>
      <c r="I1240" t="str">
        <f>IFERROR(__xludf.DUMMYFUNCTION("""COMPUTED_VALUE"""),"bye")</f>
        <v>bye</v>
      </c>
      <c r="J1240" t="str">
        <f>IFERROR(__xludf.DUMMYFUNCTION("""COMPUTED_VALUE"""),"bye")</f>
        <v>bye</v>
      </c>
      <c r="L1240">
        <f>IFERROR(__xludf.DUMMYFUNCTION("""COMPUTED_VALUE"""),9999.0)</f>
        <v>9999</v>
      </c>
      <c r="M1240" s="124">
        <v>10.0</v>
      </c>
    </row>
    <row r="1241">
      <c r="A1241" s="151">
        <f>IFERROR(__xludf.DUMMYFUNCTION("""COMPUTED_VALUE"""),43772.14775020833)</f>
        <v>43772.14775</v>
      </c>
      <c r="B1241" t="str">
        <f>IFERROR(__xludf.DUMMYFUNCTION("""COMPUTED_VALUE"""),"Janice/Mike")</f>
        <v>Janice/Mike</v>
      </c>
      <c r="C1241" s="169" t="str">
        <f>IFERROR(__xludf.DUMMYFUNCTION("""COMPUTED_VALUE"""),"Texas Tech")</f>
        <v>Texas Tech</v>
      </c>
      <c r="D1241">
        <f>IFERROR(__xludf.DUMMYFUNCTION("""COMPUTED_VALUE"""),3.0)</f>
        <v>3</v>
      </c>
      <c r="E1241">
        <f>IFERROR(__xludf.DUMMYFUNCTION("""COMPUTED_VALUE"""),5.0)</f>
        <v>5</v>
      </c>
      <c r="F1241" t="str">
        <f>IFERROR(__xludf.DUMMYFUNCTION("""COMPUTED_VALUE"""),"NA")</f>
        <v>NA</v>
      </c>
      <c r="G1241" t="str">
        <f>IFERROR(__xludf.DUMMYFUNCTION("""COMPUTED_VALUE"""),"BYE")</f>
        <v>BYE</v>
      </c>
      <c r="I1241" t="str">
        <f>IFERROR(__xludf.DUMMYFUNCTION("""COMPUTED_VALUE"""),"bye")</f>
        <v>bye</v>
      </c>
      <c r="J1241" t="str">
        <f>IFERROR(__xludf.DUMMYFUNCTION("""COMPUTED_VALUE"""),"bye")</f>
        <v>bye</v>
      </c>
      <c r="L1241">
        <f>IFERROR(__xludf.DUMMYFUNCTION("""COMPUTED_VALUE"""),9999.0)</f>
        <v>9999</v>
      </c>
      <c r="M1241" s="124">
        <v>10.0</v>
      </c>
    </row>
    <row r="1242">
      <c r="A1242" s="151">
        <f>IFERROR(__xludf.DUMMYFUNCTION("""COMPUTED_VALUE"""),43772.14775020833)</f>
        <v>43772.14775</v>
      </c>
      <c r="B1242" t="str">
        <f>IFERROR(__xludf.DUMMYFUNCTION("""COMPUTED_VALUE"""),"Nico")</f>
        <v>Nico</v>
      </c>
      <c r="C1242" s="169" t="str">
        <f>IFERROR(__xludf.DUMMYFUNCTION("""COMPUTED_VALUE"""),"West Virginia")</f>
        <v>West Virginia</v>
      </c>
      <c r="D1242">
        <f>IFERROR(__xludf.DUMMYFUNCTION("""COMPUTED_VALUE"""),3.0)</f>
        <v>3</v>
      </c>
      <c r="E1242">
        <f>IFERROR(__xludf.DUMMYFUNCTION("""COMPUTED_VALUE"""),5.0)</f>
        <v>5</v>
      </c>
      <c r="F1242" t="str">
        <f>IFERROR(__xludf.DUMMYFUNCTION("""COMPUTED_VALUE"""),"ESPN")</f>
        <v>ESPN</v>
      </c>
      <c r="G1242" t="str">
        <f>IFERROR(__xludf.DUMMYFUNCTION("""COMPUTED_VALUE"""),"West Virginia 14 at (11) Baylor 17")</f>
        <v>West Virginia 14 at (11) Baylor 17</v>
      </c>
      <c r="H1242" t="str">
        <f>IFERROR(__xludf.DUMMYFUNCTION("""COMPUTED_VALUE"""),"FINAL")</f>
        <v>FINAL</v>
      </c>
      <c r="I1242" t="str">
        <f>IFERROR(__xludf.DUMMYFUNCTION("""COMPUTED_VALUE"""),"17½")</f>
        <v>17½</v>
      </c>
      <c r="J1242">
        <f>IFERROR(__xludf.DUMMYFUNCTION("""COMPUTED_VALUE"""),57.0)</f>
        <v>57</v>
      </c>
      <c r="K1242" t="str">
        <f>IFERROR(__xludf.DUMMYFUNCTION("""COMPUTED_VALUE"""),"Justin")</f>
        <v>Justin</v>
      </c>
      <c r="L1242" t="str">
        <f>IFERROR(__xludf.DUMMYFUNCTION("""COMPUTED_VALUE"""),"FINAL")</f>
        <v>FINAL</v>
      </c>
      <c r="M1242" s="124">
        <v>10.0</v>
      </c>
    </row>
    <row r="1243">
      <c r="A1243" s="151">
        <f>IFERROR(__xludf.DUMMYFUNCTION("""COMPUTED_VALUE"""),43772.14775020833)</f>
        <v>43772.14775</v>
      </c>
      <c r="B1243" t="str">
        <f>IFERROR(__xludf.DUMMYFUNCTION("""COMPUTED_VALUE"""),"Nico")</f>
        <v>Nico</v>
      </c>
      <c r="C1243" s="169" t="str">
        <f>IFERROR(__xludf.DUMMYFUNCTION("""COMPUTED_VALUE"""),"Houston")</f>
        <v>Houston</v>
      </c>
      <c r="D1243">
        <f>IFERROR(__xludf.DUMMYFUNCTION("""COMPUTED_VALUE"""),3.0)</f>
        <v>3</v>
      </c>
      <c r="E1243">
        <f>IFERROR(__xludf.DUMMYFUNCTION("""COMPUTED_VALUE"""),6.0)</f>
        <v>6</v>
      </c>
      <c r="F1243" t="str">
        <f>IFERROR(__xludf.DUMMYFUNCTION("""COMPUTED_VALUE"""),"ESPN2")</f>
        <v>ESPN2</v>
      </c>
      <c r="G1243" t="str">
        <f>IFERROR(__xludf.DUMMYFUNCTION("""COMPUTED_VALUE"""),"Houston 29 at UCF 44")</f>
        <v>Houston 29 at UCF 44</v>
      </c>
      <c r="H1243" t="str">
        <f>IFERROR(__xludf.DUMMYFUNCTION("""COMPUTED_VALUE"""),"FINAL")</f>
        <v>FINAL</v>
      </c>
      <c r="I1243">
        <f>IFERROR(__xludf.DUMMYFUNCTION("""COMPUTED_VALUE"""),23.0)</f>
        <v>23</v>
      </c>
      <c r="J1243" t="str">
        <f>IFERROR(__xludf.DUMMYFUNCTION("""COMPUTED_VALUE"""),"69½")</f>
        <v>69½</v>
      </c>
      <c r="K1243" t="str">
        <f>IFERROR(__xludf.DUMMYFUNCTION("""COMPUTED_VALUE"""),"Adam")</f>
        <v>Adam</v>
      </c>
      <c r="L1243" t="str">
        <f>IFERROR(__xludf.DUMMYFUNCTION("""COMPUTED_VALUE"""),"FINAL")</f>
        <v>FINAL</v>
      </c>
      <c r="M1243" s="124">
        <v>10.0</v>
      </c>
    </row>
    <row r="1244">
      <c r="A1244" s="151">
        <f>IFERROR(__xludf.DUMMYFUNCTION("""COMPUTED_VALUE"""),43772.14775020833)</f>
        <v>43772.14775</v>
      </c>
      <c r="B1244" t="str">
        <f>IFERROR(__xludf.DUMMYFUNCTION("""COMPUTED_VALUE"""),"Nico")</f>
        <v>Nico</v>
      </c>
      <c r="C1244" s="169" t="str">
        <f>IFERROR(__xludf.DUMMYFUNCTION("""COMPUTED_VALUE"""),"Purdue")</f>
        <v>Purdue</v>
      </c>
      <c r="D1244">
        <f>IFERROR(__xludf.DUMMYFUNCTION("""COMPUTED_VALUE"""),3.0)</f>
        <v>3</v>
      </c>
      <c r="E1244">
        <f>IFERROR(__xludf.DUMMYFUNCTION("""COMPUTED_VALUE"""),6.0)</f>
        <v>6</v>
      </c>
      <c r="F1244" t="str">
        <f>IFERROR(__xludf.DUMMYFUNCTION("""COMPUTED_VALUE"""),"FOX")</f>
        <v>FOX</v>
      </c>
      <c r="G1244" t="str">
        <f>IFERROR(__xludf.DUMMYFUNCTION("""COMPUTED_VALUE"""),"Nebraska 27 at Purdue 31")</f>
        <v>Nebraska 27 at Purdue 31</v>
      </c>
      <c r="H1244" t="str">
        <f>IFERROR(__xludf.DUMMYFUNCTION("""COMPUTED_VALUE"""),"FINAL")</f>
        <v>FINAL</v>
      </c>
      <c r="I1244">
        <f>IFERROR(__xludf.DUMMYFUNCTION("""COMPUTED_VALUE"""),2.0)</f>
        <v>2</v>
      </c>
      <c r="J1244">
        <f>IFERROR(__xludf.DUMMYFUNCTION("""COMPUTED_VALUE"""),55.0)</f>
        <v>55</v>
      </c>
      <c r="K1244" t="str">
        <f>IFERROR(__xludf.DUMMYFUNCTION("""COMPUTED_VALUE"""),"DavEmily")</f>
        <v>DavEmily</v>
      </c>
      <c r="L1244" t="str">
        <f>IFERROR(__xludf.DUMMYFUNCTION("""COMPUTED_VALUE"""),"FINAL")</f>
        <v>FINAL</v>
      </c>
      <c r="M1244" s="124">
        <v>10.0</v>
      </c>
    </row>
    <row r="1245">
      <c r="A1245" s="151">
        <f>IFERROR(__xludf.DUMMYFUNCTION("""COMPUTED_VALUE"""),43772.14775020833)</f>
        <v>43772.14775</v>
      </c>
      <c r="B1245" t="str">
        <f>IFERROR(__xludf.DUMMYFUNCTION("""COMPUTED_VALUE"""),"Nico")</f>
        <v>Nico</v>
      </c>
      <c r="C1245" s="169" t="str">
        <f>IFERROR(__xludf.DUMMYFUNCTION("""COMPUTED_VALUE"""),"Georgia")</f>
        <v>Georgia</v>
      </c>
      <c r="D1245">
        <f>IFERROR(__xludf.DUMMYFUNCTION("""COMPUTED_VALUE"""),7.0)</f>
        <v>7</v>
      </c>
      <c r="E1245">
        <f>IFERROR(__xludf.DUMMYFUNCTION("""COMPUTED_VALUE"""),1.0)</f>
        <v>1</v>
      </c>
      <c r="F1245" t="str">
        <f>IFERROR(__xludf.DUMMYFUNCTION("""COMPUTED_VALUE"""),"CBS")</f>
        <v>CBS</v>
      </c>
      <c r="G1245" t="str">
        <f>IFERROR(__xludf.DUMMYFUNCTION("""COMPUTED_VALUE"""),"(7) Georgia 24 at (6) Florida 17")</f>
        <v>(7) Georgia 24 at (6) Florida 17</v>
      </c>
      <c r="H1245" t="str">
        <f>IFERROR(__xludf.DUMMYFUNCTION("""COMPUTED_VALUE"""),"FINAL")</f>
        <v>FINAL</v>
      </c>
      <c r="I1245" t="str">
        <f>IFERROR(__xludf.DUMMYFUNCTION("""COMPUTED_VALUE"""),"-5½")</f>
        <v>-5½</v>
      </c>
      <c r="J1245">
        <f>IFERROR(__xludf.DUMMYFUNCTION("""COMPUTED_VALUE"""),47.0)</f>
        <v>47</v>
      </c>
      <c r="K1245" t="str">
        <f>IFERROR(__xludf.DUMMYFUNCTION("""COMPUTED_VALUE"""),"Adam")</f>
        <v>Adam</v>
      </c>
      <c r="L1245" t="str">
        <f>IFERROR(__xludf.DUMMYFUNCTION("""COMPUTED_VALUE"""),"FINAL")</f>
        <v>FINAL</v>
      </c>
      <c r="M1245" s="124">
        <v>10.0</v>
      </c>
    </row>
    <row r="1246">
      <c r="A1246" s="151">
        <f>IFERROR(__xludf.DUMMYFUNCTION("""COMPUTED_VALUE"""),43772.14775020833)</f>
        <v>43772.14775</v>
      </c>
      <c r="B1246" t="str">
        <f>IFERROR(__xludf.DUMMYFUNCTION("""COMPUTED_VALUE"""),"Nico")</f>
        <v>Nico</v>
      </c>
      <c r="C1246" s="169" t="str">
        <f>IFERROR(__xludf.DUMMYFUNCTION("""COMPUTED_VALUE"""),"Arkansas State")</f>
        <v>Arkansas State</v>
      </c>
      <c r="D1246">
        <f>IFERROR(__xludf.DUMMYFUNCTION("""COMPUTED_VALUE"""),2.0)</f>
        <v>2</v>
      </c>
      <c r="E1246">
        <f>IFERROR(__xludf.DUMMYFUNCTION("""COMPUTED_VALUE"""),2.0)</f>
        <v>2</v>
      </c>
      <c r="F1246" t="str">
        <f>IFERROR(__xludf.DUMMYFUNCTION("""COMPUTED_VALUE"""),"ESPNU")</f>
        <v>ESPNU</v>
      </c>
      <c r="G1246" t="str">
        <f>IFERROR(__xludf.DUMMYFUNCTION("""COMPUTED_VALUE"""),"Arkansas State 48 at UL Monroe 41")</f>
        <v>Arkansas State 48 at UL Monroe 41</v>
      </c>
      <c r="H1246" t="str">
        <f>IFERROR(__xludf.DUMMYFUNCTION("""COMPUTED_VALUE"""),"FINAL")</f>
        <v>FINAL</v>
      </c>
      <c r="I1246">
        <f>IFERROR(__xludf.DUMMYFUNCTION("""COMPUTED_VALUE"""),-2.0)</f>
        <v>-2</v>
      </c>
      <c r="J1246" t="str">
        <f>IFERROR(__xludf.DUMMYFUNCTION("""COMPUTED_VALUE"""),"67½")</f>
        <v>67½</v>
      </c>
      <c r="K1246" t="str">
        <f>IFERROR(__xludf.DUMMYFUNCTION("""COMPUTED_VALUE"""),"Jeannine")</f>
        <v>Jeannine</v>
      </c>
      <c r="L1246" t="str">
        <f>IFERROR(__xludf.DUMMYFUNCTION("""COMPUTED_VALUE"""),"FINAL")</f>
        <v>FINAL</v>
      </c>
      <c r="M1246" s="124">
        <v>10.0</v>
      </c>
    </row>
    <row r="1247">
      <c r="A1247" s="151">
        <f>IFERROR(__xludf.DUMMYFUNCTION("""COMPUTED_VALUE"""),43772.14775020833)</f>
        <v>43772.14775</v>
      </c>
      <c r="B1247" t="str">
        <f>IFERROR(__xludf.DUMMYFUNCTION("""COMPUTED_VALUE"""),"Nico")</f>
        <v>Nico</v>
      </c>
      <c r="C1247" s="169" t="str">
        <f>IFERROR(__xludf.DUMMYFUNCTION("""COMPUTED_VALUE"""),"Middle Tennessee")</f>
        <v>Middle Tennessee</v>
      </c>
      <c r="D1247">
        <f>IFERROR(__xludf.DUMMYFUNCTION("""COMPUTED_VALUE"""),3.0)</f>
        <v>3</v>
      </c>
      <c r="E1247">
        <f>IFERROR(__xludf.DUMMYFUNCTION("""COMPUTED_VALUE"""),6.0)</f>
        <v>6</v>
      </c>
      <c r="F1247" t="str">
        <f>IFERROR(__xludf.DUMMYFUNCTION("""COMPUTED_VALUE"""),"espn3 Video")</f>
        <v>espn3 Video</v>
      </c>
      <c r="G1247" t="str">
        <f>IFERROR(__xludf.DUMMYFUNCTION("""COMPUTED_VALUE"""),"Middle Tennessee 20 at Charlotte 34")</f>
        <v>Middle Tennessee 20 at Charlotte 34</v>
      </c>
      <c r="H1247" t="str">
        <f>IFERROR(__xludf.DUMMYFUNCTION("""COMPUTED_VALUE"""),"FINAL")</f>
        <v>FINAL</v>
      </c>
      <c r="I1247">
        <f>IFERROR(__xludf.DUMMYFUNCTION("""COMPUTED_VALUE"""),-3.0)</f>
        <v>-3</v>
      </c>
      <c r="J1247" t="str">
        <f>IFERROR(__xludf.DUMMYFUNCTION("""COMPUTED_VALUE"""),"63½")</f>
        <v>63½</v>
      </c>
      <c r="K1247" t="str">
        <f>IFERROR(__xludf.DUMMYFUNCTION("""COMPUTED_VALUE"""),"Janice/Mike")</f>
        <v>Janice/Mike</v>
      </c>
      <c r="L1247" t="str">
        <f>IFERROR(__xludf.DUMMYFUNCTION("""COMPUTED_VALUE"""),"FINAL")</f>
        <v>FINAL</v>
      </c>
      <c r="M1247" s="124">
        <v>10.0</v>
      </c>
    </row>
    <row r="1248">
      <c r="A1248" s="151">
        <f>IFERROR(__xludf.DUMMYFUNCTION("""COMPUTED_VALUE"""),43772.14775020833)</f>
        <v>43772.14775</v>
      </c>
      <c r="B1248" t="str">
        <f>IFERROR(__xludf.DUMMYFUNCTION("""COMPUTED_VALUE"""),"Nico")</f>
        <v>Nico</v>
      </c>
      <c r="C1248" s="169" t="str">
        <f>IFERROR(__xludf.DUMMYFUNCTION("""COMPUTED_VALUE"""),"North Carolina")</f>
        <v>North Carolina</v>
      </c>
      <c r="D1248">
        <f>IFERROR(__xludf.DUMMYFUNCTION("""COMPUTED_VALUE"""),4.0)</f>
        <v>4</v>
      </c>
      <c r="E1248">
        <f>IFERROR(__xludf.DUMMYFUNCTION("""COMPUTED_VALUE"""),5.0)</f>
        <v>5</v>
      </c>
      <c r="F1248" t="str">
        <f>IFERROR(__xludf.DUMMYFUNCTION("""COMPUTED_VALUE"""),"ACC Network")</f>
        <v>ACC Network</v>
      </c>
      <c r="G1248" t="str">
        <f>IFERROR(__xludf.DUMMYFUNCTION("""COMPUTED_VALUE"""),"Virginia 38 at North Carolina 31")</f>
        <v>Virginia 38 at North Carolina 31</v>
      </c>
      <c r="H1248" t="str">
        <f>IFERROR(__xludf.DUMMYFUNCTION("""COMPUTED_VALUE"""),"FINAL")</f>
        <v>FINAL</v>
      </c>
      <c r="I1248">
        <f>IFERROR(__xludf.DUMMYFUNCTION("""COMPUTED_VALUE"""),-2.0)</f>
        <v>-2</v>
      </c>
      <c r="J1248" t="str">
        <f>IFERROR(__xludf.DUMMYFUNCTION("""COMPUTED_VALUE"""),"47½")</f>
        <v>47½</v>
      </c>
      <c r="K1248" t="str">
        <f>IFERROR(__xludf.DUMMYFUNCTION("""COMPUTED_VALUE"""),"Jeannine")</f>
        <v>Jeannine</v>
      </c>
      <c r="L1248" t="str">
        <f>IFERROR(__xludf.DUMMYFUNCTION("""COMPUTED_VALUE"""),"FINAL")</f>
        <v>FINAL</v>
      </c>
      <c r="M1248" s="124">
        <v>10.0</v>
      </c>
    </row>
    <row r="1249">
      <c r="A1249" s="151">
        <f>IFERROR(__xludf.DUMMYFUNCTION("""COMPUTED_VALUE"""),43772.14775020833)</f>
        <v>43772.14775</v>
      </c>
      <c r="B1249" t="str">
        <f>IFERROR(__xludf.DUMMYFUNCTION("""COMPUTED_VALUE"""),"Nico")</f>
        <v>Nico</v>
      </c>
      <c r="C1249" s="169" t="str">
        <f>IFERROR(__xludf.DUMMYFUNCTION("""COMPUTED_VALUE"""),"New Mexico")</f>
        <v>New Mexico</v>
      </c>
      <c r="D1249">
        <f>IFERROR(__xludf.DUMMYFUNCTION("""COMPUTED_VALUE"""),2.0)</f>
        <v>2</v>
      </c>
      <c r="E1249">
        <f>IFERROR(__xludf.DUMMYFUNCTION("""COMPUTED_VALUE"""),7.0)</f>
        <v>7</v>
      </c>
      <c r="F1249" t="str">
        <f>IFERROR(__xludf.DUMMYFUNCTION("""COMPUTED_VALUE"""),"ESPNU")</f>
        <v>ESPNU</v>
      </c>
      <c r="G1249" t="str">
        <f>IFERROR(__xludf.DUMMYFUNCTION("""COMPUTED_VALUE"""),"New Mexico 10 at Nevada 21")</f>
        <v>New Mexico 10 at Nevada 21</v>
      </c>
      <c r="H1249" t="str">
        <f>IFERROR(__xludf.DUMMYFUNCTION("""COMPUTED_VALUE"""),"FINAL")</f>
        <v>FINAL</v>
      </c>
      <c r="I1249">
        <f>IFERROR(__xludf.DUMMYFUNCTION("""COMPUTED_VALUE"""),4.0)</f>
        <v>4</v>
      </c>
      <c r="J1249">
        <f>IFERROR(__xludf.DUMMYFUNCTION("""COMPUTED_VALUE"""),59.0)</f>
        <v>59</v>
      </c>
      <c r="K1249" t="str">
        <f>IFERROR(__xludf.DUMMYFUNCTION("""COMPUTED_VALUE"""),"Josh R.")</f>
        <v>Josh R.</v>
      </c>
      <c r="L1249" t="str">
        <f>IFERROR(__xludf.DUMMYFUNCTION("""COMPUTED_VALUE"""),"FINAL")</f>
        <v>FINAL</v>
      </c>
      <c r="M1249" s="124">
        <v>10.0</v>
      </c>
    </row>
    <row r="1250">
      <c r="A1250" s="151">
        <f>IFERROR(__xludf.DUMMYFUNCTION("""COMPUTED_VALUE"""),43772.14775020833)</f>
        <v>43772.14775</v>
      </c>
      <c r="B1250" t="str">
        <f>IFERROR(__xludf.DUMMYFUNCTION("""COMPUTED_VALUE"""),"Nico")</f>
        <v>Nico</v>
      </c>
      <c r="C1250" s="169" t="str">
        <f>IFERROR(__xludf.DUMMYFUNCTION("""COMPUTED_VALUE"""),"Miami-OH")</f>
        <v>Miami-OH</v>
      </c>
      <c r="D1250">
        <f>IFERROR(__xludf.DUMMYFUNCTION("""COMPUTED_VALUE"""),4.0)</f>
        <v>4</v>
      </c>
      <c r="E1250">
        <f>IFERROR(__xludf.DUMMYFUNCTION("""COMPUTED_VALUE"""),4.0)</f>
        <v>4</v>
      </c>
      <c r="F1250" t="str">
        <f>IFERROR(__xludf.DUMMYFUNCTION("""COMPUTED_VALUE"""),"NA")</f>
        <v>NA</v>
      </c>
      <c r="G1250" t="str">
        <f>IFERROR(__xludf.DUMMYFUNCTION("""COMPUTED_VALUE"""),"BYE")</f>
        <v>BYE</v>
      </c>
      <c r="I1250" t="str">
        <f>IFERROR(__xludf.DUMMYFUNCTION("""COMPUTED_VALUE"""),"bye")</f>
        <v>bye</v>
      </c>
      <c r="J1250" t="str">
        <f>IFERROR(__xludf.DUMMYFUNCTION("""COMPUTED_VALUE"""),"bye")</f>
        <v>bye</v>
      </c>
      <c r="L1250">
        <f>IFERROR(__xludf.DUMMYFUNCTION("""COMPUTED_VALUE"""),9999.0)</f>
        <v>9999</v>
      </c>
      <c r="M1250" s="124">
        <v>10.0</v>
      </c>
    </row>
    <row r="1251">
      <c r="A1251" s="151">
        <f>IFERROR(__xludf.DUMMYFUNCTION("""COMPUTED_VALUE"""),43772.14775020833)</f>
        <v>43772.14775</v>
      </c>
      <c r="B1251" t="str">
        <f>IFERROR(__xludf.DUMMYFUNCTION("""COMPUTED_VALUE"""),"Nico")</f>
        <v>Nico</v>
      </c>
      <c r="C1251" s="169" t="str">
        <f>IFERROR(__xludf.DUMMYFUNCTION("""COMPUTED_VALUE"""),"Arizona State")</f>
        <v>Arizona State</v>
      </c>
      <c r="D1251">
        <f>IFERROR(__xludf.DUMMYFUNCTION("""COMPUTED_VALUE"""),5.0)</f>
        <v>5</v>
      </c>
      <c r="E1251">
        <f>IFERROR(__xludf.DUMMYFUNCTION("""COMPUTED_VALUE"""),3.0)</f>
        <v>3</v>
      </c>
      <c r="F1251" t="str">
        <f>IFERROR(__xludf.DUMMYFUNCTION("""COMPUTED_VALUE"""),"NA")</f>
        <v>NA</v>
      </c>
      <c r="G1251" t="str">
        <f>IFERROR(__xludf.DUMMYFUNCTION("""COMPUTED_VALUE"""),"BYE")</f>
        <v>BYE</v>
      </c>
      <c r="I1251" t="str">
        <f>IFERROR(__xludf.DUMMYFUNCTION("""COMPUTED_VALUE"""),"bye")</f>
        <v>bye</v>
      </c>
      <c r="J1251" t="str">
        <f>IFERROR(__xludf.DUMMYFUNCTION("""COMPUTED_VALUE"""),"bye")</f>
        <v>bye</v>
      </c>
      <c r="L1251">
        <f>IFERROR(__xludf.DUMMYFUNCTION("""COMPUTED_VALUE"""),9999.0)</f>
        <v>9999</v>
      </c>
      <c r="M1251" s="124">
        <v>10.0</v>
      </c>
    </row>
    <row r="1252">
      <c r="A1252" s="151">
        <f>IFERROR(__xludf.DUMMYFUNCTION("""COMPUTED_VALUE"""),43772.14775020833)</f>
        <v>43772.14775</v>
      </c>
      <c r="B1252" t="str">
        <f>IFERROR(__xludf.DUMMYFUNCTION("""COMPUTED_VALUE"""),"Jeannine")</f>
        <v>Jeannine</v>
      </c>
      <c r="C1252" s="169" t="str">
        <f>IFERROR(__xludf.DUMMYFUNCTION("""COMPUTED_VALUE"""),"UL Monroe")</f>
        <v>UL Monroe</v>
      </c>
      <c r="D1252">
        <f>IFERROR(__xludf.DUMMYFUNCTION("""COMPUTED_VALUE"""),3.0)</f>
        <v>3</v>
      </c>
      <c r="E1252">
        <f>IFERROR(__xludf.DUMMYFUNCTION("""COMPUTED_VALUE"""),5.0)</f>
        <v>5</v>
      </c>
      <c r="F1252" t="str">
        <f>IFERROR(__xludf.DUMMYFUNCTION("""COMPUTED_VALUE"""),"NA")</f>
        <v>NA</v>
      </c>
      <c r="G1252" t="str">
        <f>IFERROR(__xludf.DUMMYFUNCTION("""COMPUTED_VALUE"""),"Arkansas State 48 at UL Monroe 41")</f>
        <v>Arkansas State 48 at UL Monroe 41</v>
      </c>
      <c r="H1252" t="str">
        <f>IFERROR(__xludf.DUMMYFUNCTION("""COMPUTED_VALUE"""),"FINAL")</f>
        <v>FINAL</v>
      </c>
      <c r="I1252">
        <f>IFERROR(__xludf.DUMMYFUNCTION("""COMPUTED_VALUE"""),2.0)</f>
        <v>2</v>
      </c>
      <c r="J1252" t="str">
        <f>IFERROR(__xludf.DUMMYFUNCTION("""COMPUTED_VALUE"""),"67½")</f>
        <v>67½</v>
      </c>
      <c r="K1252" t="str">
        <f>IFERROR(__xludf.DUMMYFUNCTION("""COMPUTED_VALUE"""),"Nico")</f>
        <v>Nico</v>
      </c>
      <c r="L1252" t="str">
        <f>IFERROR(__xludf.DUMMYFUNCTION("""COMPUTED_VALUE"""),"FINAL")</f>
        <v>FINAL</v>
      </c>
      <c r="M1252" s="124">
        <v>10.0</v>
      </c>
    </row>
    <row r="1253">
      <c r="A1253" s="151">
        <f>IFERROR(__xludf.DUMMYFUNCTION("""COMPUTED_VALUE"""),43772.14775020833)</f>
        <v>43772.14775</v>
      </c>
      <c r="B1253" t="str">
        <f>IFERROR(__xludf.DUMMYFUNCTION("""COMPUTED_VALUE"""),"Jeannine")</f>
        <v>Jeannine</v>
      </c>
      <c r="C1253" s="169" t="str">
        <f>IFERROR(__xludf.DUMMYFUNCTION("""COMPUTED_VALUE"""),"Mississippi State")</f>
        <v>Mississippi State</v>
      </c>
      <c r="D1253">
        <f>IFERROR(__xludf.DUMMYFUNCTION("""COMPUTED_VALUE"""),4.0)</f>
        <v>4</v>
      </c>
      <c r="E1253">
        <f>IFERROR(__xludf.DUMMYFUNCTION("""COMPUTED_VALUE"""),5.0)</f>
        <v>5</v>
      </c>
      <c r="F1253" t="str">
        <f>IFERROR(__xludf.DUMMYFUNCTION("""COMPUTED_VALUE"""),"SEC Network")</f>
        <v>SEC Network</v>
      </c>
      <c r="G1253" t="str">
        <f>IFERROR(__xludf.DUMMYFUNCTION("""COMPUTED_VALUE"""),"Mississippi State 54 at Arkansas 24")</f>
        <v>Mississippi State 54 at Arkansas 24</v>
      </c>
      <c r="H1253" t="str">
        <f>IFERROR(__xludf.DUMMYFUNCTION("""COMPUTED_VALUE"""),"FINAL")</f>
        <v>FINAL</v>
      </c>
      <c r="I1253" t="str">
        <f>IFERROR(__xludf.DUMMYFUNCTION("""COMPUTED_VALUE"""),"-7½")</f>
        <v>-7½</v>
      </c>
      <c r="J1253">
        <f>IFERROR(__xludf.DUMMYFUNCTION("""COMPUTED_VALUE"""),58.0)</f>
        <v>58</v>
      </c>
      <c r="K1253" t="str">
        <f>IFERROR(__xludf.DUMMYFUNCTION("""COMPUTED_VALUE"""),"Janice/Mike")</f>
        <v>Janice/Mike</v>
      </c>
      <c r="L1253" t="str">
        <f>IFERROR(__xludf.DUMMYFUNCTION("""COMPUTED_VALUE"""),"FINAL")</f>
        <v>FINAL</v>
      </c>
      <c r="M1253" s="124">
        <v>10.0</v>
      </c>
    </row>
    <row r="1254">
      <c r="A1254" s="151">
        <f>IFERROR(__xludf.DUMMYFUNCTION("""COMPUTED_VALUE"""),43772.14775020833)</f>
        <v>43772.14775</v>
      </c>
      <c r="B1254" t="str">
        <f>IFERROR(__xludf.DUMMYFUNCTION("""COMPUTED_VALUE"""),"Jeannine")</f>
        <v>Jeannine</v>
      </c>
      <c r="C1254" s="169" t="str">
        <f>IFERROR(__xludf.DUMMYFUNCTION("""COMPUTED_VALUE"""),"UAB")</f>
        <v>UAB</v>
      </c>
      <c r="D1254">
        <f>IFERROR(__xludf.DUMMYFUNCTION("""COMPUTED_VALUE"""),6.0)</f>
        <v>6</v>
      </c>
      <c r="E1254">
        <f>IFERROR(__xludf.DUMMYFUNCTION("""COMPUTED_VALUE"""),2.0)</f>
        <v>2</v>
      </c>
      <c r="F1254" t="str">
        <f>IFERROR(__xludf.DUMMYFUNCTION("""COMPUTED_VALUE"""),"ESPNU")</f>
        <v>ESPNU</v>
      </c>
      <c r="G1254" t="str">
        <f>IFERROR(__xludf.DUMMYFUNCTION("""COMPUTED_VALUE"""),"UAB 7 at Tennessee 30")</f>
        <v>UAB 7 at Tennessee 30</v>
      </c>
      <c r="H1254" t="str">
        <f>IFERROR(__xludf.DUMMYFUNCTION("""COMPUTED_VALUE"""),"FINAL")</f>
        <v>FINAL</v>
      </c>
      <c r="I1254" t="str">
        <f>IFERROR(__xludf.DUMMYFUNCTION("""COMPUTED_VALUE"""),"10½")</f>
        <v>10½</v>
      </c>
      <c r="J1254" t="str">
        <f>IFERROR(__xludf.DUMMYFUNCTION("""COMPUTED_VALUE"""),"47½")</f>
        <v>47½</v>
      </c>
      <c r="K1254" t="str">
        <f>IFERROR(__xludf.DUMMYFUNCTION("""COMPUTED_VALUE"""),"Justin")</f>
        <v>Justin</v>
      </c>
      <c r="L1254" t="str">
        <f>IFERROR(__xludf.DUMMYFUNCTION("""COMPUTED_VALUE"""),"FINAL")</f>
        <v>FINAL</v>
      </c>
      <c r="M1254" s="124">
        <v>10.0</v>
      </c>
    </row>
    <row r="1255">
      <c r="A1255" s="151">
        <f>IFERROR(__xludf.DUMMYFUNCTION("""COMPUTED_VALUE"""),43772.14775020833)</f>
        <v>43772.14775</v>
      </c>
      <c r="B1255" t="str">
        <f>IFERROR(__xludf.DUMMYFUNCTION("""COMPUTED_VALUE"""),"Jeannine")</f>
        <v>Jeannine</v>
      </c>
      <c r="C1255" s="169" t="str">
        <f>IFERROR(__xludf.DUMMYFUNCTION("""COMPUTED_VALUE"""),"SMU")</f>
        <v>SMU</v>
      </c>
      <c r="D1255">
        <f>IFERROR(__xludf.DUMMYFUNCTION("""COMPUTED_VALUE"""),8.0)</f>
        <v>8</v>
      </c>
      <c r="E1255">
        <f>IFERROR(__xludf.DUMMYFUNCTION("""COMPUTED_VALUE"""),1.0)</f>
        <v>1</v>
      </c>
      <c r="F1255" t="str">
        <f>IFERROR(__xludf.DUMMYFUNCTION("""COMPUTED_VALUE"""),"ABC")</f>
        <v>ABC</v>
      </c>
      <c r="G1255" t="str">
        <f>IFERROR(__xludf.DUMMYFUNCTION("""COMPUTED_VALUE"""),"(14) SMU 48 at (23) Memphis 54")</f>
        <v>(14) SMU 48 at (23) Memphis 54</v>
      </c>
      <c r="H1255" t="str">
        <f>IFERROR(__xludf.DUMMYFUNCTION("""COMPUTED_VALUE"""),"FINAL")</f>
        <v>FINAL</v>
      </c>
      <c r="I1255" t="str">
        <f>IFERROR(__xludf.DUMMYFUNCTION("""COMPUTED_VALUE"""),"5½")</f>
        <v>5½</v>
      </c>
      <c r="J1255" t="str">
        <f>IFERROR(__xludf.DUMMYFUNCTION("""COMPUTED_VALUE"""),"70½")</f>
        <v>70½</v>
      </c>
      <c r="K1255" t="str">
        <f>IFERROR(__xludf.DUMMYFUNCTION("""COMPUTED_VALUE"""),"Brad")</f>
        <v>Brad</v>
      </c>
      <c r="L1255" t="str">
        <f>IFERROR(__xludf.DUMMYFUNCTION("""COMPUTED_VALUE"""),"FINAL")</f>
        <v>FINAL</v>
      </c>
      <c r="M1255" s="124">
        <v>10.0</v>
      </c>
    </row>
    <row r="1256">
      <c r="A1256" s="151">
        <f>IFERROR(__xludf.DUMMYFUNCTION("""COMPUTED_VALUE"""),43772.14775020833)</f>
        <v>43772.14775</v>
      </c>
      <c r="B1256" t="str">
        <f>IFERROR(__xludf.DUMMYFUNCTION("""COMPUTED_VALUE"""),"Jeannine")</f>
        <v>Jeannine</v>
      </c>
      <c r="C1256" s="169" t="str">
        <f>IFERROR(__xludf.DUMMYFUNCTION("""COMPUTED_VALUE"""),"Virginia")</f>
        <v>Virginia</v>
      </c>
      <c r="D1256">
        <f>IFERROR(__xludf.DUMMYFUNCTION("""COMPUTED_VALUE"""),6.0)</f>
        <v>6</v>
      </c>
      <c r="E1256">
        <f>IFERROR(__xludf.DUMMYFUNCTION("""COMPUTED_VALUE"""),3.0)</f>
        <v>3</v>
      </c>
      <c r="F1256" t="str">
        <f>IFERROR(__xludf.DUMMYFUNCTION("""COMPUTED_VALUE"""),"ACC Network")</f>
        <v>ACC Network</v>
      </c>
      <c r="G1256" t="str">
        <f>IFERROR(__xludf.DUMMYFUNCTION("""COMPUTED_VALUE"""),"Virginia 38 at North Carolina 31")</f>
        <v>Virginia 38 at North Carolina 31</v>
      </c>
      <c r="H1256" t="str">
        <f>IFERROR(__xludf.DUMMYFUNCTION("""COMPUTED_VALUE"""),"FINAL")</f>
        <v>FINAL</v>
      </c>
      <c r="I1256">
        <f>IFERROR(__xludf.DUMMYFUNCTION("""COMPUTED_VALUE"""),2.0)</f>
        <v>2</v>
      </c>
      <c r="J1256" t="str">
        <f>IFERROR(__xludf.DUMMYFUNCTION("""COMPUTED_VALUE"""),"47½")</f>
        <v>47½</v>
      </c>
      <c r="K1256" t="str">
        <f>IFERROR(__xludf.DUMMYFUNCTION("""COMPUTED_VALUE"""),"Nico")</f>
        <v>Nico</v>
      </c>
      <c r="L1256" t="str">
        <f>IFERROR(__xludf.DUMMYFUNCTION("""COMPUTED_VALUE"""),"FINAL")</f>
        <v>FINAL</v>
      </c>
      <c r="M1256" s="124">
        <v>10.0</v>
      </c>
    </row>
    <row r="1257">
      <c r="A1257" s="151">
        <f>IFERROR(__xludf.DUMMYFUNCTION("""COMPUTED_VALUE"""),43772.14775020833)</f>
        <v>43772.14775</v>
      </c>
      <c r="B1257" t="str">
        <f>IFERROR(__xludf.DUMMYFUNCTION("""COMPUTED_VALUE"""),"Jeannine")</f>
        <v>Jeannine</v>
      </c>
      <c r="C1257" s="169" t="str">
        <f>IFERROR(__xludf.DUMMYFUNCTION("""COMPUTED_VALUE"""),"Colorado")</f>
        <v>Colorado</v>
      </c>
      <c r="D1257">
        <f>IFERROR(__xludf.DUMMYFUNCTION("""COMPUTED_VALUE"""),3.0)</f>
        <v>3</v>
      </c>
      <c r="E1257">
        <f>IFERROR(__xludf.DUMMYFUNCTION("""COMPUTED_VALUE"""),6.0)</f>
        <v>6</v>
      </c>
      <c r="F1257" t="str">
        <f>IFERROR(__xludf.DUMMYFUNCTION("""COMPUTED_VALUE"""),"Pac-12")</f>
        <v>Pac-12</v>
      </c>
      <c r="G1257" t="str">
        <f>IFERROR(__xludf.DUMMYFUNCTION("""COMPUTED_VALUE"""),"Colorado 14 at UCLA 31")</f>
        <v>Colorado 14 at UCLA 31</v>
      </c>
      <c r="H1257" t="str">
        <f>IFERROR(__xludf.DUMMYFUNCTION("""COMPUTED_VALUE"""),"FINAL")</f>
        <v>FINAL</v>
      </c>
      <c r="I1257" t="str">
        <f>IFERROR(__xludf.DUMMYFUNCTION("""COMPUTED_VALUE"""),"6½")</f>
        <v>6½</v>
      </c>
      <c r="J1257">
        <f>IFERROR(__xludf.DUMMYFUNCTION("""COMPUTED_VALUE"""),65.0)</f>
        <v>65</v>
      </c>
      <c r="K1257" t="str">
        <f>IFERROR(__xludf.DUMMYFUNCTION("""COMPUTED_VALUE"""),"Gary")</f>
        <v>Gary</v>
      </c>
      <c r="L1257" t="str">
        <f>IFERROR(__xludf.DUMMYFUNCTION("""COMPUTED_VALUE"""),"FINAL")</f>
        <v>FINAL</v>
      </c>
      <c r="M1257" s="124">
        <v>10.0</v>
      </c>
    </row>
    <row r="1258">
      <c r="A1258" s="151">
        <f>IFERROR(__xludf.DUMMYFUNCTION("""COMPUTED_VALUE"""),43772.14775020833)</f>
        <v>43772.14775</v>
      </c>
      <c r="B1258" t="str">
        <f>IFERROR(__xludf.DUMMYFUNCTION("""COMPUTED_VALUE"""),"Jeannine")</f>
        <v>Jeannine</v>
      </c>
      <c r="C1258" s="169" t="str">
        <f>IFERROR(__xludf.DUMMYFUNCTION("""COMPUTED_VALUE"""),"San José State")</f>
        <v>San José State</v>
      </c>
      <c r="D1258">
        <f>IFERROR(__xludf.DUMMYFUNCTION("""COMPUTED_VALUE"""),4.0)</f>
        <v>4</v>
      </c>
      <c r="E1258">
        <f>IFERROR(__xludf.DUMMYFUNCTION("""COMPUTED_VALUE"""),5.0)</f>
        <v>5</v>
      </c>
      <c r="F1258" t="str">
        <f>IFERROR(__xludf.DUMMYFUNCTION("""COMPUTED_VALUE"""),"NA")</f>
        <v>NA</v>
      </c>
      <c r="G1258" t="str">
        <f>IFERROR(__xludf.DUMMYFUNCTION("""COMPUTED_VALUE"""),"(21) Boise State 52 at San José State 42")</f>
        <v>(21) Boise State 52 at San José State 42</v>
      </c>
      <c r="H1258" t="str">
        <f>IFERROR(__xludf.DUMMYFUNCTION("""COMPUTED_VALUE"""),"FINAL")</f>
        <v>FINAL</v>
      </c>
      <c r="I1258">
        <f>IFERROR(__xludf.DUMMYFUNCTION("""COMPUTED_VALUE"""),17.0)</f>
        <v>17</v>
      </c>
      <c r="J1258">
        <f>IFERROR(__xludf.DUMMYFUNCTION("""COMPUTED_VALUE"""),59.0)</f>
        <v>59</v>
      </c>
      <c r="K1258" t="str">
        <f>IFERROR(__xludf.DUMMYFUNCTION("""COMPUTED_VALUE"""),"Janice/Mike")</f>
        <v>Janice/Mike</v>
      </c>
      <c r="L1258" t="str">
        <f>IFERROR(__xludf.DUMMYFUNCTION("""COMPUTED_VALUE"""),"FINAL")</f>
        <v>FINAL</v>
      </c>
      <c r="M1258" s="124">
        <v>10.0</v>
      </c>
    </row>
    <row r="1259">
      <c r="A1259" s="151">
        <f>IFERROR(__xludf.DUMMYFUNCTION("""COMPUTED_VALUE"""),43772.14775020833)</f>
        <v>43772.14775</v>
      </c>
      <c r="B1259" t="str">
        <f>IFERROR(__xludf.DUMMYFUNCTION("""COMPUTED_VALUE"""),"Jeannine")</f>
        <v>Jeannine</v>
      </c>
      <c r="C1259" s="169" t="str">
        <f>IFERROR(__xludf.DUMMYFUNCTION("""COMPUTED_VALUE"""),"Oklahoma")</f>
        <v>Oklahoma</v>
      </c>
      <c r="D1259">
        <f>IFERROR(__xludf.DUMMYFUNCTION("""COMPUTED_VALUE"""),7.0)</f>
        <v>7</v>
      </c>
      <c r="E1259">
        <f>IFERROR(__xludf.DUMMYFUNCTION("""COMPUTED_VALUE"""),1.0)</f>
        <v>1</v>
      </c>
      <c r="F1259" t="str">
        <f>IFERROR(__xludf.DUMMYFUNCTION("""COMPUTED_VALUE"""),"NA")</f>
        <v>NA</v>
      </c>
      <c r="G1259" t="str">
        <f>IFERROR(__xludf.DUMMYFUNCTION("""COMPUTED_VALUE"""),"BYE")</f>
        <v>BYE</v>
      </c>
      <c r="I1259" t="str">
        <f>IFERROR(__xludf.DUMMYFUNCTION("""COMPUTED_VALUE"""),"bye")</f>
        <v>bye</v>
      </c>
      <c r="J1259" t="str">
        <f>IFERROR(__xludf.DUMMYFUNCTION("""COMPUTED_VALUE"""),"bye")</f>
        <v>bye</v>
      </c>
      <c r="L1259">
        <f>IFERROR(__xludf.DUMMYFUNCTION("""COMPUTED_VALUE"""),9999.0)</f>
        <v>9999</v>
      </c>
      <c r="M1259" s="124">
        <v>10.0</v>
      </c>
    </row>
    <row r="1260">
      <c r="A1260" s="151">
        <f>IFERROR(__xludf.DUMMYFUNCTION("""COMPUTED_VALUE"""),43772.14775020833)</f>
        <v>43772.14775</v>
      </c>
      <c r="B1260" t="str">
        <f>IFERROR(__xludf.DUMMYFUNCTION("""COMPUTED_VALUE"""),"Jeannine")</f>
        <v>Jeannine</v>
      </c>
      <c r="C1260" s="169" t="str">
        <f>IFERROR(__xludf.DUMMYFUNCTION("""COMPUTED_VALUE"""),"Western Michigan")</f>
        <v>Western Michigan</v>
      </c>
      <c r="D1260">
        <f>IFERROR(__xludf.DUMMYFUNCTION("""COMPUTED_VALUE"""),5.0)</f>
        <v>5</v>
      </c>
      <c r="E1260">
        <f>IFERROR(__xludf.DUMMYFUNCTION("""COMPUTED_VALUE"""),4.0)</f>
        <v>4</v>
      </c>
      <c r="F1260" t="str">
        <f>IFERROR(__xludf.DUMMYFUNCTION("""COMPUTED_VALUE"""),"CBSSN")</f>
        <v>CBSSN</v>
      </c>
      <c r="G1260" t="str">
        <f>IFERROR(__xludf.DUMMYFUNCTION("""COMPUTED_VALUE"""),"BYE")</f>
        <v>BYE</v>
      </c>
      <c r="I1260" t="str">
        <f>IFERROR(__xludf.DUMMYFUNCTION("""COMPUTED_VALUE"""),"bye")</f>
        <v>bye</v>
      </c>
      <c r="J1260" t="str">
        <f>IFERROR(__xludf.DUMMYFUNCTION("""COMPUTED_VALUE"""),"bye")</f>
        <v>bye</v>
      </c>
      <c r="L1260">
        <f>IFERROR(__xludf.DUMMYFUNCTION("""COMPUTED_VALUE"""),9999.0)</f>
        <v>9999</v>
      </c>
      <c r="M1260" s="124">
        <v>10.0</v>
      </c>
    </row>
    <row r="1261">
      <c r="A1261" s="151">
        <f>IFERROR(__xludf.DUMMYFUNCTION("""COMPUTED_VALUE"""),43772.14775020833)</f>
        <v>43772.14775</v>
      </c>
      <c r="B1261" t="str">
        <f>IFERROR(__xludf.DUMMYFUNCTION("""COMPUTED_VALUE"""),"Jeannine")</f>
        <v>Jeannine</v>
      </c>
      <c r="C1261" s="169" t="str">
        <f>IFERROR(__xludf.DUMMYFUNCTION("""COMPUTED_VALUE"""),"Penn State")</f>
        <v>Penn State</v>
      </c>
      <c r="D1261">
        <f>IFERROR(__xludf.DUMMYFUNCTION("""COMPUTED_VALUE"""),8.0)</f>
        <v>8</v>
      </c>
      <c r="E1261">
        <f>IFERROR(__xludf.DUMMYFUNCTION("""COMPUTED_VALUE"""),0.0)</f>
        <v>0</v>
      </c>
      <c r="F1261" t="str">
        <f>IFERROR(__xludf.DUMMYFUNCTION("""COMPUTED_VALUE"""),"NA")</f>
        <v>NA</v>
      </c>
      <c r="G1261" t="str">
        <f>IFERROR(__xludf.DUMMYFUNCTION("""COMPUTED_VALUE"""),"BYE")</f>
        <v>BYE</v>
      </c>
      <c r="I1261" t="str">
        <f>IFERROR(__xludf.DUMMYFUNCTION("""COMPUTED_VALUE"""),"bye")</f>
        <v>bye</v>
      </c>
      <c r="J1261" t="str">
        <f>IFERROR(__xludf.DUMMYFUNCTION("""COMPUTED_VALUE"""),"bye")</f>
        <v>bye</v>
      </c>
      <c r="L1261">
        <f>IFERROR(__xludf.DUMMYFUNCTION("""COMPUTED_VALUE"""),9999.0)</f>
        <v>9999</v>
      </c>
      <c r="M1261" s="124">
        <v>10.0</v>
      </c>
    </row>
    <row r="1262">
      <c r="A1262" s="151">
        <f>IFERROR(__xludf.DUMMYFUNCTION("""COMPUTED_VALUE"""),43772.14775020833)</f>
        <v>43772.14775</v>
      </c>
      <c r="B1262" t="str">
        <f>IFERROR(__xludf.DUMMYFUNCTION("""COMPUTED_VALUE"""),"Justin")</f>
        <v>Justin</v>
      </c>
      <c r="C1262" s="169" t="str">
        <f>IFERROR(__xludf.DUMMYFUNCTION("""COMPUTED_VALUE"""),"Baylor")</f>
        <v>Baylor</v>
      </c>
      <c r="D1262">
        <f>IFERROR(__xludf.DUMMYFUNCTION("""COMPUTED_VALUE"""),8.0)</f>
        <v>8</v>
      </c>
      <c r="E1262">
        <f>IFERROR(__xludf.DUMMYFUNCTION("""COMPUTED_VALUE"""),0.0)</f>
        <v>0</v>
      </c>
      <c r="F1262" t="str">
        <f>IFERROR(__xludf.DUMMYFUNCTION("""COMPUTED_VALUE"""),"ESPN")</f>
        <v>ESPN</v>
      </c>
      <c r="G1262" t="str">
        <f>IFERROR(__xludf.DUMMYFUNCTION("""COMPUTED_VALUE"""),"West Virginia 14 at (11) Baylor 17")</f>
        <v>West Virginia 14 at (11) Baylor 17</v>
      </c>
      <c r="H1262" t="str">
        <f>IFERROR(__xludf.DUMMYFUNCTION("""COMPUTED_VALUE"""),"FINAL")</f>
        <v>FINAL</v>
      </c>
      <c r="I1262" t="str">
        <f>IFERROR(__xludf.DUMMYFUNCTION("""COMPUTED_VALUE"""),"-17½")</f>
        <v>-17½</v>
      </c>
      <c r="J1262">
        <f>IFERROR(__xludf.DUMMYFUNCTION("""COMPUTED_VALUE"""),57.0)</f>
        <v>57</v>
      </c>
      <c r="K1262" t="str">
        <f>IFERROR(__xludf.DUMMYFUNCTION("""COMPUTED_VALUE"""),"Nico")</f>
        <v>Nico</v>
      </c>
      <c r="L1262" t="str">
        <f>IFERROR(__xludf.DUMMYFUNCTION("""COMPUTED_VALUE"""),"FINAL")</f>
        <v>FINAL</v>
      </c>
      <c r="M1262" s="124">
        <v>10.0</v>
      </c>
    </row>
    <row r="1263">
      <c r="A1263" s="151">
        <f>IFERROR(__xludf.DUMMYFUNCTION("""COMPUTED_VALUE"""),43772.14775020833)</f>
        <v>43772.14775</v>
      </c>
      <c r="B1263" t="str">
        <f>IFERROR(__xludf.DUMMYFUNCTION("""COMPUTED_VALUE"""),"Justin")</f>
        <v>Justin</v>
      </c>
      <c r="C1263" s="169" t="str">
        <f>IFERROR(__xludf.DUMMYFUNCTION("""COMPUTED_VALUE"""),"Appalachian State")</f>
        <v>Appalachian State</v>
      </c>
      <c r="D1263">
        <f>IFERROR(__xludf.DUMMYFUNCTION("""COMPUTED_VALUE"""),7.0)</f>
        <v>7</v>
      </c>
      <c r="E1263">
        <f>IFERROR(__xludf.DUMMYFUNCTION("""COMPUTED_VALUE"""),1.0)</f>
        <v>1</v>
      </c>
      <c r="F1263" t="str">
        <f>IFERROR(__xludf.DUMMYFUNCTION("""COMPUTED_VALUE"""),"NA")</f>
        <v>NA</v>
      </c>
      <c r="G1263" t="str">
        <f>IFERROR(__xludf.DUMMYFUNCTION("""COMPUTED_VALUE"""),"Georgia Southern 24 at (20) Appalachian State 21")</f>
        <v>Georgia Southern 24 at (20) Appalachian State 21</v>
      </c>
      <c r="H1263" t="str">
        <f>IFERROR(__xludf.DUMMYFUNCTION("""COMPUTED_VALUE"""),"FINAL")</f>
        <v>FINAL</v>
      </c>
      <c r="I1263" t="str">
        <f>IFERROR(__xludf.DUMMYFUNCTION("""COMPUTED_VALUE"""),"-16½")</f>
        <v>-16½</v>
      </c>
      <c r="J1263" t="str">
        <f>IFERROR(__xludf.DUMMYFUNCTION("""COMPUTED_VALUE"""),"47½")</f>
        <v>47½</v>
      </c>
      <c r="K1263" t="str">
        <f>IFERROR(__xludf.DUMMYFUNCTION("""COMPUTED_VALUE"""),"Janice/Mike")</f>
        <v>Janice/Mike</v>
      </c>
      <c r="L1263" t="str">
        <f>IFERROR(__xludf.DUMMYFUNCTION("""COMPUTED_VALUE"""),"FINAL")</f>
        <v>FINAL</v>
      </c>
      <c r="M1263" s="124">
        <v>10.0</v>
      </c>
    </row>
    <row r="1264">
      <c r="A1264" s="151">
        <f>IFERROR(__xludf.DUMMYFUNCTION("""COMPUTED_VALUE"""),43772.14775020833)</f>
        <v>43772.14775</v>
      </c>
      <c r="B1264" t="str">
        <f>IFERROR(__xludf.DUMMYFUNCTION("""COMPUTED_VALUE"""),"Justin")</f>
        <v>Justin</v>
      </c>
      <c r="C1264" s="169" t="str">
        <f>IFERROR(__xludf.DUMMYFUNCTION("""COMPUTED_VALUE"""),"Buffalo")</f>
        <v>Buffalo</v>
      </c>
      <c r="D1264">
        <f>IFERROR(__xludf.DUMMYFUNCTION("""COMPUTED_VALUE"""),5.0)</f>
        <v>5</v>
      </c>
      <c r="E1264">
        <f>IFERROR(__xludf.DUMMYFUNCTION("""COMPUTED_VALUE"""),4.0)</f>
        <v>4</v>
      </c>
      <c r="F1264" t="str">
        <f>IFERROR(__xludf.DUMMYFUNCTION("""COMPUTED_VALUE"""),"ESPNU")</f>
        <v>ESPNU</v>
      </c>
      <c r="G1264" t="str">
        <f>IFERROR(__xludf.DUMMYFUNCTION("""COMPUTED_VALUE"""),"Buffalo 43 at EMU 14")</f>
        <v>Buffalo 43 at EMU 14</v>
      </c>
      <c r="H1264" t="str">
        <f>IFERROR(__xludf.DUMMYFUNCTION("""COMPUTED_VALUE"""),"FINAL")</f>
        <v>FINAL</v>
      </c>
      <c r="I1264">
        <f>IFERROR(__xludf.DUMMYFUNCTION("""COMPUTED_VALUE"""),2.0)</f>
        <v>2</v>
      </c>
      <c r="J1264" t="str">
        <f>IFERROR(__xludf.DUMMYFUNCTION("""COMPUTED_VALUE"""),"50½")</f>
        <v>50½</v>
      </c>
      <c r="K1264" t="str">
        <f>IFERROR(__xludf.DUMMYFUNCTION("""COMPUTED_VALUE"""),"Brad")</f>
        <v>Brad</v>
      </c>
      <c r="L1264" t="str">
        <f>IFERROR(__xludf.DUMMYFUNCTION("""COMPUTED_VALUE"""),"FINAL")</f>
        <v>FINAL</v>
      </c>
      <c r="M1264" s="124">
        <v>10.0</v>
      </c>
    </row>
    <row r="1265">
      <c r="A1265" s="151">
        <f>IFERROR(__xludf.DUMMYFUNCTION("""COMPUTED_VALUE"""),43772.14775020833)</f>
        <v>43772.14775</v>
      </c>
      <c r="B1265" t="str">
        <f>IFERROR(__xludf.DUMMYFUNCTION("""COMPUTED_VALUE"""),"Justin")</f>
        <v>Justin</v>
      </c>
      <c r="C1265" s="169" t="str">
        <f>IFERROR(__xludf.DUMMYFUNCTION("""COMPUTED_VALUE"""),"UNLV")</f>
        <v>UNLV</v>
      </c>
      <c r="D1265">
        <f>IFERROR(__xludf.DUMMYFUNCTION("""COMPUTED_VALUE"""),2.0)</f>
        <v>2</v>
      </c>
      <c r="E1265">
        <f>IFERROR(__xludf.DUMMYFUNCTION("""COMPUTED_VALUE"""),7.0)</f>
        <v>7</v>
      </c>
      <c r="F1265" t="str">
        <f>IFERROR(__xludf.DUMMYFUNCTION("""COMPUTED_VALUE"""),"ATTRM")</f>
        <v>ATTRM</v>
      </c>
      <c r="G1265" t="str">
        <f>IFERROR(__xludf.DUMMYFUNCTION("""COMPUTED_VALUE"""),"UNLV 17 at Colorado State 37")</f>
        <v>UNLV 17 at Colorado State 37</v>
      </c>
      <c r="H1265" t="str">
        <f>IFERROR(__xludf.DUMMYFUNCTION("""COMPUTED_VALUE"""),"FINAL")</f>
        <v>FINAL</v>
      </c>
      <c r="I1265" t="str">
        <f>IFERROR(__xludf.DUMMYFUNCTION("""COMPUTED_VALUE"""),"7½")</f>
        <v>7½</v>
      </c>
      <c r="J1265" t="str">
        <f>IFERROR(__xludf.DUMMYFUNCTION("""COMPUTED_VALUE"""),"62½")</f>
        <v>62½</v>
      </c>
      <c r="K1265" t="str">
        <f>IFERROR(__xludf.DUMMYFUNCTION("""COMPUTED_VALUE"""),"Brad")</f>
        <v>Brad</v>
      </c>
      <c r="L1265" t="str">
        <f>IFERROR(__xludf.DUMMYFUNCTION("""COMPUTED_VALUE"""),"FINAL")</f>
        <v>FINAL</v>
      </c>
      <c r="M1265" s="124">
        <v>10.0</v>
      </c>
    </row>
    <row r="1266">
      <c r="A1266" s="151">
        <f>IFERROR(__xludf.DUMMYFUNCTION("""COMPUTED_VALUE"""),43772.14775020833)</f>
        <v>43772.14775</v>
      </c>
      <c r="B1266" t="str">
        <f>IFERROR(__xludf.DUMMYFUNCTION("""COMPUTED_VALUE"""),"Justin")</f>
        <v>Justin</v>
      </c>
      <c r="C1266" s="169" t="str">
        <f>IFERROR(__xludf.DUMMYFUNCTION("""COMPUTED_VALUE"""),"Western Kentucky")</f>
        <v>Western Kentucky</v>
      </c>
      <c r="D1266">
        <f>IFERROR(__xludf.DUMMYFUNCTION("""COMPUTED_VALUE"""),5.0)</f>
        <v>5</v>
      </c>
      <c r="E1266">
        <f>IFERROR(__xludf.DUMMYFUNCTION("""COMPUTED_VALUE"""),4.0)</f>
        <v>4</v>
      </c>
      <c r="F1266" t="str">
        <f>IFERROR(__xludf.DUMMYFUNCTION("""COMPUTED_VALUE"""),"espn+ Video")</f>
        <v>espn+ Video</v>
      </c>
      <c r="G1266" t="str">
        <f>IFERROR(__xludf.DUMMYFUNCTION("""COMPUTED_VALUE"""),"Florida Atlantic 35 at Western Kentucky 24")</f>
        <v>Florida Atlantic 35 at Western Kentucky 24</v>
      </c>
      <c r="H1266" t="str">
        <f>IFERROR(__xludf.DUMMYFUNCTION("""COMPUTED_VALUE"""),"FINAL")</f>
        <v>FINAL</v>
      </c>
      <c r="I1266">
        <f>IFERROR(__xludf.DUMMYFUNCTION("""COMPUTED_VALUE"""),-3.0)</f>
        <v>-3</v>
      </c>
      <c r="J1266">
        <f>IFERROR(__xludf.DUMMYFUNCTION("""COMPUTED_VALUE"""),48.0)</f>
        <v>48</v>
      </c>
      <c r="K1266" t="str">
        <f>IFERROR(__xludf.DUMMYFUNCTION("""COMPUTED_VALUE"""),"Nick G.")</f>
        <v>Nick G.</v>
      </c>
      <c r="L1266" t="str">
        <f>IFERROR(__xludf.DUMMYFUNCTION("""COMPUTED_VALUE"""),"FINAL")</f>
        <v>FINAL</v>
      </c>
      <c r="M1266" s="124">
        <v>10.0</v>
      </c>
    </row>
    <row r="1267">
      <c r="A1267" s="151">
        <f>IFERROR(__xludf.DUMMYFUNCTION("""COMPUTED_VALUE"""),43772.14775020833)</f>
        <v>43772.14775</v>
      </c>
      <c r="B1267" t="str">
        <f>IFERROR(__xludf.DUMMYFUNCTION("""COMPUTED_VALUE"""),"Justin")</f>
        <v>Justin</v>
      </c>
      <c r="C1267" s="169" t="str">
        <f>IFERROR(__xludf.DUMMYFUNCTION("""COMPUTED_VALUE"""),"Tennessee")</f>
        <v>Tennessee</v>
      </c>
      <c r="D1267">
        <f>IFERROR(__xludf.DUMMYFUNCTION("""COMPUTED_VALUE"""),4.0)</f>
        <v>4</v>
      </c>
      <c r="E1267">
        <f>IFERROR(__xludf.DUMMYFUNCTION("""COMPUTED_VALUE"""),5.0)</f>
        <v>5</v>
      </c>
      <c r="F1267" t="str">
        <f>IFERROR(__xludf.DUMMYFUNCTION("""COMPUTED_VALUE"""),"ESPNU")</f>
        <v>ESPNU</v>
      </c>
      <c r="G1267" t="str">
        <f>IFERROR(__xludf.DUMMYFUNCTION("""COMPUTED_VALUE"""),"UAB 7 at Tennessee 30")</f>
        <v>UAB 7 at Tennessee 30</v>
      </c>
      <c r="H1267" t="str">
        <f>IFERROR(__xludf.DUMMYFUNCTION("""COMPUTED_VALUE"""),"FINAL")</f>
        <v>FINAL</v>
      </c>
      <c r="I1267" t="str">
        <f>IFERROR(__xludf.DUMMYFUNCTION("""COMPUTED_VALUE"""),"-10½")</f>
        <v>-10½</v>
      </c>
      <c r="J1267" t="str">
        <f>IFERROR(__xludf.DUMMYFUNCTION("""COMPUTED_VALUE"""),"47½")</f>
        <v>47½</v>
      </c>
      <c r="K1267" t="str">
        <f>IFERROR(__xludf.DUMMYFUNCTION("""COMPUTED_VALUE"""),"Jeannine")</f>
        <v>Jeannine</v>
      </c>
      <c r="L1267" t="str">
        <f>IFERROR(__xludf.DUMMYFUNCTION("""COMPUTED_VALUE"""),"FINAL")</f>
        <v>FINAL</v>
      </c>
      <c r="M1267" s="124">
        <v>10.0</v>
      </c>
    </row>
    <row r="1268">
      <c r="A1268" s="151">
        <f>IFERROR(__xludf.DUMMYFUNCTION("""COMPUTED_VALUE"""),43772.14775020833)</f>
        <v>43772.14775</v>
      </c>
      <c r="B1268" t="str">
        <f>IFERROR(__xludf.DUMMYFUNCTION("""COMPUTED_VALUE"""),"Justin")</f>
        <v>Justin</v>
      </c>
      <c r="C1268" s="169" t="str">
        <f>IFERROR(__xludf.DUMMYFUNCTION("""COMPUTED_VALUE"""),"Oregon")</f>
        <v>Oregon</v>
      </c>
      <c r="D1268">
        <f>IFERROR(__xludf.DUMMYFUNCTION("""COMPUTED_VALUE"""),8.0)</f>
        <v>8</v>
      </c>
      <c r="E1268">
        <f>IFERROR(__xludf.DUMMYFUNCTION("""COMPUTED_VALUE"""),1.0)</f>
        <v>1</v>
      </c>
      <c r="F1268" t="str">
        <f>IFERROR(__xludf.DUMMYFUNCTION("""COMPUTED_VALUE"""),"FOX")</f>
        <v>FOX</v>
      </c>
      <c r="G1268" t="str">
        <f>IFERROR(__xludf.DUMMYFUNCTION("""COMPUTED_VALUE"""),"(8) Oregon 56 at USC 24")</f>
        <v>(8) Oregon 56 at USC 24</v>
      </c>
      <c r="H1268" t="str">
        <f>IFERROR(__xludf.DUMMYFUNCTION("""COMPUTED_VALUE"""),"FINAL")</f>
        <v>FINAL</v>
      </c>
      <c r="I1268">
        <f>IFERROR(__xludf.DUMMYFUNCTION("""COMPUTED_VALUE"""),-5.0)</f>
        <v>-5</v>
      </c>
      <c r="J1268" t="str">
        <f>IFERROR(__xludf.DUMMYFUNCTION("""COMPUTED_VALUE"""),"61½")</f>
        <v>61½</v>
      </c>
      <c r="K1268" t="str">
        <f>IFERROR(__xludf.DUMMYFUNCTION("""COMPUTED_VALUE"""),"Josh R.")</f>
        <v>Josh R.</v>
      </c>
      <c r="L1268" t="str">
        <f>IFERROR(__xludf.DUMMYFUNCTION("""COMPUTED_VALUE"""),"FINAL")</f>
        <v>FINAL</v>
      </c>
      <c r="M1268" s="124">
        <v>10.0</v>
      </c>
    </row>
    <row r="1269">
      <c r="A1269" s="151">
        <f>IFERROR(__xludf.DUMMYFUNCTION("""COMPUTED_VALUE"""),43772.14775020833)</f>
        <v>43772.14775</v>
      </c>
      <c r="B1269" t="str">
        <f>IFERROR(__xludf.DUMMYFUNCTION("""COMPUTED_VALUE"""),"Justin")</f>
        <v>Justin</v>
      </c>
      <c r="C1269" s="169" t="str">
        <f>IFERROR(__xludf.DUMMYFUNCTION("""COMPUTED_VALUE"""),"Iowa")</f>
        <v>Iowa</v>
      </c>
      <c r="D1269">
        <f>IFERROR(__xludf.DUMMYFUNCTION("""COMPUTED_VALUE"""),6.0)</f>
        <v>6</v>
      </c>
      <c r="E1269">
        <f>IFERROR(__xludf.DUMMYFUNCTION("""COMPUTED_VALUE"""),2.0)</f>
        <v>2</v>
      </c>
      <c r="F1269" t="str">
        <f>IFERROR(__xludf.DUMMYFUNCTION("""COMPUTED_VALUE"""),"NA")</f>
        <v>NA</v>
      </c>
      <c r="G1269" t="str">
        <f>IFERROR(__xludf.DUMMYFUNCTION("""COMPUTED_VALUE"""),"BYE")</f>
        <v>BYE</v>
      </c>
      <c r="I1269" t="str">
        <f>IFERROR(__xludf.DUMMYFUNCTION("""COMPUTED_VALUE"""),"bye")</f>
        <v>bye</v>
      </c>
      <c r="J1269" t="str">
        <f>IFERROR(__xludf.DUMMYFUNCTION("""COMPUTED_VALUE"""),"bye")</f>
        <v>bye</v>
      </c>
      <c r="L1269">
        <f>IFERROR(__xludf.DUMMYFUNCTION("""COMPUTED_VALUE"""),9999.0)</f>
        <v>9999</v>
      </c>
      <c r="M1269" s="124">
        <v>10.0</v>
      </c>
    </row>
    <row r="1270">
      <c r="A1270" s="151">
        <f>IFERROR(__xludf.DUMMYFUNCTION("""COMPUTED_VALUE"""),43772.14775020833)</f>
        <v>43772.14775</v>
      </c>
      <c r="B1270" t="str">
        <f>IFERROR(__xludf.DUMMYFUNCTION("""COMPUTED_VALUE"""),"Justin")</f>
        <v>Justin</v>
      </c>
      <c r="C1270" s="169" t="str">
        <f>IFERROR(__xludf.DUMMYFUNCTION("""COMPUTED_VALUE"""),"South Florida")</f>
        <v>South Florida</v>
      </c>
      <c r="D1270">
        <f>IFERROR(__xludf.DUMMYFUNCTION("""COMPUTED_VALUE"""),4.0)</f>
        <v>4</v>
      </c>
      <c r="E1270">
        <f>IFERROR(__xludf.DUMMYFUNCTION("""COMPUTED_VALUE"""),4.0)</f>
        <v>4</v>
      </c>
      <c r="F1270" t="str">
        <f>IFERROR(__xludf.DUMMYFUNCTION("""COMPUTED_VALUE"""),"NA")</f>
        <v>NA</v>
      </c>
      <c r="G1270" t="str">
        <f>IFERROR(__xludf.DUMMYFUNCTION("""COMPUTED_VALUE"""),"BYE")</f>
        <v>BYE</v>
      </c>
      <c r="I1270" t="str">
        <f>IFERROR(__xludf.DUMMYFUNCTION("""COMPUTED_VALUE"""),"bye")</f>
        <v>bye</v>
      </c>
      <c r="J1270" t="str">
        <f>IFERROR(__xludf.DUMMYFUNCTION("""COMPUTED_VALUE"""),"bye")</f>
        <v>bye</v>
      </c>
      <c r="L1270">
        <f>IFERROR(__xludf.DUMMYFUNCTION("""COMPUTED_VALUE"""),9999.0)</f>
        <v>9999</v>
      </c>
      <c r="M1270" s="124">
        <v>10.0</v>
      </c>
    </row>
    <row r="1271">
      <c r="A1271" s="151">
        <f>IFERROR(__xludf.DUMMYFUNCTION("""COMPUTED_VALUE"""),43772.14775020833)</f>
        <v>43772.14775</v>
      </c>
      <c r="B1271" t="str">
        <f>IFERROR(__xludf.DUMMYFUNCTION("""COMPUTED_VALUE"""),"Justin")</f>
        <v>Justin</v>
      </c>
      <c r="C1271" s="169" t="str">
        <f>IFERROR(__xludf.DUMMYFUNCTION("""COMPUTED_VALUE"""),"Duke")</f>
        <v>Duke</v>
      </c>
      <c r="D1271">
        <f>IFERROR(__xludf.DUMMYFUNCTION("""COMPUTED_VALUE"""),4.0)</f>
        <v>4</v>
      </c>
      <c r="E1271">
        <f>IFERROR(__xludf.DUMMYFUNCTION("""COMPUTED_VALUE"""),4.0)</f>
        <v>4</v>
      </c>
      <c r="F1271" t="str">
        <f>IFERROR(__xludf.DUMMYFUNCTION("""COMPUTED_VALUE"""),"NA")</f>
        <v>NA</v>
      </c>
      <c r="G1271" t="str">
        <f>IFERROR(__xludf.DUMMYFUNCTION("""COMPUTED_VALUE"""),"BYE")</f>
        <v>BYE</v>
      </c>
      <c r="I1271" t="str">
        <f>IFERROR(__xludf.DUMMYFUNCTION("""COMPUTED_VALUE"""),"bye")</f>
        <v>bye</v>
      </c>
      <c r="J1271" t="str">
        <f>IFERROR(__xludf.DUMMYFUNCTION("""COMPUTED_VALUE"""),"bye")</f>
        <v>bye</v>
      </c>
      <c r="L1271">
        <f>IFERROR(__xludf.DUMMYFUNCTION("""COMPUTED_VALUE"""),9999.0)</f>
        <v>9999</v>
      </c>
      <c r="M1271" s="124">
        <v>10.0</v>
      </c>
    </row>
    <row r="1272">
      <c r="A1272" s="151">
        <f>IFERROR(__xludf.DUMMYFUNCTION("""COMPUTED_VALUE"""),43772.14775020833)</f>
        <v>43772.14775</v>
      </c>
      <c r="B1272" t="str">
        <f>IFERROR(__xludf.DUMMYFUNCTION("""COMPUTED_VALUE"""),"Adam")</f>
        <v>Adam</v>
      </c>
      <c r="C1272" s="169" t="str">
        <f>IFERROR(__xludf.DUMMYFUNCTION("""COMPUTED_VALUE"""),"Wake Forest")</f>
        <v>Wake Forest</v>
      </c>
      <c r="D1272">
        <f>IFERROR(__xludf.DUMMYFUNCTION("""COMPUTED_VALUE"""),7.0)</f>
        <v>7</v>
      </c>
      <c r="E1272">
        <f>IFERROR(__xludf.DUMMYFUNCTION("""COMPUTED_VALUE"""),1.0)</f>
        <v>1</v>
      </c>
      <c r="F1272" t="str">
        <f>IFERROR(__xludf.DUMMYFUNCTION("""COMPUTED_VALUE"""),"ESPN")</f>
        <v>ESPN</v>
      </c>
      <c r="G1272" t="str">
        <f>IFERROR(__xludf.DUMMYFUNCTION("""COMPUTED_VALUE"""),"NC State 10 at (22) Wake Forest 44")</f>
        <v>NC State 10 at (22) Wake Forest 44</v>
      </c>
      <c r="H1272" t="str">
        <f>IFERROR(__xludf.DUMMYFUNCTION("""COMPUTED_VALUE"""),"FINAL")</f>
        <v>FINAL</v>
      </c>
      <c r="I1272" t="str">
        <f>IFERROR(__xludf.DUMMYFUNCTION("""COMPUTED_VALUE"""),"-7½")</f>
        <v>-7½</v>
      </c>
      <c r="J1272">
        <f>IFERROR(__xludf.DUMMYFUNCTION("""COMPUTED_VALUE"""),61.0)</f>
        <v>61</v>
      </c>
      <c r="K1272" t="str">
        <f>IFERROR(__xludf.DUMMYFUNCTION("""COMPUTED_VALUE"""),"Nick G.")</f>
        <v>Nick G.</v>
      </c>
      <c r="L1272" t="str">
        <f>IFERROR(__xludf.DUMMYFUNCTION("""COMPUTED_VALUE"""),"FINAL")</f>
        <v>FINAL</v>
      </c>
      <c r="M1272" s="124">
        <v>10.0</v>
      </c>
    </row>
    <row r="1273">
      <c r="A1273" s="151">
        <f>IFERROR(__xludf.DUMMYFUNCTION("""COMPUTED_VALUE"""),43772.14775020833)</f>
        <v>43772.14775</v>
      </c>
      <c r="B1273" t="str">
        <f>IFERROR(__xludf.DUMMYFUNCTION("""COMPUTED_VALUE"""),"Adam")</f>
        <v>Adam</v>
      </c>
      <c r="C1273" s="169" t="str">
        <f>IFERROR(__xludf.DUMMYFUNCTION("""COMPUTED_VALUE"""),"UCF")</f>
        <v>UCF</v>
      </c>
      <c r="D1273">
        <f>IFERROR(__xludf.DUMMYFUNCTION("""COMPUTED_VALUE"""),7.0)</f>
        <v>7</v>
      </c>
      <c r="E1273">
        <f>IFERROR(__xludf.DUMMYFUNCTION("""COMPUTED_VALUE"""),2.0)</f>
        <v>2</v>
      </c>
      <c r="F1273" t="str">
        <f>IFERROR(__xludf.DUMMYFUNCTION("""COMPUTED_VALUE"""),"ESPN2")</f>
        <v>ESPN2</v>
      </c>
      <c r="G1273" t="str">
        <f>IFERROR(__xludf.DUMMYFUNCTION("""COMPUTED_VALUE"""),"Houston 29 at UCF 44")</f>
        <v>Houston 29 at UCF 44</v>
      </c>
      <c r="H1273" t="str">
        <f>IFERROR(__xludf.DUMMYFUNCTION("""COMPUTED_VALUE"""),"FINAL")</f>
        <v>FINAL</v>
      </c>
      <c r="I1273">
        <f>IFERROR(__xludf.DUMMYFUNCTION("""COMPUTED_VALUE"""),-23.0)</f>
        <v>-23</v>
      </c>
      <c r="J1273" t="str">
        <f>IFERROR(__xludf.DUMMYFUNCTION("""COMPUTED_VALUE"""),"69½")</f>
        <v>69½</v>
      </c>
      <c r="K1273" t="str">
        <f>IFERROR(__xludf.DUMMYFUNCTION("""COMPUTED_VALUE"""),"Nico")</f>
        <v>Nico</v>
      </c>
      <c r="L1273" t="str">
        <f>IFERROR(__xludf.DUMMYFUNCTION("""COMPUTED_VALUE"""),"FINAL")</f>
        <v>FINAL</v>
      </c>
      <c r="M1273" s="124">
        <v>10.0</v>
      </c>
    </row>
    <row r="1274">
      <c r="A1274" s="151">
        <f>IFERROR(__xludf.DUMMYFUNCTION("""COMPUTED_VALUE"""),43772.14775020833)</f>
        <v>43772.14775</v>
      </c>
      <c r="B1274" t="str">
        <f>IFERROR(__xludf.DUMMYFUNCTION("""COMPUTED_VALUE"""),"Adam")</f>
        <v>Adam</v>
      </c>
      <c r="C1274" s="169" t="str">
        <f>IFERROR(__xludf.DUMMYFUNCTION("""COMPUTED_VALUE"""),"Florida Intl")</f>
        <v>Florida Intl</v>
      </c>
      <c r="D1274">
        <f>IFERROR(__xludf.DUMMYFUNCTION("""COMPUTED_VALUE"""),5.0)</f>
        <v>5</v>
      </c>
      <c r="E1274">
        <f>IFERROR(__xludf.DUMMYFUNCTION("""COMPUTED_VALUE"""),4.0)</f>
        <v>4</v>
      </c>
      <c r="F1274" t="str">
        <f>IFERROR(__xludf.DUMMYFUNCTION("""COMPUTED_VALUE"""),"NA")</f>
        <v>NA</v>
      </c>
      <c r="G1274" t="str">
        <f>IFERROR(__xludf.DUMMYFUNCTION("""COMPUTED_VALUE"""),"Old Dominion 17 at Florida Intl 24")</f>
        <v>Old Dominion 17 at Florida Intl 24</v>
      </c>
      <c r="H1274" t="str">
        <f>IFERROR(__xludf.DUMMYFUNCTION("""COMPUTED_VALUE"""),"FINAL")</f>
        <v>FINAL</v>
      </c>
      <c r="I1274">
        <f>IFERROR(__xludf.DUMMYFUNCTION("""COMPUTED_VALUE"""),-17.0)</f>
        <v>-17</v>
      </c>
      <c r="J1274">
        <f>IFERROR(__xludf.DUMMYFUNCTION("""COMPUTED_VALUE"""),49.0)</f>
        <v>49</v>
      </c>
      <c r="K1274" t="str">
        <f>IFERROR(__xludf.DUMMYFUNCTION("""COMPUTED_VALUE"""),"Nick A.")</f>
        <v>Nick A.</v>
      </c>
      <c r="L1274" t="str">
        <f>IFERROR(__xludf.DUMMYFUNCTION("""COMPUTED_VALUE"""),"FINAL")</f>
        <v>FINAL</v>
      </c>
      <c r="M1274" s="124">
        <v>10.0</v>
      </c>
    </row>
    <row r="1275">
      <c r="A1275" s="151">
        <f>IFERROR(__xludf.DUMMYFUNCTION("""COMPUTED_VALUE"""),43772.14775020833)</f>
        <v>43772.14775</v>
      </c>
      <c r="B1275" t="str">
        <f>IFERROR(__xludf.DUMMYFUNCTION("""COMPUTED_VALUE"""),"Adam")</f>
        <v>Adam</v>
      </c>
      <c r="C1275" s="169" t="str">
        <f>IFERROR(__xludf.DUMMYFUNCTION("""COMPUTED_VALUE"""),"Akron")</f>
        <v>Akron</v>
      </c>
      <c r="D1275">
        <f>IFERROR(__xludf.DUMMYFUNCTION("""COMPUTED_VALUE"""),0.0)</f>
        <v>0</v>
      </c>
      <c r="E1275">
        <f>IFERROR(__xludf.DUMMYFUNCTION("""COMPUTED_VALUE"""),9.0)</f>
        <v>9</v>
      </c>
      <c r="F1275" t="str">
        <f>IFERROR(__xludf.DUMMYFUNCTION("""COMPUTED_VALUE"""),"espn+ Video")</f>
        <v>espn+ Video</v>
      </c>
      <c r="G1275" t="str">
        <f>IFERROR(__xludf.DUMMYFUNCTION("""COMPUTED_VALUE"""),"Akron 6 at Bowling Green 35")</f>
        <v>Akron 6 at Bowling Green 35</v>
      </c>
      <c r="H1275" t="str">
        <f>IFERROR(__xludf.DUMMYFUNCTION("""COMPUTED_VALUE"""),"FINAL")</f>
        <v>FINAL</v>
      </c>
      <c r="I1275">
        <f>IFERROR(__xludf.DUMMYFUNCTION("""COMPUTED_VALUE"""),6.0)</f>
        <v>6</v>
      </c>
      <c r="J1275">
        <f>IFERROR(__xludf.DUMMYFUNCTION("""COMPUTED_VALUE"""),50.0)</f>
        <v>50</v>
      </c>
      <c r="K1275" t="str">
        <f>IFERROR(__xludf.DUMMYFUNCTION("""COMPUTED_VALUE"""),"Nick A.")</f>
        <v>Nick A.</v>
      </c>
      <c r="L1275" t="str">
        <f>IFERROR(__xludf.DUMMYFUNCTION("""COMPUTED_VALUE"""),"FINAL")</f>
        <v>FINAL</v>
      </c>
      <c r="M1275" s="124">
        <v>10.0</v>
      </c>
    </row>
    <row r="1276">
      <c r="A1276" s="151">
        <f>IFERROR(__xludf.DUMMYFUNCTION("""COMPUTED_VALUE"""),43772.14775020833)</f>
        <v>43772.14775</v>
      </c>
      <c r="B1276" t="str">
        <f>IFERROR(__xludf.DUMMYFUNCTION("""COMPUTED_VALUE"""),"Adam")</f>
        <v>Adam</v>
      </c>
      <c r="C1276" s="169" t="str">
        <f>IFERROR(__xludf.DUMMYFUNCTION("""COMPUTED_VALUE"""),"Florida")</f>
        <v>Florida</v>
      </c>
      <c r="D1276">
        <f>IFERROR(__xludf.DUMMYFUNCTION("""COMPUTED_VALUE"""),7.0)</f>
        <v>7</v>
      </c>
      <c r="E1276">
        <f>IFERROR(__xludf.DUMMYFUNCTION("""COMPUTED_VALUE"""),2.0)</f>
        <v>2</v>
      </c>
      <c r="F1276" t="str">
        <f>IFERROR(__xludf.DUMMYFUNCTION("""COMPUTED_VALUE"""),"CBS")</f>
        <v>CBS</v>
      </c>
      <c r="G1276" t="str">
        <f>IFERROR(__xludf.DUMMYFUNCTION("""COMPUTED_VALUE"""),"(7) Georgia 24 at (6) Florida 17")</f>
        <v>(7) Georgia 24 at (6) Florida 17</v>
      </c>
      <c r="H1276" t="str">
        <f>IFERROR(__xludf.DUMMYFUNCTION("""COMPUTED_VALUE"""),"FINAL")</f>
        <v>FINAL</v>
      </c>
      <c r="I1276" t="str">
        <f>IFERROR(__xludf.DUMMYFUNCTION("""COMPUTED_VALUE"""),"5½")</f>
        <v>5½</v>
      </c>
      <c r="J1276">
        <f>IFERROR(__xludf.DUMMYFUNCTION("""COMPUTED_VALUE"""),47.0)</f>
        <v>47</v>
      </c>
      <c r="K1276" t="str">
        <f>IFERROR(__xludf.DUMMYFUNCTION("""COMPUTED_VALUE"""),"Nico")</f>
        <v>Nico</v>
      </c>
      <c r="L1276" t="str">
        <f>IFERROR(__xludf.DUMMYFUNCTION("""COMPUTED_VALUE"""),"FINAL")</f>
        <v>FINAL</v>
      </c>
      <c r="M1276" s="124">
        <v>10.0</v>
      </c>
    </row>
    <row r="1277">
      <c r="A1277" s="151">
        <f>IFERROR(__xludf.DUMMYFUNCTION("""COMPUTED_VALUE"""),43772.14775020833)</f>
        <v>43772.14775</v>
      </c>
      <c r="B1277" t="str">
        <f>IFERROR(__xludf.DUMMYFUNCTION("""COMPUTED_VALUE"""),"Adam")</f>
        <v>Adam</v>
      </c>
      <c r="C1277" s="169" t="str">
        <f>IFERROR(__xludf.DUMMYFUNCTION("""COMPUTED_VALUE"""),"Air Force")</f>
        <v>Air Force</v>
      </c>
      <c r="D1277">
        <f>IFERROR(__xludf.DUMMYFUNCTION("""COMPUTED_VALUE"""),7.0)</f>
        <v>7</v>
      </c>
      <c r="E1277">
        <f>IFERROR(__xludf.DUMMYFUNCTION("""COMPUTED_VALUE"""),2.0)</f>
        <v>2</v>
      </c>
      <c r="F1277" t="str">
        <f>IFERROR(__xludf.DUMMYFUNCTION("""COMPUTED_VALUE"""),"CBSSN")</f>
        <v>CBSSN</v>
      </c>
      <c r="G1277" t="str">
        <f>IFERROR(__xludf.DUMMYFUNCTION("""COMPUTED_VALUE"""),"Army 13 at Air Force 17")</f>
        <v>Army 13 at Air Force 17</v>
      </c>
      <c r="H1277" t="str">
        <f>IFERROR(__xludf.DUMMYFUNCTION("""COMPUTED_VALUE"""),"FINAL")</f>
        <v>FINAL</v>
      </c>
      <c r="I1277" t="str">
        <f>IFERROR(__xludf.DUMMYFUNCTION("""COMPUTED_VALUE"""),"-14½")</f>
        <v>-14½</v>
      </c>
      <c r="J1277" t="str">
        <f>IFERROR(__xludf.DUMMYFUNCTION("""COMPUTED_VALUE"""),"45½")</f>
        <v>45½</v>
      </c>
      <c r="K1277" t="str">
        <f>IFERROR(__xludf.DUMMYFUNCTION("""COMPUTED_VALUE"""),"Josh R.")</f>
        <v>Josh R.</v>
      </c>
      <c r="L1277" t="str">
        <f>IFERROR(__xludf.DUMMYFUNCTION("""COMPUTED_VALUE"""),"FINAL")</f>
        <v>FINAL</v>
      </c>
      <c r="M1277" s="124">
        <v>10.0</v>
      </c>
    </row>
    <row r="1278">
      <c r="A1278" s="151">
        <f>IFERROR(__xludf.DUMMYFUNCTION("""COMPUTED_VALUE"""),43772.14775020833)</f>
        <v>43772.14775</v>
      </c>
      <c r="B1278" t="str">
        <f>IFERROR(__xludf.DUMMYFUNCTION("""COMPUTED_VALUE"""),"Adam")</f>
        <v>Adam</v>
      </c>
      <c r="C1278" s="169" t="str">
        <f>IFERROR(__xludf.DUMMYFUNCTION("""COMPUTED_VALUE"""),"Oregon State")</f>
        <v>Oregon State</v>
      </c>
      <c r="D1278">
        <f>IFERROR(__xludf.DUMMYFUNCTION("""COMPUTED_VALUE"""),4.0)</f>
        <v>4</v>
      </c>
      <c r="E1278">
        <f>IFERROR(__xludf.DUMMYFUNCTION("""COMPUTED_VALUE"""),4.0)</f>
        <v>4</v>
      </c>
      <c r="F1278" t="str">
        <f>IFERROR(__xludf.DUMMYFUNCTION("""COMPUTED_VALUE"""),"Pac-12")</f>
        <v>Pac-12</v>
      </c>
      <c r="G1278" t="str">
        <f>IFERROR(__xludf.DUMMYFUNCTION("""COMPUTED_VALUE"""),"Oregon State 56 at Arizona 38")</f>
        <v>Oregon State 56 at Arizona 38</v>
      </c>
      <c r="H1278" t="str">
        <f>IFERROR(__xludf.DUMMYFUNCTION("""COMPUTED_VALUE"""),"FINAL")</f>
        <v>FINAL</v>
      </c>
      <c r="I1278" t="str">
        <f>IFERROR(__xludf.DUMMYFUNCTION("""COMPUTED_VALUE"""),"5½")</f>
        <v>5½</v>
      </c>
      <c r="J1278">
        <f>IFERROR(__xludf.DUMMYFUNCTION("""COMPUTED_VALUE"""),71.0)</f>
        <v>71</v>
      </c>
      <c r="K1278" t="str">
        <f>IFERROR(__xludf.DUMMYFUNCTION("""COMPUTED_VALUE"""),"Janice/Mike")</f>
        <v>Janice/Mike</v>
      </c>
      <c r="L1278" t="str">
        <f>IFERROR(__xludf.DUMMYFUNCTION("""COMPUTED_VALUE"""),"FINAL")</f>
        <v>FINAL</v>
      </c>
      <c r="M1278" s="124">
        <v>10.0</v>
      </c>
    </row>
    <row r="1279">
      <c r="A1279" s="151">
        <f>IFERROR(__xludf.DUMMYFUNCTION("""COMPUTED_VALUE"""),43772.14775020833)</f>
        <v>43772.14775</v>
      </c>
      <c r="B1279" t="str">
        <f>IFERROR(__xludf.DUMMYFUNCTION("""COMPUTED_VALUE"""),"Adam")</f>
        <v>Adam</v>
      </c>
      <c r="C1279" s="169" t="str">
        <f>IFERROR(__xludf.DUMMYFUNCTION("""COMPUTED_VALUE"""),"Northwestern")</f>
        <v>Northwestern</v>
      </c>
      <c r="D1279">
        <f>IFERROR(__xludf.DUMMYFUNCTION("""COMPUTED_VALUE"""),1.0)</f>
        <v>1</v>
      </c>
      <c r="E1279">
        <f>IFERROR(__xludf.DUMMYFUNCTION("""COMPUTED_VALUE"""),7.0)</f>
        <v>7</v>
      </c>
      <c r="F1279" t="str">
        <f>IFERROR(__xludf.DUMMYFUNCTION("""COMPUTED_VALUE"""),"FS1")</f>
        <v>FS1</v>
      </c>
      <c r="G1279" t="str">
        <f>IFERROR(__xludf.DUMMYFUNCTION("""COMPUTED_VALUE"""),"Northwestern 3 at Indiana 34")</f>
        <v>Northwestern 3 at Indiana 34</v>
      </c>
      <c r="H1279" t="str">
        <f>IFERROR(__xludf.DUMMYFUNCTION("""COMPUTED_VALUE"""),"FINAL")</f>
        <v>FINAL</v>
      </c>
      <c r="I1279" t="str">
        <f>IFERROR(__xludf.DUMMYFUNCTION("""COMPUTED_VALUE"""),"12½")</f>
        <v>12½</v>
      </c>
      <c r="J1279" t="str">
        <f>IFERROR(__xludf.DUMMYFUNCTION("""COMPUTED_VALUE"""),"45½")</f>
        <v>45½</v>
      </c>
      <c r="K1279" t="str">
        <f>IFERROR(__xludf.DUMMYFUNCTION("""COMPUTED_VALUE"""),"Brad")</f>
        <v>Brad</v>
      </c>
      <c r="L1279" t="str">
        <f>IFERROR(__xludf.DUMMYFUNCTION("""COMPUTED_VALUE"""),"FINAL")</f>
        <v>FINAL</v>
      </c>
      <c r="M1279" s="124">
        <v>10.0</v>
      </c>
    </row>
    <row r="1280">
      <c r="A1280" s="151">
        <f>IFERROR(__xludf.DUMMYFUNCTION("""COMPUTED_VALUE"""),43772.14775020833)</f>
        <v>43772.14775</v>
      </c>
      <c r="B1280" t="str">
        <f>IFERROR(__xludf.DUMMYFUNCTION("""COMPUTED_VALUE"""),"Adam")</f>
        <v>Adam</v>
      </c>
      <c r="C1280" s="169" t="str">
        <f>IFERROR(__xludf.DUMMYFUNCTION("""COMPUTED_VALUE"""),"Texas")</f>
        <v>Texas</v>
      </c>
      <c r="D1280">
        <f>IFERROR(__xludf.DUMMYFUNCTION("""COMPUTED_VALUE"""),5.0)</f>
        <v>5</v>
      </c>
      <c r="E1280">
        <f>IFERROR(__xludf.DUMMYFUNCTION("""COMPUTED_VALUE"""),3.0)</f>
        <v>3</v>
      </c>
      <c r="F1280" t="str">
        <f>IFERROR(__xludf.DUMMYFUNCTION("""COMPUTED_VALUE"""),"NA")</f>
        <v>NA</v>
      </c>
      <c r="G1280" t="str">
        <f>IFERROR(__xludf.DUMMYFUNCTION("""COMPUTED_VALUE"""),"BYE")</f>
        <v>BYE</v>
      </c>
      <c r="I1280" t="str">
        <f>IFERROR(__xludf.DUMMYFUNCTION("""COMPUTED_VALUE"""),"bye")</f>
        <v>bye</v>
      </c>
      <c r="J1280" t="str">
        <f>IFERROR(__xludf.DUMMYFUNCTION("""COMPUTED_VALUE"""),"bye")</f>
        <v>bye</v>
      </c>
      <c r="L1280">
        <f>IFERROR(__xludf.DUMMYFUNCTION("""COMPUTED_VALUE"""),9999.0)</f>
        <v>9999</v>
      </c>
      <c r="M1280" s="124">
        <v>10.0</v>
      </c>
    </row>
    <row r="1281">
      <c r="A1281" s="151">
        <f>IFERROR(__xludf.DUMMYFUNCTION("""COMPUTED_VALUE"""),43772.14775020833)</f>
        <v>43772.14775</v>
      </c>
      <c r="B1281" t="str">
        <f>IFERROR(__xludf.DUMMYFUNCTION("""COMPUTED_VALUE"""),"Adam")</f>
        <v>Adam</v>
      </c>
      <c r="C1281" s="169" t="str">
        <f>IFERROR(__xludf.DUMMYFUNCTION("""COMPUTED_VALUE"""),"Georgia State")</f>
        <v>Georgia State</v>
      </c>
      <c r="D1281">
        <f>IFERROR(__xludf.DUMMYFUNCTION("""COMPUTED_VALUE"""),6.0)</f>
        <v>6</v>
      </c>
      <c r="E1281">
        <f>IFERROR(__xludf.DUMMYFUNCTION("""COMPUTED_VALUE"""),2.0)</f>
        <v>2</v>
      </c>
      <c r="F1281" t="str">
        <f>IFERROR(__xludf.DUMMYFUNCTION("""COMPUTED_VALUE"""),"NA")</f>
        <v>NA</v>
      </c>
      <c r="G1281" t="str">
        <f>IFERROR(__xludf.DUMMYFUNCTION("""COMPUTED_VALUE"""),"BYE")</f>
        <v>BYE</v>
      </c>
      <c r="I1281" t="str">
        <f>IFERROR(__xludf.DUMMYFUNCTION("""COMPUTED_VALUE"""),"bye")</f>
        <v>bye</v>
      </c>
      <c r="J1281" t="str">
        <f>IFERROR(__xludf.DUMMYFUNCTION("""COMPUTED_VALUE"""),"bye")</f>
        <v>bye</v>
      </c>
      <c r="L1281">
        <f>IFERROR(__xludf.DUMMYFUNCTION("""COMPUTED_VALUE"""),9999.0)</f>
        <v>9999</v>
      </c>
      <c r="M1281" s="124">
        <v>10.0</v>
      </c>
    </row>
    <row r="1282">
      <c r="A1282" s="151">
        <f>IFERROR(__xludf.DUMMYFUNCTION("""COMPUTED_VALUE"""),43772.14775020833)</f>
        <v>43772.14775</v>
      </c>
      <c r="B1282" t="str">
        <f>IFERROR(__xludf.DUMMYFUNCTION("""COMPUTED_VALUE"""),"Vu")</f>
        <v>Vu</v>
      </c>
      <c r="C1282" s="169" t="str">
        <f>IFERROR(__xludf.DUMMYFUNCTION("""COMPUTED_VALUE"""),"Michigan")</f>
        <v>Michigan</v>
      </c>
      <c r="D1282">
        <f>IFERROR(__xludf.DUMMYFUNCTION("""COMPUTED_VALUE"""),7.0)</f>
        <v>7</v>
      </c>
      <c r="E1282">
        <f>IFERROR(__xludf.DUMMYFUNCTION("""COMPUTED_VALUE"""),2.0)</f>
        <v>2</v>
      </c>
      <c r="F1282" t="str">
        <f>IFERROR(__xludf.DUMMYFUNCTION("""COMPUTED_VALUE"""),"ABC")</f>
        <v>ABC</v>
      </c>
      <c r="G1282" t="str">
        <f>IFERROR(__xludf.DUMMYFUNCTION("""COMPUTED_VALUE"""),"(15) Michigan 38 at Maryland 7")</f>
        <v>(15) Michigan 38 at Maryland 7</v>
      </c>
      <c r="H1282" t="str">
        <f>IFERROR(__xludf.DUMMYFUNCTION("""COMPUTED_VALUE"""),"FINAL")</f>
        <v>FINAL</v>
      </c>
      <c r="I1282" t="str">
        <f>IFERROR(__xludf.DUMMYFUNCTION("""COMPUTED_VALUE"""),"-18½")</f>
        <v>-18½</v>
      </c>
      <c r="J1282" t="str">
        <f>IFERROR(__xludf.DUMMYFUNCTION("""COMPUTED_VALUE"""),"55½")</f>
        <v>55½</v>
      </c>
      <c r="K1282" t="str">
        <f>IFERROR(__xludf.DUMMYFUNCTION("""COMPUTED_VALUE"""),"Gary")</f>
        <v>Gary</v>
      </c>
      <c r="L1282" t="str">
        <f>IFERROR(__xludf.DUMMYFUNCTION("""COMPUTED_VALUE"""),"FINAL")</f>
        <v>FINAL</v>
      </c>
      <c r="M1282" s="124">
        <v>10.0</v>
      </c>
    </row>
    <row r="1283">
      <c r="A1283" s="151">
        <f>IFERROR(__xludf.DUMMYFUNCTION("""COMPUTED_VALUE"""),43772.14775020833)</f>
        <v>43772.14775</v>
      </c>
      <c r="B1283" t="str">
        <f>IFERROR(__xludf.DUMMYFUNCTION("""COMPUTED_VALUE"""),"Vu")</f>
        <v>Vu</v>
      </c>
      <c r="C1283" s="169" t="str">
        <f>IFERROR(__xludf.DUMMYFUNCTION("""COMPUTED_VALUE"""),"Syracuse")</f>
        <v>Syracuse</v>
      </c>
      <c r="D1283">
        <f>IFERROR(__xludf.DUMMYFUNCTION("""COMPUTED_VALUE"""),3.0)</f>
        <v>3</v>
      </c>
      <c r="E1283">
        <f>IFERROR(__xludf.DUMMYFUNCTION("""COMPUTED_VALUE"""),6.0)</f>
        <v>6</v>
      </c>
      <c r="F1283" t="str">
        <f>IFERROR(__xludf.DUMMYFUNCTION("""COMPUTED_VALUE"""),"ACC Network")</f>
        <v>ACC Network</v>
      </c>
      <c r="G1283" t="str">
        <f>IFERROR(__xludf.DUMMYFUNCTION("""COMPUTED_VALUE"""),"Boston College 58 at Syracuse 27")</f>
        <v>Boston College 58 at Syracuse 27</v>
      </c>
      <c r="H1283" t="str">
        <f>IFERROR(__xludf.DUMMYFUNCTION("""COMPUTED_VALUE"""),"FINAL")</f>
        <v>FINAL</v>
      </c>
      <c r="I1283" t="str">
        <f>IFERROR(__xludf.DUMMYFUNCTION("""COMPUTED_VALUE"""),"-2½")</f>
        <v>-2½</v>
      </c>
      <c r="J1283">
        <f>IFERROR(__xludf.DUMMYFUNCTION("""COMPUTED_VALUE"""),60.0)</f>
        <v>60</v>
      </c>
      <c r="K1283" t="str">
        <f>IFERROR(__xludf.DUMMYFUNCTION("""COMPUTED_VALUE"""),"Janice/Mike")</f>
        <v>Janice/Mike</v>
      </c>
      <c r="L1283" t="str">
        <f>IFERROR(__xludf.DUMMYFUNCTION("""COMPUTED_VALUE"""),"FINAL")</f>
        <v>FINAL</v>
      </c>
      <c r="M1283" s="124">
        <v>10.0</v>
      </c>
    </row>
    <row r="1284">
      <c r="A1284" s="151">
        <f>IFERROR(__xludf.DUMMYFUNCTION("""COMPUTED_VALUE"""),43772.14775020833)</f>
        <v>43772.14775</v>
      </c>
      <c r="B1284" t="str">
        <f>IFERROR(__xludf.DUMMYFUNCTION("""COMPUTED_VALUE"""),"Vu")</f>
        <v>Vu</v>
      </c>
      <c r="C1284" s="169" t="str">
        <f>IFERROR(__xludf.DUMMYFUNCTION("""COMPUTED_VALUE"""),"Texas A&amp;M")</f>
        <v>Texas A&amp;M</v>
      </c>
      <c r="D1284">
        <f>IFERROR(__xludf.DUMMYFUNCTION("""COMPUTED_VALUE"""),6.0)</f>
        <v>6</v>
      </c>
      <c r="E1284">
        <f>IFERROR(__xludf.DUMMYFUNCTION("""COMPUTED_VALUE"""),3.0)</f>
        <v>3</v>
      </c>
      <c r="F1284" t="str">
        <f>IFERROR(__xludf.DUMMYFUNCTION("""COMPUTED_VALUE"""),"SEC Network")</f>
        <v>SEC Network</v>
      </c>
      <c r="G1284" t="str">
        <f>IFERROR(__xludf.DUMMYFUNCTION("""COMPUTED_VALUE"""),"UTSA 14 at Texas A&amp;M 45")</f>
        <v>UTSA 14 at Texas A&amp;M 45</v>
      </c>
      <c r="H1284" t="str">
        <f>IFERROR(__xludf.DUMMYFUNCTION("""COMPUTED_VALUE"""),"FINAL")</f>
        <v>FINAL</v>
      </c>
      <c r="I1284" t="str">
        <f>IFERROR(__xludf.DUMMYFUNCTION("""COMPUTED_VALUE"""),"-38½")</f>
        <v>-38½</v>
      </c>
      <c r="J1284">
        <f>IFERROR(__xludf.DUMMYFUNCTION("""COMPUTED_VALUE"""),53.0)</f>
        <v>53</v>
      </c>
      <c r="K1284" t="str">
        <f>IFERROR(__xludf.DUMMYFUNCTION("""COMPUTED_VALUE"""),"DavEmily")</f>
        <v>DavEmily</v>
      </c>
      <c r="L1284" t="str">
        <f>IFERROR(__xludf.DUMMYFUNCTION("""COMPUTED_VALUE"""),"FINAL")</f>
        <v>FINAL</v>
      </c>
      <c r="M1284" s="124">
        <v>10.0</v>
      </c>
    </row>
    <row r="1285">
      <c r="A1285" s="151">
        <f>IFERROR(__xludf.DUMMYFUNCTION("""COMPUTED_VALUE"""),43772.14775020833)</f>
        <v>43772.14775</v>
      </c>
      <c r="B1285" t="str">
        <f>IFERROR(__xludf.DUMMYFUNCTION("""COMPUTED_VALUE"""),"Vu")</f>
        <v>Vu</v>
      </c>
      <c r="C1285" s="169" t="str">
        <f>IFERROR(__xludf.DUMMYFUNCTION("""COMPUTED_VALUE"""),"North Texas")</f>
        <v>North Texas</v>
      </c>
      <c r="D1285">
        <f>IFERROR(__xludf.DUMMYFUNCTION("""COMPUTED_VALUE"""),4.0)</f>
        <v>4</v>
      </c>
      <c r="E1285">
        <f>IFERROR(__xludf.DUMMYFUNCTION("""COMPUTED_VALUE"""),5.0)</f>
        <v>5</v>
      </c>
      <c r="F1285" t="str">
        <f>IFERROR(__xludf.DUMMYFUNCTION("""COMPUTED_VALUE"""),"NFL Network")</f>
        <v>NFL Network</v>
      </c>
      <c r="G1285" t="str">
        <f>IFERROR(__xludf.DUMMYFUNCTION("""COMPUTED_VALUE"""),"UTEP 26 at North Texas 52")</f>
        <v>UTEP 26 at North Texas 52</v>
      </c>
      <c r="H1285" t="str">
        <f>IFERROR(__xludf.DUMMYFUNCTION("""COMPUTED_VALUE"""),"FINAL")</f>
        <v>FINAL</v>
      </c>
      <c r="I1285">
        <f>IFERROR(__xludf.DUMMYFUNCTION("""COMPUTED_VALUE"""),-23.0)</f>
        <v>-23</v>
      </c>
      <c r="J1285">
        <f>IFERROR(__xludf.DUMMYFUNCTION("""COMPUTED_VALUE"""),58.0)</f>
        <v>58</v>
      </c>
      <c r="K1285" t="str">
        <f>IFERROR(__xludf.DUMMYFUNCTION("""COMPUTED_VALUE"""),"Undrafted")</f>
        <v>Undrafted</v>
      </c>
      <c r="L1285" t="str">
        <f>IFERROR(__xludf.DUMMYFUNCTION("""COMPUTED_VALUE"""),"FINAL")</f>
        <v>FINAL</v>
      </c>
      <c r="M1285" s="124">
        <v>10.0</v>
      </c>
    </row>
    <row r="1286">
      <c r="A1286" s="151">
        <f>IFERROR(__xludf.DUMMYFUNCTION("""COMPUTED_VALUE"""),43772.14775020833)</f>
        <v>43772.14775</v>
      </c>
      <c r="B1286" t="str">
        <f>IFERROR(__xludf.DUMMYFUNCTION("""COMPUTED_VALUE"""),"Vu")</f>
        <v>Vu</v>
      </c>
      <c r="C1286" s="169" t="str">
        <f>IFERROR(__xludf.DUMMYFUNCTION("""COMPUTED_VALUE"""),"TCU")</f>
        <v>TCU</v>
      </c>
      <c r="D1286">
        <f>IFERROR(__xludf.DUMMYFUNCTION("""COMPUTED_VALUE"""),4.0)</f>
        <v>4</v>
      </c>
      <c r="E1286">
        <f>IFERROR(__xludf.DUMMYFUNCTION("""COMPUTED_VALUE"""),4.0)</f>
        <v>4</v>
      </c>
      <c r="F1286" t="str">
        <f>IFERROR(__xludf.DUMMYFUNCTION("""COMPUTED_VALUE"""),"ESPN")</f>
        <v>ESPN</v>
      </c>
      <c r="G1286" t="str">
        <f>IFERROR(__xludf.DUMMYFUNCTION("""COMPUTED_VALUE"""),"TCU 27 at Oklahoma State 34")</f>
        <v>TCU 27 at Oklahoma State 34</v>
      </c>
      <c r="H1286" t="str">
        <f>IFERROR(__xludf.DUMMYFUNCTION("""COMPUTED_VALUE"""),"FINAL")</f>
        <v>FINAL</v>
      </c>
      <c r="I1286">
        <f>IFERROR(__xludf.DUMMYFUNCTION("""COMPUTED_VALUE"""),3.0)</f>
        <v>3</v>
      </c>
      <c r="J1286" t="str">
        <f>IFERROR(__xludf.DUMMYFUNCTION("""COMPUTED_VALUE"""),"64½")</f>
        <v>64½</v>
      </c>
      <c r="K1286" t="str">
        <f>IFERROR(__xludf.DUMMYFUNCTION("""COMPUTED_VALUE"""),"Brad")</f>
        <v>Brad</v>
      </c>
      <c r="L1286" t="str">
        <f>IFERROR(__xludf.DUMMYFUNCTION("""COMPUTED_VALUE"""),"FINAL")</f>
        <v>FINAL</v>
      </c>
      <c r="M1286" s="124">
        <v>10.0</v>
      </c>
    </row>
    <row r="1287">
      <c r="A1287" s="151">
        <f>IFERROR(__xludf.DUMMYFUNCTION("""COMPUTED_VALUE"""),43772.14775020833)</f>
        <v>43772.14775</v>
      </c>
      <c r="B1287" t="str">
        <f>IFERROR(__xludf.DUMMYFUNCTION("""COMPUTED_VALUE"""),"Vu")</f>
        <v>Vu</v>
      </c>
      <c r="C1287" s="169" t="str">
        <f>IFERROR(__xludf.DUMMYFUNCTION("""COMPUTED_VALUE"""),"Washington")</f>
        <v>Washington</v>
      </c>
      <c r="D1287">
        <f>IFERROR(__xludf.DUMMYFUNCTION("""COMPUTED_VALUE"""),5.0)</f>
        <v>5</v>
      </c>
      <c r="E1287">
        <f>IFERROR(__xludf.DUMMYFUNCTION("""COMPUTED_VALUE"""),4.0)</f>
        <v>4</v>
      </c>
      <c r="F1287" t="str">
        <f>IFERROR(__xludf.DUMMYFUNCTION("""COMPUTED_VALUE"""),"FOX")</f>
        <v>FOX</v>
      </c>
      <c r="G1287" t="str">
        <f>IFERROR(__xludf.DUMMYFUNCTION("""COMPUTED_VALUE"""),"(10) Utah 33 at Washington 28")</f>
        <v>(10) Utah 33 at Washington 28</v>
      </c>
      <c r="H1287" t="str">
        <f>IFERROR(__xludf.DUMMYFUNCTION("""COMPUTED_VALUE"""),"FINAL")</f>
        <v>FINAL</v>
      </c>
      <c r="I1287">
        <f>IFERROR(__xludf.DUMMYFUNCTION("""COMPUTED_VALUE"""),3.0)</f>
        <v>3</v>
      </c>
      <c r="J1287">
        <f>IFERROR(__xludf.DUMMYFUNCTION("""COMPUTED_VALUE"""),47.0)</f>
        <v>47</v>
      </c>
      <c r="K1287" t="str">
        <f>IFERROR(__xludf.DUMMYFUNCTION("""COMPUTED_VALUE"""),"Brad")</f>
        <v>Brad</v>
      </c>
      <c r="L1287" t="str">
        <f>IFERROR(__xludf.DUMMYFUNCTION("""COMPUTED_VALUE"""),"FINAL")</f>
        <v>FINAL</v>
      </c>
      <c r="M1287" s="124">
        <v>10.0</v>
      </c>
    </row>
    <row r="1288">
      <c r="A1288" s="151">
        <f>IFERROR(__xludf.DUMMYFUNCTION("""COMPUTED_VALUE"""),43772.14775020833)</f>
        <v>43772.14775</v>
      </c>
      <c r="B1288" t="str">
        <f>IFERROR(__xludf.DUMMYFUNCTION("""COMPUTED_VALUE"""),"Vu")</f>
        <v>Vu</v>
      </c>
      <c r="C1288" s="169" t="str">
        <f>IFERROR(__xludf.DUMMYFUNCTION("""COMPUTED_VALUE"""),"Cincinnati")</f>
        <v>Cincinnati</v>
      </c>
      <c r="D1288">
        <f>IFERROR(__xludf.DUMMYFUNCTION("""COMPUTED_VALUE"""),7.0)</f>
        <v>7</v>
      </c>
      <c r="E1288">
        <f>IFERROR(__xludf.DUMMYFUNCTION("""COMPUTED_VALUE"""),1.0)</f>
        <v>1</v>
      </c>
      <c r="F1288" t="str">
        <f>IFERROR(__xludf.DUMMYFUNCTION("""COMPUTED_VALUE"""),"CBSSN")</f>
        <v>CBSSN</v>
      </c>
      <c r="G1288" t="str">
        <f>IFERROR(__xludf.DUMMYFUNCTION("""COMPUTED_VALUE"""),"(18) Cincinnati 46 at East Carolina 43")</f>
        <v>(18) Cincinnati 46 at East Carolina 43</v>
      </c>
      <c r="H1288" t="str">
        <f>IFERROR(__xludf.DUMMYFUNCTION("""COMPUTED_VALUE"""),"FINAL")</f>
        <v>FINAL</v>
      </c>
      <c r="I1288" t="str">
        <f>IFERROR(__xludf.DUMMYFUNCTION("""COMPUTED_VALUE"""),"-22½")</f>
        <v>-22½</v>
      </c>
      <c r="J1288" t="str">
        <f>IFERROR(__xludf.DUMMYFUNCTION("""COMPUTED_VALUE"""),"48½")</f>
        <v>48½</v>
      </c>
      <c r="K1288" t="str">
        <f>IFERROR(__xludf.DUMMYFUNCTION("""COMPUTED_VALUE"""),"Nick A.")</f>
        <v>Nick A.</v>
      </c>
      <c r="L1288" t="str">
        <f>IFERROR(__xludf.DUMMYFUNCTION("""COMPUTED_VALUE"""),"FINAL")</f>
        <v>FINAL</v>
      </c>
      <c r="M1288" s="124">
        <v>10.0</v>
      </c>
    </row>
    <row r="1289">
      <c r="A1289" s="151">
        <f>IFERROR(__xludf.DUMMYFUNCTION("""COMPUTED_VALUE"""),43772.14775020833)</f>
        <v>43772.14775</v>
      </c>
      <c r="B1289" t="str">
        <f>IFERROR(__xludf.DUMMYFUNCTION("""COMPUTED_VALUE"""),"Vu")</f>
        <v>Vu</v>
      </c>
      <c r="C1289" s="169" t="str">
        <f>IFERROR(__xludf.DUMMYFUNCTION("""COMPUTED_VALUE"""),"Hawaii")</f>
        <v>Hawaii</v>
      </c>
      <c r="D1289">
        <f>IFERROR(__xludf.DUMMYFUNCTION("""COMPUTED_VALUE"""),5.0)</f>
        <v>5</v>
      </c>
      <c r="E1289">
        <f>IFERROR(__xludf.DUMMYFUNCTION("""COMPUTED_VALUE"""),4.0)</f>
        <v>4</v>
      </c>
      <c r="F1289" t="str">
        <f>IFERROR(__xludf.DUMMYFUNCTION("""COMPUTED_VALUE"""),"Facebook Video")</f>
        <v>Facebook Video</v>
      </c>
      <c r="G1289" t="str">
        <f>IFERROR(__xludf.DUMMYFUNCTION("""COMPUTED_VALUE"""),"Fresno State 41 at Hawaii 38")</f>
        <v>Fresno State 41 at Hawaii 38</v>
      </c>
      <c r="H1289" t="str">
        <f>IFERROR(__xludf.DUMMYFUNCTION("""COMPUTED_VALUE"""),"FINAL")</f>
        <v>FINAL</v>
      </c>
      <c r="I1289" t="str">
        <f>IFERROR(__xludf.DUMMYFUNCTION("""COMPUTED_VALUE"""),"bye")</f>
        <v>bye</v>
      </c>
      <c r="J1289" t="str">
        <f>IFERROR(__xludf.DUMMYFUNCTION("""COMPUTED_VALUE"""),"bye")</f>
        <v>bye</v>
      </c>
      <c r="K1289" t="str">
        <f>IFERROR(__xludf.DUMMYFUNCTION("""COMPUTED_VALUE"""),"DavEmily")</f>
        <v>DavEmily</v>
      </c>
      <c r="L1289" t="str">
        <f>IFERROR(__xludf.DUMMYFUNCTION("""COMPUTED_VALUE"""),"FINAL")</f>
        <v>FINAL</v>
      </c>
      <c r="M1289" s="124">
        <v>10.0</v>
      </c>
    </row>
    <row r="1290">
      <c r="A1290" s="151">
        <f>IFERROR(__xludf.DUMMYFUNCTION("""COMPUTED_VALUE"""),43772.14775020833)</f>
        <v>43772.14775</v>
      </c>
      <c r="B1290" t="str">
        <f>IFERROR(__xludf.DUMMYFUNCTION("""COMPUTED_VALUE"""),"Vu")</f>
        <v>Vu</v>
      </c>
      <c r="C1290" s="169" t="str">
        <f>IFERROR(__xludf.DUMMYFUNCTION("""COMPUTED_VALUE"""),"South Alabama")</f>
        <v>South Alabama</v>
      </c>
      <c r="D1290">
        <f>IFERROR(__xludf.DUMMYFUNCTION("""COMPUTED_VALUE"""),1.0)</f>
        <v>1</v>
      </c>
      <c r="E1290">
        <f>IFERROR(__xludf.DUMMYFUNCTION("""COMPUTED_VALUE"""),7.0)</f>
        <v>7</v>
      </c>
      <c r="F1290" t="str">
        <f>IFERROR(__xludf.DUMMYFUNCTION("""COMPUTED_VALUE"""),"NA")</f>
        <v>NA</v>
      </c>
      <c r="G1290" t="str">
        <f>IFERROR(__xludf.DUMMYFUNCTION("""COMPUTED_VALUE"""),"BYE")</f>
        <v>BYE</v>
      </c>
      <c r="I1290" t="str">
        <f>IFERROR(__xludf.DUMMYFUNCTION("""COMPUTED_VALUE"""),"bye")</f>
        <v>bye</v>
      </c>
      <c r="J1290" t="str">
        <f>IFERROR(__xludf.DUMMYFUNCTION("""COMPUTED_VALUE"""),"bye")</f>
        <v>bye</v>
      </c>
      <c r="L1290">
        <f>IFERROR(__xludf.DUMMYFUNCTION("""COMPUTED_VALUE"""),9999.0)</f>
        <v>9999</v>
      </c>
      <c r="M1290" s="124">
        <v>10.0</v>
      </c>
    </row>
    <row r="1291">
      <c r="A1291" s="151">
        <f>IFERROR(__xludf.DUMMYFUNCTION("""COMPUTED_VALUE"""),43772.14775020833)</f>
        <v>43772.14775</v>
      </c>
      <c r="B1291" t="str">
        <f>IFERROR(__xludf.DUMMYFUNCTION("""COMPUTED_VALUE"""),"Vu")</f>
        <v>Vu</v>
      </c>
      <c r="C1291" s="169" t="str">
        <f>IFERROR(__xludf.DUMMYFUNCTION("""COMPUTED_VALUE"""),"Kent State")</f>
        <v>Kent State</v>
      </c>
      <c r="D1291">
        <f>IFERROR(__xludf.DUMMYFUNCTION("""COMPUTED_VALUE"""),3.0)</f>
        <v>3</v>
      </c>
      <c r="E1291">
        <f>IFERROR(__xludf.DUMMYFUNCTION("""COMPUTED_VALUE"""),5.0)</f>
        <v>5</v>
      </c>
      <c r="F1291" t="str">
        <f>IFERROR(__xludf.DUMMYFUNCTION("""COMPUTED_VALUE"""),"ESPN2")</f>
        <v>ESPN2</v>
      </c>
      <c r="G1291" t="str">
        <f>IFERROR(__xludf.DUMMYFUNCTION("""COMPUTED_VALUE"""),"BYE")</f>
        <v>BYE</v>
      </c>
      <c r="I1291" t="str">
        <f>IFERROR(__xludf.DUMMYFUNCTION("""COMPUTED_VALUE"""),"bye")</f>
        <v>bye</v>
      </c>
      <c r="J1291" t="str">
        <f>IFERROR(__xludf.DUMMYFUNCTION("""COMPUTED_VALUE"""),"bye")</f>
        <v>bye</v>
      </c>
      <c r="L1291">
        <f>IFERROR(__xludf.DUMMYFUNCTION("""COMPUTED_VALUE"""),9999.0)</f>
        <v>9999</v>
      </c>
      <c r="M1291" s="124">
        <v>10.0</v>
      </c>
    </row>
    <row r="1292">
      <c r="A1292" s="151">
        <f>IFERROR(__xludf.DUMMYFUNCTION("""COMPUTED_VALUE"""),43772.14775020833)</f>
        <v>43772.14775</v>
      </c>
      <c r="B1292" t="str">
        <f>IFERROR(__xludf.DUMMYFUNCTION("""COMPUTED_VALUE"""),"Josh R.")</f>
        <v>Josh R.</v>
      </c>
      <c r="C1292" s="169" t="str">
        <f>IFERROR(__xludf.DUMMYFUNCTION("""COMPUTED_VALUE"""),"Kansas")</f>
        <v>Kansas</v>
      </c>
      <c r="D1292">
        <f>IFERROR(__xludf.DUMMYFUNCTION("""COMPUTED_VALUE"""),3.0)</f>
        <v>3</v>
      </c>
      <c r="E1292">
        <f>IFERROR(__xludf.DUMMYFUNCTION("""COMPUTED_VALUE"""),6.0)</f>
        <v>6</v>
      </c>
      <c r="F1292" t="str">
        <f>IFERROR(__xludf.DUMMYFUNCTION("""COMPUTED_VALUE"""),"FS1")</f>
        <v>FS1</v>
      </c>
      <c r="G1292" t="str">
        <f>IFERROR(__xludf.DUMMYFUNCTION("""COMPUTED_VALUE"""),"(25) Kansas State 38 at Kansas 10")</f>
        <v>(25) Kansas State 38 at Kansas 10</v>
      </c>
      <c r="H1292" t="str">
        <f>IFERROR(__xludf.DUMMYFUNCTION("""COMPUTED_VALUE"""),"FINAL")</f>
        <v>FINAL</v>
      </c>
      <c r="I1292">
        <f>IFERROR(__xludf.DUMMYFUNCTION("""COMPUTED_VALUE"""),5.0)</f>
        <v>5</v>
      </c>
      <c r="J1292" t="str">
        <f>IFERROR(__xludf.DUMMYFUNCTION("""COMPUTED_VALUE"""),"57½")</f>
        <v>57½</v>
      </c>
      <c r="K1292" t="str">
        <f>IFERROR(__xludf.DUMMYFUNCTION("""COMPUTED_VALUE"""),"Nick G.")</f>
        <v>Nick G.</v>
      </c>
      <c r="L1292" t="str">
        <f>IFERROR(__xludf.DUMMYFUNCTION("""COMPUTED_VALUE"""),"FINAL")</f>
        <v>FINAL</v>
      </c>
      <c r="M1292" s="124">
        <v>10.0</v>
      </c>
    </row>
    <row r="1293">
      <c r="A1293" s="151">
        <f>IFERROR(__xludf.DUMMYFUNCTION("""COMPUTED_VALUE"""),43772.14775020833)</f>
        <v>43772.14775</v>
      </c>
      <c r="B1293" t="str">
        <f>IFERROR(__xludf.DUMMYFUNCTION("""COMPUTED_VALUE"""),"Josh R.")</f>
        <v>Josh R.</v>
      </c>
      <c r="C1293" s="169" t="str">
        <f>IFERROR(__xludf.DUMMYFUNCTION("""COMPUTED_VALUE"""),"Army")</f>
        <v>Army</v>
      </c>
      <c r="D1293">
        <f>IFERROR(__xludf.DUMMYFUNCTION("""COMPUTED_VALUE"""),3.0)</f>
        <v>3</v>
      </c>
      <c r="E1293">
        <f>IFERROR(__xludf.DUMMYFUNCTION("""COMPUTED_VALUE"""),6.0)</f>
        <v>6</v>
      </c>
      <c r="F1293" t="str">
        <f>IFERROR(__xludf.DUMMYFUNCTION("""COMPUTED_VALUE"""),"CBSSN")</f>
        <v>CBSSN</v>
      </c>
      <c r="G1293" t="str">
        <f>IFERROR(__xludf.DUMMYFUNCTION("""COMPUTED_VALUE"""),"Army 13 at Air Force 17")</f>
        <v>Army 13 at Air Force 17</v>
      </c>
      <c r="H1293" t="str">
        <f>IFERROR(__xludf.DUMMYFUNCTION("""COMPUTED_VALUE"""),"FINAL")</f>
        <v>FINAL</v>
      </c>
      <c r="I1293" t="str">
        <f>IFERROR(__xludf.DUMMYFUNCTION("""COMPUTED_VALUE"""),"14½")</f>
        <v>14½</v>
      </c>
      <c r="J1293" t="str">
        <f>IFERROR(__xludf.DUMMYFUNCTION("""COMPUTED_VALUE"""),"45½")</f>
        <v>45½</v>
      </c>
      <c r="K1293" t="str">
        <f>IFERROR(__xludf.DUMMYFUNCTION("""COMPUTED_VALUE"""),"Adam")</f>
        <v>Adam</v>
      </c>
      <c r="L1293" t="str">
        <f>IFERROR(__xludf.DUMMYFUNCTION("""COMPUTED_VALUE"""),"FINAL")</f>
        <v>FINAL</v>
      </c>
      <c r="M1293" s="124">
        <v>10.0</v>
      </c>
    </row>
    <row r="1294">
      <c r="A1294" s="151">
        <f>IFERROR(__xludf.DUMMYFUNCTION("""COMPUTED_VALUE"""),43772.14775020833)</f>
        <v>43772.14775</v>
      </c>
      <c r="B1294" t="str">
        <f>IFERROR(__xludf.DUMMYFUNCTION("""COMPUTED_VALUE"""),"Josh R.")</f>
        <v>Josh R.</v>
      </c>
      <c r="C1294" s="169" t="str">
        <f>IFERROR(__xludf.DUMMYFUNCTION("""COMPUTED_VALUE"""),"Florida State")</f>
        <v>Florida State</v>
      </c>
      <c r="D1294">
        <f>IFERROR(__xludf.DUMMYFUNCTION("""COMPUTED_VALUE"""),4.0)</f>
        <v>4</v>
      </c>
      <c r="E1294">
        <f>IFERROR(__xludf.DUMMYFUNCTION("""COMPUTED_VALUE"""),5.0)</f>
        <v>5</v>
      </c>
      <c r="F1294" t="str">
        <f>IFERROR(__xludf.DUMMYFUNCTION("""COMPUTED_VALUE"""),"ABC")</f>
        <v>ABC</v>
      </c>
      <c r="G1294" t="str">
        <f>IFERROR(__xludf.DUMMYFUNCTION("""COMPUTED_VALUE"""),"Miami 27 at Florida State 10")</f>
        <v>Miami 27 at Florida State 10</v>
      </c>
      <c r="H1294" t="str">
        <f>IFERROR(__xludf.DUMMYFUNCTION("""COMPUTED_VALUE"""),"FINAL")</f>
        <v>FINAL</v>
      </c>
      <c r="I1294" t="str">
        <f>IFERROR(__xludf.DUMMYFUNCTION("""COMPUTED_VALUE"""),"-3½")</f>
        <v>-3½</v>
      </c>
      <c r="J1294">
        <f>IFERROR(__xludf.DUMMYFUNCTION("""COMPUTED_VALUE"""),47.0)</f>
        <v>47</v>
      </c>
      <c r="K1294" t="str">
        <f>IFERROR(__xludf.DUMMYFUNCTION("""COMPUTED_VALUE"""),"Brad")</f>
        <v>Brad</v>
      </c>
      <c r="L1294" t="str">
        <f>IFERROR(__xludf.DUMMYFUNCTION("""COMPUTED_VALUE"""),"FINAL")</f>
        <v>FINAL</v>
      </c>
      <c r="M1294" s="124">
        <v>10.0</v>
      </c>
    </row>
    <row r="1295">
      <c r="A1295" s="151">
        <f>IFERROR(__xludf.DUMMYFUNCTION("""COMPUTED_VALUE"""),43772.14775020833)</f>
        <v>43772.14775</v>
      </c>
      <c r="B1295" t="str">
        <f>IFERROR(__xludf.DUMMYFUNCTION("""COMPUTED_VALUE"""),"Josh R.")</f>
        <v>Josh R.</v>
      </c>
      <c r="C1295" s="169" t="str">
        <f>IFERROR(__xludf.DUMMYFUNCTION("""COMPUTED_VALUE"""),"USC")</f>
        <v>USC</v>
      </c>
      <c r="D1295">
        <f>IFERROR(__xludf.DUMMYFUNCTION("""COMPUTED_VALUE"""),5.0)</f>
        <v>5</v>
      </c>
      <c r="E1295">
        <f>IFERROR(__xludf.DUMMYFUNCTION("""COMPUTED_VALUE"""),4.0)</f>
        <v>4</v>
      </c>
      <c r="F1295" t="str">
        <f>IFERROR(__xludf.DUMMYFUNCTION("""COMPUTED_VALUE"""),"FOX")</f>
        <v>FOX</v>
      </c>
      <c r="G1295" t="str">
        <f>IFERROR(__xludf.DUMMYFUNCTION("""COMPUTED_VALUE"""),"(8) Oregon 56 at USC 24")</f>
        <v>(8) Oregon 56 at USC 24</v>
      </c>
      <c r="H1295" t="str">
        <f>IFERROR(__xludf.DUMMYFUNCTION("""COMPUTED_VALUE"""),"FINAL")</f>
        <v>FINAL</v>
      </c>
      <c r="I1295">
        <f>IFERROR(__xludf.DUMMYFUNCTION("""COMPUTED_VALUE"""),5.0)</f>
        <v>5</v>
      </c>
      <c r="J1295" t="str">
        <f>IFERROR(__xludf.DUMMYFUNCTION("""COMPUTED_VALUE"""),"61½")</f>
        <v>61½</v>
      </c>
      <c r="K1295" t="str">
        <f>IFERROR(__xludf.DUMMYFUNCTION("""COMPUTED_VALUE"""),"Justin")</f>
        <v>Justin</v>
      </c>
      <c r="L1295" t="str">
        <f>IFERROR(__xludf.DUMMYFUNCTION("""COMPUTED_VALUE"""),"FINAL")</f>
        <v>FINAL</v>
      </c>
      <c r="M1295" s="124">
        <v>10.0</v>
      </c>
    </row>
    <row r="1296">
      <c r="A1296" s="151">
        <f>IFERROR(__xludf.DUMMYFUNCTION("""COMPUTED_VALUE"""),43772.14775020833)</f>
        <v>43772.14775</v>
      </c>
      <c r="B1296" t="str">
        <f>IFERROR(__xludf.DUMMYFUNCTION("""COMPUTED_VALUE"""),"Josh R.")</f>
        <v>Josh R.</v>
      </c>
      <c r="C1296" s="169" t="str">
        <f>IFERROR(__xludf.DUMMYFUNCTION("""COMPUTED_VALUE"""),"Nevada")</f>
        <v>Nevada</v>
      </c>
      <c r="D1296">
        <f>IFERROR(__xludf.DUMMYFUNCTION("""COMPUTED_VALUE"""),5.0)</f>
        <v>5</v>
      </c>
      <c r="E1296">
        <f>IFERROR(__xludf.DUMMYFUNCTION("""COMPUTED_VALUE"""),4.0)</f>
        <v>4</v>
      </c>
      <c r="F1296" t="str">
        <f>IFERROR(__xludf.DUMMYFUNCTION("""COMPUTED_VALUE"""),"ESPNU")</f>
        <v>ESPNU</v>
      </c>
      <c r="G1296" t="str">
        <f>IFERROR(__xludf.DUMMYFUNCTION("""COMPUTED_VALUE"""),"New Mexico 10 at Nevada 21")</f>
        <v>New Mexico 10 at Nevada 21</v>
      </c>
      <c r="H1296" t="str">
        <f>IFERROR(__xludf.DUMMYFUNCTION("""COMPUTED_VALUE"""),"FINAL")</f>
        <v>FINAL</v>
      </c>
      <c r="I1296">
        <f>IFERROR(__xludf.DUMMYFUNCTION("""COMPUTED_VALUE"""),-4.0)</f>
        <v>-4</v>
      </c>
      <c r="J1296">
        <f>IFERROR(__xludf.DUMMYFUNCTION("""COMPUTED_VALUE"""),59.0)</f>
        <v>59</v>
      </c>
      <c r="K1296" t="str">
        <f>IFERROR(__xludf.DUMMYFUNCTION("""COMPUTED_VALUE"""),"Nico")</f>
        <v>Nico</v>
      </c>
      <c r="L1296" t="str">
        <f>IFERROR(__xludf.DUMMYFUNCTION("""COMPUTED_VALUE"""),"FINAL")</f>
        <v>FINAL</v>
      </c>
      <c r="M1296" s="124">
        <v>10.0</v>
      </c>
    </row>
    <row r="1297">
      <c r="A1297" s="151">
        <f>IFERROR(__xludf.DUMMYFUNCTION("""COMPUTED_VALUE"""),43772.14775020833)</f>
        <v>43772.14775</v>
      </c>
      <c r="B1297" t="str">
        <f>IFERROR(__xludf.DUMMYFUNCTION("""COMPUTED_VALUE"""),"Josh R.")</f>
        <v>Josh R.</v>
      </c>
      <c r="C1297" s="169" t="str">
        <f>IFERROR(__xludf.DUMMYFUNCTION("""COMPUTED_VALUE"""),"Southern Mississippi")</f>
        <v>Southern Mississippi</v>
      </c>
      <c r="D1297">
        <f>IFERROR(__xludf.DUMMYFUNCTION("""COMPUTED_VALUE"""),5.0)</f>
        <v>5</v>
      </c>
      <c r="E1297">
        <f>IFERROR(__xludf.DUMMYFUNCTION("""COMPUTED_VALUE"""),3.0)</f>
        <v>3</v>
      </c>
      <c r="F1297" t="str">
        <f>IFERROR(__xludf.DUMMYFUNCTION("""COMPUTED_VALUE"""),"NA")</f>
        <v>NA</v>
      </c>
      <c r="G1297" t="str">
        <f>IFERROR(__xludf.DUMMYFUNCTION("""COMPUTED_VALUE"""),"BYE")</f>
        <v>BYE</v>
      </c>
      <c r="I1297" t="str">
        <f>IFERROR(__xludf.DUMMYFUNCTION("""COMPUTED_VALUE"""),"bye")</f>
        <v>bye</v>
      </c>
      <c r="J1297" t="str">
        <f>IFERROR(__xludf.DUMMYFUNCTION("""COMPUTED_VALUE"""),"bye")</f>
        <v>bye</v>
      </c>
      <c r="L1297">
        <f>IFERROR(__xludf.DUMMYFUNCTION("""COMPUTED_VALUE"""),9999.0)</f>
        <v>9999</v>
      </c>
      <c r="M1297" s="124">
        <v>10.0</v>
      </c>
    </row>
    <row r="1298">
      <c r="A1298" s="151">
        <f>IFERROR(__xludf.DUMMYFUNCTION("""COMPUTED_VALUE"""),43772.14775020833)</f>
        <v>43772.14775</v>
      </c>
      <c r="B1298" t="str">
        <f>IFERROR(__xludf.DUMMYFUNCTION("""COMPUTED_VALUE"""),"Josh R.")</f>
        <v>Josh R.</v>
      </c>
      <c r="C1298" s="169" t="str">
        <f>IFERROR(__xludf.DUMMYFUNCTION("""COMPUTED_VALUE"""),"Minnesota")</f>
        <v>Minnesota</v>
      </c>
      <c r="D1298">
        <f>IFERROR(__xludf.DUMMYFUNCTION("""COMPUTED_VALUE"""),8.0)</f>
        <v>8</v>
      </c>
      <c r="E1298">
        <f>IFERROR(__xludf.DUMMYFUNCTION("""COMPUTED_VALUE"""),0.0)</f>
        <v>0</v>
      </c>
      <c r="F1298" t="str">
        <f>IFERROR(__xludf.DUMMYFUNCTION("""COMPUTED_VALUE"""),"NA")</f>
        <v>NA</v>
      </c>
      <c r="G1298" t="str">
        <f>IFERROR(__xludf.DUMMYFUNCTION("""COMPUTED_VALUE"""),"BYE")</f>
        <v>BYE</v>
      </c>
      <c r="I1298" t="str">
        <f>IFERROR(__xludf.DUMMYFUNCTION("""COMPUTED_VALUE"""),"bye")</f>
        <v>bye</v>
      </c>
      <c r="J1298" t="str">
        <f>IFERROR(__xludf.DUMMYFUNCTION("""COMPUTED_VALUE"""),"bye")</f>
        <v>bye</v>
      </c>
      <c r="L1298">
        <f>IFERROR(__xludf.DUMMYFUNCTION("""COMPUTED_VALUE"""),9999.0)</f>
        <v>9999</v>
      </c>
      <c r="M1298" s="124">
        <v>10.0</v>
      </c>
    </row>
    <row r="1299">
      <c r="A1299" s="151">
        <f>IFERROR(__xludf.DUMMYFUNCTION("""COMPUTED_VALUE"""),43772.14775020833)</f>
        <v>43772.14775</v>
      </c>
      <c r="B1299" t="str">
        <f>IFERROR(__xludf.DUMMYFUNCTION("""COMPUTED_VALUE"""),"Josh R.")</f>
        <v>Josh R.</v>
      </c>
      <c r="C1299" s="169" t="str">
        <f>IFERROR(__xludf.DUMMYFUNCTION("""COMPUTED_VALUE"""),"Toledo")</f>
        <v>Toledo</v>
      </c>
      <c r="D1299">
        <f>IFERROR(__xludf.DUMMYFUNCTION("""COMPUTED_VALUE"""),5.0)</f>
        <v>5</v>
      </c>
      <c r="E1299">
        <f>IFERROR(__xludf.DUMMYFUNCTION("""COMPUTED_VALUE"""),3.0)</f>
        <v>3</v>
      </c>
      <c r="F1299" t="str">
        <f>IFERROR(__xludf.DUMMYFUNCTION("""COMPUTED_VALUE"""),"ESPN2")</f>
        <v>ESPN2</v>
      </c>
      <c r="G1299" t="str">
        <f>IFERROR(__xludf.DUMMYFUNCTION("""COMPUTED_VALUE"""),"BYE")</f>
        <v>BYE</v>
      </c>
      <c r="I1299" t="str">
        <f>IFERROR(__xludf.DUMMYFUNCTION("""COMPUTED_VALUE"""),"bye")</f>
        <v>bye</v>
      </c>
      <c r="J1299" t="str">
        <f>IFERROR(__xludf.DUMMYFUNCTION("""COMPUTED_VALUE"""),"bye")</f>
        <v>bye</v>
      </c>
      <c r="L1299">
        <f>IFERROR(__xludf.DUMMYFUNCTION("""COMPUTED_VALUE"""),9999.0)</f>
        <v>9999</v>
      </c>
      <c r="M1299" s="124">
        <v>10.0</v>
      </c>
    </row>
    <row r="1300">
      <c r="A1300" s="151">
        <f>IFERROR(__xludf.DUMMYFUNCTION("""COMPUTED_VALUE"""),43772.14775020833)</f>
        <v>43772.14775</v>
      </c>
      <c r="B1300" t="str">
        <f>IFERROR(__xludf.DUMMYFUNCTION("""COMPUTED_VALUE"""),"Josh R.")</f>
        <v>Josh R.</v>
      </c>
      <c r="C1300" s="169" t="str">
        <f>IFERROR(__xludf.DUMMYFUNCTION("""COMPUTED_VALUE"""),"Temple")</f>
        <v>Temple</v>
      </c>
      <c r="D1300">
        <f>IFERROR(__xludf.DUMMYFUNCTION("""COMPUTED_VALUE"""),5.0)</f>
        <v>5</v>
      </c>
      <c r="E1300">
        <f>IFERROR(__xludf.DUMMYFUNCTION("""COMPUTED_VALUE"""),3.0)</f>
        <v>3</v>
      </c>
      <c r="F1300" t="str">
        <f>IFERROR(__xludf.DUMMYFUNCTION("""COMPUTED_VALUE"""),"NA")</f>
        <v>NA</v>
      </c>
      <c r="G1300" t="str">
        <f>IFERROR(__xludf.DUMMYFUNCTION("""COMPUTED_VALUE"""),"BYE")</f>
        <v>BYE</v>
      </c>
      <c r="I1300" t="str">
        <f>IFERROR(__xludf.DUMMYFUNCTION("""COMPUTED_VALUE"""),"bye")</f>
        <v>bye</v>
      </c>
      <c r="J1300" t="str">
        <f>IFERROR(__xludf.DUMMYFUNCTION("""COMPUTED_VALUE"""),"bye")</f>
        <v>bye</v>
      </c>
      <c r="L1300">
        <f>IFERROR(__xludf.DUMMYFUNCTION("""COMPUTED_VALUE"""),9999.0)</f>
        <v>9999</v>
      </c>
      <c r="M1300" s="124">
        <v>10.0</v>
      </c>
    </row>
    <row r="1301">
      <c r="A1301" s="151">
        <f>IFERROR(__xludf.DUMMYFUNCTION("""COMPUTED_VALUE"""),43772.14775020833)</f>
        <v>43772.14775</v>
      </c>
      <c r="B1301" t="str">
        <f>IFERROR(__xludf.DUMMYFUNCTION("""COMPUTED_VALUE"""),"Josh R.")</f>
        <v>Josh R.</v>
      </c>
      <c r="C1301" s="169" t="str">
        <f>IFERROR(__xludf.DUMMYFUNCTION("""COMPUTED_VALUE"""),"Kentucky")</f>
        <v>Kentucky</v>
      </c>
      <c r="D1301">
        <f>IFERROR(__xludf.DUMMYFUNCTION("""COMPUTED_VALUE"""),4.0)</f>
        <v>4</v>
      </c>
      <c r="E1301">
        <f>IFERROR(__xludf.DUMMYFUNCTION("""COMPUTED_VALUE"""),4.0)</f>
        <v>4</v>
      </c>
      <c r="F1301" t="str">
        <f>IFERROR(__xludf.DUMMYFUNCTION("""COMPUTED_VALUE"""),"NA")</f>
        <v>NA</v>
      </c>
      <c r="G1301" t="str">
        <f>IFERROR(__xludf.DUMMYFUNCTION("""COMPUTED_VALUE"""),"BYE")</f>
        <v>BYE</v>
      </c>
      <c r="I1301" t="str">
        <f>IFERROR(__xludf.DUMMYFUNCTION("""COMPUTED_VALUE"""),"bye")</f>
        <v>bye</v>
      </c>
      <c r="J1301" t="str">
        <f>IFERROR(__xludf.DUMMYFUNCTION("""COMPUTED_VALUE"""),"bye")</f>
        <v>bye</v>
      </c>
      <c r="L1301">
        <f>IFERROR(__xludf.DUMMYFUNCTION("""COMPUTED_VALUE"""),9999.0)</f>
        <v>9999</v>
      </c>
      <c r="M1301" s="124">
        <v>10.0</v>
      </c>
    </row>
    <row r="1302">
      <c r="A1302" s="151">
        <f>IFERROR(__xludf.DUMMYFUNCTION("""COMPUTED_VALUE"""),43772.14775020833)</f>
        <v>43772.14775</v>
      </c>
      <c r="B1302" t="str">
        <f>IFERROR(__xludf.DUMMYFUNCTION("""COMPUTED_VALUE"""),"Brad")</f>
        <v>Brad</v>
      </c>
      <c r="C1302" s="169" t="str">
        <f>IFERROR(__xludf.DUMMYFUNCTION("""COMPUTED_VALUE"""),"EMU")</f>
        <v>EMU</v>
      </c>
      <c r="D1302">
        <f>IFERROR(__xludf.DUMMYFUNCTION("""COMPUTED_VALUE"""),4.0)</f>
        <v>4</v>
      </c>
      <c r="E1302">
        <f>IFERROR(__xludf.DUMMYFUNCTION("""COMPUTED_VALUE"""),5.0)</f>
        <v>5</v>
      </c>
      <c r="F1302" t="str">
        <f>IFERROR(__xludf.DUMMYFUNCTION("""COMPUTED_VALUE"""),"NA")</f>
        <v>NA</v>
      </c>
      <c r="G1302" t="str">
        <f>IFERROR(__xludf.DUMMYFUNCTION("""COMPUTED_VALUE"""),"Buffalo 43 at EMU 14")</f>
        <v>Buffalo 43 at EMU 14</v>
      </c>
      <c r="H1302" t="str">
        <f>IFERROR(__xludf.DUMMYFUNCTION("""COMPUTED_VALUE"""),"FINAL")</f>
        <v>FINAL</v>
      </c>
      <c r="I1302">
        <f>IFERROR(__xludf.DUMMYFUNCTION("""COMPUTED_VALUE"""),-2.0)</f>
        <v>-2</v>
      </c>
      <c r="J1302" t="str">
        <f>IFERROR(__xludf.DUMMYFUNCTION("""COMPUTED_VALUE"""),"50½")</f>
        <v>50½</v>
      </c>
      <c r="K1302" t="str">
        <f>IFERROR(__xludf.DUMMYFUNCTION("""COMPUTED_VALUE"""),"Justin")</f>
        <v>Justin</v>
      </c>
      <c r="L1302" t="str">
        <f>IFERROR(__xludf.DUMMYFUNCTION("""COMPUTED_VALUE"""),"FINAL")</f>
        <v>FINAL</v>
      </c>
      <c r="M1302" s="124">
        <v>10.0</v>
      </c>
    </row>
    <row r="1303">
      <c r="A1303" s="151">
        <f>IFERROR(__xludf.DUMMYFUNCTION("""COMPUTED_VALUE"""),43772.14775020833)</f>
        <v>43772.14775</v>
      </c>
      <c r="B1303" t="str">
        <f>IFERROR(__xludf.DUMMYFUNCTION("""COMPUTED_VALUE"""),"Brad")</f>
        <v>Brad</v>
      </c>
      <c r="C1303" s="169" t="str">
        <f>IFERROR(__xludf.DUMMYFUNCTION("""COMPUTED_VALUE"""),"Colorado State")</f>
        <v>Colorado State</v>
      </c>
      <c r="D1303">
        <f>IFERROR(__xludf.DUMMYFUNCTION("""COMPUTED_VALUE"""),4.0)</f>
        <v>4</v>
      </c>
      <c r="E1303">
        <f>IFERROR(__xludf.DUMMYFUNCTION("""COMPUTED_VALUE"""),5.0)</f>
        <v>5</v>
      </c>
      <c r="F1303" t="str">
        <f>IFERROR(__xludf.DUMMYFUNCTION("""COMPUTED_VALUE"""),"ATTRM")</f>
        <v>ATTRM</v>
      </c>
      <c r="G1303" t="str">
        <f>IFERROR(__xludf.DUMMYFUNCTION("""COMPUTED_VALUE"""),"UNLV 17 at Colorado State 37")</f>
        <v>UNLV 17 at Colorado State 37</v>
      </c>
      <c r="H1303" t="str">
        <f>IFERROR(__xludf.DUMMYFUNCTION("""COMPUTED_VALUE"""),"FINAL")</f>
        <v>FINAL</v>
      </c>
      <c r="I1303" t="str">
        <f>IFERROR(__xludf.DUMMYFUNCTION("""COMPUTED_VALUE"""),"-7½")</f>
        <v>-7½</v>
      </c>
      <c r="J1303" t="str">
        <f>IFERROR(__xludf.DUMMYFUNCTION("""COMPUTED_VALUE"""),"62½")</f>
        <v>62½</v>
      </c>
      <c r="K1303" t="str">
        <f>IFERROR(__xludf.DUMMYFUNCTION("""COMPUTED_VALUE"""),"Justin")</f>
        <v>Justin</v>
      </c>
      <c r="L1303" t="str">
        <f>IFERROR(__xludf.DUMMYFUNCTION("""COMPUTED_VALUE"""),"FINAL")</f>
        <v>FINAL</v>
      </c>
      <c r="M1303" s="124">
        <v>10.0</v>
      </c>
    </row>
    <row r="1304">
      <c r="A1304" s="151">
        <f>IFERROR(__xludf.DUMMYFUNCTION("""COMPUTED_VALUE"""),43772.14775020833)</f>
        <v>43772.14775</v>
      </c>
      <c r="B1304" t="str">
        <f>IFERROR(__xludf.DUMMYFUNCTION("""COMPUTED_VALUE"""),"Brad")</f>
        <v>Brad</v>
      </c>
      <c r="C1304" s="169" t="str">
        <f>IFERROR(__xludf.DUMMYFUNCTION("""COMPUTED_VALUE"""),"Miami")</f>
        <v>Miami</v>
      </c>
      <c r="D1304">
        <f>IFERROR(__xludf.DUMMYFUNCTION("""COMPUTED_VALUE"""),5.0)</f>
        <v>5</v>
      </c>
      <c r="E1304">
        <f>IFERROR(__xludf.DUMMYFUNCTION("""COMPUTED_VALUE"""),4.0)</f>
        <v>4</v>
      </c>
      <c r="F1304" t="str">
        <f>IFERROR(__xludf.DUMMYFUNCTION("""COMPUTED_VALUE"""),"ABC")</f>
        <v>ABC</v>
      </c>
      <c r="G1304" t="str">
        <f>IFERROR(__xludf.DUMMYFUNCTION("""COMPUTED_VALUE"""),"Miami 27 at Florida State 10")</f>
        <v>Miami 27 at Florida State 10</v>
      </c>
      <c r="H1304" t="str">
        <f>IFERROR(__xludf.DUMMYFUNCTION("""COMPUTED_VALUE"""),"FINAL")</f>
        <v>FINAL</v>
      </c>
      <c r="I1304" t="str">
        <f>IFERROR(__xludf.DUMMYFUNCTION("""COMPUTED_VALUE"""),"3½")</f>
        <v>3½</v>
      </c>
      <c r="J1304">
        <f>IFERROR(__xludf.DUMMYFUNCTION("""COMPUTED_VALUE"""),47.0)</f>
        <v>47</v>
      </c>
      <c r="K1304" t="str">
        <f>IFERROR(__xludf.DUMMYFUNCTION("""COMPUTED_VALUE"""),"Josh R.")</f>
        <v>Josh R.</v>
      </c>
      <c r="L1304" t="str">
        <f>IFERROR(__xludf.DUMMYFUNCTION("""COMPUTED_VALUE"""),"FINAL")</f>
        <v>FINAL</v>
      </c>
      <c r="M1304" s="124">
        <v>10.0</v>
      </c>
    </row>
    <row r="1305">
      <c r="A1305" s="151">
        <f>IFERROR(__xludf.DUMMYFUNCTION("""COMPUTED_VALUE"""),43772.14775020833)</f>
        <v>43772.14775</v>
      </c>
      <c r="B1305" t="str">
        <f>IFERROR(__xludf.DUMMYFUNCTION("""COMPUTED_VALUE"""),"Brad")</f>
        <v>Brad</v>
      </c>
      <c r="C1305" s="169" t="str">
        <f>IFERROR(__xludf.DUMMYFUNCTION("""COMPUTED_VALUE"""),"Oklahoma State")</f>
        <v>Oklahoma State</v>
      </c>
      <c r="D1305">
        <f>IFERROR(__xludf.DUMMYFUNCTION("""COMPUTED_VALUE"""),6.0)</f>
        <v>6</v>
      </c>
      <c r="E1305">
        <f>IFERROR(__xludf.DUMMYFUNCTION("""COMPUTED_VALUE"""),3.0)</f>
        <v>3</v>
      </c>
      <c r="F1305" t="str">
        <f>IFERROR(__xludf.DUMMYFUNCTION("""COMPUTED_VALUE"""),"ESPN")</f>
        <v>ESPN</v>
      </c>
      <c r="G1305" t="str">
        <f>IFERROR(__xludf.DUMMYFUNCTION("""COMPUTED_VALUE"""),"TCU 27 at Oklahoma State 34")</f>
        <v>TCU 27 at Oklahoma State 34</v>
      </c>
      <c r="H1305" t="str">
        <f>IFERROR(__xludf.DUMMYFUNCTION("""COMPUTED_VALUE"""),"FINAL")</f>
        <v>FINAL</v>
      </c>
      <c r="I1305">
        <f>IFERROR(__xludf.DUMMYFUNCTION("""COMPUTED_VALUE"""),-3.0)</f>
        <v>-3</v>
      </c>
      <c r="J1305" t="str">
        <f>IFERROR(__xludf.DUMMYFUNCTION("""COMPUTED_VALUE"""),"64½")</f>
        <v>64½</v>
      </c>
      <c r="K1305" t="str">
        <f>IFERROR(__xludf.DUMMYFUNCTION("""COMPUTED_VALUE"""),"Vu")</f>
        <v>Vu</v>
      </c>
      <c r="L1305" t="str">
        <f>IFERROR(__xludf.DUMMYFUNCTION("""COMPUTED_VALUE"""),"FINAL")</f>
        <v>FINAL</v>
      </c>
      <c r="M1305" s="124">
        <v>10.0</v>
      </c>
    </row>
    <row r="1306">
      <c r="A1306" s="151">
        <f>IFERROR(__xludf.DUMMYFUNCTION("""COMPUTED_VALUE"""),43772.14775020833)</f>
        <v>43772.14775</v>
      </c>
      <c r="B1306" t="str">
        <f>IFERROR(__xludf.DUMMYFUNCTION("""COMPUTED_VALUE"""),"Brad")</f>
        <v>Brad</v>
      </c>
      <c r="C1306" s="169" t="str">
        <f>IFERROR(__xludf.DUMMYFUNCTION("""COMPUTED_VALUE"""),"Utah")</f>
        <v>Utah</v>
      </c>
      <c r="D1306">
        <f>IFERROR(__xludf.DUMMYFUNCTION("""COMPUTED_VALUE"""),8.0)</f>
        <v>8</v>
      </c>
      <c r="E1306">
        <f>IFERROR(__xludf.DUMMYFUNCTION("""COMPUTED_VALUE"""),1.0)</f>
        <v>1</v>
      </c>
      <c r="F1306" t="str">
        <f>IFERROR(__xludf.DUMMYFUNCTION("""COMPUTED_VALUE"""),"FOX")</f>
        <v>FOX</v>
      </c>
      <c r="G1306" t="str">
        <f>IFERROR(__xludf.DUMMYFUNCTION("""COMPUTED_VALUE"""),"(10) Utah 33 at Washington 28")</f>
        <v>(10) Utah 33 at Washington 28</v>
      </c>
      <c r="H1306" t="str">
        <f>IFERROR(__xludf.DUMMYFUNCTION("""COMPUTED_VALUE"""),"FINAL")</f>
        <v>FINAL</v>
      </c>
      <c r="I1306">
        <f>IFERROR(__xludf.DUMMYFUNCTION("""COMPUTED_VALUE"""),-3.0)</f>
        <v>-3</v>
      </c>
      <c r="J1306">
        <f>IFERROR(__xludf.DUMMYFUNCTION("""COMPUTED_VALUE"""),47.0)</f>
        <v>47</v>
      </c>
      <c r="K1306" t="str">
        <f>IFERROR(__xludf.DUMMYFUNCTION("""COMPUTED_VALUE"""),"Vu")</f>
        <v>Vu</v>
      </c>
      <c r="L1306" t="str">
        <f>IFERROR(__xludf.DUMMYFUNCTION("""COMPUTED_VALUE"""),"FINAL")</f>
        <v>FINAL</v>
      </c>
      <c r="M1306" s="124">
        <v>10.0</v>
      </c>
    </row>
    <row r="1307">
      <c r="A1307" s="151">
        <f>IFERROR(__xludf.DUMMYFUNCTION("""COMPUTED_VALUE"""),43772.14775020833)</f>
        <v>43772.14775</v>
      </c>
      <c r="B1307" t="str">
        <f>IFERROR(__xludf.DUMMYFUNCTION("""COMPUTED_VALUE"""),"Brad")</f>
        <v>Brad</v>
      </c>
      <c r="C1307" s="169" t="str">
        <f>IFERROR(__xludf.DUMMYFUNCTION("""COMPUTED_VALUE"""),"Texas State")</f>
        <v>Texas State</v>
      </c>
      <c r="D1307">
        <f>IFERROR(__xludf.DUMMYFUNCTION("""COMPUTED_VALUE"""),2.0)</f>
        <v>2</v>
      </c>
      <c r="E1307">
        <f>IFERROR(__xludf.DUMMYFUNCTION("""COMPUTED_VALUE"""),6.0)</f>
        <v>6</v>
      </c>
      <c r="F1307" t="str">
        <f>IFERROR(__xludf.DUMMYFUNCTION("""COMPUTED_VALUE"""),"espn+ Video")</f>
        <v>espn+ Video</v>
      </c>
      <c r="G1307" t="str">
        <f>IFERROR(__xludf.DUMMYFUNCTION("""COMPUTED_VALUE"""),"Texas State 3 at UL Lafayette 31")</f>
        <v>Texas State 3 at UL Lafayette 31</v>
      </c>
      <c r="H1307" t="str">
        <f>IFERROR(__xludf.DUMMYFUNCTION("""COMPUTED_VALUE"""),"FINAL")</f>
        <v>FINAL</v>
      </c>
      <c r="I1307">
        <f>IFERROR(__xludf.DUMMYFUNCTION("""COMPUTED_VALUE"""),22.0)</f>
        <v>22</v>
      </c>
      <c r="J1307">
        <f>IFERROR(__xludf.DUMMYFUNCTION("""COMPUTED_VALUE"""),57.0)</f>
        <v>57</v>
      </c>
      <c r="K1307" t="str">
        <f>IFERROR(__xludf.DUMMYFUNCTION("""COMPUTED_VALUE"""),"Gary")</f>
        <v>Gary</v>
      </c>
      <c r="L1307" t="str">
        <f>IFERROR(__xludf.DUMMYFUNCTION("""COMPUTED_VALUE"""),"FINAL")</f>
        <v>FINAL</v>
      </c>
      <c r="M1307" s="124">
        <v>10.0</v>
      </c>
    </row>
    <row r="1308">
      <c r="A1308" s="151">
        <f>IFERROR(__xludf.DUMMYFUNCTION("""COMPUTED_VALUE"""),43772.14775020833)</f>
        <v>43772.14775</v>
      </c>
      <c r="B1308" t="str">
        <f>IFERROR(__xludf.DUMMYFUNCTION("""COMPUTED_VALUE"""),"Brad")</f>
        <v>Brad</v>
      </c>
      <c r="C1308" s="169" t="str">
        <f>IFERROR(__xludf.DUMMYFUNCTION("""COMPUTED_VALUE"""),"Indiana")</f>
        <v>Indiana</v>
      </c>
      <c r="D1308">
        <f>IFERROR(__xludf.DUMMYFUNCTION("""COMPUTED_VALUE"""),7.0)</f>
        <v>7</v>
      </c>
      <c r="E1308">
        <f>IFERROR(__xludf.DUMMYFUNCTION("""COMPUTED_VALUE"""),2.0)</f>
        <v>2</v>
      </c>
      <c r="F1308" t="str">
        <f>IFERROR(__xludf.DUMMYFUNCTION("""COMPUTED_VALUE"""),"FS1")</f>
        <v>FS1</v>
      </c>
      <c r="G1308" t="str">
        <f>IFERROR(__xludf.DUMMYFUNCTION("""COMPUTED_VALUE"""),"Northwestern 3 at Indiana 34")</f>
        <v>Northwestern 3 at Indiana 34</v>
      </c>
      <c r="H1308" t="str">
        <f>IFERROR(__xludf.DUMMYFUNCTION("""COMPUTED_VALUE"""),"FINAL")</f>
        <v>FINAL</v>
      </c>
      <c r="I1308" t="str">
        <f>IFERROR(__xludf.DUMMYFUNCTION("""COMPUTED_VALUE"""),"-12½")</f>
        <v>-12½</v>
      </c>
      <c r="J1308" t="str">
        <f>IFERROR(__xludf.DUMMYFUNCTION("""COMPUTED_VALUE"""),"45½")</f>
        <v>45½</v>
      </c>
      <c r="K1308" t="str">
        <f>IFERROR(__xludf.DUMMYFUNCTION("""COMPUTED_VALUE"""),"Adam")</f>
        <v>Adam</v>
      </c>
      <c r="L1308" t="str">
        <f>IFERROR(__xludf.DUMMYFUNCTION("""COMPUTED_VALUE"""),"FINAL")</f>
        <v>FINAL</v>
      </c>
      <c r="M1308" s="124">
        <v>10.0</v>
      </c>
    </row>
    <row r="1309">
      <c r="A1309" s="151">
        <f>IFERROR(__xludf.DUMMYFUNCTION("""COMPUTED_VALUE"""),43772.14775020833)</f>
        <v>43772.14775</v>
      </c>
      <c r="B1309" t="str">
        <f>IFERROR(__xludf.DUMMYFUNCTION("""COMPUTED_VALUE"""),"Brad")</f>
        <v>Brad</v>
      </c>
      <c r="C1309" s="169" t="str">
        <f>IFERROR(__xludf.DUMMYFUNCTION("""COMPUTED_VALUE"""),"Memphis")</f>
        <v>Memphis</v>
      </c>
      <c r="D1309">
        <f>IFERROR(__xludf.DUMMYFUNCTION("""COMPUTED_VALUE"""),8.0)</f>
        <v>8</v>
      </c>
      <c r="E1309">
        <f>IFERROR(__xludf.DUMMYFUNCTION("""COMPUTED_VALUE"""),1.0)</f>
        <v>1</v>
      </c>
      <c r="F1309" t="str">
        <f>IFERROR(__xludf.DUMMYFUNCTION("""COMPUTED_VALUE"""),"ABC")</f>
        <v>ABC</v>
      </c>
      <c r="G1309" t="str">
        <f>IFERROR(__xludf.DUMMYFUNCTION("""COMPUTED_VALUE"""),"(14) SMU 48 at (23) Memphis 54")</f>
        <v>(14) SMU 48 at (23) Memphis 54</v>
      </c>
      <c r="H1309" t="str">
        <f>IFERROR(__xludf.DUMMYFUNCTION("""COMPUTED_VALUE"""),"FINAL")</f>
        <v>FINAL</v>
      </c>
      <c r="I1309" t="str">
        <f>IFERROR(__xludf.DUMMYFUNCTION("""COMPUTED_VALUE"""),"-5½")</f>
        <v>-5½</v>
      </c>
      <c r="J1309" t="str">
        <f>IFERROR(__xludf.DUMMYFUNCTION("""COMPUTED_VALUE"""),"70½")</f>
        <v>70½</v>
      </c>
      <c r="K1309" t="str">
        <f>IFERROR(__xludf.DUMMYFUNCTION("""COMPUTED_VALUE"""),"Jeannine")</f>
        <v>Jeannine</v>
      </c>
      <c r="L1309" t="str">
        <f>IFERROR(__xludf.DUMMYFUNCTION("""COMPUTED_VALUE"""),"FINAL")</f>
        <v>FINAL</v>
      </c>
      <c r="M1309" s="124">
        <v>10.0</v>
      </c>
    </row>
    <row r="1310">
      <c r="A1310" s="151">
        <f>IFERROR(__xludf.DUMMYFUNCTION("""COMPUTED_VALUE"""),43772.14775020833)</f>
        <v>43772.14775</v>
      </c>
      <c r="B1310" t="str">
        <f>IFERROR(__xludf.DUMMYFUNCTION("""COMPUTED_VALUE"""),"Brad")</f>
        <v>Brad</v>
      </c>
      <c r="C1310" s="169" t="str">
        <f>IFERROR(__xludf.DUMMYFUNCTION("""COMPUTED_VALUE"""),"South Carolina")</f>
        <v>South Carolina</v>
      </c>
      <c r="D1310">
        <f>IFERROR(__xludf.DUMMYFUNCTION("""COMPUTED_VALUE"""),4.0)</f>
        <v>4</v>
      </c>
      <c r="E1310">
        <f>IFERROR(__xludf.DUMMYFUNCTION("""COMPUTED_VALUE"""),5.0)</f>
        <v>5</v>
      </c>
      <c r="F1310" t="str">
        <f>IFERROR(__xludf.DUMMYFUNCTION("""COMPUTED_VALUE"""),"SEC Network")</f>
        <v>SEC Network</v>
      </c>
      <c r="G1310" t="str">
        <f>IFERROR(__xludf.DUMMYFUNCTION("""COMPUTED_VALUE"""),"Vanderbilt 7 at South Carolina 24")</f>
        <v>Vanderbilt 7 at South Carolina 24</v>
      </c>
      <c r="H1310" t="str">
        <f>IFERROR(__xludf.DUMMYFUNCTION("""COMPUTED_VALUE"""),"FINAL")</f>
        <v>FINAL</v>
      </c>
      <c r="I1310" t="str">
        <f>IFERROR(__xludf.DUMMYFUNCTION("""COMPUTED_VALUE"""),"-16½")</f>
        <v>-16½</v>
      </c>
      <c r="J1310">
        <f>IFERROR(__xludf.DUMMYFUNCTION("""COMPUTED_VALUE"""),51.0)</f>
        <v>51</v>
      </c>
      <c r="K1310" t="str">
        <f>IFERROR(__xludf.DUMMYFUNCTION("""COMPUTED_VALUE"""),"Undrafted")</f>
        <v>Undrafted</v>
      </c>
      <c r="L1310" t="str">
        <f>IFERROR(__xludf.DUMMYFUNCTION("""COMPUTED_VALUE"""),"FINAL")</f>
        <v>FINAL</v>
      </c>
      <c r="M1310" s="124">
        <v>10.0</v>
      </c>
    </row>
    <row r="1311">
      <c r="A1311" s="151">
        <f>IFERROR(__xludf.DUMMYFUNCTION("""COMPUTED_VALUE"""),43772.14775020833)</f>
        <v>43772.14775</v>
      </c>
      <c r="B1311" t="str">
        <f>IFERROR(__xludf.DUMMYFUNCTION("""COMPUTED_VALUE"""),"Brad")</f>
        <v>Brad</v>
      </c>
      <c r="C1311" s="169" t="str">
        <f>IFERROR(__xludf.DUMMYFUNCTION("""COMPUTED_VALUE"""),"Louisiana Tech")</f>
        <v>Louisiana Tech</v>
      </c>
      <c r="D1311">
        <f>IFERROR(__xludf.DUMMYFUNCTION("""COMPUTED_VALUE"""),7.0)</f>
        <v>7</v>
      </c>
      <c r="E1311">
        <f>IFERROR(__xludf.DUMMYFUNCTION("""COMPUTED_VALUE"""),1.0)</f>
        <v>1</v>
      </c>
      <c r="F1311" t="str">
        <f>IFERROR(__xludf.DUMMYFUNCTION("""COMPUTED_VALUE"""),"NA")</f>
        <v>NA</v>
      </c>
      <c r="G1311" t="str">
        <f>IFERROR(__xludf.DUMMYFUNCTION("""COMPUTED_VALUE"""),"BYE")</f>
        <v>BYE</v>
      </c>
      <c r="I1311" t="str">
        <f>IFERROR(__xludf.DUMMYFUNCTION("""COMPUTED_VALUE"""),"bye")</f>
        <v>bye</v>
      </c>
      <c r="J1311" t="str">
        <f>IFERROR(__xludf.DUMMYFUNCTION("""COMPUTED_VALUE"""),"bye")</f>
        <v>bye</v>
      </c>
      <c r="L1311">
        <f>IFERROR(__xludf.DUMMYFUNCTION("""COMPUTED_VALUE"""),9999.0)</f>
        <v>9999</v>
      </c>
      <c r="M1311" s="124">
        <v>10.0</v>
      </c>
    </row>
    <row r="1312">
      <c r="A1312" s="151">
        <f>IFERROR(__xludf.DUMMYFUNCTION("""COMPUTED_VALUE"""),43772.14775020833)</f>
        <v>43772.14775</v>
      </c>
      <c r="B1312" t="str">
        <f>IFERROR(__xludf.DUMMYFUNCTION("""COMPUTED_VALUE"""),"Nick G.")</f>
        <v>Nick G.</v>
      </c>
      <c r="C1312" s="169" t="str">
        <f>IFERROR(__xludf.DUMMYFUNCTION("""COMPUTED_VALUE"""),"UConn")</f>
        <v>UConn</v>
      </c>
      <c r="D1312">
        <f>IFERROR(__xludf.DUMMYFUNCTION("""COMPUTED_VALUE"""),2.0)</f>
        <v>2</v>
      </c>
      <c r="E1312">
        <f>IFERROR(__xludf.DUMMYFUNCTION("""COMPUTED_VALUE"""),7.0)</f>
        <v>7</v>
      </c>
      <c r="F1312" t="str">
        <f>IFERROR(__xludf.DUMMYFUNCTION("""COMPUTED_VALUE"""),"ESPN2")</f>
        <v>ESPN2</v>
      </c>
      <c r="G1312" t="str">
        <f>IFERROR(__xludf.DUMMYFUNCTION("""COMPUTED_VALUE"""),"Navy 56 at UConn 10")</f>
        <v>Navy 56 at UConn 10</v>
      </c>
      <c r="H1312" t="str">
        <f>IFERROR(__xludf.DUMMYFUNCTION("""COMPUTED_VALUE"""),"FINAL")</f>
        <v>FINAL</v>
      </c>
      <c r="I1312" t="str">
        <f>IFERROR(__xludf.DUMMYFUNCTION("""COMPUTED_VALUE"""),"27½")</f>
        <v>27½</v>
      </c>
      <c r="J1312">
        <f>IFERROR(__xludf.DUMMYFUNCTION("""COMPUTED_VALUE"""),56.0)</f>
        <v>56</v>
      </c>
      <c r="K1312" t="str">
        <f>IFERROR(__xludf.DUMMYFUNCTION("""COMPUTED_VALUE"""),"Janice/Mike")</f>
        <v>Janice/Mike</v>
      </c>
      <c r="L1312" t="str">
        <f>IFERROR(__xludf.DUMMYFUNCTION("""COMPUTED_VALUE"""),"FINAL")</f>
        <v>FINAL</v>
      </c>
      <c r="M1312" s="124">
        <v>10.0</v>
      </c>
    </row>
    <row r="1313">
      <c r="A1313" s="151">
        <f>IFERROR(__xludf.DUMMYFUNCTION("""COMPUTED_VALUE"""),43772.14775020833)</f>
        <v>43772.14775</v>
      </c>
      <c r="B1313" t="str">
        <f>IFERROR(__xludf.DUMMYFUNCTION("""COMPUTED_VALUE"""),"Nick G.")</f>
        <v>Nick G.</v>
      </c>
      <c r="C1313" s="169" t="str">
        <f>IFERROR(__xludf.DUMMYFUNCTION("""COMPUTED_VALUE"""),"NC State")</f>
        <v>NC State</v>
      </c>
      <c r="D1313">
        <f>IFERROR(__xludf.DUMMYFUNCTION("""COMPUTED_VALUE"""),4.0)</f>
        <v>4</v>
      </c>
      <c r="E1313">
        <f>IFERROR(__xludf.DUMMYFUNCTION("""COMPUTED_VALUE"""),4.0)</f>
        <v>4</v>
      </c>
      <c r="F1313" t="str">
        <f>IFERROR(__xludf.DUMMYFUNCTION("""COMPUTED_VALUE"""),"ESPN")</f>
        <v>ESPN</v>
      </c>
      <c r="G1313" t="str">
        <f>IFERROR(__xludf.DUMMYFUNCTION("""COMPUTED_VALUE"""),"NC State 10 at (22) Wake Forest 44")</f>
        <v>NC State 10 at (22) Wake Forest 44</v>
      </c>
      <c r="H1313" t="str">
        <f>IFERROR(__xludf.DUMMYFUNCTION("""COMPUTED_VALUE"""),"FINAL")</f>
        <v>FINAL</v>
      </c>
      <c r="I1313" t="str">
        <f>IFERROR(__xludf.DUMMYFUNCTION("""COMPUTED_VALUE"""),"7½")</f>
        <v>7½</v>
      </c>
      <c r="J1313">
        <f>IFERROR(__xludf.DUMMYFUNCTION("""COMPUTED_VALUE"""),61.0)</f>
        <v>61</v>
      </c>
      <c r="K1313" t="str">
        <f>IFERROR(__xludf.DUMMYFUNCTION("""COMPUTED_VALUE"""),"Adam")</f>
        <v>Adam</v>
      </c>
      <c r="L1313" t="str">
        <f>IFERROR(__xludf.DUMMYFUNCTION("""COMPUTED_VALUE"""),"FINAL")</f>
        <v>FINAL</v>
      </c>
      <c r="M1313" s="124">
        <v>10.0</v>
      </c>
    </row>
    <row r="1314">
      <c r="A1314" s="151">
        <f>IFERROR(__xludf.DUMMYFUNCTION("""COMPUTED_VALUE"""),43772.14775020833)</f>
        <v>43772.14775</v>
      </c>
      <c r="B1314" t="str">
        <f>IFERROR(__xludf.DUMMYFUNCTION("""COMPUTED_VALUE"""),"Nick G.")</f>
        <v>Nick G.</v>
      </c>
      <c r="C1314" s="169" t="str">
        <f>IFERROR(__xludf.DUMMYFUNCTION("""COMPUTED_VALUE"""),"Central Michigan")</f>
        <v>Central Michigan</v>
      </c>
      <c r="D1314">
        <f>IFERROR(__xludf.DUMMYFUNCTION("""COMPUTED_VALUE"""),6.0)</f>
        <v>6</v>
      </c>
      <c r="E1314">
        <f>IFERROR(__xludf.DUMMYFUNCTION("""COMPUTED_VALUE"""),4.0)</f>
        <v>4</v>
      </c>
      <c r="F1314" t="str">
        <f>IFERROR(__xludf.DUMMYFUNCTION("""COMPUTED_VALUE"""),"CBSSN")</f>
        <v>CBSSN</v>
      </c>
      <c r="G1314" t="str">
        <f>IFERROR(__xludf.DUMMYFUNCTION("""COMPUTED_VALUE"""),"Northern Illinois 10 at Central Michigan 48")</f>
        <v>Northern Illinois 10 at Central Michigan 48</v>
      </c>
      <c r="H1314" t="str">
        <f>IFERROR(__xludf.DUMMYFUNCTION("""COMPUTED_VALUE"""),"FINAL")</f>
        <v>FINAL</v>
      </c>
      <c r="I1314">
        <f>IFERROR(__xludf.DUMMYFUNCTION("""COMPUTED_VALUE"""),1.0)</f>
        <v>1</v>
      </c>
      <c r="J1314" t="str">
        <f>IFERROR(__xludf.DUMMYFUNCTION("""COMPUTED_VALUE"""),"52½")</f>
        <v>52½</v>
      </c>
      <c r="K1314" t="str">
        <f>IFERROR(__xludf.DUMMYFUNCTION("""COMPUTED_VALUE"""),"Janice/Mike")</f>
        <v>Janice/Mike</v>
      </c>
      <c r="L1314" t="str">
        <f>IFERROR(__xludf.DUMMYFUNCTION("""COMPUTED_VALUE"""),"FINAL")</f>
        <v>FINAL</v>
      </c>
      <c r="M1314" s="124">
        <v>10.0</v>
      </c>
    </row>
    <row r="1315">
      <c r="A1315" s="151">
        <f>IFERROR(__xludf.DUMMYFUNCTION("""COMPUTED_VALUE"""),43772.14775020833)</f>
        <v>43772.14775</v>
      </c>
      <c r="B1315" t="str">
        <f>IFERROR(__xludf.DUMMYFUNCTION("""COMPUTED_VALUE"""),"Nick G.")</f>
        <v>Nick G.</v>
      </c>
      <c r="C1315" s="169" t="str">
        <f>IFERROR(__xludf.DUMMYFUNCTION("""COMPUTED_VALUE"""),"Troy")</f>
        <v>Troy</v>
      </c>
      <c r="D1315">
        <f>IFERROR(__xludf.DUMMYFUNCTION("""COMPUTED_VALUE"""),3.0)</f>
        <v>3</v>
      </c>
      <c r="E1315">
        <f>IFERROR(__xludf.DUMMYFUNCTION("""COMPUTED_VALUE"""),5.0)</f>
        <v>5</v>
      </c>
      <c r="F1315" t="str">
        <f>IFERROR(__xludf.DUMMYFUNCTION("""COMPUTED_VALUE"""),"espn3 Video")</f>
        <v>espn3 Video</v>
      </c>
      <c r="G1315" t="str">
        <f>IFERROR(__xludf.DUMMYFUNCTION("""COMPUTED_VALUE"""),"Troy 35 at Coastal Carolina 36")</f>
        <v>Troy 35 at Coastal Carolina 36</v>
      </c>
      <c r="H1315" t="str">
        <f>IFERROR(__xludf.DUMMYFUNCTION("""COMPUTED_VALUE"""),"FINAL")</f>
        <v>FINAL</v>
      </c>
      <c r="I1315">
        <f>IFERROR(__xludf.DUMMYFUNCTION("""COMPUTED_VALUE"""),-1.0)</f>
        <v>-1</v>
      </c>
      <c r="J1315" t="str">
        <f>IFERROR(__xludf.DUMMYFUNCTION("""COMPUTED_VALUE"""),"61½")</f>
        <v>61½</v>
      </c>
      <c r="K1315" t="str">
        <f>IFERROR(__xludf.DUMMYFUNCTION("""COMPUTED_VALUE"""),"DavEmily")</f>
        <v>DavEmily</v>
      </c>
      <c r="L1315" t="str">
        <f>IFERROR(__xludf.DUMMYFUNCTION("""COMPUTED_VALUE"""),"FINAL")</f>
        <v>FINAL</v>
      </c>
      <c r="M1315" s="124">
        <v>10.0</v>
      </c>
    </row>
    <row r="1316">
      <c r="A1316" s="151">
        <f>IFERROR(__xludf.DUMMYFUNCTION("""COMPUTED_VALUE"""),43772.14775020833)</f>
        <v>43772.14775</v>
      </c>
      <c r="B1316" t="str">
        <f>IFERROR(__xludf.DUMMYFUNCTION("""COMPUTED_VALUE"""),"Nick G.")</f>
        <v>Nick G.</v>
      </c>
      <c r="C1316" s="169" t="str">
        <f>IFERROR(__xludf.DUMMYFUNCTION("""COMPUTED_VALUE"""),"Kansas State")</f>
        <v>Kansas State</v>
      </c>
      <c r="D1316">
        <f>IFERROR(__xludf.DUMMYFUNCTION("""COMPUTED_VALUE"""),6.0)</f>
        <v>6</v>
      </c>
      <c r="E1316">
        <f>IFERROR(__xludf.DUMMYFUNCTION("""COMPUTED_VALUE"""),2.0)</f>
        <v>2</v>
      </c>
      <c r="F1316" t="str">
        <f>IFERROR(__xludf.DUMMYFUNCTION("""COMPUTED_VALUE"""),"FS1")</f>
        <v>FS1</v>
      </c>
      <c r="G1316" t="str">
        <f>IFERROR(__xludf.DUMMYFUNCTION("""COMPUTED_VALUE"""),"(25) Kansas State 38 at Kansas 10")</f>
        <v>(25) Kansas State 38 at Kansas 10</v>
      </c>
      <c r="H1316" t="str">
        <f>IFERROR(__xludf.DUMMYFUNCTION("""COMPUTED_VALUE"""),"FINAL")</f>
        <v>FINAL</v>
      </c>
      <c r="I1316">
        <f>IFERROR(__xludf.DUMMYFUNCTION("""COMPUTED_VALUE"""),-5.0)</f>
        <v>-5</v>
      </c>
      <c r="J1316" t="str">
        <f>IFERROR(__xludf.DUMMYFUNCTION("""COMPUTED_VALUE"""),"57½")</f>
        <v>57½</v>
      </c>
      <c r="K1316" t="str">
        <f>IFERROR(__xludf.DUMMYFUNCTION("""COMPUTED_VALUE"""),"Josh R.")</f>
        <v>Josh R.</v>
      </c>
      <c r="L1316" t="str">
        <f>IFERROR(__xludf.DUMMYFUNCTION("""COMPUTED_VALUE"""),"FINAL")</f>
        <v>FINAL</v>
      </c>
      <c r="M1316" s="124">
        <v>10.0</v>
      </c>
    </row>
    <row r="1317">
      <c r="A1317" s="151">
        <f>IFERROR(__xludf.DUMMYFUNCTION("""COMPUTED_VALUE"""),43772.14775020833)</f>
        <v>43772.14775</v>
      </c>
      <c r="B1317" t="str">
        <f>IFERROR(__xludf.DUMMYFUNCTION("""COMPUTED_VALUE"""),"Nick G.")</f>
        <v>Nick G.</v>
      </c>
      <c r="C1317" s="169" t="str">
        <f>IFERROR(__xludf.DUMMYFUNCTION("""COMPUTED_VALUE"""),"Florida Atlantic")</f>
        <v>Florida Atlantic</v>
      </c>
      <c r="D1317">
        <f>IFERROR(__xludf.DUMMYFUNCTION("""COMPUTED_VALUE"""),6.0)</f>
        <v>6</v>
      </c>
      <c r="E1317">
        <f>IFERROR(__xludf.DUMMYFUNCTION("""COMPUTED_VALUE"""),3.0)</f>
        <v>3</v>
      </c>
      <c r="F1317" t="str">
        <f>IFERROR(__xludf.DUMMYFUNCTION("""COMPUTED_VALUE"""),"espn+ Video")</f>
        <v>espn+ Video</v>
      </c>
      <c r="G1317" t="str">
        <f>IFERROR(__xludf.DUMMYFUNCTION("""COMPUTED_VALUE"""),"Florida Atlantic 35 at Western Kentucky 24")</f>
        <v>Florida Atlantic 35 at Western Kentucky 24</v>
      </c>
      <c r="H1317" t="str">
        <f>IFERROR(__xludf.DUMMYFUNCTION("""COMPUTED_VALUE"""),"FINAL")</f>
        <v>FINAL</v>
      </c>
      <c r="I1317">
        <f>IFERROR(__xludf.DUMMYFUNCTION("""COMPUTED_VALUE"""),3.0)</f>
        <v>3</v>
      </c>
      <c r="J1317">
        <f>IFERROR(__xludf.DUMMYFUNCTION("""COMPUTED_VALUE"""),48.0)</f>
        <v>48</v>
      </c>
      <c r="K1317" t="str">
        <f>IFERROR(__xludf.DUMMYFUNCTION("""COMPUTED_VALUE"""),"Justin")</f>
        <v>Justin</v>
      </c>
      <c r="L1317" t="str">
        <f>IFERROR(__xludf.DUMMYFUNCTION("""COMPUTED_VALUE"""),"FINAL")</f>
        <v>FINAL</v>
      </c>
      <c r="M1317" s="124">
        <v>10.0</v>
      </c>
    </row>
    <row r="1318">
      <c r="A1318" s="151">
        <f>IFERROR(__xludf.DUMMYFUNCTION("""COMPUTED_VALUE"""),43772.14775020833)</f>
        <v>43772.14775</v>
      </c>
      <c r="B1318" t="str">
        <f>IFERROR(__xludf.DUMMYFUNCTION("""COMPUTED_VALUE"""),"Nick G.")</f>
        <v>Nick G.</v>
      </c>
      <c r="C1318" s="169" t="str">
        <f>IFERROR(__xludf.DUMMYFUNCTION("""COMPUTED_VALUE"""),"Auburn")</f>
        <v>Auburn</v>
      </c>
      <c r="D1318">
        <f>IFERROR(__xludf.DUMMYFUNCTION("""COMPUTED_VALUE"""),7.0)</f>
        <v>7</v>
      </c>
      <c r="E1318">
        <f>IFERROR(__xludf.DUMMYFUNCTION("""COMPUTED_VALUE"""),2.0)</f>
        <v>2</v>
      </c>
      <c r="F1318" t="str">
        <f>IFERROR(__xludf.DUMMYFUNCTION("""COMPUTED_VALUE"""),"ESPN")</f>
        <v>ESPN</v>
      </c>
      <c r="G1318" t="str">
        <f>IFERROR(__xludf.DUMMYFUNCTION("""COMPUTED_VALUE"""),"Ole Miss 14 at (12) Auburn 20")</f>
        <v>Ole Miss 14 at (12) Auburn 20</v>
      </c>
      <c r="H1318" t="str">
        <f>IFERROR(__xludf.DUMMYFUNCTION("""COMPUTED_VALUE"""),"FINAL")</f>
        <v>FINAL</v>
      </c>
      <c r="I1318" t="str">
        <f>IFERROR(__xludf.DUMMYFUNCTION("""COMPUTED_VALUE"""),"-18½")</f>
        <v>-18½</v>
      </c>
      <c r="J1318" t="str">
        <f>IFERROR(__xludf.DUMMYFUNCTION("""COMPUTED_VALUE"""),"52½")</f>
        <v>52½</v>
      </c>
      <c r="K1318" t="str">
        <f>IFERROR(__xludf.DUMMYFUNCTION("""COMPUTED_VALUE"""),"Undrafted")</f>
        <v>Undrafted</v>
      </c>
      <c r="L1318" t="str">
        <f>IFERROR(__xludf.DUMMYFUNCTION("""COMPUTED_VALUE"""),"FINAL")</f>
        <v>FINAL</v>
      </c>
      <c r="M1318" s="124">
        <v>10.0</v>
      </c>
    </row>
    <row r="1319">
      <c r="A1319" s="151">
        <f>IFERROR(__xludf.DUMMYFUNCTION("""COMPUTED_VALUE"""),43772.14775020833)</f>
        <v>43772.14775</v>
      </c>
      <c r="B1319" t="str">
        <f>IFERROR(__xludf.DUMMYFUNCTION("""COMPUTED_VALUE"""),"Nick G.")</f>
        <v>Nick G.</v>
      </c>
      <c r="C1319" s="169" t="str">
        <f>IFERROR(__xludf.DUMMYFUNCTION("""COMPUTED_VALUE"""),"Ohio State")</f>
        <v>Ohio State</v>
      </c>
      <c r="D1319">
        <f>IFERROR(__xludf.DUMMYFUNCTION("""COMPUTED_VALUE"""),8.0)</f>
        <v>8</v>
      </c>
      <c r="E1319">
        <f>IFERROR(__xludf.DUMMYFUNCTION("""COMPUTED_VALUE"""),0.0)</f>
        <v>0</v>
      </c>
      <c r="F1319" t="str">
        <f>IFERROR(__xludf.DUMMYFUNCTION("""COMPUTED_VALUE"""),"NA")</f>
        <v>NA</v>
      </c>
      <c r="G1319" t="str">
        <f>IFERROR(__xludf.DUMMYFUNCTION("""COMPUTED_VALUE"""),"BYE")</f>
        <v>BYE</v>
      </c>
      <c r="I1319" t="str">
        <f>IFERROR(__xludf.DUMMYFUNCTION("""COMPUTED_VALUE"""),"bye")</f>
        <v>bye</v>
      </c>
      <c r="J1319" t="str">
        <f>IFERROR(__xludf.DUMMYFUNCTION("""COMPUTED_VALUE"""),"bye")</f>
        <v>bye</v>
      </c>
      <c r="L1319">
        <f>IFERROR(__xludf.DUMMYFUNCTION("""COMPUTED_VALUE"""),9999.0)</f>
        <v>9999</v>
      </c>
      <c r="M1319" s="124">
        <v>10.0</v>
      </c>
    </row>
    <row r="1320">
      <c r="A1320" s="151">
        <f>IFERROR(__xludf.DUMMYFUNCTION("""COMPUTED_VALUE"""),43772.14775020833)</f>
        <v>43772.14775</v>
      </c>
      <c r="B1320" t="str">
        <f>IFERROR(__xludf.DUMMYFUNCTION("""COMPUTED_VALUE"""),"Nick G.")</f>
        <v>Nick G.</v>
      </c>
      <c r="C1320" s="169" t="str">
        <f>IFERROR(__xludf.DUMMYFUNCTION("""COMPUTED_VALUE"""),"Wyoming")</f>
        <v>Wyoming</v>
      </c>
      <c r="D1320">
        <f>IFERROR(__xludf.DUMMYFUNCTION("""COMPUTED_VALUE"""),6.0)</f>
        <v>6</v>
      </c>
      <c r="E1320">
        <f>IFERROR(__xludf.DUMMYFUNCTION("""COMPUTED_VALUE"""),2.0)</f>
        <v>2</v>
      </c>
      <c r="F1320" t="str">
        <f>IFERROR(__xludf.DUMMYFUNCTION("""COMPUTED_VALUE"""),"NA")</f>
        <v>NA</v>
      </c>
      <c r="G1320" t="str">
        <f>IFERROR(__xludf.DUMMYFUNCTION("""COMPUTED_VALUE"""),"BYE")</f>
        <v>BYE</v>
      </c>
      <c r="I1320" t="str">
        <f>IFERROR(__xludf.DUMMYFUNCTION("""COMPUTED_VALUE"""),"bye")</f>
        <v>bye</v>
      </c>
      <c r="J1320" t="str">
        <f>IFERROR(__xludf.DUMMYFUNCTION("""COMPUTED_VALUE"""),"bye")</f>
        <v>bye</v>
      </c>
      <c r="L1320">
        <f>IFERROR(__xludf.DUMMYFUNCTION("""COMPUTED_VALUE"""),9999.0)</f>
        <v>9999</v>
      </c>
      <c r="M1320" s="124">
        <v>10.0</v>
      </c>
    </row>
    <row r="1321">
      <c r="A1321" s="151">
        <f>IFERROR(__xludf.DUMMYFUNCTION("""COMPUTED_VALUE"""),43772.14775020833)</f>
        <v>43772.14775</v>
      </c>
      <c r="B1321" t="str">
        <f>IFERROR(__xludf.DUMMYFUNCTION("""COMPUTED_VALUE"""),"Nick G.")</f>
        <v>Nick G.</v>
      </c>
      <c r="C1321" s="169" t="str">
        <f>IFERROR(__xludf.DUMMYFUNCTION("""COMPUTED_VALUE"""),"Stanford")</f>
        <v>Stanford</v>
      </c>
      <c r="D1321">
        <f>IFERROR(__xludf.DUMMYFUNCTION("""COMPUTED_VALUE"""),4.0)</f>
        <v>4</v>
      </c>
      <c r="E1321">
        <f>IFERROR(__xludf.DUMMYFUNCTION("""COMPUTED_VALUE"""),4.0)</f>
        <v>4</v>
      </c>
      <c r="F1321" t="str">
        <f>IFERROR(__xludf.DUMMYFUNCTION("""COMPUTED_VALUE"""),"NA")</f>
        <v>NA</v>
      </c>
      <c r="G1321" t="str">
        <f>IFERROR(__xludf.DUMMYFUNCTION("""COMPUTED_VALUE"""),"BYE")</f>
        <v>BYE</v>
      </c>
      <c r="I1321" t="str">
        <f>IFERROR(__xludf.DUMMYFUNCTION("""COMPUTED_VALUE"""),"bye")</f>
        <v>bye</v>
      </c>
      <c r="J1321" t="str">
        <f>IFERROR(__xludf.DUMMYFUNCTION("""COMPUTED_VALUE"""),"bye")</f>
        <v>bye</v>
      </c>
      <c r="L1321">
        <f>IFERROR(__xludf.DUMMYFUNCTION("""COMPUTED_VALUE"""),9999.0)</f>
        <v>9999</v>
      </c>
      <c r="M1321" s="124">
        <v>10.0</v>
      </c>
    </row>
    <row r="1322">
      <c r="A1322" s="151">
        <f>IFERROR(__xludf.DUMMYFUNCTION("""COMPUTED_VALUE"""),43779.14775225695)</f>
        <v>43779.14775</v>
      </c>
      <c r="B1322" t="str">
        <f>IFERROR(__xludf.DUMMYFUNCTION("""COMPUTED_VALUE"""),"DavEmily")</f>
        <v>DavEmily</v>
      </c>
      <c r="C1322" s="169" t="str">
        <f>IFERROR(__xludf.DUMMYFUNCTION("""COMPUTED_VALUE"""),"Ball State")</f>
        <v>Ball State</v>
      </c>
      <c r="D1322">
        <f>IFERROR(__xludf.DUMMYFUNCTION("""COMPUTED_VALUE"""),4.0)</f>
        <v>4</v>
      </c>
      <c r="E1322">
        <f>IFERROR(__xludf.DUMMYFUNCTION("""COMPUTED_VALUE"""),5.0)</f>
        <v>5</v>
      </c>
      <c r="F1322" t="str">
        <f>IFERROR(__xludf.DUMMYFUNCTION("""COMPUTED_VALUE"""),"ESPN2")</f>
        <v>ESPN2</v>
      </c>
      <c r="G1322" t="str">
        <f>IFERROR(__xludf.DUMMYFUNCTION("""COMPUTED_VALUE"""),"Ball State 31 at Western Michigan 35")</f>
        <v>Ball State 31 at Western Michigan 35</v>
      </c>
      <c r="H1322" t="str">
        <f>IFERROR(__xludf.DUMMYFUNCTION("""COMPUTED_VALUE"""),"FINAL")</f>
        <v>FINAL</v>
      </c>
      <c r="I1322" t="str">
        <f>IFERROR(__xludf.DUMMYFUNCTION("""COMPUTED_VALUE"""),"6½")</f>
        <v>6½</v>
      </c>
      <c r="J1322">
        <f>IFERROR(__xludf.DUMMYFUNCTION("""COMPUTED_VALUE"""),63.0)</f>
        <v>63</v>
      </c>
      <c r="K1322" t="str">
        <f>IFERROR(__xludf.DUMMYFUNCTION("""COMPUTED_VALUE"""),"Jeannine")</f>
        <v>Jeannine</v>
      </c>
      <c r="L1322" t="str">
        <f>IFERROR(__xludf.DUMMYFUNCTION("""COMPUTED_VALUE"""),"FINAL")</f>
        <v>FINAL</v>
      </c>
      <c r="M1322" s="124">
        <v>11.0</v>
      </c>
    </row>
    <row r="1323">
      <c r="A1323" s="151">
        <f>IFERROR(__xludf.DUMMYFUNCTION("""COMPUTED_VALUE"""),43779.14775225695)</f>
        <v>43779.14775</v>
      </c>
      <c r="B1323" t="str">
        <f>IFERROR(__xludf.DUMMYFUNCTION("""COMPUTED_VALUE"""),"DavEmily")</f>
        <v>DavEmily</v>
      </c>
      <c r="C1323" s="169" t="str">
        <f>IFERROR(__xludf.DUMMYFUNCTION("""COMPUTED_VALUE"""),"Coastal Carolina")</f>
        <v>Coastal Carolina</v>
      </c>
      <c r="D1323">
        <f>IFERROR(__xludf.DUMMYFUNCTION("""COMPUTED_VALUE"""),4.0)</f>
        <v>4</v>
      </c>
      <c r="E1323">
        <f>IFERROR(__xludf.DUMMYFUNCTION("""COMPUTED_VALUE"""),5.0)</f>
        <v>5</v>
      </c>
      <c r="F1323" t="str">
        <f>IFERROR(__xludf.DUMMYFUNCTION("""COMPUTED_VALUE"""),"ESPNU")</f>
        <v>ESPNU</v>
      </c>
      <c r="G1323" t="str">
        <f>IFERROR(__xludf.DUMMYFUNCTION("""COMPUTED_VALUE"""),"UL Lafayette 48 at Coastal Carolina 7")</f>
        <v>UL Lafayette 48 at Coastal Carolina 7</v>
      </c>
      <c r="H1323" t="str">
        <f>IFERROR(__xludf.DUMMYFUNCTION("""COMPUTED_VALUE"""),"FINAL")</f>
        <v>FINAL</v>
      </c>
      <c r="I1323">
        <f>IFERROR(__xludf.DUMMYFUNCTION("""COMPUTED_VALUE"""),14.0)</f>
        <v>14</v>
      </c>
      <c r="J1323">
        <f>IFERROR(__xludf.DUMMYFUNCTION("""COMPUTED_VALUE"""),58.0)</f>
        <v>58</v>
      </c>
      <c r="K1323" t="str">
        <f>IFERROR(__xludf.DUMMYFUNCTION("""COMPUTED_VALUE"""),"Gary")</f>
        <v>Gary</v>
      </c>
      <c r="L1323" t="str">
        <f>IFERROR(__xludf.DUMMYFUNCTION("""COMPUTED_VALUE"""),"FINAL")</f>
        <v>FINAL</v>
      </c>
      <c r="M1323" s="124">
        <v>11.0</v>
      </c>
    </row>
    <row r="1324">
      <c r="A1324" s="151">
        <f>IFERROR(__xludf.DUMMYFUNCTION("""COMPUTED_VALUE"""),43779.14775225695)</f>
        <v>43779.14775</v>
      </c>
      <c r="B1324" t="str">
        <f>IFERROR(__xludf.DUMMYFUNCTION("""COMPUTED_VALUE"""),"DavEmily")</f>
        <v>DavEmily</v>
      </c>
      <c r="C1324" s="169" t="str">
        <f>IFERROR(__xludf.DUMMYFUNCTION("""COMPUTED_VALUE"""),"Tulsa")</f>
        <v>Tulsa</v>
      </c>
      <c r="D1324">
        <f>IFERROR(__xludf.DUMMYFUNCTION("""COMPUTED_VALUE"""),3.0)</f>
        <v>3</v>
      </c>
      <c r="E1324">
        <f>IFERROR(__xludf.DUMMYFUNCTION("""COMPUTED_VALUE"""),7.0)</f>
        <v>7</v>
      </c>
      <c r="F1324" t="str">
        <f>IFERROR(__xludf.DUMMYFUNCTION("""COMPUTED_VALUE"""),"ESPN2")</f>
        <v>ESPN2</v>
      </c>
      <c r="G1324" t="str">
        <f>IFERROR(__xludf.DUMMYFUNCTION("""COMPUTED_VALUE"""),"UCF 31 at Tulsa 34")</f>
        <v>UCF 31 at Tulsa 34</v>
      </c>
      <c r="H1324" t="str">
        <f>IFERROR(__xludf.DUMMYFUNCTION("""COMPUTED_VALUE"""),"FINAL")</f>
        <v>FINAL</v>
      </c>
      <c r="I1324">
        <f>IFERROR(__xludf.DUMMYFUNCTION("""COMPUTED_VALUE"""),17.0)</f>
        <v>17</v>
      </c>
      <c r="J1324">
        <f>IFERROR(__xludf.DUMMYFUNCTION("""COMPUTED_VALUE"""),71.0)</f>
        <v>71</v>
      </c>
      <c r="K1324" t="str">
        <f>IFERROR(__xludf.DUMMYFUNCTION("""COMPUTED_VALUE"""),"Adam")</f>
        <v>Adam</v>
      </c>
      <c r="L1324" t="str">
        <f>IFERROR(__xludf.DUMMYFUNCTION("""COMPUTED_VALUE"""),"FINAL")</f>
        <v>FINAL</v>
      </c>
      <c r="M1324" s="124">
        <v>11.0</v>
      </c>
    </row>
    <row r="1325">
      <c r="A1325" s="151">
        <f>IFERROR(__xludf.DUMMYFUNCTION("""COMPUTED_VALUE"""),43779.14775225695)</f>
        <v>43779.14775</v>
      </c>
      <c r="B1325" t="str">
        <f>IFERROR(__xludf.DUMMYFUNCTION("""COMPUTED_VALUE"""),"DavEmily")</f>
        <v>DavEmily</v>
      </c>
      <c r="C1325" s="169" t="str">
        <f>IFERROR(__xludf.DUMMYFUNCTION("""COMPUTED_VALUE"""),"UTSA")</f>
        <v>UTSA</v>
      </c>
      <c r="D1325">
        <f>IFERROR(__xludf.DUMMYFUNCTION("""COMPUTED_VALUE"""),4.0)</f>
        <v>4</v>
      </c>
      <c r="E1325">
        <f>IFERROR(__xludf.DUMMYFUNCTION("""COMPUTED_VALUE"""),5.0)</f>
        <v>5</v>
      </c>
      <c r="F1325" t="str">
        <f>IFERROR(__xludf.DUMMYFUNCTION("""COMPUTED_VALUE"""),"espn3 Video")</f>
        <v>espn3 Video</v>
      </c>
      <c r="G1325" t="str">
        <f>IFERROR(__xludf.DUMMYFUNCTION("""COMPUTED_VALUE"""),"UTSA 24 at Old Dominion 23")</f>
        <v>UTSA 24 at Old Dominion 23</v>
      </c>
      <c r="H1325" t="str">
        <f>IFERROR(__xludf.DUMMYFUNCTION("""COMPUTED_VALUE"""),"FINAL")</f>
        <v>FINAL</v>
      </c>
      <c r="I1325" t="str">
        <f>IFERROR(__xludf.DUMMYFUNCTION("""COMPUTED_VALUE"""),"4½")</f>
        <v>4½</v>
      </c>
      <c r="J1325">
        <f>IFERROR(__xludf.DUMMYFUNCTION("""COMPUTED_VALUE"""),43.0)</f>
        <v>43</v>
      </c>
      <c r="K1325" t="str">
        <f>IFERROR(__xludf.DUMMYFUNCTION("""COMPUTED_VALUE"""),"Nick A.")</f>
        <v>Nick A.</v>
      </c>
      <c r="L1325" t="str">
        <f>IFERROR(__xludf.DUMMYFUNCTION("""COMPUTED_VALUE"""),"FINAL")</f>
        <v>FINAL</v>
      </c>
      <c r="M1325" s="124">
        <v>11.0</v>
      </c>
    </row>
    <row r="1326">
      <c r="A1326" s="151">
        <f>IFERROR(__xludf.DUMMYFUNCTION("""COMPUTED_VALUE"""),43779.14775225695)</f>
        <v>43779.14775</v>
      </c>
      <c r="B1326" t="str">
        <f>IFERROR(__xludf.DUMMYFUNCTION("""COMPUTED_VALUE"""),"DavEmily")</f>
        <v>DavEmily</v>
      </c>
      <c r="C1326" s="169" t="str">
        <f>IFERROR(__xludf.DUMMYFUNCTION("""COMPUTED_VALUE"""),"Alabama")</f>
        <v>Alabama</v>
      </c>
      <c r="D1326">
        <f>IFERROR(__xludf.DUMMYFUNCTION("""COMPUTED_VALUE"""),8.0)</f>
        <v>8</v>
      </c>
      <c r="E1326">
        <f>IFERROR(__xludf.DUMMYFUNCTION("""COMPUTED_VALUE"""),1.0)</f>
        <v>1</v>
      </c>
      <c r="F1326" t="str">
        <f>IFERROR(__xludf.DUMMYFUNCTION("""COMPUTED_VALUE"""),"CBS")</f>
        <v>CBS</v>
      </c>
      <c r="G1326" t="str">
        <f>IFERROR(__xludf.DUMMYFUNCTION("""COMPUTED_VALUE"""),"(2) LSU 46 at (1) Alabama 41")</f>
        <v>(2) LSU 46 at (1) Alabama 41</v>
      </c>
      <c r="H1326" t="str">
        <f>IFERROR(__xludf.DUMMYFUNCTION("""COMPUTED_VALUE"""),"FINAL")</f>
        <v>FINAL</v>
      </c>
      <c r="I1326" t="str">
        <f>IFERROR(__xludf.DUMMYFUNCTION("""COMPUTED_VALUE"""),"-6½")</f>
        <v>-6½</v>
      </c>
      <c r="J1326">
        <f>IFERROR(__xludf.DUMMYFUNCTION("""COMPUTED_VALUE"""),65.0)</f>
        <v>65</v>
      </c>
      <c r="K1326" t="str">
        <f>IFERROR(__xludf.DUMMYFUNCTION("""COMPUTED_VALUE"""),"Nick A.")</f>
        <v>Nick A.</v>
      </c>
      <c r="L1326" t="str">
        <f>IFERROR(__xludf.DUMMYFUNCTION("""COMPUTED_VALUE"""),"FINAL")</f>
        <v>FINAL</v>
      </c>
      <c r="M1326" s="124">
        <v>11.0</v>
      </c>
    </row>
    <row r="1327">
      <c r="A1327" s="151">
        <f>IFERROR(__xludf.DUMMYFUNCTION("""COMPUTED_VALUE"""),43779.14775225695)</f>
        <v>43779.14775</v>
      </c>
      <c r="B1327" t="str">
        <f>IFERROR(__xludf.DUMMYFUNCTION("""COMPUTED_VALUE"""),"DavEmily")</f>
        <v>DavEmily</v>
      </c>
      <c r="C1327" s="169" t="str">
        <f>IFERROR(__xludf.DUMMYFUNCTION("""COMPUTED_VALUE"""),"Virginia Tech")</f>
        <v>Virginia Tech</v>
      </c>
      <c r="D1327">
        <f>IFERROR(__xludf.DUMMYFUNCTION("""COMPUTED_VALUE"""),6.0)</f>
        <v>6</v>
      </c>
      <c r="E1327">
        <f>IFERROR(__xludf.DUMMYFUNCTION("""COMPUTED_VALUE"""),3.0)</f>
        <v>3</v>
      </c>
      <c r="F1327" t="str">
        <f>IFERROR(__xludf.DUMMYFUNCTION("""COMPUTED_VALUE"""),"ACC Network")</f>
        <v>ACC Network</v>
      </c>
      <c r="G1327" t="str">
        <f>IFERROR(__xludf.DUMMYFUNCTION("""COMPUTED_VALUE"""),"(20) Wake Forest 17 at Virginia Tech 36")</f>
        <v>(20) Wake Forest 17 at Virginia Tech 36</v>
      </c>
      <c r="H1327" t="str">
        <f>IFERROR(__xludf.DUMMYFUNCTION("""COMPUTED_VALUE"""),"FINAL")</f>
        <v>FINAL</v>
      </c>
      <c r="I1327" t="str">
        <f>IFERROR(__xludf.DUMMYFUNCTION("""COMPUTED_VALUE"""),"1½")</f>
        <v>1½</v>
      </c>
      <c r="J1327">
        <f>IFERROR(__xludf.DUMMYFUNCTION("""COMPUTED_VALUE"""),64.0)</f>
        <v>64</v>
      </c>
      <c r="K1327" t="str">
        <f>IFERROR(__xludf.DUMMYFUNCTION("""COMPUTED_VALUE"""),"Adam")</f>
        <v>Adam</v>
      </c>
      <c r="L1327" t="str">
        <f>IFERROR(__xludf.DUMMYFUNCTION("""COMPUTED_VALUE"""),"FINAL")</f>
        <v>FINAL</v>
      </c>
      <c r="M1327" s="124">
        <v>11.0</v>
      </c>
    </row>
    <row r="1328">
      <c r="A1328" s="151">
        <f>IFERROR(__xludf.DUMMYFUNCTION("""COMPUTED_VALUE"""),43779.14775225695)</f>
        <v>43779.14775</v>
      </c>
      <c r="B1328" t="str">
        <f>IFERROR(__xludf.DUMMYFUNCTION("""COMPUTED_VALUE"""),"DavEmily")</f>
        <v>DavEmily</v>
      </c>
      <c r="C1328" s="169" t="str">
        <f>IFERROR(__xludf.DUMMYFUNCTION("""COMPUTED_VALUE"""),"California")</f>
        <v>California</v>
      </c>
      <c r="D1328">
        <f>IFERROR(__xludf.DUMMYFUNCTION("""COMPUTED_VALUE"""),5.0)</f>
        <v>5</v>
      </c>
      <c r="E1328">
        <f>IFERROR(__xludf.DUMMYFUNCTION("""COMPUTED_VALUE"""),4.0)</f>
        <v>4</v>
      </c>
      <c r="F1328" t="str">
        <f>IFERROR(__xludf.DUMMYFUNCTION("""COMPUTED_VALUE"""),"Pac-12")</f>
        <v>Pac-12</v>
      </c>
      <c r="G1328" t="str">
        <f>IFERROR(__xludf.DUMMYFUNCTION("""COMPUTED_VALUE"""),"Washington State 20 at California 33")</f>
        <v>Washington State 20 at California 33</v>
      </c>
      <c r="H1328" t="str">
        <f>IFERROR(__xludf.DUMMYFUNCTION("""COMPUTED_VALUE"""),"FINAL")</f>
        <v>FINAL</v>
      </c>
      <c r="I1328" t="str">
        <f>IFERROR(__xludf.DUMMYFUNCTION("""COMPUTED_VALUE"""),"7½")</f>
        <v>7½</v>
      </c>
      <c r="J1328">
        <f>IFERROR(__xludf.DUMMYFUNCTION("""COMPUTED_VALUE"""),51.0)</f>
        <v>51</v>
      </c>
      <c r="K1328" t="str">
        <f>IFERROR(__xludf.DUMMYFUNCTION("""COMPUTED_VALUE"""),"Nick A.")</f>
        <v>Nick A.</v>
      </c>
      <c r="L1328" t="str">
        <f>IFERROR(__xludf.DUMMYFUNCTION("""COMPUTED_VALUE"""),"FINAL")</f>
        <v>FINAL</v>
      </c>
      <c r="M1328" s="124">
        <v>11.0</v>
      </c>
    </row>
    <row r="1329">
      <c r="A1329" s="151">
        <f>IFERROR(__xludf.DUMMYFUNCTION("""COMPUTED_VALUE"""),43779.14775225695)</f>
        <v>43779.14775</v>
      </c>
      <c r="B1329" t="str">
        <f>IFERROR(__xludf.DUMMYFUNCTION("""COMPUTED_VALUE"""),"DavEmily")</f>
        <v>DavEmily</v>
      </c>
      <c r="C1329" s="169" t="str">
        <f>IFERROR(__xludf.DUMMYFUNCTION("""COMPUTED_VALUE"""),"Fresno State")</f>
        <v>Fresno State</v>
      </c>
      <c r="D1329">
        <f>IFERROR(__xludf.DUMMYFUNCTION("""COMPUTED_VALUE"""),4.0)</f>
        <v>4</v>
      </c>
      <c r="E1329">
        <f>IFERROR(__xludf.DUMMYFUNCTION("""COMPUTED_VALUE"""),5.0)</f>
        <v>5</v>
      </c>
      <c r="F1329" t="str">
        <f>IFERROR(__xludf.DUMMYFUNCTION("""COMPUTED_VALUE"""),"CBSSN")</f>
        <v>CBSSN</v>
      </c>
      <c r="G1329" t="str">
        <f>IFERROR(__xludf.DUMMYFUNCTION("""COMPUTED_VALUE"""),"Utah State 37 at Fresno State 35")</f>
        <v>Utah State 37 at Fresno State 35</v>
      </c>
      <c r="H1329" t="str">
        <f>IFERROR(__xludf.DUMMYFUNCTION("""COMPUTED_VALUE"""),"FINAL")</f>
        <v>FINAL</v>
      </c>
      <c r="I1329">
        <f>IFERROR(__xludf.DUMMYFUNCTION("""COMPUTED_VALUE"""),-5.0)</f>
        <v>-5</v>
      </c>
      <c r="J1329" t="str">
        <f>IFERROR(__xludf.DUMMYFUNCTION("""COMPUTED_VALUE"""),"58½")</f>
        <v>58½</v>
      </c>
      <c r="K1329" t="str">
        <f>IFERROR(__xludf.DUMMYFUNCTION("""COMPUTED_VALUE"""),"Gary")</f>
        <v>Gary</v>
      </c>
      <c r="L1329" t="str">
        <f>IFERROR(__xludf.DUMMYFUNCTION("""COMPUTED_VALUE"""),"FINAL")</f>
        <v>FINAL</v>
      </c>
      <c r="M1329" s="124">
        <v>11.0</v>
      </c>
    </row>
    <row r="1330">
      <c r="A1330" s="151">
        <f>IFERROR(__xludf.DUMMYFUNCTION("""COMPUTED_VALUE"""),43779.14775225695)</f>
        <v>43779.14775</v>
      </c>
      <c r="B1330" t="str">
        <f>IFERROR(__xludf.DUMMYFUNCTION("""COMPUTED_VALUE"""),"DavEmily")</f>
        <v>DavEmily</v>
      </c>
      <c r="C1330" s="169" t="str">
        <f>IFERROR(__xludf.DUMMYFUNCTION("""COMPUTED_VALUE"""),"Notre Dame")</f>
        <v>Notre Dame</v>
      </c>
      <c r="D1330">
        <f>IFERROR(__xludf.DUMMYFUNCTION("""COMPUTED_VALUE"""),7.0)</f>
        <v>7</v>
      </c>
      <c r="E1330">
        <f>IFERROR(__xludf.DUMMYFUNCTION("""COMPUTED_VALUE"""),2.0)</f>
        <v>2</v>
      </c>
      <c r="F1330" t="str">
        <f>IFERROR(__xludf.DUMMYFUNCTION("""COMPUTED_VALUE"""),"ACC Network")</f>
        <v>ACC Network</v>
      </c>
      <c r="G1330" t="str">
        <f>IFERROR(__xludf.DUMMYFUNCTION("""COMPUTED_VALUE"""),"(15) Notre Dame 38 at Duke 7")</f>
        <v>(15) Notre Dame 38 at Duke 7</v>
      </c>
      <c r="H1330" t="str">
        <f>IFERROR(__xludf.DUMMYFUNCTION("""COMPUTED_VALUE"""),"FINAL")</f>
        <v>FINAL</v>
      </c>
      <c r="I1330">
        <f>IFERROR(__xludf.DUMMYFUNCTION("""COMPUTED_VALUE"""),-8.0)</f>
        <v>-8</v>
      </c>
      <c r="J1330" t="str">
        <f>IFERROR(__xludf.DUMMYFUNCTION("""COMPUTED_VALUE"""),"51½")</f>
        <v>51½</v>
      </c>
      <c r="K1330" t="str">
        <f>IFERROR(__xludf.DUMMYFUNCTION("""COMPUTED_VALUE"""),"Justin")</f>
        <v>Justin</v>
      </c>
      <c r="L1330" t="str">
        <f>IFERROR(__xludf.DUMMYFUNCTION("""COMPUTED_VALUE"""),"FINAL")</f>
        <v>FINAL</v>
      </c>
      <c r="M1330" s="124">
        <v>11.0</v>
      </c>
    </row>
    <row r="1331">
      <c r="A1331" s="151">
        <f>IFERROR(__xludf.DUMMYFUNCTION("""COMPUTED_VALUE"""),43779.14775225695)</f>
        <v>43779.14775</v>
      </c>
      <c r="B1331" t="str">
        <f>IFERROR(__xludf.DUMMYFUNCTION("""COMPUTED_VALUE"""),"DavEmily")</f>
        <v>DavEmily</v>
      </c>
      <c r="C1331" s="169" t="str">
        <f>IFERROR(__xludf.DUMMYFUNCTION("""COMPUTED_VALUE"""),"Nebraska")</f>
        <v>Nebraska</v>
      </c>
      <c r="D1331">
        <f>IFERROR(__xludf.DUMMYFUNCTION("""COMPUTED_VALUE"""),4.0)</f>
        <v>4</v>
      </c>
      <c r="E1331">
        <f>IFERROR(__xludf.DUMMYFUNCTION("""COMPUTED_VALUE"""),5.0)</f>
        <v>5</v>
      </c>
      <c r="F1331" t="str">
        <f>IFERROR(__xludf.DUMMYFUNCTION("""COMPUTED_VALUE"""),"NA")</f>
        <v>NA</v>
      </c>
      <c r="G1331" t="str">
        <f>IFERROR(__xludf.DUMMYFUNCTION("""COMPUTED_VALUE"""),"BYE")</f>
        <v>BYE</v>
      </c>
      <c r="I1331" t="str">
        <f>IFERROR(__xludf.DUMMYFUNCTION("""COMPUTED_VALUE"""),"bye")</f>
        <v>bye</v>
      </c>
      <c r="J1331" t="str">
        <f>IFERROR(__xludf.DUMMYFUNCTION("""COMPUTED_VALUE"""),"bye")</f>
        <v>bye</v>
      </c>
      <c r="L1331">
        <f>IFERROR(__xludf.DUMMYFUNCTION("""COMPUTED_VALUE"""),9999.0)</f>
        <v>9999</v>
      </c>
      <c r="M1331" s="124">
        <v>11.0</v>
      </c>
    </row>
    <row r="1332">
      <c r="A1332" s="151">
        <f>IFERROR(__xludf.DUMMYFUNCTION("""COMPUTED_VALUE"""),43779.14775225695)</f>
        <v>43779.14775</v>
      </c>
      <c r="B1332" t="str">
        <f>IFERROR(__xludf.DUMMYFUNCTION("""COMPUTED_VALUE"""),"Nick A.")</f>
        <v>Nick A.</v>
      </c>
      <c r="C1332" s="169" t="str">
        <f>IFERROR(__xludf.DUMMYFUNCTION("""COMPUTED_VALUE"""),"East Carolina")</f>
        <v>East Carolina</v>
      </c>
      <c r="D1332">
        <f>IFERROR(__xludf.DUMMYFUNCTION("""COMPUTED_VALUE"""),3.0)</f>
        <v>3</v>
      </c>
      <c r="E1332">
        <f>IFERROR(__xludf.DUMMYFUNCTION("""COMPUTED_VALUE"""),7.0)</f>
        <v>7</v>
      </c>
      <c r="F1332" t="str">
        <f>IFERROR(__xludf.DUMMYFUNCTION("""COMPUTED_VALUE"""),"ESPNU")</f>
        <v>ESPNU</v>
      </c>
      <c r="G1332" t="str">
        <f>IFERROR(__xludf.DUMMYFUNCTION("""COMPUTED_VALUE"""),"East Carolina 51 at (23) SMU 59")</f>
        <v>East Carolina 51 at (23) SMU 59</v>
      </c>
      <c r="H1332" t="str">
        <f>IFERROR(__xludf.DUMMYFUNCTION("""COMPUTED_VALUE"""),"FINAL")</f>
        <v>FINAL</v>
      </c>
      <c r="I1332" t="str">
        <f>IFERROR(__xludf.DUMMYFUNCTION("""COMPUTED_VALUE"""),"22½")</f>
        <v>22½</v>
      </c>
      <c r="J1332">
        <f>IFERROR(__xludf.DUMMYFUNCTION("""COMPUTED_VALUE"""),70.0)</f>
        <v>70</v>
      </c>
      <c r="K1332" t="str">
        <f>IFERROR(__xludf.DUMMYFUNCTION("""COMPUTED_VALUE"""),"Jeannine")</f>
        <v>Jeannine</v>
      </c>
      <c r="L1332" t="str">
        <f>IFERROR(__xludf.DUMMYFUNCTION("""COMPUTED_VALUE"""),"FINAL")</f>
        <v>FINAL</v>
      </c>
      <c r="M1332" s="124">
        <v>11.0</v>
      </c>
    </row>
    <row r="1333">
      <c r="A1333" s="151">
        <f>IFERROR(__xludf.DUMMYFUNCTION("""COMPUTED_VALUE"""),43779.14775225695)</f>
        <v>43779.14775</v>
      </c>
      <c r="B1333" t="str">
        <f>IFERROR(__xludf.DUMMYFUNCTION("""COMPUTED_VALUE"""),"Nick A.")</f>
        <v>Nick A.</v>
      </c>
      <c r="C1333" s="169" t="str">
        <f>IFERROR(__xludf.DUMMYFUNCTION("""COMPUTED_VALUE"""),"Old Dominion")</f>
        <v>Old Dominion</v>
      </c>
      <c r="D1333">
        <f>IFERROR(__xludf.DUMMYFUNCTION("""COMPUTED_VALUE"""),1.0)</f>
        <v>1</v>
      </c>
      <c r="E1333">
        <f>IFERROR(__xludf.DUMMYFUNCTION("""COMPUTED_VALUE"""),9.0)</f>
        <v>9</v>
      </c>
      <c r="F1333" t="str">
        <f>IFERROR(__xludf.DUMMYFUNCTION("""COMPUTED_VALUE"""),"espn3 Video")</f>
        <v>espn3 Video</v>
      </c>
      <c r="G1333" t="str">
        <f>IFERROR(__xludf.DUMMYFUNCTION("""COMPUTED_VALUE"""),"UTSA 24 at Old Dominion 23")</f>
        <v>UTSA 24 at Old Dominion 23</v>
      </c>
      <c r="H1333" t="str">
        <f>IFERROR(__xludf.DUMMYFUNCTION("""COMPUTED_VALUE"""),"FINAL")</f>
        <v>FINAL</v>
      </c>
      <c r="I1333" t="str">
        <f>IFERROR(__xludf.DUMMYFUNCTION("""COMPUTED_VALUE"""),"-4½")</f>
        <v>-4½</v>
      </c>
      <c r="J1333">
        <f>IFERROR(__xludf.DUMMYFUNCTION("""COMPUTED_VALUE"""),43.0)</f>
        <v>43</v>
      </c>
      <c r="K1333" t="str">
        <f>IFERROR(__xludf.DUMMYFUNCTION("""COMPUTED_VALUE"""),"DavEmily")</f>
        <v>DavEmily</v>
      </c>
      <c r="L1333" t="str">
        <f>IFERROR(__xludf.DUMMYFUNCTION("""COMPUTED_VALUE"""),"FINAL")</f>
        <v>FINAL</v>
      </c>
      <c r="M1333" s="124">
        <v>11.0</v>
      </c>
    </row>
    <row r="1334">
      <c r="A1334" s="151">
        <f>IFERROR(__xludf.DUMMYFUNCTION("""COMPUTED_VALUE"""),43779.14775225695)</f>
        <v>43779.14775</v>
      </c>
      <c r="B1334" t="str">
        <f>IFERROR(__xludf.DUMMYFUNCTION("""COMPUTED_VALUE"""),"Nick A.")</f>
        <v>Nick A.</v>
      </c>
      <c r="C1334" s="169" t="str">
        <f>IFERROR(__xludf.DUMMYFUNCTION("""COMPUTED_VALUE"""),"LSU")</f>
        <v>LSU</v>
      </c>
      <c r="D1334">
        <f>IFERROR(__xludf.DUMMYFUNCTION("""COMPUTED_VALUE"""),9.0)</f>
        <v>9</v>
      </c>
      <c r="E1334">
        <f>IFERROR(__xludf.DUMMYFUNCTION("""COMPUTED_VALUE"""),0.0)</f>
        <v>0</v>
      </c>
      <c r="F1334" t="str">
        <f>IFERROR(__xludf.DUMMYFUNCTION("""COMPUTED_VALUE"""),"CBS")</f>
        <v>CBS</v>
      </c>
      <c r="G1334" t="str">
        <f>IFERROR(__xludf.DUMMYFUNCTION("""COMPUTED_VALUE"""),"(2) LSU 46 at (1) Alabama 41")</f>
        <v>(2) LSU 46 at (1) Alabama 41</v>
      </c>
      <c r="H1334" t="str">
        <f>IFERROR(__xludf.DUMMYFUNCTION("""COMPUTED_VALUE"""),"FINAL")</f>
        <v>FINAL</v>
      </c>
      <c r="I1334" t="str">
        <f>IFERROR(__xludf.DUMMYFUNCTION("""COMPUTED_VALUE"""),"6½")</f>
        <v>6½</v>
      </c>
      <c r="J1334">
        <f>IFERROR(__xludf.DUMMYFUNCTION("""COMPUTED_VALUE"""),65.0)</f>
        <v>65</v>
      </c>
      <c r="K1334" t="str">
        <f>IFERROR(__xludf.DUMMYFUNCTION("""COMPUTED_VALUE"""),"DavEmily")</f>
        <v>DavEmily</v>
      </c>
      <c r="L1334" t="str">
        <f>IFERROR(__xludf.DUMMYFUNCTION("""COMPUTED_VALUE"""),"FINAL")</f>
        <v>FINAL</v>
      </c>
      <c r="M1334" s="124">
        <v>11.0</v>
      </c>
    </row>
    <row r="1335">
      <c r="A1335" s="151">
        <f>IFERROR(__xludf.DUMMYFUNCTION("""COMPUTED_VALUE"""),43779.14775225695)</f>
        <v>43779.14775</v>
      </c>
      <c r="B1335" t="str">
        <f>IFERROR(__xludf.DUMMYFUNCTION("""COMPUTED_VALUE"""),"Nick A.")</f>
        <v>Nick A.</v>
      </c>
      <c r="C1335" s="169" t="str">
        <f>IFERROR(__xludf.DUMMYFUNCTION("""COMPUTED_VALUE"""),"Michigan State")</f>
        <v>Michigan State</v>
      </c>
      <c r="D1335">
        <f>IFERROR(__xludf.DUMMYFUNCTION("""COMPUTED_VALUE"""),4.0)</f>
        <v>4</v>
      </c>
      <c r="E1335">
        <f>IFERROR(__xludf.DUMMYFUNCTION("""COMPUTED_VALUE"""),5.0)</f>
        <v>5</v>
      </c>
      <c r="F1335" t="str">
        <f>IFERROR(__xludf.DUMMYFUNCTION("""COMPUTED_VALUE"""),"FS1")</f>
        <v>FS1</v>
      </c>
      <c r="G1335" t="str">
        <f>IFERROR(__xludf.DUMMYFUNCTION("""COMPUTED_VALUE"""),"Illinois 37 at Michigan State 34")</f>
        <v>Illinois 37 at Michigan State 34</v>
      </c>
      <c r="H1335" t="str">
        <f>IFERROR(__xludf.DUMMYFUNCTION("""COMPUTED_VALUE"""),"FINAL")</f>
        <v>FINAL</v>
      </c>
      <c r="I1335">
        <f>IFERROR(__xludf.DUMMYFUNCTION("""COMPUTED_VALUE"""),-16.0)</f>
        <v>-16</v>
      </c>
      <c r="J1335">
        <f>IFERROR(__xludf.DUMMYFUNCTION("""COMPUTED_VALUE"""),45.0)</f>
        <v>45</v>
      </c>
      <c r="K1335" t="str">
        <f>IFERROR(__xludf.DUMMYFUNCTION("""COMPUTED_VALUE"""),"Undrafted")</f>
        <v>Undrafted</v>
      </c>
      <c r="L1335" t="str">
        <f>IFERROR(__xludf.DUMMYFUNCTION("""COMPUTED_VALUE"""),"FINAL")</f>
        <v>FINAL</v>
      </c>
      <c r="M1335" s="124">
        <v>11.0</v>
      </c>
    </row>
    <row r="1336">
      <c r="A1336" s="151">
        <f>IFERROR(__xludf.DUMMYFUNCTION("""COMPUTED_VALUE"""),43779.14775225695)</f>
        <v>43779.14775</v>
      </c>
      <c r="B1336" t="str">
        <f>IFERROR(__xludf.DUMMYFUNCTION("""COMPUTED_VALUE"""),"Nick A.")</f>
        <v>Nick A.</v>
      </c>
      <c r="C1336" s="169" t="str">
        <f>IFERROR(__xludf.DUMMYFUNCTION("""COMPUTED_VALUE"""),"New Mexico State")</f>
        <v>New Mexico State</v>
      </c>
      <c r="D1336">
        <f>IFERROR(__xludf.DUMMYFUNCTION("""COMPUTED_VALUE"""),0.0)</f>
        <v>0</v>
      </c>
      <c r="E1336">
        <f>IFERROR(__xludf.DUMMYFUNCTION("""COMPUTED_VALUE"""),9.0)</f>
        <v>9</v>
      </c>
      <c r="F1336" t="str">
        <f>IFERROR(__xludf.DUMMYFUNCTION("""COMPUTED_VALUE"""),"SEC Network")</f>
        <v>SEC Network</v>
      </c>
      <c r="G1336" t="str">
        <f>IFERROR(__xludf.DUMMYFUNCTION("""COMPUTED_VALUE"""),"New Mexico State 3 at Ole Miss 41")</f>
        <v>New Mexico State 3 at Ole Miss 41</v>
      </c>
      <c r="H1336" t="str">
        <f>IFERROR(__xludf.DUMMYFUNCTION("""COMPUTED_VALUE"""),"FINAL")</f>
        <v>FINAL</v>
      </c>
      <c r="I1336" t="str">
        <f>IFERROR(__xludf.DUMMYFUNCTION("""COMPUTED_VALUE"""),"28½")</f>
        <v>28½</v>
      </c>
      <c r="J1336">
        <f>IFERROR(__xludf.DUMMYFUNCTION("""COMPUTED_VALUE"""),62.0)</f>
        <v>62</v>
      </c>
      <c r="K1336" t="str">
        <f>IFERROR(__xludf.DUMMYFUNCTION("""COMPUTED_VALUE"""),"Undrafted")</f>
        <v>Undrafted</v>
      </c>
      <c r="L1336" t="str">
        <f>IFERROR(__xludf.DUMMYFUNCTION("""COMPUTED_VALUE"""),"FINAL")</f>
        <v>FINAL</v>
      </c>
      <c r="M1336" s="124">
        <v>11.0</v>
      </c>
    </row>
    <row r="1337">
      <c r="A1337" s="151">
        <f>IFERROR(__xludf.DUMMYFUNCTION("""COMPUTED_VALUE"""),43779.14775225695)</f>
        <v>43779.14775</v>
      </c>
      <c r="B1337" t="str">
        <f>IFERROR(__xludf.DUMMYFUNCTION("""COMPUTED_VALUE"""),"Nick A.")</f>
        <v>Nick A.</v>
      </c>
      <c r="C1337" s="169" t="str">
        <f>IFERROR(__xludf.DUMMYFUNCTION("""COMPUTED_VALUE"""),"Washington State")</f>
        <v>Washington State</v>
      </c>
      <c r="D1337">
        <f>IFERROR(__xludf.DUMMYFUNCTION("""COMPUTED_VALUE"""),4.0)</f>
        <v>4</v>
      </c>
      <c r="E1337">
        <f>IFERROR(__xludf.DUMMYFUNCTION("""COMPUTED_VALUE"""),5.0)</f>
        <v>5</v>
      </c>
      <c r="F1337" t="str">
        <f>IFERROR(__xludf.DUMMYFUNCTION("""COMPUTED_VALUE"""),"Pac-12")</f>
        <v>Pac-12</v>
      </c>
      <c r="G1337" t="str">
        <f>IFERROR(__xludf.DUMMYFUNCTION("""COMPUTED_VALUE"""),"Washington State 20 at California 33")</f>
        <v>Washington State 20 at California 33</v>
      </c>
      <c r="H1337" t="str">
        <f>IFERROR(__xludf.DUMMYFUNCTION("""COMPUTED_VALUE"""),"FINAL")</f>
        <v>FINAL</v>
      </c>
      <c r="I1337" t="str">
        <f>IFERROR(__xludf.DUMMYFUNCTION("""COMPUTED_VALUE"""),"-7½")</f>
        <v>-7½</v>
      </c>
      <c r="J1337">
        <f>IFERROR(__xludf.DUMMYFUNCTION("""COMPUTED_VALUE"""),51.0)</f>
        <v>51</v>
      </c>
      <c r="K1337" t="str">
        <f>IFERROR(__xludf.DUMMYFUNCTION("""COMPUTED_VALUE"""),"DavEmily")</f>
        <v>DavEmily</v>
      </c>
      <c r="L1337" t="str">
        <f>IFERROR(__xludf.DUMMYFUNCTION("""COMPUTED_VALUE"""),"FINAL")</f>
        <v>FINAL</v>
      </c>
      <c r="M1337" s="124">
        <v>11.0</v>
      </c>
    </row>
    <row r="1338">
      <c r="A1338" s="151">
        <f>IFERROR(__xludf.DUMMYFUNCTION("""COMPUTED_VALUE"""),43779.14775225695)</f>
        <v>43779.14775</v>
      </c>
      <c r="B1338" t="str">
        <f>IFERROR(__xludf.DUMMYFUNCTION("""COMPUTED_VALUE"""),"Nick A.")</f>
        <v>Nick A.</v>
      </c>
      <c r="C1338" s="169" t="str">
        <f>IFERROR(__xludf.DUMMYFUNCTION("""COMPUTED_VALUE"""),"Clemson")</f>
        <v>Clemson</v>
      </c>
      <c r="D1338">
        <f>IFERROR(__xludf.DUMMYFUNCTION("""COMPUTED_VALUE"""),10.0)</f>
        <v>10</v>
      </c>
      <c r="E1338">
        <f>IFERROR(__xludf.DUMMYFUNCTION("""COMPUTED_VALUE"""),0.0)</f>
        <v>0</v>
      </c>
      <c r="F1338" t="str">
        <f>IFERROR(__xludf.DUMMYFUNCTION("""COMPUTED_VALUE"""),"ABC")</f>
        <v>ABC</v>
      </c>
      <c r="G1338" t="str">
        <f>IFERROR(__xludf.DUMMYFUNCTION("""COMPUTED_VALUE"""),"(3) Clemson 55 at NC State 10")</f>
        <v>(3) Clemson 55 at NC State 10</v>
      </c>
      <c r="H1338" t="str">
        <f>IFERROR(__xludf.DUMMYFUNCTION("""COMPUTED_VALUE"""),"FINAL")</f>
        <v>FINAL</v>
      </c>
      <c r="I1338">
        <f>IFERROR(__xludf.DUMMYFUNCTION("""COMPUTED_VALUE"""),-32.0)</f>
        <v>-32</v>
      </c>
      <c r="J1338">
        <f>IFERROR(__xludf.DUMMYFUNCTION("""COMPUTED_VALUE"""),54.0)</f>
        <v>54</v>
      </c>
      <c r="K1338" t="str">
        <f>IFERROR(__xludf.DUMMYFUNCTION("""COMPUTED_VALUE"""),"Nick G.")</f>
        <v>Nick G.</v>
      </c>
      <c r="L1338" t="str">
        <f>IFERROR(__xludf.DUMMYFUNCTION("""COMPUTED_VALUE"""),"FINAL")</f>
        <v>FINAL</v>
      </c>
      <c r="M1338" s="124">
        <v>11.0</v>
      </c>
    </row>
    <row r="1339">
      <c r="A1339" s="151">
        <f>IFERROR(__xludf.DUMMYFUNCTION("""COMPUTED_VALUE"""),43779.14775225695)</f>
        <v>43779.14775</v>
      </c>
      <c r="B1339" t="str">
        <f>IFERROR(__xludf.DUMMYFUNCTION("""COMPUTED_VALUE"""),"Nick A.")</f>
        <v>Nick A.</v>
      </c>
      <c r="C1339" s="169" t="str">
        <f>IFERROR(__xludf.DUMMYFUNCTION("""COMPUTED_VALUE"""),"Iowa State")</f>
        <v>Iowa State</v>
      </c>
      <c r="D1339">
        <f>IFERROR(__xludf.DUMMYFUNCTION("""COMPUTED_VALUE"""),5.0)</f>
        <v>5</v>
      </c>
      <c r="E1339">
        <f>IFERROR(__xludf.DUMMYFUNCTION("""COMPUTED_VALUE"""),4.0)</f>
        <v>4</v>
      </c>
      <c r="F1339" t="str">
        <f>IFERROR(__xludf.DUMMYFUNCTION("""COMPUTED_VALUE"""),"FOX")</f>
        <v>FOX</v>
      </c>
      <c r="G1339" t="str">
        <f>IFERROR(__xludf.DUMMYFUNCTION("""COMPUTED_VALUE"""),"Iowa State 41 at (8) Oklahoma 42")</f>
        <v>Iowa State 41 at (8) Oklahoma 42</v>
      </c>
      <c r="H1339" t="str">
        <f>IFERROR(__xludf.DUMMYFUNCTION("""COMPUTED_VALUE"""),"FINAL")</f>
        <v>FINAL</v>
      </c>
      <c r="I1339">
        <f>IFERROR(__xludf.DUMMYFUNCTION("""COMPUTED_VALUE"""),14.0)</f>
        <v>14</v>
      </c>
      <c r="J1339">
        <f>IFERROR(__xludf.DUMMYFUNCTION("""COMPUTED_VALUE"""),67.0)</f>
        <v>67</v>
      </c>
      <c r="K1339" t="str">
        <f>IFERROR(__xludf.DUMMYFUNCTION("""COMPUTED_VALUE"""),"Jeannine")</f>
        <v>Jeannine</v>
      </c>
      <c r="L1339" t="str">
        <f>IFERROR(__xludf.DUMMYFUNCTION("""COMPUTED_VALUE"""),"FINAL")</f>
        <v>FINAL</v>
      </c>
      <c r="M1339" s="124">
        <v>11.0</v>
      </c>
    </row>
    <row r="1340">
      <c r="A1340" s="151">
        <f>IFERROR(__xludf.DUMMYFUNCTION("""COMPUTED_VALUE"""),43779.14775225695)</f>
        <v>43779.14775</v>
      </c>
      <c r="B1340" t="str">
        <f>IFERROR(__xludf.DUMMYFUNCTION("""COMPUTED_VALUE"""),"Nick A.")</f>
        <v>Nick A.</v>
      </c>
      <c r="C1340" s="169" t="str">
        <f>IFERROR(__xludf.DUMMYFUNCTION("""COMPUTED_VALUE"""),"San Diego State")</f>
        <v>San Diego State</v>
      </c>
      <c r="D1340">
        <f>IFERROR(__xludf.DUMMYFUNCTION("""COMPUTED_VALUE"""),7.0)</f>
        <v>7</v>
      </c>
      <c r="E1340">
        <f>IFERROR(__xludf.DUMMYFUNCTION("""COMPUTED_VALUE"""),2.0)</f>
        <v>2</v>
      </c>
      <c r="F1340" t="str">
        <f>IFERROR(__xludf.DUMMYFUNCTION("""COMPUTED_VALUE"""),"ESPN2")</f>
        <v>ESPN2</v>
      </c>
      <c r="G1340" t="str">
        <f>IFERROR(__xludf.DUMMYFUNCTION("""COMPUTED_VALUE"""),"Nevada 17 at (24) San Diego State 13")</f>
        <v>Nevada 17 at (24) San Diego State 13</v>
      </c>
      <c r="H1340" t="str">
        <f>IFERROR(__xludf.DUMMYFUNCTION("""COMPUTED_VALUE"""),"FINAL")</f>
        <v>FINAL</v>
      </c>
      <c r="I1340">
        <f>IFERROR(__xludf.DUMMYFUNCTION("""COMPUTED_VALUE"""),-18.0)</f>
        <v>-18</v>
      </c>
      <c r="J1340" t="str">
        <f>IFERROR(__xludf.DUMMYFUNCTION("""COMPUTED_VALUE"""),"40½")</f>
        <v>40½</v>
      </c>
      <c r="K1340" t="str">
        <f>IFERROR(__xludf.DUMMYFUNCTION("""COMPUTED_VALUE"""),"Josh R.")</f>
        <v>Josh R.</v>
      </c>
      <c r="L1340" t="str">
        <f>IFERROR(__xludf.DUMMYFUNCTION("""COMPUTED_VALUE"""),"FINAL")</f>
        <v>FINAL</v>
      </c>
      <c r="M1340" s="124">
        <v>11.0</v>
      </c>
    </row>
    <row r="1341">
      <c r="A1341" s="151">
        <f>IFERROR(__xludf.DUMMYFUNCTION("""COMPUTED_VALUE"""),43779.14775225695)</f>
        <v>43779.14775</v>
      </c>
      <c r="B1341" t="str">
        <f>IFERROR(__xludf.DUMMYFUNCTION("""COMPUTED_VALUE"""),"Nick A.")</f>
        <v>Nick A.</v>
      </c>
      <c r="C1341" s="169" t="str">
        <f>IFERROR(__xludf.DUMMYFUNCTION("""COMPUTED_VALUE"""),"Bowling Green")</f>
        <v>Bowling Green</v>
      </c>
      <c r="D1341">
        <f>IFERROR(__xludf.DUMMYFUNCTION("""COMPUTED_VALUE"""),3.0)</f>
        <v>3</v>
      </c>
      <c r="E1341">
        <f>IFERROR(__xludf.DUMMYFUNCTION("""COMPUTED_VALUE"""),6.0)</f>
        <v>6</v>
      </c>
      <c r="F1341" t="str">
        <f>IFERROR(__xludf.DUMMYFUNCTION("""COMPUTED_VALUE"""),"NA")</f>
        <v>NA</v>
      </c>
      <c r="G1341" t="str">
        <f>IFERROR(__xludf.DUMMYFUNCTION("""COMPUTED_VALUE"""),"BYE")</f>
        <v>BYE</v>
      </c>
      <c r="I1341" t="str">
        <f>IFERROR(__xludf.DUMMYFUNCTION("""COMPUTED_VALUE"""),"bye")</f>
        <v>bye</v>
      </c>
      <c r="J1341" t="str">
        <f>IFERROR(__xludf.DUMMYFUNCTION("""COMPUTED_VALUE"""),"bye")</f>
        <v>bye</v>
      </c>
      <c r="L1341">
        <f>IFERROR(__xludf.DUMMYFUNCTION("""COMPUTED_VALUE"""),9999.0)</f>
        <v>9999</v>
      </c>
      <c r="M1341" s="124">
        <v>11.0</v>
      </c>
    </row>
    <row r="1342">
      <c r="A1342" s="151">
        <f>IFERROR(__xludf.DUMMYFUNCTION("""COMPUTED_VALUE"""),43779.14775225695)</f>
        <v>43779.14775</v>
      </c>
      <c r="B1342" t="str">
        <f>IFERROR(__xludf.DUMMYFUNCTION("""COMPUTED_VALUE"""),"Gary")</f>
        <v>Gary</v>
      </c>
      <c r="C1342" s="169" t="str">
        <f>IFERROR(__xludf.DUMMYFUNCTION("""COMPUTED_VALUE"""),"Ohio")</f>
        <v>Ohio</v>
      </c>
      <c r="D1342">
        <f>IFERROR(__xludf.DUMMYFUNCTION("""COMPUTED_VALUE"""),4.0)</f>
        <v>4</v>
      </c>
      <c r="E1342">
        <f>IFERROR(__xludf.DUMMYFUNCTION("""COMPUTED_VALUE"""),5.0)</f>
        <v>5</v>
      </c>
      <c r="F1342" t="str">
        <f>IFERROR(__xludf.DUMMYFUNCTION("""COMPUTED_VALUE"""),"ESPN2")</f>
        <v>ESPN2</v>
      </c>
      <c r="G1342" t="str">
        <f>IFERROR(__xludf.DUMMYFUNCTION("""COMPUTED_VALUE"""),"Miami-OH 24 at Ohio 21")</f>
        <v>Miami-OH 24 at Ohio 21</v>
      </c>
      <c r="H1342" t="str">
        <f>IFERROR(__xludf.DUMMYFUNCTION("""COMPUTED_VALUE"""),"FINAL")</f>
        <v>FINAL</v>
      </c>
      <c r="I1342" t="str">
        <f>IFERROR(__xludf.DUMMYFUNCTION("""COMPUTED_VALUE"""),"-6½")</f>
        <v>-6½</v>
      </c>
      <c r="J1342" t="str">
        <f>IFERROR(__xludf.DUMMYFUNCTION("""COMPUTED_VALUE"""),"54½")</f>
        <v>54½</v>
      </c>
      <c r="K1342" t="str">
        <f>IFERROR(__xludf.DUMMYFUNCTION("""COMPUTED_VALUE"""),"Nico")</f>
        <v>Nico</v>
      </c>
      <c r="L1342" t="str">
        <f>IFERROR(__xludf.DUMMYFUNCTION("""COMPUTED_VALUE"""),"FINAL")</f>
        <v>FINAL</v>
      </c>
      <c r="M1342" s="124">
        <v>11.0</v>
      </c>
    </row>
    <row r="1343">
      <c r="A1343" s="151">
        <f>IFERROR(__xludf.DUMMYFUNCTION("""COMPUTED_VALUE"""),43779.14775225695)</f>
        <v>43779.14775</v>
      </c>
      <c r="B1343" t="str">
        <f>IFERROR(__xludf.DUMMYFUNCTION("""COMPUTED_VALUE"""),"Gary")</f>
        <v>Gary</v>
      </c>
      <c r="C1343" s="169" t="str">
        <f>IFERROR(__xludf.DUMMYFUNCTION("""COMPUTED_VALUE"""),"UL Lafayette")</f>
        <v>UL Lafayette</v>
      </c>
      <c r="D1343">
        <f>IFERROR(__xludf.DUMMYFUNCTION("""COMPUTED_VALUE"""),3.0)</f>
        <v>3</v>
      </c>
      <c r="E1343">
        <f>IFERROR(__xludf.DUMMYFUNCTION("""COMPUTED_VALUE"""),1.0)</f>
        <v>1</v>
      </c>
      <c r="F1343" t="str">
        <f>IFERROR(__xludf.DUMMYFUNCTION("""COMPUTED_VALUE"""),"NA")</f>
        <v>NA</v>
      </c>
      <c r="G1343" t="str">
        <f>IFERROR(__xludf.DUMMYFUNCTION("""COMPUTED_VALUE"""),"UL Lafayette 48 at Coastal Carolina 7")</f>
        <v>UL Lafayette 48 at Coastal Carolina 7</v>
      </c>
      <c r="H1343" t="str">
        <f>IFERROR(__xludf.DUMMYFUNCTION("""COMPUTED_VALUE"""),"FINAL")</f>
        <v>FINAL</v>
      </c>
      <c r="I1343">
        <f>IFERROR(__xludf.DUMMYFUNCTION("""COMPUTED_VALUE"""),-14.0)</f>
        <v>-14</v>
      </c>
      <c r="J1343">
        <f>IFERROR(__xludf.DUMMYFUNCTION("""COMPUTED_VALUE"""),58.0)</f>
        <v>58</v>
      </c>
      <c r="K1343" t="str">
        <f>IFERROR(__xludf.DUMMYFUNCTION("""COMPUTED_VALUE"""),"DavEmily")</f>
        <v>DavEmily</v>
      </c>
      <c r="L1343" t="str">
        <f>IFERROR(__xludf.DUMMYFUNCTION("""COMPUTED_VALUE"""),"FINAL")</f>
        <v>FINAL</v>
      </c>
      <c r="M1343" s="124">
        <v>11.0</v>
      </c>
    </row>
    <row r="1344">
      <c r="A1344" s="151">
        <f>IFERROR(__xludf.DUMMYFUNCTION("""COMPUTED_VALUE"""),43779.14775225695)</f>
        <v>43779.14775</v>
      </c>
      <c r="B1344" t="str">
        <f>IFERROR(__xludf.DUMMYFUNCTION("""COMPUTED_VALUE"""),"Gary")</f>
        <v>Gary</v>
      </c>
      <c r="C1344" s="169" t="str">
        <f>IFERROR(__xludf.DUMMYFUNCTION("""COMPUTED_VALUE"""),"Maryland")</f>
        <v>Maryland</v>
      </c>
      <c r="D1344">
        <f>IFERROR(__xludf.DUMMYFUNCTION("""COMPUTED_VALUE"""),3.0)</f>
        <v>3</v>
      </c>
      <c r="E1344">
        <f>IFERROR(__xludf.DUMMYFUNCTION("""COMPUTED_VALUE"""),7.0)</f>
        <v>7</v>
      </c>
      <c r="F1344" t="str">
        <f>IFERROR(__xludf.DUMMYFUNCTION("""COMPUTED_VALUE"""),"FOX")</f>
        <v>FOX</v>
      </c>
      <c r="G1344" t="str">
        <f>IFERROR(__xludf.DUMMYFUNCTION("""COMPUTED_VALUE"""),"Maryland 14 at (4) Ohio State 73")</f>
        <v>Maryland 14 at (4) Ohio State 73</v>
      </c>
      <c r="H1344" t="str">
        <f>IFERROR(__xludf.DUMMYFUNCTION("""COMPUTED_VALUE"""),"FINAL")</f>
        <v>FINAL</v>
      </c>
      <c r="I1344" t="str">
        <f>IFERROR(__xludf.DUMMYFUNCTION("""COMPUTED_VALUE"""),"42½")</f>
        <v>42½</v>
      </c>
      <c r="J1344">
        <f>IFERROR(__xludf.DUMMYFUNCTION("""COMPUTED_VALUE"""),63.0)</f>
        <v>63</v>
      </c>
      <c r="K1344" t="str">
        <f>IFERROR(__xludf.DUMMYFUNCTION("""COMPUTED_VALUE"""),"Nick G.")</f>
        <v>Nick G.</v>
      </c>
      <c r="L1344" t="str">
        <f>IFERROR(__xludf.DUMMYFUNCTION("""COMPUTED_VALUE"""),"FINAL")</f>
        <v>FINAL</v>
      </c>
      <c r="M1344" s="124">
        <v>11.0</v>
      </c>
    </row>
    <row r="1345">
      <c r="A1345" s="151">
        <f>IFERROR(__xludf.DUMMYFUNCTION("""COMPUTED_VALUE"""),43779.14775225695)</f>
        <v>43779.14775</v>
      </c>
      <c r="B1345" t="str">
        <f>IFERROR(__xludf.DUMMYFUNCTION("""COMPUTED_VALUE"""),"Gary")</f>
        <v>Gary</v>
      </c>
      <c r="C1345" s="169" t="str">
        <f>IFERROR(__xludf.DUMMYFUNCTION("""COMPUTED_VALUE"""),"Missouri")</f>
        <v>Missouri</v>
      </c>
      <c r="D1345">
        <f>IFERROR(__xludf.DUMMYFUNCTION("""COMPUTED_VALUE"""),5.0)</f>
        <v>5</v>
      </c>
      <c r="E1345">
        <f>IFERROR(__xludf.DUMMYFUNCTION("""COMPUTED_VALUE"""),4.0)</f>
        <v>4</v>
      </c>
      <c r="F1345" t="str">
        <f>IFERROR(__xludf.DUMMYFUNCTION("""COMPUTED_VALUE"""),"ESPN")</f>
        <v>ESPN</v>
      </c>
      <c r="G1345" t="str">
        <f>IFERROR(__xludf.DUMMYFUNCTION("""COMPUTED_VALUE"""),"Missouri 0 at (6) Georgia 27")</f>
        <v>Missouri 0 at (6) Georgia 27</v>
      </c>
      <c r="H1345" t="str">
        <f>IFERROR(__xludf.DUMMYFUNCTION("""COMPUTED_VALUE"""),"FINAL")</f>
        <v>FINAL</v>
      </c>
      <c r="I1345">
        <f>IFERROR(__xludf.DUMMYFUNCTION("""COMPUTED_VALUE"""),17.0)</f>
        <v>17</v>
      </c>
      <c r="J1345">
        <f>IFERROR(__xludf.DUMMYFUNCTION("""COMPUTED_VALUE"""),47.0)</f>
        <v>47</v>
      </c>
      <c r="K1345" t="str">
        <f>IFERROR(__xludf.DUMMYFUNCTION("""COMPUTED_VALUE"""),"Nico")</f>
        <v>Nico</v>
      </c>
      <c r="L1345" t="str">
        <f>IFERROR(__xludf.DUMMYFUNCTION("""COMPUTED_VALUE"""),"FINAL")</f>
        <v>FINAL</v>
      </c>
      <c r="M1345" s="124">
        <v>11.0</v>
      </c>
    </row>
    <row r="1346">
      <c r="A1346" s="151">
        <f>IFERROR(__xludf.DUMMYFUNCTION("""COMPUTED_VALUE"""),43779.14775225695)</f>
        <v>43779.14775</v>
      </c>
      <c r="B1346" t="str">
        <f>IFERROR(__xludf.DUMMYFUNCTION("""COMPUTED_VALUE"""),"Gary")</f>
        <v>Gary</v>
      </c>
      <c r="C1346" s="169" t="str">
        <f>IFERROR(__xludf.DUMMYFUNCTION("""COMPUTED_VALUE"""),"Utah State")</f>
        <v>Utah State</v>
      </c>
      <c r="D1346">
        <f>IFERROR(__xludf.DUMMYFUNCTION("""COMPUTED_VALUE"""),5.0)</f>
        <v>5</v>
      </c>
      <c r="E1346">
        <f>IFERROR(__xludf.DUMMYFUNCTION("""COMPUTED_VALUE"""),4.0)</f>
        <v>4</v>
      </c>
      <c r="F1346" t="str">
        <f>IFERROR(__xludf.DUMMYFUNCTION("""COMPUTED_VALUE"""),"CBSSN")</f>
        <v>CBSSN</v>
      </c>
      <c r="G1346" t="str">
        <f>IFERROR(__xludf.DUMMYFUNCTION("""COMPUTED_VALUE"""),"Utah State 37 at Fresno State 35")</f>
        <v>Utah State 37 at Fresno State 35</v>
      </c>
      <c r="H1346" t="str">
        <f>IFERROR(__xludf.DUMMYFUNCTION("""COMPUTED_VALUE"""),"FINAL")</f>
        <v>FINAL</v>
      </c>
      <c r="I1346">
        <f>IFERROR(__xludf.DUMMYFUNCTION("""COMPUTED_VALUE"""),5.0)</f>
        <v>5</v>
      </c>
      <c r="J1346" t="str">
        <f>IFERROR(__xludf.DUMMYFUNCTION("""COMPUTED_VALUE"""),"58½")</f>
        <v>58½</v>
      </c>
      <c r="K1346" t="str">
        <f>IFERROR(__xludf.DUMMYFUNCTION("""COMPUTED_VALUE"""),"DavEmily")</f>
        <v>DavEmily</v>
      </c>
      <c r="L1346" t="str">
        <f>IFERROR(__xludf.DUMMYFUNCTION("""COMPUTED_VALUE"""),"FINAL")</f>
        <v>FINAL</v>
      </c>
      <c r="M1346" s="124">
        <v>11.0</v>
      </c>
    </row>
    <row r="1347">
      <c r="A1347" s="151">
        <f>IFERROR(__xludf.DUMMYFUNCTION("""COMPUTED_VALUE"""),43779.14775225695)</f>
        <v>43779.14775</v>
      </c>
      <c r="B1347" t="str">
        <f>IFERROR(__xludf.DUMMYFUNCTION("""COMPUTED_VALUE"""),"Gary")</f>
        <v>Gary</v>
      </c>
      <c r="C1347" s="169" t="str">
        <f>IFERROR(__xludf.DUMMYFUNCTION("""COMPUTED_VALUE"""),"BYU")</f>
        <v>BYU</v>
      </c>
      <c r="D1347">
        <f>IFERROR(__xludf.DUMMYFUNCTION("""COMPUTED_VALUE"""),5.0)</f>
        <v>5</v>
      </c>
      <c r="E1347">
        <f>IFERROR(__xludf.DUMMYFUNCTION("""COMPUTED_VALUE"""),4.0)</f>
        <v>4</v>
      </c>
      <c r="F1347" t="str">
        <f>IFERROR(__xludf.DUMMYFUNCTION("""COMPUTED_VALUE"""),"ESPNU")</f>
        <v>ESPNU</v>
      </c>
      <c r="G1347" t="str">
        <f>IFERROR(__xludf.DUMMYFUNCTION("""COMPUTED_VALUE"""),"Liberty 24 at BYU 31")</f>
        <v>Liberty 24 at BYU 31</v>
      </c>
      <c r="H1347" t="str">
        <f>IFERROR(__xludf.DUMMYFUNCTION("""COMPUTED_VALUE"""),"FINAL")</f>
        <v>FINAL</v>
      </c>
      <c r="I1347" t="str">
        <f>IFERROR(__xludf.DUMMYFUNCTION("""COMPUTED_VALUE"""),"-17½")</f>
        <v>-17½</v>
      </c>
      <c r="J1347" t="str">
        <f>IFERROR(__xludf.DUMMYFUNCTION("""COMPUTED_VALUE"""),"58½")</f>
        <v>58½</v>
      </c>
      <c r="K1347" t="str">
        <f>IFERROR(__xludf.DUMMYFUNCTION("""COMPUTED_VALUE"""),"Undrafted")</f>
        <v>Undrafted</v>
      </c>
      <c r="L1347" t="str">
        <f>IFERROR(__xludf.DUMMYFUNCTION("""COMPUTED_VALUE"""),"FINAL")</f>
        <v>FINAL</v>
      </c>
      <c r="M1347" s="124">
        <v>11.0</v>
      </c>
    </row>
    <row r="1348">
      <c r="A1348" s="151">
        <f>IFERROR(__xludf.DUMMYFUNCTION("""COMPUTED_VALUE"""),43779.14775225695)</f>
        <v>43779.14775</v>
      </c>
      <c r="B1348" t="str">
        <f>IFERROR(__xludf.DUMMYFUNCTION("""COMPUTED_VALUE"""),"Gary")</f>
        <v>Gary</v>
      </c>
      <c r="C1348" s="169" t="str">
        <f>IFERROR(__xludf.DUMMYFUNCTION("""COMPUTED_VALUE"""),"Marshall")</f>
        <v>Marshall</v>
      </c>
      <c r="D1348">
        <f>IFERROR(__xludf.DUMMYFUNCTION("""COMPUTED_VALUE"""),6.0)</f>
        <v>6</v>
      </c>
      <c r="E1348">
        <f>IFERROR(__xludf.DUMMYFUNCTION("""COMPUTED_VALUE"""),3.0)</f>
        <v>3</v>
      </c>
      <c r="F1348" t="str">
        <f>IFERROR(__xludf.DUMMYFUNCTION("""COMPUTED_VALUE"""),"NA")</f>
        <v>NA</v>
      </c>
      <c r="G1348" t="str">
        <f>IFERROR(__xludf.DUMMYFUNCTION("""COMPUTED_VALUE"""),"BYE")</f>
        <v>BYE</v>
      </c>
      <c r="I1348" t="str">
        <f>IFERROR(__xludf.DUMMYFUNCTION("""COMPUTED_VALUE"""),"bye")</f>
        <v>bye</v>
      </c>
      <c r="J1348" t="str">
        <f>IFERROR(__xludf.DUMMYFUNCTION("""COMPUTED_VALUE"""),"bye")</f>
        <v>bye</v>
      </c>
      <c r="L1348">
        <f>IFERROR(__xludf.DUMMYFUNCTION("""COMPUTED_VALUE"""),9999.0)</f>
        <v>9999</v>
      </c>
      <c r="M1348" s="124">
        <v>11.0</v>
      </c>
    </row>
    <row r="1349">
      <c r="A1349" s="151">
        <f>IFERROR(__xludf.DUMMYFUNCTION("""COMPUTED_VALUE"""),43779.14775225695)</f>
        <v>43779.14775</v>
      </c>
      <c r="B1349" t="str">
        <f>IFERROR(__xludf.DUMMYFUNCTION("""COMPUTED_VALUE"""),"Gary")</f>
        <v>Gary</v>
      </c>
      <c r="C1349" s="169" t="str">
        <f>IFERROR(__xludf.DUMMYFUNCTION("""COMPUTED_VALUE"""),"Pittsburgh")</f>
        <v>Pittsburgh</v>
      </c>
      <c r="D1349">
        <f>IFERROR(__xludf.DUMMYFUNCTION("""COMPUTED_VALUE"""),6.0)</f>
        <v>6</v>
      </c>
      <c r="E1349">
        <f>IFERROR(__xludf.DUMMYFUNCTION("""COMPUTED_VALUE"""),3.0)</f>
        <v>3</v>
      </c>
      <c r="F1349" t="str">
        <f>IFERROR(__xludf.DUMMYFUNCTION("""COMPUTED_VALUE"""),"NA")</f>
        <v>NA</v>
      </c>
      <c r="G1349" t="str">
        <f>IFERROR(__xludf.DUMMYFUNCTION("""COMPUTED_VALUE"""),"BYE")</f>
        <v>BYE</v>
      </c>
      <c r="I1349" t="str">
        <f>IFERROR(__xludf.DUMMYFUNCTION("""COMPUTED_VALUE"""),"bye")</f>
        <v>bye</v>
      </c>
      <c r="J1349" t="str">
        <f>IFERROR(__xludf.DUMMYFUNCTION("""COMPUTED_VALUE"""),"bye")</f>
        <v>bye</v>
      </c>
      <c r="L1349">
        <f>IFERROR(__xludf.DUMMYFUNCTION("""COMPUTED_VALUE"""),9999.0)</f>
        <v>9999</v>
      </c>
      <c r="M1349" s="124">
        <v>11.0</v>
      </c>
    </row>
    <row r="1350">
      <c r="A1350" s="151">
        <f>IFERROR(__xludf.DUMMYFUNCTION("""COMPUTED_VALUE"""),43779.14775225695)</f>
        <v>43779.14775</v>
      </c>
      <c r="B1350" t="str">
        <f>IFERROR(__xludf.DUMMYFUNCTION("""COMPUTED_VALUE"""),"Gary")</f>
        <v>Gary</v>
      </c>
      <c r="C1350" s="169" t="str">
        <f>IFERROR(__xludf.DUMMYFUNCTION("""COMPUTED_VALUE"""),"Tulane")</f>
        <v>Tulane</v>
      </c>
      <c r="D1350">
        <f>IFERROR(__xludf.DUMMYFUNCTION("""COMPUTED_VALUE"""),6.0)</f>
        <v>6</v>
      </c>
      <c r="E1350">
        <f>IFERROR(__xludf.DUMMYFUNCTION("""COMPUTED_VALUE"""),3.0)</f>
        <v>3</v>
      </c>
      <c r="F1350" t="str">
        <f>IFERROR(__xludf.DUMMYFUNCTION("""COMPUTED_VALUE"""),"NA")</f>
        <v>NA</v>
      </c>
      <c r="G1350" t="str">
        <f>IFERROR(__xludf.DUMMYFUNCTION("""COMPUTED_VALUE"""),"BYE")</f>
        <v>BYE</v>
      </c>
      <c r="I1350" t="str">
        <f>IFERROR(__xludf.DUMMYFUNCTION("""COMPUTED_VALUE"""),"bye")</f>
        <v>bye</v>
      </c>
      <c r="J1350" t="str">
        <f>IFERROR(__xludf.DUMMYFUNCTION("""COMPUTED_VALUE"""),"bye")</f>
        <v>bye</v>
      </c>
      <c r="L1350">
        <f>IFERROR(__xludf.DUMMYFUNCTION("""COMPUTED_VALUE"""),9999.0)</f>
        <v>9999</v>
      </c>
      <c r="M1350" s="124">
        <v>11.0</v>
      </c>
    </row>
    <row r="1351">
      <c r="A1351" s="200">
        <f>IFERROR(__xludf.DUMMYFUNCTION("""COMPUTED_VALUE"""),43779.14775225695)</f>
        <v>43779.14775</v>
      </c>
      <c r="B1351" t="str">
        <f>IFERROR(__xludf.DUMMYFUNCTION("""COMPUTED_VALUE"""),"Gary")</f>
        <v>Gary</v>
      </c>
      <c r="C1351" s="169" t="str">
        <f>IFERROR(__xludf.DUMMYFUNCTION("""COMPUTED_VALUE"""),"UCLA")</f>
        <v>UCLA</v>
      </c>
      <c r="D1351">
        <f>IFERROR(__xludf.DUMMYFUNCTION("""COMPUTED_VALUE"""),4.0)</f>
        <v>4</v>
      </c>
      <c r="E1351">
        <f>IFERROR(__xludf.DUMMYFUNCTION("""COMPUTED_VALUE"""),5.0)</f>
        <v>5</v>
      </c>
      <c r="F1351" t="str">
        <f>IFERROR(__xludf.DUMMYFUNCTION("""COMPUTED_VALUE"""),"NA")</f>
        <v>NA</v>
      </c>
      <c r="G1351" t="str">
        <f>IFERROR(__xludf.DUMMYFUNCTION("""COMPUTED_VALUE"""),"BYE")</f>
        <v>BYE</v>
      </c>
      <c r="I1351" t="str">
        <f>IFERROR(__xludf.DUMMYFUNCTION("""COMPUTED_VALUE"""),"bye")</f>
        <v>bye</v>
      </c>
      <c r="J1351" t="str">
        <f>IFERROR(__xludf.DUMMYFUNCTION("""COMPUTED_VALUE"""),"bye")</f>
        <v>bye</v>
      </c>
      <c r="L1351">
        <f>IFERROR(__xludf.DUMMYFUNCTION("""COMPUTED_VALUE"""),9999.0)</f>
        <v>9999</v>
      </c>
      <c r="M1351" s="124">
        <v>11.0</v>
      </c>
    </row>
    <row r="1352">
      <c r="A1352" s="151">
        <f>IFERROR(__xludf.DUMMYFUNCTION("""COMPUTED_VALUE"""),43779.14775225695)</f>
        <v>43779.14775</v>
      </c>
      <c r="B1352" t="str">
        <f>IFERROR(__xludf.DUMMYFUNCTION("""COMPUTED_VALUE"""),"Janice/Mike")</f>
        <v>Janice/Mike</v>
      </c>
      <c r="C1352" s="169" t="str">
        <f>IFERROR(__xludf.DUMMYFUNCTION("""COMPUTED_VALUE"""),"Arkansas")</f>
        <v>Arkansas</v>
      </c>
      <c r="D1352">
        <f>IFERROR(__xludf.DUMMYFUNCTION("""COMPUTED_VALUE"""),2.0)</f>
        <v>2</v>
      </c>
      <c r="E1352">
        <f>IFERROR(__xludf.DUMMYFUNCTION("""COMPUTED_VALUE"""),8.0)</f>
        <v>8</v>
      </c>
      <c r="F1352" t="str">
        <f>IFERROR(__xludf.DUMMYFUNCTION("""COMPUTED_VALUE"""),"SEC Network")</f>
        <v>SEC Network</v>
      </c>
      <c r="G1352" t="str">
        <f>IFERROR(__xludf.DUMMYFUNCTION("""COMPUTED_VALUE"""),"Western Kentucky 45 at Arkansas 19")</f>
        <v>Western Kentucky 45 at Arkansas 19</v>
      </c>
      <c r="H1352" t="str">
        <f>IFERROR(__xludf.DUMMYFUNCTION("""COMPUTED_VALUE"""),"FINAL")</f>
        <v>FINAL</v>
      </c>
      <c r="I1352" t="str">
        <f>IFERROR(__xludf.DUMMYFUNCTION("""COMPUTED_VALUE"""),"-2½")</f>
        <v>-2½</v>
      </c>
      <c r="J1352">
        <f>IFERROR(__xludf.DUMMYFUNCTION("""COMPUTED_VALUE"""),51.0)</f>
        <v>51</v>
      </c>
      <c r="K1352" t="str">
        <f>IFERROR(__xludf.DUMMYFUNCTION("""COMPUTED_VALUE"""),"Justin")</f>
        <v>Justin</v>
      </c>
      <c r="L1352" t="str">
        <f>IFERROR(__xludf.DUMMYFUNCTION("""COMPUTED_VALUE"""),"FINAL")</f>
        <v>FINAL</v>
      </c>
      <c r="M1352" s="124">
        <v>11.0</v>
      </c>
    </row>
    <row r="1353">
      <c r="A1353" s="151">
        <f>IFERROR(__xludf.DUMMYFUNCTION("""COMPUTED_VALUE"""),43779.14775225695)</f>
        <v>43779.14775</v>
      </c>
      <c r="B1353" t="str">
        <f>IFERROR(__xludf.DUMMYFUNCTION("""COMPUTED_VALUE"""),"Janice/Mike")</f>
        <v>Janice/Mike</v>
      </c>
      <c r="C1353" s="169" t="str">
        <f>IFERROR(__xludf.DUMMYFUNCTION("""COMPUTED_VALUE"""),"Texas Tech")</f>
        <v>Texas Tech</v>
      </c>
      <c r="D1353">
        <f>IFERROR(__xludf.DUMMYFUNCTION("""COMPUTED_VALUE"""),4.0)</f>
        <v>4</v>
      </c>
      <c r="E1353">
        <f>IFERROR(__xludf.DUMMYFUNCTION("""COMPUTED_VALUE"""),5.0)</f>
        <v>5</v>
      </c>
      <c r="F1353" t="str">
        <f>IFERROR(__xludf.DUMMYFUNCTION("""COMPUTED_VALUE"""),"ESPN2")</f>
        <v>ESPN2</v>
      </c>
      <c r="G1353" t="str">
        <f>IFERROR(__xludf.DUMMYFUNCTION("""COMPUTED_VALUE"""),"Texas Tech 38 at West Virginia 17")</f>
        <v>Texas Tech 38 at West Virginia 17</v>
      </c>
      <c r="H1353" t="str">
        <f>IFERROR(__xludf.DUMMYFUNCTION("""COMPUTED_VALUE"""),"FINAL")</f>
        <v>FINAL</v>
      </c>
      <c r="I1353">
        <f>IFERROR(__xludf.DUMMYFUNCTION("""COMPUTED_VALUE"""),-2.0)</f>
        <v>-2</v>
      </c>
      <c r="J1353">
        <f>IFERROR(__xludf.DUMMYFUNCTION("""COMPUTED_VALUE"""),60.0)</f>
        <v>60</v>
      </c>
      <c r="K1353" t="str">
        <f>IFERROR(__xludf.DUMMYFUNCTION("""COMPUTED_VALUE"""),"Nico")</f>
        <v>Nico</v>
      </c>
      <c r="L1353" t="str">
        <f>IFERROR(__xludf.DUMMYFUNCTION("""COMPUTED_VALUE"""),"FINAL")</f>
        <v>FINAL</v>
      </c>
      <c r="M1353" s="124">
        <v>11.0</v>
      </c>
    </row>
    <row r="1354">
      <c r="A1354" s="151">
        <f>IFERROR(__xludf.DUMMYFUNCTION("""COMPUTED_VALUE"""),43779.14775225695)</f>
        <v>43779.14775</v>
      </c>
      <c r="B1354" t="str">
        <f>IFERROR(__xludf.DUMMYFUNCTION("""COMPUTED_VALUE"""),"Janice/Mike")</f>
        <v>Janice/Mike</v>
      </c>
      <c r="C1354" s="169" t="str">
        <f>IFERROR(__xludf.DUMMYFUNCTION("""COMPUTED_VALUE"""),"Boston College")</f>
        <v>Boston College</v>
      </c>
      <c r="D1354">
        <f>IFERROR(__xludf.DUMMYFUNCTION("""COMPUTED_VALUE"""),5.0)</f>
        <v>5</v>
      </c>
      <c r="E1354">
        <f>IFERROR(__xludf.DUMMYFUNCTION("""COMPUTED_VALUE"""),5.0)</f>
        <v>5</v>
      </c>
      <c r="F1354" t="str">
        <f>IFERROR(__xludf.DUMMYFUNCTION("""COMPUTED_VALUE"""),"ACC Network")</f>
        <v>ACC Network</v>
      </c>
      <c r="G1354" t="str">
        <f>IFERROR(__xludf.DUMMYFUNCTION("""COMPUTED_VALUE"""),"Florida State 38 at Boston College 31")</f>
        <v>Florida State 38 at Boston College 31</v>
      </c>
      <c r="H1354" t="str">
        <f>IFERROR(__xludf.DUMMYFUNCTION("""COMPUTED_VALUE"""),"FINAL")</f>
        <v>FINAL</v>
      </c>
      <c r="I1354" t="str">
        <f>IFERROR(__xludf.DUMMYFUNCTION("""COMPUTED_VALUE"""),"-2½")</f>
        <v>-2½</v>
      </c>
      <c r="J1354">
        <f>IFERROR(__xludf.DUMMYFUNCTION("""COMPUTED_VALUE"""),62.0)</f>
        <v>62</v>
      </c>
      <c r="K1354" t="str">
        <f>IFERROR(__xludf.DUMMYFUNCTION("""COMPUTED_VALUE"""),"Josh R.")</f>
        <v>Josh R.</v>
      </c>
      <c r="L1354" t="str">
        <f>IFERROR(__xludf.DUMMYFUNCTION("""COMPUTED_VALUE"""),"FINAL")</f>
        <v>FINAL</v>
      </c>
      <c r="M1354" s="124">
        <v>11.0</v>
      </c>
    </row>
    <row r="1355">
      <c r="A1355" s="151">
        <f>IFERROR(__xludf.DUMMYFUNCTION("""COMPUTED_VALUE"""),43779.14775225695)</f>
        <v>43779.14775</v>
      </c>
      <c r="B1355" t="str">
        <f>IFERROR(__xludf.DUMMYFUNCTION("""COMPUTED_VALUE"""),"Janice/Mike")</f>
        <v>Janice/Mike</v>
      </c>
      <c r="C1355" s="169" t="str">
        <f>IFERROR(__xludf.DUMMYFUNCTION("""COMPUTED_VALUE"""),"Charlotte")</f>
        <v>Charlotte</v>
      </c>
      <c r="D1355">
        <f>IFERROR(__xludf.DUMMYFUNCTION("""COMPUTED_VALUE"""),5.0)</f>
        <v>5</v>
      </c>
      <c r="E1355">
        <f>IFERROR(__xludf.DUMMYFUNCTION("""COMPUTED_VALUE"""),5.0)</f>
        <v>5</v>
      </c>
      <c r="F1355" t="str">
        <f>IFERROR(__xludf.DUMMYFUNCTION("""COMPUTED_VALUE"""),"espn+ Video")</f>
        <v>espn+ Video</v>
      </c>
      <c r="G1355" t="str">
        <f>IFERROR(__xludf.DUMMYFUNCTION("""COMPUTED_VALUE"""),"Charlotte 28 at UTEP 21")</f>
        <v>Charlotte 28 at UTEP 21</v>
      </c>
      <c r="H1355" t="str">
        <f>IFERROR(__xludf.DUMMYFUNCTION("""COMPUTED_VALUE"""),"FINAL")</f>
        <v>FINAL</v>
      </c>
      <c r="I1355">
        <f>IFERROR(__xludf.DUMMYFUNCTION("""COMPUTED_VALUE"""),-12.0)</f>
        <v>-12</v>
      </c>
      <c r="J1355">
        <f>IFERROR(__xludf.DUMMYFUNCTION("""COMPUTED_VALUE"""),58.0)</f>
        <v>58</v>
      </c>
      <c r="K1355" t="str">
        <f>IFERROR(__xludf.DUMMYFUNCTION("""COMPUTED_VALUE"""),"Undrafted")</f>
        <v>Undrafted</v>
      </c>
      <c r="L1355" t="str">
        <f>IFERROR(__xludf.DUMMYFUNCTION("""COMPUTED_VALUE"""),"FINAL")</f>
        <v>FINAL</v>
      </c>
      <c r="M1355" s="124">
        <v>11.0</v>
      </c>
    </row>
    <row r="1356">
      <c r="A1356" s="151">
        <f>IFERROR(__xludf.DUMMYFUNCTION("""COMPUTED_VALUE"""),43779.14775225695)</f>
        <v>43779.14775</v>
      </c>
      <c r="B1356" t="str">
        <f>IFERROR(__xludf.DUMMYFUNCTION("""COMPUTED_VALUE"""),"Janice/Mike")</f>
        <v>Janice/Mike</v>
      </c>
      <c r="C1356" s="169" t="str">
        <f>IFERROR(__xludf.DUMMYFUNCTION("""COMPUTED_VALUE"""),"Georgia Southern")</f>
        <v>Georgia Southern</v>
      </c>
      <c r="D1356">
        <f>IFERROR(__xludf.DUMMYFUNCTION("""COMPUTED_VALUE"""),5.0)</f>
        <v>5</v>
      </c>
      <c r="E1356">
        <f>IFERROR(__xludf.DUMMYFUNCTION("""COMPUTED_VALUE"""),4.0)</f>
        <v>4</v>
      </c>
      <c r="F1356" t="str">
        <f>IFERROR(__xludf.DUMMYFUNCTION("""COMPUTED_VALUE"""),"espn+ Video")</f>
        <v>espn+ Video</v>
      </c>
      <c r="G1356" t="str">
        <f>IFERROR(__xludf.DUMMYFUNCTION("""COMPUTED_VALUE"""),"Georgia Southern 28 at Troy 49")</f>
        <v>Georgia Southern 28 at Troy 49</v>
      </c>
      <c r="H1356" t="str">
        <f>IFERROR(__xludf.DUMMYFUNCTION("""COMPUTED_VALUE"""),"FINAL")</f>
        <v>FINAL</v>
      </c>
      <c r="I1356">
        <f>IFERROR(__xludf.DUMMYFUNCTION("""COMPUTED_VALUE"""),-3.0)</f>
        <v>-3</v>
      </c>
      <c r="J1356">
        <f>IFERROR(__xludf.DUMMYFUNCTION("""COMPUTED_VALUE"""),56.0)</f>
        <v>56</v>
      </c>
      <c r="K1356" t="str">
        <f>IFERROR(__xludf.DUMMYFUNCTION("""COMPUTED_VALUE"""),"Nick G.")</f>
        <v>Nick G.</v>
      </c>
      <c r="L1356" t="str">
        <f>IFERROR(__xludf.DUMMYFUNCTION("""COMPUTED_VALUE"""),"FINAL")</f>
        <v>FINAL</v>
      </c>
      <c r="M1356" s="124">
        <v>11.0</v>
      </c>
    </row>
    <row r="1357">
      <c r="A1357" s="151">
        <f>IFERROR(__xludf.DUMMYFUNCTION("""COMPUTED_VALUE"""),43779.14775225695)</f>
        <v>43779.14775</v>
      </c>
      <c r="B1357" t="str">
        <f>IFERROR(__xludf.DUMMYFUNCTION("""COMPUTED_VALUE"""),"Janice/Mike")</f>
        <v>Janice/Mike</v>
      </c>
      <c r="C1357" s="169" t="str">
        <f>IFERROR(__xludf.DUMMYFUNCTION("""COMPUTED_VALUE"""),"Wisconsin")</f>
        <v>Wisconsin</v>
      </c>
      <c r="D1357">
        <f>IFERROR(__xludf.DUMMYFUNCTION("""COMPUTED_VALUE"""),7.0)</f>
        <v>7</v>
      </c>
      <c r="E1357">
        <f>IFERROR(__xludf.DUMMYFUNCTION("""COMPUTED_VALUE"""),2.0)</f>
        <v>2</v>
      </c>
      <c r="F1357" t="str">
        <f>IFERROR(__xludf.DUMMYFUNCTION("""COMPUTED_VALUE"""),"FOX")</f>
        <v>FOX</v>
      </c>
      <c r="G1357" t="str">
        <f>IFERROR(__xludf.DUMMYFUNCTION("""COMPUTED_VALUE"""),"(18) Iowa 22 at (16) Wisconsin 24")</f>
        <v>(18) Iowa 22 at (16) Wisconsin 24</v>
      </c>
      <c r="H1357" t="str">
        <f>IFERROR(__xludf.DUMMYFUNCTION("""COMPUTED_VALUE"""),"FINAL")</f>
        <v>FINAL</v>
      </c>
      <c r="I1357" t="str">
        <f>IFERROR(__xludf.DUMMYFUNCTION("""COMPUTED_VALUE"""),"-8½")</f>
        <v>-8½</v>
      </c>
      <c r="J1357">
        <f>IFERROR(__xludf.DUMMYFUNCTION("""COMPUTED_VALUE"""),38.0)</f>
        <v>38</v>
      </c>
      <c r="K1357" t="str">
        <f>IFERROR(__xludf.DUMMYFUNCTION("""COMPUTED_VALUE"""),"Justin")</f>
        <v>Justin</v>
      </c>
      <c r="L1357" t="str">
        <f>IFERROR(__xludf.DUMMYFUNCTION("""COMPUTED_VALUE"""),"FINAL")</f>
        <v>FINAL</v>
      </c>
      <c r="M1357" s="124">
        <v>11.0</v>
      </c>
    </row>
    <row r="1358">
      <c r="A1358" s="151">
        <f>IFERROR(__xludf.DUMMYFUNCTION("""COMPUTED_VALUE"""),43779.14775225695)</f>
        <v>43779.14775</v>
      </c>
      <c r="B1358" t="str">
        <f>IFERROR(__xludf.DUMMYFUNCTION("""COMPUTED_VALUE"""),"Janice/Mike")</f>
        <v>Janice/Mike</v>
      </c>
      <c r="C1358" s="169" t="str">
        <f>IFERROR(__xludf.DUMMYFUNCTION("""COMPUTED_VALUE"""),"Boise State")</f>
        <v>Boise State</v>
      </c>
      <c r="D1358">
        <f>IFERROR(__xludf.DUMMYFUNCTION("""COMPUTED_VALUE"""),8.0)</f>
        <v>8</v>
      </c>
      <c r="E1358">
        <f>IFERROR(__xludf.DUMMYFUNCTION("""COMPUTED_VALUE"""),1.0)</f>
        <v>1</v>
      </c>
      <c r="F1358" t="str">
        <f>IFERROR(__xludf.DUMMYFUNCTION("""COMPUTED_VALUE"""),"ESPN")</f>
        <v>ESPN</v>
      </c>
      <c r="G1358" t="str">
        <f>IFERROR(__xludf.DUMMYFUNCTION("""COMPUTED_VALUE"""),"Wyoming 17 at (21) Boise State 20")</f>
        <v>Wyoming 17 at (21) Boise State 20</v>
      </c>
      <c r="H1358" t="str">
        <f>IFERROR(__xludf.DUMMYFUNCTION("""COMPUTED_VALUE"""),"FINAL - OT")</f>
        <v>FINAL - OT</v>
      </c>
      <c r="I1358" t="str">
        <f>IFERROR(__xludf.DUMMYFUNCTION("""COMPUTED_VALUE"""),"-12½")</f>
        <v>-12½</v>
      </c>
      <c r="J1358" t="str">
        <f>IFERROR(__xludf.DUMMYFUNCTION("""COMPUTED_VALUE"""),"48½")</f>
        <v>48½</v>
      </c>
      <c r="K1358" t="str">
        <f>IFERROR(__xludf.DUMMYFUNCTION("""COMPUTED_VALUE"""),"Nick G.")</f>
        <v>Nick G.</v>
      </c>
      <c r="L1358" t="str">
        <f>IFERROR(__xludf.DUMMYFUNCTION("""COMPUTED_VALUE"""),"FINAL - OT")</f>
        <v>FINAL - OT</v>
      </c>
      <c r="M1358" s="124">
        <v>11.0</v>
      </c>
    </row>
    <row r="1359">
      <c r="A1359" s="151">
        <f>IFERROR(__xludf.DUMMYFUNCTION("""COMPUTED_VALUE"""),43779.14775225695)</f>
        <v>43779.14775</v>
      </c>
      <c r="B1359" t="str">
        <f>IFERROR(__xludf.DUMMYFUNCTION("""COMPUTED_VALUE"""),"Janice/Mike")</f>
        <v>Janice/Mike</v>
      </c>
      <c r="C1359" s="169" t="str">
        <f>IFERROR(__xludf.DUMMYFUNCTION("""COMPUTED_VALUE"""),"Navy")</f>
        <v>Navy</v>
      </c>
      <c r="D1359">
        <f>IFERROR(__xludf.DUMMYFUNCTION("""COMPUTED_VALUE"""),7.0)</f>
        <v>7</v>
      </c>
      <c r="E1359">
        <f>IFERROR(__xludf.DUMMYFUNCTION("""COMPUTED_VALUE"""),1.0)</f>
        <v>1</v>
      </c>
      <c r="F1359" t="str">
        <f>IFERROR(__xludf.DUMMYFUNCTION("""COMPUTED_VALUE"""),"NA")</f>
        <v>NA</v>
      </c>
      <c r="G1359" t="str">
        <f>IFERROR(__xludf.DUMMYFUNCTION("""COMPUTED_VALUE"""),"BYE")</f>
        <v>BYE</v>
      </c>
      <c r="I1359" t="str">
        <f>IFERROR(__xludf.DUMMYFUNCTION("""COMPUTED_VALUE"""),"bye")</f>
        <v>bye</v>
      </c>
      <c r="J1359" t="str">
        <f>IFERROR(__xludf.DUMMYFUNCTION("""COMPUTED_VALUE"""),"bye")</f>
        <v>bye</v>
      </c>
      <c r="L1359">
        <f>IFERROR(__xludf.DUMMYFUNCTION("""COMPUTED_VALUE"""),9999.0)</f>
        <v>9999</v>
      </c>
      <c r="M1359" s="124">
        <v>11.0</v>
      </c>
    </row>
    <row r="1360">
      <c r="A1360" s="151">
        <f>IFERROR(__xludf.DUMMYFUNCTION("""COMPUTED_VALUE"""),43779.14775225695)</f>
        <v>43779.14775</v>
      </c>
      <c r="B1360" t="str">
        <f>IFERROR(__xludf.DUMMYFUNCTION("""COMPUTED_VALUE"""),"Janice/Mike")</f>
        <v>Janice/Mike</v>
      </c>
      <c r="C1360" s="169" t="str">
        <f>IFERROR(__xludf.DUMMYFUNCTION("""COMPUTED_VALUE"""),"Northern Illinois")</f>
        <v>Northern Illinois</v>
      </c>
      <c r="D1360">
        <f>IFERROR(__xludf.DUMMYFUNCTION("""COMPUTED_VALUE"""),3.0)</f>
        <v>3</v>
      </c>
      <c r="E1360">
        <f>IFERROR(__xludf.DUMMYFUNCTION("""COMPUTED_VALUE"""),6.0)</f>
        <v>6</v>
      </c>
      <c r="F1360" t="str">
        <f>IFERROR(__xludf.DUMMYFUNCTION("""COMPUTED_VALUE"""),"NA")</f>
        <v>NA</v>
      </c>
      <c r="G1360" t="str">
        <f>IFERROR(__xludf.DUMMYFUNCTION("""COMPUTED_VALUE"""),"BYE")</f>
        <v>BYE</v>
      </c>
      <c r="I1360" t="str">
        <f>IFERROR(__xludf.DUMMYFUNCTION("""COMPUTED_VALUE"""),"bye")</f>
        <v>bye</v>
      </c>
      <c r="J1360" t="str">
        <f>IFERROR(__xludf.DUMMYFUNCTION("""COMPUTED_VALUE"""),"bye")</f>
        <v>bye</v>
      </c>
      <c r="L1360">
        <f>IFERROR(__xludf.DUMMYFUNCTION("""COMPUTED_VALUE"""),9999.0)</f>
        <v>9999</v>
      </c>
      <c r="M1360" s="124">
        <v>11.0</v>
      </c>
    </row>
    <row r="1361">
      <c r="A1361" s="200">
        <f>IFERROR(__xludf.DUMMYFUNCTION("""COMPUTED_VALUE"""),43779.14775225695)</f>
        <v>43779.14775</v>
      </c>
      <c r="B1361" t="str">
        <f>IFERROR(__xludf.DUMMYFUNCTION("""COMPUTED_VALUE"""),"Janice/Mike")</f>
        <v>Janice/Mike</v>
      </c>
      <c r="C1361" s="169" t="str">
        <f>IFERROR(__xludf.DUMMYFUNCTION("""COMPUTED_VALUE"""),"Arizona")</f>
        <v>Arizona</v>
      </c>
      <c r="D1361">
        <f>IFERROR(__xludf.DUMMYFUNCTION("""COMPUTED_VALUE"""),4.0)</f>
        <v>4</v>
      </c>
      <c r="E1361">
        <f>IFERROR(__xludf.DUMMYFUNCTION("""COMPUTED_VALUE"""),5.0)</f>
        <v>5</v>
      </c>
      <c r="F1361" t="str">
        <f>IFERROR(__xludf.DUMMYFUNCTION("""COMPUTED_VALUE"""),"NA")</f>
        <v>NA</v>
      </c>
      <c r="G1361" t="str">
        <f>IFERROR(__xludf.DUMMYFUNCTION("""COMPUTED_VALUE"""),"BYE")</f>
        <v>BYE</v>
      </c>
      <c r="I1361" t="str">
        <f>IFERROR(__xludf.DUMMYFUNCTION("""COMPUTED_VALUE"""),"bye")</f>
        <v>bye</v>
      </c>
      <c r="J1361" t="str">
        <f>IFERROR(__xludf.DUMMYFUNCTION("""COMPUTED_VALUE"""),"bye")</f>
        <v>bye</v>
      </c>
      <c r="L1361">
        <f>IFERROR(__xludf.DUMMYFUNCTION("""COMPUTED_VALUE"""),9999.0)</f>
        <v>9999</v>
      </c>
      <c r="M1361" s="124">
        <v>11.0</v>
      </c>
    </row>
    <row r="1362">
      <c r="A1362" s="151">
        <f>IFERROR(__xludf.DUMMYFUNCTION("""COMPUTED_VALUE"""),43779.14775225695)</f>
        <v>43779.14775</v>
      </c>
      <c r="B1362" t="str">
        <f>IFERROR(__xludf.DUMMYFUNCTION("""COMPUTED_VALUE"""),"Nico")</f>
        <v>Nico</v>
      </c>
      <c r="C1362" s="169" t="str">
        <f>IFERROR(__xludf.DUMMYFUNCTION("""COMPUTED_VALUE"""),"Miami-OH")</f>
        <v>Miami-OH</v>
      </c>
      <c r="D1362">
        <f>IFERROR(__xludf.DUMMYFUNCTION("""COMPUTED_VALUE"""),5.0)</f>
        <v>5</v>
      </c>
      <c r="E1362">
        <f>IFERROR(__xludf.DUMMYFUNCTION("""COMPUTED_VALUE"""),4.0)</f>
        <v>4</v>
      </c>
      <c r="F1362" t="str">
        <f>IFERROR(__xludf.DUMMYFUNCTION("""COMPUTED_VALUE"""),"NA")</f>
        <v>NA</v>
      </c>
      <c r="G1362" t="str">
        <f>IFERROR(__xludf.DUMMYFUNCTION("""COMPUTED_VALUE"""),"Miami-OH 24 at Ohio 21")</f>
        <v>Miami-OH 24 at Ohio 21</v>
      </c>
      <c r="H1362" t="str">
        <f>IFERROR(__xludf.DUMMYFUNCTION("""COMPUTED_VALUE"""),"FINAL")</f>
        <v>FINAL</v>
      </c>
      <c r="I1362" t="str">
        <f>IFERROR(__xludf.DUMMYFUNCTION("""COMPUTED_VALUE"""),"6½")</f>
        <v>6½</v>
      </c>
      <c r="J1362" t="str">
        <f>IFERROR(__xludf.DUMMYFUNCTION("""COMPUTED_VALUE"""),"54½")</f>
        <v>54½</v>
      </c>
      <c r="K1362" t="str">
        <f>IFERROR(__xludf.DUMMYFUNCTION("""COMPUTED_VALUE"""),"Gary")</f>
        <v>Gary</v>
      </c>
      <c r="L1362" t="str">
        <f>IFERROR(__xludf.DUMMYFUNCTION("""COMPUTED_VALUE"""),"FINAL")</f>
        <v>FINAL</v>
      </c>
      <c r="M1362" s="124">
        <v>11.0</v>
      </c>
    </row>
    <row r="1363">
      <c r="A1363" s="151">
        <f>IFERROR(__xludf.DUMMYFUNCTION("""COMPUTED_VALUE"""),43779.14775225695)</f>
        <v>43779.14775</v>
      </c>
      <c r="B1363" t="str">
        <f>IFERROR(__xludf.DUMMYFUNCTION("""COMPUTED_VALUE"""),"Nico")</f>
        <v>Nico</v>
      </c>
      <c r="C1363" s="169" t="str">
        <f>IFERROR(__xludf.DUMMYFUNCTION("""COMPUTED_VALUE"""),"West Virginia")</f>
        <v>West Virginia</v>
      </c>
      <c r="D1363">
        <f>IFERROR(__xludf.DUMMYFUNCTION("""COMPUTED_VALUE"""),3.0)</f>
        <v>3</v>
      </c>
      <c r="E1363">
        <f>IFERROR(__xludf.DUMMYFUNCTION("""COMPUTED_VALUE"""),6.0)</f>
        <v>6</v>
      </c>
      <c r="F1363" t="str">
        <f>IFERROR(__xludf.DUMMYFUNCTION("""COMPUTED_VALUE"""),"ESPN2")</f>
        <v>ESPN2</v>
      </c>
      <c r="G1363" t="str">
        <f>IFERROR(__xludf.DUMMYFUNCTION("""COMPUTED_VALUE"""),"Texas Tech 38 at West Virginia 17")</f>
        <v>Texas Tech 38 at West Virginia 17</v>
      </c>
      <c r="H1363" t="str">
        <f>IFERROR(__xludf.DUMMYFUNCTION("""COMPUTED_VALUE"""),"FINAL")</f>
        <v>FINAL</v>
      </c>
      <c r="I1363">
        <f>IFERROR(__xludf.DUMMYFUNCTION("""COMPUTED_VALUE"""),2.0)</f>
        <v>2</v>
      </c>
      <c r="J1363">
        <f>IFERROR(__xludf.DUMMYFUNCTION("""COMPUTED_VALUE"""),60.0)</f>
        <v>60</v>
      </c>
      <c r="K1363" t="str">
        <f>IFERROR(__xludf.DUMMYFUNCTION("""COMPUTED_VALUE"""),"Janice/Mike")</f>
        <v>Janice/Mike</v>
      </c>
      <c r="L1363" t="str">
        <f>IFERROR(__xludf.DUMMYFUNCTION("""COMPUTED_VALUE"""),"FINAL")</f>
        <v>FINAL</v>
      </c>
      <c r="M1363" s="124">
        <v>11.0</v>
      </c>
    </row>
    <row r="1364">
      <c r="A1364" s="151">
        <f>IFERROR(__xludf.DUMMYFUNCTION("""COMPUTED_VALUE"""),43779.14775225695)</f>
        <v>43779.14775</v>
      </c>
      <c r="B1364" t="str">
        <f>IFERROR(__xludf.DUMMYFUNCTION("""COMPUTED_VALUE"""),"Nico")</f>
        <v>Nico</v>
      </c>
      <c r="C1364" s="169" t="str">
        <f>IFERROR(__xludf.DUMMYFUNCTION("""COMPUTED_VALUE"""),"Purdue")</f>
        <v>Purdue</v>
      </c>
      <c r="D1364">
        <f>IFERROR(__xludf.DUMMYFUNCTION("""COMPUTED_VALUE"""),4.0)</f>
        <v>4</v>
      </c>
      <c r="E1364">
        <f>IFERROR(__xludf.DUMMYFUNCTION("""COMPUTED_VALUE"""),6.0)</f>
        <v>6</v>
      </c>
      <c r="F1364" t="str">
        <f>IFERROR(__xludf.DUMMYFUNCTION("""COMPUTED_VALUE"""),"BTN")</f>
        <v>BTN</v>
      </c>
      <c r="G1364" t="str">
        <f>IFERROR(__xludf.DUMMYFUNCTION("""COMPUTED_VALUE"""),"Purdue 24 at Northwestern 22")</f>
        <v>Purdue 24 at Northwestern 22</v>
      </c>
      <c r="H1364" t="str">
        <f>IFERROR(__xludf.DUMMYFUNCTION("""COMPUTED_VALUE"""),"FINAL")</f>
        <v>FINAL</v>
      </c>
      <c r="I1364">
        <f>IFERROR(__xludf.DUMMYFUNCTION("""COMPUTED_VALUE"""),1.0)</f>
        <v>1</v>
      </c>
      <c r="J1364" t="str">
        <f>IFERROR(__xludf.DUMMYFUNCTION("""COMPUTED_VALUE"""),"40½")</f>
        <v>40½</v>
      </c>
      <c r="K1364" t="str">
        <f>IFERROR(__xludf.DUMMYFUNCTION("""COMPUTED_VALUE"""),"Adam")</f>
        <v>Adam</v>
      </c>
      <c r="L1364" t="str">
        <f>IFERROR(__xludf.DUMMYFUNCTION("""COMPUTED_VALUE"""),"FINAL")</f>
        <v>FINAL</v>
      </c>
      <c r="M1364" s="124">
        <v>11.0</v>
      </c>
    </row>
    <row r="1365">
      <c r="A1365" s="151">
        <f>IFERROR(__xludf.DUMMYFUNCTION("""COMPUTED_VALUE"""),43779.14775225695)</f>
        <v>43779.14775</v>
      </c>
      <c r="B1365" t="str">
        <f>IFERROR(__xludf.DUMMYFUNCTION("""COMPUTED_VALUE"""),"Nico")</f>
        <v>Nico</v>
      </c>
      <c r="C1365" s="169" t="str">
        <f>IFERROR(__xludf.DUMMYFUNCTION("""COMPUTED_VALUE"""),"Arizona State")</f>
        <v>Arizona State</v>
      </c>
      <c r="D1365">
        <f>IFERROR(__xludf.DUMMYFUNCTION("""COMPUTED_VALUE"""),5.0)</f>
        <v>5</v>
      </c>
      <c r="E1365">
        <f>IFERROR(__xludf.DUMMYFUNCTION("""COMPUTED_VALUE"""),4.0)</f>
        <v>4</v>
      </c>
      <c r="F1365" t="str">
        <f>IFERROR(__xludf.DUMMYFUNCTION("""COMPUTED_VALUE"""),"ABC")</f>
        <v>ABC</v>
      </c>
      <c r="G1365" t="str">
        <f>IFERROR(__xludf.DUMMYFUNCTION("""COMPUTED_VALUE"""),"USC 31 at Arizona State 26")</f>
        <v>USC 31 at Arizona State 26</v>
      </c>
      <c r="H1365" t="str">
        <f>IFERROR(__xludf.DUMMYFUNCTION("""COMPUTED_VALUE"""),"FINAL")</f>
        <v>FINAL</v>
      </c>
      <c r="I1365">
        <f>IFERROR(__xludf.DUMMYFUNCTION("""COMPUTED_VALUE"""),-2.0)</f>
        <v>-2</v>
      </c>
      <c r="J1365" t="str">
        <f>IFERROR(__xludf.DUMMYFUNCTION("""COMPUTED_VALUE"""),"56½")</f>
        <v>56½</v>
      </c>
      <c r="K1365" t="str">
        <f>IFERROR(__xludf.DUMMYFUNCTION("""COMPUTED_VALUE"""),"Josh R.")</f>
        <v>Josh R.</v>
      </c>
      <c r="L1365" t="str">
        <f>IFERROR(__xludf.DUMMYFUNCTION("""COMPUTED_VALUE"""),"FINAL")</f>
        <v>FINAL</v>
      </c>
      <c r="M1365" s="124">
        <v>11.0</v>
      </c>
    </row>
    <row r="1366">
      <c r="A1366" s="151">
        <f>IFERROR(__xludf.DUMMYFUNCTION("""COMPUTED_VALUE"""),43779.14775225695)</f>
        <v>43779.14775</v>
      </c>
      <c r="B1366" t="str">
        <f>IFERROR(__xludf.DUMMYFUNCTION("""COMPUTED_VALUE"""),"Nico")</f>
        <v>Nico</v>
      </c>
      <c r="C1366" s="169" t="str">
        <f>IFERROR(__xludf.DUMMYFUNCTION("""COMPUTED_VALUE"""),"Georgia")</f>
        <v>Georgia</v>
      </c>
      <c r="D1366">
        <f>IFERROR(__xludf.DUMMYFUNCTION("""COMPUTED_VALUE"""),8.0)</f>
        <v>8</v>
      </c>
      <c r="E1366">
        <f>IFERROR(__xludf.DUMMYFUNCTION("""COMPUTED_VALUE"""),1.0)</f>
        <v>1</v>
      </c>
      <c r="F1366" t="str">
        <f>IFERROR(__xludf.DUMMYFUNCTION("""COMPUTED_VALUE"""),"ESPN")</f>
        <v>ESPN</v>
      </c>
      <c r="G1366" t="str">
        <f>IFERROR(__xludf.DUMMYFUNCTION("""COMPUTED_VALUE"""),"Missouri 0 at (6) Georgia 27")</f>
        <v>Missouri 0 at (6) Georgia 27</v>
      </c>
      <c r="H1366" t="str">
        <f>IFERROR(__xludf.DUMMYFUNCTION("""COMPUTED_VALUE"""),"FINAL")</f>
        <v>FINAL</v>
      </c>
      <c r="I1366">
        <f>IFERROR(__xludf.DUMMYFUNCTION("""COMPUTED_VALUE"""),-17.0)</f>
        <v>-17</v>
      </c>
      <c r="J1366">
        <f>IFERROR(__xludf.DUMMYFUNCTION("""COMPUTED_VALUE"""),47.0)</f>
        <v>47</v>
      </c>
      <c r="K1366" t="str">
        <f>IFERROR(__xludf.DUMMYFUNCTION("""COMPUTED_VALUE"""),"Gary")</f>
        <v>Gary</v>
      </c>
      <c r="L1366" t="str">
        <f>IFERROR(__xludf.DUMMYFUNCTION("""COMPUTED_VALUE"""),"FINAL")</f>
        <v>FINAL</v>
      </c>
      <c r="M1366" s="124">
        <v>11.0</v>
      </c>
    </row>
    <row r="1367">
      <c r="A1367" s="151">
        <f>IFERROR(__xludf.DUMMYFUNCTION("""COMPUTED_VALUE"""),43779.14775225695)</f>
        <v>43779.14775</v>
      </c>
      <c r="B1367" t="str">
        <f>IFERROR(__xludf.DUMMYFUNCTION("""COMPUTED_VALUE"""),"Nico")</f>
        <v>Nico</v>
      </c>
      <c r="C1367" s="169" t="str">
        <f>IFERROR(__xludf.DUMMYFUNCTION("""COMPUTED_VALUE"""),"New Mexico")</f>
        <v>New Mexico</v>
      </c>
      <c r="D1367">
        <f>IFERROR(__xludf.DUMMYFUNCTION("""COMPUTED_VALUE"""),2.0)</f>
        <v>2</v>
      </c>
      <c r="E1367">
        <f>IFERROR(__xludf.DUMMYFUNCTION("""COMPUTED_VALUE"""),7.0)</f>
        <v>7</v>
      </c>
      <c r="F1367" t="str">
        <f>IFERROR(__xludf.DUMMYFUNCTION("""COMPUTED_VALUE"""),"ATTRM")</f>
        <v>ATTRM</v>
      </c>
      <c r="G1367" t="str">
        <f>IFERROR(__xludf.DUMMYFUNCTION("""COMPUTED_VALUE"""),"BYE")</f>
        <v>BYE</v>
      </c>
      <c r="I1367" t="str">
        <f>IFERROR(__xludf.DUMMYFUNCTION("""COMPUTED_VALUE"""),"21½")</f>
        <v>21½</v>
      </c>
      <c r="J1367" t="str">
        <f>IFERROR(__xludf.DUMMYFUNCTION("""COMPUTED_VALUE"""),"58½")</f>
        <v>58½</v>
      </c>
      <c r="L1367">
        <f>IFERROR(__xludf.DUMMYFUNCTION("""COMPUTED_VALUE"""),9999.0)</f>
        <v>9999</v>
      </c>
      <c r="M1367" s="124">
        <v>11.0</v>
      </c>
    </row>
    <row r="1368">
      <c r="A1368" s="151">
        <f>IFERROR(__xludf.DUMMYFUNCTION("""COMPUTED_VALUE"""),43779.14775225695)</f>
        <v>43779.14775</v>
      </c>
      <c r="B1368" t="str">
        <f>IFERROR(__xludf.DUMMYFUNCTION("""COMPUTED_VALUE"""),"Nico")</f>
        <v>Nico</v>
      </c>
      <c r="C1368" s="169" t="str">
        <f>IFERROR(__xludf.DUMMYFUNCTION("""COMPUTED_VALUE"""),"Houston")</f>
        <v>Houston</v>
      </c>
      <c r="D1368">
        <f>IFERROR(__xludf.DUMMYFUNCTION("""COMPUTED_VALUE"""),3.0)</f>
        <v>3</v>
      </c>
      <c r="E1368">
        <f>IFERROR(__xludf.DUMMYFUNCTION("""COMPUTED_VALUE"""),6.0)</f>
        <v>6</v>
      </c>
      <c r="F1368" t="str">
        <f>IFERROR(__xludf.DUMMYFUNCTION("""COMPUTED_VALUE"""),"NA")</f>
        <v>NA</v>
      </c>
      <c r="G1368" t="str">
        <f>IFERROR(__xludf.DUMMYFUNCTION("""COMPUTED_VALUE"""),"BYE")</f>
        <v>BYE</v>
      </c>
      <c r="I1368" t="str">
        <f>IFERROR(__xludf.DUMMYFUNCTION("""COMPUTED_VALUE"""),"bye")</f>
        <v>bye</v>
      </c>
      <c r="J1368" t="str">
        <f>IFERROR(__xludf.DUMMYFUNCTION("""COMPUTED_VALUE"""),"bye")</f>
        <v>bye</v>
      </c>
      <c r="L1368">
        <f>IFERROR(__xludf.DUMMYFUNCTION("""COMPUTED_VALUE"""),9999.0)</f>
        <v>9999</v>
      </c>
      <c r="M1368" s="124">
        <v>11.0</v>
      </c>
    </row>
    <row r="1369">
      <c r="A1369" s="151">
        <f>IFERROR(__xludf.DUMMYFUNCTION("""COMPUTED_VALUE"""),43779.14775225695)</f>
        <v>43779.14775</v>
      </c>
      <c r="B1369" t="str">
        <f>IFERROR(__xludf.DUMMYFUNCTION("""COMPUTED_VALUE"""),"Nico")</f>
        <v>Nico</v>
      </c>
      <c r="C1369" s="169" t="str">
        <f>IFERROR(__xludf.DUMMYFUNCTION("""COMPUTED_VALUE"""),"Arkansas State")</f>
        <v>Arkansas State</v>
      </c>
      <c r="D1369">
        <f>IFERROR(__xludf.DUMMYFUNCTION("""COMPUTED_VALUE"""),2.0)</f>
        <v>2</v>
      </c>
      <c r="E1369">
        <f>IFERROR(__xludf.DUMMYFUNCTION("""COMPUTED_VALUE"""),2.0)</f>
        <v>2</v>
      </c>
      <c r="F1369" t="str">
        <f>IFERROR(__xludf.DUMMYFUNCTION("""COMPUTED_VALUE"""),"NA")</f>
        <v>NA</v>
      </c>
      <c r="G1369" t="str">
        <f>IFERROR(__xludf.DUMMYFUNCTION("""COMPUTED_VALUE"""),"BYE")</f>
        <v>BYE</v>
      </c>
      <c r="I1369" t="str">
        <f>IFERROR(__xludf.DUMMYFUNCTION("""COMPUTED_VALUE"""),"bye")</f>
        <v>bye</v>
      </c>
      <c r="J1369" t="str">
        <f>IFERROR(__xludf.DUMMYFUNCTION("""COMPUTED_VALUE"""),"bye")</f>
        <v>bye</v>
      </c>
      <c r="L1369">
        <f>IFERROR(__xludf.DUMMYFUNCTION("""COMPUTED_VALUE"""),9999.0)</f>
        <v>9999</v>
      </c>
      <c r="M1369" s="124">
        <v>11.0</v>
      </c>
    </row>
    <row r="1370">
      <c r="A1370" s="151">
        <f>IFERROR(__xludf.DUMMYFUNCTION("""COMPUTED_VALUE"""),43779.14775225695)</f>
        <v>43779.14775</v>
      </c>
      <c r="B1370" t="str">
        <f>IFERROR(__xludf.DUMMYFUNCTION("""COMPUTED_VALUE"""),"Nico")</f>
        <v>Nico</v>
      </c>
      <c r="C1370" s="169" t="str">
        <f>IFERROR(__xludf.DUMMYFUNCTION("""COMPUTED_VALUE"""),"Middle Tennessee")</f>
        <v>Middle Tennessee</v>
      </c>
      <c r="D1370">
        <f>IFERROR(__xludf.DUMMYFUNCTION("""COMPUTED_VALUE"""),3.0)</f>
        <v>3</v>
      </c>
      <c r="E1370">
        <f>IFERROR(__xludf.DUMMYFUNCTION("""COMPUTED_VALUE"""),6.0)</f>
        <v>6</v>
      </c>
      <c r="F1370" t="str">
        <f>IFERROR(__xludf.DUMMYFUNCTION("""COMPUTED_VALUE"""),"NA")</f>
        <v>NA</v>
      </c>
      <c r="G1370" t="str">
        <f>IFERROR(__xludf.DUMMYFUNCTION("""COMPUTED_VALUE"""),"BYE")</f>
        <v>BYE</v>
      </c>
      <c r="I1370" t="str">
        <f>IFERROR(__xludf.DUMMYFUNCTION("""COMPUTED_VALUE"""),"bye")</f>
        <v>bye</v>
      </c>
      <c r="J1370" t="str">
        <f>IFERROR(__xludf.DUMMYFUNCTION("""COMPUTED_VALUE"""),"bye")</f>
        <v>bye</v>
      </c>
      <c r="L1370">
        <f>IFERROR(__xludf.DUMMYFUNCTION("""COMPUTED_VALUE"""),9999.0)</f>
        <v>9999</v>
      </c>
      <c r="M1370" s="124">
        <v>11.0</v>
      </c>
    </row>
    <row r="1371">
      <c r="A1371" s="200">
        <f>IFERROR(__xludf.DUMMYFUNCTION("""COMPUTED_VALUE"""),43779.14775225695)</f>
        <v>43779.14775</v>
      </c>
      <c r="B1371" t="str">
        <f>IFERROR(__xludf.DUMMYFUNCTION("""COMPUTED_VALUE"""),"Nico")</f>
        <v>Nico</v>
      </c>
      <c r="C1371" s="169" t="str">
        <f>IFERROR(__xludf.DUMMYFUNCTION("""COMPUTED_VALUE"""),"North Carolina")</f>
        <v>North Carolina</v>
      </c>
      <c r="D1371">
        <f>IFERROR(__xludf.DUMMYFUNCTION("""COMPUTED_VALUE"""),4.0)</f>
        <v>4</v>
      </c>
      <c r="E1371">
        <f>IFERROR(__xludf.DUMMYFUNCTION("""COMPUTED_VALUE"""),5.0)</f>
        <v>5</v>
      </c>
      <c r="F1371" t="str">
        <f>IFERROR(__xludf.DUMMYFUNCTION("""COMPUTED_VALUE"""),"NA")</f>
        <v>NA</v>
      </c>
      <c r="G1371" t="str">
        <f>IFERROR(__xludf.DUMMYFUNCTION("""COMPUTED_VALUE"""),"BYE")</f>
        <v>BYE</v>
      </c>
      <c r="I1371" t="str">
        <f>IFERROR(__xludf.DUMMYFUNCTION("""COMPUTED_VALUE"""),"bye")</f>
        <v>bye</v>
      </c>
      <c r="J1371" t="str">
        <f>IFERROR(__xludf.DUMMYFUNCTION("""COMPUTED_VALUE"""),"bye")</f>
        <v>bye</v>
      </c>
      <c r="L1371">
        <f>IFERROR(__xludf.DUMMYFUNCTION("""COMPUTED_VALUE"""),9999.0)</f>
        <v>9999</v>
      </c>
      <c r="M1371" s="124">
        <v>11.0</v>
      </c>
    </row>
    <row r="1372">
      <c r="A1372" s="151">
        <f>IFERROR(__xludf.DUMMYFUNCTION("""COMPUTED_VALUE"""),43779.14775225695)</f>
        <v>43779.14775</v>
      </c>
      <c r="B1372" t="str">
        <f>IFERROR(__xludf.DUMMYFUNCTION("""COMPUTED_VALUE"""),"Jeannine")</f>
        <v>Jeannine</v>
      </c>
      <c r="C1372" s="169" t="str">
        <f>IFERROR(__xludf.DUMMYFUNCTION("""COMPUTED_VALUE"""),"Western Michigan")</f>
        <v>Western Michigan</v>
      </c>
      <c r="D1372">
        <f>IFERROR(__xludf.DUMMYFUNCTION("""COMPUTED_VALUE"""),6.0)</f>
        <v>6</v>
      </c>
      <c r="E1372">
        <f>IFERROR(__xludf.DUMMYFUNCTION("""COMPUTED_VALUE"""),4.0)</f>
        <v>4</v>
      </c>
      <c r="F1372" t="str">
        <f>IFERROR(__xludf.DUMMYFUNCTION("""COMPUTED_VALUE"""),"ESPN2")</f>
        <v>ESPN2</v>
      </c>
      <c r="G1372" t="str">
        <f>IFERROR(__xludf.DUMMYFUNCTION("""COMPUTED_VALUE"""),"Ball State 31 at Western Michigan 35")</f>
        <v>Ball State 31 at Western Michigan 35</v>
      </c>
      <c r="H1372" t="str">
        <f>IFERROR(__xludf.DUMMYFUNCTION("""COMPUTED_VALUE"""),"FINAL")</f>
        <v>FINAL</v>
      </c>
      <c r="I1372" t="str">
        <f>IFERROR(__xludf.DUMMYFUNCTION("""COMPUTED_VALUE"""),"-6½")</f>
        <v>-6½</v>
      </c>
      <c r="J1372">
        <f>IFERROR(__xludf.DUMMYFUNCTION("""COMPUTED_VALUE"""),63.0)</f>
        <v>63</v>
      </c>
      <c r="K1372" t="str">
        <f>IFERROR(__xludf.DUMMYFUNCTION("""COMPUTED_VALUE"""),"DavEmily")</f>
        <v>DavEmily</v>
      </c>
      <c r="L1372" t="str">
        <f>IFERROR(__xludf.DUMMYFUNCTION("""COMPUTED_VALUE"""),"FINAL")</f>
        <v>FINAL</v>
      </c>
      <c r="M1372" s="124">
        <v>11.0</v>
      </c>
    </row>
    <row r="1373">
      <c r="A1373" s="151">
        <f>IFERROR(__xludf.DUMMYFUNCTION("""COMPUTED_VALUE"""),43779.14775225695)</f>
        <v>43779.14775</v>
      </c>
      <c r="B1373" t="str">
        <f>IFERROR(__xludf.DUMMYFUNCTION("""COMPUTED_VALUE"""),"Jeannine")</f>
        <v>Jeannine</v>
      </c>
      <c r="C1373" s="169" t="str">
        <f>IFERROR(__xludf.DUMMYFUNCTION("""COMPUTED_VALUE"""),"Penn State")</f>
        <v>Penn State</v>
      </c>
      <c r="D1373">
        <f>IFERROR(__xludf.DUMMYFUNCTION("""COMPUTED_VALUE"""),8.0)</f>
        <v>8</v>
      </c>
      <c r="E1373">
        <f>IFERROR(__xludf.DUMMYFUNCTION("""COMPUTED_VALUE"""),1.0)</f>
        <v>1</v>
      </c>
      <c r="F1373" t="str">
        <f>IFERROR(__xludf.DUMMYFUNCTION("""COMPUTED_VALUE"""),"ABC")</f>
        <v>ABC</v>
      </c>
      <c r="G1373" t="str">
        <f>IFERROR(__xludf.DUMMYFUNCTION("""COMPUTED_VALUE"""),"(5) Penn State 26 at (13) Minnesota 31")</f>
        <v>(5) Penn State 26 at (13) Minnesota 31</v>
      </c>
      <c r="H1373" t="str">
        <f>IFERROR(__xludf.DUMMYFUNCTION("""COMPUTED_VALUE"""),"FINAL")</f>
        <v>FINAL</v>
      </c>
      <c r="I1373">
        <f>IFERROR(__xludf.DUMMYFUNCTION("""COMPUTED_VALUE"""),-7.0)</f>
        <v>-7</v>
      </c>
      <c r="J1373" t="str">
        <f>IFERROR(__xludf.DUMMYFUNCTION("""COMPUTED_VALUE"""),"47½")</f>
        <v>47½</v>
      </c>
      <c r="K1373" t="str">
        <f>IFERROR(__xludf.DUMMYFUNCTION("""COMPUTED_VALUE"""),"Josh R.")</f>
        <v>Josh R.</v>
      </c>
      <c r="L1373" t="str">
        <f>IFERROR(__xludf.DUMMYFUNCTION("""COMPUTED_VALUE"""),"FINAL")</f>
        <v>FINAL</v>
      </c>
      <c r="M1373" s="124">
        <v>11.0</v>
      </c>
    </row>
    <row r="1374">
      <c r="A1374" s="151">
        <f>IFERROR(__xludf.DUMMYFUNCTION("""COMPUTED_VALUE"""),43779.14775225695)</f>
        <v>43779.14775</v>
      </c>
      <c r="B1374" t="str">
        <f>IFERROR(__xludf.DUMMYFUNCTION("""COMPUTED_VALUE"""),"Jeannine")</f>
        <v>Jeannine</v>
      </c>
      <c r="C1374" s="169" t="str">
        <f>IFERROR(__xludf.DUMMYFUNCTION("""COMPUTED_VALUE"""),"SMU")</f>
        <v>SMU</v>
      </c>
      <c r="D1374">
        <f>IFERROR(__xludf.DUMMYFUNCTION("""COMPUTED_VALUE"""),9.0)</f>
        <v>9</v>
      </c>
      <c r="E1374">
        <f>IFERROR(__xludf.DUMMYFUNCTION("""COMPUTED_VALUE"""),1.0)</f>
        <v>1</v>
      </c>
      <c r="F1374" t="str">
        <f>IFERROR(__xludf.DUMMYFUNCTION("""COMPUTED_VALUE"""),"ESPNU")</f>
        <v>ESPNU</v>
      </c>
      <c r="G1374" t="str">
        <f>IFERROR(__xludf.DUMMYFUNCTION("""COMPUTED_VALUE"""),"East Carolina 51 at (23) SMU 59")</f>
        <v>East Carolina 51 at (23) SMU 59</v>
      </c>
      <c r="H1374" t="str">
        <f>IFERROR(__xludf.DUMMYFUNCTION("""COMPUTED_VALUE"""),"FINAL")</f>
        <v>FINAL</v>
      </c>
      <c r="I1374" t="str">
        <f>IFERROR(__xludf.DUMMYFUNCTION("""COMPUTED_VALUE"""),"-22½")</f>
        <v>-22½</v>
      </c>
      <c r="J1374">
        <f>IFERROR(__xludf.DUMMYFUNCTION("""COMPUTED_VALUE"""),70.0)</f>
        <v>70</v>
      </c>
      <c r="K1374" t="str">
        <f>IFERROR(__xludf.DUMMYFUNCTION("""COMPUTED_VALUE"""),"Nick A.")</f>
        <v>Nick A.</v>
      </c>
      <c r="L1374" t="str">
        <f>IFERROR(__xludf.DUMMYFUNCTION("""COMPUTED_VALUE"""),"FINAL")</f>
        <v>FINAL</v>
      </c>
      <c r="M1374" s="124">
        <v>11.0</v>
      </c>
    </row>
    <row r="1375">
      <c r="A1375" s="151">
        <f>IFERROR(__xludf.DUMMYFUNCTION("""COMPUTED_VALUE"""),43779.14775225695)</f>
        <v>43779.14775</v>
      </c>
      <c r="B1375" t="str">
        <f>IFERROR(__xludf.DUMMYFUNCTION("""COMPUTED_VALUE"""),"Jeannine")</f>
        <v>Jeannine</v>
      </c>
      <c r="C1375" s="169" t="str">
        <f>IFERROR(__xludf.DUMMYFUNCTION("""COMPUTED_VALUE"""),"Virginia")</f>
        <v>Virginia</v>
      </c>
      <c r="D1375">
        <f>IFERROR(__xludf.DUMMYFUNCTION("""COMPUTED_VALUE"""),7.0)</f>
        <v>7</v>
      </c>
      <c r="E1375">
        <f>IFERROR(__xludf.DUMMYFUNCTION("""COMPUTED_VALUE"""),3.0)</f>
        <v>3</v>
      </c>
      <c r="F1375" t="str">
        <f>IFERROR(__xludf.DUMMYFUNCTION("""COMPUTED_VALUE"""),"ACC RSN")</f>
        <v>ACC RSN</v>
      </c>
      <c r="G1375" t="str">
        <f>IFERROR(__xludf.DUMMYFUNCTION("""COMPUTED_VALUE"""),"Georgia Tech 28 at Virginia 33")</f>
        <v>Georgia Tech 28 at Virginia 33</v>
      </c>
      <c r="H1375" t="str">
        <f>IFERROR(__xludf.DUMMYFUNCTION("""COMPUTED_VALUE"""),"FINAL")</f>
        <v>FINAL</v>
      </c>
      <c r="I1375" t="str">
        <f>IFERROR(__xludf.DUMMYFUNCTION("""COMPUTED_VALUE"""),"-14½")</f>
        <v>-14½</v>
      </c>
      <c r="J1375" t="str">
        <f>IFERROR(__xludf.DUMMYFUNCTION("""COMPUTED_VALUE"""),"45½")</f>
        <v>45½</v>
      </c>
      <c r="K1375" t="str">
        <f>IFERROR(__xludf.DUMMYFUNCTION("""COMPUTED_VALUE"""),"Undrafted")</f>
        <v>Undrafted</v>
      </c>
      <c r="L1375" t="str">
        <f>IFERROR(__xludf.DUMMYFUNCTION("""COMPUTED_VALUE"""),"FINAL")</f>
        <v>FINAL</v>
      </c>
      <c r="M1375" s="124">
        <v>11.0</v>
      </c>
    </row>
    <row r="1376">
      <c r="A1376" s="151">
        <f>IFERROR(__xludf.DUMMYFUNCTION("""COMPUTED_VALUE"""),43779.14775225695)</f>
        <v>43779.14775</v>
      </c>
      <c r="B1376" t="str">
        <f>IFERROR(__xludf.DUMMYFUNCTION("""COMPUTED_VALUE"""),"Jeannine")</f>
        <v>Jeannine</v>
      </c>
      <c r="C1376" s="169" t="str">
        <f>IFERROR(__xludf.DUMMYFUNCTION("""COMPUTED_VALUE"""),"Colorado")</f>
        <v>Colorado</v>
      </c>
      <c r="D1376">
        <f>IFERROR(__xludf.DUMMYFUNCTION("""COMPUTED_VALUE"""),4.0)</f>
        <v>4</v>
      </c>
      <c r="E1376">
        <f>IFERROR(__xludf.DUMMYFUNCTION("""COMPUTED_VALUE"""),6.0)</f>
        <v>6</v>
      </c>
      <c r="F1376" t="str">
        <f>IFERROR(__xludf.DUMMYFUNCTION("""COMPUTED_VALUE"""),"Pac-12")</f>
        <v>Pac-12</v>
      </c>
      <c r="G1376" t="str">
        <f>IFERROR(__xludf.DUMMYFUNCTION("""COMPUTED_VALUE"""),"Stanford 13 at Colorado 16")</f>
        <v>Stanford 13 at Colorado 16</v>
      </c>
      <c r="H1376" t="str">
        <f>IFERROR(__xludf.DUMMYFUNCTION("""COMPUTED_VALUE"""),"FINAL")</f>
        <v>FINAL</v>
      </c>
      <c r="I1376" t="str">
        <f>IFERROR(__xludf.DUMMYFUNCTION("""COMPUTED_VALUE"""),"3½")</f>
        <v>3½</v>
      </c>
      <c r="J1376" t="str">
        <f>IFERROR(__xludf.DUMMYFUNCTION("""COMPUTED_VALUE"""),"54½")</f>
        <v>54½</v>
      </c>
      <c r="K1376" t="str">
        <f>IFERROR(__xludf.DUMMYFUNCTION("""COMPUTED_VALUE"""),"Nick G.")</f>
        <v>Nick G.</v>
      </c>
      <c r="L1376" t="str">
        <f>IFERROR(__xludf.DUMMYFUNCTION("""COMPUTED_VALUE"""),"FINAL")</f>
        <v>FINAL</v>
      </c>
      <c r="M1376" s="124">
        <v>11.0</v>
      </c>
    </row>
    <row r="1377">
      <c r="A1377" s="151">
        <f>IFERROR(__xludf.DUMMYFUNCTION("""COMPUTED_VALUE"""),43779.14775225695)</f>
        <v>43779.14775</v>
      </c>
      <c r="B1377" t="str">
        <f>IFERROR(__xludf.DUMMYFUNCTION("""COMPUTED_VALUE"""),"Jeannine")</f>
        <v>Jeannine</v>
      </c>
      <c r="C1377" s="169" t="str">
        <f>IFERROR(__xludf.DUMMYFUNCTION("""COMPUTED_VALUE"""),"UAB")</f>
        <v>UAB</v>
      </c>
      <c r="D1377">
        <f>IFERROR(__xludf.DUMMYFUNCTION("""COMPUTED_VALUE"""),6.0)</f>
        <v>6</v>
      </c>
      <c r="E1377">
        <f>IFERROR(__xludf.DUMMYFUNCTION("""COMPUTED_VALUE"""),3.0)</f>
        <v>3</v>
      </c>
      <c r="F1377" t="str">
        <f>IFERROR(__xludf.DUMMYFUNCTION("""COMPUTED_VALUE"""),"NFL Network")</f>
        <v>NFL Network</v>
      </c>
      <c r="G1377" t="str">
        <f>IFERROR(__xludf.DUMMYFUNCTION("""COMPUTED_VALUE"""),"UAB 2 at Southern Mississippi 37")</f>
        <v>UAB 2 at Southern Mississippi 37</v>
      </c>
      <c r="H1377" t="str">
        <f>IFERROR(__xludf.DUMMYFUNCTION("""COMPUTED_VALUE"""),"FINAL")</f>
        <v>FINAL</v>
      </c>
      <c r="I1377">
        <f>IFERROR(__xludf.DUMMYFUNCTION("""COMPUTED_VALUE"""),6.0)</f>
        <v>6</v>
      </c>
      <c r="J1377">
        <f>IFERROR(__xludf.DUMMYFUNCTION("""COMPUTED_VALUE"""),50.0)</f>
        <v>50</v>
      </c>
      <c r="K1377" t="str">
        <f>IFERROR(__xludf.DUMMYFUNCTION("""COMPUTED_VALUE"""),"Josh R.")</f>
        <v>Josh R.</v>
      </c>
      <c r="L1377" t="str">
        <f>IFERROR(__xludf.DUMMYFUNCTION("""COMPUTED_VALUE"""),"FINAL")</f>
        <v>FINAL</v>
      </c>
      <c r="M1377" s="124">
        <v>11.0</v>
      </c>
    </row>
    <row r="1378">
      <c r="A1378" s="151">
        <f>IFERROR(__xludf.DUMMYFUNCTION("""COMPUTED_VALUE"""),43779.14775225695)</f>
        <v>43779.14775</v>
      </c>
      <c r="B1378" t="str">
        <f>IFERROR(__xludf.DUMMYFUNCTION("""COMPUTED_VALUE"""),"Jeannine")</f>
        <v>Jeannine</v>
      </c>
      <c r="C1378" s="169" t="str">
        <f>IFERROR(__xludf.DUMMYFUNCTION("""COMPUTED_VALUE"""),"UL Monroe")</f>
        <v>UL Monroe</v>
      </c>
      <c r="D1378">
        <f>IFERROR(__xludf.DUMMYFUNCTION("""COMPUTED_VALUE"""),4.0)</f>
        <v>4</v>
      </c>
      <c r="E1378">
        <f>IFERROR(__xludf.DUMMYFUNCTION("""COMPUTED_VALUE"""),5.0)</f>
        <v>5</v>
      </c>
      <c r="F1378" t="str">
        <f>IFERROR(__xludf.DUMMYFUNCTION("""COMPUTED_VALUE"""),"NA")</f>
        <v>NA</v>
      </c>
      <c r="G1378" t="str">
        <f>IFERROR(__xludf.DUMMYFUNCTION("""COMPUTED_VALUE"""),"Georgia State 31 at UL Monroe 45")</f>
        <v>Georgia State 31 at UL Monroe 45</v>
      </c>
      <c r="H1378" t="str">
        <f>IFERROR(__xludf.DUMMYFUNCTION("""COMPUTED_VALUE"""),"FINAL")</f>
        <v>FINAL</v>
      </c>
      <c r="I1378" t="str">
        <f>IFERROR(__xludf.DUMMYFUNCTION("""COMPUTED_VALUE"""),"2½")</f>
        <v>2½</v>
      </c>
      <c r="J1378" t="str">
        <f>IFERROR(__xludf.DUMMYFUNCTION("""COMPUTED_VALUE"""),"74½")</f>
        <v>74½</v>
      </c>
      <c r="K1378" t="str">
        <f>IFERROR(__xludf.DUMMYFUNCTION("""COMPUTED_VALUE"""),"Adam")</f>
        <v>Adam</v>
      </c>
      <c r="L1378" t="str">
        <f>IFERROR(__xludf.DUMMYFUNCTION("""COMPUTED_VALUE"""),"FINAL")</f>
        <v>FINAL</v>
      </c>
      <c r="M1378" s="124">
        <v>11.0</v>
      </c>
    </row>
    <row r="1379">
      <c r="A1379" s="151">
        <f>IFERROR(__xludf.DUMMYFUNCTION("""COMPUTED_VALUE"""),43779.14775225695)</f>
        <v>43779.14775</v>
      </c>
      <c r="B1379" t="str">
        <f>IFERROR(__xludf.DUMMYFUNCTION("""COMPUTED_VALUE"""),"Jeannine")</f>
        <v>Jeannine</v>
      </c>
      <c r="C1379" s="169" t="str">
        <f>IFERROR(__xludf.DUMMYFUNCTION("""COMPUTED_VALUE"""),"Oklahoma")</f>
        <v>Oklahoma</v>
      </c>
      <c r="D1379">
        <f>IFERROR(__xludf.DUMMYFUNCTION("""COMPUTED_VALUE"""),8.0)</f>
        <v>8</v>
      </c>
      <c r="E1379">
        <f>IFERROR(__xludf.DUMMYFUNCTION("""COMPUTED_VALUE"""),1.0)</f>
        <v>1</v>
      </c>
      <c r="F1379" t="str">
        <f>IFERROR(__xludf.DUMMYFUNCTION("""COMPUTED_VALUE"""),"FOX")</f>
        <v>FOX</v>
      </c>
      <c r="G1379" t="str">
        <f>IFERROR(__xludf.DUMMYFUNCTION("""COMPUTED_VALUE"""),"Iowa State 41 at (8) Oklahoma 42")</f>
        <v>Iowa State 41 at (8) Oklahoma 42</v>
      </c>
      <c r="H1379" t="str">
        <f>IFERROR(__xludf.DUMMYFUNCTION("""COMPUTED_VALUE"""),"FINAL")</f>
        <v>FINAL</v>
      </c>
      <c r="I1379">
        <f>IFERROR(__xludf.DUMMYFUNCTION("""COMPUTED_VALUE"""),-14.0)</f>
        <v>-14</v>
      </c>
      <c r="J1379">
        <f>IFERROR(__xludf.DUMMYFUNCTION("""COMPUTED_VALUE"""),67.0)</f>
        <v>67</v>
      </c>
      <c r="K1379" t="str">
        <f>IFERROR(__xludf.DUMMYFUNCTION("""COMPUTED_VALUE"""),"Nick A.")</f>
        <v>Nick A.</v>
      </c>
      <c r="L1379" t="str">
        <f>IFERROR(__xludf.DUMMYFUNCTION("""COMPUTED_VALUE"""),"FINAL")</f>
        <v>FINAL</v>
      </c>
      <c r="M1379" s="124">
        <v>11.0</v>
      </c>
    </row>
    <row r="1380">
      <c r="A1380" s="151">
        <f>IFERROR(__xludf.DUMMYFUNCTION("""COMPUTED_VALUE"""),43779.14775225695)</f>
        <v>43779.14775</v>
      </c>
      <c r="B1380" t="str">
        <f>IFERROR(__xludf.DUMMYFUNCTION("""COMPUTED_VALUE"""),"Jeannine")</f>
        <v>Jeannine</v>
      </c>
      <c r="C1380" s="169" t="str">
        <f>IFERROR(__xludf.DUMMYFUNCTION("""COMPUTED_VALUE"""),"San José State")</f>
        <v>San José State</v>
      </c>
      <c r="D1380">
        <f>IFERROR(__xludf.DUMMYFUNCTION("""COMPUTED_VALUE"""),4.0)</f>
        <v>4</v>
      </c>
      <c r="E1380">
        <f>IFERROR(__xludf.DUMMYFUNCTION("""COMPUTED_VALUE"""),6.0)</f>
        <v>6</v>
      </c>
      <c r="F1380" t="str">
        <f>IFERROR(__xludf.DUMMYFUNCTION("""COMPUTED_VALUE"""),"NA")</f>
        <v>NA</v>
      </c>
      <c r="G1380" t="str">
        <f>IFERROR(__xludf.DUMMYFUNCTION("""COMPUTED_VALUE"""),"San José State 40 at Hawaii 42")</f>
        <v>San José State 40 at Hawaii 42</v>
      </c>
      <c r="H1380" t="str">
        <f>IFERROR(__xludf.DUMMYFUNCTION("""COMPUTED_VALUE"""),"FINAL")</f>
        <v>FINAL</v>
      </c>
      <c r="I1380" t="str">
        <f>IFERROR(__xludf.DUMMYFUNCTION("""COMPUTED_VALUE"""),"7½")</f>
        <v>7½</v>
      </c>
      <c r="J1380">
        <f>IFERROR(__xludf.DUMMYFUNCTION("""COMPUTED_VALUE"""),77.0)</f>
        <v>77</v>
      </c>
      <c r="K1380" t="str">
        <f>IFERROR(__xludf.DUMMYFUNCTION("""COMPUTED_VALUE"""),"Vu")</f>
        <v>Vu</v>
      </c>
      <c r="L1380" t="str">
        <f>IFERROR(__xludf.DUMMYFUNCTION("""COMPUTED_VALUE"""),"FINAL")</f>
        <v>FINAL</v>
      </c>
      <c r="M1380" s="124">
        <v>11.0</v>
      </c>
    </row>
    <row r="1381">
      <c r="A1381" s="200">
        <f>IFERROR(__xludf.DUMMYFUNCTION("""COMPUTED_VALUE"""),43779.14775225695)</f>
        <v>43779.14775</v>
      </c>
      <c r="B1381" t="str">
        <f>IFERROR(__xludf.DUMMYFUNCTION("""COMPUTED_VALUE"""),"Jeannine")</f>
        <v>Jeannine</v>
      </c>
      <c r="C1381" s="169" t="str">
        <f>IFERROR(__xludf.DUMMYFUNCTION("""COMPUTED_VALUE"""),"Mississippi State")</f>
        <v>Mississippi State</v>
      </c>
      <c r="D1381">
        <f>IFERROR(__xludf.DUMMYFUNCTION("""COMPUTED_VALUE"""),4.0)</f>
        <v>4</v>
      </c>
      <c r="E1381">
        <f>IFERROR(__xludf.DUMMYFUNCTION("""COMPUTED_VALUE"""),5.0)</f>
        <v>5</v>
      </c>
      <c r="F1381" t="str">
        <f>IFERROR(__xludf.DUMMYFUNCTION("""COMPUTED_VALUE"""),"NA")</f>
        <v>NA</v>
      </c>
      <c r="G1381" t="str">
        <f>IFERROR(__xludf.DUMMYFUNCTION("""COMPUTED_VALUE"""),"BYE")</f>
        <v>BYE</v>
      </c>
      <c r="I1381" t="str">
        <f>IFERROR(__xludf.DUMMYFUNCTION("""COMPUTED_VALUE"""),"bye")</f>
        <v>bye</v>
      </c>
      <c r="J1381" t="str">
        <f>IFERROR(__xludf.DUMMYFUNCTION("""COMPUTED_VALUE"""),"bye")</f>
        <v>bye</v>
      </c>
      <c r="L1381">
        <f>IFERROR(__xludf.DUMMYFUNCTION("""COMPUTED_VALUE"""),9999.0)</f>
        <v>9999</v>
      </c>
      <c r="M1381" s="124">
        <v>11.0</v>
      </c>
    </row>
    <row r="1382">
      <c r="A1382" s="151">
        <f>IFERROR(__xludf.DUMMYFUNCTION("""COMPUTED_VALUE"""),43779.14775225695)</f>
        <v>43779.14775</v>
      </c>
      <c r="B1382" t="str">
        <f>IFERROR(__xludf.DUMMYFUNCTION("""COMPUTED_VALUE"""),"Justin")</f>
        <v>Justin</v>
      </c>
      <c r="C1382" s="169" t="str">
        <f>IFERROR(__xludf.DUMMYFUNCTION("""COMPUTED_VALUE"""),"South Florida")</f>
        <v>South Florida</v>
      </c>
      <c r="D1382">
        <f>IFERROR(__xludf.DUMMYFUNCTION("""COMPUTED_VALUE"""),4.0)</f>
        <v>4</v>
      </c>
      <c r="E1382">
        <f>IFERROR(__xludf.DUMMYFUNCTION("""COMPUTED_VALUE"""),5.0)</f>
        <v>5</v>
      </c>
      <c r="F1382" t="str">
        <f>IFERROR(__xludf.DUMMYFUNCTION("""COMPUTED_VALUE"""),"ESPN")</f>
        <v>ESPN</v>
      </c>
      <c r="G1382" t="str">
        <f>IFERROR(__xludf.DUMMYFUNCTION("""COMPUTED_VALUE"""),"Temple 17 at South Florida 7")</f>
        <v>Temple 17 at South Florida 7</v>
      </c>
      <c r="H1382" t="str">
        <f>IFERROR(__xludf.DUMMYFUNCTION("""COMPUTED_VALUE"""),"FINAL")</f>
        <v>FINAL</v>
      </c>
      <c r="I1382" t="str">
        <f>IFERROR(__xludf.DUMMYFUNCTION("""COMPUTED_VALUE"""),"2½")</f>
        <v>2½</v>
      </c>
      <c r="J1382">
        <f>IFERROR(__xludf.DUMMYFUNCTION("""COMPUTED_VALUE"""),51.0)</f>
        <v>51</v>
      </c>
      <c r="K1382" t="str">
        <f>IFERROR(__xludf.DUMMYFUNCTION("""COMPUTED_VALUE"""),"Josh R.")</f>
        <v>Josh R.</v>
      </c>
      <c r="L1382" t="str">
        <f>IFERROR(__xludf.DUMMYFUNCTION("""COMPUTED_VALUE"""),"FINAL")</f>
        <v>FINAL</v>
      </c>
      <c r="M1382" s="124">
        <v>11.0</v>
      </c>
    </row>
    <row r="1383">
      <c r="A1383" s="151">
        <f>IFERROR(__xludf.DUMMYFUNCTION("""COMPUTED_VALUE"""),43779.14775225695)</f>
        <v>43779.14775</v>
      </c>
      <c r="B1383" t="str">
        <f>IFERROR(__xludf.DUMMYFUNCTION("""COMPUTED_VALUE"""),"Justin")</f>
        <v>Justin</v>
      </c>
      <c r="C1383" s="169" t="str">
        <f>IFERROR(__xludf.DUMMYFUNCTION("""COMPUTED_VALUE"""),"Baylor")</f>
        <v>Baylor</v>
      </c>
      <c r="D1383">
        <f>IFERROR(__xludf.DUMMYFUNCTION("""COMPUTED_VALUE"""),9.0)</f>
        <v>9</v>
      </c>
      <c r="E1383">
        <f>IFERROR(__xludf.DUMMYFUNCTION("""COMPUTED_VALUE"""),0.0)</f>
        <v>0</v>
      </c>
      <c r="F1383" t="str">
        <f>IFERROR(__xludf.DUMMYFUNCTION("""COMPUTED_VALUE"""),"FS1")</f>
        <v>FS1</v>
      </c>
      <c r="G1383" t="str">
        <f>IFERROR(__xludf.DUMMYFUNCTION("""COMPUTED_VALUE"""),"(10) Baylor 29 at TCU 23")</f>
        <v>(10) Baylor 29 at TCU 23</v>
      </c>
      <c r="H1383" t="str">
        <f>IFERROR(__xludf.DUMMYFUNCTION("""COMPUTED_VALUE"""),"FINAL - 3RD OT")</f>
        <v>FINAL - 3RD OT</v>
      </c>
      <c r="I1383">
        <f>IFERROR(__xludf.DUMMYFUNCTION("""COMPUTED_VALUE"""),-1.0)</f>
        <v>-1</v>
      </c>
      <c r="J1383">
        <f>IFERROR(__xludf.DUMMYFUNCTION("""COMPUTED_VALUE"""),51.0)</f>
        <v>51</v>
      </c>
      <c r="K1383" t="str">
        <f>IFERROR(__xludf.DUMMYFUNCTION("""COMPUTED_VALUE"""),"Vu")</f>
        <v>Vu</v>
      </c>
      <c r="L1383" t="str">
        <f>IFERROR(__xludf.DUMMYFUNCTION("""COMPUTED_VALUE"""),"FINAL - 3RD OT")</f>
        <v>FINAL - 3RD OT</v>
      </c>
      <c r="M1383" s="124">
        <v>11.0</v>
      </c>
    </row>
    <row r="1384">
      <c r="A1384" s="151">
        <f>IFERROR(__xludf.DUMMYFUNCTION("""COMPUTED_VALUE"""),43779.14775225695)</f>
        <v>43779.14775</v>
      </c>
      <c r="B1384" t="str">
        <f>IFERROR(__xludf.DUMMYFUNCTION("""COMPUTED_VALUE"""),"Justin")</f>
        <v>Justin</v>
      </c>
      <c r="C1384" s="169" t="str">
        <f>IFERROR(__xludf.DUMMYFUNCTION("""COMPUTED_VALUE"""),"Western Kentucky")</f>
        <v>Western Kentucky</v>
      </c>
      <c r="D1384">
        <f>IFERROR(__xludf.DUMMYFUNCTION("""COMPUTED_VALUE"""),6.0)</f>
        <v>6</v>
      </c>
      <c r="E1384">
        <f>IFERROR(__xludf.DUMMYFUNCTION("""COMPUTED_VALUE"""),4.0)</f>
        <v>4</v>
      </c>
      <c r="F1384" t="str">
        <f>IFERROR(__xludf.DUMMYFUNCTION("""COMPUTED_VALUE"""),"SEC Network")</f>
        <v>SEC Network</v>
      </c>
      <c r="G1384" t="str">
        <f>IFERROR(__xludf.DUMMYFUNCTION("""COMPUTED_VALUE"""),"Western Kentucky 45 at Arkansas 19")</f>
        <v>Western Kentucky 45 at Arkansas 19</v>
      </c>
      <c r="H1384" t="str">
        <f>IFERROR(__xludf.DUMMYFUNCTION("""COMPUTED_VALUE"""),"FINAL")</f>
        <v>FINAL</v>
      </c>
      <c r="I1384" t="str">
        <f>IFERROR(__xludf.DUMMYFUNCTION("""COMPUTED_VALUE"""),"2½")</f>
        <v>2½</v>
      </c>
      <c r="J1384">
        <f>IFERROR(__xludf.DUMMYFUNCTION("""COMPUTED_VALUE"""),51.0)</f>
        <v>51</v>
      </c>
      <c r="K1384" t="str">
        <f>IFERROR(__xludf.DUMMYFUNCTION("""COMPUTED_VALUE"""),"Janice/Mike")</f>
        <v>Janice/Mike</v>
      </c>
      <c r="L1384" t="str">
        <f>IFERROR(__xludf.DUMMYFUNCTION("""COMPUTED_VALUE"""),"FINAL")</f>
        <v>FINAL</v>
      </c>
      <c r="M1384" s="124">
        <v>11.0</v>
      </c>
    </row>
    <row r="1385">
      <c r="A1385" s="151">
        <f>IFERROR(__xludf.DUMMYFUNCTION("""COMPUTED_VALUE"""),43779.14775225695)</f>
        <v>43779.14775</v>
      </c>
      <c r="B1385" t="str">
        <f>IFERROR(__xludf.DUMMYFUNCTION("""COMPUTED_VALUE"""),"Justin")</f>
        <v>Justin</v>
      </c>
      <c r="C1385" s="169" t="str">
        <f>IFERROR(__xludf.DUMMYFUNCTION("""COMPUTED_VALUE"""),"Iowa")</f>
        <v>Iowa</v>
      </c>
      <c r="D1385">
        <f>IFERROR(__xludf.DUMMYFUNCTION("""COMPUTED_VALUE"""),6.0)</f>
        <v>6</v>
      </c>
      <c r="E1385">
        <f>IFERROR(__xludf.DUMMYFUNCTION("""COMPUTED_VALUE"""),3.0)</f>
        <v>3</v>
      </c>
      <c r="F1385" t="str">
        <f>IFERROR(__xludf.DUMMYFUNCTION("""COMPUTED_VALUE"""),"FOX")</f>
        <v>FOX</v>
      </c>
      <c r="G1385" t="str">
        <f>IFERROR(__xludf.DUMMYFUNCTION("""COMPUTED_VALUE"""),"(18) Iowa 22 at (16) Wisconsin 24")</f>
        <v>(18) Iowa 22 at (16) Wisconsin 24</v>
      </c>
      <c r="H1385" t="str">
        <f>IFERROR(__xludf.DUMMYFUNCTION("""COMPUTED_VALUE"""),"FINAL")</f>
        <v>FINAL</v>
      </c>
      <c r="I1385" t="str">
        <f>IFERROR(__xludf.DUMMYFUNCTION("""COMPUTED_VALUE"""),"8½")</f>
        <v>8½</v>
      </c>
      <c r="J1385">
        <f>IFERROR(__xludf.DUMMYFUNCTION("""COMPUTED_VALUE"""),38.0)</f>
        <v>38</v>
      </c>
      <c r="K1385" t="str">
        <f>IFERROR(__xludf.DUMMYFUNCTION("""COMPUTED_VALUE"""),"Janice/Mike")</f>
        <v>Janice/Mike</v>
      </c>
      <c r="L1385" t="str">
        <f>IFERROR(__xludf.DUMMYFUNCTION("""COMPUTED_VALUE"""),"FINAL")</f>
        <v>FINAL</v>
      </c>
      <c r="M1385" s="124">
        <v>11.0</v>
      </c>
    </row>
    <row r="1386">
      <c r="A1386" s="151">
        <f>IFERROR(__xludf.DUMMYFUNCTION("""COMPUTED_VALUE"""),43779.14775225695)</f>
        <v>43779.14775</v>
      </c>
      <c r="B1386" t="str">
        <f>IFERROR(__xludf.DUMMYFUNCTION("""COMPUTED_VALUE"""),"Justin")</f>
        <v>Justin</v>
      </c>
      <c r="C1386" s="169" t="str">
        <f>IFERROR(__xludf.DUMMYFUNCTION("""COMPUTED_VALUE"""),"Appalachian State")</f>
        <v>Appalachian State</v>
      </c>
      <c r="D1386">
        <f>IFERROR(__xludf.DUMMYFUNCTION("""COMPUTED_VALUE"""),8.0)</f>
        <v>8</v>
      </c>
      <c r="E1386">
        <f>IFERROR(__xludf.DUMMYFUNCTION("""COMPUTED_VALUE"""),1.0)</f>
        <v>1</v>
      </c>
      <c r="F1386" t="str">
        <f>IFERROR(__xludf.DUMMYFUNCTION("""COMPUTED_VALUE"""),"ESPN2")</f>
        <v>ESPN2</v>
      </c>
      <c r="G1386" t="str">
        <f>IFERROR(__xludf.DUMMYFUNCTION("""COMPUTED_VALUE"""),"Appalachian State 20 at South Carolina 15")</f>
        <v>Appalachian State 20 at South Carolina 15</v>
      </c>
      <c r="H1386" t="str">
        <f>IFERROR(__xludf.DUMMYFUNCTION("""COMPUTED_VALUE"""),"FINAL")</f>
        <v>FINAL</v>
      </c>
      <c r="I1386" t="str">
        <f>IFERROR(__xludf.DUMMYFUNCTION("""COMPUTED_VALUE"""),"4½")</f>
        <v>4½</v>
      </c>
      <c r="J1386">
        <f>IFERROR(__xludf.DUMMYFUNCTION("""COMPUTED_VALUE"""),51.0)</f>
        <v>51</v>
      </c>
      <c r="K1386" t="str">
        <f>IFERROR(__xludf.DUMMYFUNCTION("""COMPUTED_VALUE"""),"Brad")</f>
        <v>Brad</v>
      </c>
      <c r="L1386" t="str">
        <f>IFERROR(__xludf.DUMMYFUNCTION("""COMPUTED_VALUE"""),"FINAL")</f>
        <v>FINAL</v>
      </c>
      <c r="M1386" s="124">
        <v>11.0</v>
      </c>
    </row>
    <row r="1387">
      <c r="A1387" s="151">
        <f>IFERROR(__xludf.DUMMYFUNCTION("""COMPUTED_VALUE"""),43779.14775225695)</f>
        <v>43779.14775</v>
      </c>
      <c r="B1387" t="str">
        <f>IFERROR(__xludf.DUMMYFUNCTION("""COMPUTED_VALUE"""),"Justin")</f>
        <v>Justin</v>
      </c>
      <c r="C1387" s="169" t="str">
        <f>IFERROR(__xludf.DUMMYFUNCTION("""COMPUTED_VALUE"""),"Duke")</f>
        <v>Duke</v>
      </c>
      <c r="D1387">
        <f>IFERROR(__xludf.DUMMYFUNCTION("""COMPUTED_VALUE"""),4.0)</f>
        <v>4</v>
      </c>
      <c r="E1387">
        <f>IFERROR(__xludf.DUMMYFUNCTION("""COMPUTED_VALUE"""),5.0)</f>
        <v>5</v>
      </c>
      <c r="F1387" t="str">
        <f>IFERROR(__xludf.DUMMYFUNCTION("""COMPUTED_VALUE"""),"ACC Network")</f>
        <v>ACC Network</v>
      </c>
      <c r="G1387" t="str">
        <f>IFERROR(__xludf.DUMMYFUNCTION("""COMPUTED_VALUE"""),"(15) Notre Dame 38 at Duke 7")</f>
        <v>(15) Notre Dame 38 at Duke 7</v>
      </c>
      <c r="H1387" t="str">
        <f>IFERROR(__xludf.DUMMYFUNCTION("""COMPUTED_VALUE"""),"FINAL")</f>
        <v>FINAL</v>
      </c>
      <c r="I1387">
        <f>IFERROR(__xludf.DUMMYFUNCTION("""COMPUTED_VALUE"""),8.0)</f>
        <v>8</v>
      </c>
      <c r="J1387" t="str">
        <f>IFERROR(__xludf.DUMMYFUNCTION("""COMPUTED_VALUE"""),"51½")</f>
        <v>51½</v>
      </c>
      <c r="K1387" t="str">
        <f>IFERROR(__xludf.DUMMYFUNCTION("""COMPUTED_VALUE"""),"DavEmily")</f>
        <v>DavEmily</v>
      </c>
      <c r="L1387" t="str">
        <f>IFERROR(__xludf.DUMMYFUNCTION("""COMPUTED_VALUE"""),"FINAL")</f>
        <v>FINAL</v>
      </c>
      <c r="M1387" s="124">
        <v>11.0</v>
      </c>
    </row>
    <row r="1388">
      <c r="A1388" s="151">
        <f>IFERROR(__xludf.DUMMYFUNCTION("""COMPUTED_VALUE"""),43779.14775225695)</f>
        <v>43779.14775</v>
      </c>
      <c r="B1388" t="str">
        <f>IFERROR(__xludf.DUMMYFUNCTION("""COMPUTED_VALUE"""),"Justin")</f>
        <v>Justin</v>
      </c>
      <c r="C1388" s="169" t="str">
        <f>IFERROR(__xludf.DUMMYFUNCTION("""COMPUTED_VALUE"""),"Tennessee")</f>
        <v>Tennessee</v>
      </c>
      <c r="D1388">
        <f>IFERROR(__xludf.DUMMYFUNCTION("""COMPUTED_VALUE"""),5.0)</f>
        <v>5</v>
      </c>
      <c r="E1388">
        <f>IFERROR(__xludf.DUMMYFUNCTION("""COMPUTED_VALUE"""),5.0)</f>
        <v>5</v>
      </c>
      <c r="F1388" t="str">
        <f>IFERROR(__xludf.DUMMYFUNCTION("""COMPUTED_VALUE"""),"SEC Network")</f>
        <v>SEC Network</v>
      </c>
      <c r="G1388" t="str">
        <f>IFERROR(__xludf.DUMMYFUNCTION("""COMPUTED_VALUE"""),"Tennessee 17 at Kentucky 13")</f>
        <v>Tennessee 17 at Kentucky 13</v>
      </c>
      <c r="H1388" t="str">
        <f>IFERROR(__xludf.DUMMYFUNCTION("""COMPUTED_VALUE"""),"FINAL")</f>
        <v>FINAL</v>
      </c>
      <c r="I1388">
        <f>IFERROR(__xludf.DUMMYFUNCTION("""COMPUTED_VALUE"""),-1.0)</f>
        <v>-1</v>
      </c>
      <c r="J1388">
        <f>IFERROR(__xludf.DUMMYFUNCTION("""COMPUTED_VALUE"""),42.0)</f>
        <v>42</v>
      </c>
      <c r="K1388" t="str">
        <f>IFERROR(__xludf.DUMMYFUNCTION("""COMPUTED_VALUE"""),"Josh R.")</f>
        <v>Josh R.</v>
      </c>
      <c r="L1388" t="str">
        <f>IFERROR(__xludf.DUMMYFUNCTION("""COMPUTED_VALUE"""),"FINAL")</f>
        <v>FINAL</v>
      </c>
      <c r="M1388" s="124">
        <v>11.0</v>
      </c>
    </row>
    <row r="1389">
      <c r="A1389" s="151">
        <f>IFERROR(__xludf.DUMMYFUNCTION("""COMPUTED_VALUE"""),43779.14775225695)</f>
        <v>43779.14775</v>
      </c>
      <c r="B1389" t="str">
        <f>IFERROR(__xludf.DUMMYFUNCTION("""COMPUTED_VALUE"""),"Justin")</f>
        <v>Justin</v>
      </c>
      <c r="C1389" s="169" t="str">
        <f>IFERROR(__xludf.DUMMYFUNCTION("""COMPUTED_VALUE"""),"Buffalo")</f>
        <v>Buffalo</v>
      </c>
      <c r="D1389">
        <f>IFERROR(__xludf.DUMMYFUNCTION("""COMPUTED_VALUE"""),5.0)</f>
        <v>5</v>
      </c>
      <c r="E1389">
        <f>IFERROR(__xludf.DUMMYFUNCTION("""COMPUTED_VALUE"""),4.0)</f>
        <v>4</v>
      </c>
      <c r="F1389" t="str">
        <f>IFERROR(__xludf.DUMMYFUNCTION("""COMPUTED_VALUE"""),"NA")</f>
        <v>NA</v>
      </c>
      <c r="G1389" t="str">
        <f>IFERROR(__xludf.DUMMYFUNCTION("""COMPUTED_VALUE"""),"BYE")</f>
        <v>BYE</v>
      </c>
      <c r="I1389" t="str">
        <f>IFERROR(__xludf.DUMMYFUNCTION("""COMPUTED_VALUE"""),"bye")</f>
        <v>bye</v>
      </c>
      <c r="J1389" t="str">
        <f>IFERROR(__xludf.DUMMYFUNCTION("""COMPUTED_VALUE"""),"bye")</f>
        <v>bye</v>
      </c>
      <c r="L1389">
        <f>IFERROR(__xludf.DUMMYFUNCTION("""COMPUTED_VALUE"""),9999.0)</f>
        <v>9999</v>
      </c>
      <c r="M1389" s="124">
        <v>11.0</v>
      </c>
    </row>
    <row r="1390">
      <c r="A1390" s="151">
        <f>IFERROR(__xludf.DUMMYFUNCTION("""COMPUTED_VALUE"""),43779.14775225695)</f>
        <v>43779.14775</v>
      </c>
      <c r="B1390" t="str">
        <f>IFERROR(__xludf.DUMMYFUNCTION("""COMPUTED_VALUE"""),"Justin")</f>
        <v>Justin</v>
      </c>
      <c r="C1390" s="169" t="str">
        <f>IFERROR(__xludf.DUMMYFUNCTION("""COMPUTED_VALUE"""),"UNLV")</f>
        <v>UNLV</v>
      </c>
      <c r="D1390">
        <f>IFERROR(__xludf.DUMMYFUNCTION("""COMPUTED_VALUE"""),2.0)</f>
        <v>2</v>
      </c>
      <c r="E1390">
        <f>IFERROR(__xludf.DUMMYFUNCTION("""COMPUTED_VALUE"""),7.0)</f>
        <v>7</v>
      </c>
      <c r="F1390" t="str">
        <f>IFERROR(__xludf.DUMMYFUNCTION("""COMPUTED_VALUE"""),"NA")</f>
        <v>NA</v>
      </c>
      <c r="G1390" t="str">
        <f>IFERROR(__xludf.DUMMYFUNCTION("""COMPUTED_VALUE"""),"BYE")</f>
        <v>BYE</v>
      </c>
      <c r="I1390" t="str">
        <f>IFERROR(__xludf.DUMMYFUNCTION("""COMPUTED_VALUE"""),"bye")</f>
        <v>bye</v>
      </c>
      <c r="J1390" t="str">
        <f>IFERROR(__xludf.DUMMYFUNCTION("""COMPUTED_VALUE"""),"bye")</f>
        <v>bye</v>
      </c>
      <c r="L1390">
        <f>IFERROR(__xludf.DUMMYFUNCTION("""COMPUTED_VALUE"""),9999.0)</f>
        <v>9999</v>
      </c>
      <c r="M1390" s="124">
        <v>11.0</v>
      </c>
    </row>
    <row r="1391">
      <c r="A1391" s="200">
        <f>IFERROR(__xludf.DUMMYFUNCTION("""COMPUTED_VALUE"""),43779.14775225695)</f>
        <v>43779.14775</v>
      </c>
      <c r="B1391" t="str">
        <f>IFERROR(__xludf.DUMMYFUNCTION("""COMPUTED_VALUE"""),"Justin")</f>
        <v>Justin</v>
      </c>
      <c r="C1391" s="169" t="str">
        <f>IFERROR(__xludf.DUMMYFUNCTION("""COMPUTED_VALUE"""),"Oregon")</f>
        <v>Oregon</v>
      </c>
      <c r="D1391">
        <f>IFERROR(__xludf.DUMMYFUNCTION("""COMPUTED_VALUE"""),8.0)</f>
        <v>8</v>
      </c>
      <c r="E1391">
        <f>IFERROR(__xludf.DUMMYFUNCTION("""COMPUTED_VALUE"""),1.0)</f>
        <v>1</v>
      </c>
      <c r="F1391" t="str">
        <f>IFERROR(__xludf.DUMMYFUNCTION("""COMPUTED_VALUE"""),"NA")</f>
        <v>NA</v>
      </c>
      <c r="G1391" t="str">
        <f>IFERROR(__xludf.DUMMYFUNCTION("""COMPUTED_VALUE"""),"BYE")</f>
        <v>BYE</v>
      </c>
      <c r="I1391" t="str">
        <f>IFERROR(__xludf.DUMMYFUNCTION("""COMPUTED_VALUE"""),"bye")</f>
        <v>bye</v>
      </c>
      <c r="J1391" t="str">
        <f>IFERROR(__xludf.DUMMYFUNCTION("""COMPUTED_VALUE"""),"bye")</f>
        <v>bye</v>
      </c>
      <c r="L1391">
        <f>IFERROR(__xludf.DUMMYFUNCTION("""COMPUTED_VALUE"""),9999.0)</f>
        <v>9999</v>
      </c>
      <c r="M1391" s="124">
        <v>11.0</v>
      </c>
    </row>
    <row r="1392">
      <c r="A1392" s="151">
        <f>IFERROR(__xludf.DUMMYFUNCTION("""COMPUTED_VALUE"""),43779.14775225695)</f>
        <v>43779.14775</v>
      </c>
      <c r="B1392" t="str">
        <f>IFERROR(__xludf.DUMMYFUNCTION("""COMPUTED_VALUE"""),"Adam")</f>
        <v>Adam</v>
      </c>
      <c r="C1392" s="169" t="str">
        <f>IFERROR(__xludf.DUMMYFUNCTION("""COMPUTED_VALUE"""),"UCF")</f>
        <v>UCF</v>
      </c>
      <c r="D1392">
        <f>IFERROR(__xludf.DUMMYFUNCTION("""COMPUTED_VALUE"""),7.0)</f>
        <v>7</v>
      </c>
      <c r="E1392">
        <f>IFERROR(__xludf.DUMMYFUNCTION("""COMPUTED_VALUE"""),3.0)</f>
        <v>3</v>
      </c>
      <c r="F1392" t="str">
        <f>IFERROR(__xludf.DUMMYFUNCTION("""COMPUTED_VALUE"""),"ESPN2")</f>
        <v>ESPN2</v>
      </c>
      <c r="G1392" t="str">
        <f>IFERROR(__xludf.DUMMYFUNCTION("""COMPUTED_VALUE"""),"UCF 31 at Tulsa 34")</f>
        <v>UCF 31 at Tulsa 34</v>
      </c>
      <c r="H1392" t="str">
        <f>IFERROR(__xludf.DUMMYFUNCTION("""COMPUTED_VALUE"""),"FINAL")</f>
        <v>FINAL</v>
      </c>
      <c r="I1392">
        <f>IFERROR(__xludf.DUMMYFUNCTION("""COMPUTED_VALUE"""),-17.0)</f>
        <v>-17</v>
      </c>
      <c r="J1392">
        <f>IFERROR(__xludf.DUMMYFUNCTION("""COMPUTED_VALUE"""),71.0)</f>
        <v>71</v>
      </c>
      <c r="K1392" t="str">
        <f>IFERROR(__xludf.DUMMYFUNCTION("""COMPUTED_VALUE"""),"DavEmily")</f>
        <v>DavEmily</v>
      </c>
      <c r="L1392" t="str">
        <f>IFERROR(__xludf.DUMMYFUNCTION("""COMPUTED_VALUE"""),"FINAL")</f>
        <v>FINAL</v>
      </c>
      <c r="M1392" s="124">
        <v>11.0</v>
      </c>
    </row>
    <row r="1393">
      <c r="A1393" s="151">
        <f>IFERROR(__xludf.DUMMYFUNCTION("""COMPUTED_VALUE"""),43779.14775225695)</f>
        <v>43779.14775</v>
      </c>
      <c r="B1393" t="str">
        <f>IFERROR(__xludf.DUMMYFUNCTION("""COMPUTED_VALUE"""),"Adam")</f>
        <v>Adam</v>
      </c>
      <c r="C1393" s="169" t="str">
        <f>IFERROR(__xludf.DUMMYFUNCTION("""COMPUTED_VALUE"""),"Oregon State")</f>
        <v>Oregon State</v>
      </c>
      <c r="D1393">
        <f>IFERROR(__xludf.DUMMYFUNCTION("""COMPUTED_VALUE"""),4.0)</f>
        <v>4</v>
      </c>
      <c r="E1393">
        <f>IFERROR(__xludf.DUMMYFUNCTION("""COMPUTED_VALUE"""),5.0)</f>
        <v>5</v>
      </c>
      <c r="F1393" t="str">
        <f>IFERROR(__xludf.DUMMYFUNCTION("""COMPUTED_VALUE"""),"FS1")</f>
        <v>FS1</v>
      </c>
      <c r="G1393" t="str">
        <f>IFERROR(__xludf.DUMMYFUNCTION("""COMPUTED_VALUE"""),"Washington 19 at Oregon State 7")</f>
        <v>Washington 19 at Oregon State 7</v>
      </c>
      <c r="H1393" t="str">
        <f>IFERROR(__xludf.DUMMYFUNCTION("""COMPUTED_VALUE"""),"FINAL")</f>
        <v>FINAL</v>
      </c>
      <c r="I1393">
        <f>IFERROR(__xludf.DUMMYFUNCTION("""COMPUTED_VALUE"""),10.0)</f>
        <v>10</v>
      </c>
      <c r="J1393">
        <f>IFERROR(__xludf.DUMMYFUNCTION("""COMPUTED_VALUE"""),65.0)</f>
        <v>65</v>
      </c>
      <c r="K1393" t="str">
        <f>IFERROR(__xludf.DUMMYFUNCTION("""COMPUTED_VALUE"""),"Vu")</f>
        <v>Vu</v>
      </c>
      <c r="L1393" t="str">
        <f>IFERROR(__xludf.DUMMYFUNCTION("""COMPUTED_VALUE"""),"FINAL")</f>
        <v>FINAL</v>
      </c>
      <c r="M1393" s="124">
        <v>11.0</v>
      </c>
    </row>
    <row r="1394">
      <c r="A1394" s="151">
        <f>IFERROR(__xludf.DUMMYFUNCTION("""COMPUTED_VALUE"""),43779.14775225695)</f>
        <v>43779.14775</v>
      </c>
      <c r="B1394" t="str">
        <f>IFERROR(__xludf.DUMMYFUNCTION("""COMPUTED_VALUE"""),"Adam")</f>
        <v>Adam</v>
      </c>
      <c r="C1394" s="169" t="str">
        <f>IFERROR(__xludf.DUMMYFUNCTION("""COMPUTED_VALUE"""),"Florida")</f>
        <v>Florida</v>
      </c>
      <c r="D1394">
        <f>IFERROR(__xludf.DUMMYFUNCTION("""COMPUTED_VALUE"""),8.0)</f>
        <v>8</v>
      </c>
      <c r="E1394">
        <f>IFERROR(__xludf.DUMMYFUNCTION("""COMPUTED_VALUE"""),2.0)</f>
        <v>2</v>
      </c>
      <c r="F1394" t="str">
        <f>IFERROR(__xludf.DUMMYFUNCTION("""COMPUTED_VALUE"""),"ESPN")</f>
        <v>ESPN</v>
      </c>
      <c r="G1394" t="str">
        <f>IFERROR(__xludf.DUMMYFUNCTION("""COMPUTED_VALUE"""),"Vanderbilt 0 at (11) Florida 56")</f>
        <v>Vanderbilt 0 at (11) Florida 56</v>
      </c>
      <c r="H1394" t="str">
        <f>IFERROR(__xludf.DUMMYFUNCTION("""COMPUTED_VALUE"""),"FINAL")</f>
        <v>FINAL</v>
      </c>
      <c r="I1394" t="str">
        <f>IFERROR(__xludf.DUMMYFUNCTION("""COMPUTED_VALUE"""),"-26½")</f>
        <v>-26½</v>
      </c>
      <c r="J1394">
        <f>IFERROR(__xludf.DUMMYFUNCTION("""COMPUTED_VALUE"""),48.0)</f>
        <v>48</v>
      </c>
      <c r="K1394" t="str">
        <f>IFERROR(__xludf.DUMMYFUNCTION("""COMPUTED_VALUE"""),"Undrafted")</f>
        <v>Undrafted</v>
      </c>
      <c r="L1394" t="str">
        <f>IFERROR(__xludf.DUMMYFUNCTION("""COMPUTED_VALUE"""),"FINAL")</f>
        <v>FINAL</v>
      </c>
      <c r="M1394" s="124">
        <v>11.0</v>
      </c>
    </row>
    <row r="1395">
      <c r="A1395" s="151">
        <f>IFERROR(__xludf.DUMMYFUNCTION("""COMPUTED_VALUE"""),43779.14775225695)</f>
        <v>43779.14775</v>
      </c>
      <c r="B1395" t="str">
        <f>IFERROR(__xludf.DUMMYFUNCTION("""COMPUTED_VALUE"""),"Adam")</f>
        <v>Adam</v>
      </c>
      <c r="C1395" s="169" t="str">
        <f>IFERROR(__xludf.DUMMYFUNCTION("""COMPUTED_VALUE"""),"Northwestern")</f>
        <v>Northwestern</v>
      </c>
      <c r="D1395">
        <f>IFERROR(__xludf.DUMMYFUNCTION("""COMPUTED_VALUE"""),1.0)</f>
        <v>1</v>
      </c>
      <c r="E1395">
        <f>IFERROR(__xludf.DUMMYFUNCTION("""COMPUTED_VALUE"""),8.0)</f>
        <v>8</v>
      </c>
      <c r="F1395" t="str">
        <f>IFERROR(__xludf.DUMMYFUNCTION("""COMPUTED_VALUE"""),"BTN")</f>
        <v>BTN</v>
      </c>
      <c r="G1395" t="str">
        <f>IFERROR(__xludf.DUMMYFUNCTION("""COMPUTED_VALUE"""),"Purdue 24 at Northwestern 22")</f>
        <v>Purdue 24 at Northwestern 22</v>
      </c>
      <c r="H1395" t="str">
        <f>IFERROR(__xludf.DUMMYFUNCTION("""COMPUTED_VALUE"""),"FINAL")</f>
        <v>FINAL</v>
      </c>
      <c r="I1395">
        <f>IFERROR(__xludf.DUMMYFUNCTION("""COMPUTED_VALUE"""),-1.0)</f>
        <v>-1</v>
      </c>
      <c r="J1395" t="str">
        <f>IFERROR(__xludf.DUMMYFUNCTION("""COMPUTED_VALUE"""),"40½")</f>
        <v>40½</v>
      </c>
      <c r="K1395" t="str">
        <f>IFERROR(__xludf.DUMMYFUNCTION("""COMPUTED_VALUE"""),"Nico")</f>
        <v>Nico</v>
      </c>
      <c r="L1395" t="str">
        <f>IFERROR(__xludf.DUMMYFUNCTION("""COMPUTED_VALUE"""),"FINAL")</f>
        <v>FINAL</v>
      </c>
      <c r="M1395" s="124">
        <v>11.0</v>
      </c>
    </row>
    <row r="1396">
      <c r="A1396" s="151">
        <f>IFERROR(__xludf.DUMMYFUNCTION("""COMPUTED_VALUE"""),43779.14775225695)</f>
        <v>43779.14775</v>
      </c>
      <c r="B1396" t="str">
        <f>IFERROR(__xludf.DUMMYFUNCTION("""COMPUTED_VALUE"""),"Adam")</f>
        <v>Adam</v>
      </c>
      <c r="C1396" s="169" t="str">
        <f>IFERROR(__xludf.DUMMYFUNCTION("""COMPUTED_VALUE"""),"Texas")</f>
        <v>Texas</v>
      </c>
      <c r="D1396">
        <f>IFERROR(__xludf.DUMMYFUNCTION("""COMPUTED_VALUE"""),6.0)</f>
        <v>6</v>
      </c>
      <c r="E1396">
        <f>IFERROR(__xludf.DUMMYFUNCTION("""COMPUTED_VALUE"""),3.0)</f>
        <v>3</v>
      </c>
      <c r="F1396" t="str">
        <f>IFERROR(__xludf.DUMMYFUNCTION("""COMPUTED_VALUE"""),"ESPN")</f>
        <v>ESPN</v>
      </c>
      <c r="G1396" t="str">
        <f>IFERROR(__xludf.DUMMYFUNCTION("""COMPUTED_VALUE"""),"(22) Kansas State 24 at Texas 27")</f>
        <v>(22) Kansas State 24 at Texas 27</v>
      </c>
      <c r="H1396" t="str">
        <f>IFERROR(__xludf.DUMMYFUNCTION("""COMPUTED_VALUE"""),"FINAL")</f>
        <v>FINAL</v>
      </c>
      <c r="I1396" t="str">
        <f>IFERROR(__xludf.DUMMYFUNCTION("""COMPUTED_VALUE"""),"-6½")</f>
        <v>-6½</v>
      </c>
      <c r="J1396">
        <f>IFERROR(__xludf.DUMMYFUNCTION("""COMPUTED_VALUE"""),59.0)</f>
        <v>59</v>
      </c>
      <c r="K1396" t="str">
        <f>IFERROR(__xludf.DUMMYFUNCTION("""COMPUTED_VALUE"""),"Nick G.")</f>
        <v>Nick G.</v>
      </c>
      <c r="L1396" t="str">
        <f>IFERROR(__xludf.DUMMYFUNCTION("""COMPUTED_VALUE"""),"FINAL")</f>
        <v>FINAL</v>
      </c>
      <c r="M1396" s="124">
        <v>11.0</v>
      </c>
    </row>
    <row r="1397">
      <c r="A1397" s="151">
        <f>IFERROR(__xludf.DUMMYFUNCTION("""COMPUTED_VALUE"""),43779.14775225695)</f>
        <v>43779.14775</v>
      </c>
      <c r="B1397" t="str">
        <f>IFERROR(__xludf.DUMMYFUNCTION("""COMPUTED_VALUE"""),"Adam")</f>
        <v>Adam</v>
      </c>
      <c r="C1397" s="169" t="str">
        <f>IFERROR(__xludf.DUMMYFUNCTION("""COMPUTED_VALUE"""),"Wake Forest")</f>
        <v>Wake Forest</v>
      </c>
      <c r="D1397">
        <f>IFERROR(__xludf.DUMMYFUNCTION("""COMPUTED_VALUE"""),7.0)</f>
        <v>7</v>
      </c>
      <c r="E1397">
        <f>IFERROR(__xludf.DUMMYFUNCTION("""COMPUTED_VALUE"""),2.0)</f>
        <v>2</v>
      </c>
      <c r="F1397" t="str">
        <f>IFERROR(__xludf.DUMMYFUNCTION("""COMPUTED_VALUE"""),"ACC Network")</f>
        <v>ACC Network</v>
      </c>
      <c r="G1397" t="str">
        <f>IFERROR(__xludf.DUMMYFUNCTION("""COMPUTED_VALUE"""),"(20) Wake Forest 17 at Virginia Tech 36")</f>
        <v>(20) Wake Forest 17 at Virginia Tech 36</v>
      </c>
      <c r="H1397" t="str">
        <f>IFERROR(__xludf.DUMMYFUNCTION("""COMPUTED_VALUE"""),"FINAL")</f>
        <v>FINAL</v>
      </c>
      <c r="I1397" t="str">
        <f>IFERROR(__xludf.DUMMYFUNCTION("""COMPUTED_VALUE"""),"-1½")</f>
        <v>-1½</v>
      </c>
      <c r="J1397">
        <f>IFERROR(__xludf.DUMMYFUNCTION("""COMPUTED_VALUE"""),64.0)</f>
        <v>64</v>
      </c>
      <c r="K1397" t="str">
        <f>IFERROR(__xludf.DUMMYFUNCTION("""COMPUTED_VALUE"""),"DavEmily")</f>
        <v>DavEmily</v>
      </c>
      <c r="L1397" t="str">
        <f>IFERROR(__xludf.DUMMYFUNCTION("""COMPUTED_VALUE"""),"FINAL")</f>
        <v>FINAL</v>
      </c>
      <c r="M1397" s="124">
        <v>11.0</v>
      </c>
    </row>
    <row r="1398">
      <c r="A1398" s="151">
        <f>IFERROR(__xludf.DUMMYFUNCTION("""COMPUTED_VALUE"""),43779.14775225695)</f>
        <v>43779.14775</v>
      </c>
      <c r="B1398" t="str">
        <f>IFERROR(__xludf.DUMMYFUNCTION("""COMPUTED_VALUE"""),"Adam")</f>
        <v>Adam</v>
      </c>
      <c r="C1398" s="169" t="str">
        <f>IFERROR(__xludf.DUMMYFUNCTION("""COMPUTED_VALUE"""),"Georgia State")</f>
        <v>Georgia State</v>
      </c>
      <c r="D1398">
        <f>IFERROR(__xludf.DUMMYFUNCTION("""COMPUTED_VALUE"""),6.0)</f>
        <v>6</v>
      </c>
      <c r="E1398">
        <f>IFERROR(__xludf.DUMMYFUNCTION("""COMPUTED_VALUE"""),3.0)</f>
        <v>3</v>
      </c>
      <c r="F1398" t="str">
        <f>IFERROR(__xludf.DUMMYFUNCTION("""COMPUTED_VALUE"""),"espn+ Video")</f>
        <v>espn+ Video</v>
      </c>
      <c r="G1398" t="str">
        <f>IFERROR(__xludf.DUMMYFUNCTION("""COMPUTED_VALUE"""),"Georgia State 31 at UL Monroe 45")</f>
        <v>Georgia State 31 at UL Monroe 45</v>
      </c>
      <c r="H1398" t="str">
        <f>IFERROR(__xludf.DUMMYFUNCTION("""COMPUTED_VALUE"""),"FINAL")</f>
        <v>FINAL</v>
      </c>
      <c r="I1398" t="str">
        <f>IFERROR(__xludf.DUMMYFUNCTION("""COMPUTED_VALUE"""),"-2½")</f>
        <v>-2½</v>
      </c>
      <c r="J1398" t="str">
        <f>IFERROR(__xludf.DUMMYFUNCTION("""COMPUTED_VALUE"""),"74½")</f>
        <v>74½</v>
      </c>
      <c r="K1398" t="str">
        <f>IFERROR(__xludf.DUMMYFUNCTION("""COMPUTED_VALUE"""),"Jeannine")</f>
        <v>Jeannine</v>
      </c>
      <c r="L1398" t="str">
        <f>IFERROR(__xludf.DUMMYFUNCTION("""COMPUTED_VALUE"""),"FINAL")</f>
        <v>FINAL</v>
      </c>
      <c r="M1398" s="124">
        <v>11.0</v>
      </c>
    </row>
    <row r="1399">
      <c r="A1399" s="151">
        <f>IFERROR(__xludf.DUMMYFUNCTION("""COMPUTED_VALUE"""),43779.14775225695)</f>
        <v>43779.14775</v>
      </c>
      <c r="B1399" t="str">
        <f>IFERROR(__xludf.DUMMYFUNCTION("""COMPUTED_VALUE"""),"Adam")</f>
        <v>Adam</v>
      </c>
      <c r="C1399" s="169" t="str">
        <f>IFERROR(__xludf.DUMMYFUNCTION("""COMPUTED_VALUE"""),"Florida Intl")</f>
        <v>Florida Intl</v>
      </c>
      <c r="D1399">
        <f>IFERROR(__xludf.DUMMYFUNCTION("""COMPUTED_VALUE"""),5.0)</f>
        <v>5</v>
      </c>
      <c r="E1399">
        <f>IFERROR(__xludf.DUMMYFUNCTION("""COMPUTED_VALUE"""),5.0)</f>
        <v>5</v>
      </c>
      <c r="F1399" t="str">
        <f>IFERROR(__xludf.DUMMYFUNCTION("""COMPUTED_VALUE"""),"NA")</f>
        <v>NA</v>
      </c>
      <c r="G1399" t="str">
        <f>IFERROR(__xludf.DUMMYFUNCTION("""COMPUTED_VALUE"""),"Florida Intl 7 at Florida Atlantic 37")</f>
        <v>Florida Intl 7 at Florida Atlantic 37</v>
      </c>
      <c r="H1399" t="str">
        <f>IFERROR(__xludf.DUMMYFUNCTION("""COMPUTED_VALUE"""),"FINAL")</f>
        <v>FINAL</v>
      </c>
      <c r="I1399">
        <f>IFERROR(__xludf.DUMMYFUNCTION("""COMPUTED_VALUE"""),10.0)</f>
        <v>10</v>
      </c>
      <c r="J1399" t="str">
        <f>IFERROR(__xludf.DUMMYFUNCTION("""COMPUTED_VALUE"""),"60½")</f>
        <v>60½</v>
      </c>
      <c r="K1399" t="str">
        <f>IFERROR(__xludf.DUMMYFUNCTION("""COMPUTED_VALUE"""),"Nick G.")</f>
        <v>Nick G.</v>
      </c>
      <c r="L1399" t="str">
        <f>IFERROR(__xludf.DUMMYFUNCTION("""COMPUTED_VALUE"""),"FINAL")</f>
        <v>FINAL</v>
      </c>
      <c r="M1399" s="124">
        <v>11.0</v>
      </c>
    </row>
    <row r="1400">
      <c r="A1400" s="151">
        <f>IFERROR(__xludf.DUMMYFUNCTION("""COMPUTED_VALUE"""),43779.14775225695)</f>
        <v>43779.14775</v>
      </c>
      <c r="B1400" t="str">
        <f>IFERROR(__xludf.DUMMYFUNCTION("""COMPUTED_VALUE"""),"Adam")</f>
        <v>Adam</v>
      </c>
      <c r="C1400" s="169" t="str">
        <f>IFERROR(__xludf.DUMMYFUNCTION("""COMPUTED_VALUE"""),"Air Force")</f>
        <v>Air Force</v>
      </c>
      <c r="D1400">
        <f>IFERROR(__xludf.DUMMYFUNCTION("""COMPUTED_VALUE"""),7.0)</f>
        <v>7</v>
      </c>
      <c r="E1400">
        <f>IFERROR(__xludf.DUMMYFUNCTION("""COMPUTED_VALUE"""),2.0)</f>
        <v>2</v>
      </c>
      <c r="F1400" t="str">
        <f>IFERROR(__xludf.DUMMYFUNCTION("""COMPUTED_VALUE"""),"ATTRM")</f>
        <v>ATTRM</v>
      </c>
      <c r="G1400" t="str">
        <f>IFERROR(__xludf.DUMMYFUNCTION("""COMPUTED_VALUE"""),"BYE")</f>
        <v>BYE</v>
      </c>
      <c r="I1400" t="str">
        <f>IFERROR(__xludf.DUMMYFUNCTION("""COMPUTED_VALUE"""),"-21½")</f>
        <v>-21½</v>
      </c>
      <c r="J1400" t="str">
        <f>IFERROR(__xludf.DUMMYFUNCTION("""COMPUTED_VALUE"""),"58½")</f>
        <v>58½</v>
      </c>
      <c r="L1400">
        <f>IFERROR(__xludf.DUMMYFUNCTION("""COMPUTED_VALUE"""),9999.0)</f>
        <v>9999</v>
      </c>
      <c r="M1400" s="124">
        <v>11.0</v>
      </c>
    </row>
    <row r="1401">
      <c r="A1401" s="200">
        <f>IFERROR(__xludf.DUMMYFUNCTION("""COMPUTED_VALUE"""),43779.14775225695)</f>
        <v>43779.14775</v>
      </c>
      <c r="B1401" t="str">
        <f>IFERROR(__xludf.DUMMYFUNCTION("""COMPUTED_VALUE"""),"Adam")</f>
        <v>Adam</v>
      </c>
      <c r="C1401" s="169" t="str">
        <f>IFERROR(__xludf.DUMMYFUNCTION("""COMPUTED_VALUE"""),"Akron")</f>
        <v>Akron</v>
      </c>
      <c r="D1401">
        <f>IFERROR(__xludf.DUMMYFUNCTION("""COMPUTED_VALUE"""),0.0)</f>
        <v>0</v>
      </c>
      <c r="E1401">
        <f>IFERROR(__xludf.DUMMYFUNCTION("""COMPUTED_VALUE"""),9.0)</f>
        <v>9</v>
      </c>
      <c r="F1401" t="str">
        <f>IFERROR(__xludf.DUMMYFUNCTION("""COMPUTED_VALUE"""),"NA")</f>
        <v>NA</v>
      </c>
      <c r="G1401" t="str">
        <f>IFERROR(__xludf.DUMMYFUNCTION("""COMPUTED_VALUE"""),"BYE")</f>
        <v>BYE</v>
      </c>
      <c r="I1401" t="str">
        <f>IFERROR(__xludf.DUMMYFUNCTION("""COMPUTED_VALUE"""),"bye")</f>
        <v>bye</v>
      </c>
      <c r="J1401" t="str">
        <f>IFERROR(__xludf.DUMMYFUNCTION("""COMPUTED_VALUE"""),"bye")</f>
        <v>bye</v>
      </c>
      <c r="L1401">
        <f>IFERROR(__xludf.DUMMYFUNCTION("""COMPUTED_VALUE"""),9999.0)</f>
        <v>9999</v>
      </c>
      <c r="M1401" s="124">
        <v>11.0</v>
      </c>
    </row>
    <row r="1402">
      <c r="A1402" s="151">
        <f>IFERROR(__xludf.DUMMYFUNCTION("""COMPUTED_VALUE"""),43779.14775225695)</f>
        <v>43779.14775</v>
      </c>
      <c r="B1402" t="str">
        <f>IFERROR(__xludf.DUMMYFUNCTION("""COMPUTED_VALUE"""),"Vu")</f>
        <v>Vu</v>
      </c>
      <c r="C1402" s="169" t="str">
        <f>IFERROR(__xludf.DUMMYFUNCTION("""COMPUTED_VALUE"""),"Kent State")</f>
        <v>Kent State</v>
      </c>
      <c r="D1402">
        <f>IFERROR(__xludf.DUMMYFUNCTION("""COMPUTED_VALUE"""),3.0)</f>
        <v>3</v>
      </c>
      <c r="E1402">
        <f>IFERROR(__xludf.DUMMYFUNCTION("""COMPUTED_VALUE"""),6.0)</f>
        <v>6</v>
      </c>
      <c r="F1402" t="str">
        <f>IFERROR(__xludf.DUMMYFUNCTION("""COMPUTED_VALUE"""),"NA")</f>
        <v>NA</v>
      </c>
      <c r="G1402" t="str">
        <f>IFERROR(__xludf.DUMMYFUNCTION("""COMPUTED_VALUE"""),"Kent State 33 at Toledo 35")</f>
        <v>Kent State 33 at Toledo 35</v>
      </c>
      <c r="H1402" t="str">
        <f>IFERROR(__xludf.DUMMYFUNCTION("""COMPUTED_VALUE"""),"FINAL")</f>
        <v>FINAL</v>
      </c>
      <c r="I1402">
        <f>IFERROR(__xludf.DUMMYFUNCTION("""COMPUTED_VALUE"""),7.0)</f>
        <v>7</v>
      </c>
      <c r="J1402">
        <f>IFERROR(__xludf.DUMMYFUNCTION("""COMPUTED_VALUE"""),62.0)</f>
        <v>62</v>
      </c>
      <c r="K1402" t="str">
        <f>IFERROR(__xludf.DUMMYFUNCTION("""COMPUTED_VALUE"""),"Josh R.")</f>
        <v>Josh R.</v>
      </c>
      <c r="L1402" t="str">
        <f>IFERROR(__xludf.DUMMYFUNCTION("""COMPUTED_VALUE"""),"FINAL")</f>
        <v>FINAL</v>
      </c>
      <c r="M1402" s="124">
        <v>11.0</v>
      </c>
    </row>
    <row r="1403">
      <c r="A1403" s="151">
        <f>IFERROR(__xludf.DUMMYFUNCTION("""COMPUTED_VALUE"""),43779.14775225695)</f>
        <v>43779.14775</v>
      </c>
      <c r="B1403" t="str">
        <f>IFERROR(__xludf.DUMMYFUNCTION("""COMPUTED_VALUE"""),"Vu")</f>
        <v>Vu</v>
      </c>
      <c r="C1403" s="169" t="str">
        <f>IFERROR(__xludf.DUMMYFUNCTION("""COMPUTED_VALUE"""),"Washington")</f>
        <v>Washington</v>
      </c>
      <c r="D1403">
        <f>IFERROR(__xludf.DUMMYFUNCTION("""COMPUTED_VALUE"""),6.0)</f>
        <v>6</v>
      </c>
      <c r="E1403">
        <f>IFERROR(__xludf.DUMMYFUNCTION("""COMPUTED_VALUE"""),4.0)</f>
        <v>4</v>
      </c>
      <c r="F1403" t="str">
        <f>IFERROR(__xludf.DUMMYFUNCTION("""COMPUTED_VALUE"""),"FS1")</f>
        <v>FS1</v>
      </c>
      <c r="G1403" t="str">
        <f>IFERROR(__xludf.DUMMYFUNCTION("""COMPUTED_VALUE"""),"Washington 19 at Oregon State 7")</f>
        <v>Washington 19 at Oregon State 7</v>
      </c>
      <c r="H1403" t="str">
        <f>IFERROR(__xludf.DUMMYFUNCTION("""COMPUTED_VALUE"""),"FINAL")</f>
        <v>FINAL</v>
      </c>
      <c r="I1403">
        <f>IFERROR(__xludf.DUMMYFUNCTION("""COMPUTED_VALUE"""),-10.0)</f>
        <v>-10</v>
      </c>
      <c r="J1403">
        <f>IFERROR(__xludf.DUMMYFUNCTION("""COMPUTED_VALUE"""),65.0)</f>
        <v>65</v>
      </c>
      <c r="K1403" t="str">
        <f>IFERROR(__xludf.DUMMYFUNCTION("""COMPUTED_VALUE"""),"Adam")</f>
        <v>Adam</v>
      </c>
      <c r="L1403" t="str">
        <f>IFERROR(__xludf.DUMMYFUNCTION("""COMPUTED_VALUE"""),"FINAL")</f>
        <v>FINAL</v>
      </c>
      <c r="M1403" s="124">
        <v>11.0</v>
      </c>
    </row>
    <row r="1404">
      <c r="A1404" s="151">
        <f>IFERROR(__xludf.DUMMYFUNCTION("""COMPUTED_VALUE"""),43779.14775225695)</f>
        <v>43779.14775</v>
      </c>
      <c r="B1404" t="str">
        <f>IFERROR(__xludf.DUMMYFUNCTION("""COMPUTED_VALUE"""),"Vu")</f>
        <v>Vu</v>
      </c>
      <c r="C1404" s="169" t="str">
        <f>IFERROR(__xludf.DUMMYFUNCTION("""COMPUTED_VALUE"""),"TCU")</f>
        <v>TCU</v>
      </c>
      <c r="D1404">
        <f>IFERROR(__xludf.DUMMYFUNCTION("""COMPUTED_VALUE"""),4.0)</f>
        <v>4</v>
      </c>
      <c r="E1404">
        <f>IFERROR(__xludf.DUMMYFUNCTION("""COMPUTED_VALUE"""),5.0)</f>
        <v>5</v>
      </c>
      <c r="F1404" t="str">
        <f>IFERROR(__xludf.DUMMYFUNCTION("""COMPUTED_VALUE"""),"FS1")</f>
        <v>FS1</v>
      </c>
      <c r="G1404" t="str">
        <f>IFERROR(__xludf.DUMMYFUNCTION("""COMPUTED_VALUE"""),"(10) Baylor 29 at TCU 23")</f>
        <v>(10) Baylor 29 at TCU 23</v>
      </c>
      <c r="H1404" t="str">
        <f>IFERROR(__xludf.DUMMYFUNCTION("""COMPUTED_VALUE"""),"FINAL - 3RD OT")</f>
        <v>FINAL - 3RD OT</v>
      </c>
      <c r="I1404">
        <f>IFERROR(__xludf.DUMMYFUNCTION("""COMPUTED_VALUE"""),1.0)</f>
        <v>1</v>
      </c>
      <c r="J1404">
        <f>IFERROR(__xludf.DUMMYFUNCTION("""COMPUTED_VALUE"""),51.0)</f>
        <v>51</v>
      </c>
      <c r="K1404" t="str">
        <f>IFERROR(__xludf.DUMMYFUNCTION("""COMPUTED_VALUE"""),"Justin")</f>
        <v>Justin</v>
      </c>
      <c r="L1404" t="str">
        <f>IFERROR(__xludf.DUMMYFUNCTION("""COMPUTED_VALUE"""),"FINAL - 3RD OT")</f>
        <v>FINAL - 3RD OT</v>
      </c>
      <c r="M1404" s="124">
        <v>11.0</v>
      </c>
    </row>
    <row r="1405">
      <c r="A1405" s="151">
        <f>IFERROR(__xludf.DUMMYFUNCTION("""COMPUTED_VALUE"""),43779.14775225695)</f>
        <v>43779.14775</v>
      </c>
      <c r="B1405" t="str">
        <f>IFERROR(__xludf.DUMMYFUNCTION("""COMPUTED_VALUE"""),"Vu")</f>
        <v>Vu</v>
      </c>
      <c r="C1405" s="169" t="str">
        <f>IFERROR(__xludf.DUMMYFUNCTION("""COMPUTED_VALUE"""),"South Alabama")</f>
        <v>South Alabama</v>
      </c>
      <c r="D1405">
        <f>IFERROR(__xludf.DUMMYFUNCTION("""COMPUTED_VALUE"""),1.0)</f>
        <v>1</v>
      </c>
      <c r="E1405">
        <f>IFERROR(__xludf.DUMMYFUNCTION("""COMPUTED_VALUE"""),8.0)</f>
        <v>8</v>
      </c>
      <c r="F1405" t="str">
        <f>IFERROR(__xludf.DUMMYFUNCTION("""COMPUTED_VALUE"""),"espn3 Video")</f>
        <v>espn3 Video</v>
      </c>
      <c r="G1405" t="str">
        <f>IFERROR(__xludf.DUMMYFUNCTION("""COMPUTED_VALUE"""),"South Alabama 28 at Texas State 30")</f>
        <v>South Alabama 28 at Texas State 30</v>
      </c>
      <c r="H1405" t="str">
        <f>IFERROR(__xludf.DUMMYFUNCTION("""COMPUTED_VALUE"""),"FINAL")</f>
        <v>FINAL</v>
      </c>
      <c r="I1405" t="str">
        <f>IFERROR(__xludf.DUMMYFUNCTION("""COMPUTED_VALUE"""),"7½")</f>
        <v>7½</v>
      </c>
      <c r="J1405" t="str">
        <f>IFERROR(__xludf.DUMMYFUNCTION("""COMPUTED_VALUE"""),"41½")</f>
        <v>41½</v>
      </c>
      <c r="K1405" t="str">
        <f>IFERROR(__xludf.DUMMYFUNCTION("""COMPUTED_VALUE"""),"Brad")</f>
        <v>Brad</v>
      </c>
      <c r="L1405" t="str">
        <f>IFERROR(__xludf.DUMMYFUNCTION("""COMPUTED_VALUE"""),"FINAL")</f>
        <v>FINAL</v>
      </c>
      <c r="M1405" s="124">
        <v>11.0</v>
      </c>
    </row>
    <row r="1406">
      <c r="A1406" s="151">
        <f>IFERROR(__xludf.DUMMYFUNCTION("""COMPUTED_VALUE"""),43779.14775225695)</f>
        <v>43779.14775</v>
      </c>
      <c r="B1406" t="str">
        <f>IFERROR(__xludf.DUMMYFUNCTION("""COMPUTED_VALUE"""),"Vu")</f>
        <v>Vu</v>
      </c>
      <c r="C1406" s="169" t="str">
        <f>IFERROR(__xludf.DUMMYFUNCTION("""COMPUTED_VALUE"""),"Cincinnati")</f>
        <v>Cincinnati</v>
      </c>
      <c r="D1406">
        <f>IFERROR(__xludf.DUMMYFUNCTION("""COMPUTED_VALUE"""),8.0)</f>
        <v>8</v>
      </c>
      <c r="E1406">
        <f>IFERROR(__xludf.DUMMYFUNCTION("""COMPUTED_VALUE"""),1.0)</f>
        <v>1</v>
      </c>
      <c r="F1406" t="str">
        <f>IFERROR(__xludf.DUMMYFUNCTION("""COMPUTED_VALUE"""),"CBSSN")</f>
        <v>CBSSN</v>
      </c>
      <c r="G1406" t="str">
        <f>IFERROR(__xludf.DUMMYFUNCTION("""COMPUTED_VALUE"""),"UConn 3 at (17) Cincinnati 48")</f>
        <v>UConn 3 at (17) Cincinnati 48</v>
      </c>
      <c r="H1406" t="str">
        <f>IFERROR(__xludf.DUMMYFUNCTION("""COMPUTED_VALUE"""),"FINAL")</f>
        <v>FINAL</v>
      </c>
      <c r="I1406">
        <f>IFERROR(__xludf.DUMMYFUNCTION("""COMPUTED_VALUE"""),-35.0)</f>
        <v>-35</v>
      </c>
      <c r="J1406" t="str">
        <f>IFERROR(__xludf.DUMMYFUNCTION("""COMPUTED_VALUE"""),"56½")</f>
        <v>56½</v>
      </c>
      <c r="K1406" t="str">
        <f>IFERROR(__xludf.DUMMYFUNCTION("""COMPUTED_VALUE"""),"Nick G.")</f>
        <v>Nick G.</v>
      </c>
      <c r="L1406" t="str">
        <f>IFERROR(__xludf.DUMMYFUNCTION("""COMPUTED_VALUE"""),"FINAL")</f>
        <v>FINAL</v>
      </c>
      <c r="M1406" s="124">
        <v>11.0</v>
      </c>
    </row>
    <row r="1407">
      <c r="A1407" s="151">
        <f>IFERROR(__xludf.DUMMYFUNCTION("""COMPUTED_VALUE"""),43779.14775225695)</f>
        <v>43779.14775</v>
      </c>
      <c r="B1407" t="str">
        <f>IFERROR(__xludf.DUMMYFUNCTION("""COMPUTED_VALUE"""),"Vu")</f>
        <v>Vu</v>
      </c>
      <c r="C1407" s="169" t="str">
        <f>IFERROR(__xludf.DUMMYFUNCTION("""COMPUTED_VALUE"""),"North Texas")</f>
        <v>North Texas</v>
      </c>
      <c r="D1407">
        <f>IFERROR(__xludf.DUMMYFUNCTION("""COMPUTED_VALUE"""),4.0)</f>
        <v>4</v>
      </c>
      <c r="E1407">
        <f>IFERROR(__xludf.DUMMYFUNCTION("""COMPUTED_VALUE"""),6.0)</f>
        <v>6</v>
      </c>
      <c r="F1407" t="str">
        <f>IFERROR(__xludf.DUMMYFUNCTION("""COMPUTED_VALUE"""),"Facebook Video")</f>
        <v>Facebook Video</v>
      </c>
      <c r="G1407" t="str">
        <f>IFERROR(__xludf.DUMMYFUNCTION("""COMPUTED_VALUE"""),"North Texas 17 at Louisiana Tech 52")</f>
        <v>North Texas 17 at Louisiana Tech 52</v>
      </c>
      <c r="H1407" t="str">
        <f>IFERROR(__xludf.DUMMYFUNCTION("""COMPUTED_VALUE"""),"FINAL")</f>
        <v>FINAL</v>
      </c>
      <c r="I1407" t="str">
        <f>IFERROR(__xludf.DUMMYFUNCTION("""COMPUTED_VALUE"""),"5½")</f>
        <v>5½</v>
      </c>
      <c r="J1407">
        <f>IFERROR(__xludf.DUMMYFUNCTION("""COMPUTED_VALUE"""),68.0)</f>
        <v>68</v>
      </c>
      <c r="K1407" t="str">
        <f>IFERROR(__xludf.DUMMYFUNCTION("""COMPUTED_VALUE"""),"Brad")</f>
        <v>Brad</v>
      </c>
      <c r="L1407" t="str">
        <f>IFERROR(__xludf.DUMMYFUNCTION("""COMPUTED_VALUE"""),"FINAL")</f>
        <v>FINAL</v>
      </c>
      <c r="M1407" s="124">
        <v>11.0</v>
      </c>
    </row>
    <row r="1408">
      <c r="A1408" s="151">
        <f>IFERROR(__xludf.DUMMYFUNCTION("""COMPUTED_VALUE"""),43779.14775225695)</f>
        <v>43779.14775</v>
      </c>
      <c r="B1408" t="str">
        <f>IFERROR(__xludf.DUMMYFUNCTION("""COMPUTED_VALUE"""),"Vu")</f>
        <v>Vu</v>
      </c>
      <c r="C1408" s="169" t="str">
        <f>IFERROR(__xludf.DUMMYFUNCTION("""COMPUTED_VALUE"""),"Hawaii")</f>
        <v>Hawaii</v>
      </c>
      <c r="D1408">
        <f>IFERROR(__xludf.DUMMYFUNCTION("""COMPUTED_VALUE"""),6.0)</f>
        <v>6</v>
      </c>
      <c r="E1408">
        <f>IFERROR(__xludf.DUMMYFUNCTION("""COMPUTED_VALUE"""),4.0)</f>
        <v>4</v>
      </c>
      <c r="F1408" t="str">
        <f>IFERROR(__xludf.DUMMYFUNCTION("""COMPUTED_VALUE"""),"Facebook Video")</f>
        <v>Facebook Video</v>
      </c>
      <c r="G1408" t="str">
        <f>IFERROR(__xludf.DUMMYFUNCTION("""COMPUTED_VALUE"""),"San José State 40 at Hawaii 42")</f>
        <v>San José State 40 at Hawaii 42</v>
      </c>
      <c r="H1408" t="str">
        <f>IFERROR(__xludf.DUMMYFUNCTION("""COMPUTED_VALUE"""),"FINAL")</f>
        <v>FINAL</v>
      </c>
      <c r="I1408" t="str">
        <f>IFERROR(__xludf.DUMMYFUNCTION("""COMPUTED_VALUE"""),"-7½")</f>
        <v>-7½</v>
      </c>
      <c r="J1408">
        <f>IFERROR(__xludf.DUMMYFUNCTION("""COMPUTED_VALUE"""),77.0)</f>
        <v>77</v>
      </c>
      <c r="K1408" t="str">
        <f>IFERROR(__xludf.DUMMYFUNCTION("""COMPUTED_VALUE"""),"Jeannine")</f>
        <v>Jeannine</v>
      </c>
      <c r="L1408" t="str">
        <f>IFERROR(__xludf.DUMMYFUNCTION("""COMPUTED_VALUE"""),"FINAL")</f>
        <v>FINAL</v>
      </c>
      <c r="M1408" s="124">
        <v>11.0</v>
      </c>
    </row>
    <row r="1409">
      <c r="A1409" s="151">
        <f>IFERROR(__xludf.DUMMYFUNCTION("""COMPUTED_VALUE"""),43779.14775225695)</f>
        <v>43779.14775</v>
      </c>
      <c r="B1409" t="str">
        <f>IFERROR(__xludf.DUMMYFUNCTION("""COMPUTED_VALUE"""),"Vu")</f>
        <v>Vu</v>
      </c>
      <c r="C1409" s="169" t="str">
        <f>IFERROR(__xludf.DUMMYFUNCTION("""COMPUTED_VALUE"""),"Michigan")</f>
        <v>Michigan</v>
      </c>
      <c r="D1409">
        <f>IFERROR(__xludf.DUMMYFUNCTION("""COMPUTED_VALUE"""),7.0)</f>
        <v>7</v>
      </c>
      <c r="E1409">
        <f>IFERROR(__xludf.DUMMYFUNCTION("""COMPUTED_VALUE"""),2.0)</f>
        <v>2</v>
      </c>
      <c r="F1409" t="str">
        <f>IFERROR(__xludf.DUMMYFUNCTION("""COMPUTED_VALUE"""),"NA")</f>
        <v>NA</v>
      </c>
      <c r="G1409" t="str">
        <f>IFERROR(__xludf.DUMMYFUNCTION("""COMPUTED_VALUE"""),"BYE")</f>
        <v>BYE</v>
      </c>
      <c r="I1409" t="str">
        <f>IFERROR(__xludf.DUMMYFUNCTION("""COMPUTED_VALUE"""),"bye")</f>
        <v>bye</v>
      </c>
      <c r="J1409" t="str">
        <f>IFERROR(__xludf.DUMMYFUNCTION("""COMPUTED_VALUE"""),"bye")</f>
        <v>bye</v>
      </c>
      <c r="L1409">
        <f>IFERROR(__xludf.DUMMYFUNCTION("""COMPUTED_VALUE"""),9999.0)</f>
        <v>9999</v>
      </c>
      <c r="M1409" s="124">
        <v>11.0</v>
      </c>
    </row>
    <row r="1410">
      <c r="A1410" s="151">
        <f>IFERROR(__xludf.DUMMYFUNCTION("""COMPUTED_VALUE"""),43779.14775225695)</f>
        <v>43779.14775</v>
      </c>
      <c r="B1410" t="str">
        <f>IFERROR(__xludf.DUMMYFUNCTION("""COMPUTED_VALUE"""),"Vu")</f>
        <v>Vu</v>
      </c>
      <c r="C1410" s="169" t="str">
        <f>IFERROR(__xludf.DUMMYFUNCTION("""COMPUTED_VALUE"""),"Syracuse")</f>
        <v>Syracuse</v>
      </c>
      <c r="D1410">
        <f>IFERROR(__xludf.DUMMYFUNCTION("""COMPUTED_VALUE"""),3.0)</f>
        <v>3</v>
      </c>
      <c r="E1410">
        <f>IFERROR(__xludf.DUMMYFUNCTION("""COMPUTED_VALUE"""),6.0)</f>
        <v>6</v>
      </c>
      <c r="F1410" t="str">
        <f>IFERROR(__xludf.DUMMYFUNCTION("""COMPUTED_VALUE"""),"NA")</f>
        <v>NA</v>
      </c>
      <c r="G1410" t="str">
        <f>IFERROR(__xludf.DUMMYFUNCTION("""COMPUTED_VALUE"""),"BYE")</f>
        <v>BYE</v>
      </c>
      <c r="I1410" t="str">
        <f>IFERROR(__xludf.DUMMYFUNCTION("""COMPUTED_VALUE"""),"bye")</f>
        <v>bye</v>
      </c>
      <c r="J1410" t="str">
        <f>IFERROR(__xludf.DUMMYFUNCTION("""COMPUTED_VALUE"""),"bye")</f>
        <v>bye</v>
      </c>
      <c r="L1410">
        <f>IFERROR(__xludf.DUMMYFUNCTION("""COMPUTED_VALUE"""),9999.0)</f>
        <v>9999</v>
      </c>
      <c r="M1410" s="124">
        <v>11.0</v>
      </c>
    </row>
    <row r="1411">
      <c r="A1411" s="200">
        <f>IFERROR(__xludf.DUMMYFUNCTION("""COMPUTED_VALUE"""),43779.14775225695)</f>
        <v>43779.14775</v>
      </c>
      <c r="B1411" t="str">
        <f>IFERROR(__xludf.DUMMYFUNCTION("""COMPUTED_VALUE"""),"Vu")</f>
        <v>Vu</v>
      </c>
      <c r="C1411" s="169" t="str">
        <f>IFERROR(__xludf.DUMMYFUNCTION("""COMPUTED_VALUE"""),"Texas A&amp;M")</f>
        <v>Texas A&amp;M</v>
      </c>
      <c r="D1411">
        <f>IFERROR(__xludf.DUMMYFUNCTION("""COMPUTED_VALUE"""),6.0)</f>
        <v>6</v>
      </c>
      <c r="E1411">
        <f>IFERROR(__xludf.DUMMYFUNCTION("""COMPUTED_VALUE"""),3.0)</f>
        <v>3</v>
      </c>
      <c r="F1411" t="str">
        <f>IFERROR(__xludf.DUMMYFUNCTION("""COMPUTED_VALUE"""),"NA")</f>
        <v>NA</v>
      </c>
      <c r="G1411" t="str">
        <f>IFERROR(__xludf.DUMMYFUNCTION("""COMPUTED_VALUE"""),"BYE")</f>
        <v>BYE</v>
      </c>
      <c r="I1411" t="str">
        <f>IFERROR(__xludf.DUMMYFUNCTION("""COMPUTED_VALUE"""),"bye")</f>
        <v>bye</v>
      </c>
      <c r="J1411" t="str">
        <f>IFERROR(__xludf.DUMMYFUNCTION("""COMPUTED_VALUE"""),"bye")</f>
        <v>bye</v>
      </c>
      <c r="L1411">
        <f>IFERROR(__xludf.DUMMYFUNCTION("""COMPUTED_VALUE"""),9999.0)</f>
        <v>9999</v>
      </c>
      <c r="M1411" s="124">
        <v>11.0</v>
      </c>
    </row>
    <row r="1412">
      <c r="A1412" s="151">
        <f>IFERROR(__xludf.DUMMYFUNCTION("""COMPUTED_VALUE"""),43779.14775225695)</f>
        <v>43779.14775</v>
      </c>
      <c r="B1412" t="str">
        <f>IFERROR(__xludf.DUMMYFUNCTION("""COMPUTED_VALUE"""),"Josh R.")</f>
        <v>Josh R.</v>
      </c>
      <c r="C1412" s="169" t="str">
        <f>IFERROR(__xludf.DUMMYFUNCTION("""COMPUTED_VALUE"""),"Toledo")</f>
        <v>Toledo</v>
      </c>
      <c r="D1412">
        <f>IFERROR(__xludf.DUMMYFUNCTION("""COMPUTED_VALUE"""),6.0)</f>
        <v>6</v>
      </c>
      <c r="E1412">
        <f>IFERROR(__xludf.DUMMYFUNCTION("""COMPUTED_VALUE"""),3.0)</f>
        <v>3</v>
      </c>
      <c r="F1412" t="str">
        <f>IFERROR(__xludf.DUMMYFUNCTION("""COMPUTED_VALUE"""),"NA")</f>
        <v>NA</v>
      </c>
      <c r="G1412" t="str">
        <f>IFERROR(__xludf.DUMMYFUNCTION("""COMPUTED_VALUE"""),"Kent State 33 at Toledo 35")</f>
        <v>Kent State 33 at Toledo 35</v>
      </c>
      <c r="H1412" t="str">
        <f>IFERROR(__xludf.DUMMYFUNCTION("""COMPUTED_VALUE"""),"FINAL")</f>
        <v>FINAL</v>
      </c>
      <c r="I1412">
        <f>IFERROR(__xludf.DUMMYFUNCTION("""COMPUTED_VALUE"""),-7.0)</f>
        <v>-7</v>
      </c>
      <c r="J1412">
        <f>IFERROR(__xludf.DUMMYFUNCTION("""COMPUTED_VALUE"""),62.0)</f>
        <v>62</v>
      </c>
      <c r="K1412" t="str">
        <f>IFERROR(__xludf.DUMMYFUNCTION("""COMPUTED_VALUE"""),"Vu")</f>
        <v>Vu</v>
      </c>
      <c r="L1412" t="str">
        <f>IFERROR(__xludf.DUMMYFUNCTION("""COMPUTED_VALUE"""),"FINAL")</f>
        <v>FINAL</v>
      </c>
      <c r="M1412" s="124">
        <v>11.0</v>
      </c>
    </row>
    <row r="1413">
      <c r="A1413" s="151">
        <f>IFERROR(__xludf.DUMMYFUNCTION("""COMPUTED_VALUE"""),43779.14775225695)</f>
        <v>43779.14775</v>
      </c>
      <c r="B1413" t="str">
        <f>IFERROR(__xludf.DUMMYFUNCTION("""COMPUTED_VALUE"""),"Josh R.")</f>
        <v>Josh R.</v>
      </c>
      <c r="C1413" s="169" t="str">
        <f>IFERROR(__xludf.DUMMYFUNCTION("""COMPUTED_VALUE"""),"Temple")</f>
        <v>Temple</v>
      </c>
      <c r="D1413">
        <f>IFERROR(__xludf.DUMMYFUNCTION("""COMPUTED_VALUE"""),6.0)</f>
        <v>6</v>
      </c>
      <c r="E1413">
        <f>IFERROR(__xludf.DUMMYFUNCTION("""COMPUTED_VALUE"""),3.0)</f>
        <v>3</v>
      </c>
      <c r="F1413" t="str">
        <f>IFERROR(__xludf.DUMMYFUNCTION("""COMPUTED_VALUE"""),"ESPN")</f>
        <v>ESPN</v>
      </c>
      <c r="G1413" t="str">
        <f>IFERROR(__xludf.DUMMYFUNCTION("""COMPUTED_VALUE"""),"Temple 17 at South Florida 7")</f>
        <v>Temple 17 at South Florida 7</v>
      </c>
      <c r="H1413" t="str">
        <f>IFERROR(__xludf.DUMMYFUNCTION("""COMPUTED_VALUE"""),"FINAL")</f>
        <v>FINAL</v>
      </c>
      <c r="I1413" t="str">
        <f>IFERROR(__xludf.DUMMYFUNCTION("""COMPUTED_VALUE"""),"-2½")</f>
        <v>-2½</v>
      </c>
      <c r="J1413">
        <f>IFERROR(__xludf.DUMMYFUNCTION("""COMPUTED_VALUE"""),51.0)</f>
        <v>51</v>
      </c>
      <c r="K1413" t="str">
        <f>IFERROR(__xludf.DUMMYFUNCTION("""COMPUTED_VALUE"""),"Justin")</f>
        <v>Justin</v>
      </c>
      <c r="L1413" t="str">
        <f>IFERROR(__xludf.DUMMYFUNCTION("""COMPUTED_VALUE"""),"FINAL")</f>
        <v>FINAL</v>
      </c>
      <c r="M1413" s="124">
        <v>11.0</v>
      </c>
    </row>
    <row r="1414">
      <c r="A1414" s="151">
        <f>IFERROR(__xludf.DUMMYFUNCTION("""COMPUTED_VALUE"""),43779.14775225695)</f>
        <v>43779.14775</v>
      </c>
      <c r="B1414" t="str">
        <f>IFERROR(__xludf.DUMMYFUNCTION("""COMPUTED_VALUE"""),"Josh R.")</f>
        <v>Josh R.</v>
      </c>
      <c r="C1414" s="169" t="str">
        <f>IFERROR(__xludf.DUMMYFUNCTION("""COMPUTED_VALUE"""),"Minnesota")</f>
        <v>Minnesota</v>
      </c>
      <c r="D1414">
        <f>IFERROR(__xludf.DUMMYFUNCTION("""COMPUTED_VALUE"""),9.0)</f>
        <v>9</v>
      </c>
      <c r="E1414">
        <f>IFERROR(__xludf.DUMMYFUNCTION("""COMPUTED_VALUE"""),0.0)</f>
        <v>0</v>
      </c>
      <c r="F1414" t="str">
        <f>IFERROR(__xludf.DUMMYFUNCTION("""COMPUTED_VALUE"""),"ABC")</f>
        <v>ABC</v>
      </c>
      <c r="G1414" t="str">
        <f>IFERROR(__xludf.DUMMYFUNCTION("""COMPUTED_VALUE"""),"(5) Penn State 26 at (13) Minnesota 31")</f>
        <v>(5) Penn State 26 at (13) Minnesota 31</v>
      </c>
      <c r="H1414" t="str">
        <f>IFERROR(__xludf.DUMMYFUNCTION("""COMPUTED_VALUE"""),"FINAL")</f>
        <v>FINAL</v>
      </c>
      <c r="I1414">
        <f>IFERROR(__xludf.DUMMYFUNCTION("""COMPUTED_VALUE"""),7.0)</f>
        <v>7</v>
      </c>
      <c r="J1414" t="str">
        <f>IFERROR(__xludf.DUMMYFUNCTION("""COMPUTED_VALUE"""),"47½")</f>
        <v>47½</v>
      </c>
      <c r="K1414" t="str">
        <f>IFERROR(__xludf.DUMMYFUNCTION("""COMPUTED_VALUE"""),"Jeannine")</f>
        <v>Jeannine</v>
      </c>
      <c r="L1414" t="str">
        <f>IFERROR(__xludf.DUMMYFUNCTION("""COMPUTED_VALUE"""),"FINAL")</f>
        <v>FINAL</v>
      </c>
      <c r="M1414" s="124">
        <v>11.0</v>
      </c>
    </row>
    <row r="1415">
      <c r="A1415" s="151">
        <f>IFERROR(__xludf.DUMMYFUNCTION("""COMPUTED_VALUE"""),43779.14775225695)</f>
        <v>43779.14775</v>
      </c>
      <c r="B1415" t="str">
        <f>IFERROR(__xludf.DUMMYFUNCTION("""COMPUTED_VALUE"""),"Josh R.")</f>
        <v>Josh R.</v>
      </c>
      <c r="C1415" s="169" t="str">
        <f>IFERROR(__xludf.DUMMYFUNCTION("""COMPUTED_VALUE"""),"Army")</f>
        <v>Army</v>
      </c>
      <c r="D1415">
        <f>IFERROR(__xludf.DUMMYFUNCTION("""COMPUTED_VALUE"""),4.0)</f>
        <v>4</v>
      </c>
      <c r="E1415">
        <f>IFERROR(__xludf.DUMMYFUNCTION("""COMPUTED_VALUE"""),6.0)</f>
        <v>6</v>
      </c>
      <c r="F1415" t="str">
        <f>IFERROR(__xludf.DUMMYFUNCTION("""COMPUTED_VALUE"""),"CBSSN")</f>
        <v>CBSSN</v>
      </c>
      <c r="G1415" t="str">
        <f>IFERROR(__xludf.DUMMYFUNCTION("""COMPUTED_VALUE"""),"UMass 7 at Army 63")</f>
        <v>UMass 7 at Army 63</v>
      </c>
      <c r="H1415" t="str">
        <f>IFERROR(__xludf.DUMMYFUNCTION("""COMPUTED_VALUE"""),"FINAL")</f>
        <v>FINAL</v>
      </c>
      <c r="I1415" t="str">
        <f>IFERROR(__xludf.DUMMYFUNCTION("""COMPUTED_VALUE"""),"-34½")</f>
        <v>-34½</v>
      </c>
      <c r="J1415" t="str">
        <f>IFERROR(__xludf.DUMMYFUNCTION("""COMPUTED_VALUE"""),"61½")</f>
        <v>61½</v>
      </c>
      <c r="K1415" t="str">
        <f>IFERROR(__xludf.DUMMYFUNCTION("""COMPUTED_VALUE"""),"Undrafted")</f>
        <v>Undrafted</v>
      </c>
      <c r="L1415" t="str">
        <f>IFERROR(__xludf.DUMMYFUNCTION("""COMPUTED_VALUE"""),"FINAL")</f>
        <v>FINAL</v>
      </c>
      <c r="M1415" s="124">
        <v>11.0</v>
      </c>
    </row>
    <row r="1416">
      <c r="A1416" s="151">
        <f>IFERROR(__xludf.DUMMYFUNCTION("""COMPUTED_VALUE"""),43779.14775225695)</f>
        <v>43779.14775</v>
      </c>
      <c r="B1416" t="str">
        <f>IFERROR(__xludf.DUMMYFUNCTION("""COMPUTED_VALUE"""),"Josh R.")</f>
        <v>Josh R.</v>
      </c>
      <c r="C1416" s="169" t="str">
        <f>IFERROR(__xludf.DUMMYFUNCTION("""COMPUTED_VALUE"""),"Florida State")</f>
        <v>Florida State</v>
      </c>
      <c r="D1416">
        <f>IFERROR(__xludf.DUMMYFUNCTION("""COMPUTED_VALUE"""),5.0)</f>
        <v>5</v>
      </c>
      <c r="E1416">
        <f>IFERROR(__xludf.DUMMYFUNCTION("""COMPUTED_VALUE"""),5.0)</f>
        <v>5</v>
      </c>
      <c r="F1416" t="str">
        <f>IFERROR(__xludf.DUMMYFUNCTION("""COMPUTED_VALUE"""),"ACC Network")</f>
        <v>ACC Network</v>
      </c>
      <c r="G1416" t="str">
        <f>IFERROR(__xludf.DUMMYFUNCTION("""COMPUTED_VALUE"""),"Florida State 38 at Boston College 31")</f>
        <v>Florida State 38 at Boston College 31</v>
      </c>
      <c r="H1416" t="str">
        <f>IFERROR(__xludf.DUMMYFUNCTION("""COMPUTED_VALUE"""),"FINAL")</f>
        <v>FINAL</v>
      </c>
      <c r="I1416" t="str">
        <f>IFERROR(__xludf.DUMMYFUNCTION("""COMPUTED_VALUE"""),"2½")</f>
        <v>2½</v>
      </c>
      <c r="J1416">
        <f>IFERROR(__xludf.DUMMYFUNCTION("""COMPUTED_VALUE"""),62.0)</f>
        <v>62</v>
      </c>
      <c r="K1416" t="str">
        <f>IFERROR(__xludf.DUMMYFUNCTION("""COMPUTED_VALUE"""),"Janice/Mike")</f>
        <v>Janice/Mike</v>
      </c>
      <c r="L1416" t="str">
        <f>IFERROR(__xludf.DUMMYFUNCTION("""COMPUTED_VALUE"""),"FINAL")</f>
        <v>FINAL</v>
      </c>
      <c r="M1416" s="124">
        <v>11.0</v>
      </c>
    </row>
    <row r="1417">
      <c r="A1417" s="151">
        <f>IFERROR(__xludf.DUMMYFUNCTION("""COMPUTED_VALUE"""),43779.14775225695)</f>
        <v>43779.14775</v>
      </c>
      <c r="B1417" t="str">
        <f>IFERROR(__xludf.DUMMYFUNCTION("""COMPUTED_VALUE"""),"Josh R.")</f>
        <v>Josh R.</v>
      </c>
      <c r="C1417" s="169" t="str">
        <f>IFERROR(__xludf.DUMMYFUNCTION("""COMPUTED_VALUE"""),"USC")</f>
        <v>USC</v>
      </c>
      <c r="D1417">
        <f>IFERROR(__xludf.DUMMYFUNCTION("""COMPUTED_VALUE"""),6.0)</f>
        <v>6</v>
      </c>
      <c r="E1417">
        <f>IFERROR(__xludf.DUMMYFUNCTION("""COMPUTED_VALUE"""),4.0)</f>
        <v>4</v>
      </c>
      <c r="F1417" t="str">
        <f>IFERROR(__xludf.DUMMYFUNCTION("""COMPUTED_VALUE"""),"ABC")</f>
        <v>ABC</v>
      </c>
      <c r="G1417" t="str">
        <f>IFERROR(__xludf.DUMMYFUNCTION("""COMPUTED_VALUE"""),"USC 31 at Arizona State 26")</f>
        <v>USC 31 at Arizona State 26</v>
      </c>
      <c r="H1417" t="str">
        <f>IFERROR(__xludf.DUMMYFUNCTION("""COMPUTED_VALUE"""),"FINAL")</f>
        <v>FINAL</v>
      </c>
      <c r="I1417">
        <f>IFERROR(__xludf.DUMMYFUNCTION("""COMPUTED_VALUE"""),2.0)</f>
        <v>2</v>
      </c>
      <c r="J1417" t="str">
        <f>IFERROR(__xludf.DUMMYFUNCTION("""COMPUTED_VALUE"""),"56½")</f>
        <v>56½</v>
      </c>
      <c r="K1417" t="str">
        <f>IFERROR(__xludf.DUMMYFUNCTION("""COMPUTED_VALUE"""),"Nico")</f>
        <v>Nico</v>
      </c>
      <c r="L1417" t="str">
        <f>IFERROR(__xludf.DUMMYFUNCTION("""COMPUTED_VALUE"""),"FINAL")</f>
        <v>FINAL</v>
      </c>
      <c r="M1417" s="124">
        <v>11.0</v>
      </c>
    </row>
    <row r="1418">
      <c r="A1418" s="151">
        <f>IFERROR(__xludf.DUMMYFUNCTION("""COMPUTED_VALUE"""),43779.14775225695)</f>
        <v>43779.14775</v>
      </c>
      <c r="B1418" t="str">
        <f>IFERROR(__xludf.DUMMYFUNCTION("""COMPUTED_VALUE"""),"Josh R.")</f>
        <v>Josh R.</v>
      </c>
      <c r="C1418" s="169" t="str">
        <f>IFERROR(__xludf.DUMMYFUNCTION("""COMPUTED_VALUE"""),"Southern Mississippi")</f>
        <v>Southern Mississippi</v>
      </c>
      <c r="D1418">
        <f>IFERROR(__xludf.DUMMYFUNCTION("""COMPUTED_VALUE"""),6.0)</f>
        <v>6</v>
      </c>
      <c r="E1418">
        <f>IFERROR(__xludf.DUMMYFUNCTION("""COMPUTED_VALUE"""),3.0)</f>
        <v>3</v>
      </c>
      <c r="F1418" t="str">
        <f>IFERROR(__xludf.DUMMYFUNCTION("""COMPUTED_VALUE"""),"NA")</f>
        <v>NA</v>
      </c>
      <c r="G1418" t="str">
        <f>IFERROR(__xludf.DUMMYFUNCTION("""COMPUTED_VALUE"""),"UAB 2 at Southern Mississippi 37")</f>
        <v>UAB 2 at Southern Mississippi 37</v>
      </c>
      <c r="H1418" t="str">
        <f>IFERROR(__xludf.DUMMYFUNCTION("""COMPUTED_VALUE"""),"FINAL")</f>
        <v>FINAL</v>
      </c>
      <c r="I1418">
        <f>IFERROR(__xludf.DUMMYFUNCTION("""COMPUTED_VALUE"""),-6.0)</f>
        <v>-6</v>
      </c>
      <c r="J1418">
        <f>IFERROR(__xludf.DUMMYFUNCTION("""COMPUTED_VALUE"""),50.0)</f>
        <v>50</v>
      </c>
      <c r="K1418" t="str">
        <f>IFERROR(__xludf.DUMMYFUNCTION("""COMPUTED_VALUE"""),"Jeannine")</f>
        <v>Jeannine</v>
      </c>
      <c r="L1418" t="str">
        <f>IFERROR(__xludf.DUMMYFUNCTION("""COMPUTED_VALUE"""),"FINAL")</f>
        <v>FINAL</v>
      </c>
      <c r="M1418" s="124">
        <v>11.0</v>
      </c>
    </row>
    <row r="1419">
      <c r="A1419" s="151">
        <f>IFERROR(__xludf.DUMMYFUNCTION("""COMPUTED_VALUE"""),43779.14775225695)</f>
        <v>43779.14775</v>
      </c>
      <c r="B1419" t="str">
        <f>IFERROR(__xludf.DUMMYFUNCTION("""COMPUTED_VALUE"""),"Josh R.")</f>
        <v>Josh R.</v>
      </c>
      <c r="C1419" s="169" t="str">
        <f>IFERROR(__xludf.DUMMYFUNCTION("""COMPUTED_VALUE"""),"Kentucky")</f>
        <v>Kentucky</v>
      </c>
      <c r="D1419">
        <f>IFERROR(__xludf.DUMMYFUNCTION("""COMPUTED_VALUE"""),4.0)</f>
        <v>4</v>
      </c>
      <c r="E1419">
        <f>IFERROR(__xludf.DUMMYFUNCTION("""COMPUTED_VALUE"""),5.0)</f>
        <v>5</v>
      </c>
      <c r="F1419" t="str">
        <f>IFERROR(__xludf.DUMMYFUNCTION("""COMPUTED_VALUE"""),"SEC Network")</f>
        <v>SEC Network</v>
      </c>
      <c r="G1419" t="str">
        <f>IFERROR(__xludf.DUMMYFUNCTION("""COMPUTED_VALUE"""),"Tennessee 17 at Kentucky 13")</f>
        <v>Tennessee 17 at Kentucky 13</v>
      </c>
      <c r="H1419" t="str">
        <f>IFERROR(__xludf.DUMMYFUNCTION("""COMPUTED_VALUE"""),"FINAL")</f>
        <v>FINAL</v>
      </c>
      <c r="I1419">
        <f>IFERROR(__xludf.DUMMYFUNCTION("""COMPUTED_VALUE"""),1.0)</f>
        <v>1</v>
      </c>
      <c r="J1419">
        <f>IFERROR(__xludf.DUMMYFUNCTION("""COMPUTED_VALUE"""),42.0)</f>
        <v>42</v>
      </c>
      <c r="K1419" t="str">
        <f>IFERROR(__xludf.DUMMYFUNCTION("""COMPUTED_VALUE"""),"Justin")</f>
        <v>Justin</v>
      </c>
      <c r="L1419" t="str">
        <f>IFERROR(__xludf.DUMMYFUNCTION("""COMPUTED_VALUE"""),"FINAL")</f>
        <v>FINAL</v>
      </c>
      <c r="M1419" s="124">
        <v>11.0</v>
      </c>
    </row>
    <row r="1420">
      <c r="A1420" s="151">
        <f>IFERROR(__xludf.DUMMYFUNCTION("""COMPUTED_VALUE"""),43779.14775225695)</f>
        <v>43779.14775</v>
      </c>
      <c r="B1420" t="str">
        <f>IFERROR(__xludf.DUMMYFUNCTION("""COMPUTED_VALUE"""),"Josh R.")</f>
        <v>Josh R.</v>
      </c>
      <c r="C1420" s="169" t="str">
        <f>IFERROR(__xludf.DUMMYFUNCTION("""COMPUTED_VALUE"""),"Nevada")</f>
        <v>Nevada</v>
      </c>
      <c r="D1420">
        <f>IFERROR(__xludf.DUMMYFUNCTION("""COMPUTED_VALUE"""),6.0)</f>
        <v>6</v>
      </c>
      <c r="E1420">
        <f>IFERROR(__xludf.DUMMYFUNCTION("""COMPUTED_VALUE"""),4.0)</f>
        <v>4</v>
      </c>
      <c r="F1420" t="str">
        <f>IFERROR(__xludf.DUMMYFUNCTION("""COMPUTED_VALUE"""),"ESPN2")</f>
        <v>ESPN2</v>
      </c>
      <c r="G1420" t="str">
        <f>IFERROR(__xludf.DUMMYFUNCTION("""COMPUTED_VALUE"""),"Nevada 17 at (24) San Diego State 13")</f>
        <v>Nevada 17 at (24) San Diego State 13</v>
      </c>
      <c r="H1420" t="str">
        <f>IFERROR(__xludf.DUMMYFUNCTION("""COMPUTED_VALUE"""),"FINAL")</f>
        <v>FINAL</v>
      </c>
      <c r="I1420">
        <f>IFERROR(__xludf.DUMMYFUNCTION("""COMPUTED_VALUE"""),18.0)</f>
        <v>18</v>
      </c>
      <c r="J1420" t="str">
        <f>IFERROR(__xludf.DUMMYFUNCTION("""COMPUTED_VALUE"""),"40½")</f>
        <v>40½</v>
      </c>
      <c r="K1420" t="str">
        <f>IFERROR(__xludf.DUMMYFUNCTION("""COMPUTED_VALUE"""),"Nick A.")</f>
        <v>Nick A.</v>
      </c>
      <c r="L1420" t="str">
        <f>IFERROR(__xludf.DUMMYFUNCTION("""COMPUTED_VALUE"""),"FINAL")</f>
        <v>FINAL</v>
      </c>
      <c r="M1420" s="124">
        <v>11.0</v>
      </c>
    </row>
    <row r="1421">
      <c r="A1421" s="200">
        <f>IFERROR(__xludf.DUMMYFUNCTION("""COMPUTED_VALUE"""),43779.14775225695)</f>
        <v>43779.14775</v>
      </c>
      <c r="B1421" t="str">
        <f>IFERROR(__xludf.DUMMYFUNCTION("""COMPUTED_VALUE"""),"Josh R.")</f>
        <v>Josh R.</v>
      </c>
      <c r="C1421" s="169" t="str">
        <f>IFERROR(__xludf.DUMMYFUNCTION("""COMPUTED_VALUE"""),"Kansas")</f>
        <v>Kansas</v>
      </c>
      <c r="D1421">
        <f>IFERROR(__xludf.DUMMYFUNCTION("""COMPUTED_VALUE"""),3.0)</f>
        <v>3</v>
      </c>
      <c r="E1421">
        <f>IFERROR(__xludf.DUMMYFUNCTION("""COMPUTED_VALUE"""),6.0)</f>
        <v>6</v>
      </c>
      <c r="F1421" t="str">
        <f>IFERROR(__xludf.DUMMYFUNCTION("""COMPUTED_VALUE"""),"NA")</f>
        <v>NA</v>
      </c>
      <c r="G1421" t="str">
        <f>IFERROR(__xludf.DUMMYFUNCTION("""COMPUTED_VALUE"""),"BYE")</f>
        <v>BYE</v>
      </c>
      <c r="I1421" t="str">
        <f>IFERROR(__xludf.DUMMYFUNCTION("""COMPUTED_VALUE"""),"bye")</f>
        <v>bye</v>
      </c>
      <c r="J1421" t="str">
        <f>IFERROR(__xludf.DUMMYFUNCTION("""COMPUTED_VALUE"""),"bye")</f>
        <v>bye</v>
      </c>
      <c r="L1421">
        <f>IFERROR(__xludf.DUMMYFUNCTION("""COMPUTED_VALUE"""),9999.0)</f>
        <v>9999</v>
      </c>
      <c r="M1421" s="124">
        <v>11.0</v>
      </c>
    </row>
    <row r="1422">
      <c r="A1422" s="151">
        <f>IFERROR(__xludf.DUMMYFUNCTION("""COMPUTED_VALUE"""),43779.14775225695)</f>
        <v>43779.14775</v>
      </c>
      <c r="B1422" t="str">
        <f>IFERROR(__xludf.DUMMYFUNCTION("""COMPUTED_VALUE"""),"Brad")</f>
        <v>Brad</v>
      </c>
      <c r="C1422" s="169" t="str">
        <f>IFERROR(__xludf.DUMMYFUNCTION("""COMPUTED_VALUE"""),"Texas State")</f>
        <v>Texas State</v>
      </c>
      <c r="D1422">
        <f>IFERROR(__xludf.DUMMYFUNCTION("""COMPUTED_VALUE"""),3.0)</f>
        <v>3</v>
      </c>
      <c r="E1422">
        <f>IFERROR(__xludf.DUMMYFUNCTION("""COMPUTED_VALUE"""),6.0)</f>
        <v>6</v>
      </c>
      <c r="F1422" t="str">
        <f>IFERROR(__xludf.DUMMYFUNCTION("""COMPUTED_VALUE"""),"espn3 Video")</f>
        <v>espn3 Video</v>
      </c>
      <c r="G1422" t="str">
        <f>IFERROR(__xludf.DUMMYFUNCTION("""COMPUTED_VALUE"""),"South Alabama 28 at Texas State 30")</f>
        <v>South Alabama 28 at Texas State 30</v>
      </c>
      <c r="H1422" t="str">
        <f>IFERROR(__xludf.DUMMYFUNCTION("""COMPUTED_VALUE"""),"FINAL")</f>
        <v>FINAL</v>
      </c>
      <c r="I1422" t="str">
        <f>IFERROR(__xludf.DUMMYFUNCTION("""COMPUTED_VALUE"""),"-7½")</f>
        <v>-7½</v>
      </c>
      <c r="J1422" t="str">
        <f>IFERROR(__xludf.DUMMYFUNCTION("""COMPUTED_VALUE"""),"41½")</f>
        <v>41½</v>
      </c>
      <c r="K1422" t="str">
        <f>IFERROR(__xludf.DUMMYFUNCTION("""COMPUTED_VALUE"""),"Vu")</f>
        <v>Vu</v>
      </c>
      <c r="L1422" t="str">
        <f>IFERROR(__xludf.DUMMYFUNCTION("""COMPUTED_VALUE"""),"FINAL")</f>
        <v>FINAL</v>
      </c>
      <c r="M1422" s="124">
        <v>11.0</v>
      </c>
    </row>
    <row r="1423">
      <c r="A1423" s="151">
        <f>IFERROR(__xludf.DUMMYFUNCTION("""COMPUTED_VALUE"""),43779.14775225695)</f>
        <v>43779.14775</v>
      </c>
      <c r="B1423" t="str">
        <f>IFERROR(__xludf.DUMMYFUNCTION("""COMPUTED_VALUE"""),"Brad")</f>
        <v>Brad</v>
      </c>
      <c r="C1423" s="169" t="str">
        <f>IFERROR(__xludf.DUMMYFUNCTION("""COMPUTED_VALUE"""),"Miami")</f>
        <v>Miami</v>
      </c>
      <c r="D1423">
        <f>IFERROR(__xludf.DUMMYFUNCTION("""COMPUTED_VALUE"""),6.0)</f>
        <v>6</v>
      </c>
      <c r="E1423">
        <f>IFERROR(__xludf.DUMMYFUNCTION("""COMPUTED_VALUE"""),4.0)</f>
        <v>4</v>
      </c>
      <c r="F1423" t="str">
        <f>IFERROR(__xludf.DUMMYFUNCTION("""COMPUTED_VALUE"""),"ESPN2")</f>
        <v>ESPN2</v>
      </c>
      <c r="G1423" t="str">
        <f>IFERROR(__xludf.DUMMYFUNCTION("""COMPUTED_VALUE"""),"Louisville 27 at Miami 52")</f>
        <v>Louisville 27 at Miami 52</v>
      </c>
      <c r="H1423" t="str">
        <f>IFERROR(__xludf.DUMMYFUNCTION("""COMPUTED_VALUE"""),"FINAL")</f>
        <v>FINAL</v>
      </c>
      <c r="I1423" t="str">
        <f>IFERROR(__xludf.DUMMYFUNCTION("""COMPUTED_VALUE"""),"-6½")</f>
        <v>-6½</v>
      </c>
      <c r="J1423">
        <f>IFERROR(__xludf.DUMMYFUNCTION("""COMPUTED_VALUE"""),51.0)</f>
        <v>51</v>
      </c>
      <c r="K1423" t="str">
        <f>IFERROR(__xludf.DUMMYFUNCTION("""COMPUTED_VALUE"""),"Undrafted")</f>
        <v>Undrafted</v>
      </c>
      <c r="L1423" t="str">
        <f>IFERROR(__xludf.DUMMYFUNCTION("""COMPUTED_VALUE"""),"FINAL")</f>
        <v>FINAL</v>
      </c>
      <c r="M1423" s="124">
        <v>11.0</v>
      </c>
    </row>
    <row r="1424">
      <c r="A1424" s="151">
        <f>IFERROR(__xludf.DUMMYFUNCTION("""COMPUTED_VALUE"""),43779.14775225695)</f>
        <v>43779.14775</v>
      </c>
      <c r="B1424" t="str">
        <f>IFERROR(__xludf.DUMMYFUNCTION("""COMPUTED_VALUE"""),"Brad")</f>
        <v>Brad</v>
      </c>
      <c r="C1424" s="169" t="str">
        <f>IFERROR(__xludf.DUMMYFUNCTION("""COMPUTED_VALUE"""),"Louisiana Tech")</f>
        <v>Louisiana Tech</v>
      </c>
      <c r="D1424">
        <f>IFERROR(__xludf.DUMMYFUNCTION("""COMPUTED_VALUE"""),8.0)</f>
        <v>8</v>
      </c>
      <c r="E1424">
        <f>IFERROR(__xludf.DUMMYFUNCTION("""COMPUTED_VALUE"""),1.0)</f>
        <v>1</v>
      </c>
      <c r="F1424" t="str">
        <f>IFERROR(__xludf.DUMMYFUNCTION("""COMPUTED_VALUE"""),"Facebook Video")</f>
        <v>Facebook Video</v>
      </c>
      <c r="G1424" t="str">
        <f>IFERROR(__xludf.DUMMYFUNCTION("""COMPUTED_VALUE"""),"North Texas 17 at Louisiana Tech 52")</f>
        <v>North Texas 17 at Louisiana Tech 52</v>
      </c>
      <c r="H1424" t="str">
        <f>IFERROR(__xludf.DUMMYFUNCTION("""COMPUTED_VALUE"""),"FINAL")</f>
        <v>FINAL</v>
      </c>
      <c r="I1424" t="str">
        <f>IFERROR(__xludf.DUMMYFUNCTION("""COMPUTED_VALUE"""),"-5½")</f>
        <v>-5½</v>
      </c>
      <c r="J1424">
        <f>IFERROR(__xludf.DUMMYFUNCTION("""COMPUTED_VALUE"""),68.0)</f>
        <v>68</v>
      </c>
      <c r="K1424" t="str">
        <f>IFERROR(__xludf.DUMMYFUNCTION("""COMPUTED_VALUE"""),"Vu")</f>
        <v>Vu</v>
      </c>
      <c r="L1424" t="str">
        <f>IFERROR(__xludf.DUMMYFUNCTION("""COMPUTED_VALUE"""),"FINAL")</f>
        <v>FINAL</v>
      </c>
      <c r="M1424" s="124">
        <v>11.0</v>
      </c>
    </row>
    <row r="1425">
      <c r="A1425" s="151">
        <f>IFERROR(__xludf.DUMMYFUNCTION("""COMPUTED_VALUE"""),43779.14775225695)</f>
        <v>43779.14775</v>
      </c>
      <c r="B1425" t="str">
        <f>IFERROR(__xludf.DUMMYFUNCTION("""COMPUTED_VALUE"""),"Brad")</f>
        <v>Brad</v>
      </c>
      <c r="C1425" s="169" t="str">
        <f>IFERROR(__xludf.DUMMYFUNCTION("""COMPUTED_VALUE"""),"South Carolina")</f>
        <v>South Carolina</v>
      </c>
      <c r="D1425">
        <f>IFERROR(__xludf.DUMMYFUNCTION("""COMPUTED_VALUE"""),4.0)</f>
        <v>4</v>
      </c>
      <c r="E1425">
        <f>IFERROR(__xludf.DUMMYFUNCTION("""COMPUTED_VALUE"""),6.0)</f>
        <v>6</v>
      </c>
      <c r="F1425" t="str">
        <f>IFERROR(__xludf.DUMMYFUNCTION("""COMPUTED_VALUE"""),"ESPN2")</f>
        <v>ESPN2</v>
      </c>
      <c r="G1425" t="str">
        <f>IFERROR(__xludf.DUMMYFUNCTION("""COMPUTED_VALUE"""),"Appalachian State 20 at South Carolina 15")</f>
        <v>Appalachian State 20 at South Carolina 15</v>
      </c>
      <c r="H1425" t="str">
        <f>IFERROR(__xludf.DUMMYFUNCTION("""COMPUTED_VALUE"""),"FINAL")</f>
        <v>FINAL</v>
      </c>
      <c r="I1425" t="str">
        <f>IFERROR(__xludf.DUMMYFUNCTION("""COMPUTED_VALUE"""),"-4½")</f>
        <v>-4½</v>
      </c>
      <c r="J1425">
        <f>IFERROR(__xludf.DUMMYFUNCTION("""COMPUTED_VALUE"""),51.0)</f>
        <v>51</v>
      </c>
      <c r="K1425" t="str">
        <f>IFERROR(__xludf.DUMMYFUNCTION("""COMPUTED_VALUE"""),"Justin")</f>
        <v>Justin</v>
      </c>
      <c r="L1425" t="str">
        <f>IFERROR(__xludf.DUMMYFUNCTION("""COMPUTED_VALUE"""),"FINAL")</f>
        <v>FINAL</v>
      </c>
      <c r="M1425" s="124">
        <v>11.0</v>
      </c>
    </row>
    <row r="1426">
      <c r="A1426" s="151">
        <f>IFERROR(__xludf.DUMMYFUNCTION("""COMPUTED_VALUE"""),43779.14775225695)</f>
        <v>43779.14775</v>
      </c>
      <c r="B1426" t="str">
        <f>IFERROR(__xludf.DUMMYFUNCTION("""COMPUTED_VALUE"""),"Brad")</f>
        <v>Brad</v>
      </c>
      <c r="C1426" s="169" t="str">
        <f>IFERROR(__xludf.DUMMYFUNCTION("""COMPUTED_VALUE"""),"EMU")</f>
        <v>EMU</v>
      </c>
      <c r="D1426">
        <f>IFERROR(__xludf.DUMMYFUNCTION("""COMPUTED_VALUE"""),4.0)</f>
        <v>4</v>
      </c>
      <c r="E1426">
        <f>IFERROR(__xludf.DUMMYFUNCTION("""COMPUTED_VALUE"""),5.0)</f>
        <v>5</v>
      </c>
      <c r="F1426" t="str">
        <f>IFERROR(__xludf.DUMMYFUNCTION("""COMPUTED_VALUE"""),"NA")</f>
        <v>NA</v>
      </c>
      <c r="G1426" t="str">
        <f>IFERROR(__xludf.DUMMYFUNCTION("""COMPUTED_VALUE"""),"BYE")</f>
        <v>BYE</v>
      </c>
      <c r="I1426" t="str">
        <f>IFERROR(__xludf.DUMMYFUNCTION("""COMPUTED_VALUE"""),"bye")</f>
        <v>bye</v>
      </c>
      <c r="J1426" t="str">
        <f>IFERROR(__xludf.DUMMYFUNCTION("""COMPUTED_VALUE"""),"bye")</f>
        <v>bye</v>
      </c>
      <c r="L1426">
        <f>IFERROR(__xludf.DUMMYFUNCTION("""COMPUTED_VALUE"""),9999.0)</f>
        <v>9999</v>
      </c>
      <c r="M1426" s="124">
        <v>11.0</v>
      </c>
    </row>
    <row r="1427">
      <c r="A1427" s="151">
        <f>IFERROR(__xludf.DUMMYFUNCTION("""COMPUTED_VALUE"""),43779.14775225695)</f>
        <v>43779.14775</v>
      </c>
      <c r="B1427" t="str">
        <f>IFERROR(__xludf.DUMMYFUNCTION("""COMPUTED_VALUE"""),"Brad")</f>
        <v>Brad</v>
      </c>
      <c r="C1427" s="169" t="str">
        <f>IFERROR(__xludf.DUMMYFUNCTION("""COMPUTED_VALUE"""),"Colorado State")</f>
        <v>Colorado State</v>
      </c>
      <c r="D1427">
        <f>IFERROR(__xludf.DUMMYFUNCTION("""COMPUTED_VALUE"""),4.0)</f>
        <v>4</v>
      </c>
      <c r="E1427">
        <f>IFERROR(__xludf.DUMMYFUNCTION("""COMPUTED_VALUE"""),5.0)</f>
        <v>5</v>
      </c>
      <c r="F1427" t="str">
        <f>IFERROR(__xludf.DUMMYFUNCTION("""COMPUTED_VALUE"""),"NA")</f>
        <v>NA</v>
      </c>
      <c r="G1427" t="str">
        <f>IFERROR(__xludf.DUMMYFUNCTION("""COMPUTED_VALUE"""),"BYE")</f>
        <v>BYE</v>
      </c>
      <c r="I1427" t="str">
        <f>IFERROR(__xludf.DUMMYFUNCTION("""COMPUTED_VALUE"""),"bye")</f>
        <v>bye</v>
      </c>
      <c r="J1427" t="str">
        <f>IFERROR(__xludf.DUMMYFUNCTION("""COMPUTED_VALUE"""),"bye")</f>
        <v>bye</v>
      </c>
      <c r="L1427">
        <f>IFERROR(__xludf.DUMMYFUNCTION("""COMPUTED_VALUE"""),9999.0)</f>
        <v>9999</v>
      </c>
      <c r="M1427" s="124">
        <v>11.0</v>
      </c>
    </row>
    <row r="1428">
      <c r="A1428" s="151">
        <f>IFERROR(__xludf.DUMMYFUNCTION("""COMPUTED_VALUE"""),43779.14775225695)</f>
        <v>43779.14775</v>
      </c>
      <c r="B1428" t="str">
        <f>IFERROR(__xludf.DUMMYFUNCTION("""COMPUTED_VALUE"""),"Brad")</f>
        <v>Brad</v>
      </c>
      <c r="C1428" s="169" t="str">
        <f>IFERROR(__xludf.DUMMYFUNCTION("""COMPUTED_VALUE"""),"Oklahoma State")</f>
        <v>Oklahoma State</v>
      </c>
      <c r="D1428">
        <f>IFERROR(__xludf.DUMMYFUNCTION("""COMPUTED_VALUE"""),6.0)</f>
        <v>6</v>
      </c>
      <c r="E1428">
        <f>IFERROR(__xludf.DUMMYFUNCTION("""COMPUTED_VALUE"""),3.0)</f>
        <v>3</v>
      </c>
      <c r="F1428" t="str">
        <f>IFERROR(__xludf.DUMMYFUNCTION("""COMPUTED_VALUE"""),"NA")</f>
        <v>NA</v>
      </c>
      <c r="G1428" t="str">
        <f>IFERROR(__xludf.DUMMYFUNCTION("""COMPUTED_VALUE"""),"BYE")</f>
        <v>BYE</v>
      </c>
      <c r="I1428" t="str">
        <f>IFERROR(__xludf.DUMMYFUNCTION("""COMPUTED_VALUE"""),"bye")</f>
        <v>bye</v>
      </c>
      <c r="J1428" t="str">
        <f>IFERROR(__xludf.DUMMYFUNCTION("""COMPUTED_VALUE"""),"bye")</f>
        <v>bye</v>
      </c>
      <c r="L1428">
        <f>IFERROR(__xludf.DUMMYFUNCTION("""COMPUTED_VALUE"""),9999.0)</f>
        <v>9999</v>
      </c>
      <c r="M1428" s="124">
        <v>11.0</v>
      </c>
    </row>
    <row r="1429">
      <c r="A1429" s="151">
        <f>IFERROR(__xludf.DUMMYFUNCTION("""COMPUTED_VALUE"""),43779.14775225695)</f>
        <v>43779.14775</v>
      </c>
      <c r="B1429" t="str">
        <f>IFERROR(__xludf.DUMMYFUNCTION("""COMPUTED_VALUE"""),"Brad")</f>
        <v>Brad</v>
      </c>
      <c r="C1429" s="169" t="str">
        <f>IFERROR(__xludf.DUMMYFUNCTION("""COMPUTED_VALUE"""),"Utah")</f>
        <v>Utah</v>
      </c>
      <c r="D1429">
        <f>IFERROR(__xludf.DUMMYFUNCTION("""COMPUTED_VALUE"""),8.0)</f>
        <v>8</v>
      </c>
      <c r="E1429">
        <f>IFERROR(__xludf.DUMMYFUNCTION("""COMPUTED_VALUE"""),1.0)</f>
        <v>1</v>
      </c>
      <c r="F1429" t="str">
        <f>IFERROR(__xludf.DUMMYFUNCTION("""COMPUTED_VALUE"""),"NA")</f>
        <v>NA</v>
      </c>
      <c r="G1429" t="str">
        <f>IFERROR(__xludf.DUMMYFUNCTION("""COMPUTED_VALUE"""),"BYE")</f>
        <v>BYE</v>
      </c>
      <c r="I1429" t="str">
        <f>IFERROR(__xludf.DUMMYFUNCTION("""COMPUTED_VALUE"""),"bye")</f>
        <v>bye</v>
      </c>
      <c r="J1429" t="str">
        <f>IFERROR(__xludf.DUMMYFUNCTION("""COMPUTED_VALUE"""),"bye")</f>
        <v>bye</v>
      </c>
      <c r="L1429">
        <f>IFERROR(__xludf.DUMMYFUNCTION("""COMPUTED_VALUE"""),9999.0)</f>
        <v>9999</v>
      </c>
      <c r="M1429" s="124">
        <v>11.0</v>
      </c>
    </row>
    <row r="1430">
      <c r="A1430" s="151">
        <f>IFERROR(__xludf.DUMMYFUNCTION("""COMPUTED_VALUE"""),43779.14775225695)</f>
        <v>43779.14775</v>
      </c>
      <c r="B1430" t="str">
        <f>IFERROR(__xludf.DUMMYFUNCTION("""COMPUTED_VALUE"""),"Brad")</f>
        <v>Brad</v>
      </c>
      <c r="C1430" s="169" t="str">
        <f>IFERROR(__xludf.DUMMYFUNCTION("""COMPUTED_VALUE"""),"Indiana")</f>
        <v>Indiana</v>
      </c>
      <c r="D1430">
        <f>IFERROR(__xludf.DUMMYFUNCTION("""COMPUTED_VALUE"""),7.0)</f>
        <v>7</v>
      </c>
      <c r="E1430">
        <f>IFERROR(__xludf.DUMMYFUNCTION("""COMPUTED_VALUE"""),2.0)</f>
        <v>2</v>
      </c>
      <c r="F1430" t="str">
        <f>IFERROR(__xludf.DUMMYFUNCTION("""COMPUTED_VALUE"""),"NA")</f>
        <v>NA</v>
      </c>
      <c r="G1430" t="str">
        <f>IFERROR(__xludf.DUMMYFUNCTION("""COMPUTED_VALUE"""),"BYE")</f>
        <v>BYE</v>
      </c>
      <c r="I1430" t="str">
        <f>IFERROR(__xludf.DUMMYFUNCTION("""COMPUTED_VALUE"""),"bye")</f>
        <v>bye</v>
      </c>
      <c r="J1430" t="str">
        <f>IFERROR(__xludf.DUMMYFUNCTION("""COMPUTED_VALUE"""),"bye")</f>
        <v>bye</v>
      </c>
      <c r="L1430">
        <f>IFERROR(__xludf.DUMMYFUNCTION("""COMPUTED_VALUE"""),9999.0)</f>
        <v>9999</v>
      </c>
      <c r="M1430" s="124">
        <v>11.0</v>
      </c>
    </row>
    <row r="1431">
      <c r="A1431" s="200">
        <f>IFERROR(__xludf.DUMMYFUNCTION("""COMPUTED_VALUE"""),43779.14775225695)</f>
        <v>43779.14775</v>
      </c>
      <c r="B1431" t="str">
        <f>IFERROR(__xludf.DUMMYFUNCTION("""COMPUTED_VALUE"""),"Brad")</f>
        <v>Brad</v>
      </c>
      <c r="C1431" s="169" t="str">
        <f>IFERROR(__xludf.DUMMYFUNCTION("""COMPUTED_VALUE"""),"Memphis")</f>
        <v>Memphis</v>
      </c>
      <c r="D1431">
        <f>IFERROR(__xludf.DUMMYFUNCTION("""COMPUTED_VALUE"""),8.0)</f>
        <v>8</v>
      </c>
      <c r="E1431">
        <f>IFERROR(__xludf.DUMMYFUNCTION("""COMPUTED_VALUE"""),1.0)</f>
        <v>1</v>
      </c>
      <c r="F1431" t="str">
        <f>IFERROR(__xludf.DUMMYFUNCTION("""COMPUTED_VALUE"""),"NA")</f>
        <v>NA</v>
      </c>
      <c r="G1431" t="str">
        <f>IFERROR(__xludf.DUMMYFUNCTION("""COMPUTED_VALUE"""),"BYE")</f>
        <v>BYE</v>
      </c>
      <c r="I1431" t="str">
        <f>IFERROR(__xludf.DUMMYFUNCTION("""COMPUTED_VALUE"""),"bye")</f>
        <v>bye</v>
      </c>
      <c r="J1431" t="str">
        <f>IFERROR(__xludf.DUMMYFUNCTION("""COMPUTED_VALUE"""),"bye")</f>
        <v>bye</v>
      </c>
      <c r="L1431">
        <f>IFERROR(__xludf.DUMMYFUNCTION("""COMPUTED_VALUE"""),9999.0)</f>
        <v>9999</v>
      </c>
      <c r="M1431" s="124">
        <v>11.0</v>
      </c>
    </row>
    <row r="1432">
      <c r="A1432" s="151">
        <f>IFERROR(__xludf.DUMMYFUNCTION("""COMPUTED_VALUE"""),43779.14775225695)</f>
        <v>43779.14775</v>
      </c>
      <c r="B1432" t="str">
        <f>IFERROR(__xludf.DUMMYFUNCTION("""COMPUTED_VALUE"""),"Nick G.")</f>
        <v>Nick G.</v>
      </c>
      <c r="C1432" s="169" t="str">
        <f>IFERROR(__xludf.DUMMYFUNCTION("""COMPUTED_VALUE"""),"Ohio State")</f>
        <v>Ohio State</v>
      </c>
      <c r="D1432">
        <f>IFERROR(__xludf.DUMMYFUNCTION("""COMPUTED_VALUE"""),9.0)</f>
        <v>9</v>
      </c>
      <c r="E1432">
        <f>IFERROR(__xludf.DUMMYFUNCTION("""COMPUTED_VALUE"""),0.0)</f>
        <v>0</v>
      </c>
      <c r="F1432" t="str">
        <f>IFERROR(__xludf.DUMMYFUNCTION("""COMPUTED_VALUE"""),"FOX")</f>
        <v>FOX</v>
      </c>
      <c r="G1432" t="str">
        <f>IFERROR(__xludf.DUMMYFUNCTION("""COMPUTED_VALUE"""),"Maryland 14 at (4) Ohio State 73")</f>
        <v>Maryland 14 at (4) Ohio State 73</v>
      </c>
      <c r="H1432" t="str">
        <f>IFERROR(__xludf.DUMMYFUNCTION("""COMPUTED_VALUE"""),"FINAL")</f>
        <v>FINAL</v>
      </c>
      <c r="I1432" t="str">
        <f>IFERROR(__xludf.DUMMYFUNCTION("""COMPUTED_VALUE"""),"-42½")</f>
        <v>-42½</v>
      </c>
      <c r="J1432">
        <f>IFERROR(__xludf.DUMMYFUNCTION("""COMPUTED_VALUE"""),63.0)</f>
        <v>63</v>
      </c>
      <c r="K1432" t="str">
        <f>IFERROR(__xludf.DUMMYFUNCTION("""COMPUTED_VALUE"""),"Gary")</f>
        <v>Gary</v>
      </c>
      <c r="L1432" t="str">
        <f>IFERROR(__xludf.DUMMYFUNCTION("""COMPUTED_VALUE"""),"FINAL")</f>
        <v>FINAL</v>
      </c>
      <c r="M1432" s="124">
        <v>11.0</v>
      </c>
    </row>
    <row r="1433">
      <c r="A1433" s="151">
        <f>IFERROR(__xludf.DUMMYFUNCTION("""COMPUTED_VALUE"""),43779.14775225695)</f>
        <v>43779.14775</v>
      </c>
      <c r="B1433" t="str">
        <f>IFERROR(__xludf.DUMMYFUNCTION("""COMPUTED_VALUE"""),"Nick G.")</f>
        <v>Nick G.</v>
      </c>
      <c r="C1433" s="169" t="str">
        <f>IFERROR(__xludf.DUMMYFUNCTION("""COMPUTED_VALUE"""),"Stanford")</f>
        <v>Stanford</v>
      </c>
      <c r="D1433">
        <f>IFERROR(__xludf.DUMMYFUNCTION("""COMPUTED_VALUE"""),4.0)</f>
        <v>4</v>
      </c>
      <c r="E1433">
        <f>IFERROR(__xludf.DUMMYFUNCTION("""COMPUTED_VALUE"""),5.0)</f>
        <v>5</v>
      </c>
      <c r="F1433" t="str">
        <f>IFERROR(__xludf.DUMMYFUNCTION("""COMPUTED_VALUE"""),"Pac-12")</f>
        <v>Pac-12</v>
      </c>
      <c r="G1433" t="str">
        <f>IFERROR(__xludf.DUMMYFUNCTION("""COMPUTED_VALUE"""),"Stanford 13 at Colorado 16")</f>
        <v>Stanford 13 at Colorado 16</v>
      </c>
      <c r="H1433" t="str">
        <f>IFERROR(__xludf.DUMMYFUNCTION("""COMPUTED_VALUE"""),"FINAL")</f>
        <v>FINAL</v>
      </c>
      <c r="I1433" t="str">
        <f>IFERROR(__xludf.DUMMYFUNCTION("""COMPUTED_VALUE"""),"-3½")</f>
        <v>-3½</v>
      </c>
      <c r="J1433" t="str">
        <f>IFERROR(__xludf.DUMMYFUNCTION("""COMPUTED_VALUE"""),"54½")</f>
        <v>54½</v>
      </c>
      <c r="K1433" t="str">
        <f>IFERROR(__xludf.DUMMYFUNCTION("""COMPUTED_VALUE"""),"Jeannine")</f>
        <v>Jeannine</v>
      </c>
      <c r="L1433" t="str">
        <f>IFERROR(__xludf.DUMMYFUNCTION("""COMPUTED_VALUE"""),"FINAL")</f>
        <v>FINAL</v>
      </c>
      <c r="M1433" s="124">
        <v>11.0</v>
      </c>
    </row>
    <row r="1434">
      <c r="A1434" s="151">
        <f>IFERROR(__xludf.DUMMYFUNCTION("""COMPUTED_VALUE"""),43779.14775225695)</f>
        <v>43779.14775</v>
      </c>
      <c r="B1434" t="str">
        <f>IFERROR(__xludf.DUMMYFUNCTION("""COMPUTED_VALUE"""),"Nick G.")</f>
        <v>Nick G.</v>
      </c>
      <c r="C1434" s="169" t="str">
        <f>IFERROR(__xludf.DUMMYFUNCTION("""COMPUTED_VALUE"""),"Kansas State")</f>
        <v>Kansas State</v>
      </c>
      <c r="D1434">
        <f>IFERROR(__xludf.DUMMYFUNCTION("""COMPUTED_VALUE"""),6.0)</f>
        <v>6</v>
      </c>
      <c r="E1434">
        <f>IFERROR(__xludf.DUMMYFUNCTION("""COMPUTED_VALUE"""),3.0)</f>
        <v>3</v>
      </c>
      <c r="F1434" t="str">
        <f>IFERROR(__xludf.DUMMYFUNCTION("""COMPUTED_VALUE"""),"ESPN")</f>
        <v>ESPN</v>
      </c>
      <c r="G1434" t="str">
        <f>IFERROR(__xludf.DUMMYFUNCTION("""COMPUTED_VALUE"""),"(22) Kansas State 24 at Texas 27")</f>
        <v>(22) Kansas State 24 at Texas 27</v>
      </c>
      <c r="H1434" t="str">
        <f>IFERROR(__xludf.DUMMYFUNCTION("""COMPUTED_VALUE"""),"FINAL")</f>
        <v>FINAL</v>
      </c>
      <c r="I1434" t="str">
        <f>IFERROR(__xludf.DUMMYFUNCTION("""COMPUTED_VALUE"""),"6½")</f>
        <v>6½</v>
      </c>
      <c r="J1434">
        <f>IFERROR(__xludf.DUMMYFUNCTION("""COMPUTED_VALUE"""),59.0)</f>
        <v>59</v>
      </c>
      <c r="K1434" t="str">
        <f>IFERROR(__xludf.DUMMYFUNCTION("""COMPUTED_VALUE"""),"Adam")</f>
        <v>Adam</v>
      </c>
      <c r="L1434" t="str">
        <f>IFERROR(__xludf.DUMMYFUNCTION("""COMPUTED_VALUE"""),"FINAL")</f>
        <v>FINAL</v>
      </c>
      <c r="M1434" s="124">
        <v>11.0</v>
      </c>
    </row>
    <row r="1435">
      <c r="A1435" s="151">
        <f>IFERROR(__xludf.DUMMYFUNCTION("""COMPUTED_VALUE"""),43779.14775225695)</f>
        <v>43779.14775</v>
      </c>
      <c r="B1435" t="str">
        <f>IFERROR(__xludf.DUMMYFUNCTION("""COMPUTED_VALUE"""),"Nick G.")</f>
        <v>Nick G.</v>
      </c>
      <c r="C1435" s="169" t="str">
        <f>IFERROR(__xludf.DUMMYFUNCTION("""COMPUTED_VALUE"""),"UConn")</f>
        <v>UConn</v>
      </c>
      <c r="D1435">
        <f>IFERROR(__xludf.DUMMYFUNCTION("""COMPUTED_VALUE"""),2.0)</f>
        <v>2</v>
      </c>
      <c r="E1435">
        <f>IFERROR(__xludf.DUMMYFUNCTION("""COMPUTED_VALUE"""),8.0)</f>
        <v>8</v>
      </c>
      <c r="F1435" t="str">
        <f>IFERROR(__xludf.DUMMYFUNCTION("""COMPUTED_VALUE"""),"CBSSN")</f>
        <v>CBSSN</v>
      </c>
      <c r="G1435" t="str">
        <f>IFERROR(__xludf.DUMMYFUNCTION("""COMPUTED_VALUE"""),"UConn 3 at (17) Cincinnati 48")</f>
        <v>UConn 3 at (17) Cincinnati 48</v>
      </c>
      <c r="H1435" t="str">
        <f>IFERROR(__xludf.DUMMYFUNCTION("""COMPUTED_VALUE"""),"FINAL")</f>
        <v>FINAL</v>
      </c>
      <c r="I1435">
        <f>IFERROR(__xludf.DUMMYFUNCTION("""COMPUTED_VALUE"""),35.0)</f>
        <v>35</v>
      </c>
      <c r="J1435" t="str">
        <f>IFERROR(__xludf.DUMMYFUNCTION("""COMPUTED_VALUE"""),"56½")</f>
        <v>56½</v>
      </c>
      <c r="K1435" t="str">
        <f>IFERROR(__xludf.DUMMYFUNCTION("""COMPUTED_VALUE"""),"Vu")</f>
        <v>Vu</v>
      </c>
      <c r="L1435" t="str">
        <f>IFERROR(__xludf.DUMMYFUNCTION("""COMPUTED_VALUE"""),"FINAL")</f>
        <v>FINAL</v>
      </c>
      <c r="M1435" s="124">
        <v>11.0</v>
      </c>
    </row>
    <row r="1436">
      <c r="A1436" s="151">
        <f>IFERROR(__xludf.DUMMYFUNCTION("""COMPUTED_VALUE"""),43779.14775225695)</f>
        <v>43779.14775</v>
      </c>
      <c r="B1436" t="str">
        <f>IFERROR(__xludf.DUMMYFUNCTION("""COMPUTED_VALUE"""),"Nick G.")</f>
        <v>Nick G.</v>
      </c>
      <c r="C1436" s="169" t="str">
        <f>IFERROR(__xludf.DUMMYFUNCTION("""COMPUTED_VALUE"""),"Troy")</f>
        <v>Troy</v>
      </c>
      <c r="D1436">
        <f>IFERROR(__xludf.DUMMYFUNCTION("""COMPUTED_VALUE"""),4.0)</f>
        <v>4</v>
      </c>
      <c r="E1436">
        <f>IFERROR(__xludf.DUMMYFUNCTION("""COMPUTED_VALUE"""),5.0)</f>
        <v>5</v>
      </c>
      <c r="F1436" t="str">
        <f>IFERROR(__xludf.DUMMYFUNCTION("""COMPUTED_VALUE"""),"espn+ Video")</f>
        <v>espn+ Video</v>
      </c>
      <c r="G1436" t="str">
        <f>IFERROR(__xludf.DUMMYFUNCTION("""COMPUTED_VALUE"""),"Georgia Southern 28 at Troy 49")</f>
        <v>Georgia Southern 28 at Troy 49</v>
      </c>
      <c r="H1436" t="str">
        <f>IFERROR(__xludf.DUMMYFUNCTION("""COMPUTED_VALUE"""),"FINAL")</f>
        <v>FINAL</v>
      </c>
      <c r="I1436">
        <f>IFERROR(__xludf.DUMMYFUNCTION("""COMPUTED_VALUE"""),3.0)</f>
        <v>3</v>
      </c>
      <c r="J1436">
        <f>IFERROR(__xludf.DUMMYFUNCTION("""COMPUTED_VALUE"""),56.0)</f>
        <v>56</v>
      </c>
      <c r="K1436" t="str">
        <f>IFERROR(__xludf.DUMMYFUNCTION("""COMPUTED_VALUE"""),"Janice/Mike")</f>
        <v>Janice/Mike</v>
      </c>
      <c r="L1436" t="str">
        <f>IFERROR(__xludf.DUMMYFUNCTION("""COMPUTED_VALUE"""),"FINAL")</f>
        <v>FINAL</v>
      </c>
      <c r="M1436" s="124">
        <v>11.0</v>
      </c>
    </row>
    <row r="1437">
      <c r="A1437" s="151">
        <f>IFERROR(__xludf.DUMMYFUNCTION("""COMPUTED_VALUE"""),43779.14775225695)</f>
        <v>43779.14775</v>
      </c>
      <c r="B1437" t="str">
        <f>IFERROR(__xludf.DUMMYFUNCTION("""COMPUTED_VALUE"""),"Nick G.")</f>
        <v>Nick G.</v>
      </c>
      <c r="C1437" s="169" t="str">
        <f>IFERROR(__xludf.DUMMYFUNCTION("""COMPUTED_VALUE"""),"Florida Atlantic")</f>
        <v>Florida Atlantic</v>
      </c>
      <c r="D1437">
        <f>IFERROR(__xludf.DUMMYFUNCTION("""COMPUTED_VALUE"""),7.0)</f>
        <v>7</v>
      </c>
      <c r="E1437">
        <f>IFERROR(__xludf.DUMMYFUNCTION("""COMPUTED_VALUE"""),3.0)</f>
        <v>3</v>
      </c>
      <c r="F1437" t="str">
        <f>IFERROR(__xludf.DUMMYFUNCTION("""COMPUTED_VALUE"""),"Stadium Video")</f>
        <v>Stadium Video</v>
      </c>
      <c r="G1437" t="str">
        <f>IFERROR(__xludf.DUMMYFUNCTION("""COMPUTED_VALUE"""),"Florida Intl 7 at Florida Atlantic 37")</f>
        <v>Florida Intl 7 at Florida Atlantic 37</v>
      </c>
      <c r="H1437" t="str">
        <f>IFERROR(__xludf.DUMMYFUNCTION("""COMPUTED_VALUE"""),"FINAL")</f>
        <v>FINAL</v>
      </c>
      <c r="I1437">
        <f>IFERROR(__xludf.DUMMYFUNCTION("""COMPUTED_VALUE"""),-10.0)</f>
        <v>-10</v>
      </c>
      <c r="J1437" t="str">
        <f>IFERROR(__xludf.DUMMYFUNCTION("""COMPUTED_VALUE"""),"60½")</f>
        <v>60½</v>
      </c>
      <c r="K1437" t="str">
        <f>IFERROR(__xludf.DUMMYFUNCTION("""COMPUTED_VALUE"""),"Adam")</f>
        <v>Adam</v>
      </c>
      <c r="L1437" t="str">
        <f>IFERROR(__xludf.DUMMYFUNCTION("""COMPUTED_VALUE"""),"FINAL")</f>
        <v>FINAL</v>
      </c>
      <c r="M1437" s="124">
        <v>11.0</v>
      </c>
    </row>
    <row r="1438">
      <c r="A1438" s="151">
        <f>IFERROR(__xludf.DUMMYFUNCTION("""COMPUTED_VALUE"""),43779.14775225695)</f>
        <v>43779.14775</v>
      </c>
      <c r="B1438" t="str">
        <f>IFERROR(__xludf.DUMMYFUNCTION("""COMPUTED_VALUE"""),"Nick G.")</f>
        <v>Nick G.</v>
      </c>
      <c r="C1438" s="169" t="str">
        <f>IFERROR(__xludf.DUMMYFUNCTION("""COMPUTED_VALUE"""),"NC State")</f>
        <v>NC State</v>
      </c>
      <c r="D1438">
        <f>IFERROR(__xludf.DUMMYFUNCTION("""COMPUTED_VALUE"""),4.0)</f>
        <v>4</v>
      </c>
      <c r="E1438">
        <f>IFERROR(__xludf.DUMMYFUNCTION("""COMPUTED_VALUE"""),5.0)</f>
        <v>5</v>
      </c>
      <c r="F1438" t="str">
        <f>IFERROR(__xludf.DUMMYFUNCTION("""COMPUTED_VALUE"""),"ABC")</f>
        <v>ABC</v>
      </c>
      <c r="G1438" t="str">
        <f>IFERROR(__xludf.DUMMYFUNCTION("""COMPUTED_VALUE"""),"(3) Clemson 55 at NC State 10")</f>
        <v>(3) Clemson 55 at NC State 10</v>
      </c>
      <c r="H1438" t="str">
        <f>IFERROR(__xludf.DUMMYFUNCTION("""COMPUTED_VALUE"""),"FINAL")</f>
        <v>FINAL</v>
      </c>
      <c r="I1438">
        <f>IFERROR(__xludf.DUMMYFUNCTION("""COMPUTED_VALUE"""),32.0)</f>
        <v>32</v>
      </c>
      <c r="J1438">
        <f>IFERROR(__xludf.DUMMYFUNCTION("""COMPUTED_VALUE"""),54.0)</f>
        <v>54</v>
      </c>
      <c r="K1438" t="str">
        <f>IFERROR(__xludf.DUMMYFUNCTION("""COMPUTED_VALUE"""),"Nick A.")</f>
        <v>Nick A.</v>
      </c>
      <c r="L1438" t="str">
        <f>IFERROR(__xludf.DUMMYFUNCTION("""COMPUTED_VALUE"""),"FINAL")</f>
        <v>FINAL</v>
      </c>
      <c r="M1438" s="124">
        <v>11.0</v>
      </c>
    </row>
    <row r="1439">
      <c r="A1439" s="151">
        <f>IFERROR(__xludf.DUMMYFUNCTION("""COMPUTED_VALUE"""),43779.14775225695)</f>
        <v>43779.14775</v>
      </c>
      <c r="B1439" t="str">
        <f>IFERROR(__xludf.DUMMYFUNCTION("""COMPUTED_VALUE"""),"Nick G.")</f>
        <v>Nick G.</v>
      </c>
      <c r="C1439" s="169" t="str">
        <f>IFERROR(__xludf.DUMMYFUNCTION("""COMPUTED_VALUE"""),"Wyoming")</f>
        <v>Wyoming</v>
      </c>
      <c r="D1439">
        <f>IFERROR(__xludf.DUMMYFUNCTION("""COMPUTED_VALUE"""),6.0)</f>
        <v>6</v>
      </c>
      <c r="E1439">
        <f>IFERROR(__xludf.DUMMYFUNCTION("""COMPUTED_VALUE"""),3.0)</f>
        <v>3</v>
      </c>
      <c r="F1439" t="str">
        <f>IFERROR(__xludf.DUMMYFUNCTION("""COMPUTED_VALUE"""),"ESPN")</f>
        <v>ESPN</v>
      </c>
      <c r="G1439" t="str">
        <f>IFERROR(__xludf.DUMMYFUNCTION("""COMPUTED_VALUE"""),"Wyoming 17 at (21) Boise State 20")</f>
        <v>Wyoming 17 at (21) Boise State 20</v>
      </c>
      <c r="H1439" t="str">
        <f>IFERROR(__xludf.DUMMYFUNCTION("""COMPUTED_VALUE"""),"FINAL - OT")</f>
        <v>FINAL - OT</v>
      </c>
      <c r="I1439" t="str">
        <f>IFERROR(__xludf.DUMMYFUNCTION("""COMPUTED_VALUE"""),"12½")</f>
        <v>12½</v>
      </c>
      <c r="J1439" t="str">
        <f>IFERROR(__xludf.DUMMYFUNCTION("""COMPUTED_VALUE"""),"48½")</f>
        <v>48½</v>
      </c>
      <c r="K1439" t="str">
        <f>IFERROR(__xludf.DUMMYFUNCTION("""COMPUTED_VALUE"""),"Janice/Mike")</f>
        <v>Janice/Mike</v>
      </c>
      <c r="L1439" t="str">
        <f>IFERROR(__xludf.DUMMYFUNCTION("""COMPUTED_VALUE"""),"FINAL - OT")</f>
        <v>FINAL - OT</v>
      </c>
      <c r="M1439" s="124">
        <v>11.0</v>
      </c>
    </row>
    <row r="1440">
      <c r="A1440" s="151">
        <f>IFERROR(__xludf.DUMMYFUNCTION("""COMPUTED_VALUE"""),43779.14775225695)</f>
        <v>43779.14775</v>
      </c>
      <c r="B1440" t="str">
        <f>IFERROR(__xludf.DUMMYFUNCTION("""COMPUTED_VALUE"""),"Nick G.")</f>
        <v>Nick G.</v>
      </c>
      <c r="C1440" s="169" t="str">
        <f>IFERROR(__xludf.DUMMYFUNCTION("""COMPUTED_VALUE"""),"Central Michigan")</f>
        <v>Central Michigan</v>
      </c>
      <c r="D1440">
        <f>IFERROR(__xludf.DUMMYFUNCTION("""COMPUTED_VALUE"""),6.0)</f>
        <v>6</v>
      </c>
      <c r="E1440">
        <f>IFERROR(__xludf.DUMMYFUNCTION("""COMPUTED_VALUE"""),4.0)</f>
        <v>4</v>
      </c>
      <c r="F1440" t="str">
        <f>IFERROR(__xludf.DUMMYFUNCTION("""COMPUTED_VALUE"""),"NA")</f>
        <v>NA</v>
      </c>
      <c r="G1440" t="str">
        <f>IFERROR(__xludf.DUMMYFUNCTION("""COMPUTED_VALUE"""),"BYE")</f>
        <v>BYE</v>
      </c>
      <c r="I1440" t="str">
        <f>IFERROR(__xludf.DUMMYFUNCTION("""COMPUTED_VALUE"""),"bye")</f>
        <v>bye</v>
      </c>
      <c r="J1440" t="str">
        <f>IFERROR(__xludf.DUMMYFUNCTION("""COMPUTED_VALUE"""),"bye")</f>
        <v>bye</v>
      </c>
      <c r="L1440">
        <f>IFERROR(__xludf.DUMMYFUNCTION("""COMPUTED_VALUE"""),9999.0)</f>
        <v>9999</v>
      </c>
      <c r="M1440" s="124">
        <v>11.0</v>
      </c>
    </row>
    <row r="1441">
      <c r="A1441" s="200">
        <f>IFERROR(__xludf.DUMMYFUNCTION("""COMPUTED_VALUE"""),43779.14775225695)</f>
        <v>43779.14775</v>
      </c>
      <c r="B1441" t="str">
        <f>IFERROR(__xludf.DUMMYFUNCTION("""COMPUTED_VALUE"""),"Nick G.")</f>
        <v>Nick G.</v>
      </c>
      <c r="C1441" s="169" t="str">
        <f>IFERROR(__xludf.DUMMYFUNCTION("""COMPUTED_VALUE"""),"Auburn")</f>
        <v>Auburn</v>
      </c>
      <c r="D1441">
        <f>IFERROR(__xludf.DUMMYFUNCTION("""COMPUTED_VALUE"""),7.0)</f>
        <v>7</v>
      </c>
      <c r="E1441">
        <f>IFERROR(__xludf.DUMMYFUNCTION("""COMPUTED_VALUE"""),2.0)</f>
        <v>2</v>
      </c>
      <c r="F1441" t="str">
        <f>IFERROR(__xludf.DUMMYFUNCTION("""COMPUTED_VALUE"""),"NA")</f>
        <v>NA</v>
      </c>
      <c r="G1441" t="str">
        <f>IFERROR(__xludf.DUMMYFUNCTION("""COMPUTED_VALUE"""),"BYE")</f>
        <v>BYE</v>
      </c>
      <c r="I1441" t="str">
        <f>IFERROR(__xludf.DUMMYFUNCTION("""COMPUTED_VALUE"""),"bye")</f>
        <v>bye</v>
      </c>
      <c r="J1441" t="str">
        <f>IFERROR(__xludf.DUMMYFUNCTION("""COMPUTED_VALUE"""),"bye")</f>
        <v>bye</v>
      </c>
      <c r="L1441">
        <f>IFERROR(__xludf.DUMMYFUNCTION("""COMPUTED_VALUE"""),9999.0)</f>
        <v>9999</v>
      </c>
      <c r="M1441" s="124">
        <v>11.0</v>
      </c>
    </row>
    <row r="1442">
      <c r="A1442" s="151">
        <f>IFERROR(__xludf.DUMMYFUNCTION("""COMPUTED_VALUE"""),43786.147747511575)</f>
        <v>43786.14775</v>
      </c>
      <c r="B1442" t="str">
        <f>IFERROR(__xludf.DUMMYFUNCTION("""COMPUTED_VALUE"""),"DavEmily")</f>
        <v>DavEmily</v>
      </c>
      <c r="C1442" s="169" t="str">
        <f>IFERROR(__xludf.DUMMYFUNCTION("""COMPUTED_VALUE"""),"Fresno State")</f>
        <v>Fresno State</v>
      </c>
      <c r="D1442">
        <f>IFERROR(__xludf.DUMMYFUNCTION("""COMPUTED_VALUE"""),4.0)</f>
        <v>4</v>
      </c>
      <c r="E1442">
        <f>IFERROR(__xludf.DUMMYFUNCTION("""COMPUTED_VALUE"""),6.0)</f>
        <v>6</v>
      </c>
      <c r="F1442" t="str">
        <f>IFERROR(__xludf.DUMMYFUNCTION("""COMPUTED_VALUE"""),"ESPN2")</f>
        <v>ESPN2</v>
      </c>
      <c r="G1442" t="str">
        <f>IFERROR(__xludf.DUMMYFUNCTION("""COMPUTED_VALUE"""),"Fresno State 7 at San Diego State 17")</f>
        <v>Fresno State 7 at San Diego State 17</v>
      </c>
      <c r="H1442" t="str">
        <f>IFERROR(__xludf.DUMMYFUNCTION("""COMPUTED_VALUE"""),"FINAL")</f>
        <v>FINAL</v>
      </c>
      <c r="I1442" t="str">
        <f>IFERROR(__xludf.DUMMYFUNCTION("""COMPUTED_VALUE"""),"1½")</f>
        <v>1½</v>
      </c>
      <c r="J1442" t="str">
        <f>IFERROR(__xludf.DUMMYFUNCTION("""COMPUTED_VALUE"""),"44½")</f>
        <v>44½</v>
      </c>
      <c r="K1442" t="str">
        <f>IFERROR(__xludf.DUMMYFUNCTION("""COMPUTED_VALUE"""),"Nick A.")</f>
        <v>Nick A.</v>
      </c>
      <c r="L1442" t="str">
        <f>IFERROR(__xludf.DUMMYFUNCTION("""COMPUTED_VALUE"""),"FINAL")</f>
        <v>FINAL</v>
      </c>
      <c r="M1442" s="124">
        <v>12.0</v>
      </c>
    </row>
    <row r="1443">
      <c r="A1443" s="151">
        <f>IFERROR(__xludf.DUMMYFUNCTION("""COMPUTED_VALUE"""),43786.147747511575)</f>
        <v>43786.14775</v>
      </c>
      <c r="B1443" t="str">
        <f>IFERROR(__xludf.DUMMYFUNCTION("""COMPUTED_VALUE"""),"DavEmily")</f>
        <v>DavEmily</v>
      </c>
      <c r="C1443" s="169" t="str">
        <f>IFERROR(__xludf.DUMMYFUNCTION("""COMPUTED_VALUE"""),"Alabama")</f>
        <v>Alabama</v>
      </c>
      <c r="D1443">
        <f>IFERROR(__xludf.DUMMYFUNCTION("""COMPUTED_VALUE"""),9.0)</f>
        <v>9</v>
      </c>
      <c r="E1443">
        <f>IFERROR(__xludf.DUMMYFUNCTION("""COMPUTED_VALUE"""),1.0)</f>
        <v>1</v>
      </c>
      <c r="F1443" t="str">
        <f>IFERROR(__xludf.DUMMYFUNCTION("""COMPUTED_VALUE"""),"ESPN")</f>
        <v>ESPN</v>
      </c>
      <c r="G1443" t="str">
        <f>IFERROR(__xludf.DUMMYFUNCTION("""COMPUTED_VALUE"""),"(4) Alabama 38 at Mississippi State 7")</f>
        <v>(4) Alabama 38 at Mississippi State 7</v>
      </c>
      <c r="H1443" t="str">
        <f>IFERROR(__xludf.DUMMYFUNCTION("""COMPUTED_VALUE"""),"FINAL")</f>
        <v>FINAL</v>
      </c>
      <c r="I1443">
        <f>IFERROR(__xludf.DUMMYFUNCTION("""COMPUTED_VALUE"""),-21.0)</f>
        <v>-21</v>
      </c>
      <c r="J1443" t="str">
        <f>IFERROR(__xludf.DUMMYFUNCTION("""COMPUTED_VALUE"""),"62½")</f>
        <v>62½</v>
      </c>
      <c r="K1443" t="str">
        <f>IFERROR(__xludf.DUMMYFUNCTION("""COMPUTED_VALUE"""),"Jeannine")</f>
        <v>Jeannine</v>
      </c>
      <c r="L1443" t="str">
        <f>IFERROR(__xludf.DUMMYFUNCTION("""COMPUTED_VALUE"""),"FINAL")</f>
        <v>FINAL</v>
      </c>
      <c r="M1443" s="124">
        <v>12.0</v>
      </c>
    </row>
    <row r="1444">
      <c r="A1444" s="151">
        <f>IFERROR(__xludf.DUMMYFUNCTION("""COMPUTED_VALUE"""),43786.147747511575)</f>
        <v>43786.14775</v>
      </c>
      <c r="B1444" t="str">
        <f>IFERROR(__xludf.DUMMYFUNCTION("""COMPUTED_VALUE"""),"DavEmily")</f>
        <v>DavEmily</v>
      </c>
      <c r="C1444" s="169" t="str">
        <f>IFERROR(__xludf.DUMMYFUNCTION("""COMPUTED_VALUE"""),"Nebraska")</f>
        <v>Nebraska</v>
      </c>
      <c r="D1444">
        <f>IFERROR(__xludf.DUMMYFUNCTION("""COMPUTED_VALUE"""),4.0)</f>
        <v>4</v>
      </c>
      <c r="E1444">
        <f>IFERROR(__xludf.DUMMYFUNCTION("""COMPUTED_VALUE"""),6.0)</f>
        <v>6</v>
      </c>
      <c r="F1444" t="str">
        <f>IFERROR(__xludf.DUMMYFUNCTION("""COMPUTED_VALUE"""),"BTN")</f>
        <v>BTN</v>
      </c>
      <c r="G1444" t="str">
        <f>IFERROR(__xludf.DUMMYFUNCTION("""COMPUTED_VALUE"""),"(15) Wisconsin 37 at Nebraska 21")</f>
        <v>(15) Wisconsin 37 at Nebraska 21</v>
      </c>
      <c r="H1444" t="str">
        <f>IFERROR(__xludf.DUMMYFUNCTION("""COMPUTED_VALUE"""),"FINAL")</f>
        <v>FINAL</v>
      </c>
      <c r="I1444" t="str">
        <f>IFERROR(__xludf.DUMMYFUNCTION("""COMPUTED_VALUE"""),"14½")</f>
        <v>14½</v>
      </c>
      <c r="J1444" t="str">
        <f>IFERROR(__xludf.DUMMYFUNCTION("""COMPUTED_VALUE"""),"51½")</f>
        <v>51½</v>
      </c>
      <c r="K1444" t="str">
        <f>IFERROR(__xludf.DUMMYFUNCTION("""COMPUTED_VALUE"""),"Janice/Mike")</f>
        <v>Janice/Mike</v>
      </c>
      <c r="L1444" t="str">
        <f>IFERROR(__xludf.DUMMYFUNCTION("""COMPUTED_VALUE"""),"FINAL")</f>
        <v>FINAL</v>
      </c>
      <c r="M1444" s="124">
        <v>12.0</v>
      </c>
    </row>
    <row r="1445">
      <c r="A1445" s="151">
        <f>IFERROR(__xludf.DUMMYFUNCTION("""COMPUTED_VALUE"""),43786.147747511575)</f>
        <v>43786.14775</v>
      </c>
      <c r="B1445" t="str">
        <f>IFERROR(__xludf.DUMMYFUNCTION("""COMPUTED_VALUE"""),"DavEmily")</f>
        <v>DavEmily</v>
      </c>
      <c r="C1445" s="169" t="str">
        <f>IFERROR(__xludf.DUMMYFUNCTION("""COMPUTED_VALUE"""),"Notre Dame")</f>
        <v>Notre Dame</v>
      </c>
      <c r="D1445">
        <f>IFERROR(__xludf.DUMMYFUNCTION("""COMPUTED_VALUE"""),8.0)</f>
        <v>8</v>
      </c>
      <c r="E1445">
        <f>IFERROR(__xludf.DUMMYFUNCTION("""COMPUTED_VALUE"""),2.0)</f>
        <v>2</v>
      </c>
      <c r="F1445" t="str">
        <f>IFERROR(__xludf.DUMMYFUNCTION("""COMPUTED_VALUE"""),"NBC")</f>
        <v>NBC</v>
      </c>
      <c r="G1445" t="str">
        <f>IFERROR(__xludf.DUMMYFUNCTION("""COMPUTED_VALUE"""),"(21) Navy 20 at (16) Notre Dame 52")</f>
        <v>(21) Navy 20 at (16) Notre Dame 52</v>
      </c>
      <c r="H1445" t="str">
        <f>IFERROR(__xludf.DUMMYFUNCTION("""COMPUTED_VALUE"""),"FINAL")</f>
        <v>FINAL</v>
      </c>
      <c r="I1445" t="str">
        <f>IFERROR(__xludf.DUMMYFUNCTION("""COMPUTED_VALUE"""),"-9½")</f>
        <v>-9½</v>
      </c>
      <c r="J1445">
        <f>IFERROR(__xludf.DUMMYFUNCTION("""COMPUTED_VALUE"""),54.0)</f>
        <v>54</v>
      </c>
      <c r="K1445" t="str">
        <f>IFERROR(__xludf.DUMMYFUNCTION("""COMPUTED_VALUE"""),"Janice/Mike")</f>
        <v>Janice/Mike</v>
      </c>
      <c r="L1445" t="str">
        <f>IFERROR(__xludf.DUMMYFUNCTION("""COMPUTED_VALUE"""),"FINAL")</f>
        <v>FINAL</v>
      </c>
      <c r="M1445" s="124">
        <v>12.0</v>
      </c>
    </row>
    <row r="1446">
      <c r="A1446" s="151">
        <f>IFERROR(__xludf.DUMMYFUNCTION("""COMPUTED_VALUE"""),43786.147747511575)</f>
        <v>43786.14775</v>
      </c>
      <c r="B1446" t="str">
        <f>IFERROR(__xludf.DUMMYFUNCTION("""COMPUTED_VALUE"""),"DavEmily")</f>
        <v>DavEmily</v>
      </c>
      <c r="C1446" s="169" t="str">
        <f>IFERROR(__xludf.DUMMYFUNCTION("""COMPUTED_VALUE"""),"Coastal Carolina")</f>
        <v>Coastal Carolina</v>
      </c>
      <c r="D1446">
        <f>IFERROR(__xludf.DUMMYFUNCTION("""COMPUTED_VALUE"""),4.0)</f>
        <v>4</v>
      </c>
      <c r="E1446">
        <f>IFERROR(__xludf.DUMMYFUNCTION("""COMPUTED_VALUE"""),6.0)</f>
        <v>6</v>
      </c>
      <c r="F1446" t="str">
        <f>IFERROR(__xludf.DUMMYFUNCTION("""COMPUTED_VALUE"""),"espn+ Video")</f>
        <v>espn+ Video</v>
      </c>
      <c r="G1446" t="str">
        <f>IFERROR(__xludf.DUMMYFUNCTION("""COMPUTED_VALUE"""),"Coastal Carolina 27 at Arkansas State 28")</f>
        <v>Coastal Carolina 27 at Arkansas State 28</v>
      </c>
      <c r="H1446" t="str">
        <f>IFERROR(__xludf.DUMMYFUNCTION("""COMPUTED_VALUE"""),"FINAL")</f>
        <v>FINAL</v>
      </c>
      <c r="I1446" t="str">
        <f>IFERROR(__xludf.DUMMYFUNCTION("""COMPUTED_VALUE"""),"12½")</f>
        <v>12½</v>
      </c>
      <c r="J1446" t="str">
        <f>IFERROR(__xludf.DUMMYFUNCTION("""COMPUTED_VALUE"""),"63½")</f>
        <v>63½</v>
      </c>
      <c r="K1446" t="str">
        <f>IFERROR(__xludf.DUMMYFUNCTION("""COMPUTED_VALUE"""),"Nico")</f>
        <v>Nico</v>
      </c>
      <c r="L1446" t="str">
        <f>IFERROR(__xludf.DUMMYFUNCTION("""COMPUTED_VALUE"""),"FINAL")</f>
        <v>FINAL</v>
      </c>
      <c r="M1446" s="124">
        <v>12.0</v>
      </c>
    </row>
    <row r="1447">
      <c r="A1447" s="151">
        <f>IFERROR(__xludf.DUMMYFUNCTION("""COMPUTED_VALUE"""),43786.147747511575)</f>
        <v>43786.14775</v>
      </c>
      <c r="B1447" t="str">
        <f>IFERROR(__xludf.DUMMYFUNCTION("""COMPUTED_VALUE"""),"DavEmily")</f>
        <v>DavEmily</v>
      </c>
      <c r="C1447" s="169" t="str">
        <f>IFERROR(__xludf.DUMMYFUNCTION("""COMPUTED_VALUE"""),"Ball State")</f>
        <v>Ball State</v>
      </c>
      <c r="D1447">
        <f>IFERROR(__xludf.DUMMYFUNCTION("""COMPUTED_VALUE"""),4.0)</f>
        <v>4</v>
      </c>
      <c r="E1447">
        <f>IFERROR(__xludf.DUMMYFUNCTION("""COMPUTED_VALUE"""),6.0)</f>
        <v>6</v>
      </c>
      <c r="F1447" t="str">
        <f>IFERROR(__xludf.DUMMYFUNCTION("""COMPUTED_VALUE"""),"CBSSN")</f>
        <v>CBSSN</v>
      </c>
      <c r="G1447" t="str">
        <f>IFERROR(__xludf.DUMMYFUNCTION("""COMPUTED_VALUE"""),"Central Michigan 45 at Ball State 44")</f>
        <v>Central Michigan 45 at Ball State 44</v>
      </c>
      <c r="H1447" t="str">
        <f>IFERROR(__xludf.DUMMYFUNCTION("""COMPUTED_VALUE"""),"FINAL")</f>
        <v>FINAL</v>
      </c>
      <c r="I1447" t="str">
        <f>IFERROR(__xludf.DUMMYFUNCTION("""COMPUTED_VALUE"""),"-2½")</f>
        <v>-2½</v>
      </c>
      <c r="J1447">
        <f>IFERROR(__xludf.DUMMYFUNCTION("""COMPUTED_VALUE"""),58.0)</f>
        <v>58</v>
      </c>
      <c r="K1447" t="str">
        <f>IFERROR(__xludf.DUMMYFUNCTION("""COMPUTED_VALUE"""),"Nick G.")</f>
        <v>Nick G.</v>
      </c>
      <c r="L1447" t="str">
        <f>IFERROR(__xludf.DUMMYFUNCTION("""COMPUTED_VALUE"""),"FINAL")</f>
        <v>FINAL</v>
      </c>
      <c r="M1447" s="124">
        <v>12.0</v>
      </c>
    </row>
    <row r="1448">
      <c r="A1448" s="151">
        <f>IFERROR(__xludf.DUMMYFUNCTION("""COMPUTED_VALUE"""),43786.147747511575)</f>
        <v>43786.14775</v>
      </c>
      <c r="B1448" t="str">
        <f>IFERROR(__xludf.DUMMYFUNCTION("""COMPUTED_VALUE"""),"DavEmily")</f>
        <v>DavEmily</v>
      </c>
      <c r="C1448" s="169" t="str">
        <f>IFERROR(__xludf.DUMMYFUNCTION("""COMPUTED_VALUE"""),"Virginia Tech")</f>
        <v>Virginia Tech</v>
      </c>
      <c r="D1448">
        <f>IFERROR(__xludf.DUMMYFUNCTION("""COMPUTED_VALUE"""),7.0)</f>
        <v>7</v>
      </c>
      <c r="E1448">
        <f>IFERROR(__xludf.DUMMYFUNCTION("""COMPUTED_VALUE"""),3.0)</f>
        <v>3</v>
      </c>
      <c r="F1448" t="str">
        <f>IFERROR(__xludf.DUMMYFUNCTION("""COMPUTED_VALUE"""),"ACC RSN")</f>
        <v>ACC RSN</v>
      </c>
      <c r="G1448" t="str">
        <f>IFERROR(__xludf.DUMMYFUNCTION("""COMPUTED_VALUE"""),"Virginia Tech 45 at Georgia Tech 0")</f>
        <v>Virginia Tech 45 at Georgia Tech 0</v>
      </c>
      <c r="H1448" t="str">
        <f>IFERROR(__xludf.DUMMYFUNCTION("""COMPUTED_VALUE"""),"FINAL")</f>
        <v>FINAL</v>
      </c>
      <c r="I1448" t="str">
        <f>IFERROR(__xludf.DUMMYFUNCTION("""COMPUTED_VALUE"""),"-5½")</f>
        <v>-5½</v>
      </c>
      <c r="J1448" t="str">
        <f>IFERROR(__xludf.DUMMYFUNCTION("""COMPUTED_VALUE"""),"52½")</f>
        <v>52½</v>
      </c>
      <c r="K1448" t="str">
        <f>IFERROR(__xludf.DUMMYFUNCTION("""COMPUTED_VALUE"""),"Undrafted")</f>
        <v>Undrafted</v>
      </c>
      <c r="L1448" t="str">
        <f>IFERROR(__xludf.DUMMYFUNCTION("""COMPUTED_VALUE"""),"FINAL")</f>
        <v>FINAL</v>
      </c>
      <c r="M1448" s="124">
        <v>12.0</v>
      </c>
    </row>
    <row r="1449">
      <c r="A1449" s="151">
        <f>IFERROR(__xludf.DUMMYFUNCTION("""COMPUTED_VALUE"""),43786.147747511575)</f>
        <v>43786.14775</v>
      </c>
      <c r="B1449" t="str">
        <f>IFERROR(__xludf.DUMMYFUNCTION("""COMPUTED_VALUE"""),"DavEmily")</f>
        <v>DavEmily</v>
      </c>
      <c r="C1449" s="169" t="str">
        <f>IFERROR(__xludf.DUMMYFUNCTION("""COMPUTED_VALUE"""),"UTSA")</f>
        <v>UTSA</v>
      </c>
      <c r="D1449">
        <f>IFERROR(__xludf.DUMMYFUNCTION("""COMPUTED_VALUE"""),4.0)</f>
        <v>4</v>
      </c>
      <c r="E1449">
        <f>IFERROR(__xludf.DUMMYFUNCTION("""COMPUTED_VALUE"""),6.0)</f>
        <v>6</v>
      </c>
      <c r="F1449" t="str">
        <f>IFERROR(__xludf.DUMMYFUNCTION("""COMPUTED_VALUE"""),"espn+ Video")</f>
        <v>espn+ Video</v>
      </c>
      <c r="G1449" t="str">
        <f>IFERROR(__xludf.DUMMYFUNCTION("""COMPUTED_VALUE"""),"Southern Mississippi 36 at UTSA 17")</f>
        <v>Southern Mississippi 36 at UTSA 17</v>
      </c>
      <c r="H1449" t="str">
        <f>IFERROR(__xludf.DUMMYFUNCTION("""COMPUTED_VALUE"""),"FINAL")</f>
        <v>FINAL</v>
      </c>
      <c r="I1449" t="str">
        <f>IFERROR(__xludf.DUMMYFUNCTION("""COMPUTED_VALUE"""),"17½")</f>
        <v>17½</v>
      </c>
      <c r="J1449">
        <f>IFERROR(__xludf.DUMMYFUNCTION("""COMPUTED_VALUE"""),52.0)</f>
        <v>52</v>
      </c>
      <c r="K1449" t="str">
        <f>IFERROR(__xludf.DUMMYFUNCTION("""COMPUTED_VALUE"""),"Josh R.")</f>
        <v>Josh R.</v>
      </c>
      <c r="L1449" t="str">
        <f>IFERROR(__xludf.DUMMYFUNCTION("""COMPUTED_VALUE"""),"FINAL")</f>
        <v>FINAL</v>
      </c>
      <c r="M1449" s="124">
        <v>12.0</v>
      </c>
    </row>
    <row r="1450">
      <c r="A1450" s="151">
        <f>IFERROR(__xludf.DUMMYFUNCTION("""COMPUTED_VALUE"""),43786.147747511575)</f>
        <v>43786.14775</v>
      </c>
      <c r="B1450" t="str">
        <f>IFERROR(__xludf.DUMMYFUNCTION("""COMPUTED_VALUE"""),"DavEmily")</f>
        <v>DavEmily</v>
      </c>
      <c r="C1450" s="169" t="str">
        <f>IFERROR(__xludf.DUMMYFUNCTION("""COMPUTED_VALUE"""),"California")</f>
        <v>California</v>
      </c>
      <c r="D1450">
        <f>IFERROR(__xludf.DUMMYFUNCTION("""COMPUTED_VALUE"""),5.0)</f>
        <v>5</v>
      </c>
      <c r="E1450">
        <f>IFERROR(__xludf.DUMMYFUNCTION("""COMPUTED_VALUE"""),5.0)</f>
        <v>5</v>
      </c>
      <c r="F1450" t="str">
        <f>IFERROR(__xludf.DUMMYFUNCTION("""COMPUTED_VALUE"""),"FS1")</f>
        <v>FS1</v>
      </c>
      <c r="G1450" t="str">
        <f>IFERROR(__xludf.DUMMYFUNCTION("""COMPUTED_VALUE"""),"USC 41 at California 17")</f>
        <v>USC 41 at California 17</v>
      </c>
      <c r="H1450" t="str">
        <f>IFERROR(__xludf.DUMMYFUNCTION("""COMPUTED_VALUE"""),"FINAL")</f>
        <v>FINAL</v>
      </c>
      <c r="I1450" t="str">
        <f>IFERROR(__xludf.DUMMYFUNCTION("""COMPUTED_VALUE"""),"6½")</f>
        <v>6½</v>
      </c>
      <c r="J1450" t="str">
        <f>IFERROR(__xludf.DUMMYFUNCTION("""COMPUTED_VALUE"""),"48½")</f>
        <v>48½</v>
      </c>
      <c r="K1450" t="str">
        <f>IFERROR(__xludf.DUMMYFUNCTION("""COMPUTED_VALUE"""),"Josh R.")</f>
        <v>Josh R.</v>
      </c>
      <c r="L1450" t="str">
        <f>IFERROR(__xludf.DUMMYFUNCTION("""COMPUTED_VALUE"""),"FINAL")</f>
        <v>FINAL</v>
      </c>
      <c r="M1450" s="124">
        <v>12.0</v>
      </c>
    </row>
    <row r="1451">
      <c r="A1451" s="200">
        <f>IFERROR(__xludf.DUMMYFUNCTION("""COMPUTED_VALUE"""),43786.147747511575)</f>
        <v>43786.14775</v>
      </c>
      <c r="B1451" t="str">
        <f>IFERROR(__xludf.DUMMYFUNCTION("""COMPUTED_VALUE"""),"DavEmily")</f>
        <v>DavEmily</v>
      </c>
      <c r="C1451" s="169" t="str">
        <f>IFERROR(__xludf.DUMMYFUNCTION("""COMPUTED_VALUE"""),"Tulsa")</f>
        <v>Tulsa</v>
      </c>
      <c r="D1451">
        <f>IFERROR(__xludf.DUMMYFUNCTION("""COMPUTED_VALUE"""),3.0)</f>
        <v>3</v>
      </c>
      <c r="E1451">
        <f>IFERROR(__xludf.DUMMYFUNCTION("""COMPUTED_VALUE"""),7.0)</f>
        <v>7</v>
      </c>
      <c r="F1451" t="str">
        <f>IFERROR(__xludf.DUMMYFUNCTION("""COMPUTED_VALUE"""),"NA")</f>
        <v>NA</v>
      </c>
      <c r="G1451" t="str">
        <f>IFERROR(__xludf.DUMMYFUNCTION("""COMPUTED_VALUE"""),"BYE")</f>
        <v>BYE</v>
      </c>
      <c r="I1451" t="str">
        <f>IFERROR(__xludf.DUMMYFUNCTION("""COMPUTED_VALUE"""),"No Line")</f>
        <v>No Line</v>
      </c>
      <c r="L1451">
        <f>IFERROR(__xludf.DUMMYFUNCTION("""COMPUTED_VALUE"""),9999.0)</f>
        <v>9999</v>
      </c>
      <c r="M1451" s="124">
        <v>12.0</v>
      </c>
    </row>
    <row r="1452">
      <c r="A1452" s="151">
        <f>IFERROR(__xludf.DUMMYFUNCTION("""COMPUTED_VALUE"""),43786.147747511575)</f>
        <v>43786.14775</v>
      </c>
      <c r="B1452" t="str">
        <f>IFERROR(__xludf.DUMMYFUNCTION("""COMPUTED_VALUE"""),"Nick A.")</f>
        <v>Nick A.</v>
      </c>
      <c r="C1452" s="169" t="str">
        <f>IFERROR(__xludf.DUMMYFUNCTION("""COMPUTED_VALUE"""),"Bowling Green")</f>
        <v>Bowling Green</v>
      </c>
      <c r="D1452">
        <f>IFERROR(__xludf.DUMMYFUNCTION("""COMPUTED_VALUE"""),3.0)</f>
        <v>3</v>
      </c>
      <c r="E1452">
        <f>IFERROR(__xludf.DUMMYFUNCTION("""COMPUTED_VALUE"""),7.0)</f>
        <v>7</v>
      </c>
      <c r="F1452" t="str">
        <f>IFERROR(__xludf.DUMMYFUNCTION("""COMPUTED_VALUE"""),"ESPN2")</f>
        <v>ESPN2</v>
      </c>
      <c r="G1452" t="str">
        <f>IFERROR(__xludf.DUMMYFUNCTION("""COMPUTED_VALUE"""),"Bowling Green 3 at Miami-OH 44")</f>
        <v>Bowling Green 3 at Miami-OH 44</v>
      </c>
      <c r="H1452" t="str">
        <f>IFERROR(__xludf.DUMMYFUNCTION("""COMPUTED_VALUE"""),"FINAL")</f>
        <v>FINAL</v>
      </c>
      <c r="I1452">
        <f>IFERROR(__xludf.DUMMYFUNCTION("""COMPUTED_VALUE"""),18.0)</f>
        <v>18</v>
      </c>
      <c r="J1452">
        <f>IFERROR(__xludf.DUMMYFUNCTION("""COMPUTED_VALUE"""),50.0)</f>
        <v>50</v>
      </c>
      <c r="K1452" t="str">
        <f>IFERROR(__xludf.DUMMYFUNCTION("""COMPUTED_VALUE"""),"Nico")</f>
        <v>Nico</v>
      </c>
      <c r="L1452" t="str">
        <f>IFERROR(__xludf.DUMMYFUNCTION("""COMPUTED_VALUE"""),"FINAL")</f>
        <v>FINAL</v>
      </c>
      <c r="M1452" s="124">
        <v>12.0</v>
      </c>
    </row>
    <row r="1453">
      <c r="A1453" s="151">
        <f>IFERROR(__xludf.DUMMYFUNCTION("""COMPUTED_VALUE"""),43786.147747511575)</f>
        <v>43786.14775</v>
      </c>
      <c r="B1453" t="str">
        <f>IFERROR(__xludf.DUMMYFUNCTION("""COMPUTED_VALUE"""),"Nick A.")</f>
        <v>Nick A.</v>
      </c>
      <c r="C1453" s="169" t="str">
        <f>IFERROR(__xludf.DUMMYFUNCTION("""COMPUTED_VALUE"""),"San Diego State")</f>
        <v>San Diego State</v>
      </c>
      <c r="D1453">
        <f>IFERROR(__xludf.DUMMYFUNCTION("""COMPUTED_VALUE"""),8.0)</f>
        <v>8</v>
      </c>
      <c r="E1453">
        <f>IFERROR(__xludf.DUMMYFUNCTION("""COMPUTED_VALUE"""),2.0)</f>
        <v>2</v>
      </c>
      <c r="F1453" t="str">
        <f>IFERROR(__xludf.DUMMYFUNCTION("""COMPUTED_VALUE"""),"ESPN2")</f>
        <v>ESPN2</v>
      </c>
      <c r="G1453" t="str">
        <f>IFERROR(__xludf.DUMMYFUNCTION("""COMPUTED_VALUE"""),"Fresno State 7 at San Diego State 17")</f>
        <v>Fresno State 7 at San Diego State 17</v>
      </c>
      <c r="H1453" t="str">
        <f>IFERROR(__xludf.DUMMYFUNCTION("""COMPUTED_VALUE"""),"FINAL")</f>
        <v>FINAL</v>
      </c>
      <c r="I1453" t="str">
        <f>IFERROR(__xludf.DUMMYFUNCTION("""COMPUTED_VALUE"""),"-1½")</f>
        <v>-1½</v>
      </c>
      <c r="J1453" t="str">
        <f>IFERROR(__xludf.DUMMYFUNCTION("""COMPUTED_VALUE"""),"44½")</f>
        <v>44½</v>
      </c>
      <c r="K1453" t="str">
        <f>IFERROR(__xludf.DUMMYFUNCTION("""COMPUTED_VALUE"""),"DavEmily")</f>
        <v>DavEmily</v>
      </c>
      <c r="L1453" t="str">
        <f>IFERROR(__xludf.DUMMYFUNCTION("""COMPUTED_VALUE"""),"FINAL")</f>
        <v>FINAL</v>
      </c>
      <c r="M1453" s="124">
        <v>12.0</v>
      </c>
    </row>
    <row r="1454">
      <c r="A1454" s="151">
        <f>IFERROR(__xludf.DUMMYFUNCTION("""COMPUTED_VALUE"""),43786.147747511575)</f>
        <v>43786.14775</v>
      </c>
      <c r="B1454" t="str">
        <f>IFERROR(__xludf.DUMMYFUNCTION("""COMPUTED_VALUE"""),"Nick A.")</f>
        <v>Nick A.</v>
      </c>
      <c r="C1454" s="169" t="str">
        <f>IFERROR(__xludf.DUMMYFUNCTION("""COMPUTED_VALUE"""),"Michigan State")</f>
        <v>Michigan State</v>
      </c>
      <c r="D1454">
        <f>IFERROR(__xludf.DUMMYFUNCTION("""COMPUTED_VALUE"""),4.0)</f>
        <v>4</v>
      </c>
      <c r="E1454">
        <f>IFERROR(__xludf.DUMMYFUNCTION("""COMPUTED_VALUE"""),6.0)</f>
        <v>6</v>
      </c>
      <c r="F1454" t="str">
        <f>IFERROR(__xludf.DUMMYFUNCTION("""COMPUTED_VALUE"""),"FOX")</f>
        <v>FOX</v>
      </c>
      <c r="G1454" t="str">
        <f>IFERROR(__xludf.DUMMYFUNCTION("""COMPUTED_VALUE"""),"Michigan State 10 at (14) Michigan 44")</f>
        <v>Michigan State 10 at (14) Michigan 44</v>
      </c>
      <c r="H1454" t="str">
        <f>IFERROR(__xludf.DUMMYFUNCTION("""COMPUTED_VALUE"""),"FINAL")</f>
        <v>FINAL</v>
      </c>
      <c r="I1454" t="str">
        <f>IFERROR(__xludf.DUMMYFUNCTION("""COMPUTED_VALUE"""),"13½")</f>
        <v>13½</v>
      </c>
      <c r="J1454" t="str">
        <f>IFERROR(__xludf.DUMMYFUNCTION("""COMPUTED_VALUE"""),"44½")</f>
        <v>44½</v>
      </c>
      <c r="K1454" t="str">
        <f>IFERROR(__xludf.DUMMYFUNCTION("""COMPUTED_VALUE"""),"Vu")</f>
        <v>Vu</v>
      </c>
      <c r="L1454" t="str">
        <f>IFERROR(__xludf.DUMMYFUNCTION("""COMPUTED_VALUE"""),"FINAL")</f>
        <v>FINAL</v>
      </c>
      <c r="M1454" s="124">
        <v>12.0</v>
      </c>
    </row>
    <row r="1455">
      <c r="A1455" s="151">
        <f>IFERROR(__xludf.DUMMYFUNCTION("""COMPUTED_VALUE"""),43786.147747511575)</f>
        <v>43786.14775</v>
      </c>
      <c r="B1455" t="str">
        <f>IFERROR(__xludf.DUMMYFUNCTION("""COMPUTED_VALUE"""),"Nick A.")</f>
        <v>Nick A.</v>
      </c>
      <c r="C1455" s="169" t="str">
        <f>IFERROR(__xludf.DUMMYFUNCTION("""COMPUTED_VALUE"""),"Clemson")</f>
        <v>Clemson</v>
      </c>
      <c r="D1455">
        <f>IFERROR(__xludf.DUMMYFUNCTION("""COMPUTED_VALUE"""),11.0)</f>
        <v>11</v>
      </c>
      <c r="E1455">
        <f>IFERROR(__xludf.DUMMYFUNCTION("""COMPUTED_VALUE"""),0.0)</f>
        <v>0</v>
      </c>
      <c r="F1455" t="str">
        <f>IFERROR(__xludf.DUMMYFUNCTION("""COMPUTED_VALUE"""),"ABC")</f>
        <v>ABC</v>
      </c>
      <c r="G1455" t="str">
        <f>IFERROR(__xludf.DUMMYFUNCTION("""COMPUTED_VALUE"""),"Wake Forest 3 at (3) Clemson 52")</f>
        <v>Wake Forest 3 at (3) Clemson 52</v>
      </c>
      <c r="H1455" t="str">
        <f>IFERROR(__xludf.DUMMYFUNCTION("""COMPUTED_VALUE"""),"FINAL")</f>
        <v>FINAL</v>
      </c>
      <c r="I1455" t="str">
        <f>IFERROR(__xludf.DUMMYFUNCTION("""COMPUTED_VALUE"""),"-32½")</f>
        <v>-32½</v>
      </c>
      <c r="J1455" t="str">
        <f>IFERROR(__xludf.DUMMYFUNCTION("""COMPUTED_VALUE"""),"62½")</f>
        <v>62½</v>
      </c>
      <c r="K1455" t="str">
        <f>IFERROR(__xludf.DUMMYFUNCTION("""COMPUTED_VALUE"""),"Adam")</f>
        <v>Adam</v>
      </c>
      <c r="L1455" t="str">
        <f>IFERROR(__xludf.DUMMYFUNCTION("""COMPUTED_VALUE"""),"FINAL")</f>
        <v>FINAL</v>
      </c>
      <c r="M1455" s="124">
        <v>12.0</v>
      </c>
    </row>
    <row r="1456">
      <c r="A1456" s="151">
        <f>IFERROR(__xludf.DUMMYFUNCTION("""COMPUTED_VALUE"""),43786.147747511575)</f>
        <v>43786.14775</v>
      </c>
      <c r="B1456" t="str">
        <f>IFERROR(__xludf.DUMMYFUNCTION("""COMPUTED_VALUE"""),"Nick A.")</f>
        <v>Nick A.</v>
      </c>
      <c r="C1456" s="169" t="str">
        <f>IFERROR(__xludf.DUMMYFUNCTION("""COMPUTED_VALUE"""),"Iowa State")</f>
        <v>Iowa State</v>
      </c>
      <c r="D1456">
        <f>IFERROR(__xludf.DUMMYFUNCTION("""COMPUTED_VALUE"""),6.0)</f>
        <v>6</v>
      </c>
      <c r="E1456">
        <f>IFERROR(__xludf.DUMMYFUNCTION("""COMPUTED_VALUE"""),4.0)</f>
        <v>4</v>
      </c>
      <c r="F1456" t="str">
        <f>IFERROR(__xludf.DUMMYFUNCTION("""COMPUTED_VALUE"""),"FS1")</f>
        <v>FS1</v>
      </c>
      <c r="G1456" t="str">
        <f>IFERROR(__xludf.DUMMYFUNCTION("""COMPUTED_VALUE"""),"(23) Texas 21 at Iowa State 23")</f>
        <v>(23) Texas 21 at Iowa State 23</v>
      </c>
      <c r="H1456" t="str">
        <f>IFERROR(__xludf.DUMMYFUNCTION("""COMPUTED_VALUE"""),"FINAL")</f>
        <v>FINAL</v>
      </c>
      <c r="I1456">
        <f>IFERROR(__xludf.DUMMYFUNCTION("""COMPUTED_VALUE"""),-7.0)</f>
        <v>-7</v>
      </c>
      <c r="J1456" t="str">
        <f>IFERROR(__xludf.DUMMYFUNCTION("""COMPUTED_VALUE"""),"66½")</f>
        <v>66½</v>
      </c>
      <c r="K1456" t="str">
        <f>IFERROR(__xludf.DUMMYFUNCTION("""COMPUTED_VALUE"""),"Adam")</f>
        <v>Adam</v>
      </c>
      <c r="L1456" t="str">
        <f>IFERROR(__xludf.DUMMYFUNCTION("""COMPUTED_VALUE"""),"FINAL")</f>
        <v>FINAL</v>
      </c>
      <c r="M1456" s="124">
        <v>12.0</v>
      </c>
    </row>
    <row r="1457">
      <c r="A1457" s="151">
        <f>IFERROR(__xludf.DUMMYFUNCTION("""COMPUTED_VALUE"""),43786.147747511575)</f>
        <v>43786.14775</v>
      </c>
      <c r="B1457" t="str">
        <f>IFERROR(__xludf.DUMMYFUNCTION("""COMPUTED_VALUE"""),"Nick A.")</f>
        <v>Nick A.</v>
      </c>
      <c r="C1457" s="169" t="str">
        <f>IFERROR(__xludf.DUMMYFUNCTION("""COMPUTED_VALUE"""),"New Mexico State")</f>
        <v>New Mexico State</v>
      </c>
      <c r="D1457">
        <f>IFERROR(__xludf.DUMMYFUNCTION("""COMPUTED_VALUE"""),1.0)</f>
        <v>1</v>
      </c>
      <c r="E1457">
        <f>IFERROR(__xludf.DUMMYFUNCTION("""COMPUTED_VALUE"""),9.0)</f>
        <v>9</v>
      </c>
      <c r="F1457" t="str">
        <f>IFERROR(__xludf.DUMMYFUNCTION("""COMPUTED_VALUE"""),"Flo Sports Video")</f>
        <v>Flo Sports Video</v>
      </c>
      <c r="G1457" t="str">
        <f>IFERROR(__xludf.DUMMYFUNCTION("""COMPUTED_VALUE"""),"Incarnate Word 28 at New Mexico State 41")</f>
        <v>Incarnate Word 28 at New Mexico State 41</v>
      </c>
      <c r="H1457" t="str">
        <f>IFERROR(__xludf.DUMMYFUNCTION("""COMPUTED_VALUE"""),"FINAL")</f>
        <v>FINAL</v>
      </c>
      <c r="I1457" t="str">
        <f>IFERROR(__xludf.DUMMYFUNCTION("""COMPUTED_VALUE"""),"No Line")</f>
        <v>No Line</v>
      </c>
      <c r="K1457" t="str">
        <f>IFERROR(__xludf.DUMMYFUNCTION("""COMPUTED_VALUE"""),"Undrafted")</f>
        <v>Undrafted</v>
      </c>
      <c r="L1457" t="str">
        <f>IFERROR(__xludf.DUMMYFUNCTION("""COMPUTED_VALUE"""),"FINAL")</f>
        <v>FINAL</v>
      </c>
      <c r="M1457" s="124">
        <v>12.0</v>
      </c>
    </row>
    <row r="1458">
      <c r="A1458" s="151">
        <f>IFERROR(__xludf.DUMMYFUNCTION("""COMPUTED_VALUE"""),43786.147747511575)</f>
        <v>43786.14775</v>
      </c>
      <c r="B1458" t="str">
        <f>IFERROR(__xludf.DUMMYFUNCTION("""COMPUTED_VALUE"""),"Nick A.")</f>
        <v>Nick A.</v>
      </c>
      <c r="C1458" s="169" t="str">
        <f>IFERROR(__xludf.DUMMYFUNCTION("""COMPUTED_VALUE"""),"Washington State")</f>
        <v>Washington State</v>
      </c>
      <c r="D1458">
        <f>IFERROR(__xludf.DUMMYFUNCTION("""COMPUTED_VALUE"""),5.0)</f>
        <v>5</v>
      </c>
      <c r="E1458">
        <f>IFERROR(__xludf.DUMMYFUNCTION("""COMPUTED_VALUE"""),5.0)</f>
        <v>5</v>
      </c>
      <c r="F1458" t="str">
        <f>IFERROR(__xludf.DUMMYFUNCTION("""COMPUTED_VALUE"""),"Pac-12")</f>
        <v>Pac-12</v>
      </c>
      <c r="G1458" t="str">
        <f>IFERROR(__xludf.DUMMYFUNCTION("""COMPUTED_VALUE"""),"Stanford 22 at Washington State 49")</f>
        <v>Stanford 22 at Washington State 49</v>
      </c>
      <c r="H1458" t="str">
        <f>IFERROR(__xludf.DUMMYFUNCTION("""COMPUTED_VALUE"""),"FINAL")</f>
        <v>FINAL</v>
      </c>
      <c r="I1458" t="str">
        <f>IFERROR(__xludf.DUMMYFUNCTION("""COMPUTED_VALUE"""),"-10½")</f>
        <v>-10½</v>
      </c>
      <c r="J1458">
        <f>IFERROR(__xludf.DUMMYFUNCTION("""COMPUTED_VALUE"""),64.0)</f>
        <v>64</v>
      </c>
      <c r="K1458" t="str">
        <f>IFERROR(__xludf.DUMMYFUNCTION("""COMPUTED_VALUE"""),"Nick G.")</f>
        <v>Nick G.</v>
      </c>
      <c r="L1458" t="str">
        <f>IFERROR(__xludf.DUMMYFUNCTION("""COMPUTED_VALUE"""),"FINAL")</f>
        <v>FINAL</v>
      </c>
      <c r="M1458" s="124">
        <v>12.0</v>
      </c>
    </row>
    <row r="1459">
      <c r="A1459" s="151">
        <f>IFERROR(__xludf.DUMMYFUNCTION("""COMPUTED_VALUE"""),43786.147747511575)</f>
        <v>43786.14775</v>
      </c>
      <c r="B1459" t="str">
        <f>IFERROR(__xludf.DUMMYFUNCTION("""COMPUTED_VALUE"""),"Nick A.")</f>
        <v>Nick A.</v>
      </c>
      <c r="C1459" s="169" t="str">
        <f>IFERROR(__xludf.DUMMYFUNCTION("""COMPUTED_VALUE"""),"LSU")</f>
        <v>LSU</v>
      </c>
      <c r="D1459">
        <f>IFERROR(__xludf.DUMMYFUNCTION("""COMPUTED_VALUE"""),10.0)</f>
        <v>10</v>
      </c>
      <c r="E1459">
        <f>IFERROR(__xludf.DUMMYFUNCTION("""COMPUTED_VALUE"""),0.0)</f>
        <v>0</v>
      </c>
      <c r="F1459" t="str">
        <f>IFERROR(__xludf.DUMMYFUNCTION("""COMPUTED_VALUE"""),"ESPN")</f>
        <v>ESPN</v>
      </c>
      <c r="G1459" t="str">
        <f>IFERROR(__xludf.DUMMYFUNCTION("""COMPUTED_VALUE"""),"(1) LSU 58 at Ole Miss 37")</f>
        <v>(1) LSU 58 at Ole Miss 37</v>
      </c>
      <c r="H1459" t="str">
        <f>IFERROR(__xludf.DUMMYFUNCTION("""COMPUTED_VALUE"""),"FINAL")</f>
        <v>FINAL</v>
      </c>
      <c r="I1459">
        <f>IFERROR(__xludf.DUMMYFUNCTION("""COMPUTED_VALUE"""),-21.0)</f>
        <v>-21</v>
      </c>
      <c r="J1459" t="str">
        <f>IFERROR(__xludf.DUMMYFUNCTION("""COMPUTED_VALUE"""),"63½")</f>
        <v>63½</v>
      </c>
      <c r="K1459" t="str">
        <f>IFERROR(__xludf.DUMMYFUNCTION("""COMPUTED_VALUE"""),"Undrafted")</f>
        <v>Undrafted</v>
      </c>
      <c r="L1459" t="str">
        <f>IFERROR(__xludf.DUMMYFUNCTION("""COMPUTED_VALUE"""),"FINAL")</f>
        <v>FINAL</v>
      </c>
      <c r="M1459" s="124">
        <v>12.0</v>
      </c>
    </row>
    <row r="1460">
      <c r="A1460" s="151">
        <f>IFERROR(__xludf.DUMMYFUNCTION("""COMPUTED_VALUE"""),43786.147747511575)</f>
        <v>43786.14775</v>
      </c>
      <c r="B1460" t="str">
        <f>IFERROR(__xludf.DUMMYFUNCTION("""COMPUTED_VALUE"""),"Nick A.")</f>
        <v>Nick A.</v>
      </c>
      <c r="C1460" s="169" t="str">
        <f>IFERROR(__xludf.DUMMYFUNCTION("""COMPUTED_VALUE"""),"East Carolina")</f>
        <v>East Carolina</v>
      </c>
      <c r="D1460">
        <f>IFERROR(__xludf.DUMMYFUNCTION("""COMPUTED_VALUE"""),3.0)</f>
        <v>3</v>
      </c>
      <c r="E1460">
        <f>IFERROR(__xludf.DUMMYFUNCTION("""COMPUTED_VALUE"""),7.0)</f>
        <v>7</v>
      </c>
      <c r="F1460" t="str">
        <f>IFERROR(__xludf.DUMMYFUNCTION("""COMPUTED_VALUE"""),"NA")</f>
        <v>NA</v>
      </c>
      <c r="G1460" t="str">
        <f>IFERROR(__xludf.DUMMYFUNCTION("""COMPUTED_VALUE"""),"BYE")</f>
        <v>BYE</v>
      </c>
      <c r="J1460" t="str">
        <f>IFERROR(__xludf.DUMMYFUNCTION("""COMPUTED_VALUE""")," No Line")</f>
        <v> No Line</v>
      </c>
      <c r="L1460">
        <f>IFERROR(__xludf.DUMMYFUNCTION("""COMPUTED_VALUE"""),9999.0)</f>
        <v>9999</v>
      </c>
      <c r="M1460" s="124">
        <v>12.0</v>
      </c>
    </row>
    <row r="1461">
      <c r="A1461" s="200">
        <f>IFERROR(__xludf.DUMMYFUNCTION("""COMPUTED_VALUE"""),43786.147747511575)</f>
        <v>43786.14775</v>
      </c>
      <c r="B1461" t="str">
        <f>IFERROR(__xludf.DUMMYFUNCTION("""COMPUTED_VALUE"""),"Nick A.")</f>
        <v>Nick A.</v>
      </c>
      <c r="C1461" s="169" t="str">
        <f>IFERROR(__xludf.DUMMYFUNCTION("""COMPUTED_VALUE"""),"Old Dominion")</f>
        <v>Old Dominion</v>
      </c>
      <c r="D1461">
        <f>IFERROR(__xludf.DUMMYFUNCTION("""COMPUTED_VALUE"""),1.0)</f>
        <v>1</v>
      </c>
      <c r="E1461">
        <f>IFERROR(__xludf.DUMMYFUNCTION("""COMPUTED_VALUE"""),9.0)</f>
        <v>9</v>
      </c>
      <c r="F1461" t="str">
        <f>IFERROR(__xludf.DUMMYFUNCTION("""COMPUTED_VALUE"""),"NA")</f>
        <v>NA</v>
      </c>
      <c r="G1461" t="str">
        <f>IFERROR(__xludf.DUMMYFUNCTION("""COMPUTED_VALUE"""),"BYE")</f>
        <v>BYE</v>
      </c>
      <c r="J1461" t="str">
        <f>IFERROR(__xludf.DUMMYFUNCTION("""COMPUTED_VALUE""")," No Line")</f>
        <v> No Line</v>
      </c>
      <c r="L1461">
        <f>IFERROR(__xludf.DUMMYFUNCTION("""COMPUTED_VALUE"""),9999.0)</f>
        <v>9999</v>
      </c>
      <c r="M1461" s="124">
        <v>12.0</v>
      </c>
    </row>
    <row r="1462">
      <c r="A1462" s="151">
        <f>IFERROR(__xludf.DUMMYFUNCTION("""COMPUTED_VALUE"""),43786.147747511575)</f>
        <v>43786.14775</v>
      </c>
      <c r="B1462" t="str">
        <f>IFERROR(__xludf.DUMMYFUNCTION("""COMPUTED_VALUE"""),"Gary")</f>
        <v>Gary</v>
      </c>
      <c r="C1462" s="169" t="str">
        <f>IFERROR(__xludf.DUMMYFUNCTION("""COMPUTED_VALUE"""),"Ohio")</f>
        <v>Ohio</v>
      </c>
      <c r="D1462">
        <f>IFERROR(__xludf.DUMMYFUNCTION("""COMPUTED_VALUE"""),4.0)</f>
        <v>4</v>
      </c>
      <c r="E1462">
        <f>IFERROR(__xludf.DUMMYFUNCTION("""COMPUTED_VALUE"""),6.0)</f>
        <v>6</v>
      </c>
      <c r="F1462" t="str">
        <f>IFERROR(__xludf.DUMMYFUNCTION("""COMPUTED_VALUE"""),"ESPN2")</f>
        <v>ESPN2</v>
      </c>
      <c r="G1462" t="str">
        <f>IFERROR(__xludf.DUMMYFUNCTION("""COMPUTED_VALUE"""),"Western Michigan 37 at Ohio 34")</f>
        <v>Western Michigan 37 at Ohio 34</v>
      </c>
      <c r="H1462" t="str">
        <f>IFERROR(__xludf.DUMMYFUNCTION("""COMPUTED_VALUE"""),"FINAL - OT")</f>
        <v>FINAL - OT</v>
      </c>
      <c r="I1462" t="str">
        <f>IFERROR(__xludf.DUMMYFUNCTION("""COMPUTED_VALUE"""),"-1½")</f>
        <v>-1½</v>
      </c>
      <c r="J1462">
        <f>IFERROR(__xludf.DUMMYFUNCTION("""COMPUTED_VALUE"""),60.0)</f>
        <v>60</v>
      </c>
      <c r="K1462" t="str">
        <f>IFERROR(__xludf.DUMMYFUNCTION("""COMPUTED_VALUE"""),"Jeannine")</f>
        <v>Jeannine</v>
      </c>
      <c r="L1462" t="str">
        <f>IFERROR(__xludf.DUMMYFUNCTION("""COMPUTED_VALUE"""),"FINAL - OT")</f>
        <v>FINAL - OT</v>
      </c>
      <c r="M1462" s="124">
        <v>12.0</v>
      </c>
    </row>
    <row r="1463">
      <c r="A1463" s="151">
        <f>IFERROR(__xludf.DUMMYFUNCTION("""COMPUTED_VALUE"""),43786.147747511575)</f>
        <v>43786.14775</v>
      </c>
      <c r="B1463" t="str">
        <f>IFERROR(__xludf.DUMMYFUNCTION("""COMPUTED_VALUE"""),"Gary")</f>
        <v>Gary</v>
      </c>
      <c r="C1463" s="169" t="str">
        <f>IFERROR(__xludf.DUMMYFUNCTION("""COMPUTED_VALUE"""),"Pittsburgh")</f>
        <v>Pittsburgh</v>
      </c>
      <c r="D1463">
        <f>IFERROR(__xludf.DUMMYFUNCTION("""COMPUTED_VALUE"""),7.0)</f>
        <v>7</v>
      </c>
      <c r="E1463">
        <f>IFERROR(__xludf.DUMMYFUNCTION("""COMPUTED_VALUE"""),3.0)</f>
        <v>3</v>
      </c>
      <c r="F1463" t="str">
        <f>IFERROR(__xludf.DUMMYFUNCTION("""COMPUTED_VALUE"""),"ESPN")</f>
        <v>ESPN</v>
      </c>
      <c r="G1463" t="str">
        <f>IFERROR(__xludf.DUMMYFUNCTION("""COMPUTED_VALUE"""),"North Carolina 27 at Pittsburgh 34")</f>
        <v>North Carolina 27 at Pittsburgh 34</v>
      </c>
      <c r="H1463" t="str">
        <f>IFERROR(__xludf.DUMMYFUNCTION("""COMPUTED_VALUE"""),"FINAL - OT")</f>
        <v>FINAL - OT</v>
      </c>
      <c r="I1463">
        <f>IFERROR(__xludf.DUMMYFUNCTION("""COMPUTED_VALUE"""),-4.0)</f>
        <v>-4</v>
      </c>
      <c r="J1463">
        <f>IFERROR(__xludf.DUMMYFUNCTION("""COMPUTED_VALUE"""),49.0)</f>
        <v>49</v>
      </c>
      <c r="K1463" t="str">
        <f>IFERROR(__xludf.DUMMYFUNCTION("""COMPUTED_VALUE"""),"Nico")</f>
        <v>Nico</v>
      </c>
      <c r="L1463" t="str">
        <f>IFERROR(__xludf.DUMMYFUNCTION("""COMPUTED_VALUE"""),"FINAL - OT")</f>
        <v>FINAL - OT</v>
      </c>
      <c r="M1463" s="124">
        <v>12.0</v>
      </c>
    </row>
    <row r="1464">
      <c r="A1464" s="151">
        <f>IFERROR(__xludf.DUMMYFUNCTION("""COMPUTED_VALUE"""),43786.147747511575)</f>
        <v>43786.14775</v>
      </c>
      <c r="B1464" t="str">
        <f>IFERROR(__xludf.DUMMYFUNCTION("""COMPUTED_VALUE"""),"Gary")</f>
        <v>Gary</v>
      </c>
      <c r="C1464" s="169" t="str">
        <f>IFERROR(__xludf.DUMMYFUNCTION("""COMPUTED_VALUE"""),"Marshall")</f>
        <v>Marshall</v>
      </c>
      <c r="D1464">
        <f>IFERROR(__xludf.DUMMYFUNCTION("""COMPUTED_VALUE"""),7.0)</f>
        <v>7</v>
      </c>
      <c r="E1464">
        <f>IFERROR(__xludf.DUMMYFUNCTION("""COMPUTED_VALUE"""),3.0)</f>
        <v>3</v>
      </c>
      <c r="F1464" t="str">
        <f>IFERROR(__xludf.DUMMYFUNCTION("""COMPUTED_VALUE"""),"CBSSN")</f>
        <v>CBSSN</v>
      </c>
      <c r="G1464" t="str">
        <f>IFERROR(__xludf.DUMMYFUNCTION("""COMPUTED_VALUE"""),"Louisiana Tech 10 at Marshall 31")</f>
        <v>Louisiana Tech 10 at Marshall 31</v>
      </c>
      <c r="H1464" t="str">
        <f>IFERROR(__xludf.DUMMYFUNCTION("""COMPUTED_VALUE"""),"FINAL")</f>
        <v>FINAL</v>
      </c>
      <c r="I1464" t="str">
        <f>IFERROR(__xludf.DUMMYFUNCTION("""COMPUTED_VALUE"""),"-2½")</f>
        <v>-2½</v>
      </c>
      <c r="J1464">
        <f>IFERROR(__xludf.DUMMYFUNCTION("""COMPUTED_VALUE"""),56.0)</f>
        <v>56</v>
      </c>
      <c r="K1464" t="str">
        <f>IFERROR(__xludf.DUMMYFUNCTION("""COMPUTED_VALUE"""),"Brad")</f>
        <v>Brad</v>
      </c>
      <c r="L1464" t="str">
        <f>IFERROR(__xludf.DUMMYFUNCTION("""COMPUTED_VALUE"""),"FINAL")</f>
        <v>FINAL</v>
      </c>
      <c r="M1464" s="124">
        <v>12.0</v>
      </c>
    </row>
    <row r="1465">
      <c r="A1465" s="151">
        <f>IFERROR(__xludf.DUMMYFUNCTION("""COMPUTED_VALUE"""),43786.147747511575)</f>
        <v>43786.14775</v>
      </c>
      <c r="B1465" t="str">
        <f>IFERROR(__xludf.DUMMYFUNCTION("""COMPUTED_VALUE"""),"Gary")</f>
        <v>Gary</v>
      </c>
      <c r="C1465" s="169" t="str">
        <f>IFERROR(__xludf.DUMMYFUNCTION("""COMPUTED_VALUE"""),"Missouri")</f>
        <v>Missouri</v>
      </c>
      <c r="D1465">
        <f>IFERROR(__xludf.DUMMYFUNCTION("""COMPUTED_VALUE"""),5.0)</f>
        <v>5</v>
      </c>
      <c r="E1465">
        <f>IFERROR(__xludf.DUMMYFUNCTION("""COMPUTED_VALUE"""),5.0)</f>
        <v>5</v>
      </c>
      <c r="F1465" t="str">
        <f>IFERROR(__xludf.DUMMYFUNCTION("""COMPUTED_VALUE"""),"CBS")</f>
        <v>CBS</v>
      </c>
      <c r="G1465" t="str">
        <f>IFERROR(__xludf.DUMMYFUNCTION("""COMPUTED_VALUE"""),"(12) Florida 23 at Missouri 6")</f>
        <v>(12) Florida 23 at Missouri 6</v>
      </c>
      <c r="H1465" t="str">
        <f>IFERROR(__xludf.DUMMYFUNCTION("""COMPUTED_VALUE"""),"FINAL")</f>
        <v>FINAL</v>
      </c>
      <c r="I1465">
        <f>IFERROR(__xludf.DUMMYFUNCTION("""COMPUTED_VALUE"""),7.0)</f>
        <v>7</v>
      </c>
      <c r="J1465" t="str">
        <f>IFERROR(__xludf.DUMMYFUNCTION("""COMPUTED_VALUE"""),"48½")</f>
        <v>48½</v>
      </c>
      <c r="K1465" t="str">
        <f>IFERROR(__xludf.DUMMYFUNCTION("""COMPUTED_VALUE"""),"Adam")</f>
        <v>Adam</v>
      </c>
      <c r="L1465" t="str">
        <f>IFERROR(__xludf.DUMMYFUNCTION("""COMPUTED_VALUE"""),"FINAL")</f>
        <v>FINAL</v>
      </c>
      <c r="M1465" s="124">
        <v>12.0</v>
      </c>
    </row>
    <row r="1466">
      <c r="A1466" s="151">
        <f>IFERROR(__xludf.DUMMYFUNCTION("""COMPUTED_VALUE"""),43786.147747511575)</f>
        <v>43786.14775</v>
      </c>
      <c r="B1466" t="str">
        <f>IFERROR(__xludf.DUMMYFUNCTION("""COMPUTED_VALUE"""),"Gary")</f>
        <v>Gary</v>
      </c>
      <c r="C1466" s="169" t="str">
        <f>IFERROR(__xludf.DUMMYFUNCTION("""COMPUTED_VALUE"""),"Tulane")</f>
        <v>Tulane</v>
      </c>
      <c r="D1466">
        <f>IFERROR(__xludf.DUMMYFUNCTION("""COMPUTED_VALUE"""),6.0)</f>
        <v>6</v>
      </c>
      <c r="E1466">
        <f>IFERROR(__xludf.DUMMYFUNCTION("""COMPUTED_VALUE"""),4.0)</f>
        <v>4</v>
      </c>
      <c r="F1466" t="str">
        <f>IFERROR(__xludf.DUMMYFUNCTION("""COMPUTED_VALUE"""),"ESPNU")</f>
        <v>ESPNU</v>
      </c>
      <c r="G1466" t="str">
        <f>IFERROR(__xludf.DUMMYFUNCTION("""COMPUTED_VALUE"""),"Tulane 21 at Temple 29")</f>
        <v>Tulane 21 at Temple 29</v>
      </c>
      <c r="H1466" t="str">
        <f>IFERROR(__xludf.DUMMYFUNCTION("""COMPUTED_VALUE"""),"FINAL")</f>
        <v>FINAL</v>
      </c>
      <c r="I1466" t="str">
        <f>IFERROR(__xludf.DUMMYFUNCTION("""COMPUTED_VALUE"""),"-4½")</f>
        <v>-4½</v>
      </c>
      <c r="J1466" t="str">
        <f>IFERROR(__xludf.DUMMYFUNCTION("""COMPUTED_VALUE"""),"55½")</f>
        <v>55½</v>
      </c>
      <c r="K1466" t="str">
        <f>IFERROR(__xludf.DUMMYFUNCTION("""COMPUTED_VALUE"""),"Josh R.")</f>
        <v>Josh R.</v>
      </c>
      <c r="L1466" t="str">
        <f>IFERROR(__xludf.DUMMYFUNCTION("""COMPUTED_VALUE"""),"FINAL")</f>
        <v>FINAL</v>
      </c>
      <c r="M1466" s="124">
        <v>12.0</v>
      </c>
    </row>
    <row r="1467">
      <c r="A1467" s="151">
        <f>IFERROR(__xludf.DUMMYFUNCTION("""COMPUTED_VALUE"""),43786.147747511575)</f>
        <v>43786.14775</v>
      </c>
      <c r="B1467" t="str">
        <f>IFERROR(__xludf.DUMMYFUNCTION("""COMPUTED_VALUE"""),"Gary")</f>
        <v>Gary</v>
      </c>
      <c r="C1467" s="169" t="str">
        <f>IFERROR(__xludf.DUMMYFUNCTION("""COMPUTED_VALUE"""),"BYU")</f>
        <v>BYU</v>
      </c>
      <c r="D1467">
        <f>IFERROR(__xludf.DUMMYFUNCTION("""COMPUTED_VALUE"""),6.0)</f>
        <v>6</v>
      </c>
      <c r="E1467">
        <f>IFERROR(__xludf.DUMMYFUNCTION("""COMPUTED_VALUE"""),4.0)</f>
        <v>4</v>
      </c>
      <c r="F1467" t="str">
        <f>IFERROR(__xludf.DUMMYFUNCTION("""COMPUTED_VALUE"""),"BYUtv")</f>
        <v>BYUtv</v>
      </c>
      <c r="G1467" t="str">
        <f>IFERROR(__xludf.DUMMYFUNCTION("""COMPUTED_VALUE"""),"Idaho State 10 at BYU 42")</f>
        <v>Idaho State 10 at BYU 42</v>
      </c>
      <c r="H1467" t="str">
        <f>IFERROR(__xludf.DUMMYFUNCTION("""COMPUTED_VALUE"""),"FINAL")</f>
        <v>FINAL</v>
      </c>
      <c r="I1467" t="str">
        <f>IFERROR(__xludf.DUMMYFUNCTION("""COMPUTED_VALUE"""),"No Line")</f>
        <v>No Line</v>
      </c>
      <c r="K1467" t="str">
        <f>IFERROR(__xludf.DUMMYFUNCTION("""COMPUTED_VALUE"""),"Undrafted")</f>
        <v>Undrafted</v>
      </c>
      <c r="L1467" t="str">
        <f>IFERROR(__xludf.DUMMYFUNCTION("""COMPUTED_VALUE"""),"FINAL")</f>
        <v>FINAL</v>
      </c>
      <c r="M1467" s="124">
        <v>12.0</v>
      </c>
    </row>
    <row r="1468">
      <c r="A1468" s="151">
        <f>IFERROR(__xludf.DUMMYFUNCTION("""COMPUTED_VALUE"""),43786.147747511575)</f>
        <v>43786.14775</v>
      </c>
      <c r="B1468" t="str">
        <f>IFERROR(__xludf.DUMMYFUNCTION("""COMPUTED_VALUE"""),"Gary")</f>
        <v>Gary</v>
      </c>
      <c r="C1468" s="169" t="str">
        <f>IFERROR(__xludf.DUMMYFUNCTION("""COMPUTED_VALUE"""),"Utah State")</f>
        <v>Utah State</v>
      </c>
      <c r="D1468">
        <f>IFERROR(__xludf.DUMMYFUNCTION("""COMPUTED_VALUE"""),6.0)</f>
        <v>6</v>
      </c>
      <c r="E1468">
        <f>IFERROR(__xludf.DUMMYFUNCTION("""COMPUTED_VALUE"""),4.0)</f>
        <v>4</v>
      </c>
      <c r="F1468" t="str">
        <f>IFERROR(__xludf.DUMMYFUNCTION("""COMPUTED_VALUE"""),"ESPNU")</f>
        <v>ESPNU</v>
      </c>
      <c r="G1468" t="str">
        <f>IFERROR(__xludf.DUMMYFUNCTION("""COMPUTED_VALUE"""),"Wyoming 21 at Utah State 26")</f>
        <v>Wyoming 21 at Utah State 26</v>
      </c>
      <c r="H1468" t="str">
        <f>IFERROR(__xludf.DUMMYFUNCTION("""COMPUTED_VALUE"""),"FINAL")</f>
        <v>FINAL</v>
      </c>
      <c r="I1468" t="str">
        <f>IFERROR(__xludf.DUMMYFUNCTION("""COMPUTED_VALUE"""),"-6½")</f>
        <v>-6½</v>
      </c>
      <c r="J1468">
        <f>IFERROR(__xludf.DUMMYFUNCTION("""COMPUTED_VALUE"""),50.0)</f>
        <v>50</v>
      </c>
      <c r="K1468" t="str">
        <f>IFERROR(__xludf.DUMMYFUNCTION("""COMPUTED_VALUE"""),"Nick G.")</f>
        <v>Nick G.</v>
      </c>
      <c r="L1468" t="str">
        <f>IFERROR(__xludf.DUMMYFUNCTION("""COMPUTED_VALUE"""),"FINAL")</f>
        <v>FINAL</v>
      </c>
      <c r="M1468" s="124">
        <v>12.0</v>
      </c>
    </row>
    <row r="1469">
      <c r="A1469" s="151">
        <f>IFERROR(__xludf.DUMMYFUNCTION("""COMPUTED_VALUE"""),43786.147747511575)</f>
        <v>43786.14775</v>
      </c>
      <c r="B1469" t="str">
        <f>IFERROR(__xludf.DUMMYFUNCTION("""COMPUTED_VALUE"""),"Gary")</f>
        <v>Gary</v>
      </c>
      <c r="C1469" s="169" t="str">
        <f>IFERROR(__xludf.DUMMYFUNCTION("""COMPUTED_VALUE"""),"UL Lafayette")</f>
        <v>UL Lafayette</v>
      </c>
      <c r="D1469">
        <f>IFERROR(__xludf.DUMMYFUNCTION("""COMPUTED_VALUE"""),3.0)</f>
        <v>3</v>
      </c>
      <c r="E1469">
        <f>IFERROR(__xludf.DUMMYFUNCTION("""COMPUTED_VALUE"""),1.0)</f>
        <v>1</v>
      </c>
      <c r="F1469" t="str">
        <f>IFERROR(__xludf.DUMMYFUNCTION("""COMPUTED_VALUE"""),"NA")</f>
        <v>NA</v>
      </c>
      <c r="G1469" t="str">
        <f>IFERROR(__xludf.DUMMYFUNCTION("""COMPUTED_VALUE"""),"UL Lafayette 37 at South Alabama 27")</f>
        <v>UL Lafayette 37 at South Alabama 27</v>
      </c>
      <c r="H1469" t="str">
        <f>IFERROR(__xludf.DUMMYFUNCTION("""COMPUTED_VALUE"""),"FINAL")</f>
        <v>FINAL</v>
      </c>
      <c r="I1469" t="str">
        <f>IFERROR(__xludf.DUMMYFUNCTION("""COMPUTED_VALUE"""),"-28½")</f>
        <v>-28½</v>
      </c>
      <c r="J1469" t="str">
        <f>IFERROR(__xludf.DUMMYFUNCTION("""COMPUTED_VALUE"""),"53½")</f>
        <v>53½</v>
      </c>
      <c r="K1469" t="str">
        <f>IFERROR(__xludf.DUMMYFUNCTION("""COMPUTED_VALUE"""),"Vu")</f>
        <v>Vu</v>
      </c>
      <c r="L1469" t="str">
        <f>IFERROR(__xludf.DUMMYFUNCTION("""COMPUTED_VALUE"""),"FINAL")</f>
        <v>FINAL</v>
      </c>
      <c r="M1469" s="124">
        <v>12.0</v>
      </c>
    </row>
    <row r="1470">
      <c r="A1470" s="151">
        <f>IFERROR(__xludf.DUMMYFUNCTION("""COMPUTED_VALUE"""),43786.147747511575)</f>
        <v>43786.14775</v>
      </c>
      <c r="B1470" t="str">
        <f>IFERROR(__xludf.DUMMYFUNCTION("""COMPUTED_VALUE"""),"Gary")</f>
        <v>Gary</v>
      </c>
      <c r="C1470" s="169" t="str">
        <f>IFERROR(__xludf.DUMMYFUNCTION("""COMPUTED_VALUE"""),"UCLA")</f>
        <v>UCLA</v>
      </c>
      <c r="D1470">
        <f>IFERROR(__xludf.DUMMYFUNCTION("""COMPUTED_VALUE"""),4.0)</f>
        <v>4</v>
      </c>
      <c r="E1470">
        <f>IFERROR(__xludf.DUMMYFUNCTION("""COMPUTED_VALUE"""),6.0)</f>
        <v>6</v>
      </c>
      <c r="F1470" t="str">
        <f>IFERROR(__xludf.DUMMYFUNCTION("""COMPUTED_VALUE"""),"FOX")</f>
        <v>FOX</v>
      </c>
      <c r="G1470" t="str">
        <f>IFERROR(__xludf.DUMMYFUNCTION("""COMPUTED_VALUE"""),"UCLA 3 at (9) Utah 49")</f>
        <v>UCLA 3 at (9) Utah 49</v>
      </c>
      <c r="H1470" t="str">
        <f>IFERROR(__xludf.DUMMYFUNCTION("""COMPUTED_VALUE"""),"FINAL")</f>
        <v>FINAL</v>
      </c>
      <c r="I1470">
        <f>IFERROR(__xludf.DUMMYFUNCTION("""COMPUTED_VALUE"""),21.0)</f>
        <v>21</v>
      </c>
      <c r="J1470">
        <f>IFERROR(__xludf.DUMMYFUNCTION("""COMPUTED_VALUE"""),54.0)</f>
        <v>54</v>
      </c>
      <c r="K1470" t="str">
        <f>IFERROR(__xludf.DUMMYFUNCTION("""COMPUTED_VALUE"""),"Brad")</f>
        <v>Brad</v>
      </c>
      <c r="L1470" t="str">
        <f>IFERROR(__xludf.DUMMYFUNCTION("""COMPUTED_VALUE"""),"FINAL")</f>
        <v>FINAL</v>
      </c>
      <c r="M1470" s="124">
        <v>12.0</v>
      </c>
    </row>
    <row r="1471">
      <c r="A1471" s="200">
        <f>IFERROR(__xludf.DUMMYFUNCTION("""COMPUTED_VALUE"""),43786.147747511575)</f>
        <v>43786.14775</v>
      </c>
      <c r="B1471" t="str">
        <f>IFERROR(__xludf.DUMMYFUNCTION("""COMPUTED_VALUE"""),"Gary")</f>
        <v>Gary</v>
      </c>
      <c r="C1471" s="169" t="str">
        <f>IFERROR(__xludf.DUMMYFUNCTION("""COMPUTED_VALUE"""),"Maryland")</f>
        <v>Maryland</v>
      </c>
      <c r="D1471">
        <f>IFERROR(__xludf.DUMMYFUNCTION("""COMPUTED_VALUE"""),3.0)</f>
        <v>3</v>
      </c>
      <c r="E1471">
        <f>IFERROR(__xludf.DUMMYFUNCTION("""COMPUTED_VALUE"""),7.0)</f>
        <v>7</v>
      </c>
      <c r="F1471" t="str">
        <f>IFERROR(__xludf.DUMMYFUNCTION("""COMPUTED_VALUE"""),"NA")</f>
        <v>NA</v>
      </c>
      <c r="G1471" t="str">
        <f>IFERROR(__xludf.DUMMYFUNCTION("""COMPUTED_VALUE"""),"BYE")</f>
        <v>BYE</v>
      </c>
      <c r="I1471" t="str">
        <f>IFERROR(__xludf.DUMMYFUNCTION("""COMPUTED_VALUE"""),"No Line")</f>
        <v>No Line</v>
      </c>
      <c r="L1471">
        <f>IFERROR(__xludf.DUMMYFUNCTION("""COMPUTED_VALUE"""),9999.0)</f>
        <v>9999</v>
      </c>
      <c r="M1471" s="124">
        <v>12.0</v>
      </c>
    </row>
    <row r="1472">
      <c r="A1472" s="151">
        <f>IFERROR(__xludf.DUMMYFUNCTION("""COMPUTED_VALUE"""),43786.147747511575)</f>
        <v>43786.14775</v>
      </c>
      <c r="B1472" t="str">
        <f>IFERROR(__xludf.DUMMYFUNCTION("""COMPUTED_VALUE"""),"Janice/Mike")</f>
        <v>Janice/Mike</v>
      </c>
      <c r="C1472" s="169" t="str">
        <f>IFERROR(__xludf.DUMMYFUNCTION("""COMPUTED_VALUE"""),"Northern Illinois")</f>
        <v>Northern Illinois</v>
      </c>
      <c r="D1472">
        <f>IFERROR(__xludf.DUMMYFUNCTION("""COMPUTED_VALUE"""),4.0)</f>
        <v>4</v>
      </c>
      <c r="E1472">
        <f>IFERROR(__xludf.DUMMYFUNCTION("""COMPUTED_VALUE"""),6.0)</f>
        <v>6</v>
      </c>
      <c r="F1472" t="str">
        <f>IFERROR(__xludf.DUMMYFUNCTION("""COMPUTED_VALUE"""),"ESPNU")</f>
        <v>ESPNU</v>
      </c>
      <c r="G1472" t="str">
        <f>IFERROR(__xludf.DUMMYFUNCTION("""COMPUTED_VALUE"""),"Northern Illinois 31 at Toledo 28")</f>
        <v>Northern Illinois 31 at Toledo 28</v>
      </c>
      <c r="H1472" t="str">
        <f>IFERROR(__xludf.DUMMYFUNCTION("""COMPUTED_VALUE"""),"FINAL")</f>
        <v>FINAL</v>
      </c>
      <c r="I1472" t="str">
        <f>IFERROR(__xludf.DUMMYFUNCTION("""COMPUTED_VALUE"""),"2½")</f>
        <v>2½</v>
      </c>
      <c r="J1472" t="str">
        <f>IFERROR(__xludf.DUMMYFUNCTION("""COMPUTED_VALUE"""),"54½")</f>
        <v>54½</v>
      </c>
      <c r="K1472" t="str">
        <f>IFERROR(__xludf.DUMMYFUNCTION("""COMPUTED_VALUE"""),"Josh R.")</f>
        <v>Josh R.</v>
      </c>
      <c r="L1472" t="str">
        <f>IFERROR(__xludf.DUMMYFUNCTION("""COMPUTED_VALUE"""),"FINAL")</f>
        <v>FINAL</v>
      </c>
      <c r="M1472" s="124">
        <v>12.0</v>
      </c>
    </row>
    <row r="1473">
      <c r="A1473" s="151">
        <f>IFERROR(__xludf.DUMMYFUNCTION("""COMPUTED_VALUE"""),43786.147747511575)</f>
        <v>43786.14775</v>
      </c>
      <c r="B1473" t="str">
        <f>IFERROR(__xludf.DUMMYFUNCTION("""COMPUTED_VALUE"""),"Janice/Mike")</f>
        <v>Janice/Mike</v>
      </c>
      <c r="C1473" s="169" t="str">
        <f>IFERROR(__xludf.DUMMYFUNCTION("""COMPUTED_VALUE"""),"Wisconsin")</f>
        <v>Wisconsin</v>
      </c>
      <c r="D1473">
        <f>IFERROR(__xludf.DUMMYFUNCTION("""COMPUTED_VALUE"""),8.0)</f>
        <v>8</v>
      </c>
      <c r="E1473">
        <f>IFERROR(__xludf.DUMMYFUNCTION("""COMPUTED_VALUE"""),2.0)</f>
        <v>2</v>
      </c>
      <c r="F1473" t="str">
        <f>IFERROR(__xludf.DUMMYFUNCTION("""COMPUTED_VALUE"""),"BTN")</f>
        <v>BTN</v>
      </c>
      <c r="G1473" t="str">
        <f>IFERROR(__xludf.DUMMYFUNCTION("""COMPUTED_VALUE"""),"(15) Wisconsin 37 at Nebraska 21")</f>
        <v>(15) Wisconsin 37 at Nebraska 21</v>
      </c>
      <c r="H1473" t="str">
        <f>IFERROR(__xludf.DUMMYFUNCTION("""COMPUTED_VALUE"""),"FINAL")</f>
        <v>FINAL</v>
      </c>
      <c r="I1473" t="str">
        <f>IFERROR(__xludf.DUMMYFUNCTION("""COMPUTED_VALUE"""),"-14½")</f>
        <v>-14½</v>
      </c>
      <c r="J1473" t="str">
        <f>IFERROR(__xludf.DUMMYFUNCTION("""COMPUTED_VALUE"""),"51½")</f>
        <v>51½</v>
      </c>
      <c r="K1473" t="str">
        <f>IFERROR(__xludf.DUMMYFUNCTION("""COMPUTED_VALUE"""),"DavEmily")</f>
        <v>DavEmily</v>
      </c>
      <c r="L1473" t="str">
        <f>IFERROR(__xludf.DUMMYFUNCTION("""COMPUTED_VALUE"""),"FINAL")</f>
        <v>FINAL</v>
      </c>
      <c r="M1473" s="124">
        <v>12.0</v>
      </c>
    </row>
    <row r="1474">
      <c r="A1474" s="151">
        <f>IFERROR(__xludf.DUMMYFUNCTION("""COMPUTED_VALUE"""),43786.147747511575)</f>
        <v>43786.14775</v>
      </c>
      <c r="B1474" t="str">
        <f>IFERROR(__xludf.DUMMYFUNCTION("""COMPUTED_VALUE"""),"Janice/Mike")</f>
        <v>Janice/Mike</v>
      </c>
      <c r="C1474" s="169" t="str">
        <f>IFERROR(__xludf.DUMMYFUNCTION("""COMPUTED_VALUE"""),"Texas Tech")</f>
        <v>Texas Tech</v>
      </c>
      <c r="D1474">
        <f>IFERROR(__xludf.DUMMYFUNCTION("""COMPUTED_VALUE"""),4.0)</f>
        <v>4</v>
      </c>
      <c r="E1474">
        <f>IFERROR(__xludf.DUMMYFUNCTION("""COMPUTED_VALUE"""),6.0)</f>
        <v>6</v>
      </c>
      <c r="F1474" t="str">
        <f>IFERROR(__xludf.DUMMYFUNCTION("""COMPUTED_VALUE"""),"ESPN2")</f>
        <v>ESPN2</v>
      </c>
      <c r="G1474" t="str">
        <f>IFERROR(__xludf.DUMMYFUNCTION("""COMPUTED_VALUE"""),"TCU 33 at Texas Tech 31")</f>
        <v>TCU 33 at Texas Tech 31</v>
      </c>
      <c r="H1474" t="str">
        <f>IFERROR(__xludf.DUMMYFUNCTION("""COMPUTED_VALUE"""),"FINAL")</f>
        <v>FINAL</v>
      </c>
      <c r="I1474">
        <f>IFERROR(__xludf.DUMMYFUNCTION("""COMPUTED_VALUE"""),3.0)</f>
        <v>3</v>
      </c>
      <c r="J1474" t="str">
        <f>IFERROR(__xludf.DUMMYFUNCTION("""COMPUTED_VALUE"""),"56½")</f>
        <v>56½</v>
      </c>
      <c r="K1474" t="str">
        <f>IFERROR(__xludf.DUMMYFUNCTION("""COMPUTED_VALUE"""),"Vu")</f>
        <v>Vu</v>
      </c>
      <c r="L1474" t="str">
        <f>IFERROR(__xludf.DUMMYFUNCTION("""COMPUTED_VALUE"""),"FINAL")</f>
        <v>FINAL</v>
      </c>
      <c r="M1474" s="124">
        <v>12.0</v>
      </c>
    </row>
    <row r="1475">
      <c r="A1475" s="151">
        <f>IFERROR(__xludf.DUMMYFUNCTION("""COMPUTED_VALUE"""),43786.147747511575)</f>
        <v>43786.14775</v>
      </c>
      <c r="B1475" t="str">
        <f>IFERROR(__xludf.DUMMYFUNCTION("""COMPUTED_VALUE"""),"Janice/Mike")</f>
        <v>Janice/Mike</v>
      </c>
      <c r="C1475" s="169" t="str">
        <f>IFERROR(__xludf.DUMMYFUNCTION("""COMPUTED_VALUE"""),"Navy")</f>
        <v>Navy</v>
      </c>
      <c r="D1475">
        <f>IFERROR(__xludf.DUMMYFUNCTION("""COMPUTED_VALUE"""),7.0)</f>
        <v>7</v>
      </c>
      <c r="E1475">
        <f>IFERROR(__xludf.DUMMYFUNCTION("""COMPUTED_VALUE"""),2.0)</f>
        <v>2</v>
      </c>
      <c r="F1475" t="str">
        <f>IFERROR(__xludf.DUMMYFUNCTION("""COMPUTED_VALUE"""),"NBC")</f>
        <v>NBC</v>
      </c>
      <c r="G1475" t="str">
        <f>IFERROR(__xludf.DUMMYFUNCTION("""COMPUTED_VALUE"""),"(21) Navy 20 at (16) Notre Dame 52")</f>
        <v>(21) Navy 20 at (16) Notre Dame 52</v>
      </c>
      <c r="H1475" t="str">
        <f>IFERROR(__xludf.DUMMYFUNCTION("""COMPUTED_VALUE"""),"FINAL")</f>
        <v>FINAL</v>
      </c>
      <c r="I1475" t="str">
        <f>IFERROR(__xludf.DUMMYFUNCTION("""COMPUTED_VALUE"""),"9½")</f>
        <v>9½</v>
      </c>
      <c r="J1475">
        <f>IFERROR(__xludf.DUMMYFUNCTION("""COMPUTED_VALUE"""),54.0)</f>
        <v>54</v>
      </c>
      <c r="K1475" t="str">
        <f>IFERROR(__xludf.DUMMYFUNCTION("""COMPUTED_VALUE"""),"DavEmily")</f>
        <v>DavEmily</v>
      </c>
      <c r="L1475" t="str">
        <f>IFERROR(__xludf.DUMMYFUNCTION("""COMPUTED_VALUE"""),"FINAL")</f>
        <v>FINAL</v>
      </c>
      <c r="M1475" s="124">
        <v>12.0</v>
      </c>
    </row>
    <row r="1476">
      <c r="A1476" s="151">
        <f>IFERROR(__xludf.DUMMYFUNCTION("""COMPUTED_VALUE"""),43786.147747511575)</f>
        <v>43786.14775</v>
      </c>
      <c r="B1476" t="str">
        <f>IFERROR(__xludf.DUMMYFUNCTION("""COMPUTED_VALUE"""),"Janice/Mike")</f>
        <v>Janice/Mike</v>
      </c>
      <c r="C1476" s="169" t="str">
        <f>IFERROR(__xludf.DUMMYFUNCTION("""COMPUTED_VALUE"""),"Georgia Southern")</f>
        <v>Georgia Southern</v>
      </c>
      <c r="D1476">
        <f>IFERROR(__xludf.DUMMYFUNCTION("""COMPUTED_VALUE"""),6.0)</f>
        <v>6</v>
      </c>
      <c r="E1476">
        <f>IFERROR(__xludf.DUMMYFUNCTION("""COMPUTED_VALUE"""),4.0)</f>
        <v>4</v>
      </c>
      <c r="F1476" t="str">
        <f>IFERROR(__xludf.DUMMYFUNCTION("""COMPUTED_VALUE"""),"espn+ Video")</f>
        <v>espn+ Video</v>
      </c>
      <c r="G1476" t="str">
        <f>IFERROR(__xludf.DUMMYFUNCTION("""COMPUTED_VALUE"""),"UL Monroe 29 at Georgia Southern 51")</f>
        <v>UL Monroe 29 at Georgia Southern 51</v>
      </c>
      <c r="H1476" t="str">
        <f>IFERROR(__xludf.DUMMYFUNCTION("""COMPUTED_VALUE"""),"FINAL")</f>
        <v>FINAL</v>
      </c>
      <c r="I1476">
        <f>IFERROR(__xludf.DUMMYFUNCTION("""COMPUTED_VALUE"""),-7.0)</f>
        <v>-7</v>
      </c>
      <c r="J1476">
        <f>IFERROR(__xludf.DUMMYFUNCTION("""COMPUTED_VALUE"""),58.0)</f>
        <v>58</v>
      </c>
      <c r="K1476" t="str">
        <f>IFERROR(__xludf.DUMMYFUNCTION("""COMPUTED_VALUE"""),"Jeannine")</f>
        <v>Jeannine</v>
      </c>
      <c r="L1476" t="str">
        <f>IFERROR(__xludf.DUMMYFUNCTION("""COMPUTED_VALUE"""),"FINAL")</f>
        <v>FINAL</v>
      </c>
      <c r="M1476" s="124">
        <v>12.0</v>
      </c>
    </row>
    <row r="1477">
      <c r="A1477" s="151">
        <f>IFERROR(__xludf.DUMMYFUNCTION("""COMPUTED_VALUE"""),43786.147747511575)</f>
        <v>43786.14775</v>
      </c>
      <c r="B1477" t="str">
        <f>IFERROR(__xludf.DUMMYFUNCTION("""COMPUTED_VALUE"""),"Janice/Mike")</f>
        <v>Janice/Mike</v>
      </c>
      <c r="C1477" s="169" t="str">
        <f>IFERROR(__xludf.DUMMYFUNCTION("""COMPUTED_VALUE"""),"Boise State")</f>
        <v>Boise State</v>
      </c>
      <c r="D1477">
        <f>IFERROR(__xludf.DUMMYFUNCTION("""COMPUTED_VALUE"""),9.0)</f>
        <v>9</v>
      </c>
      <c r="E1477">
        <f>IFERROR(__xludf.DUMMYFUNCTION("""COMPUTED_VALUE"""),1.0)</f>
        <v>1</v>
      </c>
      <c r="F1477" t="str">
        <f>IFERROR(__xludf.DUMMYFUNCTION("""COMPUTED_VALUE"""),"ESPN2")</f>
        <v>ESPN2</v>
      </c>
      <c r="G1477" t="str">
        <f>IFERROR(__xludf.DUMMYFUNCTION("""COMPUTED_VALUE"""),"New Mexico 9 at (19) Boise State 42")</f>
        <v>New Mexico 9 at (19) Boise State 42</v>
      </c>
      <c r="H1477" t="str">
        <f>IFERROR(__xludf.DUMMYFUNCTION("""COMPUTED_VALUE"""),"FINAL")</f>
        <v>FINAL</v>
      </c>
      <c r="I1477">
        <f>IFERROR(__xludf.DUMMYFUNCTION("""COMPUTED_VALUE"""),-28.0)</f>
        <v>-28</v>
      </c>
      <c r="J1477" t="str">
        <f>IFERROR(__xludf.DUMMYFUNCTION("""COMPUTED_VALUE"""),"59½")</f>
        <v>59½</v>
      </c>
      <c r="K1477" t="str">
        <f>IFERROR(__xludf.DUMMYFUNCTION("""COMPUTED_VALUE"""),"Nico")</f>
        <v>Nico</v>
      </c>
      <c r="L1477" t="str">
        <f>IFERROR(__xludf.DUMMYFUNCTION("""COMPUTED_VALUE"""),"FINAL")</f>
        <v>FINAL</v>
      </c>
      <c r="M1477" s="124">
        <v>12.0</v>
      </c>
    </row>
    <row r="1478">
      <c r="A1478" s="151">
        <f>IFERROR(__xludf.DUMMYFUNCTION("""COMPUTED_VALUE"""),43786.147747511575)</f>
        <v>43786.14775</v>
      </c>
      <c r="B1478" t="str">
        <f>IFERROR(__xludf.DUMMYFUNCTION("""COMPUTED_VALUE"""),"Janice/Mike")</f>
        <v>Janice/Mike</v>
      </c>
      <c r="C1478" s="169" t="str">
        <f>IFERROR(__xludf.DUMMYFUNCTION("""COMPUTED_VALUE"""),"Arizona")</f>
        <v>Arizona</v>
      </c>
      <c r="D1478">
        <f>IFERROR(__xludf.DUMMYFUNCTION("""COMPUTED_VALUE"""),4.0)</f>
        <v>4</v>
      </c>
      <c r="E1478">
        <f>IFERROR(__xludf.DUMMYFUNCTION("""COMPUTED_VALUE"""),6.0)</f>
        <v>6</v>
      </c>
      <c r="F1478" t="str">
        <f>IFERROR(__xludf.DUMMYFUNCTION("""COMPUTED_VALUE"""),"ESPN")</f>
        <v>ESPN</v>
      </c>
      <c r="G1478" t="str">
        <f>IFERROR(__xludf.DUMMYFUNCTION("""COMPUTED_VALUE"""),"Arizona 6 at (6) Oregon 34")</f>
        <v>Arizona 6 at (6) Oregon 34</v>
      </c>
      <c r="H1478" t="str">
        <f>IFERROR(__xludf.DUMMYFUNCTION("""COMPUTED_VALUE"""),"FINAL")</f>
        <v>FINAL</v>
      </c>
      <c r="I1478" t="str">
        <f>IFERROR(__xludf.DUMMYFUNCTION("""COMPUTED_VALUE"""),"26½")</f>
        <v>26½</v>
      </c>
      <c r="J1478">
        <f>IFERROR(__xludf.DUMMYFUNCTION("""COMPUTED_VALUE"""),68.0)</f>
        <v>68</v>
      </c>
      <c r="K1478" t="str">
        <f>IFERROR(__xludf.DUMMYFUNCTION("""COMPUTED_VALUE"""),"Justin")</f>
        <v>Justin</v>
      </c>
      <c r="L1478" t="str">
        <f>IFERROR(__xludf.DUMMYFUNCTION("""COMPUTED_VALUE"""),"FINAL")</f>
        <v>FINAL</v>
      </c>
      <c r="M1478" s="124">
        <v>12.0</v>
      </c>
    </row>
    <row r="1479">
      <c r="A1479" s="151">
        <f>IFERROR(__xludf.DUMMYFUNCTION("""COMPUTED_VALUE"""),43786.147747511575)</f>
        <v>43786.14775</v>
      </c>
      <c r="B1479" t="str">
        <f>IFERROR(__xludf.DUMMYFUNCTION("""COMPUTED_VALUE"""),"Janice/Mike")</f>
        <v>Janice/Mike</v>
      </c>
      <c r="C1479" s="169" t="str">
        <f>IFERROR(__xludf.DUMMYFUNCTION("""COMPUTED_VALUE"""),"Arkansas")</f>
        <v>Arkansas</v>
      </c>
      <c r="D1479">
        <f>IFERROR(__xludf.DUMMYFUNCTION("""COMPUTED_VALUE"""),2.0)</f>
        <v>2</v>
      </c>
      <c r="E1479">
        <f>IFERROR(__xludf.DUMMYFUNCTION("""COMPUTED_VALUE"""),8.0)</f>
        <v>8</v>
      </c>
      <c r="F1479" t="str">
        <f>IFERROR(__xludf.DUMMYFUNCTION("""COMPUTED_VALUE"""),"NA")</f>
        <v>NA</v>
      </c>
      <c r="G1479" t="str">
        <f>IFERROR(__xludf.DUMMYFUNCTION("""COMPUTED_VALUE"""),"BYE")</f>
        <v>BYE</v>
      </c>
      <c r="J1479" t="str">
        <f>IFERROR(__xludf.DUMMYFUNCTION("""COMPUTED_VALUE""")," No Line")</f>
        <v> No Line</v>
      </c>
      <c r="L1479">
        <f>IFERROR(__xludf.DUMMYFUNCTION("""COMPUTED_VALUE"""),9999.0)</f>
        <v>9999</v>
      </c>
      <c r="M1479" s="124">
        <v>12.0</v>
      </c>
    </row>
    <row r="1480">
      <c r="A1480" s="151">
        <f>IFERROR(__xludf.DUMMYFUNCTION("""COMPUTED_VALUE"""),43786.147747511575)</f>
        <v>43786.14775</v>
      </c>
      <c r="B1480" t="str">
        <f>IFERROR(__xludf.DUMMYFUNCTION("""COMPUTED_VALUE"""),"Janice/Mike")</f>
        <v>Janice/Mike</v>
      </c>
      <c r="C1480" s="169" t="str">
        <f>IFERROR(__xludf.DUMMYFUNCTION("""COMPUTED_VALUE"""),"Boston College")</f>
        <v>Boston College</v>
      </c>
      <c r="D1480">
        <f>IFERROR(__xludf.DUMMYFUNCTION("""COMPUTED_VALUE"""),5.0)</f>
        <v>5</v>
      </c>
      <c r="E1480">
        <f>IFERROR(__xludf.DUMMYFUNCTION("""COMPUTED_VALUE"""),5.0)</f>
        <v>5</v>
      </c>
      <c r="F1480" t="str">
        <f>IFERROR(__xludf.DUMMYFUNCTION("""COMPUTED_VALUE"""),"NA")</f>
        <v>NA</v>
      </c>
      <c r="G1480" t="str">
        <f>IFERROR(__xludf.DUMMYFUNCTION("""COMPUTED_VALUE"""),"BYE")</f>
        <v>BYE</v>
      </c>
      <c r="J1480" t="str">
        <f>IFERROR(__xludf.DUMMYFUNCTION("""COMPUTED_VALUE""")," No Line")</f>
        <v> No Line</v>
      </c>
      <c r="L1480">
        <f>IFERROR(__xludf.DUMMYFUNCTION("""COMPUTED_VALUE"""),9999.0)</f>
        <v>9999</v>
      </c>
      <c r="M1480" s="124">
        <v>12.0</v>
      </c>
    </row>
    <row r="1481">
      <c r="A1481" s="200">
        <f>IFERROR(__xludf.DUMMYFUNCTION("""COMPUTED_VALUE"""),43786.147747511575)</f>
        <v>43786.14775</v>
      </c>
      <c r="B1481" t="str">
        <f>IFERROR(__xludf.DUMMYFUNCTION("""COMPUTED_VALUE"""),"Janice/Mike")</f>
        <v>Janice/Mike</v>
      </c>
      <c r="C1481" s="169" t="str">
        <f>IFERROR(__xludf.DUMMYFUNCTION("""COMPUTED_VALUE"""),"Charlotte")</f>
        <v>Charlotte</v>
      </c>
      <c r="D1481">
        <f>IFERROR(__xludf.DUMMYFUNCTION("""COMPUTED_VALUE"""),5.0)</f>
        <v>5</v>
      </c>
      <c r="E1481">
        <f>IFERROR(__xludf.DUMMYFUNCTION("""COMPUTED_VALUE"""),5.0)</f>
        <v>5</v>
      </c>
      <c r="F1481" t="str">
        <f>IFERROR(__xludf.DUMMYFUNCTION("""COMPUTED_VALUE"""),"NA")</f>
        <v>NA</v>
      </c>
      <c r="G1481" t="str">
        <f>IFERROR(__xludf.DUMMYFUNCTION("""COMPUTED_VALUE"""),"BYE")</f>
        <v>BYE</v>
      </c>
      <c r="I1481" t="str">
        <f>IFERROR(__xludf.DUMMYFUNCTION("""COMPUTED_VALUE"""),"No Line")</f>
        <v>No Line</v>
      </c>
      <c r="L1481">
        <f>IFERROR(__xludf.DUMMYFUNCTION("""COMPUTED_VALUE"""),9999.0)</f>
        <v>9999</v>
      </c>
      <c r="M1481" s="124">
        <v>12.0</v>
      </c>
    </row>
    <row r="1482">
      <c r="A1482" s="151">
        <f>IFERROR(__xludf.DUMMYFUNCTION("""COMPUTED_VALUE"""),43786.147747511575)</f>
        <v>43786.14775</v>
      </c>
      <c r="B1482" t="str">
        <f>IFERROR(__xludf.DUMMYFUNCTION("""COMPUTED_VALUE"""),"Nico")</f>
        <v>Nico</v>
      </c>
      <c r="C1482" s="169" t="str">
        <f>IFERROR(__xludf.DUMMYFUNCTION("""COMPUTED_VALUE"""),"Miami-OH")</f>
        <v>Miami-OH</v>
      </c>
      <c r="D1482">
        <f>IFERROR(__xludf.DUMMYFUNCTION("""COMPUTED_VALUE"""),6.0)</f>
        <v>6</v>
      </c>
      <c r="E1482">
        <f>IFERROR(__xludf.DUMMYFUNCTION("""COMPUTED_VALUE"""),4.0)</f>
        <v>4</v>
      </c>
      <c r="F1482" t="str">
        <f>IFERROR(__xludf.DUMMYFUNCTION("""COMPUTED_VALUE"""),"NA")</f>
        <v>NA</v>
      </c>
      <c r="G1482" t="str">
        <f>IFERROR(__xludf.DUMMYFUNCTION("""COMPUTED_VALUE"""),"Bowling Green 3 at Miami-OH 44")</f>
        <v>Bowling Green 3 at Miami-OH 44</v>
      </c>
      <c r="H1482" t="str">
        <f>IFERROR(__xludf.DUMMYFUNCTION("""COMPUTED_VALUE"""),"FINAL")</f>
        <v>FINAL</v>
      </c>
      <c r="I1482">
        <f>IFERROR(__xludf.DUMMYFUNCTION("""COMPUTED_VALUE"""),-18.0)</f>
        <v>-18</v>
      </c>
      <c r="J1482">
        <f>IFERROR(__xludf.DUMMYFUNCTION("""COMPUTED_VALUE"""),50.0)</f>
        <v>50</v>
      </c>
      <c r="K1482" t="str">
        <f>IFERROR(__xludf.DUMMYFUNCTION("""COMPUTED_VALUE"""),"Nick A.")</f>
        <v>Nick A.</v>
      </c>
      <c r="L1482" t="str">
        <f>IFERROR(__xludf.DUMMYFUNCTION("""COMPUTED_VALUE"""),"FINAL")</f>
        <v>FINAL</v>
      </c>
      <c r="M1482" s="124">
        <v>12.0</v>
      </c>
    </row>
    <row r="1483">
      <c r="A1483" s="151">
        <f>IFERROR(__xludf.DUMMYFUNCTION("""COMPUTED_VALUE"""),43786.147747511575)</f>
        <v>43786.14775</v>
      </c>
      <c r="B1483" t="str">
        <f>IFERROR(__xludf.DUMMYFUNCTION("""COMPUTED_VALUE"""),"Nico")</f>
        <v>Nico</v>
      </c>
      <c r="C1483" s="169" t="str">
        <f>IFERROR(__xludf.DUMMYFUNCTION("""COMPUTED_VALUE"""),"North Carolina")</f>
        <v>North Carolina</v>
      </c>
      <c r="D1483">
        <f>IFERROR(__xludf.DUMMYFUNCTION("""COMPUTED_VALUE"""),4.0)</f>
        <v>4</v>
      </c>
      <c r="E1483">
        <f>IFERROR(__xludf.DUMMYFUNCTION("""COMPUTED_VALUE"""),6.0)</f>
        <v>6</v>
      </c>
      <c r="F1483" t="str">
        <f>IFERROR(__xludf.DUMMYFUNCTION("""COMPUTED_VALUE"""),"ESPN")</f>
        <v>ESPN</v>
      </c>
      <c r="G1483" t="str">
        <f>IFERROR(__xludf.DUMMYFUNCTION("""COMPUTED_VALUE"""),"North Carolina 27 at Pittsburgh 34")</f>
        <v>North Carolina 27 at Pittsburgh 34</v>
      </c>
      <c r="H1483" t="str">
        <f>IFERROR(__xludf.DUMMYFUNCTION("""COMPUTED_VALUE"""),"FINAL - OT")</f>
        <v>FINAL - OT</v>
      </c>
      <c r="I1483">
        <f>IFERROR(__xludf.DUMMYFUNCTION("""COMPUTED_VALUE"""),4.0)</f>
        <v>4</v>
      </c>
      <c r="J1483">
        <f>IFERROR(__xludf.DUMMYFUNCTION("""COMPUTED_VALUE"""),49.0)</f>
        <v>49</v>
      </c>
      <c r="K1483" t="str">
        <f>IFERROR(__xludf.DUMMYFUNCTION("""COMPUTED_VALUE"""),"Gary")</f>
        <v>Gary</v>
      </c>
      <c r="L1483" t="str">
        <f>IFERROR(__xludf.DUMMYFUNCTION("""COMPUTED_VALUE"""),"FINAL - OT")</f>
        <v>FINAL - OT</v>
      </c>
      <c r="M1483" s="124">
        <v>12.0</v>
      </c>
    </row>
    <row r="1484">
      <c r="A1484" s="151">
        <f>IFERROR(__xludf.DUMMYFUNCTION("""COMPUTED_VALUE"""),43786.147747511575)</f>
        <v>43786.14775</v>
      </c>
      <c r="B1484" t="str">
        <f>IFERROR(__xludf.DUMMYFUNCTION("""COMPUTED_VALUE"""),"Nico")</f>
        <v>Nico</v>
      </c>
      <c r="C1484" s="169" t="str">
        <f>IFERROR(__xludf.DUMMYFUNCTION("""COMPUTED_VALUE"""),"Arkansas State")</f>
        <v>Arkansas State</v>
      </c>
      <c r="D1484">
        <f>IFERROR(__xludf.DUMMYFUNCTION("""COMPUTED_VALUE"""),2.0)</f>
        <v>2</v>
      </c>
      <c r="E1484">
        <f>IFERROR(__xludf.DUMMYFUNCTION("""COMPUTED_VALUE"""),2.0)</f>
        <v>2</v>
      </c>
      <c r="F1484" t="str">
        <f>IFERROR(__xludf.DUMMYFUNCTION("""COMPUTED_VALUE"""),"espn+ Video")</f>
        <v>espn+ Video</v>
      </c>
      <c r="G1484" t="str">
        <f>IFERROR(__xludf.DUMMYFUNCTION("""COMPUTED_VALUE"""),"Coastal Carolina 27 at Arkansas State 28")</f>
        <v>Coastal Carolina 27 at Arkansas State 28</v>
      </c>
      <c r="H1484" t="str">
        <f>IFERROR(__xludf.DUMMYFUNCTION("""COMPUTED_VALUE"""),"FINAL")</f>
        <v>FINAL</v>
      </c>
      <c r="I1484" t="str">
        <f>IFERROR(__xludf.DUMMYFUNCTION("""COMPUTED_VALUE"""),"-12½")</f>
        <v>-12½</v>
      </c>
      <c r="J1484" t="str">
        <f>IFERROR(__xludf.DUMMYFUNCTION("""COMPUTED_VALUE"""),"63½")</f>
        <v>63½</v>
      </c>
      <c r="K1484" t="str">
        <f>IFERROR(__xludf.DUMMYFUNCTION("""COMPUTED_VALUE"""),"DavEmily")</f>
        <v>DavEmily</v>
      </c>
      <c r="L1484" t="str">
        <f>IFERROR(__xludf.DUMMYFUNCTION("""COMPUTED_VALUE"""),"FINAL")</f>
        <v>FINAL</v>
      </c>
      <c r="M1484" s="124">
        <v>12.0</v>
      </c>
    </row>
    <row r="1485">
      <c r="A1485" s="151">
        <f>IFERROR(__xludf.DUMMYFUNCTION("""COMPUTED_VALUE"""),43786.147747511575)</f>
        <v>43786.14775</v>
      </c>
      <c r="B1485" t="str">
        <f>IFERROR(__xludf.DUMMYFUNCTION("""COMPUTED_VALUE"""),"Nico")</f>
        <v>Nico</v>
      </c>
      <c r="C1485" s="169" t="str">
        <f>IFERROR(__xludf.DUMMYFUNCTION("""COMPUTED_VALUE"""),"Georgia")</f>
        <v>Georgia</v>
      </c>
      <c r="D1485">
        <f>IFERROR(__xludf.DUMMYFUNCTION("""COMPUTED_VALUE"""),9.0)</f>
        <v>9</v>
      </c>
      <c r="E1485">
        <f>IFERROR(__xludf.DUMMYFUNCTION("""COMPUTED_VALUE"""),1.0)</f>
        <v>1</v>
      </c>
      <c r="F1485" t="str">
        <f>IFERROR(__xludf.DUMMYFUNCTION("""COMPUTED_VALUE"""),"CBS")</f>
        <v>CBS</v>
      </c>
      <c r="G1485" t="str">
        <f>IFERROR(__xludf.DUMMYFUNCTION("""COMPUTED_VALUE"""),"(5) Georgia 21 at (13) Auburn 14")</f>
        <v>(5) Georgia 21 at (13) Auburn 14</v>
      </c>
      <c r="H1485" t="str">
        <f>IFERROR(__xludf.DUMMYFUNCTION("""COMPUTED_VALUE"""),"FINAL")</f>
        <v>FINAL</v>
      </c>
      <c r="I1485">
        <f>IFERROR(__xludf.DUMMYFUNCTION("""COMPUTED_VALUE"""),-3.0)</f>
        <v>-3</v>
      </c>
      <c r="J1485">
        <f>IFERROR(__xludf.DUMMYFUNCTION("""COMPUTED_VALUE"""),44.0)</f>
        <v>44</v>
      </c>
      <c r="K1485" t="str">
        <f>IFERROR(__xludf.DUMMYFUNCTION("""COMPUTED_VALUE"""),"Nick G.")</f>
        <v>Nick G.</v>
      </c>
      <c r="L1485" t="str">
        <f>IFERROR(__xludf.DUMMYFUNCTION("""COMPUTED_VALUE"""),"FINAL")</f>
        <v>FINAL</v>
      </c>
      <c r="M1485" s="124">
        <v>12.0</v>
      </c>
    </row>
    <row r="1486">
      <c r="A1486" s="151">
        <f>IFERROR(__xludf.DUMMYFUNCTION("""COMPUTED_VALUE"""),43786.147747511575)</f>
        <v>43786.14775</v>
      </c>
      <c r="B1486" t="str">
        <f>IFERROR(__xludf.DUMMYFUNCTION("""COMPUTED_VALUE"""),"Nico")</f>
        <v>Nico</v>
      </c>
      <c r="C1486" s="169" t="str">
        <f>IFERROR(__xludf.DUMMYFUNCTION("""COMPUTED_VALUE"""),"Houston")</f>
        <v>Houston</v>
      </c>
      <c r="D1486">
        <f>IFERROR(__xludf.DUMMYFUNCTION("""COMPUTED_VALUE"""),3.0)</f>
        <v>3</v>
      </c>
      <c r="E1486">
        <f>IFERROR(__xludf.DUMMYFUNCTION("""COMPUTED_VALUE"""),7.0)</f>
        <v>7</v>
      </c>
      <c r="F1486" t="str">
        <f>IFERROR(__xludf.DUMMYFUNCTION("""COMPUTED_VALUE"""),"ESPN2")</f>
        <v>ESPN2</v>
      </c>
      <c r="G1486" t="str">
        <f>IFERROR(__xludf.DUMMYFUNCTION("""COMPUTED_VALUE"""),"(18) Memphis 45 at Houston 27")</f>
        <v>(18) Memphis 45 at Houston 27</v>
      </c>
      <c r="H1486" t="str">
        <f>IFERROR(__xludf.DUMMYFUNCTION("""COMPUTED_VALUE"""),"FINAL")</f>
        <v>FINAL</v>
      </c>
      <c r="I1486" t="str">
        <f>IFERROR(__xludf.DUMMYFUNCTION("""COMPUTED_VALUE"""),"10½")</f>
        <v>10½</v>
      </c>
      <c r="J1486" t="str">
        <f>IFERROR(__xludf.DUMMYFUNCTION("""COMPUTED_VALUE"""),"71½")</f>
        <v>71½</v>
      </c>
      <c r="K1486" t="str">
        <f>IFERROR(__xludf.DUMMYFUNCTION("""COMPUTED_VALUE"""),"Brad")</f>
        <v>Brad</v>
      </c>
      <c r="L1486" t="str">
        <f>IFERROR(__xludf.DUMMYFUNCTION("""COMPUTED_VALUE"""),"FINAL")</f>
        <v>FINAL</v>
      </c>
      <c r="M1486" s="124">
        <v>12.0</v>
      </c>
    </row>
    <row r="1487">
      <c r="A1487" s="151">
        <f>IFERROR(__xludf.DUMMYFUNCTION("""COMPUTED_VALUE"""),43786.147747511575)</f>
        <v>43786.14775</v>
      </c>
      <c r="B1487" t="str">
        <f>IFERROR(__xludf.DUMMYFUNCTION("""COMPUTED_VALUE"""),"Nico")</f>
        <v>Nico</v>
      </c>
      <c r="C1487" s="169" t="str">
        <f>IFERROR(__xludf.DUMMYFUNCTION("""COMPUTED_VALUE"""),"West Virginia")</f>
        <v>West Virginia</v>
      </c>
      <c r="D1487">
        <f>IFERROR(__xludf.DUMMYFUNCTION("""COMPUTED_VALUE"""),4.0)</f>
        <v>4</v>
      </c>
      <c r="E1487">
        <f>IFERROR(__xludf.DUMMYFUNCTION("""COMPUTED_VALUE"""),6.0)</f>
        <v>6</v>
      </c>
      <c r="F1487" t="str">
        <f>IFERROR(__xludf.DUMMYFUNCTION("""COMPUTED_VALUE"""),"ESPN")</f>
        <v>ESPN</v>
      </c>
      <c r="G1487" t="str">
        <f>IFERROR(__xludf.DUMMYFUNCTION("""COMPUTED_VALUE"""),"West Virginia 24 at Kansas State 20")</f>
        <v>West Virginia 24 at Kansas State 20</v>
      </c>
      <c r="H1487" t="str">
        <f>IFERROR(__xludf.DUMMYFUNCTION("""COMPUTED_VALUE"""),"FINAL")</f>
        <v>FINAL</v>
      </c>
      <c r="I1487">
        <f>IFERROR(__xludf.DUMMYFUNCTION("""COMPUTED_VALUE"""),15.0)</f>
        <v>15</v>
      </c>
      <c r="J1487">
        <f>IFERROR(__xludf.DUMMYFUNCTION("""COMPUTED_VALUE"""),50.0)</f>
        <v>50</v>
      </c>
      <c r="K1487" t="str">
        <f>IFERROR(__xludf.DUMMYFUNCTION("""COMPUTED_VALUE"""),"Nick G.")</f>
        <v>Nick G.</v>
      </c>
      <c r="L1487" t="str">
        <f>IFERROR(__xludf.DUMMYFUNCTION("""COMPUTED_VALUE"""),"FINAL")</f>
        <v>FINAL</v>
      </c>
      <c r="M1487" s="124">
        <v>12.0</v>
      </c>
    </row>
    <row r="1488">
      <c r="A1488" s="151">
        <f>IFERROR(__xludf.DUMMYFUNCTION("""COMPUTED_VALUE"""),43786.147747511575)</f>
        <v>43786.14775</v>
      </c>
      <c r="B1488" t="str">
        <f>IFERROR(__xludf.DUMMYFUNCTION("""COMPUTED_VALUE"""),"Nico")</f>
        <v>Nico</v>
      </c>
      <c r="C1488" s="169" t="str">
        <f>IFERROR(__xludf.DUMMYFUNCTION("""COMPUTED_VALUE"""),"Middle Tennessee")</f>
        <v>Middle Tennessee</v>
      </c>
      <c r="D1488">
        <f>IFERROR(__xludf.DUMMYFUNCTION("""COMPUTED_VALUE"""),3.0)</f>
        <v>3</v>
      </c>
      <c r="E1488">
        <f>IFERROR(__xludf.DUMMYFUNCTION("""COMPUTED_VALUE"""),7.0)</f>
        <v>7</v>
      </c>
      <c r="F1488" t="str">
        <f>IFERROR(__xludf.DUMMYFUNCTION("""COMPUTED_VALUE"""),"espn+ Video")</f>
        <v>espn+ Video</v>
      </c>
      <c r="G1488" t="str">
        <f>IFERROR(__xludf.DUMMYFUNCTION("""COMPUTED_VALUE"""),"Rice 31 at Middle Tennessee 28")</f>
        <v>Rice 31 at Middle Tennessee 28</v>
      </c>
      <c r="H1488" t="str">
        <f>IFERROR(__xludf.DUMMYFUNCTION("""COMPUTED_VALUE"""),"FINAL")</f>
        <v>FINAL</v>
      </c>
      <c r="I1488" t="str">
        <f>IFERROR(__xludf.DUMMYFUNCTION("""COMPUTED_VALUE"""),"-13½")</f>
        <v>-13½</v>
      </c>
      <c r="J1488" t="str">
        <f>IFERROR(__xludf.DUMMYFUNCTION("""COMPUTED_VALUE"""),"46½")</f>
        <v>46½</v>
      </c>
      <c r="K1488" t="str">
        <f>IFERROR(__xludf.DUMMYFUNCTION("""COMPUTED_VALUE"""),"Undrafted")</f>
        <v>Undrafted</v>
      </c>
      <c r="L1488" t="str">
        <f>IFERROR(__xludf.DUMMYFUNCTION("""COMPUTED_VALUE"""),"FINAL")</f>
        <v>FINAL</v>
      </c>
      <c r="M1488" s="124">
        <v>12.0</v>
      </c>
    </row>
    <row r="1489">
      <c r="A1489" s="151">
        <f>IFERROR(__xludf.DUMMYFUNCTION("""COMPUTED_VALUE"""),43786.147747511575)</f>
        <v>43786.14775</v>
      </c>
      <c r="B1489" t="str">
        <f>IFERROR(__xludf.DUMMYFUNCTION("""COMPUTED_VALUE"""),"Nico")</f>
        <v>Nico</v>
      </c>
      <c r="C1489" s="169" t="str">
        <f>IFERROR(__xludf.DUMMYFUNCTION("""COMPUTED_VALUE"""),"Arizona State")</f>
        <v>Arizona State</v>
      </c>
      <c r="D1489">
        <f>IFERROR(__xludf.DUMMYFUNCTION("""COMPUTED_VALUE"""),5.0)</f>
        <v>5</v>
      </c>
      <c r="E1489">
        <f>IFERROR(__xludf.DUMMYFUNCTION("""COMPUTED_VALUE"""),5.0)</f>
        <v>5</v>
      </c>
      <c r="F1489" t="str">
        <f>IFERROR(__xludf.DUMMYFUNCTION("""COMPUTED_VALUE"""),"FS1")</f>
        <v>FS1</v>
      </c>
      <c r="G1489" t="str">
        <f>IFERROR(__xludf.DUMMYFUNCTION("""COMPUTED_VALUE"""),"Arizona State 34 at Oregon State 35")</f>
        <v>Arizona State 34 at Oregon State 35</v>
      </c>
      <c r="H1489" t="str">
        <f>IFERROR(__xludf.DUMMYFUNCTION("""COMPUTED_VALUE"""),"FINAL")</f>
        <v>FINAL</v>
      </c>
      <c r="I1489" t="str">
        <f>IFERROR(__xludf.DUMMYFUNCTION("""COMPUTED_VALUE"""),"-2½")</f>
        <v>-2½</v>
      </c>
      <c r="J1489">
        <f>IFERROR(__xludf.DUMMYFUNCTION("""COMPUTED_VALUE"""),58.0)</f>
        <v>58</v>
      </c>
      <c r="K1489" t="str">
        <f>IFERROR(__xludf.DUMMYFUNCTION("""COMPUTED_VALUE"""),"Adam")</f>
        <v>Adam</v>
      </c>
      <c r="L1489" t="str">
        <f>IFERROR(__xludf.DUMMYFUNCTION("""COMPUTED_VALUE"""),"FINAL")</f>
        <v>FINAL</v>
      </c>
      <c r="M1489" s="124">
        <v>12.0</v>
      </c>
    </row>
    <row r="1490">
      <c r="A1490" s="151">
        <f>IFERROR(__xludf.DUMMYFUNCTION("""COMPUTED_VALUE"""),43786.147747511575)</f>
        <v>43786.14775</v>
      </c>
      <c r="B1490" t="str">
        <f>IFERROR(__xludf.DUMMYFUNCTION("""COMPUTED_VALUE"""),"Nico")</f>
        <v>Nico</v>
      </c>
      <c r="C1490" s="169" t="str">
        <f>IFERROR(__xludf.DUMMYFUNCTION("""COMPUTED_VALUE"""),"New Mexico")</f>
        <v>New Mexico</v>
      </c>
      <c r="D1490">
        <f>IFERROR(__xludf.DUMMYFUNCTION("""COMPUTED_VALUE"""),2.0)</f>
        <v>2</v>
      </c>
      <c r="E1490">
        <f>IFERROR(__xludf.DUMMYFUNCTION("""COMPUTED_VALUE"""),8.0)</f>
        <v>8</v>
      </c>
      <c r="F1490" t="str">
        <f>IFERROR(__xludf.DUMMYFUNCTION("""COMPUTED_VALUE"""),"ESPN2")</f>
        <v>ESPN2</v>
      </c>
      <c r="G1490" t="str">
        <f>IFERROR(__xludf.DUMMYFUNCTION("""COMPUTED_VALUE"""),"New Mexico 9 at (19) Boise State 42")</f>
        <v>New Mexico 9 at (19) Boise State 42</v>
      </c>
      <c r="H1490" t="str">
        <f>IFERROR(__xludf.DUMMYFUNCTION("""COMPUTED_VALUE"""),"FINAL")</f>
        <v>FINAL</v>
      </c>
      <c r="I1490">
        <f>IFERROR(__xludf.DUMMYFUNCTION("""COMPUTED_VALUE"""),28.0)</f>
        <v>28</v>
      </c>
      <c r="J1490" t="str">
        <f>IFERROR(__xludf.DUMMYFUNCTION("""COMPUTED_VALUE"""),"59½")</f>
        <v>59½</v>
      </c>
      <c r="K1490" t="str">
        <f>IFERROR(__xludf.DUMMYFUNCTION("""COMPUTED_VALUE"""),"Janice/Mike")</f>
        <v>Janice/Mike</v>
      </c>
      <c r="L1490" t="str">
        <f>IFERROR(__xludf.DUMMYFUNCTION("""COMPUTED_VALUE"""),"FINAL")</f>
        <v>FINAL</v>
      </c>
      <c r="M1490" s="124">
        <v>12.0</v>
      </c>
    </row>
    <row r="1491">
      <c r="A1491" s="200">
        <f>IFERROR(__xludf.DUMMYFUNCTION("""COMPUTED_VALUE"""),43786.147747511575)</f>
        <v>43786.14775</v>
      </c>
      <c r="B1491" t="str">
        <f>IFERROR(__xludf.DUMMYFUNCTION("""COMPUTED_VALUE"""),"Nico")</f>
        <v>Nico</v>
      </c>
      <c r="C1491" s="169" t="str">
        <f>IFERROR(__xludf.DUMMYFUNCTION("""COMPUTED_VALUE"""),"Purdue")</f>
        <v>Purdue</v>
      </c>
      <c r="D1491">
        <f>IFERROR(__xludf.DUMMYFUNCTION("""COMPUTED_VALUE"""),4.0)</f>
        <v>4</v>
      </c>
      <c r="E1491">
        <f>IFERROR(__xludf.DUMMYFUNCTION("""COMPUTED_VALUE"""),6.0)</f>
        <v>6</v>
      </c>
      <c r="F1491" t="str">
        <f>IFERROR(__xludf.DUMMYFUNCTION("""COMPUTED_VALUE"""),"NA")</f>
        <v>NA</v>
      </c>
      <c r="G1491" t="str">
        <f>IFERROR(__xludf.DUMMYFUNCTION("""COMPUTED_VALUE"""),"BYE")</f>
        <v>BYE</v>
      </c>
      <c r="J1491" t="str">
        <f>IFERROR(__xludf.DUMMYFUNCTION("""COMPUTED_VALUE""")," No Line")</f>
        <v> No Line</v>
      </c>
      <c r="L1491">
        <f>IFERROR(__xludf.DUMMYFUNCTION("""COMPUTED_VALUE"""),9999.0)</f>
        <v>9999</v>
      </c>
      <c r="M1491" s="124">
        <v>12.0</v>
      </c>
    </row>
    <row r="1492">
      <c r="A1492" s="151">
        <f>IFERROR(__xludf.DUMMYFUNCTION("""COMPUTED_VALUE"""),43786.147747511575)</f>
        <v>43786.14775</v>
      </c>
      <c r="B1492" t="str">
        <f>IFERROR(__xludf.DUMMYFUNCTION("""COMPUTED_VALUE"""),"Jeannine")</f>
        <v>Jeannine</v>
      </c>
      <c r="C1492" s="169" t="str">
        <f>IFERROR(__xludf.DUMMYFUNCTION("""COMPUTED_VALUE"""),"Western Michigan")</f>
        <v>Western Michigan</v>
      </c>
      <c r="D1492">
        <f>IFERROR(__xludf.DUMMYFUNCTION("""COMPUTED_VALUE"""),7.0)</f>
        <v>7</v>
      </c>
      <c r="E1492">
        <f>IFERROR(__xludf.DUMMYFUNCTION("""COMPUTED_VALUE"""),4.0)</f>
        <v>4</v>
      </c>
      <c r="F1492" t="str">
        <f>IFERROR(__xludf.DUMMYFUNCTION("""COMPUTED_VALUE"""),"ESPN2")</f>
        <v>ESPN2</v>
      </c>
      <c r="G1492" t="str">
        <f>IFERROR(__xludf.DUMMYFUNCTION("""COMPUTED_VALUE"""),"Western Michigan 37 at Ohio 34")</f>
        <v>Western Michigan 37 at Ohio 34</v>
      </c>
      <c r="H1492" t="str">
        <f>IFERROR(__xludf.DUMMYFUNCTION("""COMPUTED_VALUE"""),"FINAL - OT")</f>
        <v>FINAL - OT</v>
      </c>
      <c r="I1492" t="str">
        <f>IFERROR(__xludf.DUMMYFUNCTION("""COMPUTED_VALUE"""),"1½")</f>
        <v>1½</v>
      </c>
      <c r="J1492">
        <f>IFERROR(__xludf.DUMMYFUNCTION("""COMPUTED_VALUE"""),60.0)</f>
        <v>60</v>
      </c>
      <c r="K1492" t="str">
        <f>IFERROR(__xludf.DUMMYFUNCTION("""COMPUTED_VALUE"""),"Gary")</f>
        <v>Gary</v>
      </c>
      <c r="L1492" t="str">
        <f>IFERROR(__xludf.DUMMYFUNCTION("""COMPUTED_VALUE"""),"FINAL - OT")</f>
        <v>FINAL - OT</v>
      </c>
      <c r="M1492" s="124">
        <v>12.0</v>
      </c>
    </row>
    <row r="1493">
      <c r="A1493" s="151">
        <f>IFERROR(__xludf.DUMMYFUNCTION("""COMPUTED_VALUE"""),43786.147747511575)</f>
        <v>43786.14775</v>
      </c>
      <c r="B1493" t="str">
        <f>IFERROR(__xludf.DUMMYFUNCTION("""COMPUTED_VALUE"""),"Jeannine")</f>
        <v>Jeannine</v>
      </c>
      <c r="C1493" s="169" t="str">
        <f>IFERROR(__xludf.DUMMYFUNCTION("""COMPUTED_VALUE"""),"Mississippi State")</f>
        <v>Mississippi State</v>
      </c>
      <c r="D1493">
        <f>IFERROR(__xludf.DUMMYFUNCTION("""COMPUTED_VALUE"""),4.0)</f>
        <v>4</v>
      </c>
      <c r="E1493">
        <f>IFERROR(__xludf.DUMMYFUNCTION("""COMPUTED_VALUE"""),6.0)</f>
        <v>6</v>
      </c>
      <c r="F1493" t="str">
        <f>IFERROR(__xludf.DUMMYFUNCTION("""COMPUTED_VALUE"""),"ESPN")</f>
        <v>ESPN</v>
      </c>
      <c r="G1493" t="str">
        <f>IFERROR(__xludf.DUMMYFUNCTION("""COMPUTED_VALUE"""),"(4) Alabama 38 at Mississippi State 7")</f>
        <v>(4) Alabama 38 at Mississippi State 7</v>
      </c>
      <c r="H1493" t="str">
        <f>IFERROR(__xludf.DUMMYFUNCTION("""COMPUTED_VALUE"""),"FINAL")</f>
        <v>FINAL</v>
      </c>
      <c r="I1493">
        <f>IFERROR(__xludf.DUMMYFUNCTION("""COMPUTED_VALUE"""),21.0)</f>
        <v>21</v>
      </c>
      <c r="J1493" t="str">
        <f>IFERROR(__xludf.DUMMYFUNCTION("""COMPUTED_VALUE"""),"62½")</f>
        <v>62½</v>
      </c>
      <c r="K1493" t="str">
        <f>IFERROR(__xludf.DUMMYFUNCTION("""COMPUTED_VALUE"""),"DavEmily")</f>
        <v>DavEmily</v>
      </c>
      <c r="L1493" t="str">
        <f>IFERROR(__xludf.DUMMYFUNCTION("""COMPUTED_VALUE"""),"FINAL")</f>
        <v>FINAL</v>
      </c>
      <c r="M1493" s="124">
        <v>12.0</v>
      </c>
    </row>
    <row r="1494">
      <c r="A1494" s="151">
        <f>IFERROR(__xludf.DUMMYFUNCTION("""COMPUTED_VALUE"""),43786.147747511575)</f>
        <v>43786.14775</v>
      </c>
      <c r="B1494" t="str">
        <f>IFERROR(__xludf.DUMMYFUNCTION("""COMPUTED_VALUE"""),"Jeannine")</f>
        <v>Jeannine</v>
      </c>
      <c r="C1494" s="169" t="str">
        <f>IFERROR(__xludf.DUMMYFUNCTION("""COMPUTED_VALUE"""),"Penn State")</f>
        <v>Penn State</v>
      </c>
      <c r="D1494">
        <f>IFERROR(__xludf.DUMMYFUNCTION("""COMPUTED_VALUE"""),9.0)</f>
        <v>9</v>
      </c>
      <c r="E1494">
        <f>IFERROR(__xludf.DUMMYFUNCTION("""COMPUTED_VALUE"""),1.0)</f>
        <v>1</v>
      </c>
      <c r="F1494" t="str">
        <f>IFERROR(__xludf.DUMMYFUNCTION("""COMPUTED_VALUE"""),"ABC")</f>
        <v>ABC</v>
      </c>
      <c r="G1494" t="str">
        <f>IFERROR(__xludf.DUMMYFUNCTION("""COMPUTED_VALUE"""),"(25) Indiana 27 at (11) Penn State 34")</f>
        <v>(25) Indiana 27 at (11) Penn State 34</v>
      </c>
      <c r="H1494" t="str">
        <f>IFERROR(__xludf.DUMMYFUNCTION("""COMPUTED_VALUE"""),"FINAL")</f>
        <v>FINAL</v>
      </c>
      <c r="I1494" t="str">
        <f>IFERROR(__xludf.DUMMYFUNCTION("""COMPUTED_VALUE"""),"-14½")</f>
        <v>-14½</v>
      </c>
      <c r="J1494" t="str">
        <f>IFERROR(__xludf.DUMMYFUNCTION("""COMPUTED_VALUE"""),"50½")</f>
        <v>50½</v>
      </c>
      <c r="K1494" t="str">
        <f>IFERROR(__xludf.DUMMYFUNCTION("""COMPUTED_VALUE"""),"Brad")</f>
        <v>Brad</v>
      </c>
      <c r="L1494" t="str">
        <f>IFERROR(__xludf.DUMMYFUNCTION("""COMPUTED_VALUE"""),"FINAL")</f>
        <v>FINAL</v>
      </c>
      <c r="M1494" s="124">
        <v>12.0</v>
      </c>
    </row>
    <row r="1495">
      <c r="A1495" s="151">
        <f>IFERROR(__xludf.DUMMYFUNCTION("""COMPUTED_VALUE"""),43786.147747511575)</f>
        <v>43786.14775</v>
      </c>
      <c r="B1495" t="str">
        <f>IFERROR(__xludf.DUMMYFUNCTION("""COMPUTED_VALUE"""),"Jeannine")</f>
        <v>Jeannine</v>
      </c>
      <c r="C1495" s="169" t="str">
        <f>IFERROR(__xludf.DUMMYFUNCTION("""COMPUTED_VALUE"""),"UAB")</f>
        <v>UAB</v>
      </c>
      <c r="D1495">
        <f>IFERROR(__xludf.DUMMYFUNCTION("""COMPUTED_VALUE"""),7.0)</f>
        <v>7</v>
      </c>
      <c r="E1495">
        <f>IFERROR(__xludf.DUMMYFUNCTION("""COMPUTED_VALUE"""),3.0)</f>
        <v>3</v>
      </c>
      <c r="F1495" t="str">
        <f>IFERROR(__xludf.DUMMYFUNCTION("""COMPUTED_VALUE"""),"espn3 Video")</f>
        <v>espn3 Video</v>
      </c>
      <c r="G1495" t="str">
        <f>IFERROR(__xludf.DUMMYFUNCTION("""COMPUTED_VALUE"""),"UTEP 10 at UAB 37")</f>
        <v>UTEP 10 at UAB 37</v>
      </c>
      <c r="H1495" t="str">
        <f>IFERROR(__xludf.DUMMYFUNCTION("""COMPUTED_VALUE"""),"FINAL")</f>
        <v>FINAL</v>
      </c>
      <c r="I1495">
        <f>IFERROR(__xludf.DUMMYFUNCTION("""COMPUTED_VALUE"""),-18.0)</f>
        <v>-18</v>
      </c>
      <c r="J1495">
        <f>IFERROR(__xludf.DUMMYFUNCTION("""COMPUTED_VALUE"""),45.0)</f>
        <v>45</v>
      </c>
      <c r="K1495" t="str">
        <f>IFERROR(__xludf.DUMMYFUNCTION("""COMPUTED_VALUE"""),"Undrafted")</f>
        <v>Undrafted</v>
      </c>
      <c r="L1495" t="str">
        <f>IFERROR(__xludf.DUMMYFUNCTION("""COMPUTED_VALUE"""),"FINAL")</f>
        <v>FINAL</v>
      </c>
      <c r="M1495" s="124">
        <v>12.0</v>
      </c>
    </row>
    <row r="1496">
      <c r="A1496" s="151">
        <f>IFERROR(__xludf.DUMMYFUNCTION("""COMPUTED_VALUE"""),43786.147747511575)</f>
        <v>43786.14775</v>
      </c>
      <c r="B1496" t="str">
        <f>IFERROR(__xludf.DUMMYFUNCTION("""COMPUTED_VALUE"""),"Jeannine")</f>
        <v>Jeannine</v>
      </c>
      <c r="C1496" s="169" t="str">
        <f>IFERROR(__xludf.DUMMYFUNCTION("""COMPUTED_VALUE"""),"UL Monroe")</f>
        <v>UL Monroe</v>
      </c>
      <c r="D1496">
        <f>IFERROR(__xludf.DUMMYFUNCTION("""COMPUTED_VALUE"""),4.0)</f>
        <v>4</v>
      </c>
      <c r="E1496">
        <f>IFERROR(__xludf.DUMMYFUNCTION("""COMPUTED_VALUE"""),6.0)</f>
        <v>6</v>
      </c>
      <c r="F1496" t="str">
        <f>IFERROR(__xludf.DUMMYFUNCTION("""COMPUTED_VALUE"""),"NA")</f>
        <v>NA</v>
      </c>
      <c r="G1496" t="str">
        <f>IFERROR(__xludf.DUMMYFUNCTION("""COMPUTED_VALUE"""),"UL Monroe 29 at Georgia Southern 51")</f>
        <v>UL Monroe 29 at Georgia Southern 51</v>
      </c>
      <c r="H1496" t="str">
        <f>IFERROR(__xludf.DUMMYFUNCTION("""COMPUTED_VALUE"""),"FINAL")</f>
        <v>FINAL</v>
      </c>
      <c r="I1496">
        <f>IFERROR(__xludf.DUMMYFUNCTION("""COMPUTED_VALUE"""),7.0)</f>
        <v>7</v>
      </c>
      <c r="J1496">
        <f>IFERROR(__xludf.DUMMYFUNCTION("""COMPUTED_VALUE"""),58.0)</f>
        <v>58</v>
      </c>
      <c r="K1496" t="str">
        <f>IFERROR(__xludf.DUMMYFUNCTION("""COMPUTED_VALUE"""),"Janice/Mike")</f>
        <v>Janice/Mike</v>
      </c>
      <c r="L1496" t="str">
        <f>IFERROR(__xludf.DUMMYFUNCTION("""COMPUTED_VALUE"""),"FINAL")</f>
        <v>FINAL</v>
      </c>
      <c r="M1496" s="124">
        <v>12.0</v>
      </c>
    </row>
    <row r="1497">
      <c r="A1497" s="151">
        <f>IFERROR(__xludf.DUMMYFUNCTION("""COMPUTED_VALUE"""),43786.147747511575)</f>
        <v>43786.14775</v>
      </c>
      <c r="B1497" t="str">
        <f>IFERROR(__xludf.DUMMYFUNCTION("""COMPUTED_VALUE"""),"Jeannine")</f>
        <v>Jeannine</v>
      </c>
      <c r="C1497" s="169" t="str">
        <f>IFERROR(__xludf.DUMMYFUNCTION("""COMPUTED_VALUE"""),"Oklahoma")</f>
        <v>Oklahoma</v>
      </c>
      <c r="D1497">
        <f>IFERROR(__xludf.DUMMYFUNCTION("""COMPUTED_VALUE"""),9.0)</f>
        <v>9</v>
      </c>
      <c r="E1497">
        <f>IFERROR(__xludf.DUMMYFUNCTION("""COMPUTED_VALUE"""),1.0)</f>
        <v>1</v>
      </c>
      <c r="F1497" t="str">
        <f>IFERROR(__xludf.DUMMYFUNCTION("""COMPUTED_VALUE"""),"ABC")</f>
        <v>ABC</v>
      </c>
      <c r="G1497" t="str">
        <f>IFERROR(__xludf.DUMMYFUNCTION("""COMPUTED_VALUE"""),"(8) Oklahoma 34 at (10) Baylor 31")</f>
        <v>(8) Oklahoma 34 at (10) Baylor 31</v>
      </c>
      <c r="H1497" t="str">
        <f>IFERROR(__xludf.DUMMYFUNCTION("""COMPUTED_VALUE"""),"FINAL")</f>
        <v>FINAL</v>
      </c>
      <c r="I1497">
        <f>IFERROR(__xludf.DUMMYFUNCTION("""COMPUTED_VALUE"""),-10.0)</f>
        <v>-10</v>
      </c>
      <c r="J1497" t="str">
        <f>IFERROR(__xludf.DUMMYFUNCTION("""COMPUTED_VALUE"""),"67½")</f>
        <v>67½</v>
      </c>
      <c r="K1497" t="str">
        <f>IFERROR(__xludf.DUMMYFUNCTION("""COMPUTED_VALUE"""),"Justin")</f>
        <v>Justin</v>
      </c>
      <c r="L1497" t="str">
        <f>IFERROR(__xludf.DUMMYFUNCTION("""COMPUTED_VALUE"""),"FINAL")</f>
        <v>FINAL</v>
      </c>
      <c r="M1497" s="124">
        <v>12.0</v>
      </c>
    </row>
    <row r="1498">
      <c r="A1498" s="151">
        <f>IFERROR(__xludf.DUMMYFUNCTION("""COMPUTED_VALUE"""),43786.147747511575)</f>
        <v>43786.14775</v>
      </c>
      <c r="B1498" t="str">
        <f>IFERROR(__xludf.DUMMYFUNCTION("""COMPUTED_VALUE"""),"Jeannine")</f>
        <v>Jeannine</v>
      </c>
      <c r="C1498" s="169" t="str">
        <f>IFERROR(__xludf.DUMMYFUNCTION("""COMPUTED_VALUE"""),"SMU")</f>
        <v>SMU</v>
      </c>
      <c r="D1498">
        <f>IFERROR(__xludf.DUMMYFUNCTION("""COMPUTED_VALUE"""),9.0)</f>
        <v>9</v>
      </c>
      <c r="E1498">
        <f>IFERROR(__xludf.DUMMYFUNCTION("""COMPUTED_VALUE"""),1.0)</f>
        <v>1</v>
      </c>
      <c r="F1498" t="str">
        <f>IFERROR(__xludf.DUMMYFUNCTION("""COMPUTED_VALUE"""),"NA")</f>
        <v>NA</v>
      </c>
      <c r="G1498" t="str">
        <f>IFERROR(__xludf.DUMMYFUNCTION("""COMPUTED_VALUE"""),"BYE")</f>
        <v>BYE</v>
      </c>
      <c r="J1498" t="str">
        <f>IFERROR(__xludf.DUMMYFUNCTION("""COMPUTED_VALUE""")," No Line")</f>
        <v> No Line</v>
      </c>
      <c r="L1498">
        <f>IFERROR(__xludf.DUMMYFUNCTION("""COMPUTED_VALUE"""),9999.0)</f>
        <v>9999</v>
      </c>
      <c r="M1498" s="124">
        <v>12.0</v>
      </c>
    </row>
    <row r="1499">
      <c r="A1499" s="151">
        <f>IFERROR(__xludf.DUMMYFUNCTION("""COMPUTED_VALUE"""),43786.147747511575)</f>
        <v>43786.14775</v>
      </c>
      <c r="B1499" t="str">
        <f>IFERROR(__xludf.DUMMYFUNCTION("""COMPUTED_VALUE"""),"Jeannine")</f>
        <v>Jeannine</v>
      </c>
      <c r="C1499" s="169" t="str">
        <f>IFERROR(__xludf.DUMMYFUNCTION("""COMPUTED_VALUE"""),"Virginia")</f>
        <v>Virginia</v>
      </c>
      <c r="D1499">
        <f>IFERROR(__xludf.DUMMYFUNCTION("""COMPUTED_VALUE"""),7.0)</f>
        <v>7</v>
      </c>
      <c r="E1499">
        <f>IFERROR(__xludf.DUMMYFUNCTION("""COMPUTED_VALUE"""),3.0)</f>
        <v>3</v>
      </c>
      <c r="F1499" t="str">
        <f>IFERROR(__xludf.DUMMYFUNCTION("""COMPUTED_VALUE"""),"NA")</f>
        <v>NA</v>
      </c>
      <c r="G1499" t="str">
        <f>IFERROR(__xludf.DUMMYFUNCTION("""COMPUTED_VALUE"""),"BYE")</f>
        <v>BYE</v>
      </c>
      <c r="I1499" t="str">
        <f>IFERROR(__xludf.DUMMYFUNCTION("""COMPUTED_VALUE"""),"No Line")</f>
        <v>No Line</v>
      </c>
      <c r="L1499">
        <f>IFERROR(__xludf.DUMMYFUNCTION("""COMPUTED_VALUE"""),9999.0)</f>
        <v>9999</v>
      </c>
      <c r="M1499" s="124">
        <v>12.0</v>
      </c>
    </row>
    <row r="1500">
      <c r="A1500" s="151">
        <f>IFERROR(__xludf.DUMMYFUNCTION("""COMPUTED_VALUE"""),43786.147747511575)</f>
        <v>43786.14775</v>
      </c>
      <c r="B1500" t="str">
        <f>IFERROR(__xludf.DUMMYFUNCTION("""COMPUTED_VALUE"""),"Jeannine")</f>
        <v>Jeannine</v>
      </c>
      <c r="C1500" s="169" t="str">
        <f>IFERROR(__xludf.DUMMYFUNCTION("""COMPUTED_VALUE"""),"Colorado")</f>
        <v>Colorado</v>
      </c>
      <c r="D1500">
        <f>IFERROR(__xludf.DUMMYFUNCTION("""COMPUTED_VALUE"""),4.0)</f>
        <v>4</v>
      </c>
      <c r="E1500">
        <f>IFERROR(__xludf.DUMMYFUNCTION("""COMPUTED_VALUE"""),6.0)</f>
        <v>6</v>
      </c>
      <c r="F1500" t="str">
        <f>IFERROR(__xludf.DUMMYFUNCTION("""COMPUTED_VALUE"""),"NA")</f>
        <v>NA</v>
      </c>
      <c r="G1500" t="str">
        <f>IFERROR(__xludf.DUMMYFUNCTION("""COMPUTED_VALUE"""),"BYE")</f>
        <v>BYE</v>
      </c>
      <c r="I1500" t="str">
        <f>IFERROR(__xludf.DUMMYFUNCTION("""COMPUTED_VALUE"""),"No Line")</f>
        <v>No Line</v>
      </c>
      <c r="L1500">
        <f>IFERROR(__xludf.DUMMYFUNCTION("""COMPUTED_VALUE"""),9999.0)</f>
        <v>9999</v>
      </c>
      <c r="M1500" s="124">
        <v>12.0</v>
      </c>
    </row>
    <row r="1501">
      <c r="A1501" s="200">
        <f>IFERROR(__xludf.DUMMYFUNCTION("""COMPUTED_VALUE"""),43786.147747511575)</f>
        <v>43786.14775</v>
      </c>
      <c r="B1501" t="str">
        <f>IFERROR(__xludf.DUMMYFUNCTION("""COMPUTED_VALUE"""),"Jeannine")</f>
        <v>Jeannine</v>
      </c>
      <c r="C1501" s="169" t="str">
        <f>IFERROR(__xludf.DUMMYFUNCTION("""COMPUTED_VALUE"""),"San José State")</f>
        <v>San José State</v>
      </c>
      <c r="D1501">
        <f>IFERROR(__xludf.DUMMYFUNCTION("""COMPUTED_VALUE"""),4.0)</f>
        <v>4</v>
      </c>
      <c r="E1501">
        <f>IFERROR(__xludf.DUMMYFUNCTION("""COMPUTED_VALUE"""),6.0)</f>
        <v>6</v>
      </c>
      <c r="F1501" t="str">
        <f>IFERROR(__xludf.DUMMYFUNCTION("""COMPUTED_VALUE"""),"NA")</f>
        <v>NA</v>
      </c>
      <c r="G1501" t="str">
        <f>IFERROR(__xludf.DUMMYFUNCTION("""COMPUTED_VALUE"""),"BYE")</f>
        <v>BYE</v>
      </c>
      <c r="J1501" t="str">
        <f>IFERROR(__xludf.DUMMYFUNCTION("""COMPUTED_VALUE""")," No Line")</f>
        <v> No Line</v>
      </c>
      <c r="L1501">
        <f>IFERROR(__xludf.DUMMYFUNCTION("""COMPUTED_VALUE"""),9999.0)</f>
        <v>9999</v>
      </c>
      <c r="M1501" s="124">
        <v>12.0</v>
      </c>
    </row>
    <row r="1502">
      <c r="A1502" s="151">
        <f>IFERROR(__xludf.DUMMYFUNCTION("""COMPUTED_VALUE"""),43786.147747511575)</f>
        <v>43786.14775</v>
      </c>
      <c r="B1502" t="str">
        <f>IFERROR(__xludf.DUMMYFUNCTION("""COMPUTED_VALUE"""),"Justin")</f>
        <v>Justin</v>
      </c>
      <c r="C1502" s="169" t="str">
        <f>IFERROR(__xludf.DUMMYFUNCTION("""COMPUTED_VALUE"""),"Buffalo")</f>
        <v>Buffalo</v>
      </c>
      <c r="D1502">
        <f>IFERROR(__xludf.DUMMYFUNCTION("""COMPUTED_VALUE"""),5.0)</f>
        <v>5</v>
      </c>
      <c r="E1502">
        <f>IFERROR(__xludf.DUMMYFUNCTION("""COMPUTED_VALUE"""),5.0)</f>
        <v>5</v>
      </c>
      <c r="F1502" t="str">
        <f>IFERROR(__xludf.DUMMYFUNCTION("""COMPUTED_VALUE"""),"CBSSN")</f>
        <v>CBSSN</v>
      </c>
      <c r="G1502" t="str">
        <f>IFERROR(__xludf.DUMMYFUNCTION("""COMPUTED_VALUE"""),"Buffalo 27 at Kent State 30")</f>
        <v>Buffalo 27 at Kent State 30</v>
      </c>
      <c r="H1502" t="str">
        <f>IFERROR(__xludf.DUMMYFUNCTION("""COMPUTED_VALUE"""),"FINAL")</f>
        <v>FINAL</v>
      </c>
      <c r="I1502">
        <f>IFERROR(__xludf.DUMMYFUNCTION("""COMPUTED_VALUE"""),-6.0)</f>
        <v>-6</v>
      </c>
      <c r="J1502" t="str">
        <f>IFERROR(__xludf.DUMMYFUNCTION("""COMPUTED_VALUE"""),"55½")</f>
        <v>55½</v>
      </c>
      <c r="K1502" t="str">
        <f>IFERROR(__xludf.DUMMYFUNCTION("""COMPUTED_VALUE"""),"Vu")</f>
        <v>Vu</v>
      </c>
      <c r="L1502" t="str">
        <f>IFERROR(__xludf.DUMMYFUNCTION("""COMPUTED_VALUE"""),"FINAL")</f>
        <v>FINAL</v>
      </c>
      <c r="M1502" s="124">
        <v>12.0</v>
      </c>
    </row>
    <row r="1503">
      <c r="A1503" s="151">
        <f>IFERROR(__xludf.DUMMYFUNCTION("""COMPUTED_VALUE"""),43786.147747511575)</f>
        <v>43786.14775</v>
      </c>
      <c r="B1503" t="str">
        <f>IFERROR(__xludf.DUMMYFUNCTION("""COMPUTED_VALUE"""),"Justin")</f>
        <v>Justin</v>
      </c>
      <c r="C1503" s="169" t="str">
        <f>IFERROR(__xludf.DUMMYFUNCTION("""COMPUTED_VALUE"""),"Iowa")</f>
        <v>Iowa</v>
      </c>
      <c r="D1503">
        <f>IFERROR(__xludf.DUMMYFUNCTION("""COMPUTED_VALUE"""),7.0)</f>
        <v>7</v>
      </c>
      <c r="E1503">
        <f>IFERROR(__xludf.DUMMYFUNCTION("""COMPUTED_VALUE"""),3.0)</f>
        <v>3</v>
      </c>
      <c r="F1503" t="str">
        <f>IFERROR(__xludf.DUMMYFUNCTION("""COMPUTED_VALUE"""),"FOX")</f>
        <v>FOX</v>
      </c>
      <c r="G1503" t="str">
        <f>IFERROR(__xludf.DUMMYFUNCTION("""COMPUTED_VALUE"""),"(7) Minnesota 19 at (22) Iowa 23")</f>
        <v>(7) Minnesota 19 at (22) Iowa 23</v>
      </c>
      <c r="H1503" t="str">
        <f>IFERROR(__xludf.DUMMYFUNCTION("""COMPUTED_VALUE"""),"FINAL")</f>
        <v>FINAL</v>
      </c>
      <c r="I1503">
        <f>IFERROR(__xludf.DUMMYFUNCTION("""COMPUTED_VALUE"""),-3.0)</f>
        <v>-3</v>
      </c>
      <c r="J1503" t="str">
        <f>IFERROR(__xludf.DUMMYFUNCTION("""COMPUTED_VALUE"""),"44½")</f>
        <v>44½</v>
      </c>
      <c r="K1503" t="str">
        <f>IFERROR(__xludf.DUMMYFUNCTION("""COMPUTED_VALUE"""),"Josh R.")</f>
        <v>Josh R.</v>
      </c>
      <c r="L1503" t="str">
        <f>IFERROR(__xludf.DUMMYFUNCTION("""COMPUTED_VALUE"""),"FINAL")</f>
        <v>FINAL</v>
      </c>
      <c r="M1503" s="124">
        <v>12.0</v>
      </c>
    </row>
    <row r="1504">
      <c r="A1504" s="151">
        <f>IFERROR(__xludf.DUMMYFUNCTION("""COMPUTED_VALUE"""),43786.147747511575)</f>
        <v>43786.14775</v>
      </c>
      <c r="B1504" t="str">
        <f>IFERROR(__xludf.DUMMYFUNCTION("""COMPUTED_VALUE"""),"Justin")</f>
        <v>Justin</v>
      </c>
      <c r="C1504" s="169" t="str">
        <f>IFERROR(__xludf.DUMMYFUNCTION("""COMPUTED_VALUE"""),"Duke")</f>
        <v>Duke</v>
      </c>
      <c r="D1504">
        <f>IFERROR(__xludf.DUMMYFUNCTION("""COMPUTED_VALUE"""),4.0)</f>
        <v>4</v>
      </c>
      <c r="E1504">
        <f>IFERROR(__xludf.DUMMYFUNCTION("""COMPUTED_VALUE"""),6.0)</f>
        <v>6</v>
      </c>
      <c r="F1504" t="str">
        <f>IFERROR(__xludf.DUMMYFUNCTION("""COMPUTED_VALUE"""),"ACC Network")</f>
        <v>ACC Network</v>
      </c>
      <c r="G1504" t="str">
        <f>IFERROR(__xludf.DUMMYFUNCTION("""COMPUTED_VALUE"""),"Syracuse 49 at Duke 6")</f>
        <v>Syracuse 49 at Duke 6</v>
      </c>
      <c r="H1504" t="str">
        <f>IFERROR(__xludf.DUMMYFUNCTION("""COMPUTED_VALUE"""),"FINAL")</f>
        <v>FINAL</v>
      </c>
      <c r="I1504" t="str">
        <f>IFERROR(__xludf.DUMMYFUNCTION("""COMPUTED_VALUE"""),"-10½")</f>
        <v>-10½</v>
      </c>
      <c r="J1504">
        <f>IFERROR(__xludf.DUMMYFUNCTION("""COMPUTED_VALUE"""),55.0)</f>
        <v>55</v>
      </c>
      <c r="K1504" t="str">
        <f>IFERROR(__xludf.DUMMYFUNCTION("""COMPUTED_VALUE"""),"Vu")</f>
        <v>Vu</v>
      </c>
      <c r="L1504" t="str">
        <f>IFERROR(__xludf.DUMMYFUNCTION("""COMPUTED_VALUE"""),"FINAL")</f>
        <v>FINAL</v>
      </c>
      <c r="M1504" s="124">
        <v>12.0</v>
      </c>
    </row>
    <row r="1505">
      <c r="A1505" s="151">
        <f>IFERROR(__xludf.DUMMYFUNCTION("""COMPUTED_VALUE"""),43786.147747511575)</f>
        <v>43786.14775</v>
      </c>
      <c r="B1505" t="str">
        <f>IFERROR(__xludf.DUMMYFUNCTION("""COMPUTED_VALUE"""),"Justin")</f>
        <v>Justin</v>
      </c>
      <c r="C1505" s="169" t="str">
        <f>IFERROR(__xludf.DUMMYFUNCTION("""COMPUTED_VALUE"""),"UNLV")</f>
        <v>UNLV</v>
      </c>
      <c r="D1505">
        <f>IFERROR(__xludf.DUMMYFUNCTION("""COMPUTED_VALUE"""),2.0)</f>
        <v>2</v>
      </c>
      <c r="E1505">
        <f>IFERROR(__xludf.DUMMYFUNCTION("""COMPUTED_VALUE"""),8.0)</f>
        <v>8</v>
      </c>
      <c r="F1505" t="str">
        <f>IFERROR(__xludf.DUMMYFUNCTION("""COMPUTED_VALUE"""),"Facebook Video")</f>
        <v>Facebook Video</v>
      </c>
      <c r="G1505" t="str">
        <f>IFERROR(__xludf.DUMMYFUNCTION("""COMPUTED_VALUE"""),"Hawaii 21 at UNLV 7")</f>
        <v>Hawaii 21 at UNLV 7</v>
      </c>
      <c r="H1505" t="str">
        <f>IFERROR(__xludf.DUMMYFUNCTION("""COMPUTED_VALUE"""),"FINAL")</f>
        <v>FINAL</v>
      </c>
      <c r="I1505">
        <f>IFERROR(__xludf.DUMMYFUNCTION("""COMPUTED_VALUE"""),7.0)</f>
        <v>7</v>
      </c>
      <c r="J1505">
        <f>IFERROR(__xludf.DUMMYFUNCTION("""COMPUTED_VALUE"""),71.0)</f>
        <v>71</v>
      </c>
      <c r="K1505" t="str">
        <f>IFERROR(__xludf.DUMMYFUNCTION("""COMPUTED_VALUE"""),"Vu")</f>
        <v>Vu</v>
      </c>
      <c r="L1505" t="str">
        <f>IFERROR(__xludf.DUMMYFUNCTION("""COMPUTED_VALUE"""),"FINAL")</f>
        <v>FINAL</v>
      </c>
      <c r="M1505" s="124">
        <v>12.0</v>
      </c>
    </row>
    <row r="1506">
      <c r="A1506" s="151">
        <f>IFERROR(__xludf.DUMMYFUNCTION("""COMPUTED_VALUE"""),43786.147747511575)</f>
        <v>43786.14775</v>
      </c>
      <c r="B1506" t="str">
        <f>IFERROR(__xludf.DUMMYFUNCTION("""COMPUTED_VALUE"""),"Justin")</f>
        <v>Justin</v>
      </c>
      <c r="C1506" s="169" t="str">
        <f>IFERROR(__xludf.DUMMYFUNCTION("""COMPUTED_VALUE"""),"South Florida")</f>
        <v>South Florida</v>
      </c>
      <c r="D1506">
        <f>IFERROR(__xludf.DUMMYFUNCTION("""COMPUTED_VALUE"""),4.0)</f>
        <v>4</v>
      </c>
      <c r="E1506">
        <f>IFERROR(__xludf.DUMMYFUNCTION("""COMPUTED_VALUE"""),6.0)</f>
        <v>6</v>
      </c>
      <c r="F1506" t="str">
        <f>IFERROR(__xludf.DUMMYFUNCTION("""COMPUTED_VALUE"""),"CBSSN")</f>
        <v>CBSSN</v>
      </c>
      <c r="G1506" t="str">
        <f>IFERROR(__xludf.DUMMYFUNCTION("""COMPUTED_VALUE"""),"(17) Cincinnati 20 at South Florida 17")</f>
        <v>(17) Cincinnati 20 at South Florida 17</v>
      </c>
      <c r="H1506" t="str">
        <f>IFERROR(__xludf.DUMMYFUNCTION("""COMPUTED_VALUE"""),"FINAL")</f>
        <v>FINAL</v>
      </c>
      <c r="I1506">
        <f>IFERROR(__xludf.DUMMYFUNCTION("""COMPUTED_VALUE"""),14.0)</f>
        <v>14</v>
      </c>
      <c r="J1506">
        <f>IFERROR(__xludf.DUMMYFUNCTION("""COMPUTED_VALUE"""),50.0)</f>
        <v>50</v>
      </c>
      <c r="K1506" t="str">
        <f>IFERROR(__xludf.DUMMYFUNCTION("""COMPUTED_VALUE"""),"Vu")</f>
        <v>Vu</v>
      </c>
      <c r="L1506" t="str">
        <f>IFERROR(__xludf.DUMMYFUNCTION("""COMPUTED_VALUE"""),"FINAL")</f>
        <v>FINAL</v>
      </c>
      <c r="M1506" s="124">
        <v>12.0</v>
      </c>
    </row>
    <row r="1507">
      <c r="A1507" s="151">
        <f>IFERROR(__xludf.DUMMYFUNCTION("""COMPUTED_VALUE"""),43786.147747511575)</f>
        <v>43786.14775</v>
      </c>
      <c r="B1507" t="str">
        <f>IFERROR(__xludf.DUMMYFUNCTION("""COMPUTED_VALUE"""),"Justin")</f>
        <v>Justin</v>
      </c>
      <c r="C1507" s="169" t="str">
        <f>IFERROR(__xludf.DUMMYFUNCTION("""COMPUTED_VALUE"""),"Baylor")</f>
        <v>Baylor</v>
      </c>
      <c r="D1507">
        <f>IFERROR(__xludf.DUMMYFUNCTION("""COMPUTED_VALUE"""),9.0)</f>
        <v>9</v>
      </c>
      <c r="E1507">
        <f>IFERROR(__xludf.DUMMYFUNCTION("""COMPUTED_VALUE"""),1.0)</f>
        <v>1</v>
      </c>
      <c r="F1507" t="str">
        <f>IFERROR(__xludf.DUMMYFUNCTION("""COMPUTED_VALUE"""),"ABC")</f>
        <v>ABC</v>
      </c>
      <c r="G1507" t="str">
        <f>IFERROR(__xludf.DUMMYFUNCTION("""COMPUTED_VALUE"""),"(8) Oklahoma 34 at (10) Baylor 31")</f>
        <v>(8) Oklahoma 34 at (10) Baylor 31</v>
      </c>
      <c r="H1507" t="str">
        <f>IFERROR(__xludf.DUMMYFUNCTION("""COMPUTED_VALUE"""),"FINAL")</f>
        <v>FINAL</v>
      </c>
      <c r="I1507">
        <f>IFERROR(__xludf.DUMMYFUNCTION("""COMPUTED_VALUE"""),10.0)</f>
        <v>10</v>
      </c>
      <c r="J1507" t="str">
        <f>IFERROR(__xludf.DUMMYFUNCTION("""COMPUTED_VALUE"""),"67½")</f>
        <v>67½</v>
      </c>
      <c r="K1507" t="str">
        <f>IFERROR(__xludf.DUMMYFUNCTION("""COMPUTED_VALUE"""),"Jeannine")</f>
        <v>Jeannine</v>
      </c>
      <c r="L1507" t="str">
        <f>IFERROR(__xludf.DUMMYFUNCTION("""COMPUTED_VALUE"""),"FINAL")</f>
        <v>FINAL</v>
      </c>
      <c r="M1507" s="124">
        <v>12.0</v>
      </c>
    </row>
    <row r="1508">
      <c r="A1508" s="151">
        <f>IFERROR(__xludf.DUMMYFUNCTION("""COMPUTED_VALUE"""),43786.147747511575)</f>
        <v>43786.14775</v>
      </c>
      <c r="B1508" t="str">
        <f>IFERROR(__xludf.DUMMYFUNCTION("""COMPUTED_VALUE"""),"Justin")</f>
        <v>Justin</v>
      </c>
      <c r="C1508" s="169" t="str">
        <f>IFERROR(__xludf.DUMMYFUNCTION("""COMPUTED_VALUE"""),"Appalachian State")</f>
        <v>Appalachian State</v>
      </c>
      <c r="D1508">
        <f>IFERROR(__xludf.DUMMYFUNCTION("""COMPUTED_VALUE"""),9.0)</f>
        <v>9</v>
      </c>
      <c r="E1508">
        <f>IFERROR(__xludf.DUMMYFUNCTION("""COMPUTED_VALUE"""),1.0)</f>
        <v>1</v>
      </c>
      <c r="F1508" t="str">
        <f>IFERROR(__xludf.DUMMYFUNCTION("""COMPUTED_VALUE"""),"ESPNU")</f>
        <v>ESPNU</v>
      </c>
      <c r="G1508" t="str">
        <f>IFERROR(__xludf.DUMMYFUNCTION("""COMPUTED_VALUE"""),"(24) Appalachian State 56 at Georgia State 27")</f>
        <v>(24) Appalachian State 56 at Georgia State 27</v>
      </c>
      <c r="H1508" t="str">
        <f>IFERROR(__xludf.DUMMYFUNCTION("""COMPUTED_VALUE"""),"FINAL")</f>
        <v>FINAL</v>
      </c>
      <c r="I1508" t="str">
        <f>IFERROR(__xludf.DUMMYFUNCTION("""COMPUTED_VALUE"""),"-15½")</f>
        <v>-15½</v>
      </c>
      <c r="J1508" t="str">
        <f>IFERROR(__xludf.DUMMYFUNCTION("""COMPUTED_VALUE"""),"62½")</f>
        <v>62½</v>
      </c>
      <c r="K1508" t="str">
        <f>IFERROR(__xludf.DUMMYFUNCTION("""COMPUTED_VALUE"""),"Adam")</f>
        <v>Adam</v>
      </c>
      <c r="L1508" t="str">
        <f>IFERROR(__xludf.DUMMYFUNCTION("""COMPUTED_VALUE"""),"FINAL")</f>
        <v>FINAL</v>
      </c>
      <c r="M1508" s="124">
        <v>12.0</v>
      </c>
    </row>
    <row r="1509">
      <c r="A1509" s="151">
        <f>IFERROR(__xludf.DUMMYFUNCTION("""COMPUTED_VALUE"""),43786.147747511575)</f>
        <v>43786.14775</v>
      </c>
      <c r="B1509" t="str">
        <f>IFERROR(__xludf.DUMMYFUNCTION("""COMPUTED_VALUE"""),"Justin")</f>
        <v>Justin</v>
      </c>
      <c r="C1509" s="169" t="str">
        <f>IFERROR(__xludf.DUMMYFUNCTION("""COMPUTED_VALUE"""),"Oregon")</f>
        <v>Oregon</v>
      </c>
      <c r="D1509">
        <f>IFERROR(__xludf.DUMMYFUNCTION("""COMPUTED_VALUE"""),9.0)</f>
        <v>9</v>
      </c>
      <c r="E1509">
        <f>IFERROR(__xludf.DUMMYFUNCTION("""COMPUTED_VALUE"""),1.0)</f>
        <v>1</v>
      </c>
      <c r="F1509" t="str">
        <f>IFERROR(__xludf.DUMMYFUNCTION("""COMPUTED_VALUE"""),"ESPN")</f>
        <v>ESPN</v>
      </c>
      <c r="G1509" t="str">
        <f>IFERROR(__xludf.DUMMYFUNCTION("""COMPUTED_VALUE"""),"Arizona 6 at (6) Oregon 34")</f>
        <v>Arizona 6 at (6) Oregon 34</v>
      </c>
      <c r="H1509" t="str">
        <f>IFERROR(__xludf.DUMMYFUNCTION("""COMPUTED_VALUE"""),"FINAL")</f>
        <v>FINAL</v>
      </c>
      <c r="I1509" t="str">
        <f>IFERROR(__xludf.DUMMYFUNCTION("""COMPUTED_VALUE"""),"-26½")</f>
        <v>-26½</v>
      </c>
      <c r="J1509">
        <f>IFERROR(__xludf.DUMMYFUNCTION("""COMPUTED_VALUE"""),68.0)</f>
        <v>68</v>
      </c>
      <c r="K1509" t="str">
        <f>IFERROR(__xludf.DUMMYFUNCTION("""COMPUTED_VALUE"""),"Janice/Mike")</f>
        <v>Janice/Mike</v>
      </c>
      <c r="L1509" t="str">
        <f>IFERROR(__xludf.DUMMYFUNCTION("""COMPUTED_VALUE"""),"FINAL")</f>
        <v>FINAL</v>
      </c>
      <c r="M1509" s="124">
        <v>12.0</v>
      </c>
    </row>
    <row r="1510">
      <c r="A1510" s="151">
        <f>IFERROR(__xludf.DUMMYFUNCTION("""COMPUTED_VALUE"""),43786.147747511575)</f>
        <v>43786.14775</v>
      </c>
      <c r="B1510" t="str">
        <f>IFERROR(__xludf.DUMMYFUNCTION("""COMPUTED_VALUE"""),"Justin")</f>
        <v>Justin</v>
      </c>
      <c r="C1510" s="169" t="str">
        <f>IFERROR(__xludf.DUMMYFUNCTION("""COMPUTED_VALUE"""),"Western Kentucky")</f>
        <v>Western Kentucky</v>
      </c>
      <c r="D1510">
        <f>IFERROR(__xludf.DUMMYFUNCTION("""COMPUTED_VALUE"""),6.0)</f>
        <v>6</v>
      </c>
      <c r="E1510">
        <f>IFERROR(__xludf.DUMMYFUNCTION("""COMPUTED_VALUE"""),4.0)</f>
        <v>4</v>
      </c>
      <c r="F1510" t="str">
        <f>IFERROR(__xludf.DUMMYFUNCTION("""COMPUTED_VALUE"""),"NA")</f>
        <v>NA</v>
      </c>
      <c r="G1510" t="str">
        <f>IFERROR(__xludf.DUMMYFUNCTION("""COMPUTED_VALUE"""),"BYE")</f>
        <v>BYE</v>
      </c>
      <c r="J1510" t="str">
        <f>IFERROR(__xludf.DUMMYFUNCTION("""COMPUTED_VALUE""")," No Line")</f>
        <v> No Line</v>
      </c>
      <c r="L1510">
        <f>IFERROR(__xludf.DUMMYFUNCTION("""COMPUTED_VALUE"""),9999.0)</f>
        <v>9999</v>
      </c>
      <c r="M1510" s="124">
        <v>12.0</v>
      </c>
    </row>
    <row r="1511">
      <c r="A1511" s="200">
        <f>IFERROR(__xludf.DUMMYFUNCTION("""COMPUTED_VALUE"""),43786.147747511575)</f>
        <v>43786.14775</v>
      </c>
      <c r="B1511" t="str">
        <f>IFERROR(__xludf.DUMMYFUNCTION("""COMPUTED_VALUE"""),"Justin")</f>
        <v>Justin</v>
      </c>
      <c r="C1511" s="169" t="str">
        <f>IFERROR(__xludf.DUMMYFUNCTION("""COMPUTED_VALUE"""),"Tennessee")</f>
        <v>Tennessee</v>
      </c>
      <c r="D1511">
        <f>IFERROR(__xludf.DUMMYFUNCTION("""COMPUTED_VALUE"""),5.0)</f>
        <v>5</v>
      </c>
      <c r="E1511">
        <f>IFERROR(__xludf.DUMMYFUNCTION("""COMPUTED_VALUE"""),5.0)</f>
        <v>5</v>
      </c>
      <c r="F1511" t="str">
        <f>IFERROR(__xludf.DUMMYFUNCTION("""COMPUTED_VALUE"""),"NA")</f>
        <v>NA</v>
      </c>
      <c r="G1511" t="str">
        <f>IFERROR(__xludf.DUMMYFUNCTION("""COMPUTED_VALUE"""),"BYE")</f>
        <v>BYE</v>
      </c>
      <c r="J1511" t="str">
        <f>IFERROR(__xludf.DUMMYFUNCTION("""COMPUTED_VALUE""")," No Line")</f>
        <v> No Line</v>
      </c>
      <c r="L1511">
        <f>IFERROR(__xludf.DUMMYFUNCTION("""COMPUTED_VALUE"""),9999.0)</f>
        <v>9999</v>
      </c>
      <c r="M1511" s="124">
        <v>12.0</v>
      </c>
    </row>
    <row r="1512">
      <c r="A1512" s="151">
        <f>IFERROR(__xludf.DUMMYFUNCTION("""COMPUTED_VALUE"""),43786.147747511575)</f>
        <v>43786.14775</v>
      </c>
      <c r="B1512" t="str">
        <f>IFERROR(__xludf.DUMMYFUNCTION("""COMPUTED_VALUE"""),"Adam")</f>
        <v>Adam</v>
      </c>
      <c r="C1512" s="169" t="str">
        <f>IFERROR(__xludf.DUMMYFUNCTION("""COMPUTED_VALUE"""),"Akron")</f>
        <v>Akron</v>
      </c>
      <c r="D1512">
        <f>IFERROR(__xludf.DUMMYFUNCTION("""COMPUTED_VALUE"""),0.0)</f>
        <v>0</v>
      </c>
      <c r="E1512">
        <f>IFERROR(__xludf.DUMMYFUNCTION("""COMPUTED_VALUE"""),10.0)</f>
        <v>10</v>
      </c>
      <c r="F1512" t="str">
        <f>IFERROR(__xludf.DUMMYFUNCTION("""COMPUTED_VALUE"""),"NA")</f>
        <v>NA</v>
      </c>
      <c r="G1512" t="str">
        <f>IFERROR(__xludf.DUMMYFUNCTION("""COMPUTED_VALUE"""),"EMU 42 at Akron 14")</f>
        <v>EMU 42 at Akron 14</v>
      </c>
      <c r="H1512" t="str">
        <f>IFERROR(__xludf.DUMMYFUNCTION("""COMPUTED_VALUE"""),"FINAL")</f>
        <v>FINAL</v>
      </c>
      <c r="I1512">
        <f>IFERROR(__xludf.DUMMYFUNCTION("""COMPUTED_VALUE"""),17.0)</f>
        <v>17</v>
      </c>
      <c r="J1512" t="str">
        <f>IFERROR(__xludf.DUMMYFUNCTION("""COMPUTED_VALUE"""),"46½")</f>
        <v>46½</v>
      </c>
      <c r="K1512" t="str">
        <f>IFERROR(__xludf.DUMMYFUNCTION("""COMPUTED_VALUE"""),"Brad")</f>
        <v>Brad</v>
      </c>
      <c r="L1512" t="str">
        <f>IFERROR(__xludf.DUMMYFUNCTION("""COMPUTED_VALUE"""),"FINAL")</f>
        <v>FINAL</v>
      </c>
      <c r="M1512" s="124">
        <v>12.0</v>
      </c>
    </row>
    <row r="1513">
      <c r="A1513" s="151">
        <f>IFERROR(__xludf.DUMMYFUNCTION("""COMPUTED_VALUE"""),43786.147747511575)</f>
        <v>43786.14775</v>
      </c>
      <c r="B1513" t="str">
        <f>IFERROR(__xludf.DUMMYFUNCTION("""COMPUTED_VALUE"""),"Adam")</f>
        <v>Adam</v>
      </c>
      <c r="C1513" s="169" t="str">
        <f>IFERROR(__xludf.DUMMYFUNCTION("""COMPUTED_VALUE"""),"Florida")</f>
        <v>Florida</v>
      </c>
      <c r="D1513">
        <f>IFERROR(__xludf.DUMMYFUNCTION("""COMPUTED_VALUE"""),9.0)</f>
        <v>9</v>
      </c>
      <c r="E1513">
        <f>IFERROR(__xludf.DUMMYFUNCTION("""COMPUTED_VALUE"""),2.0)</f>
        <v>2</v>
      </c>
      <c r="F1513" t="str">
        <f>IFERROR(__xludf.DUMMYFUNCTION("""COMPUTED_VALUE"""),"CBS")</f>
        <v>CBS</v>
      </c>
      <c r="G1513" t="str">
        <f>IFERROR(__xludf.DUMMYFUNCTION("""COMPUTED_VALUE"""),"(12) Florida 23 at Missouri 6")</f>
        <v>(12) Florida 23 at Missouri 6</v>
      </c>
      <c r="H1513" t="str">
        <f>IFERROR(__xludf.DUMMYFUNCTION("""COMPUTED_VALUE"""),"FINAL")</f>
        <v>FINAL</v>
      </c>
      <c r="I1513">
        <f>IFERROR(__xludf.DUMMYFUNCTION("""COMPUTED_VALUE"""),-7.0)</f>
        <v>-7</v>
      </c>
      <c r="J1513" t="str">
        <f>IFERROR(__xludf.DUMMYFUNCTION("""COMPUTED_VALUE"""),"48½")</f>
        <v>48½</v>
      </c>
      <c r="K1513" t="str">
        <f>IFERROR(__xludf.DUMMYFUNCTION("""COMPUTED_VALUE"""),"Gary")</f>
        <v>Gary</v>
      </c>
      <c r="L1513" t="str">
        <f>IFERROR(__xludf.DUMMYFUNCTION("""COMPUTED_VALUE"""),"FINAL")</f>
        <v>FINAL</v>
      </c>
      <c r="M1513" s="124">
        <v>12.0</v>
      </c>
    </row>
    <row r="1514">
      <c r="A1514" s="151">
        <f>IFERROR(__xludf.DUMMYFUNCTION("""COMPUTED_VALUE"""),43786.147747511575)</f>
        <v>43786.14775</v>
      </c>
      <c r="B1514" t="str">
        <f>IFERROR(__xludf.DUMMYFUNCTION("""COMPUTED_VALUE"""),"Adam")</f>
        <v>Adam</v>
      </c>
      <c r="C1514" s="169" t="str">
        <f>IFERROR(__xludf.DUMMYFUNCTION("""COMPUTED_VALUE"""),"Northwestern")</f>
        <v>Northwestern</v>
      </c>
      <c r="D1514">
        <f>IFERROR(__xludf.DUMMYFUNCTION("""COMPUTED_VALUE"""),2.0)</f>
        <v>2</v>
      </c>
      <c r="E1514">
        <f>IFERROR(__xludf.DUMMYFUNCTION("""COMPUTED_VALUE"""),8.0)</f>
        <v>8</v>
      </c>
      <c r="F1514" t="str">
        <f>IFERROR(__xludf.DUMMYFUNCTION("""COMPUTED_VALUE"""),"BTN")</f>
        <v>BTN</v>
      </c>
      <c r="G1514" t="str">
        <f>IFERROR(__xludf.DUMMYFUNCTION("""COMPUTED_VALUE"""),"UMass 6 at Northwestern 45")</f>
        <v>UMass 6 at Northwestern 45</v>
      </c>
      <c r="H1514" t="str">
        <f>IFERROR(__xludf.DUMMYFUNCTION("""COMPUTED_VALUE"""),"FINAL")</f>
        <v>FINAL</v>
      </c>
      <c r="I1514">
        <f>IFERROR(__xludf.DUMMYFUNCTION("""COMPUTED_VALUE"""),-39.0)</f>
        <v>-39</v>
      </c>
      <c r="J1514">
        <f>IFERROR(__xludf.DUMMYFUNCTION("""COMPUTED_VALUE"""),56.0)</f>
        <v>56</v>
      </c>
      <c r="K1514" t="str">
        <f>IFERROR(__xludf.DUMMYFUNCTION("""COMPUTED_VALUE"""),"Undrafted")</f>
        <v>Undrafted</v>
      </c>
      <c r="L1514" t="str">
        <f>IFERROR(__xludf.DUMMYFUNCTION("""COMPUTED_VALUE"""),"FINAL")</f>
        <v>FINAL</v>
      </c>
      <c r="M1514" s="124">
        <v>12.0</v>
      </c>
    </row>
    <row r="1515">
      <c r="A1515" s="151">
        <f>IFERROR(__xludf.DUMMYFUNCTION("""COMPUTED_VALUE"""),43786.147747511575)</f>
        <v>43786.14775</v>
      </c>
      <c r="B1515" t="str">
        <f>IFERROR(__xludf.DUMMYFUNCTION("""COMPUTED_VALUE"""),"Adam")</f>
        <v>Adam</v>
      </c>
      <c r="C1515" s="169" t="str">
        <f>IFERROR(__xludf.DUMMYFUNCTION("""COMPUTED_VALUE"""),"Wake Forest")</f>
        <v>Wake Forest</v>
      </c>
      <c r="D1515">
        <f>IFERROR(__xludf.DUMMYFUNCTION("""COMPUTED_VALUE"""),7.0)</f>
        <v>7</v>
      </c>
      <c r="E1515">
        <f>IFERROR(__xludf.DUMMYFUNCTION("""COMPUTED_VALUE"""),3.0)</f>
        <v>3</v>
      </c>
      <c r="F1515" t="str">
        <f>IFERROR(__xludf.DUMMYFUNCTION("""COMPUTED_VALUE"""),"ABC")</f>
        <v>ABC</v>
      </c>
      <c r="G1515" t="str">
        <f>IFERROR(__xludf.DUMMYFUNCTION("""COMPUTED_VALUE"""),"Wake Forest 3 at (3) Clemson 52")</f>
        <v>Wake Forest 3 at (3) Clemson 52</v>
      </c>
      <c r="H1515" t="str">
        <f>IFERROR(__xludf.DUMMYFUNCTION("""COMPUTED_VALUE"""),"FINAL")</f>
        <v>FINAL</v>
      </c>
      <c r="I1515" t="str">
        <f>IFERROR(__xludf.DUMMYFUNCTION("""COMPUTED_VALUE"""),"32½")</f>
        <v>32½</v>
      </c>
      <c r="J1515" t="str">
        <f>IFERROR(__xludf.DUMMYFUNCTION("""COMPUTED_VALUE"""),"62½")</f>
        <v>62½</v>
      </c>
      <c r="K1515" t="str">
        <f>IFERROR(__xludf.DUMMYFUNCTION("""COMPUTED_VALUE"""),"Nick A.")</f>
        <v>Nick A.</v>
      </c>
      <c r="L1515" t="str">
        <f>IFERROR(__xludf.DUMMYFUNCTION("""COMPUTED_VALUE"""),"FINAL")</f>
        <v>FINAL</v>
      </c>
      <c r="M1515" s="124">
        <v>12.0</v>
      </c>
    </row>
    <row r="1516">
      <c r="A1516" s="151">
        <f>IFERROR(__xludf.DUMMYFUNCTION("""COMPUTED_VALUE"""),43786.147747511575)</f>
        <v>43786.14775</v>
      </c>
      <c r="B1516" t="str">
        <f>IFERROR(__xludf.DUMMYFUNCTION("""COMPUTED_VALUE"""),"Adam")</f>
        <v>Adam</v>
      </c>
      <c r="C1516" s="169" t="str">
        <f>IFERROR(__xludf.DUMMYFUNCTION("""COMPUTED_VALUE"""),"Texas")</f>
        <v>Texas</v>
      </c>
      <c r="D1516">
        <f>IFERROR(__xludf.DUMMYFUNCTION("""COMPUTED_VALUE"""),6.0)</f>
        <v>6</v>
      </c>
      <c r="E1516">
        <f>IFERROR(__xludf.DUMMYFUNCTION("""COMPUTED_VALUE"""),4.0)</f>
        <v>4</v>
      </c>
      <c r="F1516" t="str">
        <f>IFERROR(__xludf.DUMMYFUNCTION("""COMPUTED_VALUE"""),"FS1")</f>
        <v>FS1</v>
      </c>
      <c r="G1516" t="str">
        <f>IFERROR(__xludf.DUMMYFUNCTION("""COMPUTED_VALUE"""),"(23) Texas 21 at Iowa State 23")</f>
        <v>(23) Texas 21 at Iowa State 23</v>
      </c>
      <c r="H1516" t="str">
        <f>IFERROR(__xludf.DUMMYFUNCTION("""COMPUTED_VALUE"""),"FINAL")</f>
        <v>FINAL</v>
      </c>
      <c r="I1516">
        <f>IFERROR(__xludf.DUMMYFUNCTION("""COMPUTED_VALUE"""),7.0)</f>
        <v>7</v>
      </c>
      <c r="J1516" t="str">
        <f>IFERROR(__xludf.DUMMYFUNCTION("""COMPUTED_VALUE"""),"66½")</f>
        <v>66½</v>
      </c>
      <c r="K1516" t="str">
        <f>IFERROR(__xludf.DUMMYFUNCTION("""COMPUTED_VALUE"""),"Nick A.")</f>
        <v>Nick A.</v>
      </c>
      <c r="L1516" t="str">
        <f>IFERROR(__xludf.DUMMYFUNCTION("""COMPUTED_VALUE"""),"FINAL")</f>
        <v>FINAL</v>
      </c>
      <c r="M1516" s="124">
        <v>12.0</v>
      </c>
    </row>
    <row r="1517">
      <c r="A1517" s="151">
        <f>IFERROR(__xludf.DUMMYFUNCTION("""COMPUTED_VALUE"""),43786.147747511575)</f>
        <v>43786.14775</v>
      </c>
      <c r="B1517" t="str">
        <f>IFERROR(__xludf.DUMMYFUNCTION("""COMPUTED_VALUE"""),"Adam")</f>
        <v>Adam</v>
      </c>
      <c r="C1517" s="169" t="str">
        <f>IFERROR(__xludf.DUMMYFUNCTION("""COMPUTED_VALUE"""),"Air Force")</f>
        <v>Air Force</v>
      </c>
      <c r="D1517">
        <f>IFERROR(__xludf.DUMMYFUNCTION("""COMPUTED_VALUE"""),8.0)</f>
        <v>8</v>
      </c>
      <c r="E1517">
        <f>IFERROR(__xludf.DUMMYFUNCTION("""COMPUTED_VALUE"""),2.0)</f>
        <v>2</v>
      </c>
      <c r="F1517" t="str">
        <f>IFERROR(__xludf.DUMMYFUNCTION("""COMPUTED_VALUE"""),"ESPN2")</f>
        <v>ESPN2</v>
      </c>
      <c r="G1517" t="str">
        <f>IFERROR(__xludf.DUMMYFUNCTION("""COMPUTED_VALUE"""),"Air Force 38 at Colorado State 21")</f>
        <v>Air Force 38 at Colorado State 21</v>
      </c>
      <c r="H1517" t="str">
        <f>IFERROR(__xludf.DUMMYFUNCTION("""COMPUTED_VALUE"""),"FINAL")</f>
        <v>FINAL</v>
      </c>
      <c r="I1517">
        <f>IFERROR(__xludf.DUMMYFUNCTION("""COMPUTED_VALUE"""),-10.0)</f>
        <v>-10</v>
      </c>
      <c r="J1517">
        <f>IFERROR(__xludf.DUMMYFUNCTION("""COMPUTED_VALUE"""),60.0)</f>
        <v>60</v>
      </c>
      <c r="K1517" t="str">
        <f>IFERROR(__xludf.DUMMYFUNCTION("""COMPUTED_VALUE"""),"Brad")</f>
        <v>Brad</v>
      </c>
      <c r="L1517" t="str">
        <f>IFERROR(__xludf.DUMMYFUNCTION("""COMPUTED_VALUE"""),"FINAL")</f>
        <v>FINAL</v>
      </c>
      <c r="M1517" s="124">
        <v>12.0</v>
      </c>
    </row>
    <row r="1518">
      <c r="A1518" s="151">
        <f>IFERROR(__xludf.DUMMYFUNCTION("""COMPUTED_VALUE"""),43786.147747511575)</f>
        <v>43786.14775</v>
      </c>
      <c r="B1518" t="str">
        <f>IFERROR(__xludf.DUMMYFUNCTION("""COMPUTED_VALUE"""),"Adam")</f>
        <v>Adam</v>
      </c>
      <c r="C1518" s="169" t="str">
        <f>IFERROR(__xludf.DUMMYFUNCTION("""COMPUTED_VALUE"""),"Georgia State")</f>
        <v>Georgia State</v>
      </c>
      <c r="D1518">
        <f>IFERROR(__xludf.DUMMYFUNCTION("""COMPUTED_VALUE"""),6.0)</f>
        <v>6</v>
      </c>
      <c r="E1518">
        <f>IFERROR(__xludf.DUMMYFUNCTION("""COMPUTED_VALUE"""),4.0)</f>
        <v>4</v>
      </c>
      <c r="F1518" t="str">
        <f>IFERROR(__xludf.DUMMYFUNCTION("""COMPUTED_VALUE"""),"ESPNU")</f>
        <v>ESPNU</v>
      </c>
      <c r="G1518" t="str">
        <f>IFERROR(__xludf.DUMMYFUNCTION("""COMPUTED_VALUE"""),"(24) Appalachian State 56 at Georgia State 27")</f>
        <v>(24) Appalachian State 56 at Georgia State 27</v>
      </c>
      <c r="H1518" t="str">
        <f>IFERROR(__xludf.DUMMYFUNCTION("""COMPUTED_VALUE"""),"FINAL")</f>
        <v>FINAL</v>
      </c>
      <c r="I1518" t="str">
        <f>IFERROR(__xludf.DUMMYFUNCTION("""COMPUTED_VALUE"""),"15½")</f>
        <v>15½</v>
      </c>
      <c r="J1518" t="str">
        <f>IFERROR(__xludf.DUMMYFUNCTION("""COMPUTED_VALUE"""),"62½")</f>
        <v>62½</v>
      </c>
      <c r="K1518" t="str">
        <f>IFERROR(__xludf.DUMMYFUNCTION("""COMPUTED_VALUE"""),"Justin")</f>
        <v>Justin</v>
      </c>
      <c r="L1518" t="str">
        <f>IFERROR(__xludf.DUMMYFUNCTION("""COMPUTED_VALUE"""),"FINAL")</f>
        <v>FINAL</v>
      </c>
      <c r="M1518" s="124">
        <v>12.0</v>
      </c>
    </row>
    <row r="1519">
      <c r="A1519" s="151">
        <f>IFERROR(__xludf.DUMMYFUNCTION("""COMPUTED_VALUE"""),43786.147747511575)</f>
        <v>43786.14775</v>
      </c>
      <c r="B1519" t="str">
        <f>IFERROR(__xludf.DUMMYFUNCTION("""COMPUTED_VALUE"""),"Adam")</f>
        <v>Adam</v>
      </c>
      <c r="C1519" s="169" t="str">
        <f>IFERROR(__xludf.DUMMYFUNCTION("""COMPUTED_VALUE"""),"Oregon State")</f>
        <v>Oregon State</v>
      </c>
      <c r="D1519">
        <f>IFERROR(__xludf.DUMMYFUNCTION("""COMPUTED_VALUE"""),5.0)</f>
        <v>5</v>
      </c>
      <c r="E1519">
        <f>IFERROR(__xludf.DUMMYFUNCTION("""COMPUTED_VALUE"""),5.0)</f>
        <v>5</v>
      </c>
      <c r="F1519" t="str">
        <f>IFERROR(__xludf.DUMMYFUNCTION("""COMPUTED_VALUE"""),"FS1")</f>
        <v>FS1</v>
      </c>
      <c r="G1519" t="str">
        <f>IFERROR(__xludf.DUMMYFUNCTION("""COMPUTED_VALUE"""),"Arizona State 34 at Oregon State 35")</f>
        <v>Arizona State 34 at Oregon State 35</v>
      </c>
      <c r="H1519" t="str">
        <f>IFERROR(__xludf.DUMMYFUNCTION("""COMPUTED_VALUE"""),"FINAL")</f>
        <v>FINAL</v>
      </c>
      <c r="I1519" t="str">
        <f>IFERROR(__xludf.DUMMYFUNCTION("""COMPUTED_VALUE"""),"2½")</f>
        <v>2½</v>
      </c>
      <c r="J1519">
        <f>IFERROR(__xludf.DUMMYFUNCTION("""COMPUTED_VALUE"""),58.0)</f>
        <v>58</v>
      </c>
      <c r="K1519" t="str">
        <f>IFERROR(__xludf.DUMMYFUNCTION("""COMPUTED_VALUE"""),"Nico")</f>
        <v>Nico</v>
      </c>
      <c r="L1519" t="str">
        <f>IFERROR(__xludf.DUMMYFUNCTION("""COMPUTED_VALUE"""),"FINAL")</f>
        <v>FINAL</v>
      </c>
      <c r="M1519" s="124">
        <v>12.0</v>
      </c>
    </row>
    <row r="1520">
      <c r="A1520" s="151">
        <f>IFERROR(__xludf.DUMMYFUNCTION("""COMPUTED_VALUE"""),43786.147747511575)</f>
        <v>43786.14775</v>
      </c>
      <c r="B1520" t="str">
        <f>IFERROR(__xludf.DUMMYFUNCTION("""COMPUTED_VALUE"""),"Adam")</f>
        <v>Adam</v>
      </c>
      <c r="C1520" s="169" t="str">
        <f>IFERROR(__xludf.DUMMYFUNCTION("""COMPUTED_VALUE"""),"UCF")</f>
        <v>UCF</v>
      </c>
      <c r="D1520">
        <f>IFERROR(__xludf.DUMMYFUNCTION("""COMPUTED_VALUE"""),7.0)</f>
        <v>7</v>
      </c>
      <c r="E1520">
        <f>IFERROR(__xludf.DUMMYFUNCTION("""COMPUTED_VALUE"""),3.0)</f>
        <v>3</v>
      </c>
      <c r="F1520" t="str">
        <f>IFERROR(__xludf.DUMMYFUNCTION("""COMPUTED_VALUE"""),"NA")</f>
        <v>NA</v>
      </c>
      <c r="G1520" t="str">
        <f>IFERROR(__xludf.DUMMYFUNCTION("""COMPUTED_VALUE"""),"BYE")</f>
        <v>BYE</v>
      </c>
      <c r="J1520" t="str">
        <f>IFERROR(__xludf.DUMMYFUNCTION("""COMPUTED_VALUE""")," No Line")</f>
        <v> No Line</v>
      </c>
      <c r="L1520">
        <f>IFERROR(__xludf.DUMMYFUNCTION("""COMPUTED_VALUE"""),9999.0)</f>
        <v>9999</v>
      </c>
      <c r="M1520" s="124">
        <v>12.0</v>
      </c>
    </row>
    <row r="1521">
      <c r="A1521" s="200">
        <f>IFERROR(__xludf.DUMMYFUNCTION("""COMPUTED_VALUE"""),43786.147747511575)</f>
        <v>43786.14775</v>
      </c>
      <c r="B1521" t="str">
        <f>IFERROR(__xludf.DUMMYFUNCTION("""COMPUTED_VALUE"""),"Adam")</f>
        <v>Adam</v>
      </c>
      <c r="C1521" s="169" t="str">
        <f>IFERROR(__xludf.DUMMYFUNCTION("""COMPUTED_VALUE"""),"Florida Intl")</f>
        <v>Florida Intl</v>
      </c>
      <c r="D1521">
        <f>IFERROR(__xludf.DUMMYFUNCTION("""COMPUTED_VALUE"""),5.0)</f>
        <v>5</v>
      </c>
      <c r="E1521">
        <f>IFERROR(__xludf.DUMMYFUNCTION("""COMPUTED_VALUE"""),5.0)</f>
        <v>5</v>
      </c>
      <c r="F1521" t="str">
        <f>IFERROR(__xludf.DUMMYFUNCTION("""COMPUTED_VALUE"""),"NA")</f>
        <v>NA</v>
      </c>
      <c r="G1521" t="str">
        <f>IFERROR(__xludf.DUMMYFUNCTION("""COMPUTED_VALUE"""),"BYE")</f>
        <v>BYE</v>
      </c>
      <c r="I1521" t="str">
        <f>IFERROR(__xludf.DUMMYFUNCTION("""COMPUTED_VALUE"""),"No Line")</f>
        <v>No Line</v>
      </c>
      <c r="L1521">
        <f>IFERROR(__xludf.DUMMYFUNCTION("""COMPUTED_VALUE"""),9999.0)</f>
        <v>9999</v>
      </c>
      <c r="M1521" s="124">
        <v>12.0</v>
      </c>
    </row>
    <row r="1522">
      <c r="A1522" s="151">
        <f>IFERROR(__xludf.DUMMYFUNCTION("""COMPUTED_VALUE"""),43786.147747511575)</f>
        <v>43786.14775</v>
      </c>
      <c r="B1522" t="str">
        <f>IFERROR(__xludf.DUMMYFUNCTION("""COMPUTED_VALUE"""),"Vu")</f>
        <v>Vu</v>
      </c>
      <c r="C1522" s="169" t="str">
        <f>IFERROR(__xludf.DUMMYFUNCTION("""COMPUTED_VALUE"""),"Kent State")</f>
        <v>Kent State</v>
      </c>
      <c r="D1522">
        <f>IFERROR(__xludf.DUMMYFUNCTION("""COMPUTED_VALUE"""),4.0)</f>
        <v>4</v>
      </c>
      <c r="E1522">
        <f>IFERROR(__xludf.DUMMYFUNCTION("""COMPUTED_VALUE"""),6.0)</f>
        <v>6</v>
      </c>
      <c r="F1522" t="str">
        <f>IFERROR(__xludf.DUMMYFUNCTION("""COMPUTED_VALUE"""),"CBSSN")</f>
        <v>CBSSN</v>
      </c>
      <c r="G1522" t="str">
        <f>IFERROR(__xludf.DUMMYFUNCTION("""COMPUTED_VALUE"""),"Buffalo 27 at Kent State 30")</f>
        <v>Buffalo 27 at Kent State 30</v>
      </c>
      <c r="H1522" t="str">
        <f>IFERROR(__xludf.DUMMYFUNCTION("""COMPUTED_VALUE"""),"FINAL")</f>
        <v>FINAL</v>
      </c>
      <c r="I1522">
        <f>IFERROR(__xludf.DUMMYFUNCTION("""COMPUTED_VALUE"""),6.0)</f>
        <v>6</v>
      </c>
      <c r="J1522" t="str">
        <f>IFERROR(__xludf.DUMMYFUNCTION("""COMPUTED_VALUE"""),"55½")</f>
        <v>55½</v>
      </c>
      <c r="K1522" t="str">
        <f>IFERROR(__xludf.DUMMYFUNCTION("""COMPUTED_VALUE"""),"Justin")</f>
        <v>Justin</v>
      </c>
      <c r="L1522" t="str">
        <f>IFERROR(__xludf.DUMMYFUNCTION("""COMPUTED_VALUE"""),"FINAL")</f>
        <v>FINAL</v>
      </c>
      <c r="M1522" s="124">
        <v>12.0</v>
      </c>
    </row>
    <row r="1523">
      <c r="A1523" s="151">
        <f>IFERROR(__xludf.DUMMYFUNCTION("""COMPUTED_VALUE"""),43786.147747511575)</f>
        <v>43786.14775</v>
      </c>
      <c r="B1523" t="str">
        <f>IFERROR(__xludf.DUMMYFUNCTION("""COMPUTED_VALUE"""),"Vu")</f>
        <v>Vu</v>
      </c>
      <c r="C1523" s="169" t="str">
        <f>IFERROR(__xludf.DUMMYFUNCTION("""COMPUTED_VALUE"""),"Michigan")</f>
        <v>Michigan</v>
      </c>
      <c r="D1523">
        <f>IFERROR(__xludf.DUMMYFUNCTION("""COMPUTED_VALUE"""),8.0)</f>
        <v>8</v>
      </c>
      <c r="E1523">
        <f>IFERROR(__xludf.DUMMYFUNCTION("""COMPUTED_VALUE"""),2.0)</f>
        <v>2</v>
      </c>
      <c r="F1523" t="str">
        <f>IFERROR(__xludf.DUMMYFUNCTION("""COMPUTED_VALUE"""),"FOX")</f>
        <v>FOX</v>
      </c>
      <c r="G1523" t="str">
        <f>IFERROR(__xludf.DUMMYFUNCTION("""COMPUTED_VALUE"""),"Michigan State 10 at (14) Michigan 44")</f>
        <v>Michigan State 10 at (14) Michigan 44</v>
      </c>
      <c r="H1523" t="str">
        <f>IFERROR(__xludf.DUMMYFUNCTION("""COMPUTED_VALUE"""),"FINAL")</f>
        <v>FINAL</v>
      </c>
      <c r="I1523" t="str">
        <f>IFERROR(__xludf.DUMMYFUNCTION("""COMPUTED_VALUE"""),"-13½")</f>
        <v>-13½</v>
      </c>
      <c r="J1523" t="str">
        <f>IFERROR(__xludf.DUMMYFUNCTION("""COMPUTED_VALUE"""),"44½")</f>
        <v>44½</v>
      </c>
      <c r="K1523" t="str">
        <f>IFERROR(__xludf.DUMMYFUNCTION("""COMPUTED_VALUE"""),"Nick A.")</f>
        <v>Nick A.</v>
      </c>
      <c r="L1523" t="str">
        <f>IFERROR(__xludf.DUMMYFUNCTION("""COMPUTED_VALUE"""),"FINAL")</f>
        <v>FINAL</v>
      </c>
      <c r="M1523" s="124">
        <v>12.0</v>
      </c>
    </row>
    <row r="1524">
      <c r="A1524" s="151">
        <f>IFERROR(__xludf.DUMMYFUNCTION("""COMPUTED_VALUE"""),43786.147747511575)</f>
        <v>43786.14775</v>
      </c>
      <c r="B1524" t="str">
        <f>IFERROR(__xludf.DUMMYFUNCTION("""COMPUTED_VALUE"""),"Vu")</f>
        <v>Vu</v>
      </c>
      <c r="C1524" s="169" t="str">
        <f>IFERROR(__xludf.DUMMYFUNCTION("""COMPUTED_VALUE"""),"TCU")</f>
        <v>TCU</v>
      </c>
      <c r="D1524">
        <f>IFERROR(__xludf.DUMMYFUNCTION("""COMPUTED_VALUE"""),5.0)</f>
        <v>5</v>
      </c>
      <c r="E1524">
        <f>IFERROR(__xludf.DUMMYFUNCTION("""COMPUTED_VALUE"""),5.0)</f>
        <v>5</v>
      </c>
      <c r="F1524" t="str">
        <f>IFERROR(__xludf.DUMMYFUNCTION("""COMPUTED_VALUE"""),"ESPN2")</f>
        <v>ESPN2</v>
      </c>
      <c r="G1524" t="str">
        <f>IFERROR(__xludf.DUMMYFUNCTION("""COMPUTED_VALUE"""),"TCU 33 at Texas Tech 31")</f>
        <v>TCU 33 at Texas Tech 31</v>
      </c>
      <c r="H1524" t="str">
        <f>IFERROR(__xludf.DUMMYFUNCTION("""COMPUTED_VALUE"""),"FINAL")</f>
        <v>FINAL</v>
      </c>
      <c r="I1524">
        <f>IFERROR(__xludf.DUMMYFUNCTION("""COMPUTED_VALUE"""),-3.0)</f>
        <v>-3</v>
      </c>
      <c r="J1524" t="str">
        <f>IFERROR(__xludf.DUMMYFUNCTION("""COMPUTED_VALUE"""),"56½")</f>
        <v>56½</v>
      </c>
      <c r="K1524" t="str">
        <f>IFERROR(__xludf.DUMMYFUNCTION("""COMPUTED_VALUE"""),"Janice/Mike")</f>
        <v>Janice/Mike</v>
      </c>
      <c r="L1524" t="str">
        <f>IFERROR(__xludf.DUMMYFUNCTION("""COMPUTED_VALUE"""),"FINAL")</f>
        <v>FINAL</v>
      </c>
      <c r="M1524" s="124">
        <v>12.0</v>
      </c>
    </row>
    <row r="1525">
      <c r="A1525" s="151">
        <f>IFERROR(__xludf.DUMMYFUNCTION("""COMPUTED_VALUE"""),43786.147747511575)</f>
        <v>43786.14775</v>
      </c>
      <c r="B1525" t="str">
        <f>IFERROR(__xludf.DUMMYFUNCTION("""COMPUTED_VALUE"""),"Vu")</f>
        <v>Vu</v>
      </c>
      <c r="C1525" s="169" t="str">
        <f>IFERROR(__xludf.DUMMYFUNCTION("""COMPUTED_VALUE"""),"Syracuse")</f>
        <v>Syracuse</v>
      </c>
      <c r="D1525">
        <f>IFERROR(__xludf.DUMMYFUNCTION("""COMPUTED_VALUE"""),4.0)</f>
        <v>4</v>
      </c>
      <c r="E1525">
        <f>IFERROR(__xludf.DUMMYFUNCTION("""COMPUTED_VALUE"""),6.0)</f>
        <v>6</v>
      </c>
      <c r="F1525" t="str">
        <f>IFERROR(__xludf.DUMMYFUNCTION("""COMPUTED_VALUE"""),"ACC Network")</f>
        <v>ACC Network</v>
      </c>
      <c r="G1525" t="str">
        <f>IFERROR(__xludf.DUMMYFUNCTION("""COMPUTED_VALUE"""),"Syracuse 49 at Duke 6")</f>
        <v>Syracuse 49 at Duke 6</v>
      </c>
      <c r="H1525" t="str">
        <f>IFERROR(__xludf.DUMMYFUNCTION("""COMPUTED_VALUE"""),"FINAL")</f>
        <v>FINAL</v>
      </c>
      <c r="I1525" t="str">
        <f>IFERROR(__xludf.DUMMYFUNCTION("""COMPUTED_VALUE"""),"10½")</f>
        <v>10½</v>
      </c>
      <c r="J1525">
        <f>IFERROR(__xludf.DUMMYFUNCTION("""COMPUTED_VALUE"""),55.0)</f>
        <v>55</v>
      </c>
      <c r="K1525" t="str">
        <f>IFERROR(__xludf.DUMMYFUNCTION("""COMPUTED_VALUE"""),"Justin")</f>
        <v>Justin</v>
      </c>
      <c r="L1525" t="str">
        <f>IFERROR(__xludf.DUMMYFUNCTION("""COMPUTED_VALUE"""),"FINAL")</f>
        <v>FINAL</v>
      </c>
      <c r="M1525" s="124">
        <v>12.0</v>
      </c>
    </row>
    <row r="1526">
      <c r="A1526" s="151">
        <f>IFERROR(__xludf.DUMMYFUNCTION("""COMPUTED_VALUE"""),43786.147747511575)</f>
        <v>43786.14775</v>
      </c>
      <c r="B1526" t="str">
        <f>IFERROR(__xludf.DUMMYFUNCTION("""COMPUTED_VALUE"""),"Vu")</f>
        <v>Vu</v>
      </c>
      <c r="C1526" s="169" t="str">
        <f>IFERROR(__xludf.DUMMYFUNCTION("""COMPUTED_VALUE"""),"Hawaii")</f>
        <v>Hawaii</v>
      </c>
      <c r="D1526">
        <f>IFERROR(__xludf.DUMMYFUNCTION("""COMPUTED_VALUE"""),7.0)</f>
        <v>7</v>
      </c>
      <c r="E1526">
        <f>IFERROR(__xludf.DUMMYFUNCTION("""COMPUTED_VALUE"""),4.0)</f>
        <v>4</v>
      </c>
      <c r="F1526" t="str">
        <f>IFERROR(__xludf.DUMMYFUNCTION("""COMPUTED_VALUE"""),"Facebook Video")</f>
        <v>Facebook Video</v>
      </c>
      <c r="G1526" t="str">
        <f>IFERROR(__xludf.DUMMYFUNCTION("""COMPUTED_VALUE"""),"Hawaii 21 at UNLV 7")</f>
        <v>Hawaii 21 at UNLV 7</v>
      </c>
      <c r="H1526" t="str">
        <f>IFERROR(__xludf.DUMMYFUNCTION("""COMPUTED_VALUE"""),"FINAL")</f>
        <v>FINAL</v>
      </c>
      <c r="I1526">
        <f>IFERROR(__xludf.DUMMYFUNCTION("""COMPUTED_VALUE"""),-7.0)</f>
        <v>-7</v>
      </c>
      <c r="J1526">
        <f>IFERROR(__xludf.DUMMYFUNCTION("""COMPUTED_VALUE"""),71.0)</f>
        <v>71</v>
      </c>
      <c r="K1526" t="str">
        <f>IFERROR(__xludf.DUMMYFUNCTION("""COMPUTED_VALUE"""),"Justin")</f>
        <v>Justin</v>
      </c>
      <c r="L1526" t="str">
        <f>IFERROR(__xludf.DUMMYFUNCTION("""COMPUTED_VALUE"""),"FINAL")</f>
        <v>FINAL</v>
      </c>
      <c r="M1526" s="124">
        <v>12.0</v>
      </c>
    </row>
    <row r="1527">
      <c r="A1527" s="151">
        <f>IFERROR(__xludf.DUMMYFUNCTION("""COMPUTED_VALUE"""),43786.147747511575)</f>
        <v>43786.14775</v>
      </c>
      <c r="B1527" t="str">
        <f>IFERROR(__xludf.DUMMYFUNCTION("""COMPUTED_VALUE"""),"Vu")</f>
        <v>Vu</v>
      </c>
      <c r="C1527" s="169" t="str">
        <f>IFERROR(__xludf.DUMMYFUNCTION("""COMPUTED_VALUE"""),"South Alabama")</f>
        <v>South Alabama</v>
      </c>
      <c r="D1527">
        <f>IFERROR(__xludf.DUMMYFUNCTION("""COMPUTED_VALUE"""),1.0)</f>
        <v>1</v>
      </c>
      <c r="E1527">
        <f>IFERROR(__xludf.DUMMYFUNCTION("""COMPUTED_VALUE"""),9.0)</f>
        <v>9</v>
      </c>
      <c r="F1527" t="str">
        <f>IFERROR(__xludf.DUMMYFUNCTION("""COMPUTED_VALUE"""),"espn+ Video")</f>
        <v>espn+ Video</v>
      </c>
      <c r="G1527" t="str">
        <f>IFERROR(__xludf.DUMMYFUNCTION("""COMPUTED_VALUE"""),"UL Lafayette 37 at South Alabama 27")</f>
        <v>UL Lafayette 37 at South Alabama 27</v>
      </c>
      <c r="H1527" t="str">
        <f>IFERROR(__xludf.DUMMYFUNCTION("""COMPUTED_VALUE"""),"FINAL")</f>
        <v>FINAL</v>
      </c>
      <c r="I1527" t="str">
        <f>IFERROR(__xludf.DUMMYFUNCTION("""COMPUTED_VALUE"""),"28½")</f>
        <v>28½</v>
      </c>
      <c r="J1527" t="str">
        <f>IFERROR(__xludf.DUMMYFUNCTION("""COMPUTED_VALUE"""),"53½")</f>
        <v>53½</v>
      </c>
      <c r="K1527" t="str">
        <f>IFERROR(__xludf.DUMMYFUNCTION("""COMPUTED_VALUE"""),"Gary")</f>
        <v>Gary</v>
      </c>
      <c r="L1527" t="str">
        <f>IFERROR(__xludf.DUMMYFUNCTION("""COMPUTED_VALUE"""),"FINAL")</f>
        <v>FINAL</v>
      </c>
      <c r="M1527" s="124">
        <v>12.0</v>
      </c>
    </row>
    <row r="1528">
      <c r="A1528" s="151">
        <f>IFERROR(__xludf.DUMMYFUNCTION("""COMPUTED_VALUE"""),43786.147747511575)</f>
        <v>43786.14775</v>
      </c>
      <c r="B1528" t="str">
        <f>IFERROR(__xludf.DUMMYFUNCTION("""COMPUTED_VALUE"""),"Vu")</f>
        <v>Vu</v>
      </c>
      <c r="C1528" s="169" t="str">
        <f>IFERROR(__xludf.DUMMYFUNCTION("""COMPUTED_VALUE"""),"Cincinnati")</f>
        <v>Cincinnati</v>
      </c>
      <c r="D1528">
        <f>IFERROR(__xludf.DUMMYFUNCTION("""COMPUTED_VALUE"""),9.0)</f>
        <v>9</v>
      </c>
      <c r="E1528">
        <f>IFERROR(__xludf.DUMMYFUNCTION("""COMPUTED_VALUE"""),1.0)</f>
        <v>1</v>
      </c>
      <c r="F1528" t="str">
        <f>IFERROR(__xludf.DUMMYFUNCTION("""COMPUTED_VALUE"""),"CBSSN")</f>
        <v>CBSSN</v>
      </c>
      <c r="G1528" t="str">
        <f>IFERROR(__xludf.DUMMYFUNCTION("""COMPUTED_VALUE"""),"(17) Cincinnati 20 at South Florida 17")</f>
        <v>(17) Cincinnati 20 at South Florida 17</v>
      </c>
      <c r="H1528" t="str">
        <f>IFERROR(__xludf.DUMMYFUNCTION("""COMPUTED_VALUE"""),"FINAL")</f>
        <v>FINAL</v>
      </c>
      <c r="I1528">
        <f>IFERROR(__xludf.DUMMYFUNCTION("""COMPUTED_VALUE"""),-14.0)</f>
        <v>-14</v>
      </c>
      <c r="J1528">
        <f>IFERROR(__xludf.DUMMYFUNCTION("""COMPUTED_VALUE"""),50.0)</f>
        <v>50</v>
      </c>
      <c r="K1528" t="str">
        <f>IFERROR(__xludf.DUMMYFUNCTION("""COMPUTED_VALUE"""),"Justin")</f>
        <v>Justin</v>
      </c>
      <c r="L1528" t="str">
        <f>IFERROR(__xludf.DUMMYFUNCTION("""COMPUTED_VALUE"""),"FINAL")</f>
        <v>FINAL</v>
      </c>
      <c r="M1528" s="124">
        <v>12.0</v>
      </c>
    </row>
    <row r="1529">
      <c r="A1529" s="151">
        <f>IFERROR(__xludf.DUMMYFUNCTION("""COMPUTED_VALUE"""),43786.147747511575)</f>
        <v>43786.14775</v>
      </c>
      <c r="B1529" t="str">
        <f>IFERROR(__xludf.DUMMYFUNCTION("""COMPUTED_VALUE"""),"Vu")</f>
        <v>Vu</v>
      </c>
      <c r="C1529" s="169" t="str">
        <f>IFERROR(__xludf.DUMMYFUNCTION("""COMPUTED_VALUE"""),"Texas A&amp;M")</f>
        <v>Texas A&amp;M</v>
      </c>
      <c r="D1529">
        <f>IFERROR(__xludf.DUMMYFUNCTION("""COMPUTED_VALUE"""),7.0)</f>
        <v>7</v>
      </c>
      <c r="E1529">
        <f>IFERROR(__xludf.DUMMYFUNCTION("""COMPUTED_VALUE"""),3.0)</f>
        <v>3</v>
      </c>
      <c r="F1529" t="str">
        <f>IFERROR(__xludf.DUMMYFUNCTION("""COMPUTED_VALUE"""),"SEC Network")</f>
        <v>SEC Network</v>
      </c>
      <c r="G1529" t="str">
        <f>IFERROR(__xludf.DUMMYFUNCTION("""COMPUTED_VALUE"""),"South Carolina 6 at Texas A&amp;M 30")</f>
        <v>South Carolina 6 at Texas A&amp;M 30</v>
      </c>
      <c r="H1529" t="str">
        <f>IFERROR(__xludf.DUMMYFUNCTION("""COMPUTED_VALUE"""),"FINAL")</f>
        <v>FINAL</v>
      </c>
      <c r="I1529" t="str">
        <f>IFERROR(__xludf.DUMMYFUNCTION("""COMPUTED_VALUE"""),"-10½")</f>
        <v>-10½</v>
      </c>
      <c r="J1529" t="str">
        <f>IFERROR(__xludf.DUMMYFUNCTION("""COMPUTED_VALUE"""),"50½")</f>
        <v>50½</v>
      </c>
      <c r="K1529" t="str">
        <f>IFERROR(__xludf.DUMMYFUNCTION("""COMPUTED_VALUE"""),"Brad")</f>
        <v>Brad</v>
      </c>
      <c r="L1529" t="str">
        <f>IFERROR(__xludf.DUMMYFUNCTION("""COMPUTED_VALUE"""),"FINAL")</f>
        <v>FINAL</v>
      </c>
      <c r="M1529" s="124">
        <v>12.0</v>
      </c>
    </row>
    <row r="1530">
      <c r="A1530" s="151">
        <f>IFERROR(__xludf.DUMMYFUNCTION("""COMPUTED_VALUE"""),43786.147747511575)</f>
        <v>43786.14775</v>
      </c>
      <c r="B1530" t="str">
        <f>IFERROR(__xludf.DUMMYFUNCTION("""COMPUTED_VALUE"""),"Vu")</f>
        <v>Vu</v>
      </c>
      <c r="C1530" s="169" t="str">
        <f>IFERROR(__xludf.DUMMYFUNCTION("""COMPUTED_VALUE"""),"Washington")</f>
        <v>Washington</v>
      </c>
      <c r="D1530">
        <f>IFERROR(__xludf.DUMMYFUNCTION("""COMPUTED_VALUE"""),6.0)</f>
        <v>6</v>
      </c>
      <c r="E1530">
        <f>IFERROR(__xludf.DUMMYFUNCTION("""COMPUTED_VALUE"""),4.0)</f>
        <v>4</v>
      </c>
      <c r="F1530" t="str">
        <f>IFERROR(__xludf.DUMMYFUNCTION("""COMPUTED_VALUE"""),"NA")</f>
        <v>NA</v>
      </c>
      <c r="G1530" t="str">
        <f>IFERROR(__xludf.DUMMYFUNCTION("""COMPUTED_VALUE"""),"BYE")</f>
        <v>BYE</v>
      </c>
      <c r="J1530" t="str">
        <f>IFERROR(__xludf.DUMMYFUNCTION("""COMPUTED_VALUE""")," No Line")</f>
        <v> No Line</v>
      </c>
      <c r="L1530">
        <f>IFERROR(__xludf.DUMMYFUNCTION("""COMPUTED_VALUE"""),9999.0)</f>
        <v>9999</v>
      </c>
      <c r="M1530" s="124">
        <v>12.0</v>
      </c>
    </row>
    <row r="1531">
      <c r="A1531" s="200">
        <f>IFERROR(__xludf.DUMMYFUNCTION("""COMPUTED_VALUE"""),43786.147747511575)</f>
        <v>43786.14775</v>
      </c>
      <c r="B1531" t="str">
        <f>IFERROR(__xludf.DUMMYFUNCTION("""COMPUTED_VALUE"""),"Vu")</f>
        <v>Vu</v>
      </c>
      <c r="C1531" s="169" t="str">
        <f>IFERROR(__xludf.DUMMYFUNCTION("""COMPUTED_VALUE"""),"North Texas")</f>
        <v>North Texas</v>
      </c>
      <c r="D1531">
        <f>IFERROR(__xludf.DUMMYFUNCTION("""COMPUTED_VALUE"""),4.0)</f>
        <v>4</v>
      </c>
      <c r="E1531">
        <f>IFERROR(__xludf.DUMMYFUNCTION("""COMPUTED_VALUE"""),6.0)</f>
        <v>6</v>
      </c>
      <c r="F1531" t="str">
        <f>IFERROR(__xludf.DUMMYFUNCTION("""COMPUTED_VALUE"""),"NA")</f>
        <v>NA</v>
      </c>
      <c r="G1531" t="str">
        <f>IFERROR(__xludf.DUMMYFUNCTION("""COMPUTED_VALUE"""),"BYE")</f>
        <v>BYE</v>
      </c>
      <c r="J1531" t="str">
        <f>IFERROR(__xludf.DUMMYFUNCTION("""COMPUTED_VALUE""")," No Line")</f>
        <v> No Line</v>
      </c>
      <c r="L1531">
        <f>IFERROR(__xludf.DUMMYFUNCTION("""COMPUTED_VALUE"""),9999.0)</f>
        <v>9999</v>
      </c>
      <c r="M1531" s="124">
        <v>12.0</v>
      </c>
    </row>
    <row r="1532">
      <c r="A1532" s="151">
        <f>IFERROR(__xludf.DUMMYFUNCTION("""COMPUTED_VALUE"""),43786.147747511575)</f>
        <v>43786.14775</v>
      </c>
      <c r="B1532" t="str">
        <f>IFERROR(__xludf.DUMMYFUNCTION("""COMPUTED_VALUE"""),"Josh R.")</f>
        <v>Josh R.</v>
      </c>
      <c r="C1532" s="169" t="str">
        <f>IFERROR(__xludf.DUMMYFUNCTION("""COMPUTED_VALUE"""),"Toledo")</f>
        <v>Toledo</v>
      </c>
      <c r="D1532">
        <f>IFERROR(__xludf.DUMMYFUNCTION("""COMPUTED_VALUE"""),6.0)</f>
        <v>6</v>
      </c>
      <c r="E1532">
        <f>IFERROR(__xludf.DUMMYFUNCTION("""COMPUTED_VALUE"""),4.0)</f>
        <v>4</v>
      </c>
      <c r="F1532" t="str">
        <f>IFERROR(__xludf.DUMMYFUNCTION("""COMPUTED_VALUE"""),"ESPNU")</f>
        <v>ESPNU</v>
      </c>
      <c r="G1532" t="str">
        <f>IFERROR(__xludf.DUMMYFUNCTION("""COMPUTED_VALUE"""),"Northern Illinois 31 at Toledo 28")</f>
        <v>Northern Illinois 31 at Toledo 28</v>
      </c>
      <c r="H1532" t="str">
        <f>IFERROR(__xludf.DUMMYFUNCTION("""COMPUTED_VALUE"""),"FINAL")</f>
        <v>FINAL</v>
      </c>
      <c r="I1532" t="str">
        <f>IFERROR(__xludf.DUMMYFUNCTION("""COMPUTED_VALUE"""),"-2½")</f>
        <v>-2½</v>
      </c>
      <c r="J1532" t="str">
        <f>IFERROR(__xludf.DUMMYFUNCTION("""COMPUTED_VALUE"""),"54½")</f>
        <v>54½</v>
      </c>
      <c r="K1532" t="str">
        <f>IFERROR(__xludf.DUMMYFUNCTION("""COMPUTED_VALUE"""),"Janice/Mike")</f>
        <v>Janice/Mike</v>
      </c>
      <c r="L1532" t="str">
        <f>IFERROR(__xludf.DUMMYFUNCTION("""COMPUTED_VALUE"""),"FINAL")</f>
        <v>FINAL</v>
      </c>
      <c r="M1532" s="124">
        <v>12.0</v>
      </c>
    </row>
    <row r="1533">
      <c r="A1533" s="151">
        <f>IFERROR(__xludf.DUMMYFUNCTION("""COMPUTED_VALUE"""),43786.147747511575)</f>
        <v>43786.14775</v>
      </c>
      <c r="B1533" t="str">
        <f>IFERROR(__xludf.DUMMYFUNCTION("""COMPUTED_VALUE"""),"Josh R.")</f>
        <v>Josh R.</v>
      </c>
      <c r="C1533" s="169" t="str">
        <f>IFERROR(__xludf.DUMMYFUNCTION("""COMPUTED_VALUE"""),"Kansas")</f>
        <v>Kansas</v>
      </c>
      <c r="D1533">
        <f>IFERROR(__xludf.DUMMYFUNCTION("""COMPUTED_VALUE"""),3.0)</f>
        <v>3</v>
      </c>
      <c r="E1533">
        <f>IFERROR(__xludf.DUMMYFUNCTION("""COMPUTED_VALUE"""),7.0)</f>
        <v>7</v>
      </c>
      <c r="F1533" t="str">
        <f>IFERROR(__xludf.DUMMYFUNCTION("""COMPUTED_VALUE"""),"FS1")</f>
        <v>FS1</v>
      </c>
      <c r="G1533" t="str">
        <f>IFERROR(__xludf.DUMMYFUNCTION("""COMPUTED_VALUE"""),"Kansas 13 at Oklahoma State 31")</f>
        <v>Kansas 13 at Oklahoma State 31</v>
      </c>
      <c r="H1533" t="str">
        <f>IFERROR(__xludf.DUMMYFUNCTION("""COMPUTED_VALUE"""),"FINAL")</f>
        <v>FINAL</v>
      </c>
      <c r="I1533">
        <f>IFERROR(__xludf.DUMMYFUNCTION("""COMPUTED_VALUE"""),18.0)</f>
        <v>18</v>
      </c>
      <c r="J1533" t="str">
        <f>IFERROR(__xludf.DUMMYFUNCTION("""COMPUTED_VALUE"""),"65½")</f>
        <v>65½</v>
      </c>
      <c r="K1533" t="str">
        <f>IFERROR(__xludf.DUMMYFUNCTION("""COMPUTED_VALUE"""),"Brad")</f>
        <v>Brad</v>
      </c>
      <c r="L1533" t="str">
        <f>IFERROR(__xludf.DUMMYFUNCTION("""COMPUTED_VALUE"""),"FINAL")</f>
        <v>FINAL</v>
      </c>
      <c r="M1533" s="124">
        <v>12.0</v>
      </c>
    </row>
    <row r="1534">
      <c r="A1534" s="151">
        <f>IFERROR(__xludf.DUMMYFUNCTION("""COMPUTED_VALUE"""),43786.147747511575)</f>
        <v>43786.14775</v>
      </c>
      <c r="B1534" t="str">
        <f>IFERROR(__xludf.DUMMYFUNCTION("""COMPUTED_VALUE"""),"Josh R.")</f>
        <v>Josh R.</v>
      </c>
      <c r="C1534" s="169" t="str">
        <f>IFERROR(__xludf.DUMMYFUNCTION("""COMPUTED_VALUE"""),"Army")</f>
        <v>Army</v>
      </c>
      <c r="D1534">
        <f>IFERROR(__xludf.DUMMYFUNCTION("""COMPUTED_VALUE"""),5.0)</f>
        <v>5</v>
      </c>
      <c r="E1534">
        <f>IFERROR(__xludf.DUMMYFUNCTION("""COMPUTED_VALUE"""),6.0)</f>
        <v>6</v>
      </c>
      <c r="F1534" t="str">
        <f>IFERROR(__xludf.DUMMYFUNCTION("""COMPUTED_VALUE"""),"CBSSN")</f>
        <v>CBSSN</v>
      </c>
      <c r="G1534" t="str">
        <f>IFERROR(__xludf.DUMMYFUNCTION("""COMPUTED_VALUE"""),"VMI 6 at Army 47")</f>
        <v>VMI 6 at Army 47</v>
      </c>
      <c r="H1534" t="str">
        <f>IFERROR(__xludf.DUMMYFUNCTION("""COMPUTED_VALUE"""),"FINAL")</f>
        <v>FINAL</v>
      </c>
      <c r="I1534" t="str">
        <f>IFERROR(__xludf.DUMMYFUNCTION("""COMPUTED_VALUE"""),"No Line")</f>
        <v>No Line</v>
      </c>
      <c r="K1534" t="str">
        <f>IFERROR(__xludf.DUMMYFUNCTION("""COMPUTED_VALUE"""),"Undrafted")</f>
        <v>Undrafted</v>
      </c>
      <c r="L1534" t="str">
        <f>IFERROR(__xludf.DUMMYFUNCTION("""COMPUTED_VALUE"""),"FINAL")</f>
        <v>FINAL</v>
      </c>
      <c r="M1534" s="124">
        <v>12.0</v>
      </c>
    </row>
    <row r="1535">
      <c r="A1535" s="151">
        <f>IFERROR(__xludf.DUMMYFUNCTION("""COMPUTED_VALUE"""),43786.147747511575)</f>
        <v>43786.14775</v>
      </c>
      <c r="B1535" t="str">
        <f>IFERROR(__xludf.DUMMYFUNCTION("""COMPUTED_VALUE"""),"Josh R.")</f>
        <v>Josh R.</v>
      </c>
      <c r="C1535" s="169" t="str">
        <f>IFERROR(__xludf.DUMMYFUNCTION("""COMPUTED_VALUE"""),"Florida State")</f>
        <v>Florida State</v>
      </c>
      <c r="D1535">
        <f>IFERROR(__xludf.DUMMYFUNCTION("""COMPUTED_VALUE"""),6.0)</f>
        <v>6</v>
      </c>
      <c r="E1535">
        <f>IFERROR(__xludf.DUMMYFUNCTION("""COMPUTED_VALUE"""),5.0)</f>
        <v>5</v>
      </c>
      <c r="F1535" t="str">
        <f>IFERROR(__xludf.DUMMYFUNCTION("""COMPUTED_VALUE"""),"ACC RSN")</f>
        <v>ACC RSN</v>
      </c>
      <c r="G1535" t="str">
        <f>IFERROR(__xludf.DUMMYFUNCTION("""COMPUTED_VALUE"""),"Alabama State 12 at Florida State 49")</f>
        <v>Alabama State 12 at Florida State 49</v>
      </c>
      <c r="H1535" t="str">
        <f>IFERROR(__xludf.DUMMYFUNCTION("""COMPUTED_VALUE"""),"FINAL")</f>
        <v>FINAL</v>
      </c>
      <c r="I1535" t="str">
        <f>IFERROR(__xludf.DUMMYFUNCTION("""COMPUTED_VALUE"""),"PK")</f>
        <v>PK</v>
      </c>
      <c r="J1535" t="str">
        <f>IFERROR(__xludf.DUMMYFUNCTION("""COMPUTED_VALUE""")," No Line")</f>
        <v> No Line</v>
      </c>
      <c r="K1535" t="str">
        <f>IFERROR(__xludf.DUMMYFUNCTION("""COMPUTED_VALUE"""),"Undrafted")</f>
        <v>Undrafted</v>
      </c>
      <c r="L1535" t="str">
        <f>IFERROR(__xludf.DUMMYFUNCTION("""COMPUTED_VALUE"""),"FINAL")</f>
        <v>FINAL</v>
      </c>
      <c r="M1535" s="124">
        <v>12.0</v>
      </c>
    </row>
    <row r="1536">
      <c r="A1536" s="151">
        <f>IFERROR(__xludf.DUMMYFUNCTION("""COMPUTED_VALUE"""),43786.147747511575)</f>
        <v>43786.14775</v>
      </c>
      <c r="B1536" t="str">
        <f>IFERROR(__xludf.DUMMYFUNCTION("""COMPUTED_VALUE"""),"Josh R.")</f>
        <v>Josh R.</v>
      </c>
      <c r="C1536" s="169" t="str">
        <f>IFERROR(__xludf.DUMMYFUNCTION("""COMPUTED_VALUE"""),"Temple")</f>
        <v>Temple</v>
      </c>
      <c r="D1536">
        <f>IFERROR(__xludf.DUMMYFUNCTION("""COMPUTED_VALUE"""),7.0)</f>
        <v>7</v>
      </c>
      <c r="E1536">
        <f>IFERROR(__xludf.DUMMYFUNCTION("""COMPUTED_VALUE"""),3.0)</f>
        <v>3</v>
      </c>
      <c r="F1536" t="str">
        <f>IFERROR(__xludf.DUMMYFUNCTION("""COMPUTED_VALUE"""),"ESPNU")</f>
        <v>ESPNU</v>
      </c>
      <c r="G1536" t="str">
        <f>IFERROR(__xludf.DUMMYFUNCTION("""COMPUTED_VALUE"""),"Tulane 21 at Temple 29")</f>
        <v>Tulane 21 at Temple 29</v>
      </c>
      <c r="H1536" t="str">
        <f>IFERROR(__xludf.DUMMYFUNCTION("""COMPUTED_VALUE"""),"FINAL")</f>
        <v>FINAL</v>
      </c>
      <c r="I1536" t="str">
        <f>IFERROR(__xludf.DUMMYFUNCTION("""COMPUTED_VALUE"""),"4½")</f>
        <v>4½</v>
      </c>
      <c r="J1536" t="str">
        <f>IFERROR(__xludf.DUMMYFUNCTION("""COMPUTED_VALUE"""),"55½")</f>
        <v>55½</v>
      </c>
      <c r="K1536" t="str">
        <f>IFERROR(__xludf.DUMMYFUNCTION("""COMPUTED_VALUE"""),"Gary")</f>
        <v>Gary</v>
      </c>
      <c r="L1536" t="str">
        <f>IFERROR(__xludf.DUMMYFUNCTION("""COMPUTED_VALUE"""),"FINAL")</f>
        <v>FINAL</v>
      </c>
      <c r="M1536" s="124">
        <v>12.0</v>
      </c>
    </row>
    <row r="1537">
      <c r="A1537" s="151">
        <f>IFERROR(__xludf.DUMMYFUNCTION("""COMPUTED_VALUE"""),43786.147747511575)</f>
        <v>43786.14775</v>
      </c>
      <c r="B1537" t="str">
        <f>IFERROR(__xludf.DUMMYFUNCTION("""COMPUTED_VALUE"""),"Josh R.")</f>
        <v>Josh R.</v>
      </c>
      <c r="C1537" s="169" t="str">
        <f>IFERROR(__xludf.DUMMYFUNCTION("""COMPUTED_VALUE"""),"Kentucky")</f>
        <v>Kentucky</v>
      </c>
      <c r="D1537">
        <f>IFERROR(__xludf.DUMMYFUNCTION("""COMPUTED_VALUE"""),5.0)</f>
        <v>5</v>
      </c>
      <c r="E1537">
        <f>IFERROR(__xludf.DUMMYFUNCTION("""COMPUTED_VALUE"""),5.0)</f>
        <v>5</v>
      </c>
      <c r="F1537" t="str">
        <f>IFERROR(__xludf.DUMMYFUNCTION("""COMPUTED_VALUE"""),"SEC Network")</f>
        <v>SEC Network</v>
      </c>
      <c r="G1537" t="str">
        <f>IFERROR(__xludf.DUMMYFUNCTION("""COMPUTED_VALUE"""),"Kentucky 38 at Vanderbilt 14")</f>
        <v>Kentucky 38 at Vanderbilt 14</v>
      </c>
      <c r="H1537" t="str">
        <f>IFERROR(__xludf.DUMMYFUNCTION("""COMPUTED_VALUE"""),"FINAL")</f>
        <v>FINAL</v>
      </c>
      <c r="I1537" t="str">
        <f>IFERROR(__xludf.DUMMYFUNCTION("""COMPUTED_VALUE"""),"-8½")</f>
        <v>-8½</v>
      </c>
      <c r="J1537" t="str">
        <f>IFERROR(__xludf.DUMMYFUNCTION("""COMPUTED_VALUE"""),"43½")</f>
        <v>43½</v>
      </c>
      <c r="K1537" t="str">
        <f>IFERROR(__xludf.DUMMYFUNCTION("""COMPUTED_VALUE"""),"Undrafted")</f>
        <v>Undrafted</v>
      </c>
      <c r="L1537" t="str">
        <f>IFERROR(__xludf.DUMMYFUNCTION("""COMPUTED_VALUE"""),"FINAL")</f>
        <v>FINAL</v>
      </c>
      <c r="M1537" s="124">
        <v>12.0</v>
      </c>
    </row>
    <row r="1538">
      <c r="A1538" s="151">
        <f>IFERROR(__xludf.DUMMYFUNCTION("""COMPUTED_VALUE"""),43786.147747511575)</f>
        <v>43786.14775</v>
      </c>
      <c r="B1538" t="str">
        <f>IFERROR(__xludf.DUMMYFUNCTION("""COMPUTED_VALUE"""),"Josh R.")</f>
        <v>Josh R.</v>
      </c>
      <c r="C1538" s="169" t="str">
        <f>IFERROR(__xludf.DUMMYFUNCTION("""COMPUTED_VALUE"""),"Minnesota")</f>
        <v>Minnesota</v>
      </c>
      <c r="D1538">
        <f>IFERROR(__xludf.DUMMYFUNCTION("""COMPUTED_VALUE"""),9.0)</f>
        <v>9</v>
      </c>
      <c r="E1538">
        <f>IFERROR(__xludf.DUMMYFUNCTION("""COMPUTED_VALUE"""),1.0)</f>
        <v>1</v>
      </c>
      <c r="F1538" t="str">
        <f>IFERROR(__xludf.DUMMYFUNCTION("""COMPUTED_VALUE"""),"FOX")</f>
        <v>FOX</v>
      </c>
      <c r="G1538" t="str">
        <f>IFERROR(__xludf.DUMMYFUNCTION("""COMPUTED_VALUE"""),"(7) Minnesota 19 at (22) Iowa 23")</f>
        <v>(7) Minnesota 19 at (22) Iowa 23</v>
      </c>
      <c r="H1538" t="str">
        <f>IFERROR(__xludf.DUMMYFUNCTION("""COMPUTED_VALUE"""),"FINAL")</f>
        <v>FINAL</v>
      </c>
      <c r="I1538">
        <f>IFERROR(__xludf.DUMMYFUNCTION("""COMPUTED_VALUE"""),3.0)</f>
        <v>3</v>
      </c>
      <c r="J1538" t="str">
        <f>IFERROR(__xludf.DUMMYFUNCTION("""COMPUTED_VALUE"""),"44½")</f>
        <v>44½</v>
      </c>
      <c r="K1538" t="str">
        <f>IFERROR(__xludf.DUMMYFUNCTION("""COMPUTED_VALUE"""),"Justin")</f>
        <v>Justin</v>
      </c>
      <c r="L1538" t="str">
        <f>IFERROR(__xludf.DUMMYFUNCTION("""COMPUTED_VALUE"""),"FINAL")</f>
        <v>FINAL</v>
      </c>
      <c r="M1538" s="124">
        <v>12.0</v>
      </c>
    </row>
    <row r="1539">
      <c r="A1539" s="151">
        <f>IFERROR(__xludf.DUMMYFUNCTION("""COMPUTED_VALUE"""),43786.147747511575)</f>
        <v>43786.14775</v>
      </c>
      <c r="B1539" t="str">
        <f>IFERROR(__xludf.DUMMYFUNCTION("""COMPUTED_VALUE"""),"Josh R.")</f>
        <v>Josh R.</v>
      </c>
      <c r="C1539" s="169" t="str">
        <f>IFERROR(__xludf.DUMMYFUNCTION("""COMPUTED_VALUE"""),"Southern Mississippi")</f>
        <v>Southern Mississippi</v>
      </c>
      <c r="D1539">
        <f>IFERROR(__xludf.DUMMYFUNCTION("""COMPUTED_VALUE"""),7.0)</f>
        <v>7</v>
      </c>
      <c r="E1539">
        <f>IFERROR(__xludf.DUMMYFUNCTION("""COMPUTED_VALUE"""),3.0)</f>
        <v>3</v>
      </c>
      <c r="F1539" t="str">
        <f>IFERROR(__xludf.DUMMYFUNCTION("""COMPUTED_VALUE"""),"NA")</f>
        <v>NA</v>
      </c>
      <c r="G1539" t="str">
        <f>IFERROR(__xludf.DUMMYFUNCTION("""COMPUTED_VALUE"""),"Southern Mississippi 36 at UTSA 17")</f>
        <v>Southern Mississippi 36 at UTSA 17</v>
      </c>
      <c r="H1539" t="str">
        <f>IFERROR(__xludf.DUMMYFUNCTION("""COMPUTED_VALUE"""),"FINAL")</f>
        <v>FINAL</v>
      </c>
      <c r="I1539" t="str">
        <f>IFERROR(__xludf.DUMMYFUNCTION("""COMPUTED_VALUE"""),"-17½")</f>
        <v>-17½</v>
      </c>
      <c r="J1539">
        <f>IFERROR(__xludf.DUMMYFUNCTION("""COMPUTED_VALUE"""),52.0)</f>
        <v>52</v>
      </c>
      <c r="K1539" t="str">
        <f>IFERROR(__xludf.DUMMYFUNCTION("""COMPUTED_VALUE"""),"DavEmily")</f>
        <v>DavEmily</v>
      </c>
      <c r="L1539" t="str">
        <f>IFERROR(__xludf.DUMMYFUNCTION("""COMPUTED_VALUE"""),"FINAL")</f>
        <v>FINAL</v>
      </c>
      <c r="M1539" s="124">
        <v>12.0</v>
      </c>
    </row>
    <row r="1540">
      <c r="A1540" s="151">
        <f>IFERROR(__xludf.DUMMYFUNCTION("""COMPUTED_VALUE"""),43786.147747511575)</f>
        <v>43786.14775</v>
      </c>
      <c r="B1540" t="str">
        <f>IFERROR(__xludf.DUMMYFUNCTION("""COMPUTED_VALUE"""),"Josh R.")</f>
        <v>Josh R.</v>
      </c>
      <c r="C1540" s="169" t="str">
        <f>IFERROR(__xludf.DUMMYFUNCTION("""COMPUTED_VALUE"""),"USC")</f>
        <v>USC</v>
      </c>
      <c r="D1540">
        <f>IFERROR(__xludf.DUMMYFUNCTION("""COMPUTED_VALUE"""),7.0)</f>
        <v>7</v>
      </c>
      <c r="E1540">
        <f>IFERROR(__xludf.DUMMYFUNCTION("""COMPUTED_VALUE"""),4.0)</f>
        <v>4</v>
      </c>
      <c r="F1540" t="str">
        <f>IFERROR(__xludf.DUMMYFUNCTION("""COMPUTED_VALUE"""),"FS1")</f>
        <v>FS1</v>
      </c>
      <c r="G1540" t="str">
        <f>IFERROR(__xludf.DUMMYFUNCTION("""COMPUTED_VALUE"""),"USC 41 at California 17")</f>
        <v>USC 41 at California 17</v>
      </c>
      <c r="H1540" t="str">
        <f>IFERROR(__xludf.DUMMYFUNCTION("""COMPUTED_VALUE"""),"FINAL")</f>
        <v>FINAL</v>
      </c>
      <c r="I1540" t="str">
        <f>IFERROR(__xludf.DUMMYFUNCTION("""COMPUTED_VALUE"""),"-6½")</f>
        <v>-6½</v>
      </c>
      <c r="J1540" t="str">
        <f>IFERROR(__xludf.DUMMYFUNCTION("""COMPUTED_VALUE"""),"48½")</f>
        <v>48½</v>
      </c>
      <c r="K1540" t="str">
        <f>IFERROR(__xludf.DUMMYFUNCTION("""COMPUTED_VALUE"""),"DavEmily")</f>
        <v>DavEmily</v>
      </c>
      <c r="L1540" t="str">
        <f>IFERROR(__xludf.DUMMYFUNCTION("""COMPUTED_VALUE"""),"FINAL")</f>
        <v>FINAL</v>
      </c>
      <c r="M1540" s="124">
        <v>12.0</v>
      </c>
    </row>
    <row r="1541">
      <c r="A1541" s="200">
        <f>IFERROR(__xludf.DUMMYFUNCTION("""COMPUTED_VALUE"""),43786.147747511575)</f>
        <v>43786.14775</v>
      </c>
      <c r="B1541" t="str">
        <f>IFERROR(__xludf.DUMMYFUNCTION("""COMPUTED_VALUE"""),"Josh R.")</f>
        <v>Josh R.</v>
      </c>
      <c r="C1541" s="169" t="str">
        <f>IFERROR(__xludf.DUMMYFUNCTION("""COMPUTED_VALUE"""),"Nevada")</f>
        <v>Nevada</v>
      </c>
      <c r="D1541">
        <f>IFERROR(__xludf.DUMMYFUNCTION("""COMPUTED_VALUE"""),6.0)</f>
        <v>6</v>
      </c>
      <c r="E1541">
        <f>IFERROR(__xludf.DUMMYFUNCTION("""COMPUTED_VALUE"""),4.0)</f>
        <v>4</v>
      </c>
      <c r="F1541" t="str">
        <f>IFERROR(__xludf.DUMMYFUNCTION("""COMPUTED_VALUE"""),"NA")</f>
        <v>NA</v>
      </c>
      <c r="G1541" t="str">
        <f>IFERROR(__xludf.DUMMYFUNCTION("""COMPUTED_VALUE"""),"BYE")</f>
        <v>BYE</v>
      </c>
      <c r="J1541" t="str">
        <f>IFERROR(__xludf.DUMMYFUNCTION("""COMPUTED_VALUE""")," No Line")</f>
        <v> No Line</v>
      </c>
      <c r="L1541">
        <f>IFERROR(__xludf.DUMMYFUNCTION("""COMPUTED_VALUE"""),9999.0)</f>
        <v>9999</v>
      </c>
      <c r="M1541" s="124">
        <v>12.0</v>
      </c>
    </row>
    <row r="1542">
      <c r="A1542" s="151">
        <f>IFERROR(__xludf.DUMMYFUNCTION("""COMPUTED_VALUE"""),43786.147747511575)</f>
        <v>43786.14775</v>
      </c>
      <c r="B1542" t="str">
        <f>IFERROR(__xludf.DUMMYFUNCTION("""COMPUTED_VALUE"""),"Brad")</f>
        <v>Brad</v>
      </c>
      <c r="C1542" s="169" t="str">
        <f>IFERROR(__xludf.DUMMYFUNCTION("""COMPUTED_VALUE"""),"EMU")</f>
        <v>EMU</v>
      </c>
      <c r="D1542">
        <f>IFERROR(__xludf.DUMMYFUNCTION("""COMPUTED_VALUE"""),5.0)</f>
        <v>5</v>
      </c>
      <c r="E1542">
        <f>IFERROR(__xludf.DUMMYFUNCTION("""COMPUTED_VALUE"""),5.0)</f>
        <v>5</v>
      </c>
      <c r="F1542" t="str">
        <f>IFERROR(__xludf.DUMMYFUNCTION("""COMPUTED_VALUE"""),"NA")</f>
        <v>NA</v>
      </c>
      <c r="G1542" t="str">
        <f>IFERROR(__xludf.DUMMYFUNCTION("""COMPUTED_VALUE"""),"EMU 42 at Akron 14")</f>
        <v>EMU 42 at Akron 14</v>
      </c>
      <c r="H1542" t="str">
        <f>IFERROR(__xludf.DUMMYFUNCTION("""COMPUTED_VALUE"""),"FINAL")</f>
        <v>FINAL</v>
      </c>
      <c r="I1542">
        <f>IFERROR(__xludf.DUMMYFUNCTION("""COMPUTED_VALUE"""),-17.0)</f>
        <v>-17</v>
      </c>
      <c r="J1542" t="str">
        <f>IFERROR(__xludf.DUMMYFUNCTION("""COMPUTED_VALUE"""),"46½")</f>
        <v>46½</v>
      </c>
      <c r="K1542" t="str">
        <f>IFERROR(__xludf.DUMMYFUNCTION("""COMPUTED_VALUE"""),"Adam")</f>
        <v>Adam</v>
      </c>
      <c r="L1542" t="str">
        <f>IFERROR(__xludf.DUMMYFUNCTION("""COMPUTED_VALUE"""),"FINAL")</f>
        <v>FINAL</v>
      </c>
      <c r="M1542" s="124">
        <v>12.0</v>
      </c>
    </row>
    <row r="1543">
      <c r="A1543" s="151">
        <f>IFERROR(__xludf.DUMMYFUNCTION("""COMPUTED_VALUE"""),43786.147747511575)</f>
        <v>43786.14775</v>
      </c>
      <c r="B1543" t="str">
        <f>IFERROR(__xludf.DUMMYFUNCTION("""COMPUTED_VALUE"""),"Brad")</f>
        <v>Brad</v>
      </c>
      <c r="C1543" s="169" t="str">
        <f>IFERROR(__xludf.DUMMYFUNCTION("""COMPUTED_VALUE"""),"Louisiana Tech")</f>
        <v>Louisiana Tech</v>
      </c>
      <c r="D1543">
        <f>IFERROR(__xludf.DUMMYFUNCTION("""COMPUTED_VALUE"""),8.0)</f>
        <v>8</v>
      </c>
      <c r="E1543">
        <f>IFERROR(__xludf.DUMMYFUNCTION("""COMPUTED_VALUE"""),2.0)</f>
        <v>2</v>
      </c>
      <c r="F1543" t="str">
        <f>IFERROR(__xludf.DUMMYFUNCTION("""COMPUTED_VALUE"""),"CBSSN")</f>
        <v>CBSSN</v>
      </c>
      <c r="G1543" t="str">
        <f>IFERROR(__xludf.DUMMYFUNCTION("""COMPUTED_VALUE"""),"Louisiana Tech 10 at Marshall 31")</f>
        <v>Louisiana Tech 10 at Marshall 31</v>
      </c>
      <c r="H1543" t="str">
        <f>IFERROR(__xludf.DUMMYFUNCTION("""COMPUTED_VALUE"""),"FINAL")</f>
        <v>FINAL</v>
      </c>
      <c r="I1543" t="str">
        <f>IFERROR(__xludf.DUMMYFUNCTION("""COMPUTED_VALUE"""),"2½")</f>
        <v>2½</v>
      </c>
      <c r="J1543">
        <f>IFERROR(__xludf.DUMMYFUNCTION("""COMPUTED_VALUE"""),56.0)</f>
        <v>56</v>
      </c>
      <c r="K1543" t="str">
        <f>IFERROR(__xludf.DUMMYFUNCTION("""COMPUTED_VALUE"""),"Gary")</f>
        <v>Gary</v>
      </c>
      <c r="L1543" t="str">
        <f>IFERROR(__xludf.DUMMYFUNCTION("""COMPUTED_VALUE"""),"FINAL")</f>
        <v>FINAL</v>
      </c>
      <c r="M1543" s="124">
        <v>12.0</v>
      </c>
    </row>
    <row r="1544">
      <c r="A1544" s="151">
        <f>IFERROR(__xludf.DUMMYFUNCTION("""COMPUTED_VALUE"""),43786.147747511575)</f>
        <v>43786.14775</v>
      </c>
      <c r="B1544" t="str">
        <f>IFERROR(__xludf.DUMMYFUNCTION("""COMPUTED_VALUE"""),"Brad")</f>
        <v>Brad</v>
      </c>
      <c r="C1544" s="169" t="str">
        <f>IFERROR(__xludf.DUMMYFUNCTION("""COMPUTED_VALUE"""),"Indiana")</f>
        <v>Indiana</v>
      </c>
      <c r="D1544">
        <f>IFERROR(__xludf.DUMMYFUNCTION("""COMPUTED_VALUE"""),7.0)</f>
        <v>7</v>
      </c>
      <c r="E1544">
        <f>IFERROR(__xludf.DUMMYFUNCTION("""COMPUTED_VALUE"""),3.0)</f>
        <v>3</v>
      </c>
      <c r="F1544" t="str">
        <f>IFERROR(__xludf.DUMMYFUNCTION("""COMPUTED_VALUE"""),"ABC")</f>
        <v>ABC</v>
      </c>
      <c r="G1544" t="str">
        <f>IFERROR(__xludf.DUMMYFUNCTION("""COMPUTED_VALUE"""),"(25) Indiana 27 at (11) Penn State 34")</f>
        <v>(25) Indiana 27 at (11) Penn State 34</v>
      </c>
      <c r="H1544" t="str">
        <f>IFERROR(__xludf.DUMMYFUNCTION("""COMPUTED_VALUE"""),"FINAL")</f>
        <v>FINAL</v>
      </c>
      <c r="I1544" t="str">
        <f>IFERROR(__xludf.DUMMYFUNCTION("""COMPUTED_VALUE"""),"14½")</f>
        <v>14½</v>
      </c>
      <c r="J1544" t="str">
        <f>IFERROR(__xludf.DUMMYFUNCTION("""COMPUTED_VALUE"""),"50½")</f>
        <v>50½</v>
      </c>
      <c r="K1544" t="str">
        <f>IFERROR(__xludf.DUMMYFUNCTION("""COMPUTED_VALUE"""),"Jeannine")</f>
        <v>Jeannine</v>
      </c>
      <c r="L1544" t="str">
        <f>IFERROR(__xludf.DUMMYFUNCTION("""COMPUTED_VALUE"""),"FINAL")</f>
        <v>FINAL</v>
      </c>
      <c r="M1544" s="124">
        <v>12.0</v>
      </c>
    </row>
    <row r="1545">
      <c r="A1545" s="151">
        <f>IFERROR(__xludf.DUMMYFUNCTION("""COMPUTED_VALUE"""),43786.147747511575)</f>
        <v>43786.14775</v>
      </c>
      <c r="B1545" t="str">
        <f>IFERROR(__xludf.DUMMYFUNCTION("""COMPUTED_VALUE"""),"Brad")</f>
        <v>Brad</v>
      </c>
      <c r="C1545" s="169" t="str">
        <f>IFERROR(__xludf.DUMMYFUNCTION("""COMPUTED_VALUE"""),"Oklahoma State")</f>
        <v>Oklahoma State</v>
      </c>
      <c r="D1545">
        <f>IFERROR(__xludf.DUMMYFUNCTION("""COMPUTED_VALUE"""),7.0)</f>
        <v>7</v>
      </c>
      <c r="E1545">
        <f>IFERROR(__xludf.DUMMYFUNCTION("""COMPUTED_VALUE"""),3.0)</f>
        <v>3</v>
      </c>
      <c r="F1545" t="str">
        <f>IFERROR(__xludf.DUMMYFUNCTION("""COMPUTED_VALUE"""),"FS1")</f>
        <v>FS1</v>
      </c>
      <c r="G1545" t="str">
        <f>IFERROR(__xludf.DUMMYFUNCTION("""COMPUTED_VALUE"""),"Kansas 13 at Oklahoma State 31")</f>
        <v>Kansas 13 at Oklahoma State 31</v>
      </c>
      <c r="H1545" t="str">
        <f>IFERROR(__xludf.DUMMYFUNCTION("""COMPUTED_VALUE"""),"FINAL")</f>
        <v>FINAL</v>
      </c>
      <c r="I1545">
        <f>IFERROR(__xludf.DUMMYFUNCTION("""COMPUTED_VALUE"""),-18.0)</f>
        <v>-18</v>
      </c>
      <c r="J1545" t="str">
        <f>IFERROR(__xludf.DUMMYFUNCTION("""COMPUTED_VALUE"""),"65½")</f>
        <v>65½</v>
      </c>
      <c r="K1545" t="str">
        <f>IFERROR(__xludf.DUMMYFUNCTION("""COMPUTED_VALUE"""),"Josh R.")</f>
        <v>Josh R.</v>
      </c>
      <c r="L1545" t="str">
        <f>IFERROR(__xludf.DUMMYFUNCTION("""COMPUTED_VALUE"""),"FINAL")</f>
        <v>FINAL</v>
      </c>
      <c r="M1545" s="124">
        <v>12.0</v>
      </c>
    </row>
    <row r="1546">
      <c r="A1546" s="151">
        <f>IFERROR(__xludf.DUMMYFUNCTION("""COMPUTED_VALUE"""),43786.147747511575)</f>
        <v>43786.14775</v>
      </c>
      <c r="B1546" t="str">
        <f>IFERROR(__xludf.DUMMYFUNCTION("""COMPUTED_VALUE"""),"Brad")</f>
        <v>Brad</v>
      </c>
      <c r="C1546" s="169" t="str">
        <f>IFERROR(__xludf.DUMMYFUNCTION("""COMPUTED_VALUE"""),"Texas State")</f>
        <v>Texas State</v>
      </c>
      <c r="D1546">
        <f>IFERROR(__xludf.DUMMYFUNCTION("""COMPUTED_VALUE"""),3.0)</f>
        <v>3</v>
      </c>
      <c r="E1546">
        <f>IFERROR(__xludf.DUMMYFUNCTION("""COMPUTED_VALUE"""),7.0)</f>
        <v>7</v>
      </c>
      <c r="F1546" t="str">
        <f>IFERROR(__xludf.DUMMYFUNCTION("""COMPUTED_VALUE"""),"espn3 Video")</f>
        <v>espn3 Video</v>
      </c>
      <c r="G1546" t="str">
        <f>IFERROR(__xludf.DUMMYFUNCTION("""COMPUTED_VALUE"""),"Troy 63 at Texas State 27")</f>
        <v>Troy 63 at Texas State 27</v>
      </c>
      <c r="H1546" t="str">
        <f>IFERROR(__xludf.DUMMYFUNCTION("""COMPUTED_VALUE"""),"FINAL")</f>
        <v>FINAL</v>
      </c>
      <c r="I1546" t="str">
        <f>IFERROR(__xludf.DUMMYFUNCTION("""COMPUTED_VALUE"""),"8½")</f>
        <v>8½</v>
      </c>
      <c r="J1546">
        <f>IFERROR(__xludf.DUMMYFUNCTION("""COMPUTED_VALUE"""),62.0)</f>
        <v>62</v>
      </c>
      <c r="K1546" t="str">
        <f>IFERROR(__xludf.DUMMYFUNCTION("""COMPUTED_VALUE"""),"Nick G.")</f>
        <v>Nick G.</v>
      </c>
      <c r="L1546" t="str">
        <f>IFERROR(__xludf.DUMMYFUNCTION("""COMPUTED_VALUE"""),"FINAL")</f>
        <v>FINAL</v>
      </c>
      <c r="M1546" s="124">
        <v>12.0</v>
      </c>
    </row>
    <row r="1547">
      <c r="A1547" s="151">
        <f>IFERROR(__xludf.DUMMYFUNCTION("""COMPUTED_VALUE"""),43786.147747511575)</f>
        <v>43786.14775</v>
      </c>
      <c r="B1547" t="str">
        <f>IFERROR(__xludf.DUMMYFUNCTION("""COMPUTED_VALUE"""),"Brad")</f>
        <v>Brad</v>
      </c>
      <c r="C1547" s="169" t="str">
        <f>IFERROR(__xludf.DUMMYFUNCTION("""COMPUTED_VALUE"""),"Memphis")</f>
        <v>Memphis</v>
      </c>
      <c r="D1547">
        <f>IFERROR(__xludf.DUMMYFUNCTION("""COMPUTED_VALUE"""),9.0)</f>
        <v>9</v>
      </c>
      <c r="E1547">
        <f>IFERROR(__xludf.DUMMYFUNCTION("""COMPUTED_VALUE"""),1.0)</f>
        <v>1</v>
      </c>
      <c r="F1547" t="str">
        <f>IFERROR(__xludf.DUMMYFUNCTION("""COMPUTED_VALUE"""),"ESPN2")</f>
        <v>ESPN2</v>
      </c>
      <c r="G1547" t="str">
        <f>IFERROR(__xludf.DUMMYFUNCTION("""COMPUTED_VALUE"""),"(18) Memphis 45 at Houston 27")</f>
        <v>(18) Memphis 45 at Houston 27</v>
      </c>
      <c r="H1547" t="str">
        <f>IFERROR(__xludf.DUMMYFUNCTION("""COMPUTED_VALUE"""),"FINAL")</f>
        <v>FINAL</v>
      </c>
      <c r="I1547" t="str">
        <f>IFERROR(__xludf.DUMMYFUNCTION("""COMPUTED_VALUE"""),"-10½")</f>
        <v>-10½</v>
      </c>
      <c r="J1547" t="str">
        <f>IFERROR(__xludf.DUMMYFUNCTION("""COMPUTED_VALUE"""),"71½")</f>
        <v>71½</v>
      </c>
      <c r="K1547" t="str">
        <f>IFERROR(__xludf.DUMMYFUNCTION("""COMPUTED_VALUE"""),"Nico")</f>
        <v>Nico</v>
      </c>
      <c r="L1547" t="str">
        <f>IFERROR(__xludf.DUMMYFUNCTION("""COMPUTED_VALUE"""),"FINAL")</f>
        <v>FINAL</v>
      </c>
      <c r="M1547" s="124">
        <v>12.0</v>
      </c>
    </row>
    <row r="1548">
      <c r="A1548" s="151">
        <f>IFERROR(__xludf.DUMMYFUNCTION("""COMPUTED_VALUE"""),43786.147747511575)</f>
        <v>43786.14775</v>
      </c>
      <c r="B1548" t="str">
        <f>IFERROR(__xludf.DUMMYFUNCTION("""COMPUTED_VALUE"""),"Brad")</f>
        <v>Brad</v>
      </c>
      <c r="C1548" s="169" t="str">
        <f>IFERROR(__xludf.DUMMYFUNCTION("""COMPUTED_VALUE"""),"Colorado State")</f>
        <v>Colorado State</v>
      </c>
      <c r="D1548">
        <f>IFERROR(__xludf.DUMMYFUNCTION("""COMPUTED_VALUE"""),4.0)</f>
        <v>4</v>
      </c>
      <c r="E1548">
        <f>IFERROR(__xludf.DUMMYFUNCTION("""COMPUTED_VALUE"""),6.0)</f>
        <v>6</v>
      </c>
      <c r="F1548" t="str">
        <f>IFERROR(__xludf.DUMMYFUNCTION("""COMPUTED_VALUE"""),"ESPN2")</f>
        <v>ESPN2</v>
      </c>
      <c r="G1548" t="str">
        <f>IFERROR(__xludf.DUMMYFUNCTION("""COMPUTED_VALUE"""),"Air Force 38 at Colorado State 21")</f>
        <v>Air Force 38 at Colorado State 21</v>
      </c>
      <c r="H1548" t="str">
        <f>IFERROR(__xludf.DUMMYFUNCTION("""COMPUTED_VALUE"""),"FINAL")</f>
        <v>FINAL</v>
      </c>
      <c r="I1548">
        <f>IFERROR(__xludf.DUMMYFUNCTION("""COMPUTED_VALUE"""),10.0)</f>
        <v>10</v>
      </c>
      <c r="J1548">
        <f>IFERROR(__xludf.DUMMYFUNCTION("""COMPUTED_VALUE"""),60.0)</f>
        <v>60</v>
      </c>
      <c r="K1548" t="str">
        <f>IFERROR(__xludf.DUMMYFUNCTION("""COMPUTED_VALUE"""),"Adam")</f>
        <v>Adam</v>
      </c>
      <c r="L1548" t="str">
        <f>IFERROR(__xludf.DUMMYFUNCTION("""COMPUTED_VALUE"""),"FINAL")</f>
        <v>FINAL</v>
      </c>
      <c r="M1548" s="124">
        <v>12.0</v>
      </c>
    </row>
    <row r="1549">
      <c r="A1549" s="151">
        <f>IFERROR(__xludf.DUMMYFUNCTION("""COMPUTED_VALUE"""),43786.147747511575)</f>
        <v>43786.14775</v>
      </c>
      <c r="B1549" t="str">
        <f>IFERROR(__xludf.DUMMYFUNCTION("""COMPUTED_VALUE"""),"Brad")</f>
        <v>Brad</v>
      </c>
      <c r="C1549" s="169" t="str">
        <f>IFERROR(__xludf.DUMMYFUNCTION("""COMPUTED_VALUE"""),"South Carolina")</f>
        <v>South Carolina</v>
      </c>
      <c r="D1549">
        <f>IFERROR(__xludf.DUMMYFUNCTION("""COMPUTED_VALUE"""),4.0)</f>
        <v>4</v>
      </c>
      <c r="E1549">
        <f>IFERROR(__xludf.DUMMYFUNCTION("""COMPUTED_VALUE"""),7.0)</f>
        <v>7</v>
      </c>
      <c r="F1549" t="str">
        <f>IFERROR(__xludf.DUMMYFUNCTION("""COMPUTED_VALUE"""),"SEC Network")</f>
        <v>SEC Network</v>
      </c>
      <c r="G1549" t="str">
        <f>IFERROR(__xludf.DUMMYFUNCTION("""COMPUTED_VALUE"""),"South Carolina 6 at Texas A&amp;M 30")</f>
        <v>South Carolina 6 at Texas A&amp;M 30</v>
      </c>
      <c r="H1549" t="str">
        <f>IFERROR(__xludf.DUMMYFUNCTION("""COMPUTED_VALUE"""),"FINAL")</f>
        <v>FINAL</v>
      </c>
      <c r="I1549" t="str">
        <f>IFERROR(__xludf.DUMMYFUNCTION("""COMPUTED_VALUE"""),"10½")</f>
        <v>10½</v>
      </c>
      <c r="J1549" t="str">
        <f>IFERROR(__xludf.DUMMYFUNCTION("""COMPUTED_VALUE"""),"50½")</f>
        <v>50½</v>
      </c>
      <c r="K1549" t="str">
        <f>IFERROR(__xludf.DUMMYFUNCTION("""COMPUTED_VALUE"""),"Vu")</f>
        <v>Vu</v>
      </c>
      <c r="L1549" t="str">
        <f>IFERROR(__xludf.DUMMYFUNCTION("""COMPUTED_VALUE"""),"FINAL")</f>
        <v>FINAL</v>
      </c>
      <c r="M1549" s="124">
        <v>12.0</v>
      </c>
    </row>
    <row r="1550">
      <c r="A1550" s="151">
        <f>IFERROR(__xludf.DUMMYFUNCTION("""COMPUTED_VALUE"""),43786.147747511575)</f>
        <v>43786.14775</v>
      </c>
      <c r="B1550" t="str">
        <f>IFERROR(__xludf.DUMMYFUNCTION("""COMPUTED_VALUE"""),"Brad")</f>
        <v>Brad</v>
      </c>
      <c r="C1550" s="169" t="str">
        <f>IFERROR(__xludf.DUMMYFUNCTION("""COMPUTED_VALUE"""),"Utah")</f>
        <v>Utah</v>
      </c>
      <c r="D1550">
        <f>IFERROR(__xludf.DUMMYFUNCTION("""COMPUTED_VALUE"""),9.0)</f>
        <v>9</v>
      </c>
      <c r="E1550">
        <f>IFERROR(__xludf.DUMMYFUNCTION("""COMPUTED_VALUE"""),1.0)</f>
        <v>1</v>
      </c>
      <c r="F1550" t="str">
        <f>IFERROR(__xludf.DUMMYFUNCTION("""COMPUTED_VALUE"""),"FOX")</f>
        <v>FOX</v>
      </c>
      <c r="G1550" t="str">
        <f>IFERROR(__xludf.DUMMYFUNCTION("""COMPUTED_VALUE"""),"UCLA 3 at (9) Utah 49")</f>
        <v>UCLA 3 at (9) Utah 49</v>
      </c>
      <c r="H1550" t="str">
        <f>IFERROR(__xludf.DUMMYFUNCTION("""COMPUTED_VALUE"""),"FINAL")</f>
        <v>FINAL</v>
      </c>
      <c r="I1550">
        <f>IFERROR(__xludf.DUMMYFUNCTION("""COMPUTED_VALUE"""),-21.0)</f>
        <v>-21</v>
      </c>
      <c r="J1550">
        <f>IFERROR(__xludf.DUMMYFUNCTION("""COMPUTED_VALUE"""),54.0)</f>
        <v>54</v>
      </c>
      <c r="K1550" t="str">
        <f>IFERROR(__xludf.DUMMYFUNCTION("""COMPUTED_VALUE"""),"Gary")</f>
        <v>Gary</v>
      </c>
      <c r="L1550" t="str">
        <f>IFERROR(__xludf.DUMMYFUNCTION("""COMPUTED_VALUE"""),"FINAL")</f>
        <v>FINAL</v>
      </c>
      <c r="M1550" s="124">
        <v>12.0</v>
      </c>
    </row>
    <row r="1551">
      <c r="A1551" s="200">
        <f>IFERROR(__xludf.DUMMYFUNCTION("""COMPUTED_VALUE"""),43786.147747511575)</f>
        <v>43786.14775</v>
      </c>
      <c r="B1551" t="str">
        <f>IFERROR(__xludf.DUMMYFUNCTION("""COMPUTED_VALUE"""),"Brad")</f>
        <v>Brad</v>
      </c>
      <c r="C1551" s="169" t="str">
        <f>IFERROR(__xludf.DUMMYFUNCTION("""COMPUTED_VALUE"""),"Miami")</f>
        <v>Miami</v>
      </c>
      <c r="D1551">
        <f>IFERROR(__xludf.DUMMYFUNCTION("""COMPUTED_VALUE"""),6.0)</f>
        <v>6</v>
      </c>
      <c r="E1551">
        <f>IFERROR(__xludf.DUMMYFUNCTION("""COMPUTED_VALUE"""),4.0)</f>
        <v>4</v>
      </c>
      <c r="F1551" t="str">
        <f>IFERROR(__xludf.DUMMYFUNCTION("""COMPUTED_VALUE"""),"NA")</f>
        <v>NA</v>
      </c>
      <c r="G1551" t="str">
        <f>IFERROR(__xludf.DUMMYFUNCTION("""COMPUTED_VALUE"""),"BYE")</f>
        <v>BYE</v>
      </c>
      <c r="J1551" t="str">
        <f>IFERROR(__xludf.DUMMYFUNCTION("""COMPUTED_VALUE""")," No Line")</f>
        <v> No Line</v>
      </c>
      <c r="L1551">
        <f>IFERROR(__xludf.DUMMYFUNCTION("""COMPUTED_VALUE"""),9999.0)</f>
        <v>9999</v>
      </c>
      <c r="M1551" s="124">
        <v>12.0</v>
      </c>
    </row>
    <row r="1552">
      <c r="A1552" s="151">
        <f>IFERROR(__xludf.DUMMYFUNCTION("""COMPUTED_VALUE"""),43786.147747511575)</f>
        <v>43786.14775</v>
      </c>
      <c r="B1552" t="str">
        <f>IFERROR(__xludf.DUMMYFUNCTION("""COMPUTED_VALUE"""),"Nick G.")</f>
        <v>Nick G.</v>
      </c>
      <c r="C1552" s="169" t="str">
        <f>IFERROR(__xludf.DUMMYFUNCTION("""COMPUTED_VALUE"""),"Troy")</f>
        <v>Troy</v>
      </c>
      <c r="D1552">
        <f>IFERROR(__xludf.DUMMYFUNCTION("""COMPUTED_VALUE"""),5.0)</f>
        <v>5</v>
      </c>
      <c r="E1552">
        <f>IFERROR(__xludf.DUMMYFUNCTION("""COMPUTED_VALUE"""),5.0)</f>
        <v>5</v>
      </c>
      <c r="F1552" t="str">
        <f>IFERROR(__xludf.DUMMYFUNCTION("""COMPUTED_VALUE"""),"espn3 Video")</f>
        <v>espn3 Video</v>
      </c>
      <c r="G1552" t="str">
        <f>IFERROR(__xludf.DUMMYFUNCTION("""COMPUTED_VALUE"""),"Troy 63 at Texas State 27")</f>
        <v>Troy 63 at Texas State 27</v>
      </c>
      <c r="H1552" t="str">
        <f>IFERROR(__xludf.DUMMYFUNCTION("""COMPUTED_VALUE"""),"FINAL")</f>
        <v>FINAL</v>
      </c>
      <c r="I1552" t="str">
        <f>IFERROR(__xludf.DUMMYFUNCTION("""COMPUTED_VALUE"""),"-8½")</f>
        <v>-8½</v>
      </c>
      <c r="J1552">
        <f>IFERROR(__xludf.DUMMYFUNCTION("""COMPUTED_VALUE"""),62.0)</f>
        <v>62</v>
      </c>
      <c r="K1552" t="str">
        <f>IFERROR(__xludf.DUMMYFUNCTION("""COMPUTED_VALUE"""),"Brad")</f>
        <v>Brad</v>
      </c>
      <c r="L1552" t="str">
        <f>IFERROR(__xludf.DUMMYFUNCTION("""COMPUTED_VALUE"""),"FINAL")</f>
        <v>FINAL</v>
      </c>
      <c r="M1552" s="124">
        <v>12.0</v>
      </c>
    </row>
    <row r="1553">
      <c r="A1553" s="151">
        <f>IFERROR(__xludf.DUMMYFUNCTION("""COMPUTED_VALUE"""),43786.147747511575)</f>
        <v>43786.14775</v>
      </c>
      <c r="B1553" t="str">
        <f>IFERROR(__xludf.DUMMYFUNCTION("""COMPUTED_VALUE"""),"Nick G.")</f>
        <v>Nick G.</v>
      </c>
      <c r="C1553" s="169" t="str">
        <f>IFERROR(__xludf.DUMMYFUNCTION("""COMPUTED_VALUE"""),"Ohio State")</f>
        <v>Ohio State</v>
      </c>
      <c r="D1553">
        <f>IFERROR(__xludf.DUMMYFUNCTION("""COMPUTED_VALUE"""),10.0)</f>
        <v>10</v>
      </c>
      <c r="E1553">
        <f>IFERROR(__xludf.DUMMYFUNCTION("""COMPUTED_VALUE"""),0.0)</f>
        <v>0</v>
      </c>
      <c r="F1553" t="str">
        <f>IFERROR(__xludf.DUMMYFUNCTION("""COMPUTED_VALUE"""),"BTN")</f>
        <v>BTN</v>
      </c>
      <c r="G1553" t="str">
        <f>IFERROR(__xludf.DUMMYFUNCTION("""COMPUTED_VALUE"""),"(2) Ohio State 56 at Rutgers 21")</f>
        <v>(2) Ohio State 56 at Rutgers 21</v>
      </c>
      <c r="H1553" t="str">
        <f>IFERROR(__xludf.DUMMYFUNCTION("""COMPUTED_VALUE"""),"FINAL")</f>
        <v>FINAL</v>
      </c>
      <c r="I1553">
        <f>IFERROR(__xludf.DUMMYFUNCTION("""COMPUTED_VALUE"""),-51.0)</f>
        <v>-51</v>
      </c>
      <c r="J1553" t="str">
        <f>IFERROR(__xludf.DUMMYFUNCTION("""COMPUTED_VALUE"""),"60½")</f>
        <v>60½</v>
      </c>
      <c r="K1553" t="str">
        <f>IFERROR(__xludf.DUMMYFUNCTION("""COMPUTED_VALUE"""),"Undrafted")</f>
        <v>Undrafted</v>
      </c>
      <c r="L1553" t="str">
        <f>IFERROR(__xludf.DUMMYFUNCTION("""COMPUTED_VALUE"""),"FINAL")</f>
        <v>FINAL</v>
      </c>
      <c r="M1553" s="124">
        <v>12.0</v>
      </c>
    </row>
    <row r="1554">
      <c r="A1554" s="151">
        <f>IFERROR(__xludf.DUMMYFUNCTION("""COMPUTED_VALUE"""),43786.147747511575)</f>
        <v>43786.14775</v>
      </c>
      <c r="B1554" t="str">
        <f>IFERROR(__xludf.DUMMYFUNCTION("""COMPUTED_VALUE"""),"Nick G.")</f>
        <v>Nick G.</v>
      </c>
      <c r="C1554" s="169" t="str">
        <f>IFERROR(__xludf.DUMMYFUNCTION("""COMPUTED_VALUE"""),"Auburn")</f>
        <v>Auburn</v>
      </c>
      <c r="D1554">
        <f>IFERROR(__xludf.DUMMYFUNCTION("""COMPUTED_VALUE"""),7.0)</f>
        <v>7</v>
      </c>
      <c r="E1554">
        <f>IFERROR(__xludf.DUMMYFUNCTION("""COMPUTED_VALUE"""),3.0)</f>
        <v>3</v>
      </c>
      <c r="F1554" t="str">
        <f>IFERROR(__xludf.DUMMYFUNCTION("""COMPUTED_VALUE"""),"CBS")</f>
        <v>CBS</v>
      </c>
      <c r="G1554" t="str">
        <f>IFERROR(__xludf.DUMMYFUNCTION("""COMPUTED_VALUE"""),"(5) Georgia 21 at (13) Auburn 14")</f>
        <v>(5) Georgia 21 at (13) Auburn 14</v>
      </c>
      <c r="H1554" t="str">
        <f>IFERROR(__xludf.DUMMYFUNCTION("""COMPUTED_VALUE"""),"FINAL")</f>
        <v>FINAL</v>
      </c>
      <c r="I1554">
        <f>IFERROR(__xludf.DUMMYFUNCTION("""COMPUTED_VALUE"""),3.0)</f>
        <v>3</v>
      </c>
      <c r="J1554">
        <f>IFERROR(__xludf.DUMMYFUNCTION("""COMPUTED_VALUE"""),44.0)</f>
        <v>44</v>
      </c>
      <c r="K1554" t="str">
        <f>IFERROR(__xludf.DUMMYFUNCTION("""COMPUTED_VALUE"""),"Nico")</f>
        <v>Nico</v>
      </c>
      <c r="L1554" t="str">
        <f>IFERROR(__xludf.DUMMYFUNCTION("""COMPUTED_VALUE"""),"FINAL")</f>
        <v>FINAL</v>
      </c>
      <c r="M1554" s="124">
        <v>12.0</v>
      </c>
    </row>
    <row r="1555">
      <c r="A1555" s="151">
        <f>IFERROR(__xludf.DUMMYFUNCTION("""COMPUTED_VALUE"""),43786.147747511575)</f>
        <v>43786.14775</v>
      </c>
      <c r="B1555" t="str">
        <f>IFERROR(__xludf.DUMMYFUNCTION("""COMPUTED_VALUE"""),"Nick G.")</f>
        <v>Nick G.</v>
      </c>
      <c r="C1555" s="169" t="str">
        <f>IFERROR(__xludf.DUMMYFUNCTION("""COMPUTED_VALUE"""),"Kansas State")</f>
        <v>Kansas State</v>
      </c>
      <c r="D1555">
        <f>IFERROR(__xludf.DUMMYFUNCTION("""COMPUTED_VALUE"""),6.0)</f>
        <v>6</v>
      </c>
      <c r="E1555">
        <f>IFERROR(__xludf.DUMMYFUNCTION("""COMPUTED_VALUE"""),4.0)</f>
        <v>4</v>
      </c>
      <c r="F1555" t="str">
        <f>IFERROR(__xludf.DUMMYFUNCTION("""COMPUTED_VALUE"""),"ESPN")</f>
        <v>ESPN</v>
      </c>
      <c r="G1555" t="str">
        <f>IFERROR(__xludf.DUMMYFUNCTION("""COMPUTED_VALUE"""),"West Virginia 24 at Kansas State 20")</f>
        <v>West Virginia 24 at Kansas State 20</v>
      </c>
      <c r="H1555" t="str">
        <f>IFERROR(__xludf.DUMMYFUNCTION("""COMPUTED_VALUE"""),"FINAL")</f>
        <v>FINAL</v>
      </c>
      <c r="I1555">
        <f>IFERROR(__xludf.DUMMYFUNCTION("""COMPUTED_VALUE"""),-15.0)</f>
        <v>-15</v>
      </c>
      <c r="J1555">
        <f>IFERROR(__xludf.DUMMYFUNCTION("""COMPUTED_VALUE"""),50.0)</f>
        <v>50</v>
      </c>
      <c r="K1555" t="str">
        <f>IFERROR(__xludf.DUMMYFUNCTION("""COMPUTED_VALUE"""),"Nico")</f>
        <v>Nico</v>
      </c>
      <c r="L1555" t="str">
        <f>IFERROR(__xludf.DUMMYFUNCTION("""COMPUTED_VALUE"""),"FINAL")</f>
        <v>FINAL</v>
      </c>
      <c r="M1555" s="124">
        <v>12.0</v>
      </c>
    </row>
    <row r="1556">
      <c r="A1556" s="151">
        <f>IFERROR(__xludf.DUMMYFUNCTION("""COMPUTED_VALUE"""),43786.147747511575)</f>
        <v>43786.14775</v>
      </c>
      <c r="B1556" t="str">
        <f>IFERROR(__xludf.DUMMYFUNCTION("""COMPUTED_VALUE"""),"Nick G.")</f>
        <v>Nick G.</v>
      </c>
      <c r="C1556" s="169" t="str">
        <f>IFERROR(__xludf.DUMMYFUNCTION("""COMPUTED_VALUE"""),"Central Michigan")</f>
        <v>Central Michigan</v>
      </c>
      <c r="D1556">
        <f>IFERROR(__xludf.DUMMYFUNCTION("""COMPUTED_VALUE"""),7.0)</f>
        <v>7</v>
      </c>
      <c r="E1556">
        <f>IFERROR(__xludf.DUMMYFUNCTION("""COMPUTED_VALUE"""),4.0)</f>
        <v>4</v>
      </c>
      <c r="F1556" t="str">
        <f>IFERROR(__xludf.DUMMYFUNCTION("""COMPUTED_VALUE"""),"CBSSN")</f>
        <v>CBSSN</v>
      </c>
      <c r="G1556" t="str">
        <f>IFERROR(__xludf.DUMMYFUNCTION("""COMPUTED_VALUE"""),"Central Michigan 45 at Ball State 44")</f>
        <v>Central Michigan 45 at Ball State 44</v>
      </c>
      <c r="H1556" t="str">
        <f>IFERROR(__xludf.DUMMYFUNCTION("""COMPUTED_VALUE"""),"FINAL")</f>
        <v>FINAL</v>
      </c>
      <c r="I1556" t="str">
        <f>IFERROR(__xludf.DUMMYFUNCTION("""COMPUTED_VALUE"""),"2½")</f>
        <v>2½</v>
      </c>
      <c r="J1556">
        <f>IFERROR(__xludf.DUMMYFUNCTION("""COMPUTED_VALUE"""),58.0)</f>
        <v>58</v>
      </c>
      <c r="K1556" t="str">
        <f>IFERROR(__xludf.DUMMYFUNCTION("""COMPUTED_VALUE"""),"DavEmily")</f>
        <v>DavEmily</v>
      </c>
      <c r="L1556" t="str">
        <f>IFERROR(__xludf.DUMMYFUNCTION("""COMPUTED_VALUE"""),"FINAL")</f>
        <v>FINAL</v>
      </c>
      <c r="M1556" s="124">
        <v>12.0</v>
      </c>
    </row>
    <row r="1557">
      <c r="A1557" s="151">
        <f>IFERROR(__xludf.DUMMYFUNCTION("""COMPUTED_VALUE"""),43786.147747511575)</f>
        <v>43786.14775</v>
      </c>
      <c r="B1557" t="str">
        <f>IFERROR(__xludf.DUMMYFUNCTION("""COMPUTED_VALUE"""),"Nick G.")</f>
        <v>Nick G.</v>
      </c>
      <c r="C1557" s="169" t="str">
        <f>IFERROR(__xludf.DUMMYFUNCTION("""COMPUTED_VALUE"""),"Wyoming")</f>
        <v>Wyoming</v>
      </c>
      <c r="D1557">
        <f>IFERROR(__xludf.DUMMYFUNCTION("""COMPUTED_VALUE"""),6.0)</f>
        <v>6</v>
      </c>
      <c r="E1557">
        <f>IFERROR(__xludf.DUMMYFUNCTION("""COMPUTED_VALUE"""),4.0)</f>
        <v>4</v>
      </c>
      <c r="F1557" t="str">
        <f>IFERROR(__xludf.DUMMYFUNCTION("""COMPUTED_VALUE"""),"ESPNU")</f>
        <v>ESPNU</v>
      </c>
      <c r="G1557" t="str">
        <f>IFERROR(__xludf.DUMMYFUNCTION("""COMPUTED_VALUE"""),"Wyoming 21 at Utah State 26")</f>
        <v>Wyoming 21 at Utah State 26</v>
      </c>
      <c r="H1557" t="str">
        <f>IFERROR(__xludf.DUMMYFUNCTION("""COMPUTED_VALUE"""),"FINAL")</f>
        <v>FINAL</v>
      </c>
      <c r="I1557" t="str">
        <f>IFERROR(__xludf.DUMMYFUNCTION("""COMPUTED_VALUE"""),"6½")</f>
        <v>6½</v>
      </c>
      <c r="J1557">
        <f>IFERROR(__xludf.DUMMYFUNCTION("""COMPUTED_VALUE"""),50.0)</f>
        <v>50</v>
      </c>
      <c r="K1557" t="str">
        <f>IFERROR(__xludf.DUMMYFUNCTION("""COMPUTED_VALUE"""),"Gary")</f>
        <v>Gary</v>
      </c>
      <c r="L1557" t="str">
        <f>IFERROR(__xludf.DUMMYFUNCTION("""COMPUTED_VALUE"""),"FINAL")</f>
        <v>FINAL</v>
      </c>
      <c r="M1557" s="124">
        <v>12.0</v>
      </c>
    </row>
    <row r="1558">
      <c r="A1558" s="151">
        <f>IFERROR(__xludf.DUMMYFUNCTION("""COMPUTED_VALUE"""),43786.147747511575)</f>
        <v>43786.14775</v>
      </c>
      <c r="B1558" t="str">
        <f>IFERROR(__xludf.DUMMYFUNCTION("""COMPUTED_VALUE"""),"Nick G.")</f>
        <v>Nick G.</v>
      </c>
      <c r="C1558" s="169" t="str">
        <f>IFERROR(__xludf.DUMMYFUNCTION("""COMPUTED_VALUE"""),"Stanford")</f>
        <v>Stanford</v>
      </c>
      <c r="D1558">
        <f>IFERROR(__xludf.DUMMYFUNCTION("""COMPUTED_VALUE"""),4.0)</f>
        <v>4</v>
      </c>
      <c r="E1558">
        <f>IFERROR(__xludf.DUMMYFUNCTION("""COMPUTED_VALUE"""),6.0)</f>
        <v>6</v>
      </c>
      <c r="F1558" t="str">
        <f>IFERROR(__xludf.DUMMYFUNCTION("""COMPUTED_VALUE"""),"Pac-12")</f>
        <v>Pac-12</v>
      </c>
      <c r="G1558" t="str">
        <f>IFERROR(__xludf.DUMMYFUNCTION("""COMPUTED_VALUE"""),"Stanford 22 at Washington State 49")</f>
        <v>Stanford 22 at Washington State 49</v>
      </c>
      <c r="H1558" t="str">
        <f>IFERROR(__xludf.DUMMYFUNCTION("""COMPUTED_VALUE"""),"FINAL")</f>
        <v>FINAL</v>
      </c>
      <c r="I1558" t="str">
        <f>IFERROR(__xludf.DUMMYFUNCTION("""COMPUTED_VALUE"""),"10½")</f>
        <v>10½</v>
      </c>
      <c r="J1558">
        <f>IFERROR(__xludf.DUMMYFUNCTION("""COMPUTED_VALUE"""),64.0)</f>
        <v>64</v>
      </c>
      <c r="K1558" t="str">
        <f>IFERROR(__xludf.DUMMYFUNCTION("""COMPUTED_VALUE"""),"Nick A.")</f>
        <v>Nick A.</v>
      </c>
      <c r="L1558" t="str">
        <f>IFERROR(__xludf.DUMMYFUNCTION("""COMPUTED_VALUE"""),"FINAL")</f>
        <v>FINAL</v>
      </c>
      <c r="M1558" s="124">
        <v>12.0</v>
      </c>
    </row>
    <row r="1559">
      <c r="A1559" s="151">
        <f>IFERROR(__xludf.DUMMYFUNCTION("""COMPUTED_VALUE"""),43786.147747511575)</f>
        <v>43786.14775</v>
      </c>
      <c r="B1559" t="str">
        <f>IFERROR(__xludf.DUMMYFUNCTION("""COMPUTED_VALUE"""),"Nick G.")</f>
        <v>Nick G.</v>
      </c>
      <c r="C1559" s="169" t="str">
        <f>IFERROR(__xludf.DUMMYFUNCTION("""COMPUTED_VALUE"""),"NC State")</f>
        <v>NC State</v>
      </c>
      <c r="D1559">
        <f>IFERROR(__xludf.DUMMYFUNCTION("""COMPUTED_VALUE"""),4.0)</f>
        <v>4</v>
      </c>
      <c r="E1559">
        <f>IFERROR(__xludf.DUMMYFUNCTION("""COMPUTED_VALUE"""),6.0)</f>
        <v>6</v>
      </c>
      <c r="F1559" t="str">
        <f>IFERROR(__xludf.DUMMYFUNCTION("""COMPUTED_VALUE"""),"ACC Network")</f>
        <v>ACC Network</v>
      </c>
      <c r="G1559" t="str">
        <f>IFERROR(__xludf.DUMMYFUNCTION("""COMPUTED_VALUE"""),"Louisville 34 at NC State 20")</f>
        <v>Louisville 34 at NC State 20</v>
      </c>
      <c r="H1559" t="str">
        <f>IFERROR(__xludf.DUMMYFUNCTION("""COMPUTED_VALUE"""),"FINAL")</f>
        <v>FINAL</v>
      </c>
      <c r="I1559" t="str">
        <f>IFERROR(__xludf.DUMMYFUNCTION("""COMPUTED_VALUE"""),"3½")</f>
        <v>3½</v>
      </c>
      <c r="J1559">
        <f>IFERROR(__xludf.DUMMYFUNCTION("""COMPUTED_VALUE"""),59.0)</f>
        <v>59</v>
      </c>
      <c r="K1559" t="str">
        <f>IFERROR(__xludf.DUMMYFUNCTION("""COMPUTED_VALUE"""),"Undrafted")</f>
        <v>Undrafted</v>
      </c>
      <c r="L1559" t="str">
        <f>IFERROR(__xludf.DUMMYFUNCTION("""COMPUTED_VALUE"""),"FINAL")</f>
        <v>FINAL</v>
      </c>
      <c r="M1559" s="124">
        <v>12.0</v>
      </c>
    </row>
    <row r="1560">
      <c r="A1560" s="151">
        <f>IFERROR(__xludf.DUMMYFUNCTION("""COMPUTED_VALUE"""),43786.147747511575)</f>
        <v>43786.14775</v>
      </c>
      <c r="B1560" t="str">
        <f>IFERROR(__xludf.DUMMYFUNCTION("""COMPUTED_VALUE"""),"Nick G.")</f>
        <v>Nick G.</v>
      </c>
      <c r="C1560" s="169" t="str">
        <f>IFERROR(__xludf.DUMMYFUNCTION("""COMPUTED_VALUE"""),"UConn")</f>
        <v>UConn</v>
      </c>
      <c r="D1560">
        <f>IFERROR(__xludf.DUMMYFUNCTION("""COMPUTED_VALUE"""),2.0)</f>
        <v>2</v>
      </c>
      <c r="E1560">
        <f>IFERROR(__xludf.DUMMYFUNCTION("""COMPUTED_VALUE"""),8.0)</f>
        <v>8</v>
      </c>
      <c r="F1560" t="str">
        <f>IFERROR(__xludf.DUMMYFUNCTION("""COMPUTED_VALUE"""),"NA")</f>
        <v>NA</v>
      </c>
      <c r="G1560" t="str">
        <f>IFERROR(__xludf.DUMMYFUNCTION("""COMPUTED_VALUE"""),"BYE")</f>
        <v>BYE</v>
      </c>
      <c r="I1560" t="str">
        <f>IFERROR(__xludf.DUMMYFUNCTION("""COMPUTED_VALUE"""),"No Line")</f>
        <v>No Line</v>
      </c>
      <c r="L1560">
        <f>IFERROR(__xludf.DUMMYFUNCTION("""COMPUTED_VALUE"""),9999.0)</f>
        <v>9999</v>
      </c>
      <c r="M1560" s="124">
        <v>12.0</v>
      </c>
    </row>
    <row r="1561">
      <c r="A1561" s="200">
        <f>IFERROR(__xludf.DUMMYFUNCTION("""COMPUTED_VALUE"""),43786.147747511575)</f>
        <v>43786.14775</v>
      </c>
      <c r="B1561" t="str">
        <f>IFERROR(__xludf.DUMMYFUNCTION("""COMPUTED_VALUE"""),"Nick G.")</f>
        <v>Nick G.</v>
      </c>
      <c r="C1561" s="169" t="str">
        <f>IFERROR(__xludf.DUMMYFUNCTION("""COMPUTED_VALUE"""),"Florida Atlantic")</f>
        <v>Florida Atlantic</v>
      </c>
      <c r="D1561">
        <f>IFERROR(__xludf.DUMMYFUNCTION("""COMPUTED_VALUE"""),7.0)</f>
        <v>7</v>
      </c>
      <c r="E1561">
        <f>IFERROR(__xludf.DUMMYFUNCTION("""COMPUTED_VALUE"""),3.0)</f>
        <v>3</v>
      </c>
      <c r="F1561" t="str">
        <f>IFERROR(__xludf.DUMMYFUNCTION("""COMPUTED_VALUE"""),"NA")</f>
        <v>NA</v>
      </c>
      <c r="G1561" t="str">
        <f>IFERROR(__xludf.DUMMYFUNCTION("""COMPUTED_VALUE"""),"BYE")</f>
        <v>BYE</v>
      </c>
      <c r="J1561" t="str">
        <f>IFERROR(__xludf.DUMMYFUNCTION("""COMPUTED_VALUE""")," No Line")</f>
        <v> No Line</v>
      </c>
      <c r="L1561">
        <f>IFERROR(__xludf.DUMMYFUNCTION("""COMPUTED_VALUE"""),9999.0)</f>
        <v>9999</v>
      </c>
      <c r="M1561" s="124">
        <v>12.0</v>
      </c>
    </row>
    <row r="1562">
      <c r="A1562" s="151">
        <f>IFERROR(__xludf.DUMMYFUNCTION("""COMPUTED_VALUE"""),43793.14774797454)</f>
        <v>43793.14775</v>
      </c>
      <c r="B1562" t="str">
        <f>IFERROR(__xludf.DUMMYFUNCTION("""COMPUTED_VALUE"""),"DavEmily")</f>
        <v>DavEmily</v>
      </c>
      <c r="C1562" s="169" t="str">
        <f>IFERROR(__xludf.DUMMYFUNCTION("""COMPUTED_VALUE"""),"Alabama")</f>
        <v>Alabama</v>
      </c>
      <c r="D1562">
        <f>IFERROR(__xludf.DUMMYFUNCTION("""COMPUTED_VALUE"""),10.0)</f>
        <v>10</v>
      </c>
      <c r="E1562">
        <f>IFERROR(__xludf.DUMMYFUNCTION("""COMPUTED_VALUE"""),1.0)</f>
        <v>1</v>
      </c>
      <c r="F1562" t="str">
        <f>IFERROR(__xludf.DUMMYFUNCTION("""COMPUTED_VALUE"""),"ESPN")</f>
        <v>ESPN</v>
      </c>
      <c r="G1562" t="str">
        <f>IFERROR(__xludf.DUMMYFUNCTION("""COMPUTED_VALUE"""),"Western Carolina 3 at (5) Alabama 66")</f>
        <v>Western Carolina 3 at (5) Alabama 66</v>
      </c>
      <c r="H1562" t="str">
        <f>IFERROR(__xludf.DUMMYFUNCTION("""COMPUTED_VALUE"""),"FINAL")</f>
        <v>FINAL</v>
      </c>
      <c r="I1562" t="str">
        <f>IFERROR(__xludf.DUMMYFUNCTION("""COMPUTED_VALUE"""),"PK")</f>
        <v>PK</v>
      </c>
      <c r="J1562" t="str">
        <f>IFERROR(__xludf.DUMMYFUNCTION("""COMPUTED_VALUE""")," No Line")</f>
        <v> No Line</v>
      </c>
      <c r="K1562" t="str">
        <f>IFERROR(__xludf.DUMMYFUNCTION("""COMPUTED_VALUE"""),"Undrafted")</f>
        <v>Undrafted</v>
      </c>
      <c r="L1562" t="str">
        <f>IFERROR(__xludf.DUMMYFUNCTION("""COMPUTED_VALUE"""),"FINAL")</f>
        <v>FINAL</v>
      </c>
      <c r="M1562" s="124">
        <v>13.0</v>
      </c>
    </row>
    <row r="1563">
      <c r="A1563" s="151">
        <f>IFERROR(__xludf.DUMMYFUNCTION("""COMPUTED_VALUE"""),43793.14774797454)</f>
        <v>43793.14775</v>
      </c>
      <c r="B1563" t="str">
        <f>IFERROR(__xludf.DUMMYFUNCTION("""COMPUTED_VALUE"""),"DavEmily")</f>
        <v>DavEmily</v>
      </c>
      <c r="C1563" s="169" t="str">
        <f>IFERROR(__xludf.DUMMYFUNCTION("""COMPUTED_VALUE"""),"Ball State")</f>
        <v>Ball State</v>
      </c>
      <c r="D1563">
        <f>IFERROR(__xludf.DUMMYFUNCTION("""COMPUTED_VALUE"""),4.0)</f>
        <v>4</v>
      </c>
      <c r="E1563">
        <f>IFERROR(__xludf.DUMMYFUNCTION("""COMPUTED_VALUE"""),7.0)</f>
        <v>7</v>
      </c>
      <c r="F1563" t="str">
        <f>IFERROR(__xludf.DUMMYFUNCTION("""COMPUTED_VALUE"""),"CBSSN")</f>
        <v>CBSSN</v>
      </c>
      <c r="G1563" t="str">
        <f>IFERROR(__xludf.DUMMYFUNCTION("""COMPUTED_VALUE"""),"Ball State 38 at Kent State 41")</f>
        <v>Ball State 38 at Kent State 41</v>
      </c>
      <c r="H1563" t="str">
        <f>IFERROR(__xludf.DUMMYFUNCTION("""COMPUTED_VALUE"""),"FINAL")</f>
        <v>FINAL</v>
      </c>
      <c r="I1563" t="str">
        <f>IFERROR(__xludf.DUMMYFUNCTION("""COMPUTED_VALUE"""),"-3½")</f>
        <v>-3½</v>
      </c>
      <c r="J1563" t="str">
        <f>IFERROR(__xludf.DUMMYFUNCTION("""COMPUTED_VALUE"""),"64½")</f>
        <v>64½</v>
      </c>
      <c r="K1563" t="str">
        <f>IFERROR(__xludf.DUMMYFUNCTION("""COMPUTED_VALUE"""),"Vu")</f>
        <v>Vu</v>
      </c>
      <c r="L1563" t="str">
        <f>IFERROR(__xludf.DUMMYFUNCTION("""COMPUTED_VALUE"""),"FINAL")</f>
        <v>FINAL</v>
      </c>
      <c r="M1563" s="124">
        <v>13.0</v>
      </c>
    </row>
    <row r="1564">
      <c r="A1564" s="151">
        <f>IFERROR(__xludf.DUMMYFUNCTION("""COMPUTED_VALUE"""),43793.14774797454)</f>
        <v>43793.14775</v>
      </c>
      <c r="B1564" t="str">
        <f>IFERROR(__xludf.DUMMYFUNCTION("""COMPUTED_VALUE"""),"DavEmily")</f>
        <v>DavEmily</v>
      </c>
      <c r="C1564" s="169" t="str">
        <f>IFERROR(__xludf.DUMMYFUNCTION("""COMPUTED_VALUE"""),"Notre Dame")</f>
        <v>Notre Dame</v>
      </c>
      <c r="D1564">
        <f>IFERROR(__xludf.DUMMYFUNCTION("""COMPUTED_VALUE"""),9.0)</f>
        <v>9</v>
      </c>
      <c r="E1564">
        <f>IFERROR(__xludf.DUMMYFUNCTION("""COMPUTED_VALUE"""),2.0)</f>
        <v>2</v>
      </c>
      <c r="F1564" t="str">
        <f>IFERROR(__xludf.DUMMYFUNCTION("""COMPUTED_VALUE"""),"NBC")</f>
        <v>NBC</v>
      </c>
      <c r="G1564" t="str">
        <f>IFERROR(__xludf.DUMMYFUNCTION("""COMPUTED_VALUE"""),"Boston College 7 at (15) Notre Dame 40")</f>
        <v>Boston College 7 at (15) Notre Dame 40</v>
      </c>
      <c r="H1564" t="str">
        <f>IFERROR(__xludf.DUMMYFUNCTION("""COMPUTED_VALUE"""),"FINAL")</f>
        <v>FINAL</v>
      </c>
      <c r="I1564">
        <f>IFERROR(__xludf.DUMMYFUNCTION("""COMPUTED_VALUE"""),-19.0)</f>
        <v>-19</v>
      </c>
      <c r="J1564">
        <f>IFERROR(__xludf.DUMMYFUNCTION("""COMPUTED_VALUE"""),64.0)</f>
        <v>64</v>
      </c>
      <c r="K1564" t="str">
        <f>IFERROR(__xludf.DUMMYFUNCTION("""COMPUTED_VALUE"""),"Janice/Mike")</f>
        <v>Janice/Mike</v>
      </c>
      <c r="L1564" t="str">
        <f>IFERROR(__xludf.DUMMYFUNCTION("""COMPUTED_VALUE"""),"FINAL")</f>
        <v>FINAL</v>
      </c>
      <c r="M1564" s="124">
        <v>13.0</v>
      </c>
    </row>
    <row r="1565">
      <c r="A1565" s="151">
        <f>IFERROR(__xludf.DUMMYFUNCTION("""COMPUTED_VALUE"""),43793.14774797454)</f>
        <v>43793.14775</v>
      </c>
      <c r="B1565" t="str">
        <f>IFERROR(__xludf.DUMMYFUNCTION("""COMPUTED_VALUE"""),"DavEmily")</f>
        <v>DavEmily</v>
      </c>
      <c r="C1565" s="169" t="str">
        <f>IFERROR(__xludf.DUMMYFUNCTION("""COMPUTED_VALUE"""),"Virginia Tech")</f>
        <v>Virginia Tech</v>
      </c>
      <c r="D1565">
        <f>IFERROR(__xludf.DUMMYFUNCTION("""COMPUTED_VALUE"""),8.0)</f>
        <v>8</v>
      </c>
      <c r="E1565">
        <f>IFERROR(__xludf.DUMMYFUNCTION("""COMPUTED_VALUE"""),3.0)</f>
        <v>3</v>
      </c>
      <c r="F1565" t="str">
        <f>IFERROR(__xludf.DUMMYFUNCTION("""COMPUTED_VALUE"""),"ACC RSN")</f>
        <v>ACC RSN</v>
      </c>
      <c r="G1565" t="str">
        <f>IFERROR(__xludf.DUMMYFUNCTION("""COMPUTED_VALUE"""),"Pittsburgh 0 at Virginia Tech 28")</f>
        <v>Pittsburgh 0 at Virginia Tech 28</v>
      </c>
      <c r="H1565" t="str">
        <f>IFERROR(__xludf.DUMMYFUNCTION("""COMPUTED_VALUE"""),"FINAL")</f>
        <v>FINAL</v>
      </c>
      <c r="I1565">
        <f>IFERROR(__xludf.DUMMYFUNCTION("""COMPUTED_VALUE"""),-4.0)</f>
        <v>-4</v>
      </c>
      <c r="J1565" t="str">
        <f>IFERROR(__xludf.DUMMYFUNCTION("""COMPUTED_VALUE"""),"47½")</f>
        <v>47½</v>
      </c>
      <c r="K1565" t="str">
        <f>IFERROR(__xludf.DUMMYFUNCTION("""COMPUTED_VALUE"""),"Gary")</f>
        <v>Gary</v>
      </c>
      <c r="L1565" t="str">
        <f>IFERROR(__xludf.DUMMYFUNCTION("""COMPUTED_VALUE"""),"FINAL")</f>
        <v>FINAL</v>
      </c>
      <c r="M1565" s="124">
        <v>13.0</v>
      </c>
    </row>
    <row r="1566">
      <c r="A1566" s="151">
        <f>IFERROR(__xludf.DUMMYFUNCTION("""COMPUTED_VALUE"""),43793.14774797454)</f>
        <v>43793.14775</v>
      </c>
      <c r="B1566" t="str">
        <f>IFERROR(__xludf.DUMMYFUNCTION("""COMPUTED_VALUE"""),"DavEmily")</f>
        <v>DavEmily</v>
      </c>
      <c r="C1566" s="169" t="str">
        <f>IFERROR(__xludf.DUMMYFUNCTION("""COMPUTED_VALUE"""),"Nebraska")</f>
        <v>Nebraska</v>
      </c>
      <c r="D1566">
        <f>IFERROR(__xludf.DUMMYFUNCTION("""COMPUTED_VALUE"""),5.0)</f>
        <v>5</v>
      </c>
      <c r="E1566">
        <f>IFERROR(__xludf.DUMMYFUNCTION("""COMPUTED_VALUE"""),6.0)</f>
        <v>6</v>
      </c>
      <c r="F1566" t="str">
        <f>IFERROR(__xludf.DUMMYFUNCTION("""COMPUTED_VALUE"""),"BTN")</f>
        <v>BTN</v>
      </c>
      <c r="G1566" t="str">
        <f>IFERROR(__xludf.DUMMYFUNCTION("""COMPUTED_VALUE"""),"Nebraska 54 at Maryland 7")</f>
        <v>Nebraska 54 at Maryland 7</v>
      </c>
      <c r="H1566" t="str">
        <f>IFERROR(__xludf.DUMMYFUNCTION("""COMPUTED_VALUE"""),"FINAL")</f>
        <v>FINAL</v>
      </c>
      <c r="I1566" t="str">
        <f>IFERROR(__xludf.DUMMYFUNCTION("""COMPUTED_VALUE"""),"-4½")</f>
        <v>-4½</v>
      </c>
      <c r="J1566">
        <f>IFERROR(__xludf.DUMMYFUNCTION("""COMPUTED_VALUE"""),63.0)</f>
        <v>63</v>
      </c>
      <c r="K1566" t="str">
        <f>IFERROR(__xludf.DUMMYFUNCTION("""COMPUTED_VALUE"""),"Gary")</f>
        <v>Gary</v>
      </c>
      <c r="L1566" t="str">
        <f>IFERROR(__xludf.DUMMYFUNCTION("""COMPUTED_VALUE"""),"FINAL")</f>
        <v>FINAL</v>
      </c>
      <c r="M1566" s="124">
        <v>13.0</v>
      </c>
    </row>
    <row r="1567">
      <c r="A1567" s="151">
        <f>IFERROR(__xludf.DUMMYFUNCTION("""COMPUTED_VALUE"""),43793.14774797454)</f>
        <v>43793.14775</v>
      </c>
      <c r="B1567" t="str">
        <f>IFERROR(__xludf.DUMMYFUNCTION("""COMPUTED_VALUE"""),"DavEmily")</f>
        <v>DavEmily</v>
      </c>
      <c r="C1567" s="169" t="str">
        <f>IFERROR(__xludf.DUMMYFUNCTION("""COMPUTED_VALUE"""),"California")</f>
        <v>California</v>
      </c>
      <c r="D1567">
        <f>IFERROR(__xludf.DUMMYFUNCTION("""COMPUTED_VALUE"""),6.0)</f>
        <v>6</v>
      </c>
      <c r="E1567">
        <f>IFERROR(__xludf.DUMMYFUNCTION("""COMPUTED_VALUE"""),5.0)</f>
        <v>5</v>
      </c>
      <c r="F1567" t="str">
        <f>IFERROR(__xludf.DUMMYFUNCTION("""COMPUTED_VALUE"""),"FS1")</f>
        <v>FS1</v>
      </c>
      <c r="G1567" t="str">
        <f>IFERROR(__xludf.DUMMYFUNCTION("""COMPUTED_VALUE"""),"California 24 at Stanford 20")</f>
        <v>California 24 at Stanford 20</v>
      </c>
      <c r="H1567" t="str">
        <f>IFERROR(__xludf.DUMMYFUNCTION("""COMPUTED_VALUE"""),"FINAL")</f>
        <v>FINAL</v>
      </c>
      <c r="I1567">
        <f>IFERROR(__xludf.DUMMYFUNCTION("""COMPUTED_VALUE"""),3.0)</f>
        <v>3</v>
      </c>
      <c r="J1567">
        <f>IFERROR(__xludf.DUMMYFUNCTION("""COMPUTED_VALUE"""),42.0)</f>
        <v>42</v>
      </c>
      <c r="K1567" t="str">
        <f>IFERROR(__xludf.DUMMYFUNCTION("""COMPUTED_VALUE"""),"Nick G.")</f>
        <v>Nick G.</v>
      </c>
      <c r="L1567" t="str">
        <f>IFERROR(__xludf.DUMMYFUNCTION("""COMPUTED_VALUE"""),"FINAL")</f>
        <v>FINAL</v>
      </c>
      <c r="M1567" s="124">
        <v>13.0</v>
      </c>
    </row>
    <row r="1568">
      <c r="A1568" s="151">
        <f>IFERROR(__xludf.DUMMYFUNCTION("""COMPUTED_VALUE"""),43793.14774797454)</f>
        <v>43793.14775</v>
      </c>
      <c r="B1568" t="str">
        <f>IFERROR(__xludf.DUMMYFUNCTION("""COMPUTED_VALUE"""),"DavEmily")</f>
        <v>DavEmily</v>
      </c>
      <c r="C1568" s="169" t="str">
        <f>IFERROR(__xludf.DUMMYFUNCTION("""COMPUTED_VALUE"""),"Coastal Carolina")</f>
        <v>Coastal Carolina</v>
      </c>
      <c r="D1568">
        <f>IFERROR(__xludf.DUMMYFUNCTION("""COMPUTED_VALUE"""),4.0)</f>
        <v>4</v>
      </c>
      <c r="E1568">
        <f>IFERROR(__xludf.DUMMYFUNCTION("""COMPUTED_VALUE"""),7.0)</f>
        <v>7</v>
      </c>
      <c r="F1568" t="str">
        <f>IFERROR(__xludf.DUMMYFUNCTION("""COMPUTED_VALUE"""),"espn+ Video")</f>
        <v>espn+ Video</v>
      </c>
      <c r="G1568" t="str">
        <f>IFERROR(__xludf.DUMMYFUNCTION("""COMPUTED_VALUE"""),"Coastal Carolina 42 at UL Monroe 45")</f>
        <v>Coastal Carolina 42 at UL Monroe 45</v>
      </c>
      <c r="H1568" t="str">
        <f>IFERROR(__xludf.DUMMYFUNCTION("""COMPUTED_VALUE"""),"FINAL")</f>
        <v>FINAL</v>
      </c>
      <c r="I1568">
        <f>IFERROR(__xludf.DUMMYFUNCTION("""COMPUTED_VALUE"""),6.0)</f>
        <v>6</v>
      </c>
      <c r="J1568">
        <f>IFERROR(__xludf.DUMMYFUNCTION("""COMPUTED_VALUE"""),65.0)</f>
        <v>65</v>
      </c>
      <c r="K1568" t="str">
        <f>IFERROR(__xludf.DUMMYFUNCTION("""COMPUTED_VALUE"""),"Jeannine")</f>
        <v>Jeannine</v>
      </c>
      <c r="L1568" t="str">
        <f>IFERROR(__xludf.DUMMYFUNCTION("""COMPUTED_VALUE"""),"FINAL")</f>
        <v>FINAL</v>
      </c>
      <c r="M1568" s="124">
        <v>13.0</v>
      </c>
    </row>
    <row r="1569">
      <c r="A1569" s="151">
        <f>IFERROR(__xludf.DUMMYFUNCTION("""COMPUTED_VALUE"""),43793.14774797454)</f>
        <v>43793.14775</v>
      </c>
      <c r="B1569" t="str">
        <f>IFERROR(__xludf.DUMMYFUNCTION("""COMPUTED_VALUE"""),"DavEmily")</f>
        <v>DavEmily</v>
      </c>
      <c r="C1569" s="169" t="str">
        <f>IFERROR(__xludf.DUMMYFUNCTION("""COMPUTED_VALUE"""),"UTSA")</f>
        <v>UTSA</v>
      </c>
      <c r="D1569">
        <f>IFERROR(__xludf.DUMMYFUNCTION("""COMPUTED_VALUE"""),4.0)</f>
        <v>4</v>
      </c>
      <c r="E1569">
        <f>IFERROR(__xludf.DUMMYFUNCTION("""COMPUTED_VALUE"""),7.0)</f>
        <v>7</v>
      </c>
      <c r="F1569" t="str">
        <f>IFERROR(__xludf.DUMMYFUNCTION("""COMPUTED_VALUE"""),"espn+ Video")</f>
        <v>espn+ Video</v>
      </c>
      <c r="G1569" t="str">
        <f>IFERROR(__xludf.DUMMYFUNCTION("""COMPUTED_VALUE"""),"Florida Atlantic 40 at UTSA 26")</f>
        <v>Florida Atlantic 40 at UTSA 26</v>
      </c>
      <c r="H1569" t="str">
        <f>IFERROR(__xludf.DUMMYFUNCTION("""COMPUTED_VALUE"""),"FINAL")</f>
        <v>FINAL</v>
      </c>
      <c r="I1569" t="str">
        <f>IFERROR(__xludf.DUMMYFUNCTION("""COMPUTED_VALUE"""),"20½")</f>
        <v>20½</v>
      </c>
      <c r="J1569">
        <f>IFERROR(__xludf.DUMMYFUNCTION("""COMPUTED_VALUE"""),56.0)</f>
        <v>56</v>
      </c>
      <c r="K1569" t="str">
        <f>IFERROR(__xludf.DUMMYFUNCTION("""COMPUTED_VALUE"""),"Nick G.")</f>
        <v>Nick G.</v>
      </c>
      <c r="L1569" t="str">
        <f>IFERROR(__xludf.DUMMYFUNCTION("""COMPUTED_VALUE"""),"FINAL")</f>
        <v>FINAL</v>
      </c>
      <c r="M1569" s="124">
        <v>13.0</v>
      </c>
    </row>
    <row r="1570">
      <c r="A1570" s="151">
        <f>IFERROR(__xludf.DUMMYFUNCTION("""COMPUTED_VALUE"""),43793.14774797454)</f>
        <v>43793.14775</v>
      </c>
      <c r="B1570" t="str">
        <f>IFERROR(__xludf.DUMMYFUNCTION("""COMPUTED_VALUE"""),"DavEmily")</f>
        <v>DavEmily</v>
      </c>
      <c r="C1570" s="169" t="str">
        <f>IFERROR(__xludf.DUMMYFUNCTION("""COMPUTED_VALUE"""),"Tulsa")</f>
        <v>Tulsa</v>
      </c>
      <c r="D1570">
        <f>IFERROR(__xludf.DUMMYFUNCTION("""COMPUTED_VALUE"""),3.0)</f>
        <v>3</v>
      </c>
      <c r="E1570">
        <f>IFERROR(__xludf.DUMMYFUNCTION("""COMPUTED_VALUE"""),8.0)</f>
        <v>8</v>
      </c>
      <c r="F1570" t="str">
        <f>IFERROR(__xludf.DUMMYFUNCTION("""COMPUTED_VALUE"""),"NA")</f>
        <v>NA</v>
      </c>
      <c r="G1570" t="str">
        <f>IFERROR(__xludf.DUMMYFUNCTION("""COMPUTED_VALUE"""),"Houston 24 at Tulsa 14")</f>
        <v>Houston 24 at Tulsa 14</v>
      </c>
      <c r="H1570" t="str">
        <f>IFERROR(__xludf.DUMMYFUNCTION("""COMPUTED_VALUE"""),"FINAL")</f>
        <v>FINAL</v>
      </c>
      <c r="I1570" t="str">
        <f>IFERROR(__xludf.DUMMYFUNCTION("""COMPUTED_VALUE"""),"-2½")</f>
        <v>-2½</v>
      </c>
      <c r="J1570">
        <f>IFERROR(__xludf.DUMMYFUNCTION("""COMPUTED_VALUE"""),60.0)</f>
        <v>60</v>
      </c>
      <c r="K1570" t="str">
        <f>IFERROR(__xludf.DUMMYFUNCTION("""COMPUTED_VALUE"""),"Nico")</f>
        <v>Nico</v>
      </c>
      <c r="L1570" t="str">
        <f>IFERROR(__xludf.DUMMYFUNCTION("""COMPUTED_VALUE"""),"FINAL")</f>
        <v>FINAL</v>
      </c>
      <c r="M1570" s="124">
        <v>13.0</v>
      </c>
    </row>
    <row r="1571">
      <c r="A1571" s="151">
        <f>IFERROR(__xludf.DUMMYFUNCTION("""COMPUTED_VALUE"""),43793.14774797454)</f>
        <v>43793.14775</v>
      </c>
      <c r="B1571" t="str">
        <f>IFERROR(__xludf.DUMMYFUNCTION("""COMPUTED_VALUE"""),"DavEmily")</f>
        <v>DavEmily</v>
      </c>
      <c r="C1571" s="169" t="str">
        <f>IFERROR(__xludf.DUMMYFUNCTION("""COMPUTED_VALUE"""),"Fresno State")</f>
        <v>Fresno State</v>
      </c>
      <c r="D1571">
        <f>IFERROR(__xludf.DUMMYFUNCTION("""COMPUTED_VALUE"""),4.0)</f>
        <v>4</v>
      </c>
      <c r="E1571">
        <f>IFERROR(__xludf.DUMMYFUNCTION("""COMPUTED_VALUE"""),7.0)</f>
        <v>7</v>
      </c>
      <c r="F1571" t="str">
        <f>IFERROR(__xludf.DUMMYFUNCTION("""COMPUTED_VALUE"""),"ESPN2")</f>
        <v>ESPN2</v>
      </c>
      <c r="G1571" t="str">
        <f>IFERROR(__xludf.DUMMYFUNCTION("""COMPUTED_VALUE"""),"Nevada 35 at Fresno State 28")</f>
        <v>Nevada 35 at Fresno State 28</v>
      </c>
      <c r="H1571" t="str">
        <f>IFERROR(__xludf.DUMMYFUNCTION("""COMPUTED_VALUE"""),"FINAL")</f>
        <v>FINAL</v>
      </c>
      <c r="I1571">
        <f>IFERROR(__xludf.DUMMYFUNCTION("""COMPUTED_VALUE"""),-14.0)</f>
        <v>-14</v>
      </c>
      <c r="J1571">
        <f>IFERROR(__xludf.DUMMYFUNCTION("""COMPUTED_VALUE"""),53.0)</f>
        <v>53</v>
      </c>
      <c r="K1571" t="str">
        <f>IFERROR(__xludf.DUMMYFUNCTION("""COMPUTED_VALUE"""),"Josh R.")</f>
        <v>Josh R.</v>
      </c>
      <c r="L1571" t="str">
        <f>IFERROR(__xludf.DUMMYFUNCTION("""COMPUTED_VALUE"""),"FINAL")</f>
        <v>FINAL</v>
      </c>
      <c r="M1571" s="124">
        <v>13.0</v>
      </c>
    </row>
    <row r="1572">
      <c r="A1572" s="151">
        <f>IFERROR(__xludf.DUMMYFUNCTION("""COMPUTED_VALUE"""),43793.14774797454)</f>
        <v>43793.14775</v>
      </c>
      <c r="B1572" t="str">
        <f>IFERROR(__xludf.DUMMYFUNCTION("""COMPUTED_VALUE"""),"Nick A.")</f>
        <v>Nick A.</v>
      </c>
      <c r="C1572" s="169" t="str">
        <f>IFERROR(__xludf.DUMMYFUNCTION("""COMPUTED_VALUE"""),"Bowling Green")</f>
        <v>Bowling Green</v>
      </c>
      <c r="D1572">
        <f>IFERROR(__xludf.DUMMYFUNCTION("""COMPUTED_VALUE"""),3.0)</f>
        <v>3</v>
      </c>
      <c r="E1572">
        <f>IFERROR(__xludf.DUMMYFUNCTION("""COMPUTED_VALUE"""),8.0)</f>
        <v>8</v>
      </c>
      <c r="F1572" t="str">
        <f>IFERROR(__xludf.DUMMYFUNCTION("""COMPUTED_VALUE"""),"ESPN2")</f>
        <v>ESPN2</v>
      </c>
      <c r="G1572" t="str">
        <f>IFERROR(__xludf.DUMMYFUNCTION("""COMPUTED_VALUE"""),"Ohio 66 at Bowling Green 24")</f>
        <v>Ohio 66 at Bowling Green 24</v>
      </c>
      <c r="H1572" t="str">
        <f>IFERROR(__xludf.DUMMYFUNCTION("""COMPUTED_VALUE"""),"FINAL")</f>
        <v>FINAL</v>
      </c>
      <c r="I1572">
        <f>IFERROR(__xludf.DUMMYFUNCTION("""COMPUTED_VALUE"""),21.0)</f>
        <v>21</v>
      </c>
      <c r="J1572">
        <f>IFERROR(__xludf.DUMMYFUNCTION("""COMPUTED_VALUE"""),57.0)</f>
        <v>57</v>
      </c>
      <c r="K1572" t="str">
        <f>IFERROR(__xludf.DUMMYFUNCTION("""COMPUTED_VALUE"""),"Gary")</f>
        <v>Gary</v>
      </c>
      <c r="L1572" t="str">
        <f>IFERROR(__xludf.DUMMYFUNCTION("""COMPUTED_VALUE"""),"FINAL")</f>
        <v>FINAL</v>
      </c>
      <c r="M1572" s="124">
        <v>13.0</v>
      </c>
    </row>
    <row r="1573">
      <c r="A1573" s="151">
        <f>IFERROR(__xludf.DUMMYFUNCTION("""COMPUTED_VALUE"""),43793.14774797454)</f>
        <v>43793.14775</v>
      </c>
      <c r="B1573" t="str">
        <f>IFERROR(__xludf.DUMMYFUNCTION("""COMPUTED_VALUE"""),"Nick A.")</f>
        <v>Nick A.</v>
      </c>
      <c r="C1573" s="169" t="str">
        <f>IFERROR(__xludf.DUMMYFUNCTION("""COMPUTED_VALUE"""),"Iowa State")</f>
        <v>Iowa State</v>
      </c>
      <c r="D1573">
        <f>IFERROR(__xludf.DUMMYFUNCTION("""COMPUTED_VALUE"""),7.0)</f>
        <v>7</v>
      </c>
      <c r="E1573">
        <f>IFERROR(__xludf.DUMMYFUNCTION("""COMPUTED_VALUE"""),4.0)</f>
        <v>4</v>
      </c>
      <c r="F1573" t="str">
        <f>IFERROR(__xludf.DUMMYFUNCTION("""COMPUTED_VALUE"""),"FS1")</f>
        <v>FS1</v>
      </c>
      <c r="G1573" t="str">
        <f>IFERROR(__xludf.DUMMYFUNCTION("""COMPUTED_VALUE"""),"Kansas 31 at Iowa State 41")</f>
        <v>Kansas 31 at Iowa State 41</v>
      </c>
      <c r="H1573" t="str">
        <f>IFERROR(__xludf.DUMMYFUNCTION("""COMPUTED_VALUE"""),"FINAL")</f>
        <v>FINAL</v>
      </c>
      <c r="I1573" t="str">
        <f>IFERROR(__xludf.DUMMYFUNCTION("""COMPUTED_VALUE"""),"-25½")</f>
        <v>-25½</v>
      </c>
      <c r="J1573">
        <f>IFERROR(__xludf.DUMMYFUNCTION("""COMPUTED_VALUE"""),59.0)</f>
        <v>59</v>
      </c>
      <c r="K1573" t="str">
        <f>IFERROR(__xludf.DUMMYFUNCTION("""COMPUTED_VALUE"""),"Josh R.")</f>
        <v>Josh R.</v>
      </c>
      <c r="L1573" t="str">
        <f>IFERROR(__xludf.DUMMYFUNCTION("""COMPUTED_VALUE"""),"FINAL")</f>
        <v>FINAL</v>
      </c>
      <c r="M1573" s="124">
        <v>13.0</v>
      </c>
    </row>
    <row r="1574">
      <c r="A1574" s="151">
        <f>IFERROR(__xludf.DUMMYFUNCTION("""COMPUTED_VALUE"""),43793.14774797454)</f>
        <v>43793.14775</v>
      </c>
      <c r="B1574" t="str">
        <f>IFERROR(__xludf.DUMMYFUNCTION("""COMPUTED_VALUE"""),"Nick A.")</f>
        <v>Nick A.</v>
      </c>
      <c r="C1574" s="169" t="str">
        <f>IFERROR(__xludf.DUMMYFUNCTION("""COMPUTED_VALUE"""),"East Carolina")</f>
        <v>East Carolina</v>
      </c>
      <c r="D1574">
        <f>IFERROR(__xludf.DUMMYFUNCTION("""COMPUTED_VALUE"""),4.0)</f>
        <v>4</v>
      </c>
      <c r="E1574">
        <f>IFERROR(__xludf.DUMMYFUNCTION("""COMPUTED_VALUE"""),7.0)</f>
        <v>7</v>
      </c>
      <c r="F1574" t="str">
        <f>IFERROR(__xludf.DUMMYFUNCTION("""COMPUTED_VALUE"""),"NA")</f>
        <v>NA</v>
      </c>
      <c r="G1574" t="str">
        <f>IFERROR(__xludf.DUMMYFUNCTION("""COMPUTED_VALUE"""),"East Carolina 31 at UConn 24")</f>
        <v>East Carolina 31 at UConn 24</v>
      </c>
      <c r="H1574" t="str">
        <f>IFERROR(__xludf.DUMMYFUNCTION("""COMPUTED_VALUE"""),"FINAL")</f>
        <v>FINAL</v>
      </c>
      <c r="I1574">
        <f>IFERROR(__xludf.DUMMYFUNCTION("""COMPUTED_VALUE"""),-14.0)</f>
        <v>-14</v>
      </c>
      <c r="J1574">
        <f>IFERROR(__xludf.DUMMYFUNCTION("""COMPUTED_VALUE"""),66.0)</f>
        <v>66</v>
      </c>
      <c r="K1574" t="str">
        <f>IFERROR(__xludf.DUMMYFUNCTION("""COMPUTED_VALUE"""),"Nick G.")</f>
        <v>Nick G.</v>
      </c>
      <c r="L1574" t="str">
        <f>IFERROR(__xludf.DUMMYFUNCTION("""COMPUTED_VALUE"""),"FINAL")</f>
        <v>FINAL</v>
      </c>
      <c r="M1574" s="124">
        <v>13.0</v>
      </c>
    </row>
    <row r="1575">
      <c r="A1575" s="151">
        <f>IFERROR(__xludf.DUMMYFUNCTION("""COMPUTED_VALUE"""),43793.14774797454)</f>
        <v>43793.14775</v>
      </c>
      <c r="B1575" t="str">
        <f>IFERROR(__xludf.DUMMYFUNCTION("""COMPUTED_VALUE"""),"Nick A.")</f>
        <v>Nick A.</v>
      </c>
      <c r="C1575" s="169" t="str">
        <f>IFERROR(__xludf.DUMMYFUNCTION("""COMPUTED_VALUE"""),"Michigan State")</f>
        <v>Michigan State</v>
      </c>
      <c r="D1575">
        <f>IFERROR(__xludf.DUMMYFUNCTION("""COMPUTED_VALUE"""),5.0)</f>
        <v>5</v>
      </c>
      <c r="E1575">
        <f>IFERROR(__xludf.DUMMYFUNCTION("""COMPUTED_VALUE"""),6.0)</f>
        <v>6</v>
      </c>
      <c r="F1575" t="str">
        <f>IFERROR(__xludf.DUMMYFUNCTION("""COMPUTED_VALUE"""),"FOX")</f>
        <v>FOX</v>
      </c>
      <c r="G1575" t="str">
        <f>IFERROR(__xludf.DUMMYFUNCTION("""COMPUTED_VALUE"""),"Michigan State 27 at Rutgers 0")</f>
        <v>Michigan State 27 at Rutgers 0</v>
      </c>
      <c r="H1575" t="str">
        <f>IFERROR(__xludf.DUMMYFUNCTION("""COMPUTED_VALUE"""),"FINAL")</f>
        <v>FINAL</v>
      </c>
      <c r="I1575">
        <f>IFERROR(__xludf.DUMMYFUNCTION("""COMPUTED_VALUE"""),-20.0)</f>
        <v>-20</v>
      </c>
      <c r="J1575">
        <f>IFERROR(__xludf.DUMMYFUNCTION("""COMPUTED_VALUE"""),45.0)</f>
        <v>45</v>
      </c>
      <c r="K1575" t="str">
        <f>IFERROR(__xludf.DUMMYFUNCTION("""COMPUTED_VALUE"""),"Undrafted")</f>
        <v>Undrafted</v>
      </c>
      <c r="L1575" t="str">
        <f>IFERROR(__xludf.DUMMYFUNCTION("""COMPUTED_VALUE"""),"FINAL")</f>
        <v>FINAL</v>
      </c>
      <c r="M1575" s="124">
        <v>13.0</v>
      </c>
    </row>
    <row r="1576">
      <c r="A1576" s="151">
        <f>IFERROR(__xludf.DUMMYFUNCTION("""COMPUTED_VALUE"""),43793.14774797454)</f>
        <v>43793.14775</v>
      </c>
      <c r="B1576" t="str">
        <f>IFERROR(__xludf.DUMMYFUNCTION("""COMPUTED_VALUE"""),"Nick A.")</f>
        <v>Nick A.</v>
      </c>
      <c r="C1576" s="169" t="str">
        <f>IFERROR(__xludf.DUMMYFUNCTION("""COMPUTED_VALUE"""),"New Mexico State")</f>
        <v>New Mexico State</v>
      </c>
      <c r="D1576">
        <f>IFERROR(__xludf.DUMMYFUNCTION("""COMPUTED_VALUE"""),2.0)</f>
        <v>2</v>
      </c>
      <c r="E1576">
        <f>IFERROR(__xludf.DUMMYFUNCTION("""COMPUTED_VALUE"""),9.0)</f>
        <v>9</v>
      </c>
      <c r="F1576" t="str">
        <f>IFERROR(__xludf.DUMMYFUNCTION("""COMPUTED_VALUE"""),"Flo Sports Video")</f>
        <v>Flo Sports Video</v>
      </c>
      <c r="G1576" t="str">
        <f>IFERROR(__xludf.DUMMYFUNCTION("""COMPUTED_VALUE"""),"UTEP 35 at New Mexico State 44")</f>
        <v>UTEP 35 at New Mexico State 44</v>
      </c>
      <c r="H1576" t="str">
        <f>IFERROR(__xludf.DUMMYFUNCTION("""COMPUTED_VALUE"""),"FINAL")</f>
        <v>FINAL</v>
      </c>
      <c r="I1576" t="str">
        <f>IFERROR(__xludf.DUMMYFUNCTION("""COMPUTED_VALUE"""),"-7½")</f>
        <v>-7½</v>
      </c>
      <c r="J1576" t="str">
        <f>IFERROR(__xludf.DUMMYFUNCTION("""COMPUTED_VALUE"""),"55½")</f>
        <v>55½</v>
      </c>
      <c r="K1576" t="str">
        <f>IFERROR(__xludf.DUMMYFUNCTION("""COMPUTED_VALUE"""),"Undrafted")</f>
        <v>Undrafted</v>
      </c>
      <c r="L1576" t="str">
        <f>IFERROR(__xludf.DUMMYFUNCTION("""COMPUTED_VALUE"""),"FINAL")</f>
        <v>FINAL</v>
      </c>
      <c r="M1576" s="124">
        <v>13.0</v>
      </c>
    </row>
    <row r="1577">
      <c r="A1577" s="151">
        <f>IFERROR(__xludf.DUMMYFUNCTION("""COMPUTED_VALUE"""),43793.14774797454)</f>
        <v>43793.14775</v>
      </c>
      <c r="B1577" t="str">
        <f>IFERROR(__xludf.DUMMYFUNCTION("""COMPUTED_VALUE"""),"Nick A.")</f>
        <v>Nick A.</v>
      </c>
      <c r="C1577" s="169" t="str">
        <f>IFERROR(__xludf.DUMMYFUNCTION("""COMPUTED_VALUE"""),"Old Dominion")</f>
        <v>Old Dominion</v>
      </c>
      <c r="D1577">
        <f>IFERROR(__xludf.DUMMYFUNCTION("""COMPUTED_VALUE"""),1.0)</f>
        <v>1</v>
      </c>
      <c r="E1577">
        <f>IFERROR(__xludf.DUMMYFUNCTION("""COMPUTED_VALUE"""),10.0)</f>
        <v>10</v>
      </c>
      <c r="F1577" t="str">
        <f>IFERROR(__xludf.DUMMYFUNCTION("""COMPUTED_VALUE"""),"NA")</f>
        <v>NA</v>
      </c>
      <c r="G1577" t="str">
        <f>IFERROR(__xludf.DUMMYFUNCTION("""COMPUTED_VALUE"""),"Old Dominion 17 at Middle Tennessee 38")</f>
        <v>Old Dominion 17 at Middle Tennessee 38</v>
      </c>
      <c r="H1577" t="str">
        <f>IFERROR(__xludf.DUMMYFUNCTION("""COMPUTED_VALUE"""),"FINAL")</f>
        <v>FINAL</v>
      </c>
      <c r="I1577" t="str">
        <f>IFERROR(__xludf.DUMMYFUNCTION("""COMPUTED_VALUE"""),"14½")</f>
        <v>14½</v>
      </c>
      <c r="J1577">
        <f>IFERROR(__xludf.DUMMYFUNCTION("""COMPUTED_VALUE"""),47.0)</f>
        <v>47</v>
      </c>
      <c r="K1577" t="str">
        <f>IFERROR(__xludf.DUMMYFUNCTION("""COMPUTED_VALUE"""),"Nico")</f>
        <v>Nico</v>
      </c>
      <c r="L1577" t="str">
        <f>IFERROR(__xludf.DUMMYFUNCTION("""COMPUTED_VALUE"""),"FINAL")</f>
        <v>FINAL</v>
      </c>
      <c r="M1577" s="124">
        <v>13.0</v>
      </c>
    </row>
    <row r="1578">
      <c r="A1578" s="151">
        <f>IFERROR(__xludf.DUMMYFUNCTION("""COMPUTED_VALUE"""),43793.14774797454)</f>
        <v>43793.14775</v>
      </c>
      <c r="B1578" t="str">
        <f>IFERROR(__xludf.DUMMYFUNCTION("""COMPUTED_VALUE"""),"Nick A.")</f>
        <v>Nick A.</v>
      </c>
      <c r="C1578" s="169" t="str">
        <f>IFERROR(__xludf.DUMMYFUNCTION("""COMPUTED_VALUE"""),"LSU")</f>
        <v>LSU</v>
      </c>
      <c r="D1578">
        <f>IFERROR(__xludf.DUMMYFUNCTION("""COMPUTED_VALUE"""),11.0)</f>
        <v>11</v>
      </c>
      <c r="E1578">
        <f>IFERROR(__xludf.DUMMYFUNCTION("""COMPUTED_VALUE"""),0.0)</f>
        <v>0</v>
      </c>
      <c r="F1578" t="str">
        <f>IFERROR(__xludf.DUMMYFUNCTION("""COMPUTED_VALUE"""),"ESPN")</f>
        <v>ESPN</v>
      </c>
      <c r="G1578" t="str">
        <f>IFERROR(__xludf.DUMMYFUNCTION("""COMPUTED_VALUE"""),"Arkansas 20 at (1) LSU 56")</f>
        <v>Arkansas 20 at (1) LSU 56</v>
      </c>
      <c r="H1578" t="str">
        <f>IFERROR(__xludf.DUMMYFUNCTION("""COMPUTED_VALUE"""),"FINAL")</f>
        <v>FINAL</v>
      </c>
      <c r="I1578">
        <f>IFERROR(__xludf.DUMMYFUNCTION("""COMPUTED_VALUE"""),-44.0)</f>
        <v>-44</v>
      </c>
      <c r="J1578">
        <f>IFERROR(__xludf.DUMMYFUNCTION("""COMPUTED_VALUE"""),71.0)</f>
        <v>71</v>
      </c>
      <c r="K1578" t="str">
        <f>IFERROR(__xludf.DUMMYFUNCTION("""COMPUTED_VALUE"""),"Janice/Mike")</f>
        <v>Janice/Mike</v>
      </c>
      <c r="L1578" t="str">
        <f>IFERROR(__xludf.DUMMYFUNCTION("""COMPUTED_VALUE"""),"FINAL")</f>
        <v>FINAL</v>
      </c>
      <c r="M1578" s="124">
        <v>13.0</v>
      </c>
    </row>
    <row r="1579">
      <c r="A1579" s="151">
        <f>IFERROR(__xludf.DUMMYFUNCTION("""COMPUTED_VALUE"""),43793.14774797454)</f>
        <v>43793.14775</v>
      </c>
      <c r="B1579" t="str">
        <f>IFERROR(__xludf.DUMMYFUNCTION("""COMPUTED_VALUE"""),"Nick A.")</f>
        <v>Nick A.</v>
      </c>
      <c r="C1579" s="169" t="str">
        <f>IFERROR(__xludf.DUMMYFUNCTION("""COMPUTED_VALUE"""),"Washington State")</f>
        <v>Washington State</v>
      </c>
      <c r="D1579">
        <f>IFERROR(__xludf.DUMMYFUNCTION("""COMPUTED_VALUE"""),6.0)</f>
        <v>6</v>
      </c>
      <c r="E1579">
        <f>IFERROR(__xludf.DUMMYFUNCTION("""COMPUTED_VALUE"""),5.0)</f>
        <v>5</v>
      </c>
      <c r="F1579" t="str">
        <f>IFERROR(__xludf.DUMMYFUNCTION("""COMPUTED_VALUE"""),"Pac-12")</f>
        <v>Pac-12</v>
      </c>
      <c r="G1579" t="str">
        <f>IFERROR(__xludf.DUMMYFUNCTION("""COMPUTED_VALUE"""),"Oregon State 53 at Washington State 54")</f>
        <v>Oregon State 53 at Washington State 54</v>
      </c>
      <c r="H1579" t="str">
        <f>IFERROR(__xludf.DUMMYFUNCTION("""COMPUTED_VALUE"""),"FINAL")</f>
        <v>FINAL</v>
      </c>
      <c r="I1579" t="str">
        <f>IFERROR(__xludf.DUMMYFUNCTION("""COMPUTED_VALUE"""),"-10½")</f>
        <v>-10½</v>
      </c>
      <c r="J1579">
        <f>IFERROR(__xludf.DUMMYFUNCTION("""COMPUTED_VALUE"""),75.0)</f>
        <v>75</v>
      </c>
      <c r="K1579" t="str">
        <f>IFERROR(__xludf.DUMMYFUNCTION("""COMPUTED_VALUE"""),"Adam")</f>
        <v>Adam</v>
      </c>
      <c r="L1579" t="str">
        <f>IFERROR(__xludf.DUMMYFUNCTION("""COMPUTED_VALUE"""),"FINAL")</f>
        <v>FINAL</v>
      </c>
      <c r="M1579" s="124">
        <v>13.0</v>
      </c>
    </row>
    <row r="1580">
      <c r="A1580" s="151">
        <f>IFERROR(__xludf.DUMMYFUNCTION("""COMPUTED_VALUE"""),43793.14774797454)</f>
        <v>43793.14775</v>
      </c>
      <c r="B1580" t="str">
        <f>IFERROR(__xludf.DUMMYFUNCTION("""COMPUTED_VALUE"""),"Nick A.")</f>
        <v>Nick A.</v>
      </c>
      <c r="C1580" s="169" t="str">
        <f>IFERROR(__xludf.DUMMYFUNCTION("""COMPUTED_VALUE"""),"San Diego State")</f>
        <v>San Diego State</v>
      </c>
      <c r="D1580">
        <f>IFERROR(__xludf.DUMMYFUNCTION("""COMPUTED_VALUE"""),8.0)</f>
        <v>8</v>
      </c>
      <c r="E1580">
        <f>IFERROR(__xludf.DUMMYFUNCTION("""COMPUTED_VALUE"""),3.0)</f>
        <v>3</v>
      </c>
      <c r="F1580" t="str">
        <f>IFERROR(__xludf.DUMMYFUNCTION("""COMPUTED_VALUE"""),"ESPN2")</f>
        <v>ESPN2</v>
      </c>
      <c r="G1580" t="str">
        <f>IFERROR(__xludf.DUMMYFUNCTION("""COMPUTED_VALUE"""),"(25) San Diego State 11 at Hawaii 14")</f>
        <v>(25) San Diego State 11 at Hawaii 14</v>
      </c>
      <c r="H1580" t="str">
        <f>IFERROR(__xludf.DUMMYFUNCTION("""COMPUTED_VALUE"""),"FINAL")</f>
        <v>FINAL</v>
      </c>
      <c r="I1580">
        <f>IFERROR(__xludf.DUMMYFUNCTION("""COMPUTED_VALUE"""),3.0)</f>
        <v>3</v>
      </c>
      <c r="J1580">
        <f>IFERROR(__xludf.DUMMYFUNCTION("""COMPUTED_VALUE"""),51.0)</f>
        <v>51</v>
      </c>
      <c r="K1580" t="str">
        <f>IFERROR(__xludf.DUMMYFUNCTION("""COMPUTED_VALUE"""),"Vu")</f>
        <v>Vu</v>
      </c>
      <c r="L1580" t="str">
        <f>IFERROR(__xludf.DUMMYFUNCTION("""COMPUTED_VALUE"""),"FINAL")</f>
        <v>FINAL</v>
      </c>
      <c r="M1580" s="124">
        <v>13.0</v>
      </c>
    </row>
    <row r="1581">
      <c r="A1581" s="151">
        <f>IFERROR(__xludf.DUMMYFUNCTION("""COMPUTED_VALUE"""),43793.14774797454)</f>
        <v>43793.14775</v>
      </c>
      <c r="B1581" t="str">
        <f>IFERROR(__xludf.DUMMYFUNCTION("""COMPUTED_VALUE"""),"Nick A.")</f>
        <v>Nick A.</v>
      </c>
      <c r="C1581" s="169" t="str">
        <f>IFERROR(__xludf.DUMMYFUNCTION("""COMPUTED_VALUE"""),"Clemson")</f>
        <v>Clemson</v>
      </c>
      <c r="D1581">
        <f>IFERROR(__xludf.DUMMYFUNCTION("""COMPUTED_VALUE"""),11.0)</f>
        <v>11</v>
      </c>
      <c r="E1581">
        <f>IFERROR(__xludf.DUMMYFUNCTION("""COMPUTED_VALUE"""),0.0)</f>
        <v>0</v>
      </c>
      <c r="F1581" t="str">
        <f>IFERROR(__xludf.DUMMYFUNCTION("""COMPUTED_VALUE"""),"ABC")</f>
        <v>ABC</v>
      </c>
      <c r="G1581" t="str">
        <f>IFERROR(__xludf.DUMMYFUNCTION("""COMPUTED_VALUE"""),"BYE")</f>
        <v>BYE</v>
      </c>
      <c r="I1581" t="str">
        <f>IFERROR(__xludf.DUMMYFUNCTION("""COMPUTED_VALUE"""),"bye")</f>
        <v>bye</v>
      </c>
      <c r="J1581" t="str">
        <f>IFERROR(__xludf.DUMMYFUNCTION("""COMPUTED_VALUE"""),"bye")</f>
        <v>bye</v>
      </c>
      <c r="L1581">
        <f>IFERROR(__xludf.DUMMYFUNCTION("""COMPUTED_VALUE"""),9999.0)</f>
        <v>9999</v>
      </c>
      <c r="M1581" s="124">
        <v>13.0</v>
      </c>
    </row>
    <row r="1582">
      <c r="A1582" s="151">
        <f>IFERROR(__xludf.DUMMYFUNCTION("""COMPUTED_VALUE"""),43793.14774797454)</f>
        <v>43793.14775</v>
      </c>
      <c r="B1582" t="str">
        <f>IFERROR(__xludf.DUMMYFUNCTION("""COMPUTED_VALUE"""),"Gary")</f>
        <v>Gary</v>
      </c>
      <c r="C1582" s="169" t="str">
        <f>IFERROR(__xludf.DUMMYFUNCTION("""COMPUTED_VALUE"""),"Ohio")</f>
        <v>Ohio</v>
      </c>
      <c r="D1582">
        <f>IFERROR(__xludf.DUMMYFUNCTION("""COMPUTED_VALUE"""),5.0)</f>
        <v>5</v>
      </c>
      <c r="E1582">
        <f>IFERROR(__xludf.DUMMYFUNCTION("""COMPUTED_VALUE"""),6.0)</f>
        <v>6</v>
      </c>
      <c r="F1582" t="str">
        <f>IFERROR(__xludf.DUMMYFUNCTION("""COMPUTED_VALUE"""),"ESPN2")</f>
        <v>ESPN2</v>
      </c>
      <c r="G1582" t="str">
        <f>IFERROR(__xludf.DUMMYFUNCTION("""COMPUTED_VALUE"""),"Ohio 66 at Bowling Green 24")</f>
        <v>Ohio 66 at Bowling Green 24</v>
      </c>
      <c r="H1582" t="str">
        <f>IFERROR(__xludf.DUMMYFUNCTION("""COMPUTED_VALUE"""),"FINAL")</f>
        <v>FINAL</v>
      </c>
      <c r="I1582">
        <f>IFERROR(__xludf.DUMMYFUNCTION("""COMPUTED_VALUE"""),-21.0)</f>
        <v>-21</v>
      </c>
      <c r="J1582">
        <f>IFERROR(__xludf.DUMMYFUNCTION("""COMPUTED_VALUE"""),57.0)</f>
        <v>57</v>
      </c>
      <c r="K1582" t="str">
        <f>IFERROR(__xludf.DUMMYFUNCTION("""COMPUTED_VALUE"""),"Nick A.")</f>
        <v>Nick A.</v>
      </c>
      <c r="L1582" t="str">
        <f>IFERROR(__xludf.DUMMYFUNCTION("""COMPUTED_VALUE"""),"FINAL")</f>
        <v>FINAL</v>
      </c>
      <c r="M1582" s="124">
        <v>13.0</v>
      </c>
    </row>
    <row r="1583">
      <c r="A1583" s="151">
        <f>IFERROR(__xludf.DUMMYFUNCTION("""COMPUTED_VALUE"""),43793.14774797454)</f>
        <v>43793.14775</v>
      </c>
      <c r="B1583" t="str">
        <f>IFERROR(__xludf.DUMMYFUNCTION("""COMPUTED_VALUE"""),"Gary")</f>
        <v>Gary</v>
      </c>
      <c r="C1583" s="169" t="str">
        <f>IFERROR(__xludf.DUMMYFUNCTION("""COMPUTED_VALUE"""),"BYU")</f>
        <v>BYU</v>
      </c>
      <c r="D1583">
        <f>IFERROR(__xludf.DUMMYFUNCTION("""COMPUTED_VALUE"""),7.0)</f>
        <v>7</v>
      </c>
      <c r="E1583">
        <f>IFERROR(__xludf.DUMMYFUNCTION("""COMPUTED_VALUE"""),4.0)</f>
        <v>4</v>
      </c>
      <c r="F1583" t="str">
        <f>IFERROR(__xludf.DUMMYFUNCTION("""COMPUTED_VALUE"""),"BYUtv")</f>
        <v>BYUtv</v>
      </c>
      <c r="G1583" t="str">
        <f>IFERROR(__xludf.DUMMYFUNCTION("""COMPUTED_VALUE"""),"BYU 56 at UMass 24")</f>
        <v>BYU 56 at UMass 24</v>
      </c>
      <c r="H1583" t="str">
        <f>IFERROR(__xludf.DUMMYFUNCTION("""COMPUTED_VALUE"""),"FINAL")</f>
        <v>FINAL</v>
      </c>
      <c r="I1583" t="str">
        <f>IFERROR(__xludf.DUMMYFUNCTION("""COMPUTED_VALUE"""),"-39½")</f>
        <v>-39½</v>
      </c>
      <c r="J1583">
        <f>IFERROR(__xludf.DUMMYFUNCTION("""COMPUTED_VALUE"""),69.0)</f>
        <v>69</v>
      </c>
      <c r="K1583" t="str">
        <f>IFERROR(__xludf.DUMMYFUNCTION("""COMPUTED_VALUE"""),"Undrafted")</f>
        <v>Undrafted</v>
      </c>
      <c r="L1583" t="str">
        <f>IFERROR(__xludf.DUMMYFUNCTION("""COMPUTED_VALUE"""),"FINAL")</f>
        <v>FINAL</v>
      </c>
      <c r="M1583" s="124">
        <v>13.0</v>
      </c>
    </row>
    <row r="1584">
      <c r="A1584" s="151">
        <f>IFERROR(__xludf.DUMMYFUNCTION("""COMPUTED_VALUE"""),43793.14774797454)</f>
        <v>43793.14775</v>
      </c>
      <c r="B1584" t="str">
        <f>IFERROR(__xludf.DUMMYFUNCTION("""COMPUTED_VALUE"""),"Gary")</f>
        <v>Gary</v>
      </c>
      <c r="C1584" s="169" t="str">
        <f>IFERROR(__xludf.DUMMYFUNCTION("""COMPUTED_VALUE"""),"Tulane")</f>
        <v>Tulane</v>
      </c>
      <c r="D1584">
        <f>IFERROR(__xludf.DUMMYFUNCTION("""COMPUTED_VALUE"""),6.0)</f>
        <v>6</v>
      </c>
      <c r="E1584">
        <f>IFERROR(__xludf.DUMMYFUNCTION("""COMPUTED_VALUE"""),5.0)</f>
        <v>5</v>
      </c>
      <c r="F1584" t="str">
        <f>IFERROR(__xludf.DUMMYFUNCTION("""COMPUTED_VALUE"""),"ESPNU")</f>
        <v>ESPNU</v>
      </c>
      <c r="G1584" t="str">
        <f>IFERROR(__xludf.DUMMYFUNCTION("""COMPUTED_VALUE"""),"UCF 34 at Tulane 31")</f>
        <v>UCF 34 at Tulane 31</v>
      </c>
      <c r="H1584" t="str">
        <f>IFERROR(__xludf.DUMMYFUNCTION("""COMPUTED_VALUE"""),"FINAL")</f>
        <v>FINAL</v>
      </c>
      <c r="I1584">
        <f>IFERROR(__xludf.DUMMYFUNCTION("""COMPUTED_VALUE"""),6.0)</f>
        <v>6</v>
      </c>
      <c r="J1584" t="str">
        <f>IFERROR(__xludf.DUMMYFUNCTION("""COMPUTED_VALUE"""),"69½")</f>
        <v>69½</v>
      </c>
      <c r="K1584" t="str">
        <f>IFERROR(__xludf.DUMMYFUNCTION("""COMPUTED_VALUE"""),"Adam")</f>
        <v>Adam</v>
      </c>
      <c r="L1584" t="str">
        <f>IFERROR(__xludf.DUMMYFUNCTION("""COMPUTED_VALUE"""),"FINAL")</f>
        <v>FINAL</v>
      </c>
      <c r="M1584" s="124">
        <v>13.0</v>
      </c>
    </row>
    <row r="1585">
      <c r="A1585" s="151">
        <f>IFERROR(__xludf.DUMMYFUNCTION("""COMPUTED_VALUE"""),43793.14774797454)</f>
        <v>43793.14775</v>
      </c>
      <c r="B1585" t="str">
        <f>IFERROR(__xludf.DUMMYFUNCTION("""COMPUTED_VALUE"""),"Gary")</f>
        <v>Gary</v>
      </c>
      <c r="C1585" s="169" t="str">
        <f>IFERROR(__xludf.DUMMYFUNCTION("""COMPUTED_VALUE"""),"UCLA")</f>
        <v>UCLA</v>
      </c>
      <c r="D1585">
        <f>IFERROR(__xludf.DUMMYFUNCTION("""COMPUTED_VALUE"""),4.0)</f>
        <v>4</v>
      </c>
      <c r="E1585">
        <f>IFERROR(__xludf.DUMMYFUNCTION("""COMPUTED_VALUE"""),7.0)</f>
        <v>7</v>
      </c>
      <c r="F1585" t="str">
        <f>IFERROR(__xludf.DUMMYFUNCTION("""COMPUTED_VALUE"""),"FOX")</f>
        <v>FOX</v>
      </c>
      <c r="G1585" t="str">
        <f>IFERROR(__xludf.DUMMYFUNCTION("""COMPUTED_VALUE"""),"UCLA 35 at USC 52")</f>
        <v>UCLA 35 at USC 52</v>
      </c>
      <c r="H1585" t="str">
        <f>IFERROR(__xludf.DUMMYFUNCTION("""COMPUTED_VALUE"""),"FINAL")</f>
        <v>FINAL</v>
      </c>
      <c r="I1585">
        <f>IFERROR(__xludf.DUMMYFUNCTION("""COMPUTED_VALUE"""),14.0)</f>
        <v>14</v>
      </c>
      <c r="J1585" t="str">
        <f>IFERROR(__xludf.DUMMYFUNCTION("""COMPUTED_VALUE"""),"62½")</f>
        <v>62½</v>
      </c>
      <c r="K1585" t="str">
        <f>IFERROR(__xludf.DUMMYFUNCTION("""COMPUTED_VALUE"""),"Josh R.")</f>
        <v>Josh R.</v>
      </c>
      <c r="L1585" t="str">
        <f>IFERROR(__xludf.DUMMYFUNCTION("""COMPUTED_VALUE"""),"FINAL")</f>
        <v>FINAL</v>
      </c>
      <c r="M1585" s="124">
        <v>13.0</v>
      </c>
    </row>
    <row r="1586">
      <c r="A1586" s="151">
        <f>IFERROR(__xludf.DUMMYFUNCTION("""COMPUTED_VALUE"""),43793.14774797454)</f>
        <v>43793.14775</v>
      </c>
      <c r="B1586" t="str">
        <f>IFERROR(__xludf.DUMMYFUNCTION("""COMPUTED_VALUE"""),"Gary")</f>
        <v>Gary</v>
      </c>
      <c r="C1586" s="169" t="str">
        <f>IFERROR(__xludf.DUMMYFUNCTION("""COMPUTED_VALUE"""),"Pittsburgh")</f>
        <v>Pittsburgh</v>
      </c>
      <c r="D1586">
        <f>IFERROR(__xludf.DUMMYFUNCTION("""COMPUTED_VALUE"""),7.0)</f>
        <v>7</v>
      </c>
      <c r="E1586">
        <f>IFERROR(__xludf.DUMMYFUNCTION("""COMPUTED_VALUE"""),4.0)</f>
        <v>4</v>
      </c>
      <c r="F1586" t="str">
        <f>IFERROR(__xludf.DUMMYFUNCTION("""COMPUTED_VALUE"""),"ESPN")</f>
        <v>ESPN</v>
      </c>
      <c r="G1586" t="str">
        <f>IFERROR(__xludf.DUMMYFUNCTION("""COMPUTED_VALUE"""),"Pittsburgh 0 at Virginia Tech 28")</f>
        <v>Pittsburgh 0 at Virginia Tech 28</v>
      </c>
      <c r="H1586" t="str">
        <f>IFERROR(__xludf.DUMMYFUNCTION("""COMPUTED_VALUE"""),"FINAL")</f>
        <v>FINAL</v>
      </c>
      <c r="I1586">
        <f>IFERROR(__xludf.DUMMYFUNCTION("""COMPUTED_VALUE"""),4.0)</f>
        <v>4</v>
      </c>
      <c r="J1586" t="str">
        <f>IFERROR(__xludf.DUMMYFUNCTION("""COMPUTED_VALUE"""),"47½")</f>
        <v>47½</v>
      </c>
      <c r="K1586" t="str">
        <f>IFERROR(__xludf.DUMMYFUNCTION("""COMPUTED_VALUE"""),"DavEmily")</f>
        <v>DavEmily</v>
      </c>
      <c r="L1586" t="str">
        <f>IFERROR(__xludf.DUMMYFUNCTION("""COMPUTED_VALUE"""),"FINAL")</f>
        <v>FINAL</v>
      </c>
      <c r="M1586" s="124">
        <v>13.0</v>
      </c>
    </row>
    <row r="1587">
      <c r="A1587" s="151">
        <f>IFERROR(__xludf.DUMMYFUNCTION("""COMPUTED_VALUE"""),43793.14774797454)</f>
        <v>43793.14775</v>
      </c>
      <c r="B1587" t="str">
        <f>IFERROR(__xludf.DUMMYFUNCTION("""COMPUTED_VALUE"""),"Gary")</f>
        <v>Gary</v>
      </c>
      <c r="C1587" s="169" t="str">
        <f>IFERROR(__xludf.DUMMYFUNCTION("""COMPUTED_VALUE"""),"Marshall")</f>
        <v>Marshall</v>
      </c>
      <c r="D1587">
        <f>IFERROR(__xludf.DUMMYFUNCTION("""COMPUTED_VALUE"""),7.0)</f>
        <v>7</v>
      </c>
      <c r="E1587">
        <f>IFERROR(__xludf.DUMMYFUNCTION("""COMPUTED_VALUE"""),4.0)</f>
        <v>4</v>
      </c>
      <c r="F1587" t="str">
        <f>IFERROR(__xludf.DUMMYFUNCTION("""COMPUTED_VALUE"""),"CBSSN")</f>
        <v>CBSSN</v>
      </c>
      <c r="G1587" t="str">
        <f>IFERROR(__xludf.DUMMYFUNCTION("""COMPUTED_VALUE"""),"Marshall 13 at Charlotte 24")</f>
        <v>Marshall 13 at Charlotte 24</v>
      </c>
      <c r="H1587" t="str">
        <f>IFERROR(__xludf.DUMMYFUNCTION("""COMPUTED_VALUE"""),"FINAL")</f>
        <v>FINAL</v>
      </c>
      <c r="I1587" t="str">
        <f>IFERROR(__xludf.DUMMYFUNCTION("""COMPUTED_VALUE"""),"-7½")</f>
        <v>-7½</v>
      </c>
      <c r="J1587" t="str">
        <f>IFERROR(__xludf.DUMMYFUNCTION("""COMPUTED_VALUE"""),"55½")</f>
        <v>55½</v>
      </c>
      <c r="K1587" t="str">
        <f>IFERROR(__xludf.DUMMYFUNCTION("""COMPUTED_VALUE"""),"Janice/Mike")</f>
        <v>Janice/Mike</v>
      </c>
      <c r="L1587" t="str">
        <f>IFERROR(__xludf.DUMMYFUNCTION("""COMPUTED_VALUE"""),"FINAL")</f>
        <v>FINAL</v>
      </c>
      <c r="M1587" s="124">
        <v>13.0</v>
      </c>
    </row>
    <row r="1588">
      <c r="A1588" s="151">
        <f>IFERROR(__xludf.DUMMYFUNCTION("""COMPUTED_VALUE"""),43793.14774797454)</f>
        <v>43793.14775</v>
      </c>
      <c r="B1588" t="str">
        <f>IFERROR(__xludf.DUMMYFUNCTION("""COMPUTED_VALUE"""),"Gary")</f>
        <v>Gary</v>
      </c>
      <c r="C1588" s="169" t="str">
        <f>IFERROR(__xludf.DUMMYFUNCTION("""COMPUTED_VALUE"""),"Maryland")</f>
        <v>Maryland</v>
      </c>
      <c r="D1588">
        <f>IFERROR(__xludf.DUMMYFUNCTION("""COMPUTED_VALUE"""),3.0)</f>
        <v>3</v>
      </c>
      <c r="E1588">
        <f>IFERROR(__xludf.DUMMYFUNCTION("""COMPUTED_VALUE"""),8.0)</f>
        <v>8</v>
      </c>
      <c r="F1588" t="str">
        <f>IFERROR(__xludf.DUMMYFUNCTION("""COMPUTED_VALUE"""),"NA")</f>
        <v>NA</v>
      </c>
      <c r="G1588" t="str">
        <f>IFERROR(__xludf.DUMMYFUNCTION("""COMPUTED_VALUE"""),"Nebraska 54 at Maryland 7")</f>
        <v>Nebraska 54 at Maryland 7</v>
      </c>
      <c r="H1588" t="str">
        <f>IFERROR(__xludf.DUMMYFUNCTION("""COMPUTED_VALUE"""),"FINAL")</f>
        <v>FINAL</v>
      </c>
      <c r="I1588" t="str">
        <f>IFERROR(__xludf.DUMMYFUNCTION("""COMPUTED_VALUE"""),"4½")</f>
        <v>4½</v>
      </c>
      <c r="J1588">
        <f>IFERROR(__xludf.DUMMYFUNCTION("""COMPUTED_VALUE"""),63.0)</f>
        <v>63</v>
      </c>
      <c r="K1588" t="str">
        <f>IFERROR(__xludf.DUMMYFUNCTION("""COMPUTED_VALUE"""),"DavEmily")</f>
        <v>DavEmily</v>
      </c>
      <c r="L1588" t="str">
        <f>IFERROR(__xludf.DUMMYFUNCTION("""COMPUTED_VALUE"""),"FINAL")</f>
        <v>FINAL</v>
      </c>
      <c r="M1588" s="124">
        <v>13.0</v>
      </c>
    </row>
    <row r="1589">
      <c r="A1589" s="151">
        <f>IFERROR(__xludf.DUMMYFUNCTION("""COMPUTED_VALUE"""),43793.14774797454)</f>
        <v>43793.14775</v>
      </c>
      <c r="B1589" t="str">
        <f>IFERROR(__xludf.DUMMYFUNCTION("""COMPUTED_VALUE"""),"Gary")</f>
        <v>Gary</v>
      </c>
      <c r="C1589" s="169" t="str">
        <f>IFERROR(__xludf.DUMMYFUNCTION("""COMPUTED_VALUE"""),"UL Lafayette")</f>
        <v>UL Lafayette</v>
      </c>
      <c r="D1589">
        <f>IFERROR(__xludf.DUMMYFUNCTION("""COMPUTED_VALUE"""),3.0)</f>
        <v>3</v>
      </c>
      <c r="E1589">
        <f>IFERROR(__xludf.DUMMYFUNCTION("""COMPUTED_VALUE"""),1.0)</f>
        <v>1</v>
      </c>
      <c r="F1589" t="str">
        <f>IFERROR(__xludf.DUMMYFUNCTION("""COMPUTED_VALUE"""),"NA")</f>
        <v>NA</v>
      </c>
      <c r="G1589" t="str">
        <f>IFERROR(__xludf.DUMMYFUNCTION("""COMPUTED_VALUE"""),"Troy 3 at UL Lafayette 53")</f>
        <v>Troy 3 at UL Lafayette 53</v>
      </c>
      <c r="H1589" t="str">
        <f>IFERROR(__xludf.DUMMYFUNCTION("""COMPUTED_VALUE"""),"FINAL")</f>
        <v>FINAL</v>
      </c>
      <c r="I1589">
        <f>IFERROR(__xludf.DUMMYFUNCTION("""COMPUTED_VALUE"""),-13.0)</f>
        <v>-13</v>
      </c>
      <c r="J1589">
        <f>IFERROR(__xludf.DUMMYFUNCTION("""COMPUTED_VALUE"""),70.0)</f>
        <v>70</v>
      </c>
      <c r="K1589" t="str">
        <f>IFERROR(__xludf.DUMMYFUNCTION("""COMPUTED_VALUE"""),"Nick G.")</f>
        <v>Nick G.</v>
      </c>
      <c r="L1589" t="str">
        <f>IFERROR(__xludf.DUMMYFUNCTION("""COMPUTED_VALUE"""),"FINAL")</f>
        <v>FINAL</v>
      </c>
      <c r="M1589" s="124">
        <v>13.0</v>
      </c>
    </row>
    <row r="1590">
      <c r="A1590" s="151">
        <f>IFERROR(__xludf.DUMMYFUNCTION("""COMPUTED_VALUE"""),43793.14774797454)</f>
        <v>43793.14775</v>
      </c>
      <c r="B1590" t="str">
        <f>IFERROR(__xludf.DUMMYFUNCTION("""COMPUTED_VALUE"""),"Gary")</f>
        <v>Gary</v>
      </c>
      <c r="C1590" s="169" t="str">
        <f>IFERROR(__xludf.DUMMYFUNCTION("""COMPUTED_VALUE"""),"Missouri")</f>
        <v>Missouri</v>
      </c>
      <c r="D1590">
        <f>IFERROR(__xludf.DUMMYFUNCTION("""COMPUTED_VALUE"""),5.0)</f>
        <v>5</v>
      </c>
      <c r="E1590">
        <f>IFERROR(__xludf.DUMMYFUNCTION("""COMPUTED_VALUE"""),6.0)</f>
        <v>6</v>
      </c>
      <c r="F1590" t="str">
        <f>IFERROR(__xludf.DUMMYFUNCTION("""COMPUTED_VALUE"""),"CBS")</f>
        <v>CBS</v>
      </c>
      <c r="G1590" t="str">
        <f>IFERROR(__xludf.DUMMYFUNCTION("""COMPUTED_VALUE"""),"Tennessee 24 at Missouri 20")</f>
        <v>Tennessee 24 at Missouri 20</v>
      </c>
      <c r="H1590" t="str">
        <f>IFERROR(__xludf.DUMMYFUNCTION("""COMPUTED_VALUE"""),"FINAL")</f>
        <v>FINAL</v>
      </c>
      <c r="I1590">
        <f>IFERROR(__xludf.DUMMYFUNCTION("""COMPUTED_VALUE"""),-5.0)</f>
        <v>-5</v>
      </c>
      <c r="J1590" t="str">
        <f>IFERROR(__xludf.DUMMYFUNCTION("""COMPUTED_VALUE"""),"45½")</f>
        <v>45½</v>
      </c>
      <c r="K1590" t="str">
        <f>IFERROR(__xludf.DUMMYFUNCTION("""COMPUTED_VALUE"""),"Justin")</f>
        <v>Justin</v>
      </c>
      <c r="L1590" t="str">
        <f>IFERROR(__xludf.DUMMYFUNCTION("""COMPUTED_VALUE"""),"FINAL")</f>
        <v>FINAL</v>
      </c>
      <c r="M1590" s="124">
        <v>13.0</v>
      </c>
    </row>
    <row r="1591">
      <c r="A1591" s="151">
        <f>IFERROR(__xludf.DUMMYFUNCTION("""COMPUTED_VALUE"""),43793.14774797454)</f>
        <v>43793.14775</v>
      </c>
      <c r="B1591" t="str">
        <f>IFERROR(__xludf.DUMMYFUNCTION("""COMPUTED_VALUE"""),"Gary")</f>
        <v>Gary</v>
      </c>
      <c r="C1591" s="169" t="str">
        <f>IFERROR(__xludf.DUMMYFUNCTION("""COMPUTED_VALUE"""),"Utah State")</f>
        <v>Utah State</v>
      </c>
      <c r="D1591">
        <f>IFERROR(__xludf.DUMMYFUNCTION("""COMPUTED_VALUE"""),6.0)</f>
        <v>6</v>
      </c>
      <c r="E1591">
        <f>IFERROR(__xludf.DUMMYFUNCTION("""COMPUTED_VALUE"""),5.0)</f>
        <v>5</v>
      </c>
      <c r="F1591" t="str">
        <f>IFERROR(__xludf.DUMMYFUNCTION("""COMPUTED_VALUE"""),"ESPNU")</f>
        <v>ESPNU</v>
      </c>
      <c r="G1591" t="str">
        <f>IFERROR(__xludf.DUMMYFUNCTION("""COMPUTED_VALUE"""),"(19) Boise State 56 at Utah State 21")</f>
        <v>(19) Boise State 56 at Utah State 21</v>
      </c>
      <c r="H1591" t="str">
        <f>IFERROR(__xludf.DUMMYFUNCTION("""COMPUTED_VALUE"""),"FINAL")</f>
        <v>FINAL</v>
      </c>
      <c r="I1591" t="str">
        <f>IFERROR(__xludf.DUMMYFUNCTION("""COMPUTED_VALUE"""),"7½")</f>
        <v>7½</v>
      </c>
      <c r="J1591">
        <f>IFERROR(__xludf.DUMMYFUNCTION("""COMPUTED_VALUE"""),53.0)</f>
        <v>53</v>
      </c>
      <c r="K1591" t="str">
        <f>IFERROR(__xludf.DUMMYFUNCTION("""COMPUTED_VALUE"""),"Janice/Mike")</f>
        <v>Janice/Mike</v>
      </c>
      <c r="L1591" t="str">
        <f>IFERROR(__xludf.DUMMYFUNCTION("""COMPUTED_VALUE"""),"FINAL")</f>
        <v>FINAL</v>
      </c>
      <c r="M1591" s="124">
        <v>13.0</v>
      </c>
    </row>
    <row r="1592">
      <c r="A1592" s="151">
        <f>IFERROR(__xludf.DUMMYFUNCTION("""COMPUTED_VALUE"""),43793.14774797454)</f>
        <v>43793.14775</v>
      </c>
      <c r="B1592" t="str">
        <f>IFERROR(__xludf.DUMMYFUNCTION("""COMPUTED_VALUE"""),"Janice/Mike")</f>
        <v>Janice/Mike</v>
      </c>
      <c r="C1592" s="169" t="str">
        <f>IFERROR(__xludf.DUMMYFUNCTION("""COMPUTED_VALUE"""),"Northern Illinois")</f>
        <v>Northern Illinois</v>
      </c>
      <c r="D1592">
        <f>IFERROR(__xludf.DUMMYFUNCTION("""COMPUTED_VALUE"""),4.0)</f>
        <v>4</v>
      </c>
      <c r="E1592">
        <f>IFERROR(__xludf.DUMMYFUNCTION("""COMPUTED_VALUE"""),7.0)</f>
        <v>7</v>
      </c>
      <c r="F1592" t="str">
        <f>IFERROR(__xludf.DUMMYFUNCTION("""COMPUTED_VALUE"""),"ESPNU")</f>
        <v>ESPNU</v>
      </c>
      <c r="G1592" t="str">
        <f>IFERROR(__xludf.DUMMYFUNCTION("""COMPUTED_VALUE"""),"EMU 45 at Northern Illinois 17")</f>
        <v>EMU 45 at Northern Illinois 17</v>
      </c>
      <c r="H1592" t="str">
        <f>IFERROR(__xludf.DUMMYFUNCTION("""COMPUTED_VALUE"""),"FINAL")</f>
        <v>FINAL</v>
      </c>
      <c r="I1592">
        <f>IFERROR(__xludf.DUMMYFUNCTION("""COMPUTED_VALUE"""),-5.0)</f>
        <v>-5</v>
      </c>
      <c r="J1592">
        <f>IFERROR(__xludf.DUMMYFUNCTION("""COMPUTED_VALUE"""),54.0)</f>
        <v>54</v>
      </c>
      <c r="K1592" t="str">
        <f>IFERROR(__xludf.DUMMYFUNCTION("""COMPUTED_VALUE"""),"Brad")</f>
        <v>Brad</v>
      </c>
      <c r="L1592" t="str">
        <f>IFERROR(__xludf.DUMMYFUNCTION("""COMPUTED_VALUE"""),"FINAL")</f>
        <v>FINAL</v>
      </c>
      <c r="M1592" s="124">
        <v>13.0</v>
      </c>
    </row>
    <row r="1593">
      <c r="A1593" s="151">
        <f>IFERROR(__xludf.DUMMYFUNCTION("""COMPUTED_VALUE"""),43793.14774797454)</f>
        <v>43793.14775</v>
      </c>
      <c r="B1593" t="str">
        <f>IFERROR(__xludf.DUMMYFUNCTION("""COMPUTED_VALUE"""),"Janice/Mike")</f>
        <v>Janice/Mike</v>
      </c>
      <c r="C1593" s="169" t="str">
        <f>IFERROR(__xludf.DUMMYFUNCTION("""COMPUTED_VALUE"""),"Boston College")</f>
        <v>Boston College</v>
      </c>
      <c r="D1593">
        <f>IFERROR(__xludf.DUMMYFUNCTION("""COMPUTED_VALUE"""),5.0)</f>
        <v>5</v>
      </c>
      <c r="E1593">
        <f>IFERROR(__xludf.DUMMYFUNCTION("""COMPUTED_VALUE"""),6.0)</f>
        <v>6</v>
      </c>
      <c r="F1593" t="str">
        <f>IFERROR(__xludf.DUMMYFUNCTION("""COMPUTED_VALUE"""),"NA")</f>
        <v>NA</v>
      </c>
      <c r="G1593" t="str">
        <f>IFERROR(__xludf.DUMMYFUNCTION("""COMPUTED_VALUE"""),"Boston College 7 at (15) Notre Dame 40")</f>
        <v>Boston College 7 at (15) Notre Dame 40</v>
      </c>
      <c r="H1593" t="str">
        <f>IFERROR(__xludf.DUMMYFUNCTION("""COMPUTED_VALUE"""),"FINAL")</f>
        <v>FINAL</v>
      </c>
      <c r="I1593">
        <f>IFERROR(__xludf.DUMMYFUNCTION("""COMPUTED_VALUE"""),19.0)</f>
        <v>19</v>
      </c>
      <c r="J1593">
        <f>IFERROR(__xludf.DUMMYFUNCTION("""COMPUTED_VALUE"""),64.0)</f>
        <v>64</v>
      </c>
      <c r="K1593" t="str">
        <f>IFERROR(__xludf.DUMMYFUNCTION("""COMPUTED_VALUE"""),"DavEmily")</f>
        <v>DavEmily</v>
      </c>
      <c r="L1593" t="str">
        <f>IFERROR(__xludf.DUMMYFUNCTION("""COMPUTED_VALUE"""),"FINAL")</f>
        <v>FINAL</v>
      </c>
      <c r="M1593" s="124">
        <v>13.0</v>
      </c>
    </row>
    <row r="1594">
      <c r="A1594" s="151">
        <f>IFERROR(__xludf.DUMMYFUNCTION("""COMPUTED_VALUE"""),43793.14774797454)</f>
        <v>43793.14775</v>
      </c>
      <c r="B1594" t="str">
        <f>IFERROR(__xludf.DUMMYFUNCTION("""COMPUTED_VALUE"""),"Janice/Mike")</f>
        <v>Janice/Mike</v>
      </c>
      <c r="C1594" s="169" t="str">
        <f>IFERROR(__xludf.DUMMYFUNCTION("""COMPUTED_VALUE"""),"Georgia Southern")</f>
        <v>Georgia Southern</v>
      </c>
      <c r="D1594">
        <f>IFERROR(__xludf.DUMMYFUNCTION("""COMPUTED_VALUE"""),6.0)</f>
        <v>6</v>
      </c>
      <c r="E1594">
        <f>IFERROR(__xludf.DUMMYFUNCTION("""COMPUTED_VALUE"""),5.0)</f>
        <v>5</v>
      </c>
      <c r="F1594" t="str">
        <f>IFERROR(__xludf.DUMMYFUNCTION("""COMPUTED_VALUE"""),"espn+ Video")</f>
        <v>espn+ Video</v>
      </c>
      <c r="G1594" t="str">
        <f>IFERROR(__xludf.DUMMYFUNCTION("""COMPUTED_VALUE"""),"Georgia Southern 33 at Arkansas State 38")</f>
        <v>Georgia Southern 33 at Arkansas State 38</v>
      </c>
      <c r="H1594" t="str">
        <f>IFERROR(__xludf.DUMMYFUNCTION("""COMPUTED_VALUE"""),"FINAL")</f>
        <v>FINAL</v>
      </c>
      <c r="I1594">
        <f>IFERROR(__xludf.DUMMYFUNCTION("""COMPUTED_VALUE"""),1.0)</f>
        <v>1</v>
      </c>
      <c r="J1594" t="str">
        <f>IFERROR(__xludf.DUMMYFUNCTION("""COMPUTED_VALUE"""),"59½")</f>
        <v>59½</v>
      </c>
      <c r="K1594" t="str">
        <f>IFERROR(__xludf.DUMMYFUNCTION("""COMPUTED_VALUE"""),"Nico")</f>
        <v>Nico</v>
      </c>
      <c r="L1594" t="str">
        <f>IFERROR(__xludf.DUMMYFUNCTION("""COMPUTED_VALUE"""),"FINAL")</f>
        <v>FINAL</v>
      </c>
      <c r="M1594" s="124">
        <v>13.0</v>
      </c>
    </row>
    <row r="1595">
      <c r="A1595" s="151">
        <f>IFERROR(__xludf.DUMMYFUNCTION("""COMPUTED_VALUE"""),43793.14774797454)</f>
        <v>43793.14775</v>
      </c>
      <c r="B1595" t="str">
        <f>IFERROR(__xludf.DUMMYFUNCTION("""COMPUTED_VALUE"""),"Janice/Mike")</f>
        <v>Janice/Mike</v>
      </c>
      <c r="C1595" s="169" t="str">
        <f>IFERROR(__xludf.DUMMYFUNCTION("""COMPUTED_VALUE"""),"Navy")</f>
        <v>Navy</v>
      </c>
      <c r="D1595">
        <f>IFERROR(__xludf.DUMMYFUNCTION("""COMPUTED_VALUE"""),8.0)</f>
        <v>8</v>
      </c>
      <c r="E1595">
        <f>IFERROR(__xludf.DUMMYFUNCTION("""COMPUTED_VALUE"""),2.0)</f>
        <v>2</v>
      </c>
      <c r="F1595" t="str">
        <f>IFERROR(__xludf.DUMMYFUNCTION("""COMPUTED_VALUE"""),"NBC")</f>
        <v>NBC</v>
      </c>
      <c r="G1595" t="str">
        <f>IFERROR(__xludf.DUMMYFUNCTION("""COMPUTED_VALUE"""),"(21) SMU 28 at Navy 35")</f>
        <v>(21) SMU 28 at Navy 35</v>
      </c>
      <c r="H1595" t="str">
        <f>IFERROR(__xludf.DUMMYFUNCTION("""COMPUTED_VALUE"""),"FINAL")</f>
        <v>FINAL</v>
      </c>
      <c r="I1595">
        <f>IFERROR(__xludf.DUMMYFUNCTION("""COMPUTED_VALUE"""),-4.0)</f>
        <v>-4</v>
      </c>
      <c r="J1595">
        <f>IFERROR(__xludf.DUMMYFUNCTION("""COMPUTED_VALUE"""),68.0)</f>
        <v>68</v>
      </c>
      <c r="K1595" t="str">
        <f>IFERROR(__xludf.DUMMYFUNCTION("""COMPUTED_VALUE"""),"Jeannine")</f>
        <v>Jeannine</v>
      </c>
      <c r="L1595" t="str">
        <f>IFERROR(__xludf.DUMMYFUNCTION("""COMPUTED_VALUE"""),"FINAL")</f>
        <v>FINAL</v>
      </c>
      <c r="M1595" s="124">
        <v>13.0</v>
      </c>
    </row>
    <row r="1596">
      <c r="A1596" s="151">
        <f>IFERROR(__xludf.DUMMYFUNCTION("""COMPUTED_VALUE"""),43793.14774797454)</f>
        <v>43793.14775</v>
      </c>
      <c r="B1596" t="str">
        <f>IFERROR(__xludf.DUMMYFUNCTION("""COMPUTED_VALUE"""),"Janice/Mike")</f>
        <v>Janice/Mike</v>
      </c>
      <c r="C1596" s="169" t="str">
        <f>IFERROR(__xludf.DUMMYFUNCTION("""COMPUTED_VALUE"""),"Charlotte")</f>
        <v>Charlotte</v>
      </c>
      <c r="D1596">
        <f>IFERROR(__xludf.DUMMYFUNCTION("""COMPUTED_VALUE"""),6.0)</f>
        <v>6</v>
      </c>
      <c r="E1596">
        <f>IFERROR(__xludf.DUMMYFUNCTION("""COMPUTED_VALUE"""),5.0)</f>
        <v>5</v>
      </c>
      <c r="F1596" t="str">
        <f>IFERROR(__xludf.DUMMYFUNCTION("""COMPUTED_VALUE"""),"NA")</f>
        <v>NA</v>
      </c>
      <c r="G1596" t="str">
        <f>IFERROR(__xludf.DUMMYFUNCTION("""COMPUTED_VALUE"""),"Marshall 13 at Charlotte 24")</f>
        <v>Marshall 13 at Charlotte 24</v>
      </c>
      <c r="H1596" t="str">
        <f>IFERROR(__xludf.DUMMYFUNCTION("""COMPUTED_VALUE"""),"FINAL")</f>
        <v>FINAL</v>
      </c>
      <c r="I1596" t="str">
        <f>IFERROR(__xludf.DUMMYFUNCTION("""COMPUTED_VALUE"""),"7½")</f>
        <v>7½</v>
      </c>
      <c r="J1596" t="str">
        <f>IFERROR(__xludf.DUMMYFUNCTION("""COMPUTED_VALUE"""),"55½")</f>
        <v>55½</v>
      </c>
      <c r="K1596" t="str">
        <f>IFERROR(__xludf.DUMMYFUNCTION("""COMPUTED_VALUE"""),"Gary")</f>
        <v>Gary</v>
      </c>
      <c r="L1596" t="str">
        <f>IFERROR(__xludf.DUMMYFUNCTION("""COMPUTED_VALUE"""),"FINAL")</f>
        <v>FINAL</v>
      </c>
      <c r="M1596" s="124">
        <v>13.0</v>
      </c>
    </row>
    <row r="1597">
      <c r="A1597" s="151">
        <f>IFERROR(__xludf.DUMMYFUNCTION("""COMPUTED_VALUE"""),43793.14774797454)</f>
        <v>43793.14775</v>
      </c>
      <c r="B1597" t="str">
        <f>IFERROR(__xludf.DUMMYFUNCTION("""COMPUTED_VALUE"""),"Janice/Mike")</f>
        <v>Janice/Mike</v>
      </c>
      <c r="C1597" s="169" t="str">
        <f>IFERROR(__xludf.DUMMYFUNCTION("""COMPUTED_VALUE"""),"Wisconsin")</f>
        <v>Wisconsin</v>
      </c>
      <c r="D1597">
        <f>IFERROR(__xludf.DUMMYFUNCTION("""COMPUTED_VALUE"""),9.0)</f>
        <v>9</v>
      </c>
      <c r="E1597">
        <f>IFERROR(__xludf.DUMMYFUNCTION("""COMPUTED_VALUE"""),2.0)</f>
        <v>2</v>
      </c>
      <c r="F1597" t="str">
        <f>IFERROR(__xludf.DUMMYFUNCTION("""COMPUTED_VALUE"""),"BTN")</f>
        <v>BTN</v>
      </c>
      <c r="G1597" t="str">
        <f>IFERROR(__xludf.DUMMYFUNCTION("""COMPUTED_VALUE"""),"Purdue 24 at (14) Wisconsin 45")</f>
        <v>Purdue 24 at (14) Wisconsin 45</v>
      </c>
      <c r="H1597" t="str">
        <f>IFERROR(__xludf.DUMMYFUNCTION("""COMPUTED_VALUE"""),"FINAL")</f>
        <v>FINAL</v>
      </c>
      <c r="I1597">
        <f>IFERROR(__xludf.DUMMYFUNCTION("""COMPUTED_VALUE"""),-24.0)</f>
        <v>-24</v>
      </c>
      <c r="J1597">
        <f>IFERROR(__xludf.DUMMYFUNCTION("""COMPUTED_VALUE"""),48.0)</f>
        <v>48</v>
      </c>
      <c r="K1597" t="str">
        <f>IFERROR(__xludf.DUMMYFUNCTION("""COMPUTED_VALUE"""),"Nico")</f>
        <v>Nico</v>
      </c>
      <c r="L1597" t="str">
        <f>IFERROR(__xludf.DUMMYFUNCTION("""COMPUTED_VALUE"""),"FINAL")</f>
        <v>FINAL</v>
      </c>
      <c r="M1597" s="124">
        <v>13.0</v>
      </c>
    </row>
    <row r="1598">
      <c r="A1598" s="151">
        <f>IFERROR(__xludf.DUMMYFUNCTION("""COMPUTED_VALUE"""),43793.14774797454)</f>
        <v>43793.14775</v>
      </c>
      <c r="B1598" t="str">
        <f>IFERROR(__xludf.DUMMYFUNCTION("""COMPUTED_VALUE"""),"Janice/Mike")</f>
        <v>Janice/Mike</v>
      </c>
      <c r="C1598" s="169" t="str">
        <f>IFERROR(__xludf.DUMMYFUNCTION("""COMPUTED_VALUE"""),"Arkansas")</f>
        <v>Arkansas</v>
      </c>
      <c r="D1598">
        <f>IFERROR(__xludf.DUMMYFUNCTION("""COMPUTED_VALUE"""),2.0)</f>
        <v>2</v>
      </c>
      <c r="E1598">
        <f>IFERROR(__xludf.DUMMYFUNCTION("""COMPUTED_VALUE"""),9.0)</f>
        <v>9</v>
      </c>
      <c r="F1598" t="str">
        <f>IFERROR(__xludf.DUMMYFUNCTION("""COMPUTED_VALUE"""),"NA")</f>
        <v>NA</v>
      </c>
      <c r="G1598" t="str">
        <f>IFERROR(__xludf.DUMMYFUNCTION("""COMPUTED_VALUE"""),"Arkansas 20 at (1) LSU 56")</f>
        <v>Arkansas 20 at (1) LSU 56</v>
      </c>
      <c r="H1598" t="str">
        <f>IFERROR(__xludf.DUMMYFUNCTION("""COMPUTED_VALUE"""),"FINAL")</f>
        <v>FINAL</v>
      </c>
      <c r="I1598">
        <f>IFERROR(__xludf.DUMMYFUNCTION("""COMPUTED_VALUE"""),44.0)</f>
        <v>44</v>
      </c>
      <c r="J1598">
        <f>IFERROR(__xludf.DUMMYFUNCTION("""COMPUTED_VALUE"""),71.0)</f>
        <v>71</v>
      </c>
      <c r="K1598" t="str">
        <f>IFERROR(__xludf.DUMMYFUNCTION("""COMPUTED_VALUE"""),"Nick A.")</f>
        <v>Nick A.</v>
      </c>
      <c r="L1598" t="str">
        <f>IFERROR(__xludf.DUMMYFUNCTION("""COMPUTED_VALUE"""),"FINAL")</f>
        <v>FINAL</v>
      </c>
      <c r="M1598" s="124">
        <v>13.0</v>
      </c>
    </row>
    <row r="1599">
      <c r="A1599" s="151">
        <f>IFERROR(__xludf.DUMMYFUNCTION("""COMPUTED_VALUE"""),43793.14774797454)</f>
        <v>43793.14775</v>
      </c>
      <c r="B1599" t="str">
        <f>IFERROR(__xludf.DUMMYFUNCTION("""COMPUTED_VALUE"""),"Janice/Mike")</f>
        <v>Janice/Mike</v>
      </c>
      <c r="C1599" s="169" t="str">
        <f>IFERROR(__xludf.DUMMYFUNCTION("""COMPUTED_VALUE"""),"Texas Tech")</f>
        <v>Texas Tech</v>
      </c>
      <c r="D1599">
        <f>IFERROR(__xludf.DUMMYFUNCTION("""COMPUTED_VALUE"""),4.0)</f>
        <v>4</v>
      </c>
      <c r="E1599">
        <f>IFERROR(__xludf.DUMMYFUNCTION("""COMPUTED_VALUE"""),7.0)</f>
        <v>7</v>
      </c>
      <c r="F1599" t="str">
        <f>IFERROR(__xludf.DUMMYFUNCTION("""COMPUTED_VALUE"""),"ESPN2")</f>
        <v>ESPN2</v>
      </c>
      <c r="G1599" t="str">
        <f>IFERROR(__xludf.DUMMYFUNCTION("""COMPUTED_VALUE"""),"Kansas State 30 at Texas Tech 27")</f>
        <v>Kansas State 30 at Texas Tech 27</v>
      </c>
      <c r="H1599" t="str">
        <f>IFERROR(__xludf.DUMMYFUNCTION("""COMPUTED_VALUE"""),"FINAL")</f>
        <v>FINAL</v>
      </c>
      <c r="I1599" t="str">
        <f>IFERROR(__xludf.DUMMYFUNCTION("""COMPUTED_VALUE"""),"-2½")</f>
        <v>-2½</v>
      </c>
      <c r="J1599" t="str">
        <f>IFERROR(__xludf.DUMMYFUNCTION("""COMPUTED_VALUE"""),"55½")</f>
        <v>55½</v>
      </c>
      <c r="K1599" t="str">
        <f>IFERROR(__xludf.DUMMYFUNCTION("""COMPUTED_VALUE"""),"Nick G.")</f>
        <v>Nick G.</v>
      </c>
      <c r="L1599" t="str">
        <f>IFERROR(__xludf.DUMMYFUNCTION("""COMPUTED_VALUE"""),"FINAL")</f>
        <v>FINAL</v>
      </c>
      <c r="M1599" s="124">
        <v>13.0</v>
      </c>
    </row>
    <row r="1600">
      <c r="A1600" s="151">
        <f>IFERROR(__xludf.DUMMYFUNCTION("""COMPUTED_VALUE"""),43793.14774797454)</f>
        <v>43793.14775</v>
      </c>
      <c r="B1600" t="str">
        <f>IFERROR(__xludf.DUMMYFUNCTION("""COMPUTED_VALUE"""),"Janice/Mike")</f>
        <v>Janice/Mike</v>
      </c>
      <c r="C1600" s="169" t="str">
        <f>IFERROR(__xludf.DUMMYFUNCTION("""COMPUTED_VALUE"""),"Arizona")</f>
        <v>Arizona</v>
      </c>
      <c r="D1600">
        <f>IFERROR(__xludf.DUMMYFUNCTION("""COMPUTED_VALUE"""),4.0)</f>
        <v>4</v>
      </c>
      <c r="E1600">
        <f>IFERROR(__xludf.DUMMYFUNCTION("""COMPUTED_VALUE"""),7.0)</f>
        <v>7</v>
      </c>
      <c r="F1600" t="str">
        <f>IFERROR(__xludf.DUMMYFUNCTION("""COMPUTED_VALUE"""),"ESPN")</f>
        <v>ESPN</v>
      </c>
      <c r="G1600" t="str">
        <f>IFERROR(__xludf.DUMMYFUNCTION("""COMPUTED_VALUE"""),"(8) Utah 35 at Arizona 7")</f>
        <v>(8) Utah 35 at Arizona 7</v>
      </c>
      <c r="H1600" t="str">
        <f>IFERROR(__xludf.DUMMYFUNCTION("""COMPUTED_VALUE"""),"FINAL")</f>
        <v>FINAL</v>
      </c>
      <c r="I1600" t="str">
        <f>IFERROR(__xludf.DUMMYFUNCTION("""COMPUTED_VALUE"""),"22½")</f>
        <v>22½</v>
      </c>
      <c r="J1600" t="str">
        <f>IFERROR(__xludf.DUMMYFUNCTION("""COMPUTED_VALUE"""),"58½")</f>
        <v>58½</v>
      </c>
      <c r="K1600" t="str">
        <f>IFERROR(__xludf.DUMMYFUNCTION("""COMPUTED_VALUE"""),"Brad")</f>
        <v>Brad</v>
      </c>
      <c r="L1600" t="str">
        <f>IFERROR(__xludf.DUMMYFUNCTION("""COMPUTED_VALUE"""),"FINAL")</f>
        <v>FINAL</v>
      </c>
      <c r="M1600" s="124">
        <v>13.0</v>
      </c>
    </row>
    <row r="1601">
      <c r="A1601" s="151">
        <f>IFERROR(__xludf.DUMMYFUNCTION("""COMPUTED_VALUE"""),43793.14774797454)</f>
        <v>43793.14775</v>
      </c>
      <c r="B1601" t="str">
        <f>IFERROR(__xludf.DUMMYFUNCTION("""COMPUTED_VALUE"""),"Janice/Mike")</f>
        <v>Janice/Mike</v>
      </c>
      <c r="C1601" s="169" t="str">
        <f>IFERROR(__xludf.DUMMYFUNCTION("""COMPUTED_VALUE"""),"Boise State")</f>
        <v>Boise State</v>
      </c>
      <c r="D1601">
        <f>IFERROR(__xludf.DUMMYFUNCTION("""COMPUTED_VALUE"""),10.0)</f>
        <v>10</v>
      </c>
      <c r="E1601">
        <f>IFERROR(__xludf.DUMMYFUNCTION("""COMPUTED_VALUE"""),1.0)</f>
        <v>1</v>
      </c>
      <c r="F1601" t="str">
        <f>IFERROR(__xludf.DUMMYFUNCTION("""COMPUTED_VALUE"""),"ESPN2")</f>
        <v>ESPN2</v>
      </c>
      <c r="G1601" t="str">
        <f>IFERROR(__xludf.DUMMYFUNCTION("""COMPUTED_VALUE"""),"(19) Boise State 56 at Utah State 21")</f>
        <v>(19) Boise State 56 at Utah State 21</v>
      </c>
      <c r="H1601" t="str">
        <f>IFERROR(__xludf.DUMMYFUNCTION("""COMPUTED_VALUE"""),"FINAL")</f>
        <v>FINAL</v>
      </c>
      <c r="I1601" t="str">
        <f>IFERROR(__xludf.DUMMYFUNCTION("""COMPUTED_VALUE"""),"-7½")</f>
        <v>-7½</v>
      </c>
      <c r="J1601">
        <f>IFERROR(__xludf.DUMMYFUNCTION("""COMPUTED_VALUE"""),53.0)</f>
        <v>53</v>
      </c>
      <c r="K1601" t="str">
        <f>IFERROR(__xludf.DUMMYFUNCTION("""COMPUTED_VALUE"""),"Gary")</f>
        <v>Gary</v>
      </c>
      <c r="L1601" t="str">
        <f>IFERROR(__xludf.DUMMYFUNCTION("""COMPUTED_VALUE"""),"FINAL")</f>
        <v>FINAL</v>
      </c>
      <c r="M1601" s="124">
        <v>13.0</v>
      </c>
    </row>
    <row r="1602">
      <c r="A1602" s="151">
        <f>IFERROR(__xludf.DUMMYFUNCTION("""COMPUTED_VALUE"""),43793.14774797454)</f>
        <v>43793.14775</v>
      </c>
      <c r="B1602" t="str">
        <f>IFERROR(__xludf.DUMMYFUNCTION("""COMPUTED_VALUE"""),"Nico")</f>
        <v>Nico</v>
      </c>
      <c r="C1602" s="169" t="str">
        <f>IFERROR(__xludf.DUMMYFUNCTION("""COMPUTED_VALUE"""),"Miami-OH")</f>
        <v>Miami-OH</v>
      </c>
      <c r="D1602">
        <f>IFERROR(__xludf.DUMMYFUNCTION("""COMPUTED_VALUE"""),7.0)</f>
        <v>7</v>
      </c>
      <c r="E1602">
        <f>IFERROR(__xludf.DUMMYFUNCTION("""COMPUTED_VALUE"""),4.0)</f>
        <v>4</v>
      </c>
      <c r="F1602" t="str">
        <f>IFERROR(__xludf.DUMMYFUNCTION("""COMPUTED_VALUE"""),"NA")</f>
        <v>NA</v>
      </c>
      <c r="G1602" t="str">
        <f>IFERROR(__xludf.DUMMYFUNCTION("""COMPUTED_VALUE"""),"Akron 17 at Miami-OH 20")</f>
        <v>Akron 17 at Miami-OH 20</v>
      </c>
      <c r="H1602" t="str">
        <f>IFERROR(__xludf.DUMMYFUNCTION("""COMPUTED_VALUE"""),"FINAL")</f>
        <v>FINAL</v>
      </c>
      <c r="I1602">
        <f>IFERROR(__xludf.DUMMYFUNCTION("""COMPUTED_VALUE"""),-31.0)</f>
        <v>-31</v>
      </c>
      <c r="J1602">
        <f>IFERROR(__xludf.DUMMYFUNCTION("""COMPUTED_VALUE"""),44.0)</f>
        <v>44</v>
      </c>
      <c r="K1602" t="str">
        <f>IFERROR(__xludf.DUMMYFUNCTION("""COMPUTED_VALUE"""),"Adam")</f>
        <v>Adam</v>
      </c>
      <c r="L1602" t="str">
        <f>IFERROR(__xludf.DUMMYFUNCTION("""COMPUTED_VALUE"""),"FINAL")</f>
        <v>FINAL</v>
      </c>
      <c r="M1602" s="124">
        <v>13.0</v>
      </c>
    </row>
    <row r="1603">
      <c r="A1603" s="151">
        <f>IFERROR(__xludf.DUMMYFUNCTION("""COMPUTED_VALUE"""),43793.14774797454)</f>
        <v>43793.14775</v>
      </c>
      <c r="B1603" t="str">
        <f>IFERROR(__xludf.DUMMYFUNCTION("""COMPUTED_VALUE"""),"Nico")</f>
        <v>Nico</v>
      </c>
      <c r="C1603" s="169" t="str">
        <f>IFERROR(__xludf.DUMMYFUNCTION("""COMPUTED_VALUE"""),"West Virginia")</f>
        <v>West Virginia</v>
      </c>
      <c r="D1603">
        <f>IFERROR(__xludf.DUMMYFUNCTION("""COMPUTED_VALUE"""),4.0)</f>
        <v>4</v>
      </c>
      <c r="E1603">
        <f>IFERROR(__xludf.DUMMYFUNCTION("""COMPUTED_VALUE"""),7.0)</f>
        <v>7</v>
      </c>
      <c r="F1603" t="str">
        <f>IFERROR(__xludf.DUMMYFUNCTION("""COMPUTED_VALUE"""),"ESPN")</f>
        <v>ESPN</v>
      </c>
      <c r="G1603" t="str">
        <f>IFERROR(__xludf.DUMMYFUNCTION("""COMPUTED_VALUE"""),"(23) Oklahoma State 20 at West Virginia 13")</f>
        <v>(23) Oklahoma State 20 at West Virginia 13</v>
      </c>
      <c r="H1603" t="str">
        <f>IFERROR(__xludf.DUMMYFUNCTION("""COMPUTED_VALUE"""),"FINAL")</f>
        <v>FINAL</v>
      </c>
      <c r="I1603">
        <f>IFERROR(__xludf.DUMMYFUNCTION("""COMPUTED_VALUE"""),7.0)</f>
        <v>7</v>
      </c>
      <c r="J1603" t="str">
        <f>IFERROR(__xludf.DUMMYFUNCTION("""COMPUTED_VALUE"""),"60½")</f>
        <v>60½</v>
      </c>
      <c r="K1603" t="str">
        <f>IFERROR(__xludf.DUMMYFUNCTION("""COMPUTED_VALUE"""),"Brad")</f>
        <v>Brad</v>
      </c>
      <c r="L1603" t="str">
        <f>IFERROR(__xludf.DUMMYFUNCTION("""COMPUTED_VALUE"""),"FINAL")</f>
        <v>FINAL</v>
      </c>
      <c r="M1603" s="124">
        <v>13.0</v>
      </c>
    </row>
    <row r="1604">
      <c r="A1604" s="151">
        <f>IFERROR(__xludf.DUMMYFUNCTION("""COMPUTED_VALUE"""),43793.14774797454)</f>
        <v>43793.14775</v>
      </c>
      <c r="B1604" t="str">
        <f>IFERROR(__xludf.DUMMYFUNCTION("""COMPUTED_VALUE"""),"Nico")</f>
        <v>Nico</v>
      </c>
      <c r="C1604" s="169" t="str">
        <f>IFERROR(__xludf.DUMMYFUNCTION("""COMPUTED_VALUE"""),"New Mexico")</f>
        <v>New Mexico</v>
      </c>
      <c r="D1604">
        <f>IFERROR(__xludf.DUMMYFUNCTION("""COMPUTED_VALUE"""),2.0)</f>
        <v>2</v>
      </c>
      <c r="E1604">
        <f>IFERROR(__xludf.DUMMYFUNCTION("""COMPUTED_VALUE"""),9.0)</f>
        <v>9</v>
      </c>
      <c r="F1604" t="str">
        <f>IFERROR(__xludf.DUMMYFUNCTION("""COMPUTED_VALUE"""),"ESPN2")</f>
        <v>ESPN2</v>
      </c>
      <c r="G1604" t="str">
        <f>IFERROR(__xludf.DUMMYFUNCTION("""COMPUTED_VALUE"""),"Air Force 44 at New Mexico 22")</f>
        <v>Air Force 44 at New Mexico 22</v>
      </c>
      <c r="H1604" t="str">
        <f>IFERROR(__xludf.DUMMYFUNCTION("""COMPUTED_VALUE"""),"FINAL")</f>
        <v>FINAL</v>
      </c>
      <c r="I1604">
        <f>IFERROR(__xludf.DUMMYFUNCTION("""COMPUTED_VALUE"""),22.0)</f>
        <v>22</v>
      </c>
      <c r="J1604">
        <f>IFERROR(__xludf.DUMMYFUNCTION("""COMPUTED_VALUE"""),58.0)</f>
        <v>58</v>
      </c>
      <c r="K1604" t="str">
        <f>IFERROR(__xludf.DUMMYFUNCTION("""COMPUTED_VALUE"""),"Adam")</f>
        <v>Adam</v>
      </c>
      <c r="L1604" t="str">
        <f>IFERROR(__xludf.DUMMYFUNCTION("""COMPUTED_VALUE"""),"FINAL")</f>
        <v>FINAL</v>
      </c>
      <c r="M1604" s="124">
        <v>13.0</v>
      </c>
    </row>
    <row r="1605">
      <c r="A1605" s="151">
        <f>IFERROR(__xludf.DUMMYFUNCTION("""COMPUTED_VALUE"""),43793.14774797454)</f>
        <v>43793.14775</v>
      </c>
      <c r="B1605" t="str">
        <f>IFERROR(__xludf.DUMMYFUNCTION("""COMPUTED_VALUE"""),"Nico")</f>
        <v>Nico</v>
      </c>
      <c r="C1605" s="169" t="str">
        <f>IFERROR(__xludf.DUMMYFUNCTION("""COMPUTED_VALUE"""),"Arkansas State")</f>
        <v>Arkansas State</v>
      </c>
      <c r="D1605">
        <f>IFERROR(__xludf.DUMMYFUNCTION("""COMPUTED_VALUE"""),2.0)</f>
        <v>2</v>
      </c>
      <c r="E1605">
        <f>IFERROR(__xludf.DUMMYFUNCTION("""COMPUTED_VALUE"""),2.0)</f>
        <v>2</v>
      </c>
      <c r="F1605" t="str">
        <f>IFERROR(__xludf.DUMMYFUNCTION("""COMPUTED_VALUE"""),"espn+ Video")</f>
        <v>espn+ Video</v>
      </c>
      <c r="G1605" t="str">
        <f>IFERROR(__xludf.DUMMYFUNCTION("""COMPUTED_VALUE"""),"Georgia Southern 33 at Arkansas State 38")</f>
        <v>Georgia Southern 33 at Arkansas State 38</v>
      </c>
      <c r="H1605" t="str">
        <f>IFERROR(__xludf.DUMMYFUNCTION("""COMPUTED_VALUE"""),"FINAL")</f>
        <v>FINAL</v>
      </c>
      <c r="I1605">
        <f>IFERROR(__xludf.DUMMYFUNCTION("""COMPUTED_VALUE"""),-1.0)</f>
        <v>-1</v>
      </c>
      <c r="J1605" t="str">
        <f>IFERROR(__xludf.DUMMYFUNCTION("""COMPUTED_VALUE"""),"59½")</f>
        <v>59½</v>
      </c>
      <c r="K1605" t="str">
        <f>IFERROR(__xludf.DUMMYFUNCTION("""COMPUTED_VALUE"""),"Janice/Mike")</f>
        <v>Janice/Mike</v>
      </c>
      <c r="L1605" t="str">
        <f>IFERROR(__xludf.DUMMYFUNCTION("""COMPUTED_VALUE"""),"FINAL")</f>
        <v>FINAL</v>
      </c>
      <c r="M1605" s="124">
        <v>13.0</v>
      </c>
    </row>
    <row r="1606">
      <c r="A1606" s="151">
        <f>IFERROR(__xludf.DUMMYFUNCTION("""COMPUTED_VALUE"""),43793.14774797454)</f>
        <v>43793.14775</v>
      </c>
      <c r="B1606" t="str">
        <f>IFERROR(__xludf.DUMMYFUNCTION("""COMPUTED_VALUE"""),"Nico")</f>
        <v>Nico</v>
      </c>
      <c r="C1606" s="169" t="str">
        <f>IFERROR(__xludf.DUMMYFUNCTION("""COMPUTED_VALUE"""),"Georgia")</f>
        <v>Georgia</v>
      </c>
      <c r="D1606">
        <f>IFERROR(__xludf.DUMMYFUNCTION("""COMPUTED_VALUE"""),10.0)</f>
        <v>10</v>
      </c>
      <c r="E1606">
        <f>IFERROR(__xludf.DUMMYFUNCTION("""COMPUTED_VALUE"""),1.0)</f>
        <v>1</v>
      </c>
      <c r="F1606" t="str">
        <f>IFERROR(__xludf.DUMMYFUNCTION("""COMPUTED_VALUE"""),"CBS")</f>
        <v>CBS</v>
      </c>
      <c r="G1606" t="str">
        <f>IFERROR(__xludf.DUMMYFUNCTION("""COMPUTED_VALUE"""),"(24) Texas A&amp;M 13 at (4) Georgia 19")</f>
        <v>(24) Texas A&amp;M 13 at (4) Georgia 19</v>
      </c>
      <c r="H1606" t="str">
        <f>IFERROR(__xludf.DUMMYFUNCTION("""COMPUTED_VALUE"""),"FINAL")</f>
        <v>FINAL</v>
      </c>
      <c r="I1606" t="str">
        <f>IFERROR(__xludf.DUMMYFUNCTION("""COMPUTED_VALUE"""),"-13½")</f>
        <v>-13½</v>
      </c>
      <c r="J1606" t="str">
        <f>IFERROR(__xludf.DUMMYFUNCTION("""COMPUTED_VALUE"""),"45½")</f>
        <v>45½</v>
      </c>
      <c r="K1606" t="str">
        <f>IFERROR(__xludf.DUMMYFUNCTION("""COMPUTED_VALUE"""),"Vu")</f>
        <v>Vu</v>
      </c>
      <c r="L1606" t="str">
        <f>IFERROR(__xludf.DUMMYFUNCTION("""COMPUTED_VALUE"""),"FINAL")</f>
        <v>FINAL</v>
      </c>
      <c r="M1606" s="124">
        <v>13.0</v>
      </c>
    </row>
    <row r="1607">
      <c r="A1607" s="151">
        <f>IFERROR(__xludf.DUMMYFUNCTION("""COMPUTED_VALUE"""),43793.14774797454)</f>
        <v>43793.14775</v>
      </c>
      <c r="B1607" t="str">
        <f>IFERROR(__xludf.DUMMYFUNCTION("""COMPUTED_VALUE"""),"Nico")</f>
        <v>Nico</v>
      </c>
      <c r="C1607" s="169" t="str">
        <f>IFERROR(__xludf.DUMMYFUNCTION("""COMPUTED_VALUE"""),"North Carolina")</f>
        <v>North Carolina</v>
      </c>
      <c r="D1607">
        <f>IFERROR(__xludf.DUMMYFUNCTION("""COMPUTED_VALUE"""),5.0)</f>
        <v>5</v>
      </c>
      <c r="E1607">
        <f>IFERROR(__xludf.DUMMYFUNCTION("""COMPUTED_VALUE"""),6.0)</f>
        <v>6</v>
      </c>
      <c r="F1607" t="str">
        <f>IFERROR(__xludf.DUMMYFUNCTION("""COMPUTED_VALUE"""),"ESPN")</f>
        <v>ESPN</v>
      </c>
      <c r="G1607" t="str">
        <f>IFERROR(__xludf.DUMMYFUNCTION("""COMPUTED_VALUE"""),"Mercer 7 at North Carolina 56")</f>
        <v>Mercer 7 at North Carolina 56</v>
      </c>
      <c r="H1607" t="str">
        <f>IFERROR(__xludf.DUMMYFUNCTION("""COMPUTED_VALUE"""),"FINAL")</f>
        <v>FINAL</v>
      </c>
      <c r="I1607" t="str">
        <f>IFERROR(__xludf.DUMMYFUNCTION("""COMPUTED_VALUE"""),"No Line")</f>
        <v>No Line</v>
      </c>
      <c r="K1607" t="str">
        <f>IFERROR(__xludf.DUMMYFUNCTION("""COMPUTED_VALUE"""),"Undrafted")</f>
        <v>Undrafted</v>
      </c>
      <c r="L1607" t="str">
        <f>IFERROR(__xludf.DUMMYFUNCTION("""COMPUTED_VALUE"""),"FINAL")</f>
        <v>FINAL</v>
      </c>
      <c r="M1607" s="124">
        <v>13.0</v>
      </c>
    </row>
    <row r="1608">
      <c r="A1608" s="151">
        <f>IFERROR(__xludf.DUMMYFUNCTION("""COMPUTED_VALUE"""),43793.14774797454)</f>
        <v>43793.14775</v>
      </c>
      <c r="B1608" t="str">
        <f>IFERROR(__xludf.DUMMYFUNCTION("""COMPUTED_VALUE"""),"Nico")</f>
        <v>Nico</v>
      </c>
      <c r="C1608" s="169" t="str">
        <f>IFERROR(__xludf.DUMMYFUNCTION("""COMPUTED_VALUE"""),"Purdue")</f>
        <v>Purdue</v>
      </c>
      <c r="D1608">
        <f>IFERROR(__xludf.DUMMYFUNCTION("""COMPUTED_VALUE"""),4.0)</f>
        <v>4</v>
      </c>
      <c r="E1608">
        <f>IFERROR(__xludf.DUMMYFUNCTION("""COMPUTED_VALUE"""),7.0)</f>
        <v>7</v>
      </c>
      <c r="F1608" t="str">
        <f>IFERROR(__xludf.DUMMYFUNCTION("""COMPUTED_VALUE"""),"NA")</f>
        <v>NA</v>
      </c>
      <c r="G1608" t="str">
        <f>IFERROR(__xludf.DUMMYFUNCTION("""COMPUTED_VALUE"""),"Purdue 24 at (14) Wisconsin 45")</f>
        <v>Purdue 24 at (14) Wisconsin 45</v>
      </c>
      <c r="H1608" t="str">
        <f>IFERROR(__xludf.DUMMYFUNCTION("""COMPUTED_VALUE"""),"FINAL")</f>
        <v>FINAL</v>
      </c>
      <c r="I1608">
        <f>IFERROR(__xludf.DUMMYFUNCTION("""COMPUTED_VALUE"""),24.0)</f>
        <v>24</v>
      </c>
      <c r="J1608">
        <f>IFERROR(__xludf.DUMMYFUNCTION("""COMPUTED_VALUE"""),48.0)</f>
        <v>48</v>
      </c>
      <c r="K1608" t="str">
        <f>IFERROR(__xludf.DUMMYFUNCTION("""COMPUTED_VALUE"""),"Janice/Mike")</f>
        <v>Janice/Mike</v>
      </c>
      <c r="L1608" t="str">
        <f>IFERROR(__xludf.DUMMYFUNCTION("""COMPUTED_VALUE"""),"FINAL")</f>
        <v>FINAL</v>
      </c>
      <c r="M1608" s="124">
        <v>13.0</v>
      </c>
    </row>
    <row r="1609">
      <c r="A1609" s="151">
        <f>IFERROR(__xludf.DUMMYFUNCTION("""COMPUTED_VALUE"""),43793.14774797454)</f>
        <v>43793.14775</v>
      </c>
      <c r="B1609" t="str">
        <f>IFERROR(__xludf.DUMMYFUNCTION("""COMPUTED_VALUE"""),"Nico")</f>
        <v>Nico</v>
      </c>
      <c r="C1609" s="169" t="str">
        <f>IFERROR(__xludf.DUMMYFUNCTION("""COMPUTED_VALUE"""),"Middle Tennessee")</f>
        <v>Middle Tennessee</v>
      </c>
      <c r="D1609">
        <f>IFERROR(__xludf.DUMMYFUNCTION("""COMPUTED_VALUE"""),4.0)</f>
        <v>4</v>
      </c>
      <c r="E1609">
        <f>IFERROR(__xludf.DUMMYFUNCTION("""COMPUTED_VALUE"""),7.0)</f>
        <v>7</v>
      </c>
      <c r="F1609" t="str">
        <f>IFERROR(__xludf.DUMMYFUNCTION("""COMPUTED_VALUE"""),"espn+ Video")</f>
        <v>espn+ Video</v>
      </c>
      <c r="G1609" t="str">
        <f>IFERROR(__xludf.DUMMYFUNCTION("""COMPUTED_VALUE"""),"Old Dominion 17 at Middle Tennessee 38")</f>
        <v>Old Dominion 17 at Middle Tennessee 38</v>
      </c>
      <c r="H1609" t="str">
        <f>IFERROR(__xludf.DUMMYFUNCTION("""COMPUTED_VALUE"""),"FINAL")</f>
        <v>FINAL</v>
      </c>
      <c r="I1609" t="str">
        <f>IFERROR(__xludf.DUMMYFUNCTION("""COMPUTED_VALUE"""),"-14½")</f>
        <v>-14½</v>
      </c>
      <c r="J1609">
        <f>IFERROR(__xludf.DUMMYFUNCTION("""COMPUTED_VALUE"""),47.0)</f>
        <v>47</v>
      </c>
      <c r="K1609" t="str">
        <f>IFERROR(__xludf.DUMMYFUNCTION("""COMPUTED_VALUE"""),"Nick A.")</f>
        <v>Nick A.</v>
      </c>
      <c r="L1609" t="str">
        <f>IFERROR(__xludf.DUMMYFUNCTION("""COMPUTED_VALUE"""),"FINAL")</f>
        <v>FINAL</v>
      </c>
      <c r="M1609" s="124">
        <v>13.0</v>
      </c>
    </row>
    <row r="1610">
      <c r="A1610" s="151">
        <f>IFERROR(__xludf.DUMMYFUNCTION("""COMPUTED_VALUE"""),43793.14774797454)</f>
        <v>43793.14775</v>
      </c>
      <c r="B1610" t="str">
        <f>IFERROR(__xludf.DUMMYFUNCTION("""COMPUTED_VALUE"""),"Nico")</f>
        <v>Nico</v>
      </c>
      <c r="C1610" s="169" t="str">
        <f>IFERROR(__xludf.DUMMYFUNCTION("""COMPUTED_VALUE"""),"Arizona State")</f>
        <v>Arizona State</v>
      </c>
      <c r="D1610">
        <f>IFERROR(__xludf.DUMMYFUNCTION("""COMPUTED_VALUE"""),6.0)</f>
        <v>6</v>
      </c>
      <c r="E1610">
        <f>IFERROR(__xludf.DUMMYFUNCTION("""COMPUTED_VALUE"""),5.0)</f>
        <v>5</v>
      </c>
      <c r="F1610" t="str">
        <f>IFERROR(__xludf.DUMMYFUNCTION("""COMPUTED_VALUE"""),"FS1")</f>
        <v>FS1</v>
      </c>
      <c r="G1610" t="str">
        <f>IFERROR(__xludf.DUMMYFUNCTION("""COMPUTED_VALUE"""),"(6) Oregon 28 at Arizona State 31")</f>
        <v>(6) Oregon 28 at Arizona State 31</v>
      </c>
      <c r="H1610" t="str">
        <f>IFERROR(__xludf.DUMMYFUNCTION("""COMPUTED_VALUE"""),"FINAL")</f>
        <v>FINAL</v>
      </c>
      <c r="I1610" t="str">
        <f>IFERROR(__xludf.DUMMYFUNCTION("""COMPUTED_VALUE"""),"14½")</f>
        <v>14½</v>
      </c>
      <c r="J1610" t="str">
        <f>IFERROR(__xludf.DUMMYFUNCTION("""COMPUTED_VALUE"""),"54½")</f>
        <v>54½</v>
      </c>
      <c r="K1610" t="str">
        <f>IFERROR(__xludf.DUMMYFUNCTION("""COMPUTED_VALUE"""),"Justin")</f>
        <v>Justin</v>
      </c>
      <c r="L1610" t="str">
        <f>IFERROR(__xludf.DUMMYFUNCTION("""COMPUTED_VALUE"""),"FINAL")</f>
        <v>FINAL</v>
      </c>
      <c r="M1610" s="124">
        <v>13.0</v>
      </c>
    </row>
    <row r="1611">
      <c r="A1611" s="151">
        <f>IFERROR(__xludf.DUMMYFUNCTION("""COMPUTED_VALUE"""),43793.14774797454)</f>
        <v>43793.14775</v>
      </c>
      <c r="B1611" t="str">
        <f>IFERROR(__xludf.DUMMYFUNCTION("""COMPUTED_VALUE"""),"Nico")</f>
        <v>Nico</v>
      </c>
      <c r="C1611" s="169" t="str">
        <f>IFERROR(__xludf.DUMMYFUNCTION("""COMPUTED_VALUE"""),"Houston")</f>
        <v>Houston</v>
      </c>
      <c r="D1611">
        <f>IFERROR(__xludf.DUMMYFUNCTION("""COMPUTED_VALUE"""),4.0)</f>
        <v>4</v>
      </c>
      <c r="E1611">
        <f>IFERROR(__xludf.DUMMYFUNCTION("""COMPUTED_VALUE"""),7.0)</f>
        <v>7</v>
      </c>
      <c r="F1611" t="str">
        <f>IFERROR(__xludf.DUMMYFUNCTION("""COMPUTED_VALUE"""),"ESPN2")</f>
        <v>ESPN2</v>
      </c>
      <c r="G1611" t="str">
        <f>IFERROR(__xludf.DUMMYFUNCTION("""COMPUTED_VALUE"""),"Houston 24 at Tulsa 14")</f>
        <v>Houston 24 at Tulsa 14</v>
      </c>
      <c r="H1611" t="str">
        <f>IFERROR(__xludf.DUMMYFUNCTION("""COMPUTED_VALUE"""),"FINAL")</f>
        <v>FINAL</v>
      </c>
      <c r="I1611" t="str">
        <f>IFERROR(__xludf.DUMMYFUNCTION("""COMPUTED_VALUE"""),"2½")</f>
        <v>2½</v>
      </c>
      <c r="J1611">
        <f>IFERROR(__xludf.DUMMYFUNCTION("""COMPUTED_VALUE"""),60.0)</f>
        <v>60</v>
      </c>
      <c r="K1611" t="str">
        <f>IFERROR(__xludf.DUMMYFUNCTION("""COMPUTED_VALUE"""),"DavEmily")</f>
        <v>DavEmily</v>
      </c>
      <c r="L1611" t="str">
        <f>IFERROR(__xludf.DUMMYFUNCTION("""COMPUTED_VALUE"""),"FINAL")</f>
        <v>FINAL</v>
      </c>
      <c r="M1611" s="124">
        <v>13.0</v>
      </c>
    </row>
    <row r="1612">
      <c r="A1612" s="151">
        <f>IFERROR(__xludf.DUMMYFUNCTION("""COMPUTED_VALUE"""),43793.14774797454)</f>
        <v>43793.14775</v>
      </c>
      <c r="B1612" t="str">
        <f>IFERROR(__xludf.DUMMYFUNCTION("""COMPUTED_VALUE"""),"Jeannine")</f>
        <v>Jeannine</v>
      </c>
      <c r="C1612" s="169" t="str">
        <f>IFERROR(__xludf.DUMMYFUNCTION("""COMPUTED_VALUE"""),"Penn State")</f>
        <v>Penn State</v>
      </c>
      <c r="D1612">
        <f>IFERROR(__xludf.DUMMYFUNCTION("""COMPUTED_VALUE"""),9.0)</f>
        <v>9</v>
      </c>
      <c r="E1612">
        <f>IFERROR(__xludf.DUMMYFUNCTION("""COMPUTED_VALUE"""),2.0)</f>
        <v>2</v>
      </c>
      <c r="F1612" t="str">
        <f>IFERROR(__xludf.DUMMYFUNCTION("""COMPUTED_VALUE"""),"ABC")</f>
        <v>ABC</v>
      </c>
      <c r="G1612" t="str">
        <f>IFERROR(__xludf.DUMMYFUNCTION("""COMPUTED_VALUE"""),"(9) Penn State 17 at (2) Ohio State 28")</f>
        <v>(9) Penn State 17 at (2) Ohio State 28</v>
      </c>
      <c r="H1612" t="str">
        <f>IFERROR(__xludf.DUMMYFUNCTION("""COMPUTED_VALUE"""),"FINAL")</f>
        <v>FINAL</v>
      </c>
      <c r="I1612">
        <f>IFERROR(__xludf.DUMMYFUNCTION("""COMPUTED_VALUE"""),18.0)</f>
        <v>18</v>
      </c>
      <c r="J1612">
        <f>IFERROR(__xludf.DUMMYFUNCTION("""COMPUTED_VALUE"""),57.0)</f>
        <v>57</v>
      </c>
      <c r="K1612" t="str">
        <f>IFERROR(__xludf.DUMMYFUNCTION("""COMPUTED_VALUE"""),"Nick G.")</f>
        <v>Nick G.</v>
      </c>
      <c r="L1612" t="str">
        <f>IFERROR(__xludf.DUMMYFUNCTION("""COMPUTED_VALUE"""),"FINAL")</f>
        <v>FINAL</v>
      </c>
      <c r="M1612" s="124">
        <v>13.0</v>
      </c>
    </row>
    <row r="1613">
      <c r="A1613" s="151">
        <f>IFERROR(__xludf.DUMMYFUNCTION("""COMPUTED_VALUE"""),43793.14774797454)</f>
        <v>43793.14775</v>
      </c>
      <c r="B1613" t="str">
        <f>IFERROR(__xludf.DUMMYFUNCTION("""COMPUTED_VALUE"""),"Jeannine")</f>
        <v>Jeannine</v>
      </c>
      <c r="C1613" s="169" t="str">
        <f>IFERROR(__xludf.DUMMYFUNCTION("""COMPUTED_VALUE"""),"Virginia")</f>
        <v>Virginia</v>
      </c>
      <c r="D1613">
        <f>IFERROR(__xludf.DUMMYFUNCTION("""COMPUTED_VALUE"""),8.0)</f>
        <v>8</v>
      </c>
      <c r="E1613">
        <f>IFERROR(__xludf.DUMMYFUNCTION("""COMPUTED_VALUE"""),3.0)</f>
        <v>3</v>
      </c>
      <c r="F1613" t="str">
        <f>IFERROR(__xludf.DUMMYFUNCTION("""COMPUTED_VALUE"""),"NA")</f>
        <v>NA</v>
      </c>
      <c r="G1613" t="str">
        <f>IFERROR(__xludf.DUMMYFUNCTION("""COMPUTED_VALUE"""),"Liberty 27 at Virginia 55")</f>
        <v>Liberty 27 at Virginia 55</v>
      </c>
      <c r="H1613" t="str">
        <f>IFERROR(__xludf.DUMMYFUNCTION("""COMPUTED_VALUE"""),"FINAL")</f>
        <v>FINAL</v>
      </c>
      <c r="I1613" t="str">
        <f>IFERROR(__xludf.DUMMYFUNCTION("""COMPUTED_VALUE"""),"-16½")</f>
        <v>-16½</v>
      </c>
      <c r="J1613" t="str">
        <f>IFERROR(__xludf.DUMMYFUNCTION("""COMPUTED_VALUE"""),"55½")</f>
        <v>55½</v>
      </c>
      <c r="K1613" t="str">
        <f>IFERROR(__xludf.DUMMYFUNCTION("""COMPUTED_VALUE"""),"Undrafted")</f>
        <v>Undrafted</v>
      </c>
      <c r="L1613" t="str">
        <f>IFERROR(__xludf.DUMMYFUNCTION("""COMPUTED_VALUE"""),"FINAL")</f>
        <v>FINAL</v>
      </c>
      <c r="M1613" s="124">
        <v>13.0</v>
      </c>
    </row>
    <row r="1614">
      <c r="A1614" s="151">
        <f>IFERROR(__xludf.DUMMYFUNCTION("""COMPUTED_VALUE"""),43793.14774797454)</f>
        <v>43793.14775</v>
      </c>
      <c r="B1614" t="str">
        <f>IFERROR(__xludf.DUMMYFUNCTION("""COMPUTED_VALUE"""),"Jeannine")</f>
        <v>Jeannine</v>
      </c>
      <c r="C1614" s="169" t="str">
        <f>IFERROR(__xludf.DUMMYFUNCTION("""COMPUTED_VALUE"""),"SMU")</f>
        <v>SMU</v>
      </c>
      <c r="D1614">
        <f>IFERROR(__xludf.DUMMYFUNCTION("""COMPUTED_VALUE"""),9.0)</f>
        <v>9</v>
      </c>
      <c r="E1614">
        <f>IFERROR(__xludf.DUMMYFUNCTION("""COMPUTED_VALUE"""),2.0)</f>
        <v>2</v>
      </c>
      <c r="F1614" t="str">
        <f>IFERROR(__xludf.DUMMYFUNCTION("""COMPUTED_VALUE"""),"NA")</f>
        <v>NA</v>
      </c>
      <c r="G1614" t="str">
        <f>IFERROR(__xludf.DUMMYFUNCTION("""COMPUTED_VALUE"""),"(21) SMU 28 at Navy 35")</f>
        <v>(21) SMU 28 at Navy 35</v>
      </c>
      <c r="H1614" t="str">
        <f>IFERROR(__xludf.DUMMYFUNCTION("""COMPUTED_VALUE"""),"FINAL")</f>
        <v>FINAL</v>
      </c>
      <c r="I1614">
        <f>IFERROR(__xludf.DUMMYFUNCTION("""COMPUTED_VALUE"""),4.0)</f>
        <v>4</v>
      </c>
      <c r="J1614">
        <f>IFERROR(__xludf.DUMMYFUNCTION("""COMPUTED_VALUE"""),68.0)</f>
        <v>68</v>
      </c>
      <c r="K1614" t="str">
        <f>IFERROR(__xludf.DUMMYFUNCTION("""COMPUTED_VALUE"""),"Janice/Mike")</f>
        <v>Janice/Mike</v>
      </c>
      <c r="L1614" t="str">
        <f>IFERROR(__xludf.DUMMYFUNCTION("""COMPUTED_VALUE"""),"FINAL")</f>
        <v>FINAL</v>
      </c>
      <c r="M1614" s="124">
        <v>13.0</v>
      </c>
    </row>
    <row r="1615">
      <c r="A1615" s="151">
        <f>IFERROR(__xludf.DUMMYFUNCTION("""COMPUTED_VALUE"""),43793.14774797454)</f>
        <v>43793.14775</v>
      </c>
      <c r="B1615" t="str">
        <f>IFERROR(__xludf.DUMMYFUNCTION("""COMPUTED_VALUE"""),"Jeannine")</f>
        <v>Jeannine</v>
      </c>
      <c r="C1615" s="169" t="str">
        <f>IFERROR(__xludf.DUMMYFUNCTION("""COMPUTED_VALUE"""),"UAB")</f>
        <v>UAB</v>
      </c>
      <c r="D1615">
        <f>IFERROR(__xludf.DUMMYFUNCTION("""COMPUTED_VALUE"""),8.0)</f>
        <v>8</v>
      </c>
      <c r="E1615">
        <f>IFERROR(__xludf.DUMMYFUNCTION("""COMPUTED_VALUE"""),3.0)</f>
        <v>3</v>
      </c>
      <c r="F1615" t="str">
        <f>IFERROR(__xludf.DUMMYFUNCTION("""COMPUTED_VALUE"""),"espn3 Video")</f>
        <v>espn3 Video</v>
      </c>
      <c r="G1615" t="str">
        <f>IFERROR(__xludf.DUMMYFUNCTION("""COMPUTED_VALUE"""),"Louisiana Tech 14 at UAB 20")</f>
        <v>Louisiana Tech 14 at UAB 20</v>
      </c>
      <c r="H1615" t="str">
        <f>IFERROR(__xludf.DUMMYFUNCTION("""COMPUTED_VALUE"""),"FINAL")</f>
        <v>FINAL</v>
      </c>
      <c r="I1615">
        <f>IFERROR(__xludf.DUMMYFUNCTION("""COMPUTED_VALUE"""),-5.0)</f>
        <v>-5</v>
      </c>
      <c r="J1615">
        <f>IFERROR(__xludf.DUMMYFUNCTION("""COMPUTED_VALUE"""),46.0)</f>
        <v>46</v>
      </c>
      <c r="K1615" t="str">
        <f>IFERROR(__xludf.DUMMYFUNCTION("""COMPUTED_VALUE"""),"Brad")</f>
        <v>Brad</v>
      </c>
      <c r="L1615" t="str">
        <f>IFERROR(__xludf.DUMMYFUNCTION("""COMPUTED_VALUE"""),"FINAL")</f>
        <v>FINAL</v>
      </c>
      <c r="M1615" s="124">
        <v>13.0</v>
      </c>
    </row>
    <row r="1616">
      <c r="A1616" s="151">
        <f>IFERROR(__xludf.DUMMYFUNCTION("""COMPUTED_VALUE"""),43793.14774797454)</f>
        <v>43793.14775</v>
      </c>
      <c r="B1616" t="str">
        <f>IFERROR(__xludf.DUMMYFUNCTION("""COMPUTED_VALUE"""),"Jeannine")</f>
        <v>Jeannine</v>
      </c>
      <c r="C1616" s="169" t="str">
        <f>IFERROR(__xludf.DUMMYFUNCTION("""COMPUTED_VALUE"""),"San José State")</f>
        <v>San José State</v>
      </c>
      <c r="D1616">
        <f>IFERROR(__xludf.DUMMYFUNCTION("""COMPUTED_VALUE"""),4.0)</f>
        <v>4</v>
      </c>
      <c r="E1616">
        <f>IFERROR(__xludf.DUMMYFUNCTION("""COMPUTED_VALUE"""),7.0)</f>
        <v>7</v>
      </c>
      <c r="F1616" t="str">
        <f>IFERROR(__xludf.DUMMYFUNCTION("""COMPUTED_VALUE"""),"NA")</f>
        <v>NA</v>
      </c>
      <c r="G1616" t="str">
        <f>IFERROR(__xludf.DUMMYFUNCTION("""COMPUTED_VALUE"""),"San José State 35 at UNLV 38")</f>
        <v>San José State 35 at UNLV 38</v>
      </c>
      <c r="H1616" t="str">
        <f>IFERROR(__xludf.DUMMYFUNCTION("""COMPUTED_VALUE"""),"FINAL")</f>
        <v>FINAL</v>
      </c>
      <c r="I1616">
        <f>IFERROR(__xludf.DUMMYFUNCTION("""COMPUTED_VALUE"""),-7.0)</f>
        <v>-7</v>
      </c>
      <c r="J1616">
        <f>IFERROR(__xludf.DUMMYFUNCTION("""COMPUTED_VALUE"""),63.0)</f>
        <v>63</v>
      </c>
      <c r="K1616" t="str">
        <f>IFERROR(__xludf.DUMMYFUNCTION("""COMPUTED_VALUE"""),"Justin")</f>
        <v>Justin</v>
      </c>
      <c r="L1616" t="str">
        <f>IFERROR(__xludf.DUMMYFUNCTION("""COMPUTED_VALUE"""),"FINAL")</f>
        <v>FINAL</v>
      </c>
      <c r="M1616" s="124">
        <v>13.0</v>
      </c>
    </row>
    <row r="1617">
      <c r="A1617" s="151">
        <f>IFERROR(__xludf.DUMMYFUNCTION("""COMPUTED_VALUE"""),43793.14774797454)</f>
        <v>43793.14775</v>
      </c>
      <c r="B1617" t="str">
        <f>IFERROR(__xludf.DUMMYFUNCTION("""COMPUTED_VALUE"""),"Jeannine")</f>
        <v>Jeannine</v>
      </c>
      <c r="C1617" s="169" t="str">
        <f>IFERROR(__xludf.DUMMYFUNCTION("""COMPUTED_VALUE"""),"UL Monroe")</f>
        <v>UL Monroe</v>
      </c>
      <c r="D1617">
        <f>IFERROR(__xludf.DUMMYFUNCTION("""COMPUTED_VALUE"""),5.0)</f>
        <v>5</v>
      </c>
      <c r="E1617">
        <f>IFERROR(__xludf.DUMMYFUNCTION("""COMPUTED_VALUE"""),6.0)</f>
        <v>6</v>
      </c>
      <c r="F1617" t="str">
        <f>IFERROR(__xludf.DUMMYFUNCTION("""COMPUTED_VALUE"""),"NA")</f>
        <v>NA</v>
      </c>
      <c r="G1617" t="str">
        <f>IFERROR(__xludf.DUMMYFUNCTION("""COMPUTED_VALUE"""),"Coastal Carolina 42 at UL Monroe 45")</f>
        <v>Coastal Carolina 42 at UL Monroe 45</v>
      </c>
      <c r="H1617" t="str">
        <f>IFERROR(__xludf.DUMMYFUNCTION("""COMPUTED_VALUE"""),"FINAL")</f>
        <v>FINAL</v>
      </c>
      <c r="I1617">
        <f>IFERROR(__xludf.DUMMYFUNCTION("""COMPUTED_VALUE"""),-6.0)</f>
        <v>-6</v>
      </c>
      <c r="J1617">
        <f>IFERROR(__xludf.DUMMYFUNCTION("""COMPUTED_VALUE"""),65.0)</f>
        <v>65</v>
      </c>
      <c r="K1617" t="str">
        <f>IFERROR(__xludf.DUMMYFUNCTION("""COMPUTED_VALUE"""),"DavEmily")</f>
        <v>DavEmily</v>
      </c>
      <c r="L1617" t="str">
        <f>IFERROR(__xludf.DUMMYFUNCTION("""COMPUTED_VALUE"""),"FINAL")</f>
        <v>FINAL</v>
      </c>
      <c r="M1617" s="124">
        <v>13.0</v>
      </c>
    </row>
    <row r="1618">
      <c r="A1618" s="151">
        <f>IFERROR(__xludf.DUMMYFUNCTION("""COMPUTED_VALUE"""),43793.14774797454)</f>
        <v>43793.14775</v>
      </c>
      <c r="B1618" t="str">
        <f>IFERROR(__xludf.DUMMYFUNCTION("""COMPUTED_VALUE"""),"Jeannine")</f>
        <v>Jeannine</v>
      </c>
      <c r="C1618" s="169" t="str">
        <f>IFERROR(__xludf.DUMMYFUNCTION("""COMPUTED_VALUE"""),"Mississippi State")</f>
        <v>Mississippi State</v>
      </c>
      <c r="D1618">
        <f>IFERROR(__xludf.DUMMYFUNCTION("""COMPUTED_VALUE"""),5.0)</f>
        <v>5</v>
      </c>
      <c r="E1618">
        <f>IFERROR(__xludf.DUMMYFUNCTION("""COMPUTED_VALUE"""),6.0)</f>
        <v>6</v>
      </c>
      <c r="F1618" t="str">
        <f>IFERROR(__xludf.DUMMYFUNCTION("""COMPUTED_VALUE"""),"ESPN")</f>
        <v>ESPN</v>
      </c>
      <c r="G1618" t="str">
        <f>IFERROR(__xludf.DUMMYFUNCTION("""COMPUTED_VALUE"""),"Abilene Christian 7 at Mississippi State 45")</f>
        <v>Abilene Christian 7 at Mississippi State 45</v>
      </c>
      <c r="H1618" t="str">
        <f>IFERROR(__xludf.DUMMYFUNCTION("""COMPUTED_VALUE"""),"FINAL")</f>
        <v>FINAL</v>
      </c>
      <c r="I1618" t="str">
        <f>IFERROR(__xludf.DUMMYFUNCTION("""COMPUTED_VALUE"""),"PK")</f>
        <v>PK</v>
      </c>
      <c r="J1618" t="str">
        <f>IFERROR(__xludf.DUMMYFUNCTION("""COMPUTED_VALUE""")," No Line")</f>
        <v> No Line</v>
      </c>
      <c r="K1618" t="str">
        <f>IFERROR(__xludf.DUMMYFUNCTION("""COMPUTED_VALUE"""),"Undrafted")</f>
        <v>Undrafted</v>
      </c>
      <c r="L1618" t="str">
        <f>IFERROR(__xludf.DUMMYFUNCTION("""COMPUTED_VALUE"""),"FINAL")</f>
        <v>FINAL</v>
      </c>
      <c r="M1618" s="124">
        <v>13.0</v>
      </c>
    </row>
    <row r="1619">
      <c r="A1619" s="151">
        <f>IFERROR(__xludf.DUMMYFUNCTION("""COMPUTED_VALUE"""),43793.14774797454)</f>
        <v>43793.14775</v>
      </c>
      <c r="B1619" t="str">
        <f>IFERROR(__xludf.DUMMYFUNCTION("""COMPUTED_VALUE"""),"Jeannine")</f>
        <v>Jeannine</v>
      </c>
      <c r="C1619" s="169" t="str">
        <f>IFERROR(__xludf.DUMMYFUNCTION("""COMPUTED_VALUE"""),"Oklahoma")</f>
        <v>Oklahoma</v>
      </c>
      <c r="D1619">
        <f>IFERROR(__xludf.DUMMYFUNCTION("""COMPUTED_VALUE"""),10.0)</f>
        <v>10</v>
      </c>
      <c r="E1619">
        <f>IFERROR(__xludf.DUMMYFUNCTION("""COMPUTED_VALUE"""),1.0)</f>
        <v>1</v>
      </c>
      <c r="F1619" t="str">
        <f>IFERROR(__xludf.DUMMYFUNCTION("""COMPUTED_VALUE"""),"ABC")</f>
        <v>ABC</v>
      </c>
      <c r="G1619" t="str">
        <f>IFERROR(__xludf.DUMMYFUNCTION("""COMPUTED_VALUE"""),"TCU 24 at (7) Oklahoma 28")</f>
        <v>TCU 24 at (7) Oklahoma 28</v>
      </c>
      <c r="H1619" t="str">
        <f>IFERROR(__xludf.DUMMYFUNCTION("""COMPUTED_VALUE"""),"FINAL")</f>
        <v>FINAL</v>
      </c>
      <c r="I1619" t="str">
        <f>IFERROR(__xludf.DUMMYFUNCTION("""COMPUTED_VALUE"""),"-17½")</f>
        <v>-17½</v>
      </c>
      <c r="J1619">
        <f>IFERROR(__xludf.DUMMYFUNCTION("""COMPUTED_VALUE"""),65.0)</f>
        <v>65</v>
      </c>
      <c r="K1619" t="str">
        <f>IFERROR(__xludf.DUMMYFUNCTION("""COMPUTED_VALUE"""),"Vu")</f>
        <v>Vu</v>
      </c>
      <c r="L1619" t="str">
        <f>IFERROR(__xludf.DUMMYFUNCTION("""COMPUTED_VALUE"""),"FINAL")</f>
        <v>FINAL</v>
      </c>
      <c r="M1619" s="124">
        <v>13.0</v>
      </c>
    </row>
    <row r="1620">
      <c r="A1620" s="151">
        <f>IFERROR(__xludf.DUMMYFUNCTION("""COMPUTED_VALUE"""),43793.14774797454)</f>
        <v>43793.14775</v>
      </c>
      <c r="B1620" t="str">
        <f>IFERROR(__xludf.DUMMYFUNCTION("""COMPUTED_VALUE"""),"Jeannine")</f>
        <v>Jeannine</v>
      </c>
      <c r="C1620" s="169" t="str">
        <f>IFERROR(__xludf.DUMMYFUNCTION("""COMPUTED_VALUE"""),"Colorado")</f>
        <v>Colorado</v>
      </c>
      <c r="D1620">
        <f>IFERROR(__xludf.DUMMYFUNCTION("""COMPUTED_VALUE"""),5.0)</f>
        <v>5</v>
      </c>
      <c r="E1620">
        <f>IFERROR(__xludf.DUMMYFUNCTION("""COMPUTED_VALUE"""),6.0)</f>
        <v>6</v>
      </c>
      <c r="F1620" t="str">
        <f>IFERROR(__xludf.DUMMYFUNCTION("""COMPUTED_VALUE"""),"NA")</f>
        <v>NA</v>
      </c>
      <c r="G1620" t="str">
        <f>IFERROR(__xludf.DUMMYFUNCTION("""COMPUTED_VALUE"""),"Washington 14 at Colorado 20")</f>
        <v>Washington 14 at Colorado 20</v>
      </c>
      <c r="H1620" t="str">
        <f>IFERROR(__xludf.DUMMYFUNCTION("""COMPUTED_VALUE"""),"FINAL")</f>
        <v>FINAL</v>
      </c>
      <c r="I1620" t="str">
        <f>IFERROR(__xludf.DUMMYFUNCTION("""COMPUTED_VALUE"""),"14½")</f>
        <v>14½</v>
      </c>
      <c r="J1620" t="str">
        <f>IFERROR(__xludf.DUMMYFUNCTION("""COMPUTED_VALUE"""),"54½")</f>
        <v>54½</v>
      </c>
      <c r="K1620" t="str">
        <f>IFERROR(__xludf.DUMMYFUNCTION("""COMPUTED_VALUE"""),"Vu")</f>
        <v>Vu</v>
      </c>
      <c r="L1620" t="str">
        <f>IFERROR(__xludf.DUMMYFUNCTION("""COMPUTED_VALUE"""),"FINAL")</f>
        <v>FINAL</v>
      </c>
      <c r="M1620" s="124">
        <v>13.0</v>
      </c>
    </row>
    <row r="1621">
      <c r="A1621" s="151">
        <f>IFERROR(__xludf.DUMMYFUNCTION("""COMPUTED_VALUE"""),43793.14774797454)</f>
        <v>43793.14775</v>
      </c>
      <c r="B1621" t="str">
        <f>IFERROR(__xludf.DUMMYFUNCTION("""COMPUTED_VALUE"""),"Jeannine")</f>
        <v>Jeannine</v>
      </c>
      <c r="C1621" s="169" t="str">
        <f>IFERROR(__xludf.DUMMYFUNCTION("""COMPUTED_VALUE"""),"Western Michigan")</f>
        <v>Western Michigan</v>
      </c>
      <c r="D1621">
        <f>IFERROR(__xludf.DUMMYFUNCTION("""COMPUTED_VALUE"""),7.0)</f>
        <v>7</v>
      </c>
      <c r="E1621">
        <f>IFERROR(__xludf.DUMMYFUNCTION("""COMPUTED_VALUE"""),4.0)</f>
        <v>4</v>
      </c>
      <c r="F1621" t="str">
        <f>IFERROR(__xludf.DUMMYFUNCTION("""COMPUTED_VALUE"""),"ESPN2")</f>
        <v>ESPN2</v>
      </c>
      <c r="G1621" t="str">
        <f>IFERROR(__xludf.DUMMYFUNCTION("""COMPUTED_VALUE"""),"BYE")</f>
        <v>BYE</v>
      </c>
      <c r="I1621" t="str">
        <f>IFERROR(__xludf.DUMMYFUNCTION("""COMPUTED_VALUE"""),"bye")</f>
        <v>bye</v>
      </c>
      <c r="J1621" t="str">
        <f>IFERROR(__xludf.DUMMYFUNCTION("""COMPUTED_VALUE"""),"bye")</f>
        <v>bye</v>
      </c>
      <c r="L1621">
        <f>IFERROR(__xludf.DUMMYFUNCTION("""COMPUTED_VALUE"""),9999.0)</f>
        <v>9999</v>
      </c>
      <c r="M1621" s="124">
        <v>13.0</v>
      </c>
    </row>
    <row r="1622">
      <c r="A1622" s="151">
        <f>IFERROR(__xludf.DUMMYFUNCTION("""COMPUTED_VALUE"""),43793.14774797454)</f>
        <v>43793.14775</v>
      </c>
      <c r="B1622" t="str">
        <f>IFERROR(__xludf.DUMMYFUNCTION("""COMPUTED_VALUE"""),"Justin")</f>
        <v>Justin</v>
      </c>
      <c r="C1622" s="169" t="str">
        <f>IFERROR(__xludf.DUMMYFUNCTION("""COMPUTED_VALUE"""),"Buffalo")</f>
        <v>Buffalo</v>
      </c>
      <c r="D1622">
        <f>IFERROR(__xludf.DUMMYFUNCTION("""COMPUTED_VALUE"""),6.0)</f>
        <v>6</v>
      </c>
      <c r="E1622">
        <f>IFERROR(__xludf.DUMMYFUNCTION("""COMPUTED_VALUE"""),5.0)</f>
        <v>5</v>
      </c>
      <c r="F1622" t="str">
        <f>IFERROR(__xludf.DUMMYFUNCTION("""COMPUTED_VALUE"""),"CBSSN")</f>
        <v>CBSSN</v>
      </c>
      <c r="G1622" t="str">
        <f>IFERROR(__xludf.DUMMYFUNCTION("""COMPUTED_VALUE"""),"Toledo 30 at Buffalo 49")</f>
        <v>Toledo 30 at Buffalo 49</v>
      </c>
      <c r="H1622" t="str">
        <f>IFERROR(__xludf.DUMMYFUNCTION("""COMPUTED_VALUE"""),"FINAL")</f>
        <v>FINAL</v>
      </c>
      <c r="I1622">
        <f>IFERROR(__xludf.DUMMYFUNCTION("""COMPUTED_VALUE"""),-8.0)</f>
        <v>-8</v>
      </c>
      <c r="J1622">
        <f>IFERROR(__xludf.DUMMYFUNCTION("""COMPUTED_VALUE"""),54.0)</f>
        <v>54</v>
      </c>
      <c r="K1622" t="str">
        <f>IFERROR(__xludf.DUMMYFUNCTION("""COMPUTED_VALUE"""),"Josh R.")</f>
        <v>Josh R.</v>
      </c>
      <c r="L1622" t="str">
        <f>IFERROR(__xludf.DUMMYFUNCTION("""COMPUTED_VALUE"""),"FINAL")</f>
        <v>FINAL</v>
      </c>
      <c r="M1622" s="124">
        <v>13.0</v>
      </c>
    </row>
    <row r="1623">
      <c r="A1623" s="151">
        <f>IFERROR(__xludf.DUMMYFUNCTION("""COMPUTED_VALUE"""),43793.14774797454)</f>
        <v>43793.14775</v>
      </c>
      <c r="B1623" t="str">
        <f>IFERROR(__xludf.DUMMYFUNCTION("""COMPUTED_VALUE"""),"Justin")</f>
        <v>Justin</v>
      </c>
      <c r="C1623" s="169" t="str">
        <f>IFERROR(__xludf.DUMMYFUNCTION("""COMPUTED_VALUE"""),"Iowa")</f>
        <v>Iowa</v>
      </c>
      <c r="D1623">
        <f>IFERROR(__xludf.DUMMYFUNCTION("""COMPUTED_VALUE"""),8.0)</f>
        <v>8</v>
      </c>
      <c r="E1623">
        <f>IFERROR(__xludf.DUMMYFUNCTION("""COMPUTED_VALUE"""),3.0)</f>
        <v>3</v>
      </c>
      <c r="F1623" t="str">
        <f>IFERROR(__xludf.DUMMYFUNCTION("""COMPUTED_VALUE"""),"FOX")</f>
        <v>FOX</v>
      </c>
      <c r="G1623" t="str">
        <f>IFERROR(__xludf.DUMMYFUNCTION("""COMPUTED_VALUE"""),"Illinois 10 at (20) Iowa 19")</f>
        <v>Illinois 10 at (20) Iowa 19</v>
      </c>
      <c r="H1623" t="str">
        <f>IFERROR(__xludf.DUMMYFUNCTION("""COMPUTED_VALUE"""),"FINAL")</f>
        <v>FINAL</v>
      </c>
      <c r="I1623" t="str">
        <f>IFERROR(__xludf.DUMMYFUNCTION("""COMPUTED_VALUE"""),"-15½")</f>
        <v>-15½</v>
      </c>
      <c r="J1623" t="str">
        <f>IFERROR(__xludf.DUMMYFUNCTION("""COMPUTED_VALUE"""),"46½")</f>
        <v>46½</v>
      </c>
      <c r="K1623" t="str">
        <f>IFERROR(__xludf.DUMMYFUNCTION("""COMPUTED_VALUE"""),"Undrafted")</f>
        <v>Undrafted</v>
      </c>
      <c r="L1623" t="str">
        <f>IFERROR(__xludf.DUMMYFUNCTION("""COMPUTED_VALUE"""),"FINAL")</f>
        <v>FINAL</v>
      </c>
      <c r="M1623" s="124">
        <v>13.0</v>
      </c>
    </row>
    <row r="1624">
      <c r="A1624" s="151">
        <f>IFERROR(__xludf.DUMMYFUNCTION("""COMPUTED_VALUE"""),43793.14774797454)</f>
        <v>43793.14775</v>
      </c>
      <c r="B1624" t="str">
        <f>IFERROR(__xludf.DUMMYFUNCTION("""COMPUTED_VALUE"""),"Justin")</f>
        <v>Justin</v>
      </c>
      <c r="C1624" s="169" t="str">
        <f>IFERROR(__xludf.DUMMYFUNCTION("""COMPUTED_VALUE"""),"Appalachian State")</f>
        <v>Appalachian State</v>
      </c>
      <c r="D1624">
        <f>IFERROR(__xludf.DUMMYFUNCTION("""COMPUTED_VALUE"""),10.0)</f>
        <v>10</v>
      </c>
      <c r="E1624">
        <f>IFERROR(__xludf.DUMMYFUNCTION("""COMPUTED_VALUE"""),1.0)</f>
        <v>1</v>
      </c>
      <c r="F1624" t="str">
        <f>IFERROR(__xludf.DUMMYFUNCTION("""COMPUTED_VALUE"""),"ESPNU")</f>
        <v>ESPNU</v>
      </c>
      <c r="G1624" t="str">
        <f>IFERROR(__xludf.DUMMYFUNCTION("""COMPUTED_VALUE"""),"Texas State 13 at (22) Appalachian State 35")</f>
        <v>Texas State 13 at (22) Appalachian State 35</v>
      </c>
      <c r="H1624" t="str">
        <f>IFERROR(__xludf.DUMMYFUNCTION("""COMPUTED_VALUE"""),"FINAL")</f>
        <v>FINAL</v>
      </c>
      <c r="I1624">
        <f>IFERROR(__xludf.DUMMYFUNCTION("""COMPUTED_VALUE"""),-30.0)</f>
        <v>-30</v>
      </c>
      <c r="J1624">
        <f>IFERROR(__xludf.DUMMYFUNCTION("""COMPUTED_VALUE"""),53.0)</f>
        <v>53</v>
      </c>
      <c r="K1624" t="str">
        <f>IFERROR(__xludf.DUMMYFUNCTION("""COMPUTED_VALUE"""),"Brad")</f>
        <v>Brad</v>
      </c>
      <c r="L1624" t="str">
        <f>IFERROR(__xludf.DUMMYFUNCTION("""COMPUTED_VALUE"""),"FINAL")</f>
        <v>FINAL</v>
      </c>
      <c r="M1624" s="124">
        <v>13.0</v>
      </c>
    </row>
    <row r="1625">
      <c r="A1625" s="151">
        <f>IFERROR(__xludf.DUMMYFUNCTION("""COMPUTED_VALUE"""),43793.14774797454)</f>
        <v>43793.14775</v>
      </c>
      <c r="B1625" t="str">
        <f>IFERROR(__xludf.DUMMYFUNCTION("""COMPUTED_VALUE"""),"Justin")</f>
        <v>Justin</v>
      </c>
      <c r="C1625" s="169" t="str">
        <f>IFERROR(__xludf.DUMMYFUNCTION("""COMPUTED_VALUE"""),"Baylor")</f>
        <v>Baylor</v>
      </c>
      <c r="D1625">
        <f>IFERROR(__xludf.DUMMYFUNCTION("""COMPUTED_VALUE"""),10.0)</f>
        <v>10</v>
      </c>
      <c r="E1625">
        <f>IFERROR(__xludf.DUMMYFUNCTION("""COMPUTED_VALUE"""),1.0)</f>
        <v>1</v>
      </c>
      <c r="F1625" t="str">
        <f>IFERROR(__xludf.DUMMYFUNCTION("""COMPUTED_VALUE"""),"ABC")</f>
        <v>ABC</v>
      </c>
      <c r="G1625" t="str">
        <f>IFERROR(__xludf.DUMMYFUNCTION("""COMPUTED_VALUE"""),"Texas 10 at (13) Baylor 24")</f>
        <v>Texas 10 at (13) Baylor 24</v>
      </c>
      <c r="H1625" t="str">
        <f>IFERROR(__xludf.DUMMYFUNCTION("""COMPUTED_VALUE"""),"FINAL")</f>
        <v>FINAL</v>
      </c>
      <c r="I1625">
        <f>IFERROR(__xludf.DUMMYFUNCTION("""COMPUTED_VALUE"""),-6.0)</f>
        <v>-6</v>
      </c>
      <c r="J1625" t="str">
        <f>IFERROR(__xludf.DUMMYFUNCTION("""COMPUTED_VALUE"""),"59½")</f>
        <v>59½</v>
      </c>
      <c r="K1625" t="str">
        <f>IFERROR(__xludf.DUMMYFUNCTION("""COMPUTED_VALUE"""),"Adam")</f>
        <v>Adam</v>
      </c>
      <c r="L1625" t="str">
        <f>IFERROR(__xludf.DUMMYFUNCTION("""COMPUTED_VALUE"""),"FINAL")</f>
        <v>FINAL</v>
      </c>
      <c r="M1625" s="124">
        <v>13.0</v>
      </c>
    </row>
    <row r="1626">
      <c r="A1626" s="151">
        <f>IFERROR(__xludf.DUMMYFUNCTION("""COMPUTED_VALUE"""),43793.14774797454)</f>
        <v>43793.14775</v>
      </c>
      <c r="B1626" t="str">
        <f>IFERROR(__xludf.DUMMYFUNCTION("""COMPUTED_VALUE"""),"Justin")</f>
        <v>Justin</v>
      </c>
      <c r="C1626" s="169" t="str">
        <f>IFERROR(__xludf.DUMMYFUNCTION("""COMPUTED_VALUE"""),"Western Kentucky")</f>
        <v>Western Kentucky</v>
      </c>
      <c r="D1626">
        <f>IFERROR(__xludf.DUMMYFUNCTION("""COMPUTED_VALUE"""),7.0)</f>
        <v>7</v>
      </c>
      <c r="E1626">
        <f>IFERROR(__xludf.DUMMYFUNCTION("""COMPUTED_VALUE"""),4.0)</f>
        <v>4</v>
      </c>
      <c r="F1626" t="str">
        <f>IFERROR(__xludf.DUMMYFUNCTION("""COMPUTED_VALUE"""),"NA")</f>
        <v>NA</v>
      </c>
      <c r="G1626" t="str">
        <f>IFERROR(__xludf.DUMMYFUNCTION("""COMPUTED_VALUE"""),"Western Kentucky 28 at Southern Mississippi 10")</f>
        <v>Western Kentucky 28 at Southern Mississippi 10</v>
      </c>
      <c r="H1626" t="str">
        <f>IFERROR(__xludf.DUMMYFUNCTION("""COMPUTED_VALUE"""),"FINAL")</f>
        <v>FINAL</v>
      </c>
      <c r="I1626" t="str">
        <f>IFERROR(__xludf.DUMMYFUNCTION("""COMPUTED_VALUE"""),"4½")</f>
        <v>4½</v>
      </c>
      <c r="J1626" t="str">
        <f>IFERROR(__xludf.DUMMYFUNCTION("""COMPUTED_VALUE"""),"49½")</f>
        <v>49½</v>
      </c>
      <c r="K1626" t="str">
        <f>IFERROR(__xludf.DUMMYFUNCTION("""COMPUTED_VALUE"""),"Josh R.")</f>
        <v>Josh R.</v>
      </c>
      <c r="L1626" t="str">
        <f>IFERROR(__xludf.DUMMYFUNCTION("""COMPUTED_VALUE"""),"FINAL")</f>
        <v>FINAL</v>
      </c>
      <c r="M1626" s="124">
        <v>13.0</v>
      </c>
    </row>
    <row r="1627">
      <c r="A1627" s="151">
        <f>IFERROR(__xludf.DUMMYFUNCTION("""COMPUTED_VALUE"""),43793.14774797454)</f>
        <v>43793.14775</v>
      </c>
      <c r="B1627" t="str">
        <f>IFERROR(__xludf.DUMMYFUNCTION("""COMPUTED_VALUE"""),"Justin")</f>
        <v>Justin</v>
      </c>
      <c r="C1627" s="169" t="str">
        <f>IFERROR(__xludf.DUMMYFUNCTION("""COMPUTED_VALUE"""),"South Florida")</f>
        <v>South Florida</v>
      </c>
      <c r="D1627">
        <f>IFERROR(__xludf.DUMMYFUNCTION("""COMPUTED_VALUE"""),4.0)</f>
        <v>4</v>
      </c>
      <c r="E1627">
        <f>IFERROR(__xludf.DUMMYFUNCTION("""COMPUTED_VALUE"""),7.0)</f>
        <v>7</v>
      </c>
      <c r="F1627" t="str">
        <f>IFERROR(__xludf.DUMMYFUNCTION("""COMPUTED_VALUE"""),"CBSSN")</f>
        <v>CBSSN</v>
      </c>
      <c r="G1627" t="str">
        <f>IFERROR(__xludf.DUMMYFUNCTION("""COMPUTED_VALUE"""),"(18) Memphis 49 at South Florida 10")</f>
        <v>(18) Memphis 49 at South Florida 10</v>
      </c>
      <c r="H1627" t="str">
        <f>IFERROR(__xludf.DUMMYFUNCTION("""COMPUTED_VALUE"""),"FINAL")</f>
        <v>FINAL</v>
      </c>
      <c r="I1627">
        <f>IFERROR(__xludf.DUMMYFUNCTION("""COMPUTED_VALUE"""),14.0)</f>
        <v>14</v>
      </c>
      <c r="J1627">
        <f>IFERROR(__xludf.DUMMYFUNCTION("""COMPUTED_VALUE"""),60.0)</f>
        <v>60</v>
      </c>
      <c r="K1627" t="str">
        <f>IFERROR(__xludf.DUMMYFUNCTION("""COMPUTED_VALUE"""),"Brad")</f>
        <v>Brad</v>
      </c>
      <c r="L1627" t="str">
        <f>IFERROR(__xludf.DUMMYFUNCTION("""COMPUTED_VALUE"""),"FINAL")</f>
        <v>FINAL</v>
      </c>
      <c r="M1627" s="124">
        <v>13.0</v>
      </c>
    </row>
    <row r="1628">
      <c r="A1628" s="151">
        <f>IFERROR(__xludf.DUMMYFUNCTION("""COMPUTED_VALUE"""),43793.14774797454)</f>
        <v>43793.14775</v>
      </c>
      <c r="B1628" t="str">
        <f>IFERROR(__xludf.DUMMYFUNCTION("""COMPUTED_VALUE"""),"Justin")</f>
        <v>Justin</v>
      </c>
      <c r="C1628" s="169" t="str">
        <f>IFERROR(__xludf.DUMMYFUNCTION("""COMPUTED_VALUE"""),"UNLV")</f>
        <v>UNLV</v>
      </c>
      <c r="D1628">
        <f>IFERROR(__xludf.DUMMYFUNCTION("""COMPUTED_VALUE"""),3.0)</f>
        <v>3</v>
      </c>
      <c r="E1628">
        <f>IFERROR(__xludf.DUMMYFUNCTION("""COMPUTED_VALUE"""),8.0)</f>
        <v>8</v>
      </c>
      <c r="F1628" t="str">
        <f>IFERROR(__xludf.DUMMYFUNCTION("""COMPUTED_VALUE"""),"Facebook Video")</f>
        <v>Facebook Video</v>
      </c>
      <c r="G1628" t="str">
        <f>IFERROR(__xludf.DUMMYFUNCTION("""COMPUTED_VALUE"""),"San José State 35 at UNLV 38")</f>
        <v>San José State 35 at UNLV 38</v>
      </c>
      <c r="H1628" t="str">
        <f>IFERROR(__xludf.DUMMYFUNCTION("""COMPUTED_VALUE"""),"FINAL")</f>
        <v>FINAL</v>
      </c>
      <c r="I1628" t="str">
        <f>IFERROR(__xludf.DUMMYFUNCTION("""COMPUTED_VALUE"""),"7 E")</f>
        <v>7 E</v>
      </c>
      <c r="J1628">
        <f>IFERROR(__xludf.DUMMYFUNCTION("""COMPUTED_VALUE"""),63.0)</f>
        <v>63</v>
      </c>
      <c r="K1628" t="str">
        <f>IFERROR(__xludf.DUMMYFUNCTION("""COMPUTED_VALUE"""),"Jeannine")</f>
        <v>Jeannine</v>
      </c>
      <c r="L1628" t="str">
        <f>IFERROR(__xludf.DUMMYFUNCTION("""COMPUTED_VALUE"""),"FINAL")</f>
        <v>FINAL</v>
      </c>
      <c r="M1628" s="124">
        <v>13.0</v>
      </c>
    </row>
    <row r="1629">
      <c r="A1629" s="151">
        <f>IFERROR(__xludf.DUMMYFUNCTION("""COMPUTED_VALUE"""),43793.14774797454)</f>
        <v>43793.14775</v>
      </c>
      <c r="B1629" t="str">
        <f>IFERROR(__xludf.DUMMYFUNCTION("""COMPUTED_VALUE"""),"Justin")</f>
        <v>Justin</v>
      </c>
      <c r="C1629" s="169" t="str">
        <f>IFERROR(__xludf.DUMMYFUNCTION("""COMPUTED_VALUE"""),"Oregon")</f>
        <v>Oregon</v>
      </c>
      <c r="D1629">
        <f>IFERROR(__xludf.DUMMYFUNCTION("""COMPUTED_VALUE"""),9.0)</f>
        <v>9</v>
      </c>
      <c r="E1629">
        <f>IFERROR(__xludf.DUMMYFUNCTION("""COMPUTED_VALUE"""),2.0)</f>
        <v>2</v>
      </c>
      <c r="F1629" t="str">
        <f>IFERROR(__xludf.DUMMYFUNCTION("""COMPUTED_VALUE"""),"ESPN")</f>
        <v>ESPN</v>
      </c>
      <c r="G1629" t="str">
        <f>IFERROR(__xludf.DUMMYFUNCTION("""COMPUTED_VALUE"""),"(6) Oregon 28 at Arizona State 31")</f>
        <v>(6) Oregon 28 at Arizona State 31</v>
      </c>
      <c r="H1629" t="str">
        <f>IFERROR(__xludf.DUMMYFUNCTION("""COMPUTED_VALUE"""),"FINAL")</f>
        <v>FINAL</v>
      </c>
      <c r="I1629" t="str">
        <f>IFERROR(__xludf.DUMMYFUNCTION("""COMPUTED_VALUE"""),"-14½")</f>
        <v>-14½</v>
      </c>
      <c r="J1629" t="str">
        <f>IFERROR(__xludf.DUMMYFUNCTION("""COMPUTED_VALUE"""),"54½")</f>
        <v>54½</v>
      </c>
      <c r="K1629" t="str">
        <f>IFERROR(__xludf.DUMMYFUNCTION("""COMPUTED_VALUE"""),"Nico")</f>
        <v>Nico</v>
      </c>
      <c r="L1629" t="str">
        <f>IFERROR(__xludf.DUMMYFUNCTION("""COMPUTED_VALUE"""),"FINAL")</f>
        <v>FINAL</v>
      </c>
      <c r="M1629" s="124">
        <v>13.0</v>
      </c>
    </row>
    <row r="1630">
      <c r="A1630" s="151">
        <f>IFERROR(__xludf.DUMMYFUNCTION("""COMPUTED_VALUE"""),43793.14774797454)</f>
        <v>43793.14775</v>
      </c>
      <c r="B1630" t="str">
        <f>IFERROR(__xludf.DUMMYFUNCTION("""COMPUTED_VALUE"""),"Justin")</f>
        <v>Justin</v>
      </c>
      <c r="C1630" s="169" t="str">
        <f>IFERROR(__xludf.DUMMYFUNCTION("""COMPUTED_VALUE"""),"Tennessee")</f>
        <v>Tennessee</v>
      </c>
      <c r="D1630">
        <f>IFERROR(__xludf.DUMMYFUNCTION("""COMPUTED_VALUE"""),6.0)</f>
        <v>6</v>
      </c>
      <c r="E1630">
        <f>IFERROR(__xludf.DUMMYFUNCTION("""COMPUTED_VALUE"""),5.0)</f>
        <v>5</v>
      </c>
      <c r="F1630" t="str">
        <f>IFERROR(__xludf.DUMMYFUNCTION("""COMPUTED_VALUE"""),"NA")</f>
        <v>NA</v>
      </c>
      <c r="G1630" t="str">
        <f>IFERROR(__xludf.DUMMYFUNCTION("""COMPUTED_VALUE"""),"Tennessee 24 at Missouri 20")</f>
        <v>Tennessee 24 at Missouri 20</v>
      </c>
      <c r="H1630" t="str">
        <f>IFERROR(__xludf.DUMMYFUNCTION("""COMPUTED_VALUE"""),"FINAL")</f>
        <v>FINAL</v>
      </c>
      <c r="I1630">
        <f>IFERROR(__xludf.DUMMYFUNCTION("""COMPUTED_VALUE"""),5.0)</f>
        <v>5</v>
      </c>
      <c r="J1630" t="str">
        <f>IFERROR(__xludf.DUMMYFUNCTION("""COMPUTED_VALUE"""),"45½")</f>
        <v>45½</v>
      </c>
      <c r="K1630" t="str">
        <f>IFERROR(__xludf.DUMMYFUNCTION("""COMPUTED_VALUE"""),"Gary")</f>
        <v>Gary</v>
      </c>
      <c r="L1630" t="str">
        <f>IFERROR(__xludf.DUMMYFUNCTION("""COMPUTED_VALUE"""),"FINAL")</f>
        <v>FINAL</v>
      </c>
      <c r="M1630" s="124">
        <v>13.0</v>
      </c>
    </row>
    <row r="1631">
      <c r="A1631" s="151">
        <f>IFERROR(__xludf.DUMMYFUNCTION("""COMPUTED_VALUE"""),43793.14774797454)</f>
        <v>43793.14775</v>
      </c>
      <c r="B1631" t="str">
        <f>IFERROR(__xludf.DUMMYFUNCTION("""COMPUTED_VALUE"""),"Justin")</f>
        <v>Justin</v>
      </c>
      <c r="C1631" s="169" t="str">
        <f>IFERROR(__xludf.DUMMYFUNCTION("""COMPUTED_VALUE"""),"Duke")</f>
        <v>Duke</v>
      </c>
      <c r="D1631">
        <f>IFERROR(__xludf.DUMMYFUNCTION("""COMPUTED_VALUE"""),4.0)</f>
        <v>4</v>
      </c>
      <c r="E1631">
        <f>IFERROR(__xludf.DUMMYFUNCTION("""COMPUTED_VALUE"""),7.0)</f>
        <v>7</v>
      </c>
      <c r="F1631" t="str">
        <f>IFERROR(__xludf.DUMMYFUNCTION("""COMPUTED_VALUE"""),"ACC Network")</f>
        <v>ACC Network</v>
      </c>
      <c r="G1631" t="str">
        <f>IFERROR(__xludf.DUMMYFUNCTION("""COMPUTED_VALUE"""),"Duke 27 at Wake Forest 39")</f>
        <v>Duke 27 at Wake Forest 39</v>
      </c>
      <c r="H1631" t="str">
        <f>IFERROR(__xludf.DUMMYFUNCTION("""COMPUTED_VALUE"""),"FINAL")</f>
        <v>FINAL</v>
      </c>
      <c r="I1631" t="str">
        <f>IFERROR(__xludf.DUMMYFUNCTION("""COMPUTED_VALUE"""),"6½")</f>
        <v>6½</v>
      </c>
      <c r="J1631" t="str">
        <f>IFERROR(__xludf.DUMMYFUNCTION("""COMPUTED_VALUE"""),"53½")</f>
        <v>53½</v>
      </c>
      <c r="K1631" t="str">
        <f>IFERROR(__xludf.DUMMYFUNCTION("""COMPUTED_VALUE"""),"Adam")</f>
        <v>Adam</v>
      </c>
      <c r="L1631" t="str">
        <f>IFERROR(__xludf.DUMMYFUNCTION("""COMPUTED_VALUE"""),"FINAL")</f>
        <v>FINAL</v>
      </c>
      <c r="M1631" s="124">
        <v>13.0</v>
      </c>
    </row>
    <row r="1632">
      <c r="A1632" s="151">
        <f>IFERROR(__xludf.DUMMYFUNCTION("""COMPUTED_VALUE"""),43793.14774797454)</f>
        <v>43793.14775</v>
      </c>
      <c r="B1632" t="str">
        <f>IFERROR(__xludf.DUMMYFUNCTION("""COMPUTED_VALUE"""),"Adam")</f>
        <v>Adam</v>
      </c>
      <c r="C1632" s="169" t="str">
        <f>IFERROR(__xludf.DUMMYFUNCTION("""COMPUTED_VALUE"""),"Akron")</f>
        <v>Akron</v>
      </c>
      <c r="D1632">
        <f>IFERROR(__xludf.DUMMYFUNCTION("""COMPUTED_VALUE"""),0.0)</f>
        <v>0</v>
      </c>
      <c r="E1632">
        <f>IFERROR(__xludf.DUMMYFUNCTION("""COMPUTED_VALUE"""),11.0)</f>
        <v>11</v>
      </c>
      <c r="F1632" t="str">
        <f>IFERROR(__xludf.DUMMYFUNCTION("""COMPUTED_VALUE"""),"NA")</f>
        <v>NA</v>
      </c>
      <c r="G1632" t="str">
        <f>IFERROR(__xludf.DUMMYFUNCTION("""COMPUTED_VALUE"""),"Akron 17 at Miami-OH 20")</f>
        <v>Akron 17 at Miami-OH 20</v>
      </c>
      <c r="H1632" t="str">
        <f>IFERROR(__xludf.DUMMYFUNCTION("""COMPUTED_VALUE"""),"FINAL")</f>
        <v>FINAL</v>
      </c>
      <c r="I1632">
        <f>IFERROR(__xludf.DUMMYFUNCTION("""COMPUTED_VALUE"""),31.0)</f>
        <v>31</v>
      </c>
      <c r="J1632">
        <f>IFERROR(__xludf.DUMMYFUNCTION("""COMPUTED_VALUE"""),44.0)</f>
        <v>44</v>
      </c>
      <c r="K1632" t="str">
        <f>IFERROR(__xludf.DUMMYFUNCTION("""COMPUTED_VALUE"""),"Nico")</f>
        <v>Nico</v>
      </c>
      <c r="L1632" t="str">
        <f>IFERROR(__xludf.DUMMYFUNCTION("""COMPUTED_VALUE"""),"FINAL")</f>
        <v>FINAL</v>
      </c>
      <c r="M1632" s="124">
        <v>13.0</v>
      </c>
    </row>
    <row r="1633">
      <c r="A1633" s="151">
        <f>IFERROR(__xludf.DUMMYFUNCTION("""COMPUTED_VALUE"""),43793.14774797454)</f>
        <v>43793.14775</v>
      </c>
      <c r="B1633" t="str">
        <f>IFERROR(__xludf.DUMMYFUNCTION("""COMPUTED_VALUE"""),"Adam")</f>
        <v>Adam</v>
      </c>
      <c r="C1633" s="169" t="str">
        <f>IFERROR(__xludf.DUMMYFUNCTION("""COMPUTED_VALUE"""),"Northwestern")</f>
        <v>Northwestern</v>
      </c>
      <c r="D1633">
        <f>IFERROR(__xludf.DUMMYFUNCTION("""COMPUTED_VALUE"""),2.0)</f>
        <v>2</v>
      </c>
      <c r="E1633">
        <f>IFERROR(__xludf.DUMMYFUNCTION("""COMPUTED_VALUE"""),9.0)</f>
        <v>9</v>
      </c>
      <c r="F1633" t="str">
        <f>IFERROR(__xludf.DUMMYFUNCTION("""COMPUTED_VALUE"""),"BTN")</f>
        <v>BTN</v>
      </c>
      <c r="G1633" t="str">
        <f>IFERROR(__xludf.DUMMYFUNCTION("""COMPUTED_VALUE"""),"(11) Minnesota 38 at Northwestern 22")</f>
        <v>(11) Minnesota 38 at Northwestern 22</v>
      </c>
      <c r="H1633" t="str">
        <f>IFERROR(__xludf.DUMMYFUNCTION("""COMPUTED_VALUE"""),"FINAL")</f>
        <v>FINAL</v>
      </c>
      <c r="I1633" t="str">
        <f>IFERROR(__xludf.DUMMYFUNCTION("""COMPUTED_VALUE"""),"13½")</f>
        <v>13½</v>
      </c>
      <c r="J1633">
        <f>IFERROR(__xludf.DUMMYFUNCTION("""COMPUTED_VALUE"""),40.0)</f>
        <v>40</v>
      </c>
      <c r="K1633" t="str">
        <f>IFERROR(__xludf.DUMMYFUNCTION("""COMPUTED_VALUE"""),"Josh R.")</f>
        <v>Josh R.</v>
      </c>
      <c r="L1633" t="str">
        <f>IFERROR(__xludf.DUMMYFUNCTION("""COMPUTED_VALUE"""),"FINAL")</f>
        <v>FINAL</v>
      </c>
      <c r="M1633" s="124">
        <v>13.0</v>
      </c>
    </row>
    <row r="1634">
      <c r="A1634" s="151">
        <f>IFERROR(__xludf.DUMMYFUNCTION("""COMPUTED_VALUE"""),43793.14774797454)</f>
        <v>43793.14775</v>
      </c>
      <c r="B1634" t="str">
        <f>IFERROR(__xludf.DUMMYFUNCTION("""COMPUTED_VALUE"""),"Adam")</f>
        <v>Adam</v>
      </c>
      <c r="C1634" s="169" t="str">
        <f>IFERROR(__xludf.DUMMYFUNCTION("""COMPUTED_VALUE"""),"UCF")</f>
        <v>UCF</v>
      </c>
      <c r="D1634">
        <f>IFERROR(__xludf.DUMMYFUNCTION("""COMPUTED_VALUE"""),8.0)</f>
        <v>8</v>
      </c>
      <c r="E1634">
        <f>IFERROR(__xludf.DUMMYFUNCTION("""COMPUTED_VALUE"""),3.0)</f>
        <v>3</v>
      </c>
      <c r="F1634" t="str">
        <f>IFERROR(__xludf.DUMMYFUNCTION("""COMPUTED_VALUE"""),"NA")</f>
        <v>NA</v>
      </c>
      <c r="G1634" t="str">
        <f>IFERROR(__xludf.DUMMYFUNCTION("""COMPUTED_VALUE"""),"UCF 34 at Tulane 31")</f>
        <v>UCF 34 at Tulane 31</v>
      </c>
      <c r="H1634" t="str">
        <f>IFERROR(__xludf.DUMMYFUNCTION("""COMPUTED_VALUE"""),"FINAL")</f>
        <v>FINAL</v>
      </c>
      <c r="I1634">
        <f>IFERROR(__xludf.DUMMYFUNCTION("""COMPUTED_VALUE"""),-6.0)</f>
        <v>-6</v>
      </c>
      <c r="J1634" t="str">
        <f>IFERROR(__xludf.DUMMYFUNCTION("""COMPUTED_VALUE"""),"69½")</f>
        <v>69½</v>
      </c>
      <c r="K1634" t="str">
        <f>IFERROR(__xludf.DUMMYFUNCTION("""COMPUTED_VALUE"""),"Gary")</f>
        <v>Gary</v>
      </c>
      <c r="L1634" t="str">
        <f>IFERROR(__xludf.DUMMYFUNCTION("""COMPUTED_VALUE"""),"FINAL")</f>
        <v>FINAL</v>
      </c>
      <c r="M1634" s="124">
        <v>13.0</v>
      </c>
    </row>
    <row r="1635">
      <c r="A1635" s="151">
        <f>IFERROR(__xludf.DUMMYFUNCTION("""COMPUTED_VALUE"""),43793.14774797454)</f>
        <v>43793.14775</v>
      </c>
      <c r="B1635" t="str">
        <f>IFERROR(__xludf.DUMMYFUNCTION("""COMPUTED_VALUE"""),"Adam")</f>
        <v>Adam</v>
      </c>
      <c r="C1635" s="169" t="str">
        <f>IFERROR(__xludf.DUMMYFUNCTION("""COMPUTED_VALUE"""),"Georgia State")</f>
        <v>Georgia State</v>
      </c>
      <c r="D1635">
        <f>IFERROR(__xludf.DUMMYFUNCTION("""COMPUTED_VALUE"""),7.0)</f>
        <v>7</v>
      </c>
      <c r="E1635">
        <f>IFERROR(__xludf.DUMMYFUNCTION("""COMPUTED_VALUE"""),4.0)</f>
        <v>4</v>
      </c>
      <c r="F1635" t="str">
        <f>IFERROR(__xludf.DUMMYFUNCTION("""COMPUTED_VALUE"""),"ESPNU")</f>
        <v>ESPNU</v>
      </c>
      <c r="G1635" t="str">
        <f>IFERROR(__xludf.DUMMYFUNCTION("""COMPUTED_VALUE"""),"South Alabama 15 at Georgia State 28")</f>
        <v>South Alabama 15 at Georgia State 28</v>
      </c>
      <c r="H1635" t="str">
        <f>IFERROR(__xludf.DUMMYFUNCTION("""COMPUTED_VALUE"""),"FINAL")</f>
        <v>FINAL</v>
      </c>
      <c r="I1635" t="str">
        <f>IFERROR(__xludf.DUMMYFUNCTION("""COMPUTED_VALUE"""),"-10½")</f>
        <v>-10½</v>
      </c>
      <c r="J1635" t="str">
        <f>IFERROR(__xludf.DUMMYFUNCTION("""COMPUTED_VALUE"""),"56½")</f>
        <v>56½</v>
      </c>
      <c r="K1635" t="str">
        <f>IFERROR(__xludf.DUMMYFUNCTION("""COMPUTED_VALUE"""),"Vu")</f>
        <v>Vu</v>
      </c>
      <c r="L1635" t="str">
        <f>IFERROR(__xludf.DUMMYFUNCTION("""COMPUTED_VALUE"""),"FINAL")</f>
        <v>FINAL</v>
      </c>
      <c r="M1635" s="124">
        <v>13.0</v>
      </c>
    </row>
    <row r="1636">
      <c r="A1636" s="151">
        <f>IFERROR(__xludf.DUMMYFUNCTION("""COMPUTED_VALUE"""),43793.14774797454)</f>
        <v>43793.14775</v>
      </c>
      <c r="B1636" t="str">
        <f>IFERROR(__xludf.DUMMYFUNCTION("""COMPUTED_VALUE"""),"Adam")</f>
        <v>Adam</v>
      </c>
      <c r="C1636" s="169" t="str">
        <f>IFERROR(__xludf.DUMMYFUNCTION("""COMPUTED_VALUE"""),"Air Force")</f>
        <v>Air Force</v>
      </c>
      <c r="D1636">
        <f>IFERROR(__xludf.DUMMYFUNCTION("""COMPUTED_VALUE"""),9.0)</f>
        <v>9</v>
      </c>
      <c r="E1636">
        <f>IFERROR(__xludf.DUMMYFUNCTION("""COMPUTED_VALUE"""),2.0)</f>
        <v>2</v>
      </c>
      <c r="F1636" t="str">
        <f>IFERROR(__xludf.DUMMYFUNCTION("""COMPUTED_VALUE"""),"ESPN2")</f>
        <v>ESPN2</v>
      </c>
      <c r="G1636" t="str">
        <f>IFERROR(__xludf.DUMMYFUNCTION("""COMPUTED_VALUE"""),"Air Force 44 at New Mexico 22")</f>
        <v>Air Force 44 at New Mexico 22</v>
      </c>
      <c r="H1636" t="str">
        <f>IFERROR(__xludf.DUMMYFUNCTION("""COMPUTED_VALUE"""),"FINAL")</f>
        <v>FINAL</v>
      </c>
      <c r="I1636">
        <f>IFERROR(__xludf.DUMMYFUNCTION("""COMPUTED_VALUE"""),-22.0)</f>
        <v>-22</v>
      </c>
      <c r="J1636">
        <f>IFERROR(__xludf.DUMMYFUNCTION("""COMPUTED_VALUE"""),58.0)</f>
        <v>58</v>
      </c>
      <c r="K1636" t="str">
        <f>IFERROR(__xludf.DUMMYFUNCTION("""COMPUTED_VALUE"""),"Nico")</f>
        <v>Nico</v>
      </c>
      <c r="L1636" t="str">
        <f>IFERROR(__xludf.DUMMYFUNCTION("""COMPUTED_VALUE"""),"FINAL")</f>
        <v>FINAL</v>
      </c>
      <c r="M1636" s="124">
        <v>13.0</v>
      </c>
    </row>
    <row r="1637">
      <c r="A1637" s="151">
        <f>IFERROR(__xludf.DUMMYFUNCTION("""COMPUTED_VALUE"""),43793.14774797454)</f>
        <v>43793.14775</v>
      </c>
      <c r="B1637" t="str">
        <f>IFERROR(__xludf.DUMMYFUNCTION("""COMPUTED_VALUE"""),"Adam")</f>
        <v>Adam</v>
      </c>
      <c r="C1637" s="169" t="str">
        <f>IFERROR(__xludf.DUMMYFUNCTION("""COMPUTED_VALUE"""),"Texas")</f>
        <v>Texas</v>
      </c>
      <c r="D1637">
        <f>IFERROR(__xludf.DUMMYFUNCTION("""COMPUTED_VALUE"""),6.0)</f>
        <v>6</v>
      </c>
      <c r="E1637">
        <f>IFERROR(__xludf.DUMMYFUNCTION("""COMPUTED_VALUE"""),5.0)</f>
        <v>5</v>
      </c>
      <c r="F1637" t="str">
        <f>IFERROR(__xludf.DUMMYFUNCTION("""COMPUTED_VALUE"""),"FS1")</f>
        <v>FS1</v>
      </c>
      <c r="G1637" t="str">
        <f>IFERROR(__xludf.DUMMYFUNCTION("""COMPUTED_VALUE"""),"Texas 10 at (13) Baylor 24")</f>
        <v>Texas 10 at (13) Baylor 24</v>
      </c>
      <c r="H1637" t="str">
        <f>IFERROR(__xludf.DUMMYFUNCTION("""COMPUTED_VALUE"""),"FINAL")</f>
        <v>FINAL</v>
      </c>
      <c r="I1637">
        <f>IFERROR(__xludf.DUMMYFUNCTION("""COMPUTED_VALUE"""),6.0)</f>
        <v>6</v>
      </c>
      <c r="J1637" t="str">
        <f>IFERROR(__xludf.DUMMYFUNCTION("""COMPUTED_VALUE"""),"59½")</f>
        <v>59½</v>
      </c>
      <c r="K1637" t="str">
        <f>IFERROR(__xludf.DUMMYFUNCTION("""COMPUTED_VALUE"""),"Justin")</f>
        <v>Justin</v>
      </c>
      <c r="L1637" t="str">
        <f>IFERROR(__xludf.DUMMYFUNCTION("""COMPUTED_VALUE"""),"FINAL")</f>
        <v>FINAL</v>
      </c>
      <c r="M1637" s="124">
        <v>13.0</v>
      </c>
    </row>
    <row r="1638">
      <c r="A1638" s="151">
        <f>IFERROR(__xludf.DUMMYFUNCTION("""COMPUTED_VALUE"""),43793.14774797454)</f>
        <v>43793.14775</v>
      </c>
      <c r="B1638" t="str">
        <f>IFERROR(__xludf.DUMMYFUNCTION("""COMPUTED_VALUE"""),"Adam")</f>
        <v>Adam</v>
      </c>
      <c r="C1638" s="169" t="str">
        <f>IFERROR(__xludf.DUMMYFUNCTION("""COMPUTED_VALUE"""),"Florida Intl")</f>
        <v>Florida Intl</v>
      </c>
      <c r="D1638">
        <f>IFERROR(__xludf.DUMMYFUNCTION("""COMPUTED_VALUE"""),6.0)</f>
        <v>6</v>
      </c>
      <c r="E1638">
        <f>IFERROR(__xludf.DUMMYFUNCTION("""COMPUTED_VALUE"""),5.0)</f>
        <v>5</v>
      </c>
      <c r="F1638" t="str">
        <f>IFERROR(__xludf.DUMMYFUNCTION("""COMPUTED_VALUE"""),"NA")</f>
        <v>NA</v>
      </c>
      <c r="G1638" t="str">
        <f>IFERROR(__xludf.DUMMYFUNCTION("""COMPUTED_VALUE"""),"Miami 24 at Florida Intl 30")</f>
        <v>Miami 24 at Florida Intl 30</v>
      </c>
      <c r="H1638" t="str">
        <f>IFERROR(__xludf.DUMMYFUNCTION("""COMPUTED_VALUE"""),"FINAL")</f>
        <v>FINAL</v>
      </c>
      <c r="I1638" t="str">
        <f>IFERROR(__xludf.DUMMYFUNCTION("""COMPUTED_VALUE"""),"18½")</f>
        <v>18½</v>
      </c>
      <c r="J1638">
        <f>IFERROR(__xludf.DUMMYFUNCTION("""COMPUTED_VALUE"""),49.0)</f>
        <v>49</v>
      </c>
      <c r="K1638" t="str">
        <f>IFERROR(__xludf.DUMMYFUNCTION("""COMPUTED_VALUE"""),"Brad")</f>
        <v>Brad</v>
      </c>
      <c r="L1638" t="str">
        <f>IFERROR(__xludf.DUMMYFUNCTION("""COMPUTED_VALUE"""),"FINAL")</f>
        <v>FINAL</v>
      </c>
      <c r="M1638" s="124">
        <v>13.0</v>
      </c>
    </row>
    <row r="1639">
      <c r="A1639" s="151">
        <f>IFERROR(__xludf.DUMMYFUNCTION("""COMPUTED_VALUE"""),43793.14774797454)</f>
        <v>43793.14775</v>
      </c>
      <c r="B1639" t="str">
        <f>IFERROR(__xludf.DUMMYFUNCTION("""COMPUTED_VALUE"""),"Adam")</f>
        <v>Adam</v>
      </c>
      <c r="C1639" s="169" t="str">
        <f>IFERROR(__xludf.DUMMYFUNCTION("""COMPUTED_VALUE"""),"Wake Forest")</f>
        <v>Wake Forest</v>
      </c>
      <c r="D1639">
        <f>IFERROR(__xludf.DUMMYFUNCTION("""COMPUTED_VALUE"""),8.0)</f>
        <v>8</v>
      </c>
      <c r="E1639">
        <f>IFERROR(__xludf.DUMMYFUNCTION("""COMPUTED_VALUE"""),3.0)</f>
        <v>3</v>
      </c>
      <c r="F1639" t="str">
        <f>IFERROR(__xludf.DUMMYFUNCTION("""COMPUTED_VALUE"""),"ABC")</f>
        <v>ABC</v>
      </c>
      <c r="G1639" t="str">
        <f>IFERROR(__xludf.DUMMYFUNCTION("""COMPUTED_VALUE"""),"Duke 27 at Wake Forest 39")</f>
        <v>Duke 27 at Wake Forest 39</v>
      </c>
      <c r="H1639" t="str">
        <f>IFERROR(__xludf.DUMMYFUNCTION("""COMPUTED_VALUE"""),"FINAL")</f>
        <v>FINAL</v>
      </c>
      <c r="I1639" t="str">
        <f>IFERROR(__xludf.DUMMYFUNCTION("""COMPUTED_VALUE"""),"-6½")</f>
        <v>-6½</v>
      </c>
      <c r="J1639" t="str">
        <f>IFERROR(__xludf.DUMMYFUNCTION("""COMPUTED_VALUE"""),"53½")</f>
        <v>53½</v>
      </c>
      <c r="K1639" t="str">
        <f>IFERROR(__xludf.DUMMYFUNCTION("""COMPUTED_VALUE"""),"Justin")</f>
        <v>Justin</v>
      </c>
      <c r="L1639" t="str">
        <f>IFERROR(__xludf.DUMMYFUNCTION("""COMPUTED_VALUE"""),"FINAL")</f>
        <v>FINAL</v>
      </c>
      <c r="M1639" s="124">
        <v>13.0</v>
      </c>
    </row>
    <row r="1640">
      <c r="A1640" s="151">
        <f>IFERROR(__xludf.DUMMYFUNCTION("""COMPUTED_VALUE"""),43793.14774797454)</f>
        <v>43793.14775</v>
      </c>
      <c r="B1640" t="str">
        <f>IFERROR(__xludf.DUMMYFUNCTION("""COMPUTED_VALUE"""),"Adam")</f>
        <v>Adam</v>
      </c>
      <c r="C1640" s="169" t="str">
        <f>IFERROR(__xludf.DUMMYFUNCTION("""COMPUTED_VALUE"""),"Oregon State")</f>
        <v>Oregon State</v>
      </c>
      <c r="D1640">
        <f>IFERROR(__xludf.DUMMYFUNCTION("""COMPUTED_VALUE"""),5.0)</f>
        <v>5</v>
      </c>
      <c r="E1640">
        <f>IFERROR(__xludf.DUMMYFUNCTION("""COMPUTED_VALUE"""),6.0)</f>
        <v>6</v>
      </c>
      <c r="F1640" t="str">
        <f>IFERROR(__xludf.DUMMYFUNCTION("""COMPUTED_VALUE"""),"FS1")</f>
        <v>FS1</v>
      </c>
      <c r="G1640" t="str">
        <f>IFERROR(__xludf.DUMMYFUNCTION("""COMPUTED_VALUE"""),"Oregon State 53 at Washington State 54")</f>
        <v>Oregon State 53 at Washington State 54</v>
      </c>
      <c r="H1640" t="str">
        <f>IFERROR(__xludf.DUMMYFUNCTION("""COMPUTED_VALUE"""),"FINAL")</f>
        <v>FINAL</v>
      </c>
      <c r="I1640" t="str">
        <f>IFERROR(__xludf.DUMMYFUNCTION("""COMPUTED_VALUE"""),"10½")</f>
        <v>10½</v>
      </c>
      <c r="J1640">
        <f>IFERROR(__xludf.DUMMYFUNCTION("""COMPUTED_VALUE"""),75.0)</f>
        <v>75</v>
      </c>
      <c r="K1640" t="str">
        <f>IFERROR(__xludf.DUMMYFUNCTION("""COMPUTED_VALUE"""),"Nick A.")</f>
        <v>Nick A.</v>
      </c>
      <c r="L1640" t="str">
        <f>IFERROR(__xludf.DUMMYFUNCTION("""COMPUTED_VALUE"""),"FINAL")</f>
        <v>FINAL</v>
      </c>
      <c r="M1640" s="124">
        <v>13.0</v>
      </c>
    </row>
    <row r="1641">
      <c r="A1641" s="151">
        <f>IFERROR(__xludf.DUMMYFUNCTION("""COMPUTED_VALUE"""),43793.14774797454)</f>
        <v>43793.14775</v>
      </c>
      <c r="B1641" t="str">
        <f>IFERROR(__xludf.DUMMYFUNCTION("""COMPUTED_VALUE"""),"Adam")</f>
        <v>Adam</v>
      </c>
      <c r="C1641" s="169" t="str">
        <f>IFERROR(__xludf.DUMMYFUNCTION("""COMPUTED_VALUE"""),"Florida")</f>
        <v>Florida</v>
      </c>
      <c r="D1641">
        <f>IFERROR(__xludf.DUMMYFUNCTION("""COMPUTED_VALUE"""),9.0)</f>
        <v>9</v>
      </c>
      <c r="E1641">
        <f>IFERROR(__xludf.DUMMYFUNCTION("""COMPUTED_VALUE"""),2.0)</f>
        <v>2</v>
      </c>
      <c r="F1641" t="str">
        <f>IFERROR(__xludf.DUMMYFUNCTION("""COMPUTED_VALUE"""),"CBS")</f>
        <v>CBS</v>
      </c>
      <c r="G1641" t="str">
        <f>IFERROR(__xludf.DUMMYFUNCTION("""COMPUTED_VALUE"""),"BYE")</f>
        <v>BYE</v>
      </c>
      <c r="I1641" t="str">
        <f>IFERROR(__xludf.DUMMYFUNCTION("""COMPUTED_VALUE"""),"bye")</f>
        <v>bye</v>
      </c>
      <c r="J1641" t="str">
        <f>IFERROR(__xludf.DUMMYFUNCTION("""COMPUTED_VALUE"""),"bye")</f>
        <v>bye</v>
      </c>
      <c r="L1641">
        <f>IFERROR(__xludf.DUMMYFUNCTION("""COMPUTED_VALUE"""),9999.0)</f>
        <v>9999</v>
      </c>
      <c r="M1641" s="124">
        <v>13.0</v>
      </c>
    </row>
    <row r="1642">
      <c r="A1642" s="151">
        <f>IFERROR(__xludf.DUMMYFUNCTION("""COMPUTED_VALUE"""),43793.14774797454)</f>
        <v>43793.14775</v>
      </c>
      <c r="B1642" t="str">
        <f>IFERROR(__xludf.DUMMYFUNCTION("""COMPUTED_VALUE"""),"Vu")</f>
        <v>Vu</v>
      </c>
      <c r="C1642" s="169" t="str">
        <f>IFERROR(__xludf.DUMMYFUNCTION("""COMPUTED_VALUE"""),"Kent State")</f>
        <v>Kent State</v>
      </c>
      <c r="D1642">
        <f>IFERROR(__xludf.DUMMYFUNCTION("""COMPUTED_VALUE"""),5.0)</f>
        <v>5</v>
      </c>
      <c r="E1642">
        <f>IFERROR(__xludf.DUMMYFUNCTION("""COMPUTED_VALUE"""),6.0)</f>
        <v>6</v>
      </c>
      <c r="F1642" t="str">
        <f>IFERROR(__xludf.DUMMYFUNCTION("""COMPUTED_VALUE"""),"CBSSN")</f>
        <v>CBSSN</v>
      </c>
      <c r="G1642" t="str">
        <f>IFERROR(__xludf.DUMMYFUNCTION("""COMPUTED_VALUE"""),"Ball State 38 at Kent State 41")</f>
        <v>Ball State 38 at Kent State 41</v>
      </c>
      <c r="H1642" t="str">
        <f>IFERROR(__xludf.DUMMYFUNCTION("""COMPUTED_VALUE"""),"FINAL")</f>
        <v>FINAL</v>
      </c>
      <c r="I1642" t="str">
        <f>IFERROR(__xludf.DUMMYFUNCTION("""COMPUTED_VALUE"""),"3½")</f>
        <v>3½</v>
      </c>
      <c r="J1642" t="str">
        <f>IFERROR(__xludf.DUMMYFUNCTION("""COMPUTED_VALUE"""),"64½")</f>
        <v>64½</v>
      </c>
      <c r="K1642" t="str">
        <f>IFERROR(__xludf.DUMMYFUNCTION("""COMPUTED_VALUE"""),"DavEmily")</f>
        <v>DavEmily</v>
      </c>
      <c r="L1642" t="str">
        <f>IFERROR(__xludf.DUMMYFUNCTION("""COMPUTED_VALUE"""),"FINAL")</f>
        <v>FINAL</v>
      </c>
      <c r="M1642" s="124">
        <v>13.0</v>
      </c>
    </row>
    <row r="1643">
      <c r="A1643" s="151">
        <f>IFERROR(__xludf.DUMMYFUNCTION("""COMPUTED_VALUE"""),43793.14774797454)</f>
        <v>43793.14775</v>
      </c>
      <c r="B1643" t="str">
        <f>IFERROR(__xludf.DUMMYFUNCTION("""COMPUTED_VALUE"""),"Vu")</f>
        <v>Vu</v>
      </c>
      <c r="C1643" s="169" t="str">
        <f>IFERROR(__xludf.DUMMYFUNCTION("""COMPUTED_VALUE"""),"South Alabama")</f>
        <v>South Alabama</v>
      </c>
      <c r="D1643">
        <f>IFERROR(__xludf.DUMMYFUNCTION("""COMPUTED_VALUE"""),1.0)</f>
        <v>1</v>
      </c>
      <c r="E1643">
        <f>IFERROR(__xludf.DUMMYFUNCTION("""COMPUTED_VALUE"""),10.0)</f>
        <v>10</v>
      </c>
      <c r="F1643" t="str">
        <f>IFERROR(__xludf.DUMMYFUNCTION("""COMPUTED_VALUE"""),"espn+ Video")</f>
        <v>espn+ Video</v>
      </c>
      <c r="G1643" t="str">
        <f>IFERROR(__xludf.DUMMYFUNCTION("""COMPUTED_VALUE"""),"South Alabama 15 at Georgia State 28")</f>
        <v>South Alabama 15 at Georgia State 28</v>
      </c>
      <c r="H1643" t="str">
        <f>IFERROR(__xludf.DUMMYFUNCTION("""COMPUTED_VALUE"""),"FINAL")</f>
        <v>FINAL</v>
      </c>
      <c r="I1643" t="str">
        <f>IFERROR(__xludf.DUMMYFUNCTION("""COMPUTED_VALUE"""),"10½")</f>
        <v>10½</v>
      </c>
      <c r="J1643" t="str">
        <f>IFERROR(__xludf.DUMMYFUNCTION("""COMPUTED_VALUE"""),"56½")</f>
        <v>56½</v>
      </c>
      <c r="K1643" t="str">
        <f>IFERROR(__xludf.DUMMYFUNCTION("""COMPUTED_VALUE"""),"Adam")</f>
        <v>Adam</v>
      </c>
      <c r="L1643" t="str">
        <f>IFERROR(__xludf.DUMMYFUNCTION("""COMPUTED_VALUE"""),"FINAL")</f>
        <v>FINAL</v>
      </c>
      <c r="M1643" s="124">
        <v>13.0</v>
      </c>
    </row>
    <row r="1644">
      <c r="A1644" s="151">
        <f>IFERROR(__xludf.DUMMYFUNCTION("""COMPUTED_VALUE"""),43793.14774797454)</f>
        <v>43793.14775</v>
      </c>
      <c r="B1644" t="str">
        <f>IFERROR(__xludf.DUMMYFUNCTION("""COMPUTED_VALUE"""),"Vu")</f>
        <v>Vu</v>
      </c>
      <c r="C1644" s="169" t="str">
        <f>IFERROR(__xludf.DUMMYFUNCTION("""COMPUTED_VALUE"""),"Texas A&amp;M")</f>
        <v>Texas A&amp;M</v>
      </c>
      <c r="D1644">
        <f>IFERROR(__xludf.DUMMYFUNCTION("""COMPUTED_VALUE"""),7.0)</f>
        <v>7</v>
      </c>
      <c r="E1644">
        <f>IFERROR(__xludf.DUMMYFUNCTION("""COMPUTED_VALUE"""),4.0)</f>
        <v>4</v>
      </c>
      <c r="F1644" t="str">
        <f>IFERROR(__xludf.DUMMYFUNCTION("""COMPUTED_VALUE"""),"SEC Network")</f>
        <v>SEC Network</v>
      </c>
      <c r="G1644" t="str">
        <f>IFERROR(__xludf.DUMMYFUNCTION("""COMPUTED_VALUE"""),"(24) Texas A&amp;M 13 at (4) Georgia 19")</f>
        <v>(24) Texas A&amp;M 13 at (4) Georgia 19</v>
      </c>
      <c r="H1644" t="str">
        <f>IFERROR(__xludf.DUMMYFUNCTION("""COMPUTED_VALUE"""),"FINAL")</f>
        <v>FINAL</v>
      </c>
      <c r="I1644" t="str">
        <f>IFERROR(__xludf.DUMMYFUNCTION("""COMPUTED_VALUE"""),"13½")</f>
        <v>13½</v>
      </c>
      <c r="J1644" t="str">
        <f>IFERROR(__xludf.DUMMYFUNCTION("""COMPUTED_VALUE"""),"45½")</f>
        <v>45½</v>
      </c>
      <c r="K1644" t="str">
        <f>IFERROR(__xludf.DUMMYFUNCTION("""COMPUTED_VALUE"""),"Nico")</f>
        <v>Nico</v>
      </c>
      <c r="L1644" t="str">
        <f>IFERROR(__xludf.DUMMYFUNCTION("""COMPUTED_VALUE"""),"FINAL")</f>
        <v>FINAL</v>
      </c>
      <c r="M1644" s="124">
        <v>13.0</v>
      </c>
    </row>
    <row r="1645">
      <c r="A1645" s="151">
        <f>IFERROR(__xludf.DUMMYFUNCTION("""COMPUTED_VALUE"""),43793.14774797454)</f>
        <v>43793.14775</v>
      </c>
      <c r="B1645" t="str">
        <f>IFERROR(__xludf.DUMMYFUNCTION("""COMPUTED_VALUE"""),"Vu")</f>
        <v>Vu</v>
      </c>
      <c r="C1645" s="169" t="str">
        <f>IFERROR(__xludf.DUMMYFUNCTION("""COMPUTED_VALUE"""),"Michigan")</f>
        <v>Michigan</v>
      </c>
      <c r="D1645">
        <f>IFERROR(__xludf.DUMMYFUNCTION("""COMPUTED_VALUE"""),9.0)</f>
        <v>9</v>
      </c>
      <c r="E1645">
        <f>IFERROR(__xludf.DUMMYFUNCTION("""COMPUTED_VALUE"""),2.0)</f>
        <v>2</v>
      </c>
      <c r="F1645" t="str">
        <f>IFERROR(__xludf.DUMMYFUNCTION("""COMPUTED_VALUE"""),"FOX")</f>
        <v>FOX</v>
      </c>
      <c r="G1645" t="str">
        <f>IFERROR(__xludf.DUMMYFUNCTION("""COMPUTED_VALUE"""),"(12) Michigan 39 at Indiana 14")</f>
        <v>(12) Michigan 39 at Indiana 14</v>
      </c>
      <c r="H1645" t="str">
        <f>IFERROR(__xludf.DUMMYFUNCTION("""COMPUTED_VALUE"""),"FINAL")</f>
        <v>FINAL</v>
      </c>
      <c r="I1645" t="str">
        <f>IFERROR(__xludf.DUMMYFUNCTION("""COMPUTED_VALUE"""),"-8½")</f>
        <v>-8½</v>
      </c>
      <c r="J1645">
        <f>IFERROR(__xludf.DUMMYFUNCTION("""COMPUTED_VALUE"""),52.0)</f>
        <v>52</v>
      </c>
      <c r="K1645" t="str">
        <f>IFERROR(__xludf.DUMMYFUNCTION("""COMPUTED_VALUE"""),"Brad")</f>
        <v>Brad</v>
      </c>
      <c r="L1645" t="str">
        <f>IFERROR(__xludf.DUMMYFUNCTION("""COMPUTED_VALUE"""),"FINAL")</f>
        <v>FINAL</v>
      </c>
      <c r="M1645" s="124">
        <v>13.0</v>
      </c>
    </row>
    <row r="1646">
      <c r="A1646" s="151">
        <f>IFERROR(__xludf.DUMMYFUNCTION("""COMPUTED_VALUE"""),43793.14774797454)</f>
        <v>43793.14775</v>
      </c>
      <c r="B1646" t="str">
        <f>IFERROR(__xludf.DUMMYFUNCTION("""COMPUTED_VALUE"""),"Vu")</f>
        <v>Vu</v>
      </c>
      <c r="C1646" s="169" t="str">
        <f>IFERROR(__xludf.DUMMYFUNCTION("""COMPUTED_VALUE"""),"North Texas")</f>
        <v>North Texas</v>
      </c>
      <c r="D1646">
        <f>IFERROR(__xludf.DUMMYFUNCTION("""COMPUTED_VALUE"""),4.0)</f>
        <v>4</v>
      </c>
      <c r="E1646">
        <f>IFERROR(__xludf.DUMMYFUNCTION("""COMPUTED_VALUE"""),7.0)</f>
        <v>7</v>
      </c>
      <c r="F1646" t="str">
        <f>IFERROR(__xludf.DUMMYFUNCTION("""COMPUTED_VALUE"""),"NA")</f>
        <v>NA</v>
      </c>
      <c r="G1646" t="str">
        <f>IFERROR(__xludf.DUMMYFUNCTION("""COMPUTED_VALUE"""),"North Texas 14 at Rice 20")</f>
        <v>North Texas 14 at Rice 20</v>
      </c>
      <c r="H1646" t="str">
        <f>IFERROR(__xludf.DUMMYFUNCTION("""COMPUTED_VALUE"""),"FINAL")</f>
        <v>FINAL</v>
      </c>
      <c r="I1646" t="str">
        <f>IFERROR(__xludf.DUMMYFUNCTION("""COMPUTED_VALUE"""),"-6½")</f>
        <v>-6½</v>
      </c>
      <c r="J1646">
        <f>IFERROR(__xludf.DUMMYFUNCTION("""COMPUTED_VALUE"""),57.0)</f>
        <v>57</v>
      </c>
      <c r="K1646" t="str">
        <f>IFERROR(__xludf.DUMMYFUNCTION("""COMPUTED_VALUE"""),"Undrafted")</f>
        <v>Undrafted</v>
      </c>
      <c r="L1646" t="str">
        <f>IFERROR(__xludf.DUMMYFUNCTION("""COMPUTED_VALUE"""),"FINAL")</f>
        <v>FINAL</v>
      </c>
      <c r="M1646" s="124">
        <v>13.0</v>
      </c>
    </row>
    <row r="1647">
      <c r="A1647" s="151">
        <f>IFERROR(__xludf.DUMMYFUNCTION("""COMPUTED_VALUE"""),43793.14774797454)</f>
        <v>43793.14775</v>
      </c>
      <c r="B1647" t="str">
        <f>IFERROR(__xludf.DUMMYFUNCTION("""COMPUTED_VALUE"""),"Vu")</f>
        <v>Vu</v>
      </c>
      <c r="C1647" s="169" t="str">
        <f>IFERROR(__xludf.DUMMYFUNCTION("""COMPUTED_VALUE"""),"Syracuse")</f>
        <v>Syracuse</v>
      </c>
      <c r="D1647">
        <f>IFERROR(__xludf.DUMMYFUNCTION("""COMPUTED_VALUE"""),4.0)</f>
        <v>4</v>
      </c>
      <c r="E1647">
        <f>IFERROR(__xludf.DUMMYFUNCTION("""COMPUTED_VALUE"""),7.0)</f>
        <v>7</v>
      </c>
      <c r="F1647" t="str">
        <f>IFERROR(__xludf.DUMMYFUNCTION("""COMPUTED_VALUE"""),"ACC Network")</f>
        <v>ACC Network</v>
      </c>
      <c r="G1647" t="str">
        <f>IFERROR(__xludf.DUMMYFUNCTION("""COMPUTED_VALUE"""),"Syracuse 34 at Louisville 56")</f>
        <v>Syracuse 34 at Louisville 56</v>
      </c>
      <c r="H1647" t="str">
        <f>IFERROR(__xludf.DUMMYFUNCTION("""COMPUTED_VALUE"""),"FINAL")</f>
        <v>FINAL</v>
      </c>
      <c r="I1647">
        <f>IFERROR(__xludf.DUMMYFUNCTION("""COMPUTED_VALUE"""),10.0)</f>
        <v>10</v>
      </c>
      <c r="J1647">
        <f>IFERROR(__xludf.DUMMYFUNCTION("""COMPUTED_VALUE"""),62.0)</f>
        <v>62</v>
      </c>
      <c r="K1647" t="str">
        <f>IFERROR(__xludf.DUMMYFUNCTION("""COMPUTED_VALUE"""),"Undrafted")</f>
        <v>Undrafted</v>
      </c>
      <c r="L1647" t="str">
        <f>IFERROR(__xludf.DUMMYFUNCTION("""COMPUTED_VALUE"""),"FINAL")</f>
        <v>FINAL</v>
      </c>
      <c r="M1647" s="124">
        <v>13.0</v>
      </c>
    </row>
    <row r="1648">
      <c r="A1648" s="151">
        <f>IFERROR(__xludf.DUMMYFUNCTION("""COMPUTED_VALUE"""),43793.14774797454)</f>
        <v>43793.14775</v>
      </c>
      <c r="B1648" t="str">
        <f>IFERROR(__xludf.DUMMYFUNCTION("""COMPUTED_VALUE"""),"Vu")</f>
        <v>Vu</v>
      </c>
      <c r="C1648" s="169" t="str">
        <f>IFERROR(__xludf.DUMMYFUNCTION("""COMPUTED_VALUE"""),"Cincinnati")</f>
        <v>Cincinnati</v>
      </c>
      <c r="D1648">
        <f>IFERROR(__xludf.DUMMYFUNCTION("""COMPUTED_VALUE"""),10.0)</f>
        <v>10</v>
      </c>
      <c r="E1648">
        <f>IFERROR(__xludf.DUMMYFUNCTION("""COMPUTED_VALUE"""),1.0)</f>
        <v>1</v>
      </c>
      <c r="F1648" t="str">
        <f>IFERROR(__xludf.DUMMYFUNCTION("""COMPUTED_VALUE"""),"CBSSN")</f>
        <v>CBSSN</v>
      </c>
      <c r="G1648" t="str">
        <f>IFERROR(__xludf.DUMMYFUNCTION("""COMPUTED_VALUE"""),"Temple 13 at (17) Cincinnati 15")</f>
        <v>Temple 13 at (17) Cincinnati 15</v>
      </c>
      <c r="H1648" t="str">
        <f>IFERROR(__xludf.DUMMYFUNCTION("""COMPUTED_VALUE"""),"FINAL")</f>
        <v>FINAL</v>
      </c>
      <c r="I1648" t="str">
        <f>IFERROR(__xludf.DUMMYFUNCTION("""COMPUTED_VALUE"""),"-10½")</f>
        <v>-10½</v>
      </c>
      <c r="J1648" t="str">
        <f>IFERROR(__xludf.DUMMYFUNCTION("""COMPUTED_VALUE"""),"46½")</f>
        <v>46½</v>
      </c>
      <c r="K1648" t="str">
        <f>IFERROR(__xludf.DUMMYFUNCTION("""COMPUTED_VALUE"""),"Josh R.")</f>
        <v>Josh R.</v>
      </c>
      <c r="L1648" t="str">
        <f>IFERROR(__xludf.DUMMYFUNCTION("""COMPUTED_VALUE"""),"FINAL")</f>
        <v>FINAL</v>
      </c>
      <c r="M1648" s="124">
        <v>13.0</v>
      </c>
    </row>
    <row r="1649">
      <c r="A1649" s="151">
        <f>IFERROR(__xludf.DUMMYFUNCTION("""COMPUTED_VALUE"""),43793.14774797454)</f>
        <v>43793.14775</v>
      </c>
      <c r="B1649" t="str">
        <f>IFERROR(__xludf.DUMMYFUNCTION("""COMPUTED_VALUE"""),"Vu")</f>
        <v>Vu</v>
      </c>
      <c r="C1649" s="169" t="str">
        <f>IFERROR(__xludf.DUMMYFUNCTION("""COMPUTED_VALUE"""),"TCU")</f>
        <v>TCU</v>
      </c>
      <c r="D1649">
        <f>IFERROR(__xludf.DUMMYFUNCTION("""COMPUTED_VALUE"""),5.0)</f>
        <v>5</v>
      </c>
      <c r="E1649">
        <f>IFERROR(__xludf.DUMMYFUNCTION("""COMPUTED_VALUE"""),6.0)</f>
        <v>6</v>
      </c>
      <c r="F1649" t="str">
        <f>IFERROR(__xludf.DUMMYFUNCTION("""COMPUTED_VALUE"""),"ESPN2")</f>
        <v>ESPN2</v>
      </c>
      <c r="G1649" t="str">
        <f>IFERROR(__xludf.DUMMYFUNCTION("""COMPUTED_VALUE"""),"TCU 24 at (7) Oklahoma 28")</f>
        <v>TCU 24 at (7) Oklahoma 28</v>
      </c>
      <c r="H1649" t="str">
        <f>IFERROR(__xludf.DUMMYFUNCTION("""COMPUTED_VALUE"""),"FINAL")</f>
        <v>FINAL</v>
      </c>
      <c r="I1649" t="str">
        <f>IFERROR(__xludf.DUMMYFUNCTION("""COMPUTED_VALUE"""),"17½")</f>
        <v>17½</v>
      </c>
      <c r="J1649">
        <f>IFERROR(__xludf.DUMMYFUNCTION("""COMPUTED_VALUE"""),65.0)</f>
        <v>65</v>
      </c>
      <c r="K1649" t="str">
        <f>IFERROR(__xludf.DUMMYFUNCTION("""COMPUTED_VALUE"""),"Jeannine")</f>
        <v>Jeannine</v>
      </c>
      <c r="L1649" t="str">
        <f>IFERROR(__xludf.DUMMYFUNCTION("""COMPUTED_VALUE"""),"FINAL")</f>
        <v>FINAL</v>
      </c>
      <c r="M1649" s="124">
        <v>13.0</v>
      </c>
    </row>
    <row r="1650">
      <c r="A1650" s="151">
        <f>IFERROR(__xludf.DUMMYFUNCTION("""COMPUTED_VALUE"""),43793.14774797454)</f>
        <v>43793.14775</v>
      </c>
      <c r="B1650" t="str">
        <f>IFERROR(__xludf.DUMMYFUNCTION("""COMPUTED_VALUE"""),"Vu")</f>
        <v>Vu</v>
      </c>
      <c r="C1650" s="169" t="str">
        <f>IFERROR(__xludf.DUMMYFUNCTION("""COMPUTED_VALUE"""),"Washington")</f>
        <v>Washington</v>
      </c>
      <c r="D1650">
        <f>IFERROR(__xludf.DUMMYFUNCTION("""COMPUTED_VALUE"""),6.0)</f>
        <v>6</v>
      </c>
      <c r="E1650">
        <f>IFERROR(__xludf.DUMMYFUNCTION("""COMPUTED_VALUE"""),5.0)</f>
        <v>5</v>
      </c>
      <c r="F1650" t="str">
        <f>IFERROR(__xludf.DUMMYFUNCTION("""COMPUTED_VALUE"""),"NA")</f>
        <v>NA</v>
      </c>
      <c r="G1650" t="str">
        <f>IFERROR(__xludf.DUMMYFUNCTION("""COMPUTED_VALUE"""),"Washington 14 at Colorado 20")</f>
        <v>Washington 14 at Colorado 20</v>
      </c>
      <c r="H1650" t="str">
        <f>IFERROR(__xludf.DUMMYFUNCTION("""COMPUTED_VALUE"""),"FINAL")</f>
        <v>FINAL</v>
      </c>
      <c r="I1650" t="str">
        <f>IFERROR(__xludf.DUMMYFUNCTION("""COMPUTED_VALUE"""),"-14½")</f>
        <v>-14½</v>
      </c>
      <c r="J1650" t="str">
        <f>IFERROR(__xludf.DUMMYFUNCTION("""COMPUTED_VALUE"""),"54½")</f>
        <v>54½</v>
      </c>
      <c r="K1650" t="str">
        <f>IFERROR(__xludf.DUMMYFUNCTION("""COMPUTED_VALUE"""),"Jeannine")</f>
        <v>Jeannine</v>
      </c>
      <c r="L1650" t="str">
        <f>IFERROR(__xludf.DUMMYFUNCTION("""COMPUTED_VALUE"""),"FINAL")</f>
        <v>FINAL</v>
      </c>
      <c r="M1650" s="124">
        <v>13.0</v>
      </c>
    </row>
    <row r="1651">
      <c r="A1651" s="151">
        <f>IFERROR(__xludf.DUMMYFUNCTION("""COMPUTED_VALUE"""),43793.14774797454)</f>
        <v>43793.14775</v>
      </c>
      <c r="B1651" t="str">
        <f>IFERROR(__xludf.DUMMYFUNCTION("""COMPUTED_VALUE"""),"Vu")</f>
        <v>Vu</v>
      </c>
      <c r="C1651" s="169" t="str">
        <f>IFERROR(__xludf.DUMMYFUNCTION("""COMPUTED_VALUE"""),"Hawaii")</f>
        <v>Hawaii</v>
      </c>
      <c r="D1651">
        <f>IFERROR(__xludf.DUMMYFUNCTION("""COMPUTED_VALUE"""),8.0)</f>
        <v>8</v>
      </c>
      <c r="E1651">
        <f>IFERROR(__xludf.DUMMYFUNCTION("""COMPUTED_VALUE"""),4.0)</f>
        <v>4</v>
      </c>
      <c r="F1651" t="str">
        <f>IFERROR(__xludf.DUMMYFUNCTION("""COMPUTED_VALUE"""),"Facebook Video")</f>
        <v>Facebook Video</v>
      </c>
      <c r="G1651" t="str">
        <f>IFERROR(__xludf.DUMMYFUNCTION("""COMPUTED_VALUE"""),"(25) San Diego State 11 at Hawaii 14")</f>
        <v>(25) San Diego State 11 at Hawaii 14</v>
      </c>
      <c r="H1651" t="str">
        <f>IFERROR(__xludf.DUMMYFUNCTION("""COMPUTED_VALUE"""),"FINAL")</f>
        <v>FINAL</v>
      </c>
      <c r="I1651">
        <f>IFERROR(__xludf.DUMMYFUNCTION("""COMPUTED_VALUE"""),-3.0)</f>
        <v>-3</v>
      </c>
      <c r="J1651">
        <f>IFERROR(__xludf.DUMMYFUNCTION("""COMPUTED_VALUE"""),51.0)</f>
        <v>51</v>
      </c>
      <c r="K1651" t="str">
        <f>IFERROR(__xludf.DUMMYFUNCTION("""COMPUTED_VALUE"""),"Nick A.")</f>
        <v>Nick A.</v>
      </c>
      <c r="L1651" t="str">
        <f>IFERROR(__xludf.DUMMYFUNCTION("""COMPUTED_VALUE"""),"FINAL")</f>
        <v>FINAL</v>
      </c>
      <c r="M1651" s="124">
        <v>13.0</v>
      </c>
    </row>
    <row r="1652">
      <c r="A1652" s="151">
        <f>IFERROR(__xludf.DUMMYFUNCTION("""COMPUTED_VALUE"""),43793.14774797454)</f>
        <v>43793.14775</v>
      </c>
      <c r="B1652" t="str">
        <f>IFERROR(__xludf.DUMMYFUNCTION("""COMPUTED_VALUE"""),"Josh R.")</f>
        <v>Josh R.</v>
      </c>
      <c r="C1652" s="169" t="str">
        <f>IFERROR(__xludf.DUMMYFUNCTION("""COMPUTED_VALUE"""),"Toledo")</f>
        <v>Toledo</v>
      </c>
      <c r="D1652">
        <f>IFERROR(__xludf.DUMMYFUNCTION("""COMPUTED_VALUE"""),6.0)</f>
        <v>6</v>
      </c>
      <c r="E1652">
        <f>IFERROR(__xludf.DUMMYFUNCTION("""COMPUTED_VALUE"""),5.0)</f>
        <v>5</v>
      </c>
      <c r="F1652" t="str">
        <f>IFERROR(__xludf.DUMMYFUNCTION("""COMPUTED_VALUE"""),"ESPNU")</f>
        <v>ESPNU</v>
      </c>
      <c r="G1652" t="str">
        <f>IFERROR(__xludf.DUMMYFUNCTION("""COMPUTED_VALUE"""),"Toledo 30 at Buffalo 49")</f>
        <v>Toledo 30 at Buffalo 49</v>
      </c>
      <c r="H1652" t="str">
        <f>IFERROR(__xludf.DUMMYFUNCTION("""COMPUTED_VALUE"""),"FINAL")</f>
        <v>FINAL</v>
      </c>
      <c r="I1652">
        <f>IFERROR(__xludf.DUMMYFUNCTION("""COMPUTED_VALUE"""),8.0)</f>
        <v>8</v>
      </c>
      <c r="J1652">
        <f>IFERROR(__xludf.DUMMYFUNCTION("""COMPUTED_VALUE"""),54.0)</f>
        <v>54</v>
      </c>
      <c r="K1652" t="str">
        <f>IFERROR(__xludf.DUMMYFUNCTION("""COMPUTED_VALUE"""),"Justin")</f>
        <v>Justin</v>
      </c>
      <c r="L1652" t="str">
        <f>IFERROR(__xludf.DUMMYFUNCTION("""COMPUTED_VALUE"""),"FINAL")</f>
        <v>FINAL</v>
      </c>
      <c r="M1652" s="124">
        <v>13.0</v>
      </c>
    </row>
    <row r="1653">
      <c r="A1653" s="151">
        <f>IFERROR(__xludf.DUMMYFUNCTION("""COMPUTED_VALUE"""),43793.14774797454)</f>
        <v>43793.14775</v>
      </c>
      <c r="B1653" t="str">
        <f>IFERROR(__xludf.DUMMYFUNCTION("""COMPUTED_VALUE"""),"Josh R.")</f>
        <v>Josh R.</v>
      </c>
      <c r="C1653" s="169" t="str">
        <f>IFERROR(__xludf.DUMMYFUNCTION("""COMPUTED_VALUE"""),"Minnesota")</f>
        <v>Minnesota</v>
      </c>
      <c r="D1653">
        <f>IFERROR(__xludf.DUMMYFUNCTION("""COMPUTED_VALUE"""),10.0)</f>
        <v>10</v>
      </c>
      <c r="E1653">
        <f>IFERROR(__xludf.DUMMYFUNCTION("""COMPUTED_VALUE"""),1.0)</f>
        <v>1</v>
      </c>
      <c r="F1653" t="str">
        <f>IFERROR(__xludf.DUMMYFUNCTION("""COMPUTED_VALUE"""),"FOX")</f>
        <v>FOX</v>
      </c>
      <c r="G1653" t="str">
        <f>IFERROR(__xludf.DUMMYFUNCTION("""COMPUTED_VALUE"""),"(11) Minnesota 38 at Northwestern 22")</f>
        <v>(11) Minnesota 38 at Northwestern 22</v>
      </c>
      <c r="H1653" t="str">
        <f>IFERROR(__xludf.DUMMYFUNCTION("""COMPUTED_VALUE"""),"FINAL")</f>
        <v>FINAL</v>
      </c>
      <c r="I1653" t="str">
        <f>IFERROR(__xludf.DUMMYFUNCTION("""COMPUTED_VALUE"""),"-13½")</f>
        <v>-13½</v>
      </c>
      <c r="J1653">
        <f>IFERROR(__xludf.DUMMYFUNCTION("""COMPUTED_VALUE"""),40.0)</f>
        <v>40</v>
      </c>
      <c r="K1653" t="str">
        <f>IFERROR(__xludf.DUMMYFUNCTION("""COMPUTED_VALUE"""),"Adam")</f>
        <v>Adam</v>
      </c>
      <c r="L1653" t="str">
        <f>IFERROR(__xludf.DUMMYFUNCTION("""COMPUTED_VALUE"""),"FINAL")</f>
        <v>FINAL</v>
      </c>
      <c r="M1653" s="124">
        <v>13.0</v>
      </c>
    </row>
    <row r="1654">
      <c r="A1654" s="151">
        <f>IFERROR(__xludf.DUMMYFUNCTION("""COMPUTED_VALUE"""),43793.14774797454)</f>
        <v>43793.14775</v>
      </c>
      <c r="B1654" t="str">
        <f>IFERROR(__xludf.DUMMYFUNCTION("""COMPUTED_VALUE"""),"Josh R.")</f>
        <v>Josh R.</v>
      </c>
      <c r="C1654" s="169" t="str">
        <f>IFERROR(__xludf.DUMMYFUNCTION("""COMPUTED_VALUE"""),"Kansas")</f>
        <v>Kansas</v>
      </c>
      <c r="D1654">
        <f>IFERROR(__xludf.DUMMYFUNCTION("""COMPUTED_VALUE"""),3.0)</f>
        <v>3</v>
      </c>
      <c r="E1654">
        <f>IFERROR(__xludf.DUMMYFUNCTION("""COMPUTED_VALUE"""),8.0)</f>
        <v>8</v>
      </c>
      <c r="F1654" t="str">
        <f>IFERROR(__xludf.DUMMYFUNCTION("""COMPUTED_VALUE"""),"FS1")</f>
        <v>FS1</v>
      </c>
      <c r="G1654" t="str">
        <f>IFERROR(__xludf.DUMMYFUNCTION("""COMPUTED_VALUE"""),"Kansas 31 at Iowa State 41")</f>
        <v>Kansas 31 at Iowa State 41</v>
      </c>
      <c r="H1654" t="str">
        <f>IFERROR(__xludf.DUMMYFUNCTION("""COMPUTED_VALUE"""),"FINAL")</f>
        <v>FINAL</v>
      </c>
      <c r="I1654" t="str">
        <f>IFERROR(__xludf.DUMMYFUNCTION("""COMPUTED_VALUE"""),"25½")</f>
        <v>25½</v>
      </c>
      <c r="J1654">
        <f>IFERROR(__xludf.DUMMYFUNCTION("""COMPUTED_VALUE"""),59.0)</f>
        <v>59</v>
      </c>
      <c r="K1654" t="str">
        <f>IFERROR(__xludf.DUMMYFUNCTION("""COMPUTED_VALUE"""),"Nick A.")</f>
        <v>Nick A.</v>
      </c>
      <c r="L1654" t="str">
        <f>IFERROR(__xludf.DUMMYFUNCTION("""COMPUTED_VALUE"""),"FINAL")</f>
        <v>FINAL</v>
      </c>
      <c r="M1654" s="124">
        <v>13.0</v>
      </c>
    </row>
    <row r="1655">
      <c r="A1655" s="151">
        <f>IFERROR(__xludf.DUMMYFUNCTION("""COMPUTED_VALUE"""),43793.14774797454)</f>
        <v>43793.14775</v>
      </c>
      <c r="B1655" t="str">
        <f>IFERROR(__xludf.DUMMYFUNCTION("""COMPUTED_VALUE"""),"Josh R.")</f>
        <v>Josh R.</v>
      </c>
      <c r="C1655" s="169" t="str">
        <f>IFERROR(__xludf.DUMMYFUNCTION("""COMPUTED_VALUE"""),"USC")</f>
        <v>USC</v>
      </c>
      <c r="D1655">
        <f>IFERROR(__xludf.DUMMYFUNCTION("""COMPUTED_VALUE"""),8.0)</f>
        <v>8</v>
      </c>
      <c r="E1655">
        <f>IFERROR(__xludf.DUMMYFUNCTION("""COMPUTED_VALUE"""),4.0)</f>
        <v>4</v>
      </c>
      <c r="F1655" t="str">
        <f>IFERROR(__xludf.DUMMYFUNCTION("""COMPUTED_VALUE"""),"FS1")</f>
        <v>FS1</v>
      </c>
      <c r="G1655" t="str">
        <f>IFERROR(__xludf.DUMMYFUNCTION("""COMPUTED_VALUE"""),"UCLA 35 at USC 52")</f>
        <v>UCLA 35 at USC 52</v>
      </c>
      <c r="H1655" t="str">
        <f>IFERROR(__xludf.DUMMYFUNCTION("""COMPUTED_VALUE"""),"FINAL")</f>
        <v>FINAL</v>
      </c>
      <c r="I1655">
        <f>IFERROR(__xludf.DUMMYFUNCTION("""COMPUTED_VALUE"""),-14.0)</f>
        <v>-14</v>
      </c>
      <c r="J1655" t="str">
        <f>IFERROR(__xludf.DUMMYFUNCTION("""COMPUTED_VALUE"""),"62½")</f>
        <v>62½</v>
      </c>
      <c r="K1655" t="str">
        <f>IFERROR(__xludf.DUMMYFUNCTION("""COMPUTED_VALUE"""),"Gary")</f>
        <v>Gary</v>
      </c>
      <c r="L1655" t="str">
        <f>IFERROR(__xludf.DUMMYFUNCTION("""COMPUTED_VALUE"""),"FINAL")</f>
        <v>FINAL</v>
      </c>
      <c r="M1655" s="124">
        <v>13.0</v>
      </c>
    </row>
    <row r="1656">
      <c r="A1656" s="151">
        <f>IFERROR(__xludf.DUMMYFUNCTION("""COMPUTED_VALUE"""),43793.14774797454)</f>
        <v>43793.14775</v>
      </c>
      <c r="B1656" t="str">
        <f>IFERROR(__xludf.DUMMYFUNCTION("""COMPUTED_VALUE"""),"Josh R.")</f>
        <v>Josh R.</v>
      </c>
      <c r="C1656" s="169" t="str">
        <f>IFERROR(__xludf.DUMMYFUNCTION("""COMPUTED_VALUE"""),"Southern Mississippi")</f>
        <v>Southern Mississippi</v>
      </c>
      <c r="D1656">
        <f>IFERROR(__xludf.DUMMYFUNCTION("""COMPUTED_VALUE"""),7.0)</f>
        <v>7</v>
      </c>
      <c r="E1656">
        <f>IFERROR(__xludf.DUMMYFUNCTION("""COMPUTED_VALUE"""),4.0)</f>
        <v>4</v>
      </c>
      <c r="F1656" t="str">
        <f>IFERROR(__xludf.DUMMYFUNCTION("""COMPUTED_VALUE"""),"NA")</f>
        <v>NA</v>
      </c>
      <c r="G1656" t="str">
        <f>IFERROR(__xludf.DUMMYFUNCTION("""COMPUTED_VALUE"""),"Western Kentucky 28 at Southern Mississippi 10")</f>
        <v>Western Kentucky 28 at Southern Mississippi 10</v>
      </c>
      <c r="H1656" t="str">
        <f>IFERROR(__xludf.DUMMYFUNCTION("""COMPUTED_VALUE"""),"FINAL")</f>
        <v>FINAL</v>
      </c>
      <c r="I1656" t="str">
        <f>IFERROR(__xludf.DUMMYFUNCTION("""COMPUTED_VALUE"""),"-4½")</f>
        <v>-4½</v>
      </c>
      <c r="J1656" t="str">
        <f>IFERROR(__xludf.DUMMYFUNCTION("""COMPUTED_VALUE"""),"49½")</f>
        <v>49½</v>
      </c>
      <c r="K1656" t="str">
        <f>IFERROR(__xludf.DUMMYFUNCTION("""COMPUTED_VALUE"""),"Justin")</f>
        <v>Justin</v>
      </c>
      <c r="L1656" t="str">
        <f>IFERROR(__xludf.DUMMYFUNCTION("""COMPUTED_VALUE"""),"FINAL")</f>
        <v>FINAL</v>
      </c>
      <c r="M1656" s="124">
        <v>13.0</v>
      </c>
    </row>
    <row r="1657">
      <c r="A1657" s="151">
        <f>IFERROR(__xludf.DUMMYFUNCTION("""COMPUTED_VALUE"""),43793.14774797454)</f>
        <v>43793.14775</v>
      </c>
      <c r="B1657" t="str">
        <f>IFERROR(__xludf.DUMMYFUNCTION("""COMPUTED_VALUE"""),"Josh R.")</f>
        <v>Josh R.</v>
      </c>
      <c r="C1657" s="169" t="str">
        <f>IFERROR(__xludf.DUMMYFUNCTION("""COMPUTED_VALUE"""),"Kentucky")</f>
        <v>Kentucky</v>
      </c>
      <c r="D1657">
        <f>IFERROR(__xludf.DUMMYFUNCTION("""COMPUTED_VALUE"""),6.0)</f>
        <v>6</v>
      </c>
      <c r="E1657">
        <f>IFERROR(__xludf.DUMMYFUNCTION("""COMPUTED_VALUE"""),5.0)</f>
        <v>5</v>
      </c>
      <c r="F1657" t="str">
        <f>IFERROR(__xludf.DUMMYFUNCTION("""COMPUTED_VALUE"""),"SEC Network")</f>
        <v>SEC Network</v>
      </c>
      <c r="G1657" t="str">
        <f>IFERROR(__xludf.DUMMYFUNCTION("""COMPUTED_VALUE"""),"UT Martin 7 at Kentucky 50")</f>
        <v>UT Martin 7 at Kentucky 50</v>
      </c>
      <c r="H1657" t="str">
        <f>IFERROR(__xludf.DUMMYFUNCTION("""COMPUTED_VALUE"""),"FINAL")</f>
        <v>FINAL</v>
      </c>
      <c r="I1657" t="str">
        <f>IFERROR(__xludf.DUMMYFUNCTION("""COMPUTED_VALUE"""),"No Line")</f>
        <v>No Line</v>
      </c>
      <c r="K1657" t="str">
        <f>IFERROR(__xludf.DUMMYFUNCTION("""COMPUTED_VALUE"""),"Undrafted")</f>
        <v>Undrafted</v>
      </c>
      <c r="L1657" t="str">
        <f>IFERROR(__xludf.DUMMYFUNCTION("""COMPUTED_VALUE"""),"FINAL")</f>
        <v>FINAL</v>
      </c>
      <c r="M1657" s="124">
        <v>13.0</v>
      </c>
    </row>
    <row r="1658">
      <c r="A1658" s="151">
        <f>IFERROR(__xludf.DUMMYFUNCTION("""COMPUTED_VALUE"""),43793.14774797454)</f>
        <v>43793.14775</v>
      </c>
      <c r="B1658" t="str">
        <f>IFERROR(__xludf.DUMMYFUNCTION("""COMPUTED_VALUE"""),"Josh R.")</f>
        <v>Josh R.</v>
      </c>
      <c r="C1658" s="169" t="str">
        <f>IFERROR(__xludf.DUMMYFUNCTION("""COMPUTED_VALUE"""),"Temple")</f>
        <v>Temple</v>
      </c>
      <c r="D1658">
        <f>IFERROR(__xludf.DUMMYFUNCTION("""COMPUTED_VALUE"""),7.0)</f>
        <v>7</v>
      </c>
      <c r="E1658">
        <f>IFERROR(__xludf.DUMMYFUNCTION("""COMPUTED_VALUE"""),4.0)</f>
        <v>4</v>
      </c>
      <c r="F1658" t="str">
        <f>IFERROR(__xludf.DUMMYFUNCTION("""COMPUTED_VALUE"""),"ESPNU")</f>
        <v>ESPNU</v>
      </c>
      <c r="G1658" t="str">
        <f>IFERROR(__xludf.DUMMYFUNCTION("""COMPUTED_VALUE"""),"Temple 13 at (17) Cincinnati 15")</f>
        <v>Temple 13 at (17) Cincinnati 15</v>
      </c>
      <c r="H1658" t="str">
        <f>IFERROR(__xludf.DUMMYFUNCTION("""COMPUTED_VALUE"""),"FINAL")</f>
        <v>FINAL</v>
      </c>
      <c r="I1658" t="str">
        <f>IFERROR(__xludf.DUMMYFUNCTION("""COMPUTED_VALUE"""),"10½")</f>
        <v>10½</v>
      </c>
      <c r="J1658" t="str">
        <f>IFERROR(__xludf.DUMMYFUNCTION("""COMPUTED_VALUE"""),"46½")</f>
        <v>46½</v>
      </c>
      <c r="K1658" t="str">
        <f>IFERROR(__xludf.DUMMYFUNCTION("""COMPUTED_VALUE"""),"Vu")</f>
        <v>Vu</v>
      </c>
      <c r="L1658" t="str">
        <f>IFERROR(__xludf.DUMMYFUNCTION("""COMPUTED_VALUE"""),"FINAL")</f>
        <v>FINAL</v>
      </c>
      <c r="M1658" s="124">
        <v>13.0</v>
      </c>
    </row>
    <row r="1659">
      <c r="A1659" s="151">
        <f>IFERROR(__xludf.DUMMYFUNCTION("""COMPUTED_VALUE"""),43793.14774797454)</f>
        <v>43793.14775</v>
      </c>
      <c r="B1659" t="str">
        <f>IFERROR(__xludf.DUMMYFUNCTION("""COMPUTED_VALUE"""),"Josh R.")</f>
        <v>Josh R.</v>
      </c>
      <c r="C1659" s="169" t="str">
        <f>IFERROR(__xludf.DUMMYFUNCTION("""COMPUTED_VALUE"""),"Nevada")</f>
        <v>Nevada</v>
      </c>
      <c r="D1659">
        <f>IFERROR(__xludf.DUMMYFUNCTION("""COMPUTED_VALUE"""),7.0)</f>
        <v>7</v>
      </c>
      <c r="E1659">
        <f>IFERROR(__xludf.DUMMYFUNCTION("""COMPUTED_VALUE"""),4.0)</f>
        <v>4</v>
      </c>
      <c r="F1659" t="str">
        <f>IFERROR(__xludf.DUMMYFUNCTION("""COMPUTED_VALUE"""),"NA")</f>
        <v>NA</v>
      </c>
      <c r="G1659" t="str">
        <f>IFERROR(__xludf.DUMMYFUNCTION("""COMPUTED_VALUE"""),"Nevada 35 at Fresno State 28")</f>
        <v>Nevada 35 at Fresno State 28</v>
      </c>
      <c r="H1659" t="str">
        <f>IFERROR(__xludf.DUMMYFUNCTION("""COMPUTED_VALUE"""),"FINAL")</f>
        <v>FINAL</v>
      </c>
      <c r="I1659">
        <f>IFERROR(__xludf.DUMMYFUNCTION("""COMPUTED_VALUE"""),14.0)</f>
        <v>14</v>
      </c>
      <c r="J1659">
        <f>IFERROR(__xludf.DUMMYFUNCTION("""COMPUTED_VALUE"""),53.0)</f>
        <v>53</v>
      </c>
      <c r="K1659" t="str">
        <f>IFERROR(__xludf.DUMMYFUNCTION("""COMPUTED_VALUE"""),"DavEmily")</f>
        <v>DavEmily</v>
      </c>
      <c r="L1659" t="str">
        <f>IFERROR(__xludf.DUMMYFUNCTION("""COMPUTED_VALUE"""),"FINAL")</f>
        <v>FINAL</v>
      </c>
      <c r="M1659" s="124">
        <v>13.0</v>
      </c>
    </row>
    <row r="1660">
      <c r="A1660" s="151">
        <f>IFERROR(__xludf.DUMMYFUNCTION("""COMPUTED_VALUE"""),43793.14774797454)</f>
        <v>43793.14775</v>
      </c>
      <c r="B1660" t="str">
        <f>IFERROR(__xludf.DUMMYFUNCTION("""COMPUTED_VALUE"""),"Josh R.")</f>
        <v>Josh R.</v>
      </c>
      <c r="C1660" s="169" t="str">
        <f>IFERROR(__xludf.DUMMYFUNCTION("""COMPUTED_VALUE"""),"Army")</f>
        <v>Army</v>
      </c>
      <c r="D1660">
        <f>IFERROR(__xludf.DUMMYFUNCTION("""COMPUTED_VALUE"""),5.0)</f>
        <v>5</v>
      </c>
      <c r="E1660">
        <f>IFERROR(__xludf.DUMMYFUNCTION("""COMPUTED_VALUE"""),6.0)</f>
        <v>6</v>
      </c>
      <c r="F1660" t="str">
        <f>IFERROR(__xludf.DUMMYFUNCTION("""COMPUTED_VALUE"""),"CBSSN")</f>
        <v>CBSSN</v>
      </c>
      <c r="G1660" t="str">
        <f>IFERROR(__xludf.DUMMYFUNCTION("""COMPUTED_VALUE"""),"BYE")</f>
        <v>BYE</v>
      </c>
      <c r="I1660" t="str">
        <f>IFERROR(__xludf.DUMMYFUNCTION("""COMPUTED_VALUE"""),"bye")</f>
        <v>bye</v>
      </c>
      <c r="J1660" t="str">
        <f>IFERROR(__xludf.DUMMYFUNCTION("""COMPUTED_VALUE"""),"bye")</f>
        <v>bye</v>
      </c>
      <c r="L1660">
        <f>IFERROR(__xludf.DUMMYFUNCTION("""COMPUTED_VALUE"""),9999.0)</f>
        <v>9999</v>
      </c>
      <c r="M1660" s="124">
        <v>13.0</v>
      </c>
    </row>
    <row r="1661">
      <c r="A1661" s="151">
        <f>IFERROR(__xludf.DUMMYFUNCTION("""COMPUTED_VALUE"""),43793.14774797454)</f>
        <v>43793.14775</v>
      </c>
      <c r="B1661" t="str">
        <f>IFERROR(__xludf.DUMMYFUNCTION("""COMPUTED_VALUE"""),"Josh R.")</f>
        <v>Josh R.</v>
      </c>
      <c r="C1661" s="169" t="str">
        <f>IFERROR(__xludf.DUMMYFUNCTION("""COMPUTED_VALUE"""),"Florida State")</f>
        <v>Florida State</v>
      </c>
      <c r="D1661">
        <f>IFERROR(__xludf.DUMMYFUNCTION("""COMPUTED_VALUE"""),6.0)</f>
        <v>6</v>
      </c>
      <c r="E1661">
        <f>IFERROR(__xludf.DUMMYFUNCTION("""COMPUTED_VALUE"""),5.0)</f>
        <v>5</v>
      </c>
      <c r="F1661" t="str">
        <f>IFERROR(__xludf.DUMMYFUNCTION("""COMPUTED_VALUE"""),"ACC RSN")</f>
        <v>ACC RSN</v>
      </c>
      <c r="G1661" t="str">
        <f>IFERROR(__xludf.DUMMYFUNCTION("""COMPUTED_VALUE"""),"BYE")</f>
        <v>BYE</v>
      </c>
      <c r="I1661" t="str">
        <f>IFERROR(__xludf.DUMMYFUNCTION("""COMPUTED_VALUE"""),"bye")</f>
        <v>bye</v>
      </c>
      <c r="J1661" t="str">
        <f>IFERROR(__xludf.DUMMYFUNCTION("""COMPUTED_VALUE"""),"bye")</f>
        <v>bye</v>
      </c>
      <c r="L1661">
        <f>IFERROR(__xludf.DUMMYFUNCTION("""COMPUTED_VALUE"""),9999.0)</f>
        <v>9999</v>
      </c>
      <c r="M1661" s="124">
        <v>13.0</v>
      </c>
    </row>
    <row r="1662">
      <c r="A1662" s="151">
        <f>IFERROR(__xludf.DUMMYFUNCTION("""COMPUTED_VALUE"""),43793.14774797454)</f>
        <v>43793.14775</v>
      </c>
      <c r="B1662" t="str">
        <f>IFERROR(__xludf.DUMMYFUNCTION("""COMPUTED_VALUE"""),"Brad")</f>
        <v>Brad</v>
      </c>
      <c r="C1662" s="169" t="str">
        <f>IFERROR(__xludf.DUMMYFUNCTION("""COMPUTED_VALUE"""),"EMU")</f>
        <v>EMU</v>
      </c>
      <c r="D1662">
        <f>IFERROR(__xludf.DUMMYFUNCTION("""COMPUTED_VALUE"""),6.0)</f>
        <v>6</v>
      </c>
      <c r="E1662">
        <f>IFERROR(__xludf.DUMMYFUNCTION("""COMPUTED_VALUE"""),5.0)</f>
        <v>5</v>
      </c>
      <c r="F1662" t="str">
        <f>IFERROR(__xludf.DUMMYFUNCTION("""COMPUTED_VALUE"""),"NA")</f>
        <v>NA</v>
      </c>
      <c r="G1662" t="str">
        <f>IFERROR(__xludf.DUMMYFUNCTION("""COMPUTED_VALUE"""),"EMU 45 at Northern Illinois 17")</f>
        <v>EMU 45 at Northern Illinois 17</v>
      </c>
      <c r="H1662" t="str">
        <f>IFERROR(__xludf.DUMMYFUNCTION("""COMPUTED_VALUE"""),"FINAL")</f>
        <v>FINAL</v>
      </c>
      <c r="I1662">
        <f>IFERROR(__xludf.DUMMYFUNCTION("""COMPUTED_VALUE"""),5.0)</f>
        <v>5</v>
      </c>
      <c r="J1662">
        <f>IFERROR(__xludf.DUMMYFUNCTION("""COMPUTED_VALUE"""),54.0)</f>
        <v>54</v>
      </c>
      <c r="K1662" t="str">
        <f>IFERROR(__xludf.DUMMYFUNCTION("""COMPUTED_VALUE"""),"Janice/Mike")</f>
        <v>Janice/Mike</v>
      </c>
      <c r="L1662" t="str">
        <f>IFERROR(__xludf.DUMMYFUNCTION("""COMPUTED_VALUE"""),"FINAL")</f>
        <v>FINAL</v>
      </c>
      <c r="M1662" s="124">
        <v>13.0</v>
      </c>
    </row>
    <row r="1663">
      <c r="A1663" s="151">
        <f>IFERROR(__xludf.DUMMYFUNCTION("""COMPUTED_VALUE"""),43793.14774797454)</f>
        <v>43793.14775</v>
      </c>
      <c r="B1663" t="str">
        <f>IFERROR(__xludf.DUMMYFUNCTION("""COMPUTED_VALUE"""),"Brad")</f>
        <v>Brad</v>
      </c>
      <c r="C1663" s="169" t="str">
        <f>IFERROR(__xludf.DUMMYFUNCTION("""COMPUTED_VALUE"""),"Colorado State")</f>
        <v>Colorado State</v>
      </c>
      <c r="D1663">
        <f>IFERROR(__xludf.DUMMYFUNCTION("""COMPUTED_VALUE"""),4.0)</f>
        <v>4</v>
      </c>
      <c r="E1663">
        <f>IFERROR(__xludf.DUMMYFUNCTION("""COMPUTED_VALUE"""),7.0)</f>
        <v>7</v>
      </c>
      <c r="F1663" t="str">
        <f>IFERROR(__xludf.DUMMYFUNCTION("""COMPUTED_VALUE"""),"ESPN2")</f>
        <v>ESPN2</v>
      </c>
      <c r="G1663" t="str">
        <f>IFERROR(__xludf.DUMMYFUNCTION("""COMPUTED_VALUE"""),"Colorado State 7 at Wyoming 17")</f>
        <v>Colorado State 7 at Wyoming 17</v>
      </c>
      <c r="H1663" t="str">
        <f>IFERROR(__xludf.DUMMYFUNCTION("""COMPUTED_VALUE"""),"FINAL")</f>
        <v>FINAL</v>
      </c>
      <c r="I1663">
        <f>IFERROR(__xludf.DUMMYFUNCTION("""COMPUTED_VALUE"""),7.0)</f>
        <v>7</v>
      </c>
      <c r="J1663" t="str">
        <f>IFERROR(__xludf.DUMMYFUNCTION("""COMPUTED_VALUE"""),"50½")</f>
        <v>50½</v>
      </c>
      <c r="K1663" t="str">
        <f>IFERROR(__xludf.DUMMYFUNCTION("""COMPUTED_VALUE"""),"Nick G.")</f>
        <v>Nick G.</v>
      </c>
      <c r="L1663" t="str">
        <f>IFERROR(__xludf.DUMMYFUNCTION("""COMPUTED_VALUE"""),"FINAL")</f>
        <v>FINAL</v>
      </c>
      <c r="M1663" s="124">
        <v>13.0</v>
      </c>
    </row>
    <row r="1664">
      <c r="A1664" s="151">
        <f>IFERROR(__xludf.DUMMYFUNCTION("""COMPUTED_VALUE"""),43793.14774797454)</f>
        <v>43793.14775</v>
      </c>
      <c r="B1664" t="str">
        <f>IFERROR(__xludf.DUMMYFUNCTION("""COMPUTED_VALUE"""),"Brad")</f>
        <v>Brad</v>
      </c>
      <c r="C1664" s="169" t="str">
        <f>IFERROR(__xludf.DUMMYFUNCTION("""COMPUTED_VALUE"""),"Oklahoma State")</f>
        <v>Oklahoma State</v>
      </c>
      <c r="D1664">
        <f>IFERROR(__xludf.DUMMYFUNCTION("""COMPUTED_VALUE"""),8.0)</f>
        <v>8</v>
      </c>
      <c r="E1664">
        <f>IFERROR(__xludf.DUMMYFUNCTION("""COMPUTED_VALUE"""),3.0)</f>
        <v>3</v>
      </c>
      <c r="F1664" t="str">
        <f>IFERROR(__xludf.DUMMYFUNCTION("""COMPUTED_VALUE"""),"FS1")</f>
        <v>FS1</v>
      </c>
      <c r="G1664" t="str">
        <f>IFERROR(__xludf.DUMMYFUNCTION("""COMPUTED_VALUE"""),"(23) Oklahoma State 20 at West Virginia 13")</f>
        <v>(23) Oklahoma State 20 at West Virginia 13</v>
      </c>
      <c r="H1664" t="str">
        <f>IFERROR(__xludf.DUMMYFUNCTION("""COMPUTED_VALUE"""),"FINAL")</f>
        <v>FINAL</v>
      </c>
      <c r="I1664">
        <f>IFERROR(__xludf.DUMMYFUNCTION("""COMPUTED_VALUE"""),-7.0)</f>
        <v>-7</v>
      </c>
      <c r="J1664" t="str">
        <f>IFERROR(__xludf.DUMMYFUNCTION("""COMPUTED_VALUE"""),"60½")</f>
        <v>60½</v>
      </c>
      <c r="K1664" t="str">
        <f>IFERROR(__xludf.DUMMYFUNCTION("""COMPUTED_VALUE"""),"Nico")</f>
        <v>Nico</v>
      </c>
      <c r="L1664" t="str">
        <f>IFERROR(__xludf.DUMMYFUNCTION("""COMPUTED_VALUE"""),"FINAL")</f>
        <v>FINAL</v>
      </c>
      <c r="M1664" s="124">
        <v>13.0</v>
      </c>
    </row>
    <row r="1665">
      <c r="A1665" s="151">
        <f>IFERROR(__xludf.DUMMYFUNCTION("""COMPUTED_VALUE"""),43793.14774797454)</f>
        <v>43793.14775</v>
      </c>
      <c r="B1665" t="str">
        <f>IFERROR(__xludf.DUMMYFUNCTION("""COMPUTED_VALUE"""),"Brad")</f>
        <v>Brad</v>
      </c>
      <c r="C1665" s="169" t="str">
        <f>IFERROR(__xludf.DUMMYFUNCTION("""COMPUTED_VALUE"""),"Texas State")</f>
        <v>Texas State</v>
      </c>
      <c r="D1665">
        <f>IFERROR(__xludf.DUMMYFUNCTION("""COMPUTED_VALUE"""),3.0)</f>
        <v>3</v>
      </c>
      <c r="E1665">
        <f>IFERROR(__xludf.DUMMYFUNCTION("""COMPUTED_VALUE"""),8.0)</f>
        <v>8</v>
      </c>
      <c r="F1665" t="str">
        <f>IFERROR(__xludf.DUMMYFUNCTION("""COMPUTED_VALUE"""),"espn3 Video")</f>
        <v>espn3 Video</v>
      </c>
      <c r="G1665" t="str">
        <f>IFERROR(__xludf.DUMMYFUNCTION("""COMPUTED_VALUE"""),"Texas State 13 at (22) Appalachian State 35")</f>
        <v>Texas State 13 at (22) Appalachian State 35</v>
      </c>
      <c r="H1665" t="str">
        <f>IFERROR(__xludf.DUMMYFUNCTION("""COMPUTED_VALUE"""),"FINAL")</f>
        <v>FINAL</v>
      </c>
      <c r="I1665">
        <f>IFERROR(__xludf.DUMMYFUNCTION("""COMPUTED_VALUE"""),30.0)</f>
        <v>30</v>
      </c>
      <c r="J1665">
        <f>IFERROR(__xludf.DUMMYFUNCTION("""COMPUTED_VALUE"""),53.0)</f>
        <v>53</v>
      </c>
      <c r="K1665" t="str">
        <f>IFERROR(__xludf.DUMMYFUNCTION("""COMPUTED_VALUE"""),"Justin")</f>
        <v>Justin</v>
      </c>
      <c r="L1665" t="str">
        <f>IFERROR(__xludf.DUMMYFUNCTION("""COMPUTED_VALUE"""),"FINAL")</f>
        <v>FINAL</v>
      </c>
      <c r="M1665" s="124">
        <v>13.0</v>
      </c>
    </row>
    <row r="1666">
      <c r="A1666" s="151">
        <f>IFERROR(__xludf.DUMMYFUNCTION("""COMPUTED_VALUE"""),43793.14774797454)</f>
        <v>43793.14775</v>
      </c>
      <c r="B1666" t="str">
        <f>IFERROR(__xludf.DUMMYFUNCTION("""COMPUTED_VALUE"""),"Brad")</f>
        <v>Brad</v>
      </c>
      <c r="C1666" s="169" t="str">
        <f>IFERROR(__xludf.DUMMYFUNCTION("""COMPUTED_VALUE"""),"Indiana")</f>
        <v>Indiana</v>
      </c>
      <c r="D1666">
        <f>IFERROR(__xludf.DUMMYFUNCTION("""COMPUTED_VALUE"""),7.0)</f>
        <v>7</v>
      </c>
      <c r="E1666">
        <f>IFERROR(__xludf.DUMMYFUNCTION("""COMPUTED_VALUE"""),4.0)</f>
        <v>4</v>
      </c>
      <c r="F1666" t="str">
        <f>IFERROR(__xludf.DUMMYFUNCTION("""COMPUTED_VALUE"""),"ABC")</f>
        <v>ABC</v>
      </c>
      <c r="G1666" t="str">
        <f>IFERROR(__xludf.DUMMYFUNCTION("""COMPUTED_VALUE"""),"(12) Michigan 39 at Indiana 14")</f>
        <v>(12) Michigan 39 at Indiana 14</v>
      </c>
      <c r="H1666" t="str">
        <f>IFERROR(__xludf.DUMMYFUNCTION("""COMPUTED_VALUE"""),"FINAL")</f>
        <v>FINAL</v>
      </c>
      <c r="I1666" t="str">
        <f>IFERROR(__xludf.DUMMYFUNCTION("""COMPUTED_VALUE"""),"8½")</f>
        <v>8½</v>
      </c>
      <c r="J1666">
        <f>IFERROR(__xludf.DUMMYFUNCTION("""COMPUTED_VALUE"""),52.0)</f>
        <v>52</v>
      </c>
      <c r="K1666" t="str">
        <f>IFERROR(__xludf.DUMMYFUNCTION("""COMPUTED_VALUE"""),"Vu")</f>
        <v>Vu</v>
      </c>
      <c r="L1666" t="str">
        <f>IFERROR(__xludf.DUMMYFUNCTION("""COMPUTED_VALUE"""),"FINAL")</f>
        <v>FINAL</v>
      </c>
      <c r="M1666" s="124">
        <v>13.0</v>
      </c>
    </row>
    <row r="1667">
      <c r="A1667" s="151">
        <f>IFERROR(__xludf.DUMMYFUNCTION("""COMPUTED_VALUE"""),43793.14774797454)</f>
        <v>43793.14775</v>
      </c>
      <c r="B1667" t="str">
        <f>IFERROR(__xludf.DUMMYFUNCTION("""COMPUTED_VALUE"""),"Brad")</f>
        <v>Brad</v>
      </c>
      <c r="C1667" s="169" t="str">
        <f>IFERROR(__xludf.DUMMYFUNCTION("""COMPUTED_VALUE"""),"Louisiana Tech")</f>
        <v>Louisiana Tech</v>
      </c>
      <c r="D1667">
        <f>IFERROR(__xludf.DUMMYFUNCTION("""COMPUTED_VALUE"""),8.0)</f>
        <v>8</v>
      </c>
      <c r="E1667">
        <f>IFERROR(__xludf.DUMMYFUNCTION("""COMPUTED_VALUE"""),3.0)</f>
        <v>3</v>
      </c>
      <c r="F1667" t="str">
        <f>IFERROR(__xludf.DUMMYFUNCTION("""COMPUTED_VALUE"""),"CBSSN")</f>
        <v>CBSSN</v>
      </c>
      <c r="G1667" t="str">
        <f>IFERROR(__xludf.DUMMYFUNCTION("""COMPUTED_VALUE"""),"Louisiana Tech 14 at UAB 20")</f>
        <v>Louisiana Tech 14 at UAB 20</v>
      </c>
      <c r="H1667" t="str">
        <f>IFERROR(__xludf.DUMMYFUNCTION("""COMPUTED_VALUE"""),"FINAL")</f>
        <v>FINAL</v>
      </c>
      <c r="I1667">
        <f>IFERROR(__xludf.DUMMYFUNCTION("""COMPUTED_VALUE"""),5.0)</f>
        <v>5</v>
      </c>
      <c r="J1667">
        <f>IFERROR(__xludf.DUMMYFUNCTION("""COMPUTED_VALUE"""),46.0)</f>
        <v>46</v>
      </c>
      <c r="K1667" t="str">
        <f>IFERROR(__xludf.DUMMYFUNCTION("""COMPUTED_VALUE"""),"Jeannine")</f>
        <v>Jeannine</v>
      </c>
      <c r="L1667" t="str">
        <f>IFERROR(__xludf.DUMMYFUNCTION("""COMPUTED_VALUE"""),"FINAL")</f>
        <v>FINAL</v>
      </c>
      <c r="M1667" s="124">
        <v>13.0</v>
      </c>
    </row>
    <row r="1668">
      <c r="A1668" s="151">
        <f>IFERROR(__xludf.DUMMYFUNCTION("""COMPUTED_VALUE"""),43793.14774797454)</f>
        <v>43793.14775</v>
      </c>
      <c r="B1668" t="str">
        <f>IFERROR(__xludf.DUMMYFUNCTION("""COMPUTED_VALUE"""),"Brad")</f>
        <v>Brad</v>
      </c>
      <c r="C1668" s="169" t="str">
        <f>IFERROR(__xludf.DUMMYFUNCTION("""COMPUTED_VALUE"""),"Memphis")</f>
        <v>Memphis</v>
      </c>
      <c r="D1668">
        <f>IFERROR(__xludf.DUMMYFUNCTION("""COMPUTED_VALUE"""),10.0)</f>
        <v>10</v>
      </c>
      <c r="E1668">
        <f>IFERROR(__xludf.DUMMYFUNCTION("""COMPUTED_VALUE"""),1.0)</f>
        <v>1</v>
      </c>
      <c r="F1668" t="str">
        <f>IFERROR(__xludf.DUMMYFUNCTION("""COMPUTED_VALUE"""),"ESPN2")</f>
        <v>ESPN2</v>
      </c>
      <c r="G1668" t="str">
        <f>IFERROR(__xludf.DUMMYFUNCTION("""COMPUTED_VALUE"""),"(18) Memphis 49 at South Florida 10")</f>
        <v>(18) Memphis 49 at South Florida 10</v>
      </c>
      <c r="H1668" t="str">
        <f>IFERROR(__xludf.DUMMYFUNCTION("""COMPUTED_VALUE"""),"FINAL")</f>
        <v>FINAL</v>
      </c>
      <c r="I1668">
        <f>IFERROR(__xludf.DUMMYFUNCTION("""COMPUTED_VALUE"""),-14.0)</f>
        <v>-14</v>
      </c>
      <c r="J1668">
        <f>IFERROR(__xludf.DUMMYFUNCTION("""COMPUTED_VALUE"""),60.0)</f>
        <v>60</v>
      </c>
      <c r="K1668" t="str">
        <f>IFERROR(__xludf.DUMMYFUNCTION("""COMPUTED_VALUE"""),"Justin")</f>
        <v>Justin</v>
      </c>
      <c r="L1668" t="str">
        <f>IFERROR(__xludf.DUMMYFUNCTION("""COMPUTED_VALUE"""),"FINAL")</f>
        <v>FINAL</v>
      </c>
      <c r="M1668" s="124">
        <v>13.0</v>
      </c>
    </row>
    <row r="1669">
      <c r="A1669" s="151">
        <f>IFERROR(__xludf.DUMMYFUNCTION("""COMPUTED_VALUE"""),43793.14774797454)</f>
        <v>43793.14775</v>
      </c>
      <c r="B1669" t="str">
        <f>IFERROR(__xludf.DUMMYFUNCTION("""COMPUTED_VALUE"""),"Brad")</f>
        <v>Brad</v>
      </c>
      <c r="C1669" s="169" t="str">
        <f>IFERROR(__xludf.DUMMYFUNCTION("""COMPUTED_VALUE"""),"Miami")</f>
        <v>Miami</v>
      </c>
      <c r="D1669">
        <f>IFERROR(__xludf.DUMMYFUNCTION("""COMPUTED_VALUE"""),6.0)</f>
        <v>6</v>
      </c>
      <c r="E1669">
        <f>IFERROR(__xludf.DUMMYFUNCTION("""COMPUTED_VALUE"""),5.0)</f>
        <v>5</v>
      </c>
      <c r="F1669" t="str">
        <f>IFERROR(__xludf.DUMMYFUNCTION("""COMPUTED_VALUE"""),"NA")</f>
        <v>NA</v>
      </c>
      <c r="G1669" t="str">
        <f>IFERROR(__xludf.DUMMYFUNCTION("""COMPUTED_VALUE"""),"Miami 24 at Florida Intl 30")</f>
        <v>Miami 24 at Florida Intl 30</v>
      </c>
      <c r="H1669" t="str">
        <f>IFERROR(__xludf.DUMMYFUNCTION("""COMPUTED_VALUE"""),"FINAL")</f>
        <v>FINAL</v>
      </c>
      <c r="I1669" t="str">
        <f>IFERROR(__xludf.DUMMYFUNCTION("""COMPUTED_VALUE"""),"-18½")</f>
        <v>-18½</v>
      </c>
      <c r="J1669">
        <f>IFERROR(__xludf.DUMMYFUNCTION("""COMPUTED_VALUE"""),49.0)</f>
        <v>49</v>
      </c>
      <c r="K1669" t="str">
        <f>IFERROR(__xludf.DUMMYFUNCTION("""COMPUTED_VALUE"""),"Adam")</f>
        <v>Adam</v>
      </c>
      <c r="L1669" t="str">
        <f>IFERROR(__xludf.DUMMYFUNCTION("""COMPUTED_VALUE"""),"FINAL")</f>
        <v>FINAL</v>
      </c>
      <c r="M1669" s="124">
        <v>13.0</v>
      </c>
    </row>
    <row r="1670">
      <c r="A1670" s="151">
        <f>IFERROR(__xludf.DUMMYFUNCTION("""COMPUTED_VALUE"""),43793.14774797454)</f>
        <v>43793.14775</v>
      </c>
      <c r="B1670" t="str">
        <f>IFERROR(__xludf.DUMMYFUNCTION("""COMPUTED_VALUE"""),"Brad")</f>
        <v>Brad</v>
      </c>
      <c r="C1670" s="169" t="str">
        <f>IFERROR(__xludf.DUMMYFUNCTION("""COMPUTED_VALUE"""),"Utah")</f>
        <v>Utah</v>
      </c>
      <c r="D1670">
        <f>IFERROR(__xludf.DUMMYFUNCTION("""COMPUTED_VALUE"""),10.0)</f>
        <v>10</v>
      </c>
      <c r="E1670">
        <f>IFERROR(__xludf.DUMMYFUNCTION("""COMPUTED_VALUE"""),1.0)</f>
        <v>1</v>
      </c>
      <c r="F1670" t="str">
        <f>IFERROR(__xludf.DUMMYFUNCTION("""COMPUTED_VALUE"""),"FOX")</f>
        <v>FOX</v>
      </c>
      <c r="G1670" t="str">
        <f>IFERROR(__xludf.DUMMYFUNCTION("""COMPUTED_VALUE"""),"(8) Utah 35 at Arizona 7")</f>
        <v>(8) Utah 35 at Arizona 7</v>
      </c>
      <c r="H1670" t="str">
        <f>IFERROR(__xludf.DUMMYFUNCTION("""COMPUTED_VALUE"""),"FINAL")</f>
        <v>FINAL</v>
      </c>
      <c r="I1670" t="str">
        <f>IFERROR(__xludf.DUMMYFUNCTION("""COMPUTED_VALUE"""),"-22½")</f>
        <v>-22½</v>
      </c>
      <c r="J1670" t="str">
        <f>IFERROR(__xludf.DUMMYFUNCTION("""COMPUTED_VALUE"""),"58½")</f>
        <v>58½</v>
      </c>
      <c r="K1670" t="str">
        <f>IFERROR(__xludf.DUMMYFUNCTION("""COMPUTED_VALUE"""),"Janice/Mike")</f>
        <v>Janice/Mike</v>
      </c>
      <c r="L1670" t="str">
        <f>IFERROR(__xludf.DUMMYFUNCTION("""COMPUTED_VALUE"""),"FINAL")</f>
        <v>FINAL</v>
      </c>
      <c r="M1670" s="124">
        <v>13.0</v>
      </c>
    </row>
    <row r="1671">
      <c r="A1671" s="151">
        <f>IFERROR(__xludf.DUMMYFUNCTION("""COMPUTED_VALUE"""),43793.14774797454)</f>
        <v>43793.14775</v>
      </c>
      <c r="B1671" t="str">
        <f>IFERROR(__xludf.DUMMYFUNCTION("""COMPUTED_VALUE"""),"Brad")</f>
        <v>Brad</v>
      </c>
      <c r="C1671" s="169" t="str">
        <f>IFERROR(__xludf.DUMMYFUNCTION("""COMPUTED_VALUE"""),"South Carolina")</f>
        <v>South Carolina</v>
      </c>
      <c r="D1671">
        <f>IFERROR(__xludf.DUMMYFUNCTION("""COMPUTED_VALUE"""),4.0)</f>
        <v>4</v>
      </c>
      <c r="E1671">
        <f>IFERROR(__xludf.DUMMYFUNCTION("""COMPUTED_VALUE"""),7.0)</f>
        <v>7</v>
      </c>
      <c r="F1671" t="str">
        <f>IFERROR(__xludf.DUMMYFUNCTION("""COMPUTED_VALUE"""),"SEC Network")</f>
        <v>SEC Network</v>
      </c>
      <c r="G1671" t="str">
        <f>IFERROR(__xludf.DUMMYFUNCTION("""COMPUTED_VALUE"""),"BYE")</f>
        <v>BYE</v>
      </c>
      <c r="I1671" t="str">
        <f>IFERROR(__xludf.DUMMYFUNCTION("""COMPUTED_VALUE"""),"bye")</f>
        <v>bye</v>
      </c>
      <c r="J1671" t="str">
        <f>IFERROR(__xludf.DUMMYFUNCTION("""COMPUTED_VALUE"""),"bye")</f>
        <v>bye</v>
      </c>
      <c r="L1671">
        <f>IFERROR(__xludf.DUMMYFUNCTION("""COMPUTED_VALUE"""),9999.0)</f>
        <v>9999</v>
      </c>
      <c r="M1671" s="124">
        <v>13.0</v>
      </c>
    </row>
    <row r="1672">
      <c r="A1672" s="151">
        <f>IFERROR(__xludf.DUMMYFUNCTION("""COMPUTED_VALUE"""),43793.14774797454)</f>
        <v>43793.14775</v>
      </c>
      <c r="B1672" t="str">
        <f>IFERROR(__xludf.DUMMYFUNCTION("""COMPUTED_VALUE"""),"Nick G.")</f>
        <v>Nick G.</v>
      </c>
      <c r="C1672" s="169" t="str">
        <f>IFERROR(__xludf.DUMMYFUNCTION("""COMPUTED_VALUE"""),"NC State")</f>
        <v>NC State</v>
      </c>
      <c r="D1672">
        <f>IFERROR(__xludf.DUMMYFUNCTION("""COMPUTED_VALUE"""),4.0)</f>
        <v>4</v>
      </c>
      <c r="E1672">
        <f>IFERROR(__xludf.DUMMYFUNCTION("""COMPUTED_VALUE"""),7.0)</f>
        <v>7</v>
      </c>
      <c r="F1672" t="str">
        <f>IFERROR(__xludf.DUMMYFUNCTION("""COMPUTED_VALUE"""),"ACC Network")</f>
        <v>ACC Network</v>
      </c>
      <c r="G1672" t="str">
        <f>IFERROR(__xludf.DUMMYFUNCTION("""COMPUTED_VALUE"""),"NC State 26 at Georgia Tech 28")</f>
        <v>NC State 26 at Georgia Tech 28</v>
      </c>
      <c r="H1672" t="str">
        <f>IFERROR(__xludf.DUMMYFUNCTION("""COMPUTED_VALUE"""),"FINAL")</f>
        <v>FINAL</v>
      </c>
      <c r="I1672">
        <f>IFERROR(__xludf.DUMMYFUNCTION("""COMPUTED_VALUE"""),2.0)</f>
        <v>2</v>
      </c>
      <c r="J1672" t="str">
        <f>IFERROR(__xludf.DUMMYFUNCTION("""COMPUTED_VALUE"""),"47½")</f>
        <v>47½</v>
      </c>
      <c r="K1672" t="str">
        <f>IFERROR(__xludf.DUMMYFUNCTION("""COMPUTED_VALUE"""),"Undrafted")</f>
        <v>Undrafted</v>
      </c>
      <c r="L1672" t="str">
        <f>IFERROR(__xludf.DUMMYFUNCTION("""COMPUTED_VALUE"""),"FINAL")</f>
        <v>FINAL</v>
      </c>
      <c r="M1672" s="124">
        <v>13.0</v>
      </c>
    </row>
    <row r="1673">
      <c r="A1673" s="151">
        <f>IFERROR(__xludf.DUMMYFUNCTION("""COMPUTED_VALUE"""),43793.14774797454)</f>
        <v>43793.14775</v>
      </c>
      <c r="B1673" t="str">
        <f>IFERROR(__xludf.DUMMYFUNCTION("""COMPUTED_VALUE"""),"Nick G.")</f>
        <v>Nick G.</v>
      </c>
      <c r="C1673" s="169" t="str">
        <f>IFERROR(__xludf.DUMMYFUNCTION("""COMPUTED_VALUE"""),"Wyoming")</f>
        <v>Wyoming</v>
      </c>
      <c r="D1673">
        <f>IFERROR(__xludf.DUMMYFUNCTION("""COMPUTED_VALUE"""),7.0)</f>
        <v>7</v>
      </c>
      <c r="E1673">
        <f>IFERROR(__xludf.DUMMYFUNCTION("""COMPUTED_VALUE"""),4.0)</f>
        <v>4</v>
      </c>
      <c r="F1673" t="str">
        <f>IFERROR(__xludf.DUMMYFUNCTION("""COMPUTED_VALUE"""),"ESPNU")</f>
        <v>ESPNU</v>
      </c>
      <c r="G1673" t="str">
        <f>IFERROR(__xludf.DUMMYFUNCTION("""COMPUTED_VALUE"""),"Colorado State 7 at Wyoming 17")</f>
        <v>Colorado State 7 at Wyoming 17</v>
      </c>
      <c r="H1673" t="str">
        <f>IFERROR(__xludf.DUMMYFUNCTION("""COMPUTED_VALUE"""),"FINAL")</f>
        <v>FINAL</v>
      </c>
      <c r="I1673">
        <f>IFERROR(__xludf.DUMMYFUNCTION("""COMPUTED_VALUE"""),-7.0)</f>
        <v>-7</v>
      </c>
      <c r="J1673" t="str">
        <f>IFERROR(__xludf.DUMMYFUNCTION("""COMPUTED_VALUE"""),"50½")</f>
        <v>50½</v>
      </c>
      <c r="K1673" t="str">
        <f>IFERROR(__xludf.DUMMYFUNCTION("""COMPUTED_VALUE"""),"Brad")</f>
        <v>Brad</v>
      </c>
      <c r="L1673" t="str">
        <f>IFERROR(__xludf.DUMMYFUNCTION("""COMPUTED_VALUE"""),"FINAL")</f>
        <v>FINAL</v>
      </c>
      <c r="M1673" s="124">
        <v>13.0</v>
      </c>
    </row>
    <row r="1674">
      <c r="A1674" s="151">
        <f>IFERROR(__xludf.DUMMYFUNCTION("""COMPUTED_VALUE"""),43793.14774797454)</f>
        <v>43793.14775</v>
      </c>
      <c r="B1674" t="str">
        <f>IFERROR(__xludf.DUMMYFUNCTION("""COMPUTED_VALUE"""),"Nick G.")</f>
        <v>Nick G.</v>
      </c>
      <c r="C1674" s="169" t="str">
        <f>IFERROR(__xludf.DUMMYFUNCTION("""COMPUTED_VALUE"""),"Ohio State")</f>
        <v>Ohio State</v>
      </c>
      <c r="D1674">
        <f>IFERROR(__xludf.DUMMYFUNCTION("""COMPUTED_VALUE"""),11.0)</f>
        <v>11</v>
      </c>
      <c r="E1674">
        <f>IFERROR(__xludf.DUMMYFUNCTION("""COMPUTED_VALUE"""),0.0)</f>
        <v>0</v>
      </c>
      <c r="F1674" t="str">
        <f>IFERROR(__xludf.DUMMYFUNCTION("""COMPUTED_VALUE"""),"BTN")</f>
        <v>BTN</v>
      </c>
      <c r="G1674" t="str">
        <f>IFERROR(__xludf.DUMMYFUNCTION("""COMPUTED_VALUE"""),"(9) Penn State 17 at (2) Ohio State 28")</f>
        <v>(9) Penn State 17 at (2) Ohio State 28</v>
      </c>
      <c r="H1674" t="str">
        <f>IFERROR(__xludf.DUMMYFUNCTION("""COMPUTED_VALUE"""),"FINAL")</f>
        <v>FINAL</v>
      </c>
      <c r="I1674">
        <f>IFERROR(__xludf.DUMMYFUNCTION("""COMPUTED_VALUE"""),-18.0)</f>
        <v>-18</v>
      </c>
      <c r="J1674">
        <f>IFERROR(__xludf.DUMMYFUNCTION("""COMPUTED_VALUE"""),57.0)</f>
        <v>57</v>
      </c>
      <c r="K1674" t="str">
        <f>IFERROR(__xludf.DUMMYFUNCTION("""COMPUTED_VALUE"""),"Jeannine")</f>
        <v>Jeannine</v>
      </c>
      <c r="L1674" t="str">
        <f>IFERROR(__xludf.DUMMYFUNCTION("""COMPUTED_VALUE"""),"FINAL")</f>
        <v>FINAL</v>
      </c>
      <c r="M1674" s="124">
        <v>13.0</v>
      </c>
    </row>
    <row r="1675">
      <c r="A1675" s="151">
        <f>IFERROR(__xludf.DUMMYFUNCTION("""COMPUTED_VALUE"""),43793.14774797454)</f>
        <v>43793.14775</v>
      </c>
      <c r="B1675" t="str">
        <f>IFERROR(__xludf.DUMMYFUNCTION("""COMPUTED_VALUE"""),"Nick G.")</f>
        <v>Nick G.</v>
      </c>
      <c r="C1675" s="169" t="str">
        <f>IFERROR(__xludf.DUMMYFUNCTION("""COMPUTED_VALUE"""),"Auburn")</f>
        <v>Auburn</v>
      </c>
      <c r="D1675">
        <f>IFERROR(__xludf.DUMMYFUNCTION("""COMPUTED_VALUE"""),8.0)</f>
        <v>8</v>
      </c>
      <c r="E1675">
        <f>IFERROR(__xludf.DUMMYFUNCTION("""COMPUTED_VALUE"""),3.0)</f>
        <v>3</v>
      </c>
      <c r="F1675" t="str">
        <f>IFERROR(__xludf.DUMMYFUNCTION("""COMPUTED_VALUE"""),"CBS")</f>
        <v>CBS</v>
      </c>
      <c r="G1675" t="str">
        <f>IFERROR(__xludf.DUMMYFUNCTION("""COMPUTED_VALUE"""),"Samford 0 at (16) Auburn 52")</f>
        <v>Samford 0 at (16) Auburn 52</v>
      </c>
      <c r="H1675" t="str">
        <f>IFERROR(__xludf.DUMMYFUNCTION("""COMPUTED_VALUE"""),"FINAL")</f>
        <v>FINAL</v>
      </c>
      <c r="I1675" t="str">
        <f>IFERROR(__xludf.DUMMYFUNCTION("""COMPUTED_VALUE"""),"No Line")</f>
        <v>No Line</v>
      </c>
      <c r="K1675" t="str">
        <f>IFERROR(__xludf.DUMMYFUNCTION("""COMPUTED_VALUE"""),"Undrafted")</f>
        <v>Undrafted</v>
      </c>
      <c r="L1675" t="str">
        <f>IFERROR(__xludf.DUMMYFUNCTION("""COMPUTED_VALUE"""),"FINAL")</f>
        <v>FINAL</v>
      </c>
      <c r="M1675" s="124">
        <v>13.0</v>
      </c>
    </row>
    <row r="1676">
      <c r="A1676" s="151">
        <f>IFERROR(__xludf.DUMMYFUNCTION("""COMPUTED_VALUE"""),43793.14774797454)</f>
        <v>43793.14775</v>
      </c>
      <c r="B1676" t="str">
        <f>IFERROR(__xludf.DUMMYFUNCTION("""COMPUTED_VALUE"""),"Nick G.")</f>
        <v>Nick G.</v>
      </c>
      <c r="C1676" s="169" t="str">
        <f>IFERROR(__xludf.DUMMYFUNCTION("""COMPUTED_VALUE"""),"UConn")</f>
        <v>UConn</v>
      </c>
      <c r="D1676">
        <f>IFERROR(__xludf.DUMMYFUNCTION("""COMPUTED_VALUE"""),2.0)</f>
        <v>2</v>
      </c>
      <c r="E1676">
        <f>IFERROR(__xludf.DUMMYFUNCTION("""COMPUTED_VALUE"""),9.0)</f>
        <v>9</v>
      </c>
      <c r="F1676" t="str">
        <f>IFERROR(__xludf.DUMMYFUNCTION("""COMPUTED_VALUE"""),"NA")</f>
        <v>NA</v>
      </c>
      <c r="G1676" t="str">
        <f>IFERROR(__xludf.DUMMYFUNCTION("""COMPUTED_VALUE"""),"East Carolina 31 at UConn 24")</f>
        <v>East Carolina 31 at UConn 24</v>
      </c>
      <c r="H1676" t="str">
        <f>IFERROR(__xludf.DUMMYFUNCTION("""COMPUTED_VALUE"""),"FINAL")</f>
        <v>FINAL</v>
      </c>
      <c r="I1676">
        <f>IFERROR(__xludf.DUMMYFUNCTION("""COMPUTED_VALUE"""),14.0)</f>
        <v>14</v>
      </c>
      <c r="J1676">
        <f>IFERROR(__xludf.DUMMYFUNCTION("""COMPUTED_VALUE"""),66.0)</f>
        <v>66</v>
      </c>
      <c r="K1676" t="str">
        <f>IFERROR(__xludf.DUMMYFUNCTION("""COMPUTED_VALUE"""),"Nick A.")</f>
        <v>Nick A.</v>
      </c>
      <c r="L1676" t="str">
        <f>IFERROR(__xludf.DUMMYFUNCTION("""COMPUTED_VALUE"""),"FINAL")</f>
        <v>FINAL</v>
      </c>
      <c r="M1676" s="124">
        <v>13.0</v>
      </c>
    </row>
    <row r="1677">
      <c r="A1677" s="151">
        <f>IFERROR(__xludf.DUMMYFUNCTION("""COMPUTED_VALUE"""),43793.14774797454)</f>
        <v>43793.14775</v>
      </c>
      <c r="B1677" t="str">
        <f>IFERROR(__xludf.DUMMYFUNCTION("""COMPUTED_VALUE"""),"Nick G.")</f>
        <v>Nick G.</v>
      </c>
      <c r="C1677" s="169" t="str">
        <f>IFERROR(__xludf.DUMMYFUNCTION("""COMPUTED_VALUE"""),"Stanford")</f>
        <v>Stanford</v>
      </c>
      <c r="D1677">
        <f>IFERROR(__xludf.DUMMYFUNCTION("""COMPUTED_VALUE"""),4.0)</f>
        <v>4</v>
      </c>
      <c r="E1677">
        <f>IFERROR(__xludf.DUMMYFUNCTION("""COMPUTED_VALUE"""),7.0)</f>
        <v>7</v>
      </c>
      <c r="F1677" t="str">
        <f>IFERROR(__xludf.DUMMYFUNCTION("""COMPUTED_VALUE"""),"Pac-12")</f>
        <v>Pac-12</v>
      </c>
      <c r="G1677" t="str">
        <f>IFERROR(__xludf.DUMMYFUNCTION("""COMPUTED_VALUE"""),"California 24 at Stanford 20")</f>
        <v>California 24 at Stanford 20</v>
      </c>
      <c r="H1677" t="str">
        <f>IFERROR(__xludf.DUMMYFUNCTION("""COMPUTED_VALUE"""),"FINAL")</f>
        <v>FINAL</v>
      </c>
      <c r="I1677">
        <f>IFERROR(__xludf.DUMMYFUNCTION("""COMPUTED_VALUE"""),-3.0)</f>
        <v>-3</v>
      </c>
      <c r="J1677">
        <f>IFERROR(__xludf.DUMMYFUNCTION("""COMPUTED_VALUE"""),42.0)</f>
        <v>42</v>
      </c>
      <c r="K1677" t="str">
        <f>IFERROR(__xludf.DUMMYFUNCTION("""COMPUTED_VALUE"""),"DavEmily")</f>
        <v>DavEmily</v>
      </c>
      <c r="L1677" t="str">
        <f>IFERROR(__xludf.DUMMYFUNCTION("""COMPUTED_VALUE"""),"FINAL")</f>
        <v>FINAL</v>
      </c>
      <c r="M1677" s="124">
        <v>13.0</v>
      </c>
    </row>
    <row r="1678">
      <c r="A1678" s="151">
        <f>IFERROR(__xludf.DUMMYFUNCTION("""COMPUTED_VALUE"""),43793.14774797454)</f>
        <v>43793.14775</v>
      </c>
      <c r="B1678" t="str">
        <f>IFERROR(__xludf.DUMMYFUNCTION("""COMPUTED_VALUE"""),"Nick G.")</f>
        <v>Nick G.</v>
      </c>
      <c r="C1678" s="169" t="str">
        <f>IFERROR(__xludf.DUMMYFUNCTION("""COMPUTED_VALUE"""),"Troy")</f>
        <v>Troy</v>
      </c>
      <c r="D1678">
        <f>IFERROR(__xludf.DUMMYFUNCTION("""COMPUTED_VALUE"""),5.0)</f>
        <v>5</v>
      </c>
      <c r="E1678">
        <f>IFERROR(__xludf.DUMMYFUNCTION("""COMPUTED_VALUE"""),6.0)</f>
        <v>6</v>
      </c>
      <c r="F1678" t="str">
        <f>IFERROR(__xludf.DUMMYFUNCTION("""COMPUTED_VALUE"""),"espn3 Video")</f>
        <v>espn3 Video</v>
      </c>
      <c r="G1678" t="str">
        <f>IFERROR(__xludf.DUMMYFUNCTION("""COMPUTED_VALUE"""),"Troy 3 at UL Lafayette 53")</f>
        <v>Troy 3 at UL Lafayette 53</v>
      </c>
      <c r="H1678" t="str">
        <f>IFERROR(__xludf.DUMMYFUNCTION("""COMPUTED_VALUE"""),"FINAL")</f>
        <v>FINAL</v>
      </c>
      <c r="I1678">
        <f>IFERROR(__xludf.DUMMYFUNCTION("""COMPUTED_VALUE"""),13.0)</f>
        <v>13</v>
      </c>
      <c r="J1678">
        <f>IFERROR(__xludf.DUMMYFUNCTION("""COMPUTED_VALUE"""),70.0)</f>
        <v>70</v>
      </c>
      <c r="K1678" t="str">
        <f>IFERROR(__xludf.DUMMYFUNCTION("""COMPUTED_VALUE"""),"Gary")</f>
        <v>Gary</v>
      </c>
      <c r="L1678" t="str">
        <f>IFERROR(__xludf.DUMMYFUNCTION("""COMPUTED_VALUE"""),"FINAL")</f>
        <v>FINAL</v>
      </c>
      <c r="M1678" s="124">
        <v>13.0</v>
      </c>
    </row>
    <row r="1679">
      <c r="A1679" s="151">
        <f>IFERROR(__xludf.DUMMYFUNCTION("""COMPUTED_VALUE"""),43793.14774797454)</f>
        <v>43793.14775</v>
      </c>
      <c r="B1679" t="str">
        <f>IFERROR(__xludf.DUMMYFUNCTION("""COMPUTED_VALUE"""),"Nick G.")</f>
        <v>Nick G.</v>
      </c>
      <c r="C1679" s="169" t="str">
        <f>IFERROR(__xludf.DUMMYFUNCTION("""COMPUTED_VALUE"""),"Florida Atlantic")</f>
        <v>Florida Atlantic</v>
      </c>
      <c r="D1679">
        <f>IFERROR(__xludf.DUMMYFUNCTION("""COMPUTED_VALUE"""),8.0)</f>
        <v>8</v>
      </c>
      <c r="E1679">
        <f>IFERROR(__xludf.DUMMYFUNCTION("""COMPUTED_VALUE"""),3.0)</f>
        <v>3</v>
      </c>
      <c r="F1679" t="str">
        <f>IFERROR(__xludf.DUMMYFUNCTION("""COMPUTED_VALUE"""),"NA")</f>
        <v>NA</v>
      </c>
      <c r="G1679" t="str">
        <f>IFERROR(__xludf.DUMMYFUNCTION("""COMPUTED_VALUE"""),"Florida Atlantic 40 at UTSA 26")</f>
        <v>Florida Atlantic 40 at UTSA 26</v>
      </c>
      <c r="H1679" t="str">
        <f>IFERROR(__xludf.DUMMYFUNCTION("""COMPUTED_VALUE"""),"FINAL")</f>
        <v>FINAL</v>
      </c>
      <c r="I1679" t="str">
        <f>IFERROR(__xludf.DUMMYFUNCTION("""COMPUTED_VALUE"""),"-20½")</f>
        <v>-20½</v>
      </c>
      <c r="J1679">
        <f>IFERROR(__xludf.DUMMYFUNCTION("""COMPUTED_VALUE"""),56.0)</f>
        <v>56</v>
      </c>
      <c r="K1679" t="str">
        <f>IFERROR(__xludf.DUMMYFUNCTION("""COMPUTED_VALUE"""),"DavEmily")</f>
        <v>DavEmily</v>
      </c>
      <c r="L1679" t="str">
        <f>IFERROR(__xludf.DUMMYFUNCTION("""COMPUTED_VALUE"""),"FINAL")</f>
        <v>FINAL</v>
      </c>
      <c r="M1679" s="124">
        <v>13.0</v>
      </c>
    </row>
    <row r="1680">
      <c r="A1680" s="151">
        <f>IFERROR(__xludf.DUMMYFUNCTION("""COMPUTED_VALUE"""),43793.14774797454)</f>
        <v>43793.14775</v>
      </c>
      <c r="B1680" t="str">
        <f>IFERROR(__xludf.DUMMYFUNCTION("""COMPUTED_VALUE"""),"Nick G.")</f>
        <v>Nick G.</v>
      </c>
      <c r="C1680" s="169" t="str">
        <f>IFERROR(__xludf.DUMMYFUNCTION("""COMPUTED_VALUE"""),"Kansas State")</f>
        <v>Kansas State</v>
      </c>
      <c r="D1680">
        <f>IFERROR(__xludf.DUMMYFUNCTION("""COMPUTED_VALUE"""),7.0)</f>
        <v>7</v>
      </c>
      <c r="E1680">
        <f>IFERROR(__xludf.DUMMYFUNCTION("""COMPUTED_VALUE"""),4.0)</f>
        <v>4</v>
      </c>
      <c r="F1680" t="str">
        <f>IFERROR(__xludf.DUMMYFUNCTION("""COMPUTED_VALUE"""),"ESPN")</f>
        <v>ESPN</v>
      </c>
      <c r="G1680" t="str">
        <f>IFERROR(__xludf.DUMMYFUNCTION("""COMPUTED_VALUE"""),"Kansas State 30 at Texas Tech 27")</f>
        <v>Kansas State 30 at Texas Tech 27</v>
      </c>
      <c r="H1680" t="str">
        <f>IFERROR(__xludf.DUMMYFUNCTION("""COMPUTED_VALUE"""),"FINAL")</f>
        <v>FINAL</v>
      </c>
      <c r="I1680" t="str">
        <f>IFERROR(__xludf.DUMMYFUNCTION("""COMPUTED_VALUE"""),"2½")</f>
        <v>2½</v>
      </c>
      <c r="J1680" t="str">
        <f>IFERROR(__xludf.DUMMYFUNCTION("""COMPUTED_VALUE"""),"55½")</f>
        <v>55½</v>
      </c>
      <c r="K1680" t="str">
        <f>IFERROR(__xludf.DUMMYFUNCTION("""COMPUTED_VALUE"""),"Janice/Mike")</f>
        <v>Janice/Mike</v>
      </c>
      <c r="L1680" t="str">
        <f>IFERROR(__xludf.DUMMYFUNCTION("""COMPUTED_VALUE"""),"FINAL")</f>
        <v>FINAL</v>
      </c>
      <c r="M1680" s="124">
        <v>13.0</v>
      </c>
    </row>
    <row r="1681">
      <c r="A1681" s="151">
        <f>IFERROR(__xludf.DUMMYFUNCTION("""COMPUTED_VALUE"""),43793.14774797454)</f>
        <v>43793.14775</v>
      </c>
      <c r="B1681" t="str">
        <f>IFERROR(__xludf.DUMMYFUNCTION("""COMPUTED_VALUE"""),"Nick G.")</f>
        <v>Nick G.</v>
      </c>
      <c r="C1681" s="169" t="str">
        <f>IFERROR(__xludf.DUMMYFUNCTION("""COMPUTED_VALUE"""),"Central Michigan")</f>
        <v>Central Michigan</v>
      </c>
      <c r="D1681">
        <f>IFERROR(__xludf.DUMMYFUNCTION("""COMPUTED_VALUE"""),7.0)</f>
        <v>7</v>
      </c>
      <c r="E1681">
        <f>IFERROR(__xludf.DUMMYFUNCTION("""COMPUTED_VALUE"""),4.0)</f>
        <v>4</v>
      </c>
      <c r="F1681" t="str">
        <f>IFERROR(__xludf.DUMMYFUNCTION("""COMPUTED_VALUE"""),"CBSSN")</f>
        <v>CBSSN</v>
      </c>
      <c r="G1681" t="str">
        <f>IFERROR(__xludf.DUMMYFUNCTION("""COMPUTED_VALUE"""),"BYE")</f>
        <v>BYE</v>
      </c>
      <c r="I1681" t="str">
        <f>IFERROR(__xludf.DUMMYFUNCTION("""COMPUTED_VALUE"""),"bye")</f>
        <v>bye</v>
      </c>
      <c r="J1681" t="str">
        <f>IFERROR(__xludf.DUMMYFUNCTION("""COMPUTED_VALUE"""),"bye")</f>
        <v>bye</v>
      </c>
      <c r="L1681">
        <f>IFERROR(__xludf.DUMMYFUNCTION("""COMPUTED_VALUE"""),9999.0)</f>
        <v>9999</v>
      </c>
      <c r="M1681" s="124">
        <v>13.0</v>
      </c>
    </row>
    <row r="1682">
      <c r="A1682" s="151">
        <f>IFERROR(__xludf.DUMMYFUNCTION("""COMPUTED_VALUE"""),43800.147749861106)</f>
        <v>43800.14775</v>
      </c>
      <c r="B1682" t="str">
        <f>IFERROR(__xludf.DUMMYFUNCTION("""COMPUTED_VALUE"""),"DavEmily")</f>
        <v>DavEmily</v>
      </c>
      <c r="C1682" s="169" t="str">
        <f>IFERROR(__xludf.DUMMYFUNCTION("""COMPUTED_VALUE"""),"Virginia Tech")</f>
        <v>Virginia Tech</v>
      </c>
      <c r="D1682">
        <f>IFERROR(__xludf.DUMMYFUNCTION("""COMPUTED_VALUE"""),8.0)</f>
        <v>8</v>
      </c>
      <c r="E1682">
        <f>IFERROR(__xludf.DUMMYFUNCTION("""COMPUTED_VALUE"""),4.0)</f>
        <v>4</v>
      </c>
      <c r="F1682" t="str">
        <f>IFERROR(__xludf.DUMMYFUNCTION("""COMPUTED_VALUE"""),"ACC RSN")</f>
        <v>ACC RSN</v>
      </c>
      <c r="G1682" t="str">
        <f>IFERROR(__xludf.DUMMYFUNCTION("""COMPUTED_VALUE"""),"(23) Virginia Tech 30 at Virginia 39")</f>
        <v>(23) Virginia Tech 30 at Virginia 39</v>
      </c>
      <c r="H1682" t="str">
        <f>IFERROR(__xludf.DUMMYFUNCTION("""COMPUTED_VALUE"""),"FINAL")</f>
        <v>FINAL</v>
      </c>
      <c r="I1682">
        <f>IFERROR(__xludf.DUMMYFUNCTION("""COMPUTED_VALUE"""),-3.0)</f>
        <v>-3</v>
      </c>
      <c r="J1682">
        <f>IFERROR(__xludf.DUMMYFUNCTION("""COMPUTED_VALUE"""),48.0)</f>
        <v>48</v>
      </c>
      <c r="K1682" t="str">
        <f>IFERROR(__xludf.DUMMYFUNCTION("""COMPUTED_VALUE"""),"Jeannine")</f>
        <v>Jeannine</v>
      </c>
      <c r="L1682" t="str">
        <f>IFERROR(__xludf.DUMMYFUNCTION("""COMPUTED_VALUE"""),"FINAL")</f>
        <v>FINAL</v>
      </c>
      <c r="M1682" s="124">
        <v>14.0</v>
      </c>
    </row>
    <row r="1683">
      <c r="A1683" s="151">
        <f>IFERROR(__xludf.DUMMYFUNCTION("""COMPUTED_VALUE"""),43800.147749861106)</f>
        <v>43800.14775</v>
      </c>
      <c r="B1683" t="str">
        <f>IFERROR(__xludf.DUMMYFUNCTION("""COMPUTED_VALUE"""),"DavEmily")</f>
        <v>DavEmily</v>
      </c>
      <c r="C1683" s="169" t="str">
        <f>IFERROR(__xludf.DUMMYFUNCTION("""COMPUTED_VALUE"""),"Ball State")</f>
        <v>Ball State</v>
      </c>
      <c r="D1683">
        <f>IFERROR(__xludf.DUMMYFUNCTION("""COMPUTED_VALUE"""),5.0)</f>
        <v>5</v>
      </c>
      <c r="E1683">
        <f>IFERROR(__xludf.DUMMYFUNCTION("""COMPUTED_VALUE"""),7.0)</f>
        <v>7</v>
      </c>
      <c r="F1683" t="str">
        <f>IFERROR(__xludf.DUMMYFUNCTION("""COMPUTED_VALUE"""),"CBSSN")</f>
        <v>CBSSN</v>
      </c>
      <c r="G1683" t="str">
        <f>IFERROR(__xludf.DUMMYFUNCTION("""COMPUTED_VALUE"""),"Miami-OH 27 at Ball State 41")</f>
        <v>Miami-OH 27 at Ball State 41</v>
      </c>
      <c r="H1683" t="str">
        <f>IFERROR(__xludf.DUMMYFUNCTION("""COMPUTED_VALUE"""),"FINAL")</f>
        <v>FINAL</v>
      </c>
      <c r="I1683">
        <f>IFERROR(__xludf.DUMMYFUNCTION("""COMPUTED_VALUE"""),-3.0)</f>
        <v>-3</v>
      </c>
      <c r="J1683">
        <f>IFERROR(__xludf.DUMMYFUNCTION("""COMPUTED_VALUE"""),56.0)</f>
        <v>56</v>
      </c>
      <c r="K1683" t="str">
        <f>IFERROR(__xludf.DUMMYFUNCTION("""COMPUTED_VALUE"""),"Nico")</f>
        <v>Nico</v>
      </c>
      <c r="L1683" t="str">
        <f>IFERROR(__xludf.DUMMYFUNCTION("""COMPUTED_VALUE"""),"FINAL")</f>
        <v>FINAL</v>
      </c>
      <c r="M1683" s="124">
        <v>14.0</v>
      </c>
    </row>
    <row r="1684">
      <c r="A1684" s="151">
        <f>IFERROR(__xludf.DUMMYFUNCTION("""COMPUTED_VALUE"""),43800.147749861106)</f>
        <v>43800.14775</v>
      </c>
      <c r="B1684" t="str">
        <f>IFERROR(__xludf.DUMMYFUNCTION("""COMPUTED_VALUE"""),"DavEmily")</f>
        <v>DavEmily</v>
      </c>
      <c r="C1684" s="169" t="str">
        <f>IFERROR(__xludf.DUMMYFUNCTION("""COMPUTED_VALUE"""),"Nebraska")</f>
        <v>Nebraska</v>
      </c>
      <c r="D1684">
        <f>IFERROR(__xludf.DUMMYFUNCTION("""COMPUTED_VALUE"""),5.0)</f>
        <v>5</v>
      </c>
      <c r="E1684">
        <f>IFERROR(__xludf.DUMMYFUNCTION("""COMPUTED_VALUE"""),7.0)</f>
        <v>7</v>
      </c>
      <c r="F1684" t="str">
        <f>IFERROR(__xludf.DUMMYFUNCTION("""COMPUTED_VALUE"""),"BTN")</f>
        <v>BTN</v>
      </c>
      <c r="G1684" t="str">
        <f>IFERROR(__xludf.DUMMYFUNCTION("""COMPUTED_VALUE"""),"(20) Iowa 27 at Nebraska 24")</f>
        <v>(20) Iowa 27 at Nebraska 24</v>
      </c>
      <c r="H1684" t="str">
        <f>IFERROR(__xludf.DUMMYFUNCTION("""COMPUTED_VALUE"""),"FINAL")</f>
        <v>FINAL</v>
      </c>
      <c r="I1684">
        <f>IFERROR(__xludf.DUMMYFUNCTION("""COMPUTED_VALUE"""),5.0)</f>
        <v>5</v>
      </c>
      <c r="J1684" t="str">
        <f>IFERROR(__xludf.DUMMYFUNCTION("""COMPUTED_VALUE"""),"43½")</f>
        <v>43½</v>
      </c>
      <c r="K1684" t="str">
        <f>IFERROR(__xludf.DUMMYFUNCTION("""COMPUTED_VALUE"""),"Justin")</f>
        <v>Justin</v>
      </c>
      <c r="L1684" t="str">
        <f>IFERROR(__xludf.DUMMYFUNCTION("""COMPUTED_VALUE"""),"FINAL")</f>
        <v>FINAL</v>
      </c>
      <c r="M1684" s="124">
        <v>14.0</v>
      </c>
    </row>
    <row r="1685">
      <c r="A1685" s="151">
        <f>IFERROR(__xludf.DUMMYFUNCTION("""COMPUTED_VALUE"""),43800.147749861106)</f>
        <v>43800.14775</v>
      </c>
      <c r="B1685" t="str">
        <f>IFERROR(__xludf.DUMMYFUNCTION("""COMPUTED_VALUE"""),"DavEmily")</f>
        <v>DavEmily</v>
      </c>
      <c r="C1685" s="169" t="str">
        <f>IFERROR(__xludf.DUMMYFUNCTION("""COMPUTED_VALUE"""),"Coastal Carolina")</f>
        <v>Coastal Carolina</v>
      </c>
      <c r="D1685">
        <f>IFERROR(__xludf.DUMMYFUNCTION("""COMPUTED_VALUE"""),5.0)</f>
        <v>5</v>
      </c>
      <c r="E1685">
        <f>IFERROR(__xludf.DUMMYFUNCTION("""COMPUTED_VALUE"""),7.0)</f>
        <v>7</v>
      </c>
      <c r="F1685" t="str">
        <f>IFERROR(__xludf.DUMMYFUNCTION("""COMPUTED_VALUE"""),"espn+ Video")</f>
        <v>espn+ Video</v>
      </c>
      <c r="G1685" t="str">
        <f>IFERROR(__xludf.DUMMYFUNCTION("""COMPUTED_VALUE"""),"Texas State 21 at Coastal Carolina 24")</f>
        <v>Texas State 21 at Coastal Carolina 24</v>
      </c>
      <c r="H1685" t="str">
        <f>IFERROR(__xludf.DUMMYFUNCTION("""COMPUTED_VALUE"""),"FINAL")</f>
        <v>FINAL</v>
      </c>
      <c r="I1685">
        <f>IFERROR(__xludf.DUMMYFUNCTION("""COMPUTED_VALUE"""),-7.0)</f>
        <v>-7</v>
      </c>
      <c r="J1685" t="str">
        <f>IFERROR(__xludf.DUMMYFUNCTION("""COMPUTED_VALUE"""),"53½")</f>
        <v>53½</v>
      </c>
      <c r="K1685" t="str">
        <f>IFERROR(__xludf.DUMMYFUNCTION("""COMPUTED_VALUE"""),"Brad")</f>
        <v>Brad</v>
      </c>
      <c r="L1685" t="str">
        <f>IFERROR(__xludf.DUMMYFUNCTION("""COMPUTED_VALUE"""),"FINAL")</f>
        <v>FINAL</v>
      </c>
      <c r="M1685" s="124">
        <v>14.0</v>
      </c>
    </row>
    <row r="1686">
      <c r="A1686" s="151">
        <f>IFERROR(__xludf.DUMMYFUNCTION("""COMPUTED_VALUE"""),43800.147749861106)</f>
        <v>43800.14775</v>
      </c>
      <c r="B1686" t="str">
        <f>IFERROR(__xludf.DUMMYFUNCTION("""COMPUTED_VALUE"""),"DavEmily")</f>
        <v>DavEmily</v>
      </c>
      <c r="C1686" s="169" t="str">
        <f>IFERROR(__xludf.DUMMYFUNCTION("""COMPUTED_VALUE"""),"Tulsa")</f>
        <v>Tulsa</v>
      </c>
      <c r="D1686">
        <f>IFERROR(__xludf.DUMMYFUNCTION("""COMPUTED_VALUE"""),4.0)</f>
        <v>4</v>
      </c>
      <c r="E1686">
        <f>IFERROR(__xludf.DUMMYFUNCTION("""COMPUTED_VALUE"""),8.0)</f>
        <v>8</v>
      </c>
      <c r="F1686" t="str">
        <f>IFERROR(__xludf.DUMMYFUNCTION("""COMPUTED_VALUE"""),"NA")</f>
        <v>NA</v>
      </c>
      <c r="G1686" t="str">
        <f>IFERROR(__xludf.DUMMYFUNCTION("""COMPUTED_VALUE"""),"Tulsa 49 at East Carolina 24")</f>
        <v>Tulsa 49 at East Carolina 24</v>
      </c>
      <c r="H1686" t="str">
        <f>IFERROR(__xludf.DUMMYFUNCTION("""COMPUTED_VALUE"""),"FINAL")</f>
        <v>FINAL</v>
      </c>
      <c r="I1686" t="str">
        <f>IFERROR(__xludf.DUMMYFUNCTION("""COMPUTED_VALUE"""),"-5½")</f>
        <v>-5½</v>
      </c>
      <c r="J1686">
        <f>IFERROR(__xludf.DUMMYFUNCTION("""COMPUTED_VALUE"""),61.0)</f>
        <v>61</v>
      </c>
      <c r="K1686" t="str">
        <f>IFERROR(__xludf.DUMMYFUNCTION("""COMPUTED_VALUE"""),"Nick A.")</f>
        <v>Nick A.</v>
      </c>
      <c r="L1686" t="str">
        <f>IFERROR(__xludf.DUMMYFUNCTION("""COMPUTED_VALUE"""),"FINAL")</f>
        <v>FINAL</v>
      </c>
      <c r="M1686" s="124">
        <v>14.0</v>
      </c>
    </row>
    <row r="1687">
      <c r="A1687" s="151">
        <f>IFERROR(__xludf.DUMMYFUNCTION("""COMPUTED_VALUE"""),43800.147749861106)</f>
        <v>43800.14775</v>
      </c>
      <c r="B1687" t="str">
        <f>IFERROR(__xludf.DUMMYFUNCTION("""COMPUTED_VALUE"""),"DavEmily")</f>
        <v>DavEmily</v>
      </c>
      <c r="C1687" s="169" t="str">
        <f>IFERROR(__xludf.DUMMYFUNCTION("""COMPUTED_VALUE"""),"Alabama")</f>
        <v>Alabama</v>
      </c>
      <c r="D1687">
        <f>IFERROR(__xludf.DUMMYFUNCTION("""COMPUTED_VALUE"""),10.0)</f>
        <v>10</v>
      </c>
      <c r="E1687">
        <f>IFERROR(__xludf.DUMMYFUNCTION("""COMPUTED_VALUE"""),2.0)</f>
        <v>2</v>
      </c>
      <c r="F1687" t="str">
        <f>IFERROR(__xludf.DUMMYFUNCTION("""COMPUTED_VALUE"""),"ESPN")</f>
        <v>ESPN</v>
      </c>
      <c r="G1687" t="str">
        <f>IFERROR(__xludf.DUMMYFUNCTION("""COMPUTED_VALUE"""),"(5) Alabama 45 at (16) Auburn 48")</f>
        <v>(5) Alabama 45 at (16) Auburn 48</v>
      </c>
      <c r="H1687" t="str">
        <f>IFERROR(__xludf.DUMMYFUNCTION("""COMPUTED_VALUE"""),"FINAL")</f>
        <v>FINAL</v>
      </c>
      <c r="I1687" t="str">
        <f>IFERROR(__xludf.DUMMYFUNCTION("""COMPUTED_VALUE"""),"-3½")</f>
        <v>-3½</v>
      </c>
      <c r="J1687">
        <f>IFERROR(__xludf.DUMMYFUNCTION("""COMPUTED_VALUE"""),50.0)</f>
        <v>50</v>
      </c>
      <c r="K1687" t="str">
        <f>IFERROR(__xludf.DUMMYFUNCTION("""COMPUTED_VALUE"""),"Nick G.")</f>
        <v>Nick G.</v>
      </c>
      <c r="L1687" t="str">
        <f>IFERROR(__xludf.DUMMYFUNCTION("""COMPUTED_VALUE"""),"FINAL")</f>
        <v>FINAL</v>
      </c>
      <c r="M1687" s="124">
        <v>14.0</v>
      </c>
    </row>
    <row r="1688">
      <c r="A1688" s="151">
        <f>IFERROR(__xludf.DUMMYFUNCTION("""COMPUTED_VALUE"""),43800.147749861106)</f>
        <v>43800.14775</v>
      </c>
      <c r="B1688" t="str">
        <f>IFERROR(__xludf.DUMMYFUNCTION("""COMPUTED_VALUE"""),"DavEmily")</f>
        <v>DavEmily</v>
      </c>
      <c r="C1688" s="169" t="str">
        <f>IFERROR(__xludf.DUMMYFUNCTION("""COMPUTED_VALUE"""),"UTSA")</f>
        <v>UTSA</v>
      </c>
      <c r="D1688">
        <f>IFERROR(__xludf.DUMMYFUNCTION("""COMPUTED_VALUE"""),4.0)</f>
        <v>4</v>
      </c>
      <c r="E1688">
        <f>IFERROR(__xludf.DUMMYFUNCTION("""COMPUTED_VALUE"""),8.0)</f>
        <v>8</v>
      </c>
      <c r="F1688" t="str">
        <f>IFERROR(__xludf.DUMMYFUNCTION("""COMPUTED_VALUE"""),"espn+ Video")</f>
        <v>espn+ Video</v>
      </c>
      <c r="G1688" t="str">
        <f>IFERROR(__xludf.DUMMYFUNCTION("""COMPUTED_VALUE"""),"UTSA 27 at Louisiana Tech 41")</f>
        <v>UTSA 27 at Louisiana Tech 41</v>
      </c>
      <c r="H1688" t="str">
        <f>IFERROR(__xludf.DUMMYFUNCTION("""COMPUTED_VALUE"""),"FINAL")</f>
        <v>FINAL</v>
      </c>
      <c r="I1688">
        <f>IFERROR(__xludf.DUMMYFUNCTION("""COMPUTED_VALUE"""),20.0)</f>
        <v>20</v>
      </c>
      <c r="J1688">
        <f>IFERROR(__xludf.DUMMYFUNCTION("""COMPUTED_VALUE"""),55.0)</f>
        <v>55</v>
      </c>
      <c r="K1688" t="str">
        <f>IFERROR(__xludf.DUMMYFUNCTION("""COMPUTED_VALUE"""),"Brad")</f>
        <v>Brad</v>
      </c>
      <c r="L1688" t="str">
        <f>IFERROR(__xludf.DUMMYFUNCTION("""COMPUTED_VALUE"""),"FINAL")</f>
        <v>FINAL</v>
      </c>
      <c r="M1688" s="124">
        <v>14.0</v>
      </c>
    </row>
    <row r="1689">
      <c r="A1689" s="151">
        <f>IFERROR(__xludf.DUMMYFUNCTION("""COMPUTED_VALUE"""),43800.147749861106)</f>
        <v>43800.14775</v>
      </c>
      <c r="B1689" t="str">
        <f>IFERROR(__xludf.DUMMYFUNCTION("""COMPUTED_VALUE"""),"DavEmily")</f>
        <v>DavEmily</v>
      </c>
      <c r="C1689" s="169" t="str">
        <f>IFERROR(__xludf.DUMMYFUNCTION("""COMPUTED_VALUE"""),"Notre Dame")</f>
        <v>Notre Dame</v>
      </c>
      <c r="D1689">
        <f>IFERROR(__xludf.DUMMYFUNCTION("""COMPUTED_VALUE"""),10.0)</f>
        <v>10</v>
      </c>
      <c r="E1689">
        <f>IFERROR(__xludf.DUMMYFUNCTION("""COMPUTED_VALUE"""),2.0)</f>
        <v>2</v>
      </c>
      <c r="F1689" t="str">
        <f>IFERROR(__xludf.DUMMYFUNCTION("""COMPUTED_VALUE"""),"NBC")</f>
        <v>NBC</v>
      </c>
      <c r="G1689" t="str">
        <f>IFERROR(__xludf.DUMMYFUNCTION("""COMPUTED_VALUE"""),"(15) Notre Dame 45 at Stanford 24")</f>
        <v>(15) Notre Dame 45 at Stanford 24</v>
      </c>
      <c r="H1689" t="str">
        <f>IFERROR(__xludf.DUMMYFUNCTION("""COMPUTED_VALUE"""),"FINAL")</f>
        <v>FINAL</v>
      </c>
      <c r="I1689" t="str">
        <f>IFERROR(__xludf.DUMMYFUNCTION("""COMPUTED_VALUE"""),"-16½")</f>
        <v>-16½</v>
      </c>
      <c r="J1689" t="str">
        <f>IFERROR(__xludf.DUMMYFUNCTION("""COMPUTED_VALUE"""),"51½")</f>
        <v>51½</v>
      </c>
      <c r="K1689" t="str">
        <f>IFERROR(__xludf.DUMMYFUNCTION("""COMPUTED_VALUE"""),"Nick G.")</f>
        <v>Nick G.</v>
      </c>
      <c r="L1689" t="str">
        <f>IFERROR(__xludf.DUMMYFUNCTION("""COMPUTED_VALUE"""),"FINAL")</f>
        <v>FINAL</v>
      </c>
      <c r="M1689" s="124">
        <v>14.0</v>
      </c>
    </row>
    <row r="1690">
      <c r="A1690" s="151">
        <f>IFERROR(__xludf.DUMMYFUNCTION("""COMPUTED_VALUE"""),43800.147749861106)</f>
        <v>43800.14775</v>
      </c>
      <c r="B1690" t="str">
        <f>IFERROR(__xludf.DUMMYFUNCTION("""COMPUTED_VALUE"""),"DavEmily")</f>
        <v>DavEmily</v>
      </c>
      <c r="C1690" s="169" t="str">
        <f>IFERROR(__xludf.DUMMYFUNCTION("""COMPUTED_VALUE"""),"California")</f>
        <v>California</v>
      </c>
      <c r="D1690">
        <f>IFERROR(__xludf.DUMMYFUNCTION("""COMPUTED_VALUE"""),7.0)</f>
        <v>7</v>
      </c>
      <c r="E1690">
        <f>IFERROR(__xludf.DUMMYFUNCTION("""COMPUTED_VALUE"""),5.0)</f>
        <v>5</v>
      </c>
      <c r="F1690" t="str">
        <f>IFERROR(__xludf.DUMMYFUNCTION("""COMPUTED_VALUE"""),"FS1")</f>
        <v>FS1</v>
      </c>
      <c r="G1690" t="str">
        <f>IFERROR(__xludf.DUMMYFUNCTION("""COMPUTED_VALUE"""),"California 28 at UCLA 18")</f>
        <v>California 28 at UCLA 18</v>
      </c>
      <c r="H1690" t="str">
        <f>IFERROR(__xludf.DUMMYFUNCTION("""COMPUTED_VALUE"""),"FINAL")</f>
        <v>FINAL</v>
      </c>
      <c r="I1690" t="str">
        <f>IFERROR(__xludf.DUMMYFUNCTION("""COMPUTED_VALUE"""),"2½")</f>
        <v>2½</v>
      </c>
      <c r="J1690">
        <f>IFERROR(__xludf.DUMMYFUNCTION("""COMPUTED_VALUE"""),51.0)</f>
        <v>51</v>
      </c>
      <c r="K1690" t="str">
        <f>IFERROR(__xludf.DUMMYFUNCTION("""COMPUTED_VALUE"""),"Gary")</f>
        <v>Gary</v>
      </c>
      <c r="L1690" t="str">
        <f>IFERROR(__xludf.DUMMYFUNCTION("""COMPUTED_VALUE"""),"FINAL")</f>
        <v>FINAL</v>
      </c>
      <c r="M1690" s="124">
        <v>14.0</v>
      </c>
    </row>
    <row r="1691">
      <c r="A1691" s="151">
        <f>IFERROR(__xludf.DUMMYFUNCTION("""COMPUTED_VALUE"""),43800.147749861106)</f>
        <v>43800.14775</v>
      </c>
      <c r="B1691" t="str">
        <f>IFERROR(__xludf.DUMMYFUNCTION("""COMPUTED_VALUE"""),"DavEmily")</f>
        <v>DavEmily</v>
      </c>
      <c r="C1691" s="169" t="str">
        <f>IFERROR(__xludf.DUMMYFUNCTION("""COMPUTED_VALUE"""),"Fresno State")</f>
        <v>Fresno State</v>
      </c>
      <c r="D1691">
        <f>IFERROR(__xludf.DUMMYFUNCTION("""COMPUTED_VALUE"""),4.0)</f>
        <v>4</v>
      </c>
      <c r="E1691">
        <f>IFERROR(__xludf.DUMMYFUNCTION("""COMPUTED_VALUE"""),8.0)</f>
        <v>8</v>
      </c>
      <c r="F1691" t="str">
        <f>IFERROR(__xludf.DUMMYFUNCTION("""COMPUTED_VALUE"""),"ESPN2")</f>
        <v>ESPN2</v>
      </c>
      <c r="G1691" t="str">
        <f>IFERROR(__xludf.DUMMYFUNCTION("""COMPUTED_VALUE"""),"Fresno State 16 at San José State 17")</f>
        <v>Fresno State 16 at San José State 17</v>
      </c>
      <c r="H1691" t="str">
        <f>IFERROR(__xludf.DUMMYFUNCTION("""COMPUTED_VALUE"""),"FINAL")</f>
        <v>FINAL</v>
      </c>
      <c r="I1691">
        <f>IFERROR(__xludf.DUMMYFUNCTION("""COMPUTED_VALUE"""),-3.0)</f>
        <v>-3</v>
      </c>
      <c r="J1691">
        <f>IFERROR(__xludf.DUMMYFUNCTION("""COMPUTED_VALUE"""),65.0)</f>
        <v>65</v>
      </c>
      <c r="K1691" t="str">
        <f>IFERROR(__xludf.DUMMYFUNCTION("""COMPUTED_VALUE"""),"Jeannine")</f>
        <v>Jeannine</v>
      </c>
      <c r="L1691" t="str">
        <f>IFERROR(__xludf.DUMMYFUNCTION("""COMPUTED_VALUE"""),"FINAL")</f>
        <v>FINAL</v>
      </c>
      <c r="M1691" s="124">
        <v>14.0</v>
      </c>
    </row>
    <row r="1692">
      <c r="A1692" s="151">
        <f>IFERROR(__xludf.DUMMYFUNCTION("""COMPUTED_VALUE"""),43800.147749861106)</f>
        <v>43800.14775</v>
      </c>
      <c r="B1692" t="str">
        <f>IFERROR(__xludf.DUMMYFUNCTION("""COMPUTED_VALUE"""),"Nick A.")</f>
        <v>Nick A.</v>
      </c>
      <c r="C1692" s="169" t="str">
        <f>IFERROR(__xludf.DUMMYFUNCTION("""COMPUTED_VALUE"""),"Bowling Green")</f>
        <v>Bowling Green</v>
      </c>
      <c r="D1692">
        <f>IFERROR(__xludf.DUMMYFUNCTION("""COMPUTED_VALUE"""),3.0)</f>
        <v>3</v>
      </c>
      <c r="E1692">
        <f>IFERROR(__xludf.DUMMYFUNCTION("""COMPUTED_VALUE"""),9.0)</f>
        <v>9</v>
      </c>
      <c r="F1692" t="str">
        <f>IFERROR(__xludf.DUMMYFUNCTION("""COMPUTED_VALUE"""),"ESPN2")</f>
        <v>ESPN2</v>
      </c>
      <c r="G1692" t="str">
        <f>IFERROR(__xludf.DUMMYFUNCTION("""COMPUTED_VALUE"""),"Bowling Green 7 at Buffalo 49")</f>
        <v>Bowling Green 7 at Buffalo 49</v>
      </c>
      <c r="H1692" t="str">
        <f>IFERROR(__xludf.DUMMYFUNCTION("""COMPUTED_VALUE"""),"FINAL")</f>
        <v>FINAL</v>
      </c>
      <c r="I1692" t="str">
        <f>IFERROR(__xludf.DUMMYFUNCTION("""COMPUTED_VALUE"""),"29½")</f>
        <v>29½</v>
      </c>
      <c r="J1692" t="str">
        <f>IFERROR(__xludf.DUMMYFUNCTION("""COMPUTED_VALUE"""),"53½")</f>
        <v>53½</v>
      </c>
      <c r="K1692" t="str">
        <f>IFERROR(__xludf.DUMMYFUNCTION("""COMPUTED_VALUE"""),"Justin")</f>
        <v>Justin</v>
      </c>
      <c r="L1692" t="str">
        <f>IFERROR(__xludf.DUMMYFUNCTION("""COMPUTED_VALUE"""),"FINAL")</f>
        <v>FINAL</v>
      </c>
      <c r="M1692" s="124">
        <v>14.0</v>
      </c>
    </row>
    <row r="1693">
      <c r="A1693" s="151">
        <f>IFERROR(__xludf.DUMMYFUNCTION("""COMPUTED_VALUE"""),43800.147749861106)</f>
        <v>43800.14775</v>
      </c>
      <c r="B1693" t="str">
        <f>IFERROR(__xludf.DUMMYFUNCTION("""COMPUTED_VALUE"""),"Nick A.")</f>
        <v>Nick A.</v>
      </c>
      <c r="C1693" s="169" t="str">
        <f>IFERROR(__xludf.DUMMYFUNCTION("""COMPUTED_VALUE"""),"Washington State")</f>
        <v>Washington State</v>
      </c>
      <c r="D1693">
        <f>IFERROR(__xludf.DUMMYFUNCTION("""COMPUTED_VALUE"""),6.0)</f>
        <v>6</v>
      </c>
      <c r="E1693">
        <f>IFERROR(__xludf.DUMMYFUNCTION("""COMPUTED_VALUE"""),6.0)</f>
        <v>6</v>
      </c>
      <c r="F1693" t="str">
        <f>IFERROR(__xludf.DUMMYFUNCTION("""COMPUTED_VALUE"""),"Pac-12")</f>
        <v>Pac-12</v>
      </c>
      <c r="G1693" t="str">
        <f>IFERROR(__xludf.DUMMYFUNCTION("""COMPUTED_VALUE"""),"Washington State 13 at Washington 31")</f>
        <v>Washington State 13 at Washington 31</v>
      </c>
      <c r="H1693" t="str">
        <f>IFERROR(__xludf.DUMMYFUNCTION("""COMPUTED_VALUE"""),"FINAL")</f>
        <v>FINAL</v>
      </c>
      <c r="I1693">
        <f>IFERROR(__xludf.DUMMYFUNCTION("""COMPUTED_VALUE"""),7.0)</f>
        <v>7</v>
      </c>
      <c r="J1693" t="str">
        <f>IFERROR(__xludf.DUMMYFUNCTION("""COMPUTED_VALUE"""),"63½")</f>
        <v>63½</v>
      </c>
      <c r="K1693" t="str">
        <f>IFERROR(__xludf.DUMMYFUNCTION("""COMPUTED_VALUE"""),"Vu")</f>
        <v>Vu</v>
      </c>
      <c r="L1693" t="str">
        <f>IFERROR(__xludf.DUMMYFUNCTION("""COMPUTED_VALUE"""),"FINAL")</f>
        <v>FINAL</v>
      </c>
      <c r="M1693" s="124">
        <v>14.0</v>
      </c>
    </row>
    <row r="1694">
      <c r="A1694" s="151">
        <f>IFERROR(__xludf.DUMMYFUNCTION("""COMPUTED_VALUE"""),43800.147749861106)</f>
        <v>43800.14775</v>
      </c>
      <c r="B1694" t="str">
        <f>IFERROR(__xludf.DUMMYFUNCTION("""COMPUTED_VALUE"""),"Nick A.")</f>
        <v>Nick A.</v>
      </c>
      <c r="C1694" s="169" t="str">
        <f>IFERROR(__xludf.DUMMYFUNCTION("""COMPUTED_VALUE"""),"Clemson")</f>
        <v>Clemson</v>
      </c>
      <c r="D1694">
        <f>IFERROR(__xludf.DUMMYFUNCTION("""COMPUTED_VALUE"""),12.0)</f>
        <v>12</v>
      </c>
      <c r="E1694">
        <f>IFERROR(__xludf.DUMMYFUNCTION("""COMPUTED_VALUE"""),0.0)</f>
        <v>0</v>
      </c>
      <c r="F1694" t="str">
        <f>IFERROR(__xludf.DUMMYFUNCTION("""COMPUTED_VALUE"""),"ABC")</f>
        <v>ABC</v>
      </c>
      <c r="G1694" t="str">
        <f>IFERROR(__xludf.DUMMYFUNCTION("""COMPUTED_VALUE"""),"(3) Clemson 38 at South Carolina 3")</f>
        <v>(3) Clemson 38 at South Carolina 3</v>
      </c>
      <c r="H1694" t="str">
        <f>IFERROR(__xludf.DUMMYFUNCTION("""COMPUTED_VALUE"""),"FINAL")</f>
        <v>FINAL</v>
      </c>
      <c r="I1694">
        <f>IFERROR(__xludf.DUMMYFUNCTION("""COMPUTED_VALUE"""),-27.0)</f>
        <v>-27</v>
      </c>
      <c r="J1694" t="str">
        <f>IFERROR(__xludf.DUMMYFUNCTION("""COMPUTED_VALUE"""),"51½")</f>
        <v>51½</v>
      </c>
      <c r="K1694" t="str">
        <f>IFERROR(__xludf.DUMMYFUNCTION("""COMPUTED_VALUE"""),"Brad")</f>
        <v>Brad</v>
      </c>
      <c r="L1694" t="str">
        <f>IFERROR(__xludf.DUMMYFUNCTION("""COMPUTED_VALUE"""),"FINAL")</f>
        <v>FINAL</v>
      </c>
      <c r="M1694" s="124">
        <v>14.0</v>
      </c>
    </row>
    <row r="1695">
      <c r="A1695" s="151">
        <f>IFERROR(__xludf.DUMMYFUNCTION("""COMPUTED_VALUE"""),43800.147749861106)</f>
        <v>43800.14775</v>
      </c>
      <c r="B1695" t="str">
        <f>IFERROR(__xludf.DUMMYFUNCTION("""COMPUTED_VALUE"""),"Nick A.")</f>
        <v>Nick A.</v>
      </c>
      <c r="C1695" s="169" t="str">
        <f>IFERROR(__xludf.DUMMYFUNCTION("""COMPUTED_VALUE"""),"East Carolina")</f>
        <v>East Carolina</v>
      </c>
      <c r="D1695">
        <f>IFERROR(__xludf.DUMMYFUNCTION("""COMPUTED_VALUE"""),4.0)</f>
        <v>4</v>
      </c>
      <c r="E1695">
        <f>IFERROR(__xludf.DUMMYFUNCTION("""COMPUTED_VALUE"""),8.0)</f>
        <v>8</v>
      </c>
      <c r="F1695" t="str">
        <f>IFERROR(__xludf.DUMMYFUNCTION("""COMPUTED_VALUE"""),"NA")</f>
        <v>NA</v>
      </c>
      <c r="G1695" t="str">
        <f>IFERROR(__xludf.DUMMYFUNCTION("""COMPUTED_VALUE"""),"Tulsa 49 at East Carolina 24")</f>
        <v>Tulsa 49 at East Carolina 24</v>
      </c>
      <c r="H1695" t="str">
        <f>IFERROR(__xludf.DUMMYFUNCTION("""COMPUTED_VALUE"""),"FINAL")</f>
        <v>FINAL</v>
      </c>
      <c r="I1695" t="str">
        <f>IFERROR(__xludf.DUMMYFUNCTION("""COMPUTED_VALUE"""),"5½")</f>
        <v>5½</v>
      </c>
      <c r="J1695">
        <f>IFERROR(__xludf.DUMMYFUNCTION("""COMPUTED_VALUE"""),61.0)</f>
        <v>61</v>
      </c>
      <c r="K1695" t="str">
        <f>IFERROR(__xludf.DUMMYFUNCTION("""COMPUTED_VALUE"""),"DavEmily")</f>
        <v>DavEmily</v>
      </c>
      <c r="L1695" t="str">
        <f>IFERROR(__xludf.DUMMYFUNCTION("""COMPUTED_VALUE"""),"FINAL")</f>
        <v>FINAL</v>
      </c>
      <c r="M1695" s="124">
        <v>14.0</v>
      </c>
    </row>
    <row r="1696">
      <c r="A1696" s="151">
        <f>IFERROR(__xludf.DUMMYFUNCTION("""COMPUTED_VALUE"""),43800.147749861106)</f>
        <v>43800.14775</v>
      </c>
      <c r="B1696" t="str">
        <f>IFERROR(__xludf.DUMMYFUNCTION("""COMPUTED_VALUE"""),"Nick A.")</f>
        <v>Nick A.</v>
      </c>
      <c r="C1696" s="169" t="str">
        <f>IFERROR(__xludf.DUMMYFUNCTION("""COMPUTED_VALUE"""),"Old Dominion")</f>
        <v>Old Dominion</v>
      </c>
      <c r="D1696">
        <f>IFERROR(__xludf.DUMMYFUNCTION("""COMPUTED_VALUE"""),1.0)</f>
        <v>1</v>
      </c>
      <c r="E1696">
        <f>IFERROR(__xludf.DUMMYFUNCTION("""COMPUTED_VALUE"""),11.0)</f>
        <v>11</v>
      </c>
      <c r="F1696" t="str">
        <f>IFERROR(__xludf.DUMMYFUNCTION("""COMPUTED_VALUE"""),"NA")</f>
        <v>NA</v>
      </c>
      <c r="G1696" t="str">
        <f>IFERROR(__xludf.DUMMYFUNCTION("""COMPUTED_VALUE"""),"Charlotte 38 at Old Dominion 22")</f>
        <v>Charlotte 38 at Old Dominion 22</v>
      </c>
      <c r="H1696" t="str">
        <f>IFERROR(__xludf.DUMMYFUNCTION("""COMPUTED_VALUE"""),"FINAL")</f>
        <v>FINAL</v>
      </c>
      <c r="I1696">
        <f>IFERROR(__xludf.DUMMYFUNCTION("""COMPUTED_VALUE"""),8.0)</f>
        <v>8</v>
      </c>
      <c r="J1696">
        <f>IFERROR(__xludf.DUMMYFUNCTION("""COMPUTED_VALUE"""),50.0)</f>
        <v>50</v>
      </c>
      <c r="K1696" t="str">
        <f>IFERROR(__xludf.DUMMYFUNCTION("""COMPUTED_VALUE"""),"Janice/Mike")</f>
        <v>Janice/Mike</v>
      </c>
      <c r="L1696" t="str">
        <f>IFERROR(__xludf.DUMMYFUNCTION("""COMPUTED_VALUE"""),"FINAL")</f>
        <v>FINAL</v>
      </c>
      <c r="M1696" s="124">
        <v>14.0</v>
      </c>
    </row>
    <row r="1697">
      <c r="A1697" s="151">
        <f>IFERROR(__xludf.DUMMYFUNCTION("""COMPUTED_VALUE"""),43800.147749861106)</f>
        <v>43800.14775</v>
      </c>
      <c r="B1697" t="str">
        <f>IFERROR(__xludf.DUMMYFUNCTION("""COMPUTED_VALUE"""),"Nick A.")</f>
        <v>Nick A.</v>
      </c>
      <c r="C1697" s="169" t="str">
        <f>IFERROR(__xludf.DUMMYFUNCTION("""COMPUTED_VALUE"""),"New Mexico State")</f>
        <v>New Mexico State</v>
      </c>
      <c r="D1697">
        <f>IFERROR(__xludf.DUMMYFUNCTION("""COMPUTED_VALUE"""),2.0)</f>
        <v>2</v>
      </c>
      <c r="E1697">
        <f>IFERROR(__xludf.DUMMYFUNCTION("""COMPUTED_VALUE"""),10.0)</f>
        <v>10</v>
      </c>
      <c r="F1697" t="str">
        <f>IFERROR(__xludf.DUMMYFUNCTION("""COMPUTED_VALUE"""),"Flo Sports Video")</f>
        <v>Flo Sports Video</v>
      </c>
      <c r="G1697" t="str">
        <f>IFERROR(__xludf.DUMMYFUNCTION("""COMPUTED_VALUE"""),"New Mexico State 28 at Liberty 49")</f>
        <v>New Mexico State 28 at Liberty 49</v>
      </c>
      <c r="H1697" t="str">
        <f>IFERROR(__xludf.DUMMYFUNCTION("""COMPUTED_VALUE"""),"FINAL")</f>
        <v>FINAL</v>
      </c>
      <c r="I1697">
        <f>IFERROR(__xludf.DUMMYFUNCTION("""COMPUTED_VALUE"""),14.0)</f>
        <v>14</v>
      </c>
      <c r="J1697" t="str">
        <f>IFERROR(__xludf.DUMMYFUNCTION("""COMPUTED_VALUE"""),"65½")</f>
        <v>65½</v>
      </c>
      <c r="K1697" t="str">
        <f>IFERROR(__xludf.DUMMYFUNCTION("""COMPUTED_VALUE"""),"Undrafted")</f>
        <v>Undrafted</v>
      </c>
      <c r="L1697" t="str">
        <f>IFERROR(__xludf.DUMMYFUNCTION("""COMPUTED_VALUE"""),"FINAL")</f>
        <v>FINAL</v>
      </c>
      <c r="M1697" s="124">
        <v>14.0</v>
      </c>
    </row>
    <row r="1698">
      <c r="A1698" s="151">
        <f>IFERROR(__xludf.DUMMYFUNCTION("""COMPUTED_VALUE"""),43800.147749861106)</f>
        <v>43800.14775</v>
      </c>
      <c r="B1698" t="str">
        <f>IFERROR(__xludf.DUMMYFUNCTION("""COMPUTED_VALUE"""),"Nick A.")</f>
        <v>Nick A.</v>
      </c>
      <c r="C1698" s="169" t="str">
        <f>IFERROR(__xludf.DUMMYFUNCTION("""COMPUTED_VALUE"""),"Michigan State")</f>
        <v>Michigan State</v>
      </c>
      <c r="D1698">
        <f>IFERROR(__xludf.DUMMYFUNCTION("""COMPUTED_VALUE"""),6.0)</f>
        <v>6</v>
      </c>
      <c r="E1698">
        <f>IFERROR(__xludf.DUMMYFUNCTION("""COMPUTED_VALUE"""),6.0)</f>
        <v>6</v>
      </c>
      <c r="F1698" t="str">
        <f>IFERROR(__xludf.DUMMYFUNCTION("""COMPUTED_VALUE"""),"FOX")</f>
        <v>FOX</v>
      </c>
      <c r="G1698" t="str">
        <f>IFERROR(__xludf.DUMMYFUNCTION("""COMPUTED_VALUE"""),"Maryland 16 at Michigan State 19")</f>
        <v>Maryland 16 at Michigan State 19</v>
      </c>
      <c r="H1698" t="str">
        <f>IFERROR(__xludf.DUMMYFUNCTION("""COMPUTED_VALUE"""),"FINAL")</f>
        <v>FINAL</v>
      </c>
      <c r="I1698" t="str">
        <f>IFERROR(__xludf.DUMMYFUNCTION("""COMPUTED_VALUE"""),"-22½")</f>
        <v>-22½</v>
      </c>
      <c r="J1698">
        <f>IFERROR(__xludf.DUMMYFUNCTION("""COMPUTED_VALUE"""),49.0)</f>
        <v>49</v>
      </c>
      <c r="K1698" t="str">
        <f>IFERROR(__xludf.DUMMYFUNCTION("""COMPUTED_VALUE"""),"Gary")</f>
        <v>Gary</v>
      </c>
      <c r="L1698" t="str">
        <f>IFERROR(__xludf.DUMMYFUNCTION("""COMPUTED_VALUE"""),"FINAL")</f>
        <v>FINAL</v>
      </c>
      <c r="M1698" s="124">
        <v>14.0</v>
      </c>
    </row>
    <row r="1699">
      <c r="A1699" s="151">
        <f>IFERROR(__xludf.DUMMYFUNCTION("""COMPUTED_VALUE"""),43800.147749861106)</f>
        <v>43800.14775</v>
      </c>
      <c r="B1699" t="str">
        <f>IFERROR(__xludf.DUMMYFUNCTION("""COMPUTED_VALUE"""),"Nick A.")</f>
        <v>Nick A.</v>
      </c>
      <c r="C1699" s="169" t="str">
        <f>IFERROR(__xludf.DUMMYFUNCTION("""COMPUTED_VALUE"""),"LSU")</f>
        <v>LSU</v>
      </c>
      <c r="D1699">
        <f>IFERROR(__xludf.DUMMYFUNCTION("""COMPUTED_VALUE"""),12.0)</f>
        <v>12</v>
      </c>
      <c r="E1699">
        <f>IFERROR(__xludf.DUMMYFUNCTION("""COMPUTED_VALUE"""),0.0)</f>
        <v>0</v>
      </c>
      <c r="F1699" t="str">
        <f>IFERROR(__xludf.DUMMYFUNCTION("""COMPUTED_VALUE"""),"ESPN")</f>
        <v>ESPN</v>
      </c>
      <c r="G1699" t="str">
        <f>IFERROR(__xludf.DUMMYFUNCTION("""COMPUTED_VALUE"""),"Texas A&amp;M 7 at (1) LSU 50")</f>
        <v>Texas A&amp;M 7 at (1) LSU 50</v>
      </c>
      <c r="H1699" t="str">
        <f>IFERROR(__xludf.DUMMYFUNCTION("""COMPUTED_VALUE"""),"FINAL")</f>
        <v>FINAL</v>
      </c>
      <c r="I1699">
        <f>IFERROR(__xludf.DUMMYFUNCTION("""COMPUTED_VALUE"""),-17.0)</f>
        <v>-17</v>
      </c>
      <c r="J1699" t="str">
        <f>IFERROR(__xludf.DUMMYFUNCTION("""COMPUTED_VALUE"""),"62½")</f>
        <v>62½</v>
      </c>
      <c r="K1699" t="str">
        <f>IFERROR(__xludf.DUMMYFUNCTION("""COMPUTED_VALUE"""),"Vu")</f>
        <v>Vu</v>
      </c>
      <c r="L1699" t="str">
        <f>IFERROR(__xludf.DUMMYFUNCTION("""COMPUTED_VALUE"""),"FINAL")</f>
        <v>FINAL</v>
      </c>
      <c r="M1699" s="124">
        <v>14.0</v>
      </c>
    </row>
    <row r="1700">
      <c r="A1700" s="151">
        <f>IFERROR(__xludf.DUMMYFUNCTION("""COMPUTED_VALUE"""),43800.147749861106)</f>
        <v>43800.14775</v>
      </c>
      <c r="B1700" t="str">
        <f>IFERROR(__xludf.DUMMYFUNCTION("""COMPUTED_VALUE"""),"Nick A.")</f>
        <v>Nick A.</v>
      </c>
      <c r="C1700" s="169" t="str">
        <f>IFERROR(__xludf.DUMMYFUNCTION("""COMPUTED_VALUE"""),"Iowa State")</f>
        <v>Iowa State</v>
      </c>
      <c r="D1700">
        <f>IFERROR(__xludf.DUMMYFUNCTION("""COMPUTED_VALUE"""),7.0)</f>
        <v>7</v>
      </c>
      <c r="E1700">
        <f>IFERROR(__xludf.DUMMYFUNCTION("""COMPUTED_VALUE"""),5.0)</f>
        <v>5</v>
      </c>
      <c r="F1700" t="str">
        <f>IFERROR(__xludf.DUMMYFUNCTION("""COMPUTED_VALUE"""),"FS1")</f>
        <v>FS1</v>
      </c>
      <c r="G1700" t="str">
        <f>IFERROR(__xludf.DUMMYFUNCTION("""COMPUTED_VALUE"""),"Iowa State 17 at Kansas State 27")</f>
        <v>Iowa State 17 at Kansas State 27</v>
      </c>
      <c r="H1700" t="str">
        <f>IFERROR(__xludf.DUMMYFUNCTION("""COMPUTED_VALUE"""),"FINAL")</f>
        <v>FINAL</v>
      </c>
      <c r="I1700" t="str">
        <f>IFERROR(__xludf.DUMMYFUNCTION("""COMPUTED_VALUE"""),"-5½")</f>
        <v>-5½</v>
      </c>
      <c r="J1700">
        <f>IFERROR(__xludf.DUMMYFUNCTION("""COMPUTED_VALUE"""),47.0)</f>
        <v>47</v>
      </c>
      <c r="K1700" t="str">
        <f>IFERROR(__xludf.DUMMYFUNCTION("""COMPUTED_VALUE"""),"Nick G.")</f>
        <v>Nick G.</v>
      </c>
      <c r="L1700" t="str">
        <f>IFERROR(__xludf.DUMMYFUNCTION("""COMPUTED_VALUE"""),"FINAL")</f>
        <v>FINAL</v>
      </c>
      <c r="M1700" s="124">
        <v>14.0</v>
      </c>
    </row>
    <row r="1701">
      <c r="A1701" s="151">
        <f>IFERROR(__xludf.DUMMYFUNCTION("""COMPUTED_VALUE"""),43800.147749861106)</f>
        <v>43800.14775</v>
      </c>
      <c r="B1701" t="str">
        <f>IFERROR(__xludf.DUMMYFUNCTION("""COMPUTED_VALUE"""),"Nick A.")</f>
        <v>Nick A.</v>
      </c>
      <c r="C1701" s="169" t="str">
        <f>IFERROR(__xludf.DUMMYFUNCTION("""COMPUTED_VALUE"""),"San Diego State")</f>
        <v>San Diego State</v>
      </c>
      <c r="D1701">
        <f>IFERROR(__xludf.DUMMYFUNCTION("""COMPUTED_VALUE"""),9.0)</f>
        <v>9</v>
      </c>
      <c r="E1701">
        <f>IFERROR(__xludf.DUMMYFUNCTION("""COMPUTED_VALUE"""),3.0)</f>
        <v>3</v>
      </c>
      <c r="F1701" t="str">
        <f>IFERROR(__xludf.DUMMYFUNCTION("""COMPUTED_VALUE"""),"ESPN2")</f>
        <v>ESPN2</v>
      </c>
      <c r="G1701" t="str">
        <f>IFERROR(__xludf.DUMMYFUNCTION("""COMPUTED_VALUE"""),"BYU 3 at San Diego State 13")</f>
        <v>BYU 3 at San Diego State 13</v>
      </c>
      <c r="H1701" t="str">
        <f>IFERROR(__xludf.DUMMYFUNCTION("""COMPUTED_VALUE"""),"FINAL")</f>
        <v>FINAL</v>
      </c>
      <c r="I1701">
        <f>IFERROR(__xludf.DUMMYFUNCTION("""COMPUTED_VALUE"""),3.0)</f>
        <v>3</v>
      </c>
      <c r="J1701">
        <f>IFERROR(__xludf.DUMMYFUNCTION("""COMPUTED_VALUE"""),41.0)</f>
        <v>41</v>
      </c>
      <c r="K1701" t="str">
        <f>IFERROR(__xludf.DUMMYFUNCTION("""COMPUTED_VALUE"""),"Gary")</f>
        <v>Gary</v>
      </c>
      <c r="L1701" t="str">
        <f>IFERROR(__xludf.DUMMYFUNCTION("""COMPUTED_VALUE"""),"FINAL")</f>
        <v>FINAL</v>
      </c>
      <c r="M1701" s="124">
        <v>14.0</v>
      </c>
    </row>
    <row r="1702">
      <c r="A1702" s="151">
        <f>IFERROR(__xludf.DUMMYFUNCTION("""COMPUTED_VALUE"""),43800.147749861106)</f>
        <v>43800.14775</v>
      </c>
      <c r="B1702" t="str">
        <f>IFERROR(__xludf.DUMMYFUNCTION("""COMPUTED_VALUE"""),"Gary")</f>
        <v>Gary</v>
      </c>
      <c r="C1702" s="169" t="str">
        <f>IFERROR(__xludf.DUMMYFUNCTION("""COMPUTED_VALUE"""),"Ohio")</f>
        <v>Ohio</v>
      </c>
      <c r="D1702">
        <f>IFERROR(__xludf.DUMMYFUNCTION("""COMPUTED_VALUE"""),6.0)</f>
        <v>6</v>
      </c>
      <c r="E1702">
        <f>IFERROR(__xludf.DUMMYFUNCTION("""COMPUTED_VALUE"""),6.0)</f>
        <v>6</v>
      </c>
      <c r="F1702" t="str">
        <f>IFERROR(__xludf.DUMMYFUNCTION("""COMPUTED_VALUE"""),"ESPN2")</f>
        <v>ESPN2</v>
      </c>
      <c r="G1702" t="str">
        <f>IFERROR(__xludf.DUMMYFUNCTION("""COMPUTED_VALUE"""),"Ohio 52 at Akron 3")</f>
        <v>Ohio 52 at Akron 3</v>
      </c>
      <c r="H1702" t="str">
        <f>IFERROR(__xludf.DUMMYFUNCTION("""COMPUTED_VALUE"""),"FINAL")</f>
        <v>FINAL</v>
      </c>
      <c r="I1702">
        <f>IFERROR(__xludf.DUMMYFUNCTION("""COMPUTED_VALUE"""),-28.0)</f>
        <v>-28</v>
      </c>
      <c r="J1702">
        <f>IFERROR(__xludf.DUMMYFUNCTION("""COMPUTED_VALUE"""),53.0)</f>
        <v>53</v>
      </c>
      <c r="K1702" t="str">
        <f>IFERROR(__xludf.DUMMYFUNCTION("""COMPUTED_VALUE"""),"Adam")</f>
        <v>Adam</v>
      </c>
      <c r="L1702" t="str">
        <f>IFERROR(__xludf.DUMMYFUNCTION("""COMPUTED_VALUE"""),"FINAL")</f>
        <v>FINAL</v>
      </c>
      <c r="M1702" s="124">
        <v>14.0</v>
      </c>
    </row>
    <row r="1703">
      <c r="A1703" s="151">
        <f>IFERROR(__xludf.DUMMYFUNCTION("""COMPUTED_VALUE"""),43800.147749861106)</f>
        <v>43800.14775</v>
      </c>
      <c r="B1703" t="str">
        <f>IFERROR(__xludf.DUMMYFUNCTION("""COMPUTED_VALUE"""),"Gary")</f>
        <v>Gary</v>
      </c>
      <c r="C1703" s="169" t="str">
        <f>IFERROR(__xludf.DUMMYFUNCTION("""COMPUTED_VALUE"""),"Missouri")</f>
        <v>Missouri</v>
      </c>
      <c r="D1703">
        <f>IFERROR(__xludf.DUMMYFUNCTION("""COMPUTED_VALUE"""),6.0)</f>
        <v>6</v>
      </c>
      <c r="E1703">
        <f>IFERROR(__xludf.DUMMYFUNCTION("""COMPUTED_VALUE"""),6.0)</f>
        <v>6</v>
      </c>
      <c r="F1703" t="str">
        <f>IFERROR(__xludf.DUMMYFUNCTION("""COMPUTED_VALUE"""),"CBS")</f>
        <v>CBS</v>
      </c>
      <c r="G1703" t="str">
        <f>IFERROR(__xludf.DUMMYFUNCTION("""COMPUTED_VALUE"""),"Missouri 24 at Arkansas 14")</f>
        <v>Missouri 24 at Arkansas 14</v>
      </c>
      <c r="H1703" t="str">
        <f>IFERROR(__xludf.DUMMYFUNCTION("""COMPUTED_VALUE"""),"FINAL")</f>
        <v>FINAL</v>
      </c>
      <c r="I1703">
        <f>IFERROR(__xludf.DUMMYFUNCTION("""COMPUTED_VALUE"""),-12.0)</f>
        <v>-12</v>
      </c>
      <c r="J1703" t="str">
        <f>IFERROR(__xludf.DUMMYFUNCTION("""COMPUTED_VALUE"""),"53½")</f>
        <v>53½</v>
      </c>
      <c r="K1703" t="str">
        <f>IFERROR(__xludf.DUMMYFUNCTION("""COMPUTED_VALUE"""),"Janice/Mike")</f>
        <v>Janice/Mike</v>
      </c>
      <c r="L1703" t="str">
        <f>IFERROR(__xludf.DUMMYFUNCTION("""COMPUTED_VALUE"""),"FINAL")</f>
        <v>FINAL</v>
      </c>
      <c r="M1703" s="124">
        <v>14.0</v>
      </c>
    </row>
    <row r="1704">
      <c r="A1704" s="151">
        <f>IFERROR(__xludf.DUMMYFUNCTION("""COMPUTED_VALUE"""),43800.147749861106)</f>
        <v>43800.14775</v>
      </c>
      <c r="B1704" t="str">
        <f>IFERROR(__xludf.DUMMYFUNCTION("""COMPUTED_VALUE"""),"Gary")</f>
        <v>Gary</v>
      </c>
      <c r="C1704" s="169" t="str">
        <f>IFERROR(__xludf.DUMMYFUNCTION("""COMPUTED_VALUE"""),"Marshall")</f>
        <v>Marshall</v>
      </c>
      <c r="D1704">
        <f>IFERROR(__xludf.DUMMYFUNCTION("""COMPUTED_VALUE"""),8.0)</f>
        <v>8</v>
      </c>
      <c r="E1704">
        <f>IFERROR(__xludf.DUMMYFUNCTION("""COMPUTED_VALUE"""),4.0)</f>
        <v>4</v>
      </c>
      <c r="F1704" t="str">
        <f>IFERROR(__xludf.DUMMYFUNCTION("""COMPUTED_VALUE"""),"CBSSN")</f>
        <v>CBSSN</v>
      </c>
      <c r="G1704" t="str">
        <f>IFERROR(__xludf.DUMMYFUNCTION("""COMPUTED_VALUE"""),"Florida Intl 27 at Marshall 30")</f>
        <v>Florida Intl 27 at Marshall 30</v>
      </c>
      <c r="H1704" t="str">
        <f>IFERROR(__xludf.DUMMYFUNCTION("""COMPUTED_VALUE"""),"FINAL - OT")</f>
        <v>FINAL - OT</v>
      </c>
      <c r="I1704" t="str">
        <f>IFERROR(__xludf.DUMMYFUNCTION("""COMPUTED_VALUE"""),"-7½")</f>
        <v>-7½</v>
      </c>
      <c r="J1704" t="str">
        <f>IFERROR(__xludf.DUMMYFUNCTION("""COMPUTED_VALUE"""),"49½")</f>
        <v>49½</v>
      </c>
      <c r="K1704" t="str">
        <f>IFERROR(__xludf.DUMMYFUNCTION("""COMPUTED_VALUE"""),"Adam")</f>
        <v>Adam</v>
      </c>
      <c r="L1704" t="str">
        <f>IFERROR(__xludf.DUMMYFUNCTION("""COMPUTED_VALUE"""),"FINAL - OT")</f>
        <v>FINAL - OT</v>
      </c>
      <c r="M1704" s="124">
        <v>14.0</v>
      </c>
    </row>
    <row r="1705">
      <c r="A1705" s="151">
        <f>IFERROR(__xludf.DUMMYFUNCTION("""COMPUTED_VALUE"""),43800.147749861106)</f>
        <v>43800.14775</v>
      </c>
      <c r="B1705" t="str">
        <f>IFERROR(__xludf.DUMMYFUNCTION("""COMPUTED_VALUE"""),"Gary")</f>
        <v>Gary</v>
      </c>
      <c r="C1705" s="169" t="str">
        <f>IFERROR(__xludf.DUMMYFUNCTION("""COMPUTED_VALUE"""),"Pittsburgh")</f>
        <v>Pittsburgh</v>
      </c>
      <c r="D1705">
        <f>IFERROR(__xludf.DUMMYFUNCTION("""COMPUTED_VALUE"""),7.0)</f>
        <v>7</v>
      </c>
      <c r="E1705">
        <f>IFERROR(__xludf.DUMMYFUNCTION("""COMPUTED_VALUE"""),5.0)</f>
        <v>5</v>
      </c>
      <c r="F1705" t="str">
        <f>IFERROR(__xludf.DUMMYFUNCTION("""COMPUTED_VALUE"""),"ESPN")</f>
        <v>ESPN</v>
      </c>
      <c r="G1705" t="str">
        <f>IFERROR(__xludf.DUMMYFUNCTION("""COMPUTED_VALUE"""),"Boston College 26 at Pittsburgh 19")</f>
        <v>Boston College 26 at Pittsburgh 19</v>
      </c>
      <c r="H1705" t="str">
        <f>IFERROR(__xludf.DUMMYFUNCTION("""COMPUTED_VALUE"""),"FINAL")</f>
        <v>FINAL</v>
      </c>
      <c r="I1705" t="str">
        <f>IFERROR(__xludf.DUMMYFUNCTION("""COMPUTED_VALUE"""),"-9½")</f>
        <v>-9½</v>
      </c>
      <c r="J1705">
        <f>IFERROR(__xludf.DUMMYFUNCTION("""COMPUTED_VALUE"""),52.0)</f>
        <v>52</v>
      </c>
      <c r="K1705" t="str">
        <f>IFERROR(__xludf.DUMMYFUNCTION("""COMPUTED_VALUE"""),"Janice/Mike")</f>
        <v>Janice/Mike</v>
      </c>
      <c r="L1705" t="str">
        <f>IFERROR(__xludf.DUMMYFUNCTION("""COMPUTED_VALUE"""),"FINAL")</f>
        <v>FINAL</v>
      </c>
      <c r="M1705" s="124">
        <v>14.0</v>
      </c>
    </row>
    <row r="1706">
      <c r="A1706" s="151">
        <f>IFERROR(__xludf.DUMMYFUNCTION("""COMPUTED_VALUE"""),43800.147749861106)</f>
        <v>43800.14775</v>
      </c>
      <c r="B1706" t="str">
        <f>IFERROR(__xludf.DUMMYFUNCTION("""COMPUTED_VALUE"""),"Gary")</f>
        <v>Gary</v>
      </c>
      <c r="C1706" s="169" t="str">
        <f>IFERROR(__xludf.DUMMYFUNCTION("""COMPUTED_VALUE"""),"Maryland")</f>
        <v>Maryland</v>
      </c>
      <c r="D1706">
        <f>IFERROR(__xludf.DUMMYFUNCTION("""COMPUTED_VALUE"""),3.0)</f>
        <v>3</v>
      </c>
      <c r="E1706">
        <f>IFERROR(__xludf.DUMMYFUNCTION("""COMPUTED_VALUE"""),9.0)</f>
        <v>9</v>
      </c>
      <c r="F1706" t="str">
        <f>IFERROR(__xludf.DUMMYFUNCTION("""COMPUTED_VALUE"""),"NA")</f>
        <v>NA</v>
      </c>
      <c r="G1706" t="str">
        <f>IFERROR(__xludf.DUMMYFUNCTION("""COMPUTED_VALUE"""),"Maryland 16 at Michigan State 19")</f>
        <v>Maryland 16 at Michigan State 19</v>
      </c>
      <c r="H1706" t="str">
        <f>IFERROR(__xludf.DUMMYFUNCTION("""COMPUTED_VALUE"""),"FINAL")</f>
        <v>FINAL</v>
      </c>
      <c r="I1706" t="str">
        <f>IFERROR(__xludf.DUMMYFUNCTION("""COMPUTED_VALUE"""),"22½")</f>
        <v>22½</v>
      </c>
      <c r="J1706">
        <f>IFERROR(__xludf.DUMMYFUNCTION("""COMPUTED_VALUE"""),49.0)</f>
        <v>49</v>
      </c>
      <c r="K1706" t="str">
        <f>IFERROR(__xludf.DUMMYFUNCTION("""COMPUTED_VALUE"""),"Nick A.")</f>
        <v>Nick A.</v>
      </c>
      <c r="L1706" t="str">
        <f>IFERROR(__xludf.DUMMYFUNCTION("""COMPUTED_VALUE"""),"FINAL")</f>
        <v>FINAL</v>
      </c>
      <c r="M1706" s="124">
        <v>14.0</v>
      </c>
    </row>
    <row r="1707">
      <c r="A1707" s="151">
        <f>IFERROR(__xludf.DUMMYFUNCTION("""COMPUTED_VALUE"""),43800.147749861106)</f>
        <v>43800.14775</v>
      </c>
      <c r="B1707" t="str">
        <f>IFERROR(__xludf.DUMMYFUNCTION("""COMPUTED_VALUE"""),"Gary")</f>
        <v>Gary</v>
      </c>
      <c r="C1707" s="169" t="str">
        <f>IFERROR(__xludf.DUMMYFUNCTION("""COMPUTED_VALUE"""),"Utah State")</f>
        <v>Utah State</v>
      </c>
      <c r="D1707">
        <f>IFERROR(__xludf.DUMMYFUNCTION("""COMPUTED_VALUE"""),7.0)</f>
        <v>7</v>
      </c>
      <c r="E1707">
        <f>IFERROR(__xludf.DUMMYFUNCTION("""COMPUTED_VALUE"""),5.0)</f>
        <v>5</v>
      </c>
      <c r="F1707" t="str">
        <f>IFERROR(__xludf.DUMMYFUNCTION("""COMPUTED_VALUE"""),"ESPNU")</f>
        <v>ESPNU</v>
      </c>
      <c r="G1707" t="str">
        <f>IFERROR(__xludf.DUMMYFUNCTION("""COMPUTED_VALUE"""),"Utah State 38 at New Mexico 25")</f>
        <v>Utah State 38 at New Mexico 25</v>
      </c>
      <c r="H1707" t="str">
        <f>IFERROR(__xludf.DUMMYFUNCTION("""COMPUTED_VALUE"""),"FINAL")</f>
        <v>FINAL</v>
      </c>
      <c r="I1707" t="str">
        <f>IFERROR(__xludf.DUMMYFUNCTION("""COMPUTED_VALUE"""),"-10½")</f>
        <v>-10½</v>
      </c>
      <c r="J1707">
        <f>IFERROR(__xludf.DUMMYFUNCTION("""COMPUTED_VALUE"""),61.0)</f>
        <v>61</v>
      </c>
      <c r="K1707" t="str">
        <f>IFERROR(__xludf.DUMMYFUNCTION("""COMPUTED_VALUE"""),"Nico")</f>
        <v>Nico</v>
      </c>
      <c r="L1707" t="str">
        <f>IFERROR(__xludf.DUMMYFUNCTION("""COMPUTED_VALUE"""),"FINAL")</f>
        <v>FINAL</v>
      </c>
      <c r="M1707" s="124">
        <v>14.0</v>
      </c>
    </row>
    <row r="1708">
      <c r="A1708" s="151">
        <f>IFERROR(__xludf.DUMMYFUNCTION("""COMPUTED_VALUE"""),43800.147749861106)</f>
        <v>43800.14775</v>
      </c>
      <c r="B1708" t="str">
        <f>IFERROR(__xludf.DUMMYFUNCTION("""COMPUTED_VALUE"""),"Gary")</f>
        <v>Gary</v>
      </c>
      <c r="C1708" s="169" t="str">
        <f>IFERROR(__xludf.DUMMYFUNCTION("""COMPUTED_VALUE"""),"Tulane")</f>
        <v>Tulane</v>
      </c>
      <c r="D1708">
        <f>IFERROR(__xludf.DUMMYFUNCTION("""COMPUTED_VALUE"""),6.0)</f>
        <v>6</v>
      </c>
      <c r="E1708">
        <f>IFERROR(__xludf.DUMMYFUNCTION("""COMPUTED_VALUE"""),6.0)</f>
        <v>6</v>
      </c>
      <c r="F1708" t="str">
        <f>IFERROR(__xludf.DUMMYFUNCTION("""COMPUTED_VALUE"""),"ESPNU")</f>
        <v>ESPNU</v>
      </c>
      <c r="G1708" t="str">
        <f>IFERROR(__xludf.DUMMYFUNCTION("""COMPUTED_VALUE"""),"Tulane 20 at SMU 37")</f>
        <v>Tulane 20 at SMU 37</v>
      </c>
      <c r="H1708" t="str">
        <f>IFERROR(__xludf.DUMMYFUNCTION("""COMPUTED_VALUE"""),"FINAL")</f>
        <v>FINAL</v>
      </c>
      <c r="I1708" t="str">
        <f>IFERROR(__xludf.DUMMYFUNCTION("""COMPUTED_VALUE"""),"3½")</f>
        <v>3½</v>
      </c>
      <c r="J1708" t="str">
        <f>IFERROR(__xludf.DUMMYFUNCTION("""COMPUTED_VALUE"""),"71½")</f>
        <v>71½</v>
      </c>
      <c r="K1708" t="str">
        <f>IFERROR(__xludf.DUMMYFUNCTION("""COMPUTED_VALUE"""),"Jeannine")</f>
        <v>Jeannine</v>
      </c>
      <c r="L1708" t="str">
        <f>IFERROR(__xludf.DUMMYFUNCTION("""COMPUTED_VALUE"""),"FINAL")</f>
        <v>FINAL</v>
      </c>
      <c r="M1708" s="124">
        <v>14.0</v>
      </c>
    </row>
    <row r="1709">
      <c r="A1709" s="151">
        <f>IFERROR(__xludf.DUMMYFUNCTION("""COMPUTED_VALUE"""),43800.147749861106)</f>
        <v>43800.14775</v>
      </c>
      <c r="B1709" t="str">
        <f>IFERROR(__xludf.DUMMYFUNCTION("""COMPUTED_VALUE"""),"Gary")</f>
        <v>Gary</v>
      </c>
      <c r="C1709" s="169" t="str">
        <f>IFERROR(__xludf.DUMMYFUNCTION("""COMPUTED_VALUE"""),"UL Lafayette")</f>
        <v>UL Lafayette</v>
      </c>
      <c r="D1709">
        <f>IFERROR(__xludf.DUMMYFUNCTION("""COMPUTED_VALUE"""),3.0)</f>
        <v>3</v>
      </c>
      <c r="E1709">
        <f>IFERROR(__xludf.DUMMYFUNCTION("""COMPUTED_VALUE"""),1.0)</f>
        <v>1</v>
      </c>
      <c r="F1709" t="str">
        <f>IFERROR(__xludf.DUMMYFUNCTION("""COMPUTED_VALUE"""),"NA")</f>
        <v>NA</v>
      </c>
      <c r="G1709" t="str">
        <f>IFERROR(__xludf.DUMMYFUNCTION("""COMPUTED_VALUE"""),"UL Monroe 30 at UL Lafayette 31")</f>
        <v>UL Monroe 30 at UL Lafayette 31</v>
      </c>
      <c r="H1709" t="str">
        <f>IFERROR(__xludf.DUMMYFUNCTION("""COMPUTED_VALUE"""),"FINAL")</f>
        <v>FINAL</v>
      </c>
      <c r="I1709">
        <f>IFERROR(__xludf.DUMMYFUNCTION("""COMPUTED_VALUE"""),-21.0)</f>
        <v>-21</v>
      </c>
      <c r="J1709">
        <f>IFERROR(__xludf.DUMMYFUNCTION("""COMPUTED_VALUE"""),68.0)</f>
        <v>68</v>
      </c>
      <c r="K1709" t="str">
        <f>IFERROR(__xludf.DUMMYFUNCTION("""COMPUTED_VALUE"""),"Jeannine")</f>
        <v>Jeannine</v>
      </c>
      <c r="L1709" t="str">
        <f>IFERROR(__xludf.DUMMYFUNCTION("""COMPUTED_VALUE"""),"FINAL")</f>
        <v>FINAL</v>
      </c>
      <c r="M1709" s="124">
        <v>14.0</v>
      </c>
    </row>
    <row r="1710">
      <c r="A1710" s="151">
        <f>IFERROR(__xludf.DUMMYFUNCTION("""COMPUTED_VALUE"""),43800.147749861106)</f>
        <v>43800.14775</v>
      </c>
      <c r="B1710" t="str">
        <f>IFERROR(__xludf.DUMMYFUNCTION("""COMPUTED_VALUE"""),"Gary")</f>
        <v>Gary</v>
      </c>
      <c r="C1710" s="169" t="str">
        <f>IFERROR(__xludf.DUMMYFUNCTION("""COMPUTED_VALUE"""),"BYU")</f>
        <v>BYU</v>
      </c>
      <c r="D1710">
        <f>IFERROR(__xludf.DUMMYFUNCTION("""COMPUTED_VALUE"""),7.0)</f>
        <v>7</v>
      </c>
      <c r="E1710">
        <f>IFERROR(__xludf.DUMMYFUNCTION("""COMPUTED_VALUE"""),5.0)</f>
        <v>5</v>
      </c>
      <c r="F1710" t="str">
        <f>IFERROR(__xludf.DUMMYFUNCTION("""COMPUTED_VALUE"""),"BYUtv")</f>
        <v>BYUtv</v>
      </c>
      <c r="G1710" t="str">
        <f>IFERROR(__xludf.DUMMYFUNCTION("""COMPUTED_VALUE"""),"BYU 3 at San Diego State 13")</f>
        <v>BYU 3 at San Diego State 13</v>
      </c>
      <c r="H1710" t="str">
        <f>IFERROR(__xludf.DUMMYFUNCTION("""COMPUTED_VALUE"""),"FINAL")</f>
        <v>FINAL</v>
      </c>
      <c r="I1710">
        <f>IFERROR(__xludf.DUMMYFUNCTION("""COMPUTED_VALUE"""),-3.0)</f>
        <v>-3</v>
      </c>
      <c r="J1710">
        <f>IFERROR(__xludf.DUMMYFUNCTION("""COMPUTED_VALUE"""),41.0)</f>
        <v>41</v>
      </c>
      <c r="K1710" t="str">
        <f>IFERROR(__xludf.DUMMYFUNCTION("""COMPUTED_VALUE"""),"Nick A.")</f>
        <v>Nick A.</v>
      </c>
      <c r="L1710" t="str">
        <f>IFERROR(__xludf.DUMMYFUNCTION("""COMPUTED_VALUE"""),"FINAL")</f>
        <v>FINAL</v>
      </c>
      <c r="M1710" s="124">
        <v>14.0</v>
      </c>
    </row>
    <row r="1711">
      <c r="A1711" s="151">
        <f>IFERROR(__xludf.DUMMYFUNCTION("""COMPUTED_VALUE"""),43800.147749861106)</f>
        <v>43800.14775</v>
      </c>
      <c r="B1711" t="str">
        <f>IFERROR(__xludf.DUMMYFUNCTION("""COMPUTED_VALUE"""),"Gary")</f>
        <v>Gary</v>
      </c>
      <c r="C1711" s="169" t="str">
        <f>IFERROR(__xludf.DUMMYFUNCTION("""COMPUTED_VALUE"""),"UCLA")</f>
        <v>UCLA</v>
      </c>
      <c r="D1711">
        <f>IFERROR(__xludf.DUMMYFUNCTION("""COMPUTED_VALUE"""),4.0)</f>
        <v>4</v>
      </c>
      <c r="E1711">
        <f>IFERROR(__xludf.DUMMYFUNCTION("""COMPUTED_VALUE"""),8.0)</f>
        <v>8</v>
      </c>
      <c r="F1711" t="str">
        <f>IFERROR(__xludf.DUMMYFUNCTION("""COMPUTED_VALUE"""),"FOX")</f>
        <v>FOX</v>
      </c>
      <c r="G1711" t="str">
        <f>IFERROR(__xludf.DUMMYFUNCTION("""COMPUTED_VALUE"""),"California 28 at UCLA 18")</f>
        <v>California 28 at UCLA 18</v>
      </c>
      <c r="H1711" t="str">
        <f>IFERROR(__xludf.DUMMYFUNCTION("""COMPUTED_VALUE"""),"FINAL")</f>
        <v>FINAL</v>
      </c>
      <c r="I1711" t="str">
        <f>IFERROR(__xludf.DUMMYFUNCTION("""COMPUTED_VALUE"""),"-2½")</f>
        <v>-2½</v>
      </c>
      <c r="J1711">
        <f>IFERROR(__xludf.DUMMYFUNCTION("""COMPUTED_VALUE"""),51.0)</f>
        <v>51</v>
      </c>
      <c r="K1711" t="str">
        <f>IFERROR(__xludf.DUMMYFUNCTION("""COMPUTED_VALUE"""),"DavEmily")</f>
        <v>DavEmily</v>
      </c>
      <c r="L1711" t="str">
        <f>IFERROR(__xludf.DUMMYFUNCTION("""COMPUTED_VALUE"""),"FINAL")</f>
        <v>FINAL</v>
      </c>
      <c r="M1711" s="124">
        <v>14.0</v>
      </c>
    </row>
    <row r="1712">
      <c r="A1712" s="151">
        <f>IFERROR(__xludf.DUMMYFUNCTION("""COMPUTED_VALUE"""),43800.147749861106)</f>
        <v>43800.14775</v>
      </c>
      <c r="B1712" t="str">
        <f>IFERROR(__xludf.DUMMYFUNCTION("""COMPUTED_VALUE"""),"Janice/Mike")</f>
        <v>Janice/Mike</v>
      </c>
      <c r="C1712" s="169" t="str">
        <f>IFERROR(__xludf.DUMMYFUNCTION("""COMPUTED_VALUE"""),"Northern Illinois")</f>
        <v>Northern Illinois</v>
      </c>
      <c r="D1712">
        <f>IFERROR(__xludf.DUMMYFUNCTION("""COMPUTED_VALUE"""),5.0)</f>
        <v>5</v>
      </c>
      <c r="E1712">
        <f>IFERROR(__xludf.DUMMYFUNCTION("""COMPUTED_VALUE"""),7.0)</f>
        <v>7</v>
      </c>
      <c r="F1712" t="str">
        <f>IFERROR(__xludf.DUMMYFUNCTION("""COMPUTED_VALUE"""),"ESPNU")</f>
        <v>ESPNU</v>
      </c>
      <c r="G1712" t="str">
        <f>IFERROR(__xludf.DUMMYFUNCTION("""COMPUTED_VALUE"""),"Western Michigan 14 at Northern Illinois 17")</f>
        <v>Western Michigan 14 at Northern Illinois 17</v>
      </c>
      <c r="H1712" t="str">
        <f>IFERROR(__xludf.DUMMYFUNCTION("""COMPUTED_VALUE"""),"FINAL")</f>
        <v>FINAL</v>
      </c>
      <c r="I1712">
        <f>IFERROR(__xludf.DUMMYFUNCTION("""COMPUTED_VALUE"""),8.0)</f>
        <v>8</v>
      </c>
      <c r="J1712">
        <f>IFERROR(__xludf.DUMMYFUNCTION("""COMPUTED_VALUE"""),51.0)</f>
        <v>51</v>
      </c>
      <c r="K1712" t="str">
        <f>IFERROR(__xludf.DUMMYFUNCTION("""COMPUTED_VALUE"""),"Jeannine")</f>
        <v>Jeannine</v>
      </c>
      <c r="L1712" t="str">
        <f>IFERROR(__xludf.DUMMYFUNCTION("""COMPUTED_VALUE"""),"FINAL")</f>
        <v>FINAL</v>
      </c>
      <c r="M1712" s="124">
        <v>14.0</v>
      </c>
    </row>
    <row r="1713">
      <c r="A1713" s="151">
        <f>IFERROR(__xludf.DUMMYFUNCTION("""COMPUTED_VALUE"""),43800.147749861106)</f>
        <v>43800.14775</v>
      </c>
      <c r="B1713" t="str">
        <f>IFERROR(__xludf.DUMMYFUNCTION("""COMPUTED_VALUE"""),"Janice/Mike")</f>
        <v>Janice/Mike</v>
      </c>
      <c r="C1713" s="169" t="str">
        <f>IFERROR(__xludf.DUMMYFUNCTION("""COMPUTED_VALUE"""),"Texas Tech")</f>
        <v>Texas Tech</v>
      </c>
      <c r="D1713">
        <f>IFERROR(__xludf.DUMMYFUNCTION("""COMPUTED_VALUE"""),4.0)</f>
        <v>4</v>
      </c>
      <c r="E1713">
        <f>IFERROR(__xludf.DUMMYFUNCTION("""COMPUTED_VALUE"""),8.0)</f>
        <v>8</v>
      </c>
      <c r="F1713" t="str">
        <f>IFERROR(__xludf.DUMMYFUNCTION("""COMPUTED_VALUE"""),"ESPN2")</f>
        <v>ESPN2</v>
      </c>
      <c r="G1713" t="str">
        <f>IFERROR(__xludf.DUMMYFUNCTION("""COMPUTED_VALUE"""),"Texas Tech 24 at Texas 49")</f>
        <v>Texas Tech 24 at Texas 49</v>
      </c>
      <c r="H1713" t="str">
        <f>IFERROR(__xludf.DUMMYFUNCTION("""COMPUTED_VALUE"""),"FINAL")</f>
        <v>FINAL</v>
      </c>
      <c r="I1713">
        <f>IFERROR(__xludf.DUMMYFUNCTION("""COMPUTED_VALUE"""),10.0)</f>
        <v>10</v>
      </c>
      <c r="J1713">
        <f>IFERROR(__xludf.DUMMYFUNCTION("""COMPUTED_VALUE"""),64.0)</f>
        <v>64</v>
      </c>
      <c r="K1713" t="str">
        <f>IFERROR(__xludf.DUMMYFUNCTION("""COMPUTED_VALUE"""),"Adam")</f>
        <v>Adam</v>
      </c>
      <c r="L1713" t="str">
        <f>IFERROR(__xludf.DUMMYFUNCTION("""COMPUTED_VALUE"""),"FINAL")</f>
        <v>FINAL</v>
      </c>
      <c r="M1713" s="124">
        <v>14.0</v>
      </c>
    </row>
    <row r="1714">
      <c r="A1714" s="151">
        <f>IFERROR(__xludf.DUMMYFUNCTION("""COMPUTED_VALUE"""),43800.147749861106)</f>
        <v>43800.14775</v>
      </c>
      <c r="B1714" t="str">
        <f>IFERROR(__xludf.DUMMYFUNCTION("""COMPUTED_VALUE"""),"Janice/Mike")</f>
        <v>Janice/Mike</v>
      </c>
      <c r="C1714" s="169" t="str">
        <f>IFERROR(__xludf.DUMMYFUNCTION("""COMPUTED_VALUE"""),"Arkansas")</f>
        <v>Arkansas</v>
      </c>
      <c r="D1714">
        <f>IFERROR(__xludf.DUMMYFUNCTION("""COMPUTED_VALUE"""),2.0)</f>
        <v>2</v>
      </c>
      <c r="E1714">
        <f>IFERROR(__xludf.DUMMYFUNCTION("""COMPUTED_VALUE"""),10.0)</f>
        <v>10</v>
      </c>
      <c r="F1714" t="str">
        <f>IFERROR(__xludf.DUMMYFUNCTION("""COMPUTED_VALUE"""),"NA")</f>
        <v>NA</v>
      </c>
      <c r="G1714" t="str">
        <f>IFERROR(__xludf.DUMMYFUNCTION("""COMPUTED_VALUE"""),"Missouri 24 at Arkansas 14")</f>
        <v>Missouri 24 at Arkansas 14</v>
      </c>
      <c r="H1714" t="str">
        <f>IFERROR(__xludf.DUMMYFUNCTION("""COMPUTED_VALUE"""),"FINAL")</f>
        <v>FINAL</v>
      </c>
      <c r="I1714">
        <f>IFERROR(__xludf.DUMMYFUNCTION("""COMPUTED_VALUE"""),12.0)</f>
        <v>12</v>
      </c>
      <c r="J1714" t="str">
        <f>IFERROR(__xludf.DUMMYFUNCTION("""COMPUTED_VALUE"""),"53½")</f>
        <v>53½</v>
      </c>
      <c r="K1714" t="str">
        <f>IFERROR(__xludf.DUMMYFUNCTION("""COMPUTED_VALUE"""),"Gary")</f>
        <v>Gary</v>
      </c>
      <c r="L1714" t="str">
        <f>IFERROR(__xludf.DUMMYFUNCTION("""COMPUTED_VALUE"""),"FINAL")</f>
        <v>FINAL</v>
      </c>
      <c r="M1714" s="124">
        <v>14.0</v>
      </c>
    </row>
    <row r="1715">
      <c r="A1715" s="151">
        <f>IFERROR(__xludf.DUMMYFUNCTION("""COMPUTED_VALUE"""),43800.147749861106)</f>
        <v>43800.14775</v>
      </c>
      <c r="B1715" t="str">
        <f>IFERROR(__xludf.DUMMYFUNCTION("""COMPUTED_VALUE"""),"Janice/Mike")</f>
        <v>Janice/Mike</v>
      </c>
      <c r="C1715" s="169" t="str">
        <f>IFERROR(__xludf.DUMMYFUNCTION("""COMPUTED_VALUE"""),"Boise State")</f>
        <v>Boise State</v>
      </c>
      <c r="D1715">
        <f>IFERROR(__xludf.DUMMYFUNCTION("""COMPUTED_VALUE"""),11.0)</f>
        <v>11</v>
      </c>
      <c r="E1715">
        <f>IFERROR(__xludf.DUMMYFUNCTION("""COMPUTED_VALUE"""),1.0)</f>
        <v>1</v>
      </c>
      <c r="F1715" t="str">
        <f>IFERROR(__xludf.DUMMYFUNCTION("""COMPUTED_VALUE"""),"ESPN2")</f>
        <v>ESPN2</v>
      </c>
      <c r="G1715" t="str">
        <f>IFERROR(__xludf.DUMMYFUNCTION("""COMPUTED_VALUE"""),"(19) Boise State 31 at Colorado State 24")</f>
        <v>(19) Boise State 31 at Colorado State 24</v>
      </c>
      <c r="H1715" t="str">
        <f>IFERROR(__xludf.DUMMYFUNCTION("""COMPUTED_VALUE"""),"FINAL")</f>
        <v>FINAL</v>
      </c>
      <c r="I1715" t="str">
        <f>IFERROR(__xludf.DUMMYFUNCTION("""COMPUTED_VALUE"""),"-13½")</f>
        <v>-13½</v>
      </c>
      <c r="J1715" t="str">
        <f>IFERROR(__xludf.DUMMYFUNCTION("""COMPUTED_VALUE"""),"57½")</f>
        <v>57½</v>
      </c>
      <c r="K1715" t="str">
        <f>IFERROR(__xludf.DUMMYFUNCTION("""COMPUTED_VALUE"""),"Brad")</f>
        <v>Brad</v>
      </c>
      <c r="L1715" t="str">
        <f>IFERROR(__xludf.DUMMYFUNCTION("""COMPUTED_VALUE"""),"FINAL")</f>
        <v>FINAL</v>
      </c>
      <c r="M1715" s="124">
        <v>14.0</v>
      </c>
    </row>
    <row r="1716">
      <c r="A1716" s="151">
        <f>IFERROR(__xludf.DUMMYFUNCTION("""COMPUTED_VALUE"""),43800.147749861106)</f>
        <v>43800.14775</v>
      </c>
      <c r="B1716" t="str">
        <f>IFERROR(__xludf.DUMMYFUNCTION("""COMPUTED_VALUE"""),"Janice/Mike")</f>
        <v>Janice/Mike</v>
      </c>
      <c r="C1716" s="169" t="str">
        <f>IFERROR(__xludf.DUMMYFUNCTION("""COMPUTED_VALUE"""),"Charlotte")</f>
        <v>Charlotte</v>
      </c>
      <c r="D1716">
        <f>IFERROR(__xludf.DUMMYFUNCTION("""COMPUTED_VALUE"""),7.0)</f>
        <v>7</v>
      </c>
      <c r="E1716">
        <f>IFERROR(__xludf.DUMMYFUNCTION("""COMPUTED_VALUE"""),5.0)</f>
        <v>5</v>
      </c>
      <c r="F1716" t="str">
        <f>IFERROR(__xludf.DUMMYFUNCTION("""COMPUTED_VALUE"""),"NA")</f>
        <v>NA</v>
      </c>
      <c r="G1716" t="str">
        <f>IFERROR(__xludf.DUMMYFUNCTION("""COMPUTED_VALUE"""),"Charlotte 38 at Old Dominion 22")</f>
        <v>Charlotte 38 at Old Dominion 22</v>
      </c>
      <c r="H1716" t="str">
        <f>IFERROR(__xludf.DUMMYFUNCTION("""COMPUTED_VALUE"""),"FINAL")</f>
        <v>FINAL</v>
      </c>
      <c r="I1716">
        <f>IFERROR(__xludf.DUMMYFUNCTION("""COMPUTED_VALUE"""),-8.0)</f>
        <v>-8</v>
      </c>
      <c r="J1716">
        <f>IFERROR(__xludf.DUMMYFUNCTION("""COMPUTED_VALUE"""),50.0)</f>
        <v>50</v>
      </c>
      <c r="K1716" t="str">
        <f>IFERROR(__xludf.DUMMYFUNCTION("""COMPUTED_VALUE"""),"Nick A.")</f>
        <v>Nick A.</v>
      </c>
      <c r="L1716" t="str">
        <f>IFERROR(__xludf.DUMMYFUNCTION("""COMPUTED_VALUE"""),"FINAL")</f>
        <v>FINAL</v>
      </c>
      <c r="M1716" s="124">
        <v>14.0</v>
      </c>
    </row>
    <row r="1717">
      <c r="A1717" s="151">
        <f>IFERROR(__xludf.DUMMYFUNCTION("""COMPUTED_VALUE"""),43800.147749861106)</f>
        <v>43800.14775</v>
      </c>
      <c r="B1717" t="str">
        <f>IFERROR(__xludf.DUMMYFUNCTION("""COMPUTED_VALUE"""),"Janice/Mike")</f>
        <v>Janice/Mike</v>
      </c>
      <c r="C1717" s="169" t="str">
        <f>IFERROR(__xludf.DUMMYFUNCTION("""COMPUTED_VALUE"""),"Wisconsin")</f>
        <v>Wisconsin</v>
      </c>
      <c r="D1717">
        <f>IFERROR(__xludf.DUMMYFUNCTION("""COMPUTED_VALUE"""),10.0)</f>
        <v>10</v>
      </c>
      <c r="E1717">
        <f>IFERROR(__xludf.DUMMYFUNCTION("""COMPUTED_VALUE"""),2.0)</f>
        <v>2</v>
      </c>
      <c r="F1717" t="str">
        <f>IFERROR(__xludf.DUMMYFUNCTION("""COMPUTED_VALUE"""),"BTN")</f>
        <v>BTN</v>
      </c>
      <c r="G1717" t="str">
        <f>IFERROR(__xludf.DUMMYFUNCTION("""COMPUTED_VALUE"""),"(14) Wisconsin 38 at (9) Minnesota 17")</f>
        <v>(14) Wisconsin 38 at (9) Minnesota 17</v>
      </c>
      <c r="H1717" t="str">
        <f>IFERROR(__xludf.DUMMYFUNCTION("""COMPUTED_VALUE"""),"FINAL")</f>
        <v>FINAL</v>
      </c>
      <c r="I1717" t="str">
        <f>IFERROR(__xludf.DUMMYFUNCTION("""COMPUTED_VALUE"""),"-2½")</f>
        <v>-2½</v>
      </c>
      <c r="J1717" t="str">
        <f>IFERROR(__xludf.DUMMYFUNCTION("""COMPUTED_VALUE"""),"47½")</f>
        <v>47½</v>
      </c>
      <c r="K1717" t="str">
        <f>IFERROR(__xludf.DUMMYFUNCTION("""COMPUTED_VALUE"""),"Josh R.")</f>
        <v>Josh R.</v>
      </c>
      <c r="L1717" t="str">
        <f>IFERROR(__xludf.DUMMYFUNCTION("""COMPUTED_VALUE"""),"FINAL")</f>
        <v>FINAL</v>
      </c>
      <c r="M1717" s="124">
        <v>14.0</v>
      </c>
    </row>
    <row r="1718">
      <c r="A1718" s="151">
        <f>IFERROR(__xludf.DUMMYFUNCTION("""COMPUTED_VALUE"""),43800.147749861106)</f>
        <v>43800.14775</v>
      </c>
      <c r="B1718" t="str">
        <f>IFERROR(__xludf.DUMMYFUNCTION("""COMPUTED_VALUE"""),"Janice/Mike")</f>
        <v>Janice/Mike</v>
      </c>
      <c r="C1718" s="169" t="str">
        <f>IFERROR(__xludf.DUMMYFUNCTION("""COMPUTED_VALUE"""),"Boston College")</f>
        <v>Boston College</v>
      </c>
      <c r="D1718">
        <f>IFERROR(__xludf.DUMMYFUNCTION("""COMPUTED_VALUE"""),6.0)</f>
        <v>6</v>
      </c>
      <c r="E1718">
        <f>IFERROR(__xludf.DUMMYFUNCTION("""COMPUTED_VALUE"""),6.0)</f>
        <v>6</v>
      </c>
      <c r="F1718" t="str">
        <f>IFERROR(__xludf.DUMMYFUNCTION("""COMPUTED_VALUE"""),"NA")</f>
        <v>NA</v>
      </c>
      <c r="G1718" t="str">
        <f>IFERROR(__xludf.DUMMYFUNCTION("""COMPUTED_VALUE"""),"Boston College 26 at Pittsburgh 19")</f>
        <v>Boston College 26 at Pittsburgh 19</v>
      </c>
      <c r="H1718" t="str">
        <f>IFERROR(__xludf.DUMMYFUNCTION("""COMPUTED_VALUE"""),"FINAL")</f>
        <v>FINAL</v>
      </c>
      <c r="I1718" t="str">
        <f>IFERROR(__xludf.DUMMYFUNCTION("""COMPUTED_VALUE"""),"9½")</f>
        <v>9½</v>
      </c>
      <c r="J1718">
        <f>IFERROR(__xludf.DUMMYFUNCTION("""COMPUTED_VALUE"""),52.0)</f>
        <v>52</v>
      </c>
      <c r="K1718" t="str">
        <f>IFERROR(__xludf.DUMMYFUNCTION("""COMPUTED_VALUE"""),"Gary")</f>
        <v>Gary</v>
      </c>
      <c r="L1718" t="str">
        <f>IFERROR(__xludf.DUMMYFUNCTION("""COMPUTED_VALUE"""),"FINAL")</f>
        <v>FINAL</v>
      </c>
      <c r="M1718" s="124">
        <v>14.0</v>
      </c>
    </row>
    <row r="1719">
      <c r="A1719" s="151">
        <f>IFERROR(__xludf.DUMMYFUNCTION("""COMPUTED_VALUE"""),43800.147749861106)</f>
        <v>43800.14775</v>
      </c>
      <c r="B1719" t="str">
        <f>IFERROR(__xludf.DUMMYFUNCTION("""COMPUTED_VALUE"""),"Janice/Mike")</f>
        <v>Janice/Mike</v>
      </c>
      <c r="C1719" s="169" t="str">
        <f>IFERROR(__xludf.DUMMYFUNCTION("""COMPUTED_VALUE"""),"Georgia Southern")</f>
        <v>Georgia Southern</v>
      </c>
      <c r="D1719">
        <f>IFERROR(__xludf.DUMMYFUNCTION("""COMPUTED_VALUE"""),7.0)</f>
        <v>7</v>
      </c>
      <c r="E1719">
        <f>IFERROR(__xludf.DUMMYFUNCTION("""COMPUTED_VALUE"""),5.0)</f>
        <v>5</v>
      </c>
      <c r="F1719" t="str">
        <f>IFERROR(__xludf.DUMMYFUNCTION("""COMPUTED_VALUE"""),"espn+ Video")</f>
        <v>espn+ Video</v>
      </c>
      <c r="G1719" t="str">
        <f>IFERROR(__xludf.DUMMYFUNCTION("""COMPUTED_VALUE"""),"Georgia State 10 at Georgia Southern 38")</f>
        <v>Georgia State 10 at Georgia Southern 38</v>
      </c>
      <c r="H1719" t="str">
        <f>IFERROR(__xludf.DUMMYFUNCTION("""COMPUTED_VALUE"""),"FINAL")</f>
        <v>FINAL</v>
      </c>
      <c r="I1719" t="str">
        <f>IFERROR(__xludf.DUMMYFUNCTION("""COMPUTED_VALUE"""),"-7½")</f>
        <v>-7½</v>
      </c>
      <c r="J1719">
        <f>IFERROR(__xludf.DUMMYFUNCTION("""COMPUTED_VALUE"""),58.0)</f>
        <v>58</v>
      </c>
      <c r="K1719" t="str">
        <f>IFERROR(__xludf.DUMMYFUNCTION("""COMPUTED_VALUE"""),"Adam")</f>
        <v>Adam</v>
      </c>
      <c r="L1719" t="str">
        <f>IFERROR(__xludf.DUMMYFUNCTION("""COMPUTED_VALUE"""),"FINAL")</f>
        <v>FINAL</v>
      </c>
      <c r="M1719" s="124">
        <v>14.0</v>
      </c>
    </row>
    <row r="1720">
      <c r="A1720" s="151">
        <f>IFERROR(__xludf.DUMMYFUNCTION("""COMPUTED_VALUE"""),43800.147749861106)</f>
        <v>43800.14775</v>
      </c>
      <c r="B1720" t="str">
        <f>IFERROR(__xludf.DUMMYFUNCTION("""COMPUTED_VALUE"""),"Janice/Mike")</f>
        <v>Janice/Mike</v>
      </c>
      <c r="C1720" s="169" t="str">
        <f>IFERROR(__xludf.DUMMYFUNCTION("""COMPUTED_VALUE"""),"Navy")</f>
        <v>Navy</v>
      </c>
      <c r="D1720">
        <f>IFERROR(__xludf.DUMMYFUNCTION("""COMPUTED_VALUE"""),9.0)</f>
        <v>9</v>
      </c>
      <c r="E1720">
        <f>IFERROR(__xludf.DUMMYFUNCTION("""COMPUTED_VALUE"""),2.0)</f>
        <v>2</v>
      </c>
      <c r="F1720" t="str">
        <f>IFERROR(__xludf.DUMMYFUNCTION("""COMPUTED_VALUE"""),"NBC")</f>
        <v>NBC</v>
      </c>
      <c r="G1720" t="str">
        <f>IFERROR(__xludf.DUMMYFUNCTION("""COMPUTED_VALUE"""),"(24) Navy 56 at Houston 41")</f>
        <v>(24) Navy 56 at Houston 41</v>
      </c>
      <c r="H1720" t="str">
        <f>IFERROR(__xludf.DUMMYFUNCTION("""COMPUTED_VALUE"""),"FINAL")</f>
        <v>FINAL</v>
      </c>
      <c r="I1720">
        <f>IFERROR(__xludf.DUMMYFUNCTION("""COMPUTED_VALUE"""),-8.0)</f>
        <v>-8</v>
      </c>
      <c r="J1720">
        <f>IFERROR(__xludf.DUMMYFUNCTION("""COMPUTED_VALUE"""),58.0)</f>
        <v>58</v>
      </c>
      <c r="K1720" t="str">
        <f>IFERROR(__xludf.DUMMYFUNCTION("""COMPUTED_VALUE"""),"Nico")</f>
        <v>Nico</v>
      </c>
      <c r="L1720" t="str">
        <f>IFERROR(__xludf.DUMMYFUNCTION("""COMPUTED_VALUE"""),"FINAL")</f>
        <v>FINAL</v>
      </c>
      <c r="M1720" s="124">
        <v>14.0</v>
      </c>
    </row>
    <row r="1721">
      <c r="A1721" s="151">
        <f>IFERROR(__xludf.DUMMYFUNCTION("""COMPUTED_VALUE"""),43800.147749861106)</f>
        <v>43800.14775</v>
      </c>
      <c r="B1721" t="str">
        <f>IFERROR(__xludf.DUMMYFUNCTION("""COMPUTED_VALUE"""),"Janice/Mike")</f>
        <v>Janice/Mike</v>
      </c>
      <c r="C1721" s="169" t="str">
        <f>IFERROR(__xludf.DUMMYFUNCTION("""COMPUTED_VALUE"""),"Arizona")</f>
        <v>Arizona</v>
      </c>
      <c r="D1721">
        <f>IFERROR(__xludf.DUMMYFUNCTION("""COMPUTED_VALUE"""),4.0)</f>
        <v>4</v>
      </c>
      <c r="E1721">
        <f>IFERROR(__xludf.DUMMYFUNCTION("""COMPUTED_VALUE"""),8.0)</f>
        <v>8</v>
      </c>
      <c r="F1721" t="str">
        <f>IFERROR(__xludf.DUMMYFUNCTION("""COMPUTED_VALUE"""),"ESPN")</f>
        <v>ESPN</v>
      </c>
      <c r="G1721" t="str">
        <f>IFERROR(__xludf.DUMMYFUNCTION("""COMPUTED_VALUE"""),"Arizona 14 at Arizona State 24")</f>
        <v>Arizona 14 at Arizona State 24</v>
      </c>
      <c r="H1721" t="str">
        <f>IFERROR(__xludf.DUMMYFUNCTION("""COMPUTED_VALUE"""),"FINAL")</f>
        <v>FINAL</v>
      </c>
      <c r="I1721" t="str">
        <f>IFERROR(__xludf.DUMMYFUNCTION("""COMPUTED_VALUE"""),"13½")</f>
        <v>13½</v>
      </c>
      <c r="J1721" t="str">
        <f>IFERROR(__xludf.DUMMYFUNCTION("""COMPUTED_VALUE"""),"59½")</f>
        <v>59½</v>
      </c>
      <c r="K1721" t="str">
        <f>IFERROR(__xludf.DUMMYFUNCTION("""COMPUTED_VALUE"""),"Nico")</f>
        <v>Nico</v>
      </c>
      <c r="L1721" t="str">
        <f>IFERROR(__xludf.DUMMYFUNCTION("""COMPUTED_VALUE"""),"FINAL")</f>
        <v>FINAL</v>
      </c>
      <c r="M1721" s="124">
        <v>14.0</v>
      </c>
    </row>
    <row r="1722">
      <c r="A1722" s="151">
        <f>IFERROR(__xludf.DUMMYFUNCTION("""COMPUTED_VALUE"""),43800.147749861106)</f>
        <v>43800.14775</v>
      </c>
      <c r="B1722" t="str">
        <f>IFERROR(__xludf.DUMMYFUNCTION("""COMPUTED_VALUE"""),"Nico")</f>
        <v>Nico</v>
      </c>
      <c r="C1722" s="169" t="str">
        <f>IFERROR(__xludf.DUMMYFUNCTION("""COMPUTED_VALUE"""),"Miami-OH")</f>
        <v>Miami-OH</v>
      </c>
      <c r="D1722">
        <f>IFERROR(__xludf.DUMMYFUNCTION("""COMPUTED_VALUE"""),7.0)</f>
        <v>7</v>
      </c>
      <c r="E1722">
        <f>IFERROR(__xludf.DUMMYFUNCTION("""COMPUTED_VALUE"""),5.0)</f>
        <v>5</v>
      </c>
      <c r="F1722" t="str">
        <f>IFERROR(__xludf.DUMMYFUNCTION("""COMPUTED_VALUE"""),"NA")</f>
        <v>NA</v>
      </c>
      <c r="G1722" t="str">
        <f>IFERROR(__xludf.DUMMYFUNCTION("""COMPUTED_VALUE"""),"Miami-OH 27 at Ball State 41")</f>
        <v>Miami-OH 27 at Ball State 41</v>
      </c>
      <c r="H1722" t="str">
        <f>IFERROR(__xludf.DUMMYFUNCTION("""COMPUTED_VALUE"""),"FINAL")</f>
        <v>FINAL</v>
      </c>
      <c r="I1722">
        <f>IFERROR(__xludf.DUMMYFUNCTION("""COMPUTED_VALUE"""),3.0)</f>
        <v>3</v>
      </c>
      <c r="J1722">
        <f>IFERROR(__xludf.DUMMYFUNCTION("""COMPUTED_VALUE"""),56.0)</f>
        <v>56</v>
      </c>
      <c r="K1722" t="str">
        <f>IFERROR(__xludf.DUMMYFUNCTION("""COMPUTED_VALUE"""),"DavEmily")</f>
        <v>DavEmily</v>
      </c>
      <c r="L1722" t="str">
        <f>IFERROR(__xludf.DUMMYFUNCTION("""COMPUTED_VALUE"""),"FINAL")</f>
        <v>FINAL</v>
      </c>
      <c r="M1722" s="124">
        <v>14.0</v>
      </c>
    </row>
    <row r="1723">
      <c r="A1723" s="151">
        <f>IFERROR(__xludf.DUMMYFUNCTION("""COMPUTED_VALUE"""),43800.147749861106)</f>
        <v>43800.14775</v>
      </c>
      <c r="B1723" t="str">
        <f>IFERROR(__xludf.DUMMYFUNCTION("""COMPUTED_VALUE"""),"Nico")</f>
        <v>Nico</v>
      </c>
      <c r="C1723" s="169" t="str">
        <f>IFERROR(__xludf.DUMMYFUNCTION("""COMPUTED_VALUE"""),"West Virginia")</f>
        <v>West Virginia</v>
      </c>
      <c r="D1723">
        <f>IFERROR(__xludf.DUMMYFUNCTION("""COMPUTED_VALUE"""),5.0)</f>
        <v>5</v>
      </c>
      <c r="E1723">
        <f>IFERROR(__xludf.DUMMYFUNCTION("""COMPUTED_VALUE"""),7.0)</f>
        <v>7</v>
      </c>
      <c r="F1723" t="str">
        <f>IFERROR(__xludf.DUMMYFUNCTION("""COMPUTED_VALUE"""),"ESPN")</f>
        <v>ESPN</v>
      </c>
      <c r="G1723" t="str">
        <f>IFERROR(__xludf.DUMMYFUNCTION("""COMPUTED_VALUE"""),"West Virginia 20 at TCU 17")</f>
        <v>West Virginia 20 at TCU 17</v>
      </c>
      <c r="H1723" t="str">
        <f>IFERROR(__xludf.DUMMYFUNCTION("""COMPUTED_VALUE"""),"FINAL")</f>
        <v>FINAL</v>
      </c>
      <c r="I1723" t="str">
        <f>IFERROR(__xludf.DUMMYFUNCTION("""COMPUTED_VALUE"""),"13½")</f>
        <v>13½</v>
      </c>
      <c r="J1723">
        <f>IFERROR(__xludf.DUMMYFUNCTION("""COMPUTED_VALUE"""),44.0)</f>
        <v>44</v>
      </c>
      <c r="K1723" t="str">
        <f>IFERROR(__xludf.DUMMYFUNCTION("""COMPUTED_VALUE"""),"Vu")</f>
        <v>Vu</v>
      </c>
      <c r="L1723" t="str">
        <f>IFERROR(__xludf.DUMMYFUNCTION("""COMPUTED_VALUE"""),"FINAL")</f>
        <v>FINAL</v>
      </c>
      <c r="M1723" s="124">
        <v>14.0</v>
      </c>
    </row>
    <row r="1724">
      <c r="A1724" s="151">
        <f>IFERROR(__xludf.DUMMYFUNCTION("""COMPUTED_VALUE"""),43800.147749861106)</f>
        <v>43800.14775</v>
      </c>
      <c r="B1724" t="str">
        <f>IFERROR(__xludf.DUMMYFUNCTION("""COMPUTED_VALUE"""),"Nico")</f>
        <v>Nico</v>
      </c>
      <c r="C1724" s="169" t="str">
        <f>IFERROR(__xludf.DUMMYFUNCTION("""COMPUTED_VALUE"""),"Arkansas State")</f>
        <v>Arkansas State</v>
      </c>
      <c r="D1724">
        <f>IFERROR(__xludf.DUMMYFUNCTION("""COMPUTED_VALUE"""),2.0)</f>
        <v>2</v>
      </c>
      <c r="E1724">
        <f>IFERROR(__xludf.DUMMYFUNCTION("""COMPUTED_VALUE"""),2.0)</f>
        <v>2</v>
      </c>
      <c r="F1724" t="str">
        <f>IFERROR(__xludf.DUMMYFUNCTION("""COMPUTED_VALUE"""),"espn+ Video")</f>
        <v>espn+ Video</v>
      </c>
      <c r="G1724" t="str">
        <f>IFERROR(__xludf.DUMMYFUNCTION("""COMPUTED_VALUE"""),"Arkansas State 30 at South Alabama 34")</f>
        <v>Arkansas State 30 at South Alabama 34</v>
      </c>
      <c r="H1724" t="str">
        <f>IFERROR(__xludf.DUMMYFUNCTION("""COMPUTED_VALUE"""),"FINAL")</f>
        <v>FINAL</v>
      </c>
      <c r="I1724" t="str">
        <f>IFERROR(__xludf.DUMMYFUNCTION("""COMPUTED_VALUE"""),"-13½")</f>
        <v>-13½</v>
      </c>
      <c r="J1724">
        <f>IFERROR(__xludf.DUMMYFUNCTION("""COMPUTED_VALUE"""),56.0)</f>
        <v>56</v>
      </c>
      <c r="K1724" t="str">
        <f>IFERROR(__xludf.DUMMYFUNCTION("""COMPUTED_VALUE"""),"Vu")</f>
        <v>Vu</v>
      </c>
      <c r="L1724" t="str">
        <f>IFERROR(__xludf.DUMMYFUNCTION("""COMPUTED_VALUE"""),"FINAL")</f>
        <v>FINAL</v>
      </c>
      <c r="M1724" s="124">
        <v>14.0</v>
      </c>
    </row>
    <row r="1725">
      <c r="A1725" s="151">
        <f>IFERROR(__xludf.DUMMYFUNCTION("""COMPUTED_VALUE"""),43800.147749861106)</f>
        <v>43800.14775</v>
      </c>
      <c r="B1725" t="str">
        <f>IFERROR(__xludf.DUMMYFUNCTION("""COMPUTED_VALUE"""),"Nico")</f>
        <v>Nico</v>
      </c>
      <c r="C1725" s="169" t="str">
        <f>IFERROR(__xludf.DUMMYFUNCTION("""COMPUTED_VALUE"""),"Georgia")</f>
        <v>Georgia</v>
      </c>
      <c r="D1725">
        <f>IFERROR(__xludf.DUMMYFUNCTION("""COMPUTED_VALUE"""),11.0)</f>
        <v>11</v>
      </c>
      <c r="E1725">
        <f>IFERROR(__xludf.DUMMYFUNCTION("""COMPUTED_VALUE"""),1.0)</f>
        <v>1</v>
      </c>
      <c r="F1725" t="str">
        <f>IFERROR(__xludf.DUMMYFUNCTION("""COMPUTED_VALUE"""),"CBS")</f>
        <v>CBS</v>
      </c>
      <c r="G1725" t="str">
        <f>IFERROR(__xludf.DUMMYFUNCTION("""COMPUTED_VALUE"""),"(4) Georgia 52 at Georgia Tech 7")</f>
        <v>(4) Georgia 52 at Georgia Tech 7</v>
      </c>
      <c r="H1725" t="str">
        <f>IFERROR(__xludf.DUMMYFUNCTION("""COMPUTED_VALUE"""),"FINAL")</f>
        <v>FINAL</v>
      </c>
      <c r="I1725">
        <f>IFERROR(__xludf.DUMMYFUNCTION("""COMPUTED_VALUE"""),-28.0)</f>
        <v>-28</v>
      </c>
      <c r="J1725" t="str">
        <f>IFERROR(__xludf.DUMMYFUNCTION("""COMPUTED_VALUE"""),"46½")</f>
        <v>46½</v>
      </c>
      <c r="K1725" t="str">
        <f>IFERROR(__xludf.DUMMYFUNCTION("""COMPUTED_VALUE"""),"Undrafted")</f>
        <v>Undrafted</v>
      </c>
      <c r="L1725" t="str">
        <f>IFERROR(__xludf.DUMMYFUNCTION("""COMPUTED_VALUE"""),"FINAL")</f>
        <v>FINAL</v>
      </c>
      <c r="M1725" s="124">
        <v>14.0</v>
      </c>
    </row>
    <row r="1726">
      <c r="A1726" s="151">
        <f>IFERROR(__xludf.DUMMYFUNCTION("""COMPUTED_VALUE"""),43800.147749861106)</f>
        <v>43800.14775</v>
      </c>
      <c r="B1726" t="str">
        <f>IFERROR(__xludf.DUMMYFUNCTION("""COMPUTED_VALUE"""),"Nico")</f>
        <v>Nico</v>
      </c>
      <c r="C1726" s="169" t="str">
        <f>IFERROR(__xludf.DUMMYFUNCTION("""COMPUTED_VALUE"""),"Purdue")</f>
        <v>Purdue</v>
      </c>
      <c r="D1726">
        <f>IFERROR(__xludf.DUMMYFUNCTION("""COMPUTED_VALUE"""),4.0)</f>
        <v>4</v>
      </c>
      <c r="E1726">
        <f>IFERROR(__xludf.DUMMYFUNCTION("""COMPUTED_VALUE"""),8.0)</f>
        <v>8</v>
      </c>
      <c r="F1726" t="str">
        <f>IFERROR(__xludf.DUMMYFUNCTION("""COMPUTED_VALUE"""),"NA")</f>
        <v>NA</v>
      </c>
      <c r="G1726" t="str">
        <f>IFERROR(__xludf.DUMMYFUNCTION("""COMPUTED_VALUE"""),"Indiana 44 at Purdue 41")</f>
        <v>Indiana 44 at Purdue 41</v>
      </c>
      <c r="H1726" t="str">
        <f>IFERROR(__xludf.DUMMYFUNCTION("""COMPUTED_VALUE"""),"FINAL - 2ND OT")</f>
        <v>FINAL - 2ND OT</v>
      </c>
      <c r="I1726">
        <f>IFERROR(__xludf.DUMMYFUNCTION("""COMPUTED_VALUE"""),7.0)</f>
        <v>7</v>
      </c>
      <c r="J1726">
        <f>IFERROR(__xludf.DUMMYFUNCTION("""COMPUTED_VALUE"""),55.0)</f>
        <v>55</v>
      </c>
      <c r="K1726" t="str">
        <f>IFERROR(__xludf.DUMMYFUNCTION("""COMPUTED_VALUE"""),"Brad")</f>
        <v>Brad</v>
      </c>
      <c r="L1726" t="str">
        <f>IFERROR(__xludf.DUMMYFUNCTION("""COMPUTED_VALUE"""),"FINAL - 2ND OT")</f>
        <v>FINAL - 2ND OT</v>
      </c>
      <c r="M1726" s="124">
        <v>14.0</v>
      </c>
    </row>
    <row r="1727">
      <c r="A1727" s="151">
        <f>IFERROR(__xludf.DUMMYFUNCTION("""COMPUTED_VALUE"""),43800.147749861106)</f>
        <v>43800.14775</v>
      </c>
      <c r="B1727" t="str">
        <f>IFERROR(__xludf.DUMMYFUNCTION("""COMPUTED_VALUE"""),"Nico")</f>
        <v>Nico</v>
      </c>
      <c r="C1727" s="169" t="str">
        <f>IFERROR(__xludf.DUMMYFUNCTION("""COMPUTED_VALUE"""),"Middle Tennessee")</f>
        <v>Middle Tennessee</v>
      </c>
      <c r="D1727">
        <f>IFERROR(__xludf.DUMMYFUNCTION("""COMPUTED_VALUE"""),4.0)</f>
        <v>4</v>
      </c>
      <c r="E1727">
        <f>IFERROR(__xludf.DUMMYFUNCTION("""COMPUTED_VALUE"""),8.0)</f>
        <v>8</v>
      </c>
      <c r="F1727" t="str">
        <f>IFERROR(__xludf.DUMMYFUNCTION("""COMPUTED_VALUE"""),"espn+ Video")</f>
        <v>espn+ Video</v>
      </c>
      <c r="G1727" t="str">
        <f>IFERROR(__xludf.DUMMYFUNCTION("""COMPUTED_VALUE"""),"Middle Tennessee 26 at Western Kentucky 31")</f>
        <v>Middle Tennessee 26 at Western Kentucky 31</v>
      </c>
      <c r="H1727" t="str">
        <f>IFERROR(__xludf.DUMMYFUNCTION("""COMPUTED_VALUE"""),"FINAL")</f>
        <v>FINAL</v>
      </c>
      <c r="I1727">
        <f>IFERROR(__xludf.DUMMYFUNCTION("""COMPUTED_VALUE"""),8.0)</f>
        <v>8</v>
      </c>
      <c r="J1727" t="str">
        <f>IFERROR(__xludf.DUMMYFUNCTION("""COMPUTED_VALUE"""),"50½")</f>
        <v>50½</v>
      </c>
      <c r="K1727" t="str">
        <f>IFERROR(__xludf.DUMMYFUNCTION("""COMPUTED_VALUE"""),"Justin")</f>
        <v>Justin</v>
      </c>
      <c r="L1727" t="str">
        <f>IFERROR(__xludf.DUMMYFUNCTION("""COMPUTED_VALUE"""),"FINAL")</f>
        <v>FINAL</v>
      </c>
      <c r="M1727" s="124">
        <v>14.0</v>
      </c>
    </row>
    <row r="1728">
      <c r="A1728" s="151">
        <f>IFERROR(__xludf.DUMMYFUNCTION("""COMPUTED_VALUE"""),43800.147749861106)</f>
        <v>43800.14775</v>
      </c>
      <c r="B1728" t="str">
        <f>IFERROR(__xludf.DUMMYFUNCTION("""COMPUTED_VALUE"""),"Nico")</f>
        <v>Nico</v>
      </c>
      <c r="C1728" s="169" t="str">
        <f>IFERROR(__xludf.DUMMYFUNCTION("""COMPUTED_VALUE"""),"New Mexico")</f>
        <v>New Mexico</v>
      </c>
      <c r="D1728">
        <f>IFERROR(__xludf.DUMMYFUNCTION("""COMPUTED_VALUE"""),2.0)</f>
        <v>2</v>
      </c>
      <c r="E1728">
        <f>IFERROR(__xludf.DUMMYFUNCTION("""COMPUTED_VALUE"""),10.0)</f>
        <v>10</v>
      </c>
      <c r="F1728" t="str">
        <f>IFERROR(__xludf.DUMMYFUNCTION("""COMPUTED_VALUE"""),"ESPN2")</f>
        <v>ESPN2</v>
      </c>
      <c r="G1728" t="str">
        <f>IFERROR(__xludf.DUMMYFUNCTION("""COMPUTED_VALUE"""),"Utah State 38 at New Mexico 25")</f>
        <v>Utah State 38 at New Mexico 25</v>
      </c>
      <c r="H1728" t="str">
        <f>IFERROR(__xludf.DUMMYFUNCTION("""COMPUTED_VALUE"""),"FINAL")</f>
        <v>FINAL</v>
      </c>
      <c r="I1728" t="str">
        <f>IFERROR(__xludf.DUMMYFUNCTION("""COMPUTED_VALUE"""),"10½")</f>
        <v>10½</v>
      </c>
      <c r="J1728">
        <f>IFERROR(__xludf.DUMMYFUNCTION("""COMPUTED_VALUE"""),61.0)</f>
        <v>61</v>
      </c>
      <c r="K1728" t="str">
        <f>IFERROR(__xludf.DUMMYFUNCTION("""COMPUTED_VALUE"""),"Gary")</f>
        <v>Gary</v>
      </c>
      <c r="L1728" t="str">
        <f>IFERROR(__xludf.DUMMYFUNCTION("""COMPUTED_VALUE"""),"FINAL")</f>
        <v>FINAL</v>
      </c>
      <c r="M1728" s="124">
        <v>14.0</v>
      </c>
    </row>
    <row r="1729">
      <c r="A1729" s="151">
        <f>IFERROR(__xludf.DUMMYFUNCTION("""COMPUTED_VALUE"""),43800.147749861106)</f>
        <v>43800.14775</v>
      </c>
      <c r="B1729" t="str">
        <f>IFERROR(__xludf.DUMMYFUNCTION("""COMPUTED_VALUE"""),"Nico")</f>
        <v>Nico</v>
      </c>
      <c r="C1729" s="169" t="str">
        <f>IFERROR(__xludf.DUMMYFUNCTION("""COMPUTED_VALUE"""),"Houston")</f>
        <v>Houston</v>
      </c>
      <c r="D1729">
        <f>IFERROR(__xludf.DUMMYFUNCTION("""COMPUTED_VALUE"""),4.0)</f>
        <v>4</v>
      </c>
      <c r="E1729">
        <f>IFERROR(__xludf.DUMMYFUNCTION("""COMPUTED_VALUE"""),8.0)</f>
        <v>8</v>
      </c>
      <c r="F1729" t="str">
        <f>IFERROR(__xludf.DUMMYFUNCTION("""COMPUTED_VALUE"""),"ESPN2")</f>
        <v>ESPN2</v>
      </c>
      <c r="G1729" t="str">
        <f>IFERROR(__xludf.DUMMYFUNCTION("""COMPUTED_VALUE"""),"(24) Navy 56 at Houston 41")</f>
        <v>(24) Navy 56 at Houston 41</v>
      </c>
      <c r="H1729" t="str">
        <f>IFERROR(__xludf.DUMMYFUNCTION("""COMPUTED_VALUE"""),"FINAL")</f>
        <v>FINAL</v>
      </c>
      <c r="I1729">
        <f>IFERROR(__xludf.DUMMYFUNCTION("""COMPUTED_VALUE"""),8.0)</f>
        <v>8</v>
      </c>
      <c r="J1729">
        <f>IFERROR(__xludf.DUMMYFUNCTION("""COMPUTED_VALUE"""),58.0)</f>
        <v>58</v>
      </c>
      <c r="K1729" t="str">
        <f>IFERROR(__xludf.DUMMYFUNCTION("""COMPUTED_VALUE"""),"Janice/Mike")</f>
        <v>Janice/Mike</v>
      </c>
      <c r="L1729" t="str">
        <f>IFERROR(__xludf.DUMMYFUNCTION("""COMPUTED_VALUE"""),"FINAL")</f>
        <v>FINAL</v>
      </c>
      <c r="M1729" s="124">
        <v>14.0</v>
      </c>
    </row>
    <row r="1730">
      <c r="A1730" s="151">
        <f>IFERROR(__xludf.DUMMYFUNCTION("""COMPUTED_VALUE"""),43800.147749861106)</f>
        <v>43800.14775</v>
      </c>
      <c r="B1730" t="str">
        <f>IFERROR(__xludf.DUMMYFUNCTION("""COMPUTED_VALUE"""),"Nico")</f>
        <v>Nico</v>
      </c>
      <c r="C1730" s="169" t="str">
        <f>IFERROR(__xludf.DUMMYFUNCTION("""COMPUTED_VALUE"""),"North Carolina")</f>
        <v>North Carolina</v>
      </c>
      <c r="D1730">
        <f>IFERROR(__xludf.DUMMYFUNCTION("""COMPUTED_VALUE"""),6.0)</f>
        <v>6</v>
      </c>
      <c r="E1730">
        <f>IFERROR(__xludf.DUMMYFUNCTION("""COMPUTED_VALUE"""),6.0)</f>
        <v>6</v>
      </c>
      <c r="F1730" t="str">
        <f>IFERROR(__xludf.DUMMYFUNCTION("""COMPUTED_VALUE"""),"ESPN")</f>
        <v>ESPN</v>
      </c>
      <c r="G1730" t="str">
        <f>IFERROR(__xludf.DUMMYFUNCTION("""COMPUTED_VALUE"""),"North Carolina 41 at NC State 10")</f>
        <v>North Carolina 41 at NC State 10</v>
      </c>
      <c r="H1730" t="str">
        <f>IFERROR(__xludf.DUMMYFUNCTION("""COMPUTED_VALUE"""),"FINAL")</f>
        <v>FINAL</v>
      </c>
      <c r="I1730" t="str">
        <f>IFERROR(__xludf.DUMMYFUNCTION("""COMPUTED_VALUE"""),"-8½")</f>
        <v>-8½</v>
      </c>
      <c r="J1730" t="str">
        <f>IFERROR(__xludf.DUMMYFUNCTION("""COMPUTED_VALUE"""),"54½")</f>
        <v>54½</v>
      </c>
      <c r="K1730" t="str">
        <f>IFERROR(__xludf.DUMMYFUNCTION("""COMPUTED_VALUE"""),"Nick G.")</f>
        <v>Nick G.</v>
      </c>
      <c r="L1730" t="str">
        <f>IFERROR(__xludf.DUMMYFUNCTION("""COMPUTED_VALUE"""),"FINAL")</f>
        <v>FINAL</v>
      </c>
      <c r="M1730" s="124">
        <v>14.0</v>
      </c>
    </row>
    <row r="1731">
      <c r="A1731" s="151">
        <f>IFERROR(__xludf.DUMMYFUNCTION("""COMPUTED_VALUE"""),43800.147749861106)</f>
        <v>43800.14775</v>
      </c>
      <c r="B1731" t="str">
        <f>IFERROR(__xludf.DUMMYFUNCTION("""COMPUTED_VALUE"""),"Nico")</f>
        <v>Nico</v>
      </c>
      <c r="C1731" s="169" t="str">
        <f>IFERROR(__xludf.DUMMYFUNCTION("""COMPUTED_VALUE"""),"Arizona State")</f>
        <v>Arizona State</v>
      </c>
      <c r="D1731">
        <f>IFERROR(__xludf.DUMMYFUNCTION("""COMPUTED_VALUE"""),7.0)</f>
        <v>7</v>
      </c>
      <c r="E1731">
        <f>IFERROR(__xludf.DUMMYFUNCTION("""COMPUTED_VALUE"""),5.0)</f>
        <v>5</v>
      </c>
      <c r="F1731" t="str">
        <f>IFERROR(__xludf.DUMMYFUNCTION("""COMPUTED_VALUE"""),"FS1")</f>
        <v>FS1</v>
      </c>
      <c r="G1731" t="str">
        <f>IFERROR(__xludf.DUMMYFUNCTION("""COMPUTED_VALUE"""),"Arizona 14 at Arizona State 24")</f>
        <v>Arizona 14 at Arizona State 24</v>
      </c>
      <c r="H1731" t="str">
        <f>IFERROR(__xludf.DUMMYFUNCTION("""COMPUTED_VALUE"""),"FINAL")</f>
        <v>FINAL</v>
      </c>
      <c r="I1731" t="str">
        <f>IFERROR(__xludf.DUMMYFUNCTION("""COMPUTED_VALUE"""),"-13½")</f>
        <v>-13½</v>
      </c>
      <c r="J1731" t="str">
        <f>IFERROR(__xludf.DUMMYFUNCTION("""COMPUTED_VALUE"""),"59½")</f>
        <v>59½</v>
      </c>
      <c r="K1731" t="str">
        <f>IFERROR(__xludf.DUMMYFUNCTION("""COMPUTED_VALUE"""),"Janice/Mike")</f>
        <v>Janice/Mike</v>
      </c>
      <c r="L1731" t="str">
        <f>IFERROR(__xludf.DUMMYFUNCTION("""COMPUTED_VALUE"""),"FINAL")</f>
        <v>FINAL</v>
      </c>
      <c r="M1731" s="124">
        <v>14.0</v>
      </c>
    </row>
    <row r="1732">
      <c r="A1732" s="151">
        <f>IFERROR(__xludf.DUMMYFUNCTION("""COMPUTED_VALUE"""),43800.147749861106)</f>
        <v>43800.14775</v>
      </c>
      <c r="B1732" t="str">
        <f>IFERROR(__xludf.DUMMYFUNCTION("""COMPUTED_VALUE"""),"Jeannine")</f>
        <v>Jeannine</v>
      </c>
      <c r="C1732" s="169" t="str">
        <f>IFERROR(__xludf.DUMMYFUNCTION("""COMPUTED_VALUE"""),"Western Michigan")</f>
        <v>Western Michigan</v>
      </c>
      <c r="D1732">
        <f>IFERROR(__xludf.DUMMYFUNCTION("""COMPUTED_VALUE"""),7.0)</f>
        <v>7</v>
      </c>
      <c r="E1732">
        <f>IFERROR(__xludf.DUMMYFUNCTION("""COMPUTED_VALUE"""),5.0)</f>
        <v>5</v>
      </c>
      <c r="F1732" t="str">
        <f>IFERROR(__xludf.DUMMYFUNCTION("""COMPUTED_VALUE"""),"ESPN2")</f>
        <v>ESPN2</v>
      </c>
      <c r="G1732" t="str">
        <f>IFERROR(__xludf.DUMMYFUNCTION("""COMPUTED_VALUE"""),"Western Michigan 14 at Northern Illinois 17")</f>
        <v>Western Michigan 14 at Northern Illinois 17</v>
      </c>
      <c r="H1732" t="str">
        <f>IFERROR(__xludf.DUMMYFUNCTION("""COMPUTED_VALUE"""),"FINAL")</f>
        <v>FINAL</v>
      </c>
      <c r="I1732">
        <f>IFERROR(__xludf.DUMMYFUNCTION("""COMPUTED_VALUE"""),-8.0)</f>
        <v>-8</v>
      </c>
      <c r="J1732">
        <f>IFERROR(__xludf.DUMMYFUNCTION("""COMPUTED_VALUE"""),51.0)</f>
        <v>51</v>
      </c>
      <c r="K1732" t="str">
        <f>IFERROR(__xludf.DUMMYFUNCTION("""COMPUTED_VALUE"""),"Janice/Mike")</f>
        <v>Janice/Mike</v>
      </c>
      <c r="L1732" t="str">
        <f>IFERROR(__xludf.DUMMYFUNCTION("""COMPUTED_VALUE"""),"FINAL")</f>
        <v>FINAL</v>
      </c>
      <c r="M1732" s="124">
        <v>14.0</v>
      </c>
    </row>
    <row r="1733">
      <c r="A1733" s="151">
        <f>IFERROR(__xludf.DUMMYFUNCTION("""COMPUTED_VALUE"""),43800.147749861106)</f>
        <v>43800.14775</v>
      </c>
      <c r="B1733" t="str">
        <f>IFERROR(__xludf.DUMMYFUNCTION("""COMPUTED_VALUE"""),"Jeannine")</f>
        <v>Jeannine</v>
      </c>
      <c r="C1733" s="169" t="str">
        <f>IFERROR(__xludf.DUMMYFUNCTION("""COMPUTED_VALUE"""),"Mississippi State")</f>
        <v>Mississippi State</v>
      </c>
      <c r="D1733">
        <f>IFERROR(__xludf.DUMMYFUNCTION("""COMPUTED_VALUE"""),6.0)</f>
        <v>6</v>
      </c>
      <c r="E1733">
        <f>IFERROR(__xludf.DUMMYFUNCTION("""COMPUTED_VALUE"""),6.0)</f>
        <v>6</v>
      </c>
      <c r="F1733" t="str">
        <f>IFERROR(__xludf.DUMMYFUNCTION("""COMPUTED_VALUE"""),"ESPN")</f>
        <v>ESPN</v>
      </c>
      <c r="G1733" t="str">
        <f>IFERROR(__xludf.DUMMYFUNCTION("""COMPUTED_VALUE"""),"Ole Miss 20 at Mississippi State 21")</f>
        <v>Ole Miss 20 at Mississippi State 21</v>
      </c>
      <c r="H1733" t="str">
        <f>IFERROR(__xludf.DUMMYFUNCTION("""COMPUTED_VALUE"""),"FINAL")</f>
        <v>FINAL</v>
      </c>
      <c r="I1733">
        <f>IFERROR(__xludf.DUMMYFUNCTION("""COMPUTED_VALUE"""),-3.0)</f>
        <v>-3</v>
      </c>
      <c r="J1733">
        <f>IFERROR(__xludf.DUMMYFUNCTION("""COMPUTED_VALUE"""),58.0)</f>
        <v>58</v>
      </c>
      <c r="K1733" t="str">
        <f>IFERROR(__xludf.DUMMYFUNCTION("""COMPUTED_VALUE"""),"Undrafted")</f>
        <v>Undrafted</v>
      </c>
      <c r="L1733" t="str">
        <f>IFERROR(__xludf.DUMMYFUNCTION("""COMPUTED_VALUE"""),"FINAL")</f>
        <v>FINAL</v>
      </c>
      <c r="M1733" s="124">
        <v>14.0</v>
      </c>
    </row>
    <row r="1734">
      <c r="A1734" s="151">
        <f>IFERROR(__xludf.DUMMYFUNCTION("""COMPUTED_VALUE"""),43800.147749861106)</f>
        <v>43800.14775</v>
      </c>
      <c r="B1734" t="str">
        <f>IFERROR(__xludf.DUMMYFUNCTION("""COMPUTED_VALUE"""),"Jeannine")</f>
        <v>Jeannine</v>
      </c>
      <c r="C1734" s="169" t="str">
        <f>IFERROR(__xludf.DUMMYFUNCTION("""COMPUTED_VALUE"""),"Virginia")</f>
        <v>Virginia</v>
      </c>
      <c r="D1734">
        <f>IFERROR(__xludf.DUMMYFUNCTION("""COMPUTED_VALUE"""),9.0)</f>
        <v>9</v>
      </c>
      <c r="E1734">
        <f>IFERROR(__xludf.DUMMYFUNCTION("""COMPUTED_VALUE"""),3.0)</f>
        <v>3</v>
      </c>
      <c r="F1734" t="str">
        <f>IFERROR(__xludf.DUMMYFUNCTION("""COMPUTED_VALUE"""),"NA")</f>
        <v>NA</v>
      </c>
      <c r="G1734" t="str">
        <f>IFERROR(__xludf.DUMMYFUNCTION("""COMPUTED_VALUE"""),"(23) Virginia Tech 30 at Virginia 39")</f>
        <v>(23) Virginia Tech 30 at Virginia 39</v>
      </c>
      <c r="H1734" t="str">
        <f>IFERROR(__xludf.DUMMYFUNCTION("""COMPUTED_VALUE"""),"FINAL")</f>
        <v>FINAL</v>
      </c>
      <c r="I1734">
        <f>IFERROR(__xludf.DUMMYFUNCTION("""COMPUTED_VALUE"""),3.0)</f>
        <v>3</v>
      </c>
      <c r="J1734">
        <f>IFERROR(__xludf.DUMMYFUNCTION("""COMPUTED_VALUE"""),48.0)</f>
        <v>48</v>
      </c>
      <c r="K1734" t="str">
        <f>IFERROR(__xludf.DUMMYFUNCTION("""COMPUTED_VALUE"""),"DavEmily")</f>
        <v>DavEmily</v>
      </c>
      <c r="L1734" t="str">
        <f>IFERROR(__xludf.DUMMYFUNCTION("""COMPUTED_VALUE"""),"FINAL")</f>
        <v>FINAL</v>
      </c>
      <c r="M1734" s="124">
        <v>14.0</v>
      </c>
    </row>
    <row r="1735">
      <c r="A1735" s="151">
        <f>IFERROR(__xludf.DUMMYFUNCTION("""COMPUTED_VALUE"""),43800.147749861106)</f>
        <v>43800.14775</v>
      </c>
      <c r="B1735" t="str">
        <f>IFERROR(__xludf.DUMMYFUNCTION("""COMPUTED_VALUE"""),"Jeannine")</f>
        <v>Jeannine</v>
      </c>
      <c r="C1735" s="169" t="str">
        <f>IFERROR(__xludf.DUMMYFUNCTION("""COMPUTED_VALUE"""),"Penn State")</f>
        <v>Penn State</v>
      </c>
      <c r="D1735">
        <f>IFERROR(__xludf.DUMMYFUNCTION("""COMPUTED_VALUE"""),10.0)</f>
        <v>10</v>
      </c>
      <c r="E1735">
        <f>IFERROR(__xludf.DUMMYFUNCTION("""COMPUTED_VALUE"""),2.0)</f>
        <v>2</v>
      </c>
      <c r="F1735" t="str">
        <f>IFERROR(__xludf.DUMMYFUNCTION("""COMPUTED_VALUE"""),"ABC")</f>
        <v>ABC</v>
      </c>
      <c r="G1735" t="str">
        <f>IFERROR(__xludf.DUMMYFUNCTION("""COMPUTED_VALUE"""),"Rutgers 6 at (12) Penn State 27")</f>
        <v>Rutgers 6 at (12) Penn State 27</v>
      </c>
      <c r="H1735" t="str">
        <f>IFERROR(__xludf.DUMMYFUNCTION("""COMPUTED_VALUE"""),"FINAL")</f>
        <v>FINAL</v>
      </c>
      <c r="I1735">
        <f>IFERROR(__xludf.DUMMYFUNCTION("""COMPUTED_VALUE"""),-40.0)</f>
        <v>-40</v>
      </c>
      <c r="J1735" t="str">
        <f>IFERROR(__xludf.DUMMYFUNCTION("""COMPUTED_VALUE"""),"49½")</f>
        <v>49½</v>
      </c>
      <c r="K1735" t="str">
        <f>IFERROR(__xludf.DUMMYFUNCTION("""COMPUTED_VALUE"""),"Undrafted")</f>
        <v>Undrafted</v>
      </c>
      <c r="L1735" t="str">
        <f>IFERROR(__xludf.DUMMYFUNCTION("""COMPUTED_VALUE"""),"FINAL")</f>
        <v>FINAL</v>
      </c>
      <c r="M1735" s="124">
        <v>14.0</v>
      </c>
    </row>
    <row r="1736">
      <c r="A1736" s="151">
        <f>IFERROR(__xludf.DUMMYFUNCTION("""COMPUTED_VALUE"""),43800.147749861106)</f>
        <v>43800.14775</v>
      </c>
      <c r="B1736" t="str">
        <f>IFERROR(__xludf.DUMMYFUNCTION("""COMPUTED_VALUE"""),"Jeannine")</f>
        <v>Jeannine</v>
      </c>
      <c r="C1736" s="169" t="str">
        <f>IFERROR(__xludf.DUMMYFUNCTION("""COMPUTED_VALUE"""),"UAB")</f>
        <v>UAB</v>
      </c>
      <c r="D1736">
        <f>IFERROR(__xludf.DUMMYFUNCTION("""COMPUTED_VALUE"""),9.0)</f>
        <v>9</v>
      </c>
      <c r="E1736">
        <f>IFERROR(__xludf.DUMMYFUNCTION("""COMPUTED_VALUE"""),3.0)</f>
        <v>3</v>
      </c>
      <c r="F1736" t="str">
        <f>IFERROR(__xludf.DUMMYFUNCTION("""COMPUTED_VALUE"""),"espn3 Video")</f>
        <v>espn3 Video</v>
      </c>
      <c r="G1736" t="str">
        <f>IFERROR(__xludf.DUMMYFUNCTION("""COMPUTED_VALUE"""),"UAB 26 at North Texas 21")</f>
        <v>UAB 26 at North Texas 21</v>
      </c>
      <c r="H1736" t="str">
        <f>IFERROR(__xludf.DUMMYFUNCTION("""COMPUTED_VALUE"""),"FINAL")</f>
        <v>FINAL</v>
      </c>
      <c r="I1736">
        <f>IFERROR(__xludf.DUMMYFUNCTION("""COMPUTED_VALUE"""),-1.0)</f>
        <v>-1</v>
      </c>
      <c r="J1736" t="str">
        <f>IFERROR(__xludf.DUMMYFUNCTION("""COMPUTED_VALUE"""),"50½")</f>
        <v>50½</v>
      </c>
      <c r="K1736" t="str">
        <f>IFERROR(__xludf.DUMMYFUNCTION("""COMPUTED_VALUE"""),"Vu")</f>
        <v>Vu</v>
      </c>
      <c r="L1736" t="str">
        <f>IFERROR(__xludf.DUMMYFUNCTION("""COMPUTED_VALUE"""),"FINAL")</f>
        <v>FINAL</v>
      </c>
      <c r="M1736" s="124">
        <v>14.0</v>
      </c>
    </row>
    <row r="1737">
      <c r="A1737" s="151">
        <f>IFERROR(__xludf.DUMMYFUNCTION("""COMPUTED_VALUE"""),43800.147749861106)</f>
        <v>43800.14775</v>
      </c>
      <c r="B1737" t="str">
        <f>IFERROR(__xludf.DUMMYFUNCTION("""COMPUTED_VALUE"""),"Jeannine")</f>
        <v>Jeannine</v>
      </c>
      <c r="C1737" s="169" t="str">
        <f>IFERROR(__xludf.DUMMYFUNCTION("""COMPUTED_VALUE"""),"SMU")</f>
        <v>SMU</v>
      </c>
      <c r="D1737">
        <f>IFERROR(__xludf.DUMMYFUNCTION("""COMPUTED_VALUE"""),10.0)</f>
        <v>10</v>
      </c>
      <c r="E1737">
        <f>IFERROR(__xludf.DUMMYFUNCTION("""COMPUTED_VALUE"""),2.0)</f>
        <v>2</v>
      </c>
      <c r="F1737" t="str">
        <f>IFERROR(__xludf.DUMMYFUNCTION("""COMPUTED_VALUE"""),"NA")</f>
        <v>NA</v>
      </c>
      <c r="G1737" t="str">
        <f>IFERROR(__xludf.DUMMYFUNCTION("""COMPUTED_VALUE"""),"Tulane 20 at SMU 37")</f>
        <v>Tulane 20 at SMU 37</v>
      </c>
      <c r="H1737" t="str">
        <f>IFERROR(__xludf.DUMMYFUNCTION("""COMPUTED_VALUE"""),"FINAL")</f>
        <v>FINAL</v>
      </c>
      <c r="I1737" t="str">
        <f>IFERROR(__xludf.DUMMYFUNCTION("""COMPUTED_VALUE"""),"-3½")</f>
        <v>-3½</v>
      </c>
      <c r="J1737" t="str">
        <f>IFERROR(__xludf.DUMMYFUNCTION("""COMPUTED_VALUE"""),"71½")</f>
        <v>71½</v>
      </c>
      <c r="K1737" t="str">
        <f>IFERROR(__xludf.DUMMYFUNCTION("""COMPUTED_VALUE"""),"Gary")</f>
        <v>Gary</v>
      </c>
      <c r="L1737" t="str">
        <f>IFERROR(__xludf.DUMMYFUNCTION("""COMPUTED_VALUE"""),"FINAL")</f>
        <v>FINAL</v>
      </c>
      <c r="M1737" s="124">
        <v>14.0</v>
      </c>
    </row>
    <row r="1738">
      <c r="A1738" s="151">
        <f>IFERROR(__xludf.DUMMYFUNCTION("""COMPUTED_VALUE"""),43800.147749861106)</f>
        <v>43800.14775</v>
      </c>
      <c r="B1738" t="str">
        <f>IFERROR(__xludf.DUMMYFUNCTION("""COMPUTED_VALUE"""),"Jeannine")</f>
        <v>Jeannine</v>
      </c>
      <c r="C1738" s="169" t="str">
        <f>IFERROR(__xludf.DUMMYFUNCTION("""COMPUTED_VALUE"""),"Colorado")</f>
        <v>Colorado</v>
      </c>
      <c r="D1738">
        <f>IFERROR(__xludf.DUMMYFUNCTION("""COMPUTED_VALUE"""),5.0)</f>
        <v>5</v>
      </c>
      <c r="E1738">
        <f>IFERROR(__xludf.DUMMYFUNCTION("""COMPUTED_VALUE"""),7.0)</f>
        <v>7</v>
      </c>
      <c r="F1738" t="str">
        <f>IFERROR(__xludf.DUMMYFUNCTION("""COMPUTED_VALUE"""),"NA")</f>
        <v>NA</v>
      </c>
      <c r="G1738" t="str">
        <f>IFERROR(__xludf.DUMMYFUNCTION("""COMPUTED_VALUE"""),"Colorado 15 at (6) Utah 45")</f>
        <v>Colorado 15 at (6) Utah 45</v>
      </c>
      <c r="H1738" t="str">
        <f>IFERROR(__xludf.DUMMYFUNCTION("""COMPUTED_VALUE"""),"FINAL")</f>
        <v>FINAL</v>
      </c>
      <c r="I1738">
        <f>IFERROR(__xludf.DUMMYFUNCTION("""COMPUTED_VALUE"""),29.0)</f>
        <v>29</v>
      </c>
      <c r="J1738">
        <f>IFERROR(__xludf.DUMMYFUNCTION("""COMPUTED_VALUE"""),49.0)</f>
        <v>49</v>
      </c>
      <c r="K1738" t="str">
        <f>IFERROR(__xludf.DUMMYFUNCTION("""COMPUTED_VALUE"""),"Brad")</f>
        <v>Brad</v>
      </c>
      <c r="L1738" t="str">
        <f>IFERROR(__xludf.DUMMYFUNCTION("""COMPUTED_VALUE"""),"FINAL")</f>
        <v>FINAL</v>
      </c>
      <c r="M1738" s="124">
        <v>14.0</v>
      </c>
    </row>
    <row r="1739">
      <c r="A1739" s="151">
        <f>IFERROR(__xludf.DUMMYFUNCTION("""COMPUTED_VALUE"""),43800.147749861106)</f>
        <v>43800.14775</v>
      </c>
      <c r="B1739" t="str">
        <f>IFERROR(__xludf.DUMMYFUNCTION("""COMPUTED_VALUE"""),"Jeannine")</f>
        <v>Jeannine</v>
      </c>
      <c r="C1739" s="169" t="str">
        <f>IFERROR(__xludf.DUMMYFUNCTION("""COMPUTED_VALUE"""),"UL Monroe")</f>
        <v>UL Monroe</v>
      </c>
      <c r="D1739">
        <f>IFERROR(__xludf.DUMMYFUNCTION("""COMPUTED_VALUE"""),5.0)</f>
        <v>5</v>
      </c>
      <c r="E1739">
        <f>IFERROR(__xludf.DUMMYFUNCTION("""COMPUTED_VALUE"""),7.0)</f>
        <v>7</v>
      </c>
      <c r="F1739" t="str">
        <f>IFERROR(__xludf.DUMMYFUNCTION("""COMPUTED_VALUE"""),"NA")</f>
        <v>NA</v>
      </c>
      <c r="G1739" t="str">
        <f>IFERROR(__xludf.DUMMYFUNCTION("""COMPUTED_VALUE"""),"UL Monroe 30 at UL Lafayette 31")</f>
        <v>UL Monroe 30 at UL Lafayette 31</v>
      </c>
      <c r="H1739" t="str">
        <f>IFERROR(__xludf.DUMMYFUNCTION("""COMPUTED_VALUE"""),"FINAL")</f>
        <v>FINAL</v>
      </c>
      <c r="I1739">
        <f>IFERROR(__xludf.DUMMYFUNCTION("""COMPUTED_VALUE"""),21.0)</f>
        <v>21</v>
      </c>
      <c r="J1739">
        <f>IFERROR(__xludf.DUMMYFUNCTION("""COMPUTED_VALUE"""),68.0)</f>
        <v>68</v>
      </c>
      <c r="K1739" t="str">
        <f>IFERROR(__xludf.DUMMYFUNCTION("""COMPUTED_VALUE"""),"Gary")</f>
        <v>Gary</v>
      </c>
      <c r="L1739" t="str">
        <f>IFERROR(__xludf.DUMMYFUNCTION("""COMPUTED_VALUE"""),"FINAL")</f>
        <v>FINAL</v>
      </c>
      <c r="M1739" s="124">
        <v>14.0</v>
      </c>
    </row>
    <row r="1740">
      <c r="A1740" s="151">
        <f>IFERROR(__xludf.DUMMYFUNCTION("""COMPUTED_VALUE"""),43800.147749861106)</f>
        <v>43800.14775</v>
      </c>
      <c r="B1740" t="str">
        <f>IFERROR(__xludf.DUMMYFUNCTION("""COMPUTED_VALUE"""),"Jeannine")</f>
        <v>Jeannine</v>
      </c>
      <c r="C1740" s="169" t="str">
        <f>IFERROR(__xludf.DUMMYFUNCTION("""COMPUTED_VALUE"""),"Oklahoma")</f>
        <v>Oklahoma</v>
      </c>
      <c r="D1740">
        <f>IFERROR(__xludf.DUMMYFUNCTION("""COMPUTED_VALUE"""),11.0)</f>
        <v>11</v>
      </c>
      <c r="E1740">
        <f>IFERROR(__xludf.DUMMYFUNCTION("""COMPUTED_VALUE"""),1.0)</f>
        <v>1</v>
      </c>
      <c r="F1740" t="str">
        <f>IFERROR(__xludf.DUMMYFUNCTION("""COMPUTED_VALUE"""),"ABC")</f>
        <v>ABC</v>
      </c>
      <c r="G1740" t="str">
        <f>IFERROR(__xludf.DUMMYFUNCTION("""COMPUTED_VALUE"""),"(7) Oklahoma 34 at (21) Oklahoma State 16")</f>
        <v>(7) Oklahoma 34 at (21) Oklahoma State 16</v>
      </c>
      <c r="H1740" t="str">
        <f>IFERROR(__xludf.DUMMYFUNCTION("""COMPUTED_VALUE"""),"FINAL")</f>
        <v>FINAL</v>
      </c>
      <c r="I1740" t="str">
        <f>IFERROR(__xludf.DUMMYFUNCTION("""COMPUTED_VALUE"""),"-13½")</f>
        <v>-13½</v>
      </c>
      <c r="J1740" t="str">
        <f>IFERROR(__xludf.DUMMYFUNCTION("""COMPUTED_VALUE"""),"69½")</f>
        <v>69½</v>
      </c>
      <c r="K1740" t="str">
        <f>IFERROR(__xludf.DUMMYFUNCTION("""COMPUTED_VALUE"""),"Brad")</f>
        <v>Brad</v>
      </c>
      <c r="L1740" t="str">
        <f>IFERROR(__xludf.DUMMYFUNCTION("""COMPUTED_VALUE"""),"FINAL")</f>
        <v>FINAL</v>
      </c>
      <c r="M1740" s="124">
        <v>14.0</v>
      </c>
    </row>
    <row r="1741">
      <c r="A1741" s="151">
        <f>IFERROR(__xludf.DUMMYFUNCTION("""COMPUTED_VALUE"""),43800.147749861106)</f>
        <v>43800.14775</v>
      </c>
      <c r="B1741" t="str">
        <f>IFERROR(__xludf.DUMMYFUNCTION("""COMPUTED_VALUE"""),"Jeannine")</f>
        <v>Jeannine</v>
      </c>
      <c r="C1741" s="169" t="str">
        <f>IFERROR(__xludf.DUMMYFUNCTION("""COMPUTED_VALUE"""),"San José State")</f>
        <v>San José State</v>
      </c>
      <c r="D1741">
        <f>IFERROR(__xludf.DUMMYFUNCTION("""COMPUTED_VALUE"""),5.0)</f>
        <v>5</v>
      </c>
      <c r="E1741">
        <f>IFERROR(__xludf.DUMMYFUNCTION("""COMPUTED_VALUE"""),7.0)</f>
        <v>7</v>
      </c>
      <c r="F1741" t="str">
        <f>IFERROR(__xludf.DUMMYFUNCTION("""COMPUTED_VALUE"""),"NA")</f>
        <v>NA</v>
      </c>
      <c r="G1741" t="str">
        <f>IFERROR(__xludf.DUMMYFUNCTION("""COMPUTED_VALUE"""),"Fresno State 16 at San José State 17")</f>
        <v>Fresno State 16 at San José State 17</v>
      </c>
      <c r="H1741" t="str">
        <f>IFERROR(__xludf.DUMMYFUNCTION("""COMPUTED_VALUE"""),"FINAL")</f>
        <v>FINAL</v>
      </c>
      <c r="I1741">
        <f>IFERROR(__xludf.DUMMYFUNCTION("""COMPUTED_VALUE"""),3.0)</f>
        <v>3</v>
      </c>
      <c r="J1741">
        <f>IFERROR(__xludf.DUMMYFUNCTION("""COMPUTED_VALUE"""),65.0)</f>
        <v>65</v>
      </c>
      <c r="K1741" t="str">
        <f>IFERROR(__xludf.DUMMYFUNCTION("""COMPUTED_VALUE"""),"DavEmily")</f>
        <v>DavEmily</v>
      </c>
      <c r="L1741" t="str">
        <f>IFERROR(__xludf.DUMMYFUNCTION("""COMPUTED_VALUE"""),"FINAL")</f>
        <v>FINAL</v>
      </c>
      <c r="M1741" s="124">
        <v>14.0</v>
      </c>
    </row>
    <row r="1742">
      <c r="A1742" s="151">
        <f>IFERROR(__xludf.DUMMYFUNCTION("""COMPUTED_VALUE"""),43800.147749861106)</f>
        <v>43800.14775</v>
      </c>
      <c r="B1742" t="str">
        <f>IFERROR(__xludf.DUMMYFUNCTION("""COMPUTED_VALUE"""),"Justin")</f>
        <v>Justin</v>
      </c>
      <c r="C1742" s="169" t="str">
        <f>IFERROR(__xludf.DUMMYFUNCTION("""COMPUTED_VALUE"""),"Buffalo")</f>
        <v>Buffalo</v>
      </c>
      <c r="D1742">
        <f>IFERROR(__xludf.DUMMYFUNCTION("""COMPUTED_VALUE"""),7.0)</f>
        <v>7</v>
      </c>
      <c r="E1742">
        <f>IFERROR(__xludf.DUMMYFUNCTION("""COMPUTED_VALUE"""),5.0)</f>
        <v>5</v>
      </c>
      <c r="F1742" t="str">
        <f>IFERROR(__xludf.DUMMYFUNCTION("""COMPUTED_VALUE"""),"CBSSN")</f>
        <v>CBSSN</v>
      </c>
      <c r="G1742" t="str">
        <f>IFERROR(__xludf.DUMMYFUNCTION("""COMPUTED_VALUE"""),"Bowling Green 7 at Buffalo 49")</f>
        <v>Bowling Green 7 at Buffalo 49</v>
      </c>
      <c r="H1742" t="str">
        <f>IFERROR(__xludf.DUMMYFUNCTION("""COMPUTED_VALUE"""),"FINAL")</f>
        <v>FINAL</v>
      </c>
      <c r="I1742" t="str">
        <f>IFERROR(__xludf.DUMMYFUNCTION("""COMPUTED_VALUE"""),"-29½")</f>
        <v>-29½</v>
      </c>
      <c r="J1742" t="str">
        <f>IFERROR(__xludf.DUMMYFUNCTION("""COMPUTED_VALUE"""),"53½")</f>
        <v>53½</v>
      </c>
      <c r="K1742" t="str">
        <f>IFERROR(__xludf.DUMMYFUNCTION("""COMPUTED_VALUE"""),"Nick A.")</f>
        <v>Nick A.</v>
      </c>
      <c r="L1742" t="str">
        <f>IFERROR(__xludf.DUMMYFUNCTION("""COMPUTED_VALUE"""),"FINAL")</f>
        <v>FINAL</v>
      </c>
      <c r="M1742" s="124">
        <v>14.0</v>
      </c>
    </row>
    <row r="1743">
      <c r="A1743" s="151">
        <f>IFERROR(__xludf.DUMMYFUNCTION("""COMPUTED_VALUE"""),43800.147749861106)</f>
        <v>43800.14775</v>
      </c>
      <c r="B1743" t="str">
        <f>IFERROR(__xludf.DUMMYFUNCTION("""COMPUTED_VALUE"""),"Justin")</f>
        <v>Justin</v>
      </c>
      <c r="C1743" s="169" t="str">
        <f>IFERROR(__xludf.DUMMYFUNCTION("""COMPUTED_VALUE"""),"Iowa")</f>
        <v>Iowa</v>
      </c>
      <c r="D1743">
        <f>IFERROR(__xludf.DUMMYFUNCTION("""COMPUTED_VALUE"""),9.0)</f>
        <v>9</v>
      </c>
      <c r="E1743">
        <f>IFERROR(__xludf.DUMMYFUNCTION("""COMPUTED_VALUE"""),3.0)</f>
        <v>3</v>
      </c>
      <c r="F1743" t="str">
        <f>IFERROR(__xludf.DUMMYFUNCTION("""COMPUTED_VALUE"""),"FOX")</f>
        <v>FOX</v>
      </c>
      <c r="G1743" t="str">
        <f>IFERROR(__xludf.DUMMYFUNCTION("""COMPUTED_VALUE"""),"(20) Iowa 27 at Nebraska 24")</f>
        <v>(20) Iowa 27 at Nebraska 24</v>
      </c>
      <c r="H1743" t="str">
        <f>IFERROR(__xludf.DUMMYFUNCTION("""COMPUTED_VALUE"""),"FINAL")</f>
        <v>FINAL</v>
      </c>
      <c r="I1743">
        <f>IFERROR(__xludf.DUMMYFUNCTION("""COMPUTED_VALUE"""),-5.0)</f>
        <v>-5</v>
      </c>
      <c r="J1743" t="str">
        <f>IFERROR(__xludf.DUMMYFUNCTION("""COMPUTED_VALUE"""),"43½")</f>
        <v>43½</v>
      </c>
      <c r="K1743" t="str">
        <f>IFERROR(__xludf.DUMMYFUNCTION("""COMPUTED_VALUE"""),"DavEmily")</f>
        <v>DavEmily</v>
      </c>
      <c r="L1743" t="str">
        <f>IFERROR(__xludf.DUMMYFUNCTION("""COMPUTED_VALUE"""),"FINAL")</f>
        <v>FINAL</v>
      </c>
      <c r="M1743" s="124">
        <v>14.0</v>
      </c>
    </row>
    <row r="1744">
      <c r="A1744" s="151">
        <f>IFERROR(__xludf.DUMMYFUNCTION("""COMPUTED_VALUE"""),43800.147749861106)</f>
        <v>43800.14775</v>
      </c>
      <c r="B1744" t="str">
        <f>IFERROR(__xludf.DUMMYFUNCTION("""COMPUTED_VALUE"""),"Justin")</f>
        <v>Justin</v>
      </c>
      <c r="C1744" s="169" t="str">
        <f>IFERROR(__xludf.DUMMYFUNCTION("""COMPUTED_VALUE"""),"Appalachian State")</f>
        <v>Appalachian State</v>
      </c>
      <c r="D1744">
        <f>IFERROR(__xludf.DUMMYFUNCTION("""COMPUTED_VALUE"""),11.0)</f>
        <v>11</v>
      </c>
      <c r="E1744">
        <f>IFERROR(__xludf.DUMMYFUNCTION("""COMPUTED_VALUE"""),1.0)</f>
        <v>1</v>
      </c>
      <c r="F1744" t="str">
        <f>IFERROR(__xludf.DUMMYFUNCTION("""COMPUTED_VALUE"""),"ESPNU")</f>
        <v>ESPNU</v>
      </c>
      <c r="G1744" t="str">
        <f>IFERROR(__xludf.DUMMYFUNCTION("""COMPUTED_VALUE"""),"(22) Appalachian State 48 at Troy 13")</f>
        <v>(22) Appalachian State 48 at Troy 13</v>
      </c>
      <c r="H1744" t="str">
        <f>IFERROR(__xludf.DUMMYFUNCTION("""COMPUTED_VALUE"""),"FINAL")</f>
        <v>FINAL</v>
      </c>
      <c r="I1744">
        <f>IFERROR(__xludf.DUMMYFUNCTION("""COMPUTED_VALUE"""),-13.0)</f>
        <v>-13</v>
      </c>
      <c r="J1744">
        <f>IFERROR(__xludf.DUMMYFUNCTION("""COMPUTED_VALUE"""),64.0)</f>
        <v>64</v>
      </c>
      <c r="K1744" t="str">
        <f>IFERROR(__xludf.DUMMYFUNCTION("""COMPUTED_VALUE"""),"Nick G.")</f>
        <v>Nick G.</v>
      </c>
      <c r="L1744" t="str">
        <f>IFERROR(__xludf.DUMMYFUNCTION("""COMPUTED_VALUE"""),"FINAL")</f>
        <v>FINAL</v>
      </c>
      <c r="M1744" s="124">
        <v>14.0</v>
      </c>
    </row>
    <row r="1745">
      <c r="A1745" s="151">
        <f>IFERROR(__xludf.DUMMYFUNCTION("""COMPUTED_VALUE"""),43800.147749861106)</f>
        <v>43800.14775</v>
      </c>
      <c r="B1745" t="str">
        <f>IFERROR(__xludf.DUMMYFUNCTION("""COMPUTED_VALUE"""),"Justin")</f>
        <v>Justin</v>
      </c>
      <c r="C1745" s="169" t="str">
        <f>IFERROR(__xludf.DUMMYFUNCTION("""COMPUTED_VALUE"""),"South Florida")</f>
        <v>South Florida</v>
      </c>
      <c r="D1745">
        <f>IFERROR(__xludf.DUMMYFUNCTION("""COMPUTED_VALUE"""),4.0)</f>
        <v>4</v>
      </c>
      <c r="E1745">
        <f>IFERROR(__xludf.DUMMYFUNCTION("""COMPUTED_VALUE"""),8.0)</f>
        <v>8</v>
      </c>
      <c r="F1745" t="str">
        <f>IFERROR(__xludf.DUMMYFUNCTION("""COMPUTED_VALUE"""),"CBSSN")</f>
        <v>CBSSN</v>
      </c>
      <c r="G1745" t="str">
        <f>IFERROR(__xludf.DUMMYFUNCTION("""COMPUTED_VALUE"""),"South Florida 7 at UCF 34")</f>
        <v>South Florida 7 at UCF 34</v>
      </c>
      <c r="H1745" t="str">
        <f>IFERROR(__xludf.DUMMYFUNCTION("""COMPUTED_VALUE"""),"FINAL")</f>
        <v>FINAL</v>
      </c>
      <c r="I1745">
        <f>IFERROR(__xludf.DUMMYFUNCTION("""COMPUTED_VALUE"""),23.0)</f>
        <v>23</v>
      </c>
      <c r="J1745" t="str">
        <f>IFERROR(__xludf.DUMMYFUNCTION("""COMPUTED_VALUE"""),"63½")</f>
        <v>63½</v>
      </c>
      <c r="K1745" t="str">
        <f>IFERROR(__xludf.DUMMYFUNCTION("""COMPUTED_VALUE"""),"Adam")</f>
        <v>Adam</v>
      </c>
      <c r="L1745" t="str">
        <f>IFERROR(__xludf.DUMMYFUNCTION("""COMPUTED_VALUE"""),"FINAL")</f>
        <v>FINAL</v>
      </c>
      <c r="M1745" s="124">
        <v>14.0</v>
      </c>
    </row>
    <row r="1746">
      <c r="A1746" s="151">
        <f>IFERROR(__xludf.DUMMYFUNCTION("""COMPUTED_VALUE"""),43800.147749861106)</f>
        <v>43800.14775</v>
      </c>
      <c r="B1746" t="str">
        <f>IFERROR(__xludf.DUMMYFUNCTION("""COMPUTED_VALUE"""),"Justin")</f>
        <v>Justin</v>
      </c>
      <c r="C1746" s="169" t="str">
        <f>IFERROR(__xludf.DUMMYFUNCTION("""COMPUTED_VALUE"""),"Western Kentucky")</f>
        <v>Western Kentucky</v>
      </c>
      <c r="D1746">
        <f>IFERROR(__xludf.DUMMYFUNCTION("""COMPUTED_VALUE"""),8.0)</f>
        <v>8</v>
      </c>
      <c r="E1746">
        <f>IFERROR(__xludf.DUMMYFUNCTION("""COMPUTED_VALUE"""),4.0)</f>
        <v>4</v>
      </c>
      <c r="F1746" t="str">
        <f>IFERROR(__xludf.DUMMYFUNCTION("""COMPUTED_VALUE"""),"NA")</f>
        <v>NA</v>
      </c>
      <c r="G1746" t="str">
        <f>IFERROR(__xludf.DUMMYFUNCTION("""COMPUTED_VALUE"""),"Middle Tennessee 26 at Western Kentucky 31")</f>
        <v>Middle Tennessee 26 at Western Kentucky 31</v>
      </c>
      <c r="H1746" t="str">
        <f>IFERROR(__xludf.DUMMYFUNCTION("""COMPUTED_VALUE"""),"FINAL")</f>
        <v>FINAL</v>
      </c>
      <c r="I1746">
        <f>IFERROR(__xludf.DUMMYFUNCTION("""COMPUTED_VALUE"""),-8.0)</f>
        <v>-8</v>
      </c>
      <c r="J1746" t="str">
        <f>IFERROR(__xludf.DUMMYFUNCTION("""COMPUTED_VALUE"""),"50½")</f>
        <v>50½</v>
      </c>
      <c r="K1746" t="str">
        <f>IFERROR(__xludf.DUMMYFUNCTION("""COMPUTED_VALUE"""),"Nico")</f>
        <v>Nico</v>
      </c>
      <c r="L1746" t="str">
        <f>IFERROR(__xludf.DUMMYFUNCTION("""COMPUTED_VALUE"""),"FINAL")</f>
        <v>FINAL</v>
      </c>
      <c r="M1746" s="124">
        <v>14.0</v>
      </c>
    </row>
    <row r="1747">
      <c r="A1747" s="151">
        <f>IFERROR(__xludf.DUMMYFUNCTION("""COMPUTED_VALUE"""),43800.147749861106)</f>
        <v>43800.14775</v>
      </c>
      <c r="B1747" t="str">
        <f>IFERROR(__xludf.DUMMYFUNCTION("""COMPUTED_VALUE"""),"Justin")</f>
        <v>Justin</v>
      </c>
      <c r="C1747" s="169" t="str">
        <f>IFERROR(__xludf.DUMMYFUNCTION("""COMPUTED_VALUE"""),"UNLV")</f>
        <v>UNLV</v>
      </c>
      <c r="D1747">
        <f>IFERROR(__xludf.DUMMYFUNCTION("""COMPUTED_VALUE"""),4.0)</f>
        <v>4</v>
      </c>
      <c r="E1747">
        <f>IFERROR(__xludf.DUMMYFUNCTION("""COMPUTED_VALUE"""),8.0)</f>
        <v>8</v>
      </c>
      <c r="F1747" t="str">
        <f>IFERROR(__xludf.DUMMYFUNCTION("""COMPUTED_VALUE"""),"Facebook Video")</f>
        <v>Facebook Video</v>
      </c>
      <c r="G1747" t="str">
        <f>IFERROR(__xludf.DUMMYFUNCTION("""COMPUTED_VALUE"""),"UNLV 33 at Nevada 30")</f>
        <v>UNLV 33 at Nevada 30</v>
      </c>
      <c r="H1747" t="str">
        <f>IFERROR(__xludf.DUMMYFUNCTION("""COMPUTED_VALUE"""),"FINAL - OT")</f>
        <v>FINAL - OT</v>
      </c>
      <c r="I1747" t="str">
        <f>IFERROR(__xludf.DUMMYFUNCTION("""COMPUTED_VALUE"""),"7½")</f>
        <v>7½</v>
      </c>
      <c r="J1747" t="str">
        <f>IFERROR(__xludf.DUMMYFUNCTION("""COMPUTED_VALUE"""),"53½")</f>
        <v>53½</v>
      </c>
      <c r="K1747" t="str">
        <f>IFERROR(__xludf.DUMMYFUNCTION("""COMPUTED_VALUE"""),"Josh R.")</f>
        <v>Josh R.</v>
      </c>
      <c r="L1747" t="str">
        <f>IFERROR(__xludf.DUMMYFUNCTION("""COMPUTED_VALUE"""),"FINAL - OT")</f>
        <v>FINAL - OT</v>
      </c>
      <c r="M1747" s="124">
        <v>14.0</v>
      </c>
    </row>
    <row r="1748">
      <c r="A1748" s="151">
        <f>IFERROR(__xludf.DUMMYFUNCTION("""COMPUTED_VALUE"""),43800.147749861106)</f>
        <v>43800.14775</v>
      </c>
      <c r="B1748" t="str">
        <f>IFERROR(__xludf.DUMMYFUNCTION("""COMPUTED_VALUE"""),"Justin")</f>
        <v>Justin</v>
      </c>
      <c r="C1748" s="169" t="str">
        <f>IFERROR(__xludf.DUMMYFUNCTION("""COMPUTED_VALUE"""),"Baylor")</f>
        <v>Baylor</v>
      </c>
      <c r="D1748">
        <f>IFERROR(__xludf.DUMMYFUNCTION("""COMPUTED_VALUE"""),11.0)</f>
        <v>11</v>
      </c>
      <c r="E1748">
        <f>IFERROR(__xludf.DUMMYFUNCTION("""COMPUTED_VALUE"""),1.0)</f>
        <v>1</v>
      </c>
      <c r="F1748" t="str">
        <f>IFERROR(__xludf.DUMMYFUNCTION("""COMPUTED_VALUE"""),"ABC")</f>
        <v>ABC</v>
      </c>
      <c r="G1748" t="str">
        <f>IFERROR(__xludf.DUMMYFUNCTION("""COMPUTED_VALUE"""),"(10) Baylor 61 at Kansas 6")</f>
        <v>(10) Baylor 61 at Kansas 6</v>
      </c>
      <c r="H1748" t="str">
        <f>IFERROR(__xludf.DUMMYFUNCTION("""COMPUTED_VALUE"""),"FINAL")</f>
        <v>FINAL</v>
      </c>
      <c r="I1748">
        <f>IFERROR(__xludf.DUMMYFUNCTION("""COMPUTED_VALUE"""),-14.0)</f>
        <v>-14</v>
      </c>
      <c r="J1748" t="str">
        <f>IFERROR(__xludf.DUMMYFUNCTION("""COMPUTED_VALUE"""),"52½")</f>
        <v>52½</v>
      </c>
      <c r="K1748" t="str">
        <f>IFERROR(__xludf.DUMMYFUNCTION("""COMPUTED_VALUE"""),"Josh R.")</f>
        <v>Josh R.</v>
      </c>
      <c r="L1748" t="str">
        <f>IFERROR(__xludf.DUMMYFUNCTION("""COMPUTED_VALUE"""),"FINAL")</f>
        <v>FINAL</v>
      </c>
      <c r="M1748" s="124">
        <v>14.0</v>
      </c>
    </row>
    <row r="1749">
      <c r="A1749" s="151">
        <f>IFERROR(__xludf.DUMMYFUNCTION("""COMPUTED_VALUE"""),43800.147749861106)</f>
        <v>43800.14775</v>
      </c>
      <c r="B1749" t="str">
        <f>IFERROR(__xludf.DUMMYFUNCTION("""COMPUTED_VALUE"""),"Justin")</f>
        <v>Justin</v>
      </c>
      <c r="C1749" s="169" t="str">
        <f>IFERROR(__xludf.DUMMYFUNCTION("""COMPUTED_VALUE"""),"Duke")</f>
        <v>Duke</v>
      </c>
      <c r="D1749">
        <f>IFERROR(__xludf.DUMMYFUNCTION("""COMPUTED_VALUE"""),5.0)</f>
        <v>5</v>
      </c>
      <c r="E1749">
        <f>IFERROR(__xludf.DUMMYFUNCTION("""COMPUTED_VALUE"""),7.0)</f>
        <v>7</v>
      </c>
      <c r="F1749" t="str">
        <f>IFERROR(__xludf.DUMMYFUNCTION("""COMPUTED_VALUE"""),"ACC Network")</f>
        <v>ACC Network</v>
      </c>
      <c r="G1749" t="str">
        <f>IFERROR(__xludf.DUMMYFUNCTION("""COMPUTED_VALUE"""),"Miami 17 at Duke 27")</f>
        <v>Miami 17 at Duke 27</v>
      </c>
      <c r="H1749" t="str">
        <f>IFERROR(__xludf.DUMMYFUNCTION("""COMPUTED_VALUE"""),"FINAL")</f>
        <v>FINAL</v>
      </c>
      <c r="I1749">
        <f>IFERROR(__xludf.DUMMYFUNCTION("""COMPUTED_VALUE"""),9.0)</f>
        <v>9</v>
      </c>
      <c r="J1749" t="str">
        <f>IFERROR(__xludf.DUMMYFUNCTION("""COMPUTED_VALUE"""),"47½")</f>
        <v>47½</v>
      </c>
      <c r="K1749" t="str">
        <f>IFERROR(__xludf.DUMMYFUNCTION("""COMPUTED_VALUE"""),"Brad")</f>
        <v>Brad</v>
      </c>
      <c r="L1749" t="str">
        <f>IFERROR(__xludf.DUMMYFUNCTION("""COMPUTED_VALUE"""),"FINAL")</f>
        <v>FINAL</v>
      </c>
      <c r="M1749" s="124">
        <v>14.0</v>
      </c>
    </row>
    <row r="1750">
      <c r="A1750" s="151">
        <f>IFERROR(__xludf.DUMMYFUNCTION("""COMPUTED_VALUE"""),43800.147749861106)</f>
        <v>43800.14775</v>
      </c>
      <c r="B1750" t="str">
        <f>IFERROR(__xludf.DUMMYFUNCTION("""COMPUTED_VALUE"""),"Justin")</f>
        <v>Justin</v>
      </c>
      <c r="C1750" s="169" t="str">
        <f>IFERROR(__xludf.DUMMYFUNCTION("""COMPUTED_VALUE"""),"Oregon")</f>
        <v>Oregon</v>
      </c>
      <c r="D1750">
        <f>IFERROR(__xludf.DUMMYFUNCTION("""COMPUTED_VALUE"""),10.0)</f>
        <v>10</v>
      </c>
      <c r="E1750">
        <f>IFERROR(__xludf.DUMMYFUNCTION("""COMPUTED_VALUE"""),2.0)</f>
        <v>2</v>
      </c>
      <c r="F1750" t="str">
        <f>IFERROR(__xludf.DUMMYFUNCTION("""COMPUTED_VALUE"""),"ESPN")</f>
        <v>ESPN</v>
      </c>
      <c r="G1750" t="str">
        <f>IFERROR(__xludf.DUMMYFUNCTION("""COMPUTED_VALUE"""),"Oregon State 10 at (13) Oregon 24")</f>
        <v>Oregon State 10 at (13) Oregon 24</v>
      </c>
      <c r="H1750" t="str">
        <f>IFERROR(__xludf.DUMMYFUNCTION("""COMPUTED_VALUE"""),"FINAL")</f>
        <v>FINAL</v>
      </c>
      <c r="I1750">
        <f>IFERROR(__xludf.DUMMYFUNCTION("""COMPUTED_VALUE"""),-19.0)</f>
        <v>-19</v>
      </c>
      <c r="J1750">
        <f>IFERROR(__xludf.DUMMYFUNCTION("""COMPUTED_VALUE"""),68.0)</f>
        <v>68</v>
      </c>
      <c r="K1750" t="str">
        <f>IFERROR(__xludf.DUMMYFUNCTION("""COMPUTED_VALUE"""),"Adam")</f>
        <v>Adam</v>
      </c>
      <c r="L1750" t="str">
        <f>IFERROR(__xludf.DUMMYFUNCTION("""COMPUTED_VALUE"""),"FINAL")</f>
        <v>FINAL</v>
      </c>
      <c r="M1750" s="124">
        <v>14.0</v>
      </c>
    </row>
    <row r="1751">
      <c r="A1751" s="151">
        <f>IFERROR(__xludf.DUMMYFUNCTION("""COMPUTED_VALUE"""),43800.147749861106)</f>
        <v>43800.14775</v>
      </c>
      <c r="B1751" t="str">
        <f>IFERROR(__xludf.DUMMYFUNCTION("""COMPUTED_VALUE"""),"Justin")</f>
        <v>Justin</v>
      </c>
      <c r="C1751" s="169" t="str">
        <f>IFERROR(__xludf.DUMMYFUNCTION("""COMPUTED_VALUE"""),"Tennessee")</f>
        <v>Tennessee</v>
      </c>
      <c r="D1751">
        <f>IFERROR(__xludf.DUMMYFUNCTION("""COMPUTED_VALUE"""),7.0)</f>
        <v>7</v>
      </c>
      <c r="E1751">
        <f>IFERROR(__xludf.DUMMYFUNCTION("""COMPUTED_VALUE"""),5.0)</f>
        <v>5</v>
      </c>
      <c r="F1751" t="str">
        <f>IFERROR(__xludf.DUMMYFUNCTION("""COMPUTED_VALUE"""),"NA")</f>
        <v>NA</v>
      </c>
      <c r="G1751" t="str">
        <f>IFERROR(__xludf.DUMMYFUNCTION("""COMPUTED_VALUE"""),"Vanderbilt 10 at Tennessee 28")</f>
        <v>Vanderbilt 10 at Tennessee 28</v>
      </c>
      <c r="H1751" t="str">
        <f>IFERROR(__xludf.DUMMYFUNCTION("""COMPUTED_VALUE"""),"FINAL")</f>
        <v>FINAL</v>
      </c>
      <c r="I1751">
        <f>IFERROR(__xludf.DUMMYFUNCTION("""COMPUTED_VALUE"""),-22.0)</f>
        <v>-22</v>
      </c>
      <c r="J1751" t="str">
        <f>IFERROR(__xludf.DUMMYFUNCTION("""COMPUTED_VALUE"""),"45½")</f>
        <v>45½</v>
      </c>
      <c r="K1751" t="str">
        <f>IFERROR(__xludf.DUMMYFUNCTION("""COMPUTED_VALUE"""),"Undrafted")</f>
        <v>Undrafted</v>
      </c>
      <c r="L1751" t="str">
        <f>IFERROR(__xludf.DUMMYFUNCTION("""COMPUTED_VALUE"""),"FINAL")</f>
        <v>FINAL</v>
      </c>
      <c r="M1751" s="124">
        <v>14.0</v>
      </c>
    </row>
    <row r="1752">
      <c r="A1752" s="151">
        <f>IFERROR(__xludf.DUMMYFUNCTION("""COMPUTED_VALUE"""),43800.147749861106)</f>
        <v>43800.14775</v>
      </c>
      <c r="B1752" t="str">
        <f>IFERROR(__xludf.DUMMYFUNCTION("""COMPUTED_VALUE"""),"Adam")</f>
        <v>Adam</v>
      </c>
      <c r="C1752" s="169" t="str">
        <f>IFERROR(__xludf.DUMMYFUNCTION("""COMPUTED_VALUE"""),"Akron")</f>
        <v>Akron</v>
      </c>
      <c r="D1752">
        <f>IFERROR(__xludf.DUMMYFUNCTION("""COMPUTED_VALUE"""),0.0)</f>
        <v>0</v>
      </c>
      <c r="E1752">
        <f>IFERROR(__xludf.DUMMYFUNCTION("""COMPUTED_VALUE"""),12.0)</f>
        <v>12</v>
      </c>
      <c r="F1752" t="str">
        <f>IFERROR(__xludf.DUMMYFUNCTION("""COMPUTED_VALUE"""),"NA")</f>
        <v>NA</v>
      </c>
      <c r="G1752" t="str">
        <f>IFERROR(__xludf.DUMMYFUNCTION("""COMPUTED_VALUE"""),"Ohio 52 at Akron 3")</f>
        <v>Ohio 52 at Akron 3</v>
      </c>
      <c r="H1752" t="str">
        <f>IFERROR(__xludf.DUMMYFUNCTION("""COMPUTED_VALUE"""),"FINAL")</f>
        <v>FINAL</v>
      </c>
      <c r="I1752">
        <f>IFERROR(__xludf.DUMMYFUNCTION("""COMPUTED_VALUE"""),28.0)</f>
        <v>28</v>
      </c>
      <c r="J1752">
        <f>IFERROR(__xludf.DUMMYFUNCTION("""COMPUTED_VALUE"""),53.0)</f>
        <v>53</v>
      </c>
      <c r="K1752" t="str">
        <f>IFERROR(__xludf.DUMMYFUNCTION("""COMPUTED_VALUE"""),"Gary")</f>
        <v>Gary</v>
      </c>
      <c r="L1752" t="str">
        <f>IFERROR(__xludf.DUMMYFUNCTION("""COMPUTED_VALUE"""),"FINAL")</f>
        <v>FINAL</v>
      </c>
      <c r="M1752" s="124">
        <v>14.0</v>
      </c>
    </row>
    <row r="1753">
      <c r="A1753" s="151">
        <f>IFERROR(__xludf.DUMMYFUNCTION("""COMPUTED_VALUE"""),43800.147749861106)</f>
        <v>43800.14775</v>
      </c>
      <c r="B1753" t="str">
        <f>IFERROR(__xludf.DUMMYFUNCTION("""COMPUTED_VALUE"""),"Adam")</f>
        <v>Adam</v>
      </c>
      <c r="C1753" s="169" t="str">
        <f>IFERROR(__xludf.DUMMYFUNCTION("""COMPUTED_VALUE"""),"Texas")</f>
        <v>Texas</v>
      </c>
      <c r="D1753">
        <f>IFERROR(__xludf.DUMMYFUNCTION("""COMPUTED_VALUE"""),7.0)</f>
        <v>7</v>
      </c>
      <c r="E1753">
        <f>IFERROR(__xludf.DUMMYFUNCTION("""COMPUTED_VALUE"""),5.0)</f>
        <v>5</v>
      </c>
      <c r="F1753" t="str">
        <f>IFERROR(__xludf.DUMMYFUNCTION("""COMPUTED_VALUE"""),"FS1")</f>
        <v>FS1</v>
      </c>
      <c r="G1753" t="str">
        <f>IFERROR(__xludf.DUMMYFUNCTION("""COMPUTED_VALUE"""),"Texas Tech 24 at Texas 49")</f>
        <v>Texas Tech 24 at Texas 49</v>
      </c>
      <c r="H1753" t="str">
        <f>IFERROR(__xludf.DUMMYFUNCTION("""COMPUTED_VALUE"""),"FINAL")</f>
        <v>FINAL</v>
      </c>
      <c r="I1753">
        <f>IFERROR(__xludf.DUMMYFUNCTION("""COMPUTED_VALUE"""),-10.0)</f>
        <v>-10</v>
      </c>
      <c r="J1753">
        <f>IFERROR(__xludf.DUMMYFUNCTION("""COMPUTED_VALUE"""),64.0)</f>
        <v>64</v>
      </c>
      <c r="K1753" t="str">
        <f>IFERROR(__xludf.DUMMYFUNCTION("""COMPUTED_VALUE"""),"Janice/Mike")</f>
        <v>Janice/Mike</v>
      </c>
      <c r="L1753" t="str">
        <f>IFERROR(__xludf.DUMMYFUNCTION("""COMPUTED_VALUE"""),"FINAL")</f>
        <v>FINAL</v>
      </c>
      <c r="M1753" s="124">
        <v>14.0</v>
      </c>
    </row>
    <row r="1754">
      <c r="A1754" s="151">
        <f>IFERROR(__xludf.DUMMYFUNCTION("""COMPUTED_VALUE"""),43800.147749861106)</f>
        <v>43800.14775</v>
      </c>
      <c r="B1754" t="str">
        <f>IFERROR(__xludf.DUMMYFUNCTION("""COMPUTED_VALUE"""),"Adam")</f>
        <v>Adam</v>
      </c>
      <c r="C1754" s="169" t="str">
        <f>IFERROR(__xludf.DUMMYFUNCTION("""COMPUTED_VALUE"""),"UCF")</f>
        <v>UCF</v>
      </c>
      <c r="D1754">
        <f>IFERROR(__xludf.DUMMYFUNCTION("""COMPUTED_VALUE"""),9.0)</f>
        <v>9</v>
      </c>
      <c r="E1754">
        <f>IFERROR(__xludf.DUMMYFUNCTION("""COMPUTED_VALUE"""),3.0)</f>
        <v>3</v>
      </c>
      <c r="F1754" t="str">
        <f>IFERROR(__xludf.DUMMYFUNCTION("""COMPUTED_VALUE"""),"NA")</f>
        <v>NA</v>
      </c>
      <c r="G1754" t="str">
        <f>IFERROR(__xludf.DUMMYFUNCTION("""COMPUTED_VALUE"""),"South Florida 7 at UCF 34")</f>
        <v>South Florida 7 at UCF 34</v>
      </c>
      <c r="H1754" t="str">
        <f>IFERROR(__xludf.DUMMYFUNCTION("""COMPUTED_VALUE"""),"FINAL")</f>
        <v>FINAL</v>
      </c>
      <c r="I1754">
        <f>IFERROR(__xludf.DUMMYFUNCTION("""COMPUTED_VALUE"""),-23.0)</f>
        <v>-23</v>
      </c>
      <c r="J1754" t="str">
        <f>IFERROR(__xludf.DUMMYFUNCTION("""COMPUTED_VALUE"""),"63½")</f>
        <v>63½</v>
      </c>
      <c r="K1754" t="str">
        <f>IFERROR(__xludf.DUMMYFUNCTION("""COMPUTED_VALUE"""),"Justin")</f>
        <v>Justin</v>
      </c>
      <c r="L1754" t="str">
        <f>IFERROR(__xludf.DUMMYFUNCTION("""COMPUTED_VALUE"""),"FINAL")</f>
        <v>FINAL</v>
      </c>
      <c r="M1754" s="124">
        <v>14.0</v>
      </c>
    </row>
    <row r="1755">
      <c r="A1755" s="151">
        <f>IFERROR(__xludf.DUMMYFUNCTION("""COMPUTED_VALUE"""),43800.147749861106)</f>
        <v>43800.14775</v>
      </c>
      <c r="B1755" t="str">
        <f>IFERROR(__xludf.DUMMYFUNCTION("""COMPUTED_VALUE"""),"Adam")</f>
        <v>Adam</v>
      </c>
      <c r="C1755" s="169" t="str">
        <f>IFERROR(__xludf.DUMMYFUNCTION("""COMPUTED_VALUE"""),"Florida Intl")</f>
        <v>Florida Intl</v>
      </c>
      <c r="D1755">
        <f>IFERROR(__xludf.DUMMYFUNCTION("""COMPUTED_VALUE"""),6.0)</f>
        <v>6</v>
      </c>
      <c r="E1755">
        <f>IFERROR(__xludf.DUMMYFUNCTION("""COMPUTED_VALUE"""),6.0)</f>
        <v>6</v>
      </c>
      <c r="F1755" t="str">
        <f>IFERROR(__xludf.DUMMYFUNCTION("""COMPUTED_VALUE"""),"NA")</f>
        <v>NA</v>
      </c>
      <c r="G1755" t="str">
        <f>IFERROR(__xludf.DUMMYFUNCTION("""COMPUTED_VALUE"""),"Florida Intl 27 at Marshall 30")</f>
        <v>Florida Intl 27 at Marshall 30</v>
      </c>
      <c r="H1755" t="str">
        <f>IFERROR(__xludf.DUMMYFUNCTION("""COMPUTED_VALUE"""),"FINAL - OT")</f>
        <v>FINAL - OT</v>
      </c>
      <c r="I1755" t="str">
        <f>IFERROR(__xludf.DUMMYFUNCTION("""COMPUTED_VALUE"""),"7½")</f>
        <v>7½</v>
      </c>
      <c r="J1755" t="str">
        <f>IFERROR(__xludf.DUMMYFUNCTION("""COMPUTED_VALUE"""),"49½")</f>
        <v>49½</v>
      </c>
      <c r="K1755" t="str">
        <f>IFERROR(__xludf.DUMMYFUNCTION("""COMPUTED_VALUE"""),"Gary")</f>
        <v>Gary</v>
      </c>
      <c r="L1755" t="str">
        <f>IFERROR(__xludf.DUMMYFUNCTION("""COMPUTED_VALUE"""),"FINAL - OT")</f>
        <v>FINAL - OT</v>
      </c>
      <c r="M1755" s="124">
        <v>14.0</v>
      </c>
    </row>
    <row r="1756">
      <c r="A1756" s="151">
        <f>IFERROR(__xludf.DUMMYFUNCTION("""COMPUTED_VALUE"""),43800.147749861106)</f>
        <v>43800.14775</v>
      </c>
      <c r="B1756" t="str">
        <f>IFERROR(__xludf.DUMMYFUNCTION("""COMPUTED_VALUE"""),"Adam")</f>
        <v>Adam</v>
      </c>
      <c r="C1756" s="169" t="str">
        <f>IFERROR(__xludf.DUMMYFUNCTION("""COMPUTED_VALUE"""),"Northwestern")</f>
        <v>Northwestern</v>
      </c>
      <c r="D1756">
        <f>IFERROR(__xludf.DUMMYFUNCTION("""COMPUTED_VALUE"""),3.0)</f>
        <v>3</v>
      </c>
      <c r="E1756">
        <f>IFERROR(__xludf.DUMMYFUNCTION("""COMPUTED_VALUE"""),9.0)</f>
        <v>9</v>
      </c>
      <c r="F1756" t="str">
        <f>IFERROR(__xludf.DUMMYFUNCTION("""COMPUTED_VALUE"""),"BTN")</f>
        <v>BTN</v>
      </c>
      <c r="G1756" t="str">
        <f>IFERROR(__xludf.DUMMYFUNCTION("""COMPUTED_VALUE"""),"Northwestern 29 at Illinois 10")</f>
        <v>Northwestern 29 at Illinois 10</v>
      </c>
      <c r="H1756" t="str">
        <f>IFERROR(__xludf.DUMMYFUNCTION("""COMPUTED_VALUE"""),"FINAL")</f>
        <v>FINAL</v>
      </c>
      <c r="I1756" t="str">
        <f>IFERROR(__xludf.DUMMYFUNCTION("""COMPUTED_VALUE"""),"9½")</f>
        <v>9½</v>
      </c>
      <c r="J1756">
        <f>IFERROR(__xludf.DUMMYFUNCTION("""COMPUTED_VALUE"""),44.0)</f>
        <v>44</v>
      </c>
      <c r="K1756" t="str">
        <f>IFERROR(__xludf.DUMMYFUNCTION("""COMPUTED_VALUE"""),"Undrafted")</f>
        <v>Undrafted</v>
      </c>
      <c r="L1756" t="str">
        <f>IFERROR(__xludf.DUMMYFUNCTION("""COMPUTED_VALUE"""),"FINAL")</f>
        <v>FINAL</v>
      </c>
      <c r="M1756" s="124">
        <v>14.0</v>
      </c>
    </row>
    <row r="1757">
      <c r="A1757" s="151">
        <f>IFERROR(__xludf.DUMMYFUNCTION("""COMPUTED_VALUE"""),43800.147749861106)</f>
        <v>43800.14775</v>
      </c>
      <c r="B1757" t="str">
        <f>IFERROR(__xludf.DUMMYFUNCTION("""COMPUTED_VALUE"""),"Adam")</f>
        <v>Adam</v>
      </c>
      <c r="C1757" s="169" t="str">
        <f>IFERROR(__xludf.DUMMYFUNCTION("""COMPUTED_VALUE"""),"Wake Forest")</f>
        <v>Wake Forest</v>
      </c>
      <c r="D1757">
        <f>IFERROR(__xludf.DUMMYFUNCTION("""COMPUTED_VALUE"""),8.0)</f>
        <v>8</v>
      </c>
      <c r="E1757">
        <f>IFERROR(__xludf.DUMMYFUNCTION("""COMPUTED_VALUE"""),4.0)</f>
        <v>4</v>
      </c>
      <c r="F1757" t="str">
        <f>IFERROR(__xludf.DUMMYFUNCTION("""COMPUTED_VALUE"""),"ABC")</f>
        <v>ABC</v>
      </c>
      <c r="G1757" t="str">
        <f>IFERROR(__xludf.DUMMYFUNCTION("""COMPUTED_VALUE"""),"Wake Forest 30 at Syracuse 39")</f>
        <v>Wake Forest 30 at Syracuse 39</v>
      </c>
      <c r="H1757" t="str">
        <f>IFERROR(__xludf.DUMMYFUNCTION("""COMPUTED_VALUE"""),"FINAL - OT")</f>
        <v>FINAL - OT</v>
      </c>
      <c r="I1757" t="str">
        <f>IFERROR(__xludf.DUMMYFUNCTION("""COMPUTED_VALUE"""),"-4½")</f>
        <v>-4½</v>
      </c>
      <c r="J1757" t="str">
        <f>IFERROR(__xludf.DUMMYFUNCTION("""COMPUTED_VALUE"""),"66½")</f>
        <v>66½</v>
      </c>
      <c r="K1757" t="str">
        <f>IFERROR(__xludf.DUMMYFUNCTION("""COMPUTED_VALUE"""),"Vu")</f>
        <v>Vu</v>
      </c>
      <c r="L1757" t="str">
        <f>IFERROR(__xludf.DUMMYFUNCTION("""COMPUTED_VALUE"""),"FINAL - OT")</f>
        <v>FINAL - OT</v>
      </c>
      <c r="M1757" s="124">
        <v>14.0</v>
      </c>
    </row>
    <row r="1758">
      <c r="A1758" s="151">
        <f>IFERROR(__xludf.DUMMYFUNCTION("""COMPUTED_VALUE"""),43800.147749861106)</f>
        <v>43800.14775</v>
      </c>
      <c r="B1758" t="str">
        <f>IFERROR(__xludf.DUMMYFUNCTION("""COMPUTED_VALUE"""),"Adam")</f>
        <v>Adam</v>
      </c>
      <c r="C1758" s="169" t="str">
        <f>IFERROR(__xludf.DUMMYFUNCTION("""COMPUTED_VALUE"""),"Air Force")</f>
        <v>Air Force</v>
      </c>
      <c r="D1758">
        <f>IFERROR(__xludf.DUMMYFUNCTION("""COMPUTED_VALUE"""),10.0)</f>
        <v>10</v>
      </c>
      <c r="E1758">
        <f>IFERROR(__xludf.DUMMYFUNCTION("""COMPUTED_VALUE"""),2.0)</f>
        <v>2</v>
      </c>
      <c r="F1758" t="str">
        <f>IFERROR(__xludf.DUMMYFUNCTION("""COMPUTED_VALUE"""),"ESPN2")</f>
        <v>ESPN2</v>
      </c>
      <c r="G1758" t="str">
        <f>IFERROR(__xludf.DUMMYFUNCTION("""COMPUTED_VALUE"""),"Wyoming 6 at Air Force 20")</f>
        <v>Wyoming 6 at Air Force 20</v>
      </c>
      <c r="H1758" t="str">
        <f>IFERROR(__xludf.DUMMYFUNCTION("""COMPUTED_VALUE"""),"FINAL")</f>
        <v>FINAL</v>
      </c>
      <c r="I1758" t="str">
        <f>IFERROR(__xludf.DUMMYFUNCTION("""COMPUTED_VALUE"""),"-10½")</f>
        <v>-10½</v>
      </c>
      <c r="J1758">
        <f>IFERROR(__xludf.DUMMYFUNCTION("""COMPUTED_VALUE"""),43.0)</f>
        <v>43</v>
      </c>
      <c r="K1758" t="str">
        <f>IFERROR(__xludf.DUMMYFUNCTION("""COMPUTED_VALUE"""),"Nick G.")</f>
        <v>Nick G.</v>
      </c>
      <c r="L1758" t="str">
        <f>IFERROR(__xludf.DUMMYFUNCTION("""COMPUTED_VALUE"""),"FINAL")</f>
        <v>FINAL</v>
      </c>
      <c r="M1758" s="124">
        <v>14.0</v>
      </c>
    </row>
    <row r="1759">
      <c r="A1759" s="151">
        <f>IFERROR(__xludf.DUMMYFUNCTION("""COMPUTED_VALUE"""),43800.147749861106)</f>
        <v>43800.14775</v>
      </c>
      <c r="B1759" t="str">
        <f>IFERROR(__xludf.DUMMYFUNCTION("""COMPUTED_VALUE"""),"Adam")</f>
        <v>Adam</v>
      </c>
      <c r="C1759" s="169" t="str">
        <f>IFERROR(__xludf.DUMMYFUNCTION("""COMPUTED_VALUE"""),"Oregon State")</f>
        <v>Oregon State</v>
      </c>
      <c r="D1759">
        <f>IFERROR(__xludf.DUMMYFUNCTION("""COMPUTED_VALUE"""),5.0)</f>
        <v>5</v>
      </c>
      <c r="E1759">
        <f>IFERROR(__xludf.DUMMYFUNCTION("""COMPUTED_VALUE"""),7.0)</f>
        <v>7</v>
      </c>
      <c r="F1759" t="str">
        <f>IFERROR(__xludf.DUMMYFUNCTION("""COMPUTED_VALUE"""),"FS1")</f>
        <v>FS1</v>
      </c>
      <c r="G1759" t="str">
        <f>IFERROR(__xludf.DUMMYFUNCTION("""COMPUTED_VALUE"""),"Oregon State 10 at (13) Oregon 24")</f>
        <v>Oregon State 10 at (13) Oregon 24</v>
      </c>
      <c r="H1759" t="str">
        <f>IFERROR(__xludf.DUMMYFUNCTION("""COMPUTED_VALUE"""),"FINAL")</f>
        <v>FINAL</v>
      </c>
      <c r="I1759">
        <f>IFERROR(__xludf.DUMMYFUNCTION("""COMPUTED_VALUE"""),19.0)</f>
        <v>19</v>
      </c>
      <c r="J1759">
        <f>IFERROR(__xludf.DUMMYFUNCTION("""COMPUTED_VALUE"""),68.0)</f>
        <v>68</v>
      </c>
      <c r="K1759" t="str">
        <f>IFERROR(__xludf.DUMMYFUNCTION("""COMPUTED_VALUE"""),"Justin")</f>
        <v>Justin</v>
      </c>
      <c r="L1759" t="str">
        <f>IFERROR(__xludf.DUMMYFUNCTION("""COMPUTED_VALUE"""),"FINAL")</f>
        <v>FINAL</v>
      </c>
      <c r="M1759" s="124">
        <v>14.0</v>
      </c>
    </row>
    <row r="1760">
      <c r="A1760" s="151">
        <f>IFERROR(__xludf.DUMMYFUNCTION("""COMPUTED_VALUE"""),43800.147749861106)</f>
        <v>43800.14775</v>
      </c>
      <c r="B1760" t="str">
        <f>IFERROR(__xludf.DUMMYFUNCTION("""COMPUTED_VALUE"""),"Adam")</f>
        <v>Adam</v>
      </c>
      <c r="C1760" s="169" t="str">
        <f>IFERROR(__xludf.DUMMYFUNCTION("""COMPUTED_VALUE"""),"Georgia State")</f>
        <v>Georgia State</v>
      </c>
      <c r="D1760">
        <f>IFERROR(__xludf.DUMMYFUNCTION("""COMPUTED_VALUE"""),7.0)</f>
        <v>7</v>
      </c>
      <c r="E1760">
        <f>IFERROR(__xludf.DUMMYFUNCTION("""COMPUTED_VALUE"""),5.0)</f>
        <v>5</v>
      </c>
      <c r="F1760" t="str">
        <f>IFERROR(__xludf.DUMMYFUNCTION("""COMPUTED_VALUE"""),"ESPNU")</f>
        <v>ESPNU</v>
      </c>
      <c r="G1760" t="str">
        <f>IFERROR(__xludf.DUMMYFUNCTION("""COMPUTED_VALUE"""),"Georgia State 10 at Georgia Southern 38")</f>
        <v>Georgia State 10 at Georgia Southern 38</v>
      </c>
      <c r="H1760" t="str">
        <f>IFERROR(__xludf.DUMMYFUNCTION("""COMPUTED_VALUE"""),"FINAL")</f>
        <v>FINAL</v>
      </c>
      <c r="I1760" t="str">
        <f>IFERROR(__xludf.DUMMYFUNCTION("""COMPUTED_VALUE"""),"7½")</f>
        <v>7½</v>
      </c>
      <c r="J1760">
        <f>IFERROR(__xludf.DUMMYFUNCTION("""COMPUTED_VALUE"""),58.0)</f>
        <v>58</v>
      </c>
      <c r="K1760" t="str">
        <f>IFERROR(__xludf.DUMMYFUNCTION("""COMPUTED_VALUE"""),"Janice/Mike")</f>
        <v>Janice/Mike</v>
      </c>
      <c r="L1760" t="str">
        <f>IFERROR(__xludf.DUMMYFUNCTION("""COMPUTED_VALUE"""),"FINAL")</f>
        <v>FINAL</v>
      </c>
      <c r="M1760" s="124">
        <v>14.0</v>
      </c>
    </row>
    <row r="1761">
      <c r="A1761" s="151">
        <f>IFERROR(__xludf.DUMMYFUNCTION("""COMPUTED_VALUE"""),43800.147749861106)</f>
        <v>43800.14775</v>
      </c>
      <c r="B1761" t="str">
        <f>IFERROR(__xludf.DUMMYFUNCTION("""COMPUTED_VALUE"""),"Adam")</f>
        <v>Adam</v>
      </c>
      <c r="C1761" s="169" t="str">
        <f>IFERROR(__xludf.DUMMYFUNCTION("""COMPUTED_VALUE"""),"Florida")</f>
        <v>Florida</v>
      </c>
      <c r="D1761">
        <f>IFERROR(__xludf.DUMMYFUNCTION("""COMPUTED_VALUE"""),10.0)</f>
        <v>10</v>
      </c>
      <c r="E1761">
        <f>IFERROR(__xludf.DUMMYFUNCTION("""COMPUTED_VALUE"""),2.0)</f>
        <v>2</v>
      </c>
      <c r="F1761" t="str">
        <f>IFERROR(__xludf.DUMMYFUNCTION("""COMPUTED_VALUE"""),"CBS")</f>
        <v>CBS</v>
      </c>
      <c r="G1761" t="str">
        <f>IFERROR(__xludf.DUMMYFUNCTION("""COMPUTED_VALUE"""),"Florida State 17 at (8) Florida 40")</f>
        <v>Florida State 17 at (8) Florida 40</v>
      </c>
      <c r="H1761" t="str">
        <f>IFERROR(__xludf.DUMMYFUNCTION("""COMPUTED_VALUE"""),"FINAL")</f>
        <v>FINAL</v>
      </c>
      <c r="I1761" t="str">
        <f>IFERROR(__xludf.DUMMYFUNCTION("""COMPUTED_VALUE"""),"-17½")</f>
        <v>-17½</v>
      </c>
      <c r="J1761" t="str">
        <f>IFERROR(__xludf.DUMMYFUNCTION("""COMPUTED_VALUE"""),"53½")</f>
        <v>53½</v>
      </c>
      <c r="K1761" t="str">
        <f>IFERROR(__xludf.DUMMYFUNCTION("""COMPUTED_VALUE"""),"Josh R.")</f>
        <v>Josh R.</v>
      </c>
      <c r="L1761" t="str">
        <f>IFERROR(__xludf.DUMMYFUNCTION("""COMPUTED_VALUE"""),"FINAL")</f>
        <v>FINAL</v>
      </c>
      <c r="M1761" s="124">
        <v>14.0</v>
      </c>
    </row>
    <row r="1762">
      <c r="A1762" s="151">
        <f>IFERROR(__xludf.DUMMYFUNCTION("""COMPUTED_VALUE"""),43800.147749861106)</f>
        <v>43800.14775</v>
      </c>
      <c r="B1762" t="str">
        <f>IFERROR(__xludf.DUMMYFUNCTION("""COMPUTED_VALUE"""),"Vu")</f>
        <v>Vu</v>
      </c>
      <c r="C1762" s="169" t="str">
        <f>IFERROR(__xludf.DUMMYFUNCTION("""COMPUTED_VALUE"""),"Kent State")</f>
        <v>Kent State</v>
      </c>
      <c r="D1762">
        <f>IFERROR(__xludf.DUMMYFUNCTION("""COMPUTED_VALUE"""),6.0)</f>
        <v>6</v>
      </c>
      <c r="E1762">
        <f>IFERROR(__xludf.DUMMYFUNCTION("""COMPUTED_VALUE"""),6.0)</f>
        <v>6</v>
      </c>
      <c r="F1762" t="str">
        <f>IFERROR(__xludf.DUMMYFUNCTION("""COMPUTED_VALUE"""),"CBSSN")</f>
        <v>CBSSN</v>
      </c>
      <c r="G1762" t="str">
        <f>IFERROR(__xludf.DUMMYFUNCTION("""COMPUTED_VALUE"""),"Kent State 34 at EMU 26")</f>
        <v>Kent State 34 at EMU 26</v>
      </c>
      <c r="H1762" t="str">
        <f>IFERROR(__xludf.DUMMYFUNCTION("""COMPUTED_VALUE"""),"FINAL")</f>
        <v>FINAL</v>
      </c>
      <c r="I1762" t="str">
        <f>IFERROR(__xludf.DUMMYFUNCTION("""COMPUTED_VALUE"""),"5½")</f>
        <v>5½</v>
      </c>
      <c r="J1762">
        <f>IFERROR(__xludf.DUMMYFUNCTION("""COMPUTED_VALUE"""),65.0)</f>
        <v>65</v>
      </c>
      <c r="K1762" t="str">
        <f>IFERROR(__xludf.DUMMYFUNCTION("""COMPUTED_VALUE"""),"Brad")</f>
        <v>Brad</v>
      </c>
      <c r="L1762" t="str">
        <f>IFERROR(__xludf.DUMMYFUNCTION("""COMPUTED_VALUE"""),"FINAL")</f>
        <v>FINAL</v>
      </c>
      <c r="M1762" s="124">
        <v>14.0</v>
      </c>
    </row>
    <row r="1763">
      <c r="A1763" s="151">
        <f>IFERROR(__xludf.DUMMYFUNCTION("""COMPUTED_VALUE"""),43800.147749861106)</f>
        <v>43800.14775</v>
      </c>
      <c r="B1763" t="str">
        <f>IFERROR(__xludf.DUMMYFUNCTION("""COMPUTED_VALUE"""),"Vu")</f>
        <v>Vu</v>
      </c>
      <c r="C1763" s="169" t="str">
        <f>IFERROR(__xludf.DUMMYFUNCTION("""COMPUTED_VALUE"""),"Cincinnati")</f>
        <v>Cincinnati</v>
      </c>
      <c r="D1763">
        <f>IFERROR(__xludf.DUMMYFUNCTION("""COMPUTED_VALUE"""),10.0)</f>
        <v>10</v>
      </c>
      <c r="E1763">
        <f>IFERROR(__xludf.DUMMYFUNCTION("""COMPUTED_VALUE"""),2.0)</f>
        <v>2</v>
      </c>
      <c r="F1763" t="str">
        <f>IFERROR(__xludf.DUMMYFUNCTION("""COMPUTED_VALUE"""),"CBSSN")</f>
        <v>CBSSN</v>
      </c>
      <c r="G1763" t="str">
        <f>IFERROR(__xludf.DUMMYFUNCTION("""COMPUTED_VALUE"""),"(17) Cincinnati 24 at (18) Memphis 34")</f>
        <v>(17) Cincinnati 24 at (18) Memphis 34</v>
      </c>
      <c r="H1763" t="str">
        <f>IFERROR(__xludf.DUMMYFUNCTION("""COMPUTED_VALUE"""),"FINAL")</f>
        <v>FINAL</v>
      </c>
      <c r="I1763">
        <f>IFERROR(__xludf.DUMMYFUNCTION("""COMPUTED_VALUE"""),10.0)</f>
        <v>10</v>
      </c>
      <c r="J1763" t="str">
        <f>IFERROR(__xludf.DUMMYFUNCTION("""COMPUTED_VALUE"""),"57½")</f>
        <v>57½</v>
      </c>
      <c r="K1763" t="str">
        <f>IFERROR(__xludf.DUMMYFUNCTION("""COMPUTED_VALUE"""),"Brad")</f>
        <v>Brad</v>
      </c>
      <c r="L1763" t="str">
        <f>IFERROR(__xludf.DUMMYFUNCTION("""COMPUTED_VALUE"""),"FINAL")</f>
        <v>FINAL</v>
      </c>
      <c r="M1763" s="124">
        <v>14.0</v>
      </c>
    </row>
    <row r="1764">
      <c r="A1764" s="151">
        <f>IFERROR(__xludf.DUMMYFUNCTION("""COMPUTED_VALUE"""),43800.147749861106)</f>
        <v>43800.14775</v>
      </c>
      <c r="B1764" t="str">
        <f>IFERROR(__xludf.DUMMYFUNCTION("""COMPUTED_VALUE"""),"Vu")</f>
        <v>Vu</v>
      </c>
      <c r="C1764" s="169" t="str">
        <f>IFERROR(__xludf.DUMMYFUNCTION("""COMPUTED_VALUE"""),"Washington")</f>
        <v>Washington</v>
      </c>
      <c r="D1764">
        <f>IFERROR(__xludf.DUMMYFUNCTION("""COMPUTED_VALUE"""),7.0)</f>
        <v>7</v>
      </c>
      <c r="E1764">
        <f>IFERROR(__xludf.DUMMYFUNCTION("""COMPUTED_VALUE"""),5.0)</f>
        <v>5</v>
      </c>
      <c r="F1764" t="str">
        <f>IFERROR(__xludf.DUMMYFUNCTION("""COMPUTED_VALUE"""),"NA")</f>
        <v>NA</v>
      </c>
      <c r="G1764" t="str">
        <f>IFERROR(__xludf.DUMMYFUNCTION("""COMPUTED_VALUE"""),"Washington State 13 at Washington 31")</f>
        <v>Washington State 13 at Washington 31</v>
      </c>
      <c r="H1764" t="str">
        <f>IFERROR(__xludf.DUMMYFUNCTION("""COMPUTED_VALUE"""),"FINAL")</f>
        <v>FINAL</v>
      </c>
      <c r="I1764">
        <f>IFERROR(__xludf.DUMMYFUNCTION("""COMPUTED_VALUE"""),-7.0)</f>
        <v>-7</v>
      </c>
      <c r="J1764" t="str">
        <f>IFERROR(__xludf.DUMMYFUNCTION("""COMPUTED_VALUE"""),"63½")</f>
        <v>63½</v>
      </c>
      <c r="K1764" t="str">
        <f>IFERROR(__xludf.DUMMYFUNCTION("""COMPUTED_VALUE"""),"Nick A.")</f>
        <v>Nick A.</v>
      </c>
      <c r="L1764" t="str">
        <f>IFERROR(__xludf.DUMMYFUNCTION("""COMPUTED_VALUE"""),"FINAL")</f>
        <v>FINAL</v>
      </c>
      <c r="M1764" s="124">
        <v>14.0</v>
      </c>
    </row>
    <row r="1765">
      <c r="A1765" s="151">
        <f>IFERROR(__xludf.DUMMYFUNCTION("""COMPUTED_VALUE"""),43800.147749861106)</f>
        <v>43800.14775</v>
      </c>
      <c r="B1765" t="str">
        <f>IFERROR(__xludf.DUMMYFUNCTION("""COMPUTED_VALUE"""),"Vu")</f>
        <v>Vu</v>
      </c>
      <c r="C1765" s="169" t="str">
        <f>IFERROR(__xludf.DUMMYFUNCTION("""COMPUTED_VALUE"""),"TCU")</f>
        <v>TCU</v>
      </c>
      <c r="D1765">
        <f>IFERROR(__xludf.DUMMYFUNCTION("""COMPUTED_VALUE"""),5.0)</f>
        <v>5</v>
      </c>
      <c r="E1765">
        <f>IFERROR(__xludf.DUMMYFUNCTION("""COMPUTED_VALUE"""),7.0)</f>
        <v>7</v>
      </c>
      <c r="F1765" t="str">
        <f>IFERROR(__xludf.DUMMYFUNCTION("""COMPUTED_VALUE"""),"ESPN2")</f>
        <v>ESPN2</v>
      </c>
      <c r="G1765" t="str">
        <f>IFERROR(__xludf.DUMMYFUNCTION("""COMPUTED_VALUE"""),"West Virginia 20 at TCU 17")</f>
        <v>West Virginia 20 at TCU 17</v>
      </c>
      <c r="H1765" t="str">
        <f>IFERROR(__xludf.DUMMYFUNCTION("""COMPUTED_VALUE"""),"FINAL")</f>
        <v>FINAL</v>
      </c>
      <c r="I1765" t="str">
        <f>IFERROR(__xludf.DUMMYFUNCTION("""COMPUTED_VALUE"""),"-13½")</f>
        <v>-13½</v>
      </c>
      <c r="J1765">
        <f>IFERROR(__xludf.DUMMYFUNCTION("""COMPUTED_VALUE"""),44.0)</f>
        <v>44</v>
      </c>
      <c r="K1765" t="str">
        <f>IFERROR(__xludf.DUMMYFUNCTION("""COMPUTED_VALUE"""),"Nico")</f>
        <v>Nico</v>
      </c>
      <c r="L1765" t="str">
        <f>IFERROR(__xludf.DUMMYFUNCTION("""COMPUTED_VALUE"""),"FINAL")</f>
        <v>FINAL</v>
      </c>
      <c r="M1765" s="124">
        <v>14.0</v>
      </c>
    </row>
    <row r="1766">
      <c r="A1766" s="151">
        <f>IFERROR(__xludf.DUMMYFUNCTION("""COMPUTED_VALUE"""),43800.147749861106)</f>
        <v>43800.14775</v>
      </c>
      <c r="B1766" t="str">
        <f>IFERROR(__xludf.DUMMYFUNCTION("""COMPUTED_VALUE"""),"Vu")</f>
        <v>Vu</v>
      </c>
      <c r="C1766" s="169" t="str">
        <f>IFERROR(__xludf.DUMMYFUNCTION("""COMPUTED_VALUE"""),"South Alabama")</f>
        <v>South Alabama</v>
      </c>
      <c r="D1766">
        <f>IFERROR(__xludf.DUMMYFUNCTION("""COMPUTED_VALUE"""),2.0)</f>
        <v>2</v>
      </c>
      <c r="E1766">
        <f>IFERROR(__xludf.DUMMYFUNCTION("""COMPUTED_VALUE"""),10.0)</f>
        <v>10</v>
      </c>
      <c r="F1766" t="str">
        <f>IFERROR(__xludf.DUMMYFUNCTION("""COMPUTED_VALUE"""),"espn+ Video")</f>
        <v>espn+ Video</v>
      </c>
      <c r="G1766" t="str">
        <f>IFERROR(__xludf.DUMMYFUNCTION("""COMPUTED_VALUE"""),"Arkansas State 30 at South Alabama 34")</f>
        <v>Arkansas State 30 at South Alabama 34</v>
      </c>
      <c r="H1766" t="str">
        <f>IFERROR(__xludf.DUMMYFUNCTION("""COMPUTED_VALUE"""),"FINAL")</f>
        <v>FINAL</v>
      </c>
      <c r="I1766" t="str">
        <f>IFERROR(__xludf.DUMMYFUNCTION("""COMPUTED_VALUE"""),"13½")</f>
        <v>13½</v>
      </c>
      <c r="J1766">
        <f>IFERROR(__xludf.DUMMYFUNCTION("""COMPUTED_VALUE"""),56.0)</f>
        <v>56</v>
      </c>
      <c r="K1766" t="str">
        <f>IFERROR(__xludf.DUMMYFUNCTION("""COMPUTED_VALUE"""),"Nico")</f>
        <v>Nico</v>
      </c>
      <c r="L1766" t="str">
        <f>IFERROR(__xludf.DUMMYFUNCTION("""COMPUTED_VALUE"""),"FINAL")</f>
        <v>FINAL</v>
      </c>
      <c r="M1766" s="124">
        <v>14.0</v>
      </c>
    </row>
    <row r="1767">
      <c r="A1767" s="151">
        <f>IFERROR(__xludf.DUMMYFUNCTION("""COMPUTED_VALUE"""),43800.147749861106)</f>
        <v>43800.14775</v>
      </c>
      <c r="B1767" t="str">
        <f>IFERROR(__xludf.DUMMYFUNCTION("""COMPUTED_VALUE"""),"Vu")</f>
        <v>Vu</v>
      </c>
      <c r="C1767" s="169" t="str">
        <f>IFERROR(__xludf.DUMMYFUNCTION("""COMPUTED_VALUE"""),"Michigan")</f>
        <v>Michigan</v>
      </c>
      <c r="D1767">
        <f>IFERROR(__xludf.DUMMYFUNCTION("""COMPUTED_VALUE"""),9.0)</f>
        <v>9</v>
      </c>
      <c r="E1767">
        <f>IFERROR(__xludf.DUMMYFUNCTION("""COMPUTED_VALUE"""),3.0)</f>
        <v>3</v>
      </c>
      <c r="F1767" t="str">
        <f>IFERROR(__xludf.DUMMYFUNCTION("""COMPUTED_VALUE"""),"FOX")</f>
        <v>FOX</v>
      </c>
      <c r="G1767" t="str">
        <f>IFERROR(__xludf.DUMMYFUNCTION("""COMPUTED_VALUE"""),"(2) Ohio State 56 at (11) Michigan 27")</f>
        <v>(2) Ohio State 56 at (11) Michigan 27</v>
      </c>
      <c r="H1767" t="str">
        <f>IFERROR(__xludf.DUMMYFUNCTION("""COMPUTED_VALUE"""),"FINAL")</f>
        <v>FINAL</v>
      </c>
      <c r="I1767" t="str">
        <f>IFERROR(__xludf.DUMMYFUNCTION("""COMPUTED_VALUE"""),"9½")</f>
        <v>9½</v>
      </c>
      <c r="J1767">
        <f>IFERROR(__xludf.DUMMYFUNCTION("""COMPUTED_VALUE"""),51.0)</f>
        <v>51</v>
      </c>
      <c r="K1767" t="str">
        <f>IFERROR(__xludf.DUMMYFUNCTION("""COMPUTED_VALUE"""),"Nick G.")</f>
        <v>Nick G.</v>
      </c>
      <c r="L1767" t="str">
        <f>IFERROR(__xludf.DUMMYFUNCTION("""COMPUTED_VALUE"""),"FINAL")</f>
        <v>FINAL</v>
      </c>
      <c r="M1767" s="124">
        <v>14.0</v>
      </c>
    </row>
    <row r="1768">
      <c r="A1768" s="151">
        <f>IFERROR(__xludf.DUMMYFUNCTION("""COMPUTED_VALUE"""),43800.147749861106)</f>
        <v>43800.14775</v>
      </c>
      <c r="B1768" t="str">
        <f>IFERROR(__xludf.DUMMYFUNCTION("""COMPUTED_VALUE"""),"Vu")</f>
        <v>Vu</v>
      </c>
      <c r="C1768" s="169" t="str">
        <f>IFERROR(__xludf.DUMMYFUNCTION("""COMPUTED_VALUE"""),"Syracuse")</f>
        <v>Syracuse</v>
      </c>
      <c r="D1768">
        <f>IFERROR(__xludf.DUMMYFUNCTION("""COMPUTED_VALUE"""),5.0)</f>
        <v>5</v>
      </c>
      <c r="E1768">
        <f>IFERROR(__xludf.DUMMYFUNCTION("""COMPUTED_VALUE"""),7.0)</f>
        <v>7</v>
      </c>
      <c r="F1768" t="str">
        <f>IFERROR(__xludf.DUMMYFUNCTION("""COMPUTED_VALUE"""),"ACC Network")</f>
        <v>ACC Network</v>
      </c>
      <c r="G1768" t="str">
        <f>IFERROR(__xludf.DUMMYFUNCTION("""COMPUTED_VALUE"""),"Wake Forest 30 at Syracuse 39")</f>
        <v>Wake Forest 30 at Syracuse 39</v>
      </c>
      <c r="H1768" t="str">
        <f>IFERROR(__xludf.DUMMYFUNCTION("""COMPUTED_VALUE"""),"FINAL - OT")</f>
        <v>FINAL - OT</v>
      </c>
      <c r="I1768" t="str">
        <f>IFERROR(__xludf.DUMMYFUNCTION("""COMPUTED_VALUE"""),"4½")</f>
        <v>4½</v>
      </c>
      <c r="J1768" t="str">
        <f>IFERROR(__xludf.DUMMYFUNCTION("""COMPUTED_VALUE"""),"66½")</f>
        <v>66½</v>
      </c>
      <c r="K1768" t="str">
        <f>IFERROR(__xludf.DUMMYFUNCTION("""COMPUTED_VALUE"""),"Adam")</f>
        <v>Adam</v>
      </c>
      <c r="L1768" t="str">
        <f>IFERROR(__xludf.DUMMYFUNCTION("""COMPUTED_VALUE"""),"FINAL - OT")</f>
        <v>FINAL - OT</v>
      </c>
      <c r="M1768" s="124">
        <v>14.0</v>
      </c>
    </row>
    <row r="1769">
      <c r="A1769" s="151">
        <f>IFERROR(__xludf.DUMMYFUNCTION("""COMPUTED_VALUE"""),43800.147749861106)</f>
        <v>43800.14775</v>
      </c>
      <c r="B1769" t="str">
        <f>IFERROR(__xludf.DUMMYFUNCTION("""COMPUTED_VALUE"""),"Vu")</f>
        <v>Vu</v>
      </c>
      <c r="C1769" s="169" t="str">
        <f>IFERROR(__xludf.DUMMYFUNCTION("""COMPUTED_VALUE"""),"North Texas")</f>
        <v>North Texas</v>
      </c>
      <c r="D1769">
        <f>IFERROR(__xludf.DUMMYFUNCTION("""COMPUTED_VALUE"""),4.0)</f>
        <v>4</v>
      </c>
      <c r="E1769">
        <f>IFERROR(__xludf.DUMMYFUNCTION("""COMPUTED_VALUE"""),8.0)</f>
        <v>8</v>
      </c>
      <c r="F1769" t="str">
        <f>IFERROR(__xludf.DUMMYFUNCTION("""COMPUTED_VALUE"""),"NA")</f>
        <v>NA</v>
      </c>
      <c r="G1769" t="str">
        <f>IFERROR(__xludf.DUMMYFUNCTION("""COMPUTED_VALUE"""),"UAB 26 at North Texas 21")</f>
        <v>UAB 26 at North Texas 21</v>
      </c>
      <c r="H1769" t="str">
        <f>IFERROR(__xludf.DUMMYFUNCTION("""COMPUTED_VALUE"""),"FINAL")</f>
        <v>FINAL</v>
      </c>
      <c r="I1769">
        <f>IFERROR(__xludf.DUMMYFUNCTION("""COMPUTED_VALUE"""),1.0)</f>
        <v>1</v>
      </c>
      <c r="J1769" t="str">
        <f>IFERROR(__xludf.DUMMYFUNCTION("""COMPUTED_VALUE"""),"50½")</f>
        <v>50½</v>
      </c>
      <c r="K1769" t="str">
        <f>IFERROR(__xludf.DUMMYFUNCTION("""COMPUTED_VALUE"""),"Jeannine")</f>
        <v>Jeannine</v>
      </c>
      <c r="L1769" t="str">
        <f>IFERROR(__xludf.DUMMYFUNCTION("""COMPUTED_VALUE"""),"FINAL")</f>
        <v>FINAL</v>
      </c>
      <c r="M1769" s="124">
        <v>14.0</v>
      </c>
    </row>
    <row r="1770">
      <c r="A1770" s="151">
        <f>IFERROR(__xludf.DUMMYFUNCTION("""COMPUTED_VALUE"""),43800.147749861106)</f>
        <v>43800.14775</v>
      </c>
      <c r="B1770" t="str">
        <f>IFERROR(__xludf.DUMMYFUNCTION("""COMPUTED_VALUE"""),"Vu")</f>
        <v>Vu</v>
      </c>
      <c r="C1770" s="169" t="str">
        <f>IFERROR(__xludf.DUMMYFUNCTION("""COMPUTED_VALUE"""),"Texas A&amp;M")</f>
        <v>Texas A&amp;M</v>
      </c>
      <c r="D1770">
        <f>IFERROR(__xludf.DUMMYFUNCTION("""COMPUTED_VALUE"""),7.0)</f>
        <v>7</v>
      </c>
      <c r="E1770">
        <f>IFERROR(__xludf.DUMMYFUNCTION("""COMPUTED_VALUE"""),5.0)</f>
        <v>5</v>
      </c>
      <c r="F1770" t="str">
        <f>IFERROR(__xludf.DUMMYFUNCTION("""COMPUTED_VALUE"""),"SEC Network")</f>
        <v>SEC Network</v>
      </c>
      <c r="G1770" t="str">
        <f>IFERROR(__xludf.DUMMYFUNCTION("""COMPUTED_VALUE"""),"Texas A&amp;M 7 at (1) LSU 50")</f>
        <v>Texas A&amp;M 7 at (1) LSU 50</v>
      </c>
      <c r="H1770" t="str">
        <f>IFERROR(__xludf.DUMMYFUNCTION("""COMPUTED_VALUE"""),"FINAL")</f>
        <v>FINAL</v>
      </c>
      <c r="I1770">
        <f>IFERROR(__xludf.DUMMYFUNCTION("""COMPUTED_VALUE"""),17.0)</f>
        <v>17</v>
      </c>
      <c r="J1770" t="str">
        <f>IFERROR(__xludf.DUMMYFUNCTION("""COMPUTED_VALUE"""),"62½")</f>
        <v>62½</v>
      </c>
      <c r="K1770" t="str">
        <f>IFERROR(__xludf.DUMMYFUNCTION("""COMPUTED_VALUE"""),"Nick A.")</f>
        <v>Nick A.</v>
      </c>
      <c r="L1770" t="str">
        <f>IFERROR(__xludf.DUMMYFUNCTION("""COMPUTED_VALUE"""),"FINAL")</f>
        <v>FINAL</v>
      </c>
      <c r="M1770" s="124">
        <v>14.0</v>
      </c>
    </row>
    <row r="1771">
      <c r="A1771" s="151">
        <f>IFERROR(__xludf.DUMMYFUNCTION("""COMPUTED_VALUE"""),43800.147749861106)</f>
        <v>43800.14775</v>
      </c>
      <c r="B1771" t="str">
        <f>IFERROR(__xludf.DUMMYFUNCTION("""COMPUTED_VALUE"""),"Vu")</f>
        <v>Vu</v>
      </c>
      <c r="C1771" s="169" t="str">
        <f>IFERROR(__xludf.DUMMYFUNCTION("""COMPUTED_VALUE"""),"Hawaii")</f>
        <v>Hawaii</v>
      </c>
      <c r="D1771">
        <f>IFERROR(__xludf.DUMMYFUNCTION("""COMPUTED_VALUE"""),9.0)</f>
        <v>9</v>
      </c>
      <c r="E1771">
        <f>IFERROR(__xludf.DUMMYFUNCTION("""COMPUTED_VALUE"""),4.0)</f>
        <v>4</v>
      </c>
      <c r="F1771" t="str">
        <f>IFERROR(__xludf.DUMMYFUNCTION("""COMPUTED_VALUE"""),"Facebook Video")</f>
        <v>Facebook Video</v>
      </c>
      <c r="G1771" t="str">
        <f>IFERROR(__xludf.DUMMYFUNCTION("""COMPUTED_VALUE"""),"Army 31 at Hawaii 52")</f>
        <v>Army 31 at Hawaii 52</v>
      </c>
      <c r="H1771" t="str">
        <f>IFERROR(__xludf.DUMMYFUNCTION("""COMPUTED_VALUE"""),"FINAL")</f>
        <v>FINAL</v>
      </c>
      <c r="I1771" t="str">
        <f>IFERROR(__xludf.DUMMYFUNCTION("""COMPUTED_VALUE"""),"bye")</f>
        <v>bye</v>
      </c>
      <c r="J1771" t="str">
        <f>IFERROR(__xludf.DUMMYFUNCTION("""COMPUTED_VALUE"""),"bye")</f>
        <v>bye</v>
      </c>
      <c r="K1771" t="str">
        <f>IFERROR(__xludf.DUMMYFUNCTION("""COMPUTED_VALUE"""),"Josh R.")</f>
        <v>Josh R.</v>
      </c>
      <c r="L1771" t="str">
        <f>IFERROR(__xludf.DUMMYFUNCTION("""COMPUTED_VALUE"""),"FINAL")</f>
        <v>FINAL</v>
      </c>
      <c r="M1771" s="124">
        <v>14.0</v>
      </c>
    </row>
    <row r="1772">
      <c r="A1772" s="151">
        <f>IFERROR(__xludf.DUMMYFUNCTION("""COMPUTED_VALUE"""),43800.147749861106)</f>
        <v>43800.14775</v>
      </c>
      <c r="B1772" t="str">
        <f>IFERROR(__xludf.DUMMYFUNCTION("""COMPUTED_VALUE"""),"Josh R.")</f>
        <v>Josh R.</v>
      </c>
      <c r="C1772" s="169" t="str">
        <f>IFERROR(__xludf.DUMMYFUNCTION("""COMPUTED_VALUE"""),"Toledo")</f>
        <v>Toledo</v>
      </c>
      <c r="D1772">
        <f>IFERROR(__xludf.DUMMYFUNCTION("""COMPUTED_VALUE"""),6.0)</f>
        <v>6</v>
      </c>
      <c r="E1772">
        <f>IFERROR(__xludf.DUMMYFUNCTION("""COMPUTED_VALUE"""),6.0)</f>
        <v>6</v>
      </c>
      <c r="F1772" t="str">
        <f>IFERROR(__xludf.DUMMYFUNCTION("""COMPUTED_VALUE"""),"ESPNU")</f>
        <v>ESPNU</v>
      </c>
      <c r="G1772" t="str">
        <f>IFERROR(__xludf.DUMMYFUNCTION("""COMPUTED_VALUE"""),"Toledo 7 at Central Michigan 49")</f>
        <v>Toledo 7 at Central Michigan 49</v>
      </c>
      <c r="H1772" t="str">
        <f>IFERROR(__xludf.DUMMYFUNCTION("""COMPUTED_VALUE"""),"FINAL")</f>
        <v>FINAL</v>
      </c>
      <c r="I1772" t="str">
        <f>IFERROR(__xludf.DUMMYFUNCTION("""COMPUTED_VALUE"""),"9½")</f>
        <v>9½</v>
      </c>
      <c r="J1772">
        <f>IFERROR(__xludf.DUMMYFUNCTION("""COMPUTED_VALUE"""),65.0)</f>
        <v>65</v>
      </c>
      <c r="K1772" t="str">
        <f>IFERROR(__xludf.DUMMYFUNCTION("""COMPUTED_VALUE"""),"Nick G.")</f>
        <v>Nick G.</v>
      </c>
      <c r="L1772" t="str">
        <f>IFERROR(__xludf.DUMMYFUNCTION("""COMPUTED_VALUE"""),"FINAL")</f>
        <v>FINAL</v>
      </c>
      <c r="M1772" s="124">
        <v>14.0</v>
      </c>
    </row>
    <row r="1773">
      <c r="A1773" s="151">
        <f>IFERROR(__xludf.DUMMYFUNCTION("""COMPUTED_VALUE"""),43800.147749861106)</f>
        <v>43800.14775</v>
      </c>
      <c r="B1773" t="str">
        <f>IFERROR(__xludf.DUMMYFUNCTION("""COMPUTED_VALUE"""),"Josh R.")</f>
        <v>Josh R.</v>
      </c>
      <c r="C1773" s="169" t="str">
        <f>IFERROR(__xludf.DUMMYFUNCTION("""COMPUTED_VALUE"""),"Kentucky")</f>
        <v>Kentucky</v>
      </c>
      <c r="D1773">
        <f>IFERROR(__xludf.DUMMYFUNCTION("""COMPUTED_VALUE"""),7.0)</f>
        <v>7</v>
      </c>
      <c r="E1773">
        <f>IFERROR(__xludf.DUMMYFUNCTION("""COMPUTED_VALUE"""),5.0)</f>
        <v>5</v>
      </c>
      <c r="F1773" t="str">
        <f>IFERROR(__xludf.DUMMYFUNCTION("""COMPUTED_VALUE"""),"SEC Network")</f>
        <v>SEC Network</v>
      </c>
      <c r="G1773" t="str">
        <f>IFERROR(__xludf.DUMMYFUNCTION("""COMPUTED_VALUE"""),"Louisville 13 at Kentucky 45")</f>
        <v>Louisville 13 at Kentucky 45</v>
      </c>
      <c r="H1773" t="str">
        <f>IFERROR(__xludf.DUMMYFUNCTION("""COMPUTED_VALUE"""),"FINAL")</f>
        <v>FINAL</v>
      </c>
      <c r="I1773" t="str">
        <f>IFERROR(__xludf.DUMMYFUNCTION("""COMPUTED_VALUE"""),"-3½")</f>
        <v>-3½</v>
      </c>
      <c r="J1773">
        <f>IFERROR(__xludf.DUMMYFUNCTION("""COMPUTED_VALUE"""),53.0)</f>
        <v>53</v>
      </c>
      <c r="K1773" t="str">
        <f>IFERROR(__xludf.DUMMYFUNCTION("""COMPUTED_VALUE"""),"Undrafted")</f>
        <v>Undrafted</v>
      </c>
      <c r="L1773" t="str">
        <f>IFERROR(__xludf.DUMMYFUNCTION("""COMPUTED_VALUE"""),"FINAL")</f>
        <v>FINAL</v>
      </c>
      <c r="M1773" s="124">
        <v>14.0</v>
      </c>
    </row>
    <row r="1774">
      <c r="A1774" s="151">
        <f>IFERROR(__xludf.DUMMYFUNCTION("""COMPUTED_VALUE"""),43800.147749861106)</f>
        <v>43800.14775</v>
      </c>
      <c r="B1774" t="str">
        <f>IFERROR(__xludf.DUMMYFUNCTION("""COMPUTED_VALUE"""),"Josh R.")</f>
        <v>Josh R.</v>
      </c>
      <c r="C1774" s="169" t="str">
        <f>IFERROR(__xludf.DUMMYFUNCTION("""COMPUTED_VALUE"""),"Nevada")</f>
        <v>Nevada</v>
      </c>
      <c r="D1774">
        <f>IFERROR(__xludf.DUMMYFUNCTION("""COMPUTED_VALUE"""),7.0)</f>
        <v>7</v>
      </c>
      <c r="E1774">
        <f>IFERROR(__xludf.DUMMYFUNCTION("""COMPUTED_VALUE"""),5.0)</f>
        <v>5</v>
      </c>
      <c r="F1774" t="str">
        <f>IFERROR(__xludf.DUMMYFUNCTION("""COMPUTED_VALUE"""),"NA")</f>
        <v>NA</v>
      </c>
      <c r="G1774" t="str">
        <f>IFERROR(__xludf.DUMMYFUNCTION("""COMPUTED_VALUE"""),"UNLV 33 at Nevada 30")</f>
        <v>UNLV 33 at Nevada 30</v>
      </c>
      <c r="H1774" t="str">
        <f>IFERROR(__xludf.DUMMYFUNCTION("""COMPUTED_VALUE"""),"FINAL - OT")</f>
        <v>FINAL - OT</v>
      </c>
      <c r="I1774" t="str">
        <f>IFERROR(__xludf.DUMMYFUNCTION("""COMPUTED_VALUE"""),"-7½")</f>
        <v>-7½</v>
      </c>
      <c r="J1774" t="str">
        <f>IFERROR(__xludf.DUMMYFUNCTION("""COMPUTED_VALUE"""),"53½")</f>
        <v>53½</v>
      </c>
      <c r="K1774" t="str">
        <f>IFERROR(__xludf.DUMMYFUNCTION("""COMPUTED_VALUE"""),"Justin")</f>
        <v>Justin</v>
      </c>
      <c r="L1774" t="str">
        <f>IFERROR(__xludf.DUMMYFUNCTION("""COMPUTED_VALUE"""),"FINAL - OT")</f>
        <v>FINAL - OT</v>
      </c>
      <c r="M1774" s="124">
        <v>14.0</v>
      </c>
    </row>
    <row r="1775">
      <c r="A1775" s="151">
        <f>IFERROR(__xludf.DUMMYFUNCTION("""COMPUTED_VALUE"""),43800.147749861106)</f>
        <v>43800.14775</v>
      </c>
      <c r="B1775" t="str">
        <f>IFERROR(__xludf.DUMMYFUNCTION("""COMPUTED_VALUE"""),"Josh R.")</f>
        <v>Josh R.</v>
      </c>
      <c r="C1775" s="169" t="str">
        <f>IFERROR(__xludf.DUMMYFUNCTION("""COMPUTED_VALUE"""),"Minnesota")</f>
        <v>Minnesota</v>
      </c>
      <c r="D1775">
        <f>IFERROR(__xludf.DUMMYFUNCTION("""COMPUTED_VALUE"""),10.0)</f>
        <v>10</v>
      </c>
      <c r="E1775">
        <f>IFERROR(__xludf.DUMMYFUNCTION("""COMPUTED_VALUE"""),2.0)</f>
        <v>2</v>
      </c>
      <c r="F1775" t="str">
        <f>IFERROR(__xludf.DUMMYFUNCTION("""COMPUTED_VALUE"""),"FOX")</f>
        <v>FOX</v>
      </c>
      <c r="G1775" t="str">
        <f>IFERROR(__xludf.DUMMYFUNCTION("""COMPUTED_VALUE"""),"(14) Wisconsin 38 at (9) Minnesota 17")</f>
        <v>(14) Wisconsin 38 at (9) Minnesota 17</v>
      </c>
      <c r="H1775" t="str">
        <f>IFERROR(__xludf.DUMMYFUNCTION("""COMPUTED_VALUE"""),"FINAL")</f>
        <v>FINAL</v>
      </c>
      <c r="I1775" t="str">
        <f>IFERROR(__xludf.DUMMYFUNCTION("""COMPUTED_VALUE"""),"2½")</f>
        <v>2½</v>
      </c>
      <c r="J1775" t="str">
        <f>IFERROR(__xludf.DUMMYFUNCTION("""COMPUTED_VALUE"""),"47½")</f>
        <v>47½</v>
      </c>
      <c r="K1775" t="str">
        <f>IFERROR(__xludf.DUMMYFUNCTION("""COMPUTED_VALUE"""),"Janice/Mike")</f>
        <v>Janice/Mike</v>
      </c>
      <c r="L1775" t="str">
        <f>IFERROR(__xludf.DUMMYFUNCTION("""COMPUTED_VALUE"""),"FINAL")</f>
        <v>FINAL</v>
      </c>
      <c r="M1775" s="124">
        <v>14.0</v>
      </c>
    </row>
    <row r="1776">
      <c r="A1776" s="151">
        <f>IFERROR(__xludf.DUMMYFUNCTION("""COMPUTED_VALUE"""),43800.147749861106)</f>
        <v>43800.14775</v>
      </c>
      <c r="B1776" t="str">
        <f>IFERROR(__xludf.DUMMYFUNCTION("""COMPUTED_VALUE"""),"Josh R.")</f>
        <v>Josh R.</v>
      </c>
      <c r="C1776" s="169" t="str">
        <f>IFERROR(__xludf.DUMMYFUNCTION("""COMPUTED_VALUE"""),"Kansas")</f>
        <v>Kansas</v>
      </c>
      <c r="D1776">
        <f>IFERROR(__xludf.DUMMYFUNCTION("""COMPUTED_VALUE"""),3.0)</f>
        <v>3</v>
      </c>
      <c r="E1776">
        <f>IFERROR(__xludf.DUMMYFUNCTION("""COMPUTED_VALUE"""),9.0)</f>
        <v>9</v>
      </c>
      <c r="F1776" t="str">
        <f>IFERROR(__xludf.DUMMYFUNCTION("""COMPUTED_VALUE"""),"FS1")</f>
        <v>FS1</v>
      </c>
      <c r="G1776" t="str">
        <f>IFERROR(__xludf.DUMMYFUNCTION("""COMPUTED_VALUE"""),"(10) Baylor 61 at Kansas 6")</f>
        <v>(10) Baylor 61 at Kansas 6</v>
      </c>
      <c r="H1776" t="str">
        <f>IFERROR(__xludf.DUMMYFUNCTION("""COMPUTED_VALUE"""),"FINAL")</f>
        <v>FINAL</v>
      </c>
      <c r="I1776">
        <f>IFERROR(__xludf.DUMMYFUNCTION("""COMPUTED_VALUE"""),14.0)</f>
        <v>14</v>
      </c>
      <c r="J1776" t="str">
        <f>IFERROR(__xludf.DUMMYFUNCTION("""COMPUTED_VALUE"""),"52½")</f>
        <v>52½</v>
      </c>
      <c r="K1776" t="str">
        <f>IFERROR(__xludf.DUMMYFUNCTION("""COMPUTED_VALUE"""),"Justin")</f>
        <v>Justin</v>
      </c>
      <c r="L1776" t="str">
        <f>IFERROR(__xludf.DUMMYFUNCTION("""COMPUTED_VALUE"""),"FINAL")</f>
        <v>FINAL</v>
      </c>
      <c r="M1776" s="124">
        <v>14.0</v>
      </c>
    </row>
    <row r="1777">
      <c r="A1777" s="151">
        <f>IFERROR(__xludf.DUMMYFUNCTION("""COMPUTED_VALUE"""),43800.147749861106)</f>
        <v>43800.14775</v>
      </c>
      <c r="B1777" t="str">
        <f>IFERROR(__xludf.DUMMYFUNCTION("""COMPUTED_VALUE"""),"Josh R.")</f>
        <v>Josh R.</v>
      </c>
      <c r="C1777" s="169" t="str">
        <f>IFERROR(__xludf.DUMMYFUNCTION("""COMPUTED_VALUE"""),"Temple")</f>
        <v>Temple</v>
      </c>
      <c r="D1777">
        <f>IFERROR(__xludf.DUMMYFUNCTION("""COMPUTED_VALUE"""),8.0)</f>
        <v>8</v>
      </c>
      <c r="E1777">
        <f>IFERROR(__xludf.DUMMYFUNCTION("""COMPUTED_VALUE"""),4.0)</f>
        <v>4</v>
      </c>
      <c r="F1777" t="str">
        <f>IFERROR(__xludf.DUMMYFUNCTION("""COMPUTED_VALUE"""),"ESPNU")</f>
        <v>ESPNU</v>
      </c>
      <c r="G1777" t="str">
        <f>IFERROR(__xludf.DUMMYFUNCTION("""COMPUTED_VALUE"""),"UConn 17 at Temple 49")</f>
        <v>UConn 17 at Temple 49</v>
      </c>
      <c r="H1777" t="str">
        <f>IFERROR(__xludf.DUMMYFUNCTION("""COMPUTED_VALUE"""),"FINAL")</f>
        <v>FINAL</v>
      </c>
      <c r="I1777">
        <f>IFERROR(__xludf.DUMMYFUNCTION("""COMPUTED_VALUE"""),-28.0)</f>
        <v>-28</v>
      </c>
      <c r="J1777">
        <f>IFERROR(__xludf.DUMMYFUNCTION("""COMPUTED_VALUE"""),50.0)</f>
        <v>50</v>
      </c>
      <c r="K1777" t="str">
        <f>IFERROR(__xludf.DUMMYFUNCTION("""COMPUTED_VALUE"""),"Nick G.")</f>
        <v>Nick G.</v>
      </c>
      <c r="L1777" t="str">
        <f>IFERROR(__xludf.DUMMYFUNCTION("""COMPUTED_VALUE"""),"FINAL")</f>
        <v>FINAL</v>
      </c>
      <c r="M1777" s="124">
        <v>14.0</v>
      </c>
    </row>
    <row r="1778">
      <c r="A1778" s="151">
        <f>IFERROR(__xludf.DUMMYFUNCTION("""COMPUTED_VALUE"""),43800.147749861106)</f>
        <v>43800.14775</v>
      </c>
      <c r="B1778" t="str">
        <f>IFERROR(__xludf.DUMMYFUNCTION("""COMPUTED_VALUE"""),"Josh R.")</f>
        <v>Josh R.</v>
      </c>
      <c r="C1778" s="169" t="str">
        <f>IFERROR(__xludf.DUMMYFUNCTION("""COMPUTED_VALUE"""),"Southern Mississippi")</f>
        <v>Southern Mississippi</v>
      </c>
      <c r="D1778">
        <f>IFERROR(__xludf.DUMMYFUNCTION("""COMPUTED_VALUE"""),7.0)</f>
        <v>7</v>
      </c>
      <c r="E1778">
        <f>IFERROR(__xludf.DUMMYFUNCTION("""COMPUTED_VALUE"""),5.0)</f>
        <v>5</v>
      </c>
      <c r="F1778" t="str">
        <f>IFERROR(__xludf.DUMMYFUNCTION("""COMPUTED_VALUE"""),"NA")</f>
        <v>NA</v>
      </c>
      <c r="G1778" t="str">
        <f>IFERROR(__xludf.DUMMYFUNCTION("""COMPUTED_VALUE"""),"Southern Mississippi 17 at Florida Atlantic 34")</f>
        <v>Southern Mississippi 17 at Florida Atlantic 34</v>
      </c>
      <c r="H1778" t="str">
        <f>IFERROR(__xludf.DUMMYFUNCTION("""COMPUTED_VALUE"""),"FINAL")</f>
        <v>FINAL</v>
      </c>
      <c r="I1778" t="str">
        <f>IFERROR(__xludf.DUMMYFUNCTION("""COMPUTED_VALUE"""),"8½")</f>
        <v>8½</v>
      </c>
      <c r="J1778">
        <f>IFERROR(__xludf.DUMMYFUNCTION("""COMPUTED_VALUE"""),54.0)</f>
        <v>54</v>
      </c>
      <c r="K1778" t="str">
        <f>IFERROR(__xludf.DUMMYFUNCTION("""COMPUTED_VALUE"""),"Nick G.")</f>
        <v>Nick G.</v>
      </c>
      <c r="L1778" t="str">
        <f>IFERROR(__xludf.DUMMYFUNCTION("""COMPUTED_VALUE"""),"FINAL")</f>
        <v>FINAL</v>
      </c>
      <c r="M1778" s="124">
        <v>14.0</v>
      </c>
    </row>
    <row r="1779">
      <c r="A1779" s="151">
        <f>IFERROR(__xludf.DUMMYFUNCTION("""COMPUTED_VALUE"""),43800.147749861106)</f>
        <v>43800.14775</v>
      </c>
      <c r="B1779" t="str">
        <f>IFERROR(__xludf.DUMMYFUNCTION("""COMPUTED_VALUE"""),"Josh R.")</f>
        <v>Josh R.</v>
      </c>
      <c r="C1779" s="169" t="str">
        <f>IFERROR(__xludf.DUMMYFUNCTION("""COMPUTED_VALUE"""),"Florida State")</f>
        <v>Florida State</v>
      </c>
      <c r="D1779">
        <f>IFERROR(__xludf.DUMMYFUNCTION("""COMPUTED_VALUE"""),6.0)</f>
        <v>6</v>
      </c>
      <c r="E1779">
        <f>IFERROR(__xludf.DUMMYFUNCTION("""COMPUTED_VALUE"""),6.0)</f>
        <v>6</v>
      </c>
      <c r="F1779" t="str">
        <f>IFERROR(__xludf.DUMMYFUNCTION("""COMPUTED_VALUE"""),"ACC RSN")</f>
        <v>ACC RSN</v>
      </c>
      <c r="G1779" t="str">
        <f>IFERROR(__xludf.DUMMYFUNCTION("""COMPUTED_VALUE"""),"Florida State 17 at (8) Florida 40")</f>
        <v>Florida State 17 at (8) Florida 40</v>
      </c>
      <c r="H1779" t="str">
        <f>IFERROR(__xludf.DUMMYFUNCTION("""COMPUTED_VALUE"""),"FINAL")</f>
        <v>FINAL</v>
      </c>
      <c r="I1779" t="str">
        <f>IFERROR(__xludf.DUMMYFUNCTION("""COMPUTED_VALUE"""),"17½")</f>
        <v>17½</v>
      </c>
      <c r="J1779" t="str">
        <f>IFERROR(__xludf.DUMMYFUNCTION("""COMPUTED_VALUE"""),"53½")</f>
        <v>53½</v>
      </c>
      <c r="K1779" t="str">
        <f>IFERROR(__xludf.DUMMYFUNCTION("""COMPUTED_VALUE"""),"Adam")</f>
        <v>Adam</v>
      </c>
      <c r="L1779" t="str">
        <f>IFERROR(__xludf.DUMMYFUNCTION("""COMPUTED_VALUE"""),"FINAL")</f>
        <v>FINAL</v>
      </c>
      <c r="M1779" s="124">
        <v>14.0</v>
      </c>
    </row>
    <row r="1780">
      <c r="A1780" s="151">
        <f>IFERROR(__xludf.DUMMYFUNCTION("""COMPUTED_VALUE"""),43800.147749861106)</f>
        <v>43800.14775</v>
      </c>
      <c r="B1780" t="str">
        <f>IFERROR(__xludf.DUMMYFUNCTION("""COMPUTED_VALUE"""),"Josh R.")</f>
        <v>Josh R.</v>
      </c>
      <c r="C1780" s="169" t="str">
        <f>IFERROR(__xludf.DUMMYFUNCTION("""COMPUTED_VALUE"""),"Army")</f>
        <v>Army</v>
      </c>
      <c r="D1780">
        <f>IFERROR(__xludf.DUMMYFUNCTION("""COMPUTED_VALUE"""),5.0)</f>
        <v>5</v>
      </c>
      <c r="E1780">
        <f>IFERROR(__xludf.DUMMYFUNCTION("""COMPUTED_VALUE"""),7.0)</f>
        <v>7</v>
      </c>
      <c r="F1780" t="str">
        <f>IFERROR(__xludf.DUMMYFUNCTION("""COMPUTED_VALUE"""),"CBSSN")</f>
        <v>CBSSN</v>
      </c>
      <c r="G1780" t="str">
        <f>IFERROR(__xludf.DUMMYFUNCTION("""COMPUTED_VALUE"""),"Army 31 at Hawaii 52")</f>
        <v>Army 31 at Hawaii 52</v>
      </c>
      <c r="H1780" t="str">
        <f>IFERROR(__xludf.DUMMYFUNCTION("""COMPUTED_VALUE"""),"FINAL")</f>
        <v>FINAL</v>
      </c>
      <c r="I1780" t="str">
        <f>IFERROR(__xludf.DUMMYFUNCTION("""COMPUTED_VALUE"""),"bye")</f>
        <v>bye</v>
      </c>
      <c r="J1780" t="str">
        <f>IFERROR(__xludf.DUMMYFUNCTION("""COMPUTED_VALUE"""),"bye")</f>
        <v>bye</v>
      </c>
      <c r="K1780" t="str">
        <f>IFERROR(__xludf.DUMMYFUNCTION("""COMPUTED_VALUE"""),"Vu")</f>
        <v>Vu</v>
      </c>
      <c r="L1780" t="str">
        <f>IFERROR(__xludf.DUMMYFUNCTION("""COMPUTED_VALUE"""),"FINAL")</f>
        <v>FINAL</v>
      </c>
      <c r="M1780" s="124">
        <v>14.0</v>
      </c>
    </row>
    <row r="1781">
      <c r="A1781" s="151">
        <f>IFERROR(__xludf.DUMMYFUNCTION("""COMPUTED_VALUE"""),43800.147749861106)</f>
        <v>43800.14775</v>
      </c>
      <c r="B1781" t="str">
        <f>IFERROR(__xludf.DUMMYFUNCTION("""COMPUTED_VALUE"""),"Josh R.")</f>
        <v>Josh R.</v>
      </c>
      <c r="C1781" s="169" t="str">
        <f>IFERROR(__xludf.DUMMYFUNCTION("""COMPUTED_VALUE"""),"USC")</f>
        <v>USC</v>
      </c>
      <c r="D1781">
        <f>IFERROR(__xludf.DUMMYFUNCTION("""COMPUTED_VALUE"""),8.0)</f>
        <v>8</v>
      </c>
      <c r="E1781">
        <f>IFERROR(__xludf.DUMMYFUNCTION("""COMPUTED_VALUE"""),4.0)</f>
        <v>4</v>
      </c>
      <c r="F1781" t="str">
        <f>IFERROR(__xludf.DUMMYFUNCTION("""COMPUTED_VALUE"""),"FS1")</f>
        <v>FS1</v>
      </c>
      <c r="G1781" t="str">
        <f>IFERROR(__xludf.DUMMYFUNCTION("""COMPUTED_VALUE"""),"BYE")</f>
        <v>BYE</v>
      </c>
      <c r="I1781" t="str">
        <f>IFERROR(__xludf.DUMMYFUNCTION("""COMPUTED_VALUE"""),"bye")</f>
        <v>bye</v>
      </c>
      <c r="J1781" t="str">
        <f>IFERROR(__xludf.DUMMYFUNCTION("""COMPUTED_VALUE"""),"bye")</f>
        <v>bye</v>
      </c>
      <c r="L1781">
        <f>IFERROR(__xludf.DUMMYFUNCTION("""COMPUTED_VALUE"""),9999.0)</f>
        <v>9999</v>
      </c>
      <c r="M1781" s="124">
        <v>14.0</v>
      </c>
    </row>
    <row r="1782">
      <c r="A1782" s="151">
        <f>IFERROR(__xludf.DUMMYFUNCTION("""COMPUTED_VALUE"""),43800.147749861106)</f>
        <v>43800.14775</v>
      </c>
      <c r="B1782" t="str">
        <f>IFERROR(__xludf.DUMMYFUNCTION("""COMPUTED_VALUE"""),"Brad")</f>
        <v>Brad</v>
      </c>
      <c r="C1782" s="169" t="str">
        <f>IFERROR(__xludf.DUMMYFUNCTION("""COMPUTED_VALUE"""),"EMU")</f>
        <v>EMU</v>
      </c>
      <c r="D1782">
        <f>IFERROR(__xludf.DUMMYFUNCTION("""COMPUTED_VALUE"""),6.0)</f>
        <v>6</v>
      </c>
      <c r="E1782">
        <f>IFERROR(__xludf.DUMMYFUNCTION("""COMPUTED_VALUE"""),6.0)</f>
        <v>6</v>
      </c>
      <c r="F1782" t="str">
        <f>IFERROR(__xludf.DUMMYFUNCTION("""COMPUTED_VALUE"""),"NA")</f>
        <v>NA</v>
      </c>
      <c r="G1782" t="str">
        <f>IFERROR(__xludf.DUMMYFUNCTION("""COMPUTED_VALUE"""),"Kent State 34 at EMU 26")</f>
        <v>Kent State 34 at EMU 26</v>
      </c>
      <c r="H1782" t="str">
        <f>IFERROR(__xludf.DUMMYFUNCTION("""COMPUTED_VALUE"""),"FINAL")</f>
        <v>FINAL</v>
      </c>
      <c r="I1782" t="str">
        <f>IFERROR(__xludf.DUMMYFUNCTION("""COMPUTED_VALUE"""),"-5½")</f>
        <v>-5½</v>
      </c>
      <c r="J1782">
        <f>IFERROR(__xludf.DUMMYFUNCTION("""COMPUTED_VALUE"""),65.0)</f>
        <v>65</v>
      </c>
      <c r="K1782" t="str">
        <f>IFERROR(__xludf.DUMMYFUNCTION("""COMPUTED_VALUE"""),"Vu")</f>
        <v>Vu</v>
      </c>
      <c r="L1782" t="str">
        <f>IFERROR(__xludf.DUMMYFUNCTION("""COMPUTED_VALUE"""),"FINAL")</f>
        <v>FINAL</v>
      </c>
      <c r="M1782" s="124">
        <v>14.0</v>
      </c>
    </row>
    <row r="1783">
      <c r="A1783" s="151">
        <f>IFERROR(__xludf.DUMMYFUNCTION("""COMPUTED_VALUE"""),43800.147749861106)</f>
        <v>43800.14775</v>
      </c>
      <c r="B1783" t="str">
        <f>IFERROR(__xludf.DUMMYFUNCTION("""COMPUTED_VALUE"""),"Brad")</f>
        <v>Brad</v>
      </c>
      <c r="C1783" s="169" t="str">
        <f>IFERROR(__xludf.DUMMYFUNCTION("""COMPUTED_VALUE"""),"Memphis")</f>
        <v>Memphis</v>
      </c>
      <c r="D1783">
        <f>IFERROR(__xludf.DUMMYFUNCTION("""COMPUTED_VALUE"""),11.0)</f>
        <v>11</v>
      </c>
      <c r="E1783">
        <f>IFERROR(__xludf.DUMMYFUNCTION("""COMPUTED_VALUE"""),1.0)</f>
        <v>1</v>
      </c>
      <c r="F1783" t="str">
        <f>IFERROR(__xludf.DUMMYFUNCTION("""COMPUTED_VALUE"""),"ESPN2")</f>
        <v>ESPN2</v>
      </c>
      <c r="G1783" t="str">
        <f>IFERROR(__xludf.DUMMYFUNCTION("""COMPUTED_VALUE"""),"(17) Cincinnati 24 at (18) Memphis 34")</f>
        <v>(17) Cincinnati 24 at (18) Memphis 34</v>
      </c>
      <c r="H1783" t="str">
        <f>IFERROR(__xludf.DUMMYFUNCTION("""COMPUTED_VALUE"""),"FINAL")</f>
        <v>FINAL</v>
      </c>
      <c r="I1783">
        <f>IFERROR(__xludf.DUMMYFUNCTION("""COMPUTED_VALUE"""),-10.0)</f>
        <v>-10</v>
      </c>
      <c r="J1783" t="str">
        <f>IFERROR(__xludf.DUMMYFUNCTION("""COMPUTED_VALUE"""),"57½")</f>
        <v>57½</v>
      </c>
      <c r="K1783" t="str">
        <f>IFERROR(__xludf.DUMMYFUNCTION("""COMPUTED_VALUE"""),"Vu")</f>
        <v>Vu</v>
      </c>
      <c r="L1783" t="str">
        <f>IFERROR(__xludf.DUMMYFUNCTION("""COMPUTED_VALUE"""),"FINAL")</f>
        <v>FINAL</v>
      </c>
      <c r="M1783" s="124">
        <v>14.0</v>
      </c>
    </row>
    <row r="1784">
      <c r="A1784" s="151">
        <f>IFERROR(__xludf.DUMMYFUNCTION("""COMPUTED_VALUE"""),43800.147749861106)</f>
        <v>43800.14775</v>
      </c>
      <c r="B1784" t="str">
        <f>IFERROR(__xludf.DUMMYFUNCTION("""COMPUTED_VALUE"""),"Brad")</f>
        <v>Brad</v>
      </c>
      <c r="C1784" s="169" t="str">
        <f>IFERROR(__xludf.DUMMYFUNCTION("""COMPUTED_VALUE"""),"Colorado State")</f>
        <v>Colorado State</v>
      </c>
      <c r="D1784">
        <f>IFERROR(__xludf.DUMMYFUNCTION("""COMPUTED_VALUE"""),4.0)</f>
        <v>4</v>
      </c>
      <c r="E1784">
        <f>IFERROR(__xludf.DUMMYFUNCTION("""COMPUTED_VALUE"""),8.0)</f>
        <v>8</v>
      </c>
      <c r="F1784" t="str">
        <f>IFERROR(__xludf.DUMMYFUNCTION("""COMPUTED_VALUE"""),"ESPN2")</f>
        <v>ESPN2</v>
      </c>
      <c r="G1784" t="str">
        <f>IFERROR(__xludf.DUMMYFUNCTION("""COMPUTED_VALUE"""),"(19) Boise State 31 at Colorado State 24")</f>
        <v>(19) Boise State 31 at Colorado State 24</v>
      </c>
      <c r="H1784" t="str">
        <f>IFERROR(__xludf.DUMMYFUNCTION("""COMPUTED_VALUE"""),"FINAL")</f>
        <v>FINAL</v>
      </c>
      <c r="I1784" t="str">
        <f>IFERROR(__xludf.DUMMYFUNCTION("""COMPUTED_VALUE"""),"13½")</f>
        <v>13½</v>
      </c>
      <c r="J1784" t="str">
        <f>IFERROR(__xludf.DUMMYFUNCTION("""COMPUTED_VALUE"""),"57½")</f>
        <v>57½</v>
      </c>
      <c r="K1784" t="str">
        <f>IFERROR(__xludf.DUMMYFUNCTION("""COMPUTED_VALUE"""),"Janice/Mike")</f>
        <v>Janice/Mike</v>
      </c>
      <c r="L1784" t="str">
        <f>IFERROR(__xludf.DUMMYFUNCTION("""COMPUTED_VALUE"""),"FINAL")</f>
        <v>FINAL</v>
      </c>
      <c r="M1784" s="124">
        <v>14.0</v>
      </c>
    </row>
    <row r="1785">
      <c r="A1785" s="151">
        <f>IFERROR(__xludf.DUMMYFUNCTION("""COMPUTED_VALUE"""),43800.147749861106)</f>
        <v>43800.14775</v>
      </c>
      <c r="B1785" t="str">
        <f>IFERROR(__xludf.DUMMYFUNCTION("""COMPUTED_VALUE"""),"Brad")</f>
        <v>Brad</v>
      </c>
      <c r="C1785" s="169" t="str">
        <f>IFERROR(__xludf.DUMMYFUNCTION("""COMPUTED_VALUE"""),"South Carolina")</f>
        <v>South Carolina</v>
      </c>
      <c r="D1785">
        <f>IFERROR(__xludf.DUMMYFUNCTION("""COMPUTED_VALUE"""),4.0)</f>
        <v>4</v>
      </c>
      <c r="E1785">
        <f>IFERROR(__xludf.DUMMYFUNCTION("""COMPUTED_VALUE"""),8.0)</f>
        <v>8</v>
      </c>
      <c r="F1785" t="str">
        <f>IFERROR(__xludf.DUMMYFUNCTION("""COMPUTED_VALUE"""),"SEC Network")</f>
        <v>SEC Network</v>
      </c>
      <c r="G1785" t="str">
        <f>IFERROR(__xludf.DUMMYFUNCTION("""COMPUTED_VALUE"""),"(3) Clemson 38 at South Carolina 3")</f>
        <v>(3) Clemson 38 at South Carolina 3</v>
      </c>
      <c r="H1785" t="str">
        <f>IFERROR(__xludf.DUMMYFUNCTION("""COMPUTED_VALUE"""),"FINAL")</f>
        <v>FINAL</v>
      </c>
      <c r="I1785">
        <f>IFERROR(__xludf.DUMMYFUNCTION("""COMPUTED_VALUE"""),27.0)</f>
        <v>27</v>
      </c>
      <c r="J1785" t="str">
        <f>IFERROR(__xludf.DUMMYFUNCTION("""COMPUTED_VALUE"""),"51½")</f>
        <v>51½</v>
      </c>
      <c r="K1785" t="str">
        <f>IFERROR(__xludf.DUMMYFUNCTION("""COMPUTED_VALUE"""),"Nick A.")</f>
        <v>Nick A.</v>
      </c>
      <c r="L1785" t="str">
        <f>IFERROR(__xludf.DUMMYFUNCTION("""COMPUTED_VALUE"""),"FINAL")</f>
        <v>FINAL</v>
      </c>
      <c r="M1785" s="124">
        <v>14.0</v>
      </c>
    </row>
    <row r="1786">
      <c r="A1786" s="151">
        <f>IFERROR(__xludf.DUMMYFUNCTION("""COMPUTED_VALUE"""),43800.147749861106)</f>
        <v>43800.14775</v>
      </c>
      <c r="B1786" t="str">
        <f>IFERROR(__xludf.DUMMYFUNCTION("""COMPUTED_VALUE"""),"Brad")</f>
        <v>Brad</v>
      </c>
      <c r="C1786" s="169" t="str">
        <f>IFERROR(__xludf.DUMMYFUNCTION("""COMPUTED_VALUE"""),"Texas State")</f>
        <v>Texas State</v>
      </c>
      <c r="D1786">
        <f>IFERROR(__xludf.DUMMYFUNCTION("""COMPUTED_VALUE"""),3.0)</f>
        <v>3</v>
      </c>
      <c r="E1786">
        <f>IFERROR(__xludf.DUMMYFUNCTION("""COMPUTED_VALUE"""),9.0)</f>
        <v>9</v>
      </c>
      <c r="F1786" t="str">
        <f>IFERROR(__xludf.DUMMYFUNCTION("""COMPUTED_VALUE"""),"espn3 Video")</f>
        <v>espn3 Video</v>
      </c>
      <c r="G1786" t="str">
        <f>IFERROR(__xludf.DUMMYFUNCTION("""COMPUTED_VALUE"""),"Texas State 21 at Coastal Carolina 24")</f>
        <v>Texas State 21 at Coastal Carolina 24</v>
      </c>
      <c r="H1786" t="str">
        <f>IFERROR(__xludf.DUMMYFUNCTION("""COMPUTED_VALUE"""),"FINAL")</f>
        <v>FINAL</v>
      </c>
      <c r="I1786">
        <f>IFERROR(__xludf.DUMMYFUNCTION("""COMPUTED_VALUE"""),7.0)</f>
        <v>7</v>
      </c>
      <c r="J1786" t="str">
        <f>IFERROR(__xludf.DUMMYFUNCTION("""COMPUTED_VALUE"""),"53½")</f>
        <v>53½</v>
      </c>
      <c r="K1786" t="str">
        <f>IFERROR(__xludf.DUMMYFUNCTION("""COMPUTED_VALUE"""),"DavEmily")</f>
        <v>DavEmily</v>
      </c>
      <c r="L1786" t="str">
        <f>IFERROR(__xludf.DUMMYFUNCTION("""COMPUTED_VALUE"""),"FINAL")</f>
        <v>FINAL</v>
      </c>
      <c r="M1786" s="124">
        <v>14.0</v>
      </c>
    </row>
    <row r="1787">
      <c r="A1787" s="151">
        <f>IFERROR(__xludf.DUMMYFUNCTION("""COMPUTED_VALUE"""),43800.147749861106)</f>
        <v>43800.14775</v>
      </c>
      <c r="B1787" t="str">
        <f>IFERROR(__xludf.DUMMYFUNCTION("""COMPUTED_VALUE"""),"Brad")</f>
        <v>Brad</v>
      </c>
      <c r="C1787" s="169" t="str">
        <f>IFERROR(__xludf.DUMMYFUNCTION("""COMPUTED_VALUE"""),"Indiana")</f>
        <v>Indiana</v>
      </c>
      <c r="D1787">
        <f>IFERROR(__xludf.DUMMYFUNCTION("""COMPUTED_VALUE"""),8.0)</f>
        <v>8</v>
      </c>
      <c r="E1787">
        <f>IFERROR(__xludf.DUMMYFUNCTION("""COMPUTED_VALUE"""),4.0)</f>
        <v>4</v>
      </c>
      <c r="F1787" t="str">
        <f>IFERROR(__xludf.DUMMYFUNCTION("""COMPUTED_VALUE"""),"ABC")</f>
        <v>ABC</v>
      </c>
      <c r="G1787" t="str">
        <f>IFERROR(__xludf.DUMMYFUNCTION("""COMPUTED_VALUE"""),"Indiana 44 at Purdue 41")</f>
        <v>Indiana 44 at Purdue 41</v>
      </c>
      <c r="H1787" t="str">
        <f>IFERROR(__xludf.DUMMYFUNCTION("""COMPUTED_VALUE"""),"FINAL - 2ND OT")</f>
        <v>FINAL - 2ND OT</v>
      </c>
      <c r="I1787">
        <f>IFERROR(__xludf.DUMMYFUNCTION("""COMPUTED_VALUE"""),-7.0)</f>
        <v>-7</v>
      </c>
      <c r="J1787">
        <f>IFERROR(__xludf.DUMMYFUNCTION("""COMPUTED_VALUE"""),55.0)</f>
        <v>55</v>
      </c>
      <c r="K1787" t="str">
        <f>IFERROR(__xludf.DUMMYFUNCTION("""COMPUTED_VALUE"""),"Nico")</f>
        <v>Nico</v>
      </c>
      <c r="L1787" t="str">
        <f>IFERROR(__xludf.DUMMYFUNCTION("""COMPUTED_VALUE"""),"FINAL - 2ND OT")</f>
        <v>FINAL - 2ND OT</v>
      </c>
      <c r="M1787" s="124">
        <v>14.0</v>
      </c>
    </row>
    <row r="1788">
      <c r="A1788" s="151">
        <f>IFERROR(__xludf.DUMMYFUNCTION("""COMPUTED_VALUE"""),43800.147749861106)</f>
        <v>43800.14775</v>
      </c>
      <c r="B1788" t="str">
        <f>IFERROR(__xludf.DUMMYFUNCTION("""COMPUTED_VALUE"""),"Brad")</f>
        <v>Brad</v>
      </c>
      <c r="C1788" s="169" t="str">
        <f>IFERROR(__xludf.DUMMYFUNCTION("""COMPUTED_VALUE"""),"Louisiana Tech")</f>
        <v>Louisiana Tech</v>
      </c>
      <c r="D1788">
        <f>IFERROR(__xludf.DUMMYFUNCTION("""COMPUTED_VALUE"""),9.0)</f>
        <v>9</v>
      </c>
      <c r="E1788">
        <f>IFERROR(__xludf.DUMMYFUNCTION("""COMPUTED_VALUE"""),3.0)</f>
        <v>3</v>
      </c>
      <c r="F1788" t="str">
        <f>IFERROR(__xludf.DUMMYFUNCTION("""COMPUTED_VALUE"""),"CBSSN")</f>
        <v>CBSSN</v>
      </c>
      <c r="G1788" t="str">
        <f>IFERROR(__xludf.DUMMYFUNCTION("""COMPUTED_VALUE"""),"UTSA 27 at Louisiana Tech 41")</f>
        <v>UTSA 27 at Louisiana Tech 41</v>
      </c>
      <c r="H1788" t="str">
        <f>IFERROR(__xludf.DUMMYFUNCTION("""COMPUTED_VALUE"""),"FINAL")</f>
        <v>FINAL</v>
      </c>
      <c r="I1788">
        <f>IFERROR(__xludf.DUMMYFUNCTION("""COMPUTED_VALUE"""),-20.0)</f>
        <v>-20</v>
      </c>
      <c r="J1788">
        <f>IFERROR(__xludf.DUMMYFUNCTION("""COMPUTED_VALUE"""),55.0)</f>
        <v>55</v>
      </c>
      <c r="K1788" t="str">
        <f>IFERROR(__xludf.DUMMYFUNCTION("""COMPUTED_VALUE"""),"DavEmily")</f>
        <v>DavEmily</v>
      </c>
      <c r="L1788" t="str">
        <f>IFERROR(__xludf.DUMMYFUNCTION("""COMPUTED_VALUE"""),"FINAL")</f>
        <v>FINAL</v>
      </c>
      <c r="M1788" s="124">
        <v>14.0</v>
      </c>
    </row>
    <row r="1789">
      <c r="A1789" s="151">
        <f>IFERROR(__xludf.DUMMYFUNCTION("""COMPUTED_VALUE"""),43800.147749861106)</f>
        <v>43800.14775</v>
      </c>
      <c r="B1789" t="str">
        <f>IFERROR(__xludf.DUMMYFUNCTION("""COMPUTED_VALUE"""),"Brad")</f>
        <v>Brad</v>
      </c>
      <c r="C1789" s="169" t="str">
        <f>IFERROR(__xludf.DUMMYFUNCTION("""COMPUTED_VALUE"""),"Miami")</f>
        <v>Miami</v>
      </c>
      <c r="D1789">
        <f>IFERROR(__xludf.DUMMYFUNCTION("""COMPUTED_VALUE"""),6.0)</f>
        <v>6</v>
      </c>
      <c r="E1789">
        <f>IFERROR(__xludf.DUMMYFUNCTION("""COMPUTED_VALUE"""),6.0)</f>
        <v>6</v>
      </c>
      <c r="F1789" t="str">
        <f>IFERROR(__xludf.DUMMYFUNCTION("""COMPUTED_VALUE"""),"NA")</f>
        <v>NA</v>
      </c>
      <c r="G1789" t="str">
        <f>IFERROR(__xludf.DUMMYFUNCTION("""COMPUTED_VALUE"""),"Miami 17 at Duke 27")</f>
        <v>Miami 17 at Duke 27</v>
      </c>
      <c r="H1789" t="str">
        <f>IFERROR(__xludf.DUMMYFUNCTION("""COMPUTED_VALUE"""),"FINAL")</f>
        <v>FINAL</v>
      </c>
      <c r="I1789">
        <f>IFERROR(__xludf.DUMMYFUNCTION("""COMPUTED_VALUE"""),-9.0)</f>
        <v>-9</v>
      </c>
      <c r="J1789" t="str">
        <f>IFERROR(__xludf.DUMMYFUNCTION("""COMPUTED_VALUE"""),"47½")</f>
        <v>47½</v>
      </c>
      <c r="K1789" t="str">
        <f>IFERROR(__xludf.DUMMYFUNCTION("""COMPUTED_VALUE"""),"Justin")</f>
        <v>Justin</v>
      </c>
      <c r="L1789" t="str">
        <f>IFERROR(__xludf.DUMMYFUNCTION("""COMPUTED_VALUE"""),"FINAL")</f>
        <v>FINAL</v>
      </c>
      <c r="M1789" s="124">
        <v>14.0</v>
      </c>
    </row>
    <row r="1790">
      <c r="A1790" s="151">
        <f>IFERROR(__xludf.DUMMYFUNCTION("""COMPUTED_VALUE"""),43800.147749861106)</f>
        <v>43800.14775</v>
      </c>
      <c r="B1790" t="str">
        <f>IFERROR(__xludf.DUMMYFUNCTION("""COMPUTED_VALUE"""),"Brad")</f>
        <v>Brad</v>
      </c>
      <c r="C1790" s="169" t="str">
        <f>IFERROR(__xludf.DUMMYFUNCTION("""COMPUTED_VALUE"""),"Utah")</f>
        <v>Utah</v>
      </c>
      <c r="D1790">
        <f>IFERROR(__xludf.DUMMYFUNCTION("""COMPUTED_VALUE"""),11.0)</f>
        <v>11</v>
      </c>
      <c r="E1790">
        <f>IFERROR(__xludf.DUMMYFUNCTION("""COMPUTED_VALUE"""),1.0)</f>
        <v>1</v>
      </c>
      <c r="F1790" t="str">
        <f>IFERROR(__xludf.DUMMYFUNCTION("""COMPUTED_VALUE"""),"FOX")</f>
        <v>FOX</v>
      </c>
      <c r="G1790" t="str">
        <f>IFERROR(__xludf.DUMMYFUNCTION("""COMPUTED_VALUE"""),"Colorado 15 at (6) Utah 45")</f>
        <v>Colorado 15 at (6) Utah 45</v>
      </c>
      <c r="H1790" t="str">
        <f>IFERROR(__xludf.DUMMYFUNCTION("""COMPUTED_VALUE"""),"FINAL")</f>
        <v>FINAL</v>
      </c>
      <c r="I1790">
        <f>IFERROR(__xludf.DUMMYFUNCTION("""COMPUTED_VALUE"""),-29.0)</f>
        <v>-29</v>
      </c>
      <c r="J1790">
        <f>IFERROR(__xludf.DUMMYFUNCTION("""COMPUTED_VALUE"""),49.0)</f>
        <v>49</v>
      </c>
      <c r="K1790" t="str">
        <f>IFERROR(__xludf.DUMMYFUNCTION("""COMPUTED_VALUE"""),"Jeannine")</f>
        <v>Jeannine</v>
      </c>
      <c r="L1790" t="str">
        <f>IFERROR(__xludf.DUMMYFUNCTION("""COMPUTED_VALUE"""),"FINAL")</f>
        <v>FINAL</v>
      </c>
      <c r="M1790" s="124">
        <v>14.0</v>
      </c>
    </row>
    <row r="1791">
      <c r="A1791" s="151">
        <f>IFERROR(__xludf.DUMMYFUNCTION("""COMPUTED_VALUE"""),43800.147749861106)</f>
        <v>43800.14775</v>
      </c>
      <c r="B1791" t="str">
        <f>IFERROR(__xludf.DUMMYFUNCTION("""COMPUTED_VALUE"""),"Brad")</f>
        <v>Brad</v>
      </c>
      <c r="C1791" s="169" t="str">
        <f>IFERROR(__xludf.DUMMYFUNCTION("""COMPUTED_VALUE"""),"Oklahoma State")</f>
        <v>Oklahoma State</v>
      </c>
      <c r="D1791">
        <f>IFERROR(__xludf.DUMMYFUNCTION("""COMPUTED_VALUE"""),8.0)</f>
        <v>8</v>
      </c>
      <c r="E1791">
        <f>IFERROR(__xludf.DUMMYFUNCTION("""COMPUTED_VALUE"""),4.0)</f>
        <v>4</v>
      </c>
      <c r="F1791" t="str">
        <f>IFERROR(__xludf.DUMMYFUNCTION("""COMPUTED_VALUE"""),"FS1")</f>
        <v>FS1</v>
      </c>
      <c r="G1791" t="str">
        <f>IFERROR(__xludf.DUMMYFUNCTION("""COMPUTED_VALUE"""),"(7) Oklahoma 34 at (21) Oklahoma State 16")</f>
        <v>(7) Oklahoma 34 at (21) Oklahoma State 16</v>
      </c>
      <c r="H1791" t="str">
        <f>IFERROR(__xludf.DUMMYFUNCTION("""COMPUTED_VALUE"""),"FINAL")</f>
        <v>FINAL</v>
      </c>
      <c r="I1791" t="str">
        <f>IFERROR(__xludf.DUMMYFUNCTION("""COMPUTED_VALUE"""),"13½")</f>
        <v>13½</v>
      </c>
      <c r="J1791" t="str">
        <f>IFERROR(__xludf.DUMMYFUNCTION("""COMPUTED_VALUE"""),"69½")</f>
        <v>69½</v>
      </c>
      <c r="K1791" t="str">
        <f>IFERROR(__xludf.DUMMYFUNCTION("""COMPUTED_VALUE"""),"Jeannine")</f>
        <v>Jeannine</v>
      </c>
      <c r="L1791" t="str">
        <f>IFERROR(__xludf.DUMMYFUNCTION("""COMPUTED_VALUE"""),"FINAL")</f>
        <v>FINAL</v>
      </c>
      <c r="M1791" s="124">
        <v>14.0</v>
      </c>
    </row>
    <row r="1792">
      <c r="A1792" s="151">
        <f>IFERROR(__xludf.DUMMYFUNCTION("""COMPUTED_VALUE"""),43800.147749861106)</f>
        <v>43800.14775</v>
      </c>
      <c r="B1792" t="str">
        <f>IFERROR(__xludf.DUMMYFUNCTION("""COMPUTED_VALUE"""),"Nick G.")</f>
        <v>Nick G.</v>
      </c>
      <c r="C1792" s="169" t="str">
        <f>IFERROR(__xludf.DUMMYFUNCTION("""COMPUTED_VALUE"""),"Central Michigan")</f>
        <v>Central Michigan</v>
      </c>
      <c r="D1792">
        <f>IFERROR(__xludf.DUMMYFUNCTION("""COMPUTED_VALUE"""),8.0)</f>
        <v>8</v>
      </c>
      <c r="E1792">
        <f>IFERROR(__xludf.DUMMYFUNCTION("""COMPUTED_VALUE"""),4.0)</f>
        <v>4</v>
      </c>
      <c r="F1792" t="str">
        <f>IFERROR(__xludf.DUMMYFUNCTION("""COMPUTED_VALUE"""),"CBSSN")</f>
        <v>CBSSN</v>
      </c>
      <c r="G1792" t="str">
        <f>IFERROR(__xludf.DUMMYFUNCTION("""COMPUTED_VALUE"""),"Toledo 7 at Central Michigan 49")</f>
        <v>Toledo 7 at Central Michigan 49</v>
      </c>
      <c r="H1792" t="str">
        <f>IFERROR(__xludf.DUMMYFUNCTION("""COMPUTED_VALUE"""),"FINAL")</f>
        <v>FINAL</v>
      </c>
      <c r="I1792" t="str">
        <f>IFERROR(__xludf.DUMMYFUNCTION("""COMPUTED_VALUE"""),"-9½")</f>
        <v>-9½</v>
      </c>
      <c r="J1792">
        <f>IFERROR(__xludf.DUMMYFUNCTION("""COMPUTED_VALUE"""),65.0)</f>
        <v>65</v>
      </c>
      <c r="K1792" t="str">
        <f>IFERROR(__xludf.DUMMYFUNCTION("""COMPUTED_VALUE"""),"Josh R.")</f>
        <v>Josh R.</v>
      </c>
      <c r="L1792" t="str">
        <f>IFERROR(__xludf.DUMMYFUNCTION("""COMPUTED_VALUE"""),"FINAL")</f>
        <v>FINAL</v>
      </c>
      <c r="M1792" s="124">
        <v>14.0</v>
      </c>
    </row>
    <row r="1793">
      <c r="A1793" s="151">
        <f>IFERROR(__xludf.DUMMYFUNCTION("""COMPUTED_VALUE"""),43800.147749861106)</f>
        <v>43800.14775</v>
      </c>
      <c r="B1793" t="str">
        <f>IFERROR(__xludf.DUMMYFUNCTION("""COMPUTED_VALUE"""),"Nick G.")</f>
        <v>Nick G.</v>
      </c>
      <c r="C1793" s="169" t="str">
        <f>IFERROR(__xludf.DUMMYFUNCTION("""COMPUTED_VALUE"""),"Troy")</f>
        <v>Troy</v>
      </c>
      <c r="D1793">
        <f>IFERROR(__xludf.DUMMYFUNCTION("""COMPUTED_VALUE"""),5.0)</f>
        <v>5</v>
      </c>
      <c r="E1793">
        <f>IFERROR(__xludf.DUMMYFUNCTION("""COMPUTED_VALUE"""),7.0)</f>
        <v>7</v>
      </c>
      <c r="F1793" t="str">
        <f>IFERROR(__xludf.DUMMYFUNCTION("""COMPUTED_VALUE"""),"espn3 Video")</f>
        <v>espn3 Video</v>
      </c>
      <c r="G1793" t="str">
        <f>IFERROR(__xludf.DUMMYFUNCTION("""COMPUTED_VALUE"""),"(22) Appalachian State 48 at Troy 13")</f>
        <v>(22) Appalachian State 48 at Troy 13</v>
      </c>
      <c r="H1793" t="str">
        <f>IFERROR(__xludf.DUMMYFUNCTION("""COMPUTED_VALUE"""),"FINAL")</f>
        <v>FINAL</v>
      </c>
      <c r="I1793">
        <f>IFERROR(__xludf.DUMMYFUNCTION("""COMPUTED_VALUE"""),13.0)</f>
        <v>13</v>
      </c>
      <c r="J1793">
        <f>IFERROR(__xludf.DUMMYFUNCTION("""COMPUTED_VALUE"""),64.0)</f>
        <v>64</v>
      </c>
      <c r="K1793" t="str">
        <f>IFERROR(__xludf.DUMMYFUNCTION("""COMPUTED_VALUE"""),"Justin")</f>
        <v>Justin</v>
      </c>
      <c r="L1793" t="str">
        <f>IFERROR(__xludf.DUMMYFUNCTION("""COMPUTED_VALUE"""),"FINAL")</f>
        <v>FINAL</v>
      </c>
      <c r="M1793" s="124">
        <v>14.0</v>
      </c>
    </row>
    <row r="1794">
      <c r="A1794" s="151">
        <f>IFERROR(__xludf.DUMMYFUNCTION("""COMPUTED_VALUE"""),43800.147749861106)</f>
        <v>43800.14775</v>
      </c>
      <c r="B1794" t="str">
        <f>IFERROR(__xludf.DUMMYFUNCTION("""COMPUTED_VALUE"""),"Nick G.")</f>
        <v>Nick G.</v>
      </c>
      <c r="C1794" s="169" t="str">
        <f>IFERROR(__xludf.DUMMYFUNCTION("""COMPUTED_VALUE"""),"Ohio State")</f>
        <v>Ohio State</v>
      </c>
      <c r="D1794">
        <f>IFERROR(__xludf.DUMMYFUNCTION("""COMPUTED_VALUE"""),12.0)</f>
        <v>12</v>
      </c>
      <c r="E1794">
        <f>IFERROR(__xludf.DUMMYFUNCTION("""COMPUTED_VALUE"""),0.0)</f>
        <v>0</v>
      </c>
      <c r="F1794" t="str">
        <f>IFERROR(__xludf.DUMMYFUNCTION("""COMPUTED_VALUE"""),"BTN")</f>
        <v>BTN</v>
      </c>
      <c r="G1794" t="str">
        <f>IFERROR(__xludf.DUMMYFUNCTION("""COMPUTED_VALUE"""),"(2) Ohio State 56 at (11) Michigan 27")</f>
        <v>(2) Ohio State 56 at (11) Michigan 27</v>
      </c>
      <c r="H1794" t="str">
        <f>IFERROR(__xludf.DUMMYFUNCTION("""COMPUTED_VALUE"""),"FINAL")</f>
        <v>FINAL</v>
      </c>
      <c r="I1794" t="str">
        <f>IFERROR(__xludf.DUMMYFUNCTION("""COMPUTED_VALUE"""),"-9½")</f>
        <v>-9½</v>
      </c>
      <c r="J1794">
        <f>IFERROR(__xludf.DUMMYFUNCTION("""COMPUTED_VALUE"""),51.0)</f>
        <v>51</v>
      </c>
      <c r="K1794" t="str">
        <f>IFERROR(__xludf.DUMMYFUNCTION("""COMPUTED_VALUE"""),"Vu")</f>
        <v>Vu</v>
      </c>
      <c r="L1794" t="str">
        <f>IFERROR(__xludf.DUMMYFUNCTION("""COMPUTED_VALUE"""),"FINAL")</f>
        <v>FINAL</v>
      </c>
      <c r="M1794" s="124">
        <v>14.0</v>
      </c>
    </row>
    <row r="1795">
      <c r="A1795" s="151">
        <f>IFERROR(__xludf.DUMMYFUNCTION("""COMPUTED_VALUE"""),43800.147749861106)</f>
        <v>43800.14775</v>
      </c>
      <c r="B1795" t="str">
        <f>IFERROR(__xludf.DUMMYFUNCTION("""COMPUTED_VALUE"""),"Nick G.")</f>
        <v>Nick G.</v>
      </c>
      <c r="C1795" s="169" t="str">
        <f>IFERROR(__xludf.DUMMYFUNCTION("""COMPUTED_VALUE"""),"Wyoming")</f>
        <v>Wyoming</v>
      </c>
      <c r="D1795">
        <f>IFERROR(__xludf.DUMMYFUNCTION("""COMPUTED_VALUE"""),7.0)</f>
        <v>7</v>
      </c>
      <c r="E1795">
        <f>IFERROR(__xludf.DUMMYFUNCTION("""COMPUTED_VALUE"""),5.0)</f>
        <v>5</v>
      </c>
      <c r="F1795" t="str">
        <f>IFERROR(__xludf.DUMMYFUNCTION("""COMPUTED_VALUE"""),"ESPNU")</f>
        <v>ESPNU</v>
      </c>
      <c r="G1795" t="str">
        <f>IFERROR(__xludf.DUMMYFUNCTION("""COMPUTED_VALUE"""),"Wyoming 6 at Air Force 20")</f>
        <v>Wyoming 6 at Air Force 20</v>
      </c>
      <c r="H1795" t="str">
        <f>IFERROR(__xludf.DUMMYFUNCTION("""COMPUTED_VALUE"""),"FINAL")</f>
        <v>FINAL</v>
      </c>
      <c r="I1795" t="str">
        <f>IFERROR(__xludf.DUMMYFUNCTION("""COMPUTED_VALUE"""),"10½")</f>
        <v>10½</v>
      </c>
      <c r="J1795">
        <f>IFERROR(__xludf.DUMMYFUNCTION("""COMPUTED_VALUE"""),43.0)</f>
        <v>43</v>
      </c>
      <c r="K1795" t="str">
        <f>IFERROR(__xludf.DUMMYFUNCTION("""COMPUTED_VALUE"""),"Adam")</f>
        <v>Adam</v>
      </c>
      <c r="L1795" t="str">
        <f>IFERROR(__xludf.DUMMYFUNCTION("""COMPUTED_VALUE"""),"FINAL")</f>
        <v>FINAL</v>
      </c>
      <c r="M1795" s="124">
        <v>14.0</v>
      </c>
    </row>
    <row r="1796">
      <c r="A1796" s="151">
        <f>IFERROR(__xludf.DUMMYFUNCTION("""COMPUTED_VALUE"""),43800.147749861106)</f>
        <v>43800.14775</v>
      </c>
      <c r="B1796" t="str">
        <f>IFERROR(__xludf.DUMMYFUNCTION("""COMPUTED_VALUE"""),"Nick G.")</f>
        <v>Nick G.</v>
      </c>
      <c r="C1796" s="169" t="str">
        <f>IFERROR(__xludf.DUMMYFUNCTION("""COMPUTED_VALUE"""),"Auburn")</f>
        <v>Auburn</v>
      </c>
      <c r="D1796">
        <f>IFERROR(__xludf.DUMMYFUNCTION("""COMPUTED_VALUE"""),9.0)</f>
        <v>9</v>
      </c>
      <c r="E1796">
        <f>IFERROR(__xludf.DUMMYFUNCTION("""COMPUTED_VALUE"""),3.0)</f>
        <v>3</v>
      </c>
      <c r="F1796" t="str">
        <f>IFERROR(__xludf.DUMMYFUNCTION("""COMPUTED_VALUE"""),"CBS")</f>
        <v>CBS</v>
      </c>
      <c r="G1796" t="str">
        <f>IFERROR(__xludf.DUMMYFUNCTION("""COMPUTED_VALUE"""),"(5) Alabama 45 at (16) Auburn 48")</f>
        <v>(5) Alabama 45 at (16) Auburn 48</v>
      </c>
      <c r="H1796" t="str">
        <f>IFERROR(__xludf.DUMMYFUNCTION("""COMPUTED_VALUE"""),"FINAL")</f>
        <v>FINAL</v>
      </c>
      <c r="I1796" t="str">
        <f>IFERROR(__xludf.DUMMYFUNCTION("""COMPUTED_VALUE"""),"3½")</f>
        <v>3½</v>
      </c>
      <c r="J1796">
        <f>IFERROR(__xludf.DUMMYFUNCTION("""COMPUTED_VALUE"""),50.0)</f>
        <v>50</v>
      </c>
      <c r="K1796" t="str">
        <f>IFERROR(__xludf.DUMMYFUNCTION("""COMPUTED_VALUE"""),"DavEmily")</f>
        <v>DavEmily</v>
      </c>
      <c r="L1796" t="str">
        <f>IFERROR(__xludf.DUMMYFUNCTION("""COMPUTED_VALUE"""),"FINAL")</f>
        <v>FINAL</v>
      </c>
      <c r="M1796" s="124">
        <v>14.0</v>
      </c>
    </row>
    <row r="1797">
      <c r="A1797" s="151">
        <f>IFERROR(__xludf.DUMMYFUNCTION("""COMPUTED_VALUE"""),43800.147749861106)</f>
        <v>43800.14775</v>
      </c>
      <c r="B1797" t="str">
        <f>IFERROR(__xludf.DUMMYFUNCTION("""COMPUTED_VALUE"""),"Nick G.")</f>
        <v>Nick G.</v>
      </c>
      <c r="C1797" s="169" t="str">
        <f>IFERROR(__xludf.DUMMYFUNCTION("""COMPUTED_VALUE"""),"UConn")</f>
        <v>UConn</v>
      </c>
      <c r="D1797">
        <f>IFERROR(__xludf.DUMMYFUNCTION("""COMPUTED_VALUE"""),2.0)</f>
        <v>2</v>
      </c>
      <c r="E1797">
        <f>IFERROR(__xludf.DUMMYFUNCTION("""COMPUTED_VALUE"""),10.0)</f>
        <v>10</v>
      </c>
      <c r="F1797" t="str">
        <f>IFERROR(__xludf.DUMMYFUNCTION("""COMPUTED_VALUE"""),"NA")</f>
        <v>NA</v>
      </c>
      <c r="G1797" t="str">
        <f>IFERROR(__xludf.DUMMYFUNCTION("""COMPUTED_VALUE"""),"UConn 17 at Temple 49")</f>
        <v>UConn 17 at Temple 49</v>
      </c>
      <c r="H1797" t="str">
        <f>IFERROR(__xludf.DUMMYFUNCTION("""COMPUTED_VALUE"""),"FINAL")</f>
        <v>FINAL</v>
      </c>
      <c r="I1797">
        <f>IFERROR(__xludf.DUMMYFUNCTION("""COMPUTED_VALUE"""),28.0)</f>
        <v>28</v>
      </c>
      <c r="J1797">
        <f>IFERROR(__xludf.DUMMYFUNCTION("""COMPUTED_VALUE"""),50.0)</f>
        <v>50</v>
      </c>
      <c r="K1797" t="str">
        <f>IFERROR(__xludf.DUMMYFUNCTION("""COMPUTED_VALUE"""),"Josh R.")</f>
        <v>Josh R.</v>
      </c>
      <c r="L1797" t="str">
        <f>IFERROR(__xludf.DUMMYFUNCTION("""COMPUTED_VALUE"""),"FINAL")</f>
        <v>FINAL</v>
      </c>
      <c r="M1797" s="124">
        <v>14.0</v>
      </c>
    </row>
    <row r="1798">
      <c r="A1798" s="151">
        <f>IFERROR(__xludf.DUMMYFUNCTION("""COMPUTED_VALUE"""),43800.147749861106)</f>
        <v>43800.14775</v>
      </c>
      <c r="B1798" t="str">
        <f>IFERROR(__xludf.DUMMYFUNCTION("""COMPUTED_VALUE"""),"Nick G.")</f>
        <v>Nick G.</v>
      </c>
      <c r="C1798" s="169" t="str">
        <f>IFERROR(__xludf.DUMMYFUNCTION("""COMPUTED_VALUE"""),"Florida Atlantic")</f>
        <v>Florida Atlantic</v>
      </c>
      <c r="D1798">
        <f>IFERROR(__xludf.DUMMYFUNCTION("""COMPUTED_VALUE"""),9.0)</f>
        <v>9</v>
      </c>
      <c r="E1798">
        <f>IFERROR(__xludf.DUMMYFUNCTION("""COMPUTED_VALUE"""),3.0)</f>
        <v>3</v>
      </c>
      <c r="F1798" t="str">
        <f>IFERROR(__xludf.DUMMYFUNCTION("""COMPUTED_VALUE"""),"NA")</f>
        <v>NA</v>
      </c>
      <c r="G1798" t="str">
        <f>IFERROR(__xludf.DUMMYFUNCTION("""COMPUTED_VALUE"""),"Southern Mississippi 17 at Florida Atlantic 34")</f>
        <v>Southern Mississippi 17 at Florida Atlantic 34</v>
      </c>
      <c r="H1798" t="str">
        <f>IFERROR(__xludf.DUMMYFUNCTION("""COMPUTED_VALUE"""),"FINAL")</f>
        <v>FINAL</v>
      </c>
      <c r="I1798" t="str">
        <f>IFERROR(__xludf.DUMMYFUNCTION("""COMPUTED_VALUE"""),"-8½")</f>
        <v>-8½</v>
      </c>
      <c r="J1798">
        <f>IFERROR(__xludf.DUMMYFUNCTION("""COMPUTED_VALUE"""),54.0)</f>
        <v>54</v>
      </c>
      <c r="K1798" t="str">
        <f>IFERROR(__xludf.DUMMYFUNCTION("""COMPUTED_VALUE"""),"Josh R.")</f>
        <v>Josh R.</v>
      </c>
      <c r="L1798" t="str">
        <f>IFERROR(__xludf.DUMMYFUNCTION("""COMPUTED_VALUE"""),"FINAL")</f>
        <v>FINAL</v>
      </c>
      <c r="M1798" s="124">
        <v>14.0</v>
      </c>
    </row>
    <row r="1799">
      <c r="A1799" s="151">
        <f>IFERROR(__xludf.DUMMYFUNCTION("""COMPUTED_VALUE"""),43800.147749861106)</f>
        <v>43800.14775</v>
      </c>
      <c r="B1799" t="str">
        <f>IFERROR(__xludf.DUMMYFUNCTION("""COMPUTED_VALUE"""),"Nick G.")</f>
        <v>Nick G.</v>
      </c>
      <c r="C1799" s="169" t="str">
        <f>IFERROR(__xludf.DUMMYFUNCTION("""COMPUTED_VALUE"""),"Stanford")</f>
        <v>Stanford</v>
      </c>
      <c r="D1799">
        <f>IFERROR(__xludf.DUMMYFUNCTION("""COMPUTED_VALUE"""),4.0)</f>
        <v>4</v>
      </c>
      <c r="E1799">
        <f>IFERROR(__xludf.DUMMYFUNCTION("""COMPUTED_VALUE"""),8.0)</f>
        <v>8</v>
      </c>
      <c r="F1799" t="str">
        <f>IFERROR(__xludf.DUMMYFUNCTION("""COMPUTED_VALUE"""),"Pac-12")</f>
        <v>Pac-12</v>
      </c>
      <c r="G1799" t="str">
        <f>IFERROR(__xludf.DUMMYFUNCTION("""COMPUTED_VALUE"""),"(15) Notre Dame 45 at Stanford 24")</f>
        <v>(15) Notre Dame 45 at Stanford 24</v>
      </c>
      <c r="H1799" t="str">
        <f>IFERROR(__xludf.DUMMYFUNCTION("""COMPUTED_VALUE"""),"FINAL")</f>
        <v>FINAL</v>
      </c>
      <c r="I1799" t="str">
        <f>IFERROR(__xludf.DUMMYFUNCTION("""COMPUTED_VALUE"""),"16½")</f>
        <v>16½</v>
      </c>
      <c r="J1799" t="str">
        <f>IFERROR(__xludf.DUMMYFUNCTION("""COMPUTED_VALUE"""),"51½")</f>
        <v>51½</v>
      </c>
      <c r="K1799" t="str">
        <f>IFERROR(__xludf.DUMMYFUNCTION("""COMPUTED_VALUE"""),"DavEmily")</f>
        <v>DavEmily</v>
      </c>
      <c r="L1799" t="str">
        <f>IFERROR(__xludf.DUMMYFUNCTION("""COMPUTED_VALUE"""),"FINAL")</f>
        <v>FINAL</v>
      </c>
      <c r="M1799" s="124">
        <v>14.0</v>
      </c>
    </row>
    <row r="1800">
      <c r="A1800" s="151">
        <f>IFERROR(__xludf.DUMMYFUNCTION("""COMPUTED_VALUE"""),43800.147749861106)</f>
        <v>43800.14775</v>
      </c>
      <c r="B1800" t="str">
        <f>IFERROR(__xludf.DUMMYFUNCTION("""COMPUTED_VALUE"""),"Nick G.")</f>
        <v>Nick G.</v>
      </c>
      <c r="C1800" s="169" t="str">
        <f>IFERROR(__xludf.DUMMYFUNCTION("""COMPUTED_VALUE"""),"Kansas State")</f>
        <v>Kansas State</v>
      </c>
      <c r="D1800">
        <f>IFERROR(__xludf.DUMMYFUNCTION("""COMPUTED_VALUE"""),8.0)</f>
        <v>8</v>
      </c>
      <c r="E1800">
        <f>IFERROR(__xludf.DUMMYFUNCTION("""COMPUTED_VALUE"""),4.0)</f>
        <v>4</v>
      </c>
      <c r="F1800" t="str">
        <f>IFERROR(__xludf.DUMMYFUNCTION("""COMPUTED_VALUE"""),"ESPN")</f>
        <v>ESPN</v>
      </c>
      <c r="G1800" t="str">
        <f>IFERROR(__xludf.DUMMYFUNCTION("""COMPUTED_VALUE"""),"Iowa State 17 at Kansas State 27")</f>
        <v>Iowa State 17 at Kansas State 27</v>
      </c>
      <c r="H1800" t="str">
        <f>IFERROR(__xludf.DUMMYFUNCTION("""COMPUTED_VALUE"""),"FINAL")</f>
        <v>FINAL</v>
      </c>
      <c r="I1800" t="str">
        <f>IFERROR(__xludf.DUMMYFUNCTION("""COMPUTED_VALUE"""),"5½")</f>
        <v>5½</v>
      </c>
      <c r="J1800">
        <f>IFERROR(__xludf.DUMMYFUNCTION("""COMPUTED_VALUE"""),47.0)</f>
        <v>47</v>
      </c>
      <c r="K1800" t="str">
        <f>IFERROR(__xludf.DUMMYFUNCTION("""COMPUTED_VALUE"""),"Nick A.")</f>
        <v>Nick A.</v>
      </c>
      <c r="L1800" t="str">
        <f>IFERROR(__xludf.DUMMYFUNCTION("""COMPUTED_VALUE"""),"FINAL")</f>
        <v>FINAL</v>
      </c>
      <c r="M1800" s="124">
        <v>14.0</v>
      </c>
    </row>
    <row r="1801">
      <c r="A1801" s="151">
        <f>IFERROR(__xludf.DUMMYFUNCTION("""COMPUTED_VALUE"""),43800.147749861106)</f>
        <v>43800.14775</v>
      </c>
      <c r="B1801" t="str">
        <f>IFERROR(__xludf.DUMMYFUNCTION("""COMPUTED_VALUE"""),"Nick G.")</f>
        <v>Nick G.</v>
      </c>
      <c r="C1801" s="169" t="str">
        <f>IFERROR(__xludf.DUMMYFUNCTION("""COMPUTED_VALUE"""),"NC State")</f>
        <v>NC State</v>
      </c>
      <c r="D1801">
        <f>IFERROR(__xludf.DUMMYFUNCTION("""COMPUTED_VALUE"""),4.0)</f>
        <v>4</v>
      </c>
      <c r="E1801">
        <f>IFERROR(__xludf.DUMMYFUNCTION("""COMPUTED_VALUE"""),8.0)</f>
        <v>8</v>
      </c>
      <c r="F1801" t="str">
        <f>IFERROR(__xludf.DUMMYFUNCTION("""COMPUTED_VALUE"""),"ACC Network")</f>
        <v>ACC Network</v>
      </c>
      <c r="G1801" t="str">
        <f>IFERROR(__xludf.DUMMYFUNCTION("""COMPUTED_VALUE"""),"North Carolina 41 at NC State 10")</f>
        <v>North Carolina 41 at NC State 10</v>
      </c>
      <c r="H1801" t="str">
        <f>IFERROR(__xludf.DUMMYFUNCTION("""COMPUTED_VALUE"""),"FINAL")</f>
        <v>FINAL</v>
      </c>
      <c r="I1801" t="str">
        <f>IFERROR(__xludf.DUMMYFUNCTION("""COMPUTED_VALUE"""),"8½")</f>
        <v>8½</v>
      </c>
      <c r="J1801" t="str">
        <f>IFERROR(__xludf.DUMMYFUNCTION("""COMPUTED_VALUE"""),"54½")</f>
        <v>54½</v>
      </c>
      <c r="K1801" t="str">
        <f>IFERROR(__xludf.DUMMYFUNCTION("""COMPUTED_VALUE"""),"Nico")</f>
        <v>Nico</v>
      </c>
      <c r="L1801" t="str">
        <f>IFERROR(__xludf.DUMMYFUNCTION("""COMPUTED_VALUE"""),"FINAL")</f>
        <v>FINAL</v>
      </c>
      <c r="M1801" s="124">
        <v>14.0</v>
      </c>
    </row>
    <row r="1802">
      <c r="M1802" s="124"/>
    </row>
    <row r="1803">
      <c r="M1803" s="124"/>
    </row>
    <row r="1804">
      <c r="M1804" s="124"/>
    </row>
    <row r="1805">
      <c r="M1805" s="124"/>
    </row>
    <row r="1806">
      <c r="M1806" s="124"/>
    </row>
    <row r="1807">
      <c r="M1807" s="124"/>
    </row>
    <row r="1808">
      <c r="M1808" s="124"/>
    </row>
    <row r="1809">
      <c r="M1809" s="124"/>
    </row>
    <row r="1810">
      <c r="M1810" s="124"/>
    </row>
    <row r="1811">
      <c r="M1811" s="124"/>
    </row>
    <row r="1812">
      <c r="M1812" s="124"/>
    </row>
    <row r="1813">
      <c r="M1813" s="124"/>
    </row>
    <row r="1814">
      <c r="M1814" s="124"/>
    </row>
    <row r="1815">
      <c r="M1815" s="124"/>
    </row>
    <row r="1816">
      <c r="M1816" s="124"/>
    </row>
    <row r="1817">
      <c r="M1817" s="124"/>
    </row>
    <row r="1818">
      <c r="M1818" s="124"/>
    </row>
    <row r="1819">
      <c r="M1819" s="124"/>
    </row>
    <row r="1820">
      <c r="M1820" s="124"/>
    </row>
    <row r="1821">
      <c r="M1821" s="124"/>
    </row>
    <row r="1822">
      <c r="M1822" s="124"/>
    </row>
    <row r="1823">
      <c r="M1823" s="124"/>
    </row>
    <row r="1824">
      <c r="M1824" s="124"/>
    </row>
    <row r="1825">
      <c r="M1825" s="124"/>
    </row>
    <row r="1826">
      <c r="M1826" s="124"/>
    </row>
    <row r="1827">
      <c r="M1827" s="124"/>
    </row>
    <row r="1828">
      <c r="M1828" s="124"/>
    </row>
    <row r="1829">
      <c r="M1829" s="124"/>
    </row>
    <row r="1830">
      <c r="M1830" s="124"/>
    </row>
    <row r="1831">
      <c r="M1831" s="124"/>
    </row>
    <row r="1832">
      <c r="M1832" s="124"/>
    </row>
    <row r="1833">
      <c r="M1833" s="124"/>
    </row>
    <row r="1834">
      <c r="M1834" s="124"/>
    </row>
    <row r="1835">
      <c r="M1835" s="124"/>
    </row>
    <row r="1836">
      <c r="M1836" s="124"/>
    </row>
    <row r="1837">
      <c r="M1837" s="124"/>
    </row>
    <row r="1838">
      <c r="M1838" s="124"/>
    </row>
    <row r="1839">
      <c r="M1839" s="124"/>
    </row>
    <row r="1840">
      <c r="M1840" s="124"/>
    </row>
    <row r="1841">
      <c r="M1841" s="124"/>
    </row>
    <row r="1842">
      <c r="M1842" s="124"/>
    </row>
    <row r="1843">
      <c r="M1843" s="124"/>
    </row>
    <row r="1844">
      <c r="M1844" s="124"/>
    </row>
    <row r="1845">
      <c r="M1845" s="124"/>
    </row>
    <row r="1846">
      <c r="M1846" s="124"/>
    </row>
    <row r="1847">
      <c r="M1847" s="124"/>
    </row>
    <row r="1848">
      <c r="M1848" s="124"/>
    </row>
    <row r="1849">
      <c r="M1849" s="124"/>
    </row>
    <row r="1850">
      <c r="M1850" s="124"/>
    </row>
    <row r="1851">
      <c r="M1851" s="124"/>
    </row>
    <row r="1852">
      <c r="M1852" s="124"/>
    </row>
    <row r="1853">
      <c r="M1853" s="124"/>
    </row>
    <row r="1854">
      <c r="M1854" s="124"/>
    </row>
    <row r="1855">
      <c r="M1855" s="124"/>
    </row>
    <row r="1856">
      <c r="M1856" s="124"/>
    </row>
    <row r="1857">
      <c r="M1857" s="124"/>
    </row>
    <row r="1858">
      <c r="M1858" s="124"/>
    </row>
    <row r="1859">
      <c r="M1859" s="124"/>
    </row>
    <row r="1860">
      <c r="M1860" s="124"/>
    </row>
    <row r="1861">
      <c r="M1861" s="124"/>
    </row>
    <row r="1862">
      <c r="M1862" s="124"/>
    </row>
    <row r="1863">
      <c r="M1863" s="124"/>
    </row>
    <row r="1864">
      <c r="M1864" s="124"/>
    </row>
    <row r="1865">
      <c r="M1865" s="12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5.88"/>
    <col customWidth="1" min="4" max="4" width="4.5"/>
    <col customWidth="1" min="5" max="5" width="9.63"/>
    <col customWidth="1" min="6" max="6" width="9.5"/>
    <col customWidth="1" min="7" max="7" width="29.88"/>
    <col customWidth="1" min="8" max="8" width="20.25"/>
    <col customWidth="1" min="9" max="9" width="6.63"/>
    <col customWidth="1" min="10" max="10" width="9.38"/>
    <col customWidth="1" min="11" max="12" width="9.63"/>
  </cols>
  <sheetData>
    <row r="1">
      <c r="A1" s="152" t="s">
        <v>359</v>
      </c>
      <c r="B1" s="115" t="s">
        <v>2</v>
      </c>
      <c r="C1" s="153" t="s">
        <v>227</v>
      </c>
      <c r="D1" s="118" t="s">
        <v>29</v>
      </c>
      <c r="E1" s="118" t="s">
        <v>34</v>
      </c>
      <c r="F1" s="119" t="s">
        <v>261</v>
      </c>
      <c r="G1" s="119" t="s">
        <v>245</v>
      </c>
      <c r="H1" s="119" t="s">
        <v>228</v>
      </c>
      <c r="I1" s="119" t="s">
        <v>229</v>
      </c>
      <c r="J1" s="119" t="s">
        <v>262</v>
      </c>
      <c r="K1" s="120" t="s">
        <v>263</v>
      </c>
      <c r="L1" s="120" t="s">
        <v>264</v>
      </c>
    </row>
    <row r="2">
      <c r="A2" s="154">
        <v>43702.27976414352</v>
      </c>
      <c r="B2" s="121" t="s">
        <v>27</v>
      </c>
      <c r="C2" s="155" t="s">
        <v>56</v>
      </c>
      <c r="D2" s="93">
        <v>0.0</v>
      </c>
      <c r="E2" s="93">
        <v>0.0</v>
      </c>
      <c r="F2" s="1" t="s">
        <v>248</v>
      </c>
      <c r="G2" s="1" t="s">
        <v>365</v>
      </c>
      <c r="H2" s="1" t="s">
        <v>366</v>
      </c>
      <c r="I2" s="1" t="s">
        <v>367</v>
      </c>
      <c r="J2" s="1" t="s">
        <v>283</v>
      </c>
      <c r="K2" s="1" t="s">
        <v>38</v>
      </c>
      <c r="L2" s="93">
        <v>9999.0</v>
      </c>
    </row>
    <row r="3">
      <c r="A3" s="154">
        <v>43702.27976414352</v>
      </c>
      <c r="B3" s="121" t="s">
        <v>27</v>
      </c>
      <c r="C3" s="155" t="s">
        <v>116</v>
      </c>
      <c r="D3" s="93">
        <v>0.0</v>
      </c>
      <c r="E3" s="93">
        <v>0.0</v>
      </c>
      <c r="F3" s="1" t="s">
        <v>248</v>
      </c>
      <c r="G3" s="1" t="s">
        <v>368</v>
      </c>
      <c r="H3" s="1" t="s">
        <v>369</v>
      </c>
      <c r="I3" s="93">
        <v>-36.0</v>
      </c>
      <c r="J3" s="1" t="s">
        <v>370</v>
      </c>
      <c r="K3" s="1" t="s">
        <v>62</v>
      </c>
      <c r="L3" s="93">
        <v>9999.0</v>
      </c>
    </row>
    <row r="4">
      <c r="A4" s="154">
        <v>43702.27976414352</v>
      </c>
      <c r="B4" s="121" t="s">
        <v>27</v>
      </c>
      <c r="C4" s="155" t="s">
        <v>138</v>
      </c>
      <c r="D4" s="93">
        <v>0.0</v>
      </c>
      <c r="E4" s="93">
        <v>0.0</v>
      </c>
      <c r="F4" s="1" t="s">
        <v>248</v>
      </c>
      <c r="G4" s="1" t="s">
        <v>371</v>
      </c>
      <c r="H4" s="1" t="s">
        <v>369</v>
      </c>
      <c r="I4" s="93">
        <v>17.0</v>
      </c>
      <c r="J4" s="93">
        <v>59.0</v>
      </c>
      <c r="K4" s="1" t="s">
        <v>69</v>
      </c>
      <c r="L4" s="93">
        <v>9999.0</v>
      </c>
    </row>
    <row r="5">
      <c r="A5" s="154">
        <v>43702.27976414352</v>
      </c>
      <c r="B5" s="121" t="s">
        <v>27</v>
      </c>
      <c r="C5" s="156" t="s">
        <v>114</v>
      </c>
      <c r="D5" s="93">
        <v>0.0</v>
      </c>
      <c r="E5" s="93">
        <v>0.0</v>
      </c>
      <c r="F5" s="1" t="s">
        <v>248</v>
      </c>
      <c r="G5" s="1" t="s">
        <v>372</v>
      </c>
      <c r="H5" s="1" t="s">
        <v>373</v>
      </c>
      <c r="I5" s="1" t="s">
        <v>374</v>
      </c>
      <c r="J5" s="93">
        <v>58.0</v>
      </c>
      <c r="K5" s="1" t="s">
        <v>58</v>
      </c>
      <c r="L5" s="93">
        <v>9999.0</v>
      </c>
    </row>
    <row r="6">
      <c r="A6" s="154">
        <v>43702.27976414352</v>
      </c>
      <c r="B6" s="121" t="s">
        <v>27</v>
      </c>
      <c r="C6" s="155" t="s">
        <v>195</v>
      </c>
      <c r="D6" s="93">
        <v>0.0</v>
      </c>
      <c r="E6" s="93">
        <v>0.0</v>
      </c>
      <c r="F6" s="1" t="s">
        <v>248</v>
      </c>
      <c r="G6" s="1" t="s">
        <v>375</v>
      </c>
      <c r="H6" s="1" t="s">
        <v>373</v>
      </c>
      <c r="I6" s="1" t="s">
        <v>376</v>
      </c>
      <c r="J6" s="93">
        <v>55.0</v>
      </c>
      <c r="K6" s="1" t="s">
        <v>69</v>
      </c>
      <c r="L6" s="93">
        <v>9999.0</v>
      </c>
    </row>
    <row r="7">
      <c r="A7" s="154">
        <v>43702.27976414352</v>
      </c>
      <c r="B7" s="121" t="s">
        <v>27</v>
      </c>
      <c r="C7" s="155" t="s">
        <v>94</v>
      </c>
      <c r="D7" s="93">
        <v>0.0</v>
      </c>
      <c r="E7" s="93">
        <v>0.0</v>
      </c>
      <c r="F7" s="1" t="s">
        <v>248</v>
      </c>
      <c r="G7" s="1" t="s">
        <v>377</v>
      </c>
      <c r="H7" s="1" t="s">
        <v>378</v>
      </c>
      <c r="I7" s="1" t="s">
        <v>379</v>
      </c>
      <c r="J7" s="93">
        <v>57.0</v>
      </c>
      <c r="K7" s="1" t="s">
        <v>44</v>
      </c>
      <c r="L7" s="93">
        <v>9999.0</v>
      </c>
    </row>
    <row r="8">
      <c r="A8" s="154">
        <v>43702.27976414352</v>
      </c>
      <c r="B8" s="121" t="s">
        <v>27</v>
      </c>
      <c r="C8" s="155" t="s">
        <v>134</v>
      </c>
      <c r="D8" s="93">
        <v>0.0</v>
      </c>
      <c r="E8" s="93">
        <v>0.0</v>
      </c>
      <c r="F8" s="1" t="s">
        <v>248</v>
      </c>
      <c r="G8" s="1" t="s">
        <v>380</v>
      </c>
      <c r="H8" s="1" t="s">
        <v>381</v>
      </c>
      <c r="I8" s="1" t="s">
        <v>382</v>
      </c>
      <c r="K8" s="1" t="s">
        <v>288</v>
      </c>
      <c r="L8" s="93">
        <v>9999.0</v>
      </c>
    </row>
    <row r="9">
      <c r="A9" s="154">
        <v>43702.27976414352</v>
      </c>
      <c r="B9" s="121" t="s">
        <v>27</v>
      </c>
      <c r="C9" s="155" t="s">
        <v>163</v>
      </c>
      <c r="D9" s="93">
        <v>0.0</v>
      </c>
      <c r="E9" s="93">
        <v>0.0</v>
      </c>
      <c r="F9" s="1" t="s">
        <v>248</v>
      </c>
      <c r="G9" s="1" t="s">
        <v>383</v>
      </c>
      <c r="H9" s="1" t="s">
        <v>384</v>
      </c>
      <c r="I9" s="1" t="s">
        <v>382</v>
      </c>
      <c r="K9" s="1" t="s">
        <v>288</v>
      </c>
      <c r="L9" s="93">
        <v>9999.0</v>
      </c>
    </row>
    <row r="10">
      <c r="A10" s="154">
        <v>43702.27976414352</v>
      </c>
      <c r="B10" s="121" t="s">
        <v>27</v>
      </c>
      <c r="C10" s="155" t="s">
        <v>152</v>
      </c>
      <c r="D10" s="93">
        <v>0.0</v>
      </c>
      <c r="E10" s="93">
        <v>0.0</v>
      </c>
      <c r="F10" s="1" t="s">
        <v>248</v>
      </c>
      <c r="G10" s="1" t="s">
        <v>385</v>
      </c>
      <c r="H10" s="1" t="s">
        <v>386</v>
      </c>
      <c r="I10" s="1" t="s">
        <v>274</v>
      </c>
      <c r="J10" s="1" t="s">
        <v>387</v>
      </c>
      <c r="K10" s="1" t="s">
        <v>64</v>
      </c>
      <c r="L10" s="93">
        <v>9999.0</v>
      </c>
    </row>
    <row r="11">
      <c r="A11" s="154">
        <v>43702.27976414352</v>
      </c>
      <c r="B11" s="121" t="s">
        <v>27</v>
      </c>
      <c r="C11" s="155" t="s">
        <v>107</v>
      </c>
      <c r="D11" s="93">
        <v>0.0</v>
      </c>
      <c r="E11" s="93">
        <v>0.0</v>
      </c>
      <c r="F11" s="1" t="s">
        <v>248</v>
      </c>
      <c r="G11" s="1" t="s">
        <v>388</v>
      </c>
      <c r="H11" s="1" t="s">
        <v>389</v>
      </c>
      <c r="I11" s="1" t="s">
        <v>390</v>
      </c>
      <c r="J11" s="93">
        <v>57.0</v>
      </c>
      <c r="K11" s="1" t="s">
        <v>288</v>
      </c>
      <c r="L11" s="93">
        <v>9999.0</v>
      </c>
    </row>
    <row r="12">
      <c r="A12" s="152" t="s">
        <v>359</v>
      </c>
      <c r="B12" s="115" t="s">
        <v>2</v>
      </c>
      <c r="C12" s="153" t="s">
        <v>227</v>
      </c>
      <c r="D12" s="118" t="s">
        <v>29</v>
      </c>
      <c r="E12" s="118" t="s">
        <v>34</v>
      </c>
      <c r="F12" s="119" t="s">
        <v>261</v>
      </c>
      <c r="G12" s="119" t="s">
        <v>245</v>
      </c>
      <c r="H12" s="119" t="s">
        <v>228</v>
      </c>
      <c r="I12" s="119" t="s">
        <v>229</v>
      </c>
      <c r="J12" s="119" t="s">
        <v>262</v>
      </c>
      <c r="K12" s="120" t="s">
        <v>263</v>
      </c>
      <c r="L12" s="120" t="s">
        <v>264</v>
      </c>
    </row>
    <row r="13">
      <c r="A13" s="154">
        <v>43702.27976414352</v>
      </c>
      <c r="B13" s="121" t="s">
        <v>38</v>
      </c>
      <c r="C13" s="155" t="s">
        <v>139</v>
      </c>
      <c r="D13" s="93">
        <v>0.0</v>
      </c>
      <c r="E13" s="93">
        <v>0.0</v>
      </c>
      <c r="F13" s="1" t="s">
        <v>248</v>
      </c>
      <c r="G13" s="1" t="s">
        <v>391</v>
      </c>
      <c r="H13" s="1" t="s">
        <v>392</v>
      </c>
      <c r="I13" s="1" t="s">
        <v>393</v>
      </c>
      <c r="J13" s="1" t="s">
        <v>394</v>
      </c>
      <c r="K13" s="1" t="s">
        <v>288</v>
      </c>
      <c r="L13" s="93">
        <v>9999.0</v>
      </c>
    </row>
    <row r="14">
      <c r="A14" s="154">
        <v>43702.27976414352</v>
      </c>
      <c r="B14" s="121" t="s">
        <v>38</v>
      </c>
      <c r="C14" s="155" t="s">
        <v>68</v>
      </c>
      <c r="D14" s="93">
        <v>0.0</v>
      </c>
      <c r="E14" s="93">
        <v>0.0</v>
      </c>
      <c r="F14" s="1" t="s">
        <v>248</v>
      </c>
      <c r="G14" s="1" t="s">
        <v>395</v>
      </c>
      <c r="H14" s="1" t="s">
        <v>396</v>
      </c>
      <c r="I14" s="93">
        <v>-36.0</v>
      </c>
      <c r="J14" s="1" t="s">
        <v>397</v>
      </c>
      <c r="K14" s="1" t="s">
        <v>288</v>
      </c>
      <c r="L14" s="93">
        <v>9999.0</v>
      </c>
    </row>
    <row r="15">
      <c r="A15" s="154">
        <v>43702.27976414352</v>
      </c>
      <c r="B15" s="121" t="s">
        <v>38</v>
      </c>
      <c r="C15" s="155" t="s">
        <v>113</v>
      </c>
      <c r="D15" s="93">
        <v>0.0</v>
      </c>
      <c r="E15" s="93">
        <v>0.0</v>
      </c>
      <c r="F15" s="1" t="s">
        <v>248</v>
      </c>
      <c r="G15" s="1" t="s">
        <v>365</v>
      </c>
      <c r="H15" s="1" t="s">
        <v>366</v>
      </c>
      <c r="I15" s="1" t="s">
        <v>398</v>
      </c>
      <c r="J15" s="1" t="s">
        <v>283</v>
      </c>
      <c r="K15" s="1" t="s">
        <v>27</v>
      </c>
      <c r="L15" s="93">
        <v>9999.0</v>
      </c>
    </row>
    <row r="16">
      <c r="A16" s="154">
        <v>43702.27976414352</v>
      </c>
      <c r="B16" s="121" t="s">
        <v>38</v>
      </c>
      <c r="C16" s="156" t="s">
        <v>97</v>
      </c>
      <c r="D16" s="93">
        <v>0.0</v>
      </c>
      <c r="E16" s="93">
        <v>0.0</v>
      </c>
      <c r="F16" s="1" t="s">
        <v>248</v>
      </c>
      <c r="G16" s="1" t="s">
        <v>399</v>
      </c>
      <c r="H16" s="1" t="s">
        <v>369</v>
      </c>
      <c r="I16" s="1" t="s">
        <v>382</v>
      </c>
      <c r="K16" s="1" t="s">
        <v>288</v>
      </c>
      <c r="L16" s="93">
        <v>9999.0</v>
      </c>
    </row>
    <row r="17">
      <c r="A17" s="154">
        <v>43702.27976414352</v>
      </c>
      <c r="B17" s="121" t="s">
        <v>38</v>
      </c>
      <c r="C17" s="155" t="s">
        <v>32</v>
      </c>
      <c r="D17" s="93">
        <v>0.0</v>
      </c>
      <c r="E17" s="93">
        <v>0.0</v>
      </c>
      <c r="F17" s="1" t="s">
        <v>248</v>
      </c>
      <c r="G17" s="1" t="s">
        <v>400</v>
      </c>
      <c r="H17" s="1" t="s">
        <v>369</v>
      </c>
      <c r="I17" s="1" t="s">
        <v>401</v>
      </c>
      <c r="J17" s="93">
        <v>55.0</v>
      </c>
      <c r="K17" s="1" t="s">
        <v>74</v>
      </c>
      <c r="L17" s="93">
        <v>9999.0</v>
      </c>
    </row>
    <row r="18">
      <c r="A18" s="154">
        <v>43702.27976414352</v>
      </c>
      <c r="B18" s="121" t="s">
        <v>38</v>
      </c>
      <c r="C18" s="155" t="s">
        <v>129</v>
      </c>
      <c r="D18" s="93">
        <v>0.0</v>
      </c>
      <c r="E18" s="93">
        <v>0.0</v>
      </c>
      <c r="F18" s="1" t="s">
        <v>248</v>
      </c>
      <c r="G18" s="1" t="s">
        <v>402</v>
      </c>
      <c r="H18" s="1" t="s">
        <v>403</v>
      </c>
      <c r="I18" s="1" t="s">
        <v>382</v>
      </c>
      <c r="K18" s="1" t="s">
        <v>288</v>
      </c>
      <c r="L18" s="93">
        <v>9999.0</v>
      </c>
    </row>
    <row r="19">
      <c r="A19" s="154">
        <v>43702.27976414352</v>
      </c>
      <c r="B19" s="121" t="s">
        <v>38</v>
      </c>
      <c r="C19" s="155" t="s">
        <v>178</v>
      </c>
      <c r="D19" s="93">
        <v>0.0</v>
      </c>
      <c r="E19" s="93">
        <v>0.0</v>
      </c>
      <c r="F19" s="1" t="s">
        <v>248</v>
      </c>
      <c r="G19" s="1" t="s">
        <v>404</v>
      </c>
      <c r="H19" s="1" t="s">
        <v>405</v>
      </c>
      <c r="I19" s="93">
        <v>-28.0</v>
      </c>
      <c r="J19" s="1" t="s">
        <v>406</v>
      </c>
      <c r="K19" s="1" t="s">
        <v>44</v>
      </c>
      <c r="L19" s="93">
        <v>9999.0</v>
      </c>
    </row>
    <row r="20">
      <c r="A20" s="154">
        <v>43702.27976414352</v>
      </c>
      <c r="B20" s="121" t="s">
        <v>38</v>
      </c>
      <c r="C20" s="155" t="s">
        <v>156</v>
      </c>
      <c r="D20" s="93">
        <v>0.0</v>
      </c>
      <c r="E20" s="93">
        <v>0.0</v>
      </c>
      <c r="F20" s="1" t="s">
        <v>248</v>
      </c>
      <c r="G20" s="1" t="s">
        <v>407</v>
      </c>
      <c r="H20" s="1" t="s">
        <v>408</v>
      </c>
      <c r="I20" s="1" t="s">
        <v>382</v>
      </c>
      <c r="K20" s="1" t="s">
        <v>288</v>
      </c>
      <c r="L20" s="93">
        <v>9999.0</v>
      </c>
    </row>
    <row r="21">
      <c r="A21" s="154">
        <v>43702.27976414352</v>
      </c>
      <c r="B21" s="121" t="s">
        <v>38</v>
      </c>
      <c r="C21" s="155" t="s">
        <v>172</v>
      </c>
      <c r="D21" s="93">
        <v>0.0</v>
      </c>
      <c r="E21" s="93">
        <v>0.0</v>
      </c>
      <c r="F21" s="1" t="s">
        <v>248</v>
      </c>
      <c r="G21" s="1" t="s">
        <v>409</v>
      </c>
      <c r="H21" s="1" t="s">
        <v>410</v>
      </c>
      <c r="I21" s="93">
        <v>-32.0</v>
      </c>
      <c r="J21" s="1" t="s">
        <v>370</v>
      </c>
      <c r="K21" s="1" t="s">
        <v>38</v>
      </c>
      <c r="L21" s="93">
        <v>9999.0</v>
      </c>
    </row>
    <row r="22">
      <c r="A22" s="154">
        <v>43702.27976414352</v>
      </c>
      <c r="B22" s="121" t="s">
        <v>38</v>
      </c>
      <c r="C22" s="155" t="s">
        <v>198</v>
      </c>
      <c r="D22" s="93">
        <v>0.0</v>
      </c>
      <c r="E22" s="93">
        <v>0.0</v>
      </c>
      <c r="F22" s="1" t="s">
        <v>248</v>
      </c>
      <c r="G22" s="1" t="s">
        <v>409</v>
      </c>
      <c r="H22" s="1" t="s">
        <v>410</v>
      </c>
      <c r="I22" s="93">
        <v>32.0</v>
      </c>
      <c r="J22" s="1" t="s">
        <v>370</v>
      </c>
      <c r="K22" s="1" t="s">
        <v>38</v>
      </c>
      <c r="L22" s="93">
        <v>9999.0</v>
      </c>
    </row>
    <row r="23">
      <c r="A23" s="152" t="s">
        <v>359</v>
      </c>
      <c r="B23" s="115" t="s">
        <v>2</v>
      </c>
      <c r="C23" s="153" t="s">
        <v>227</v>
      </c>
      <c r="D23" s="118" t="s">
        <v>29</v>
      </c>
      <c r="E23" s="118" t="s">
        <v>34</v>
      </c>
      <c r="F23" s="119" t="s">
        <v>261</v>
      </c>
      <c r="G23" s="119" t="s">
        <v>245</v>
      </c>
      <c r="H23" s="119" t="s">
        <v>228</v>
      </c>
      <c r="I23" s="119" t="s">
        <v>229</v>
      </c>
      <c r="J23" s="119" t="s">
        <v>262</v>
      </c>
      <c r="K23" s="120" t="s">
        <v>263</v>
      </c>
      <c r="L23" s="120" t="s">
        <v>264</v>
      </c>
    </row>
    <row r="24">
      <c r="A24" s="154">
        <v>43702.27976414352</v>
      </c>
      <c r="B24" s="121" t="s">
        <v>41</v>
      </c>
      <c r="C24" s="155" t="s">
        <v>168</v>
      </c>
      <c r="D24" s="93">
        <v>0.0</v>
      </c>
      <c r="E24" s="93">
        <v>0.0</v>
      </c>
      <c r="F24" s="1" t="s">
        <v>248</v>
      </c>
      <c r="G24" s="1" t="s">
        <v>411</v>
      </c>
      <c r="H24" s="1" t="s">
        <v>392</v>
      </c>
      <c r="I24" s="93">
        <v>3.0</v>
      </c>
      <c r="J24" s="1" t="s">
        <v>412</v>
      </c>
      <c r="K24" s="1" t="s">
        <v>62</v>
      </c>
      <c r="L24" s="93">
        <v>9999.0</v>
      </c>
    </row>
    <row r="25">
      <c r="A25" s="154">
        <v>43702.27976414352</v>
      </c>
      <c r="B25" s="121" t="s">
        <v>41</v>
      </c>
      <c r="C25" s="155" t="s">
        <v>52</v>
      </c>
      <c r="D25" s="93">
        <v>0.0</v>
      </c>
      <c r="E25" s="93">
        <v>0.0</v>
      </c>
      <c r="F25" s="1" t="s">
        <v>248</v>
      </c>
      <c r="G25" s="1" t="s">
        <v>413</v>
      </c>
      <c r="H25" s="1" t="s">
        <v>396</v>
      </c>
      <c r="I25" s="93">
        <v>-2.0</v>
      </c>
      <c r="J25" s="93">
        <v>57.0</v>
      </c>
      <c r="K25" s="1" t="s">
        <v>60</v>
      </c>
      <c r="L25" s="93">
        <v>9999.0</v>
      </c>
    </row>
    <row r="26">
      <c r="A26" s="154">
        <v>43702.27976414352</v>
      </c>
      <c r="B26" s="121" t="s">
        <v>41</v>
      </c>
      <c r="C26" s="155" t="s">
        <v>109</v>
      </c>
      <c r="D26" s="93">
        <v>0.0</v>
      </c>
      <c r="E26" s="93">
        <v>0.0</v>
      </c>
      <c r="F26" s="1" t="s">
        <v>248</v>
      </c>
      <c r="G26" s="1" t="s">
        <v>414</v>
      </c>
      <c r="H26" s="1" t="s">
        <v>415</v>
      </c>
      <c r="I26" s="93">
        <v>5.0</v>
      </c>
      <c r="J26" s="93">
        <v>48.0</v>
      </c>
      <c r="K26" s="1" t="s">
        <v>69</v>
      </c>
      <c r="L26" s="93">
        <v>9999.0</v>
      </c>
    </row>
    <row r="27">
      <c r="A27" s="154">
        <v>43702.27976414352</v>
      </c>
      <c r="B27" s="121" t="s">
        <v>41</v>
      </c>
      <c r="C27" s="156" t="s">
        <v>159</v>
      </c>
      <c r="D27" s="93">
        <v>0.0</v>
      </c>
      <c r="E27" s="93">
        <v>0.0</v>
      </c>
      <c r="F27" s="1" t="s">
        <v>248</v>
      </c>
      <c r="G27" s="1" t="s">
        <v>416</v>
      </c>
      <c r="H27" s="1" t="s">
        <v>417</v>
      </c>
      <c r="I27" s="1" t="s">
        <v>418</v>
      </c>
      <c r="J27" s="1" t="s">
        <v>419</v>
      </c>
      <c r="K27" s="1" t="s">
        <v>60</v>
      </c>
      <c r="L27" s="93">
        <v>9999.0</v>
      </c>
    </row>
    <row r="28">
      <c r="A28" s="154">
        <v>43702.27976414352</v>
      </c>
      <c r="B28" s="121" t="s">
        <v>41</v>
      </c>
      <c r="C28" s="155" t="s">
        <v>111</v>
      </c>
      <c r="D28" s="93">
        <v>0.0</v>
      </c>
      <c r="E28" s="93">
        <v>0.0</v>
      </c>
      <c r="F28" s="1" t="s">
        <v>248</v>
      </c>
      <c r="G28" s="1" t="s">
        <v>420</v>
      </c>
      <c r="H28" s="1" t="s">
        <v>369</v>
      </c>
      <c r="I28" s="1" t="s">
        <v>382</v>
      </c>
      <c r="K28" s="1" t="s">
        <v>288</v>
      </c>
      <c r="L28" s="93">
        <v>9999.0</v>
      </c>
    </row>
    <row r="29">
      <c r="A29" s="154">
        <v>43702.27976414352</v>
      </c>
      <c r="B29" s="121" t="s">
        <v>41</v>
      </c>
      <c r="C29" s="155" t="s">
        <v>190</v>
      </c>
      <c r="D29" s="93">
        <v>0.0</v>
      </c>
      <c r="E29" s="93">
        <v>0.0</v>
      </c>
      <c r="F29" s="1" t="s">
        <v>248</v>
      </c>
      <c r="G29" s="1" t="s">
        <v>421</v>
      </c>
      <c r="H29" s="1" t="s">
        <v>369</v>
      </c>
      <c r="I29" s="93">
        <v>21.0</v>
      </c>
      <c r="J29" s="1" t="s">
        <v>276</v>
      </c>
      <c r="K29" s="1" t="s">
        <v>53</v>
      </c>
      <c r="L29" s="93">
        <v>9999.0</v>
      </c>
    </row>
    <row r="30">
      <c r="A30" s="154">
        <v>43702.27976414352</v>
      </c>
      <c r="B30" s="121" t="s">
        <v>41</v>
      </c>
      <c r="C30" s="155" t="s">
        <v>146</v>
      </c>
      <c r="D30" s="93">
        <v>0.0</v>
      </c>
      <c r="E30" s="93">
        <v>0.0</v>
      </c>
      <c r="F30" s="1" t="s">
        <v>248</v>
      </c>
      <c r="G30" s="1" t="s">
        <v>422</v>
      </c>
      <c r="H30" s="1" t="s">
        <v>423</v>
      </c>
      <c r="I30" s="1" t="s">
        <v>382</v>
      </c>
      <c r="K30" s="1" t="s">
        <v>288</v>
      </c>
      <c r="L30" s="93">
        <v>9999.0</v>
      </c>
    </row>
    <row r="31">
      <c r="A31" s="154">
        <v>43702.27976414352</v>
      </c>
      <c r="B31" s="121" t="s">
        <v>41</v>
      </c>
      <c r="C31" s="155" t="s">
        <v>126</v>
      </c>
      <c r="D31" s="93">
        <v>0.0</v>
      </c>
      <c r="E31" s="93">
        <v>0.0</v>
      </c>
      <c r="F31" s="1" t="s">
        <v>248</v>
      </c>
      <c r="G31" s="1" t="s">
        <v>424</v>
      </c>
      <c r="H31" s="1" t="s">
        <v>384</v>
      </c>
      <c r="I31" s="1" t="s">
        <v>382</v>
      </c>
      <c r="K31" s="1" t="s">
        <v>288</v>
      </c>
      <c r="L31" s="93">
        <v>9999.0</v>
      </c>
    </row>
    <row r="32">
      <c r="A32" s="154">
        <v>43702.27976414352</v>
      </c>
      <c r="B32" s="121" t="s">
        <v>41</v>
      </c>
      <c r="C32" s="155" t="s">
        <v>180</v>
      </c>
      <c r="D32" s="93">
        <v>0.0</v>
      </c>
      <c r="E32" s="93">
        <v>0.0</v>
      </c>
      <c r="F32" s="1" t="s">
        <v>248</v>
      </c>
      <c r="G32" s="1" t="s">
        <v>425</v>
      </c>
      <c r="H32" s="1" t="s">
        <v>405</v>
      </c>
      <c r="I32" s="1" t="s">
        <v>426</v>
      </c>
      <c r="J32" s="1" t="s">
        <v>237</v>
      </c>
      <c r="K32" s="1" t="s">
        <v>74</v>
      </c>
      <c r="L32" s="93">
        <v>9999.0</v>
      </c>
    </row>
    <row r="33">
      <c r="A33" s="154">
        <v>43702.27976414352</v>
      </c>
      <c r="B33" s="121" t="s">
        <v>41</v>
      </c>
      <c r="C33" s="155" t="s">
        <v>91</v>
      </c>
      <c r="D33" s="93">
        <v>0.0</v>
      </c>
      <c r="E33" s="93">
        <v>0.0</v>
      </c>
      <c r="F33" s="1" t="s">
        <v>248</v>
      </c>
      <c r="G33" s="1" t="s">
        <v>427</v>
      </c>
      <c r="H33" s="1" t="s">
        <v>405</v>
      </c>
      <c r="I33" s="1" t="s">
        <v>428</v>
      </c>
      <c r="J33" s="93">
        <v>46.0</v>
      </c>
      <c r="K33" s="1" t="s">
        <v>53</v>
      </c>
      <c r="L33" s="93">
        <v>9999.0</v>
      </c>
    </row>
    <row r="34">
      <c r="A34" s="152" t="s">
        <v>359</v>
      </c>
      <c r="B34" s="115" t="s">
        <v>2</v>
      </c>
      <c r="C34" s="153" t="s">
        <v>227</v>
      </c>
      <c r="D34" s="118" t="s">
        <v>29</v>
      </c>
      <c r="E34" s="118" t="s">
        <v>34</v>
      </c>
      <c r="F34" s="119" t="s">
        <v>261</v>
      </c>
      <c r="G34" s="119" t="s">
        <v>245</v>
      </c>
      <c r="H34" s="119" t="s">
        <v>228</v>
      </c>
      <c r="I34" s="119" t="s">
        <v>229</v>
      </c>
      <c r="J34" s="119" t="s">
        <v>262</v>
      </c>
      <c r="K34" s="120" t="s">
        <v>263</v>
      </c>
      <c r="L34" s="120" t="s">
        <v>264</v>
      </c>
    </row>
    <row r="35">
      <c r="A35" s="154">
        <v>43702.27976414352</v>
      </c>
      <c r="B35" s="121" t="s">
        <v>44</v>
      </c>
      <c r="C35" s="155" t="s">
        <v>161</v>
      </c>
      <c r="D35" s="93">
        <v>0.0</v>
      </c>
      <c r="E35" s="93">
        <v>1.0</v>
      </c>
      <c r="F35" s="1" t="s">
        <v>260</v>
      </c>
      <c r="G35" s="1" t="s">
        <v>429</v>
      </c>
      <c r="H35" s="1" t="s">
        <v>430</v>
      </c>
      <c r="I35" s="1" t="s">
        <v>431</v>
      </c>
      <c r="J35" s="1" t="s">
        <v>432</v>
      </c>
      <c r="K35" s="1" t="s">
        <v>62</v>
      </c>
      <c r="L35" s="93">
        <v>9999.0</v>
      </c>
    </row>
    <row r="36">
      <c r="A36" s="154">
        <v>43702.27976414352</v>
      </c>
      <c r="B36" s="121" t="s">
        <v>44</v>
      </c>
      <c r="C36" s="155" t="s">
        <v>132</v>
      </c>
      <c r="D36" s="93">
        <v>0.0</v>
      </c>
      <c r="E36" s="93">
        <v>0.0</v>
      </c>
      <c r="F36" s="1" t="s">
        <v>248</v>
      </c>
      <c r="G36" s="1" t="s">
        <v>433</v>
      </c>
      <c r="H36" s="1" t="s">
        <v>434</v>
      </c>
      <c r="I36" s="1" t="s">
        <v>435</v>
      </c>
      <c r="J36" s="1" t="s">
        <v>237</v>
      </c>
      <c r="K36" s="1" t="s">
        <v>288</v>
      </c>
      <c r="L36" s="93">
        <v>9999.0</v>
      </c>
    </row>
    <row r="37">
      <c r="A37" s="154">
        <v>43702.27976414352</v>
      </c>
      <c r="B37" s="121" t="s">
        <v>44</v>
      </c>
      <c r="C37" s="155" t="s">
        <v>122</v>
      </c>
      <c r="D37" s="93">
        <v>0.0</v>
      </c>
      <c r="E37" s="93">
        <v>0.0</v>
      </c>
      <c r="F37" s="1" t="s">
        <v>248</v>
      </c>
      <c r="G37" s="1" t="s">
        <v>436</v>
      </c>
      <c r="H37" s="1" t="s">
        <v>366</v>
      </c>
      <c r="I37" s="1" t="s">
        <v>226</v>
      </c>
      <c r="J37" s="1" t="s">
        <v>276</v>
      </c>
      <c r="K37" s="1" t="s">
        <v>58</v>
      </c>
      <c r="L37" s="93">
        <v>9999.0</v>
      </c>
    </row>
    <row r="38">
      <c r="A38" s="154">
        <v>43702.27976414352</v>
      </c>
      <c r="B38" s="121" t="s">
        <v>44</v>
      </c>
      <c r="C38" s="156" t="s">
        <v>37</v>
      </c>
      <c r="D38" s="93">
        <v>0.0</v>
      </c>
      <c r="E38" s="93">
        <v>0.0</v>
      </c>
      <c r="F38" s="1" t="s">
        <v>248</v>
      </c>
      <c r="G38" s="1" t="s">
        <v>437</v>
      </c>
      <c r="H38" s="1" t="s">
        <v>373</v>
      </c>
      <c r="I38" s="1" t="s">
        <v>382</v>
      </c>
      <c r="K38" s="1" t="s">
        <v>288</v>
      </c>
      <c r="L38" s="93">
        <v>9999.0</v>
      </c>
    </row>
    <row r="39">
      <c r="A39" s="154">
        <v>43702.27976414352</v>
      </c>
      <c r="B39" s="121" t="s">
        <v>44</v>
      </c>
      <c r="C39" s="155" t="s">
        <v>173</v>
      </c>
      <c r="D39" s="93">
        <v>0.0</v>
      </c>
      <c r="E39" s="93">
        <v>0.0</v>
      </c>
      <c r="F39" s="1" t="s">
        <v>248</v>
      </c>
      <c r="G39" s="1" t="s">
        <v>438</v>
      </c>
      <c r="H39" s="1" t="s">
        <v>378</v>
      </c>
      <c r="I39" s="1" t="s">
        <v>382</v>
      </c>
      <c r="K39" s="1" t="s">
        <v>288</v>
      </c>
      <c r="L39" s="93">
        <v>9999.0</v>
      </c>
    </row>
    <row r="40">
      <c r="A40" s="154">
        <v>43702.27976414352</v>
      </c>
      <c r="B40" s="121" t="s">
        <v>44</v>
      </c>
      <c r="C40" s="155" t="s">
        <v>104</v>
      </c>
      <c r="D40" s="93">
        <v>0.0</v>
      </c>
      <c r="E40" s="93">
        <v>0.0</v>
      </c>
      <c r="F40" s="1" t="s">
        <v>248</v>
      </c>
      <c r="G40" s="1" t="s">
        <v>439</v>
      </c>
      <c r="H40" s="1" t="s">
        <v>378</v>
      </c>
      <c r="I40" s="1" t="s">
        <v>382</v>
      </c>
      <c r="K40" s="1" t="s">
        <v>288</v>
      </c>
      <c r="L40" s="93">
        <v>9999.0</v>
      </c>
    </row>
    <row r="41">
      <c r="A41" s="154">
        <v>43702.27976414352</v>
      </c>
      <c r="B41" s="121" t="s">
        <v>44</v>
      </c>
      <c r="C41" s="155" t="s">
        <v>61</v>
      </c>
      <c r="D41" s="93">
        <v>0.0</v>
      </c>
      <c r="E41" s="93">
        <v>0.0</v>
      </c>
      <c r="F41" s="1" t="s">
        <v>248</v>
      </c>
      <c r="G41" s="1" t="s">
        <v>377</v>
      </c>
      <c r="H41" s="1" t="s">
        <v>378</v>
      </c>
      <c r="I41" s="1" t="s">
        <v>418</v>
      </c>
      <c r="J41" s="93">
        <v>57.0</v>
      </c>
      <c r="K41" s="1" t="s">
        <v>27</v>
      </c>
      <c r="L41" s="93">
        <v>9999.0</v>
      </c>
    </row>
    <row r="42">
      <c r="A42" s="154">
        <v>43702.27976414352</v>
      </c>
      <c r="B42" s="121" t="s">
        <v>44</v>
      </c>
      <c r="C42" s="155" t="s">
        <v>145</v>
      </c>
      <c r="D42" s="93">
        <v>0.0</v>
      </c>
      <c r="E42" s="93">
        <v>0.0</v>
      </c>
      <c r="F42" s="1" t="s">
        <v>248</v>
      </c>
      <c r="G42" s="1" t="s">
        <v>440</v>
      </c>
      <c r="H42" s="1" t="s">
        <v>403</v>
      </c>
      <c r="I42" s="1" t="s">
        <v>382</v>
      </c>
      <c r="K42" s="1" t="s">
        <v>288</v>
      </c>
      <c r="L42" s="93">
        <v>9999.0</v>
      </c>
    </row>
    <row r="43">
      <c r="A43" s="154">
        <v>43702.27976414352</v>
      </c>
      <c r="B43" s="121" t="s">
        <v>44</v>
      </c>
      <c r="C43" s="155" t="s">
        <v>150</v>
      </c>
      <c r="D43" s="93">
        <v>0.0</v>
      </c>
      <c r="E43" s="93">
        <v>0.0</v>
      </c>
      <c r="F43" s="1" t="s">
        <v>248</v>
      </c>
      <c r="G43" s="1" t="s">
        <v>441</v>
      </c>
      <c r="H43" s="1" t="s">
        <v>403</v>
      </c>
      <c r="I43" s="1" t="s">
        <v>376</v>
      </c>
      <c r="J43" s="1" t="s">
        <v>406</v>
      </c>
      <c r="K43" s="1" t="s">
        <v>64</v>
      </c>
      <c r="L43" s="93">
        <v>9999.0</v>
      </c>
    </row>
    <row r="44">
      <c r="A44" s="154">
        <v>43702.27976414352</v>
      </c>
      <c r="B44" s="121" t="s">
        <v>44</v>
      </c>
      <c r="C44" s="155" t="s">
        <v>188</v>
      </c>
      <c r="D44" s="93">
        <v>0.0</v>
      </c>
      <c r="E44" s="93">
        <v>0.0</v>
      </c>
      <c r="F44" s="1" t="s">
        <v>248</v>
      </c>
      <c r="G44" s="1" t="s">
        <v>404</v>
      </c>
      <c r="H44" s="1" t="s">
        <v>405</v>
      </c>
      <c r="I44" s="93">
        <v>28.0</v>
      </c>
      <c r="J44" s="1" t="s">
        <v>406</v>
      </c>
      <c r="K44" s="1" t="s">
        <v>38</v>
      </c>
      <c r="L44" s="93">
        <v>9999.0</v>
      </c>
    </row>
    <row r="45">
      <c r="A45" s="152" t="s">
        <v>359</v>
      </c>
      <c r="B45" s="115" t="s">
        <v>2</v>
      </c>
      <c r="C45" s="153" t="s">
        <v>227</v>
      </c>
      <c r="D45" s="118" t="s">
        <v>29</v>
      </c>
      <c r="E45" s="118" t="s">
        <v>34</v>
      </c>
      <c r="F45" s="119" t="s">
        <v>261</v>
      </c>
      <c r="G45" s="119" t="s">
        <v>245</v>
      </c>
      <c r="H45" s="119" t="s">
        <v>228</v>
      </c>
      <c r="I45" s="119" t="s">
        <v>229</v>
      </c>
      <c r="J45" s="119" t="s">
        <v>262</v>
      </c>
      <c r="K45" s="120" t="s">
        <v>263</v>
      </c>
      <c r="L45" s="120" t="s">
        <v>264</v>
      </c>
    </row>
    <row r="46">
      <c r="A46" s="154">
        <v>43702.27976414352</v>
      </c>
      <c r="B46" s="121" t="s">
        <v>48</v>
      </c>
      <c r="C46" s="155" t="s">
        <v>162</v>
      </c>
      <c r="D46" s="93">
        <v>0.0</v>
      </c>
      <c r="E46" s="93">
        <v>0.0</v>
      </c>
      <c r="F46" s="1" t="s">
        <v>248</v>
      </c>
      <c r="G46" s="1" t="s">
        <v>442</v>
      </c>
      <c r="H46" s="1" t="s">
        <v>443</v>
      </c>
      <c r="I46" s="93">
        <v>-25.0</v>
      </c>
      <c r="J46" s="93">
        <v>62.0</v>
      </c>
      <c r="K46" s="1" t="s">
        <v>62</v>
      </c>
      <c r="L46" s="93">
        <v>9999.0</v>
      </c>
    </row>
    <row r="47">
      <c r="A47" s="154">
        <v>43702.27976414352</v>
      </c>
      <c r="B47" s="121" t="s">
        <v>48</v>
      </c>
      <c r="C47" s="155" t="s">
        <v>120</v>
      </c>
      <c r="D47" s="93">
        <v>0.0</v>
      </c>
      <c r="E47" s="93">
        <v>0.0</v>
      </c>
      <c r="F47" s="1" t="s">
        <v>248</v>
      </c>
      <c r="G47" s="1" t="s">
        <v>444</v>
      </c>
      <c r="H47" s="1" t="s">
        <v>445</v>
      </c>
      <c r="I47" s="93">
        <v>-10.0</v>
      </c>
      <c r="J47" s="1" t="s">
        <v>446</v>
      </c>
      <c r="K47" s="1" t="s">
        <v>64</v>
      </c>
      <c r="L47" s="93">
        <v>9999.0</v>
      </c>
    </row>
    <row r="48">
      <c r="A48" s="154">
        <v>43702.27976414352</v>
      </c>
      <c r="B48" s="121" t="s">
        <v>48</v>
      </c>
      <c r="C48" s="155" t="s">
        <v>105</v>
      </c>
      <c r="D48" s="93">
        <v>0.0</v>
      </c>
      <c r="E48" s="93">
        <v>0.0</v>
      </c>
      <c r="F48" s="1" t="s">
        <v>248</v>
      </c>
      <c r="G48" s="1" t="s">
        <v>447</v>
      </c>
      <c r="H48" s="1" t="s">
        <v>423</v>
      </c>
      <c r="I48" s="1" t="s">
        <v>382</v>
      </c>
      <c r="K48" s="1" t="s">
        <v>288</v>
      </c>
      <c r="L48" s="93">
        <v>9999.0</v>
      </c>
    </row>
    <row r="49">
      <c r="A49" s="154">
        <v>43702.27976414352</v>
      </c>
      <c r="B49" s="121" t="s">
        <v>48</v>
      </c>
      <c r="C49" s="156" t="s">
        <v>90</v>
      </c>
      <c r="D49" s="93">
        <v>0.0</v>
      </c>
      <c r="E49" s="93">
        <v>0.0</v>
      </c>
      <c r="F49" s="1" t="s">
        <v>248</v>
      </c>
      <c r="G49" s="1" t="s">
        <v>448</v>
      </c>
      <c r="H49" s="1" t="s">
        <v>373</v>
      </c>
      <c r="I49" s="93">
        <v>8.0</v>
      </c>
      <c r="J49" s="93">
        <v>63.0</v>
      </c>
      <c r="K49" s="1" t="s">
        <v>69</v>
      </c>
      <c r="L49" s="93">
        <v>9999.0</v>
      </c>
    </row>
    <row r="50">
      <c r="A50" s="154">
        <v>43702.27976414352</v>
      </c>
      <c r="B50" s="121" t="s">
        <v>48</v>
      </c>
      <c r="C50" s="155" t="s">
        <v>155</v>
      </c>
      <c r="D50" s="93">
        <v>0.0</v>
      </c>
      <c r="E50" s="93">
        <v>0.0</v>
      </c>
      <c r="F50" s="1" t="s">
        <v>248</v>
      </c>
      <c r="G50" s="1" t="s">
        <v>449</v>
      </c>
      <c r="H50" s="1" t="s">
        <v>381</v>
      </c>
      <c r="I50" s="1" t="s">
        <v>382</v>
      </c>
      <c r="K50" s="1" t="s">
        <v>288</v>
      </c>
      <c r="L50" s="93">
        <v>9999.0</v>
      </c>
    </row>
    <row r="51">
      <c r="A51" s="154">
        <v>43702.27976414352</v>
      </c>
      <c r="B51" s="121" t="s">
        <v>48</v>
      </c>
      <c r="C51" s="155" t="s">
        <v>187</v>
      </c>
      <c r="D51" s="93">
        <v>0.0</v>
      </c>
      <c r="E51" s="93">
        <v>0.0</v>
      </c>
      <c r="F51" s="1" t="s">
        <v>248</v>
      </c>
      <c r="G51" s="1" t="s">
        <v>450</v>
      </c>
      <c r="H51" s="1" t="s">
        <v>403</v>
      </c>
      <c r="I51" s="1" t="s">
        <v>451</v>
      </c>
      <c r="J51" s="93">
        <v>58.0</v>
      </c>
      <c r="K51" s="1" t="s">
        <v>53</v>
      </c>
      <c r="L51" s="93">
        <v>9999.0</v>
      </c>
    </row>
    <row r="52">
      <c r="A52" s="154">
        <v>43702.27976414352</v>
      </c>
      <c r="B52" s="121" t="s">
        <v>48</v>
      </c>
      <c r="C52" s="155" t="s">
        <v>176</v>
      </c>
      <c r="D52" s="93">
        <v>0.0</v>
      </c>
      <c r="E52" s="93">
        <v>0.0</v>
      </c>
      <c r="F52" s="1" t="s">
        <v>248</v>
      </c>
      <c r="G52" s="1" t="s">
        <v>452</v>
      </c>
      <c r="H52" s="1" t="s">
        <v>405</v>
      </c>
      <c r="I52" s="93">
        <v>-21.0</v>
      </c>
      <c r="J52" s="1" t="s">
        <v>276</v>
      </c>
      <c r="K52" s="1" t="s">
        <v>288</v>
      </c>
      <c r="L52" s="93">
        <v>9999.0</v>
      </c>
    </row>
    <row r="53">
      <c r="A53" s="154">
        <v>43702.27976414352</v>
      </c>
      <c r="B53" s="121" t="s">
        <v>48</v>
      </c>
      <c r="C53" s="155" t="s">
        <v>127</v>
      </c>
      <c r="D53" s="93">
        <v>0.0</v>
      </c>
      <c r="E53" s="93">
        <v>0.0</v>
      </c>
      <c r="F53" s="1" t="s">
        <v>248</v>
      </c>
      <c r="G53" s="1" t="s">
        <v>453</v>
      </c>
      <c r="H53" s="1" t="s">
        <v>405</v>
      </c>
      <c r="I53" s="1" t="s">
        <v>454</v>
      </c>
      <c r="J53" s="93">
        <v>54.0</v>
      </c>
      <c r="K53" s="1" t="s">
        <v>62</v>
      </c>
      <c r="L53" s="93">
        <v>9999.0</v>
      </c>
    </row>
    <row r="54">
      <c r="A54" s="154">
        <v>43702.27976414352</v>
      </c>
      <c r="B54" s="121" t="s">
        <v>48</v>
      </c>
      <c r="C54" s="155" t="s">
        <v>144</v>
      </c>
      <c r="D54" s="93">
        <v>0.0</v>
      </c>
      <c r="E54" s="93">
        <v>0.0</v>
      </c>
      <c r="F54" s="1" t="s">
        <v>248</v>
      </c>
      <c r="G54" s="1" t="s">
        <v>455</v>
      </c>
      <c r="H54" s="1" t="s">
        <v>405</v>
      </c>
      <c r="I54" s="1" t="s">
        <v>456</v>
      </c>
      <c r="J54" s="93">
        <v>49.0</v>
      </c>
      <c r="K54" s="1" t="s">
        <v>58</v>
      </c>
      <c r="L54" s="93">
        <v>9999.0</v>
      </c>
    </row>
    <row r="55">
      <c r="A55" s="154">
        <v>43702.27976414352</v>
      </c>
      <c r="B55" s="121" t="s">
        <v>48</v>
      </c>
      <c r="C55" s="155" t="s">
        <v>33</v>
      </c>
      <c r="D55" s="93">
        <v>0.0</v>
      </c>
      <c r="E55" s="93">
        <v>0.0</v>
      </c>
      <c r="F55" s="1" t="s">
        <v>248</v>
      </c>
      <c r="G55" s="1" t="s">
        <v>457</v>
      </c>
      <c r="H55" s="1" t="s">
        <v>458</v>
      </c>
      <c r="I55" s="1" t="s">
        <v>459</v>
      </c>
      <c r="J55" s="93">
        <v>83.0</v>
      </c>
      <c r="K55" s="1" t="s">
        <v>53</v>
      </c>
      <c r="L55" s="93">
        <v>9999.0</v>
      </c>
    </row>
    <row r="56">
      <c r="A56" s="152" t="s">
        <v>359</v>
      </c>
      <c r="B56" s="115" t="s">
        <v>2</v>
      </c>
      <c r="C56" s="153" t="s">
        <v>227</v>
      </c>
      <c r="D56" s="118" t="s">
        <v>29</v>
      </c>
      <c r="E56" s="118" t="s">
        <v>34</v>
      </c>
      <c r="F56" s="119" t="s">
        <v>261</v>
      </c>
      <c r="G56" s="119" t="s">
        <v>245</v>
      </c>
      <c r="H56" s="119" t="s">
        <v>228</v>
      </c>
      <c r="I56" s="119" t="s">
        <v>229</v>
      </c>
      <c r="J56" s="119" t="s">
        <v>262</v>
      </c>
      <c r="K56" s="120" t="s">
        <v>263</v>
      </c>
      <c r="L56" s="120" t="s">
        <v>264</v>
      </c>
    </row>
    <row r="57">
      <c r="A57" s="154">
        <v>43702.27976414352</v>
      </c>
      <c r="B57" s="121" t="s">
        <v>53</v>
      </c>
      <c r="C57" s="155" t="s">
        <v>136</v>
      </c>
      <c r="D57" s="93">
        <v>0.0</v>
      </c>
      <c r="E57" s="93">
        <v>0.0</v>
      </c>
      <c r="F57" s="1" t="s">
        <v>248</v>
      </c>
      <c r="G57" s="1" t="s">
        <v>460</v>
      </c>
      <c r="H57" s="1" t="s">
        <v>396</v>
      </c>
      <c r="I57" s="1" t="s">
        <v>461</v>
      </c>
      <c r="J57" s="1" t="s">
        <v>462</v>
      </c>
      <c r="K57" s="1" t="s">
        <v>288</v>
      </c>
      <c r="L57" s="93">
        <v>9999.0</v>
      </c>
    </row>
    <row r="58">
      <c r="A58" s="154">
        <v>43702.27976414352</v>
      </c>
      <c r="B58" s="121" t="s">
        <v>53</v>
      </c>
      <c r="C58" s="155" t="s">
        <v>157</v>
      </c>
      <c r="D58" s="93">
        <v>0.0</v>
      </c>
      <c r="E58" s="93">
        <v>0.0</v>
      </c>
      <c r="F58" s="1" t="s">
        <v>248</v>
      </c>
      <c r="G58" s="1" t="s">
        <v>463</v>
      </c>
      <c r="H58" s="1" t="s">
        <v>443</v>
      </c>
      <c r="I58" s="1" t="s">
        <v>431</v>
      </c>
      <c r="J58" s="1" t="s">
        <v>397</v>
      </c>
      <c r="K58" s="1" t="s">
        <v>288</v>
      </c>
      <c r="L58" s="93">
        <v>9999.0</v>
      </c>
    </row>
    <row r="59">
      <c r="A59" s="154">
        <v>43702.27976414352</v>
      </c>
      <c r="B59" s="121" t="s">
        <v>53</v>
      </c>
      <c r="C59" s="155" t="s">
        <v>164</v>
      </c>
      <c r="D59" s="93">
        <v>0.0</v>
      </c>
      <c r="E59" s="93">
        <v>0.0</v>
      </c>
      <c r="F59" s="1" t="s">
        <v>248</v>
      </c>
      <c r="G59" s="1" t="s">
        <v>464</v>
      </c>
      <c r="H59" s="1" t="s">
        <v>465</v>
      </c>
      <c r="I59" s="93">
        <v>-13.0</v>
      </c>
      <c r="J59" s="1" t="s">
        <v>446</v>
      </c>
      <c r="K59" s="1" t="s">
        <v>69</v>
      </c>
      <c r="L59" s="93">
        <v>9999.0</v>
      </c>
    </row>
    <row r="60">
      <c r="A60" s="154">
        <v>43702.27976414352</v>
      </c>
      <c r="B60" s="121" t="s">
        <v>53</v>
      </c>
      <c r="C60" s="156" t="s">
        <v>179</v>
      </c>
      <c r="D60" s="93">
        <v>0.0</v>
      </c>
      <c r="E60" s="93">
        <v>0.0</v>
      </c>
      <c r="F60" s="1" t="s">
        <v>248</v>
      </c>
      <c r="G60" s="1" t="s">
        <v>421</v>
      </c>
      <c r="H60" s="1" t="s">
        <v>369</v>
      </c>
      <c r="I60" s="93">
        <v>-21.0</v>
      </c>
      <c r="J60" s="1" t="s">
        <v>276</v>
      </c>
      <c r="K60" s="1" t="s">
        <v>41</v>
      </c>
      <c r="L60" s="93">
        <v>9999.0</v>
      </c>
    </row>
    <row r="61">
      <c r="A61" s="154">
        <v>43702.27976414352</v>
      </c>
      <c r="B61" s="121" t="s">
        <v>53</v>
      </c>
      <c r="C61" s="155" t="s">
        <v>119</v>
      </c>
      <c r="D61" s="93">
        <v>0.0</v>
      </c>
      <c r="E61" s="93">
        <v>0.0</v>
      </c>
      <c r="F61" s="1" t="s">
        <v>248</v>
      </c>
      <c r="G61" s="1" t="s">
        <v>466</v>
      </c>
      <c r="H61" s="1" t="s">
        <v>373</v>
      </c>
      <c r="I61" s="1" t="s">
        <v>382</v>
      </c>
      <c r="K61" s="1" t="s">
        <v>288</v>
      </c>
      <c r="L61" s="93">
        <v>9999.0</v>
      </c>
    </row>
    <row r="62">
      <c r="A62" s="154">
        <v>43702.27976414352</v>
      </c>
      <c r="B62" s="121" t="s">
        <v>53</v>
      </c>
      <c r="C62" s="155" t="s">
        <v>148</v>
      </c>
      <c r="D62" s="93">
        <v>0.0</v>
      </c>
      <c r="E62" s="93">
        <v>0.0</v>
      </c>
      <c r="F62" s="1" t="s">
        <v>248</v>
      </c>
      <c r="G62" s="1" t="s">
        <v>467</v>
      </c>
      <c r="H62" s="1" t="s">
        <v>403</v>
      </c>
      <c r="I62" s="1" t="s">
        <v>382</v>
      </c>
      <c r="K62" s="1" t="s">
        <v>288</v>
      </c>
      <c r="L62" s="93">
        <v>9999.0</v>
      </c>
    </row>
    <row r="63">
      <c r="A63" s="154">
        <v>43702.27976414352</v>
      </c>
      <c r="B63" s="121" t="s">
        <v>53</v>
      </c>
      <c r="C63" s="155" t="s">
        <v>42</v>
      </c>
      <c r="D63" s="93">
        <v>0.0</v>
      </c>
      <c r="E63" s="93">
        <v>0.0</v>
      </c>
      <c r="F63" s="1" t="s">
        <v>248</v>
      </c>
      <c r="G63" s="1" t="s">
        <v>450</v>
      </c>
      <c r="H63" s="1" t="s">
        <v>403</v>
      </c>
      <c r="I63" s="1" t="s">
        <v>428</v>
      </c>
      <c r="J63" s="93">
        <v>58.0</v>
      </c>
      <c r="K63" s="1" t="s">
        <v>48</v>
      </c>
      <c r="L63" s="93">
        <v>9999.0</v>
      </c>
    </row>
    <row r="64">
      <c r="A64" s="154">
        <v>43702.27976414352</v>
      </c>
      <c r="B64" s="121" t="s">
        <v>53</v>
      </c>
      <c r="C64" s="155" t="s">
        <v>93</v>
      </c>
      <c r="D64" s="93">
        <v>0.0</v>
      </c>
      <c r="E64" s="93">
        <v>0.0</v>
      </c>
      <c r="F64" s="1" t="s">
        <v>248</v>
      </c>
      <c r="G64" s="1" t="s">
        <v>427</v>
      </c>
      <c r="H64" s="1" t="s">
        <v>405</v>
      </c>
      <c r="I64" s="1" t="s">
        <v>451</v>
      </c>
      <c r="J64" s="93">
        <v>46.0</v>
      </c>
      <c r="K64" s="1" t="s">
        <v>41</v>
      </c>
      <c r="L64" s="93">
        <v>9999.0</v>
      </c>
    </row>
    <row r="65">
      <c r="A65" s="154">
        <v>43702.27976414352</v>
      </c>
      <c r="B65" s="121" t="s">
        <v>53</v>
      </c>
      <c r="C65" s="155" t="s">
        <v>191</v>
      </c>
      <c r="D65" s="93">
        <v>0.0</v>
      </c>
      <c r="E65" s="93">
        <v>0.0</v>
      </c>
      <c r="F65" s="1" t="s">
        <v>248</v>
      </c>
      <c r="G65" s="1" t="s">
        <v>468</v>
      </c>
      <c r="H65" s="1" t="s">
        <v>469</v>
      </c>
      <c r="I65" s="1" t="s">
        <v>382</v>
      </c>
      <c r="K65" s="1" t="s">
        <v>288</v>
      </c>
      <c r="L65" s="93">
        <v>9999.0</v>
      </c>
    </row>
    <row r="66">
      <c r="A66" s="154">
        <v>43702.27976414352</v>
      </c>
      <c r="B66" s="121" t="s">
        <v>53</v>
      </c>
      <c r="C66" s="155" t="s">
        <v>100</v>
      </c>
      <c r="D66" s="93">
        <v>0.0</v>
      </c>
      <c r="E66" s="93">
        <v>0.0</v>
      </c>
      <c r="F66" s="1" t="s">
        <v>248</v>
      </c>
      <c r="G66" s="1" t="s">
        <v>457</v>
      </c>
      <c r="H66" s="1" t="s">
        <v>458</v>
      </c>
      <c r="I66" s="1" t="s">
        <v>470</v>
      </c>
      <c r="J66" s="93">
        <v>83.0</v>
      </c>
      <c r="K66" s="1" t="s">
        <v>48</v>
      </c>
      <c r="L66" s="93">
        <v>9999.0</v>
      </c>
    </row>
    <row r="67">
      <c r="A67" s="152" t="s">
        <v>359</v>
      </c>
      <c r="B67" s="115" t="s">
        <v>2</v>
      </c>
      <c r="C67" s="153" t="s">
        <v>227</v>
      </c>
      <c r="D67" s="118" t="s">
        <v>29</v>
      </c>
      <c r="E67" s="118" t="s">
        <v>34</v>
      </c>
      <c r="F67" s="119" t="s">
        <v>261</v>
      </c>
      <c r="G67" s="119" t="s">
        <v>245</v>
      </c>
      <c r="H67" s="119" t="s">
        <v>228</v>
      </c>
      <c r="I67" s="119" t="s">
        <v>229</v>
      </c>
      <c r="J67" s="119" t="s">
        <v>262</v>
      </c>
      <c r="K67" s="120" t="s">
        <v>263</v>
      </c>
      <c r="L67" s="120" t="s">
        <v>264</v>
      </c>
    </row>
    <row r="68">
      <c r="A68" s="154">
        <v>43702.27976414352</v>
      </c>
      <c r="B68" s="121" t="s">
        <v>58</v>
      </c>
      <c r="C68" s="155" t="s">
        <v>140</v>
      </c>
      <c r="D68" s="93">
        <v>0.0</v>
      </c>
      <c r="E68" s="93">
        <v>0.0</v>
      </c>
      <c r="F68" s="1" t="s">
        <v>248</v>
      </c>
      <c r="G68" s="1" t="s">
        <v>471</v>
      </c>
      <c r="H68" s="1" t="s">
        <v>392</v>
      </c>
      <c r="I68" s="1" t="s">
        <v>472</v>
      </c>
      <c r="J68" s="1" t="s">
        <v>473</v>
      </c>
      <c r="K68" s="1" t="s">
        <v>288</v>
      </c>
      <c r="L68" s="93">
        <v>9999.0</v>
      </c>
    </row>
    <row r="69">
      <c r="A69" s="154">
        <v>43702.27976414352</v>
      </c>
      <c r="B69" s="121" t="s">
        <v>58</v>
      </c>
      <c r="C69" s="155" t="s">
        <v>135</v>
      </c>
      <c r="D69" s="93">
        <v>0.0</v>
      </c>
      <c r="E69" s="93">
        <v>0.0</v>
      </c>
      <c r="F69" s="1" t="s">
        <v>248</v>
      </c>
      <c r="G69" s="1" t="s">
        <v>474</v>
      </c>
      <c r="H69" s="1" t="s">
        <v>434</v>
      </c>
      <c r="I69" s="1" t="s">
        <v>275</v>
      </c>
      <c r="J69" s="1" t="s">
        <v>237</v>
      </c>
      <c r="K69" s="1" t="s">
        <v>288</v>
      </c>
      <c r="L69" s="93">
        <v>9999.0</v>
      </c>
    </row>
    <row r="70">
      <c r="A70" s="154">
        <v>43702.27976414352</v>
      </c>
      <c r="B70" s="121" t="s">
        <v>58</v>
      </c>
      <c r="C70" s="155" t="s">
        <v>45</v>
      </c>
      <c r="D70" s="93">
        <v>0.0</v>
      </c>
      <c r="E70" s="93">
        <v>0.0</v>
      </c>
      <c r="F70" s="1" t="s">
        <v>248</v>
      </c>
      <c r="G70" s="1" t="s">
        <v>436</v>
      </c>
      <c r="H70" s="1" t="s">
        <v>366</v>
      </c>
      <c r="I70" s="1" t="s">
        <v>274</v>
      </c>
      <c r="J70" s="1" t="s">
        <v>276</v>
      </c>
      <c r="K70" s="1" t="s">
        <v>44</v>
      </c>
      <c r="L70" s="93">
        <v>9999.0</v>
      </c>
    </row>
    <row r="71">
      <c r="A71" s="154">
        <v>43702.27976414352</v>
      </c>
      <c r="B71" s="121" t="s">
        <v>58</v>
      </c>
      <c r="C71" s="156" t="s">
        <v>72</v>
      </c>
      <c r="D71" s="93">
        <v>0.0</v>
      </c>
      <c r="E71" s="93">
        <v>0.0</v>
      </c>
      <c r="F71" s="1" t="s">
        <v>248</v>
      </c>
      <c r="G71" s="1" t="s">
        <v>372</v>
      </c>
      <c r="H71" s="1" t="s">
        <v>373</v>
      </c>
      <c r="I71" s="1" t="s">
        <v>475</v>
      </c>
      <c r="J71" s="93">
        <v>58.0</v>
      </c>
      <c r="K71" s="1" t="s">
        <v>27</v>
      </c>
      <c r="L71" s="93">
        <v>9999.0</v>
      </c>
    </row>
    <row r="72">
      <c r="A72" s="154">
        <v>43702.27976414352</v>
      </c>
      <c r="B72" s="121" t="s">
        <v>58</v>
      </c>
      <c r="C72" s="155" t="s">
        <v>183</v>
      </c>
      <c r="D72" s="93">
        <v>0.0</v>
      </c>
      <c r="E72" s="93">
        <v>0.0</v>
      </c>
      <c r="F72" s="1" t="s">
        <v>248</v>
      </c>
      <c r="G72" s="1" t="s">
        <v>476</v>
      </c>
      <c r="H72" s="1" t="s">
        <v>373</v>
      </c>
      <c r="I72" s="93">
        <v>-26.0</v>
      </c>
      <c r="J72" s="1" t="s">
        <v>276</v>
      </c>
      <c r="K72" s="1" t="s">
        <v>60</v>
      </c>
      <c r="L72" s="93">
        <v>9999.0</v>
      </c>
    </row>
    <row r="73">
      <c r="A73" s="154">
        <v>43702.27976414352</v>
      </c>
      <c r="B73" s="121" t="s">
        <v>58</v>
      </c>
      <c r="C73" s="155" t="s">
        <v>186</v>
      </c>
      <c r="D73" s="93">
        <v>0.0</v>
      </c>
      <c r="E73" s="93">
        <v>0.0</v>
      </c>
      <c r="F73" s="1" t="s">
        <v>248</v>
      </c>
      <c r="G73" s="1" t="s">
        <v>477</v>
      </c>
      <c r="H73" s="1" t="s">
        <v>373</v>
      </c>
      <c r="I73" s="1" t="s">
        <v>382</v>
      </c>
      <c r="K73" s="1" t="s">
        <v>288</v>
      </c>
      <c r="L73" s="93">
        <v>9999.0</v>
      </c>
    </row>
    <row r="74">
      <c r="A74" s="154">
        <v>43702.27976414352</v>
      </c>
      <c r="B74" s="121" t="s">
        <v>58</v>
      </c>
      <c r="C74" s="155" t="s">
        <v>96</v>
      </c>
      <c r="D74" s="93">
        <v>0.0</v>
      </c>
      <c r="E74" s="93">
        <v>0.0</v>
      </c>
      <c r="F74" s="1" t="s">
        <v>248</v>
      </c>
      <c r="G74" s="1" t="s">
        <v>478</v>
      </c>
      <c r="H74" s="1" t="s">
        <v>403</v>
      </c>
      <c r="I74" s="1" t="s">
        <v>382</v>
      </c>
      <c r="K74" s="1" t="s">
        <v>288</v>
      </c>
      <c r="L74" s="93">
        <v>9999.0</v>
      </c>
    </row>
    <row r="75">
      <c r="A75" s="154">
        <v>43702.27976414352</v>
      </c>
      <c r="B75" s="121" t="s">
        <v>58</v>
      </c>
      <c r="C75" s="155" t="s">
        <v>165</v>
      </c>
      <c r="D75" s="93">
        <v>0.0</v>
      </c>
      <c r="E75" s="93">
        <v>0.0</v>
      </c>
      <c r="F75" s="1" t="s">
        <v>248</v>
      </c>
      <c r="G75" s="1" t="s">
        <v>479</v>
      </c>
      <c r="H75" s="1" t="s">
        <v>405</v>
      </c>
      <c r="I75" s="1" t="s">
        <v>418</v>
      </c>
      <c r="J75" s="93">
        <v>56.0</v>
      </c>
      <c r="K75" s="1" t="s">
        <v>74</v>
      </c>
      <c r="L75" s="93">
        <v>9999.0</v>
      </c>
    </row>
    <row r="76">
      <c r="A76" s="154">
        <v>43702.27976414352</v>
      </c>
      <c r="B76" s="121" t="s">
        <v>58</v>
      </c>
      <c r="C76" s="155" t="s">
        <v>110</v>
      </c>
      <c r="D76" s="93">
        <v>0.0</v>
      </c>
      <c r="E76" s="93">
        <v>0.0</v>
      </c>
      <c r="F76" s="1" t="s">
        <v>248</v>
      </c>
      <c r="G76" s="1" t="s">
        <v>455</v>
      </c>
      <c r="H76" s="1" t="s">
        <v>405</v>
      </c>
      <c r="I76" s="1" t="s">
        <v>393</v>
      </c>
      <c r="J76" s="93">
        <v>49.0</v>
      </c>
      <c r="K76" s="1" t="s">
        <v>48</v>
      </c>
      <c r="L76" s="93">
        <v>9999.0</v>
      </c>
    </row>
    <row r="77">
      <c r="A77" s="154">
        <v>43702.27976414352</v>
      </c>
      <c r="B77" s="121" t="s">
        <v>58</v>
      </c>
      <c r="C77" s="155" t="s">
        <v>158</v>
      </c>
      <c r="D77" s="93">
        <v>0.0</v>
      </c>
      <c r="E77" s="93">
        <v>0.0</v>
      </c>
      <c r="F77" s="1" t="s">
        <v>248</v>
      </c>
      <c r="G77" s="1" t="s">
        <v>480</v>
      </c>
      <c r="H77" s="1" t="s">
        <v>410</v>
      </c>
      <c r="I77" s="1" t="s">
        <v>382</v>
      </c>
      <c r="K77" s="1" t="s">
        <v>288</v>
      </c>
      <c r="L77" s="93">
        <v>9999.0</v>
      </c>
    </row>
    <row r="78">
      <c r="A78" s="152" t="s">
        <v>359</v>
      </c>
      <c r="B78" s="115" t="s">
        <v>2</v>
      </c>
      <c r="C78" s="153" t="s">
        <v>227</v>
      </c>
      <c r="D78" s="118" t="s">
        <v>29</v>
      </c>
      <c r="E78" s="118" t="s">
        <v>34</v>
      </c>
      <c r="F78" s="119" t="s">
        <v>261</v>
      </c>
      <c r="G78" s="119" t="s">
        <v>245</v>
      </c>
      <c r="H78" s="119" t="s">
        <v>228</v>
      </c>
      <c r="I78" s="119" t="s">
        <v>229</v>
      </c>
      <c r="J78" s="119" t="s">
        <v>262</v>
      </c>
      <c r="K78" s="120" t="s">
        <v>263</v>
      </c>
      <c r="L78" s="120" t="s">
        <v>264</v>
      </c>
    </row>
    <row r="79">
      <c r="A79" s="154">
        <v>43702.27976414352</v>
      </c>
      <c r="B79" s="121" t="s">
        <v>60</v>
      </c>
      <c r="C79" s="155" t="s">
        <v>175</v>
      </c>
      <c r="D79" s="93">
        <v>1.0</v>
      </c>
      <c r="E79" s="93">
        <v>0.0</v>
      </c>
      <c r="F79" s="1" t="s">
        <v>201</v>
      </c>
      <c r="G79" s="1" t="s">
        <v>481</v>
      </c>
      <c r="H79" s="1" t="s">
        <v>430</v>
      </c>
      <c r="I79" s="93">
        <v>-7.0</v>
      </c>
      <c r="J79" s="1" t="s">
        <v>482</v>
      </c>
      <c r="K79" s="1" t="s">
        <v>69</v>
      </c>
      <c r="L79" s="93">
        <v>9999.0</v>
      </c>
    </row>
    <row r="80">
      <c r="A80" s="154">
        <v>43702.27976414352</v>
      </c>
      <c r="B80" s="121" t="s">
        <v>60</v>
      </c>
      <c r="C80" s="155" t="s">
        <v>59</v>
      </c>
      <c r="D80" s="93">
        <v>0.0</v>
      </c>
      <c r="E80" s="93">
        <v>0.0</v>
      </c>
      <c r="F80" s="1" t="s">
        <v>248</v>
      </c>
      <c r="G80" s="1" t="s">
        <v>483</v>
      </c>
      <c r="H80" s="1" t="s">
        <v>434</v>
      </c>
      <c r="I80" s="1" t="s">
        <v>484</v>
      </c>
      <c r="J80" s="93">
        <v>64.0</v>
      </c>
      <c r="K80" s="1" t="s">
        <v>288</v>
      </c>
      <c r="L80" s="93">
        <v>9999.0</v>
      </c>
    </row>
    <row r="81">
      <c r="A81" s="154">
        <v>43702.27976414352</v>
      </c>
      <c r="B81" s="121" t="s">
        <v>60</v>
      </c>
      <c r="C81" s="155" t="s">
        <v>123</v>
      </c>
      <c r="D81" s="93">
        <v>0.0</v>
      </c>
      <c r="E81" s="93">
        <v>0.0</v>
      </c>
      <c r="F81" s="1" t="s">
        <v>248</v>
      </c>
      <c r="G81" s="1" t="s">
        <v>413</v>
      </c>
      <c r="H81" s="1" t="s">
        <v>396</v>
      </c>
      <c r="I81" s="93">
        <v>2.0</v>
      </c>
      <c r="J81" s="93">
        <v>57.0</v>
      </c>
      <c r="K81" s="1" t="s">
        <v>41</v>
      </c>
      <c r="L81" s="93">
        <v>9999.0</v>
      </c>
    </row>
    <row r="82">
      <c r="A82" s="154">
        <v>43702.27976414352</v>
      </c>
      <c r="B82" s="121" t="s">
        <v>60</v>
      </c>
      <c r="C82" s="156" t="s">
        <v>95</v>
      </c>
      <c r="D82" s="93">
        <v>0.0</v>
      </c>
      <c r="E82" s="93">
        <v>0.0</v>
      </c>
      <c r="F82" s="1" t="s">
        <v>248</v>
      </c>
      <c r="G82" s="1" t="s">
        <v>416</v>
      </c>
      <c r="H82" s="1" t="s">
        <v>417</v>
      </c>
      <c r="I82" s="1" t="s">
        <v>379</v>
      </c>
      <c r="J82" s="1" t="s">
        <v>419</v>
      </c>
      <c r="K82" s="1" t="s">
        <v>41</v>
      </c>
      <c r="L82" s="93">
        <v>9999.0</v>
      </c>
    </row>
    <row r="83">
      <c r="A83" s="154">
        <v>43702.27976414352</v>
      </c>
      <c r="B83" s="121" t="s">
        <v>60</v>
      </c>
      <c r="C83" s="155" t="s">
        <v>166</v>
      </c>
      <c r="D83" s="93">
        <v>0.0</v>
      </c>
      <c r="E83" s="93">
        <v>0.0</v>
      </c>
      <c r="F83" s="1" t="s">
        <v>248</v>
      </c>
      <c r="G83" s="1" t="s">
        <v>485</v>
      </c>
      <c r="H83" s="1" t="s">
        <v>486</v>
      </c>
      <c r="I83" s="1" t="s">
        <v>251</v>
      </c>
      <c r="J83" s="1" t="s">
        <v>487</v>
      </c>
      <c r="K83" s="1" t="s">
        <v>69</v>
      </c>
      <c r="L83" s="93">
        <v>9999.0</v>
      </c>
    </row>
    <row r="84">
      <c r="A84" s="154">
        <v>43702.27976414352</v>
      </c>
      <c r="B84" s="121" t="s">
        <v>60</v>
      </c>
      <c r="C84" s="155" t="s">
        <v>137</v>
      </c>
      <c r="D84" s="93">
        <v>0.0</v>
      </c>
      <c r="E84" s="93">
        <v>0.0</v>
      </c>
      <c r="F84" s="1" t="s">
        <v>248</v>
      </c>
      <c r="G84" s="1" t="s">
        <v>488</v>
      </c>
      <c r="H84" s="1" t="s">
        <v>369</v>
      </c>
      <c r="I84" s="93">
        <v>17.0</v>
      </c>
      <c r="J84" s="93">
        <v>59.0</v>
      </c>
      <c r="K84" s="1" t="s">
        <v>288</v>
      </c>
      <c r="L84" s="93">
        <v>9999.0</v>
      </c>
    </row>
    <row r="85">
      <c r="A85" s="154">
        <v>43702.27976414352</v>
      </c>
      <c r="B85" s="121" t="s">
        <v>60</v>
      </c>
      <c r="C85" s="155" t="s">
        <v>149</v>
      </c>
      <c r="D85" s="93">
        <v>0.0</v>
      </c>
      <c r="E85" s="93">
        <v>0.0</v>
      </c>
      <c r="F85" s="1" t="s">
        <v>248</v>
      </c>
      <c r="G85" s="1" t="s">
        <v>489</v>
      </c>
      <c r="H85" s="1" t="s">
        <v>373</v>
      </c>
      <c r="I85" s="1" t="s">
        <v>382</v>
      </c>
      <c r="K85" s="1" t="s">
        <v>288</v>
      </c>
      <c r="L85" s="93">
        <v>9999.0</v>
      </c>
    </row>
    <row r="86">
      <c r="A86" s="154">
        <v>43702.27976414352</v>
      </c>
      <c r="B86" s="121" t="s">
        <v>60</v>
      </c>
      <c r="C86" s="155" t="s">
        <v>189</v>
      </c>
      <c r="D86" s="93">
        <v>0.0</v>
      </c>
      <c r="E86" s="93">
        <v>0.0</v>
      </c>
      <c r="F86" s="1" t="s">
        <v>248</v>
      </c>
      <c r="G86" s="1" t="s">
        <v>476</v>
      </c>
      <c r="H86" s="1" t="s">
        <v>373</v>
      </c>
      <c r="I86" s="93">
        <v>26.0</v>
      </c>
      <c r="J86" s="1" t="s">
        <v>276</v>
      </c>
      <c r="K86" s="1" t="s">
        <v>58</v>
      </c>
      <c r="L86" s="93">
        <v>9999.0</v>
      </c>
    </row>
    <row r="87">
      <c r="A87" s="154">
        <v>43702.27976414352</v>
      </c>
      <c r="B87" s="121" t="s">
        <v>60</v>
      </c>
      <c r="C87" s="155" t="s">
        <v>117</v>
      </c>
      <c r="D87" s="93">
        <v>0.0</v>
      </c>
      <c r="E87" s="93">
        <v>0.0</v>
      </c>
      <c r="F87" s="1" t="s">
        <v>248</v>
      </c>
      <c r="G87" s="1" t="s">
        <v>490</v>
      </c>
      <c r="H87" s="1" t="s">
        <v>378</v>
      </c>
      <c r="I87" s="1" t="s">
        <v>247</v>
      </c>
      <c r="J87" s="93">
        <v>47.0</v>
      </c>
      <c r="K87" s="1" t="s">
        <v>74</v>
      </c>
      <c r="L87" s="93">
        <v>9999.0</v>
      </c>
    </row>
    <row r="88">
      <c r="A88" s="154">
        <v>43702.27976414352</v>
      </c>
      <c r="B88" s="121" t="s">
        <v>60</v>
      </c>
      <c r="C88" s="155" t="s">
        <v>103</v>
      </c>
      <c r="D88" s="93">
        <v>0.0</v>
      </c>
      <c r="E88" s="93">
        <v>0.0</v>
      </c>
      <c r="F88" s="1" t="s">
        <v>248</v>
      </c>
      <c r="G88" s="1" t="s">
        <v>491</v>
      </c>
      <c r="H88" s="1" t="s">
        <v>469</v>
      </c>
      <c r="I88" s="1" t="s">
        <v>390</v>
      </c>
      <c r="J88" s="93">
        <v>55.0</v>
      </c>
      <c r="K88" s="1" t="s">
        <v>69</v>
      </c>
      <c r="L88" s="93">
        <v>9999.0</v>
      </c>
    </row>
    <row r="89">
      <c r="A89" s="152" t="s">
        <v>359</v>
      </c>
      <c r="B89" s="115" t="s">
        <v>2</v>
      </c>
      <c r="C89" s="153" t="s">
        <v>227</v>
      </c>
      <c r="D89" s="118" t="s">
        <v>29</v>
      </c>
      <c r="E89" s="118" t="s">
        <v>34</v>
      </c>
      <c r="F89" s="119" t="s">
        <v>261</v>
      </c>
      <c r="G89" s="119" t="s">
        <v>245</v>
      </c>
      <c r="H89" s="119" t="s">
        <v>228</v>
      </c>
      <c r="I89" s="119" t="s">
        <v>229</v>
      </c>
      <c r="J89" s="119" t="s">
        <v>262</v>
      </c>
      <c r="K89" s="120" t="s">
        <v>263</v>
      </c>
      <c r="L89" s="120" t="s">
        <v>264</v>
      </c>
    </row>
    <row r="90">
      <c r="A90" s="154">
        <v>43702.27976414352</v>
      </c>
      <c r="B90" s="121" t="s">
        <v>62</v>
      </c>
      <c r="C90" s="155" t="s">
        <v>153</v>
      </c>
      <c r="D90" s="93">
        <v>1.0</v>
      </c>
      <c r="E90" s="93">
        <v>0.0</v>
      </c>
      <c r="F90" s="1" t="s">
        <v>260</v>
      </c>
      <c r="G90" s="1" t="s">
        <v>429</v>
      </c>
      <c r="H90" s="1" t="s">
        <v>430</v>
      </c>
      <c r="I90" s="1" t="s">
        <v>492</v>
      </c>
      <c r="J90" s="1" t="s">
        <v>432</v>
      </c>
      <c r="K90" s="1" t="s">
        <v>44</v>
      </c>
      <c r="L90" s="93">
        <v>9999.0</v>
      </c>
    </row>
    <row r="91">
      <c r="A91" s="154">
        <v>43702.27976414352</v>
      </c>
      <c r="B91" s="121" t="s">
        <v>62</v>
      </c>
      <c r="C91" s="155" t="s">
        <v>5</v>
      </c>
      <c r="D91" s="93">
        <v>0.0</v>
      </c>
      <c r="E91" s="93">
        <v>0.0</v>
      </c>
      <c r="F91" s="1" t="s">
        <v>248</v>
      </c>
      <c r="G91" s="1" t="s">
        <v>411</v>
      </c>
      <c r="H91" s="1" t="s">
        <v>392</v>
      </c>
      <c r="I91" s="93">
        <v>-3.0</v>
      </c>
      <c r="J91" s="1" t="s">
        <v>412</v>
      </c>
      <c r="K91" s="1" t="s">
        <v>41</v>
      </c>
      <c r="L91" s="93">
        <v>9999.0</v>
      </c>
    </row>
    <row r="92">
      <c r="A92" s="154">
        <v>43702.27976414352</v>
      </c>
      <c r="B92" s="121" t="s">
        <v>62</v>
      </c>
      <c r="C92" s="155" t="s">
        <v>184</v>
      </c>
      <c r="D92" s="93">
        <v>0.0</v>
      </c>
      <c r="E92" s="93">
        <v>0.0</v>
      </c>
      <c r="F92" s="1" t="s">
        <v>248</v>
      </c>
      <c r="G92" s="1" t="s">
        <v>493</v>
      </c>
      <c r="H92" s="1" t="s">
        <v>494</v>
      </c>
      <c r="I92" s="1" t="s">
        <v>495</v>
      </c>
      <c r="J92" s="1" t="s">
        <v>276</v>
      </c>
      <c r="K92" s="1" t="s">
        <v>69</v>
      </c>
      <c r="L92" s="93">
        <v>9999.0</v>
      </c>
    </row>
    <row r="93">
      <c r="A93" s="154">
        <v>43702.27976414352</v>
      </c>
      <c r="B93" s="121" t="s">
        <v>62</v>
      </c>
      <c r="C93" s="156" t="s">
        <v>143</v>
      </c>
      <c r="D93" s="93">
        <v>0.0</v>
      </c>
      <c r="E93" s="93">
        <v>0.0</v>
      </c>
      <c r="F93" s="1" t="s">
        <v>248</v>
      </c>
      <c r="G93" s="1" t="s">
        <v>442</v>
      </c>
      <c r="H93" s="1" t="s">
        <v>443</v>
      </c>
      <c r="I93" s="93">
        <v>25.0</v>
      </c>
      <c r="J93" s="93">
        <v>62.0</v>
      </c>
      <c r="K93" s="1" t="s">
        <v>48</v>
      </c>
      <c r="L93" s="93">
        <v>9999.0</v>
      </c>
    </row>
    <row r="94">
      <c r="A94" s="154">
        <v>43702.27976414352</v>
      </c>
      <c r="B94" s="121" t="s">
        <v>62</v>
      </c>
      <c r="C94" s="155" t="s">
        <v>192</v>
      </c>
      <c r="D94" s="93">
        <v>0.0</v>
      </c>
      <c r="E94" s="93">
        <v>0.0</v>
      </c>
      <c r="F94" s="1" t="s">
        <v>248</v>
      </c>
      <c r="G94" s="1" t="s">
        <v>368</v>
      </c>
      <c r="H94" s="1" t="s">
        <v>369</v>
      </c>
      <c r="I94" s="93">
        <v>36.0</v>
      </c>
      <c r="J94" s="1" t="s">
        <v>370</v>
      </c>
      <c r="K94" s="1" t="s">
        <v>27</v>
      </c>
      <c r="L94" s="93">
        <v>9999.0</v>
      </c>
    </row>
    <row r="95">
      <c r="A95" s="154">
        <v>43702.27976414352</v>
      </c>
      <c r="B95" s="121" t="s">
        <v>62</v>
      </c>
      <c r="C95" s="155" t="s">
        <v>171</v>
      </c>
      <c r="D95" s="93">
        <v>0.0</v>
      </c>
      <c r="E95" s="93">
        <v>0.0</v>
      </c>
      <c r="F95" s="1" t="s">
        <v>248</v>
      </c>
      <c r="G95" s="1" t="s">
        <v>496</v>
      </c>
      <c r="H95" s="1" t="s">
        <v>497</v>
      </c>
      <c r="I95" s="1" t="s">
        <v>382</v>
      </c>
      <c r="K95" s="1" t="s">
        <v>288</v>
      </c>
      <c r="L95" s="93">
        <v>9999.0</v>
      </c>
    </row>
    <row r="96">
      <c r="A96" s="154">
        <v>43702.27976414352</v>
      </c>
      <c r="B96" s="121" t="s">
        <v>62</v>
      </c>
      <c r="C96" s="155" t="s">
        <v>92</v>
      </c>
      <c r="D96" s="93">
        <v>0.0</v>
      </c>
      <c r="E96" s="93">
        <v>0.0</v>
      </c>
      <c r="F96" s="1" t="s">
        <v>248</v>
      </c>
      <c r="G96" s="1" t="s">
        <v>498</v>
      </c>
      <c r="H96" s="1" t="s">
        <v>381</v>
      </c>
      <c r="I96" s="1" t="s">
        <v>426</v>
      </c>
      <c r="J96" s="93">
        <v>66.0</v>
      </c>
      <c r="K96" s="1" t="s">
        <v>288</v>
      </c>
      <c r="L96" s="93">
        <v>9999.0</v>
      </c>
    </row>
    <row r="97">
      <c r="A97" s="154">
        <v>43702.27976414352</v>
      </c>
      <c r="B97" s="121" t="s">
        <v>62</v>
      </c>
      <c r="C97" s="155" t="s">
        <v>112</v>
      </c>
      <c r="D97" s="93">
        <v>0.0</v>
      </c>
      <c r="E97" s="93">
        <v>0.0</v>
      </c>
      <c r="F97" s="1" t="s">
        <v>248</v>
      </c>
      <c r="G97" s="1" t="s">
        <v>453</v>
      </c>
      <c r="H97" s="1" t="s">
        <v>405</v>
      </c>
      <c r="I97" s="1" t="s">
        <v>495</v>
      </c>
      <c r="J97" s="93">
        <v>54.0</v>
      </c>
      <c r="K97" s="1" t="s">
        <v>48</v>
      </c>
      <c r="L97" s="93">
        <v>9999.0</v>
      </c>
    </row>
    <row r="98">
      <c r="A98" s="154">
        <v>43702.27976414352</v>
      </c>
      <c r="B98" s="121" t="s">
        <v>62</v>
      </c>
      <c r="C98" s="155" t="s">
        <v>128</v>
      </c>
      <c r="D98" s="93">
        <v>0.0</v>
      </c>
      <c r="E98" s="93">
        <v>0.0</v>
      </c>
      <c r="F98" s="1" t="s">
        <v>248</v>
      </c>
      <c r="G98" s="1" t="s">
        <v>499</v>
      </c>
      <c r="H98" s="1" t="s">
        <v>405</v>
      </c>
      <c r="I98" s="1" t="s">
        <v>382</v>
      </c>
      <c r="K98" s="1" t="s">
        <v>288</v>
      </c>
      <c r="L98" s="93">
        <v>9999.0</v>
      </c>
    </row>
    <row r="99">
      <c r="A99" s="154">
        <v>43702.27976414352</v>
      </c>
      <c r="B99" s="121" t="s">
        <v>62</v>
      </c>
      <c r="C99" s="155" t="s">
        <v>102</v>
      </c>
      <c r="D99" s="93">
        <v>0.0</v>
      </c>
      <c r="E99" s="93">
        <v>0.0</v>
      </c>
      <c r="F99" s="1" t="s">
        <v>248</v>
      </c>
      <c r="G99" s="1" t="s">
        <v>500</v>
      </c>
      <c r="H99" s="1" t="s">
        <v>469</v>
      </c>
      <c r="I99" s="1" t="s">
        <v>382</v>
      </c>
      <c r="K99" s="1" t="s">
        <v>288</v>
      </c>
      <c r="L99" s="93">
        <v>9999.0</v>
      </c>
    </row>
    <row r="100">
      <c r="A100" s="152" t="s">
        <v>359</v>
      </c>
      <c r="B100" s="115" t="s">
        <v>2</v>
      </c>
      <c r="C100" s="153" t="s">
        <v>227</v>
      </c>
      <c r="D100" s="118" t="s">
        <v>29</v>
      </c>
      <c r="E100" s="118" t="s">
        <v>34</v>
      </c>
      <c r="F100" s="119" t="s">
        <v>261</v>
      </c>
      <c r="G100" s="119" t="s">
        <v>245</v>
      </c>
      <c r="H100" s="119" t="s">
        <v>228</v>
      </c>
      <c r="I100" s="119" t="s">
        <v>229</v>
      </c>
      <c r="J100" s="119" t="s">
        <v>262</v>
      </c>
      <c r="K100" s="120" t="s">
        <v>263</v>
      </c>
      <c r="L100" s="120" t="s">
        <v>264</v>
      </c>
    </row>
    <row r="101">
      <c r="A101" s="154">
        <v>43702.27976414352</v>
      </c>
      <c r="B101" s="121" t="s">
        <v>64</v>
      </c>
      <c r="C101" s="155" t="s">
        <v>115</v>
      </c>
      <c r="D101" s="93">
        <v>0.0</v>
      </c>
      <c r="E101" s="93">
        <v>0.0</v>
      </c>
      <c r="F101" s="1" t="s">
        <v>248</v>
      </c>
      <c r="G101" s="1" t="s">
        <v>501</v>
      </c>
      <c r="H101" s="1" t="s">
        <v>502</v>
      </c>
      <c r="I101" s="1" t="s">
        <v>503</v>
      </c>
      <c r="J101" s="1" t="s">
        <v>280</v>
      </c>
      <c r="K101" s="1" t="s">
        <v>288</v>
      </c>
      <c r="L101" s="93">
        <v>9999.0</v>
      </c>
    </row>
    <row r="102">
      <c r="A102" s="154">
        <v>43702.27976414352</v>
      </c>
      <c r="B102" s="121" t="s">
        <v>64</v>
      </c>
      <c r="C102" s="155" t="s">
        <v>196</v>
      </c>
      <c r="D102" s="93">
        <v>0.0</v>
      </c>
      <c r="E102" s="93">
        <v>0.0</v>
      </c>
      <c r="F102" s="1" t="s">
        <v>248</v>
      </c>
      <c r="G102" s="1" t="s">
        <v>504</v>
      </c>
      <c r="H102" s="1" t="s">
        <v>505</v>
      </c>
      <c r="I102" s="1" t="s">
        <v>506</v>
      </c>
      <c r="J102" s="1" t="s">
        <v>507</v>
      </c>
      <c r="K102" s="1" t="s">
        <v>288</v>
      </c>
      <c r="L102" s="93">
        <v>9999.0</v>
      </c>
    </row>
    <row r="103">
      <c r="A103" s="154">
        <v>43702.27976414352</v>
      </c>
      <c r="B103" s="121" t="s">
        <v>64</v>
      </c>
      <c r="C103" s="155" t="s">
        <v>154</v>
      </c>
      <c r="D103" s="93">
        <v>0.0</v>
      </c>
      <c r="E103" s="93">
        <v>0.0</v>
      </c>
      <c r="F103" s="1" t="s">
        <v>248</v>
      </c>
      <c r="G103" s="1" t="s">
        <v>444</v>
      </c>
      <c r="H103" s="1" t="s">
        <v>445</v>
      </c>
      <c r="I103" s="93">
        <v>10.0</v>
      </c>
      <c r="J103" s="1" t="s">
        <v>446</v>
      </c>
      <c r="K103" s="1" t="s">
        <v>48</v>
      </c>
      <c r="L103" s="93">
        <v>9999.0</v>
      </c>
    </row>
    <row r="104">
      <c r="A104" s="154">
        <v>43702.27976414352</v>
      </c>
      <c r="B104" s="121" t="s">
        <v>64</v>
      </c>
      <c r="C104" s="156" t="s">
        <v>98</v>
      </c>
      <c r="D104" s="93">
        <v>0.0</v>
      </c>
      <c r="E104" s="93">
        <v>0.0</v>
      </c>
      <c r="F104" s="1" t="s">
        <v>248</v>
      </c>
      <c r="G104" s="1" t="s">
        <v>508</v>
      </c>
      <c r="H104" s="1" t="s">
        <v>369</v>
      </c>
      <c r="I104" s="1" t="s">
        <v>382</v>
      </c>
      <c r="K104" s="1" t="s">
        <v>288</v>
      </c>
      <c r="L104" s="93">
        <v>9999.0</v>
      </c>
    </row>
    <row r="105">
      <c r="A105" s="154">
        <v>43702.27976414352</v>
      </c>
      <c r="B105" s="121" t="s">
        <v>64</v>
      </c>
      <c r="C105" s="155" t="s">
        <v>147</v>
      </c>
      <c r="D105" s="93">
        <v>0.0</v>
      </c>
      <c r="E105" s="93">
        <v>0.0</v>
      </c>
      <c r="F105" s="1" t="s">
        <v>248</v>
      </c>
      <c r="G105" s="1" t="s">
        <v>509</v>
      </c>
      <c r="H105" s="1" t="s">
        <v>369</v>
      </c>
      <c r="I105" s="93">
        <v>12.0</v>
      </c>
      <c r="J105" s="1" t="s">
        <v>446</v>
      </c>
      <c r="K105" s="1" t="s">
        <v>64</v>
      </c>
      <c r="L105" s="93">
        <v>9999.0</v>
      </c>
    </row>
    <row r="106">
      <c r="A106" s="154">
        <v>43702.27976414352</v>
      </c>
      <c r="B106" s="121" t="s">
        <v>64</v>
      </c>
      <c r="C106" s="155" t="s">
        <v>177</v>
      </c>
      <c r="D106" s="93">
        <v>0.0</v>
      </c>
      <c r="E106" s="93">
        <v>0.0</v>
      </c>
      <c r="F106" s="1" t="s">
        <v>248</v>
      </c>
      <c r="G106" s="1" t="s">
        <v>509</v>
      </c>
      <c r="H106" s="1" t="s">
        <v>369</v>
      </c>
      <c r="I106" s="93">
        <v>-12.0</v>
      </c>
      <c r="J106" s="1" t="s">
        <v>446</v>
      </c>
      <c r="K106" s="1" t="s">
        <v>64</v>
      </c>
      <c r="L106" s="93">
        <v>9999.0</v>
      </c>
    </row>
    <row r="107">
      <c r="A107" s="154">
        <v>43702.27976414352</v>
      </c>
      <c r="B107" s="121" t="s">
        <v>64</v>
      </c>
      <c r="C107" s="155" t="s">
        <v>49</v>
      </c>
      <c r="D107" s="93">
        <v>0.0</v>
      </c>
      <c r="E107" s="93">
        <v>0.0</v>
      </c>
      <c r="F107" s="1" t="s">
        <v>248</v>
      </c>
      <c r="G107" s="1" t="s">
        <v>510</v>
      </c>
      <c r="H107" s="1" t="s">
        <v>497</v>
      </c>
      <c r="I107" s="1" t="s">
        <v>382</v>
      </c>
      <c r="K107" s="1" t="s">
        <v>288</v>
      </c>
      <c r="L107" s="93">
        <v>9999.0</v>
      </c>
    </row>
    <row r="108">
      <c r="A108" s="154">
        <v>43702.27976414352</v>
      </c>
      <c r="B108" s="121" t="s">
        <v>64</v>
      </c>
      <c r="C108" s="155" t="s">
        <v>131</v>
      </c>
      <c r="D108" s="93">
        <v>0.0</v>
      </c>
      <c r="E108" s="93">
        <v>0.0</v>
      </c>
      <c r="F108" s="1" t="s">
        <v>248</v>
      </c>
      <c r="G108" s="1" t="s">
        <v>511</v>
      </c>
      <c r="H108" s="1" t="s">
        <v>403</v>
      </c>
      <c r="I108" s="1" t="s">
        <v>382</v>
      </c>
      <c r="K108" s="1" t="s">
        <v>288</v>
      </c>
      <c r="L108" s="93">
        <v>9999.0</v>
      </c>
    </row>
    <row r="109">
      <c r="A109" s="154">
        <v>43702.27976414352</v>
      </c>
      <c r="B109" s="121" t="s">
        <v>64</v>
      </c>
      <c r="C109" s="155" t="s">
        <v>76</v>
      </c>
      <c r="D109" s="93">
        <v>0.0</v>
      </c>
      <c r="E109" s="93">
        <v>0.0</v>
      </c>
      <c r="F109" s="1" t="s">
        <v>248</v>
      </c>
      <c r="G109" s="1" t="s">
        <v>441</v>
      </c>
      <c r="H109" s="1" t="s">
        <v>403</v>
      </c>
      <c r="I109" s="1" t="s">
        <v>512</v>
      </c>
      <c r="J109" s="1" t="s">
        <v>406</v>
      </c>
      <c r="K109" s="1" t="s">
        <v>44</v>
      </c>
      <c r="L109" s="93">
        <v>9999.0</v>
      </c>
    </row>
    <row r="110">
      <c r="A110" s="154">
        <v>43702.27976414352</v>
      </c>
      <c r="B110" s="121" t="s">
        <v>64</v>
      </c>
      <c r="C110" s="155" t="s">
        <v>169</v>
      </c>
      <c r="D110" s="93">
        <v>0.0</v>
      </c>
      <c r="E110" s="93">
        <v>0.0</v>
      </c>
      <c r="F110" s="1" t="s">
        <v>248</v>
      </c>
      <c r="G110" s="1" t="s">
        <v>385</v>
      </c>
      <c r="H110" s="1" t="s">
        <v>386</v>
      </c>
      <c r="I110" s="1" t="s">
        <v>226</v>
      </c>
      <c r="J110" s="1" t="s">
        <v>387</v>
      </c>
      <c r="K110" s="1" t="s">
        <v>27</v>
      </c>
      <c r="L110" s="93">
        <v>9999.0</v>
      </c>
    </row>
    <row r="111">
      <c r="A111" s="152" t="s">
        <v>359</v>
      </c>
      <c r="B111" s="115" t="s">
        <v>2</v>
      </c>
      <c r="C111" s="153" t="s">
        <v>227</v>
      </c>
      <c r="D111" s="118" t="s">
        <v>29</v>
      </c>
      <c r="E111" s="118" t="s">
        <v>34</v>
      </c>
      <c r="F111" s="119" t="s">
        <v>261</v>
      </c>
      <c r="G111" s="119" t="s">
        <v>245</v>
      </c>
      <c r="H111" s="119" t="s">
        <v>228</v>
      </c>
      <c r="I111" s="119" t="s">
        <v>229</v>
      </c>
      <c r="J111" s="119" t="s">
        <v>262</v>
      </c>
      <c r="K111" s="120" t="s">
        <v>263</v>
      </c>
      <c r="L111" s="120"/>
    </row>
    <row r="112">
      <c r="A112" s="154">
        <v>43702.27976414352</v>
      </c>
      <c r="B112" s="121" t="s">
        <v>69</v>
      </c>
      <c r="C112" s="155" t="s">
        <v>87</v>
      </c>
      <c r="D112" s="93">
        <v>0.0</v>
      </c>
      <c r="E112" s="93">
        <v>1.0</v>
      </c>
      <c r="F112" s="1" t="s">
        <v>248</v>
      </c>
      <c r="G112" s="1" t="s">
        <v>481</v>
      </c>
      <c r="H112" s="1" t="s">
        <v>430</v>
      </c>
      <c r="I112" s="93">
        <v>7.0</v>
      </c>
      <c r="J112" s="1" t="s">
        <v>482</v>
      </c>
      <c r="K112" s="1" t="s">
        <v>60</v>
      </c>
      <c r="L112" s="93">
        <v>9999.0</v>
      </c>
    </row>
    <row r="113">
      <c r="A113" s="154">
        <v>43702.27976414352</v>
      </c>
      <c r="B113" s="121" t="s">
        <v>69</v>
      </c>
      <c r="C113" s="155" t="s">
        <v>193</v>
      </c>
      <c r="D113" s="93">
        <v>0.0</v>
      </c>
      <c r="E113" s="93">
        <v>0.0</v>
      </c>
      <c r="F113" s="1" t="s">
        <v>248</v>
      </c>
      <c r="G113" s="1" t="s">
        <v>493</v>
      </c>
      <c r="H113" s="1" t="s">
        <v>494</v>
      </c>
      <c r="I113" s="1" t="s">
        <v>454</v>
      </c>
      <c r="J113" s="1" t="s">
        <v>276</v>
      </c>
      <c r="K113" s="1" t="s">
        <v>62</v>
      </c>
      <c r="L113" s="93">
        <v>9999.0</v>
      </c>
    </row>
    <row r="114">
      <c r="A114" s="154">
        <v>43702.27976414352</v>
      </c>
      <c r="B114" s="121" t="s">
        <v>69</v>
      </c>
      <c r="C114" s="155" t="s">
        <v>170</v>
      </c>
      <c r="D114" s="93">
        <v>0.0</v>
      </c>
      <c r="E114" s="93">
        <v>0.0</v>
      </c>
      <c r="F114" s="1" t="s">
        <v>248</v>
      </c>
      <c r="G114" s="1" t="s">
        <v>414</v>
      </c>
      <c r="H114" s="1" t="s">
        <v>415</v>
      </c>
      <c r="I114" s="93">
        <v>-5.0</v>
      </c>
      <c r="J114" s="93">
        <v>48.0</v>
      </c>
      <c r="K114" s="1" t="s">
        <v>41</v>
      </c>
      <c r="L114" s="93">
        <v>9999.0</v>
      </c>
    </row>
    <row r="115">
      <c r="A115" s="154">
        <v>43702.27976414352</v>
      </c>
      <c r="B115" s="121" t="s">
        <v>69</v>
      </c>
      <c r="C115" s="155" t="s">
        <v>151</v>
      </c>
      <c r="D115" s="93">
        <v>0.0</v>
      </c>
      <c r="E115" s="93">
        <v>0.0</v>
      </c>
      <c r="F115" s="1" t="s">
        <v>248</v>
      </c>
      <c r="G115" s="1" t="s">
        <v>464</v>
      </c>
      <c r="H115" s="1" t="s">
        <v>465</v>
      </c>
      <c r="I115" s="93">
        <v>13.0</v>
      </c>
      <c r="J115" s="1" t="s">
        <v>446</v>
      </c>
      <c r="K115" s="1" t="s">
        <v>53</v>
      </c>
      <c r="L115" s="93">
        <v>9999.0</v>
      </c>
    </row>
    <row r="116">
      <c r="A116" s="154">
        <v>43702.27976414352</v>
      </c>
      <c r="B116" s="121" t="s">
        <v>69</v>
      </c>
      <c r="C116" s="155" t="s">
        <v>101</v>
      </c>
      <c r="D116" s="93">
        <v>0.0</v>
      </c>
      <c r="E116" s="93">
        <v>0.0</v>
      </c>
      <c r="F116" s="1" t="s">
        <v>248</v>
      </c>
      <c r="G116" s="1" t="s">
        <v>485</v>
      </c>
      <c r="H116" s="1" t="s">
        <v>486</v>
      </c>
      <c r="I116" s="1" t="s">
        <v>281</v>
      </c>
      <c r="J116" s="1" t="s">
        <v>487</v>
      </c>
      <c r="K116" s="1" t="s">
        <v>60</v>
      </c>
      <c r="L116" s="93">
        <v>9999.0</v>
      </c>
    </row>
    <row r="117">
      <c r="A117" s="154">
        <v>43702.27976414352</v>
      </c>
      <c r="B117" s="121" t="s">
        <v>69</v>
      </c>
      <c r="C117" s="155" t="s">
        <v>108</v>
      </c>
      <c r="D117" s="93">
        <v>0.0</v>
      </c>
      <c r="E117" s="93">
        <v>0.0</v>
      </c>
      <c r="F117" s="1" t="s">
        <v>248</v>
      </c>
      <c r="G117" s="1" t="s">
        <v>371</v>
      </c>
      <c r="H117" s="1" t="s">
        <v>369</v>
      </c>
      <c r="I117" s="93">
        <v>-17.0</v>
      </c>
      <c r="J117" s="93">
        <v>59.0</v>
      </c>
      <c r="K117" s="1" t="s">
        <v>27</v>
      </c>
      <c r="L117" s="93">
        <v>9999.0</v>
      </c>
    </row>
    <row r="118">
      <c r="A118" s="154">
        <v>43702.27976414352</v>
      </c>
      <c r="B118" s="121" t="s">
        <v>69</v>
      </c>
      <c r="C118" s="155" t="s">
        <v>35</v>
      </c>
      <c r="D118" s="93">
        <v>0.0</v>
      </c>
      <c r="E118" s="93">
        <v>0.0</v>
      </c>
      <c r="F118" s="1" t="s">
        <v>248</v>
      </c>
      <c r="G118" s="1" t="s">
        <v>513</v>
      </c>
      <c r="H118" s="1" t="s">
        <v>369</v>
      </c>
      <c r="I118" s="93">
        <v>-6.0</v>
      </c>
      <c r="J118" s="93">
        <v>68.0</v>
      </c>
      <c r="K118" s="1" t="s">
        <v>288</v>
      </c>
      <c r="L118" s="93">
        <v>9999.0</v>
      </c>
    </row>
    <row r="119">
      <c r="A119" s="154">
        <v>43702.27976414352</v>
      </c>
      <c r="B119" s="121" t="s">
        <v>69</v>
      </c>
      <c r="C119" s="155" t="s">
        <v>142</v>
      </c>
      <c r="D119" s="93">
        <v>0.0</v>
      </c>
      <c r="E119" s="93">
        <v>0.0</v>
      </c>
      <c r="F119" s="1" t="s">
        <v>248</v>
      </c>
      <c r="G119" s="1" t="s">
        <v>375</v>
      </c>
      <c r="H119" s="1" t="s">
        <v>373</v>
      </c>
      <c r="I119" s="1" t="s">
        <v>512</v>
      </c>
      <c r="J119" s="93">
        <v>55.0</v>
      </c>
      <c r="K119" s="1" t="s">
        <v>27</v>
      </c>
      <c r="L119" s="93">
        <v>9999.0</v>
      </c>
    </row>
    <row r="120">
      <c r="A120" s="154">
        <v>43702.27976414352</v>
      </c>
      <c r="B120" s="121" t="s">
        <v>69</v>
      </c>
      <c r="C120" s="155" t="s">
        <v>182</v>
      </c>
      <c r="D120" s="93">
        <v>0.0</v>
      </c>
      <c r="E120" s="93">
        <v>0.0</v>
      </c>
      <c r="F120" s="1" t="s">
        <v>248</v>
      </c>
      <c r="G120" s="1" t="s">
        <v>448</v>
      </c>
      <c r="H120" s="1" t="s">
        <v>373</v>
      </c>
      <c r="I120" s="93">
        <v>-8.0</v>
      </c>
      <c r="J120" s="93">
        <v>63.0</v>
      </c>
      <c r="K120" s="1" t="s">
        <v>48</v>
      </c>
      <c r="L120" s="93">
        <v>9999.0</v>
      </c>
    </row>
    <row r="121">
      <c r="A121" s="154">
        <v>43702.27976414352</v>
      </c>
      <c r="B121" s="121" t="s">
        <v>69</v>
      </c>
      <c r="C121" s="155" t="s">
        <v>125</v>
      </c>
      <c r="D121" s="93">
        <v>0.0</v>
      </c>
      <c r="E121" s="93">
        <v>0.0</v>
      </c>
      <c r="F121" s="1" t="s">
        <v>248</v>
      </c>
      <c r="G121" s="1" t="s">
        <v>491</v>
      </c>
      <c r="H121" s="1" t="s">
        <v>469</v>
      </c>
      <c r="I121" s="1" t="s">
        <v>514</v>
      </c>
      <c r="J121" s="93">
        <v>55.0</v>
      </c>
      <c r="K121" s="1" t="s">
        <v>60</v>
      </c>
      <c r="L121" s="93">
        <v>9999.0</v>
      </c>
    </row>
    <row r="122">
      <c r="A122" s="152" t="s">
        <v>359</v>
      </c>
      <c r="B122" s="115" t="s">
        <v>2</v>
      </c>
      <c r="C122" s="153" t="s">
        <v>227</v>
      </c>
      <c r="D122" s="118" t="s">
        <v>29</v>
      </c>
      <c r="E122" s="118" t="s">
        <v>34</v>
      </c>
      <c r="F122" s="119" t="s">
        <v>261</v>
      </c>
      <c r="G122" s="119" t="s">
        <v>245</v>
      </c>
      <c r="H122" s="119" t="s">
        <v>228</v>
      </c>
      <c r="I122" s="119" t="s">
        <v>229</v>
      </c>
      <c r="J122" s="119" t="s">
        <v>262</v>
      </c>
      <c r="K122" s="120" t="s">
        <v>263</v>
      </c>
      <c r="L122" s="120"/>
    </row>
    <row r="123">
      <c r="A123" s="154">
        <v>43702.27976414352</v>
      </c>
      <c r="B123" s="121" t="s">
        <v>74</v>
      </c>
      <c r="C123" s="155" t="s">
        <v>23</v>
      </c>
      <c r="D123" s="93">
        <v>0.0</v>
      </c>
      <c r="E123" s="93">
        <v>0.0</v>
      </c>
      <c r="F123" s="1" t="s">
        <v>248</v>
      </c>
      <c r="G123" s="1" t="s">
        <v>515</v>
      </c>
      <c r="H123" s="1" t="s">
        <v>392</v>
      </c>
      <c r="I123" s="1" t="s">
        <v>426</v>
      </c>
      <c r="J123" s="1" t="s">
        <v>516</v>
      </c>
      <c r="K123" s="1" t="s">
        <v>288</v>
      </c>
      <c r="L123" s="93">
        <v>9999.0</v>
      </c>
    </row>
    <row r="124">
      <c r="A124" s="154">
        <v>43702.27976414352</v>
      </c>
      <c r="B124" s="121" t="s">
        <v>74</v>
      </c>
      <c r="C124" s="155" t="s">
        <v>141</v>
      </c>
      <c r="D124" s="93">
        <v>0.0</v>
      </c>
      <c r="E124" s="93">
        <v>0.0</v>
      </c>
      <c r="F124" s="1" t="s">
        <v>248</v>
      </c>
      <c r="G124" s="1" t="s">
        <v>517</v>
      </c>
      <c r="H124" s="1" t="s">
        <v>392</v>
      </c>
      <c r="I124" s="1" t="s">
        <v>518</v>
      </c>
      <c r="J124" s="1" t="s">
        <v>519</v>
      </c>
      <c r="K124" s="1" t="s">
        <v>288</v>
      </c>
      <c r="L124" s="93">
        <v>9999.0</v>
      </c>
    </row>
    <row r="125">
      <c r="A125" s="154">
        <v>43702.27976414352</v>
      </c>
      <c r="B125" s="121" t="s">
        <v>74</v>
      </c>
      <c r="C125" s="155" t="s">
        <v>118</v>
      </c>
      <c r="D125" s="93">
        <v>0.0</v>
      </c>
      <c r="E125" s="93">
        <v>0.0</v>
      </c>
      <c r="F125" s="1" t="s">
        <v>248</v>
      </c>
      <c r="G125" s="1" t="s">
        <v>520</v>
      </c>
      <c r="H125" s="1" t="s">
        <v>369</v>
      </c>
      <c r="I125" s="1" t="s">
        <v>521</v>
      </c>
      <c r="J125" s="1" t="s">
        <v>419</v>
      </c>
      <c r="K125" s="1" t="s">
        <v>74</v>
      </c>
      <c r="L125" s="93">
        <v>9999.0</v>
      </c>
    </row>
    <row r="126">
      <c r="A126" s="154">
        <v>43702.27976414352</v>
      </c>
      <c r="B126" s="121" t="s">
        <v>74</v>
      </c>
      <c r="C126" s="156" t="s">
        <v>124</v>
      </c>
      <c r="D126" s="93">
        <v>0.0</v>
      </c>
      <c r="E126" s="93">
        <v>0.0</v>
      </c>
      <c r="F126" s="1" t="s">
        <v>248</v>
      </c>
      <c r="G126" s="1" t="s">
        <v>520</v>
      </c>
      <c r="H126" s="1" t="s">
        <v>369</v>
      </c>
      <c r="I126" s="1" t="s">
        <v>522</v>
      </c>
      <c r="J126" s="1" t="s">
        <v>419</v>
      </c>
      <c r="K126" s="1" t="s">
        <v>74</v>
      </c>
      <c r="L126" s="93">
        <v>9999.0</v>
      </c>
    </row>
    <row r="127">
      <c r="A127" s="154">
        <v>43702.27976414352</v>
      </c>
      <c r="B127" s="121" t="s">
        <v>74</v>
      </c>
      <c r="C127" s="155" t="s">
        <v>88</v>
      </c>
      <c r="D127" s="93">
        <v>0.0</v>
      </c>
      <c r="E127" s="93">
        <v>0.0</v>
      </c>
      <c r="F127" s="1" t="s">
        <v>248</v>
      </c>
      <c r="G127" s="1" t="s">
        <v>400</v>
      </c>
      <c r="H127" s="1" t="s">
        <v>369</v>
      </c>
      <c r="I127" s="1" t="s">
        <v>523</v>
      </c>
      <c r="J127" s="93">
        <v>55.0</v>
      </c>
      <c r="K127" s="1" t="s">
        <v>38</v>
      </c>
      <c r="L127" s="93">
        <v>9999.0</v>
      </c>
    </row>
    <row r="128">
      <c r="A128" s="154">
        <v>43702.27976414352</v>
      </c>
      <c r="B128" s="121" t="s">
        <v>74</v>
      </c>
      <c r="C128" s="155" t="s">
        <v>167</v>
      </c>
      <c r="D128" s="93">
        <v>0.0</v>
      </c>
      <c r="E128" s="93">
        <v>0.0</v>
      </c>
      <c r="F128" s="1" t="s">
        <v>248</v>
      </c>
      <c r="G128" s="1" t="s">
        <v>490</v>
      </c>
      <c r="H128" s="1" t="s">
        <v>378</v>
      </c>
      <c r="I128" s="1" t="s">
        <v>244</v>
      </c>
      <c r="J128" s="93">
        <v>47.0</v>
      </c>
      <c r="K128" s="1" t="s">
        <v>60</v>
      </c>
      <c r="L128" s="93">
        <v>9999.0</v>
      </c>
    </row>
    <row r="129">
      <c r="A129" s="154">
        <v>43702.27976414352</v>
      </c>
      <c r="B129" s="121" t="s">
        <v>74</v>
      </c>
      <c r="C129" s="155" t="s">
        <v>194</v>
      </c>
      <c r="D129" s="93">
        <v>0.0</v>
      </c>
      <c r="E129" s="93">
        <v>0.0</v>
      </c>
      <c r="F129" s="1" t="s">
        <v>248</v>
      </c>
      <c r="G129" s="1" t="s">
        <v>524</v>
      </c>
      <c r="H129" s="1" t="s">
        <v>381</v>
      </c>
      <c r="I129" s="1" t="s">
        <v>382</v>
      </c>
      <c r="K129" s="1" t="s">
        <v>288</v>
      </c>
      <c r="L129" s="93">
        <v>9999.0</v>
      </c>
    </row>
    <row r="130">
      <c r="A130" s="154">
        <v>43702.27976414352</v>
      </c>
      <c r="B130" s="121" t="s">
        <v>74</v>
      </c>
      <c r="C130" s="155" t="s">
        <v>99</v>
      </c>
      <c r="D130" s="93">
        <v>0.0</v>
      </c>
      <c r="E130" s="93">
        <v>0.0</v>
      </c>
      <c r="F130" s="1" t="s">
        <v>248</v>
      </c>
      <c r="G130" s="1" t="s">
        <v>525</v>
      </c>
      <c r="H130" s="1" t="s">
        <v>403</v>
      </c>
      <c r="I130" s="1" t="s">
        <v>382</v>
      </c>
      <c r="K130" s="1" t="s">
        <v>288</v>
      </c>
      <c r="L130" s="93">
        <v>9999.0</v>
      </c>
    </row>
    <row r="131">
      <c r="A131" s="154">
        <v>43702.27976414352</v>
      </c>
      <c r="B131" s="121" t="s">
        <v>74</v>
      </c>
      <c r="C131" s="155" t="s">
        <v>174</v>
      </c>
      <c r="D131" s="93">
        <v>0.0</v>
      </c>
      <c r="E131" s="93">
        <v>0.0</v>
      </c>
      <c r="F131" s="1" t="s">
        <v>248</v>
      </c>
      <c r="G131" s="1" t="s">
        <v>479</v>
      </c>
      <c r="H131" s="1" t="s">
        <v>405</v>
      </c>
      <c r="I131" s="1" t="s">
        <v>379</v>
      </c>
      <c r="J131" s="93">
        <v>56.0</v>
      </c>
      <c r="K131" s="1" t="s">
        <v>58</v>
      </c>
      <c r="L131" s="93">
        <v>9999.0</v>
      </c>
    </row>
    <row r="132">
      <c r="A132" s="154">
        <v>43702.27976414352</v>
      </c>
      <c r="B132" s="121" t="s">
        <v>74</v>
      </c>
      <c r="C132" s="155" t="s">
        <v>160</v>
      </c>
      <c r="D132" s="93">
        <v>0.0</v>
      </c>
      <c r="E132" s="93">
        <v>0.0</v>
      </c>
      <c r="F132" s="1" t="s">
        <v>248</v>
      </c>
      <c r="G132" s="1" t="s">
        <v>425</v>
      </c>
      <c r="H132" s="1" t="s">
        <v>405</v>
      </c>
      <c r="I132" s="1" t="s">
        <v>526</v>
      </c>
      <c r="J132" s="1" t="s">
        <v>237</v>
      </c>
      <c r="K132" s="1" t="s">
        <v>41</v>
      </c>
      <c r="L132" s="93">
        <v>9999.0</v>
      </c>
    </row>
    <row r="133">
      <c r="A133" s="152" t="s">
        <v>359</v>
      </c>
      <c r="B133" s="115" t="s">
        <v>2</v>
      </c>
      <c r="C133" s="153" t="s">
        <v>227</v>
      </c>
      <c r="D133" s="118" t="s">
        <v>29</v>
      </c>
      <c r="E133" s="118" t="s">
        <v>34</v>
      </c>
      <c r="F133" s="119" t="s">
        <v>261</v>
      </c>
      <c r="G133" s="119" t="s">
        <v>245</v>
      </c>
      <c r="H133" s="119" t="s">
        <v>228</v>
      </c>
      <c r="I133" s="119" t="s">
        <v>229</v>
      </c>
      <c r="J133" s="119" t="s">
        <v>262</v>
      </c>
      <c r="K133" s="120" t="s">
        <v>263</v>
      </c>
      <c r="L133" s="120" t="s">
        <v>264</v>
      </c>
    </row>
    <row r="134">
      <c r="A134" s="154">
        <v>43709.147748564814</v>
      </c>
      <c r="B134" s="121" t="s">
        <v>27</v>
      </c>
      <c r="C134" s="155" t="s">
        <v>56</v>
      </c>
      <c r="D134" s="93">
        <v>0.0</v>
      </c>
      <c r="E134" s="93">
        <v>1.0</v>
      </c>
      <c r="F134" s="1" t="s">
        <v>269</v>
      </c>
      <c r="G134" s="1" t="s">
        <v>527</v>
      </c>
      <c r="H134" s="1" t="s">
        <v>430</v>
      </c>
      <c r="I134" s="1" t="s">
        <v>367</v>
      </c>
      <c r="J134" s="1" t="s">
        <v>283</v>
      </c>
      <c r="K134" s="1" t="s">
        <v>38</v>
      </c>
      <c r="L134" s="93">
        <v>9999.0</v>
      </c>
    </row>
    <row r="135">
      <c r="A135" s="154">
        <v>43709.147748564814</v>
      </c>
      <c r="B135" s="121" t="s">
        <v>27</v>
      </c>
      <c r="C135" s="155" t="s">
        <v>116</v>
      </c>
      <c r="D135" s="93">
        <v>1.0</v>
      </c>
      <c r="E135" s="93">
        <v>0.0</v>
      </c>
      <c r="F135" s="1" t="s">
        <v>201</v>
      </c>
      <c r="G135" s="1" t="s">
        <v>528</v>
      </c>
      <c r="H135" s="1" t="s">
        <v>430</v>
      </c>
      <c r="I135" s="93">
        <v>-36.0</v>
      </c>
      <c r="J135" s="1" t="s">
        <v>370</v>
      </c>
      <c r="K135" s="1" t="s">
        <v>62</v>
      </c>
      <c r="L135" s="93">
        <v>9999.0</v>
      </c>
    </row>
    <row r="136">
      <c r="A136" s="154">
        <v>43709.147748564814</v>
      </c>
      <c r="B136" s="121" t="s">
        <v>27</v>
      </c>
      <c r="C136" s="155" t="s">
        <v>138</v>
      </c>
      <c r="D136" s="93">
        <v>0.0</v>
      </c>
      <c r="E136" s="93">
        <v>1.0</v>
      </c>
      <c r="F136" s="1" t="s">
        <v>260</v>
      </c>
      <c r="G136" s="1" t="s">
        <v>529</v>
      </c>
      <c r="H136" s="1" t="s">
        <v>430</v>
      </c>
      <c r="I136" s="93">
        <v>17.0</v>
      </c>
      <c r="J136" s="93">
        <v>60.0</v>
      </c>
      <c r="K136" s="1" t="s">
        <v>69</v>
      </c>
      <c r="L136" s="93">
        <v>9999.0</v>
      </c>
    </row>
    <row r="137">
      <c r="A137" s="154">
        <v>43709.147748564814</v>
      </c>
      <c r="B137" s="121" t="s">
        <v>27</v>
      </c>
      <c r="C137" s="156" t="s">
        <v>114</v>
      </c>
      <c r="D137" s="93">
        <v>1.0</v>
      </c>
      <c r="E137" s="93">
        <v>0.0</v>
      </c>
      <c r="F137" s="1" t="s">
        <v>207</v>
      </c>
      <c r="G137" s="1" t="s">
        <v>530</v>
      </c>
      <c r="H137" s="1" t="s">
        <v>430</v>
      </c>
      <c r="I137" s="93">
        <v>-35.0</v>
      </c>
      <c r="J137" s="93">
        <v>58.0</v>
      </c>
      <c r="K137" s="1" t="s">
        <v>58</v>
      </c>
      <c r="L137" s="93">
        <v>9999.0</v>
      </c>
    </row>
    <row r="138">
      <c r="A138" s="154">
        <v>43709.147748564814</v>
      </c>
      <c r="B138" s="121" t="s">
        <v>27</v>
      </c>
      <c r="C138" s="155" t="s">
        <v>195</v>
      </c>
      <c r="D138" s="93">
        <v>0.0</v>
      </c>
      <c r="E138" s="93">
        <v>1.0</v>
      </c>
      <c r="F138" s="1" t="s">
        <v>267</v>
      </c>
      <c r="G138" s="1" t="s">
        <v>531</v>
      </c>
      <c r="H138" s="1" t="s">
        <v>430</v>
      </c>
      <c r="I138" s="1" t="s">
        <v>376</v>
      </c>
      <c r="J138" s="93">
        <v>55.0</v>
      </c>
      <c r="K138" s="1" t="s">
        <v>69</v>
      </c>
      <c r="L138" s="93">
        <v>9999.0</v>
      </c>
    </row>
    <row r="139">
      <c r="A139" s="154">
        <v>43709.147748564814</v>
      </c>
      <c r="B139" s="121" t="s">
        <v>27</v>
      </c>
      <c r="C139" s="155" t="s">
        <v>94</v>
      </c>
      <c r="D139" s="93">
        <v>0.0</v>
      </c>
      <c r="E139" s="93">
        <v>1.0</v>
      </c>
      <c r="F139" s="1" t="s">
        <v>285</v>
      </c>
      <c r="G139" s="1" t="s">
        <v>532</v>
      </c>
      <c r="H139" s="1" t="s">
        <v>430</v>
      </c>
      <c r="I139" s="1" t="s">
        <v>379</v>
      </c>
      <c r="J139" s="93">
        <v>57.0</v>
      </c>
      <c r="K139" s="1" t="s">
        <v>44</v>
      </c>
      <c r="L139" s="93">
        <v>9999.0</v>
      </c>
    </row>
    <row r="140">
      <c r="A140" s="154">
        <v>43709.147748564814</v>
      </c>
      <c r="B140" s="121" t="s">
        <v>27</v>
      </c>
      <c r="C140" s="155" t="s">
        <v>134</v>
      </c>
      <c r="D140" s="93">
        <v>1.0</v>
      </c>
      <c r="E140" s="93">
        <v>0.0</v>
      </c>
      <c r="F140" s="1" t="s">
        <v>533</v>
      </c>
      <c r="G140" s="1" t="s">
        <v>534</v>
      </c>
      <c r="H140" s="1" t="s">
        <v>430</v>
      </c>
      <c r="I140" s="1" t="s">
        <v>512</v>
      </c>
      <c r="J140" s="1" t="s">
        <v>446</v>
      </c>
      <c r="K140" s="1" t="s">
        <v>288</v>
      </c>
      <c r="L140" s="93">
        <v>9999.0</v>
      </c>
    </row>
    <row r="141">
      <c r="A141" s="154">
        <v>43709.147748564814</v>
      </c>
      <c r="B141" s="121" t="s">
        <v>27</v>
      </c>
      <c r="C141" s="155" t="s">
        <v>163</v>
      </c>
      <c r="D141" s="93">
        <v>1.0</v>
      </c>
      <c r="E141" s="93">
        <v>0.0</v>
      </c>
      <c r="F141" s="1" t="s">
        <v>273</v>
      </c>
      <c r="G141" s="1" t="s">
        <v>535</v>
      </c>
      <c r="H141" s="1" t="s">
        <v>430</v>
      </c>
      <c r="I141" s="93">
        <v>-13.0</v>
      </c>
      <c r="J141" s="93">
        <v>50.0</v>
      </c>
      <c r="K141" s="1" t="s">
        <v>288</v>
      </c>
      <c r="L141" s="93">
        <v>9999.0</v>
      </c>
    </row>
    <row r="142">
      <c r="A142" s="154">
        <v>43709.147748564814</v>
      </c>
      <c r="B142" s="121" t="s">
        <v>27</v>
      </c>
      <c r="C142" s="155" t="s">
        <v>152</v>
      </c>
      <c r="D142" s="93">
        <v>0.0</v>
      </c>
      <c r="E142" s="93">
        <v>1.0</v>
      </c>
      <c r="F142" s="1" t="s">
        <v>201</v>
      </c>
      <c r="G142" s="1" t="s">
        <v>536</v>
      </c>
      <c r="H142" s="1" t="s">
        <v>430</v>
      </c>
      <c r="I142" s="1" t="s">
        <v>274</v>
      </c>
      <c r="J142" s="1" t="s">
        <v>387</v>
      </c>
      <c r="K142" s="1" t="s">
        <v>64</v>
      </c>
      <c r="L142" s="93">
        <v>9999.0</v>
      </c>
    </row>
    <row r="143">
      <c r="A143" s="154">
        <v>43709.147748564814</v>
      </c>
      <c r="B143" s="121" t="s">
        <v>27</v>
      </c>
      <c r="C143" s="155" t="s">
        <v>107</v>
      </c>
      <c r="D143" s="1">
        <v>1.0</v>
      </c>
      <c r="E143" s="93">
        <v>0.0</v>
      </c>
      <c r="F143" s="1" t="s">
        <v>201</v>
      </c>
      <c r="G143" s="1" t="s">
        <v>537</v>
      </c>
      <c r="H143" s="1" t="s">
        <v>430</v>
      </c>
      <c r="I143" s="1" t="s">
        <v>390</v>
      </c>
      <c r="J143" s="93">
        <v>57.0</v>
      </c>
      <c r="K143" s="1" t="s">
        <v>288</v>
      </c>
      <c r="L143" s="93">
        <v>9999.0</v>
      </c>
    </row>
    <row r="144">
      <c r="A144" s="152" t="s">
        <v>359</v>
      </c>
      <c r="B144" s="115" t="s">
        <v>2</v>
      </c>
      <c r="C144" s="153" t="s">
        <v>227</v>
      </c>
      <c r="D144" s="118" t="s">
        <v>29</v>
      </c>
      <c r="E144" s="118" t="s">
        <v>34</v>
      </c>
      <c r="F144" s="119" t="s">
        <v>261</v>
      </c>
      <c r="G144" s="119" t="s">
        <v>245</v>
      </c>
      <c r="H144" s="119" t="s">
        <v>228</v>
      </c>
      <c r="I144" s="119" t="s">
        <v>229</v>
      </c>
      <c r="J144" s="119" t="s">
        <v>262</v>
      </c>
      <c r="K144" s="120" t="s">
        <v>263</v>
      </c>
      <c r="L144" s="120" t="s">
        <v>264</v>
      </c>
    </row>
    <row r="145">
      <c r="A145" s="154">
        <v>43709.147748564814</v>
      </c>
      <c r="B145" s="121" t="s">
        <v>38</v>
      </c>
      <c r="C145" s="155" t="s">
        <v>139</v>
      </c>
      <c r="D145" s="93">
        <v>1.0</v>
      </c>
      <c r="E145" s="93">
        <v>0.0</v>
      </c>
      <c r="F145" s="1" t="s">
        <v>282</v>
      </c>
      <c r="G145" s="1" t="s">
        <v>538</v>
      </c>
      <c r="H145" s="1" t="s">
        <v>430</v>
      </c>
      <c r="I145" s="1" t="s">
        <v>393</v>
      </c>
      <c r="J145" s="1" t="s">
        <v>394</v>
      </c>
      <c r="K145" s="1" t="s">
        <v>288</v>
      </c>
      <c r="L145" s="93">
        <v>9999.0</v>
      </c>
    </row>
    <row r="146">
      <c r="A146" s="154">
        <v>43709.147748564814</v>
      </c>
      <c r="B146" s="121" t="s">
        <v>38</v>
      </c>
      <c r="C146" s="155" t="s">
        <v>68</v>
      </c>
      <c r="D146" s="93">
        <v>1.0</v>
      </c>
      <c r="E146" s="93">
        <v>0.0</v>
      </c>
      <c r="F146" s="1" t="s">
        <v>285</v>
      </c>
      <c r="G146" s="1" t="s">
        <v>539</v>
      </c>
      <c r="H146" s="1" t="s">
        <v>430</v>
      </c>
      <c r="I146" s="93">
        <v>-36.0</v>
      </c>
      <c r="J146" s="93">
        <v>60.0</v>
      </c>
      <c r="K146" s="1" t="s">
        <v>288</v>
      </c>
      <c r="L146" s="93">
        <v>9999.0</v>
      </c>
    </row>
    <row r="147">
      <c r="A147" s="154">
        <v>43709.147748564814</v>
      </c>
      <c r="B147" s="121" t="s">
        <v>38</v>
      </c>
      <c r="C147" s="155" t="s">
        <v>113</v>
      </c>
      <c r="D147" s="93">
        <v>1.0</v>
      </c>
      <c r="E147" s="93">
        <v>0.0</v>
      </c>
      <c r="F147" s="1" t="s">
        <v>269</v>
      </c>
      <c r="G147" s="1" t="s">
        <v>527</v>
      </c>
      <c r="H147" s="1" t="s">
        <v>430</v>
      </c>
      <c r="I147" s="1" t="s">
        <v>398</v>
      </c>
      <c r="J147" s="1" t="s">
        <v>283</v>
      </c>
      <c r="K147" s="1" t="s">
        <v>27</v>
      </c>
      <c r="L147" s="93">
        <v>9999.0</v>
      </c>
    </row>
    <row r="148">
      <c r="A148" s="154">
        <v>43709.147748564814</v>
      </c>
      <c r="B148" s="121" t="s">
        <v>38</v>
      </c>
      <c r="C148" s="156" t="s">
        <v>97</v>
      </c>
      <c r="D148" s="93">
        <v>1.0</v>
      </c>
      <c r="E148" s="93">
        <v>0.0</v>
      </c>
      <c r="F148" s="1" t="s">
        <v>269</v>
      </c>
      <c r="G148" s="1" t="s">
        <v>540</v>
      </c>
      <c r="H148" s="1" t="s">
        <v>541</v>
      </c>
      <c r="I148" s="1" t="s">
        <v>542</v>
      </c>
      <c r="J148" s="1" t="s">
        <v>543</v>
      </c>
      <c r="K148" s="1" t="s">
        <v>288</v>
      </c>
      <c r="L148" s="93">
        <v>9999.0</v>
      </c>
    </row>
    <row r="149">
      <c r="A149" s="154">
        <v>43709.147748564814</v>
      </c>
      <c r="B149" s="121" t="s">
        <v>38</v>
      </c>
      <c r="C149" s="155" t="s">
        <v>32</v>
      </c>
      <c r="D149" s="93">
        <v>0.0</v>
      </c>
      <c r="E149" s="93">
        <v>1.0</v>
      </c>
      <c r="F149" s="1" t="s">
        <v>285</v>
      </c>
      <c r="G149" s="1" t="s">
        <v>544</v>
      </c>
      <c r="H149" s="1" t="s">
        <v>430</v>
      </c>
      <c r="I149" s="1" t="s">
        <v>401</v>
      </c>
      <c r="J149" s="93">
        <v>55.0</v>
      </c>
      <c r="K149" s="1" t="s">
        <v>74</v>
      </c>
      <c r="L149" s="93">
        <v>9999.0</v>
      </c>
    </row>
    <row r="150">
      <c r="A150" s="154">
        <v>43709.147748564814</v>
      </c>
      <c r="B150" s="121" t="s">
        <v>38</v>
      </c>
      <c r="C150" s="155" t="s">
        <v>129</v>
      </c>
      <c r="D150" s="93">
        <v>1.0</v>
      </c>
      <c r="E150" s="93">
        <v>0.0</v>
      </c>
      <c r="F150" s="1" t="s">
        <v>533</v>
      </c>
      <c r="G150" s="1" t="s">
        <v>545</v>
      </c>
      <c r="H150" s="1" t="s">
        <v>430</v>
      </c>
      <c r="I150" s="93">
        <v>-27.0</v>
      </c>
      <c r="J150" s="1" t="s">
        <v>546</v>
      </c>
      <c r="K150" s="1" t="s">
        <v>288</v>
      </c>
      <c r="L150" s="93">
        <v>9999.0</v>
      </c>
    </row>
    <row r="151">
      <c r="A151" s="154">
        <v>43709.147748564814</v>
      </c>
      <c r="B151" s="121" t="s">
        <v>38</v>
      </c>
      <c r="C151" s="155" t="s">
        <v>178</v>
      </c>
      <c r="D151" s="93">
        <v>1.0</v>
      </c>
      <c r="E151" s="93">
        <v>0.0</v>
      </c>
      <c r="F151" s="1" t="s">
        <v>242</v>
      </c>
      <c r="G151" s="1" t="s">
        <v>547</v>
      </c>
      <c r="H151" s="1" t="s">
        <v>430</v>
      </c>
      <c r="I151" s="93">
        <v>-28.0</v>
      </c>
      <c r="J151" s="93">
        <v>53.0</v>
      </c>
      <c r="K151" s="1" t="s">
        <v>44</v>
      </c>
      <c r="L151" s="93">
        <v>9999.0</v>
      </c>
    </row>
    <row r="152">
      <c r="A152" s="154">
        <v>43709.147748564814</v>
      </c>
      <c r="B152" s="121" t="s">
        <v>38</v>
      </c>
      <c r="C152" s="155" t="s">
        <v>156</v>
      </c>
      <c r="D152" s="93">
        <v>1.0</v>
      </c>
      <c r="E152" s="93">
        <v>0.0</v>
      </c>
      <c r="F152" s="1" t="s">
        <v>284</v>
      </c>
      <c r="G152" s="1" t="s">
        <v>548</v>
      </c>
      <c r="H152" s="1" t="s">
        <v>430</v>
      </c>
      <c r="I152" s="1" t="s">
        <v>286</v>
      </c>
      <c r="J152" s="1" t="s">
        <v>549</v>
      </c>
      <c r="K152" s="1" t="s">
        <v>288</v>
      </c>
      <c r="L152" s="93">
        <v>9999.0</v>
      </c>
    </row>
    <row r="153">
      <c r="A153" s="154">
        <v>43709.147748564814</v>
      </c>
      <c r="B153" s="121" t="s">
        <v>38</v>
      </c>
      <c r="C153" s="155" t="s">
        <v>172</v>
      </c>
      <c r="D153" s="93">
        <v>1.0</v>
      </c>
      <c r="E153" s="93">
        <v>0.0</v>
      </c>
      <c r="F153" s="1" t="s">
        <v>273</v>
      </c>
      <c r="G153" s="1" t="s">
        <v>550</v>
      </c>
      <c r="H153" s="1" t="s">
        <v>430</v>
      </c>
      <c r="I153" s="93">
        <v>-32.0</v>
      </c>
      <c r="J153" s="1" t="s">
        <v>370</v>
      </c>
      <c r="K153" s="1" t="s">
        <v>38</v>
      </c>
      <c r="L153" s="93">
        <v>9999.0</v>
      </c>
    </row>
    <row r="154">
      <c r="A154" s="154">
        <v>43709.147748564814</v>
      </c>
      <c r="B154" s="121" t="s">
        <v>38</v>
      </c>
      <c r="C154" s="155" t="s">
        <v>198</v>
      </c>
      <c r="D154" s="93">
        <v>0.0</v>
      </c>
      <c r="E154" s="93">
        <v>1.0</v>
      </c>
      <c r="F154" s="1" t="s">
        <v>273</v>
      </c>
      <c r="G154" s="1" t="s">
        <v>550</v>
      </c>
      <c r="H154" s="1" t="s">
        <v>430</v>
      </c>
      <c r="I154" s="93">
        <v>32.0</v>
      </c>
      <c r="J154" s="1" t="s">
        <v>370</v>
      </c>
      <c r="K154" s="1" t="s">
        <v>38</v>
      </c>
      <c r="L154" s="93">
        <v>9999.0</v>
      </c>
    </row>
    <row r="155">
      <c r="A155" s="152" t="s">
        <v>359</v>
      </c>
      <c r="B155" s="115" t="s">
        <v>2</v>
      </c>
      <c r="C155" s="153" t="s">
        <v>227</v>
      </c>
      <c r="D155" s="118" t="s">
        <v>29</v>
      </c>
      <c r="E155" s="118" t="s">
        <v>34</v>
      </c>
      <c r="F155" s="119" t="s">
        <v>261</v>
      </c>
      <c r="G155" s="119" t="s">
        <v>245</v>
      </c>
      <c r="H155" s="119" t="s">
        <v>228</v>
      </c>
      <c r="I155" s="119" t="s">
        <v>229</v>
      </c>
      <c r="J155" s="119" t="s">
        <v>262</v>
      </c>
      <c r="K155" s="120" t="s">
        <v>263</v>
      </c>
      <c r="L155" s="120" t="s">
        <v>264</v>
      </c>
    </row>
    <row r="156">
      <c r="A156" s="154">
        <v>43709.147748564814</v>
      </c>
      <c r="B156" s="121" t="s">
        <v>41</v>
      </c>
      <c r="C156" s="155" t="s">
        <v>168</v>
      </c>
      <c r="D156" s="93">
        <v>0.0</v>
      </c>
      <c r="E156" s="93">
        <v>1.0</v>
      </c>
      <c r="F156" s="1" t="s">
        <v>201</v>
      </c>
      <c r="G156" s="1" t="s">
        <v>551</v>
      </c>
      <c r="H156" s="1" t="s">
        <v>430</v>
      </c>
      <c r="I156" s="1" t="s">
        <v>428</v>
      </c>
      <c r="J156" s="93">
        <v>60.0</v>
      </c>
      <c r="K156" s="1" t="s">
        <v>62</v>
      </c>
      <c r="L156" s="93">
        <v>9999.0</v>
      </c>
    </row>
    <row r="157">
      <c r="A157" s="154">
        <v>43709.147748564814</v>
      </c>
      <c r="B157" s="121" t="s">
        <v>41</v>
      </c>
      <c r="C157" s="155" t="s">
        <v>52</v>
      </c>
      <c r="D157" s="93">
        <v>1.0</v>
      </c>
      <c r="E157" s="93">
        <v>0.0</v>
      </c>
      <c r="F157" s="1" t="s">
        <v>282</v>
      </c>
      <c r="G157" s="1" t="s">
        <v>552</v>
      </c>
      <c r="H157" s="1" t="s">
        <v>430</v>
      </c>
      <c r="I157" s="93">
        <v>-2.0</v>
      </c>
      <c r="J157" s="93">
        <v>57.0</v>
      </c>
      <c r="K157" s="1" t="s">
        <v>60</v>
      </c>
      <c r="L157" s="93">
        <v>9999.0</v>
      </c>
    </row>
    <row r="158">
      <c r="A158" s="154">
        <v>43709.147748564814</v>
      </c>
      <c r="B158" s="121" t="s">
        <v>41</v>
      </c>
      <c r="C158" s="155" t="s">
        <v>109</v>
      </c>
      <c r="D158" s="93">
        <v>0.0</v>
      </c>
      <c r="E158" s="93">
        <v>1.0</v>
      </c>
      <c r="F158" s="1" t="s">
        <v>201</v>
      </c>
      <c r="G158" s="1" t="s">
        <v>553</v>
      </c>
      <c r="H158" s="1" t="s">
        <v>430</v>
      </c>
      <c r="I158" s="93">
        <v>5.0</v>
      </c>
      <c r="J158" s="93">
        <v>48.0</v>
      </c>
      <c r="K158" s="1" t="s">
        <v>69</v>
      </c>
      <c r="L158" s="93">
        <v>9999.0</v>
      </c>
    </row>
    <row r="159">
      <c r="A159" s="154">
        <v>43709.147748564814</v>
      </c>
      <c r="B159" s="121" t="s">
        <v>41</v>
      </c>
      <c r="C159" s="156" t="s">
        <v>159</v>
      </c>
      <c r="D159" s="93">
        <v>0.0</v>
      </c>
      <c r="E159" s="93">
        <v>1.0</v>
      </c>
      <c r="F159" s="1" t="s">
        <v>285</v>
      </c>
      <c r="G159" s="1" t="s">
        <v>554</v>
      </c>
      <c r="H159" s="1" t="s">
        <v>430</v>
      </c>
      <c r="I159" s="1" t="s">
        <v>418</v>
      </c>
      <c r="J159" s="1" t="s">
        <v>419</v>
      </c>
      <c r="K159" s="1" t="s">
        <v>60</v>
      </c>
      <c r="L159" s="93">
        <v>9999.0</v>
      </c>
    </row>
    <row r="160">
      <c r="A160" s="154">
        <v>43709.147748564814</v>
      </c>
      <c r="B160" s="121" t="s">
        <v>41</v>
      </c>
      <c r="C160" s="155" t="s">
        <v>190</v>
      </c>
      <c r="D160" s="93">
        <v>0.0</v>
      </c>
      <c r="E160" s="93">
        <v>1.0</v>
      </c>
      <c r="F160" s="1" t="s">
        <v>248</v>
      </c>
      <c r="G160" s="1" t="s">
        <v>555</v>
      </c>
      <c r="H160" s="1" t="s">
        <v>430</v>
      </c>
      <c r="I160" s="1" t="s">
        <v>514</v>
      </c>
      <c r="J160" s="1" t="s">
        <v>276</v>
      </c>
      <c r="K160" s="1" t="s">
        <v>53</v>
      </c>
      <c r="L160" s="93">
        <v>9999.0</v>
      </c>
    </row>
    <row r="161">
      <c r="A161" s="154">
        <v>43709.147748564814</v>
      </c>
      <c r="B161" s="121" t="s">
        <v>41</v>
      </c>
      <c r="C161" s="155" t="s">
        <v>111</v>
      </c>
      <c r="D161" s="93">
        <v>1.0</v>
      </c>
      <c r="E161" s="93">
        <v>0.0</v>
      </c>
      <c r="F161" s="1" t="s">
        <v>266</v>
      </c>
      <c r="G161" s="1" t="s">
        <v>556</v>
      </c>
      <c r="H161" s="1" t="s">
        <v>430</v>
      </c>
      <c r="I161" s="1" t="s">
        <v>557</v>
      </c>
      <c r="J161" s="1" t="s">
        <v>473</v>
      </c>
      <c r="K161" s="1" t="s">
        <v>288</v>
      </c>
      <c r="L161" s="93">
        <v>9999.0</v>
      </c>
    </row>
    <row r="162">
      <c r="A162" s="154">
        <v>43709.147748564814</v>
      </c>
      <c r="B162" s="121" t="s">
        <v>41</v>
      </c>
      <c r="C162" s="155" t="s">
        <v>146</v>
      </c>
      <c r="D162" s="93">
        <v>1.0</v>
      </c>
      <c r="E162" s="93">
        <v>0.0</v>
      </c>
      <c r="F162" s="1" t="s">
        <v>267</v>
      </c>
      <c r="G162" s="1" t="s">
        <v>558</v>
      </c>
      <c r="H162" s="1" t="s">
        <v>430</v>
      </c>
      <c r="I162" s="1" t="s">
        <v>398</v>
      </c>
      <c r="J162" s="1" t="s">
        <v>559</v>
      </c>
      <c r="K162" s="1" t="s">
        <v>288</v>
      </c>
      <c r="L162" s="93">
        <v>9999.0</v>
      </c>
    </row>
    <row r="163">
      <c r="A163" s="154">
        <v>43709.147748564814</v>
      </c>
      <c r="B163" s="121" t="s">
        <v>41</v>
      </c>
      <c r="C163" s="155" t="s">
        <v>126</v>
      </c>
      <c r="D163" s="93">
        <v>1.0</v>
      </c>
      <c r="E163" s="93">
        <v>0.0</v>
      </c>
      <c r="F163" s="1" t="s">
        <v>357</v>
      </c>
      <c r="G163" s="1" t="s">
        <v>560</v>
      </c>
      <c r="H163" s="1" t="s">
        <v>430</v>
      </c>
      <c r="I163" s="1" t="s">
        <v>561</v>
      </c>
      <c r="J163" s="1" t="s">
        <v>412</v>
      </c>
      <c r="K163" s="1" t="s">
        <v>288</v>
      </c>
      <c r="L163" s="93">
        <v>9999.0</v>
      </c>
    </row>
    <row r="164">
      <c r="A164" s="154">
        <v>43709.147748564814</v>
      </c>
      <c r="B164" s="121" t="s">
        <v>41</v>
      </c>
      <c r="C164" s="155" t="s">
        <v>180</v>
      </c>
      <c r="D164" s="93">
        <v>0.0</v>
      </c>
      <c r="E164" s="93">
        <v>1.0</v>
      </c>
      <c r="F164" s="1" t="s">
        <v>260</v>
      </c>
      <c r="G164" s="1" t="s">
        <v>562</v>
      </c>
      <c r="H164" s="1" t="s">
        <v>430</v>
      </c>
      <c r="I164" s="1" t="s">
        <v>426</v>
      </c>
      <c r="J164" s="93">
        <v>53.0</v>
      </c>
      <c r="K164" s="1" t="s">
        <v>74</v>
      </c>
      <c r="L164" s="93">
        <v>9999.0</v>
      </c>
    </row>
    <row r="165">
      <c r="A165" s="154">
        <v>43709.147748564814</v>
      </c>
      <c r="B165" s="121" t="s">
        <v>41</v>
      </c>
      <c r="C165" s="155" t="s">
        <v>91</v>
      </c>
      <c r="D165" s="93">
        <v>0.0</v>
      </c>
      <c r="E165" s="93">
        <v>1.0</v>
      </c>
      <c r="F165" s="1" t="s">
        <v>285</v>
      </c>
      <c r="G165" s="1" t="s">
        <v>563</v>
      </c>
      <c r="H165" s="1" t="s">
        <v>430</v>
      </c>
      <c r="I165" s="1" t="s">
        <v>428</v>
      </c>
      <c r="J165" s="93">
        <v>46.0</v>
      </c>
      <c r="K165" s="1" t="s">
        <v>53</v>
      </c>
      <c r="L165" s="93">
        <v>9999.0</v>
      </c>
    </row>
    <row r="166">
      <c r="A166" s="152" t="s">
        <v>359</v>
      </c>
      <c r="B166" s="115" t="s">
        <v>2</v>
      </c>
      <c r="C166" s="153" t="s">
        <v>227</v>
      </c>
      <c r="D166" s="118" t="s">
        <v>29</v>
      </c>
      <c r="E166" s="118" t="s">
        <v>34</v>
      </c>
      <c r="F166" s="119" t="s">
        <v>261</v>
      </c>
      <c r="G166" s="119" t="s">
        <v>245</v>
      </c>
      <c r="H166" s="119" t="s">
        <v>228</v>
      </c>
      <c r="I166" s="119" t="s">
        <v>229</v>
      </c>
      <c r="J166" s="119" t="s">
        <v>262</v>
      </c>
      <c r="K166" s="120" t="s">
        <v>263</v>
      </c>
      <c r="L166" s="120" t="s">
        <v>264</v>
      </c>
    </row>
    <row r="167">
      <c r="A167" s="154">
        <v>43709.147748564814</v>
      </c>
      <c r="B167" s="121" t="s">
        <v>44</v>
      </c>
      <c r="C167" s="155" t="s">
        <v>161</v>
      </c>
      <c r="D167" s="93">
        <v>0.0</v>
      </c>
      <c r="E167" s="93">
        <v>1.0</v>
      </c>
      <c r="F167" s="1" t="s">
        <v>248</v>
      </c>
      <c r="G167" s="1" t="s">
        <v>429</v>
      </c>
      <c r="H167" s="1" t="s">
        <v>430</v>
      </c>
      <c r="I167" s="93">
        <v>-7.0</v>
      </c>
      <c r="J167" s="1" t="s">
        <v>203</v>
      </c>
      <c r="K167" s="1" t="s">
        <v>62</v>
      </c>
      <c r="L167" s="93">
        <v>9999.0</v>
      </c>
    </row>
    <row r="168">
      <c r="A168" s="154">
        <v>43709.147748564814</v>
      </c>
      <c r="B168" s="121" t="s">
        <v>44</v>
      </c>
      <c r="C168" s="155" t="s">
        <v>132</v>
      </c>
      <c r="D168" s="93">
        <v>1.0</v>
      </c>
      <c r="E168" s="93">
        <v>0.0</v>
      </c>
      <c r="F168" s="1" t="s">
        <v>267</v>
      </c>
      <c r="G168" s="1" t="s">
        <v>564</v>
      </c>
      <c r="H168" s="1" t="s">
        <v>430</v>
      </c>
      <c r="I168" s="1" t="s">
        <v>435</v>
      </c>
      <c r="J168" s="1" t="s">
        <v>237</v>
      </c>
      <c r="K168" s="1" t="s">
        <v>288</v>
      </c>
      <c r="L168" s="93">
        <v>9999.0</v>
      </c>
    </row>
    <row r="169">
      <c r="A169" s="154">
        <v>43709.147748564814</v>
      </c>
      <c r="B169" s="121" t="s">
        <v>44</v>
      </c>
      <c r="C169" s="155" t="s">
        <v>122</v>
      </c>
      <c r="D169" s="93">
        <v>1.0</v>
      </c>
      <c r="E169" s="93">
        <v>0.0</v>
      </c>
      <c r="F169" s="1" t="s">
        <v>201</v>
      </c>
      <c r="G169" s="1" t="s">
        <v>565</v>
      </c>
      <c r="H169" s="1" t="s">
        <v>430</v>
      </c>
      <c r="I169" s="1" t="s">
        <v>226</v>
      </c>
      <c r="J169" s="1" t="s">
        <v>276</v>
      </c>
      <c r="K169" s="1" t="s">
        <v>58</v>
      </c>
      <c r="L169" s="93">
        <v>9999.0</v>
      </c>
    </row>
    <row r="170">
      <c r="A170" s="154">
        <v>43709.147748564814</v>
      </c>
      <c r="B170" s="121" t="s">
        <v>44</v>
      </c>
      <c r="C170" s="156" t="s">
        <v>150</v>
      </c>
      <c r="D170" s="93">
        <v>1.0</v>
      </c>
      <c r="E170" s="93">
        <v>0.0</v>
      </c>
      <c r="F170" s="1" t="s">
        <v>201</v>
      </c>
      <c r="G170" s="1" t="s">
        <v>566</v>
      </c>
      <c r="H170" s="1" t="s">
        <v>430</v>
      </c>
      <c r="I170" s="1" t="s">
        <v>376</v>
      </c>
      <c r="J170" s="1" t="s">
        <v>406</v>
      </c>
      <c r="K170" s="1" t="s">
        <v>64</v>
      </c>
      <c r="L170" s="93">
        <v>9999.0</v>
      </c>
    </row>
    <row r="171">
      <c r="A171" s="154">
        <v>43709.147748564814</v>
      </c>
      <c r="B171" s="121" t="s">
        <v>44</v>
      </c>
      <c r="C171" s="155" t="s">
        <v>37</v>
      </c>
      <c r="D171" s="93">
        <v>1.0</v>
      </c>
      <c r="E171" s="93">
        <v>0.0</v>
      </c>
      <c r="F171" s="1" t="s">
        <v>260</v>
      </c>
      <c r="G171" s="1" t="s">
        <v>567</v>
      </c>
      <c r="H171" s="1" t="s">
        <v>430</v>
      </c>
      <c r="I171" s="1" t="s">
        <v>390</v>
      </c>
      <c r="J171" s="1" t="s">
        <v>237</v>
      </c>
      <c r="K171" s="1" t="s">
        <v>288</v>
      </c>
      <c r="L171" s="93">
        <v>9999.0</v>
      </c>
    </row>
    <row r="172">
      <c r="A172" s="154">
        <v>43709.147748564814</v>
      </c>
      <c r="B172" s="121" t="s">
        <v>44</v>
      </c>
      <c r="C172" s="155" t="s">
        <v>173</v>
      </c>
      <c r="D172" s="93">
        <v>1.0</v>
      </c>
      <c r="E172" s="93">
        <v>0.0</v>
      </c>
      <c r="F172" s="1" t="s">
        <v>287</v>
      </c>
      <c r="G172" s="1" t="s">
        <v>568</v>
      </c>
      <c r="H172" s="1" t="s">
        <v>430</v>
      </c>
      <c r="I172" s="1" t="s">
        <v>569</v>
      </c>
      <c r="J172" s="1" t="s">
        <v>412</v>
      </c>
      <c r="K172" s="1" t="s">
        <v>288</v>
      </c>
      <c r="L172" s="93">
        <v>9999.0</v>
      </c>
    </row>
    <row r="173">
      <c r="A173" s="154">
        <v>43709.147748564814</v>
      </c>
      <c r="B173" s="121" t="s">
        <v>44</v>
      </c>
      <c r="C173" s="155" t="s">
        <v>104</v>
      </c>
      <c r="D173" s="93">
        <v>1.0</v>
      </c>
      <c r="E173" s="93">
        <v>0.0</v>
      </c>
      <c r="F173" s="1" t="s">
        <v>570</v>
      </c>
      <c r="G173" s="1" t="s">
        <v>571</v>
      </c>
      <c r="H173" s="1" t="s">
        <v>430</v>
      </c>
      <c r="I173" s="93">
        <v>-25.0</v>
      </c>
      <c r="J173" s="93">
        <v>60.0</v>
      </c>
      <c r="K173" s="1" t="s">
        <v>288</v>
      </c>
      <c r="L173" s="93">
        <v>9999.0</v>
      </c>
    </row>
    <row r="174">
      <c r="A174" s="154">
        <v>43709.147748564814</v>
      </c>
      <c r="B174" s="121" t="s">
        <v>44</v>
      </c>
      <c r="C174" s="155" t="s">
        <v>61</v>
      </c>
      <c r="D174" s="93">
        <v>1.0</v>
      </c>
      <c r="E174" s="93">
        <v>0.0</v>
      </c>
      <c r="F174" s="1" t="s">
        <v>285</v>
      </c>
      <c r="G174" s="1" t="s">
        <v>532</v>
      </c>
      <c r="H174" s="1" t="s">
        <v>430</v>
      </c>
      <c r="I174" s="1" t="s">
        <v>418</v>
      </c>
      <c r="J174" s="93">
        <v>57.0</v>
      </c>
      <c r="K174" s="1" t="s">
        <v>27</v>
      </c>
      <c r="L174" s="93">
        <v>9999.0</v>
      </c>
    </row>
    <row r="175">
      <c r="A175" s="154">
        <v>43709.147748564814</v>
      </c>
      <c r="B175" s="121" t="s">
        <v>44</v>
      </c>
      <c r="C175" s="155" t="s">
        <v>145</v>
      </c>
      <c r="D175" s="93">
        <v>1.0</v>
      </c>
      <c r="E175" s="93">
        <v>0.0</v>
      </c>
      <c r="F175" s="1" t="s">
        <v>267</v>
      </c>
      <c r="G175" s="1" t="s">
        <v>572</v>
      </c>
      <c r="H175" s="1" t="s">
        <v>430</v>
      </c>
      <c r="I175" s="1" t="s">
        <v>512</v>
      </c>
      <c r="J175" s="1" t="s">
        <v>573</v>
      </c>
      <c r="K175" s="1" t="s">
        <v>288</v>
      </c>
      <c r="L175" s="93">
        <v>9999.0</v>
      </c>
    </row>
    <row r="176">
      <c r="A176" s="154">
        <v>43709.147748564814</v>
      </c>
      <c r="B176" s="121" t="s">
        <v>44</v>
      </c>
      <c r="C176" s="155" t="s">
        <v>188</v>
      </c>
      <c r="D176" s="93">
        <v>0.0</v>
      </c>
      <c r="E176" s="93">
        <v>1.0</v>
      </c>
      <c r="F176" s="1" t="s">
        <v>242</v>
      </c>
      <c r="G176" s="1" t="s">
        <v>547</v>
      </c>
      <c r="H176" s="1" t="s">
        <v>430</v>
      </c>
      <c r="I176" s="93">
        <v>28.0</v>
      </c>
      <c r="J176" s="93">
        <v>53.0</v>
      </c>
      <c r="K176" s="1" t="s">
        <v>38</v>
      </c>
      <c r="L176" s="93">
        <v>9999.0</v>
      </c>
    </row>
    <row r="177">
      <c r="A177" s="152" t="s">
        <v>359</v>
      </c>
      <c r="B177" s="115" t="s">
        <v>2</v>
      </c>
      <c r="C177" s="153" t="s">
        <v>227</v>
      </c>
      <c r="D177" s="118" t="s">
        <v>29</v>
      </c>
      <c r="E177" s="118" t="s">
        <v>34</v>
      </c>
      <c r="F177" s="119" t="s">
        <v>261</v>
      </c>
      <c r="G177" s="119" t="s">
        <v>245</v>
      </c>
      <c r="H177" s="119" t="s">
        <v>228</v>
      </c>
      <c r="I177" s="119" t="s">
        <v>229</v>
      </c>
      <c r="J177" s="119" t="s">
        <v>262</v>
      </c>
      <c r="K177" s="120" t="s">
        <v>263</v>
      </c>
      <c r="L177" s="120" t="s">
        <v>264</v>
      </c>
    </row>
    <row r="178">
      <c r="A178" s="154">
        <v>43709.147748564814</v>
      </c>
      <c r="B178" s="121" t="s">
        <v>48</v>
      </c>
      <c r="C178" s="155" t="s">
        <v>162</v>
      </c>
      <c r="D178" s="93">
        <v>1.0</v>
      </c>
      <c r="E178" s="93">
        <v>0.0</v>
      </c>
      <c r="F178" s="1" t="s">
        <v>273</v>
      </c>
      <c r="G178" s="1" t="s">
        <v>574</v>
      </c>
      <c r="H178" s="1" t="s">
        <v>430</v>
      </c>
      <c r="I178" s="93">
        <v>-25.0</v>
      </c>
      <c r="J178" s="93">
        <v>60.0</v>
      </c>
      <c r="K178" s="1" t="s">
        <v>62</v>
      </c>
      <c r="L178" s="93">
        <v>9999.0</v>
      </c>
    </row>
    <row r="179">
      <c r="A179" s="154">
        <v>43709.147748564814</v>
      </c>
      <c r="B179" s="121" t="s">
        <v>48</v>
      </c>
      <c r="C179" s="155" t="s">
        <v>120</v>
      </c>
      <c r="D179" s="93">
        <v>0.0</v>
      </c>
      <c r="E179" s="93">
        <v>1.0</v>
      </c>
      <c r="F179" s="1" t="s">
        <v>260</v>
      </c>
      <c r="G179" s="1" t="s">
        <v>575</v>
      </c>
      <c r="H179" s="1" t="s">
        <v>430</v>
      </c>
      <c r="I179" s="1" t="s">
        <v>431</v>
      </c>
      <c r="J179" s="1" t="s">
        <v>446</v>
      </c>
      <c r="K179" s="1" t="s">
        <v>64</v>
      </c>
      <c r="L179" s="93">
        <v>9999.0</v>
      </c>
    </row>
    <row r="180">
      <c r="A180" s="154">
        <v>43709.147748564814</v>
      </c>
      <c r="B180" s="121" t="s">
        <v>48</v>
      </c>
      <c r="C180" s="155" t="s">
        <v>105</v>
      </c>
      <c r="D180" s="93">
        <v>1.0</v>
      </c>
      <c r="E180" s="93">
        <v>0.0</v>
      </c>
      <c r="F180" s="1" t="s">
        <v>576</v>
      </c>
      <c r="G180" s="1" t="s">
        <v>577</v>
      </c>
      <c r="H180" s="1" t="s">
        <v>430</v>
      </c>
      <c r="I180" s="93">
        <v>-7.0</v>
      </c>
      <c r="J180" s="1" t="s">
        <v>387</v>
      </c>
      <c r="K180" s="1" t="s">
        <v>288</v>
      </c>
      <c r="L180" s="93">
        <v>9999.0</v>
      </c>
    </row>
    <row r="181">
      <c r="A181" s="154">
        <v>43709.147748564814</v>
      </c>
      <c r="B181" s="121" t="s">
        <v>48</v>
      </c>
      <c r="C181" s="156" t="s">
        <v>90</v>
      </c>
      <c r="D181" s="93">
        <v>1.0</v>
      </c>
      <c r="E181" s="93">
        <v>0.0</v>
      </c>
      <c r="F181" s="1" t="s">
        <v>201</v>
      </c>
      <c r="G181" s="1" t="s">
        <v>578</v>
      </c>
      <c r="H181" s="1" t="s">
        <v>430</v>
      </c>
      <c r="I181" s="1" t="s">
        <v>272</v>
      </c>
      <c r="J181" s="1" t="s">
        <v>419</v>
      </c>
      <c r="K181" s="1" t="s">
        <v>69</v>
      </c>
      <c r="L181" s="93">
        <v>9999.0</v>
      </c>
    </row>
    <row r="182">
      <c r="A182" s="154">
        <v>43709.147748564814</v>
      </c>
      <c r="B182" s="121" t="s">
        <v>48</v>
      </c>
      <c r="C182" s="155" t="s">
        <v>155</v>
      </c>
      <c r="D182" s="93">
        <v>1.0</v>
      </c>
      <c r="E182" s="93">
        <v>0.0</v>
      </c>
      <c r="F182" s="1" t="s">
        <v>579</v>
      </c>
      <c r="G182" s="1" t="s">
        <v>580</v>
      </c>
      <c r="H182" s="1" t="s">
        <v>430</v>
      </c>
      <c r="I182" s="93">
        <v>-9.0</v>
      </c>
      <c r="J182" s="1" t="s">
        <v>240</v>
      </c>
      <c r="K182" s="1" t="s">
        <v>288</v>
      </c>
      <c r="L182" s="93">
        <v>9999.0</v>
      </c>
    </row>
    <row r="183">
      <c r="A183" s="154">
        <v>43709.147748564814</v>
      </c>
      <c r="B183" s="121" t="s">
        <v>48</v>
      </c>
      <c r="C183" s="155" t="s">
        <v>187</v>
      </c>
      <c r="D183" s="93">
        <v>0.0</v>
      </c>
      <c r="E183" s="93">
        <v>1.0</v>
      </c>
      <c r="F183" s="1" t="s">
        <v>267</v>
      </c>
      <c r="G183" s="1" t="s">
        <v>581</v>
      </c>
      <c r="H183" s="1" t="s">
        <v>430</v>
      </c>
      <c r="I183" s="1" t="s">
        <v>451</v>
      </c>
      <c r="J183" s="1" t="s">
        <v>276</v>
      </c>
      <c r="K183" s="1" t="s">
        <v>53</v>
      </c>
      <c r="L183" s="93">
        <v>9999.0</v>
      </c>
    </row>
    <row r="184">
      <c r="A184" s="154">
        <v>43709.147748564814</v>
      </c>
      <c r="B184" s="121" t="s">
        <v>48</v>
      </c>
      <c r="C184" s="155" t="s">
        <v>176</v>
      </c>
      <c r="D184" s="93">
        <v>1.0</v>
      </c>
      <c r="E184" s="93">
        <v>0.0</v>
      </c>
      <c r="F184" s="1" t="s">
        <v>287</v>
      </c>
      <c r="G184" s="1" t="s">
        <v>582</v>
      </c>
      <c r="H184" s="1" t="s">
        <v>430</v>
      </c>
      <c r="I184" s="93">
        <v>-21.0</v>
      </c>
      <c r="J184" s="1" t="s">
        <v>276</v>
      </c>
      <c r="K184" s="1" t="s">
        <v>288</v>
      </c>
      <c r="L184" s="93">
        <v>9999.0</v>
      </c>
    </row>
    <row r="185">
      <c r="A185" s="154">
        <v>43709.147748564814</v>
      </c>
      <c r="B185" s="121" t="s">
        <v>48</v>
      </c>
      <c r="C185" s="155" t="s">
        <v>127</v>
      </c>
      <c r="D185" s="93">
        <v>0.0</v>
      </c>
      <c r="E185" s="93">
        <v>1.0</v>
      </c>
      <c r="F185" s="1" t="s">
        <v>266</v>
      </c>
      <c r="G185" s="1" t="s">
        <v>583</v>
      </c>
      <c r="H185" s="1" t="s">
        <v>430</v>
      </c>
      <c r="I185" s="1" t="s">
        <v>454</v>
      </c>
      <c r="J185" s="93">
        <v>54.0</v>
      </c>
      <c r="K185" s="1" t="s">
        <v>62</v>
      </c>
      <c r="L185" s="93">
        <v>9999.0</v>
      </c>
    </row>
    <row r="186">
      <c r="A186" s="154">
        <v>43709.147748564814</v>
      </c>
      <c r="B186" s="121" t="s">
        <v>48</v>
      </c>
      <c r="C186" s="155" t="s">
        <v>144</v>
      </c>
      <c r="D186" s="93">
        <v>0.0</v>
      </c>
      <c r="E186" s="93">
        <v>1.0</v>
      </c>
      <c r="F186" s="1" t="s">
        <v>248</v>
      </c>
      <c r="G186" s="1" t="s">
        <v>584</v>
      </c>
      <c r="H186" s="1" t="s">
        <v>430</v>
      </c>
      <c r="I186" s="1" t="s">
        <v>456</v>
      </c>
      <c r="J186" s="1" t="s">
        <v>585</v>
      </c>
      <c r="K186" s="1" t="s">
        <v>58</v>
      </c>
      <c r="L186" s="93">
        <v>9999.0</v>
      </c>
    </row>
    <row r="187">
      <c r="A187" s="154">
        <v>43709.147748564814</v>
      </c>
      <c r="B187" s="121" t="s">
        <v>48</v>
      </c>
      <c r="C187" s="155" t="s">
        <v>33</v>
      </c>
      <c r="D187" s="93">
        <v>0.0</v>
      </c>
      <c r="E187" s="93">
        <v>0.0</v>
      </c>
      <c r="F187" s="1" t="s">
        <v>207</v>
      </c>
      <c r="G187" s="1" t="s">
        <v>457</v>
      </c>
      <c r="H187" s="1" t="s">
        <v>458</v>
      </c>
      <c r="I187" s="1" t="s">
        <v>459</v>
      </c>
      <c r="J187" s="93">
        <v>83.0</v>
      </c>
      <c r="K187" s="1" t="s">
        <v>53</v>
      </c>
      <c r="L187" s="93">
        <v>9999.0</v>
      </c>
    </row>
    <row r="188">
      <c r="A188" s="152" t="s">
        <v>359</v>
      </c>
      <c r="B188" s="115" t="s">
        <v>2</v>
      </c>
      <c r="C188" s="153" t="s">
        <v>227</v>
      </c>
      <c r="D188" s="118" t="s">
        <v>29</v>
      </c>
      <c r="E188" s="118" t="s">
        <v>34</v>
      </c>
      <c r="F188" s="119" t="s">
        <v>261</v>
      </c>
      <c r="G188" s="119" t="s">
        <v>245</v>
      </c>
      <c r="H188" s="119" t="s">
        <v>228</v>
      </c>
      <c r="I188" s="119" t="s">
        <v>229</v>
      </c>
      <c r="J188" s="119" t="s">
        <v>262</v>
      </c>
      <c r="K188" s="120" t="s">
        <v>263</v>
      </c>
      <c r="L188" s="120" t="s">
        <v>264</v>
      </c>
    </row>
    <row r="189">
      <c r="A189" s="154">
        <v>43709.147748564814</v>
      </c>
      <c r="B189" s="121" t="s">
        <v>53</v>
      </c>
      <c r="C189" s="155" t="s">
        <v>136</v>
      </c>
      <c r="D189" s="93">
        <v>1.0</v>
      </c>
      <c r="E189" s="93">
        <v>0.0</v>
      </c>
      <c r="F189" s="1" t="s">
        <v>267</v>
      </c>
      <c r="G189" s="1" t="s">
        <v>586</v>
      </c>
      <c r="H189" s="1" t="s">
        <v>430</v>
      </c>
      <c r="I189" s="1" t="s">
        <v>461</v>
      </c>
      <c r="J189" s="1" t="s">
        <v>462</v>
      </c>
      <c r="K189" s="1" t="s">
        <v>288</v>
      </c>
      <c r="L189" s="93">
        <v>9999.0</v>
      </c>
    </row>
    <row r="190">
      <c r="A190" s="154">
        <v>43709.147748564814</v>
      </c>
      <c r="B190" s="121" t="s">
        <v>53</v>
      </c>
      <c r="C190" s="155" t="s">
        <v>157</v>
      </c>
      <c r="D190" s="93">
        <v>1.0</v>
      </c>
      <c r="E190" s="93">
        <v>0.0</v>
      </c>
      <c r="F190" s="1" t="s">
        <v>248</v>
      </c>
      <c r="G190" s="1" t="s">
        <v>587</v>
      </c>
      <c r="H190" s="1" t="s">
        <v>430</v>
      </c>
      <c r="I190" s="1" t="s">
        <v>431</v>
      </c>
      <c r="J190" s="1" t="s">
        <v>397</v>
      </c>
      <c r="K190" s="1" t="s">
        <v>288</v>
      </c>
      <c r="L190" s="93">
        <v>9999.0</v>
      </c>
    </row>
    <row r="191">
      <c r="A191" s="154">
        <v>43709.147748564814</v>
      </c>
      <c r="B191" s="121" t="s">
        <v>53</v>
      </c>
      <c r="C191" s="155" t="s">
        <v>164</v>
      </c>
      <c r="D191" s="93">
        <v>1.0</v>
      </c>
      <c r="E191" s="93">
        <v>0.0</v>
      </c>
      <c r="F191" s="1" t="s">
        <v>201</v>
      </c>
      <c r="G191" s="1" t="s">
        <v>588</v>
      </c>
      <c r="H191" s="1" t="s">
        <v>430</v>
      </c>
      <c r="I191" s="93">
        <v>-13.0</v>
      </c>
      <c r="J191" s="1" t="s">
        <v>446</v>
      </c>
      <c r="K191" s="1" t="s">
        <v>69</v>
      </c>
      <c r="L191" s="93">
        <v>9999.0</v>
      </c>
    </row>
    <row r="192">
      <c r="A192" s="154">
        <v>43709.147748564814</v>
      </c>
      <c r="B192" s="121" t="s">
        <v>53</v>
      </c>
      <c r="C192" s="156" t="s">
        <v>179</v>
      </c>
      <c r="D192" s="93">
        <v>1.0</v>
      </c>
      <c r="E192" s="93">
        <v>0.0</v>
      </c>
      <c r="F192" s="1" t="s">
        <v>248</v>
      </c>
      <c r="G192" s="1" t="s">
        <v>555</v>
      </c>
      <c r="H192" s="1" t="s">
        <v>430</v>
      </c>
      <c r="I192" s="1" t="s">
        <v>390</v>
      </c>
      <c r="J192" s="1" t="s">
        <v>276</v>
      </c>
      <c r="K192" s="1" t="s">
        <v>41</v>
      </c>
      <c r="L192" s="93">
        <v>9999.0</v>
      </c>
    </row>
    <row r="193">
      <c r="A193" s="154">
        <v>43709.147748564814</v>
      </c>
      <c r="B193" s="121" t="s">
        <v>53</v>
      </c>
      <c r="C193" s="155" t="s">
        <v>119</v>
      </c>
      <c r="D193" s="93">
        <v>1.0</v>
      </c>
      <c r="E193" s="93">
        <v>0.0</v>
      </c>
      <c r="F193" s="1" t="s">
        <v>266</v>
      </c>
      <c r="G193" s="1" t="s">
        <v>589</v>
      </c>
      <c r="H193" s="1" t="s">
        <v>430</v>
      </c>
      <c r="I193" s="93">
        <v>-40.0</v>
      </c>
      <c r="J193" s="1" t="s">
        <v>446</v>
      </c>
      <c r="K193" s="1" t="s">
        <v>288</v>
      </c>
      <c r="L193" s="93">
        <v>9999.0</v>
      </c>
    </row>
    <row r="194">
      <c r="A194" s="154">
        <v>43709.147748564814</v>
      </c>
      <c r="B194" s="121" t="s">
        <v>53</v>
      </c>
      <c r="C194" s="155" t="s">
        <v>148</v>
      </c>
      <c r="D194" s="93">
        <v>1.0</v>
      </c>
      <c r="E194" s="93">
        <v>0.0</v>
      </c>
      <c r="F194" s="1" t="s">
        <v>533</v>
      </c>
      <c r="G194" s="1" t="s">
        <v>590</v>
      </c>
      <c r="H194" s="1" t="s">
        <v>430</v>
      </c>
      <c r="I194" s="1" t="s">
        <v>591</v>
      </c>
      <c r="J194" s="1" t="s">
        <v>487</v>
      </c>
      <c r="K194" s="1" t="s">
        <v>288</v>
      </c>
      <c r="L194" s="93">
        <v>9999.0</v>
      </c>
    </row>
    <row r="195">
      <c r="A195" s="154">
        <v>43709.147748564814</v>
      </c>
      <c r="B195" s="121" t="s">
        <v>53</v>
      </c>
      <c r="C195" s="155" t="s">
        <v>42</v>
      </c>
      <c r="D195" s="93">
        <v>1.0</v>
      </c>
      <c r="E195" s="93">
        <v>0.0</v>
      </c>
      <c r="F195" s="1" t="s">
        <v>267</v>
      </c>
      <c r="G195" s="1" t="s">
        <v>581</v>
      </c>
      <c r="H195" s="1" t="s">
        <v>430</v>
      </c>
      <c r="I195" s="1" t="s">
        <v>428</v>
      </c>
      <c r="J195" s="1" t="s">
        <v>276</v>
      </c>
      <c r="K195" s="1" t="s">
        <v>48</v>
      </c>
      <c r="L195" s="93">
        <v>9999.0</v>
      </c>
    </row>
    <row r="196">
      <c r="A196" s="154">
        <v>43709.147748564814</v>
      </c>
      <c r="B196" s="121" t="s">
        <v>53</v>
      </c>
      <c r="C196" s="155" t="s">
        <v>93</v>
      </c>
      <c r="D196" s="93">
        <v>1.0</v>
      </c>
      <c r="E196" s="93">
        <v>0.0</v>
      </c>
      <c r="F196" s="1" t="s">
        <v>285</v>
      </c>
      <c r="G196" s="1" t="s">
        <v>563</v>
      </c>
      <c r="H196" s="1" t="s">
        <v>430</v>
      </c>
      <c r="I196" s="1" t="s">
        <v>451</v>
      </c>
      <c r="J196" s="93">
        <v>46.0</v>
      </c>
      <c r="K196" s="1" t="s">
        <v>41</v>
      </c>
      <c r="L196" s="93">
        <v>9999.0</v>
      </c>
    </row>
    <row r="197">
      <c r="A197" s="154">
        <v>43709.147748564814</v>
      </c>
      <c r="B197" s="121" t="s">
        <v>53</v>
      </c>
      <c r="C197" s="155" t="s">
        <v>191</v>
      </c>
      <c r="D197" s="93">
        <v>1.0</v>
      </c>
      <c r="E197" s="93">
        <v>0.0</v>
      </c>
      <c r="F197" s="1" t="s">
        <v>248</v>
      </c>
      <c r="G197" s="1" t="s">
        <v>592</v>
      </c>
      <c r="H197" s="1" t="s">
        <v>430</v>
      </c>
      <c r="I197" s="1" t="s">
        <v>569</v>
      </c>
      <c r="J197" s="1" t="s">
        <v>446</v>
      </c>
      <c r="K197" s="1" t="s">
        <v>288</v>
      </c>
      <c r="L197" s="93">
        <v>9999.0</v>
      </c>
    </row>
    <row r="198">
      <c r="A198" s="154">
        <v>43709.147748564814</v>
      </c>
      <c r="B198" s="121" t="s">
        <v>53</v>
      </c>
      <c r="C198" s="155" t="s">
        <v>100</v>
      </c>
      <c r="D198" s="1">
        <v>1.0</v>
      </c>
      <c r="E198" s="93">
        <v>0.0</v>
      </c>
      <c r="F198" s="1" t="s">
        <v>207</v>
      </c>
      <c r="G198" s="1" t="s">
        <v>593</v>
      </c>
      <c r="H198" s="1" t="s">
        <v>430</v>
      </c>
      <c r="I198" s="1" t="s">
        <v>470</v>
      </c>
      <c r="J198" s="93">
        <v>83.0</v>
      </c>
      <c r="K198" s="1" t="s">
        <v>48</v>
      </c>
      <c r="L198" s="93">
        <v>9999.0</v>
      </c>
    </row>
    <row r="199">
      <c r="A199" s="152" t="s">
        <v>359</v>
      </c>
      <c r="B199" s="115" t="s">
        <v>2</v>
      </c>
      <c r="C199" s="153" t="s">
        <v>227</v>
      </c>
      <c r="D199" s="118" t="s">
        <v>29</v>
      </c>
      <c r="E199" s="118" t="s">
        <v>34</v>
      </c>
      <c r="F199" s="119" t="s">
        <v>261</v>
      </c>
      <c r="G199" s="119" t="s">
        <v>245</v>
      </c>
      <c r="H199" s="119" t="s">
        <v>228</v>
      </c>
      <c r="I199" s="119" t="s">
        <v>229</v>
      </c>
      <c r="J199" s="119" t="s">
        <v>262</v>
      </c>
      <c r="K199" s="120" t="s">
        <v>263</v>
      </c>
      <c r="L199" s="120" t="s">
        <v>264</v>
      </c>
    </row>
    <row r="200">
      <c r="A200" s="154">
        <v>43709.147748564814</v>
      </c>
      <c r="B200" s="121" t="s">
        <v>58</v>
      </c>
      <c r="C200" s="155" t="s">
        <v>140</v>
      </c>
      <c r="D200" s="93">
        <v>1.0</v>
      </c>
      <c r="E200" s="93">
        <v>0.0</v>
      </c>
      <c r="F200" s="1" t="s">
        <v>267</v>
      </c>
      <c r="G200" s="1" t="s">
        <v>594</v>
      </c>
      <c r="H200" s="1" t="s">
        <v>430</v>
      </c>
      <c r="I200" s="1" t="s">
        <v>595</v>
      </c>
      <c r="J200" s="1" t="s">
        <v>419</v>
      </c>
      <c r="K200" s="1" t="s">
        <v>288</v>
      </c>
      <c r="L200" s="93">
        <v>9999.0</v>
      </c>
    </row>
    <row r="201">
      <c r="A201" s="154">
        <v>43709.147748564814</v>
      </c>
      <c r="B201" s="121" t="s">
        <v>58</v>
      </c>
      <c r="C201" s="155" t="s">
        <v>135</v>
      </c>
      <c r="D201" s="93">
        <v>0.0</v>
      </c>
      <c r="E201" s="93">
        <v>1.0</v>
      </c>
      <c r="F201" s="1" t="s">
        <v>267</v>
      </c>
      <c r="G201" s="1" t="s">
        <v>596</v>
      </c>
      <c r="H201" s="1" t="s">
        <v>430</v>
      </c>
      <c r="I201" s="1" t="s">
        <v>597</v>
      </c>
      <c r="J201" s="1" t="s">
        <v>237</v>
      </c>
      <c r="K201" s="1" t="s">
        <v>288</v>
      </c>
      <c r="L201" s="93">
        <v>9999.0</v>
      </c>
    </row>
    <row r="202">
      <c r="A202" s="154">
        <v>43709.147748564814</v>
      </c>
      <c r="B202" s="121" t="s">
        <v>58</v>
      </c>
      <c r="C202" s="155" t="s">
        <v>45</v>
      </c>
      <c r="D202" s="93">
        <v>0.0</v>
      </c>
      <c r="E202" s="93">
        <v>1.0</v>
      </c>
      <c r="F202" s="1" t="s">
        <v>201</v>
      </c>
      <c r="G202" s="1" t="s">
        <v>565</v>
      </c>
      <c r="H202" s="1" t="s">
        <v>430</v>
      </c>
      <c r="I202" s="1" t="s">
        <v>274</v>
      </c>
      <c r="J202" s="1" t="s">
        <v>276</v>
      </c>
      <c r="K202" s="1" t="s">
        <v>44</v>
      </c>
      <c r="L202" s="93">
        <v>9999.0</v>
      </c>
    </row>
    <row r="203">
      <c r="A203" s="154">
        <v>43709.147748564814</v>
      </c>
      <c r="B203" s="121" t="s">
        <v>58</v>
      </c>
      <c r="C203" s="156" t="s">
        <v>72</v>
      </c>
      <c r="D203" s="93">
        <v>0.0</v>
      </c>
      <c r="E203" s="93">
        <v>1.0</v>
      </c>
      <c r="F203" s="1" t="s">
        <v>248</v>
      </c>
      <c r="G203" s="1" t="s">
        <v>530</v>
      </c>
      <c r="H203" s="1" t="s">
        <v>430</v>
      </c>
      <c r="I203" s="93">
        <v>35.0</v>
      </c>
      <c r="J203" s="93">
        <v>58.0</v>
      </c>
      <c r="K203" s="1" t="s">
        <v>27</v>
      </c>
      <c r="L203" s="93">
        <v>9999.0</v>
      </c>
    </row>
    <row r="204">
      <c r="A204" s="154">
        <v>43709.147748564814</v>
      </c>
      <c r="B204" s="121" t="s">
        <v>58</v>
      </c>
      <c r="C204" s="155" t="s">
        <v>183</v>
      </c>
      <c r="D204" s="93">
        <v>0.0</v>
      </c>
      <c r="E204" s="93">
        <v>1.0</v>
      </c>
      <c r="F204" s="1" t="s">
        <v>242</v>
      </c>
      <c r="G204" s="1" t="s">
        <v>598</v>
      </c>
      <c r="H204" s="1" t="s">
        <v>430</v>
      </c>
      <c r="I204" s="93">
        <v>-26.0</v>
      </c>
      <c r="J204" s="1" t="s">
        <v>276</v>
      </c>
      <c r="K204" s="1" t="s">
        <v>60</v>
      </c>
      <c r="L204" s="93">
        <v>9999.0</v>
      </c>
    </row>
    <row r="205">
      <c r="A205" s="154">
        <v>43709.147748564814</v>
      </c>
      <c r="B205" s="121" t="s">
        <v>58</v>
      </c>
      <c r="C205" s="155" t="s">
        <v>186</v>
      </c>
      <c r="D205" s="93">
        <v>1.0</v>
      </c>
      <c r="E205" s="93">
        <v>0.0</v>
      </c>
      <c r="F205" s="1" t="s">
        <v>267</v>
      </c>
      <c r="G205" s="1" t="s">
        <v>599</v>
      </c>
      <c r="H205" s="1" t="s">
        <v>430</v>
      </c>
      <c r="I205" s="1" t="s">
        <v>435</v>
      </c>
      <c r="J205" s="1" t="s">
        <v>462</v>
      </c>
      <c r="K205" s="1" t="s">
        <v>288</v>
      </c>
      <c r="L205" s="93">
        <v>9999.0</v>
      </c>
    </row>
    <row r="206">
      <c r="A206" s="154">
        <v>43709.147748564814</v>
      </c>
      <c r="B206" s="121" t="s">
        <v>58</v>
      </c>
      <c r="C206" s="155" t="s">
        <v>96</v>
      </c>
      <c r="D206" s="93">
        <v>1.0</v>
      </c>
      <c r="E206" s="93">
        <v>0.0</v>
      </c>
      <c r="F206" s="1" t="s">
        <v>267</v>
      </c>
      <c r="G206" s="1" t="s">
        <v>600</v>
      </c>
      <c r="H206" s="1" t="s">
        <v>430</v>
      </c>
      <c r="I206" s="93">
        <v>-38.0</v>
      </c>
      <c r="J206" s="1" t="s">
        <v>276</v>
      </c>
      <c r="K206" s="1" t="s">
        <v>288</v>
      </c>
      <c r="L206" s="93">
        <v>9999.0</v>
      </c>
    </row>
    <row r="207">
      <c r="A207" s="154">
        <v>43709.147748564814</v>
      </c>
      <c r="B207" s="121" t="s">
        <v>58</v>
      </c>
      <c r="C207" s="155" t="s">
        <v>165</v>
      </c>
      <c r="D207" s="93">
        <v>0.0</v>
      </c>
      <c r="E207" s="93">
        <v>1.0</v>
      </c>
      <c r="F207" s="1" t="s">
        <v>248</v>
      </c>
      <c r="G207" s="1" t="s">
        <v>601</v>
      </c>
      <c r="H207" s="1" t="s">
        <v>430</v>
      </c>
      <c r="I207" s="1" t="s">
        <v>418</v>
      </c>
      <c r="J207" s="1" t="s">
        <v>546</v>
      </c>
      <c r="K207" s="1" t="s">
        <v>74</v>
      </c>
      <c r="L207" s="93">
        <v>9999.0</v>
      </c>
    </row>
    <row r="208">
      <c r="A208" s="154">
        <v>43709.147748564814</v>
      </c>
      <c r="B208" s="121" t="s">
        <v>58</v>
      </c>
      <c r="C208" s="155" t="s">
        <v>110</v>
      </c>
      <c r="D208" s="93">
        <v>1.0</v>
      </c>
      <c r="E208" s="93">
        <v>0.0</v>
      </c>
      <c r="F208" s="1" t="s">
        <v>269</v>
      </c>
      <c r="G208" s="1" t="s">
        <v>584</v>
      </c>
      <c r="H208" s="1" t="s">
        <v>430</v>
      </c>
      <c r="I208" s="1" t="s">
        <v>393</v>
      </c>
      <c r="J208" s="1" t="s">
        <v>585</v>
      </c>
      <c r="K208" s="1" t="s">
        <v>48</v>
      </c>
      <c r="L208" s="93">
        <v>9999.0</v>
      </c>
    </row>
    <row r="209">
      <c r="A209" s="154">
        <v>43709.147748564814</v>
      </c>
      <c r="B209" s="121" t="s">
        <v>58</v>
      </c>
      <c r="C209" s="155" t="s">
        <v>158</v>
      </c>
      <c r="D209" s="93">
        <v>1.0</v>
      </c>
      <c r="E209" s="93">
        <v>0.0</v>
      </c>
      <c r="F209" s="1" t="s">
        <v>579</v>
      </c>
      <c r="G209" s="1" t="s">
        <v>602</v>
      </c>
      <c r="H209" s="1" t="s">
        <v>430</v>
      </c>
      <c r="I209" s="93">
        <v>-24.0</v>
      </c>
      <c r="J209" s="1" t="s">
        <v>516</v>
      </c>
      <c r="K209" s="1" t="s">
        <v>288</v>
      </c>
      <c r="L209" s="93">
        <v>9999.0</v>
      </c>
    </row>
    <row r="210">
      <c r="A210" s="152" t="s">
        <v>359</v>
      </c>
      <c r="B210" s="115" t="s">
        <v>2</v>
      </c>
      <c r="C210" s="153" t="s">
        <v>227</v>
      </c>
      <c r="D210" s="118" t="s">
        <v>29</v>
      </c>
      <c r="E210" s="118" t="s">
        <v>34</v>
      </c>
      <c r="F210" s="119" t="s">
        <v>261</v>
      </c>
      <c r="G210" s="119" t="s">
        <v>245</v>
      </c>
      <c r="H210" s="119" t="s">
        <v>228</v>
      </c>
      <c r="I210" s="119" t="s">
        <v>229</v>
      </c>
      <c r="J210" s="119" t="s">
        <v>262</v>
      </c>
      <c r="K210" s="120" t="s">
        <v>263</v>
      </c>
      <c r="L210" s="120" t="s">
        <v>264</v>
      </c>
    </row>
    <row r="211">
      <c r="A211" s="154">
        <v>43709.147748564814</v>
      </c>
      <c r="B211" s="121" t="s">
        <v>60</v>
      </c>
      <c r="C211" s="155" t="s">
        <v>175</v>
      </c>
      <c r="D211" s="93">
        <v>1.0</v>
      </c>
      <c r="E211" s="93">
        <v>0.0</v>
      </c>
      <c r="F211" s="1" t="s">
        <v>248</v>
      </c>
      <c r="G211" s="1" t="s">
        <v>481</v>
      </c>
      <c r="H211" s="1" t="s">
        <v>430</v>
      </c>
      <c r="I211" s="93">
        <v>-4.0</v>
      </c>
      <c r="J211" s="1" t="s">
        <v>203</v>
      </c>
      <c r="K211" s="1" t="s">
        <v>69</v>
      </c>
      <c r="L211" s="93">
        <v>9999.0</v>
      </c>
    </row>
    <row r="212">
      <c r="A212" s="154">
        <v>43709.147748564814</v>
      </c>
      <c r="B212" s="121" t="s">
        <v>60</v>
      </c>
      <c r="C212" s="155" t="s">
        <v>59</v>
      </c>
      <c r="D212" s="93">
        <v>1.0</v>
      </c>
      <c r="E212" s="93">
        <v>0.0</v>
      </c>
      <c r="F212" s="1" t="s">
        <v>260</v>
      </c>
      <c r="G212" s="1" t="s">
        <v>603</v>
      </c>
      <c r="H212" s="1" t="s">
        <v>430</v>
      </c>
      <c r="I212" s="1" t="s">
        <v>604</v>
      </c>
      <c r="J212" s="1" t="s">
        <v>370</v>
      </c>
      <c r="K212" s="1" t="s">
        <v>288</v>
      </c>
      <c r="L212" s="93">
        <v>9999.0</v>
      </c>
    </row>
    <row r="213">
      <c r="A213" s="154">
        <v>43709.147748564814</v>
      </c>
      <c r="B213" s="121" t="s">
        <v>60</v>
      </c>
      <c r="C213" s="155" t="s">
        <v>123</v>
      </c>
      <c r="D213" s="93">
        <v>0.0</v>
      </c>
      <c r="E213" s="93">
        <v>1.0</v>
      </c>
      <c r="F213" s="1" t="s">
        <v>248</v>
      </c>
      <c r="G213" s="1" t="s">
        <v>552</v>
      </c>
      <c r="H213" s="1" t="s">
        <v>430</v>
      </c>
      <c r="I213" s="93">
        <v>2.0</v>
      </c>
      <c r="J213" s="93">
        <v>57.0</v>
      </c>
      <c r="K213" s="1" t="s">
        <v>41</v>
      </c>
      <c r="L213" s="93">
        <v>9999.0</v>
      </c>
    </row>
    <row r="214">
      <c r="A214" s="154">
        <v>43709.147748564814</v>
      </c>
      <c r="B214" s="121" t="s">
        <v>60</v>
      </c>
      <c r="C214" s="156" t="s">
        <v>95</v>
      </c>
      <c r="D214" s="93">
        <v>1.0</v>
      </c>
      <c r="E214" s="93">
        <v>0.0</v>
      </c>
      <c r="F214" s="1" t="s">
        <v>285</v>
      </c>
      <c r="G214" s="1" t="s">
        <v>554</v>
      </c>
      <c r="H214" s="1" t="s">
        <v>430</v>
      </c>
      <c r="I214" s="1" t="s">
        <v>379</v>
      </c>
      <c r="J214" s="1" t="s">
        <v>419</v>
      </c>
      <c r="K214" s="1" t="s">
        <v>41</v>
      </c>
      <c r="L214" s="93">
        <v>9999.0</v>
      </c>
    </row>
    <row r="215">
      <c r="A215" s="154">
        <v>43709.147748564814</v>
      </c>
      <c r="B215" s="121" t="s">
        <v>60</v>
      </c>
      <c r="C215" s="155" t="s">
        <v>166</v>
      </c>
      <c r="D215" s="93">
        <v>0.0</v>
      </c>
      <c r="E215" s="93">
        <v>1.0</v>
      </c>
      <c r="F215" s="1" t="s">
        <v>269</v>
      </c>
      <c r="G215" s="1" t="s">
        <v>605</v>
      </c>
      <c r="H215" s="1" t="s">
        <v>430</v>
      </c>
      <c r="I215" s="93">
        <v>15.0</v>
      </c>
      <c r="J215" s="1" t="s">
        <v>487</v>
      </c>
      <c r="K215" s="1" t="s">
        <v>69</v>
      </c>
      <c r="L215" s="93">
        <v>9999.0</v>
      </c>
    </row>
    <row r="216">
      <c r="A216" s="154">
        <v>43709.147748564814</v>
      </c>
      <c r="B216" s="121" t="s">
        <v>60</v>
      </c>
      <c r="C216" s="155" t="s">
        <v>137</v>
      </c>
      <c r="D216" s="93">
        <v>0.0</v>
      </c>
      <c r="E216" s="93">
        <v>1.0</v>
      </c>
      <c r="F216" s="1" t="s">
        <v>266</v>
      </c>
      <c r="G216" s="1" t="s">
        <v>606</v>
      </c>
      <c r="H216" s="1" t="s">
        <v>430</v>
      </c>
      <c r="I216" s="93">
        <v>17.0</v>
      </c>
      <c r="J216" s="93">
        <v>59.0</v>
      </c>
      <c r="K216" s="1" t="s">
        <v>288</v>
      </c>
      <c r="L216" s="93">
        <v>9999.0</v>
      </c>
    </row>
    <row r="217">
      <c r="A217" s="154">
        <v>43709.147748564814</v>
      </c>
      <c r="B217" s="121" t="s">
        <v>60</v>
      </c>
      <c r="C217" s="155" t="s">
        <v>149</v>
      </c>
      <c r="D217" s="93">
        <v>1.0</v>
      </c>
      <c r="E217" s="93">
        <v>0.0</v>
      </c>
      <c r="F217" s="1" t="s">
        <v>533</v>
      </c>
      <c r="G217" s="1" t="s">
        <v>607</v>
      </c>
      <c r="H217" s="1" t="s">
        <v>430</v>
      </c>
      <c r="I217" s="1" t="s">
        <v>426</v>
      </c>
      <c r="J217" s="1" t="s">
        <v>608</v>
      </c>
      <c r="K217" s="1" t="s">
        <v>288</v>
      </c>
      <c r="L217" s="93">
        <v>9999.0</v>
      </c>
    </row>
    <row r="218">
      <c r="A218" s="154">
        <v>43709.147748564814</v>
      </c>
      <c r="B218" s="121" t="s">
        <v>60</v>
      </c>
      <c r="C218" s="155" t="s">
        <v>189</v>
      </c>
      <c r="D218" s="93">
        <v>1.0</v>
      </c>
      <c r="E218" s="93">
        <v>0.0</v>
      </c>
      <c r="F218" s="1" t="s">
        <v>242</v>
      </c>
      <c r="G218" s="1" t="s">
        <v>598</v>
      </c>
      <c r="H218" s="1" t="s">
        <v>430</v>
      </c>
      <c r="I218" s="93">
        <v>26.0</v>
      </c>
      <c r="J218" s="1" t="s">
        <v>276</v>
      </c>
      <c r="K218" s="1" t="s">
        <v>58</v>
      </c>
      <c r="L218" s="93">
        <v>9999.0</v>
      </c>
    </row>
    <row r="219">
      <c r="A219" s="154">
        <v>43709.147748564814</v>
      </c>
      <c r="B219" s="121" t="s">
        <v>60</v>
      </c>
      <c r="C219" s="155" t="s">
        <v>117</v>
      </c>
      <c r="D219" s="93">
        <v>0.0</v>
      </c>
      <c r="E219" s="93">
        <v>1.0</v>
      </c>
      <c r="F219" s="1" t="s">
        <v>278</v>
      </c>
      <c r="G219" s="1" t="s">
        <v>609</v>
      </c>
      <c r="H219" s="1" t="s">
        <v>430</v>
      </c>
      <c r="I219" s="1" t="s">
        <v>247</v>
      </c>
      <c r="J219" s="93">
        <v>47.0</v>
      </c>
      <c r="K219" s="1" t="s">
        <v>74</v>
      </c>
      <c r="L219" s="93">
        <v>9999.0</v>
      </c>
    </row>
    <row r="220">
      <c r="A220" s="154">
        <v>43709.147748564814</v>
      </c>
      <c r="B220" s="121" t="s">
        <v>60</v>
      </c>
      <c r="C220" s="155" t="s">
        <v>103</v>
      </c>
      <c r="D220" s="93">
        <v>1.0</v>
      </c>
      <c r="E220" s="93">
        <v>0.0</v>
      </c>
      <c r="F220" s="1" t="s">
        <v>610</v>
      </c>
      <c r="G220" s="1" t="s">
        <v>611</v>
      </c>
      <c r="H220" s="1" t="s">
        <v>430</v>
      </c>
      <c r="I220" s="1" t="s">
        <v>390</v>
      </c>
      <c r="J220" s="93">
        <v>55.0</v>
      </c>
      <c r="K220" s="1" t="s">
        <v>69</v>
      </c>
      <c r="L220" s="93">
        <v>9999.0</v>
      </c>
    </row>
    <row r="221">
      <c r="A221" s="152" t="s">
        <v>359</v>
      </c>
      <c r="B221" s="115" t="s">
        <v>2</v>
      </c>
      <c r="C221" s="153" t="s">
        <v>227</v>
      </c>
      <c r="D221" s="118" t="s">
        <v>29</v>
      </c>
      <c r="E221" s="118" t="s">
        <v>34</v>
      </c>
      <c r="F221" s="119" t="s">
        <v>261</v>
      </c>
      <c r="G221" s="119" t="s">
        <v>245</v>
      </c>
      <c r="H221" s="119" t="s">
        <v>228</v>
      </c>
      <c r="I221" s="119" t="s">
        <v>229</v>
      </c>
      <c r="J221" s="119" t="s">
        <v>262</v>
      </c>
      <c r="K221" s="120" t="s">
        <v>263</v>
      </c>
      <c r="L221" s="120" t="s">
        <v>264</v>
      </c>
    </row>
    <row r="222">
      <c r="A222" s="154">
        <v>43709.147748564814</v>
      </c>
      <c r="B222" s="121" t="s">
        <v>62</v>
      </c>
      <c r="C222" s="155" t="s">
        <v>153</v>
      </c>
      <c r="D222" s="93">
        <v>1.0</v>
      </c>
      <c r="E222" s="93">
        <v>0.0</v>
      </c>
      <c r="F222" s="1" t="s">
        <v>248</v>
      </c>
      <c r="G222" s="1" t="s">
        <v>429</v>
      </c>
      <c r="H222" s="1" t="s">
        <v>430</v>
      </c>
      <c r="I222" s="93">
        <v>7.0</v>
      </c>
      <c r="J222" s="1" t="s">
        <v>203</v>
      </c>
      <c r="K222" s="1" t="s">
        <v>44</v>
      </c>
      <c r="L222" s="93">
        <v>9999.0</v>
      </c>
    </row>
    <row r="223">
      <c r="A223" s="154">
        <v>43709.147748564814</v>
      </c>
      <c r="B223" s="121" t="s">
        <v>62</v>
      </c>
      <c r="C223" s="155" t="s">
        <v>5</v>
      </c>
      <c r="D223" s="93">
        <v>1.0</v>
      </c>
      <c r="E223" s="93">
        <v>0.0</v>
      </c>
      <c r="F223" s="1" t="s">
        <v>201</v>
      </c>
      <c r="G223" s="1" t="s">
        <v>551</v>
      </c>
      <c r="H223" s="1" t="s">
        <v>430</v>
      </c>
      <c r="I223" s="1" t="s">
        <v>451</v>
      </c>
      <c r="J223" s="93">
        <v>60.0</v>
      </c>
      <c r="K223" s="1" t="s">
        <v>41</v>
      </c>
      <c r="L223" s="93">
        <v>9999.0</v>
      </c>
    </row>
    <row r="224">
      <c r="A224" s="154">
        <v>43709.147748564814</v>
      </c>
      <c r="B224" s="121" t="s">
        <v>62</v>
      </c>
      <c r="C224" s="155" t="s">
        <v>184</v>
      </c>
      <c r="D224" s="93">
        <v>1.0</v>
      </c>
      <c r="E224" s="93">
        <v>0.0</v>
      </c>
      <c r="F224" s="1" t="s">
        <v>287</v>
      </c>
      <c r="G224" s="1" t="s">
        <v>612</v>
      </c>
      <c r="H224" s="1" t="s">
        <v>430</v>
      </c>
      <c r="I224" s="1" t="s">
        <v>495</v>
      </c>
      <c r="J224" s="1" t="s">
        <v>276</v>
      </c>
      <c r="K224" s="1" t="s">
        <v>69</v>
      </c>
      <c r="L224" s="93">
        <v>9999.0</v>
      </c>
    </row>
    <row r="225">
      <c r="A225" s="154">
        <v>43709.147748564814</v>
      </c>
      <c r="B225" s="121" t="s">
        <v>62</v>
      </c>
      <c r="C225" s="156" t="s">
        <v>143</v>
      </c>
      <c r="D225" s="93">
        <v>0.0</v>
      </c>
      <c r="E225" s="93">
        <v>1.0</v>
      </c>
      <c r="F225" s="1" t="s">
        <v>273</v>
      </c>
      <c r="G225" s="1" t="s">
        <v>574</v>
      </c>
      <c r="H225" s="1" t="s">
        <v>430</v>
      </c>
      <c r="I225" s="93">
        <v>25.0</v>
      </c>
      <c r="J225" s="93">
        <v>60.0</v>
      </c>
      <c r="K225" s="1" t="s">
        <v>48</v>
      </c>
      <c r="L225" s="93">
        <v>9999.0</v>
      </c>
    </row>
    <row r="226">
      <c r="A226" s="154">
        <v>43709.147748564814</v>
      </c>
      <c r="B226" s="121" t="s">
        <v>62</v>
      </c>
      <c r="C226" s="155" t="s">
        <v>192</v>
      </c>
      <c r="D226" s="93">
        <v>0.0</v>
      </c>
      <c r="E226" s="93">
        <v>1.0</v>
      </c>
      <c r="F226" s="1" t="s">
        <v>201</v>
      </c>
      <c r="G226" s="1" t="s">
        <v>528</v>
      </c>
      <c r="H226" s="1" t="s">
        <v>430</v>
      </c>
      <c r="I226" s="93">
        <v>36.0</v>
      </c>
      <c r="J226" s="1" t="s">
        <v>370</v>
      </c>
      <c r="K226" s="1" t="s">
        <v>27</v>
      </c>
      <c r="L226" s="93">
        <v>9999.0</v>
      </c>
    </row>
    <row r="227">
      <c r="A227" s="154">
        <v>43709.147748564814</v>
      </c>
      <c r="B227" s="121" t="s">
        <v>62</v>
      </c>
      <c r="C227" s="155" t="s">
        <v>171</v>
      </c>
      <c r="D227" s="93">
        <v>1.0</v>
      </c>
      <c r="E227" s="93">
        <v>0.0</v>
      </c>
      <c r="F227" s="1" t="s">
        <v>273</v>
      </c>
      <c r="G227" s="1" t="s">
        <v>613</v>
      </c>
      <c r="H227" s="1" t="s">
        <v>430</v>
      </c>
      <c r="I227" s="93">
        <v>-21.0</v>
      </c>
      <c r="J227" s="1" t="s">
        <v>237</v>
      </c>
      <c r="K227" s="1" t="s">
        <v>288</v>
      </c>
      <c r="L227" s="93">
        <v>9999.0</v>
      </c>
    </row>
    <row r="228">
      <c r="A228" s="154">
        <v>43709.147748564814</v>
      </c>
      <c r="B228" s="121" t="s">
        <v>62</v>
      </c>
      <c r="C228" s="155" t="s">
        <v>92</v>
      </c>
      <c r="D228" s="93">
        <v>1.0</v>
      </c>
      <c r="E228" s="93">
        <v>0.0</v>
      </c>
      <c r="F228" s="1" t="s">
        <v>267</v>
      </c>
      <c r="G228" s="1" t="s">
        <v>614</v>
      </c>
      <c r="H228" s="1" t="s">
        <v>430</v>
      </c>
      <c r="I228" s="1" t="s">
        <v>426</v>
      </c>
      <c r="J228" s="93">
        <v>66.0</v>
      </c>
      <c r="K228" s="1" t="s">
        <v>288</v>
      </c>
      <c r="L228" s="93">
        <v>9999.0</v>
      </c>
    </row>
    <row r="229">
      <c r="A229" s="154">
        <v>43709.147748564814</v>
      </c>
      <c r="B229" s="121" t="s">
        <v>62</v>
      </c>
      <c r="C229" s="155" t="s">
        <v>112</v>
      </c>
      <c r="D229" s="93">
        <v>1.0</v>
      </c>
      <c r="E229" s="93">
        <v>0.0</v>
      </c>
      <c r="F229" s="1" t="s">
        <v>266</v>
      </c>
      <c r="G229" s="1" t="s">
        <v>583</v>
      </c>
      <c r="H229" s="1" t="s">
        <v>430</v>
      </c>
      <c r="I229" s="1" t="s">
        <v>495</v>
      </c>
      <c r="J229" s="93">
        <v>54.0</v>
      </c>
      <c r="K229" s="1" t="s">
        <v>48</v>
      </c>
      <c r="L229" s="93">
        <v>9999.0</v>
      </c>
    </row>
    <row r="230">
      <c r="A230" s="154">
        <v>43709.147748564814</v>
      </c>
      <c r="B230" s="121" t="s">
        <v>62</v>
      </c>
      <c r="C230" s="155" t="s">
        <v>128</v>
      </c>
      <c r="D230" s="93">
        <v>1.0</v>
      </c>
      <c r="E230" s="93">
        <v>0.0</v>
      </c>
      <c r="F230" s="1" t="s">
        <v>267</v>
      </c>
      <c r="G230" s="1" t="s">
        <v>615</v>
      </c>
      <c r="H230" s="1" t="s">
        <v>430</v>
      </c>
      <c r="I230" s="1" t="s">
        <v>390</v>
      </c>
      <c r="J230" s="1" t="s">
        <v>446</v>
      </c>
      <c r="K230" s="1" t="s">
        <v>288</v>
      </c>
      <c r="L230" s="93">
        <v>9999.0</v>
      </c>
    </row>
    <row r="231">
      <c r="A231" s="154">
        <v>43709.147748564814</v>
      </c>
      <c r="B231" s="121" t="s">
        <v>62</v>
      </c>
      <c r="C231" s="155" t="s">
        <v>102</v>
      </c>
      <c r="D231" s="93">
        <v>1.0</v>
      </c>
      <c r="E231" s="93">
        <v>0.0</v>
      </c>
      <c r="F231" s="1" t="s">
        <v>570</v>
      </c>
      <c r="G231" s="1" t="s">
        <v>616</v>
      </c>
      <c r="H231" s="1" t="s">
        <v>430</v>
      </c>
      <c r="I231" s="1" t="s">
        <v>382</v>
      </c>
      <c r="K231" s="1" t="s">
        <v>288</v>
      </c>
      <c r="L231" s="93">
        <v>9999.0</v>
      </c>
    </row>
    <row r="232">
      <c r="A232" s="152" t="s">
        <v>359</v>
      </c>
      <c r="B232" s="115" t="s">
        <v>2</v>
      </c>
      <c r="C232" s="153" t="s">
        <v>227</v>
      </c>
      <c r="D232" s="118" t="s">
        <v>29</v>
      </c>
      <c r="E232" s="118" t="s">
        <v>34</v>
      </c>
      <c r="F232" s="119" t="s">
        <v>261</v>
      </c>
      <c r="G232" s="119" t="s">
        <v>245</v>
      </c>
      <c r="H232" s="119" t="s">
        <v>228</v>
      </c>
      <c r="I232" s="119" t="s">
        <v>229</v>
      </c>
      <c r="J232" s="119" t="s">
        <v>262</v>
      </c>
      <c r="K232" s="120" t="s">
        <v>263</v>
      </c>
      <c r="L232" s="120" t="s">
        <v>264</v>
      </c>
    </row>
    <row r="233">
      <c r="A233" s="154">
        <v>43709.147748564814</v>
      </c>
      <c r="B233" s="121" t="s">
        <v>64</v>
      </c>
      <c r="C233" s="155" t="s">
        <v>115</v>
      </c>
      <c r="D233" s="93">
        <v>1.0</v>
      </c>
      <c r="E233" s="93">
        <v>0.0</v>
      </c>
      <c r="F233" s="1" t="s">
        <v>269</v>
      </c>
      <c r="G233" s="1" t="s">
        <v>617</v>
      </c>
      <c r="H233" s="1" t="s">
        <v>430</v>
      </c>
      <c r="I233" s="93">
        <v>-14.0</v>
      </c>
      <c r="J233" s="93">
        <v>56.0</v>
      </c>
      <c r="K233" s="1" t="s">
        <v>288</v>
      </c>
      <c r="L233" s="93">
        <v>9999.0</v>
      </c>
    </row>
    <row r="234">
      <c r="A234" s="154">
        <v>43709.147748564814</v>
      </c>
      <c r="B234" s="121" t="s">
        <v>64</v>
      </c>
      <c r="C234" s="155" t="s">
        <v>196</v>
      </c>
      <c r="D234" s="93">
        <v>1.0</v>
      </c>
      <c r="E234" s="93">
        <v>0.0</v>
      </c>
      <c r="F234" s="1" t="s">
        <v>260</v>
      </c>
      <c r="G234" s="1" t="s">
        <v>618</v>
      </c>
      <c r="H234" s="1" t="s">
        <v>430</v>
      </c>
      <c r="I234" s="1" t="s">
        <v>506</v>
      </c>
      <c r="J234" s="93">
        <v>48.0</v>
      </c>
      <c r="K234" s="1" t="s">
        <v>288</v>
      </c>
      <c r="L234" s="93">
        <v>9999.0</v>
      </c>
    </row>
    <row r="235">
      <c r="A235" s="154">
        <v>43709.147748564814</v>
      </c>
      <c r="B235" s="121" t="s">
        <v>64</v>
      </c>
      <c r="C235" s="155" t="s">
        <v>154</v>
      </c>
      <c r="D235" s="93">
        <v>1.0</v>
      </c>
      <c r="E235" s="93">
        <v>0.0</v>
      </c>
      <c r="F235" s="1" t="s">
        <v>260</v>
      </c>
      <c r="G235" s="1" t="s">
        <v>575</v>
      </c>
      <c r="H235" s="1" t="s">
        <v>430</v>
      </c>
      <c r="I235" s="1" t="s">
        <v>492</v>
      </c>
      <c r="J235" s="1" t="s">
        <v>446</v>
      </c>
      <c r="K235" s="1" t="s">
        <v>48</v>
      </c>
      <c r="L235" s="93">
        <v>9999.0</v>
      </c>
    </row>
    <row r="236">
      <c r="A236" s="154">
        <v>43709.147748564814</v>
      </c>
      <c r="B236" s="121" t="s">
        <v>64</v>
      </c>
      <c r="C236" s="155" t="s">
        <v>76</v>
      </c>
      <c r="D236" s="93">
        <v>0.0</v>
      </c>
      <c r="E236" s="93">
        <v>1.0</v>
      </c>
      <c r="F236" s="1" t="s">
        <v>201</v>
      </c>
      <c r="G236" s="1" t="s">
        <v>566</v>
      </c>
      <c r="H236" s="1" t="s">
        <v>430</v>
      </c>
      <c r="I236" s="1" t="s">
        <v>512</v>
      </c>
      <c r="J236" s="1" t="s">
        <v>406</v>
      </c>
      <c r="K236" s="1" t="s">
        <v>44</v>
      </c>
      <c r="L236" s="93">
        <v>9999.0</v>
      </c>
    </row>
    <row r="237">
      <c r="A237" s="154">
        <v>43709.147748564814</v>
      </c>
      <c r="B237" s="121" t="s">
        <v>64</v>
      </c>
      <c r="C237" s="155" t="s">
        <v>98</v>
      </c>
      <c r="D237" s="93">
        <v>1.0</v>
      </c>
      <c r="E237" s="93">
        <v>0.0</v>
      </c>
      <c r="F237" s="1" t="s">
        <v>570</v>
      </c>
      <c r="G237" s="1" t="s">
        <v>619</v>
      </c>
      <c r="H237" s="1" t="s">
        <v>430</v>
      </c>
      <c r="I237" s="1" t="s">
        <v>620</v>
      </c>
      <c r="J237" s="1" t="s">
        <v>406</v>
      </c>
      <c r="K237" s="1" t="s">
        <v>288</v>
      </c>
      <c r="L237" s="93">
        <v>9999.0</v>
      </c>
    </row>
    <row r="238">
      <c r="A238" s="154">
        <v>43709.147748564814</v>
      </c>
      <c r="B238" s="121" t="s">
        <v>64</v>
      </c>
      <c r="C238" s="155" t="s">
        <v>147</v>
      </c>
      <c r="D238" s="93">
        <v>0.0</v>
      </c>
      <c r="E238" s="93">
        <v>1.0</v>
      </c>
      <c r="F238" s="1" t="s">
        <v>287</v>
      </c>
      <c r="G238" s="1" t="s">
        <v>621</v>
      </c>
      <c r="H238" s="1" t="s">
        <v>430</v>
      </c>
      <c r="I238" s="1" t="s">
        <v>622</v>
      </c>
      <c r="J238" s="1" t="s">
        <v>446</v>
      </c>
      <c r="K238" s="1" t="s">
        <v>64</v>
      </c>
      <c r="L238" s="93">
        <v>9999.0</v>
      </c>
    </row>
    <row r="239">
      <c r="A239" s="154">
        <v>43709.147748564814</v>
      </c>
      <c r="B239" s="121" t="s">
        <v>64</v>
      </c>
      <c r="C239" s="155" t="s">
        <v>177</v>
      </c>
      <c r="D239" s="93">
        <v>1.0</v>
      </c>
      <c r="E239" s="93">
        <v>0.0</v>
      </c>
      <c r="F239" s="1" t="s">
        <v>287</v>
      </c>
      <c r="G239" s="1" t="s">
        <v>621</v>
      </c>
      <c r="H239" s="1" t="s">
        <v>430</v>
      </c>
      <c r="I239" s="1" t="s">
        <v>518</v>
      </c>
      <c r="J239" s="1" t="s">
        <v>446</v>
      </c>
      <c r="K239" s="1" t="s">
        <v>64</v>
      </c>
      <c r="L239" s="93">
        <v>9999.0</v>
      </c>
    </row>
    <row r="240">
      <c r="A240" s="154">
        <v>43709.147748564814</v>
      </c>
      <c r="B240" s="121" t="s">
        <v>64</v>
      </c>
      <c r="C240" s="155" t="s">
        <v>49</v>
      </c>
      <c r="D240" s="93">
        <v>1.0</v>
      </c>
      <c r="E240" s="93">
        <v>0.0</v>
      </c>
      <c r="F240" s="1" t="s">
        <v>282</v>
      </c>
      <c r="G240" s="1" t="s">
        <v>623</v>
      </c>
      <c r="H240" s="1" t="s">
        <v>430</v>
      </c>
      <c r="I240" s="1" t="s">
        <v>561</v>
      </c>
      <c r="J240" s="1" t="s">
        <v>406</v>
      </c>
      <c r="K240" s="1" t="s">
        <v>288</v>
      </c>
      <c r="L240" s="93">
        <v>9999.0</v>
      </c>
    </row>
    <row r="241">
      <c r="A241" s="154">
        <v>43709.147748564814</v>
      </c>
      <c r="B241" s="121" t="s">
        <v>64</v>
      </c>
      <c r="C241" s="155" t="s">
        <v>131</v>
      </c>
      <c r="D241" s="93">
        <v>1.0</v>
      </c>
      <c r="E241" s="93">
        <v>0.0</v>
      </c>
      <c r="F241" s="1" t="s">
        <v>248</v>
      </c>
      <c r="G241" s="1" t="s">
        <v>624</v>
      </c>
      <c r="H241" s="1" t="s">
        <v>430</v>
      </c>
      <c r="I241" s="93">
        <v>-26.0</v>
      </c>
      <c r="J241" s="93">
        <v>55.0</v>
      </c>
      <c r="K241" s="1" t="s">
        <v>288</v>
      </c>
      <c r="L241" s="93">
        <v>9999.0</v>
      </c>
    </row>
    <row r="242">
      <c r="A242" s="154">
        <v>43709.147748564814</v>
      </c>
      <c r="B242" s="121" t="s">
        <v>64</v>
      </c>
      <c r="C242" s="155" t="s">
        <v>169</v>
      </c>
      <c r="D242" s="93">
        <v>1.0</v>
      </c>
      <c r="E242" s="93">
        <v>0.0</v>
      </c>
      <c r="F242" s="1" t="s">
        <v>201</v>
      </c>
      <c r="G242" s="1" t="s">
        <v>536</v>
      </c>
      <c r="H242" s="1" t="s">
        <v>430</v>
      </c>
      <c r="I242" s="1" t="s">
        <v>226</v>
      </c>
      <c r="J242" s="1" t="s">
        <v>387</v>
      </c>
      <c r="K242" s="1" t="s">
        <v>27</v>
      </c>
      <c r="L242" s="93">
        <v>9999.0</v>
      </c>
    </row>
    <row r="243">
      <c r="A243" s="152" t="s">
        <v>359</v>
      </c>
      <c r="B243" s="159" t="s">
        <v>2</v>
      </c>
      <c r="C243" s="160" t="s">
        <v>227</v>
      </c>
      <c r="D243" s="1" t="s">
        <v>29</v>
      </c>
      <c r="E243" s="1" t="s">
        <v>34</v>
      </c>
      <c r="F243" s="119" t="s">
        <v>261</v>
      </c>
      <c r="G243" s="119" t="s">
        <v>245</v>
      </c>
      <c r="H243" s="119" t="s">
        <v>228</v>
      </c>
      <c r="I243" s="119" t="s">
        <v>229</v>
      </c>
      <c r="J243" s="119" t="s">
        <v>262</v>
      </c>
      <c r="K243" s="120" t="s">
        <v>263</v>
      </c>
      <c r="L243" s="120"/>
    </row>
    <row r="244">
      <c r="A244" s="154">
        <v>43709.147748564814</v>
      </c>
      <c r="B244" s="161" t="s">
        <v>69</v>
      </c>
      <c r="C244" s="162" t="s">
        <v>87</v>
      </c>
      <c r="D244" s="93">
        <v>0.0</v>
      </c>
      <c r="E244" s="93">
        <v>1.0</v>
      </c>
      <c r="F244" s="1" t="s">
        <v>248</v>
      </c>
      <c r="G244" s="1" t="s">
        <v>481</v>
      </c>
      <c r="H244" s="1" t="s">
        <v>430</v>
      </c>
      <c r="I244" s="93">
        <v>4.0</v>
      </c>
      <c r="J244" s="1" t="s">
        <v>203</v>
      </c>
      <c r="K244" s="1" t="s">
        <v>60</v>
      </c>
      <c r="L244" s="93">
        <v>9999.0</v>
      </c>
    </row>
    <row r="245">
      <c r="A245" s="154">
        <v>43709.147748564814</v>
      </c>
      <c r="B245" s="161" t="s">
        <v>69</v>
      </c>
      <c r="C245" s="162" t="s">
        <v>193</v>
      </c>
      <c r="D245" s="93">
        <v>0.0</v>
      </c>
      <c r="E245" s="93">
        <v>1.0</v>
      </c>
      <c r="F245" s="1" t="s">
        <v>287</v>
      </c>
      <c r="G245" s="1" t="s">
        <v>612</v>
      </c>
      <c r="H245" s="1" t="s">
        <v>430</v>
      </c>
      <c r="I245" s="1" t="s">
        <v>454</v>
      </c>
      <c r="J245" s="1" t="s">
        <v>276</v>
      </c>
      <c r="K245" s="1" t="s">
        <v>62</v>
      </c>
      <c r="L245" s="93">
        <v>9999.0</v>
      </c>
    </row>
    <row r="246">
      <c r="A246" s="154">
        <v>43709.147748564814</v>
      </c>
      <c r="B246" s="161" t="s">
        <v>69</v>
      </c>
      <c r="C246" s="162" t="s">
        <v>170</v>
      </c>
      <c r="D246" s="93">
        <v>1.0</v>
      </c>
      <c r="E246" s="93">
        <v>0.0</v>
      </c>
      <c r="F246" s="1" t="s">
        <v>201</v>
      </c>
      <c r="G246" s="1" t="s">
        <v>553</v>
      </c>
      <c r="H246" s="1" t="s">
        <v>430</v>
      </c>
      <c r="I246" s="93">
        <v>-5.0</v>
      </c>
      <c r="J246" s="93">
        <v>48.0</v>
      </c>
      <c r="K246" s="1" t="s">
        <v>41</v>
      </c>
      <c r="L246" s="93">
        <v>9999.0</v>
      </c>
    </row>
    <row r="247">
      <c r="A247" s="154">
        <v>43709.147748564814</v>
      </c>
      <c r="B247" s="161" t="s">
        <v>69</v>
      </c>
      <c r="C247" s="162" t="s">
        <v>151</v>
      </c>
      <c r="D247" s="93">
        <v>0.0</v>
      </c>
      <c r="E247" s="93">
        <v>1.0</v>
      </c>
      <c r="F247" s="1" t="s">
        <v>201</v>
      </c>
      <c r="G247" s="1" t="s">
        <v>588</v>
      </c>
      <c r="H247" s="1" t="s">
        <v>430</v>
      </c>
      <c r="I247" s="93">
        <v>13.0</v>
      </c>
      <c r="J247" s="1" t="s">
        <v>446</v>
      </c>
      <c r="K247" s="1" t="s">
        <v>53</v>
      </c>
      <c r="L247" s="93">
        <v>9999.0</v>
      </c>
    </row>
    <row r="248">
      <c r="A248" s="154">
        <v>43709.147748564814</v>
      </c>
      <c r="B248" s="161" t="s">
        <v>69</v>
      </c>
      <c r="C248" s="162" t="s">
        <v>101</v>
      </c>
      <c r="D248" s="93">
        <v>1.0</v>
      </c>
      <c r="E248" s="93">
        <v>0.0</v>
      </c>
      <c r="F248" s="1" t="s">
        <v>269</v>
      </c>
      <c r="G248" s="1" t="s">
        <v>605</v>
      </c>
      <c r="H248" s="1" t="s">
        <v>430</v>
      </c>
      <c r="I248" s="93">
        <v>-15.0</v>
      </c>
      <c r="J248" s="1" t="s">
        <v>487</v>
      </c>
      <c r="K248" s="1" t="s">
        <v>60</v>
      </c>
      <c r="L248" s="93">
        <v>9999.0</v>
      </c>
    </row>
    <row r="249">
      <c r="A249" s="154">
        <v>43709.147748564814</v>
      </c>
      <c r="B249" s="161" t="s">
        <v>69</v>
      </c>
      <c r="C249" s="162" t="s">
        <v>108</v>
      </c>
      <c r="D249" s="93">
        <v>1.0</v>
      </c>
      <c r="E249" s="93">
        <v>0.0</v>
      </c>
      <c r="F249" s="1" t="s">
        <v>248</v>
      </c>
      <c r="G249" s="1" t="s">
        <v>529</v>
      </c>
      <c r="H249" s="1" t="s">
        <v>430</v>
      </c>
      <c r="I249" s="93">
        <v>-17.0</v>
      </c>
      <c r="J249" s="93">
        <v>60.0</v>
      </c>
      <c r="K249" s="1" t="s">
        <v>27</v>
      </c>
      <c r="L249" s="93">
        <v>9999.0</v>
      </c>
    </row>
    <row r="250">
      <c r="A250" s="154">
        <v>43709.147748564814</v>
      </c>
      <c r="B250" s="161" t="s">
        <v>69</v>
      </c>
      <c r="C250" s="162" t="s">
        <v>35</v>
      </c>
      <c r="D250" s="93">
        <v>1.0</v>
      </c>
      <c r="E250" s="93">
        <v>0.0</v>
      </c>
      <c r="F250" s="1" t="s">
        <v>207</v>
      </c>
      <c r="G250" s="1" t="s">
        <v>625</v>
      </c>
      <c r="H250" s="1" t="s">
        <v>430</v>
      </c>
      <c r="I250" s="1" t="s">
        <v>512</v>
      </c>
      <c r="J250" s="1" t="s">
        <v>626</v>
      </c>
      <c r="K250" s="1" t="s">
        <v>288</v>
      </c>
      <c r="L250" s="93">
        <v>9999.0</v>
      </c>
    </row>
    <row r="251">
      <c r="A251" s="154">
        <v>43709.147748564814</v>
      </c>
      <c r="B251" s="161" t="s">
        <v>69</v>
      </c>
      <c r="C251" s="162" t="s">
        <v>142</v>
      </c>
      <c r="D251" s="93">
        <v>1.0</v>
      </c>
      <c r="E251" s="93">
        <v>0.0</v>
      </c>
      <c r="F251" s="1" t="s">
        <v>248</v>
      </c>
      <c r="G251" s="1" t="s">
        <v>531</v>
      </c>
      <c r="H251" s="1" t="s">
        <v>430</v>
      </c>
      <c r="I251" s="1" t="s">
        <v>512</v>
      </c>
      <c r="J251" s="93">
        <v>55.0</v>
      </c>
      <c r="K251" s="1" t="s">
        <v>27</v>
      </c>
      <c r="L251" s="93">
        <v>9999.0</v>
      </c>
    </row>
    <row r="252">
      <c r="A252" s="154">
        <v>43709.147748564814</v>
      </c>
      <c r="B252" s="161" t="s">
        <v>69</v>
      </c>
      <c r="C252" s="162" t="s">
        <v>182</v>
      </c>
      <c r="D252" s="93">
        <v>0.0</v>
      </c>
      <c r="E252" s="93">
        <v>1.0</v>
      </c>
      <c r="F252" s="1" t="s">
        <v>248</v>
      </c>
      <c r="G252" s="1" t="s">
        <v>578</v>
      </c>
      <c r="H252" s="1" t="s">
        <v>430</v>
      </c>
      <c r="I252" s="1" t="s">
        <v>275</v>
      </c>
      <c r="J252" s="1" t="s">
        <v>419</v>
      </c>
      <c r="K252" s="1" t="s">
        <v>48</v>
      </c>
      <c r="L252" s="93">
        <v>9999.0</v>
      </c>
    </row>
    <row r="253">
      <c r="A253" s="154">
        <v>43709.147748564814</v>
      </c>
      <c r="B253" s="161" t="s">
        <v>69</v>
      </c>
      <c r="C253" s="162" t="s">
        <v>125</v>
      </c>
      <c r="D253" s="93">
        <v>0.0</v>
      </c>
      <c r="E253" s="93">
        <v>1.0</v>
      </c>
      <c r="F253" s="1" t="s">
        <v>610</v>
      </c>
      <c r="G253" s="1" t="s">
        <v>611</v>
      </c>
      <c r="H253" s="1" t="s">
        <v>430</v>
      </c>
      <c r="I253" s="1" t="s">
        <v>514</v>
      </c>
      <c r="J253" s="93">
        <v>55.0</v>
      </c>
      <c r="K253" s="1" t="s">
        <v>60</v>
      </c>
      <c r="L253" s="93">
        <v>9999.0</v>
      </c>
    </row>
    <row r="254">
      <c r="A254" s="152" t="s">
        <v>359</v>
      </c>
      <c r="B254" s="115" t="s">
        <v>2</v>
      </c>
      <c r="C254" s="153" t="s">
        <v>227</v>
      </c>
      <c r="D254" s="118" t="s">
        <v>29</v>
      </c>
      <c r="E254" s="118" t="s">
        <v>34</v>
      </c>
      <c r="F254" s="119" t="s">
        <v>261</v>
      </c>
      <c r="G254" s="119" t="s">
        <v>245</v>
      </c>
      <c r="H254" s="119" t="s">
        <v>228</v>
      </c>
      <c r="I254" s="119" t="s">
        <v>229</v>
      </c>
      <c r="J254" s="119" t="s">
        <v>262</v>
      </c>
      <c r="K254" s="120" t="s">
        <v>263</v>
      </c>
      <c r="L254" s="120"/>
    </row>
    <row r="255">
      <c r="A255" s="154">
        <v>43709.147748564814</v>
      </c>
      <c r="B255" s="161" t="s">
        <v>74</v>
      </c>
      <c r="C255" s="162" t="s">
        <v>23</v>
      </c>
      <c r="D255" s="93">
        <v>1.0</v>
      </c>
      <c r="E255" s="93">
        <v>0.0</v>
      </c>
      <c r="F255" s="1" t="s">
        <v>282</v>
      </c>
      <c r="G255" s="1" t="s">
        <v>627</v>
      </c>
      <c r="H255" s="1" t="s">
        <v>430</v>
      </c>
      <c r="I255" s="1" t="s">
        <v>426</v>
      </c>
      <c r="J255" s="1" t="s">
        <v>516</v>
      </c>
      <c r="K255" s="1" t="s">
        <v>288</v>
      </c>
      <c r="L255" s="93">
        <v>9999.0</v>
      </c>
    </row>
    <row r="256">
      <c r="A256" s="154">
        <v>43709.147748564814</v>
      </c>
      <c r="B256" s="161" t="s">
        <v>74</v>
      </c>
      <c r="C256" s="162" t="s">
        <v>141</v>
      </c>
      <c r="D256" s="93">
        <v>1.0</v>
      </c>
      <c r="E256" s="93">
        <v>0.0</v>
      </c>
      <c r="F256" s="1" t="s">
        <v>282</v>
      </c>
      <c r="G256" s="1" t="s">
        <v>628</v>
      </c>
      <c r="H256" s="1" t="s">
        <v>430</v>
      </c>
      <c r="I256" s="93">
        <v>-14.0</v>
      </c>
      <c r="J256" s="1" t="s">
        <v>519</v>
      </c>
      <c r="K256" s="1" t="s">
        <v>288</v>
      </c>
      <c r="L256" s="93">
        <v>9999.0</v>
      </c>
    </row>
    <row r="257">
      <c r="A257" s="154">
        <v>43709.147748564814</v>
      </c>
      <c r="B257" s="161" t="s">
        <v>74</v>
      </c>
      <c r="C257" s="162" t="s">
        <v>118</v>
      </c>
      <c r="D257" s="93">
        <v>1.0</v>
      </c>
      <c r="E257" s="93">
        <v>0.0</v>
      </c>
      <c r="F257" s="1" t="s">
        <v>278</v>
      </c>
      <c r="G257" s="1" t="s">
        <v>629</v>
      </c>
      <c r="H257" s="1" t="s">
        <v>430</v>
      </c>
      <c r="I257" s="1" t="s">
        <v>521</v>
      </c>
      <c r="J257" s="1" t="s">
        <v>419</v>
      </c>
      <c r="K257" s="1" t="s">
        <v>74</v>
      </c>
      <c r="L257" s="93">
        <v>9999.0</v>
      </c>
    </row>
    <row r="258">
      <c r="A258" s="154">
        <v>43709.147748564814</v>
      </c>
      <c r="B258" s="161" t="s">
        <v>74</v>
      </c>
      <c r="C258" s="162" t="s">
        <v>124</v>
      </c>
      <c r="D258" s="93">
        <v>0.0</v>
      </c>
      <c r="E258" s="93">
        <v>1.0</v>
      </c>
      <c r="F258" s="1" t="s">
        <v>278</v>
      </c>
      <c r="G258" s="1" t="s">
        <v>629</v>
      </c>
      <c r="H258" s="1" t="s">
        <v>430</v>
      </c>
      <c r="I258" s="1" t="s">
        <v>522</v>
      </c>
      <c r="J258" s="1" t="s">
        <v>419</v>
      </c>
      <c r="K258" s="1" t="s">
        <v>74</v>
      </c>
      <c r="L258" s="93">
        <v>9999.0</v>
      </c>
    </row>
    <row r="259">
      <c r="A259" s="154">
        <v>43709.147748564814</v>
      </c>
      <c r="B259" s="161" t="s">
        <v>74</v>
      </c>
      <c r="C259" s="162" t="s">
        <v>88</v>
      </c>
      <c r="D259" s="93">
        <v>1.0</v>
      </c>
      <c r="E259" s="93">
        <v>0.0</v>
      </c>
      <c r="F259" s="1" t="s">
        <v>285</v>
      </c>
      <c r="G259" s="1" t="s">
        <v>544</v>
      </c>
      <c r="H259" s="1" t="s">
        <v>430</v>
      </c>
      <c r="I259" s="1" t="s">
        <v>523</v>
      </c>
      <c r="J259" s="93">
        <v>55.0</v>
      </c>
      <c r="K259" s="1" t="s">
        <v>38</v>
      </c>
      <c r="L259" s="93">
        <v>9999.0</v>
      </c>
    </row>
    <row r="260">
      <c r="A260" s="154">
        <v>43709.147748564814</v>
      </c>
      <c r="B260" s="161" t="s">
        <v>74</v>
      </c>
      <c r="C260" s="162" t="s">
        <v>167</v>
      </c>
      <c r="D260" s="93">
        <v>1.0</v>
      </c>
      <c r="E260" s="93">
        <v>0.0</v>
      </c>
      <c r="F260" s="1" t="s">
        <v>278</v>
      </c>
      <c r="G260" s="1" t="s">
        <v>609</v>
      </c>
      <c r="H260" s="1" t="s">
        <v>430</v>
      </c>
      <c r="I260" s="1" t="s">
        <v>244</v>
      </c>
      <c r="J260" s="93">
        <v>47.0</v>
      </c>
      <c r="K260" s="1" t="s">
        <v>60</v>
      </c>
      <c r="L260" s="93">
        <v>9999.0</v>
      </c>
    </row>
    <row r="261">
      <c r="A261" s="154">
        <v>43709.147748564814</v>
      </c>
      <c r="B261" s="161" t="s">
        <v>74</v>
      </c>
      <c r="C261" s="162" t="s">
        <v>194</v>
      </c>
      <c r="D261" s="93">
        <v>1.0</v>
      </c>
      <c r="E261" s="93">
        <v>0.0</v>
      </c>
      <c r="F261" s="1" t="s">
        <v>267</v>
      </c>
      <c r="G261" s="1" t="s">
        <v>630</v>
      </c>
      <c r="H261" s="1" t="s">
        <v>430</v>
      </c>
      <c r="I261" s="1" t="s">
        <v>631</v>
      </c>
      <c r="J261" s="1" t="s">
        <v>585</v>
      </c>
      <c r="K261" s="1" t="s">
        <v>288</v>
      </c>
      <c r="L261" s="93">
        <v>9999.0</v>
      </c>
    </row>
    <row r="262">
      <c r="A262" s="154">
        <v>43709.147748564814</v>
      </c>
      <c r="B262" s="161" t="s">
        <v>74</v>
      </c>
      <c r="C262" s="162" t="s">
        <v>99</v>
      </c>
      <c r="D262" s="93">
        <v>1.0</v>
      </c>
      <c r="E262" s="93">
        <v>0.0</v>
      </c>
      <c r="F262" s="1" t="s">
        <v>267</v>
      </c>
      <c r="G262" s="1" t="s">
        <v>632</v>
      </c>
      <c r="H262" s="1" t="s">
        <v>430</v>
      </c>
      <c r="I262" s="1" t="s">
        <v>506</v>
      </c>
      <c r="J262" s="1" t="s">
        <v>283</v>
      </c>
      <c r="K262" s="1" t="s">
        <v>288</v>
      </c>
      <c r="L262" s="93">
        <v>9999.0</v>
      </c>
    </row>
    <row r="263">
      <c r="A263" s="154">
        <v>43709.147748564814</v>
      </c>
      <c r="B263" s="161" t="s">
        <v>74</v>
      </c>
      <c r="C263" s="162" t="s">
        <v>174</v>
      </c>
      <c r="D263" s="93">
        <v>1.0</v>
      </c>
      <c r="E263" s="93">
        <v>0.0</v>
      </c>
      <c r="F263" s="1" t="s">
        <v>207</v>
      </c>
      <c r="G263" s="1" t="s">
        <v>601</v>
      </c>
      <c r="H263" s="1" t="s">
        <v>430</v>
      </c>
      <c r="I263" s="1" t="s">
        <v>379</v>
      </c>
      <c r="J263" s="1" t="s">
        <v>546</v>
      </c>
      <c r="K263" s="1" t="s">
        <v>58</v>
      </c>
      <c r="L263" s="93">
        <v>9999.0</v>
      </c>
    </row>
    <row r="264">
      <c r="A264" s="154">
        <v>43709.147748564814</v>
      </c>
      <c r="B264" s="161" t="s">
        <v>74</v>
      </c>
      <c r="C264" s="162" t="s">
        <v>160</v>
      </c>
      <c r="D264" s="93">
        <v>1.0</v>
      </c>
      <c r="E264" s="93">
        <v>0.0</v>
      </c>
      <c r="F264" s="1" t="s">
        <v>260</v>
      </c>
      <c r="G264" s="1" t="s">
        <v>562</v>
      </c>
      <c r="H264" s="1" t="s">
        <v>430</v>
      </c>
      <c r="I264" s="1" t="s">
        <v>526</v>
      </c>
      <c r="J264" s="93">
        <v>53.0</v>
      </c>
      <c r="K264" s="1" t="s">
        <v>41</v>
      </c>
      <c r="L264" s="93">
        <v>9999.0</v>
      </c>
    </row>
    <row r="265">
      <c r="A265" s="152" t="s">
        <v>359</v>
      </c>
      <c r="B265" s="115" t="s">
        <v>2</v>
      </c>
      <c r="C265" s="153" t="s">
        <v>227</v>
      </c>
      <c r="D265" s="118" t="s">
        <v>29</v>
      </c>
      <c r="E265" s="118" t="s">
        <v>34</v>
      </c>
      <c r="F265" s="119" t="s">
        <v>261</v>
      </c>
      <c r="G265" s="119" t="s">
        <v>245</v>
      </c>
      <c r="H265" s="119" t="s">
        <v>228</v>
      </c>
      <c r="I265" s="119" t="s">
        <v>229</v>
      </c>
      <c r="J265" s="119" t="s">
        <v>262</v>
      </c>
      <c r="K265" s="120" t="s">
        <v>263</v>
      </c>
      <c r="L265" s="120" t="s">
        <v>264</v>
      </c>
    </row>
    <row r="266">
      <c r="A266" s="154">
        <v>43716.14774770833</v>
      </c>
      <c r="B266" s="161" t="s">
        <v>27</v>
      </c>
      <c r="C266" s="162" t="s">
        <v>134</v>
      </c>
      <c r="D266" s="93">
        <v>1.0</v>
      </c>
      <c r="E266" s="93">
        <v>1.0</v>
      </c>
      <c r="F266" s="1" t="s">
        <v>533</v>
      </c>
      <c r="G266" s="1" t="s">
        <v>633</v>
      </c>
      <c r="H266" s="1" t="s">
        <v>430</v>
      </c>
      <c r="I266" s="1" t="s">
        <v>634</v>
      </c>
      <c r="J266" s="1" t="s">
        <v>276</v>
      </c>
      <c r="K266" s="1" t="s">
        <v>58</v>
      </c>
      <c r="L266" s="93">
        <v>9999.0</v>
      </c>
    </row>
    <row r="267">
      <c r="A267" s="154">
        <v>43716.14774770833</v>
      </c>
      <c r="B267" s="161" t="s">
        <v>27</v>
      </c>
      <c r="C267" s="162" t="s">
        <v>195</v>
      </c>
      <c r="D267" s="93">
        <v>1.0</v>
      </c>
      <c r="E267" s="93">
        <v>1.0</v>
      </c>
      <c r="F267" s="1" t="s">
        <v>267</v>
      </c>
      <c r="G267" s="1" t="s">
        <v>635</v>
      </c>
      <c r="H267" s="1" t="s">
        <v>430</v>
      </c>
      <c r="I267" s="1" t="s">
        <v>257</v>
      </c>
      <c r="J267" s="1" t="s">
        <v>237</v>
      </c>
      <c r="K267" s="1" t="s">
        <v>64</v>
      </c>
      <c r="L267" s="93">
        <v>9999.0</v>
      </c>
    </row>
    <row r="268">
      <c r="A268" s="154">
        <v>43716.14774770833</v>
      </c>
      <c r="B268" s="161" t="s">
        <v>27</v>
      </c>
      <c r="C268" s="162" t="s">
        <v>163</v>
      </c>
      <c r="D268" s="93">
        <v>2.0</v>
      </c>
      <c r="E268" s="93">
        <v>0.0</v>
      </c>
      <c r="F268" s="1" t="s">
        <v>273</v>
      </c>
      <c r="G268" s="1" t="s">
        <v>636</v>
      </c>
      <c r="H268" s="1" t="s">
        <v>430</v>
      </c>
      <c r="I268" s="1" t="s">
        <v>274</v>
      </c>
      <c r="J268" s="1" t="s">
        <v>637</v>
      </c>
      <c r="K268" s="1" t="s">
        <v>62</v>
      </c>
      <c r="L268" s="93">
        <v>9999.0</v>
      </c>
    </row>
    <row r="269">
      <c r="A269" s="154">
        <v>43716.14774770833</v>
      </c>
      <c r="B269" s="161" t="s">
        <v>27</v>
      </c>
      <c r="C269" s="162" t="s">
        <v>152</v>
      </c>
      <c r="D269" s="93">
        <v>0.0</v>
      </c>
      <c r="E269" s="93">
        <v>2.0</v>
      </c>
      <c r="F269" s="1" t="s">
        <v>201</v>
      </c>
      <c r="G269" s="1" t="s">
        <v>638</v>
      </c>
      <c r="H269" s="1" t="s">
        <v>639</v>
      </c>
      <c r="I269" s="93">
        <v>3.0</v>
      </c>
      <c r="J269" s="1" t="s">
        <v>585</v>
      </c>
      <c r="K269" s="1" t="s">
        <v>64</v>
      </c>
      <c r="L269" s="93">
        <v>9999.0</v>
      </c>
    </row>
    <row r="270">
      <c r="A270" s="154">
        <v>43716.14774770833</v>
      </c>
      <c r="B270" s="161" t="s">
        <v>27</v>
      </c>
      <c r="C270" s="162" t="s">
        <v>107</v>
      </c>
      <c r="D270" s="93">
        <v>1.0</v>
      </c>
      <c r="E270" s="93">
        <v>0.0</v>
      </c>
      <c r="F270" s="1" t="s">
        <v>201</v>
      </c>
      <c r="G270" s="1" t="s">
        <v>202</v>
      </c>
      <c r="I270" s="1" t="s">
        <v>203</v>
      </c>
      <c r="J270" s="1" t="s">
        <v>203</v>
      </c>
      <c r="L270" s="93">
        <v>9999.0</v>
      </c>
    </row>
    <row r="271">
      <c r="A271" s="154">
        <v>43716.14774770833</v>
      </c>
      <c r="B271" s="161" t="s">
        <v>27</v>
      </c>
      <c r="C271" s="162" t="s">
        <v>94</v>
      </c>
      <c r="D271" s="93">
        <v>1.0</v>
      </c>
      <c r="E271" s="93">
        <v>1.0</v>
      </c>
      <c r="F271" s="1" t="s">
        <v>285</v>
      </c>
      <c r="G271" s="1" t="s">
        <v>640</v>
      </c>
      <c r="H271" s="1" t="s">
        <v>430</v>
      </c>
      <c r="I271" s="1" t="s">
        <v>569</v>
      </c>
      <c r="J271" s="1" t="s">
        <v>546</v>
      </c>
      <c r="K271" s="1" t="s">
        <v>38</v>
      </c>
      <c r="L271" s="93">
        <v>9999.0</v>
      </c>
    </row>
    <row r="272">
      <c r="A272" s="154">
        <v>43716.14774770833</v>
      </c>
      <c r="B272" s="161" t="s">
        <v>27</v>
      </c>
      <c r="C272" s="162" t="s">
        <v>138</v>
      </c>
      <c r="D272" s="93">
        <v>1.0</v>
      </c>
      <c r="E272" s="93">
        <v>1.0</v>
      </c>
      <c r="F272" s="1" t="s">
        <v>260</v>
      </c>
      <c r="G272" s="1" t="s">
        <v>641</v>
      </c>
      <c r="H272" s="1" t="s">
        <v>430</v>
      </c>
      <c r="I272" s="1" t="s">
        <v>382</v>
      </c>
      <c r="K272" s="1" t="s">
        <v>288</v>
      </c>
      <c r="L272" s="93">
        <v>9999.0</v>
      </c>
    </row>
    <row r="273">
      <c r="A273" s="154">
        <v>43716.14774770833</v>
      </c>
      <c r="B273" s="161" t="s">
        <v>27</v>
      </c>
      <c r="C273" s="162" t="s">
        <v>116</v>
      </c>
      <c r="D273" s="93">
        <v>1.0</v>
      </c>
      <c r="E273" s="93">
        <v>1.0</v>
      </c>
      <c r="F273" s="1" t="s">
        <v>201</v>
      </c>
      <c r="G273" s="1" t="s">
        <v>642</v>
      </c>
      <c r="H273" s="1" t="s">
        <v>643</v>
      </c>
      <c r="I273" s="93">
        <v>-4.0</v>
      </c>
      <c r="J273" s="93">
        <v>65.0</v>
      </c>
      <c r="K273" s="1" t="s">
        <v>53</v>
      </c>
      <c r="L273" s="93">
        <v>9999.0</v>
      </c>
    </row>
    <row r="274">
      <c r="A274" s="154">
        <v>43716.14774770833</v>
      </c>
      <c r="B274" s="161" t="s">
        <v>27</v>
      </c>
      <c r="C274" s="162" t="s">
        <v>114</v>
      </c>
      <c r="D274" s="93">
        <v>2.0</v>
      </c>
      <c r="E274" s="93">
        <v>0.0</v>
      </c>
      <c r="F274" s="1" t="s">
        <v>207</v>
      </c>
      <c r="G274" s="1" t="s">
        <v>644</v>
      </c>
      <c r="H274" s="1" t="s">
        <v>430</v>
      </c>
      <c r="I274" s="1" t="s">
        <v>645</v>
      </c>
      <c r="J274" s="1" t="s">
        <v>370</v>
      </c>
      <c r="K274" s="1" t="s">
        <v>38</v>
      </c>
      <c r="L274" s="93">
        <v>9999.0</v>
      </c>
    </row>
    <row r="275">
      <c r="A275" s="154">
        <v>43716.14774770833</v>
      </c>
      <c r="B275" s="161" t="s">
        <v>27</v>
      </c>
      <c r="C275" s="162" t="s">
        <v>56</v>
      </c>
      <c r="D275" s="93">
        <v>1.0</v>
      </c>
      <c r="E275" s="93">
        <v>1.0</v>
      </c>
      <c r="F275" s="1" t="s">
        <v>269</v>
      </c>
      <c r="G275" s="1" t="s">
        <v>646</v>
      </c>
      <c r="H275" s="1" t="s">
        <v>430</v>
      </c>
      <c r="I275" s="1" t="s">
        <v>244</v>
      </c>
      <c r="J275" s="1" t="s">
        <v>387</v>
      </c>
      <c r="K275" s="1" t="s">
        <v>53</v>
      </c>
      <c r="L275" s="93">
        <v>9999.0</v>
      </c>
    </row>
    <row r="276">
      <c r="A276" s="152" t="s">
        <v>359</v>
      </c>
      <c r="B276" s="115" t="s">
        <v>2</v>
      </c>
      <c r="C276" s="153" t="s">
        <v>227</v>
      </c>
      <c r="D276" s="118" t="s">
        <v>29</v>
      </c>
      <c r="E276" s="118" t="s">
        <v>34</v>
      </c>
      <c r="F276" s="119" t="s">
        <v>261</v>
      </c>
      <c r="G276" s="119" t="s">
        <v>245</v>
      </c>
      <c r="H276" s="119" t="s">
        <v>228</v>
      </c>
      <c r="I276" s="119" t="s">
        <v>229</v>
      </c>
      <c r="J276" s="119" t="s">
        <v>262</v>
      </c>
      <c r="K276" s="120" t="s">
        <v>263</v>
      </c>
      <c r="L276" s="120" t="s">
        <v>264</v>
      </c>
    </row>
    <row r="277">
      <c r="A277" s="154">
        <v>43716.14774770833</v>
      </c>
      <c r="B277" s="161" t="s">
        <v>38</v>
      </c>
      <c r="C277" s="162" t="s">
        <v>129</v>
      </c>
      <c r="D277" s="93">
        <v>1.0</v>
      </c>
      <c r="E277" s="93">
        <v>1.0</v>
      </c>
      <c r="F277" s="1" t="s">
        <v>533</v>
      </c>
      <c r="G277" s="1" t="s">
        <v>640</v>
      </c>
      <c r="H277" s="1" t="s">
        <v>430</v>
      </c>
      <c r="I277" s="1" t="s">
        <v>647</v>
      </c>
      <c r="J277" s="1" t="s">
        <v>546</v>
      </c>
      <c r="K277" s="1" t="s">
        <v>27</v>
      </c>
      <c r="L277" s="93">
        <v>9999.0</v>
      </c>
    </row>
    <row r="278">
      <c r="A278" s="154">
        <v>43716.14774770833</v>
      </c>
      <c r="B278" s="161" t="s">
        <v>38</v>
      </c>
      <c r="C278" s="162" t="s">
        <v>139</v>
      </c>
      <c r="D278" s="93">
        <v>1.0</v>
      </c>
      <c r="E278" s="93">
        <v>1.0</v>
      </c>
      <c r="F278" s="1" t="s">
        <v>282</v>
      </c>
      <c r="G278" s="1" t="s">
        <v>648</v>
      </c>
      <c r="H278" s="1" t="s">
        <v>430</v>
      </c>
      <c r="I278" s="1" t="s">
        <v>649</v>
      </c>
      <c r="J278" s="1" t="s">
        <v>446</v>
      </c>
      <c r="K278" s="1" t="s">
        <v>74</v>
      </c>
      <c r="L278" s="93">
        <v>9999.0</v>
      </c>
    </row>
    <row r="279">
      <c r="A279" s="154">
        <v>43716.14774770833</v>
      </c>
      <c r="B279" s="161" t="s">
        <v>38</v>
      </c>
      <c r="C279" s="162" t="s">
        <v>198</v>
      </c>
      <c r="D279" s="93">
        <v>0.0</v>
      </c>
      <c r="E279" s="93">
        <v>2.0</v>
      </c>
      <c r="F279" s="1" t="s">
        <v>273</v>
      </c>
      <c r="G279" s="1" t="s">
        <v>644</v>
      </c>
      <c r="H279" s="1" t="s">
        <v>430</v>
      </c>
      <c r="I279" s="1" t="s">
        <v>546</v>
      </c>
      <c r="J279" s="1" t="s">
        <v>370</v>
      </c>
      <c r="K279" s="1" t="s">
        <v>27</v>
      </c>
      <c r="L279" s="93">
        <v>9999.0</v>
      </c>
    </row>
    <row r="280">
      <c r="A280" s="154">
        <v>43716.14774770833</v>
      </c>
      <c r="B280" s="161" t="s">
        <v>38</v>
      </c>
      <c r="C280" s="162" t="s">
        <v>156</v>
      </c>
      <c r="D280" s="93">
        <v>2.0</v>
      </c>
      <c r="E280" s="93">
        <v>0.0</v>
      </c>
      <c r="F280" s="1" t="s">
        <v>284</v>
      </c>
      <c r="G280" s="1" t="s">
        <v>650</v>
      </c>
      <c r="H280" s="1" t="s">
        <v>430</v>
      </c>
      <c r="I280" s="1" t="s">
        <v>257</v>
      </c>
      <c r="J280" s="1" t="s">
        <v>519</v>
      </c>
      <c r="K280" s="1" t="s">
        <v>41</v>
      </c>
      <c r="L280" s="93">
        <v>9999.0</v>
      </c>
    </row>
    <row r="281">
      <c r="A281" s="154">
        <v>43716.14774770833</v>
      </c>
      <c r="B281" s="161" t="s">
        <v>38</v>
      </c>
      <c r="C281" s="162" t="s">
        <v>97</v>
      </c>
      <c r="D281" s="93">
        <v>1.0</v>
      </c>
      <c r="E281" s="93">
        <v>0.0</v>
      </c>
      <c r="F281" s="1" t="s">
        <v>269</v>
      </c>
      <c r="G281" s="1" t="s">
        <v>202</v>
      </c>
      <c r="I281" s="1" t="s">
        <v>203</v>
      </c>
      <c r="J281" s="1" t="s">
        <v>203</v>
      </c>
      <c r="L281" s="93">
        <v>9999.0</v>
      </c>
    </row>
    <row r="282">
      <c r="A282" s="154">
        <v>43716.14774770833</v>
      </c>
      <c r="B282" s="161" t="s">
        <v>38</v>
      </c>
      <c r="C282" s="162" t="s">
        <v>68</v>
      </c>
      <c r="D282" s="93">
        <v>2.0</v>
      </c>
      <c r="E282" s="93">
        <v>0.0</v>
      </c>
      <c r="F282" s="1" t="s">
        <v>285</v>
      </c>
      <c r="G282" s="1" t="s">
        <v>651</v>
      </c>
      <c r="H282" s="1" t="s">
        <v>430</v>
      </c>
      <c r="I282" s="93">
        <v>-17.0</v>
      </c>
      <c r="J282" s="93">
        <v>65.0</v>
      </c>
      <c r="K282" s="1" t="s">
        <v>62</v>
      </c>
      <c r="L282" s="93">
        <v>9999.0</v>
      </c>
    </row>
    <row r="283">
      <c r="A283" s="154">
        <v>43716.14774770833</v>
      </c>
      <c r="B283" s="161" t="s">
        <v>38</v>
      </c>
      <c r="C283" s="162" t="s">
        <v>172</v>
      </c>
      <c r="D283" s="93">
        <v>2.0</v>
      </c>
      <c r="E283" s="93">
        <v>0.0</v>
      </c>
      <c r="F283" s="1" t="s">
        <v>273</v>
      </c>
      <c r="G283" s="1" t="s">
        <v>652</v>
      </c>
      <c r="H283" s="1" t="s">
        <v>430</v>
      </c>
      <c r="I283" s="1" t="s">
        <v>382</v>
      </c>
      <c r="K283" s="1" t="s">
        <v>288</v>
      </c>
      <c r="L283" s="93">
        <v>9999.0</v>
      </c>
    </row>
    <row r="284">
      <c r="A284" s="154">
        <v>43716.14774770833</v>
      </c>
      <c r="B284" s="161" t="s">
        <v>38</v>
      </c>
      <c r="C284" s="162" t="s">
        <v>32</v>
      </c>
      <c r="D284" s="93">
        <v>1.0</v>
      </c>
      <c r="E284" s="93">
        <v>1.0</v>
      </c>
      <c r="F284" s="1" t="s">
        <v>285</v>
      </c>
      <c r="G284" s="1" t="s">
        <v>653</v>
      </c>
      <c r="H284" s="1" t="s">
        <v>430</v>
      </c>
      <c r="I284" s="1" t="s">
        <v>382</v>
      </c>
      <c r="K284" s="1" t="s">
        <v>288</v>
      </c>
      <c r="L284" s="93">
        <v>9999.0</v>
      </c>
    </row>
    <row r="285">
      <c r="A285" s="154">
        <v>43716.14774770833</v>
      </c>
      <c r="B285" s="161" t="s">
        <v>38</v>
      </c>
      <c r="C285" s="162" t="s">
        <v>178</v>
      </c>
      <c r="D285" s="93">
        <v>2.0</v>
      </c>
      <c r="E285" s="93">
        <v>0.0</v>
      </c>
      <c r="F285" s="1" t="s">
        <v>242</v>
      </c>
      <c r="G285" s="1" t="s">
        <v>654</v>
      </c>
      <c r="H285" s="1" t="s">
        <v>430</v>
      </c>
      <c r="I285" s="1" t="s">
        <v>244</v>
      </c>
      <c r="J285" s="1" t="s">
        <v>546</v>
      </c>
      <c r="K285" s="1" t="s">
        <v>60</v>
      </c>
      <c r="L285" s="93">
        <v>9999.0</v>
      </c>
    </row>
    <row r="286">
      <c r="A286" s="154">
        <v>43716.14774770833</v>
      </c>
      <c r="B286" s="161" t="s">
        <v>38</v>
      </c>
      <c r="C286" s="162" t="s">
        <v>113</v>
      </c>
      <c r="D286" s="93">
        <v>2.0</v>
      </c>
      <c r="E286" s="93">
        <v>0.0</v>
      </c>
      <c r="F286" s="1" t="s">
        <v>269</v>
      </c>
      <c r="G286" s="1" t="s">
        <v>655</v>
      </c>
      <c r="H286" s="1" t="s">
        <v>430</v>
      </c>
      <c r="I286" s="1" t="s">
        <v>281</v>
      </c>
      <c r="J286" s="1" t="s">
        <v>482</v>
      </c>
      <c r="K286" s="1" t="s">
        <v>53</v>
      </c>
      <c r="L286" s="93">
        <v>9999.0</v>
      </c>
    </row>
    <row r="287">
      <c r="A287" s="152" t="s">
        <v>359</v>
      </c>
      <c r="B287" s="115" t="s">
        <v>2</v>
      </c>
      <c r="C287" s="153" t="s">
        <v>227</v>
      </c>
      <c r="D287" s="118" t="s">
        <v>29</v>
      </c>
      <c r="E287" s="118" t="s">
        <v>34</v>
      </c>
      <c r="F287" s="119" t="s">
        <v>261</v>
      </c>
      <c r="G287" s="119" t="s">
        <v>245</v>
      </c>
      <c r="H287" s="119" t="s">
        <v>228</v>
      </c>
      <c r="I287" s="119" t="s">
        <v>229</v>
      </c>
      <c r="J287" s="119" t="s">
        <v>262</v>
      </c>
      <c r="K287" s="120" t="s">
        <v>263</v>
      </c>
      <c r="L287" s="120" t="s">
        <v>264</v>
      </c>
    </row>
    <row r="288">
      <c r="A288" s="154">
        <v>43716.14774770833</v>
      </c>
      <c r="B288" s="161" t="s">
        <v>41</v>
      </c>
      <c r="C288" s="162" t="s">
        <v>126</v>
      </c>
      <c r="D288" s="93">
        <v>1.0</v>
      </c>
      <c r="E288" s="93">
        <v>1.0</v>
      </c>
      <c r="F288" s="1" t="s">
        <v>357</v>
      </c>
      <c r="G288" s="1" t="s">
        <v>656</v>
      </c>
      <c r="H288" s="1" t="s">
        <v>430</v>
      </c>
      <c r="I288" s="93">
        <v>12.0</v>
      </c>
      <c r="J288" s="1" t="s">
        <v>280</v>
      </c>
      <c r="K288" s="1" t="s">
        <v>44</v>
      </c>
      <c r="L288" s="93">
        <v>9999.0</v>
      </c>
    </row>
    <row r="289">
      <c r="A289" s="154">
        <v>43716.14774770833</v>
      </c>
      <c r="B289" s="161" t="s">
        <v>41</v>
      </c>
      <c r="C289" s="162" t="s">
        <v>146</v>
      </c>
      <c r="D289" s="93">
        <v>1.0</v>
      </c>
      <c r="E289" s="93">
        <v>1.0</v>
      </c>
      <c r="F289" s="1" t="s">
        <v>267</v>
      </c>
      <c r="G289" s="1" t="s">
        <v>657</v>
      </c>
      <c r="H289" s="1" t="s">
        <v>430</v>
      </c>
      <c r="I289" s="1" t="s">
        <v>376</v>
      </c>
      <c r="J289" s="1" t="s">
        <v>237</v>
      </c>
      <c r="K289" s="1" t="s">
        <v>41</v>
      </c>
      <c r="L289" s="93">
        <v>9999.0</v>
      </c>
    </row>
    <row r="290">
      <c r="A290" s="154">
        <v>43716.14774770833</v>
      </c>
      <c r="B290" s="161" t="s">
        <v>41</v>
      </c>
      <c r="C290" s="162" t="s">
        <v>109</v>
      </c>
      <c r="D290" s="93">
        <v>1.0</v>
      </c>
      <c r="E290" s="93">
        <v>1.0</v>
      </c>
      <c r="F290" s="1" t="s">
        <v>201</v>
      </c>
      <c r="G290" s="1" t="s">
        <v>658</v>
      </c>
      <c r="H290" s="1" t="s">
        <v>639</v>
      </c>
      <c r="I290" s="1" t="s">
        <v>418</v>
      </c>
      <c r="J290" s="1" t="s">
        <v>462</v>
      </c>
      <c r="K290" s="1" t="s">
        <v>58</v>
      </c>
      <c r="L290" s="93">
        <v>9999.0</v>
      </c>
    </row>
    <row r="291">
      <c r="A291" s="154">
        <v>43716.14774770833</v>
      </c>
      <c r="B291" s="161" t="s">
        <v>41</v>
      </c>
      <c r="C291" s="162" t="s">
        <v>52</v>
      </c>
      <c r="D291" s="93">
        <v>1.0</v>
      </c>
      <c r="E291" s="93">
        <v>1.0</v>
      </c>
      <c r="F291" s="1" t="s">
        <v>282</v>
      </c>
      <c r="G291" s="1" t="s">
        <v>659</v>
      </c>
      <c r="H291" s="1" t="s">
        <v>430</v>
      </c>
      <c r="I291" s="1" t="s">
        <v>526</v>
      </c>
      <c r="J291" s="1" t="s">
        <v>462</v>
      </c>
      <c r="K291" s="1" t="s">
        <v>74</v>
      </c>
      <c r="L291" s="93">
        <v>9999.0</v>
      </c>
    </row>
    <row r="292">
      <c r="A292" s="154">
        <v>43716.14774770833</v>
      </c>
      <c r="B292" s="161" t="s">
        <v>41</v>
      </c>
      <c r="C292" s="162" t="s">
        <v>91</v>
      </c>
      <c r="D292" s="93">
        <v>1.0</v>
      </c>
      <c r="E292" s="93">
        <v>1.0</v>
      </c>
      <c r="F292" s="1" t="s">
        <v>285</v>
      </c>
      <c r="G292" s="1" t="s">
        <v>657</v>
      </c>
      <c r="H292" s="1" t="s">
        <v>430</v>
      </c>
      <c r="I292" s="1" t="s">
        <v>512</v>
      </c>
      <c r="J292" s="1" t="s">
        <v>237</v>
      </c>
      <c r="K292" s="1" t="s">
        <v>41</v>
      </c>
      <c r="L292" s="93">
        <v>9999.0</v>
      </c>
    </row>
    <row r="293">
      <c r="A293" s="154">
        <v>43716.14774770833</v>
      </c>
      <c r="B293" s="161" t="s">
        <v>41</v>
      </c>
      <c r="C293" s="162" t="s">
        <v>111</v>
      </c>
      <c r="D293" s="93">
        <v>2.0</v>
      </c>
      <c r="E293" s="93">
        <v>0.0</v>
      </c>
      <c r="F293" s="1" t="s">
        <v>266</v>
      </c>
      <c r="G293" s="1" t="s">
        <v>660</v>
      </c>
      <c r="H293" s="1" t="s">
        <v>430</v>
      </c>
      <c r="I293" s="93">
        <v>-2.0</v>
      </c>
      <c r="J293" s="93">
        <v>58.0</v>
      </c>
      <c r="K293" s="1" t="s">
        <v>62</v>
      </c>
      <c r="L293" s="93">
        <v>9999.0</v>
      </c>
    </row>
    <row r="294">
      <c r="A294" s="154">
        <v>43716.14774770833</v>
      </c>
      <c r="B294" s="161" t="s">
        <v>41</v>
      </c>
      <c r="C294" s="162" t="s">
        <v>180</v>
      </c>
      <c r="D294" s="93">
        <v>1.0</v>
      </c>
      <c r="E294" s="93">
        <v>1.0</v>
      </c>
      <c r="F294" s="1" t="s">
        <v>260</v>
      </c>
      <c r="G294" s="1" t="s">
        <v>661</v>
      </c>
      <c r="H294" s="1" t="s">
        <v>430</v>
      </c>
      <c r="I294" s="93">
        <v>-14.0</v>
      </c>
      <c r="J294" s="1" t="s">
        <v>240</v>
      </c>
      <c r="K294" s="1" t="s">
        <v>48</v>
      </c>
      <c r="L294" s="93">
        <v>9999.0</v>
      </c>
    </row>
    <row r="295">
      <c r="A295" s="154">
        <v>43716.14774770833</v>
      </c>
      <c r="B295" s="161" t="s">
        <v>41</v>
      </c>
      <c r="C295" s="162" t="s">
        <v>168</v>
      </c>
      <c r="D295" s="93">
        <v>0.0</v>
      </c>
      <c r="E295" s="93">
        <v>2.0</v>
      </c>
      <c r="F295" s="1" t="s">
        <v>201</v>
      </c>
      <c r="G295" s="1" t="s">
        <v>650</v>
      </c>
      <c r="H295" s="1" t="s">
        <v>430</v>
      </c>
      <c r="I295" s="1" t="s">
        <v>286</v>
      </c>
      <c r="J295" s="1" t="s">
        <v>519</v>
      </c>
      <c r="K295" s="1" t="s">
        <v>38</v>
      </c>
      <c r="L295" s="93">
        <v>9999.0</v>
      </c>
    </row>
    <row r="296">
      <c r="A296" s="154">
        <v>43716.14774770833</v>
      </c>
      <c r="B296" s="161" t="s">
        <v>41</v>
      </c>
      <c r="C296" s="162" t="s">
        <v>159</v>
      </c>
      <c r="D296" s="93">
        <v>1.0</v>
      </c>
      <c r="E296" s="93">
        <v>1.0</v>
      </c>
      <c r="F296" s="1" t="s">
        <v>285</v>
      </c>
      <c r="G296" s="1" t="s">
        <v>662</v>
      </c>
      <c r="H296" s="1" t="s">
        <v>430</v>
      </c>
      <c r="I296" s="1" t="s">
        <v>382</v>
      </c>
      <c r="K296" s="1" t="s">
        <v>288</v>
      </c>
      <c r="L296" s="93">
        <v>9999.0</v>
      </c>
    </row>
    <row r="297">
      <c r="A297" s="154">
        <v>43716.14774770833</v>
      </c>
      <c r="B297" s="161" t="s">
        <v>41</v>
      </c>
      <c r="C297" s="162" t="s">
        <v>190</v>
      </c>
      <c r="D297" s="93">
        <v>1.0</v>
      </c>
      <c r="E297" s="93">
        <v>1.0</v>
      </c>
      <c r="F297" s="1" t="s">
        <v>248</v>
      </c>
      <c r="G297" s="1" t="s">
        <v>663</v>
      </c>
      <c r="H297" s="1" t="s">
        <v>430</v>
      </c>
      <c r="I297" s="1" t="s">
        <v>226</v>
      </c>
      <c r="J297" s="1" t="s">
        <v>473</v>
      </c>
      <c r="K297" s="1" t="s">
        <v>288</v>
      </c>
      <c r="L297" s="93">
        <v>9999.0</v>
      </c>
    </row>
    <row r="298">
      <c r="A298" s="152" t="s">
        <v>359</v>
      </c>
      <c r="B298" s="115" t="s">
        <v>2</v>
      </c>
      <c r="C298" s="153" t="s">
        <v>227</v>
      </c>
      <c r="D298" s="118" t="s">
        <v>29</v>
      </c>
      <c r="E298" s="118" t="s">
        <v>34</v>
      </c>
      <c r="F298" s="119" t="s">
        <v>261</v>
      </c>
      <c r="G298" s="119" t="s">
        <v>245</v>
      </c>
      <c r="H298" s="119" t="s">
        <v>228</v>
      </c>
      <c r="I298" s="119" t="s">
        <v>229</v>
      </c>
      <c r="J298" s="119" t="s">
        <v>262</v>
      </c>
      <c r="K298" s="120" t="s">
        <v>263</v>
      </c>
      <c r="L298" s="120" t="s">
        <v>264</v>
      </c>
    </row>
    <row r="299">
      <c r="A299" s="154">
        <v>43716.14774770833</v>
      </c>
      <c r="B299" s="161" t="s">
        <v>44</v>
      </c>
      <c r="C299" s="162" t="s">
        <v>145</v>
      </c>
      <c r="D299" s="93">
        <v>1.0</v>
      </c>
      <c r="E299" s="93">
        <v>1.0</v>
      </c>
      <c r="F299" s="1" t="s">
        <v>267</v>
      </c>
      <c r="G299" s="1" t="s">
        <v>664</v>
      </c>
      <c r="H299" s="1" t="s">
        <v>430</v>
      </c>
      <c r="I299" s="1" t="s">
        <v>456</v>
      </c>
      <c r="J299" s="1" t="s">
        <v>608</v>
      </c>
      <c r="K299" s="1" t="s">
        <v>69</v>
      </c>
      <c r="L299" s="93">
        <v>9999.0</v>
      </c>
    </row>
    <row r="300">
      <c r="A300" s="154">
        <v>43716.14774770833</v>
      </c>
      <c r="B300" s="161" t="s">
        <v>44</v>
      </c>
      <c r="C300" s="162" t="s">
        <v>132</v>
      </c>
      <c r="D300" s="93">
        <v>1.0</v>
      </c>
      <c r="E300" s="93">
        <v>1.0</v>
      </c>
      <c r="F300" s="1" t="s">
        <v>267</v>
      </c>
      <c r="G300" s="1" t="s">
        <v>665</v>
      </c>
      <c r="H300" s="1" t="s">
        <v>430</v>
      </c>
      <c r="I300" s="1" t="s">
        <v>367</v>
      </c>
      <c r="J300" s="93">
        <v>54.0</v>
      </c>
      <c r="K300" s="1" t="s">
        <v>58</v>
      </c>
      <c r="L300" s="93">
        <v>9999.0</v>
      </c>
    </row>
    <row r="301">
      <c r="A301" s="154">
        <v>43716.14774770833</v>
      </c>
      <c r="B301" s="161" t="s">
        <v>44</v>
      </c>
      <c r="C301" s="162" t="s">
        <v>173</v>
      </c>
      <c r="D301" s="93">
        <v>1.0</v>
      </c>
      <c r="E301" s="93">
        <v>1.0</v>
      </c>
      <c r="F301" s="1" t="s">
        <v>287</v>
      </c>
      <c r="G301" s="1" t="s">
        <v>666</v>
      </c>
      <c r="H301" s="1" t="s">
        <v>430</v>
      </c>
      <c r="I301" s="1" t="s">
        <v>247</v>
      </c>
      <c r="J301" s="1" t="s">
        <v>507</v>
      </c>
      <c r="K301" s="1" t="s">
        <v>288</v>
      </c>
      <c r="L301" s="93">
        <v>9999.0</v>
      </c>
    </row>
    <row r="302">
      <c r="A302" s="154">
        <v>43716.14774770833</v>
      </c>
      <c r="B302" s="161" t="s">
        <v>44</v>
      </c>
      <c r="C302" s="162" t="s">
        <v>37</v>
      </c>
      <c r="D302" s="93">
        <v>1.0</v>
      </c>
      <c r="E302" s="93">
        <v>0.0</v>
      </c>
      <c r="F302" s="1" t="s">
        <v>260</v>
      </c>
      <c r="G302" s="1" t="s">
        <v>202</v>
      </c>
      <c r="I302" s="1" t="s">
        <v>203</v>
      </c>
      <c r="J302" s="1" t="s">
        <v>203</v>
      </c>
      <c r="L302" s="93">
        <v>9999.0</v>
      </c>
    </row>
    <row r="303">
      <c r="A303" s="154">
        <v>43716.14774770833</v>
      </c>
      <c r="B303" s="161" t="s">
        <v>44</v>
      </c>
      <c r="C303" s="162" t="s">
        <v>150</v>
      </c>
      <c r="D303" s="93">
        <v>2.0</v>
      </c>
      <c r="E303" s="93">
        <v>0.0</v>
      </c>
      <c r="F303" s="1" t="s">
        <v>201</v>
      </c>
      <c r="G303" s="1" t="s">
        <v>656</v>
      </c>
      <c r="H303" s="1" t="s">
        <v>430</v>
      </c>
      <c r="I303" s="93">
        <v>-12.0</v>
      </c>
      <c r="J303" s="1" t="s">
        <v>280</v>
      </c>
      <c r="K303" s="1" t="s">
        <v>41</v>
      </c>
      <c r="L303" s="93">
        <v>9999.0</v>
      </c>
    </row>
    <row r="304">
      <c r="A304" s="154">
        <v>43716.14774770833</v>
      </c>
      <c r="B304" s="161" t="s">
        <v>44</v>
      </c>
      <c r="C304" s="162" t="s">
        <v>122</v>
      </c>
      <c r="D304" s="93">
        <v>2.0</v>
      </c>
      <c r="E304" s="93">
        <v>0.0</v>
      </c>
      <c r="F304" s="1" t="s">
        <v>201</v>
      </c>
      <c r="G304" s="1" t="s">
        <v>667</v>
      </c>
      <c r="H304" s="1" t="s">
        <v>430</v>
      </c>
      <c r="I304" s="93">
        <v>-35.0</v>
      </c>
      <c r="J304" s="1" t="s">
        <v>462</v>
      </c>
      <c r="K304" s="1" t="s">
        <v>74</v>
      </c>
      <c r="L304" s="93">
        <v>9999.0</v>
      </c>
    </row>
    <row r="305">
      <c r="A305" s="154">
        <v>43716.14774770833</v>
      </c>
      <c r="B305" s="161" t="s">
        <v>44</v>
      </c>
      <c r="C305" s="162" t="s">
        <v>61</v>
      </c>
      <c r="D305" s="93">
        <v>2.0</v>
      </c>
      <c r="E305" s="93">
        <v>0.0</v>
      </c>
      <c r="F305" s="1" t="s">
        <v>285</v>
      </c>
      <c r="G305" s="1" t="s">
        <v>668</v>
      </c>
      <c r="H305" s="1" t="s">
        <v>430</v>
      </c>
      <c r="I305" s="1" t="s">
        <v>382</v>
      </c>
      <c r="K305" s="1" t="s">
        <v>288</v>
      </c>
      <c r="L305" s="93">
        <v>9999.0</v>
      </c>
    </row>
    <row r="306">
      <c r="A306" s="154">
        <v>43716.14774770833</v>
      </c>
      <c r="B306" s="161" t="s">
        <v>44</v>
      </c>
      <c r="C306" s="162" t="s">
        <v>188</v>
      </c>
      <c r="D306" s="93">
        <v>1.0</v>
      </c>
      <c r="E306" s="93">
        <v>1.0</v>
      </c>
      <c r="F306" s="1" t="s">
        <v>242</v>
      </c>
      <c r="G306" s="1" t="s">
        <v>669</v>
      </c>
      <c r="H306" s="1" t="s">
        <v>430</v>
      </c>
      <c r="I306" s="1" t="s">
        <v>382</v>
      </c>
      <c r="K306" s="1" t="s">
        <v>288</v>
      </c>
      <c r="L306" s="93">
        <v>9999.0</v>
      </c>
    </row>
    <row r="307">
      <c r="A307" s="154">
        <v>43716.14774770833</v>
      </c>
      <c r="B307" s="161" t="s">
        <v>44</v>
      </c>
      <c r="C307" s="162" t="s">
        <v>104</v>
      </c>
      <c r="D307" s="93">
        <v>2.0</v>
      </c>
      <c r="E307" s="93">
        <v>0.0</v>
      </c>
      <c r="F307" s="1" t="s">
        <v>570</v>
      </c>
      <c r="G307" s="1" t="s">
        <v>670</v>
      </c>
      <c r="H307" s="1" t="s">
        <v>430</v>
      </c>
      <c r="I307" s="1" t="s">
        <v>374</v>
      </c>
      <c r="J307" s="93">
        <v>65.0</v>
      </c>
      <c r="K307" s="1" t="s">
        <v>288</v>
      </c>
      <c r="L307" s="93">
        <v>9999.0</v>
      </c>
    </row>
    <row r="308">
      <c r="A308" s="154">
        <v>43716.14774770833</v>
      </c>
      <c r="B308" s="161" t="s">
        <v>44</v>
      </c>
      <c r="C308" s="162" t="s">
        <v>161</v>
      </c>
      <c r="D308" s="93">
        <v>1.0</v>
      </c>
      <c r="E308" s="93">
        <v>1.0</v>
      </c>
      <c r="F308" s="1" t="s">
        <v>248</v>
      </c>
      <c r="G308" s="1" t="s">
        <v>671</v>
      </c>
      <c r="H308" s="1" t="s">
        <v>430</v>
      </c>
      <c r="I308" s="1" t="s">
        <v>382</v>
      </c>
      <c r="K308" s="1" t="s">
        <v>288</v>
      </c>
      <c r="L308" s="93">
        <v>9999.0</v>
      </c>
    </row>
    <row r="309">
      <c r="A309" s="152" t="s">
        <v>359</v>
      </c>
      <c r="B309" s="115" t="s">
        <v>2</v>
      </c>
      <c r="C309" s="153" t="s">
        <v>227</v>
      </c>
      <c r="D309" s="118" t="s">
        <v>29</v>
      </c>
      <c r="E309" s="118" t="s">
        <v>34</v>
      </c>
      <c r="F309" s="119" t="s">
        <v>261</v>
      </c>
      <c r="G309" s="119" t="s">
        <v>245</v>
      </c>
      <c r="H309" s="119" t="s">
        <v>228</v>
      </c>
      <c r="I309" s="119" t="s">
        <v>229</v>
      </c>
      <c r="J309" s="119" t="s">
        <v>262</v>
      </c>
      <c r="K309" s="120" t="s">
        <v>263</v>
      </c>
      <c r="L309" s="120" t="s">
        <v>264</v>
      </c>
    </row>
    <row r="310">
      <c r="A310" s="154">
        <v>43716.14774770833</v>
      </c>
      <c r="B310" s="161" t="s">
        <v>48</v>
      </c>
      <c r="C310" s="162" t="s">
        <v>105</v>
      </c>
      <c r="D310" s="93">
        <v>1.0</v>
      </c>
      <c r="E310" s="93">
        <v>1.0</v>
      </c>
      <c r="F310" s="1" t="s">
        <v>576</v>
      </c>
      <c r="G310" s="1" t="s">
        <v>661</v>
      </c>
      <c r="H310" s="1" t="s">
        <v>430</v>
      </c>
      <c r="I310" s="93">
        <v>14.0</v>
      </c>
      <c r="J310" s="1" t="s">
        <v>240</v>
      </c>
      <c r="K310" s="1" t="s">
        <v>41</v>
      </c>
      <c r="L310" s="93">
        <v>9999.0</v>
      </c>
    </row>
    <row r="311">
      <c r="A311" s="154">
        <v>43716.14774770833</v>
      </c>
      <c r="B311" s="161" t="s">
        <v>48</v>
      </c>
      <c r="C311" s="162" t="s">
        <v>90</v>
      </c>
      <c r="D311" s="93">
        <v>2.0</v>
      </c>
      <c r="E311" s="93">
        <v>0.0</v>
      </c>
      <c r="F311" s="1" t="s">
        <v>201</v>
      </c>
      <c r="G311" s="1" t="s">
        <v>672</v>
      </c>
      <c r="H311" s="1" t="s">
        <v>430</v>
      </c>
      <c r="I311" s="93">
        <v>4.0</v>
      </c>
      <c r="J311" s="1" t="s">
        <v>283</v>
      </c>
      <c r="K311" s="1" t="s">
        <v>69</v>
      </c>
      <c r="L311" s="93">
        <v>9999.0</v>
      </c>
    </row>
    <row r="312">
      <c r="A312" s="154">
        <v>43716.14774770833</v>
      </c>
      <c r="B312" s="161" t="s">
        <v>48</v>
      </c>
      <c r="C312" s="162" t="s">
        <v>187</v>
      </c>
      <c r="D312" s="93">
        <v>1.0</v>
      </c>
      <c r="E312" s="93">
        <v>1.0</v>
      </c>
      <c r="F312" s="1" t="s">
        <v>267</v>
      </c>
      <c r="G312" s="1" t="s">
        <v>673</v>
      </c>
      <c r="H312" s="1" t="s">
        <v>430</v>
      </c>
      <c r="I312" s="1" t="s">
        <v>674</v>
      </c>
      <c r="J312" s="1" t="s">
        <v>419</v>
      </c>
      <c r="K312" s="1" t="s">
        <v>58</v>
      </c>
      <c r="L312" s="93">
        <v>9999.0</v>
      </c>
    </row>
    <row r="313">
      <c r="A313" s="154">
        <v>43716.14774770833</v>
      </c>
      <c r="B313" s="161" t="s">
        <v>48</v>
      </c>
      <c r="C313" s="162" t="s">
        <v>155</v>
      </c>
      <c r="D313" s="93">
        <v>1.0</v>
      </c>
      <c r="E313" s="93">
        <v>0.0</v>
      </c>
      <c r="F313" s="1" t="s">
        <v>579</v>
      </c>
      <c r="G313" s="1" t="s">
        <v>202</v>
      </c>
      <c r="I313" s="1" t="s">
        <v>203</v>
      </c>
      <c r="J313" s="1" t="s">
        <v>203</v>
      </c>
      <c r="L313" s="93">
        <v>9999.0</v>
      </c>
    </row>
    <row r="314">
      <c r="A314" s="154">
        <v>43716.14774770833</v>
      </c>
      <c r="B314" s="161" t="s">
        <v>48</v>
      </c>
      <c r="C314" s="162" t="s">
        <v>162</v>
      </c>
      <c r="D314" s="93">
        <v>2.0</v>
      </c>
      <c r="E314" s="93">
        <v>0.0</v>
      </c>
      <c r="F314" s="1" t="s">
        <v>273</v>
      </c>
      <c r="G314" s="1" t="s">
        <v>675</v>
      </c>
      <c r="H314" s="1" t="s">
        <v>430</v>
      </c>
      <c r="I314" s="93">
        <v>-36.0</v>
      </c>
      <c r="J314" s="1" t="s">
        <v>419</v>
      </c>
      <c r="K314" s="1" t="s">
        <v>288</v>
      </c>
      <c r="L314" s="93">
        <v>9999.0</v>
      </c>
    </row>
    <row r="315">
      <c r="A315" s="154">
        <v>43716.14774770833</v>
      </c>
      <c r="B315" s="161" t="s">
        <v>48</v>
      </c>
      <c r="C315" s="162" t="s">
        <v>120</v>
      </c>
      <c r="D315" s="93">
        <v>1.0</v>
      </c>
      <c r="E315" s="93">
        <v>1.0</v>
      </c>
      <c r="F315" s="1" t="s">
        <v>260</v>
      </c>
      <c r="G315" s="1" t="s">
        <v>676</v>
      </c>
      <c r="H315" s="1" t="s">
        <v>430</v>
      </c>
      <c r="I315" s="93">
        <v>-7.0</v>
      </c>
      <c r="J315" s="1" t="s">
        <v>280</v>
      </c>
      <c r="K315" s="1" t="s">
        <v>288</v>
      </c>
      <c r="L315" s="93">
        <v>9999.0</v>
      </c>
    </row>
    <row r="316">
      <c r="A316" s="154">
        <v>43716.14774770833</v>
      </c>
      <c r="B316" s="161" t="s">
        <v>48</v>
      </c>
      <c r="C316" s="162" t="s">
        <v>144</v>
      </c>
      <c r="D316" s="93">
        <v>1.0</v>
      </c>
      <c r="E316" s="93">
        <v>1.0</v>
      </c>
      <c r="F316" s="1" t="s">
        <v>248</v>
      </c>
      <c r="G316" s="1" t="s">
        <v>677</v>
      </c>
      <c r="H316" s="1" t="s">
        <v>430</v>
      </c>
      <c r="I316" s="1" t="s">
        <v>382</v>
      </c>
      <c r="K316" s="1" t="s">
        <v>288</v>
      </c>
      <c r="L316" s="93">
        <v>9999.0</v>
      </c>
    </row>
    <row r="317">
      <c r="A317" s="154">
        <v>43716.14774770833</v>
      </c>
      <c r="B317" s="161" t="s">
        <v>48</v>
      </c>
      <c r="C317" s="162" t="s">
        <v>176</v>
      </c>
      <c r="D317" s="93">
        <v>2.0</v>
      </c>
      <c r="E317" s="93">
        <v>0.0</v>
      </c>
      <c r="F317" s="1" t="s">
        <v>287</v>
      </c>
      <c r="G317" s="1" t="s">
        <v>678</v>
      </c>
      <c r="H317" s="1" t="s">
        <v>430</v>
      </c>
      <c r="I317" s="1" t="s">
        <v>382</v>
      </c>
      <c r="K317" s="1" t="s">
        <v>288</v>
      </c>
      <c r="L317" s="93">
        <v>9999.0</v>
      </c>
    </row>
    <row r="318">
      <c r="A318" s="154">
        <v>43716.14774770833</v>
      </c>
      <c r="B318" s="161" t="s">
        <v>48</v>
      </c>
      <c r="C318" s="162" t="s">
        <v>127</v>
      </c>
      <c r="D318" s="93">
        <v>1.0</v>
      </c>
      <c r="E318" s="93">
        <v>1.0</v>
      </c>
      <c r="F318" s="1" t="s">
        <v>266</v>
      </c>
      <c r="G318" s="1" t="s">
        <v>679</v>
      </c>
      <c r="H318" s="1" t="s">
        <v>430</v>
      </c>
      <c r="I318" s="1" t="s">
        <v>382</v>
      </c>
      <c r="K318" s="1" t="s">
        <v>288</v>
      </c>
      <c r="L318" s="93">
        <v>9999.0</v>
      </c>
    </row>
    <row r="319">
      <c r="A319" s="154">
        <v>43716.14774770833</v>
      </c>
      <c r="B319" s="161" t="s">
        <v>48</v>
      </c>
      <c r="C319" s="162" t="s">
        <v>33</v>
      </c>
      <c r="D319" s="93">
        <v>1.0</v>
      </c>
      <c r="E319" s="93">
        <v>1.0</v>
      </c>
      <c r="F319" s="1" t="s">
        <v>207</v>
      </c>
      <c r="G319" s="1" t="s">
        <v>680</v>
      </c>
      <c r="H319" s="1" t="s">
        <v>430</v>
      </c>
      <c r="I319" s="1" t="s">
        <v>382</v>
      </c>
      <c r="K319" s="1" t="s">
        <v>288</v>
      </c>
      <c r="L319" s="93">
        <v>9999.0</v>
      </c>
    </row>
    <row r="320">
      <c r="A320" s="152" t="s">
        <v>359</v>
      </c>
      <c r="B320" s="115" t="s">
        <v>2</v>
      </c>
      <c r="C320" s="153" t="s">
        <v>227</v>
      </c>
      <c r="D320" s="118" t="s">
        <v>29</v>
      </c>
      <c r="E320" s="118" t="s">
        <v>34</v>
      </c>
      <c r="F320" s="119" t="s">
        <v>261</v>
      </c>
      <c r="G320" s="119" t="s">
        <v>245</v>
      </c>
      <c r="H320" s="119" t="s">
        <v>228</v>
      </c>
      <c r="I320" s="119" t="s">
        <v>229</v>
      </c>
      <c r="J320" s="119" t="s">
        <v>262</v>
      </c>
      <c r="K320" s="120" t="s">
        <v>263</v>
      </c>
      <c r="L320" s="120" t="s">
        <v>264</v>
      </c>
    </row>
    <row r="321">
      <c r="A321" s="154">
        <v>43716.14774770833</v>
      </c>
      <c r="B321" s="161" t="s">
        <v>53</v>
      </c>
      <c r="C321" s="162" t="s">
        <v>164</v>
      </c>
      <c r="D321" s="93">
        <v>2.0</v>
      </c>
      <c r="E321" s="93">
        <v>0.0</v>
      </c>
      <c r="F321" s="1" t="s">
        <v>201</v>
      </c>
      <c r="G321" s="1" t="s">
        <v>642</v>
      </c>
      <c r="H321" s="1" t="s">
        <v>643</v>
      </c>
      <c r="I321" s="93">
        <v>4.0</v>
      </c>
      <c r="J321" s="93">
        <v>65.0</v>
      </c>
      <c r="K321" s="1" t="s">
        <v>27</v>
      </c>
      <c r="L321" s="93">
        <v>9999.0</v>
      </c>
    </row>
    <row r="322">
      <c r="A322" s="154">
        <v>43716.14774770833</v>
      </c>
      <c r="B322" s="161" t="s">
        <v>53</v>
      </c>
      <c r="C322" s="162" t="s">
        <v>191</v>
      </c>
      <c r="D322" s="93">
        <v>1.0</v>
      </c>
      <c r="E322" s="93">
        <v>1.0</v>
      </c>
      <c r="F322" s="1" t="s">
        <v>248</v>
      </c>
      <c r="G322" s="1" t="s">
        <v>681</v>
      </c>
      <c r="H322" s="1" t="s">
        <v>643</v>
      </c>
      <c r="I322" s="93">
        <v>21.0</v>
      </c>
      <c r="J322" s="93">
        <v>64.0</v>
      </c>
      <c r="K322" s="1" t="s">
        <v>64</v>
      </c>
      <c r="L322" s="93">
        <v>9999.0</v>
      </c>
    </row>
    <row r="323">
      <c r="A323" s="154">
        <v>43716.14774770833</v>
      </c>
      <c r="B323" s="161" t="s">
        <v>53</v>
      </c>
      <c r="C323" s="162" t="s">
        <v>148</v>
      </c>
      <c r="D323" s="93">
        <v>1.0</v>
      </c>
      <c r="E323" s="93">
        <v>1.0</v>
      </c>
      <c r="F323" s="1" t="s">
        <v>533</v>
      </c>
      <c r="G323" s="1" t="s">
        <v>655</v>
      </c>
      <c r="H323" s="1" t="s">
        <v>430</v>
      </c>
      <c r="I323" s="1" t="s">
        <v>251</v>
      </c>
      <c r="J323" s="1" t="s">
        <v>482</v>
      </c>
      <c r="K323" s="1" t="s">
        <v>38</v>
      </c>
      <c r="L323" s="93">
        <v>9999.0</v>
      </c>
    </row>
    <row r="324">
      <c r="A324" s="154">
        <v>43716.14774770833</v>
      </c>
      <c r="B324" s="161" t="s">
        <v>53</v>
      </c>
      <c r="C324" s="162" t="s">
        <v>157</v>
      </c>
      <c r="D324" s="93">
        <v>1.0</v>
      </c>
      <c r="E324" s="93">
        <v>1.0</v>
      </c>
      <c r="F324" s="1" t="s">
        <v>248</v>
      </c>
      <c r="G324" s="1" t="s">
        <v>646</v>
      </c>
      <c r="H324" s="1" t="s">
        <v>430</v>
      </c>
      <c r="I324" s="1" t="s">
        <v>247</v>
      </c>
      <c r="J324" s="1" t="s">
        <v>387</v>
      </c>
      <c r="K324" s="1" t="s">
        <v>27</v>
      </c>
      <c r="L324" s="93">
        <v>9999.0</v>
      </c>
    </row>
    <row r="325">
      <c r="A325" s="154">
        <v>43716.14774770833</v>
      </c>
      <c r="B325" s="161" t="s">
        <v>53</v>
      </c>
      <c r="C325" s="162" t="s">
        <v>93</v>
      </c>
      <c r="D325" s="93">
        <v>2.0</v>
      </c>
      <c r="E325" s="93">
        <v>0.0</v>
      </c>
      <c r="F325" s="1" t="s">
        <v>285</v>
      </c>
      <c r="G325" s="1" t="s">
        <v>682</v>
      </c>
      <c r="H325" s="1" t="s">
        <v>430</v>
      </c>
      <c r="I325" s="1" t="s">
        <v>382</v>
      </c>
      <c r="K325" s="1" t="s">
        <v>288</v>
      </c>
      <c r="L325" s="93">
        <v>9999.0</v>
      </c>
    </row>
    <row r="326">
      <c r="A326" s="154">
        <v>43716.14774770833</v>
      </c>
      <c r="B326" s="161" t="s">
        <v>53</v>
      </c>
      <c r="C326" s="162" t="s">
        <v>136</v>
      </c>
      <c r="D326" s="93">
        <v>2.0</v>
      </c>
      <c r="E326" s="93">
        <v>0.0</v>
      </c>
      <c r="F326" s="1" t="s">
        <v>267</v>
      </c>
      <c r="G326" s="1" t="s">
        <v>683</v>
      </c>
      <c r="H326" s="1" t="s">
        <v>430</v>
      </c>
      <c r="I326" s="93">
        <v>-9.0</v>
      </c>
      <c r="J326" s="1" t="s">
        <v>482</v>
      </c>
      <c r="K326" s="1" t="s">
        <v>60</v>
      </c>
      <c r="L326" s="93">
        <v>9999.0</v>
      </c>
    </row>
    <row r="327">
      <c r="A327" s="154">
        <v>43716.14774770833</v>
      </c>
      <c r="B327" s="161" t="s">
        <v>53</v>
      </c>
      <c r="C327" s="162" t="s">
        <v>179</v>
      </c>
      <c r="D327" s="93">
        <v>2.0</v>
      </c>
      <c r="E327" s="93">
        <v>0.0</v>
      </c>
      <c r="F327" s="1" t="s">
        <v>248</v>
      </c>
      <c r="G327" s="1" t="s">
        <v>684</v>
      </c>
      <c r="H327" s="1" t="s">
        <v>430</v>
      </c>
      <c r="I327" s="1" t="s">
        <v>523</v>
      </c>
      <c r="J327" s="1" t="s">
        <v>462</v>
      </c>
      <c r="K327" s="1" t="s">
        <v>64</v>
      </c>
      <c r="L327" s="93">
        <v>9999.0</v>
      </c>
    </row>
    <row r="328">
      <c r="A328" s="154">
        <v>43716.14774770833</v>
      </c>
      <c r="B328" s="161" t="s">
        <v>53</v>
      </c>
      <c r="C328" s="162" t="s">
        <v>100</v>
      </c>
      <c r="D328" s="93">
        <v>2.0</v>
      </c>
      <c r="E328" s="93">
        <v>0.0</v>
      </c>
      <c r="F328" s="1" t="s">
        <v>207</v>
      </c>
      <c r="G328" s="1" t="s">
        <v>685</v>
      </c>
      <c r="H328" s="1" t="s">
        <v>430</v>
      </c>
      <c r="I328" s="1" t="s">
        <v>382</v>
      </c>
      <c r="K328" s="1" t="s">
        <v>288</v>
      </c>
      <c r="L328" s="93">
        <v>9999.0</v>
      </c>
    </row>
    <row r="329">
      <c r="A329" s="154">
        <v>43716.14774770833</v>
      </c>
      <c r="B329" s="161" t="s">
        <v>53</v>
      </c>
      <c r="C329" s="162" t="s">
        <v>42</v>
      </c>
      <c r="D329" s="93">
        <v>2.0</v>
      </c>
      <c r="E329" s="93">
        <v>0.0</v>
      </c>
      <c r="F329" s="1" t="s">
        <v>267</v>
      </c>
      <c r="G329" s="1" t="s">
        <v>686</v>
      </c>
      <c r="H329" s="1" t="s">
        <v>430</v>
      </c>
      <c r="I329" s="1" t="s">
        <v>379</v>
      </c>
      <c r="J329" s="93">
        <v>73.0</v>
      </c>
      <c r="K329" s="1" t="s">
        <v>62</v>
      </c>
      <c r="L329" s="93">
        <v>9999.0</v>
      </c>
    </row>
    <row r="330">
      <c r="A330" s="154">
        <v>43716.14774770833</v>
      </c>
      <c r="B330" s="161" t="s">
        <v>53</v>
      </c>
      <c r="C330" s="162" t="s">
        <v>119</v>
      </c>
      <c r="D330" s="93">
        <v>2.0</v>
      </c>
      <c r="E330" s="93">
        <v>0.0</v>
      </c>
      <c r="F330" s="1" t="s">
        <v>266</v>
      </c>
      <c r="G330" s="1" t="s">
        <v>687</v>
      </c>
      <c r="H330" s="1" t="s">
        <v>430</v>
      </c>
      <c r="I330" s="1" t="s">
        <v>557</v>
      </c>
      <c r="J330" s="93">
        <v>56.0</v>
      </c>
      <c r="K330" s="1" t="s">
        <v>58</v>
      </c>
      <c r="L330" s="93">
        <v>9999.0</v>
      </c>
    </row>
    <row r="331">
      <c r="A331" s="152" t="s">
        <v>359</v>
      </c>
      <c r="B331" s="115" t="s">
        <v>2</v>
      </c>
      <c r="C331" s="153" t="s">
        <v>227</v>
      </c>
      <c r="D331" s="118" t="s">
        <v>29</v>
      </c>
      <c r="E331" s="118" t="s">
        <v>34</v>
      </c>
      <c r="F331" s="119" t="s">
        <v>261</v>
      </c>
      <c r="G331" s="119" t="s">
        <v>245</v>
      </c>
      <c r="H331" s="119" t="s">
        <v>228</v>
      </c>
      <c r="I331" s="119" t="s">
        <v>229</v>
      </c>
      <c r="J331" s="119" t="s">
        <v>262</v>
      </c>
      <c r="K331" s="120" t="s">
        <v>263</v>
      </c>
      <c r="L331" s="120" t="s">
        <v>264</v>
      </c>
    </row>
    <row r="332">
      <c r="A332" s="154">
        <v>43716.14774770833</v>
      </c>
      <c r="B332" s="161" t="s">
        <v>58</v>
      </c>
      <c r="C332" s="162" t="s">
        <v>45</v>
      </c>
      <c r="D332" s="93">
        <v>0.0</v>
      </c>
      <c r="E332" s="93">
        <v>2.0</v>
      </c>
      <c r="F332" s="1" t="s">
        <v>201</v>
      </c>
      <c r="G332" s="1" t="s">
        <v>688</v>
      </c>
      <c r="H332" s="1" t="s">
        <v>430</v>
      </c>
      <c r="I332" s="93">
        <v>6.0</v>
      </c>
      <c r="J332" s="1" t="s">
        <v>240</v>
      </c>
      <c r="K332" s="1" t="s">
        <v>288</v>
      </c>
      <c r="L332" s="93">
        <v>9999.0</v>
      </c>
    </row>
    <row r="333">
      <c r="A333" s="154">
        <v>43716.14774770833</v>
      </c>
      <c r="B333" s="161" t="s">
        <v>58</v>
      </c>
      <c r="C333" s="162" t="s">
        <v>135</v>
      </c>
      <c r="D333" s="93">
        <v>1.0</v>
      </c>
      <c r="E333" s="93">
        <v>1.0</v>
      </c>
      <c r="F333" s="1" t="s">
        <v>267</v>
      </c>
      <c r="G333" s="1" t="s">
        <v>689</v>
      </c>
      <c r="H333" s="1" t="s">
        <v>430</v>
      </c>
      <c r="I333" s="93">
        <v>7.0</v>
      </c>
      <c r="J333" s="1" t="s">
        <v>546</v>
      </c>
      <c r="K333" s="1" t="s">
        <v>60</v>
      </c>
      <c r="L333" s="93">
        <v>9999.0</v>
      </c>
    </row>
    <row r="334">
      <c r="A334" s="154">
        <v>43716.14774770833</v>
      </c>
      <c r="B334" s="161" t="s">
        <v>58</v>
      </c>
      <c r="C334" s="162" t="s">
        <v>140</v>
      </c>
      <c r="D334" s="93">
        <v>1.0</v>
      </c>
      <c r="E334" s="93">
        <v>1.0</v>
      </c>
      <c r="F334" s="1" t="s">
        <v>267</v>
      </c>
      <c r="G334" s="1" t="s">
        <v>687</v>
      </c>
      <c r="H334" s="1" t="s">
        <v>430</v>
      </c>
      <c r="I334" s="1" t="s">
        <v>690</v>
      </c>
      <c r="J334" s="93">
        <v>56.0</v>
      </c>
      <c r="K334" s="1" t="s">
        <v>53</v>
      </c>
      <c r="L334" s="93">
        <v>9999.0</v>
      </c>
    </row>
    <row r="335">
      <c r="A335" s="154">
        <v>43716.14774770833</v>
      </c>
      <c r="B335" s="161" t="s">
        <v>58</v>
      </c>
      <c r="C335" s="162" t="s">
        <v>110</v>
      </c>
      <c r="D335" s="93">
        <v>2.0</v>
      </c>
      <c r="E335" s="93">
        <v>0.0</v>
      </c>
      <c r="F335" s="1" t="s">
        <v>269</v>
      </c>
      <c r="G335" s="1" t="s">
        <v>691</v>
      </c>
      <c r="H335" s="1" t="s">
        <v>430</v>
      </c>
      <c r="I335" s="93">
        <v>-20.0</v>
      </c>
      <c r="J335" s="1" t="s">
        <v>394</v>
      </c>
      <c r="K335" s="1" t="s">
        <v>288</v>
      </c>
      <c r="L335" s="93">
        <v>9999.0</v>
      </c>
    </row>
    <row r="336">
      <c r="A336" s="154">
        <v>43716.14774770833</v>
      </c>
      <c r="B336" s="161" t="s">
        <v>58</v>
      </c>
      <c r="C336" s="162" t="s">
        <v>186</v>
      </c>
      <c r="D336" s="93">
        <v>2.0</v>
      </c>
      <c r="E336" s="93">
        <v>0.0</v>
      </c>
      <c r="F336" s="1" t="s">
        <v>267</v>
      </c>
      <c r="G336" s="1" t="s">
        <v>665</v>
      </c>
      <c r="H336" s="1" t="s">
        <v>430</v>
      </c>
      <c r="I336" s="1" t="s">
        <v>398</v>
      </c>
      <c r="J336" s="93">
        <v>54.0</v>
      </c>
      <c r="K336" s="1" t="s">
        <v>44</v>
      </c>
      <c r="L336" s="93">
        <v>9999.0</v>
      </c>
    </row>
    <row r="337">
      <c r="A337" s="154">
        <v>43716.14774770833</v>
      </c>
      <c r="B337" s="161" t="s">
        <v>58</v>
      </c>
      <c r="C337" s="162" t="s">
        <v>96</v>
      </c>
      <c r="D337" s="93">
        <v>2.0</v>
      </c>
      <c r="E337" s="93">
        <v>0.0</v>
      </c>
      <c r="F337" s="1" t="s">
        <v>267</v>
      </c>
      <c r="G337" s="1" t="s">
        <v>633</v>
      </c>
      <c r="H337" s="1" t="s">
        <v>430</v>
      </c>
      <c r="I337" s="1" t="s">
        <v>591</v>
      </c>
      <c r="J337" s="1" t="s">
        <v>276</v>
      </c>
      <c r="K337" s="1" t="s">
        <v>27</v>
      </c>
      <c r="L337" s="93">
        <v>9999.0</v>
      </c>
    </row>
    <row r="338">
      <c r="A338" s="154">
        <v>43716.14774770833</v>
      </c>
      <c r="B338" s="161" t="s">
        <v>58</v>
      </c>
      <c r="C338" s="162" t="s">
        <v>72</v>
      </c>
      <c r="D338" s="93">
        <v>1.0</v>
      </c>
      <c r="E338" s="93">
        <v>1.0</v>
      </c>
      <c r="F338" s="1" t="s">
        <v>248</v>
      </c>
      <c r="G338" s="1" t="s">
        <v>692</v>
      </c>
      <c r="H338" s="1" t="s">
        <v>430</v>
      </c>
      <c r="I338" s="1" t="s">
        <v>382</v>
      </c>
      <c r="K338" s="1" t="s">
        <v>288</v>
      </c>
      <c r="L338" s="93">
        <v>9999.0</v>
      </c>
    </row>
    <row r="339">
      <c r="A339" s="154">
        <v>43716.14774770833</v>
      </c>
      <c r="B339" s="161" t="s">
        <v>58</v>
      </c>
      <c r="C339" s="162" t="s">
        <v>183</v>
      </c>
      <c r="D339" s="93">
        <v>0.0</v>
      </c>
      <c r="E339" s="93">
        <v>2.0</v>
      </c>
      <c r="F339" s="1" t="s">
        <v>242</v>
      </c>
      <c r="G339" s="1" t="s">
        <v>658</v>
      </c>
      <c r="H339" s="1" t="s">
        <v>639</v>
      </c>
      <c r="I339" s="1" t="s">
        <v>379</v>
      </c>
      <c r="J339" s="1" t="s">
        <v>462</v>
      </c>
      <c r="K339" s="1" t="s">
        <v>41</v>
      </c>
      <c r="L339" s="93">
        <v>9999.0</v>
      </c>
    </row>
    <row r="340">
      <c r="A340" s="154">
        <v>43716.14774770833</v>
      </c>
      <c r="B340" s="161" t="s">
        <v>58</v>
      </c>
      <c r="C340" s="162" t="s">
        <v>165</v>
      </c>
      <c r="D340" s="93">
        <v>1.0</v>
      </c>
      <c r="E340" s="93">
        <v>1.0</v>
      </c>
      <c r="F340" s="1" t="s">
        <v>248</v>
      </c>
      <c r="G340" s="1" t="s">
        <v>693</v>
      </c>
      <c r="H340" s="1" t="s">
        <v>430</v>
      </c>
      <c r="I340" s="93">
        <v>-24.0</v>
      </c>
      <c r="J340" s="93">
        <v>61.0</v>
      </c>
      <c r="K340" s="1" t="s">
        <v>64</v>
      </c>
      <c r="L340" s="93">
        <v>9999.0</v>
      </c>
    </row>
    <row r="341">
      <c r="A341" s="154">
        <v>43716.14774770833</v>
      </c>
      <c r="B341" s="161" t="s">
        <v>58</v>
      </c>
      <c r="C341" s="162" t="s">
        <v>158</v>
      </c>
      <c r="D341" s="93">
        <v>1.0</v>
      </c>
      <c r="E341" s="93">
        <v>1.0</v>
      </c>
      <c r="F341" s="1" t="s">
        <v>579</v>
      </c>
      <c r="G341" s="1" t="s">
        <v>673</v>
      </c>
      <c r="H341" s="1" t="s">
        <v>430</v>
      </c>
      <c r="I341" s="1" t="s">
        <v>694</v>
      </c>
      <c r="J341" s="1" t="s">
        <v>419</v>
      </c>
      <c r="K341" s="1" t="s">
        <v>48</v>
      </c>
      <c r="L341" s="93">
        <v>9999.0</v>
      </c>
    </row>
    <row r="342">
      <c r="A342" s="152" t="s">
        <v>359</v>
      </c>
      <c r="B342" s="115" t="s">
        <v>2</v>
      </c>
      <c r="C342" s="153" t="s">
        <v>227</v>
      </c>
      <c r="D342" s="118" t="s">
        <v>29</v>
      </c>
      <c r="E342" s="118" t="s">
        <v>34</v>
      </c>
      <c r="F342" s="119" t="s">
        <v>261</v>
      </c>
      <c r="G342" s="119" t="s">
        <v>245</v>
      </c>
      <c r="H342" s="119" t="s">
        <v>228</v>
      </c>
      <c r="I342" s="119" t="s">
        <v>229</v>
      </c>
      <c r="J342" s="119" t="s">
        <v>262</v>
      </c>
      <c r="K342" s="120" t="s">
        <v>263</v>
      </c>
      <c r="L342" s="120" t="s">
        <v>264</v>
      </c>
    </row>
    <row r="343">
      <c r="A343" s="154">
        <v>43716.14774770833</v>
      </c>
      <c r="B343" s="161" t="s">
        <v>60</v>
      </c>
      <c r="C343" s="162" t="s">
        <v>137</v>
      </c>
      <c r="D343" s="93">
        <v>0.0</v>
      </c>
      <c r="E343" s="93">
        <v>2.0</v>
      </c>
      <c r="F343" s="1" t="s">
        <v>266</v>
      </c>
      <c r="G343" s="1" t="s">
        <v>683</v>
      </c>
      <c r="H343" s="1" t="s">
        <v>430</v>
      </c>
      <c r="I343" s="93">
        <v>9.0</v>
      </c>
      <c r="J343" s="1" t="s">
        <v>482</v>
      </c>
      <c r="K343" s="1" t="s">
        <v>53</v>
      </c>
      <c r="L343" s="93">
        <v>9999.0</v>
      </c>
    </row>
    <row r="344">
      <c r="A344" s="154">
        <v>43716.14774770833</v>
      </c>
      <c r="B344" s="161" t="s">
        <v>60</v>
      </c>
      <c r="C344" s="162" t="s">
        <v>103</v>
      </c>
      <c r="D344" s="93">
        <v>1.0</v>
      </c>
      <c r="E344" s="93">
        <v>1.0</v>
      </c>
      <c r="F344" s="1" t="s">
        <v>610</v>
      </c>
      <c r="G344" s="1" t="s">
        <v>654</v>
      </c>
      <c r="H344" s="1" t="s">
        <v>430</v>
      </c>
      <c r="I344" s="1" t="s">
        <v>247</v>
      </c>
      <c r="J344" s="1" t="s">
        <v>546</v>
      </c>
      <c r="K344" s="1" t="s">
        <v>38</v>
      </c>
      <c r="L344" s="93">
        <v>9999.0</v>
      </c>
    </row>
    <row r="345">
      <c r="A345" s="154">
        <v>43716.14774770833</v>
      </c>
      <c r="B345" s="161" t="s">
        <v>60</v>
      </c>
      <c r="C345" s="162" t="s">
        <v>166</v>
      </c>
      <c r="D345" s="93">
        <v>0.0</v>
      </c>
      <c r="E345" s="93">
        <v>2.0</v>
      </c>
      <c r="F345" s="1" t="s">
        <v>269</v>
      </c>
      <c r="G345" s="1" t="s">
        <v>695</v>
      </c>
      <c r="H345" s="1" t="s">
        <v>430</v>
      </c>
      <c r="I345" s="1" t="s">
        <v>247</v>
      </c>
      <c r="J345" s="1" t="s">
        <v>696</v>
      </c>
      <c r="K345" s="1" t="s">
        <v>62</v>
      </c>
      <c r="L345" s="93">
        <v>9999.0</v>
      </c>
    </row>
    <row r="346">
      <c r="A346" s="154">
        <v>43716.14774770833</v>
      </c>
      <c r="B346" s="161" t="s">
        <v>60</v>
      </c>
      <c r="C346" s="162" t="s">
        <v>149</v>
      </c>
      <c r="D346" s="93">
        <v>1.0</v>
      </c>
      <c r="E346" s="93">
        <v>0.0</v>
      </c>
      <c r="F346" s="1" t="s">
        <v>533</v>
      </c>
      <c r="G346" s="1" t="s">
        <v>202</v>
      </c>
      <c r="I346" s="1" t="s">
        <v>203</v>
      </c>
      <c r="J346" s="1" t="s">
        <v>203</v>
      </c>
      <c r="L346" s="93">
        <v>9999.0</v>
      </c>
    </row>
    <row r="347">
      <c r="A347" s="154">
        <v>43716.14774770833</v>
      </c>
      <c r="B347" s="161" t="s">
        <v>60</v>
      </c>
      <c r="C347" s="162" t="s">
        <v>117</v>
      </c>
      <c r="D347" s="93">
        <v>0.0</v>
      </c>
      <c r="E347" s="93">
        <v>1.0</v>
      </c>
      <c r="F347" s="1" t="s">
        <v>278</v>
      </c>
      <c r="G347" s="1" t="s">
        <v>202</v>
      </c>
      <c r="I347" s="1" t="s">
        <v>203</v>
      </c>
      <c r="J347" s="1" t="s">
        <v>203</v>
      </c>
      <c r="L347" s="93">
        <v>9999.0</v>
      </c>
    </row>
    <row r="348">
      <c r="A348" s="154">
        <v>43716.14774770833</v>
      </c>
      <c r="B348" s="161" t="s">
        <v>60</v>
      </c>
      <c r="C348" s="162" t="s">
        <v>95</v>
      </c>
      <c r="D348" s="93">
        <v>2.0</v>
      </c>
      <c r="E348" s="93">
        <v>0.0</v>
      </c>
      <c r="F348" s="1" t="s">
        <v>285</v>
      </c>
      <c r="G348" s="1" t="s">
        <v>697</v>
      </c>
      <c r="H348" s="1" t="s">
        <v>430</v>
      </c>
      <c r="I348" s="93">
        <v>-19.0</v>
      </c>
      <c r="J348" s="1" t="s">
        <v>446</v>
      </c>
      <c r="K348" s="1" t="s">
        <v>288</v>
      </c>
      <c r="L348" s="93">
        <v>9999.0</v>
      </c>
    </row>
    <row r="349">
      <c r="A349" s="154">
        <v>43716.14774770833</v>
      </c>
      <c r="B349" s="161" t="s">
        <v>60</v>
      </c>
      <c r="C349" s="162" t="s">
        <v>59</v>
      </c>
      <c r="D349" s="93">
        <v>2.0</v>
      </c>
      <c r="E349" s="93">
        <v>0.0</v>
      </c>
      <c r="F349" s="1" t="s">
        <v>260</v>
      </c>
      <c r="G349" s="1" t="s">
        <v>698</v>
      </c>
      <c r="H349" s="1" t="s">
        <v>430</v>
      </c>
      <c r="I349" s="1" t="s">
        <v>431</v>
      </c>
      <c r="J349" s="93">
        <v>68.0</v>
      </c>
      <c r="K349" s="1" t="s">
        <v>74</v>
      </c>
      <c r="L349" s="93">
        <v>9999.0</v>
      </c>
    </row>
    <row r="350">
      <c r="A350" s="154">
        <v>43716.14774770833</v>
      </c>
      <c r="B350" s="161" t="s">
        <v>60</v>
      </c>
      <c r="C350" s="162" t="s">
        <v>189</v>
      </c>
      <c r="D350" s="93">
        <v>2.0</v>
      </c>
      <c r="E350" s="93">
        <v>0.0</v>
      </c>
      <c r="F350" s="1" t="s">
        <v>242</v>
      </c>
      <c r="G350" s="1" t="s">
        <v>699</v>
      </c>
      <c r="H350" s="1" t="s">
        <v>430</v>
      </c>
      <c r="I350" s="1" t="s">
        <v>382</v>
      </c>
      <c r="K350" s="1" t="s">
        <v>288</v>
      </c>
      <c r="L350" s="93">
        <v>9999.0</v>
      </c>
    </row>
    <row r="351">
      <c r="A351" s="154">
        <v>43716.14774770833</v>
      </c>
      <c r="B351" s="161" t="s">
        <v>60</v>
      </c>
      <c r="C351" s="162" t="s">
        <v>123</v>
      </c>
      <c r="D351" s="93">
        <v>0.0</v>
      </c>
      <c r="E351" s="93">
        <v>2.0</v>
      </c>
      <c r="F351" s="1" t="s">
        <v>248</v>
      </c>
      <c r="G351" s="1" t="s">
        <v>689</v>
      </c>
      <c r="H351" s="1" t="s">
        <v>430</v>
      </c>
      <c r="I351" s="93">
        <v>-7.0</v>
      </c>
      <c r="J351" s="1" t="s">
        <v>546</v>
      </c>
      <c r="K351" s="1" t="s">
        <v>58</v>
      </c>
      <c r="L351" s="93">
        <v>9999.0</v>
      </c>
    </row>
    <row r="352">
      <c r="A352" s="154">
        <v>43716.14774770833</v>
      </c>
      <c r="B352" s="161" t="s">
        <v>60</v>
      </c>
      <c r="C352" s="162" t="s">
        <v>175</v>
      </c>
      <c r="D352" s="93">
        <v>2.0</v>
      </c>
      <c r="E352" s="93">
        <v>0.0</v>
      </c>
      <c r="F352" s="1" t="s">
        <v>248</v>
      </c>
      <c r="G352" s="1" t="s">
        <v>700</v>
      </c>
      <c r="H352" s="1" t="s">
        <v>430</v>
      </c>
      <c r="I352" s="1" t="s">
        <v>382</v>
      </c>
      <c r="K352" s="1" t="s">
        <v>288</v>
      </c>
      <c r="L352" s="93">
        <v>9999.0</v>
      </c>
    </row>
    <row r="353">
      <c r="A353" s="152" t="s">
        <v>359</v>
      </c>
      <c r="B353" s="115" t="s">
        <v>2</v>
      </c>
      <c r="C353" s="153" t="s">
        <v>227</v>
      </c>
      <c r="D353" s="118" t="s">
        <v>29</v>
      </c>
      <c r="E353" s="118" t="s">
        <v>34</v>
      </c>
      <c r="F353" s="119" t="s">
        <v>261</v>
      </c>
      <c r="G353" s="119" t="s">
        <v>245</v>
      </c>
      <c r="H353" s="119" t="s">
        <v>228</v>
      </c>
      <c r="I353" s="119" t="s">
        <v>229</v>
      </c>
      <c r="J353" s="119" t="s">
        <v>262</v>
      </c>
      <c r="K353" s="120" t="s">
        <v>263</v>
      </c>
      <c r="L353" s="120" t="s">
        <v>264</v>
      </c>
    </row>
    <row r="354">
      <c r="A354" s="154">
        <v>43716.14774770833</v>
      </c>
      <c r="B354" s="161" t="s">
        <v>62</v>
      </c>
      <c r="C354" s="162" t="s">
        <v>5</v>
      </c>
      <c r="D354" s="93">
        <v>1.0</v>
      </c>
      <c r="E354" s="93">
        <v>1.0</v>
      </c>
      <c r="F354" s="1" t="s">
        <v>201</v>
      </c>
      <c r="G354" s="1" t="s">
        <v>701</v>
      </c>
      <c r="H354" s="1" t="s">
        <v>430</v>
      </c>
      <c r="I354" s="93">
        <v>16.0</v>
      </c>
      <c r="J354" s="1" t="s">
        <v>237</v>
      </c>
      <c r="K354" s="1" t="s">
        <v>74</v>
      </c>
      <c r="L354" s="93">
        <v>9999.0</v>
      </c>
    </row>
    <row r="355">
      <c r="A355" s="154">
        <v>43716.14774770833</v>
      </c>
      <c r="B355" s="161" t="s">
        <v>62</v>
      </c>
      <c r="C355" s="162" t="s">
        <v>92</v>
      </c>
      <c r="D355" s="93">
        <v>1.0</v>
      </c>
      <c r="E355" s="93">
        <v>1.0</v>
      </c>
      <c r="F355" s="1" t="s">
        <v>267</v>
      </c>
      <c r="G355" s="1" t="s">
        <v>660</v>
      </c>
      <c r="H355" s="1" t="s">
        <v>430</v>
      </c>
      <c r="I355" s="93">
        <v>2.0</v>
      </c>
      <c r="J355" s="93">
        <v>58.0</v>
      </c>
      <c r="K355" s="1" t="s">
        <v>41</v>
      </c>
      <c r="L355" s="93">
        <v>9999.0</v>
      </c>
    </row>
    <row r="356">
      <c r="A356" s="154">
        <v>43716.14774770833</v>
      </c>
      <c r="B356" s="161" t="s">
        <v>62</v>
      </c>
      <c r="C356" s="162" t="s">
        <v>184</v>
      </c>
      <c r="D356" s="93">
        <v>1.0</v>
      </c>
      <c r="E356" s="93">
        <v>1.0</v>
      </c>
      <c r="F356" s="1" t="s">
        <v>287</v>
      </c>
      <c r="G356" s="1" t="s">
        <v>651</v>
      </c>
      <c r="H356" s="1" t="s">
        <v>430</v>
      </c>
      <c r="I356" s="93">
        <v>17.0</v>
      </c>
      <c r="J356" s="93">
        <v>65.0</v>
      </c>
      <c r="K356" s="1" t="s">
        <v>38</v>
      </c>
      <c r="L356" s="93">
        <v>9999.0</v>
      </c>
    </row>
    <row r="357">
      <c r="A357" s="154">
        <v>43716.14774770833</v>
      </c>
      <c r="B357" s="161" t="s">
        <v>62</v>
      </c>
      <c r="C357" s="162" t="s">
        <v>128</v>
      </c>
      <c r="D357" s="93">
        <v>1.0</v>
      </c>
      <c r="E357" s="93">
        <v>1.0</v>
      </c>
      <c r="F357" s="1" t="s">
        <v>267</v>
      </c>
      <c r="G357" s="1" t="s">
        <v>686</v>
      </c>
      <c r="H357" s="1" t="s">
        <v>430</v>
      </c>
      <c r="I357" s="1" t="s">
        <v>418</v>
      </c>
      <c r="J357" s="93">
        <v>73.0</v>
      </c>
      <c r="K357" s="1" t="s">
        <v>53</v>
      </c>
      <c r="L357" s="93">
        <v>9999.0</v>
      </c>
    </row>
    <row r="358">
      <c r="A358" s="154">
        <v>43716.14774770833</v>
      </c>
      <c r="B358" s="161" t="s">
        <v>62</v>
      </c>
      <c r="C358" s="162" t="s">
        <v>102</v>
      </c>
      <c r="D358" s="93">
        <v>1.0</v>
      </c>
      <c r="E358" s="93">
        <v>0.0</v>
      </c>
      <c r="F358" s="1" t="s">
        <v>570</v>
      </c>
      <c r="G358" s="1" t="s">
        <v>202</v>
      </c>
      <c r="I358" s="1" t="s">
        <v>203</v>
      </c>
      <c r="J358" s="1" t="s">
        <v>203</v>
      </c>
      <c r="L358" s="93">
        <v>9999.0</v>
      </c>
    </row>
    <row r="359">
      <c r="A359" s="154">
        <v>43716.14774770833</v>
      </c>
      <c r="B359" s="161" t="s">
        <v>62</v>
      </c>
      <c r="C359" s="162" t="s">
        <v>112</v>
      </c>
      <c r="D359" s="93">
        <v>2.0</v>
      </c>
      <c r="E359" s="93">
        <v>0.0</v>
      </c>
      <c r="F359" s="1" t="s">
        <v>266</v>
      </c>
      <c r="G359" s="1" t="s">
        <v>702</v>
      </c>
      <c r="H359" s="1" t="s">
        <v>639</v>
      </c>
      <c r="I359" s="1" t="s">
        <v>398</v>
      </c>
      <c r="J359" s="93">
        <v>47.0</v>
      </c>
      <c r="K359" s="1" t="s">
        <v>64</v>
      </c>
      <c r="L359" s="93">
        <v>9999.0</v>
      </c>
    </row>
    <row r="360">
      <c r="A360" s="154">
        <v>43716.14774770833</v>
      </c>
      <c r="B360" s="161" t="s">
        <v>62</v>
      </c>
      <c r="C360" s="162" t="s">
        <v>143</v>
      </c>
      <c r="D360" s="93">
        <v>1.0</v>
      </c>
      <c r="E360" s="93">
        <v>1.0</v>
      </c>
      <c r="F360" s="1" t="s">
        <v>273</v>
      </c>
      <c r="G360" s="1" t="s">
        <v>703</v>
      </c>
      <c r="H360" s="1" t="s">
        <v>643</v>
      </c>
      <c r="I360" s="1" t="s">
        <v>382</v>
      </c>
      <c r="K360" s="1" t="s">
        <v>288</v>
      </c>
      <c r="L360" s="93">
        <v>9999.0</v>
      </c>
    </row>
    <row r="361">
      <c r="A361" s="154">
        <v>43716.14774770833</v>
      </c>
      <c r="B361" s="161" t="s">
        <v>62</v>
      </c>
      <c r="C361" s="162" t="s">
        <v>192</v>
      </c>
      <c r="D361" s="93">
        <v>1.0</v>
      </c>
      <c r="E361" s="93">
        <v>1.0</v>
      </c>
      <c r="F361" s="1" t="s">
        <v>201</v>
      </c>
      <c r="G361" s="1" t="s">
        <v>704</v>
      </c>
      <c r="H361" s="1" t="s">
        <v>430</v>
      </c>
      <c r="I361" s="1" t="s">
        <v>382</v>
      </c>
      <c r="K361" s="1" t="s">
        <v>288</v>
      </c>
      <c r="L361" s="93">
        <v>9999.0</v>
      </c>
    </row>
    <row r="362">
      <c r="A362" s="154">
        <v>43716.14774770833</v>
      </c>
      <c r="B362" s="161" t="s">
        <v>62</v>
      </c>
      <c r="C362" s="162" t="s">
        <v>171</v>
      </c>
      <c r="D362" s="93">
        <v>1.0</v>
      </c>
      <c r="E362" s="93">
        <v>1.0</v>
      </c>
      <c r="F362" s="1" t="s">
        <v>273</v>
      </c>
      <c r="G362" s="1" t="s">
        <v>636</v>
      </c>
      <c r="H362" s="1" t="s">
        <v>430</v>
      </c>
      <c r="I362" s="1" t="s">
        <v>226</v>
      </c>
      <c r="J362" s="1" t="s">
        <v>637</v>
      </c>
      <c r="K362" s="1" t="s">
        <v>27</v>
      </c>
      <c r="L362" s="93">
        <v>9999.0</v>
      </c>
    </row>
    <row r="363">
      <c r="A363" s="154">
        <v>43716.14774770833</v>
      </c>
      <c r="B363" s="161" t="s">
        <v>62</v>
      </c>
      <c r="C363" s="162" t="s">
        <v>153</v>
      </c>
      <c r="D363" s="93">
        <v>2.0</v>
      </c>
      <c r="E363" s="93">
        <v>0.0</v>
      </c>
      <c r="F363" s="1" t="s">
        <v>248</v>
      </c>
      <c r="G363" s="1" t="s">
        <v>695</v>
      </c>
      <c r="H363" s="1" t="s">
        <v>430</v>
      </c>
      <c r="I363" s="1" t="s">
        <v>244</v>
      </c>
      <c r="J363" s="1" t="s">
        <v>696</v>
      </c>
      <c r="K363" s="1" t="s">
        <v>60</v>
      </c>
      <c r="L363" s="93">
        <v>9999.0</v>
      </c>
    </row>
    <row r="364">
      <c r="A364" s="115" t="s">
        <v>359</v>
      </c>
      <c r="B364" s="159" t="s">
        <v>2</v>
      </c>
      <c r="C364" s="160" t="s">
        <v>227</v>
      </c>
      <c r="D364" s="1" t="s">
        <v>29</v>
      </c>
      <c r="E364" s="1" t="s">
        <v>34</v>
      </c>
      <c r="F364" s="119" t="s">
        <v>261</v>
      </c>
      <c r="G364" s="119" t="s">
        <v>245</v>
      </c>
      <c r="H364" s="119" t="s">
        <v>228</v>
      </c>
      <c r="I364" s="119" t="s">
        <v>229</v>
      </c>
      <c r="J364" s="119" t="s">
        <v>262</v>
      </c>
      <c r="K364" s="120" t="s">
        <v>263</v>
      </c>
      <c r="L364" s="120" t="s">
        <v>264</v>
      </c>
    </row>
    <row r="365">
      <c r="A365" s="164">
        <v>43716.14774770833</v>
      </c>
      <c r="B365" s="161" t="s">
        <v>64</v>
      </c>
      <c r="C365" s="162" t="s">
        <v>196</v>
      </c>
      <c r="D365" s="93">
        <v>1.0</v>
      </c>
      <c r="E365" s="93">
        <v>1.0</v>
      </c>
      <c r="F365" s="124" t="s">
        <v>260</v>
      </c>
      <c r="G365" s="124" t="s">
        <v>702</v>
      </c>
      <c r="H365" s="127" t="s">
        <v>639</v>
      </c>
      <c r="I365" s="127" t="s">
        <v>367</v>
      </c>
      <c r="J365" s="124">
        <v>47.0</v>
      </c>
      <c r="K365" s="124" t="s">
        <v>62</v>
      </c>
      <c r="L365" s="124">
        <v>9999.0</v>
      </c>
    </row>
    <row r="366">
      <c r="A366" s="164">
        <v>43716.14774770833</v>
      </c>
      <c r="B366" s="161" t="s">
        <v>64</v>
      </c>
      <c r="C366" s="162" t="s">
        <v>131</v>
      </c>
      <c r="D366" s="93">
        <v>1.0</v>
      </c>
      <c r="E366" s="93">
        <v>1.0</v>
      </c>
      <c r="F366" s="124" t="s">
        <v>248</v>
      </c>
      <c r="G366" s="124" t="s">
        <v>684</v>
      </c>
      <c r="H366" s="127" t="s">
        <v>430</v>
      </c>
      <c r="I366" s="127" t="s">
        <v>401</v>
      </c>
      <c r="J366" s="124" t="s">
        <v>462</v>
      </c>
      <c r="K366" s="124" t="s">
        <v>53</v>
      </c>
      <c r="L366" s="124">
        <v>9999.0</v>
      </c>
    </row>
    <row r="367">
      <c r="A367" s="164">
        <v>43716.14774770833</v>
      </c>
      <c r="B367" s="161" t="s">
        <v>64</v>
      </c>
      <c r="C367" s="162" t="s">
        <v>154</v>
      </c>
      <c r="D367" s="93">
        <v>1.0</v>
      </c>
      <c r="E367" s="93">
        <v>1.0</v>
      </c>
      <c r="F367" s="124" t="s">
        <v>260</v>
      </c>
      <c r="G367" s="124" t="s">
        <v>693</v>
      </c>
      <c r="H367" s="127" t="s">
        <v>430</v>
      </c>
      <c r="I367" s="127">
        <v>24.0</v>
      </c>
      <c r="J367" s="124">
        <v>61.0</v>
      </c>
      <c r="K367" s="124" t="s">
        <v>58</v>
      </c>
      <c r="L367" s="124">
        <v>9999.0</v>
      </c>
    </row>
    <row r="368">
      <c r="A368" s="164">
        <v>43716.14774770833</v>
      </c>
      <c r="B368" s="161" t="s">
        <v>64</v>
      </c>
      <c r="C368" s="162" t="s">
        <v>147</v>
      </c>
      <c r="D368" s="93">
        <v>0.0</v>
      </c>
      <c r="E368" s="93">
        <v>1.0</v>
      </c>
      <c r="F368" s="124" t="s">
        <v>287</v>
      </c>
      <c r="G368" s="124" t="s">
        <v>202</v>
      </c>
      <c r="H368" s="127"/>
      <c r="I368" s="127" t="s">
        <v>203</v>
      </c>
      <c r="J368" s="124" t="s">
        <v>203</v>
      </c>
      <c r="K368" s="124"/>
      <c r="L368" s="124">
        <v>9999.0</v>
      </c>
    </row>
    <row r="369">
      <c r="A369" s="164">
        <v>43716.14774770833</v>
      </c>
      <c r="B369" s="161" t="s">
        <v>64</v>
      </c>
      <c r="C369" s="162" t="s">
        <v>49</v>
      </c>
      <c r="D369" s="93">
        <v>1.0</v>
      </c>
      <c r="E369" s="93">
        <v>0.0</v>
      </c>
      <c r="F369" s="124" t="s">
        <v>282</v>
      </c>
      <c r="G369" s="124" t="s">
        <v>202</v>
      </c>
      <c r="H369" s="127"/>
      <c r="I369" s="127" t="s">
        <v>203</v>
      </c>
      <c r="J369" s="124" t="s">
        <v>203</v>
      </c>
      <c r="K369" s="124"/>
      <c r="L369" s="124">
        <v>9999.0</v>
      </c>
    </row>
    <row r="370">
      <c r="A370" s="164">
        <v>43716.14774770833</v>
      </c>
      <c r="B370" s="161" t="s">
        <v>64</v>
      </c>
      <c r="C370" s="162" t="s">
        <v>76</v>
      </c>
      <c r="D370" s="93">
        <v>1.0</v>
      </c>
      <c r="E370" s="93">
        <v>1.0</v>
      </c>
      <c r="F370" s="124" t="s">
        <v>201</v>
      </c>
      <c r="G370" s="124" t="s">
        <v>681</v>
      </c>
      <c r="H370" s="127" t="s">
        <v>643</v>
      </c>
      <c r="I370" s="127">
        <v>-21.0</v>
      </c>
      <c r="J370" s="124">
        <v>64.0</v>
      </c>
      <c r="K370" s="124" t="s">
        <v>53</v>
      </c>
      <c r="L370" s="124">
        <v>9999.0</v>
      </c>
    </row>
    <row r="371">
      <c r="A371" s="164">
        <v>43716.14774770833</v>
      </c>
      <c r="B371" s="161" t="s">
        <v>64</v>
      </c>
      <c r="C371" s="162" t="s">
        <v>98</v>
      </c>
      <c r="D371" s="93">
        <v>1.0</v>
      </c>
      <c r="E371" s="93">
        <v>1.0</v>
      </c>
      <c r="F371" s="124" t="s">
        <v>570</v>
      </c>
      <c r="G371" s="124" t="s">
        <v>635</v>
      </c>
      <c r="H371" s="127" t="s">
        <v>430</v>
      </c>
      <c r="I371" s="127" t="s">
        <v>286</v>
      </c>
      <c r="J371" s="124" t="s">
        <v>237</v>
      </c>
      <c r="K371" s="124" t="s">
        <v>27</v>
      </c>
      <c r="L371" s="124">
        <v>9999.0</v>
      </c>
    </row>
    <row r="372">
      <c r="A372" s="164">
        <v>43716.14774770833</v>
      </c>
      <c r="B372" s="161" t="s">
        <v>64</v>
      </c>
      <c r="C372" s="162" t="s">
        <v>177</v>
      </c>
      <c r="D372" s="93">
        <v>2.0</v>
      </c>
      <c r="E372" s="93">
        <v>0.0</v>
      </c>
      <c r="F372" s="124" t="s">
        <v>287</v>
      </c>
      <c r="G372" s="124" t="s">
        <v>705</v>
      </c>
      <c r="H372" s="127" t="s">
        <v>430</v>
      </c>
      <c r="I372" s="127">
        <v>-15.0</v>
      </c>
      <c r="J372" s="124">
        <v>54.0</v>
      </c>
      <c r="K372" s="124" t="s">
        <v>69</v>
      </c>
      <c r="L372" s="124">
        <v>9999.0</v>
      </c>
    </row>
    <row r="373">
      <c r="A373" s="164">
        <v>43716.14774770833</v>
      </c>
      <c r="B373" s="161" t="s">
        <v>64</v>
      </c>
      <c r="C373" s="162" t="s">
        <v>169</v>
      </c>
      <c r="D373" s="93">
        <v>2.0</v>
      </c>
      <c r="E373" s="93">
        <v>0.0</v>
      </c>
      <c r="F373" s="124" t="s">
        <v>201</v>
      </c>
      <c r="G373" s="124" t="s">
        <v>706</v>
      </c>
      <c r="H373" s="127" t="s">
        <v>430</v>
      </c>
      <c r="I373" s="127">
        <v>-1.0</v>
      </c>
      <c r="J373" s="124">
        <v>45.0</v>
      </c>
      <c r="K373" s="124" t="s">
        <v>74</v>
      </c>
      <c r="L373" s="124">
        <v>9999.0</v>
      </c>
    </row>
    <row r="374">
      <c r="A374" s="164">
        <v>43716.14774770833</v>
      </c>
      <c r="B374" s="161" t="s">
        <v>64</v>
      </c>
      <c r="C374" s="162" t="s">
        <v>115</v>
      </c>
      <c r="D374" s="93">
        <v>2.0</v>
      </c>
      <c r="E374" s="93">
        <v>0.0</v>
      </c>
      <c r="F374" s="124" t="s">
        <v>269</v>
      </c>
      <c r="G374" s="129" t="s">
        <v>638</v>
      </c>
      <c r="H374" s="127" t="s">
        <v>639</v>
      </c>
      <c r="I374" s="127">
        <v>-3.0</v>
      </c>
      <c r="J374" s="124" t="s">
        <v>585</v>
      </c>
      <c r="K374" s="124" t="s">
        <v>27</v>
      </c>
      <c r="L374" s="124">
        <v>9999.0</v>
      </c>
    </row>
    <row r="375">
      <c r="A375" s="115" t="s">
        <v>359</v>
      </c>
      <c r="B375" s="115" t="s">
        <v>2</v>
      </c>
      <c r="C375" s="153" t="s">
        <v>227</v>
      </c>
      <c r="D375" s="118" t="s">
        <v>29</v>
      </c>
      <c r="E375" s="118" t="s">
        <v>34</v>
      </c>
      <c r="F375" s="119" t="s">
        <v>261</v>
      </c>
      <c r="G375" s="119" t="s">
        <v>245</v>
      </c>
      <c r="H375" s="119" t="s">
        <v>228</v>
      </c>
      <c r="I375" s="119" t="s">
        <v>229</v>
      </c>
      <c r="J375" s="119" t="s">
        <v>262</v>
      </c>
      <c r="K375" s="120" t="s">
        <v>263</v>
      </c>
      <c r="L375" s="120"/>
    </row>
    <row r="376">
      <c r="A376" s="164">
        <v>43716.14774770833</v>
      </c>
      <c r="B376" s="161" t="s">
        <v>69</v>
      </c>
      <c r="C376" s="162" t="s">
        <v>193</v>
      </c>
      <c r="D376" s="93">
        <v>0.0</v>
      </c>
      <c r="E376" s="93">
        <v>2.0</v>
      </c>
      <c r="F376" s="124" t="s">
        <v>287</v>
      </c>
      <c r="G376" s="124" t="s">
        <v>707</v>
      </c>
      <c r="H376" s="127" t="s">
        <v>430</v>
      </c>
      <c r="I376" s="127">
        <v>7.0</v>
      </c>
      <c r="J376" s="124" t="s">
        <v>283</v>
      </c>
      <c r="K376" s="124" t="s">
        <v>74</v>
      </c>
      <c r="L376" s="124">
        <v>9999.0</v>
      </c>
    </row>
    <row r="377">
      <c r="A377" s="164">
        <v>43716.14774770833</v>
      </c>
      <c r="B377" s="161" t="s">
        <v>69</v>
      </c>
      <c r="C377" s="162" t="s">
        <v>142</v>
      </c>
      <c r="D377" s="93">
        <v>1.0</v>
      </c>
      <c r="E377" s="93">
        <v>1.0</v>
      </c>
      <c r="F377" s="124" t="s">
        <v>248</v>
      </c>
      <c r="G377" s="124" t="s">
        <v>705</v>
      </c>
      <c r="H377" s="127" t="s">
        <v>430</v>
      </c>
      <c r="I377" s="127">
        <v>15.0</v>
      </c>
      <c r="J377" s="124">
        <v>54.0</v>
      </c>
      <c r="K377" s="124" t="s">
        <v>64</v>
      </c>
      <c r="L377" s="124">
        <v>9999.0</v>
      </c>
    </row>
    <row r="378">
      <c r="A378" s="164">
        <v>43716.14774770833</v>
      </c>
      <c r="B378" s="161" t="s">
        <v>69</v>
      </c>
      <c r="C378" s="162" t="s">
        <v>35</v>
      </c>
      <c r="D378" s="93">
        <v>2.0</v>
      </c>
      <c r="E378" s="93">
        <v>0.0</v>
      </c>
      <c r="F378" s="124" t="s">
        <v>207</v>
      </c>
      <c r="G378" s="124" t="s">
        <v>708</v>
      </c>
      <c r="H378" s="127" t="s">
        <v>430</v>
      </c>
      <c r="I378" s="127" t="s">
        <v>382</v>
      </c>
      <c r="J378" s="124"/>
      <c r="K378" s="124" t="s">
        <v>288</v>
      </c>
      <c r="L378" s="124">
        <v>9999.0</v>
      </c>
    </row>
    <row r="379">
      <c r="A379" s="164">
        <v>43716.14774770833</v>
      </c>
      <c r="B379" s="161" t="s">
        <v>69</v>
      </c>
      <c r="C379" s="162" t="s">
        <v>182</v>
      </c>
      <c r="D379" s="93">
        <v>1.0</v>
      </c>
      <c r="E379" s="93">
        <v>1.0</v>
      </c>
      <c r="F379" s="124" t="s">
        <v>248</v>
      </c>
      <c r="G379" s="124" t="s">
        <v>709</v>
      </c>
      <c r="H379" s="127" t="s">
        <v>430</v>
      </c>
      <c r="I379" s="127" t="s">
        <v>382</v>
      </c>
      <c r="J379" s="124"/>
      <c r="K379" s="124" t="s">
        <v>288</v>
      </c>
      <c r="L379" s="124">
        <v>9999.0</v>
      </c>
    </row>
    <row r="380">
      <c r="A380" s="164">
        <v>43716.14774770833</v>
      </c>
      <c r="B380" s="161" t="s">
        <v>69</v>
      </c>
      <c r="C380" s="162" t="s">
        <v>170</v>
      </c>
      <c r="D380" s="93">
        <v>2.0</v>
      </c>
      <c r="E380" s="93">
        <v>0.0</v>
      </c>
      <c r="F380" s="124" t="s">
        <v>201</v>
      </c>
      <c r="G380" s="124" t="s">
        <v>664</v>
      </c>
      <c r="H380" s="127" t="s">
        <v>430</v>
      </c>
      <c r="I380" s="127" t="s">
        <v>393</v>
      </c>
      <c r="J380" s="124" t="s">
        <v>608</v>
      </c>
      <c r="K380" s="124" t="s">
        <v>44</v>
      </c>
      <c r="L380" s="124">
        <v>9999.0</v>
      </c>
    </row>
    <row r="381">
      <c r="A381" s="164">
        <v>43716.14774770833</v>
      </c>
      <c r="B381" s="161" t="s">
        <v>69</v>
      </c>
      <c r="C381" s="162" t="s">
        <v>125</v>
      </c>
      <c r="D381" s="93">
        <v>1.0</v>
      </c>
      <c r="E381" s="93">
        <v>1.0</v>
      </c>
      <c r="F381" s="124" t="s">
        <v>610</v>
      </c>
      <c r="G381" s="124" t="s">
        <v>710</v>
      </c>
      <c r="H381" s="127" t="s">
        <v>430</v>
      </c>
      <c r="I381" s="127" t="s">
        <v>382</v>
      </c>
      <c r="J381" s="124"/>
      <c r="K381" s="124" t="s">
        <v>288</v>
      </c>
      <c r="L381" s="124">
        <v>9999.0</v>
      </c>
    </row>
    <row r="382">
      <c r="A382" s="164">
        <v>43716.14774770833</v>
      </c>
      <c r="B382" s="161" t="s">
        <v>69</v>
      </c>
      <c r="C382" s="162" t="s">
        <v>108</v>
      </c>
      <c r="D382" s="93">
        <v>2.0</v>
      </c>
      <c r="E382" s="93">
        <v>0.0</v>
      </c>
      <c r="F382" s="124" t="s">
        <v>248</v>
      </c>
      <c r="G382" s="124" t="s">
        <v>711</v>
      </c>
      <c r="H382" s="127" t="s">
        <v>430</v>
      </c>
      <c r="I382" s="127" t="s">
        <v>382</v>
      </c>
      <c r="J382" s="124"/>
      <c r="K382" s="124" t="s">
        <v>288</v>
      </c>
      <c r="L382" s="124">
        <v>9999.0</v>
      </c>
    </row>
    <row r="383">
      <c r="A383" s="164">
        <v>43716.14774770833</v>
      </c>
      <c r="B383" s="161" t="s">
        <v>69</v>
      </c>
      <c r="C383" s="162" t="s">
        <v>151</v>
      </c>
      <c r="D383" s="93">
        <v>1.0</v>
      </c>
      <c r="E383" s="93">
        <v>1.0</v>
      </c>
      <c r="F383" s="124" t="s">
        <v>201</v>
      </c>
      <c r="G383" s="124" t="s">
        <v>712</v>
      </c>
      <c r="H383" s="127" t="s">
        <v>430</v>
      </c>
      <c r="I383" s="127" t="s">
        <v>382</v>
      </c>
      <c r="J383" s="124"/>
      <c r="K383" s="124" t="s">
        <v>288</v>
      </c>
      <c r="L383" s="124">
        <v>9999.0</v>
      </c>
    </row>
    <row r="384">
      <c r="A384" s="164">
        <v>43716.14774770833</v>
      </c>
      <c r="B384" s="161" t="s">
        <v>69</v>
      </c>
      <c r="C384" s="162" t="s">
        <v>101</v>
      </c>
      <c r="D384" s="93">
        <v>2.0</v>
      </c>
      <c r="E384" s="93">
        <v>0.0</v>
      </c>
      <c r="F384" s="124" t="s">
        <v>269</v>
      </c>
      <c r="G384" s="124" t="s">
        <v>713</v>
      </c>
      <c r="H384" s="127" t="s">
        <v>430</v>
      </c>
      <c r="I384" s="127" t="s">
        <v>382</v>
      </c>
      <c r="J384" s="124"/>
      <c r="K384" s="124" t="s">
        <v>288</v>
      </c>
      <c r="L384" s="124">
        <v>9999.0</v>
      </c>
    </row>
    <row r="385">
      <c r="A385" s="164">
        <v>43716.14774770833</v>
      </c>
      <c r="B385" s="161" t="s">
        <v>69</v>
      </c>
      <c r="C385" s="162" t="s">
        <v>87</v>
      </c>
      <c r="D385" s="93">
        <v>0.0</v>
      </c>
      <c r="E385" s="93">
        <v>2.0</v>
      </c>
      <c r="F385" s="124" t="s">
        <v>248</v>
      </c>
      <c r="G385" s="129" t="s">
        <v>672</v>
      </c>
      <c r="H385" s="127" t="s">
        <v>430</v>
      </c>
      <c r="I385" s="127">
        <v>-4.0</v>
      </c>
      <c r="J385" s="124" t="s">
        <v>283</v>
      </c>
      <c r="K385" s="124" t="s">
        <v>48</v>
      </c>
      <c r="L385" s="124">
        <v>9999.0</v>
      </c>
    </row>
    <row r="386">
      <c r="A386" s="115" t="s">
        <v>359</v>
      </c>
      <c r="B386" s="115" t="s">
        <v>2</v>
      </c>
      <c r="C386" s="153" t="s">
        <v>227</v>
      </c>
      <c r="D386" s="118" t="s">
        <v>29</v>
      </c>
      <c r="E386" s="118" t="s">
        <v>34</v>
      </c>
      <c r="F386" s="119" t="s">
        <v>261</v>
      </c>
      <c r="G386" s="119" t="s">
        <v>245</v>
      </c>
      <c r="H386" s="119" t="s">
        <v>228</v>
      </c>
      <c r="I386" s="119" t="s">
        <v>229</v>
      </c>
      <c r="J386" s="119" t="s">
        <v>262</v>
      </c>
      <c r="K386" s="120" t="s">
        <v>263</v>
      </c>
      <c r="L386" s="120"/>
    </row>
    <row r="387">
      <c r="A387" s="164">
        <v>43716.14774770833</v>
      </c>
      <c r="B387" s="161" t="s">
        <v>74</v>
      </c>
      <c r="C387" s="162" t="s">
        <v>141</v>
      </c>
      <c r="D387" s="93">
        <v>1.0</v>
      </c>
      <c r="E387" s="93">
        <v>1.0</v>
      </c>
      <c r="F387" s="124" t="s">
        <v>282</v>
      </c>
      <c r="G387" s="124" t="s">
        <v>667</v>
      </c>
      <c r="H387" s="127" t="s">
        <v>430</v>
      </c>
      <c r="I387" s="127">
        <v>35.0</v>
      </c>
      <c r="J387" s="124" t="s">
        <v>462</v>
      </c>
      <c r="K387" s="124" t="s">
        <v>44</v>
      </c>
      <c r="L387" s="124">
        <v>9999.0</v>
      </c>
    </row>
    <row r="388">
      <c r="A388" s="164">
        <v>43716.14774770833</v>
      </c>
      <c r="B388" s="161" t="s">
        <v>74</v>
      </c>
      <c r="C388" s="162" t="s">
        <v>23</v>
      </c>
      <c r="D388" s="93">
        <v>1.0</v>
      </c>
      <c r="E388" s="93">
        <v>1.0</v>
      </c>
      <c r="F388" s="124" t="s">
        <v>282</v>
      </c>
      <c r="G388" s="124" t="s">
        <v>714</v>
      </c>
      <c r="H388" s="127" t="s">
        <v>430</v>
      </c>
      <c r="I388" s="127" t="s">
        <v>514</v>
      </c>
      <c r="J388" s="124">
        <v>59.0</v>
      </c>
      <c r="K388" s="124" t="s">
        <v>288</v>
      </c>
      <c r="L388" s="124">
        <v>9999.0</v>
      </c>
    </row>
    <row r="389">
      <c r="A389" s="164">
        <v>43716.14774770833</v>
      </c>
      <c r="B389" s="161" t="s">
        <v>74</v>
      </c>
      <c r="C389" s="162" t="s">
        <v>124</v>
      </c>
      <c r="D389" s="93">
        <v>0.0</v>
      </c>
      <c r="E389" s="93">
        <v>2.0</v>
      </c>
      <c r="F389" s="124" t="s">
        <v>278</v>
      </c>
      <c r="G389" s="124" t="s">
        <v>698</v>
      </c>
      <c r="H389" s="127" t="s">
        <v>430</v>
      </c>
      <c r="I389" s="127" t="s">
        <v>492</v>
      </c>
      <c r="J389" s="124">
        <v>68.0</v>
      </c>
      <c r="K389" s="124" t="s">
        <v>60</v>
      </c>
      <c r="L389" s="124">
        <v>9999.0</v>
      </c>
    </row>
    <row r="390">
      <c r="A390" s="164">
        <v>43716.14774770833</v>
      </c>
      <c r="B390" s="161" t="s">
        <v>74</v>
      </c>
      <c r="C390" s="162" t="s">
        <v>167</v>
      </c>
      <c r="D390" s="93">
        <v>1.0</v>
      </c>
      <c r="E390" s="93">
        <v>1.0</v>
      </c>
      <c r="F390" s="124" t="s">
        <v>278</v>
      </c>
      <c r="G390" s="124" t="s">
        <v>706</v>
      </c>
      <c r="H390" s="127" t="s">
        <v>430</v>
      </c>
      <c r="I390" s="127">
        <v>1.0</v>
      </c>
      <c r="J390" s="124">
        <v>45.0</v>
      </c>
      <c r="K390" s="124" t="s">
        <v>64</v>
      </c>
      <c r="L390" s="124">
        <v>9999.0</v>
      </c>
    </row>
    <row r="391">
      <c r="A391" s="164">
        <v>43716.14774770833</v>
      </c>
      <c r="B391" s="161" t="s">
        <v>74</v>
      </c>
      <c r="C391" s="162" t="s">
        <v>194</v>
      </c>
      <c r="D391" s="93">
        <v>1.0</v>
      </c>
      <c r="E391" s="93">
        <v>0.0</v>
      </c>
      <c r="F391" s="124" t="s">
        <v>267</v>
      </c>
      <c r="G391" s="124" t="s">
        <v>202</v>
      </c>
      <c r="H391" s="127"/>
      <c r="I391" s="127" t="s">
        <v>203</v>
      </c>
      <c r="J391" s="124" t="s">
        <v>203</v>
      </c>
      <c r="K391" s="124"/>
      <c r="L391" s="124">
        <v>9999.0</v>
      </c>
    </row>
    <row r="392">
      <c r="A392" s="164">
        <v>43716.14774770833</v>
      </c>
      <c r="B392" s="161" t="s">
        <v>74</v>
      </c>
      <c r="C392" s="162" t="s">
        <v>118</v>
      </c>
      <c r="D392" s="93">
        <v>2.0</v>
      </c>
      <c r="E392" s="93">
        <v>0.0</v>
      </c>
      <c r="F392" s="124" t="s">
        <v>278</v>
      </c>
      <c r="G392" s="124" t="s">
        <v>701</v>
      </c>
      <c r="H392" s="127" t="s">
        <v>430</v>
      </c>
      <c r="I392" s="127">
        <v>-16.0</v>
      </c>
      <c r="J392" s="124" t="s">
        <v>237</v>
      </c>
      <c r="K392" s="124" t="s">
        <v>62</v>
      </c>
      <c r="L392" s="124">
        <v>9999.0</v>
      </c>
    </row>
    <row r="393">
      <c r="A393" s="164">
        <v>43716.14774770833</v>
      </c>
      <c r="B393" s="161" t="s">
        <v>74</v>
      </c>
      <c r="C393" s="162" t="s">
        <v>99</v>
      </c>
      <c r="D393" s="93">
        <v>2.0</v>
      </c>
      <c r="E393" s="93">
        <v>0.0</v>
      </c>
      <c r="F393" s="124" t="s">
        <v>267</v>
      </c>
      <c r="G393" s="124" t="s">
        <v>648</v>
      </c>
      <c r="H393" s="127" t="s">
        <v>430</v>
      </c>
      <c r="I393" s="127" t="s">
        <v>506</v>
      </c>
      <c r="J393" s="124" t="s">
        <v>446</v>
      </c>
      <c r="K393" s="124" t="s">
        <v>38</v>
      </c>
      <c r="L393" s="124">
        <v>9999.0</v>
      </c>
    </row>
    <row r="394">
      <c r="A394" s="164">
        <v>43716.14774770833</v>
      </c>
      <c r="B394" s="161" t="s">
        <v>74</v>
      </c>
      <c r="C394" s="162" t="s">
        <v>88</v>
      </c>
      <c r="D394" s="93">
        <v>2.0</v>
      </c>
      <c r="E394" s="93">
        <v>0.0</v>
      </c>
      <c r="F394" s="124" t="s">
        <v>285</v>
      </c>
      <c r="G394" s="124" t="s">
        <v>715</v>
      </c>
      <c r="H394" s="127" t="s">
        <v>430</v>
      </c>
      <c r="I394" s="127" t="s">
        <v>382</v>
      </c>
      <c r="J394" s="124"/>
      <c r="K394" s="124" t="s">
        <v>288</v>
      </c>
      <c r="L394" s="124">
        <v>9999.0</v>
      </c>
    </row>
    <row r="395">
      <c r="A395" s="164">
        <v>43716.14774770833</v>
      </c>
      <c r="B395" s="161" t="s">
        <v>74</v>
      </c>
      <c r="C395" s="162" t="s">
        <v>160</v>
      </c>
      <c r="D395" s="93">
        <v>2.0</v>
      </c>
      <c r="E395" s="93">
        <v>0.0</v>
      </c>
      <c r="F395" s="124" t="s">
        <v>260</v>
      </c>
      <c r="G395" s="124" t="s">
        <v>707</v>
      </c>
      <c r="H395" s="127" t="s">
        <v>430</v>
      </c>
      <c r="I395" s="127">
        <v>-7.0</v>
      </c>
      <c r="J395" s="124" t="s">
        <v>283</v>
      </c>
      <c r="K395" s="124" t="s">
        <v>69</v>
      </c>
      <c r="L395" s="124">
        <v>9999.0</v>
      </c>
    </row>
    <row r="396">
      <c r="A396" s="164">
        <v>43716.14774770833</v>
      </c>
      <c r="B396" s="161" t="s">
        <v>74</v>
      </c>
      <c r="C396" s="162" t="s">
        <v>174</v>
      </c>
      <c r="D396" s="93">
        <v>2.0</v>
      </c>
      <c r="E396" s="93">
        <v>0.0</v>
      </c>
      <c r="F396" s="124" t="s">
        <v>207</v>
      </c>
      <c r="G396" s="129" t="s">
        <v>659</v>
      </c>
      <c r="H396" s="127" t="s">
        <v>430</v>
      </c>
      <c r="I396" s="127" t="s">
        <v>426</v>
      </c>
      <c r="J396" s="124" t="s">
        <v>462</v>
      </c>
      <c r="K396" s="124" t="s">
        <v>41</v>
      </c>
      <c r="L396" s="124">
        <v>9999.0</v>
      </c>
    </row>
    <row r="397">
      <c r="A397" s="115" t="s">
        <v>359</v>
      </c>
      <c r="B397" s="115" t="s">
        <v>2</v>
      </c>
      <c r="C397" s="153" t="s">
        <v>227</v>
      </c>
      <c r="D397" s="118" t="s">
        <v>29</v>
      </c>
      <c r="E397" s="118" t="s">
        <v>34</v>
      </c>
      <c r="F397" s="119" t="s">
        <v>261</v>
      </c>
      <c r="G397" s="119" t="s">
        <v>245</v>
      </c>
      <c r="H397" s="119" t="s">
        <v>228</v>
      </c>
      <c r="I397" s="119" t="s">
        <v>229</v>
      </c>
      <c r="J397" s="119" t="s">
        <v>262</v>
      </c>
      <c r="K397" s="120" t="s">
        <v>263</v>
      </c>
      <c r="L397" s="120" t="s">
        <v>264</v>
      </c>
    </row>
    <row r="398">
      <c r="A398" s="164">
        <v>43723.14774881944</v>
      </c>
      <c r="B398" s="161" t="s">
        <v>27</v>
      </c>
      <c r="C398" s="162" t="s">
        <v>134</v>
      </c>
      <c r="D398" s="93">
        <v>1.0</v>
      </c>
      <c r="E398" s="93">
        <v>2.0</v>
      </c>
      <c r="F398" s="124" t="s">
        <v>355</v>
      </c>
      <c r="G398" s="124" t="s">
        <v>716</v>
      </c>
      <c r="H398" s="127" t="s">
        <v>430</v>
      </c>
      <c r="I398" s="127">
        <v>17.0</v>
      </c>
      <c r="J398" s="124">
        <v>45.0</v>
      </c>
      <c r="K398" s="124" t="s">
        <v>64</v>
      </c>
      <c r="L398" s="124">
        <v>9999.0</v>
      </c>
    </row>
    <row r="399">
      <c r="A399" s="164">
        <v>43723.14774881944</v>
      </c>
      <c r="B399" s="161" t="s">
        <v>27</v>
      </c>
      <c r="C399" s="162" t="s">
        <v>195</v>
      </c>
      <c r="D399" s="93">
        <v>2.0</v>
      </c>
      <c r="E399" s="93">
        <v>1.0</v>
      </c>
      <c r="F399" s="124" t="s">
        <v>282</v>
      </c>
      <c r="G399" s="124" t="s">
        <v>717</v>
      </c>
      <c r="H399" s="127" t="s">
        <v>430</v>
      </c>
      <c r="I399" s="127">
        <v>-27.0</v>
      </c>
      <c r="J399" s="124" t="s">
        <v>585</v>
      </c>
      <c r="K399" s="124" t="s">
        <v>288</v>
      </c>
      <c r="L399" s="124">
        <v>9999.0</v>
      </c>
    </row>
    <row r="400">
      <c r="A400" s="164">
        <v>43723.14774881944</v>
      </c>
      <c r="B400" s="161" t="s">
        <v>27</v>
      </c>
      <c r="C400" s="162" t="s">
        <v>163</v>
      </c>
      <c r="D400" s="93">
        <v>3.0</v>
      </c>
      <c r="E400" s="93">
        <v>0.0</v>
      </c>
      <c r="F400" s="124" t="s">
        <v>718</v>
      </c>
      <c r="G400" s="124" t="s">
        <v>719</v>
      </c>
      <c r="H400" s="127" t="s">
        <v>430</v>
      </c>
      <c r="I400" s="127">
        <v>-14.0</v>
      </c>
      <c r="J400" s="124" t="s">
        <v>507</v>
      </c>
      <c r="K400" s="124" t="s">
        <v>62</v>
      </c>
      <c r="L400" s="124">
        <v>9999.0</v>
      </c>
    </row>
    <row r="401">
      <c r="A401" s="164">
        <v>43723.14774881944</v>
      </c>
      <c r="B401" s="161" t="s">
        <v>27</v>
      </c>
      <c r="C401" s="162" t="s">
        <v>152</v>
      </c>
      <c r="D401" s="93">
        <v>0.0</v>
      </c>
      <c r="E401" s="93">
        <v>2.0</v>
      </c>
      <c r="F401" s="124" t="s">
        <v>248</v>
      </c>
      <c r="G401" s="124" t="s">
        <v>202</v>
      </c>
      <c r="H401" s="127"/>
      <c r="I401" s="127" t="s">
        <v>203</v>
      </c>
      <c r="J401" s="124" t="s">
        <v>203</v>
      </c>
      <c r="K401" s="124"/>
      <c r="L401" s="124">
        <v>9999.0</v>
      </c>
    </row>
    <row r="402">
      <c r="A402" s="164">
        <v>43723.14774881944</v>
      </c>
      <c r="B402" s="161" t="s">
        <v>27</v>
      </c>
      <c r="C402" s="162" t="s">
        <v>107</v>
      </c>
      <c r="D402" s="93">
        <v>2.0</v>
      </c>
      <c r="E402" s="93">
        <v>0.0</v>
      </c>
      <c r="F402" s="124" t="s">
        <v>268</v>
      </c>
      <c r="G402" s="124" t="s">
        <v>720</v>
      </c>
      <c r="H402" s="127" t="s">
        <v>430</v>
      </c>
      <c r="I402" s="127">
        <v>-35.0</v>
      </c>
      <c r="J402" s="124" t="s">
        <v>419</v>
      </c>
      <c r="K402" s="124" t="s">
        <v>48</v>
      </c>
      <c r="L402" s="124">
        <v>9999.0</v>
      </c>
    </row>
    <row r="403">
      <c r="A403" s="164">
        <v>43723.14774881944</v>
      </c>
      <c r="B403" s="161" t="s">
        <v>27</v>
      </c>
      <c r="C403" s="162" t="s">
        <v>94</v>
      </c>
      <c r="D403" s="93">
        <v>2.0</v>
      </c>
      <c r="E403" s="93">
        <v>1.0</v>
      </c>
      <c r="F403" s="124" t="s">
        <v>285</v>
      </c>
      <c r="G403" s="124" t="s">
        <v>721</v>
      </c>
      <c r="H403" s="127" t="s">
        <v>430</v>
      </c>
      <c r="I403" s="127" t="s">
        <v>393</v>
      </c>
      <c r="J403" s="124" t="s">
        <v>370</v>
      </c>
      <c r="K403" s="124" t="s">
        <v>288</v>
      </c>
      <c r="L403" s="124">
        <v>9999.0</v>
      </c>
    </row>
    <row r="404">
      <c r="A404" s="164">
        <v>43723.14774881944</v>
      </c>
      <c r="B404" s="161" t="s">
        <v>27</v>
      </c>
      <c r="C404" s="162" t="s">
        <v>138</v>
      </c>
      <c r="D404" s="93">
        <v>1.0</v>
      </c>
      <c r="E404" s="93">
        <v>2.0</v>
      </c>
      <c r="F404" s="124" t="s">
        <v>267</v>
      </c>
      <c r="G404" s="124" t="s">
        <v>722</v>
      </c>
      <c r="H404" s="127" t="s">
        <v>430</v>
      </c>
      <c r="I404" s="127" t="s">
        <v>428</v>
      </c>
      <c r="J404" s="124" t="s">
        <v>559</v>
      </c>
      <c r="K404" s="124" t="s">
        <v>74</v>
      </c>
      <c r="L404" s="124">
        <v>9999.0</v>
      </c>
    </row>
    <row r="405">
      <c r="A405" s="164">
        <v>43723.14774881944</v>
      </c>
      <c r="B405" s="161" t="s">
        <v>27</v>
      </c>
      <c r="C405" s="162" t="s">
        <v>116</v>
      </c>
      <c r="D405" s="93">
        <v>2.0</v>
      </c>
      <c r="E405" s="93">
        <v>1.0</v>
      </c>
      <c r="F405" s="124" t="s">
        <v>269</v>
      </c>
      <c r="G405" s="124" t="s">
        <v>723</v>
      </c>
      <c r="H405" s="127" t="s">
        <v>430</v>
      </c>
      <c r="I405" s="127">
        <v>-14.0</v>
      </c>
      <c r="J405" s="124" t="s">
        <v>237</v>
      </c>
      <c r="K405" s="124" t="s">
        <v>44</v>
      </c>
      <c r="L405" s="124">
        <v>9999.0</v>
      </c>
    </row>
    <row r="406">
      <c r="A406" s="164">
        <v>43723.14774881944</v>
      </c>
      <c r="B406" s="161" t="s">
        <v>27</v>
      </c>
      <c r="C406" s="162" t="s">
        <v>114</v>
      </c>
      <c r="D406" s="93">
        <v>3.0</v>
      </c>
      <c r="E406" s="93">
        <v>0.0</v>
      </c>
      <c r="F406" s="124" t="s">
        <v>234</v>
      </c>
      <c r="G406" s="124" t="s">
        <v>724</v>
      </c>
      <c r="H406" s="127" t="s">
        <v>430</v>
      </c>
      <c r="I406" s="127" t="s">
        <v>591</v>
      </c>
      <c r="J406" s="124">
        <v>60.0</v>
      </c>
      <c r="K406" s="124" t="s">
        <v>69</v>
      </c>
      <c r="L406" s="124">
        <v>9999.0</v>
      </c>
    </row>
    <row r="407">
      <c r="A407" s="164">
        <v>43723.14774881944</v>
      </c>
      <c r="B407" s="161" t="s">
        <v>27</v>
      </c>
      <c r="C407" s="162" t="s">
        <v>56</v>
      </c>
      <c r="D407" s="93">
        <v>1.0</v>
      </c>
      <c r="E407" s="93">
        <v>2.0</v>
      </c>
      <c r="F407" s="124" t="s">
        <v>215</v>
      </c>
      <c r="G407" s="129" t="s">
        <v>725</v>
      </c>
      <c r="H407" s="127" t="s">
        <v>430</v>
      </c>
      <c r="I407" s="127">
        <v>14.0</v>
      </c>
      <c r="J407" s="124">
        <v>65.0</v>
      </c>
      <c r="K407" s="124" t="s">
        <v>69</v>
      </c>
      <c r="L407" s="124">
        <v>9999.0</v>
      </c>
    </row>
    <row r="408">
      <c r="A408" s="115" t="s">
        <v>359</v>
      </c>
      <c r="B408" s="115" t="s">
        <v>2</v>
      </c>
      <c r="C408" s="153" t="s">
        <v>227</v>
      </c>
      <c r="D408" s="118" t="s">
        <v>29</v>
      </c>
      <c r="E408" s="118" t="s">
        <v>34</v>
      </c>
      <c r="F408" s="119" t="s">
        <v>261</v>
      </c>
      <c r="G408" s="119" t="s">
        <v>245</v>
      </c>
      <c r="H408" s="119" t="s">
        <v>228</v>
      </c>
      <c r="I408" s="119" t="s">
        <v>229</v>
      </c>
      <c r="J408" s="119" t="s">
        <v>262</v>
      </c>
      <c r="K408" s="120" t="s">
        <v>263</v>
      </c>
      <c r="L408" s="120" t="s">
        <v>264</v>
      </c>
    </row>
    <row r="409">
      <c r="A409" s="164">
        <v>43723.14774881944</v>
      </c>
      <c r="B409" s="161" t="s">
        <v>38</v>
      </c>
      <c r="C409" s="162" t="s">
        <v>129</v>
      </c>
      <c r="D409" s="93">
        <v>1.0</v>
      </c>
      <c r="E409" s="93">
        <v>1.0</v>
      </c>
      <c r="F409" s="124" t="s">
        <v>248</v>
      </c>
      <c r="G409" s="124" t="s">
        <v>202</v>
      </c>
      <c r="H409" s="127"/>
      <c r="I409" s="127" t="s">
        <v>203</v>
      </c>
      <c r="J409" s="124" t="s">
        <v>203</v>
      </c>
      <c r="K409" s="124"/>
      <c r="L409" s="124">
        <v>9999.0</v>
      </c>
    </row>
    <row r="410">
      <c r="A410" s="164">
        <v>43723.14774881944</v>
      </c>
      <c r="B410" s="161" t="s">
        <v>38</v>
      </c>
      <c r="C410" s="162" t="s">
        <v>139</v>
      </c>
      <c r="D410" s="93">
        <v>1.0</v>
      </c>
      <c r="E410" s="93">
        <v>2.0</v>
      </c>
      <c r="F410" s="124" t="s">
        <v>267</v>
      </c>
      <c r="G410" s="124" t="s">
        <v>726</v>
      </c>
      <c r="H410" s="127" t="s">
        <v>430</v>
      </c>
      <c r="I410" s="127" t="s">
        <v>492</v>
      </c>
      <c r="J410" s="124" t="s">
        <v>446</v>
      </c>
      <c r="K410" s="124" t="s">
        <v>69</v>
      </c>
      <c r="L410" s="124">
        <v>9999.0</v>
      </c>
    </row>
    <row r="411">
      <c r="A411" s="164">
        <v>43723.14774881944</v>
      </c>
      <c r="B411" s="161" t="s">
        <v>38</v>
      </c>
      <c r="C411" s="162" t="s">
        <v>198</v>
      </c>
      <c r="D411" s="93">
        <v>0.0</v>
      </c>
      <c r="E411" s="93">
        <v>3.0</v>
      </c>
      <c r="F411" s="124" t="s">
        <v>727</v>
      </c>
      <c r="G411" s="124" t="s">
        <v>728</v>
      </c>
      <c r="H411" s="127" t="s">
        <v>430</v>
      </c>
      <c r="I411" s="127">
        <v>16.0</v>
      </c>
      <c r="J411" s="124">
        <v>50.0</v>
      </c>
      <c r="K411" s="124" t="s">
        <v>38</v>
      </c>
      <c r="L411" s="124">
        <v>9999.0</v>
      </c>
    </row>
    <row r="412">
      <c r="A412" s="164">
        <v>43723.14774881944</v>
      </c>
      <c r="B412" s="161" t="s">
        <v>38</v>
      </c>
      <c r="C412" s="162" t="s">
        <v>156</v>
      </c>
      <c r="D412" s="93">
        <v>3.0</v>
      </c>
      <c r="E412" s="93">
        <v>0.0</v>
      </c>
      <c r="F412" s="124" t="s">
        <v>727</v>
      </c>
      <c r="G412" s="124" t="s">
        <v>728</v>
      </c>
      <c r="H412" s="127" t="s">
        <v>430</v>
      </c>
      <c r="I412" s="127">
        <v>-16.0</v>
      </c>
      <c r="J412" s="124">
        <v>50.0</v>
      </c>
      <c r="K412" s="124" t="s">
        <v>38</v>
      </c>
      <c r="L412" s="124">
        <v>9999.0</v>
      </c>
    </row>
    <row r="413">
      <c r="A413" s="164">
        <v>43723.14774881944</v>
      </c>
      <c r="B413" s="161" t="s">
        <v>38</v>
      </c>
      <c r="C413" s="162" t="s">
        <v>97</v>
      </c>
      <c r="D413" s="93">
        <v>1.0</v>
      </c>
      <c r="E413" s="93">
        <v>1.0</v>
      </c>
      <c r="F413" s="124" t="s">
        <v>269</v>
      </c>
      <c r="G413" s="124" t="s">
        <v>729</v>
      </c>
      <c r="H413" s="127" t="s">
        <v>430</v>
      </c>
      <c r="I413" s="127" t="s">
        <v>428</v>
      </c>
      <c r="J413" s="124" t="s">
        <v>637</v>
      </c>
      <c r="K413" s="124" t="s">
        <v>58</v>
      </c>
      <c r="L413" s="124">
        <v>9999.0</v>
      </c>
    </row>
    <row r="414">
      <c r="A414" s="164">
        <v>43723.14774881944</v>
      </c>
      <c r="B414" s="161" t="s">
        <v>38</v>
      </c>
      <c r="C414" s="162" t="s">
        <v>68</v>
      </c>
      <c r="D414" s="93">
        <v>3.0</v>
      </c>
      <c r="E414" s="93">
        <v>0.0</v>
      </c>
      <c r="F414" s="124" t="s">
        <v>207</v>
      </c>
      <c r="G414" s="124" t="s">
        <v>730</v>
      </c>
      <c r="H414" s="127" t="s">
        <v>430</v>
      </c>
      <c r="I414" s="127" t="s">
        <v>521</v>
      </c>
      <c r="J414" s="124" t="s">
        <v>240</v>
      </c>
      <c r="K414" s="124" t="s">
        <v>62</v>
      </c>
      <c r="L414" s="124">
        <v>9999.0</v>
      </c>
    </row>
    <row r="415">
      <c r="A415" s="164">
        <v>43723.14774881944</v>
      </c>
      <c r="B415" s="161" t="s">
        <v>38</v>
      </c>
      <c r="C415" s="162" t="s">
        <v>172</v>
      </c>
      <c r="D415" s="93">
        <v>3.0</v>
      </c>
      <c r="E415" s="93">
        <v>0.0</v>
      </c>
      <c r="F415" s="124" t="s">
        <v>201</v>
      </c>
      <c r="G415" s="124" t="s">
        <v>731</v>
      </c>
      <c r="H415" s="127" t="s">
        <v>430</v>
      </c>
      <c r="I415" s="127">
        <v>-9.0</v>
      </c>
      <c r="J415" s="124" t="s">
        <v>732</v>
      </c>
      <c r="K415" s="124" t="s">
        <v>48</v>
      </c>
      <c r="L415" s="124">
        <v>9999.0</v>
      </c>
    </row>
    <row r="416">
      <c r="A416" s="164">
        <v>43723.14774881944</v>
      </c>
      <c r="B416" s="161" t="s">
        <v>38</v>
      </c>
      <c r="C416" s="162" t="s">
        <v>32</v>
      </c>
      <c r="D416" s="93">
        <v>1.0</v>
      </c>
      <c r="E416" s="93">
        <v>2.0</v>
      </c>
      <c r="F416" s="124" t="s">
        <v>260</v>
      </c>
      <c r="G416" s="124" t="s">
        <v>733</v>
      </c>
      <c r="H416" s="127" t="s">
        <v>430</v>
      </c>
      <c r="I416" s="127">
        <v>7.0</v>
      </c>
      <c r="J416" s="124">
        <v>54.0</v>
      </c>
      <c r="K416" s="124" t="s">
        <v>44</v>
      </c>
      <c r="L416" s="124">
        <v>9999.0</v>
      </c>
    </row>
    <row r="417">
      <c r="A417" s="164">
        <v>43723.14774881944</v>
      </c>
      <c r="B417" s="161" t="s">
        <v>38</v>
      </c>
      <c r="C417" s="162" t="s">
        <v>178</v>
      </c>
      <c r="D417" s="93">
        <v>3.0</v>
      </c>
      <c r="E417" s="93">
        <v>0.0</v>
      </c>
      <c r="F417" s="124" t="s">
        <v>287</v>
      </c>
      <c r="G417" s="124" t="s">
        <v>734</v>
      </c>
      <c r="H417" s="127" t="s">
        <v>430</v>
      </c>
      <c r="I417" s="127">
        <v>-51.0</v>
      </c>
      <c r="J417" s="124" t="s">
        <v>735</v>
      </c>
      <c r="K417" s="124" t="s">
        <v>288</v>
      </c>
      <c r="L417" s="124">
        <v>9999.0</v>
      </c>
    </row>
    <row r="418">
      <c r="A418" s="164">
        <v>43723.14774881944</v>
      </c>
      <c r="B418" s="161" t="s">
        <v>38</v>
      </c>
      <c r="C418" s="162" t="s">
        <v>113</v>
      </c>
      <c r="D418" s="93">
        <v>2.0</v>
      </c>
      <c r="E418" s="93">
        <v>1.0</v>
      </c>
      <c r="F418" s="124" t="s">
        <v>278</v>
      </c>
      <c r="G418" s="129" t="s">
        <v>736</v>
      </c>
      <c r="H418" s="127" t="s">
        <v>430</v>
      </c>
      <c r="I418" s="127">
        <v>-14.0</v>
      </c>
      <c r="J418" s="124">
        <v>42.0</v>
      </c>
      <c r="K418" s="124" t="s">
        <v>48</v>
      </c>
      <c r="L418" s="124">
        <v>9999.0</v>
      </c>
    </row>
    <row r="419">
      <c r="A419" s="115" t="s">
        <v>359</v>
      </c>
      <c r="B419" s="115" t="s">
        <v>2</v>
      </c>
      <c r="C419" s="153" t="s">
        <v>227</v>
      </c>
      <c r="D419" s="118" t="s">
        <v>29</v>
      </c>
      <c r="E419" s="118" t="s">
        <v>34</v>
      </c>
      <c r="F419" s="119" t="s">
        <v>261</v>
      </c>
      <c r="G419" s="119" t="s">
        <v>245</v>
      </c>
      <c r="H419" s="119" t="s">
        <v>228</v>
      </c>
      <c r="I419" s="119" t="s">
        <v>229</v>
      </c>
      <c r="J419" s="119" t="s">
        <v>262</v>
      </c>
      <c r="K419" s="120" t="s">
        <v>263</v>
      </c>
      <c r="L419" s="120" t="s">
        <v>264</v>
      </c>
    </row>
    <row r="420">
      <c r="A420" s="164">
        <v>43723.14774881944</v>
      </c>
      <c r="B420" s="161" t="s">
        <v>41</v>
      </c>
      <c r="C420" s="162" t="s">
        <v>126</v>
      </c>
      <c r="D420" s="93">
        <v>2.0</v>
      </c>
      <c r="E420" s="93">
        <v>1.0</v>
      </c>
      <c r="F420" s="124" t="s">
        <v>284</v>
      </c>
      <c r="G420" s="124" t="s">
        <v>737</v>
      </c>
      <c r="H420" s="127" t="s">
        <v>430</v>
      </c>
      <c r="I420" s="127" t="s">
        <v>512</v>
      </c>
      <c r="J420" s="124" t="s">
        <v>394</v>
      </c>
      <c r="K420" s="124" t="s">
        <v>41</v>
      </c>
      <c r="L420" s="124">
        <v>9999.0</v>
      </c>
    </row>
    <row r="421">
      <c r="A421" s="164">
        <v>43723.14774881944</v>
      </c>
      <c r="B421" s="161" t="s">
        <v>41</v>
      </c>
      <c r="C421" s="162" t="s">
        <v>146</v>
      </c>
      <c r="D421" s="93">
        <v>1.0</v>
      </c>
      <c r="E421" s="93">
        <v>2.0</v>
      </c>
      <c r="F421" s="124" t="s">
        <v>284</v>
      </c>
      <c r="G421" s="124" t="s">
        <v>737</v>
      </c>
      <c r="H421" s="127" t="s">
        <v>430</v>
      </c>
      <c r="I421" s="127" t="s">
        <v>376</v>
      </c>
      <c r="J421" s="124" t="s">
        <v>394</v>
      </c>
      <c r="K421" s="124" t="s">
        <v>41</v>
      </c>
      <c r="L421" s="124">
        <v>9999.0</v>
      </c>
    </row>
    <row r="422">
      <c r="A422" s="164">
        <v>43723.14774881944</v>
      </c>
      <c r="B422" s="161" t="s">
        <v>41</v>
      </c>
      <c r="C422" s="162" t="s">
        <v>109</v>
      </c>
      <c r="D422" s="93">
        <v>2.0</v>
      </c>
      <c r="E422" s="93">
        <v>1.0</v>
      </c>
      <c r="F422" s="124" t="s">
        <v>207</v>
      </c>
      <c r="G422" s="124" t="s">
        <v>738</v>
      </c>
      <c r="H422" s="127" t="s">
        <v>643</v>
      </c>
      <c r="I422" s="127" t="s">
        <v>739</v>
      </c>
      <c r="J422" s="124" t="s">
        <v>546</v>
      </c>
      <c r="K422" s="124" t="s">
        <v>64</v>
      </c>
      <c r="L422" s="124">
        <v>9999.0</v>
      </c>
    </row>
    <row r="423">
      <c r="A423" s="164">
        <v>43723.14774881944</v>
      </c>
      <c r="B423" s="161" t="s">
        <v>41</v>
      </c>
      <c r="C423" s="162" t="s">
        <v>52</v>
      </c>
      <c r="D423" s="93">
        <v>2.0</v>
      </c>
      <c r="E423" s="93">
        <v>1.0</v>
      </c>
      <c r="F423" s="124" t="s">
        <v>282</v>
      </c>
      <c r="G423" s="124" t="s">
        <v>740</v>
      </c>
      <c r="H423" s="127" t="s">
        <v>430</v>
      </c>
      <c r="I423" s="127">
        <v>-29.0</v>
      </c>
      <c r="J423" s="124">
        <v>55.0</v>
      </c>
      <c r="K423" s="124" t="s">
        <v>288</v>
      </c>
      <c r="L423" s="124">
        <v>9999.0</v>
      </c>
    </row>
    <row r="424">
      <c r="A424" s="164">
        <v>43723.14774881944</v>
      </c>
      <c r="B424" s="161" t="s">
        <v>41</v>
      </c>
      <c r="C424" s="162" t="s">
        <v>91</v>
      </c>
      <c r="D424" s="93">
        <v>1.0</v>
      </c>
      <c r="E424" s="93">
        <v>2.0</v>
      </c>
      <c r="F424" s="124" t="s">
        <v>207</v>
      </c>
      <c r="G424" s="124" t="s">
        <v>741</v>
      </c>
      <c r="H424" s="127" t="s">
        <v>430</v>
      </c>
      <c r="I424" s="127">
        <v>17.0</v>
      </c>
      <c r="J424" s="124">
        <v>52.0</v>
      </c>
      <c r="K424" s="124" t="s">
        <v>53</v>
      </c>
      <c r="L424" s="124">
        <v>9999.0</v>
      </c>
    </row>
    <row r="425">
      <c r="A425" s="164">
        <v>43723.14774881944</v>
      </c>
      <c r="B425" s="161" t="s">
        <v>41</v>
      </c>
      <c r="C425" s="162" t="s">
        <v>111</v>
      </c>
      <c r="D425" s="93">
        <v>2.0</v>
      </c>
      <c r="E425" s="93">
        <v>1.0</v>
      </c>
      <c r="F425" s="124" t="s">
        <v>260</v>
      </c>
      <c r="G425" s="124" t="s">
        <v>742</v>
      </c>
      <c r="H425" s="127" t="s">
        <v>430</v>
      </c>
      <c r="I425" s="127">
        <v>-7.0</v>
      </c>
      <c r="J425" s="124">
        <v>64.0</v>
      </c>
      <c r="K425" s="124" t="s">
        <v>64</v>
      </c>
      <c r="L425" s="124">
        <v>9999.0</v>
      </c>
    </row>
    <row r="426">
      <c r="A426" s="164">
        <v>43723.14774881944</v>
      </c>
      <c r="B426" s="161" t="s">
        <v>41</v>
      </c>
      <c r="C426" s="162" t="s">
        <v>180</v>
      </c>
      <c r="D426" s="93">
        <v>2.0</v>
      </c>
      <c r="E426" s="93">
        <v>1.0</v>
      </c>
      <c r="F426" s="124" t="s">
        <v>743</v>
      </c>
      <c r="G426" s="124" t="s">
        <v>744</v>
      </c>
      <c r="H426" s="127" t="s">
        <v>430</v>
      </c>
      <c r="I426" s="127">
        <v>-34.0</v>
      </c>
      <c r="J426" s="124">
        <v>67.0</v>
      </c>
      <c r="K426" s="124" t="s">
        <v>288</v>
      </c>
      <c r="L426" s="124">
        <v>9999.0</v>
      </c>
    </row>
    <row r="427">
      <c r="A427" s="164">
        <v>43723.14774881944</v>
      </c>
      <c r="B427" s="161" t="s">
        <v>41</v>
      </c>
      <c r="C427" s="162" t="s">
        <v>168</v>
      </c>
      <c r="D427" s="93">
        <v>0.0</v>
      </c>
      <c r="E427" s="93">
        <v>3.0</v>
      </c>
      <c r="F427" s="124" t="s">
        <v>278</v>
      </c>
      <c r="G427" s="124" t="s">
        <v>745</v>
      </c>
      <c r="H427" s="127" t="s">
        <v>430</v>
      </c>
      <c r="I427" s="127">
        <v>23.0</v>
      </c>
      <c r="J427" s="124" t="s">
        <v>487</v>
      </c>
      <c r="K427" s="124" t="s">
        <v>53</v>
      </c>
      <c r="L427" s="124">
        <v>9999.0</v>
      </c>
    </row>
    <row r="428">
      <c r="A428" s="164">
        <v>43723.14774881944</v>
      </c>
      <c r="B428" s="161" t="s">
        <v>41</v>
      </c>
      <c r="C428" s="162" t="s">
        <v>159</v>
      </c>
      <c r="D428" s="93">
        <v>1.0</v>
      </c>
      <c r="E428" s="93">
        <v>1.0</v>
      </c>
      <c r="F428" s="124" t="s">
        <v>248</v>
      </c>
      <c r="G428" s="124" t="s">
        <v>202</v>
      </c>
      <c r="H428" s="127"/>
      <c r="I428" s="127" t="s">
        <v>203</v>
      </c>
      <c r="J428" s="124" t="s">
        <v>203</v>
      </c>
      <c r="K428" s="124"/>
      <c r="L428" s="124">
        <v>9999.0</v>
      </c>
    </row>
    <row r="429">
      <c r="A429" s="164">
        <v>43723.14774881944</v>
      </c>
      <c r="B429" s="161" t="s">
        <v>41</v>
      </c>
      <c r="C429" s="162" t="s">
        <v>190</v>
      </c>
      <c r="D429" s="93">
        <v>2.0</v>
      </c>
      <c r="E429" s="93">
        <v>1.0</v>
      </c>
      <c r="F429" s="124" t="s">
        <v>248</v>
      </c>
      <c r="G429" s="129" t="s">
        <v>746</v>
      </c>
      <c r="H429" s="127" t="s">
        <v>430</v>
      </c>
      <c r="I429" s="127">
        <v>-47.0</v>
      </c>
      <c r="J429" s="124">
        <v>75.0</v>
      </c>
      <c r="K429" s="124" t="s">
        <v>288</v>
      </c>
      <c r="L429" s="124">
        <v>9999.0</v>
      </c>
    </row>
    <row r="430">
      <c r="A430" s="115" t="s">
        <v>359</v>
      </c>
      <c r="B430" s="115" t="s">
        <v>2</v>
      </c>
      <c r="C430" s="153" t="s">
        <v>227</v>
      </c>
      <c r="D430" s="118" t="s">
        <v>29</v>
      </c>
      <c r="E430" s="118" t="s">
        <v>34</v>
      </c>
      <c r="F430" s="119" t="s">
        <v>261</v>
      </c>
      <c r="G430" s="119" t="s">
        <v>245</v>
      </c>
      <c r="H430" s="119" t="s">
        <v>228</v>
      </c>
      <c r="I430" s="119" t="s">
        <v>229</v>
      </c>
      <c r="J430" s="119" t="s">
        <v>262</v>
      </c>
      <c r="K430" s="120" t="s">
        <v>263</v>
      </c>
      <c r="L430" s="120" t="s">
        <v>264</v>
      </c>
    </row>
    <row r="431">
      <c r="A431" s="164">
        <v>43723.14774881944</v>
      </c>
      <c r="B431" s="161" t="s">
        <v>44</v>
      </c>
      <c r="C431" s="162" t="s">
        <v>145</v>
      </c>
      <c r="D431" s="93">
        <v>1.0</v>
      </c>
      <c r="E431" s="93">
        <v>2.0</v>
      </c>
      <c r="F431" s="124" t="s">
        <v>269</v>
      </c>
      <c r="G431" s="124" t="s">
        <v>723</v>
      </c>
      <c r="H431" s="127" t="s">
        <v>430</v>
      </c>
      <c r="I431" s="127">
        <v>14.0</v>
      </c>
      <c r="J431" s="124" t="s">
        <v>237</v>
      </c>
      <c r="K431" s="124" t="s">
        <v>27</v>
      </c>
      <c r="L431" s="124">
        <v>9999.0</v>
      </c>
    </row>
    <row r="432">
      <c r="A432" s="164">
        <v>43723.14774881944</v>
      </c>
      <c r="B432" s="161" t="s">
        <v>44</v>
      </c>
      <c r="C432" s="162" t="s">
        <v>132</v>
      </c>
      <c r="D432" s="93">
        <v>2.0</v>
      </c>
      <c r="E432" s="93">
        <v>1.0</v>
      </c>
      <c r="F432" s="124" t="s">
        <v>267</v>
      </c>
      <c r="G432" s="124" t="s">
        <v>747</v>
      </c>
      <c r="H432" s="127" t="s">
        <v>430</v>
      </c>
      <c r="I432" s="127" t="s">
        <v>748</v>
      </c>
      <c r="J432" s="124">
        <v>69.0</v>
      </c>
      <c r="K432" s="124" t="s">
        <v>288</v>
      </c>
      <c r="L432" s="124">
        <v>9999.0</v>
      </c>
    </row>
    <row r="433">
      <c r="A433" s="164">
        <v>43723.14774881944</v>
      </c>
      <c r="B433" s="161" t="s">
        <v>44</v>
      </c>
      <c r="C433" s="162" t="s">
        <v>173</v>
      </c>
      <c r="D433" s="93">
        <v>2.0</v>
      </c>
      <c r="E433" s="93">
        <v>1.0</v>
      </c>
      <c r="F433" s="124" t="s">
        <v>287</v>
      </c>
      <c r="G433" s="124" t="s">
        <v>749</v>
      </c>
      <c r="H433" s="127" t="s">
        <v>430</v>
      </c>
      <c r="I433" s="127" t="s">
        <v>275</v>
      </c>
      <c r="J433" s="124" t="s">
        <v>412</v>
      </c>
      <c r="K433" s="124" t="s">
        <v>69</v>
      </c>
      <c r="L433" s="124">
        <v>9999.0</v>
      </c>
    </row>
    <row r="434">
      <c r="A434" s="164">
        <v>43723.14774881944</v>
      </c>
      <c r="B434" s="161" t="s">
        <v>44</v>
      </c>
      <c r="C434" s="162" t="s">
        <v>37</v>
      </c>
      <c r="D434" s="93">
        <v>2.0</v>
      </c>
      <c r="E434" s="93">
        <v>0.0</v>
      </c>
      <c r="F434" s="124" t="s">
        <v>260</v>
      </c>
      <c r="G434" s="124" t="s">
        <v>733</v>
      </c>
      <c r="H434" s="127" t="s">
        <v>430</v>
      </c>
      <c r="I434" s="127">
        <v>-7.0</v>
      </c>
      <c r="J434" s="124">
        <v>54.0</v>
      </c>
      <c r="K434" s="124" t="s">
        <v>38</v>
      </c>
      <c r="L434" s="124">
        <v>9999.0</v>
      </c>
    </row>
    <row r="435">
      <c r="A435" s="164">
        <v>43723.14774881944</v>
      </c>
      <c r="B435" s="161" t="s">
        <v>44</v>
      </c>
      <c r="C435" s="162" t="s">
        <v>150</v>
      </c>
      <c r="D435" s="93">
        <v>3.0</v>
      </c>
      <c r="E435" s="93">
        <v>0.0</v>
      </c>
      <c r="F435" s="124" t="s">
        <v>215</v>
      </c>
      <c r="G435" s="124" t="s">
        <v>750</v>
      </c>
      <c r="H435" s="127" t="s">
        <v>430</v>
      </c>
      <c r="I435" s="127" t="s">
        <v>751</v>
      </c>
      <c r="J435" s="124">
        <v>54.0</v>
      </c>
      <c r="K435" s="124" t="s">
        <v>288</v>
      </c>
      <c r="L435" s="124">
        <v>9999.0</v>
      </c>
    </row>
    <row r="436">
      <c r="A436" s="164">
        <v>43723.14774881944</v>
      </c>
      <c r="B436" s="161" t="s">
        <v>44</v>
      </c>
      <c r="C436" s="162" t="s">
        <v>122</v>
      </c>
      <c r="D436" s="93">
        <v>2.0</v>
      </c>
      <c r="E436" s="93">
        <v>0.0</v>
      </c>
      <c r="F436" s="124" t="s">
        <v>248</v>
      </c>
      <c r="G436" s="124" t="s">
        <v>202</v>
      </c>
      <c r="H436" s="127"/>
      <c r="I436" s="127" t="s">
        <v>203</v>
      </c>
      <c r="J436" s="124" t="s">
        <v>203</v>
      </c>
      <c r="K436" s="124"/>
      <c r="L436" s="124">
        <v>9999.0</v>
      </c>
    </row>
    <row r="437">
      <c r="A437" s="164">
        <v>43723.14774881944</v>
      </c>
      <c r="B437" s="161" t="s">
        <v>44</v>
      </c>
      <c r="C437" s="162" t="s">
        <v>61</v>
      </c>
      <c r="D437" s="93">
        <v>2.0</v>
      </c>
      <c r="E437" s="93">
        <v>1.0</v>
      </c>
      <c r="F437" s="124" t="s">
        <v>285</v>
      </c>
      <c r="G437" s="124" t="s">
        <v>752</v>
      </c>
      <c r="H437" s="127" t="s">
        <v>430</v>
      </c>
      <c r="I437" s="127">
        <v>-21.0</v>
      </c>
      <c r="J437" s="124">
        <v>53.0</v>
      </c>
      <c r="K437" s="124" t="s">
        <v>64</v>
      </c>
      <c r="L437" s="124">
        <v>9999.0</v>
      </c>
    </row>
    <row r="438">
      <c r="A438" s="164">
        <v>43723.14774881944</v>
      </c>
      <c r="B438" s="161" t="s">
        <v>44</v>
      </c>
      <c r="C438" s="162" t="s">
        <v>188</v>
      </c>
      <c r="D438" s="93">
        <v>1.0</v>
      </c>
      <c r="E438" s="93">
        <v>2.0</v>
      </c>
      <c r="F438" s="124" t="s">
        <v>266</v>
      </c>
      <c r="G438" s="124" t="s">
        <v>753</v>
      </c>
      <c r="H438" s="127" t="s">
        <v>430</v>
      </c>
      <c r="I438" s="127" t="s">
        <v>251</v>
      </c>
      <c r="J438" s="124">
        <v>46.0</v>
      </c>
      <c r="K438" s="124" t="s">
        <v>64</v>
      </c>
      <c r="L438" s="124">
        <v>9999.0</v>
      </c>
    </row>
    <row r="439">
      <c r="A439" s="164">
        <v>43723.14774881944</v>
      </c>
      <c r="B439" s="161" t="s">
        <v>44</v>
      </c>
      <c r="C439" s="162" t="s">
        <v>104</v>
      </c>
      <c r="D439" s="93">
        <v>2.0</v>
      </c>
      <c r="E439" s="93">
        <v>1.0</v>
      </c>
      <c r="F439" s="124" t="s">
        <v>201</v>
      </c>
      <c r="G439" s="124" t="s">
        <v>754</v>
      </c>
      <c r="H439" s="127" t="s">
        <v>430</v>
      </c>
      <c r="I439" s="127" t="s">
        <v>451</v>
      </c>
      <c r="J439" s="124" t="s">
        <v>755</v>
      </c>
      <c r="K439" s="124" t="s">
        <v>44</v>
      </c>
      <c r="L439" s="124">
        <v>9999.0</v>
      </c>
    </row>
    <row r="440">
      <c r="A440" s="164">
        <v>43723.14774881944</v>
      </c>
      <c r="B440" s="161" t="s">
        <v>44</v>
      </c>
      <c r="C440" s="162" t="s">
        <v>161</v>
      </c>
      <c r="D440" s="93">
        <v>2.0</v>
      </c>
      <c r="E440" s="93">
        <v>1.0</v>
      </c>
      <c r="F440" s="124" t="s">
        <v>201</v>
      </c>
      <c r="G440" s="129" t="s">
        <v>754</v>
      </c>
      <c r="H440" s="127" t="s">
        <v>430</v>
      </c>
      <c r="I440" s="127" t="s">
        <v>428</v>
      </c>
      <c r="J440" s="124" t="s">
        <v>755</v>
      </c>
      <c r="K440" s="124" t="s">
        <v>44</v>
      </c>
      <c r="L440" s="124">
        <v>9999.0</v>
      </c>
    </row>
    <row r="441">
      <c r="A441" s="115" t="s">
        <v>359</v>
      </c>
      <c r="B441" s="115" t="s">
        <v>2</v>
      </c>
      <c r="C441" s="153" t="s">
        <v>227</v>
      </c>
      <c r="D441" s="118" t="s">
        <v>29</v>
      </c>
      <c r="E441" s="118" t="s">
        <v>34</v>
      </c>
      <c r="F441" s="119" t="s">
        <v>261</v>
      </c>
      <c r="G441" s="119" t="s">
        <v>245</v>
      </c>
      <c r="H441" s="119" t="s">
        <v>228</v>
      </c>
      <c r="I441" s="119" t="s">
        <v>229</v>
      </c>
      <c r="J441" s="119" t="s">
        <v>262</v>
      </c>
      <c r="K441" s="120" t="s">
        <v>263</v>
      </c>
      <c r="L441" s="120" t="s">
        <v>264</v>
      </c>
    </row>
    <row r="442">
      <c r="A442" s="164">
        <v>43723.14774881944</v>
      </c>
      <c r="B442" s="161" t="s">
        <v>48</v>
      </c>
      <c r="C442" s="162" t="s">
        <v>105</v>
      </c>
      <c r="D442" s="93">
        <v>2.0</v>
      </c>
      <c r="E442" s="93">
        <v>1.0</v>
      </c>
      <c r="F442" s="124" t="s">
        <v>269</v>
      </c>
      <c r="G442" s="124" t="s">
        <v>756</v>
      </c>
      <c r="H442" s="127" t="s">
        <v>430</v>
      </c>
      <c r="I442" s="127" t="s">
        <v>247</v>
      </c>
      <c r="J442" s="124">
        <v>47.0</v>
      </c>
      <c r="K442" s="124" t="s">
        <v>74</v>
      </c>
      <c r="L442" s="124">
        <v>9999.0</v>
      </c>
    </row>
    <row r="443">
      <c r="A443" s="164">
        <v>43723.14774881944</v>
      </c>
      <c r="B443" s="161" t="s">
        <v>48</v>
      </c>
      <c r="C443" s="162" t="s">
        <v>90</v>
      </c>
      <c r="D443" s="93">
        <v>2.0</v>
      </c>
      <c r="E443" s="93">
        <v>1.0</v>
      </c>
      <c r="F443" s="124" t="s">
        <v>248</v>
      </c>
      <c r="G443" s="124" t="s">
        <v>757</v>
      </c>
      <c r="H443" s="127" t="s">
        <v>430</v>
      </c>
      <c r="I443" s="127">
        <v>3.0</v>
      </c>
      <c r="J443" s="124">
        <v>67.0</v>
      </c>
      <c r="K443" s="124" t="s">
        <v>60</v>
      </c>
      <c r="L443" s="124">
        <v>9999.0</v>
      </c>
    </row>
    <row r="444">
      <c r="A444" s="164">
        <v>43723.14774881944</v>
      </c>
      <c r="B444" s="161" t="s">
        <v>48</v>
      </c>
      <c r="C444" s="162" t="s">
        <v>187</v>
      </c>
      <c r="D444" s="93">
        <v>1.0</v>
      </c>
      <c r="E444" s="93">
        <v>2.0</v>
      </c>
      <c r="F444" s="124" t="s">
        <v>215</v>
      </c>
      <c r="G444" s="124" t="s">
        <v>758</v>
      </c>
      <c r="H444" s="127" t="s">
        <v>430</v>
      </c>
      <c r="I444" s="127" t="s">
        <v>454</v>
      </c>
      <c r="J444" s="124">
        <v>58.0</v>
      </c>
      <c r="K444" s="124" t="s">
        <v>48</v>
      </c>
      <c r="L444" s="124">
        <v>9999.0</v>
      </c>
    </row>
    <row r="445">
      <c r="A445" s="164">
        <v>43723.14774881944</v>
      </c>
      <c r="B445" s="161" t="s">
        <v>48</v>
      </c>
      <c r="C445" s="162" t="s">
        <v>155</v>
      </c>
      <c r="D445" s="93">
        <v>1.0</v>
      </c>
      <c r="E445" s="93">
        <v>1.0</v>
      </c>
      <c r="F445" s="124" t="s">
        <v>268</v>
      </c>
      <c r="G445" s="124" t="s">
        <v>720</v>
      </c>
      <c r="H445" s="127" t="s">
        <v>430</v>
      </c>
      <c r="I445" s="127">
        <v>35.0</v>
      </c>
      <c r="J445" s="124" t="s">
        <v>419</v>
      </c>
      <c r="K445" s="124" t="s">
        <v>27</v>
      </c>
      <c r="L445" s="124">
        <v>9999.0</v>
      </c>
    </row>
    <row r="446">
      <c r="A446" s="164">
        <v>43723.14774881944</v>
      </c>
      <c r="B446" s="161" t="s">
        <v>48</v>
      </c>
      <c r="C446" s="162" t="s">
        <v>162</v>
      </c>
      <c r="D446" s="93">
        <v>3.0</v>
      </c>
      <c r="E446" s="93">
        <v>0.0</v>
      </c>
      <c r="F446" s="124" t="s">
        <v>278</v>
      </c>
      <c r="G446" s="124" t="s">
        <v>736</v>
      </c>
      <c r="H446" s="127" t="s">
        <v>430</v>
      </c>
      <c r="I446" s="127">
        <v>14.0</v>
      </c>
      <c r="J446" s="124">
        <v>42.0</v>
      </c>
      <c r="K446" s="124" t="s">
        <v>38</v>
      </c>
      <c r="L446" s="124">
        <v>9999.0</v>
      </c>
    </row>
    <row r="447">
      <c r="A447" s="164">
        <v>43723.14774881944</v>
      </c>
      <c r="B447" s="161" t="s">
        <v>48</v>
      </c>
      <c r="C447" s="162" t="s">
        <v>120</v>
      </c>
      <c r="D447" s="93">
        <v>1.0</v>
      </c>
      <c r="E447" s="93">
        <v>2.0</v>
      </c>
      <c r="F447" s="124" t="s">
        <v>266</v>
      </c>
      <c r="G447" s="124" t="s">
        <v>759</v>
      </c>
      <c r="H447" s="127" t="s">
        <v>430</v>
      </c>
      <c r="I447" s="127" t="s">
        <v>428</v>
      </c>
      <c r="J447" s="124">
        <v>51.0</v>
      </c>
      <c r="K447" s="124" t="s">
        <v>62</v>
      </c>
      <c r="L447" s="124">
        <v>9999.0</v>
      </c>
    </row>
    <row r="448">
      <c r="A448" s="164">
        <v>43723.14774881944</v>
      </c>
      <c r="B448" s="161" t="s">
        <v>48</v>
      </c>
      <c r="C448" s="162" t="s">
        <v>144</v>
      </c>
      <c r="D448" s="93">
        <v>1.0</v>
      </c>
      <c r="E448" s="93">
        <v>2.0</v>
      </c>
      <c r="F448" s="124" t="s">
        <v>248</v>
      </c>
      <c r="G448" s="124" t="s">
        <v>760</v>
      </c>
      <c r="H448" s="127" t="s">
        <v>430</v>
      </c>
      <c r="I448" s="127">
        <v>17.0</v>
      </c>
      <c r="J448" s="124">
        <v>49.0</v>
      </c>
      <c r="K448" s="124" t="s">
        <v>62</v>
      </c>
      <c r="L448" s="124">
        <v>9999.0</v>
      </c>
    </row>
    <row r="449">
      <c r="A449" s="164">
        <v>43723.14774881944</v>
      </c>
      <c r="B449" s="161" t="s">
        <v>48</v>
      </c>
      <c r="C449" s="162" t="s">
        <v>176</v>
      </c>
      <c r="D449" s="93">
        <v>3.0</v>
      </c>
      <c r="E449" s="93">
        <v>0.0</v>
      </c>
      <c r="F449" s="124" t="s">
        <v>215</v>
      </c>
      <c r="G449" s="124" t="s">
        <v>758</v>
      </c>
      <c r="H449" s="127" t="s">
        <v>430</v>
      </c>
      <c r="I449" s="127" t="s">
        <v>495</v>
      </c>
      <c r="J449" s="124">
        <v>58.0</v>
      </c>
      <c r="K449" s="124" t="s">
        <v>48</v>
      </c>
      <c r="L449" s="124">
        <v>9999.0</v>
      </c>
    </row>
    <row r="450">
      <c r="A450" s="164">
        <v>43723.14774881944</v>
      </c>
      <c r="B450" s="161" t="s">
        <v>48</v>
      </c>
      <c r="C450" s="162" t="s">
        <v>127</v>
      </c>
      <c r="D450" s="93">
        <v>1.0</v>
      </c>
      <c r="E450" s="93">
        <v>2.0</v>
      </c>
      <c r="F450" s="124" t="s">
        <v>284</v>
      </c>
      <c r="G450" s="124" t="s">
        <v>761</v>
      </c>
      <c r="H450" s="127" t="s">
        <v>430</v>
      </c>
      <c r="I450" s="127" t="s">
        <v>247</v>
      </c>
      <c r="J450" s="124" t="s">
        <v>507</v>
      </c>
      <c r="K450" s="124" t="s">
        <v>58</v>
      </c>
      <c r="L450" s="124">
        <v>9999.0</v>
      </c>
    </row>
    <row r="451">
      <c r="A451" s="164">
        <v>43723.14774881944</v>
      </c>
      <c r="B451" s="161" t="s">
        <v>48</v>
      </c>
      <c r="C451" s="162" t="s">
        <v>33</v>
      </c>
      <c r="D451" s="93">
        <v>1.0</v>
      </c>
      <c r="E451" s="93">
        <v>2.0</v>
      </c>
      <c r="F451" s="124" t="s">
        <v>201</v>
      </c>
      <c r="G451" s="129" t="s">
        <v>731</v>
      </c>
      <c r="H451" s="127" t="s">
        <v>430</v>
      </c>
      <c r="I451" s="127">
        <v>9.0</v>
      </c>
      <c r="J451" s="124" t="s">
        <v>732</v>
      </c>
      <c r="K451" s="124" t="s">
        <v>38</v>
      </c>
      <c r="L451" s="124">
        <v>9999.0</v>
      </c>
    </row>
    <row r="452">
      <c r="A452" s="115" t="s">
        <v>359</v>
      </c>
      <c r="B452" s="115" t="s">
        <v>2</v>
      </c>
      <c r="C452" s="153" t="s">
        <v>227</v>
      </c>
      <c r="D452" s="118" t="s">
        <v>29</v>
      </c>
      <c r="E452" s="118" t="s">
        <v>34</v>
      </c>
      <c r="F452" s="119" t="s">
        <v>261</v>
      </c>
      <c r="G452" s="119" t="s">
        <v>245</v>
      </c>
      <c r="H452" s="119" t="s">
        <v>228</v>
      </c>
      <c r="I452" s="119" t="s">
        <v>229</v>
      </c>
      <c r="J452" s="119" t="s">
        <v>262</v>
      </c>
      <c r="K452" s="120" t="s">
        <v>263</v>
      </c>
      <c r="L452" s="120" t="s">
        <v>264</v>
      </c>
    </row>
    <row r="453">
      <c r="A453" s="164">
        <v>43723.14774881944</v>
      </c>
      <c r="B453" s="161" t="s">
        <v>53</v>
      </c>
      <c r="C453" s="162" t="s">
        <v>164</v>
      </c>
      <c r="D453" s="93">
        <v>2.0</v>
      </c>
      <c r="E453" s="93">
        <v>1.0</v>
      </c>
      <c r="F453" s="124" t="s">
        <v>273</v>
      </c>
      <c r="G453" s="124" t="s">
        <v>762</v>
      </c>
      <c r="H453" s="127" t="s">
        <v>643</v>
      </c>
      <c r="I453" s="127">
        <v>-4.0</v>
      </c>
      <c r="J453" s="124" t="s">
        <v>446</v>
      </c>
      <c r="K453" s="124" t="s">
        <v>60</v>
      </c>
      <c r="L453" s="124">
        <v>9999.0</v>
      </c>
    </row>
    <row r="454">
      <c r="A454" s="164">
        <v>43723.14774881944</v>
      </c>
      <c r="B454" s="161" t="s">
        <v>53</v>
      </c>
      <c r="C454" s="162" t="s">
        <v>191</v>
      </c>
      <c r="D454" s="93">
        <v>1.0</v>
      </c>
      <c r="E454" s="93">
        <v>1.0</v>
      </c>
      <c r="F454" s="124" t="s">
        <v>248</v>
      </c>
      <c r="G454" s="124" t="s">
        <v>202</v>
      </c>
      <c r="H454" s="127"/>
      <c r="I454" s="127" t="s">
        <v>203</v>
      </c>
      <c r="J454" s="124" t="s">
        <v>203</v>
      </c>
      <c r="K454" s="124"/>
      <c r="L454" s="124">
        <v>9999.0</v>
      </c>
    </row>
    <row r="455">
      <c r="A455" s="164">
        <v>43723.14774881944</v>
      </c>
      <c r="B455" s="161" t="s">
        <v>53</v>
      </c>
      <c r="C455" s="162" t="s">
        <v>148</v>
      </c>
      <c r="D455" s="93">
        <v>2.0</v>
      </c>
      <c r="E455" s="93">
        <v>1.0</v>
      </c>
      <c r="F455" s="124" t="s">
        <v>267</v>
      </c>
      <c r="G455" s="124" t="s">
        <v>763</v>
      </c>
      <c r="H455" s="127" t="s">
        <v>430</v>
      </c>
      <c r="I455" s="127" t="s">
        <v>275</v>
      </c>
      <c r="J455" s="124" t="s">
        <v>764</v>
      </c>
      <c r="K455" s="124" t="s">
        <v>60</v>
      </c>
      <c r="L455" s="124">
        <v>9999.0</v>
      </c>
    </row>
    <row r="456">
      <c r="A456" s="164">
        <v>43723.14774881944</v>
      </c>
      <c r="B456" s="161" t="s">
        <v>53</v>
      </c>
      <c r="C456" s="162" t="s">
        <v>157</v>
      </c>
      <c r="D456" s="93">
        <v>1.0</v>
      </c>
      <c r="E456" s="93">
        <v>1.0</v>
      </c>
      <c r="F456" s="124" t="s">
        <v>248</v>
      </c>
      <c r="G456" s="124" t="s">
        <v>202</v>
      </c>
      <c r="H456" s="127"/>
      <c r="I456" s="127" t="s">
        <v>203</v>
      </c>
      <c r="J456" s="124" t="s">
        <v>203</v>
      </c>
      <c r="K456" s="124"/>
      <c r="L456" s="124">
        <v>9999.0</v>
      </c>
    </row>
    <row r="457">
      <c r="A457" s="164">
        <v>43723.14774881944</v>
      </c>
      <c r="B457" s="161" t="s">
        <v>53</v>
      </c>
      <c r="C457" s="162" t="s">
        <v>93</v>
      </c>
      <c r="D457" s="93">
        <v>3.0</v>
      </c>
      <c r="E457" s="93">
        <v>0.0</v>
      </c>
      <c r="F457" s="124" t="s">
        <v>285</v>
      </c>
      <c r="G457" s="124" t="s">
        <v>765</v>
      </c>
      <c r="H457" s="127" t="s">
        <v>430</v>
      </c>
      <c r="I457" s="127">
        <v>-7.0</v>
      </c>
      <c r="J457" s="124">
        <v>57.0</v>
      </c>
      <c r="K457" s="124" t="s">
        <v>64</v>
      </c>
      <c r="L457" s="124">
        <v>9999.0</v>
      </c>
    </row>
    <row r="458">
      <c r="A458" s="164">
        <v>43723.14774881944</v>
      </c>
      <c r="B458" s="161" t="s">
        <v>53</v>
      </c>
      <c r="C458" s="162" t="s">
        <v>136</v>
      </c>
      <c r="D458" s="93">
        <v>2.0</v>
      </c>
      <c r="E458" s="93">
        <v>0.0</v>
      </c>
      <c r="F458" s="124" t="s">
        <v>248</v>
      </c>
      <c r="G458" s="124" t="s">
        <v>202</v>
      </c>
      <c r="H458" s="127"/>
      <c r="I458" s="127" t="s">
        <v>203</v>
      </c>
      <c r="J458" s="124" t="s">
        <v>203</v>
      </c>
      <c r="K458" s="124"/>
      <c r="L458" s="124">
        <v>9999.0</v>
      </c>
    </row>
    <row r="459">
      <c r="A459" s="164">
        <v>43723.14774881944</v>
      </c>
      <c r="B459" s="161" t="s">
        <v>53</v>
      </c>
      <c r="C459" s="162" t="s">
        <v>179</v>
      </c>
      <c r="D459" s="93">
        <v>2.0</v>
      </c>
      <c r="E459" s="93">
        <v>1.0</v>
      </c>
      <c r="F459" s="124" t="s">
        <v>201</v>
      </c>
      <c r="G459" s="124" t="s">
        <v>766</v>
      </c>
      <c r="H459" s="127" t="s">
        <v>430</v>
      </c>
      <c r="I459" s="127" t="s">
        <v>286</v>
      </c>
      <c r="J459" s="124" t="s">
        <v>387</v>
      </c>
      <c r="K459" s="124" t="s">
        <v>74</v>
      </c>
      <c r="L459" s="124">
        <v>9999.0</v>
      </c>
    </row>
    <row r="460">
      <c r="A460" s="164">
        <v>43723.14774881944</v>
      </c>
      <c r="B460" s="161" t="s">
        <v>53</v>
      </c>
      <c r="C460" s="162" t="s">
        <v>100</v>
      </c>
      <c r="D460" s="93">
        <v>3.0</v>
      </c>
      <c r="E460" s="93">
        <v>0.0</v>
      </c>
      <c r="F460" s="124" t="s">
        <v>278</v>
      </c>
      <c r="G460" s="124" t="s">
        <v>745</v>
      </c>
      <c r="H460" s="127" t="s">
        <v>430</v>
      </c>
      <c r="I460" s="127">
        <v>-23.0</v>
      </c>
      <c r="J460" s="124" t="s">
        <v>487</v>
      </c>
      <c r="K460" s="124" t="s">
        <v>41</v>
      </c>
      <c r="L460" s="124">
        <v>9999.0</v>
      </c>
    </row>
    <row r="461">
      <c r="A461" s="164">
        <v>43723.14774881944</v>
      </c>
      <c r="B461" s="161" t="s">
        <v>53</v>
      </c>
      <c r="C461" s="162" t="s">
        <v>42</v>
      </c>
      <c r="D461" s="93">
        <v>3.0</v>
      </c>
      <c r="E461" s="93">
        <v>0.0</v>
      </c>
      <c r="F461" s="124" t="s">
        <v>282</v>
      </c>
      <c r="G461" s="124" t="s">
        <v>767</v>
      </c>
      <c r="H461" s="127" t="s">
        <v>430</v>
      </c>
      <c r="I461" s="127" t="s">
        <v>426</v>
      </c>
      <c r="J461" s="124" t="s">
        <v>397</v>
      </c>
      <c r="K461" s="124" t="s">
        <v>69</v>
      </c>
      <c r="L461" s="124">
        <v>9999.0</v>
      </c>
    </row>
    <row r="462">
      <c r="A462" s="164">
        <v>43723.14774881944</v>
      </c>
      <c r="B462" s="161" t="s">
        <v>53</v>
      </c>
      <c r="C462" s="162" t="s">
        <v>119</v>
      </c>
      <c r="D462" s="93">
        <v>3.0</v>
      </c>
      <c r="E462" s="93">
        <v>0.0</v>
      </c>
      <c r="F462" s="124" t="s">
        <v>207</v>
      </c>
      <c r="G462" s="129" t="s">
        <v>741</v>
      </c>
      <c r="H462" s="127" t="s">
        <v>430</v>
      </c>
      <c r="I462" s="127">
        <v>-17.0</v>
      </c>
      <c r="J462" s="124">
        <v>52.0</v>
      </c>
      <c r="K462" s="124" t="s">
        <v>41</v>
      </c>
      <c r="L462" s="124">
        <v>9999.0</v>
      </c>
    </row>
    <row r="463">
      <c r="A463" s="115" t="s">
        <v>359</v>
      </c>
      <c r="B463" s="115" t="s">
        <v>2</v>
      </c>
      <c r="C463" s="153" t="s">
        <v>227</v>
      </c>
      <c r="D463" s="118" t="s">
        <v>29</v>
      </c>
      <c r="E463" s="118" t="s">
        <v>34</v>
      </c>
      <c r="F463" s="119" t="s">
        <v>261</v>
      </c>
      <c r="G463" s="119" t="s">
        <v>245</v>
      </c>
      <c r="H463" s="119" t="s">
        <v>228</v>
      </c>
      <c r="I463" s="119" t="s">
        <v>229</v>
      </c>
      <c r="J463" s="119" t="s">
        <v>262</v>
      </c>
      <c r="K463" s="120" t="s">
        <v>263</v>
      </c>
      <c r="L463" s="120" t="s">
        <v>264</v>
      </c>
    </row>
    <row r="464">
      <c r="A464" s="164">
        <v>43723.14774881944</v>
      </c>
      <c r="B464" s="161" t="s">
        <v>58</v>
      </c>
      <c r="C464" s="162" t="s">
        <v>45</v>
      </c>
      <c r="D464" s="93">
        <v>1.0</v>
      </c>
      <c r="E464" s="93">
        <v>2.0</v>
      </c>
      <c r="F464" s="124" t="s">
        <v>282</v>
      </c>
      <c r="G464" s="124" t="s">
        <v>768</v>
      </c>
      <c r="H464" s="127" t="s">
        <v>430</v>
      </c>
      <c r="I464" s="127" t="s">
        <v>470</v>
      </c>
      <c r="J464" s="124" t="s">
        <v>394</v>
      </c>
      <c r="K464" s="124" t="s">
        <v>288</v>
      </c>
      <c r="L464" s="124">
        <v>9999.0</v>
      </c>
    </row>
    <row r="465">
      <c r="A465" s="164">
        <v>43723.14774881944</v>
      </c>
      <c r="B465" s="161" t="s">
        <v>58</v>
      </c>
      <c r="C465" s="162" t="s">
        <v>135</v>
      </c>
      <c r="D465" s="93">
        <v>1.0</v>
      </c>
      <c r="E465" s="93">
        <v>2.0</v>
      </c>
      <c r="F465" s="124" t="s">
        <v>248</v>
      </c>
      <c r="G465" s="124" t="s">
        <v>769</v>
      </c>
      <c r="H465" s="127" t="s">
        <v>430</v>
      </c>
      <c r="I465" s="127">
        <v>10.0</v>
      </c>
      <c r="J465" s="124" t="s">
        <v>462</v>
      </c>
      <c r="K465" s="124" t="s">
        <v>288</v>
      </c>
      <c r="L465" s="124">
        <v>9999.0</v>
      </c>
    </row>
    <row r="466">
      <c r="A466" s="164">
        <v>43723.14774881944</v>
      </c>
      <c r="B466" s="161" t="s">
        <v>58</v>
      </c>
      <c r="C466" s="162" t="s">
        <v>140</v>
      </c>
      <c r="D466" s="93">
        <v>1.0</v>
      </c>
      <c r="E466" s="93">
        <v>2.0</v>
      </c>
      <c r="F466" s="124" t="s">
        <v>267</v>
      </c>
      <c r="G466" s="124" t="s">
        <v>770</v>
      </c>
      <c r="H466" s="127" t="s">
        <v>430</v>
      </c>
      <c r="I466" s="127" t="s">
        <v>620</v>
      </c>
      <c r="J466" s="124" t="s">
        <v>276</v>
      </c>
      <c r="K466" s="124" t="s">
        <v>288</v>
      </c>
      <c r="L466" s="124">
        <v>9999.0</v>
      </c>
    </row>
    <row r="467">
      <c r="A467" s="164">
        <v>43723.14774881944</v>
      </c>
      <c r="B467" s="161" t="s">
        <v>58</v>
      </c>
      <c r="C467" s="162" t="s">
        <v>110</v>
      </c>
      <c r="D467" s="93">
        <v>3.0</v>
      </c>
      <c r="E467" s="93">
        <v>0.0</v>
      </c>
      <c r="F467" s="124" t="s">
        <v>269</v>
      </c>
      <c r="G467" s="124" t="s">
        <v>729</v>
      </c>
      <c r="H467" s="127" t="s">
        <v>430</v>
      </c>
      <c r="I467" s="127" t="s">
        <v>451</v>
      </c>
      <c r="J467" s="124" t="s">
        <v>637</v>
      </c>
      <c r="K467" s="124" t="s">
        <v>38</v>
      </c>
      <c r="L467" s="124">
        <v>9999.0</v>
      </c>
    </row>
    <row r="468">
      <c r="A468" s="164">
        <v>43723.14774881944</v>
      </c>
      <c r="B468" s="161" t="s">
        <v>58</v>
      </c>
      <c r="C468" s="162" t="s">
        <v>186</v>
      </c>
      <c r="D468" s="93">
        <v>2.0</v>
      </c>
      <c r="E468" s="93">
        <v>0.0</v>
      </c>
      <c r="F468" s="124" t="s">
        <v>248</v>
      </c>
      <c r="G468" s="124" t="s">
        <v>202</v>
      </c>
      <c r="H468" s="127"/>
      <c r="I468" s="127" t="s">
        <v>203</v>
      </c>
      <c r="J468" s="124" t="s">
        <v>203</v>
      </c>
      <c r="K468" s="124"/>
      <c r="L468" s="124">
        <v>9999.0</v>
      </c>
    </row>
    <row r="469">
      <c r="A469" s="164">
        <v>43723.14774881944</v>
      </c>
      <c r="B469" s="161" t="s">
        <v>58</v>
      </c>
      <c r="C469" s="162" t="s">
        <v>96</v>
      </c>
      <c r="D469" s="93">
        <v>2.0</v>
      </c>
      <c r="E469" s="93">
        <v>0.0</v>
      </c>
      <c r="F469" s="124" t="s">
        <v>248</v>
      </c>
      <c r="G469" s="124" t="s">
        <v>202</v>
      </c>
      <c r="H469" s="127"/>
      <c r="I469" s="127" t="s">
        <v>203</v>
      </c>
      <c r="J469" s="124" t="s">
        <v>203</v>
      </c>
      <c r="K469" s="124"/>
      <c r="L469" s="124">
        <v>9999.0</v>
      </c>
    </row>
    <row r="470">
      <c r="A470" s="164">
        <v>43723.14774881944</v>
      </c>
      <c r="B470" s="161" t="s">
        <v>58</v>
      </c>
      <c r="C470" s="162" t="s">
        <v>72</v>
      </c>
      <c r="D470" s="93">
        <v>2.0</v>
      </c>
      <c r="E470" s="93">
        <v>1.0</v>
      </c>
      <c r="F470" s="124" t="s">
        <v>284</v>
      </c>
      <c r="G470" s="124" t="s">
        <v>761</v>
      </c>
      <c r="H470" s="127" t="s">
        <v>430</v>
      </c>
      <c r="I470" s="127" t="s">
        <v>244</v>
      </c>
      <c r="J470" s="124" t="s">
        <v>507</v>
      </c>
      <c r="K470" s="124" t="s">
        <v>48</v>
      </c>
      <c r="L470" s="124">
        <v>9999.0</v>
      </c>
    </row>
    <row r="471">
      <c r="A471" s="164">
        <v>43723.14774881944</v>
      </c>
      <c r="B471" s="161" t="s">
        <v>58</v>
      </c>
      <c r="C471" s="162" t="s">
        <v>183</v>
      </c>
      <c r="D471" s="93">
        <v>1.0</v>
      </c>
      <c r="E471" s="93">
        <v>2.0</v>
      </c>
      <c r="F471" s="124" t="s">
        <v>287</v>
      </c>
      <c r="G471" s="124" t="s">
        <v>771</v>
      </c>
      <c r="H471" s="127" t="s">
        <v>430</v>
      </c>
      <c r="I471" s="127">
        <v>-28.0</v>
      </c>
      <c r="J471" s="124" t="s">
        <v>462</v>
      </c>
      <c r="K471" s="124" t="s">
        <v>288</v>
      </c>
      <c r="L471" s="124">
        <v>9999.0</v>
      </c>
    </row>
    <row r="472">
      <c r="A472" s="164">
        <v>43723.14774881944</v>
      </c>
      <c r="B472" s="161" t="s">
        <v>58</v>
      </c>
      <c r="C472" s="162" t="s">
        <v>165</v>
      </c>
      <c r="D472" s="93">
        <v>2.0</v>
      </c>
      <c r="E472" s="93">
        <v>1.0</v>
      </c>
      <c r="F472" s="124" t="s">
        <v>273</v>
      </c>
      <c r="G472" s="124" t="s">
        <v>772</v>
      </c>
      <c r="H472" s="127" t="s">
        <v>430</v>
      </c>
      <c r="I472" s="127" t="s">
        <v>773</v>
      </c>
      <c r="J472" s="124" t="s">
        <v>370</v>
      </c>
      <c r="K472" s="124" t="s">
        <v>288</v>
      </c>
      <c r="L472" s="124">
        <v>9999.0</v>
      </c>
    </row>
    <row r="473">
      <c r="A473" s="164">
        <v>43723.14774881944</v>
      </c>
      <c r="B473" s="161" t="s">
        <v>58</v>
      </c>
      <c r="C473" s="162" t="s">
        <v>158</v>
      </c>
      <c r="D473" s="93">
        <v>1.0</v>
      </c>
      <c r="E473" s="93">
        <v>2.0</v>
      </c>
      <c r="F473" s="124" t="s">
        <v>266</v>
      </c>
      <c r="G473" s="129" t="s">
        <v>774</v>
      </c>
      <c r="H473" s="127" t="s">
        <v>430</v>
      </c>
      <c r="I473" s="127" t="s">
        <v>775</v>
      </c>
      <c r="J473" s="124">
        <v>54.0</v>
      </c>
      <c r="K473" s="124" t="s">
        <v>60</v>
      </c>
      <c r="L473" s="124">
        <v>9999.0</v>
      </c>
    </row>
    <row r="474">
      <c r="A474" s="115" t="s">
        <v>359</v>
      </c>
      <c r="B474" s="115" t="s">
        <v>2</v>
      </c>
      <c r="C474" s="153" t="s">
        <v>227</v>
      </c>
      <c r="D474" s="118" t="s">
        <v>29</v>
      </c>
      <c r="E474" s="118" t="s">
        <v>34</v>
      </c>
      <c r="F474" s="119" t="s">
        <v>261</v>
      </c>
      <c r="G474" s="119" t="s">
        <v>245</v>
      </c>
      <c r="H474" s="119" t="s">
        <v>228</v>
      </c>
      <c r="I474" s="119" t="s">
        <v>229</v>
      </c>
      <c r="J474" s="119" t="s">
        <v>262</v>
      </c>
      <c r="K474" s="120" t="s">
        <v>263</v>
      </c>
      <c r="L474" s="124" t="s">
        <v>264</v>
      </c>
    </row>
    <row r="475">
      <c r="A475" s="164">
        <v>43723.14774881944</v>
      </c>
      <c r="B475" s="161" t="s">
        <v>60</v>
      </c>
      <c r="C475" s="162" t="s">
        <v>137</v>
      </c>
      <c r="D475" s="93">
        <v>0.0</v>
      </c>
      <c r="E475" s="93">
        <v>3.0</v>
      </c>
      <c r="F475" s="124" t="s">
        <v>267</v>
      </c>
      <c r="G475" s="124" t="s">
        <v>776</v>
      </c>
      <c r="H475" s="127" t="s">
        <v>430</v>
      </c>
      <c r="I475" s="127" t="s">
        <v>418</v>
      </c>
      <c r="J475" s="124" t="s">
        <v>482</v>
      </c>
      <c r="K475" s="124" t="s">
        <v>74</v>
      </c>
      <c r="L475" s="124">
        <v>9999.0</v>
      </c>
    </row>
    <row r="476">
      <c r="A476" s="164">
        <v>43723.14774881944</v>
      </c>
      <c r="B476" s="161" t="s">
        <v>60</v>
      </c>
      <c r="C476" s="162" t="s">
        <v>103</v>
      </c>
      <c r="D476" s="93">
        <v>2.0</v>
      </c>
      <c r="E476" s="93">
        <v>1.0</v>
      </c>
      <c r="F476" s="124" t="s">
        <v>260</v>
      </c>
      <c r="G476" s="124" t="s">
        <v>777</v>
      </c>
      <c r="H476" s="127" t="s">
        <v>430</v>
      </c>
      <c r="I476" s="127">
        <v>-32.0</v>
      </c>
      <c r="J476" s="124" t="s">
        <v>280</v>
      </c>
      <c r="K476" s="124" t="s">
        <v>288</v>
      </c>
      <c r="L476" s="124">
        <v>9999.0</v>
      </c>
    </row>
    <row r="477">
      <c r="A477" s="164">
        <v>43723.14774881944</v>
      </c>
      <c r="B477" s="161" t="s">
        <v>60</v>
      </c>
      <c r="C477" s="162" t="s">
        <v>166</v>
      </c>
      <c r="D477" s="93">
        <v>1.0</v>
      </c>
      <c r="E477" s="93">
        <v>2.0</v>
      </c>
      <c r="F477" s="124" t="s">
        <v>778</v>
      </c>
      <c r="G477" s="124" t="s">
        <v>779</v>
      </c>
      <c r="H477" s="127" t="s">
        <v>430</v>
      </c>
      <c r="I477" s="127">
        <v>-17.0</v>
      </c>
      <c r="J477" s="124">
        <v>76.0</v>
      </c>
      <c r="K477" s="124" t="s">
        <v>288</v>
      </c>
      <c r="L477" s="124">
        <v>9999.0</v>
      </c>
    </row>
    <row r="478">
      <c r="A478" s="164">
        <v>43723.14774881944</v>
      </c>
      <c r="B478" s="161" t="s">
        <v>60</v>
      </c>
      <c r="C478" s="162" t="s">
        <v>149</v>
      </c>
      <c r="D478" s="93">
        <v>2.0</v>
      </c>
      <c r="E478" s="93">
        <v>0.0</v>
      </c>
      <c r="F478" s="124" t="s">
        <v>273</v>
      </c>
      <c r="G478" s="124" t="s">
        <v>762</v>
      </c>
      <c r="H478" s="127" t="s">
        <v>643</v>
      </c>
      <c r="I478" s="127">
        <v>4.0</v>
      </c>
      <c r="J478" s="124" t="s">
        <v>446</v>
      </c>
      <c r="K478" s="124" t="s">
        <v>53</v>
      </c>
      <c r="L478" s="124">
        <v>9999.0</v>
      </c>
    </row>
    <row r="479">
      <c r="A479" s="164">
        <v>43723.14774881944</v>
      </c>
      <c r="B479" s="161" t="s">
        <v>60</v>
      </c>
      <c r="C479" s="162" t="s">
        <v>117</v>
      </c>
      <c r="D479" s="93">
        <v>1.0</v>
      </c>
      <c r="E479" s="93">
        <v>1.0</v>
      </c>
      <c r="F479" s="124" t="s">
        <v>266</v>
      </c>
      <c r="G479" s="124" t="s">
        <v>774</v>
      </c>
      <c r="H479" s="127" t="s">
        <v>430</v>
      </c>
      <c r="I479" s="127" t="s">
        <v>542</v>
      </c>
      <c r="J479" s="124">
        <v>54.0</v>
      </c>
      <c r="K479" s="124" t="s">
        <v>58</v>
      </c>
      <c r="L479" s="124">
        <v>9999.0</v>
      </c>
    </row>
    <row r="480">
      <c r="A480" s="164">
        <v>43723.14774881944</v>
      </c>
      <c r="B480" s="161" t="s">
        <v>60</v>
      </c>
      <c r="C480" s="162" t="s">
        <v>95</v>
      </c>
      <c r="D480" s="93">
        <v>3.0</v>
      </c>
      <c r="E480" s="93">
        <v>0.0</v>
      </c>
      <c r="F480" s="124" t="s">
        <v>248</v>
      </c>
      <c r="G480" s="124" t="s">
        <v>757</v>
      </c>
      <c r="H480" s="127" t="s">
        <v>430</v>
      </c>
      <c r="I480" s="127">
        <v>-3.0</v>
      </c>
      <c r="J480" s="124">
        <v>67.0</v>
      </c>
      <c r="K480" s="124" t="s">
        <v>48</v>
      </c>
      <c r="L480" s="124">
        <v>9999.0</v>
      </c>
    </row>
    <row r="481">
      <c r="A481" s="164">
        <v>43723.14774881944</v>
      </c>
      <c r="B481" s="161" t="s">
        <v>60</v>
      </c>
      <c r="C481" s="162" t="s">
        <v>59</v>
      </c>
      <c r="D481" s="93">
        <v>3.0</v>
      </c>
      <c r="E481" s="93">
        <v>0.0</v>
      </c>
      <c r="F481" s="124" t="s">
        <v>201</v>
      </c>
      <c r="G481" s="124" t="s">
        <v>780</v>
      </c>
      <c r="H481" s="127" t="s">
        <v>430</v>
      </c>
      <c r="I481" s="127" t="s">
        <v>286</v>
      </c>
      <c r="J481" s="124" t="s">
        <v>781</v>
      </c>
      <c r="K481" s="124" t="s">
        <v>74</v>
      </c>
      <c r="L481" s="124">
        <v>9999.0</v>
      </c>
    </row>
    <row r="482">
      <c r="A482" s="164">
        <v>43723.14774881944</v>
      </c>
      <c r="B482" s="161" t="s">
        <v>60</v>
      </c>
      <c r="C482" s="162" t="s">
        <v>189</v>
      </c>
      <c r="D482" s="93">
        <v>2.0</v>
      </c>
      <c r="E482" s="93">
        <v>1.0</v>
      </c>
      <c r="F482" s="124" t="s">
        <v>267</v>
      </c>
      <c r="G482" s="124" t="s">
        <v>763</v>
      </c>
      <c r="H482" s="127" t="s">
        <v>430</v>
      </c>
      <c r="I482" s="127" t="s">
        <v>272</v>
      </c>
      <c r="J482" s="124" t="s">
        <v>764</v>
      </c>
      <c r="K482" s="124" t="s">
        <v>53</v>
      </c>
      <c r="L482" s="124">
        <v>9999.0</v>
      </c>
    </row>
    <row r="483">
      <c r="A483" s="164">
        <v>43723.14774881944</v>
      </c>
      <c r="B483" s="161" t="s">
        <v>60</v>
      </c>
      <c r="C483" s="162" t="s">
        <v>123</v>
      </c>
      <c r="D483" s="93">
        <v>1.0</v>
      </c>
      <c r="E483" s="93">
        <v>2.0</v>
      </c>
      <c r="F483" s="124" t="s">
        <v>248</v>
      </c>
      <c r="G483" s="124" t="s">
        <v>782</v>
      </c>
      <c r="H483" s="127" t="s">
        <v>430</v>
      </c>
      <c r="I483" s="127" t="s">
        <v>275</v>
      </c>
      <c r="J483" s="124" t="s">
        <v>608</v>
      </c>
      <c r="K483" s="124" t="s">
        <v>288</v>
      </c>
      <c r="L483" s="124">
        <v>9999.0</v>
      </c>
    </row>
    <row r="484">
      <c r="A484" s="164">
        <v>43723.14774881944</v>
      </c>
      <c r="B484" s="161" t="s">
        <v>60</v>
      </c>
      <c r="C484" s="162" t="s">
        <v>175</v>
      </c>
      <c r="D484" s="93">
        <v>3.0</v>
      </c>
      <c r="E484" s="93">
        <v>0.0</v>
      </c>
      <c r="F484" s="124" t="s">
        <v>201</v>
      </c>
      <c r="G484" s="129" t="s">
        <v>783</v>
      </c>
      <c r="H484" s="127" t="s">
        <v>430</v>
      </c>
      <c r="I484" s="127">
        <v>-8.0</v>
      </c>
      <c r="J484" s="124" t="s">
        <v>507</v>
      </c>
      <c r="K484" s="124" t="s">
        <v>64</v>
      </c>
      <c r="L484" s="124">
        <v>9999.0</v>
      </c>
    </row>
    <row r="485">
      <c r="A485" s="136" t="s">
        <v>359</v>
      </c>
      <c r="B485" s="159" t="s">
        <v>2</v>
      </c>
      <c r="C485" s="160" t="s">
        <v>227</v>
      </c>
      <c r="D485" s="1" t="s">
        <v>29</v>
      </c>
      <c r="E485" s="1" t="s">
        <v>34</v>
      </c>
      <c r="F485" s="124" t="s">
        <v>261</v>
      </c>
      <c r="G485" s="129" t="s">
        <v>245</v>
      </c>
      <c r="H485" s="127" t="s">
        <v>228</v>
      </c>
      <c r="I485" s="127" t="s">
        <v>229</v>
      </c>
      <c r="J485" s="124" t="s">
        <v>262</v>
      </c>
      <c r="K485" s="124" t="s">
        <v>263</v>
      </c>
      <c r="L485" s="124" t="s">
        <v>264</v>
      </c>
    </row>
    <row r="486">
      <c r="A486" s="165">
        <v>43723.14774881944</v>
      </c>
      <c r="B486" s="161" t="s">
        <v>62</v>
      </c>
      <c r="C486" s="162" t="s">
        <v>5</v>
      </c>
      <c r="D486" s="93">
        <v>2.0</v>
      </c>
      <c r="E486" s="93">
        <v>1.0</v>
      </c>
      <c r="F486" s="124" t="s">
        <v>242</v>
      </c>
      <c r="G486" s="129" t="s">
        <v>760</v>
      </c>
      <c r="H486" s="127" t="s">
        <v>430</v>
      </c>
      <c r="I486" s="127">
        <v>-17.0</v>
      </c>
      <c r="J486" s="124">
        <v>49.0</v>
      </c>
      <c r="K486" s="124" t="s">
        <v>48</v>
      </c>
      <c r="L486" s="124">
        <v>9999.0</v>
      </c>
    </row>
    <row r="487">
      <c r="A487" s="165">
        <v>43723.14774881944</v>
      </c>
      <c r="B487" s="161" t="s">
        <v>62</v>
      </c>
      <c r="C487" s="162" t="s">
        <v>92</v>
      </c>
      <c r="D487" s="93">
        <v>1.0</v>
      </c>
      <c r="E487" s="93">
        <v>2.0</v>
      </c>
      <c r="F487" s="124" t="s">
        <v>207</v>
      </c>
      <c r="G487" s="129" t="s">
        <v>730</v>
      </c>
      <c r="H487" s="127" t="s">
        <v>430</v>
      </c>
      <c r="I487" s="127" t="s">
        <v>522</v>
      </c>
      <c r="J487" s="124" t="s">
        <v>240</v>
      </c>
      <c r="K487" s="124" t="s">
        <v>38</v>
      </c>
      <c r="L487" s="124">
        <v>9999.0</v>
      </c>
    </row>
    <row r="488">
      <c r="A488" s="165">
        <v>43723.14774881944</v>
      </c>
      <c r="B488" s="161" t="s">
        <v>62</v>
      </c>
      <c r="C488" s="162" t="s">
        <v>184</v>
      </c>
      <c r="D488" s="93">
        <v>2.0</v>
      </c>
      <c r="E488" s="93">
        <v>1.0</v>
      </c>
      <c r="F488" s="124" t="s">
        <v>784</v>
      </c>
      <c r="G488" s="129" t="s">
        <v>785</v>
      </c>
      <c r="H488" s="127" t="s">
        <v>430</v>
      </c>
      <c r="I488" s="127" t="s">
        <v>786</v>
      </c>
      <c r="J488" s="124">
        <v>63.0</v>
      </c>
      <c r="K488" s="124" t="s">
        <v>288</v>
      </c>
      <c r="L488" s="124">
        <v>9999.0</v>
      </c>
    </row>
    <row r="489">
      <c r="A489" s="165">
        <v>43723.14774881944</v>
      </c>
      <c r="B489" s="161" t="s">
        <v>62</v>
      </c>
      <c r="C489" s="162" t="s">
        <v>128</v>
      </c>
      <c r="D489" s="93">
        <v>1.0</v>
      </c>
      <c r="E489" s="93">
        <v>2.0</v>
      </c>
      <c r="F489" s="124" t="s">
        <v>718</v>
      </c>
      <c r="G489" s="129" t="s">
        <v>719</v>
      </c>
      <c r="H489" s="127" t="s">
        <v>430</v>
      </c>
      <c r="I489" s="127">
        <v>14.0</v>
      </c>
      <c r="J489" s="124" t="s">
        <v>507</v>
      </c>
      <c r="K489" s="124" t="s">
        <v>27</v>
      </c>
      <c r="L489" s="124">
        <v>9999.0</v>
      </c>
    </row>
    <row r="490">
      <c r="A490" s="165">
        <v>43723.14774881944</v>
      </c>
      <c r="B490" s="161" t="s">
        <v>62</v>
      </c>
      <c r="C490" s="162" t="s">
        <v>102</v>
      </c>
      <c r="D490" s="93">
        <v>2.0</v>
      </c>
      <c r="E490" s="93">
        <v>0.0</v>
      </c>
      <c r="F490" s="124" t="s">
        <v>266</v>
      </c>
      <c r="G490" s="129" t="s">
        <v>759</v>
      </c>
      <c r="H490" s="127" t="s">
        <v>430</v>
      </c>
      <c r="I490" s="127" t="s">
        <v>451</v>
      </c>
      <c r="J490" s="124">
        <v>51.0</v>
      </c>
      <c r="K490" s="124" t="s">
        <v>48</v>
      </c>
      <c r="L490" s="124">
        <v>9999.0</v>
      </c>
    </row>
    <row r="491">
      <c r="A491" s="165">
        <v>43723.14774881944</v>
      </c>
      <c r="B491" s="161" t="s">
        <v>62</v>
      </c>
      <c r="C491" s="162" t="s">
        <v>112</v>
      </c>
      <c r="D491" s="93">
        <v>2.0</v>
      </c>
      <c r="E491" s="93">
        <v>0.0</v>
      </c>
      <c r="F491" s="124" t="s">
        <v>248</v>
      </c>
      <c r="G491" s="129" t="s">
        <v>202</v>
      </c>
      <c r="H491" s="127"/>
      <c r="I491" s="127" t="s">
        <v>203</v>
      </c>
      <c r="J491" s="124" t="s">
        <v>203</v>
      </c>
      <c r="K491" s="124"/>
      <c r="L491" s="124">
        <v>9999.0</v>
      </c>
    </row>
    <row r="492">
      <c r="A492" s="165">
        <v>43723.14774881944</v>
      </c>
      <c r="B492" s="161" t="s">
        <v>62</v>
      </c>
      <c r="C492" s="162" t="s">
        <v>143</v>
      </c>
      <c r="D492" s="93">
        <v>1.0</v>
      </c>
      <c r="E492" s="93">
        <v>2.0</v>
      </c>
      <c r="F492" s="124" t="s">
        <v>784</v>
      </c>
      <c r="G492" s="129" t="s">
        <v>787</v>
      </c>
      <c r="H492" s="127" t="s">
        <v>430</v>
      </c>
      <c r="I492" s="127">
        <v>35.0</v>
      </c>
      <c r="J492" s="124" t="s">
        <v>387</v>
      </c>
      <c r="K492" s="124" t="s">
        <v>74</v>
      </c>
      <c r="L492" s="124">
        <v>9999.0</v>
      </c>
    </row>
    <row r="493">
      <c r="A493" s="165">
        <v>43723.14774881944</v>
      </c>
      <c r="B493" s="161" t="s">
        <v>62</v>
      </c>
      <c r="C493" s="162" t="s">
        <v>192</v>
      </c>
      <c r="D493" s="93">
        <v>1.0</v>
      </c>
      <c r="E493" s="93">
        <v>2.0</v>
      </c>
      <c r="F493" s="124" t="s">
        <v>242</v>
      </c>
      <c r="G493" s="129" t="s">
        <v>788</v>
      </c>
      <c r="H493" s="127" t="s">
        <v>430</v>
      </c>
      <c r="I493" s="127">
        <v>19.0</v>
      </c>
      <c r="J493" s="124" t="s">
        <v>276</v>
      </c>
      <c r="K493" s="124" t="s">
        <v>69</v>
      </c>
      <c r="L493" s="124">
        <v>9999.0</v>
      </c>
    </row>
    <row r="494">
      <c r="A494" s="165">
        <v>43723.14774881944</v>
      </c>
      <c r="B494" s="161" t="s">
        <v>62</v>
      </c>
      <c r="C494" s="162" t="s">
        <v>171</v>
      </c>
      <c r="D494" s="93">
        <v>2.0</v>
      </c>
      <c r="E494" s="93">
        <v>1.0</v>
      </c>
      <c r="F494" s="124" t="s">
        <v>273</v>
      </c>
      <c r="G494" s="129" t="s">
        <v>789</v>
      </c>
      <c r="H494" s="127" t="s">
        <v>430</v>
      </c>
      <c r="I494" s="127">
        <v>-21.0</v>
      </c>
      <c r="J494" s="124" t="s">
        <v>446</v>
      </c>
      <c r="K494" s="124" t="s">
        <v>62</v>
      </c>
      <c r="L494" s="124">
        <v>9999.0</v>
      </c>
    </row>
    <row r="495">
      <c r="A495" s="165">
        <v>43723.14774881944</v>
      </c>
      <c r="B495" s="161" t="s">
        <v>62</v>
      </c>
      <c r="C495" s="162" t="s">
        <v>153</v>
      </c>
      <c r="D495" s="93">
        <v>2.0</v>
      </c>
      <c r="E495" s="93">
        <v>1.0</v>
      </c>
      <c r="F495" s="124" t="s">
        <v>273</v>
      </c>
      <c r="G495" s="129" t="s">
        <v>789</v>
      </c>
      <c r="H495" s="127" t="s">
        <v>430</v>
      </c>
      <c r="I495" s="127">
        <v>21.0</v>
      </c>
      <c r="J495" s="124" t="s">
        <v>446</v>
      </c>
      <c r="K495" s="124" t="s">
        <v>62</v>
      </c>
      <c r="L495" s="124">
        <v>9999.0</v>
      </c>
    </row>
    <row r="496">
      <c r="A496" s="136" t="s">
        <v>359</v>
      </c>
      <c r="B496" s="115" t="s">
        <v>2</v>
      </c>
      <c r="C496" s="153" t="s">
        <v>227</v>
      </c>
      <c r="D496" s="118" t="s">
        <v>29</v>
      </c>
      <c r="E496" s="118" t="s">
        <v>34</v>
      </c>
      <c r="F496" s="124" t="s">
        <v>261</v>
      </c>
      <c r="G496" s="129" t="s">
        <v>245</v>
      </c>
      <c r="H496" s="127" t="s">
        <v>228</v>
      </c>
      <c r="I496" s="127" t="s">
        <v>229</v>
      </c>
      <c r="J496" s="124" t="s">
        <v>262</v>
      </c>
      <c r="K496" s="124" t="s">
        <v>263</v>
      </c>
      <c r="L496" s="124" t="s">
        <v>264</v>
      </c>
    </row>
    <row r="497">
      <c r="A497" s="165">
        <v>43723.14774881944</v>
      </c>
      <c r="B497" s="161" t="s">
        <v>64</v>
      </c>
      <c r="C497" s="162" t="s">
        <v>196</v>
      </c>
      <c r="D497" s="93">
        <v>2.0</v>
      </c>
      <c r="E497" s="93">
        <v>1.0</v>
      </c>
      <c r="F497" s="124" t="s">
        <v>355</v>
      </c>
      <c r="G497" s="129" t="s">
        <v>716</v>
      </c>
      <c r="H497" s="127" t="s">
        <v>430</v>
      </c>
      <c r="I497" s="127">
        <v>-17.0</v>
      </c>
      <c r="J497" s="124">
        <v>45.0</v>
      </c>
      <c r="K497" s="124" t="s">
        <v>27</v>
      </c>
      <c r="L497" s="124">
        <v>9999.0</v>
      </c>
    </row>
    <row r="498">
      <c r="A498" s="165">
        <v>43723.14774881944</v>
      </c>
      <c r="B498" s="161" t="s">
        <v>64</v>
      </c>
      <c r="C498" s="162" t="s">
        <v>131</v>
      </c>
      <c r="D498" s="93">
        <v>2.0</v>
      </c>
      <c r="E498" s="93">
        <v>1.0</v>
      </c>
      <c r="F498" s="124" t="s">
        <v>248</v>
      </c>
      <c r="G498" s="129" t="s">
        <v>790</v>
      </c>
      <c r="H498" s="127" t="s">
        <v>430</v>
      </c>
      <c r="I498" s="127" t="s">
        <v>428</v>
      </c>
      <c r="J498" s="124">
        <v>49.0</v>
      </c>
      <c r="K498" s="124" t="s">
        <v>74</v>
      </c>
      <c r="L498" s="124">
        <v>9999.0</v>
      </c>
    </row>
    <row r="499">
      <c r="A499" s="165">
        <v>43723.14774881944</v>
      </c>
      <c r="B499" s="161" t="s">
        <v>64</v>
      </c>
      <c r="C499" s="162" t="s">
        <v>154</v>
      </c>
      <c r="D499" s="93">
        <v>2.0</v>
      </c>
      <c r="E499" s="93">
        <v>1.0</v>
      </c>
      <c r="F499" s="124" t="s">
        <v>282</v>
      </c>
      <c r="G499" s="129" t="s">
        <v>791</v>
      </c>
      <c r="H499" s="127" t="s">
        <v>430</v>
      </c>
      <c r="I499" s="127">
        <v>-9.0</v>
      </c>
      <c r="J499" s="124" t="s">
        <v>462</v>
      </c>
      <c r="K499" s="124" t="s">
        <v>288</v>
      </c>
      <c r="L499" s="124">
        <v>9999.0</v>
      </c>
    </row>
    <row r="500">
      <c r="A500" s="165">
        <v>43723.14774881944</v>
      </c>
      <c r="B500" s="161" t="s">
        <v>64</v>
      </c>
      <c r="C500" s="162" t="s">
        <v>147</v>
      </c>
      <c r="D500" s="93">
        <v>1.0</v>
      </c>
      <c r="E500" s="93">
        <v>1.0</v>
      </c>
      <c r="F500" s="124" t="s">
        <v>282</v>
      </c>
      <c r="G500" s="129" t="s">
        <v>792</v>
      </c>
      <c r="H500" s="127" t="s">
        <v>430</v>
      </c>
      <c r="I500" s="127" t="s">
        <v>793</v>
      </c>
      <c r="J500" s="124">
        <v>70.0</v>
      </c>
      <c r="K500" s="124" t="s">
        <v>288</v>
      </c>
      <c r="L500" s="124">
        <v>9999.0</v>
      </c>
    </row>
    <row r="501">
      <c r="A501" s="165">
        <v>43723.14774881944</v>
      </c>
      <c r="B501" s="161" t="s">
        <v>64</v>
      </c>
      <c r="C501" s="162" t="s">
        <v>49</v>
      </c>
      <c r="D501" s="93">
        <v>2.0</v>
      </c>
      <c r="E501" s="93">
        <v>0.0</v>
      </c>
      <c r="F501" s="124" t="s">
        <v>260</v>
      </c>
      <c r="G501" s="129" t="s">
        <v>742</v>
      </c>
      <c r="H501" s="127" t="s">
        <v>430</v>
      </c>
      <c r="I501" s="127">
        <v>7.0</v>
      </c>
      <c r="J501" s="124">
        <v>64.0</v>
      </c>
      <c r="K501" s="124" t="s">
        <v>41</v>
      </c>
      <c r="L501" s="124">
        <v>9999.0</v>
      </c>
    </row>
    <row r="502">
      <c r="A502" s="165">
        <v>43723.14774881944</v>
      </c>
      <c r="B502" s="161" t="s">
        <v>64</v>
      </c>
      <c r="C502" s="162" t="s">
        <v>76</v>
      </c>
      <c r="D502" s="93">
        <v>1.0</v>
      </c>
      <c r="E502" s="93">
        <v>2.0</v>
      </c>
      <c r="F502" s="124" t="s">
        <v>285</v>
      </c>
      <c r="G502" s="129" t="s">
        <v>765</v>
      </c>
      <c r="H502" s="127" t="s">
        <v>430</v>
      </c>
      <c r="I502" s="127">
        <v>7.0</v>
      </c>
      <c r="J502" s="124">
        <v>57.0</v>
      </c>
      <c r="K502" s="124" t="s">
        <v>53</v>
      </c>
      <c r="L502" s="124">
        <v>9999.0</v>
      </c>
    </row>
    <row r="503">
      <c r="A503" s="165">
        <v>43723.14774881944</v>
      </c>
      <c r="B503" s="161" t="s">
        <v>64</v>
      </c>
      <c r="C503" s="162" t="s">
        <v>98</v>
      </c>
      <c r="D503" s="93">
        <v>2.0</v>
      </c>
      <c r="E503" s="93">
        <v>1.0</v>
      </c>
      <c r="F503" s="124" t="s">
        <v>285</v>
      </c>
      <c r="G503" s="129" t="s">
        <v>752</v>
      </c>
      <c r="H503" s="127" t="s">
        <v>430</v>
      </c>
      <c r="I503" s="127">
        <v>21.0</v>
      </c>
      <c r="J503" s="124">
        <v>53.0</v>
      </c>
      <c r="K503" s="124" t="s">
        <v>44</v>
      </c>
      <c r="L503" s="124">
        <v>9999.0</v>
      </c>
    </row>
    <row r="504">
      <c r="A504" s="165">
        <v>43723.14774881944</v>
      </c>
      <c r="B504" s="161" t="s">
        <v>64</v>
      </c>
      <c r="C504" s="162" t="s">
        <v>177</v>
      </c>
      <c r="D504" s="93">
        <v>2.0</v>
      </c>
      <c r="E504" s="93">
        <v>1.0</v>
      </c>
      <c r="F504" s="124" t="s">
        <v>201</v>
      </c>
      <c r="G504" s="129" t="s">
        <v>783</v>
      </c>
      <c r="H504" s="127" t="s">
        <v>430</v>
      </c>
      <c r="I504" s="127">
        <v>8.0</v>
      </c>
      <c r="J504" s="124" t="s">
        <v>507</v>
      </c>
      <c r="K504" s="124" t="s">
        <v>60</v>
      </c>
      <c r="L504" s="124">
        <v>9999.0</v>
      </c>
    </row>
    <row r="505">
      <c r="A505" s="165">
        <v>43723.14774881944</v>
      </c>
      <c r="B505" s="161" t="s">
        <v>64</v>
      </c>
      <c r="C505" s="162" t="s">
        <v>169</v>
      </c>
      <c r="D505" s="93">
        <v>2.0</v>
      </c>
      <c r="E505" s="93">
        <v>1.0</v>
      </c>
      <c r="F505" s="124" t="s">
        <v>207</v>
      </c>
      <c r="G505" s="129" t="s">
        <v>738</v>
      </c>
      <c r="H505" s="127" t="s">
        <v>643</v>
      </c>
      <c r="I505" s="127" t="s">
        <v>620</v>
      </c>
      <c r="J505" s="124" t="s">
        <v>546</v>
      </c>
      <c r="K505" s="124" t="s">
        <v>41</v>
      </c>
      <c r="L505" s="124">
        <v>9999.0</v>
      </c>
    </row>
    <row r="506">
      <c r="A506" s="165">
        <v>43723.14774881944</v>
      </c>
      <c r="B506" s="161" t="s">
        <v>64</v>
      </c>
      <c r="C506" s="162" t="s">
        <v>115</v>
      </c>
      <c r="D506" s="93">
        <v>3.0</v>
      </c>
      <c r="E506" s="93">
        <v>0.0</v>
      </c>
      <c r="F506" s="124" t="s">
        <v>266</v>
      </c>
      <c r="G506" s="129" t="s">
        <v>753</v>
      </c>
      <c r="H506" s="127" t="s">
        <v>430</v>
      </c>
      <c r="I506" s="127" t="s">
        <v>281</v>
      </c>
      <c r="J506" s="124">
        <v>46.0</v>
      </c>
      <c r="K506" s="124" t="s">
        <v>44</v>
      </c>
      <c r="L506" s="124">
        <v>9999.0</v>
      </c>
    </row>
    <row r="507">
      <c r="A507" s="136" t="s">
        <v>359</v>
      </c>
      <c r="B507" s="115" t="s">
        <v>2</v>
      </c>
      <c r="C507" s="153" t="s">
        <v>227</v>
      </c>
      <c r="D507" s="118" t="s">
        <v>29</v>
      </c>
      <c r="E507" s="118" t="s">
        <v>34</v>
      </c>
      <c r="F507" s="124" t="s">
        <v>261</v>
      </c>
      <c r="G507" s="129" t="s">
        <v>245</v>
      </c>
      <c r="H507" s="127" t="s">
        <v>228</v>
      </c>
      <c r="I507" s="127" t="s">
        <v>229</v>
      </c>
      <c r="J507" s="124" t="s">
        <v>262</v>
      </c>
      <c r="K507" s="124" t="s">
        <v>263</v>
      </c>
      <c r="L507" s="124"/>
    </row>
    <row r="508">
      <c r="A508" s="165">
        <v>43723.14774881944</v>
      </c>
      <c r="B508" s="161" t="s">
        <v>69</v>
      </c>
      <c r="C508" s="162" t="s">
        <v>193</v>
      </c>
      <c r="D508" s="93">
        <v>0.0</v>
      </c>
      <c r="E508" s="93">
        <v>3.0</v>
      </c>
      <c r="F508" s="124" t="s">
        <v>282</v>
      </c>
      <c r="G508" s="129" t="s">
        <v>767</v>
      </c>
      <c r="H508" s="127" t="s">
        <v>430</v>
      </c>
      <c r="I508" s="127" t="s">
        <v>526</v>
      </c>
      <c r="J508" s="124" t="s">
        <v>397</v>
      </c>
      <c r="K508" s="124" t="s">
        <v>53</v>
      </c>
      <c r="L508" s="124">
        <v>9999.0</v>
      </c>
    </row>
    <row r="509">
      <c r="A509" s="165">
        <v>43723.14774881944</v>
      </c>
      <c r="B509" s="161" t="s">
        <v>69</v>
      </c>
      <c r="C509" s="162" t="s">
        <v>142</v>
      </c>
      <c r="D509" s="93">
        <v>2.0</v>
      </c>
      <c r="E509" s="93">
        <v>1.0</v>
      </c>
      <c r="F509" s="124" t="s">
        <v>248</v>
      </c>
      <c r="G509" s="129" t="s">
        <v>794</v>
      </c>
      <c r="H509" s="127" t="s">
        <v>430</v>
      </c>
      <c r="I509" s="127" t="s">
        <v>257</v>
      </c>
      <c r="J509" s="124" t="s">
        <v>546</v>
      </c>
      <c r="K509" s="124" t="s">
        <v>288</v>
      </c>
      <c r="L509" s="124">
        <v>9999.0</v>
      </c>
    </row>
    <row r="510">
      <c r="A510" s="165">
        <v>43723.14774881944</v>
      </c>
      <c r="B510" s="161" t="s">
        <v>69</v>
      </c>
      <c r="C510" s="162" t="s">
        <v>35</v>
      </c>
      <c r="D510" s="93">
        <v>3.0</v>
      </c>
      <c r="E510" s="93">
        <v>0.0</v>
      </c>
      <c r="F510" s="124" t="s">
        <v>242</v>
      </c>
      <c r="G510" s="129" t="s">
        <v>788</v>
      </c>
      <c r="H510" s="127" t="s">
        <v>430</v>
      </c>
      <c r="I510" s="127">
        <v>-19.0</v>
      </c>
      <c r="J510" s="124" t="s">
        <v>276</v>
      </c>
      <c r="K510" s="124" t="s">
        <v>62</v>
      </c>
      <c r="L510" s="124">
        <v>9999.0</v>
      </c>
    </row>
    <row r="511">
      <c r="A511" s="165">
        <v>43723.14774881944</v>
      </c>
      <c r="B511" s="161" t="s">
        <v>69</v>
      </c>
      <c r="C511" s="162" t="s">
        <v>182</v>
      </c>
      <c r="D511" s="93">
        <v>1.0</v>
      </c>
      <c r="E511" s="93">
        <v>2.0</v>
      </c>
      <c r="F511" s="124" t="s">
        <v>234</v>
      </c>
      <c r="G511" s="129" t="s">
        <v>724</v>
      </c>
      <c r="H511" s="127" t="s">
        <v>430</v>
      </c>
      <c r="I511" s="127" t="s">
        <v>634</v>
      </c>
      <c r="J511" s="124">
        <v>60.0</v>
      </c>
      <c r="K511" s="124" t="s">
        <v>27</v>
      </c>
      <c r="L511" s="124">
        <v>9999.0</v>
      </c>
    </row>
    <row r="512">
      <c r="A512" s="165">
        <v>43723.14774881944</v>
      </c>
      <c r="B512" s="161" t="s">
        <v>69</v>
      </c>
      <c r="C512" s="162" t="s">
        <v>170</v>
      </c>
      <c r="D512" s="93">
        <v>3.0</v>
      </c>
      <c r="E512" s="93">
        <v>0.0</v>
      </c>
      <c r="F512" s="124" t="s">
        <v>795</v>
      </c>
      <c r="G512" s="129" t="s">
        <v>796</v>
      </c>
      <c r="H512" s="127" t="s">
        <v>430</v>
      </c>
      <c r="I512" s="127" t="s">
        <v>773</v>
      </c>
      <c r="J512" s="124">
        <v>64.0</v>
      </c>
      <c r="K512" s="124" t="s">
        <v>288</v>
      </c>
      <c r="L512" s="124">
        <v>9999.0</v>
      </c>
    </row>
    <row r="513">
      <c r="A513" s="165">
        <v>43723.14774881944</v>
      </c>
      <c r="B513" s="161" t="s">
        <v>69</v>
      </c>
      <c r="C513" s="162" t="s">
        <v>125</v>
      </c>
      <c r="D513" s="93">
        <v>2.0</v>
      </c>
      <c r="E513" s="93">
        <v>1.0</v>
      </c>
      <c r="F513" s="124" t="s">
        <v>267</v>
      </c>
      <c r="G513" s="129" t="s">
        <v>726</v>
      </c>
      <c r="H513" s="127" t="s">
        <v>430</v>
      </c>
      <c r="I513" s="127" t="s">
        <v>431</v>
      </c>
      <c r="J513" s="124" t="s">
        <v>446</v>
      </c>
      <c r="K513" s="124" t="s">
        <v>38</v>
      </c>
      <c r="L513" s="124">
        <v>9999.0</v>
      </c>
    </row>
    <row r="514">
      <c r="A514" s="165">
        <v>43723.14774881944</v>
      </c>
      <c r="B514" s="161" t="s">
        <v>69</v>
      </c>
      <c r="C514" s="162" t="s">
        <v>108</v>
      </c>
      <c r="D514" s="93">
        <v>2.0</v>
      </c>
      <c r="E514" s="93">
        <v>1.0</v>
      </c>
      <c r="F514" s="124" t="s">
        <v>278</v>
      </c>
      <c r="G514" s="129" t="s">
        <v>797</v>
      </c>
      <c r="H514" s="127" t="s">
        <v>430</v>
      </c>
      <c r="I514" s="127">
        <v>16.0</v>
      </c>
      <c r="J514" s="124">
        <v>61.0</v>
      </c>
      <c r="K514" s="124" t="s">
        <v>74</v>
      </c>
      <c r="L514" s="124">
        <v>9999.0</v>
      </c>
    </row>
    <row r="515">
      <c r="A515" s="165">
        <v>43723.14774881944</v>
      </c>
      <c r="B515" s="161" t="s">
        <v>69</v>
      </c>
      <c r="C515" s="162" t="s">
        <v>151</v>
      </c>
      <c r="D515" s="93">
        <v>1.0</v>
      </c>
      <c r="E515" s="93">
        <v>2.0</v>
      </c>
      <c r="F515" s="124" t="s">
        <v>287</v>
      </c>
      <c r="G515" s="129" t="s">
        <v>749</v>
      </c>
      <c r="H515" s="127" t="s">
        <v>430</v>
      </c>
      <c r="I515" s="127" t="s">
        <v>272</v>
      </c>
      <c r="J515" s="124" t="s">
        <v>412</v>
      </c>
      <c r="K515" s="124" t="s">
        <v>44</v>
      </c>
      <c r="L515" s="124">
        <v>9999.0</v>
      </c>
    </row>
    <row r="516">
      <c r="A516" s="165">
        <v>43723.14774881944</v>
      </c>
      <c r="B516" s="161" t="s">
        <v>69</v>
      </c>
      <c r="C516" s="162" t="s">
        <v>101</v>
      </c>
      <c r="D516" s="93">
        <v>3.0</v>
      </c>
      <c r="E516" s="93">
        <v>0.0</v>
      </c>
      <c r="F516" s="124" t="s">
        <v>215</v>
      </c>
      <c r="G516" s="129" t="s">
        <v>725</v>
      </c>
      <c r="H516" s="127" t="s">
        <v>430</v>
      </c>
      <c r="I516" s="127">
        <v>-14.0</v>
      </c>
      <c r="J516" s="124">
        <v>65.0</v>
      </c>
      <c r="K516" s="124" t="s">
        <v>27</v>
      </c>
      <c r="L516" s="124">
        <v>9999.0</v>
      </c>
    </row>
    <row r="517">
      <c r="A517" s="165">
        <v>43723.14774881944</v>
      </c>
      <c r="B517" s="161" t="s">
        <v>69</v>
      </c>
      <c r="C517" s="162" t="s">
        <v>87</v>
      </c>
      <c r="D517" s="93">
        <v>1.0</v>
      </c>
      <c r="E517" s="93">
        <v>2.0</v>
      </c>
      <c r="F517" s="124" t="s">
        <v>285</v>
      </c>
      <c r="G517" s="129" t="s">
        <v>799</v>
      </c>
      <c r="H517" s="127" t="s">
        <v>430</v>
      </c>
      <c r="I517" s="127">
        <v>-41.0</v>
      </c>
      <c r="J517" s="124">
        <v>56.0</v>
      </c>
      <c r="K517" s="124" t="s">
        <v>288</v>
      </c>
      <c r="L517" s="124">
        <v>9999.0</v>
      </c>
    </row>
    <row r="518">
      <c r="A518" s="136" t="s">
        <v>359</v>
      </c>
      <c r="B518" s="115" t="s">
        <v>2</v>
      </c>
      <c r="C518" s="153" t="s">
        <v>227</v>
      </c>
      <c r="D518" s="118" t="s">
        <v>29</v>
      </c>
      <c r="E518" s="118" t="s">
        <v>34</v>
      </c>
      <c r="F518" s="124" t="s">
        <v>261</v>
      </c>
      <c r="G518" s="129" t="s">
        <v>245</v>
      </c>
      <c r="H518" s="127" t="s">
        <v>228</v>
      </c>
      <c r="I518" s="127" t="s">
        <v>229</v>
      </c>
      <c r="J518" s="124" t="s">
        <v>262</v>
      </c>
      <c r="K518" s="124" t="s">
        <v>263</v>
      </c>
      <c r="L518" s="124"/>
    </row>
    <row r="519">
      <c r="A519" s="165">
        <v>43723.14774881944</v>
      </c>
      <c r="B519" s="161" t="s">
        <v>74</v>
      </c>
      <c r="C519" s="162" t="s">
        <v>141</v>
      </c>
      <c r="D519" s="93">
        <v>2.0</v>
      </c>
      <c r="E519" s="93">
        <v>1.0</v>
      </c>
      <c r="F519" s="124" t="s">
        <v>267</v>
      </c>
      <c r="G519" s="129" t="s">
        <v>776</v>
      </c>
      <c r="H519" s="127" t="s">
        <v>430</v>
      </c>
      <c r="I519" s="127" t="s">
        <v>379</v>
      </c>
      <c r="J519" s="124" t="s">
        <v>482</v>
      </c>
      <c r="K519" s="124" t="s">
        <v>60</v>
      </c>
      <c r="L519" s="124">
        <v>9999.0</v>
      </c>
    </row>
    <row r="520">
      <c r="A520" s="165">
        <v>43723.14774881944</v>
      </c>
      <c r="B520" s="161" t="s">
        <v>74</v>
      </c>
      <c r="C520" s="162" t="s">
        <v>23</v>
      </c>
      <c r="D520" s="93">
        <v>1.0</v>
      </c>
      <c r="E520" s="93">
        <v>1.0</v>
      </c>
      <c r="F520" s="124" t="s">
        <v>248</v>
      </c>
      <c r="G520" s="129" t="s">
        <v>202</v>
      </c>
      <c r="H520" s="127"/>
      <c r="I520" s="127" t="s">
        <v>203</v>
      </c>
      <c r="J520" s="124" t="s">
        <v>203</v>
      </c>
      <c r="K520" s="124"/>
      <c r="L520" s="124">
        <v>9999.0</v>
      </c>
    </row>
    <row r="521">
      <c r="A521" s="165">
        <v>43723.14774881944</v>
      </c>
      <c r="B521" s="161" t="s">
        <v>74</v>
      </c>
      <c r="C521" s="162" t="s">
        <v>124</v>
      </c>
      <c r="D521" s="93">
        <v>1.0</v>
      </c>
      <c r="E521" s="93">
        <v>2.0</v>
      </c>
      <c r="F521" s="124" t="s">
        <v>267</v>
      </c>
      <c r="G521" s="129" t="s">
        <v>722</v>
      </c>
      <c r="H521" s="127" t="s">
        <v>430</v>
      </c>
      <c r="I521" s="127" t="s">
        <v>451</v>
      </c>
      <c r="J521" s="124" t="s">
        <v>559</v>
      </c>
      <c r="K521" s="124" t="s">
        <v>27</v>
      </c>
      <c r="L521" s="124">
        <v>9999.0</v>
      </c>
    </row>
    <row r="522">
      <c r="A522" s="165">
        <v>43723.14774881944</v>
      </c>
      <c r="B522" s="161" t="s">
        <v>74</v>
      </c>
      <c r="C522" s="162" t="s">
        <v>167</v>
      </c>
      <c r="D522" s="93">
        <v>1.0</v>
      </c>
      <c r="E522" s="93">
        <v>2.0</v>
      </c>
      <c r="F522" s="124" t="s">
        <v>201</v>
      </c>
      <c r="G522" s="129" t="s">
        <v>780</v>
      </c>
      <c r="H522" s="127" t="s">
        <v>430</v>
      </c>
      <c r="I522" s="127" t="s">
        <v>257</v>
      </c>
      <c r="J522" s="124" t="s">
        <v>781</v>
      </c>
      <c r="K522" s="124" t="s">
        <v>60</v>
      </c>
      <c r="L522" s="124">
        <v>9999.0</v>
      </c>
    </row>
    <row r="523">
      <c r="A523" s="165">
        <v>43723.14774881944</v>
      </c>
      <c r="B523" s="161" t="s">
        <v>74</v>
      </c>
      <c r="C523" s="162" t="s">
        <v>194</v>
      </c>
      <c r="D523" s="93">
        <v>1.0</v>
      </c>
      <c r="E523" s="93">
        <v>1.0</v>
      </c>
      <c r="F523" s="124" t="s">
        <v>267</v>
      </c>
      <c r="G523" s="129" t="s">
        <v>790</v>
      </c>
      <c r="H523" s="127" t="s">
        <v>430</v>
      </c>
      <c r="I523" s="127" t="s">
        <v>451</v>
      </c>
      <c r="J523" s="124">
        <v>49.0</v>
      </c>
      <c r="K523" s="124" t="s">
        <v>64</v>
      </c>
      <c r="L523" s="124">
        <v>9999.0</v>
      </c>
    </row>
    <row r="524">
      <c r="A524" s="165">
        <v>43723.14774881944</v>
      </c>
      <c r="B524" s="161" t="s">
        <v>74</v>
      </c>
      <c r="C524" s="162" t="s">
        <v>118</v>
      </c>
      <c r="D524" s="93">
        <v>3.0</v>
      </c>
      <c r="E524" s="93">
        <v>0.0</v>
      </c>
      <c r="F524" s="124" t="s">
        <v>278</v>
      </c>
      <c r="G524" s="129" t="s">
        <v>797</v>
      </c>
      <c r="H524" s="127" t="s">
        <v>430</v>
      </c>
      <c r="I524" s="127">
        <v>-16.0</v>
      </c>
      <c r="J524" s="124">
        <v>61.0</v>
      </c>
      <c r="K524" s="124" t="s">
        <v>69</v>
      </c>
      <c r="L524" s="124">
        <v>9999.0</v>
      </c>
    </row>
    <row r="525">
      <c r="A525" s="165">
        <v>43723.14774881944</v>
      </c>
      <c r="B525" s="161" t="s">
        <v>74</v>
      </c>
      <c r="C525" s="162" t="s">
        <v>99</v>
      </c>
      <c r="D525" s="93">
        <v>3.0</v>
      </c>
      <c r="E525" s="93">
        <v>0.0</v>
      </c>
      <c r="F525" s="124" t="s">
        <v>201</v>
      </c>
      <c r="G525" s="129" t="s">
        <v>766</v>
      </c>
      <c r="H525" s="127" t="s">
        <v>430</v>
      </c>
      <c r="I525" s="127" t="s">
        <v>257</v>
      </c>
      <c r="J525" s="124" t="s">
        <v>387</v>
      </c>
      <c r="K525" s="124" t="s">
        <v>53</v>
      </c>
      <c r="L525" s="124">
        <v>9999.0</v>
      </c>
    </row>
    <row r="526">
      <c r="A526" s="165">
        <v>43723.14774881944</v>
      </c>
      <c r="B526" s="161" t="s">
        <v>74</v>
      </c>
      <c r="C526" s="162" t="s">
        <v>88</v>
      </c>
      <c r="D526" s="93">
        <v>2.0</v>
      </c>
      <c r="E526" s="93">
        <v>1.0</v>
      </c>
      <c r="F526" s="124" t="s">
        <v>269</v>
      </c>
      <c r="G526" s="129" t="s">
        <v>756</v>
      </c>
      <c r="H526" s="127" t="s">
        <v>430</v>
      </c>
      <c r="I526" s="127" t="s">
        <v>244</v>
      </c>
      <c r="J526" s="124">
        <v>47.0</v>
      </c>
      <c r="K526" s="124" t="s">
        <v>48</v>
      </c>
      <c r="L526" s="124">
        <v>9999.0</v>
      </c>
    </row>
    <row r="527">
      <c r="A527" s="165">
        <v>43723.14774881944</v>
      </c>
      <c r="B527" s="161" t="s">
        <v>74</v>
      </c>
      <c r="C527" s="162" t="s">
        <v>160</v>
      </c>
      <c r="D527" s="93">
        <v>3.0</v>
      </c>
      <c r="E527" s="93">
        <v>0.0</v>
      </c>
      <c r="F527" s="124" t="s">
        <v>282</v>
      </c>
      <c r="G527" s="129" t="s">
        <v>800</v>
      </c>
      <c r="H527" s="127" t="s">
        <v>430</v>
      </c>
      <c r="I527" s="127">
        <v>-25.0</v>
      </c>
      <c r="J527" s="124">
        <v>55.0</v>
      </c>
      <c r="K527" s="124" t="s">
        <v>288</v>
      </c>
      <c r="L527" s="124">
        <v>9999.0</v>
      </c>
    </row>
    <row r="528">
      <c r="A528" s="165">
        <v>43723.14774881944</v>
      </c>
      <c r="B528" s="161" t="s">
        <v>74</v>
      </c>
      <c r="C528" s="162" t="s">
        <v>174</v>
      </c>
      <c r="D528" s="93">
        <v>3.0</v>
      </c>
      <c r="E528" s="93">
        <v>0.0</v>
      </c>
      <c r="F528" s="124" t="s">
        <v>784</v>
      </c>
      <c r="G528" s="129" t="s">
        <v>787</v>
      </c>
      <c r="H528" s="127" t="s">
        <v>430</v>
      </c>
      <c r="I528" s="127">
        <v>-35.0</v>
      </c>
      <c r="J528" s="124" t="s">
        <v>387</v>
      </c>
      <c r="K528" s="124" t="s">
        <v>62</v>
      </c>
      <c r="L528" s="124">
        <v>9999.0</v>
      </c>
    </row>
    <row r="529">
      <c r="A529" s="136" t="s">
        <v>359</v>
      </c>
      <c r="B529" s="115" t="s">
        <v>2</v>
      </c>
      <c r="C529" s="153" t="s">
        <v>227</v>
      </c>
      <c r="D529" s="118" t="s">
        <v>29</v>
      </c>
      <c r="E529" s="118" t="s">
        <v>34</v>
      </c>
      <c r="F529" s="124" t="s">
        <v>261</v>
      </c>
      <c r="G529" s="129" t="s">
        <v>245</v>
      </c>
      <c r="H529" s="127" t="s">
        <v>228</v>
      </c>
      <c r="I529" s="127" t="s">
        <v>229</v>
      </c>
      <c r="J529" s="124" t="s">
        <v>262</v>
      </c>
      <c r="K529" s="124" t="s">
        <v>263</v>
      </c>
      <c r="L529" s="124" t="s">
        <v>264</v>
      </c>
    </row>
    <row r="530">
      <c r="A530" s="165">
        <v>43730.147751111115</v>
      </c>
      <c r="B530" s="161" t="s">
        <v>27</v>
      </c>
      <c r="C530" s="162" t="s">
        <v>134</v>
      </c>
      <c r="D530" s="93">
        <v>1.0</v>
      </c>
      <c r="E530" s="93">
        <v>3.0</v>
      </c>
      <c r="F530" s="124" t="s">
        <v>355</v>
      </c>
      <c r="G530" s="129" t="s">
        <v>801</v>
      </c>
      <c r="H530" s="127" t="s">
        <v>430</v>
      </c>
      <c r="I530" s="127">
        <v>17.0</v>
      </c>
      <c r="J530" s="124">
        <v>45.0</v>
      </c>
      <c r="K530" s="124" t="s">
        <v>62</v>
      </c>
      <c r="L530" s="124">
        <v>9999.0</v>
      </c>
    </row>
    <row r="531">
      <c r="A531" s="165">
        <v>43730.147751111115</v>
      </c>
      <c r="B531" s="161" t="s">
        <v>27</v>
      </c>
      <c r="C531" s="162" t="s">
        <v>195</v>
      </c>
      <c r="D531" s="93">
        <v>3.0</v>
      </c>
      <c r="E531" s="93">
        <v>1.0</v>
      </c>
      <c r="F531" s="124" t="s">
        <v>282</v>
      </c>
      <c r="G531" s="129" t="s">
        <v>802</v>
      </c>
      <c r="H531" s="127" t="s">
        <v>430</v>
      </c>
      <c r="I531" s="127">
        <v>-27.0</v>
      </c>
      <c r="J531" s="124" t="s">
        <v>585</v>
      </c>
      <c r="K531" s="124" t="s">
        <v>288</v>
      </c>
      <c r="L531" s="124">
        <v>9999.0</v>
      </c>
    </row>
    <row r="532">
      <c r="A532" s="165">
        <v>43730.147751111115</v>
      </c>
      <c r="B532" s="161" t="s">
        <v>27</v>
      </c>
      <c r="C532" s="162" t="s">
        <v>163</v>
      </c>
      <c r="D532" s="93">
        <v>4.0</v>
      </c>
      <c r="E532" s="93">
        <v>0.0</v>
      </c>
      <c r="F532" s="124" t="s">
        <v>718</v>
      </c>
      <c r="G532" s="129" t="s">
        <v>803</v>
      </c>
      <c r="H532" s="127" t="s">
        <v>430</v>
      </c>
      <c r="I532" s="127">
        <v>-14.0</v>
      </c>
      <c r="J532" s="124" t="s">
        <v>507</v>
      </c>
      <c r="K532" s="124" t="s">
        <v>288</v>
      </c>
      <c r="L532" s="124">
        <v>9999.0</v>
      </c>
    </row>
    <row r="533">
      <c r="A533" s="165">
        <v>43730.147751111115</v>
      </c>
      <c r="B533" s="161" t="s">
        <v>27</v>
      </c>
      <c r="C533" s="162" t="s">
        <v>152</v>
      </c>
      <c r="D533" s="93">
        <v>1.0</v>
      </c>
      <c r="E533" s="93">
        <v>2.0</v>
      </c>
      <c r="F533" s="124" t="s">
        <v>248</v>
      </c>
      <c r="G533" s="129" t="s">
        <v>804</v>
      </c>
      <c r="H533" s="127" t="s">
        <v>430</v>
      </c>
      <c r="I533" s="127" t="s">
        <v>203</v>
      </c>
      <c r="J533" s="124" t="s">
        <v>203</v>
      </c>
      <c r="K533" s="124" t="s">
        <v>288</v>
      </c>
      <c r="L533" s="124">
        <v>9999.0</v>
      </c>
    </row>
    <row r="534">
      <c r="A534" s="165">
        <v>43730.147751111115</v>
      </c>
      <c r="B534" s="161" t="s">
        <v>27</v>
      </c>
      <c r="C534" s="162" t="s">
        <v>107</v>
      </c>
      <c r="D534" s="93">
        <v>2.0</v>
      </c>
      <c r="E534" s="93">
        <v>1.0</v>
      </c>
      <c r="F534" s="124" t="s">
        <v>268</v>
      </c>
      <c r="G534" s="129" t="s">
        <v>805</v>
      </c>
      <c r="H534" s="127" t="s">
        <v>430</v>
      </c>
      <c r="I534" s="127">
        <v>-35.0</v>
      </c>
      <c r="J534" s="124" t="s">
        <v>419</v>
      </c>
      <c r="K534" s="124" t="s">
        <v>48</v>
      </c>
      <c r="L534" s="124">
        <v>9999.0</v>
      </c>
    </row>
    <row r="535">
      <c r="A535" s="165">
        <v>43730.147751111115</v>
      </c>
      <c r="B535" s="161" t="s">
        <v>27</v>
      </c>
      <c r="C535" s="162" t="s">
        <v>94</v>
      </c>
      <c r="D535" s="93">
        <v>2.0</v>
      </c>
      <c r="E535" s="93">
        <v>1.0</v>
      </c>
      <c r="F535" s="124" t="s">
        <v>285</v>
      </c>
      <c r="G535" s="129" t="s">
        <v>202</v>
      </c>
      <c r="H535" s="127"/>
      <c r="I535" s="127" t="s">
        <v>393</v>
      </c>
      <c r="J535" s="124" t="s">
        <v>370</v>
      </c>
      <c r="K535" s="124"/>
      <c r="L535" s="124">
        <v>9999.0</v>
      </c>
    </row>
    <row r="536">
      <c r="A536" s="165">
        <v>43730.147751111115</v>
      </c>
      <c r="B536" s="161" t="s">
        <v>27</v>
      </c>
      <c r="C536" s="162" t="s">
        <v>138</v>
      </c>
      <c r="D536" s="93">
        <v>1.0</v>
      </c>
      <c r="E536" s="93">
        <v>3.0</v>
      </c>
      <c r="F536" s="124" t="s">
        <v>267</v>
      </c>
      <c r="G536" s="129" t="s">
        <v>806</v>
      </c>
      <c r="H536" s="127" t="s">
        <v>430</v>
      </c>
      <c r="I536" s="127" t="s">
        <v>428</v>
      </c>
      <c r="J536" s="124" t="s">
        <v>559</v>
      </c>
      <c r="K536" s="124" t="s">
        <v>74</v>
      </c>
      <c r="L536" s="124">
        <v>9999.0</v>
      </c>
    </row>
    <row r="537">
      <c r="A537" s="165">
        <v>43730.147751111115</v>
      </c>
      <c r="B537" s="161" t="s">
        <v>27</v>
      </c>
      <c r="C537" s="162" t="s">
        <v>116</v>
      </c>
      <c r="D537" s="93">
        <v>3.0</v>
      </c>
      <c r="E537" s="93">
        <v>1.0</v>
      </c>
      <c r="F537" s="124" t="s">
        <v>269</v>
      </c>
      <c r="G537" s="129" t="s">
        <v>807</v>
      </c>
      <c r="H537" s="127" t="s">
        <v>430</v>
      </c>
      <c r="I537" s="127">
        <v>-14.0</v>
      </c>
      <c r="J537" s="124" t="s">
        <v>237</v>
      </c>
      <c r="K537" s="124" t="s">
        <v>288</v>
      </c>
      <c r="L537" s="124">
        <v>9999.0</v>
      </c>
    </row>
    <row r="538">
      <c r="A538" s="165">
        <v>43730.147751111115</v>
      </c>
      <c r="B538" s="161" t="s">
        <v>27</v>
      </c>
      <c r="C538" s="162" t="s">
        <v>114</v>
      </c>
      <c r="D538" s="93">
        <v>4.0</v>
      </c>
      <c r="E538" s="93">
        <v>0.0</v>
      </c>
      <c r="F538" s="124" t="s">
        <v>234</v>
      </c>
      <c r="G538" s="129" t="s">
        <v>808</v>
      </c>
      <c r="H538" s="127" t="s">
        <v>430</v>
      </c>
      <c r="I538" s="127" t="s">
        <v>591</v>
      </c>
      <c r="J538" s="124">
        <v>60.0</v>
      </c>
      <c r="K538" s="124" t="s">
        <v>64</v>
      </c>
      <c r="L538" s="124">
        <v>9999.0</v>
      </c>
    </row>
    <row r="539">
      <c r="A539" s="165">
        <v>43730.147751111115</v>
      </c>
      <c r="B539" s="161" t="s">
        <v>27</v>
      </c>
      <c r="C539" s="162" t="s">
        <v>56</v>
      </c>
      <c r="D539" s="93">
        <v>2.0</v>
      </c>
      <c r="E539" s="93">
        <v>2.0</v>
      </c>
      <c r="F539" s="124" t="s">
        <v>215</v>
      </c>
      <c r="G539" s="129" t="s">
        <v>809</v>
      </c>
      <c r="H539" s="127" t="s">
        <v>430</v>
      </c>
      <c r="I539" s="127">
        <v>14.0</v>
      </c>
      <c r="J539" s="124">
        <v>65.0</v>
      </c>
      <c r="K539" s="124" t="s">
        <v>74</v>
      </c>
      <c r="L539" s="124">
        <v>9999.0</v>
      </c>
    </row>
    <row r="540">
      <c r="A540" s="136" t="s">
        <v>359</v>
      </c>
      <c r="B540" s="115" t="s">
        <v>2</v>
      </c>
      <c r="C540" s="153" t="s">
        <v>227</v>
      </c>
      <c r="D540" s="118" t="s">
        <v>29</v>
      </c>
      <c r="E540" s="118" t="s">
        <v>34</v>
      </c>
      <c r="F540" s="124" t="s">
        <v>261</v>
      </c>
      <c r="G540" s="129" t="s">
        <v>245</v>
      </c>
      <c r="H540" s="127" t="s">
        <v>228</v>
      </c>
      <c r="I540" s="127" t="s">
        <v>229</v>
      </c>
      <c r="J540" s="124" t="s">
        <v>262</v>
      </c>
      <c r="K540" s="124" t="s">
        <v>263</v>
      </c>
      <c r="L540" s="124" t="s">
        <v>264</v>
      </c>
    </row>
    <row r="541">
      <c r="A541" s="165">
        <v>43730.147751111115</v>
      </c>
      <c r="B541" s="161" t="s">
        <v>38</v>
      </c>
      <c r="C541" s="162" t="s">
        <v>129</v>
      </c>
      <c r="D541" s="93">
        <v>1.0</v>
      </c>
      <c r="E541" s="93">
        <v>2.0</v>
      </c>
      <c r="F541" s="124" t="s">
        <v>248</v>
      </c>
      <c r="G541" s="129" t="s">
        <v>810</v>
      </c>
      <c r="H541" s="127" t="s">
        <v>430</v>
      </c>
      <c r="I541" s="127" t="s">
        <v>203</v>
      </c>
      <c r="J541" s="124" t="s">
        <v>203</v>
      </c>
      <c r="K541" s="124" t="s">
        <v>53</v>
      </c>
      <c r="L541" s="124">
        <v>9999.0</v>
      </c>
    </row>
    <row r="542">
      <c r="A542" s="165">
        <v>43730.147751111115</v>
      </c>
      <c r="B542" s="161" t="s">
        <v>38</v>
      </c>
      <c r="C542" s="162" t="s">
        <v>139</v>
      </c>
      <c r="D542" s="93">
        <v>1.0</v>
      </c>
      <c r="E542" s="93">
        <v>3.0</v>
      </c>
      <c r="F542" s="124" t="s">
        <v>267</v>
      </c>
      <c r="G542" s="129" t="s">
        <v>811</v>
      </c>
      <c r="H542" s="127" t="s">
        <v>430</v>
      </c>
      <c r="I542" s="127" t="s">
        <v>492</v>
      </c>
      <c r="J542" s="124" t="s">
        <v>446</v>
      </c>
      <c r="K542" s="124" t="s">
        <v>62</v>
      </c>
      <c r="L542" s="124">
        <v>9999.0</v>
      </c>
    </row>
    <row r="543">
      <c r="A543" s="165">
        <v>43730.147751111115</v>
      </c>
      <c r="B543" s="161" t="s">
        <v>38</v>
      </c>
      <c r="C543" s="162" t="s">
        <v>198</v>
      </c>
      <c r="D543" s="93">
        <v>0.0</v>
      </c>
      <c r="E543" s="93">
        <v>4.0</v>
      </c>
      <c r="F543" s="124" t="s">
        <v>727</v>
      </c>
      <c r="G543" s="129" t="s">
        <v>812</v>
      </c>
      <c r="H543" s="127" t="s">
        <v>430</v>
      </c>
      <c r="I543" s="127">
        <v>16.0</v>
      </c>
      <c r="J543" s="124">
        <v>50.0</v>
      </c>
      <c r="K543" s="124" t="s">
        <v>48</v>
      </c>
      <c r="L543" s="124">
        <v>9999.0</v>
      </c>
    </row>
    <row r="544">
      <c r="A544" s="165">
        <v>43730.147751111115</v>
      </c>
      <c r="B544" s="161" t="s">
        <v>38</v>
      </c>
      <c r="C544" s="162" t="s">
        <v>156</v>
      </c>
      <c r="D544" s="93">
        <v>3.0</v>
      </c>
      <c r="E544" s="93">
        <v>0.0</v>
      </c>
      <c r="F544" s="124" t="s">
        <v>727</v>
      </c>
      <c r="G544" s="129" t="s">
        <v>813</v>
      </c>
      <c r="H544" s="127" t="s">
        <v>430</v>
      </c>
      <c r="I544" s="127">
        <v>-16.0</v>
      </c>
      <c r="J544" s="124">
        <v>50.0</v>
      </c>
      <c r="K544" s="124" t="s">
        <v>41</v>
      </c>
      <c r="L544" s="124">
        <v>9999.0</v>
      </c>
    </row>
    <row r="545">
      <c r="A545" s="165">
        <v>43730.147751111115</v>
      </c>
      <c r="B545" s="161" t="s">
        <v>38</v>
      </c>
      <c r="C545" s="162" t="s">
        <v>97</v>
      </c>
      <c r="D545" s="93">
        <v>2.0</v>
      </c>
      <c r="E545" s="93">
        <v>1.0</v>
      </c>
      <c r="F545" s="124" t="s">
        <v>269</v>
      </c>
      <c r="G545" s="129" t="s">
        <v>814</v>
      </c>
      <c r="H545" s="127" t="s">
        <v>430</v>
      </c>
      <c r="I545" s="127" t="s">
        <v>428</v>
      </c>
      <c r="J545" s="124" t="s">
        <v>637</v>
      </c>
      <c r="K545" s="124" t="s">
        <v>53</v>
      </c>
      <c r="L545" s="124">
        <v>9999.0</v>
      </c>
    </row>
    <row r="546">
      <c r="A546" s="165">
        <v>43730.147751111115</v>
      </c>
      <c r="B546" s="161" t="s">
        <v>38</v>
      </c>
      <c r="C546" s="162" t="s">
        <v>68</v>
      </c>
      <c r="D546" s="93">
        <v>4.0</v>
      </c>
      <c r="E546" s="93">
        <v>0.0</v>
      </c>
      <c r="F546" s="124" t="s">
        <v>207</v>
      </c>
      <c r="G546" s="129" t="s">
        <v>815</v>
      </c>
      <c r="H546" s="127" t="s">
        <v>430</v>
      </c>
      <c r="I546" s="127" t="s">
        <v>521</v>
      </c>
      <c r="J546" s="124" t="s">
        <v>240</v>
      </c>
      <c r="K546" s="124" t="s">
        <v>44</v>
      </c>
      <c r="L546" s="124">
        <v>9999.0</v>
      </c>
    </row>
    <row r="547">
      <c r="A547" s="165">
        <v>43730.147751111115</v>
      </c>
      <c r="B547" s="161" t="s">
        <v>38</v>
      </c>
      <c r="C547" s="162" t="s">
        <v>172</v>
      </c>
      <c r="D547" s="93">
        <v>3.0</v>
      </c>
      <c r="E547" s="93">
        <v>0.0</v>
      </c>
      <c r="F547" s="124" t="s">
        <v>201</v>
      </c>
      <c r="G547" s="129" t="s">
        <v>816</v>
      </c>
      <c r="H547" s="127" t="s">
        <v>430</v>
      </c>
      <c r="I547" s="127">
        <v>-9.0</v>
      </c>
      <c r="J547" s="124" t="s">
        <v>732</v>
      </c>
      <c r="K547" s="124" t="s">
        <v>41</v>
      </c>
      <c r="L547" s="124">
        <v>9999.0</v>
      </c>
    </row>
    <row r="548">
      <c r="A548" s="165">
        <v>43730.147751111115</v>
      </c>
      <c r="B548" s="161" t="s">
        <v>38</v>
      </c>
      <c r="C548" s="162" t="s">
        <v>32</v>
      </c>
      <c r="D548" s="93">
        <v>2.0</v>
      </c>
      <c r="E548" s="93">
        <v>2.0</v>
      </c>
      <c r="F548" s="124" t="s">
        <v>260</v>
      </c>
      <c r="G548" s="129" t="s">
        <v>817</v>
      </c>
      <c r="H548" s="127" t="s">
        <v>430</v>
      </c>
      <c r="I548" s="127">
        <v>7.0</v>
      </c>
      <c r="J548" s="124">
        <v>54.0</v>
      </c>
      <c r="K548" s="124" t="s">
        <v>288</v>
      </c>
      <c r="L548" s="124">
        <v>9999.0</v>
      </c>
    </row>
    <row r="549">
      <c r="A549" s="165">
        <v>43730.147751111115</v>
      </c>
      <c r="B549" s="161" t="s">
        <v>38</v>
      </c>
      <c r="C549" s="162" t="s">
        <v>178</v>
      </c>
      <c r="D549" s="93">
        <v>4.0</v>
      </c>
      <c r="E549" s="93">
        <v>0.0</v>
      </c>
      <c r="F549" s="124" t="s">
        <v>287</v>
      </c>
      <c r="G549" s="129" t="s">
        <v>818</v>
      </c>
      <c r="H549" s="127" t="s">
        <v>430</v>
      </c>
      <c r="I549" s="127">
        <v>-51.0</v>
      </c>
      <c r="J549" s="124" t="s">
        <v>735</v>
      </c>
      <c r="K549" s="124" t="s">
        <v>288</v>
      </c>
      <c r="L549" s="124">
        <v>9999.0</v>
      </c>
    </row>
    <row r="550">
      <c r="A550" s="165">
        <v>43730.147751111115</v>
      </c>
      <c r="B550" s="161" t="s">
        <v>38</v>
      </c>
      <c r="C550" s="162" t="s">
        <v>113</v>
      </c>
      <c r="D550" s="93">
        <v>3.0</v>
      </c>
      <c r="E550" s="93">
        <v>1.0</v>
      </c>
      <c r="F550" s="124" t="s">
        <v>278</v>
      </c>
      <c r="G550" s="129" t="s">
        <v>819</v>
      </c>
      <c r="H550" s="127" t="s">
        <v>430</v>
      </c>
      <c r="I550" s="127">
        <v>-14.0</v>
      </c>
      <c r="J550" s="124">
        <v>42.0</v>
      </c>
      <c r="K550" s="124" t="s">
        <v>60</v>
      </c>
      <c r="L550" s="124">
        <v>9999.0</v>
      </c>
    </row>
    <row r="551">
      <c r="A551" s="136" t="s">
        <v>359</v>
      </c>
      <c r="B551" s="115" t="s">
        <v>2</v>
      </c>
      <c r="C551" s="153" t="s">
        <v>227</v>
      </c>
      <c r="D551" s="118" t="s">
        <v>29</v>
      </c>
      <c r="E551" s="118" t="s">
        <v>34</v>
      </c>
      <c r="F551" s="124" t="s">
        <v>261</v>
      </c>
      <c r="G551" s="129" t="s">
        <v>245</v>
      </c>
      <c r="H551" s="127" t="s">
        <v>228</v>
      </c>
      <c r="I551" s="127" t="s">
        <v>229</v>
      </c>
      <c r="J551" s="124" t="s">
        <v>262</v>
      </c>
      <c r="K551" s="124" t="s">
        <v>263</v>
      </c>
      <c r="L551" s="124" t="s">
        <v>264</v>
      </c>
    </row>
    <row r="552">
      <c r="A552" s="165">
        <v>43730.147751111115</v>
      </c>
      <c r="B552" s="161" t="s">
        <v>41</v>
      </c>
      <c r="C552" s="162" t="s">
        <v>126</v>
      </c>
      <c r="D552" s="93">
        <v>2.0</v>
      </c>
      <c r="E552" s="93">
        <v>1.0</v>
      </c>
      <c r="F552" s="124" t="s">
        <v>284</v>
      </c>
      <c r="G552" s="129" t="s">
        <v>202</v>
      </c>
      <c r="H552" s="127"/>
      <c r="I552" s="127" t="s">
        <v>512</v>
      </c>
      <c r="J552" s="124" t="s">
        <v>394</v>
      </c>
      <c r="K552" s="124"/>
      <c r="L552" s="124">
        <v>9999.0</v>
      </c>
    </row>
    <row r="553">
      <c r="A553" s="165">
        <v>43730.147751111115</v>
      </c>
      <c r="B553" s="161" t="s">
        <v>41</v>
      </c>
      <c r="C553" s="162" t="s">
        <v>146</v>
      </c>
      <c r="D553" s="93">
        <v>1.0</v>
      </c>
      <c r="E553" s="93">
        <v>3.0</v>
      </c>
      <c r="F553" s="124" t="s">
        <v>284</v>
      </c>
      <c r="G553" s="129" t="s">
        <v>820</v>
      </c>
      <c r="H553" s="127" t="s">
        <v>430</v>
      </c>
      <c r="I553" s="127" t="s">
        <v>376</v>
      </c>
      <c r="J553" s="124" t="s">
        <v>394</v>
      </c>
      <c r="K553" s="124" t="s">
        <v>41</v>
      </c>
      <c r="L553" s="124">
        <v>9999.0</v>
      </c>
    </row>
    <row r="554">
      <c r="A554" s="165">
        <v>43730.147751111115</v>
      </c>
      <c r="B554" s="161" t="s">
        <v>41</v>
      </c>
      <c r="C554" s="162" t="s">
        <v>109</v>
      </c>
      <c r="D554" s="93">
        <v>2.0</v>
      </c>
      <c r="E554" s="93">
        <v>2.0</v>
      </c>
      <c r="F554" s="124" t="s">
        <v>207</v>
      </c>
      <c r="G554" s="129" t="s">
        <v>821</v>
      </c>
      <c r="H554" s="127" t="s">
        <v>430</v>
      </c>
      <c r="I554" s="127" t="s">
        <v>739</v>
      </c>
      <c r="J554" s="124" t="s">
        <v>546</v>
      </c>
      <c r="K554" s="124" t="s">
        <v>62</v>
      </c>
      <c r="L554" s="124">
        <v>9999.0</v>
      </c>
    </row>
    <row r="555">
      <c r="A555" s="165">
        <v>43730.147751111115</v>
      </c>
      <c r="B555" s="161" t="s">
        <v>41</v>
      </c>
      <c r="C555" s="162" t="s">
        <v>52</v>
      </c>
      <c r="D555" s="93">
        <v>3.0</v>
      </c>
      <c r="E555" s="93">
        <v>1.0</v>
      </c>
      <c r="F555" s="124" t="s">
        <v>282</v>
      </c>
      <c r="G555" s="129" t="s">
        <v>822</v>
      </c>
      <c r="H555" s="127" t="s">
        <v>430</v>
      </c>
      <c r="I555" s="127">
        <v>-29.0</v>
      </c>
      <c r="J555" s="124">
        <v>55.0</v>
      </c>
      <c r="K555" s="124" t="s">
        <v>48</v>
      </c>
      <c r="L555" s="124">
        <v>9999.0</v>
      </c>
    </row>
    <row r="556">
      <c r="A556" s="165">
        <v>43730.147751111115</v>
      </c>
      <c r="B556" s="161" t="s">
        <v>41</v>
      </c>
      <c r="C556" s="162" t="s">
        <v>91</v>
      </c>
      <c r="D556" s="93">
        <v>2.0</v>
      </c>
      <c r="E556" s="93">
        <v>2.0</v>
      </c>
      <c r="F556" s="124" t="s">
        <v>207</v>
      </c>
      <c r="G556" s="129" t="s">
        <v>823</v>
      </c>
      <c r="H556" s="127" t="s">
        <v>430</v>
      </c>
      <c r="I556" s="127">
        <v>17.0</v>
      </c>
      <c r="J556" s="124">
        <v>52.0</v>
      </c>
      <c r="K556" s="124" t="s">
        <v>60</v>
      </c>
      <c r="L556" s="124">
        <v>9999.0</v>
      </c>
    </row>
    <row r="557">
      <c r="A557" s="165">
        <v>43730.147751111115</v>
      </c>
      <c r="B557" s="161" t="s">
        <v>41</v>
      </c>
      <c r="C557" s="162" t="s">
        <v>111</v>
      </c>
      <c r="D557" s="93">
        <v>2.0</v>
      </c>
      <c r="E557" s="93">
        <v>1.0</v>
      </c>
      <c r="F557" s="124" t="s">
        <v>260</v>
      </c>
      <c r="G557" s="129" t="s">
        <v>202</v>
      </c>
      <c r="H557" s="127"/>
      <c r="I557" s="127">
        <v>-7.0</v>
      </c>
      <c r="J557" s="124">
        <v>64.0</v>
      </c>
      <c r="K557" s="124"/>
      <c r="L557" s="124">
        <v>9999.0</v>
      </c>
    </row>
    <row r="558">
      <c r="A558" s="165">
        <v>43730.147751111115</v>
      </c>
      <c r="B558" s="161" t="s">
        <v>41</v>
      </c>
      <c r="C558" s="162" t="s">
        <v>180</v>
      </c>
      <c r="D558" s="93">
        <v>3.0</v>
      </c>
      <c r="E558" s="93">
        <v>1.0</v>
      </c>
      <c r="F558" s="124" t="s">
        <v>743</v>
      </c>
      <c r="G558" s="129" t="s">
        <v>824</v>
      </c>
      <c r="H558" s="127" t="s">
        <v>430</v>
      </c>
      <c r="I558" s="127">
        <v>-34.0</v>
      </c>
      <c r="J558" s="124">
        <v>67.0</v>
      </c>
      <c r="K558" s="124" t="s">
        <v>69</v>
      </c>
      <c r="L558" s="124">
        <v>9999.0</v>
      </c>
    </row>
    <row r="559">
      <c r="A559" s="165">
        <v>43730.147751111115</v>
      </c>
      <c r="B559" s="161" t="s">
        <v>41</v>
      </c>
      <c r="C559" s="162" t="s">
        <v>168</v>
      </c>
      <c r="D559" s="93">
        <v>0.0</v>
      </c>
      <c r="E559" s="93">
        <v>3.0</v>
      </c>
      <c r="F559" s="124" t="s">
        <v>278</v>
      </c>
      <c r="G559" s="129" t="s">
        <v>816</v>
      </c>
      <c r="H559" s="127" t="s">
        <v>430</v>
      </c>
      <c r="I559" s="127">
        <v>23.0</v>
      </c>
      <c r="J559" s="124" t="s">
        <v>487</v>
      </c>
      <c r="K559" s="124" t="s">
        <v>38</v>
      </c>
      <c r="L559" s="124">
        <v>9999.0</v>
      </c>
    </row>
    <row r="560">
      <c r="A560" s="165">
        <v>43730.147751111115</v>
      </c>
      <c r="B560" s="161" t="s">
        <v>41</v>
      </c>
      <c r="C560" s="162" t="s">
        <v>159</v>
      </c>
      <c r="D560" s="93">
        <v>1.0</v>
      </c>
      <c r="E560" s="93">
        <v>1.0</v>
      </c>
      <c r="F560" s="124" t="s">
        <v>248</v>
      </c>
      <c r="G560" s="129" t="s">
        <v>813</v>
      </c>
      <c r="H560" s="127" t="s">
        <v>430</v>
      </c>
      <c r="I560" s="127" t="s">
        <v>203</v>
      </c>
      <c r="J560" s="124" t="s">
        <v>203</v>
      </c>
      <c r="K560" s="124" t="s">
        <v>38</v>
      </c>
      <c r="L560" s="124">
        <v>9999.0</v>
      </c>
    </row>
    <row r="561">
      <c r="A561" s="165">
        <v>43730.147751111115</v>
      </c>
      <c r="B561" s="161" t="s">
        <v>41</v>
      </c>
      <c r="C561" s="162" t="s">
        <v>190</v>
      </c>
      <c r="D561" s="93">
        <v>3.0</v>
      </c>
      <c r="E561" s="93">
        <v>1.0</v>
      </c>
      <c r="F561" s="124" t="s">
        <v>248</v>
      </c>
      <c r="G561" s="129" t="s">
        <v>820</v>
      </c>
      <c r="H561" s="127" t="s">
        <v>430</v>
      </c>
      <c r="I561" s="127">
        <v>-47.0</v>
      </c>
      <c r="J561" s="124">
        <v>75.0</v>
      </c>
      <c r="K561" s="124" t="s">
        <v>41</v>
      </c>
      <c r="L561" s="124">
        <v>9999.0</v>
      </c>
    </row>
    <row r="562">
      <c r="A562" s="136" t="s">
        <v>359</v>
      </c>
      <c r="B562" s="115" t="s">
        <v>2</v>
      </c>
      <c r="C562" s="153" t="s">
        <v>227</v>
      </c>
      <c r="D562" s="118" t="s">
        <v>29</v>
      </c>
      <c r="E562" s="118" t="s">
        <v>34</v>
      </c>
      <c r="F562" s="124" t="s">
        <v>261</v>
      </c>
      <c r="G562" s="129" t="s">
        <v>245</v>
      </c>
      <c r="H562" s="127" t="s">
        <v>228</v>
      </c>
      <c r="I562" s="127" t="s">
        <v>229</v>
      </c>
      <c r="J562" s="124" t="s">
        <v>262</v>
      </c>
      <c r="K562" s="124" t="s">
        <v>263</v>
      </c>
      <c r="L562" s="124" t="s">
        <v>264</v>
      </c>
    </row>
    <row r="563">
      <c r="A563" s="165">
        <v>43730.147751111115</v>
      </c>
      <c r="B563" s="161" t="s">
        <v>44</v>
      </c>
      <c r="C563" s="162" t="s">
        <v>145</v>
      </c>
      <c r="D563" s="93">
        <v>1.0</v>
      </c>
      <c r="E563" s="93">
        <v>2.0</v>
      </c>
      <c r="F563" s="124" t="s">
        <v>269</v>
      </c>
      <c r="G563" s="129" t="s">
        <v>202</v>
      </c>
      <c r="H563" s="127"/>
      <c r="I563" s="127">
        <v>14.0</v>
      </c>
      <c r="J563" s="124" t="s">
        <v>237</v>
      </c>
      <c r="K563" s="124"/>
      <c r="L563" s="124">
        <v>9999.0</v>
      </c>
    </row>
    <row r="564">
      <c r="A564" s="165">
        <v>43730.147751111115</v>
      </c>
      <c r="B564" s="161" t="s">
        <v>44</v>
      </c>
      <c r="C564" s="162" t="s">
        <v>132</v>
      </c>
      <c r="D564" s="93">
        <v>2.0</v>
      </c>
      <c r="E564" s="93">
        <v>2.0</v>
      </c>
      <c r="F564" s="124" t="s">
        <v>267</v>
      </c>
      <c r="G564" s="129" t="s">
        <v>815</v>
      </c>
      <c r="H564" s="127" t="s">
        <v>430</v>
      </c>
      <c r="I564" s="127" t="s">
        <v>748</v>
      </c>
      <c r="J564" s="124">
        <v>69.0</v>
      </c>
      <c r="K564" s="124" t="s">
        <v>38</v>
      </c>
      <c r="L564" s="124">
        <v>9999.0</v>
      </c>
    </row>
    <row r="565">
      <c r="A565" s="165">
        <v>43730.147751111115</v>
      </c>
      <c r="B565" s="161" t="s">
        <v>44</v>
      </c>
      <c r="C565" s="162" t="s">
        <v>173</v>
      </c>
      <c r="D565" s="93">
        <v>2.0</v>
      </c>
      <c r="E565" s="93">
        <v>2.0</v>
      </c>
      <c r="F565" s="124" t="s">
        <v>287</v>
      </c>
      <c r="G565" s="129" t="s">
        <v>825</v>
      </c>
      <c r="H565" s="127" t="s">
        <v>430</v>
      </c>
      <c r="I565" s="127" t="s">
        <v>275</v>
      </c>
      <c r="J565" s="124" t="s">
        <v>412</v>
      </c>
      <c r="K565" s="124" t="s">
        <v>53</v>
      </c>
      <c r="L565" s="124">
        <v>9999.0</v>
      </c>
    </row>
    <row r="566">
      <c r="A566" s="165">
        <v>43730.147751111115</v>
      </c>
      <c r="B566" s="161" t="s">
        <v>44</v>
      </c>
      <c r="C566" s="162" t="s">
        <v>37</v>
      </c>
      <c r="D566" s="93">
        <v>2.0</v>
      </c>
      <c r="E566" s="93">
        <v>0.0</v>
      </c>
      <c r="F566" s="124" t="s">
        <v>260</v>
      </c>
      <c r="G566" s="129" t="s">
        <v>202</v>
      </c>
      <c r="H566" s="127"/>
      <c r="I566" s="127">
        <v>-7.0</v>
      </c>
      <c r="J566" s="124">
        <v>54.0</v>
      </c>
      <c r="K566" s="124"/>
      <c r="L566" s="124">
        <v>9999.0</v>
      </c>
    </row>
    <row r="567">
      <c r="A567" s="165">
        <v>43730.147751111115</v>
      </c>
      <c r="B567" s="161" t="s">
        <v>44</v>
      </c>
      <c r="C567" s="162" t="s">
        <v>150</v>
      </c>
      <c r="D567" s="93">
        <v>4.0</v>
      </c>
      <c r="E567" s="93">
        <v>0.0</v>
      </c>
      <c r="F567" s="124" t="s">
        <v>215</v>
      </c>
      <c r="G567" s="129" t="s">
        <v>826</v>
      </c>
      <c r="H567" s="127" t="s">
        <v>430</v>
      </c>
      <c r="I567" s="127" t="s">
        <v>751</v>
      </c>
      <c r="J567" s="124">
        <v>54.0</v>
      </c>
      <c r="K567" s="124" t="s">
        <v>60</v>
      </c>
      <c r="L567" s="124">
        <v>9999.0</v>
      </c>
    </row>
    <row r="568">
      <c r="A568" s="165">
        <v>43730.147751111115</v>
      </c>
      <c r="B568" s="161" t="s">
        <v>44</v>
      </c>
      <c r="C568" s="162" t="s">
        <v>122</v>
      </c>
      <c r="D568" s="93">
        <v>3.0</v>
      </c>
      <c r="E568" s="93">
        <v>0.0</v>
      </c>
      <c r="F568" s="124" t="s">
        <v>248</v>
      </c>
      <c r="G568" s="129" t="s">
        <v>827</v>
      </c>
      <c r="H568" s="127" t="s">
        <v>430</v>
      </c>
      <c r="I568" s="127" t="s">
        <v>203</v>
      </c>
      <c r="J568" s="124" t="s">
        <v>203</v>
      </c>
      <c r="K568" s="124" t="s">
        <v>62</v>
      </c>
      <c r="L568" s="124">
        <v>9999.0</v>
      </c>
    </row>
    <row r="569">
      <c r="A569" s="165">
        <v>43730.147751111115</v>
      </c>
      <c r="B569" s="161" t="s">
        <v>44</v>
      </c>
      <c r="C569" s="162" t="s">
        <v>61</v>
      </c>
      <c r="D569" s="93">
        <v>3.0</v>
      </c>
      <c r="E569" s="93">
        <v>1.0</v>
      </c>
      <c r="F569" s="124" t="s">
        <v>285</v>
      </c>
      <c r="G569" s="129" t="s">
        <v>828</v>
      </c>
      <c r="H569" s="127" t="s">
        <v>430</v>
      </c>
      <c r="I569" s="127">
        <v>-21.0</v>
      </c>
      <c r="J569" s="124">
        <v>53.0</v>
      </c>
      <c r="K569" s="124" t="s">
        <v>288</v>
      </c>
      <c r="L569" s="124">
        <v>9999.0</v>
      </c>
    </row>
    <row r="570">
      <c r="A570" s="165">
        <v>43730.147751111115</v>
      </c>
      <c r="B570" s="161" t="s">
        <v>44</v>
      </c>
      <c r="C570" s="162" t="s">
        <v>188</v>
      </c>
      <c r="D570" s="93">
        <v>1.0</v>
      </c>
      <c r="E570" s="93">
        <v>2.0</v>
      </c>
      <c r="F570" s="124" t="s">
        <v>266</v>
      </c>
      <c r="G570" s="129" t="s">
        <v>202</v>
      </c>
      <c r="H570" s="127"/>
      <c r="I570" s="127" t="s">
        <v>251</v>
      </c>
      <c r="J570" s="124">
        <v>46.0</v>
      </c>
      <c r="K570" s="124"/>
      <c r="L570" s="124">
        <v>9999.0</v>
      </c>
    </row>
    <row r="571">
      <c r="A571" s="165">
        <v>43730.147751111115</v>
      </c>
      <c r="B571" s="161" t="s">
        <v>44</v>
      </c>
      <c r="C571" s="162" t="s">
        <v>104</v>
      </c>
      <c r="D571" s="93">
        <v>2.0</v>
      </c>
      <c r="E571" s="93">
        <v>1.0</v>
      </c>
      <c r="F571" s="124" t="s">
        <v>201</v>
      </c>
      <c r="G571" s="129" t="s">
        <v>202</v>
      </c>
      <c r="H571" s="127"/>
      <c r="I571" s="127" t="s">
        <v>451</v>
      </c>
      <c r="J571" s="124" t="s">
        <v>755</v>
      </c>
      <c r="K571" s="124"/>
      <c r="L571" s="124">
        <v>9999.0</v>
      </c>
    </row>
    <row r="572">
      <c r="A572" s="165">
        <v>43730.147751111115</v>
      </c>
      <c r="B572" s="161" t="s">
        <v>44</v>
      </c>
      <c r="C572" s="162" t="s">
        <v>161</v>
      </c>
      <c r="D572" s="93">
        <v>2.0</v>
      </c>
      <c r="E572" s="93">
        <v>1.0</v>
      </c>
      <c r="F572" s="124" t="s">
        <v>201</v>
      </c>
      <c r="G572" s="129" t="s">
        <v>202</v>
      </c>
      <c r="H572" s="127"/>
      <c r="I572" s="127" t="s">
        <v>428</v>
      </c>
      <c r="J572" s="124" t="s">
        <v>755</v>
      </c>
      <c r="K572" s="124"/>
      <c r="L572" s="124">
        <v>9999.0</v>
      </c>
    </row>
    <row r="573">
      <c r="A573" s="136" t="s">
        <v>359</v>
      </c>
      <c r="B573" s="115" t="s">
        <v>2</v>
      </c>
      <c r="C573" s="153" t="s">
        <v>227</v>
      </c>
      <c r="D573" s="118" t="s">
        <v>29</v>
      </c>
      <c r="E573" s="118" t="s">
        <v>34</v>
      </c>
      <c r="F573" s="124" t="s">
        <v>261</v>
      </c>
      <c r="G573" s="129" t="s">
        <v>245</v>
      </c>
      <c r="H573" s="127" t="s">
        <v>228</v>
      </c>
      <c r="I573" s="127" t="s">
        <v>229</v>
      </c>
      <c r="J573" s="124" t="s">
        <v>262</v>
      </c>
      <c r="K573" s="124" t="s">
        <v>263</v>
      </c>
      <c r="L573" s="124" t="s">
        <v>264</v>
      </c>
    </row>
    <row r="574">
      <c r="A574" s="165">
        <v>43730.147751111115</v>
      </c>
      <c r="B574" s="161" t="s">
        <v>48</v>
      </c>
      <c r="C574" s="162" t="s">
        <v>105</v>
      </c>
      <c r="D574" s="93">
        <v>3.0</v>
      </c>
      <c r="E574" s="93">
        <v>1.0</v>
      </c>
      <c r="F574" s="124" t="s">
        <v>269</v>
      </c>
      <c r="G574" s="129" t="s">
        <v>829</v>
      </c>
      <c r="H574" s="127" t="s">
        <v>430</v>
      </c>
      <c r="I574" s="127" t="s">
        <v>247</v>
      </c>
      <c r="J574" s="124">
        <v>47.0</v>
      </c>
      <c r="K574" s="124" t="s">
        <v>64</v>
      </c>
      <c r="L574" s="124">
        <v>9999.0</v>
      </c>
    </row>
    <row r="575">
      <c r="A575" s="165">
        <v>43730.147751111115</v>
      </c>
      <c r="B575" s="161" t="s">
        <v>48</v>
      </c>
      <c r="C575" s="162" t="s">
        <v>90</v>
      </c>
      <c r="D575" s="93">
        <v>2.0</v>
      </c>
      <c r="E575" s="93">
        <v>2.0</v>
      </c>
      <c r="F575" s="124" t="s">
        <v>248</v>
      </c>
      <c r="G575" s="129" t="s">
        <v>830</v>
      </c>
      <c r="H575" s="127" t="s">
        <v>430</v>
      </c>
      <c r="I575" s="127">
        <v>3.0</v>
      </c>
      <c r="J575" s="124">
        <v>67.0</v>
      </c>
      <c r="K575" s="124" t="s">
        <v>58</v>
      </c>
      <c r="L575" s="124">
        <v>9999.0</v>
      </c>
    </row>
    <row r="576">
      <c r="A576" s="165">
        <v>43730.147751111115</v>
      </c>
      <c r="B576" s="161" t="s">
        <v>48</v>
      </c>
      <c r="C576" s="162" t="s">
        <v>187</v>
      </c>
      <c r="D576" s="93">
        <v>2.0</v>
      </c>
      <c r="E576" s="93">
        <v>2.0</v>
      </c>
      <c r="F576" s="124" t="s">
        <v>215</v>
      </c>
      <c r="G576" s="129" t="s">
        <v>831</v>
      </c>
      <c r="H576" s="127" t="s">
        <v>430</v>
      </c>
      <c r="I576" s="127" t="s">
        <v>454</v>
      </c>
      <c r="J576" s="124">
        <v>58.0</v>
      </c>
      <c r="K576" s="124" t="s">
        <v>288</v>
      </c>
      <c r="L576" s="124">
        <v>9999.0</v>
      </c>
    </row>
    <row r="577">
      <c r="A577" s="165">
        <v>43730.147751111115</v>
      </c>
      <c r="B577" s="161" t="s">
        <v>48</v>
      </c>
      <c r="C577" s="162" t="s">
        <v>155</v>
      </c>
      <c r="D577" s="93">
        <v>2.0</v>
      </c>
      <c r="E577" s="93">
        <v>1.0</v>
      </c>
      <c r="F577" s="124" t="s">
        <v>268</v>
      </c>
      <c r="G577" s="129" t="s">
        <v>812</v>
      </c>
      <c r="H577" s="127" t="s">
        <v>430</v>
      </c>
      <c r="I577" s="127">
        <v>35.0</v>
      </c>
      <c r="J577" s="124" t="s">
        <v>419</v>
      </c>
      <c r="K577" s="124" t="s">
        <v>38</v>
      </c>
      <c r="L577" s="124">
        <v>9999.0</v>
      </c>
    </row>
    <row r="578">
      <c r="A578" s="165">
        <v>43730.147751111115</v>
      </c>
      <c r="B578" s="161" t="s">
        <v>48</v>
      </c>
      <c r="C578" s="162" t="s">
        <v>162</v>
      </c>
      <c r="D578" s="93">
        <v>3.0</v>
      </c>
      <c r="E578" s="93">
        <v>1.0</v>
      </c>
      <c r="F578" s="124" t="s">
        <v>278</v>
      </c>
      <c r="G578" s="129" t="s">
        <v>832</v>
      </c>
      <c r="H578" s="127" t="s">
        <v>430</v>
      </c>
      <c r="I578" s="127">
        <v>14.0</v>
      </c>
      <c r="J578" s="124">
        <v>42.0</v>
      </c>
      <c r="K578" s="124" t="s">
        <v>53</v>
      </c>
      <c r="L578" s="124">
        <v>9999.0</v>
      </c>
    </row>
    <row r="579">
      <c r="A579" s="165">
        <v>43730.147751111115</v>
      </c>
      <c r="B579" s="161" t="s">
        <v>48</v>
      </c>
      <c r="C579" s="162" t="s">
        <v>120</v>
      </c>
      <c r="D579" s="93">
        <v>1.0</v>
      </c>
      <c r="E579" s="93">
        <v>2.0</v>
      </c>
      <c r="F579" s="124" t="s">
        <v>266</v>
      </c>
      <c r="G579" s="129" t="s">
        <v>202</v>
      </c>
      <c r="H579" s="127"/>
      <c r="I579" s="127" t="s">
        <v>428</v>
      </c>
      <c r="J579" s="124">
        <v>51.0</v>
      </c>
      <c r="K579" s="124"/>
      <c r="L579" s="124">
        <v>9999.0</v>
      </c>
    </row>
    <row r="580">
      <c r="A580" s="165">
        <v>43730.147751111115</v>
      </c>
      <c r="B580" s="161" t="s">
        <v>48</v>
      </c>
      <c r="C580" s="162" t="s">
        <v>144</v>
      </c>
      <c r="D580" s="93">
        <v>1.0</v>
      </c>
      <c r="E580" s="93">
        <v>3.0</v>
      </c>
      <c r="F580" s="124" t="s">
        <v>248</v>
      </c>
      <c r="G580" s="129" t="s">
        <v>833</v>
      </c>
      <c r="H580" s="127" t="s">
        <v>430</v>
      </c>
      <c r="I580" s="127">
        <v>17.0</v>
      </c>
      <c r="J580" s="124">
        <v>49.0</v>
      </c>
      <c r="K580" s="124" t="s">
        <v>74</v>
      </c>
      <c r="L580" s="124">
        <v>9999.0</v>
      </c>
    </row>
    <row r="581">
      <c r="A581" s="165">
        <v>43730.147751111115</v>
      </c>
      <c r="B581" s="161" t="s">
        <v>48</v>
      </c>
      <c r="C581" s="162" t="s">
        <v>176</v>
      </c>
      <c r="D581" s="93">
        <v>4.0</v>
      </c>
      <c r="E581" s="93">
        <v>0.0</v>
      </c>
      <c r="F581" s="124" t="s">
        <v>215</v>
      </c>
      <c r="G581" s="129" t="s">
        <v>805</v>
      </c>
      <c r="H581" s="127" t="s">
        <v>430</v>
      </c>
      <c r="I581" s="127" t="s">
        <v>495</v>
      </c>
      <c r="J581" s="124">
        <v>58.0</v>
      </c>
      <c r="K581" s="124" t="s">
        <v>27</v>
      </c>
      <c r="L581" s="124">
        <v>9999.0</v>
      </c>
    </row>
    <row r="582">
      <c r="A582" s="165">
        <v>43730.147751111115</v>
      </c>
      <c r="B582" s="161" t="s">
        <v>48</v>
      </c>
      <c r="C582" s="162" t="s">
        <v>127</v>
      </c>
      <c r="D582" s="93">
        <v>1.0</v>
      </c>
      <c r="E582" s="93">
        <v>2.0</v>
      </c>
      <c r="F582" s="124" t="s">
        <v>284</v>
      </c>
      <c r="G582" s="129" t="s">
        <v>202</v>
      </c>
      <c r="H582" s="127"/>
      <c r="I582" s="127" t="s">
        <v>247</v>
      </c>
      <c r="J582" s="124" t="s">
        <v>507</v>
      </c>
      <c r="K582" s="124"/>
      <c r="L582" s="124">
        <v>9999.0</v>
      </c>
    </row>
    <row r="583">
      <c r="A583" s="165">
        <v>43730.147751111115</v>
      </c>
      <c r="B583" s="161" t="s">
        <v>48</v>
      </c>
      <c r="C583" s="162" t="s">
        <v>33</v>
      </c>
      <c r="D583" s="93">
        <v>1.0</v>
      </c>
      <c r="E583" s="93">
        <v>3.0</v>
      </c>
      <c r="F583" s="124" t="s">
        <v>201</v>
      </c>
      <c r="G583" s="129" t="s">
        <v>822</v>
      </c>
      <c r="H583" s="127" t="s">
        <v>430</v>
      </c>
      <c r="I583" s="127">
        <v>9.0</v>
      </c>
      <c r="J583" s="124" t="s">
        <v>732</v>
      </c>
      <c r="K583" s="124" t="s">
        <v>41</v>
      </c>
      <c r="L583" s="124">
        <v>9999.0</v>
      </c>
    </row>
    <row r="584">
      <c r="A584" s="136" t="s">
        <v>359</v>
      </c>
      <c r="B584" s="115" t="s">
        <v>2</v>
      </c>
      <c r="C584" s="153" t="s">
        <v>227</v>
      </c>
      <c r="D584" s="118" t="s">
        <v>29</v>
      </c>
      <c r="E584" s="118" t="s">
        <v>34</v>
      </c>
      <c r="F584" s="124" t="s">
        <v>261</v>
      </c>
      <c r="G584" s="129" t="s">
        <v>245</v>
      </c>
      <c r="H584" s="127" t="s">
        <v>228</v>
      </c>
      <c r="I584" s="127" t="s">
        <v>229</v>
      </c>
      <c r="J584" s="124" t="s">
        <v>262</v>
      </c>
      <c r="K584" s="124" t="s">
        <v>263</v>
      </c>
      <c r="L584" s="124" t="s">
        <v>264</v>
      </c>
    </row>
    <row r="585">
      <c r="A585" s="165">
        <v>43730.147751111115</v>
      </c>
      <c r="B585" s="161" t="s">
        <v>53</v>
      </c>
      <c r="C585" s="162" t="s">
        <v>164</v>
      </c>
      <c r="D585" s="93">
        <v>3.0</v>
      </c>
      <c r="E585" s="93">
        <v>1.0</v>
      </c>
      <c r="F585" s="124" t="s">
        <v>273</v>
      </c>
      <c r="G585" s="129" t="s">
        <v>832</v>
      </c>
      <c r="H585" s="127" t="s">
        <v>430</v>
      </c>
      <c r="I585" s="127">
        <v>-4.0</v>
      </c>
      <c r="J585" s="124" t="s">
        <v>446</v>
      </c>
      <c r="K585" s="124" t="s">
        <v>48</v>
      </c>
      <c r="L585" s="124">
        <v>9999.0</v>
      </c>
    </row>
    <row r="586">
      <c r="A586" s="165">
        <v>43730.147751111115</v>
      </c>
      <c r="B586" s="161" t="s">
        <v>53</v>
      </c>
      <c r="C586" s="162" t="s">
        <v>191</v>
      </c>
      <c r="D586" s="93">
        <v>1.0</v>
      </c>
      <c r="E586" s="93">
        <v>2.0</v>
      </c>
      <c r="F586" s="124" t="s">
        <v>248</v>
      </c>
      <c r="G586" s="129" t="s">
        <v>814</v>
      </c>
      <c r="H586" s="127" t="s">
        <v>430</v>
      </c>
      <c r="I586" s="127" t="s">
        <v>203</v>
      </c>
      <c r="J586" s="124" t="s">
        <v>203</v>
      </c>
      <c r="K586" s="124" t="s">
        <v>38</v>
      </c>
      <c r="L586" s="124">
        <v>9999.0</v>
      </c>
    </row>
    <row r="587">
      <c r="A587" s="165">
        <v>43730.147751111115</v>
      </c>
      <c r="B587" s="161" t="s">
        <v>53</v>
      </c>
      <c r="C587" s="162" t="s">
        <v>148</v>
      </c>
      <c r="D587" s="93">
        <v>2.0</v>
      </c>
      <c r="E587" s="93">
        <v>2.0</v>
      </c>
      <c r="F587" s="124" t="s">
        <v>267</v>
      </c>
      <c r="G587" s="129" t="s">
        <v>834</v>
      </c>
      <c r="H587" s="127" t="s">
        <v>430</v>
      </c>
      <c r="I587" s="127" t="s">
        <v>275</v>
      </c>
      <c r="J587" s="124" t="s">
        <v>764</v>
      </c>
      <c r="K587" s="124" t="s">
        <v>62</v>
      </c>
      <c r="L587" s="124">
        <v>9999.0</v>
      </c>
    </row>
    <row r="588">
      <c r="A588" s="165">
        <v>43730.147751111115</v>
      </c>
      <c r="B588" s="161" t="s">
        <v>53</v>
      </c>
      <c r="C588" s="162" t="s">
        <v>157</v>
      </c>
      <c r="D588" s="93">
        <v>2.0</v>
      </c>
      <c r="E588" s="93">
        <v>1.0</v>
      </c>
      <c r="F588" s="124" t="s">
        <v>248</v>
      </c>
      <c r="G588" s="129" t="s">
        <v>825</v>
      </c>
      <c r="H588" s="127" t="s">
        <v>430</v>
      </c>
      <c r="I588" s="127" t="s">
        <v>203</v>
      </c>
      <c r="J588" s="124" t="s">
        <v>203</v>
      </c>
      <c r="K588" s="124" t="s">
        <v>44</v>
      </c>
      <c r="L588" s="124">
        <v>9999.0</v>
      </c>
    </row>
    <row r="589">
      <c r="A589" s="165">
        <v>43730.147751111115</v>
      </c>
      <c r="B589" s="161" t="s">
        <v>53</v>
      </c>
      <c r="C589" s="162" t="s">
        <v>93</v>
      </c>
      <c r="D589" s="93">
        <v>4.0</v>
      </c>
      <c r="E589" s="93">
        <v>0.0</v>
      </c>
      <c r="F589" s="124" t="s">
        <v>285</v>
      </c>
      <c r="G589" s="129" t="s">
        <v>810</v>
      </c>
      <c r="H589" s="127" t="s">
        <v>430</v>
      </c>
      <c r="I589" s="127">
        <v>-7.0</v>
      </c>
      <c r="J589" s="124">
        <v>57.0</v>
      </c>
      <c r="K589" s="124" t="s">
        <v>38</v>
      </c>
      <c r="L589" s="124">
        <v>9999.0</v>
      </c>
    </row>
    <row r="590">
      <c r="A590" s="165">
        <v>43730.147751111115</v>
      </c>
      <c r="B590" s="161" t="s">
        <v>53</v>
      </c>
      <c r="C590" s="162" t="s">
        <v>136</v>
      </c>
      <c r="D590" s="93">
        <v>3.0</v>
      </c>
      <c r="E590" s="93">
        <v>0.0</v>
      </c>
      <c r="F590" s="124" t="s">
        <v>248</v>
      </c>
      <c r="G590" s="129" t="s">
        <v>835</v>
      </c>
      <c r="H590" s="127" t="s">
        <v>430</v>
      </c>
      <c r="I590" s="127" t="s">
        <v>203</v>
      </c>
      <c r="J590" s="124" t="s">
        <v>203</v>
      </c>
      <c r="K590" s="124" t="s">
        <v>62</v>
      </c>
      <c r="L590" s="124">
        <v>9999.0</v>
      </c>
    </row>
    <row r="591">
      <c r="A591" s="165">
        <v>43730.147751111115</v>
      </c>
      <c r="B591" s="161" t="s">
        <v>53</v>
      </c>
      <c r="C591" s="162" t="s">
        <v>179</v>
      </c>
      <c r="D591" s="93">
        <v>3.0</v>
      </c>
      <c r="E591" s="93">
        <v>1.0</v>
      </c>
      <c r="F591" s="124" t="s">
        <v>201</v>
      </c>
      <c r="G591" s="129" t="s">
        <v>836</v>
      </c>
      <c r="H591" s="127" t="s">
        <v>430</v>
      </c>
      <c r="I591" s="127" t="s">
        <v>286</v>
      </c>
      <c r="J591" s="124" t="s">
        <v>387</v>
      </c>
      <c r="K591" s="124" t="s">
        <v>64</v>
      </c>
      <c r="L591" s="124">
        <v>9999.0</v>
      </c>
    </row>
    <row r="592">
      <c r="A592" s="165">
        <v>43730.147751111115</v>
      </c>
      <c r="B592" s="161" t="s">
        <v>53</v>
      </c>
      <c r="C592" s="162" t="s">
        <v>100</v>
      </c>
      <c r="D592" s="93">
        <v>3.0</v>
      </c>
      <c r="E592" s="93">
        <v>0.0</v>
      </c>
      <c r="F592" s="124" t="s">
        <v>278</v>
      </c>
      <c r="G592" s="129" t="s">
        <v>202</v>
      </c>
      <c r="H592" s="127"/>
      <c r="I592" s="127">
        <v>-23.0</v>
      </c>
      <c r="J592" s="124" t="s">
        <v>487</v>
      </c>
      <c r="K592" s="124"/>
      <c r="L592" s="124">
        <v>9999.0</v>
      </c>
    </row>
    <row r="593">
      <c r="A593" s="165">
        <v>43730.147751111115</v>
      </c>
      <c r="B593" s="161" t="s">
        <v>53</v>
      </c>
      <c r="C593" s="162" t="s">
        <v>42</v>
      </c>
      <c r="D593" s="93">
        <v>4.0</v>
      </c>
      <c r="E593" s="93">
        <v>0.0</v>
      </c>
      <c r="F593" s="124" t="s">
        <v>282</v>
      </c>
      <c r="G593" s="129" t="s">
        <v>837</v>
      </c>
      <c r="H593" s="127" t="s">
        <v>430</v>
      </c>
      <c r="I593" s="127" t="s">
        <v>426</v>
      </c>
      <c r="J593" s="124" t="s">
        <v>397</v>
      </c>
      <c r="K593" s="124" t="s">
        <v>62</v>
      </c>
      <c r="L593" s="124">
        <v>9999.0</v>
      </c>
    </row>
    <row r="594">
      <c r="A594" s="165">
        <v>43730.147751111115</v>
      </c>
      <c r="B594" s="161" t="s">
        <v>53</v>
      </c>
      <c r="C594" s="162" t="s">
        <v>119</v>
      </c>
      <c r="D594" s="93">
        <v>3.0</v>
      </c>
      <c r="E594" s="93">
        <v>0.0</v>
      </c>
      <c r="F594" s="124" t="s">
        <v>207</v>
      </c>
      <c r="G594" s="129" t="s">
        <v>202</v>
      </c>
      <c r="H594" s="127"/>
      <c r="I594" s="127">
        <v>-17.0</v>
      </c>
      <c r="J594" s="124">
        <v>52.0</v>
      </c>
      <c r="K594" s="124"/>
      <c r="L594" s="124">
        <v>9999.0</v>
      </c>
    </row>
    <row r="595">
      <c r="A595" s="136" t="s">
        <v>359</v>
      </c>
      <c r="B595" s="115" t="s">
        <v>2</v>
      </c>
      <c r="C595" s="153" t="s">
        <v>227</v>
      </c>
      <c r="D595" s="118" t="s">
        <v>29</v>
      </c>
      <c r="E595" s="118" t="s">
        <v>34</v>
      </c>
      <c r="F595" s="124" t="s">
        <v>261</v>
      </c>
      <c r="G595" s="129" t="s">
        <v>245</v>
      </c>
      <c r="H595" s="127" t="s">
        <v>228</v>
      </c>
      <c r="I595" s="127" t="s">
        <v>229</v>
      </c>
      <c r="J595" s="124" t="s">
        <v>262</v>
      </c>
      <c r="K595" s="124" t="s">
        <v>263</v>
      </c>
      <c r="L595" s="124" t="s">
        <v>264</v>
      </c>
    </row>
    <row r="596">
      <c r="A596" s="165">
        <v>43730.147751111115</v>
      </c>
      <c r="B596" s="161" t="s">
        <v>58</v>
      </c>
      <c r="C596" s="162" t="s">
        <v>45</v>
      </c>
      <c r="D596" s="93">
        <v>1.0</v>
      </c>
      <c r="E596" s="93">
        <v>2.0</v>
      </c>
      <c r="F596" s="124" t="s">
        <v>282</v>
      </c>
      <c r="G596" s="129" t="s">
        <v>202</v>
      </c>
      <c r="H596" s="127"/>
      <c r="I596" s="127" t="s">
        <v>470</v>
      </c>
      <c r="J596" s="124" t="s">
        <v>394</v>
      </c>
      <c r="K596" s="124"/>
      <c r="L596" s="124">
        <v>9999.0</v>
      </c>
    </row>
    <row r="597">
      <c r="A597" s="165">
        <v>43730.147751111115</v>
      </c>
      <c r="B597" s="161" t="s">
        <v>58</v>
      </c>
      <c r="C597" s="162" t="s">
        <v>135</v>
      </c>
      <c r="D597" s="93">
        <v>1.0</v>
      </c>
      <c r="E597" s="93">
        <v>2.0</v>
      </c>
      <c r="F597" s="124" t="s">
        <v>248</v>
      </c>
      <c r="G597" s="129" t="s">
        <v>202</v>
      </c>
      <c r="H597" s="127"/>
      <c r="I597" s="127">
        <v>10.0</v>
      </c>
      <c r="J597" s="124" t="s">
        <v>462</v>
      </c>
      <c r="K597" s="124"/>
      <c r="L597" s="124">
        <v>9999.0</v>
      </c>
    </row>
    <row r="598">
      <c r="A598" s="165">
        <v>43730.147751111115</v>
      </c>
      <c r="B598" s="161" t="s">
        <v>58</v>
      </c>
      <c r="C598" s="162" t="s">
        <v>140</v>
      </c>
      <c r="D598" s="93">
        <v>2.0</v>
      </c>
      <c r="E598" s="93">
        <v>2.0</v>
      </c>
      <c r="F598" s="124" t="s">
        <v>267</v>
      </c>
      <c r="G598" s="129" t="s">
        <v>838</v>
      </c>
      <c r="H598" s="127" t="s">
        <v>430</v>
      </c>
      <c r="I598" s="127" t="s">
        <v>620</v>
      </c>
      <c r="J598" s="124" t="s">
        <v>276</v>
      </c>
      <c r="K598" s="124" t="s">
        <v>64</v>
      </c>
      <c r="L598" s="124">
        <v>9999.0</v>
      </c>
    </row>
    <row r="599">
      <c r="A599" s="165">
        <v>43730.147751111115</v>
      </c>
      <c r="B599" s="161" t="s">
        <v>58</v>
      </c>
      <c r="C599" s="162" t="s">
        <v>110</v>
      </c>
      <c r="D599" s="93">
        <v>3.0</v>
      </c>
      <c r="E599" s="93">
        <v>0.0</v>
      </c>
      <c r="F599" s="124" t="s">
        <v>269</v>
      </c>
      <c r="G599" s="129" t="s">
        <v>202</v>
      </c>
      <c r="H599" s="127"/>
      <c r="I599" s="127" t="s">
        <v>451</v>
      </c>
      <c r="J599" s="124" t="s">
        <v>637</v>
      </c>
      <c r="K599" s="124"/>
      <c r="L599" s="124">
        <v>9999.0</v>
      </c>
    </row>
    <row r="600">
      <c r="A600" s="165">
        <v>43730.147751111115</v>
      </c>
      <c r="B600" s="161" t="s">
        <v>58</v>
      </c>
      <c r="C600" s="162" t="s">
        <v>186</v>
      </c>
      <c r="D600" s="93">
        <v>3.0</v>
      </c>
      <c r="E600" s="93">
        <v>0.0</v>
      </c>
      <c r="F600" s="124" t="s">
        <v>248</v>
      </c>
      <c r="G600" s="129" t="s">
        <v>830</v>
      </c>
      <c r="H600" s="127" t="s">
        <v>430</v>
      </c>
      <c r="I600" s="127" t="s">
        <v>203</v>
      </c>
      <c r="J600" s="124" t="s">
        <v>203</v>
      </c>
      <c r="K600" s="124" t="s">
        <v>48</v>
      </c>
      <c r="L600" s="124">
        <v>9999.0</v>
      </c>
    </row>
    <row r="601">
      <c r="A601" s="165">
        <v>43730.147751111115</v>
      </c>
      <c r="B601" s="161" t="s">
        <v>58</v>
      </c>
      <c r="C601" s="162" t="s">
        <v>96</v>
      </c>
      <c r="D601" s="93">
        <v>3.0</v>
      </c>
      <c r="E601" s="93">
        <v>0.0</v>
      </c>
      <c r="F601" s="124" t="s">
        <v>248</v>
      </c>
      <c r="G601" s="129" t="s">
        <v>839</v>
      </c>
      <c r="H601" s="127" t="s">
        <v>430</v>
      </c>
      <c r="I601" s="127" t="s">
        <v>203</v>
      </c>
      <c r="J601" s="124" t="s">
        <v>203</v>
      </c>
      <c r="K601" s="124" t="s">
        <v>288</v>
      </c>
      <c r="L601" s="124">
        <v>9999.0</v>
      </c>
    </row>
    <row r="602">
      <c r="A602" s="165">
        <v>43730.147751111115</v>
      </c>
      <c r="B602" s="161" t="s">
        <v>58</v>
      </c>
      <c r="C602" s="162" t="s">
        <v>72</v>
      </c>
      <c r="D602" s="93">
        <v>2.0</v>
      </c>
      <c r="E602" s="93">
        <v>1.0</v>
      </c>
      <c r="F602" s="124" t="s">
        <v>284</v>
      </c>
      <c r="G602" s="129" t="s">
        <v>202</v>
      </c>
      <c r="H602" s="127"/>
      <c r="I602" s="127" t="s">
        <v>244</v>
      </c>
      <c r="J602" s="124" t="s">
        <v>507</v>
      </c>
      <c r="K602" s="124"/>
      <c r="L602" s="124">
        <v>9999.0</v>
      </c>
    </row>
    <row r="603">
      <c r="A603" s="165">
        <v>43730.147751111115</v>
      </c>
      <c r="B603" s="161" t="s">
        <v>58</v>
      </c>
      <c r="C603" s="162" t="s">
        <v>183</v>
      </c>
      <c r="D603" s="93">
        <v>1.0</v>
      </c>
      <c r="E603" s="93">
        <v>3.0</v>
      </c>
      <c r="F603" s="124" t="s">
        <v>287</v>
      </c>
      <c r="G603" s="129" t="s">
        <v>840</v>
      </c>
      <c r="H603" s="127" t="s">
        <v>430</v>
      </c>
      <c r="I603" s="127">
        <v>-28.0</v>
      </c>
      <c r="J603" s="124" t="s">
        <v>462</v>
      </c>
      <c r="K603" s="124" t="s">
        <v>60</v>
      </c>
      <c r="L603" s="124">
        <v>9999.0</v>
      </c>
    </row>
    <row r="604">
      <c r="A604" s="165">
        <v>43730.147751111115</v>
      </c>
      <c r="B604" s="161" t="s">
        <v>58</v>
      </c>
      <c r="C604" s="162" t="s">
        <v>165</v>
      </c>
      <c r="D604" s="93">
        <v>3.0</v>
      </c>
      <c r="E604" s="93">
        <v>1.0</v>
      </c>
      <c r="F604" s="124" t="s">
        <v>273</v>
      </c>
      <c r="G604" s="129" t="s">
        <v>841</v>
      </c>
      <c r="H604" s="127" t="s">
        <v>430</v>
      </c>
      <c r="I604" s="127" t="s">
        <v>773</v>
      </c>
      <c r="J604" s="124" t="s">
        <v>370</v>
      </c>
      <c r="K604" s="124" t="s">
        <v>74</v>
      </c>
      <c r="L604" s="124">
        <v>9999.0</v>
      </c>
    </row>
    <row r="605">
      <c r="A605" s="165">
        <v>43730.147751111115</v>
      </c>
      <c r="B605" s="161" t="s">
        <v>58</v>
      </c>
      <c r="C605" s="162" t="s">
        <v>158</v>
      </c>
      <c r="D605" s="93">
        <v>1.0</v>
      </c>
      <c r="E605" s="93">
        <v>2.0</v>
      </c>
      <c r="F605" s="124" t="s">
        <v>266</v>
      </c>
      <c r="G605" s="129" t="s">
        <v>202</v>
      </c>
      <c r="H605" s="127"/>
      <c r="I605" s="127" t="s">
        <v>775</v>
      </c>
      <c r="J605" s="124">
        <v>54.0</v>
      </c>
      <c r="K605" s="124"/>
      <c r="L605" s="124">
        <v>9999.0</v>
      </c>
    </row>
    <row r="606">
      <c r="A606" s="136" t="s">
        <v>359</v>
      </c>
      <c r="B606" s="159" t="s">
        <v>2</v>
      </c>
      <c r="C606" s="160" t="s">
        <v>227</v>
      </c>
      <c r="D606" s="1" t="s">
        <v>29</v>
      </c>
      <c r="E606" s="1" t="s">
        <v>34</v>
      </c>
      <c r="F606" s="124" t="s">
        <v>261</v>
      </c>
      <c r="G606" s="129" t="s">
        <v>245</v>
      </c>
      <c r="H606" s="127" t="s">
        <v>228</v>
      </c>
      <c r="I606" s="127" t="s">
        <v>229</v>
      </c>
      <c r="J606" s="124" t="s">
        <v>262</v>
      </c>
      <c r="K606" s="124" t="s">
        <v>263</v>
      </c>
      <c r="L606" s="124" t="s">
        <v>264</v>
      </c>
    </row>
    <row r="607">
      <c r="A607" s="165">
        <v>43730.147751111115</v>
      </c>
      <c r="B607" s="161" t="s">
        <v>60</v>
      </c>
      <c r="C607" s="162" t="s">
        <v>137</v>
      </c>
      <c r="D607" s="93">
        <v>0.0</v>
      </c>
      <c r="E607" s="93">
        <v>4.0</v>
      </c>
      <c r="F607" s="124" t="s">
        <v>267</v>
      </c>
      <c r="G607" s="129" t="s">
        <v>842</v>
      </c>
      <c r="H607" s="127" t="s">
        <v>430</v>
      </c>
      <c r="I607" s="127" t="s">
        <v>418</v>
      </c>
      <c r="J607" s="124" t="s">
        <v>482</v>
      </c>
      <c r="K607" s="124" t="s">
        <v>74</v>
      </c>
      <c r="L607" s="124">
        <v>9999.0</v>
      </c>
    </row>
    <row r="608">
      <c r="A608" s="165">
        <v>43730.147751111115</v>
      </c>
      <c r="B608" s="161" t="s">
        <v>60</v>
      </c>
      <c r="C608" s="162" t="s">
        <v>103</v>
      </c>
      <c r="D608" s="93">
        <v>3.0</v>
      </c>
      <c r="E608" s="93">
        <v>1.0</v>
      </c>
      <c r="F608" s="124" t="s">
        <v>260</v>
      </c>
      <c r="G608" s="129" t="s">
        <v>843</v>
      </c>
      <c r="H608" s="127" t="s">
        <v>430</v>
      </c>
      <c r="I608" s="127">
        <v>-32.0</v>
      </c>
      <c r="J608" s="124" t="s">
        <v>280</v>
      </c>
      <c r="K608" s="124" t="s">
        <v>69</v>
      </c>
      <c r="L608" s="124">
        <v>9999.0</v>
      </c>
    </row>
    <row r="609">
      <c r="A609" s="165">
        <v>43730.147751111115</v>
      </c>
      <c r="B609" s="161" t="s">
        <v>60</v>
      </c>
      <c r="C609" s="162" t="s">
        <v>166</v>
      </c>
      <c r="D609" s="93">
        <v>1.0</v>
      </c>
      <c r="E609" s="93">
        <v>2.0</v>
      </c>
      <c r="F609" s="124" t="s">
        <v>778</v>
      </c>
      <c r="G609" s="129" t="s">
        <v>202</v>
      </c>
      <c r="H609" s="127"/>
      <c r="I609" s="127">
        <v>-17.0</v>
      </c>
      <c r="J609" s="124">
        <v>76.0</v>
      </c>
      <c r="K609" s="124"/>
      <c r="L609" s="124">
        <v>9999.0</v>
      </c>
    </row>
    <row r="610">
      <c r="A610" s="165">
        <v>43730.147751111115</v>
      </c>
      <c r="B610" s="161" t="s">
        <v>60</v>
      </c>
      <c r="C610" s="162" t="s">
        <v>149</v>
      </c>
      <c r="D610" s="93">
        <v>2.0</v>
      </c>
      <c r="E610" s="93">
        <v>1.0</v>
      </c>
      <c r="F610" s="124" t="s">
        <v>273</v>
      </c>
      <c r="G610" s="129" t="s">
        <v>826</v>
      </c>
      <c r="H610" s="127" t="s">
        <v>430</v>
      </c>
      <c r="I610" s="127">
        <v>4.0</v>
      </c>
      <c r="J610" s="124" t="s">
        <v>446</v>
      </c>
      <c r="K610" s="124" t="s">
        <v>44</v>
      </c>
      <c r="L610" s="124">
        <v>9999.0</v>
      </c>
    </row>
    <row r="611">
      <c r="A611" s="165">
        <v>43730.147751111115</v>
      </c>
      <c r="B611" s="161" t="s">
        <v>60</v>
      </c>
      <c r="C611" s="162" t="s">
        <v>117</v>
      </c>
      <c r="D611" s="93">
        <v>1.0</v>
      </c>
      <c r="E611" s="93">
        <v>2.0</v>
      </c>
      <c r="F611" s="124" t="s">
        <v>266</v>
      </c>
      <c r="G611" s="129" t="s">
        <v>819</v>
      </c>
      <c r="H611" s="127" t="s">
        <v>430</v>
      </c>
      <c r="I611" s="127" t="s">
        <v>542</v>
      </c>
      <c r="J611" s="124">
        <v>54.0</v>
      </c>
      <c r="K611" s="124" t="s">
        <v>38</v>
      </c>
      <c r="L611" s="124">
        <v>9999.0</v>
      </c>
    </row>
    <row r="612">
      <c r="A612" s="165">
        <v>43730.147751111115</v>
      </c>
      <c r="B612" s="161" t="s">
        <v>60</v>
      </c>
      <c r="C612" s="162" t="s">
        <v>95</v>
      </c>
      <c r="D612" s="93">
        <v>4.0</v>
      </c>
      <c r="E612" s="93">
        <v>0.0</v>
      </c>
      <c r="F612" s="124" t="s">
        <v>248</v>
      </c>
      <c r="G612" s="129" t="s">
        <v>844</v>
      </c>
      <c r="H612" s="127" t="s">
        <v>430</v>
      </c>
      <c r="I612" s="127">
        <v>-3.0</v>
      </c>
      <c r="J612" s="124">
        <v>67.0</v>
      </c>
      <c r="K612" s="124" t="s">
        <v>288</v>
      </c>
      <c r="L612" s="124">
        <v>9999.0</v>
      </c>
    </row>
    <row r="613">
      <c r="A613" s="165">
        <v>43730.147751111115</v>
      </c>
      <c r="B613" s="161" t="s">
        <v>60</v>
      </c>
      <c r="C613" s="162" t="s">
        <v>59</v>
      </c>
      <c r="D613" s="93">
        <v>3.0</v>
      </c>
      <c r="E613" s="93">
        <v>1.0</v>
      </c>
      <c r="F613" s="124" t="s">
        <v>201</v>
      </c>
      <c r="G613" s="129" t="s">
        <v>823</v>
      </c>
      <c r="H613" s="127" t="s">
        <v>430</v>
      </c>
      <c r="I613" s="127" t="s">
        <v>286</v>
      </c>
      <c r="J613" s="124" t="s">
        <v>781</v>
      </c>
      <c r="K613" s="124" t="s">
        <v>41</v>
      </c>
      <c r="L613" s="124">
        <v>9999.0</v>
      </c>
    </row>
    <row r="614">
      <c r="A614" s="165">
        <v>43730.147751111115</v>
      </c>
      <c r="B614" s="161" t="s">
        <v>60</v>
      </c>
      <c r="C614" s="162" t="s">
        <v>189</v>
      </c>
      <c r="D614" s="93">
        <v>2.0</v>
      </c>
      <c r="E614" s="93">
        <v>2.0</v>
      </c>
      <c r="F614" s="124" t="s">
        <v>267</v>
      </c>
      <c r="G614" s="129" t="s">
        <v>845</v>
      </c>
      <c r="H614" s="127" t="s">
        <v>541</v>
      </c>
      <c r="I614" s="127" t="s">
        <v>272</v>
      </c>
      <c r="J614" s="124" t="s">
        <v>764</v>
      </c>
      <c r="K614" s="124" t="s">
        <v>69</v>
      </c>
      <c r="L614" s="124">
        <v>9999.0</v>
      </c>
    </row>
    <row r="615">
      <c r="A615" s="165">
        <v>43730.147751111115</v>
      </c>
      <c r="B615" s="161" t="s">
        <v>60</v>
      </c>
      <c r="C615" s="162" t="s">
        <v>123</v>
      </c>
      <c r="D615" s="93">
        <v>1.0</v>
      </c>
      <c r="E615" s="93">
        <v>3.0</v>
      </c>
      <c r="F615" s="124" t="s">
        <v>248</v>
      </c>
      <c r="G615" s="129" t="s">
        <v>846</v>
      </c>
      <c r="H615" s="127" t="s">
        <v>430</v>
      </c>
      <c r="I615" s="127" t="s">
        <v>275</v>
      </c>
      <c r="J615" s="124" t="s">
        <v>608</v>
      </c>
      <c r="K615" s="124" t="s">
        <v>69</v>
      </c>
      <c r="L615" s="124">
        <v>9999.0</v>
      </c>
    </row>
    <row r="616">
      <c r="A616" s="165">
        <v>43730.147751111115</v>
      </c>
      <c r="B616" s="161" t="s">
        <v>60</v>
      </c>
      <c r="C616" s="162" t="s">
        <v>175</v>
      </c>
      <c r="D616" s="93">
        <v>4.0</v>
      </c>
      <c r="E616" s="93">
        <v>0.0</v>
      </c>
      <c r="F616" s="124" t="s">
        <v>201</v>
      </c>
      <c r="G616" s="129" t="s">
        <v>840</v>
      </c>
      <c r="H616" s="127" t="s">
        <v>430</v>
      </c>
      <c r="I616" s="127">
        <v>-8.0</v>
      </c>
      <c r="J616" s="124" t="s">
        <v>507</v>
      </c>
      <c r="K616" s="124" t="s">
        <v>58</v>
      </c>
      <c r="L616" s="124">
        <v>9999.0</v>
      </c>
    </row>
    <row r="617">
      <c r="A617" s="136" t="s">
        <v>359</v>
      </c>
      <c r="B617" s="115" t="s">
        <v>2</v>
      </c>
      <c r="C617" s="153" t="s">
        <v>227</v>
      </c>
      <c r="D617" s="118" t="s">
        <v>29</v>
      </c>
      <c r="E617" s="118" t="s">
        <v>34</v>
      </c>
      <c r="F617" s="124" t="s">
        <v>261</v>
      </c>
      <c r="G617" s="129" t="s">
        <v>245</v>
      </c>
      <c r="H617" s="127" t="s">
        <v>228</v>
      </c>
      <c r="I617" s="127" t="s">
        <v>229</v>
      </c>
      <c r="J617" s="124" t="s">
        <v>262</v>
      </c>
      <c r="K617" s="124" t="s">
        <v>263</v>
      </c>
      <c r="L617" s="124" t="s">
        <v>264</v>
      </c>
    </row>
    <row r="618">
      <c r="A618" s="165">
        <v>43730.147751111115</v>
      </c>
      <c r="B618" s="161" t="s">
        <v>62</v>
      </c>
      <c r="C618" s="162" t="s">
        <v>5</v>
      </c>
      <c r="D618" s="93">
        <v>2.0</v>
      </c>
      <c r="E618" s="93">
        <v>1.0</v>
      </c>
      <c r="F618" s="124" t="s">
        <v>242</v>
      </c>
      <c r="G618" s="129" t="s">
        <v>202</v>
      </c>
      <c r="H618" s="127"/>
      <c r="I618" s="127">
        <v>-17.0</v>
      </c>
      <c r="J618" s="124">
        <v>49.0</v>
      </c>
      <c r="K618" s="124"/>
      <c r="L618" s="124">
        <v>9999.0</v>
      </c>
    </row>
    <row r="619">
      <c r="A619" s="165">
        <v>43730.147751111115</v>
      </c>
      <c r="B619" s="161" t="s">
        <v>62</v>
      </c>
      <c r="C619" s="162" t="s">
        <v>92</v>
      </c>
      <c r="D619" s="93">
        <v>2.0</v>
      </c>
      <c r="E619" s="93">
        <v>2.0</v>
      </c>
      <c r="F619" s="124" t="s">
        <v>207</v>
      </c>
      <c r="G619" s="129" t="s">
        <v>834</v>
      </c>
      <c r="H619" s="127" t="s">
        <v>430</v>
      </c>
      <c r="I619" s="127" t="s">
        <v>522</v>
      </c>
      <c r="J619" s="124" t="s">
        <v>240</v>
      </c>
      <c r="K619" s="124" t="s">
        <v>53</v>
      </c>
      <c r="L619" s="124">
        <v>9999.0</v>
      </c>
    </row>
    <row r="620">
      <c r="A620" s="165">
        <v>43730.147751111115</v>
      </c>
      <c r="B620" s="161" t="s">
        <v>62</v>
      </c>
      <c r="C620" s="162" t="s">
        <v>184</v>
      </c>
      <c r="D620" s="93">
        <v>2.0</v>
      </c>
      <c r="E620" s="93">
        <v>2.0</v>
      </c>
      <c r="F620" s="124" t="s">
        <v>784</v>
      </c>
      <c r="G620" s="129" t="s">
        <v>847</v>
      </c>
      <c r="H620" s="127" t="s">
        <v>430</v>
      </c>
      <c r="I620" s="127" t="s">
        <v>786</v>
      </c>
      <c r="J620" s="124">
        <v>63.0</v>
      </c>
      <c r="K620" s="124" t="s">
        <v>74</v>
      </c>
      <c r="L620" s="124">
        <v>9999.0</v>
      </c>
    </row>
    <row r="621">
      <c r="A621" s="165">
        <v>43730.147751111115</v>
      </c>
      <c r="B621" s="161" t="s">
        <v>62</v>
      </c>
      <c r="C621" s="162" t="s">
        <v>128</v>
      </c>
      <c r="D621" s="93">
        <v>2.0</v>
      </c>
      <c r="E621" s="93">
        <v>2.0</v>
      </c>
      <c r="F621" s="124" t="s">
        <v>718</v>
      </c>
      <c r="G621" s="129" t="s">
        <v>801</v>
      </c>
      <c r="H621" s="127" t="s">
        <v>430</v>
      </c>
      <c r="I621" s="127">
        <v>14.0</v>
      </c>
      <c r="J621" s="124" t="s">
        <v>507</v>
      </c>
      <c r="K621" s="124" t="s">
        <v>27</v>
      </c>
      <c r="L621" s="124">
        <v>9999.0</v>
      </c>
    </row>
    <row r="622">
      <c r="A622" s="165">
        <v>43730.147751111115</v>
      </c>
      <c r="B622" s="161" t="s">
        <v>62</v>
      </c>
      <c r="C622" s="162" t="s">
        <v>102</v>
      </c>
      <c r="D622" s="93">
        <v>2.0</v>
      </c>
      <c r="E622" s="93">
        <v>1.0</v>
      </c>
      <c r="F622" s="124" t="s">
        <v>266</v>
      </c>
      <c r="G622" s="129" t="s">
        <v>837</v>
      </c>
      <c r="H622" s="127" t="s">
        <v>430</v>
      </c>
      <c r="I622" s="127" t="s">
        <v>451</v>
      </c>
      <c r="J622" s="124">
        <v>51.0</v>
      </c>
      <c r="K622" s="124" t="s">
        <v>53</v>
      </c>
      <c r="L622" s="124">
        <v>9999.0</v>
      </c>
    </row>
    <row r="623">
      <c r="A623" s="165">
        <v>43730.147751111115</v>
      </c>
      <c r="B623" s="161" t="s">
        <v>62</v>
      </c>
      <c r="C623" s="162" t="s">
        <v>112</v>
      </c>
      <c r="D623" s="93">
        <v>2.0</v>
      </c>
      <c r="E623" s="93">
        <v>1.0</v>
      </c>
      <c r="F623" s="124" t="s">
        <v>248</v>
      </c>
      <c r="G623" s="129" t="s">
        <v>827</v>
      </c>
      <c r="H623" s="127" t="s">
        <v>430</v>
      </c>
      <c r="I623" s="127" t="s">
        <v>203</v>
      </c>
      <c r="J623" s="124" t="s">
        <v>203</v>
      </c>
      <c r="K623" s="124" t="s">
        <v>44</v>
      </c>
      <c r="L623" s="124">
        <v>9999.0</v>
      </c>
    </row>
    <row r="624">
      <c r="A624" s="165">
        <v>43730.147751111115</v>
      </c>
      <c r="B624" s="161" t="s">
        <v>62</v>
      </c>
      <c r="C624" s="162" t="s">
        <v>143</v>
      </c>
      <c r="D624" s="93">
        <v>2.0</v>
      </c>
      <c r="E624" s="93">
        <v>2.0</v>
      </c>
      <c r="F624" s="124" t="s">
        <v>784</v>
      </c>
      <c r="G624" s="129" t="s">
        <v>811</v>
      </c>
      <c r="H624" s="127" t="s">
        <v>430</v>
      </c>
      <c r="I624" s="127">
        <v>35.0</v>
      </c>
      <c r="J624" s="124" t="s">
        <v>387</v>
      </c>
      <c r="K624" s="124" t="s">
        <v>38</v>
      </c>
      <c r="L624" s="124">
        <v>9999.0</v>
      </c>
    </row>
    <row r="625">
      <c r="A625" s="165">
        <v>43730.147751111115</v>
      </c>
      <c r="B625" s="161" t="s">
        <v>62</v>
      </c>
      <c r="C625" s="162" t="s">
        <v>192</v>
      </c>
      <c r="D625" s="93">
        <v>1.0</v>
      </c>
      <c r="E625" s="93">
        <v>3.0</v>
      </c>
      <c r="F625" s="124" t="s">
        <v>242</v>
      </c>
      <c r="G625" s="129" t="s">
        <v>835</v>
      </c>
      <c r="H625" s="127" t="s">
        <v>430</v>
      </c>
      <c r="I625" s="127">
        <v>19.0</v>
      </c>
      <c r="J625" s="124" t="s">
        <v>276</v>
      </c>
      <c r="K625" s="124" t="s">
        <v>53</v>
      </c>
      <c r="L625" s="124">
        <v>9999.0</v>
      </c>
    </row>
    <row r="626">
      <c r="A626" s="165">
        <v>43730.147751111115</v>
      </c>
      <c r="B626" s="161" t="s">
        <v>62</v>
      </c>
      <c r="C626" s="162" t="s">
        <v>171</v>
      </c>
      <c r="D626" s="93">
        <v>3.0</v>
      </c>
      <c r="E626" s="93">
        <v>1.0</v>
      </c>
      <c r="F626" s="124" t="s">
        <v>273</v>
      </c>
      <c r="G626" s="129" t="s">
        <v>821</v>
      </c>
      <c r="H626" s="127" t="s">
        <v>430</v>
      </c>
      <c r="I626" s="127">
        <v>-21.0</v>
      </c>
      <c r="J626" s="124" t="s">
        <v>446</v>
      </c>
      <c r="K626" s="124" t="s">
        <v>41</v>
      </c>
      <c r="L626" s="124">
        <v>9999.0</v>
      </c>
    </row>
    <row r="627">
      <c r="A627" s="165">
        <v>43730.147751111115</v>
      </c>
      <c r="B627" s="161" t="s">
        <v>62</v>
      </c>
      <c r="C627" s="162" t="s">
        <v>153</v>
      </c>
      <c r="D627" s="93">
        <v>2.0</v>
      </c>
      <c r="E627" s="93">
        <v>1.0</v>
      </c>
      <c r="F627" s="124" t="s">
        <v>273</v>
      </c>
      <c r="G627" s="129" t="s">
        <v>848</v>
      </c>
      <c r="H627" s="127" t="s">
        <v>430</v>
      </c>
      <c r="I627" s="127">
        <v>21.0</v>
      </c>
      <c r="J627" s="124" t="s">
        <v>446</v>
      </c>
      <c r="K627" s="124" t="s">
        <v>288</v>
      </c>
      <c r="L627" s="124">
        <v>9999.0</v>
      </c>
    </row>
    <row r="628">
      <c r="A628" s="136" t="s">
        <v>359</v>
      </c>
      <c r="B628" s="115" t="s">
        <v>2</v>
      </c>
      <c r="C628" s="153" t="s">
        <v>227</v>
      </c>
      <c r="D628" s="118" t="s">
        <v>29</v>
      </c>
      <c r="E628" s="118" t="s">
        <v>34</v>
      </c>
      <c r="F628" s="124" t="s">
        <v>261</v>
      </c>
      <c r="G628" s="129" t="s">
        <v>245</v>
      </c>
      <c r="H628" s="127" t="s">
        <v>228</v>
      </c>
      <c r="I628" s="127" t="s">
        <v>229</v>
      </c>
      <c r="J628" s="124" t="s">
        <v>262</v>
      </c>
      <c r="K628" s="124" t="s">
        <v>263</v>
      </c>
      <c r="L628" s="124" t="s">
        <v>264</v>
      </c>
    </row>
    <row r="629">
      <c r="A629" s="165">
        <v>43730.147751111115</v>
      </c>
      <c r="B629" s="161" t="s">
        <v>64</v>
      </c>
      <c r="C629" s="162" t="s">
        <v>196</v>
      </c>
      <c r="D629" s="93">
        <v>3.0</v>
      </c>
      <c r="E629" s="93">
        <v>1.0</v>
      </c>
      <c r="F629" s="124" t="s">
        <v>355</v>
      </c>
      <c r="G629" s="129" t="s">
        <v>849</v>
      </c>
      <c r="H629" s="127" t="s">
        <v>430</v>
      </c>
      <c r="I629" s="127">
        <v>-17.0</v>
      </c>
      <c r="J629" s="124">
        <v>45.0</v>
      </c>
      <c r="K629" s="124" t="s">
        <v>288</v>
      </c>
      <c r="L629" s="124">
        <v>9999.0</v>
      </c>
    </row>
    <row r="630">
      <c r="A630" s="165">
        <v>43730.147751111115</v>
      </c>
      <c r="B630" s="161" t="s">
        <v>64</v>
      </c>
      <c r="C630" s="162" t="s">
        <v>131</v>
      </c>
      <c r="D630" s="93">
        <v>2.0</v>
      </c>
      <c r="E630" s="93">
        <v>2.0</v>
      </c>
      <c r="F630" s="124" t="s">
        <v>248</v>
      </c>
      <c r="G630" s="129" t="s">
        <v>808</v>
      </c>
      <c r="H630" s="127" t="s">
        <v>430</v>
      </c>
      <c r="I630" s="127" t="s">
        <v>428</v>
      </c>
      <c r="J630" s="124">
        <v>49.0</v>
      </c>
      <c r="K630" s="124" t="s">
        <v>27</v>
      </c>
      <c r="L630" s="124">
        <v>9999.0</v>
      </c>
    </row>
    <row r="631">
      <c r="A631" s="165">
        <v>43730.147751111115</v>
      </c>
      <c r="B631" s="161" t="s">
        <v>64</v>
      </c>
      <c r="C631" s="162" t="s">
        <v>154</v>
      </c>
      <c r="D631" s="93">
        <v>3.0</v>
      </c>
      <c r="E631" s="93">
        <v>1.0</v>
      </c>
      <c r="F631" s="124" t="s">
        <v>282</v>
      </c>
      <c r="G631" s="129" t="s">
        <v>850</v>
      </c>
      <c r="H631" s="127" t="s">
        <v>430</v>
      </c>
      <c r="I631" s="127">
        <v>-9.0</v>
      </c>
      <c r="J631" s="124" t="s">
        <v>462</v>
      </c>
      <c r="K631" s="124" t="s">
        <v>288</v>
      </c>
      <c r="L631" s="124">
        <v>9999.0</v>
      </c>
    </row>
    <row r="632">
      <c r="A632" s="165">
        <v>43730.147751111115</v>
      </c>
      <c r="B632" s="161" t="s">
        <v>64</v>
      </c>
      <c r="C632" s="162" t="s">
        <v>147</v>
      </c>
      <c r="D632" s="93">
        <v>1.0</v>
      </c>
      <c r="E632" s="93">
        <v>1.0</v>
      </c>
      <c r="F632" s="124" t="s">
        <v>282</v>
      </c>
      <c r="G632" s="129" t="s">
        <v>851</v>
      </c>
      <c r="H632" s="127" t="s">
        <v>430</v>
      </c>
      <c r="I632" s="127" t="s">
        <v>793</v>
      </c>
      <c r="J632" s="124">
        <v>70.0</v>
      </c>
      <c r="K632" s="124" t="s">
        <v>69</v>
      </c>
      <c r="L632" s="124">
        <v>9999.0</v>
      </c>
    </row>
    <row r="633">
      <c r="A633" s="165">
        <v>43730.147751111115</v>
      </c>
      <c r="B633" s="161" t="s">
        <v>64</v>
      </c>
      <c r="C633" s="162" t="s">
        <v>49</v>
      </c>
      <c r="D633" s="93">
        <v>2.0</v>
      </c>
      <c r="E633" s="93">
        <v>1.0</v>
      </c>
      <c r="F633" s="124" t="s">
        <v>260</v>
      </c>
      <c r="G633" s="129" t="s">
        <v>838</v>
      </c>
      <c r="H633" s="127" t="s">
        <v>430</v>
      </c>
      <c r="I633" s="127">
        <v>7.0</v>
      </c>
      <c r="J633" s="124">
        <v>64.0</v>
      </c>
      <c r="K633" s="124" t="s">
        <v>58</v>
      </c>
      <c r="L633" s="124">
        <v>9999.0</v>
      </c>
    </row>
    <row r="634">
      <c r="A634" s="165">
        <v>43730.147751111115</v>
      </c>
      <c r="B634" s="161" t="s">
        <v>64</v>
      </c>
      <c r="C634" s="162" t="s">
        <v>76</v>
      </c>
      <c r="D634" s="93">
        <v>2.0</v>
      </c>
      <c r="E634" s="93">
        <v>2.0</v>
      </c>
      <c r="F634" s="124" t="s">
        <v>285</v>
      </c>
      <c r="G634" s="129" t="s">
        <v>852</v>
      </c>
      <c r="H634" s="127" t="s">
        <v>430</v>
      </c>
      <c r="I634" s="127">
        <v>7.0</v>
      </c>
      <c r="J634" s="124">
        <v>57.0</v>
      </c>
      <c r="K634" s="124" t="s">
        <v>288</v>
      </c>
      <c r="L634" s="124">
        <v>9999.0</v>
      </c>
    </row>
    <row r="635">
      <c r="A635" s="165">
        <v>43730.147751111115</v>
      </c>
      <c r="B635" s="161" t="s">
        <v>64</v>
      </c>
      <c r="C635" s="162" t="s">
        <v>98</v>
      </c>
      <c r="D635" s="93">
        <v>2.0</v>
      </c>
      <c r="E635" s="93">
        <v>2.0</v>
      </c>
      <c r="F635" s="124" t="s">
        <v>285</v>
      </c>
      <c r="G635" s="129" t="s">
        <v>829</v>
      </c>
      <c r="H635" s="127" t="s">
        <v>430</v>
      </c>
      <c r="I635" s="127">
        <v>21.0</v>
      </c>
      <c r="J635" s="124">
        <v>53.0</v>
      </c>
      <c r="K635" s="124" t="s">
        <v>48</v>
      </c>
      <c r="L635" s="124">
        <v>9999.0</v>
      </c>
    </row>
    <row r="636">
      <c r="A636" s="165">
        <v>43730.147751111115</v>
      </c>
      <c r="B636" s="161" t="s">
        <v>64</v>
      </c>
      <c r="C636" s="162" t="s">
        <v>177</v>
      </c>
      <c r="D636" s="93">
        <v>2.0</v>
      </c>
      <c r="E636" s="93">
        <v>2.0</v>
      </c>
      <c r="F636" s="124" t="s">
        <v>201</v>
      </c>
      <c r="G636" s="129" t="s">
        <v>836</v>
      </c>
      <c r="H636" s="127" t="s">
        <v>430</v>
      </c>
      <c r="I636" s="127">
        <v>8.0</v>
      </c>
      <c r="J636" s="124" t="s">
        <v>507</v>
      </c>
      <c r="K636" s="124" t="s">
        <v>53</v>
      </c>
      <c r="L636" s="124">
        <v>9999.0</v>
      </c>
    </row>
    <row r="637">
      <c r="A637" s="165">
        <v>43730.147751111115</v>
      </c>
      <c r="B637" s="161" t="s">
        <v>64</v>
      </c>
      <c r="C637" s="162" t="s">
        <v>169</v>
      </c>
      <c r="D637" s="93">
        <v>3.0</v>
      </c>
      <c r="E637" s="93">
        <v>1.0</v>
      </c>
      <c r="F637" s="124" t="s">
        <v>207</v>
      </c>
      <c r="G637" s="129" t="s">
        <v>853</v>
      </c>
      <c r="H637" s="127" t="s">
        <v>430</v>
      </c>
      <c r="I637" s="127" t="s">
        <v>620</v>
      </c>
      <c r="J637" s="124" t="s">
        <v>546</v>
      </c>
      <c r="K637" s="124" t="s">
        <v>69</v>
      </c>
      <c r="L637" s="124">
        <v>9999.0</v>
      </c>
    </row>
    <row r="638">
      <c r="A638" s="165">
        <v>43730.147751111115</v>
      </c>
      <c r="B638" s="161" t="s">
        <v>64</v>
      </c>
      <c r="C638" s="162" t="s">
        <v>115</v>
      </c>
      <c r="D638" s="93">
        <v>3.0</v>
      </c>
      <c r="E638" s="93">
        <v>0.0</v>
      </c>
      <c r="F638" s="124" t="s">
        <v>266</v>
      </c>
      <c r="G638" s="129" t="s">
        <v>202</v>
      </c>
      <c r="H638" s="127"/>
      <c r="I638" s="127" t="s">
        <v>281</v>
      </c>
      <c r="J638" s="124">
        <v>46.0</v>
      </c>
      <c r="K638" s="124"/>
      <c r="L638" s="124">
        <v>9999.0</v>
      </c>
    </row>
    <row r="639">
      <c r="A639" s="136" t="s">
        <v>359</v>
      </c>
      <c r="B639" s="115" t="s">
        <v>2</v>
      </c>
      <c r="C639" s="153" t="s">
        <v>227</v>
      </c>
      <c r="D639" s="118" t="s">
        <v>29</v>
      </c>
      <c r="E639" s="118" t="s">
        <v>34</v>
      </c>
      <c r="F639" s="124" t="s">
        <v>261</v>
      </c>
      <c r="G639" s="129" t="s">
        <v>245</v>
      </c>
      <c r="H639" s="127" t="s">
        <v>228</v>
      </c>
      <c r="I639" s="127" t="s">
        <v>229</v>
      </c>
      <c r="J639" s="124" t="s">
        <v>262</v>
      </c>
      <c r="K639" s="124" t="s">
        <v>263</v>
      </c>
      <c r="L639" s="124"/>
    </row>
    <row r="640">
      <c r="A640" s="165">
        <v>43730.147751111115</v>
      </c>
      <c r="B640" s="161" t="s">
        <v>69</v>
      </c>
      <c r="C640" s="162" t="s">
        <v>193</v>
      </c>
      <c r="D640" s="93">
        <v>1.0</v>
      </c>
      <c r="E640" s="93">
        <v>3.0</v>
      </c>
      <c r="F640" s="124" t="s">
        <v>282</v>
      </c>
      <c r="G640" s="129" t="s">
        <v>845</v>
      </c>
      <c r="H640" s="127" t="s">
        <v>541</v>
      </c>
      <c r="I640" s="127" t="s">
        <v>526</v>
      </c>
      <c r="J640" s="124" t="s">
        <v>397</v>
      </c>
      <c r="K640" s="124" t="s">
        <v>60</v>
      </c>
      <c r="L640" s="124">
        <v>9999.0</v>
      </c>
    </row>
    <row r="641">
      <c r="A641" s="165">
        <v>43730.147751111115</v>
      </c>
      <c r="B641" s="161" t="s">
        <v>69</v>
      </c>
      <c r="C641" s="162" t="s">
        <v>142</v>
      </c>
      <c r="D641" s="93">
        <v>3.0</v>
      </c>
      <c r="E641" s="93">
        <v>1.0</v>
      </c>
      <c r="F641" s="124" t="s">
        <v>248</v>
      </c>
      <c r="G641" s="129" t="s">
        <v>854</v>
      </c>
      <c r="H641" s="127" t="s">
        <v>430</v>
      </c>
      <c r="I641" s="127" t="s">
        <v>257</v>
      </c>
      <c r="J641" s="124" t="s">
        <v>546</v>
      </c>
      <c r="K641" s="124" t="s">
        <v>288</v>
      </c>
      <c r="L641" s="124">
        <v>9999.0</v>
      </c>
    </row>
    <row r="642">
      <c r="A642" s="165">
        <v>43730.147751111115</v>
      </c>
      <c r="B642" s="161" t="s">
        <v>69</v>
      </c>
      <c r="C642" s="162" t="s">
        <v>35</v>
      </c>
      <c r="D642" s="93">
        <v>3.0</v>
      </c>
      <c r="E642" s="93">
        <v>0.0</v>
      </c>
      <c r="F642" s="124" t="s">
        <v>242</v>
      </c>
      <c r="G642" s="129" t="s">
        <v>202</v>
      </c>
      <c r="H642" s="127"/>
      <c r="I642" s="127">
        <v>-19.0</v>
      </c>
      <c r="J642" s="124" t="s">
        <v>276</v>
      </c>
      <c r="K642" s="124"/>
      <c r="L642" s="124">
        <v>9999.0</v>
      </c>
    </row>
    <row r="643">
      <c r="A643" s="165">
        <v>43730.147751111115</v>
      </c>
      <c r="B643" s="161" t="s">
        <v>69</v>
      </c>
      <c r="C643" s="162" t="s">
        <v>182</v>
      </c>
      <c r="D643" s="93">
        <v>1.0</v>
      </c>
      <c r="E643" s="93">
        <v>3.0</v>
      </c>
      <c r="F643" s="124" t="s">
        <v>234</v>
      </c>
      <c r="G643" s="129" t="s">
        <v>824</v>
      </c>
      <c r="H643" s="127" t="s">
        <v>430</v>
      </c>
      <c r="I643" s="127" t="s">
        <v>634</v>
      </c>
      <c r="J643" s="124">
        <v>60.0</v>
      </c>
      <c r="K643" s="124" t="s">
        <v>41</v>
      </c>
      <c r="L643" s="124">
        <v>9999.0</v>
      </c>
    </row>
    <row r="644">
      <c r="A644" s="165">
        <v>43730.147751111115</v>
      </c>
      <c r="B644" s="161" t="s">
        <v>69</v>
      </c>
      <c r="C644" s="162" t="s">
        <v>170</v>
      </c>
      <c r="D644" s="93">
        <v>3.0</v>
      </c>
      <c r="E644" s="93">
        <v>1.0</v>
      </c>
      <c r="F644" s="124" t="s">
        <v>795</v>
      </c>
      <c r="G644" s="129" t="s">
        <v>853</v>
      </c>
      <c r="H644" s="127" t="s">
        <v>430</v>
      </c>
      <c r="I644" s="127" t="s">
        <v>773</v>
      </c>
      <c r="J644" s="124">
        <v>64.0</v>
      </c>
      <c r="K644" s="124" t="s">
        <v>64</v>
      </c>
      <c r="L644" s="124">
        <v>9999.0</v>
      </c>
    </row>
    <row r="645">
      <c r="A645" s="165">
        <v>43730.147751111115</v>
      </c>
      <c r="B645" s="161" t="s">
        <v>69</v>
      </c>
      <c r="C645" s="162" t="s">
        <v>125</v>
      </c>
      <c r="D645" s="93">
        <v>3.0</v>
      </c>
      <c r="E645" s="93">
        <v>1.0</v>
      </c>
      <c r="F645" s="124" t="s">
        <v>267</v>
      </c>
      <c r="G645" s="129" t="s">
        <v>846</v>
      </c>
      <c r="H645" s="127" t="s">
        <v>430</v>
      </c>
      <c r="I645" s="127" t="s">
        <v>431</v>
      </c>
      <c r="J645" s="124" t="s">
        <v>446</v>
      </c>
      <c r="K645" s="124" t="s">
        <v>60</v>
      </c>
      <c r="L645" s="124">
        <v>9999.0</v>
      </c>
    </row>
    <row r="646">
      <c r="A646" s="165">
        <v>43730.147751111115</v>
      </c>
      <c r="B646" s="161" t="s">
        <v>69</v>
      </c>
      <c r="C646" s="162" t="s">
        <v>108</v>
      </c>
      <c r="D646" s="93">
        <v>3.0</v>
      </c>
      <c r="E646" s="93">
        <v>1.0</v>
      </c>
      <c r="F646" s="124" t="s">
        <v>278</v>
      </c>
      <c r="G646" s="129" t="s">
        <v>855</v>
      </c>
      <c r="H646" s="127" t="s">
        <v>430</v>
      </c>
      <c r="I646" s="127">
        <v>16.0</v>
      </c>
      <c r="J646" s="124">
        <v>61.0</v>
      </c>
      <c r="K646" s="124" t="s">
        <v>74</v>
      </c>
      <c r="L646" s="124">
        <v>9999.0</v>
      </c>
    </row>
    <row r="647">
      <c r="A647" s="165">
        <v>43730.147751111115</v>
      </c>
      <c r="B647" s="161" t="s">
        <v>69</v>
      </c>
      <c r="C647" s="162" t="s">
        <v>151</v>
      </c>
      <c r="D647" s="93">
        <v>1.0</v>
      </c>
      <c r="E647" s="93">
        <v>2.0</v>
      </c>
      <c r="F647" s="124" t="s">
        <v>287</v>
      </c>
      <c r="G647" s="129" t="s">
        <v>851</v>
      </c>
      <c r="H647" s="127" t="s">
        <v>430</v>
      </c>
      <c r="I647" s="127" t="s">
        <v>272</v>
      </c>
      <c r="J647" s="124" t="s">
        <v>412</v>
      </c>
      <c r="K647" s="124" t="s">
        <v>64</v>
      </c>
      <c r="L647" s="124">
        <v>9999.0</v>
      </c>
    </row>
    <row r="648">
      <c r="A648" s="165">
        <v>43730.147751111115</v>
      </c>
      <c r="B648" s="161" t="s">
        <v>69</v>
      </c>
      <c r="C648" s="162" t="s">
        <v>101</v>
      </c>
      <c r="D648" s="93">
        <v>3.0</v>
      </c>
      <c r="E648" s="93">
        <v>1.0</v>
      </c>
      <c r="F648" s="124" t="s">
        <v>215</v>
      </c>
      <c r="G648" s="129" t="s">
        <v>843</v>
      </c>
      <c r="H648" s="127" t="s">
        <v>430</v>
      </c>
      <c r="I648" s="127">
        <v>-14.0</v>
      </c>
      <c r="J648" s="124">
        <v>65.0</v>
      </c>
      <c r="K648" s="124" t="s">
        <v>60</v>
      </c>
      <c r="L648" s="124">
        <v>9999.0</v>
      </c>
    </row>
    <row r="649">
      <c r="A649" s="165">
        <v>43730.147751111115</v>
      </c>
      <c r="B649" s="161" t="s">
        <v>69</v>
      </c>
      <c r="C649" s="162" t="s">
        <v>87</v>
      </c>
      <c r="D649" s="93">
        <v>2.0</v>
      </c>
      <c r="E649" s="93">
        <v>2.0</v>
      </c>
      <c r="F649" s="124" t="s">
        <v>285</v>
      </c>
      <c r="G649" s="129" t="s">
        <v>856</v>
      </c>
      <c r="H649" s="127" t="s">
        <v>430</v>
      </c>
      <c r="I649" s="127">
        <v>-41.0</v>
      </c>
      <c r="J649" s="124">
        <v>56.0</v>
      </c>
      <c r="K649" s="124" t="s">
        <v>74</v>
      </c>
      <c r="L649" s="124">
        <v>9999.0</v>
      </c>
    </row>
    <row r="650">
      <c r="A650" s="136" t="s">
        <v>359</v>
      </c>
      <c r="B650" s="115" t="s">
        <v>2</v>
      </c>
      <c r="C650" s="153" t="s">
        <v>227</v>
      </c>
      <c r="D650" s="118" t="s">
        <v>29</v>
      </c>
      <c r="E650" s="118" t="s">
        <v>34</v>
      </c>
      <c r="F650" s="124" t="s">
        <v>261</v>
      </c>
      <c r="G650" s="129" t="s">
        <v>245</v>
      </c>
      <c r="H650" s="127" t="s">
        <v>228</v>
      </c>
      <c r="I650" s="127" t="s">
        <v>229</v>
      </c>
      <c r="J650" s="124" t="s">
        <v>262</v>
      </c>
      <c r="K650" s="124" t="s">
        <v>263</v>
      </c>
      <c r="L650" s="124"/>
    </row>
    <row r="651">
      <c r="A651" s="165">
        <v>43730.147751111115</v>
      </c>
      <c r="B651" s="161" t="s">
        <v>74</v>
      </c>
      <c r="C651" s="162" t="s">
        <v>141</v>
      </c>
      <c r="D651" s="93">
        <v>2.0</v>
      </c>
      <c r="E651" s="93">
        <v>2.0</v>
      </c>
      <c r="F651" s="124" t="s">
        <v>267</v>
      </c>
      <c r="G651" s="129" t="s">
        <v>856</v>
      </c>
      <c r="H651" s="127" t="s">
        <v>430</v>
      </c>
      <c r="I651" s="127" t="s">
        <v>379</v>
      </c>
      <c r="J651" s="124" t="s">
        <v>482</v>
      </c>
      <c r="K651" s="124" t="s">
        <v>69</v>
      </c>
      <c r="L651" s="124">
        <v>9999.0</v>
      </c>
    </row>
    <row r="652">
      <c r="A652" s="165">
        <v>43730.147751111115</v>
      </c>
      <c r="B652" s="161" t="s">
        <v>74</v>
      </c>
      <c r="C652" s="162" t="s">
        <v>23</v>
      </c>
      <c r="D652" s="93">
        <v>1.0</v>
      </c>
      <c r="E652" s="93">
        <v>2.0</v>
      </c>
      <c r="F652" s="124" t="s">
        <v>248</v>
      </c>
      <c r="G652" s="129" t="s">
        <v>855</v>
      </c>
      <c r="H652" s="127" t="s">
        <v>430</v>
      </c>
      <c r="I652" s="127" t="s">
        <v>203</v>
      </c>
      <c r="J652" s="124" t="s">
        <v>203</v>
      </c>
      <c r="K652" s="124" t="s">
        <v>69</v>
      </c>
      <c r="L652" s="124">
        <v>9999.0</v>
      </c>
    </row>
    <row r="653">
      <c r="A653" s="165">
        <v>43730.147751111115</v>
      </c>
      <c r="B653" s="161" t="s">
        <v>74</v>
      </c>
      <c r="C653" s="162" t="s">
        <v>124</v>
      </c>
      <c r="D653" s="93">
        <v>2.0</v>
      </c>
      <c r="E653" s="93">
        <v>2.0</v>
      </c>
      <c r="F653" s="124" t="s">
        <v>267</v>
      </c>
      <c r="G653" s="129" t="s">
        <v>857</v>
      </c>
      <c r="H653" s="127" t="s">
        <v>430</v>
      </c>
      <c r="I653" s="127" t="s">
        <v>451</v>
      </c>
      <c r="J653" s="124" t="s">
        <v>559</v>
      </c>
      <c r="K653" s="124" t="s">
        <v>288</v>
      </c>
      <c r="L653" s="124">
        <v>9999.0</v>
      </c>
    </row>
    <row r="654">
      <c r="A654" s="165">
        <v>43730.147751111115</v>
      </c>
      <c r="B654" s="161" t="s">
        <v>74</v>
      </c>
      <c r="C654" s="162" t="s">
        <v>167</v>
      </c>
      <c r="D654" s="93">
        <v>1.0</v>
      </c>
      <c r="E654" s="93">
        <v>3.0</v>
      </c>
      <c r="F654" s="124" t="s">
        <v>201</v>
      </c>
      <c r="G654" s="129" t="s">
        <v>841</v>
      </c>
      <c r="H654" s="127" t="s">
        <v>430</v>
      </c>
      <c r="I654" s="127" t="s">
        <v>257</v>
      </c>
      <c r="J654" s="124" t="s">
        <v>781</v>
      </c>
      <c r="K654" s="124" t="s">
        <v>58</v>
      </c>
      <c r="L654" s="124">
        <v>9999.0</v>
      </c>
    </row>
    <row r="655">
      <c r="A655" s="165">
        <v>43730.147751111115</v>
      </c>
      <c r="B655" s="161" t="s">
        <v>74</v>
      </c>
      <c r="C655" s="162" t="s">
        <v>194</v>
      </c>
      <c r="D655" s="93">
        <v>2.0</v>
      </c>
      <c r="E655" s="93">
        <v>1.0</v>
      </c>
      <c r="F655" s="124" t="s">
        <v>267</v>
      </c>
      <c r="G655" s="129" t="s">
        <v>842</v>
      </c>
      <c r="H655" s="127" t="s">
        <v>430</v>
      </c>
      <c r="I655" s="127" t="s">
        <v>451</v>
      </c>
      <c r="J655" s="124">
        <v>49.0</v>
      </c>
      <c r="K655" s="124" t="s">
        <v>60</v>
      </c>
      <c r="L655" s="124">
        <v>9999.0</v>
      </c>
    </row>
    <row r="656">
      <c r="A656" s="165">
        <v>43730.147751111115</v>
      </c>
      <c r="B656" s="161" t="s">
        <v>74</v>
      </c>
      <c r="C656" s="162" t="s">
        <v>118</v>
      </c>
      <c r="D656" s="93">
        <v>4.0</v>
      </c>
      <c r="E656" s="93">
        <v>0.0</v>
      </c>
      <c r="F656" s="124" t="s">
        <v>278</v>
      </c>
      <c r="G656" s="129" t="s">
        <v>833</v>
      </c>
      <c r="H656" s="127" t="s">
        <v>430</v>
      </c>
      <c r="I656" s="127">
        <v>-16.0</v>
      </c>
      <c r="J656" s="124">
        <v>61.0</v>
      </c>
      <c r="K656" s="124" t="s">
        <v>48</v>
      </c>
      <c r="L656" s="124">
        <v>9999.0</v>
      </c>
    </row>
    <row r="657">
      <c r="A657" s="165">
        <v>43730.147751111115</v>
      </c>
      <c r="B657" s="161" t="s">
        <v>74</v>
      </c>
      <c r="C657" s="162" t="s">
        <v>99</v>
      </c>
      <c r="D657" s="93">
        <v>3.0</v>
      </c>
      <c r="E657" s="93">
        <v>0.0</v>
      </c>
      <c r="F657" s="124" t="s">
        <v>201</v>
      </c>
      <c r="G657" s="129" t="s">
        <v>202</v>
      </c>
      <c r="H657" s="127"/>
      <c r="I657" s="127" t="s">
        <v>257</v>
      </c>
      <c r="J657" s="124" t="s">
        <v>387</v>
      </c>
      <c r="K657" s="124"/>
      <c r="L657" s="124">
        <v>9999.0</v>
      </c>
    </row>
    <row r="658">
      <c r="A658" s="165">
        <v>43730.147751111115</v>
      </c>
      <c r="B658" s="161" t="s">
        <v>74</v>
      </c>
      <c r="C658" s="162" t="s">
        <v>88</v>
      </c>
      <c r="D658" s="93">
        <v>3.0</v>
      </c>
      <c r="E658" s="93">
        <v>1.0</v>
      </c>
      <c r="F658" s="124" t="s">
        <v>269</v>
      </c>
      <c r="G658" s="129" t="s">
        <v>806</v>
      </c>
      <c r="H658" s="127" t="s">
        <v>430</v>
      </c>
      <c r="I658" s="127" t="s">
        <v>244</v>
      </c>
      <c r="J658" s="124">
        <v>47.0</v>
      </c>
      <c r="K658" s="124" t="s">
        <v>27</v>
      </c>
      <c r="L658" s="124">
        <v>9999.0</v>
      </c>
    </row>
    <row r="659">
      <c r="A659" s="165">
        <v>43730.147751111115</v>
      </c>
      <c r="B659" s="161" t="s">
        <v>74</v>
      </c>
      <c r="C659" s="162" t="s">
        <v>160</v>
      </c>
      <c r="D659" s="93">
        <v>3.0</v>
      </c>
      <c r="E659" s="93">
        <v>1.0</v>
      </c>
      <c r="F659" s="124" t="s">
        <v>282</v>
      </c>
      <c r="G659" s="129" t="s">
        <v>809</v>
      </c>
      <c r="H659" s="127" t="s">
        <v>430</v>
      </c>
      <c r="I659" s="127">
        <v>-25.0</v>
      </c>
      <c r="J659" s="124">
        <v>55.0</v>
      </c>
      <c r="K659" s="124" t="s">
        <v>27</v>
      </c>
      <c r="L659" s="124">
        <v>9999.0</v>
      </c>
    </row>
    <row r="660">
      <c r="A660" s="165">
        <v>43730.147751111115</v>
      </c>
      <c r="B660" s="161" t="s">
        <v>74</v>
      </c>
      <c r="C660" s="162" t="s">
        <v>174</v>
      </c>
      <c r="D660" s="93">
        <v>4.0</v>
      </c>
      <c r="E660" s="93">
        <v>0.0</v>
      </c>
      <c r="F660" s="124" t="s">
        <v>784</v>
      </c>
      <c r="G660" s="129" t="s">
        <v>847</v>
      </c>
      <c r="H660" s="127" t="s">
        <v>430</v>
      </c>
      <c r="I660" s="127">
        <v>-35.0</v>
      </c>
      <c r="J660" s="124" t="s">
        <v>387</v>
      </c>
      <c r="K660" s="124" t="s">
        <v>62</v>
      </c>
      <c r="L660" s="124">
        <v>9999.0</v>
      </c>
    </row>
    <row r="661">
      <c r="A661" s="136" t="s">
        <v>359</v>
      </c>
      <c r="B661" s="115" t="s">
        <v>2</v>
      </c>
      <c r="C661" s="153" t="s">
        <v>227</v>
      </c>
      <c r="D661" s="118" t="s">
        <v>29</v>
      </c>
      <c r="E661" s="118" t="s">
        <v>34</v>
      </c>
      <c r="F661" s="124" t="s">
        <v>261</v>
      </c>
      <c r="G661" s="129" t="s">
        <v>245</v>
      </c>
      <c r="H661" s="127" t="s">
        <v>228</v>
      </c>
      <c r="I661" s="127" t="s">
        <v>229</v>
      </c>
      <c r="J661" s="124" t="s">
        <v>262</v>
      </c>
      <c r="K661" s="124" t="s">
        <v>263</v>
      </c>
      <c r="L661" s="124" t="s">
        <v>264</v>
      </c>
    </row>
    <row r="662">
      <c r="A662" s="165">
        <v>43737.14775020833</v>
      </c>
      <c r="B662" s="161" t="s">
        <v>27</v>
      </c>
      <c r="C662" s="162" t="s">
        <v>134</v>
      </c>
      <c r="D662" s="93">
        <v>1.0</v>
      </c>
      <c r="E662" s="93">
        <v>3.0</v>
      </c>
      <c r="F662" s="124" t="s">
        <v>355</v>
      </c>
      <c r="G662" s="129" t="s">
        <v>202</v>
      </c>
      <c r="H662" s="127"/>
      <c r="I662" s="127" t="s">
        <v>203</v>
      </c>
      <c r="J662" s="124" t="s">
        <v>203</v>
      </c>
      <c r="K662" s="124"/>
      <c r="L662" s="124">
        <v>9999.0</v>
      </c>
    </row>
    <row r="663">
      <c r="A663" s="165">
        <v>43737.14775020833</v>
      </c>
      <c r="B663" s="161" t="s">
        <v>27</v>
      </c>
      <c r="C663" s="162" t="s">
        <v>195</v>
      </c>
      <c r="D663" s="93">
        <v>3.0</v>
      </c>
      <c r="E663" s="93">
        <v>2.0</v>
      </c>
      <c r="F663" s="124" t="s">
        <v>282</v>
      </c>
      <c r="G663" s="129" t="s">
        <v>858</v>
      </c>
      <c r="H663" s="127" t="s">
        <v>430</v>
      </c>
      <c r="I663" s="127">
        <v>16.0</v>
      </c>
      <c r="J663" s="124">
        <v>60.0</v>
      </c>
      <c r="K663" s="124" t="s">
        <v>58</v>
      </c>
      <c r="L663" s="124">
        <v>9999.0</v>
      </c>
    </row>
    <row r="664">
      <c r="A664" s="165">
        <v>43737.14775020833</v>
      </c>
      <c r="B664" s="161" t="s">
        <v>27</v>
      </c>
      <c r="C664" s="162" t="s">
        <v>163</v>
      </c>
      <c r="D664" s="93">
        <v>4.0</v>
      </c>
      <c r="E664" s="93">
        <v>1.0</v>
      </c>
      <c r="F664" s="124" t="s">
        <v>718</v>
      </c>
      <c r="G664" s="129" t="s">
        <v>859</v>
      </c>
      <c r="H664" s="127" t="s">
        <v>430</v>
      </c>
      <c r="I664" s="127" t="s">
        <v>620</v>
      </c>
      <c r="J664" s="124">
        <v>41.0</v>
      </c>
      <c r="K664" s="124" t="s">
        <v>48</v>
      </c>
      <c r="L664" s="124">
        <v>9999.0</v>
      </c>
    </row>
    <row r="665">
      <c r="A665" s="165">
        <v>43737.14775020833</v>
      </c>
      <c r="B665" s="161" t="s">
        <v>27</v>
      </c>
      <c r="C665" s="162" t="s">
        <v>152</v>
      </c>
      <c r="D665" s="93">
        <v>2.0</v>
      </c>
      <c r="E665" s="93">
        <v>2.0</v>
      </c>
      <c r="F665" s="124" t="s">
        <v>248</v>
      </c>
      <c r="G665" s="129" t="s">
        <v>860</v>
      </c>
      <c r="H665" s="127" t="s">
        <v>430</v>
      </c>
      <c r="I665" s="127">
        <v>-18.0</v>
      </c>
      <c r="J665" s="124">
        <v>63.0</v>
      </c>
      <c r="K665" s="124" t="s">
        <v>38</v>
      </c>
      <c r="L665" s="124">
        <v>9999.0</v>
      </c>
    </row>
    <row r="666">
      <c r="A666" s="165">
        <v>43737.14775020833</v>
      </c>
      <c r="B666" s="161" t="s">
        <v>27</v>
      </c>
      <c r="C666" s="162" t="s">
        <v>107</v>
      </c>
      <c r="D666" s="93">
        <v>3.0</v>
      </c>
      <c r="E666" s="93">
        <v>1.0</v>
      </c>
      <c r="F666" s="124" t="s">
        <v>268</v>
      </c>
      <c r="G666" s="129" t="s">
        <v>861</v>
      </c>
      <c r="H666" s="127" t="s">
        <v>430</v>
      </c>
      <c r="I666" s="127" t="s">
        <v>503</v>
      </c>
      <c r="J666" s="124" t="s">
        <v>585</v>
      </c>
      <c r="K666" s="124" t="s">
        <v>53</v>
      </c>
      <c r="L666" s="124">
        <v>9999.0</v>
      </c>
    </row>
    <row r="667">
      <c r="A667" s="165">
        <v>43737.14775020833</v>
      </c>
      <c r="B667" s="161" t="s">
        <v>27</v>
      </c>
      <c r="C667" s="162" t="s">
        <v>94</v>
      </c>
      <c r="D667" s="93">
        <v>2.0</v>
      </c>
      <c r="E667" s="93">
        <v>2.0</v>
      </c>
      <c r="F667" s="124" t="s">
        <v>285</v>
      </c>
      <c r="G667" s="129" t="s">
        <v>862</v>
      </c>
      <c r="H667" s="127" t="s">
        <v>430</v>
      </c>
      <c r="I667" s="127">
        <v>-3.0</v>
      </c>
      <c r="J667" s="124">
        <v>53.0</v>
      </c>
      <c r="K667" s="124" t="s">
        <v>58</v>
      </c>
      <c r="L667" s="124">
        <v>9999.0</v>
      </c>
    </row>
    <row r="668">
      <c r="A668" s="165">
        <v>43737.14775020833</v>
      </c>
      <c r="B668" s="161" t="s">
        <v>27</v>
      </c>
      <c r="C668" s="162" t="s">
        <v>138</v>
      </c>
      <c r="D668" s="93">
        <v>1.0</v>
      </c>
      <c r="E668" s="93">
        <v>3.0</v>
      </c>
      <c r="F668" s="124" t="s">
        <v>267</v>
      </c>
      <c r="G668" s="129" t="s">
        <v>202</v>
      </c>
      <c r="H668" s="127"/>
      <c r="I668" s="127" t="s">
        <v>203</v>
      </c>
      <c r="J668" s="124" t="s">
        <v>203</v>
      </c>
      <c r="K668" s="124"/>
      <c r="L668" s="124">
        <v>9999.0</v>
      </c>
    </row>
    <row r="669">
      <c r="A669" s="165">
        <v>43737.14775020833</v>
      </c>
      <c r="B669" s="161" t="s">
        <v>27</v>
      </c>
      <c r="C669" s="162" t="s">
        <v>116</v>
      </c>
      <c r="D669" s="93">
        <v>3.0</v>
      </c>
      <c r="E669" s="93">
        <v>2.0</v>
      </c>
      <c r="F669" s="124" t="s">
        <v>269</v>
      </c>
      <c r="G669" s="129" t="s">
        <v>863</v>
      </c>
      <c r="H669" s="127" t="s">
        <v>430</v>
      </c>
      <c r="I669" s="127">
        <v>17.0</v>
      </c>
      <c r="J669" s="124" t="s">
        <v>559</v>
      </c>
      <c r="K669" s="124" t="s">
        <v>74</v>
      </c>
      <c r="L669" s="124">
        <v>9999.0</v>
      </c>
    </row>
    <row r="670">
      <c r="A670" s="165">
        <v>43737.14775020833</v>
      </c>
      <c r="B670" s="161" t="s">
        <v>27</v>
      </c>
      <c r="C670" s="162" t="s">
        <v>114</v>
      </c>
      <c r="D670" s="93">
        <v>5.0</v>
      </c>
      <c r="E670" s="93">
        <v>0.0</v>
      </c>
      <c r="F670" s="124" t="s">
        <v>234</v>
      </c>
      <c r="G670" s="129" t="s">
        <v>864</v>
      </c>
      <c r="H670" s="127" t="s">
        <v>430</v>
      </c>
      <c r="I670" s="127">
        <v>-38.0</v>
      </c>
      <c r="J670" s="124">
        <v>61.0</v>
      </c>
      <c r="K670" s="124" t="s">
        <v>288</v>
      </c>
      <c r="L670" s="124">
        <v>9999.0</v>
      </c>
    </row>
    <row r="671">
      <c r="A671" s="165">
        <v>43737.14775020833</v>
      </c>
      <c r="B671" s="161" t="s">
        <v>27</v>
      </c>
      <c r="C671" s="162" t="s">
        <v>56</v>
      </c>
      <c r="D671" s="93">
        <v>2.0</v>
      </c>
      <c r="E671" s="93">
        <v>2.0</v>
      </c>
      <c r="F671" s="124" t="s">
        <v>215</v>
      </c>
      <c r="G671" s="129" t="s">
        <v>202</v>
      </c>
      <c r="H671" s="127"/>
      <c r="I671" s="127" t="s">
        <v>203</v>
      </c>
      <c r="J671" s="124" t="s">
        <v>203</v>
      </c>
      <c r="K671" s="124"/>
      <c r="L671" s="124">
        <v>9999.0</v>
      </c>
    </row>
    <row r="672">
      <c r="A672" s="136" t="s">
        <v>359</v>
      </c>
      <c r="B672" s="115" t="s">
        <v>2</v>
      </c>
      <c r="C672" s="153" t="s">
        <v>227</v>
      </c>
      <c r="D672" s="118" t="s">
        <v>29</v>
      </c>
      <c r="E672" s="118" t="s">
        <v>34</v>
      </c>
      <c r="F672" s="124" t="s">
        <v>261</v>
      </c>
      <c r="G672" s="129" t="s">
        <v>245</v>
      </c>
      <c r="H672" s="127" t="s">
        <v>228</v>
      </c>
      <c r="I672" s="127" t="s">
        <v>229</v>
      </c>
      <c r="J672" s="124" t="s">
        <v>262</v>
      </c>
      <c r="K672" s="124" t="s">
        <v>263</v>
      </c>
      <c r="L672" s="124" t="s">
        <v>264</v>
      </c>
    </row>
    <row r="673">
      <c r="A673" s="165">
        <v>43737.14775020833</v>
      </c>
      <c r="B673" s="161" t="s">
        <v>38</v>
      </c>
      <c r="C673" s="162" t="s">
        <v>129</v>
      </c>
      <c r="D673" s="93">
        <v>1.0</v>
      </c>
      <c r="E673" s="93">
        <v>3.0</v>
      </c>
      <c r="F673" s="124" t="s">
        <v>248</v>
      </c>
      <c r="G673" s="129" t="s">
        <v>865</v>
      </c>
      <c r="H673" s="127" t="s">
        <v>430</v>
      </c>
      <c r="I673" s="127">
        <v>-3.0</v>
      </c>
      <c r="J673" s="124">
        <v>47.0</v>
      </c>
      <c r="K673" s="124" t="s">
        <v>38</v>
      </c>
      <c r="L673" s="124">
        <v>9999.0</v>
      </c>
    </row>
    <row r="674">
      <c r="A674" s="165">
        <v>43737.14775020833</v>
      </c>
      <c r="B674" s="161" t="s">
        <v>38</v>
      </c>
      <c r="C674" s="162" t="s">
        <v>139</v>
      </c>
      <c r="D674" s="93">
        <v>1.0</v>
      </c>
      <c r="E674" s="93">
        <v>3.0</v>
      </c>
      <c r="F674" s="124" t="s">
        <v>267</v>
      </c>
      <c r="G674" s="129" t="s">
        <v>202</v>
      </c>
      <c r="H674" s="127"/>
      <c r="I674" s="127" t="s">
        <v>203</v>
      </c>
      <c r="J674" s="124" t="s">
        <v>203</v>
      </c>
      <c r="K674" s="124"/>
      <c r="L674" s="124">
        <v>9999.0</v>
      </c>
    </row>
    <row r="675">
      <c r="A675" s="165">
        <v>43737.14775020833</v>
      </c>
      <c r="B675" s="161" t="s">
        <v>38</v>
      </c>
      <c r="C675" s="162" t="s">
        <v>198</v>
      </c>
      <c r="D675" s="93">
        <v>0.0</v>
      </c>
      <c r="E675" s="93">
        <v>5.0</v>
      </c>
      <c r="F675" s="124" t="s">
        <v>727</v>
      </c>
      <c r="G675" s="129" t="s">
        <v>860</v>
      </c>
      <c r="H675" s="127" t="s">
        <v>430</v>
      </c>
      <c r="I675" s="127">
        <v>18.0</v>
      </c>
      <c r="J675" s="124">
        <v>63.0</v>
      </c>
      <c r="K675" s="124" t="s">
        <v>27</v>
      </c>
      <c r="L675" s="124">
        <v>9999.0</v>
      </c>
    </row>
    <row r="676">
      <c r="A676" s="165">
        <v>43737.14775020833</v>
      </c>
      <c r="B676" s="161" t="s">
        <v>38</v>
      </c>
      <c r="C676" s="162" t="s">
        <v>156</v>
      </c>
      <c r="D676" s="93">
        <v>3.0</v>
      </c>
      <c r="E676" s="93">
        <v>1.0</v>
      </c>
      <c r="F676" s="124" t="s">
        <v>727</v>
      </c>
      <c r="G676" s="129" t="s">
        <v>202</v>
      </c>
      <c r="H676" s="127"/>
      <c r="I676" s="127" t="s">
        <v>203</v>
      </c>
      <c r="J676" s="124" t="s">
        <v>203</v>
      </c>
      <c r="K676" s="124"/>
      <c r="L676" s="124">
        <v>9999.0</v>
      </c>
    </row>
    <row r="677">
      <c r="A677" s="165">
        <v>43737.14775020833</v>
      </c>
      <c r="B677" s="161" t="s">
        <v>38</v>
      </c>
      <c r="C677" s="162" t="s">
        <v>97</v>
      </c>
      <c r="D677" s="93">
        <v>2.0</v>
      </c>
      <c r="E677" s="93">
        <v>2.0</v>
      </c>
      <c r="F677" s="124" t="s">
        <v>269</v>
      </c>
      <c r="G677" s="129" t="s">
        <v>866</v>
      </c>
      <c r="H677" s="127" t="s">
        <v>430</v>
      </c>
      <c r="I677" s="127">
        <v>-3.0</v>
      </c>
      <c r="J677" s="124" t="s">
        <v>546</v>
      </c>
      <c r="K677" s="124" t="s">
        <v>58</v>
      </c>
      <c r="L677" s="124">
        <v>9999.0</v>
      </c>
    </row>
    <row r="678">
      <c r="A678" s="165">
        <v>43737.14775020833</v>
      </c>
      <c r="B678" s="161" t="s">
        <v>38</v>
      </c>
      <c r="C678" s="162" t="s">
        <v>68</v>
      </c>
      <c r="D678" s="93">
        <v>5.0</v>
      </c>
      <c r="E678" s="93">
        <v>0.0</v>
      </c>
      <c r="F678" s="124" t="s">
        <v>207</v>
      </c>
      <c r="G678" s="129" t="s">
        <v>867</v>
      </c>
      <c r="H678" s="127" t="s">
        <v>430</v>
      </c>
      <c r="I678" s="127">
        <v>-27.0</v>
      </c>
      <c r="J678" s="124">
        <v>60.0</v>
      </c>
      <c r="K678" s="124" t="s">
        <v>48</v>
      </c>
      <c r="L678" s="124">
        <v>9999.0</v>
      </c>
    </row>
    <row r="679">
      <c r="A679" s="165">
        <v>43737.14775020833</v>
      </c>
      <c r="B679" s="161" t="s">
        <v>38</v>
      </c>
      <c r="C679" s="162" t="s">
        <v>172</v>
      </c>
      <c r="D679" s="93">
        <v>3.0</v>
      </c>
      <c r="E679" s="93">
        <v>2.0</v>
      </c>
      <c r="F679" s="124" t="s">
        <v>201</v>
      </c>
      <c r="G679" s="129" t="s">
        <v>868</v>
      </c>
      <c r="H679" s="127" t="s">
        <v>430</v>
      </c>
      <c r="I679" s="127" t="s">
        <v>376</v>
      </c>
      <c r="J679" s="124">
        <v>56.0</v>
      </c>
      <c r="K679" s="124" t="s">
        <v>69</v>
      </c>
      <c r="L679" s="124">
        <v>9999.0</v>
      </c>
    </row>
    <row r="680">
      <c r="A680" s="165">
        <v>43737.14775020833</v>
      </c>
      <c r="B680" s="161" t="s">
        <v>38</v>
      </c>
      <c r="C680" s="162" t="s">
        <v>32</v>
      </c>
      <c r="D680" s="93">
        <v>3.0</v>
      </c>
      <c r="E680" s="93">
        <v>2.0</v>
      </c>
      <c r="F680" s="124" t="s">
        <v>260</v>
      </c>
      <c r="G680" s="129" t="s">
        <v>865</v>
      </c>
      <c r="H680" s="127" t="s">
        <v>430</v>
      </c>
      <c r="I680" s="127">
        <v>3.0</v>
      </c>
      <c r="J680" s="124">
        <v>47.0</v>
      </c>
      <c r="K680" s="124" t="s">
        <v>38</v>
      </c>
      <c r="L680" s="124">
        <v>9999.0</v>
      </c>
    </row>
    <row r="681">
      <c r="A681" s="165">
        <v>43737.14775020833</v>
      </c>
      <c r="B681" s="161" t="s">
        <v>38</v>
      </c>
      <c r="C681" s="162" t="s">
        <v>178</v>
      </c>
      <c r="D681" s="93">
        <v>4.0</v>
      </c>
      <c r="E681" s="93">
        <v>0.0</v>
      </c>
      <c r="F681" s="124" t="s">
        <v>287</v>
      </c>
      <c r="G681" s="129" t="s">
        <v>202</v>
      </c>
      <c r="H681" s="127"/>
      <c r="I681" s="127" t="s">
        <v>203</v>
      </c>
      <c r="J681" s="124" t="s">
        <v>203</v>
      </c>
      <c r="K681" s="124"/>
      <c r="L681" s="124">
        <v>9999.0</v>
      </c>
    </row>
    <row r="682">
      <c r="A682" s="165">
        <v>43737.14775020833</v>
      </c>
      <c r="B682" s="161" t="s">
        <v>38</v>
      </c>
      <c r="C682" s="162" t="s">
        <v>113</v>
      </c>
      <c r="D682" s="93">
        <v>4.0</v>
      </c>
      <c r="E682" s="93">
        <v>1.0</v>
      </c>
      <c r="F682" s="124" t="s">
        <v>278</v>
      </c>
      <c r="G682" s="129" t="s">
        <v>869</v>
      </c>
      <c r="H682" s="127" t="s">
        <v>430</v>
      </c>
      <c r="I682" s="127">
        <v>-14.0</v>
      </c>
      <c r="J682" s="124">
        <v>44.0</v>
      </c>
      <c r="K682" s="124" t="s">
        <v>69</v>
      </c>
      <c r="L682" s="124">
        <v>9999.0</v>
      </c>
    </row>
    <row r="683">
      <c r="A683" s="136" t="s">
        <v>359</v>
      </c>
      <c r="B683" s="115" t="s">
        <v>2</v>
      </c>
      <c r="C683" s="153" t="s">
        <v>227</v>
      </c>
      <c r="D683" s="118" t="s">
        <v>29</v>
      </c>
      <c r="E683" s="118" t="s">
        <v>34</v>
      </c>
      <c r="F683" s="124" t="s">
        <v>261</v>
      </c>
      <c r="G683" s="129" t="s">
        <v>245</v>
      </c>
      <c r="H683" s="127" t="s">
        <v>228</v>
      </c>
      <c r="I683" s="127" t="s">
        <v>229</v>
      </c>
      <c r="J683" s="124" t="s">
        <v>262</v>
      </c>
      <c r="K683" s="124" t="s">
        <v>263</v>
      </c>
      <c r="L683" s="124" t="s">
        <v>264</v>
      </c>
    </row>
    <row r="684">
      <c r="A684" s="165">
        <v>43737.14775020833</v>
      </c>
      <c r="B684" s="161" t="s">
        <v>41</v>
      </c>
      <c r="C684" s="162" t="s">
        <v>126</v>
      </c>
      <c r="D684" s="93">
        <v>2.0</v>
      </c>
      <c r="E684" s="93">
        <v>2.0</v>
      </c>
      <c r="F684" s="124" t="s">
        <v>284</v>
      </c>
      <c r="G684" s="129" t="s">
        <v>870</v>
      </c>
      <c r="H684" s="127" t="s">
        <v>430</v>
      </c>
      <c r="I684" s="127" t="s">
        <v>418</v>
      </c>
      <c r="J684" s="124">
        <v>47.0</v>
      </c>
      <c r="K684" s="124" t="s">
        <v>62</v>
      </c>
      <c r="L684" s="124">
        <v>9999.0</v>
      </c>
    </row>
    <row r="685">
      <c r="A685" s="165">
        <v>43737.14775020833</v>
      </c>
      <c r="B685" s="161" t="s">
        <v>41</v>
      </c>
      <c r="C685" s="162" t="s">
        <v>146</v>
      </c>
      <c r="D685" s="93">
        <v>1.0</v>
      </c>
      <c r="E685" s="93">
        <v>3.0</v>
      </c>
      <c r="F685" s="124" t="s">
        <v>284</v>
      </c>
      <c r="G685" s="129" t="s">
        <v>202</v>
      </c>
      <c r="H685" s="127"/>
      <c r="I685" s="127" t="s">
        <v>203</v>
      </c>
      <c r="J685" s="124" t="s">
        <v>203</v>
      </c>
      <c r="K685" s="124"/>
      <c r="L685" s="124">
        <v>9999.0</v>
      </c>
    </row>
    <row r="686">
      <c r="A686" s="165">
        <v>43737.14775020833</v>
      </c>
      <c r="B686" s="161" t="s">
        <v>41</v>
      </c>
      <c r="C686" s="162" t="s">
        <v>109</v>
      </c>
      <c r="D686" s="93">
        <v>2.0</v>
      </c>
      <c r="E686" s="93">
        <v>3.0</v>
      </c>
      <c r="F686" s="124" t="s">
        <v>207</v>
      </c>
      <c r="G686" s="129" t="s">
        <v>871</v>
      </c>
      <c r="H686" s="127" t="s">
        <v>430</v>
      </c>
      <c r="I686" s="127" t="s">
        <v>451</v>
      </c>
      <c r="J686" s="124" t="s">
        <v>412</v>
      </c>
      <c r="K686" s="124" t="s">
        <v>64</v>
      </c>
      <c r="L686" s="124">
        <v>9999.0</v>
      </c>
    </row>
    <row r="687">
      <c r="A687" s="165">
        <v>43737.14775020833</v>
      </c>
      <c r="B687" s="161" t="s">
        <v>41</v>
      </c>
      <c r="C687" s="162" t="s">
        <v>52</v>
      </c>
      <c r="D687" s="93">
        <v>3.0</v>
      </c>
      <c r="E687" s="93">
        <v>1.0</v>
      </c>
      <c r="F687" s="124" t="s">
        <v>282</v>
      </c>
      <c r="G687" s="129" t="s">
        <v>202</v>
      </c>
      <c r="H687" s="127"/>
      <c r="I687" s="127" t="s">
        <v>203</v>
      </c>
      <c r="J687" s="124" t="s">
        <v>203</v>
      </c>
      <c r="K687" s="124"/>
      <c r="L687" s="124">
        <v>9999.0</v>
      </c>
    </row>
    <row r="688">
      <c r="A688" s="165">
        <v>43737.14775020833</v>
      </c>
      <c r="B688" s="161" t="s">
        <v>41</v>
      </c>
      <c r="C688" s="162" t="s">
        <v>91</v>
      </c>
      <c r="D688" s="93">
        <v>3.0</v>
      </c>
      <c r="E688" s="93">
        <v>2.0</v>
      </c>
      <c r="F688" s="124" t="s">
        <v>207</v>
      </c>
      <c r="G688" s="129" t="s">
        <v>872</v>
      </c>
      <c r="H688" s="127" t="s">
        <v>430</v>
      </c>
      <c r="I688" s="127">
        <v>-27.0</v>
      </c>
      <c r="J688" s="124" t="s">
        <v>507</v>
      </c>
      <c r="K688" s="124" t="s">
        <v>288</v>
      </c>
      <c r="L688" s="124">
        <v>9999.0</v>
      </c>
    </row>
    <row r="689">
      <c r="A689" s="165">
        <v>43737.14775020833</v>
      </c>
      <c r="B689" s="161" t="s">
        <v>41</v>
      </c>
      <c r="C689" s="162" t="s">
        <v>111</v>
      </c>
      <c r="D689" s="93">
        <v>2.0</v>
      </c>
      <c r="E689" s="93">
        <v>2.0</v>
      </c>
      <c r="F689" s="124" t="s">
        <v>260</v>
      </c>
      <c r="G689" s="129" t="s">
        <v>873</v>
      </c>
      <c r="H689" s="127" t="s">
        <v>430</v>
      </c>
      <c r="I689" s="127" t="s">
        <v>247</v>
      </c>
      <c r="J689" s="124">
        <v>62.0</v>
      </c>
      <c r="K689" s="124" t="s">
        <v>53</v>
      </c>
      <c r="L689" s="124">
        <v>9999.0</v>
      </c>
    </row>
    <row r="690">
      <c r="A690" s="165">
        <v>43737.14775020833</v>
      </c>
      <c r="B690" s="161" t="s">
        <v>41</v>
      </c>
      <c r="C690" s="162" t="s">
        <v>180</v>
      </c>
      <c r="D690" s="93">
        <v>3.0</v>
      </c>
      <c r="E690" s="93">
        <v>1.0</v>
      </c>
      <c r="F690" s="124" t="s">
        <v>743</v>
      </c>
      <c r="G690" s="129" t="s">
        <v>202</v>
      </c>
      <c r="H690" s="127"/>
      <c r="I690" s="127" t="s">
        <v>203</v>
      </c>
      <c r="J690" s="124" t="s">
        <v>203</v>
      </c>
      <c r="K690" s="124"/>
      <c r="L690" s="124">
        <v>9999.0</v>
      </c>
    </row>
    <row r="691">
      <c r="A691" s="165">
        <v>43737.14775020833</v>
      </c>
      <c r="B691" s="161" t="s">
        <v>41</v>
      </c>
      <c r="C691" s="162" t="s">
        <v>168</v>
      </c>
      <c r="D691" s="93">
        <v>1.0</v>
      </c>
      <c r="E691" s="93">
        <v>4.0</v>
      </c>
      <c r="F691" s="124" t="s">
        <v>278</v>
      </c>
      <c r="G691" s="129" t="s">
        <v>874</v>
      </c>
      <c r="H691" s="127" t="s">
        <v>430</v>
      </c>
      <c r="I691" s="127" t="s">
        <v>247</v>
      </c>
      <c r="J691" s="124">
        <v>71.0</v>
      </c>
      <c r="K691" s="124" t="s">
        <v>44</v>
      </c>
      <c r="L691" s="124">
        <v>9999.0</v>
      </c>
    </row>
    <row r="692">
      <c r="A692" s="165">
        <v>43737.14775020833</v>
      </c>
      <c r="B692" s="161" t="s">
        <v>41</v>
      </c>
      <c r="C692" s="162" t="s">
        <v>159</v>
      </c>
      <c r="D692" s="93">
        <v>3.0</v>
      </c>
      <c r="E692" s="93">
        <v>1.0</v>
      </c>
      <c r="F692" s="124" t="s">
        <v>248</v>
      </c>
      <c r="G692" s="129" t="s">
        <v>875</v>
      </c>
      <c r="H692" s="127" t="s">
        <v>430</v>
      </c>
      <c r="I692" s="127">
        <v>-24.0</v>
      </c>
      <c r="J692" s="124" t="s">
        <v>516</v>
      </c>
      <c r="K692" s="124" t="s">
        <v>69</v>
      </c>
      <c r="L692" s="124">
        <v>9999.0</v>
      </c>
    </row>
    <row r="693">
      <c r="A693" s="165">
        <v>43737.14775020833</v>
      </c>
      <c r="B693" s="161" t="s">
        <v>41</v>
      </c>
      <c r="C693" s="162" t="s">
        <v>190</v>
      </c>
      <c r="D693" s="93">
        <v>3.0</v>
      </c>
      <c r="E693" s="93">
        <v>1.0</v>
      </c>
      <c r="F693" s="124" t="s">
        <v>248</v>
      </c>
      <c r="G693" s="129" t="s">
        <v>876</v>
      </c>
      <c r="H693" s="127" t="s">
        <v>430</v>
      </c>
      <c r="I693" s="127" t="s">
        <v>379</v>
      </c>
      <c r="J693" s="124">
        <v>55.0</v>
      </c>
      <c r="K693" s="124" t="s">
        <v>44</v>
      </c>
      <c r="L693" s="124">
        <v>9999.0</v>
      </c>
    </row>
    <row r="694">
      <c r="A694" s="136" t="s">
        <v>359</v>
      </c>
      <c r="B694" s="115" t="s">
        <v>2</v>
      </c>
      <c r="C694" s="153" t="s">
        <v>227</v>
      </c>
      <c r="D694" s="118" t="s">
        <v>29</v>
      </c>
      <c r="E694" s="118" t="s">
        <v>34</v>
      </c>
      <c r="F694" s="124" t="s">
        <v>261</v>
      </c>
      <c r="G694" s="129" t="s">
        <v>245</v>
      </c>
      <c r="H694" s="127" t="s">
        <v>228</v>
      </c>
      <c r="I694" s="127" t="s">
        <v>229</v>
      </c>
      <c r="J694" s="124" t="s">
        <v>262</v>
      </c>
      <c r="K694" s="124" t="s">
        <v>263</v>
      </c>
      <c r="L694" s="124" t="s">
        <v>264</v>
      </c>
    </row>
    <row r="695">
      <c r="A695" s="165">
        <v>43737.14775020833</v>
      </c>
      <c r="B695" s="161" t="s">
        <v>44</v>
      </c>
      <c r="C695" s="162" t="s">
        <v>145</v>
      </c>
      <c r="D695" s="93">
        <v>1.0</v>
      </c>
      <c r="E695" s="93">
        <v>3.0</v>
      </c>
      <c r="F695" s="124" t="s">
        <v>269</v>
      </c>
      <c r="G695" s="129" t="s">
        <v>877</v>
      </c>
      <c r="H695" s="127" t="s">
        <v>430</v>
      </c>
      <c r="I695" s="127" t="s">
        <v>247</v>
      </c>
      <c r="J695" s="124" t="s">
        <v>462</v>
      </c>
      <c r="K695" s="124" t="s">
        <v>288</v>
      </c>
      <c r="L695" s="124">
        <v>9999.0</v>
      </c>
    </row>
    <row r="696">
      <c r="A696" s="165">
        <v>43737.14775020833</v>
      </c>
      <c r="B696" s="161" t="s">
        <v>44</v>
      </c>
      <c r="C696" s="162" t="s">
        <v>132</v>
      </c>
      <c r="D696" s="93">
        <v>2.0</v>
      </c>
      <c r="E696" s="93">
        <v>3.0</v>
      </c>
      <c r="F696" s="124" t="s">
        <v>267</v>
      </c>
      <c r="G696" s="129" t="s">
        <v>878</v>
      </c>
      <c r="H696" s="127" t="s">
        <v>430</v>
      </c>
      <c r="I696" s="127">
        <v>-1.0</v>
      </c>
      <c r="J696" s="124" t="s">
        <v>370</v>
      </c>
      <c r="K696" s="124" t="s">
        <v>74</v>
      </c>
      <c r="L696" s="124">
        <v>9999.0</v>
      </c>
    </row>
    <row r="697">
      <c r="A697" s="165">
        <v>43737.14775020833</v>
      </c>
      <c r="B697" s="161" t="s">
        <v>44</v>
      </c>
      <c r="C697" s="162" t="s">
        <v>173</v>
      </c>
      <c r="D697" s="93">
        <v>2.0</v>
      </c>
      <c r="E697" s="93">
        <v>3.0</v>
      </c>
      <c r="F697" s="124" t="s">
        <v>287</v>
      </c>
      <c r="G697" s="129" t="s">
        <v>879</v>
      </c>
      <c r="H697" s="127" t="s">
        <v>430</v>
      </c>
      <c r="I697" s="127">
        <v>23.0</v>
      </c>
      <c r="J697" s="124" t="s">
        <v>397</v>
      </c>
      <c r="K697" s="124" t="s">
        <v>62</v>
      </c>
      <c r="L697" s="124">
        <v>9999.0</v>
      </c>
    </row>
    <row r="698">
      <c r="A698" s="165">
        <v>43737.14775020833</v>
      </c>
      <c r="B698" s="161" t="s">
        <v>44</v>
      </c>
      <c r="C698" s="162" t="s">
        <v>37</v>
      </c>
      <c r="D698" s="93">
        <v>2.0</v>
      </c>
      <c r="E698" s="93">
        <v>1.0</v>
      </c>
      <c r="F698" s="124" t="s">
        <v>260</v>
      </c>
      <c r="G698" s="129" t="s">
        <v>880</v>
      </c>
      <c r="H698" s="127" t="s">
        <v>430</v>
      </c>
      <c r="I698" s="127" t="s">
        <v>492</v>
      </c>
      <c r="J698" s="124" t="s">
        <v>406</v>
      </c>
      <c r="K698" s="124" t="s">
        <v>69</v>
      </c>
      <c r="L698" s="124">
        <v>9999.0</v>
      </c>
    </row>
    <row r="699">
      <c r="A699" s="165">
        <v>43737.14775020833</v>
      </c>
      <c r="B699" s="161" t="s">
        <v>44</v>
      </c>
      <c r="C699" s="162" t="s">
        <v>150</v>
      </c>
      <c r="D699" s="93">
        <v>4.0</v>
      </c>
      <c r="E699" s="93">
        <v>0.0</v>
      </c>
      <c r="F699" s="124" t="s">
        <v>215</v>
      </c>
      <c r="G699" s="129" t="s">
        <v>202</v>
      </c>
      <c r="H699" s="127"/>
      <c r="I699" s="127" t="s">
        <v>203</v>
      </c>
      <c r="J699" s="124" t="s">
        <v>203</v>
      </c>
      <c r="K699" s="124"/>
      <c r="L699" s="124">
        <v>9999.0</v>
      </c>
    </row>
    <row r="700">
      <c r="A700" s="165">
        <v>43737.14775020833</v>
      </c>
      <c r="B700" s="161" t="s">
        <v>44</v>
      </c>
      <c r="C700" s="162" t="s">
        <v>122</v>
      </c>
      <c r="D700" s="93">
        <v>4.0</v>
      </c>
      <c r="E700" s="93">
        <v>0.0</v>
      </c>
      <c r="F700" s="124" t="s">
        <v>248</v>
      </c>
      <c r="G700" s="129" t="s">
        <v>881</v>
      </c>
      <c r="H700" s="127" t="s">
        <v>430</v>
      </c>
      <c r="I700" s="127" t="s">
        <v>470</v>
      </c>
      <c r="J700" s="124" t="s">
        <v>482</v>
      </c>
      <c r="K700" s="124" t="s">
        <v>60</v>
      </c>
      <c r="L700" s="124">
        <v>9999.0</v>
      </c>
    </row>
    <row r="701">
      <c r="A701" s="165">
        <v>43737.14775020833</v>
      </c>
      <c r="B701" s="161" t="s">
        <v>44</v>
      </c>
      <c r="C701" s="162" t="s">
        <v>61</v>
      </c>
      <c r="D701" s="93">
        <v>3.0</v>
      </c>
      <c r="E701" s="93">
        <v>2.0</v>
      </c>
      <c r="F701" s="124" t="s">
        <v>285</v>
      </c>
      <c r="G701" s="129" t="s">
        <v>882</v>
      </c>
      <c r="H701" s="127" t="s">
        <v>430</v>
      </c>
      <c r="I701" s="127" t="s">
        <v>247</v>
      </c>
      <c r="J701" s="124">
        <v>69.0</v>
      </c>
      <c r="K701" s="124" t="s">
        <v>60</v>
      </c>
      <c r="L701" s="124">
        <v>9999.0</v>
      </c>
    </row>
    <row r="702">
      <c r="A702" s="165">
        <v>43737.14775020833</v>
      </c>
      <c r="B702" s="161" t="s">
        <v>44</v>
      </c>
      <c r="C702" s="162" t="s">
        <v>188</v>
      </c>
      <c r="D702" s="93">
        <v>1.0</v>
      </c>
      <c r="E702" s="93">
        <v>3.0</v>
      </c>
      <c r="F702" s="124" t="s">
        <v>266</v>
      </c>
      <c r="G702" s="129" t="s">
        <v>876</v>
      </c>
      <c r="H702" s="127" t="s">
        <v>430</v>
      </c>
      <c r="I702" s="127" t="s">
        <v>418</v>
      </c>
      <c r="J702" s="124">
        <v>55.0</v>
      </c>
      <c r="K702" s="124" t="s">
        <v>41</v>
      </c>
      <c r="L702" s="124">
        <v>9999.0</v>
      </c>
    </row>
    <row r="703">
      <c r="A703" s="165">
        <v>43737.14775020833</v>
      </c>
      <c r="B703" s="161" t="s">
        <v>44</v>
      </c>
      <c r="C703" s="162" t="s">
        <v>104</v>
      </c>
      <c r="D703" s="93">
        <v>2.0</v>
      </c>
      <c r="E703" s="93">
        <v>2.0</v>
      </c>
      <c r="F703" s="124" t="s">
        <v>201</v>
      </c>
      <c r="G703" s="129" t="s">
        <v>883</v>
      </c>
      <c r="H703" s="127" t="s">
        <v>430</v>
      </c>
      <c r="I703" s="127">
        <v>27.0</v>
      </c>
      <c r="J703" s="124" t="s">
        <v>516</v>
      </c>
      <c r="K703" s="124" t="s">
        <v>53</v>
      </c>
      <c r="L703" s="124">
        <v>9999.0</v>
      </c>
    </row>
    <row r="704">
      <c r="A704" s="165">
        <v>43737.14775020833</v>
      </c>
      <c r="B704" s="161" t="s">
        <v>44</v>
      </c>
      <c r="C704" s="162" t="s">
        <v>161</v>
      </c>
      <c r="D704" s="93">
        <v>3.0</v>
      </c>
      <c r="E704" s="93">
        <v>1.0</v>
      </c>
      <c r="F704" s="124" t="s">
        <v>201</v>
      </c>
      <c r="G704" s="129" t="s">
        <v>874</v>
      </c>
      <c r="H704" s="127" t="s">
        <v>430</v>
      </c>
      <c r="I704" s="127" t="s">
        <v>244</v>
      </c>
      <c r="J704" s="124">
        <v>71.0</v>
      </c>
      <c r="K704" s="124" t="s">
        <v>41</v>
      </c>
      <c r="L704" s="124">
        <v>9999.0</v>
      </c>
    </row>
    <row r="705">
      <c r="A705" s="136" t="s">
        <v>359</v>
      </c>
      <c r="B705" s="115" t="s">
        <v>2</v>
      </c>
      <c r="C705" s="153" t="s">
        <v>227</v>
      </c>
      <c r="D705" s="118" t="s">
        <v>29</v>
      </c>
      <c r="E705" s="118" t="s">
        <v>34</v>
      </c>
      <c r="F705" s="124" t="s">
        <v>261</v>
      </c>
      <c r="G705" s="129" t="s">
        <v>245</v>
      </c>
      <c r="H705" s="127" t="s">
        <v>228</v>
      </c>
      <c r="I705" s="127" t="s">
        <v>229</v>
      </c>
      <c r="J705" s="124" t="s">
        <v>262</v>
      </c>
      <c r="K705" s="124" t="s">
        <v>263</v>
      </c>
      <c r="L705" s="124" t="s">
        <v>264</v>
      </c>
    </row>
    <row r="706">
      <c r="A706" s="165">
        <v>43737.14775020833</v>
      </c>
      <c r="B706" s="161" t="s">
        <v>48</v>
      </c>
      <c r="C706" s="162" t="s">
        <v>105</v>
      </c>
      <c r="D706" s="93">
        <v>3.0</v>
      </c>
      <c r="E706" s="93">
        <v>1.0</v>
      </c>
      <c r="F706" s="124" t="s">
        <v>269</v>
      </c>
      <c r="G706" s="129" t="s">
        <v>202</v>
      </c>
      <c r="H706" s="127"/>
      <c r="I706" s="127" t="s">
        <v>203</v>
      </c>
      <c r="J706" s="124" t="s">
        <v>203</v>
      </c>
      <c r="K706" s="124"/>
      <c r="L706" s="124">
        <v>9999.0</v>
      </c>
    </row>
    <row r="707">
      <c r="A707" s="165">
        <v>43737.14775020833</v>
      </c>
      <c r="B707" s="161" t="s">
        <v>48</v>
      </c>
      <c r="C707" s="162" t="s">
        <v>90</v>
      </c>
      <c r="D707" s="93">
        <v>2.0</v>
      </c>
      <c r="E707" s="93">
        <v>3.0</v>
      </c>
      <c r="F707" s="124" t="s">
        <v>248</v>
      </c>
      <c r="G707" s="129" t="s">
        <v>867</v>
      </c>
      <c r="H707" s="127" t="s">
        <v>430</v>
      </c>
      <c r="I707" s="127">
        <v>27.0</v>
      </c>
      <c r="J707" s="124">
        <v>60.0</v>
      </c>
      <c r="K707" s="124" t="s">
        <v>38</v>
      </c>
      <c r="L707" s="124">
        <v>9999.0</v>
      </c>
    </row>
    <row r="708">
      <c r="A708" s="165">
        <v>43737.14775020833</v>
      </c>
      <c r="B708" s="161" t="s">
        <v>48</v>
      </c>
      <c r="C708" s="162" t="s">
        <v>187</v>
      </c>
      <c r="D708" s="93">
        <v>2.0</v>
      </c>
      <c r="E708" s="93">
        <v>2.0</v>
      </c>
      <c r="F708" s="124" t="s">
        <v>215</v>
      </c>
      <c r="G708" s="129" t="s">
        <v>884</v>
      </c>
      <c r="H708" s="127" t="s">
        <v>430</v>
      </c>
      <c r="I708" s="127">
        <v>7.0</v>
      </c>
      <c r="J708" s="124">
        <v>59.0</v>
      </c>
      <c r="K708" s="124" t="s">
        <v>74</v>
      </c>
      <c r="L708" s="124">
        <v>9999.0</v>
      </c>
    </row>
    <row r="709">
      <c r="A709" s="165">
        <v>43737.14775020833</v>
      </c>
      <c r="B709" s="161" t="s">
        <v>48</v>
      </c>
      <c r="C709" s="162" t="s">
        <v>155</v>
      </c>
      <c r="D709" s="93">
        <v>2.0</v>
      </c>
      <c r="E709" s="93">
        <v>2.0</v>
      </c>
      <c r="F709" s="124" t="s">
        <v>268</v>
      </c>
      <c r="G709" s="129" t="s">
        <v>885</v>
      </c>
      <c r="H709" s="127" t="s">
        <v>430</v>
      </c>
      <c r="I709" s="127">
        <v>7.0</v>
      </c>
      <c r="J709" s="124">
        <v>73.0</v>
      </c>
      <c r="K709" s="124" t="s">
        <v>288</v>
      </c>
      <c r="L709" s="124">
        <v>9999.0</v>
      </c>
    </row>
    <row r="710">
      <c r="A710" s="165">
        <v>43737.14775020833</v>
      </c>
      <c r="B710" s="161" t="s">
        <v>48</v>
      </c>
      <c r="C710" s="162" t="s">
        <v>162</v>
      </c>
      <c r="D710" s="93">
        <v>4.0</v>
      </c>
      <c r="E710" s="93">
        <v>1.0</v>
      </c>
      <c r="F710" s="124" t="s">
        <v>278</v>
      </c>
      <c r="G710" s="129" t="s">
        <v>859</v>
      </c>
      <c r="H710" s="127" t="s">
        <v>430</v>
      </c>
      <c r="I710" s="127" t="s">
        <v>739</v>
      </c>
      <c r="J710" s="124">
        <v>41.0</v>
      </c>
      <c r="K710" s="124" t="s">
        <v>27</v>
      </c>
      <c r="L710" s="124">
        <v>9999.0</v>
      </c>
    </row>
    <row r="711">
      <c r="A711" s="165">
        <v>43737.14775020833</v>
      </c>
      <c r="B711" s="161" t="s">
        <v>48</v>
      </c>
      <c r="C711" s="162" t="s">
        <v>120</v>
      </c>
      <c r="D711" s="93">
        <v>1.0</v>
      </c>
      <c r="E711" s="93">
        <v>3.0</v>
      </c>
      <c r="F711" s="124" t="s">
        <v>266</v>
      </c>
      <c r="G711" s="129" t="s">
        <v>886</v>
      </c>
      <c r="H711" s="127" t="s">
        <v>430</v>
      </c>
      <c r="I711" s="127">
        <v>1.0</v>
      </c>
      <c r="J711" s="124" t="s">
        <v>406</v>
      </c>
      <c r="K711" s="124" t="s">
        <v>64</v>
      </c>
      <c r="L711" s="124">
        <v>9999.0</v>
      </c>
    </row>
    <row r="712">
      <c r="A712" s="165">
        <v>43737.14775020833</v>
      </c>
      <c r="B712" s="161" t="s">
        <v>48</v>
      </c>
      <c r="C712" s="162" t="s">
        <v>144</v>
      </c>
      <c r="D712" s="93">
        <v>2.0</v>
      </c>
      <c r="E712" s="93">
        <v>3.0</v>
      </c>
      <c r="F712" s="124" t="s">
        <v>248</v>
      </c>
      <c r="G712" s="129" t="s">
        <v>887</v>
      </c>
      <c r="H712" s="127" t="s">
        <v>430</v>
      </c>
      <c r="I712" s="127">
        <v>3.0</v>
      </c>
      <c r="J712" s="124" t="s">
        <v>283</v>
      </c>
      <c r="K712" s="124" t="s">
        <v>58</v>
      </c>
      <c r="L712" s="124">
        <v>9999.0</v>
      </c>
    </row>
    <row r="713">
      <c r="A713" s="165">
        <v>43737.14775020833</v>
      </c>
      <c r="B713" s="161" t="s">
        <v>48</v>
      </c>
      <c r="C713" s="162" t="s">
        <v>176</v>
      </c>
      <c r="D713" s="93">
        <v>4.0</v>
      </c>
      <c r="E713" s="93">
        <v>0.0</v>
      </c>
      <c r="F713" s="124" t="s">
        <v>215</v>
      </c>
      <c r="G713" s="129" t="s">
        <v>202</v>
      </c>
      <c r="H713" s="127"/>
      <c r="I713" s="127" t="s">
        <v>203</v>
      </c>
      <c r="J713" s="124" t="s">
        <v>203</v>
      </c>
      <c r="K713" s="124"/>
      <c r="L713" s="124">
        <v>9999.0</v>
      </c>
    </row>
    <row r="714">
      <c r="A714" s="165">
        <v>43737.14775020833</v>
      </c>
      <c r="B714" s="161" t="s">
        <v>48</v>
      </c>
      <c r="C714" s="162" t="s">
        <v>127</v>
      </c>
      <c r="D714" s="93">
        <v>1.0</v>
      </c>
      <c r="E714" s="93">
        <v>3.0</v>
      </c>
      <c r="F714" s="124" t="s">
        <v>284</v>
      </c>
      <c r="G714" s="129" t="s">
        <v>888</v>
      </c>
      <c r="H714" s="127" t="s">
        <v>430</v>
      </c>
      <c r="I714" s="127" t="s">
        <v>649</v>
      </c>
      <c r="J714" s="124">
        <v>52.0</v>
      </c>
      <c r="K714" s="124" t="s">
        <v>58</v>
      </c>
      <c r="L714" s="124">
        <v>9999.0</v>
      </c>
    </row>
    <row r="715">
      <c r="A715" s="165">
        <v>43737.14775020833</v>
      </c>
      <c r="B715" s="161" t="s">
        <v>48</v>
      </c>
      <c r="C715" s="162" t="s">
        <v>33</v>
      </c>
      <c r="D715" s="93">
        <v>2.0</v>
      </c>
      <c r="E715" s="93">
        <v>3.0</v>
      </c>
      <c r="F715" s="124" t="s">
        <v>201</v>
      </c>
      <c r="G715" s="129" t="s">
        <v>889</v>
      </c>
      <c r="H715" s="127" t="s">
        <v>430</v>
      </c>
      <c r="I715" s="127" t="s">
        <v>257</v>
      </c>
      <c r="J715" s="124">
        <v>59.0</v>
      </c>
      <c r="K715" s="124" t="s">
        <v>62</v>
      </c>
      <c r="L715" s="124">
        <v>9999.0</v>
      </c>
    </row>
    <row r="716">
      <c r="A716" s="136" t="s">
        <v>359</v>
      </c>
      <c r="B716" s="115" t="s">
        <v>2</v>
      </c>
      <c r="C716" s="153" t="s">
        <v>227</v>
      </c>
      <c r="D716" s="118" t="s">
        <v>29</v>
      </c>
      <c r="E716" s="118" t="s">
        <v>34</v>
      </c>
      <c r="F716" s="124" t="s">
        <v>261</v>
      </c>
      <c r="G716" s="129" t="s">
        <v>245</v>
      </c>
      <c r="H716" s="127" t="s">
        <v>228</v>
      </c>
      <c r="I716" s="127" t="s">
        <v>229</v>
      </c>
      <c r="J716" s="124" t="s">
        <v>262</v>
      </c>
      <c r="K716" s="124" t="s">
        <v>263</v>
      </c>
      <c r="L716" s="124" t="s">
        <v>264</v>
      </c>
    </row>
    <row r="717">
      <c r="A717" s="165">
        <v>43737.14775020833</v>
      </c>
      <c r="B717" s="161" t="s">
        <v>53</v>
      </c>
      <c r="C717" s="162" t="s">
        <v>164</v>
      </c>
      <c r="D717" s="93">
        <v>3.0</v>
      </c>
      <c r="E717" s="93">
        <v>1.0</v>
      </c>
      <c r="F717" s="124" t="s">
        <v>273</v>
      </c>
      <c r="G717" s="129" t="s">
        <v>202</v>
      </c>
      <c r="H717" s="127"/>
      <c r="I717" s="127" t="s">
        <v>203</v>
      </c>
      <c r="J717" s="124" t="s">
        <v>203</v>
      </c>
      <c r="K717" s="124"/>
      <c r="L717" s="124">
        <v>9999.0</v>
      </c>
    </row>
    <row r="718">
      <c r="A718" s="165">
        <v>43737.14775020833</v>
      </c>
      <c r="B718" s="161" t="s">
        <v>53</v>
      </c>
      <c r="C718" s="162" t="s">
        <v>191</v>
      </c>
      <c r="D718" s="93">
        <v>2.0</v>
      </c>
      <c r="E718" s="93">
        <v>2.0</v>
      </c>
      <c r="F718" s="124" t="s">
        <v>248</v>
      </c>
      <c r="G718" s="129" t="s">
        <v>890</v>
      </c>
      <c r="H718" s="127" t="s">
        <v>430</v>
      </c>
      <c r="I718" s="127">
        <v>-16.0</v>
      </c>
      <c r="J718" s="124">
        <v>57.0</v>
      </c>
      <c r="K718" s="124" t="s">
        <v>62</v>
      </c>
      <c r="L718" s="124">
        <v>9999.0</v>
      </c>
    </row>
    <row r="719">
      <c r="A719" s="165">
        <v>43737.14775020833</v>
      </c>
      <c r="B719" s="161" t="s">
        <v>53</v>
      </c>
      <c r="C719" s="162" t="s">
        <v>148</v>
      </c>
      <c r="D719" s="93">
        <v>3.0</v>
      </c>
      <c r="E719" s="93">
        <v>2.0</v>
      </c>
      <c r="F719" s="124" t="s">
        <v>267</v>
      </c>
      <c r="G719" s="129" t="s">
        <v>891</v>
      </c>
      <c r="H719" s="127" t="s">
        <v>430</v>
      </c>
      <c r="I719" s="127" t="s">
        <v>426</v>
      </c>
      <c r="J719" s="124" t="s">
        <v>397</v>
      </c>
      <c r="K719" s="124" t="s">
        <v>74</v>
      </c>
      <c r="L719" s="124">
        <v>9999.0</v>
      </c>
    </row>
    <row r="720">
      <c r="A720" s="165">
        <v>43737.14775020833</v>
      </c>
      <c r="B720" s="161" t="s">
        <v>53</v>
      </c>
      <c r="C720" s="162" t="s">
        <v>157</v>
      </c>
      <c r="D720" s="93">
        <v>2.0</v>
      </c>
      <c r="E720" s="93">
        <v>2.0</v>
      </c>
      <c r="F720" s="124" t="s">
        <v>248</v>
      </c>
      <c r="G720" s="129" t="s">
        <v>892</v>
      </c>
      <c r="H720" s="127" t="s">
        <v>430</v>
      </c>
      <c r="I720" s="127">
        <v>19.0</v>
      </c>
      <c r="J720" s="124" t="s">
        <v>280</v>
      </c>
      <c r="K720" s="124" t="s">
        <v>60</v>
      </c>
      <c r="L720" s="124">
        <v>9999.0</v>
      </c>
    </row>
    <row r="721">
      <c r="A721" s="165">
        <v>43737.14775020833</v>
      </c>
      <c r="B721" s="161" t="s">
        <v>53</v>
      </c>
      <c r="C721" s="162" t="s">
        <v>93</v>
      </c>
      <c r="D721" s="93">
        <v>4.0</v>
      </c>
      <c r="E721" s="93">
        <v>1.0</v>
      </c>
      <c r="F721" s="124" t="s">
        <v>285</v>
      </c>
      <c r="G721" s="129" t="s">
        <v>861</v>
      </c>
      <c r="H721" s="127" t="s">
        <v>430</v>
      </c>
      <c r="I721" s="127" t="s">
        <v>893</v>
      </c>
      <c r="J721" s="124" t="s">
        <v>585</v>
      </c>
      <c r="K721" s="124" t="s">
        <v>27</v>
      </c>
      <c r="L721" s="124">
        <v>9999.0</v>
      </c>
    </row>
    <row r="722">
      <c r="A722" s="165">
        <v>43737.14775020833</v>
      </c>
      <c r="B722" s="161" t="s">
        <v>53</v>
      </c>
      <c r="C722" s="162" t="s">
        <v>136</v>
      </c>
      <c r="D722" s="93">
        <v>3.0</v>
      </c>
      <c r="E722" s="93">
        <v>1.0</v>
      </c>
      <c r="F722" s="124" t="s">
        <v>248</v>
      </c>
      <c r="G722" s="129" t="s">
        <v>894</v>
      </c>
      <c r="H722" s="127" t="s">
        <v>430</v>
      </c>
      <c r="I722" s="127">
        <v>-3.0</v>
      </c>
      <c r="J722" s="124">
        <v>47.0</v>
      </c>
      <c r="K722" s="124" t="s">
        <v>58</v>
      </c>
      <c r="L722" s="124">
        <v>9999.0</v>
      </c>
    </row>
    <row r="723">
      <c r="A723" s="165">
        <v>43737.14775020833</v>
      </c>
      <c r="B723" s="161" t="s">
        <v>53</v>
      </c>
      <c r="C723" s="162" t="s">
        <v>179</v>
      </c>
      <c r="D723" s="93">
        <v>3.0</v>
      </c>
      <c r="E723" s="93">
        <v>2.0</v>
      </c>
      <c r="F723" s="124" t="s">
        <v>201</v>
      </c>
      <c r="G723" s="129" t="s">
        <v>895</v>
      </c>
      <c r="H723" s="127" t="s">
        <v>430</v>
      </c>
      <c r="I723" s="127" t="s">
        <v>492</v>
      </c>
      <c r="J723" s="124">
        <v>47.0</v>
      </c>
      <c r="K723" s="124" t="s">
        <v>74</v>
      </c>
      <c r="L723" s="124">
        <v>9999.0</v>
      </c>
    </row>
    <row r="724">
      <c r="A724" s="165">
        <v>43737.14775020833</v>
      </c>
      <c r="B724" s="161" t="s">
        <v>53</v>
      </c>
      <c r="C724" s="162" t="s">
        <v>100</v>
      </c>
      <c r="D724" s="93">
        <v>4.0</v>
      </c>
      <c r="E724" s="93">
        <v>0.0</v>
      </c>
      <c r="F724" s="124" t="s">
        <v>278</v>
      </c>
      <c r="G724" s="129" t="s">
        <v>883</v>
      </c>
      <c r="H724" s="127" t="s">
        <v>430</v>
      </c>
      <c r="I724" s="127">
        <v>-27.0</v>
      </c>
      <c r="J724" s="124" t="s">
        <v>516</v>
      </c>
      <c r="K724" s="124" t="s">
        <v>44</v>
      </c>
      <c r="L724" s="124">
        <v>9999.0</v>
      </c>
    </row>
    <row r="725">
      <c r="A725" s="165">
        <v>43737.14775020833</v>
      </c>
      <c r="B725" s="161" t="s">
        <v>53</v>
      </c>
      <c r="C725" s="162" t="s">
        <v>42</v>
      </c>
      <c r="D725" s="93">
        <v>5.0</v>
      </c>
      <c r="E725" s="93">
        <v>0.0</v>
      </c>
      <c r="F725" s="124" t="s">
        <v>282</v>
      </c>
      <c r="G725" s="129" t="s">
        <v>896</v>
      </c>
      <c r="H725" s="127" t="s">
        <v>430</v>
      </c>
      <c r="I725" s="127" t="s">
        <v>286</v>
      </c>
      <c r="J725" s="124" t="s">
        <v>240</v>
      </c>
      <c r="K725" s="124" t="s">
        <v>58</v>
      </c>
      <c r="L725" s="124">
        <v>9999.0</v>
      </c>
    </row>
    <row r="726">
      <c r="A726" s="165">
        <v>43737.14775020833</v>
      </c>
      <c r="B726" s="161" t="s">
        <v>53</v>
      </c>
      <c r="C726" s="162" t="s">
        <v>119</v>
      </c>
      <c r="D726" s="93">
        <v>4.0</v>
      </c>
      <c r="E726" s="93">
        <v>0.0</v>
      </c>
      <c r="F726" s="124" t="s">
        <v>207</v>
      </c>
      <c r="G726" s="129" t="s">
        <v>873</v>
      </c>
      <c r="H726" s="127" t="s">
        <v>430</v>
      </c>
      <c r="I726" s="127" t="s">
        <v>244</v>
      </c>
      <c r="J726" s="124">
        <v>62.0</v>
      </c>
      <c r="K726" s="124" t="s">
        <v>41</v>
      </c>
      <c r="L726" s="124">
        <v>9999.0</v>
      </c>
    </row>
    <row r="727">
      <c r="A727" s="136" t="s">
        <v>359</v>
      </c>
      <c r="B727" s="115" t="s">
        <v>2</v>
      </c>
      <c r="C727" s="153" t="s">
        <v>227</v>
      </c>
      <c r="D727" s="118" t="s">
        <v>29</v>
      </c>
      <c r="E727" s="118" t="s">
        <v>34</v>
      </c>
      <c r="F727" s="124" t="s">
        <v>261</v>
      </c>
      <c r="G727" s="129" t="s">
        <v>245</v>
      </c>
      <c r="H727" s="127" t="s">
        <v>228</v>
      </c>
      <c r="I727" s="127" t="s">
        <v>229</v>
      </c>
      <c r="J727" s="124" t="s">
        <v>262</v>
      </c>
      <c r="K727" s="124" t="s">
        <v>263</v>
      </c>
      <c r="L727" s="124" t="s">
        <v>264</v>
      </c>
    </row>
    <row r="728">
      <c r="A728" s="165">
        <v>43737.14775020833</v>
      </c>
      <c r="B728" s="161" t="s">
        <v>58</v>
      </c>
      <c r="C728" s="162" t="s">
        <v>45</v>
      </c>
      <c r="D728" s="93">
        <v>1.0</v>
      </c>
      <c r="E728" s="93">
        <v>3.0</v>
      </c>
      <c r="F728" s="124" t="s">
        <v>282</v>
      </c>
      <c r="G728" s="129" t="s">
        <v>896</v>
      </c>
      <c r="H728" s="127" t="s">
        <v>430</v>
      </c>
      <c r="I728" s="127" t="s">
        <v>257</v>
      </c>
      <c r="J728" s="124" t="s">
        <v>240</v>
      </c>
      <c r="K728" s="124" t="s">
        <v>53</v>
      </c>
      <c r="L728" s="124">
        <v>9999.0</v>
      </c>
    </row>
    <row r="729">
      <c r="A729" s="165">
        <v>43737.14775020833</v>
      </c>
      <c r="B729" s="161" t="s">
        <v>58</v>
      </c>
      <c r="C729" s="162" t="s">
        <v>135</v>
      </c>
      <c r="D729" s="93">
        <v>2.0</v>
      </c>
      <c r="E729" s="93">
        <v>2.0</v>
      </c>
      <c r="F729" s="124" t="s">
        <v>248</v>
      </c>
      <c r="G729" s="129" t="s">
        <v>894</v>
      </c>
      <c r="H729" s="127" t="s">
        <v>430</v>
      </c>
      <c r="I729" s="127">
        <v>3.0</v>
      </c>
      <c r="J729" s="124">
        <v>47.0</v>
      </c>
      <c r="K729" s="124" t="s">
        <v>53</v>
      </c>
      <c r="L729" s="124">
        <v>9999.0</v>
      </c>
    </row>
    <row r="730">
      <c r="A730" s="165">
        <v>43737.14775020833</v>
      </c>
      <c r="B730" s="161" t="s">
        <v>58</v>
      </c>
      <c r="C730" s="162" t="s">
        <v>140</v>
      </c>
      <c r="D730" s="93">
        <v>2.0</v>
      </c>
      <c r="E730" s="93">
        <v>3.0</v>
      </c>
      <c r="F730" s="124" t="s">
        <v>267</v>
      </c>
      <c r="G730" s="129" t="s">
        <v>887</v>
      </c>
      <c r="H730" s="127" t="s">
        <v>430</v>
      </c>
      <c r="I730" s="127">
        <v>-3.0</v>
      </c>
      <c r="J730" s="124" t="s">
        <v>283</v>
      </c>
      <c r="K730" s="124" t="s">
        <v>48</v>
      </c>
      <c r="L730" s="124">
        <v>9999.0</v>
      </c>
    </row>
    <row r="731">
      <c r="A731" s="165">
        <v>43737.14775020833</v>
      </c>
      <c r="B731" s="161" t="s">
        <v>58</v>
      </c>
      <c r="C731" s="162" t="s">
        <v>110</v>
      </c>
      <c r="D731" s="93">
        <v>4.0</v>
      </c>
      <c r="E731" s="93">
        <v>0.0</v>
      </c>
      <c r="F731" s="124" t="s">
        <v>269</v>
      </c>
      <c r="G731" s="129" t="s">
        <v>888</v>
      </c>
      <c r="H731" s="127" t="s">
        <v>430</v>
      </c>
      <c r="I731" s="127" t="s">
        <v>506</v>
      </c>
      <c r="J731" s="124">
        <v>52.0</v>
      </c>
      <c r="K731" s="124" t="s">
        <v>48</v>
      </c>
      <c r="L731" s="124">
        <v>9999.0</v>
      </c>
    </row>
    <row r="732">
      <c r="A732" s="165">
        <v>43737.14775020833</v>
      </c>
      <c r="B732" s="161" t="s">
        <v>58</v>
      </c>
      <c r="C732" s="162" t="s">
        <v>186</v>
      </c>
      <c r="D732" s="93">
        <v>4.0</v>
      </c>
      <c r="E732" s="93">
        <v>0.0</v>
      </c>
      <c r="F732" s="124" t="s">
        <v>248</v>
      </c>
      <c r="G732" s="129" t="s">
        <v>858</v>
      </c>
      <c r="H732" s="127" t="s">
        <v>430</v>
      </c>
      <c r="I732" s="127">
        <v>-16.0</v>
      </c>
      <c r="J732" s="124">
        <v>60.0</v>
      </c>
      <c r="K732" s="124" t="s">
        <v>27</v>
      </c>
      <c r="L732" s="124">
        <v>9999.0</v>
      </c>
    </row>
    <row r="733">
      <c r="A733" s="165">
        <v>43737.14775020833</v>
      </c>
      <c r="B733" s="161" t="s">
        <v>58</v>
      </c>
      <c r="C733" s="162" t="s">
        <v>96</v>
      </c>
      <c r="D733" s="93">
        <v>4.0</v>
      </c>
      <c r="E733" s="93">
        <v>0.0</v>
      </c>
      <c r="F733" s="124" t="s">
        <v>248</v>
      </c>
      <c r="G733" s="129" t="s">
        <v>866</v>
      </c>
      <c r="H733" s="127" t="s">
        <v>430</v>
      </c>
      <c r="I733" s="127">
        <v>3.0</v>
      </c>
      <c r="J733" s="124" t="s">
        <v>546</v>
      </c>
      <c r="K733" s="124" t="s">
        <v>38</v>
      </c>
      <c r="L733" s="124">
        <v>9999.0</v>
      </c>
    </row>
    <row r="734">
      <c r="A734" s="165">
        <v>43737.14775020833</v>
      </c>
      <c r="B734" s="161" t="s">
        <v>58</v>
      </c>
      <c r="C734" s="162" t="s">
        <v>72</v>
      </c>
      <c r="D734" s="93">
        <v>3.0</v>
      </c>
      <c r="E734" s="93">
        <v>1.0</v>
      </c>
      <c r="F734" s="124" t="s">
        <v>284</v>
      </c>
      <c r="G734" s="129" t="s">
        <v>862</v>
      </c>
      <c r="H734" s="127" t="s">
        <v>430</v>
      </c>
      <c r="I734" s="127">
        <v>3.0</v>
      </c>
      <c r="J734" s="124">
        <v>53.0</v>
      </c>
      <c r="K734" s="124" t="s">
        <v>27</v>
      </c>
      <c r="L734" s="124">
        <v>9999.0</v>
      </c>
    </row>
    <row r="735">
      <c r="A735" s="165">
        <v>43737.14775020833</v>
      </c>
      <c r="B735" s="161" t="s">
        <v>58</v>
      </c>
      <c r="C735" s="162" t="s">
        <v>183</v>
      </c>
      <c r="D735" s="93">
        <v>1.0</v>
      </c>
      <c r="E735" s="93">
        <v>3.0</v>
      </c>
      <c r="F735" s="124" t="s">
        <v>287</v>
      </c>
      <c r="G735" s="129" t="s">
        <v>202</v>
      </c>
      <c r="H735" s="127"/>
      <c r="I735" s="127" t="s">
        <v>203</v>
      </c>
      <c r="J735" s="124" t="s">
        <v>203</v>
      </c>
      <c r="K735" s="124"/>
      <c r="L735" s="124">
        <v>9999.0</v>
      </c>
    </row>
    <row r="736">
      <c r="A736" s="165">
        <v>43737.14775020833</v>
      </c>
      <c r="B736" s="161" t="s">
        <v>58</v>
      </c>
      <c r="C736" s="162" t="s">
        <v>165</v>
      </c>
      <c r="D736" s="93">
        <v>3.0</v>
      </c>
      <c r="E736" s="93">
        <v>1.0</v>
      </c>
      <c r="F736" s="124" t="s">
        <v>273</v>
      </c>
      <c r="G736" s="129" t="s">
        <v>202</v>
      </c>
      <c r="H736" s="127"/>
      <c r="I736" s="127" t="s">
        <v>203</v>
      </c>
      <c r="J736" s="124" t="s">
        <v>203</v>
      </c>
      <c r="K736" s="124"/>
      <c r="L736" s="124">
        <v>9999.0</v>
      </c>
    </row>
    <row r="737">
      <c r="A737" s="165">
        <v>43737.14775020833</v>
      </c>
      <c r="B737" s="161" t="s">
        <v>58</v>
      </c>
      <c r="C737" s="162" t="s">
        <v>158</v>
      </c>
      <c r="D737" s="93">
        <v>1.0</v>
      </c>
      <c r="E737" s="93">
        <v>3.0</v>
      </c>
      <c r="F737" s="124" t="s">
        <v>266</v>
      </c>
      <c r="G737" s="129" t="s">
        <v>897</v>
      </c>
      <c r="H737" s="127" t="s">
        <v>430</v>
      </c>
      <c r="I737" s="127" t="s">
        <v>272</v>
      </c>
      <c r="J737" s="124">
        <v>48.0</v>
      </c>
      <c r="K737" s="124" t="s">
        <v>74</v>
      </c>
      <c r="L737" s="124">
        <v>9999.0</v>
      </c>
    </row>
    <row r="738">
      <c r="A738" s="136" t="s">
        <v>359</v>
      </c>
      <c r="B738" s="115" t="s">
        <v>2</v>
      </c>
      <c r="C738" s="153" t="s">
        <v>227</v>
      </c>
      <c r="D738" s="118" t="s">
        <v>29</v>
      </c>
      <c r="E738" s="118" t="s">
        <v>34</v>
      </c>
      <c r="F738" s="124" t="s">
        <v>261</v>
      </c>
      <c r="G738" s="129" t="s">
        <v>245</v>
      </c>
      <c r="H738" s="127" t="s">
        <v>228</v>
      </c>
      <c r="I738" s="127" t="s">
        <v>229</v>
      </c>
      <c r="J738" s="124" t="s">
        <v>262</v>
      </c>
      <c r="K738" s="124" t="s">
        <v>263</v>
      </c>
      <c r="L738" s="124" t="s">
        <v>264</v>
      </c>
    </row>
    <row r="739">
      <c r="A739" s="165">
        <v>43737.14775020833</v>
      </c>
      <c r="B739" s="161" t="s">
        <v>60</v>
      </c>
      <c r="C739" s="162" t="s">
        <v>137</v>
      </c>
      <c r="D739" s="93">
        <v>0.0</v>
      </c>
      <c r="E739" s="93">
        <v>5.0</v>
      </c>
      <c r="F739" s="124" t="s">
        <v>267</v>
      </c>
      <c r="G739" s="129" t="s">
        <v>898</v>
      </c>
      <c r="H739" s="127" t="s">
        <v>430</v>
      </c>
      <c r="I739" s="127" t="s">
        <v>286</v>
      </c>
      <c r="J739" s="124" t="s">
        <v>240</v>
      </c>
      <c r="K739" s="124" t="s">
        <v>288</v>
      </c>
      <c r="L739" s="124">
        <v>9999.0</v>
      </c>
    </row>
    <row r="740">
      <c r="A740" s="165">
        <v>43737.14775020833</v>
      </c>
      <c r="B740" s="161" t="s">
        <v>60</v>
      </c>
      <c r="C740" s="162" t="s">
        <v>103</v>
      </c>
      <c r="D740" s="93">
        <v>3.0</v>
      </c>
      <c r="E740" s="93">
        <v>1.0</v>
      </c>
      <c r="F740" s="124" t="s">
        <v>260</v>
      </c>
      <c r="G740" s="129" t="s">
        <v>202</v>
      </c>
      <c r="H740" s="127"/>
      <c r="I740" s="127" t="s">
        <v>203</v>
      </c>
      <c r="J740" s="124" t="s">
        <v>203</v>
      </c>
      <c r="K740" s="124"/>
      <c r="L740" s="124">
        <v>9999.0</v>
      </c>
    </row>
    <row r="741">
      <c r="A741" s="165">
        <v>43737.14775020833</v>
      </c>
      <c r="B741" s="161" t="s">
        <v>60</v>
      </c>
      <c r="C741" s="162" t="s">
        <v>166</v>
      </c>
      <c r="D741" s="93">
        <v>1.0</v>
      </c>
      <c r="E741" s="93">
        <v>3.0</v>
      </c>
      <c r="F741" s="124" t="s">
        <v>778</v>
      </c>
      <c r="G741" s="129" t="s">
        <v>899</v>
      </c>
      <c r="H741" s="127" t="s">
        <v>430</v>
      </c>
      <c r="I741" s="127" t="s">
        <v>739</v>
      </c>
      <c r="J741" s="124" t="s">
        <v>276</v>
      </c>
      <c r="K741" s="124" t="s">
        <v>74</v>
      </c>
      <c r="L741" s="124">
        <v>9999.0</v>
      </c>
    </row>
    <row r="742">
      <c r="A742" s="165">
        <v>43737.14775020833</v>
      </c>
      <c r="B742" s="161" t="s">
        <v>60</v>
      </c>
      <c r="C742" s="162" t="s">
        <v>149</v>
      </c>
      <c r="D742" s="93">
        <v>3.0</v>
      </c>
      <c r="E742" s="93">
        <v>1.0</v>
      </c>
      <c r="F742" s="124" t="s">
        <v>273</v>
      </c>
      <c r="G742" s="129" t="s">
        <v>892</v>
      </c>
      <c r="H742" s="127" t="s">
        <v>430</v>
      </c>
      <c r="I742" s="127">
        <v>-19.0</v>
      </c>
      <c r="J742" s="124" t="s">
        <v>280</v>
      </c>
      <c r="K742" s="124" t="s">
        <v>53</v>
      </c>
      <c r="L742" s="124">
        <v>9999.0</v>
      </c>
    </row>
    <row r="743">
      <c r="A743" s="165">
        <v>43737.14775020833</v>
      </c>
      <c r="B743" s="161" t="s">
        <v>60</v>
      </c>
      <c r="C743" s="162" t="s">
        <v>117</v>
      </c>
      <c r="D743" s="93">
        <v>1.0</v>
      </c>
      <c r="E743" s="93">
        <v>3.0</v>
      </c>
      <c r="F743" s="124" t="s">
        <v>266</v>
      </c>
      <c r="G743" s="129" t="s">
        <v>881</v>
      </c>
      <c r="H743" s="127" t="s">
        <v>430</v>
      </c>
      <c r="I743" s="127" t="s">
        <v>459</v>
      </c>
      <c r="J743" s="124" t="s">
        <v>482</v>
      </c>
      <c r="K743" s="124" t="s">
        <v>44</v>
      </c>
      <c r="L743" s="124">
        <v>9999.0</v>
      </c>
    </row>
    <row r="744">
      <c r="A744" s="165">
        <v>43737.14775020833</v>
      </c>
      <c r="B744" s="161" t="s">
        <v>60</v>
      </c>
      <c r="C744" s="162" t="s">
        <v>95</v>
      </c>
      <c r="D744" s="93">
        <v>5.0</v>
      </c>
      <c r="E744" s="93">
        <v>0.0</v>
      </c>
      <c r="F744" s="124" t="s">
        <v>248</v>
      </c>
      <c r="G744" s="129" t="s">
        <v>882</v>
      </c>
      <c r="H744" s="127" t="s">
        <v>430</v>
      </c>
      <c r="I744" s="127" t="s">
        <v>244</v>
      </c>
      <c r="J744" s="124">
        <v>69.0</v>
      </c>
      <c r="K744" s="124" t="s">
        <v>44</v>
      </c>
      <c r="L744" s="124">
        <v>9999.0</v>
      </c>
    </row>
    <row r="745">
      <c r="A745" s="165">
        <v>43737.14775020833</v>
      </c>
      <c r="B745" s="161" t="s">
        <v>60</v>
      </c>
      <c r="C745" s="162" t="s">
        <v>59</v>
      </c>
      <c r="D745" s="93">
        <v>4.0</v>
      </c>
      <c r="E745" s="93">
        <v>1.0</v>
      </c>
      <c r="F745" s="124" t="s">
        <v>201</v>
      </c>
      <c r="G745" s="129" t="s">
        <v>900</v>
      </c>
      <c r="H745" s="127" t="s">
        <v>430</v>
      </c>
      <c r="I745" s="127">
        <v>-44.0</v>
      </c>
      <c r="J745" s="124" t="s">
        <v>370</v>
      </c>
      <c r="K745" s="124" t="s">
        <v>74</v>
      </c>
      <c r="L745" s="124">
        <v>9999.0</v>
      </c>
    </row>
    <row r="746">
      <c r="A746" s="165">
        <v>43737.14775020833</v>
      </c>
      <c r="B746" s="161" t="s">
        <v>60</v>
      </c>
      <c r="C746" s="162" t="s">
        <v>189</v>
      </c>
      <c r="D746" s="93">
        <v>2.0</v>
      </c>
      <c r="E746" s="93">
        <v>2.0</v>
      </c>
      <c r="F746" s="124" t="s">
        <v>267</v>
      </c>
      <c r="G746" s="129" t="s">
        <v>202</v>
      </c>
      <c r="H746" s="127"/>
      <c r="I746" s="127" t="s">
        <v>203</v>
      </c>
      <c r="J746" s="124" t="s">
        <v>203</v>
      </c>
      <c r="K746" s="124"/>
      <c r="L746" s="124">
        <v>9999.0</v>
      </c>
    </row>
    <row r="747">
      <c r="A747" s="165">
        <v>43737.14775020833</v>
      </c>
      <c r="B747" s="161" t="s">
        <v>60</v>
      </c>
      <c r="C747" s="162" t="s">
        <v>123</v>
      </c>
      <c r="D747" s="93">
        <v>1.0</v>
      </c>
      <c r="E747" s="93">
        <v>3.0</v>
      </c>
      <c r="F747" s="124" t="s">
        <v>248</v>
      </c>
      <c r="G747" s="129" t="s">
        <v>202</v>
      </c>
      <c r="H747" s="127"/>
      <c r="I747" s="127" t="s">
        <v>203</v>
      </c>
      <c r="J747" s="124" t="s">
        <v>203</v>
      </c>
      <c r="K747" s="124"/>
      <c r="L747" s="124">
        <v>9999.0</v>
      </c>
    </row>
    <row r="748">
      <c r="A748" s="165">
        <v>43737.14775020833</v>
      </c>
      <c r="B748" s="161" t="s">
        <v>60</v>
      </c>
      <c r="C748" s="162" t="s">
        <v>175</v>
      </c>
      <c r="D748" s="93">
        <v>5.0</v>
      </c>
      <c r="E748" s="93">
        <v>0.0</v>
      </c>
      <c r="F748" s="124" t="s">
        <v>201</v>
      </c>
      <c r="G748" s="129" t="s">
        <v>901</v>
      </c>
      <c r="H748" s="127" t="s">
        <v>430</v>
      </c>
      <c r="I748" s="127" t="s">
        <v>773</v>
      </c>
      <c r="J748" s="124" t="s">
        <v>240</v>
      </c>
      <c r="K748" s="124" t="s">
        <v>288</v>
      </c>
      <c r="L748" s="124">
        <v>9999.0</v>
      </c>
    </row>
    <row r="749">
      <c r="A749" s="136" t="s">
        <v>359</v>
      </c>
      <c r="B749" s="115" t="s">
        <v>2</v>
      </c>
      <c r="C749" s="153" t="s">
        <v>227</v>
      </c>
      <c r="D749" s="118" t="s">
        <v>29</v>
      </c>
      <c r="E749" s="118" t="s">
        <v>34</v>
      </c>
      <c r="F749" s="124" t="s">
        <v>261</v>
      </c>
      <c r="G749" s="129" t="s">
        <v>245</v>
      </c>
      <c r="H749" s="127" t="s">
        <v>228</v>
      </c>
      <c r="I749" s="127" t="s">
        <v>229</v>
      </c>
      <c r="J749" s="124" t="s">
        <v>262</v>
      </c>
      <c r="K749" s="124" t="s">
        <v>263</v>
      </c>
      <c r="L749" s="124" t="s">
        <v>264</v>
      </c>
    </row>
    <row r="750">
      <c r="A750" s="165">
        <v>43737.14775020833</v>
      </c>
      <c r="B750" s="161" t="s">
        <v>62</v>
      </c>
      <c r="C750" s="162" t="s">
        <v>5</v>
      </c>
      <c r="D750" s="93">
        <v>3.0</v>
      </c>
      <c r="E750" s="93">
        <v>1.0</v>
      </c>
      <c r="F750" s="124" t="s">
        <v>242</v>
      </c>
      <c r="G750" s="129" t="s">
        <v>870</v>
      </c>
      <c r="H750" s="127" t="s">
        <v>430</v>
      </c>
      <c r="I750" s="127" t="s">
        <v>379</v>
      </c>
      <c r="J750" s="124">
        <v>47.0</v>
      </c>
      <c r="K750" s="124" t="s">
        <v>41</v>
      </c>
      <c r="L750" s="124">
        <v>9999.0</v>
      </c>
    </row>
    <row r="751">
      <c r="A751" s="165">
        <v>43737.14775020833</v>
      </c>
      <c r="B751" s="161" t="s">
        <v>62</v>
      </c>
      <c r="C751" s="162" t="s">
        <v>92</v>
      </c>
      <c r="D751" s="93">
        <v>3.0</v>
      </c>
      <c r="E751" s="93">
        <v>2.0</v>
      </c>
      <c r="F751" s="124" t="s">
        <v>207</v>
      </c>
      <c r="G751" s="129" t="s">
        <v>902</v>
      </c>
      <c r="H751" s="127" t="s">
        <v>430</v>
      </c>
      <c r="I751" s="127" t="s">
        <v>793</v>
      </c>
      <c r="J751" s="124">
        <v>55.0</v>
      </c>
      <c r="K751" s="124" t="s">
        <v>288</v>
      </c>
      <c r="L751" s="124">
        <v>9999.0</v>
      </c>
    </row>
    <row r="752">
      <c r="A752" s="165">
        <v>43737.14775020833</v>
      </c>
      <c r="B752" s="161" t="s">
        <v>62</v>
      </c>
      <c r="C752" s="162" t="s">
        <v>184</v>
      </c>
      <c r="D752" s="93">
        <v>3.0</v>
      </c>
      <c r="E752" s="93">
        <v>2.0</v>
      </c>
      <c r="F752" s="124" t="s">
        <v>784</v>
      </c>
      <c r="G752" s="129" t="s">
        <v>879</v>
      </c>
      <c r="H752" s="127" t="s">
        <v>430</v>
      </c>
      <c r="I752" s="127">
        <v>-23.0</v>
      </c>
      <c r="J752" s="124" t="s">
        <v>397</v>
      </c>
      <c r="K752" s="124" t="s">
        <v>44</v>
      </c>
      <c r="L752" s="124">
        <v>9999.0</v>
      </c>
    </row>
    <row r="753">
      <c r="A753" s="165">
        <v>43737.14775020833</v>
      </c>
      <c r="B753" s="161" t="s">
        <v>62</v>
      </c>
      <c r="C753" s="162" t="s">
        <v>128</v>
      </c>
      <c r="D753" s="93">
        <v>2.0</v>
      </c>
      <c r="E753" s="93">
        <v>3.0</v>
      </c>
      <c r="F753" s="124" t="s">
        <v>718</v>
      </c>
      <c r="G753" s="129" t="s">
        <v>889</v>
      </c>
      <c r="H753" s="127" t="s">
        <v>430</v>
      </c>
      <c r="I753" s="127" t="s">
        <v>286</v>
      </c>
      <c r="J753" s="124">
        <v>59.0</v>
      </c>
      <c r="K753" s="124" t="s">
        <v>48</v>
      </c>
      <c r="L753" s="124">
        <v>9999.0</v>
      </c>
    </row>
    <row r="754">
      <c r="A754" s="165">
        <v>43737.14775020833</v>
      </c>
      <c r="B754" s="161" t="s">
        <v>62</v>
      </c>
      <c r="C754" s="162" t="s">
        <v>102</v>
      </c>
      <c r="D754" s="93">
        <v>3.0</v>
      </c>
      <c r="E754" s="93">
        <v>1.0</v>
      </c>
      <c r="F754" s="124" t="s">
        <v>266</v>
      </c>
      <c r="G754" s="129" t="s">
        <v>903</v>
      </c>
      <c r="H754" s="127" t="s">
        <v>430</v>
      </c>
      <c r="I754" s="127" t="s">
        <v>281</v>
      </c>
      <c r="J754" s="124">
        <v>49.0</v>
      </c>
      <c r="K754" s="124" t="s">
        <v>64</v>
      </c>
      <c r="L754" s="124">
        <v>9999.0</v>
      </c>
    </row>
    <row r="755">
      <c r="A755" s="165">
        <v>43737.14775020833</v>
      </c>
      <c r="B755" s="161" t="s">
        <v>62</v>
      </c>
      <c r="C755" s="162" t="s">
        <v>112</v>
      </c>
      <c r="D755" s="93">
        <v>3.0</v>
      </c>
      <c r="E755" s="93">
        <v>1.0</v>
      </c>
      <c r="F755" s="124" t="s">
        <v>248</v>
      </c>
      <c r="G755" s="129" t="s">
        <v>904</v>
      </c>
      <c r="H755" s="127" t="s">
        <v>430</v>
      </c>
      <c r="I755" s="127" t="s">
        <v>521</v>
      </c>
      <c r="J755" s="124">
        <v>49.0</v>
      </c>
      <c r="K755" s="124" t="s">
        <v>288</v>
      </c>
      <c r="L755" s="124">
        <v>9999.0</v>
      </c>
    </row>
    <row r="756">
      <c r="A756" s="165">
        <v>43737.14775020833</v>
      </c>
      <c r="B756" s="161" t="s">
        <v>62</v>
      </c>
      <c r="C756" s="162" t="s">
        <v>143</v>
      </c>
      <c r="D756" s="93">
        <v>2.0</v>
      </c>
      <c r="E756" s="93">
        <v>2.0</v>
      </c>
      <c r="F756" s="124" t="s">
        <v>784</v>
      </c>
      <c r="G756" s="129" t="s">
        <v>202</v>
      </c>
      <c r="H756" s="127"/>
      <c r="I756" s="127" t="s">
        <v>203</v>
      </c>
      <c r="J756" s="124" t="s">
        <v>203</v>
      </c>
      <c r="K756" s="124"/>
      <c r="L756" s="124">
        <v>9999.0</v>
      </c>
    </row>
    <row r="757">
      <c r="A757" s="165">
        <v>43737.14775020833</v>
      </c>
      <c r="B757" s="161" t="s">
        <v>62</v>
      </c>
      <c r="C757" s="162" t="s">
        <v>192</v>
      </c>
      <c r="D757" s="93">
        <v>1.0</v>
      </c>
      <c r="E757" s="93">
        <v>4.0</v>
      </c>
      <c r="F757" s="124" t="s">
        <v>242</v>
      </c>
      <c r="G757" s="129" t="s">
        <v>890</v>
      </c>
      <c r="H757" s="127" t="s">
        <v>430</v>
      </c>
      <c r="I757" s="127">
        <v>16.0</v>
      </c>
      <c r="J757" s="124">
        <v>57.0</v>
      </c>
      <c r="K757" s="124" t="s">
        <v>53</v>
      </c>
      <c r="L757" s="124">
        <v>9999.0</v>
      </c>
    </row>
    <row r="758">
      <c r="A758" s="165">
        <v>43737.14775020833</v>
      </c>
      <c r="B758" s="161" t="s">
        <v>62</v>
      </c>
      <c r="C758" s="162" t="s">
        <v>171</v>
      </c>
      <c r="D758" s="93">
        <v>4.0</v>
      </c>
      <c r="E758" s="93">
        <v>1.0</v>
      </c>
      <c r="F758" s="124" t="s">
        <v>273</v>
      </c>
      <c r="G758" s="129" t="s">
        <v>905</v>
      </c>
      <c r="H758" s="127" t="s">
        <v>430</v>
      </c>
      <c r="I758" s="127" t="s">
        <v>431</v>
      </c>
      <c r="J758" s="124">
        <v>61.0</v>
      </c>
      <c r="K758" s="124" t="s">
        <v>64</v>
      </c>
      <c r="L758" s="124">
        <v>9999.0</v>
      </c>
    </row>
    <row r="759">
      <c r="A759" s="165">
        <v>43737.14775020833</v>
      </c>
      <c r="B759" s="161" t="s">
        <v>62</v>
      </c>
      <c r="C759" s="162" t="s">
        <v>153</v>
      </c>
      <c r="D759" s="93">
        <v>4.0</v>
      </c>
      <c r="E759" s="93">
        <v>1.0</v>
      </c>
      <c r="F759" s="124" t="s">
        <v>273</v>
      </c>
      <c r="G759" s="129" t="s">
        <v>906</v>
      </c>
      <c r="H759" s="127" t="s">
        <v>430</v>
      </c>
      <c r="I759" s="127" t="s">
        <v>428</v>
      </c>
      <c r="J759" s="124">
        <v>65.0</v>
      </c>
      <c r="K759" s="124" t="s">
        <v>64</v>
      </c>
      <c r="L759" s="124">
        <v>9999.0</v>
      </c>
    </row>
    <row r="760">
      <c r="A760" s="136" t="s">
        <v>359</v>
      </c>
      <c r="B760" s="115" t="s">
        <v>2</v>
      </c>
      <c r="C760" s="153" t="s">
        <v>227</v>
      </c>
      <c r="D760" s="118" t="s">
        <v>29</v>
      </c>
      <c r="E760" s="118" t="s">
        <v>34</v>
      </c>
      <c r="F760" s="124" t="s">
        <v>261</v>
      </c>
      <c r="G760" s="129" t="s">
        <v>245</v>
      </c>
      <c r="H760" s="127" t="s">
        <v>228</v>
      </c>
      <c r="I760" s="127" t="s">
        <v>229</v>
      </c>
      <c r="J760" s="124" t="s">
        <v>262</v>
      </c>
      <c r="K760" s="124" t="s">
        <v>263</v>
      </c>
      <c r="L760" s="124" t="s">
        <v>264</v>
      </c>
    </row>
    <row r="761">
      <c r="A761" s="165">
        <v>43737.14775020833</v>
      </c>
      <c r="B761" s="161" t="s">
        <v>64</v>
      </c>
      <c r="C761" s="162" t="s">
        <v>196</v>
      </c>
      <c r="D761" s="93">
        <v>3.0</v>
      </c>
      <c r="E761" s="93">
        <v>1.0</v>
      </c>
      <c r="F761" s="124" t="s">
        <v>355</v>
      </c>
      <c r="G761" s="129" t="s">
        <v>202</v>
      </c>
      <c r="H761" s="127"/>
      <c r="I761" s="127" t="s">
        <v>203</v>
      </c>
      <c r="J761" s="124" t="s">
        <v>203</v>
      </c>
      <c r="K761" s="124"/>
      <c r="L761" s="124">
        <v>9999.0</v>
      </c>
    </row>
    <row r="762">
      <c r="A762" s="165">
        <v>43737.14775020833</v>
      </c>
      <c r="B762" s="161" t="s">
        <v>64</v>
      </c>
      <c r="C762" s="162" t="s">
        <v>131</v>
      </c>
      <c r="D762" s="93">
        <v>3.0</v>
      </c>
      <c r="E762" s="93">
        <v>2.0</v>
      </c>
      <c r="F762" s="124" t="s">
        <v>248</v>
      </c>
      <c r="G762" s="129" t="s">
        <v>907</v>
      </c>
      <c r="H762" s="127" t="s">
        <v>430</v>
      </c>
      <c r="I762" s="127" t="s">
        <v>908</v>
      </c>
      <c r="J762" s="124">
        <v>49.0</v>
      </c>
      <c r="K762" s="124" t="s">
        <v>288</v>
      </c>
      <c r="L762" s="124">
        <v>9999.0</v>
      </c>
    </row>
    <row r="763">
      <c r="A763" s="165">
        <v>43737.14775020833</v>
      </c>
      <c r="B763" s="161" t="s">
        <v>64</v>
      </c>
      <c r="C763" s="162" t="s">
        <v>154</v>
      </c>
      <c r="D763" s="93">
        <v>3.0</v>
      </c>
      <c r="E763" s="93">
        <v>2.0</v>
      </c>
      <c r="F763" s="124" t="s">
        <v>282</v>
      </c>
      <c r="G763" s="129" t="s">
        <v>906</v>
      </c>
      <c r="H763" s="127" t="s">
        <v>430</v>
      </c>
      <c r="I763" s="127" t="s">
        <v>451</v>
      </c>
      <c r="J763" s="124">
        <v>65.0</v>
      </c>
      <c r="K763" s="124" t="s">
        <v>62</v>
      </c>
      <c r="L763" s="124">
        <v>9999.0</v>
      </c>
    </row>
    <row r="764">
      <c r="A764" s="165">
        <v>43737.14775020833</v>
      </c>
      <c r="B764" s="161" t="s">
        <v>64</v>
      </c>
      <c r="C764" s="162" t="s">
        <v>147</v>
      </c>
      <c r="D764" s="93">
        <v>3.0</v>
      </c>
      <c r="E764" s="93">
        <v>1.0</v>
      </c>
      <c r="F764" s="124" t="s">
        <v>282</v>
      </c>
      <c r="G764" s="129" t="s">
        <v>871</v>
      </c>
      <c r="H764" s="127" t="s">
        <v>430</v>
      </c>
      <c r="I764" s="127" t="s">
        <v>428</v>
      </c>
      <c r="J764" s="124" t="s">
        <v>412</v>
      </c>
      <c r="K764" s="124" t="s">
        <v>41</v>
      </c>
      <c r="L764" s="124">
        <v>9999.0</v>
      </c>
    </row>
    <row r="765">
      <c r="A765" s="165">
        <v>43737.14775020833</v>
      </c>
      <c r="B765" s="161" t="s">
        <v>64</v>
      </c>
      <c r="C765" s="162" t="s">
        <v>49</v>
      </c>
      <c r="D765" s="93">
        <v>3.0</v>
      </c>
      <c r="E765" s="93">
        <v>1.0</v>
      </c>
      <c r="F765" s="124" t="s">
        <v>260</v>
      </c>
      <c r="G765" s="129" t="s">
        <v>909</v>
      </c>
      <c r="H765" s="127" t="s">
        <v>430</v>
      </c>
      <c r="I765" s="127" t="s">
        <v>597</v>
      </c>
      <c r="J765" s="124">
        <v>49.0</v>
      </c>
      <c r="K765" s="124" t="s">
        <v>288</v>
      </c>
      <c r="L765" s="124">
        <v>9999.0</v>
      </c>
    </row>
    <row r="766">
      <c r="A766" s="165">
        <v>43737.14775020833</v>
      </c>
      <c r="B766" s="161" t="s">
        <v>64</v>
      </c>
      <c r="C766" s="162" t="s">
        <v>76</v>
      </c>
      <c r="D766" s="93">
        <v>3.0</v>
      </c>
      <c r="E766" s="93">
        <v>2.0</v>
      </c>
      <c r="F766" s="124" t="s">
        <v>285</v>
      </c>
      <c r="G766" s="129" t="s">
        <v>910</v>
      </c>
      <c r="H766" s="127" t="s">
        <v>430</v>
      </c>
      <c r="I766" s="127" t="s">
        <v>244</v>
      </c>
      <c r="J766" s="124" t="s">
        <v>781</v>
      </c>
      <c r="K766" s="124" t="s">
        <v>74</v>
      </c>
      <c r="L766" s="124">
        <v>9999.0</v>
      </c>
    </row>
    <row r="767">
      <c r="A767" s="165">
        <v>43737.14775020833</v>
      </c>
      <c r="B767" s="161" t="s">
        <v>64</v>
      </c>
      <c r="C767" s="162" t="s">
        <v>98</v>
      </c>
      <c r="D767" s="93">
        <v>2.0</v>
      </c>
      <c r="E767" s="93">
        <v>3.0</v>
      </c>
      <c r="F767" s="124" t="s">
        <v>285</v>
      </c>
      <c r="G767" s="129" t="s">
        <v>903</v>
      </c>
      <c r="H767" s="127" t="s">
        <v>430</v>
      </c>
      <c r="I767" s="127" t="s">
        <v>251</v>
      </c>
      <c r="J767" s="124">
        <v>49.0</v>
      </c>
      <c r="K767" s="124" t="s">
        <v>62</v>
      </c>
      <c r="L767" s="124">
        <v>9999.0</v>
      </c>
    </row>
    <row r="768">
      <c r="A768" s="165">
        <v>43737.14775020833</v>
      </c>
      <c r="B768" s="161" t="s">
        <v>64</v>
      </c>
      <c r="C768" s="162" t="s">
        <v>177</v>
      </c>
      <c r="D768" s="93">
        <v>2.0</v>
      </c>
      <c r="E768" s="93">
        <v>3.0</v>
      </c>
      <c r="F768" s="124" t="s">
        <v>201</v>
      </c>
      <c r="G768" s="129" t="s">
        <v>911</v>
      </c>
      <c r="H768" s="127" t="s">
        <v>430</v>
      </c>
      <c r="I768" s="127">
        <v>3.0</v>
      </c>
      <c r="J768" s="124">
        <v>53.0</v>
      </c>
      <c r="K768" s="124" t="s">
        <v>69</v>
      </c>
      <c r="L768" s="124">
        <v>9999.0</v>
      </c>
    </row>
    <row r="769">
      <c r="A769" s="165">
        <v>43737.14775020833</v>
      </c>
      <c r="B769" s="161" t="s">
        <v>64</v>
      </c>
      <c r="C769" s="162" t="s">
        <v>169</v>
      </c>
      <c r="D769" s="93">
        <v>3.0</v>
      </c>
      <c r="E769" s="93">
        <v>2.0</v>
      </c>
      <c r="F769" s="124" t="s">
        <v>207</v>
      </c>
      <c r="G769" s="129" t="s">
        <v>905</v>
      </c>
      <c r="H769" s="127" t="s">
        <v>430</v>
      </c>
      <c r="I769" s="127" t="s">
        <v>492</v>
      </c>
      <c r="J769" s="124">
        <v>61.0</v>
      </c>
      <c r="K769" s="124" t="s">
        <v>62</v>
      </c>
      <c r="L769" s="124">
        <v>9999.0</v>
      </c>
    </row>
    <row r="770">
      <c r="A770" s="165">
        <v>43737.14775020833</v>
      </c>
      <c r="B770" s="161" t="s">
        <v>64</v>
      </c>
      <c r="C770" s="162" t="s">
        <v>115</v>
      </c>
      <c r="D770" s="93">
        <v>4.0</v>
      </c>
      <c r="E770" s="93">
        <v>0.0</v>
      </c>
      <c r="F770" s="124" t="s">
        <v>266</v>
      </c>
      <c r="G770" s="129" t="s">
        <v>886</v>
      </c>
      <c r="H770" s="127" t="s">
        <v>430</v>
      </c>
      <c r="I770" s="127">
        <v>-1.0</v>
      </c>
      <c r="J770" s="124" t="s">
        <v>406</v>
      </c>
      <c r="K770" s="124" t="s">
        <v>48</v>
      </c>
      <c r="L770" s="124">
        <v>9999.0</v>
      </c>
    </row>
    <row r="771">
      <c r="A771" s="136" t="s">
        <v>359</v>
      </c>
      <c r="B771" s="115" t="s">
        <v>2</v>
      </c>
      <c r="C771" s="153" t="s">
        <v>227</v>
      </c>
      <c r="D771" s="118" t="s">
        <v>29</v>
      </c>
      <c r="E771" s="118" t="s">
        <v>34</v>
      </c>
      <c r="F771" s="124" t="s">
        <v>261</v>
      </c>
      <c r="G771" s="129" t="s">
        <v>245</v>
      </c>
      <c r="H771" s="127" t="s">
        <v>228</v>
      </c>
      <c r="I771" s="127" t="s">
        <v>229</v>
      </c>
      <c r="J771" s="124" t="s">
        <v>262</v>
      </c>
      <c r="K771" s="124" t="s">
        <v>263</v>
      </c>
      <c r="L771" s="124"/>
    </row>
    <row r="772">
      <c r="A772" s="165">
        <v>43737.14775020833</v>
      </c>
      <c r="B772" s="161" t="s">
        <v>69</v>
      </c>
      <c r="C772" s="162" t="s">
        <v>193</v>
      </c>
      <c r="D772" s="93">
        <v>2.0</v>
      </c>
      <c r="E772" s="93">
        <v>3.0</v>
      </c>
      <c r="F772" s="124" t="s">
        <v>282</v>
      </c>
      <c r="G772" s="129" t="s">
        <v>912</v>
      </c>
      <c r="H772" s="127" t="s">
        <v>430</v>
      </c>
      <c r="I772" s="127" t="s">
        <v>382</v>
      </c>
      <c r="J772" s="124"/>
      <c r="K772" s="124" t="s">
        <v>288</v>
      </c>
      <c r="L772" s="124">
        <v>9999.0</v>
      </c>
    </row>
    <row r="773">
      <c r="A773" s="165">
        <v>43737.14775020833</v>
      </c>
      <c r="B773" s="161" t="s">
        <v>69</v>
      </c>
      <c r="C773" s="162" t="s">
        <v>142</v>
      </c>
      <c r="D773" s="93">
        <v>3.0</v>
      </c>
      <c r="E773" s="93">
        <v>1.0</v>
      </c>
      <c r="F773" s="124" t="s">
        <v>248</v>
      </c>
      <c r="G773" s="129" t="s">
        <v>202</v>
      </c>
      <c r="H773" s="127"/>
      <c r="I773" s="127" t="s">
        <v>203</v>
      </c>
      <c r="J773" s="124" t="s">
        <v>203</v>
      </c>
      <c r="K773" s="124"/>
      <c r="L773" s="124">
        <v>9999.0</v>
      </c>
    </row>
    <row r="774">
      <c r="A774" s="165">
        <v>43737.14775020833</v>
      </c>
      <c r="B774" s="161" t="s">
        <v>69</v>
      </c>
      <c r="C774" s="162" t="s">
        <v>35</v>
      </c>
      <c r="D774" s="93">
        <v>4.0</v>
      </c>
      <c r="E774" s="93">
        <v>0.0</v>
      </c>
      <c r="F774" s="124" t="s">
        <v>242</v>
      </c>
      <c r="G774" s="129" t="s">
        <v>880</v>
      </c>
      <c r="H774" s="127" t="s">
        <v>430</v>
      </c>
      <c r="I774" s="127" t="s">
        <v>431</v>
      </c>
      <c r="J774" s="124" t="s">
        <v>406</v>
      </c>
      <c r="K774" s="124" t="s">
        <v>44</v>
      </c>
      <c r="L774" s="124">
        <v>9999.0</v>
      </c>
    </row>
    <row r="775">
      <c r="A775" s="165">
        <v>43737.14775020833</v>
      </c>
      <c r="B775" s="161" t="s">
        <v>69</v>
      </c>
      <c r="C775" s="162" t="s">
        <v>182</v>
      </c>
      <c r="D775" s="93">
        <v>2.0</v>
      </c>
      <c r="E775" s="93">
        <v>3.0</v>
      </c>
      <c r="F775" s="124" t="s">
        <v>234</v>
      </c>
      <c r="G775" s="129" t="s">
        <v>911</v>
      </c>
      <c r="H775" s="127" t="s">
        <v>430</v>
      </c>
      <c r="I775" s="127">
        <v>-3.0</v>
      </c>
      <c r="J775" s="124">
        <v>53.0</v>
      </c>
      <c r="K775" s="124" t="s">
        <v>64</v>
      </c>
      <c r="L775" s="124">
        <v>9999.0</v>
      </c>
    </row>
    <row r="776">
      <c r="A776" s="165">
        <v>43737.14775020833</v>
      </c>
      <c r="B776" s="161" t="s">
        <v>69</v>
      </c>
      <c r="C776" s="162" t="s">
        <v>170</v>
      </c>
      <c r="D776" s="93">
        <v>4.0</v>
      </c>
      <c r="E776" s="93">
        <v>1.0</v>
      </c>
      <c r="F776" s="124" t="s">
        <v>795</v>
      </c>
      <c r="G776" s="129" t="s">
        <v>868</v>
      </c>
      <c r="H776" s="127" t="s">
        <v>430</v>
      </c>
      <c r="I776" s="127" t="s">
        <v>512</v>
      </c>
      <c r="J776" s="124">
        <v>56.0</v>
      </c>
      <c r="K776" s="124" t="s">
        <v>38</v>
      </c>
      <c r="L776" s="124">
        <v>9999.0</v>
      </c>
    </row>
    <row r="777">
      <c r="A777" s="165">
        <v>43737.14775020833</v>
      </c>
      <c r="B777" s="161" t="s">
        <v>69</v>
      </c>
      <c r="C777" s="162" t="s">
        <v>125</v>
      </c>
      <c r="D777" s="93">
        <v>4.0</v>
      </c>
      <c r="E777" s="93">
        <v>1.0</v>
      </c>
      <c r="F777" s="124" t="s">
        <v>267</v>
      </c>
      <c r="G777" s="129" t="s">
        <v>913</v>
      </c>
      <c r="H777" s="127" t="s">
        <v>643</v>
      </c>
      <c r="I777" s="127">
        <v>-9.0</v>
      </c>
      <c r="J777" s="124" t="s">
        <v>585</v>
      </c>
      <c r="K777" s="124" t="s">
        <v>288</v>
      </c>
      <c r="L777" s="124">
        <v>9999.0</v>
      </c>
    </row>
    <row r="778">
      <c r="A778" s="165">
        <v>43737.14775020833</v>
      </c>
      <c r="B778" s="161" t="s">
        <v>69</v>
      </c>
      <c r="C778" s="162" t="s">
        <v>108</v>
      </c>
      <c r="D778" s="93">
        <v>3.0</v>
      </c>
      <c r="E778" s="93">
        <v>2.0</v>
      </c>
      <c r="F778" s="124" t="s">
        <v>278</v>
      </c>
      <c r="G778" s="129" t="s">
        <v>869</v>
      </c>
      <c r="H778" s="127" t="s">
        <v>430</v>
      </c>
      <c r="I778" s="127">
        <v>14.0</v>
      </c>
      <c r="J778" s="124">
        <v>44.0</v>
      </c>
      <c r="K778" s="124" t="s">
        <v>38</v>
      </c>
      <c r="L778" s="124">
        <v>9999.0</v>
      </c>
    </row>
    <row r="779">
      <c r="A779" s="165">
        <v>43737.14775020833</v>
      </c>
      <c r="B779" s="161" t="s">
        <v>69</v>
      </c>
      <c r="C779" s="162" t="s">
        <v>151</v>
      </c>
      <c r="D779" s="93">
        <v>1.0</v>
      </c>
      <c r="E779" s="93">
        <v>4.0</v>
      </c>
      <c r="F779" s="124" t="s">
        <v>287</v>
      </c>
      <c r="G779" s="129" t="s">
        <v>875</v>
      </c>
      <c r="H779" s="127" t="s">
        <v>430</v>
      </c>
      <c r="I779" s="127">
        <v>24.0</v>
      </c>
      <c r="J779" s="124" t="s">
        <v>516</v>
      </c>
      <c r="K779" s="124" t="s">
        <v>41</v>
      </c>
      <c r="L779" s="124">
        <v>9999.0</v>
      </c>
    </row>
    <row r="780">
      <c r="A780" s="165">
        <v>43737.14775020833</v>
      </c>
      <c r="B780" s="161" t="s">
        <v>69</v>
      </c>
      <c r="C780" s="162" t="s">
        <v>101</v>
      </c>
      <c r="D780" s="93">
        <v>4.0</v>
      </c>
      <c r="E780" s="93">
        <v>1.0</v>
      </c>
      <c r="F780" s="124" t="s">
        <v>215</v>
      </c>
      <c r="G780" s="129" t="s">
        <v>914</v>
      </c>
      <c r="H780" s="127" t="s">
        <v>430</v>
      </c>
      <c r="I780" s="127" t="s">
        <v>620</v>
      </c>
      <c r="J780" s="124" t="s">
        <v>412</v>
      </c>
      <c r="K780" s="124" t="s">
        <v>74</v>
      </c>
      <c r="L780" s="124">
        <v>9999.0</v>
      </c>
    </row>
    <row r="781">
      <c r="A781" s="165">
        <v>43737.14775020833</v>
      </c>
      <c r="B781" s="161" t="s">
        <v>69</v>
      </c>
      <c r="C781" s="162" t="s">
        <v>87</v>
      </c>
      <c r="D781" s="93">
        <v>2.0</v>
      </c>
      <c r="E781" s="93">
        <v>2.0</v>
      </c>
      <c r="F781" s="124" t="s">
        <v>285</v>
      </c>
      <c r="G781" s="129" t="s">
        <v>202</v>
      </c>
      <c r="H781" s="127"/>
      <c r="I781" s="127" t="s">
        <v>203</v>
      </c>
      <c r="J781" s="124" t="s">
        <v>203</v>
      </c>
      <c r="K781" s="124"/>
      <c r="L781" s="124">
        <v>9999.0</v>
      </c>
    </row>
    <row r="782">
      <c r="A782" s="136" t="s">
        <v>359</v>
      </c>
      <c r="B782" s="115" t="s">
        <v>2</v>
      </c>
      <c r="C782" s="153" t="s">
        <v>227</v>
      </c>
      <c r="D782" s="118" t="s">
        <v>29</v>
      </c>
      <c r="E782" s="118" t="s">
        <v>34</v>
      </c>
      <c r="F782" s="124" t="s">
        <v>261</v>
      </c>
      <c r="G782" s="129" t="s">
        <v>245</v>
      </c>
      <c r="H782" s="127" t="s">
        <v>228</v>
      </c>
      <c r="I782" s="127" t="s">
        <v>229</v>
      </c>
      <c r="J782" s="124" t="s">
        <v>262</v>
      </c>
      <c r="K782" s="124" t="s">
        <v>263</v>
      </c>
      <c r="L782" s="124"/>
    </row>
    <row r="783">
      <c r="A783" s="165">
        <v>43737.14775020833</v>
      </c>
      <c r="B783" s="161" t="s">
        <v>74</v>
      </c>
      <c r="C783" s="162" t="s">
        <v>141</v>
      </c>
      <c r="D783" s="93">
        <v>2.0</v>
      </c>
      <c r="E783" s="93">
        <v>3.0</v>
      </c>
      <c r="F783" s="124" t="s">
        <v>267</v>
      </c>
      <c r="G783" s="129" t="s">
        <v>891</v>
      </c>
      <c r="H783" s="127" t="s">
        <v>430</v>
      </c>
      <c r="I783" s="127" t="s">
        <v>526</v>
      </c>
      <c r="J783" s="124" t="s">
        <v>397</v>
      </c>
      <c r="K783" s="124" t="s">
        <v>53</v>
      </c>
      <c r="L783" s="124">
        <v>9999.0</v>
      </c>
    </row>
    <row r="784">
      <c r="A784" s="165">
        <v>43737.14775020833</v>
      </c>
      <c r="B784" s="161" t="s">
        <v>74</v>
      </c>
      <c r="C784" s="162" t="s">
        <v>23</v>
      </c>
      <c r="D784" s="93">
        <v>1.0</v>
      </c>
      <c r="E784" s="93">
        <v>3.0</v>
      </c>
      <c r="F784" s="124" t="s">
        <v>248</v>
      </c>
      <c r="G784" s="129" t="s">
        <v>900</v>
      </c>
      <c r="H784" s="127" t="s">
        <v>430</v>
      </c>
      <c r="I784" s="127">
        <v>44.0</v>
      </c>
      <c r="J784" s="124" t="s">
        <v>370</v>
      </c>
      <c r="K784" s="124" t="s">
        <v>60</v>
      </c>
      <c r="L784" s="124">
        <v>9999.0</v>
      </c>
    </row>
    <row r="785">
      <c r="A785" s="165">
        <v>43737.14775020833</v>
      </c>
      <c r="B785" s="161" t="s">
        <v>74</v>
      </c>
      <c r="C785" s="162" t="s">
        <v>124</v>
      </c>
      <c r="D785" s="93">
        <v>3.0</v>
      </c>
      <c r="E785" s="93">
        <v>2.0</v>
      </c>
      <c r="F785" s="124" t="s">
        <v>267</v>
      </c>
      <c r="G785" s="129" t="s">
        <v>878</v>
      </c>
      <c r="H785" s="127" t="s">
        <v>430</v>
      </c>
      <c r="I785" s="127">
        <v>1.0</v>
      </c>
      <c r="J785" s="124" t="s">
        <v>370</v>
      </c>
      <c r="K785" s="124" t="s">
        <v>44</v>
      </c>
      <c r="L785" s="124">
        <v>9999.0</v>
      </c>
    </row>
    <row r="786">
      <c r="A786" s="165">
        <v>43737.14775020833</v>
      </c>
      <c r="B786" s="161" t="s">
        <v>74</v>
      </c>
      <c r="C786" s="162" t="s">
        <v>167</v>
      </c>
      <c r="D786" s="93">
        <v>2.0</v>
      </c>
      <c r="E786" s="93">
        <v>3.0</v>
      </c>
      <c r="F786" s="124" t="s">
        <v>201</v>
      </c>
      <c r="G786" s="129" t="s">
        <v>899</v>
      </c>
      <c r="H786" s="127" t="s">
        <v>430</v>
      </c>
      <c r="I786" s="127" t="s">
        <v>620</v>
      </c>
      <c r="J786" s="124" t="s">
        <v>276</v>
      </c>
      <c r="K786" s="124" t="s">
        <v>60</v>
      </c>
      <c r="L786" s="124">
        <v>9999.0</v>
      </c>
    </row>
    <row r="787">
      <c r="A787" s="165">
        <v>43737.14775020833</v>
      </c>
      <c r="B787" s="161" t="s">
        <v>74</v>
      </c>
      <c r="C787" s="162" t="s">
        <v>194</v>
      </c>
      <c r="D787" s="93">
        <v>2.0</v>
      </c>
      <c r="E787" s="93">
        <v>2.0</v>
      </c>
      <c r="F787" s="124" t="s">
        <v>267</v>
      </c>
      <c r="G787" s="129" t="s">
        <v>884</v>
      </c>
      <c r="H787" s="127" t="s">
        <v>430</v>
      </c>
      <c r="I787" s="127">
        <v>-7.0</v>
      </c>
      <c r="J787" s="124">
        <v>59.0</v>
      </c>
      <c r="K787" s="124" t="s">
        <v>48</v>
      </c>
      <c r="L787" s="124">
        <v>9999.0</v>
      </c>
    </row>
    <row r="788">
      <c r="A788" s="165">
        <v>43737.14775020833</v>
      </c>
      <c r="B788" s="161" t="s">
        <v>74</v>
      </c>
      <c r="C788" s="162" t="s">
        <v>118</v>
      </c>
      <c r="D788" s="93">
        <v>5.0</v>
      </c>
      <c r="E788" s="93">
        <v>0.0</v>
      </c>
      <c r="F788" s="124" t="s">
        <v>278</v>
      </c>
      <c r="G788" s="129" t="s">
        <v>863</v>
      </c>
      <c r="H788" s="127" t="s">
        <v>430</v>
      </c>
      <c r="I788" s="127">
        <v>-17.0</v>
      </c>
      <c r="J788" s="124" t="s">
        <v>559</v>
      </c>
      <c r="K788" s="124" t="s">
        <v>27</v>
      </c>
      <c r="L788" s="124">
        <v>9999.0</v>
      </c>
    </row>
    <row r="789">
      <c r="A789" s="165">
        <v>43737.14775020833</v>
      </c>
      <c r="B789" s="161" t="s">
        <v>74</v>
      </c>
      <c r="C789" s="162" t="s">
        <v>99</v>
      </c>
      <c r="D789" s="93">
        <v>3.0</v>
      </c>
      <c r="E789" s="93">
        <v>1.0</v>
      </c>
      <c r="F789" s="124" t="s">
        <v>201</v>
      </c>
      <c r="G789" s="129" t="s">
        <v>914</v>
      </c>
      <c r="H789" s="127" t="s">
        <v>430</v>
      </c>
      <c r="I789" s="127" t="s">
        <v>739</v>
      </c>
      <c r="J789" s="124" t="s">
        <v>412</v>
      </c>
      <c r="K789" s="124" t="s">
        <v>69</v>
      </c>
      <c r="L789" s="124">
        <v>9999.0</v>
      </c>
    </row>
    <row r="790">
      <c r="A790" s="165">
        <v>43737.14775020833</v>
      </c>
      <c r="B790" s="161" t="s">
        <v>74</v>
      </c>
      <c r="C790" s="162" t="s">
        <v>88</v>
      </c>
      <c r="D790" s="93">
        <v>3.0</v>
      </c>
      <c r="E790" s="93">
        <v>2.0</v>
      </c>
      <c r="F790" s="124" t="s">
        <v>269</v>
      </c>
      <c r="G790" s="129" t="s">
        <v>910</v>
      </c>
      <c r="H790" s="127" t="s">
        <v>430</v>
      </c>
      <c r="I790" s="127" t="s">
        <v>247</v>
      </c>
      <c r="J790" s="124" t="s">
        <v>781</v>
      </c>
      <c r="K790" s="124" t="s">
        <v>64</v>
      </c>
      <c r="L790" s="124">
        <v>9999.0</v>
      </c>
    </row>
    <row r="791">
      <c r="A791" s="165">
        <v>43737.14775020833</v>
      </c>
      <c r="B791" s="161" t="s">
        <v>74</v>
      </c>
      <c r="C791" s="162" t="s">
        <v>160</v>
      </c>
      <c r="D791" s="93">
        <v>4.0</v>
      </c>
      <c r="E791" s="93">
        <v>1.0</v>
      </c>
      <c r="F791" s="124" t="s">
        <v>282</v>
      </c>
      <c r="G791" s="129" t="s">
        <v>897</v>
      </c>
      <c r="H791" s="127" t="s">
        <v>430</v>
      </c>
      <c r="I791" s="127" t="s">
        <v>275</v>
      </c>
      <c r="J791" s="124">
        <v>48.0</v>
      </c>
      <c r="K791" s="124" t="s">
        <v>58</v>
      </c>
      <c r="L791" s="124">
        <v>9999.0</v>
      </c>
    </row>
    <row r="792">
      <c r="A792" s="165">
        <v>43737.14775020833</v>
      </c>
      <c r="B792" s="161" t="s">
        <v>74</v>
      </c>
      <c r="C792" s="162" t="s">
        <v>174</v>
      </c>
      <c r="D792" s="93">
        <v>5.0</v>
      </c>
      <c r="E792" s="93">
        <v>0.0</v>
      </c>
      <c r="F792" s="124" t="s">
        <v>784</v>
      </c>
      <c r="G792" s="129" t="s">
        <v>895</v>
      </c>
      <c r="H792" s="127" t="s">
        <v>430</v>
      </c>
      <c r="I792" s="127" t="s">
        <v>431</v>
      </c>
      <c r="J792" s="124">
        <v>47.0</v>
      </c>
      <c r="K792" s="124" t="s">
        <v>53</v>
      </c>
      <c r="L792" s="124">
        <v>9999.0</v>
      </c>
    </row>
    <row r="793">
      <c r="A793" s="136" t="s">
        <v>359</v>
      </c>
      <c r="B793" s="115" t="s">
        <v>2</v>
      </c>
      <c r="C793" s="153" t="s">
        <v>227</v>
      </c>
      <c r="D793" s="118" t="s">
        <v>29</v>
      </c>
      <c r="E793" s="118" t="s">
        <v>34</v>
      </c>
      <c r="F793" s="124" t="s">
        <v>261</v>
      </c>
      <c r="G793" s="129" t="s">
        <v>245</v>
      </c>
      <c r="H793" s="127" t="s">
        <v>228</v>
      </c>
      <c r="I793" s="127" t="s">
        <v>229</v>
      </c>
      <c r="J793" s="124" t="s">
        <v>262</v>
      </c>
      <c r="K793" s="124" t="s">
        <v>263</v>
      </c>
      <c r="L793" s="124" t="s">
        <v>264</v>
      </c>
    </row>
    <row r="794">
      <c r="A794" s="165">
        <v>43744.147749525466</v>
      </c>
      <c r="B794" s="161" t="s">
        <v>27</v>
      </c>
      <c r="C794" s="162" t="s">
        <v>107</v>
      </c>
      <c r="D794" s="93">
        <v>4.0</v>
      </c>
      <c r="E794" s="93">
        <v>1.0</v>
      </c>
      <c r="F794" s="124" t="s">
        <v>268</v>
      </c>
      <c r="G794" s="129" t="s">
        <v>915</v>
      </c>
      <c r="H794" s="127" t="s">
        <v>430</v>
      </c>
      <c r="I794" s="127" t="s">
        <v>484</v>
      </c>
      <c r="J794" s="124" t="s">
        <v>412</v>
      </c>
      <c r="K794" s="124" t="s">
        <v>38</v>
      </c>
      <c r="L794" s="124" t="s">
        <v>430</v>
      </c>
    </row>
    <row r="795">
      <c r="A795" s="165">
        <v>43744.147749525466</v>
      </c>
      <c r="B795" s="161" t="s">
        <v>27</v>
      </c>
      <c r="C795" s="162" t="s">
        <v>138</v>
      </c>
      <c r="D795" s="93">
        <v>2.0</v>
      </c>
      <c r="E795" s="93">
        <v>3.0</v>
      </c>
      <c r="F795" s="124" t="s">
        <v>267</v>
      </c>
      <c r="G795" s="129" t="s">
        <v>916</v>
      </c>
      <c r="H795" s="127" t="s">
        <v>430</v>
      </c>
      <c r="I795" s="127" t="s">
        <v>739</v>
      </c>
      <c r="J795" s="124" t="s">
        <v>546</v>
      </c>
      <c r="K795" s="124" t="s">
        <v>44</v>
      </c>
      <c r="L795" s="124" t="s">
        <v>430</v>
      </c>
    </row>
    <row r="796">
      <c r="A796" s="165">
        <v>43744.147749525466</v>
      </c>
      <c r="B796" s="161" t="s">
        <v>27</v>
      </c>
      <c r="C796" s="162" t="s">
        <v>94</v>
      </c>
      <c r="D796" s="93">
        <v>3.0</v>
      </c>
      <c r="E796" s="93">
        <v>2.0</v>
      </c>
      <c r="F796" s="124" t="s">
        <v>285</v>
      </c>
      <c r="G796" s="129" t="s">
        <v>917</v>
      </c>
      <c r="H796" s="127" t="s">
        <v>430</v>
      </c>
      <c r="I796" s="127">
        <v>14.0</v>
      </c>
      <c r="J796" s="124">
        <v>47.0</v>
      </c>
      <c r="K796" s="124" t="s">
        <v>69</v>
      </c>
      <c r="L796" s="124" t="s">
        <v>430</v>
      </c>
    </row>
    <row r="797">
      <c r="A797" s="165">
        <v>43744.147749525466</v>
      </c>
      <c r="B797" s="161" t="s">
        <v>27</v>
      </c>
      <c r="C797" s="162" t="s">
        <v>116</v>
      </c>
      <c r="D797" s="93">
        <v>4.0</v>
      </c>
      <c r="E797" s="93">
        <v>2.0</v>
      </c>
      <c r="F797" s="124" t="s">
        <v>269</v>
      </c>
      <c r="G797" s="129" t="s">
        <v>918</v>
      </c>
      <c r="H797" s="127" t="s">
        <v>430</v>
      </c>
      <c r="I797" s="127" t="s">
        <v>286</v>
      </c>
      <c r="J797" s="124" t="s">
        <v>394</v>
      </c>
      <c r="K797" s="124" t="s">
        <v>60</v>
      </c>
      <c r="L797" s="124" t="s">
        <v>430</v>
      </c>
    </row>
    <row r="798">
      <c r="A798" s="165">
        <v>43744.147749525466</v>
      </c>
      <c r="B798" s="161" t="s">
        <v>27</v>
      </c>
      <c r="C798" s="162" t="s">
        <v>56</v>
      </c>
      <c r="D798" s="93">
        <v>2.0</v>
      </c>
      <c r="E798" s="93">
        <v>3.0</v>
      </c>
      <c r="F798" s="124" t="s">
        <v>215</v>
      </c>
      <c r="G798" s="129" t="s">
        <v>919</v>
      </c>
      <c r="H798" s="127" t="s">
        <v>541</v>
      </c>
      <c r="I798" s="127">
        <v>13.0</v>
      </c>
      <c r="J798" s="124">
        <v>63.0</v>
      </c>
      <c r="K798" s="124" t="s">
        <v>53</v>
      </c>
      <c r="L798" s="124" t="s">
        <v>541</v>
      </c>
    </row>
    <row r="799">
      <c r="A799" s="165">
        <v>43744.147749525466</v>
      </c>
      <c r="B799" s="161" t="s">
        <v>27</v>
      </c>
      <c r="C799" s="162" t="s">
        <v>163</v>
      </c>
      <c r="D799" s="93">
        <v>4.0</v>
      </c>
      <c r="E799" s="93">
        <v>2.0</v>
      </c>
      <c r="F799" s="124" t="s">
        <v>718</v>
      </c>
      <c r="G799" s="129" t="s">
        <v>920</v>
      </c>
      <c r="H799" s="127" t="s">
        <v>430</v>
      </c>
      <c r="I799" s="127">
        <v>18.0</v>
      </c>
      <c r="J799" s="124" t="s">
        <v>482</v>
      </c>
      <c r="K799" s="124" t="s">
        <v>58</v>
      </c>
      <c r="L799" s="124" t="s">
        <v>430</v>
      </c>
    </row>
    <row r="800">
      <c r="A800" s="165">
        <v>43744.147749525466</v>
      </c>
      <c r="B800" s="161" t="s">
        <v>27</v>
      </c>
      <c r="C800" s="162" t="s">
        <v>134</v>
      </c>
      <c r="D800" s="93">
        <v>2.0</v>
      </c>
      <c r="E800" s="93">
        <v>3.0</v>
      </c>
      <c r="F800" s="124" t="s">
        <v>355</v>
      </c>
      <c r="G800" s="129" t="s">
        <v>921</v>
      </c>
      <c r="H800" s="127" t="s">
        <v>430</v>
      </c>
      <c r="I800" s="127" t="s">
        <v>674</v>
      </c>
      <c r="J800" s="124" t="s">
        <v>519</v>
      </c>
      <c r="K800" s="124" t="s">
        <v>288</v>
      </c>
      <c r="L800" s="124" t="s">
        <v>430</v>
      </c>
    </row>
    <row r="801">
      <c r="A801" s="165">
        <v>43744.147749525466</v>
      </c>
      <c r="B801" s="161" t="s">
        <v>27</v>
      </c>
      <c r="C801" s="162" t="s">
        <v>195</v>
      </c>
      <c r="D801" s="93">
        <v>3.0</v>
      </c>
      <c r="E801" s="93">
        <v>2.0</v>
      </c>
      <c r="F801" s="124" t="s">
        <v>282</v>
      </c>
      <c r="G801" s="129" t="s">
        <v>202</v>
      </c>
      <c r="H801" s="127"/>
      <c r="I801" s="127" t="s">
        <v>203</v>
      </c>
      <c r="J801" s="124" t="s">
        <v>203</v>
      </c>
      <c r="K801" s="124"/>
      <c r="L801" s="124">
        <v>9999.0</v>
      </c>
    </row>
    <row r="802">
      <c r="A802" s="165">
        <v>43744.147749525466</v>
      </c>
      <c r="B802" s="161" t="s">
        <v>27</v>
      </c>
      <c r="C802" s="162" t="s">
        <v>152</v>
      </c>
      <c r="D802" s="93">
        <v>2.0</v>
      </c>
      <c r="E802" s="93">
        <v>2.0</v>
      </c>
      <c r="F802" s="124" t="s">
        <v>248</v>
      </c>
      <c r="G802" s="129" t="s">
        <v>202</v>
      </c>
      <c r="H802" s="127"/>
      <c r="I802" s="127" t="s">
        <v>203</v>
      </c>
      <c r="J802" s="124" t="s">
        <v>203</v>
      </c>
      <c r="K802" s="124"/>
      <c r="L802" s="124">
        <v>9999.0</v>
      </c>
    </row>
    <row r="803">
      <c r="A803" s="165">
        <v>43744.147749525466</v>
      </c>
      <c r="B803" s="161" t="s">
        <v>27</v>
      </c>
      <c r="C803" s="162" t="s">
        <v>114</v>
      </c>
      <c r="D803" s="93">
        <v>5.0</v>
      </c>
      <c r="E803" s="93">
        <v>0.0</v>
      </c>
      <c r="F803" s="124" t="s">
        <v>234</v>
      </c>
      <c r="G803" s="129" t="s">
        <v>202</v>
      </c>
      <c r="H803" s="127"/>
      <c r="I803" s="127" t="s">
        <v>203</v>
      </c>
      <c r="J803" s="124" t="s">
        <v>203</v>
      </c>
      <c r="K803" s="124"/>
      <c r="L803" s="124">
        <v>9999.0</v>
      </c>
    </row>
    <row r="804">
      <c r="A804" s="136" t="s">
        <v>359</v>
      </c>
      <c r="B804" s="115" t="s">
        <v>2</v>
      </c>
      <c r="C804" s="153" t="s">
        <v>227</v>
      </c>
      <c r="D804" s="118" t="s">
        <v>29</v>
      </c>
      <c r="E804" s="118" t="s">
        <v>34</v>
      </c>
      <c r="F804" s="124" t="s">
        <v>261</v>
      </c>
      <c r="G804" s="129" t="s">
        <v>245</v>
      </c>
      <c r="H804" s="127" t="s">
        <v>228</v>
      </c>
      <c r="I804" s="127" t="s">
        <v>229</v>
      </c>
      <c r="J804" s="124" t="s">
        <v>262</v>
      </c>
      <c r="K804" s="124" t="s">
        <v>263</v>
      </c>
      <c r="L804" s="124" t="s">
        <v>264</v>
      </c>
    </row>
    <row r="805">
      <c r="A805" s="165">
        <v>43744.147749525466</v>
      </c>
      <c r="B805" s="161" t="s">
        <v>38</v>
      </c>
      <c r="C805" s="162" t="s">
        <v>32</v>
      </c>
      <c r="D805" s="93">
        <v>3.0</v>
      </c>
      <c r="E805" s="93">
        <v>3.0</v>
      </c>
      <c r="F805" s="124" t="s">
        <v>260</v>
      </c>
      <c r="G805" s="129" t="s">
        <v>922</v>
      </c>
      <c r="H805" s="127" t="s">
        <v>430</v>
      </c>
      <c r="I805" s="127" t="s">
        <v>622</v>
      </c>
      <c r="J805" s="124">
        <v>49.0</v>
      </c>
      <c r="K805" s="124" t="s">
        <v>64</v>
      </c>
      <c r="L805" s="124" t="s">
        <v>430</v>
      </c>
    </row>
    <row r="806">
      <c r="A806" s="165">
        <v>43744.147749525466</v>
      </c>
      <c r="B806" s="161" t="s">
        <v>38</v>
      </c>
      <c r="C806" s="162" t="s">
        <v>178</v>
      </c>
      <c r="D806" s="93">
        <v>5.0</v>
      </c>
      <c r="E806" s="93">
        <v>0.0</v>
      </c>
      <c r="F806" s="124" t="s">
        <v>287</v>
      </c>
      <c r="G806" s="129" t="s">
        <v>923</v>
      </c>
      <c r="H806" s="127" t="s">
        <v>430</v>
      </c>
      <c r="I806" s="127">
        <v>-28.0</v>
      </c>
      <c r="J806" s="124" t="s">
        <v>924</v>
      </c>
      <c r="K806" s="124" t="s">
        <v>41</v>
      </c>
      <c r="L806" s="124" t="s">
        <v>430</v>
      </c>
    </row>
    <row r="807">
      <c r="A807" s="165">
        <v>43744.147749525466</v>
      </c>
      <c r="B807" s="161" t="s">
        <v>38</v>
      </c>
      <c r="C807" s="162" t="s">
        <v>97</v>
      </c>
      <c r="D807" s="93">
        <v>3.0</v>
      </c>
      <c r="E807" s="93">
        <v>2.0</v>
      </c>
      <c r="F807" s="124" t="s">
        <v>269</v>
      </c>
      <c r="G807" s="129" t="s">
        <v>925</v>
      </c>
      <c r="H807" s="127" t="s">
        <v>430</v>
      </c>
      <c r="I807" s="127" t="s">
        <v>379</v>
      </c>
      <c r="J807" s="124">
        <v>45.0</v>
      </c>
      <c r="K807" s="124" t="s">
        <v>62</v>
      </c>
      <c r="L807" s="124" t="s">
        <v>430</v>
      </c>
    </row>
    <row r="808">
      <c r="A808" s="165">
        <v>43744.147749525466</v>
      </c>
      <c r="B808" s="161" t="s">
        <v>38</v>
      </c>
      <c r="C808" s="162" t="s">
        <v>139</v>
      </c>
      <c r="D808" s="93">
        <v>1.0</v>
      </c>
      <c r="E808" s="93">
        <v>4.0</v>
      </c>
      <c r="F808" s="124" t="s">
        <v>267</v>
      </c>
      <c r="G808" s="129" t="s">
        <v>915</v>
      </c>
      <c r="H808" s="127" t="s">
        <v>430</v>
      </c>
      <c r="I808" s="127" t="s">
        <v>519</v>
      </c>
      <c r="J808" s="124" t="s">
        <v>412</v>
      </c>
      <c r="K808" s="124" t="s">
        <v>27</v>
      </c>
      <c r="L808" s="124" t="s">
        <v>430</v>
      </c>
    </row>
    <row r="809">
      <c r="A809" s="165">
        <v>43744.147749525466</v>
      </c>
      <c r="B809" s="161" t="s">
        <v>38</v>
      </c>
      <c r="C809" s="162" t="s">
        <v>129</v>
      </c>
      <c r="D809" s="93">
        <v>1.0</v>
      </c>
      <c r="E809" s="93">
        <v>4.0</v>
      </c>
      <c r="F809" s="124" t="s">
        <v>248</v>
      </c>
      <c r="G809" s="129" t="s">
        <v>926</v>
      </c>
      <c r="H809" s="127" t="s">
        <v>430</v>
      </c>
      <c r="I809" s="127" t="s">
        <v>418</v>
      </c>
      <c r="J809" s="124" t="s">
        <v>637</v>
      </c>
      <c r="K809" s="124" t="s">
        <v>58</v>
      </c>
      <c r="L809" s="124" t="s">
        <v>430</v>
      </c>
    </row>
    <row r="810">
      <c r="A810" s="165">
        <v>43744.147749525466</v>
      </c>
      <c r="B810" s="161" t="s">
        <v>38</v>
      </c>
      <c r="C810" s="162" t="s">
        <v>113</v>
      </c>
      <c r="D810" s="93">
        <v>4.0</v>
      </c>
      <c r="E810" s="93">
        <v>2.0</v>
      </c>
      <c r="F810" s="124" t="s">
        <v>278</v>
      </c>
      <c r="G810" s="129" t="s">
        <v>927</v>
      </c>
      <c r="H810" s="127" t="s">
        <v>430</v>
      </c>
      <c r="I810" s="127">
        <v>20.0</v>
      </c>
      <c r="J810" s="124">
        <v>49.0</v>
      </c>
      <c r="K810" s="124" t="s">
        <v>74</v>
      </c>
      <c r="L810" s="124" t="s">
        <v>430</v>
      </c>
    </row>
    <row r="811">
      <c r="A811" s="165">
        <v>43744.147749525466</v>
      </c>
      <c r="B811" s="161" t="s">
        <v>38</v>
      </c>
      <c r="C811" s="162" t="s">
        <v>198</v>
      </c>
      <c r="D811" s="93">
        <v>0.0</v>
      </c>
      <c r="E811" s="93">
        <v>6.0</v>
      </c>
      <c r="F811" s="124" t="s">
        <v>727</v>
      </c>
      <c r="G811" s="129" t="s">
        <v>928</v>
      </c>
      <c r="H811" s="127" t="s">
        <v>430</v>
      </c>
      <c r="I811" s="127" t="s">
        <v>376</v>
      </c>
      <c r="J811" s="124">
        <v>60.0</v>
      </c>
      <c r="K811" s="124" t="s">
        <v>288</v>
      </c>
      <c r="L811" s="124" t="s">
        <v>430</v>
      </c>
    </row>
    <row r="812">
      <c r="A812" s="165">
        <v>43744.147749525466</v>
      </c>
      <c r="B812" s="161" t="s">
        <v>38</v>
      </c>
      <c r="C812" s="162" t="s">
        <v>156</v>
      </c>
      <c r="D812" s="93">
        <v>4.0</v>
      </c>
      <c r="E812" s="93">
        <v>1.0</v>
      </c>
      <c r="F812" s="124" t="s">
        <v>727</v>
      </c>
      <c r="G812" s="129" t="s">
        <v>929</v>
      </c>
      <c r="H812" s="127" t="s">
        <v>430</v>
      </c>
      <c r="I812" s="127" t="s">
        <v>286</v>
      </c>
      <c r="J812" s="124" t="s">
        <v>462</v>
      </c>
      <c r="K812" s="124" t="s">
        <v>69</v>
      </c>
      <c r="L812" s="124" t="s">
        <v>430</v>
      </c>
    </row>
    <row r="813">
      <c r="A813" s="165">
        <v>43744.147749525466</v>
      </c>
      <c r="B813" s="161" t="s">
        <v>38</v>
      </c>
      <c r="C813" s="162" t="s">
        <v>68</v>
      </c>
      <c r="D813" s="93">
        <v>5.0</v>
      </c>
      <c r="E813" s="93">
        <v>0.0</v>
      </c>
      <c r="F813" s="124" t="s">
        <v>207</v>
      </c>
      <c r="G813" s="129" t="s">
        <v>202</v>
      </c>
      <c r="H813" s="127"/>
      <c r="I813" s="127" t="s">
        <v>203</v>
      </c>
      <c r="J813" s="124" t="s">
        <v>203</v>
      </c>
      <c r="K813" s="124"/>
      <c r="L813" s="124">
        <v>9999.0</v>
      </c>
    </row>
    <row r="814">
      <c r="A814" s="165">
        <v>43744.147749525466</v>
      </c>
      <c r="B814" s="161" t="s">
        <v>38</v>
      </c>
      <c r="C814" s="162" t="s">
        <v>172</v>
      </c>
      <c r="D814" s="93">
        <v>3.0</v>
      </c>
      <c r="E814" s="93">
        <v>2.0</v>
      </c>
      <c r="F814" s="124" t="s">
        <v>201</v>
      </c>
      <c r="G814" s="129" t="s">
        <v>202</v>
      </c>
      <c r="H814" s="127"/>
      <c r="I814" s="127" t="s">
        <v>203</v>
      </c>
      <c r="J814" s="124" t="s">
        <v>203</v>
      </c>
      <c r="K814" s="124"/>
      <c r="L814" s="124">
        <v>9999.0</v>
      </c>
    </row>
    <row r="815">
      <c r="A815" s="136" t="s">
        <v>359</v>
      </c>
      <c r="B815" s="115" t="s">
        <v>2</v>
      </c>
      <c r="C815" s="153" t="s">
        <v>227</v>
      </c>
      <c r="D815" s="118" t="s">
        <v>29</v>
      </c>
      <c r="E815" s="118" t="s">
        <v>34</v>
      </c>
      <c r="F815" s="124" t="s">
        <v>261</v>
      </c>
      <c r="G815" s="129" t="s">
        <v>245</v>
      </c>
      <c r="H815" s="127" t="s">
        <v>228</v>
      </c>
      <c r="I815" s="127" t="s">
        <v>229</v>
      </c>
      <c r="J815" s="124" t="s">
        <v>262</v>
      </c>
      <c r="K815" s="124" t="s">
        <v>263</v>
      </c>
      <c r="L815" s="124" t="s">
        <v>264</v>
      </c>
    </row>
    <row r="816">
      <c r="A816" s="165">
        <v>43744.147749525466</v>
      </c>
      <c r="B816" s="161" t="s">
        <v>41</v>
      </c>
      <c r="C816" s="162" t="s">
        <v>159</v>
      </c>
      <c r="D816" s="93">
        <v>3.0</v>
      </c>
      <c r="E816" s="93">
        <v>2.0</v>
      </c>
      <c r="F816" s="124" t="s">
        <v>248</v>
      </c>
      <c r="G816" s="129" t="s">
        <v>923</v>
      </c>
      <c r="H816" s="127" t="s">
        <v>430</v>
      </c>
      <c r="I816" s="127">
        <v>28.0</v>
      </c>
      <c r="J816" s="124" t="s">
        <v>924</v>
      </c>
      <c r="K816" s="124" t="s">
        <v>38</v>
      </c>
      <c r="L816" s="124" t="s">
        <v>430</v>
      </c>
    </row>
    <row r="817">
      <c r="A817" s="165">
        <v>43744.147749525466</v>
      </c>
      <c r="B817" s="161" t="s">
        <v>41</v>
      </c>
      <c r="C817" s="162" t="s">
        <v>111</v>
      </c>
      <c r="D817" s="93">
        <v>3.0</v>
      </c>
      <c r="E817" s="93">
        <v>2.0</v>
      </c>
      <c r="F817" s="124" t="s">
        <v>260</v>
      </c>
      <c r="G817" s="129" t="s">
        <v>930</v>
      </c>
      <c r="H817" s="127" t="s">
        <v>430</v>
      </c>
      <c r="I817" s="127" t="s">
        <v>226</v>
      </c>
      <c r="J817" s="124">
        <v>54.0</v>
      </c>
      <c r="K817" s="124" t="s">
        <v>288</v>
      </c>
      <c r="L817" s="124" t="s">
        <v>430</v>
      </c>
    </row>
    <row r="818">
      <c r="A818" s="165">
        <v>43744.147749525466</v>
      </c>
      <c r="B818" s="161" t="s">
        <v>41</v>
      </c>
      <c r="C818" s="162" t="s">
        <v>52</v>
      </c>
      <c r="D818" s="93">
        <v>4.0</v>
      </c>
      <c r="E818" s="93">
        <v>1.0</v>
      </c>
      <c r="F818" s="124" t="s">
        <v>282</v>
      </c>
      <c r="G818" s="129" t="s">
        <v>931</v>
      </c>
      <c r="H818" s="127" t="s">
        <v>430</v>
      </c>
      <c r="I818" s="127">
        <v>-3.0</v>
      </c>
      <c r="J818" s="124" t="s">
        <v>519</v>
      </c>
      <c r="K818" s="124" t="s">
        <v>64</v>
      </c>
      <c r="L818" s="124" t="s">
        <v>430</v>
      </c>
    </row>
    <row r="819">
      <c r="A819" s="165">
        <v>43744.147749525466</v>
      </c>
      <c r="B819" s="161" t="s">
        <v>41</v>
      </c>
      <c r="C819" s="162" t="s">
        <v>146</v>
      </c>
      <c r="D819" s="93">
        <v>2.0</v>
      </c>
      <c r="E819" s="93">
        <v>3.0</v>
      </c>
      <c r="F819" s="124" t="s">
        <v>284</v>
      </c>
      <c r="G819" s="129" t="s">
        <v>932</v>
      </c>
      <c r="H819" s="127" t="s">
        <v>643</v>
      </c>
      <c r="I819" s="127" t="s">
        <v>379</v>
      </c>
      <c r="J819" s="124" t="s">
        <v>237</v>
      </c>
      <c r="K819" s="124" t="s">
        <v>58</v>
      </c>
      <c r="L819" s="124" t="s">
        <v>643</v>
      </c>
    </row>
    <row r="820">
      <c r="A820" s="165">
        <v>43744.147749525466</v>
      </c>
      <c r="B820" s="161" t="s">
        <v>41</v>
      </c>
      <c r="C820" s="162" t="s">
        <v>126</v>
      </c>
      <c r="D820" s="93">
        <v>2.0</v>
      </c>
      <c r="E820" s="93">
        <v>3.0</v>
      </c>
      <c r="F820" s="124" t="s">
        <v>284</v>
      </c>
      <c r="G820" s="129" t="s">
        <v>933</v>
      </c>
      <c r="H820" s="127" t="s">
        <v>430</v>
      </c>
      <c r="I820" s="127">
        <v>-4.0</v>
      </c>
      <c r="J820" s="124">
        <v>56.0</v>
      </c>
      <c r="K820" s="124" t="s">
        <v>48</v>
      </c>
      <c r="L820" s="124" t="s">
        <v>430</v>
      </c>
    </row>
    <row r="821">
      <c r="A821" s="165">
        <v>43744.147749525466</v>
      </c>
      <c r="B821" s="161" t="s">
        <v>41</v>
      </c>
      <c r="C821" s="162" t="s">
        <v>180</v>
      </c>
      <c r="D821" s="93">
        <v>4.0</v>
      </c>
      <c r="E821" s="93">
        <v>1.0</v>
      </c>
      <c r="F821" s="124" t="s">
        <v>743</v>
      </c>
      <c r="G821" s="129" t="s">
        <v>934</v>
      </c>
      <c r="H821" s="127" t="s">
        <v>430</v>
      </c>
      <c r="I821" s="127">
        <v>-25.0</v>
      </c>
      <c r="J821" s="124">
        <v>66.0</v>
      </c>
      <c r="K821" s="124" t="s">
        <v>74</v>
      </c>
      <c r="L821" s="124" t="s">
        <v>430</v>
      </c>
    </row>
    <row r="822">
      <c r="A822" s="165">
        <v>43744.147749525466</v>
      </c>
      <c r="B822" s="161" t="s">
        <v>41</v>
      </c>
      <c r="C822" s="162" t="s">
        <v>91</v>
      </c>
      <c r="D822" s="93">
        <v>4.0</v>
      </c>
      <c r="E822" s="93">
        <v>2.0</v>
      </c>
      <c r="F822" s="124" t="s">
        <v>207</v>
      </c>
      <c r="G822" s="129" t="s">
        <v>935</v>
      </c>
      <c r="H822" s="127" t="s">
        <v>430</v>
      </c>
      <c r="I822" s="127">
        <v>4.0</v>
      </c>
      <c r="J822" s="124" t="s">
        <v>585</v>
      </c>
      <c r="K822" s="124" t="s">
        <v>58</v>
      </c>
      <c r="L822" s="124" t="s">
        <v>430</v>
      </c>
    </row>
    <row r="823">
      <c r="A823" s="165">
        <v>43744.147749525466</v>
      </c>
      <c r="B823" s="161" t="s">
        <v>41</v>
      </c>
      <c r="C823" s="162" t="s">
        <v>168</v>
      </c>
      <c r="D823" s="93">
        <v>1.0</v>
      </c>
      <c r="E823" s="93">
        <v>5.0</v>
      </c>
      <c r="F823" s="124" t="s">
        <v>278</v>
      </c>
      <c r="G823" s="129" t="s">
        <v>936</v>
      </c>
      <c r="H823" s="127" t="s">
        <v>430</v>
      </c>
      <c r="I823" s="127" t="s">
        <v>512</v>
      </c>
      <c r="J823" s="124" t="s">
        <v>473</v>
      </c>
      <c r="K823" s="124" t="s">
        <v>60</v>
      </c>
      <c r="L823" s="124" t="s">
        <v>430</v>
      </c>
    </row>
    <row r="824">
      <c r="A824" s="165">
        <v>43744.147749525466</v>
      </c>
      <c r="B824" s="161" t="s">
        <v>41</v>
      </c>
      <c r="C824" s="162" t="s">
        <v>109</v>
      </c>
      <c r="D824" s="93">
        <v>2.0</v>
      </c>
      <c r="E824" s="93">
        <v>3.0</v>
      </c>
      <c r="F824" s="124" t="s">
        <v>207</v>
      </c>
      <c r="G824" s="129" t="s">
        <v>202</v>
      </c>
      <c r="H824" s="127"/>
      <c r="I824" s="127" t="s">
        <v>203</v>
      </c>
      <c r="J824" s="124" t="s">
        <v>203</v>
      </c>
      <c r="K824" s="124"/>
      <c r="L824" s="124">
        <v>9999.0</v>
      </c>
    </row>
    <row r="825">
      <c r="A825" s="165">
        <v>43744.147749525466</v>
      </c>
      <c r="B825" s="161" t="s">
        <v>41</v>
      </c>
      <c r="C825" s="162" t="s">
        <v>190</v>
      </c>
      <c r="D825" s="93">
        <v>3.0</v>
      </c>
      <c r="E825" s="93">
        <v>1.0</v>
      </c>
      <c r="F825" s="124" t="s">
        <v>248</v>
      </c>
      <c r="G825" s="129" t="s">
        <v>202</v>
      </c>
      <c r="H825" s="127"/>
      <c r="I825" s="127" t="s">
        <v>203</v>
      </c>
      <c r="J825" s="124" t="s">
        <v>203</v>
      </c>
      <c r="K825" s="124"/>
      <c r="L825" s="124">
        <v>9999.0</v>
      </c>
    </row>
    <row r="826">
      <c r="A826" s="136" t="s">
        <v>359</v>
      </c>
      <c r="B826" s="115" t="s">
        <v>2</v>
      </c>
      <c r="C826" s="153" t="s">
        <v>227</v>
      </c>
      <c r="D826" s="118" t="s">
        <v>29</v>
      </c>
      <c r="E826" s="118" t="s">
        <v>34</v>
      </c>
      <c r="F826" s="124" t="s">
        <v>261</v>
      </c>
      <c r="G826" s="129" t="s">
        <v>245</v>
      </c>
      <c r="H826" s="127" t="s">
        <v>228</v>
      </c>
      <c r="I826" s="127" t="s">
        <v>229</v>
      </c>
      <c r="J826" s="124" t="s">
        <v>262</v>
      </c>
      <c r="K826" s="124" t="s">
        <v>263</v>
      </c>
      <c r="L826" s="124" t="s">
        <v>264</v>
      </c>
    </row>
    <row r="827">
      <c r="A827" s="165">
        <v>43744.147749525466</v>
      </c>
      <c r="B827" s="161" t="s">
        <v>44</v>
      </c>
      <c r="C827" s="162" t="s">
        <v>188</v>
      </c>
      <c r="D827" s="93">
        <v>2.0</v>
      </c>
      <c r="E827" s="93">
        <v>3.0</v>
      </c>
      <c r="F827" s="124" t="s">
        <v>266</v>
      </c>
      <c r="G827" s="129" t="s">
        <v>937</v>
      </c>
      <c r="H827" s="127" t="s">
        <v>639</v>
      </c>
      <c r="I827" s="127">
        <v>-10.0</v>
      </c>
      <c r="J827" s="124">
        <v>46.0</v>
      </c>
      <c r="K827" s="124" t="s">
        <v>62</v>
      </c>
      <c r="L827" s="124" t="s">
        <v>639</v>
      </c>
    </row>
    <row r="828">
      <c r="A828" s="165">
        <v>43744.147749525466</v>
      </c>
      <c r="B828" s="161" t="s">
        <v>44</v>
      </c>
      <c r="C828" s="162" t="s">
        <v>122</v>
      </c>
      <c r="D828" s="93">
        <v>5.0</v>
      </c>
      <c r="E828" s="93">
        <v>0.0</v>
      </c>
      <c r="F828" s="124" t="s">
        <v>248</v>
      </c>
      <c r="G828" s="129" t="s">
        <v>938</v>
      </c>
      <c r="H828" s="127" t="s">
        <v>430</v>
      </c>
      <c r="I828" s="127" t="s">
        <v>773</v>
      </c>
      <c r="J828" s="124" t="s">
        <v>276</v>
      </c>
      <c r="K828" s="124" t="s">
        <v>62</v>
      </c>
      <c r="L828" s="124" t="s">
        <v>430</v>
      </c>
    </row>
    <row r="829">
      <c r="A829" s="165">
        <v>43744.147749525466</v>
      </c>
      <c r="B829" s="161" t="s">
        <v>44</v>
      </c>
      <c r="C829" s="162" t="s">
        <v>104</v>
      </c>
      <c r="D829" s="93">
        <v>3.0</v>
      </c>
      <c r="E829" s="93">
        <v>2.0</v>
      </c>
      <c r="F829" s="124" t="s">
        <v>201</v>
      </c>
      <c r="G829" s="129" t="s">
        <v>939</v>
      </c>
      <c r="H829" s="127" t="s">
        <v>430</v>
      </c>
      <c r="I829" s="127">
        <v>10.0</v>
      </c>
      <c r="J829" s="124">
        <v>64.0</v>
      </c>
      <c r="K829" s="124" t="s">
        <v>69</v>
      </c>
      <c r="L829" s="124" t="s">
        <v>430</v>
      </c>
    </row>
    <row r="830">
      <c r="A830" s="165">
        <v>43744.147749525466</v>
      </c>
      <c r="B830" s="161" t="s">
        <v>44</v>
      </c>
      <c r="C830" s="162" t="s">
        <v>61</v>
      </c>
      <c r="D830" s="93">
        <v>3.0</v>
      </c>
      <c r="E830" s="93">
        <v>3.0</v>
      </c>
      <c r="F830" s="124" t="s">
        <v>285</v>
      </c>
      <c r="G830" s="129" t="s">
        <v>940</v>
      </c>
      <c r="H830" s="127" t="s">
        <v>430</v>
      </c>
      <c r="I830" s="127" t="s">
        <v>247</v>
      </c>
      <c r="J830" s="124" t="s">
        <v>412</v>
      </c>
      <c r="K830" s="124" t="s">
        <v>288</v>
      </c>
      <c r="L830" s="124" t="s">
        <v>430</v>
      </c>
    </row>
    <row r="831">
      <c r="A831" s="165">
        <v>43744.147749525466</v>
      </c>
      <c r="B831" s="161" t="s">
        <v>44</v>
      </c>
      <c r="C831" s="162" t="s">
        <v>145</v>
      </c>
      <c r="D831" s="93">
        <v>1.0</v>
      </c>
      <c r="E831" s="93">
        <v>4.0</v>
      </c>
      <c r="F831" s="124" t="s">
        <v>269</v>
      </c>
      <c r="G831" s="129" t="s">
        <v>916</v>
      </c>
      <c r="H831" s="127" t="s">
        <v>430</v>
      </c>
      <c r="I831" s="127" t="s">
        <v>620</v>
      </c>
      <c r="J831" s="124" t="s">
        <v>546</v>
      </c>
      <c r="K831" s="124" t="s">
        <v>27</v>
      </c>
      <c r="L831" s="124" t="s">
        <v>430</v>
      </c>
    </row>
    <row r="832">
      <c r="A832" s="165">
        <v>43744.147749525466</v>
      </c>
      <c r="B832" s="161" t="s">
        <v>44</v>
      </c>
      <c r="C832" s="162" t="s">
        <v>37</v>
      </c>
      <c r="D832" s="93">
        <v>3.0</v>
      </c>
      <c r="E832" s="93">
        <v>1.0</v>
      </c>
      <c r="F832" s="124" t="s">
        <v>260</v>
      </c>
      <c r="G832" s="129" t="s">
        <v>941</v>
      </c>
      <c r="H832" s="127" t="s">
        <v>430</v>
      </c>
      <c r="I832" s="127" t="s">
        <v>418</v>
      </c>
      <c r="J832" s="124" t="s">
        <v>637</v>
      </c>
      <c r="K832" s="124" t="s">
        <v>60</v>
      </c>
      <c r="L832" s="124" t="s">
        <v>430</v>
      </c>
    </row>
    <row r="833">
      <c r="A833" s="165">
        <v>43744.147749525466</v>
      </c>
      <c r="B833" s="161" t="s">
        <v>44</v>
      </c>
      <c r="C833" s="162" t="s">
        <v>161</v>
      </c>
      <c r="D833" s="93">
        <v>4.0</v>
      </c>
      <c r="E833" s="93">
        <v>1.0</v>
      </c>
      <c r="F833" s="124" t="s">
        <v>201</v>
      </c>
      <c r="G833" s="129" t="s">
        <v>942</v>
      </c>
      <c r="H833" s="127" t="s">
        <v>430</v>
      </c>
      <c r="I833" s="127" t="s">
        <v>739</v>
      </c>
      <c r="J833" s="124" t="s">
        <v>419</v>
      </c>
      <c r="K833" s="124" t="s">
        <v>53</v>
      </c>
      <c r="L833" s="124" t="s">
        <v>430</v>
      </c>
    </row>
    <row r="834">
      <c r="A834" s="165">
        <v>43744.147749525466</v>
      </c>
      <c r="B834" s="161" t="s">
        <v>44</v>
      </c>
      <c r="C834" s="162" t="s">
        <v>150</v>
      </c>
      <c r="D834" s="93">
        <v>5.0</v>
      </c>
      <c r="E834" s="93">
        <v>0.0</v>
      </c>
      <c r="F834" s="124" t="s">
        <v>215</v>
      </c>
      <c r="G834" s="129" t="s">
        <v>943</v>
      </c>
      <c r="H834" s="127" t="s">
        <v>430</v>
      </c>
      <c r="I834" s="127">
        <v>-23.0</v>
      </c>
      <c r="J834" s="124" t="s">
        <v>546</v>
      </c>
      <c r="K834" s="124" t="s">
        <v>58</v>
      </c>
      <c r="L834" s="124" t="s">
        <v>430</v>
      </c>
    </row>
    <row r="835">
      <c r="A835" s="165">
        <v>43744.147749525466</v>
      </c>
      <c r="B835" s="161" t="s">
        <v>44</v>
      </c>
      <c r="C835" s="162" t="s">
        <v>132</v>
      </c>
      <c r="D835" s="93">
        <v>2.0</v>
      </c>
      <c r="E835" s="93">
        <v>3.0</v>
      </c>
      <c r="F835" s="124" t="s">
        <v>267</v>
      </c>
      <c r="G835" s="129" t="s">
        <v>202</v>
      </c>
      <c r="H835" s="127"/>
      <c r="I835" s="127" t="s">
        <v>203</v>
      </c>
      <c r="J835" s="124" t="s">
        <v>203</v>
      </c>
      <c r="K835" s="124"/>
      <c r="L835" s="124">
        <v>9999.0</v>
      </c>
    </row>
    <row r="836">
      <c r="A836" s="165">
        <v>43744.147749525466</v>
      </c>
      <c r="B836" s="161" t="s">
        <v>44</v>
      </c>
      <c r="C836" s="162" t="s">
        <v>173</v>
      </c>
      <c r="D836" s="93">
        <v>2.0</v>
      </c>
      <c r="E836" s="93">
        <v>3.0</v>
      </c>
      <c r="F836" s="124" t="s">
        <v>287</v>
      </c>
      <c r="G836" s="129" t="s">
        <v>202</v>
      </c>
      <c r="H836" s="127"/>
      <c r="I836" s="127" t="s">
        <v>203</v>
      </c>
      <c r="J836" s="124" t="s">
        <v>203</v>
      </c>
      <c r="K836" s="124"/>
      <c r="L836" s="124">
        <v>9999.0</v>
      </c>
    </row>
    <row r="837">
      <c r="A837" s="136" t="s">
        <v>359</v>
      </c>
      <c r="B837" s="115" t="s">
        <v>2</v>
      </c>
      <c r="C837" s="153" t="s">
        <v>227</v>
      </c>
      <c r="D837" s="118" t="s">
        <v>29</v>
      </c>
      <c r="E837" s="118" t="s">
        <v>34</v>
      </c>
      <c r="F837" s="124" t="s">
        <v>261</v>
      </c>
      <c r="G837" s="129" t="s">
        <v>245</v>
      </c>
      <c r="H837" s="127" t="s">
        <v>228</v>
      </c>
      <c r="I837" s="127" t="s">
        <v>229</v>
      </c>
      <c r="J837" s="124" t="s">
        <v>262</v>
      </c>
      <c r="K837" s="124" t="s">
        <v>263</v>
      </c>
      <c r="L837" s="124" t="s">
        <v>264</v>
      </c>
    </row>
    <row r="838">
      <c r="A838" s="165">
        <v>43744.147749525466</v>
      </c>
      <c r="B838" s="161" t="s">
        <v>48</v>
      </c>
      <c r="C838" s="162" t="s">
        <v>155</v>
      </c>
      <c r="D838" s="93">
        <v>2.0</v>
      </c>
      <c r="E838" s="93">
        <v>3.0</v>
      </c>
      <c r="F838" s="124" t="s">
        <v>268</v>
      </c>
      <c r="G838" s="129" t="s">
        <v>944</v>
      </c>
      <c r="H838" s="127" t="s">
        <v>430</v>
      </c>
      <c r="I838" s="127" t="s">
        <v>247</v>
      </c>
      <c r="J838" s="124">
        <v>64.0</v>
      </c>
      <c r="K838" s="124" t="s">
        <v>53</v>
      </c>
      <c r="L838" s="124" t="s">
        <v>430</v>
      </c>
    </row>
    <row r="839">
      <c r="A839" s="165">
        <v>43744.147749525466</v>
      </c>
      <c r="B839" s="161" t="s">
        <v>48</v>
      </c>
      <c r="C839" s="162" t="s">
        <v>120</v>
      </c>
      <c r="D839" s="93">
        <v>1.0</v>
      </c>
      <c r="E839" s="93">
        <v>4.0</v>
      </c>
      <c r="F839" s="124" t="s">
        <v>266</v>
      </c>
      <c r="G839" s="129" t="s">
        <v>945</v>
      </c>
      <c r="H839" s="127" t="s">
        <v>430</v>
      </c>
      <c r="I839" s="127">
        <v>28.0</v>
      </c>
      <c r="J839" s="124">
        <v>56.0</v>
      </c>
      <c r="K839" s="124" t="s">
        <v>53</v>
      </c>
      <c r="L839" s="124" t="s">
        <v>430</v>
      </c>
    </row>
    <row r="840">
      <c r="A840" s="165">
        <v>43744.147749525466</v>
      </c>
      <c r="B840" s="161" t="s">
        <v>48</v>
      </c>
      <c r="C840" s="162" t="s">
        <v>105</v>
      </c>
      <c r="D840" s="93">
        <v>3.0</v>
      </c>
      <c r="E840" s="93">
        <v>2.0</v>
      </c>
      <c r="F840" s="124" t="s">
        <v>269</v>
      </c>
      <c r="G840" s="129" t="s">
        <v>946</v>
      </c>
      <c r="H840" s="127" t="s">
        <v>430</v>
      </c>
      <c r="I840" s="127">
        <v>11.0</v>
      </c>
      <c r="J840" s="124" t="s">
        <v>397</v>
      </c>
      <c r="K840" s="124" t="s">
        <v>60</v>
      </c>
      <c r="L840" s="124" t="s">
        <v>430</v>
      </c>
    </row>
    <row r="841">
      <c r="A841" s="165">
        <v>43744.147749525466</v>
      </c>
      <c r="B841" s="161" t="s">
        <v>48</v>
      </c>
      <c r="C841" s="162" t="s">
        <v>187</v>
      </c>
      <c r="D841" s="93">
        <v>2.0</v>
      </c>
      <c r="E841" s="93">
        <v>2.0</v>
      </c>
      <c r="F841" s="124" t="s">
        <v>215</v>
      </c>
      <c r="G841" s="129" t="s">
        <v>947</v>
      </c>
      <c r="H841" s="127" t="s">
        <v>430</v>
      </c>
      <c r="I841" s="127" t="s">
        <v>286</v>
      </c>
      <c r="J841" s="124" t="s">
        <v>432</v>
      </c>
      <c r="K841" s="124" t="s">
        <v>60</v>
      </c>
      <c r="L841" s="124" t="s">
        <v>430</v>
      </c>
    </row>
    <row r="842">
      <c r="A842" s="165">
        <v>43744.147749525466</v>
      </c>
      <c r="B842" s="161" t="s">
        <v>48</v>
      </c>
      <c r="C842" s="162" t="s">
        <v>127</v>
      </c>
      <c r="D842" s="93">
        <v>2.0</v>
      </c>
      <c r="E842" s="93">
        <v>3.0</v>
      </c>
      <c r="F842" s="124" t="s">
        <v>284</v>
      </c>
      <c r="G842" s="129" t="s">
        <v>933</v>
      </c>
      <c r="H842" s="127" t="s">
        <v>430</v>
      </c>
      <c r="I842" s="127">
        <v>4.0</v>
      </c>
      <c r="J842" s="124">
        <v>56.0</v>
      </c>
      <c r="K842" s="124" t="s">
        <v>41</v>
      </c>
      <c r="L842" s="124" t="s">
        <v>430</v>
      </c>
    </row>
    <row r="843">
      <c r="A843" s="165">
        <v>43744.147749525466</v>
      </c>
      <c r="B843" s="161" t="s">
        <v>48</v>
      </c>
      <c r="C843" s="162" t="s">
        <v>90</v>
      </c>
      <c r="D843" s="93">
        <v>3.0</v>
      </c>
      <c r="E843" s="93">
        <v>3.0</v>
      </c>
      <c r="F843" s="124" t="s">
        <v>248</v>
      </c>
      <c r="G843" s="129" t="s">
        <v>948</v>
      </c>
      <c r="H843" s="127" t="s">
        <v>430</v>
      </c>
      <c r="I843" s="127">
        <v>-10.0</v>
      </c>
      <c r="J843" s="124" t="s">
        <v>585</v>
      </c>
      <c r="K843" s="124" t="s">
        <v>288</v>
      </c>
      <c r="L843" s="124" t="s">
        <v>430</v>
      </c>
    </row>
    <row r="844">
      <c r="A844" s="165">
        <v>43744.147749525466</v>
      </c>
      <c r="B844" s="161" t="s">
        <v>48</v>
      </c>
      <c r="C844" s="162" t="s">
        <v>176</v>
      </c>
      <c r="D844" s="93">
        <v>5.0</v>
      </c>
      <c r="E844" s="93">
        <v>0.0</v>
      </c>
      <c r="F844" s="124" t="s">
        <v>215</v>
      </c>
      <c r="G844" s="129" t="s">
        <v>949</v>
      </c>
      <c r="H844" s="127" t="s">
        <v>430</v>
      </c>
      <c r="I844" s="127" t="s">
        <v>591</v>
      </c>
      <c r="J844" s="124" t="s">
        <v>387</v>
      </c>
      <c r="K844" s="124" t="s">
        <v>58</v>
      </c>
      <c r="L844" s="124" t="s">
        <v>430</v>
      </c>
    </row>
    <row r="845">
      <c r="A845" s="165">
        <v>43744.147749525466</v>
      </c>
      <c r="B845" s="161" t="s">
        <v>48</v>
      </c>
      <c r="C845" s="162" t="s">
        <v>162</v>
      </c>
      <c r="D845" s="93">
        <v>4.0</v>
      </c>
      <c r="E845" s="93">
        <v>1.0</v>
      </c>
      <c r="F845" s="124" t="s">
        <v>278</v>
      </c>
      <c r="G845" s="129" t="s">
        <v>202</v>
      </c>
      <c r="H845" s="127"/>
      <c r="I845" s="127" t="s">
        <v>203</v>
      </c>
      <c r="J845" s="124" t="s">
        <v>203</v>
      </c>
      <c r="K845" s="124"/>
      <c r="L845" s="124">
        <v>9999.0</v>
      </c>
    </row>
    <row r="846">
      <c r="A846" s="165">
        <v>43744.147749525466</v>
      </c>
      <c r="B846" s="161" t="s">
        <v>48</v>
      </c>
      <c r="C846" s="162" t="s">
        <v>144</v>
      </c>
      <c r="D846" s="93">
        <v>2.0</v>
      </c>
      <c r="E846" s="93">
        <v>3.0</v>
      </c>
      <c r="F846" s="124" t="s">
        <v>248</v>
      </c>
      <c r="G846" s="129" t="s">
        <v>202</v>
      </c>
      <c r="H846" s="127"/>
      <c r="I846" s="127" t="s">
        <v>203</v>
      </c>
      <c r="J846" s="124" t="s">
        <v>203</v>
      </c>
      <c r="K846" s="124"/>
      <c r="L846" s="124">
        <v>9999.0</v>
      </c>
    </row>
    <row r="847">
      <c r="A847" s="165">
        <v>43744.147749525466</v>
      </c>
      <c r="B847" s="161" t="s">
        <v>48</v>
      </c>
      <c r="C847" s="162" t="s">
        <v>33</v>
      </c>
      <c r="D847" s="93">
        <v>2.0</v>
      </c>
      <c r="E847" s="93">
        <v>3.0</v>
      </c>
      <c r="F847" s="124" t="s">
        <v>201</v>
      </c>
      <c r="G847" s="129" t="s">
        <v>202</v>
      </c>
      <c r="H847" s="127"/>
      <c r="I847" s="127" t="s">
        <v>203</v>
      </c>
      <c r="J847" s="124" t="s">
        <v>203</v>
      </c>
      <c r="K847" s="124"/>
      <c r="L847" s="124">
        <v>9999.0</v>
      </c>
    </row>
    <row r="848">
      <c r="A848" s="136" t="s">
        <v>359</v>
      </c>
      <c r="B848" s="159" t="s">
        <v>2</v>
      </c>
      <c r="C848" s="160" t="s">
        <v>227</v>
      </c>
      <c r="D848" s="1" t="s">
        <v>29</v>
      </c>
      <c r="E848" s="1" t="s">
        <v>34</v>
      </c>
      <c r="F848" s="124" t="s">
        <v>261</v>
      </c>
      <c r="G848" s="129" t="s">
        <v>245</v>
      </c>
      <c r="H848" s="127" t="s">
        <v>228</v>
      </c>
      <c r="I848" s="127" t="s">
        <v>229</v>
      </c>
      <c r="J848" s="124" t="s">
        <v>262</v>
      </c>
      <c r="K848" s="124" t="s">
        <v>263</v>
      </c>
      <c r="L848" s="124" t="s">
        <v>264</v>
      </c>
    </row>
    <row r="849">
      <c r="A849" s="165">
        <v>43744.147749525466</v>
      </c>
      <c r="B849" s="161" t="s">
        <v>53</v>
      </c>
      <c r="C849" s="162" t="s">
        <v>157</v>
      </c>
      <c r="D849" s="93">
        <v>3.0</v>
      </c>
      <c r="E849" s="93">
        <v>2.0</v>
      </c>
      <c r="F849" s="124" t="s">
        <v>248</v>
      </c>
      <c r="G849" s="129" t="s">
        <v>944</v>
      </c>
      <c r="H849" s="127" t="s">
        <v>430</v>
      </c>
      <c r="I849" s="127" t="s">
        <v>244</v>
      </c>
      <c r="J849" s="124">
        <v>64.0</v>
      </c>
      <c r="K849" s="124" t="s">
        <v>48</v>
      </c>
      <c r="L849" s="124" t="s">
        <v>430</v>
      </c>
    </row>
    <row r="850">
      <c r="A850" s="165">
        <v>43744.147749525466</v>
      </c>
      <c r="B850" s="161" t="s">
        <v>53</v>
      </c>
      <c r="C850" s="162" t="s">
        <v>100</v>
      </c>
      <c r="D850" s="93">
        <v>5.0</v>
      </c>
      <c r="E850" s="93">
        <v>0.0</v>
      </c>
      <c r="F850" s="124" t="s">
        <v>278</v>
      </c>
      <c r="G850" s="129" t="s">
        <v>950</v>
      </c>
      <c r="H850" s="127" t="s">
        <v>430</v>
      </c>
      <c r="I850" s="127">
        <v>-33.0</v>
      </c>
      <c r="J850" s="124">
        <v>67.0</v>
      </c>
      <c r="K850" s="124" t="s">
        <v>64</v>
      </c>
      <c r="L850" s="124" t="s">
        <v>430</v>
      </c>
    </row>
    <row r="851">
      <c r="A851" s="165">
        <v>43744.147749525466</v>
      </c>
      <c r="B851" s="161" t="s">
        <v>53</v>
      </c>
      <c r="C851" s="162" t="s">
        <v>119</v>
      </c>
      <c r="D851" s="93">
        <v>5.0</v>
      </c>
      <c r="E851" s="93">
        <v>0.0</v>
      </c>
      <c r="F851" s="124" t="s">
        <v>207</v>
      </c>
      <c r="G851" s="129" t="s">
        <v>945</v>
      </c>
      <c r="H851" s="127" t="s">
        <v>430</v>
      </c>
      <c r="I851" s="127">
        <v>-28.0</v>
      </c>
      <c r="J851" s="124">
        <v>56.0</v>
      </c>
      <c r="K851" s="124" t="s">
        <v>48</v>
      </c>
      <c r="L851" s="124" t="s">
        <v>430</v>
      </c>
    </row>
    <row r="852">
      <c r="A852" s="165">
        <v>43744.147749525466</v>
      </c>
      <c r="B852" s="161" t="s">
        <v>53</v>
      </c>
      <c r="C852" s="162" t="s">
        <v>148</v>
      </c>
      <c r="D852" s="93">
        <v>3.0</v>
      </c>
      <c r="E852" s="93">
        <v>3.0</v>
      </c>
      <c r="F852" s="124" t="s">
        <v>267</v>
      </c>
      <c r="G852" s="129" t="s">
        <v>951</v>
      </c>
      <c r="H852" s="127" t="s">
        <v>430</v>
      </c>
      <c r="I852" s="127" t="s">
        <v>674</v>
      </c>
      <c r="J852" s="124" t="s">
        <v>952</v>
      </c>
      <c r="K852" s="124" t="s">
        <v>64</v>
      </c>
      <c r="L852" s="124" t="s">
        <v>430</v>
      </c>
    </row>
    <row r="853">
      <c r="A853" s="165">
        <v>43744.147749525466</v>
      </c>
      <c r="B853" s="161" t="s">
        <v>53</v>
      </c>
      <c r="C853" s="162" t="s">
        <v>191</v>
      </c>
      <c r="D853" s="93">
        <v>2.0</v>
      </c>
      <c r="E853" s="93">
        <v>3.0</v>
      </c>
      <c r="F853" s="124" t="s">
        <v>248</v>
      </c>
      <c r="G853" s="129" t="s">
        <v>953</v>
      </c>
      <c r="H853" s="127" t="s">
        <v>430</v>
      </c>
      <c r="I853" s="127">
        <v>15.0</v>
      </c>
      <c r="J853" s="124">
        <v>64.0</v>
      </c>
      <c r="K853" s="124" t="s">
        <v>69</v>
      </c>
      <c r="L853" s="124" t="s">
        <v>430</v>
      </c>
    </row>
    <row r="854">
      <c r="A854" s="165">
        <v>43744.147749525466</v>
      </c>
      <c r="B854" s="161" t="s">
        <v>53</v>
      </c>
      <c r="C854" s="162" t="s">
        <v>164</v>
      </c>
      <c r="D854" s="93">
        <v>3.0</v>
      </c>
      <c r="E854" s="93">
        <v>2.0</v>
      </c>
      <c r="F854" s="124" t="s">
        <v>273</v>
      </c>
      <c r="G854" s="129" t="s">
        <v>942</v>
      </c>
      <c r="H854" s="127" t="s">
        <v>430</v>
      </c>
      <c r="I854" s="127" t="s">
        <v>620</v>
      </c>
      <c r="J854" s="124" t="s">
        <v>419</v>
      </c>
      <c r="K854" s="124" t="s">
        <v>44</v>
      </c>
      <c r="L854" s="124" t="s">
        <v>430</v>
      </c>
    </row>
    <row r="855">
      <c r="A855" s="165">
        <v>43744.147749525466</v>
      </c>
      <c r="B855" s="161" t="s">
        <v>53</v>
      </c>
      <c r="C855" s="162" t="s">
        <v>136</v>
      </c>
      <c r="D855" s="93">
        <v>4.0</v>
      </c>
      <c r="E855" s="93">
        <v>1.0</v>
      </c>
      <c r="F855" s="124" t="s">
        <v>248</v>
      </c>
      <c r="G855" s="129" t="s">
        <v>954</v>
      </c>
      <c r="H855" s="127" t="s">
        <v>430</v>
      </c>
      <c r="I855" s="127">
        <v>-9.0</v>
      </c>
      <c r="J855" s="124">
        <v>43.0</v>
      </c>
      <c r="K855" s="124" t="s">
        <v>288</v>
      </c>
      <c r="L855" s="124" t="s">
        <v>430</v>
      </c>
    </row>
    <row r="856">
      <c r="A856" s="165">
        <v>43744.147749525466</v>
      </c>
      <c r="B856" s="161" t="s">
        <v>53</v>
      </c>
      <c r="C856" s="162" t="s">
        <v>42</v>
      </c>
      <c r="D856" s="93">
        <v>6.0</v>
      </c>
      <c r="E856" s="93">
        <v>0.0</v>
      </c>
      <c r="F856" s="124" t="s">
        <v>282</v>
      </c>
      <c r="G856" s="129" t="s">
        <v>919</v>
      </c>
      <c r="H856" s="127" t="s">
        <v>541</v>
      </c>
      <c r="I856" s="127">
        <v>-13.0</v>
      </c>
      <c r="J856" s="124">
        <v>63.0</v>
      </c>
      <c r="K856" s="124" t="s">
        <v>27</v>
      </c>
      <c r="L856" s="124" t="s">
        <v>541</v>
      </c>
    </row>
    <row r="857">
      <c r="A857" s="165">
        <v>43744.147749525466</v>
      </c>
      <c r="B857" s="161" t="s">
        <v>53</v>
      </c>
      <c r="C857" s="162" t="s">
        <v>93</v>
      </c>
      <c r="D857" s="93">
        <v>4.0</v>
      </c>
      <c r="E857" s="93">
        <v>1.0</v>
      </c>
      <c r="F857" s="124" t="s">
        <v>285</v>
      </c>
      <c r="G857" s="129" t="s">
        <v>202</v>
      </c>
      <c r="H857" s="127"/>
      <c r="I857" s="127" t="s">
        <v>203</v>
      </c>
      <c r="J857" s="124" t="s">
        <v>203</v>
      </c>
      <c r="K857" s="124"/>
      <c r="L857" s="124">
        <v>9999.0</v>
      </c>
    </row>
    <row r="858">
      <c r="A858" s="165">
        <v>43744.147749525466</v>
      </c>
      <c r="B858" s="161" t="s">
        <v>53</v>
      </c>
      <c r="C858" s="162" t="s">
        <v>179</v>
      </c>
      <c r="D858" s="93">
        <v>3.0</v>
      </c>
      <c r="E858" s="93">
        <v>2.0</v>
      </c>
      <c r="F858" s="124" t="s">
        <v>201</v>
      </c>
      <c r="G858" s="129" t="s">
        <v>202</v>
      </c>
      <c r="H858" s="127"/>
      <c r="I858" s="127" t="s">
        <v>203</v>
      </c>
      <c r="J858" s="124" t="s">
        <v>203</v>
      </c>
      <c r="K858" s="124"/>
      <c r="L858" s="124">
        <v>9999.0</v>
      </c>
    </row>
    <row r="859">
      <c r="A859" s="136" t="s">
        <v>359</v>
      </c>
      <c r="B859" s="115" t="s">
        <v>2</v>
      </c>
      <c r="C859" s="153" t="s">
        <v>227</v>
      </c>
      <c r="D859" s="118" t="s">
        <v>29</v>
      </c>
      <c r="E859" s="118" t="s">
        <v>34</v>
      </c>
      <c r="F859" s="124" t="s">
        <v>261</v>
      </c>
      <c r="G859" s="129" t="s">
        <v>245</v>
      </c>
      <c r="H859" s="127" t="s">
        <v>228</v>
      </c>
      <c r="I859" s="127" t="s">
        <v>229</v>
      </c>
      <c r="J859" s="124" t="s">
        <v>262</v>
      </c>
      <c r="K859" s="124" t="s">
        <v>263</v>
      </c>
      <c r="L859" s="124" t="s">
        <v>264</v>
      </c>
    </row>
    <row r="860">
      <c r="A860" s="165">
        <v>43744.147749525466</v>
      </c>
      <c r="B860" s="161" t="s">
        <v>58</v>
      </c>
      <c r="C860" s="162" t="s">
        <v>110</v>
      </c>
      <c r="D860" s="93">
        <v>4.0</v>
      </c>
      <c r="E860" s="93">
        <v>1.0</v>
      </c>
      <c r="F860" s="124" t="s">
        <v>269</v>
      </c>
      <c r="G860" s="129" t="s">
        <v>955</v>
      </c>
      <c r="H860" s="127" t="s">
        <v>430</v>
      </c>
      <c r="I860" s="127" t="s">
        <v>418</v>
      </c>
      <c r="J860" s="124">
        <v>47.0</v>
      </c>
      <c r="K860" s="124" t="s">
        <v>62</v>
      </c>
      <c r="L860" s="124" t="s">
        <v>430</v>
      </c>
    </row>
    <row r="861">
      <c r="A861" s="165">
        <v>43744.147749525466</v>
      </c>
      <c r="B861" s="161" t="s">
        <v>58</v>
      </c>
      <c r="C861" s="162" t="s">
        <v>45</v>
      </c>
      <c r="D861" s="93">
        <v>2.0</v>
      </c>
      <c r="E861" s="93">
        <v>3.0</v>
      </c>
      <c r="F861" s="124" t="s">
        <v>282</v>
      </c>
      <c r="G861" s="129" t="s">
        <v>956</v>
      </c>
      <c r="H861" s="127" t="s">
        <v>430</v>
      </c>
      <c r="I861" s="127" t="s">
        <v>431</v>
      </c>
      <c r="J861" s="124">
        <v>52.0</v>
      </c>
      <c r="K861" s="124" t="s">
        <v>74</v>
      </c>
      <c r="L861" s="124" t="s">
        <v>430</v>
      </c>
    </row>
    <row r="862">
      <c r="A862" s="165">
        <v>43744.147749525466</v>
      </c>
      <c r="B862" s="161" t="s">
        <v>58</v>
      </c>
      <c r="C862" s="162" t="s">
        <v>140</v>
      </c>
      <c r="D862" s="93">
        <v>2.0</v>
      </c>
      <c r="E862" s="93">
        <v>4.0</v>
      </c>
      <c r="F862" s="124" t="s">
        <v>267</v>
      </c>
      <c r="G862" s="129" t="s">
        <v>932</v>
      </c>
      <c r="H862" s="127" t="s">
        <v>643</v>
      </c>
      <c r="I862" s="127" t="s">
        <v>418</v>
      </c>
      <c r="J862" s="124" t="s">
        <v>237</v>
      </c>
      <c r="K862" s="124" t="s">
        <v>41</v>
      </c>
      <c r="L862" s="124" t="s">
        <v>643</v>
      </c>
    </row>
    <row r="863">
      <c r="A863" s="165">
        <v>43744.147749525466</v>
      </c>
      <c r="B863" s="161" t="s">
        <v>58</v>
      </c>
      <c r="C863" s="162" t="s">
        <v>96</v>
      </c>
      <c r="D863" s="93">
        <v>5.0</v>
      </c>
      <c r="E863" s="93">
        <v>0.0</v>
      </c>
      <c r="F863" s="124" t="s">
        <v>248</v>
      </c>
      <c r="G863" s="129" t="s">
        <v>957</v>
      </c>
      <c r="H863" s="127" t="s">
        <v>430</v>
      </c>
      <c r="I863" s="127">
        <v>2.0</v>
      </c>
      <c r="J863" s="124" t="s">
        <v>507</v>
      </c>
      <c r="K863" s="124" t="s">
        <v>74</v>
      </c>
      <c r="L863" s="124" t="s">
        <v>430</v>
      </c>
    </row>
    <row r="864">
      <c r="A864" s="165">
        <v>43744.147749525466</v>
      </c>
      <c r="B864" s="161" t="s">
        <v>58</v>
      </c>
      <c r="C864" s="162" t="s">
        <v>135</v>
      </c>
      <c r="D864" s="93">
        <v>3.0</v>
      </c>
      <c r="E864" s="93">
        <v>2.0</v>
      </c>
      <c r="F864" s="124" t="s">
        <v>248</v>
      </c>
      <c r="G864" s="129" t="s">
        <v>926</v>
      </c>
      <c r="H864" s="127" t="s">
        <v>430</v>
      </c>
      <c r="I864" s="127" t="s">
        <v>379</v>
      </c>
      <c r="J864" s="124" t="s">
        <v>637</v>
      </c>
      <c r="K864" s="124" t="s">
        <v>38</v>
      </c>
      <c r="L864" s="124" t="s">
        <v>430</v>
      </c>
    </row>
    <row r="865">
      <c r="A865" s="165">
        <v>43744.147749525466</v>
      </c>
      <c r="B865" s="161" t="s">
        <v>58</v>
      </c>
      <c r="C865" s="162" t="s">
        <v>183</v>
      </c>
      <c r="D865" s="93">
        <v>1.0</v>
      </c>
      <c r="E865" s="93">
        <v>4.0</v>
      </c>
      <c r="F865" s="124" t="s">
        <v>287</v>
      </c>
      <c r="G865" s="129" t="s">
        <v>949</v>
      </c>
      <c r="H865" s="127" t="s">
        <v>430</v>
      </c>
      <c r="I865" s="127" t="s">
        <v>634</v>
      </c>
      <c r="J865" s="124" t="s">
        <v>387</v>
      </c>
      <c r="K865" s="124" t="s">
        <v>48</v>
      </c>
      <c r="L865" s="124" t="s">
        <v>430</v>
      </c>
    </row>
    <row r="866">
      <c r="A866" s="165">
        <v>43744.147749525466</v>
      </c>
      <c r="B866" s="161" t="s">
        <v>58</v>
      </c>
      <c r="C866" s="162" t="s">
        <v>165</v>
      </c>
      <c r="D866" s="93">
        <v>4.0</v>
      </c>
      <c r="E866" s="93">
        <v>1.0</v>
      </c>
      <c r="F866" s="124" t="s">
        <v>273</v>
      </c>
      <c r="G866" s="129" t="s">
        <v>920</v>
      </c>
      <c r="H866" s="127" t="s">
        <v>430</v>
      </c>
      <c r="I866" s="127">
        <v>-18.0</v>
      </c>
      <c r="J866" s="124" t="s">
        <v>482</v>
      </c>
      <c r="K866" s="124" t="s">
        <v>27</v>
      </c>
      <c r="L866" s="124" t="s">
        <v>430</v>
      </c>
    </row>
    <row r="867">
      <c r="A867" s="165">
        <v>43744.147749525466</v>
      </c>
      <c r="B867" s="161" t="s">
        <v>58</v>
      </c>
      <c r="C867" s="162" t="s">
        <v>72</v>
      </c>
      <c r="D867" s="93">
        <v>3.0</v>
      </c>
      <c r="E867" s="93">
        <v>2.0</v>
      </c>
      <c r="F867" s="124" t="s">
        <v>284</v>
      </c>
      <c r="G867" s="129" t="s">
        <v>935</v>
      </c>
      <c r="H867" s="127" t="s">
        <v>430</v>
      </c>
      <c r="I867" s="127">
        <v>-4.0</v>
      </c>
      <c r="J867" s="124" t="s">
        <v>585</v>
      </c>
      <c r="K867" s="124" t="s">
        <v>41</v>
      </c>
      <c r="L867" s="124" t="s">
        <v>430</v>
      </c>
    </row>
    <row r="868">
      <c r="A868" s="165">
        <v>43744.147749525466</v>
      </c>
      <c r="B868" s="161" t="s">
        <v>58</v>
      </c>
      <c r="C868" s="162" t="s">
        <v>158</v>
      </c>
      <c r="D868" s="93">
        <v>1.0</v>
      </c>
      <c r="E868" s="93">
        <v>4.0</v>
      </c>
      <c r="F868" s="124" t="s">
        <v>266</v>
      </c>
      <c r="G868" s="129" t="s">
        <v>943</v>
      </c>
      <c r="H868" s="127" t="s">
        <v>430</v>
      </c>
      <c r="I868" s="127">
        <v>23.0</v>
      </c>
      <c r="J868" s="124" t="s">
        <v>546</v>
      </c>
      <c r="K868" s="124" t="s">
        <v>44</v>
      </c>
      <c r="L868" s="124" t="s">
        <v>430</v>
      </c>
    </row>
    <row r="869">
      <c r="A869" s="165">
        <v>43744.147749525466</v>
      </c>
      <c r="B869" s="161" t="s">
        <v>58</v>
      </c>
      <c r="C869" s="162" t="s">
        <v>186</v>
      </c>
      <c r="D869" s="93">
        <v>4.0</v>
      </c>
      <c r="E869" s="93">
        <v>0.0</v>
      </c>
      <c r="F869" s="124" t="s">
        <v>248</v>
      </c>
      <c r="G869" s="129" t="s">
        <v>202</v>
      </c>
      <c r="H869" s="127"/>
      <c r="I869" s="127" t="s">
        <v>203</v>
      </c>
      <c r="J869" s="124" t="s">
        <v>203</v>
      </c>
      <c r="K869" s="124"/>
      <c r="L869" s="124">
        <v>9999.0</v>
      </c>
    </row>
    <row r="870">
      <c r="A870" s="136" t="s">
        <v>359</v>
      </c>
      <c r="B870" s="115" t="s">
        <v>2</v>
      </c>
      <c r="C870" s="153" t="s">
        <v>227</v>
      </c>
      <c r="D870" s="118" t="s">
        <v>29</v>
      </c>
      <c r="E870" s="118" t="s">
        <v>34</v>
      </c>
      <c r="F870" s="124" t="s">
        <v>261</v>
      </c>
      <c r="G870" s="129" t="s">
        <v>245</v>
      </c>
      <c r="H870" s="127" t="s">
        <v>228</v>
      </c>
      <c r="I870" s="127" t="s">
        <v>229</v>
      </c>
      <c r="J870" s="124" t="s">
        <v>262</v>
      </c>
      <c r="K870" s="124" t="s">
        <v>263</v>
      </c>
      <c r="L870" s="124" t="s">
        <v>264</v>
      </c>
    </row>
    <row r="871">
      <c r="A871" s="165">
        <v>43744.147749525466</v>
      </c>
      <c r="B871" s="161" t="s">
        <v>60</v>
      </c>
      <c r="C871" s="162" t="s">
        <v>59</v>
      </c>
      <c r="D871" s="93">
        <v>4.0</v>
      </c>
      <c r="E871" s="93">
        <v>2.0</v>
      </c>
      <c r="F871" s="124" t="s">
        <v>201</v>
      </c>
      <c r="G871" s="129" t="s">
        <v>958</v>
      </c>
      <c r="H871" s="127" t="s">
        <v>430</v>
      </c>
      <c r="I871" s="127">
        <v>-4.0</v>
      </c>
      <c r="J871" s="124">
        <v>60.0</v>
      </c>
      <c r="K871" s="124" t="s">
        <v>62</v>
      </c>
      <c r="L871" s="124" t="s">
        <v>430</v>
      </c>
    </row>
    <row r="872">
      <c r="A872" s="165">
        <v>43744.147749525466</v>
      </c>
      <c r="B872" s="161" t="s">
        <v>60</v>
      </c>
      <c r="C872" s="162" t="s">
        <v>175</v>
      </c>
      <c r="D872" s="93">
        <v>6.0</v>
      </c>
      <c r="E872" s="93">
        <v>0.0</v>
      </c>
      <c r="F872" s="124" t="s">
        <v>201</v>
      </c>
      <c r="G872" s="129" t="s">
        <v>959</v>
      </c>
      <c r="H872" s="127" t="s">
        <v>430</v>
      </c>
      <c r="I872" s="127">
        <v>3.0</v>
      </c>
      <c r="J872" s="124">
        <v>48.0</v>
      </c>
      <c r="K872" s="124" t="s">
        <v>74</v>
      </c>
      <c r="L872" s="124" t="s">
        <v>430</v>
      </c>
    </row>
    <row r="873">
      <c r="A873" s="165">
        <v>43744.147749525466</v>
      </c>
      <c r="B873" s="161" t="s">
        <v>60</v>
      </c>
      <c r="C873" s="162" t="s">
        <v>103</v>
      </c>
      <c r="D873" s="93">
        <v>4.0</v>
      </c>
      <c r="E873" s="93">
        <v>1.0</v>
      </c>
      <c r="F873" s="124" t="s">
        <v>260</v>
      </c>
      <c r="G873" s="129" t="s">
        <v>946</v>
      </c>
      <c r="H873" s="127" t="s">
        <v>430</v>
      </c>
      <c r="I873" s="127">
        <v>-11.0</v>
      </c>
      <c r="J873" s="124" t="s">
        <v>397</v>
      </c>
      <c r="K873" s="124" t="s">
        <v>48</v>
      </c>
      <c r="L873" s="124" t="s">
        <v>430</v>
      </c>
    </row>
    <row r="874">
      <c r="A874" s="165">
        <v>43744.147749525466</v>
      </c>
      <c r="B874" s="161" t="s">
        <v>60</v>
      </c>
      <c r="C874" s="162" t="s">
        <v>189</v>
      </c>
      <c r="D874" s="93">
        <v>3.0</v>
      </c>
      <c r="E874" s="93">
        <v>2.0</v>
      </c>
      <c r="F874" s="124" t="s">
        <v>267</v>
      </c>
      <c r="G874" s="129" t="s">
        <v>947</v>
      </c>
      <c r="H874" s="127" t="s">
        <v>430</v>
      </c>
      <c r="I874" s="127" t="s">
        <v>257</v>
      </c>
      <c r="J874" s="124" t="s">
        <v>432</v>
      </c>
      <c r="K874" s="124" t="s">
        <v>48</v>
      </c>
      <c r="L874" s="124" t="s">
        <v>430</v>
      </c>
    </row>
    <row r="875">
      <c r="A875" s="165">
        <v>43744.147749525466</v>
      </c>
      <c r="B875" s="161" t="s">
        <v>60</v>
      </c>
      <c r="C875" s="162" t="s">
        <v>149</v>
      </c>
      <c r="D875" s="93">
        <v>3.0</v>
      </c>
      <c r="E875" s="93">
        <v>2.0</v>
      </c>
      <c r="F875" s="124" t="s">
        <v>273</v>
      </c>
      <c r="G875" s="129" t="s">
        <v>941</v>
      </c>
      <c r="H875" s="127" t="s">
        <v>430</v>
      </c>
      <c r="I875" s="127" t="s">
        <v>379</v>
      </c>
      <c r="J875" s="124" t="s">
        <v>637</v>
      </c>
      <c r="K875" s="124" t="s">
        <v>44</v>
      </c>
      <c r="L875" s="124" t="s">
        <v>430</v>
      </c>
    </row>
    <row r="876">
      <c r="A876" s="165">
        <v>43744.147749525466</v>
      </c>
      <c r="B876" s="161" t="s">
        <v>60</v>
      </c>
      <c r="C876" s="162" t="s">
        <v>117</v>
      </c>
      <c r="D876" s="93">
        <v>1.0</v>
      </c>
      <c r="E876" s="93">
        <v>4.0</v>
      </c>
      <c r="F876" s="124" t="s">
        <v>266</v>
      </c>
      <c r="G876" s="129" t="s">
        <v>918</v>
      </c>
      <c r="H876" s="127" t="s">
        <v>430</v>
      </c>
      <c r="I876" s="127" t="s">
        <v>257</v>
      </c>
      <c r="J876" s="124" t="s">
        <v>394</v>
      </c>
      <c r="K876" s="124" t="s">
        <v>27</v>
      </c>
      <c r="L876" s="124" t="s">
        <v>430</v>
      </c>
    </row>
    <row r="877">
      <c r="A877" s="165">
        <v>43744.147749525466</v>
      </c>
      <c r="B877" s="161" t="s">
        <v>60</v>
      </c>
      <c r="C877" s="162" t="s">
        <v>123</v>
      </c>
      <c r="D877" s="93">
        <v>2.0</v>
      </c>
      <c r="E877" s="93">
        <v>3.0</v>
      </c>
      <c r="F877" s="124" t="s">
        <v>248</v>
      </c>
      <c r="G877" s="129" t="s">
        <v>960</v>
      </c>
      <c r="H877" s="127" t="s">
        <v>430</v>
      </c>
      <c r="I877" s="127" t="s">
        <v>908</v>
      </c>
      <c r="J877" s="124">
        <v>67.0</v>
      </c>
      <c r="K877" s="124" t="s">
        <v>288</v>
      </c>
      <c r="L877" s="124" t="s">
        <v>430</v>
      </c>
    </row>
    <row r="878">
      <c r="A878" s="165">
        <v>43744.147749525466</v>
      </c>
      <c r="B878" s="161" t="s">
        <v>60</v>
      </c>
      <c r="C878" s="162" t="s">
        <v>166</v>
      </c>
      <c r="D878" s="93">
        <v>2.0</v>
      </c>
      <c r="E878" s="93">
        <v>3.0</v>
      </c>
      <c r="F878" s="124" t="s">
        <v>778</v>
      </c>
      <c r="G878" s="129" t="s">
        <v>936</v>
      </c>
      <c r="H878" s="127" t="s">
        <v>430</v>
      </c>
      <c r="I878" s="127" t="s">
        <v>376</v>
      </c>
      <c r="J878" s="124" t="s">
        <v>473</v>
      </c>
      <c r="K878" s="124" t="s">
        <v>41</v>
      </c>
      <c r="L878" s="124" t="s">
        <v>430</v>
      </c>
    </row>
    <row r="879">
      <c r="A879" s="165">
        <v>43744.147749525466</v>
      </c>
      <c r="B879" s="161" t="s">
        <v>60</v>
      </c>
      <c r="C879" s="162" t="s">
        <v>137</v>
      </c>
      <c r="D879" s="93">
        <v>0.0</v>
      </c>
      <c r="E879" s="93">
        <v>5.0</v>
      </c>
      <c r="F879" s="124" t="s">
        <v>267</v>
      </c>
      <c r="G879" s="129" t="s">
        <v>202</v>
      </c>
      <c r="H879" s="127"/>
      <c r="I879" s="127" t="s">
        <v>203</v>
      </c>
      <c r="J879" s="124" t="s">
        <v>203</v>
      </c>
      <c r="K879" s="124"/>
      <c r="L879" s="124">
        <v>9999.0</v>
      </c>
    </row>
    <row r="880">
      <c r="A880" s="165">
        <v>43744.147749525466</v>
      </c>
      <c r="B880" s="161" t="s">
        <v>60</v>
      </c>
      <c r="C880" s="162" t="s">
        <v>95</v>
      </c>
      <c r="D880" s="93">
        <v>5.0</v>
      </c>
      <c r="E880" s="93">
        <v>0.0</v>
      </c>
      <c r="F880" s="124" t="s">
        <v>248</v>
      </c>
      <c r="G880" s="129" t="s">
        <v>202</v>
      </c>
      <c r="H880" s="127"/>
      <c r="I880" s="127" t="s">
        <v>203</v>
      </c>
      <c r="J880" s="124" t="s">
        <v>203</v>
      </c>
      <c r="K880" s="124"/>
      <c r="L880" s="124">
        <v>9999.0</v>
      </c>
    </row>
    <row r="881">
      <c r="A881" s="136" t="s">
        <v>359</v>
      </c>
      <c r="B881" s="115" t="s">
        <v>2</v>
      </c>
      <c r="C881" s="153" t="s">
        <v>227</v>
      </c>
      <c r="D881" s="118" t="s">
        <v>29</v>
      </c>
      <c r="E881" s="118" t="s">
        <v>34</v>
      </c>
      <c r="F881" s="124" t="s">
        <v>261</v>
      </c>
      <c r="G881" s="129" t="s">
        <v>245</v>
      </c>
      <c r="H881" s="127" t="s">
        <v>228</v>
      </c>
      <c r="I881" s="127" t="s">
        <v>229</v>
      </c>
      <c r="J881" s="124" t="s">
        <v>262</v>
      </c>
      <c r="K881" s="124" t="s">
        <v>263</v>
      </c>
      <c r="L881" s="124" t="s">
        <v>264</v>
      </c>
    </row>
    <row r="882">
      <c r="A882" s="165">
        <v>43744.147749525466</v>
      </c>
      <c r="B882" s="161" t="s">
        <v>62</v>
      </c>
      <c r="C882" s="162" t="s">
        <v>192</v>
      </c>
      <c r="D882" s="93">
        <v>1.0</v>
      </c>
      <c r="E882" s="93">
        <v>5.0</v>
      </c>
      <c r="F882" s="124" t="s">
        <v>242</v>
      </c>
      <c r="G882" s="129" t="s">
        <v>937</v>
      </c>
      <c r="H882" s="127" t="s">
        <v>639</v>
      </c>
      <c r="I882" s="127">
        <v>10.0</v>
      </c>
      <c r="J882" s="124">
        <v>46.0</v>
      </c>
      <c r="K882" s="124" t="s">
        <v>44</v>
      </c>
      <c r="L882" s="124" t="s">
        <v>639</v>
      </c>
    </row>
    <row r="883">
      <c r="A883" s="165">
        <v>43744.147749525466</v>
      </c>
      <c r="B883" s="161" t="s">
        <v>62</v>
      </c>
      <c r="C883" s="162" t="s">
        <v>5</v>
      </c>
      <c r="D883" s="93">
        <v>4.0</v>
      </c>
      <c r="E883" s="93">
        <v>1.0</v>
      </c>
      <c r="F883" s="124" t="s">
        <v>242</v>
      </c>
      <c r="G883" s="129" t="s">
        <v>958</v>
      </c>
      <c r="H883" s="127" t="s">
        <v>430</v>
      </c>
      <c r="I883" s="127">
        <v>4.0</v>
      </c>
      <c r="J883" s="124">
        <v>60.0</v>
      </c>
      <c r="K883" s="124" t="s">
        <v>60</v>
      </c>
      <c r="L883" s="124" t="s">
        <v>430</v>
      </c>
    </row>
    <row r="884">
      <c r="A884" s="165">
        <v>43744.147749525466</v>
      </c>
      <c r="B884" s="161" t="s">
        <v>62</v>
      </c>
      <c r="C884" s="162" t="s">
        <v>143</v>
      </c>
      <c r="D884" s="93">
        <v>2.0</v>
      </c>
      <c r="E884" s="93">
        <v>3.0</v>
      </c>
      <c r="F884" s="124" t="s">
        <v>784</v>
      </c>
      <c r="G884" s="129" t="s">
        <v>938</v>
      </c>
      <c r="H884" s="127" t="s">
        <v>430</v>
      </c>
      <c r="I884" s="127" t="s">
        <v>549</v>
      </c>
      <c r="J884" s="124" t="s">
        <v>276</v>
      </c>
      <c r="K884" s="124" t="s">
        <v>44</v>
      </c>
      <c r="L884" s="124" t="s">
        <v>430</v>
      </c>
    </row>
    <row r="885">
      <c r="A885" s="165">
        <v>43744.147749525466</v>
      </c>
      <c r="B885" s="161" t="s">
        <v>62</v>
      </c>
      <c r="C885" s="162" t="s">
        <v>112</v>
      </c>
      <c r="D885" s="93">
        <v>4.0</v>
      </c>
      <c r="E885" s="93">
        <v>1.0</v>
      </c>
      <c r="F885" s="124" t="s">
        <v>248</v>
      </c>
      <c r="G885" s="129" t="s">
        <v>955</v>
      </c>
      <c r="H885" s="127" t="s">
        <v>430</v>
      </c>
      <c r="I885" s="127" t="s">
        <v>379</v>
      </c>
      <c r="J885" s="124">
        <v>47.0</v>
      </c>
      <c r="K885" s="124" t="s">
        <v>58</v>
      </c>
      <c r="L885" s="124" t="s">
        <v>430</v>
      </c>
    </row>
    <row r="886">
      <c r="A886" s="165">
        <v>43744.147749525466</v>
      </c>
      <c r="B886" s="161" t="s">
        <v>62</v>
      </c>
      <c r="C886" s="162" t="s">
        <v>102</v>
      </c>
      <c r="D886" s="93">
        <v>3.0</v>
      </c>
      <c r="E886" s="93">
        <v>2.0</v>
      </c>
      <c r="F886" s="124" t="s">
        <v>266</v>
      </c>
      <c r="G886" s="129" t="s">
        <v>925</v>
      </c>
      <c r="H886" s="127" t="s">
        <v>430</v>
      </c>
      <c r="I886" s="127" t="s">
        <v>418</v>
      </c>
      <c r="J886" s="124">
        <v>45.0</v>
      </c>
      <c r="K886" s="124" t="s">
        <v>38</v>
      </c>
      <c r="L886" s="124" t="s">
        <v>430</v>
      </c>
    </row>
    <row r="887">
      <c r="A887" s="165">
        <v>43744.147749525466</v>
      </c>
      <c r="B887" s="161" t="s">
        <v>62</v>
      </c>
      <c r="C887" s="162" t="s">
        <v>171</v>
      </c>
      <c r="D887" s="93">
        <v>4.0</v>
      </c>
      <c r="E887" s="93">
        <v>2.0</v>
      </c>
      <c r="F887" s="124" t="s">
        <v>273</v>
      </c>
      <c r="G887" s="129" t="s">
        <v>961</v>
      </c>
      <c r="H887" s="127" t="s">
        <v>430</v>
      </c>
      <c r="I887" s="127" t="s">
        <v>523</v>
      </c>
      <c r="J887" s="124">
        <v>52.0</v>
      </c>
      <c r="K887" s="124" t="s">
        <v>74</v>
      </c>
      <c r="L887" s="124" t="s">
        <v>430</v>
      </c>
    </row>
    <row r="888">
      <c r="A888" s="165">
        <v>43744.147749525466</v>
      </c>
      <c r="B888" s="161" t="s">
        <v>62</v>
      </c>
      <c r="C888" s="162" t="s">
        <v>92</v>
      </c>
      <c r="D888" s="93">
        <v>3.0</v>
      </c>
      <c r="E888" s="93">
        <v>2.0</v>
      </c>
      <c r="F888" s="124" t="s">
        <v>207</v>
      </c>
      <c r="G888" s="129" t="s">
        <v>202</v>
      </c>
      <c r="H888" s="127"/>
      <c r="I888" s="127" t="s">
        <v>203</v>
      </c>
      <c r="J888" s="124" t="s">
        <v>203</v>
      </c>
      <c r="K888" s="124"/>
      <c r="L888" s="124">
        <v>9999.0</v>
      </c>
    </row>
    <row r="889">
      <c r="A889" s="165">
        <v>43744.147749525466</v>
      </c>
      <c r="B889" s="161" t="s">
        <v>62</v>
      </c>
      <c r="C889" s="162" t="s">
        <v>184</v>
      </c>
      <c r="D889" s="93">
        <v>3.0</v>
      </c>
      <c r="E889" s="93">
        <v>2.0</v>
      </c>
      <c r="F889" s="124" t="s">
        <v>784</v>
      </c>
      <c r="G889" s="129" t="s">
        <v>202</v>
      </c>
      <c r="H889" s="127"/>
      <c r="I889" s="127" t="s">
        <v>203</v>
      </c>
      <c r="J889" s="124" t="s">
        <v>203</v>
      </c>
      <c r="K889" s="124"/>
      <c r="L889" s="124">
        <v>9999.0</v>
      </c>
    </row>
    <row r="890">
      <c r="A890" s="165">
        <v>43744.147749525466</v>
      </c>
      <c r="B890" s="161" t="s">
        <v>62</v>
      </c>
      <c r="C890" s="162" t="s">
        <v>128</v>
      </c>
      <c r="D890" s="93">
        <v>2.0</v>
      </c>
      <c r="E890" s="93">
        <v>3.0</v>
      </c>
      <c r="F890" s="124" t="s">
        <v>718</v>
      </c>
      <c r="G890" s="129" t="s">
        <v>202</v>
      </c>
      <c r="H890" s="127"/>
      <c r="I890" s="127" t="s">
        <v>203</v>
      </c>
      <c r="J890" s="124" t="s">
        <v>203</v>
      </c>
      <c r="K890" s="124"/>
      <c r="L890" s="124">
        <v>9999.0</v>
      </c>
    </row>
    <row r="891">
      <c r="A891" s="165">
        <v>43744.147749525466</v>
      </c>
      <c r="B891" s="161" t="s">
        <v>62</v>
      </c>
      <c r="C891" s="162" t="s">
        <v>153</v>
      </c>
      <c r="D891" s="93">
        <v>4.0</v>
      </c>
      <c r="E891" s="93">
        <v>1.0</v>
      </c>
      <c r="F891" s="124" t="s">
        <v>273</v>
      </c>
      <c r="G891" s="129" t="s">
        <v>202</v>
      </c>
      <c r="H891" s="127"/>
      <c r="I891" s="127" t="s">
        <v>203</v>
      </c>
      <c r="J891" s="124" t="s">
        <v>203</v>
      </c>
      <c r="K891" s="124"/>
      <c r="L891" s="124">
        <v>9999.0</v>
      </c>
    </row>
    <row r="892">
      <c r="A892" s="136" t="s">
        <v>359</v>
      </c>
      <c r="B892" s="115" t="s">
        <v>2</v>
      </c>
      <c r="C892" s="153" t="s">
        <v>227</v>
      </c>
      <c r="D892" s="118" t="s">
        <v>29</v>
      </c>
      <c r="E892" s="118" t="s">
        <v>34</v>
      </c>
      <c r="F892" s="124" t="s">
        <v>261</v>
      </c>
      <c r="G892" s="129" t="s">
        <v>245</v>
      </c>
      <c r="H892" s="127" t="s">
        <v>228</v>
      </c>
      <c r="I892" s="127" t="s">
        <v>229</v>
      </c>
      <c r="J892" s="124" t="s">
        <v>262</v>
      </c>
      <c r="K892" s="124" t="s">
        <v>263</v>
      </c>
      <c r="L892" s="124" t="s">
        <v>264</v>
      </c>
    </row>
    <row r="893">
      <c r="A893" s="165">
        <v>43744.147749525466</v>
      </c>
      <c r="B893" s="161" t="s">
        <v>64</v>
      </c>
      <c r="C893" s="162" t="s">
        <v>49</v>
      </c>
      <c r="D893" s="93">
        <v>4.0</v>
      </c>
      <c r="E893" s="93">
        <v>1.0</v>
      </c>
      <c r="F893" s="124" t="s">
        <v>260</v>
      </c>
      <c r="G893" s="129" t="s">
        <v>922</v>
      </c>
      <c r="H893" s="127" t="s">
        <v>430</v>
      </c>
      <c r="I893" s="127" t="s">
        <v>518</v>
      </c>
      <c r="J893" s="124">
        <v>49.0</v>
      </c>
      <c r="K893" s="124" t="s">
        <v>38</v>
      </c>
      <c r="L893" s="124" t="s">
        <v>430</v>
      </c>
    </row>
    <row r="894">
      <c r="A894" s="165">
        <v>43744.147749525466</v>
      </c>
      <c r="B894" s="161" t="s">
        <v>64</v>
      </c>
      <c r="C894" s="162" t="s">
        <v>98</v>
      </c>
      <c r="D894" s="93">
        <v>2.0</v>
      </c>
      <c r="E894" s="93">
        <v>4.0</v>
      </c>
      <c r="F894" s="124" t="s">
        <v>285</v>
      </c>
      <c r="G894" s="129" t="s">
        <v>950</v>
      </c>
      <c r="H894" s="127" t="s">
        <v>430</v>
      </c>
      <c r="I894" s="127">
        <v>33.0</v>
      </c>
      <c r="J894" s="124">
        <v>67.0</v>
      </c>
      <c r="K894" s="124" t="s">
        <v>53</v>
      </c>
      <c r="L894" s="124" t="s">
        <v>430</v>
      </c>
    </row>
    <row r="895">
      <c r="A895" s="165">
        <v>43744.147749525466</v>
      </c>
      <c r="B895" s="161" t="s">
        <v>64</v>
      </c>
      <c r="C895" s="162" t="s">
        <v>196</v>
      </c>
      <c r="D895" s="93">
        <v>3.0</v>
      </c>
      <c r="E895" s="93">
        <v>2.0</v>
      </c>
      <c r="F895" s="124" t="s">
        <v>355</v>
      </c>
      <c r="G895" s="129" t="s">
        <v>931</v>
      </c>
      <c r="H895" s="127" t="s">
        <v>430</v>
      </c>
      <c r="I895" s="127">
        <v>3.0</v>
      </c>
      <c r="J895" s="124" t="s">
        <v>519</v>
      </c>
      <c r="K895" s="124" t="s">
        <v>41</v>
      </c>
      <c r="L895" s="124" t="s">
        <v>430</v>
      </c>
    </row>
    <row r="896">
      <c r="A896" s="165">
        <v>43744.147749525466</v>
      </c>
      <c r="B896" s="161" t="s">
        <v>64</v>
      </c>
      <c r="C896" s="162" t="s">
        <v>147</v>
      </c>
      <c r="D896" s="93">
        <v>4.0</v>
      </c>
      <c r="E896" s="93">
        <v>1.0</v>
      </c>
      <c r="F896" s="124" t="s">
        <v>282</v>
      </c>
      <c r="G896" s="129" t="s">
        <v>951</v>
      </c>
      <c r="H896" s="127" t="s">
        <v>430</v>
      </c>
      <c r="I896" s="127" t="s">
        <v>694</v>
      </c>
      <c r="J896" s="124" t="s">
        <v>952</v>
      </c>
      <c r="K896" s="124" t="s">
        <v>53</v>
      </c>
      <c r="L896" s="124" t="s">
        <v>430</v>
      </c>
    </row>
    <row r="897">
      <c r="A897" s="165">
        <v>43744.147749525466</v>
      </c>
      <c r="B897" s="161" t="s">
        <v>64</v>
      </c>
      <c r="C897" s="162" t="s">
        <v>115</v>
      </c>
      <c r="D897" s="93">
        <v>5.0</v>
      </c>
      <c r="E897" s="93">
        <v>0.0</v>
      </c>
      <c r="F897" s="124" t="s">
        <v>266</v>
      </c>
      <c r="G897" s="129" t="s">
        <v>962</v>
      </c>
      <c r="H897" s="127" t="s">
        <v>430</v>
      </c>
      <c r="I897" s="127">
        <v>-14.0</v>
      </c>
      <c r="J897" s="124">
        <v>58.0</v>
      </c>
      <c r="K897" s="124" t="s">
        <v>288</v>
      </c>
      <c r="L897" s="124" t="s">
        <v>430</v>
      </c>
    </row>
    <row r="898">
      <c r="A898" s="165">
        <v>43744.147749525466</v>
      </c>
      <c r="B898" s="161" t="s">
        <v>64</v>
      </c>
      <c r="C898" s="162" t="s">
        <v>131</v>
      </c>
      <c r="D898" s="93">
        <v>3.0</v>
      </c>
      <c r="E898" s="93">
        <v>2.0</v>
      </c>
      <c r="F898" s="124" t="s">
        <v>248</v>
      </c>
      <c r="G898" s="129" t="s">
        <v>202</v>
      </c>
      <c r="H898" s="127"/>
      <c r="I898" s="127" t="s">
        <v>203</v>
      </c>
      <c r="J898" s="124" t="s">
        <v>203</v>
      </c>
      <c r="K898" s="124"/>
      <c r="L898" s="124">
        <v>9999.0</v>
      </c>
    </row>
    <row r="899">
      <c r="A899" s="165">
        <v>43744.147749525466</v>
      </c>
      <c r="B899" s="161" t="s">
        <v>64</v>
      </c>
      <c r="C899" s="162" t="s">
        <v>154</v>
      </c>
      <c r="D899" s="93">
        <v>3.0</v>
      </c>
      <c r="E899" s="93">
        <v>2.0</v>
      </c>
      <c r="F899" s="124" t="s">
        <v>282</v>
      </c>
      <c r="G899" s="129" t="s">
        <v>202</v>
      </c>
      <c r="H899" s="127"/>
      <c r="I899" s="127" t="s">
        <v>203</v>
      </c>
      <c r="J899" s="124" t="s">
        <v>203</v>
      </c>
      <c r="K899" s="124"/>
      <c r="L899" s="124">
        <v>9999.0</v>
      </c>
    </row>
    <row r="900">
      <c r="A900" s="165">
        <v>43744.147749525466</v>
      </c>
      <c r="B900" s="161" t="s">
        <v>64</v>
      </c>
      <c r="C900" s="162" t="s">
        <v>76</v>
      </c>
      <c r="D900" s="93">
        <v>3.0</v>
      </c>
      <c r="E900" s="93">
        <v>2.0</v>
      </c>
      <c r="F900" s="124" t="s">
        <v>285</v>
      </c>
      <c r="G900" s="129" t="s">
        <v>202</v>
      </c>
      <c r="H900" s="127"/>
      <c r="I900" s="127" t="s">
        <v>203</v>
      </c>
      <c r="J900" s="124" t="s">
        <v>203</v>
      </c>
      <c r="K900" s="124"/>
      <c r="L900" s="124">
        <v>9999.0</v>
      </c>
    </row>
    <row r="901">
      <c r="A901" s="165">
        <v>43744.147749525466</v>
      </c>
      <c r="B901" s="161" t="s">
        <v>64</v>
      </c>
      <c r="C901" s="162" t="s">
        <v>177</v>
      </c>
      <c r="D901" s="93">
        <v>2.0</v>
      </c>
      <c r="E901" s="93">
        <v>3.0</v>
      </c>
      <c r="F901" s="124" t="s">
        <v>201</v>
      </c>
      <c r="G901" s="129" t="s">
        <v>202</v>
      </c>
      <c r="H901" s="127"/>
      <c r="I901" s="127" t="s">
        <v>203</v>
      </c>
      <c r="J901" s="124" t="s">
        <v>203</v>
      </c>
      <c r="K901" s="124"/>
      <c r="L901" s="124">
        <v>9999.0</v>
      </c>
    </row>
    <row r="902">
      <c r="A902" s="165">
        <v>43744.147749525466</v>
      </c>
      <c r="B902" s="161" t="s">
        <v>64</v>
      </c>
      <c r="C902" s="162" t="s">
        <v>169</v>
      </c>
      <c r="D902" s="93">
        <v>3.0</v>
      </c>
      <c r="E902" s="93">
        <v>2.0</v>
      </c>
      <c r="F902" s="124" t="s">
        <v>207</v>
      </c>
      <c r="G902" s="129" t="s">
        <v>202</v>
      </c>
      <c r="H902" s="127"/>
      <c r="I902" s="127" t="s">
        <v>203</v>
      </c>
      <c r="J902" s="124" t="s">
        <v>203</v>
      </c>
      <c r="K902" s="124"/>
      <c r="L902" s="124">
        <v>9999.0</v>
      </c>
    </row>
    <row r="903">
      <c r="A903" s="136" t="s">
        <v>359</v>
      </c>
      <c r="B903" s="115" t="s">
        <v>2</v>
      </c>
      <c r="C903" s="153" t="s">
        <v>227</v>
      </c>
      <c r="D903" s="118" t="s">
        <v>29</v>
      </c>
      <c r="E903" s="118" t="s">
        <v>34</v>
      </c>
      <c r="F903" s="124" t="s">
        <v>261</v>
      </c>
      <c r="G903" s="129" t="s">
        <v>245</v>
      </c>
      <c r="H903" s="127" t="s">
        <v>228</v>
      </c>
      <c r="I903" s="127" t="s">
        <v>229</v>
      </c>
      <c r="J903" s="124" t="s">
        <v>262</v>
      </c>
      <c r="K903" s="124" t="s">
        <v>263</v>
      </c>
      <c r="L903" s="124"/>
    </row>
    <row r="904">
      <c r="A904" s="165">
        <v>43744.147749525466</v>
      </c>
      <c r="B904" s="161" t="s">
        <v>69</v>
      </c>
      <c r="C904" s="162" t="s">
        <v>101</v>
      </c>
      <c r="D904" s="93">
        <v>4.0</v>
      </c>
      <c r="E904" s="93">
        <v>2.0</v>
      </c>
      <c r="F904" s="124" t="s">
        <v>215</v>
      </c>
      <c r="G904" s="129" t="s">
        <v>939</v>
      </c>
      <c r="H904" s="127" t="s">
        <v>430</v>
      </c>
      <c r="I904" s="127">
        <v>-10.0</v>
      </c>
      <c r="J904" s="124">
        <v>64.0</v>
      </c>
      <c r="K904" s="124" t="s">
        <v>44</v>
      </c>
      <c r="L904" s="124" t="s">
        <v>430</v>
      </c>
    </row>
    <row r="905">
      <c r="A905" s="165">
        <v>43744.147749525466</v>
      </c>
      <c r="B905" s="161" t="s">
        <v>69</v>
      </c>
      <c r="C905" s="162" t="s">
        <v>142</v>
      </c>
      <c r="D905" s="93">
        <v>3.0</v>
      </c>
      <c r="E905" s="93">
        <v>2.0</v>
      </c>
      <c r="F905" s="124" t="s">
        <v>248</v>
      </c>
      <c r="G905" s="129" t="s">
        <v>963</v>
      </c>
      <c r="H905" s="127" t="s">
        <v>430</v>
      </c>
      <c r="I905" s="127" t="s">
        <v>244</v>
      </c>
      <c r="J905" s="124" t="s">
        <v>406</v>
      </c>
      <c r="K905" s="124" t="s">
        <v>74</v>
      </c>
      <c r="L905" s="124" t="s">
        <v>430</v>
      </c>
    </row>
    <row r="906">
      <c r="A906" s="165">
        <v>43744.147749525466</v>
      </c>
      <c r="B906" s="161" t="s">
        <v>69</v>
      </c>
      <c r="C906" s="162" t="s">
        <v>87</v>
      </c>
      <c r="D906" s="93">
        <v>2.0</v>
      </c>
      <c r="E906" s="93">
        <v>3.0</v>
      </c>
      <c r="F906" s="124" t="s">
        <v>285</v>
      </c>
      <c r="G906" s="129" t="s">
        <v>917</v>
      </c>
      <c r="H906" s="127" t="s">
        <v>430</v>
      </c>
      <c r="I906" s="127">
        <v>-14.0</v>
      </c>
      <c r="J906" s="124">
        <v>47.0</v>
      </c>
      <c r="K906" s="124" t="s">
        <v>27</v>
      </c>
      <c r="L906" s="124" t="s">
        <v>430</v>
      </c>
    </row>
    <row r="907">
      <c r="A907" s="165">
        <v>43744.147749525466</v>
      </c>
      <c r="B907" s="161" t="s">
        <v>69</v>
      </c>
      <c r="C907" s="162" t="s">
        <v>35</v>
      </c>
      <c r="D907" s="93">
        <v>5.0</v>
      </c>
      <c r="E907" s="93">
        <v>0.0</v>
      </c>
      <c r="F907" s="124" t="s">
        <v>242</v>
      </c>
      <c r="G907" s="129" t="s">
        <v>953</v>
      </c>
      <c r="H907" s="127" t="s">
        <v>430</v>
      </c>
      <c r="I907" s="127">
        <v>-15.0</v>
      </c>
      <c r="J907" s="124">
        <v>64.0</v>
      </c>
      <c r="K907" s="124" t="s">
        <v>53</v>
      </c>
      <c r="L907" s="124" t="s">
        <v>430</v>
      </c>
    </row>
    <row r="908">
      <c r="A908" s="165">
        <v>43744.147749525466</v>
      </c>
      <c r="B908" s="161" t="s">
        <v>69</v>
      </c>
      <c r="C908" s="162" t="s">
        <v>151</v>
      </c>
      <c r="D908" s="93">
        <v>1.0</v>
      </c>
      <c r="E908" s="93">
        <v>5.0</v>
      </c>
      <c r="F908" s="124" t="s">
        <v>287</v>
      </c>
      <c r="G908" s="129" t="s">
        <v>929</v>
      </c>
      <c r="H908" s="127" t="s">
        <v>430</v>
      </c>
      <c r="I908" s="127" t="s">
        <v>257</v>
      </c>
      <c r="J908" s="124" t="s">
        <v>462</v>
      </c>
      <c r="K908" s="124" t="s">
        <v>38</v>
      </c>
      <c r="L908" s="124" t="s">
        <v>430</v>
      </c>
    </row>
    <row r="909">
      <c r="A909" s="165">
        <v>43744.147749525466</v>
      </c>
      <c r="B909" s="161" t="s">
        <v>69</v>
      </c>
      <c r="C909" s="162" t="s">
        <v>193</v>
      </c>
      <c r="D909" s="93">
        <v>2.0</v>
      </c>
      <c r="E909" s="93">
        <v>3.0</v>
      </c>
      <c r="F909" s="124" t="s">
        <v>282</v>
      </c>
      <c r="G909" s="129" t="s">
        <v>202</v>
      </c>
      <c r="H909" s="127"/>
      <c r="I909" s="127" t="s">
        <v>203</v>
      </c>
      <c r="J909" s="124" t="s">
        <v>203</v>
      </c>
      <c r="K909" s="124"/>
      <c r="L909" s="124">
        <v>9999.0</v>
      </c>
    </row>
    <row r="910">
      <c r="A910" s="165">
        <v>43744.147749525466</v>
      </c>
      <c r="B910" s="161" t="s">
        <v>69</v>
      </c>
      <c r="C910" s="162" t="s">
        <v>182</v>
      </c>
      <c r="D910" s="93">
        <v>2.0</v>
      </c>
      <c r="E910" s="93">
        <v>3.0</v>
      </c>
      <c r="F910" s="124" t="s">
        <v>234</v>
      </c>
      <c r="G910" s="129" t="s">
        <v>202</v>
      </c>
      <c r="H910" s="127"/>
      <c r="I910" s="127" t="s">
        <v>203</v>
      </c>
      <c r="J910" s="124" t="s">
        <v>203</v>
      </c>
      <c r="K910" s="124"/>
      <c r="L910" s="124">
        <v>9999.0</v>
      </c>
    </row>
    <row r="911">
      <c r="A911" s="165">
        <v>43744.147749525466</v>
      </c>
      <c r="B911" s="161" t="s">
        <v>69</v>
      </c>
      <c r="C911" s="162" t="s">
        <v>170</v>
      </c>
      <c r="D911" s="93">
        <v>4.0</v>
      </c>
      <c r="E911" s="93">
        <v>1.0</v>
      </c>
      <c r="F911" s="124" t="s">
        <v>795</v>
      </c>
      <c r="G911" s="129" t="s">
        <v>202</v>
      </c>
      <c r="H911" s="127"/>
      <c r="I911" s="127" t="s">
        <v>203</v>
      </c>
      <c r="J911" s="124" t="s">
        <v>203</v>
      </c>
      <c r="K911" s="124"/>
      <c r="L911" s="124">
        <v>9999.0</v>
      </c>
    </row>
    <row r="912">
      <c r="A912" s="165">
        <v>43744.147749525466</v>
      </c>
      <c r="B912" s="161" t="s">
        <v>69</v>
      </c>
      <c r="C912" s="162" t="s">
        <v>125</v>
      </c>
      <c r="D912" s="93">
        <v>4.0</v>
      </c>
      <c r="E912" s="93">
        <v>1.0</v>
      </c>
      <c r="F912" s="124" t="s">
        <v>267</v>
      </c>
      <c r="G912" s="129" t="s">
        <v>202</v>
      </c>
      <c r="H912" s="127"/>
      <c r="I912" s="127" t="s">
        <v>203</v>
      </c>
      <c r="J912" s="124" t="s">
        <v>203</v>
      </c>
      <c r="K912" s="124"/>
      <c r="L912" s="124">
        <v>9999.0</v>
      </c>
    </row>
    <row r="913">
      <c r="A913" s="165">
        <v>43744.147749525466</v>
      </c>
      <c r="B913" s="161" t="s">
        <v>69</v>
      </c>
      <c r="C913" s="162" t="s">
        <v>108</v>
      </c>
      <c r="D913" s="93">
        <v>3.0</v>
      </c>
      <c r="E913" s="93">
        <v>2.0</v>
      </c>
      <c r="F913" s="124" t="s">
        <v>278</v>
      </c>
      <c r="G913" s="129" t="s">
        <v>202</v>
      </c>
      <c r="H913" s="127"/>
      <c r="I913" s="127" t="s">
        <v>203</v>
      </c>
      <c r="J913" s="124" t="s">
        <v>203</v>
      </c>
      <c r="K913" s="124"/>
      <c r="L913" s="124">
        <v>9999.0</v>
      </c>
    </row>
    <row r="914">
      <c r="A914" s="136" t="s">
        <v>359</v>
      </c>
      <c r="B914" s="115" t="s">
        <v>2</v>
      </c>
      <c r="C914" s="153" t="s">
        <v>227</v>
      </c>
      <c r="D914" s="118" t="s">
        <v>29</v>
      </c>
      <c r="E914" s="118" t="s">
        <v>34</v>
      </c>
      <c r="F914" s="124" t="s">
        <v>261</v>
      </c>
      <c r="G914" s="129" t="s">
        <v>245</v>
      </c>
      <c r="H914" s="127" t="s">
        <v>228</v>
      </c>
      <c r="I914" s="127" t="s">
        <v>229</v>
      </c>
      <c r="J914" s="124" t="s">
        <v>262</v>
      </c>
      <c r="K914" s="124" t="s">
        <v>263</v>
      </c>
      <c r="L914" s="124"/>
    </row>
    <row r="915">
      <c r="A915" s="165">
        <v>43744.147749525466</v>
      </c>
      <c r="B915" s="161" t="s">
        <v>74</v>
      </c>
      <c r="C915" s="162" t="s">
        <v>23</v>
      </c>
      <c r="D915" s="93">
        <v>1.0</v>
      </c>
      <c r="E915" s="93">
        <v>4.0</v>
      </c>
      <c r="F915" s="124" t="s">
        <v>248</v>
      </c>
      <c r="G915" s="129" t="s">
        <v>956</v>
      </c>
      <c r="H915" s="127" t="s">
        <v>430</v>
      </c>
      <c r="I915" s="127" t="s">
        <v>492</v>
      </c>
      <c r="J915" s="124">
        <v>52.0</v>
      </c>
      <c r="K915" s="124" t="s">
        <v>58</v>
      </c>
      <c r="L915" s="124" t="s">
        <v>430</v>
      </c>
    </row>
    <row r="916">
      <c r="A916" s="165">
        <v>43744.147749525466</v>
      </c>
      <c r="B916" s="161" t="s">
        <v>74</v>
      </c>
      <c r="C916" s="162" t="s">
        <v>141</v>
      </c>
      <c r="D916" s="93">
        <v>3.0</v>
      </c>
      <c r="E916" s="93">
        <v>3.0</v>
      </c>
      <c r="F916" s="124" t="s">
        <v>267</v>
      </c>
      <c r="G916" s="129" t="s">
        <v>963</v>
      </c>
      <c r="H916" s="127" t="s">
        <v>430</v>
      </c>
      <c r="I916" s="127" t="s">
        <v>247</v>
      </c>
      <c r="J916" s="124" t="s">
        <v>406</v>
      </c>
      <c r="K916" s="124" t="s">
        <v>69</v>
      </c>
      <c r="L916" s="124" t="s">
        <v>430</v>
      </c>
    </row>
    <row r="917">
      <c r="A917" s="165">
        <v>43744.147749525466</v>
      </c>
      <c r="B917" s="161" t="s">
        <v>74</v>
      </c>
      <c r="C917" s="162" t="s">
        <v>174</v>
      </c>
      <c r="D917" s="93">
        <v>5.0</v>
      </c>
      <c r="E917" s="93">
        <v>1.0</v>
      </c>
      <c r="F917" s="124" t="s">
        <v>784</v>
      </c>
      <c r="G917" s="129" t="s">
        <v>959</v>
      </c>
      <c r="H917" s="127" t="s">
        <v>430</v>
      </c>
      <c r="I917" s="127">
        <v>-3.0</v>
      </c>
      <c r="J917" s="124">
        <v>48.0</v>
      </c>
      <c r="K917" s="124" t="s">
        <v>60</v>
      </c>
      <c r="L917" s="124" t="s">
        <v>430</v>
      </c>
    </row>
    <row r="918">
      <c r="A918" s="165">
        <v>43744.147749525466</v>
      </c>
      <c r="B918" s="161" t="s">
        <v>74</v>
      </c>
      <c r="C918" s="162" t="s">
        <v>99</v>
      </c>
      <c r="D918" s="93">
        <v>3.0</v>
      </c>
      <c r="E918" s="93">
        <v>2.0</v>
      </c>
      <c r="F918" s="124" t="s">
        <v>201</v>
      </c>
      <c r="G918" s="129" t="s">
        <v>957</v>
      </c>
      <c r="H918" s="127" t="s">
        <v>430</v>
      </c>
      <c r="I918" s="127">
        <v>-2.0</v>
      </c>
      <c r="J918" s="124" t="s">
        <v>507</v>
      </c>
      <c r="K918" s="124" t="s">
        <v>58</v>
      </c>
      <c r="L918" s="124" t="s">
        <v>430</v>
      </c>
    </row>
    <row r="919">
      <c r="A919" s="165">
        <v>43744.147749525466</v>
      </c>
      <c r="B919" s="161" t="s">
        <v>74</v>
      </c>
      <c r="C919" s="162" t="s">
        <v>194</v>
      </c>
      <c r="D919" s="93">
        <v>2.0</v>
      </c>
      <c r="E919" s="93">
        <v>3.0</v>
      </c>
      <c r="F919" s="124" t="s">
        <v>267</v>
      </c>
      <c r="G919" s="129" t="s">
        <v>934</v>
      </c>
      <c r="H919" s="127" t="s">
        <v>430</v>
      </c>
      <c r="I919" s="127">
        <v>25.0</v>
      </c>
      <c r="J919" s="124">
        <v>66.0</v>
      </c>
      <c r="K919" s="124" t="s">
        <v>41</v>
      </c>
      <c r="L919" s="124" t="s">
        <v>430</v>
      </c>
    </row>
    <row r="920">
      <c r="A920" s="165">
        <v>43744.147749525466</v>
      </c>
      <c r="B920" s="161" t="s">
        <v>74</v>
      </c>
      <c r="C920" s="162" t="s">
        <v>118</v>
      </c>
      <c r="D920" s="93">
        <v>6.0</v>
      </c>
      <c r="E920" s="93">
        <v>0.0</v>
      </c>
      <c r="F920" s="124" t="s">
        <v>278</v>
      </c>
      <c r="G920" s="129" t="s">
        <v>927</v>
      </c>
      <c r="H920" s="127" t="s">
        <v>430</v>
      </c>
      <c r="I920" s="127">
        <v>-20.0</v>
      </c>
      <c r="J920" s="124">
        <v>49.0</v>
      </c>
      <c r="K920" s="124" t="s">
        <v>38</v>
      </c>
      <c r="L920" s="124" t="s">
        <v>430</v>
      </c>
    </row>
    <row r="921">
      <c r="A921" s="165">
        <v>43744.147749525466</v>
      </c>
      <c r="B921" s="161" t="s">
        <v>74</v>
      </c>
      <c r="C921" s="162" t="s">
        <v>167</v>
      </c>
      <c r="D921" s="93">
        <v>3.0</v>
      </c>
      <c r="E921" s="93">
        <v>3.0</v>
      </c>
      <c r="F921" s="124" t="s">
        <v>201</v>
      </c>
      <c r="G921" s="129" t="s">
        <v>961</v>
      </c>
      <c r="H921" s="127" t="s">
        <v>430</v>
      </c>
      <c r="I921" s="127" t="s">
        <v>401</v>
      </c>
      <c r="J921" s="124">
        <v>52.0</v>
      </c>
      <c r="K921" s="124" t="s">
        <v>62</v>
      </c>
      <c r="L921" s="124" t="s">
        <v>430</v>
      </c>
    </row>
    <row r="922">
      <c r="A922" s="165">
        <v>43744.147749525466</v>
      </c>
      <c r="B922" s="161" t="s">
        <v>74</v>
      </c>
      <c r="C922" s="162" t="s">
        <v>124</v>
      </c>
      <c r="D922" s="93">
        <v>3.0</v>
      </c>
      <c r="E922" s="93">
        <v>2.0</v>
      </c>
      <c r="F922" s="124" t="s">
        <v>267</v>
      </c>
      <c r="G922" s="129" t="s">
        <v>202</v>
      </c>
      <c r="H922" s="127"/>
      <c r="I922" s="127" t="s">
        <v>203</v>
      </c>
      <c r="J922" s="124" t="s">
        <v>203</v>
      </c>
      <c r="K922" s="124"/>
      <c r="L922" s="124">
        <v>9999.0</v>
      </c>
    </row>
    <row r="923">
      <c r="A923" s="165">
        <v>43744.147749525466</v>
      </c>
      <c r="B923" s="161" t="s">
        <v>74</v>
      </c>
      <c r="C923" s="162" t="s">
        <v>88</v>
      </c>
      <c r="D923" s="93">
        <v>3.0</v>
      </c>
      <c r="E923" s="93">
        <v>2.0</v>
      </c>
      <c r="F923" s="124" t="s">
        <v>269</v>
      </c>
      <c r="G923" s="129" t="s">
        <v>202</v>
      </c>
      <c r="H923" s="127"/>
      <c r="I923" s="127" t="s">
        <v>203</v>
      </c>
      <c r="J923" s="124" t="s">
        <v>203</v>
      </c>
      <c r="K923" s="124"/>
      <c r="L923" s="124">
        <v>9999.0</v>
      </c>
    </row>
    <row r="924">
      <c r="A924" s="165">
        <v>43744.147749525466</v>
      </c>
      <c r="B924" s="161" t="s">
        <v>74</v>
      </c>
      <c r="C924" s="162" t="s">
        <v>160</v>
      </c>
      <c r="D924" s="93">
        <v>4.0</v>
      </c>
      <c r="E924" s="93">
        <v>1.0</v>
      </c>
      <c r="F924" s="124" t="s">
        <v>282</v>
      </c>
      <c r="G924" s="129" t="s">
        <v>202</v>
      </c>
      <c r="H924" s="127"/>
      <c r="I924" s="127" t="s">
        <v>203</v>
      </c>
      <c r="J924" s="124" t="s">
        <v>203</v>
      </c>
      <c r="K924" s="124"/>
      <c r="L924" s="124">
        <v>9999.0</v>
      </c>
    </row>
    <row r="925">
      <c r="A925" s="136" t="s">
        <v>359</v>
      </c>
      <c r="B925" s="115" t="s">
        <v>2</v>
      </c>
      <c r="C925" s="153" t="s">
        <v>227</v>
      </c>
      <c r="D925" s="118" t="s">
        <v>29</v>
      </c>
      <c r="E925" s="118" t="s">
        <v>34</v>
      </c>
      <c r="F925" s="124" t="s">
        <v>261</v>
      </c>
      <c r="G925" s="129" t="s">
        <v>245</v>
      </c>
      <c r="H925" s="127" t="s">
        <v>228</v>
      </c>
      <c r="I925" s="127" t="s">
        <v>229</v>
      </c>
      <c r="J925" s="124" t="s">
        <v>262</v>
      </c>
      <c r="K925" s="124" t="s">
        <v>263</v>
      </c>
      <c r="L925" s="124" t="s">
        <v>264</v>
      </c>
    </row>
    <row r="926">
      <c r="A926" s="165">
        <v>43751.147748460644</v>
      </c>
      <c r="B926" s="161" t="s">
        <v>27</v>
      </c>
      <c r="C926" s="162" t="s">
        <v>138</v>
      </c>
      <c r="D926" s="93">
        <v>3.0</v>
      </c>
      <c r="E926" s="93">
        <v>3.0</v>
      </c>
      <c r="F926" s="124" t="s">
        <v>267</v>
      </c>
      <c r="G926" s="129" t="s">
        <v>964</v>
      </c>
      <c r="H926" s="127" t="s">
        <v>430</v>
      </c>
      <c r="I926" s="127" t="s">
        <v>694</v>
      </c>
      <c r="J926" s="124">
        <v>58.0</v>
      </c>
      <c r="K926" s="124" t="s">
        <v>69</v>
      </c>
      <c r="L926" s="124" t="s">
        <v>430</v>
      </c>
    </row>
    <row r="927">
      <c r="A927" s="165">
        <v>43751.147748460644</v>
      </c>
      <c r="B927" s="161" t="s">
        <v>27</v>
      </c>
      <c r="C927" s="162" t="s">
        <v>114</v>
      </c>
      <c r="D927" s="93">
        <v>6.0</v>
      </c>
      <c r="E927" s="93">
        <v>0.0</v>
      </c>
      <c r="F927" s="124" t="s">
        <v>234</v>
      </c>
      <c r="G927" s="129" t="s">
        <v>965</v>
      </c>
      <c r="H927" s="127" t="s">
        <v>430</v>
      </c>
      <c r="I927" s="127">
        <v>-17.0</v>
      </c>
      <c r="J927" s="124">
        <v>61.0</v>
      </c>
      <c r="K927" s="124" t="s">
        <v>62</v>
      </c>
      <c r="L927" s="124" t="s">
        <v>430</v>
      </c>
    </row>
    <row r="928">
      <c r="A928" s="165">
        <v>43751.147748460644</v>
      </c>
      <c r="B928" s="161" t="s">
        <v>27</v>
      </c>
      <c r="C928" s="162" t="s">
        <v>94</v>
      </c>
      <c r="D928" s="93">
        <v>4.0</v>
      </c>
      <c r="E928" s="93">
        <v>2.0</v>
      </c>
      <c r="F928" s="124" t="s">
        <v>285</v>
      </c>
      <c r="G928" s="129" t="s">
        <v>966</v>
      </c>
      <c r="H928" s="127" t="s">
        <v>430</v>
      </c>
      <c r="I928" s="127" t="s">
        <v>967</v>
      </c>
      <c r="J928" s="124" t="s">
        <v>735</v>
      </c>
      <c r="K928" s="124" t="s">
        <v>288</v>
      </c>
      <c r="L928" s="124" t="s">
        <v>430</v>
      </c>
    </row>
    <row r="929">
      <c r="A929" s="165">
        <v>43751.147748460644</v>
      </c>
      <c r="B929" s="161" t="s">
        <v>27</v>
      </c>
      <c r="C929" s="162" t="s">
        <v>195</v>
      </c>
      <c r="D929" s="93">
        <v>3.0</v>
      </c>
      <c r="E929" s="93">
        <v>3.0</v>
      </c>
      <c r="F929" s="124" t="s">
        <v>267</v>
      </c>
      <c r="G929" s="129" t="s">
        <v>968</v>
      </c>
      <c r="H929" s="127" t="s">
        <v>430</v>
      </c>
      <c r="I929" s="127">
        <v>-6.0</v>
      </c>
      <c r="J929" s="124">
        <v>67.0</v>
      </c>
      <c r="K929" s="124" t="s">
        <v>60</v>
      </c>
      <c r="L929" s="124" t="s">
        <v>430</v>
      </c>
    </row>
    <row r="930">
      <c r="A930" s="165">
        <v>43751.147748460644</v>
      </c>
      <c r="B930" s="161" t="s">
        <v>27</v>
      </c>
      <c r="C930" s="162" t="s">
        <v>134</v>
      </c>
      <c r="D930" s="93">
        <v>2.0</v>
      </c>
      <c r="E930" s="93">
        <v>4.0</v>
      </c>
      <c r="F930" s="124" t="s">
        <v>267</v>
      </c>
      <c r="G930" s="129" t="s">
        <v>969</v>
      </c>
      <c r="H930" s="127" t="s">
        <v>430</v>
      </c>
      <c r="I930" s="127">
        <v>11.0</v>
      </c>
      <c r="J930" s="124">
        <v>45.0</v>
      </c>
      <c r="K930" s="124" t="s">
        <v>53</v>
      </c>
      <c r="L930" s="124" t="s">
        <v>430</v>
      </c>
    </row>
    <row r="931">
      <c r="A931" s="165">
        <v>43751.147748460644</v>
      </c>
      <c r="B931" s="161" t="s">
        <v>27</v>
      </c>
      <c r="C931" s="162" t="s">
        <v>152</v>
      </c>
      <c r="D931" s="93">
        <v>2.0</v>
      </c>
      <c r="E931" s="93">
        <v>3.0</v>
      </c>
      <c r="F931" s="124" t="s">
        <v>260</v>
      </c>
      <c r="G931" s="129" t="s">
        <v>970</v>
      </c>
      <c r="H931" s="127" t="s">
        <v>430</v>
      </c>
      <c r="I931" s="127">
        <v>4.0</v>
      </c>
      <c r="J931" s="124" t="s">
        <v>507</v>
      </c>
      <c r="K931" s="124" t="s">
        <v>60</v>
      </c>
      <c r="L931" s="124" t="s">
        <v>430</v>
      </c>
    </row>
    <row r="932">
      <c r="A932" s="165">
        <v>43751.147748460644</v>
      </c>
      <c r="B932" s="161" t="s">
        <v>27</v>
      </c>
      <c r="C932" s="162" t="s">
        <v>107</v>
      </c>
      <c r="D932" s="93">
        <v>5.0</v>
      </c>
      <c r="E932" s="93">
        <v>1.0</v>
      </c>
      <c r="F932" s="124" t="s">
        <v>268</v>
      </c>
      <c r="G932" s="129" t="s">
        <v>971</v>
      </c>
      <c r="H932" s="127" t="s">
        <v>430</v>
      </c>
      <c r="I932" s="127">
        <v>-11.0</v>
      </c>
      <c r="J932" s="124">
        <v>56.0</v>
      </c>
      <c r="K932" s="124" t="s">
        <v>64</v>
      </c>
      <c r="L932" s="124" t="s">
        <v>430</v>
      </c>
    </row>
    <row r="933">
      <c r="A933" s="165">
        <v>43751.147748460644</v>
      </c>
      <c r="B933" s="161" t="s">
        <v>27</v>
      </c>
      <c r="C933" s="162" t="s">
        <v>116</v>
      </c>
      <c r="D933" s="93">
        <v>4.0</v>
      </c>
      <c r="E933" s="93">
        <v>3.0</v>
      </c>
      <c r="F933" s="124" t="s">
        <v>269</v>
      </c>
      <c r="G933" s="129" t="s">
        <v>972</v>
      </c>
      <c r="H933" s="127" t="s">
        <v>430</v>
      </c>
      <c r="I933" s="127" t="s">
        <v>257</v>
      </c>
      <c r="J933" s="124" t="s">
        <v>387</v>
      </c>
      <c r="K933" s="124" t="s">
        <v>64</v>
      </c>
      <c r="L933" s="124" t="s">
        <v>430</v>
      </c>
    </row>
    <row r="934">
      <c r="A934" s="165">
        <v>43751.147748460644</v>
      </c>
      <c r="B934" s="161" t="s">
        <v>27</v>
      </c>
      <c r="C934" s="162" t="s">
        <v>56</v>
      </c>
      <c r="D934" s="93">
        <v>2.0</v>
      </c>
      <c r="E934" s="93">
        <v>4.0</v>
      </c>
      <c r="F934" s="124" t="s">
        <v>242</v>
      </c>
      <c r="G934" s="129" t="s">
        <v>973</v>
      </c>
      <c r="H934" s="127" t="s">
        <v>430</v>
      </c>
      <c r="I934" s="127">
        <v>-1.0</v>
      </c>
      <c r="J934" s="124" t="s">
        <v>406</v>
      </c>
      <c r="K934" s="124" t="s">
        <v>44</v>
      </c>
      <c r="L934" s="124" t="s">
        <v>430</v>
      </c>
    </row>
    <row r="935">
      <c r="A935" s="165">
        <v>43751.147748460644</v>
      </c>
      <c r="B935" s="161" t="s">
        <v>27</v>
      </c>
      <c r="C935" s="162" t="s">
        <v>163</v>
      </c>
      <c r="D935" s="93">
        <v>4.0</v>
      </c>
      <c r="E935" s="93">
        <v>2.0</v>
      </c>
      <c r="F935" s="124" t="s">
        <v>248</v>
      </c>
      <c r="G935" s="129" t="s">
        <v>202</v>
      </c>
      <c r="H935" s="127"/>
      <c r="I935" s="127" t="s">
        <v>203</v>
      </c>
      <c r="J935" s="124" t="s">
        <v>203</v>
      </c>
      <c r="K935" s="124"/>
      <c r="L935" s="124">
        <v>9999.0</v>
      </c>
    </row>
    <row r="936">
      <c r="A936" s="136" t="s">
        <v>359</v>
      </c>
      <c r="B936" s="115" t="s">
        <v>2</v>
      </c>
      <c r="C936" s="153" t="s">
        <v>227</v>
      </c>
      <c r="D936" s="118" t="s">
        <v>29</v>
      </c>
      <c r="E936" s="118" t="s">
        <v>34</v>
      </c>
      <c r="F936" s="124" t="s">
        <v>261</v>
      </c>
      <c r="G936" s="129" t="s">
        <v>245</v>
      </c>
      <c r="H936" s="127" t="s">
        <v>228</v>
      </c>
      <c r="I936" s="127" t="s">
        <v>229</v>
      </c>
      <c r="J936" s="124" t="s">
        <v>262</v>
      </c>
      <c r="K936" s="124" t="s">
        <v>263</v>
      </c>
      <c r="L936" s="124" t="s">
        <v>264</v>
      </c>
    </row>
    <row r="937">
      <c r="A937" s="165">
        <v>43751.147748460644</v>
      </c>
      <c r="B937" s="161" t="s">
        <v>38</v>
      </c>
      <c r="C937" s="162" t="s">
        <v>139</v>
      </c>
      <c r="D937" s="93">
        <v>2.0</v>
      </c>
      <c r="E937" s="93">
        <v>4.0</v>
      </c>
      <c r="F937" s="124" t="s">
        <v>260</v>
      </c>
      <c r="G937" s="129" t="s">
        <v>974</v>
      </c>
      <c r="H937" s="127" t="s">
        <v>430</v>
      </c>
      <c r="I937" s="127" t="s">
        <v>634</v>
      </c>
      <c r="J937" s="124">
        <v>64.0</v>
      </c>
      <c r="K937" s="124" t="s">
        <v>64</v>
      </c>
      <c r="L937" s="124" t="s">
        <v>430</v>
      </c>
    </row>
    <row r="938">
      <c r="A938" s="165">
        <v>43751.147748460644</v>
      </c>
      <c r="B938" s="161" t="s">
        <v>38</v>
      </c>
      <c r="C938" s="162" t="s">
        <v>129</v>
      </c>
      <c r="D938" s="93">
        <v>1.0</v>
      </c>
      <c r="E938" s="93">
        <v>5.0</v>
      </c>
      <c r="F938" s="124" t="s">
        <v>357</v>
      </c>
      <c r="G938" s="129" t="s">
        <v>975</v>
      </c>
      <c r="H938" s="127" t="s">
        <v>430</v>
      </c>
      <c r="I938" s="127">
        <v>15.0</v>
      </c>
      <c r="J938" s="124">
        <v>45.0</v>
      </c>
      <c r="K938" s="124" t="s">
        <v>41</v>
      </c>
      <c r="L938" s="124" t="s">
        <v>430</v>
      </c>
    </row>
    <row r="939">
      <c r="A939" s="165">
        <v>43751.147748460644</v>
      </c>
      <c r="B939" s="161" t="s">
        <v>38</v>
      </c>
      <c r="C939" s="162" t="s">
        <v>198</v>
      </c>
      <c r="D939" s="93">
        <v>0.0</v>
      </c>
      <c r="E939" s="93">
        <v>7.0</v>
      </c>
      <c r="F939" s="124" t="s">
        <v>282</v>
      </c>
      <c r="G939" s="129" t="s">
        <v>976</v>
      </c>
      <c r="H939" s="127" t="s">
        <v>430</v>
      </c>
      <c r="I939" s="127" t="s">
        <v>622</v>
      </c>
      <c r="J939" s="124">
        <v>57.0</v>
      </c>
      <c r="K939" s="124" t="s">
        <v>74</v>
      </c>
      <c r="L939" s="124" t="s">
        <v>430</v>
      </c>
    </row>
    <row r="940">
      <c r="A940" s="165">
        <v>43751.147748460644</v>
      </c>
      <c r="B940" s="161" t="s">
        <v>38</v>
      </c>
      <c r="C940" s="162" t="s">
        <v>68</v>
      </c>
      <c r="D940" s="93">
        <v>6.0</v>
      </c>
      <c r="E940" s="93">
        <v>0.0</v>
      </c>
      <c r="F940" s="124" t="s">
        <v>207</v>
      </c>
      <c r="G940" s="129" t="s">
        <v>977</v>
      </c>
      <c r="H940" s="127" t="s">
        <v>430</v>
      </c>
      <c r="I940" s="127">
        <v>-27.0</v>
      </c>
      <c r="J940" s="124" t="s">
        <v>781</v>
      </c>
      <c r="K940" s="124" t="s">
        <v>64</v>
      </c>
      <c r="L940" s="124" t="s">
        <v>430</v>
      </c>
    </row>
    <row r="941">
      <c r="A941" s="165">
        <v>43751.147748460644</v>
      </c>
      <c r="B941" s="161" t="s">
        <v>38</v>
      </c>
      <c r="C941" s="162" t="s">
        <v>113</v>
      </c>
      <c r="D941" s="93">
        <v>4.0</v>
      </c>
      <c r="E941" s="93">
        <v>3.0</v>
      </c>
      <c r="F941" s="124" t="s">
        <v>266</v>
      </c>
      <c r="G941" s="129" t="s">
        <v>978</v>
      </c>
      <c r="H941" s="127" t="s">
        <v>430</v>
      </c>
      <c r="I941" s="127">
        <v>10.0</v>
      </c>
      <c r="J941" s="124">
        <v>41.0</v>
      </c>
      <c r="K941" s="124" t="s">
        <v>44</v>
      </c>
      <c r="L941" s="124" t="s">
        <v>430</v>
      </c>
    </row>
    <row r="942">
      <c r="A942" s="165">
        <v>43751.147748460644</v>
      </c>
      <c r="B942" s="161" t="s">
        <v>38</v>
      </c>
      <c r="C942" s="162" t="s">
        <v>172</v>
      </c>
      <c r="D942" s="93">
        <v>3.0</v>
      </c>
      <c r="E942" s="93">
        <v>3.0</v>
      </c>
      <c r="F942" s="124" t="s">
        <v>273</v>
      </c>
      <c r="G942" s="129" t="s">
        <v>979</v>
      </c>
      <c r="H942" s="127" t="s">
        <v>430</v>
      </c>
      <c r="I942" s="127" t="s">
        <v>428</v>
      </c>
      <c r="J942" s="124">
        <v>58.0</v>
      </c>
      <c r="K942" s="124" t="s">
        <v>48</v>
      </c>
      <c r="L942" s="124" t="s">
        <v>430</v>
      </c>
    </row>
    <row r="943">
      <c r="A943" s="165">
        <v>43751.147748460644</v>
      </c>
      <c r="B943" s="161" t="s">
        <v>38</v>
      </c>
      <c r="C943" s="162" t="s">
        <v>97</v>
      </c>
      <c r="D943" s="93">
        <v>4.0</v>
      </c>
      <c r="E943" s="93">
        <v>2.0</v>
      </c>
      <c r="F943" s="124" t="s">
        <v>201</v>
      </c>
      <c r="G943" s="129" t="s">
        <v>980</v>
      </c>
      <c r="H943" s="127" t="s">
        <v>430</v>
      </c>
      <c r="I943" s="127" t="s">
        <v>431</v>
      </c>
      <c r="J943" s="124">
        <v>56.0</v>
      </c>
      <c r="K943" s="124" t="s">
        <v>48</v>
      </c>
      <c r="L943" s="124" t="s">
        <v>430</v>
      </c>
    </row>
    <row r="944">
      <c r="A944" s="165">
        <v>43751.147748460644</v>
      </c>
      <c r="B944" s="161" t="s">
        <v>38</v>
      </c>
      <c r="C944" s="162" t="s">
        <v>178</v>
      </c>
      <c r="D944" s="93">
        <v>6.0</v>
      </c>
      <c r="E944" s="93">
        <v>0.0</v>
      </c>
      <c r="F944" s="124" t="s">
        <v>201</v>
      </c>
      <c r="G944" s="129" t="s">
        <v>981</v>
      </c>
      <c r="H944" s="127" t="s">
        <v>430</v>
      </c>
      <c r="I944" s="127" t="s">
        <v>226</v>
      </c>
      <c r="J944" s="124" t="s">
        <v>546</v>
      </c>
      <c r="K944" s="124" t="s">
        <v>60</v>
      </c>
      <c r="L944" s="124" t="s">
        <v>430</v>
      </c>
    </row>
    <row r="945">
      <c r="A945" s="165">
        <v>43751.147748460644</v>
      </c>
      <c r="B945" s="161" t="s">
        <v>38</v>
      </c>
      <c r="C945" s="162" t="s">
        <v>156</v>
      </c>
      <c r="D945" s="93">
        <v>5.0</v>
      </c>
      <c r="E945" s="93">
        <v>1.0</v>
      </c>
      <c r="F945" s="124" t="s">
        <v>260</v>
      </c>
      <c r="G945" s="129" t="s">
        <v>982</v>
      </c>
      <c r="H945" s="127" t="s">
        <v>430</v>
      </c>
      <c r="I945" s="127">
        <v>-4.0</v>
      </c>
      <c r="J945" s="124" t="s">
        <v>983</v>
      </c>
      <c r="K945" s="124" t="s">
        <v>74</v>
      </c>
      <c r="L945" s="124" t="s">
        <v>430</v>
      </c>
    </row>
    <row r="946">
      <c r="A946" s="165">
        <v>43751.147748460644</v>
      </c>
      <c r="B946" s="161" t="s">
        <v>38</v>
      </c>
      <c r="C946" s="162" t="s">
        <v>32</v>
      </c>
      <c r="D946" s="93">
        <v>3.0</v>
      </c>
      <c r="E946" s="93">
        <v>3.0</v>
      </c>
      <c r="F946" s="124" t="s">
        <v>248</v>
      </c>
      <c r="G946" s="129" t="s">
        <v>202</v>
      </c>
      <c r="H946" s="127"/>
      <c r="I946" s="127" t="s">
        <v>203</v>
      </c>
      <c r="J946" s="124" t="s">
        <v>203</v>
      </c>
      <c r="K946" s="124"/>
      <c r="L946" s="124">
        <v>9999.0</v>
      </c>
    </row>
    <row r="947">
      <c r="A947" s="136" t="s">
        <v>359</v>
      </c>
      <c r="B947" s="115" t="s">
        <v>2</v>
      </c>
      <c r="C947" s="153" t="s">
        <v>227</v>
      </c>
      <c r="D947" s="118" t="s">
        <v>29</v>
      </c>
      <c r="E947" s="118" t="s">
        <v>34</v>
      </c>
      <c r="F947" s="124" t="s">
        <v>261</v>
      </c>
      <c r="G947" s="129" t="s">
        <v>245</v>
      </c>
      <c r="H947" s="127" t="s">
        <v>228</v>
      </c>
      <c r="I947" s="127" t="s">
        <v>229</v>
      </c>
      <c r="J947" s="124" t="s">
        <v>262</v>
      </c>
      <c r="K947" s="124" t="s">
        <v>263</v>
      </c>
      <c r="L947" s="124" t="s">
        <v>264</v>
      </c>
    </row>
    <row r="948">
      <c r="A948" s="165">
        <v>43751.147748460644</v>
      </c>
      <c r="B948" s="161" t="s">
        <v>41</v>
      </c>
      <c r="C948" s="162" t="s">
        <v>190</v>
      </c>
      <c r="D948" s="93">
        <v>3.0</v>
      </c>
      <c r="E948" s="93">
        <v>1.0</v>
      </c>
      <c r="F948" s="124" t="s">
        <v>248</v>
      </c>
      <c r="G948" s="129" t="s">
        <v>984</v>
      </c>
      <c r="H948" s="127" t="s">
        <v>430</v>
      </c>
      <c r="I948" s="127" t="s">
        <v>694</v>
      </c>
      <c r="J948" s="124" t="s">
        <v>952</v>
      </c>
      <c r="K948" s="124" t="s">
        <v>58</v>
      </c>
      <c r="L948" s="124" t="s">
        <v>430</v>
      </c>
    </row>
    <row r="949">
      <c r="A949" s="165">
        <v>43751.147748460644</v>
      </c>
      <c r="B949" s="161" t="s">
        <v>41</v>
      </c>
      <c r="C949" s="162" t="s">
        <v>111</v>
      </c>
      <c r="D949" s="93">
        <v>3.0</v>
      </c>
      <c r="E949" s="93">
        <v>3.0</v>
      </c>
      <c r="F949" s="124" t="s">
        <v>266</v>
      </c>
      <c r="G949" s="129" t="s">
        <v>985</v>
      </c>
      <c r="H949" s="127" t="s">
        <v>430</v>
      </c>
      <c r="I949" s="127" t="s">
        <v>620</v>
      </c>
      <c r="J949" s="124">
        <v>57.0</v>
      </c>
      <c r="K949" s="124" t="s">
        <v>48</v>
      </c>
      <c r="L949" s="124" t="s">
        <v>430</v>
      </c>
    </row>
    <row r="950">
      <c r="A950" s="165">
        <v>43751.147748460644</v>
      </c>
      <c r="B950" s="161" t="s">
        <v>41</v>
      </c>
      <c r="C950" s="162" t="s">
        <v>126</v>
      </c>
      <c r="D950" s="93">
        <v>3.0</v>
      </c>
      <c r="E950" s="93">
        <v>3.0</v>
      </c>
      <c r="F950" s="124" t="s">
        <v>357</v>
      </c>
      <c r="G950" s="129" t="s">
        <v>975</v>
      </c>
      <c r="H950" s="127" t="s">
        <v>430</v>
      </c>
      <c r="I950" s="127">
        <v>-15.0</v>
      </c>
      <c r="J950" s="124">
        <v>45.0</v>
      </c>
      <c r="K950" s="124" t="s">
        <v>38</v>
      </c>
      <c r="L950" s="124" t="s">
        <v>430</v>
      </c>
    </row>
    <row r="951">
      <c r="A951" s="165">
        <v>43751.147748460644</v>
      </c>
      <c r="B951" s="161" t="s">
        <v>41</v>
      </c>
      <c r="C951" s="162" t="s">
        <v>109</v>
      </c>
      <c r="D951" s="93">
        <v>2.0</v>
      </c>
      <c r="E951" s="93">
        <v>4.0</v>
      </c>
      <c r="F951" s="124" t="s">
        <v>260</v>
      </c>
      <c r="G951" s="129" t="s">
        <v>986</v>
      </c>
      <c r="H951" s="127" t="s">
        <v>430</v>
      </c>
      <c r="I951" s="127" t="s">
        <v>512</v>
      </c>
      <c r="J951" s="124">
        <v>51.0</v>
      </c>
      <c r="K951" s="124" t="s">
        <v>58</v>
      </c>
      <c r="L951" s="124" t="s">
        <v>430</v>
      </c>
    </row>
    <row r="952">
      <c r="A952" s="165">
        <v>43751.147748460644</v>
      </c>
      <c r="B952" s="161" t="s">
        <v>41</v>
      </c>
      <c r="C952" s="162" t="s">
        <v>146</v>
      </c>
      <c r="D952" s="93">
        <v>2.0</v>
      </c>
      <c r="E952" s="93">
        <v>4.0</v>
      </c>
      <c r="F952" s="124" t="s">
        <v>267</v>
      </c>
      <c r="G952" s="129" t="s">
        <v>987</v>
      </c>
      <c r="H952" s="127" t="s">
        <v>430</v>
      </c>
      <c r="I952" s="127" t="s">
        <v>244</v>
      </c>
      <c r="J952" s="124" t="s">
        <v>394</v>
      </c>
      <c r="K952" s="124" t="s">
        <v>44</v>
      </c>
      <c r="L952" s="124" t="s">
        <v>430</v>
      </c>
    </row>
    <row r="953">
      <c r="A953" s="165">
        <v>43751.147748460644</v>
      </c>
      <c r="B953" s="161" t="s">
        <v>41</v>
      </c>
      <c r="C953" s="162" t="s">
        <v>52</v>
      </c>
      <c r="D953" s="93">
        <v>5.0</v>
      </c>
      <c r="E953" s="93">
        <v>1.0</v>
      </c>
      <c r="F953" s="124" t="s">
        <v>242</v>
      </c>
      <c r="G953" s="129" t="s">
        <v>988</v>
      </c>
      <c r="H953" s="127" t="s">
        <v>430</v>
      </c>
      <c r="I953" s="127" t="s">
        <v>374</v>
      </c>
      <c r="J953" s="124" t="s">
        <v>397</v>
      </c>
      <c r="K953" s="124" t="s">
        <v>74</v>
      </c>
      <c r="L953" s="124" t="s">
        <v>430</v>
      </c>
    </row>
    <row r="954">
      <c r="A954" s="165">
        <v>43751.147748460644</v>
      </c>
      <c r="B954" s="161" t="s">
        <v>41</v>
      </c>
      <c r="C954" s="162" t="s">
        <v>180</v>
      </c>
      <c r="D954" s="93">
        <v>5.0</v>
      </c>
      <c r="E954" s="93">
        <v>1.0</v>
      </c>
      <c r="F954" s="124" t="s">
        <v>215</v>
      </c>
      <c r="G954" s="129" t="s">
        <v>989</v>
      </c>
      <c r="H954" s="127" t="s">
        <v>430</v>
      </c>
      <c r="I954" s="127">
        <v>-11.0</v>
      </c>
      <c r="J954" s="124">
        <v>55.0</v>
      </c>
      <c r="K954" s="124" t="s">
        <v>288</v>
      </c>
      <c r="L954" s="124" t="s">
        <v>430</v>
      </c>
    </row>
    <row r="955">
      <c r="A955" s="165">
        <v>43751.147748460644</v>
      </c>
      <c r="B955" s="161" t="s">
        <v>41</v>
      </c>
      <c r="C955" s="162" t="s">
        <v>159</v>
      </c>
      <c r="D955" s="93">
        <v>3.0</v>
      </c>
      <c r="E955" s="93">
        <v>2.0</v>
      </c>
      <c r="F955" s="124" t="s">
        <v>248</v>
      </c>
      <c r="G955" s="129" t="s">
        <v>202</v>
      </c>
      <c r="H955" s="127"/>
      <c r="I955" s="127" t="s">
        <v>203</v>
      </c>
      <c r="J955" s="124" t="s">
        <v>203</v>
      </c>
      <c r="K955" s="124"/>
      <c r="L955" s="124">
        <v>9999.0</v>
      </c>
    </row>
    <row r="956">
      <c r="A956" s="165">
        <v>43751.147748460644</v>
      </c>
      <c r="B956" s="161" t="s">
        <v>41</v>
      </c>
      <c r="C956" s="162" t="s">
        <v>91</v>
      </c>
      <c r="D956" s="93">
        <v>4.0</v>
      </c>
      <c r="E956" s="93">
        <v>2.0</v>
      </c>
      <c r="F956" s="124" t="s">
        <v>248</v>
      </c>
      <c r="G956" s="129" t="s">
        <v>202</v>
      </c>
      <c r="H956" s="127"/>
      <c r="I956" s="127" t="s">
        <v>203</v>
      </c>
      <c r="J956" s="124" t="s">
        <v>203</v>
      </c>
      <c r="K956" s="124"/>
      <c r="L956" s="124">
        <v>9999.0</v>
      </c>
    </row>
    <row r="957">
      <c r="A957" s="165">
        <v>43751.147748460644</v>
      </c>
      <c r="B957" s="161" t="s">
        <v>41</v>
      </c>
      <c r="C957" s="162" t="s">
        <v>168</v>
      </c>
      <c r="D957" s="93">
        <v>1.0</v>
      </c>
      <c r="E957" s="93">
        <v>5.0</v>
      </c>
      <c r="F957" s="124" t="s">
        <v>248</v>
      </c>
      <c r="G957" s="129" t="s">
        <v>202</v>
      </c>
      <c r="H957" s="127"/>
      <c r="I957" s="127" t="s">
        <v>203</v>
      </c>
      <c r="J957" s="124" t="s">
        <v>203</v>
      </c>
      <c r="K957" s="124"/>
      <c r="L957" s="124">
        <v>9999.0</v>
      </c>
    </row>
    <row r="958">
      <c r="A958" s="136" t="s">
        <v>359</v>
      </c>
      <c r="B958" s="115" t="s">
        <v>2</v>
      </c>
      <c r="C958" s="153" t="s">
        <v>227</v>
      </c>
      <c r="D958" s="118" t="s">
        <v>29</v>
      </c>
      <c r="E958" s="118" t="s">
        <v>34</v>
      </c>
      <c r="F958" s="124" t="s">
        <v>261</v>
      </c>
      <c r="G958" s="129" t="s">
        <v>245</v>
      </c>
      <c r="H958" s="127" t="s">
        <v>228</v>
      </c>
      <c r="I958" s="127" t="s">
        <v>229</v>
      </c>
      <c r="J958" s="124" t="s">
        <v>262</v>
      </c>
      <c r="K958" s="124" t="s">
        <v>263</v>
      </c>
      <c r="L958" s="124" t="s">
        <v>264</v>
      </c>
    </row>
    <row r="959">
      <c r="A959" s="165">
        <v>43751.147748460644</v>
      </c>
      <c r="B959" s="161" t="s">
        <v>44</v>
      </c>
      <c r="C959" s="162" t="s">
        <v>122</v>
      </c>
      <c r="D959" s="93">
        <v>6.0</v>
      </c>
      <c r="E959" s="93">
        <v>0.0</v>
      </c>
      <c r="F959" s="124" t="s">
        <v>266</v>
      </c>
      <c r="G959" s="129" t="s">
        <v>978</v>
      </c>
      <c r="H959" s="127" t="s">
        <v>430</v>
      </c>
      <c r="I959" s="127">
        <v>-10.0</v>
      </c>
      <c r="J959" s="124">
        <v>41.0</v>
      </c>
      <c r="K959" s="124" t="s">
        <v>38</v>
      </c>
      <c r="L959" s="124" t="s">
        <v>430</v>
      </c>
    </row>
    <row r="960">
      <c r="A960" s="165">
        <v>43751.147748460644</v>
      </c>
      <c r="B960" s="161" t="s">
        <v>44</v>
      </c>
      <c r="C960" s="162" t="s">
        <v>145</v>
      </c>
      <c r="D960" s="93">
        <v>2.0</v>
      </c>
      <c r="E960" s="93">
        <v>4.0</v>
      </c>
      <c r="F960" s="124" t="s">
        <v>267</v>
      </c>
      <c r="G960" s="129" t="s">
        <v>987</v>
      </c>
      <c r="H960" s="127" t="s">
        <v>430</v>
      </c>
      <c r="I960" s="127" t="s">
        <v>247</v>
      </c>
      <c r="J960" s="124" t="s">
        <v>394</v>
      </c>
      <c r="K960" s="124" t="s">
        <v>41</v>
      </c>
      <c r="L960" s="124" t="s">
        <v>430</v>
      </c>
    </row>
    <row r="961">
      <c r="A961" s="165">
        <v>43751.147748460644</v>
      </c>
      <c r="B961" s="161" t="s">
        <v>44</v>
      </c>
      <c r="C961" s="162" t="s">
        <v>104</v>
      </c>
      <c r="D961" s="93">
        <v>3.0</v>
      </c>
      <c r="E961" s="93">
        <v>3.0</v>
      </c>
      <c r="F961" s="124" t="s">
        <v>269</v>
      </c>
      <c r="G961" s="129" t="s">
        <v>990</v>
      </c>
      <c r="H961" s="127" t="s">
        <v>639</v>
      </c>
      <c r="I961" s="127">
        <v>10.0</v>
      </c>
      <c r="J961" s="124">
        <v>58.0</v>
      </c>
      <c r="K961" s="124" t="s">
        <v>58</v>
      </c>
      <c r="L961" s="124" t="s">
        <v>639</v>
      </c>
    </row>
    <row r="962">
      <c r="A962" s="165">
        <v>43751.147748460644</v>
      </c>
      <c r="B962" s="161" t="s">
        <v>44</v>
      </c>
      <c r="C962" s="162" t="s">
        <v>132</v>
      </c>
      <c r="D962" s="93">
        <v>2.0</v>
      </c>
      <c r="E962" s="93">
        <v>4.0</v>
      </c>
      <c r="F962" s="124" t="s">
        <v>267</v>
      </c>
      <c r="G962" s="129" t="s">
        <v>991</v>
      </c>
      <c r="H962" s="127" t="s">
        <v>430</v>
      </c>
      <c r="I962" s="127" t="s">
        <v>376</v>
      </c>
      <c r="J962" s="124" t="s">
        <v>419</v>
      </c>
      <c r="K962" s="124" t="s">
        <v>60</v>
      </c>
      <c r="L962" s="124" t="s">
        <v>430</v>
      </c>
    </row>
    <row r="963">
      <c r="A963" s="165">
        <v>43751.147748460644</v>
      </c>
      <c r="B963" s="161" t="s">
        <v>44</v>
      </c>
      <c r="C963" s="162" t="s">
        <v>173</v>
      </c>
      <c r="D963" s="93">
        <v>2.0</v>
      </c>
      <c r="E963" s="93">
        <v>4.0</v>
      </c>
      <c r="F963" s="124" t="s">
        <v>287</v>
      </c>
      <c r="G963" s="129" t="s">
        <v>992</v>
      </c>
      <c r="H963" s="127" t="s">
        <v>430</v>
      </c>
      <c r="I963" s="127" t="s">
        <v>247</v>
      </c>
      <c r="J963" s="124" t="s">
        <v>406</v>
      </c>
      <c r="K963" s="124" t="s">
        <v>64</v>
      </c>
      <c r="L963" s="124" t="s">
        <v>430</v>
      </c>
    </row>
    <row r="964">
      <c r="A964" s="165">
        <v>43751.147748460644</v>
      </c>
      <c r="B964" s="161" t="s">
        <v>44</v>
      </c>
      <c r="C964" s="162" t="s">
        <v>37</v>
      </c>
      <c r="D964" s="93">
        <v>4.0</v>
      </c>
      <c r="E964" s="93">
        <v>1.0</v>
      </c>
      <c r="F964" s="124" t="s">
        <v>242</v>
      </c>
      <c r="G964" s="129" t="s">
        <v>973</v>
      </c>
      <c r="H964" s="127" t="s">
        <v>430</v>
      </c>
      <c r="I964" s="127">
        <v>1.0</v>
      </c>
      <c r="J964" s="124" t="s">
        <v>406</v>
      </c>
      <c r="K964" s="124" t="s">
        <v>27</v>
      </c>
      <c r="L964" s="124" t="s">
        <v>430</v>
      </c>
    </row>
    <row r="965">
      <c r="A965" s="165">
        <v>43751.147748460644</v>
      </c>
      <c r="B965" s="161" t="s">
        <v>44</v>
      </c>
      <c r="C965" s="162" t="s">
        <v>150</v>
      </c>
      <c r="D965" s="93">
        <v>6.0</v>
      </c>
      <c r="E965" s="93">
        <v>0.0</v>
      </c>
      <c r="F965" s="124" t="s">
        <v>215</v>
      </c>
      <c r="G965" s="129" t="s">
        <v>993</v>
      </c>
      <c r="H965" s="127" t="s">
        <v>430</v>
      </c>
      <c r="I965" s="127">
        <v>-12.0</v>
      </c>
      <c r="J965" s="124" t="s">
        <v>412</v>
      </c>
      <c r="K965" s="124" t="s">
        <v>62</v>
      </c>
      <c r="L965" s="124" t="s">
        <v>430</v>
      </c>
    </row>
    <row r="966">
      <c r="A966" s="165">
        <v>43751.147748460644</v>
      </c>
      <c r="B966" s="161" t="s">
        <v>44</v>
      </c>
      <c r="C966" s="162" t="s">
        <v>161</v>
      </c>
      <c r="D966" s="93">
        <v>4.0</v>
      </c>
      <c r="E966" s="93">
        <v>2.0</v>
      </c>
      <c r="F966" s="124" t="s">
        <v>269</v>
      </c>
      <c r="G966" s="129" t="s">
        <v>994</v>
      </c>
      <c r="H966" s="127" t="s">
        <v>430</v>
      </c>
      <c r="I966" s="127" t="s">
        <v>247</v>
      </c>
      <c r="J966" s="124">
        <v>59.0</v>
      </c>
      <c r="K966" s="124" t="s">
        <v>62</v>
      </c>
      <c r="L966" s="124" t="s">
        <v>430</v>
      </c>
    </row>
    <row r="967">
      <c r="A967" s="165">
        <v>43751.147748460644</v>
      </c>
      <c r="B967" s="161" t="s">
        <v>44</v>
      </c>
      <c r="C967" s="162" t="s">
        <v>188</v>
      </c>
      <c r="D967" s="93">
        <v>2.0</v>
      </c>
      <c r="E967" s="93">
        <v>3.0</v>
      </c>
      <c r="F967" s="124" t="s">
        <v>248</v>
      </c>
      <c r="G967" s="129" t="s">
        <v>202</v>
      </c>
      <c r="H967" s="127"/>
      <c r="I967" s="127" t="s">
        <v>203</v>
      </c>
      <c r="J967" s="124" t="s">
        <v>203</v>
      </c>
      <c r="K967" s="124"/>
      <c r="L967" s="124">
        <v>9999.0</v>
      </c>
    </row>
    <row r="968">
      <c r="A968" s="165">
        <v>43751.147748460644</v>
      </c>
      <c r="B968" s="161" t="s">
        <v>44</v>
      </c>
      <c r="C968" s="162" t="s">
        <v>61</v>
      </c>
      <c r="D968" s="93">
        <v>3.0</v>
      </c>
      <c r="E968" s="93">
        <v>3.0</v>
      </c>
      <c r="F968" s="124" t="s">
        <v>248</v>
      </c>
      <c r="G968" s="129" t="s">
        <v>202</v>
      </c>
      <c r="H968" s="127"/>
      <c r="I968" s="127" t="s">
        <v>203</v>
      </c>
      <c r="J968" s="124" t="s">
        <v>203</v>
      </c>
      <c r="K968" s="124"/>
      <c r="L968" s="124">
        <v>9999.0</v>
      </c>
    </row>
    <row r="969">
      <c r="A969" s="136" t="s">
        <v>359</v>
      </c>
      <c r="B969" s="159" t="s">
        <v>2</v>
      </c>
      <c r="C969" s="160" t="s">
        <v>227</v>
      </c>
      <c r="D969" s="1" t="s">
        <v>29</v>
      </c>
      <c r="E969" s="1" t="s">
        <v>34</v>
      </c>
      <c r="F969" s="124" t="s">
        <v>261</v>
      </c>
      <c r="G969" s="129" t="s">
        <v>245</v>
      </c>
      <c r="H969" s="127" t="s">
        <v>228</v>
      </c>
      <c r="I969" s="127" t="s">
        <v>229</v>
      </c>
      <c r="J969" s="124" t="s">
        <v>262</v>
      </c>
      <c r="K969" s="124" t="s">
        <v>263</v>
      </c>
      <c r="L969" s="124" t="s">
        <v>264</v>
      </c>
    </row>
    <row r="970">
      <c r="A970" s="165">
        <v>43751.147748460644</v>
      </c>
      <c r="B970" s="161" t="s">
        <v>48</v>
      </c>
      <c r="C970" s="162" t="s">
        <v>155</v>
      </c>
      <c r="D970" s="93">
        <v>2.0</v>
      </c>
      <c r="E970" s="93">
        <v>4.0</v>
      </c>
      <c r="F970" s="124" t="s">
        <v>260</v>
      </c>
      <c r="G970" s="129" t="s">
        <v>995</v>
      </c>
      <c r="H970" s="127" t="s">
        <v>430</v>
      </c>
      <c r="I970" s="127">
        <v>4.0</v>
      </c>
      <c r="J970" s="124" t="s">
        <v>559</v>
      </c>
      <c r="K970" s="124" t="s">
        <v>69</v>
      </c>
      <c r="L970" s="124" t="s">
        <v>430</v>
      </c>
    </row>
    <row r="971">
      <c r="A971" s="165">
        <v>43751.147748460644</v>
      </c>
      <c r="B971" s="161" t="s">
        <v>48</v>
      </c>
      <c r="C971" s="162" t="s">
        <v>176</v>
      </c>
      <c r="D971" s="93">
        <v>5.0</v>
      </c>
      <c r="E971" s="93">
        <v>1.0</v>
      </c>
      <c r="F971" s="124" t="s">
        <v>201</v>
      </c>
      <c r="G971" s="129" t="s">
        <v>996</v>
      </c>
      <c r="H971" s="127" t="s">
        <v>639</v>
      </c>
      <c r="I971" s="127">
        <v>-25.0</v>
      </c>
      <c r="J971" s="124">
        <v>54.0</v>
      </c>
      <c r="K971" s="124" t="s">
        <v>69</v>
      </c>
      <c r="L971" s="124" t="s">
        <v>639</v>
      </c>
    </row>
    <row r="972">
      <c r="A972" s="165">
        <v>43751.147748460644</v>
      </c>
      <c r="B972" s="161" t="s">
        <v>48</v>
      </c>
      <c r="C972" s="162" t="s">
        <v>120</v>
      </c>
      <c r="D972" s="93">
        <v>2.0</v>
      </c>
      <c r="E972" s="93">
        <v>4.0</v>
      </c>
      <c r="F972" s="124" t="s">
        <v>266</v>
      </c>
      <c r="G972" s="129" t="s">
        <v>985</v>
      </c>
      <c r="H972" s="127" t="s">
        <v>430</v>
      </c>
      <c r="I972" s="127" t="s">
        <v>739</v>
      </c>
      <c r="J972" s="124">
        <v>57.0</v>
      </c>
      <c r="K972" s="124" t="s">
        <v>41</v>
      </c>
      <c r="L972" s="124" t="s">
        <v>430</v>
      </c>
    </row>
    <row r="973">
      <c r="A973" s="165">
        <v>43751.147748460644</v>
      </c>
      <c r="B973" s="161" t="s">
        <v>48</v>
      </c>
      <c r="C973" s="162" t="s">
        <v>144</v>
      </c>
      <c r="D973" s="93">
        <v>2.0</v>
      </c>
      <c r="E973" s="93">
        <v>4.0</v>
      </c>
      <c r="F973" s="124" t="s">
        <v>248</v>
      </c>
      <c r="G973" s="129" t="s">
        <v>997</v>
      </c>
      <c r="H973" s="127" t="s">
        <v>430</v>
      </c>
      <c r="I973" s="127" t="s">
        <v>274</v>
      </c>
      <c r="J973" s="124">
        <v>58.0</v>
      </c>
      <c r="K973" s="124" t="s">
        <v>53</v>
      </c>
      <c r="L973" s="124" t="s">
        <v>430</v>
      </c>
    </row>
    <row r="974">
      <c r="A974" s="165">
        <v>43751.147748460644</v>
      </c>
      <c r="B974" s="161" t="s">
        <v>48</v>
      </c>
      <c r="C974" s="162" t="s">
        <v>162</v>
      </c>
      <c r="D974" s="93">
        <v>5.0</v>
      </c>
      <c r="E974" s="93">
        <v>1.0</v>
      </c>
      <c r="F974" s="124" t="s">
        <v>273</v>
      </c>
      <c r="G974" s="129" t="s">
        <v>979</v>
      </c>
      <c r="H974" s="127" t="s">
        <v>430</v>
      </c>
      <c r="I974" s="127" t="s">
        <v>451</v>
      </c>
      <c r="J974" s="124">
        <v>58.0</v>
      </c>
      <c r="K974" s="124" t="s">
        <v>38</v>
      </c>
      <c r="L974" s="124" t="s">
        <v>430</v>
      </c>
    </row>
    <row r="975">
      <c r="A975" s="165">
        <v>43751.147748460644</v>
      </c>
      <c r="B975" s="161" t="s">
        <v>48</v>
      </c>
      <c r="C975" s="162" t="s">
        <v>33</v>
      </c>
      <c r="D975" s="93">
        <v>2.0</v>
      </c>
      <c r="E975" s="93">
        <v>4.0</v>
      </c>
      <c r="F975" s="124" t="s">
        <v>215</v>
      </c>
      <c r="G975" s="129" t="s">
        <v>998</v>
      </c>
      <c r="H975" s="127" t="s">
        <v>430</v>
      </c>
      <c r="I975" s="127">
        <v>7.0</v>
      </c>
      <c r="J975" s="124">
        <v>54.0</v>
      </c>
      <c r="K975" s="124" t="s">
        <v>62</v>
      </c>
      <c r="L975" s="124" t="s">
        <v>430</v>
      </c>
    </row>
    <row r="976">
      <c r="A976" s="165">
        <v>43751.147748460644</v>
      </c>
      <c r="B976" s="161" t="s">
        <v>48</v>
      </c>
      <c r="C976" s="162" t="s">
        <v>105</v>
      </c>
      <c r="D976" s="93">
        <v>3.0</v>
      </c>
      <c r="E976" s="93">
        <v>3.0</v>
      </c>
      <c r="F976" s="124" t="s">
        <v>201</v>
      </c>
      <c r="G976" s="129" t="s">
        <v>980</v>
      </c>
      <c r="H976" s="127" t="s">
        <v>430</v>
      </c>
      <c r="I976" s="127" t="s">
        <v>492</v>
      </c>
      <c r="J976" s="124">
        <v>56.0</v>
      </c>
      <c r="K976" s="124" t="s">
        <v>38</v>
      </c>
      <c r="L976" s="124" t="s">
        <v>430</v>
      </c>
    </row>
    <row r="977">
      <c r="A977" s="165">
        <v>43751.147748460644</v>
      </c>
      <c r="B977" s="161" t="s">
        <v>48</v>
      </c>
      <c r="C977" s="162" t="s">
        <v>127</v>
      </c>
      <c r="D977" s="93">
        <v>2.0</v>
      </c>
      <c r="E977" s="93">
        <v>4.0</v>
      </c>
      <c r="F977" s="124" t="s">
        <v>267</v>
      </c>
      <c r="G977" s="129" t="s">
        <v>999</v>
      </c>
      <c r="H977" s="127" t="s">
        <v>430</v>
      </c>
      <c r="I977" s="127">
        <v>11.0</v>
      </c>
      <c r="J977" s="124">
        <v>62.0</v>
      </c>
      <c r="K977" s="124" t="s">
        <v>74</v>
      </c>
      <c r="L977" s="124" t="s">
        <v>430</v>
      </c>
    </row>
    <row r="978">
      <c r="A978" s="165">
        <v>43751.147748460644</v>
      </c>
      <c r="B978" s="161" t="s">
        <v>48</v>
      </c>
      <c r="C978" s="162" t="s">
        <v>187</v>
      </c>
      <c r="D978" s="93">
        <v>2.0</v>
      </c>
      <c r="E978" s="93">
        <v>2.0</v>
      </c>
      <c r="F978" s="124" t="s">
        <v>248</v>
      </c>
      <c r="G978" s="129" t="s">
        <v>202</v>
      </c>
      <c r="H978" s="127"/>
      <c r="I978" s="127" t="s">
        <v>203</v>
      </c>
      <c r="J978" s="124" t="s">
        <v>203</v>
      </c>
      <c r="K978" s="124"/>
      <c r="L978" s="124">
        <v>9999.0</v>
      </c>
    </row>
    <row r="979">
      <c r="A979" s="165">
        <v>43751.147748460644</v>
      </c>
      <c r="B979" s="161" t="s">
        <v>48</v>
      </c>
      <c r="C979" s="162" t="s">
        <v>90</v>
      </c>
      <c r="D979" s="93">
        <v>3.0</v>
      </c>
      <c r="E979" s="93">
        <v>3.0</v>
      </c>
      <c r="F979" s="124" t="s">
        <v>248</v>
      </c>
      <c r="G979" s="129" t="s">
        <v>202</v>
      </c>
      <c r="H979" s="127"/>
      <c r="I979" s="127" t="s">
        <v>203</v>
      </c>
      <c r="J979" s="124" t="s">
        <v>203</v>
      </c>
      <c r="K979" s="124"/>
      <c r="L979" s="124">
        <v>9999.0</v>
      </c>
    </row>
    <row r="980">
      <c r="A980" s="136" t="s">
        <v>359</v>
      </c>
      <c r="B980" s="115" t="s">
        <v>2</v>
      </c>
      <c r="C980" s="153" t="s">
        <v>227</v>
      </c>
      <c r="D980" s="118" t="s">
        <v>29</v>
      </c>
      <c r="E980" s="118" t="s">
        <v>34</v>
      </c>
      <c r="F980" s="124" t="s">
        <v>261</v>
      </c>
      <c r="G980" s="129" t="s">
        <v>245</v>
      </c>
      <c r="H980" s="127" t="s">
        <v>228</v>
      </c>
      <c r="I980" s="127" t="s">
        <v>229</v>
      </c>
      <c r="J980" s="124" t="s">
        <v>262</v>
      </c>
      <c r="K980" s="124" t="s">
        <v>263</v>
      </c>
      <c r="L980" s="124" t="s">
        <v>264</v>
      </c>
    </row>
    <row r="981">
      <c r="A981" s="165">
        <v>43751.147748460644</v>
      </c>
      <c r="B981" s="161" t="s">
        <v>53</v>
      </c>
      <c r="C981" s="162" t="s">
        <v>191</v>
      </c>
      <c r="D981" s="93">
        <v>3.0</v>
      </c>
      <c r="E981" s="93">
        <v>3.0</v>
      </c>
      <c r="F981" s="124" t="s">
        <v>248</v>
      </c>
      <c r="G981" s="129" t="s">
        <v>1000</v>
      </c>
      <c r="H981" s="127" t="s">
        <v>430</v>
      </c>
      <c r="I981" s="127">
        <v>-3.0</v>
      </c>
      <c r="J981" s="124" t="s">
        <v>240</v>
      </c>
      <c r="K981" s="124" t="s">
        <v>69</v>
      </c>
      <c r="L981" s="124" t="s">
        <v>430</v>
      </c>
    </row>
    <row r="982">
      <c r="A982" s="165">
        <v>43751.147748460644</v>
      </c>
      <c r="B982" s="161" t="s">
        <v>53</v>
      </c>
      <c r="C982" s="162" t="s">
        <v>93</v>
      </c>
      <c r="D982" s="93">
        <v>4.0</v>
      </c>
      <c r="E982" s="93">
        <v>2.0</v>
      </c>
      <c r="F982" s="124" t="s">
        <v>201</v>
      </c>
      <c r="G982" s="129" t="s">
        <v>1001</v>
      </c>
      <c r="H982" s="127" t="s">
        <v>430</v>
      </c>
      <c r="I982" s="127">
        <v>1.0</v>
      </c>
      <c r="J982" s="124">
        <v>46.0</v>
      </c>
      <c r="K982" s="124" t="s">
        <v>69</v>
      </c>
      <c r="L982" s="124" t="s">
        <v>430</v>
      </c>
    </row>
    <row r="983">
      <c r="A983" s="165">
        <v>43751.147748460644</v>
      </c>
      <c r="B983" s="161" t="s">
        <v>53</v>
      </c>
      <c r="C983" s="162" t="s">
        <v>164</v>
      </c>
      <c r="D983" s="93">
        <v>3.0</v>
      </c>
      <c r="E983" s="93">
        <v>3.0</v>
      </c>
      <c r="F983" s="124" t="s">
        <v>269</v>
      </c>
      <c r="G983" s="129" t="s">
        <v>1002</v>
      </c>
      <c r="H983" s="127" t="s">
        <v>430</v>
      </c>
      <c r="I983" s="127" t="s">
        <v>514</v>
      </c>
      <c r="J983" s="124">
        <v>57.0</v>
      </c>
      <c r="K983" s="124" t="s">
        <v>58</v>
      </c>
      <c r="L983" s="124" t="s">
        <v>430</v>
      </c>
    </row>
    <row r="984">
      <c r="A984" s="165">
        <v>43751.147748460644</v>
      </c>
      <c r="B984" s="161" t="s">
        <v>53</v>
      </c>
      <c r="C984" s="162" t="s">
        <v>100</v>
      </c>
      <c r="D984" s="93">
        <v>6.0</v>
      </c>
      <c r="E984" s="93">
        <v>0.0</v>
      </c>
      <c r="F984" s="124" t="s">
        <v>278</v>
      </c>
      <c r="G984" s="129" t="s">
        <v>1003</v>
      </c>
      <c r="H984" s="127" t="s">
        <v>430</v>
      </c>
      <c r="I984" s="127">
        <v>-11.0</v>
      </c>
      <c r="J984" s="124" t="s">
        <v>732</v>
      </c>
      <c r="K984" s="124" t="s">
        <v>60</v>
      </c>
      <c r="L984" s="124" t="s">
        <v>430</v>
      </c>
    </row>
    <row r="985">
      <c r="A985" s="165">
        <v>43751.147748460644</v>
      </c>
      <c r="B985" s="161" t="s">
        <v>53</v>
      </c>
      <c r="C985" s="162" t="s">
        <v>179</v>
      </c>
      <c r="D985" s="93">
        <v>3.0</v>
      </c>
      <c r="E985" s="93">
        <v>3.0</v>
      </c>
      <c r="F985" s="124" t="s">
        <v>287</v>
      </c>
      <c r="G985" s="129" t="s">
        <v>1004</v>
      </c>
      <c r="H985" s="127" t="s">
        <v>430</v>
      </c>
      <c r="I985" s="127" t="s">
        <v>244</v>
      </c>
      <c r="J985" s="124">
        <v>53.0</v>
      </c>
      <c r="K985" s="124" t="s">
        <v>58</v>
      </c>
      <c r="L985" s="124" t="s">
        <v>430</v>
      </c>
    </row>
    <row r="986">
      <c r="A986" s="165">
        <v>43751.147748460644</v>
      </c>
      <c r="B986" s="161" t="s">
        <v>53</v>
      </c>
      <c r="C986" s="162" t="s">
        <v>148</v>
      </c>
      <c r="D986" s="93">
        <v>4.0</v>
      </c>
      <c r="E986" s="93">
        <v>3.0</v>
      </c>
      <c r="F986" s="124" t="s">
        <v>242</v>
      </c>
      <c r="G986" s="129" t="s">
        <v>997</v>
      </c>
      <c r="H986" s="127" t="s">
        <v>430</v>
      </c>
      <c r="I986" s="127" t="s">
        <v>226</v>
      </c>
      <c r="J986" s="124">
        <v>58.0</v>
      </c>
      <c r="K986" s="124" t="s">
        <v>48</v>
      </c>
      <c r="L986" s="124" t="s">
        <v>430</v>
      </c>
    </row>
    <row r="987">
      <c r="A987" s="165">
        <v>43751.147748460644</v>
      </c>
      <c r="B987" s="161" t="s">
        <v>53</v>
      </c>
      <c r="C987" s="162" t="s">
        <v>157</v>
      </c>
      <c r="D987" s="93">
        <v>3.0</v>
      </c>
      <c r="E987" s="93">
        <v>3.0</v>
      </c>
      <c r="F987" s="124" t="s">
        <v>248</v>
      </c>
      <c r="G987" s="129" t="s">
        <v>1005</v>
      </c>
      <c r="H987" s="127" t="s">
        <v>430</v>
      </c>
      <c r="I987" s="127" t="s">
        <v>674</v>
      </c>
      <c r="J987" s="124">
        <v>58.0</v>
      </c>
      <c r="K987" s="124" t="s">
        <v>64</v>
      </c>
      <c r="L987" s="124" t="s">
        <v>430</v>
      </c>
    </row>
    <row r="988">
      <c r="A988" s="165">
        <v>43751.147748460644</v>
      </c>
      <c r="B988" s="161" t="s">
        <v>53</v>
      </c>
      <c r="C988" s="162" t="s">
        <v>136</v>
      </c>
      <c r="D988" s="93">
        <v>5.0</v>
      </c>
      <c r="E988" s="93">
        <v>1.0</v>
      </c>
      <c r="F988" s="124" t="s">
        <v>267</v>
      </c>
      <c r="G988" s="129" t="s">
        <v>969</v>
      </c>
      <c r="H988" s="127" t="s">
        <v>430</v>
      </c>
      <c r="I988" s="127">
        <v>-11.0</v>
      </c>
      <c r="J988" s="124">
        <v>45.0</v>
      </c>
      <c r="K988" s="124" t="s">
        <v>27</v>
      </c>
      <c r="L988" s="124" t="s">
        <v>430</v>
      </c>
    </row>
    <row r="989">
      <c r="A989" s="165">
        <v>43751.147748460644</v>
      </c>
      <c r="B989" s="161" t="s">
        <v>53</v>
      </c>
      <c r="C989" s="162" t="s">
        <v>119</v>
      </c>
      <c r="D989" s="93">
        <v>6.0</v>
      </c>
      <c r="E989" s="93">
        <v>0.0</v>
      </c>
      <c r="F989" s="124" t="s">
        <v>207</v>
      </c>
      <c r="G989" s="129" t="s">
        <v>1006</v>
      </c>
      <c r="H989" s="127" t="s">
        <v>430</v>
      </c>
      <c r="I989" s="127" t="s">
        <v>620</v>
      </c>
      <c r="J989" s="124" t="s">
        <v>608</v>
      </c>
      <c r="K989" s="124" t="s">
        <v>58</v>
      </c>
      <c r="L989" s="124" t="s">
        <v>430</v>
      </c>
    </row>
    <row r="990">
      <c r="A990" s="165">
        <v>43751.147748460644</v>
      </c>
      <c r="B990" s="161" t="s">
        <v>53</v>
      </c>
      <c r="C990" s="162" t="s">
        <v>42</v>
      </c>
      <c r="D990" s="93">
        <v>6.0</v>
      </c>
      <c r="E990" s="93">
        <v>0.0</v>
      </c>
      <c r="F990" s="124" t="s">
        <v>248</v>
      </c>
      <c r="G990" s="129" t="s">
        <v>202</v>
      </c>
      <c r="H990" s="127"/>
      <c r="I990" s="127" t="s">
        <v>203</v>
      </c>
      <c r="J990" s="124" t="s">
        <v>203</v>
      </c>
      <c r="K990" s="124"/>
      <c r="L990" s="124">
        <v>9999.0</v>
      </c>
    </row>
    <row r="991">
      <c r="A991" s="136" t="s">
        <v>359</v>
      </c>
      <c r="B991" s="115" t="s">
        <v>2</v>
      </c>
      <c r="C991" s="153" t="s">
        <v>227</v>
      </c>
      <c r="D991" s="118" t="s">
        <v>29</v>
      </c>
      <c r="E991" s="118" t="s">
        <v>34</v>
      </c>
      <c r="F991" s="124" t="s">
        <v>261</v>
      </c>
      <c r="G991" s="129" t="s">
        <v>245</v>
      </c>
      <c r="H991" s="127" t="s">
        <v>228</v>
      </c>
      <c r="I991" s="127" t="s">
        <v>229</v>
      </c>
      <c r="J991" s="124" t="s">
        <v>262</v>
      </c>
      <c r="K991" s="124" t="s">
        <v>263</v>
      </c>
      <c r="L991" s="124" t="s">
        <v>264</v>
      </c>
    </row>
    <row r="992">
      <c r="A992" s="165">
        <v>43751.147748460644</v>
      </c>
      <c r="B992" s="161" t="s">
        <v>58</v>
      </c>
      <c r="C992" s="162" t="s">
        <v>186</v>
      </c>
      <c r="D992" s="93">
        <v>5.0</v>
      </c>
      <c r="E992" s="93">
        <v>0.0</v>
      </c>
      <c r="F992" s="124" t="s">
        <v>248</v>
      </c>
      <c r="G992" s="129" t="s">
        <v>984</v>
      </c>
      <c r="H992" s="127" t="s">
        <v>430</v>
      </c>
      <c r="I992" s="127" t="s">
        <v>674</v>
      </c>
      <c r="J992" s="124" t="s">
        <v>952</v>
      </c>
      <c r="K992" s="124" t="s">
        <v>41</v>
      </c>
      <c r="L992" s="124" t="s">
        <v>430</v>
      </c>
    </row>
    <row r="993">
      <c r="A993" s="165">
        <v>43751.147748460644</v>
      </c>
      <c r="B993" s="161" t="s">
        <v>58</v>
      </c>
      <c r="C993" s="162" t="s">
        <v>165</v>
      </c>
      <c r="D993" s="93">
        <v>5.0</v>
      </c>
      <c r="E993" s="93">
        <v>1.0</v>
      </c>
      <c r="F993" s="124" t="s">
        <v>269</v>
      </c>
      <c r="G993" s="129" t="s">
        <v>1002</v>
      </c>
      <c r="H993" s="127" t="s">
        <v>430</v>
      </c>
      <c r="I993" s="127" t="s">
        <v>390</v>
      </c>
      <c r="J993" s="124">
        <v>57.0</v>
      </c>
      <c r="K993" s="124" t="s">
        <v>53</v>
      </c>
      <c r="L993" s="124" t="s">
        <v>430</v>
      </c>
    </row>
    <row r="994">
      <c r="A994" s="165">
        <v>43751.147748460644</v>
      </c>
      <c r="B994" s="161" t="s">
        <v>58</v>
      </c>
      <c r="C994" s="162" t="s">
        <v>183</v>
      </c>
      <c r="D994" s="93">
        <v>2.0</v>
      </c>
      <c r="E994" s="93">
        <v>4.0</v>
      </c>
      <c r="F994" s="124" t="s">
        <v>287</v>
      </c>
      <c r="G994" s="129" t="s">
        <v>1004</v>
      </c>
      <c r="H994" s="127" t="s">
        <v>430</v>
      </c>
      <c r="I994" s="127" t="s">
        <v>247</v>
      </c>
      <c r="J994" s="124">
        <v>53.0</v>
      </c>
      <c r="K994" s="124" t="s">
        <v>53</v>
      </c>
      <c r="L994" s="124" t="s">
        <v>430</v>
      </c>
    </row>
    <row r="995">
      <c r="A995" s="165">
        <v>43751.147748460644</v>
      </c>
      <c r="B995" s="161" t="s">
        <v>58</v>
      </c>
      <c r="C995" s="162" t="s">
        <v>72</v>
      </c>
      <c r="D995" s="93">
        <v>4.0</v>
      </c>
      <c r="E995" s="93">
        <v>2.0</v>
      </c>
      <c r="F995" s="124" t="s">
        <v>265</v>
      </c>
      <c r="G995" s="129" t="s">
        <v>1007</v>
      </c>
      <c r="H995" s="127" t="s">
        <v>430</v>
      </c>
      <c r="I995" s="127">
        <v>-17.0</v>
      </c>
      <c r="J995" s="124" t="s">
        <v>283</v>
      </c>
      <c r="K995" s="124" t="s">
        <v>288</v>
      </c>
      <c r="L995" s="124" t="s">
        <v>430</v>
      </c>
    </row>
    <row r="996">
      <c r="A996" s="165">
        <v>43751.147748460644</v>
      </c>
      <c r="B996" s="161" t="s">
        <v>58</v>
      </c>
      <c r="C996" s="162" t="s">
        <v>45</v>
      </c>
      <c r="D996" s="93">
        <v>3.0</v>
      </c>
      <c r="E996" s="93">
        <v>3.0</v>
      </c>
      <c r="F996" s="124" t="s">
        <v>260</v>
      </c>
      <c r="G996" s="129" t="s">
        <v>986</v>
      </c>
      <c r="H996" s="127" t="s">
        <v>430</v>
      </c>
      <c r="I996" s="127" t="s">
        <v>376</v>
      </c>
      <c r="J996" s="124">
        <v>51.0</v>
      </c>
      <c r="K996" s="124" t="s">
        <v>41</v>
      </c>
      <c r="L996" s="124" t="s">
        <v>430</v>
      </c>
    </row>
    <row r="997">
      <c r="A997" s="165">
        <v>43751.147748460644</v>
      </c>
      <c r="B997" s="161" t="s">
        <v>58</v>
      </c>
      <c r="C997" s="162" t="s">
        <v>96</v>
      </c>
      <c r="D997" s="93">
        <v>6.0</v>
      </c>
      <c r="E997" s="93">
        <v>0.0</v>
      </c>
      <c r="F997" s="124" t="s">
        <v>269</v>
      </c>
      <c r="G997" s="129" t="s">
        <v>990</v>
      </c>
      <c r="H997" s="127" t="s">
        <v>639</v>
      </c>
      <c r="I997" s="127">
        <v>-10.0</v>
      </c>
      <c r="J997" s="124">
        <v>58.0</v>
      </c>
      <c r="K997" s="124" t="s">
        <v>44</v>
      </c>
      <c r="L997" s="124" t="s">
        <v>639</v>
      </c>
    </row>
    <row r="998">
      <c r="A998" s="165">
        <v>43751.147748460644</v>
      </c>
      <c r="B998" s="161" t="s">
        <v>58</v>
      </c>
      <c r="C998" s="162" t="s">
        <v>158</v>
      </c>
      <c r="D998" s="93">
        <v>2.0</v>
      </c>
      <c r="E998" s="93">
        <v>4.0</v>
      </c>
      <c r="F998" s="124" t="s">
        <v>287</v>
      </c>
      <c r="G998" s="129" t="s">
        <v>1008</v>
      </c>
      <c r="H998" s="127" t="s">
        <v>430</v>
      </c>
      <c r="I998" s="127">
        <v>15.0</v>
      </c>
      <c r="J998" s="124">
        <v>59.0</v>
      </c>
      <c r="K998" s="124" t="s">
        <v>288</v>
      </c>
      <c r="L998" s="124" t="s">
        <v>430</v>
      </c>
    </row>
    <row r="999">
      <c r="A999" s="165">
        <v>43751.147748460644</v>
      </c>
      <c r="B999" s="161" t="s">
        <v>58</v>
      </c>
      <c r="C999" s="162" t="s">
        <v>135</v>
      </c>
      <c r="D999" s="93">
        <v>4.0</v>
      </c>
      <c r="E999" s="93">
        <v>2.0</v>
      </c>
      <c r="F999" s="124" t="s">
        <v>357</v>
      </c>
      <c r="G999" s="129" t="s">
        <v>1009</v>
      </c>
      <c r="H999" s="127" t="s">
        <v>430</v>
      </c>
      <c r="I999" s="127">
        <v>4.0</v>
      </c>
      <c r="J999" s="124" t="s">
        <v>573</v>
      </c>
      <c r="K999" s="124" t="s">
        <v>64</v>
      </c>
      <c r="L999" s="124" t="s">
        <v>430</v>
      </c>
    </row>
    <row r="1000">
      <c r="A1000" s="165">
        <v>43751.147748460644</v>
      </c>
      <c r="B1000" s="161" t="s">
        <v>58</v>
      </c>
      <c r="C1000" s="162" t="s">
        <v>110</v>
      </c>
      <c r="D1000" s="93">
        <v>4.0</v>
      </c>
      <c r="E1000" s="93">
        <v>2.0</v>
      </c>
      <c r="F1000" s="124" t="s">
        <v>207</v>
      </c>
      <c r="G1000" s="129" t="s">
        <v>1006</v>
      </c>
      <c r="H1000" s="127" t="s">
        <v>430</v>
      </c>
      <c r="I1000" s="127" t="s">
        <v>739</v>
      </c>
      <c r="J1000" s="124" t="s">
        <v>608</v>
      </c>
      <c r="K1000" s="124" t="s">
        <v>53</v>
      </c>
      <c r="L1000" s="124" t="s">
        <v>430</v>
      </c>
    </row>
    <row r="1001">
      <c r="A1001" s="165">
        <v>43751.147748460644</v>
      </c>
      <c r="B1001" s="161" t="s">
        <v>58</v>
      </c>
      <c r="C1001" s="162" t="s">
        <v>140</v>
      </c>
      <c r="D1001" s="93">
        <v>2.0</v>
      </c>
      <c r="E1001" s="93">
        <v>4.0</v>
      </c>
      <c r="F1001" s="124" t="s">
        <v>248</v>
      </c>
      <c r="G1001" s="129" t="s">
        <v>202</v>
      </c>
      <c r="H1001" s="127"/>
      <c r="I1001" s="127" t="s">
        <v>203</v>
      </c>
      <c r="J1001" s="124" t="s">
        <v>203</v>
      </c>
      <c r="K1001" s="124"/>
      <c r="L1001" s="124">
        <v>9999.0</v>
      </c>
    </row>
    <row r="1002">
      <c r="A1002" s="136" t="s">
        <v>359</v>
      </c>
      <c r="B1002" s="115" t="s">
        <v>2</v>
      </c>
      <c r="C1002" s="153" t="s">
        <v>227</v>
      </c>
      <c r="D1002" s="118" t="s">
        <v>29</v>
      </c>
      <c r="E1002" s="118" t="s">
        <v>34</v>
      </c>
      <c r="F1002" s="124" t="s">
        <v>261</v>
      </c>
      <c r="G1002" s="129" t="s">
        <v>245</v>
      </c>
      <c r="H1002" s="127" t="s">
        <v>228</v>
      </c>
      <c r="I1002" s="127" t="s">
        <v>229</v>
      </c>
      <c r="J1002" s="124" t="s">
        <v>262</v>
      </c>
      <c r="K1002" s="124" t="s">
        <v>263</v>
      </c>
      <c r="L1002" s="124" t="s">
        <v>264</v>
      </c>
    </row>
    <row r="1003">
      <c r="A1003" s="165">
        <v>43751.147748460644</v>
      </c>
      <c r="B1003" s="161" t="s">
        <v>60</v>
      </c>
      <c r="C1003" s="162" t="s">
        <v>103</v>
      </c>
      <c r="D1003" s="93">
        <v>4.0</v>
      </c>
      <c r="E1003" s="93">
        <v>2.0</v>
      </c>
      <c r="F1003" s="124" t="s">
        <v>278</v>
      </c>
      <c r="G1003" s="129" t="s">
        <v>1003</v>
      </c>
      <c r="H1003" s="127" t="s">
        <v>430</v>
      </c>
      <c r="I1003" s="127">
        <v>11.0</v>
      </c>
      <c r="J1003" s="124" t="s">
        <v>732</v>
      </c>
      <c r="K1003" s="124" t="s">
        <v>53</v>
      </c>
      <c r="L1003" s="124" t="s">
        <v>430</v>
      </c>
    </row>
    <row r="1004">
      <c r="A1004" s="165">
        <v>43751.147748460644</v>
      </c>
      <c r="B1004" s="161" t="s">
        <v>60</v>
      </c>
      <c r="C1004" s="162" t="s">
        <v>137</v>
      </c>
      <c r="D1004" s="93">
        <v>0.0</v>
      </c>
      <c r="E1004" s="93">
        <v>6.0</v>
      </c>
      <c r="F1004" s="124" t="s">
        <v>282</v>
      </c>
      <c r="G1004" s="129" t="s">
        <v>1010</v>
      </c>
      <c r="H1004" s="127" t="s">
        <v>430</v>
      </c>
      <c r="I1004" s="127">
        <v>12.0</v>
      </c>
      <c r="J1004" s="124" t="s">
        <v>546</v>
      </c>
      <c r="K1004" s="124" t="s">
        <v>62</v>
      </c>
      <c r="L1004" s="124" t="s">
        <v>430</v>
      </c>
    </row>
    <row r="1005">
      <c r="A1005" s="165">
        <v>43751.147748460644</v>
      </c>
      <c r="B1005" s="161" t="s">
        <v>60</v>
      </c>
      <c r="C1005" s="162" t="s">
        <v>189</v>
      </c>
      <c r="D1005" s="93">
        <v>4.0</v>
      </c>
      <c r="E1005" s="93">
        <v>2.0</v>
      </c>
      <c r="F1005" s="124" t="s">
        <v>267</v>
      </c>
      <c r="G1005" s="129" t="s">
        <v>968</v>
      </c>
      <c r="H1005" s="127" t="s">
        <v>430</v>
      </c>
      <c r="I1005" s="127">
        <v>6.0</v>
      </c>
      <c r="J1005" s="124">
        <v>67.0</v>
      </c>
      <c r="K1005" s="124" t="s">
        <v>27</v>
      </c>
      <c r="L1005" s="124" t="s">
        <v>430</v>
      </c>
    </row>
    <row r="1006">
      <c r="A1006" s="165">
        <v>43751.147748460644</v>
      </c>
      <c r="B1006" s="161" t="s">
        <v>60</v>
      </c>
      <c r="C1006" s="162" t="s">
        <v>149</v>
      </c>
      <c r="D1006" s="93">
        <v>4.0</v>
      </c>
      <c r="E1006" s="93">
        <v>2.0</v>
      </c>
      <c r="F1006" s="124" t="s">
        <v>260</v>
      </c>
      <c r="G1006" s="129" t="s">
        <v>970</v>
      </c>
      <c r="H1006" s="127" t="s">
        <v>430</v>
      </c>
      <c r="I1006" s="127">
        <v>-4.0</v>
      </c>
      <c r="J1006" s="124" t="s">
        <v>507</v>
      </c>
      <c r="K1006" s="124" t="s">
        <v>27</v>
      </c>
      <c r="L1006" s="124" t="s">
        <v>430</v>
      </c>
    </row>
    <row r="1007">
      <c r="A1007" s="165">
        <v>43751.147748460644</v>
      </c>
      <c r="B1007" s="161" t="s">
        <v>60</v>
      </c>
      <c r="C1007" s="162" t="s">
        <v>123</v>
      </c>
      <c r="D1007" s="93">
        <v>3.0</v>
      </c>
      <c r="E1007" s="93">
        <v>3.0</v>
      </c>
      <c r="F1007" s="124" t="s">
        <v>248</v>
      </c>
      <c r="G1007" s="129" t="s">
        <v>991</v>
      </c>
      <c r="H1007" s="127" t="s">
        <v>430</v>
      </c>
      <c r="I1007" s="127" t="s">
        <v>512</v>
      </c>
      <c r="J1007" s="124" t="s">
        <v>419</v>
      </c>
      <c r="K1007" s="124" t="s">
        <v>44</v>
      </c>
      <c r="L1007" s="124" t="s">
        <v>430</v>
      </c>
    </row>
    <row r="1008">
      <c r="A1008" s="165">
        <v>43751.147748460644</v>
      </c>
      <c r="B1008" s="161" t="s">
        <v>60</v>
      </c>
      <c r="C1008" s="162" t="s">
        <v>95</v>
      </c>
      <c r="D1008" s="93">
        <v>5.0</v>
      </c>
      <c r="E1008" s="93">
        <v>1.0</v>
      </c>
      <c r="F1008" s="124" t="s">
        <v>285</v>
      </c>
      <c r="G1008" s="129" t="s">
        <v>1011</v>
      </c>
      <c r="H1008" s="127" t="s">
        <v>430</v>
      </c>
      <c r="I1008" s="127" t="s">
        <v>244</v>
      </c>
      <c r="J1008" s="124">
        <v>66.0</v>
      </c>
      <c r="K1008" s="124" t="s">
        <v>288</v>
      </c>
      <c r="L1008" s="124" t="s">
        <v>430</v>
      </c>
    </row>
    <row r="1009">
      <c r="A1009" s="165">
        <v>43751.147748460644</v>
      </c>
      <c r="B1009" s="161" t="s">
        <v>60</v>
      </c>
      <c r="C1009" s="162" t="s">
        <v>175</v>
      </c>
      <c r="D1009" s="93">
        <v>6.0</v>
      </c>
      <c r="E1009" s="93">
        <v>1.0</v>
      </c>
      <c r="F1009" s="124" t="s">
        <v>201</v>
      </c>
      <c r="G1009" s="129" t="s">
        <v>981</v>
      </c>
      <c r="H1009" s="127" t="s">
        <v>430</v>
      </c>
      <c r="I1009" s="127" t="s">
        <v>274</v>
      </c>
      <c r="J1009" s="124" t="s">
        <v>546</v>
      </c>
      <c r="K1009" s="124" t="s">
        <v>38</v>
      </c>
      <c r="L1009" s="124" t="s">
        <v>430</v>
      </c>
    </row>
    <row r="1010">
      <c r="A1010" s="165">
        <v>43751.147748460644</v>
      </c>
      <c r="B1010" s="161" t="s">
        <v>60</v>
      </c>
      <c r="C1010" s="162" t="s">
        <v>166</v>
      </c>
      <c r="D1010" s="93">
        <v>2.0</v>
      </c>
      <c r="E1010" s="93">
        <v>4.0</v>
      </c>
      <c r="F1010" s="124" t="s">
        <v>273</v>
      </c>
      <c r="G1010" s="129" t="s">
        <v>1012</v>
      </c>
      <c r="H1010" s="127" t="s">
        <v>430</v>
      </c>
      <c r="I1010" s="127" t="s">
        <v>274</v>
      </c>
      <c r="J1010" s="124">
        <v>61.0</v>
      </c>
      <c r="K1010" s="124" t="s">
        <v>69</v>
      </c>
      <c r="L1010" s="124" t="s">
        <v>430</v>
      </c>
    </row>
    <row r="1011">
      <c r="A1011" s="165">
        <v>43751.147748460644</v>
      </c>
      <c r="B1011" s="161" t="s">
        <v>60</v>
      </c>
      <c r="C1011" s="162" t="s">
        <v>59</v>
      </c>
      <c r="D1011" s="93">
        <v>4.0</v>
      </c>
      <c r="E1011" s="93">
        <v>2.0</v>
      </c>
      <c r="F1011" s="124" t="s">
        <v>248</v>
      </c>
      <c r="G1011" s="129" t="s">
        <v>202</v>
      </c>
      <c r="H1011" s="127"/>
      <c r="I1011" s="127" t="s">
        <v>203</v>
      </c>
      <c r="J1011" s="124" t="s">
        <v>203</v>
      </c>
      <c r="K1011" s="124"/>
      <c r="L1011" s="124">
        <v>9999.0</v>
      </c>
    </row>
    <row r="1012">
      <c r="A1012" s="165">
        <v>43751.147748460644</v>
      </c>
      <c r="B1012" s="161" t="s">
        <v>60</v>
      </c>
      <c r="C1012" s="162" t="s">
        <v>117</v>
      </c>
      <c r="D1012" s="93">
        <v>1.0</v>
      </c>
      <c r="E1012" s="93">
        <v>4.0</v>
      </c>
      <c r="F1012" s="124" t="s">
        <v>248</v>
      </c>
      <c r="G1012" s="129" t="s">
        <v>202</v>
      </c>
      <c r="H1012" s="127"/>
      <c r="I1012" s="127" t="s">
        <v>203</v>
      </c>
      <c r="J1012" s="124" t="s">
        <v>203</v>
      </c>
      <c r="K1012" s="124"/>
      <c r="L1012" s="124">
        <v>9999.0</v>
      </c>
    </row>
    <row r="1013">
      <c r="A1013" s="136" t="s">
        <v>359</v>
      </c>
      <c r="B1013" s="115" t="s">
        <v>2</v>
      </c>
      <c r="C1013" s="153" t="s">
        <v>227</v>
      </c>
      <c r="D1013" s="118" t="s">
        <v>29</v>
      </c>
      <c r="E1013" s="118" t="s">
        <v>34</v>
      </c>
      <c r="F1013" s="124" t="s">
        <v>261</v>
      </c>
      <c r="G1013" s="129" t="s">
        <v>245</v>
      </c>
      <c r="H1013" s="127" t="s">
        <v>228</v>
      </c>
      <c r="I1013" s="127" t="s">
        <v>229</v>
      </c>
      <c r="J1013" s="124" t="s">
        <v>262</v>
      </c>
      <c r="K1013" s="124" t="s">
        <v>263</v>
      </c>
      <c r="L1013" s="124" t="s">
        <v>264</v>
      </c>
    </row>
    <row r="1014">
      <c r="A1014" s="165">
        <v>43751.147748460644</v>
      </c>
      <c r="B1014" s="161" t="s">
        <v>62</v>
      </c>
      <c r="C1014" s="162" t="s">
        <v>92</v>
      </c>
      <c r="D1014" s="93">
        <v>3.0</v>
      </c>
      <c r="E1014" s="93">
        <v>3.0</v>
      </c>
      <c r="F1014" s="124" t="s">
        <v>201</v>
      </c>
      <c r="G1014" s="129" t="s">
        <v>1013</v>
      </c>
      <c r="H1014" s="127" t="s">
        <v>430</v>
      </c>
      <c r="I1014" s="127" t="s">
        <v>739</v>
      </c>
      <c r="J1014" s="124">
        <v>58.0</v>
      </c>
      <c r="K1014" s="124" t="s">
        <v>74</v>
      </c>
      <c r="L1014" s="124" t="s">
        <v>430</v>
      </c>
    </row>
    <row r="1015">
      <c r="A1015" s="165">
        <v>43751.147748460644</v>
      </c>
      <c r="B1015" s="161" t="s">
        <v>62</v>
      </c>
      <c r="C1015" s="162" t="s">
        <v>112</v>
      </c>
      <c r="D1015" s="93">
        <v>5.0</v>
      </c>
      <c r="E1015" s="93">
        <v>1.0</v>
      </c>
      <c r="F1015" s="124" t="s">
        <v>207</v>
      </c>
      <c r="G1015" s="129" t="s">
        <v>1014</v>
      </c>
      <c r="H1015" s="127" t="s">
        <v>430</v>
      </c>
      <c r="I1015" s="127" t="s">
        <v>393</v>
      </c>
      <c r="J1015" s="124" t="s">
        <v>462</v>
      </c>
      <c r="K1015" s="124" t="s">
        <v>288</v>
      </c>
      <c r="L1015" s="124" t="s">
        <v>430</v>
      </c>
    </row>
    <row r="1016">
      <c r="A1016" s="165">
        <v>43751.147748460644</v>
      </c>
      <c r="B1016" s="161" t="s">
        <v>62</v>
      </c>
      <c r="C1016" s="162" t="s">
        <v>184</v>
      </c>
      <c r="D1016" s="93">
        <v>3.0</v>
      </c>
      <c r="E1016" s="93">
        <v>3.0</v>
      </c>
      <c r="F1016" s="124" t="s">
        <v>234</v>
      </c>
      <c r="G1016" s="129" t="s">
        <v>965</v>
      </c>
      <c r="H1016" s="127" t="s">
        <v>430</v>
      </c>
      <c r="I1016" s="127">
        <v>17.0</v>
      </c>
      <c r="J1016" s="124">
        <v>61.0</v>
      </c>
      <c r="K1016" s="124" t="s">
        <v>27</v>
      </c>
      <c r="L1016" s="124" t="s">
        <v>430</v>
      </c>
    </row>
    <row r="1017">
      <c r="A1017" s="165">
        <v>43751.147748460644</v>
      </c>
      <c r="B1017" s="161" t="s">
        <v>62</v>
      </c>
      <c r="C1017" s="162" t="s">
        <v>5</v>
      </c>
      <c r="D1017" s="93">
        <v>5.0</v>
      </c>
      <c r="E1017" s="93">
        <v>1.0</v>
      </c>
      <c r="F1017" s="124" t="s">
        <v>215</v>
      </c>
      <c r="G1017" s="129" t="s">
        <v>998</v>
      </c>
      <c r="H1017" s="127" t="s">
        <v>430</v>
      </c>
      <c r="I1017" s="127">
        <v>-7.0</v>
      </c>
      <c r="J1017" s="124">
        <v>54.0</v>
      </c>
      <c r="K1017" s="124" t="s">
        <v>48</v>
      </c>
      <c r="L1017" s="124" t="s">
        <v>430</v>
      </c>
    </row>
    <row r="1018">
      <c r="A1018" s="165">
        <v>43751.147748460644</v>
      </c>
      <c r="B1018" s="161" t="s">
        <v>62</v>
      </c>
      <c r="C1018" s="162" t="s">
        <v>143</v>
      </c>
      <c r="D1018" s="93">
        <v>3.0</v>
      </c>
      <c r="E1018" s="93">
        <v>3.0</v>
      </c>
      <c r="F1018" s="124" t="s">
        <v>282</v>
      </c>
      <c r="G1018" s="129" t="s">
        <v>1010</v>
      </c>
      <c r="H1018" s="127" t="s">
        <v>430</v>
      </c>
      <c r="I1018" s="127">
        <v>-12.0</v>
      </c>
      <c r="J1018" s="124" t="s">
        <v>546</v>
      </c>
      <c r="K1018" s="124" t="s">
        <v>60</v>
      </c>
      <c r="L1018" s="124" t="s">
        <v>430</v>
      </c>
    </row>
    <row r="1019">
      <c r="A1019" s="165">
        <v>43751.147748460644</v>
      </c>
      <c r="B1019" s="161" t="s">
        <v>62</v>
      </c>
      <c r="C1019" s="162" t="s">
        <v>128</v>
      </c>
      <c r="D1019" s="93">
        <v>2.0</v>
      </c>
      <c r="E1019" s="93">
        <v>4.0</v>
      </c>
      <c r="F1019" s="124" t="s">
        <v>284</v>
      </c>
      <c r="G1019" s="129" t="s">
        <v>1015</v>
      </c>
      <c r="H1019" s="127" t="s">
        <v>430</v>
      </c>
      <c r="I1019" s="127">
        <v>4.0</v>
      </c>
      <c r="J1019" s="124">
        <v>60.0</v>
      </c>
      <c r="K1019" s="124" t="s">
        <v>64</v>
      </c>
      <c r="L1019" s="124" t="s">
        <v>430</v>
      </c>
    </row>
    <row r="1020">
      <c r="A1020" s="165">
        <v>43751.147748460644</v>
      </c>
      <c r="B1020" s="161" t="s">
        <v>62</v>
      </c>
      <c r="C1020" s="162" t="s">
        <v>153</v>
      </c>
      <c r="D1020" s="93">
        <v>4.0</v>
      </c>
      <c r="E1020" s="93">
        <v>2.0</v>
      </c>
      <c r="F1020" s="124" t="s">
        <v>215</v>
      </c>
      <c r="G1020" s="129" t="s">
        <v>993</v>
      </c>
      <c r="H1020" s="127" t="s">
        <v>430</v>
      </c>
      <c r="I1020" s="127">
        <v>12.0</v>
      </c>
      <c r="J1020" s="124" t="s">
        <v>412</v>
      </c>
      <c r="K1020" s="124" t="s">
        <v>44</v>
      </c>
      <c r="L1020" s="124" t="s">
        <v>430</v>
      </c>
    </row>
    <row r="1021">
      <c r="A1021" s="165">
        <v>43751.147748460644</v>
      </c>
      <c r="B1021" s="161" t="s">
        <v>62</v>
      </c>
      <c r="C1021" s="162" t="s">
        <v>171</v>
      </c>
      <c r="D1021" s="93">
        <v>5.0</v>
      </c>
      <c r="E1021" s="93">
        <v>2.0</v>
      </c>
      <c r="F1021" s="124" t="s">
        <v>269</v>
      </c>
      <c r="G1021" s="129" t="s">
        <v>994</v>
      </c>
      <c r="H1021" s="127" t="s">
        <v>430</v>
      </c>
      <c r="I1021" s="127" t="s">
        <v>244</v>
      </c>
      <c r="J1021" s="124">
        <v>59.0</v>
      </c>
      <c r="K1021" s="124" t="s">
        <v>44</v>
      </c>
      <c r="L1021" s="124" t="s">
        <v>430</v>
      </c>
    </row>
    <row r="1022">
      <c r="A1022" s="165">
        <v>43751.147748460644</v>
      </c>
      <c r="B1022" s="161" t="s">
        <v>62</v>
      </c>
      <c r="C1022" s="162" t="s">
        <v>192</v>
      </c>
      <c r="D1022" s="93">
        <v>1.0</v>
      </c>
      <c r="E1022" s="93">
        <v>5.0</v>
      </c>
      <c r="F1022" s="124" t="s">
        <v>248</v>
      </c>
      <c r="G1022" s="129" t="s">
        <v>202</v>
      </c>
      <c r="H1022" s="127"/>
      <c r="I1022" s="127" t="s">
        <v>203</v>
      </c>
      <c r="J1022" s="124" t="s">
        <v>203</v>
      </c>
      <c r="K1022" s="124"/>
      <c r="L1022" s="124">
        <v>9999.0</v>
      </c>
    </row>
    <row r="1023">
      <c r="A1023" s="165">
        <v>43751.147748460644</v>
      </c>
      <c r="B1023" s="161" t="s">
        <v>62</v>
      </c>
      <c r="C1023" s="162" t="s">
        <v>102</v>
      </c>
      <c r="D1023" s="93">
        <v>3.0</v>
      </c>
      <c r="E1023" s="93">
        <v>2.0</v>
      </c>
      <c r="F1023" s="124" t="s">
        <v>248</v>
      </c>
      <c r="G1023" s="129" t="s">
        <v>202</v>
      </c>
      <c r="H1023" s="127"/>
      <c r="I1023" s="127" t="s">
        <v>203</v>
      </c>
      <c r="J1023" s="124" t="s">
        <v>203</v>
      </c>
      <c r="K1023" s="124"/>
      <c r="L1023" s="124">
        <v>9999.0</v>
      </c>
    </row>
    <row r="1024">
      <c r="A1024" s="136" t="s">
        <v>359</v>
      </c>
      <c r="B1024" s="115" t="s">
        <v>2</v>
      </c>
      <c r="C1024" s="153" t="s">
        <v>227</v>
      </c>
      <c r="D1024" s="118" t="s">
        <v>29</v>
      </c>
      <c r="E1024" s="118" t="s">
        <v>34</v>
      </c>
      <c r="F1024" s="124" t="s">
        <v>261</v>
      </c>
      <c r="G1024" s="129" t="s">
        <v>245</v>
      </c>
      <c r="H1024" s="127" t="s">
        <v>228</v>
      </c>
      <c r="I1024" s="127" t="s">
        <v>229</v>
      </c>
      <c r="J1024" s="124" t="s">
        <v>262</v>
      </c>
      <c r="K1024" s="124" t="s">
        <v>263</v>
      </c>
      <c r="L1024" s="124" t="s">
        <v>264</v>
      </c>
    </row>
    <row r="1025">
      <c r="A1025" s="165">
        <v>43751.147748460644</v>
      </c>
      <c r="B1025" s="161" t="s">
        <v>64</v>
      </c>
      <c r="C1025" s="162" t="s">
        <v>49</v>
      </c>
      <c r="D1025" s="93">
        <v>5.0</v>
      </c>
      <c r="E1025" s="93">
        <v>1.0</v>
      </c>
      <c r="F1025" s="124" t="s">
        <v>215</v>
      </c>
      <c r="G1025" s="129" t="s">
        <v>1016</v>
      </c>
      <c r="H1025" s="127" t="s">
        <v>430</v>
      </c>
      <c r="I1025" s="127">
        <v>5.0</v>
      </c>
      <c r="J1025" s="124" t="s">
        <v>507</v>
      </c>
      <c r="K1025" s="124" t="s">
        <v>69</v>
      </c>
      <c r="L1025" s="124" t="s">
        <v>430</v>
      </c>
    </row>
    <row r="1026">
      <c r="A1026" s="165">
        <v>43751.147748460644</v>
      </c>
      <c r="B1026" s="161" t="s">
        <v>64</v>
      </c>
      <c r="C1026" s="162" t="s">
        <v>147</v>
      </c>
      <c r="D1026" s="93">
        <v>4.0</v>
      </c>
      <c r="E1026" s="93">
        <v>2.0</v>
      </c>
      <c r="F1026" s="124" t="s">
        <v>260</v>
      </c>
      <c r="G1026" s="129" t="s">
        <v>974</v>
      </c>
      <c r="H1026" s="127" t="s">
        <v>430</v>
      </c>
      <c r="I1026" s="127" t="s">
        <v>591</v>
      </c>
      <c r="J1026" s="124">
        <v>64.0</v>
      </c>
      <c r="K1026" s="124" t="s">
        <v>38</v>
      </c>
      <c r="L1026" s="124" t="s">
        <v>430</v>
      </c>
    </row>
    <row r="1027">
      <c r="A1027" s="165">
        <v>43751.147748460644</v>
      </c>
      <c r="B1027" s="161" t="s">
        <v>64</v>
      </c>
      <c r="C1027" s="162" t="s">
        <v>76</v>
      </c>
      <c r="D1027" s="93">
        <v>3.0</v>
      </c>
      <c r="E1027" s="93">
        <v>3.0</v>
      </c>
      <c r="F1027" s="124" t="s">
        <v>207</v>
      </c>
      <c r="G1027" s="129" t="s">
        <v>977</v>
      </c>
      <c r="H1027" s="127" t="s">
        <v>430</v>
      </c>
      <c r="I1027" s="127">
        <v>27.0</v>
      </c>
      <c r="J1027" s="124" t="s">
        <v>781</v>
      </c>
      <c r="K1027" s="124" t="s">
        <v>38</v>
      </c>
      <c r="L1027" s="124" t="s">
        <v>430</v>
      </c>
    </row>
    <row r="1028">
      <c r="A1028" s="165">
        <v>43751.147748460644</v>
      </c>
      <c r="B1028" s="161" t="s">
        <v>64</v>
      </c>
      <c r="C1028" s="162" t="s">
        <v>154</v>
      </c>
      <c r="D1028" s="93">
        <v>4.0</v>
      </c>
      <c r="E1028" s="93">
        <v>2.0</v>
      </c>
      <c r="F1028" s="124" t="s">
        <v>349</v>
      </c>
      <c r="G1028" s="129" t="s">
        <v>1005</v>
      </c>
      <c r="H1028" s="127" t="s">
        <v>430</v>
      </c>
      <c r="I1028" s="127" t="s">
        <v>694</v>
      </c>
      <c r="J1028" s="124">
        <v>58.0</v>
      </c>
      <c r="K1028" s="124" t="s">
        <v>53</v>
      </c>
      <c r="L1028" s="124" t="s">
        <v>430</v>
      </c>
    </row>
    <row r="1029">
      <c r="A1029" s="165">
        <v>43751.147748460644</v>
      </c>
      <c r="B1029" s="161" t="s">
        <v>64</v>
      </c>
      <c r="C1029" s="162" t="s">
        <v>196</v>
      </c>
      <c r="D1029" s="93">
        <v>3.0</v>
      </c>
      <c r="E1029" s="93">
        <v>3.0</v>
      </c>
      <c r="F1029" s="124" t="s">
        <v>357</v>
      </c>
      <c r="G1029" s="129" t="s">
        <v>1009</v>
      </c>
      <c r="H1029" s="127" t="s">
        <v>430</v>
      </c>
      <c r="I1029" s="127">
        <v>-4.0</v>
      </c>
      <c r="J1029" s="124" t="s">
        <v>573</v>
      </c>
      <c r="K1029" s="124" t="s">
        <v>58</v>
      </c>
      <c r="L1029" s="124" t="s">
        <v>430</v>
      </c>
    </row>
    <row r="1030">
      <c r="A1030" s="165">
        <v>43751.147748460644</v>
      </c>
      <c r="B1030" s="161" t="s">
        <v>64</v>
      </c>
      <c r="C1030" s="162" t="s">
        <v>131</v>
      </c>
      <c r="D1030" s="93">
        <v>4.0</v>
      </c>
      <c r="E1030" s="93">
        <v>2.0</v>
      </c>
      <c r="F1030" s="124" t="s">
        <v>248</v>
      </c>
      <c r="G1030" s="129" t="s">
        <v>1015</v>
      </c>
      <c r="H1030" s="127" t="s">
        <v>430</v>
      </c>
      <c r="I1030" s="127">
        <v>-4.0</v>
      </c>
      <c r="J1030" s="124">
        <v>60.0</v>
      </c>
      <c r="K1030" s="124" t="s">
        <v>62</v>
      </c>
      <c r="L1030" s="124" t="s">
        <v>430</v>
      </c>
    </row>
    <row r="1031">
      <c r="A1031" s="165">
        <v>43751.147748460644</v>
      </c>
      <c r="B1031" s="161" t="s">
        <v>64</v>
      </c>
      <c r="C1031" s="162" t="s">
        <v>169</v>
      </c>
      <c r="D1031" s="93">
        <v>3.0</v>
      </c>
      <c r="E1031" s="93">
        <v>3.0</v>
      </c>
      <c r="F1031" s="124" t="s">
        <v>268</v>
      </c>
      <c r="G1031" s="129" t="s">
        <v>971</v>
      </c>
      <c r="H1031" s="127" t="s">
        <v>430</v>
      </c>
      <c r="I1031" s="127">
        <v>11.0</v>
      </c>
      <c r="J1031" s="124">
        <v>56.0</v>
      </c>
      <c r="K1031" s="124" t="s">
        <v>27</v>
      </c>
      <c r="L1031" s="124" t="s">
        <v>430</v>
      </c>
    </row>
    <row r="1032">
      <c r="A1032" s="165">
        <v>43751.147748460644</v>
      </c>
      <c r="B1032" s="161" t="s">
        <v>64</v>
      </c>
      <c r="C1032" s="162" t="s">
        <v>115</v>
      </c>
      <c r="D1032" s="93">
        <v>6.0</v>
      </c>
      <c r="E1032" s="93">
        <v>0.0</v>
      </c>
      <c r="F1032" s="124" t="s">
        <v>269</v>
      </c>
      <c r="G1032" s="129" t="s">
        <v>972</v>
      </c>
      <c r="H1032" s="127" t="s">
        <v>430</v>
      </c>
      <c r="I1032" s="127" t="s">
        <v>286</v>
      </c>
      <c r="J1032" s="124" t="s">
        <v>387</v>
      </c>
      <c r="K1032" s="124" t="s">
        <v>27</v>
      </c>
      <c r="L1032" s="124" t="s">
        <v>430</v>
      </c>
    </row>
    <row r="1033">
      <c r="A1033" s="165">
        <v>43751.147748460644</v>
      </c>
      <c r="B1033" s="161" t="s">
        <v>64</v>
      </c>
      <c r="C1033" s="162" t="s">
        <v>177</v>
      </c>
      <c r="D1033" s="93">
        <v>3.0</v>
      </c>
      <c r="E1033" s="93">
        <v>3.0</v>
      </c>
      <c r="F1033" s="124" t="s">
        <v>287</v>
      </c>
      <c r="G1033" s="129" t="s">
        <v>992</v>
      </c>
      <c r="H1033" s="127" t="s">
        <v>430</v>
      </c>
      <c r="I1033" s="127" t="s">
        <v>244</v>
      </c>
      <c r="J1033" s="124" t="s">
        <v>406</v>
      </c>
      <c r="K1033" s="124" t="s">
        <v>44</v>
      </c>
      <c r="L1033" s="124" t="s">
        <v>430</v>
      </c>
    </row>
    <row r="1034">
      <c r="A1034" s="165">
        <v>43751.147748460644</v>
      </c>
      <c r="B1034" s="161" t="s">
        <v>64</v>
      </c>
      <c r="C1034" s="162" t="s">
        <v>98</v>
      </c>
      <c r="D1034" s="93">
        <v>2.0</v>
      </c>
      <c r="E1034" s="93">
        <v>4.0</v>
      </c>
      <c r="F1034" s="124" t="s">
        <v>248</v>
      </c>
      <c r="G1034" s="129" t="s">
        <v>202</v>
      </c>
      <c r="H1034" s="127"/>
      <c r="I1034" s="127" t="s">
        <v>203</v>
      </c>
      <c r="J1034" s="124" t="s">
        <v>203</v>
      </c>
      <c r="K1034" s="124"/>
      <c r="L1034" s="124">
        <v>9999.0</v>
      </c>
    </row>
    <row r="1035">
      <c r="A1035" s="136" t="s">
        <v>359</v>
      </c>
      <c r="B1035" s="115" t="s">
        <v>2</v>
      </c>
      <c r="C1035" s="153" t="s">
        <v>227</v>
      </c>
      <c r="D1035" s="118" t="s">
        <v>29</v>
      </c>
      <c r="E1035" s="118" t="s">
        <v>34</v>
      </c>
      <c r="F1035" s="124" t="s">
        <v>261</v>
      </c>
      <c r="G1035" s="129" t="s">
        <v>245</v>
      </c>
      <c r="H1035" s="127" t="s">
        <v>228</v>
      </c>
      <c r="I1035" s="127" t="s">
        <v>229</v>
      </c>
      <c r="J1035" s="124" t="s">
        <v>262</v>
      </c>
      <c r="K1035" s="124" t="s">
        <v>263</v>
      </c>
      <c r="L1035" s="124"/>
    </row>
    <row r="1036">
      <c r="A1036" s="165">
        <v>43751.147748460644</v>
      </c>
      <c r="B1036" s="161" t="s">
        <v>69</v>
      </c>
      <c r="C1036" s="162" t="s">
        <v>193</v>
      </c>
      <c r="D1036" s="93">
        <v>2.0</v>
      </c>
      <c r="E1036" s="93">
        <v>4.0</v>
      </c>
      <c r="F1036" s="124" t="s">
        <v>242</v>
      </c>
      <c r="G1036" s="129" t="s">
        <v>1000</v>
      </c>
      <c r="H1036" s="127" t="s">
        <v>430</v>
      </c>
      <c r="I1036" s="127">
        <v>3.0</v>
      </c>
      <c r="J1036" s="124" t="s">
        <v>240</v>
      </c>
      <c r="K1036" s="124" t="s">
        <v>53</v>
      </c>
      <c r="L1036" s="124" t="s">
        <v>430</v>
      </c>
    </row>
    <row r="1037">
      <c r="A1037" s="165">
        <v>43751.147748460644</v>
      </c>
      <c r="B1037" s="161" t="s">
        <v>69</v>
      </c>
      <c r="C1037" s="162" t="s">
        <v>87</v>
      </c>
      <c r="D1037" s="93">
        <v>3.0</v>
      </c>
      <c r="E1037" s="93">
        <v>3.0</v>
      </c>
      <c r="F1037" s="124" t="s">
        <v>201</v>
      </c>
      <c r="G1037" s="129" t="s">
        <v>1001</v>
      </c>
      <c r="H1037" s="127" t="s">
        <v>430</v>
      </c>
      <c r="I1037" s="127">
        <v>-1.0</v>
      </c>
      <c r="J1037" s="124">
        <v>46.0</v>
      </c>
      <c r="K1037" s="124" t="s">
        <v>53</v>
      </c>
      <c r="L1037" s="124" t="s">
        <v>430</v>
      </c>
    </row>
    <row r="1038">
      <c r="A1038" s="165">
        <v>43751.147748460644</v>
      </c>
      <c r="B1038" s="161" t="s">
        <v>69</v>
      </c>
      <c r="C1038" s="162" t="s">
        <v>151</v>
      </c>
      <c r="D1038" s="93">
        <v>2.0</v>
      </c>
      <c r="E1038" s="93">
        <v>5.0</v>
      </c>
      <c r="F1038" s="124" t="s">
        <v>260</v>
      </c>
      <c r="G1038" s="129" t="s">
        <v>995</v>
      </c>
      <c r="H1038" s="127" t="s">
        <v>430</v>
      </c>
      <c r="I1038" s="127">
        <v>-4.0</v>
      </c>
      <c r="J1038" s="124" t="s">
        <v>559</v>
      </c>
      <c r="K1038" s="124" t="s">
        <v>48</v>
      </c>
      <c r="L1038" s="124" t="s">
        <v>430</v>
      </c>
    </row>
    <row r="1039">
      <c r="A1039" s="165">
        <v>43751.147748460644</v>
      </c>
      <c r="B1039" s="161" t="s">
        <v>69</v>
      </c>
      <c r="C1039" s="162" t="s">
        <v>182</v>
      </c>
      <c r="D1039" s="93">
        <v>3.0</v>
      </c>
      <c r="E1039" s="93">
        <v>3.0</v>
      </c>
      <c r="F1039" s="124" t="s">
        <v>201</v>
      </c>
      <c r="G1039" s="129" t="s">
        <v>996</v>
      </c>
      <c r="H1039" s="127" t="s">
        <v>639</v>
      </c>
      <c r="I1039" s="127">
        <v>25.0</v>
      </c>
      <c r="J1039" s="124">
        <v>54.0</v>
      </c>
      <c r="K1039" s="124" t="s">
        <v>48</v>
      </c>
      <c r="L1039" s="124" t="s">
        <v>639</v>
      </c>
    </row>
    <row r="1040">
      <c r="A1040" s="165">
        <v>43751.147748460644</v>
      </c>
      <c r="B1040" s="161" t="s">
        <v>69</v>
      </c>
      <c r="C1040" s="162" t="s">
        <v>35</v>
      </c>
      <c r="D1040" s="93">
        <v>5.0</v>
      </c>
      <c r="E1040" s="93">
        <v>1.0</v>
      </c>
      <c r="F1040" s="124" t="s">
        <v>215</v>
      </c>
      <c r="G1040" s="129" t="s">
        <v>1016</v>
      </c>
      <c r="H1040" s="127" t="s">
        <v>430</v>
      </c>
      <c r="I1040" s="127">
        <v>-5.0</v>
      </c>
      <c r="J1040" s="124" t="s">
        <v>507</v>
      </c>
      <c r="K1040" s="124" t="s">
        <v>64</v>
      </c>
      <c r="L1040" s="124" t="s">
        <v>430</v>
      </c>
    </row>
    <row r="1041">
      <c r="A1041" s="165">
        <v>43751.147748460644</v>
      </c>
      <c r="B1041" s="161" t="s">
        <v>69</v>
      </c>
      <c r="C1041" s="162" t="s">
        <v>108</v>
      </c>
      <c r="D1041" s="93">
        <v>4.0</v>
      </c>
      <c r="E1041" s="93">
        <v>2.0</v>
      </c>
      <c r="F1041" s="124" t="s">
        <v>266</v>
      </c>
      <c r="G1041" s="129" t="s">
        <v>1017</v>
      </c>
      <c r="H1041" s="127" t="s">
        <v>430</v>
      </c>
      <c r="I1041" s="127">
        <v>-27.0</v>
      </c>
      <c r="J1041" s="124">
        <v>51.0</v>
      </c>
      <c r="K1041" s="124" t="s">
        <v>288</v>
      </c>
      <c r="L1041" s="124" t="s">
        <v>430</v>
      </c>
    </row>
    <row r="1042">
      <c r="A1042" s="165">
        <v>43751.147748460644</v>
      </c>
      <c r="B1042" s="161" t="s">
        <v>69</v>
      </c>
      <c r="C1042" s="162" t="s">
        <v>142</v>
      </c>
      <c r="D1042" s="93">
        <v>3.0</v>
      </c>
      <c r="E1042" s="93">
        <v>3.0</v>
      </c>
      <c r="F1042" s="124" t="s">
        <v>248</v>
      </c>
      <c r="G1042" s="129" t="s">
        <v>964</v>
      </c>
      <c r="H1042" s="127" t="s">
        <v>430</v>
      </c>
      <c r="I1042" s="127" t="s">
        <v>674</v>
      </c>
      <c r="J1042" s="124">
        <v>58.0</v>
      </c>
      <c r="K1042" s="124" t="s">
        <v>27</v>
      </c>
      <c r="L1042" s="124" t="s">
        <v>430</v>
      </c>
    </row>
    <row r="1043">
      <c r="A1043" s="165">
        <v>43751.147748460644</v>
      </c>
      <c r="B1043" s="161" t="s">
        <v>69</v>
      </c>
      <c r="C1043" s="162" t="s">
        <v>125</v>
      </c>
      <c r="D1043" s="93">
        <v>5.0</v>
      </c>
      <c r="E1043" s="93">
        <v>1.0</v>
      </c>
      <c r="F1043" s="124" t="s">
        <v>282</v>
      </c>
      <c r="G1043" s="129" t="s">
        <v>1018</v>
      </c>
      <c r="H1043" s="127" t="s">
        <v>430</v>
      </c>
      <c r="I1043" s="127" t="s">
        <v>751</v>
      </c>
      <c r="J1043" s="124">
        <v>61.0</v>
      </c>
      <c r="K1043" s="124" t="s">
        <v>288</v>
      </c>
      <c r="L1043" s="124" t="s">
        <v>430</v>
      </c>
    </row>
    <row r="1044">
      <c r="A1044" s="165">
        <v>43751.147748460644</v>
      </c>
      <c r="B1044" s="161" t="s">
        <v>69</v>
      </c>
      <c r="C1044" s="162" t="s">
        <v>170</v>
      </c>
      <c r="D1044" s="93">
        <v>5.0</v>
      </c>
      <c r="E1044" s="93">
        <v>1.0</v>
      </c>
      <c r="F1044" s="124" t="s">
        <v>273</v>
      </c>
      <c r="G1044" s="129" t="s">
        <v>1012</v>
      </c>
      <c r="H1044" s="127" t="s">
        <v>430</v>
      </c>
      <c r="I1044" s="127" t="s">
        <v>226</v>
      </c>
      <c r="J1044" s="124">
        <v>61.0</v>
      </c>
      <c r="K1044" s="124" t="s">
        <v>60</v>
      </c>
      <c r="L1044" s="124" t="s">
        <v>430</v>
      </c>
    </row>
    <row r="1045">
      <c r="A1045" s="165">
        <v>43751.147748460644</v>
      </c>
      <c r="B1045" s="161" t="s">
        <v>69</v>
      </c>
      <c r="C1045" s="162" t="s">
        <v>101</v>
      </c>
      <c r="D1045" s="93">
        <v>4.0</v>
      </c>
      <c r="E1045" s="93">
        <v>2.0</v>
      </c>
      <c r="F1045" s="124" t="s">
        <v>248</v>
      </c>
      <c r="G1045" s="129" t="s">
        <v>202</v>
      </c>
      <c r="H1045" s="127"/>
      <c r="I1045" s="127" t="s">
        <v>203</v>
      </c>
      <c r="J1045" s="124" t="s">
        <v>203</v>
      </c>
      <c r="K1045" s="124"/>
      <c r="L1045" s="124">
        <v>9999.0</v>
      </c>
    </row>
    <row r="1046">
      <c r="A1046" s="136" t="s">
        <v>359</v>
      </c>
      <c r="B1046" s="115" t="s">
        <v>2</v>
      </c>
      <c r="C1046" s="153" t="s">
        <v>227</v>
      </c>
      <c r="D1046" s="118" t="s">
        <v>29</v>
      </c>
      <c r="E1046" s="118" t="s">
        <v>34</v>
      </c>
      <c r="F1046" s="124" t="s">
        <v>261</v>
      </c>
      <c r="G1046" s="129" t="s">
        <v>245</v>
      </c>
      <c r="H1046" s="127" t="s">
        <v>228</v>
      </c>
      <c r="I1046" s="127" t="s">
        <v>229</v>
      </c>
      <c r="J1046" s="124" t="s">
        <v>262</v>
      </c>
      <c r="K1046" s="124" t="s">
        <v>263</v>
      </c>
      <c r="L1046" s="124"/>
    </row>
    <row r="1047">
      <c r="A1047" s="165">
        <v>43751.147748460644</v>
      </c>
      <c r="B1047" s="161" t="s">
        <v>74</v>
      </c>
      <c r="C1047" s="162" t="s">
        <v>88</v>
      </c>
      <c r="D1047" s="93">
        <v>4.0</v>
      </c>
      <c r="E1047" s="93">
        <v>2.0</v>
      </c>
      <c r="F1047" s="124" t="s">
        <v>201</v>
      </c>
      <c r="G1047" s="129" t="s">
        <v>1013</v>
      </c>
      <c r="H1047" s="127" t="s">
        <v>430</v>
      </c>
      <c r="I1047" s="127" t="s">
        <v>620</v>
      </c>
      <c r="J1047" s="124">
        <v>58.0</v>
      </c>
      <c r="K1047" s="124" t="s">
        <v>62</v>
      </c>
      <c r="L1047" s="124" t="s">
        <v>430</v>
      </c>
    </row>
    <row r="1048">
      <c r="A1048" s="165">
        <v>43751.147748460644</v>
      </c>
      <c r="B1048" s="161" t="s">
        <v>74</v>
      </c>
      <c r="C1048" s="162" t="s">
        <v>141</v>
      </c>
      <c r="D1048" s="93">
        <v>4.0</v>
      </c>
      <c r="E1048" s="93">
        <v>3.0</v>
      </c>
      <c r="F1048" s="124" t="s">
        <v>282</v>
      </c>
      <c r="G1048" s="129" t="s">
        <v>976</v>
      </c>
      <c r="H1048" s="127" t="s">
        <v>430</v>
      </c>
      <c r="I1048" s="127" t="s">
        <v>518</v>
      </c>
      <c r="J1048" s="124">
        <v>57.0</v>
      </c>
      <c r="K1048" s="124" t="s">
        <v>38</v>
      </c>
      <c r="L1048" s="124" t="s">
        <v>430</v>
      </c>
    </row>
    <row r="1049">
      <c r="A1049" s="165">
        <v>43751.147748460644</v>
      </c>
      <c r="B1049" s="161" t="s">
        <v>74</v>
      </c>
      <c r="C1049" s="162" t="s">
        <v>23</v>
      </c>
      <c r="D1049" s="93">
        <v>1.0</v>
      </c>
      <c r="E1049" s="93">
        <v>5.0</v>
      </c>
      <c r="F1049" s="124" t="s">
        <v>242</v>
      </c>
      <c r="G1049" s="129" t="s">
        <v>988</v>
      </c>
      <c r="H1049" s="127" t="s">
        <v>430</v>
      </c>
      <c r="I1049" s="127" t="s">
        <v>475</v>
      </c>
      <c r="J1049" s="124" t="s">
        <v>397</v>
      </c>
      <c r="K1049" s="124" t="s">
        <v>41</v>
      </c>
      <c r="L1049" s="124" t="s">
        <v>430</v>
      </c>
    </row>
    <row r="1050">
      <c r="A1050" s="165">
        <v>43751.147748460644</v>
      </c>
      <c r="B1050" s="161" t="s">
        <v>74</v>
      </c>
      <c r="C1050" s="162" t="s">
        <v>124</v>
      </c>
      <c r="D1050" s="93">
        <v>4.0</v>
      </c>
      <c r="E1050" s="93">
        <v>2.0</v>
      </c>
      <c r="F1050" s="124" t="s">
        <v>267</v>
      </c>
      <c r="G1050" s="129" t="s">
        <v>999</v>
      </c>
      <c r="H1050" s="127" t="s">
        <v>430</v>
      </c>
      <c r="I1050" s="127">
        <v>-11.0</v>
      </c>
      <c r="J1050" s="124">
        <v>62.0</v>
      </c>
      <c r="K1050" s="124" t="s">
        <v>48</v>
      </c>
      <c r="L1050" s="124" t="s">
        <v>430</v>
      </c>
    </row>
    <row r="1051">
      <c r="A1051" s="165">
        <v>43751.147748460644</v>
      </c>
      <c r="B1051" s="161" t="s">
        <v>74</v>
      </c>
      <c r="C1051" s="162" t="s">
        <v>160</v>
      </c>
      <c r="D1051" s="93">
        <v>4.0</v>
      </c>
      <c r="E1051" s="93">
        <v>2.0</v>
      </c>
      <c r="F1051" s="124" t="s">
        <v>260</v>
      </c>
      <c r="G1051" s="129" t="s">
        <v>982</v>
      </c>
      <c r="H1051" s="127" t="s">
        <v>430</v>
      </c>
      <c r="I1051" s="127">
        <v>4.0</v>
      </c>
      <c r="J1051" s="124" t="s">
        <v>983</v>
      </c>
      <c r="K1051" s="124" t="s">
        <v>38</v>
      </c>
      <c r="L1051" s="124" t="s">
        <v>430</v>
      </c>
    </row>
    <row r="1052">
      <c r="A1052" s="165">
        <v>43751.147748460644</v>
      </c>
      <c r="B1052" s="161" t="s">
        <v>74</v>
      </c>
      <c r="C1052" s="162" t="s">
        <v>174</v>
      </c>
      <c r="D1052" s="93">
        <v>5.0</v>
      </c>
      <c r="E1052" s="93">
        <v>1.0</v>
      </c>
      <c r="F1052" s="124" t="s">
        <v>248</v>
      </c>
      <c r="G1052" s="129" t="s">
        <v>202</v>
      </c>
      <c r="H1052" s="127"/>
      <c r="I1052" s="127" t="s">
        <v>203</v>
      </c>
      <c r="J1052" s="124" t="s">
        <v>203</v>
      </c>
      <c r="K1052" s="124"/>
      <c r="L1052" s="124">
        <v>9999.0</v>
      </c>
    </row>
    <row r="1053">
      <c r="A1053" s="165">
        <v>43751.147748460644</v>
      </c>
      <c r="B1053" s="161" t="s">
        <v>74</v>
      </c>
      <c r="C1053" s="162" t="s">
        <v>99</v>
      </c>
      <c r="D1053" s="93">
        <v>3.0</v>
      </c>
      <c r="E1053" s="93">
        <v>2.0</v>
      </c>
      <c r="F1053" s="124" t="s">
        <v>248</v>
      </c>
      <c r="G1053" s="129" t="s">
        <v>202</v>
      </c>
      <c r="H1053" s="127"/>
      <c r="I1053" s="127" t="s">
        <v>203</v>
      </c>
      <c r="J1053" s="124" t="s">
        <v>203</v>
      </c>
      <c r="K1053" s="124"/>
      <c r="L1053" s="124">
        <v>9999.0</v>
      </c>
    </row>
    <row r="1054">
      <c r="A1054" s="165">
        <v>43751.147748460644</v>
      </c>
      <c r="B1054" s="161" t="s">
        <v>74</v>
      </c>
      <c r="C1054" s="162" t="s">
        <v>194</v>
      </c>
      <c r="D1054" s="93">
        <v>2.0</v>
      </c>
      <c r="E1054" s="93">
        <v>3.0</v>
      </c>
      <c r="F1054" s="124" t="s">
        <v>248</v>
      </c>
      <c r="G1054" s="129" t="s">
        <v>202</v>
      </c>
      <c r="H1054" s="127"/>
      <c r="I1054" s="127" t="s">
        <v>203</v>
      </c>
      <c r="J1054" s="124" t="s">
        <v>203</v>
      </c>
      <c r="K1054" s="124"/>
      <c r="L1054" s="124">
        <v>9999.0</v>
      </c>
    </row>
    <row r="1055">
      <c r="A1055" s="165">
        <v>43751.147748460644</v>
      </c>
      <c r="B1055" s="161" t="s">
        <v>74</v>
      </c>
      <c r="C1055" s="162" t="s">
        <v>118</v>
      </c>
      <c r="D1055" s="93">
        <v>6.0</v>
      </c>
      <c r="E1055" s="93">
        <v>0.0</v>
      </c>
      <c r="F1055" s="124" t="s">
        <v>248</v>
      </c>
      <c r="G1055" s="129" t="s">
        <v>202</v>
      </c>
      <c r="H1055" s="127"/>
      <c r="I1055" s="127" t="s">
        <v>203</v>
      </c>
      <c r="J1055" s="124" t="s">
        <v>203</v>
      </c>
      <c r="K1055" s="124"/>
      <c r="L1055" s="124">
        <v>9999.0</v>
      </c>
    </row>
    <row r="1056">
      <c r="A1056" s="165">
        <v>43751.147748460644</v>
      </c>
      <c r="B1056" s="161" t="s">
        <v>74</v>
      </c>
      <c r="C1056" s="162" t="s">
        <v>167</v>
      </c>
      <c r="D1056" s="93">
        <v>3.0</v>
      </c>
      <c r="E1056" s="93">
        <v>3.0</v>
      </c>
      <c r="F1056" s="124" t="s">
        <v>248</v>
      </c>
      <c r="G1056" s="129" t="s">
        <v>202</v>
      </c>
      <c r="H1056" s="127"/>
      <c r="I1056" s="127" t="s">
        <v>203</v>
      </c>
      <c r="J1056" s="124" t="s">
        <v>203</v>
      </c>
      <c r="K1056" s="124"/>
      <c r="L1056" s="124">
        <v>9999.0</v>
      </c>
    </row>
    <row r="1057">
      <c r="A1057" s="136" t="s">
        <v>359</v>
      </c>
      <c r="B1057" s="115" t="s">
        <v>2</v>
      </c>
      <c r="C1057" s="153" t="s">
        <v>227</v>
      </c>
      <c r="D1057" s="118" t="s">
        <v>29</v>
      </c>
      <c r="E1057" s="118" t="s">
        <v>34</v>
      </c>
      <c r="F1057" s="124" t="s">
        <v>261</v>
      </c>
      <c r="G1057" s="129" t="s">
        <v>245</v>
      </c>
      <c r="H1057" s="127" t="s">
        <v>228</v>
      </c>
      <c r="I1057" s="127" t="s">
        <v>229</v>
      </c>
      <c r="J1057" s="124" t="s">
        <v>262</v>
      </c>
      <c r="K1057" s="124" t="s">
        <v>263</v>
      </c>
      <c r="L1057" s="124" t="s">
        <v>264</v>
      </c>
    </row>
    <row r="1058">
      <c r="A1058" s="165">
        <v>43758.147747337964</v>
      </c>
      <c r="B1058" s="161" t="s">
        <v>27</v>
      </c>
      <c r="C1058" s="162" t="s">
        <v>152</v>
      </c>
      <c r="D1058" s="93">
        <v>3.0</v>
      </c>
      <c r="E1058" s="93">
        <v>3.0</v>
      </c>
      <c r="F1058" s="124" t="s">
        <v>260</v>
      </c>
      <c r="G1058" s="129" t="s">
        <v>1019</v>
      </c>
      <c r="H1058" s="127" t="s">
        <v>430</v>
      </c>
      <c r="I1058" s="127" t="s">
        <v>281</v>
      </c>
      <c r="J1058" s="124">
        <v>54.0</v>
      </c>
      <c r="K1058" s="124" t="s">
        <v>58</v>
      </c>
      <c r="L1058" s="124" t="s">
        <v>430</v>
      </c>
    </row>
    <row r="1059">
      <c r="A1059" s="165">
        <v>43758.147747337964</v>
      </c>
      <c r="B1059" s="161" t="s">
        <v>27</v>
      </c>
      <c r="C1059" s="162" t="s">
        <v>138</v>
      </c>
      <c r="D1059" s="93">
        <v>4.0</v>
      </c>
      <c r="E1059" s="93">
        <v>3.0</v>
      </c>
      <c r="F1059" s="124" t="s">
        <v>267</v>
      </c>
      <c r="G1059" s="129" t="s">
        <v>1020</v>
      </c>
      <c r="H1059" s="127" t="s">
        <v>430</v>
      </c>
      <c r="I1059" s="127" t="s">
        <v>674</v>
      </c>
      <c r="J1059" s="124" t="s">
        <v>397</v>
      </c>
      <c r="K1059" s="124" t="s">
        <v>64</v>
      </c>
      <c r="L1059" s="124" t="s">
        <v>430</v>
      </c>
    </row>
    <row r="1060">
      <c r="A1060" s="165">
        <v>43758.147747337964</v>
      </c>
      <c r="B1060" s="161" t="s">
        <v>27</v>
      </c>
      <c r="C1060" s="162" t="s">
        <v>163</v>
      </c>
      <c r="D1060" s="93">
        <v>4.0</v>
      </c>
      <c r="E1060" s="93">
        <v>3.0</v>
      </c>
      <c r="F1060" s="124" t="s">
        <v>273</v>
      </c>
      <c r="G1060" s="129" t="s">
        <v>1021</v>
      </c>
      <c r="H1060" s="127" t="s">
        <v>430</v>
      </c>
      <c r="I1060" s="127">
        <v>-11.0</v>
      </c>
      <c r="J1060" s="124" t="s">
        <v>462</v>
      </c>
      <c r="K1060" s="124" t="s">
        <v>60</v>
      </c>
      <c r="L1060" s="124" t="s">
        <v>430</v>
      </c>
    </row>
    <row r="1061">
      <c r="A1061" s="165">
        <v>43758.147747337964</v>
      </c>
      <c r="B1061" s="161" t="s">
        <v>27</v>
      </c>
      <c r="C1061" s="162" t="s">
        <v>195</v>
      </c>
      <c r="D1061" s="93">
        <v>3.0</v>
      </c>
      <c r="E1061" s="93">
        <v>4.0</v>
      </c>
      <c r="F1061" s="124" t="s">
        <v>282</v>
      </c>
      <c r="G1061" s="129" t="s">
        <v>1022</v>
      </c>
      <c r="H1061" s="127" t="s">
        <v>541</v>
      </c>
      <c r="I1061" s="127" t="s">
        <v>247</v>
      </c>
      <c r="J1061" s="124" t="s">
        <v>394</v>
      </c>
      <c r="K1061" s="124" t="s">
        <v>44</v>
      </c>
      <c r="L1061" s="124" t="s">
        <v>541</v>
      </c>
    </row>
    <row r="1062">
      <c r="A1062" s="165">
        <v>43758.147747337964</v>
      </c>
      <c r="B1062" s="161" t="s">
        <v>27</v>
      </c>
      <c r="C1062" s="162" t="s">
        <v>56</v>
      </c>
      <c r="D1062" s="93">
        <v>2.0</v>
      </c>
      <c r="E1062" s="93">
        <v>5.0</v>
      </c>
      <c r="F1062" s="124" t="s">
        <v>242</v>
      </c>
      <c r="G1062" s="129" t="s">
        <v>1023</v>
      </c>
      <c r="H1062" s="127" t="s">
        <v>430</v>
      </c>
      <c r="I1062" s="127">
        <v>17.0</v>
      </c>
      <c r="J1062" s="124" t="s">
        <v>507</v>
      </c>
      <c r="K1062" s="124" t="s">
        <v>62</v>
      </c>
      <c r="L1062" s="124" t="s">
        <v>430</v>
      </c>
    </row>
    <row r="1063">
      <c r="A1063" s="165">
        <v>43758.147747337964</v>
      </c>
      <c r="B1063" s="161" t="s">
        <v>27</v>
      </c>
      <c r="C1063" s="162" t="s">
        <v>94</v>
      </c>
      <c r="D1063" s="93">
        <v>5.0</v>
      </c>
      <c r="E1063" s="93">
        <v>2.0</v>
      </c>
      <c r="F1063" s="124" t="s">
        <v>265</v>
      </c>
      <c r="G1063" s="129" t="s">
        <v>1024</v>
      </c>
      <c r="H1063" s="127" t="s">
        <v>1025</v>
      </c>
      <c r="I1063" s="127">
        <v>3.0</v>
      </c>
      <c r="J1063" s="124" t="s">
        <v>280</v>
      </c>
      <c r="K1063" s="124" t="s">
        <v>48</v>
      </c>
      <c r="L1063" s="124" t="s">
        <v>1025</v>
      </c>
    </row>
    <row r="1064">
      <c r="A1064" s="165">
        <v>43758.147747337964</v>
      </c>
      <c r="B1064" s="161" t="s">
        <v>27</v>
      </c>
      <c r="C1064" s="162" t="s">
        <v>134</v>
      </c>
      <c r="D1064" s="93">
        <v>3.0</v>
      </c>
      <c r="E1064" s="93">
        <v>4.0</v>
      </c>
      <c r="F1064" s="124" t="s">
        <v>282</v>
      </c>
      <c r="G1064" s="129" t="s">
        <v>1026</v>
      </c>
      <c r="H1064" s="127" t="s">
        <v>430</v>
      </c>
      <c r="I1064" s="127">
        <v>4.0</v>
      </c>
      <c r="J1064" s="124" t="s">
        <v>637</v>
      </c>
      <c r="K1064" s="124" t="s">
        <v>288</v>
      </c>
      <c r="L1064" s="124" t="s">
        <v>430</v>
      </c>
    </row>
    <row r="1065">
      <c r="A1065" s="165">
        <v>43758.147747337964</v>
      </c>
      <c r="B1065" s="161" t="s">
        <v>27</v>
      </c>
      <c r="C1065" s="162" t="s">
        <v>114</v>
      </c>
      <c r="D1065" s="93">
        <v>7.0</v>
      </c>
      <c r="E1065" s="93">
        <v>0.0</v>
      </c>
      <c r="F1065" s="124" t="s">
        <v>201</v>
      </c>
      <c r="G1065" s="129" t="s">
        <v>1027</v>
      </c>
      <c r="H1065" s="127" t="s">
        <v>430</v>
      </c>
      <c r="I1065" s="127" t="s">
        <v>374</v>
      </c>
      <c r="J1065" s="124">
        <v>62.0</v>
      </c>
      <c r="K1065" s="124" t="s">
        <v>58</v>
      </c>
      <c r="L1065" s="124" t="s">
        <v>430</v>
      </c>
    </row>
    <row r="1066">
      <c r="A1066" s="165">
        <v>43758.147747337964</v>
      </c>
      <c r="B1066" s="161" t="s">
        <v>27</v>
      </c>
      <c r="C1066" s="162" t="s">
        <v>107</v>
      </c>
      <c r="D1066" s="93">
        <v>5.0</v>
      </c>
      <c r="E1066" s="93">
        <v>1.0</v>
      </c>
      <c r="F1066" s="124" t="s">
        <v>248</v>
      </c>
      <c r="G1066" s="129" t="s">
        <v>202</v>
      </c>
      <c r="H1066" s="127"/>
      <c r="I1066" s="127" t="s">
        <v>203</v>
      </c>
      <c r="J1066" s="124" t="s">
        <v>203</v>
      </c>
      <c r="K1066" s="124"/>
      <c r="L1066" s="124">
        <v>9999.0</v>
      </c>
    </row>
    <row r="1067">
      <c r="A1067" s="165">
        <v>43758.147747337964</v>
      </c>
      <c r="B1067" s="161" t="s">
        <v>27</v>
      </c>
      <c r="C1067" s="162" t="s">
        <v>116</v>
      </c>
      <c r="D1067" s="93">
        <v>4.0</v>
      </c>
      <c r="E1067" s="93">
        <v>3.0</v>
      </c>
      <c r="F1067" s="124" t="s">
        <v>248</v>
      </c>
      <c r="G1067" s="129" t="s">
        <v>202</v>
      </c>
      <c r="H1067" s="127"/>
      <c r="I1067" s="127" t="s">
        <v>203</v>
      </c>
      <c r="J1067" s="124" t="s">
        <v>203</v>
      </c>
      <c r="K1067" s="124"/>
      <c r="L1067" s="124">
        <v>9999.0</v>
      </c>
    </row>
    <row r="1068">
      <c r="A1068" s="136" t="s">
        <v>359</v>
      </c>
      <c r="B1068" s="115" t="s">
        <v>2</v>
      </c>
      <c r="C1068" s="153" t="s">
        <v>227</v>
      </c>
      <c r="D1068" s="118" t="s">
        <v>29</v>
      </c>
      <c r="E1068" s="118" t="s">
        <v>34</v>
      </c>
      <c r="F1068" s="124" t="s">
        <v>261</v>
      </c>
      <c r="G1068" s="129" t="s">
        <v>245</v>
      </c>
      <c r="H1068" s="127" t="s">
        <v>228</v>
      </c>
      <c r="I1068" s="127" t="s">
        <v>229</v>
      </c>
      <c r="J1068" s="124" t="s">
        <v>262</v>
      </c>
      <c r="K1068" s="124" t="s">
        <v>263</v>
      </c>
      <c r="L1068" s="124" t="s">
        <v>264</v>
      </c>
    </row>
    <row r="1069">
      <c r="A1069" s="165">
        <v>43758.147747337964</v>
      </c>
      <c r="B1069" s="161" t="s">
        <v>38</v>
      </c>
      <c r="C1069" s="162" t="s">
        <v>68</v>
      </c>
      <c r="D1069" s="93">
        <v>7.0</v>
      </c>
      <c r="E1069" s="93">
        <v>0.0</v>
      </c>
      <c r="F1069" s="124" t="s">
        <v>207</v>
      </c>
      <c r="G1069" s="129" t="s">
        <v>1028</v>
      </c>
      <c r="H1069" s="127" t="s">
        <v>430</v>
      </c>
      <c r="I1069" s="127" t="s">
        <v>1029</v>
      </c>
      <c r="J1069" s="124" t="s">
        <v>240</v>
      </c>
      <c r="K1069" s="124" t="s">
        <v>288</v>
      </c>
      <c r="L1069" s="124" t="s">
        <v>430</v>
      </c>
    </row>
    <row r="1070">
      <c r="A1070" s="165">
        <v>43758.147747337964</v>
      </c>
      <c r="B1070" s="161" t="s">
        <v>38</v>
      </c>
      <c r="C1070" s="162" t="s">
        <v>97</v>
      </c>
      <c r="D1070" s="93">
        <v>5.0</v>
      </c>
      <c r="E1070" s="93">
        <v>2.0</v>
      </c>
      <c r="F1070" s="124" t="s">
        <v>269</v>
      </c>
      <c r="G1070" s="129" t="s">
        <v>1030</v>
      </c>
      <c r="H1070" s="127" t="s">
        <v>430</v>
      </c>
      <c r="I1070" s="127">
        <v>-7.0</v>
      </c>
      <c r="J1070" s="124" t="s">
        <v>276</v>
      </c>
      <c r="K1070" s="124" t="s">
        <v>44</v>
      </c>
      <c r="L1070" s="124" t="s">
        <v>430</v>
      </c>
    </row>
    <row r="1071">
      <c r="A1071" s="165">
        <v>43758.147747337964</v>
      </c>
      <c r="B1071" s="161" t="s">
        <v>38</v>
      </c>
      <c r="C1071" s="162" t="s">
        <v>139</v>
      </c>
      <c r="D1071" s="93">
        <v>2.0</v>
      </c>
      <c r="E1071" s="93">
        <v>5.0</v>
      </c>
      <c r="F1071" s="124" t="s">
        <v>282</v>
      </c>
      <c r="G1071" s="129" t="s">
        <v>1031</v>
      </c>
      <c r="H1071" s="127" t="s">
        <v>430</v>
      </c>
      <c r="I1071" s="127">
        <v>12.0</v>
      </c>
      <c r="J1071" s="124" t="s">
        <v>237</v>
      </c>
      <c r="K1071" s="124" t="s">
        <v>74</v>
      </c>
      <c r="L1071" s="124" t="s">
        <v>430</v>
      </c>
    </row>
    <row r="1072">
      <c r="A1072" s="165">
        <v>43758.147747337964</v>
      </c>
      <c r="B1072" s="161" t="s">
        <v>38</v>
      </c>
      <c r="C1072" s="162" t="s">
        <v>178</v>
      </c>
      <c r="D1072" s="93">
        <v>7.0</v>
      </c>
      <c r="E1072" s="93">
        <v>0.0</v>
      </c>
      <c r="F1072" s="124" t="s">
        <v>234</v>
      </c>
      <c r="G1072" s="129" t="s">
        <v>1032</v>
      </c>
      <c r="H1072" s="127" t="s">
        <v>430</v>
      </c>
      <c r="I1072" s="127" t="s">
        <v>748</v>
      </c>
      <c r="J1072" s="124" t="s">
        <v>781</v>
      </c>
      <c r="K1072" s="124" t="s">
        <v>53</v>
      </c>
      <c r="L1072" s="124" t="s">
        <v>430</v>
      </c>
    </row>
    <row r="1073">
      <c r="A1073" s="165">
        <v>43758.147747337964</v>
      </c>
      <c r="B1073" s="161" t="s">
        <v>38</v>
      </c>
      <c r="C1073" s="162" t="s">
        <v>129</v>
      </c>
      <c r="D1073" s="93">
        <v>1.0</v>
      </c>
      <c r="E1073" s="93">
        <v>6.0</v>
      </c>
      <c r="F1073" s="124" t="s">
        <v>267</v>
      </c>
      <c r="G1073" s="129" t="s">
        <v>1033</v>
      </c>
      <c r="H1073" s="127" t="s">
        <v>430</v>
      </c>
      <c r="I1073" s="127" t="s">
        <v>251</v>
      </c>
      <c r="J1073" s="124">
        <v>44.0</v>
      </c>
      <c r="K1073" s="124" t="s">
        <v>53</v>
      </c>
      <c r="L1073" s="124" t="s">
        <v>430</v>
      </c>
    </row>
    <row r="1074">
      <c r="A1074" s="165">
        <v>43758.147747337964</v>
      </c>
      <c r="B1074" s="161" t="s">
        <v>38</v>
      </c>
      <c r="C1074" s="162" t="s">
        <v>32</v>
      </c>
      <c r="D1074" s="93">
        <v>3.0</v>
      </c>
      <c r="E1074" s="93">
        <v>4.0</v>
      </c>
      <c r="F1074" s="124" t="s">
        <v>260</v>
      </c>
      <c r="G1074" s="129" t="s">
        <v>1034</v>
      </c>
      <c r="H1074" s="127" t="s">
        <v>430</v>
      </c>
      <c r="I1074" s="127">
        <v>33.0</v>
      </c>
      <c r="J1074" s="124">
        <v>61.0</v>
      </c>
      <c r="K1074" s="124" t="s">
        <v>60</v>
      </c>
      <c r="L1074" s="124" t="s">
        <v>430</v>
      </c>
    </row>
    <row r="1075">
      <c r="A1075" s="165">
        <v>43758.147747337964</v>
      </c>
      <c r="B1075" s="161" t="s">
        <v>38</v>
      </c>
      <c r="C1075" s="162" t="s">
        <v>156</v>
      </c>
      <c r="D1075" s="93">
        <v>6.0</v>
      </c>
      <c r="E1075" s="93">
        <v>1.0</v>
      </c>
      <c r="F1075" s="124" t="s">
        <v>284</v>
      </c>
      <c r="G1075" s="129" t="s">
        <v>1035</v>
      </c>
      <c r="H1075" s="127" t="s">
        <v>430</v>
      </c>
      <c r="I1075" s="127">
        <v>-8.0</v>
      </c>
      <c r="J1075" s="124" t="s">
        <v>283</v>
      </c>
      <c r="K1075" s="124" t="s">
        <v>53</v>
      </c>
      <c r="L1075" s="124" t="s">
        <v>430</v>
      </c>
    </row>
    <row r="1076">
      <c r="A1076" s="165">
        <v>43758.147747337964</v>
      </c>
      <c r="B1076" s="161" t="s">
        <v>38</v>
      </c>
      <c r="C1076" s="162" t="s">
        <v>172</v>
      </c>
      <c r="D1076" s="93">
        <v>4.0</v>
      </c>
      <c r="E1076" s="93">
        <v>3.0</v>
      </c>
      <c r="F1076" s="124" t="s">
        <v>242</v>
      </c>
      <c r="G1076" s="129" t="s">
        <v>1036</v>
      </c>
      <c r="H1076" s="127" t="s">
        <v>430</v>
      </c>
      <c r="I1076" s="127" t="s">
        <v>226</v>
      </c>
      <c r="J1076" s="124">
        <v>71.0</v>
      </c>
      <c r="K1076" s="124" t="s">
        <v>53</v>
      </c>
      <c r="L1076" s="124" t="s">
        <v>430</v>
      </c>
    </row>
    <row r="1077">
      <c r="A1077" s="165">
        <v>43758.147747337964</v>
      </c>
      <c r="B1077" s="161" t="s">
        <v>38</v>
      </c>
      <c r="C1077" s="162" t="s">
        <v>198</v>
      </c>
      <c r="D1077" s="93">
        <v>0.0</v>
      </c>
      <c r="E1077" s="93">
        <v>7.0</v>
      </c>
      <c r="F1077" s="124" t="s">
        <v>248</v>
      </c>
      <c r="G1077" s="129" t="s">
        <v>202</v>
      </c>
      <c r="H1077" s="127"/>
      <c r="I1077" s="127" t="s">
        <v>203</v>
      </c>
      <c r="J1077" s="124" t="s">
        <v>203</v>
      </c>
      <c r="K1077" s="124"/>
      <c r="L1077" s="124">
        <v>9999.0</v>
      </c>
    </row>
    <row r="1078">
      <c r="A1078" s="165">
        <v>43758.147747337964</v>
      </c>
      <c r="B1078" s="161" t="s">
        <v>38</v>
      </c>
      <c r="C1078" s="162" t="s">
        <v>113</v>
      </c>
      <c r="D1078" s="93">
        <v>4.0</v>
      </c>
      <c r="E1078" s="93">
        <v>3.0</v>
      </c>
      <c r="F1078" s="124" t="s">
        <v>248</v>
      </c>
      <c r="G1078" s="129" t="s">
        <v>202</v>
      </c>
      <c r="H1078" s="127"/>
      <c r="I1078" s="127" t="s">
        <v>203</v>
      </c>
      <c r="J1078" s="124" t="s">
        <v>203</v>
      </c>
      <c r="K1078" s="124"/>
      <c r="L1078" s="124">
        <v>9999.0</v>
      </c>
    </row>
    <row r="1079">
      <c r="A1079" s="136" t="s">
        <v>359</v>
      </c>
      <c r="B1079" s="115" t="s">
        <v>2</v>
      </c>
      <c r="C1079" s="153" t="s">
        <v>227</v>
      </c>
      <c r="D1079" s="118" t="s">
        <v>29</v>
      </c>
      <c r="E1079" s="118" t="s">
        <v>34</v>
      </c>
      <c r="F1079" s="124" t="s">
        <v>261</v>
      </c>
      <c r="G1079" s="129" t="s">
        <v>245</v>
      </c>
      <c r="H1079" s="127" t="s">
        <v>228</v>
      </c>
      <c r="I1079" s="127" t="s">
        <v>229</v>
      </c>
      <c r="J1079" s="124" t="s">
        <v>262</v>
      </c>
      <c r="K1079" s="124" t="s">
        <v>263</v>
      </c>
      <c r="L1079" s="124" t="s">
        <v>264</v>
      </c>
    </row>
    <row r="1080">
      <c r="A1080" s="165">
        <v>43758.147747337964</v>
      </c>
      <c r="B1080" s="161" t="s">
        <v>41</v>
      </c>
      <c r="C1080" s="162" t="s">
        <v>190</v>
      </c>
      <c r="D1080" s="93">
        <v>3.0</v>
      </c>
      <c r="E1080" s="93">
        <v>1.0</v>
      </c>
      <c r="F1080" s="124" t="s">
        <v>248</v>
      </c>
      <c r="G1080" s="129" t="s">
        <v>1037</v>
      </c>
      <c r="H1080" s="127" t="s">
        <v>430</v>
      </c>
      <c r="I1080" s="127">
        <v>-6.0</v>
      </c>
      <c r="J1080" s="124" t="s">
        <v>626</v>
      </c>
      <c r="K1080" s="124" t="s">
        <v>48</v>
      </c>
      <c r="L1080" s="124" t="s">
        <v>430</v>
      </c>
    </row>
    <row r="1081">
      <c r="A1081" s="165">
        <v>43758.147747337964</v>
      </c>
      <c r="B1081" s="161" t="s">
        <v>41</v>
      </c>
      <c r="C1081" s="162" t="s">
        <v>168</v>
      </c>
      <c r="D1081" s="93">
        <v>2.0</v>
      </c>
      <c r="E1081" s="93">
        <v>5.0</v>
      </c>
      <c r="F1081" s="124" t="s">
        <v>201</v>
      </c>
      <c r="G1081" s="129" t="s">
        <v>1038</v>
      </c>
      <c r="H1081" s="127" t="s">
        <v>430</v>
      </c>
      <c r="I1081" s="127">
        <v>9.0</v>
      </c>
      <c r="J1081" s="124">
        <v>54.0</v>
      </c>
      <c r="K1081" s="124" t="s">
        <v>74</v>
      </c>
      <c r="L1081" s="124" t="s">
        <v>430</v>
      </c>
    </row>
    <row r="1082">
      <c r="A1082" s="165">
        <v>43758.147747337964</v>
      </c>
      <c r="B1082" s="161" t="s">
        <v>41</v>
      </c>
      <c r="C1082" s="162" t="s">
        <v>126</v>
      </c>
      <c r="D1082" s="93">
        <v>4.0</v>
      </c>
      <c r="E1082" s="93">
        <v>3.0</v>
      </c>
      <c r="F1082" s="124" t="s">
        <v>260</v>
      </c>
      <c r="G1082" s="129" t="s">
        <v>1039</v>
      </c>
      <c r="H1082" s="127" t="s">
        <v>430</v>
      </c>
      <c r="I1082" s="127" t="s">
        <v>376</v>
      </c>
      <c r="J1082" s="124" t="s">
        <v>276</v>
      </c>
      <c r="K1082" s="124" t="s">
        <v>74</v>
      </c>
      <c r="L1082" s="124" t="s">
        <v>430</v>
      </c>
    </row>
    <row r="1083">
      <c r="A1083" s="165">
        <v>43758.147747337964</v>
      </c>
      <c r="B1083" s="161" t="s">
        <v>41</v>
      </c>
      <c r="C1083" s="162" t="s">
        <v>91</v>
      </c>
      <c r="D1083" s="93">
        <v>5.0</v>
      </c>
      <c r="E1083" s="93">
        <v>2.0</v>
      </c>
      <c r="F1083" s="124" t="s">
        <v>201</v>
      </c>
      <c r="G1083" s="129" t="s">
        <v>1040</v>
      </c>
      <c r="H1083" s="127" t="s">
        <v>430</v>
      </c>
      <c r="I1083" s="127" t="s">
        <v>379</v>
      </c>
      <c r="J1083" s="124" t="s">
        <v>462</v>
      </c>
      <c r="K1083" s="124" t="s">
        <v>62</v>
      </c>
      <c r="L1083" s="124" t="s">
        <v>430</v>
      </c>
    </row>
    <row r="1084">
      <c r="A1084" s="165">
        <v>43758.147747337964</v>
      </c>
      <c r="B1084" s="161" t="s">
        <v>41</v>
      </c>
      <c r="C1084" s="162" t="s">
        <v>146</v>
      </c>
      <c r="D1084" s="93">
        <v>3.0</v>
      </c>
      <c r="E1084" s="93">
        <v>4.0</v>
      </c>
      <c r="F1084" s="124" t="s">
        <v>260</v>
      </c>
      <c r="G1084" s="129" t="s">
        <v>1041</v>
      </c>
      <c r="H1084" s="127" t="s">
        <v>430</v>
      </c>
      <c r="I1084" s="127" t="s">
        <v>286</v>
      </c>
      <c r="J1084" s="124" t="s">
        <v>397</v>
      </c>
      <c r="K1084" s="124" t="s">
        <v>62</v>
      </c>
      <c r="L1084" s="124" t="s">
        <v>430</v>
      </c>
    </row>
    <row r="1085">
      <c r="A1085" s="165">
        <v>43758.147747337964</v>
      </c>
      <c r="B1085" s="161" t="s">
        <v>41</v>
      </c>
      <c r="C1085" s="162" t="s">
        <v>111</v>
      </c>
      <c r="D1085" s="93">
        <v>3.0</v>
      </c>
      <c r="E1085" s="93">
        <v>4.0</v>
      </c>
      <c r="F1085" s="124" t="s">
        <v>266</v>
      </c>
      <c r="G1085" s="129" t="s">
        <v>1042</v>
      </c>
      <c r="H1085" s="127" t="s">
        <v>430</v>
      </c>
      <c r="I1085" s="127" t="s">
        <v>418</v>
      </c>
      <c r="J1085" s="124" t="s">
        <v>280</v>
      </c>
      <c r="K1085" s="124" t="s">
        <v>69</v>
      </c>
      <c r="L1085" s="124" t="s">
        <v>430</v>
      </c>
    </row>
    <row r="1086">
      <c r="A1086" s="165">
        <v>43758.147747337964</v>
      </c>
      <c r="B1086" s="161" t="s">
        <v>41</v>
      </c>
      <c r="C1086" s="162" t="s">
        <v>180</v>
      </c>
      <c r="D1086" s="93">
        <v>5.0</v>
      </c>
      <c r="E1086" s="93">
        <v>2.0</v>
      </c>
      <c r="F1086" s="124" t="s">
        <v>287</v>
      </c>
      <c r="G1086" s="129" t="s">
        <v>1043</v>
      </c>
      <c r="H1086" s="127" t="s">
        <v>430</v>
      </c>
      <c r="I1086" s="127">
        <v>-21.0</v>
      </c>
      <c r="J1086" s="124" t="s">
        <v>280</v>
      </c>
      <c r="K1086" s="124" t="s">
        <v>288</v>
      </c>
      <c r="L1086" s="124" t="s">
        <v>430</v>
      </c>
    </row>
    <row r="1087">
      <c r="A1087" s="165">
        <v>43758.147747337964</v>
      </c>
      <c r="B1087" s="161" t="s">
        <v>41</v>
      </c>
      <c r="C1087" s="162" t="s">
        <v>52</v>
      </c>
      <c r="D1087" s="93">
        <v>5.0</v>
      </c>
      <c r="E1087" s="93">
        <v>2.0</v>
      </c>
      <c r="F1087" s="124" t="s">
        <v>215</v>
      </c>
      <c r="G1087" s="129" t="s">
        <v>1044</v>
      </c>
      <c r="H1087" s="127" t="s">
        <v>430</v>
      </c>
      <c r="I1087" s="127">
        <v>4.0</v>
      </c>
      <c r="J1087" s="124">
        <v>59.0</v>
      </c>
      <c r="K1087" s="124" t="s">
        <v>69</v>
      </c>
      <c r="L1087" s="124" t="s">
        <v>430</v>
      </c>
    </row>
    <row r="1088">
      <c r="A1088" s="165">
        <v>43758.147747337964</v>
      </c>
      <c r="B1088" s="161" t="s">
        <v>41</v>
      </c>
      <c r="C1088" s="162" t="s">
        <v>109</v>
      </c>
      <c r="D1088" s="93">
        <v>3.0</v>
      </c>
      <c r="E1088" s="93">
        <v>4.0</v>
      </c>
      <c r="F1088" s="124" t="s">
        <v>215</v>
      </c>
      <c r="G1088" s="129" t="s">
        <v>1045</v>
      </c>
      <c r="H1088" s="127" t="s">
        <v>430</v>
      </c>
      <c r="I1088" s="127" t="s">
        <v>247</v>
      </c>
      <c r="J1088" s="124" t="s">
        <v>507</v>
      </c>
      <c r="K1088" s="124" t="s">
        <v>44</v>
      </c>
      <c r="L1088" s="124" t="s">
        <v>430</v>
      </c>
    </row>
    <row r="1089">
      <c r="A1089" s="165">
        <v>43758.147747337964</v>
      </c>
      <c r="B1089" s="161" t="s">
        <v>41</v>
      </c>
      <c r="C1089" s="162" t="s">
        <v>159</v>
      </c>
      <c r="D1089" s="93">
        <v>4.0</v>
      </c>
      <c r="E1089" s="93">
        <v>2.0</v>
      </c>
      <c r="F1089" s="124" t="s">
        <v>242</v>
      </c>
      <c r="G1089" s="129" t="s">
        <v>1046</v>
      </c>
      <c r="H1089" s="127" t="s">
        <v>430</v>
      </c>
      <c r="I1089" s="127">
        <v>-21.0</v>
      </c>
      <c r="J1089" s="124" t="s">
        <v>781</v>
      </c>
      <c r="K1089" s="124" t="s">
        <v>64</v>
      </c>
      <c r="L1089" s="124" t="s">
        <v>430</v>
      </c>
    </row>
    <row r="1090">
      <c r="A1090" s="136" t="s">
        <v>359</v>
      </c>
      <c r="B1090" s="159" t="s">
        <v>2</v>
      </c>
      <c r="C1090" s="160" t="s">
        <v>227</v>
      </c>
      <c r="D1090" s="1" t="s">
        <v>29</v>
      </c>
      <c r="E1090" s="1" t="s">
        <v>34</v>
      </c>
      <c r="F1090" s="124" t="s">
        <v>261</v>
      </c>
      <c r="G1090" s="129" t="s">
        <v>245</v>
      </c>
      <c r="H1090" s="127" t="s">
        <v>228</v>
      </c>
      <c r="I1090" s="127" t="s">
        <v>229</v>
      </c>
      <c r="J1090" s="124" t="s">
        <v>262</v>
      </c>
      <c r="K1090" s="124" t="s">
        <v>263</v>
      </c>
      <c r="L1090" s="124" t="s">
        <v>264</v>
      </c>
    </row>
    <row r="1091">
      <c r="A1091" s="165">
        <v>43758.147747337964</v>
      </c>
      <c r="B1091" s="161" t="s">
        <v>44</v>
      </c>
      <c r="C1091" s="162" t="s">
        <v>122</v>
      </c>
      <c r="D1091" s="93">
        <v>6.0</v>
      </c>
      <c r="E1091" s="93">
        <v>1.0</v>
      </c>
      <c r="F1091" s="124" t="s">
        <v>266</v>
      </c>
      <c r="G1091" s="129" t="s">
        <v>1047</v>
      </c>
      <c r="H1091" s="127" t="s">
        <v>430</v>
      </c>
      <c r="I1091" s="127">
        <v>-31.0</v>
      </c>
      <c r="J1091" s="124" t="s">
        <v>394</v>
      </c>
      <c r="K1091" s="124" t="s">
        <v>288</v>
      </c>
      <c r="L1091" s="124" t="s">
        <v>430</v>
      </c>
    </row>
    <row r="1092">
      <c r="A1092" s="165">
        <v>43758.147747337964</v>
      </c>
      <c r="B1092" s="161" t="s">
        <v>44</v>
      </c>
      <c r="C1092" s="162" t="s">
        <v>173</v>
      </c>
      <c r="D1092" s="93">
        <v>2.0</v>
      </c>
      <c r="E1092" s="93">
        <v>5.0</v>
      </c>
      <c r="F1092" s="124" t="s">
        <v>287</v>
      </c>
      <c r="G1092" s="129" t="s">
        <v>1048</v>
      </c>
      <c r="H1092" s="127" t="s">
        <v>430</v>
      </c>
      <c r="I1092" s="127" t="s">
        <v>775</v>
      </c>
      <c r="J1092" s="124" t="s">
        <v>546</v>
      </c>
      <c r="K1092" s="124" t="s">
        <v>74</v>
      </c>
      <c r="L1092" s="124" t="s">
        <v>430</v>
      </c>
    </row>
    <row r="1093">
      <c r="A1093" s="165">
        <v>43758.147747337964</v>
      </c>
      <c r="B1093" s="161" t="s">
        <v>44</v>
      </c>
      <c r="C1093" s="162" t="s">
        <v>61</v>
      </c>
      <c r="D1093" s="93">
        <v>4.0</v>
      </c>
      <c r="E1093" s="93">
        <v>3.0</v>
      </c>
      <c r="F1093" s="124" t="s">
        <v>265</v>
      </c>
      <c r="G1093" s="129" t="s">
        <v>1049</v>
      </c>
      <c r="H1093" s="127" t="s">
        <v>430</v>
      </c>
      <c r="I1093" s="127" t="s">
        <v>428</v>
      </c>
      <c r="J1093" s="124" t="s">
        <v>387</v>
      </c>
      <c r="K1093" s="124" t="s">
        <v>74</v>
      </c>
      <c r="L1093" s="124" t="s">
        <v>430</v>
      </c>
    </row>
    <row r="1094">
      <c r="A1094" s="165">
        <v>43758.147747337964</v>
      </c>
      <c r="B1094" s="161" t="s">
        <v>44</v>
      </c>
      <c r="C1094" s="162" t="s">
        <v>104</v>
      </c>
      <c r="D1094" s="93">
        <v>3.0</v>
      </c>
      <c r="E1094" s="93">
        <v>4.0</v>
      </c>
      <c r="F1094" s="124" t="s">
        <v>269</v>
      </c>
      <c r="G1094" s="129" t="s">
        <v>1030</v>
      </c>
      <c r="H1094" s="127" t="s">
        <v>430</v>
      </c>
      <c r="I1094" s="127">
        <v>7.0</v>
      </c>
      <c r="J1094" s="124" t="s">
        <v>276</v>
      </c>
      <c r="K1094" s="124" t="s">
        <v>38</v>
      </c>
      <c r="L1094" s="124" t="s">
        <v>430</v>
      </c>
    </row>
    <row r="1095">
      <c r="A1095" s="165">
        <v>43758.147747337964</v>
      </c>
      <c r="B1095" s="161" t="s">
        <v>44</v>
      </c>
      <c r="C1095" s="162" t="s">
        <v>145</v>
      </c>
      <c r="D1095" s="93">
        <v>2.0</v>
      </c>
      <c r="E1095" s="93">
        <v>5.0</v>
      </c>
      <c r="F1095" s="124" t="s">
        <v>267</v>
      </c>
      <c r="G1095" s="129" t="s">
        <v>1050</v>
      </c>
      <c r="H1095" s="127" t="s">
        <v>430</v>
      </c>
      <c r="I1095" s="127">
        <v>-1.0</v>
      </c>
      <c r="J1095" s="124">
        <v>48.0</v>
      </c>
      <c r="K1095" s="124" t="s">
        <v>48</v>
      </c>
      <c r="L1095" s="124" t="s">
        <v>430</v>
      </c>
    </row>
    <row r="1096">
      <c r="A1096" s="165">
        <v>43758.147747337964</v>
      </c>
      <c r="B1096" s="161" t="s">
        <v>44</v>
      </c>
      <c r="C1096" s="162" t="s">
        <v>188</v>
      </c>
      <c r="D1096" s="93">
        <v>3.0</v>
      </c>
      <c r="E1096" s="93">
        <v>3.0</v>
      </c>
      <c r="F1096" s="124" t="s">
        <v>282</v>
      </c>
      <c r="G1096" s="129" t="s">
        <v>1022</v>
      </c>
      <c r="H1096" s="127" t="s">
        <v>541</v>
      </c>
      <c r="I1096" s="127" t="s">
        <v>244</v>
      </c>
      <c r="J1096" s="124" t="s">
        <v>394</v>
      </c>
      <c r="K1096" s="124" t="s">
        <v>27</v>
      </c>
      <c r="L1096" s="124" t="s">
        <v>541</v>
      </c>
    </row>
    <row r="1097">
      <c r="A1097" s="165">
        <v>43758.147747337964</v>
      </c>
      <c r="B1097" s="161" t="s">
        <v>44</v>
      </c>
      <c r="C1097" s="162" t="s">
        <v>37</v>
      </c>
      <c r="D1097" s="93">
        <v>5.0</v>
      </c>
      <c r="E1097" s="93">
        <v>1.0</v>
      </c>
      <c r="F1097" s="124" t="s">
        <v>260</v>
      </c>
      <c r="G1097" s="129" t="s">
        <v>1051</v>
      </c>
      <c r="H1097" s="127" t="s">
        <v>430</v>
      </c>
      <c r="I1097" s="127" t="s">
        <v>226</v>
      </c>
      <c r="J1097" s="124" t="s">
        <v>406</v>
      </c>
      <c r="K1097" s="124" t="s">
        <v>58</v>
      </c>
      <c r="L1097" s="124" t="s">
        <v>430</v>
      </c>
    </row>
    <row r="1098">
      <c r="A1098" s="165">
        <v>43758.147747337964</v>
      </c>
      <c r="B1098" s="161" t="s">
        <v>44</v>
      </c>
      <c r="C1098" s="162" t="s">
        <v>132</v>
      </c>
      <c r="D1098" s="93">
        <v>2.0</v>
      </c>
      <c r="E1098" s="93">
        <v>5.0</v>
      </c>
      <c r="F1098" s="124" t="s">
        <v>267</v>
      </c>
      <c r="G1098" s="129" t="s">
        <v>1052</v>
      </c>
      <c r="H1098" s="127" t="s">
        <v>430</v>
      </c>
      <c r="I1098" s="127">
        <v>9.0</v>
      </c>
      <c r="J1098" s="124" t="s">
        <v>507</v>
      </c>
      <c r="K1098" s="124" t="s">
        <v>58</v>
      </c>
      <c r="L1098" s="124" t="s">
        <v>430</v>
      </c>
    </row>
    <row r="1099">
      <c r="A1099" s="165">
        <v>43758.147747337964</v>
      </c>
      <c r="B1099" s="161" t="s">
        <v>44</v>
      </c>
      <c r="C1099" s="162" t="s">
        <v>161</v>
      </c>
      <c r="D1099" s="93">
        <v>4.0</v>
      </c>
      <c r="E1099" s="93">
        <v>3.0</v>
      </c>
      <c r="F1099" s="124" t="s">
        <v>273</v>
      </c>
      <c r="G1099" s="129" t="s">
        <v>1053</v>
      </c>
      <c r="H1099" s="127" t="s">
        <v>430</v>
      </c>
      <c r="I1099" s="127" t="s">
        <v>272</v>
      </c>
      <c r="J1099" s="124">
        <v>67.0</v>
      </c>
      <c r="K1099" s="124" t="s">
        <v>64</v>
      </c>
      <c r="L1099" s="124" t="s">
        <v>430</v>
      </c>
    </row>
    <row r="1100">
      <c r="A1100" s="165">
        <v>43758.147747337964</v>
      </c>
      <c r="B1100" s="161" t="s">
        <v>44</v>
      </c>
      <c r="C1100" s="162" t="s">
        <v>150</v>
      </c>
      <c r="D1100" s="93">
        <v>6.0</v>
      </c>
      <c r="E1100" s="93">
        <v>1.0</v>
      </c>
      <c r="F1100" s="124" t="s">
        <v>215</v>
      </c>
      <c r="G1100" s="129" t="s">
        <v>1045</v>
      </c>
      <c r="H1100" s="127" t="s">
        <v>430</v>
      </c>
      <c r="I1100" s="127" t="s">
        <v>244</v>
      </c>
      <c r="J1100" s="124" t="s">
        <v>507</v>
      </c>
      <c r="K1100" s="124" t="s">
        <v>41</v>
      </c>
      <c r="L1100" s="124" t="s">
        <v>430</v>
      </c>
    </row>
    <row r="1101">
      <c r="A1101" s="136" t="s">
        <v>359</v>
      </c>
      <c r="B1101" s="115" t="s">
        <v>2</v>
      </c>
      <c r="C1101" s="153" t="s">
        <v>227</v>
      </c>
      <c r="D1101" s="118" t="s">
        <v>29</v>
      </c>
      <c r="E1101" s="118" t="s">
        <v>34</v>
      </c>
      <c r="F1101" s="124" t="s">
        <v>261</v>
      </c>
      <c r="G1101" s="129" t="s">
        <v>245</v>
      </c>
      <c r="H1101" s="127" t="s">
        <v>228</v>
      </c>
      <c r="I1101" s="127" t="s">
        <v>229</v>
      </c>
      <c r="J1101" s="124" t="s">
        <v>262</v>
      </c>
      <c r="K1101" s="124" t="s">
        <v>263</v>
      </c>
      <c r="L1101" s="124" t="s">
        <v>264</v>
      </c>
    </row>
    <row r="1102">
      <c r="A1102" s="165">
        <v>43758.147747337964</v>
      </c>
      <c r="B1102" s="161" t="s">
        <v>48</v>
      </c>
      <c r="C1102" s="162" t="s">
        <v>187</v>
      </c>
      <c r="D1102" s="93">
        <v>2.0</v>
      </c>
      <c r="E1102" s="93">
        <v>2.0</v>
      </c>
      <c r="F1102" s="124" t="s">
        <v>242</v>
      </c>
      <c r="G1102" s="129" t="s">
        <v>1037</v>
      </c>
      <c r="H1102" s="127" t="s">
        <v>430</v>
      </c>
      <c r="I1102" s="127">
        <v>6.0</v>
      </c>
      <c r="J1102" s="124" t="s">
        <v>626</v>
      </c>
      <c r="K1102" s="124" t="s">
        <v>41</v>
      </c>
      <c r="L1102" s="124" t="s">
        <v>430</v>
      </c>
    </row>
    <row r="1103">
      <c r="A1103" s="165">
        <v>43758.147747337964</v>
      </c>
      <c r="B1103" s="161" t="s">
        <v>48</v>
      </c>
      <c r="C1103" s="162" t="s">
        <v>105</v>
      </c>
      <c r="D1103" s="93">
        <v>3.0</v>
      </c>
      <c r="E1103" s="93">
        <v>4.0</v>
      </c>
      <c r="F1103" s="124" t="s">
        <v>278</v>
      </c>
      <c r="G1103" s="129" t="s">
        <v>1054</v>
      </c>
      <c r="H1103" s="127" t="s">
        <v>430</v>
      </c>
      <c r="I1103" s="127" t="s">
        <v>454</v>
      </c>
      <c r="J1103" s="124">
        <v>65.0</v>
      </c>
      <c r="K1103" s="124" t="s">
        <v>53</v>
      </c>
      <c r="L1103" s="124" t="s">
        <v>430</v>
      </c>
    </row>
    <row r="1104">
      <c r="A1104" s="165">
        <v>43758.147747337964</v>
      </c>
      <c r="B1104" s="161" t="s">
        <v>48</v>
      </c>
      <c r="C1104" s="162" t="s">
        <v>120</v>
      </c>
      <c r="D1104" s="93">
        <v>2.0</v>
      </c>
      <c r="E1104" s="93">
        <v>5.0</v>
      </c>
      <c r="F1104" s="124" t="s">
        <v>215</v>
      </c>
      <c r="G1104" s="129" t="s">
        <v>1055</v>
      </c>
      <c r="H1104" s="127" t="s">
        <v>430</v>
      </c>
      <c r="I1104" s="127">
        <v>18.0</v>
      </c>
      <c r="J1104" s="124" t="s">
        <v>394</v>
      </c>
      <c r="K1104" s="124" t="s">
        <v>58</v>
      </c>
      <c r="L1104" s="124" t="s">
        <v>430</v>
      </c>
    </row>
    <row r="1105">
      <c r="A1105" s="165">
        <v>43758.147747337964</v>
      </c>
      <c r="B1105" s="161" t="s">
        <v>48</v>
      </c>
      <c r="C1105" s="162" t="s">
        <v>33</v>
      </c>
      <c r="D1105" s="93">
        <v>3.0</v>
      </c>
      <c r="E1105" s="93">
        <v>4.0</v>
      </c>
      <c r="F1105" s="124" t="s">
        <v>242</v>
      </c>
      <c r="G1105" s="129" t="s">
        <v>1056</v>
      </c>
      <c r="H1105" s="127" t="s">
        <v>430</v>
      </c>
      <c r="I1105" s="127" t="s">
        <v>393</v>
      </c>
      <c r="J1105" s="124" t="s">
        <v>397</v>
      </c>
      <c r="K1105" s="124" t="s">
        <v>74</v>
      </c>
      <c r="L1105" s="124" t="s">
        <v>430</v>
      </c>
    </row>
    <row r="1106">
      <c r="A1106" s="165">
        <v>43758.147747337964</v>
      </c>
      <c r="B1106" s="161" t="s">
        <v>48</v>
      </c>
      <c r="C1106" s="162" t="s">
        <v>144</v>
      </c>
      <c r="D1106" s="93">
        <v>3.0</v>
      </c>
      <c r="E1106" s="93">
        <v>4.0</v>
      </c>
      <c r="F1106" s="124" t="s">
        <v>248</v>
      </c>
      <c r="G1106" s="129" t="s">
        <v>1050</v>
      </c>
      <c r="H1106" s="127" t="s">
        <v>430</v>
      </c>
      <c r="I1106" s="127">
        <v>1.0</v>
      </c>
      <c r="J1106" s="124">
        <v>48.0</v>
      </c>
      <c r="K1106" s="124" t="s">
        <v>44</v>
      </c>
      <c r="L1106" s="124" t="s">
        <v>430</v>
      </c>
    </row>
    <row r="1107">
      <c r="A1107" s="165">
        <v>43758.147747337964</v>
      </c>
      <c r="B1107" s="161" t="s">
        <v>48</v>
      </c>
      <c r="C1107" s="162" t="s">
        <v>155</v>
      </c>
      <c r="D1107" s="93">
        <v>2.0</v>
      </c>
      <c r="E1107" s="93">
        <v>5.0</v>
      </c>
      <c r="F1107" s="124" t="s">
        <v>349</v>
      </c>
      <c r="G1107" s="129" t="s">
        <v>1057</v>
      </c>
      <c r="H1107" s="127" t="s">
        <v>430</v>
      </c>
      <c r="I1107" s="127">
        <v>20.0</v>
      </c>
      <c r="J1107" s="124">
        <v>52.0</v>
      </c>
      <c r="K1107" s="124" t="s">
        <v>74</v>
      </c>
      <c r="L1107" s="124" t="s">
        <v>430</v>
      </c>
    </row>
    <row r="1108">
      <c r="A1108" s="165">
        <v>43758.147747337964</v>
      </c>
      <c r="B1108" s="161" t="s">
        <v>48</v>
      </c>
      <c r="C1108" s="162" t="s">
        <v>90</v>
      </c>
      <c r="D1108" s="93">
        <v>3.0</v>
      </c>
      <c r="E1108" s="93">
        <v>4.0</v>
      </c>
      <c r="F1108" s="124" t="s">
        <v>265</v>
      </c>
      <c r="G1108" s="129" t="s">
        <v>1024</v>
      </c>
      <c r="H1108" s="127" t="s">
        <v>1025</v>
      </c>
      <c r="I1108" s="127">
        <v>-3.0</v>
      </c>
      <c r="J1108" s="124" t="s">
        <v>280</v>
      </c>
      <c r="K1108" s="124" t="s">
        <v>27</v>
      </c>
      <c r="L1108" s="124" t="s">
        <v>1025</v>
      </c>
    </row>
    <row r="1109">
      <c r="A1109" s="165">
        <v>43758.147747337964</v>
      </c>
      <c r="B1109" s="161" t="s">
        <v>48</v>
      </c>
      <c r="C1109" s="162" t="s">
        <v>127</v>
      </c>
      <c r="D1109" s="93">
        <v>2.0</v>
      </c>
      <c r="E1109" s="93">
        <v>5.0</v>
      </c>
      <c r="F1109" s="124" t="s">
        <v>357</v>
      </c>
      <c r="G1109" s="129" t="s">
        <v>1058</v>
      </c>
      <c r="H1109" s="127" t="s">
        <v>430</v>
      </c>
      <c r="I1109" s="127">
        <v>10.0</v>
      </c>
      <c r="J1109" s="124">
        <v>58.0</v>
      </c>
      <c r="K1109" s="124" t="s">
        <v>62</v>
      </c>
      <c r="L1109" s="124" t="s">
        <v>430</v>
      </c>
    </row>
    <row r="1110">
      <c r="A1110" s="165">
        <v>43758.147747337964</v>
      </c>
      <c r="B1110" s="161" t="s">
        <v>48</v>
      </c>
      <c r="C1110" s="162" t="s">
        <v>176</v>
      </c>
      <c r="D1110" s="93">
        <v>6.0</v>
      </c>
      <c r="E1110" s="93">
        <v>1.0</v>
      </c>
      <c r="F1110" s="124" t="s">
        <v>201</v>
      </c>
      <c r="G1110" s="129" t="s">
        <v>1059</v>
      </c>
      <c r="H1110" s="127" t="s">
        <v>430</v>
      </c>
      <c r="I1110" s="127" t="s">
        <v>470</v>
      </c>
      <c r="J1110" s="124">
        <v>48.0</v>
      </c>
      <c r="K1110" s="124" t="s">
        <v>64</v>
      </c>
      <c r="L1110" s="124" t="s">
        <v>430</v>
      </c>
    </row>
    <row r="1111">
      <c r="A1111" s="165">
        <v>43758.147747337964</v>
      </c>
      <c r="B1111" s="161" t="s">
        <v>48</v>
      </c>
      <c r="C1111" s="162" t="s">
        <v>162</v>
      </c>
      <c r="D1111" s="93">
        <v>5.0</v>
      </c>
      <c r="E1111" s="93">
        <v>2.0</v>
      </c>
      <c r="F1111" s="124" t="s">
        <v>273</v>
      </c>
      <c r="G1111" s="129" t="s">
        <v>1060</v>
      </c>
      <c r="H1111" s="127" t="s">
        <v>430</v>
      </c>
      <c r="I1111" s="127" t="s">
        <v>274</v>
      </c>
      <c r="J1111" s="124" t="s">
        <v>585</v>
      </c>
      <c r="K1111" s="124" t="s">
        <v>69</v>
      </c>
      <c r="L1111" s="124" t="s">
        <v>430</v>
      </c>
    </row>
    <row r="1112">
      <c r="A1112" s="136" t="s">
        <v>359</v>
      </c>
      <c r="B1112" s="115" t="s">
        <v>2</v>
      </c>
      <c r="C1112" s="153" t="s">
        <v>227</v>
      </c>
      <c r="D1112" s="118" t="s">
        <v>29</v>
      </c>
      <c r="E1112" s="118" t="s">
        <v>34</v>
      </c>
      <c r="F1112" s="124" t="s">
        <v>261</v>
      </c>
      <c r="G1112" s="129" t="s">
        <v>245</v>
      </c>
      <c r="H1112" s="127" t="s">
        <v>228</v>
      </c>
      <c r="I1112" s="127" t="s">
        <v>229</v>
      </c>
      <c r="J1112" s="124" t="s">
        <v>262</v>
      </c>
      <c r="K1112" s="124" t="s">
        <v>263</v>
      </c>
      <c r="L1112" s="124" t="s">
        <v>264</v>
      </c>
    </row>
    <row r="1113">
      <c r="A1113" s="165">
        <v>43758.147747337964</v>
      </c>
      <c r="B1113" s="161" t="s">
        <v>53</v>
      </c>
      <c r="C1113" s="162" t="s">
        <v>100</v>
      </c>
      <c r="D1113" s="93">
        <v>7.0</v>
      </c>
      <c r="E1113" s="93">
        <v>0.0</v>
      </c>
      <c r="F1113" s="124" t="s">
        <v>278</v>
      </c>
      <c r="G1113" s="129" t="s">
        <v>1054</v>
      </c>
      <c r="H1113" s="127" t="s">
        <v>430</v>
      </c>
      <c r="I1113" s="127" t="s">
        <v>495</v>
      </c>
      <c r="J1113" s="124">
        <v>65.0</v>
      </c>
      <c r="K1113" s="124" t="s">
        <v>48</v>
      </c>
      <c r="L1113" s="124" t="s">
        <v>430</v>
      </c>
    </row>
    <row r="1114">
      <c r="A1114" s="165">
        <v>43758.147747337964</v>
      </c>
      <c r="B1114" s="161" t="s">
        <v>53</v>
      </c>
      <c r="C1114" s="162" t="s">
        <v>179</v>
      </c>
      <c r="D1114" s="93">
        <v>3.0</v>
      </c>
      <c r="E1114" s="93">
        <v>4.0</v>
      </c>
      <c r="F1114" s="124" t="s">
        <v>234</v>
      </c>
      <c r="G1114" s="129" t="s">
        <v>1032</v>
      </c>
      <c r="H1114" s="127" t="s">
        <v>430</v>
      </c>
      <c r="I1114" s="127" t="s">
        <v>1061</v>
      </c>
      <c r="J1114" s="124" t="s">
        <v>781</v>
      </c>
      <c r="K1114" s="124" t="s">
        <v>38</v>
      </c>
      <c r="L1114" s="124" t="s">
        <v>430</v>
      </c>
    </row>
    <row r="1115">
      <c r="A1115" s="165">
        <v>43758.147747337964</v>
      </c>
      <c r="B1115" s="161" t="s">
        <v>53</v>
      </c>
      <c r="C1115" s="162" t="s">
        <v>42</v>
      </c>
      <c r="D1115" s="93">
        <v>7.0</v>
      </c>
      <c r="E1115" s="93">
        <v>0.0</v>
      </c>
      <c r="F1115" s="124" t="s">
        <v>215</v>
      </c>
      <c r="G1115" s="129" t="s">
        <v>1062</v>
      </c>
      <c r="H1115" s="127" t="s">
        <v>430</v>
      </c>
      <c r="I1115" s="127" t="s">
        <v>286</v>
      </c>
      <c r="J1115" s="124">
        <v>59.0</v>
      </c>
      <c r="K1115" s="124" t="s">
        <v>64</v>
      </c>
      <c r="L1115" s="124" t="s">
        <v>430</v>
      </c>
    </row>
    <row r="1116">
      <c r="A1116" s="165">
        <v>43758.147747337964</v>
      </c>
      <c r="B1116" s="161" t="s">
        <v>53</v>
      </c>
      <c r="C1116" s="162" t="s">
        <v>191</v>
      </c>
      <c r="D1116" s="93">
        <v>3.0</v>
      </c>
      <c r="E1116" s="93">
        <v>4.0</v>
      </c>
      <c r="F1116" s="124" t="s">
        <v>248</v>
      </c>
      <c r="G1116" s="129" t="s">
        <v>1063</v>
      </c>
      <c r="H1116" s="127" t="s">
        <v>430</v>
      </c>
      <c r="I1116" s="127" t="s">
        <v>1064</v>
      </c>
      <c r="J1116" s="124">
        <v>65.0</v>
      </c>
      <c r="K1116" s="124" t="s">
        <v>58</v>
      </c>
      <c r="L1116" s="124" t="s">
        <v>430</v>
      </c>
    </row>
    <row r="1117">
      <c r="A1117" s="165">
        <v>43758.147747337964</v>
      </c>
      <c r="B1117" s="161" t="s">
        <v>53</v>
      </c>
      <c r="C1117" s="162" t="s">
        <v>93</v>
      </c>
      <c r="D1117" s="93">
        <v>5.0</v>
      </c>
      <c r="E1117" s="93">
        <v>2.0</v>
      </c>
      <c r="F1117" s="124" t="s">
        <v>285</v>
      </c>
      <c r="G1117" s="129" t="s">
        <v>1065</v>
      </c>
      <c r="H1117" s="127" t="s">
        <v>430</v>
      </c>
      <c r="I1117" s="127" t="s">
        <v>379</v>
      </c>
      <c r="J1117" s="124">
        <v>47.0</v>
      </c>
      <c r="K1117" s="124" t="s">
        <v>58</v>
      </c>
      <c r="L1117" s="124" t="s">
        <v>430</v>
      </c>
    </row>
    <row r="1118">
      <c r="A1118" s="165">
        <v>43758.147747337964</v>
      </c>
      <c r="B1118" s="161" t="s">
        <v>53</v>
      </c>
      <c r="C1118" s="162" t="s">
        <v>136</v>
      </c>
      <c r="D1118" s="93">
        <v>6.0</v>
      </c>
      <c r="E1118" s="93">
        <v>1.0</v>
      </c>
      <c r="F1118" s="124" t="s">
        <v>267</v>
      </c>
      <c r="G1118" s="129" t="s">
        <v>1033</v>
      </c>
      <c r="H1118" s="127" t="s">
        <v>430</v>
      </c>
      <c r="I1118" s="127" t="s">
        <v>281</v>
      </c>
      <c r="J1118" s="124">
        <v>44.0</v>
      </c>
      <c r="K1118" s="124" t="s">
        <v>38</v>
      </c>
      <c r="L1118" s="124" t="s">
        <v>430</v>
      </c>
    </row>
    <row r="1119">
      <c r="A1119" s="165">
        <v>43758.147747337964</v>
      </c>
      <c r="B1119" s="161" t="s">
        <v>53</v>
      </c>
      <c r="C1119" s="162" t="s">
        <v>157</v>
      </c>
      <c r="D1119" s="93">
        <v>3.0</v>
      </c>
      <c r="E1119" s="93">
        <v>4.0</v>
      </c>
      <c r="F1119" s="124" t="s">
        <v>248</v>
      </c>
      <c r="G1119" s="129" t="s">
        <v>1035</v>
      </c>
      <c r="H1119" s="127" t="s">
        <v>430</v>
      </c>
      <c r="I1119" s="127">
        <v>8.0</v>
      </c>
      <c r="J1119" s="124" t="s">
        <v>283</v>
      </c>
      <c r="K1119" s="124" t="s">
        <v>38</v>
      </c>
      <c r="L1119" s="124" t="s">
        <v>430</v>
      </c>
    </row>
    <row r="1120">
      <c r="A1120" s="165">
        <v>43758.147747337964</v>
      </c>
      <c r="B1120" s="161" t="s">
        <v>53</v>
      </c>
      <c r="C1120" s="162" t="s">
        <v>148</v>
      </c>
      <c r="D1120" s="93">
        <v>4.0</v>
      </c>
      <c r="E1120" s="93">
        <v>4.0</v>
      </c>
      <c r="F1120" s="124" t="s">
        <v>267</v>
      </c>
      <c r="G1120" s="129" t="s">
        <v>1066</v>
      </c>
      <c r="H1120" s="127" t="s">
        <v>430</v>
      </c>
      <c r="I1120" s="127" t="s">
        <v>597</v>
      </c>
      <c r="J1120" s="124" t="s">
        <v>781</v>
      </c>
      <c r="K1120" s="124" t="s">
        <v>69</v>
      </c>
      <c r="L1120" s="124" t="s">
        <v>430</v>
      </c>
    </row>
    <row r="1121">
      <c r="A1121" s="165">
        <v>43758.147747337964</v>
      </c>
      <c r="B1121" s="161" t="s">
        <v>53</v>
      </c>
      <c r="C1121" s="162" t="s">
        <v>164</v>
      </c>
      <c r="D1121" s="93">
        <v>3.0</v>
      </c>
      <c r="E1121" s="93">
        <v>4.0</v>
      </c>
      <c r="F1121" s="124" t="s">
        <v>242</v>
      </c>
      <c r="G1121" s="129" t="s">
        <v>1036</v>
      </c>
      <c r="H1121" s="127" t="s">
        <v>430</v>
      </c>
      <c r="I1121" s="127" t="s">
        <v>274</v>
      </c>
      <c r="J1121" s="124">
        <v>71.0</v>
      </c>
      <c r="K1121" s="124" t="s">
        <v>38</v>
      </c>
      <c r="L1121" s="124" t="s">
        <v>430</v>
      </c>
    </row>
    <row r="1122">
      <c r="A1122" s="165">
        <v>43758.147747337964</v>
      </c>
      <c r="B1122" s="161" t="s">
        <v>53</v>
      </c>
      <c r="C1122" s="162" t="s">
        <v>119</v>
      </c>
      <c r="D1122" s="93">
        <v>7.0</v>
      </c>
      <c r="E1122" s="93">
        <v>0.0</v>
      </c>
      <c r="F1122" s="124" t="s">
        <v>207</v>
      </c>
      <c r="G1122" s="129" t="s">
        <v>1067</v>
      </c>
      <c r="H1122" s="127" t="s">
        <v>430</v>
      </c>
      <c r="I1122" s="127">
        <v>-9.0</v>
      </c>
      <c r="J1122" s="124">
        <v>45.0</v>
      </c>
      <c r="K1122" s="124" t="s">
        <v>62</v>
      </c>
      <c r="L1122" s="124" t="s">
        <v>430</v>
      </c>
    </row>
    <row r="1123">
      <c r="A1123" s="136" t="s">
        <v>359</v>
      </c>
      <c r="B1123" s="115" t="s">
        <v>2</v>
      </c>
      <c r="C1123" s="153" t="s">
        <v>227</v>
      </c>
      <c r="D1123" s="118" t="s">
        <v>29</v>
      </c>
      <c r="E1123" s="118" t="s">
        <v>34</v>
      </c>
      <c r="F1123" s="124" t="s">
        <v>261</v>
      </c>
      <c r="G1123" s="129" t="s">
        <v>245</v>
      </c>
      <c r="H1123" s="127" t="s">
        <v>228</v>
      </c>
      <c r="I1123" s="127" t="s">
        <v>229</v>
      </c>
      <c r="J1123" s="124" t="s">
        <v>262</v>
      </c>
      <c r="K1123" s="124" t="s">
        <v>263</v>
      </c>
      <c r="L1123" s="124" t="s">
        <v>264</v>
      </c>
    </row>
    <row r="1124">
      <c r="A1124" s="165">
        <v>43758.147747337964</v>
      </c>
      <c r="B1124" s="161" t="s">
        <v>58</v>
      </c>
      <c r="C1124" s="162" t="s">
        <v>158</v>
      </c>
      <c r="D1124" s="93">
        <v>2.0</v>
      </c>
      <c r="E1124" s="93">
        <v>5.0</v>
      </c>
      <c r="F1124" s="124" t="s">
        <v>260</v>
      </c>
      <c r="G1124" s="129" t="s">
        <v>1019</v>
      </c>
      <c r="H1124" s="127" t="s">
        <v>430</v>
      </c>
      <c r="I1124" s="127" t="s">
        <v>251</v>
      </c>
      <c r="J1124" s="124">
        <v>54.0</v>
      </c>
      <c r="K1124" s="124" t="s">
        <v>27</v>
      </c>
      <c r="L1124" s="124" t="s">
        <v>430</v>
      </c>
    </row>
    <row r="1125">
      <c r="A1125" s="165">
        <v>43758.147747337964</v>
      </c>
      <c r="B1125" s="161" t="s">
        <v>58</v>
      </c>
      <c r="C1125" s="162" t="s">
        <v>110</v>
      </c>
      <c r="D1125" s="93">
        <v>5.0</v>
      </c>
      <c r="E1125" s="93">
        <v>2.0</v>
      </c>
      <c r="F1125" s="124" t="s">
        <v>215</v>
      </c>
      <c r="G1125" s="129" t="s">
        <v>1055</v>
      </c>
      <c r="H1125" s="127" t="s">
        <v>430</v>
      </c>
      <c r="I1125" s="127">
        <v>-18.0</v>
      </c>
      <c r="J1125" s="124" t="s">
        <v>394</v>
      </c>
      <c r="K1125" s="124" t="s">
        <v>48</v>
      </c>
      <c r="L1125" s="124" t="s">
        <v>430</v>
      </c>
    </row>
    <row r="1126">
      <c r="A1126" s="165">
        <v>43758.147747337964</v>
      </c>
      <c r="B1126" s="161" t="s">
        <v>58</v>
      </c>
      <c r="C1126" s="162" t="s">
        <v>165</v>
      </c>
      <c r="D1126" s="93">
        <v>6.0</v>
      </c>
      <c r="E1126" s="93">
        <v>1.0</v>
      </c>
      <c r="F1126" s="124" t="s">
        <v>207</v>
      </c>
      <c r="G1126" s="129" t="s">
        <v>1068</v>
      </c>
      <c r="H1126" s="127" t="s">
        <v>430</v>
      </c>
      <c r="I1126" s="127" t="s">
        <v>451</v>
      </c>
      <c r="J1126" s="124">
        <v>51.0</v>
      </c>
      <c r="K1126" s="124" t="s">
        <v>62</v>
      </c>
      <c r="L1126" s="124" t="s">
        <v>430</v>
      </c>
    </row>
    <row r="1127">
      <c r="A1127" s="165">
        <v>43758.147747337964</v>
      </c>
      <c r="B1127" s="161" t="s">
        <v>58</v>
      </c>
      <c r="C1127" s="162" t="s">
        <v>186</v>
      </c>
      <c r="D1127" s="93">
        <v>6.0</v>
      </c>
      <c r="E1127" s="93">
        <v>0.0</v>
      </c>
      <c r="F1127" s="124" t="s">
        <v>267</v>
      </c>
      <c r="G1127" s="129" t="s">
        <v>1063</v>
      </c>
      <c r="H1127" s="127" t="s">
        <v>430</v>
      </c>
      <c r="I1127" s="127" t="s">
        <v>1069</v>
      </c>
      <c r="J1127" s="124">
        <v>65.0</v>
      </c>
      <c r="K1127" s="124" t="s">
        <v>53</v>
      </c>
      <c r="L1127" s="124" t="s">
        <v>430</v>
      </c>
    </row>
    <row r="1128">
      <c r="A1128" s="165">
        <v>43758.147747337964</v>
      </c>
      <c r="B1128" s="161" t="s">
        <v>58</v>
      </c>
      <c r="C1128" s="162" t="s">
        <v>45</v>
      </c>
      <c r="D1128" s="93">
        <v>3.0</v>
      </c>
      <c r="E1128" s="93">
        <v>4.0</v>
      </c>
      <c r="F1128" s="124" t="s">
        <v>260</v>
      </c>
      <c r="G1128" s="129" t="s">
        <v>1051</v>
      </c>
      <c r="H1128" s="127" t="s">
        <v>430</v>
      </c>
      <c r="I1128" s="127" t="s">
        <v>274</v>
      </c>
      <c r="J1128" s="124" t="s">
        <v>406</v>
      </c>
      <c r="K1128" s="124" t="s">
        <v>44</v>
      </c>
      <c r="L1128" s="124" t="s">
        <v>430</v>
      </c>
    </row>
    <row r="1129">
      <c r="A1129" s="165">
        <v>43758.147747337964</v>
      </c>
      <c r="B1129" s="161" t="s">
        <v>58</v>
      </c>
      <c r="C1129" s="162" t="s">
        <v>140</v>
      </c>
      <c r="D1129" s="93">
        <v>3.0</v>
      </c>
      <c r="E1129" s="93">
        <v>4.0</v>
      </c>
      <c r="F1129" s="124" t="s">
        <v>282</v>
      </c>
      <c r="G1129" s="129" t="s">
        <v>1070</v>
      </c>
      <c r="H1129" s="127" t="s">
        <v>430</v>
      </c>
      <c r="I1129" s="127" t="s">
        <v>426</v>
      </c>
      <c r="J1129" s="124">
        <v>48.0</v>
      </c>
      <c r="K1129" s="124" t="s">
        <v>60</v>
      </c>
      <c r="L1129" s="124" t="s">
        <v>430</v>
      </c>
    </row>
    <row r="1130">
      <c r="A1130" s="165">
        <v>43758.147747337964</v>
      </c>
      <c r="B1130" s="161" t="s">
        <v>58</v>
      </c>
      <c r="C1130" s="162" t="s">
        <v>72</v>
      </c>
      <c r="D1130" s="93">
        <v>4.0</v>
      </c>
      <c r="E1130" s="93">
        <v>3.0</v>
      </c>
      <c r="F1130" s="124" t="s">
        <v>285</v>
      </c>
      <c r="G1130" s="129" t="s">
        <v>1065</v>
      </c>
      <c r="H1130" s="127" t="s">
        <v>430</v>
      </c>
      <c r="I1130" s="127" t="s">
        <v>418</v>
      </c>
      <c r="J1130" s="124">
        <v>47.0</v>
      </c>
      <c r="K1130" s="124" t="s">
        <v>53</v>
      </c>
      <c r="L1130" s="124" t="s">
        <v>430</v>
      </c>
    </row>
    <row r="1131">
      <c r="A1131" s="165">
        <v>43758.147747337964</v>
      </c>
      <c r="B1131" s="161" t="s">
        <v>58</v>
      </c>
      <c r="C1131" s="162" t="s">
        <v>96</v>
      </c>
      <c r="D1131" s="93">
        <v>7.0</v>
      </c>
      <c r="E1131" s="93">
        <v>0.0</v>
      </c>
      <c r="F1131" s="124" t="s">
        <v>278</v>
      </c>
      <c r="G1131" s="129" t="s">
        <v>1071</v>
      </c>
      <c r="H1131" s="127" t="s">
        <v>430</v>
      </c>
      <c r="I1131" s="127">
        <v>3.0</v>
      </c>
      <c r="J1131" s="124" t="s">
        <v>370</v>
      </c>
      <c r="K1131" s="124" t="s">
        <v>69</v>
      </c>
      <c r="L1131" s="124" t="s">
        <v>430</v>
      </c>
    </row>
    <row r="1132">
      <c r="A1132" s="165">
        <v>43758.147747337964</v>
      </c>
      <c r="B1132" s="161" t="s">
        <v>58</v>
      </c>
      <c r="C1132" s="162" t="s">
        <v>135</v>
      </c>
      <c r="D1132" s="93">
        <v>5.0</v>
      </c>
      <c r="E1132" s="93">
        <v>2.0</v>
      </c>
      <c r="F1132" s="124" t="s">
        <v>267</v>
      </c>
      <c r="G1132" s="129" t="s">
        <v>1052</v>
      </c>
      <c r="H1132" s="127" t="s">
        <v>430</v>
      </c>
      <c r="I1132" s="127">
        <v>-9.0</v>
      </c>
      <c r="J1132" s="124" t="s">
        <v>507</v>
      </c>
      <c r="K1132" s="124" t="s">
        <v>44</v>
      </c>
      <c r="L1132" s="124" t="s">
        <v>430</v>
      </c>
    </row>
    <row r="1133">
      <c r="A1133" s="165">
        <v>43758.147747337964</v>
      </c>
      <c r="B1133" s="161" t="s">
        <v>58</v>
      </c>
      <c r="C1133" s="162" t="s">
        <v>183</v>
      </c>
      <c r="D1133" s="93">
        <v>2.0</v>
      </c>
      <c r="E1133" s="93">
        <v>5.0</v>
      </c>
      <c r="F1133" s="124" t="s">
        <v>201</v>
      </c>
      <c r="G1133" s="129" t="s">
        <v>1027</v>
      </c>
      <c r="H1133" s="127" t="s">
        <v>430</v>
      </c>
      <c r="I1133" s="127" t="s">
        <v>475</v>
      </c>
      <c r="J1133" s="124">
        <v>62.0</v>
      </c>
      <c r="K1133" s="124" t="s">
        <v>27</v>
      </c>
      <c r="L1133" s="124" t="s">
        <v>430</v>
      </c>
    </row>
    <row r="1134">
      <c r="A1134" s="136" t="s">
        <v>359</v>
      </c>
      <c r="B1134" s="115" t="s">
        <v>2</v>
      </c>
      <c r="C1134" s="153" t="s">
        <v>227</v>
      </c>
      <c r="D1134" s="118" t="s">
        <v>29</v>
      </c>
      <c r="E1134" s="118" t="s">
        <v>34</v>
      </c>
      <c r="F1134" s="124" t="s">
        <v>261</v>
      </c>
      <c r="G1134" s="129" t="s">
        <v>245</v>
      </c>
      <c r="H1134" s="127" t="s">
        <v>228</v>
      </c>
      <c r="I1134" s="127" t="s">
        <v>229</v>
      </c>
      <c r="J1134" s="124" t="s">
        <v>262</v>
      </c>
      <c r="K1134" s="124" t="s">
        <v>263</v>
      </c>
      <c r="L1134" s="124" t="s">
        <v>264</v>
      </c>
    </row>
    <row r="1135">
      <c r="A1135" s="165">
        <v>43758.147747337964</v>
      </c>
      <c r="B1135" s="161" t="s">
        <v>60</v>
      </c>
      <c r="C1135" s="162" t="s">
        <v>117</v>
      </c>
      <c r="D1135" s="93">
        <v>1.0</v>
      </c>
      <c r="E1135" s="93">
        <v>5.0</v>
      </c>
      <c r="F1135" s="124" t="s">
        <v>269</v>
      </c>
      <c r="G1135" s="129" t="s">
        <v>1072</v>
      </c>
      <c r="H1135" s="127" t="s">
        <v>430</v>
      </c>
      <c r="I1135" s="127" t="s">
        <v>647</v>
      </c>
      <c r="J1135" s="124">
        <v>50.0</v>
      </c>
      <c r="K1135" s="124" t="s">
        <v>74</v>
      </c>
      <c r="L1135" s="124" t="s">
        <v>430</v>
      </c>
    </row>
    <row r="1136">
      <c r="A1136" s="165">
        <v>43758.147747337964</v>
      </c>
      <c r="B1136" s="161" t="s">
        <v>60</v>
      </c>
      <c r="C1136" s="162" t="s">
        <v>175</v>
      </c>
      <c r="D1136" s="93">
        <v>7.0</v>
      </c>
      <c r="E1136" s="93">
        <v>1.0</v>
      </c>
      <c r="F1136" s="124" t="s">
        <v>201</v>
      </c>
      <c r="G1136" s="129" t="s">
        <v>1073</v>
      </c>
      <c r="H1136" s="127" t="s">
        <v>430</v>
      </c>
      <c r="I1136" s="127" t="s">
        <v>244</v>
      </c>
      <c r="J1136" s="124">
        <v>48.0</v>
      </c>
      <c r="K1136" s="124" t="s">
        <v>69</v>
      </c>
      <c r="L1136" s="124" t="s">
        <v>430</v>
      </c>
    </row>
    <row r="1137">
      <c r="A1137" s="165">
        <v>43758.147747337964</v>
      </c>
      <c r="B1137" s="161" t="s">
        <v>60</v>
      </c>
      <c r="C1137" s="162" t="s">
        <v>166</v>
      </c>
      <c r="D1137" s="93">
        <v>3.0</v>
      </c>
      <c r="E1137" s="93">
        <v>4.0</v>
      </c>
      <c r="F1137" s="124" t="s">
        <v>273</v>
      </c>
      <c r="G1137" s="129" t="s">
        <v>1021</v>
      </c>
      <c r="H1137" s="127" t="s">
        <v>430</v>
      </c>
      <c r="I1137" s="127">
        <v>11.0</v>
      </c>
      <c r="J1137" s="124" t="s">
        <v>462</v>
      </c>
      <c r="K1137" s="124" t="s">
        <v>27</v>
      </c>
      <c r="L1137" s="124" t="s">
        <v>430</v>
      </c>
    </row>
    <row r="1138">
      <c r="A1138" s="165">
        <v>43758.147747337964</v>
      </c>
      <c r="B1138" s="161" t="s">
        <v>60</v>
      </c>
      <c r="C1138" s="162" t="s">
        <v>137</v>
      </c>
      <c r="D1138" s="93">
        <v>0.0</v>
      </c>
      <c r="E1138" s="93">
        <v>7.0</v>
      </c>
      <c r="F1138" s="124" t="s">
        <v>282</v>
      </c>
      <c r="G1138" s="129" t="s">
        <v>1070</v>
      </c>
      <c r="H1138" s="127" t="s">
        <v>430</v>
      </c>
      <c r="I1138" s="127" t="s">
        <v>526</v>
      </c>
      <c r="J1138" s="124">
        <v>48.0</v>
      </c>
      <c r="K1138" s="124" t="s">
        <v>58</v>
      </c>
      <c r="L1138" s="124" t="s">
        <v>430</v>
      </c>
    </row>
    <row r="1139">
      <c r="A1139" s="165">
        <v>43758.147747337964</v>
      </c>
      <c r="B1139" s="161" t="s">
        <v>60</v>
      </c>
      <c r="C1139" s="162" t="s">
        <v>103</v>
      </c>
      <c r="D1139" s="93">
        <v>5.0</v>
      </c>
      <c r="E1139" s="93">
        <v>2.0</v>
      </c>
      <c r="F1139" s="124" t="s">
        <v>610</v>
      </c>
      <c r="G1139" s="129" t="s">
        <v>1074</v>
      </c>
      <c r="H1139" s="127" t="s">
        <v>430</v>
      </c>
      <c r="I1139" s="127" t="s">
        <v>393</v>
      </c>
      <c r="J1139" s="124">
        <v>62.0</v>
      </c>
      <c r="K1139" s="124" t="s">
        <v>64</v>
      </c>
      <c r="L1139" s="124" t="s">
        <v>430</v>
      </c>
    </row>
    <row r="1140">
      <c r="A1140" s="165">
        <v>43758.147747337964</v>
      </c>
      <c r="B1140" s="161" t="s">
        <v>60</v>
      </c>
      <c r="C1140" s="162" t="s">
        <v>59</v>
      </c>
      <c r="D1140" s="93">
        <v>5.0</v>
      </c>
      <c r="E1140" s="93">
        <v>2.0</v>
      </c>
      <c r="F1140" s="124" t="s">
        <v>260</v>
      </c>
      <c r="G1140" s="129" t="s">
        <v>1034</v>
      </c>
      <c r="H1140" s="127" t="s">
        <v>430</v>
      </c>
      <c r="I1140" s="127">
        <v>-33.0</v>
      </c>
      <c r="J1140" s="124">
        <v>61.0</v>
      </c>
      <c r="K1140" s="124" t="s">
        <v>38</v>
      </c>
      <c r="L1140" s="124" t="s">
        <v>430</v>
      </c>
    </row>
    <row r="1141">
      <c r="A1141" s="165">
        <v>43758.147747337964</v>
      </c>
      <c r="B1141" s="161" t="s">
        <v>60</v>
      </c>
      <c r="C1141" s="162" t="s">
        <v>189</v>
      </c>
      <c r="D1141" s="93">
        <v>5.0</v>
      </c>
      <c r="E1141" s="93">
        <v>2.0</v>
      </c>
      <c r="F1141" s="124" t="s">
        <v>267</v>
      </c>
      <c r="G1141" s="129" t="s">
        <v>1075</v>
      </c>
      <c r="H1141" s="127" t="s">
        <v>430</v>
      </c>
      <c r="I1141" s="127" t="s">
        <v>247</v>
      </c>
      <c r="J1141" s="124" t="s">
        <v>280</v>
      </c>
      <c r="K1141" s="124" t="s">
        <v>64</v>
      </c>
      <c r="L1141" s="124" t="s">
        <v>430</v>
      </c>
    </row>
    <row r="1142">
      <c r="A1142" s="165">
        <v>43758.147747337964</v>
      </c>
      <c r="B1142" s="161" t="s">
        <v>60</v>
      </c>
      <c r="C1142" s="162" t="s">
        <v>123</v>
      </c>
      <c r="D1142" s="93">
        <v>4.0</v>
      </c>
      <c r="E1142" s="93">
        <v>3.0</v>
      </c>
      <c r="F1142" s="124" t="s">
        <v>248</v>
      </c>
      <c r="G1142" s="129" t="s">
        <v>1076</v>
      </c>
      <c r="H1142" s="127" t="s">
        <v>430</v>
      </c>
      <c r="I1142" s="127" t="s">
        <v>506</v>
      </c>
      <c r="J1142" s="124">
        <v>54.0</v>
      </c>
      <c r="K1142" s="124" t="s">
        <v>288</v>
      </c>
      <c r="L1142" s="124" t="s">
        <v>430</v>
      </c>
    </row>
    <row r="1143">
      <c r="A1143" s="165">
        <v>43758.147747337964</v>
      </c>
      <c r="B1143" s="161" t="s">
        <v>60</v>
      </c>
      <c r="C1143" s="162" t="s">
        <v>95</v>
      </c>
      <c r="D1143" s="93">
        <v>6.0</v>
      </c>
      <c r="E1143" s="93">
        <v>1.0</v>
      </c>
      <c r="F1143" s="124" t="s">
        <v>285</v>
      </c>
      <c r="G1143" s="129" t="s">
        <v>1077</v>
      </c>
      <c r="H1143" s="127" t="s">
        <v>430</v>
      </c>
      <c r="I1143" s="127" t="s">
        <v>451</v>
      </c>
      <c r="J1143" s="124" t="s">
        <v>952</v>
      </c>
      <c r="K1143" s="124" t="s">
        <v>64</v>
      </c>
      <c r="L1143" s="124" t="s">
        <v>430</v>
      </c>
    </row>
    <row r="1144">
      <c r="A1144" s="165">
        <v>43758.147747337964</v>
      </c>
      <c r="B1144" s="161" t="s">
        <v>60</v>
      </c>
      <c r="C1144" s="162" t="s">
        <v>149</v>
      </c>
      <c r="D1144" s="93">
        <v>5.0</v>
      </c>
      <c r="E1144" s="93">
        <v>2.0</v>
      </c>
      <c r="F1144" s="124" t="s">
        <v>260</v>
      </c>
      <c r="G1144" s="129" t="s">
        <v>1078</v>
      </c>
      <c r="H1144" s="127" t="s">
        <v>430</v>
      </c>
      <c r="I1144" s="127" t="s">
        <v>1079</v>
      </c>
      <c r="J1144" s="124">
        <v>65.0</v>
      </c>
      <c r="K1144" s="124" t="s">
        <v>62</v>
      </c>
      <c r="L1144" s="124" t="s">
        <v>430</v>
      </c>
    </row>
    <row r="1145">
      <c r="A1145" s="136" t="s">
        <v>359</v>
      </c>
      <c r="B1145" s="115" t="s">
        <v>2</v>
      </c>
      <c r="C1145" s="153" t="s">
        <v>227</v>
      </c>
      <c r="D1145" s="118" t="s">
        <v>29</v>
      </c>
      <c r="E1145" s="118" t="s">
        <v>34</v>
      </c>
      <c r="F1145" s="124" t="s">
        <v>261</v>
      </c>
      <c r="G1145" s="129" t="s">
        <v>245</v>
      </c>
      <c r="H1145" s="127" t="s">
        <v>228</v>
      </c>
      <c r="I1145" s="127" t="s">
        <v>229</v>
      </c>
      <c r="J1145" s="124" t="s">
        <v>262</v>
      </c>
      <c r="K1145" s="124" t="s">
        <v>263</v>
      </c>
      <c r="L1145" s="124" t="s">
        <v>264</v>
      </c>
    </row>
    <row r="1146">
      <c r="A1146" s="165">
        <v>43758.147747337964</v>
      </c>
      <c r="B1146" s="161" t="s">
        <v>62</v>
      </c>
      <c r="C1146" s="162" t="s">
        <v>192</v>
      </c>
      <c r="D1146" s="93">
        <v>1.0</v>
      </c>
      <c r="E1146" s="93">
        <v>6.0</v>
      </c>
      <c r="F1146" s="124" t="s">
        <v>248</v>
      </c>
      <c r="G1146" s="129" t="s">
        <v>1080</v>
      </c>
      <c r="H1146" s="127" t="s">
        <v>430</v>
      </c>
      <c r="I1146" s="127">
        <v>15.0</v>
      </c>
      <c r="J1146" s="124">
        <v>55.0</v>
      </c>
      <c r="K1146" s="124" t="s">
        <v>74</v>
      </c>
      <c r="L1146" s="124" t="s">
        <v>430</v>
      </c>
    </row>
    <row r="1147">
      <c r="A1147" s="165">
        <v>43758.147747337964</v>
      </c>
      <c r="B1147" s="161" t="s">
        <v>62</v>
      </c>
      <c r="C1147" s="162" t="s">
        <v>92</v>
      </c>
      <c r="D1147" s="93">
        <v>3.0</v>
      </c>
      <c r="E1147" s="93">
        <v>4.0</v>
      </c>
      <c r="F1147" s="124" t="s">
        <v>201</v>
      </c>
      <c r="G1147" s="129" t="s">
        <v>1040</v>
      </c>
      <c r="H1147" s="127" t="s">
        <v>430</v>
      </c>
      <c r="I1147" s="127" t="s">
        <v>418</v>
      </c>
      <c r="J1147" s="124" t="s">
        <v>462</v>
      </c>
      <c r="K1147" s="124" t="s">
        <v>41</v>
      </c>
      <c r="L1147" s="124" t="s">
        <v>430</v>
      </c>
    </row>
    <row r="1148">
      <c r="A1148" s="165">
        <v>43758.147747337964</v>
      </c>
      <c r="B1148" s="161" t="s">
        <v>62</v>
      </c>
      <c r="C1148" s="162" t="s">
        <v>143</v>
      </c>
      <c r="D1148" s="93">
        <v>3.0</v>
      </c>
      <c r="E1148" s="93">
        <v>4.0</v>
      </c>
      <c r="F1148" s="124" t="s">
        <v>260</v>
      </c>
      <c r="G1148" s="129" t="s">
        <v>1041</v>
      </c>
      <c r="H1148" s="127" t="s">
        <v>430</v>
      </c>
      <c r="I1148" s="127" t="s">
        <v>257</v>
      </c>
      <c r="J1148" s="124" t="s">
        <v>397</v>
      </c>
      <c r="K1148" s="124" t="s">
        <v>41</v>
      </c>
      <c r="L1148" s="124" t="s">
        <v>430</v>
      </c>
    </row>
    <row r="1149">
      <c r="A1149" s="165">
        <v>43758.147747337964</v>
      </c>
      <c r="B1149" s="161" t="s">
        <v>62</v>
      </c>
      <c r="C1149" s="162" t="s">
        <v>102</v>
      </c>
      <c r="D1149" s="93">
        <v>3.0</v>
      </c>
      <c r="E1149" s="93">
        <v>3.0</v>
      </c>
      <c r="F1149" s="124" t="s">
        <v>570</v>
      </c>
      <c r="G1149" s="129" t="s">
        <v>1081</v>
      </c>
      <c r="H1149" s="127" t="s">
        <v>430</v>
      </c>
      <c r="I1149" s="127" t="s">
        <v>379</v>
      </c>
      <c r="J1149" s="124">
        <v>46.0</v>
      </c>
      <c r="K1149" s="124" t="s">
        <v>74</v>
      </c>
      <c r="L1149" s="124" t="s">
        <v>430</v>
      </c>
    </row>
    <row r="1150">
      <c r="A1150" s="165">
        <v>43758.147747337964</v>
      </c>
      <c r="B1150" s="161" t="s">
        <v>62</v>
      </c>
      <c r="C1150" s="162" t="s">
        <v>171</v>
      </c>
      <c r="D1150" s="93">
        <v>5.0</v>
      </c>
      <c r="E1150" s="93">
        <v>3.0</v>
      </c>
      <c r="F1150" s="124" t="s">
        <v>207</v>
      </c>
      <c r="G1150" s="129" t="s">
        <v>1068</v>
      </c>
      <c r="H1150" s="127" t="s">
        <v>430</v>
      </c>
      <c r="I1150" s="127" t="s">
        <v>428</v>
      </c>
      <c r="J1150" s="124">
        <v>51.0</v>
      </c>
      <c r="K1150" s="124" t="s">
        <v>58</v>
      </c>
      <c r="L1150" s="124" t="s">
        <v>430</v>
      </c>
    </row>
    <row r="1151">
      <c r="A1151" s="165">
        <v>43758.147747337964</v>
      </c>
      <c r="B1151" s="161" t="s">
        <v>62</v>
      </c>
      <c r="C1151" s="162" t="s">
        <v>5</v>
      </c>
      <c r="D1151" s="93">
        <v>6.0</v>
      </c>
      <c r="E1151" s="93">
        <v>1.0</v>
      </c>
      <c r="F1151" s="124" t="s">
        <v>242</v>
      </c>
      <c r="G1151" s="129" t="s">
        <v>1023</v>
      </c>
      <c r="H1151" s="127" t="s">
        <v>430</v>
      </c>
      <c r="I1151" s="127">
        <v>-17.0</v>
      </c>
      <c r="J1151" s="124" t="s">
        <v>507</v>
      </c>
      <c r="K1151" s="124" t="s">
        <v>27</v>
      </c>
      <c r="L1151" s="124" t="s">
        <v>430</v>
      </c>
    </row>
    <row r="1152">
      <c r="A1152" s="165">
        <v>43758.147747337964</v>
      </c>
      <c r="B1152" s="161" t="s">
        <v>62</v>
      </c>
      <c r="C1152" s="162" t="s">
        <v>128</v>
      </c>
      <c r="D1152" s="93">
        <v>3.0</v>
      </c>
      <c r="E1152" s="93">
        <v>4.0</v>
      </c>
      <c r="F1152" s="124" t="s">
        <v>357</v>
      </c>
      <c r="G1152" s="129" t="s">
        <v>1058</v>
      </c>
      <c r="H1152" s="127" t="s">
        <v>430</v>
      </c>
      <c r="I1152" s="127">
        <v>-10.0</v>
      </c>
      <c r="J1152" s="124">
        <v>58.0</v>
      </c>
      <c r="K1152" s="124" t="s">
        <v>48</v>
      </c>
      <c r="L1152" s="124" t="s">
        <v>430</v>
      </c>
    </row>
    <row r="1153">
      <c r="A1153" s="165">
        <v>43758.147747337964</v>
      </c>
      <c r="B1153" s="161" t="s">
        <v>62</v>
      </c>
      <c r="C1153" s="162" t="s">
        <v>112</v>
      </c>
      <c r="D1153" s="93">
        <v>5.0</v>
      </c>
      <c r="E1153" s="93">
        <v>2.0</v>
      </c>
      <c r="F1153" s="124" t="s">
        <v>207</v>
      </c>
      <c r="G1153" s="129" t="s">
        <v>1067</v>
      </c>
      <c r="H1153" s="127" t="s">
        <v>430</v>
      </c>
      <c r="I1153" s="127">
        <v>9.0</v>
      </c>
      <c r="J1153" s="124">
        <v>45.0</v>
      </c>
      <c r="K1153" s="124" t="s">
        <v>53</v>
      </c>
      <c r="L1153" s="124" t="s">
        <v>430</v>
      </c>
    </row>
    <row r="1154">
      <c r="A1154" s="165">
        <v>43758.147747337964</v>
      </c>
      <c r="B1154" s="161" t="s">
        <v>62</v>
      </c>
      <c r="C1154" s="162" t="s">
        <v>184</v>
      </c>
      <c r="D1154" s="93">
        <v>4.0</v>
      </c>
      <c r="E1154" s="93">
        <v>3.0</v>
      </c>
      <c r="F1154" s="124" t="s">
        <v>287</v>
      </c>
      <c r="G1154" s="129" t="s">
        <v>1082</v>
      </c>
      <c r="H1154" s="127" t="s">
        <v>430</v>
      </c>
      <c r="I1154" s="127" t="s">
        <v>244</v>
      </c>
      <c r="J1154" s="124" t="s">
        <v>280</v>
      </c>
      <c r="K1154" s="124" t="s">
        <v>288</v>
      </c>
      <c r="L1154" s="124" t="s">
        <v>430</v>
      </c>
    </row>
    <row r="1155">
      <c r="A1155" s="165">
        <v>43758.147747337964</v>
      </c>
      <c r="B1155" s="161" t="s">
        <v>62</v>
      </c>
      <c r="C1155" s="162" t="s">
        <v>153</v>
      </c>
      <c r="D1155" s="93">
        <v>4.0</v>
      </c>
      <c r="E1155" s="93">
        <v>3.0</v>
      </c>
      <c r="F1155" s="124" t="s">
        <v>260</v>
      </c>
      <c r="G1155" s="129" t="s">
        <v>1078</v>
      </c>
      <c r="H1155" s="127" t="s">
        <v>430</v>
      </c>
      <c r="I1155" s="127" t="s">
        <v>1083</v>
      </c>
      <c r="J1155" s="124">
        <v>65.0</v>
      </c>
      <c r="K1155" s="124" t="s">
        <v>60</v>
      </c>
      <c r="L1155" s="124" t="s">
        <v>430</v>
      </c>
    </row>
    <row r="1156">
      <c r="A1156" s="136" t="s">
        <v>359</v>
      </c>
      <c r="B1156" s="115" t="s">
        <v>2</v>
      </c>
      <c r="C1156" s="153" t="s">
        <v>227</v>
      </c>
      <c r="D1156" s="118" t="s">
        <v>29</v>
      </c>
      <c r="E1156" s="118" t="s">
        <v>34</v>
      </c>
      <c r="F1156" s="124" t="s">
        <v>261</v>
      </c>
      <c r="G1156" s="129" t="s">
        <v>245</v>
      </c>
      <c r="H1156" s="127" t="s">
        <v>228</v>
      </c>
      <c r="I1156" s="127" t="s">
        <v>229</v>
      </c>
      <c r="J1156" s="124" t="s">
        <v>262</v>
      </c>
      <c r="K1156" s="124" t="s">
        <v>263</v>
      </c>
      <c r="L1156" s="124" t="s">
        <v>264</v>
      </c>
    </row>
    <row r="1157">
      <c r="A1157" s="165">
        <v>43758.147747337964</v>
      </c>
      <c r="B1157" s="161" t="s">
        <v>64</v>
      </c>
      <c r="C1157" s="162" t="s">
        <v>147</v>
      </c>
      <c r="D1157" s="93">
        <v>4.0</v>
      </c>
      <c r="E1157" s="93">
        <v>3.0</v>
      </c>
      <c r="F1157" s="124" t="s">
        <v>267</v>
      </c>
      <c r="G1157" s="129" t="s">
        <v>1020</v>
      </c>
      <c r="H1157" s="127" t="s">
        <v>430</v>
      </c>
      <c r="I1157" s="127" t="s">
        <v>694</v>
      </c>
      <c r="J1157" s="124" t="s">
        <v>397</v>
      </c>
      <c r="K1157" s="124" t="s">
        <v>27</v>
      </c>
      <c r="L1157" s="124" t="s">
        <v>430</v>
      </c>
    </row>
    <row r="1158">
      <c r="A1158" s="165">
        <v>43758.147747337964</v>
      </c>
      <c r="B1158" s="161" t="s">
        <v>64</v>
      </c>
      <c r="C1158" s="162" t="s">
        <v>49</v>
      </c>
      <c r="D1158" s="93">
        <v>5.0</v>
      </c>
      <c r="E1158" s="93">
        <v>2.0</v>
      </c>
      <c r="F1158" s="124" t="s">
        <v>215</v>
      </c>
      <c r="G1158" s="129" t="s">
        <v>1062</v>
      </c>
      <c r="H1158" s="127" t="s">
        <v>430</v>
      </c>
      <c r="I1158" s="127" t="s">
        <v>257</v>
      </c>
      <c r="J1158" s="124">
        <v>59.0</v>
      </c>
      <c r="K1158" s="124" t="s">
        <v>53</v>
      </c>
      <c r="L1158" s="124" t="s">
        <v>430</v>
      </c>
    </row>
    <row r="1159">
      <c r="A1159" s="165">
        <v>43758.147747337964</v>
      </c>
      <c r="B1159" s="161" t="s">
        <v>64</v>
      </c>
      <c r="C1159" s="162" t="s">
        <v>115</v>
      </c>
      <c r="D1159" s="93">
        <v>7.0</v>
      </c>
      <c r="E1159" s="93">
        <v>0.0</v>
      </c>
      <c r="F1159" s="124" t="s">
        <v>266</v>
      </c>
      <c r="G1159" s="129" t="s">
        <v>1084</v>
      </c>
      <c r="H1159" s="127" t="s">
        <v>430</v>
      </c>
      <c r="I1159" s="127">
        <v>-29.0</v>
      </c>
      <c r="J1159" s="124" t="s">
        <v>585</v>
      </c>
      <c r="K1159" s="124" t="s">
        <v>288</v>
      </c>
      <c r="L1159" s="124" t="s">
        <v>430</v>
      </c>
    </row>
    <row r="1160">
      <c r="A1160" s="165">
        <v>43758.147747337964</v>
      </c>
      <c r="B1160" s="161" t="s">
        <v>64</v>
      </c>
      <c r="C1160" s="162" t="s">
        <v>131</v>
      </c>
      <c r="D1160" s="93">
        <v>4.0</v>
      </c>
      <c r="E1160" s="93">
        <v>3.0</v>
      </c>
      <c r="F1160" s="124" t="s">
        <v>248</v>
      </c>
      <c r="G1160" s="129" t="s">
        <v>1085</v>
      </c>
      <c r="H1160" s="127" t="s">
        <v>430</v>
      </c>
      <c r="I1160" s="127">
        <v>2.0</v>
      </c>
      <c r="J1160" s="124">
        <v>56.0</v>
      </c>
      <c r="K1160" s="124" t="s">
        <v>69</v>
      </c>
      <c r="L1160" s="124" t="s">
        <v>430</v>
      </c>
    </row>
    <row r="1161">
      <c r="A1161" s="165">
        <v>43758.147747337964</v>
      </c>
      <c r="B1161" s="161" t="s">
        <v>64</v>
      </c>
      <c r="C1161" s="162" t="s">
        <v>177</v>
      </c>
      <c r="D1161" s="93">
        <v>3.0</v>
      </c>
      <c r="E1161" s="93">
        <v>4.0</v>
      </c>
      <c r="F1161" s="124" t="s">
        <v>201</v>
      </c>
      <c r="G1161" s="129" t="s">
        <v>1059</v>
      </c>
      <c r="H1161" s="127" t="s">
        <v>430</v>
      </c>
      <c r="I1161" s="127" t="s">
        <v>459</v>
      </c>
      <c r="J1161" s="124">
        <v>48.0</v>
      </c>
      <c r="K1161" s="124" t="s">
        <v>48</v>
      </c>
      <c r="L1161" s="124" t="s">
        <v>430</v>
      </c>
    </row>
    <row r="1162">
      <c r="A1162" s="165">
        <v>43758.147747337964</v>
      </c>
      <c r="B1162" s="161" t="s">
        <v>64</v>
      </c>
      <c r="C1162" s="162" t="s">
        <v>98</v>
      </c>
      <c r="D1162" s="93">
        <v>2.0</v>
      </c>
      <c r="E1162" s="93">
        <v>5.0</v>
      </c>
      <c r="F1162" s="124" t="s">
        <v>610</v>
      </c>
      <c r="G1162" s="129" t="s">
        <v>1074</v>
      </c>
      <c r="H1162" s="127" t="s">
        <v>430</v>
      </c>
      <c r="I1162" s="127" t="s">
        <v>456</v>
      </c>
      <c r="J1162" s="124">
        <v>62.0</v>
      </c>
      <c r="K1162" s="124" t="s">
        <v>60</v>
      </c>
      <c r="L1162" s="124" t="s">
        <v>430</v>
      </c>
    </row>
    <row r="1163">
      <c r="A1163" s="165">
        <v>43758.147747337964</v>
      </c>
      <c r="B1163" s="161" t="s">
        <v>64</v>
      </c>
      <c r="C1163" s="162" t="s">
        <v>196</v>
      </c>
      <c r="D1163" s="93">
        <v>3.0</v>
      </c>
      <c r="E1163" s="93">
        <v>4.0</v>
      </c>
      <c r="F1163" s="124" t="s">
        <v>267</v>
      </c>
      <c r="G1163" s="129" t="s">
        <v>1075</v>
      </c>
      <c r="H1163" s="127" t="s">
        <v>430</v>
      </c>
      <c r="I1163" s="127" t="s">
        <v>244</v>
      </c>
      <c r="J1163" s="124" t="s">
        <v>280</v>
      </c>
      <c r="K1163" s="124" t="s">
        <v>60</v>
      </c>
      <c r="L1163" s="124" t="s">
        <v>430</v>
      </c>
    </row>
    <row r="1164">
      <c r="A1164" s="165">
        <v>43758.147747337964</v>
      </c>
      <c r="B1164" s="161" t="s">
        <v>64</v>
      </c>
      <c r="C1164" s="162" t="s">
        <v>76</v>
      </c>
      <c r="D1164" s="93">
        <v>3.0</v>
      </c>
      <c r="E1164" s="93">
        <v>4.0</v>
      </c>
      <c r="F1164" s="124" t="s">
        <v>285</v>
      </c>
      <c r="G1164" s="129" t="s">
        <v>1077</v>
      </c>
      <c r="H1164" s="127" t="s">
        <v>430</v>
      </c>
      <c r="I1164" s="127" t="s">
        <v>428</v>
      </c>
      <c r="J1164" s="124" t="s">
        <v>952</v>
      </c>
      <c r="K1164" s="124" t="s">
        <v>60</v>
      </c>
      <c r="L1164" s="124" t="s">
        <v>430</v>
      </c>
    </row>
    <row r="1165">
      <c r="A1165" s="165">
        <v>43758.147747337964</v>
      </c>
      <c r="B1165" s="161" t="s">
        <v>64</v>
      </c>
      <c r="C1165" s="162" t="s">
        <v>169</v>
      </c>
      <c r="D1165" s="93">
        <v>4.0</v>
      </c>
      <c r="E1165" s="93">
        <v>3.0</v>
      </c>
      <c r="F1165" s="124" t="s">
        <v>273</v>
      </c>
      <c r="G1165" s="129" t="s">
        <v>1053</v>
      </c>
      <c r="H1165" s="127" t="s">
        <v>430</v>
      </c>
      <c r="I1165" s="127" t="s">
        <v>275</v>
      </c>
      <c r="J1165" s="124">
        <v>67.0</v>
      </c>
      <c r="K1165" s="124" t="s">
        <v>44</v>
      </c>
      <c r="L1165" s="124" t="s">
        <v>430</v>
      </c>
    </row>
    <row r="1166">
      <c r="A1166" s="165">
        <v>43758.147747337964</v>
      </c>
      <c r="B1166" s="161" t="s">
        <v>64</v>
      </c>
      <c r="C1166" s="162" t="s">
        <v>154</v>
      </c>
      <c r="D1166" s="93">
        <v>4.0</v>
      </c>
      <c r="E1166" s="93">
        <v>3.0</v>
      </c>
      <c r="F1166" s="124" t="s">
        <v>242</v>
      </c>
      <c r="G1166" s="129" t="s">
        <v>1046</v>
      </c>
      <c r="H1166" s="127" t="s">
        <v>430</v>
      </c>
      <c r="I1166" s="127">
        <v>21.0</v>
      </c>
      <c r="J1166" s="124" t="s">
        <v>781</v>
      </c>
      <c r="K1166" s="124" t="s">
        <v>41</v>
      </c>
      <c r="L1166" s="124" t="s">
        <v>430</v>
      </c>
    </row>
    <row r="1167">
      <c r="A1167" s="136" t="s">
        <v>359</v>
      </c>
      <c r="B1167" s="115" t="s">
        <v>2</v>
      </c>
      <c r="C1167" s="153" t="s">
        <v>227</v>
      </c>
      <c r="D1167" s="118" t="s">
        <v>29</v>
      </c>
      <c r="E1167" s="118" t="s">
        <v>34</v>
      </c>
      <c r="F1167" s="124" t="s">
        <v>261</v>
      </c>
      <c r="G1167" s="129" t="s">
        <v>245</v>
      </c>
      <c r="H1167" s="127" t="s">
        <v>228</v>
      </c>
      <c r="I1167" s="127" t="s">
        <v>229</v>
      </c>
      <c r="J1167" s="124" t="s">
        <v>262</v>
      </c>
      <c r="K1167" s="124" t="s">
        <v>263</v>
      </c>
      <c r="L1167" s="124"/>
    </row>
    <row r="1168">
      <c r="A1168" s="165">
        <v>43758.147747337964</v>
      </c>
      <c r="B1168" s="161" t="s">
        <v>69</v>
      </c>
      <c r="C1168" s="162" t="s">
        <v>182</v>
      </c>
      <c r="D1168" s="93">
        <v>3.0</v>
      </c>
      <c r="E1168" s="93">
        <v>4.0</v>
      </c>
      <c r="F1168" s="124" t="s">
        <v>201</v>
      </c>
      <c r="G1168" s="129" t="s">
        <v>1073</v>
      </c>
      <c r="H1168" s="127" t="s">
        <v>430</v>
      </c>
      <c r="I1168" s="127" t="s">
        <v>247</v>
      </c>
      <c r="J1168" s="124">
        <v>48.0</v>
      </c>
      <c r="K1168" s="124" t="s">
        <v>60</v>
      </c>
      <c r="L1168" s="124" t="s">
        <v>430</v>
      </c>
    </row>
    <row r="1169">
      <c r="A1169" s="165">
        <v>43758.147747337964</v>
      </c>
      <c r="B1169" s="161" t="s">
        <v>69</v>
      </c>
      <c r="C1169" s="162" t="s">
        <v>87</v>
      </c>
      <c r="D1169" s="93">
        <v>3.0</v>
      </c>
      <c r="E1169" s="93">
        <v>4.0</v>
      </c>
      <c r="F1169" s="124" t="s">
        <v>285</v>
      </c>
      <c r="G1169" s="129" t="s">
        <v>1086</v>
      </c>
      <c r="H1169" s="127" t="s">
        <v>643</v>
      </c>
      <c r="I1169" s="127">
        <v>-18.0</v>
      </c>
      <c r="J1169" s="124">
        <v>47.0</v>
      </c>
      <c r="K1169" s="124" t="s">
        <v>288</v>
      </c>
      <c r="L1169" s="124" t="s">
        <v>643</v>
      </c>
    </row>
    <row r="1170">
      <c r="A1170" s="165">
        <v>43758.147747337964</v>
      </c>
      <c r="B1170" s="161" t="s">
        <v>69</v>
      </c>
      <c r="C1170" s="162" t="s">
        <v>125</v>
      </c>
      <c r="D1170" s="93">
        <v>6.0</v>
      </c>
      <c r="E1170" s="93">
        <v>1.0</v>
      </c>
      <c r="F1170" s="124" t="s">
        <v>355</v>
      </c>
      <c r="G1170" s="129" t="s">
        <v>1085</v>
      </c>
      <c r="H1170" s="127" t="s">
        <v>430</v>
      </c>
      <c r="I1170" s="127">
        <v>-2.0</v>
      </c>
      <c r="J1170" s="124">
        <v>56.0</v>
      </c>
      <c r="K1170" s="124" t="s">
        <v>64</v>
      </c>
      <c r="L1170" s="124" t="s">
        <v>430</v>
      </c>
    </row>
    <row r="1171">
      <c r="A1171" s="165">
        <v>43758.147747337964</v>
      </c>
      <c r="B1171" s="161" t="s">
        <v>69</v>
      </c>
      <c r="C1171" s="162" t="s">
        <v>108</v>
      </c>
      <c r="D1171" s="93">
        <v>5.0</v>
      </c>
      <c r="E1171" s="93">
        <v>2.0</v>
      </c>
      <c r="F1171" s="124" t="s">
        <v>266</v>
      </c>
      <c r="G1171" s="129" t="s">
        <v>1042</v>
      </c>
      <c r="H1171" s="127" t="s">
        <v>430</v>
      </c>
      <c r="I1171" s="127" t="s">
        <v>379</v>
      </c>
      <c r="J1171" s="124" t="s">
        <v>280</v>
      </c>
      <c r="K1171" s="124" t="s">
        <v>41</v>
      </c>
      <c r="L1171" s="124" t="s">
        <v>430</v>
      </c>
    </row>
    <row r="1172">
      <c r="A1172" s="165">
        <v>43758.147747337964</v>
      </c>
      <c r="B1172" s="161" t="s">
        <v>69</v>
      </c>
      <c r="C1172" s="162" t="s">
        <v>101</v>
      </c>
      <c r="D1172" s="93">
        <v>4.0</v>
      </c>
      <c r="E1172" s="93">
        <v>3.0</v>
      </c>
      <c r="F1172" s="124" t="s">
        <v>278</v>
      </c>
      <c r="G1172" s="129" t="s">
        <v>1071</v>
      </c>
      <c r="H1172" s="127" t="s">
        <v>430</v>
      </c>
      <c r="I1172" s="127">
        <v>-3.0</v>
      </c>
      <c r="J1172" s="124" t="s">
        <v>370</v>
      </c>
      <c r="K1172" s="124" t="s">
        <v>58</v>
      </c>
      <c r="L1172" s="124" t="s">
        <v>430</v>
      </c>
    </row>
    <row r="1173">
      <c r="A1173" s="165">
        <v>43758.147747337964</v>
      </c>
      <c r="B1173" s="161" t="s">
        <v>69</v>
      </c>
      <c r="C1173" s="162" t="s">
        <v>170</v>
      </c>
      <c r="D1173" s="93">
        <v>6.0</v>
      </c>
      <c r="E1173" s="93">
        <v>1.0</v>
      </c>
      <c r="F1173" s="124" t="s">
        <v>273</v>
      </c>
      <c r="G1173" s="129" t="s">
        <v>1060</v>
      </c>
      <c r="H1173" s="127" t="s">
        <v>430</v>
      </c>
      <c r="I1173" s="127" t="s">
        <v>226</v>
      </c>
      <c r="J1173" s="124" t="s">
        <v>585</v>
      </c>
      <c r="K1173" s="124" t="s">
        <v>48</v>
      </c>
      <c r="L1173" s="124" t="s">
        <v>430</v>
      </c>
    </row>
    <row r="1174">
      <c r="A1174" s="165">
        <v>43758.147747337964</v>
      </c>
      <c r="B1174" s="161" t="s">
        <v>69</v>
      </c>
      <c r="C1174" s="162" t="s">
        <v>35</v>
      </c>
      <c r="D1174" s="93">
        <v>6.0</v>
      </c>
      <c r="E1174" s="93">
        <v>1.0</v>
      </c>
      <c r="F1174" s="124" t="s">
        <v>215</v>
      </c>
      <c r="G1174" s="129" t="s">
        <v>1044</v>
      </c>
      <c r="H1174" s="127" t="s">
        <v>430</v>
      </c>
      <c r="I1174" s="127">
        <v>-4.0</v>
      </c>
      <c r="J1174" s="124">
        <v>59.0</v>
      </c>
      <c r="K1174" s="124" t="s">
        <v>41</v>
      </c>
      <c r="L1174" s="124" t="s">
        <v>430</v>
      </c>
    </row>
    <row r="1175">
      <c r="A1175" s="165">
        <v>43758.147747337964</v>
      </c>
      <c r="B1175" s="161" t="s">
        <v>69</v>
      </c>
      <c r="C1175" s="162" t="s">
        <v>142</v>
      </c>
      <c r="D1175" s="93">
        <v>4.0</v>
      </c>
      <c r="E1175" s="93">
        <v>3.0</v>
      </c>
      <c r="F1175" s="124" t="s">
        <v>248</v>
      </c>
      <c r="G1175" s="129" t="s">
        <v>1066</v>
      </c>
      <c r="H1175" s="127" t="s">
        <v>430</v>
      </c>
      <c r="I1175" s="127" t="s">
        <v>1087</v>
      </c>
      <c r="J1175" s="124" t="s">
        <v>781</v>
      </c>
      <c r="K1175" s="124" t="s">
        <v>53</v>
      </c>
      <c r="L1175" s="124" t="s">
        <v>430</v>
      </c>
    </row>
    <row r="1176">
      <c r="A1176" s="165">
        <v>43758.147747337964</v>
      </c>
      <c r="B1176" s="161" t="s">
        <v>69</v>
      </c>
      <c r="C1176" s="162" t="s">
        <v>193</v>
      </c>
      <c r="D1176" s="93">
        <v>2.0</v>
      </c>
      <c r="E1176" s="93">
        <v>4.0</v>
      </c>
      <c r="F1176" s="124" t="s">
        <v>248</v>
      </c>
      <c r="G1176" s="129" t="s">
        <v>202</v>
      </c>
      <c r="H1176" s="127"/>
      <c r="I1176" s="127" t="s">
        <v>203</v>
      </c>
      <c r="J1176" s="124" t="s">
        <v>203</v>
      </c>
      <c r="K1176" s="124"/>
      <c r="L1176" s="124">
        <v>9999.0</v>
      </c>
    </row>
    <row r="1177">
      <c r="A1177" s="165">
        <v>43758.147747337964</v>
      </c>
      <c r="B1177" s="161" t="s">
        <v>69</v>
      </c>
      <c r="C1177" s="162" t="s">
        <v>151</v>
      </c>
      <c r="D1177" s="93">
        <v>2.0</v>
      </c>
      <c r="E1177" s="93">
        <v>5.0</v>
      </c>
      <c r="F1177" s="124" t="s">
        <v>248</v>
      </c>
      <c r="G1177" s="129" t="s">
        <v>202</v>
      </c>
      <c r="H1177" s="127"/>
      <c r="I1177" s="127" t="s">
        <v>203</v>
      </c>
      <c r="J1177" s="124" t="s">
        <v>203</v>
      </c>
      <c r="K1177" s="124"/>
      <c r="L1177" s="124">
        <v>9999.0</v>
      </c>
    </row>
    <row r="1178">
      <c r="A1178" s="136" t="s">
        <v>359</v>
      </c>
      <c r="B1178" s="115" t="s">
        <v>2</v>
      </c>
      <c r="C1178" s="153" t="s">
        <v>227</v>
      </c>
      <c r="D1178" s="118" t="s">
        <v>29</v>
      </c>
      <c r="E1178" s="118" t="s">
        <v>34</v>
      </c>
      <c r="F1178" s="124" t="s">
        <v>261</v>
      </c>
      <c r="G1178" s="129" t="s">
        <v>245</v>
      </c>
      <c r="H1178" s="127" t="s">
        <v>228</v>
      </c>
      <c r="I1178" s="127" t="s">
        <v>229</v>
      </c>
      <c r="J1178" s="124" t="s">
        <v>262</v>
      </c>
      <c r="K1178" s="124" t="s">
        <v>263</v>
      </c>
      <c r="L1178" s="124"/>
    </row>
    <row r="1179">
      <c r="A1179" s="165">
        <v>43758.147747337964</v>
      </c>
      <c r="B1179" s="161" t="s">
        <v>74</v>
      </c>
      <c r="C1179" s="162" t="s">
        <v>194</v>
      </c>
      <c r="D1179" s="93">
        <v>3.0</v>
      </c>
      <c r="E1179" s="93">
        <v>3.0</v>
      </c>
      <c r="F1179" s="124" t="s">
        <v>248</v>
      </c>
      <c r="G1179" s="129" t="s">
        <v>1080</v>
      </c>
      <c r="H1179" s="127" t="s">
        <v>430</v>
      </c>
      <c r="I1179" s="127">
        <v>-15.0</v>
      </c>
      <c r="J1179" s="124">
        <v>55.0</v>
      </c>
      <c r="K1179" s="124" t="s">
        <v>62</v>
      </c>
      <c r="L1179" s="124" t="s">
        <v>430</v>
      </c>
    </row>
    <row r="1180">
      <c r="A1180" s="165">
        <v>43758.147747337964</v>
      </c>
      <c r="B1180" s="161" t="s">
        <v>74</v>
      </c>
      <c r="C1180" s="162" t="s">
        <v>167</v>
      </c>
      <c r="D1180" s="93">
        <v>3.0</v>
      </c>
      <c r="E1180" s="93">
        <v>4.0</v>
      </c>
      <c r="F1180" s="124" t="s">
        <v>201</v>
      </c>
      <c r="G1180" s="129" t="s">
        <v>1038</v>
      </c>
      <c r="H1180" s="127" t="s">
        <v>430</v>
      </c>
      <c r="I1180" s="127">
        <v>-9.0</v>
      </c>
      <c r="J1180" s="124">
        <v>54.0</v>
      </c>
      <c r="K1180" s="124" t="s">
        <v>41</v>
      </c>
      <c r="L1180" s="124" t="s">
        <v>430</v>
      </c>
    </row>
    <row r="1181">
      <c r="A1181" s="165">
        <v>43758.147747337964</v>
      </c>
      <c r="B1181" s="161" t="s">
        <v>74</v>
      </c>
      <c r="C1181" s="162" t="s">
        <v>124</v>
      </c>
      <c r="D1181" s="93">
        <v>4.0</v>
      </c>
      <c r="E1181" s="93">
        <v>3.0</v>
      </c>
      <c r="F1181" s="124" t="s">
        <v>260</v>
      </c>
      <c r="G1181" s="129" t="s">
        <v>1039</v>
      </c>
      <c r="H1181" s="127" t="s">
        <v>430</v>
      </c>
      <c r="I1181" s="127" t="s">
        <v>512</v>
      </c>
      <c r="J1181" s="124" t="s">
        <v>276</v>
      </c>
      <c r="K1181" s="124" t="s">
        <v>41</v>
      </c>
      <c r="L1181" s="124" t="s">
        <v>430</v>
      </c>
    </row>
    <row r="1182">
      <c r="A1182" s="165">
        <v>43758.147747337964</v>
      </c>
      <c r="B1182" s="161" t="s">
        <v>74</v>
      </c>
      <c r="C1182" s="162" t="s">
        <v>118</v>
      </c>
      <c r="D1182" s="93">
        <v>7.0</v>
      </c>
      <c r="E1182" s="93">
        <v>0.0</v>
      </c>
      <c r="F1182" s="124" t="s">
        <v>269</v>
      </c>
      <c r="G1182" s="129" t="s">
        <v>1072</v>
      </c>
      <c r="H1182" s="127" t="s">
        <v>430</v>
      </c>
      <c r="I1182" s="127" t="s">
        <v>569</v>
      </c>
      <c r="J1182" s="124">
        <v>50.0</v>
      </c>
      <c r="K1182" s="124" t="s">
        <v>60</v>
      </c>
      <c r="L1182" s="124" t="s">
        <v>430</v>
      </c>
    </row>
    <row r="1183">
      <c r="A1183" s="165">
        <v>43758.147747337964</v>
      </c>
      <c r="B1183" s="161" t="s">
        <v>74</v>
      </c>
      <c r="C1183" s="162" t="s">
        <v>174</v>
      </c>
      <c r="D1183" s="93">
        <v>6.0</v>
      </c>
      <c r="E1183" s="93">
        <v>1.0</v>
      </c>
      <c r="F1183" s="124" t="s">
        <v>287</v>
      </c>
      <c r="G1183" s="129" t="s">
        <v>1048</v>
      </c>
      <c r="H1183" s="127" t="s">
        <v>430</v>
      </c>
      <c r="I1183" s="127" t="s">
        <v>542</v>
      </c>
      <c r="J1183" s="124" t="s">
        <v>546</v>
      </c>
      <c r="K1183" s="124" t="s">
        <v>44</v>
      </c>
      <c r="L1183" s="124" t="s">
        <v>430</v>
      </c>
    </row>
    <row r="1184">
      <c r="A1184" s="165">
        <v>43758.147747337964</v>
      </c>
      <c r="B1184" s="161" t="s">
        <v>74</v>
      </c>
      <c r="C1184" s="162" t="s">
        <v>23</v>
      </c>
      <c r="D1184" s="93">
        <v>1.0</v>
      </c>
      <c r="E1184" s="93">
        <v>6.0</v>
      </c>
      <c r="F1184" s="124" t="s">
        <v>242</v>
      </c>
      <c r="G1184" s="129" t="s">
        <v>1056</v>
      </c>
      <c r="H1184" s="127" t="s">
        <v>430</v>
      </c>
      <c r="I1184" s="127" t="s">
        <v>456</v>
      </c>
      <c r="J1184" s="124" t="s">
        <v>397</v>
      </c>
      <c r="K1184" s="124" t="s">
        <v>48</v>
      </c>
      <c r="L1184" s="124" t="s">
        <v>430</v>
      </c>
    </row>
    <row r="1185">
      <c r="A1185" s="165">
        <v>43758.147747337964</v>
      </c>
      <c r="B1185" s="161" t="s">
        <v>74</v>
      </c>
      <c r="C1185" s="162" t="s">
        <v>88</v>
      </c>
      <c r="D1185" s="93">
        <v>4.0</v>
      </c>
      <c r="E1185" s="93">
        <v>3.0</v>
      </c>
      <c r="F1185" s="124" t="s">
        <v>265</v>
      </c>
      <c r="G1185" s="129" t="s">
        <v>1049</v>
      </c>
      <c r="H1185" s="127" t="s">
        <v>430</v>
      </c>
      <c r="I1185" s="127" t="s">
        <v>451</v>
      </c>
      <c r="J1185" s="124" t="s">
        <v>387</v>
      </c>
      <c r="K1185" s="124" t="s">
        <v>44</v>
      </c>
      <c r="L1185" s="124" t="s">
        <v>430</v>
      </c>
    </row>
    <row r="1186">
      <c r="A1186" s="165">
        <v>43758.147747337964</v>
      </c>
      <c r="B1186" s="161" t="s">
        <v>74</v>
      </c>
      <c r="C1186" s="162" t="s">
        <v>141</v>
      </c>
      <c r="D1186" s="93">
        <v>5.0</v>
      </c>
      <c r="E1186" s="93">
        <v>3.0</v>
      </c>
      <c r="F1186" s="124" t="s">
        <v>282</v>
      </c>
      <c r="G1186" s="129" t="s">
        <v>1031</v>
      </c>
      <c r="H1186" s="127" t="s">
        <v>430</v>
      </c>
      <c r="I1186" s="127">
        <v>-12.0</v>
      </c>
      <c r="J1186" s="124" t="s">
        <v>237</v>
      </c>
      <c r="K1186" s="124" t="s">
        <v>38</v>
      </c>
      <c r="L1186" s="124" t="s">
        <v>430</v>
      </c>
    </row>
    <row r="1187">
      <c r="A1187" s="165">
        <v>43758.147747337964</v>
      </c>
      <c r="B1187" s="161" t="s">
        <v>74</v>
      </c>
      <c r="C1187" s="162" t="s">
        <v>99</v>
      </c>
      <c r="D1187" s="93">
        <v>4.0</v>
      </c>
      <c r="E1187" s="93">
        <v>2.0</v>
      </c>
      <c r="F1187" s="124" t="s">
        <v>570</v>
      </c>
      <c r="G1187" s="129" t="s">
        <v>1081</v>
      </c>
      <c r="H1187" s="127" t="s">
        <v>430</v>
      </c>
      <c r="I1187" s="127" t="s">
        <v>418</v>
      </c>
      <c r="J1187" s="124">
        <v>46.0</v>
      </c>
      <c r="K1187" s="124" t="s">
        <v>62</v>
      </c>
      <c r="L1187" s="124" t="s">
        <v>430</v>
      </c>
    </row>
    <row r="1188">
      <c r="A1188" s="165">
        <v>43758.147747337964</v>
      </c>
      <c r="B1188" s="161" t="s">
        <v>74</v>
      </c>
      <c r="C1188" s="162" t="s">
        <v>160</v>
      </c>
      <c r="D1188" s="93">
        <v>5.0</v>
      </c>
      <c r="E1188" s="93">
        <v>2.0</v>
      </c>
      <c r="F1188" s="124" t="s">
        <v>349</v>
      </c>
      <c r="G1188" s="129" t="s">
        <v>1057</v>
      </c>
      <c r="H1188" s="127" t="s">
        <v>430</v>
      </c>
      <c r="I1188" s="127">
        <v>-20.0</v>
      </c>
      <c r="J1188" s="124">
        <v>52.0</v>
      </c>
      <c r="K1188" s="124" t="s">
        <v>48</v>
      </c>
      <c r="L1188" s="124" t="s">
        <v>430</v>
      </c>
    </row>
    <row r="1189">
      <c r="A1189" s="136" t="s">
        <v>359</v>
      </c>
      <c r="B1189" s="115" t="s">
        <v>2</v>
      </c>
      <c r="C1189" s="153" t="s">
        <v>227</v>
      </c>
      <c r="D1189" s="118" t="s">
        <v>29</v>
      </c>
      <c r="E1189" s="118" t="s">
        <v>34</v>
      </c>
      <c r="F1189" s="124" t="s">
        <v>261</v>
      </c>
      <c r="G1189" s="129" t="s">
        <v>245</v>
      </c>
      <c r="H1189" s="127" t="s">
        <v>228</v>
      </c>
      <c r="I1189" s="127" t="s">
        <v>229</v>
      </c>
      <c r="J1189" s="124" t="s">
        <v>262</v>
      </c>
      <c r="K1189" s="124" t="s">
        <v>263</v>
      </c>
      <c r="L1189" s="124" t="s">
        <v>264</v>
      </c>
    </row>
    <row r="1190">
      <c r="A1190" s="165">
        <v>43765.147748449075</v>
      </c>
      <c r="B1190" s="161" t="s">
        <v>27</v>
      </c>
      <c r="C1190" s="162" t="s">
        <v>138</v>
      </c>
      <c r="D1190" s="93">
        <v>4.0</v>
      </c>
      <c r="E1190" s="93">
        <v>4.0</v>
      </c>
      <c r="F1190" s="124" t="s">
        <v>267</v>
      </c>
      <c r="G1190" s="129" t="s">
        <v>1088</v>
      </c>
      <c r="H1190" s="127" t="s">
        <v>430</v>
      </c>
      <c r="I1190" s="127">
        <v>-3.0</v>
      </c>
      <c r="J1190" s="124" t="s">
        <v>419</v>
      </c>
      <c r="K1190" s="124" t="s">
        <v>41</v>
      </c>
      <c r="L1190" s="124" t="s">
        <v>430</v>
      </c>
    </row>
    <row r="1191">
      <c r="A1191" s="165">
        <v>43765.147748449075</v>
      </c>
      <c r="B1191" s="161" t="s">
        <v>27</v>
      </c>
      <c r="C1191" s="162" t="s">
        <v>116</v>
      </c>
      <c r="D1191" s="93">
        <v>4.0</v>
      </c>
      <c r="E1191" s="93">
        <v>4.0</v>
      </c>
      <c r="F1191" s="124" t="s">
        <v>266</v>
      </c>
      <c r="G1191" s="129" t="s">
        <v>1089</v>
      </c>
      <c r="H1191" s="127" t="s">
        <v>430</v>
      </c>
      <c r="I1191" s="127">
        <v>-1.0</v>
      </c>
      <c r="J1191" s="124">
        <v>55.0</v>
      </c>
      <c r="K1191" s="124" t="s">
        <v>69</v>
      </c>
      <c r="L1191" s="124" t="s">
        <v>430</v>
      </c>
    </row>
    <row r="1192">
      <c r="A1192" s="165">
        <v>43765.147748449075</v>
      </c>
      <c r="B1192" s="161" t="s">
        <v>27</v>
      </c>
      <c r="C1192" s="162" t="s">
        <v>114</v>
      </c>
      <c r="D1192" s="93">
        <v>8.0</v>
      </c>
      <c r="E1192" s="93">
        <v>0.0</v>
      </c>
      <c r="F1192" s="124" t="s">
        <v>201</v>
      </c>
      <c r="G1192" s="129" t="s">
        <v>1090</v>
      </c>
      <c r="H1192" s="127" t="s">
        <v>430</v>
      </c>
      <c r="I1192" s="127">
        <v>-32.0</v>
      </c>
      <c r="J1192" s="124" t="s">
        <v>546</v>
      </c>
      <c r="K1192" s="124" t="s">
        <v>44</v>
      </c>
      <c r="L1192" s="124" t="s">
        <v>430</v>
      </c>
    </row>
    <row r="1193">
      <c r="A1193" s="165">
        <v>43765.147748449075</v>
      </c>
      <c r="B1193" s="161" t="s">
        <v>27</v>
      </c>
      <c r="C1193" s="162" t="s">
        <v>56</v>
      </c>
      <c r="D1193" s="93">
        <v>2.0</v>
      </c>
      <c r="E1193" s="93">
        <v>6.0</v>
      </c>
      <c r="F1193" s="124" t="s">
        <v>260</v>
      </c>
      <c r="G1193" s="129" t="s">
        <v>1091</v>
      </c>
      <c r="H1193" s="127" t="s">
        <v>430</v>
      </c>
      <c r="I1193" s="127" t="s">
        <v>492</v>
      </c>
      <c r="J1193" s="124" t="s">
        <v>280</v>
      </c>
      <c r="K1193" s="124" t="s">
        <v>69</v>
      </c>
      <c r="L1193" s="124" t="s">
        <v>430</v>
      </c>
    </row>
    <row r="1194">
      <c r="A1194" s="165">
        <v>43765.147748449075</v>
      </c>
      <c r="B1194" s="161" t="s">
        <v>27</v>
      </c>
      <c r="C1194" s="162" t="s">
        <v>107</v>
      </c>
      <c r="D1194" s="93">
        <v>5.0</v>
      </c>
      <c r="E1194" s="93">
        <v>2.0</v>
      </c>
      <c r="F1194" s="124" t="s">
        <v>207</v>
      </c>
      <c r="G1194" s="129" t="s">
        <v>1092</v>
      </c>
      <c r="H1194" s="127" t="s">
        <v>430</v>
      </c>
      <c r="I1194" s="127">
        <v>1.0</v>
      </c>
      <c r="J1194" s="124">
        <v>50.0</v>
      </c>
      <c r="K1194" s="124" t="s">
        <v>62</v>
      </c>
      <c r="L1194" s="124" t="s">
        <v>430</v>
      </c>
    </row>
    <row r="1195">
      <c r="A1195" s="165">
        <v>43765.147748449075</v>
      </c>
      <c r="B1195" s="161" t="s">
        <v>27</v>
      </c>
      <c r="C1195" s="162" t="s">
        <v>152</v>
      </c>
      <c r="D1195" s="93">
        <v>3.0</v>
      </c>
      <c r="E1195" s="93">
        <v>4.0</v>
      </c>
      <c r="F1195" s="124" t="s">
        <v>242</v>
      </c>
      <c r="G1195" s="129" t="s">
        <v>1093</v>
      </c>
      <c r="H1195" s="127" t="s">
        <v>430</v>
      </c>
      <c r="I1195" s="127">
        <v>-14.0</v>
      </c>
      <c r="J1195" s="124">
        <v>59.0</v>
      </c>
      <c r="K1195" s="124" t="s">
        <v>69</v>
      </c>
      <c r="L1195" s="124" t="s">
        <v>430</v>
      </c>
    </row>
    <row r="1196">
      <c r="A1196" s="165">
        <v>43765.147748449075</v>
      </c>
      <c r="B1196" s="161" t="s">
        <v>27</v>
      </c>
      <c r="C1196" s="162" t="s">
        <v>163</v>
      </c>
      <c r="D1196" s="93">
        <v>4.0</v>
      </c>
      <c r="E1196" s="93">
        <v>4.0</v>
      </c>
      <c r="F1196" s="124" t="s">
        <v>269</v>
      </c>
      <c r="G1196" s="129" t="s">
        <v>1094</v>
      </c>
      <c r="H1196" s="127" t="s">
        <v>430</v>
      </c>
      <c r="I1196" s="127">
        <v>18.0</v>
      </c>
      <c r="J1196" s="124" t="s">
        <v>1095</v>
      </c>
      <c r="K1196" s="124" t="s">
        <v>69</v>
      </c>
      <c r="L1196" s="124" t="s">
        <v>430</v>
      </c>
    </row>
    <row r="1197">
      <c r="A1197" s="165">
        <v>43765.147748449075</v>
      </c>
      <c r="B1197" s="161" t="s">
        <v>27</v>
      </c>
      <c r="C1197" s="162" t="s">
        <v>195</v>
      </c>
      <c r="D1197" s="93">
        <v>3.0</v>
      </c>
      <c r="E1197" s="93">
        <v>4.0</v>
      </c>
      <c r="F1197" s="124" t="s">
        <v>248</v>
      </c>
      <c r="G1197" s="129" t="s">
        <v>202</v>
      </c>
      <c r="H1197" s="127"/>
      <c r="I1197" s="127" t="s">
        <v>203</v>
      </c>
      <c r="J1197" s="124" t="s">
        <v>203</v>
      </c>
      <c r="K1197" s="124"/>
      <c r="L1197" s="124">
        <v>9999.0</v>
      </c>
    </row>
    <row r="1198">
      <c r="A1198" s="165">
        <v>43765.147748449075</v>
      </c>
      <c r="B1198" s="161" t="s">
        <v>27</v>
      </c>
      <c r="C1198" s="162" t="s">
        <v>94</v>
      </c>
      <c r="D1198" s="93">
        <v>5.0</v>
      </c>
      <c r="E1198" s="93">
        <v>2.0</v>
      </c>
      <c r="F1198" s="124" t="s">
        <v>248</v>
      </c>
      <c r="G1198" s="129" t="s">
        <v>202</v>
      </c>
      <c r="H1198" s="127"/>
      <c r="I1198" s="127" t="s">
        <v>203</v>
      </c>
      <c r="J1198" s="124" t="s">
        <v>203</v>
      </c>
      <c r="K1198" s="124"/>
      <c r="L1198" s="124">
        <v>9999.0</v>
      </c>
    </row>
    <row r="1199">
      <c r="A1199" s="165">
        <v>43765.147748449075</v>
      </c>
      <c r="B1199" s="161" t="s">
        <v>27</v>
      </c>
      <c r="C1199" s="162" t="s">
        <v>134</v>
      </c>
      <c r="D1199" s="93">
        <v>3.0</v>
      </c>
      <c r="E1199" s="93">
        <v>4.0</v>
      </c>
      <c r="F1199" s="124" t="s">
        <v>248</v>
      </c>
      <c r="G1199" s="129" t="s">
        <v>202</v>
      </c>
      <c r="H1199" s="127"/>
      <c r="I1199" s="127" t="s">
        <v>203</v>
      </c>
      <c r="J1199" s="124" t="s">
        <v>203</v>
      </c>
      <c r="K1199" s="124"/>
      <c r="L1199" s="124">
        <v>9999.0</v>
      </c>
    </row>
    <row r="1200">
      <c r="A1200" s="136" t="s">
        <v>359</v>
      </c>
      <c r="B1200" s="115" t="s">
        <v>2</v>
      </c>
      <c r="C1200" s="153" t="s">
        <v>227</v>
      </c>
      <c r="D1200" s="118" t="s">
        <v>29</v>
      </c>
      <c r="E1200" s="118" t="s">
        <v>34</v>
      </c>
      <c r="F1200" s="124" t="s">
        <v>261</v>
      </c>
      <c r="G1200" s="129" t="s">
        <v>245</v>
      </c>
      <c r="H1200" s="127" t="s">
        <v>228</v>
      </c>
      <c r="I1200" s="127" t="s">
        <v>229</v>
      </c>
      <c r="J1200" s="124" t="s">
        <v>262</v>
      </c>
      <c r="K1200" s="124" t="s">
        <v>263</v>
      </c>
      <c r="L1200" s="124" t="s">
        <v>264</v>
      </c>
    </row>
    <row r="1201">
      <c r="A1201" s="165">
        <v>43765.147748449075</v>
      </c>
      <c r="B1201" s="161" t="s">
        <v>38</v>
      </c>
      <c r="C1201" s="162" t="s">
        <v>139</v>
      </c>
      <c r="D1201" s="93">
        <v>2.0</v>
      </c>
      <c r="E1201" s="93">
        <v>6.0</v>
      </c>
      <c r="F1201" s="124" t="s">
        <v>282</v>
      </c>
      <c r="G1201" s="129" t="s">
        <v>1096</v>
      </c>
      <c r="H1201" s="127" t="s">
        <v>430</v>
      </c>
      <c r="I1201" s="127" t="s">
        <v>522</v>
      </c>
      <c r="J1201" s="124">
        <v>63.0</v>
      </c>
      <c r="K1201" s="124" t="s">
        <v>53</v>
      </c>
      <c r="L1201" s="124" t="s">
        <v>430</v>
      </c>
    </row>
    <row r="1202">
      <c r="A1202" s="165">
        <v>43765.147748449075</v>
      </c>
      <c r="B1202" s="161" t="s">
        <v>38</v>
      </c>
      <c r="C1202" s="162" t="s">
        <v>198</v>
      </c>
      <c r="D1202" s="93">
        <v>0.0</v>
      </c>
      <c r="E1202" s="93">
        <v>8.0</v>
      </c>
      <c r="F1202" s="124" t="s">
        <v>282</v>
      </c>
      <c r="G1202" s="129" t="s">
        <v>1097</v>
      </c>
      <c r="H1202" s="127" t="s">
        <v>430</v>
      </c>
      <c r="I1202" s="127" t="s">
        <v>1064</v>
      </c>
      <c r="J1202" s="124">
        <v>54.0</v>
      </c>
      <c r="K1202" s="124" t="s">
        <v>44</v>
      </c>
      <c r="L1202" s="124" t="s">
        <v>430</v>
      </c>
    </row>
    <row r="1203">
      <c r="A1203" s="165">
        <v>43765.147748449075</v>
      </c>
      <c r="B1203" s="161" t="s">
        <v>38</v>
      </c>
      <c r="C1203" s="162" t="s">
        <v>178</v>
      </c>
      <c r="D1203" s="93">
        <v>8.0</v>
      </c>
      <c r="E1203" s="93">
        <v>0.0</v>
      </c>
      <c r="F1203" s="124" t="s">
        <v>234</v>
      </c>
      <c r="G1203" s="129" t="s">
        <v>1098</v>
      </c>
      <c r="H1203" s="127" t="s">
        <v>430</v>
      </c>
      <c r="I1203" s="127" t="s">
        <v>518</v>
      </c>
      <c r="J1203" s="124">
        <v>59.0</v>
      </c>
      <c r="K1203" s="124" t="s">
        <v>74</v>
      </c>
      <c r="L1203" s="124" t="s">
        <v>430</v>
      </c>
    </row>
    <row r="1204">
      <c r="A1204" s="165">
        <v>43765.147748449075</v>
      </c>
      <c r="B1204" s="161" t="s">
        <v>38</v>
      </c>
      <c r="C1204" s="162" t="s">
        <v>113</v>
      </c>
      <c r="D1204" s="93">
        <v>4.0</v>
      </c>
      <c r="E1204" s="93">
        <v>4.0</v>
      </c>
      <c r="F1204" s="124" t="s">
        <v>207</v>
      </c>
      <c r="G1204" s="129" t="s">
        <v>1099</v>
      </c>
      <c r="H1204" s="127" t="s">
        <v>430</v>
      </c>
      <c r="I1204" s="127">
        <v>6.0</v>
      </c>
      <c r="J1204" s="124" t="s">
        <v>608</v>
      </c>
      <c r="K1204" s="124" t="s">
        <v>53</v>
      </c>
      <c r="L1204" s="124" t="s">
        <v>430</v>
      </c>
    </row>
    <row r="1205">
      <c r="A1205" s="165">
        <v>43765.147748449075</v>
      </c>
      <c r="B1205" s="161" t="s">
        <v>38</v>
      </c>
      <c r="C1205" s="162" t="s">
        <v>97</v>
      </c>
      <c r="D1205" s="93">
        <v>5.0</v>
      </c>
      <c r="E1205" s="93">
        <v>3.0</v>
      </c>
      <c r="F1205" s="124" t="s">
        <v>269</v>
      </c>
      <c r="G1205" s="129" t="s">
        <v>1100</v>
      </c>
      <c r="H1205" s="127" t="s">
        <v>430</v>
      </c>
      <c r="I1205" s="127" t="s">
        <v>431</v>
      </c>
      <c r="J1205" s="124" t="s">
        <v>370</v>
      </c>
      <c r="K1205" s="124" t="s">
        <v>69</v>
      </c>
      <c r="L1205" s="124" t="s">
        <v>430</v>
      </c>
    </row>
    <row r="1206">
      <c r="A1206" s="165">
        <v>43765.147748449075</v>
      </c>
      <c r="B1206" s="161" t="s">
        <v>38</v>
      </c>
      <c r="C1206" s="162" t="s">
        <v>129</v>
      </c>
      <c r="D1206" s="93">
        <v>1.0</v>
      </c>
      <c r="E1206" s="93">
        <v>7.0</v>
      </c>
      <c r="F1206" s="124" t="s">
        <v>267</v>
      </c>
      <c r="G1206" s="129" t="s">
        <v>1101</v>
      </c>
      <c r="H1206" s="127" t="s">
        <v>430</v>
      </c>
      <c r="I1206" s="127" t="s">
        <v>274</v>
      </c>
      <c r="J1206" s="124" t="s">
        <v>387</v>
      </c>
      <c r="K1206" s="124" t="s">
        <v>74</v>
      </c>
      <c r="L1206" s="124" t="s">
        <v>430</v>
      </c>
    </row>
    <row r="1207">
      <c r="A1207" s="165">
        <v>43765.147748449075</v>
      </c>
      <c r="B1207" s="161" t="s">
        <v>38</v>
      </c>
      <c r="C1207" s="162" t="s">
        <v>32</v>
      </c>
      <c r="D1207" s="93">
        <v>3.0</v>
      </c>
      <c r="E1207" s="93">
        <v>5.0</v>
      </c>
      <c r="F1207" s="124" t="s">
        <v>242</v>
      </c>
      <c r="G1207" s="129" t="s">
        <v>1102</v>
      </c>
      <c r="H1207" s="127" t="s">
        <v>430</v>
      </c>
      <c r="I1207" s="127">
        <v>2.0</v>
      </c>
      <c r="J1207" s="124">
        <v>51.0</v>
      </c>
      <c r="K1207" s="124" t="s">
        <v>58</v>
      </c>
      <c r="L1207" s="124" t="s">
        <v>430</v>
      </c>
    </row>
    <row r="1208">
      <c r="A1208" s="165">
        <v>43765.147748449075</v>
      </c>
      <c r="B1208" s="161" t="s">
        <v>38</v>
      </c>
      <c r="C1208" s="162" t="s">
        <v>68</v>
      </c>
      <c r="D1208" s="93">
        <v>8.0</v>
      </c>
      <c r="E1208" s="93">
        <v>0.0</v>
      </c>
      <c r="F1208" s="124" t="s">
        <v>285</v>
      </c>
      <c r="G1208" s="129" t="s">
        <v>1103</v>
      </c>
      <c r="H1208" s="127" t="s">
        <v>430</v>
      </c>
      <c r="I1208" s="127">
        <v>-33.0</v>
      </c>
      <c r="J1208" s="124" t="s">
        <v>446</v>
      </c>
      <c r="K1208" s="124" t="s">
        <v>44</v>
      </c>
      <c r="L1208" s="124" t="s">
        <v>430</v>
      </c>
    </row>
    <row r="1209">
      <c r="A1209" s="165">
        <v>43765.147748449075</v>
      </c>
      <c r="B1209" s="161" t="s">
        <v>38</v>
      </c>
      <c r="C1209" s="162" t="s">
        <v>172</v>
      </c>
      <c r="D1209" s="93">
        <v>4.0</v>
      </c>
      <c r="E1209" s="93">
        <v>4.0</v>
      </c>
      <c r="F1209" s="124" t="s">
        <v>201</v>
      </c>
      <c r="G1209" s="129" t="s">
        <v>1104</v>
      </c>
      <c r="H1209" s="127" t="s">
        <v>430</v>
      </c>
      <c r="I1209" s="127">
        <v>14.0</v>
      </c>
      <c r="J1209" s="124">
        <v>64.0</v>
      </c>
      <c r="K1209" s="124" t="s">
        <v>58</v>
      </c>
      <c r="L1209" s="124" t="s">
        <v>430</v>
      </c>
    </row>
    <row r="1210">
      <c r="A1210" s="165">
        <v>43765.147748449075</v>
      </c>
      <c r="B1210" s="161" t="s">
        <v>38</v>
      </c>
      <c r="C1210" s="162" t="s">
        <v>156</v>
      </c>
      <c r="D1210" s="93">
        <v>7.0</v>
      </c>
      <c r="E1210" s="93">
        <v>1.0</v>
      </c>
      <c r="F1210" s="124" t="s">
        <v>260</v>
      </c>
      <c r="G1210" s="129" t="s">
        <v>1105</v>
      </c>
      <c r="H1210" s="127" t="s">
        <v>430</v>
      </c>
      <c r="I1210" s="127" t="s">
        <v>226</v>
      </c>
      <c r="J1210" s="124" t="s">
        <v>283</v>
      </c>
      <c r="K1210" s="124" t="s">
        <v>58</v>
      </c>
      <c r="L1210" s="124" t="s">
        <v>430</v>
      </c>
    </row>
    <row r="1211">
      <c r="A1211" s="136" t="s">
        <v>359</v>
      </c>
      <c r="B1211" s="159" t="s">
        <v>2</v>
      </c>
      <c r="C1211" s="160" t="s">
        <v>227</v>
      </c>
      <c r="D1211" s="1" t="s">
        <v>29</v>
      </c>
      <c r="E1211" s="1" t="s">
        <v>34</v>
      </c>
      <c r="F1211" s="124" t="s">
        <v>261</v>
      </c>
      <c r="G1211" s="129" t="s">
        <v>245</v>
      </c>
      <c r="H1211" s="127" t="s">
        <v>228</v>
      </c>
      <c r="I1211" s="127" t="s">
        <v>229</v>
      </c>
      <c r="J1211" s="124" t="s">
        <v>262</v>
      </c>
      <c r="K1211" s="124" t="s">
        <v>263</v>
      </c>
      <c r="L1211" s="124" t="s">
        <v>264</v>
      </c>
    </row>
    <row r="1212">
      <c r="A1212" s="165">
        <v>43765.147748449075</v>
      </c>
      <c r="B1212" s="161" t="s">
        <v>41</v>
      </c>
      <c r="C1212" s="162" t="s">
        <v>91</v>
      </c>
      <c r="D1212" s="93">
        <v>5.0</v>
      </c>
      <c r="E1212" s="93">
        <v>3.0</v>
      </c>
      <c r="F1212" s="124" t="s">
        <v>201</v>
      </c>
      <c r="G1212" s="129" t="s">
        <v>1106</v>
      </c>
      <c r="H1212" s="127" t="s">
        <v>430</v>
      </c>
      <c r="I1212" s="127" t="s">
        <v>512</v>
      </c>
      <c r="J1212" s="124" t="s">
        <v>482</v>
      </c>
      <c r="K1212" s="124" t="s">
        <v>69</v>
      </c>
      <c r="L1212" s="124" t="s">
        <v>430</v>
      </c>
    </row>
    <row r="1213">
      <c r="A1213" s="165">
        <v>43765.147748449075</v>
      </c>
      <c r="B1213" s="161" t="s">
        <v>41</v>
      </c>
      <c r="C1213" s="162" t="s">
        <v>146</v>
      </c>
      <c r="D1213" s="93">
        <v>4.0</v>
      </c>
      <c r="E1213" s="93">
        <v>4.0</v>
      </c>
      <c r="F1213" s="124" t="s">
        <v>267</v>
      </c>
      <c r="G1213" s="129" t="s">
        <v>1088</v>
      </c>
      <c r="H1213" s="127" t="s">
        <v>430</v>
      </c>
      <c r="I1213" s="127">
        <v>3.0</v>
      </c>
      <c r="J1213" s="124" t="s">
        <v>419</v>
      </c>
      <c r="K1213" s="124" t="s">
        <v>27</v>
      </c>
      <c r="L1213" s="124" t="s">
        <v>430</v>
      </c>
    </row>
    <row r="1214">
      <c r="A1214" s="165">
        <v>43765.147748449075</v>
      </c>
      <c r="B1214" s="161" t="s">
        <v>41</v>
      </c>
      <c r="C1214" s="162" t="s">
        <v>126</v>
      </c>
      <c r="D1214" s="93">
        <v>5.0</v>
      </c>
      <c r="E1214" s="93">
        <v>3.0</v>
      </c>
      <c r="F1214" s="124" t="s">
        <v>284</v>
      </c>
      <c r="G1214" s="129" t="s">
        <v>1107</v>
      </c>
      <c r="H1214" s="127" t="s">
        <v>430</v>
      </c>
      <c r="I1214" s="127">
        <v>-6.0</v>
      </c>
      <c r="J1214" s="124">
        <v>45.0</v>
      </c>
      <c r="K1214" s="124" t="s">
        <v>58</v>
      </c>
      <c r="L1214" s="124" t="s">
        <v>430</v>
      </c>
    </row>
    <row r="1215">
      <c r="A1215" s="165">
        <v>43765.147748449075</v>
      </c>
      <c r="B1215" s="161" t="s">
        <v>41</v>
      </c>
      <c r="C1215" s="162" t="s">
        <v>111</v>
      </c>
      <c r="D1215" s="93">
        <v>3.0</v>
      </c>
      <c r="E1215" s="93">
        <v>5.0</v>
      </c>
      <c r="F1215" s="124" t="s">
        <v>201</v>
      </c>
      <c r="G1215" s="129" t="s">
        <v>1108</v>
      </c>
      <c r="H1215" s="127" t="s">
        <v>430</v>
      </c>
      <c r="I1215" s="127">
        <v>17.0</v>
      </c>
      <c r="J1215" s="124">
        <v>56.0</v>
      </c>
      <c r="K1215" s="124" t="s">
        <v>64</v>
      </c>
      <c r="L1215" s="124" t="s">
        <v>430</v>
      </c>
    </row>
    <row r="1216">
      <c r="A1216" s="165">
        <v>43765.147748449075</v>
      </c>
      <c r="B1216" s="161" t="s">
        <v>41</v>
      </c>
      <c r="C1216" s="162" t="s">
        <v>52</v>
      </c>
      <c r="D1216" s="93">
        <v>5.0</v>
      </c>
      <c r="E1216" s="93">
        <v>3.0</v>
      </c>
      <c r="F1216" s="124" t="s">
        <v>260</v>
      </c>
      <c r="G1216" s="129" t="s">
        <v>1109</v>
      </c>
      <c r="H1216" s="127" t="s">
        <v>430</v>
      </c>
      <c r="I1216" s="127" t="s">
        <v>418</v>
      </c>
      <c r="J1216" s="124">
        <v>52.0</v>
      </c>
      <c r="K1216" s="124" t="s">
        <v>44</v>
      </c>
      <c r="L1216" s="124" t="s">
        <v>430</v>
      </c>
    </row>
    <row r="1217">
      <c r="A1217" s="165">
        <v>43765.147748449075</v>
      </c>
      <c r="B1217" s="161" t="s">
        <v>41</v>
      </c>
      <c r="C1217" s="162" t="s">
        <v>168</v>
      </c>
      <c r="D1217" s="93">
        <v>3.0</v>
      </c>
      <c r="E1217" s="93">
        <v>5.0</v>
      </c>
      <c r="F1217" s="124" t="s">
        <v>273</v>
      </c>
      <c r="G1217" s="129" t="s">
        <v>1110</v>
      </c>
      <c r="H1217" s="127" t="s">
        <v>430</v>
      </c>
      <c r="I1217" s="127">
        <v>4.0</v>
      </c>
      <c r="J1217" s="124" t="s">
        <v>546</v>
      </c>
      <c r="K1217" s="124" t="s">
        <v>48</v>
      </c>
      <c r="L1217" s="124" t="s">
        <v>430</v>
      </c>
    </row>
    <row r="1218">
      <c r="A1218" s="165">
        <v>43765.147748449075</v>
      </c>
      <c r="B1218" s="161" t="s">
        <v>41</v>
      </c>
      <c r="C1218" s="162" t="s">
        <v>180</v>
      </c>
      <c r="D1218" s="93">
        <v>5.0</v>
      </c>
      <c r="E1218" s="93">
        <v>3.0</v>
      </c>
      <c r="F1218" s="124" t="s">
        <v>287</v>
      </c>
      <c r="G1218" s="129" t="s">
        <v>1111</v>
      </c>
      <c r="H1218" s="127" t="s">
        <v>430</v>
      </c>
      <c r="I1218" s="127">
        <v>-10.0</v>
      </c>
      <c r="J1218" s="124">
        <v>48.0</v>
      </c>
      <c r="K1218" s="124" t="s">
        <v>64</v>
      </c>
      <c r="L1218" s="124" t="s">
        <v>430</v>
      </c>
    </row>
    <row r="1219">
      <c r="A1219" s="165">
        <v>43765.147748449075</v>
      </c>
      <c r="B1219" s="161" t="s">
        <v>41</v>
      </c>
      <c r="C1219" s="162" t="s">
        <v>159</v>
      </c>
      <c r="D1219" s="93">
        <v>4.0</v>
      </c>
      <c r="E1219" s="93">
        <v>3.0</v>
      </c>
      <c r="F1219" s="124" t="s">
        <v>215</v>
      </c>
      <c r="G1219" s="129" t="s">
        <v>1112</v>
      </c>
      <c r="H1219" s="127" t="s">
        <v>430</v>
      </c>
      <c r="I1219" s="127" t="s">
        <v>418</v>
      </c>
      <c r="J1219" s="124">
        <v>59.0</v>
      </c>
      <c r="K1219" s="124" t="s">
        <v>60</v>
      </c>
      <c r="L1219" s="124" t="s">
        <v>430</v>
      </c>
    </row>
    <row r="1220">
      <c r="A1220" s="165">
        <v>43765.147748449075</v>
      </c>
      <c r="B1220" s="161" t="s">
        <v>41</v>
      </c>
      <c r="C1220" s="162" t="s">
        <v>190</v>
      </c>
      <c r="D1220" s="93">
        <v>3.0</v>
      </c>
      <c r="E1220" s="93">
        <v>1.0</v>
      </c>
      <c r="F1220" s="124" t="s">
        <v>248</v>
      </c>
      <c r="G1220" s="129" t="s">
        <v>202</v>
      </c>
      <c r="H1220" s="127"/>
      <c r="I1220" s="127" t="s">
        <v>203</v>
      </c>
      <c r="J1220" s="124" t="s">
        <v>203</v>
      </c>
      <c r="K1220" s="124"/>
      <c r="L1220" s="124">
        <v>9999.0</v>
      </c>
    </row>
    <row r="1221">
      <c r="A1221" s="165">
        <v>43765.147748449075</v>
      </c>
      <c r="B1221" s="161" t="s">
        <v>41</v>
      </c>
      <c r="C1221" s="162" t="s">
        <v>109</v>
      </c>
      <c r="D1221" s="93">
        <v>3.0</v>
      </c>
      <c r="E1221" s="93">
        <v>4.0</v>
      </c>
      <c r="F1221" s="124" t="s">
        <v>248</v>
      </c>
      <c r="G1221" s="129" t="s">
        <v>202</v>
      </c>
      <c r="H1221" s="127"/>
      <c r="I1221" s="127" t="s">
        <v>203</v>
      </c>
      <c r="J1221" s="124" t="s">
        <v>203</v>
      </c>
      <c r="K1221" s="124"/>
      <c r="L1221" s="124">
        <v>9999.0</v>
      </c>
    </row>
    <row r="1222">
      <c r="A1222" s="136" t="s">
        <v>359</v>
      </c>
      <c r="B1222" s="115" t="s">
        <v>2</v>
      </c>
      <c r="C1222" s="153" t="s">
        <v>227</v>
      </c>
      <c r="D1222" s="118" t="s">
        <v>29</v>
      </c>
      <c r="E1222" s="118" t="s">
        <v>34</v>
      </c>
      <c r="F1222" s="124" t="s">
        <v>261</v>
      </c>
      <c r="G1222" s="129" t="s">
        <v>245</v>
      </c>
      <c r="H1222" s="127" t="s">
        <v>228</v>
      </c>
      <c r="I1222" s="127" t="s">
        <v>229</v>
      </c>
      <c r="J1222" s="124" t="s">
        <v>262</v>
      </c>
      <c r="K1222" s="124" t="s">
        <v>263</v>
      </c>
      <c r="L1222" s="124" t="s">
        <v>264</v>
      </c>
    </row>
    <row r="1223">
      <c r="A1223" s="165">
        <v>43765.147748449075</v>
      </c>
      <c r="B1223" s="161" t="s">
        <v>44</v>
      </c>
      <c r="C1223" s="162" t="s">
        <v>122</v>
      </c>
      <c r="D1223" s="93">
        <v>6.0</v>
      </c>
      <c r="E1223" s="93">
        <v>2.0</v>
      </c>
      <c r="F1223" s="124" t="s">
        <v>278</v>
      </c>
      <c r="G1223" s="129" t="s">
        <v>1113</v>
      </c>
      <c r="H1223" s="127" t="s">
        <v>430</v>
      </c>
      <c r="I1223" s="127" t="s">
        <v>1064</v>
      </c>
      <c r="J1223" s="124">
        <v>51.0</v>
      </c>
      <c r="K1223" s="124" t="s">
        <v>74</v>
      </c>
      <c r="L1223" s="124" t="s">
        <v>430</v>
      </c>
    </row>
    <row r="1224">
      <c r="A1224" s="165">
        <v>43765.147748449075</v>
      </c>
      <c r="B1224" s="161" t="s">
        <v>44</v>
      </c>
      <c r="C1224" s="162" t="s">
        <v>188</v>
      </c>
      <c r="D1224" s="93">
        <v>4.0</v>
      </c>
      <c r="E1224" s="93">
        <v>3.0</v>
      </c>
      <c r="F1224" s="124" t="s">
        <v>282</v>
      </c>
      <c r="G1224" s="129" t="s">
        <v>1097</v>
      </c>
      <c r="H1224" s="127" t="s">
        <v>430</v>
      </c>
      <c r="I1224" s="127" t="s">
        <v>1069</v>
      </c>
      <c r="J1224" s="124">
        <v>54.0</v>
      </c>
      <c r="K1224" s="124" t="s">
        <v>38</v>
      </c>
      <c r="L1224" s="124" t="s">
        <v>430</v>
      </c>
    </row>
    <row r="1225">
      <c r="A1225" s="165">
        <v>43765.147748449075</v>
      </c>
      <c r="B1225" s="161" t="s">
        <v>44</v>
      </c>
      <c r="C1225" s="162" t="s">
        <v>132</v>
      </c>
      <c r="D1225" s="93">
        <v>3.0</v>
      </c>
      <c r="E1225" s="93">
        <v>5.0</v>
      </c>
      <c r="F1225" s="124" t="s">
        <v>267</v>
      </c>
      <c r="G1225" s="129" t="s">
        <v>1114</v>
      </c>
      <c r="H1225" s="127" t="s">
        <v>430</v>
      </c>
      <c r="I1225" s="127" t="s">
        <v>739</v>
      </c>
      <c r="J1225" s="124">
        <v>65.0</v>
      </c>
      <c r="K1225" s="124" t="s">
        <v>62</v>
      </c>
      <c r="L1225" s="124" t="s">
        <v>430</v>
      </c>
    </row>
    <row r="1226">
      <c r="A1226" s="165">
        <v>43765.147748449075</v>
      </c>
      <c r="B1226" s="161" t="s">
        <v>44</v>
      </c>
      <c r="C1226" s="162" t="s">
        <v>161</v>
      </c>
      <c r="D1226" s="93">
        <v>4.0</v>
      </c>
      <c r="E1226" s="93">
        <v>4.0</v>
      </c>
      <c r="F1226" s="124" t="s">
        <v>273</v>
      </c>
      <c r="G1226" s="129" t="s">
        <v>1115</v>
      </c>
      <c r="H1226" s="127" t="s">
        <v>430</v>
      </c>
      <c r="I1226" s="127">
        <v>-1.0</v>
      </c>
      <c r="J1226" s="124" t="s">
        <v>406</v>
      </c>
      <c r="K1226" s="124" t="s">
        <v>74</v>
      </c>
      <c r="L1226" s="124" t="s">
        <v>430</v>
      </c>
    </row>
    <row r="1227">
      <c r="A1227" s="165">
        <v>43765.147748449075</v>
      </c>
      <c r="B1227" s="161" t="s">
        <v>44</v>
      </c>
      <c r="C1227" s="162" t="s">
        <v>37</v>
      </c>
      <c r="D1227" s="93">
        <v>6.0</v>
      </c>
      <c r="E1227" s="93">
        <v>1.0</v>
      </c>
      <c r="F1227" s="124" t="s">
        <v>260</v>
      </c>
      <c r="G1227" s="129" t="s">
        <v>1109</v>
      </c>
      <c r="H1227" s="127" t="s">
        <v>430</v>
      </c>
      <c r="I1227" s="127" t="s">
        <v>379</v>
      </c>
      <c r="J1227" s="124">
        <v>52.0</v>
      </c>
      <c r="K1227" s="124" t="s">
        <v>41</v>
      </c>
      <c r="L1227" s="124" t="s">
        <v>430</v>
      </c>
    </row>
    <row r="1228">
      <c r="A1228" s="165">
        <v>43765.147748449075</v>
      </c>
      <c r="B1228" s="161" t="s">
        <v>44</v>
      </c>
      <c r="C1228" s="162" t="s">
        <v>145</v>
      </c>
      <c r="D1228" s="93">
        <v>3.0</v>
      </c>
      <c r="E1228" s="93">
        <v>5.0</v>
      </c>
      <c r="F1228" s="124" t="s">
        <v>282</v>
      </c>
      <c r="G1228" s="129" t="s">
        <v>1116</v>
      </c>
      <c r="H1228" s="127" t="s">
        <v>430</v>
      </c>
      <c r="I1228" s="127">
        <v>-24.0</v>
      </c>
      <c r="J1228" s="124" t="s">
        <v>637</v>
      </c>
      <c r="K1228" s="124" t="s">
        <v>60</v>
      </c>
      <c r="L1228" s="124" t="s">
        <v>430</v>
      </c>
    </row>
    <row r="1229">
      <c r="A1229" s="165">
        <v>43765.147748449075</v>
      </c>
      <c r="B1229" s="161" t="s">
        <v>44</v>
      </c>
      <c r="C1229" s="162" t="s">
        <v>173</v>
      </c>
      <c r="D1229" s="93">
        <v>2.0</v>
      </c>
      <c r="E1229" s="93">
        <v>6.0</v>
      </c>
      <c r="F1229" s="124" t="s">
        <v>201</v>
      </c>
      <c r="G1229" s="129" t="s">
        <v>1090</v>
      </c>
      <c r="H1229" s="127" t="s">
        <v>430</v>
      </c>
      <c r="I1229" s="127">
        <v>32.0</v>
      </c>
      <c r="J1229" s="124" t="s">
        <v>546</v>
      </c>
      <c r="K1229" s="124" t="s">
        <v>27</v>
      </c>
      <c r="L1229" s="124" t="s">
        <v>430</v>
      </c>
    </row>
    <row r="1230">
      <c r="A1230" s="165">
        <v>43765.147748449075</v>
      </c>
      <c r="B1230" s="161" t="s">
        <v>44</v>
      </c>
      <c r="C1230" s="162" t="s">
        <v>104</v>
      </c>
      <c r="D1230" s="93">
        <v>3.0</v>
      </c>
      <c r="E1230" s="93">
        <v>5.0</v>
      </c>
      <c r="F1230" s="124" t="s">
        <v>269</v>
      </c>
      <c r="G1230" s="129" t="s">
        <v>1117</v>
      </c>
      <c r="H1230" s="127" t="s">
        <v>430</v>
      </c>
      <c r="I1230" s="127">
        <v>-3.0</v>
      </c>
      <c r="J1230" s="124" t="s">
        <v>412</v>
      </c>
      <c r="K1230" s="124" t="s">
        <v>64</v>
      </c>
      <c r="L1230" s="124" t="s">
        <v>430</v>
      </c>
    </row>
    <row r="1231">
      <c r="A1231" s="165">
        <v>43765.147748449075</v>
      </c>
      <c r="B1231" s="161" t="s">
        <v>44</v>
      </c>
      <c r="C1231" s="162" t="s">
        <v>61</v>
      </c>
      <c r="D1231" s="93">
        <v>4.0</v>
      </c>
      <c r="E1231" s="93">
        <v>4.0</v>
      </c>
      <c r="F1231" s="124" t="s">
        <v>285</v>
      </c>
      <c r="G1231" s="129" t="s">
        <v>1103</v>
      </c>
      <c r="H1231" s="127" t="s">
        <v>430</v>
      </c>
      <c r="I1231" s="127">
        <v>33.0</v>
      </c>
      <c r="J1231" s="124" t="s">
        <v>446</v>
      </c>
      <c r="K1231" s="124" t="s">
        <v>38</v>
      </c>
      <c r="L1231" s="124" t="s">
        <v>430</v>
      </c>
    </row>
    <row r="1232">
      <c r="A1232" s="165">
        <v>43765.147748449075</v>
      </c>
      <c r="B1232" s="161" t="s">
        <v>44</v>
      </c>
      <c r="C1232" s="162" t="s">
        <v>150</v>
      </c>
      <c r="D1232" s="93">
        <v>6.0</v>
      </c>
      <c r="E1232" s="93">
        <v>1.0</v>
      </c>
      <c r="F1232" s="124" t="s">
        <v>248</v>
      </c>
      <c r="G1232" s="129" t="s">
        <v>202</v>
      </c>
      <c r="H1232" s="127"/>
      <c r="I1232" s="127" t="s">
        <v>203</v>
      </c>
      <c r="J1232" s="124" t="s">
        <v>203</v>
      </c>
      <c r="K1232" s="124"/>
      <c r="L1232" s="124">
        <v>9999.0</v>
      </c>
    </row>
    <row r="1233">
      <c r="A1233" s="136" t="s">
        <v>359</v>
      </c>
      <c r="B1233" s="115" t="s">
        <v>2</v>
      </c>
      <c r="C1233" s="153" t="s">
        <v>227</v>
      </c>
      <c r="D1233" s="118" t="s">
        <v>29</v>
      </c>
      <c r="E1233" s="118" t="s">
        <v>34</v>
      </c>
      <c r="F1233" s="124" t="s">
        <v>261</v>
      </c>
      <c r="G1233" s="129" t="s">
        <v>245</v>
      </c>
      <c r="H1233" s="127" t="s">
        <v>228</v>
      </c>
      <c r="I1233" s="127" t="s">
        <v>229</v>
      </c>
      <c r="J1233" s="124" t="s">
        <v>262</v>
      </c>
      <c r="K1233" s="124" t="s">
        <v>263</v>
      </c>
      <c r="L1233" s="124" t="s">
        <v>264</v>
      </c>
    </row>
    <row r="1234">
      <c r="A1234" s="165">
        <v>43765.147748449075</v>
      </c>
      <c r="B1234" s="161" t="s">
        <v>48</v>
      </c>
      <c r="C1234" s="162" t="s">
        <v>33</v>
      </c>
      <c r="D1234" s="93">
        <v>3.0</v>
      </c>
      <c r="E1234" s="93">
        <v>5.0</v>
      </c>
      <c r="F1234" s="124" t="s">
        <v>201</v>
      </c>
      <c r="G1234" s="129" t="s">
        <v>1118</v>
      </c>
      <c r="H1234" s="127" t="s">
        <v>430</v>
      </c>
      <c r="I1234" s="127" t="s">
        <v>274</v>
      </c>
      <c r="J1234" s="124" t="s">
        <v>626</v>
      </c>
      <c r="K1234" s="124" t="s">
        <v>53</v>
      </c>
      <c r="L1234" s="124" t="s">
        <v>430</v>
      </c>
    </row>
    <row r="1235">
      <c r="A1235" s="165">
        <v>43765.147748449075</v>
      </c>
      <c r="B1235" s="161" t="s">
        <v>48</v>
      </c>
      <c r="C1235" s="162" t="s">
        <v>120</v>
      </c>
      <c r="D1235" s="93">
        <v>2.0</v>
      </c>
      <c r="E1235" s="93">
        <v>6.0</v>
      </c>
      <c r="F1235" s="124" t="s">
        <v>266</v>
      </c>
      <c r="G1235" s="129" t="s">
        <v>1119</v>
      </c>
      <c r="H1235" s="127" t="s">
        <v>430</v>
      </c>
      <c r="I1235" s="127">
        <v>-8.0</v>
      </c>
      <c r="J1235" s="124" t="s">
        <v>446</v>
      </c>
      <c r="K1235" s="124" t="s">
        <v>288</v>
      </c>
      <c r="L1235" s="124" t="s">
        <v>430</v>
      </c>
    </row>
    <row r="1236">
      <c r="A1236" s="165">
        <v>43765.147748449075</v>
      </c>
      <c r="B1236" s="161" t="s">
        <v>48</v>
      </c>
      <c r="C1236" s="162" t="s">
        <v>127</v>
      </c>
      <c r="D1236" s="93">
        <v>3.0</v>
      </c>
      <c r="E1236" s="93">
        <v>5.0</v>
      </c>
      <c r="F1236" s="124" t="s">
        <v>355</v>
      </c>
      <c r="G1236" s="129" t="s">
        <v>1120</v>
      </c>
      <c r="H1236" s="127" t="s">
        <v>430</v>
      </c>
      <c r="I1236" s="127">
        <v>3.0</v>
      </c>
      <c r="J1236" s="124">
        <v>59.0</v>
      </c>
      <c r="K1236" s="124" t="s">
        <v>60</v>
      </c>
      <c r="L1236" s="124" t="s">
        <v>430</v>
      </c>
    </row>
    <row r="1237">
      <c r="A1237" s="165">
        <v>43765.147748449075</v>
      </c>
      <c r="B1237" s="161" t="s">
        <v>48</v>
      </c>
      <c r="C1237" s="162" t="s">
        <v>144</v>
      </c>
      <c r="D1237" s="93">
        <v>4.0</v>
      </c>
      <c r="E1237" s="93">
        <v>4.0</v>
      </c>
      <c r="F1237" s="124" t="s">
        <v>248</v>
      </c>
      <c r="G1237" s="129" t="s">
        <v>1121</v>
      </c>
      <c r="H1237" s="127" t="s">
        <v>430</v>
      </c>
      <c r="I1237" s="127">
        <v>2.0</v>
      </c>
      <c r="J1237" s="124">
        <v>58.0</v>
      </c>
      <c r="K1237" s="124" t="s">
        <v>62</v>
      </c>
      <c r="L1237" s="124" t="s">
        <v>430</v>
      </c>
    </row>
    <row r="1238">
      <c r="A1238" s="165">
        <v>43765.147748449075</v>
      </c>
      <c r="B1238" s="161" t="s">
        <v>48</v>
      </c>
      <c r="C1238" s="162" t="s">
        <v>155</v>
      </c>
      <c r="D1238" s="93">
        <v>2.0</v>
      </c>
      <c r="E1238" s="93">
        <v>6.0</v>
      </c>
      <c r="F1238" s="124" t="s">
        <v>284</v>
      </c>
      <c r="G1238" s="129" t="s">
        <v>1122</v>
      </c>
      <c r="H1238" s="127" t="s">
        <v>430</v>
      </c>
      <c r="I1238" s="127">
        <v>10.0</v>
      </c>
      <c r="J1238" s="124">
        <v>70.0</v>
      </c>
      <c r="K1238" s="124" t="s">
        <v>62</v>
      </c>
      <c r="L1238" s="124" t="s">
        <v>430</v>
      </c>
    </row>
    <row r="1239">
      <c r="A1239" s="165">
        <v>43765.147748449075</v>
      </c>
      <c r="B1239" s="161" t="s">
        <v>48</v>
      </c>
      <c r="C1239" s="162" t="s">
        <v>90</v>
      </c>
      <c r="D1239" s="93">
        <v>4.0</v>
      </c>
      <c r="E1239" s="93">
        <v>4.0</v>
      </c>
      <c r="F1239" s="124" t="s">
        <v>265</v>
      </c>
      <c r="G1239" s="129" t="s">
        <v>1123</v>
      </c>
      <c r="H1239" s="127" t="s">
        <v>430</v>
      </c>
      <c r="I1239" s="127" t="s">
        <v>379</v>
      </c>
      <c r="J1239" s="124">
        <v>55.0</v>
      </c>
      <c r="K1239" s="124" t="s">
        <v>58</v>
      </c>
      <c r="L1239" s="124" t="s">
        <v>430</v>
      </c>
    </row>
    <row r="1240">
      <c r="A1240" s="165">
        <v>43765.147748449075</v>
      </c>
      <c r="B1240" s="161" t="s">
        <v>48</v>
      </c>
      <c r="C1240" s="162" t="s">
        <v>187</v>
      </c>
      <c r="D1240" s="93">
        <v>2.0</v>
      </c>
      <c r="E1240" s="93">
        <v>2.0</v>
      </c>
      <c r="F1240" s="124" t="s">
        <v>267</v>
      </c>
      <c r="G1240" s="129" t="s">
        <v>1124</v>
      </c>
      <c r="H1240" s="127" t="s">
        <v>430</v>
      </c>
      <c r="I1240" s="127">
        <v>-11.0</v>
      </c>
      <c r="J1240" s="124" t="s">
        <v>446</v>
      </c>
      <c r="K1240" s="124" t="s">
        <v>69</v>
      </c>
      <c r="L1240" s="124" t="s">
        <v>430</v>
      </c>
    </row>
    <row r="1241">
      <c r="A1241" s="165">
        <v>43765.147748449075</v>
      </c>
      <c r="B1241" s="161" t="s">
        <v>48</v>
      </c>
      <c r="C1241" s="162" t="s">
        <v>162</v>
      </c>
      <c r="D1241" s="93">
        <v>5.0</v>
      </c>
      <c r="E1241" s="93">
        <v>3.0</v>
      </c>
      <c r="F1241" s="124" t="s">
        <v>273</v>
      </c>
      <c r="G1241" s="129" t="s">
        <v>1110</v>
      </c>
      <c r="H1241" s="127" t="s">
        <v>430</v>
      </c>
      <c r="I1241" s="127">
        <v>-4.0</v>
      </c>
      <c r="J1241" s="124" t="s">
        <v>546</v>
      </c>
      <c r="K1241" s="124" t="s">
        <v>41</v>
      </c>
      <c r="L1241" s="124" t="s">
        <v>430</v>
      </c>
    </row>
    <row r="1242">
      <c r="A1242" s="165">
        <v>43765.147748449075</v>
      </c>
      <c r="B1242" s="161" t="s">
        <v>48</v>
      </c>
      <c r="C1242" s="162" t="s">
        <v>105</v>
      </c>
      <c r="D1242" s="93">
        <v>3.0</v>
      </c>
      <c r="E1242" s="93">
        <v>4.0</v>
      </c>
      <c r="F1242" s="124" t="s">
        <v>248</v>
      </c>
      <c r="G1242" s="129" t="s">
        <v>202</v>
      </c>
      <c r="H1242" s="127"/>
      <c r="I1242" s="127" t="s">
        <v>203</v>
      </c>
      <c r="J1242" s="124" t="s">
        <v>203</v>
      </c>
      <c r="K1242" s="124"/>
      <c r="L1242" s="124">
        <v>9999.0</v>
      </c>
    </row>
    <row r="1243">
      <c r="A1243" s="165">
        <v>43765.147748449075</v>
      </c>
      <c r="B1243" s="161" t="s">
        <v>48</v>
      </c>
      <c r="C1243" s="162" t="s">
        <v>176</v>
      </c>
      <c r="D1243" s="93">
        <v>6.0</v>
      </c>
      <c r="E1243" s="93">
        <v>1.0</v>
      </c>
      <c r="F1243" s="124" t="s">
        <v>248</v>
      </c>
      <c r="G1243" s="129" t="s">
        <v>202</v>
      </c>
      <c r="H1243" s="127"/>
      <c r="I1243" s="127" t="s">
        <v>203</v>
      </c>
      <c r="J1243" s="124" t="s">
        <v>203</v>
      </c>
      <c r="K1243" s="124"/>
      <c r="L1243" s="124">
        <v>9999.0</v>
      </c>
    </row>
    <row r="1244">
      <c r="A1244" s="136" t="s">
        <v>359</v>
      </c>
      <c r="B1244" s="115" t="s">
        <v>2</v>
      </c>
      <c r="C1244" s="153" t="s">
        <v>227</v>
      </c>
      <c r="D1244" s="118" t="s">
        <v>29</v>
      </c>
      <c r="E1244" s="118" t="s">
        <v>34</v>
      </c>
      <c r="F1244" s="124" t="s">
        <v>261</v>
      </c>
      <c r="G1244" s="129" t="s">
        <v>245</v>
      </c>
      <c r="H1244" s="127" t="s">
        <v>228</v>
      </c>
      <c r="I1244" s="127" t="s">
        <v>229</v>
      </c>
      <c r="J1244" s="124" t="s">
        <v>262</v>
      </c>
      <c r="K1244" s="124" t="s">
        <v>263</v>
      </c>
      <c r="L1244" s="124" t="s">
        <v>264</v>
      </c>
    </row>
    <row r="1245">
      <c r="A1245" s="165">
        <v>43765.147748449075</v>
      </c>
      <c r="B1245" s="161" t="s">
        <v>53</v>
      </c>
      <c r="C1245" s="162" t="s">
        <v>42</v>
      </c>
      <c r="D1245" s="93">
        <v>8.0</v>
      </c>
      <c r="E1245" s="93">
        <v>0.0</v>
      </c>
      <c r="F1245" s="124" t="s">
        <v>201</v>
      </c>
      <c r="G1245" s="129" t="s">
        <v>1118</v>
      </c>
      <c r="H1245" s="127" t="s">
        <v>430</v>
      </c>
      <c r="I1245" s="127" t="s">
        <v>226</v>
      </c>
      <c r="J1245" s="124" t="s">
        <v>626</v>
      </c>
      <c r="K1245" s="124" t="s">
        <v>48</v>
      </c>
      <c r="L1245" s="124" t="s">
        <v>430</v>
      </c>
    </row>
    <row r="1246">
      <c r="A1246" s="165">
        <v>43765.147748449075</v>
      </c>
      <c r="B1246" s="161" t="s">
        <v>53</v>
      </c>
      <c r="C1246" s="162" t="s">
        <v>164</v>
      </c>
      <c r="D1246" s="93">
        <v>3.0</v>
      </c>
      <c r="E1246" s="93">
        <v>5.0</v>
      </c>
      <c r="F1246" s="124" t="s">
        <v>215</v>
      </c>
      <c r="G1246" s="129" t="s">
        <v>1125</v>
      </c>
      <c r="H1246" s="127" t="s">
        <v>430</v>
      </c>
      <c r="I1246" s="127">
        <v>13.0</v>
      </c>
      <c r="J1246" s="124" t="s">
        <v>412</v>
      </c>
      <c r="K1246" s="124" t="s">
        <v>64</v>
      </c>
      <c r="L1246" s="124" t="s">
        <v>430</v>
      </c>
    </row>
    <row r="1247">
      <c r="A1247" s="165">
        <v>43765.147748449075</v>
      </c>
      <c r="B1247" s="161" t="s">
        <v>53</v>
      </c>
      <c r="C1247" s="162" t="s">
        <v>100</v>
      </c>
      <c r="D1247" s="93">
        <v>7.0</v>
      </c>
      <c r="E1247" s="93">
        <v>1.0</v>
      </c>
      <c r="F1247" s="124" t="s">
        <v>207</v>
      </c>
      <c r="G1247" s="129" t="s">
        <v>1126</v>
      </c>
      <c r="H1247" s="127" t="s">
        <v>430</v>
      </c>
      <c r="I1247" s="127" t="s">
        <v>506</v>
      </c>
      <c r="J1247" s="124" t="s">
        <v>276</v>
      </c>
      <c r="K1247" s="124" t="s">
        <v>74</v>
      </c>
      <c r="L1247" s="124" t="s">
        <v>430</v>
      </c>
    </row>
    <row r="1248">
      <c r="A1248" s="165">
        <v>43765.147748449075</v>
      </c>
      <c r="B1248" s="161" t="s">
        <v>53</v>
      </c>
      <c r="C1248" s="162" t="s">
        <v>157</v>
      </c>
      <c r="D1248" s="93">
        <v>4.0</v>
      </c>
      <c r="E1248" s="93">
        <v>4.0</v>
      </c>
      <c r="F1248" s="124" t="s">
        <v>248</v>
      </c>
      <c r="G1248" s="129" t="s">
        <v>1127</v>
      </c>
      <c r="H1248" s="127" t="s">
        <v>430</v>
      </c>
      <c r="I1248" s="127" t="s">
        <v>272</v>
      </c>
      <c r="J1248" s="124" t="s">
        <v>507</v>
      </c>
      <c r="K1248" s="124" t="s">
        <v>64</v>
      </c>
      <c r="L1248" s="124" t="s">
        <v>430</v>
      </c>
    </row>
    <row r="1249">
      <c r="A1249" s="165">
        <v>43765.147748449075</v>
      </c>
      <c r="B1249" s="161" t="s">
        <v>53</v>
      </c>
      <c r="C1249" s="162" t="s">
        <v>179</v>
      </c>
      <c r="D1249" s="93">
        <v>3.0</v>
      </c>
      <c r="E1249" s="93">
        <v>5.0</v>
      </c>
      <c r="F1249" s="124" t="s">
        <v>287</v>
      </c>
      <c r="G1249" s="129" t="s">
        <v>1128</v>
      </c>
      <c r="H1249" s="127" t="s">
        <v>430</v>
      </c>
      <c r="I1249" s="127" t="s">
        <v>492</v>
      </c>
      <c r="J1249" s="124">
        <v>51.0</v>
      </c>
      <c r="K1249" s="124" t="s">
        <v>62</v>
      </c>
      <c r="L1249" s="124" t="s">
        <v>430</v>
      </c>
    </row>
    <row r="1250">
      <c r="A1250" s="165">
        <v>43765.147748449075</v>
      </c>
      <c r="B1250" s="161" t="s">
        <v>53</v>
      </c>
      <c r="C1250" s="162" t="s">
        <v>148</v>
      </c>
      <c r="D1250" s="93">
        <v>5.0</v>
      </c>
      <c r="E1250" s="93">
        <v>4.0</v>
      </c>
      <c r="F1250" s="124" t="s">
        <v>282</v>
      </c>
      <c r="G1250" s="129" t="s">
        <v>1096</v>
      </c>
      <c r="H1250" s="127" t="s">
        <v>430</v>
      </c>
      <c r="I1250" s="127" t="s">
        <v>521</v>
      </c>
      <c r="J1250" s="124">
        <v>63.0</v>
      </c>
      <c r="K1250" s="124" t="s">
        <v>38</v>
      </c>
      <c r="L1250" s="124" t="s">
        <v>430</v>
      </c>
    </row>
    <row r="1251">
      <c r="A1251" s="165">
        <v>43765.147748449075</v>
      </c>
      <c r="B1251" s="161" t="s">
        <v>53</v>
      </c>
      <c r="C1251" s="162" t="s">
        <v>119</v>
      </c>
      <c r="D1251" s="93">
        <v>8.0</v>
      </c>
      <c r="E1251" s="93">
        <v>0.0</v>
      </c>
      <c r="F1251" s="124" t="s">
        <v>207</v>
      </c>
      <c r="G1251" s="129" t="s">
        <v>1099</v>
      </c>
      <c r="H1251" s="127" t="s">
        <v>430</v>
      </c>
      <c r="I1251" s="127">
        <v>-6.0</v>
      </c>
      <c r="J1251" s="124" t="s">
        <v>608</v>
      </c>
      <c r="K1251" s="124" t="s">
        <v>38</v>
      </c>
      <c r="L1251" s="124" t="s">
        <v>430</v>
      </c>
    </row>
    <row r="1252">
      <c r="A1252" s="165">
        <v>43765.147748449075</v>
      </c>
      <c r="B1252" s="161" t="s">
        <v>53</v>
      </c>
      <c r="C1252" s="162" t="s">
        <v>93</v>
      </c>
      <c r="D1252" s="93">
        <v>5.0</v>
      </c>
      <c r="E1252" s="93">
        <v>3.0</v>
      </c>
      <c r="F1252" s="124" t="s">
        <v>285</v>
      </c>
      <c r="G1252" s="129" t="s">
        <v>1129</v>
      </c>
      <c r="H1252" s="127" t="s">
        <v>430</v>
      </c>
      <c r="I1252" s="127">
        <v>-3.0</v>
      </c>
      <c r="J1252" s="124" t="s">
        <v>546</v>
      </c>
      <c r="K1252" s="124" t="s">
        <v>288</v>
      </c>
      <c r="L1252" s="124" t="s">
        <v>430</v>
      </c>
    </row>
    <row r="1253">
      <c r="A1253" s="165">
        <v>43765.147748449075</v>
      </c>
      <c r="B1253" s="161" t="s">
        <v>53</v>
      </c>
      <c r="C1253" s="162" t="s">
        <v>191</v>
      </c>
      <c r="D1253" s="93">
        <v>3.0</v>
      </c>
      <c r="E1253" s="93">
        <v>4.0</v>
      </c>
      <c r="F1253" s="124" t="s">
        <v>248</v>
      </c>
      <c r="G1253" s="129" t="s">
        <v>202</v>
      </c>
      <c r="H1253" s="127"/>
      <c r="I1253" s="127" t="s">
        <v>203</v>
      </c>
      <c r="J1253" s="124" t="s">
        <v>203</v>
      </c>
      <c r="K1253" s="124"/>
      <c r="L1253" s="124">
        <v>9999.0</v>
      </c>
    </row>
    <row r="1254">
      <c r="A1254" s="165">
        <v>43765.147748449075</v>
      </c>
      <c r="B1254" s="161" t="s">
        <v>53</v>
      </c>
      <c r="C1254" s="162" t="s">
        <v>136</v>
      </c>
      <c r="D1254" s="93">
        <v>6.0</v>
      </c>
      <c r="E1254" s="93">
        <v>1.0</v>
      </c>
      <c r="F1254" s="124" t="s">
        <v>248</v>
      </c>
      <c r="G1254" s="129" t="s">
        <v>202</v>
      </c>
      <c r="H1254" s="127"/>
      <c r="I1254" s="127" t="s">
        <v>203</v>
      </c>
      <c r="J1254" s="124" t="s">
        <v>203</v>
      </c>
      <c r="K1254" s="124"/>
      <c r="L1254" s="124">
        <v>9999.0</v>
      </c>
    </row>
    <row r="1255">
      <c r="A1255" s="136" t="s">
        <v>359</v>
      </c>
      <c r="B1255" s="115" t="s">
        <v>2</v>
      </c>
      <c r="C1255" s="153" t="s">
        <v>227</v>
      </c>
      <c r="D1255" s="118" t="s">
        <v>29</v>
      </c>
      <c r="E1255" s="118" t="s">
        <v>34</v>
      </c>
      <c r="F1255" s="124" t="s">
        <v>261</v>
      </c>
      <c r="G1255" s="129" t="s">
        <v>245</v>
      </c>
      <c r="H1255" s="127" t="s">
        <v>228</v>
      </c>
      <c r="I1255" s="127" t="s">
        <v>229</v>
      </c>
      <c r="J1255" s="124" t="s">
        <v>262</v>
      </c>
      <c r="K1255" s="124" t="s">
        <v>263</v>
      </c>
      <c r="L1255" s="124" t="s">
        <v>264</v>
      </c>
    </row>
    <row r="1256">
      <c r="A1256" s="165">
        <v>43765.147748449075</v>
      </c>
      <c r="B1256" s="161" t="s">
        <v>58</v>
      </c>
      <c r="C1256" s="162" t="s">
        <v>110</v>
      </c>
      <c r="D1256" s="93">
        <v>6.0</v>
      </c>
      <c r="E1256" s="93">
        <v>2.0</v>
      </c>
      <c r="F1256" s="124" t="s">
        <v>215</v>
      </c>
      <c r="G1256" s="129" t="s">
        <v>1130</v>
      </c>
      <c r="H1256" s="127" t="s">
        <v>430</v>
      </c>
      <c r="I1256" s="127" t="s">
        <v>431</v>
      </c>
      <c r="J1256" s="124" t="s">
        <v>1131</v>
      </c>
      <c r="K1256" s="124" t="s">
        <v>60</v>
      </c>
      <c r="L1256" s="124" t="s">
        <v>430</v>
      </c>
    </row>
    <row r="1257">
      <c r="A1257" s="165">
        <v>43765.147748449075</v>
      </c>
      <c r="B1257" s="161" t="s">
        <v>58</v>
      </c>
      <c r="C1257" s="162" t="s">
        <v>186</v>
      </c>
      <c r="D1257" s="93">
        <v>7.0</v>
      </c>
      <c r="E1257" s="93">
        <v>0.0</v>
      </c>
      <c r="F1257" s="124" t="s">
        <v>242</v>
      </c>
      <c r="G1257" s="129" t="s">
        <v>1132</v>
      </c>
      <c r="H1257" s="127" t="s">
        <v>430</v>
      </c>
      <c r="I1257" s="127" t="s">
        <v>470</v>
      </c>
      <c r="J1257" s="124">
        <v>53.0</v>
      </c>
      <c r="K1257" s="124" t="s">
        <v>62</v>
      </c>
      <c r="L1257" s="124" t="s">
        <v>430</v>
      </c>
    </row>
    <row r="1258">
      <c r="A1258" s="165">
        <v>43765.147748449075</v>
      </c>
      <c r="B1258" s="161" t="s">
        <v>58</v>
      </c>
      <c r="C1258" s="162" t="s">
        <v>135</v>
      </c>
      <c r="D1258" s="93">
        <v>5.0</v>
      </c>
      <c r="E1258" s="93">
        <v>3.0</v>
      </c>
      <c r="F1258" s="124" t="s">
        <v>284</v>
      </c>
      <c r="G1258" s="129" t="s">
        <v>1107</v>
      </c>
      <c r="H1258" s="127" t="s">
        <v>430</v>
      </c>
      <c r="I1258" s="127">
        <v>6.0</v>
      </c>
      <c r="J1258" s="124">
        <v>45.0</v>
      </c>
      <c r="K1258" s="124" t="s">
        <v>41</v>
      </c>
      <c r="L1258" s="124" t="s">
        <v>430</v>
      </c>
    </row>
    <row r="1259">
      <c r="A1259" s="165">
        <v>43765.147748449075</v>
      </c>
      <c r="B1259" s="161" t="s">
        <v>58</v>
      </c>
      <c r="C1259" s="162" t="s">
        <v>140</v>
      </c>
      <c r="D1259" s="93">
        <v>4.0</v>
      </c>
      <c r="E1259" s="93">
        <v>4.0</v>
      </c>
      <c r="F1259" s="124" t="s">
        <v>267</v>
      </c>
      <c r="G1259" s="129" t="s">
        <v>1133</v>
      </c>
      <c r="H1259" s="127" t="s">
        <v>430</v>
      </c>
      <c r="I1259" s="127" t="s">
        <v>451</v>
      </c>
      <c r="J1259" s="124">
        <v>49.0</v>
      </c>
      <c r="K1259" s="124" t="s">
        <v>74</v>
      </c>
      <c r="L1259" s="124" t="s">
        <v>430</v>
      </c>
    </row>
    <row r="1260">
      <c r="A1260" s="165">
        <v>43765.147748449075</v>
      </c>
      <c r="B1260" s="161" t="s">
        <v>58</v>
      </c>
      <c r="C1260" s="162" t="s">
        <v>45</v>
      </c>
      <c r="D1260" s="93">
        <v>4.0</v>
      </c>
      <c r="E1260" s="93">
        <v>4.0</v>
      </c>
      <c r="F1260" s="124" t="s">
        <v>242</v>
      </c>
      <c r="G1260" s="129" t="s">
        <v>1102</v>
      </c>
      <c r="H1260" s="127" t="s">
        <v>430</v>
      </c>
      <c r="I1260" s="127">
        <v>-2.0</v>
      </c>
      <c r="J1260" s="124">
        <v>51.0</v>
      </c>
      <c r="K1260" s="124" t="s">
        <v>38</v>
      </c>
      <c r="L1260" s="124" t="s">
        <v>430</v>
      </c>
    </row>
    <row r="1261">
      <c r="A1261" s="165">
        <v>43765.147748449075</v>
      </c>
      <c r="B1261" s="161" t="s">
        <v>58</v>
      </c>
      <c r="C1261" s="162" t="s">
        <v>72</v>
      </c>
      <c r="D1261" s="93">
        <v>4.0</v>
      </c>
      <c r="E1261" s="93">
        <v>4.0</v>
      </c>
      <c r="F1261" s="124" t="s">
        <v>265</v>
      </c>
      <c r="G1261" s="129" t="s">
        <v>1123</v>
      </c>
      <c r="H1261" s="127" t="s">
        <v>430</v>
      </c>
      <c r="I1261" s="127" t="s">
        <v>418</v>
      </c>
      <c r="J1261" s="124">
        <v>55.0</v>
      </c>
      <c r="K1261" s="124" t="s">
        <v>48</v>
      </c>
      <c r="L1261" s="124" t="s">
        <v>430</v>
      </c>
    </row>
    <row r="1262">
      <c r="A1262" s="165">
        <v>43765.147748449075</v>
      </c>
      <c r="B1262" s="161" t="s">
        <v>58</v>
      </c>
      <c r="C1262" s="162" t="s">
        <v>183</v>
      </c>
      <c r="D1262" s="93">
        <v>3.0</v>
      </c>
      <c r="E1262" s="93">
        <v>5.0</v>
      </c>
      <c r="F1262" s="124" t="s">
        <v>287</v>
      </c>
      <c r="G1262" s="129" t="s">
        <v>1134</v>
      </c>
      <c r="H1262" s="127" t="s">
        <v>430</v>
      </c>
      <c r="I1262" s="127">
        <v>4.0</v>
      </c>
      <c r="J1262" s="124" t="s">
        <v>283</v>
      </c>
      <c r="K1262" s="124" t="s">
        <v>69</v>
      </c>
      <c r="L1262" s="124" t="s">
        <v>430</v>
      </c>
    </row>
    <row r="1263">
      <c r="A1263" s="165">
        <v>43765.147748449075</v>
      </c>
      <c r="B1263" s="161" t="s">
        <v>58</v>
      </c>
      <c r="C1263" s="162" t="s">
        <v>165</v>
      </c>
      <c r="D1263" s="93">
        <v>7.0</v>
      </c>
      <c r="E1263" s="93">
        <v>1.0</v>
      </c>
      <c r="F1263" s="124" t="s">
        <v>201</v>
      </c>
      <c r="G1263" s="129" t="s">
        <v>1104</v>
      </c>
      <c r="H1263" s="127" t="s">
        <v>430</v>
      </c>
      <c r="I1263" s="127">
        <v>-14.0</v>
      </c>
      <c r="J1263" s="124">
        <v>64.0</v>
      </c>
      <c r="K1263" s="124" t="s">
        <v>38</v>
      </c>
      <c r="L1263" s="124" t="s">
        <v>430</v>
      </c>
    </row>
    <row r="1264">
      <c r="A1264" s="165">
        <v>43765.147748449075</v>
      </c>
      <c r="B1264" s="161" t="s">
        <v>58</v>
      </c>
      <c r="C1264" s="162" t="s">
        <v>158</v>
      </c>
      <c r="D1264" s="93">
        <v>2.0</v>
      </c>
      <c r="E1264" s="93">
        <v>6.0</v>
      </c>
      <c r="F1264" s="124" t="s">
        <v>260</v>
      </c>
      <c r="G1264" s="129" t="s">
        <v>1105</v>
      </c>
      <c r="H1264" s="127" t="s">
        <v>430</v>
      </c>
      <c r="I1264" s="127" t="s">
        <v>274</v>
      </c>
      <c r="J1264" s="124" t="s">
        <v>283</v>
      </c>
      <c r="K1264" s="124" t="s">
        <v>38</v>
      </c>
      <c r="L1264" s="124" t="s">
        <v>430</v>
      </c>
    </row>
    <row r="1265">
      <c r="A1265" s="165">
        <v>43765.147748449075</v>
      </c>
      <c r="B1265" s="161" t="s">
        <v>58</v>
      </c>
      <c r="C1265" s="162" t="s">
        <v>96</v>
      </c>
      <c r="D1265" s="93">
        <v>7.0</v>
      </c>
      <c r="E1265" s="93">
        <v>0.0</v>
      </c>
      <c r="F1265" s="124" t="s">
        <v>248</v>
      </c>
      <c r="G1265" s="129" t="s">
        <v>202</v>
      </c>
      <c r="H1265" s="127"/>
      <c r="I1265" s="127" t="s">
        <v>203</v>
      </c>
      <c r="J1265" s="124" t="s">
        <v>203</v>
      </c>
      <c r="K1265" s="124"/>
      <c r="L1265" s="124">
        <v>9999.0</v>
      </c>
    </row>
    <row r="1266">
      <c r="A1266" s="136" t="s">
        <v>359</v>
      </c>
      <c r="B1266" s="115" t="s">
        <v>2</v>
      </c>
      <c r="C1266" s="153" t="s">
        <v>227</v>
      </c>
      <c r="D1266" s="118" t="s">
        <v>29</v>
      </c>
      <c r="E1266" s="118" t="s">
        <v>34</v>
      </c>
      <c r="F1266" s="124" t="s">
        <v>261</v>
      </c>
      <c r="G1266" s="129" t="s">
        <v>245</v>
      </c>
      <c r="H1266" s="127" t="s">
        <v>228</v>
      </c>
      <c r="I1266" s="127" t="s">
        <v>229</v>
      </c>
      <c r="J1266" s="124" t="s">
        <v>262</v>
      </c>
      <c r="K1266" s="124" t="s">
        <v>263</v>
      </c>
      <c r="L1266" s="124" t="s">
        <v>264</v>
      </c>
    </row>
    <row r="1267">
      <c r="A1267" s="165">
        <v>43765.147748449075</v>
      </c>
      <c r="B1267" s="161" t="s">
        <v>60</v>
      </c>
      <c r="C1267" s="162" t="s">
        <v>117</v>
      </c>
      <c r="D1267" s="93">
        <v>1.0</v>
      </c>
      <c r="E1267" s="93">
        <v>6.0</v>
      </c>
      <c r="F1267" s="124" t="s">
        <v>215</v>
      </c>
      <c r="G1267" s="129" t="s">
        <v>1130</v>
      </c>
      <c r="H1267" s="127" t="s">
        <v>430</v>
      </c>
      <c r="I1267" s="127" t="s">
        <v>492</v>
      </c>
      <c r="J1267" s="124" t="s">
        <v>1131</v>
      </c>
      <c r="K1267" s="124" t="s">
        <v>58</v>
      </c>
      <c r="L1267" s="124" t="s">
        <v>430</v>
      </c>
    </row>
    <row r="1268">
      <c r="A1268" s="165">
        <v>43765.147748449075</v>
      </c>
      <c r="B1268" s="161" t="s">
        <v>60</v>
      </c>
      <c r="C1268" s="162" t="s">
        <v>103</v>
      </c>
      <c r="D1268" s="93">
        <v>5.0</v>
      </c>
      <c r="E1268" s="93">
        <v>3.0</v>
      </c>
      <c r="F1268" s="124" t="s">
        <v>278</v>
      </c>
      <c r="G1268" s="129" t="s">
        <v>1135</v>
      </c>
      <c r="H1268" s="127" t="s">
        <v>430</v>
      </c>
      <c r="I1268" s="127" t="s">
        <v>694</v>
      </c>
      <c r="J1268" s="124">
        <v>61.0</v>
      </c>
      <c r="K1268" s="124" t="s">
        <v>62</v>
      </c>
      <c r="L1268" s="124" t="s">
        <v>430</v>
      </c>
    </row>
    <row r="1269">
      <c r="A1269" s="165">
        <v>43765.147748449075</v>
      </c>
      <c r="B1269" s="161" t="s">
        <v>60</v>
      </c>
      <c r="C1269" s="162" t="s">
        <v>123</v>
      </c>
      <c r="D1269" s="93">
        <v>4.0</v>
      </c>
      <c r="E1269" s="93">
        <v>4.0</v>
      </c>
      <c r="F1269" s="124" t="s">
        <v>248</v>
      </c>
      <c r="G1269" s="129" t="s">
        <v>1120</v>
      </c>
      <c r="H1269" s="127" t="s">
        <v>430</v>
      </c>
      <c r="I1269" s="127">
        <v>-3.0</v>
      </c>
      <c r="J1269" s="124">
        <v>59.0</v>
      </c>
      <c r="K1269" s="124" t="s">
        <v>48</v>
      </c>
      <c r="L1269" s="124" t="s">
        <v>430</v>
      </c>
    </row>
    <row r="1270">
      <c r="A1270" s="165">
        <v>43765.147748449075</v>
      </c>
      <c r="B1270" s="161" t="s">
        <v>60</v>
      </c>
      <c r="C1270" s="162" t="s">
        <v>137</v>
      </c>
      <c r="D1270" s="93">
        <v>0.0</v>
      </c>
      <c r="E1270" s="93">
        <v>8.0</v>
      </c>
      <c r="F1270" s="124" t="s">
        <v>282</v>
      </c>
      <c r="G1270" s="129" t="s">
        <v>1116</v>
      </c>
      <c r="H1270" s="127" t="s">
        <v>430</v>
      </c>
      <c r="I1270" s="127">
        <v>24.0</v>
      </c>
      <c r="J1270" s="124" t="s">
        <v>637</v>
      </c>
      <c r="K1270" s="124" t="s">
        <v>44</v>
      </c>
      <c r="L1270" s="124" t="s">
        <v>430</v>
      </c>
    </row>
    <row r="1271">
      <c r="A1271" s="165">
        <v>43765.147748449075</v>
      </c>
      <c r="B1271" s="161" t="s">
        <v>60</v>
      </c>
      <c r="C1271" s="162" t="s">
        <v>59</v>
      </c>
      <c r="D1271" s="93">
        <v>6.0</v>
      </c>
      <c r="E1271" s="93">
        <v>2.0</v>
      </c>
      <c r="F1271" s="124" t="s">
        <v>215</v>
      </c>
      <c r="G1271" s="129" t="s">
        <v>1136</v>
      </c>
      <c r="H1271" s="127" t="s">
        <v>430</v>
      </c>
      <c r="I1271" s="127">
        <v>-10.0</v>
      </c>
      <c r="J1271" s="124">
        <v>61.0</v>
      </c>
      <c r="K1271" s="124" t="s">
        <v>64</v>
      </c>
      <c r="L1271" s="124" t="s">
        <v>430</v>
      </c>
    </row>
    <row r="1272">
      <c r="A1272" s="165">
        <v>43765.147748449075</v>
      </c>
      <c r="B1272" s="161" t="s">
        <v>60</v>
      </c>
      <c r="C1272" s="162" t="s">
        <v>189</v>
      </c>
      <c r="D1272" s="93">
        <v>6.0</v>
      </c>
      <c r="E1272" s="93">
        <v>2.0</v>
      </c>
      <c r="F1272" s="124" t="s">
        <v>267</v>
      </c>
      <c r="G1272" s="129" t="s">
        <v>1137</v>
      </c>
      <c r="H1272" s="127" t="s">
        <v>430</v>
      </c>
      <c r="I1272" s="127">
        <v>-1.0</v>
      </c>
      <c r="J1272" s="124">
        <v>66.0</v>
      </c>
      <c r="K1272" s="124" t="s">
        <v>74</v>
      </c>
      <c r="L1272" s="124" t="s">
        <v>430</v>
      </c>
    </row>
    <row r="1273">
      <c r="A1273" s="165">
        <v>43765.147748449075</v>
      </c>
      <c r="B1273" s="161" t="s">
        <v>60</v>
      </c>
      <c r="C1273" s="162" t="s">
        <v>149</v>
      </c>
      <c r="D1273" s="93">
        <v>6.0</v>
      </c>
      <c r="E1273" s="93">
        <v>2.0</v>
      </c>
      <c r="F1273" s="124" t="s">
        <v>215</v>
      </c>
      <c r="G1273" s="129" t="s">
        <v>1112</v>
      </c>
      <c r="H1273" s="127" t="s">
        <v>430</v>
      </c>
      <c r="I1273" s="127" t="s">
        <v>379</v>
      </c>
      <c r="J1273" s="124">
        <v>59.0</v>
      </c>
      <c r="K1273" s="124" t="s">
        <v>41</v>
      </c>
      <c r="L1273" s="124" t="s">
        <v>430</v>
      </c>
    </row>
    <row r="1274">
      <c r="A1274" s="165">
        <v>43765.147748449075</v>
      </c>
      <c r="B1274" s="161" t="s">
        <v>60</v>
      </c>
      <c r="C1274" s="162" t="s">
        <v>175</v>
      </c>
      <c r="D1274" s="93">
        <v>7.0</v>
      </c>
      <c r="E1274" s="93">
        <v>1.0</v>
      </c>
      <c r="F1274" s="124" t="s">
        <v>248</v>
      </c>
      <c r="G1274" s="129" t="s">
        <v>202</v>
      </c>
      <c r="H1274" s="127"/>
      <c r="I1274" s="127" t="s">
        <v>203</v>
      </c>
      <c r="J1274" s="124" t="s">
        <v>203</v>
      </c>
      <c r="K1274" s="124"/>
      <c r="L1274" s="124">
        <v>9999.0</v>
      </c>
    </row>
    <row r="1275">
      <c r="A1275" s="165">
        <v>43765.147748449075</v>
      </c>
      <c r="B1275" s="161" t="s">
        <v>60</v>
      </c>
      <c r="C1275" s="162" t="s">
        <v>166</v>
      </c>
      <c r="D1275" s="93">
        <v>3.0</v>
      </c>
      <c r="E1275" s="93">
        <v>4.0</v>
      </c>
      <c r="F1275" s="124" t="s">
        <v>248</v>
      </c>
      <c r="G1275" s="129" t="s">
        <v>202</v>
      </c>
      <c r="H1275" s="127"/>
      <c r="I1275" s="127" t="s">
        <v>203</v>
      </c>
      <c r="J1275" s="124" t="s">
        <v>203</v>
      </c>
      <c r="K1275" s="124"/>
      <c r="L1275" s="124">
        <v>9999.0</v>
      </c>
    </row>
    <row r="1276">
      <c r="A1276" s="165">
        <v>43765.147748449075</v>
      </c>
      <c r="B1276" s="161" t="s">
        <v>60</v>
      </c>
      <c r="C1276" s="162" t="s">
        <v>95</v>
      </c>
      <c r="D1276" s="93">
        <v>6.0</v>
      </c>
      <c r="E1276" s="93">
        <v>1.0</v>
      </c>
      <c r="F1276" s="124" t="s">
        <v>248</v>
      </c>
      <c r="G1276" s="129" t="s">
        <v>202</v>
      </c>
      <c r="H1276" s="127"/>
      <c r="I1276" s="127" t="s">
        <v>203</v>
      </c>
      <c r="J1276" s="124" t="s">
        <v>203</v>
      </c>
      <c r="K1276" s="124"/>
      <c r="L1276" s="124">
        <v>9999.0</v>
      </c>
    </row>
    <row r="1277">
      <c r="A1277" s="136" t="s">
        <v>359</v>
      </c>
      <c r="B1277" s="115" t="s">
        <v>2</v>
      </c>
      <c r="C1277" s="153" t="s">
        <v>227</v>
      </c>
      <c r="D1277" s="118" t="s">
        <v>29</v>
      </c>
      <c r="E1277" s="118" t="s">
        <v>34</v>
      </c>
      <c r="F1277" s="124" t="s">
        <v>261</v>
      </c>
      <c r="G1277" s="129" t="s">
        <v>245</v>
      </c>
      <c r="H1277" s="127" t="s">
        <v>228</v>
      </c>
      <c r="I1277" s="127" t="s">
        <v>229</v>
      </c>
      <c r="J1277" s="124" t="s">
        <v>262</v>
      </c>
      <c r="K1277" s="124" t="s">
        <v>263</v>
      </c>
      <c r="L1277" s="124" t="s">
        <v>264</v>
      </c>
    </row>
    <row r="1278">
      <c r="A1278" s="165">
        <v>43765.147748449075</v>
      </c>
      <c r="B1278" s="161" t="s">
        <v>62</v>
      </c>
      <c r="C1278" s="162" t="s">
        <v>192</v>
      </c>
      <c r="D1278" s="93">
        <v>1.0</v>
      </c>
      <c r="E1278" s="93">
        <v>7.0</v>
      </c>
      <c r="F1278" s="124" t="s">
        <v>242</v>
      </c>
      <c r="G1278" s="129" t="s">
        <v>1132</v>
      </c>
      <c r="H1278" s="127" t="s">
        <v>430</v>
      </c>
      <c r="I1278" s="127" t="s">
        <v>459</v>
      </c>
      <c r="J1278" s="124">
        <v>53.0</v>
      </c>
      <c r="K1278" s="124" t="s">
        <v>58</v>
      </c>
      <c r="L1278" s="124" t="s">
        <v>430</v>
      </c>
    </row>
    <row r="1279">
      <c r="A1279" s="165">
        <v>43765.147748449075</v>
      </c>
      <c r="B1279" s="161" t="s">
        <v>62</v>
      </c>
      <c r="C1279" s="162" t="s">
        <v>184</v>
      </c>
      <c r="D1279" s="93">
        <v>5.0</v>
      </c>
      <c r="E1279" s="93">
        <v>3.0</v>
      </c>
      <c r="F1279" s="124" t="s">
        <v>287</v>
      </c>
      <c r="G1279" s="129" t="s">
        <v>1128</v>
      </c>
      <c r="H1279" s="127" t="s">
        <v>430</v>
      </c>
      <c r="I1279" s="127" t="s">
        <v>431</v>
      </c>
      <c r="J1279" s="124">
        <v>51.0</v>
      </c>
      <c r="K1279" s="124" t="s">
        <v>53</v>
      </c>
      <c r="L1279" s="124" t="s">
        <v>430</v>
      </c>
    </row>
    <row r="1280">
      <c r="A1280" s="165">
        <v>43765.147748449075</v>
      </c>
      <c r="B1280" s="161" t="s">
        <v>62</v>
      </c>
      <c r="C1280" s="162" t="s">
        <v>102</v>
      </c>
      <c r="D1280" s="93">
        <v>4.0</v>
      </c>
      <c r="E1280" s="93">
        <v>3.0</v>
      </c>
      <c r="F1280" s="124" t="s">
        <v>278</v>
      </c>
      <c r="G1280" s="129" t="s">
        <v>1135</v>
      </c>
      <c r="H1280" s="127" t="s">
        <v>430</v>
      </c>
      <c r="I1280" s="127" t="s">
        <v>674</v>
      </c>
      <c r="J1280" s="124">
        <v>61.0</v>
      </c>
      <c r="K1280" s="124" t="s">
        <v>60</v>
      </c>
      <c r="L1280" s="124" t="s">
        <v>430</v>
      </c>
    </row>
    <row r="1281">
      <c r="A1281" s="165">
        <v>43765.147748449075</v>
      </c>
      <c r="B1281" s="161" t="s">
        <v>62</v>
      </c>
      <c r="C1281" s="162" t="s">
        <v>128</v>
      </c>
      <c r="D1281" s="93">
        <v>3.0</v>
      </c>
      <c r="E1281" s="93">
        <v>5.0</v>
      </c>
      <c r="F1281" s="124" t="s">
        <v>267</v>
      </c>
      <c r="G1281" s="129" t="s">
        <v>1114</v>
      </c>
      <c r="H1281" s="127" t="s">
        <v>430</v>
      </c>
      <c r="I1281" s="127" t="s">
        <v>620</v>
      </c>
      <c r="J1281" s="124">
        <v>65.0</v>
      </c>
      <c r="K1281" s="124" t="s">
        <v>44</v>
      </c>
      <c r="L1281" s="124" t="s">
        <v>430</v>
      </c>
    </row>
    <row r="1282">
      <c r="A1282" s="165">
        <v>43765.147748449075</v>
      </c>
      <c r="B1282" s="161" t="s">
        <v>62</v>
      </c>
      <c r="C1282" s="162" t="s">
        <v>92</v>
      </c>
      <c r="D1282" s="93">
        <v>3.0</v>
      </c>
      <c r="E1282" s="93">
        <v>5.0</v>
      </c>
      <c r="F1282" s="124" t="s">
        <v>215</v>
      </c>
      <c r="G1282" s="129" t="s">
        <v>1138</v>
      </c>
      <c r="H1282" s="127" t="s">
        <v>430</v>
      </c>
      <c r="I1282" s="127" t="s">
        <v>492</v>
      </c>
      <c r="J1282" s="124" t="s">
        <v>276</v>
      </c>
      <c r="K1282" s="124" t="s">
        <v>64</v>
      </c>
      <c r="L1282" s="124" t="s">
        <v>430</v>
      </c>
    </row>
    <row r="1283">
      <c r="A1283" s="165">
        <v>43765.147748449075</v>
      </c>
      <c r="B1283" s="161" t="s">
        <v>62</v>
      </c>
      <c r="C1283" s="162" t="s">
        <v>143</v>
      </c>
      <c r="D1283" s="93">
        <v>3.0</v>
      </c>
      <c r="E1283" s="93">
        <v>5.0</v>
      </c>
      <c r="F1283" s="124" t="s">
        <v>267</v>
      </c>
      <c r="G1283" s="129" t="s">
        <v>1121</v>
      </c>
      <c r="H1283" s="127" t="s">
        <v>430</v>
      </c>
      <c r="I1283" s="127">
        <v>-2.0</v>
      </c>
      <c r="J1283" s="124">
        <v>58.0</v>
      </c>
      <c r="K1283" s="124" t="s">
        <v>48</v>
      </c>
      <c r="L1283" s="124" t="s">
        <v>430</v>
      </c>
    </row>
    <row r="1284">
      <c r="A1284" s="165">
        <v>43765.147748449075</v>
      </c>
      <c r="B1284" s="161" t="s">
        <v>62</v>
      </c>
      <c r="C1284" s="162" t="s">
        <v>153</v>
      </c>
      <c r="D1284" s="93">
        <v>5.0</v>
      </c>
      <c r="E1284" s="93">
        <v>3.0</v>
      </c>
      <c r="F1284" s="124" t="s">
        <v>284</v>
      </c>
      <c r="G1284" s="129" t="s">
        <v>1122</v>
      </c>
      <c r="H1284" s="127" t="s">
        <v>430</v>
      </c>
      <c r="I1284" s="127">
        <v>-10.0</v>
      </c>
      <c r="J1284" s="124">
        <v>70.0</v>
      </c>
      <c r="K1284" s="124" t="s">
        <v>48</v>
      </c>
      <c r="L1284" s="124" t="s">
        <v>430</v>
      </c>
    </row>
    <row r="1285">
      <c r="A1285" s="165">
        <v>43765.147748449075</v>
      </c>
      <c r="B1285" s="161" t="s">
        <v>62</v>
      </c>
      <c r="C1285" s="162" t="s">
        <v>112</v>
      </c>
      <c r="D1285" s="93">
        <v>6.0</v>
      </c>
      <c r="E1285" s="93">
        <v>2.0</v>
      </c>
      <c r="F1285" s="124" t="s">
        <v>207</v>
      </c>
      <c r="G1285" s="129" t="s">
        <v>1092</v>
      </c>
      <c r="H1285" s="127" t="s">
        <v>430</v>
      </c>
      <c r="I1285" s="127">
        <v>-1.0</v>
      </c>
      <c r="J1285" s="124">
        <v>50.0</v>
      </c>
      <c r="K1285" s="124" t="s">
        <v>27</v>
      </c>
      <c r="L1285" s="124" t="s">
        <v>430</v>
      </c>
    </row>
    <row r="1286">
      <c r="A1286" s="165">
        <v>43765.147748449075</v>
      </c>
      <c r="B1286" s="161" t="s">
        <v>62</v>
      </c>
      <c r="C1286" s="162" t="s">
        <v>171</v>
      </c>
      <c r="D1286" s="93">
        <v>5.0</v>
      </c>
      <c r="E1286" s="93">
        <v>3.0</v>
      </c>
      <c r="F1286" s="124" t="s">
        <v>248</v>
      </c>
      <c r="G1286" s="129" t="s">
        <v>202</v>
      </c>
      <c r="H1286" s="127"/>
      <c r="I1286" s="127" t="s">
        <v>203</v>
      </c>
      <c r="J1286" s="124" t="s">
        <v>203</v>
      </c>
      <c r="K1286" s="124"/>
      <c r="L1286" s="124">
        <v>9999.0</v>
      </c>
    </row>
    <row r="1287">
      <c r="A1287" s="165">
        <v>43765.147748449075</v>
      </c>
      <c r="B1287" s="161" t="s">
        <v>62</v>
      </c>
      <c r="C1287" s="162" t="s">
        <v>5</v>
      </c>
      <c r="D1287" s="93">
        <v>6.0</v>
      </c>
      <c r="E1287" s="93">
        <v>1.0</v>
      </c>
      <c r="F1287" s="124" t="s">
        <v>248</v>
      </c>
      <c r="G1287" s="129" t="s">
        <v>202</v>
      </c>
      <c r="H1287" s="127"/>
      <c r="I1287" s="127" t="s">
        <v>203</v>
      </c>
      <c r="J1287" s="124" t="s">
        <v>203</v>
      </c>
      <c r="K1287" s="124"/>
      <c r="L1287" s="124">
        <v>9999.0</v>
      </c>
    </row>
    <row r="1288">
      <c r="A1288" s="136" t="s">
        <v>359</v>
      </c>
      <c r="B1288" s="115" t="s">
        <v>2</v>
      </c>
      <c r="C1288" s="153" t="s">
        <v>227</v>
      </c>
      <c r="D1288" s="118" t="s">
        <v>29</v>
      </c>
      <c r="E1288" s="118" t="s">
        <v>34</v>
      </c>
      <c r="F1288" s="124" t="s">
        <v>261</v>
      </c>
      <c r="G1288" s="129" t="s">
        <v>245</v>
      </c>
      <c r="H1288" s="127" t="s">
        <v>228</v>
      </c>
      <c r="I1288" s="127" t="s">
        <v>229</v>
      </c>
      <c r="J1288" s="124" t="s">
        <v>262</v>
      </c>
      <c r="K1288" s="124" t="s">
        <v>263</v>
      </c>
      <c r="L1288" s="124" t="s">
        <v>264</v>
      </c>
    </row>
    <row r="1289">
      <c r="A1289" s="165">
        <v>43765.147748449075</v>
      </c>
      <c r="B1289" s="161" t="s">
        <v>64</v>
      </c>
      <c r="C1289" s="162" t="s">
        <v>169</v>
      </c>
      <c r="D1289" s="93">
        <v>5.0</v>
      </c>
      <c r="E1289" s="93">
        <v>3.0</v>
      </c>
      <c r="F1289" s="124" t="s">
        <v>215</v>
      </c>
      <c r="G1289" s="129" t="s">
        <v>1125</v>
      </c>
      <c r="H1289" s="127" t="s">
        <v>430</v>
      </c>
      <c r="I1289" s="127">
        <v>-13.0</v>
      </c>
      <c r="J1289" s="124" t="s">
        <v>412</v>
      </c>
      <c r="K1289" s="124" t="s">
        <v>53</v>
      </c>
      <c r="L1289" s="124" t="s">
        <v>430</v>
      </c>
    </row>
    <row r="1290">
      <c r="A1290" s="165">
        <v>43765.147748449075</v>
      </c>
      <c r="B1290" s="161" t="s">
        <v>64</v>
      </c>
      <c r="C1290" s="162" t="s">
        <v>196</v>
      </c>
      <c r="D1290" s="93">
        <v>3.0</v>
      </c>
      <c r="E1290" s="93">
        <v>5.0</v>
      </c>
      <c r="F1290" s="124" t="s">
        <v>260</v>
      </c>
      <c r="G1290" s="129" t="s">
        <v>1127</v>
      </c>
      <c r="H1290" s="127" t="s">
        <v>430</v>
      </c>
      <c r="I1290" s="127" t="s">
        <v>275</v>
      </c>
      <c r="J1290" s="124" t="s">
        <v>507</v>
      </c>
      <c r="K1290" s="124" t="s">
        <v>53</v>
      </c>
      <c r="L1290" s="124" t="s">
        <v>430</v>
      </c>
    </row>
    <row r="1291">
      <c r="A1291" s="165">
        <v>43765.147748449075</v>
      </c>
      <c r="B1291" s="161" t="s">
        <v>64</v>
      </c>
      <c r="C1291" s="162" t="s">
        <v>131</v>
      </c>
      <c r="D1291" s="93">
        <v>5.0</v>
      </c>
      <c r="E1291" s="93">
        <v>3.0</v>
      </c>
      <c r="F1291" s="124" t="s">
        <v>248</v>
      </c>
      <c r="G1291" s="129" t="s">
        <v>1139</v>
      </c>
      <c r="H1291" s="127" t="s">
        <v>430</v>
      </c>
      <c r="I1291" s="127" t="s">
        <v>431</v>
      </c>
      <c r="J1291" s="124">
        <v>53.0</v>
      </c>
      <c r="K1291" s="124" t="s">
        <v>288</v>
      </c>
      <c r="L1291" s="124" t="s">
        <v>430</v>
      </c>
    </row>
    <row r="1292">
      <c r="A1292" s="165">
        <v>43765.147748449075</v>
      </c>
      <c r="B1292" s="161" t="s">
        <v>64</v>
      </c>
      <c r="C1292" s="162" t="s">
        <v>154</v>
      </c>
      <c r="D1292" s="93">
        <v>4.0</v>
      </c>
      <c r="E1292" s="93">
        <v>4.0</v>
      </c>
      <c r="F1292" s="124" t="s">
        <v>349</v>
      </c>
      <c r="G1292" s="129" t="s">
        <v>1140</v>
      </c>
      <c r="H1292" s="127" t="s">
        <v>430</v>
      </c>
      <c r="I1292" s="127" t="s">
        <v>274</v>
      </c>
      <c r="J1292" s="124">
        <v>45.0</v>
      </c>
      <c r="K1292" s="124" t="s">
        <v>74</v>
      </c>
      <c r="L1292" s="124" t="s">
        <v>430</v>
      </c>
    </row>
    <row r="1293">
      <c r="A1293" s="165">
        <v>43765.147748449075</v>
      </c>
      <c r="B1293" s="161" t="s">
        <v>64</v>
      </c>
      <c r="C1293" s="162" t="s">
        <v>115</v>
      </c>
      <c r="D1293" s="93">
        <v>8.0</v>
      </c>
      <c r="E1293" s="93">
        <v>0.0</v>
      </c>
      <c r="F1293" s="124" t="s">
        <v>201</v>
      </c>
      <c r="G1293" s="129" t="s">
        <v>1108</v>
      </c>
      <c r="H1293" s="127" t="s">
        <v>430</v>
      </c>
      <c r="I1293" s="127">
        <v>-17.0</v>
      </c>
      <c r="J1293" s="124">
        <v>56.0</v>
      </c>
      <c r="K1293" s="124" t="s">
        <v>41</v>
      </c>
      <c r="L1293" s="124" t="s">
        <v>430</v>
      </c>
    </row>
    <row r="1294">
      <c r="A1294" s="165">
        <v>43765.147748449075</v>
      </c>
      <c r="B1294" s="161" t="s">
        <v>64</v>
      </c>
      <c r="C1294" s="162" t="s">
        <v>76</v>
      </c>
      <c r="D1294" s="93">
        <v>4.0</v>
      </c>
      <c r="E1294" s="93">
        <v>4.0</v>
      </c>
      <c r="F1294" s="124" t="s">
        <v>215</v>
      </c>
      <c r="G1294" s="129" t="s">
        <v>1138</v>
      </c>
      <c r="H1294" s="127" t="s">
        <v>430</v>
      </c>
      <c r="I1294" s="127" t="s">
        <v>431</v>
      </c>
      <c r="J1294" s="124" t="s">
        <v>276</v>
      </c>
      <c r="K1294" s="124" t="s">
        <v>62</v>
      </c>
      <c r="L1294" s="124" t="s">
        <v>430</v>
      </c>
    </row>
    <row r="1295">
      <c r="A1295" s="165">
        <v>43765.147748449075</v>
      </c>
      <c r="B1295" s="161" t="s">
        <v>64</v>
      </c>
      <c r="C1295" s="162" t="s">
        <v>147</v>
      </c>
      <c r="D1295" s="93">
        <v>5.0</v>
      </c>
      <c r="E1295" s="93">
        <v>3.0</v>
      </c>
      <c r="F1295" s="124" t="s">
        <v>267</v>
      </c>
      <c r="G1295" s="129" t="s">
        <v>1141</v>
      </c>
      <c r="H1295" s="127" t="s">
        <v>643</v>
      </c>
      <c r="I1295" s="127">
        <v>-4.0</v>
      </c>
      <c r="J1295" s="124">
        <v>57.0</v>
      </c>
      <c r="K1295" s="124" t="s">
        <v>69</v>
      </c>
      <c r="L1295" s="124" t="s">
        <v>643</v>
      </c>
    </row>
    <row r="1296">
      <c r="A1296" s="165">
        <v>43765.147748449075</v>
      </c>
      <c r="B1296" s="161" t="s">
        <v>64</v>
      </c>
      <c r="C1296" s="162" t="s">
        <v>98</v>
      </c>
      <c r="D1296" s="93">
        <v>3.0</v>
      </c>
      <c r="E1296" s="93">
        <v>5.0</v>
      </c>
      <c r="F1296" s="124" t="s">
        <v>269</v>
      </c>
      <c r="G1296" s="129" t="s">
        <v>1117</v>
      </c>
      <c r="H1296" s="127" t="s">
        <v>430</v>
      </c>
      <c r="I1296" s="127">
        <v>3.0</v>
      </c>
      <c r="J1296" s="124" t="s">
        <v>412</v>
      </c>
      <c r="K1296" s="124" t="s">
        <v>44</v>
      </c>
      <c r="L1296" s="124" t="s">
        <v>430</v>
      </c>
    </row>
    <row r="1297">
      <c r="A1297" s="165">
        <v>43765.147748449075</v>
      </c>
      <c r="B1297" s="161" t="s">
        <v>64</v>
      </c>
      <c r="C1297" s="162" t="s">
        <v>49</v>
      </c>
      <c r="D1297" s="93">
        <v>5.0</v>
      </c>
      <c r="E1297" s="93">
        <v>3.0</v>
      </c>
      <c r="F1297" s="124" t="s">
        <v>215</v>
      </c>
      <c r="G1297" s="129" t="s">
        <v>1136</v>
      </c>
      <c r="H1297" s="127" t="s">
        <v>430</v>
      </c>
      <c r="I1297" s="127">
        <v>10.0</v>
      </c>
      <c r="J1297" s="124">
        <v>61.0</v>
      </c>
      <c r="K1297" s="124" t="s">
        <v>60</v>
      </c>
      <c r="L1297" s="124" t="s">
        <v>430</v>
      </c>
    </row>
    <row r="1298">
      <c r="A1298" s="165">
        <v>43765.147748449075</v>
      </c>
      <c r="B1298" s="161" t="s">
        <v>64</v>
      </c>
      <c r="C1298" s="162" t="s">
        <v>177</v>
      </c>
      <c r="D1298" s="93">
        <v>4.0</v>
      </c>
      <c r="E1298" s="93">
        <v>4.0</v>
      </c>
      <c r="F1298" s="124" t="s">
        <v>287</v>
      </c>
      <c r="G1298" s="129" t="s">
        <v>1111</v>
      </c>
      <c r="H1298" s="127" t="s">
        <v>430</v>
      </c>
      <c r="I1298" s="127">
        <v>10.0</v>
      </c>
      <c r="J1298" s="124">
        <v>48.0</v>
      </c>
      <c r="K1298" s="124" t="s">
        <v>41</v>
      </c>
      <c r="L1298" s="124" t="s">
        <v>430</v>
      </c>
    </row>
    <row r="1299">
      <c r="A1299" s="136" t="s">
        <v>359</v>
      </c>
      <c r="B1299" s="115" t="s">
        <v>2</v>
      </c>
      <c r="C1299" s="153" t="s">
        <v>227</v>
      </c>
      <c r="D1299" s="118" t="s">
        <v>29</v>
      </c>
      <c r="E1299" s="118" t="s">
        <v>34</v>
      </c>
      <c r="F1299" s="124" t="s">
        <v>261</v>
      </c>
      <c r="G1299" s="129" t="s">
        <v>245</v>
      </c>
      <c r="H1299" s="127" t="s">
        <v>228</v>
      </c>
      <c r="I1299" s="127" t="s">
        <v>229</v>
      </c>
      <c r="J1299" s="124" t="s">
        <v>262</v>
      </c>
      <c r="K1299" s="124" t="s">
        <v>263</v>
      </c>
      <c r="L1299" s="124"/>
    </row>
    <row r="1300">
      <c r="A1300" s="165">
        <v>43765.147748449075</v>
      </c>
      <c r="B1300" s="161" t="s">
        <v>69</v>
      </c>
      <c r="C1300" s="162" t="s">
        <v>87</v>
      </c>
      <c r="D1300" s="93">
        <v>4.0</v>
      </c>
      <c r="E1300" s="93">
        <v>4.0</v>
      </c>
      <c r="F1300" s="124" t="s">
        <v>201</v>
      </c>
      <c r="G1300" s="129" t="s">
        <v>1106</v>
      </c>
      <c r="H1300" s="127" t="s">
        <v>430</v>
      </c>
      <c r="I1300" s="127" t="s">
        <v>376</v>
      </c>
      <c r="J1300" s="124" t="s">
        <v>482</v>
      </c>
      <c r="K1300" s="124" t="s">
        <v>41</v>
      </c>
      <c r="L1300" s="124" t="s">
        <v>430</v>
      </c>
    </row>
    <row r="1301">
      <c r="A1301" s="165">
        <v>43765.147748449075</v>
      </c>
      <c r="B1301" s="161" t="s">
        <v>69</v>
      </c>
      <c r="C1301" s="162" t="s">
        <v>101</v>
      </c>
      <c r="D1301" s="93">
        <v>5.0</v>
      </c>
      <c r="E1301" s="93">
        <v>3.0</v>
      </c>
      <c r="F1301" s="124" t="s">
        <v>269</v>
      </c>
      <c r="G1301" s="129" t="s">
        <v>1100</v>
      </c>
      <c r="H1301" s="127" t="s">
        <v>430</v>
      </c>
      <c r="I1301" s="127" t="s">
        <v>492</v>
      </c>
      <c r="J1301" s="124" t="s">
        <v>370</v>
      </c>
      <c r="K1301" s="124" t="s">
        <v>38</v>
      </c>
      <c r="L1301" s="124" t="s">
        <v>430</v>
      </c>
    </row>
    <row r="1302">
      <c r="A1302" s="165">
        <v>43765.147748449075</v>
      </c>
      <c r="B1302" s="161" t="s">
        <v>69</v>
      </c>
      <c r="C1302" s="162" t="s">
        <v>108</v>
      </c>
      <c r="D1302" s="93">
        <v>6.0</v>
      </c>
      <c r="E1302" s="93">
        <v>2.0</v>
      </c>
      <c r="F1302" s="124" t="s">
        <v>266</v>
      </c>
      <c r="G1302" s="129" t="s">
        <v>1089</v>
      </c>
      <c r="H1302" s="127" t="s">
        <v>430</v>
      </c>
      <c r="I1302" s="127">
        <v>1.0</v>
      </c>
      <c r="J1302" s="124">
        <v>55.0</v>
      </c>
      <c r="K1302" s="124" t="s">
        <v>27</v>
      </c>
      <c r="L1302" s="124" t="s">
        <v>430</v>
      </c>
    </row>
    <row r="1303">
      <c r="A1303" s="165">
        <v>43765.147748449075</v>
      </c>
      <c r="B1303" s="161" t="s">
        <v>69</v>
      </c>
      <c r="C1303" s="162" t="s">
        <v>142</v>
      </c>
      <c r="D1303" s="93">
        <v>4.0</v>
      </c>
      <c r="E1303" s="93">
        <v>4.0</v>
      </c>
      <c r="F1303" s="124" t="s">
        <v>248</v>
      </c>
      <c r="G1303" s="129" t="s">
        <v>1141</v>
      </c>
      <c r="H1303" s="127" t="s">
        <v>643</v>
      </c>
      <c r="I1303" s="127">
        <v>4.0</v>
      </c>
      <c r="J1303" s="124">
        <v>57.0</v>
      </c>
      <c r="K1303" s="124" t="s">
        <v>64</v>
      </c>
      <c r="L1303" s="124" t="s">
        <v>643</v>
      </c>
    </row>
    <row r="1304">
      <c r="A1304" s="165">
        <v>43765.147748449075</v>
      </c>
      <c r="B1304" s="161" t="s">
        <v>69</v>
      </c>
      <c r="C1304" s="162" t="s">
        <v>182</v>
      </c>
      <c r="D1304" s="93">
        <v>3.0</v>
      </c>
      <c r="E1304" s="93">
        <v>5.0</v>
      </c>
      <c r="F1304" s="124" t="s">
        <v>287</v>
      </c>
      <c r="G1304" s="129" t="s">
        <v>1134</v>
      </c>
      <c r="H1304" s="127" t="s">
        <v>430</v>
      </c>
      <c r="I1304" s="127">
        <v>-4.0</v>
      </c>
      <c r="J1304" s="124" t="s">
        <v>283</v>
      </c>
      <c r="K1304" s="124" t="s">
        <v>58</v>
      </c>
      <c r="L1304" s="124" t="s">
        <v>430</v>
      </c>
    </row>
    <row r="1305">
      <c r="A1305" s="165">
        <v>43765.147748449075</v>
      </c>
      <c r="B1305" s="161" t="s">
        <v>69</v>
      </c>
      <c r="C1305" s="162" t="s">
        <v>35</v>
      </c>
      <c r="D1305" s="93">
        <v>7.0</v>
      </c>
      <c r="E1305" s="93">
        <v>1.0</v>
      </c>
      <c r="F1305" s="124" t="s">
        <v>260</v>
      </c>
      <c r="G1305" s="129" t="s">
        <v>1091</v>
      </c>
      <c r="H1305" s="127" t="s">
        <v>430</v>
      </c>
      <c r="I1305" s="127" t="s">
        <v>431</v>
      </c>
      <c r="J1305" s="124" t="s">
        <v>280</v>
      </c>
      <c r="K1305" s="124" t="s">
        <v>27</v>
      </c>
      <c r="L1305" s="124" t="s">
        <v>430</v>
      </c>
    </row>
    <row r="1306">
      <c r="A1306" s="165">
        <v>43765.147748449075</v>
      </c>
      <c r="B1306" s="161" t="s">
        <v>69</v>
      </c>
      <c r="C1306" s="162" t="s">
        <v>193</v>
      </c>
      <c r="D1306" s="93">
        <v>2.0</v>
      </c>
      <c r="E1306" s="93">
        <v>5.0</v>
      </c>
      <c r="F1306" s="124" t="s">
        <v>267</v>
      </c>
      <c r="G1306" s="129" t="s">
        <v>1124</v>
      </c>
      <c r="H1306" s="127" t="s">
        <v>430</v>
      </c>
      <c r="I1306" s="127">
        <v>11.0</v>
      </c>
      <c r="J1306" s="124" t="s">
        <v>446</v>
      </c>
      <c r="K1306" s="124" t="s">
        <v>48</v>
      </c>
      <c r="L1306" s="124" t="s">
        <v>430</v>
      </c>
    </row>
    <row r="1307">
      <c r="A1307" s="165">
        <v>43765.147748449075</v>
      </c>
      <c r="B1307" s="161" t="s">
        <v>69</v>
      </c>
      <c r="C1307" s="162" t="s">
        <v>151</v>
      </c>
      <c r="D1307" s="93">
        <v>3.0</v>
      </c>
      <c r="E1307" s="93">
        <v>5.0</v>
      </c>
      <c r="F1307" s="124" t="s">
        <v>242</v>
      </c>
      <c r="G1307" s="129" t="s">
        <v>1093</v>
      </c>
      <c r="H1307" s="127" t="s">
        <v>430</v>
      </c>
      <c r="I1307" s="127">
        <v>14.0</v>
      </c>
      <c r="J1307" s="124">
        <v>59.0</v>
      </c>
      <c r="K1307" s="124" t="s">
        <v>27</v>
      </c>
      <c r="L1307" s="124" t="s">
        <v>430</v>
      </c>
    </row>
    <row r="1308">
      <c r="A1308" s="165">
        <v>43765.147748449075</v>
      </c>
      <c r="B1308" s="161" t="s">
        <v>69</v>
      </c>
      <c r="C1308" s="162" t="s">
        <v>125</v>
      </c>
      <c r="D1308" s="93">
        <v>7.0</v>
      </c>
      <c r="E1308" s="93">
        <v>1.0</v>
      </c>
      <c r="F1308" s="124" t="s">
        <v>282</v>
      </c>
      <c r="G1308" s="129" t="s">
        <v>1142</v>
      </c>
      <c r="H1308" s="127" t="s">
        <v>430</v>
      </c>
      <c r="I1308" s="127" t="s">
        <v>390</v>
      </c>
      <c r="J1308" s="124" t="s">
        <v>406</v>
      </c>
      <c r="K1308" s="124" t="s">
        <v>288</v>
      </c>
      <c r="L1308" s="124" t="s">
        <v>430</v>
      </c>
    </row>
    <row r="1309">
      <c r="A1309" s="165">
        <v>43765.147748449075</v>
      </c>
      <c r="B1309" s="161" t="s">
        <v>69</v>
      </c>
      <c r="C1309" s="162" t="s">
        <v>170</v>
      </c>
      <c r="D1309" s="93">
        <v>7.0</v>
      </c>
      <c r="E1309" s="93">
        <v>1.0</v>
      </c>
      <c r="F1309" s="124" t="s">
        <v>269</v>
      </c>
      <c r="G1309" s="129" t="s">
        <v>1094</v>
      </c>
      <c r="H1309" s="127" t="s">
        <v>430</v>
      </c>
      <c r="I1309" s="127">
        <v>-18.0</v>
      </c>
      <c r="J1309" s="124" t="s">
        <v>1095</v>
      </c>
      <c r="K1309" s="124" t="s">
        <v>27</v>
      </c>
      <c r="L1309" s="124" t="s">
        <v>430</v>
      </c>
    </row>
    <row r="1310">
      <c r="A1310" s="136" t="s">
        <v>359</v>
      </c>
      <c r="B1310" s="115" t="s">
        <v>2</v>
      </c>
      <c r="C1310" s="153" t="s">
        <v>227</v>
      </c>
      <c r="D1310" s="118" t="s">
        <v>29</v>
      </c>
      <c r="E1310" s="118" t="s">
        <v>34</v>
      </c>
      <c r="F1310" s="124" t="s">
        <v>261</v>
      </c>
      <c r="G1310" s="129" t="s">
        <v>245</v>
      </c>
      <c r="H1310" s="127" t="s">
        <v>228</v>
      </c>
      <c r="I1310" s="127" t="s">
        <v>229</v>
      </c>
      <c r="J1310" s="124" t="s">
        <v>262</v>
      </c>
      <c r="K1310" s="124" t="s">
        <v>263</v>
      </c>
      <c r="L1310" s="124"/>
    </row>
    <row r="1311">
      <c r="A1311" s="165">
        <v>43765.147748449075</v>
      </c>
      <c r="B1311" s="161" t="s">
        <v>74</v>
      </c>
      <c r="C1311" s="162" t="s">
        <v>118</v>
      </c>
      <c r="D1311" s="93">
        <v>8.0</v>
      </c>
      <c r="E1311" s="93">
        <v>0.0</v>
      </c>
      <c r="F1311" s="124" t="s">
        <v>278</v>
      </c>
      <c r="G1311" s="129" t="s">
        <v>1113</v>
      </c>
      <c r="H1311" s="127" t="s">
        <v>430</v>
      </c>
      <c r="I1311" s="127" t="s">
        <v>1069</v>
      </c>
      <c r="J1311" s="124">
        <v>51.0</v>
      </c>
      <c r="K1311" s="124" t="s">
        <v>44</v>
      </c>
      <c r="L1311" s="124" t="s">
        <v>430</v>
      </c>
    </row>
    <row r="1312">
      <c r="A1312" s="165">
        <v>43765.147748449075</v>
      </c>
      <c r="B1312" s="161" t="s">
        <v>74</v>
      </c>
      <c r="C1312" s="162" t="s">
        <v>99</v>
      </c>
      <c r="D1312" s="93">
        <v>5.0</v>
      </c>
      <c r="E1312" s="93">
        <v>2.0</v>
      </c>
      <c r="F1312" s="124" t="s">
        <v>207</v>
      </c>
      <c r="G1312" s="129" t="s">
        <v>1126</v>
      </c>
      <c r="H1312" s="127" t="s">
        <v>430</v>
      </c>
      <c r="I1312" s="127" t="s">
        <v>649</v>
      </c>
      <c r="J1312" s="124" t="s">
        <v>276</v>
      </c>
      <c r="K1312" s="124" t="s">
        <v>53</v>
      </c>
      <c r="L1312" s="124" t="s">
        <v>430</v>
      </c>
    </row>
    <row r="1313">
      <c r="A1313" s="165">
        <v>43765.147748449075</v>
      </c>
      <c r="B1313" s="161" t="s">
        <v>74</v>
      </c>
      <c r="C1313" s="162" t="s">
        <v>160</v>
      </c>
      <c r="D1313" s="93">
        <v>6.0</v>
      </c>
      <c r="E1313" s="93">
        <v>2.0</v>
      </c>
      <c r="F1313" s="124" t="s">
        <v>349</v>
      </c>
      <c r="G1313" s="129" t="s">
        <v>1140</v>
      </c>
      <c r="H1313" s="127" t="s">
        <v>430</v>
      </c>
      <c r="I1313" s="127" t="s">
        <v>226</v>
      </c>
      <c r="J1313" s="124">
        <v>45.0</v>
      </c>
      <c r="K1313" s="124" t="s">
        <v>64</v>
      </c>
      <c r="L1313" s="124" t="s">
        <v>430</v>
      </c>
    </row>
    <row r="1314">
      <c r="A1314" s="165">
        <v>43765.147748449075</v>
      </c>
      <c r="B1314" s="161" t="s">
        <v>74</v>
      </c>
      <c r="C1314" s="162" t="s">
        <v>174</v>
      </c>
      <c r="D1314" s="93">
        <v>6.0</v>
      </c>
      <c r="E1314" s="93">
        <v>2.0</v>
      </c>
      <c r="F1314" s="124" t="s">
        <v>234</v>
      </c>
      <c r="G1314" s="129" t="s">
        <v>1098</v>
      </c>
      <c r="H1314" s="127" t="s">
        <v>430</v>
      </c>
      <c r="I1314" s="127" t="s">
        <v>622</v>
      </c>
      <c r="J1314" s="124">
        <v>59.0</v>
      </c>
      <c r="K1314" s="124" t="s">
        <v>38</v>
      </c>
      <c r="L1314" s="124" t="s">
        <v>430</v>
      </c>
    </row>
    <row r="1315">
      <c r="A1315" s="165">
        <v>43765.147748449075</v>
      </c>
      <c r="B1315" s="161" t="s">
        <v>74</v>
      </c>
      <c r="C1315" s="162" t="s">
        <v>23</v>
      </c>
      <c r="D1315" s="93">
        <v>2.0</v>
      </c>
      <c r="E1315" s="93">
        <v>6.0</v>
      </c>
      <c r="F1315" s="124" t="s">
        <v>1143</v>
      </c>
      <c r="G1315" s="129" t="s">
        <v>1144</v>
      </c>
      <c r="H1315" s="127" t="s">
        <v>430</v>
      </c>
      <c r="I1315" s="127" t="s">
        <v>431</v>
      </c>
      <c r="J1315" s="124" t="s">
        <v>419</v>
      </c>
      <c r="K1315" s="124" t="s">
        <v>288</v>
      </c>
      <c r="L1315" s="124" t="s">
        <v>430</v>
      </c>
    </row>
    <row r="1316">
      <c r="A1316" s="165">
        <v>43765.147748449075</v>
      </c>
      <c r="B1316" s="161" t="s">
        <v>74</v>
      </c>
      <c r="C1316" s="162" t="s">
        <v>124</v>
      </c>
      <c r="D1316" s="93">
        <v>5.0</v>
      </c>
      <c r="E1316" s="93">
        <v>3.0</v>
      </c>
      <c r="F1316" s="124" t="s">
        <v>267</v>
      </c>
      <c r="G1316" s="129" t="s">
        <v>1101</v>
      </c>
      <c r="H1316" s="127" t="s">
        <v>430</v>
      </c>
      <c r="I1316" s="127" t="s">
        <v>226</v>
      </c>
      <c r="J1316" s="124" t="s">
        <v>387</v>
      </c>
      <c r="K1316" s="124" t="s">
        <v>38</v>
      </c>
      <c r="L1316" s="124" t="s">
        <v>430</v>
      </c>
    </row>
    <row r="1317">
      <c r="A1317" s="165">
        <v>43765.147748449075</v>
      </c>
      <c r="B1317" s="161" t="s">
        <v>74</v>
      </c>
      <c r="C1317" s="162" t="s">
        <v>167</v>
      </c>
      <c r="D1317" s="93">
        <v>4.0</v>
      </c>
      <c r="E1317" s="93">
        <v>4.0</v>
      </c>
      <c r="F1317" s="124" t="s">
        <v>273</v>
      </c>
      <c r="G1317" s="129" t="s">
        <v>1115</v>
      </c>
      <c r="H1317" s="127" t="s">
        <v>430</v>
      </c>
      <c r="I1317" s="127">
        <v>1.0</v>
      </c>
      <c r="J1317" s="124" t="s">
        <v>406</v>
      </c>
      <c r="K1317" s="124" t="s">
        <v>44</v>
      </c>
      <c r="L1317" s="124" t="s">
        <v>430</v>
      </c>
    </row>
    <row r="1318">
      <c r="A1318" s="165">
        <v>43765.147748449075</v>
      </c>
      <c r="B1318" s="161" t="s">
        <v>74</v>
      </c>
      <c r="C1318" s="162" t="s">
        <v>141</v>
      </c>
      <c r="D1318" s="93">
        <v>5.0</v>
      </c>
      <c r="E1318" s="93">
        <v>4.0</v>
      </c>
      <c r="F1318" s="124" t="s">
        <v>267</v>
      </c>
      <c r="G1318" s="129" t="s">
        <v>1133</v>
      </c>
      <c r="H1318" s="127" t="s">
        <v>430</v>
      </c>
      <c r="I1318" s="127" t="s">
        <v>428</v>
      </c>
      <c r="J1318" s="124">
        <v>49.0</v>
      </c>
      <c r="K1318" s="124" t="s">
        <v>58</v>
      </c>
      <c r="L1318" s="124" t="s">
        <v>430</v>
      </c>
    </row>
    <row r="1319">
      <c r="A1319" s="165">
        <v>43765.147748449075</v>
      </c>
      <c r="B1319" s="161" t="s">
        <v>74</v>
      </c>
      <c r="C1319" s="162" t="s">
        <v>194</v>
      </c>
      <c r="D1319" s="93">
        <v>3.0</v>
      </c>
      <c r="E1319" s="93">
        <v>4.0</v>
      </c>
      <c r="F1319" s="124" t="s">
        <v>267</v>
      </c>
      <c r="G1319" s="129" t="s">
        <v>1137</v>
      </c>
      <c r="H1319" s="127" t="s">
        <v>430</v>
      </c>
      <c r="I1319" s="127">
        <v>1.0</v>
      </c>
      <c r="J1319" s="124">
        <v>66.0</v>
      </c>
      <c r="K1319" s="124" t="s">
        <v>60</v>
      </c>
      <c r="L1319" s="124" t="s">
        <v>430</v>
      </c>
    </row>
    <row r="1320">
      <c r="A1320" s="165">
        <v>43765.147748449075</v>
      </c>
      <c r="B1320" s="161" t="s">
        <v>74</v>
      </c>
      <c r="C1320" s="162" t="s">
        <v>88</v>
      </c>
      <c r="D1320" s="93">
        <v>4.0</v>
      </c>
      <c r="E1320" s="93">
        <v>3.0</v>
      </c>
      <c r="F1320" s="124" t="s">
        <v>248</v>
      </c>
      <c r="G1320" s="129" t="s">
        <v>202</v>
      </c>
      <c r="H1320" s="127"/>
      <c r="I1320" s="127" t="s">
        <v>203</v>
      </c>
      <c r="J1320" s="124" t="s">
        <v>203</v>
      </c>
      <c r="K1320" s="124"/>
      <c r="L1320" s="124">
        <v>9999.0</v>
      </c>
    </row>
    <row r="1321">
      <c r="A1321" s="136" t="s">
        <v>359</v>
      </c>
      <c r="B1321" s="115" t="s">
        <v>2</v>
      </c>
      <c r="C1321" s="153" t="s">
        <v>227</v>
      </c>
      <c r="D1321" s="118" t="s">
        <v>29</v>
      </c>
      <c r="E1321" s="118" t="s">
        <v>34</v>
      </c>
      <c r="F1321" s="124" t="s">
        <v>261</v>
      </c>
      <c r="G1321" s="129" t="s">
        <v>245</v>
      </c>
      <c r="H1321" s="127" t="s">
        <v>228</v>
      </c>
      <c r="I1321" s="127" t="s">
        <v>229</v>
      </c>
      <c r="J1321" s="124" t="s">
        <v>262</v>
      </c>
      <c r="K1321" s="124" t="s">
        <v>263</v>
      </c>
      <c r="L1321" s="124" t="s">
        <v>264</v>
      </c>
    </row>
    <row r="1322">
      <c r="A1322" s="165">
        <v>43772.14775020833</v>
      </c>
      <c r="B1322" s="161" t="s">
        <v>27</v>
      </c>
      <c r="C1322" s="162" t="s">
        <v>116</v>
      </c>
      <c r="D1322" s="93">
        <v>4.0</v>
      </c>
      <c r="E1322" s="93">
        <v>5.0</v>
      </c>
      <c r="F1322" s="124" t="s">
        <v>278</v>
      </c>
      <c r="G1322" s="129" t="s">
        <v>1145</v>
      </c>
      <c r="H1322" s="127" t="s">
        <v>430</v>
      </c>
      <c r="I1322" s="127">
        <v>-2.0</v>
      </c>
      <c r="J1322" s="124">
        <v>55.0</v>
      </c>
      <c r="K1322" s="124" t="s">
        <v>48</v>
      </c>
      <c r="L1322" s="124" t="s">
        <v>430</v>
      </c>
    </row>
    <row r="1323">
      <c r="A1323" s="165">
        <v>43772.14775020833</v>
      </c>
      <c r="B1323" s="161" t="s">
        <v>27</v>
      </c>
      <c r="C1323" s="162" t="s">
        <v>134</v>
      </c>
      <c r="D1323" s="93">
        <v>3.0</v>
      </c>
      <c r="E1323" s="93">
        <v>5.0</v>
      </c>
      <c r="F1323" s="124" t="s">
        <v>287</v>
      </c>
      <c r="G1323" s="129" t="s">
        <v>1146</v>
      </c>
      <c r="H1323" s="127" t="s">
        <v>430</v>
      </c>
      <c r="I1323" s="127" t="s">
        <v>1095</v>
      </c>
      <c r="J1323" s="124">
        <v>53.0</v>
      </c>
      <c r="K1323" s="124" t="s">
        <v>62</v>
      </c>
      <c r="L1323" s="124" t="s">
        <v>430</v>
      </c>
    </row>
    <row r="1324">
      <c r="A1324" s="165">
        <v>43772.14775020833</v>
      </c>
      <c r="B1324" s="161" t="s">
        <v>27</v>
      </c>
      <c r="C1324" s="162" t="s">
        <v>107</v>
      </c>
      <c r="D1324" s="93">
        <v>6.0</v>
      </c>
      <c r="E1324" s="93">
        <v>2.0</v>
      </c>
      <c r="F1324" s="124" t="s">
        <v>268</v>
      </c>
      <c r="G1324" s="129" t="s">
        <v>1147</v>
      </c>
      <c r="H1324" s="127" t="s">
        <v>430</v>
      </c>
      <c r="I1324" s="127">
        <v>-17.0</v>
      </c>
      <c r="J1324" s="124">
        <v>58.0</v>
      </c>
      <c r="K1324" s="124" t="s">
        <v>27</v>
      </c>
      <c r="L1324" s="124" t="s">
        <v>430</v>
      </c>
    </row>
    <row r="1325">
      <c r="A1325" s="165">
        <v>43772.14775020833</v>
      </c>
      <c r="B1325" s="161" t="s">
        <v>27</v>
      </c>
      <c r="C1325" s="162" t="s">
        <v>94</v>
      </c>
      <c r="D1325" s="93">
        <v>5.0</v>
      </c>
      <c r="E1325" s="93">
        <v>3.0</v>
      </c>
      <c r="F1325" s="124" t="s">
        <v>268</v>
      </c>
      <c r="G1325" s="129" t="s">
        <v>1147</v>
      </c>
      <c r="H1325" s="127" t="s">
        <v>430</v>
      </c>
      <c r="I1325" s="127">
        <v>17.0</v>
      </c>
      <c r="J1325" s="124">
        <v>58.0</v>
      </c>
      <c r="K1325" s="124" t="s">
        <v>27</v>
      </c>
      <c r="L1325" s="124" t="s">
        <v>430</v>
      </c>
    </row>
    <row r="1326">
      <c r="A1326" s="165">
        <v>43772.14775020833</v>
      </c>
      <c r="B1326" s="161" t="s">
        <v>27</v>
      </c>
      <c r="C1326" s="162" t="s">
        <v>195</v>
      </c>
      <c r="D1326" s="93">
        <v>4.0</v>
      </c>
      <c r="E1326" s="93">
        <v>4.0</v>
      </c>
      <c r="F1326" s="124" t="s">
        <v>282</v>
      </c>
      <c r="G1326" s="129" t="s">
        <v>1148</v>
      </c>
      <c r="H1326" s="127" t="s">
        <v>430</v>
      </c>
      <c r="I1326" s="127">
        <v>1.0</v>
      </c>
      <c r="J1326" s="124" t="s">
        <v>781</v>
      </c>
      <c r="K1326" s="124" t="s">
        <v>74</v>
      </c>
      <c r="L1326" s="124" t="s">
        <v>430</v>
      </c>
    </row>
    <row r="1327">
      <c r="A1327" s="165">
        <v>43772.14775020833</v>
      </c>
      <c r="B1327" s="161" t="s">
        <v>27</v>
      </c>
      <c r="C1327" s="162" t="s">
        <v>56</v>
      </c>
      <c r="D1327" s="93">
        <v>2.0</v>
      </c>
      <c r="E1327" s="93">
        <v>7.0</v>
      </c>
      <c r="F1327" s="124" t="s">
        <v>215</v>
      </c>
      <c r="G1327" s="129" t="s">
        <v>1149</v>
      </c>
      <c r="H1327" s="127" t="s">
        <v>430</v>
      </c>
      <c r="I1327" s="127">
        <v>10.0</v>
      </c>
      <c r="J1327" s="124">
        <v>62.0</v>
      </c>
      <c r="K1327" s="124" t="s">
        <v>41</v>
      </c>
      <c r="L1327" s="124" t="s">
        <v>430</v>
      </c>
    </row>
    <row r="1328">
      <c r="A1328" s="165">
        <v>43772.14775020833</v>
      </c>
      <c r="B1328" s="161" t="s">
        <v>27</v>
      </c>
      <c r="C1328" s="162" t="s">
        <v>152</v>
      </c>
      <c r="D1328" s="93">
        <v>4.0</v>
      </c>
      <c r="E1328" s="93">
        <v>4.0</v>
      </c>
      <c r="F1328" s="124" t="s">
        <v>284</v>
      </c>
      <c r="G1328" s="129" t="s">
        <v>1150</v>
      </c>
      <c r="H1328" s="127" t="s">
        <v>430</v>
      </c>
      <c r="I1328" s="127" t="s">
        <v>203</v>
      </c>
      <c r="J1328" s="124" t="s">
        <v>203</v>
      </c>
      <c r="K1328" s="124" t="s">
        <v>62</v>
      </c>
      <c r="L1328" s="124" t="s">
        <v>430</v>
      </c>
    </row>
    <row r="1329">
      <c r="A1329" s="165">
        <v>43772.14775020833</v>
      </c>
      <c r="B1329" s="161" t="s">
        <v>27</v>
      </c>
      <c r="C1329" s="162" t="s">
        <v>138</v>
      </c>
      <c r="D1329" s="93">
        <v>4.0</v>
      </c>
      <c r="E1329" s="93">
        <v>4.0</v>
      </c>
      <c r="F1329" s="124" t="s">
        <v>260</v>
      </c>
      <c r="G1329" s="129" t="s">
        <v>202</v>
      </c>
      <c r="H1329" s="127"/>
      <c r="I1329" s="127" t="s">
        <v>203</v>
      </c>
      <c r="J1329" s="124" t="s">
        <v>203</v>
      </c>
      <c r="K1329" s="124"/>
      <c r="L1329" s="124">
        <v>9999.0</v>
      </c>
    </row>
    <row r="1330">
      <c r="A1330" s="165">
        <v>43772.14775020833</v>
      </c>
      <c r="B1330" s="161" t="s">
        <v>27</v>
      </c>
      <c r="C1330" s="162" t="s">
        <v>114</v>
      </c>
      <c r="D1330" s="93">
        <v>8.0</v>
      </c>
      <c r="E1330" s="93">
        <v>0.0</v>
      </c>
      <c r="F1330" s="124" t="s">
        <v>248</v>
      </c>
      <c r="G1330" s="129" t="s">
        <v>202</v>
      </c>
      <c r="H1330" s="127"/>
      <c r="I1330" s="127" t="s">
        <v>203</v>
      </c>
      <c r="J1330" s="124" t="s">
        <v>203</v>
      </c>
      <c r="K1330" s="124"/>
      <c r="L1330" s="124">
        <v>9999.0</v>
      </c>
    </row>
    <row r="1331">
      <c r="A1331" s="165">
        <v>43772.14775020833</v>
      </c>
      <c r="B1331" s="161" t="s">
        <v>27</v>
      </c>
      <c r="C1331" s="162" t="s">
        <v>163</v>
      </c>
      <c r="D1331" s="93">
        <v>4.0</v>
      </c>
      <c r="E1331" s="93">
        <v>4.0</v>
      </c>
      <c r="F1331" s="124" t="s">
        <v>248</v>
      </c>
      <c r="G1331" s="129" t="s">
        <v>202</v>
      </c>
      <c r="H1331" s="127"/>
      <c r="I1331" s="127" t="s">
        <v>203</v>
      </c>
      <c r="J1331" s="124" t="s">
        <v>203</v>
      </c>
      <c r="K1331" s="124"/>
      <c r="L1331" s="124">
        <v>9999.0</v>
      </c>
    </row>
    <row r="1332">
      <c r="A1332" s="136" t="s">
        <v>359</v>
      </c>
      <c r="B1332" s="122" t="s">
        <v>2</v>
      </c>
      <c r="C1332" s="123" t="s">
        <v>227</v>
      </c>
      <c r="D1332" s="124" t="s">
        <v>29</v>
      </c>
      <c r="E1332" s="124" t="s">
        <v>34</v>
      </c>
      <c r="F1332" s="124" t="s">
        <v>261</v>
      </c>
      <c r="G1332" s="129" t="s">
        <v>245</v>
      </c>
      <c r="H1332" s="127" t="s">
        <v>228</v>
      </c>
      <c r="I1332" s="127" t="s">
        <v>229</v>
      </c>
      <c r="J1332" s="124" t="s">
        <v>262</v>
      </c>
      <c r="K1332" s="124" t="s">
        <v>263</v>
      </c>
      <c r="L1332" s="124" t="s">
        <v>264</v>
      </c>
    </row>
    <row r="1333">
      <c r="A1333" s="165">
        <v>43772.14775020833</v>
      </c>
      <c r="B1333" s="122" t="s">
        <v>38</v>
      </c>
      <c r="C1333" s="123" t="s">
        <v>129</v>
      </c>
      <c r="D1333" s="124">
        <v>1.0</v>
      </c>
      <c r="E1333" s="124">
        <v>8.0</v>
      </c>
      <c r="F1333" s="124" t="s">
        <v>267</v>
      </c>
      <c r="G1333" s="129" t="s">
        <v>1151</v>
      </c>
      <c r="H1333" s="127" t="s">
        <v>430</v>
      </c>
      <c r="I1333" s="127">
        <v>17.0</v>
      </c>
      <c r="J1333" s="124">
        <v>49.0</v>
      </c>
      <c r="K1333" s="124" t="s">
        <v>60</v>
      </c>
      <c r="L1333" s="124" t="s">
        <v>430</v>
      </c>
    </row>
    <row r="1334">
      <c r="A1334" s="165">
        <v>43772.14775020833</v>
      </c>
      <c r="B1334" s="122" t="s">
        <v>38</v>
      </c>
      <c r="C1334" s="123" t="s">
        <v>139</v>
      </c>
      <c r="D1334" s="124">
        <v>3.0</v>
      </c>
      <c r="E1334" s="124">
        <v>6.0</v>
      </c>
      <c r="F1334" s="124" t="s">
        <v>267</v>
      </c>
      <c r="G1334" s="129" t="s">
        <v>1152</v>
      </c>
      <c r="H1334" s="127" t="s">
        <v>430</v>
      </c>
      <c r="I1334" s="127">
        <v>-6.0</v>
      </c>
      <c r="J1334" s="124">
        <v>50.0</v>
      </c>
      <c r="K1334" s="124" t="s">
        <v>60</v>
      </c>
      <c r="L1334" s="124" t="s">
        <v>430</v>
      </c>
    </row>
    <row r="1335">
      <c r="A1335" s="165">
        <v>43772.14775020833</v>
      </c>
      <c r="B1335" s="122" t="s">
        <v>38</v>
      </c>
      <c r="C1335" s="123" t="s">
        <v>68</v>
      </c>
      <c r="D1335" s="124">
        <v>9.0</v>
      </c>
      <c r="E1335" s="124">
        <v>0.0</v>
      </c>
      <c r="F1335" s="124" t="s">
        <v>285</v>
      </c>
      <c r="G1335" s="129" t="s">
        <v>1153</v>
      </c>
      <c r="H1335" s="127" t="s">
        <v>430</v>
      </c>
      <c r="I1335" s="127">
        <v>-47.0</v>
      </c>
      <c r="J1335" s="124" t="s">
        <v>735</v>
      </c>
      <c r="K1335" s="124" t="s">
        <v>288</v>
      </c>
      <c r="L1335" s="124" t="s">
        <v>430</v>
      </c>
    </row>
    <row r="1336">
      <c r="A1336" s="165">
        <v>43772.14775020833</v>
      </c>
      <c r="B1336" s="122" t="s">
        <v>38</v>
      </c>
      <c r="C1336" s="123" t="s">
        <v>32</v>
      </c>
      <c r="D1336" s="124">
        <v>3.0</v>
      </c>
      <c r="E1336" s="124">
        <v>6.0</v>
      </c>
      <c r="F1336" s="124" t="s">
        <v>260</v>
      </c>
      <c r="G1336" s="129" t="s">
        <v>1154</v>
      </c>
      <c r="H1336" s="127" t="s">
        <v>430</v>
      </c>
      <c r="I1336" s="127" t="s">
        <v>367</v>
      </c>
      <c r="J1336" s="124" t="s">
        <v>585</v>
      </c>
      <c r="K1336" s="124" t="s">
        <v>62</v>
      </c>
      <c r="L1336" s="124" t="s">
        <v>430</v>
      </c>
    </row>
    <row r="1337">
      <c r="A1337" s="165">
        <v>43772.14775020833</v>
      </c>
      <c r="B1337" s="122" t="s">
        <v>38</v>
      </c>
      <c r="C1337" s="123" t="s">
        <v>198</v>
      </c>
      <c r="D1337" s="124">
        <v>0.0</v>
      </c>
      <c r="E1337" s="124">
        <v>8.0</v>
      </c>
      <c r="F1337" s="124" t="s">
        <v>248</v>
      </c>
      <c r="G1337" s="129" t="s">
        <v>202</v>
      </c>
      <c r="H1337" s="127"/>
      <c r="I1337" s="127" t="s">
        <v>203</v>
      </c>
      <c r="J1337" s="124" t="s">
        <v>203</v>
      </c>
      <c r="K1337" s="124"/>
      <c r="L1337" s="124">
        <v>9999.0</v>
      </c>
    </row>
    <row r="1338">
      <c r="A1338" s="165">
        <v>43772.14775020833</v>
      </c>
      <c r="B1338" s="122" t="s">
        <v>38</v>
      </c>
      <c r="C1338" s="123" t="s">
        <v>178</v>
      </c>
      <c r="D1338" s="124">
        <v>8.0</v>
      </c>
      <c r="E1338" s="124">
        <v>0.0</v>
      </c>
      <c r="F1338" s="124" t="s">
        <v>248</v>
      </c>
      <c r="G1338" s="129" t="s">
        <v>202</v>
      </c>
      <c r="H1338" s="127"/>
      <c r="I1338" s="127" t="s">
        <v>203</v>
      </c>
      <c r="J1338" s="124" t="s">
        <v>203</v>
      </c>
      <c r="K1338" s="124"/>
      <c r="L1338" s="124">
        <v>9999.0</v>
      </c>
    </row>
    <row r="1339">
      <c r="A1339" s="165">
        <v>43772.14775020833</v>
      </c>
      <c r="B1339" s="122" t="s">
        <v>38</v>
      </c>
      <c r="C1339" s="123" t="s">
        <v>113</v>
      </c>
      <c r="D1339" s="124">
        <v>4.0</v>
      </c>
      <c r="E1339" s="124">
        <v>4.0</v>
      </c>
      <c r="F1339" s="124" t="s">
        <v>248</v>
      </c>
      <c r="G1339" s="129" t="s">
        <v>202</v>
      </c>
      <c r="H1339" s="127"/>
      <c r="I1339" s="127" t="s">
        <v>203</v>
      </c>
      <c r="J1339" s="124" t="s">
        <v>203</v>
      </c>
      <c r="K1339" s="124"/>
      <c r="L1339" s="124">
        <v>9999.0</v>
      </c>
    </row>
    <row r="1340">
      <c r="A1340" s="165">
        <v>43772.14775020833</v>
      </c>
      <c r="B1340" s="122" t="s">
        <v>38</v>
      </c>
      <c r="C1340" s="123" t="s">
        <v>97</v>
      </c>
      <c r="D1340" s="124">
        <v>5.0</v>
      </c>
      <c r="E1340" s="124">
        <v>3.0</v>
      </c>
      <c r="F1340" s="124" t="s">
        <v>248</v>
      </c>
      <c r="G1340" s="129" t="s">
        <v>202</v>
      </c>
      <c r="H1340" s="127"/>
      <c r="I1340" s="127" t="s">
        <v>203</v>
      </c>
      <c r="J1340" s="124" t="s">
        <v>203</v>
      </c>
      <c r="K1340" s="124"/>
      <c r="L1340" s="124">
        <v>9999.0</v>
      </c>
    </row>
    <row r="1341">
      <c r="A1341" s="165">
        <v>43772.14775020833</v>
      </c>
      <c r="B1341" s="122" t="s">
        <v>38</v>
      </c>
      <c r="C1341" s="123" t="s">
        <v>172</v>
      </c>
      <c r="D1341" s="124">
        <v>4.0</v>
      </c>
      <c r="E1341" s="124">
        <v>4.0</v>
      </c>
      <c r="F1341" s="124" t="s">
        <v>248</v>
      </c>
      <c r="G1341" s="129" t="s">
        <v>202</v>
      </c>
      <c r="H1341" s="127"/>
      <c r="I1341" s="127" t="s">
        <v>203</v>
      </c>
      <c r="J1341" s="124" t="s">
        <v>203</v>
      </c>
      <c r="K1341" s="124"/>
      <c r="L1341" s="124">
        <v>9999.0</v>
      </c>
    </row>
    <row r="1342">
      <c r="A1342" s="165">
        <v>43772.14775020833</v>
      </c>
      <c r="B1342" s="122" t="s">
        <v>38</v>
      </c>
      <c r="C1342" s="123" t="s">
        <v>156</v>
      </c>
      <c r="D1342" s="124">
        <v>7.0</v>
      </c>
      <c r="E1342" s="124">
        <v>1.0</v>
      </c>
      <c r="F1342" s="124" t="s">
        <v>248</v>
      </c>
      <c r="G1342" s="129" t="s">
        <v>202</v>
      </c>
      <c r="H1342" s="127"/>
      <c r="I1342" s="127" t="s">
        <v>203</v>
      </c>
      <c r="J1342" s="124" t="s">
        <v>203</v>
      </c>
      <c r="K1342" s="124"/>
      <c r="L1342" s="124">
        <v>9999.0</v>
      </c>
    </row>
    <row r="1343">
      <c r="A1343" s="136" t="s">
        <v>359</v>
      </c>
      <c r="B1343" s="122" t="s">
        <v>2</v>
      </c>
      <c r="C1343" s="123" t="s">
        <v>227</v>
      </c>
      <c r="D1343" s="124" t="s">
        <v>29</v>
      </c>
      <c r="E1343" s="124" t="s">
        <v>34</v>
      </c>
      <c r="F1343" s="124" t="s">
        <v>261</v>
      </c>
      <c r="G1343" s="129" t="s">
        <v>245</v>
      </c>
      <c r="H1343" s="127" t="s">
        <v>228</v>
      </c>
      <c r="I1343" s="127" t="s">
        <v>229</v>
      </c>
      <c r="J1343" s="124" t="s">
        <v>262</v>
      </c>
      <c r="K1343" s="124" t="s">
        <v>263</v>
      </c>
      <c r="L1343" s="124" t="s">
        <v>264</v>
      </c>
    </row>
    <row r="1344">
      <c r="A1344" s="165">
        <v>43772.14775020833</v>
      </c>
      <c r="B1344" s="122" t="s">
        <v>41</v>
      </c>
      <c r="C1344" s="123" t="s">
        <v>111</v>
      </c>
      <c r="D1344" s="124">
        <v>3.0</v>
      </c>
      <c r="E1344" s="124">
        <v>6.0</v>
      </c>
      <c r="F1344" s="124" t="s">
        <v>207</v>
      </c>
      <c r="G1344" s="129" t="s">
        <v>1155</v>
      </c>
      <c r="H1344" s="127" t="s">
        <v>430</v>
      </c>
      <c r="I1344" s="127" t="s">
        <v>775</v>
      </c>
      <c r="J1344" s="124" t="s">
        <v>546</v>
      </c>
      <c r="K1344" s="124" t="s">
        <v>62</v>
      </c>
      <c r="L1344" s="124" t="s">
        <v>430</v>
      </c>
    </row>
    <row r="1345">
      <c r="A1345" s="165">
        <v>43772.14775020833</v>
      </c>
      <c r="B1345" s="122" t="s">
        <v>41</v>
      </c>
      <c r="C1345" s="123" t="s">
        <v>126</v>
      </c>
      <c r="D1345" s="124">
        <v>6.0</v>
      </c>
      <c r="E1345" s="124">
        <v>3.0</v>
      </c>
      <c r="F1345" s="124" t="s">
        <v>284</v>
      </c>
      <c r="G1345" s="129" t="s">
        <v>1156</v>
      </c>
      <c r="H1345" s="127" t="s">
        <v>430</v>
      </c>
      <c r="I1345" s="127" t="s">
        <v>431</v>
      </c>
      <c r="J1345" s="124">
        <v>47.0</v>
      </c>
      <c r="K1345" s="124" t="s">
        <v>288</v>
      </c>
      <c r="L1345" s="124" t="s">
        <v>430</v>
      </c>
    </row>
    <row r="1346">
      <c r="A1346" s="165">
        <v>43772.14775020833</v>
      </c>
      <c r="B1346" s="122" t="s">
        <v>41</v>
      </c>
      <c r="C1346" s="123" t="s">
        <v>91</v>
      </c>
      <c r="D1346" s="124">
        <v>6.0</v>
      </c>
      <c r="E1346" s="124">
        <v>3.0</v>
      </c>
      <c r="F1346" s="124" t="s">
        <v>265</v>
      </c>
      <c r="G1346" s="129" t="s">
        <v>1157</v>
      </c>
      <c r="H1346" s="127" t="s">
        <v>430</v>
      </c>
      <c r="I1346" s="127" t="s">
        <v>286</v>
      </c>
      <c r="J1346" s="124" t="s">
        <v>637</v>
      </c>
      <c r="K1346" s="124" t="s">
        <v>288</v>
      </c>
      <c r="L1346" s="124" t="s">
        <v>430</v>
      </c>
    </row>
    <row r="1347">
      <c r="A1347" s="165">
        <v>43772.14775020833</v>
      </c>
      <c r="B1347" s="122" t="s">
        <v>41</v>
      </c>
      <c r="C1347" s="123" t="s">
        <v>52</v>
      </c>
      <c r="D1347" s="124">
        <v>6.0</v>
      </c>
      <c r="E1347" s="124">
        <v>3.0</v>
      </c>
      <c r="F1347" s="124" t="s">
        <v>215</v>
      </c>
      <c r="G1347" s="129" t="s">
        <v>1149</v>
      </c>
      <c r="H1347" s="127" t="s">
        <v>430</v>
      </c>
      <c r="I1347" s="127">
        <v>-10.0</v>
      </c>
      <c r="J1347" s="124">
        <v>62.0</v>
      </c>
      <c r="K1347" s="124" t="s">
        <v>27</v>
      </c>
      <c r="L1347" s="124" t="s">
        <v>430</v>
      </c>
    </row>
    <row r="1348">
      <c r="A1348" s="165">
        <v>43772.14775020833</v>
      </c>
      <c r="B1348" s="122" t="s">
        <v>41</v>
      </c>
      <c r="C1348" s="123" t="s">
        <v>190</v>
      </c>
      <c r="D1348" s="124">
        <v>3.0</v>
      </c>
      <c r="E1348" s="124">
        <v>1.0</v>
      </c>
      <c r="F1348" s="124" t="s">
        <v>248</v>
      </c>
      <c r="G1348" s="129" t="s">
        <v>1158</v>
      </c>
      <c r="H1348" s="127" t="s">
        <v>430</v>
      </c>
      <c r="I1348" s="127">
        <v>-22.0</v>
      </c>
      <c r="J1348" s="124">
        <v>57.0</v>
      </c>
      <c r="K1348" s="124" t="s">
        <v>69</v>
      </c>
      <c r="L1348" s="124" t="s">
        <v>430</v>
      </c>
    </row>
    <row r="1349">
      <c r="A1349" s="165">
        <v>43772.14775020833</v>
      </c>
      <c r="B1349" s="122" t="s">
        <v>41</v>
      </c>
      <c r="C1349" s="123" t="s">
        <v>168</v>
      </c>
      <c r="D1349" s="124">
        <v>4.0</v>
      </c>
      <c r="E1349" s="124">
        <v>5.0</v>
      </c>
      <c r="F1349" s="124" t="s">
        <v>273</v>
      </c>
      <c r="G1349" s="129" t="s">
        <v>1159</v>
      </c>
      <c r="H1349" s="127" t="s">
        <v>430</v>
      </c>
      <c r="I1349" s="127" t="s">
        <v>244</v>
      </c>
      <c r="J1349" s="124">
        <v>65.0</v>
      </c>
      <c r="K1349" s="124" t="s">
        <v>53</v>
      </c>
      <c r="L1349" s="124" t="s">
        <v>430</v>
      </c>
    </row>
    <row r="1350">
      <c r="A1350" s="165">
        <v>43772.14775020833</v>
      </c>
      <c r="B1350" s="122" t="s">
        <v>41</v>
      </c>
      <c r="C1350" s="123" t="s">
        <v>159</v>
      </c>
      <c r="D1350" s="124">
        <v>4.0</v>
      </c>
      <c r="E1350" s="124">
        <v>4.0</v>
      </c>
      <c r="F1350" s="124" t="s">
        <v>215</v>
      </c>
      <c r="G1350" s="129" t="s">
        <v>1160</v>
      </c>
      <c r="H1350" s="127" t="s">
        <v>430</v>
      </c>
      <c r="I1350" s="127" t="s">
        <v>379</v>
      </c>
      <c r="J1350" s="124">
        <v>50.0</v>
      </c>
      <c r="K1350" s="124" t="s">
        <v>41</v>
      </c>
      <c r="L1350" s="124" t="s">
        <v>430</v>
      </c>
    </row>
    <row r="1351">
      <c r="A1351" s="165">
        <v>43772.14775020833</v>
      </c>
      <c r="B1351" s="122" t="s">
        <v>41</v>
      </c>
      <c r="C1351" s="123" t="s">
        <v>109</v>
      </c>
      <c r="D1351" s="124">
        <v>4.0</v>
      </c>
      <c r="E1351" s="124">
        <v>4.0</v>
      </c>
      <c r="F1351" s="124" t="s">
        <v>215</v>
      </c>
      <c r="G1351" s="129" t="s">
        <v>1160</v>
      </c>
      <c r="H1351" s="127" t="s">
        <v>430</v>
      </c>
      <c r="I1351" s="127" t="s">
        <v>418</v>
      </c>
      <c r="J1351" s="124">
        <v>50.0</v>
      </c>
      <c r="K1351" s="124" t="s">
        <v>41</v>
      </c>
      <c r="L1351" s="124" t="s">
        <v>430</v>
      </c>
    </row>
    <row r="1352">
      <c r="A1352" s="165">
        <v>43772.14775020833</v>
      </c>
      <c r="B1352" s="122" t="s">
        <v>41</v>
      </c>
      <c r="C1352" s="123" t="s">
        <v>146</v>
      </c>
      <c r="D1352" s="124">
        <v>4.0</v>
      </c>
      <c r="E1352" s="124">
        <v>4.0</v>
      </c>
      <c r="F1352" s="124" t="s">
        <v>248</v>
      </c>
      <c r="G1352" s="129" t="s">
        <v>202</v>
      </c>
      <c r="H1352" s="127"/>
      <c r="I1352" s="127" t="s">
        <v>203</v>
      </c>
      <c r="J1352" s="124" t="s">
        <v>203</v>
      </c>
      <c r="K1352" s="124"/>
      <c r="L1352" s="124">
        <v>9999.0</v>
      </c>
    </row>
    <row r="1353">
      <c r="A1353" s="165">
        <v>43772.14775020833</v>
      </c>
      <c r="B1353" s="122" t="s">
        <v>41</v>
      </c>
      <c r="C1353" s="123" t="s">
        <v>180</v>
      </c>
      <c r="D1353" s="124">
        <v>5.0</v>
      </c>
      <c r="E1353" s="124">
        <v>3.0</v>
      </c>
      <c r="F1353" s="124" t="s">
        <v>248</v>
      </c>
      <c r="G1353" s="129" t="s">
        <v>202</v>
      </c>
      <c r="H1353" s="127"/>
      <c r="I1353" s="127" t="s">
        <v>203</v>
      </c>
      <c r="J1353" s="124" t="s">
        <v>203</v>
      </c>
      <c r="K1353" s="124"/>
      <c r="L1353" s="124">
        <v>9999.0</v>
      </c>
    </row>
    <row r="1354">
      <c r="A1354" s="136" t="s">
        <v>359</v>
      </c>
      <c r="B1354" s="122" t="s">
        <v>2</v>
      </c>
      <c r="C1354" s="123" t="s">
        <v>227</v>
      </c>
      <c r="D1354" s="124" t="s">
        <v>29</v>
      </c>
      <c r="E1354" s="124" t="s">
        <v>34</v>
      </c>
      <c r="F1354" s="124" t="s">
        <v>261</v>
      </c>
      <c r="G1354" s="129" t="s">
        <v>245</v>
      </c>
      <c r="H1354" s="127" t="s">
        <v>228</v>
      </c>
      <c r="I1354" s="127" t="s">
        <v>229</v>
      </c>
      <c r="J1354" s="124" t="s">
        <v>262</v>
      </c>
      <c r="K1354" s="124" t="s">
        <v>263</v>
      </c>
      <c r="L1354" s="124" t="s">
        <v>264</v>
      </c>
    </row>
    <row r="1355">
      <c r="A1355" s="165">
        <v>43772.14775020833</v>
      </c>
      <c r="B1355" s="122" t="s">
        <v>44</v>
      </c>
      <c r="C1355" s="123" t="s">
        <v>188</v>
      </c>
      <c r="D1355" s="124">
        <v>5.0</v>
      </c>
      <c r="E1355" s="124">
        <v>3.0</v>
      </c>
      <c r="F1355" s="124" t="s">
        <v>248</v>
      </c>
      <c r="G1355" s="129" t="s">
        <v>1161</v>
      </c>
      <c r="H1355" s="127" t="s">
        <v>430</v>
      </c>
      <c r="I1355" s="127" t="s">
        <v>401</v>
      </c>
      <c r="J1355" s="124" t="s">
        <v>283</v>
      </c>
      <c r="K1355" s="124" t="s">
        <v>58</v>
      </c>
      <c r="L1355" s="124" t="s">
        <v>430</v>
      </c>
    </row>
    <row r="1356">
      <c r="A1356" s="165">
        <v>43772.14775020833</v>
      </c>
      <c r="B1356" s="122" t="s">
        <v>44</v>
      </c>
      <c r="C1356" s="123" t="s">
        <v>37</v>
      </c>
      <c r="D1356" s="124">
        <v>7.0</v>
      </c>
      <c r="E1356" s="124">
        <v>1.0</v>
      </c>
      <c r="F1356" s="124" t="s">
        <v>215</v>
      </c>
      <c r="G1356" s="129" t="s">
        <v>1162</v>
      </c>
      <c r="H1356" s="127" t="s">
        <v>430</v>
      </c>
      <c r="I1356" s="127" t="s">
        <v>521</v>
      </c>
      <c r="J1356" s="124">
        <v>56.0</v>
      </c>
      <c r="K1356" s="124" t="s">
        <v>74</v>
      </c>
      <c r="L1356" s="124" t="s">
        <v>430</v>
      </c>
    </row>
    <row r="1357">
      <c r="A1357" s="165">
        <v>43772.14775020833</v>
      </c>
      <c r="B1357" s="122" t="s">
        <v>44</v>
      </c>
      <c r="C1357" s="123" t="s">
        <v>145</v>
      </c>
      <c r="D1357" s="124">
        <v>3.0</v>
      </c>
      <c r="E1357" s="124">
        <v>6.0</v>
      </c>
      <c r="F1357" s="124" t="s">
        <v>260</v>
      </c>
      <c r="G1357" s="129" t="s">
        <v>1163</v>
      </c>
      <c r="H1357" s="127" t="s">
        <v>430</v>
      </c>
      <c r="I1357" s="127">
        <v>-1.0</v>
      </c>
      <c r="J1357" s="124" t="s">
        <v>387</v>
      </c>
      <c r="K1357" s="124" t="s">
        <v>74</v>
      </c>
      <c r="L1357" s="124" t="s">
        <v>430</v>
      </c>
    </row>
    <row r="1358">
      <c r="A1358" s="165">
        <v>43772.14775020833</v>
      </c>
      <c r="B1358" s="122" t="s">
        <v>44</v>
      </c>
      <c r="C1358" s="123" t="s">
        <v>61</v>
      </c>
      <c r="D1358" s="124">
        <v>5.0</v>
      </c>
      <c r="E1358" s="124">
        <v>4.0</v>
      </c>
      <c r="F1358" s="124" t="s">
        <v>285</v>
      </c>
      <c r="G1358" s="129" t="s">
        <v>1164</v>
      </c>
      <c r="H1358" s="127" t="s">
        <v>430</v>
      </c>
      <c r="I1358" s="127" t="s">
        <v>428</v>
      </c>
      <c r="J1358" s="124">
        <v>60.0</v>
      </c>
      <c r="K1358" s="124" t="s">
        <v>62</v>
      </c>
      <c r="L1358" s="124" t="s">
        <v>430</v>
      </c>
    </row>
    <row r="1359">
      <c r="A1359" s="165">
        <v>43772.14775020833</v>
      </c>
      <c r="B1359" s="122" t="s">
        <v>44</v>
      </c>
      <c r="C1359" s="123" t="s">
        <v>132</v>
      </c>
      <c r="D1359" s="124">
        <v>4.0</v>
      </c>
      <c r="E1359" s="124">
        <v>5.0</v>
      </c>
      <c r="F1359" s="124" t="s">
        <v>282</v>
      </c>
      <c r="G1359" s="129" t="s">
        <v>1165</v>
      </c>
      <c r="H1359" s="127" t="s">
        <v>430</v>
      </c>
      <c r="I1359" s="127">
        <v>3.0</v>
      </c>
      <c r="J1359" s="124" t="s">
        <v>419</v>
      </c>
      <c r="K1359" s="124" t="s">
        <v>48</v>
      </c>
      <c r="L1359" s="124" t="s">
        <v>430</v>
      </c>
    </row>
    <row r="1360">
      <c r="A1360" s="165">
        <v>43772.14775020833</v>
      </c>
      <c r="B1360" s="122" t="s">
        <v>44</v>
      </c>
      <c r="C1360" s="123" t="s">
        <v>173</v>
      </c>
      <c r="D1360" s="124">
        <v>2.0</v>
      </c>
      <c r="E1360" s="124">
        <v>7.0</v>
      </c>
      <c r="F1360" s="124" t="s">
        <v>287</v>
      </c>
      <c r="G1360" s="129" t="s">
        <v>1166</v>
      </c>
      <c r="H1360" s="127" t="s">
        <v>430</v>
      </c>
      <c r="I1360" s="127" t="s">
        <v>257</v>
      </c>
      <c r="J1360" s="124">
        <v>58.0</v>
      </c>
      <c r="K1360" s="124" t="s">
        <v>53</v>
      </c>
      <c r="L1360" s="124" t="s">
        <v>430</v>
      </c>
    </row>
    <row r="1361">
      <c r="A1361" s="165">
        <v>43772.14775020833</v>
      </c>
      <c r="B1361" s="122" t="s">
        <v>44</v>
      </c>
      <c r="C1361" s="123" t="s">
        <v>161</v>
      </c>
      <c r="D1361" s="124">
        <v>4.0</v>
      </c>
      <c r="E1361" s="124">
        <v>5.0</v>
      </c>
      <c r="F1361" s="124" t="s">
        <v>273</v>
      </c>
      <c r="G1361" s="129" t="s">
        <v>1167</v>
      </c>
      <c r="H1361" s="127" t="s">
        <v>430</v>
      </c>
      <c r="I1361" s="127" t="s">
        <v>512</v>
      </c>
      <c r="J1361" s="124">
        <v>71.0</v>
      </c>
      <c r="K1361" s="124" t="s">
        <v>60</v>
      </c>
      <c r="L1361" s="124" t="s">
        <v>430</v>
      </c>
    </row>
    <row r="1362">
      <c r="A1362" s="165">
        <v>43772.14775020833</v>
      </c>
      <c r="B1362" s="122" t="s">
        <v>44</v>
      </c>
      <c r="C1362" s="123" t="s">
        <v>150</v>
      </c>
      <c r="D1362" s="124">
        <v>7.0</v>
      </c>
      <c r="E1362" s="124">
        <v>1.0</v>
      </c>
      <c r="F1362" s="124" t="s">
        <v>260</v>
      </c>
      <c r="G1362" s="129" t="s">
        <v>1168</v>
      </c>
      <c r="H1362" s="127" t="s">
        <v>430</v>
      </c>
      <c r="I1362" s="127">
        <v>-17.0</v>
      </c>
      <c r="J1362" s="124">
        <v>59.0</v>
      </c>
      <c r="K1362" s="124" t="s">
        <v>53</v>
      </c>
      <c r="L1362" s="124" t="s">
        <v>430</v>
      </c>
    </row>
    <row r="1363">
      <c r="A1363" s="165">
        <v>43772.14775020833</v>
      </c>
      <c r="B1363" s="122" t="s">
        <v>44</v>
      </c>
      <c r="C1363" s="123" t="s">
        <v>122</v>
      </c>
      <c r="D1363" s="124">
        <v>6.0</v>
      </c>
      <c r="E1363" s="124">
        <v>2.0</v>
      </c>
      <c r="F1363" s="124" t="s">
        <v>248</v>
      </c>
      <c r="G1363" s="129" t="s">
        <v>202</v>
      </c>
      <c r="H1363" s="127"/>
      <c r="I1363" s="127" t="s">
        <v>203</v>
      </c>
      <c r="J1363" s="124" t="s">
        <v>203</v>
      </c>
      <c r="K1363" s="124"/>
      <c r="L1363" s="124">
        <v>9999.0</v>
      </c>
    </row>
    <row r="1364">
      <c r="A1364" s="165">
        <v>43772.14775020833</v>
      </c>
      <c r="B1364" s="122" t="s">
        <v>44</v>
      </c>
      <c r="C1364" s="123" t="s">
        <v>104</v>
      </c>
      <c r="D1364" s="124">
        <v>3.0</v>
      </c>
      <c r="E1364" s="124">
        <v>5.0</v>
      </c>
      <c r="F1364" s="124" t="s">
        <v>248</v>
      </c>
      <c r="G1364" s="129" t="s">
        <v>202</v>
      </c>
      <c r="H1364" s="127"/>
      <c r="I1364" s="127" t="s">
        <v>203</v>
      </c>
      <c r="J1364" s="124" t="s">
        <v>203</v>
      </c>
      <c r="K1364" s="124"/>
      <c r="L1364" s="124">
        <v>9999.0</v>
      </c>
    </row>
    <row r="1365">
      <c r="A1365" s="136" t="s">
        <v>359</v>
      </c>
      <c r="B1365" s="122" t="s">
        <v>2</v>
      </c>
      <c r="C1365" s="123" t="s">
        <v>227</v>
      </c>
      <c r="D1365" s="124" t="s">
        <v>29</v>
      </c>
      <c r="E1365" s="124" t="s">
        <v>34</v>
      </c>
      <c r="F1365" s="124" t="s">
        <v>261</v>
      </c>
      <c r="G1365" s="129" t="s">
        <v>245</v>
      </c>
      <c r="H1365" s="127" t="s">
        <v>228</v>
      </c>
      <c r="I1365" s="127" t="s">
        <v>229</v>
      </c>
      <c r="J1365" s="124" t="s">
        <v>262</v>
      </c>
      <c r="K1365" s="124" t="s">
        <v>263</v>
      </c>
      <c r="L1365" s="124" t="s">
        <v>264</v>
      </c>
    </row>
    <row r="1366">
      <c r="A1366" s="165">
        <v>43772.14775020833</v>
      </c>
      <c r="B1366" s="122" t="s">
        <v>48</v>
      </c>
      <c r="C1366" s="123" t="s">
        <v>105</v>
      </c>
      <c r="D1366" s="124">
        <v>3.0</v>
      </c>
      <c r="E1366" s="124">
        <v>5.0</v>
      </c>
      <c r="F1366" s="124" t="s">
        <v>201</v>
      </c>
      <c r="G1366" s="129" t="s">
        <v>1169</v>
      </c>
      <c r="H1366" s="127" t="s">
        <v>430</v>
      </c>
      <c r="I1366" s="127" t="s">
        <v>526</v>
      </c>
      <c r="J1366" s="124">
        <v>57.0</v>
      </c>
      <c r="K1366" s="124" t="s">
        <v>58</v>
      </c>
      <c r="L1366" s="124" t="s">
        <v>430</v>
      </c>
    </row>
    <row r="1367">
      <c r="A1367" s="165">
        <v>43772.14775020833</v>
      </c>
      <c r="B1367" s="122" t="s">
        <v>48</v>
      </c>
      <c r="C1367" s="123" t="s">
        <v>33</v>
      </c>
      <c r="D1367" s="124">
        <v>3.0</v>
      </c>
      <c r="E1367" s="124">
        <v>6.0</v>
      </c>
      <c r="F1367" s="124" t="s">
        <v>215</v>
      </c>
      <c r="G1367" s="129" t="s">
        <v>1170</v>
      </c>
      <c r="H1367" s="127" t="s">
        <v>430</v>
      </c>
      <c r="I1367" s="127">
        <v>23.0</v>
      </c>
      <c r="J1367" s="124" t="s">
        <v>764</v>
      </c>
      <c r="K1367" s="124" t="s">
        <v>60</v>
      </c>
      <c r="L1367" s="124" t="s">
        <v>430</v>
      </c>
    </row>
    <row r="1368">
      <c r="A1368" s="165">
        <v>43772.14775020833</v>
      </c>
      <c r="B1368" s="122" t="s">
        <v>48</v>
      </c>
      <c r="C1368" s="123" t="s">
        <v>120</v>
      </c>
      <c r="D1368" s="124">
        <v>3.0</v>
      </c>
      <c r="E1368" s="124">
        <v>6.0</v>
      </c>
      <c r="F1368" s="124" t="s">
        <v>278</v>
      </c>
      <c r="G1368" s="129" t="s">
        <v>1145</v>
      </c>
      <c r="H1368" s="127" t="s">
        <v>430</v>
      </c>
      <c r="I1368" s="127">
        <v>2.0</v>
      </c>
      <c r="J1368" s="124">
        <v>55.0</v>
      </c>
      <c r="K1368" s="124" t="s">
        <v>27</v>
      </c>
      <c r="L1368" s="124" t="s">
        <v>430</v>
      </c>
    </row>
    <row r="1369">
      <c r="A1369" s="165">
        <v>43772.14775020833</v>
      </c>
      <c r="B1369" s="122" t="s">
        <v>48</v>
      </c>
      <c r="C1369" s="123" t="s">
        <v>176</v>
      </c>
      <c r="D1369" s="124">
        <v>7.0</v>
      </c>
      <c r="E1369" s="124">
        <v>1.0</v>
      </c>
      <c r="F1369" s="124" t="s">
        <v>234</v>
      </c>
      <c r="G1369" s="129" t="s">
        <v>1171</v>
      </c>
      <c r="H1369" s="127" t="s">
        <v>430</v>
      </c>
      <c r="I1369" s="127" t="s">
        <v>512</v>
      </c>
      <c r="J1369" s="124">
        <v>47.0</v>
      </c>
      <c r="K1369" s="124" t="s">
        <v>60</v>
      </c>
      <c r="L1369" s="124" t="s">
        <v>430</v>
      </c>
    </row>
    <row r="1370">
      <c r="A1370" s="165">
        <v>43772.14775020833</v>
      </c>
      <c r="B1370" s="122" t="s">
        <v>48</v>
      </c>
      <c r="C1370" s="123" t="s">
        <v>187</v>
      </c>
      <c r="D1370" s="124">
        <v>2.0</v>
      </c>
      <c r="E1370" s="124">
        <v>2.0</v>
      </c>
      <c r="F1370" s="124" t="s">
        <v>242</v>
      </c>
      <c r="G1370" s="129" t="s">
        <v>1172</v>
      </c>
      <c r="H1370" s="127" t="s">
        <v>430</v>
      </c>
      <c r="I1370" s="127">
        <v>-2.0</v>
      </c>
      <c r="J1370" s="124" t="s">
        <v>626</v>
      </c>
      <c r="K1370" s="124" t="s">
        <v>53</v>
      </c>
      <c r="L1370" s="124" t="s">
        <v>430</v>
      </c>
    </row>
    <row r="1371">
      <c r="A1371" s="165">
        <v>43772.14775020833</v>
      </c>
      <c r="B1371" s="122" t="s">
        <v>48</v>
      </c>
      <c r="C1371" s="123" t="s">
        <v>127</v>
      </c>
      <c r="D1371" s="124">
        <v>3.0</v>
      </c>
      <c r="E1371" s="124">
        <v>6.0</v>
      </c>
      <c r="F1371" s="124" t="s">
        <v>282</v>
      </c>
      <c r="G1371" s="129" t="s">
        <v>1165</v>
      </c>
      <c r="H1371" s="127" t="s">
        <v>430</v>
      </c>
      <c r="I1371" s="127">
        <v>-3.0</v>
      </c>
      <c r="J1371" s="124" t="s">
        <v>419</v>
      </c>
      <c r="K1371" s="124" t="s">
        <v>44</v>
      </c>
      <c r="L1371" s="124" t="s">
        <v>430</v>
      </c>
    </row>
    <row r="1372">
      <c r="A1372" s="165">
        <v>43772.14775020833</v>
      </c>
      <c r="B1372" s="122" t="s">
        <v>48</v>
      </c>
      <c r="C1372" s="123" t="s">
        <v>90</v>
      </c>
      <c r="D1372" s="124">
        <v>4.0</v>
      </c>
      <c r="E1372" s="124">
        <v>5.0</v>
      </c>
      <c r="F1372" s="124" t="s">
        <v>285</v>
      </c>
      <c r="G1372" s="129" t="s">
        <v>1173</v>
      </c>
      <c r="H1372" s="127" t="s">
        <v>430</v>
      </c>
      <c r="I1372" s="127">
        <v>-2.0</v>
      </c>
      <c r="J1372" s="124" t="s">
        <v>283</v>
      </c>
      <c r="K1372" s="124" t="s">
        <v>53</v>
      </c>
      <c r="L1372" s="124" t="s">
        <v>430</v>
      </c>
    </row>
    <row r="1373">
      <c r="A1373" s="165">
        <v>43772.14775020833</v>
      </c>
      <c r="B1373" s="122" t="s">
        <v>48</v>
      </c>
      <c r="C1373" s="123" t="s">
        <v>155</v>
      </c>
      <c r="D1373" s="124">
        <v>2.0</v>
      </c>
      <c r="E1373" s="124">
        <v>7.0</v>
      </c>
      <c r="F1373" s="124" t="s">
        <v>242</v>
      </c>
      <c r="G1373" s="129" t="s">
        <v>1174</v>
      </c>
      <c r="H1373" s="127" t="s">
        <v>430</v>
      </c>
      <c r="I1373" s="127">
        <v>4.0</v>
      </c>
      <c r="J1373" s="124">
        <v>59.0</v>
      </c>
      <c r="K1373" s="124" t="s">
        <v>64</v>
      </c>
      <c r="L1373" s="124" t="s">
        <v>430</v>
      </c>
    </row>
    <row r="1374">
      <c r="A1374" s="165">
        <v>43772.14775020833</v>
      </c>
      <c r="B1374" s="122" t="s">
        <v>48</v>
      </c>
      <c r="C1374" s="123" t="s">
        <v>144</v>
      </c>
      <c r="D1374" s="124">
        <v>4.0</v>
      </c>
      <c r="E1374" s="124">
        <v>4.0</v>
      </c>
      <c r="F1374" s="124" t="s">
        <v>248</v>
      </c>
      <c r="G1374" s="129" t="s">
        <v>202</v>
      </c>
      <c r="H1374" s="127"/>
      <c r="I1374" s="127" t="s">
        <v>203</v>
      </c>
      <c r="J1374" s="124" t="s">
        <v>203</v>
      </c>
      <c r="K1374" s="124"/>
      <c r="L1374" s="124">
        <v>9999.0</v>
      </c>
    </row>
    <row r="1375">
      <c r="A1375" s="165">
        <v>43772.14775020833</v>
      </c>
      <c r="B1375" s="122" t="s">
        <v>48</v>
      </c>
      <c r="C1375" s="123" t="s">
        <v>162</v>
      </c>
      <c r="D1375" s="124">
        <v>5.0</v>
      </c>
      <c r="E1375" s="124">
        <v>3.0</v>
      </c>
      <c r="F1375" s="124" t="s">
        <v>248</v>
      </c>
      <c r="G1375" s="129" t="s">
        <v>202</v>
      </c>
      <c r="H1375" s="127"/>
      <c r="I1375" s="127" t="s">
        <v>203</v>
      </c>
      <c r="J1375" s="124" t="s">
        <v>203</v>
      </c>
      <c r="K1375" s="124"/>
      <c r="L1375" s="124">
        <v>9999.0</v>
      </c>
    </row>
    <row r="1376">
      <c r="A1376" s="136" t="s">
        <v>359</v>
      </c>
      <c r="B1376" s="122" t="s">
        <v>2</v>
      </c>
      <c r="C1376" s="123" t="s">
        <v>227</v>
      </c>
      <c r="D1376" s="124" t="s">
        <v>29</v>
      </c>
      <c r="E1376" s="124" t="s">
        <v>34</v>
      </c>
      <c r="F1376" s="124" t="s">
        <v>261</v>
      </c>
      <c r="G1376" s="129" t="s">
        <v>245</v>
      </c>
      <c r="H1376" s="127" t="s">
        <v>228</v>
      </c>
      <c r="I1376" s="127" t="s">
        <v>229</v>
      </c>
      <c r="J1376" s="124" t="s">
        <v>262</v>
      </c>
      <c r="K1376" s="124" t="s">
        <v>263</v>
      </c>
      <c r="L1376" s="124" t="s">
        <v>264</v>
      </c>
    </row>
    <row r="1377">
      <c r="A1377" s="165">
        <v>43772.14775020833</v>
      </c>
      <c r="B1377" s="122" t="s">
        <v>53</v>
      </c>
      <c r="C1377" s="123" t="s">
        <v>191</v>
      </c>
      <c r="D1377" s="124">
        <v>3.0</v>
      </c>
      <c r="E1377" s="124">
        <v>5.0</v>
      </c>
      <c r="F1377" s="124" t="s">
        <v>248</v>
      </c>
      <c r="G1377" s="129" t="s">
        <v>1172</v>
      </c>
      <c r="H1377" s="127" t="s">
        <v>430</v>
      </c>
      <c r="I1377" s="127">
        <v>2.0</v>
      </c>
      <c r="J1377" s="124" t="s">
        <v>626</v>
      </c>
      <c r="K1377" s="124" t="s">
        <v>48</v>
      </c>
      <c r="L1377" s="124" t="s">
        <v>430</v>
      </c>
    </row>
    <row r="1378">
      <c r="A1378" s="165">
        <v>43772.14775020833</v>
      </c>
      <c r="B1378" s="122" t="s">
        <v>53</v>
      </c>
      <c r="C1378" s="123" t="s">
        <v>179</v>
      </c>
      <c r="D1378" s="124">
        <v>4.0</v>
      </c>
      <c r="E1378" s="124">
        <v>5.0</v>
      </c>
      <c r="F1378" s="124" t="s">
        <v>287</v>
      </c>
      <c r="G1378" s="129" t="s">
        <v>1166</v>
      </c>
      <c r="H1378" s="127" t="s">
        <v>430</v>
      </c>
      <c r="I1378" s="127" t="s">
        <v>286</v>
      </c>
      <c r="J1378" s="124">
        <v>58.0</v>
      </c>
      <c r="K1378" s="124" t="s">
        <v>44</v>
      </c>
      <c r="L1378" s="124" t="s">
        <v>430</v>
      </c>
    </row>
    <row r="1379">
      <c r="A1379" s="165">
        <v>43772.14775020833</v>
      </c>
      <c r="B1379" s="122" t="s">
        <v>53</v>
      </c>
      <c r="C1379" s="123" t="s">
        <v>136</v>
      </c>
      <c r="D1379" s="124">
        <v>6.0</v>
      </c>
      <c r="E1379" s="124">
        <v>2.0</v>
      </c>
      <c r="F1379" s="124" t="s">
        <v>242</v>
      </c>
      <c r="G1379" s="129" t="s">
        <v>1175</v>
      </c>
      <c r="H1379" s="127" t="s">
        <v>430</v>
      </c>
      <c r="I1379" s="127" t="s">
        <v>492</v>
      </c>
      <c r="J1379" s="124" t="s">
        <v>283</v>
      </c>
      <c r="K1379" s="124" t="s">
        <v>58</v>
      </c>
      <c r="L1379" s="124" t="s">
        <v>430</v>
      </c>
    </row>
    <row r="1380">
      <c r="A1380" s="165">
        <v>43772.14775020833</v>
      </c>
      <c r="B1380" s="122" t="s">
        <v>53</v>
      </c>
      <c r="C1380" s="123" t="s">
        <v>42</v>
      </c>
      <c r="D1380" s="124">
        <v>8.0</v>
      </c>
      <c r="E1380" s="124">
        <v>1.0</v>
      </c>
      <c r="F1380" s="124" t="s">
        <v>207</v>
      </c>
      <c r="G1380" s="129" t="s">
        <v>1176</v>
      </c>
      <c r="H1380" s="127" t="s">
        <v>430</v>
      </c>
      <c r="I1380" s="127" t="s">
        <v>376</v>
      </c>
      <c r="J1380" s="124" t="s">
        <v>516</v>
      </c>
      <c r="K1380" s="124" t="s">
        <v>69</v>
      </c>
      <c r="L1380" s="124" t="s">
        <v>430</v>
      </c>
    </row>
    <row r="1381">
      <c r="A1381" s="165">
        <v>43772.14775020833</v>
      </c>
      <c r="B1381" s="122" t="s">
        <v>53</v>
      </c>
      <c r="C1381" s="123" t="s">
        <v>93</v>
      </c>
      <c r="D1381" s="124">
        <v>6.0</v>
      </c>
      <c r="E1381" s="124">
        <v>3.0</v>
      </c>
      <c r="F1381" s="124" t="s">
        <v>285</v>
      </c>
      <c r="G1381" s="129" t="s">
        <v>1173</v>
      </c>
      <c r="H1381" s="127" t="s">
        <v>430</v>
      </c>
      <c r="I1381" s="127">
        <v>2.0</v>
      </c>
      <c r="J1381" s="124" t="s">
        <v>283</v>
      </c>
      <c r="K1381" s="124" t="s">
        <v>48</v>
      </c>
      <c r="L1381" s="124" t="s">
        <v>430</v>
      </c>
    </row>
    <row r="1382">
      <c r="A1382" s="165">
        <v>43772.14775020833</v>
      </c>
      <c r="B1382" s="122" t="s">
        <v>53</v>
      </c>
      <c r="C1382" s="123" t="s">
        <v>164</v>
      </c>
      <c r="D1382" s="124">
        <v>3.0</v>
      </c>
      <c r="E1382" s="124">
        <v>6.0</v>
      </c>
      <c r="F1382" s="124" t="s">
        <v>273</v>
      </c>
      <c r="G1382" s="129" t="s">
        <v>1159</v>
      </c>
      <c r="H1382" s="127" t="s">
        <v>430</v>
      </c>
      <c r="I1382" s="127" t="s">
        <v>247</v>
      </c>
      <c r="J1382" s="124">
        <v>65.0</v>
      </c>
      <c r="K1382" s="124" t="s">
        <v>41</v>
      </c>
      <c r="L1382" s="124" t="s">
        <v>430</v>
      </c>
    </row>
    <row r="1383">
      <c r="A1383" s="165">
        <v>43772.14775020833</v>
      </c>
      <c r="B1383" s="122" t="s">
        <v>53</v>
      </c>
      <c r="C1383" s="123" t="s">
        <v>157</v>
      </c>
      <c r="D1383" s="124">
        <v>4.0</v>
      </c>
      <c r="E1383" s="124">
        <v>5.0</v>
      </c>
      <c r="F1383" s="124" t="s">
        <v>248</v>
      </c>
      <c r="G1383" s="129" t="s">
        <v>1168</v>
      </c>
      <c r="H1383" s="127" t="s">
        <v>430</v>
      </c>
      <c r="I1383" s="127">
        <v>17.0</v>
      </c>
      <c r="J1383" s="124">
        <v>59.0</v>
      </c>
      <c r="K1383" s="124" t="s">
        <v>44</v>
      </c>
      <c r="L1383" s="124" t="s">
        <v>430</v>
      </c>
    </row>
    <row r="1384">
      <c r="A1384" s="165">
        <v>43772.14775020833</v>
      </c>
      <c r="B1384" s="122" t="s">
        <v>53</v>
      </c>
      <c r="C1384" s="123" t="s">
        <v>100</v>
      </c>
      <c r="D1384" s="124">
        <v>7.0</v>
      </c>
      <c r="E1384" s="124">
        <v>1.0</v>
      </c>
      <c r="F1384" s="124" t="s">
        <v>248</v>
      </c>
      <c r="G1384" s="129" t="s">
        <v>202</v>
      </c>
      <c r="H1384" s="127"/>
      <c r="I1384" s="127" t="s">
        <v>203</v>
      </c>
      <c r="J1384" s="124" t="s">
        <v>203</v>
      </c>
      <c r="K1384" s="124"/>
      <c r="L1384" s="124">
        <v>9999.0</v>
      </c>
    </row>
    <row r="1385">
      <c r="A1385" s="165">
        <v>43772.14775020833</v>
      </c>
      <c r="B1385" s="122" t="s">
        <v>53</v>
      </c>
      <c r="C1385" s="123" t="s">
        <v>148</v>
      </c>
      <c r="D1385" s="124">
        <v>5.0</v>
      </c>
      <c r="E1385" s="124">
        <v>4.0</v>
      </c>
      <c r="F1385" s="124" t="s">
        <v>260</v>
      </c>
      <c r="G1385" s="129" t="s">
        <v>202</v>
      </c>
      <c r="H1385" s="127"/>
      <c r="I1385" s="127" t="s">
        <v>203</v>
      </c>
      <c r="J1385" s="124" t="s">
        <v>203</v>
      </c>
      <c r="K1385" s="124"/>
      <c r="L1385" s="124">
        <v>9999.0</v>
      </c>
    </row>
    <row r="1386">
      <c r="A1386" s="165">
        <v>43772.14775020833</v>
      </c>
      <c r="B1386" s="122" t="s">
        <v>53</v>
      </c>
      <c r="C1386" s="123" t="s">
        <v>119</v>
      </c>
      <c r="D1386" s="124">
        <v>8.0</v>
      </c>
      <c r="E1386" s="124">
        <v>0.0</v>
      </c>
      <c r="F1386" s="124" t="s">
        <v>248</v>
      </c>
      <c r="G1386" s="129" t="s">
        <v>202</v>
      </c>
      <c r="H1386" s="127"/>
      <c r="I1386" s="127" t="s">
        <v>203</v>
      </c>
      <c r="J1386" s="124" t="s">
        <v>203</v>
      </c>
      <c r="K1386" s="124"/>
      <c r="L1386" s="124">
        <v>9999.0</v>
      </c>
    </row>
    <row r="1387">
      <c r="A1387" s="136" t="s">
        <v>359</v>
      </c>
      <c r="B1387" s="122" t="s">
        <v>2</v>
      </c>
      <c r="C1387" s="123" t="s">
        <v>227</v>
      </c>
      <c r="D1387" s="124" t="s">
        <v>29</v>
      </c>
      <c r="E1387" s="124" t="s">
        <v>34</v>
      </c>
      <c r="F1387" s="124" t="s">
        <v>261</v>
      </c>
      <c r="G1387" s="129" t="s">
        <v>245</v>
      </c>
      <c r="H1387" s="127" t="s">
        <v>228</v>
      </c>
      <c r="I1387" s="127" t="s">
        <v>229</v>
      </c>
      <c r="J1387" s="124" t="s">
        <v>262</v>
      </c>
      <c r="K1387" s="124" t="s">
        <v>263</v>
      </c>
      <c r="L1387" s="124" t="s">
        <v>264</v>
      </c>
    </row>
    <row r="1388">
      <c r="A1388" s="165">
        <v>43772.14775020833</v>
      </c>
      <c r="B1388" s="122" t="s">
        <v>58</v>
      </c>
      <c r="C1388" s="123" t="s">
        <v>96</v>
      </c>
      <c r="D1388" s="124">
        <v>8.0</v>
      </c>
      <c r="E1388" s="124">
        <v>0.0</v>
      </c>
      <c r="F1388" s="124" t="s">
        <v>201</v>
      </c>
      <c r="G1388" s="129" t="s">
        <v>1169</v>
      </c>
      <c r="H1388" s="127" t="s">
        <v>430</v>
      </c>
      <c r="I1388" s="127" t="s">
        <v>426</v>
      </c>
      <c r="J1388" s="124">
        <v>57.0</v>
      </c>
      <c r="K1388" s="124" t="s">
        <v>48</v>
      </c>
      <c r="L1388" s="124" t="s">
        <v>430</v>
      </c>
    </row>
    <row r="1389">
      <c r="A1389" s="165">
        <v>43772.14775020833</v>
      </c>
      <c r="B1389" s="122" t="s">
        <v>58</v>
      </c>
      <c r="C1389" s="123" t="s">
        <v>186</v>
      </c>
      <c r="D1389" s="124">
        <v>7.0</v>
      </c>
      <c r="E1389" s="124">
        <v>1.0</v>
      </c>
      <c r="F1389" s="124" t="s">
        <v>248</v>
      </c>
      <c r="G1389" s="129" t="s">
        <v>1161</v>
      </c>
      <c r="H1389" s="127" t="s">
        <v>430</v>
      </c>
      <c r="I1389" s="127" t="s">
        <v>523</v>
      </c>
      <c r="J1389" s="124" t="s">
        <v>283</v>
      </c>
      <c r="K1389" s="124" t="s">
        <v>44</v>
      </c>
      <c r="L1389" s="124" t="s">
        <v>430</v>
      </c>
    </row>
    <row r="1390">
      <c r="A1390" s="165">
        <v>43772.14775020833</v>
      </c>
      <c r="B1390" s="122" t="s">
        <v>58</v>
      </c>
      <c r="C1390" s="123" t="s">
        <v>140</v>
      </c>
      <c r="D1390" s="124">
        <v>5.0</v>
      </c>
      <c r="E1390" s="124">
        <v>4.0</v>
      </c>
      <c r="F1390" s="124" t="s">
        <v>242</v>
      </c>
      <c r="G1390" s="129" t="s">
        <v>1177</v>
      </c>
      <c r="H1390" s="127" t="s">
        <v>430</v>
      </c>
      <c r="I1390" s="127">
        <v>2.0</v>
      </c>
      <c r="J1390" s="124" t="s">
        <v>507</v>
      </c>
      <c r="K1390" s="124" t="s">
        <v>69</v>
      </c>
      <c r="L1390" s="124" t="s">
        <v>430</v>
      </c>
    </row>
    <row r="1391">
      <c r="A1391" s="165">
        <v>43772.14775020833</v>
      </c>
      <c r="B1391" s="122" t="s">
        <v>58</v>
      </c>
      <c r="C1391" s="123" t="s">
        <v>158</v>
      </c>
      <c r="D1391" s="124">
        <v>2.0</v>
      </c>
      <c r="E1391" s="124">
        <v>7.0</v>
      </c>
      <c r="F1391" s="124" t="s">
        <v>349</v>
      </c>
      <c r="G1391" s="129" t="s">
        <v>1178</v>
      </c>
      <c r="H1391" s="127" t="s">
        <v>430</v>
      </c>
      <c r="I1391" s="127" t="s">
        <v>257</v>
      </c>
      <c r="J1391" s="124" t="s">
        <v>240</v>
      </c>
      <c r="K1391" s="124" t="s">
        <v>69</v>
      </c>
      <c r="L1391" s="124" t="s">
        <v>430</v>
      </c>
    </row>
    <row r="1392">
      <c r="A1392" s="165">
        <v>43772.14775020833</v>
      </c>
      <c r="B1392" s="122" t="s">
        <v>58</v>
      </c>
      <c r="C1392" s="123" t="s">
        <v>135</v>
      </c>
      <c r="D1392" s="124">
        <v>5.0</v>
      </c>
      <c r="E1392" s="124">
        <v>4.0</v>
      </c>
      <c r="F1392" s="124" t="s">
        <v>267</v>
      </c>
      <c r="G1392" s="129" t="s">
        <v>1179</v>
      </c>
      <c r="H1392" s="127" t="s">
        <v>430</v>
      </c>
      <c r="I1392" s="127">
        <v>-3.0</v>
      </c>
      <c r="J1392" s="124">
        <v>48.0</v>
      </c>
      <c r="K1392" s="124" t="s">
        <v>74</v>
      </c>
      <c r="L1392" s="124" t="s">
        <v>430</v>
      </c>
    </row>
    <row r="1393">
      <c r="A1393" s="165">
        <v>43772.14775020833</v>
      </c>
      <c r="B1393" s="122" t="s">
        <v>58</v>
      </c>
      <c r="C1393" s="123" t="s">
        <v>183</v>
      </c>
      <c r="D1393" s="124">
        <v>4.0</v>
      </c>
      <c r="E1393" s="124">
        <v>5.0</v>
      </c>
      <c r="F1393" s="124" t="s">
        <v>242</v>
      </c>
      <c r="G1393" s="129" t="s">
        <v>1175</v>
      </c>
      <c r="H1393" s="127" t="s">
        <v>430</v>
      </c>
      <c r="I1393" s="127" t="s">
        <v>431</v>
      </c>
      <c r="J1393" s="124" t="s">
        <v>283</v>
      </c>
      <c r="K1393" s="124" t="s">
        <v>53</v>
      </c>
      <c r="L1393" s="124" t="s">
        <v>430</v>
      </c>
    </row>
    <row r="1394">
      <c r="A1394" s="165">
        <v>43772.14775020833</v>
      </c>
      <c r="B1394" s="122" t="s">
        <v>58</v>
      </c>
      <c r="C1394" s="123" t="s">
        <v>165</v>
      </c>
      <c r="D1394" s="124">
        <v>8.0</v>
      </c>
      <c r="E1394" s="124">
        <v>1.0</v>
      </c>
      <c r="F1394" s="124" t="s">
        <v>278</v>
      </c>
      <c r="G1394" s="129" t="s">
        <v>1180</v>
      </c>
      <c r="H1394" s="127" t="s">
        <v>430</v>
      </c>
      <c r="I1394" s="127">
        <v>-5.0</v>
      </c>
      <c r="J1394" s="124" t="s">
        <v>781</v>
      </c>
      <c r="K1394" s="124" t="s">
        <v>64</v>
      </c>
      <c r="L1394" s="124" t="s">
        <v>430</v>
      </c>
    </row>
    <row r="1395">
      <c r="A1395" s="165">
        <v>43772.14775020833</v>
      </c>
      <c r="B1395" s="122" t="s">
        <v>58</v>
      </c>
      <c r="C1395" s="123" t="s">
        <v>110</v>
      </c>
      <c r="D1395" s="124">
        <v>6.0</v>
      </c>
      <c r="E1395" s="124">
        <v>2.0</v>
      </c>
      <c r="F1395" s="124" t="s">
        <v>248</v>
      </c>
      <c r="G1395" s="129" t="s">
        <v>202</v>
      </c>
      <c r="H1395" s="127"/>
      <c r="I1395" s="127" t="s">
        <v>203</v>
      </c>
      <c r="J1395" s="124" t="s">
        <v>203</v>
      </c>
      <c r="K1395" s="124"/>
      <c r="L1395" s="124">
        <v>9999.0</v>
      </c>
    </row>
    <row r="1396">
      <c r="A1396" s="165">
        <v>43772.14775020833</v>
      </c>
      <c r="B1396" s="122" t="s">
        <v>58</v>
      </c>
      <c r="C1396" s="123" t="s">
        <v>45</v>
      </c>
      <c r="D1396" s="124">
        <v>4.0</v>
      </c>
      <c r="E1396" s="124">
        <v>4.0</v>
      </c>
      <c r="F1396" s="124" t="s">
        <v>248</v>
      </c>
      <c r="G1396" s="129" t="s">
        <v>202</v>
      </c>
      <c r="H1396" s="127"/>
      <c r="I1396" s="127" t="s">
        <v>203</v>
      </c>
      <c r="J1396" s="124" t="s">
        <v>203</v>
      </c>
      <c r="K1396" s="124"/>
      <c r="L1396" s="124">
        <v>9999.0</v>
      </c>
    </row>
    <row r="1397">
      <c r="A1397" s="165">
        <v>43772.14775020833</v>
      </c>
      <c r="B1397" s="122" t="s">
        <v>58</v>
      </c>
      <c r="C1397" s="123" t="s">
        <v>72</v>
      </c>
      <c r="D1397" s="124">
        <v>4.0</v>
      </c>
      <c r="E1397" s="124">
        <v>4.0</v>
      </c>
      <c r="F1397" s="124" t="s">
        <v>248</v>
      </c>
      <c r="G1397" s="129" t="s">
        <v>202</v>
      </c>
      <c r="H1397" s="127"/>
      <c r="I1397" s="127" t="s">
        <v>203</v>
      </c>
      <c r="J1397" s="124" t="s">
        <v>203</v>
      </c>
      <c r="K1397" s="124"/>
      <c r="L1397" s="124">
        <v>9999.0</v>
      </c>
    </row>
    <row r="1398">
      <c r="A1398" s="136" t="s">
        <v>359</v>
      </c>
      <c r="B1398" s="122" t="s">
        <v>2</v>
      </c>
      <c r="C1398" s="123" t="s">
        <v>227</v>
      </c>
      <c r="D1398" s="124" t="s">
        <v>29</v>
      </c>
      <c r="E1398" s="124" t="s">
        <v>34</v>
      </c>
      <c r="F1398" s="124" t="s">
        <v>261</v>
      </c>
      <c r="G1398" s="129" t="s">
        <v>245</v>
      </c>
      <c r="H1398" s="127" t="s">
        <v>228</v>
      </c>
      <c r="I1398" s="127" t="s">
        <v>229</v>
      </c>
      <c r="J1398" s="124" t="s">
        <v>262</v>
      </c>
      <c r="K1398" s="124" t="s">
        <v>263</v>
      </c>
      <c r="L1398" s="124" t="s">
        <v>264</v>
      </c>
    </row>
    <row r="1399">
      <c r="A1399" s="165">
        <v>43772.14775020833</v>
      </c>
      <c r="B1399" s="122" t="s">
        <v>60</v>
      </c>
      <c r="C1399" s="123" t="s">
        <v>95</v>
      </c>
      <c r="D1399" s="124">
        <v>7.0</v>
      </c>
      <c r="E1399" s="124">
        <v>1.0</v>
      </c>
      <c r="F1399" s="124" t="s">
        <v>201</v>
      </c>
      <c r="G1399" s="129" t="s">
        <v>1181</v>
      </c>
      <c r="H1399" s="127" t="s">
        <v>430</v>
      </c>
      <c r="I1399" s="127" t="s">
        <v>286</v>
      </c>
      <c r="J1399" s="124">
        <v>61.0</v>
      </c>
      <c r="K1399" s="124" t="s">
        <v>74</v>
      </c>
      <c r="L1399" s="124" t="s">
        <v>430</v>
      </c>
    </row>
    <row r="1400">
      <c r="A1400" s="165">
        <v>43772.14775020833</v>
      </c>
      <c r="B1400" s="122" t="s">
        <v>60</v>
      </c>
      <c r="C1400" s="123" t="s">
        <v>59</v>
      </c>
      <c r="D1400" s="124">
        <v>7.0</v>
      </c>
      <c r="E1400" s="124">
        <v>2.0</v>
      </c>
      <c r="F1400" s="124" t="s">
        <v>215</v>
      </c>
      <c r="G1400" s="129" t="s">
        <v>1170</v>
      </c>
      <c r="H1400" s="127" t="s">
        <v>430</v>
      </c>
      <c r="I1400" s="127">
        <v>-23.0</v>
      </c>
      <c r="J1400" s="124" t="s">
        <v>764</v>
      </c>
      <c r="K1400" s="124" t="s">
        <v>48</v>
      </c>
      <c r="L1400" s="124" t="s">
        <v>430</v>
      </c>
    </row>
    <row r="1401">
      <c r="A1401" s="165">
        <v>43772.14775020833</v>
      </c>
      <c r="B1401" s="122" t="s">
        <v>60</v>
      </c>
      <c r="C1401" s="123" t="s">
        <v>123</v>
      </c>
      <c r="D1401" s="124">
        <v>5.0</v>
      </c>
      <c r="E1401" s="124">
        <v>4.0</v>
      </c>
      <c r="F1401" s="124" t="s">
        <v>248</v>
      </c>
      <c r="G1401" s="129" t="s">
        <v>1151</v>
      </c>
      <c r="H1401" s="127" t="s">
        <v>430</v>
      </c>
      <c r="I1401" s="127">
        <v>-17.0</v>
      </c>
      <c r="J1401" s="124">
        <v>49.0</v>
      </c>
      <c r="K1401" s="124" t="s">
        <v>38</v>
      </c>
      <c r="L1401" s="124" t="s">
        <v>430</v>
      </c>
    </row>
    <row r="1402">
      <c r="A1402" s="165">
        <v>43772.14775020833</v>
      </c>
      <c r="B1402" s="122" t="s">
        <v>60</v>
      </c>
      <c r="C1402" s="123" t="s">
        <v>137</v>
      </c>
      <c r="D1402" s="124">
        <v>0.0</v>
      </c>
      <c r="E1402" s="124">
        <v>9.0</v>
      </c>
      <c r="F1402" s="124" t="s">
        <v>267</v>
      </c>
      <c r="G1402" s="129" t="s">
        <v>1152</v>
      </c>
      <c r="H1402" s="127" t="s">
        <v>430</v>
      </c>
      <c r="I1402" s="127">
        <v>6.0</v>
      </c>
      <c r="J1402" s="124">
        <v>50.0</v>
      </c>
      <c r="K1402" s="124" t="s">
        <v>38</v>
      </c>
      <c r="L1402" s="124" t="s">
        <v>430</v>
      </c>
    </row>
    <row r="1403">
      <c r="A1403" s="165">
        <v>43772.14775020833</v>
      </c>
      <c r="B1403" s="122" t="s">
        <v>60</v>
      </c>
      <c r="C1403" s="123" t="s">
        <v>175</v>
      </c>
      <c r="D1403" s="124">
        <v>7.0</v>
      </c>
      <c r="E1403" s="124">
        <v>2.0</v>
      </c>
      <c r="F1403" s="124" t="s">
        <v>234</v>
      </c>
      <c r="G1403" s="129" t="s">
        <v>1171</v>
      </c>
      <c r="H1403" s="127" t="s">
        <v>430</v>
      </c>
      <c r="I1403" s="127" t="s">
        <v>376</v>
      </c>
      <c r="J1403" s="124">
        <v>47.0</v>
      </c>
      <c r="K1403" s="124" t="s">
        <v>48</v>
      </c>
      <c r="L1403" s="124" t="s">
        <v>430</v>
      </c>
    </row>
    <row r="1404">
      <c r="A1404" s="165">
        <v>43772.14775020833</v>
      </c>
      <c r="B1404" s="122" t="s">
        <v>60</v>
      </c>
      <c r="C1404" s="123" t="s">
        <v>149</v>
      </c>
      <c r="D1404" s="124">
        <v>7.0</v>
      </c>
      <c r="E1404" s="124">
        <v>2.0</v>
      </c>
      <c r="F1404" s="124" t="s">
        <v>260</v>
      </c>
      <c r="G1404" s="129" t="s">
        <v>1182</v>
      </c>
      <c r="H1404" s="127" t="s">
        <v>430</v>
      </c>
      <c r="I1404" s="127" t="s">
        <v>1069</v>
      </c>
      <c r="J1404" s="124" t="s">
        <v>519</v>
      </c>
      <c r="K1404" s="124" t="s">
        <v>64</v>
      </c>
      <c r="L1404" s="124" t="s">
        <v>430</v>
      </c>
    </row>
    <row r="1405">
      <c r="A1405" s="165">
        <v>43772.14775020833</v>
      </c>
      <c r="B1405" s="122" t="s">
        <v>60</v>
      </c>
      <c r="C1405" s="123" t="s">
        <v>166</v>
      </c>
      <c r="D1405" s="124">
        <v>4.0</v>
      </c>
      <c r="E1405" s="124">
        <v>4.0</v>
      </c>
      <c r="F1405" s="124" t="s">
        <v>273</v>
      </c>
      <c r="G1405" s="129" t="s">
        <v>1167</v>
      </c>
      <c r="H1405" s="127" t="s">
        <v>430</v>
      </c>
      <c r="I1405" s="127" t="s">
        <v>376</v>
      </c>
      <c r="J1405" s="124">
        <v>71.0</v>
      </c>
      <c r="K1405" s="124" t="s">
        <v>44</v>
      </c>
      <c r="L1405" s="124" t="s">
        <v>430</v>
      </c>
    </row>
    <row r="1406">
      <c r="A1406" s="165">
        <v>43772.14775020833</v>
      </c>
      <c r="B1406" s="122" t="s">
        <v>60</v>
      </c>
      <c r="C1406" s="123" t="s">
        <v>117</v>
      </c>
      <c r="D1406" s="124">
        <v>1.0</v>
      </c>
      <c r="E1406" s="124">
        <v>7.0</v>
      </c>
      <c r="F1406" s="124" t="s">
        <v>269</v>
      </c>
      <c r="G1406" s="129" t="s">
        <v>1183</v>
      </c>
      <c r="H1406" s="127" t="s">
        <v>430</v>
      </c>
      <c r="I1406" s="127" t="s">
        <v>893</v>
      </c>
      <c r="J1406" s="124" t="s">
        <v>519</v>
      </c>
      <c r="K1406" s="124" t="s">
        <v>69</v>
      </c>
      <c r="L1406" s="124" t="s">
        <v>430</v>
      </c>
    </row>
    <row r="1407">
      <c r="A1407" s="165">
        <v>43772.14775020833</v>
      </c>
      <c r="B1407" s="122" t="s">
        <v>60</v>
      </c>
      <c r="C1407" s="123" t="s">
        <v>103</v>
      </c>
      <c r="D1407" s="124">
        <v>5.0</v>
      </c>
      <c r="E1407" s="124">
        <v>3.0</v>
      </c>
      <c r="F1407" s="124" t="s">
        <v>248</v>
      </c>
      <c r="G1407" s="129" t="s">
        <v>202</v>
      </c>
      <c r="H1407" s="127"/>
      <c r="I1407" s="127" t="s">
        <v>203</v>
      </c>
      <c r="J1407" s="124" t="s">
        <v>203</v>
      </c>
      <c r="K1407" s="124"/>
      <c r="L1407" s="124">
        <v>9999.0</v>
      </c>
    </row>
    <row r="1408">
      <c r="A1408" s="165">
        <v>43772.14775020833</v>
      </c>
      <c r="B1408" s="122" t="s">
        <v>60</v>
      </c>
      <c r="C1408" s="123" t="s">
        <v>189</v>
      </c>
      <c r="D1408" s="124">
        <v>6.0</v>
      </c>
      <c r="E1408" s="124">
        <v>2.0</v>
      </c>
      <c r="F1408" s="124" t="s">
        <v>248</v>
      </c>
      <c r="G1408" s="129" t="s">
        <v>202</v>
      </c>
      <c r="H1408" s="127"/>
      <c r="I1408" s="127" t="s">
        <v>203</v>
      </c>
      <c r="J1408" s="124" t="s">
        <v>203</v>
      </c>
      <c r="K1408" s="124"/>
      <c r="L1408" s="124">
        <v>9999.0</v>
      </c>
    </row>
    <row r="1409">
      <c r="A1409" s="136" t="s">
        <v>359</v>
      </c>
      <c r="B1409" s="122" t="s">
        <v>2</v>
      </c>
      <c r="C1409" s="123" t="s">
        <v>227</v>
      </c>
      <c r="D1409" s="124" t="s">
        <v>29</v>
      </c>
      <c r="E1409" s="124" t="s">
        <v>34</v>
      </c>
      <c r="F1409" s="124" t="s">
        <v>261</v>
      </c>
      <c r="G1409" s="129" t="s">
        <v>245</v>
      </c>
      <c r="H1409" s="127" t="s">
        <v>228</v>
      </c>
      <c r="I1409" s="127" t="s">
        <v>229</v>
      </c>
      <c r="J1409" s="124" t="s">
        <v>262</v>
      </c>
      <c r="K1409" s="124" t="s">
        <v>263</v>
      </c>
      <c r="L1409" s="124" t="s">
        <v>264</v>
      </c>
    </row>
    <row r="1410">
      <c r="A1410" s="165">
        <v>43772.14775020833</v>
      </c>
      <c r="B1410" s="122" t="s">
        <v>62</v>
      </c>
      <c r="C1410" s="123" t="s">
        <v>112</v>
      </c>
      <c r="D1410" s="124">
        <v>7.0</v>
      </c>
      <c r="E1410" s="124">
        <v>2.0</v>
      </c>
      <c r="F1410" s="124" t="s">
        <v>207</v>
      </c>
      <c r="G1410" s="129" t="s">
        <v>1155</v>
      </c>
      <c r="H1410" s="127" t="s">
        <v>430</v>
      </c>
      <c r="I1410" s="127" t="s">
        <v>542</v>
      </c>
      <c r="J1410" s="124" t="s">
        <v>546</v>
      </c>
      <c r="K1410" s="124" t="s">
        <v>41</v>
      </c>
      <c r="L1410" s="124" t="s">
        <v>430</v>
      </c>
    </row>
    <row r="1411">
      <c r="A1411" s="165">
        <v>43772.14775020833</v>
      </c>
      <c r="B1411" s="122" t="s">
        <v>62</v>
      </c>
      <c r="C1411" s="123" t="s">
        <v>92</v>
      </c>
      <c r="D1411" s="124">
        <v>3.0</v>
      </c>
      <c r="E1411" s="124">
        <v>6.0</v>
      </c>
      <c r="F1411" s="124" t="s">
        <v>285</v>
      </c>
      <c r="G1411" s="129" t="s">
        <v>1164</v>
      </c>
      <c r="H1411" s="127" t="s">
        <v>430</v>
      </c>
      <c r="I1411" s="127" t="s">
        <v>451</v>
      </c>
      <c r="J1411" s="124">
        <v>60.0</v>
      </c>
      <c r="K1411" s="124" t="s">
        <v>44</v>
      </c>
      <c r="L1411" s="124" t="s">
        <v>430</v>
      </c>
    </row>
    <row r="1412">
      <c r="A1412" s="165">
        <v>43772.14775020833</v>
      </c>
      <c r="B1412" s="122" t="s">
        <v>62</v>
      </c>
      <c r="C1412" s="123" t="s">
        <v>184</v>
      </c>
      <c r="D1412" s="124">
        <v>6.0</v>
      </c>
      <c r="E1412" s="124">
        <v>3.0</v>
      </c>
      <c r="F1412" s="124" t="s">
        <v>287</v>
      </c>
      <c r="G1412" s="129" t="s">
        <v>1146</v>
      </c>
      <c r="H1412" s="127" t="s">
        <v>430</v>
      </c>
      <c r="I1412" s="127" t="s">
        <v>793</v>
      </c>
      <c r="J1412" s="124">
        <v>53.0</v>
      </c>
      <c r="K1412" s="124" t="s">
        <v>27</v>
      </c>
      <c r="L1412" s="124" t="s">
        <v>430</v>
      </c>
    </row>
    <row r="1413">
      <c r="A1413" s="165">
        <v>43772.14775020833</v>
      </c>
      <c r="B1413" s="122" t="s">
        <v>62</v>
      </c>
      <c r="C1413" s="123" t="s">
        <v>128</v>
      </c>
      <c r="D1413" s="124">
        <v>4.0</v>
      </c>
      <c r="E1413" s="124">
        <v>5.0</v>
      </c>
      <c r="F1413" s="124" t="s">
        <v>355</v>
      </c>
      <c r="G1413" s="129" t="s">
        <v>1184</v>
      </c>
      <c r="H1413" s="127" t="s">
        <v>430</v>
      </c>
      <c r="I1413" s="127">
        <v>-23.0</v>
      </c>
      <c r="J1413" s="124">
        <v>58.0</v>
      </c>
      <c r="K1413" s="124" t="s">
        <v>288</v>
      </c>
      <c r="L1413" s="124" t="s">
        <v>430</v>
      </c>
    </row>
    <row r="1414">
      <c r="A1414" s="165">
        <v>43772.14775020833</v>
      </c>
      <c r="B1414" s="122" t="s">
        <v>62</v>
      </c>
      <c r="C1414" s="123" t="s">
        <v>102</v>
      </c>
      <c r="D1414" s="124">
        <v>4.0</v>
      </c>
      <c r="E1414" s="124">
        <v>4.0</v>
      </c>
      <c r="F1414" s="124" t="s">
        <v>201</v>
      </c>
      <c r="G1414" s="129" t="s">
        <v>1185</v>
      </c>
      <c r="H1414" s="127" t="s">
        <v>430</v>
      </c>
      <c r="I1414" s="127">
        <v>3.0</v>
      </c>
      <c r="J1414" s="124" t="s">
        <v>370</v>
      </c>
      <c r="K1414" s="124" t="s">
        <v>69</v>
      </c>
      <c r="L1414" s="124" t="s">
        <v>430</v>
      </c>
    </row>
    <row r="1415">
      <c r="A1415" s="165">
        <v>43772.14775020833</v>
      </c>
      <c r="B1415" s="122" t="s">
        <v>62</v>
      </c>
      <c r="C1415" s="123" t="s">
        <v>171</v>
      </c>
      <c r="D1415" s="124">
        <v>5.0</v>
      </c>
      <c r="E1415" s="124">
        <v>4.0</v>
      </c>
      <c r="F1415" s="124" t="s">
        <v>278</v>
      </c>
      <c r="G1415" s="129" t="s">
        <v>1186</v>
      </c>
      <c r="H1415" s="127" t="s">
        <v>430</v>
      </c>
      <c r="I1415" s="127">
        <v>3.0</v>
      </c>
      <c r="J1415" s="124">
        <v>47.0</v>
      </c>
      <c r="K1415" s="124" t="s">
        <v>69</v>
      </c>
      <c r="L1415" s="124" t="s">
        <v>430</v>
      </c>
    </row>
    <row r="1416">
      <c r="A1416" s="165">
        <v>43772.14775020833</v>
      </c>
      <c r="B1416" s="122" t="s">
        <v>62</v>
      </c>
      <c r="C1416" s="123" t="s">
        <v>5</v>
      </c>
      <c r="D1416" s="124">
        <v>7.0</v>
      </c>
      <c r="E1416" s="124">
        <v>1.0</v>
      </c>
      <c r="F1416" s="124" t="s">
        <v>260</v>
      </c>
      <c r="G1416" s="129" t="s">
        <v>1154</v>
      </c>
      <c r="H1416" s="127" t="s">
        <v>430</v>
      </c>
      <c r="I1416" s="127" t="s">
        <v>398</v>
      </c>
      <c r="J1416" s="124" t="s">
        <v>585</v>
      </c>
      <c r="K1416" s="124" t="s">
        <v>38</v>
      </c>
      <c r="L1416" s="124" t="s">
        <v>430</v>
      </c>
    </row>
    <row r="1417">
      <c r="A1417" s="165">
        <v>43772.14775020833</v>
      </c>
      <c r="B1417" s="122" t="s">
        <v>62</v>
      </c>
      <c r="C1417" s="123" t="s">
        <v>153</v>
      </c>
      <c r="D1417" s="124">
        <v>5.0</v>
      </c>
      <c r="E1417" s="124">
        <v>4.0</v>
      </c>
      <c r="F1417" s="124" t="s">
        <v>284</v>
      </c>
      <c r="G1417" s="129" t="s">
        <v>1150</v>
      </c>
      <c r="H1417" s="127" t="s">
        <v>430</v>
      </c>
      <c r="I1417" s="127" t="s">
        <v>203</v>
      </c>
      <c r="J1417" s="124" t="s">
        <v>203</v>
      </c>
      <c r="K1417" s="124" t="s">
        <v>27</v>
      </c>
      <c r="L1417" s="124" t="s">
        <v>430</v>
      </c>
    </row>
    <row r="1418">
      <c r="A1418" s="165">
        <v>43772.14775020833</v>
      </c>
      <c r="B1418" s="122" t="s">
        <v>62</v>
      </c>
      <c r="C1418" s="123" t="s">
        <v>192</v>
      </c>
      <c r="D1418" s="124">
        <v>1.0</v>
      </c>
      <c r="E1418" s="124">
        <v>7.0</v>
      </c>
      <c r="F1418" s="124" t="s">
        <v>248</v>
      </c>
      <c r="G1418" s="129" t="s">
        <v>202</v>
      </c>
      <c r="H1418" s="127"/>
      <c r="I1418" s="127" t="s">
        <v>203</v>
      </c>
      <c r="J1418" s="124" t="s">
        <v>203</v>
      </c>
      <c r="K1418" s="124"/>
      <c r="L1418" s="124">
        <v>9999.0</v>
      </c>
    </row>
    <row r="1419">
      <c r="A1419" s="165">
        <v>43772.14775020833</v>
      </c>
      <c r="B1419" s="122" t="s">
        <v>62</v>
      </c>
      <c r="C1419" s="123" t="s">
        <v>143</v>
      </c>
      <c r="D1419" s="124">
        <v>3.0</v>
      </c>
      <c r="E1419" s="124">
        <v>5.0</v>
      </c>
      <c r="F1419" s="124" t="s">
        <v>215</v>
      </c>
      <c r="G1419" s="129" t="s">
        <v>202</v>
      </c>
      <c r="H1419" s="127"/>
      <c r="I1419" s="127" t="s">
        <v>203</v>
      </c>
      <c r="J1419" s="124" t="s">
        <v>203</v>
      </c>
      <c r="K1419" s="124"/>
      <c r="L1419" s="124">
        <v>9999.0</v>
      </c>
    </row>
    <row r="1420">
      <c r="A1420" s="136" t="s">
        <v>359</v>
      </c>
      <c r="B1420" s="122" t="s">
        <v>2</v>
      </c>
      <c r="C1420" s="123" t="s">
        <v>227</v>
      </c>
      <c r="D1420" s="124" t="s">
        <v>29</v>
      </c>
      <c r="E1420" s="124" t="s">
        <v>34</v>
      </c>
      <c r="F1420" s="124" t="s">
        <v>261</v>
      </c>
      <c r="G1420" s="129" t="s">
        <v>245</v>
      </c>
      <c r="H1420" s="127" t="s">
        <v>228</v>
      </c>
      <c r="I1420" s="127" t="s">
        <v>229</v>
      </c>
      <c r="J1420" s="124" t="s">
        <v>262</v>
      </c>
      <c r="K1420" s="124" t="s">
        <v>263</v>
      </c>
      <c r="L1420" s="124" t="s">
        <v>264</v>
      </c>
    </row>
    <row r="1421">
      <c r="A1421" s="165">
        <v>43772.14775020833</v>
      </c>
      <c r="B1421" s="122" t="s">
        <v>64</v>
      </c>
      <c r="C1421" s="123" t="s">
        <v>98</v>
      </c>
      <c r="D1421" s="124">
        <v>3.0</v>
      </c>
      <c r="E1421" s="124">
        <v>6.0</v>
      </c>
      <c r="F1421" s="124" t="s">
        <v>269</v>
      </c>
      <c r="G1421" s="129" t="s">
        <v>1187</v>
      </c>
      <c r="H1421" s="127" t="s">
        <v>430</v>
      </c>
      <c r="I1421" s="127">
        <v>5.0</v>
      </c>
      <c r="J1421" s="124" t="s">
        <v>276</v>
      </c>
      <c r="K1421" s="124" t="s">
        <v>74</v>
      </c>
      <c r="L1421" s="124" t="s">
        <v>430</v>
      </c>
    </row>
    <row r="1422">
      <c r="A1422" s="165">
        <v>43772.14775020833</v>
      </c>
      <c r="B1422" s="122" t="s">
        <v>64</v>
      </c>
      <c r="C1422" s="123" t="s">
        <v>196</v>
      </c>
      <c r="D1422" s="124">
        <v>3.0</v>
      </c>
      <c r="E1422" s="124">
        <v>6.0</v>
      </c>
      <c r="F1422" s="124" t="s">
        <v>260</v>
      </c>
      <c r="G1422" s="129" t="s">
        <v>1182</v>
      </c>
      <c r="H1422" s="127" t="s">
        <v>430</v>
      </c>
      <c r="I1422" s="127" t="s">
        <v>1064</v>
      </c>
      <c r="J1422" s="124" t="s">
        <v>519</v>
      </c>
      <c r="K1422" s="124" t="s">
        <v>60</v>
      </c>
      <c r="L1422" s="124" t="s">
        <v>430</v>
      </c>
    </row>
    <row r="1423">
      <c r="A1423" s="165">
        <v>43772.14775020833</v>
      </c>
      <c r="B1423" s="122" t="s">
        <v>64</v>
      </c>
      <c r="C1423" s="123" t="s">
        <v>76</v>
      </c>
      <c r="D1423" s="124">
        <v>4.0</v>
      </c>
      <c r="E1423" s="124">
        <v>5.0</v>
      </c>
      <c r="F1423" s="124" t="s">
        <v>207</v>
      </c>
      <c r="G1423" s="129" t="s">
        <v>1188</v>
      </c>
      <c r="H1423" s="127" t="s">
        <v>430</v>
      </c>
      <c r="I1423" s="127" t="s">
        <v>379</v>
      </c>
      <c r="J1423" s="124">
        <v>47.0</v>
      </c>
      <c r="K1423" s="124" t="s">
        <v>69</v>
      </c>
      <c r="L1423" s="124" t="s">
        <v>430</v>
      </c>
    </row>
    <row r="1424">
      <c r="A1424" s="165">
        <v>43772.14775020833</v>
      </c>
      <c r="B1424" s="122" t="s">
        <v>64</v>
      </c>
      <c r="C1424" s="123" t="s">
        <v>169</v>
      </c>
      <c r="D1424" s="124">
        <v>5.0</v>
      </c>
      <c r="E1424" s="124">
        <v>4.0</v>
      </c>
      <c r="F1424" s="124" t="s">
        <v>278</v>
      </c>
      <c r="G1424" s="129" t="s">
        <v>1180</v>
      </c>
      <c r="H1424" s="127" t="s">
        <v>430</v>
      </c>
      <c r="I1424" s="127">
        <v>5.0</v>
      </c>
      <c r="J1424" s="124" t="s">
        <v>781</v>
      </c>
      <c r="K1424" s="124" t="s">
        <v>58</v>
      </c>
      <c r="L1424" s="124" t="s">
        <v>430</v>
      </c>
    </row>
    <row r="1425">
      <c r="A1425" s="165">
        <v>43772.14775020833</v>
      </c>
      <c r="B1425" s="122" t="s">
        <v>64</v>
      </c>
      <c r="C1425" s="123" t="s">
        <v>154</v>
      </c>
      <c r="D1425" s="124">
        <v>5.0</v>
      </c>
      <c r="E1425" s="124">
        <v>4.0</v>
      </c>
      <c r="F1425" s="124" t="s">
        <v>242</v>
      </c>
      <c r="G1425" s="129" t="s">
        <v>1174</v>
      </c>
      <c r="H1425" s="127" t="s">
        <v>430</v>
      </c>
      <c r="I1425" s="127">
        <v>-4.0</v>
      </c>
      <c r="J1425" s="124">
        <v>59.0</v>
      </c>
      <c r="K1425" s="124" t="s">
        <v>48</v>
      </c>
      <c r="L1425" s="124" t="s">
        <v>430</v>
      </c>
    </row>
    <row r="1426">
      <c r="A1426" s="165">
        <v>43772.14775020833</v>
      </c>
      <c r="B1426" s="122" t="s">
        <v>64</v>
      </c>
      <c r="C1426" s="123" t="s">
        <v>131</v>
      </c>
      <c r="D1426" s="124">
        <v>5.0</v>
      </c>
      <c r="E1426" s="124">
        <v>3.0</v>
      </c>
      <c r="F1426" s="124" t="s">
        <v>248</v>
      </c>
      <c r="G1426" s="129" t="s">
        <v>202</v>
      </c>
      <c r="H1426" s="127"/>
      <c r="I1426" s="127" t="s">
        <v>203</v>
      </c>
      <c r="J1426" s="124" t="s">
        <v>203</v>
      </c>
      <c r="K1426" s="124"/>
      <c r="L1426" s="124">
        <v>9999.0</v>
      </c>
    </row>
    <row r="1427">
      <c r="A1427" s="165">
        <v>43772.14775020833</v>
      </c>
      <c r="B1427" s="122" t="s">
        <v>64</v>
      </c>
      <c r="C1427" s="123" t="s">
        <v>115</v>
      </c>
      <c r="D1427" s="124">
        <v>8.0</v>
      </c>
      <c r="E1427" s="124">
        <v>0.0</v>
      </c>
      <c r="F1427" s="124" t="s">
        <v>248</v>
      </c>
      <c r="G1427" s="129" t="s">
        <v>202</v>
      </c>
      <c r="H1427" s="127"/>
      <c r="I1427" s="127" t="s">
        <v>203</v>
      </c>
      <c r="J1427" s="124" t="s">
        <v>203</v>
      </c>
      <c r="K1427" s="124"/>
      <c r="L1427" s="124">
        <v>9999.0</v>
      </c>
    </row>
    <row r="1428">
      <c r="A1428" s="165">
        <v>43772.14775020833</v>
      </c>
      <c r="B1428" s="122" t="s">
        <v>64</v>
      </c>
      <c r="C1428" s="123" t="s">
        <v>147</v>
      </c>
      <c r="D1428" s="124">
        <v>5.0</v>
      </c>
      <c r="E1428" s="124">
        <v>3.0</v>
      </c>
      <c r="F1428" s="124" t="s">
        <v>215</v>
      </c>
      <c r="G1428" s="129" t="s">
        <v>202</v>
      </c>
      <c r="H1428" s="127"/>
      <c r="I1428" s="127" t="s">
        <v>203</v>
      </c>
      <c r="J1428" s="124" t="s">
        <v>203</v>
      </c>
      <c r="K1428" s="124"/>
      <c r="L1428" s="124">
        <v>9999.0</v>
      </c>
    </row>
    <row r="1429">
      <c r="A1429" s="165">
        <v>43772.14775020833</v>
      </c>
      <c r="B1429" s="122" t="s">
        <v>64</v>
      </c>
      <c r="C1429" s="123" t="s">
        <v>49</v>
      </c>
      <c r="D1429" s="124">
        <v>5.0</v>
      </c>
      <c r="E1429" s="124">
        <v>3.0</v>
      </c>
      <c r="F1429" s="124" t="s">
        <v>248</v>
      </c>
      <c r="G1429" s="129" t="s">
        <v>202</v>
      </c>
      <c r="H1429" s="127"/>
      <c r="I1429" s="127" t="s">
        <v>203</v>
      </c>
      <c r="J1429" s="124" t="s">
        <v>203</v>
      </c>
      <c r="K1429" s="124"/>
      <c r="L1429" s="124">
        <v>9999.0</v>
      </c>
    </row>
    <row r="1430">
      <c r="A1430" s="165">
        <v>43772.14775020833</v>
      </c>
      <c r="B1430" s="122" t="s">
        <v>64</v>
      </c>
      <c r="C1430" s="123" t="s">
        <v>177</v>
      </c>
      <c r="D1430" s="124">
        <v>4.0</v>
      </c>
      <c r="E1430" s="124">
        <v>4.0</v>
      </c>
      <c r="F1430" s="124" t="s">
        <v>248</v>
      </c>
      <c r="G1430" s="129" t="s">
        <v>202</v>
      </c>
      <c r="H1430" s="127"/>
      <c r="I1430" s="127" t="s">
        <v>203</v>
      </c>
      <c r="J1430" s="124" t="s">
        <v>203</v>
      </c>
      <c r="K1430" s="124"/>
      <c r="L1430" s="124">
        <v>9999.0</v>
      </c>
    </row>
    <row r="1431">
      <c r="A1431" s="136" t="s">
        <v>359</v>
      </c>
      <c r="B1431" s="122" t="s">
        <v>2</v>
      </c>
      <c r="C1431" s="123" t="s">
        <v>227</v>
      </c>
      <c r="D1431" s="124" t="s">
        <v>29</v>
      </c>
      <c r="E1431" s="124" t="s">
        <v>34</v>
      </c>
      <c r="F1431" s="124" t="s">
        <v>261</v>
      </c>
      <c r="G1431" s="129" t="s">
        <v>245</v>
      </c>
      <c r="H1431" s="127" t="s">
        <v>228</v>
      </c>
      <c r="I1431" s="127" t="s">
        <v>229</v>
      </c>
      <c r="J1431" s="124" t="s">
        <v>262</v>
      </c>
      <c r="K1431" s="124" t="s">
        <v>263</v>
      </c>
      <c r="L1431" s="124"/>
    </row>
    <row r="1432">
      <c r="A1432" s="165">
        <v>43772.14775020833</v>
      </c>
      <c r="B1432" s="122" t="s">
        <v>69</v>
      </c>
      <c r="C1432" s="123" t="s">
        <v>142</v>
      </c>
      <c r="D1432" s="124">
        <v>4.0</v>
      </c>
      <c r="E1432" s="124">
        <v>5.0</v>
      </c>
      <c r="F1432" s="124" t="s">
        <v>248</v>
      </c>
      <c r="G1432" s="129" t="s">
        <v>1177</v>
      </c>
      <c r="H1432" s="127" t="s">
        <v>430</v>
      </c>
      <c r="I1432" s="127">
        <v>-2.0</v>
      </c>
      <c r="J1432" s="124" t="s">
        <v>507</v>
      </c>
      <c r="K1432" s="124" t="s">
        <v>58</v>
      </c>
      <c r="L1432" s="124" t="s">
        <v>430</v>
      </c>
    </row>
    <row r="1433">
      <c r="A1433" s="165">
        <v>43772.14775020833</v>
      </c>
      <c r="B1433" s="122" t="s">
        <v>69</v>
      </c>
      <c r="C1433" s="123" t="s">
        <v>151</v>
      </c>
      <c r="D1433" s="124">
        <v>4.0</v>
      </c>
      <c r="E1433" s="124">
        <v>5.0</v>
      </c>
      <c r="F1433" s="124" t="s">
        <v>349</v>
      </c>
      <c r="G1433" s="129" t="s">
        <v>1178</v>
      </c>
      <c r="H1433" s="127" t="s">
        <v>430</v>
      </c>
      <c r="I1433" s="127" t="s">
        <v>286</v>
      </c>
      <c r="J1433" s="124" t="s">
        <v>240</v>
      </c>
      <c r="K1433" s="124" t="s">
        <v>58</v>
      </c>
      <c r="L1433" s="124" t="s">
        <v>430</v>
      </c>
    </row>
    <row r="1434">
      <c r="A1434" s="165">
        <v>43772.14775020833</v>
      </c>
      <c r="B1434" s="122" t="s">
        <v>69</v>
      </c>
      <c r="C1434" s="123" t="s">
        <v>87</v>
      </c>
      <c r="D1434" s="124">
        <v>5.0</v>
      </c>
      <c r="E1434" s="124">
        <v>4.0</v>
      </c>
      <c r="F1434" s="124" t="s">
        <v>207</v>
      </c>
      <c r="G1434" s="129" t="s">
        <v>1188</v>
      </c>
      <c r="H1434" s="127" t="s">
        <v>430</v>
      </c>
      <c r="I1434" s="127" t="s">
        <v>418</v>
      </c>
      <c r="J1434" s="124">
        <v>47.0</v>
      </c>
      <c r="K1434" s="124" t="s">
        <v>64</v>
      </c>
      <c r="L1434" s="124" t="s">
        <v>430</v>
      </c>
    </row>
    <row r="1435">
      <c r="A1435" s="165">
        <v>43772.14775020833</v>
      </c>
      <c r="B1435" s="122" t="s">
        <v>69</v>
      </c>
      <c r="C1435" s="123" t="s">
        <v>101</v>
      </c>
      <c r="D1435" s="124">
        <v>6.0</v>
      </c>
      <c r="E1435" s="124">
        <v>3.0</v>
      </c>
      <c r="F1435" s="124" t="s">
        <v>201</v>
      </c>
      <c r="G1435" s="129" t="s">
        <v>1185</v>
      </c>
      <c r="H1435" s="127" t="s">
        <v>430</v>
      </c>
      <c r="I1435" s="127">
        <v>-3.0</v>
      </c>
      <c r="J1435" s="124" t="s">
        <v>370</v>
      </c>
      <c r="K1435" s="124" t="s">
        <v>62</v>
      </c>
      <c r="L1435" s="124" t="s">
        <v>430</v>
      </c>
    </row>
    <row r="1436">
      <c r="A1436" s="165">
        <v>43772.14775020833</v>
      </c>
      <c r="B1436" s="122" t="s">
        <v>69</v>
      </c>
      <c r="C1436" s="123" t="s">
        <v>170</v>
      </c>
      <c r="D1436" s="124">
        <v>8.0</v>
      </c>
      <c r="E1436" s="124">
        <v>1.0</v>
      </c>
      <c r="F1436" s="124" t="s">
        <v>278</v>
      </c>
      <c r="G1436" s="129" t="s">
        <v>1186</v>
      </c>
      <c r="H1436" s="127" t="s">
        <v>430</v>
      </c>
      <c r="I1436" s="127">
        <v>-3.0</v>
      </c>
      <c r="J1436" s="124">
        <v>47.0</v>
      </c>
      <c r="K1436" s="124" t="s">
        <v>62</v>
      </c>
      <c r="L1436" s="124" t="s">
        <v>430</v>
      </c>
    </row>
    <row r="1437">
      <c r="A1437" s="165">
        <v>43772.14775020833</v>
      </c>
      <c r="B1437" s="122" t="s">
        <v>69</v>
      </c>
      <c r="C1437" s="123" t="s">
        <v>193</v>
      </c>
      <c r="D1437" s="124">
        <v>2.0</v>
      </c>
      <c r="E1437" s="124">
        <v>6.0</v>
      </c>
      <c r="F1437" s="124" t="s">
        <v>267</v>
      </c>
      <c r="G1437" s="129" t="s">
        <v>1158</v>
      </c>
      <c r="H1437" s="127" t="s">
        <v>430</v>
      </c>
      <c r="I1437" s="127">
        <v>22.0</v>
      </c>
      <c r="J1437" s="124">
        <v>57.0</v>
      </c>
      <c r="K1437" s="124" t="s">
        <v>41</v>
      </c>
      <c r="L1437" s="124" t="s">
        <v>430</v>
      </c>
    </row>
    <row r="1438">
      <c r="A1438" s="165">
        <v>43772.14775020833</v>
      </c>
      <c r="B1438" s="122" t="s">
        <v>69</v>
      </c>
      <c r="C1438" s="123" t="s">
        <v>108</v>
      </c>
      <c r="D1438" s="124">
        <v>7.0</v>
      </c>
      <c r="E1438" s="124">
        <v>2.0</v>
      </c>
      <c r="F1438" s="124" t="s">
        <v>269</v>
      </c>
      <c r="G1438" s="129" t="s">
        <v>1183</v>
      </c>
      <c r="H1438" s="127" t="s">
        <v>430</v>
      </c>
      <c r="I1438" s="127" t="s">
        <v>503</v>
      </c>
      <c r="J1438" s="124" t="s">
        <v>519</v>
      </c>
      <c r="K1438" s="124" t="s">
        <v>60</v>
      </c>
      <c r="L1438" s="124" t="s">
        <v>430</v>
      </c>
    </row>
    <row r="1439">
      <c r="A1439" s="165">
        <v>43772.14775020833</v>
      </c>
      <c r="B1439" s="122" t="s">
        <v>69</v>
      </c>
      <c r="C1439" s="123" t="s">
        <v>35</v>
      </c>
      <c r="D1439" s="124">
        <v>8.0</v>
      </c>
      <c r="E1439" s="124">
        <v>1.0</v>
      </c>
      <c r="F1439" s="124" t="s">
        <v>207</v>
      </c>
      <c r="G1439" s="129" t="s">
        <v>1176</v>
      </c>
      <c r="H1439" s="127" t="s">
        <v>430</v>
      </c>
      <c r="I1439" s="127" t="s">
        <v>512</v>
      </c>
      <c r="J1439" s="124" t="s">
        <v>516</v>
      </c>
      <c r="K1439" s="124" t="s">
        <v>53</v>
      </c>
      <c r="L1439" s="124" t="s">
        <v>430</v>
      </c>
    </row>
    <row r="1440">
      <c r="A1440" s="165">
        <v>43772.14775020833</v>
      </c>
      <c r="B1440" s="122" t="s">
        <v>69</v>
      </c>
      <c r="C1440" s="123" t="s">
        <v>182</v>
      </c>
      <c r="D1440" s="124">
        <v>4.0</v>
      </c>
      <c r="E1440" s="124">
        <v>5.0</v>
      </c>
      <c r="F1440" s="124" t="s">
        <v>287</v>
      </c>
      <c r="G1440" s="129" t="s">
        <v>1189</v>
      </c>
      <c r="H1440" s="127" t="s">
        <v>430</v>
      </c>
      <c r="I1440" s="127" t="s">
        <v>523</v>
      </c>
      <c r="J1440" s="124">
        <v>51.0</v>
      </c>
      <c r="K1440" s="124" t="s">
        <v>288</v>
      </c>
      <c r="L1440" s="124" t="s">
        <v>430</v>
      </c>
    </row>
    <row r="1441">
      <c r="A1441" s="165">
        <v>43772.14775020833</v>
      </c>
      <c r="B1441" s="122" t="s">
        <v>69</v>
      </c>
      <c r="C1441" s="123" t="s">
        <v>125</v>
      </c>
      <c r="D1441" s="124">
        <v>7.0</v>
      </c>
      <c r="E1441" s="124">
        <v>1.0</v>
      </c>
      <c r="F1441" s="124" t="s">
        <v>248</v>
      </c>
      <c r="G1441" s="129" t="s">
        <v>202</v>
      </c>
      <c r="H1441" s="127"/>
      <c r="I1441" s="127" t="s">
        <v>203</v>
      </c>
      <c r="J1441" s="124" t="s">
        <v>203</v>
      </c>
      <c r="K1441" s="124"/>
      <c r="L1441" s="124">
        <v>9999.0</v>
      </c>
    </row>
    <row r="1442">
      <c r="A1442" s="136" t="s">
        <v>359</v>
      </c>
      <c r="B1442" s="122" t="s">
        <v>2</v>
      </c>
      <c r="C1442" s="123" t="s">
        <v>227</v>
      </c>
      <c r="D1442" s="124" t="s">
        <v>29</v>
      </c>
      <c r="E1442" s="124" t="s">
        <v>34</v>
      </c>
      <c r="F1442" s="124" t="s">
        <v>261</v>
      </c>
      <c r="G1442" s="129" t="s">
        <v>245</v>
      </c>
      <c r="H1442" s="127" t="s">
        <v>228</v>
      </c>
      <c r="I1442" s="127" t="s">
        <v>229</v>
      </c>
      <c r="J1442" s="124" t="s">
        <v>262</v>
      </c>
      <c r="K1442" s="124" t="s">
        <v>263</v>
      </c>
      <c r="L1442" s="124"/>
    </row>
    <row r="1443">
      <c r="A1443" s="165">
        <v>43772.14775020833</v>
      </c>
      <c r="B1443" s="122" t="s">
        <v>74</v>
      </c>
      <c r="C1443" s="123" t="s">
        <v>23</v>
      </c>
      <c r="D1443" s="124">
        <v>2.0</v>
      </c>
      <c r="E1443" s="124">
        <v>7.0</v>
      </c>
      <c r="F1443" s="124" t="s">
        <v>215</v>
      </c>
      <c r="G1443" s="129" t="s">
        <v>1162</v>
      </c>
      <c r="H1443" s="127" t="s">
        <v>430</v>
      </c>
      <c r="I1443" s="127" t="s">
        <v>522</v>
      </c>
      <c r="J1443" s="124">
        <v>56.0</v>
      </c>
      <c r="K1443" s="124" t="s">
        <v>44</v>
      </c>
      <c r="L1443" s="124" t="s">
        <v>430</v>
      </c>
    </row>
    <row r="1444">
      <c r="A1444" s="165">
        <v>43772.14775020833</v>
      </c>
      <c r="B1444" s="122" t="s">
        <v>74</v>
      </c>
      <c r="C1444" s="123" t="s">
        <v>88</v>
      </c>
      <c r="D1444" s="124">
        <v>4.0</v>
      </c>
      <c r="E1444" s="124">
        <v>4.0</v>
      </c>
      <c r="F1444" s="124" t="s">
        <v>201</v>
      </c>
      <c r="G1444" s="129" t="s">
        <v>1181</v>
      </c>
      <c r="H1444" s="127" t="s">
        <v>430</v>
      </c>
      <c r="I1444" s="127" t="s">
        <v>257</v>
      </c>
      <c r="J1444" s="124">
        <v>61.0</v>
      </c>
      <c r="K1444" s="124" t="s">
        <v>60</v>
      </c>
      <c r="L1444" s="124" t="s">
        <v>430</v>
      </c>
    </row>
    <row r="1445">
      <c r="A1445" s="165">
        <v>43772.14775020833</v>
      </c>
      <c r="B1445" s="122" t="s">
        <v>74</v>
      </c>
      <c r="C1445" s="123" t="s">
        <v>141</v>
      </c>
      <c r="D1445" s="124">
        <v>6.0</v>
      </c>
      <c r="E1445" s="124">
        <v>4.0</v>
      </c>
      <c r="F1445" s="124" t="s">
        <v>260</v>
      </c>
      <c r="G1445" s="129" t="s">
        <v>1163</v>
      </c>
      <c r="H1445" s="127" t="s">
        <v>430</v>
      </c>
      <c r="I1445" s="127">
        <v>1.0</v>
      </c>
      <c r="J1445" s="124" t="s">
        <v>387</v>
      </c>
      <c r="K1445" s="124" t="s">
        <v>44</v>
      </c>
      <c r="L1445" s="124" t="s">
        <v>430</v>
      </c>
    </row>
    <row r="1446">
      <c r="A1446" s="165">
        <v>43772.14775020833</v>
      </c>
      <c r="B1446" s="122" t="s">
        <v>74</v>
      </c>
      <c r="C1446" s="123" t="s">
        <v>194</v>
      </c>
      <c r="D1446" s="124">
        <v>3.0</v>
      </c>
      <c r="E1446" s="124">
        <v>5.0</v>
      </c>
      <c r="F1446" s="124" t="s">
        <v>282</v>
      </c>
      <c r="G1446" s="129" t="s">
        <v>1148</v>
      </c>
      <c r="H1446" s="127" t="s">
        <v>430</v>
      </c>
      <c r="I1446" s="127">
        <v>-1.0</v>
      </c>
      <c r="J1446" s="124" t="s">
        <v>781</v>
      </c>
      <c r="K1446" s="124" t="s">
        <v>27</v>
      </c>
      <c r="L1446" s="124" t="s">
        <v>430</v>
      </c>
    </row>
    <row r="1447">
      <c r="A1447" s="165">
        <v>43772.14775020833</v>
      </c>
      <c r="B1447" s="122" t="s">
        <v>74</v>
      </c>
      <c r="C1447" s="123" t="s">
        <v>99</v>
      </c>
      <c r="D1447" s="124">
        <v>6.0</v>
      </c>
      <c r="E1447" s="124">
        <v>2.0</v>
      </c>
      <c r="F1447" s="124" t="s">
        <v>269</v>
      </c>
      <c r="G1447" s="129" t="s">
        <v>1187</v>
      </c>
      <c r="H1447" s="127" t="s">
        <v>430</v>
      </c>
      <c r="I1447" s="127">
        <v>-5.0</v>
      </c>
      <c r="J1447" s="124" t="s">
        <v>276</v>
      </c>
      <c r="K1447" s="124" t="s">
        <v>64</v>
      </c>
      <c r="L1447" s="124" t="s">
        <v>430</v>
      </c>
    </row>
    <row r="1448">
      <c r="A1448" s="165">
        <v>43772.14775020833</v>
      </c>
      <c r="B1448" s="122" t="s">
        <v>74</v>
      </c>
      <c r="C1448" s="123" t="s">
        <v>124</v>
      </c>
      <c r="D1448" s="124">
        <v>6.0</v>
      </c>
      <c r="E1448" s="124">
        <v>3.0</v>
      </c>
      <c r="F1448" s="124" t="s">
        <v>267</v>
      </c>
      <c r="G1448" s="129" t="s">
        <v>1179</v>
      </c>
      <c r="H1448" s="127" t="s">
        <v>430</v>
      </c>
      <c r="I1448" s="127">
        <v>3.0</v>
      </c>
      <c r="J1448" s="124">
        <v>48.0</v>
      </c>
      <c r="K1448" s="124" t="s">
        <v>58</v>
      </c>
      <c r="L1448" s="124" t="s">
        <v>430</v>
      </c>
    </row>
    <row r="1449">
      <c r="A1449" s="165">
        <v>43772.14775020833</v>
      </c>
      <c r="B1449" s="122" t="s">
        <v>74</v>
      </c>
      <c r="C1449" s="123" t="s">
        <v>174</v>
      </c>
      <c r="D1449" s="124">
        <v>7.0</v>
      </c>
      <c r="E1449" s="124">
        <v>2.0</v>
      </c>
      <c r="F1449" s="124" t="s">
        <v>201</v>
      </c>
      <c r="G1449" s="129" t="s">
        <v>1190</v>
      </c>
      <c r="H1449" s="127" t="s">
        <v>430</v>
      </c>
      <c r="I1449" s="127" t="s">
        <v>542</v>
      </c>
      <c r="J1449" s="124" t="s">
        <v>387</v>
      </c>
      <c r="K1449" s="124" t="s">
        <v>288</v>
      </c>
      <c r="L1449" s="124" t="s">
        <v>430</v>
      </c>
    </row>
    <row r="1450">
      <c r="A1450" s="165">
        <v>43772.14775020833</v>
      </c>
      <c r="B1450" s="122" t="s">
        <v>74</v>
      </c>
      <c r="C1450" s="123" t="s">
        <v>118</v>
      </c>
      <c r="D1450" s="124">
        <v>8.0</v>
      </c>
      <c r="E1450" s="124">
        <v>0.0</v>
      </c>
      <c r="F1450" s="124" t="s">
        <v>248</v>
      </c>
      <c r="G1450" s="129" t="s">
        <v>202</v>
      </c>
      <c r="H1450" s="127"/>
      <c r="I1450" s="127" t="s">
        <v>203</v>
      </c>
      <c r="J1450" s="124" t="s">
        <v>203</v>
      </c>
      <c r="K1450" s="124"/>
      <c r="L1450" s="124">
        <v>9999.0</v>
      </c>
    </row>
    <row r="1451">
      <c r="A1451" s="165">
        <v>43772.14775020833</v>
      </c>
      <c r="B1451" s="122" t="s">
        <v>74</v>
      </c>
      <c r="C1451" s="123" t="s">
        <v>160</v>
      </c>
      <c r="D1451" s="124">
        <v>6.0</v>
      </c>
      <c r="E1451" s="124">
        <v>2.0</v>
      </c>
      <c r="F1451" s="124" t="s">
        <v>248</v>
      </c>
      <c r="G1451" s="129" t="s">
        <v>202</v>
      </c>
      <c r="H1451" s="127"/>
      <c r="I1451" s="127" t="s">
        <v>203</v>
      </c>
      <c r="J1451" s="124" t="s">
        <v>203</v>
      </c>
      <c r="K1451" s="124"/>
      <c r="L1451" s="124">
        <v>9999.0</v>
      </c>
    </row>
    <row r="1452">
      <c r="A1452" s="165">
        <v>43772.14775020833</v>
      </c>
      <c r="B1452" s="122" t="s">
        <v>74</v>
      </c>
      <c r="C1452" s="123" t="s">
        <v>167</v>
      </c>
      <c r="D1452" s="124">
        <v>4.0</v>
      </c>
      <c r="E1452" s="124">
        <v>4.0</v>
      </c>
      <c r="F1452" s="124" t="s">
        <v>248</v>
      </c>
      <c r="G1452" s="129" t="s">
        <v>202</v>
      </c>
      <c r="H1452" s="127"/>
      <c r="I1452" s="127" t="s">
        <v>203</v>
      </c>
      <c r="J1452" s="124" t="s">
        <v>203</v>
      </c>
      <c r="K1452" s="124"/>
      <c r="L1452" s="124">
        <v>9999.0</v>
      </c>
    </row>
    <row r="1453">
      <c r="A1453" s="136" t="s">
        <v>359</v>
      </c>
      <c r="B1453" s="122" t="s">
        <v>2</v>
      </c>
      <c r="C1453" s="123" t="s">
        <v>227</v>
      </c>
      <c r="D1453" s="124" t="s">
        <v>29</v>
      </c>
      <c r="E1453" s="124" t="s">
        <v>34</v>
      </c>
      <c r="F1453" s="124" t="s">
        <v>261</v>
      </c>
      <c r="G1453" s="129" t="s">
        <v>245</v>
      </c>
      <c r="H1453" s="127" t="s">
        <v>228</v>
      </c>
      <c r="I1453" s="127" t="s">
        <v>229</v>
      </c>
      <c r="J1453" s="124" t="s">
        <v>262</v>
      </c>
      <c r="K1453" s="124" t="s">
        <v>263</v>
      </c>
      <c r="L1453" s="124" t="s">
        <v>264</v>
      </c>
    </row>
    <row r="1454">
      <c r="A1454" s="165">
        <v>43779.14775225695</v>
      </c>
      <c r="B1454" s="122" t="s">
        <v>27</v>
      </c>
      <c r="C1454" s="123" t="s">
        <v>138</v>
      </c>
      <c r="D1454" s="124">
        <v>4.0</v>
      </c>
      <c r="E1454" s="124">
        <v>5.0</v>
      </c>
      <c r="F1454" s="124" t="s">
        <v>215</v>
      </c>
      <c r="G1454" s="129" t="s">
        <v>1191</v>
      </c>
      <c r="H1454" s="127" t="s">
        <v>430</v>
      </c>
      <c r="I1454" s="127" t="s">
        <v>247</v>
      </c>
      <c r="J1454" s="124">
        <v>63.0</v>
      </c>
      <c r="K1454" s="124" t="s">
        <v>53</v>
      </c>
      <c r="L1454" s="124" t="s">
        <v>430</v>
      </c>
    </row>
    <row r="1455">
      <c r="A1455" s="165">
        <v>43779.14775225695</v>
      </c>
      <c r="B1455" s="122" t="s">
        <v>27</v>
      </c>
      <c r="C1455" s="123" t="s">
        <v>195</v>
      </c>
      <c r="D1455" s="124">
        <v>4.0</v>
      </c>
      <c r="E1455" s="124">
        <v>5.0</v>
      </c>
      <c r="F1455" s="124" t="s">
        <v>242</v>
      </c>
      <c r="G1455" s="129" t="s">
        <v>1192</v>
      </c>
      <c r="H1455" s="127" t="s">
        <v>430</v>
      </c>
      <c r="I1455" s="127">
        <v>14.0</v>
      </c>
      <c r="J1455" s="124">
        <v>58.0</v>
      </c>
      <c r="K1455" s="124" t="s">
        <v>41</v>
      </c>
      <c r="L1455" s="124" t="s">
        <v>430</v>
      </c>
    </row>
    <row r="1456">
      <c r="A1456" s="165">
        <v>43779.14775225695</v>
      </c>
      <c r="B1456" s="122" t="s">
        <v>27</v>
      </c>
      <c r="C1456" s="123" t="s">
        <v>56</v>
      </c>
      <c r="D1456" s="124">
        <v>3.0</v>
      </c>
      <c r="E1456" s="124">
        <v>7.0</v>
      </c>
      <c r="F1456" s="124" t="s">
        <v>215</v>
      </c>
      <c r="G1456" s="129" t="s">
        <v>1193</v>
      </c>
      <c r="H1456" s="127" t="s">
        <v>430</v>
      </c>
      <c r="I1456" s="127">
        <v>17.0</v>
      </c>
      <c r="J1456" s="124">
        <v>71.0</v>
      </c>
      <c r="K1456" s="124" t="s">
        <v>60</v>
      </c>
      <c r="L1456" s="124" t="s">
        <v>430</v>
      </c>
    </row>
    <row r="1457">
      <c r="A1457" s="165">
        <v>43779.14775225695</v>
      </c>
      <c r="B1457" s="122" t="s">
        <v>27</v>
      </c>
      <c r="C1457" s="123" t="s">
        <v>134</v>
      </c>
      <c r="D1457" s="124">
        <v>4.0</v>
      </c>
      <c r="E1457" s="124">
        <v>5.0</v>
      </c>
      <c r="F1457" s="124" t="s">
        <v>282</v>
      </c>
      <c r="G1457" s="129" t="s">
        <v>1194</v>
      </c>
      <c r="H1457" s="127" t="s">
        <v>430</v>
      </c>
      <c r="I1457" s="127" t="s">
        <v>739</v>
      </c>
      <c r="J1457" s="124">
        <v>43.0</v>
      </c>
      <c r="K1457" s="124" t="s">
        <v>38</v>
      </c>
      <c r="L1457" s="124" t="s">
        <v>430</v>
      </c>
    </row>
    <row r="1458">
      <c r="A1458" s="165">
        <v>43779.14775225695</v>
      </c>
      <c r="B1458" s="122" t="s">
        <v>27</v>
      </c>
      <c r="C1458" s="123" t="s">
        <v>114</v>
      </c>
      <c r="D1458" s="124">
        <v>8.0</v>
      </c>
      <c r="E1458" s="124">
        <v>1.0</v>
      </c>
      <c r="F1458" s="124" t="s">
        <v>234</v>
      </c>
      <c r="G1458" s="129" t="s">
        <v>1195</v>
      </c>
      <c r="H1458" s="127" t="s">
        <v>430</v>
      </c>
      <c r="I1458" s="127" t="s">
        <v>244</v>
      </c>
      <c r="J1458" s="124">
        <v>65.0</v>
      </c>
      <c r="K1458" s="124" t="s">
        <v>38</v>
      </c>
      <c r="L1458" s="124" t="s">
        <v>430</v>
      </c>
    </row>
    <row r="1459">
      <c r="A1459" s="165">
        <v>43779.14775225695</v>
      </c>
      <c r="B1459" s="122" t="s">
        <v>27</v>
      </c>
      <c r="C1459" s="123" t="s">
        <v>94</v>
      </c>
      <c r="D1459" s="124">
        <v>6.0</v>
      </c>
      <c r="E1459" s="124">
        <v>3.0</v>
      </c>
      <c r="F1459" s="124" t="s">
        <v>285</v>
      </c>
      <c r="G1459" s="129" t="s">
        <v>1196</v>
      </c>
      <c r="H1459" s="127" t="s">
        <v>430</v>
      </c>
      <c r="I1459" s="127" t="s">
        <v>674</v>
      </c>
      <c r="J1459" s="124">
        <v>64.0</v>
      </c>
      <c r="K1459" s="124" t="s">
        <v>60</v>
      </c>
      <c r="L1459" s="124" t="s">
        <v>430</v>
      </c>
    </row>
    <row r="1460">
      <c r="A1460" s="165">
        <v>43779.14775225695</v>
      </c>
      <c r="B1460" s="122" t="s">
        <v>27</v>
      </c>
      <c r="C1460" s="123" t="s">
        <v>163</v>
      </c>
      <c r="D1460" s="124">
        <v>5.0</v>
      </c>
      <c r="E1460" s="124">
        <v>4.0</v>
      </c>
      <c r="F1460" s="124" t="s">
        <v>273</v>
      </c>
      <c r="G1460" s="129" t="s">
        <v>1197</v>
      </c>
      <c r="H1460" s="127" t="s">
        <v>430</v>
      </c>
      <c r="I1460" s="127" t="s">
        <v>257</v>
      </c>
      <c r="J1460" s="124">
        <v>51.0</v>
      </c>
      <c r="K1460" s="124" t="s">
        <v>38</v>
      </c>
      <c r="L1460" s="124" t="s">
        <v>430</v>
      </c>
    </row>
    <row r="1461">
      <c r="A1461" s="165">
        <v>43779.14775225695</v>
      </c>
      <c r="B1461" s="122" t="s">
        <v>27</v>
      </c>
      <c r="C1461" s="123" t="s">
        <v>152</v>
      </c>
      <c r="D1461" s="124">
        <v>4.0</v>
      </c>
      <c r="E1461" s="124">
        <v>5.0</v>
      </c>
      <c r="F1461" s="124" t="s">
        <v>260</v>
      </c>
      <c r="G1461" s="129" t="s">
        <v>1198</v>
      </c>
      <c r="H1461" s="127" t="s">
        <v>430</v>
      </c>
      <c r="I1461" s="127">
        <v>-5.0</v>
      </c>
      <c r="J1461" s="124" t="s">
        <v>446</v>
      </c>
      <c r="K1461" s="124" t="s">
        <v>41</v>
      </c>
      <c r="L1461" s="124" t="s">
        <v>430</v>
      </c>
    </row>
    <row r="1462">
      <c r="A1462" s="165">
        <v>43779.14775225695</v>
      </c>
      <c r="B1462" s="122" t="s">
        <v>27</v>
      </c>
      <c r="C1462" s="123" t="s">
        <v>107</v>
      </c>
      <c r="D1462" s="124">
        <v>7.0</v>
      </c>
      <c r="E1462" s="124">
        <v>2.0</v>
      </c>
      <c r="F1462" s="124" t="s">
        <v>285</v>
      </c>
      <c r="G1462" s="129" t="s">
        <v>1199</v>
      </c>
      <c r="H1462" s="127" t="s">
        <v>430</v>
      </c>
      <c r="I1462" s="127">
        <v>-8.0</v>
      </c>
      <c r="J1462" s="124" t="s">
        <v>462</v>
      </c>
      <c r="K1462" s="124" t="s">
        <v>58</v>
      </c>
      <c r="L1462" s="124" t="s">
        <v>430</v>
      </c>
    </row>
    <row r="1463">
      <c r="A1463" s="165">
        <v>43779.14775225695</v>
      </c>
      <c r="B1463" s="122" t="s">
        <v>27</v>
      </c>
      <c r="C1463" s="123" t="s">
        <v>116</v>
      </c>
      <c r="D1463" s="124">
        <v>4.0</v>
      </c>
      <c r="E1463" s="124">
        <v>5.0</v>
      </c>
      <c r="F1463" s="124" t="s">
        <v>248</v>
      </c>
      <c r="G1463" s="129" t="s">
        <v>202</v>
      </c>
      <c r="H1463" s="127"/>
      <c r="I1463" s="127" t="s">
        <v>203</v>
      </c>
      <c r="J1463" s="124" t="s">
        <v>203</v>
      </c>
      <c r="K1463" s="124"/>
      <c r="L1463" s="124">
        <v>9999.0</v>
      </c>
    </row>
    <row r="1464">
      <c r="A1464" s="136" t="s">
        <v>359</v>
      </c>
      <c r="B1464" s="122" t="s">
        <v>2</v>
      </c>
      <c r="C1464" s="123" t="s">
        <v>227</v>
      </c>
      <c r="D1464" s="124" t="s">
        <v>29</v>
      </c>
      <c r="E1464" s="124" t="s">
        <v>34</v>
      </c>
      <c r="F1464" s="124" t="s">
        <v>261</v>
      </c>
      <c r="G1464" s="129" t="s">
        <v>245</v>
      </c>
      <c r="H1464" s="127" t="s">
        <v>228</v>
      </c>
      <c r="I1464" s="127" t="s">
        <v>229</v>
      </c>
      <c r="J1464" s="124" t="s">
        <v>262</v>
      </c>
      <c r="K1464" s="124" t="s">
        <v>263</v>
      </c>
      <c r="L1464" s="124" t="s">
        <v>264</v>
      </c>
    </row>
    <row r="1465">
      <c r="A1465" s="165">
        <v>43779.14775225695</v>
      </c>
      <c r="B1465" s="122" t="s">
        <v>38</v>
      </c>
      <c r="C1465" s="123" t="s">
        <v>32</v>
      </c>
      <c r="D1465" s="124">
        <v>3.0</v>
      </c>
      <c r="E1465" s="124">
        <v>7.0</v>
      </c>
      <c r="F1465" s="124" t="s">
        <v>242</v>
      </c>
      <c r="G1465" s="129" t="s">
        <v>1200</v>
      </c>
      <c r="H1465" s="127" t="s">
        <v>430</v>
      </c>
      <c r="I1465" s="127" t="s">
        <v>367</v>
      </c>
      <c r="J1465" s="124">
        <v>70.0</v>
      </c>
      <c r="K1465" s="124" t="s">
        <v>53</v>
      </c>
      <c r="L1465" s="124" t="s">
        <v>430</v>
      </c>
    </row>
    <row r="1466">
      <c r="A1466" s="165">
        <v>43779.14775225695</v>
      </c>
      <c r="B1466" s="122" t="s">
        <v>38</v>
      </c>
      <c r="C1466" s="123" t="s">
        <v>129</v>
      </c>
      <c r="D1466" s="124">
        <v>1.0</v>
      </c>
      <c r="E1466" s="124">
        <v>9.0</v>
      </c>
      <c r="F1466" s="124" t="s">
        <v>282</v>
      </c>
      <c r="G1466" s="129" t="s">
        <v>1194</v>
      </c>
      <c r="H1466" s="127" t="s">
        <v>430</v>
      </c>
      <c r="I1466" s="127" t="s">
        <v>620</v>
      </c>
      <c r="J1466" s="124">
        <v>43.0</v>
      </c>
      <c r="K1466" s="124" t="s">
        <v>27</v>
      </c>
      <c r="L1466" s="124" t="s">
        <v>430</v>
      </c>
    </row>
    <row r="1467">
      <c r="A1467" s="165">
        <v>43779.14775225695</v>
      </c>
      <c r="B1467" s="122" t="s">
        <v>38</v>
      </c>
      <c r="C1467" s="123" t="s">
        <v>178</v>
      </c>
      <c r="D1467" s="124">
        <v>9.0</v>
      </c>
      <c r="E1467" s="124">
        <v>0.0</v>
      </c>
      <c r="F1467" s="124" t="s">
        <v>234</v>
      </c>
      <c r="G1467" s="129" t="s">
        <v>1195</v>
      </c>
      <c r="H1467" s="127" t="s">
        <v>430</v>
      </c>
      <c r="I1467" s="127" t="s">
        <v>247</v>
      </c>
      <c r="J1467" s="124">
        <v>65.0</v>
      </c>
      <c r="K1467" s="124" t="s">
        <v>27</v>
      </c>
      <c r="L1467" s="124" t="s">
        <v>430</v>
      </c>
    </row>
    <row r="1468">
      <c r="A1468" s="165">
        <v>43779.14775225695</v>
      </c>
      <c r="B1468" s="122" t="s">
        <v>38</v>
      </c>
      <c r="C1468" s="123" t="s">
        <v>113</v>
      </c>
      <c r="D1468" s="124">
        <v>4.0</v>
      </c>
      <c r="E1468" s="124">
        <v>5.0</v>
      </c>
      <c r="F1468" s="124" t="s">
        <v>269</v>
      </c>
      <c r="G1468" s="129" t="s">
        <v>1201</v>
      </c>
      <c r="H1468" s="127" t="s">
        <v>430</v>
      </c>
      <c r="I1468" s="127">
        <v>-16.0</v>
      </c>
      <c r="J1468" s="124">
        <v>45.0</v>
      </c>
      <c r="K1468" s="124" t="s">
        <v>288</v>
      </c>
      <c r="L1468" s="124" t="s">
        <v>430</v>
      </c>
    </row>
    <row r="1469">
      <c r="A1469" s="165">
        <v>43779.14775225695</v>
      </c>
      <c r="B1469" s="122" t="s">
        <v>38</v>
      </c>
      <c r="C1469" s="123" t="s">
        <v>198</v>
      </c>
      <c r="D1469" s="124">
        <v>0.0</v>
      </c>
      <c r="E1469" s="124">
        <v>9.0</v>
      </c>
      <c r="F1469" s="124" t="s">
        <v>287</v>
      </c>
      <c r="G1469" s="129" t="s">
        <v>1202</v>
      </c>
      <c r="H1469" s="127" t="s">
        <v>430</v>
      </c>
      <c r="I1469" s="127" t="s">
        <v>647</v>
      </c>
      <c r="J1469" s="124">
        <v>62.0</v>
      </c>
      <c r="K1469" s="124" t="s">
        <v>288</v>
      </c>
      <c r="L1469" s="124" t="s">
        <v>430</v>
      </c>
    </row>
    <row r="1470">
      <c r="A1470" s="165">
        <v>43779.14775225695</v>
      </c>
      <c r="B1470" s="122" t="s">
        <v>38</v>
      </c>
      <c r="C1470" s="123" t="s">
        <v>172</v>
      </c>
      <c r="D1470" s="124">
        <v>4.0</v>
      </c>
      <c r="E1470" s="124">
        <v>5.0</v>
      </c>
      <c r="F1470" s="124" t="s">
        <v>273</v>
      </c>
      <c r="G1470" s="129" t="s">
        <v>1197</v>
      </c>
      <c r="H1470" s="127" t="s">
        <v>430</v>
      </c>
      <c r="I1470" s="127" t="s">
        <v>286</v>
      </c>
      <c r="J1470" s="124">
        <v>51.0</v>
      </c>
      <c r="K1470" s="124" t="s">
        <v>27</v>
      </c>
      <c r="L1470" s="124" t="s">
        <v>430</v>
      </c>
    </row>
    <row r="1471">
      <c r="A1471" s="165">
        <v>43779.14775225695</v>
      </c>
      <c r="B1471" s="122" t="s">
        <v>38</v>
      </c>
      <c r="C1471" s="123" t="s">
        <v>68</v>
      </c>
      <c r="D1471" s="124">
        <v>10.0</v>
      </c>
      <c r="E1471" s="124">
        <v>0.0</v>
      </c>
      <c r="F1471" s="124" t="s">
        <v>207</v>
      </c>
      <c r="G1471" s="129" t="s">
        <v>1203</v>
      </c>
      <c r="H1471" s="127" t="s">
        <v>430</v>
      </c>
      <c r="I1471" s="127">
        <v>-32.0</v>
      </c>
      <c r="J1471" s="124">
        <v>54.0</v>
      </c>
      <c r="K1471" s="124" t="s">
        <v>74</v>
      </c>
      <c r="L1471" s="124" t="s">
        <v>430</v>
      </c>
    </row>
    <row r="1472">
      <c r="A1472" s="165">
        <v>43779.14775225695</v>
      </c>
      <c r="B1472" s="122" t="s">
        <v>38</v>
      </c>
      <c r="C1472" s="123" t="s">
        <v>97</v>
      </c>
      <c r="D1472" s="124">
        <v>5.0</v>
      </c>
      <c r="E1472" s="124">
        <v>4.0</v>
      </c>
      <c r="F1472" s="124" t="s">
        <v>278</v>
      </c>
      <c r="G1472" s="129" t="s">
        <v>1204</v>
      </c>
      <c r="H1472" s="127" t="s">
        <v>430</v>
      </c>
      <c r="I1472" s="127">
        <v>14.0</v>
      </c>
      <c r="J1472" s="124">
        <v>67.0</v>
      </c>
      <c r="K1472" s="124" t="s">
        <v>53</v>
      </c>
      <c r="L1472" s="124" t="s">
        <v>430</v>
      </c>
    </row>
    <row r="1473">
      <c r="A1473" s="165">
        <v>43779.14775225695</v>
      </c>
      <c r="B1473" s="122" t="s">
        <v>38</v>
      </c>
      <c r="C1473" s="123" t="s">
        <v>156</v>
      </c>
      <c r="D1473" s="124">
        <v>7.0</v>
      </c>
      <c r="E1473" s="124">
        <v>2.0</v>
      </c>
      <c r="F1473" s="124" t="s">
        <v>215</v>
      </c>
      <c r="G1473" s="129" t="s">
        <v>1205</v>
      </c>
      <c r="H1473" s="127" t="s">
        <v>430</v>
      </c>
      <c r="I1473" s="127">
        <v>-18.0</v>
      </c>
      <c r="J1473" s="124" t="s">
        <v>983</v>
      </c>
      <c r="K1473" s="124" t="s">
        <v>64</v>
      </c>
      <c r="L1473" s="124" t="s">
        <v>430</v>
      </c>
    </row>
    <row r="1474">
      <c r="A1474" s="165">
        <v>43779.14775225695</v>
      </c>
      <c r="B1474" s="122" t="s">
        <v>38</v>
      </c>
      <c r="C1474" s="123" t="s">
        <v>139</v>
      </c>
      <c r="D1474" s="124">
        <v>3.0</v>
      </c>
      <c r="E1474" s="124">
        <v>6.0</v>
      </c>
      <c r="F1474" s="124" t="s">
        <v>248</v>
      </c>
      <c r="G1474" s="129" t="s">
        <v>202</v>
      </c>
      <c r="H1474" s="127"/>
      <c r="I1474" s="127" t="s">
        <v>203</v>
      </c>
      <c r="J1474" s="124" t="s">
        <v>203</v>
      </c>
      <c r="K1474" s="124"/>
      <c r="L1474" s="124">
        <v>9999.0</v>
      </c>
    </row>
    <row r="1475">
      <c r="A1475" s="136" t="s">
        <v>359</v>
      </c>
      <c r="B1475" s="122" t="s">
        <v>2</v>
      </c>
      <c r="C1475" s="123" t="s">
        <v>227</v>
      </c>
      <c r="D1475" s="124" t="s">
        <v>29</v>
      </c>
      <c r="E1475" s="124" t="s">
        <v>34</v>
      </c>
      <c r="F1475" s="124" t="s">
        <v>261</v>
      </c>
      <c r="G1475" s="129" t="s">
        <v>245</v>
      </c>
      <c r="H1475" s="127" t="s">
        <v>228</v>
      </c>
      <c r="I1475" s="127" t="s">
        <v>229</v>
      </c>
      <c r="J1475" s="124" t="s">
        <v>262</v>
      </c>
      <c r="K1475" s="124" t="s">
        <v>263</v>
      </c>
      <c r="L1475" s="124" t="s">
        <v>264</v>
      </c>
    </row>
    <row r="1476">
      <c r="A1476" s="165">
        <v>43779.14775225695</v>
      </c>
      <c r="B1476" s="122" t="s">
        <v>41</v>
      </c>
      <c r="C1476" s="123" t="s">
        <v>146</v>
      </c>
      <c r="D1476" s="124">
        <v>4.0</v>
      </c>
      <c r="E1476" s="124">
        <v>5.0</v>
      </c>
      <c r="F1476" s="124" t="s">
        <v>215</v>
      </c>
      <c r="G1476" s="129" t="s">
        <v>1206</v>
      </c>
      <c r="H1476" s="127" t="s">
        <v>430</v>
      </c>
      <c r="I1476" s="127" t="s">
        <v>244</v>
      </c>
      <c r="J1476" s="124" t="s">
        <v>237</v>
      </c>
      <c r="K1476" s="124" t="s">
        <v>48</v>
      </c>
      <c r="L1476" s="124" t="s">
        <v>430</v>
      </c>
    </row>
    <row r="1477">
      <c r="A1477" s="165">
        <v>43779.14775225695</v>
      </c>
      <c r="B1477" s="122" t="s">
        <v>41</v>
      </c>
      <c r="C1477" s="123" t="s">
        <v>190</v>
      </c>
      <c r="D1477" s="124">
        <v>3.0</v>
      </c>
      <c r="E1477" s="124">
        <v>1.0</v>
      </c>
      <c r="F1477" s="124" t="s">
        <v>248</v>
      </c>
      <c r="G1477" s="129" t="s">
        <v>1192</v>
      </c>
      <c r="H1477" s="127" t="s">
        <v>430</v>
      </c>
      <c r="I1477" s="127">
        <v>-14.0</v>
      </c>
      <c r="J1477" s="124">
        <v>58.0</v>
      </c>
      <c r="K1477" s="124" t="s">
        <v>27</v>
      </c>
      <c r="L1477" s="124" t="s">
        <v>430</v>
      </c>
    </row>
    <row r="1478">
      <c r="A1478" s="165">
        <v>43779.14775225695</v>
      </c>
      <c r="B1478" s="122" t="s">
        <v>41</v>
      </c>
      <c r="C1478" s="123" t="s">
        <v>111</v>
      </c>
      <c r="D1478" s="124">
        <v>3.0</v>
      </c>
      <c r="E1478" s="124">
        <v>7.0</v>
      </c>
      <c r="F1478" s="124" t="s">
        <v>278</v>
      </c>
      <c r="G1478" s="129" t="s">
        <v>1207</v>
      </c>
      <c r="H1478" s="127" t="s">
        <v>430</v>
      </c>
      <c r="I1478" s="127" t="s">
        <v>573</v>
      </c>
      <c r="J1478" s="124">
        <v>63.0</v>
      </c>
      <c r="K1478" s="124" t="s">
        <v>74</v>
      </c>
      <c r="L1478" s="124" t="s">
        <v>430</v>
      </c>
    </row>
    <row r="1479">
      <c r="A1479" s="165">
        <v>43779.14775225695</v>
      </c>
      <c r="B1479" s="122" t="s">
        <v>41</v>
      </c>
      <c r="C1479" s="123" t="s">
        <v>180</v>
      </c>
      <c r="D1479" s="124">
        <v>5.0</v>
      </c>
      <c r="E1479" s="124">
        <v>4.0</v>
      </c>
      <c r="F1479" s="124" t="s">
        <v>201</v>
      </c>
      <c r="G1479" s="129" t="s">
        <v>1208</v>
      </c>
      <c r="H1479" s="127" t="s">
        <v>430</v>
      </c>
      <c r="I1479" s="127">
        <v>17.0</v>
      </c>
      <c r="J1479" s="124">
        <v>47.0</v>
      </c>
      <c r="K1479" s="124" t="s">
        <v>48</v>
      </c>
      <c r="L1479" s="124" t="s">
        <v>430</v>
      </c>
    </row>
    <row r="1480">
      <c r="A1480" s="165">
        <v>43779.14775225695</v>
      </c>
      <c r="B1480" s="122" t="s">
        <v>41</v>
      </c>
      <c r="C1480" s="123" t="s">
        <v>159</v>
      </c>
      <c r="D1480" s="124">
        <v>5.0</v>
      </c>
      <c r="E1480" s="124">
        <v>4.0</v>
      </c>
      <c r="F1480" s="124" t="s">
        <v>260</v>
      </c>
      <c r="G1480" s="129" t="s">
        <v>1198</v>
      </c>
      <c r="H1480" s="127" t="s">
        <v>430</v>
      </c>
      <c r="I1480" s="127">
        <v>5.0</v>
      </c>
      <c r="J1480" s="124" t="s">
        <v>446</v>
      </c>
      <c r="K1480" s="124" t="s">
        <v>27</v>
      </c>
      <c r="L1480" s="124" t="s">
        <v>430</v>
      </c>
    </row>
    <row r="1481">
      <c r="A1481" s="165">
        <v>43779.14775225695</v>
      </c>
      <c r="B1481" s="122" t="s">
        <v>41</v>
      </c>
      <c r="C1481" s="123" t="s">
        <v>109</v>
      </c>
      <c r="D1481" s="124">
        <v>5.0</v>
      </c>
      <c r="E1481" s="124">
        <v>4.0</v>
      </c>
      <c r="F1481" s="124" t="s">
        <v>242</v>
      </c>
      <c r="G1481" s="129" t="s">
        <v>1209</v>
      </c>
      <c r="H1481" s="127" t="s">
        <v>430</v>
      </c>
      <c r="I1481" s="127" t="s">
        <v>426</v>
      </c>
      <c r="J1481" s="124" t="s">
        <v>446</v>
      </c>
      <c r="K1481" s="124" t="s">
        <v>288</v>
      </c>
      <c r="L1481" s="124" t="s">
        <v>430</v>
      </c>
    </row>
    <row r="1482">
      <c r="A1482" s="165">
        <v>43779.14775225695</v>
      </c>
      <c r="B1482" s="122" t="s">
        <v>41</v>
      </c>
      <c r="C1482" s="123" t="s">
        <v>126</v>
      </c>
      <c r="D1482" s="124">
        <v>6.0</v>
      </c>
      <c r="E1482" s="124">
        <v>3.0</v>
      </c>
      <c r="F1482" s="124" t="s">
        <v>248</v>
      </c>
      <c r="G1482" s="129" t="s">
        <v>202</v>
      </c>
      <c r="H1482" s="127"/>
      <c r="I1482" s="127" t="s">
        <v>203</v>
      </c>
      <c r="J1482" s="124" t="s">
        <v>203</v>
      </c>
      <c r="K1482" s="124"/>
      <c r="L1482" s="124">
        <v>9999.0</v>
      </c>
    </row>
    <row r="1483">
      <c r="A1483" s="165">
        <v>43779.14775225695</v>
      </c>
      <c r="B1483" s="122" t="s">
        <v>41</v>
      </c>
      <c r="C1483" s="123" t="s">
        <v>91</v>
      </c>
      <c r="D1483" s="124">
        <v>6.0</v>
      </c>
      <c r="E1483" s="124">
        <v>3.0</v>
      </c>
      <c r="F1483" s="124" t="s">
        <v>248</v>
      </c>
      <c r="G1483" s="129" t="s">
        <v>202</v>
      </c>
      <c r="H1483" s="127"/>
      <c r="I1483" s="127" t="s">
        <v>203</v>
      </c>
      <c r="J1483" s="124" t="s">
        <v>203</v>
      </c>
      <c r="K1483" s="124"/>
      <c r="L1483" s="124">
        <v>9999.0</v>
      </c>
    </row>
    <row r="1484">
      <c r="A1484" s="165">
        <v>43779.14775225695</v>
      </c>
      <c r="B1484" s="122" t="s">
        <v>41</v>
      </c>
      <c r="C1484" s="123" t="s">
        <v>52</v>
      </c>
      <c r="D1484" s="124">
        <v>6.0</v>
      </c>
      <c r="E1484" s="124">
        <v>3.0</v>
      </c>
      <c r="F1484" s="124" t="s">
        <v>248</v>
      </c>
      <c r="G1484" s="129" t="s">
        <v>202</v>
      </c>
      <c r="H1484" s="127"/>
      <c r="I1484" s="127" t="s">
        <v>203</v>
      </c>
      <c r="J1484" s="124" t="s">
        <v>203</v>
      </c>
      <c r="K1484" s="124"/>
      <c r="L1484" s="124">
        <v>9999.0</v>
      </c>
    </row>
    <row r="1485">
      <c r="A1485" s="166">
        <v>43779.14775225695</v>
      </c>
      <c r="B1485" s="122" t="s">
        <v>41</v>
      </c>
      <c r="C1485" s="123" t="s">
        <v>168</v>
      </c>
      <c r="D1485" s="124">
        <v>4.0</v>
      </c>
      <c r="E1485" s="124">
        <v>5.0</v>
      </c>
      <c r="F1485" s="124" t="s">
        <v>248</v>
      </c>
      <c r="G1485" s="129" t="s">
        <v>202</v>
      </c>
      <c r="H1485" s="127"/>
      <c r="I1485" s="127" t="s">
        <v>203</v>
      </c>
      <c r="J1485" s="124" t="s">
        <v>203</v>
      </c>
      <c r="K1485" s="124"/>
      <c r="L1485" s="124">
        <v>9999.0</v>
      </c>
    </row>
    <row r="1486">
      <c r="A1486" s="136" t="s">
        <v>359</v>
      </c>
      <c r="B1486" s="122" t="s">
        <v>2</v>
      </c>
      <c r="C1486" s="123" t="s">
        <v>227</v>
      </c>
      <c r="D1486" s="124" t="s">
        <v>29</v>
      </c>
      <c r="E1486" s="124" t="s">
        <v>34</v>
      </c>
      <c r="F1486" s="124" t="s">
        <v>261</v>
      </c>
      <c r="G1486" s="129" t="s">
        <v>245</v>
      </c>
      <c r="H1486" s="127" t="s">
        <v>228</v>
      </c>
      <c r="I1486" s="127" t="s">
        <v>229</v>
      </c>
      <c r="J1486" s="124" t="s">
        <v>262</v>
      </c>
      <c r="K1486" s="124" t="s">
        <v>263</v>
      </c>
      <c r="L1486" s="124" t="s">
        <v>264</v>
      </c>
    </row>
    <row r="1487">
      <c r="A1487" s="165">
        <v>43779.14775225695</v>
      </c>
      <c r="B1487" s="122" t="s">
        <v>44</v>
      </c>
      <c r="C1487" s="123" t="s">
        <v>173</v>
      </c>
      <c r="D1487" s="124">
        <v>2.0</v>
      </c>
      <c r="E1487" s="124">
        <v>8.0</v>
      </c>
      <c r="F1487" s="124" t="s">
        <v>287</v>
      </c>
      <c r="G1487" s="129" t="s">
        <v>1210</v>
      </c>
      <c r="H1487" s="127" t="s">
        <v>430</v>
      </c>
      <c r="I1487" s="127" t="s">
        <v>451</v>
      </c>
      <c r="J1487" s="124">
        <v>51.0</v>
      </c>
      <c r="K1487" s="124" t="s">
        <v>58</v>
      </c>
      <c r="L1487" s="124" t="s">
        <v>430</v>
      </c>
    </row>
    <row r="1488">
      <c r="A1488" s="165">
        <v>43779.14775225695</v>
      </c>
      <c r="B1488" s="122" t="s">
        <v>44</v>
      </c>
      <c r="C1488" s="123" t="s">
        <v>104</v>
      </c>
      <c r="D1488" s="124">
        <v>4.0</v>
      </c>
      <c r="E1488" s="124">
        <v>5.0</v>
      </c>
      <c r="F1488" s="124" t="s">
        <v>215</v>
      </c>
      <c r="G1488" s="129" t="s">
        <v>1211</v>
      </c>
      <c r="H1488" s="127" t="s">
        <v>430</v>
      </c>
      <c r="I1488" s="127">
        <v>-2.0</v>
      </c>
      <c r="J1488" s="124">
        <v>60.0</v>
      </c>
      <c r="K1488" s="124" t="s">
        <v>48</v>
      </c>
      <c r="L1488" s="124" t="s">
        <v>430</v>
      </c>
    </row>
    <row r="1489">
      <c r="A1489" s="165">
        <v>43779.14775225695</v>
      </c>
      <c r="B1489" s="122" t="s">
        <v>44</v>
      </c>
      <c r="C1489" s="123" t="s">
        <v>61</v>
      </c>
      <c r="D1489" s="124">
        <v>5.0</v>
      </c>
      <c r="E1489" s="124">
        <v>5.0</v>
      </c>
      <c r="F1489" s="124" t="s">
        <v>285</v>
      </c>
      <c r="G1489" s="129" t="s">
        <v>1212</v>
      </c>
      <c r="H1489" s="127" t="s">
        <v>430</v>
      </c>
      <c r="I1489" s="127" t="s">
        <v>451</v>
      </c>
      <c r="J1489" s="124">
        <v>62.0</v>
      </c>
      <c r="K1489" s="124" t="s">
        <v>64</v>
      </c>
      <c r="L1489" s="124" t="s">
        <v>430</v>
      </c>
    </row>
    <row r="1490">
      <c r="A1490" s="165">
        <v>43779.14775225695</v>
      </c>
      <c r="B1490" s="122" t="s">
        <v>44</v>
      </c>
      <c r="C1490" s="123" t="s">
        <v>132</v>
      </c>
      <c r="D1490" s="124">
        <v>5.0</v>
      </c>
      <c r="E1490" s="124">
        <v>5.0</v>
      </c>
      <c r="F1490" s="124" t="s">
        <v>267</v>
      </c>
      <c r="G1490" s="129" t="s">
        <v>1213</v>
      </c>
      <c r="H1490" s="127" t="s">
        <v>430</v>
      </c>
      <c r="I1490" s="127">
        <v>-12.0</v>
      </c>
      <c r="J1490" s="124">
        <v>58.0</v>
      </c>
      <c r="K1490" s="124" t="s">
        <v>288</v>
      </c>
      <c r="L1490" s="124" t="s">
        <v>430</v>
      </c>
    </row>
    <row r="1491">
      <c r="A1491" s="165">
        <v>43779.14775225695</v>
      </c>
      <c r="B1491" s="122" t="s">
        <v>44</v>
      </c>
      <c r="C1491" s="123" t="s">
        <v>188</v>
      </c>
      <c r="D1491" s="124">
        <v>5.0</v>
      </c>
      <c r="E1491" s="124">
        <v>4.0</v>
      </c>
      <c r="F1491" s="124" t="s">
        <v>267</v>
      </c>
      <c r="G1491" s="129" t="s">
        <v>1214</v>
      </c>
      <c r="H1491" s="127" t="s">
        <v>430</v>
      </c>
      <c r="I1491" s="127">
        <v>-3.0</v>
      </c>
      <c r="J1491" s="124">
        <v>56.0</v>
      </c>
      <c r="K1491" s="124" t="s">
        <v>74</v>
      </c>
      <c r="L1491" s="124" t="s">
        <v>430</v>
      </c>
    </row>
    <row r="1492">
      <c r="A1492" s="165">
        <v>43779.14775225695</v>
      </c>
      <c r="B1492" s="122" t="s">
        <v>44</v>
      </c>
      <c r="C1492" s="123" t="s">
        <v>122</v>
      </c>
      <c r="D1492" s="124">
        <v>7.0</v>
      </c>
      <c r="E1492" s="124">
        <v>2.0</v>
      </c>
      <c r="F1492" s="124" t="s">
        <v>278</v>
      </c>
      <c r="G1492" s="129" t="s">
        <v>1215</v>
      </c>
      <c r="H1492" s="127" t="s">
        <v>430</v>
      </c>
      <c r="I1492" s="127" t="s">
        <v>597</v>
      </c>
      <c r="J1492" s="124">
        <v>38.0</v>
      </c>
      <c r="K1492" s="124" t="s">
        <v>58</v>
      </c>
      <c r="L1492" s="124" t="s">
        <v>430</v>
      </c>
    </row>
    <row r="1493">
      <c r="A1493" s="165">
        <v>43779.14775225695</v>
      </c>
      <c r="B1493" s="122" t="s">
        <v>44</v>
      </c>
      <c r="C1493" s="123" t="s">
        <v>150</v>
      </c>
      <c r="D1493" s="124">
        <v>8.0</v>
      </c>
      <c r="E1493" s="124">
        <v>1.0</v>
      </c>
      <c r="F1493" s="124" t="s">
        <v>201</v>
      </c>
      <c r="G1493" s="129" t="s">
        <v>1216</v>
      </c>
      <c r="H1493" s="127" t="s">
        <v>643</v>
      </c>
      <c r="I1493" s="127" t="s">
        <v>503</v>
      </c>
      <c r="J1493" s="124" t="s">
        <v>585</v>
      </c>
      <c r="K1493" s="124" t="s">
        <v>74</v>
      </c>
      <c r="L1493" s="124" t="s">
        <v>643</v>
      </c>
    </row>
    <row r="1494">
      <c r="A1494" s="165">
        <v>43779.14775225695</v>
      </c>
      <c r="B1494" s="122" t="s">
        <v>44</v>
      </c>
      <c r="C1494" s="123" t="s">
        <v>37</v>
      </c>
      <c r="D1494" s="124">
        <v>7.0</v>
      </c>
      <c r="E1494" s="124">
        <v>1.0</v>
      </c>
      <c r="F1494" s="124" t="s">
        <v>248</v>
      </c>
      <c r="G1494" s="129" t="s">
        <v>202</v>
      </c>
      <c r="H1494" s="127"/>
      <c r="I1494" s="127" t="s">
        <v>203</v>
      </c>
      <c r="J1494" s="124" t="s">
        <v>203</v>
      </c>
      <c r="K1494" s="124"/>
      <c r="L1494" s="124">
        <v>9999.0</v>
      </c>
    </row>
    <row r="1495">
      <c r="A1495" s="165">
        <v>43779.14775225695</v>
      </c>
      <c r="B1495" s="122" t="s">
        <v>44</v>
      </c>
      <c r="C1495" s="123" t="s">
        <v>145</v>
      </c>
      <c r="D1495" s="124">
        <v>3.0</v>
      </c>
      <c r="E1495" s="124">
        <v>6.0</v>
      </c>
      <c r="F1495" s="124" t="s">
        <v>248</v>
      </c>
      <c r="G1495" s="129" t="s">
        <v>202</v>
      </c>
      <c r="H1495" s="127"/>
      <c r="I1495" s="127" t="s">
        <v>203</v>
      </c>
      <c r="J1495" s="124" t="s">
        <v>203</v>
      </c>
      <c r="K1495" s="124"/>
      <c r="L1495" s="124">
        <v>9999.0</v>
      </c>
    </row>
    <row r="1496">
      <c r="A1496" s="166">
        <v>43779.14775225695</v>
      </c>
      <c r="B1496" s="122" t="s">
        <v>44</v>
      </c>
      <c r="C1496" s="123" t="s">
        <v>161</v>
      </c>
      <c r="D1496" s="124">
        <v>4.0</v>
      </c>
      <c r="E1496" s="124">
        <v>5.0</v>
      </c>
      <c r="F1496" s="124" t="s">
        <v>248</v>
      </c>
      <c r="G1496" s="129" t="s">
        <v>202</v>
      </c>
      <c r="H1496" s="127"/>
      <c r="I1496" s="127" t="s">
        <v>203</v>
      </c>
      <c r="J1496" s="124" t="s">
        <v>203</v>
      </c>
      <c r="K1496" s="124"/>
      <c r="L1496" s="124">
        <v>9999.0</v>
      </c>
    </row>
    <row r="1497">
      <c r="A1497" s="136" t="s">
        <v>359</v>
      </c>
      <c r="B1497" s="122" t="s">
        <v>2</v>
      </c>
      <c r="C1497" s="123" t="s">
        <v>227</v>
      </c>
      <c r="D1497" s="124" t="s">
        <v>29</v>
      </c>
      <c r="E1497" s="124" t="s">
        <v>34</v>
      </c>
      <c r="F1497" s="124" t="s">
        <v>261</v>
      </c>
      <c r="G1497" s="129" t="s">
        <v>245</v>
      </c>
      <c r="H1497" s="127" t="s">
        <v>228</v>
      </c>
      <c r="I1497" s="127" t="s">
        <v>229</v>
      </c>
      <c r="J1497" s="124" t="s">
        <v>262</v>
      </c>
      <c r="K1497" s="124" t="s">
        <v>263</v>
      </c>
      <c r="L1497" s="124" t="s">
        <v>264</v>
      </c>
    </row>
    <row r="1498">
      <c r="A1498" s="165">
        <v>43779.14775225695</v>
      </c>
      <c r="B1498" s="122" t="s">
        <v>48</v>
      </c>
      <c r="C1498" s="123" t="s">
        <v>144</v>
      </c>
      <c r="D1498" s="124">
        <v>5.0</v>
      </c>
      <c r="E1498" s="124">
        <v>4.0</v>
      </c>
      <c r="F1498" s="124" t="s">
        <v>248</v>
      </c>
      <c r="G1498" s="129" t="s">
        <v>1206</v>
      </c>
      <c r="H1498" s="127" t="s">
        <v>430</v>
      </c>
      <c r="I1498" s="127" t="s">
        <v>247</v>
      </c>
      <c r="J1498" s="124" t="s">
        <v>237</v>
      </c>
      <c r="K1498" s="124" t="s">
        <v>41</v>
      </c>
      <c r="L1498" s="124" t="s">
        <v>430</v>
      </c>
    </row>
    <row r="1499">
      <c r="A1499" s="165">
        <v>43779.14775225695</v>
      </c>
      <c r="B1499" s="122" t="s">
        <v>48</v>
      </c>
      <c r="C1499" s="123" t="s">
        <v>105</v>
      </c>
      <c r="D1499" s="124">
        <v>3.0</v>
      </c>
      <c r="E1499" s="124">
        <v>6.0</v>
      </c>
      <c r="F1499" s="124" t="s">
        <v>215</v>
      </c>
      <c r="G1499" s="129" t="s">
        <v>1211</v>
      </c>
      <c r="H1499" s="127" t="s">
        <v>430</v>
      </c>
      <c r="I1499" s="127">
        <v>2.0</v>
      </c>
      <c r="J1499" s="124">
        <v>60.0</v>
      </c>
      <c r="K1499" s="124" t="s">
        <v>44</v>
      </c>
      <c r="L1499" s="124" t="s">
        <v>430</v>
      </c>
    </row>
    <row r="1500">
      <c r="A1500" s="165">
        <v>43779.14775225695</v>
      </c>
      <c r="B1500" s="122" t="s">
        <v>48</v>
      </c>
      <c r="C1500" s="123" t="s">
        <v>120</v>
      </c>
      <c r="D1500" s="124">
        <v>4.0</v>
      </c>
      <c r="E1500" s="124">
        <v>6.0</v>
      </c>
      <c r="F1500" s="124" t="s">
        <v>266</v>
      </c>
      <c r="G1500" s="129" t="s">
        <v>1217</v>
      </c>
      <c r="H1500" s="127" t="s">
        <v>430</v>
      </c>
      <c r="I1500" s="127">
        <v>1.0</v>
      </c>
      <c r="J1500" s="124" t="s">
        <v>983</v>
      </c>
      <c r="K1500" s="124" t="s">
        <v>60</v>
      </c>
      <c r="L1500" s="124" t="s">
        <v>430</v>
      </c>
    </row>
    <row r="1501">
      <c r="A1501" s="165">
        <v>43779.14775225695</v>
      </c>
      <c r="B1501" s="122" t="s">
        <v>48</v>
      </c>
      <c r="C1501" s="123" t="s">
        <v>162</v>
      </c>
      <c r="D1501" s="124">
        <v>5.0</v>
      </c>
      <c r="E1501" s="124">
        <v>4.0</v>
      </c>
      <c r="F1501" s="124" t="s">
        <v>207</v>
      </c>
      <c r="G1501" s="129" t="s">
        <v>1218</v>
      </c>
      <c r="H1501" s="127" t="s">
        <v>430</v>
      </c>
      <c r="I1501" s="127">
        <v>-2.0</v>
      </c>
      <c r="J1501" s="124" t="s">
        <v>280</v>
      </c>
      <c r="K1501" s="124" t="s">
        <v>64</v>
      </c>
      <c r="L1501" s="124" t="s">
        <v>430</v>
      </c>
    </row>
    <row r="1502">
      <c r="A1502" s="165">
        <v>43779.14775225695</v>
      </c>
      <c r="B1502" s="122" t="s">
        <v>48</v>
      </c>
      <c r="C1502" s="123" t="s">
        <v>176</v>
      </c>
      <c r="D1502" s="124">
        <v>8.0</v>
      </c>
      <c r="E1502" s="124">
        <v>1.0</v>
      </c>
      <c r="F1502" s="124" t="s">
        <v>201</v>
      </c>
      <c r="G1502" s="129" t="s">
        <v>1208</v>
      </c>
      <c r="H1502" s="127" t="s">
        <v>430</v>
      </c>
      <c r="I1502" s="127">
        <v>-17.0</v>
      </c>
      <c r="J1502" s="124">
        <v>47.0</v>
      </c>
      <c r="K1502" s="124" t="s">
        <v>41</v>
      </c>
      <c r="L1502" s="124" t="s">
        <v>430</v>
      </c>
    </row>
    <row r="1503">
      <c r="A1503" s="165">
        <v>43779.14775225695</v>
      </c>
      <c r="B1503" s="122" t="s">
        <v>48</v>
      </c>
      <c r="C1503" s="123" t="s">
        <v>155</v>
      </c>
      <c r="D1503" s="124">
        <v>2.0</v>
      </c>
      <c r="E1503" s="124">
        <v>7.0</v>
      </c>
      <c r="F1503" s="124" t="s">
        <v>349</v>
      </c>
      <c r="G1503" s="129" t="s">
        <v>202</v>
      </c>
      <c r="H1503" s="127"/>
      <c r="I1503" s="127" t="s">
        <v>456</v>
      </c>
      <c r="J1503" s="124" t="s">
        <v>446</v>
      </c>
      <c r="K1503" s="124"/>
      <c r="L1503" s="124">
        <v>9999.0</v>
      </c>
    </row>
    <row r="1504">
      <c r="A1504" s="165">
        <v>43779.14775225695</v>
      </c>
      <c r="B1504" s="122" t="s">
        <v>48</v>
      </c>
      <c r="C1504" s="123" t="s">
        <v>33</v>
      </c>
      <c r="D1504" s="124">
        <v>3.0</v>
      </c>
      <c r="E1504" s="124">
        <v>6.0</v>
      </c>
      <c r="F1504" s="124" t="s">
        <v>248</v>
      </c>
      <c r="G1504" s="129" t="s">
        <v>202</v>
      </c>
      <c r="H1504" s="127"/>
      <c r="I1504" s="127" t="s">
        <v>203</v>
      </c>
      <c r="J1504" s="124" t="s">
        <v>203</v>
      </c>
      <c r="K1504" s="124"/>
      <c r="L1504" s="124">
        <v>9999.0</v>
      </c>
    </row>
    <row r="1505">
      <c r="A1505" s="165">
        <v>43779.14775225695</v>
      </c>
      <c r="B1505" s="122" t="s">
        <v>48</v>
      </c>
      <c r="C1505" s="123" t="s">
        <v>187</v>
      </c>
      <c r="D1505" s="124">
        <v>2.0</v>
      </c>
      <c r="E1505" s="124">
        <v>2.0</v>
      </c>
      <c r="F1505" s="124" t="s">
        <v>248</v>
      </c>
      <c r="G1505" s="129" t="s">
        <v>202</v>
      </c>
      <c r="H1505" s="127"/>
      <c r="I1505" s="127" t="s">
        <v>203</v>
      </c>
      <c r="J1505" s="124" t="s">
        <v>203</v>
      </c>
      <c r="K1505" s="124"/>
      <c r="L1505" s="124">
        <v>9999.0</v>
      </c>
    </row>
    <row r="1506">
      <c r="A1506" s="165">
        <v>43779.14775225695</v>
      </c>
      <c r="B1506" s="122" t="s">
        <v>48</v>
      </c>
      <c r="C1506" s="123" t="s">
        <v>127</v>
      </c>
      <c r="D1506" s="124">
        <v>3.0</v>
      </c>
      <c r="E1506" s="124">
        <v>6.0</v>
      </c>
      <c r="F1506" s="124" t="s">
        <v>248</v>
      </c>
      <c r="G1506" s="129" t="s">
        <v>202</v>
      </c>
      <c r="H1506" s="127"/>
      <c r="I1506" s="127" t="s">
        <v>203</v>
      </c>
      <c r="J1506" s="124" t="s">
        <v>203</v>
      </c>
      <c r="K1506" s="124"/>
      <c r="L1506" s="124">
        <v>9999.0</v>
      </c>
    </row>
    <row r="1507">
      <c r="A1507" s="166">
        <v>43779.14775225695</v>
      </c>
      <c r="B1507" s="122" t="s">
        <v>48</v>
      </c>
      <c r="C1507" s="123" t="s">
        <v>90</v>
      </c>
      <c r="D1507" s="124">
        <v>4.0</v>
      </c>
      <c r="E1507" s="124">
        <v>5.0</v>
      </c>
      <c r="F1507" s="124" t="s">
        <v>248</v>
      </c>
      <c r="G1507" s="129" t="s">
        <v>202</v>
      </c>
      <c r="H1507" s="127"/>
      <c r="I1507" s="127" t="s">
        <v>203</v>
      </c>
      <c r="J1507" s="124" t="s">
        <v>203</v>
      </c>
      <c r="K1507" s="124"/>
      <c r="L1507" s="124">
        <v>9999.0</v>
      </c>
    </row>
    <row r="1508">
      <c r="A1508" s="136" t="s">
        <v>359</v>
      </c>
      <c r="B1508" s="122" t="s">
        <v>2</v>
      </c>
      <c r="C1508" s="123" t="s">
        <v>227</v>
      </c>
      <c r="D1508" s="124" t="s">
        <v>29</v>
      </c>
      <c r="E1508" s="124" t="s">
        <v>34</v>
      </c>
      <c r="F1508" s="124" t="s">
        <v>261</v>
      </c>
      <c r="G1508" s="129" t="s">
        <v>245</v>
      </c>
      <c r="H1508" s="127" t="s">
        <v>228</v>
      </c>
      <c r="I1508" s="127" t="s">
        <v>229</v>
      </c>
      <c r="J1508" s="124" t="s">
        <v>262</v>
      </c>
      <c r="K1508" s="124" t="s">
        <v>263</v>
      </c>
      <c r="L1508" s="124" t="s">
        <v>264</v>
      </c>
    </row>
    <row r="1509">
      <c r="A1509" s="165">
        <v>43779.14775225695</v>
      </c>
      <c r="B1509" s="122" t="s">
        <v>53</v>
      </c>
      <c r="C1509" s="123" t="s">
        <v>148</v>
      </c>
      <c r="D1509" s="124">
        <v>6.0</v>
      </c>
      <c r="E1509" s="124">
        <v>4.0</v>
      </c>
      <c r="F1509" s="124" t="s">
        <v>215</v>
      </c>
      <c r="G1509" s="129" t="s">
        <v>1191</v>
      </c>
      <c r="H1509" s="127" t="s">
        <v>430</v>
      </c>
      <c r="I1509" s="127" t="s">
        <v>244</v>
      </c>
      <c r="J1509" s="124">
        <v>63.0</v>
      </c>
      <c r="K1509" s="124" t="s">
        <v>27</v>
      </c>
      <c r="L1509" s="124" t="s">
        <v>430</v>
      </c>
    </row>
    <row r="1510">
      <c r="A1510" s="165">
        <v>43779.14775225695</v>
      </c>
      <c r="B1510" s="122" t="s">
        <v>53</v>
      </c>
      <c r="C1510" s="123" t="s">
        <v>119</v>
      </c>
      <c r="D1510" s="124">
        <v>8.0</v>
      </c>
      <c r="E1510" s="124">
        <v>1.0</v>
      </c>
      <c r="F1510" s="124" t="s">
        <v>207</v>
      </c>
      <c r="G1510" s="129" t="s">
        <v>1219</v>
      </c>
      <c r="H1510" s="127" t="s">
        <v>430</v>
      </c>
      <c r="I1510" s="127">
        <v>-7.0</v>
      </c>
      <c r="J1510" s="124" t="s">
        <v>283</v>
      </c>
      <c r="K1510" s="124" t="s">
        <v>64</v>
      </c>
      <c r="L1510" s="124" t="s">
        <v>430</v>
      </c>
    </row>
    <row r="1511">
      <c r="A1511" s="165">
        <v>43779.14775225695</v>
      </c>
      <c r="B1511" s="122" t="s">
        <v>53</v>
      </c>
      <c r="C1511" s="123" t="s">
        <v>42</v>
      </c>
      <c r="D1511" s="124">
        <v>9.0</v>
      </c>
      <c r="E1511" s="124">
        <v>1.0</v>
      </c>
      <c r="F1511" s="124" t="s">
        <v>242</v>
      </c>
      <c r="G1511" s="129" t="s">
        <v>1200</v>
      </c>
      <c r="H1511" s="127" t="s">
        <v>430</v>
      </c>
      <c r="I1511" s="127" t="s">
        <v>398</v>
      </c>
      <c r="J1511" s="124">
        <v>70.0</v>
      </c>
      <c r="K1511" s="124" t="s">
        <v>38</v>
      </c>
      <c r="L1511" s="124" t="s">
        <v>430</v>
      </c>
    </row>
    <row r="1512">
      <c r="A1512" s="165">
        <v>43779.14775225695</v>
      </c>
      <c r="B1512" s="122" t="s">
        <v>53</v>
      </c>
      <c r="C1512" s="123" t="s">
        <v>93</v>
      </c>
      <c r="D1512" s="124">
        <v>7.0</v>
      </c>
      <c r="E1512" s="124">
        <v>3.0</v>
      </c>
      <c r="F1512" s="124" t="s">
        <v>265</v>
      </c>
      <c r="G1512" s="129" t="s">
        <v>1220</v>
      </c>
      <c r="H1512" s="127" t="s">
        <v>430</v>
      </c>
      <c r="I1512" s="127" t="s">
        <v>1069</v>
      </c>
      <c r="J1512" s="124" t="s">
        <v>519</v>
      </c>
      <c r="K1512" s="124" t="s">
        <v>288</v>
      </c>
      <c r="L1512" s="124" t="s">
        <v>430</v>
      </c>
    </row>
    <row r="1513">
      <c r="A1513" s="165">
        <v>43779.14775225695</v>
      </c>
      <c r="B1513" s="122" t="s">
        <v>53</v>
      </c>
      <c r="C1513" s="123" t="s">
        <v>164</v>
      </c>
      <c r="D1513" s="124">
        <v>4.0</v>
      </c>
      <c r="E1513" s="124">
        <v>6.0</v>
      </c>
      <c r="F1513" s="124" t="s">
        <v>273</v>
      </c>
      <c r="G1513" s="129" t="s">
        <v>1221</v>
      </c>
      <c r="H1513" s="127" t="s">
        <v>430</v>
      </c>
      <c r="I1513" s="127" t="s">
        <v>418</v>
      </c>
      <c r="J1513" s="124" t="s">
        <v>237</v>
      </c>
      <c r="K1513" s="124" t="s">
        <v>74</v>
      </c>
      <c r="L1513" s="124" t="s">
        <v>430</v>
      </c>
    </row>
    <row r="1514">
      <c r="A1514" s="165">
        <v>43779.14775225695</v>
      </c>
      <c r="B1514" s="122" t="s">
        <v>53</v>
      </c>
      <c r="C1514" s="123" t="s">
        <v>136</v>
      </c>
      <c r="D1514" s="124">
        <v>6.0</v>
      </c>
      <c r="E1514" s="124">
        <v>3.0</v>
      </c>
      <c r="F1514" s="124" t="s">
        <v>355</v>
      </c>
      <c r="G1514" s="129" t="s">
        <v>1222</v>
      </c>
      <c r="H1514" s="127" t="s">
        <v>430</v>
      </c>
      <c r="I1514" s="127">
        <v>6.0</v>
      </c>
      <c r="J1514" s="124">
        <v>50.0</v>
      </c>
      <c r="K1514" s="124" t="s">
        <v>64</v>
      </c>
      <c r="L1514" s="124" t="s">
        <v>430</v>
      </c>
    </row>
    <row r="1515">
      <c r="A1515" s="165">
        <v>43779.14775225695</v>
      </c>
      <c r="B1515" s="122" t="s">
        <v>53</v>
      </c>
      <c r="C1515" s="123" t="s">
        <v>191</v>
      </c>
      <c r="D1515" s="124">
        <v>4.0</v>
      </c>
      <c r="E1515" s="124">
        <v>5.0</v>
      </c>
      <c r="F1515" s="124" t="s">
        <v>248</v>
      </c>
      <c r="G1515" s="129" t="s">
        <v>1223</v>
      </c>
      <c r="H1515" s="127" t="s">
        <v>430</v>
      </c>
      <c r="I1515" s="127" t="s">
        <v>428</v>
      </c>
      <c r="J1515" s="124" t="s">
        <v>1224</v>
      </c>
      <c r="K1515" s="124" t="s">
        <v>60</v>
      </c>
      <c r="L1515" s="124" t="s">
        <v>430</v>
      </c>
    </row>
    <row r="1516">
      <c r="A1516" s="165">
        <v>43779.14775225695</v>
      </c>
      <c r="B1516" s="122" t="s">
        <v>53</v>
      </c>
      <c r="C1516" s="123" t="s">
        <v>100</v>
      </c>
      <c r="D1516" s="124">
        <v>8.0</v>
      </c>
      <c r="E1516" s="124">
        <v>1.0</v>
      </c>
      <c r="F1516" s="124" t="s">
        <v>278</v>
      </c>
      <c r="G1516" s="129" t="s">
        <v>1204</v>
      </c>
      <c r="H1516" s="127" t="s">
        <v>430</v>
      </c>
      <c r="I1516" s="127">
        <v>-14.0</v>
      </c>
      <c r="J1516" s="124">
        <v>67.0</v>
      </c>
      <c r="K1516" s="124" t="s">
        <v>38</v>
      </c>
      <c r="L1516" s="124" t="s">
        <v>430</v>
      </c>
    </row>
    <row r="1517">
      <c r="A1517" s="165">
        <v>43779.14775225695</v>
      </c>
      <c r="B1517" s="122" t="s">
        <v>53</v>
      </c>
      <c r="C1517" s="123" t="s">
        <v>157</v>
      </c>
      <c r="D1517" s="124">
        <v>4.0</v>
      </c>
      <c r="E1517" s="124">
        <v>6.0</v>
      </c>
      <c r="F1517" s="124" t="s">
        <v>248</v>
      </c>
      <c r="G1517" s="129" t="s">
        <v>1225</v>
      </c>
      <c r="H1517" s="127" t="s">
        <v>430</v>
      </c>
      <c r="I1517" s="127" t="s">
        <v>257</v>
      </c>
      <c r="J1517" s="124">
        <v>77.0</v>
      </c>
      <c r="K1517" s="124" t="s">
        <v>62</v>
      </c>
      <c r="L1517" s="124" t="s">
        <v>430</v>
      </c>
    </row>
    <row r="1518">
      <c r="A1518" s="166">
        <v>43779.14775225695</v>
      </c>
      <c r="B1518" s="122" t="s">
        <v>53</v>
      </c>
      <c r="C1518" s="123" t="s">
        <v>179</v>
      </c>
      <c r="D1518" s="124">
        <v>4.0</v>
      </c>
      <c r="E1518" s="124">
        <v>5.0</v>
      </c>
      <c r="F1518" s="124" t="s">
        <v>248</v>
      </c>
      <c r="G1518" s="129" t="s">
        <v>202</v>
      </c>
      <c r="H1518" s="127"/>
      <c r="I1518" s="127" t="s">
        <v>203</v>
      </c>
      <c r="J1518" s="124" t="s">
        <v>203</v>
      </c>
      <c r="K1518" s="124"/>
      <c r="L1518" s="124">
        <v>9999.0</v>
      </c>
    </row>
    <row r="1519">
      <c r="A1519" s="136" t="s">
        <v>359</v>
      </c>
      <c r="B1519" s="122" t="s">
        <v>2</v>
      </c>
      <c r="C1519" s="123" t="s">
        <v>227</v>
      </c>
      <c r="D1519" s="124" t="s">
        <v>29</v>
      </c>
      <c r="E1519" s="124" t="s">
        <v>34</v>
      </c>
      <c r="F1519" s="124" t="s">
        <v>261</v>
      </c>
      <c r="G1519" s="129" t="s">
        <v>245</v>
      </c>
      <c r="H1519" s="127" t="s">
        <v>228</v>
      </c>
      <c r="I1519" s="127" t="s">
        <v>229</v>
      </c>
      <c r="J1519" s="124" t="s">
        <v>262</v>
      </c>
      <c r="K1519" s="124" t="s">
        <v>263</v>
      </c>
      <c r="L1519" s="124" t="s">
        <v>264</v>
      </c>
    </row>
    <row r="1520">
      <c r="A1520" s="165">
        <v>43779.14775225695</v>
      </c>
      <c r="B1520" s="122" t="s">
        <v>58</v>
      </c>
      <c r="C1520" s="123" t="s">
        <v>45</v>
      </c>
      <c r="D1520" s="124">
        <v>4.0</v>
      </c>
      <c r="E1520" s="124">
        <v>5.0</v>
      </c>
      <c r="F1520" s="124" t="s">
        <v>201</v>
      </c>
      <c r="G1520" s="129" t="s">
        <v>1226</v>
      </c>
      <c r="H1520" s="127" t="s">
        <v>430</v>
      </c>
      <c r="I1520" s="127" t="s">
        <v>428</v>
      </c>
      <c r="J1520" s="124">
        <v>51.0</v>
      </c>
      <c r="K1520" s="124" t="s">
        <v>64</v>
      </c>
      <c r="L1520" s="124" t="s">
        <v>430</v>
      </c>
    </row>
    <row r="1521">
      <c r="A1521" s="165">
        <v>43779.14775225695</v>
      </c>
      <c r="B1521" s="122" t="s">
        <v>58</v>
      </c>
      <c r="C1521" s="123" t="s">
        <v>96</v>
      </c>
      <c r="D1521" s="124">
        <v>9.0</v>
      </c>
      <c r="E1521" s="124">
        <v>0.0</v>
      </c>
      <c r="F1521" s="124" t="s">
        <v>269</v>
      </c>
      <c r="G1521" s="129" t="s">
        <v>1227</v>
      </c>
      <c r="H1521" s="127" t="s">
        <v>541</v>
      </c>
      <c r="I1521" s="127">
        <v>-1.0</v>
      </c>
      <c r="J1521" s="124">
        <v>51.0</v>
      </c>
      <c r="K1521" s="124" t="s">
        <v>62</v>
      </c>
      <c r="L1521" s="124" t="s">
        <v>541</v>
      </c>
    </row>
    <row r="1522">
      <c r="A1522" s="165">
        <v>43779.14775225695</v>
      </c>
      <c r="B1522" s="122" t="s">
        <v>58</v>
      </c>
      <c r="C1522" s="123" t="s">
        <v>135</v>
      </c>
      <c r="D1522" s="124">
        <v>6.0</v>
      </c>
      <c r="E1522" s="124">
        <v>4.0</v>
      </c>
      <c r="F1522" s="124" t="s">
        <v>287</v>
      </c>
      <c r="G1522" s="129" t="s">
        <v>1210</v>
      </c>
      <c r="H1522" s="127" t="s">
        <v>430</v>
      </c>
      <c r="I1522" s="127" t="s">
        <v>428</v>
      </c>
      <c r="J1522" s="124">
        <v>51.0</v>
      </c>
      <c r="K1522" s="124" t="s">
        <v>44</v>
      </c>
      <c r="L1522" s="124" t="s">
        <v>430</v>
      </c>
    </row>
    <row r="1523">
      <c r="A1523" s="165">
        <v>43779.14775225695</v>
      </c>
      <c r="B1523" s="122" t="s">
        <v>58</v>
      </c>
      <c r="C1523" s="123" t="s">
        <v>110</v>
      </c>
      <c r="D1523" s="124">
        <v>6.0</v>
      </c>
      <c r="E1523" s="124">
        <v>3.0</v>
      </c>
      <c r="F1523" s="124" t="s">
        <v>278</v>
      </c>
      <c r="G1523" s="129" t="s">
        <v>1215</v>
      </c>
      <c r="H1523" s="127" t="s">
        <v>430</v>
      </c>
      <c r="I1523" s="127" t="s">
        <v>1087</v>
      </c>
      <c r="J1523" s="124">
        <v>38.0</v>
      </c>
      <c r="K1523" s="124" t="s">
        <v>44</v>
      </c>
      <c r="L1523" s="124" t="s">
        <v>430</v>
      </c>
    </row>
    <row r="1524">
      <c r="A1524" s="165">
        <v>43779.14775225695</v>
      </c>
      <c r="B1524" s="122" t="s">
        <v>58</v>
      </c>
      <c r="C1524" s="123" t="s">
        <v>186</v>
      </c>
      <c r="D1524" s="124">
        <v>8.0</v>
      </c>
      <c r="E1524" s="124">
        <v>1.0</v>
      </c>
      <c r="F1524" s="124" t="s">
        <v>215</v>
      </c>
      <c r="G1524" s="129" t="s">
        <v>1228</v>
      </c>
      <c r="H1524" s="127" t="s">
        <v>430</v>
      </c>
      <c r="I1524" s="127" t="s">
        <v>739</v>
      </c>
      <c r="J1524" s="124">
        <v>51.0</v>
      </c>
      <c r="K1524" s="124" t="s">
        <v>69</v>
      </c>
      <c r="L1524" s="124" t="s">
        <v>430</v>
      </c>
    </row>
    <row r="1525">
      <c r="A1525" s="165">
        <v>43779.14775225695</v>
      </c>
      <c r="B1525" s="122" t="s">
        <v>58</v>
      </c>
      <c r="C1525" s="123" t="s">
        <v>72</v>
      </c>
      <c r="D1525" s="124">
        <v>4.0</v>
      </c>
      <c r="E1525" s="124">
        <v>5.0</v>
      </c>
      <c r="F1525" s="124" t="s">
        <v>285</v>
      </c>
      <c r="G1525" s="129" t="s">
        <v>1199</v>
      </c>
      <c r="H1525" s="127" t="s">
        <v>430</v>
      </c>
      <c r="I1525" s="127">
        <v>8.0</v>
      </c>
      <c r="J1525" s="124" t="s">
        <v>462</v>
      </c>
      <c r="K1525" s="124" t="s">
        <v>27</v>
      </c>
      <c r="L1525" s="124" t="s">
        <v>430</v>
      </c>
    </row>
    <row r="1526">
      <c r="A1526" s="165">
        <v>43779.14775225695</v>
      </c>
      <c r="B1526" s="122" t="s">
        <v>58</v>
      </c>
      <c r="C1526" s="123" t="s">
        <v>183</v>
      </c>
      <c r="D1526" s="124">
        <v>5.0</v>
      </c>
      <c r="E1526" s="124">
        <v>5.0</v>
      </c>
      <c r="F1526" s="124" t="s">
        <v>287</v>
      </c>
      <c r="G1526" s="129" t="s">
        <v>1229</v>
      </c>
      <c r="H1526" s="127" t="s">
        <v>430</v>
      </c>
      <c r="I1526" s="127">
        <v>-1.0</v>
      </c>
      <c r="J1526" s="124">
        <v>42.0</v>
      </c>
      <c r="K1526" s="124" t="s">
        <v>64</v>
      </c>
      <c r="L1526" s="124" t="s">
        <v>430</v>
      </c>
    </row>
    <row r="1527">
      <c r="A1527" s="165">
        <v>43779.14775225695</v>
      </c>
      <c r="B1527" s="122" t="s">
        <v>58</v>
      </c>
      <c r="C1527" s="123" t="s">
        <v>140</v>
      </c>
      <c r="D1527" s="124">
        <v>5.0</v>
      </c>
      <c r="E1527" s="124">
        <v>4.0</v>
      </c>
      <c r="F1527" s="124" t="s">
        <v>248</v>
      </c>
      <c r="G1527" s="129" t="s">
        <v>202</v>
      </c>
      <c r="H1527" s="127"/>
      <c r="I1527" s="127" t="s">
        <v>203</v>
      </c>
      <c r="J1527" s="124" t="s">
        <v>203</v>
      </c>
      <c r="K1527" s="124"/>
      <c r="L1527" s="124">
        <v>9999.0</v>
      </c>
    </row>
    <row r="1528">
      <c r="A1528" s="165">
        <v>43779.14775225695</v>
      </c>
      <c r="B1528" s="122" t="s">
        <v>58</v>
      </c>
      <c r="C1528" s="123" t="s">
        <v>158</v>
      </c>
      <c r="D1528" s="124">
        <v>2.0</v>
      </c>
      <c r="E1528" s="124">
        <v>7.0</v>
      </c>
      <c r="F1528" s="124" t="s">
        <v>248</v>
      </c>
      <c r="G1528" s="129" t="s">
        <v>202</v>
      </c>
      <c r="H1528" s="127"/>
      <c r="I1528" s="127" t="s">
        <v>203</v>
      </c>
      <c r="J1528" s="124" t="s">
        <v>203</v>
      </c>
      <c r="K1528" s="124"/>
      <c r="L1528" s="124">
        <v>9999.0</v>
      </c>
    </row>
    <row r="1529">
      <c r="A1529" s="166">
        <v>43779.14775225695</v>
      </c>
      <c r="B1529" s="122" t="s">
        <v>58</v>
      </c>
      <c r="C1529" s="123" t="s">
        <v>165</v>
      </c>
      <c r="D1529" s="124">
        <v>8.0</v>
      </c>
      <c r="E1529" s="124">
        <v>1.0</v>
      </c>
      <c r="F1529" s="124" t="s">
        <v>248</v>
      </c>
      <c r="G1529" s="129" t="s">
        <v>202</v>
      </c>
      <c r="H1529" s="127"/>
      <c r="I1529" s="127" t="s">
        <v>203</v>
      </c>
      <c r="J1529" s="124" t="s">
        <v>203</v>
      </c>
      <c r="K1529" s="124"/>
      <c r="L1529" s="124">
        <v>9999.0</v>
      </c>
    </row>
    <row r="1530">
      <c r="A1530" s="136" t="s">
        <v>359</v>
      </c>
      <c r="B1530" s="122" t="s">
        <v>2</v>
      </c>
      <c r="C1530" s="123" t="s">
        <v>227</v>
      </c>
      <c r="D1530" s="124" t="s">
        <v>29</v>
      </c>
      <c r="E1530" s="124" t="s">
        <v>34</v>
      </c>
      <c r="F1530" s="124" t="s">
        <v>261</v>
      </c>
      <c r="G1530" s="129" t="s">
        <v>245</v>
      </c>
      <c r="H1530" s="127" t="s">
        <v>228</v>
      </c>
      <c r="I1530" s="127" t="s">
        <v>229</v>
      </c>
      <c r="J1530" s="124" t="s">
        <v>262</v>
      </c>
      <c r="K1530" s="124" t="s">
        <v>263</v>
      </c>
      <c r="L1530" s="124" t="s">
        <v>264</v>
      </c>
    </row>
    <row r="1531">
      <c r="A1531" s="165">
        <v>43779.14775225695</v>
      </c>
      <c r="B1531" s="122" t="s">
        <v>60</v>
      </c>
      <c r="C1531" s="123" t="s">
        <v>59</v>
      </c>
      <c r="D1531" s="124">
        <v>7.0</v>
      </c>
      <c r="E1531" s="124">
        <v>3.0</v>
      </c>
      <c r="F1531" s="124" t="s">
        <v>215</v>
      </c>
      <c r="G1531" s="129" t="s">
        <v>1193</v>
      </c>
      <c r="H1531" s="127" t="s">
        <v>430</v>
      </c>
      <c r="I1531" s="127">
        <v>-17.0</v>
      </c>
      <c r="J1531" s="124">
        <v>71.0</v>
      </c>
      <c r="K1531" s="124" t="s">
        <v>27</v>
      </c>
      <c r="L1531" s="124" t="s">
        <v>430</v>
      </c>
    </row>
    <row r="1532">
      <c r="A1532" s="165">
        <v>43779.14775225695</v>
      </c>
      <c r="B1532" s="122" t="s">
        <v>60</v>
      </c>
      <c r="C1532" s="123" t="s">
        <v>166</v>
      </c>
      <c r="D1532" s="124">
        <v>4.0</v>
      </c>
      <c r="E1532" s="124">
        <v>5.0</v>
      </c>
      <c r="F1532" s="124" t="s">
        <v>269</v>
      </c>
      <c r="G1532" s="129" t="s">
        <v>1230</v>
      </c>
      <c r="H1532" s="127" t="s">
        <v>430</v>
      </c>
      <c r="I1532" s="127">
        <v>10.0</v>
      </c>
      <c r="J1532" s="124">
        <v>65.0</v>
      </c>
      <c r="K1532" s="124" t="s">
        <v>62</v>
      </c>
      <c r="L1532" s="124" t="s">
        <v>430</v>
      </c>
    </row>
    <row r="1533">
      <c r="A1533" s="165">
        <v>43779.14775225695</v>
      </c>
      <c r="B1533" s="122" t="s">
        <v>60</v>
      </c>
      <c r="C1533" s="123" t="s">
        <v>175</v>
      </c>
      <c r="D1533" s="124">
        <v>8.0</v>
      </c>
      <c r="E1533" s="124">
        <v>2.0</v>
      </c>
      <c r="F1533" s="124" t="s">
        <v>201</v>
      </c>
      <c r="G1533" s="129" t="s">
        <v>1231</v>
      </c>
      <c r="H1533" s="127" t="s">
        <v>430</v>
      </c>
      <c r="I1533" s="127" t="s">
        <v>908</v>
      </c>
      <c r="J1533" s="124">
        <v>48.0</v>
      </c>
      <c r="K1533" s="124" t="s">
        <v>288</v>
      </c>
      <c r="L1533" s="124" t="s">
        <v>430</v>
      </c>
    </row>
    <row r="1534">
      <c r="A1534" s="165">
        <v>43779.14775225695</v>
      </c>
      <c r="B1534" s="122" t="s">
        <v>60</v>
      </c>
      <c r="C1534" s="123" t="s">
        <v>117</v>
      </c>
      <c r="D1534" s="124">
        <v>1.0</v>
      </c>
      <c r="E1534" s="124">
        <v>8.0</v>
      </c>
      <c r="F1534" s="124" t="s">
        <v>266</v>
      </c>
      <c r="G1534" s="129" t="s">
        <v>1217</v>
      </c>
      <c r="H1534" s="127" t="s">
        <v>430</v>
      </c>
      <c r="I1534" s="127">
        <v>-1.0</v>
      </c>
      <c r="J1534" s="124" t="s">
        <v>983</v>
      </c>
      <c r="K1534" s="124" t="s">
        <v>48</v>
      </c>
      <c r="L1534" s="124" t="s">
        <v>430</v>
      </c>
    </row>
    <row r="1535">
      <c r="A1535" s="165">
        <v>43779.14775225695</v>
      </c>
      <c r="B1535" s="122" t="s">
        <v>60</v>
      </c>
      <c r="C1535" s="123" t="s">
        <v>103</v>
      </c>
      <c r="D1535" s="124">
        <v>6.0</v>
      </c>
      <c r="E1535" s="124">
        <v>3.0</v>
      </c>
      <c r="F1535" s="124" t="s">
        <v>201</v>
      </c>
      <c r="G1535" s="129" t="s">
        <v>1232</v>
      </c>
      <c r="H1535" s="127" t="s">
        <v>430</v>
      </c>
      <c r="I1535" s="127" t="s">
        <v>244</v>
      </c>
      <c r="J1535" s="124">
        <v>59.0</v>
      </c>
      <c r="K1535" s="124" t="s">
        <v>74</v>
      </c>
      <c r="L1535" s="124" t="s">
        <v>430</v>
      </c>
    </row>
    <row r="1536">
      <c r="A1536" s="165">
        <v>43779.14775225695</v>
      </c>
      <c r="B1536" s="122" t="s">
        <v>60</v>
      </c>
      <c r="C1536" s="123" t="s">
        <v>95</v>
      </c>
      <c r="D1536" s="124">
        <v>7.0</v>
      </c>
      <c r="E1536" s="124">
        <v>2.0</v>
      </c>
      <c r="F1536" s="124" t="s">
        <v>285</v>
      </c>
      <c r="G1536" s="129" t="s">
        <v>1196</v>
      </c>
      <c r="H1536" s="127" t="s">
        <v>430</v>
      </c>
      <c r="I1536" s="127" t="s">
        <v>694</v>
      </c>
      <c r="J1536" s="124">
        <v>64.0</v>
      </c>
      <c r="K1536" s="124" t="s">
        <v>27</v>
      </c>
      <c r="L1536" s="124" t="s">
        <v>430</v>
      </c>
    </row>
    <row r="1537">
      <c r="A1537" s="165">
        <v>43779.14775225695</v>
      </c>
      <c r="B1537" s="122" t="s">
        <v>60</v>
      </c>
      <c r="C1537" s="123" t="s">
        <v>189</v>
      </c>
      <c r="D1537" s="124">
        <v>6.0</v>
      </c>
      <c r="E1537" s="124">
        <v>3.0</v>
      </c>
      <c r="F1537" s="124" t="s">
        <v>267</v>
      </c>
      <c r="G1537" s="129" t="s">
        <v>1223</v>
      </c>
      <c r="H1537" s="127" t="s">
        <v>430</v>
      </c>
      <c r="I1537" s="127" t="s">
        <v>451</v>
      </c>
      <c r="J1537" s="124" t="s">
        <v>1224</v>
      </c>
      <c r="K1537" s="124" t="s">
        <v>53</v>
      </c>
      <c r="L1537" s="124" t="s">
        <v>430</v>
      </c>
    </row>
    <row r="1538">
      <c r="A1538" s="165">
        <v>43779.14775225695</v>
      </c>
      <c r="B1538" s="122" t="s">
        <v>60</v>
      </c>
      <c r="C1538" s="123" t="s">
        <v>123</v>
      </c>
      <c r="D1538" s="124">
        <v>5.0</v>
      </c>
      <c r="E1538" s="124">
        <v>5.0</v>
      </c>
      <c r="F1538" s="124" t="s">
        <v>248</v>
      </c>
      <c r="G1538" s="129" t="s">
        <v>1233</v>
      </c>
      <c r="H1538" s="127" t="s">
        <v>430</v>
      </c>
      <c r="I1538" s="127">
        <v>10.0</v>
      </c>
      <c r="J1538" s="124" t="s">
        <v>412</v>
      </c>
      <c r="K1538" s="124" t="s">
        <v>74</v>
      </c>
      <c r="L1538" s="124" t="s">
        <v>430</v>
      </c>
    </row>
    <row r="1539">
      <c r="A1539" s="165">
        <v>43779.14775225695</v>
      </c>
      <c r="B1539" s="122" t="s">
        <v>60</v>
      </c>
      <c r="C1539" s="123" t="s">
        <v>149</v>
      </c>
      <c r="D1539" s="124">
        <v>7.0</v>
      </c>
      <c r="E1539" s="124">
        <v>2.0</v>
      </c>
      <c r="F1539" s="124" t="s">
        <v>349</v>
      </c>
      <c r="G1539" s="129" t="s">
        <v>202</v>
      </c>
      <c r="H1539" s="127"/>
      <c r="I1539" s="127" t="s">
        <v>393</v>
      </c>
      <c r="J1539" s="124" t="s">
        <v>446</v>
      </c>
      <c r="K1539" s="124"/>
      <c r="L1539" s="124">
        <v>9999.0</v>
      </c>
    </row>
    <row r="1540">
      <c r="A1540" s="166">
        <v>43779.14775225695</v>
      </c>
      <c r="B1540" s="122" t="s">
        <v>60</v>
      </c>
      <c r="C1540" s="123" t="s">
        <v>137</v>
      </c>
      <c r="D1540" s="124">
        <v>0.0</v>
      </c>
      <c r="E1540" s="124">
        <v>9.0</v>
      </c>
      <c r="F1540" s="124" t="s">
        <v>248</v>
      </c>
      <c r="G1540" s="129" t="s">
        <v>202</v>
      </c>
      <c r="H1540" s="127"/>
      <c r="I1540" s="127" t="s">
        <v>203</v>
      </c>
      <c r="J1540" s="124" t="s">
        <v>203</v>
      </c>
      <c r="K1540" s="124"/>
      <c r="L1540" s="124">
        <v>9999.0</v>
      </c>
    </row>
    <row r="1541">
      <c r="A1541" s="136" t="s">
        <v>359</v>
      </c>
      <c r="B1541" s="122" t="s">
        <v>2</v>
      </c>
      <c r="C1541" s="123" t="s">
        <v>227</v>
      </c>
      <c r="D1541" s="124" t="s">
        <v>29</v>
      </c>
      <c r="E1541" s="124" t="s">
        <v>34</v>
      </c>
      <c r="F1541" s="124" t="s">
        <v>261</v>
      </c>
      <c r="G1541" s="129" t="s">
        <v>245</v>
      </c>
      <c r="H1541" s="127" t="s">
        <v>228</v>
      </c>
      <c r="I1541" s="127" t="s">
        <v>229</v>
      </c>
      <c r="J1541" s="124" t="s">
        <v>262</v>
      </c>
      <c r="K1541" s="124" t="s">
        <v>263</v>
      </c>
      <c r="L1541" s="124" t="s">
        <v>264</v>
      </c>
    </row>
    <row r="1542">
      <c r="A1542" s="165">
        <v>43779.14775225695</v>
      </c>
      <c r="B1542" s="122" t="s">
        <v>62</v>
      </c>
      <c r="C1542" s="123" t="s">
        <v>143</v>
      </c>
      <c r="D1542" s="124">
        <v>3.0</v>
      </c>
      <c r="E1542" s="124">
        <v>6.0</v>
      </c>
      <c r="F1542" s="124" t="s">
        <v>248</v>
      </c>
      <c r="G1542" s="129" t="s">
        <v>1234</v>
      </c>
      <c r="H1542" s="127" t="s">
        <v>430</v>
      </c>
      <c r="I1542" s="127">
        <v>7.0</v>
      </c>
      <c r="J1542" s="124">
        <v>62.0</v>
      </c>
      <c r="K1542" s="124" t="s">
        <v>64</v>
      </c>
      <c r="L1542" s="124" t="s">
        <v>430</v>
      </c>
    </row>
    <row r="1543">
      <c r="A1543" s="165">
        <v>43779.14775225695</v>
      </c>
      <c r="B1543" s="122" t="s">
        <v>62</v>
      </c>
      <c r="C1543" s="123" t="s">
        <v>171</v>
      </c>
      <c r="D1543" s="124">
        <v>6.0</v>
      </c>
      <c r="E1543" s="124">
        <v>4.0</v>
      </c>
      <c r="F1543" s="124" t="s">
        <v>269</v>
      </c>
      <c r="G1543" s="129" t="s">
        <v>1230</v>
      </c>
      <c r="H1543" s="127" t="s">
        <v>430</v>
      </c>
      <c r="I1543" s="127">
        <v>-10.0</v>
      </c>
      <c r="J1543" s="124">
        <v>65.0</v>
      </c>
      <c r="K1543" s="124" t="s">
        <v>60</v>
      </c>
      <c r="L1543" s="124" t="s">
        <v>430</v>
      </c>
    </row>
    <row r="1544">
      <c r="A1544" s="165">
        <v>43779.14775225695</v>
      </c>
      <c r="B1544" s="122" t="s">
        <v>62</v>
      </c>
      <c r="C1544" s="123" t="s">
        <v>102</v>
      </c>
      <c r="D1544" s="124">
        <v>4.0</v>
      </c>
      <c r="E1544" s="124">
        <v>5.0</v>
      </c>
      <c r="F1544" s="124" t="s">
        <v>269</v>
      </c>
      <c r="G1544" s="129" t="s">
        <v>1227</v>
      </c>
      <c r="H1544" s="127" t="s">
        <v>541</v>
      </c>
      <c r="I1544" s="127">
        <v>1.0</v>
      </c>
      <c r="J1544" s="124">
        <v>51.0</v>
      </c>
      <c r="K1544" s="124" t="s">
        <v>58</v>
      </c>
      <c r="L1544" s="124" t="s">
        <v>541</v>
      </c>
    </row>
    <row r="1545">
      <c r="A1545" s="165">
        <v>43779.14775225695</v>
      </c>
      <c r="B1545" s="122" t="s">
        <v>62</v>
      </c>
      <c r="C1545" s="123" t="s">
        <v>192</v>
      </c>
      <c r="D1545" s="124">
        <v>1.0</v>
      </c>
      <c r="E1545" s="124">
        <v>8.0</v>
      </c>
      <c r="F1545" s="124" t="s">
        <v>282</v>
      </c>
      <c r="G1545" s="129" t="s">
        <v>1235</v>
      </c>
      <c r="H1545" s="127" t="s">
        <v>430</v>
      </c>
      <c r="I1545" s="127" t="s">
        <v>257</v>
      </c>
      <c r="J1545" s="124" t="s">
        <v>543</v>
      </c>
      <c r="K1545" s="124" t="s">
        <v>69</v>
      </c>
      <c r="L1545" s="124" t="s">
        <v>430</v>
      </c>
    </row>
    <row r="1546">
      <c r="A1546" s="165">
        <v>43779.14775225695</v>
      </c>
      <c r="B1546" s="122" t="s">
        <v>62</v>
      </c>
      <c r="C1546" s="123" t="s">
        <v>5</v>
      </c>
      <c r="D1546" s="124">
        <v>8.0</v>
      </c>
      <c r="E1546" s="124">
        <v>1.0</v>
      </c>
      <c r="F1546" s="124" t="s">
        <v>260</v>
      </c>
      <c r="G1546" s="129" t="s">
        <v>1236</v>
      </c>
      <c r="H1546" s="127" t="s">
        <v>430</v>
      </c>
      <c r="I1546" s="127">
        <v>-35.0</v>
      </c>
      <c r="J1546" s="124" t="s">
        <v>280</v>
      </c>
      <c r="K1546" s="124" t="s">
        <v>74</v>
      </c>
      <c r="L1546" s="124" t="s">
        <v>430</v>
      </c>
    </row>
    <row r="1547">
      <c r="A1547" s="165">
        <v>43779.14775225695</v>
      </c>
      <c r="B1547" s="122" t="s">
        <v>62</v>
      </c>
      <c r="C1547" s="123" t="s">
        <v>128</v>
      </c>
      <c r="D1547" s="124">
        <v>4.0</v>
      </c>
      <c r="E1547" s="124">
        <v>6.0</v>
      </c>
      <c r="F1547" s="124" t="s">
        <v>284</v>
      </c>
      <c r="G1547" s="129" t="s">
        <v>1237</v>
      </c>
      <c r="H1547" s="127" t="s">
        <v>430</v>
      </c>
      <c r="I1547" s="127" t="s">
        <v>376</v>
      </c>
      <c r="J1547" s="124">
        <v>68.0</v>
      </c>
      <c r="K1547" s="124" t="s">
        <v>69</v>
      </c>
      <c r="L1547" s="124" t="s">
        <v>430</v>
      </c>
    </row>
    <row r="1548">
      <c r="A1548" s="165">
        <v>43779.14775225695</v>
      </c>
      <c r="B1548" s="122" t="s">
        <v>62</v>
      </c>
      <c r="C1548" s="123" t="s">
        <v>153</v>
      </c>
      <c r="D1548" s="124">
        <v>6.0</v>
      </c>
      <c r="E1548" s="124">
        <v>4.0</v>
      </c>
      <c r="F1548" s="124" t="s">
        <v>284</v>
      </c>
      <c r="G1548" s="129" t="s">
        <v>1225</v>
      </c>
      <c r="H1548" s="127" t="s">
        <v>430</v>
      </c>
      <c r="I1548" s="127" t="s">
        <v>286</v>
      </c>
      <c r="J1548" s="124">
        <v>77.0</v>
      </c>
      <c r="K1548" s="124" t="s">
        <v>53</v>
      </c>
      <c r="L1548" s="124" t="s">
        <v>430</v>
      </c>
    </row>
    <row r="1549">
      <c r="A1549" s="165">
        <v>43779.14775225695</v>
      </c>
      <c r="B1549" s="122" t="s">
        <v>62</v>
      </c>
      <c r="C1549" s="123" t="s">
        <v>112</v>
      </c>
      <c r="D1549" s="124">
        <v>7.0</v>
      </c>
      <c r="E1549" s="124">
        <v>2.0</v>
      </c>
      <c r="F1549" s="124" t="s">
        <v>248</v>
      </c>
      <c r="G1549" s="129" t="s">
        <v>202</v>
      </c>
      <c r="H1549" s="127"/>
      <c r="I1549" s="127" t="s">
        <v>203</v>
      </c>
      <c r="J1549" s="124" t="s">
        <v>203</v>
      </c>
      <c r="K1549" s="124"/>
      <c r="L1549" s="124">
        <v>9999.0</v>
      </c>
    </row>
    <row r="1550">
      <c r="A1550" s="165">
        <v>43779.14775225695</v>
      </c>
      <c r="B1550" s="122" t="s">
        <v>62</v>
      </c>
      <c r="C1550" s="123" t="s">
        <v>92</v>
      </c>
      <c r="D1550" s="124">
        <v>3.0</v>
      </c>
      <c r="E1550" s="124">
        <v>6.0</v>
      </c>
      <c r="F1550" s="124" t="s">
        <v>248</v>
      </c>
      <c r="G1550" s="129" t="s">
        <v>202</v>
      </c>
      <c r="H1550" s="127"/>
      <c r="I1550" s="127" t="s">
        <v>203</v>
      </c>
      <c r="J1550" s="124" t="s">
        <v>203</v>
      </c>
      <c r="K1550" s="124"/>
      <c r="L1550" s="124">
        <v>9999.0</v>
      </c>
    </row>
    <row r="1551">
      <c r="A1551" s="166">
        <v>43779.14775225695</v>
      </c>
      <c r="B1551" s="122" t="s">
        <v>62</v>
      </c>
      <c r="C1551" s="123" t="s">
        <v>184</v>
      </c>
      <c r="D1551" s="124">
        <v>6.0</v>
      </c>
      <c r="E1551" s="124">
        <v>3.0</v>
      </c>
      <c r="F1551" s="124" t="s">
        <v>248</v>
      </c>
      <c r="G1551" s="129" t="s">
        <v>202</v>
      </c>
      <c r="H1551" s="127"/>
      <c r="I1551" s="127" t="s">
        <v>203</v>
      </c>
      <c r="J1551" s="124" t="s">
        <v>203</v>
      </c>
      <c r="K1551" s="124"/>
      <c r="L1551" s="124">
        <v>9999.0</v>
      </c>
    </row>
    <row r="1552">
      <c r="A1552" s="136" t="s">
        <v>359</v>
      </c>
      <c r="B1552" s="122" t="s">
        <v>2</v>
      </c>
      <c r="C1552" s="123" t="s">
        <v>227</v>
      </c>
      <c r="D1552" s="124" t="s">
        <v>29</v>
      </c>
      <c r="E1552" s="124" t="s">
        <v>34</v>
      </c>
      <c r="F1552" s="124" t="s">
        <v>261</v>
      </c>
      <c r="G1552" s="129" t="s">
        <v>245</v>
      </c>
      <c r="H1552" s="127" t="s">
        <v>228</v>
      </c>
      <c r="I1552" s="127" t="s">
        <v>229</v>
      </c>
      <c r="J1552" s="124" t="s">
        <v>262</v>
      </c>
      <c r="K1552" s="124" t="s">
        <v>263</v>
      </c>
      <c r="L1552" s="124" t="s">
        <v>264</v>
      </c>
    </row>
    <row r="1553">
      <c r="A1553" s="165">
        <v>43779.14775225695</v>
      </c>
      <c r="B1553" s="122" t="s">
        <v>64</v>
      </c>
      <c r="C1553" s="123" t="s">
        <v>147</v>
      </c>
      <c r="D1553" s="124">
        <v>6.0</v>
      </c>
      <c r="E1553" s="124">
        <v>3.0</v>
      </c>
      <c r="F1553" s="124" t="s">
        <v>248</v>
      </c>
      <c r="G1553" s="129" t="s">
        <v>1234</v>
      </c>
      <c r="H1553" s="127" t="s">
        <v>430</v>
      </c>
      <c r="I1553" s="127">
        <v>-7.0</v>
      </c>
      <c r="J1553" s="124">
        <v>62.0</v>
      </c>
      <c r="K1553" s="124" t="s">
        <v>62</v>
      </c>
      <c r="L1553" s="124" t="s">
        <v>430</v>
      </c>
    </row>
    <row r="1554">
      <c r="A1554" s="165">
        <v>43779.14775225695</v>
      </c>
      <c r="B1554" s="122" t="s">
        <v>64</v>
      </c>
      <c r="C1554" s="123" t="s">
        <v>49</v>
      </c>
      <c r="D1554" s="124">
        <v>6.0</v>
      </c>
      <c r="E1554" s="124">
        <v>3.0</v>
      </c>
      <c r="F1554" s="124" t="s">
        <v>201</v>
      </c>
      <c r="G1554" s="129" t="s">
        <v>1226</v>
      </c>
      <c r="H1554" s="127" t="s">
        <v>430</v>
      </c>
      <c r="I1554" s="127" t="s">
        <v>451</v>
      </c>
      <c r="J1554" s="124">
        <v>51.0</v>
      </c>
      <c r="K1554" s="124" t="s">
        <v>58</v>
      </c>
      <c r="L1554" s="124" t="s">
        <v>430</v>
      </c>
    </row>
    <row r="1555">
      <c r="A1555" s="165">
        <v>43779.14775225695</v>
      </c>
      <c r="B1555" s="122" t="s">
        <v>64</v>
      </c>
      <c r="C1555" s="123" t="s">
        <v>115</v>
      </c>
      <c r="D1555" s="124">
        <v>9.0</v>
      </c>
      <c r="E1555" s="124">
        <v>0.0</v>
      </c>
      <c r="F1555" s="124" t="s">
        <v>207</v>
      </c>
      <c r="G1555" s="129" t="s">
        <v>1219</v>
      </c>
      <c r="H1555" s="127" t="s">
        <v>430</v>
      </c>
      <c r="I1555" s="127">
        <v>7.0</v>
      </c>
      <c r="J1555" s="124" t="s">
        <v>283</v>
      </c>
      <c r="K1555" s="124" t="s">
        <v>53</v>
      </c>
      <c r="L1555" s="124" t="s">
        <v>430</v>
      </c>
    </row>
    <row r="1556">
      <c r="A1556" s="165">
        <v>43779.14775225695</v>
      </c>
      <c r="B1556" s="122" t="s">
        <v>64</v>
      </c>
      <c r="C1556" s="123" t="s">
        <v>196</v>
      </c>
      <c r="D1556" s="124">
        <v>4.0</v>
      </c>
      <c r="E1556" s="124">
        <v>6.0</v>
      </c>
      <c r="F1556" s="124" t="s">
        <v>260</v>
      </c>
      <c r="G1556" s="129" t="s">
        <v>1238</v>
      </c>
      <c r="H1556" s="127" t="s">
        <v>430</v>
      </c>
      <c r="I1556" s="127" t="s">
        <v>374</v>
      </c>
      <c r="J1556" s="124" t="s">
        <v>781</v>
      </c>
      <c r="K1556" s="124" t="s">
        <v>288</v>
      </c>
      <c r="L1556" s="124" t="s">
        <v>430</v>
      </c>
    </row>
    <row r="1557">
      <c r="A1557" s="165">
        <v>43779.14775225695</v>
      </c>
      <c r="B1557" s="122" t="s">
        <v>64</v>
      </c>
      <c r="C1557" s="123" t="s">
        <v>76</v>
      </c>
      <c r="D1557" s="124">
        <v>5.0</v>
      </c>
      <c r="E1557" s="124">
        <v>5.0</v>
      </c>
      <c r="F1557" s="124" t="s">
        <v>285</v>
      </c>
      <c r="G1557" s="129" t="s">
        <v>1212</v>
      </c>
      <c r="H1557" s="127" t="s">
        <v>430</v>
      </c>
      <c r="I1557" s="127" t="s">
        <v>428</v>
      </c>
      <c r="J1557" s="124">
        <v>62.0</v>
      </c>
      <c r="K1557" s="124" t="s">
        <v>44</v>
      </c>
      <c r="L1557" s="124" t="s">
        <v>430</v>
      </c>
    </row>
    <row r="1558">
      <c r="A1558" s="165">
        <v>43779.14775225695</v>
      </c>
      <c r="B1558" s="122" t="s">
        <v>64</v>
      </c>
      <c r="C1558" s="123" t="s">
        <v>169</v>
      </c>
      <c r="D1558" s="124">
        <v>6.0</v>
      </c>
      <c r="E1558" s="124">
        <v>4.0</v>
      </c>
      <c r="F1558" s="124" t="s">
        <v>207</v>
      </c>
      <c r="G1558" s="129" t="s">
        <v>1218</v>
      </c>
      <c r="H1558" s="127" t="s">
        <v>430</v>
      </c>
      <c r="I1558" s="127">
        <v>2.0</v>
      </c>
      <c r="J1558" s="124" t="s">
        <v>280</v>
      </c>
      <c r="K1558" s="124" t="s">
        <v>48</v>
      </c>
      <c r="L1558" s="124" t="s">
        <v>430</v>
      </c>
    </row>
    <row r="1559">
      <c r="A1559" s="165">
        <v>43779.14775225695</v>
      </c>
      <c r="B1559" s="122" t="s">
        <v>64</v>
      </c>
      <c r="C1559" s="123" t="s">
        <v>131</v>
      </c>
      <c r="D1559" s="124">
        <v>6.0</v>
      </c>
      <c r="E1559" s="124">
        <v>3.0</v>
      </c>
      <c r="F1559" s="124" t="s">
        <v>248</v>
      </c>
      <c r="G1559" s="129" t="s">
        <v>1222</v>
      </c>
      <c r="H1559" s="127" t="s">
        <v>430</v>
      </c>
      <c r="I1559" s="127">
        <v>-6.0</v>
      </c>
      <c r="J1559" s="124">
        <v>50.0</v>
      </c>
      <c r="K1559" s="124" t="s">
        <v>53</v>
      </c>
      <c r="L1559" s="124" t="s">
        <v>430</v>
      </c>
    </row>
    <row r="1560">
      <c r="A1560" s="165">
        <v>43779.14775225695</v>
      </c>
      <c r="B1560" s="122" t="s">
        <v>64</v>
      </c>
      <c r="C1560" s="123" t="s">
        <v>177</v>
      </c>
      <c r="D1560" s="124">
        <v>4.0</v>
      </c>
      <c r="E1560" s="124">
        <v>5.0</v>
      </c>
      <c r="F1560" s="124" t="s">
        <v>287</v>
      </c>
      <c r="G1560" s="129" t="s">
        <v>1229</v>
      </c>
      <c r="H1560" s="127" t="s">
        <v>430</v>
      </c>
      <c r="I1560" s="127">
        <v>1.0</v>
      </c>
      <c r="J1560" s="124">
        <v>42.0</v>
      </c>
      <c r="K1560" s="124" t="s">
        <v>58</v>
      </c>
      <c r="L1560" s="124" t="s">
        <v>430</v>
      </c>
    </row>
    <row r="1561">
      <c r="A1561" s="165">
        <v>43779.14775225695</v>
      </c>
      <c r="B1561" s="122" t="s">
        <v>64</v>
      </c>
      <c r="C1561" s="123" t="s">
        <v>154</v>
      </c>
      <c r="D1561" s="124">
        <v>6.0</v>
      </c>
      <c r="E1561" s="124">
        <v>4.0</v>
      </c>
      <c r="F1561" s="124" t="s">
        <v>215</v>
      </c>
      <c r="G1561" s="129" t="s">
        <v>1205</v>
      </c>
      <c r="H1561" s="127" t="s">
        <v>430</v>
      </c>
      <c r="I1561" s="127">
        <v>18.0</v>
      </c>
      <c r="J1561" s="124" t="s">
        <v>983</v>
      </c>
      <c r="K1561" s="124" t="s">
        <v>38</v>
      </c>
      <c r="L1561" s="124" t="s">
        <v>430</v>
      </c>
    </row>
    <row r="1562">
      <c r="A1562" s="166">
        <v>43779.14775225695</v>
      </c>
      <c r="B1562" s="122" t="s">
        <v>64</v>
      </c>
      <c r="C1562" s="123" t="s">
        <v>98</v>
      </c>
      <c r="D1562" s="124">
        <v>3.0</v>
      </c>
      <c r="E1562" s="124">
        <v>6.0</v>
      </c>
      <c r="F1562" s="124" t="s">
        <v>248</v>
      </c>
      <c r="G1562" s="129" t="s">
        <v>202</v>
      </c>
      <c r="H1562" s="127"/>
      <c r="I1562" s="127" t="s">
        <v>203</v>
      </c>
      <c r="J1562" s="124" t="s">
        <v>203</v>
      </c>
      <c r="K1562" s="124"/>
      <c r="L1562" s="124">
        <v>9999.0</v>
      </c>
    </row>
    <row r="1563">
      <c r="A1563" s="136" t="s">
        <v>359</v>
      </c>
      <c r="B1563" s="122" t="s">
        <v>2</v>
      </c>
      <c r="C1563" s="123" t="s">
        <v>227</v>
      </c>
      <c r="D1563" s="124" t="s">
        <v>29</v>
      </c>
      <c r="E1563" s="124" t="s">
        <v>34</v>
      </c>
      <c r="F1563" s="124" t="s">
        <v>261</v>
      </c>
      <c r="G1563" s="129" t="s">
        <v>245</v>
      </c>
      <c r="H1563" s="127" t="s">
        <v>228</v>
      </c>
      <c r="I1563" s="127" t="s">
        <v>229</v>
      </c>
      <c r="J1563" s="124" t="s">
        <v>262</v>
      </c>
      <c r="K1563" s="124" t="s">
        <v>263</v>
      </c>
      <c r="L1563" s="124"/>
    </row>
    <row r="1564">
      <c r="A1564" s="165">
        <v>43779.14775225695</v>
      </c>
      <c r="B1564" s="122" t="s">
        <v>69</v>
      </c>
      <c r="C1564" s="123" t="s">
        <v>193</v>
      </c>
      <c r="D1564" s="124">
        <v>3.0</v>
      </c>
      <c r="E1564" s="124">
        <v>6.0</v>
      </c>
      <c r="F1564" s="124" t="s">
        <v>282</v>
      </c>
      <c r="G1564" s="129" t="s">
        <v>1235</v>
      </c>
      <c r="H1564" s="127" t="s">
        <v>430</v>
      </c>
      <c r="I1564" s="127" t="s">
        <v>286</v>
      </c>
      <c r="J1564" s="124" t="s">
        <v>543</v>
      </c>
      <c r="K1564" s="124" t="s">
        <v>62</v>
      </c>
      <c r="L1564" s="124" t="s">
        <v>430</v>
      </c>
    </row>
    <row r="1565">
      <c r="A1565" s="165">
        <v>43779.14775225695</v>
      </c>
      <c r="B1565" s="122" t="s">
        <v>69</v>
      </c>
      <c r="C1565" s="123" t="s">
        <v>87</v>
      </c>
      <c r="D1565" s="124">
        <v>6.0</v>
      </c>
      <c r="E1565" s="124">
        <v>4.0</v>
      </c>
      <c r="F1565" s="124" t="s">
        <v>215</v>
      </c>
      <c r="G1565" s="129" t="s">
        <v>1239</v>
      </c>
      <c r="H1565" s="127" t="s">
        <v>430</v>
      </c>
      <c r="I1565" s="127" t="s">
        <v>244</v>
      </c>
      <c r="J1565" s="124">
        <v>51.0</v>
      </c>
      <c r="K1565" s="124" t="s">
        <v>288</v>
      </c>
      <c r="L1565" s="124" t="s">
        <v>430</v>
      </c>
    </row>
    <row r="1566">
      <c r="A1566" s="165">
        <v>43779.14775225695</v>
      </c>
      <c r="B1566" s="122" t="s">
        <v>69</v>
      </c>
      <c r="C1566" s="123" t="s">
        <v>125</v>
      </c>
      <c r="D1566" s="124">
        <v>8.0</v>
      </c>
      <c r="E1566" s="124">
        <v>1.0</v>
      </c>
      <c r="F1566" s="124" t="s">
        <v>284</v>
      </c>
      <c r="G1566" s="129" t="s">
        <v>1237</v>
      </c>
      <c r="H1566" s="127" t="s">
        <v>430</v>
      </c>
      <c r="I1566" s="127" t="s">
        <v>512</v>
      </c>
      <c r="J1566" s="124">
        <v>68.0</v>
      </c>
      <c r="K1566" s="124" t="s">
        <v>62</v>
      </c>
      <c r="L1566" s="124" t="s">
        <v>430</v>
      </c>
    </row>
    <row r="1567">
      <c r="A1567" s="165">
        <v>43779.14775225695</v>
      </c>
      <c r="B1567" s="122" t="s">
        <v>69</v>
      </c>
      <c r="C1567" s="123" t="s">
        <v>182</v>
      </c>
      <c r="D1567" s="124">
        <v>4.0</v>
      </c>
      <c r="E1567" s="124">
        <v>6.0</v>
      </c>
      <c r="F1567" s="124" t="s">
        <v>215</v>
      </c>
      <c r="G1567" s="129" t="s">
        <v>1228</v>
      </c>
      <c r="H1567" s="127" t="s">
        <v>430</v>
      </c>
      <c r="I1567" s="127" t="s">
        <v>620</v>
      </c>
      <c r="J1567" s="124">
        <v>51.0</v>
      </c>
      <c r="K1567" s="124" t="s">
        <v>58</v>
      </c>
      <c r="L1567" s="124" t="s">
        <v>430</v>
      </c>
    </row>
    <row r="1568">
      <c r="A1568" s="165">
        <v>43779.14775225695</v>
      </c>
      <c r="B1568" s="122" t="s">
        <v>69</v>
      </c>
      <c r="C1568" s="123" t="s">
        <v>142</v>
      </c>
      <c r="D1568" s="124">
        <v>4.0</v>
      </c>
      <c r="E1568" s="124">
        <v>5.0</v>
      </c>
      <c r="F1568" s="124" t="s">
        <v>248</v>
      </c>
      <c r="G1568" s="129" t="s">
        <v>202</v>
      </c>
      <c r="H1568" s="127"/>
      <c r="I1568" s="127" t="s">
        <v>203</v>
      </c>
      <c r="J1568" s="124" t="s">
        <v>203</v>
      </c>
      <c r="K1568" s="124"/>
      <c r="L1568" s="124">
        <v>9999.0</v>
      </c>
    </row>
    <row r="1569">
      <c r="A1569" s="165">
        <v>43779.14775225695</v>
      </c>
      <c r="B1569" s="122" t="s">
        <v>69</v>
      </c>
      <c r="C1569" s="123" t="s">
        <v>151</v>
      </c>
      <c r="D1569" s="124">
        <v>4.0</v>
      </c>
      <c r="E1569" s="124">
        <v>5.0</v>
      </c>
      <c r="F1569" s="124" t="s">
        <v>248</v>
      </c>
      <c r="G1569" s="129" t="s">
        <v>202</v>
      </c>
      <c r="H1569" s="127"/>
      <c r="I1569" s="127" t="s">
        <v>203</v>
      </c>
      <c r="J1569" s="124" t="s">
        <v>203</v>
      </c>
      <c r="K1569" s="124"/>
      <c r="L1569" s="124">
        <v>9999.0</v>
      </c>
    </row>
    <row r="1570">
      <c r="A1570" s="165">
        <v>43779.14775225695</v>
      </c>
      <c r="B1570" s="122" t="s">
        <v>69</v>
      </c>
      <c r="C1570" s="123" t="s">
        <v>101</v>
      </c>
      <c r="D1570" s="124">
        <v>6.0</v>
      </c>
      <c r="E1570" s="124">
        <v>3.0</v>
      </c>
      <c r="F1570" s="124" t="s">
        <v>248</v>
      </c>
      <c r="G1570" s="129" t="s">
        <v>202</v>
      </c>
      <c r="H1570" s="127"/>
      <c r="I1570" s="127" t="s">
        <v>203</v>
      </c>
      <c r="J1570" s="124" t="s">
        <v>203</v>
      </c>
      <c r="K1570" s="124"/>
      <c r="L1570" s="124">
        <v>9999.0</v>
      </c>
    </row>
    <row r="1571">
      <c r="A1571" s="165">
        <v>43779.14775225695</v>
      </c>
      <c r="B1571" s="122" t="s">
        <v>69</v>
      </c>
      <c r="C1571" s="123" t="s">
        <v>170</v>
      </c>
      <c r="D1571" s="124">
        <v>8.0</v>
      </c>
      <c r="E1571" s="124">
        <v>1.0</v>
      </c>
      <c r="F1571" s="124" t="s">
        <v>248</v>
      </c>
      <c r="G1571" s="129" t="s">
        <v>202</v>
      </c>
      <c r="H1571" s="127"/>
      <c r="I1571" s="127" t="s">
        <v>203</v>
      </c>
      <c r="J1571" s="124" t="s">
        <v>203</v>
      </c>
      <c r="K1571" s="124"/>
      <c r="L1571" s="124">
        <v>9999.0</v>
      </c>
    </row>
    <row r="1572">
      <c r="A1572" s="165">
        <v>43779.14775225695</v>
      </c>
      <c r="B1572" s="122" t="s">
        <v>69</v>
      </c>
      <c r="C1572" s="123" t="s">
        <v>108</v>
      </c>
      <c r="D1572" s="124">
        <v>7.0</v>
      </c>
      <c r="E1572" s="124">
        <v>2.0</v>
      </c>
      <c r="F1572" s="124" t="s">
        <v>248</v>
      </c>
      <c r="G1572" s="129" t="s">
        <v>202</v>
      </c>
      <c r="H1572" s="127"/>
      <c r="I1572" s="127" t="s">
        <v>203</v>
      </c>
      <c r="J1572" s="124" t="s">
        <v>203</v>
      </c>
      <c r="K1572" s="124"/>
      <c r="L1572" s="124">
        <v>9999.0</v>
      </c>
    </row>
    <row r="1573">
      <c r="A1573" s="166">
        <v>43779.14775225695</v>
      </c>
      <c r="B1573" s="122" t="s">
        <v>69</v>
      </c>
      <c r="C1573" s="123" t="s">
        <v>35</v>
      </c>
      <c r="D1573" s="124">
        <v>8.0</v>
      </c>
      <c r="E1573" s="124">
        <v>1.0</v>
      </c>
      <c r="F1573" s="124" t="s">
        <v>248</v>
      </c>
      <c r="G1573" s="129" t="s">
        <v>202</v>
      </c>
      <c r="H1573" s="127"/>
      <c r="I1573" s="127" t="s">
        <v>203</v>
      </c>
      <c r="J1573" s="124" t="s">
        <v>203</v>
      </c>
      <c r="K1573" s="124"/>
      <c r="L1573" s="124">
        <v>9999.0</v>
      </c>
    </row>
    <row r="1574">
      <c r="A1574" s="136" t="s">
        <v>359</v>
      </c>
      <c r="B1574" s="122" t="s">
        <v>2</v>
      </c>
      <c r="C1574" s="123" t="s">
        <v>227</v>
      </c>
      <c r="D1574" s="124" t="s">
        <v>29</v>
      </c>
      <c r="E1574" s="124" t="s">
        <v>34</v>
      </c>
      <c r="F1574" s="124" t="s">
        <v>261</v>
      </c>
      <c r="G1574" s="129" t="s">
        <v>245</v>
      </c>
      <c r="H1574" s="127" t="s">
        <v>228</v>
      </c>
      <c r="I1574" s="127" t="s">
        <v>229</v>
      </c>
      <c r="J1574" s="124" t="s">
        <v>262</v>
      </c>
      <c r="K1574" s="124" t="s">
        <v>263</v>
      </c>
      <c r="L1574" s="124"/>
    </row>
    <row r="1575">
      <c r="A1575" s="165">
        <v>43779.14775225695</v>
      </c>
      <c r="B1575" s="122" t="s">
        <v>74</v>
      </c>
      <c r="C1575" s="123" t="s">
        <v>118</v>
      </c>
      <c r="D1575" s="124">
        <v>9.0</v>
      </c>
      <c r="E1575" s="124">
        <v>0.0</v>
      </c>
      <c r="F1575" s="124" t="s">
        <v>278</v>
      </c>
      <c r="G1575" s="129" t="s">
        <v>1207</v>
      </c>
      <c r="H1575" s="127" t="s">
        <v>430</v>
      </c>
      <c r="I1575" s="127" t="s">
        <v>461</v>
      </c>
      <c r="J1575" s="124">
        <v>63.0</v>
      </c>
      <c r="K1575" s="124" t="s">
        <v>41</v>
      </c>
      <c r="L1575" s="124" t="s">
        <v>430</v>
      </c>
    </row>
    <row r="1576">
      <c r="A1576" s="165">
        <v>43779.14775225695</v>
      </c>
      <c r="B1576" s="122" t="s">
        <v>74</v>
      </c>
      <c r="C1576" s="123" t="s">
        <v>167</v>
      </c>
      <c r="D1576" s="124">
        <v>4.0</v>
      </c>
      <c r="E1576" s="124">
        <v>5.0</v>
      </c>
      <c r="F1576" s="124" t="s">
        <v>273</v>
      </c>
      <c r="G1576" s="129" t="s">
        <v>1221</v>
      </c>
      <c r="H1576" s="127" t="s">
        <v>430</v>
      </c>
      <c r="I1576" s="127" t="s">
        <v>379</v>
      </c>
      <c r="J1576" s="124" t="s">
        <v>237</v>
      </c>
      <c r="K1576" s="124" t="s">
        <v>53</v>
      </c>
      <c r="L1576" s="124" t="s">
        <v>430</v>
      </c>
    </row>
    <row r="1577">
      <c r="A1577" s="165">
        <v>43779.14775225695</v>
      </c>
      <c r="B1577" s="122" t="s">
        <v>74</v>
      </c>
      <c r="C1577" s="123" t="s">
        <v>99</v>
      </c>
      <c r="D1577" s="124">
        <v>6.0</v>
      </c>
      <c r="E1577" s="124">
        <v>3.0</v>
      </c>
      <c r="F1577" s="124" t="s">
        <v>201</v>
      </c>
      <c r="G1577" s="129" t="s">
        <v>1232</v>
      </c>
      <c r="H1577" s="127" t="s">
        <v>430</v>
      </c>
      <c r="I1577" s="127" t="s">
        <v>247</v>
      </c>
      <c r="J1577" s="124">
        <v>59.0</v>
      </c>
      <c r="K1577" s="124" t="s">
        <v>60</v>
      </c>
      <c r="L1577" s="124" t="s">
        <v>430</v>
      </c>
    </row>
    <row r="1578">
      <c r="A1578" s="165">
        <v>43779.14775225695</v>
      </c>
      <c r="B1578" s="122" t="s">
        <v>74</v>
      </c>
      <c r="C1578" s="123" t="s">
        <v>23</v>
      </c>
      <c r="D1578" s="124">
        <v>2.0</v>
      </c>
      <c r="E1578" s="124">
        <v>8.0</v>
      </c>
      <c r="F1578" s="124" t="s">
        <v>260</v>
      </c>
      <c r="G1578" s="129" t="s">
        <v>1236</v>
      </c>
      <c r="H1578" s="127" t="s">
        <v>430</v>
      </c>
      <c r="I1578" s="127">
        <v>35.0</v>
      </c>
      <c r="J1578" s="124" t="s">
        <v>280</v>
      </c>
      <c r="K1578" s="124" t="s">
        <v>62</v>
      </c>
      <c r="L1578" s="124" t="s">
        <v>430</v>
      </c>
    </row>
    <row r="1579">
      <c r="A1579" s="165">
        <v>43779.14775225695</v>
      </c>
      <c r="B1579" s="122" t="s">
        <v>74</v>
      </c>
      <c r="C1579" s="123" t="s">
        <v>194</v>
      </c>
      <c r="D1579" s="124">
        <v>4.0</v>
      </c>
      <c r="E1579" s="124">
        <v>5.0</v>
      </c>
      <c r="F1579" s="124" t="s">
        <v>267</v>
      </c>
      <c r="G1579" s="129" t="s">
        <v>1214</v>
      </c>
      <c r="H1579" s="127" t="s">
        <v>430</v>
      </c>
      <c r="I1579" s="127">
        <v>3.0</v>
      </c>
      <c r="J1579" s="124">
        <v>56.0</v>
      </c>
      <c r="K1579" s="124" t="s">
        <v>44</v>
      </c>
      <c r="L1579" s="124" t="s">
        <v>430</v>
      </c>
    </row>
    <row r="1580">
      <c r="A1580" s="165">
        <v>43779.14775225695</v>
      </c>
      <c r="B1580" s="122" t="s">
        <v>74</v>
      </c>
      <c r="C1580" s="123" t="s">
        <v>124</v>
      </c>
      <c r="D1580" s="124">
        <v>7.0</v>
      </c>
      <c r="E1580" s="124">
        <v>3.0</v>
      </c>
      <c r="F1580" s="124" t="s">
        <v>357</v>
      </c>
      <c r="G1580" s="129" t="s">
        <v>1233</v>
      </c>
      <c r="H1580" s="127" t="s">
        <v>430</v>
      </c>
      <c r="I1580" s="127">
        <v>-10.0</v>
      </c>
      <c r="J1580" s="124" t="s">
        <v>412</v>
      </c>
      <c r="K1580" s="124" t="s">
        <v>60</v>
      </c>
      <c r="L1580" s="124" t="s">
        <v>430</v>
      </c>
    </row>
    <row r="1581">
      <c r="A1581" s="165">
        <v>43779.14775225695</v>
      </c>
      <c r="B1581" s="122" t="s">
        <v>74</v>
      </c>
      <c r="C1581" s="123" t="s">
        <v>88</v>
      </c>
      <c r="D1581" s="124">
        <v>4.0</v>
      </c>
      <c r="E1581" s="124">
        <v>5.0</v>
      </c>
      <c r="F1581" s="124" t="s">
        <v>207</v>
      </c>
      <c r="G1581" s="129" t="s">
        <v>1203</v>
      </c>
      <c r="H1581" s="127" t="s">
        <v>430</v>
      </c>
      <c r="I1581" s="127">
        <v>32.0</v>
      </c>
      <c r="J1581" s="124">
        <v>54.0</v>
      </c>
      <c r="K1581" s="124" t="s">
        <v>38</v>
      </c>
      <c r="L1581" s="124" t="s">
        <v>430</v>
      </c>
    </row>
    <row r="1582">
      <c r="A1582" s="165">
        <v>43779.14775225695</v>
      </c>
      <c r="B1582" s="122" t="s">
        <v>74</v>
      </c>
      <c r="C1582" s="123" t="s">
        <v>160</v>
      </c>
      <c r="D1582" s="124">
        <v>6.0</v>
      </c>
      <c r="E1582" s="124">
        <v>3.0</v>
      </c>
      <c r="F1582" s="124" t="s">
        <v>201</v>
      </c>
      <c r="G1582" s="129" t="s">
        <v>1216</v>
      </c>
      <c r="H1582" s="127" t="s">
        <v>643</v>
      </c>
      <c r="I1582" s="127" t="s">
        <v>893</v>
      </c>
      <c r="J1582" s="124" t="s">
        <v>585</v>
      </c>
      <c r="K1582" s="124" t="s">
        <v>44</v>
      </c>
      <c r="L1582" s="124" t="s">
        <v>643</v>
      </c>
    </row>
    <row r="1583">
      <c r="A1583" s="165">
        <v>43779.14775225695</v>
      </c>
      <c r="B1583" s="122" t="s">
        <v>74</v>
      </c>
      <c r="C1583" s="123" t="s">
        <v>141</v>
      </c>
      <c r="D1583" s="124">
        <v>6.0</v>
      </c>
      <c r="E1583" s="124">
        <v>4.0</v>
      </c>
      <c r="F1583" s="124" t="s">
        <v>248</v>
      </c>
      <c r="G1583" s="129" t="s">
        <v>202</v>
      </c>
      <c r="H1583" s="127"/>
      <c r="I1583" s="127" t="s">
        <v>203</v>
      </c>
      <c r="J1583" s="124" t="s">
        <v>203</v>
      </c>
      <c r="K1583" s="124"/>
      <c r="L1583" s="124">
        <v>9999.0</v>
      </c>
    </row>
    <row r="1584">
      <c r="A1584" s="166">
        <v>43779.14775225695</v>
      </c>
      <c r="B1584" s="122" t="s">
        <v>74</v>
      </c>
      <c r="C1584" s="123" t="s">
        <v>174</v>
      </c>
      <c r="D1584" s="124">
        <v>7.0</v>
      </c>
      <c r="E1584" s="124">
        <v>2.0</v>
      </c>
      <c r="F1584" s="124" t="s">
        <v>248</v>
      </c>
      <c r="G1584" s="129" t="s">
        <v>202</v>
      </c>
      <c r="H1584" s="127"/>
      <c r="I1584" s="127" t="s">
        <v>203</v>
      </c>
      <c r="J1584" s="124" t="s">
        <v>203</v>
      </c>
      <c r="K1584" s="124"/>
      <c r="L1584" s="124">
        <v>9999.0</v>
      </c>
    </row>
    <row r="1585">
      <c r="A1585" s="136" t="s">
        <v>359</v>
      </c>
      <c r="B1585" s="122" t="s">
        <v>2</v>
      </c>
      <c r="C1585" s="123" t="s">
        <v>227</v>
      </c>
      <c r="D1585" s="124" t="s">
        <v>29</v>
      </c>
      <c r="E1585" s="124" t="s">
        <v>34</v>
      </c>
      <c r="F1585" s="124" t="s">
        <v>261</v>
      </c>
      <c r="G1585" s="129" t="s">
        <v>245</v>
      </c>
      <c r="H1585" s="127" t="s">
        <v>228</v>
      </c>
      <c r="I1585" s="127" t="s">
        <v>229</v>
      </c>
      <c r="J1585" s="124" t="s">
        <v>262</v>
      </c>
      <c r="K1585" s="124" t="s">
        <v>263</v>
      </c>
      <c r="L1585" s="124" t="s">
        <v>264</v>
      </c>
    </row>
    <row r="1586">
      <c r="A1586" s="165">
        <v>43786.147747511575</v>
      </c>
      <c r="B1586" s="122" t="s">
        <v>27</v>
      </c>
      <c r="C1586" s="123" t="s">
        <v>152</v>
      </c>
      <c r="D1586" s="124">
        <v>4.0</v>
      </c>
      <c r="E1586" s="124">
        <v>6.0</v>
      </c>
      <c r="F1586" s="124" t="s">
        <v>215</v>
      </c>
      <c r="G1586" s="129" t="s">
        <v>1240</v>
      </c>
      <c r="H1586" s="127" t="s">
        <v>430</v>
      </c>
      <c r="I1586" s="127" t="s">
        <v>674</v>
      </c>
      <c r="J1586" s="124" t="s">
        <v>637</v>
      </c>
      <c r="K1586" s="124" t="s">
        <v>38</v>
      </c>
      <c r="L1586" s="124" t="s">
        <v>430</v>
      </c>
    </row>
    <row r="1587">
      <c r="A1587" s="165">
        <v>43786.147747511575</v>
      </c>
      <c r="B1587" s="122" t="s">
        <v>27</v>
      </c>
      <c r="C1587" s="123" t="s">
        <v>114</v>
      </c>
      <c r="D1587" s="124">
        <v>9.0</v>
      </c>
      <c r="E1587" s="124">
        <v>1.0</v>
      </c>
      <c r="F1587" s="124" t="s">
        <v>201</v>
      </c>
      <c r="G1587" s="129" t="s">
        <v>1241</v>
      </c>
      <c r="H1587" s="127" t="s">
        <v>430</v>
      </c>
      <c r="I1587" s="127">
        <v>-21.0</v>
      </c>
      <c r="J1587" s="124" t="s">
        <v>240</v>
      </c>
      <c r="K1587" s="124" t="s">
        <v>53</v>
      </c>
      <c r="L1587" s="124" t="s">
        <v>430</v>
      </c>
    </row>
    <row r="1588">
      <c r="A1588" s="165">
        <v>43786.147747511575</v>
      </c>
      <c r="B1588" s="122" t="s">
        <v>27</v>
      </c>
      <c r="C1588" s="123" t="s">
        <v>116</v>
      </c>
      <c r="D1588" s="124">
        <v>4.0</v>
      </c>
      <c r="E1588" s="124">
        <v>6.0</v>
      </c>
      <c r="F1588" s="124" t="s">
        <v>266</v>
      </c>
      <c r="G1588" s="129" t="s">
        <v>1242</v>
      </c>
      <c r="H1588" s="127" t="s">
        <v>430</v>
      </c>
      <c r="I1588" s="127" t="s">
        <v>1064</v>
      </c>
      <c r="J1588" s="124" t="s">
        <v>462</v>
      </c>
      <c r="K1588" s="124" t="s">
        <v>44</v>
      </c>
      <c r="L1588" s="124" t="s">
        <v>430</v>
      </c>
    </row>
    <row r="1589">
      <c r="A1589" s="165">
        <v>43786.147747511575</v>
      </c>
      <c r="B1589" s="122" t="s">
        <v>27</v>
      </c>
      <c r="C1589" s="123" t="s">
        <v>107</v>
      </c>
      <c r="D1589" s="124">
        <v>8.0</v>
      </c>
      <c r="E1589" s="124">
        <v>2.0</v>
      </c>
      <c r="F1589" s="124" t="s">
        <v>268</v>
      </c>
      <c r="G1589" s="129" t="s">
        <v>1243</v>
      </c>
      <c r="H1589" s="127" t="s">
        <v>430</v>
      </c>
      <c r="I1589" s="127" t="s">
        <v>275</v>
      </c>
      <c r="J1589" s="124">
        <v>54.0</v>
      </c>
      <c r="K1589" s="124" t="s">
        <v>44</v>
      </c>
      <c r="L1589" s="124" t="s">
        <v>430</v>
      </c>
    </row>
    <row r="1590">
      <c r="A1590" s="165">
        <v>43786.147747511575</v>
      </c>
      <c r="B1590" s="122" t="s">
        <v>27</v>
      </c>
      <c r="C1590" s="123" t="s">
        <v>195</v>
      </c>
      <c r="D1590" s="124">
        <v>4.0</v>
      </c>
      <c r="E1590" s="124">
        <v>6.0</v>
      </c>
      <c r="F1590" s="124" t="s">
        <v>267</v>
      </c>
      <c r="G1590" s="129" t="s">
        <v>1244</v>
      </c>
      <c r="H1590" s="127" t="s">
        <v>430</v>
      </c>
      <c r="I1590" s="127" t="s">
        <v>893</v>
      </c>
      <c r="J1590" s="124" t="s">
        <v>419</v>
      </c>
      <c r="K1590" s="124" t="s">
        <v>48</v>
      </c>
      <c r="L1590" s="124" t="s">
        <v>430</v>
      </c>
    </row>
    <row r="1591">
      <c r="A1591" s="165">
        <v>43786.147747511575</v>
      </c>
      <c r="B1591" s="122" t="s">
        <v>27</v>
      </c>
      <c r="C1591" s="123" t="s">
        <v>138</v>
      </c>
      <c r="D1591" s="124">
        <v>4.0</v>
      </c>
      <c r="E1591" s="124">
        <v>6.0</v>
      </c>
      <c r="F1591" s="124" t="s">
        <v>260</v>
      </c>
      <c r="G1591" s="129" t="s">
        <v>1245</v>
      </c>
      <c r="H1591" s="127" t="s">
        <v>430</v>
      </c>
      <c r="I1591" s="127" t="s">
        <v>451</v>
      </c>
      <c r="J1591" s="124">
        <v>58.0</v>
      </c>
      <c r="K1591" s="124" t="s">
        <v>74</v>
      </c>
      <c r="L1591" s="124" t="s">
        <v>430</v>
      </c>
    </row>
    <row r="1592">
      <c r="A1592" s="165">
        <v>43786.147747511575</v>
      </c>
      <c r="B1592" s="122" t="s">
        <v>27</v>
      </c>
      <c r="C1592" s="123" t="s">
        <v>94</v>
      </c>
      <c r="D1592" s="124">
        <v>7.0</v>
      </c>
      <c r="E1592" s="124">
        <v>3.0</v>
      </c>
      <c r="F1592" s="124" t="s">
        <v>265</v>
      </c>
      <c r="G1592" s="129" t="s">
        <v>1246</v>
      </c>
      <c r="H1592" s="127" t="s">
        <v>430</v>
      </c>
      <c r="I1592" s="127" t="s">
        <v>512</v>
      </c>
      <c r="J1592" s="124" t="s">
        <v>387</v>
      </c>
      <c r="K1592" s="124" t="s">
        <v>288</v>
      </c>
      <c r="L1592" s="124" t="s">
        <v>430</v>
      </c>
    </row>
    <row r="1593">
      <c r="A1593" s="165">
        <v>43786.147747511575</v>
      </c>
      <c r="B1593" s="122" t="s">
        <v>27</v>
      </c>
      <c r="C1593" s="123" t="s">
        <v>134</v>
      </c>
      <c r="D1593" s="124">
        <v>4.0</v>
      </c>
      <c r="E1593" s="124">
        <v>6.0</v>
      </c>
      <c r="F1593" s="124" t="s">
        <v>267</v>
      </c>
      <c r="G1593" s="129" t="s">
        <v>1247</v>
      </c>
      <c r="H1593" s="127" t="s">
        <v>430</v>
      </c>
      <c r="I1593" s="127" t="s">
        <v>526</v>
      </c>
      <c r="J1593" s="124">
        <v>52.0</v>
      </c>
      <c r="K1593" s="124" t="s">
        <v>64</v>
      </c>
      <c r="L1593" s="124" t="s">
        <v>430</v>
      </c>
    </row>
    <row r="1594">
      <c r="A1594" s="165">
        <v>43786.147747511575</v>
      </c>
      <c r="B1594" s="122" t="s">
        <v>27</v>
      </c>
      <c r="C1594" s="123" t="s">
        <v>163</v>
      </c>
      <c r="D1594" s="124">
        <v>5.0</v>
      </c>
      <c r="E1594" s="124">
        <v>5.0</v>
      </c>
      <c r="F1594" s="124" t="s">
        <v>269</v>
      </c>
      <c r="G1594" s="129" t="s">
        <v>1248</v>
      </c>
      <c r="H1594" s="127" t="s">
        <v>430</v>
      </c>
      <c r="I1594" s="127" t="s">
        <v>247</v>
      </c>
      <c r="J1594" s="124" t="s">
        <v>585</v>
      </c>
      <c r="K1594" s="124" t="s">
        <v>64</v>
      </c>
      <c r="L1594" s="124" t="s">
        <v>430</v>
      </c>
    </row>
    <row r="1595">
      <c r="A1595" s="166">
        <v>43786.147747511575</v>
      </c>
      <c r="B1595" s="122" t="s">
        <v>27</v>
      </c>
      <c r="C1595" s="123" t="s">
        <v>56</v>
      </c>
      <c r="D1595" s="124">
        <v>3.0</v>
      </c>
      <c r="E1595" s="124">
        <v>7.0</v>
      </c>
      <c r="F1595" s="124" t="s">
        <v>248</v>
      </c>
      <c r="G1595" s="129" t="s">
        <v>202</v>
      </c>
      <c r="H1595" s="127"/>
      <c r="I1595" s="127" t="s">
        <v>382</v>
      </c>
      <c r="J1595" s="124"/>
      <c r="K1595" s="124"/>
      <c r="L1595" s="124">
        <v>9999.0</v>
      </c>
    </row>
    <row r="1596">
      <c r="A1596" s="136" t="s">
        <v>359</v>
      </c>
      <c r="B1596" s="122" t="s">
        <v>2</v>
      </c>
      <c r="C1596" s="123" t="s">
        <v>227</v>
      </c>
      <c r="D1596" s="124" t="s">
        <v>29</v>
      </c>
      <c r="E1596" s="124" t="s">
        <v>34</v>
      </c>
      <c r="F1596" s="124" t="s">
        <v>261</v>
      </c>
      <c r="G1596" s="129" t="s">
        <v>245</v>
      </c>
      <c r="H1596" s="127" t="s">
        <v>228</v>
      </c>
      <c r="I1596" s="127" t="s">
        <v>229</v>
      </c>
      <c r="J1596" s="124" t="s">
        <v>262</v>
      </c>
      <c r="K1596" s="124" t="s">
        <v>263</v>
      </c>
      <c r="L1596" s="124" t="s">
        <v>264</v>
      </c>
    </row>
    <row r="1597">
      <c r="A1597" s="165">
        <v>43786.147747511575</v>
      </c>
      <c r="B1597" s="122" t="s">
        <v>38</v>
      </c>
      <c r="C1597" s="123" t="s">
        <v>139</v>
      </c>
      <c r="D1597" s="124">
        <v>3.0</v>
      </c>
      <c r="E1597" s="124">
        <v>7.0</v>
      </c>
      <c r="F1597" s="124" t="s">
        <v>215</v>
      </c>
      <c r="G1597" s="129" t="s">
        <v>1249</v>
      </c>
      <c r="H1597" s="127" t="s">
        <v>430</v>
      </c>
      <c r="I1597" s="127">
        <v>18.0</v>
      </c>
      <c r="J1597" s="124">
        <v>50.0</v>
      </c>
      <c r="K1597" s="124" t="s">
        <v>48</v>
      </c>
      <c r="L1597" s="124" t="s">
        <v>430</v>
      </c>
    </row>
    <row r="1598">
      <c r="A1598" s="165">
        <v>43786.147747511575</v>
      </c>
      <c r="B1598" s="122" t="s">
        <v>38</v>
      </c>
      <c r="C1598" s="123" t="s">
        <v>156</v>
      </c>
      <c r="D1598" s="124">
        <v>8.0</v>
      </c>
      <c r="E1598" s="124">
        <v>2.0</v>
      </c>
      <c r="F1598" s="124" t="s">
        <v>215</v>
      </c>
      <c r="G1598" s="129" t="s">
        <v>1240</v>
      </c>
      <c r="H1598" s="127" t="s">
        <v>430</v>
      </c>
      <c r="I1598" s="127" t="s">
        <v>694</v>
      </c>
      <c r="J1598" s="124" t="s">
        <v>637</v>
      </c>
      <c r="K1598" s="124" t="s">
        <v>27</v>
      </c>
      <c r="L1598" s="124" t="s">
        <v>430</v>
      </c>
    </row>
    <row r="1599">
      <c r="A1599" s="165">
        <v>43786.147747511575</v>
      </c>
      <c r="B1599" s="122" t="s">
        <v>38</v>
      </c>
      <c r="C1599" s="123" t="s">
        <v>113</v>
      </c>
      <c r="D1599" s="124">
        <v>4.0</v>
      </c>
      <c r="E1599" s="124">
        <v>6.0</v>
      </c>
      <c r="F1599" s="124" t="s">
        <v>278</v>
      </c>
      <c r="G1599" s="129" t="s">
        <v>1250</v>
      </c>
      <c r="H1599" s="127" t="s">
        <v>430</v>
      </c>
      <c r="I1599" s="127" t="s">
        <v>274</v>
      </c>
      <c r="J1599" s="124" t="s">
        <v>637</v>
      </c>
      <c r="K1599" s="124" t="s">
        <v>62</v>
      </c>
      <c r="L1599" s="124" t="s">
        <v>430</v>
      </c>
    </row>
    <row r="1600">
      <c r="A1600" s="165">
        <v>43786.147747511575</v>
      </c>
      <c r="B1600" s="122" t="s">
        <v>38</v>
      </c>
      <c r="C1600" s="123" t="s">
        <v>68</v>
      </c>
      <c r="D1600" s="124">
        <v>11.0</v>
      </c>
      <c r="E1600" s="124">
        <v>0.0</v>
      </c>
      <c r="F1600" s="124" t="s">
        <v>207</v>
      </c>
      <c r="G1600" s="129" t="s">
        <v>1251</v>
      </c>
      <c r="H1600" s="127" t="s">
        <v>430</v>
      </c>
      <c r="I1600" s="127" t="s">
        <v>435</v>
      </c>
      <c r="J1600" s="124" t="s">
        <v>240</v>
      </c>
      <c r="K1600" s="124" t="s">
        <v>60</v>
      </c>
      <c r="L1600" s="124" t="s">
        <v>430</v>
      </c>
    </row>
    <row r="1601">
      <c r="A1601" s="165">
        <v>43786.147747511575</v>
      </c>
      <c r="B1601" s="122" t="s">
        <v>38</v>
      </c>
      <c r="C1601" s="123" t="s">
        <v>97</v>
      </c>
      <c r="D1601" s="124">
        <v>6.0</v>
      </c>
      <c r="E1601" s="124">
        <v>4.0</v>
      </c>
      <c r="F1601" s="124" t="s">
        <v>269</v>
      </c>
      <c r="G1601" s="129" t="s">
        <v>1252</v>
      </c>
      <c r="H1601" s="127" t="s">
        <v>430</v>
      </c>
      <c r="I1601" s="127">
        <v>-7.0</v>
      </c>
      <c r="J1601" s="124" t="s">
        <v>559</v>
      </c>
      <c r="K1601" s="124" t="s">
        <v>60</v>
      </c>
      <c r="L1601" s="124" t="s">
        <v>430</v>
      </c>
    </row>
    <row r="1602">
      <c r="A1602" s="165">
        <v>43786.147747511575</v>
      </c>
      <c r="B1602" s="122" t="s">
        <v>38</v>
      </c>
      <c r="C1602" s="123" t="s">
        <v>198</v>
      </c>
      <c r="D1602" s="124">
        <v>1.0</v>
      </c>
      <c r="E1602" s="124">
        <v>9.0</v>
      </c>
      <c r="F1602" s="124" t="s">
        <v>277</v>
      </c>
      <c r="G1602" s="129" t="s">
        <v>1253</v>
      </c>
      <c r="H1602" s="127" t="s">
        <v>430</v>
      </c>
      <c r="I1602" s="127" t="s">
        <v>382</v>
      </c>
      <c r="J1602" s="124"/>
      <c r="K1602" s="124" t="s">
        <v>288</v>
      </c>
      <c r="L1602" s="124" t="s">
        <v>430</v>
      </c>
    </row>
    <row r="1603">
      <c r="A1603" s="165">
        <v>43786.147747511575</v>
      </c>
      <c r="B1603" s="122" t="s">
        <v>38</v>
      </c>
      <c r="C1603" s="123" t="s">
        <v>172</v>
      </c>
      <c r="D1603" s="124">
        <v>5.0</v>
      </c>
      <c r="E1603" s="124">
        <v>5.0</v>
      </c>
      <c r="F1603" s="124" t="s">
        <v>273</v>
      </c>
      <c r="G1603" s="129" t="s">
        <v>1254</v>
      </c>
      <c r="H1603" s="127" t="s">
        <v>430</v>
      </c>
      <c r="I1603" s="127" t="s">
        <v>431</v>
      </c>
      <c r="J1603" s="124">
        <v>64.0</v>
      </c>
      <c r="K1603" s="124" t="s">
        <v>74</v>
      </c>
      <c r="L1603" s="124" t="s">
        <v>430</v>
      </c>
    </row>
    <row r="1604">
      <c r="A1604" s="165">
        <v>43786.147747511575</v>
      </c>
      <c r="B1604" s="122" t="s">
        <v>38</v>
      </c>
      <c r="C1604" s="123" t="s">
        <v>178</v>
      </c>
      <c r="D1604" s="124">
        <v>10.0</v>
      </c>
      <c r="E1604" s="124">
        <v>0.0</v>
      </c>
      <c r="F1604" s="124" t="s">
        <v>201</v>
      </c>
      <c r="G1604" s="129" t="s">
        <v>1255</v>
      </c>
      <c r="H1604" s="127" t="s">
        <v>430</v>
      </c>
      <c r="I1604" s="127">
        <v>-21.0</v>
      </c>
      <c r="J1604" s="124" t="s">
        <v>419</v>
      </c>
      <c r="K1604" s="124" t="s">
        <v>288</v>
      </c>
      <c r="L1604" s="124" t="s">
        <v>430</v>
      </c>
    </row>
    <row r="1605">
      <c r="A1605" s="165">
        <v>43786.147747511575</v>
      </c>
      <c r="B1605" s="122" t="s">
        <v>38</v>
      </c>
      <c r="C1605" s="123" t="s">
        <v>32</v>
      </c>
      <c r="D1605" s="124">
        <v>3.0</v>
      </c>
      <c r="E1605" s="124">
        <v>7.0</v>
      </c>
      <c r="F1605" s="124" t="s">
        <v>248</v>
      </c>
      <c r="G1605" s="129" t="s">
        <v>202</v>
      </c>
      <c r="H1605" s="127"/>
      <c r="I1605" s="127"/>
      <c r="J1605" s="124" t="s">
        <v>735</v>
      </c>
      <c r="K1605" s="124"/>
      <c r="L1605" s="124">
        <v>9999.0</v>
      </c>
    </row>
    <row r="1606">
      <c r="A1606" s="166">
        <v>43786.147747511575</v>
      </c>
      <c r="B1606" s="122" t="s">
        <v>38</v>
      </c>
      <c r="C1606" s="123" t="s">
        <v>129</v>
      </c>
      <c r="D1606" s="124">
        <v>1.0</v>
      </c>
      <c r="E1606" s="124">
        <v>9.0</v>
      </c>
      <c r="F1606" s="124" t="s">
        <v>248</v>
      </c>
      <c r="G1606" s="129" t="s">
        <v>202</v>
      </c>
      <c r="H1606" s="127"/>
      <c r="I1606" s="127"/>
      <c r="J1606" s="124" t="s">
        <v>735</v>
      </c>
      <c r="K1606" s="124"/>
      <c r="L1606" s="124">
        <v>9999.0</v>
      </c>
    </row>
    <row r="1607">
      <c r="A1607" s="136" t="s">
        <v>359</v>
      </c>
      <c r="B1607" s="122" t="s">
        <v>2</v>
      </c>
      <c r="C1607" s="123" t="s">
        <v>227</v>
      </c>
      <c r="D1607" s="124" t="s">
        <v>29</v>
      </c>
      <c r="E1607" s="124" t="s">
        <v>34</v>
      </c>
      <c r="F1607" s="124" t="s">
        <v>261</v>
      </c>
      <c r="G1607" s="129" t="s">
        <v>245</v>
      </c>
      <c r="H1607" s="127" t="s">
        <v>228</v>
      </c>
      <c r="I1607" s="127" t="s">
        <v>229</v>
      </c>
      <c r="J1607" s="124" t="s">
        <v>262</v>
      </c>
      <c r="K1607" s="124" t="s">
        <v>263</v>
      </c>
      <c r="L1607" s="124" t="s">
        <v>264</v>
      </c>
    </row>
    <row r="1608">
      <c r="A1608" s="165">
        <v>43786.147747511575</v>
      </c>
      <c r="B1608" s="122" t="s">
        <v>41</v>
      </c>
      <c r="C1608" s="123" t="s">
        <v>146</v>
      </c>
      <c r="D1608" s="124">
        <v>4.0</v>
      </c>
      <c r="E1608" s="124">
        <v>6.0</v>
      </c>
      <c r="F1608" s="124" t="s">
        <v>215</v>
      </c>
      <c r="G1608" s="129" t="s">
        <v>1256</v>
      </c>
      <c r="H1608" s="127" t="s">
        <v>643</v>
      </c>
      <c r="I1608" s="127" t="s">
        <v>694</v>
      </c>
      <c r="J1608" s="124">
        <v>60.0</v>
      </c>
      <c r="K1608" s="124" t="s">
        <v>53</v>
      </c>
      <c r="L1608" s="124" t="s">
        <v>643</v>
      </c>
    </row>
    <row r="1609">
      <c r="A1609" s="165">
        <v>43786.147747511575</v>
      </c>
      <c r="B1609" s="122" t="s">
        <v>41</v>
      </c>
      <c r="C1609" s="123" t="s">
        <v>91</v>
      </c>
      <c r="D1609" s="124">
        <v>7.0</v>
      </c>
      <c r="E1609" s="124">
        <v>3.0</v>
      </c>
      <c r="F1609" s="124" t="s">
        <v>201</v>
      </c>
      <c r="G1609" s="129" t="s">
        <v>1257</v>
      </c>
      <c r="H1609" s="127" t="s">
        <v>643</v>
      </c>
      <c r="I1609" s="127">
        <v>-4.0</v>
      </c>
      <c r="J1609" s="124">
        <v>49.0</v>
      </c>
      <c r="K1609" s="124" t="s">
        <v>48</v>
      </c>
      <c r="L1609" s="124" t="s">
        <v>643</v>
      </c>
    </row>
    <row r="1610">
      <c r="A1610" s="165">
        <v>43786.147747511575</v>
      </c>
      <c r="B1610" s="122" t="s">
        <v>41</v>
      </c>
      <c r="C1610" s="123" t="s">
        <v>126</v>
      </c>
      <c r="D1610" s="124">
        <v>7.0</v>
      </c>
      <c r="E1610" s="124">
        <v>3.0</v>
      </c>
      <c r="F1610" s="124" t="s">
        <v>260</v>
      </c>
      <c r="G1610" s="129" t="s">
        <v>1258</v>
      </c>
      <c r="H1610" s="127" t="s">
        <v>430</v>
      </c>
      <c r="I1610" s="127" t="s">
        <v>451</v>
      </c>
      <c r="J1610" s="124">
        <v>56.0</v>
      </c>
      <c r="K1610" s="124" t="s">
        <v>69</v>
      </c>
      <c r="L1610" s="124" t="s">
        <v>430</v>
      </c>
    </row>
    <row r="1611">
      <c r="A1611" s="165">
        <v>43786.147747511575</v>
      </c>
      <c r="B1611" s="122" t="s">
        <v>41</v>
      </c>
      <c r="C1611" s="123" t="s">
        <v>180</v>
      </c>
      <c r="D1611" s="124">
        <v>5.0</v>
      </c>
      <c r="E1611" s="124">
        <v>5.0</v>
      </c>
      <c r="F1611" s="124" t="s">
        <v>234</v>
      </c>
      <c r="G1611" s="129" t="s">
        <v>1259</v>
      </c>
      <c r="H1611" s="127" t="s">
        <v>430</v>
      </c>
      <c r="I1611" s="127">
        <v>7.0</v>
      </c>
      <c r="J1611" s="124" t="s">
        <v>585</v>
      </c>
      <c r="K1611" s="124" t="s">
        <v>60</v>
      </c>
      <c r="L1611" s="124" t="s">
        <v>430</v>
      </c>
    </row>
    <row r="1612">
      <c r="A1612" s="165">
        <v>43786.147747511575</v>
      </c>
      <c r="B1612" s="122" t="s">
        <v>41</v>
      </c>
      <c r="C1612" s="123" t="s">
        <v>52</v>
      </c>
      <c r="D1612" s="124">
        <v>6.0</v>
      </c>
      <c r="E1612" s="124">
        <v>4.0</v>
      </c>
      <c r="F1612" s="124" t="s">
        <v>242</v>
      </c>
      <c r="G1612" s="129" t="s">
        <v>1260</v>
      </c>
      <c r="H1612" s="127" t="s">
        <v>430</v>
      </c>
      <c r="I1612" s="127" t="s">
        <v>620</v>
      </c>
      <c r="J1612" s="124" t="s">
        <v>546</v>
      </c>
      <c r="K1612" s="124" t="s">
        <v>64</v>
      </c>
      <c r="L1612" s="124" t="s">
        <v>430</v>
      </c>
    </row>
    <row r="1613">
      <c r="A1613" s="165">
        <v>43786.147747511575</v>
      </c>
      <c r="B1613" s="122" t="s">
        <v>41</v>
      </c>
      <c r="C1613" s="123" t="s">
        <v>109</v>
      </c>
      <c r="D1613" s="124">
        <v>6.0</v>
      </c>
      <c r="E1613" s="124">
        <v>4.0</v>
      </c>
      <c r="F1613" s="124" t="s">
        <v>279</v>
      </c>
      <c r="G1613" s="129" t="s">
        <v>1261</v>
      </c>
      <c r="H1613" s="127" t="s">
        <v>430</v>
      </c>
      <c r="I1613" s="127" t="s">
        <v>382</v>
      </c>
      <c r="J1613" s="124"/>
      <c r="K1613" s="124" t="s">
        <v>288</v>
      </c>
      <c r="L1613" s="124" t="s">
        <v>430</v>
      </c>
    </row>
    <row r="1614">
      <c r="A1614" s="165">
        <v>43786.147747511575</v>
      </c>
      <c r="B1614" s="122" t="s">
        <v>41</v>
      </c>
      <c r="C1614" s="123" t="s">
        <v>159</v>
      </c>
      <c r="D1614" s="124">
        <v>6.0</v>
      </c>
      <c r="E1614" s="124">
        <v>4.0</v>
      </c>
      <c r="F1614" s="124" t="s">
        <v>242</v>
      </c>
      <c r="G1614" s="129" t="s">
        <v>1262</v>
      </c>
      <c r="H1614" s="127" t="s">
        <v>430</v>
      </c>
      <c r="I1614" s="127" t="s">
        <v>244</v>
      </c>
      <c r="J1614" s="124">
        <v>50.0</v>
      </c>
      <c r="K1614" s="124" t="s">
        <v>74</v>
      </c>
      <c r="L1614" s="124" t="s">
        <v>430</v>
      </c>
    </row>
    <row r="1615">
      <c r="A1615" s="165">
        <v>43786.147747511575</v>
      </c>
      <c r="B1615" s="122" t="s">
        <v>41</v>
      </c>
      <c r="C1615" s="123" t="s">
        <v>190</v>
      </c>
      <c r="D1615" s="124">
        <v>3.0</v>
      </c>
      <c r="E1615" s="124">
        <v>1.0</v>
      </c>
      <c r="F1615" s="124" t="s">
        <v>248</v>
      </c>
      <c r="G1615" s="129" t="s">
        <v>1263</v>
      </c>
      <c r="H1615" s="127" t="s">
        <v>430</v>
      </c>
      <c r="I1615" s="127" t="s">
        <v>569</v>
      </c>
      <c r="J1615" s="124" t="s">
        <v>406</v>
      </c>
      <c r="K1615" s="124" t="s">
        <v>62</v>
      </c>
      <c r="L1615" s="124" t="s">
        <v>430</v>
      </c>
    </row>
    <row r="1616">
      <c r="A1616" s="165">
        <v>43786.147747511575</v>
      </c>
      <c r="B1616" s="122" t="s">
        <v>41</v>
      </c>
      <c r="C1616" s="123" t="s">
        <v>168</v>
      </c>
      <c r="D1616" s="124">
        <v>4.0</v>
      </c>
      <c r="E1616" s="124">
        <v>6.0</v>
      </c>
      <c r="F1616" s="124" t="s">
        <v>278</v>
      </c>
      <c r="G1616" s="129" t="s">
        <v>1264</v>
      </c>
      <c r="H1616" s="127" t="s">
        <v>430</v>
      </c>
      <c r="I1616" s="127">
        <v>21.0</v>
      </c>
      <c r="J1616" s="124">
        <v>54.0</v>
      </c>
      <c r="K1616" s="124" t="s">
        <v>69</v>
      </c>
      <c r="L1616" s="124" t="s">
        <v>430</v>
      </c>
    </row>
    <row r="1617">
      <c r="A1617" s="166">
        <v>43786.147747511575</v>
      </c>
      <c r="B1617" s="122" t="s">
        <v>41</v>
      </c>
      <c r="C1617" s="123" t="s">
        <v>111</v>
      </c>
      <c r="D1617" s="124">
        <v>3.0</v>
      </c>
      <c r="E1617" s="124">
        <v>7.0</v>
      </c>
      <c r="F1617" s="124" t="s">
        <v>248</v>
      </c>
      <c r="G1617" s="129" t="s">
        <v>202</v>
      </c>
      <c r="H1617" s="127"/>
      <c r="I1617" s="127" t="s">
        <v>382</v>
      </c>
      <c r="J1617" s="124"/>
      <c r="K1617" s="124"/>
      <c r="L1617" s="124">
        <v>9999.0</v>
      </c>
    </row>
    <row r="1618">
      <c r="A1618" s="136" t="s">
        <v>359</v>
      </c>
      <c r="B1618" s="122" t="s">
        <v>2</v>
      </c>
      <c r="C1618" s="123" t="s">
        <v>227</v>
      </c>
      <c r="D1618" s="124" t="s">
        <v>29</v>
      </c>
      <c r="E1618" s="124" t="s">
        <v>34</v>
      </c>
      <c r="F1618" s="124" t="s">
        <v>261</v>
      </c>
      <c r="G1618" s="129" t="s">
        <v>245</v>
      </c>
      <c r="H1618" s="127" t="s">
        <v>228</v>
      </c>
      <c r="I1618" s="127" t="s">
        <v>229</v>
      </c>
      <c r="J1618" s="124" t="s">
        <v>262</v>
      </c>
      <c r="K1618" s="124" t="s">
        <v>263</v>
      </c>
      <c r="L1618" s="124" t="s">
        <v>264</v>
      </c>
    </row>
    <row r="1619">
      <c r="A1619" s="165">
        <v>43786.147747511575</v>
      </c>
      <c r="B1619" s="122" t="s">
        <v>44</v>
      </c>
      <c r="C1619" s="123" t="s">
        <v>145</v>
      </c>
      <c r="D1619" s="124">
        <v>4.0</v>
      </c>
      <c r="E1619" s="124">
        <v>6.0</v>
      </c>
      <c r="F1619" s="124" t="s">
        <v>242</v>
      </c>
      <c r="G1619" s="129" t="s">
        <v>1265</v>
      </c>
      <c r="H1619" s="127" t="s">
        <v>430</v>
      </c>
      <c r="I1619" s="127" t="s">
        <v>428</v>
      </c>
      <c r="J1619" s="124" t="s">
        <v>237</v>
      </c>
      <c r="K1619" s="124" t="s">
        <v>64</v>
      </c>
      <c r="L1619" s="124" t="s">
        <v>430</v>
      </c>
    </row>
    <row r="1620">
      <c r="A1620" s="165">
        <v>43786.147747511575</v>
      </c>
      <c r="B1620" s="122" t="s">
        <v>44</v>
      </c>
      <c r="C1620" s="123" t="s">
        <v>122</v>
      </c>
      <c r="D1620" s="124">
        <v>8.0</v>
      </c>
      <c r="E1620" s="124">
        <v>2.0</v>
      </c>
      <c r="F1620" s="124" t="s">
        <v>266</v>
      </c>
      <c r="G1620" s="129" t="s">
        <v>1242</v>
      </c>
      <c r="H1620" s="127" t="s">
        <v>430</v>
      </c>
      <c r="I1620" s="127" t="s">
        <v>1069</v>
      </c>
      <c r="J1620" s="124" t="s">
        <v>462</v>
      </c>
      <c r="K1620" s="124" t="s">
        <v>27</v>
      </c>
      <c r="L1620" s="124" t="s">
        <v>430</v>
      </c>
    </row>
    <row r="1621">
      <c r="A1621" s="165">
        <v>43786.147747511575</v>
      </c>
      <c r="B1621" s="122" t="s">
        <v>44</v>
      </c>
      <c r="C1621" s="123" t="s">
        <v>104</v>
      </c>
      <c r="D1621" s="124">
        <v>4.0</v>
      </c>
      <c r="E1621" s="124">
        <v>6.0</v>
      </c>
      <c r="F1621" s="124" t="s">
        <v>215</v>
      </c>
      <c r="G1621" s="129" t="s">
        <v>1266</v>
      </c>
      <c r="H1621" s="127" t="s">
        <v>430</v>
      </c>
      <c r="I1621" s="127">
        <v>3.0</v>
      </c>
      <c r="J1621" s="124" t="s">
        <v>280</v>
      </c>
      <c r="K1621" s="124" t="s">
        <v>62</v>
      </c>
      <c r="L1621" s="124" t="s">
        <v>430</v>
      </c>
    </row>
    <row r="1622">
      <c r="A1622" s="165">
        <v>43786.147747511575</v>
      </c>
      <c r="B1622" s="122" t="s">
        <v>44</v>
      </c>
      <c r="C1622" s="123" t="s">
        <v>37</v>
      </c>
      <c r="D1622" s="124">
        <v>7.0</v>
      </c>
      <c r="E1622" s="124">
        <v>2.0</v>
      </c>
      <c r="F1622" s="124" t="s">
        <v>268</v>
      </c>
      <c r="G1622" s="129" t="s">
        <v>1243</v>
      </c>
      <c r="H1622" s="127" t="s">
        <v>430</v>
      </c>
      <c r="I1622" s="127" t="s">
        <v>272</v>
      </c>
      <c r="J1622" s="124">
        <v>54.0</v>
      </c>
      <c r="K1622" s="124" t="s">
        <v>27</v>
      </c>
      <c r="L1622" s="124" t="s">
        <v>430</v>
      </c>
    </row>
    <row r="1623">
      <c r="A1623" s="165">
        <v>43786.147747511575</v>
      </c>
      <c r="B1623" s="122" t="s">
        <v>44</v>
      </c>
      <c r="C1623" s="123" t="s">
        <v>188</v>
      </c>
      <c r="D1623" s="124">
        <v>6.0</v>
      </c>
      <c r="E1623" s="124">
        <v>4.0</v>
      </c>
      <c r="F1623" s="124" t="s">
        <v>267</v>
      </c>
      <c r="G1623" s="129" t="s">
        <v>1267</v>
      </c>
      <c r="H1623" s="127" t="s">
        <v>430</v>
      </c>
      <c r="I1623" s="127">
        <v>-7.0</v>
      </c>
      <c r="J1623" s="124">
        <v>58.0</v>
      </c>
      <c r="K1623" s="124" t="s">
        <v>53</v>
      </c>
      <c r="L1623" s="124" t="s">
        <v>430</v>
      </c>
    </row>
    <row r="1624">
      <c r="A1624" s="165">
        <v>43786.147747511575</v>
      </c>
      <c r="B1624" s="122" t="s">
        <v>44</v>
      </c>
      <c r="C1624" s="123" t="s">
        <v>150</v>
      </c>
      <c r="D1624" s="124">
        <v>9.0</v>
      </c>
      <c r="E1624" s="124">
        <v>1.0</v>
      </c>
      <c r="F1624" s="124" t="s">
        <v>215</v>
      </c>
      <c r="G1624" s="129" t="s">
        <v>1268</v>
      </c>
      <c r="H1624" s="127" t="s">
        <v>430</v>
      </c>
      <c r="I1624" s="127">
        <v>-28.0</v>
      </c>
      <c r="J1624" s="124" t="s">
        <v>397</v>
      </c>
      <c r="K1624" s="124" t="s">
        <v>48</v>
      </c>
      <c r="L1624" s="124" t="s">
        <v>430</v>
      </c>
    </row>
    <row r="1625">
      <c r="A1625" s="165">
        <v>43786.147747511575</v>
      </c>
      <c r="B1625" s="122" t="s">
        <v>44</v>
      </c>
      <c r="C1625" s="123" t="s">
        <v>161</v>
      </c>
      <c r="D1625" s="124">
        <v>4.0</v>
      </c>
      <c r="E1625" s="124">
        <v>6.0</v>
      </c>
      <c r="F1625" s="124" t="s">
        <v>201</v>
      </c>
      <c r="G1625" s="129" t="s">
        <v>1269</v>
      </c>
      <c r="H1625" s="127" t="s">
        <v>430</v>
      </c>
      <c r="I1625" s="127" t="s">
        <v>1270</v>
      </c>
      <c r="J1625" s="124">
        <v>68.0</v>
      </c>
      <c r="K1625" s="124" t="s">
        <v>58</v>
      </c>
      <c r="L1625" s="124" t="s">
        <v>430</v>
      </c>
    </row>
    <row r="1626">
      <c r="A1626" s="165">
        <v>43786.147747511575</v>
      </c>
      <c r="B1626" s="122" t="s">
        <v>44</v>
      </c>
      <c r="C1626" s="123" t="s">
        <v>173</v>
      </c>
      <c r="D1626" s="124">
        <v>2.0</v>
      </c>
      <c r="E1626" s="124">
        <v>8.0</v>
      </c>
      <c r="F1626" s="124" t="s">
        <v>248</v>
      </c>
      <c r="G1626" s="129" t="s">
        <v>202</v>
      </c>
      <c r="H1626" s="127"/>
      <c r="I1626" s="127"/>
      <c r="J1626" s="124" t="s">
        <v>735</v>
      </c>
      <c r="K1626" s="124"/>
      <c r="L1626" s="124">
        <v>9999.0</v>
      </c>
    </row>
    <row r="1627">
      <c r="A1627" s="165">
        <v>43786.147747511575</v>
      </c>
      <c r="B1627" s="122" t="s">
        <v>44</v>
      </c>
      <c r="C1627" s="123" t="s">
        <v>61</v>
      </c>
      <c r="D1627" s="124">
        <v>5.0</v>
      </c>
      <c r="E1627" s="124">
        <v>5.0</v>
      </c>
      <c r="F1627" s="124" t="s">
        <v>248</v>
      </c>
      <c r="G1627" s="129" t="s">
        <v>202</v>
      </c>
      <c r="H1627" s="127"/>
      <c r="I1627" s="127"/>
      <c r="J1627" s="124" t="s">
        <v>735</v>
      </c>
      <c r="K1627" s="124"/>
      <c r="L1627" s="124">
        <v>9999.0</v>
      </c>
    </row>
    <row r="1628">
      <c r="A1628" s="166">
        <v>43786.147747511575</v>
      </c>
      <c r="B1628" s="122" t="s">
        <v>44</v>
      </c>
      <c r="C1628" s="123" t="s">
        <v>132</v>
      </c>
      <c r="D1628" s="124">
        <v>5.0</v>
      </c>
      <c r="E1628" s="124">
        <v>5.0</v>
      </c>
      <c r="F1628" s="124" t="s">
        <v>248</v>
      </c>
      <c r="G1628" s="129" t="s">
        <v>202</v>
      </c>
      <c r="H1628" s="127"/>
      <c r="I1628" s="127" t="s">
        <v>382</v>
      </c>
      <c r="J1628" s="124"/>
      <c r="K1628" s="124"/>
      <c r="L1628" s="124">
        <v>9999.0</v>
      </c>
    </row>
    <row r="1629">
      <c r="A1629" s="136" t="s">
        <v>359</v>
      </c>
      <c r="B1629" s="122" t="s">
        <v>2</v>
      </c>
      <c r="C1629" s="123" t="s">
        <v>227</v>
      </c>
      <c r="D1629" s="124" t="s">
        <v>29</v>
      </c>
      <c r="E1629" s="124" t="s">
        <v>34</v>
      </c>
      <c r="F1629" s="124" t="s">
        <v>261</v>
      </c>
      <c r="G1629" s="129" t="s">
        <v>245</v>
      </c>
      <c r="H1629" s="127" t="s">
        <v>228</v>
      </c>
      <c r="I1629" s="127" t="s">
        <v>229</v>
      </c>
      <c r="J1629" s="124" t="s">
        <v>262</v>
      </c>
      <c r="K1629" s="124" t="s">
        <v>263</v>
      </c>
      <c r="L1629" s="124" t="s">
        <v>264</v>
      </c>
    </row>
    <row r="1630">
      <c r="A1630" s="165">
        <v>43786.147747511575</v>
      </c>
      <c r="B1630" s="122" t="s">
        <v>48</v>
      </c>
      <c r="C1630" s="123" t="s">
        <v>144</v>
      </c>
      <c r="D1630" s="124">
        <v>6.0</v>
      </c>
      <c r="E1630" s="124">
        <v>4.0</v>
      </c>
      <c r="F1630" s="124" t="s">
        <v>248</v>
      </c>
      <c r="G1630" s="129" t="s">
        <v>1249</v>
      </c>
      <c r="H1630" s="127" t="s">
        <v>430</v>
      </c>
      <c r="I1630" s="127">
        <v>-18.0</v>
      </c>
      <c r="J1630" s="124">
        <v>50.0</v>
      </c>
      <c r="K1630" s="124" t="s">
        <v>38</v>
      </c>
      <c r="L1630" s="124" t="s">
        <v>430</v>
      </c>
    </row>
    <row r="1631">
      <c r="A1631" s="165">
        <v>43786.147747511575</v>
      </c>
      <c r="B1631" s="122" t="s">
        <v>48</v>
      </c>
      <c r="C1631" s="123" t="s">
        <v>90</v>
      </c>
      <c r="D1631" s="124">
        <v>4.0</v>
      </c>
      <c r="E1631" s="124">
        <v>6.0</v>
      </c>
      <c r="F1631" s="124" t="s">
        <v>201</v>
      </c>
      <c r="G1631" s="129" t="s">
        <v>1257</v>
      </c>
      <c r="H1631" s="127" t="s">
        <v>643</v>
      </c>
      <c r="I1631" s="127">
        <v>4.0</v>
      </c>
      <c r="J1631" s="124">
        <v>49.0</v>
      </c>
      <c r="K1631" s="124" t="s">
        <v>41</v>
      </c>
      <c r="L1631" s="124" t="s">
        <v>643</v>
      </c>
    </row>
    <row r="1632">
      <c r="A1632" s="165">
        <v>43786.147747511575</v>
      </c>
      <c r="B1632" s="122" t="s">
        <v>48</v>
      </c>
      <c r="C1632" s="123" t="s">
        <v>187</v>
      </c>
      <c r="D1632" s="124">
        <v>2.0</v>
      </c>
      <c r="E1632" s="124">
        <v>2.0</v>
      </c>
      <c r="F1632" s="124" t="s">
        <v>267</v>
      </c>
      <c r="G1632" s="129" t="s">
        <v>1244</v>
      </c>
      <c r="H1632" s="127" t="s">
        <v>430</v>
      </c>
      <c r="I1632" s="127" t="s">
        <v>503</v>
      </c>
      <c r="J1632" s="124" t="s">
        <v>419</v>
      </c>
      <c r="K1632" s="124" t="s">
        <v>27</v>
      </c>
      <c r="L1632" s="124" t="s">
        <v>430</v>
      </c>
    </row>
    <row r="1633">
      <c r="A1633" s="165">
        <v>43786.147747511575</v>
      </c>
      <c r="B1633" s="122" t="s">
        <v>48</v>
      </c>
      <c r="C1633" s="123" t="s">
        <v>176</v>
      </c>
      <c r="D1633" s="124">
        <v>9.0</v>
      </c>
      <c r="E1633" s="124">
        <v>1.0</v>
      </c>
      <c r="F1633" s="124" t="s">
        <v>234</v>
      </c>
      <c r="G1633" s="129" t="s">
        <v>1271</v>
      </c>
      <c r="H1633" s="127" t="s">
        <v>430</v>
      </c>
      <c r="I1633" s="127">
        <v>-3.0</v>
      </c>
      <c r="J1633" s="124">
        <v>44.0</v>
      </c>
      <c r="K1633" s="124" t="s">
        <v>74</v>
      </c>
      <c r="L1633" s="124" t="s">
        <v>430</v>
      </c>
    </row>
    <row r="1634">
      <c r="A1634" s="165">
        <v>43786.147747511575</v>
      </c>
      <c r="B1634" s="122" t="s">
        <v>48</v>
      </c>
      <c r="C1634" s="123" t="s">
        <v>33</v>
      </c>
      <c r="D1634" s="124">
        <v>3.0</v>
      </c>
      <c r="E1634" s="124">
        <v>7.0</v>
      </c>
      <c r="F1634" s="124" t="s">
        <v>215</v>
      </c>
      <c r="G1634" s="129" t="s">
        <v>1272</v>
      </c>
      <c r="H1634" s="127" t="s">
        <v>430</v>
      </c>
      <c r="I1634" s="127" t="s">
        <v>492</v>
      </c>
      <c r="J1634" s="124" t="s">
        <v>432</v>
      </c>
      <c r="K1634" s="124" t="s">
        <v>69</v>
      </c>
      <c r="L1634" s="124" t="s">
        <v>430</v>
      </c>
    </row>
    <row r="1635">
      <c r="A1635" s="165">
        <v>43786.147747511575</v>
      </c>
      <c r="B1635" s="122" t="s">
        <v>48</v>
      </c>
      <c r="C1635" s="123" t="s">
        <v>105</v>
      </c>
      <c r="D1635" s="124">
        <v>4.0</v>
      </c>
      <c r="E1635" s="124">
        <v>6.0</v>
      </c>
      <c r="F1635" s="124" t="s">
        <v>201</v>
      </c>
      <c r="G1635" s="129" t="s">
        <v>1273</v>
      </c>
      <c r="H1635" s="127" t="s">
        <v>430</v>
      </c>
      <c r="I1635" s="127">
        <v>15.0</v>
      </c>
      <c r="J1635" s="124">
        <v>50.0</v>
      </c>
      <c r="K1635" s="124" t="s">
        <v>74</v>
      </c>
      <c r="L1635" s="124" t="s">
        <v>430</v>
      </c>
    </row>
    <row r="1636">
      <c r="A1636" s="165">
        <v>43786.147747511575</v>
      </c>
      <c r="B1636" s="122" t="s">
        <v>48</v>
      </c>
      <c r="C1636" s="123" t="s">
        <v>127</v>
      </c>
      <c r="D1636" s="124">
        <v>3.0</v>
      </c>
      <c r="E1636" s="124">
        <v>7.0</v>
      </c>
      <c r="F1636" s="124" t="s">
        <v>267</v>
      </c>
      <c r="G1636" s="129" t="s">
        <v>1274</v>
      </c>
      <c r="H1636" s="127" t="s">
        <v>430</v>
      </c>
      <c r="I1636" s="127" t="s">
        <v>226</v>
      </c>
      <c r="J1636" s="124" t="s">
        <v>482</v>
      </c>
      <c r="K1636" s="124" t="s">
        <v>288</v>
      </c>
      <c r="L1636" s="124" t="s">
        <v>430</v>
      </c>
    </row>
    <row r="1637">
      <c r="A1637" s="165">
        <v>43786.147747511575</v>
      </c>
      <c r="B1637" s="122" t="s">
        <v>48</v>
      </c>
      <c r="C1637" s="123" t="s">
        <v>162</v>
      </c>
      <c r="D1637" s="124">
        <v>5.0</v>
      </c>
      <c r="E1637" s="124">
        <v>5.0</v>
      </c>
      <c r="F1637" s="124" t="s">
        <v>269</v>
      </c>
      <c r="G1637" s="129" t="s">
        <v>1275</v>
      </c>
      <c r="H1637" s="127" t="s">
        <v>430</v>
      </c>
      <c r="I1637" s="127" t="s">
        <v>451</v>
      </c>
      <c r="J1637" s="124">
        <v>58.0</v>
      </c>
      <c r="K1637" s="124" t="s">
        <v>60</v>
      </c>
      <c r="L1637" s="124" t="s">
        <v>430</v>
      </c>
    </row>
    <row r="1638">
      <c r="A1638" s="165">
        <v>43786.147747511575</v>
      </c>
      <c r="B1638" s="122" t="s">
        <v>48</v>
      </c>
      <c r="C1638" s="123" t="s">
        <v>155</v>
      </c>
      <c r="D1638" s="124">
        <v>2.0</v>
      </c>
      <c r="E1638" s="124">
        <v>8.0</v>
      </c>
      <c r="F1638" s="124" t="s">
        <v>215</v>
      </c>
      <c r="G1638" s="129" t="s">
        <v>1268</v>
      </c>
      <c r="H1638" s="127" t="s">
        <v>430</v>
      </c>
      <c r="I1638" s="127">
        <v>28.0</v>
      </c>
      <c r="J1638" s="124" t="s">
        <v>397</v>
      </c>
      <c r="K1638" s="124" t="s">
        <v>44</v>
      </c>
      <c r="L1638" s="124" t="s">
        <v>430</v>
      </c>
    </row>
    <row r="1639">
      <c r="A1639" s="166">
        <v>43786.147747511575</v>
      </c>
      <c r="B1639" s="122" t="s">
        <v>48</v>
      </c>
      <c r="C1639" s="123" t="s">
        <v>120</v>
      </c>
      <c r="D1639" s="124">
        <v>4.0</v>
      </c>
      <c r="E1639" s="124">
        <v>6.0</v>
      </c>
      <c r="F1639" s="124" t="s">
        <v>248</v>
      </c>
      <c r="G1639" s="129" t="s">
        <v>202</v>
      </c>
      <c r="H1639" s="127"/>
      <c r="I1639" s="127"/>
      <c r="J1639" s="124" t="s">
        <v>735</v>
      </c>
      <c r="K1639" s="124"/>
      <c r="L1639" s="124">
        <v>9999.0</v>
      </c>
    </row>
    <row r="1640">
      <c r="A1640" s="136" t="s">
        <v>359</v>
      </c>
      <c r="B1640" s="122" t="s">
        <v>2</v>
      </c>
      <c r="C1640" s="123" t="s">
        <v>227</v>
      </c>
      <c r="D1640" s="124" t="s">
        <v>29</v>
      </c>
      <c r="E1640" s="124" t="s">
        <v>34</v>
      </c>
      <c r="F1640" s="124" t="s">
        <v>261</v>
      </c>
      <c r="G1640" s="129" t="s">
        <v>245</v>
      </c>
      <c r="H1640" s="127" t="s">
        <v>228</v>
      </c>
      <c r="I1640" s="127" t="s">
        <v>229</v>
      </c>
      <c r="J1640" s="124" t="s">
        <v>262</v>
      </c>
      <c r="K1640" s="124" t="s">
        <v>263</v>
      </c>
      <c r="L1640" s="124" t="s">
        <v>264</v>
      </c>
    </row>
    <row r="1641">
      <c r="A1641" s="165">
        <v>43786.147747511575</v>
      </c>
      <c r="B1641" s="122" t="s">
        <v>53</v>
      </c>
      <c r="C1641" s="123" t="s">
        <v>148</v>
      </c>
      <c r="D1641" s="124">
        <v>7.0</v>
      </c>
      <c r="E1641" s="124">
        <v>4.0</v>
      </c>
      <c r="F1641" s="124" t="s">
        <v>215</v>
      </c>
      <c r="G1641" s="129" t="s">
        <v>1256</v>
      </c>
      <c r="H1641" s="127" t="s">
        <v>643</v>
      </c>
      <c r="I1641" s="127" t="s">
        <v>674</v>
      </c>
      <c r="J1641" s="124">
        <v>60.0</v>
      </c>
      <c r="K1641" s="124" t="s">
        <v>41</v>
      </c>
      <c r="L1641" s="124" t="s">
        <v>643</v>
      </c>
    </row>
    <row r="1642">
      <c r="A1642" s="165">
        <v>43786.147747511575</v>
      </c>
      <c r="B1642" s="122" t="s">
        <v>53</v>
      </c>
      <c r="C1642" s="123" t="s">
        <v>179</v>
      </c>
      <c r="D1642" s="124">
        <v>4.0</v>
      </c>
      <c r="E1642" s="124">
        <v>6.0</v>
      </c>
      <c r="F1642" s="124" t="s">
        <v>201</v>
      </c>
      <c r="G1642" s="129" t="s">
        <v>1241</v>
      </c>
      <c r="H1642" s="127" t="s">
        <v>430</v>
      </c>
      <c r="I1642" s="127">
        <v>21.0</v>
      </c>
      <c r="J1642" s="124" t="s">
        <v>240</v>
      </c>
      <c r="K1642" s="124" t="s">
        <v>27</v>
      </c>
      <c r="L1642" s="124" t="s">
        <v>430</v>
      </c>
    </row>
    <row r="1643">
      <c r="A1643" s="165">
        <v>43786.147747511575</v>
      </c>
      <c r="B1643" s="122" t="s">
        <v>53</v>
      </c>
      <c r="C1643" s="123" t="s">
        <v>119</v>
      </c>
      <c r="D1643" s="124">
        <v>9.0</v>
      </c>
      <c r="E1643" s="124">
        <v>1.0</v>
      </c>
      <c r="F1643" s="124" t="s">
        <v>207</v>
      </c>
      <c r="G1643" s="129" t="s">
        <v>1276</v>
      </c>
      <c r="H1643" s="127" t="s">
        <v>430</v>
      </c>
      <c r="I1643" s="127" t="s">
        <v>1069</v>
      </c>
      <c r="J1643" s="124" t="s">
        <v>507</v>
      </c>
      <c r="K1643" s="124" t="s">
        <v>69</v>
      </c>
      <c r="L1643" s="124" t="s">
        <v>430</v>
      </c>
    </row>
    <row r="1644">
      <c r="A1644" s="165">
        <v>43786.147747511575</v>
      </c>
      <c r="B1644" s="122" t="s">
        <v>53</v>
      </c>
      <c r="C1644" s="123" t="s">
        <v>136</v>
      </c>
      <c r="D1644" s="124">
        <v>7.0</v>
      </c>
      <c r="E1644" s="124">
        <v>3.0</v>
      </c>
      <c r="F1644" s="124" t="s">
        <v>282</v>
      </c>
      <c r="G1644" s="129" t="s">
        <v>1277</v>
      </c>
      <c r="H1644" s="127" t="s">
        <v>430</v>
      </c>
      <c r="I1644" s="127">
        <v>-18.0</v>
      </c>
      <c r="J1644" s="124">
        <v>45.0</v>
      </c>
      <c r="K1644" s="124" t="s">
        <v>288</v>
      </c>
      <c r="L1644" s="124" t="s">
        <v>430</v>
      </c>
    </row>
    <row r="1645">
      <c r="A1645" s="165">
        <v>43786.147747511575</v>
      </c>
      <c r="B1645" s="122" t="s">
        <v>53</v>
      </c>
      <c r="C1645" s="123" t="s">
        <v>191</v>
      </c>
      <c r="D1645" s="124">
        <v>4.0</v>
      </c>
      <c r="E1645" s="124">
        <v>6.0</v>
      </c>
      <c r="F1645" s="124" t="s">
        <v>248</v>
      </c>
      <c r="G1645" s="129" t="s">
        <v>1267</v>
      </c>
      <c r="H1645" s="127" t="s">
        <v>430</v>
      </c>
      <c r="I1645" s="127">
        <v>7.0</v>
      </c>
      <c r="J1645" s="124">
        <v>58.0</v>
      </c>
      <c r="K1645" s="124" t="s">
        <v>44</v>
      </c>
      <c r="L1645" s="124" t="s">
        <v>430</v>
      </c>
    </row>
    <row r="1646">
      <c r="A1646" s="165">
        <v>43786.147747511575</v>
      </c>
      <c r="B1646" s="122" t="s">
        <v>53</v>
      </c>
      <c r="C1646" s="123" t="s">
        <v>100</v>
      </c>
      <c r="D1646" s="124">
        <v>9.0</v>
      </c>
      <c r="E1646" s="124">
        <v>1.0</v>
      </c>
      <c r="F1646" s="124" t="s">
        <v>207</v>
      </c>
      <c r="G1646" s="129" t="s">
        <v>1278</v>
      </c>
      <c r="H1646" s="127" t="s">
        <v>430</v>
      </c>
      <c r="I1646" s="127">
        <v>-10.0</v>
      </c>
      <c r="J1646" s="124" t="s">
        <v>626</v>
      </c>
      <c r="K1646" s="124" t="s">
        <v>58</v>
      </c>
      <c r="L1646" s="124" t="s">
        <v>430</v>
      </c>
    </row>
    <row r="1647">
      <c r="A1647" s="165">
        <v>43786.147747511575</v>
      </c>
      <c r="B1647" s="122" t="s">
        <v>53</v>
      </c>
      <c r="C1647" s="123" t="s">
        <v>42</v>
      </c>
      <c r="D1647" s="124">
        <v>9.0</v>
      </c>
      <c r="E1647" s="124">
        <v>1.0</v>
      </c>
      <c r="F1647" s="124" t="s">
        <v>248</v>
      </c>
      <c r="G1647" s="129" t="s">
        <v>202</v>
      </c>
      <c r="H1647" s="127"/>
      <c r="I1647" s="127"/>
      <c r="J1647" s="124" t="s">
        <v>735</v>
      </c>
      <c r="K1647" s="124"/>
      <c r="L1647" s="124">
        <v>9999.0</v>
      </c>
    </row>
    <row r="1648">
      <c r="A1648" s="165">
        <v>43786.147747511575</v>
      </c>
      <c r="B1648" s="122" t="s">
        <v>53</v>
      </c>
      <c r="C1648" s="123" t="s">
        <v>93</v>
      </c>
      <c r="D1648" s="124">
        <v>7.0</v>
      </c>
      <c r="E1648" s="124">
        <v>3.0</v>
      </c>
      <c r="F1648" s="124" t="s">
        <v>248</v>
      </c>
      <c r="G1648" s="129" t="s">
        <v>202</v>
      </c>
      <c r="H1648" s="127"/>
      <c r="I1648" s="127" t="s">
        <v>382</v>
      </c>
      <c r="J1648" s="124"/>
      <c r="K1648" s="124"/>
      <c r="L1648" s="124">
        <v>9999.0</v>
      </c>
    </row>
    <row r="1649">
      <c r="A1649" s="165">
        <v>43786.147747511575</v>
      </c>
      <c r="B1649" s="122" t="s">
        <v>53</v>
      </c>
      <c r="C1649" s="123" t="s">
        <v>164</v>
      </c>
      <c r="D1649" s="124">
        <v>4.0</v>
      </c>
      <c r="E1649" s="124">
        <v>6.0</v>
      </c>
      <c r="F1649" s="124" t="s">
        <v>248</v>
      </c>
      <c r="G1649" s="129" t="s">
        <v>202</v>
      </c>
      <c r="H1649" s="127"/>
      <c r="I1649" s="127" t="s">
        <v>382</v>
      </c>
      <c r="J1649" s="124"/>
      <c r="K1649" s="124"/>
      <c r="L1649" s="124">
        <v>9999.0</v>
      </c>
    </row>
    <row r="1650">
      <c r="A1650" s="166">
        <v>43786.147747511575</v>
      </c>
      <c r="B1650" s="122" t="s">
        <v>53</v>
      </c>
      <c r="C1650" s="123" t="s">
        <v>157</v>
      </c>
      <c r="D1650" s="124">
        <v>4.0</v>
      </c>
      <c r="E1650" s="124">
        <v>6.0</v>
      </c>
      <c r="F1650" s="124" t="s">
        <v>248</v>
      </c>
      <c r="G1650" s="129" t="s">
        <v>202</v>
      </c>
      <c r="H1650" s="127"/>
      <c r="I1650" s="127"/>
      <c r="J1650" s="124" t="s">
        <v>735</v>
      </c>
      <c r="K1650" s="124"/>
      <c r="L1650" s="124">
        <v>9999.0</v>
      </c>
    </row>
    <row r="1651">
      <c r="A1651" s="136" t="s">
        <v>359</v>
      </c>
      <c r="B1651" s="122" t="s">
        <v>2</v>
      </c>
      <c r="C1651" s="123" t="s">
        <v>227</v>
      </c>
      <c r="D1651" s="124" t="s">
        <v>29</v>
      </c>
      <c r="E1651" s="124" t="s">
        <v>34</v>
      </c>
      <c r="F1651" s="124" t="s">
        <v>261</v>
      </c>
      <c r="G1651" s="129" t="s">
        <v>245</v>
      </c>
      <c r="H1651" s="127" t="s">
        <v>228</v>
      </c>
      <c r="I1651" s="127" t="s">
        <v>229</v>
      </c>
      <c r="J1651" s="124" t="s">
        <v>262</v>
      </c>
      <c r="K1651" s="124" t="s">
        <v>263</v>
      </c>
      <c r="L1651" s="124" t="s">
        <v>264</v>
      </c>
    </row>
    <row r="1652">
      <c r="A1652" s="165">
        <v>43786.147747511575</v>
      </c>
      <c r="B1652" s="122" t="s">
        <v>58</v>
      </c>
      <c r="C1652" s="123" t="s">
        <v>140</v>
      </c>
      <c r="D1652" s="124">
        <v>5.0</v>
      </c>
      <c r="E1652" s="124">
        <v>5.0</v>
      </c>
      <c r="F1652" s="124" t="s">
        <v>260</v>
      </c>
      <c r="G1652" s="129" t="s">
        <v>1279</v>
      </c>
      <c r="H1652" s="127" t="s">
        <v>430</v>
      </c>
      <c r="I1652" s="127">
        <v>-6.0</v>
      </c>
      <c r="J1652" s="124" t="s">
        <v>546</v>
      </c>
      <c r="K1652" s="124" t="s">
        <v>62</v>
      </c>
      <c r="L1652" s="124" t="s">
        <v>430</v>
      </c>
    </row>
    <row r="1653">
      <c r="A1653" s="165">
        <v>43786.147747511575</v>
      </c>
      <c r="B1653" s="122" t="s">
        <v>58</v>
      </c>
      <c r="C1653" s="123" t="s">
        <v>110</v>
      </c>
      <c r="D1653" s="124">
        <v>7.0</v>
      </c>
      <c r="E1653" s="124">
        <v>3.0</v>
      </c>
      <c r="F1653" s="124" t="s">
        <v>278</v>
      </c>
      <c r="G1653" s="129" t="s">
        <v>1280</v>
      </c>
      <c r="H1653" s="127" t="s">
        <v>430</v>
      </c>
      <c r="I1653" s="127">
        <v>-3.0</v>
      </c>
      <c r="J1653" s="124" t="s">
        <v>637</v>
      </c>
      <c r="K1653" s="124" t="s">
        <v>64</v>
      </c>
      <c r="L1653" s="124" t="s">
        <v>430</v>
      </c>
    </row>
    <row r="1654">
      <c r="A1654" s="165">
        <v>43786.147747511575</v>
      </c>
      <c r="B1654" s="122" t="s">
        <v>58</v>
      </c>
      <c r="C1654" s="123" t="s">
        <v>72</v>
      </c>
      <c r="D1654" s="124">
        <v>4.0</v>
      </c>
      <c r="E1654" s="124">
        <v>6.0</v>
      </c>
      <c r="F1654" s="124" t="s">
        <v>285</v>
      </c>
      <c r="G1654" s="129" t="s">
        <v>1281</v>
      </c>
      <c r="H1654" s="127" t="s">
        <v>430</v>
      </c>
      <c r="I1654" s="127" t="s">
        <v>431</v>
      </c>
      <c r="J1654" s="124">
        <v>55.0</v>
      </c>
      <c r="K1654" s="124" t="s">
        <v>62</v>
      </c>
      <c r="L1654" s="124" t="s">
        <v>430</v>
      </c>
    </row>
    <row r="1655">
      <c r="A1655" s="165">
        <v>43786.147747511575</v>
      </c>
      <c r="B1655" s="122" t="s">
        <v>58</v>
      </c>
      <c r="C1655" s="123" t="s">
        <v>158</v>
      </c>
      <c r="D1655" s="124">
        <v>2.0</v>
      </c>
      <c r="E1655" s="124">
        <v>8.0</v>
      </c>
      <c r="F1655" s="124" t="s">
        <v>284</v>
      </c>
      <c r="G1655" s="129" t="s">
        <v>1282</v>
      </c>
      <c r="H1655" s="127" t="s">
        <v>430</v>
      </c>
      <c r="I1655" s="127">
        <v>7.0</v>
      </c>
      <c r="J1655" s="124">
        <v>71.0</v>
      </c>
      <c r="K1655" s="124" t="s">
        <v>62</v>
      </c>
      <c r="L1655" s="124" t="s">
        <v>430</v>
      </c>
    </row>
    <row r="1656">
      <c r="A1656" s="165">
        <v>43786.147747511575</v>
      </c>
      <c r="B1656" s="122" t="s">
        <v>58</v>
      </c>
      <c r="C1656" s="123" t="s">
        <v>45</v>
      </c>
      <c r="D1656" s="124">
        <v>4.0</v>
      </c>
      <c r="E1656" s="124">
        <v>6.0</v>
      </c>
      <c r="F1656" s="124" t="s">
        <v>260</v>
      </c>
      <c r="G1656" s="129" t="s">
        <v>1283</v>
      </c>
      <c r="H1656" s="127" t="s">
        <v>430</v>
      </c>
      <c r="I1656" s="127">
        <v>14.0</v>
      </c>
      <c r="J1656" s="124">
        <v>50.0</v>
      </c>
      <c r="K1656" s="124" t="s">
        <v>62</v>
      </c>
      <c r="L1656" s="124" t="s">
        <v>430</v>
      </c>
    </row>
    <row r="1657">
      <c r="A1657" s="165">
        <v>43786.147747511575</v>
      </c>
      <c r="B1657" s="122" t="s">
        <v>58</v>
      </c>
      <c r="C1657" s="123" t="s">
        <v>96</v>
      </c>
      <c r="D1657" s="124">
        <v>9.0</v>
      </c>
      <c r="E1657" s="124">
        <v>1.0</v>
      </c>
      <c r="F1657" s="124" t="s">
        <v>207</v>
      </c>
      <c r="G1657" s="129" t="s">
        <v>1278</v>
      </c>
      <c r="H1657" s="127" t="s">
        <v>430</v>
      </c>
      <c r="I1657" s="127">
        <v>10.0</v>
      </c>
      <c r="J1657" s="124" t="s">
        <v>626</v>
      </c>
      <c r="K1657" s="124" t="s">
        <v>53</v>
      </c>
      <c r="L1657" s="124" t="s">
        <v>430</v>
      </c>
    </row>
    <row r="1658">
      <c r="A1658" s="165">
        <v>43786.147747511575</v>
      </c>
      <c r="B1658" s="122" t="s">
        <v>58</v>
      </c>
      <c r="C1658" s="123" t="s">
        <v>186</v>
      </c>
      <c r="D1658" s="124">
        <v>9.0</v>
      </c>
      <c r="E1658" s="124">
        <v>1.0</v>
      </c>
      <c r="F1658" s="124" t="s">
        <v>242</v>
      </c>
      <c r="G1658" s="129" t="s">
        <v>1284</v>
      </c>
      <c r="H1658" s="127" t="s">
        <v>430</v>
      </c>
      <c r="I1658" s="127" t="s">
        <v>281</v>
      </c>
      <c r="J1658" s="124" t="s">
        <v>240</v>
      </c>
      <c r="K1658" s="124" t="s">
        <v>60</v>
      </c>
      <c r="L1658" s="124" t="s">
        <v>430</v>
      </c>
    </row>
    <row r="1659">
      <c r="A1659" s="165">
        <v>43786.147747511575</v>
      </c>
      <c r="B1659" s="122" t="s">
        <v>58</v>
      </c>
      <c r="C1659" s="123" t="s">
        <v>165</v>
      </c>
      <c r="D1659" s="124">
        <v>9.0</v>
      </c>
      <c r="E1659" s="124">
        <v>1.0</v>
      </c>
      <c r="F1659" s="124" t="s">
        <v>201</v>
      </c>
      <c r="G1659" s="129" t="s">
        <v>1269</v>
      </c>
      <c r="H1659" s="127" t="s">
        <v>430</v>
      </c>
      <c r="I1659" s="127" t="s">
        <v>908</v>
      </c>
      <c r="J1659" s="124">
        <v>68.0</v>
      </c>
      <c r="K1659" s="124" t="s">
        <v>44</v>
      </c>
      <c r="L1659" s="124" t="s">
        <v>430</v>
      </c>
    </row>
    <row r="1660">
      <c r="A1660" s="165">
        <v>43786.147747511575</v>
      </c>
      <c r="B1660" s="122" t="s">
        <v>58</v>
      </c>
      <c r="C1660" s="123" t="s">
        <v>135</v>
      </c>
      <c r="D1660" s="124">
        <v>6.0</v>
      </c>
      <c r="E1660" s="124">
        <v>4.0</v>
      </c>
      <c r="F1660" s="124" t="s">
        <v>248</v>
      </c>
      <c r="G1660" s="129" t="s">
        <v>202</v>
      </c>
      <c r="H1660" s="127"/>
      <c r="I1660" s="127"/>
      <c r="J1660" s="124" t="s">
        <v>735</v>
      </c>
      <c r="K1660" s="124"/>
      <c r="L1660" s="124">
        <v>9999.0</v>
      </c>
    </row>
    <row r="1661">
      <c r="A1661" s="166">
        <v>43786.147747511575</v>
      </c>
      <c r="B1661" s="122" t="s">
        <v>58</v>
      </c>
      <c r="C1661" s="123" t="s">
        <v>183</v>
      </c>
      <c r="D1661" s="124">
        <v>5.0</v>
      </c>
      <c r="E1661" s="124">
        <v>5.0</v>
      </c>
      <c r="F1661" s="124" t="s">
        <v>248</v>
      </c>
      <c r="G1661" s="129" t="s">
        <v>202</v>
      </c>
      <c r="H1661" s="127"/>
      <c r="I1661" s="127"/>
      <c r="J1661" s="124" t="s">
        <v>735</v>
      </c>
      <c r="K1661" s="124"/>
      <c r="L1661" s="124">
        <v>9999.0</v>
      </c>
    </row>
    <row r="1662">
      <c r="A1662" s="136" t="s">
        <v>359</v>
      </c>
      <c r="B1662" s="122" t="s">
        <v>2</v>
      </c>
      <c r="C1662" s="123" t="s">
        <v>227</v>
      </c>
      <c r="D1662" s="124" t="s">
        <v>29</v>
      </c>
      <c r="E1662" s="124" t="s">
        <v>34</v>
      </c>
      <c r="F1662" s="124" t="s">
        <v>261</v>
      </c>
      <c r="G1662" s="129" t="s">
        <v>245</v>
      </c>
      <c r="H1662" s="127" t="s">
        <v>228</v>
      </c>
      <c r="I1662" s="127" t="s">
        <v>229</v>
      </c>
      <c r="J1662" s="124" t="s">
        <v>262</v>
      </c>
      <c r="K1662" s="124" t="s">
        <v>263</v>
      </c>
      <c r="L1662" s="124" t="s">
        <v>264</v>
      </c>
    </row>
    <row r="1663">
      <c r="A1663" s="165">
        <v>43786.147747511575</v>
      </c>
      <c r="B1663" s="122" t="s">
        <v>60</v>
      </c>
      <c r="C1663" s="123" t="s">
        <v>137</v>
      </c>
      <c r="D1663" s="124">
        <v>0.0</v>
      </c>
      <c r="E1663" s="124">
        <v>10.0</v>
      </c>
      <c r="F1663" s="124" t="s">
        <v>248</v>
      </c>
      <c r="G1663" s="129" t="s">
        <v>1285</v>
      </c>
      <c r="H1663" s="127" t="s">
        <v>430</v>
      </c>
      <c r="I1663" s="127">
        <v>17.0</v>
      </c>
      <c r="J1663" s="124" t="s">
        <v>482</v>
      </c>
      <c r="K1663" s="124" t="s">
        <v>69</v>
      </c>
      <c r="L1663" s="124" t="s">
        <v>430</v>
      </c>
    </row>
    <row r="1664">
      <c r="A1664" s="165">
        <v>43786.147747511575</v>
      </c>
      <c r="B1664" s="122" t="s">
        <v>60</v>
      </c>
      <c r="C1664" s="123" t="s">
        <v>175</v>
      </c>
      <c r="D1664" s="124">
        <v>9.0</v>
      </c>
      <c r="E1664" s="124">
        <v>2.0</v>
      </c>
      <c r="F1664" s="124" t="s">
        <v>234</v>
      </c>
      <c r="G1664" s="129" t="s">
        <v>1259</v>
      </c>
      <c r="H1664" s="127" t="s">
        <v>430</v>
      </c>
      <c r="I1664" s="127">
        <v>-7.0</v>
      </c>
      <c r="J1664" s="124" t="s">
        <v>585</v>
      </c>
      <c r="K1664" s="124" t="s">
        <v>41</v>
      </c>
      <c r="L1664" s="124" t="s">
        <v>430</v>
      </c>
    </row>
    <row r="1665">
      <c r="A1665" s="165">
        <v>43786.147747511575</v>
      </c>
      <c r="B1665" s="122" t="s">
        <v>60</v>
      </c>
      <c r="C1665" s="123" t="s">
        <v>117</v>
      </c>
      <c r="D1665" s="124">
        <v>2.0</v>
      </c>
      <c r="E1665" s="124">
        <v>8.0</v>
      </c>
      <c r="F1665" s="124" t="s">
        <v>266</v>
      </c>
      <c r="G1665" s="129" t="s">
        <v>1286</v>
      </c>
      <c r="H1665" s="127" t="s">
        <v>430</v>
      </c>
      <c r="I1665" s="127">
        <v>-39.0</v>
      </c>
      <c r="J1665" s="124">
        <v>56.0</v>
      </c>
      <c r="K1665" s="124" t="s">
        <v>288</v>
      </c>
      <c r="L1665" s="124" t="s">
        <v>430</v>
      </c>
    </row>
    <row r="1666">
      <c r="A1666" s="165">
        <v>43786.147747511575</v>
      </c>
      <c r="B1666" s="122" t="s">
        <v>60</v>
      </c>
      <c r="C1666" s="123" t="s">
        <v>95</v>
      </c>
      <c r="D1666" s="124">
        <v>7.0</v>
      </c>
      <c r="E1666" s="124">
        <v>3.0</v>
      </c>
      <c r="F1666" s="124" t="s">
        <v>207</v>
      </c>
      <c r="G1666" s="129" t="s">
        <v>1251</v>
      </c>
      <c r="H1666" s="127" t="s">
        <v>430</v>
      </c>
      <c r="I1666" s="127" t="s">
        <v>1287</v>
      </c>
      <c r="J1666" s="124" t="s">
        <v>240</v>
      </c>
      <c r="K1666" s="124" t="s">
        <v>38</v>
      </c>
      <c r="L1666" s="124" t="s">
        <v>430</v>
      </c>
    </row>
    <row r="1667">
      <c r="A1667" s="165">
        <v>43786.147747511575</v>
      </c>
      <c r="B1667" s="122" t="s">
        <v>60</v>
      </c>
      <c r="C1667" s="123" t="s">
        <v>103</v>
      </c>
      <c r="D1667" s="124">
        <v>6.0</v>
      </c>
      <c r="E1667" s="124">
        <v>4.0</v>
      </c>
      <c r="F1667" s="124" t="s">
        <v>269</v>
      </c>
      <c r="G1667" s="129" t="s">
        <v>1252</v>
      </c>
      <c r="H1667" s="127" t="s">
        <v>430</v>
      </c>
      <c r="I1667" s="127">
        <v>7.0</v>
      </c>
      <c r="J1667" s="124" t="s">
        <v>559</v>
      </c>
      <c r="K1667" s="124" t="s">
        <v>38</v>
      </c>
      <c r="L1667" s="124" t="s">
        <v>430</v>
      </c>
    </row>
    <row r="1668">
      <c r="A1668" s="165">
        <v>43786.147747511575</v>
      </c>
      <c r="B1668" s="122" t="s">
        <v>60</v>
      </c>
      <c r="C1668" s="123" t="s">
        <v>149</v>
      </c>
      <c r="D1668" s="124">
        <v>8.0</v>
      </c>
      <c r="E1668" s="124">
        <v>2.0</v>
      </c>
      <c r="F1668" s="124" t="s">
        <v>215</v>
      </c>
      <c r="G1668" s="129" t="s">
        <v>1288</v>
      </c>
      <c r="H1668" s="127" t="s">
        <v>430</v>
      </c>
      <c r="I1668" s="127">
        <v>-10.0</v>
      </c>
      <c r="J1668" s="124">
        <v>60.0</v>
      </c>
      <c r="K1668" s="124" t="s">
        <v>69</v>
      </c>
      <c r="L1668" s="124" t="s">
        <v>430</v>
      </c>
    </row>
    <row r="1669">
      <c r="A1669" s="165">
        <v>43786.147747511575</v>
      </c>
      <c r="B1669" s="122" t="s">
        <v>60</v>
      </c>
      <c r="C1669" s="123" t="s">
        <v>189</v>
      </c>
      <c r="D1669" s="124">
        <v>6.0</v>
      </c>
      <c r="E1669" s="124">
        <v>4.0</v>
      </c>
      <c r="F1669" s="124" t="s">
        <v>242</v>
      </c>
      <c r="G1669" s="129" t="s">
        <v>1284</v>
      </c>
      <c r="H1669" s="127" t="s">
        <v>430</v>
      </c>
      <c r="I1669" s="127" t="s">
        <v>251</v>
      </c>
      <c r="J1669" s="124" t="s">
        <v>240</v>
      </c>
      <c r="K1669" s="124" t="s">
        <v>58</v>
      </c>
      <c r="L1669" s="124" t="s">
        <v>430</v>
      </c>
    </row>
    <row r="1670">
      <c r="A1670" s="165">
        <v>43786.147747511575</v>
      </c>
      <c r="B1670" s="122" t="s">
        <v>60</v>
      </c>
      <c r="C1670" s="123" t="s">
        <v>166</v>
      </c>
      <c r="D1670" s="124">
        <v>5.0</v>
      </c>
      <c r="E1670" s="124">
        <v>5.0</v>
      </c>
      <c r="F1670" s="124" t="s">
        <v>269</v>
      </c>
      <c r="G1670" s="129" t="s">
        <v>1275</v>
      </c>
      <c r="H1670" s="127" t="s">
        <v>430</v>
      </c>
      <c r="I1670" s="127" t="s">
        <v>428</v>
      </c>
      <c r="J1670" s="124">
        <v>58.0</v>
      </c>
      <c r="K1670" s="124" t="s">
        <v>48</v>
      </c>
      <c r="L1670" s="124" t="s">
        <v>430</v>
      </c>
    </row>
    <row r="1671">
      <c r="A1671" s="165">
        <v>43786.147747511575</v>
      </c>
      <c r="B1671" s="122" t="s">
        <v>60</v>
      </c>
      <c r="C1671" s="123" t="s">
        <v>59</v>
      </c>
      <c r="D1671" s="124">
        <v>7.0</v>
      </c>
      <c r="E1671" s="124">
        <v>3.0</v>
      </c>
      <c r="F1671" s="124" t="s">
        <v>248</v>
      </c>
      <c r="G1671" s="129" t="s">
        <v>202</v>
      </c>
      <c r="H1671" s="127"/>
      <c r="I1671" s="127"/>
      <c r="J1671" s="124" t="s">
        <v>735</v>
      </c>
      <c r="K1671" s="124"/>
      <c r="L1671" s="124">
        <v>9999.0</v>
      </c>
    </row>
    <row r="1672">
      <c r="A1672" s="166">
        <v>43786.147747511575</v>
      </c>
      <c r="B1672" s="122" t="s">
        <v>60</v>
      </c>
      <c r="C1672" s="123" t="s">
        <v>123</v>
      </c>
      <c r="D1672" s="124">
        <v>5.0</v>
      </c>
      <c r="E1672" s="124">
        <v>5.0</v>
      </c>
      <c r="F1672" s="124" t="s">
        <v>248</v>
      </c>
      <c r="G1672" s="129" t="s">
        <v>202</v>
      </c>
      <c r="H1672" s="127"/>
      <c r="I1672" s="127" t="s">
        <v>382</v>
      </c>
      <c r="J1672" s="124"/>
      <c r="K1672" s="124"/>
      <c r="L1672" s="124">
        <v>9999.0</v>
      </c>
    </row>
    <row r="1673">
      <c r="A1673" s="136" t="s">
        <v>359</v>
      </c>
      <c r="B1673" s="122" t="s">
        <v>2</v>
      </c>
      <c r="C1673" s="123" t="s">
        <v>227</v>
      </c>
      <c r="D1673" s="124" t="s">
        <v>29</v>
      </c>
      <c r="E1673" s="124" t="s">
        <v>34</v>
      </c>
      <c r="F1673" s="124" t="s">
        <v>261</v>
      </c>
      <c r="G1673" s="129" t="s">
        <v>245</v>
      </c>
      <c r="H1673" s="127" t="s">
        <v>228</v>
      </c>
      <c r="I1673" s="127" t="s">
        <v>229</v>
      </c>
      <c r="J1673" s="124" t="s">
        <v>262</v>
      </c>
      <c r="K1673" s="124" t="s">
        <v>263</v>
      </c>
      <c r="L1673" s="124" t="s">
        <v>264</v>
      </c>
    </row>
    <row r="1674">
      <c r="A1674" s="165">
        <v>43786.147747511575</v>
      </c>
      <c r="B1674" s="122" t="s">
        <v>62</v>
      </c>
      <c r="C1674" s="123" t="s">
        <v>143</v>
      </c>
      <c r="D1674" s="124">
        <v>4.0</v>
      </c>
      <c r="E1674" s="124">
        <v>6.0</v>
      </c>
      <c r="F1674" s="124" t="s">
        <v>260</v>
      </c>
      <c r="G1674" s="129" t="s">
        <v>1279</v>
      </c>
      <c r="H1674" s="127" t="s">
        <v>430</v>
      </c>
      <c r="I1674" s="127">
        <v>6.0</v>
      </c>
      <c r="J1674" s="124" t="s">
        <v>546</v>
      </c>
      <c r="K1674" s="124" t="s">
        <v>58</v>
      </c>
      <c r="L1674" s="124" t="s">
        <v>430</v>
      </c>
    </row>
    <row r="1675">
      <c r="A1675" s="165">
        <v>43786.147747511575</v>
      </c>
      <c r="B1675" s="122" t="s">
        <v>62</v>
      </c>
      <c r="C1675" s="123" t="s">
        <v>112</v>
      </c>
      <c r="D1675" s="124">
        <v>8.0</v>
      </c>
      <c r="E1675" s="124">
        <v>2.0</v>
      </c>
      <c r="F1675" s="124" t="s">
        <v>278</v>
      </c>
      <c r="G1675" s="129" t="s">
        <v>1250</v>
      </c>
      <c r="H1675" s="127" t="s">
        <v>430</v>
      </c>
      <c r="I1675" s="127" t="s">
        <v>226</v>
      </c>
      <c r="J1675" s="124" t="s">
        <v>637</v>
      </c>
      <c r="K1675" s="124" t="s">
        <v>38</v>
      </c>
      <c r="L1675" s="124" t="s">
        <v>430</v>
      </c>
    </row>
    <row r="1676">
      <c r="A1676" s="165">
        <v>43786.147747511575</v>
      </c>
      <c r="B1676" s="122" t="s">
        <v>62</v>
      </c>
      <c r="C1676" s="123" t="s">
        <v>102</v>
      </c>
      <c r="D1676" s="124">
        <v>5.0</v>
      </c>
      <c r="E1676" s="124">
        <v>5.0</v>
      </c>
      <c r="F1676" s="124" t="s">
        <v>215</v>
      </c>
      <c r="G1676" s="129" t="s">
        <v>1266</v>
      </c>
      <c r="H1676" s="127" t="s">
        <v>430</v>
      </c>
      <c r="I1676" s="127">
        <v>-3.0</v>
      </c>
      <c r="J1676" s="124" t="s">
        <v>280</v>
      </c>
      <c r="K1676" s="124" t="s">
        <v>44</v>
      </c>
      <c r="L1676" s="124" t="s">
        <v>430</v>
      </c>
    </row>
    <row r="1677">
      <c r="A1677" s="165">
        <v>43786.147747511575</v>
      </c>
      <c r="B1677" s="122" t="s">
        <v>62</v>
      </c>
      <c r="C1677" s="123" t="s">
        <v>92</v>
      </c>
      <c r="D1677" s="124">
        <v>4.0</v>
      </c>
      <c r="E1677" s="124">
        <v>6.0</v>
      </c>
      <c r="F1677" s="124" t="s">
        <v>285</v>
      </c>
      <c r="G1677" s="129" t="s">
        <v>1281</v>
      </c>
      <c r="H1677" s="127" t="s">
        <v>430</v>
      </c>
      <c r="I1677" s="127" t="s">
        <v>492</v>
      </c>
      <c r="J1677" s="124">
        <v>55.0</v>
      </c>
      <c r="K1677" s="124" t="s">
        <v>58</v>
      </c>
      <c r="L1677" s="124" t="s">
        <v>430</v>
      </c>
    </row>
    <row r="1678">
      <c r="A1678" s="165">
        <v>43786.147747511575</v>
      </c>
      <c r="B1678" s="122" t="s">
        <v>62</v>
      </c>
      <c r="C1678" s="123" t="s">
        <v>153</v>
      </c>
      <c r="D1678" s="124">
        <v>7.0</v>
      </c>
      <c r="E1678" s="124">
        <v>4.0</v>
      </c>
      <c r="F1678" s="124" t="s">
        <v>284</v>
      </c>
      <c r="G1678" s="129" t="s">
        <v>1282</v>
      </c>
      <c r="H1678" s="127" t="s">
        <v>430</v>
      </c>
      <c r="I1678" s="127">
        <v>-7.0</v>
      </c>
      <c r="J1678" s="124">
        <v>71.0</v>
      </c>
      <c r="K1678" s="124" t="s">
        <v>58</v>
      </c>
      <c r="L1678" s="124" t="s">
        <v>430</v>
      </c>
    </row>
    <row r="1679">
      <c r="A1679" s="165">
        <v>43786.147747511575</v>
      </c>
      <c r="B1679" s="122" t="s">
        <v>62</v>
      </c>
      <c r="C1679" s="123" t="s">
        <v>192</v>
      </c>
      <c r="D1679" s="124">
        <v>1.0</v>
      </c>
      <c r="E1679" s="124">
        <v>9.0</v>
      </c>
      <c r="F1679" s="124" t="s">
        <v>267</v>
      </c>
      <c r="G1679" s="129" t="s">
        <v>1263</v>
      </c>
      <c r="H1679" s="127" t="s">
        <v>430</v>
      </c>
      <c r="I1679" s="127" t="s">
        <v>647</v>
      </c>
      <c r="J1679" s="124" t="s">
        <v>406</v>
      </c>
      <c r="K1679" s="124" t="s">
        <v>41</v>
      </c>
      <c r="L1679" s="124" t="s">
        <v>430</v>
      </c>
    </row>
    <row r="1680">
      <c r="A1680" s="165">
        <v>43786.147747511575</v>
      </c>
      <c r="B1680" s="122" t="s">
        <v>62</v>
      </c>
      <c r="C1680" s="123" t="s">
        <v>5</v>
      </c>
      <c r="D1680" s="124">
        <v>9.0</v>
      </c>
      <c r="E1680" s="124">
        <v>1.0</v>
      </c>
      <c r="F1680" s="124" t="s">
        <v>260</v>
      </c>
      <c r="G1680" s="129" t="s">
        <v>1283</v>
      </c>
      <c r="H1680" s="127" t="s">
        <v>430</v>
      </c>
      <c r="I1680" s="127">
        <v>-14.0</v>
      </c>
      <c r="J1680" s="124">
        <v>50.0</v>
      </c>
      <c r="K1680" s="124" t="s">
        <v>58</v>
      </c>
      <c r="L1680" s="124" t="s">
        <v>430</v>
      </c>
    </row>
    <row r="1681">
      <c r="A1681" s="165">
        <v>43786.147747511575</v>
      </c>
      <c r="B1681" s="122" t="s">
        <v>62</v>
      </c>
      <c r="C1681" s="123" t="s">
        <v>184</v>
      </c>
      <c r="D1681" s="124">
        <v>7.0</v>
      </c>
      <c r="E1681" s="124">
        <v>3.0</v>
      </c>
      <c r="F1681" s="124" t="s">
        <v>287</v>
      </c>
      <c r="G1681" s="129" t="s">
        <v>1289</v>
      </c>
      <c r="H1681" s="127" t="s">
        <v>430</v>
      </c>
      <c r="I1681" s="127" t="s">
        <v>431</v>
      </c>
      <c r="J1681" s="124" t="s">
        <v>507</v>
      </c>
      <c r="K1681" s="124" t="s">
        <v>69</v>
      </c>
      <c r="L1681" s="124" t="s">
        <v>430</v>
      </c>
    </row>
    <row r="1682">
      <c r="A1682" s="165">
        <v>43786.147747511575</v>
      </c>
      <c r="B1682" s="122" t="s">
        <v>62</v>
      </c>
      <c r="C1682" s="123" t="s">
        <v>171</v>
      </c>
      <c r="D1682" s="124">
        <v>6.0</v>
      </c>
      <c r="E1682" s="124">
        <v>4.0</v>
      </c>
      <c r="F1682" s="124" t="s">
        <v>248</v>
      </c>
      <c r="G1682" s="129" t="s">
        <v>202</v>
      </c>
      <c r="H1682" s="127"/>
      <c r="I1682" s="127"/>
      <c r="J1682" s="124" t="s">
        <v>735</v>
      </c>
      <c r="K1682" s="124"/>
      <c r="L1682" s="124">
        <v>9999.0</v>
      </c>
    </row>
    <row r="1683">
      <c r="A1683" s="166">
        <v>43786.147747511575</v>
      </c>
      <c r="B1683" s="122" t="s">
        <v>62</v>
      </c>
      <c r="C1683" s="123" t="s">
        <v>128</v>
      </c>
      <c r="D1683" s="124">
        <v>4.0</v>
      </c>
      <c r="E1683" s="124">
        <v>6.0</v>
      </c>
      <c r="F1683" s="124" t="s">
        <v>248</v>
      </c>
      <c r="G1683" s="129" t="s">
        <v>202</v>
      </c>
      <c r="H1683" s="127"/>
      <c r="I1683" s="127"/>
      <c r="J1683" s="124" t="s">
        <v>735</v>
      </c>
      <c r="K1683" s="124"/>
      <c r="L1683" s="124">
        <v>9999.0</v>
      </c>
    </row>
    <row r="1684">
      <c r="A1684" s="136" t="s">
        <v>359</v>
      </c>
      <c r="B1684" s="122" t="s">
        <v>2</v>
      </c>
      <c r="C1684" s="123" t="s">
        <v>227</v>
      </c>
      <c r="D1684" s="124" t="s">
        <v>29</v>
      </c>
      <c r="E1684" s="124" t="s">
        <v>34</v>
      </c>
      <c r="F1684" s="124" t="s">
        <v>261</v>
      </c>
      <c r="G1684" s="129" t="s">
        <v>245</v>
      </c>
      <c r="H1684" s="127" t="s">
        <v>228</v>
      </c>
      <c r="I1684" s="127" t="s">
        <v>229</v>
      </c>
      <c r="J1684" s="124" t="s">
        <v>262</v>
      </c>
      <c r="K1684" s="124" t="s">
        <v>263</v>
      </c>
      <c r="L1684" s="124" t="s">
        <v>264</v>
      </c>
    </row>
    <row r="1685">
      <c r="A1685" s="165">
        <v>43786.147747511575</v>
      </c>
      <c r="B1685" s="122" t="s">
        <v>64</v>
      </c>
      <c r="C1685" s="123" t="s">
        <v>147</v>
      </c>
      <c r="D1685" s="124">
        <v>6.0</v>
      </c>
      <c r="E1685" s="124">
        <v>4.0</v>
      </c>
      <c r="F1685" s="124" t="s">
        <v>242</v>
      </c>
      <c r="G1685" s="129" t="s">
        <v>1265</v>
      </c>
      <c r="H1685" s="127" t="s">
        <v>430</v>
      </c>
      <c r="I1685" s="127" t="s">
        <v>451</v>
      </c>
      <c r="J1685" s="124" t="s">
        <v>237</v>
      </c>
      <c r="K1685" s="124" t="s">
        <v>44</v>
      </c>
      <c r="L1685" s="124" t="s">
        <v>430</v>
      </c>
    </row>
    <row r="1686">
      <c r="A1686" s="165">
        <v>43786.147747511575</v>
      </c>
      <c r="B1686" s="122" t="s">
        <v>64</v>
      </c>
      <c r="C1686" s="123" t="s">
        <v>98</v>
      </c>
      <c r="D1686" s="124">
        <v>3.0</v>
      </c>
      <c r="E1686" s="124">
        <v>7.0</v>
      </c>
      <c r="F1686" s="124" t="s">
        <v>269</v>
      </c>
      <c r="G1686" s="129" t="s">
        <v>1290</v>
      </c>
      <c r="H1686" s="127" t="s">
        <v>430</v>
      </c>
      <c r="I1686" s="127">
        <v>18.0</v>
      </c>
      <c r="J1686" s="124" t="s">
        <v>473</v>
      </c>
      <c r="K1686" s="124" t="s">
        <v>69</v>
      </c>
      <c r="L1686" s="124" t="s">
        <v>430</v>
      </c>
    </row>
    <row r="1687">
      <c r="A1687" s="165">
        <v>43786.147747511575</v>
      </c>
      <c r="B1687" s="122" t="s">
        <v>64</v>
      </c>
      <c r="C1687" s="123" t="s">
        <v>196</v>
      </c>
      <c r="D1687" s="124">
        <v>5.0</v>
      </c>
      <c r="E1687" s="124">
        <v>6.0</v>
      </c>
      <c r="F1687" s="124" t="s">
        <v>260</v>
      </c>
      <c r="G1687" s="129" t="s">
        <v>1291</v>
      </c>
      <c r="H1687" s="127" t="s">
        <v>430</v>
      </c>
      <c r="I1687" s="127" t="s">
        <v>382</v>
      </c>
      <c r="J1687" s="124"/>
      <c r="K1687" s="124" t="s">
        <v>288</v>
      </c>
      <c r="L1687" s="124" t="s">
        <v>430</v>
      </c>
    </row>
    <row r="1688">
      <c r="A1688" s="165">
        <v>43786.147747511575</v>
      </c>
      <c r="B1688" s="122" t="s">
        <v>64</v>
      </c>
      <c r="C1688" s="123" t="s">
        <v>76</v>
      </c>
      <c r="D1688" s="124">
        <v>6.0</v>
      </c>
      <c r="E1688" s="124">
        <v>5.0</v>
      </c>
      <c r="F1688" s="124" t="s">
        <v>265</v>
      </c>
      <c r="G1688" s="129" t="s">
        <v>1292</v>
      </c>
      <c r="H1688" s="127" t="s">
        <v>430</v>
      </c>
      <c r="I1688" s="127" t="s">
        <v>967</v>
      </c>
      <c r="J1688" s="124" t="s">
        <v>735</v>
      </c>
      <c r="K1688" s="124" t="s">
        <v>288</v>
      </c>
      <c r="L1688" s="124" t="s">
        <v>430</v>
      </c>
    </row>
    <row r="1689">
      <c r="A1689" s="165">
        <v>43786.147747511575</v>
      </c>
      <c r="B1689" s="122" t="s">
        <v>64</v>
      </c>
      <c r="C1689" s="123" t="s">
        <v>49</v>
      </c>
      <c r="D1689" s="124">
        <v>7.0</v>
      </c>
      <c r="E1689" s="124">
        <v>3.0</v>
      </c>
      <c r="F1689" s="124" t="s">
        <v>242</v>
      </c>
      <c r="G1689" s="129" t="s">
        <v>1260</v>
      </c>
      <c r="H1689" s="127" t="s">
        <v>430</v>
      </c>
      <c r="I1689" s="127" t="s">
        <v>739</v>
      </c>
      <c r="J1689" s="124" t="s">
        <v>546</v>
      </c>
      <c r="K1689" s="124" t="s">
        <v>41</v>
      </c>
      <c r="L1689" s="124" t="s">
        <v>430</v>
      </c>
    </row>
    <row r="1690">
      <c r="A1690" s="165">
        <v>43786.147747511575</v>
      </c>
      <c r="B1690" s="122" t="s">
        <v>64</v>
      </c>
      <c r="C1690" s="123" t="s">
        <v>177</v>
      </c>
      <c r="D1690" s="124">
        <v>5.0</v>
      </c>
      <c r="E1690" s="124">
        <v>5.0</v>
      </c>
      <c r="F1690" s="124" t="s">
        <v>287</v>
      </c>
      <c r="G1690" s="129" t="s">
        <v>1293</v>
      </c>
      <c r="H1690" s="127" t="s">
        <v>430</v>
      </c>
      <c r="I1690" s="127" t="s">
        <v>597</v>
      </c>
      <c r="J1690" s="124" t="s">
        <v>608</v>
      </c>
      <c r="K1690" s="124" t="s">
        <v>288</v>
      </c>
      <c r="L1690" s="124" t="s">
        <v>430</v>
      </c>
    </row>
    <row r="1691">
      <c r="A1691" s="165">
        <v>43786.147747511575</v>
      </c>
      <c r="B1691" s="122" t="s">
        <v>64</v>
      </c>
      <c r="C1691" s="123" t="s">
        <v>115</v>
      </c>
      <c r="D1691" s="124">
        <v>9.0</v>
      </c>
      <c r="E1691" s="124">
        <v>1.0</v>
      </c>
      <c r="F1691" s="124" t="s">
        <v>278</v>
      </c>
      <c r="G1691" s="129" t="s">
        <v>1280</v>
      </c>
      <c r="H1691" s="127" t="s">
        <v>430</v>
      </c>
      <c r="I1691" s="127">
        <v>3.0</v>
      </c>
      <c r="J1691" s="124" t="s">
        <v>637</v>
      </c>
      <c r="K1691" s="124" t="s">
        <v>58</v>
      </c>
      <c r="L1691" s="124" t="s">
        <v>430</v>
      </c>
    </row>
    <row r="1692">
      <c r="A1692" s="165">
        <v>43786.147747511575</v>
      </c>
      <c r="B1692" s="122" t="s">
        <v>64</v>
      </c>
      <c r="C1692" s="123" t="s">
        <v>131</v>
      </c>
      <c r="D1692" s="124">
        <v>7.0</v>
      </c>
      <c r="E1692" s="124">
        <v>3.0</v>
      </c>
      <c r="F1692" s="124" t="s">
        <v>248</v>
      </c>
      <c r="G1692" s="129" t="s">
        <v>1247</v>
      </c>
      <c r="H1692" s="127" t="s">
        <v>430</v>
      </c>
      <c r="I1692" s="127" t="s">
        <v>426</v>
      </c>
      <c r="J1692" s="124">
        <v>52.0</v>
      </c>
      <c r="K1692" s="124" t="s">
        <v>27</v>
      </c>
      <c r="L1692" s="124" t="s">
        <v>430</v>
      </c>
    </row>
    <row r="1693">
      <c r="A1693" s="165">
        <v>43786.147747511575</v>
      </c>
      <c r="B1693" s="122" t="s">
        <v>64</v>
      </c>
      <c r="C1693" s="123" t="s">
        <v>169</v>
      </c>
      <c r="D1693" s="124">
        <v>7.0</v>
      </c>
      <c r="E1693" s="124">
        <v>4.0</v>
      </c>
      <c r="F1693" s="124" t="s">
        <v>269</v>
      </c>
      <c r="G1693" s="129" t="s">
        <v>1248</v>
      </c>
      <c r="H1693" s="127" t="s">
        <v>430</v>
      </c>
      <c r="I1693" s="127" t="s">
        <v>244</v>
      </c>
      <c r="J1693" s="124" t="s">
        <v>585</v>
      </c>
      <c r="K1693" s="124" t="s">
        <v>27</v>
      </c>
      <c r="L1693" s="124" t="s">
        <v>430</v>
      </c>
    </row>
    <row r="1694">
      <c r="A1694" s="166">
        <v>43786.147747511575</v>
      </c>
      <c r="B1694" s="122" t="s">
        <v>64</v>
      </c>
      <c r="C1694" s="123" t="s">
        <v>154</v>
      </c>
      <c r="D1694" s="124">
        <v>6.0</v>
      </c>
      <c r="E1694" s="124">
        <v>4.0</v>
      </c>
      <c r="F1694" s="124" t="s">
        <v>248</v>
      </c>
      <c r="G1694" s="129" t="s">
        <v>202</v>
      </c>
      <c r="H1694" s="127"/>
      <c r="I1694" s="127"/>
      <c r="J1694" s="124" t="s">
        <v>735</v>
      </c>
      <c r="K1694" s="124"/>
      <c r="L1694" s="124">
        <v>9999.0</v>
      </c>
    </row>
    <row r="1695">
      <c r="A1695" s="136" t="s">
        <v>359</v>
      </c>
      <c r="B1695" s="122" t="s">
        <v>2</v>
      </c>
      <c r="C1695" s="123" t="s">
        <v>227</v>
      </c>
      <c r="D1695" s="124" t="s">
        <v>29</v>
      </c>
      <c r="E1695" s="124" t="s">
        <v>34</v>
      </c>
      <c r="F1695" s="124" t="s">
        <v>261</v>
      </c>
      <c r="G1695" s="129" t="s">
        <v>245</v>
      </c>
      <c r="H1695" s="127" t="s">
        <v>228</v>
      </c>
      <c r="I1695" s="127" t="s">
        <v>229</v>
      </c>
      <c r="J1695" s="124" t="s">
        <v>262</v>
      </c>
      <c r="K1695" s="124" t="s">
        <v>263</v>
      </c>
      <c r="L1695" s="124"/>
    </row>
    <row r="1696">
      <c r="A1696" s="165">
        <v>43786.147747511575</v>
      </c>
      <c r="B1696" s="122" t="s">
        <v>69</v>
      </c>
      <c r="C1696" s="123" t="s">
        <v>142</v>
      </c>
      <c r="D1696" s="124">
        <v>5.0</v>
      </c>
      <c r="E1696" s="124">
        <v>5.0</v>
      </c>
      <c r="F1696" s="124" t="s">
        <v>248</v>
      </c>
      <c r="G1696" s="129" t="s">
        <v>1285</v>
      </c>
      <c r="H1696" s="127" t="s">
        <v>430</v>
      </c>
      <c r="I1696" s="127">
        <v>-17.0</v>
      </c>
      <c r="J1696" s="124" t="s">
        <v>482</v>
      </c>
      <c r="K1696" s="124" t="s">
        <v>60</v>
      </c>
      <c r="L1696" s="124" t="s">
        <v>430</v>
      </c>
    </row>
    <row r="1697">
      <c r="A1697" s="165">
        <v>43786.147747511575</v>
      </c>
      <c r="B1697" s="122" t="s">
        <v>69</v>
      </c>
      <c r="C1697" s="123" t="s">
        <v>125</v>
      </c>
      <c r="D1697" s="124">
        <v>8.0</v>
      </c>
      <c r="E1697" s="124">
        <v>2.0</v>
      </c>
      <c r="F1697" s="124" t="s">
        <v>260</v>
      </c>
      <c r="G1697" s="129" t="s">
        <v>1258</v>
      </c>
      <c r="H1697" s="127" t="s">
        <v>430</v>
      </c>
      <c r="I1697" s="127" t="s">
        <v>428</v>
      </c>
      <c r="J1697" s="124">
        <v>56.0</v>
      </c>
      <c r="K1697" s="124" t="s">
        <v>41</v>
      </c>
      <c r="L1697" s="124" t="s">
        <v>430</v>
      </c>
    </row>
    <row r="1698">
      <c r="A1698" s="165">
        <v>43786.147747511575</v>
      </c>
      <c r="B1698" s="122" t="s">
        <v>69</v>
      </c>
      <c r="C1698" s="123" t="s">
        <v>108</v>
      </c>
      <c r="D1698" s="124">
        <v>7.0</v>
      </c>
      <c r="E1698" s="124">
        <v>3.0</v>
      </c>
      <c r="F1698" s="124" t="s">
        <v>207</v>
      </c>
      <c r="G1698" s="129" t="s">
        <v>1276</v>
      </c>
      <c r="H1698" s="127" t="s">
        <v>430</v>
      </c>
      <c r="I1698" s="127" t="s">
        <v>1064</v>
      </c>
      <c r="J1698" s="124" t="s">
        <v>507</v>
      </c>
      <c r="K1698" s="124" t="s">
        <v>53</v>
      </c>
      <c r="L1698" s="124" t="s">
        <v>430</v>
      </c>
    </row>
    <row r="1699">
      <c r="A1699" s="165">
        <v>43786.147747511575</v>
      </c>
      <c r="B1699" s="122" t="s">
        <v>69</v>
      </c>
      <c r="C1699" s="123" t="s">
        <v>101</v>
      </c>
      <c r="D1699" s="124">
        <v>7.0</v>
      </c>
      <c r="E1699" s="124">
        <v>3.0</v>
      </c>
      <c r="F1699" s="124" t="s">
        <v>269</v>
      </c>
      <c r="G1699" s="129" t="s">
        <v>1290</v>
      </c>
      <c r="H1699" s="127" t="s">
        <v>430</v>
      </c>
      <c r="I1699" s="127">
        <v>-18.0</v>
      </c>
      <c r="J1699" s="124" t="s">
        <v>473</v>
      </c>
      <c r="K1699" s="124" t="s">
        <v>64</v>
      </c>
      <c r="L1699" s="124" t="s">
        <v>430</v>
      </c>
    </row>
    <row r="1700">
      <c r="A1700" s="165">
        <v>43786.147747511575</v>
      </c>
      <c r="B1700" s="122" t="s">
        <v>69</v>
      </c>
      <c r="C1700" s="123" t="s">
        <v>193</v>
      </c>
      <c r="D1700" s="124">
        <v>3.0</v>
      </c>
      <c r="E1700" s="124">
        <v>7.0</v>
      </c>
      <c r="F1700" s="124" t="s">
        <v>282</v>
      </c>
      <c r="G1700" s="129" t="s">
        <v>1294</v>
      </c>
      <c r="H1700" s="127" t="s">
        <v>430</v>
      </c>
      <c r="I1700" s="127" t="s">
        <v>1087</v>
      </c>
      <c r="J1700" s="124">
        <v>62.0</v>
      </c>
      <c r="K1700" s="124" t="s">
        <v>74</v>
      </c>
      <c r="L1700" s="124" t="s">
        <v>430</v>
      </c>
    </row>
    <row r="1701">
      <c r="A1701" s="165">
        <v>43786.147747511575</v>
      </c>
      <c r="B1701" s="122" t="s">
        <v>69</v>
      </c>
      <c r="C1701" s="123" t="s">
        <v>35</v>
      </c>
      <c r="D1701" s="124">
        <v>9.0</v>
      </c>
      <c r="E1701" s="124">
        <v>1.0</v>
      </c>
      <c r="F1701" s="124" t="s">
        <v>215</v>
      </c>
      <c r="G1701" s="129" t="s">
        <v>1272</v>
      </c>
      <c r="H1701" s="127" t="s">
        <v>430</v>
      </c>
      <c r="I1701" s="127" t="s">
        <v>431</v>
      </c>
      <c r="J1701" s="124" t="s">
        <v>432</v>
      </c>
      <c r="K1701" s="124" t="s">
        <v>48</v>
      </c>
      <c r="L1701" s="124" t="s">
        <v>430</v>
      </c>
    </row>
    <row r="1702">
      <c r="A1702" s="165">
        <v>43786.147747511575</v>
      </c>
      <c r="B1702" s="122" t="s">
        <v>69</v>
      </c>
      <c r="C1702" s="123" t="s">
        <v>151</v>
      </c>
      <c r="D1702" s="124">
        <v>4.0</v>
      </c>
      <c r="E1702" s="124">
        <v>6.0</v>
      </c>
      <c r="F1702" s="124" t="s">
        <v>215</v>
      </c>
      <c r="G1702" s="129" t="s">
        <v>1288</v>
      </c>
      <c r="H1702" s="127" t="s">
        <v>430</v>
      </c>
      <c r="I1702" s="127">
        <v>10.0</v>
      </c>
      <c r="J1702" s="124">
        <v>60.0</v>
      </c>
      <c r="K1702" s="124" t="s">
        <v>60</v>
      </c>
      <c r="L1702" s="124" t="s">
        <v>430</v>
      </c>
    </row>
    <row r="1703">
      <c r="A1703" s="165">
        <v>43786.147747511575</v>
      </c>
      <c r="B1703" s="122" t="s">
        <v>69</v>
      </c>
      <c r="C1703" s="123" t="s">
        <v>182</v>
      </c>
      <c r="D1703" s="124">
        <v>4.0</v>
      </c>
      <c r="E1703" s="124">
        <v>7.0</v>
      </c>
      <c r="F1703" s="124" t="s">
        <v>287</v>
      </c>
      <c r="G1703" s="129" t="s">
        <v>1289</v>
      </c>
      <c r="H1703" s="127" t="s">
        <v>430</v>
      </c>
      <c r="I1703" s="127" t="s">
        <v>492</v>
      </c>
      <c r="J1703" s="124" t="s">
        <v>507</v>
      </c>
      <c r="K1703" s="124" t="s">
        <v>62</v>
      </c>
      <c r="L1703" s="124" t="s">
        <v>430</v>
      </c>
    </row>
    <row r="1704">
      <c r="A1704" s="165">
        <v>43786.147747511575</v>
      </c>
      <c r="B1704" s="122" t="s">
        <v>69</v>
      </c>
      <c r="C1704" s="123" t="s">
        <v>170</v>
      </c>
      <c r="D1704" s="124">
        <v>9.0</v>
      </c>
      <c r="E1704" s="124">
        <v>1.0</v>
      </c>
      <c r="F1704" s="124" t="s">
        <v>278</v>
      </c>
      <c r="G1704" s="129" t="s">
        <v>1264</v>
      </c>
      <c r="H1704" s="127" t="s">
        <v>430</v>
      </c>
      <c r="I1704" s="127">
        <v>-21.0</v>
      </c>
      <c r="J1704" s="124">
        <v>54.0</v>
      </c>
      <c r="K1704" s="124" t="s">
        <v>41</v>
      </c>
      <c r="L1704" s="124" t="s">
        <v>430</v>
      </c>
    </row>
    <row r="1705">
      <c r="A1705" s="166">
        <v>43786.147747511575</v>
      </c>
      <c r="B1705" s="122" t="s">
        <v>69</v>
      </c>
      <c r="C1705" s="123" t="s">
        <v>87</v>
      </c>
      <c r="D1705" s="124">
        <v>6.0</v>
      </c>
      <c r="E1705" s="124">
        <v>4.0</v>
      </c>
      <c r="F1705" s="124" t="s">
        <v>248</v>
      </c>
      <c r="G1705" s="129" t="s">
        <v>202</v>
      </c>
      <c r="H1705" s="127"/>
      <c r="I1705" s="127"/>
      <c r="J1705" s="124" t="s">
        <v>735</v>
      </c>
      <c r="K1705" s="124"/>
      <c r="L1705" s="124">
        <v>9999.0</v>
      </c>
    </row>
    <row r="1706">
      <c r="A1706" s="136" t="s">
        <v>359</v>
      </c>
      <c r="B1706" s="122" t="s">
        <v>2</v>
      </c>
      <c r="C1706" s="123" t="s">
        <v>227</v>
      </c>
      <c r="D1706" s="124" t="s">
        <v>29</v>
      </c>
      <c r="E1706" s="124" t="s">
        <v>34</v>
      </c>
      <c r="F1706" s="124" t="s">
        <v>261</v>
      </c>
      <c r="G1706" s="129" t="s">
        <v>245</v>
      </c>
      <c r="H1706" s="127" t="s">
        <v>228</v>
      </c>
      <c r="I1706" s="127" t="s">
        <v>229</v>
      </c>
      <c r="J1706" s="124" t="s">
        <v>262</v>
      </c>
      <c r="K1706" s="124" t="s">
        <v>263</v>
      </c>
      <c r="L1706" s="124"/>
    </row>
    <row r="1707">
      <c r="A1707" s="165">
        <v>43786.147747511575</v>
      </c>
      <c r="B1707" s="122" t="s">
        <v>74</v>
      </c>
      <c r="C1707" s="123" t="s">
        <v>194</v>
      </c>
      <c r="D1707" s="124">
        <v>5.0</v>
      </c>
      <c r="E1707" s="124">
        <v>5.0</v>
      </c>
      <c r="F1707" s="124" t="s">
        <v>282</v>
      </c>
      <c r="G1707" s="129" t="s">
        <v>1294</v>
      </c>
      <c r="H1707" s="127" t="s">
        <v>430</v>
      </c>
      <c r="I1707" s="127" t="s">
        <v>597</v>
      </c>
      <c r="J1707" s="124">
        <v>62.0</v>
      </c>
      <c r="K1707" s="124" t="s">
        <v>69</v>
      </c>
      <c r="L1707" s="124" t="s">
        <v>430</v>
      </c>
    </row>
    <row r="1708">
      <c r="A1708" s="165">
        <v>43786.147747511575</v>
      </c>
      <c r="B1708" s="122" t="s">
        <v>74</v>
      </c>
      <c r="C1708" s="123" t="s">
        <v>118</v>
      </c>
      <c r="D1708" s="124">
        <v>10.0</v>
      </c>
      <c r="E1708" s="124">
        <v>0.0</v>
      </c>
      <c r="F1708" s="124" t="s">
        <v>266</v>
      </c>
      <c r="G1708" s="129" t="s">
        <v>1295</v>
      </c>
      <c r="H1708" s="127" t="s">
        <v>430</v>
      </c>
      <c r="I1708" s="127">
        <v>-51.0</v>
      </c>
      <c r="J1708" s="124" t="s">
        <v>412</v>
      </c>
      <c r="K1708" s="124" t="s">
        <v>288</v>
      </c>
      <c r="L1708" s="124" t="s">
        <v>430</v>
      </c>
    </row>
    <row r="1709">
      <c r="A1709" s="165">
        <v>43786.147747511575</v>
      </c>
      <c r="B1709" s="122" t="s">
        <v>74</v>
      </c>
      <c r="C1709" s="123" t="s">
        <v>174</v>
      </c>
      <c r="D1709" s="124">
        <v>7.0</v>
      </c>
      <c r="E1709" s="124">
        <v>3.0</v>
      </c>
      <c r="F1709" s="124" t="s">
        <v>234</v>
      </c>
      <c r="G1709" s="129" t="s">
        <v>1271</v>
      </c>
      <c r="H1709" s="127" t="s">
        <v>430</v>
      </c>
      <c r="I1709" s="127">
        <v>3.0</v>
      </c>
      <c r="J1709" s="124">
        <v>44.0</v>
      </c>
      <c r="K1709" s="124" t="s">
        <v>48</v>
      </c>
      <c r="L1709" s="124" t="s">
        <v>430</v>
      </c>
    </row>
    <row r="1710">
      <c r="A1710" s="165">
        <v>43786.147747511575</v>
      </c>
      <c r="B1710" s="122" t="s">
        <v>74</v>
      </c>
      <c r="C1710" s="123" t="s">
        <v>99</v>
      </c>
      <c r="D1710" s="124">
        <v>6.0</v>
      </c>
      <c r="E1710" s="124">
        <v>4.0</v>
      </c>
      <c r="F1710" s="124" t="s">
        <v>201</v>
      </c>
      <c r="G1710" s="129" t="s">
        <v>1273</v>
      </c>
      <c r="H1710" s="127" t="s">
        <v>430</v>
      </c>
      <c r="I1710" s="127">
        <v>-15.0</v>
      </c>
      <c r="J1710" s="124">
        <v>50.0</v>
      </c>
      <c r="K1710" s="124" t="s">
        <v>48</v>
      </c>
      <c r="L1710" s="124" t="s">
        <v>430</v>
      </c>
    </row>
    <row r="1711">
      <c r="A1711" s="165">
        <v>43786.147747511575</v>
      </c>
      <c r="B1711" s="122" t="s">
        <v>74</v>
      </c>
      <c r="C1711" s="123" t="s">
        <v>141</v>
      </c>
      <c r="D1711" s="124">
        <v>7.0</v>
      </c>
      <c r="E1711" s="124">
        <v>4.0</v>
      </c>
      <c r="F1711" s="124" t="s">
        <v>260</v>
      </c>
      <c r="G1711" s="129" t="s">
        <v>1245</v>
      </c>
      <c r="H1711" s="127" t="s">
        <v>430</v>
      </c>
      <c r="I1711" s="127" t="s">
        <v>428</v>
      </c>
      <c r="J1711" s="124">
        <v>58.0</v>
      </c>
      <c r="K1711" s="124" t="s">
        <v>27</v>
      </c>
      <c r="L1711" s="124" t="s">
        <v>430</v>
      </c>
    </row>
    <row r="1712">
      <c r="A1712" s="165">
        <v>43786.147747511575</v>
      </c>
      <c r="B1712" s="122" t="s">
        <v>74</v>
      </c>
      <c r="C1712" s="123" t="s">
        <v>160</v>
      </c>
      <c r="D1712" s="124">
        <v>6.0</v>
      </c>
      <c r="E1712" s="124">
        <v>4.0</v>
      </c>
      <c r="F1712" s="124" t="s">
        <v>242</v>
      </c>
      <c r="G1712" s="129" t="s">
        <v>1262</v>
      </c>
      <c r="H1712" s="127" t="s">
        <v>430</v>
      </c>
      <c r="I1712" s="127" t="s">
        <v>247</v>
      </c>
      <c r="J1712" s="124">
        <v>50.0</v>
      </c>
      <c r="K1712" s="124" t="s">
        <v>41</v>
      </c>
      <c r="L1712" s="124" t="s">
        <v>430</v>
      </c>
    </row>
    <row r="1713">
      <c r="A1713" s="165">
        <v>43786.147747511575</v>
      </c>
      <c r="B1713" s="122" t="s">
        <v>74</v>
      </c>
      <c r="C1713" s="123" t="s">
        <v>167</v>
      </c>
      <c r="D1713" s="124">
        <v>4.0</v>
      </c>
      <c r="E1713" s="124">
        <v>6.0</v>
      </c>
      <c r="F1713" s="124" t="s">
        <v>273</v>
      </c>
      <c r="G1713" s="129" t="s">
        <v>1254</v>
      </c>
      <c r="H1713" s="127" t="s">
        <v>430</v>
      </c>
      <c r="I1713" s="127" t="s">
        <v>492</v>
      </c>
      <c r="J1713" s="124">
        <v>64.0</v>
      </c>
      <c r="K1713" s="124" t="s">
        <v>38</v>
      </c>
      <c r="L1713" s="124" t="s">
        <v>430</v>
      </c>
    </row>
    <row r="1714">
      <c r="A1714" s="165">
        <v>43786.147747511575</v>
      </c>
      <c r="B1714" s="122" t="s">
        <v>74</v>
      </c>
      <c r="C1714" s="123" t="s">
        <v>88</v>
      </c>
      <c r="D1714" s="124">
        <v>4.0</v>
      </c>
      <c r="E1714" s="124">
        <v>6.0</v>
      </c>
      <c r="F1714" s="124" t="s">
        <v>285</v>
      </c>
      <c r="G1714" s="129" t="s">
        <v>1296</v>
      </c>
      <c r="H1714" s="127" t="s">
        <v>430</v>
      </c>
      <c r="I1714" s="127" t="s">
        <v>418</v>
      </c>
      <c r="J1714" s="124">
        <v>59.0</v>
      </c>
      <c r="K1714" s="124" t="s">
        <v>288</v>
      </c>
      <c r="L1714" s="124" t="s">
        <v>430</v>
      </c>
    </row>
    <row r="1715">
      <c r="A1715" s="165">
        <v>43786.147747511575</v>
      </c>
      <c r="B1715" s="122" t="s">
        <v>74</v>
      </c>
      <c r="C1715" s="123" t="s">
        <v>23</v>
      </c>
      <c r="D1715" s="124">
        <v>2.0</v>
      </c>
      <c r="E1715" s="124">
        <v>8.0</v>
      </c>
      <c r="F1715" s="124" t="s">
        <v>248</v>
      </c>
      <c r="G1715" s="129" t="s">
        <v>202</v>
      </c>
      <c r="H1715" s="127"/>
      <c r="I1715" s="127" t="s">
        <v>382</v>
      </c>
      <c r="J1715" s="124"/>
      <c r="K1715" s="124"/>
      <c r="L1715" s="124">
        <v>9999.0</v>
      </c>
    </row>
    <row r="1716">
      <c r="A1716" s="166">
        <v>43786.147747511575</v>
      </c>
      <c r="B1716" s="122" t="s">
        <v>74</v>
      </c>
      <c r="C1716" s="123" t="s">
        <v>124</v>
      </c>
      <c r="D1716" s="124">
        <v>7.0</v>
      </c>
      <c r="E1716" s="124">
        <v>3.0</v>
      </c>
      <c r="F1716" s="124" t="s">
        <v>248</v>
      </c>
      <c r="G1716" s="129" t="s">
        <v>202</v>
      </c>
      <c r="H1716" s="127"/>
      <c r="I1716" s="127"/>
      <c r="J1716" s="124" t="s">
        <v>735</v>
      </c>
      <c r="K1716" s="124"/>
      <c r="L1716" s="124">
        <v>9999.0</v>
      </c>
    </row>
    <row r="1717">
      <c r="A1717" s="136" t="s">
        <v>359</v>
      </c>
      <c r="B1717" s="122" t="s">
        <v>2</v>
      </c>
      <c r="C1717" s="123" t="s">
        <v>227</v>
      </c>
      <c r="D1717" s="124" t="s">
        <v>29</v>
      </c>
      <c r="E1717" s="124" t="s">
        <v>34</v>
      </c>
      <c r="F1717" s="124" t="s">
        <v>261</v>
      </c>
      <c r="G1717" s="129" t="s">
        <v>245</v>
      </c>
      <c r="H1717" s="127" t="s">
        <v>228</v>
      </c>
      <c r="I1717" s="127" t="s">
        <v>229</v>
      </c>
      <c r="J1717" s="124" t="s">
        <v>262</v>
      </c>
      <c r="K1717" s="124" t="s">
        <v>263</v>
      </c>
      <c r="L1717" s="124" t="s">
        <v>264</v>
      </c>
    </row>
    <row r="1718">
      <c r="A1718" s="165">
        <v>43793.14774797454</v>
      </c>
      <c r="B1718" s="122" t="s">
        <v>27</v>
      </c>
      <c r="C1718" s="123" t="s">
        <v>114</v>
      </c>
      <c r="D1718" s="124">
        <v>10.0</v>
      </c>
      <c r="E1718" s="124">
        <v>1.0</v>
      </c>
      <c r="F1718" s="124" t="s">
        <v>201</v>
      </c>
      <c r="G1718" s="129" t="s">
        <v>1297</v>
      </c>
      <c r="H1718" s="127" t="s">
        <v>430</v>
      </c>
      <c r="I1718" s="127" t="s">
        <v>967</v>
      </c>
      <c r="J1718" s="124" t="s">
        <v>735</v>
      </c>
      <c r="K1718" s="124" t="s">
        <v>288</v>
      </c>
      <c r="L1718" s="124" t="s">
        <v>430</v>
      </c>
    </row>
    <row r="1719">
      <c r="A1719" s="165">
        <v>43793.14774797454</v>
      </c>
      <c r="B1719" s="122" t="s">
        <v>27</v>
      </c>
      <c r="C1719" s="123" t="s">
        <v>138</v>
      </c>
      <c r="D1719" s="124">
        <v>4.0</v>
      </c>
      <c r="E1719" s="124">
        <v>7.0</v>
      </c>
      <c r="F1719" s="124" t="s">
        <v>260</v>
      </c>
      <c r="G1719" s="129" t="s">
        <v>1298</v>
      </c>
      <c r="H1719" s="127" t="s">
        <v>430</v>
      </c>
      <c r="I1719" s="127" t="s">
        <v>379</v>
      </c>
      <c r="J1719" s="124" t="s">
        <v>370</v>
      </c>
      <c r="K1719" s="124" t="s">
        <v>62</v>
      </c>
      <c r="L1719" s="124" t="s">
        <v>430</v>
      </c>
    </row>
    <row r="1720">
      <c r="A1720" s="165">
        <v>43793.14774797454</v>
      </c>
      <c r="B1720" s="122" t="s">
        <v>27</v>
      </c>
      <c r="C1720" s="123" t="s">
        <v>107</v>
      </c>
      <c r="D1720" s="124">
        <v>9.0</v>
      </c>
      <c r="E1720" s="124">
        <v>2.0</v>
      </c>
      <c r="F1720" s="124" t="s">
        <v>268</v>
      </c>
      <c r="G1720" s="129" t="s">
        <v>1299</v>
      </c>
      <c r="H1720" s="127" t="s">
        <v>430</v>
      </c>
      <c r="I1720" s="127">
        <v>-19.0</v>
      </c>
      <c r="J1720" s="124">
        <v>64.0</v>
      </c>
      <c r="K1720" s="124" t="s">
        <v>44</v>
      </c>
      <c r="L1720" s="124" t="s">
        <v>430</v>
      </c>
    </row>
    <row r="1721">
      <c r="A1721" s="165">
        <v>43793.14774797454</v>
      </c>
      <c r="B1721" s="122" t="s">
        <v>27</v>
      </c>
      <c r="C1721" s="123" t="s">
        <v>94</v>
      </c>
      <c r="D1721" s="124">
        <v>8.0</v>
      </c>
      <c r="E1721" s="124">
        <v>3.0</v>
      </c>
      <c r="F1721" s="124" t="s">
        <v>265</v>
      </c>
      <c r="G1721" s="129" t="s">
        <v>1300</v>
      </c>
      <c r="H1721" s="127" t="s">
        <v>430</v>
      </c>
      <c r="I1721" s="127">
        <v>-4.0</v>
      </c>
      <c r="J1721" s="124" t="s">
        <v>283</v>
      </c>
      <c r="K1721" s="124" t="s">
        <v>41</v>
      </c>
      <c r="L1721" s="124" t="s">
        <v>430</v>
      </c>
    </row>
    <row r="1722">
      <c r="A1722" s="165">
        <v>43793.14774797454</v>
      </c>
      <c r="B1722" s="122" t="s">
        <v>27</v>
      </c>
      <c r="C1722" s="123" t="s">
        <v>116</v>
      </c>
      <c r="D1722" s="124">
        <v>5.0</v>
      </c>
      <c r="E1722" s="124">
        <v>6.0</v>
      </c>
      <c r="F1722" s="124" t="s">
        <v>266</v>
      </c>
      <c r="G1722" s="129" t="s">
        <v>1301</v>
      </c>
      <c r="H1722" s="127" t="s">
        <v>430</v>
      </c>
      <c r="I1722" s="127" t="s">
        <v>620</v>
      </c>
      <c r="J1722" s="124">
        <v>63.0</v>
      </c>
      <c r="K1722" s="124" t="s">
        <v>41</v>
      </c>
      <c r="L1722" s="124" t="s">
        <v>430</v>
      </c>
    </row>
    <row r="1723">
      <c r="A1723" s="165">
        <v>43793.14774797454</v>
      </c>
      <c r="B1723" s="122" t="s">
        <v>27</v>
      </c>
      <c r="C1723" s="123" t="s">
        <v>163</v>
      </c>
      <c r="D1723" s="124">
        <v>6.0</v>
      </c>
      <c r="E1723" s="124">
        <v>5.0</v>
      </c>
      <c r="F1723" s="124" t="s">
        <v>269</v>
      </c>
      <c r="G1723" s="129" t="s">
        <v>1302</v>
      </c>
      <c r="H1723" s="127" t="s">
        <v>430</v>
      </c>
      <c r="I1723" s="127">
        <v>3.0</v>
      </c>
      <c r="J1723" s="124">
        <v>42.0</v>
      </c>
      <c r="K1723" s="124" t="s">
        <v>74</v>
      </c>
      <c r="L1723" s="124" t="s">
        <v>430</v>
      </c>
    </row>
    <row r="1724">
      <c r="A1724" s="165">
        <v>43793.14774797454</v>
      </c>
      <c r="B1724" s="122" t="s">
        <v>27</v>
      </c>
      <c r="C1724" s="123" t="s">
        <v>195</v>
      </c>
      <c r="D1724" s="124">
        <v>4.0</v>
      </c>
      <c r="E1724" s="124">
        <v>7.0</v>
      </c>
      <c r="F1724" s="124" t="s">
        <v>267</v>
      </c>
      <c r="G1724" s="129" t="s">
        <v>1303</v>
      </c>
      <c r="H1724" s="127" t="s">
        <v>430</v>
      </c>
      <c r="I1724" s="127">
        <v>6.0</v>
      </c>
      <c r="J1724" s="124">
        <v>65.0</v>
      </c>
      <c r="K1724" s="124" t="s">
        <v>53</v>
      </c>
      <c r="L1724" s="124" t="s">
        <v>430</v>
      </c>
    </row>
    <row r="1725">
      <c r="A1725" s="165">
        <v>43793.14774797454</v>
      </c>
      <c r="B1725" s="122" t="s">
        <v>27</v>
      </c>
      <c r="C1725" s="123" t="s">
        <v>134</v>
      </c>
      <c r="D1725" s="124">
        <v>4.0</v>
      </c>
      <c r="E1725" s="124">
        <v>7.0</v>
      </c>
      <c r="F1725" s="124" t="s">
        <v>267</v>
      </c>
      <c r="G1725" s="129" t="s">
        <v>1304</v>
      </c>
      <c r="H1725" s="127" t="s">
        <v>430</v>
      </c>
      <c r="I1725" s="127" t="s">
        <v>514</v>
      </c>
      <c r="J1725" s="124">
        <v>56.0</v>
      </c>
      <c r="K1725" s="124" t="s">
        <v>74</v>
      </c>
      <c r="L1725" s="124" t="s">
        <v>430</v>
      </c>
    </row>
    <row r="1726">
      <c r="A1726" s="165">
        <v>43793.14774797454</v>
      </c>
      <c r="B1726" s="122" t="s">
        <v>27</v>
      </c>
      <c r="C1726" s="123" t="s">
        <v>56</v>
      </c>
      <c r="D1726" s="124">
        <v>3.0</v>
      </c>
      <c r="E1726" s="124">
        <v>8.0</v>
      </c>
      <c r="F1726" s="124" t="s">
        <v>248</v>
      </c>
      <c r="G1726" s="129" t="s">
        <v>1305</v>
      </c>
      <c r="H1726" s="127" t="s">
        <v>430</v>
      </c>
      <c r="I1726" s="127" t="s">
        <v>451</v>
      </c>
      <c r="J1726" s="124">
        <v>60.0</v>
      </c>
      <c r="K1726" s="124" t="s">
        <v>48</v>
      </c>
      <c r="L1726" s="124" t="s">
        <v>430</v>
      </c>
    </row>
    <row r="1727">
      <c r="A1727" s="165">
        <v>43793.14774797454</v>
      </c>
      <c r="B1727" s="122" t="s">
        <v>27</v>
      </c>
      <c r="C1727" s="123" t="s">
        <v>152</v>
      </c>
      <c r="D1727" s="124">
        <v>4.0</v>
      </c>
      <c r="E1727" s="124">
        <v>7.0</v>
      </c>
      <c r="F1727" s="124" t="s">
        <v>215</v>
      </c>
      <c r="G1727" s="129" t="s">
        <v>1306</v>
      </c>
      <c r="H1727" s="127" t="s">
        <v>430</v>
      </c>
      <c r="I1727" s="127">
        <v>-14.0</v>
      </c>
      <c r="J1727" s="124">
        <v>53.0</v>
      </c>
      <c r="K1727" s="124" t="s">
        <v>64</v>
      </c>
      <c r="L1727" s="124" t="s">
        <v>430</v>
      </c>
    </row>
    <row r="1728">
      <c r="A1728" s="136" t="s">
        <v>359</v>
      </c>
      <c r="B1728" s="122" t="s">
        <v>2</v>
      </c>
      <c r="C1728" s="123" t="s">
        <v>227</v>
      </c>
      <c r="D1728" s="124" t="s">
        <v>29</v>
      </c>
      <c r="E1728" s="124" t="s">
        <v>34</v>
      </c>
      <c r="F1728" s="124" t="s">
        <v>261</v>
      </c>
      <c r="G1728" s="129" t="s">
        <v>245</v>
      </c>
      <c r="H1728" s="127" t="s">
        <v>228</v>
      </c>
      <c r="I1728" s="127" t="s">
        <v>229</v>
      </c>
      <c r="J1728" s="124" t="s">
        <v>262</v>
      </c>
      <c r="K1728" s="124" t="s">
        <v>263</v>
      </c>
      <c r="L1728" s="124" t="s">
        <v>264</v>
      </c>
    </row>
    <row r="1729">
      <c r="A1729" s="165">
        <v>43793.14774797454</v>
      </c>
      <c r="B1729" s="122" t="s">
        <v>38</v>
      </c>
      <c r="C1729" s="123" t="s">
        <v>139</v>
      </c>
      <c r="D1729" s="124">
        <v>3.0</v>
      </c>
      <c r="E1729" s="124">
        <v>8.0</v>
      </c>
      <c r="F1729" s="124" t="s">
        <v>215</v>
      </c>
      <c r="G1729" s="129" t="s">
        <v>1307</v>
      </c>
      <c r="H1729" s="127" t="s">
        <v>430</v>
      </c>
      <c r="I1729" s="127">
        <v>21.0</v>
      </c>
      <c r="J1729" s="124">
        <v>57.0</v>
      </c>
      <c r="K1729" s="124" t="s">
        <v>41</v>
      </c>
      <c r="L1729" s="124" t="s">
        <v>430</v>
      </c>
    </row>
    <row r="1730">
      <c r="A1730" s="165">
        <v>43793.14774797454</v>
      </c>
      <c r="B1730" s="122" t="s">
        <v>38</v>
      </c>
      <c r="C1730" s="123" t="s">
        <v>97</v>
      </c>
      <c r="D1730" s="124">
        <v>7.0</v>
      </c>
      <c r="E1730" s="124">
        <v>4.0</v>
      </c>
      <c r="F1730" s="124" t="s">
        <v>269</v>
      </c>
      <c r="G1730" s="129" t="s">
        <v>1308</v>
      </c>
      <c r="H1730" s="127" t="s">
        <v>430</v>
      </c>
      <c r="I1730" s="127" t="s">
        <v>591</v>
      </c>
      <c r="J1730" s="124">
        <v>59.0</v>
      </c>
      <c r="K1730" s="124" t="s">
        <v>64</v>
      </c>
      <c r="L1730" s="124" t="s">
        <v>430</v>
      </c>
    </row>
    <row r="1731">
      <c r="A1731" s="165">
        <v>43793.14774797454</v>
      </c>
      <c r="B1731" s="122" t="s">
        <v>38</v>
      </c>
      <c r="C1731" s="123" t="s">
        <v>32</v>
      </c>
      <c r="D1731" s="124">
        <v>4.0</v>
      </c>
      <c r="E1731" s="124">
        <v>7.0</v>
      </c>
      <c r="F1731" s="124" t="s">
        <v>248</v>
      </c>
      <c r="G1731" s="129" t="s">
        <v>1309</v>
      </c>
      <c r="H1731" s="127" t="s">
        <v>430</v>
      </c>
      <c r="I1731" s="127">
        <v>-14.0</v>
      </c>
      <c r="J1731" s="124">
        <v>66.0</v>
      </c>
      <c r="K1731" s="124" t="s">
        <v>74</v>
      </c>
      <c r="L1731" s="124" t="s">
        <v>430</v>
      </c>
    </row>
    <row r="1732">
      <c r="A1732" s="165">
        <v>43793.14774797454</v>
      </c>
      <c r="B1732" s="122" t="s">
        <v>38</v>
      </c>
      <c r="C1732" s="123" t="s">
        <v>113</v>
      </c>
      <c r="D1732" s="124">
        <v>5.0</v>
      </c>
      <c r="E1732" s="124">
        <v>6.0</v>
      </c>
      <c r="F1732" s="124" t="s">
        <v>278</v>
      </c>
      <c r="G1732" s="129" t="s">
        <v>1310</v>
      </c>
      <c r="H1732" s="127" t="s">
        <v>430</v>
      </c>
      <c r="I1732" s="127">
        <v>-20.0</v>
      </c>
      <c r="J1732" s="124">
        <v>45.0</v>
      </c>
      <c r="K1732" s="124" t="s">
        <v>288</v>
      </c>
      <c r="L1732" s="124" t="s">
        <v>430</v>
      </c>
    </row>
    <row r="1733">
      <c r="A1733" s="165">
        <v>43793.14774797454</v>
      </c>
      <c r="B1733" s="122" t="s">
        <v>38</v>
      </c>
      <c r="C1733" s="123" t="s">
        <v>198</v>
      </c>
      <c r="D1733" s="124">
        <v>2.0</v>
      </c>
      <c r="E1733" s="124">
        <v>9.0</v>
      </c>
      <c r="F1733" s="124" t="s">
        <v>277</v>
      </c>
      <c r="G1733" s="129" t="s">
        <v>1311</v>
      </c>
      <c r="H1733" s="127" t="s">
        <v>430</v>
      </c>
      <c r="I1733" s="127" t="s">
        <v>286</v>
      </c>
      <c r="J1733" s="124" t="s">
        <v>546</v>
      </c>
      <c r="K1733" s="124" t="s">
        <v>288</v>
      </c>
      <c r="L1733" s="124" t="s">
        <v>430</v>
      </c>
    </row>
    <row r="1734">
      <c r="A1734" s="165">
        <v>43793.14774797454</v>
      </c>
      <c r="B1734" s="122" t="s">
        <v>38</v>
      </c>
      <c r="C1734" s="123" t="s">
        <v>129</v>
      </c>
      <c r="D1734" s="124">
        <v>1.0</v>
      </c>
      <c r="E1734" s="124">
        <v>10.0</v>
      </c>
      <c r="F1734" s="124" t="s">
        <v>248</v>
      </c>
      <c r="G1734" s="129" t="s">
        <v>1312</v>
      </c>
      <c r="H1734" s="127" t="s">
        <v>430</v>
      </c>
      <c r="I1734" s="127" t="s">
        <v>1064</v>
      </c>
      <c r="J1734" s="124">
        <v>47.0</v>
      </c>
      <c r="K1734" s="124" t="s">
        <v>48</v>
      </c>
      <c r="L1734" s="124" t="s">
        <v>430</v>
      </c>
    </row>
    <row r="1735">
      <c r="A1735" s="165">
        <v>43793.14774797454</v>
      </c>
      <c r="B1735" s="122" t="s">
        <v>38</v>
      </c>
      <c r="C1735" s="123" t="s">
        <v>178</v>
      </c>
      <c r="D1735" s="124">
        <v>11.0</v>
      </c>
      <c r="E1735" s="124">
        <v>0.0</v>
      </c>
      <c r="F1735" s="124" t="s">
        <v>201</v>
      </c>
      <c r="G1735" s="129" t="s">
        <v>1313</v>
      </c>
      <c r="H1735" s="127" t="s">
        <v>430</v>
      </c>
      <c r="I1735" s="127">
        <v>-44.0</v>
      </c>
      <c r="J1735" s="124">
        <v>71.0</v>
      </c>
      <c r="K1735" s="124" t="s">
        <v>44</v>
      </c>
      <c r="L1735" s="124" t="s">
        <v>430</v>
      </c>
    </row>
    <row r="1736">
      <c r="A1736" s="165">
        <v>43793.14774797454</v>
      </c>
      <c r="B1736" s="122" t="s">
        <v>38</v>
      </c>
      <c r="C1736" s="123" t="s">
        <v>172</v>
      </c>
      <c r="D1736" s="124">
        <v>6.0</v>
      </c>
      <c r="E1736" s="124">
        <v>5.0</v>
      </c>
      <c r="F1736" s="124" t="s">
        <v>273</v>
      </c>
      <c r="G1736" s="129" t="s">
        <v>1314</v>
      </c>
      <c r="H1736" s="127" t="s">
        <v>430</v>
      </c>
      <c r="I1736" s="127" t="s">
        <v>431</v>
      </c>
      <c r="J1736" s="124">
        <v>75.0</v>
      </c>
      <c r="K1736" s="124" t="s">
        <v>60</v>
      </c>
      <c r="L1736" s="124" t="s">
        <v>430</v>
      </c>
    </row>
    <row r="1737">
      <c r="A1737" s="165">
        <v>43793.14774797454</v>
      </c>
      <c r="B1737" s="122" t="s">
        <v>38</v>
      </c>
      <c r="C1737" s="123" t="s">
        <v>156</v>
      </c>
      <c r="D1737" s="124">
        <v>8.0</v>
      </c>
      <c r="E1737" s="124">
        <v>3.0</v>
      </c>
      <c r="F1737" s="124" t="s">
        <v>215</v>
      </c>
      <c r="G1737" s="129" t="s">
        <v>1315</v>
      </c>
      <c r="H1737" s="127" t="s">
        <v>430</v>
      </c>
      <c r="I1737" s="127">
        <v>3.0</v>
      </c>
      <c r="J1737" s="124">
        <v>51.0</v>
      </c>
      <c r="K1737" s="124" t="s">
        <v>62</v>
      </c>
      <c r="L1737" s="124" t="s">
        <v>430</v>
      </c>
    </row>
    <row r="1738">
      <c r="A1738" s="165">
        <v>43793.14774797454</v>
      </c>
      <c r="B1738" s="122" t="s">
        <v>38</v>
      </c>
      <c r="C1738" s="123" t="s">
        <v>68</v>
      </c>
      <c r="D1738" s="124">
        <v>11.0</v>
      </c>
      <c r="E1738" s="124">
        <v>0.0</v>
      </c>
      <c r="F1738" s="124" t="s">
        <v>207</v>
      </c>
      <c r="G1738" s="129" t="s">
        <v>202</v>
      </c>
      <c r="H1738" s="127"/>
      <c r="I1738" s="127" t="s">
        <v>203</v>
      </c>
      <c r="J1738" s="124" t="s">
        <v>203</v>
      </c>
      <c r="K1738" s="124"/>
      <c r="L1738" s="124">
        <v>9999.0</v>
      </c>
    </row>
    <row r="1739">
      <c r="A1739" s="136" t="s">
        <v>359</v>
      </c>
      <c r="B1739" s="122" t="s">
        <v>2</v>
      </c>
      <c r="C1739" s="123" t="s">
        <v>227</v>
      </c>
      <c r="D1739" s="124" t="s">
        <v>29</v>
      </c>
      <c r="E1739" s="124" t="s">
        <v>34</v>
      </c>
      <c r="F1739" s="124" t="s">
        <v>261</v>
      </c>
      <c r="G1739" s="129" t="s">
        <v>245</v>
      </c>
      <c r="H1739" s="127" t="s">
        <v>228</v>
      </c>
      <c r="I1739" s="127" t="s">
        <v>229</v>
      </c>
      <c r="J1739" s="124" t="s">
        <v>262</v>
      </c>
      <c r="K1739" s="124" t="s">
        <v>263</v>
      </c>
      <c r="L1739" s="124" t="s">
        <v>264</v>
      </c>
    </row>
    <row r="1740">
      <c r="A1740" s="165">
        <v>43793.14774797454</v>
      </c>
      <c r="B1740" s="122" t="s">
        <v>41</v>
      </c>
      <c r="C1740" s="123" t="s">
        <v>146</v>
      </c>
      <c r="D1740" s="124">
        <v>5.0</v>
      </c>
      <c r="E1740" s="124">
        <v>6.0</v>
      </c>
      <c r="F1740" s="124" t="s">
        <v>215</v>
      </c>
      <c r="G1740" s="129" t="s">
        <v>1307</v>
      </c>
      <c r="H1740" s="127" t="s">
        <v>430</v>
      </c>
      <c r="I1740" s="127">
        <v>-21.0</v>
      </c>
      <c r="J1740" s="124">
        <v>57.0</v>
      </c>
      <c r="K1740" s="124" t="s">
        <v>38</v>
      </c>
      <c r="L1740" s="124" t="s">
        <v>430</v>
      </c>
    </row>
    <row r="1741">
      <c r="A1741" s="165">
        <v>43793.14774797454</v>
      </c>
      <c r="B1741" s="122" t="s">
        <v>41</v>
      </c>
      <c r="C1741" s="123" t="s">
        <v>109</v>
      </c>
      <c r="D1741" s="124">
        <v>7.0</v>
      </c>
      <c r="E1741" s="124">
        <v>4.0</v>
      </c>
      <c r="F1741" s="124" t="s">
        <v>279</v>
      </c>
      <c r="G1741" s="129" t="s">
        <v>1316</v>
      </c>
      <c r="H1741" s="127" t="s">
        <v>430</v>
      </c>
      <c r="I1741" s="127" t="s">
        <v>1317</v>
      </c>
      <c r="J1741" s="124">
        <v>69.0</v>
      </c>
      <c r="K1741" s="124" t="s">
        <v>288</v>
      </c>
      <c r="L1741" s="124" t="s">
        <v>430</v>
      </c>
    </row>
    <row r="1742">
      <c r="A1742" s="165">
        <v>43793.14774797454</v>
      </c>
      <c r="B1742" s="122" t="s">
        <v>41</v>
      </c>
      <c r="C1742" s="123" t="s">
        <v>52</v>
      </c>
      <c r="D1742" s="124">
        <v>6.0</v>
      </c>
      <c r="E1742" s="124">
        <v>5.0</v>
      </c>
      <c r="F1742" s="124" t="s">
        <v>242</v>
      </c>
      <c r="G1742" s="129" t="s">
        <v>1318</v>
      </c>
      <c r="H1742" s="127" t="s">
        <v>430</v>
      </c>
      <c r="I1742" s="127">
        <v>6.0</v>
      </c>
      <c r="J1742" s="124" t="s">
        <v>764</v>
      </c>
      <c r="K1742" s="124" t="s">
        <v>60</v>
      </c>
      <c r="L1742" s="124" t="s">
        <v>430</v>
      </c>
    </row>
    <row r="1743">
      <c r="A1743" s="165">
        <v>43793.14774797454</v>
      </c>
      <c r="B1743" s="122" t="s">
        <v>41</v>
      </c>
      <c r="C1743" s="123" t="s">
        <v>168</v>
      </c>
      <c r="D1743" s="124">
        <v>4.0</v>
      </c>
      <c r="E1743" s="124">
        <v>7.0</v>
      </c>
      <c r="F1743" s="124" t="s">
        <v>278</v>
      </c>
      <c r="G1743" s="129" t="s">
        <v>1319</v>
      </c>
      <c r="H1743" s="127" t="s">
        <v>430</v>
      </c>
      <c r="I1743" s="127">
        <v>14.0</v>
      </c>
      <c r="J1743" s="124" t="s">
        <v>240</v>
      </c>
      <c r="K1743" s="124" t="s">
        <v>64</v>
      </c>
      <c r="L1743" s="124" t="s">
        <v>430</v>
      </c>
    </row>
    <row r="1744">
      <c r="A1744" s="165">
        <v>43793.14774797454</v>
      </c>
      <c r="B1744" s="122" t="s">
        <v>41</v>
      </c>
      <c r="C1744" s="123" t="s">
        <v>91</v>
      </c>
      <c r="D1744" s="124">
        <v>7.0</v>
      </c>
      <c r="E1744" s="124">
        <v>4.0</v>
      </c>
      <c r="F1744" s="124" t="s">
        <v>201</v>
      </c>
      <c r="G1744" s="129" t="s">
        <v>1300</v>
      </c>
      <c r="H1744" s="127" t="s">
        <v>430</v>
      </c>
      <c r="I1744" s="127">
        <v>4.0</v>
      </c>
      <c r="J1744" s="124" t="s">
        <v>283</v>
      </c>
      <c r="K1744" s="124" t="s">
        <v>27</v>
      </c>
      <c r="L1744" s="124" t="s">
        <v>430</v>
      </c>
    </row>
    <row r="1745">
      <c r="A1745" s="165">
        <v>43793.14774797454</v>
      </c>
      <c r="B1745" s="122" t="s">
        <v>41</v>
      </c>
      <c r="C1745" s="123" t="s">
        <v>126</v>
      </c>
      <c r="D1745" s="124">
        <v>7.0</v>
      </c>
      <c r="E1745" s="124">
        <v>4.0</v>
      </c>
      <c r="F1745" s="124" t="s">
        <v>260</v>
      </c>
      <c r="G1745" s="129" t="s">
        <v>1320</v>
      </c>
      <c r="H1745" s="127" t="s">
        <v>430</v>
      </c>
      <c r="I1745" s="127" t="s">
        <v>286</v>
      </c>
      <c r="J1745" s="124" t="s">
        <v>546</v>
      </c>
      <c r="K1745" s="124" t="s">
        <v>44</v>
      </c>
      <c r="L1745" s="124" t="s">
        <v>430</v>
      </c>
    </row>
    <row r="1746">
      <c r="A1746" s="165">
        <v>43793.14774797454</v>
      </c>
      <c r="B1746" s="122" t="s">
        <v>41</v>
      </c>
      <c r="C1746" s="123" t="s">
        <v>111</v>
      </c>
      <c r="D1746" s="124">
        <v>3.0</v>
      </c>
      <c r="E1746" s="124">
        <v>8.0</v>
      </c>
      <c r="F1746" s="124" t="s">
        <v>248</v>
      </c>
      <c r="G1746" s="129" t="s">
        <v>1301</v>
      </c>
      <c r="H1746" s="127" t="s">
        <v>430</v>
      </c>
      <c r="I1746" s="127" t="s">
        <v>739</v>
      </c>
      <c r="J1746" s="124">
        <v>63.0</v>
      </c>
      <c r="K1746" s="124" t="s">
        <v>27</v>
      </c>
      <c r="L1746" s="124" t="s">
        <v>430</v>
      </c>
    </row>
    <row r="1747">
      <c r="A1747" s="165">
        <v>43793.14774797454</v>
      </c>
      <c r="B1747" s="122" t="s">
        <v>41</v>
      </c>
      <c r="C1747" s="123" t="s">
        <v>190</v>
      </c>
      <c r="D1747" s="124">
        <v>3.0</v>
      </c>
      <c r="E1747" s="124">
        <v>1.0</v>
      </c>
      <c r="F1747" s="124" t="s">
        <v>248</v>
      </c>
      <c r="G1747" s="129" t="s">
        <v>1321</v>
      </c>
      <c r="H1747" s="127" t="s">
        <v>430</v>
      </c>
      <c r="I1747" s="127">
        <v>-13.0</v>
      </c>
      <c r="J1747" s="124">
        <v>70.0</v>
      </c>
      <c r="K1747" s="124" t="s">
        <v>74</v>
      </c>
      <c r="L1747" s="124" t="s">
        <v>430</v>
      </c>
    </row>
    <row r="1748">
      <c r="A1748" s="165">
        <v>43793.14774797454</v>
      </c>
      <c r="B1748" s="122" t="s">
        <v>41</v>
      </c>
      <c r="C1748" s="123" t="s">
        <v>180</v>
      </c>
      <c r="D1748" s="124">
        <v>5.0</v>
      </c>
      <c r="E1748" s="124">
        <v>6.0</v>
      </c>
      <c r="F1748" s="124" t="s">
        <v>234</v>
      </c>
      <c r="G1748" s="129" t="s">
        <v>1322</v>
      </c>
      <c r="H1748" s="127" t="s">
        <v>430</v>
      </c>
      <c r="I1748" s="127">
        <v>-5.0</v>
      </c>
      <c r="J1748" s="124" t="s">
        <v>519</v>
      </c>
      <c r="K1748" s="124" t="s">
        <v>58</v>
      </c>
      <c r="L1748" s="124" t="s">
        <v>430</v>
      </c>
    </row>
    <row r="1749">
      <c r="A1749" s="165">
        <v>43793.14774797454</v>
      </c>
      <c r="B1749" s="122" t="s">
        <v>41</v>
      </c>
      <c r="C1749" s="123" t="s">
        <v>159</v>
      </c>
      <c r="D1749" s="124">
        <v>6.0</v>
      </c>
      <c r="E1749" s="124">
        <v>5.0</v>
      </c>
      <c r="F1749" s="124" t="s">
        <v>242</v>
      </c>
      <c r="G1749" s="129" t="s">
        <v>1323</v>
      </c>
      <c r="H1749" s="127" t="s">
        <v>430</v>
      </c>
      <c r="I1749" s="127" t="s">
        <v>257</v>
      </c>
      <c r="J1749" s="124">
        <v>53.0</v>
      </c>
      <c r="K1749" s="124" t="s">
        <v>44</v>
      </c>
      <c r="L1749" s="124" t="s">
        <v>430</v>
      </c>
    </row>
    <row r="1750">
      <c r="A1750" s="136" t="s">
        <v>359</v>
      </c>
      <c r="B1750" s="122" t="s">
        <v>2</v>
      </c>
      <c r="C1750" s="123" t="s">
        <v>227</v>
      </c>
      <c r="D1750" s="124" t="s">
        <v>29</v>
      </c>
      <c r="E1750" s="124" t="s">
        <v>34</v>
      </c>
      <c r="F1750" s="124" t="s">
        <v>261</v>
      </c>
      <c r="G1750" s="129" t="s">
        <v>245</v>
      </c>
      <c r="H1750" s="127" t="s">
        <v>228</v>
      </c>
      <c r="I1750" s="127" t="s">
        <v>229</v>
      </c>
      <c r="J1750" s="124" t="s">
        <v>262</v>
      </c>
      <c r="K1750" s="124" t="s">
        <v>263</v>
      </c>
      <c r="L1750" s="124" t="s">
        <v>264</v>
      </c>
    </row>
    <row r="1751">
      <c r="A1751" s="165">
        <v>43793.14774797454</v>
      </c>
      <c r="B1751" s="122" t="s">
        <v>44</v>
      </c>
      <c r="C1751" s="123" t="s">
        <v>145</v>
      </c>
      <c r="D1751" s="124">
        <v>4.0</v>
      </c>
      <c r="E1751" s="124">
        <v>7.0</v>
      </c>
      <c r="F1751" s="124" t="s">
        <v>242</v>
      </c>
      <c r="G1751" s="129" t="s">
        <v>1324</v>
      </c>
      <c r="H1751" s="127" t="s">
        <v>430</v>
      </c>
      <c r="I1751" s="127">
        <v>-5.0</v>
      </c>
      <c r="J1751" s="124">
        <v>54.0</v>
      </c>
      <c r="K1751" s="124" t="s">
        <v>69</v>
      </c>
      <c r="L1751" s="124" t="s">
        <v>430</v>
      </c>
    </row>
    <row r="1752">
      <c r="A1752" s="165">
        <v>43793.14774797454</v>
      </c>
      <c r="B1752" s="122" t="s">
        <v>44</v>
      </c>
      <c r="C1752" s="123" t="s">
        <v>61</v>
      </c>
      <c r="D1752" s="124">
        <v>5.0</v>
      </c>
      <c r="E1752" s="124">
        <v>6.0</v>
      </c>
      <c r="F1752" s="124" t="s">
        <v>248</v>
      </c>
      <c r="G1752" s="129" t="s">
        <v>1299</v>
      </c>
      <c r="H1752" s="127" t="s">
        <v>430</v>
      </c>
      <c r="I1752" s="127">
        <v>19.0</v>
      </c>
      <c r="J1752" s="124">
        <v>64.0</v>
      </c>
      <c r="K1752" s="124" t="s">
        <v>27</v>
      </c>
      <c r="L1752" s="124" t="s">
        <v>430</v>
      </c>
    </row>
    <row r="1753">
      <c r="A1753" s="165">
        <v>43793.14774797454</v>
      </c>
      <c r="B1753" s="122" t="s">
        <v>44</v>
      </c>
      <c r="C1753" s="123" t="s">
        <v>188</v>
      </c>
      <c r="D1753" s="124">
        <v>6.0</v>
      </c>
      <c r="E1753" s="124">
        <v>5.0</v>
      </c>
      <c r="F1753" s="124" t="s">
        <v>267</v>
      </c>
      <c r="G1753" s="129" t="s">
        <v>1325</v>
      </c>
      <c r="H1753" s="127" t="s">
        <v>430</v>
      </c>
      <c r="I1753" s="127">
        <v>1.0</v>
      </c>
      <c r="J1753" s="124" t="s">
        <v>397</v>
      </c>
      <c r="K1753" s="124" t="s">
        <v>48</v>
      </c>
      <c r="L1753" s="124" t="s">
        <v>430</v>
      </c>
    </row>
    <row r="1754">
      <c r="A1754" s="165">
        <v>43793.14774797454</v>
      </c>
      <c r="B1754" s="122" t="s">
        <v>44</v>
      </c>
      <c r="C1754" s="123" t="s">
        <v>37</v>
      </c>
      <c r="D1754" s="124">
        <v>8.0</v>
      </c>
      <c r="E1754" s="124">
        <v>2.0</v>
      </c>
      <c r="F1754" s="124" t="s">
        <v>268</v>
      </c>
      <c r="G1754" s="129" t="s">
        <v>1326</v>
      </c>
      <c r="H1754" s="127" t="s">
        <v>430</v>
      </c>
      <c r="I1754" s="127">
        <v>-4.0</v>
      </c>
      <c r="J1754" s="124">
        <v>68.0</v>
      </c>
      <c r="K1754" s="124" t="s">
        <v>53</v>
      </c>
      <c r="L1754" s="124" t="s">
        <v>430</v>
      </c>
    </row>
    <row r="1755">
      <c r="A1755" s="165">
        <v>43793.14774797454</v>
      </c>
      <c r="B1755" s="122" t="s">
        <v>44</v>
      </c>
      <c r="C1755" s="123" t="s">
        <v>132</v>
      </c>
      <c r="D1755" s="124">
        <v>6.0</v>
      </c>
      <c r="E1755" s="124">
        <v>5.0</v>
      </c>
      <c r="F1755" s="124" t="s">
        <v>248</v>
      </c>
      <c r="G1755" s="129" t="s">
        <v>1320</v>
      </c>
      <c r="H1755" s="127" t="s">
        <v>430</v>
      </c>
      <c r="I1755" s="127" t="s">
        <v>257</v>
      </c>
      <c r="J1755" s="124" t="s">
        <v>546</v>
      </c>
      <c r="K1755" s="124" t="s">
        <v>41</v>
      </c>
      <c r="L1755" s="124" t="s">
        <v>430</v>
      </c>
    </row>
    <row r="1756">
      <c r="A1756" s="165">
        <v>43793.14774797454</v>
      </c>
      <c r="B1756" s="122" t="s">
        <v>44</v>
      </c>
      <c r="C1756" s="123" t="s">
        <v>122</v>
      </c>
      <c r="D1756" s="124">
        <v>9.0</v>
      </c>
      <c r="E1756" s="124">
        <v>2.0</v>
      </c>
      <c r="F1756" s="124" t="s">
        <v>266</v>
      </c>
      <c r="G1756" s="129" t="s">
        <v>1327</v>
      </c>
      <c r="H1756" s="127" t="s">
        <v>430</v>
      </c>
      <c r="I1756" s="127">
        <v>-24.0</v>
      </c>
      <c r="J1756" s="124">
        <v>48.0</v>
      </c>
      <c r="K1756" s="124" t="s">
        <v>48</v>
      </c>
      <c r="L1756" s="124" t="s">
        <v>430</v>
      </c>
    </row>
    <row r="1757">
      <c r="A1757" s="165">
        <v>43793.14774797454</v>
      </c>
      <c r="B1757" s="122" t="s">
        <v>44</v>
      </c>
      <c r="C1757" s="123" t="s">
        <v>173</v>
      </c>
      <c r="D1757" s="124">
        <v>2.0</v>
      </c>
      <c r="E1757" s="124">
        <v>9.0</v>
      </c>
      <c r="F1757" s="124" t="s">
        <v>248</v>
      </c>
      <c r="G1757" s="129" t="s">
        <v>1313</v>
      </c>
      <c r="H1757" s="127" t="s">
        <v>430</v>
      </c>
      <c r="I1757" s="127">
        <v>44.0</v>
      </c>
      <c r="J1757" s="124">
        <v>71.0</v>
      </c>
      <c r="K1757" s="124" t="s">
        <v>38</v>
      </c>
      <c r="L1757" s="124" t="s">
        <v>430</v>
      </c>
    </row>
    <row r="1758">
      <c r="A1758" s="165">
        <v>43793.14774797454</v>
      </c>
      <c r="B1758" s="122" t="s">
        <v>44</v>
      </c>
      <c r="C1758" s="123" t="s">
        <v>104</v>
      </c>
      <c r="D1758" s="124">
        <v>4.0</v>
      </c>
      <c r="E1758" s="124">
        <v>7.0</v>
      </c>
      <c r="F1758" s="124" t="s">
        <v>215</v>
      </c>
      <c r="G1758" s="129" t="s">
        <v>1328</v>
      </c>
      <c r="H1758" s="127" t="s">
        <v>430</v>
      </c>
      <c r="I1758" s="127" t="s">
        <v>451</v>
      </c>
      <c r="J1758" s="124" t="s">
        <v>546</v>
      </c>
      <c r="K1758" s="124" t="s">
        <v>74</v>
      </c>
      <c r="L1758" s="124" t="s">
        <v>430</v>
      </c>
    </row>
    <row r="1759">
      <c r="A1759" s="165">
        <v>43793.14774797454</v>
      </c>
      <c r="B1759" s="122" t="s">
        <v>44</v>
      </c>
      <c r="C1759" s="123" t="s">
        <v>161</v>
      </c>
      <c r="D1759" s="124">
        <v>4.0</v>
      </c>
      <c r="E1759" s="124">
        <v>7.0</v>
      </c>
      <c r="F1759" s="124" t="s">
        <v>201</v>
      </c>
      <c r="G1759" s="129" t="s">
        <v>1329</v>
      </c>
      <c r="H1759" s="127" t="s">
        <v>430</v>
      </c>
      <c r="I1759" s="127" t="s">
        <v>367</v>
      </c>
      <c r="J1759" s="124" t="s">
        <v>446</v>
      </c>
      <c r="K1759" s="124" t="s">
        <v>69</v>
      </c>
      <c r="L1759" s="124" t="s">
        <v>430</v>
      </c>
    </row>
    <row r="1760">
      <c r="A1760" s="165">
        <v>43793.14774797454</v>
      </c>
      <c r="B1760" s="122" t="s">
        <v>44</v>
      </c>
      <c r="C1760" s="123" t="s">
        <v>150</v>
      </c>
      <c r="D1760" s="124">
        <v>10.0</v>
      </c>
      <c r="E1760" s="124">
        <v>1.0</v>
      </c>
      <c r="F1760" s="124" t="s">
        <v>215</v>
      </c>
      <c r="G1760" s="129" t="s">
        <v>1323</v>
      </c>
      <c r="H1760" s="127" t="s">
        <v>430</v>
      </c>
      <c r="I1760" s="127" t="s">
        <v>286</v>
      </c>
      <c r="J1760" s="124">
        <v>53.0</v>
      </c>
      <c r="K1760" s="124" t="s">
        <v>41</v>
      </c>
      <c r="L1760" s="124" t="s">
        <v>430</v>
      </c>
    </row>
    <row r="1761">
      <c r="A1761" s="136" t="s">
        <v>359</v>
      </c>
      <c r="B1761" s="122" t="s">
        <v>2</v>
      </c>
      <c r="C1761" s="123" t="s">
        <v>227</v>
      </c>
      <c r="D1761" s="124" t="s">
        <v>29</v>
      </c>
      <c r="E1761" s="124" t="s">
        <v>34</v>
      </c>
      <c r="F1761" s="124" t="s">
        <v>261</v>
      </c>
      <c r="G1761" s="129" t="s">
        <v>245</v>
      </c>
      <c r="H1761" s="127" t="s">
        <v>228</v>
      </c>
      <c r="I1761" s="127" t="s">
        <v>229</v>
      </c>
      <c r="J1761" s="124" t="s">
        <v>262</v>
      </c>
      <c r="K1761" s="124" t="s">
        <v>263</v>
      </c>
      <c r="L1761" s="124" t="s">
        <v>264</v>
      </c>
    </row>
    <row r="1762">
      <c r="A1762" s="165">
        <v>43793.14774797454</v>
      </c>
      <c r="B1762" s="122" t="s">
        <v>48</v>
      </c>
      <c r="C1762" s="123" t="s">
        <v>144</v>
      </c>
      <c r="D1762" s="124">
        <v>7.0</v>
      </c>
      <c r="E1762" s="124">
        <v>4.0</v>
      </c>
      <c r="F1762" s="124" t="s">
        <v>248</v>
      </c>
      <c r="G1762" s="129" t="s">
        <v>1330</v>
      </c>
      <c r="H1762" s="127" t="s">
        <v>430</v>
      </c>
      <c r="I1762" s="127">
        <v>-31.0</v>
      </c>
      <c r="J1762" s="124">
        <v>44.0</v>
      </c>
      <c r="K1762" s="124" t="s">
        <v>60</v>
      </c>
      <c r="L1762" s="124" t="s">
        <v>430</v>
      </c>
    </row>
    <row r="1763">
      <c r="A1763" s="165">
        <v>43793.14774797454</v>
      </c>
      <c r="B1763" s="122" t="s">
        <v>48</v>
      </c>
      <c r="C1763" s="123" t="s">
        <v>105</v>
      </c>
      <c r="D1763" s="124">
        <v>4.0</v>
      </c>
      <c r="E1763" s="124">
        <v>7.0</v>
      </c>
      <c r="F1763" s="124" t="s">
        <v>201</v>
      </c>
      <c r="G1763" s="129" t="s">
        <v>1331</v>
      </c>
      <c r="H1763" s="127" t="s">
        <v>430</v>
      </c>
      <c r="I1763" s="127">
        <v>7.0</v>
      </c>
      <c r="J1763" s="124" t="s">
        <v>412</v>
      </c>
      <c r="K1763" s="124" t="s">
        <v>69</v>
      </c>
      <c r="L1763" s="124" t="s">
        <v>430</v>
      </c>
    </row>
    <row r="1764">
      <c r="A1764" s="165">
        <v>43793.14774797454</v>
      </c>
      <c r="B1764" s="122" t="s">
        <v>48</v>
      </c>
      <c r="C1764" s="123" t="s">
        <v>155</v>
      </c>
      <c r="D1764" s="124">
        <v>2.0</v>
      </c>
      <c r="E1764" s="124">
        <v>9.0</v>
      </c>
      <c r="F1764" s="124" t="s">
        <v>215</v>
      </c>
      <c r="G1764" s="129" t="s">
        <v>1332</v>
      </c>
      <c r="H1764" s="127" t="s">
        <v>430</v>
      </c>
      <c r="I1764" s="127">
        <v>22.0</v>
      </c>
      <c r="J1764" s="124">
        <v>58.0</v>
      </c>
      <c r="K1764" s="124" t="s">
        <v>60</v>
      </c>
      <c r="L1764" s="124" t="s">
        <v>430</v>
      </c>
    </row>
    <row r="1765">
      <c r="A1765" s="165">
        <v>43793.14774797454</v>
      </c>
      <c r="B1765" s="122" t="s">
        <v>48</v>
      </c>
      <c r="C1765" s="123" t="s">
        <v>187</v>
      </c>
      <c r="D1765" s="124">
        <v>2.0</v>
      </c>
      <c r="E1765" s="124">
        <v>2.0</v>
      </c>
      <c r="F1765" s="124" t="s">
        <v>267</v>
      </c>
      <c r="G1765" s="129" t="s">
        <v>1325</v>
      </c>
      <c r="H1765" s="127" t="s">
        <v>430</v>
      </c>
      <c r="I1765" s="127">
        <v>-1.0</v>
      </c>
      <c r="J1765" s="124" t="s">
        <v>397</v>
      </c>
      <c r="K1765" s="124" t="s">
        <v>44</v>
      </c>
      <c r="L1765" s="124" t="s">
        <v>430</v>
      </c>
    </row>
    <row r="1766">
      <c r="A1766" s="165">
        <v>43793.14774797454</v>
      </c>
      <c r="B1766" s="122" t="s">
        <v>48</v>
      </c>
      <c r="C1766" s="123" t="s">
        <v>176</v>
      </c>
      <c r="D1766" s="124">
        <v>10.0</v>
      </c>
      <c r="E1766" s="124">
        <v>1.0</v>
      </c>
      <c r="F1766" s="124" t="s">
        <v>234</v>
      </c>
      <c r="G1766" s="129" t="s">
        <v>1333</v>
      </c>
      <c r="H1766" s="127" t="s">
        <v>430</v>
      </c>
      <c r="I1766" s="127" t="s">
        <v>226</v>
      </c>
      <c r="J1766" s="124" t="s">
        <v>519</v>
      </c>
      <c r="K1766" s="124" t="s">
        <v>62</v>
      </c>
      <c r="L1766" s="124" t="s">
        <v>430</v>
      </c>
    </row>
    <row r="1767">
      <c r="A1767" s="165">
        <v>43793.14774797454</v>
      </c>
      <c r="B1767" s="122" t="s">
        <v>48</v>
      </c>
      <c r="C1767" s="123" t="s">
        <v>90</v>
      </c>
      <c r="D1767" s="124">
        <v>5.0</v>
      </c>
      <c r="E1767" s="124">
        <v>6.0</v>
      </c>
      <c r="F1767" s="124" t="s">
        <v>201</v>
      </c>
      <c r="G1767" s="129" t="s">
        <v>1334</v>
      </c>
      <c r="H1767" s="127" t="s">
        <v>430</v>
      </c>
      <c r="I1767" s="127" t="s">
        <v>382</v>
      </c>
      <c r="J1767" s="124"/>
      <c r="K1767" s="124" t="s">
        <v>288</v>
      </c>
      <c r="L1767" s="124" t="s">
        <v>430</v>
      </c>
    </row>
    <row r="1768">
      <c r="A1768" s="165">
        <v>43793.14774797454</v>
      </c>
      <c r="B1768" s="122" t="s">
        <v>48</v>
      </c>
      <c r="C1768" s="123" t="s">
        <v>120</v>
      </c>
      <c r="D1768" s="124">
        <v>4.0</v>
      </c>
      <c r="E1768" s="124">
        <v>7.0</v>
      </c>
      <c r="F1768" s="124" t="s">
        <v>248</v>
      </c>
      <c r="G1768" s="129" t="s">
        <v>1327</v>
      </c>
      <c r="H1768" s="127" t="s">
        <v>430</v>
      </c>
      <c r="I1768" s="127">
        <v>24.0</v>
      </c>
      <c r="J1768" s="124">
        <v>48.0</v>
      </c>
      <c r="K1768" s="124" t="s">
        <v>44</v>
      </c>
      <c r="L1768" s="124" t="s">
        <v>430</v>
      </c>
    </row>
    <row r="1769">
      <c r="A1769" s="165">
        <v>43793.14774797454</v>
      </c>
      <c r="B1769" s="122" t="s">
        <v>48</v>
      </c>
      <c r="C1769" s="123" t="s">
        <v>127</v>
      </c>
      <c r="D1769" s="124">
        <v>4.0</v>
      </c>
      <c r="E1769" s="124">
        <v>7.0</v>
      </c>
      <c r="F1769" s="124" t="s">
        <v>267</v>
      </c>
      <c r="G1769" s="129" t="s">
        <v>1312</v>
      </c>
      <c r="H1769" s="127" t="s">
        <v>430</v>
      </c>
      <c r="I1769" s="127" t="s">
        <v>1069</v>
      </c>
      <c r="J1769" s="124">
        <v>47.0</v>
      </c>
      <c r="K1769" s="124" t="s">
        <v>38</v>
      </c>
      <c r="L1769" s="124" t="s">
        <v>430</v>
      </c>
    </row>
    <row r="1770">
      <c r="A1770" s="165">
        <v>43793.14774797454</v>
      </c>
      <c r="B1770" s="122" t="s">
        <v>48</v>
      </c>
      <c r="C1770" s="123" t="s">
        <v>162</v>
      </c>
      <c r="D1770" s="124">
        <v>6.0</v>
      </c>
      <c r="E1770" s="124">
        <v>5.0</v>
      </c>
      <c r="F1770" s="124" t="s">
        <v>269</v>
      </c>
      <c r="G1770" s="129" t="s">
        <v>1335</v>
      </c>
      <c r="H1770" s="127" t="s">
        <v>430</v>
      </c>
      <c r="I1770" s="127" t="s">
        <v>1064</v>
      </c>
      <c r="J1770" s="124" t="s">
        <v>237</v>
      </c>
      <c r="K1770" s="124" t="s">
        <v>58</v>
      </c>
      <c r="L1770" s="124" t="s">
        <v>430</v>
      </c>
    </row>
    <row r="1771">
      <c r="A1771" s="165">
        <v>43793.14774797454</v>
      </c>
      <c r="B1771" s="122" t="s">
        <v>48</v>
      </c>
      <c r="C1771" s="123" t="s">
        <v>33</v>
      </c>
      <c r="D1771" s="124">
        <v>4.0</v>
      </c>
      <c r="E1771" s="124">
        <v>7.0</v>
      </c>
      <c r="F1771" s="124" t="s">
        <v>215</v>
      </c>
      <c r="G1771" s="129" t="s">
        <v>1305</v>
      </c>
      <c r="H1771" s="127" t="s">
        <v>430</v>
      </c>
      <c r="I1771" s="127" t="s">
        <v>428</v>
      </c>
      <c r="J1771" s="124">
        <v>60.0</v>
      </c>
      <c r="K1771" s="124" t="s">
        <v>27</v>
      </c>
      <c r="L1771" s="124" t="s">
        <v>430</v>
      </c>
    </row>
    <row r="1772">
      <c r="A1772" s="136" t="s">
        <v>359</v>
      </c>
      <c r="B1772" s="122" t="s">
        <v>2</v>
      </c>
      <c r="C1772" s="123" t="s">
        <v>227</v>
      </c>
      <c r="D1772" s="124" t="s">
        <v>29</v>
      </c>
      <c r="E1772" s="124" t="s">
        <v>34</v>
      </c>
      <c r="F1772" s="124" t="s">
        <v>261</v>
      </c>
      <c r="G1772" s="129" t="s">
        <v>245</v>
      </c>
      <c r="H1772" s="127" t="s">
        <v>228</v>
      </c>
      <c r="I1772" s="127" t="s">
        <v>229</v>
      </c>
      <c r="J1772" s="124" t="s">
        <v>262</v>
      </c>
      <c r="K1772" s="124" t="s">
        <v>263</v>
      </c>
      <c r="L1772" s="124" t="s">
        <v>264</v>
      </c>
    </row>
    <row r="1773">
      <c r="A1773" s="165">
        <v>43793.14774797454</v>
      </c>
      <c r="B1773" s="122" t="s">
        <v>53</v>
      </c>
      <c r="C1773" s="123" t="s">
        <v>119</v>
      </c>
      <c r="D1773" s="124">
        <v>9.0</v>
      </c>
      <c r="E1773" s="124">
        <v>2.0</v>
      </c>
      <c r="F1773" s="124" t="s">
        <v>207</v>
      </c>
      <c r="G1773" s="129" t="s">
        <v>1336</v>
      </c>
      <c r="H1773" s="127" t="s">
        <v>430</v>
      </c>
      <c r="I1773" s="127">
        <v>18.0</v>
      </c>
      <c r="J1773" s="124">
        <v>57.0</v>
      </c>
      <c r="K1773" s="124" t="s">
        <v>74</v>
      </c>
      <c r="L1773" s="124" t="s">
        <v>430</v>
      </c>
    </row>
    <row r="1774">
      <c r="A1774" s="165">
        <v>43793.14774797454</v>
      </c>
      <c r="B1774" s="122" t="s">
        <v>53</v>
      </c>
      <c r="C1774" s="123" t="s">
        <v>93</v>
      </c>
      <c r="D1774" s="124">
        <v>8.0</v>
      </c>
      <c r="E1774" s="124">
        <v>3.0</v>
      </c>
      <c r="F1774" s="124" t="s">
        <v>248</v>
      </c>
      <c r="G1774" s="129" t="s">
        <v>1337</v>
      </c>
      <c r="H1774" s="127" t="s">
        <v>430</v>
      </c>
      <c r="I1774" s="127" t="s">
        <v>523</v>
      </c>
      <c r="J1774" s="124" t="s">
        <v>546</v>
      </c>
      <c r="K1774" s="124" t="s">
        <v>288</v>
      </c>
      <c r="L1774" s="124" t="s">
        <v>430</v>
      </c>
    </row>
    <row r="1775">
      <c r="A1775" s="165">
        <v>43793.14774797454</v>
      </c>
      <c r="B1775" s="122" t="s">
        <v>53</v>
      </c>
      <c r="C1775" s="123" t="s">
        <v>42</v>
      </c>
      <c r="D1775" s="124">
        <v>9.0</v>
      </c>
      <c r="E1775" s="124">
        <v>2.0</v>
      </c>
      <c r="F1775" s="124" t="s">
        <v>248</v>
      </c>
      <c r="G1775" s="129" t="s">
        <v>1326</v>
      </c>
      <c r="H1775" s="127" t="s">
        <v>430</v>
      </c>
      <c r="I1775" s="127">
        <v>4.0</v>
      </c>
      <c r="J1775" s="124">
        <v>68.0</v>
      </c>
      <c r="K1775" s="124" t="s">
        <v>44</v>
      </c>
      <c r="L1775" s="124" t="s">
        <v>430</v>
      </c>
    </row>
    <row r="1776">
      <c r="A1776" s="165">
        <v>43793.14774797454</v>
      </c>
      <c r="B1776" s="122" t="s">
        <v>53</v>
      </c>
      <c r="C1776" s="123" t="s">
        <v>136</v>
      </c>
      <c r="D1776" s="124">
        <v>8.0</v>
      </c>
      <c r="E1776" s="124">
        <v>3.0</v>
      </c>
      <c r="F1776" s="124" t="s">
        <v>282</v>
      </c>
      <c r="G1776" s="129" t="s">
        <v>1338</v>
      </c>
      <c r="H1776" s="127" t="s">
        <v>430</v>
      </c>
      <c r="I1776" s="127">
        <v>-5.0</v>
      </c>
      <c r="J1776" s="124">
        <v>46.0</v>
      </c>
      <c r="K1776" s="124" t="s">
        <v>69</v>
      </c>
      <c r="L1776" s="124" t="s">
        <v>430</v>
      </c>
    </row>
    <row r="1777">
      <c r="A1777" s="165">
        <v>43793.14774797454</v>
      </c>
      <c r="B1777" s="122" t="s">
        <v>53</v>
      </c>
      <c r="C1777" s="123" t="s">
        <v>157</v>
      </c>
      <c r="D1777" s="124">
        <v>4.0</v>
      </c>
      <c r="E1777" s="124">
        <v>7.0</v>
      </c>
      <c r="F1777" s="124" t="s">
        <v>248</v>
      </c>
      <c r="G1777" s="129" t="s">
        <v>1339</v>
      </c>
      <c r="H1777" s="127" t="s">
        <v>430</v>
      </c>
      <c r="I1777" s="127">
        <v>-7.0</v>
      </c>
      <c r="J1777" s="124">
        <v>63.0</v>
      </c>
      <c r="K1777" s="124" t="s">
        <v>58</v>
      </c>
      <c r="L1777" s="124" t="s">
        <v>430</v>
      </c>
    </row>
    <row r="1778">
      <c r="A1778" s="165">
        <v>43793.14774797454</v>
      </c>
      <c r="B1778" s="122" t="s">
        <v>53</v>
      </c>
      <c r="C1778" s="123" t="s">
        <v>191</v>
      </c>
      <c r="D1778" s="124">
        <v>5.0</v>
      </c>
      <c r="E1778" s="124">
        <v>6.0</v>
      </c>
      <c r="F1778" s="124" t="s">
        <v>248</v>
      </c>
      <c r="G1778" s="129" t="s">
        <v>1303</v>
      </c>
      <c r="H1778" s="127" t="s">
        <v>430</v>
      </c>
      <c r="I1778" s="127">
        <v>-6.0</v>
      </c>
      <c r="J1778" s="124">
        <v>65.0</v>
      </c>
      <c r="K1778" s="124" t="s">
        <v>27</v>
      </c>
      <c r="L1778" s="124" t="s">
        <v>430</v>
      </c>
    </row>
    <row r="1779">
      <c r="A1779" s="165">
        <v>43793.14774797454</v>
      </c>
      <c r="B1779" s="122" t="s">
        <v>53</v>
      </c>
      <c r="C1779" s="123" t="s">
        <v>179</v>
      </c>
      <c r="D1779" s="124">
        <v>5.0</v>
      </c>
      <c r="E1779" s="124">
        <v>6.0</v>
      </c>
      <c r="F1779" s="124" t="s">
        <v>201</v>
      </c>
      <c r="G1779" s="129" t="s">
        <v>1340</v>
      </c>
      <c r="H1779" s="127" t="s">
        <v>430</v>
      </c>
      <c r="I1779" s="127" t="s">
        <v>967</v>
      </c>
      <c r="J1779" s="124" t="s">
        <v>735</v>
      </c>
      <c r="K1779" s="124" t="s">
        <v>288</v>
      </c>
      <c r="L1779" s="124" t="s">
        <v>430</v>
      </c>
    </row>
    <row r="1780">
      <c r="A1780" s="165">
        <v>43793.14774797454</v>
      </c>
      <c r="B1780" s="122" t="s">
        <v>53</v>
      </c>
      <c r="C1780" s="123" t="s">
        <v>100</v>
      </c>
      <c r="D1780" s="124">
        <v>10.0</v>
      </c>
      <c r="E1780" s="124">
        <v>1.0</v>
      </c>
      <c r="F1780" s="124" t="s">
        <v>207</v>
      </c>
      <c r="G1780" s="129" t="s">
        <v>1341</v>
      </c>
      <c r="H1780" s="127" t="s">
        <v>430</v>
      </c>
      <c r="I1780" s="127" t="s">
        <v>426</v>
      </c>
      <c r="J1780" s="124">
        <v>65.0</v>
      </c>
      <c r="K1780" s="124" t="s">
        <v>62</v>
      </c>
      <c r="L1780" s="124" t="s">
        <v>430</v>
      </c>
    </row>
    <row r="1781">
      <c r="A1781" s="165">
        <v>43793.14774797454</v>
      </c>
      <c r="B1781" s="122" t="s">
        <v>53</v>
      </c>
      <c r="C1781" s="123" t="s">
        <v>164</v>
      </c>
      <c r="D1781" s="124">
        <v>5.0</v>
      </c>
      <c r="E1781" s="124">
        <v>6.0</v>
      </c>
      <c r="F1781" s="124" t="s">
        <v>248</v>
      </c>
      <c r="G1781" s="129" t="s">
        <v>1342</v>
      </c>
      <c r="H1781" s="127" t="s">
        <v>430</v>
      </c>
      <c r="I1781" s="127" t="s">
        <v>1064</v>
      </c>
      <c r="J1781" s="124" t="s">
        <v>237</v>
      </c>
      <c r="K1781" s="124" t="s">
        <v>62</v>
      </c>
      <c r="L1781" s="124" t="s">
        <v>430</v>
      </c>
    </row>
    <row r="1782">
      <c r="A1782" s="165">
        <v>43793.14774797454</v>
      </c>
      <c r="B1782" s="122" t="s">
        <v>53</v>
      </c>
      <c r="C1782" s="123" t="s">
        <v>148</v>
      </c>
      <c r="D1782" s="124">
        <v>7.0</v>
      </c>
      <c r="E1782" s="124">
        <v>4.0</v>
      </c>
      <c r="F1782" s="124" t="s">
        <v>215</v>
      </c>
      <c r="G1782" s="129" t="s">
        <v>202</v>
      </c>
      <c r="H1782" s="127"/>
      <c r="I1782" s="127" t="s">
        <v>203</v>
      </c>
      <c r="J1782" s="124" t="s">
        <v>203</v>
      </c>
      <c r="K1782" s="124"/>
      <c r="L1782" s="124">
        <v>9999.0</v>
      </c>
    </row>
    <row r="1783">
      <c r="A1783" s="136" t="s">
        <v>359</v>
      </c>
      <c r="B1783" s="122" t="s">
        <v>2</v>
      </c>
      <c r="C1783" s="123" t="s">
        <v>227</v>
      </c>
      <c r="D1783" s="124" t="s">
        <v>29</v>
      </c>
      <c r="E1783" s="124" t="s">
        <v>34</v>
      </c>
      <c r="F1783" s="124" t="s">
        <v>261</v>
      </c>
      <c r="G1783" s="129" t="s">
        <v>245</v>
      </c>
      <c r="H1783" s="127" t="s">
        <v>228</v>
      </c>
      <c r="I1783" s="127" t="s">
        <v>229</v>
      </c>
      <c r="J1783" s="124" t="s">
        <v>262</v>
      </c>
      <c r="K1783" s="124" t="s">
        <v>263</v>
      </c>
      <c r="L1783" s="124" t="s">
        <v>264</v>
      </c>
    </row>
    <row r="1784">
      <c r="A1784" s="165">
        <v>43793.14774797454</v>
      </c>
      <c r="B1784" s="122" t="s">
        <v>58</v>
      </c>
      <c r="C1784" s="123" t="s">
        <v>140</v>
      </c>
      <c r="D1784" s="124">
        <v>6.0</v>
      </c>
      <c r="E1784" s="124">
        <v>5.0</v>
      </c>
      <c r="F1784" s="124" t="s">
        <v>260</v>
      </c>
      <c r="G1784" s="129" t="s">
        <v>292</v>
      </c>
      <c r="H1784" s="127" t="s">
        <v>430</v>
      </c>
      <c r="I1784" s="127">
        <v>-8.0</v>
      </c>
      <c r="J1784" s="124">
        <v>54.0</v>
      </c>
      <c r="K1784" s="124" t="s">
        <v>64</v>
      </c>
      <c r="L1784" s="124" t="s">
        <v>430</v>
      </c>
    </row>
    <row r="1785">
      <c r="A1785" s="165">
        <v>43793.14774797454</v>
      </c>
      <c r="B1785" s="122" t="s">
        <v>58</v>
      </c>
      <c r="C1785" s="123" t="s">
        <v>110</v>
      </c>
      <c r="D1785" s="124">
        <v>8.0</v>
      </c>
      <c r="E1785" s="124">
        <v>3.0</v>
      </c>
      <c r="F1785" s="124" t="s">
        <v>278</v>
      </c>
      <c r="G1785" s="129" t="s">
        <v>1343</v>
      </c>
      <c r="H1785" s="127" t="s">
        <v>430</v>
      </c>
      <c r="I1785" s="127" t="s">
        <v>281</v>
      </c>
      <c r="J1785" s="124" t="s">
        <v>482</v>
      </c>
      <c r="K1785" s="124" t="s">
        <v>288</v>
      </c>
      <c r="L1785" s="124" t="s">
        <v>430</v>
      </c>
    </row>
    <row r="1786">
      <c r="A1786" s="165">
        <v>43793.14774797454</v>
      </c>
      <c r="B1786" s="122" t="s">
        <v>58</v>
      </c>
      <c r="C1786" s="123" t="s">
        <v>186</v>
      </c>
      <c r="D1786" s="124">
        <v>10.0</v>
      </c>
      <c r="E1786" s="124">
        <v>1.0</v>
      </c>
      <c r="F1786" s="124" t="s">
        <v>242</v>
      </c>
      <c r="G1786" s="129" t="s">
        <v>1344</v>
      </c>
      <c r="H1786" s="127" t="s">
        <v>430</v>
      </c>
      <c r="I1786" s="127">
        <v>-30.0</v>
      </c>
      <c r="J1786" s="124">
        <v>53.0</v>
      </c>
      <c r="K1786" s="124" t="s">
        <v>69</v>
      </c>
      <c r="L1786" s="124" t="s">
        <v>430</v>
      </c>
    </row>
    <row r="1787">
      <c r="A1787" s="165">
        <v>43793.14774797454</v>
      </c>
      <c r="B1787" s="122" t="s">
        <v>58</v>
      </c>
      <c r="C1787" s="123" t="s">
        <v>96</v>
      </c>
      <c r="D1787" s="124">
        <v>10.0</v>
      </c>
      <c r="E1787" s="124">
        <v>1.0</v>
      </c>
      <c r="F1787" s="124" t="s">
        <v>207</v>
      </c>
      <c r="G1787" s="129" t="s">
        <v>1345</v>
      </c>
      <c r="H1787" s="127" t="s">
        <v>430</v>
      </c>
      <c r="I1787" s="127">
        <v>-6.0</v>
      </c>
      <c r="J1787" s="124" t="s">
        <v>397</v>
      </c>
      <c r="K1787" s="124" t="s">
        <v>60</v>
      </c>
      <c r="L1787" s="124" t="s">
        <v>430</v>
      </c>
    </row>
    <row r="1788">
      <c r="A1788" s="165">
        <v>43793.14774797454</v>
      </c>
      <c r="B1788" s="122" t="s">
        <v>58</v>
      </c>
      <c r="C1788" s="123" t="s">
        <v>135</v>
      </c>
      <c r="D1788" s="124">
        <v>7.0</v>
      </c>
      <c r="E1788" s="124">
        <v>4.0</v>
      </c>
      <c r="F1788" s="124" t="s">
        <v>248</v>
      </c>
      <c r="G1788" s="129" t="s">
        <v>1346</v>
      </c>
      <c r="H1788" s="127" t="s">
        <v>430</v>
      </c>
      <c r="I1788" s="127" t="s">
        <v>739</v>
      </c>
      <c r="J1788" s="124" t="s">
        <v>394</v>
      </c>
      <c r="K1788" s="124" t="s">
        <v>64</v>
      </c>
      <c r="L1788" s="124" t="s">
        <v>430</v>
      </c>
    </row>
    <row r="1789">
      <c r="A1789" s="165">
        <v>43793.14774797454</v>
      </c>
      <c r="B1789" s="122" t="s">
        <v>58</v>
      </c>
      <c r="C1789" s="123" t="s">
        <v>45</v>
      </c>
      <c r="D1789" s="124">
        <v>4.0</v>
      </c>
      <c r="E1789" s="124">
        <v>7.0</v>
      </c>
      <c r="F1789" s="124" t="s">
        <v>260</v>
      </c>
      <c r="G1789" s="129" t="s">
        <v>1347</v>
      </c>
      <c r="H1789" s="127" t="s">
        <v>430</v>
      </c>
      <c r="I1789" s="127">
        <v>14.0</v>
      </c>
      <c r="J1789" s="124">
        <v>60.0</v>
      </c>
      <c r="K1789" s="124" t="s">
        <v>69</v>
      </c>
      <c r="L1789" s="124" t="s">
        <v>430</v>
      </c>
    </row>
    <row r="1790">
      <c r="A1790" s="165">
        <v>43793.14774797454</v>
      </c>
      <c r="B1790" s="122" t="s">
        <v>58</v>
      </c>
      <c r="C1790" s="123" t="s">
        <v>158</v>
      </c>
      <c r="D1790" s="124">
        <v>3.0</v>
      </c>
      <c r="E1790" s="124">
        <v>8.0</v>
      </c>
      <c r="F1790" s="124" t="s">
        <v>284</v>
      </c>
      <c r="G1790" s="129" t="s">
        <v>1339</v>
      </c>
      <c r="H1790" s="127" t="s">
        <v>430</v>
      </c>
      <c r="I1790" s="127" t="s">
        <v>1348</v>
      </c>
      <c r="J1790" s="124">
        <v>63.0</v>
      </c>
      <c r="K1790" s="124" t="s">
        <v>53</v>
      </c>
      <c r="L1790" s="124" t="s">
        <v>430</v>
      </c>
    </row>
    <row r="1791">
      <c r="A1791" s="165">
        <v>43793.14774797454</v>
      </c>
      <c r="B1791" s="122" t="s">
        <v>58</v>
      </c>
      <c r="C1791" s="123" t="s">
        <v>165</v>
      </c>
      <c r="D1791" s="124">
        <v>9.0</v>
      </c>
      <c r="E1791" s="124">
        <v>2.0</v>
      </c>
      <c r="F1791" s="124" t="s">
        <v>201</v>
      </c>
      <c r="G1791" s="129" t="s">
        <v>1335</v>
      </c>
      <c r="H1791" s="127" t="s">
        <v>430</v>
      </c>
      <c r="I1791" s="127" t="s">
        <v>1069</v>
      </c>
      <c r="J1791" s="124" t="s">
        <v>237</v>
      </c>
      <c r="K1791" s="124" t="s">
        <v>48</v>
      </c>
      <c r="L1791" s="124" t="s">
        <v>430</v>
      </c>
    </row>
    <row r="1792">
      <c r="A1792" s="165">
        <v>43793.14774797454</v>
      </c>
      <c r="B1792" s="122" t="s">
        <v>58</v>
      </c>
      <c r="C1792" s="123" t="s">
        <v>183</v>
      </c>
      <c r="D1792" s="124">
        <v>6.0</v>
      </c>
      <c r="E1792" s="124">
        <v>5.0</v>
      </c>
      <c r="F1792" s="124" t="s">
        <v>248</v>
      </c>
      <c r="G1792" s="129" t="s">
        <v>1322</v>
      </c>
      <c r="H1792" s="127" t="s">
        <v>430</v>
      </c>
      <c r="I1792" s="127">
        <v>5.0</v>
      </c>
      <c r="J1792" s="124" t="s">
        <v>519</v>
      </c>
      <c r="K1792" s="124" t="s">
        <v>41</v>
      </c>
      <c r="L1792" s="124" t="s">
        <v>430</v>
      </c>
    </row>
    <row r="1793">
      <c r="A1793" s="165">
        <v>43793.14774797454</v>
      </c>
      <c r="B1793" s="122" t="s">
        <v>58</v>
      </c>
      <c r="C1793" s="123" t="s">
        <v>72</v>
      </c>
      <c r="D1793" s="124">
        <v>4.0</v>
      </c>
      <c r="E1793" s="124">
        <v>7.0</v>
      </c>
      <c r="F1793" s="124" t="s">
        <v>285</v>
      </c>
      <c r="G1793" s="129" t="s">
        <v>1349</v>
      </c>
      <c r="H1793" s="127" t="s">
        <v>430</v>
      </c>
      <c r="I1793" s="127" t="s">
        <v>247</v>
      </c>
      <c r="J1793" s="124" t="s">
        <v>406</v>
      </c>
      <c r="K1793" s="124" t="s">
        <v>60</v>
      </c>
      <c r="L1793" s="124" t="s">
        <v>430</v>
      </c>
    </row>
    <row r="1794">
      <c r="A1794" s="136" t="s">
        <v>359</v>
      </c>
      <c r="B1794" s="122" t="s">
        <v>2</v>
      </c>
      <c r="C1794" s="123" t="s">
        <v>227</v>
      </c>
      <c r="D1794" s="124" t="s">
        <v>29</v>
      </c>
      <c r="E1794" s="124" t="s">
        <v>34</v>
      </c>
      <c r="F1794" s="124" t="s">
        <v>261</v>
      </c>
      <c r="G1794" s="129" t="s">
        <v>245</v>
      </c>
      <c r="H1794" s="127" t="s">
        <v>228</v>
      </c>
      <c r="I1794" s="127" t="s">
        <v>229</v>
      </c>
      <c r="J1794" s="124" t="s">
        <v>262</v>
      </c>
      <c r="K1794" s="124" t="s">
        <v>263</v>
      </c>
      <c r="L1794" s="124" t="s">
        <v>264</v>
      </c>
    </row>
    <row r="1795">
      <c r="A1795" s="165">
        <v>43793.14774797454</v>
      </c>
      <c r="B1795" s="122" t="s">
        <v>60</v>
      </c>
      <c r="C1795" s="123" t="s">
        <v>137</v>
      </c>
      <c r="D1795" s="124">
        <v>0.0</v>
      </c>
      <c r="E1795" s="124">
        <v>11.0</v>
      </c>
      <c r="F1795" s="124" t="s">
        <v>248</v>
      </c>
      <c r="G1795" s="129" t="s">
        <v>1330</v>
      </c>
      <c r="H1795" s="127" t="s">
        <v>430</v>
      </c>
      <c r="I1795" s="127">
        <v>31.0</v>
      </c>
      <c r="J1795" s="124">
        <v>44.0</v>
      </c>
      <c r="K1795" s="124" t="s">
        <v>48</v>
      </c>
      <c r="L1795" s="124" t="s">
        <v>430</v>
      </c>
    </row>
    <row r="1796">
      <c r="A1796" s="165">
        <v>43793.14774797454</v>
      </c>
      <c r="B1796" s="122" t="s">
        <v>60</v>
      </c>
      <c r="C1796" s="123" t="s">
        <v>117</v>
      </c>
      <c r="D1796" s="124">
        <v>2.0</v>
      </c>
      <c r="E1796" s="124">
        <v>9.0</v>
      </c>
      <c r="F1796" s="124" t="s">
        <v>266</v>
      </c>
      <c r="G1796" s="129" t="s">
        <v>1350</v>
      </c>
      <c r="H1796" s="127" t="s">
        <v>430</v>
      </c>
      <c r="I1796" s="127" t="s">
        <v>274</v>
      </c>
      <c r="J1796" s="124">
        <v>40.0</v>
      </c>
      <c r="K1796" s="124" t="s">
        <v>64</v>
      </c>
      <c r="L1796" s="124" t="s">
        <v>430</v>
      </c>
    </row>
    <row r="1797">
      <c r="A1797" s="165">
        <v>43793.14774797454</v>
      </c>
      <c r="B1797" s="122" t="s">
        <v>60</v>
      </c>
      <c r="C1797" s="123" t="s">
        <v>59</v>
      </c>
      <c r="D1797" s="124">
        <v>8.0</v>
      </c>
      <c r="E1797" s="124">
        <v>3.0</v>
      </c>
      <c r="F1797" s="124" t="s">
        <v>248</v>
      </c>
      <c r="G1797" s="129" t="s">
        <v>1318</v>
      </c>
      <c r="H1797" s="127" t="s">
        <v>430</v>
      </c>
      <c r="I1797" s="127">
        <v>-6.0</v>
      </c>
      <c r="J1797" s="124" t="s">
        <v>764</v>
      </c>
      <c r="K1797" s="124" t="s">
        <v>41</v>
      </c>
      <c r="L1797" s="124" t="s">
        <v>430</v>
      </c>
    </row>
    <row r="1798">
      <c r="A1798" s="165">
        <v>43793.14774797454</v>
      </c>
      <c r="B1798" s="122" t="s">
        <v>60</v>
      </c>
      <c r="C1798" s="123" t="s">
        <v>189</v>
      </c>
      <c r="D1798" s="124">
        <v>7.0</v>
      </c>
      <c r="E1798" s="124">
        <v>4.0</v>
      </c>
      <c r="F1798" s="124" t="s">
        <v>242</v>
      </c>
      <c r="G1798" s="129" t="s">
        <v>1351</v>
      </c>
      <c r="H1798" s="127" t="s">
        <v>430</v>
      </c>
      <c r="I1798" s="127" t="s">
        <v>431</v>
      </c>
      <c r="J1798" s="124" t="s">
        <v>280</v>
      </c>
      <c r="K1798" s="124" t="s">
        <v>62</v>
      </c>
      <c r="L1798" s="124" t="s">
        <v>430</v>
      </c>
    </row>
    <row r="1799">
      <c r="A1799" s="165">
        <v>43793.14774797454</v>
      </c>
      <c r="B1799" s="122" t="s">
        <v>60</v>
      </c>
      <c r="C1799" s="123" t="s">
        <v>149</v>
      </c>
      <c r="D1799" s="124">
        <v>9.0</v>
      </c>
      <c r="E1799" s="124">
        <v>2.0</v>
      </c>
      <c r="F1799" s="124" t="s">
        <v>215</v>
      </c>
      <c r="G1799" s="129" t="s">
        <v>1332</v>
      </c>
      <c r="H1799" s="127" t="s">
        <v>430</v>
      </c>
      <c r="I1799" s="127">
        <v>-22.0</v>
      </c>
      <c r="J1799" s="124">
        <v>58.0</v>
      </c>
      <c r="K1799" s="124" t="s">
        <v>48</v>
      </c>
      <c r="L1799" s="124" t="s">
        <v>430</v>
      </c>
    </row>
    <row r="1800">
      <c r="A1800" s="165">
        <v>43793.14774797454</v>
      </c>
      <c r="B1800" s="122" t="s">
        <v>60</v>
      </c>
      <c r="C1800" s="123" t="s">
        <v>103</v>
      </c>
      <c r="D1800" s="124">
        <v>6.0</v>
      </c>
      <c r="E1800" s="124">
        <v>5.0</v>
      </c>
      <c r="F1800" s="124" t="s">
        <v>269</v>
      </c>
      <c r="G1800" s="129" t="s">
        <v>1345</v>
      </c>
      <c r="H1800" s="127" t="s">
        <v>430</v>
      </c>
      <c r="I1800" s="127">
        <v>6.0</v>
      </c>
      <c r="J1800" s="124" t="s">
        <v>397</v>
      </c>
      <c r="K1800" s="124" t="s">
        <v>58</v>
      </c>
      <c r="L1800" s="124" t="s">
        <v>430</v>
      </c>
    </row>
    <row r="1801">
      <c r="A1801" s="165">
        <v>43793.14774797454</v>
      </c>
      <c r="B1801" s="122" t="s">
        <v>60</v>
      </c>
      <c r="C1801" s="123" t="s">
        <v>123</v>
      </c>
      <c r="D1801" s="124">
        <v>6.0</v>
      </c>
      <c r="E1801" s="124">
        <v>5.0</v>
      </c>
      <c r="F1801" s="124" t="s">
        <v>248</v>
      </c>
      <c r="G1801" s="129" t="s">
        <v>1352</v>
      </c>
      <c r="H1801" s="127" t="s">
        <v>430</v>
      </c>
      <c r="I1801" s="127" t="s">
        <v>775</v>
      </c>
      <c r="J1801" s="124">
        <v>49.0</v>
      </c>
      <c r="K1801" s="124" t="s">
        <v>69</v>
      </c>
      <c r="L1801" s="124" t="s">
        <v>430</v>
      </c>
    </row>
    <row r="1802">
      <c r="A1802" s="165">
        <v>43793.14774797454</v>
      </c>
      <c r="B1802" s="122" t="s">
        <v>60</v>
      </c>
      <c r="C1802" s="123" t="s">
        <v>95</v>
      </c>
      <c r="D1802" s="124">
        <v>8.0</v>
      </c>
      <c r="E1802" s="124">
        <v>3.0</v>
      </c>
      <c r="F1802" s="124" t="s">
        <v>207</v>
      </c>
      <c r="G1802" s="129" t="s">
        <v>1349</v>
      </c>
      <c r="H1802" s="127" t="s">
        <v>430</v>
      </c>
      <c r="I1802" s="127" t="s">
        <v>244</v>
      </c>
      <c r="J1802" s="124" t="s">
        <v>406</v>
      </c>
      <c r="K1802" s="124" t="s">
        <v>58</v>
      </c>
      <c r="L1802" s="124" t="s">
        <v>430</v>
      </c>
    </row>
    <row r="1803">
      <c r="A1803" s="165">
        <v>43793.14774797454</v>
      </c>
      <c r="B1803" s="122" t="s">
        <v>60</v>
      </c>
      <c r="C1803" s="123" t="s">
        <v>166</v>
      </c>
      <c r="D1803" s="124">
        <v>5.0</v>
      </c>
      <c r="E1803" s="124">
        <v>6.0</v>
      </c>
      <c r="F1803" s="124" t="s">
        <v>269</v>
      </c>
      <c r="G1803" s="129" t="s">
        <v>1314</v>
      </c>
      <c r="H1803" s="127" t="s">
        <v>430</v>
      </c>
      <c r="I1803" s="127" t="s">
        <v>492</v>
      </c>
      <c r="J1803" s="124">
        <v>75.0</v>
      </c>
      <c r="K1803" s="124" t="s">
        <v>38</v>
      </c>
      <c r="L1803" s="124" t="s">
        <v>430</v>
      </c>
    </row>
    <row r="1804">
      <c r="A1804" s="165">
        <v>43793.14774797454</v>
      </c>
      <c r="B1804" s="122" t="s">
        <v>60</v>
      </c>
      <c r="C1804" s="123" t="s">
        <v>175</v>
      </c>
      <c r="D1804" s="124">
        <v>9.0</v>
      </c>
      <c r="E1804" s="124">
        <v>2.0</v>
      </c>
      <c r="F1804" s="124" t="s">
        <v>234</v>
      </c>
      <c r="G1804" s="129" t="s">
        <v>202</v>
      </c>
      <c r="H1804" s="127"/>
      <c r="I1804" s="127" t="s">
        <v>203</v>
      </c>
      <c r="J1804" s="124" t="s">
        <v>203</v>
      </c>
      <c r="K1804" s="124"/>
      <c r="L1804" s="124">
        <v>9999.0</v>
      </c>
    </row>
    <row r="1805">
      <c r="A1805" s="136" t="s">
        <v>359</v>
      </c>
      <c r="B1805" s="122" t="s">
        <v>2</v>
      </c>
      <c r="C1805" s="123" t="s">
        <v>227</v>
      </c>
      <c r="D1805" s="124" t="s">
        <v>29</v>
      </c>
      <c r="E1805" s="124" t="s">
        <v>34</v>
      </c>
      <c r="F1805" s="124" t="s">
        <v>261</v>
      </c>
      <c r="G1805" s="129" t="s">
        <v>245</v>
      </c>
      <c r="H1805" s="127" t="s">
        <v>228</v>
      </c>
      <c r="I1805" s="127" t="s">
        <v>229</v>
      </c>
      <c r="J1805" s="124" t="s">
        <v>262</v>
      </c>
      <c r="K1805" s="124" t="s">
        <v>263</v>
      </c>
      <c r="L1805" s="124" t="s">
        <v>264</v>
      </c>
    </row>
    <row r="1806">
      <c r="A1806" s="165">
        <v>43793.14774797454</v>
      </c>
      <c r="B1806" s="122" t="s">
        <v>62</v>
      </c>
      <c r="C1806" s="123" t="s">
        <v>143</v>
      </c>
      <c r="D1806" s="124">
        <v>5.0</v>
      </c>
      <c r="E1806" s="124">
        <v>6.0</v>
      </c>
      <c r="F1806" s="124" t="s">
        <v>260</v>
      </c>
      <c r="G1806" s="129" t="s">
        <v>1298</v>
      </c>
      <c r="H1806" s="127" t="s">
        <v>430</v>
      </c>
      <c r="I1806" s="127" t="s">
        <v>418</v>
      </c>
      <c r="J1806" s="124" t="s">
        <v>370</v>
      </c>
      <c r="K1806" s="124" t="s">
        <v>27</v>
      </c>
      <c r="L1806" s="124" t="s">
        <v>430</v>
      </c>
    </row>
    <row r="1807">
      <c r="A1807" s="165">
        <v>43793.14774797454</v>
      </c>
      <c r="B1807" s="122" t="s">
        <v>62</v>
      </c>
      <c r="C1807" s="123" t="s">
        <v>192</v>
      </c>
      <c r="D1807" s="124">
        <v>1.0</v>
      </c>
      <c r="E1807" s="124">
        <v>10.0</v>
      </c>
      <c r="F1807" s="124" t="s">
        <v>267</v>
      </c>
      <c r="G1807" s="129" t="s">
        <v>1351</v>
      </c>
      <c r="H1807" s="127" t="s">
        <v>430</v>
      </c>
      <c r="I1807" s="127" t="s">
        <v>492</v>
      </c>
      <c r="J1807" s="124" t="s">
        <v>280</v>
      </c>
      <c r="K1807" s="124" t="s">
        <v>60</v>
      </c>
      <c r="L1807" s="124" t="s">
        <v>430</v>
      </c>
    </row>
    <row r="1808">
      <c r="A1808" s="165">
        <v>43793.14774797454</v>
      </c>
      <c r="B1808" s="122" t="s">
        <v>62</v>
      </c>
      <c r="C1808" s="123" t="s">
        <v>184</v>
      </c>
      <c r="D1808" s="124">
        <v>7.0</v>
      </c>
      <c r="E1808" s="124">
        <v>4.0</v>
      </c>
      <c r="F1808" s="124" t="s">
        <v>287</v>
      </c>
      <c r="G1808" s="129" t="s">
        <v>1333</v>
      </c>
      <c r="H1808" s="127" t="s">
        <v>430</v>
      </c>
      <c r="I1808" s="127" t="s">
        <v>274</v>
      </c>
      <c r="J1808" s="124" t="s">
        <v>519</v>
      </c>
      <c r="K1808" s="124" t="s">
        <v>48</v>
      </c>
      <c r="L1808" s="124" t="s">
        <v>430</v>
      </c>
    </row>
    <row r="1809">
      <c r="A1809" s="165">
        <v>43793.14774797454</v>
      </c>
      <c r="B1809" s="122" t="s">
        <v>62</v>
      </c>
      <c r="C1809" s="123" t="s">
        <v>112</v>
      </c>
      <c r="D1809" s="124">
        <v>9.0</v>
      </c>
      <c r="E1809" s="124">
        <v>2.0</v>
      </c>
      <c r="F1809" s="124" t="s">
        <v>278</v>
      </c>
      <c r="G1809" s="129" t="s">
        <v>1353</v>
      </c>
      <c r="H1809" s="127" t="s">
        <v>430</v>
      </c>
      <c r="I1809" s="127" t="s">
        <v>597</v>
      </c>
      <c r="J1809" s="124">
        <v>52.0</v>
      </c>
      <c r="K1809" s="124" t="s">
        <v>69</v>
      </c>
      <c r="L1809" s="124" t="s">
        <v>430</v>
      </c>
    </row>
    <row r="1810">
      <c r="A1810" s="165">
        <v>43793.14774797454</v>
      </c>
      <c r="B1810" s="122" t="s">
        <v>62</v>
      </c>
      <c r="C1810" s="123" t="s">
        <v>128</v>
      </c>
      <c r="D1810" s="124">
        <v>4.0</v>
      </c>
      <c r="E1810" s="124">
        <v>7.0</v>
      </c>
      <c r="F1810" s="124" t="s">
        <v>248</v>
      </c>
      <c r="G1810" s="129" t="s">
        <v>1354</v>
      </c>
      <c r="H1810" s="127" t="s">
        <v>430</v>
      </c>
      <c r="I1810" s="127" t="s">
        <v>244</v>
      </c>
      <c r="J1810" s="124">
        <v>57.0</v>
      </c>
      <c r="K1810" s="124" t="s">
        <v>288</v>
      </c>
      <c r="L1810" s="124" t="s">
        <v>430</v>
      </c>
    </row>
    <row r="1811">
      <c r="A1811" s="165">
        <v>43793.14774797454</v>
      </c>
      <c r="B1811" s="122" t="s">
        <v>62</v>
      </c>
      <c r="C1811" s="123" t="s">
        <v>92</v>
      </c>
      <c r="D1811" s="124">
        <v>4.0</v>
      </c>
      <c r="E1811" s="124">
        <v>7.0</v>
      </c>
      <c r="F1811" s="124" t="s">
        <v>285</v>
      </c>
      <c r="G1811" s="129" t="s">
        <v>1355</v>
      </c>
      <c r="H1811" s="127" t="s">
        <v>430</v>
      </c>
      <c r="I1811" s="127">
        <v>10.0</v>
      </c>
      <c r="J1811" s="124">
        <v>62.0</v>
      </c>
      <c r="K1811" s="124" t="s">
        <v>288</v>
      </c>
      <c r="L1811" s="124" t="s">
        <v>430</v>
      </c>
    </row>
    <row r="1812">
      <c r="A1812" s="165">
        <v>43793.14774797454</v>
      </c>
      <c r="B1812" s="122" t="s">
        <v>62</v>
      </c>
      <c r="C1812" s="123" t="s">
        <v>5</v>
      </c>
      <c r="D1812" s="124">
        <v>10.0</v>
      </c>
      <c r="E1812" s="124">
        <v>1.0</v>
      </c>
      <c r="F1812" s="124" t="s">
        <v>260</v>
      </c>
      <c r="G1812" s="129" t="s">
        <v>1356</v>
      </c>
      <c r="H1812" s="127" t="s">
        <v>430</v>
      </c>
      <c r="I1812" s="127" t="s">
        <v>431</v>
      </c>
      <c r="J1812" s="124" t="s">
        <v>482</v>
      </c>
      <c r="K1812" s="124" t="s">
        <v>64</v>
      </c>
      <c r="L1812" s="124" t="s">
        <v>430</v>
      </c>
    </row>
    <row r="1813">
      <c r="A1813" s="165">
        <v>43793.14774797454</v>
      </c>
      <c r="B1813" s="122" t="s">
        <v>62</v>
      </c>
      <c r="C1813" s="123" t="s">
        <v>102</v>
      </c>
      <c r="D1813" s="124">
        <v>5.0</v>
      </c>
      <c r="E1813" s="124">
        <v>6.0</v>
      </c>
      <c r="F1813" s="124" t="s">
        <v>215</v>
      </c>
      <c r="G1813" s="129" t="s">
        <v>1341</v>
      </c>
      <c r="H1813" s="127" t="s">
        <v>430</v>
      </c>
      <c r="I1813" s="127" t="s">
        <v>526</v>
      </c>
      <c r="J1813" s="124">
        <v>65.0</v>
      </c>
      <c r="K1813" s="124" t="s">
        <v>53</v>
      </c>
      <c r="L1813" s="124" t="s">
        <v>430</v>
      </c>
    </row>
    <row r="1814">
      <c r="A1814" s="165">
        <v>43793.14774797454</v>
      </c>
      <c r="B1814" s="122" t="s">
        <v>62</v>
      </c>
      <c r="C1814" s="123" t="s">
        <v>171</v>
      </c>
      <c r="D1814" s="124">
        <v>6.0</v>
      </c>
      <c r="E1814" s="124">
        <v>5.0</v>
      </c>
      <c r="F1814" s="124" t="s">
        <v>248</v>
      </c>
      <c r="G1814" s="129" t="s">
        <v>1342</v>
      </c>
      <c r="H1814" s="127" t="s">
        <v>430</v>
      </c>
      <c r="I1814" s="127" t="s">
        <v>1069</v>
      </c>
      <c r="J1814" s="124" t="s">
        <v>237</v>
      </c>
      <c r="K1814" s="124" t="s">
        <v>53</v>
      </c>
      <c r="L1814" s="124" t="s">
        <v>430</v>
      </c>
    </row>
    <row r="1815">
      <c r="A1815" s="165">
        <v>43793.14774797454</v>
      </c>
      <c r="B1815" s="122" t="s">
        <v>62</v>
      </c>
      <c r="C1815" s="123" t="s">
        <v>153</v>
      </c>
      <c r="D1815" s="124">
        <v>8.0</v>
      </c>
      <c r="E1815" s="124">
        <v>4.0</v>
      </c>
      <c r="F1815" s="124" t="s">
        <v>284</v>
      </c>
      <c r="G1815" s="129" t="s">
        <v>1315</v>
      </c>
      <c r="H1815" s="127" t="s">
        <v>430</v>
      </c>
      <c r="I1815" s="127">
        <v>-3.0</v>
      </c>
      <c r="J1815" s="124">
        <v>51.0</v>
      </c>
      <c r="K1815" s="124" t="s">
        <v>38</v>
      </c>
      <c r="L1815" s="124" t="s">
        <v>430</v>
      </c>
    </row>
    <row r="1816">
      <c r="A1816" s="136" t="s">
        <v>359</v>
      </c>
      <c r="B1816" s="122" t="s">
        <v>2</v>
      </c>
      <c r="C1816" s="123" t="s">
        <v>227</v>
      </c>
      <c r="D1816" s="124" t="s">
        <v>29</v>
      </c>
      <c r="E1816" s="124" t="s">
        <v>34</v>
      </c>
      <c r="F1816" s="124" t="s">
        <v>261</v>
      </c>
      <c r="G1816" s="129" t="s">
        <v>245</v>
      </c>
      <c r="H1816" s="127" t="s">
        <v>228</v>
      </c>
      <c r="I1816" s="127" t="s">
        <v>229</v>
      </c>
      <c r="J1816" s="124" t="s">
        <v>262</v>
      </c>
      <c r="K1816" s="124" t="s">
        <v>263</v>
      </c>
      <c r="L1816" s="124" t="s">
        <v>264</v>
      </c>
    </row>
    <row r="1817">
      <c r="A1817" s="165">
        <v>43793.14774797454</v>
      </c>
      <c r="B1817" s="122" t="s">
        <v>64</v>
      </c>
      <c r="C1817" s="123" t="s">
        <v>147</v>
      </c>
      <c r="D1817" s="124">
        <v>6.0</v>
      </c>
      <c r="E1817" s="124">
        <v>5.0</v>
      </c>
      <c r="F1817" s="124" t="s">
        <v>242</v>
      </c>
      <c r="G1817" s="129" t="s">
        <v>292</v>
      </c>
      <c r="H1817" s="127" t="s">
        <v>430</v>
      </c>
      <c r="I1817" s="127">
        <v>8.0</v>
      </c>
      <c r="J1817" s="124">
        <v>54.0</v>
      </c>
      <c r="K1817" s="124" t="s">
        <v>58</v>
      </c>
      <c r="L1817" s="124" t="s">
        <v>430</v>
      </c>
    </row>
    <row r="1818">
      <c r="A1818" s="165">
        <v>43793.14774797454</v>
      </c>
      <c r="B1818" s="122" t="s">
        <v>64</v>
      </c>
      <c r="C1818" s="123" t="s">
        <v>115</v>
      </c>
      <c r="D1818" s="124">
        <v>10.0</v>
      </c>
      <c r="E1818" s="124">
        <v>1.0</v>
      </c>
      <c r="F1818" s="124" t="s">
        <v>278</v>
      </c>
      <c r="G1818" s="129" t="s">
        <v>1350</v>
      </c>
      <c r="H1818" s="127" t="s">
        <v>430</v>
      </c>
      <c r="I1818" s="127" t="s">
        <v>226</v>
      </c>
      <c r="J1818" s="124">
        <v>40.0</v>
      </c>
      <c r="K1818" s="124" t="s">
        <v>60</v>
      </c>
      <c r="L1818" s="124" t="s">
        <v>430</v>
      </c>
    </row>
    <row r="1819">
      <c r="A1819" s="165">
        <v>43793.14774797454</v>
      </c>
      <c r="B1819" s="122" t="s">
        <v>64</v>
      </c>
      <c r="C1819" s="123" t="s">
        <v>98</v>
      </c>
      <c r="D1819" s="124">
        <v>3.0</v>
      </c>
      <c r="E1819" s="124">
        <v>8.0</v>
      </c>
      <c r="F1819" s="124" t="s">
        <v>269</v>
      </c>
      <c r="G1819" s="129" t="s">
        <v>1308</v>
      </c>
      <c r="H1819" s="127" t="s">
        <v>430</v>
      </c>
      <c r="I1819" s="127" t="s">
        <v>634</v>
      </c>
      <c r="J1819" s="124">
        <v>59.0</v>
      </c>
      <c r="K1819" s="124" t="s">
        <v>38</v>
      </c>
      <c r="L1819" s="124" t="s">
        <v>430</v>
      </c>
    </row>
    <row r="1820">
      <c r="A1820" s="165">
        <v>43793.14774797454</v>
      </c>
      <c r="B1820" s="122" t="s">
        <v>64</v>
      </c>
      <c r="C1820" s="123" t="s">
        <v>169</v>
      </c>
      <c r="D1820" s="124">
        <v>8.0</v>
      </c>
      <c r="E1820" s="124">
        <v>4.0</v>
      </c>
      <c r="F1820" s="124" t="s">
        <v>269</v>
      </c>
      <c r="G1820" s="129" t="s">
        <v>1319</v>
      </c>
      <c r="H1820" s="127" t="s">
        <v>430</v>
      </c>
      <c r="I1820" s="127">
        <v>-14.0</v>
      </c>
      <c r="J1820" s="124" t="s">
        <v>240</v>
      </c>
      <c r="K1820" s="124" t="s">
        <v>41</v>
      </c>
      <c r="L1820" s="124" t="s">
        <v>430</v>
      </c>
    </row>
    <row r="1821">
      <c r="A1821" s="165">
        <v>43793.14774797454</v>
      </c>
      <c r="B1821" s="122" t="s">
        <v>64</v>
      </c>
      <c r="C1821" s="123" t="s">
        <v>131</v>
      </c>
      <c r="D1821" s="124">
        <v>7.0</v>
      </c>
      <c r="E1821" s="124">
        <v>4.0</v>
      </c>
      <c r="F1821" s="124" t="s">
        <v>248</v>
      </c>
      <c r="G1821" s="129" t="s">
        <v>1346</v>
      </c>
      <c r="H1821" s="127" t="s">
        <v>430</v>
      </c>
      <c r="I1821" s="127" t="s">
        <v>620</v>
      </c>
      <c r="J1821" s="124" t="s">
        <v>394</v>
      </c>
      <c r="K1821" s="124" t="s">
        <v>58</v>
      </c>
      <c r="L1821" s="124" t="s">
        <v>430</v>
      </c>
    </row>
    <row r="1822">
      <c r="A1822" s="165">
        <v>43793.14774797454</v>
      </c>
      <c r="B1822" s="122" t="s">
        <v>64</v>
      </c>
      <c r="C1822" s="123" t="s">
        <v>177</v>
      </c>
      <c r="D1822" s="124">
        <v>6.0</v>
      </c>
      <c r="E1822" s="124">
        <v>5.0</v>
      </c>
      <c r="F1822" s="124" t="s">
        <v>287</v>
      </c>
      <c r="G1822" s="129" t="s">
        <v>1357</v>
      </c>
      <c r="H1822" s="127" t="s">
        <v>430</v>
      </c>
      <c r="I1822" s="127" t="s">
        <v>382</v>
      </c>
      <c r="J1822" s="124"/>
      <c r="K1822" s="124" t="s">
        <v>288</v>
      </c>
      <c r="L1822" s="124" t="s">
        <v>430</v>
      </c>
    </row>
    <row r="1823">
      <c r="A1823" s="165">
        <v>43793.14774797454</v>
      </c>
      <c r="B1823" s="122" t="s">
        <v>64</v>
      </c>
      <c r="C1823" s="123" t="s">
        <v>49</v>
      </c>
      <c r="D1823" s="124">
        <v>7.0</v>
      </c>
      <c r="E1823" s="124">
        <v>4.0</v>
      </c>
      <c r="F1823" s="124" t="s">
        <v>242</v>
      </c>
      <c r="G1823" s="129" t="s">
        <v>1356</v>
      </c>
      <c r="H1823" s="127" t="s">
        <v>430</v>
      </c>
      <c r="I1823" s="127" t="s">
        <v>492</v>
      </c>
      <c r="J1823" s="124" t="s">
        <v>482</v>
      </c>
      <c r="K1823" s="124" t="s">
        <v>62</v>
      </c>
      <c r="L1823" s="124" t="s">
        <v>430</v>
      </c>
    </row>
    <row r="1824">
      <c r="A1824" s="165">
        <v>43793.14774797454</v>
      </c>
      <c r="B1824" s="122" t="s">
        <v>64</v>
      </c>
      <c r="C1824" s="123" t="s">
        <v>154</v>
      </c>
      <c r="D1824" s="124">
        <v>7.0</v>
      </c>
      <c r="E1824" s="124">
        <v>4.0</v>
      </c>
      <c r="F1824" s="124" t="s">
        <v>248</v>
      </c>
      <c r="G1824" s="129" t="s">
        <v>1306</v>
      </c>
      <c r="H1824" s="127" t="s">
        <v>430</v>
      </c>
      <c r="I1824" s="127">
        <v>14.0</v>
      </c>
      <c r="J1824" s="124">
        <v>53.0</v>
      </c>
      <c r="K1824" s="124" t="s">
        <v>27</v>
      </c>
      <c r="L1824" s="124" t="s">
        <v>430</v>
      </c>
    </row>
    <row r="1825">
      <c r="A1825" s="165">
        <v>43793.14774797454</v>
      </c>
      <c r="B1825" s="122" t="s">
        <v>64</v>
      </c>
      <c r="C1825" s="123" t="s">
        <v>196</v>
      </c>
      <c r="D1825" s="124">
        <v>5.0</v>
      </c>
      <c r="E1825" s="124">
        <v>6.0</v>
      </c>
      <c r="F1825" s="124" t="s">
        <v>260</v>
      </c>
      <c r="G1825" s="129" t="s">
        <v>202</v>
      </c>
      <c r="H1825" s="127"/>
      <c r="I1825" s="127" t="s">
        <v>203</v>
      </c>
      <c r="J1825" s="124" t="s">
        <v>203</v>
      </c>
      <c r="K1825" s="124"/>
      <c r="L1825" s="124">
        <v>9999.0</v>
      </c>
    </row>
    <row r="1826">
      <c r="A1826" s="165">
        <v>43793.14774797454</v>
      </c>
      <c r="B1826" s="122" t="s">
        <v>64</v>
      </c>
      <c r="C1826" s="123" t="s">
        <v>76</v>
      </c>
      <c r="D1826" s="124">
        <v>6.0</v>
      </c>
      <c r="E1826" s="124">
        <v>5.0</v>
      </c>
      <c r="F1826" s="124" t="s">
        <v>265</v>
      </c>
      <c r="G1826" s="129" t="s">
        <v>202</v>
      </c>
      <c r="H1826" s="127"/>
      <c r="I1826" s="127" t="s">
        <v>203</v>
      </c>
      <c r="J1826" s="124" t="s">
        <v>203</v>
      </c>
      <c r="K1826" s="124"/>
      <c r="L1826" s="124">
        <v>9999.0</v>
      </c>
    </row>
    <row r="1827">
      <c r="A1827" s="136" t="s">
        <v>359</v>
      </c>
      <c r="B1827" s="122" t="s">
        <v>2</v>
      </c>
      <c r="C1827" s="123" t="s">
        <v>227</v>
      </c>
      <c r="D1827" s="124" t="s">
        <v>29</v>
      </c>
      <c r="E1827" s="124" t="s">
        <v>34</v>
      </c>
      <c r="F1827" s="124" t="s">
        <v>261</v>
      </c>
      <c r="G1827" s="129" t="s">
        <v>245</v>
      </c>
      <c r="H1827" s="127" t="s">
        <v>228</v>
      </c>
      <c r="I1827" s="127" t="s">
        <v>229</v>
      </c>
      <c r="J1827" s="124" t="s">
        <v>262</v>
      </c>
      <c r="K1827" s="124" t="s">
        <v>263</v>
      </c>
      <c r="L1827" s="124"/>
    </row>
    <row r="1828">
      <c r="A1828" s="165">
        <v>43793.14774797454</v>
      </c>
      <c r="B1828" s="122" t="s">
        <v>69</v>
      </c>
      <c r="C1828" s="123" t="s">
        <v>142</v>
      </c>
      <c r="D1828" s="124">
        <v>6.0</v>
      </c>
      <c r="E1828" s="124">
        <v>5.0</v>
      </c>
      <c r="F1828" s="124" t="s">
        <v>248</v>
      </c>
      <c r="G1828" s="129" t="s">
        <v>1324</v>
      </c>
      <c r="H1828" s="127" t="s">
        <v>430</v>
      </c>
      <c r="I1828" s="127">
        <v>5.0</v>
      </c>
      <c r="J1828" s="124">
        <v>54.0</v>
      </c>
      <c r="K1828" s="124" t="s">
        <v>44</v>
      </c>
      <c r="L1828" s="124" t="s">
        <v>430</v>
      </c>
    </row>
    <row r="1829">
      <c r="A1829" s="165">
        <v>43793.14774797454</v>
      </c>
      <c r="B1829" s="122" t="s">
        <v>69</v>
      </c>
      <c r="C1829" s="123" t="s">
        <v>151</v>
      </c>
      <c r="D1829" s="124">
        <v>4.0</v>
      </c>
      <c r="E1829" s="124">
        <v>7.0</v>
      </c>
      <c r="F1829" s="124" t="s">
        <v>215</v>
      </c>
      <c r="G1829" s="129" t="s">
        <v>1358</v>
      </c>
      <c r="H1829" s="127" t="s">
        <v>430</v>
      </c>
      <c r="I1829" s="127">
        <v>7.0</v>
      </c>
      <c r="J1829" s="124" t="s">
        <v>507</v>
      </c>
      <c r="K1829" s="124" t="s">
        <v>74</v>
      </c>
      <c r="L1829" s="124" t="s">
        <v>430</v>
      </c>
    </row>
    <row r="1830">
      <c r="A1830" s="165">
        <v>43793.14774797454</v>
      </c>
      <c r="B1830" s="122" t="s">
        <v>69</v>
      </c>
      <c r="C1830" s="123" t="s">
        <v>101</v>
      </c>
      <c r="D1830" s="124">
        <v>8.0</v>
      </c>
      <c r="E1830" s="124">
        <v>3.0</v>
      </c>
      <c r="F1830" s="124" t="s">
        <v>269</v>
      </c>
      <c r="G1830" s="129" t="s">
        <v>1331</v>
      </c>
      <c r="H1830" s="127" t="s">
        <v>430</v>
      </c>
      <c r="I1830" s="127">
        <v>-7.0</v>
      </c>
      <c r="J1830" s="124" t="s">
        <v>412</v>
      </c>
      <c r="K1830" s="124" t="s">
        <v>48</v>
      </c>
      <c r="L1830" s="124" t="s">
        <v>430</v>
      </c>
    </row>
    <row r="1831">
      <c r="A1831" s="165">
        <v>43793.14774797454</v>
      </c>
      <c r="B1831" s="122" t="s">
        <v>69</v>
      </c>
      <c r="C1831" s="123" t="s">
        <v>193</v>
      </c>
      <c r="D1831" s="124">
        <v>3.0</v>
      </c>
      <c r="E1831" s="124">
        <v>8.0</v>
      </c>
      <c r="F1831" s="124" t="s">
        <v>282</v>
      </c>
      <c r="G1831" s="129" t="s">
        <v>1344</v>
      </c>
      <c r="H1831" s="127" t="s">
        <v>430</v>
      </c>
      <c r="I1831" s="127">
        <v>30.0</v>
      </c>
      <c r="J1831" s="124">
        <v>53.0</v>
      </c>
      <c r="K1831" s="124" t="s">
        <v>58</v>
      </c>
      <c r="L1831" s="124" t="s">
        <v>430</v>
      </c>
    </row>
    <row r="1832">
      <c r="A1832" s="165">
        <v>43793.14774797454</v>
      </c>
      <c r="B1832" s="122" t="s">
        <v>69</v>
      </c>
      <c r="C1832" s="123" t="s">
        <v>108</v>
      </c>
      <c r="D1832" s="124">
        <v>7.0</v>
      </c>
      <c r="E1832" s="124">
        <v>4.0</v>
      </c>
      <c r="F1832" s="124" t="s">
        <v>207</v>
      </c>
      <c r="G1832" s="129" t="s">
        <v>1353</v>
      </c>
      <c r="H1832" s="127" t="s">
        <v>430</v>
      </c>
      <c r="I1832" s="127" t="s">
        <v>1087</v>
      </c>
      <c r="J1832" s="124">
        <v>52.0</v>
      </c>
      <c r="K1832" s="124" t="s">
        <v>62</v>
      </c>
      <c r="L1832" s="124" t="s">
        <v>430</v>
      </c>
    </row>
    <row r="1833">
      <c r="A1833" s="165">
        <v>43793.14774797454</v>
      </c>
      <c r="B1833" s="122" t="s">
        <v>69</v>
      </c>
      <c r="C1833" s="123" t="s">
        <v>125</v>
      </c>
      <c r="D1833" s="124">
        <v>8.0</v>
      </c>
      <c r="E1833" s="124">
        <v>3.0</v>
      </c>
      <c r="F1833" s="124" t="s">
        <v>260</v>
      </c>
      <c r="G1833" s="129" t="s">
        <v>1338</v>
      </c>
      <c r="H1833" s="127" t="s">
        <v>430</v>
      </c>
      <c r="I1833" s="127">
        <v>5.0</v>
      </c>
      <c r="J1833" s="124">
        <v>46.0</v>
      </c>
      <c r="K1833" s="124" t="s">
        <v>53</v>
      </c>
      <c r="L1833" s="124" t="s">
        <v>430</v>
      </c>
    </row>
    <row r="1834">
      <c r="A1834" s="165">
        <v>43793.14774797454</v>
      </c>
      <c r="B1834" s="122" t="s">
        <v>69</v>
      </c>
      <c r="C1834" s="123" t="s">
        <v>35</v>
      </c>
      <c r="D1834" s="124">
        <v>10.0</v>
      </c>
      <c r="E1834" s="124">
        <v>1.0</v>
      </c>
      <c r="F1834" s="124" t="s">
        <v>215</v>
      </c>
      <c r="G1834" s="129" t="s">
        <v>1347</v>
      </c>
      <c r="H1834" s="127" t="s">
        <v>430</v>
      </c>
      <c r="I1834" s="127">
        <v>-14.0</v>
      </c>
      <c r="J1834" s="124">
        <v>60.0</v>
      </c>
      <c r="K1834" s="124" t="s">
        <v>58</v>
      </c>
      <c r="L1834" s="124" t="s">
        <v>430</v>
      </c>
    </row>
    <row r="1835">
      <c r="A1835" s="165">
        <v>43793.14774797454</v>
      </c>
      <c r="B1835" s="122" t="s">
        <v>69</v>
      </c>
      <c r="C1835" s="123" t="s">
        <v>87</v>
      </c>
      <c r="D1835" s="124">
        <v>6.0</v>
      </c>
      <c r="E1835" s="124">
        <v>5.0</v>
      </c>
      <c r="F1835" s="124" t="s">
        <v>248</v>
      </c>
      <c r="G1835" s="129" t="s">
        <v>1352</v>
      </c>
      <c r="H1835" s="127" t="s">
        <v>430</v>
      </c>
      <c r="I1835" s="127" t="s">
        <v>542</v>
      </c>
      <c r="J1835" s="124">
        <v>49.0</v>
      </c>
      <c r="K1835" s="124" t="s">
        <v>60</v>
      </c>
      <c r="L1835" s="124" t="s">
        <v>430</v>
      </c>
    </row>
    <row r="1836">
      <c r="A1836" s="165">
        <v>43793.14774797454</v>
      </c>
      <c r="B1836" s="122" t="s">
        <v>69</v>
      </c>
      <c r="C1836" s="123" t="s">
        <v>170</v>
      </c>
      <c r="D1836" s="124">
        <v>10.0</v>
      </c>
      <c r="E1836" s="124">
        <v>1.0</v>
      </c>
      <c r="F1836" s="124" t="s">
        <v>278</v>
      </c>
      <c r="G1836" s="129" t="s">
        <v>1329</v>
      </c>
      <c r="H1836" s="127" t="s">
        <v>430</v>
      </c>
      <c r="I1836" s="127" t="s">
        <v>398</v>
      </c>
      <c r="J1836" s="124" t="s">
        <v>446</v>
      </c>
      <c r="K1836" s="124" t="s">
        <v>44</v>
      </c>
      <c r="L1836" s="124" t="s">
        <v>430</v>
      </c>
    </row>
    <row r="1837">
      <c r="A1837" s="165">
        <v>43793.14774797454</v>
      </c>
      <c r="B1837" s="122" t="s">
        <v>69</v>
      </c>
      <c r="C1837" s="123" t="s">
        <v>182</v>
      </c>
      <c r="D1837" s="124">
        <v>4.0</v>
      </c>
      <c r="E1837" s="124">
        <v>7.0</v>
      </c>
      <c r="F1837" s="124" t="s">
        <v>287</v>
      </c>
      <c r="G1837" s="129" t="s">
        <v>202</v>
      </c>
      <c r="H1837" s="127"/>
      <c r="I1837" s="127" t="s">
        <v>203</v>
      </c>
      <c r="J1837" s="124" t="s">
        <v>203</v>
      </c>
      <c r="K1837" s="124"/>
      <c r="L1837" s="124">
        <v>9999.0</v>
      </c>
    </row>
    <row r="1838">
      <c r="A1838" s="136" t="s">
        <v>359</v>
      </c>
      <c r="B1838" s="122" t="s">
        <v>2</v>
      </c>
      <c r="C1838" s="123" t="s">
        <v>227</v>
      </c>
      <c r="D1838" s="124" t="s">
        <v>29</v>
      </c>
      <c r="E1838" s="124" t="s">
        <v>34</v>
      </c>
      <c r="F1838" s="124" t="s">
        <v>261</v>
      </c>
      <c r="G1838" s="129" t="s">
        <v>245</v>
      </c>
      <c r="H1838" s="127" t="s">
        <v>228</v>
      </c>
      <c r="I1838" s="127" t="s">
        <v>229</v>
      </c>
      <c r="J1838" s="124" t="s">
        <v>262</v>
      </c>
      <c r="K1838" s="124" t="s">
        <v>263</v>
      </c>
      <c r="L1838" s="124"/>
    </row>
    <row r="1839">
      <c r="A1839" s="165">
        <v>43793.14774797454</v>
      </c>
      <c r="B1839" s="122" t="s">
        <v>74</v>
      </c>
      <c r="C1839" s="123" t="s">
        <v>88</v>
      </c>
      <c r="D1839" s="124">
        <v>4.0</v>
      </c>
      <c r="E1839" s="124">
        <v>7.0</v>
      </c>
      <c r="F1839" s="124" t="s">
        <v>285</v>
      </c>
      <c r="G1839" s="129" t="s">
        <v>1359</v>
      </c>
      <c r="H1839" s="127" t="s">
        <v>430</v>
      </c>
      <c r="I1839" s="127">
        <v>2.0</v>
      </c>
      <c r="J1839" s="124" t="s">
        <v>283</v>
      </c>
      <c r="K1839" s="124" t="s">
        <v>288</v>
      </c>
      <c r="L1839" s="124" t="s">
        <v>430</v>
      </c>
    </row>
    <row r="1840">
      <c r="A1840" s="165">
        <v>43793.14774797454</v>
      </c>
      <c r="B1840" s="122" t="s">
        <v>74</v>
      </c>
      <c r="C1840" s="123" t="s">
        <v>160</v>
      </c>
      <c r="D1840" s="124">
        <v>7.0</v>
      </c>
      <c r="E1840" s="124">
        <v>4.0</v>
      </c>
      <c r="F1840" s="124" t="s">
        <v>242</v>
      </c>
      <c r="G1840" s="129" t="s">
        <v>1358</v>
      </c>
      <c r="H1840" s="127" t="s">
        <v>430</v>
      </c>
      <c r="I1840" s="127">
        <v>-7.0</v>
      </c>
      <c r="J1840" s="124" t="s">
        <v>507</v>
      </c>
      <c r="K1840" s="124" t="s">
        <v>69</v>
      </c>
      <c r="L1840" s="124" t="s">
        <v>430</v>
      </c>
    </row>
    <row r="1841">
      <c r="A1841" s="165">
        <v>43793.14774797454</v>
      </c>
      <c r="B1841" s="122" t="s">
        <v>74</v>
      </c>
      <c r="C1841" s="123" t="s">
        <v>118</v>
      </c>
      <c r="D1841" s="124">
        <v>11.0</v>
      </c>
      <c r="E1841" s="124">
        <v>0.0</v>
      </c>
      <c r="F1841" s="124" t="s">
        <v>266</v>
      </c>
      <c r="G1841" s="129" t="s">
        <v>1336</v>
      </c>
      <c r="H1841" s="127" t="s">
        <v>430</v>
      </c>
      <c r="I1841" s="127">
        <v>-18.0</v>
      </c>
      <c r="J1841" s="124">
        <v>57.0</v>
      </c>
      <c r="K1841" s="124" t="s">
        <v>53</v>
      </c>
      <c r="L1841" s="124" t="s">
        <v>430</v>
      </c>
    </row>
    <row r="1842">
      <c r="A1842" s="165">
        <v>43793.14774797454</v>
      </c>
      <c r="B1842" s="122" t="s">
        <v>74</v>
      </c>
      <c r="C1842" s="123" t="s">
        <v>174</v>
      </c>
      <c r="D1842" s="124">
        <v>8.0</v>
      </c>
      <c r="E1842" s="124">
        <v>3.0</v>
      </c>
      <c r="F1842" s="124" t="s">
        <v>234</v>
      </c>
      <c r="G1842" s="129" t="s">
        <v>1360</v>
      </c>
      <c r="H1842" s="127" t="s">
        <v>430</v>
      </c>
      <c r="I1842" s="127" t="s">
        <v>382</v>
      </c>
      <c r="J1842" s="124"/>
      <c r="K1842" s="124" t="s">
        <v>288</v>
      </c>
      <c r="L1842" s="124" t="s">
        <v>430</v>
      </c>
    </row>
    <row r="1843">
      <c r="A1843" s="165">
        <v>43793.14774797454</v>
      </c>
      <c r="B1843" s="122" t="s">
        <v>74</v>
      </c>
      <c r="C1843" s="123" t="s">
        <v>23</v>
      </c>
      <c r="D1843" s="124">
        <v>2.0</v>
      </c>
      <c r="E1843" s="124">
        <v>9.0</v>
      </c>
      <c r="F1843" s="124" t="s">
        <v>248</v>
      </c>
      <c r="G1843" s="129" t="s">
        <v>1309</v>
      </c>
      <c r="H1843" s="127" t="s">
        <v>430</v>
      </c>
      <c r="I1843" s="127">
        <v>14.0</v>
      </c>
      <c r="J1843" s="124">
        <v>66.0</v>
      </c>
      <c r="K1843" s="124" t="s">
        <v>38</v>
      </c>
      <c r="L1843" s="124" t="s">
        <v>430</v>
      </c>
    </row>
    <row r="1844">
      <c r="A1844" s="165">
        <v>43793.14774797454</v>
      </c>
      <c r="B1844" s="122" t="s">
        <v>74</v>
      </c>
      <c r="C1844" s="123" t="s">
        <v>167</v>
      </c>
      <c r="D1844" s="124">
        <v>4.0</v>
      </c>
      <c r="E1844" s="124">
        <v>7.0</v>
      </c>
      <c r="F1844" s="124" t="s">
        <v>273</v>
      </c>
      <c r="G1844" s="129" t="s">
        <v>1302</v>
      </c>
      <c r="H1844" s="127" t="s">
        <v>430</v>
      </c>
      <c r="I1844" s="127">
        <v>-3.0</v>
      </c>
      <c r="J1844" s="124">
        <v>42.0</v>
      </c>
      <c r="K1844" s="124" t="s">
        <v>27</v>
      </c>
      <c r="L1844" s="124" t="s">
        <v>430</v>
      </c>
    </row>
    <row r="1845">
      <c r="A1845" s="165">
        <v>43793.14774797454</v>
      </c>
      <c r="B1845" s="122" t="s">
        <v>74</v>
      </c>
      <c r="C1845" s="123" t="s">
        <v>194</v>
      </c>
      <c r="D1845" s="124">
        <v>5.0</v>
      </c>
      <c r="E1845" s="124">
        <v>6.0</v>
      </c>
      <c r="F1845" s="124" t="s">
        <v>282</v>
      </c>
      <c r="G1845" s="129" t="s">
        <v>1321</v>
      </c>
      <c r="H1845" s="127" t="s">
        <v>430</v>
      </c>
      <c r="I1845" s="127">
        <v>13.0</v>
      </c>
      <c r="J1845" s="124">
        <v>70.0</v>
      </c>
      <c r="K1845" s="124" t="s">
        <v>41</v>
      </c>
      <c r="L1845" s="124" t="s">
        <v>430</v>
      </c>
    </row>
    <row r="1846">
      <c r="A1846" s="165">
        <v>43793.14774797454</v>
      </c>
      <c r="B1846" s="122" t="s">
        <v>74</v>
      </c>
      <c r="C1846" s="123" t="s">
        <v>124</v>
      </c>
      <c r="D1846" s="124">
        <v>8.0</v>
      </c>
      <c r="E1846" s="124">
        <v>3.0</v>
      </c>
      <c r="F1846" s="124" t="s">
        <v>248</v>
      </c>
      <c r="G1846" s="129" t="s">
        <v>1304</v>
      </c>
      <c r="H1846" s="127" t="s">
        <v>430</v>
      </c>
      <c r="I1846" s="127" t="s">
        <v>390</v>
      </c>
      <c r="J1846" s="124">
        <v>56.0</v>
      </c>
      <c r="K1846" s="124" t="s">
        <v>27</v>
      </c>
      <c r="L1846" s="124" t="s">
        <v>430</v>
      </c>
    </row>
    <row r="1847">
      <c r="A1847" s="165">
        <v>43793.14774797454</v>
      </c>
      <c r="B1847" s="122" t="s">
        <v>74</v>
      </c>
      <c r="C1847" s="123" t="s">
        <v>99</v>
      </c>
      <c r="D1847" s="124">
        <v>7.0</v>
      </c>
      <c r="E1847" s="124">
        <v>4.0</v>
      </c>
      <c r="F1847" s="124" t="s">
        <v>201</v>
      </c>
      <c r="G1847" s="129" t="s">
        <v>1328</v>
      </c>
      <c r="H1847" s="127" t="s">
        <v>430</v>
      </c>
      <c r="I1847" s="127" t="s">
        <v>428</v>
      </c>
      <c r="J1847" s="124" t="s">
        <v>546</v>
      </c>
      <c r="K1847" s="124" t="s">
        <v>44</v>
      </c>
      <c r="L1847" s="124" t="s">
        <v>430</v>
      </c>
    </row>
    <row r="1848">
      <c r="A1848" s="165">
        <v>43793.14774797454</v>
      </c>
      <c r="B1848" s="122" t="s">
        <v>74</v>
      </c>
      <c r="C1848" s="123" t="s">
        <v>141</v>
      </c>
      <c r="D1848" s="124">
        <v>7.0</v>
      </c>
      <c r="E1848" s="124">
        <v>4.0</v>
      </c>
      <c r="F1848" s="124" t="s">
        <v>260</v>
      </c>
      <c r="G1848" s="129" t="s">
        <v>202</v>
      </c>
      <c r="H1848" s="127"/>
      <c r="I1848" s="127" t="s">
        <v>203</v>
      </c>
      <c r="J1848" s="124" t="s">
        <v>203</v>
      </c>
      <c r="K1848" s="124"/>
      <c r="L1848" s="124">
        <v>9999.0</v>
      </c>
    </row>
    <row r="1849">
      <c r="A1849" s="136" t="s">
        <v>359</v>
      </c>
      <c r="B1849" s="122" t="s">
        <v>2</v>
      </c>
      <c r="C1849" s="123" t="s">
        <v>227</v>
      </c>
      <c r="D1849" s="124" t="s">
        <v>29</v>
      </c>
      <c r="E1849" s="124" t="s">
        <v>34</v>
      </c>
      <c r="F1849" s="124" t="s">
        <v>261</v>
      </c>
      <c r="G1849" s="129" t="s">
        <v>245</v>
      </c>
      <c r="H1849" s="127" t="s">
        <v>228</v>
      </c>
      <c r="I1849" s="127" t="s">
        <v>229</v>
      </c>
      <c r="J1849" s="124" t="s">
        <v>262</v>
      </c>
      <c r="K1849" s="124" t="s">
        <v>263</v>
      </c>
      <c r="L1849" s="124" t="s">
        <v>264</v>
      </c>
    </row>
    <row r="1850">
      <c r="A1850" s="165">
        <v>43800.147749861106</v>
      </c>
      <c r="B1850" s="122" t="s">
        <v>27</v>
      </c>
      <c r="C1850" s="123" t="s">
        <v>94</v>
      </c>
      <c r="D1850" s="124">
        <v>8.0</v>
      </c>
      <c r="E1850" s="124">
        <v>4.0</v>
      </c>
      <c r="F1850" s="124" t="s">
        <v>265</v>
      </c>
      <c r="G1850" s="129" t="s">
        <v>294</v>
      </c>
      <c r="H1850" s="127" t="s">
        <v>430</v>
      </c>
      <c r="I1850" s="127">
        <v>-3.0</v>
      </c>
      <c r="J1850" s="124">
        <v>48.0</v>
      </c>
      <c r="K1850" s="124" t="s">
        <v>53</v>
      </c>
      <c r="L1850" s="124" t="s">
        <v>430</v>
      </c>
    </row>
    <row r="1851">
      <c r="A1851" s="165">
        <v>43800.147749861106</v>
      </c>
      <c r="B1851" s="122" t="s">
        <v>27</v>
      </c>
      <c r="C1851" s="123" t="s">
        <v>138</v>
      </c>
      <c r="D1851" s="124">
        <v>5.0</v>
      </c>
      <c r="E1851" s="124">
        <v>7.0</v>
      </c>
      <c r="F1851" s="124" t="s">
        <v>260</v>
      </c>
      <c r="G1851" s="129" t="s">
        <v>303</v>
      </c>
      <c r="H1851" s="127" t="s">
        <v>430</v>
      </c>
      <c r="I1851" s="127">
        <v>-3.0</v>
      </c>
      <c r="J1851" s="124">
        <v>56.0</v>
      </c>
      <c r="K1851" s="124" t="s">
        <v>48</v>
      </c>
      <c r="L1851" s="124" t="s">
        <v>430</v>
      </c>
    </row>
    <row r="1852">
      <c r="A1852" s="165">
        <v>43800.147749861106</v>
      </c>
      <c r="B1852" s="122" t="s">
        <v>27</v>
      </c>
      <c r="C1852" s="123" t="s">
        <v>116</v>
      </c>
      <c r="D1852" s="124">
        <v>5.0</v>
      </c>
      <c r="E1852" s="124">
        <v>7.0</v>
      </c>
      <c r="F1852" s="124" t="s">
        <v>266</v>
      </c>
      <c r="G1852" s="129" t="s">
        <v>301</v>
      </c>
      <c r="H1852" s="127" t="s">
        <v>430</v>
      </c>
      <c r="I1852" s="127">
        <v>5.0</v>
      </c>
      <c r="J1852" s="124" t="s">
        <v>608</v>
      </c>
      <c r="K1852" s="124" t="s">
        <v>58</v>
      </c>
      <c r="L1852" s="124" t="s">
        <v>430</v>
      </c>
    </row>
    <row r="1853">
      <c r="A1853" s="165">
        <v>43800.147749861106</v>
      </c>
      <c r="B1853" s="122" t="s">
        <v>27</v>
      </c>
      <c r="C1853" s="123" t="s">
        <v>195</v>
      </c>
      <c r="D1853" s="124">
        <v>5.0</v>
      </c>
      <c r="E1853" s="124">
        <v>7.0</v>
      </c>
      <c r="F1853" s="124" t="s">
        <v>267</v>
      </c>
      <c r="G1853" s="129" t="s">
        <v>339</v>
      </c>
      <c r="H1853" s="127" t="s">
        <v>430</v>
      </c>
      <c r="I1853" s="127">
        <v>-7.0</v>
      </c>
      <c r="J1853" s="124" t="s">
        <v>406</v>
      </c>
      <c r="K1853" s="124" t="s">
        <v>69</v>
      </c>
      <c r="L1853" s="124" t="s">
        <v>430</v>
      </c>
    </row>
    <row r="1854">
      <c r="A1854" s="165">
        <v>43800.147749861106</v>
      </c>
      <c r="B1854" s="122" t="s">
        <v>27</v>
      </c>
      <c r="C1854" s="123" t="s">
        <v>56</v>
      </c>
      <c r="D1854" s="124">
        <v>4.0</v>
      </c>
      <c r="E1854" s="124">
        <v>8.0</v>
      </c>
      <c r="F1854" s="124" t="s">
        <v>248</v>
      </c>
      <c r="G1854" s="129" t="s">
        <v>332</v>
      </c>
      <c r="H1854" s="127" t="s">
        <v>430</v>
      </c>
      <c r="I1854" s="127" t="s">
        <v>512</v>
      </c>
      <c r="J1854" s="124">
        <v>61.0</v>
      </c>
      <c r="K1854" s="124" t="s">
        <v>38</v>
      </c>
      <c r="L1854" s="124" t="s">
        <v>430</v>
      </c>
    </row>
    <row r="1855">
      <c r="A1855" s="165">
        <v>43800.147749861106</v>
      </c>
      <c r="B1855" s="122" t="s">
        <v>27</v>
      </c>
      <c r="C1855" s="123" t="s">
        <v>114</v>
      </c>
      <c r="D1855" s="124">
        <v>10.0</v>
      </c>
      <c r="E1855" s="124">
        <v>2.0</v>
      </c>
      <c r="F1855" s="124" t="s">
        <v>201</v>
      </c>
      <c r="G1855" s="129" t="s">
        <v>313</v>
      </c>
      <c r="H1855" s="127" t="s">
        <v>430</v>
      </c>
      <c r="I1855" s="127" t="s">
        <v>379</v>
      </c>
      <c r="J1855" s="124">
        <v>50.0</v>
      </c>
      <c r="K1855" s="124" t="s">
        <v>74</v>
      </c>
      <c r="L1855" s="124" t="s">
        <v>430</v>
      </c>
    </row>
    <row r="1856">
      <c r="A1856" s="165">
        <v>43800.147749861106</v>
      </c>
      <c r="B1856" s="122" t="s">
        <v>27</v>
      </c>
      <c r="C1856" s="123" t="s">
        <v>134</v>
      </c>
      <c r="D1856" s="124">
        <v>4.0</v>
      </c>
      <c r="E1856" s="124">
        <v>8.0</v>
      </c>
      <c r="F1856" s="124" t="s">
        <v>267</v>
      </c>
      <c r="G1856" s="129" t="s">
        <v>1361</v>
      </c>
      <c r="H1856" s="127" t="s">
        <v>430</v>
      </c>
      <c r="I1856" s="127">
        <v>20.0</v>
      </c>
      <c r="J1856" s="124">
        <v>55.0</v>
      </c>
      <c r="K1856" s="124" t="s">
        <v>69</v>
      </c>
      <c r="L1856" s="124" t="s">
        <v>430</v>
      </c>
    </row>
    <row r="1857">
      <c r="A1857" s="165">
        <v>43800.147749861106</v>
      </c>
      <c r="B1857" s="122" t="s">
        <v>27</v>
      </c>
      <c r="C1857" s="123" t="s">
        <v>107</v>
      </c>
      <c r="D1857" s="124">
        <v>10.0</v>
      </c>
      <c r="E1857" s="124">
        <v>2.0</v>
      </c>
      <c r="F1857" s="124" t="s">
        <v>268</v>
      </c>
      <c r="G1857" s="129" t="s">
        <v>315</v>
      </c>
      <c r="H1857" s="127" t="s">
        <v>430</v>
      </c>
      <c r="I1857" s="127" t="s">
        <v>523</v>
      </c>
      <c r="J1857" s="124" t="s">
        <v>462</v>
      </c>
      <c r="K1857" s="124" t="s">
        <v>74</v>
      </c>
      <c r="L1857" s="124" t="s">
        <v>430</v>
      </c>
    </row>
    <row r="1858">
      <c r="A1858" s="165">
        <v>43800.147749861106</v>
      </c>
      <c r="B1858" s="122" t="s">
        <v>27</v>
      </c>
      <c r="C1858" s="123" t="s">
        <v>163</v>
      </c>
      <c r="D1858" s="124">
        <v>7.0</v>
      </c>
      <c r="E1858" s="124">
        <v>5.0</v>
      </c>
      <c r="F1858" s="124" t="s">
        <v>269</v>
      </c>
      <c r="G1858" s="129" t="s">
        <v>324</v>
      </c>
      <c r="H1858" s="127" t="s">
        <v>430</v>
      </c>
      <c r="I1858" s="127" t="s">
        <v>428</v>
      </c>
      <c r="J1858" s="124">
        <v>51.0</v>
      </c>
      <c r="K1858" s="124" t="s">
        <v>41</v>
      </c>
      <c r="L1858" s="124" t="s">
        <v>430</v>
      </c>
    </row>
    <row r="1859">
      <c r="A1859" s="165">
        <v>43800.147749861106</v>
      </c>
      <c r="B1859" s="122" t="s">
        <v>27</v>
      </c>
      <c r="C1859" s="123" t="s">
        <v>152</v>
      </c>
      <c r="D1859" s="124">
        <v>4.0</v>
      </c>
      <c r="E1859" s="124">
        <v>8.0</v>
      </c>
      <c r="F1859" s="124" t="s">
        <v>215</v>
      </c>
      <c r="G1859" s="129" t="s">
        <v>1362</v>
      </c>
      <c r="H1859" s="127" t="s">
        <v>430</v>
      </c>
      <c r="I1859" s="127">
        <v>-3.0</v>
      </c>
      <c r="J1859" s="124">
        <v>65.0</v>
      </c>
      <c r="K1859" s="124" t="s">
        <v>53</v>
      </c>
      <c r="L1859" s="124" t="s">
        <v>430</v>
      </c>
    </row>
    <row r="1860">
      <c r="A1860" s="136" t="s">
        <v>359</v>
      </c>
      <c r="B1860" s="122" t="s">
        <v>2</v>
      </c>
      <c r="C1860" s="123" t="s">
        <v>227</v>
      </c>
      <c r="D1860" s="124" t="s">
        <v>29</v>
      </c>
      <c r="E1860" s="124" t="s">
        <v>34</v>
      </c>
      <c r="F1860" s="124" t="s">
        <v>261</v>
      </c>
      <c r="G1860" s="129" t="s">
        <v>245</v>
      </c>
      <c r="H1860" s="127" t="s">
        <v>228</v>
      </c>
      <c r="I1860" s="127" t="s">
        <v>229</v>
      </c>
      <c r="J1860" s="124" t="s">
        <v>262</v>
      </c>
      <c r="K1860" s="124" t="s">
        <v>263</v>
      </c>
      <c r="L1860" s="124" t="s">
        <v>264</v>
      </c>
    </row>
    <row r="1861">
      <c r="A1861" s="165">
        <v>43800.147749861106</v>
      </c>
      <c r="B1861" s="122" t="s">
        <v>38</v>
      </c>
      <c r="C1861" s="123" t="s">
        <v>139</v>
      </c>
      <c r="D1861" s="124">
        <v>3.0</v>
      </c>
      <c r="E1861" s="124">
        <v>9.0</v>
      </c>
      <c r="F1861" s="124" t="s">
        <v>215</v>
      </c>
      <c r="G1861" s="129" t="s">
        <v>305</v>
      </c>
      <c r="H1861" s="127" t="s">
        <v>430</v>
      </c>
      <c r="I1861" s="127" t="s">
        <v>690</v>
      </c>
      <c r="J1861" s="124" t="s">
        <v>406</v>
      </c>
      <c r="K1861" s="124" t="s">
        <v>58</v>
      </c>
      <c r="L1861" s="124" t="s">
        <v>430</v>
      </c>
    </row>
    <row r="1862">
      <c r="A1862" s="165">
        <v>43800.147749861106</v>
      </c>
      <c r="B1862" s="122" t="s">
        <v>38</v>
      </c>
      <c r="C1862" s="123" t="s">
        <v>172</v>
      </c>
      <c r="D1862" s="124">
        <v>6.0</v>
      </c>
      <c r="E1862" s="124">
        <v>6.0</v>
      </c>
      <c r="F1862" s="124" t="s">
        <v>273</v>
      </c>
      <c r="G1862" s="129" t="s">
        <v>298</v>
      </c>
      <c r="H1862" s="127" t="s">
        <v>430</v>
      </c>
      <c r="I1862" s="127">
        <v>7.0</v>
      </c>
      <c r="J1862" s="124" t="s">
        <v>419</v>
      </c>
      <c r="K1862" s="124" t="s">
        <v>62</v>
      </c>
      <c r="L1862" s="124" t="s">
        <v>430</v>
      </c>
    </row>
    <row r="1863">
      <c r="A1863" s="165">
        <v>43800.147749861106</v>
      </c>
      <c r="B1863" s="122" t="s">
        <v>38</v>
      </c>
      <c r="C1863" s="123" t="s">
        <v>68</v>
      </c>
      <c r="D1863" s="124">
        <v>12.0</v>
      </c>
      <c r="E1863" s="124">
        <v>0.0</v>
      </c>
      <c r="F1863" s="124" t="s">
        <v>207</v>
      </c>
      <c r="G1863" s="129" t="s">
        <v>317</v>
      </c>
      <c r="H1863" s="127" t="s">
        <v>430</v>
      </c>
      <c r="I1863" s="127">
        <v>-27.0</v>
      </c>
      <c r="J1863" s="124" t="s">
        <v>462</v>
      </c>
      <c r="K1863" s="124" t="s">
        <v>69</v>
      </c>
      <c r="L1863" s="124" t="s">
        <v>430</v>
      </c>
    </row>
    <row r="1864">
      <c r="A1864" s="165">
        <v>43800.147749861106</v>
      </c>
      <c r="B1864" s="122" t="s">
        <v>38</v>
      </c>
      <c r="C1864" s="123" t="s">
        <v>32</v>
      </c>
      <c r="D1864" s="124">
        <v>4.0</v>
      </c>
      <c r="E1864" s="124">
        <v>8.0</v>
      </c>
      <c r="F1864" s="124" t="s">
        <v>248</v>
      </c>
      <c r="G1864" s="129" t="s">
        <v>332</v>
      </c>
      <c r="H1864" s="127" t="s">
        <v>430</v>
      </c>
      <c r="I1864" s="127" t="s">
        <v>376</v>
      </c>
      <c r="J1864" s="124">
        <v>61.0</v>
      </c>
      <c r="K1864" s="124" t="s">
        <v>27</v>
      </c>
      <c r="L1864" s="124" t="s">
        <v>430</v>
      </c>
    </row>
    <row r="1865">
      <c r="A1865" s="165">
        <v>43800.147749861106</v>
      </c>
      <c r="B1865" s="122" t="s">
        <v>38</v>
      </c>
      <c r="C1865" s="123" t="s">
        <v>129</v>
      </c>
      <c r="D1865" s="124">
        <v>1.0</v>
      </c>
      <c r="E1865" s="124">
        <v>11.0</v>
      </c>
      <c r="F1865" s="124" t="s">
        <v>248</v>
      </c>
      <c r="G1865" s="129" t="s">
        <v>341</v>
      </c>
      <c r="H1865" s="127" t="s">
        <v>430</v>
      </c>
      <c r="I1865" s="127">
        <v>8.0</v>
      </c>
      <c r="J1865" s="124">
        <v>50.0</v>
      </c>
      <c r="K1865" s="124" t="s">
        <v>44</v>
      </c>
      <c r="L1865" s="124" t="s">
        <v>430</v>
      </c>
    </row>
    <row r="1866">
      <c r="A1866" s="165">
        <v>43800.147749861106</v>
      </c>
      <c r="B1866" s="122" t="s">
        <v>38</v>
      </c>
      <c r="C1866" s="123" t="s">
        <v>198</v>
      </c>
      <c r="D1866" s="124">
        <v>2.0</v>
      </c>
      <c r="E1866" s="124">
        <v>10.0</v>
      </c>
      <c r="F1866" s="124" t="s">
        <v>277</v>
      </c>
      <c r="G1866" s="129" t="s">
        <v>346</v>
      </c>
      <c r="H1866" s="127" t="s">
        <v>430</v>
      </c>
      <c r="I1866" s="127">
        <v>14.0</v>
      </c>
      <c r="J1866" s="124" t="s">
        <v>473</v>
      </c>
      <c r="K1866" s="124" t="s">
        <v>288</v>
      </c>
      <c r="L1866" s="124" t="s">
        <v>430</v>
      </c>
    </row>
    <row r="1867">
      <c r="A1867" s="165">
        <v>43800.147749861106</v>
      </c>
      <c r="B1867" s="122" t="s">
        <v>38</v>
      </c>
      <c r="C1867" s="123" t="s">
        <v>113</v>
      </c>
      <c r="D1867" s="124">
        <v>6.0</v>
      </c>
      <c r="E1867" s="124">
        <v>6.0</v>
      </c>
      <c r="F1867" s="124" t="s">
        <v>278</v>
      </c>
      <c r="G1867" s="129" t="s">
        <v>322</v>
      </c>
      <c r="H1867" s="127" t="s">
        <v>430</v>
      </c>
      <c r="I1867" s="127" t="s">
        <v>398</v>
      </c>
      <c r="J1867" s="124">
        <v>49.0</v>
      </c>
      <c r="K1867" s="124" t="s">
        <v>41</v>
      </c>
      <c r="L1867" s="124" t="s">
        <v>430</v>
      </c>
    </row>
    <row r="1868">
      <c r="A1868" s="165">
        <v>43800.147749861106</v>
      </c>
      <c r="B1868" s="122" t="s">
        <v>38</v>
      </c>
      <c r="C1868" s="123" t="s">
        <v>178</v>
      </c>
      <c r="D1868" s="124">
        <v>12.0</v>
      </c>
      <c r="E1868" s="124">
        <v>0.0</v>
      </c>
      <c r="F1868" s="124" t="s">
        <v>201</v>
      </c>
      <c r="G1868" s="129" t="s">
        <v>319</v>
      </c>
      <c r="H1868" s="127" t="s">
        <v>430</v>
      </c>
      <c r="I1868" s="127">
        <v>-17.0</v>
      </c>
      <c r="J1868" s="124" t="s">
        <v>240</v>
      </c>
      <c r="K1868" s="124" t="s">
        <v>62</v>
      </c>
      <c r="L1868" s="124" t="s">
        <v>430</v>
      </c>
    </row>
    <row r="1869">
      <c r="A1869" s="165">
        <v>43800.147749861106</v>
      </c>
      <c r="B1869" s="122" t="s">
        <v>38</v>
      </c>
      <c r="C1869" s="123" t="s">
        <v>97</v>
      </c>
      <c r="D1869" s="124">
        <v>7.0</v>
      </c>
      <c r="E1869" s="124">
        <v>5.0</v>
      </c>
      <c r="F1869" s="124" t="s">
        <v>269</v>
      </c>
      <c r="G1869" s="129" t="s">
        <v>323</v>
      </c>
      <c r="H1869" s="127" t="s">
        <v>430</v>
      </c>
      <c r="I1869" s="127" t="s">
        <v>512</v>
      </c>
      <c r="J1869" s="124">
        <v>47.0</v>
      </c>
      <c r="K1869" s="124" t="s">
        <v>74</v>
      </c>
      <c r="L1869" s="124" t="s">
        <v>430</v>
      </c>
    </row>
    <row r="1870">
      <c r="A1870" s="165">
        <v>43800.147749861106</v>
      </c>
      <c r="B1870" s="122" t="s">
        <v>38</v>
      </c>
      <c r="C1870" s="123" t="s">
        <v>156</v>
      </c>
      <c r="D1870" s="124">
        <v>9.0</v>
      </c>
      <c r="E1870" s="124">
        <v>3.0</v>
      </c>
      <c r="F1870" s="124" t="s">
        <v>215</v>
      </c>
      <c r="G1870" s="129" t="s">
        <v>337</v>
      </c>
      <c r="H1870" s="127" t="s">
        <v>430</v>
      </c>
      <c r="I1870" s="127">
        <v>3.0</v>
      </c>
      <c r="J1870" s="124">
        <v>41.0</v>
      </c>
      <c r="K1870" s="124" t="s">
        <v>41</v>
      </c>
      <c r="L1870" s="124" t="s">
        <v>430</v>
      </c>
    </row>
    <row r="1871">
      <c r="A1871" s="136" t="s">
        <v>359</v>
      </c>
      <c r="B1871" s="122" t="s">
        <v>2</v>
      </c>
      <c r="C1871" s="123" t="s">
        <v>227</v>
      </c>
      <c r="D1871" s="124" t="s">
        <v>29</v>
      </c>
      <c r="E1871" s="124" t="s">
        <v>34</v>
      </c>
      <c r="F1871" s="124" t="s">
        <v>261</v>
      </c>
      <c r="G1871" s="129" t="s">
        <v>245</v>
      </c>
      <c r="H1871" s="127" t="s">
        <v>228</v>
      </c>
      <c r="I1871" s="127" t="s">
        <v>229</v>
      </c>
      <c r="J1871" s="124" t="s">
        <v>262</v>
      </c>
      <c r="K1871" s="124" t="s">
        <v>263</v>
      </c>
      <c r="L1871" s="124" t="s">
        <v>264</v>
      </c>
    </row>
    <row r="1872">
      <c r="A1872" s="165">
        <v>43800.147749861106</v>
      </c>
      <c r="B1872" s="122" t="s">
        <v>41</v>
      </c>
      <c r="C1872" s="123" t="s">
        <v>146</v>
      </c>
      <c r="D1872" s="124">
        <v>6.0</v>
      </c>
      <c r="E1872" s="124">
        <v>6.0</v>
      </c>
      <c r="F1872" s="124" t="s">
        <v>215</v>
      </c>
      <c r="G1872" s="129" t="s">
        <v>290</v>
      </c>
      <c r="H1872" s="127" t="s">
        <v>430</v>
      </c>
      <c r="I1872" s="127">
        <v>-28.0</v>
      </c>
      <c r="J1872" s="124">
        <v>53.0</v>
      </c>
      <c r="K1872" s="124" t="s">
        <v>60</v>
      </c>
      <c r="L1872" s="124" t="s">
        <v>430</v>
      </c>
    </row>
    <row r="1873">
      <c r="A1873" s="165">
        <v>43800.147749861106</v>
      </c>
      <c r="B1873" s="122" t="s">
        <v>41</v>
      </c>
      <c r="C1873" s="123" t="s">
        <v>180</v>
      </c>
      <c r="D1873" s="124">
        <v>6.0</v>
      </c>
      <c r="E1873" s="124">
        <v>6.0</v>
      </c>
      <c r="F1873" s="124" t="s">
        <v>234</v>
      </c>
      <c r="G1873" s="129" t="s">
        <v>296</v>
      </c>
      <c r="H1873" s="127" t="s">
        <v>430</v>
      </c>
      <c r="I1873" s="127">
        <v>-12.0</v>
      </c>
      <c r="J1873" s="124" t="s">
        <v>406</v>
      </c>
      <c r="K1873" s="124" t="s">
        <v>44</v>
      </c>
      <c r="L1873" s="124" t="s">
        <v>430</v>
      </c>
    </row>
    <row r="1874">
      <c r="A1874" s="165">
        <v>43800.147749861106</v>
      </c>
      <c r="B1874" s="122" t="s">
        <v>41</v>
      </c>
      <c r="C1874" s="123" t="s">
        <v>126</v>
      </c>
      <c r="D1874" s="124">
        <v>8.0</v>
      </c>
      <c r="E1874" s="124">
        <v>4.0</v>
      </c>
      <c r="F1874" s="124" t="s">
        <v>260</v>
      </c>
      <c r="G1874" s="129" t="s">
        <v>1363</v>
      </c>
      <c r="H1874" s="127" t="s">
        <v>643</v>
      </c>
      <c r="I1874" s="127" t="s">
        <v>286</v>
      </c>
      <c r="J1874" s="124" t="s">
        <v>394</v>
      </c>
      <c r="K1874" s="124" t="s">
        <v>60</v>
      </c>
      <c r="L1874" s="124" t="s">
        <v>643</v>
      </c>
    </row>
    <row r="1875">
      <c r="A1875" s="165">
        <v>43800.147749861106</v>
      </c>
      <c r="B1875" s="122" t="s">
        <v>41</v>
      </c>
      <c r="C1875" s="123" t="s">
        <v>91</v>
      </c>
      <c r="D1875" s="124">
        <v>7.0</v>
      </c>
      <c r="E1875" s="124">
        <v>5.0</v>
      </c>
      <c r="F1875" s="124" t="s">
        <v>201</v>
      </c>
      <c r="G1875" s="129" t="s">
        <v>326</v>
      </c>
      <c r="H1875" s="127" t="s">
        <v>430</v>
      </c>
      <c r="I1875" s="127" t="s">
        <v>275</v>
      </c>
      <c r="J1875" s="124">
        <v>52.0</v>
      </c>
      <c r="K1875" s="124" t="s">
        <v>44</v>
      </c>
      <c r="L1875" s="124" t="s">
        <v>430</v>
      </c>
    </row>
    <row r="1876">
      <c r="A1876" s="165">
        <v>43800.147749861106</v>
      </c>
      <c r="B1876" s="122" t="s">
        <v>41</v>
      </c>
      <c r="C1876" s="123" t="s">
        <v>111</v>
      </c>
      <c r="D1876" s="124">
        <v>3.0</v>
      </c>
      <c r="E1876" s="124">
        <v>9.0</v>
      </c>
      <c r="F1876" s="124" t="s">
        <v>248</v>
      </c>
      <c r="G1876" s="129" t="s">
        <v>322</v>
      </c>
      <c r="H1876" s="127" t="s">
        <v>430</v>
      </c>
      <c r="I1876" s="127" t="s">
        <v>367</v>
      </c>
      <c r="J1876" s="124">
        <v>49.0</v>
      </c>
      <c r="K1876" s="124" t="s">
        <v>38</v>
      </c>
      <c r="L1876" s="124" t="s">
        <v>430</v>
      </c>
    </row>
    <row r="1877">
      <c r="A1877" s="165">
        <v>43800.147749861106</v>
      </c>
      <c r="B1877" s="122" t="s">
        <v>41</v>
      </c>
      <c r="C1877" s="123" t="s">
        <v>159</v>
      </c>
      <c r="D1877" s="124">
        <v>7.0</v>
      </c>
      <c r="E1877" s="124">
        <v>5.0</v>
      </c>
      <c r="F1877" s="124" t="s">
        <v>242</v>
      </c>
      <c r="G1877" s="129" t="s">
        <v>364</v>
      </c>
      <c r="H1877" s="127" t="s">
        <v>430</v>
      </c>
      <c r="I1877" s="127" t="s">
        <v>431</v>
      </c>
      <c r="J1877" s="124">
        <v>61.0</v>
      </c>
      <c r="K1877" s="124" t="s">
        <v>48</v>
      </c>
      <c r="L1877" s="124" t="s">
        <v>430</v>
      </c>
    </row>
    <row r="1878">
      <c r="A1878" s="165">
        <v>43800.147749861106</v>
      </c>
      <c r="B1878" s="122" t="s">
        <v>41</v>
      </c>
      <c r="C1878" s="123" t="s">
        <v>52</v>
      </c>
      <c r="D1878" s="124">
        <v>6.0</v>
      </c>
      <c r="E1878" s="124">
        <v>6.0</v>
      </c>
      <c r="F1878" s="124" t="s">
        <v>242</v>
      </c>
      <c r="G1878" s="129" t="s">
        <v>333</v>
      </c>
      <c r="H1878" s="127" t="s">
        <v>430</v>
      </c>
      <c r="I1878" s="127" t="s">
        <v>418</v>
      </c>
      <c r="J1878" s="124" t="s">
        <v>432</v>
      </c>
      <c r="K1878" s="124" t="s">
        <v>53</v>
      </c>
      <c r="L1878" s="124" t="s">
        <v>430</v>
      </c>
    </row>
    <row r="1879">
      <c r="A1879" s="165">
        <v>43800.147749861106</v>
      </c>
      <c r="B1879" s="122" t="s">
        <v>41</v>
      </c>
      <c r="C1879" s="123" t="s">
        <v>190</v>
      </c>
      <c r="D1879" s="124">
        <v>3.0</v>
      </c>
      <c r="E1879" s="124">
        <v>1.0</v>
      </c>
      <c r="F1879" s="124" t="s">
        <v>248</v>
      </c>
      <c r="G1879" s="129" t="s">
        <v>334</v>
      </c>
      <c r="H1879" s="127" t="s">
        <v>430</v>
      </c>
      <c r="I1879" s="127">
        <v>-21.0</v>
      </c>
      <c r="J1879" s="124">
        <v>68.0</v>
      </c>
      <c r="K1879" s="124" t="s">
        <v>53</v>
      </c>
      <c r="L1879" s="124" t="s">
        <v>430</v>
      </c>
    </row>
    <row r="1880">
      <c r="A1880" s="165">
        <v>43800.147749861106</v>
      </c>
      <c r="B1880" s="122" t="s">
        <v>41</v>
      </c>
      <c r="C1880" s="123" t="s">
        <v>109</v>
      </c>
      <c r="D1880" s="124">
        <v>7.0</v>
      </c>
      <c r="E1880" s="124">
        <v>5.0</v>
      </c>
      <c r="F1880" s="124" t="s">
        <v>279</v>
      </c>
      <c r="G1880" s="129" t="s">
        <v>337</v>
      </c>
      <c r="H1880" s="127" t="s">
        <v>430</v>
      </c>
      <c r="I1880" s="127">
        <v>-3.0</v>
      </c>
      <c r="J1880" s="124">
        <v>41.0</v>
      </c>
      <c r="K1880" s="124" t="s">
        <v>38</v>
      </c>
      <c r="L1880" s="124" t="s">
        <v>430</v>
      </c>
    </row>
    <row r="1881">
      <c r="A1881" s="165">
        <v>43800.147749861106</v>
      </c>
      <c r="B1881" s="122" t="s">
        <v>41</v>
      </c>
      <c r="C1881" s="123" t="s">
        <v>168</v>
      </c>
      <c r="D1881" s="124">
        <v>4.0</v>
      </c>
      <c r="E1881" s="124">
        <v>8.0</v>
      </c>
      <c r="F1881" s="124" t="s">
        <v>278</v>
      </c>
      <c r="G1881" s="129" t="s">
        <v>324</v>
      </c>
      <c r="H1881" s="127" t="s">
        <v>430</v>
      </c>
      <c r="I1881" s="127" t="s">
        <v>451</v>
      </c>
      <c r="J1881" s="124">
        <v>51.0</v>
      </c>
      <c r="K1881" s="124" t="s">
        <v>27</v>
      </c>
      <c r="L1881" s="124" t="s">
        <v>430</v>
      </c>
    </row>
    <row r="1882">
      <c r="A1882" s="136" t="s">
        <v>359</v>
      </c>
      <c r="B1882" s="122" t="s">
        <v>2</v>
      </c>
      <c r="C1882" s="123" t="s">
        <v>227</v>
      </c>
      <c r="D1882" s="124" t="s">
        <v>29</v>
      </c>
      <c r="E1882" s="124" t="s">
        <v>34</v>
      </c>
      <c r="F1882" s="124" t="s">
        <v>261</v>
      </c>
      <c r="G1882" s="129" t="s">
        <v>245</v>
      </c>
      <c r="H1882" s="127" t="s">
        <v>228</v>
      </c>
      <c r="I1882" s="127" t="s">
        <v>229</v>
      </c>
      <c r="J1882" s="124" t="s">
        <v>262</v>
      </c>
      <c r="K1882" s="124" t="s">
        <v>263</v>
      </c>
      <c r="L1882" s="124" t="s">
        <v>264</v>
      </c>
    </row>
    <row r="1883">
      <c r="A1883" s="165">
        <v>43800.147749861106</v>
      </c>
      <c r="B1883" s="122" t="s">
        <v>44</v>
      </c>
      <c r="C1883" s="123" t="s">
        <v>145</v>
      </c>
      <c r="D1883" s="124">
        <v>5.0</v>
      </c>
      <c r="E1883" s="124">
        <v>7.0</v>
      </c>
      <c r="F1883" s="124" t="s">
        <v>242</v>
      </c>
      <c r="G1883" s="129" t="s">
        <v>289</v>
      </c>
      <c r="H1883" s="127" t="s">
        <v>430</v>
      </c>
      <c r="I1883" s="127">
        <v>8.0</v>
      </c>
      <c r="J1883" s="124">
        <v>51.0</v>
      </c>
      <c r="K1883" s="124" t="s">
        <v>53</v>
      </c>
      <c r="L1883" s="124" t="s">
        <v>430</v>
      </c>
    </row>
    <row r="1884">
      <c r="A1884" s="165">
        <v>43800.147749861106</v>
      </c>
      <c r="B1884" s="122" t="s">
        <v>44</v>
      </c>
      <c r="C1884" s="123" t="s">
        <v>104</v>
      </c>
      <c r="D1884" s="124">
        <v>4.0</v>
      </c>
      <c r="E1884" s="124">
        <v>8.0</v>
      </c>
      <c r="F1884" s="124" t="s">
        <v>215</v>
      </c>
      <c r="G1884" s="129" t="s">
        <v>297</v>
      </c>
      <c r="H1884" s="127" t="s">
        <v>430</v>
      </c>
      <c r="I1884" s="127">
        <v>10.0</v>
      </c>
      <c r="J1884" s="124">
        <v>64.0</v>
      </c>
      <c r="K1884" s="124" t="s">
        <v>60</v>
      </c>
      <c r="L1884" s="124" t="s">
        <v>430</v>
      </c>
    </row>
    <row r="1885">
      <c r="A1885" s="165">
        <v>43800.147749861106</v>
      </c>
      <c r="B1885" s="122" t="s">
        <v>44</v>
      </c>
      <c r="C1885" s="123" t="s">
        <v>173</v>
      </c>
      <c r="D1885" s="124">
        <v>2.0</v>
      </c>
      <c r="E1885" s="124">
        <v>10.0</v>
      </c>
      <c r="F1885" s="124" t="s">
        <v>248</v>
      </c>
      <c r="G1885" s="129" t="s">
        <v>296</v>
      </c>
      <c r="H1885" s="127" t="s">
        <v>430</v>
      </c>
      <c r="I1885" s="127">
        <v>12.0</v>
      </c>
      <c r="J1885" s="124" t="s">
        <v>406</v>
      </c>
      <c r="K1885" s="124" t="s">
        <v>41</v>
      </c>
      <c r="L1885" s="124" t="s">
        <v>430</v>
      </c>
    </row>
    <row r="1886">
      <c r="A1886" s="165">
        <v>43800.147749861106</v>
      </c>
      <c r="B1886" s="122" t="s">
        <v>44</v>
      </c>
      <c r="C1886" s="123" t="s">
        <v>150</v>
      </c>
      <c r="D1886" s="124">
        <v>11.0</v>
      </c>
      <c r="E1886" s="124">
        <v>1.0</v>
      </c>
      <c r="F1886" s="124" t="s">
        <v>215</v>
      </c>
      <c r="G1886" s="129" t="s">
        <v>304</v>
      </c>
      <c r="H1886" s="127" t="s">
        <v>430</v>
      </c>
      <c r="I1886" s="127" t="s">
        <v>226</v>
      </c>
      <c r="J1886" s="124" t="s">
        <v>276</v>
      </c>
      <c r="K1886" s="124" t="s">
        <v>69</v>
      </c>
      <c r="L1886" s="124" t="s">
        <v>430</v>
      </c>
    </row>
    <row r="1887">
      <c r="A1887" s="165">
        <v>43800.147749861106</v>
      </c>
      <c r="B1887" s="122" t="s">
        <v>44</v>
      </c>
      <c r="C1887" s="123" t="s">
        <v>132</v>
      </c>
      <c r="D1887" s="124">
        <v>7.0</v>
      </c>
      <c r="E1887" s="124">
        <v>5.0</v>
      </c>
      <c r="F1887" s="124" t="s">
        <v>248</v>
      </c>
      <c r="G1887" s="129" t="s">
        <v>341</v>
      </c>
      <c r="H1887" s="127" t="s">
        <v>430</v>
      </c>
      <c r="I1887" s="127">
        <v>-8.0</v>
      </c>
      <c r="J1887" s="124">
        <v>50.0</v>
      </c>
      <c r="K1887" s="124" t="s">
        <v>38</v>
      </c>
      <c r="L1887" s="124" t="s">
        <v>430</v>
      </c>
    </row>
    <row r="1888">
      <c r="A1888" s="165">
        <v>43800.147749861106</v>
      </c>
      <c r="B1888" s="122" t="s">
        <v>44</v>
      </c>
      <c r="C1888" s="123" t="s">
        <v>122</v>
      </c>
      <c r="D1888" s="124">
        <v>10.0</v>
      </c>
      <c r="E1888" s="124">
        <v>2.0</v>
      </c>
      <c r="F1888" s="124" t="s">
        <v>266</v>
      </c>
      <c r="G1888" s="129" t="s">
        <v>311</v>
      </c>
      <c r="H1888" s="127" t="s">
        <v>430</v>
      </c>
      <c r="I1888" s="127" t="s">
        <v>451</v>
      </c>
      <c r="J1888" s="124" t="s">
        <v>283</v>
      </c>
      <c r="K1888" s="124" t="s">
        <v>64</v>
      </c>
      <c r="L1888" s="124" t="s">
        <v>430</v>
      </c>
    </row>
    <row r="1889">
      <c r="A1889" s="165">
        <v>43800.147749861106</v>
      </c>
      <c r="B1889" s="122" t="s">
        <v>44</v>
      </c>
      <c r="C1889" s="123" t="s">
        <v>61</v>
      </c>
      <c r="D1889" s="124">
        <v>6.0</v>
      </c>
      <c r="E1889" s="124">
        <v>6.0</v>
      </c>
      <c r="F1889" s="124" t="s">
        <v>248</v>
      </c>
      <c r="G1889" s="129" t="s">
        <v>326</v>
      </c>
      <c r="H1889" s="127" t="s">
        <v>430</v>
      </c>
      <c r="I1889" s="127" t="s">
        <v>272</v>
      </c>
      <c r="J1889" s="124">
        <v>52.0</v>
      </c>
      <c r="K1889" s="124" t="s">
        <v>41</v>
      </c>
      <c r="L1889" s="124" t="s">
        <v>430</v>
      </c>
    </row>
    <row r="1890">
      <c r="A1890" s="165">
        <v>43800.147749861106</v>
      </c>
      <c r="B1890" s="122" t="s">
        <v>44</v>
      </c>
      <c r="C1890" s="123" t="s">
        <v>188</v>
      </c>
      <c r="D1890" s="124">
        <v>7.0</v>
      </c>
      <c r="E1890" s="124">
        <v>5.0</v>
      </c>
      <c r="F1890" s="124" t="s">
        <v>267</v>
      </c>
      <c r="G1890" s="129" t="s">
        <v>342</v>
      </c>
      <c r="H1890" s="127" t="s">
        <v>430</v>
      </c>
      <c r="I1890" s="127" t="s">
        <v>286</v>
      </c>
      <c r="J1890" s="124">
        <v>58.0</v>
      </c>
      <c r="K1890" s="124" t="s">
        <v>60</v>
      </c>
      <c r="L1890" s="124" t="s">
        <v>430</v>
      </c>
    </row>
    <row r="1891">
      <c r="A1891" s="165">
        <v>43800.147749861106</v>
      </c>
      <c r="B1891" s="122" t="s">
        <v>44</v>
      </c>
      <c r="C1891" s="123" t="s">
        <v>37</v>
      </c>
      <c r="D1891" s="124">
        <v>9.0</v>
      </c>
      <c r="E1891" s="124">
        <v>2.0</v>
      </c>
      <c r="F1891" s="124" t="s">
        <v>268</v>
      </c>
      <c r="G1891" s="129" t="s">
        <v>353</v>
      </c>
      <c r="H1891" s="127" t="s">
        <v>430</v>
      </c>
      <c r="I1891" s="127">
        <v>-8.0</v>
      </c>
      <c r="J1891" s="124">
        <v>58.0</v>
      </c>
      <c r="K1891" s="124" t="s">
        <v>48</v>
      </c>
      <c r="L1891" s="124" t="s">
        <v>430</v>
      </c>
    </row>
    <row r="1892">
      <c r="A1892" s="165">
        <v>43800.147749861106</v>
      </c>
      <c r="B1892" s="122" t="s">
        <v>44</v>
      </c>
      <c r="C1892" s="123" t="s">
        <v>161</v>
      </c>
      <c r="D1892" s="124">
        <v>4.0</v>
      </c>
      <c r="E1892" s="124">
        <v>8.0</v>
      </c>
      <c r="F1892" s="124" t="s">
        <v>201</v>
      </c>
      <c r="G1892" s="129" t="s">
        <v>320</v>
      </c>
      <c r="H1892" s="127" t="s">
        <v>430</v>
      </c>
      <c r="I1892" s="127" t="s">
        <v>274</v>
      </c>
      <c r="J1892" s="124" t="s">
        <v>397</v>
      </c>
      <c r="K1892" s="124" t="s">
        <v>48</v>
      </c>
      <c r="L1892" s="124" t="s">
        <v>430</v>
      </c>
    </row>
    <row r="1893">
      <c r="A1893" s="136" t="s">
        <v>359</v>
      </c>
      <c r="B1893" s="122" t="s">
        <v>2</v>
      </c>
      <c r="C1893" s="123" t="s">
        <v>227</v>
      </c>
      <c r="D1893" s="124" t="s">
        <v>29</v>
      </c>
      <c r="E1893" s="124" t="s">
        <v>34</v>
      </c>
      <c r="F1893" s="124" t="s">
        <v>261</v>
      </c>
      <c r="G1893" s="129" t="s">
        <v>245</v>
      </c>
      <c r="H1893" s="127" t="s">
        <v>228</v>
      </c>
      <c r="I1893" s="127" t="s">
        <v>229</v>
      </c>
      <c r="J1893" s="124" t="s">
        <v>262</v>
      </c>
      <c r="K1893" s="124" t="s">
        <v>263</v>
      </c>
      <c r="L1893" s="124" t="s">
        <v>264</v>
      </c>
    </row>
    <row r="1894">
      <c r="A1894" s="165">
        <v>43800.147749861106</v>
      </c>
      <c r="B1894" s="122" t="s">
        <v>48</v>
      </c>
      <c r="C1894" s="123" t="s">
        <v>144</v>
      </c>
      <c r="D1894" s="124">
        <v>7.0</v>
      </c>
      <c r="E1894" s="124">
        <v>5.0</v>
      </c>
      <c r="F1894" s="124" t="s">
        <v>248</v>
      </c>
      <c r="G1894" s="129" t="s">
        <v>303</v>
      </c>
      <c r="H1894" s="127" t="s">
        <v>430</v>
      </c>
      <c r="I1894" s="127">
        <v>3.0</v>
      </c>
      <c r="J1894" s="124">
        <v>56.0</v>
      </c>
      <c r="K1894" s="124" t="s">
        <v>27</v>
      </c>
      <c r="L1894" s="124" t="s">
        <v>430</v>
      </c>
    </row>
    <row r="1895">
      <c r="A1895" s="165">
        <v>43800.147749861106</v>
      </c>
      <c r="B1895" s="122" t="s">
        <v>48</v>
      </c>
      <c r="C1895" s="123" t="s">
        <v>105</v>
      </c>
      <c r="D1895" s="124">
        <v>5.0</v>
      </c>
      <c r="E1895" s="124">
        <v>7.0</v>
      </c>
      <c r="F1895" s="124" t="s">
        <v>201</v>
      </c>
      <c r="G1895" s="129" t="s">
        <v>299</v>
      </c>
      <c r="H1895" s="127" t="s">
        <v>430</v>
      </c>
      <c r="I1895" s="127" t="s">
        <v>274</v>
      </c>
      <c r="J1895" s="124">
        <v>44.0</v>
      </c>
      <c r="K1895" s="124" t="s">
        <v>62</v>
      </c>
      <c r="L1895" s="124" t="s">
        <v>430</v>
      </c>
    </row>
    <row r="1896">
      <c r="A1896" s="165">
        <v>43800.147749861106</v>
      </c>
      <c r="B1896" s="122" t="s">
        <v>48</v>
      </c>
      <c r="C1896" s="123" t="s">
        <v>187</v>
      </c>
      <c r="D1896" s="124">
        <v>2.0</v>
      </c>
      <c r="E1896" s="124">
        <v>2.0</v>
      </c>
      <c r="F1896" s="124" t="s">
        <v>267</v>
      </c>
      <c r="G1896" s="129" t="s">
        <v>306</v>
      </c>
      <c r="H1896" s="127" t="s">
        <v>430</v>
      </c>
      <c r="I1896" s="127" t="s">
        <v>226</v>
      </c>
      <c r="J1896" s="124">
        <v>56.0</v>
      </c>
      <c r="K1896" s="124" t="s">
        <v>62</v>
      </c>
      <c r="L1896" s="124" t="s">
        <v>430</v>
      </c>
    </row>
    <row r="1897">
      <c r="A1897" s="165">
        <v>43800.147749861106</v>
      </c>
      <c r="B1897" s="122" t="s">
        <v>48</v>
      </c>
      <c r="C1897" s="123" t="s">
        <v>176</v>
      </c>
      <c r="D1897" s="124">
        <v>11.0</v>
      </c>
      <c r="E1897" s="124">
        <v>1.0</v>
      </c>
      <c r="F1897" s="124" t="s">
        <v>234</v>
      </c>
      <c r="G1897" s="129" t="s">
        <v>310</v>
      </c>
      <c r="H1897" s="127" t="s">
        <v>430</v>
      </c>
      <c r="I1897" s="127">
        <v>-28.0</v>
      </c>
      <c r="J1897" s="124" t="s">
        <v>482</v>
      </c>
      <c r="K1897" s="124" t="s">
        <v>288</v>
      </c>
      <c r="L1897" s="124" t="s">
        <v>430</v>
      </c>
    </row>
    <row r="1898">
      <c r="A1898" s="165">
        <v>43800.147749861106</v>
      </c>
      <c r="B1898" s="122" t="s">
        <v>48</v>
      </c>
      <c r="C1898" s="123" t="s">
        <v>120</v>
      </c>
      <c r="D1898" s="124">
        <v>4.0</v>
      </c>
      <c r="E1898" s="124">
        <v>8.0</v>
      </c>
      <c r="F1898" s="124" t="s">
        <v>248</v>
      </c>
      <c r="G1898" s="129" t="s">
        <v>1364</v>
      </c>
      <c r="H1898" s="127" t="s">
        <v>639</v>
      </c>
      <c r="I1898" s="127">
        <v>7.0</v>
      </c>
      <c r="J1898" s="124">
        <v>55.0</v>
      </c>
      <c r="K1898" s="124" t="s">
        <v>69</v>
      </c>
      <c r="L1898" s="124" t="s">
        <v>639</v>
      </c>
    </row>
    <row r="1899">
      <c r="A1899" s="165">
        <v>43800.147749861106</v>
      </c>
      <c r="B1899" s="122" t="s">
        <v>48</v>
      </c>
      <c r="C1899" s="123" t="s">
        <v>127</v>
      </c>
      <c r="D1899" s="124">
        <v>4.0</v>
      </c>
      <c r="E1899" s="124">
        <v>8.0</v>
      </c>
      <c r="F1899" s="124" t="s">
        <v>267</v>
      </c>
      <c r="G1899" s="129" t="s">
        <v>344</v>
      </c>
      <c r="H1899" s="127" t="s">
        <v>430</v>
      </c>
      <c r="I1899" s="127">
        <v>8.0</v>
      </c>
      <c r="J1899" s="124" t="s">
        <v>507</v>
      </c>
      <c r="K1899" s="124" t="s">
        <v>58</v>
      </c>
      <c r="L1899" s="124" t="s">
        <v>430</v>
      </c>
    </row>
    <row r="1900">
      <c r="A1900" s="165">
        <v>43800.147749861106</v>
      </c>
      <c r="B1900" s="122" t="s">
        <v>48</v>
      </c>
      <c r="C1900" s="123" t="s">
        <v>155</v>
      </c>
      <c r="D1900" s="124">
        <v>2.0</v>
      </c>
      <c r="E1900" s="124">
        <v>10.0</v>
      </c>
      <c r="F1900" s="124" t="s">
        <v>215</v>
      </c>
      <c r="G1900" s="129" t="s">
        <v>364</v>
      </c>
      <c r="H1900" s="127" t="s">
        <v>430</v>
      </c>
      <c r="I1900" s="127" t="s">
        <v>492</v>
      </c>
      <c r="J1900" s="124">
        <v>61.0</v>
      </c>
      <c r="K1900" s="124" t="s">
        <v>41</v>
      </c>
      <c r="L1900" s="124" t="s">
        <v>430</v>
      </c>
    </row>
    <row r="1901">
      <c r="A1901" s="165">
        <v>43800.147749861106</v>
      </c>
      <c r="B1901" s="122" t="s">
        <v>48</v>
      </c>
      <c r="C1901" s="123" t="s">
        <v>33</v>
      </c>
      <c r="D1901" s="124">
        <v>4.0</v>
      </c>
      <c r="E1901" s="124">
        <v>8.0</v>
      </c>
      <c r="F1901" s="124" t="s">
        <v>215</v>
      </c>
      <c r="G1901" s="129" t="s">
        <v>353</v>
      </c>
      <c r="H1901" s="127" t="s">
        <v>430</v>
      </c>
      <c r="I1901" s="127">
        <v>8.0</v>
      </c>
      <c r="J1901" s="124">
        <v>58.0</v>
      </c>
      <c r="K1901" s="124" t="s">
        <v>44</v>
      </c>
      <c r="L1901" s="124" t="s">
        <v>430</v>
      </c>
    </row>
    <row r="1902">
      <c r="A1902" s="165">
        <v>43800.147749861106</v>
      </c>
      <c r="B1902" s="122" t="s">
        <v>48</v>
      </c>
      <c r="C1902" s="123" t="s">
        <v>90</v>
      </c>
      <c r="D1902" s="124">
        <v>6.0</v>
      </c>
      <c r="E1902" s="124">
        <v>6.0</v>
      </c>
      <c r="F1902" s="124" t="s">
        <v>201</v>
      </c>
      <c r="G1902" s="129" t="s">
        <v>327</v>
      </c>
      <c r="H1902" s="127" t="s">
        <v>430</v>
      </c>
      <c r="I1902" s="127" t="s">
        <v>597</v>
      </c>
      <c r="J1902" s="124" t="s">
        <v>237</v>
      </c>
      <c r="K1902" s="124" t="s">
        <v>74</v>
      </c>
      <c r="L1902" s="124" t="s">
        <v>430</v>
      </c>
    </row>
    <row r="1903">
      <c r="A1903" s="165">
        <v>43800.147749861106</v>
      </c>
      <c r="B1903" s="122" t="s">
        <v>48</v>
      </c>
      <c r="C1903" s="123" t="s">
        <v>162</v>
      </c>
      <c r="D1903" s="124">
        <v>7.0</v>
      </c>
      <c r="E1903" s="124">
        <v>5.0</v>
      </c>
      <c r="F1903" s="124" t="s">
        <v>269</v>
      </c>
      <c r="G1903" s="129" t="s">
        <v>320</v>
      </c>
      <c r="H1903" s="127" t="s">
        <v>430</v>
      </c>
      <c r="I1903" s="127" t="s">
        <v>226</v>
      </c>
      <c r="J1903" s="124" t="s">
        <v>397</v>
      </c>
      <c r="K1903" s="124" t="s">
        <v>44</v>
      </c>
      <c r="L1903" s="124" t="s">
        <v>430</v>
      </c>
    </row>
    <row r="1904">
      <c r="A1904" s="136" t="s">
        <v>359</v>
      </c>
      <c r="B1904" s="122" t="s">
        <v>2</v>
      </c>
      <c r="C1904" s="123" t="s">
        <v>227</v>
      </c>
      <c r="D1904" s="124" t="s">
        <v>29</v>
      </c>
      <c r="E1904" s="124" t="s">
        <v>34</v>
      </c>
      <c r="F1904" s="124" t="s">
        <v>261</v>
      </c>
      <c r="G1904" s="129" t="s">
        <v>245</v>
      </c>
      <c r="H1904" s="127" t="s">
        <v>228</v>
      </c>
      <c r="I1904" s="127" t="s">
        <v>229</v>
      </c>
      <c r="J1904" s="124" t="s">
        <v>262</v>
      </c>
      <c r="K1904" s="124" t="s">
        <v>263</v>
      </c>
      <c r="L1904" s="124" t="s">
        <v>264</v>
      </c>
    </row>
    <row r="1905">
      <c r="A1905" s="165">
        <v>43800.147749861106</v>
      </c>
      <c r="B1905" s="122" t="s">
        <v>53</v>
      </c>
      <c r="C1905" s="123" t="s">
        <v>148</v>
      </c>
      <c r="D1905" s="124">
        <v>7.0</v>
      </c>
      <c r="E1905" s="124">
        <v>5.0</v>
      </c>
      <c r="F1905" s="124" t="s">
        <v>215</v>
      </c>
      <c r="G1905" s="129" t="s">
        <v>289</v>
      </c>
      <c r="H1905" s="127" t="s">
        <v>430</v>
      </c>
      <c r="I1905" s="127">
        <v>-8.0</v>
      </c>
      <c r="J1905" s="124">
        <v>51.0</v>
      </c>
      <c r="K1905" s="124" t="s">
        <v>44</v>
      </c>
      <c r="L1905" s="124" t="s">
        <v>430</v>
      </c>
    </row>
    <row r="1906">
      <c r="A1906" s="165">
        <v>43800.147749861106</v>
      </c>
      <c r="B1906" s="122" t="s">
        <v>53</v>
      </c>
      <c r="C1906" s="123" t="s">
        <v>179</v>
      </c>
      <c r="D1906" s="124">
        <v>6.0</v>
      </c>
      <c r="E1906" s="124">
        <v>6.0</v>
      </c>
      <c r="F1906" s="124" t="s">
        <v>201</v>
      </c>
      <c r="G1906" s="129" t="s">
        <v>293</v>
      </c>
      <c r="H1906" s="127" t="s">
        <v>430</v>
      </c>
      <c r="I1906" s="127">
        <v>-3.0</v>
      </c>
      <c r="J1906" s="124">
        <v>58.0</v>
      </c>
      <c r="K1906" s="124" t="s">
        <v>288</v>
      </c>
      <c r="L1906" s="124" t="s">
        <v>430</v>
      </c>
    </row>
    <row r="1907">
      <c r="A1907" s="165">
        <v>43800.147749861106</v>
      </c>
      <c r="B1907" s="122" t="s">
        <v>53</v>
      </c>
      <c r="C1907" s="123" t="s">
        <v>93</v>
      </c>
      <c r="D1907" s="124">
        <v>9.0</v>
      </c>
      <c r="E1907" s="124">
        <v>3.0</v>
      </c>
      <c r="F1907" s="124" t="s">
        <v>248</v>
      </c>
      <c r="G1907" s="129" t="s">
        <v>294</v>
      </c>
      <c r="H1907" s="127" t="s">
        <v>430</v>
      </c>
      <c r="I1907" s="127">
        <v>3.0</v>
      </c>
      <c r="J1907" s="124">
        <v>48.0</v>
      </c>
      <c r="K1907" s="124" t="s">
        <v>27</v>
      </c>
      <c r="L1907" s="124" t="s">
        <v>430</v>
      </c>
    </row>
    <row r="1908">
      <c r="A1908" s="165">
        <v>43800.147749861106</v>
      </c>
      <c r="B1908" s="122" t="s">
        <v>53</v>
      </c>
      <c r="C1908" s="123" t="s">
        <v>119</v>
      </c>
      <c r="D1908" s="124">
        <v>10.0</v>
      </c>
      <c r="E1908" s="124">
        <v>2.0</v>
      </c>
      <c r="F1908" s="124" t="s">
        <v>207</v>
      </c>
      <c r="G1908" s="129" t="s">
        <v>328</v>
      </c>
      <c r="H1908" s="127" t="s">
        <v>430</v>
      </c>
      <c r="I1908" s="127">
        <v>-40.0</v>
      </c>
      <c r="J1908" s="124" t="s">
        <v>394</v>
      </c>
      <c r="K1908" s="124" t="s">
        <v>288</v>
      </c>
      <c r="L1908" s="124" t="s">
        <v>430</v>
      </c>
    </row>
    <row r="1909">
      <c r="A1909" s="165">
        <v>43800.147749861106</v>
      </c>
      <c r="B1909" s="122" t="s">
        <v>53</v>
      </c>
      <c r="C1909" s="123" t="s">
        <v>136</v>
      </c>
      <c r="D1909" s="124">
        <v>9.0</v>
      </c>
      <c r="E1909" s="124">
        <v>3.0</v>
      </c>
      <c r="F1909" s="124" t="s">
        <v>282</v>
      </c>
      <c r="G1909" s="129" t="s">
        <v>358</v>
      </c>
      <c r="H1909" s="127" t="s">
        <v>430</v>
      </c>
      <c r="I1909" s="127">
        <v>-1.0</v>
      </c>
      <c r="J1909" s="124" t="s">
        <v>507</v>
      </c>
      <c r="K1909" s="124" t="s">
        <v>62</v>
      </c>
      <c r="L1909" s="124" t="s">
        <v>430</v>
      </c>
    </row>
    <row r="1910">
      <c r="A1910" s="165">
        <v>43800.147749861106</v>
      </c>
      <c r="B1910" s="122" t="s">
        <v>53</v>
      </c>
      <c r="C1910" s="123" t="s">
        <v>42</v>
      </c>
      <c r="D1910" s="124">
        <v>10.0</v>
      </c>
      <c r="E1910" s="124">
        <v>2.0</v>
      </c>
      <c r="F1910" s="124" t="s">
        <v>248</v>
      </c>
      <c r="G1910" s="129" t="s">
        <v>333</v>
      </c>
      <c r="H1910" s="127" t="s">
        <v>430</v>
      </c>
      <c r="I1910" s="127" t="s">
        <v>379</v>
      </c>
      <c r="J1910" s="124" t="s">
        <v>432</v>
      </c>
      <c r="K1910" s="124" t="s">
        <v>41</v>
      </c>
      <c r="L1910" s="124" t="s">
        <v>430</v>
      </c>
    </row>
    <row r="1911">
      <c r="A1911" s="165">
        <v>43800.147749861106</v>
      </c>
      <c r="B1911" s="122" t="s">
        <v>53</v>
      </c>
      <c r="C1911" s="123" t="s">
        <v>164</v>
      </c>
      <c r="D1911" s="124">
        <v>5.0</v>
      </c>
      <c r="E1911" s="124">
        <v>7.0</v>
      </c>
      <c r="F1911" s="124" t="s">
        <v>248</v>
      </c>
      <c r="G1911" s="129" t="s">
        <v>312</v>
      </c>
      <c r="H1911" s="127" t="s">
        <v>430</v>
      </c>
      <c r="I1911" s="127">
        <v>29.0</v>
      </c>
      <c r="J1911" s="124">
        <v>49.0</v>
      </c>
      <c r="K1911" s="124" t="s">
        <v>69</v>
      </c>
      <c r="L1911" s="124" t="s">
        <v>430</v>
      </c>
    </row>
    <row r="1912">
      <c r="A1912" s="165">
        <v>43800.147749861106</v>
      </c>
      <c r="B1912" s="122" t="s">
        <v>53</v>
      </c>
      <c r="C1912" s="123" t="s">
        <v>191</v>
      </c>
      <c r="D1912" s="124">
        <v>5.0</v>
      </c>
      <c r="E1912" s="124">
        <v>7.0</v>
      </c>
      <c r="F1912" s="124" t="s">
        <v>248</v>
      </c>
      <c r="G1912" s="129" t="s">
        <v>334</v>
      </c>
      <c r="H1912" s="127" t="s">
        <v>430</v>
      </c>
      <c r="I1912" s="127">
        <v>21.0</v>
      </c>
      <c r="J1912" s="124">
        <v>68.0</v>
      </c>
      <c r="K1912" s="124" t="s">
        <v>41</v>
      </c>
      <c r="L1912" s="124" t="s">
        <v>430</v>
      </c>
    </row>
    <row r="1913">
      <c r="A1913" s="165">
        <v>43800.147749861106</v>
      </c>
      <c r="B1913" s="122" t="s">
        <v>53</v>
      </c>
      <c r="C1913" s="123" t="s">
        <v>100</v>
      </c>
      <c r="D1913" s="124">
        <v>11.0</v>
      </c>
      <c r="E1913" s="124">
        <v>1.0</v>
      </c>
      <c r="F1913" s="124" t="s">
        <v>207</v>
      </c>
      <c r="G1913" s="129" t="s">
        <v>316</v>
      </c>
      <c r="H1913" s="127" t="s">
        <v>430</v>
      </c>
      <c r="I1913" s="127" t="s">
        <v>226</v>
      </c>
      <c r="J1913" s="124" t="s">
        <v>764</v>
      </c>
      <c r="K1913" s="124" t="s">
        <v>69</v>
      </c>
      <c r="L1913" s="124" t="s">
        <v>430</v>
      </c>
    </row>
    <row r="1914">
      <c r="A1914" s="165">
        <v>43800.147749861106</v>
      </c>
      <c r="B1914" s="122" t="s">
        <v>53</v>
      </c>
      <c r="C1914" s="123" t="s">
        <v>157</v>
      </c>
      <c r="D1914" s="124">
        <v>5.0</v>
      </c>
      <c r="E1914" s="124">
        <v>7.0</v>
      </c>
      <c r="F1914" s="124" t="s">
        <v>248</v>
      </c>
      <c r="G1914" s="129" t="s">
        <v>1362</v>
      </c>
      <c r="H1914" s="127" t="s">
        <v>430</v>
      </c>
      <c r="I1914" s="127">
        <v>3.0</v>
      </c>
      <c r="J1914" s="124">
        <v>65.0</v>
      </c>
      <c r="K1914" s="124" t="s">
        <v>27</v>
      </c>
      <c r="L1914" s="124" t="s">
        <v>430</v>
      </c>
    </row>
    <row r="1915">
      <c r="A1915" s="136" t="s">
        <v>359</v>
      </c>
      <c r="B1915" s="122" t="s">
        <v>2</v>
      </c>
      <c r="C1915" s="123" t="s">
        <v>227</v>
      </c>
      <c r="D1915" s="124" t="s">
        <v>29</v>
      </c>
      <c r="E1915" s="124" t="s">
        <v>34</v>
      </c>
      <c r="F1915" s="124" t="s">
        <v>261</v>
      </c>
      <c r="G1915" s="129" t="s">
        <v>245</v>
      </c>
      <c r="H1915" s="127" t="s">
        <v>228</v>
      </c>
      <c r="I1915" s="127" t="s">
        <v>229</v>
      </c>
      <c r="J1915" s="124" t="s">
        <v>262</v>
      </c>
      <c r="K1915" s="124" t="s">
        <v>263</v>
      </c>
      <c r="L1915" s="124" t="s">
        <v>264</v>
      </c>
    </row>
    <row r="1916">
      <c r="A1916" s="165">
        <v>43800.147749861106</v>
      </c>
      <c r="B1916" s="122" t="s">
        <v>58</v>
      </c>
      <c r="C1916" s="123" t="s">
        <v>140</v>
      </c>
      <c r="D1916" s="124">
        <v>7.0</v>
      </c>
      <c r="E1916" s="124">
        <v>5.0</v>
      </c>
      <c r="F1916" s="124" t="s">
        <v>260</v>
      </c>
      <c r="G1916" s="129" t="s">
        <v>305</v>
      </c>
      <c r="H1916" s="127" t="s">
        <v>430</v>
      </c>
      <c r="I1916" s="127" t="s">
        <v>557</v>
      </c>
      <c r="J1916" s="124" t="s">
        <v>406</v>
      </c>
      <c r="K1916" s="124" t="s">
        <v>38</v>
      </c>
      <c r="L1916" s="124" t="s">
        <v>430</v>
      </c>
    </row>
    <row r="1917">
      <c r="A1917" s="165">
        <v>43800.147749861106</v>
      </c>
      <c r="B1917" s="122" t="s">
        <v>58</v>
      </c>
      <c r="C1917" s="123" t="s">
        <v>110</v>
      </c>
      <c r="D1917" s="124">
        <v>9.0</v>
      </c>
      <c r="E1917" s="124">
        <v>3.0</v>
      </c>
      <c r="F1917" s="124" t="s">
        <v>278</v>
      </c>
      <c r="G1917" s="129" t="s">
        <v>301</v>
      </c>
      <c r="H1917" s="127" t="s">
        <v>430</v>
      </c>
      <c r="I1917" s="127">
        <v>-5.0</v>
      </c>
      <c r="J1917" s="124" t="s">
        <v>608</v>
      </c>
      <c r="K1917" s="124" t="s">
        <v>27</v>
      </c>
      <c r="L1917" s="124" t="s">
        <v>430</v>
      </c>
    </row>
    <row r="1918">
      <c r="A1918" s="165">
        <v>43800.147749861106</v>
      </c>
      <c r="B1918" s="122" t="s">
        <v>58</v>
      </c>
      <c r="C1918" s="123" t="s">
        <v>186</v>
      </c>
      <c r="D1918" s="124">
        <v>11.0</v>
      </c>
      <c r="E1918" s="124">
        <v>1.0</v>
      </c>
      <c r="F1918" s="124" t="s">
        <v>242</v>
      </c>
      <c r="G1918" s="129" t="s">
        <v>309</v>
      </c>
      <c r="H1918" s="127" t="s">
        <v>430</v>
      </c>
      <c r="I1918" s="127">
        <v>-13.0</v>
      </c>
      <c r="J1918" s="124">
        <v>64.0</v>
      </c>
      <c r="K1918" s="124" t="s">
        <v>74</v>
      </c>
      <c r="L1918" s="124" t="s">
        <v>430</v>
      </c>
    </row>
    <row r="1919">
      <c r="A1919" s="165">
        <v>43800.147749861106</v>
      </c>
      <c r="B1919" s="122" t="s">
        <v>58</v>
      </c>
      <c r="C1919" s="123" t="s">
        <v>45</v>
      </c>
      <c r="D1919" s="124">
        <v>4.0</v>
      </c>
      <c r="E1919" s="124">
        <v>8.0</v>
      </c>
      <c r="F1919" s="124" t="s">
        <v>260</v>
      </c>
      <c r="G1919" s="129" t="s">
        <v>300</v>
      </c>
      <c r="H1919" s="127" t="s">
        <v>430</v>
      </c>
      <c r="I1919" s="127">
        <v>23.0</v>
      </c>
      <c r="J1919" s="124" t="s">
        <v>419</v>
      </c>
      <c r="K1919" s="124" t="s">
        <v>60</v>
      </c>
      <c r="L1919" s="124" t="s">
        <v>430</v>
      </c>
    </row>
    <row r="1920">
      <c r="A1920" s="165">
        <v>43800.147749861106</v>
      </c>
      <c r="B1920" s="122" t="s">
        <v>58</v>
      </c>
      <c r="C1920" s="123" t="s">
        <v>135</v>
      </c>
      <c r="D1920" s="124">
        <v>8.0</v>
      </c>
      <c r="E1920" s="124">
        <v>4.0</v>
      </c>
      <c r="F1920" s="124" t="s">
        <v>248</v>
      </c>
      <c r="G1920" s="129" t="s">
        <v>344</v>
      </c>
      <c r="H1920" s="127" t="s">
        <v>430</v>
      </c>
      <c r="I1920" s="127">
        <v>-8.0</v>
      </c>
      <c r="J1920" s="124" t="s">
        <v>507</v>
      </c>
      <c r="K1920" s="124" t="s">
        <v>48</v>
      </c>
      <c r="L1920" s="124" t="s">
        <v>430</v>
      </c>
    </row>
    <row r="1921">
      <c r="A1921" s="165">
        <v>43800.147749861106</v>
      </c>
      <c r="B1921" s="122" t="s">
        <v>58</v>
      </c>
      <c r="C1921" s="123" t="s">
        <v>158</v>
      </c>
      <c r="D1921" s="124">
        <v>4.0</v>
      </c>
      <c r="E1921" s="124">
        <v>8.0</v>
      </c>
      <c r="F1921" s="124" t="s">
        <v>284</v>
      </c>
      <c r="G1921" s="129" t="s">
        <v>1365</v>
      </c>
      <c r="H1921" s="127" t="s">
        <v>643</v>
      </c>
      <c r="I1921" s="127" t="s">
        <v>257</v>
      </c>
      <c r="J1921" s="124" t="s">
        <v>406</v>
      </c>
      <c r="K1921" s="124" t="s">
        <v>64</v>
      </c>
      <c r="L1921" s="124" t="s">
        <v>643</v>
      </c>
    </row>
    <row r="1922">
      <c r="A1922" s="165">
        <v>43800.147749861106</v>
      </c>
      <c r="B1922" s="122" t="s">
        <v>58</v>
      </c>
      <c r="C1922" s="123" t="s">
        <v>96</v>
      </c>
      <c r="D1922" s="124">
        <v>11.0</v>
      </c>
      <c r="E1922" s="124">
        <v>1.0</v>
      </c>
      <c r="F1922" s="124" t="s">
        <v>207</v>
      </c>
      <c r="G1922" s="129" t="s">
        <v>318</v>
      </c>
      <c r="H1922" s="127" t="s">
        <v>430</v>
      </c>
      <c r="I1922" s="127">
        <v>-14.0</v>
      </c>
      <c r="J1922" s="124" t="s">
        <v>387</v>
      </c>
      <c r="K1922" s="124" t="s">
        <v>64</v>
      </c>
      <c r="L1922" s="124" t="s">
        <v>430</v>
      </c>
    </row>
    <row r="1923">
      <c r="A1923" s="165">
        <v>43800.147749861106</v>
      </c>
      <c r="B1923" s="122" t="s">
        <v>58</v>
      </c>
      <c r="C1923" s="123" t="s">
        <v>72</v>
      </c>
      <c r="D1923" s="124">
        <v>5.0</v>
      </c>
      <c r="E1923" s="124">
        <v>7.0</v>
      </c>
      <c r="F1923" s="124" t="s">
        <v>285</v>
      </c>
      <c r="G1923" s="129" t="s">
        <v>352</v>
      </c>
      <c r="H1923" s="127" t="s">
        <v>430</v>
      </c>
      <c r="I1923" s="127">
        <v>9.0</v>
      </c>
      <c r="J1923" s="124" t="s">
        <v>283</v>
      </c>
      <c r="K1923" s="124" t="s">
        <v>69</v>
      </c>
      <c r="L1923" s="124" t="s">
        <v>430</v>
      </c>
    </row>
    <row r="1924">
      <c r="A1924" s="165">
        <v>43800.147749861106</v>
      </c>
      <c r="B1924" s="122" t="s">
        <v>58</v>
      </c>
      <c r="C1924" s="123" t="s">
        <v>165</v>
      </c>
      <c r="D1924" s="124">
        <v>10.0</v>
      </c>
      <c r="E1924" s="124">
        <v>2.0</v>
      </c>
      <c r="F1924" s="124" t="s">
        <v>201</v>
      </c>
      <c r="G1924" s="129" t="s">
        <v>325</v>
      </c>
      <c r="H1924" s="127" t="s">
        <v>430</v>
      </c>
      <c r="I1924" s="127">
        <v>-19.0</v>
      </c>
      <c r="J1924" s="124">
        <v>68.0</v>
      </c>
      <c r="K1924" s="124" t="s">
        <v>60</v>
      </c>
      <c r="L1924" s="124" t="s">
        <v>430</v>
      </c>
    </row>
    <row r="1925">
      <c r="A1925" s="165">
        <v>43800.147749861106</v>
      </c>
      <c r="B1925" s="122" t="s">
        <v>58</v>
      </c>
      <c r="C1925" s="123" t="s">
        <v>183</v>
      </c>
      <c r="D1925" s="124">
        <v>7.0</v>
      </c>
      <c r="E1925" s="124">
        <v>5.0</v>
      </c>
      <c r="F1925" s="124" t="s">
        <v>248</v>
      </c>
      <c r="G1925" s="129" t="s">
        <v>1366</v>
      </c>
      <c r="H1925" s="127" t="s">
        <v>430</v>
      </c>
      <c r="I1925" s="127">
        <v>-22.0</v>
      </c>
      <c r="J1925" s="124" t="s">
        <v>519</v>
      </c>
      <c r="K1925" s="124" t="s">
        <v>288</v>
      </c>
      <c r="L1925" s="124" t="s">
        <v>430</v>
      </c>
    </row>
    <row r="1926">
      <c r="A1926" s="136" t="s">
        <v>359</v>
      </c>
      <c r="B1926" s="122" t="s">
        <v>2</v>
      </c>
      <c r="C1926" s="123" t="s">
        <v>227</v>
      </c>
      <c r="D1926" s="124" t="s">
        <v>29</v>
      </c>
      <c r="E1926" s="124" t="s">
        <v>34</v>
      </c>
      <c r="F1926" s="124" t="s">
        <v>261</v>
      </c>
      <c r="G1926" s="129" t="s">
        <v>245</v>
      </c>
      <c r="H1926" s="127" t="s">
        <v>228</v>
      </c>
      <c r="I1926" s="127" t="s">
        <v>229</v>
      </c>
      <c r="J1926" s="124" t="s">
        <v>262</v>
      </c>
      <c r="K1926" s="124" t="s">
        <v>263</v>
      </c>
      <c r="L1926" s="124" t="s">
        <v>264</v>
      </c>
    </row>
    <row r="1927">
      <c r="A1927" s="165">
        <v>43800.147749861106</v>
      </c>
      <c r="B1927" s="122" t="s">
        <v>60</v>
      </c>
      <c r="C1927" s="123" t="s">
        <v>137</v>
      </c>
      <c r="D1927" s="124">
        <v>0.0</v>
      </c>
      <c r="E1927" s="124">
        <v>12.0</v>
      </c>
      <c r="F1927" s="124" t="s">
        <v>248</v>
      </c>
      <c r="G1927" s="129" t="s">
        <v>290</v>
      </c>
      <c r="H1927" s="127" t="s">
        <v>430</v>
      </c>
      <c r="I1927" s="127">
        <v>28.0</v>
      </c>
      <c r="J1927" s="124">
        <v>53.0</v>
      </c>
      <c r="K1927" s="124" t="s">
        <v>41</v>
      </c>
      <c r="L1927" s="124" t="s">
        <v>430</v>
      </c>
    </row>
    <row r="1928">
      <c r="A1928" s="165">
        <v>43800.147749861106</v>
      </c>
      <c r="B1928" s="122" t="s">
        <v>60</v>
      </c>
      <c r="C1928" s="123" t="s">
        <v>103</v>
      </c>
      <c r="D1928" s="124">
        <v>7.0</v>
      </c>
      <c r="E1928" s="124">
        <v>5.0</v>
      </c>
      <c r="F1928" s="124" t="s">
        <v>269</v>
      </c>
      <c r="G1928" s="129" t="s">
        <v>297</v>
      </c>
      <c r="H1928" s="127" t="s">
        <v>430</v>
      </c>
      <c r="I1928" s="127">
        <v>-10.0</v>
      </c>
      <c r="J1928" s="124">
        <v>64.0</v>
      </c>
      <c r="K1928" s="124" t="s">
        <v>44</v>
      </c>
      <c r="L1928" s="124" t="s">
        <v>430</v>
      </c>
    </row>
    <row r="1929">
      <c r="A1929" s="165">
        <v>43800.147749861106</v>
      </c>
      <c r="B1929" s="122" t="s">
        <v>60</v>
      </c>
      <c r="C1929" s="123" t="s">
        <v>59</v>
      </c>
      <c r="D1929" s="124">
        <v>9.0</v>
      </c>
      <c r="E1929" s="124">
        <v>3.0</v>
      </c>
      <c r="F1929" s="124" t="s">
        <v>248</v>
      </c>
      <c r="G1929" s="129" t="s">
        <v>300</v>
      </c>
      <c r="H1929" s="127" t="s">
        <v>430</v>
      </c>
      <c r="I1929" s="127">
        <v>-23.0</v>
      </c>
      <c r="J1929" s="124" t="s">
        <v>419</v>
      </c>
      <c r="K1929" s="124" t="s">
        <v>58</v>
      </c>
      <c r="L1929" s="124" t="s">
        <v>430</v>
      </c>
    </row>
    <row r="1930">
      <c r="A1930" s="165">
        <v>43800.147749861106</v>
      </c>
      <c r="B1930" s="122" t="s">
        <v>60</v>
      </c>
      <c r="C1930" s="123" t="s">
        <v>123</v>
      </c>
      <c r="D1930" s="124">
        <v>6.0</v>
      </c>
      <c r="E1930" s="124">
        <v>6.0</v>
      </c>
      <c r="F1930" s="124" t="s">
        <v>248</v>
      </c>
      <c r="G1930" s="129" t="s">
        <v>1363</v>
      </c>
      <c r="H1930" s="127" t="s">
        <v>643</v>
      </c>
      <c r="I1930" s="127" t="s">
        <v>257</v>
      </c>
      <c r="J1930" s="124" t="s">
        <v>394</v>
      </c>
      <c r="K1930" s="124" t="s">
        <v>41</v>
      </c>
      <c r="L1930" s="124" t="s">
        <v>643</v>
      </c>
    </row>
    <row r="1931">
      <c r="A1931" s="165">
        <v>43800.147749861106</v>
      </c>
      <c r="B1931" s="122" t="s">
        <v>60</v>
      </c>
      <c r="C1931" s="123" t="s">
        <v>117</v>
      </c>
      <c r="D1931" s="124">
        <v>3.0</v>
      </c>
      <c r="E1931" s="124">
        <v>9.0</v>
      </c>
      <c r="F1931" s="124" t="s">
        <v>266</v>
      </c>
      <c r="G1931" s="129" t="s">
        <v>321</v>
      </c>
      <c r="H1931" s="127" t="s">
        <v>430</v>
      </c>
      <c r="I1931" s="127" t="s">
        <v>272</v>
      </c>
      <c r="J1931" s="124">
        <v>44.0</v>
      </c>
      <c r="K1931" s="124" t="s">
        <v>288</v>
      </c>
      <c r="L1931" s="124" t="s">
        <v>430</v>
      </c>
    </row>
    <row r="1932">
      <c r="A1932" s="165">
        <v>43800.147749861106</v>
      </c>
      <c r="B1932" s="122" t="s">
        <v>60</v>
      </c>
      <c r="C1932" s="123" t="s">
        <v>95</v>
      </c>
      <c r="D1932" s="124">
        <v>8.0</v>
      </c>
      <c r="E1932" s="124">
        <v>4.0</v>
      </c>
      <c r="F1932" s="124" t="s">
        <v>207</v>
      </c>
      <c r="G1932" s="129" t="s">
        <v>1367</v>
      </c>
      <c r="H1932" s="127" t="s">
        <v>643</v>
      </c>
      <c r="I1932" s="127" t="s">
        <v>620</v>
      </c>
      <c r="J1932" s="124" t="s">
        <v>559</v>
      </c>
      <c r="K1932" s="124" t="s">
        <v>62</v>
      </c>
      <c r="L1932" s="124" t="s">
        <v>643</v>
      </c>
    </row>
    <row r="1933">
      <c r="A1933" s="165">
        <v>43800.147749861106</v>
      </c>
      <c r="B1933" s="122" t="s">
        <v>60</v>
      </c>
      <c r="C1933" s="123" t="s">
        <v>149</v>
      </c>
      <c r="D1933" s="124">
        <v>10.0</v>
      </c>
      <c r="E1933" s="124">
        <v>2.0</v>
      </c>
      <c r="F1933" s="124" t="s">
        <v>215</v>
      </c>
      <c r="G1933" s="129" t="s">
        <v>361</v>
      </c>
      <c r="H1933" s="127" t="s">
        <v>430</v>
      </c>
      <c r="I1933" s="127" t="s">
        <v>431</v>
      </c>
      <c r="J1933" s="124">
        <v>43.0</v>
      </c>
      <c r="K1933" s="124" t="s">
        <v>74</v>
      </c>
      <c r="L1933" s="124" t="s">
        <v>430</v>
      </c>
    </row>
    <row r="1934">
      <c r="A1934" s="165">
        <v>43800.147749861106</v>
      </c>
      <c r="B1934" s="122" t="s">
        <v>60</v>
      </c>
      <c r="C1934" s="123" t="s">
        <v>166</v>
      </c>
      <c r="D1934" s="124">
        <v>5.0</v>
      </c>
      <c r="E1934" s="124">
        <v>7.0</v>
      </c>
      <c r="F1934" s="124" t="s">
        <v>269</v>
      </c>
      <c r="G1934" s="129" t="s">
        <v>325</v>
      </c>
      <c r="H1934" s="127" t="s">
        <v>430</v>
      </c>
      <c r="I1934" s="127">
        <v>19.0</v>
      </c>
      <c r="J1934" s="124">
        <v>68.0</v>
      </c>
      <c r="K1934" s="124" t="s">
        <v>58</v>
      </c>
      <c r="L1934" s="124" t="s">
        <v>430</v>
      </c>
    </row>
    <row r="1935">
      <c r="A1935" s="165">
        <v>43800.147749861106</v>
      </c>
      <c r="B1935" s="122" t="s">
        <v>60</v>
      </c>
      <c r="C1935" s="123" t="s">
        <v>189</v>
      </c>
      <c r="D1935" s="124">
        <v>7.0</v>
      </c>
      <c r="E1935" s="124">
        <v>5.0</v>
      </c>
      <c r="F1935" s="124" t="s">
        <v>242</v>
      </c>
      <c r="G1935" s="129" t="s">
        <v>342</v>
      </c>
      <c r="H1935" s="127" t="s">
        <v>430</v>
      </c>
      <c r="I1935" s="127" t="s">
        <v>257</v>
      </c>
      <c r="J1935" s="124">
        <v>58.0</v>
      </c>
      <c r="K1935" s="124" t="s">
        <v>44</v>
      </c>
      <c r="L1935" s="124" t="s">
        <v>430</v>
      </c>
    </row>
    <row r="1936">
      <c r="A1936" s="165">
        <v>43800.147749861106</v>
      </c>
      <c r="B1936" s="122" t="s">
        <v>60</v>
      </c>
      <c r="C1936" s="123" t="s">
        <v>175</v>
      </c>
      <c r="D1936" s="124">
        <v>10.0</v>
      </c>
      <c r="E1936" s="124">
        <v>2.0</v>
      </c>
      <c r="F1936" s="124" t="s">
        <v>234</v>
      </c>
      <c r="G1936" s="129" t="s">
        <v>331</v>
      </c>
      <c r="H1936" s="127" t="s">
        <v>430</v>
      </c>
      <c r="I1936" s="127" t="s">
        <v>426</v>
      </c>
      <c r="J1936" s="124" t="s">
        <v>406</v>
      </c>
      <c r="K1936" s="124" t="s">
        <v>64</v>
      </c>
      <c r="L1936" s="124" t="s">
        <v>430</v>
      </c>
    </row>
    <row r="1937">
      <c r="A1937" s="136" t="s">
        <v>359</v>
      </c>
      <c r="B1937" s="122" t="s">
        <v>2</v>
      </c>
      <c r="C1937" s="123" t="s">
        <v>227</v>
      </c>
      <c r="D1937" s="124" t="s">
        <v>29</v>
      </c>
      <c r="E1937" s="124" t="s">
        <v>34</v>
      </c>
      <c r="F1937" s="124" t="s">
        <v>261</v>
      </c>
      <c r="G1937" s="129" t="s">
        <v>245</v>
      </c>
      <c r="H1937" s="127" t="s">
        <v>228</v>
      </c>
      <c r="I1937" s="127" t="s">
        <v>229</v>
      </c>
      <c r="J1937" s="124" t="s">
        <v>262</v>
      </c>
      <c r="K1937" s="124" t="s">
        <v>263</v>
      </c>
      <c r="L1937" s="124" t="s">
        <v>264</v>
      </c>
    </row>
    <row r="1938">
      <c r="A1938" s="165">
        <v>43800.147749861106</v>
      </c>
      <c r="B1938" s="122" t="s">
        <v>62</v>
      </c>
      <c r="C1938" s="123" t="s">
        <v>143</v>
      </c>
      <c r="D1938" s="124">
        <v>6.0</v>
      </c>
      <c r="E1938" s="124">
        <v>6.0</v>
      </c>
      <c r="F1938" s="124" t="s">
        <v>260</v>
      </c>
      <c r="G1938" s="129" t="s">
        <v>1368</v>
      </c>
      <c r="H1938" s="127" t="s">
        <v>430</v>
      </c>
      <c r="I1938" s="127" t="s">
        <v>376</v>
      </c>
      <c r="J1938" s="124">
        <v>65.0</v>
      </c>
      <c r="K1938" s="124" t="s">
        <v>69</v>
      </c>
      <c r="L1938" s="124" t="s">
        <v>430</v>
      </c>
    </row>
    <row r="1939">
      <c r="A1939" s="165">
        <v>43800.147749861106</v>
      </c>
      <c r="B1939" s="122" t="s">
        <v>62</v>
      </c>
      <c r="C1939" s="123" t="s">
        <v>5</v>
      </c>
      <c r="D1939" s="124">
        <v>10.0</v>
      </c>
      <c r="E1939" s="124">
        <v>2.0</v>
      </c>
      <c r="F1939" s="124" t="s">
        <v>260</v>
      </c>
      <c r="G1939" s="129" t="s">
        <v>295</v>
      </c>
      <c r="H1939" s="127" t="s">
        <v>430</v>
      </c>
      <c r="I1939" s="127">
        <v>10.0</v>
      </c>
      <c r="J1939" s="124" t="s">
        <v>276</v>
      </c>
      <c r="K1939" s="124" t="s">
        <v>69</v>
      </c>
      <c r="L1939" s="124" t="s">
        <v>430</v>
      </c>
    </row>
    <row r="1940">
      <c r="A1940" s="165">
        <v>43800.147749861106</v>
      </c>
      <c r="B1940" s="122" t="s">
        <v>62</v>
      </c>
      <c r="C1940" s="123" t="s">
        <v>171</v>
      </c>
      <c r="D1940" s="124">
        <v>7.0</v>
      </c>
      <c r="E1940" s="124">
        <v>5.0</v>
      </c>
      <c r="F1940" s="124" t="s">
        <v>248</v>
      </c>
      <c r="G1940" s="129" t="s">
        <v>298</v>
      </c>
      <c r="H1940" s="127" t="s">
        <v>430</v>
      </c>
      <c r="I1940" s="127">
        <v>-7.0</v>
      </c>
      <c r="J1940" s="124" t="s">
        <v>419</v>
      </c>
      <c r="K1940" s="124" t="s">
        <v>38</v>
      </c>
      <c r="L1940" s="124" t="s">
        <v>430</v>
      </c>
    </row>
    <row r="1941">
      <c r="A1941" s="165">
        <v>43800.147749861106</v>
      </c>
      <c r="B1941" s="122" t="s">
        <v>62</v>
      </c>
      <c r="C1941" s="123" t="s">
        <v>102</v>
      </c>
      <c r="D1941" s="124">
        <v>5.0</v>
      </c>
      <c r="E1941" s="124">
        <v>7.0</v>
      </c>
      <c r="F1941" s="124" t="s">
        <v>215</v>
      </c>
      <c r="G1941" s="129" t="s">
        <v>299</v>
      </c>
      <c r="H1941" s="127" t="s">
        <v>430</v>
      </c>
      <c r="I1941" s="127" t="s">
        <v>226</v>
      </c>
      <c r="J1941" s="124">
        <v>44.0</v>
      </c>
      <c r="K1941" s="124" t="s">
        <v>48</v>
      </c>
      <c r="L1941" s="124" t="s">
        <v>430</v>
      </c>
    </row>
    <row r="1942">
      <c r="A1942" s="165">
        <v>43800.147749861106</v>
      </c>
      <c r="B1942" s="122" t="s">
        <v>62</v>
      </c>
      <c r="C1942" s="123" t="s">
        <v>192</v>
      </c>
      <c r="D1942" s="124">
        <v>2.0</v>
      </c>
      <c r="E1942" s="124">
        <v>10.0</v>
      </c>
      <c r="F1942" s="124" t="s">
        <v>267</v>
      </c>
      <c r="G1942" s="129" t="s">
        <v>306</v>
      </c>
      <c r="H1942" s="127" t="s">
        <v>430</v>
      </c>
      <c r="I1942" s="127" t="s">
        <v>274</v>
      </c>
      <c r="J1942" s="124">
        <v>56.0</v>
      </c>
      <c r="K1942" s="124" t="s">
        <v>48</v>
      </c>
      <c r="L1942" s="124" t="s">
        <v>430</v>
      </c>
    </row>
    <row r="1943">
      <c r="A1943" s="165">
        <v>43800.147749861106</v>
      </c>
      <c r="B1943" s="122" t="s">
        <v>62</v>
      </c>
      <c r="C1943" s="123" t="s">
        <v>112</v>
      </c>
      <c r="D1943" s="124">
        <v>9.0</v>
      </c>
      <c r="E1943" s="124">
        <v>3.0</v>
      </c>
      <c r="F1943" s="124" t="s">
        <v>278</v>
      </c>
      <c r="G1943" s="129" t="s">
        <v>314</v>
      </c>
      <c r="H1943" s="127" t="s">
        <v>430</v>
      </c>
      <c r="I1943" s="127" t="s">
        <v>272</v>
      </c>
      <c r="J1943" s="124">
        <v>51.0</v>
      </c>
      <c r="K1943" s="124" t="s">
        <v>74</v>
      </c>
      <c r="L1943" s="124" t="s">
        <v>430</v>
      </c>
    </row>
    <row r="1944">
      <c r="A1944" s="165">
        <v>43800.147749861106</v>
      </c>
      <c r="B1944" s="122" t="s">
        <v>62</v>
      </c>
      <c r="C1944" s="123" t="s">
        <v>92</v>
      </c>
      <c r="D1944" s="124">
        <v>5.0</v>
      </c>
      <c r="E1944" s="124">
        <v>7.0</v>
      </c>
      <c r="F1944" s="124" t="s">
        <v>285</v>
      </c>
      <c r="G1944" s="129" t="s">
        <v>1367</v>
      </c>
      <c r="H1944" s="127" t="s">
        <v>643</v>
      </c>
      <c r="I1944" s="127" t="s">
        <v>739</v>
      </c>
      <c r="J1944" s="124" t="s">
        <v>559</v>
      </c>
      <c r="K1944" s="124" t="s">
        <v>60</v>
      </c>
      <c r="L1944" s="124" t="s">
        <v>643</v>
      </c>
    </row>
    <row r="1945">
      <c r="A1945" s="165">
        <v>43800.147749861106</v>
      </c>
      <c r="B1945" s="122" t="s">
        <v>62</v>
      </c>
      <c r="C1945" s="123" t="s">
        <v>128</v>
      </c>
      <c r="D1945" s="124">
        <v>4.0</v>
      </c>
      <c r="E1945" s="124">
        <v>8.0</v>
      </c>
      <c r="F1945" s="124" t="s">
        <v>248</v>
      </c>
      <c r="G1945" s="129" t="s">
        <v>358</v>
      </c>
      <c r="H1945" s="127" t="s">
        <v>430</v>
      </c>
      <c r="I1945" s="127">
        <v>1.0</v>
      </c>
      <c r="J1945" s="124" t="s">
        <v>507</v>
      </c>
      <c r="K1945" s="124" t="s">
        <v>53</v>
      </c>
      <c r="L1945" s="124" t="s">
        <v>430</v>
      </c>
    </row>
    <row r="1946">
      <c r="A1946" s="165">
        <v>43800.147749861106</v>
      </c>
      <c r="B1946" s="122" t="s">
        <v>62</v>
      </c>
      <c r="C1946" s="123" t="s">
        <v>184</v>
      </c>
      <c r="D1946" s="124">
        <v>7.0</v>
      </c>
      <c r="E1946" s="124">
        <v>5.0</v>
      </c>
      <c r="F1946" s="124" t="s">
        <v>287</v>
      </c>
      <c r="G1946" s="129" t="s">
        <v>319</v>
      </c>
      <c r="H1946" s="127" t="s">
        <v>430</v>
      </c>
      <c r="I1946" s="127">
        <v>17.0</v>
      </c>
      <c r="J1946" s="124" t="s">
        <v>240</v>
      </c>
      <c r="K1946" s="124" t="s">
        <v>38</v>
      </c>
      <c r="L1946" s="124" t="s">
        <v>430</v>
      </c>
    </row>
    <row r="1947">
      <c r="A1947" s="165">
        <v>43800.147749861106</v>
      </c>
      <c r="B1947" s="122" t="s">
        <v>62</v>
      </c>
      <c r="C1947" s="123" t="s">
        <v>153</v>
      </c>
      <c r="D1947" s="124">
        <v>9.0</v>
      </c>
      <c r="E1947" s="124">
        <v>4.0</v>
      </c>
      <c r="F1947" s="124" t="s">
        <v>284</v>
      </c>
      <c r="G1947" s="129" t="s">
        <v>1369</v>
      </c>
      <c r="H1947" s="127" t="s">
        <v>430</v>
      </c>
      <c r="I1947" s="127" t="s">
        <v>203</v>
      </c>
      <c r="J1947" s="124" t="s">
        <v>203</v>
      </c>
      <c r="K1947" s="124" t="s">
        <v>64</v>
      </c>
      <c r="L1947" s="124" t="s">
        <v>430</v>
      </c>
    </row>
    <row r="1948">
      <c r="A1948" s="136" t="s">
        <v>359</v>
      </c>
      <c r="B1948" s="122" t="s">
        <v>2</v>
      </c>
      <c r="C1948" s="123" t="s">
        <v>227</v>
      </c>
      <c r="D1948" s="124" t="s">
        <v>29</v>
      </c>
      <c r="E1948" s="124" t="s">
        <v>34</v>
      </c>
      <c r="F1948" s="124" t="s">
        <v>261</v>
      </c>
      <c r="G1948" s="129" t="s">
        <v>245</v>
      </c>
      <c r="H1948" s="127" t="s">
        <v>228</v>
      </c>
      <c r="I1948" s="127" t="s">
        <v>229</v>
      </c>
      <c r="J1948" s="124" t="s">
        <v>262</v>
      </c>
      <c r="K1948" s="124" t="s">
        <v>263</v>
      </c>
      <c r="L1948" s="124" t="s">
        <v>264</v>
      </c>
    </row>
    <row r="1949">
      <c r="A1949" s="165">
        <v>43800.147749861106</v>
      </c>
      <c r="B1949" s="122" t="s">
        <v>64</v>
      </c>
      <c r="C1949" s="123" t="s">
        <v>147</v>
      </c>
      <c r="D1949" s="124">
        <v>6.0</v>
      </c>
      <c r="E1949" s="124">
        <v>6.0</v>
      </c>
      <c r="F1949" s="124" t="s">
        <v>242</v>
      </c>
      <c r="G1949" s="129" t="s">
        <v>302</v>
      </c>
      <c r="H1949" s="127" t="s">
        <v>430</v>
      </c>
      <c r="I1949" s="127" t="s">
        <v>272</v>
      </c>
      <c r="J1949" s="124">
        <v>65.0</v>
      </c>
      <c r="K1949" s="124" t="s">
        <v>74</v>
      </c>
      <c r="L1949" s="124" t="s">
        <v>430</v>
      </c>
    </row>
    <row r="1950">
      <c r="A1950" s="165">
        <v>43800.147749861106</v>
      </c>
      <c r="B1950" s="122" t="s">
        <v>64</v>
      </c>
      <c r="C1950" s="123" t="s">
        <v>177</v>
      </c>
      <c r="D1950" s="124">
        <v>7.0</v>
      </c>
      <c r="E1950" s="124">
        <v>5.0</v>
      </c>
      <c r="F1950" s="124" t="s">
        <v>287</v>
      </c>
      <c r="G1950" s="129" t="s">
        <v>329</v>
      </c>
      <c r="H1950" s="127" t="s">
        <v>430</v>
      </c>
      <c r="I1950" s="127" t="s">
        <v>379</v>
      </c>
      <c r="J1950" s="124">
        <v>53.0</v>
      </c>
      <c r="K1950" s="124" t="s">
        <v>288</v>
      </c>
      <c r="L1950" s="124" t="s">
        <v>430</v>
      </c>
    </row>
    <row r="1951">
      <c r="A1951" s="165">
        <v>43800.147749861106</v>
      </c>
      <c r="B1951" s="122" t="s">
        <v>64</v>
      </c>
      <c r="C1951" s="123" t="s">
        <v>154</v>
      </c>
      <c r="D1951" s="124">
        <v>7.0</v>
      </c>
      <c r="E1951" s="124">
        <v>5.0</v>
      </c>
      <c r="F1951" s="124" t="s">
        <v>248</v>
      </c>
      <c r="G1951" s="129" t="s">
        <v>1365</v>
      </c>
      <c r="H1951" s="127" t="s">
        <v>643</v>
      </c>
      <c r="I1951" s="127" t="s">
        <v>286</v>
      </c>
      <c r="J1951" s="124" t="s">
        <v>406</v>
      </c>
      <c r="K1951" s="124" t="s">
        <v>58</v>
      </c>
      <c r="L1951" s="124" t="s">
        <v>643</v>
      </c>
    </row>
    <row r="1952">
      <c r="A1952" s="165">
        <v>43800.147749861106</v>
      </c>
      <c r="B1952" s="122" t="s">
        <v>64</v>
      </c>
      <c r="C1952" s="123" t="s">
        <v>115</v>
      </c>
      <c r="D1952" s="124">
        <v>10.0</v>
      </c>
      <c r="E1952" s="124">
        <v>2.0</v>
      </c>
      <c r="F1952" s="124" t="s">
        <v>278</v>
      </c>
      <c r="G1952" s="129" t="s">
        <v>311</v>
      </c>
      <c r="H1952" s="127" t="s">
        <v>430</v>
      </c>
      <c r="I1952" s="127" t="s">
        <v>428</v>
      </c>
      <c r="J1952" s="124" t="s">
        <v>283</v>
      </c>
      <c r="K1952" s="124" t="s">
        <v>44</v>
      </c>
      <c r="L1952" s="124" t="s">
        <v>430</v>
      </c>
    </row>
    <row r="1953">
      <c r="A1953" s="165">
        <v>43800.147749861106</v>
      </c>
      <c r="B1953" s="122" t="s">
        <v>64</v>
      </c>
      <c r="C1953" s="123" t="s">
        <v>98</v>
      </c>
      <c r="D1953" s="124">
        <v>3.0</v>
      </c>
      <c r="E1953" s="124">
        <v>9.0</v>
      </c>
      <c r="F1953" s="124" t="s">
        <v>269</v>
      </c>
      <c r="G1953" s="129" t="s">
        <v>318</v>
      </c>
      <c r="H1953" s="127" t="s">
        <v>430</v>
      </c>
      <c r="I1953" s="127">
        <v>14.0</v>
      </c>
      <c r="J1953" s="124" t="s">
        <v>387</v>
      </c>
      <c r="K1953" s="124" t="s">
        <v>58</v>
      </c>
      <c r="L1953" s="124" t="s">
        <v>430</v>
      </c>
    </row>
    <row r="1954">
      <c r="A1954" s="165">
        <v>43800.147749861106</v>
      </c>
      <c r="B1954" s="122" t="s">
        <v>64</v>
      </c>
      <c r="C1954" s="123" t="s">
        <v>49</v>
      </c>
      <c r="D1954" s="124">
        <v>8.0</v>
      </c>
      <c r="E1954" s="124">
        <v>4.0</v>
      </c>
      <c r="F1954" s="124" t="s">
        <v>242</v>
      </c>
      <c r="G1954" s="129" t="s">
        <v>336</v>
      </c>
      <c r="H1954" s="127" t="s">
        <v>430</v>
      </c>
      <c r="I1954" s="127">
        <v>-28.0</v>
      </c>
      <c r="J1954" s="124">
        <v>50.0</v>
      </c>
      <c r="K1954" s="124" t="s">
        <v>74</v>
      </c>
      <c r="L1954" s="124" t="s">
        <v>430</v>
      </c>
    </row>
    <row r="1955">
      <c r="A1955" s="165">
        <v>43800.147749861106</v>
      </c>
      <c r="B1955" s="122" t="s">
        <v>64</v>
      </c>
      <c r="C1955" s="123" t="s">
        <v>131</v>
      </c>
      <c r="D1955" s="124">
        <v>7.0</v>
      </c>
      <c r="E1955" s="124">
        <v>5.0</v>
      </c>
      <c r="F1955" s="124" t="s">
        <v>248</v>
      </c>
      <c r="G1955" s="129" t="s">
        <v>356</v>
      </c>
      <c r="H1955" s="127" t="s">
        <v>430</v>
      </c>
      <c r="I1955" s="127" t="s">
        <v>1087</v>
      </c>
      <c r="J1955" s="124">
        <v>54.0</v>
      </c>
      <c r="K1955" s="124" t="s">
        <v>74</v>
      </c>
      <c r="L1955" s="124" t="s">
        <v>430</v>
      </c>
    </row>
    <row r="1956">
      <c r="A1956" s="165">
        <v>43800.147749861106</v>
      </c>
      <c r="B1956" s="122" t="s">
        <v>64</v>
      </c>
      <c r="C1956" s="123" t="s">
        <v>76</v>
      </c>
      <c r="D1956" s="124">
        <v>6.0</v>
      </c>
      <c r="E1956" s="124">
        <v>6.0</v>
      </c>
      <c r="F1956" s="124" t="s">
        <v>265</v>
      </c>
      <c r="G1956" s="129" t="s">
        <v>331</v>
      </c>
      <c r="H1956" s="127" t="s">
        <v>430</v>
      </c>
      <c r="I1956" s="127" t="s">
        <v>526</v>
      </c>
      <c r="J1956" s="124" t="s">
        <v>406</v>
      </c>
      <c r="K1956" s="124" t="s">
        <v>60</v>
      </c>
      <c r="L1956" s="124" t="s">
        <v>430</v>
      </c>
    </row>
    <row r="1957">
      <c r="A1957" s="165">
        <v>43800.147749861106</v>
      </c>
      <c r="B1957" s="122" t="s">
        <v>64</v>
      </c>
      <c r="C1957" s="123" t="s">
        <v>196</v>
      </c>
      <c r="D1957" s="124">
        <v>5.0</v>
      </c>
      <c r="E1957" s="124">
        <v>7.0</v>
      </c>
      <c r="F1957" s="124" t="s">
        <v>260</v>
      </c>
      <c r="G1957" s="129" t="s">
        <v>1369</v>
      </c>
      <c r="H1957" s="127" t="s">
        <v>430</v>
      </c>
      <c r="I1957" s="127" t="s">
        <v>203</v>
      </c>
      <c r="J1957" s="124" t="s">
        <v>203</v>
      </c>
      <c r="K1957" s="124" t="s">
        <v>62</v>
      </c>
      <c r="L1957" s="124" t="s">
        <v>430</v>
      </c>
    </row>
    <row r="1958">
      <c r="A1958" s="165">
        <v>43800.147749861106</v>
      </c>
      <c r="B1958" s="122" t="s">
        <v>64</v>
      </c>
      <c r="C1958" s="123" t="s">
        <v>169</v>
      </c>
      <c r="D1958" s="124">
        <v>8.0</v>
      </c>
      <c r="E1958" s="124">
        <v>4.0</v>
      </c>
      <c r="F1958" s="124" t="s">
        <v>269</v>
      </c>
      <c r="G1958" s="129" t="s">
        <v>202</v>
      </c>
      <c r="H1958" s="127"/>
      <c r="I1958" s="127" t="s">
        <v>203</v>
      </c>
      <c r="J1958" s="124" t="s">
        <v>203</v>
      </c>
      <c r="K1958" s="124"/>
      <c r="L1958" s="124">
        <v>9999.0</v>
      </c>
    </row>
    <row r="1959">
      <c r="A1959" s="136" t="s">
        <v>359</v>
      </c>
      <c r="B1959" s="122" t="s">
        <v>2</v>
      </c>
      <c r="C1959" s="123" t="s">
        <v>227</v>
      </c>
      <c r="D1959" s="124" t="s">
        <v>29</v>
      </c>
      <c r="E1959" s="124" t="s">
        <v>34</v>
      </c>
      <c r="F1959" s="124" t="s">
        <v>261</v>
      </c>
      <c r="G1959" s="129" t="s">
        <v>245</v>
      </c>
      <c r="H1959" s="127" t="s">
        <v>228</v>
      </c>
      <c r="I1959" s="127" t="s">
        <v>229</v>
      </c>
      <c r="J1959" s="124" t="s">
        <v>262</v>
      </c>
      <c r="K1959" s="124" t="s">
        <v>263</v>
      </c>
      <c r="L1959" s="124"/>
    </row>
    <row r="1960">
      <c r="A1960" s="165">
        <v>43800.147749861106</v>
      </c>
      <c r="B1960" s="122" t="s">
        <v>69</v>
      </c>
      <c r="C1960" s="123" t="s">
        <v>142</v>
      </c>
      <c r="D1960" s="124">
        <v>6.0</v>
      </c>
      <c r="E1960" s="124">
        <v>6.0</v>
      </c>
      <c r="F1960" s="124" t="s">
        <v>248</v>
      </c>
      <c r="G1960" s="129" t="s">
        <v>1368</v>
      </c>
      <c r="H1960" s="127" t="s">
        <v>430</v>
      </c>
      <c r="I1960" s="127" t="s">
        <v>512</v>
      </c>
      <c r="J1960" s="124">
        <v>65.0</v>
      </c>
      <c r="K1960" s="124" t="s">
        <v>62</v>
      </c>
      <c r="L1960" s="124" t="s">
        <v>430</v>
      </c>
    </row>
    <row r="1961">
      <c r="A1961" s="165">
        <v>43800.147749861106</v>
      </c>
      <c r="B1961" s="122" t="s">
        <v>69</v>
      </c>
      <c r="C1961" s="123" t="s">
        <v>35</v>
      </c>
      <c r="D1961" s="124">
        <v>11.0</v>
      </c>
      <c r="E1961" s="124">
        <v>1.0</v>
      </c>
      <c r="F1961" s="124" t="s">
        <v>215</v>
      </c>
      <c r="G1961" s="129" t="s">
        <v>295</v>
      </c>
      <c r="H1961" s="127" t="s">
        <v>430</v>
      </c>
      <c r="I1961" s="127">
        <v>-10.0</v>
      </c>
      <c r="J1961" s="124" t="s">
        <v>276</v>
      </c>
      <c r="K1961" s="124" t="s">
        <v>62</v>
      </c>
      <c r="L1961" s="124" t="s">
        <v>430</v>
      </c>
    </row>
    <row r="1962">
      <c r="A1962" s="165">
        <v>43800.147749861106</v>
      </c>
      <c r="B1962" s="122" t="s">
        <v>69</v>
      </c>
      <c r="C1962" s="123" t="s">
        <v>151</v>
      </c>
      <c r="D1962" s="124">
        <v>4.0</v>
      </c>
      <c r="E1962" s="124">
        <v>8.0</v>
      </c>
      <c r="F1962" s="124" t="s">
        <v>215</v>
      </c>
      <c r="G1962" s="129" t="s">
        <v>304</v>
      </c>
      <c r="H1962" s="127" t="s">
        <v>430</v>
      </c>
      <c r="I1962" s="127" t="s">
        <v>274</v>
      </c>
      <c r="J1962" s="124" t="s">
        <v>276</v>
      </c>
      <c r="K1962" s="124" t="s">
        <v>44</v>
      </c>
      <c r="L1962" s="124" t="s">
        <v>430</v>
      </c>
    </row>
    <row r="1963">
      <c r="A1963" s="165">
        <v>43800.147749861106</v>
      </c>
      <c r="B1963" s="122" t="s">
        <v>69</v>
      </c>
      <c r="C1963" s="123" t="s">
        <v>182</v>
      </c>
      <c r="D1963" s="124">
        <v>4.0</v>
      </c>
      <c r="E1963" s="124">
        <v>8.0</v>
      </c>
      <c r="F1963" s="124" t="s">
        <v>287</v>
      </c>
      <c r="G1963" s="129" t="s">
        <v>317</v>
      </c>
      <c r="H1963" s="127" t="s">
        <v>430</v>
      </c>
      <c r="I1963" s="127">
        <v>27.0</v>
      </c>
      <c r="J1963" s="124" t="s">
        <v>462</v>
      </c>
      <c r="K1963" s="124" t="s">
        <v>38</v>
      </c>
      <c r="L1963" s="124" t="s">
        <v>430</v>
      </c>
    </row>
    <row r="1964">
      <c r="A1964" s="165">
        <v>43800.147749861106</v>
      </c>
      <c r="B1964" s="122" t="s">
        <v>69</v>
      </c>
      <c r="C1964" s="123" t="s">
        <v>193</v>
      </c>
      <c r="D1964" s="124">
        <v>3.0</v>
      </c>
      <c r="E1964" s="124">
        <v>9.0</v>
      </c>
      <c r="F1964" s="124" t="s">
        <v>282</v>
      </c>
      <c r="G1964" s="129" t="s">
        <v>339</v>
      </c>
      <c r="H1964" s="127" t="s">
        <v>430</v>
      </c>
      <c r="I1964" s="127">
        <v>7.0</v>
      </c>
      <c r="J1964" s="124" t="s">
        <v>406</v>
      </c>
      <c r="K1964" s="124" t="s">
        <v>27</v>
      </c>
      <c r="L1964" s="124" t="s">
        <v>430</v>
      </c>
    </row>
    <row r="1965">
      <c r="A1965" s="165">
        <v>43800.147749861106</v>
      </c>
      <c r="B1965" s="122" t="s">
        <v>69</v>
      </c>
      <c r="C1965" s="123" t="s">
        <v>108</v>
      </c>
      <c r="D1965" s="124">
        <v>8.0</v>
      </c>
      <c r="E1965" s="124">
        <v>4.0</v>
      </c>
      <c r="F1965" s="124" t="s">
        <v>207</v>
      </c>
      <c r="G1965" s="129" t="s">
        <v>1364</v>
      </c>
      <c r="H1965" s="127" t="s">
        <v>639</v>
      </c>
      <c r="I1965" s="127">
        <v>-7.0</v>
      </c>
      <c r="J1965" s="124">
        <v>55.0</v>
      </c>
      <c r="K1965" s="124" t="s">
        <v>48</v>
      </c>
      <c r="L1965" s="124" t="s">
        <v>639</v>
      </c>
    </row>
    <row r="1966">
      <c r="A1966" s="165">
        <v>43800.147749861106</v>
      </c>
      <c r="B1966" s="122" t="s">
        <v>69</v>
      </c>
      <c r="C1966" s="123" t="s">
        <v>125</v>
      </c>
      <c r="D1966" s="124">
        <v>9.0</v>
      </c>
      <c r="E1966" s="124">
        <v>3.0</v>
      </c>
      <c r="F1966" s="124" t="s">
        <v>260</v>
      </c>
      <c r="G1966" s="129" t="s">
        <v>1361</v>
      </c>
      <c r="H1966" s="127" t="s">
        <v>430</v>
      </c>
      <c r="I1966" s="127">
        <v>-20.0</v>
      </c>
      <c r="J1966" s="124">
        <v>55.0</v>
      </c>
      <c r="K1966" s="124" t="s">
        <v>27</v>
      </c>
      <c r="L1966" s="124" t="s">
        <v>430</v>
      </c>
    </row>
    <row r="1967">
      <c r="A1967" s="165">
        <v>43800.147749861106</v>
      </c>
      <c r="B1967" s="122" t="s">
        <v>69</v>
      </c>
      <c r="C1967" s="123" t="s">
        <v>87</v>
      </c>
      <c r="D1967" s="124">
        <v>6.0</v>
      </c>
      <c r="E1967" s="124">
        <v>6.0</v>
      </c>
      <c r="F1967" s="124" t="s">
        <v>248</v>
      </c>
      <c r="G1967" s="129" t="s">
        <v>352</v>
      </c>
      <c r="H1967" s="127" t="s">
        <v>430</v>
      </c>
      <c r="I1967" s="127">
        <v>-9.0</v>
      </c>
      <c r="J1967" s="124" t="s">
        <v>283</v>
      </c>
      <c r="K1967" s="124" t="s">
        <v>58</v>
      </c>
      <c r="L1967" s="124" t="s">
        <v>430</v>
      </c>
    </row>
    <row r="1968">
      <c r="A1968" s="165">
        <v>43800.147749861106</v>
      </c>
      <c r="B1968" s="122" t="s">
        <v>69</v>
      </c>
      <c r="C1968" s="123" t="s">
        <v>170</v>
      </c>
      <c r="D1968" s="124">
        <v>11.0</v>
      </c>
      <c r="E1968" s="124">
        <v>1.0</v>
      </c>
      <c r="F1968" s="124" t="s">
        <v>278</v>
      </c>
      <c r="G1968" s="129" t="s">
        <v>312</v>
      </c>
      <c r="H1968" s="127" t="s">
        <v>430</v>
      </c>
      <c r="I1968" s="127">
        <v>-29.0</v>
      </c>
      <c r="J1968" s="124">
        <v>49.0</v>
      </c>
      <c r="K1968" s="124" t="s">
        <v>53</v>
      </c>
      <c r="L1968" s="124" t="s">
        <v>430</v>
      </c>
    </row>
    <row r="1969">
      <c r="A1969" s="165">
        <v>43800.147749861106</v>
      </c>
      <c r="B1969" s="122" t="s">
        <v>69</v>
      </c>
      <c r="C1969" s="123" t="s">
        <v>101</v>
      </c>
      <c r="D1969" s="124">
        <v>8.0</v>
      </c>
      <c r="E1969" s="124">
        <v>4.0</v>
      </c>
      <c r="F1969" s="124" t="s">
        <v>269</v>
      </c>
      <c r="G1969" s="129" t="s">
        <v>316</v>
      </c>
      <c r="H1969" s="127" t="s">
        <v>430</v>
      </c>
      <c r="I1969" s="127" t="s">
        <v>274</v>
      </c>
      <c r="J1969" s="124" t="s">
        <v>764</v>
      </c>
      <c r="K1969" s="124" t="s">
        <v>53</v>
      </c>
      <c r="L1969" s="124" t="s">
        <v>430</v>
      </c>
    </row>
    <row r="1970">
      <c r="A1970" s="136" t="s">
        <v>359</v>
      </c>
      <c r="B1970" s="122" t="s">
        <v>2</v>
      </c>
      <c r="C1970" s="123" t="s">
        <v>227</v>
      </c>
      <c r="D1970" s="124" t="s">
        <v>29</v>
      </c>
      <c r="E1970" s="124" t="s">
        <v>34</v>
      </c>
      <c r="F1970" s="124" t="s">
        <v>261</v>
      </c>
      <c r="G1970" s="129" t="s">
        <v>245</v>
      </c>
      <c r="H1970" s="127" t="s">
        <v>228</v>
      </c>
      <c r="I1970" s="127" t="s">
        <v>229</v>
      </c>
      <c r="J1970" s="124" t="s">
        <v>262</v>
      </c>
      <c r="K1970" s="124" t="s">
        <v>263</v>
      </c>
      <c r="L1970" s="124"/>
    </row>
    <row r="1971">
      <c r="A1971" s="165">
        <v>43800.147749861106</v>
      </c>
      <c r="B1971" s="122" t="s">
        <v>74</v>
      </c>
      <c r="C1971" s="123" t="s">
        <v>141</v>
      </c>
      <c r="D1971" s="124">
        <v>8.0</v>
      </c>
      <c r="E1971" s="124">
        <v>4.0</v>
      </c>
      <c r="F1971" s="124" t="s">
        <v>260</v>
      </c>
      <c r="G1971" s="129" t="s">
        <v>302</v>
      </c>
      <c r="H1971" s="127" t="s">
        <v>430</v>
      </c>
      <c r="I1971" s="127" t="s">
        <v>275</v>
      </c>
      <c r="J1971" s="124">
        <v>65.0</v>
      </c>
      <c r="K1971" s="124" t="s">
        <v>64</v>
      </c>
      <c r="L1971" s="124" t="s">
        <v>430</v>
      </c>
    </row>
    <row r="1972">
      <c r="A1972" s="165">
        <v>43800.147749861106</v>
      </c>
      <c r="B1972" s="122" t="s">
        <v>74</v>
      </c>
      <c r="C1972" s="123" t="s">
        <v>194</v>
      </c>
      <c r="D1972" s="124">
        <v>5.0</v>
      </c>
      <c r="E1972" s="124">
        <v>7.0</v>
      </c>
      <c r="F1972" s="124" t="s">
        <v>282</v>
      </c>
      <c r="G1972" s="129" t="s">
        <v>309</v>
      </c>
      <c r="H1972" s="127" t="s">
        <v>430</v>
      </c>
      <c r="I1972" s="127">
        <v>13.0</v>
      </c>
      <c r="J1972" s="124">
        <v>64.0</v>
      </c>
      <c r="K1972" s="124" t="s">
        <v>58</v>
      </c>
      <c r="L1972" s="124" t="s">
        <v>430</v>
      </c>
    </row>
    <row r="1973">
      <c r="A1973" s="165">
        <v>43800.147749861106</v>
      </c>
      <c r="B1973" s="122" t="s">
        <v>74</v>
      </c>
      <c r="C1973" s="123" t="s">
        <v>118</v>
      </c>
      <c r="D1973" s="124">
        <v>12.0</v>
      </c>
      <c r="E1973" s="124">
        <v>0.0</v>
      </c>
      <c r="F1973" s="124" t="s">
        <v>266</v>
      </c>
      <c r="G1973" s="129" t="s">
        <v>314</v>
      </c>
      <c r="H1973" s="127" t="s">
        <v>430</v>
      </c>
      <c r="I1973" s="127" t="s">
        <v>275</v>
      </c>
      <c r="J1973" s="124">
        <v>51.0</v>
      </c>
      <c r="K1973" s="124" t="s">
        <v>62</v>
      </c>
      <c r="L1973" s="124" t="s">
        <v>430</v>
      </c>
    </row>
    <row r="1974">
      <c r="A1974" s="165">
        <v>43800.147749861106</v>
      </c>
      <c r="B1974" s="122" t="s">
        <v>74</v>
      </c>
      <c r="C1974" s="123" t="s">
        <v>160</v>
      </c>
      <c r="D1974" s="124">
        <v>7.0</v>
      </c>
      <c r="E1974" s="124">
        <v>5.0</v>
      </c>
      <c r="F1974" s="124" t="s">
        <v>242</v>
      </c>
      <c r="G1974" s="129" t="s">
        <v>361</v>
      </c>
      <c r="H1974" s="127" t="s">
        <v>430</v>
      </c>
      <c r="I1974" s="127" t="s">
        <v>492</v>
      </c>
      <c r="J1974" s="124">
        <v>43.0</v>
      </c>
      <c r="K1974" s="124" t="s">
        <v>60</v>
      </c>
      <c r="L1974" s="124" t="s">
        <v>430</v>
      </c>
    </row>
    <row r="1975">
      <c r="A1975" s="165">
        <v>43800.147749861106</v>
      </c>
      <c r="B1975" s="122" t="s">
        <v>74</v>
      </c>
      <c r="C1975" s="123" t="s">
        <v>174</v>
      </c>
      <c r="D1975" s="124">
        <v>9.0</v>
      </c>
      <c r="E1975" s="124">
        <v>3.0</v>
      </c>
      <c r="F1975" s="124" t="s">
        <v>234</v>
      </c>
      <c r="G1975" s="129" t="s">
        <v>313</v>
      </c>
      <c r="H1975" s="127" t="s">
        <v>430</v>
      </c>
      <c r="I1975" s="127" t="s">
        <v>418</v>
      </c>
      <c r="J1975" s="124">
        <v>50.0</v>
      </c>
      <c r="K1975" s="124" t="s">
        <v>27</v>
      </c>
      <c r="L1975" s="124" t="s">
        <v>430</v>
      </c>
    </row>
    <row r="1976">
      <c r="A1976" s="165">
        <v>43800.147749861106</v>
      </c>
      <c r="B1976" s="122" t="s">
        <v>74</v>
      </c>
      <c r="C1976" s="123" t="s">
        <v>23</v>
      </c>
      <c r="D1976" s="124">
        <v>2.0</v>
      </c>
      <c r="E1976" s="124">
        <v>10.0</v>
      </c>
      <c r="F1976" s="124" t="s">
        <v>248</v>
      </c>
      <c r="G1976" s="129" t="s">
        <v>336</v>
      </c>
      <c r="H1976" s="127" t="s">
        <v>430</v>
      </c>
      <c r="I1976" s="127">
        <v>28.0</v>
      </c>
      <c r="J1976" s="124">
        <v>50.0</v>
      </c>
      <c r="K1976" s="124" t="s">
        <v>64</v>
      </c>
      <c r="L1976" s="124" t="s">
        <v>430</v>
      </c>
    </row>
    <row r="1977">
      <c r="A1977" s="165">
        <v>43800.147749861106</v>
      </c>
      <c r="B1977" s="122" t="s">
        <v>74</v>
      </c>
      <c r="C1977" s="123" t="s">
        <v>124</v>
      </c>
      <c r="D1977" s="124">
        <v>9.0</v>
      </c>
      <c r="E1977" s="124">
        <v>3.0</v>
      </c>
      <c r="F1977" s="124" t="s">
        <v>248</v>
      </c>
      <c r="G1977" s="129" t="s">
        <v>356</v>
      </c>
      <c r="H1977" s="127" t="s">
        <v>430</v>
      </c>
      <c r="I1977" s="127" t="s">
        <v>597</v>
      </c>
      <c r="J1977" s="124">
        <v>54.0</v>
      </c>
      <c r="K1977" s="124" t="s">
        <v>64</v>
      </c>
      <c r="L1977" s="124" t="s">
        <v>430</v>
      </c>
    </row>
    <row r="1978">
      <c r="A1978" s="165">
        <v>43800.147749861106</v>
      </c>
      <c r="B1978" s="122" t="s">
        <v>74</v>
      </c>
      <c r="C1978" s="123" t="s">
        <v>167</v>
      </c>
      <c r="D1978" s="124">
        <v>4.0</v>
      </c>
      <c r="E1978" s="124">
        <v>8.0</v>
      </c>
      <c r="F1978" s="124" t="s">
        <v>273</v>
      </c>
      <c r="G1978" s="129" t="s">
        <v>315</v>
      </c>
      <c r="H1978" s="127" t="s">
        <v>430</v>
      </c>
      <c r="I1978" s="127" t="s">
        <v>401</v>
      </c>
      <c r="J1978" s="124" t="s">
        <v>462</v>
      </c>
      <c r="K1978" s="124" t="s">
        <v>27</v>
      </c>
      <c r="L1978" s="124" t="s">
        <v>430</v>
      </c>
    </row>
    <row r="1979">
      <c r="A1979" s="165">
        <v>43800.147749861106</v>
      </c>
      <c r="B1979" s="122" t="s">
        <v>74</v>
      </c>
      <c r="C1979" s="123" t="s">
        <v>99</v>
      </c>
      <c r="D1979" s="124">
        <v>8.0</v>
      </c>
      <c r="E1979" s="124">
        <v>4.0</v>
      </c>
      <c r="F1979" s="124" t="s">
        <v>201</v>
      </c>
      <c r="G1979" s="129" t="s">
        <v>323</v>
      </c>
      <c r="H1979" s="127" t="s">
        <v>430</v>
      </c>
      <c r="I1979" s="127" t="s">
        <v>376</v>
      </c>
      <c r="J1979" s="124">
        <v>47.0</v>
      </c>
      <c r="K1979" s="124" t="s">
        <v>38</v>
      </c>
      <c r="L1979" s="124" t="s">
        <v>430</v>
      </c>
    </row>
    <row r="1980">
      <c r="A1980" s="165">
        <v>43800.147749861106</v>
      </c>
      <c r="B1980" s="122" t="s">
        <v>74</v>
      </c>
      <c r="C1980" s="123" t="s">
        <v>88</v>
      </c>
      <c r="D1980" s="124">
        <v>4.0</v>
      </c>
      <c r="E1980" s="124">
        <v>8.0</v>
      </c>
      <c r="F1980" s="124" t="s">
        <v>285</v>
      </c>
      <c r="G1980" s="129" t="s">
        <v>327</v>
      </c>
      <c r="H1980" s="127" t="s">
        <v>430</v>
      </c>
      <c r="I1980" s="127" t="s">
        <v>1087</v>
      </c>
      <c r="J1980" s="124" t="s">
        <v>237</v>
      </c>
      <c r="K1980" s="124" t="s">
        <v>48</v>
      </c>
      <c r="L1980" s="124" t="s">
        <v>430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P2" s="1">
        <v>0.0</v>
      </c>
      <c r="R2">
        <f>P2+1</f>
        <v>1</v>
      </c>
      <c r="T2">
        <f>R2+1</f>
        <v>2</v>
      </c>
      <c r="V2">
        <f>T2+1</f>
        <v>3</v>
      </c>
      <c r="X2">
        <f>V2+1</f>
        <v>4</v>
      </c>
      <c r="Z2">
        <f>X2+1</f>
        <v>5</v>
      </c>
      <c r="AB2">
        <f>Z2+1</f>
        <v>6</v>
      </c>
      <c r="AD2">
        <f>AB2+1</f>
        <v>7</v>
      </c>
      <c r="AF2">
        <f>AD2+1</f>
        <v>8</v>
      </c>
      <c r="AH2">
        <f>AF2+1</f>
        <v>9</v>
      </c>
      <c r="AJ2">
        <f>AH2+1</f>
        <v>10</v>
      </c>
      <c r="AL2">
        <f>AJ2+1</f>
        <v>11</v>
      </c>
    </row>
    <row r="3">
      <c r="N3">
        <f t="shared" ref="N3:O3" si="1">A3</f>
        <v>0</v>
      </c>
      <c r="O3" s="97">
        <f t="shared" si="1"/>
        <v>0.5</v>
      </c>
      <c r="P3" t="str">
        <f t="shared" ref="P3:P1000" si="3">if(O3="","",if(O4="",offset($B$2,0,P$2),""))</f>
        <v/>
      </c>
      <c r="Q3" s="97">
        <f t="shared" ref="Q3:Q19" si="4">C3</f>
        <v>0</v>
      </c>
      <c r="R3" t="str">
        <f t="shared" ref="R3:R1000" si="5">if(Q3="","",if(Q4="",offset($B$2,0,R$2),""))</f>
        <v/>
      </c>
      <c r="S3" s="97">
        <f t="shared" ref="S3:S19" si="6">D3</f>
        <v>0</v>
      </c>
      <c r="T3" t="str">
        <f t="shared" ref="T3:T1000" si="7">if(S3="","",if(S4="",offset($B$2,0,T$2),""))</f>
        <v/>
      </c>
      <c r="U3" s="97">
        <f t="shared" ref="U3:U19" si="8">E3</f>
        <v>0</v>
      </c>
      <c r="V3" t="str">
        <f t="shared" ref="V3:V1000" si="9">if(U3="","",if(U4="",offset($B$2,0,V$2),""))</f>
        <v/>
      </c>
      <c r="W3" s="97">
        <f t="shared" ref="W3:W19" si="10">F3</f>
        <v>0</v>
      </c>
      <c r="X3" t="str">
        <f t="shared" ref="X3:X1000" si="11">if(W3="","",if(W4="",offset($B$2,0,X$2),""))</f>
        <v/>
      </c>
      <c r="Y3" s="97">
        <f t="shared" ref="Y3:Y19" si="12">G3</f>
        <v>0</v>
      </c>
      <c r="Z3" t="str">
        <f t="shared" ref="Z3:Z1000" si="13">if(Y3="","",if(Y4="",offset($B$2,0,Z$2),""))</f>
        <v/>
      </c>
      <c r="AA3" s="97">
        <f t="shared" ref="AA3:AA19" si="14">H3</f>
        <v>0</v>
      </c>
      <c r="AB3" t="str">
        <f t="shared" ref="AB3:AB1000" si="15">if(AA3="","",if(AA4="",offset($B$2,0,AB$2),""))</f>
        <v/>
      </c>
      <c r="AC3" s="97">
        <f t="shared" ref="AC3:AC19" si="16">I3</f>
        <v>0</v>
      </c>
      <c r="AD3" t="str">
        <f t="shared" ref="AD3:AD1000" si="17">if(AC3="","",if(AC4="",offset($B$2,0,AD$2),""))</f>
        <v/>
      </c>
      <c r="AE3" s="97">
        <f t="shared" ref="AE3:AE19" si="18">J3</f>
        <v>0</v>
      </c>
      <c r="AF3" t="str">
        <f t="shared" ref="AF3:AF1000" si="19">if(AE3="","",if(AE4="",offset($B$2,0,AF$2),""))</f>
        <v/>
      </c>
      <c r="AG3" s="97">
        <f t="shared" ref="AG3:AG19" si="20">K3</f>
        <v>0</v>
      </c>
      <c r="AH3" t="str">
        <f t="shared" ref="AH3:AH1000" si="21">if(AG3="","",if(AG4="",offset($B$2,0,AH$2),""))</f>
        <v/>
      </c>
      <c r="AI3" s="97">
        <f t="shared" ref="AI3:AI19" si="22">L3</f>
        <v>0</v>
      </c>
      <c r="AJ3" t="str">
        <f t="shared" ref="AJ3:AJ1000" si="23">if(AI3="","",if(AI4="",offset($B$2,0,AJ$2),""))</f>
        <v/>
      </c>
      <c r="AK3" s="97">
        <f t="shared" ref="AK3:AK19" si="24">O3</f>
        <v>0.5</v>
      </c>
      <c r="AL3" t="str">
        <f t="shared" ref="AL3:AL19" si="25">if(AK3="","",if(AK4="",offset($B$2,0,AL$2),""))</f>
        <v/>
      </c>
    </row>
    <row r="4">
      <c r="N4">
        <f t="shared" ref="N4:O4" si="2">A4</f>
        <v>1</v>
      </c>
      <c r="O4" s="97">
        <f t="shared" si="2"/>
        <v>0.07407407407</v>
      </c>
      <c r="P4" t="str">
        <f t="shared" si="3"/>
        <v/>
      </c>
      <c r="Q4" s="97">
        <f t="shared" si="4"/>
        <v>0.06172839506</v>
      </c>
      <c r="R4" t="str">
        <f t="shared" si="5"/>
        <v/>
      </c>
      <c r="S4" s="97">
        <f t="shared" si="6"/>
        <v>0.06172839506</v>
      </c>
      <c r="T4" t="str">
        <f t="shared" si="7"/>
        <v/>
      </c>
      <c r="U4" s="97">
        <f t="shared" si="8"/>
        <v>0.04938271605</v>
      </c>
      <c r="V4" t="str">
        <f t="shared" si="9"/>
        <v/>
      </c>
      <c r="W4" s="97">
        <f t="shared" si="10"/>
        <v>0.0987654321</v>
      </c>
      <c r="X4" t="str">
        <f t="shared" si="11"/>
        <v/>
      </c>
      <c r="Y4" s="97">
        <f t="shared" si="12"/>
        <v>0.1234567901</v>
      </c>
      <c r="Z4" t="str">
        <f t="shared" si="13"/>
        <v/>
      </c>
      <c r="AA4" s="97">
        <f t="shared" si="14"/>
        <v>0.0987654321</v>
      </c>
      <c r="AB4" t="str">
        <f t="shared" si="15"/>
        <v/>
      </c>
      <c r="AC4" s="97">
        <f t="shared" si="16"/>
        <v>0.06172839506</v>
      </c>
      <c r="AD4" t="str">
        <f t="shared" si="17"/>
        <v/>
      </c>
      <c r="AE4" s="97">
        <f t="shared" si="18"/>
        <v>0.0987654321</v>
      </c>
      <c r="AF4" t="str">
        <f t="shared" si="19"/>
        <v/>
      </c>
      <c r="AG4" s="97">
        <f t="shared" si="20"/>
        <v>0.1111111111</v>
      </c>
      <c r="AH4" t="str">
        <f t="shared" si="21"/>
        <v/>
      </c>
      <c r="AI4" s="97">
        <f t="shared" si="22"/>
        <v>0.06172839506</v>
      </c>
      <c r="AJ4" t="str">
        <f t="shared" si="23"/>
        <v/>
      </c>
      <c r="AK4" s="97">
        <f t="shared" si="24"/>
        <v>0.07407407407</v>
      </c>
      <c r="AL4" t="str">
        <f t="shared" si="25"/>
        <v/>
      </c>
    </row>
    <row r="5">
      <c r="N5">
        <f t="shared" ref="N5:O5" si="26">A5</f>
        <v>2</v>
      </c>
      <c r="O5" s="97">
        <f t="shared" si="26"/>
        <v>0.06666666667</v>
      </c>
      <c r="P5" t="str">
        <f t="shared" si="3"/>
        <v/>
      </c>
      <c r="Q5" s="97">
        <f t="shared" si="4"/>
        <v>0.08</v>
      </c>
      <c r="R5" t="str">
        <f t="shared" si="5"/>
        <v/>
      </c>
      <c r="S5" s="97">
        <f t="shared" si="6"/>
        <v>0.07333333333</v>
      </c>
      <c r="T5" t="str">
        <f t="shared" si="7"/>
        <v/>
      </c>
      <c r="U5" s="97">
        <f t="shared" si="8"/>
        <v>0.06666666667</v>
      </c>
      <c r="V5" t="str">
        <f t="shared" si="9"/>
        <v/>
      </c>
      <c r="W5" s="97">
        <f t="shared" si="10"/>
        <v>0.09333333333</v>
      </c>
      <c r="X5" t="str">
        <f t="shared" si="11"/>
        <v/>
      </c>
      <c r="Y5" s="97">
        <f t="shared" si="12"/>
        <v>0.1133333333</v>
      </c>
      <c r="Z5" t="str">
        <f t="shared" si="13"/>
        <v/>
      </c>
      <c r="AA5" s="97">
        <f t="shared" si="14"/>
        <v>0.08</v>
      </c>
      <c r="AB5" t="str">
        <f t="shared" si="15"/>
        <v/>
      </c>
      <c r="AC5" s="97">
        <f t="shared" si="16"/>
        <v>0.07333333333</v>
      </c>
      <c r="AD5" t="str">
        <f t="shared" si="17"/>
        <v/>
      </c>
      <c r="AE5" s="97">
        <f t="shared" si="18"/>
        <v>0.09333333333</v>
      </c>
      <c r="AF5" t="str">
        <f t="shared" si="19"/>
        <v/>
      </c>
      <c r="AG5" s="97">
        <f t="shared" si="20"/>
        <v>0.09333333333</v>
      </c>
      <c r="AH5" t="str">
        <f t="shared" si="21"/>
        <v/>
      </c>
      <c r="AI5" s="97">
        <f t="shared" si="22"/>
        <v>0.08666666667</v>
      </c>
      <c r="AJ5" t="str">
        <f t="shared" si="23"/>
        <v/>
      </c>
      <c r="AK5" s="97">
        <f t="shared" si="24"/>
        <v>0.06666666667</v>
      </c>
      <c r="AL5" t="str">
        <f t="shared" si="25"/>
        <v/>
      </c>
    </row>
    <row r="6">
      <c r="N6">
        <f t="shared" ref="N6:O6" si="27">A6</f>
        <v>3</v>
      </c>
      <c r="O6" s="97">
        <f t="shared" si="27"/>
        <v>0.08411214953</v>
      </c>
      <c r="P6" t="str">
        <f t="shared" si="3"/>
        <v/>
      </c>
      <c r="Q6" s="97">
        <f t="shared" si="4"/>
        <v>0.08411214953</v>
      </c>
      <c r="R6" t="str">
        <f t="shared" si="5"/>
        <v/>
      </c>
      <c r="S6" s="97">
        <f t="shared" si="6"/>
        <v>0.07943925234</v>
      </c>
      <c r="T6" t="str">
        <f t="shared" si="7"/>
        <v/>
      </c>
      <c r="U6" s="97">
        <f t="shared" si="8"/>
        <v>0.07009345794</v>
      </c>
      <c r="V6" t="str">
        <f t="shared" si="9"/>
        <v/>
      </c>
      <c r="W6" s="97">
        <f t="shared" si="10"/>
        <v>0.08878504673</v>
      </c>
      <c r="X6" t="str">
        <f t="shared" si="11"/>
        <v/>
      </c>
      <c r="Y6" s="97">
        <f t="shared" si="12"/>
        <v>0.1028037383</v>
      </c>
      <c r="Z6" t="str">
        <f t="shared" si="13"/>
        <v/>
      </c>
      <c r="AA6" s="97">
        <f t="shared" si="14"/>
        <v>0.08878504673</v>
      </c>
      <c r="AB6" t="str">
        <f t="shared" si="15"/>
        <v/>
      </c>
      <c r="AC6" s="97">
        <f t="shared" si="16"/>
        <v>0.07476635514</v>
      </c>
      <c r="AD6" t="str">
        <f t="shared" si="17"/>
        <v/>
      </c>
      <c r="AE6" s="97">
        <f t="shared" si="18"/>
        <v>0.08411214953</v>
      </c>
      <c r="AF6" t="str">
        <f t="shared" si="19"/>
        <v/>
      </c>
      <c r="AG6" s="97">
        <f t="shared" si="20"/>
        <v>0.09345794393</v>
      </c>
      <c r="AH6" t="str">
        <f t="shared" si="21"/>
        <v/>
      </c>
      <c r="AI6" s="97">
        <f t="shared" si="22"/>
        <v>0.07476635514</v>
      </c>
      <c r="AJ6" t="str">
        <f t="shared" si="23"/>
        <v/>
      </c>
      <c r="AK6" s="97">
        <f t="shared" si="24"/>
        <v>0.08411214953</v>
      </c>
      <c r="AL6" t="str">
        <f t="shared" si="25"/>
        <v/>
      </c>
    </row>
    <row r="7">
      <c r="N7">
        <f t="shared" ref="N7:O7" si="28">A7</f>
        <v>4</v>
      </c>
      <c r="O7" s="97">
        <f t="shared" si="28"/>
        <v>0.07865168539</v>
      </c>
      <c r="P7" t="str">
        <f t="shared" si="3"/>
        <v/>
      </c>
      <c r="Q7" s="97">
        <f t="shared" si="4"/>
        <v>0.0861423221</v>
      </c>
      <c r="R7" t="str">
        <f t="shared" si="5"/>
        <v/>
      </c>
      <c r="S7" s="97">
        <f t="shared" si="6"/>
        <v>0.0861423221</v>
      </c>
      <c r="T7" t="str">
        <f t="shared" si="7"/>
        <v/>
      </c>
      <c r="U7" s="97">
        <f t="shared" si="8"/>
        <v>0.07116104869</v>
      </c>
      <c r="V7" t="str">
        <f t="shared" si="9"/>
        <v/>
      </c>
      <c r="W7" s="97">
        <f t="shared" si="10"/>
        <v>0.08239700375</v>
      </c>
      <c r="X7" t="str">
        <f t="shared" si="11"/>
        <v/>
      </c>
      <c r="Y7" s="97">
        <f t="shared" si="12"/>
        <v>0.1048689139</v>
      </c>
      <c r="Z7" t="str">
        <f t="shared" si="13"/>
        <v/>
      </c>
      <c r="AA7" s="97">
        <f t="shared" si="14"/>
        <v>0.0861423221</v>
      </c>
      <c r="AB7" t="str">
        <f t="shared" si="15"/>
        <v/>
      </c>
      <c r="AC7" s="97">
        <f t="shared" si="16"/>
        <v>0.07490636704</v>
      </c>
      <c r="AD7" t="str">
        <f t="shared" si="17"/>
        <v/>
      </c>
      <c r="AE7" s="97">
        <f t="shared" si="18"/>
        <v>0.0861423221</v>
      </c>
      <c r="AF7" t="str">
        <f t="shared" si="19"/>
        <v/>
      </c>
      <c r="AG7" s="97">
        <f t="shared" si="20"/>
        <v>0.0936329588</v>
      </c>
      <c r="AH7" t="str">
        <f t="shared" si="21"/>
        <v/>
      </c>
      <c r="AI7" s="97">
        <f t="shared" si="22"/>
        <v>0.07490636704</v>
      </c>
      <c r="AJ7" t="str">
        <f t="shared" si="23"/>
        <v/>
      </c>
      <c r="AK7" s="97">
        <f t="shared" si="24"/>
        <v>0.07865168539</v>
      </c>
      <c r="AL7" t="str">
        <f t="shared" si="25"/>
        <v/>
      </c>
    </row>
    <row r="8">
      <c r="N8">
        <f t="shared" ref="N8:O8" si="29">A8</f>
        <v>5</v>
      </c>
      <c r="O8" s="97">
        <f t="shared" si="29"/>
        <v>0.07788161994</v>
      </c>
      <c r="P8" t="str">
        <f t="shared" si="3"/>
        <v/>
      </c>
      <c r="Q8" s="97">
        <f t="shared" si="4"/>
        <v>0.09034267913</v>
      </c>
      <c r="R8" t="str">
        <f t="shared" si="5"/>
        <v/>
      </c>
      <c r="S8" s="97">
        <f t="shared" si="6"/>
        <v>0.08099688474</v>
      </c>
      <c r="T8" t="str">
        <f t="shared" si="7"/>
        <v/>
      </c>
      <c r="U8" s="97">
        <f t="shared" si="8"/>
        <v>0.07165109034</v>
      </c>
      <c r="V8" t="str">
        <f t="shared" si="9"/>
        <v/>
      </c>
      <c r="W8" s="97">
        <f t="shared" si="10"/>
        <v>0.07476635514</v>
      </c>
      <c r="X8" t="str">
        <f t="shared" si="11"/>
        <v/>
      </c>
      <c r="Y8" s="97">
        <f t="shared" si="12"/>
        <v>0.1028037383</v>
      </c>
      <c r="Z8" t="str">
        <f t="shared" si="13"/>
        <v/>
      </c>
      <c r="AA8" s="97">
        <f t="shared" si="14"/>
        <v>0.09034267913</v>
      </c>
      <c r="AB8" t="str">
        <f t="shared" si="15"/>
        <v/>
      </c>
      <c r="AC8" s="97">
        <f t="shared" si="16"/>
        <v>0.07788161994</v>
      </c>
      <c r="AD8" t="str">
        <f t="shared" si="17"/>
        <v/>
      </c>
      <c r="AE8" s="97">
        <f t="shared" si="18"/>
        <v>0.08099688474</v>
      </c>
      <c r="AF8" t="str">
        <f t="shared" si="19"/>
        <v/>
      </c>
      <c r="AG8" s="97">
        <f t="shared" si="20"/>
        <v>0.09345794393</v>
      </c>
      <c r="AH8" t="str">
        <f t="shared" si="21"/>
        <v/>
      </c>
      <c r="AI8" s="97">
        <f t="shared" si="22"/>
        <v>0.07165109034</v>
      </c>
      <c r="AJ8" t="str">
        <f t="shared" si="23"/>
        <v/>
      </c>
      <c r="AK8" s="97">
        <f t="shared" si="24"/>
        <v>0.07788161994</v>
      </c>
      <c r="AL8" t="str">
        <f t="shared" si="25"/>
        <v/>
      </c>
    </row>
    <row r="9">
      <c r="N9">
        <f t="shared" ref="N9:O9" si="30">A9</f>
        <v>6</v>
      </c>
      <c r="O9" s="97">
        <f t="shared" si="30"/>
        <v>0.08196721311</v>
      </c>
      <c r="P9" t="str">
        <f t="shared" si="3"/>
        <v/>
      </c>
      <c r="Q9" s="97">
        <f t="shared" si="4"/>
        <v>0.08196721311</v>
      </c>
      <c r="R9" t="str">
        <f t="shared" si="5"/>
        <v/>
      </c>
      <c r="S9" s="97">
        <f t="shared" si="6"/>
        <v>0.08469945355</v>
      </c>
      <c r="T9" t="str">
        <f t="shared" si="7"/>
        <v/>
      </c>
      <c r="U9" s="97">
        <f t="shared" si="8"/>
        <v>0.07650273224</v>
      </c>
      <c r="V9" t="str">
        <f t="shared" si="9"/>
        <v/>
      </c>
      <c r="W9" s="97">
        <f t="shared" si="10"/>
        <v>0.08196721311</v>
      </c>
      <c r="X9" t="str">
        <f t="shared" si="11"/>
        <v/>
      </c>
      <c r="Y9" s="97">
        <f t="shared" si="12"/>
        <v>0.1038251366</v>
      </c>
      <c r="Z9" t="str">
        <f t="shared" si="13"/>
        <v/>
      </c>
      <c r="AA9" s="97">
        <f t="shared" si="14"/>
        <v>0.08743169399</v>
      </c>
      <c r="AB9" t="str">
        <f t="shared" si="15"/>
        <v/>
      </c>
      <c r="AC9" s="97">
        <f t="shared" si="16"/>
        <v>0.07923497268</v>
      </c>
      <c r="AD9" t="str">
        <f t="shared" si="17"/>
        <v/>
      </c>
      <c r="AE9" s="97">
        <f t="shared" si="18"/>
        <v>0.07923497268</v>
      </c>
      <c r="AF9" t="str">
        <f t="shared" si="19"/>
        <v/>
      </c>
      <c r="AG9" s="97">
        <f t="shared" si="20"/>
        <v>0.09016393443</v>
      </c>
      <c r="AH9" t="str">
        <f t="shared" si="21"/>
        <v/>
      </c>
      <c r="AI9" s="97">
        <f t="shared" si="22"/>
        <v>0.07103825137</v>
      </c>
      <c r="AJ9" t="str">
        <f t="shared" si="23"/>
        <v/>
      </c>
      <c r="AK9" s="97">
        <f t="shared" si="24"/>
        <v>0.08196721311</v>
      </c>
      <c r="AL9" t="str">
        <f t="shared" si="25"/>
        <v/>
      </c>
    </row>
    <row r="10">
      <c r="N10">
        <f t="shared" ref="N10:O10" si="31">A10</f>
        <v>7</v>
      </c>
      <c r="O10" s="97">
        <f t="shared" si="31"/>
        <v>0.07894736842</v>
      </c>
      <c r="P10" t="str">
        <f t="shared" si="3"/>
        <v/>
      </c>
      <c r="Q10" s="97">
        <f t="shared" si="4"/>
        <v>0.08612440191</v>
      </c>
      <c r="R10" t="str">
        <f t="shared" si="5"/>
        <v/>
      </c>
      <c r="S10" s="97">
        <f t="shared" si="6"/>
        <v>0.08373205742</v>
      </c>
      <c r="T10" t="str">
        <f t="shared" si="7"/>
        <v/>
      </c>
      <c r="U10" s="97">
        <f t="shared" si="8"/>
        <v>0.07416267943</v>
      </c>
      <c r="V10" t="str">
        <f t="shared" si="9"/>
        <v/>
      </c>
      <c r="W10" s="97">
        <f t="shared" si="10"/>
        <v>0.08133971292</v>
      </c>
      <c r="X10" t="str">
        <f t="shared" si="11"/>
        <v/>
      </c>
      <c r="Y10" s="97">
        <f t="shared" si="12"/>
        <v>0.1028708134</v>
      </c>
      <c r="Z10" t="str">
        <f t="shared" si="13"/>
        <v/>
      </c>
      <c r="AA10" s="97">
        <f t="shared" si="14"/>
        <v>0.08851674641</v>
      </c>
      <c r="AB10" t="str">
        <f t="shared" si="15"/>
        <v/>
      </c>
      <c r="AC10" s="97">
        <f t="shared" si="16"/>
        <v>0.08851674641</v>
      </c>
      <c r="AD10" t="str">
        <f t="shared" si="17"/>
        <v/>
      </c>
      <c r="AE10" s="97">
        <f t="shared" si="18"/>
        <v>0.08133971292</v>
      </c>
      <c r="AF10" t="str">
        <f t="shared" si="19"/>
        <v/>
      </c>
      <c r="AG10" s="97">
        <f t="shared" si="20"/>
        <v>0.08612440191</v>
      </c>
      <c r="AH10" t="str">
        <f t="shared" si="21"/>
        <v/>
      </c>
      <c r="AI10" s="97">
        <f t="shared" si="22"/>
        <v>0.06698564593</v>
      </c>
      <c r="AJ10" t="str">
        <f t="shared" si="23"/>
        <v/>
      </c>
      <c r="AK10" s="97">
        <f t="shared" si="24"/>
        <v>0.07894736842</v>
      </c>
      <c r="AL10" t="str">
        <f t="shared" si="25"/>
        <v/>
      </c>
    </row>
    <row r="11">
      <c r="N11">
        <f t="shared" ref="N11:O11" si="32">A11</f>
        <v>8</v>
      </c>
      <c r="O11" s="97">
        <f t="shared" si="32"/>
        <v>0.08631578947</v>
      </c>
      <c r="P11" t="str">
        <f t="shared" si="3"/>
        <v/>
      </c>
      <c r="Q11" s="97">
        <f t="shared" si="4"/>
        <v>0.08631578947</v>
      </c>
      <c r="R11" t="str">
        <f t="shared" si="5"/>
        <v/>
      </c>
      <c r="S11" s="97">
        <f t="shared" si="6"/>
        <v>0.08421052632</v>
      </c>
      <c r="T11" t="str">
        <f t="shared" si="7"/>
        <v/>
      </c>
      <c r="U11" s="97">
        <f t="shared" si="8"/>
        <v>0.07789473684</v>
      </c>
      <c r="V11" t="str">
        <f t="shared" si="9"/>
        <v/>
      </c>
      <c r="W11" s="97">
        <f t="shared" si="10"/>
        <v>0.07789473684</v>
      </c>
      <c r="X11" t="str">
        <f t="shared" si="11"/>
        <v/>
      </c>
      <c r="Y11" s="97">
        <f t="shared" si="12"/>
        <v>0.1010526316</v>
      </c>
      <c r="Z11" t="str">
        <f t="shared" si="13"/>
        <v/>
      </c>
      <c r="AA11" s="97">
        <f t="shared" si="14"/>
        <v>0.08210526316</v>
      </c>
      <c r="AB11" t="str">
        <f t="shared" si="15"/>
        <v/>
      </c>
      <c r="AC11" s="97">
        <f t="shared" si="16"/>
        <v>0.09052631579</v>
      </c>
      <c r="AD11" t="str">
        <f t="shared" si="17"/>
        <v/>
      </c>
      <c r="AE11" s="97">
        <f t="shared" si="18"/>
        <v>0.08210526316</v>
      </c>
      <c r="AF11" t="str">
        <f t="shared" si="19"/>
        <v/>
      </c>
      <c r="AG11" s="97">
        <f t="shared" si="20"/>
        <v>0.08842105263</v>
      </c>
      <c r="AH11" t="str">
        <f t="shared" si="21"/>
        <v/>
      </c>
      <c r="AI11" s="97">
        <f t="shared" si="22"/>
        <v>0.06526315789</v>
      </c>
      <c r="AJ11" t="str">
        <f t="shared" si="23"/>
        <v/>
      </c>
      <c r="AK11" s="97">
        <f t="shared" si="24"/>
        <v>0.08631578947</v>
      </c>
      <c r="AL11" t="str">
        <f t="shared" si="25"/>
        <v/>
      </c>
    </row>
    <row r="12">
      <c r="N12">
        <f t="shared" ref="N12:O12" si="33">A12</f>
        <v>9</v>
      </c>
      <c r="O12" s="97">
        <f t="shared" si="33"/>
        <v>0.08365019011</v>
      </c>
      <c r="P12" t="str">
        <f t="shared" si="3"/>
        <v/>
      </c>
      <c r="Q12" s="97">
        <f t="shared" si="4"/>
        <v>0.09125475285</v>
      </c>
      <c r="R12" t="str">
        <f t="shared" si="5"/>
        <v/>
      </c>
      <c r="S12" s="97">
        <f t="shared" si="6"/>
        <v>0.07794676806</v>
      </c>
      <c r="T12" t="str">
        <f t="shared" si="7"/>
        <v/>
      </c>
      <c r="U12" s="97">
        <f t="shared" si="8"/>
        <v>0.07604562738</v>
      </c>
      <c r="V12" t="str">
        <f t="shared" si="9"/>
        <v/>
      </c>
      <c r="W12" s="97">
        <f t="shared" si="10"/>
        <v>0.07794676806</v>
      </c>
      <c r="X12" t="str">
        <f t="shared" si="11"/>
        <v/>
      </c>
      <c r="Y12" s="97">
        <f t="shared" si="12"/>
        <v>0.09885931559</v>
      </c>
      <c r="Z12" t="str">
        <f t="shared" si="13"/>
        <v/>
      </c>
      <c r="AA12" s="97">
        <f t="shared" si="14"/>
        <v>0.08745247148</v>
      </c>
      <c r="AB12" t="str">
        <f t="shared" si="15"/>
        <v/>
      </c>
      <c r="AC12" s="97">
        <f t="shared" si="16"/>
        <v>0.09315589354</v>
      </c>
      <c r="AD12" t="str">
        <f t="shared" si="17"/>
        <v/>
      </c>
      <c r="AE12" s="97">
        <f t="shared" si="18"/>
        <v>0.07984790875</v>
      </c>
      <c r="AF12" t="str">
        <f t="shared" si="19"/>
        <v/>
      </c>
      <c r="AG12" s="97">
        <f t="shared" si="20"/>
        <v>0.09125475285</v>
      </c>
      <c r="AH12" t="str">
        <f t="shared" si="21"/>
        <v/>
      </c>
      <c r="AI12" s="97">
        <f t="shared" si="22"/>
        <v>0.06463878327</v>
      </c>
      <c r="AJ12" t="str">
        <f t="shared" si="23"/>
        <v/>
      </c>
      <c r="AK12" s="97">
        <f t="shared" si="24"/>
        <v>0.08365019011</v>
      </c>
      <c r="AL12" t="str">
        <f t="shared" si="25"/>
        <v/>
      </c>
    </row>
    <row r="13">
      <c r="N13">
        <f t="shared" ref="N13:O13" si="34">A13</f>
        <v>10</v>
      </c>
      <c r="O13" s="97">
        <f t="shared" si="34"/>
        <v>0.08596491228</v>
      </c>
      <c r="P13" t="str">
        <f t="shared" si="3"/>
        <v/>
      </c>
      <c r="Q13" s="97">
        <f t="shared" si="4"/>
        <v>0.09649122807</v>
      </c>
      <c r="R13" t="str">
        <f t="shared" si="5"/>
        <v/>
      </c>
      <c r="S13" s="97">
        <f t="shared" si="6"/>
        <v>0.07719298246</v>
      </c>
      <c r="T13" t="str">
        <f t="shared" si="7"/>
        <v/>
      </c>
      <c r="U13" s="97">
        <f t="shared" si="8"/>
        <v>0.07894736842</v>
      </c>
      <c r="V13" t="str">
        <f t="shared" si="9"/>
        <v/>
      </c>
      <c r="W13" s="97">
        <f t="shared" si="10"/>
        <v>0.08070175439</v>
      </c>
      <c r="X13" t="str">
        <f t="shared" si="11"/>
        <v/>
      </c>
      <c r="Y13" s="97">
        <f t="shared" si="12"/>
        <v>0.09473684211</v>
      </c>
      <c r="Z13" t="str">
        <f t="shared" si="13"/>
        <v/>
      </c>
      <c r="AA13" s="97">
        <f t="shared" si="14"/>
        <v>0.08245614035</v>
      </c>
      <c r="AB13" t="str">
        <f t="shared" si="15"/>
        <v/>
      </c>
      <c r="AC13" s="97">
        <f t="shared" si="16"/>
        <v>0.09298245614</v>
      </c>
      <c r="AD13" t="str">
        <f t="shared" si="17"/>
        <v/>
      </c>
      <c r="AE13" s="97">
        <f t="shared" si="18"/>
        <v>0.07719298246</v>
      </c>
      <c r="AF13" t="str">
        <f t="shared" si="19"/>
        <v/>
      </c>
      <c r="AG13" s="97">
        <f t="shared" si="20"/>
        <v>0.09122807018</v>
      </c>
      <c r="AH13" t="str">
        <f t="shared" si="21"/>
        <v/>
      </c>
      <c r="AI13" s="97">
        <f t="shared" si="22"/>
        <v>0.06315789474</v>
      </c>
      <c r="AJ13" t="str">
        <f t="shared" si="23"/>
        <v/>
      </c>
      <c r="AK13" s="97">
        <f t="shared" si="24"/>
        <v>0.08596491228</v>
      </c>
      <c r="AL13" t="str">
        <f t="shared" si="25"/>
        <v/>
      </c>
    </row>
    <row r="14">
      <c r="N14">
        <f t="shared" ref="N14:O14" si="35">A14</f>
        <v>11</v>
      </c>
      <c r="O14" s="97">
        <f t="shared" si="35"/>
        <v>0.08292682927</v>
      </c>
      <c r="P14" t="str">
        <f t="shared" si="3"/>
        <v/>
      </c>
      <c r="Q14" s="97">
        <f t="shared" si="4"/>
        <v>0.09430894309</v>
      </c>
      <c r="R14" t="str">
        <f t="shared" si="5"/>
        <v/>
      </c>
      <c r="S14" s="97">
        <f t="shared" si="6"/>
        <v>0.07967479675</v>
      </c>
      <c r="T14" t="str">
        <f t="shared" si="7"/>
        <v/>
      </c>
      <c r="U14" s="97">
        <f t="shared" si="8"/>
        <v>0.07642276423</v>
      </c>
      <c r="V14" t="str">
        <f t="shared" si="9"/>
        <v/>
      </c>
      <c r="W14" s="97">
        <f t="shared" si="10"/>
        <v>0.08130081301</v>
      </c>
      <c r="X14" t="str">
        <f t="shared" si="11"/>
        <v/>
      </c>
      <c r="Y14" s="97">
        <f t="shared" si="12"/>
        <v>0.09756097561</v>
      </c>
      <c r="Z14" t="str">
        <f t="shared" si="13"/>
        <v/>
      </c>
      <c r="AA14" s="97">
        <f t="shared" si="14"/>
        <v>0.08943089431</v>
      </c>
      <c r="AB14" t="str">
        <f t="shared" si="15"/>
        <v/>
      </c>
      <c r="AC14" s="97">
        <f t="shared" si="16"/>
        <v>0.09268292683</v>
      </c>
      <c r="AD14" t="str">
        <f t="shared" si="17"/>
        <v/>
      </c>
      <c r="AE14" s="97">
        <f t="shared" si="18"/>
        <v>0.07479674797</v>
      </c>
      <c r="AF14" t="str">
        <f t="shared" si="19"/>
        <v/>
      </c>
      <c r="AG14" s="97">
        <f t="shared" si="20"/>
        <v>0.08943089431</v>
      </c>
      <c r="AH14" t="str">
        <f t="shared" si="21"/>
        <v/>
      </c>
      <c r="AI14" s="97">
        <f t="shared" si="22"/>
        <v>0.06341463415</v>
      </c>
      <c r="AJ14" t="str">
        <f t="shared" si="23"/>
        <v/>
      </c>
      <c r="AK14" s="97">
        <f t="shared" si="24"/>
        <v>0.08292682927</v>
      </c>
      <c r="AL14" t="str">
        <f t="shared" si="25"/>
        <v/>
      </c>
    </row>
    <row r="15">
      <c r="N15">
        <f t="shared" ref="N15:O15" si="36">A15</f>
        <v>12</v>
      </c>
      <c r="O15" s="97">
        <f t="shared" si="36"/>
        <v>0.08258258258</v>
      </c>
      <c r="P15" t="str">
        <f t="shared" si="3"/>
        <v/>
      </c>
      <c r="Q15" s="97">
        <f t="shared" si="4"/>
        <v>0.09309309309</v>
      </c>
      <c r="R15" t="str">
        <f t="shared" si="5"/>
        <v/>
      </c>
      <c r="S15" s="97">
        <f t="shared" si="6"/>
        <v>0.07807807808</v>
      </c>
      <c r="T15" t="str">
        <f t="shared" si="7"/>
        <v/>
      </c>
      <c r="U15" s="97">
        <f t="shared" si="8"/>
        <v>0.07657657658</v>
      </c>
      <c r="V15" t="str">
        <f t="shared" si="9"/>
        <v/>
      </c>
      <c r="W15" s="97">
        <f t="shared" si="10"/>
        <v>0.08108108108</v>
      </c>
      <c r="X15" t="str">
        <f t="shared" si="11"/>
        <v/>
      </c>
      <c r="Y15" s="97">
        <f t="shared" si="12"/>
        <v>0.0960960961</v>
      </c>
      <c r="Z15" t="str">
        <f t="shared" si="13"/>
        <v/>
      </c>
      <c r="AA15" s="97">
        <f t="shared" si="14"/>
        <v>0.09159159159</v>
      </c>
      <c r="AB15" t="str">
        <f t="shared" si="15"/>
        <v/>
      </c>
      <c r="AC15" s="97">
        <f t="shared" si="16"/>
        <v>0.09009009009</v>
      </c>
      <c r="AD15" t="str">
        <f t="shared" si="17"/>
        <v/>
      </c>
      <c r="AE15" s="97">
        <f t="shared" si="18"/>
        <v>0.07807807808</v>
      </c>
      <c r="AF15" t="str">
        <f t="shared" si="19"/>
        <v/>
      </c>
      <c r="AG15" s="97">
        <f t="shared" si="20"/>
        <v>0.08708708709</v>
      </c>
      <c r="AH15" t="str">
        <f t="shared" si="21"/>
        <v/>
      </c>
      <c r="AI15" s="97">
        <f t="shared" si="22"/>
        <v>0.06306306306</v>
      </c>
      <c r="AJ15" t="str">
        <f t="shared" si="23"/>
        <v/>
      </c>
      <c r="AK15" s="97">
        <f t="shared" si="24"/>
        <v>0.08258258258</v>
      </c>
      <c r="AL15" t="str">
        <f t="shared" si="25"/>
        <v/>
      </c>
    </row>
    <row r="16">
      <c r="N16">
        <f t="shared" ref="N16:O16" si="37">A16</f>
        <v>13</v>
      </c>
      <c r="O16" s="97">
        <f t="shared" si="37"/>
        <v>0.08287292818</v>
      </c>
      <c r="P16" t="str">
        <f t="shared" si="3"/>
        <v/>
      </c>
      <c r="Q16" s="97">
        <f t="shared" si="4"/>
        <v>0.09116022099</v>
      </c>
      <c r="R16" t="str">
        <f t="shared" si="5"/>
        <v/>
      </c>
      <c r="S16" s="97">
        <f t="shared" si="6"/>
        <v>0.07872928177</v>
      </c>
      <c r="T16" t="str">
        <f t="shared" si="7"/>
        <v/>
      </c>
      <c r="U16" s="97">
        <f t="shared" si="8"/>
        <v>0.07320441989</v>
      </c>
      <c r="V16" t="str">
        <f t="shared" si="9"/>
        <v/>
      </c>
      <c r="W16" s="97">
        <f t="shared" si="10"/>
        <v>0.08011049724</v>
      </c>
      <c r="X16" t="str">
        <f t="shared" si="11"/>
        <v/>
      </c>
      <c r="Y16" s="97">
        <f t="shared" si="12"/>
        <v>0.09668508287</v>
      </c>
      <c r="Z16" t="str">
        <f t="shared" si="13"/>
        <v/>
      </c>
      <c r="AA16" s="97">
        <f t="shared" si="14"/>
        <v>0.08977900552</v>
      </c>
      <c r="AB16" t="str">
        <f t="shared" si="15"/>
        <v/>
      </c>
      <c r="AC16" s="97">
        <f t="shared" si="16"/>
        <v>0.09254143646</v>
      </c>
      <c r="AD16" t="str">
        <f t="shared" si="17"/>
        <v/>
      </c>
      <c r="AE16" s="97">
        <f t="shared" si="18"/>
        <v>0.08011049724</v>
      </c>
      <c r="AF16" t="str">
        <f t="shared" si="19"/>
        <v/>
      </c>
      <c r="AG16" s="97">
        <f t="shared" si="20"/>
        <v>0.08701657459</v>
      </c>
      <c r="AH16" t="str">
        <f t="shared" si="21"/>
        <v/>
      </c>
      <c r="AI16" s="97">
        <f t="shared" si="22"/>
        <v>0.06629834254</v>
      </c>
      <c r="AJ16" t="str">
        <f t="shared" si="23"/>
        <v/>
      </c>
      <c r="AK16" s="97">
        <f t="shared" si="24"/>
        <v>0.08287292818</v>
      </c>
      <c r="AL16" t="str">
        <f t="shared" si="25"/>
        <v/>
      </c>
    </row>
    <row r="17">
      <c r="N17">
        <f t="shared" ref="N17:O17" si="38">A17</f>
        <v>14</v>
      </c>
      <c r="O17" s="97">
        <f t="shared" si="38"/>
        <v>0.08280254777</v>
      </c>
      <c r="P17" t="str">
        <f t="shared" si="3"/>
        <v>Adam</v>
      </c>
      <c r="Q17" s="97">
        <f t="shared" si="4"/>
        <v>0.08917197452</v>
      </c>
      <c r="R17" t="str">
        <f t="shared" si="5"/>
        <v>Brad</v>
      </c>
      <c r="S17" s="97">
        <f t="shared" si="6"/>
        <v>0.07898089172</v>
      </c>
      <c r="T17" t="str">
        <f t="shared" si="7"/>
        <v>DavEmily</v>
      </c>
      <c r="U17" s="97">
        <f t="shared" si="8"/>
        <v>0.07261146497</v>
      </c>
      <c r="V17" t="str">
        <f t="shared" si="9"/>
        <v>Gary</v>
      </c>
      <c r="W17" s="97">
        <f t="shared" si="10"/>
        <v>0.08280254777</v>
      </c>
      <c r="X17" t="str">
        <f t="shared" si="11"/>
        <v>Janice/Mike</v>
      </c>
      <c r="Y17" s="97">
        <f t="shared" si="12"/>
        <v>0.09808917197</v>
      </c>
      <c r="Z17" t="str">
        <f t="shared" si="13"/>
        <v>Jeannine</v>
      </c>
      <c r="AA17" s="97">
        <f t="shared" si="14"/>
        <v>0.08535031847</v>
      </c>
      <c r="AB17" t="str">
        <f t="shared" si="15"/>
        <v>Josh R.</v>
      </c>
      <c r="AC17" s="97">
        <f t="shared" si="16"/>
        <v>0.09681528662</v>
      </c>
      <c r="AD17" t="str">
        <f t="shared" si="17"/>
        <v>Justin</v>
      </c>
      <c r="AE17" s="97">
        <f t="shared" si="18"/>
        <v>0.07898089172</v>
      </c>
      <c r="AF17" t="str">
        <f t="shared" si="19"/>
        <v>Nick A.</v>
      </c>
      <c r="AG17" s="97">
        <f t="shared" si="20"/>
        <v>0.08662420382</v>
      </c>
      <c r="AH17" t="str">
        <f t="shared" si="21"/>
        <v>Nick G.</v>
      </c>
      <c r="AI17" s="97">
        <f t="shared" si="22"/>
        <v>0.06624203822</v>
      </c>
      <c r="AJ17" t="str">
        <f t="shared" si="23"/>
        <v>Nico</v>
      </c>
      <c r="AK17" s="97">
        <f t="shared" si="24"/>
        <v>0.08280254777</v>
      </c>
      <c r="AL17" t="str">
        <f t="shared" si="25"/>
        <v>Vu</v>
      </c>
    </row>
    <row r="18">
      <c r="N18" t="str">
        <f t="shared" ref="N18:O18" si="39">A18</f>
        <v/>
      </c>
      <c r="O18" t="str">
        <f t="shared" si="39"/>
        <v/>
      </c>
      <c r="P18" t="str">
        <f t="shared" si="3"/>
        <v/>
      </c>
      <c r="Q18" t="str">
        <f t="shared" si="4"/>
        <v/>
      </c>
      <c r="R18" t="str">
        <f t="shared" si="5"/>
        <v/>
      </c>
      <c r="S18" t="str">
        <f t="shared" si="6"/>
        <v/>
      </c>
      <c r="T18" t="str">
        <f t="shared" si="7"/>
        <v/>
      </c>
      <c r="U18" t="str">
        <f t="shared" si="8"/>
        <v/>
      </c>
      <c r="V18" t="str">
        <f t="shared" si="9"/>
        <v/>
      </c>
      <c r="W18" t="str">
        <f t="shared" si="10"/>
        <v/>
      </c>
      <c r="X18" t="str">
        <f t="shared" si="11"/>
        <v/>
      </c>
      <c r="Y18" t="str">
        <f t="shared" si="12"/>
        <v/>
      </c>
      <c r="Z18" t="str">
        <f t="shared" si="13"/>
        <v/>
      </c>
      <c r="AA18" t="str">
        <f t="shared" si="14"/>
        <v/>
      </c>
      <c r="AB18" t="str">
        <f t="shared" si="15"/>
        <v/>
      </c>
      <c r="AC18" t="str">
        <f t="shared" si="16"/>
        <v/>
      </c>
      <c r="AD18" t="str">
        <f t="shared" si="17"/>
        <v/>
      </c>
      <c r="AE18" t="str">
        <f t="shared" si="18"/>
        <v/>
      </c>
      <c r="AF18" t="str">
        <f t="shared" si="19"/>
        <v/>
      </c>
      <c r="AG18" t="str">
        <f t="shared" si="20"/>
        <v/>
      </c>
      <c r="AH18" t="str">
        <f t="shared" si="21"/>
        <v/>
      </c>
      <c r="AI18" t="str">
        <f t="shared" si="22"/>
        <v/>
      </c>
      <c r="AJ18" t="str">
        <f t="shared" si="23"/>
        <v/>
      </c>
      <c r="AK18" t="str">
        <f t="shared" si="24"/>
        <v/>
      </c>
      <c r="AL18" t="str">
        <f t="shared" si="25"/>
        <v/>
      </c>
    </row>
    <row r="19">
      <c r="N19" t="str">
        <f t="shared" ref="N19:O19" si="40">A19</f>
        <v/>
      </c>
      <c r="O19" t="str">
        <f t="shared" si="40"/>
        <v/>
      </c>
      <c r="P19" t="str">
        <f t="shared" si="3"/>
        <v/>
      </c>
      <c r="Q19" t="str">
        <f t="shared" si="4"/>
        <v/>
      </c>
      <c r="R19" t="str">
        <f t="shared" si="5"/>
        <v/>
      </c>
      <c r="S19" t="str">
        <f t="shared" si="6"/>
        <v/>
      </c>
      <c r="T19" t="str">
        <f t="shared" si="7"/>
        <v/>
      </c>
      <c r="U19" t="str">
        <f t="shared" si="8"/>
        <v/>
      </c>
      <c r="V19" t="str">
        <f t="shared" si="9"/>
        <v/>
      </c>
      <c r="W19" t="str">
        <f t="shared" si="10"/>
        <v/>
      </c>
      <c r="X19" t="str">
        <f t="shared" si="11"/>
        <v/>
      </c>
      <c r="Y19" t="str">
        <f t="shared" si="12"/>
        <v/>
      </c>
      <c r="Z19" t="str">
        <f t="shared" si="13"/>
        <v/>
      </c>
      <c r="AA19" t="str">
        <f t="shared" si="14"/>
        <v/>
      </c>
      <c r="AB19" t="str">
        <f t="shared" si="15"/>
        <v/>
      </c>
      <c r="AC19" t="str">
        <f t="shared" si="16"/>
        <v/>
      </c>
      <c r="AD19" t="str">
        <f t="shared" si="17"/>
        <v/>
      </c>
      <c r="AE19" t="str">
        <f t="shared" si="18"/>
        <v/>
      </c>
      <c r="AF19" t="str">
        <f t="shared" si="19"/>
        <v/>
      </c>
      <c r="AG19" t="str">
        <f t="shared" si="20"/>
        <v/>
      </c>
      <c r="AH19" t="str">
        <f t="shared" si="21"/>
        <v/>
      </c>
      <c r="AI19" t="str">
        <f t="shared" si="22"/>
        <v/>
      </c>
      <c r="AJ19" t="str">
        <f t="shared" si="23"/>
        <v/>
      </c>
      <c r="AK19" t="str">
        <f t="shared" si="24"/>
        <v/>
      </c>
      <c r="AL19" t="str">
        <f t="shared" si="25"/>
        <v/>
      </c>
    </row>
    <row r="20">
      <c r="P20" t="str">
        <f t="shared" si="3"/>
        <v/>
      </c>
      <c r="R20" t="str">
        <f t="shared" si="5"/>
        <v/>
      </c>
      <c r="T20" t="str">
        <f t="shared" si="7"/>
        <v/>
      </c>
      <c r="V20" t="str">
        <f t="shared" si="9"/>
        <v/>
      </c>
      <c r="X20" t="str">
        <f t="shared" si="11"/>
        <v/>
      </c>
      <c r="Z20" t="str">
        <f t="shared" si="13"/>
        <v/>
      </c>
      <c r="AB20" t="str">
        <f t="shared" si="15"/>
        <v/>
      </c>
      <c r="AD20" t="str">
        <f t="shared" si="17"/>
        <v/>
      </c>
      <c r="AF20" t="str">
        <f t="shared" si="19"/>
        <v/>
      </c>
      <c r="AH20" t="str">
        <f t="shared" si="21"/>
        <v/>
      </c>
      <c r="AJ20" t="str">
        <f t="shared" si="23"/>
        <v/>
      </c>
    </row>
    <row r="21">
      <c r="P21" t="str">
        <f t="shared" si="3"/>
        <v/>
      </c>
      <c r="R21" t="str">
        <f t="shared" si="5"/>
        <v/>
      </c>
      <c r="T21" t="str">
        <f t="shared" si="7"/>
        <v/>
      </c>
      <c r="V21" t="str">
        <f t="shared" si="9"/>
        <v/>
      </c>
      <c r="X21" t="str">
        <f t="shared" si="11"/>
        <v/>
      </c>
      <c r="Z21" t="str">
        <f t="shared" si="13"/>
        <v/>
      </c>
      <c r="AB21" t="str">
        <f t="shared" si="15"/>
        <v/>
      </c>
      <c r="AD21" t="str">
        <f t="shared" si="17"/>
        <v/>
      </c>
      <c r="AF21" t="str">
        <f t="shared" si="19"/>
        <v/>
      </c>
      <c r="AH21" t="str">
        <f t="shared" si="21"/>
        <v/>
      </c>
      <c r="AJ21" t="str">
        <f t="shared" si="23"/>
        <v/>
      </c>
    </row>
    <row r="22">
      <c r="P22" t="str">
        <f t="shared" si="3"/>
        <v/>
      </c>
      <c r="R22" t="str">
        <f t="shared" si="5"/>
        <v/>
      </c>
      <c r="T22" t="str">
        <f t="shared" si="7"/>
        <v/>
      </c>
      <c r="V22" t="str">
        <f t="shared" si="9"/>
        <v/>
      </c>
      <c r="X22" t="str">
        <f t="shared" si="11"/>
        <v/>
      </c>
      <c r="Z22" t="str">
        <f t="shared" si="13"/>
        <v/>
      </c>
      <c r="AB22" t="str">
        <f t="shared" si="15"/>
        <v/>
      </c>
      <c r="AD22" t="str">
        <f t="shared" si="17"/>
        <v/>
      </c>
      <c r="AF22" t="str">
        <f t="shared" si="19"/>
        <v/>
      </c>
      <c r="AH22" t="str">
        <f t="shared" si="21"/>
        <v/>
      </c>
      <c r="AJ22" t="str">
        <f t="shared" si="23"/>
        <v/>
      </c>
    </row>
    <row r="23">
      <c r="P23" t="str">
        <f t="shared" si="3"/>
        <v/>
      </c>
      <c r="R23" t="str">
        <f t="shared" si="5"/>
        <v/>
      </c>
      <c r="T23" t="str">
        <f t="shared" si="7"/>
        <v/>
      </c>
      <c r="V23" t="str">
        <f t="shared" si="9"/>
        <v/>
      </c>
      <c r="X23" t="str">
        <f t="shared" si="11"/>
        <v/>
      </c>
      <c r="Z23" t="str">
        <f t="shared" si="13"/>
        <v/>
      </c>
      <c r="AB23" t="str">
        <f t="shared" si="15"/>
        <v/>
      </c>
      <c r="AD23" t="str">
        <f t="shared" si="17"/>
        <v/>
      </c>
      <c r="AF23" t="str">
        <f t="shared" si="19"/>
        <v/>
      </c>
      <c r="AH23" t="str">
        <f t="shared" si="21"/>
        <v/>
      </c>
      <c r="AJ23" t="str">
        <f t="shared" si="23"/>
        <v/>
      </c>
    </row>
    <row r="24">
      <c r="P24" t="str">
        <f t="shared" si="3"/>
        <v/>
      </c>
      <c r="R24" t="str">
        <f t="shared" si="5"/>
        <v/>
      </c>
      <c r="T24" t="str">
        <f t="shared" si="7"/>
        <v/>
      </c>
      <c r="V24" t="str">
        <f t="shared" si="9"/>
        <v/>
      </c>
      <c r="X24" t="str">
        <f t="shared" si="11"/>
        <v/>
      </c>
      <c r="Z24" t="str">
        <f t="shared" si="13"/>
        <v/>
      </c>
      <c r="AB24" t="str">
        <f t="shared" si="15"/>
        <v/>
      </c>
      <c r="AD24" t="str">
        <f t="shared" si="17"/>
        <v/>
      </c>
      <c r="AF24" t="str">
        <f t="shared" si="19"/>
        <v/>
      </c>
      <c r="AH24" t="str">
        <f t="shared" si="21"/>
        <v/>
      </c>
      <c r="AJ24" t="str">
        <f t="shared" si="23"/>
        <v/>
      </c>
    </row>
    <row r="25">
      <c r="P25" t="str">
        <f t="shared" si="3"/>
        <v/>
      </c>
      <c r="R25" t="str">
        <f t="shared" si="5"/>
        <v/>
      </c>
      <c r="T25" t="str">
        <f t="shared" si="7"/>
        <v/>
      </c>
      <c r="V25" t="str">
        <f t="shared" si="9"/>
        <v/>
      </c>
      <c r="X25" t="str">
        <f t="shared" si="11"/>
        <v/>
      </c>
      <c r="Z25" t="str">
        <f t="shared" si="13"/>
        <v/>
      </c>
      <c r="AB25" t="str">
        <f t="shared" si="15"/>
        <v/>
      </c>
      <c r="AD25" t="str">
        <f t="shared" si="17"/>
        <v/>
      </c>
      <c r="AF25" t="str">
        <f t="shared" si="19"/>
        <v/>
      </c>
      <c r="AH25" t="str">
        <f t="shared" si="21"/>
        <v/>
      </c>
      <c r="AJ25" t="str">
        <f t="shared" si="23"/>
        <v/>
      </c>
    </row>
    <row r="26">
      <c r="P26" t="str">
        <f t="shared" si="3"/>
        <v/>
      </c>
      <c r="R26" t="str">
        <f t="shared" si="5"/>
        <v/>
      </c>
      <c r="T26" t="str">
        <f t="shared" si="7"/>
        <v/>
      </c>
      <c r="V26" t="str">
        <f t="shared" si="9"/>
        <v/>
      </c>
      <c r="X26" t="str">
        <f t="shared" si="11"/>
        <v/>
      </c>
      <c r="Z26" t="str">
        <f t="shared" si="13"/>
        <v/>
      </c>
      <c r="AB26" t="str">
        <f t="shared" si="15"/>
        <v/>
      </c>
      <c r="AD26" t="str">
        <f t="shared" si="17"/>
        <v/>
      </c>
      <c r="AF26" t="str">
        <f t="shared" si="19"/>
        <v/>
      </c>
      <c r="AH26" t="str">
        <f t="shared" si="21"/>
        <v/>
      </c>
      <c r="AJ26" t="str">
        <f t="shared" si="23"/>
        <v/>
      </c>
    </row>
    <row r="27">
      <c r="P27" t="str">
        <f t="shared" si="3"/>
        <v/>
      </c>
      <c r="R27" t="str">
        <f t="shared" si="5"/>
        <v/>
      </c>
      <c r="T27" t="str">
        <f t="shared" si="7"/>
        <v/>
      </c>
      <c r="V27" t="str">
        <f t="shared" si="9"/>
        <v/>
      </c>
      <c r="X27" t="str">
        <f t="shared" si="11"/>
        <v/>
      </c>
      <c r="Z27" t="str">
        <f t="shared" si="13"/>
        <v/>
      </c>
      <c r="AB27" t="str">
        <f t="shared" si="15"/>
        <v/>
      </c>
      <c r="AD27" t="str">
        <f t="shared" si="17"/>
        <v/>
      </c>
      <c r="AF27" t="str">
        <f t="shared" si="19"/>
        <v/>
      </c>
      <c r="AH27" t="str">
        <f t="shared" si="21"/>
        <v/>
      </c>
      <c r="AJ27" t="str">
        <f t="shared" si="23"/>
        <v/>
      </c>
    </row>
    <row r="28">
      <c r="P28" t="str">
        <f t="shared" si="3"/>
        <v/>
      </c>
      <c r="R28" t="str">
        <f t="shared" si="5"/>
        <v/>
      </c>
      <c r="T28" t="str">
        <f t="shared" si="7"/>
        <v/>
      </c>
      <c r="V28" t="str">
        <f t="shared" si="9"/>
        <v/>
      </c>
      <c r="X28" t="str">
        <f t="shared" si="11"/>
        <v/>
      </c>
      <c r="Z28" t="str">
        <f t="shared" si="13"/>
        <v/>
      </c>
      <c r="AB28" t="str">
        <f t="shared" si="15"/>
        <v/>
      </c>
      <c r="AD28" t="str">
        <f t="shared" si="17"/>
        <v/>
      </c>
      <c r="AF28" t="str">
        <f t="shared" si="19"/>
        <v/>
      </c>
      <c r="AH28" t="str">
        <f t="shared" si="21"/>
        <v/>
      </c>
      <c r="AJ28" t="str">
        <f t="shared" si="23"/>
        <v/>
      </c>
    </row>
    <row r="29">
      <c r="P29" t="str">
        <f t="shared" si="3"/>
        <v/>
      </c>
      <c r="R29" t="str">
        <f t="shared" si="5"/>
        <v/>
      </c>
      <c r="T29" t="str">
        <f t="shared" si="7"/>
        <v/>
      </c>
      <c r="V29" t="str">
        <f t="shared" si="9"/>
        <v/>
      </c>
      <c r="X29" t="str">
        <f t="shared" si="11"/>
        <v/>
      </c>
      <c r="Z29" t="str">
        <f t="shared" si="13"/>
        <v/>
      </c>
      <c r="AB29" t="str">
        <f t="shared" si="15"/>
        <v/>
      </c>
      <c r="AD29" t="str">
        <f t="shared" si="17"/>
        <v/>
      </c>
      <c r="AF29" t="str">
        <f t="shared" si="19"/>
        <v/>
      </c>
      <c r="AH29" t="str">
        <f t="shared" si="21"/>
        <v/>
      </c>
      <c r="AJ29" t="str">
        <f t="shared" si="23"/>
        <v/>
      </c>
    </row>
    <row r="30">
      <c r="P30" t="str">
        <f t="shared" si="3"/>
        <v/>
      </c>
      <c r="R30" t="str">
        <f t="shared" si="5"/>
        <v/>
      </c>
      <c r="T30" t="str">
        <f t="shared" si="7"/>
        <v/>
      </c>
      <c r="V30" t="str">
        <f t="shared" si="9"/>
        <v/>
      </c>
      <c r="X30" t="str">
        <f t="shared" si="11"/>
        <v/>
      </c>
      <c r="Z30" t="str">
        <f t="shared" si="13"/>
        <v/>
      </c>
      <c r="AB30" t="str">
        <f t="shared" si="15"/>
        <v/>
      </c>
      <c r="AD30" t="str">
        <f t="shared" si="17"/>
        <v/>
      </c>
      <c r="AF30" t="str">
        <f t="shared" si="19"/>
        <v/>
      </c>
      <c r="AH30" t="str">
        <f t="shared" si="21"/>
        <v/>
      </c>
      <c r="AJ30" t="str">
        <f t="shared" si="23"/>
        <v/>
      </c>
    </row>
    <row r="31">
      <c r="P31" t="str">
        <f t="shared" si="3"/>
        <v/>
      </c>
      <c r="R31" t="str">
        <f t="shared" si="5"/>
        <v/>
      </c>
      <c r="T31" t="str">
        <f t="shared" si="7"/>
        <v/>
      </c>
      <c r="V31" t="str">
        <f t="shared" si="9"/>
        <v/>
      </c>
      <c r="X31" t="str">
        <f t="shared" si="11"/>
        <v/>
      </c>
      <c r="Z31" t="str">
        <f t="shared" si="13"/>
        <v/>
      </c>
      <c r="AB31" t="str">
        <f t="shared" si="15"/>
        <v/>
      </c>
      <c r="AD31" t="str">
        <f t="shared" si="17"/>
        <v/>
      </c>
      <c r="AF31" t="str">
        <f t="shared" si="19"/>
        <v/>
      </c>
      <c r="AH31" t="str">
        <f t="shared" si="21"/>
        <v/>
      </c>
      <c r="AJ31" t="str">
        <f t="shared" si="23"/>
        <v/>
      </c>
    </row>
    <row r="32">
      <c r="P32" t="str">
        <f t="shared" si="3"/>
        <v/>
      </c>
      <c r="R32" t="str">
        <f t="shared" si="5"/>
        <v/>
      </c>
      <c r="T32" t="str">
        <f t="shared" si="7"/>
        <v/>
      </c>
      <c r="V32" t="str">
        <f t="shared" si="9"/>
        <v/>
      </c>
      <c r="X32" t="str">
        <f t="shared" si="11"/>
        <v/>
      </c>
      <c r="Z32" t="str">
        <f t="shared" si="13"/>
        <v/>
      </c>
      <c r="AB32" t="str">
        <f t="shared" si="15"/>
        <v/>
      </c>
      <c r="AD32" t="str">
        <f t="shared" si="17"/>
        <v/>
      </c>
      <c r="AF32" t="str">
        <f t="shared" si="19"/>
        <v/>
      </c>
      <c r="AH32" t="str">
        <f t="shared" si="21"/>
        <v/>
      </c>
      <c r="AJ32" t="str">
        <f t="shared" si="23"/>
        <v/>
      </c>
    </row>
    <row r="33">
      <c r="P33" t="str">
        <f t="shared" si="3"/>
        <v/>
      </c>
      <c r="R33" t="str">
        <f t="shared" si="5"/>
        <v/>
      </c>
      <c r="T33" t="str">
        <f t="shared" si="7"/>
        <v/>
      </c>
      <c r="V33" t="str">
        <f t="shared" si="9"/>
        <v/>
      </c>
      <c r="X33" t="str">
        <f t="shared" si="11"/>
        <v/>
      </c>
      <c r="Z33" t="str">
        <f t="shared" si="13"/>
        <v/>
      </c>
      <c r="AB33" t="str">
        <f t="shared" si="15"/>
        <v/>
      </c>
      <c r="AD33" t="str">
        <f t="shared" si="17"/>
        <v/>
      </c>
      <c r="AF33" t="str">
        <f t="shared" si="19"/>
        <v/>
      </c>
      <c r="AH33" t="str">
        <f t="shared" si="21"/>
        <v/>
      </c>
      <c r="AJ33" t="str">
        <f t="shared" si="23"/>
        <v/>
      </c>
    </row>
    <row r="34">
      <c r="P34" t="str">
        <f t="shared" si="3"/>
        <v/>
      </c>
      <c r="R34" t="str">
        <f t="shared" si="5"/>
        <v/>
      </c>
      <c r="T34" t="str">
        <f t="shared" si="7"/>
        <v/>
      </c>
      <c r="V34" t="str">
        <f t="shared" si="9"/>
        <v/>
      </c>
      <c r="X34" t="str">
        <f t="shared" si="11"/>
        <v/>
      </c>
      <c r="Z34" t="str">
        <f t="shared" si="13"/>
        <v/>
      </c>
      <c r="AB34" t="str">
        <f t="shared" si="15"/>
        <v/>
      </c>
      <c r="AD34" t="str">
        <f t="shared" si="17"/>
        <v/>
      </c>
      <c r="AF34" t="str">
        <f t="shared" si="19"/>
        <v/>
      </c>
      <c r="AH34" t="str">
        <f t="shared" si="21"/>
        <v/>
      </c>
      <c r="AJ34" t="str">
        <f t="shared" si="23"/>
        <v/>
      </c>
    </row>
    <row r="35">
      <c r="P35" t="str">
        <f t="shared" si="3"/>
        <v/>
      </c>
      <c r="R35" t="str">
        <f t="shared" si="5"/>
        <v/>
      </c>
      <c r="T35" t="str">
        <f t="shared" si="7"/>
        <v/>
      </c>
      <c r="V35" t="str">
        <f t="shared" si="9"/>
        <v/>
      </c>
      <c r="X35" t="str">
        <f t="shared" si="11"/>
        <v/>
      </c>
      <c r="Z35" t="str">
        <f t="shared" si="13"/>
        <v/>
      </c>
      <c r="AB35" t="str">
        <f t="shared" si="15"/>
        <v/>
      </c>
      <c r="AD35" t="str">
        <f t="shared" si="17"/>
        <v/>
      </c>
      <c r="AF35" t="str">
        <f t="shared" si="19"/>
        <v/>
      </c>
      <c r="AH35" t="str">
        <f t="shared" si="21"/>
        <v/>
      </c>
      <c r="AJ35" t="str">
        <f t="shared" si="23"/>
        <v/>
      </c>
    </row>
    <row r="36">
      <c r="P36" t="str">
        <f t="shared" si="3"/>
        <v/>
      </c>
      <c r="R36" t="str">
        <f t="shared" si="5"/>
        <v/>
      </c>
      <c r="T36" t="str">
        <f t="shared" si="7"/>
        <v/>
      </c>
      <c r="V36" t="str">
        <f t="shared" si="9"/>
        <v/>
      </c>
      <c r="X36" t="str">
        <f t="shared" si="11"/>
        <v/>
      </c>
      <c r="Z36" t="str">
        <f t="shared" si="13"/>
        <v/>
      </c>
      <c r="AB36" t="str">
        <f t="shared" si="15"/>
        <v/>
      </c>
      <c r="AD36" t="str">
        <f t="shared" si="17"/>
        <v/>
      </c>
      <c r="AF36" t="str">
        <f t="shared" si="19"/>
        <v/>
      </c>
      <c r="AH36" t="str">
        <f t="shared" si="21"/>
        <v/>
      </c>
      <c r="AJ36" t="str">
        <f t="shared" si="23"/>
        <v/>
      </c>
    </row>
    <row r="37">
      <c r="P37" t="str">
        <f t="shared" si="3"/>
        <v/>
      </c>
      <c r="R37" t="str">
        <f t="shared" si="5"/>
        <v/>
      </c>
      <c r="T37" t="str">
        <f t="shared" si="7"/>
        <v/>
      </c>
      <c r="V37" t="str">
        <f t="shared" si="9"/>
        <v/>
      </c>
      <c r="X37" t="str">
        <f t="shared" si="11"/>
        <v/>
      </c>
      <c r="Z37" t="str">
        <f t="shared" si="13"/>
        <v/>
      </c>
      <c r="AB37" t="str">
        <f t="shared" si="15"/>
        <v/>
      </c>
      <c r="AD37" t="str">
        <f t="shared" si="17"/>
        <v/>
      </c>
      <c r="AF37" t="str">
        <f t="shared" si="19"/>
        <v/>
      </c>
      <c r="AH37" t="str">
        <f t="shared" si="21"/>
        <v/>
      </c>
      <c r="AJ37" t="str">
        <f t="shared" si="23"/>
        <v/>
      </c>
    </row>
    <row r="38">
      <c r="P38" t="str">
        <f t="shared" si="3"/>
        <v/>
      </c>
      <c r="R38" t="str">
        <f t="shared" si="5"/>
        <v/>
      </c>
      <c r="T38" t="str">
        <f t="shared" si="7"/>
        <v/>
      </c>
      <c r="V38" t="str">
        <f t="shared" si="9"/>
        <v/>
      </c>
      <c r="X38" t="str">
        <f t="shared" si="11"/>
        <v/>
      </c>
      <c r="Z38" t="str">
        <f t="shared" si="13"/>
        <v/>
      </c>
      <c r="AB38" t="str">
        <f t="shared" si="15"/>
        <v/>
      </c>
      <c r="AD38" t="str">
        <f t="shared" si="17"/>
        <v/>
      </c>
      <c r="AF38" t="str">
        <f t="shared" si="19"/>
        <v/>
      </c>
      <c r="AH38" t="str">
        <f t="shared" si="21"/>
        <v/>
      </c>
      <c r="AJ38" t="str">
        <f t="shared" si="23"/>
        <v/>
      </c>
    </row>
    <row r="39">
      <c r="P39" t="str">
        <f t="shared" si="3"/>
        <v/>
      </c>
      <c r="R39" t="str">
        <f t="shared" si="5"/>
        <v/>
      </c>
      <c r="T39" t="str">
        <f t="shared" si="7"/>
        <v/>
      </c>
      <c r="V39" t="str">
        <f t="shared" si="9"/>
        <v/>
      </c>
      <c r="X39" t="str">
        <f t="shared" si="11"/>
        <v/>
      </c>
      <c r="Z39" t="str">
        <f t="shared" si="13"/>
        <v/>
      </c>
      <c r="AB39" t="str">
        <f t="shared" si="15"/>
        <v/>
      </c>
      <c r="AD39" t="str">
        <f t="shared" si="17"/>
        <v/>
      </c>
      <c r="AF39" t="str">
        <f t="shared" si="19"/>
        <v/>
      </c>
      <c r="AH39" t="str">
        <f t="shared" si="21"/>
        <v/>
      </c>
      <c r="AJ39" t="str">
        <f t="shared" si="23"/>
        <v/>
      </c>
    </row>
    <row r="40">
      <c r="P40" t="str">
        <f t="shared" si="3"/>
        <v/>
      </c>
      <c r="R40" t="str">
        <f t="shared" si="5"/>
        <v/>
      </c>
      <c r="T40" t="str">
        <f t="shared" si="7"/>
        <v/>
      </c>
      <c r="V40" t="str">
        <f t="shared" si="9"/>
        <v/>
      </c>
      <c r="X40" t="str">
        <f t="shared" si="11"/>
        <v/>
      </c>
      <c r="Z40" t="str">
        <f t="shared" si="13"/>
        <v/>
      </c>
      <c r="AB40" t="str">
        <f t="shared" si="15"/>
        <v/>
      </c>
      <c r="AD40" t="str">
        <f t="shared" si="17"/>
        <v/>
      </c>
      <c r="AF40" t="str">
        <f t="shared" si="19"/>
        <v/>
      </c>
      <c r="AH40" t="str">
        <f t="shared" si="21"/>
        <v/>
      </c>
      <c r="AJ40" t="str">
        <f t="shared" si="23"/>
        <v/>
      </c>
    </row>
    <row r="41">
      <c r="P41" t="str">
        <f t="shared" si="3"/>
        <v/>
      </c>
      <c r="R41" t="str">
        <f t="shared" si="5"/>
        <v/>
      </c>
      <c r="T41" t="str">
        <f t="shared" si="7"/>
        <v/>
      </c>
      <c r="V41" t="str">
        <f t="shared" si="9"/>
        <v/>
      </c>
      <c r="X41" t="str">
        <f t="shared" si="11"/>
        <v/>
      </c>
      <c r="Z41" t="str">
        <f t="shared" si="13"/>
        <v/>
      </c>
      <c r="AB41" t="str">
        <f t="shared" si="15"/>
        <v/>
      </c>
      <c r="AD41" t="str">
        <f t="shared" si="17"/>
        <v/>
      </c>
      <c r="AF41" t="str">
        <f t="shared" si="19"/>
        <v/>
      </c>
      <c r="AH41" t="str">
        <f t="shared" si="21"/>
        <v/>
      </c>
      <c r="AJ41" t="str">
        <f t="shared" si="23"/>
        <v/>
      </c>
    </row>
    <row r="42">
      <c r="P42" t="str">
        <f t="shared" si="3"/>
        <v/>
      </c>
      <c r="R42" t="str">
        <f t="shared" si="5"/>
        <v/>
      </c>
      <c r="T42" t="str">
        <f t="shared" si="7"/>
        <v/>
      </c>
      <c r="V42" t="str">
        <f t="shared" si="9"/>
        <v/>
      </c>
      <c r="X42" t="str">
        <f t="shared" si="11"/>
        <v/>
      </c>
      <c r="Z42" t="str">
        <f t="shared" si="13"/>
        <v/>
      </c>
      <c r="AB42" t="str">
        <f t="shared" si="15"/>
        <v/>
      </c>
      <c r="AD42" t="str">
        <f t="shared" si="17"/>
        <v/>
      </c>
      <c r="AF42" t="str">
        <f t="shared" si="19"/>
        <v/>
      </c>
      <c r="AH42" t="str">
        <f t="shared" si="21"/>
        <v/>
      </c>
      <c r="AJ42" t="str">
        <f t="shared" si="23"/>
        <v/>
      </c>
    </row>
    <row r="43">
      <c r="P43" t="str">
        <f t="shared" si="3"/>
        <v/>
      </c>
      <c r="R43" t="str">
        <f t="shared" si="5"/>
        <v/>
      </c>
      <c r="T43" t="str">
        <f t="shared" si="7"/>
        <v/>
      </c>
      <c r="V43" t="str">
        <f t="shared" si="9"/>
        <v/>
      </c>
      <c r="X43" t="str">
        <f t="shared" si="11"/>
        <v/>
      </c>
      <c r="Z43" t="str">
        <f t="shared" si="13"/>
        <v/>
      </c>
      <c r="AB43" t="str">
        <f t="shared" si="15"/>
        <v/>
      </c>
      <c r="AD43" t="str">
        <f t="shared" si="17"/>
        <v/>
      </c>
      <c r="AF43" t="str">
        <f t="shared" si="19"/>
        <v/>
      </c>
      <c r="AH43" t="str">
        <f t="shared" si="21"/>
        <v/>
      </c>
      <c r="AJ43" t="str">
        <f t="shared" si="23"/>
        <v/>
      </c>
    </row>
    <row r="44">
      <c r="P44" t="str">
        <f t="shared" si="3"/>
        <v/>
      </c>
      <c r="R44" t="str">
        <f t="shared" si="5"/>
        <v/>
      </c>
      <c r="T44" t="str">
        <f t="shared" si="7"/>
        <v/>
      </c>
      <c r="V44" t="str">
        <f t="shared" si="9"/>
        <v/>
      </c>
      <c r="X44" t="str">
        <f t="shared" si="11"/>
        <v/>
      </c>
      <c r="Z44" t="str">
        <f t="shared" si="13"/>
        <v/>
      </c>
      <c r="AB44" t="str">
        <f t="shared" si="15"/>
        <v/>
      </c>
      <c r="AD44" t="str">
        <f t="shared" si="17"/>
        <v/>
      </c>
      <c r="AF44" t="str">
        <f t="shared" si="19"/>
        <v/>
      </c>
      <c r="AH44" t="str">
        <f t="shared" si="21"/>
        <v/>
      </c>
      <c r="AJ44" t="str">
        <f t="shared" si="23"/>
        <v/>
      </c>
    </row>
    <row r="45">
      <c r="P45" t="str">
        <f t="shared" si="3"/>
        <v/>
      </c>
      <c r="R45" t="str">
        <f t="shared" si="5"/>
        <v/>
      </c>
      <c r="T45" t="str">
        <f t="shared" si="7"/>
        <v/>
      </c>
      <c r="V45" t="str">
        <f t="shared" si="9"/>
        <v/>
      </c>
      <c r="X45" t="str">
        <f t="shared" si="11"/>
        <v/>
      </c>
      <c r="Z45" t="str">
        <f t="shared" si="13"/>
        <v/>
      </c>
      <c r="AB45" t="str">
        <f t="shared" si="15"/>
        <v/>
      </c>
      <c r="AD45" t="str">
        <f t="shared" si="17"/>
        <v/>
      </c>
      <c r="AF45" t="str">
        <f t="shared" si="19"/>
        <v/>
      </c>
      <c r="AH45" t="str">
        <f t="shared" si="21"/>
        <v/>
      </c>
      <c r="AJ45" t="str">
        <f t="shared" si="23"/>
        <v/>
      </c>
    </row>
    <row r="46">
      <c r="P46" t="str">
        <f t="shared" si="3"/>
        <v/>
      </c>
      <c r="R46" t="str">
        <f t="shared" si="5"/>
        <v/>
      </c>
      <c r="T46" t="str">
        <f t="shared" si="7"/>
        <v/>
      </c>
      <c r="V46" t="str">
        <f t="shared" si="9"/>
        <v/>
      </c>
      <c r="X46" t="str">
        <f t="shared" si="11"/>
        <v/>
      </c>
      <c r="Z46" t="str">
        <f t="shared" si="13"/>
        <v/>
      </c>
      <c r="AB46" t="str">
        <f t="shared" si="15"/>
        <v/>
      </c>
      <c r="AD46" t="str">
        <f t="shared" si="17"/>
        <v/>
      </c>
      <c r="AF46" t="str">
        <f t="shared" si="19"/>
        <v/>
      </c>
      <c r="AH46" t="str">
        <f t="shared" si="21"/>
        <v/>
      </c>
      <c r="AJ46" t="str">
        <f t="shared" si="23"/>
        <v/>
      </c>
    </row>
    <row r="47">
      <c r="P47" t="str">
        <f t="shared" si="3"/>
        <v/>
      </c>
      <c r="R47" t="str">
        <f t="shared" si="5"/>
        <v/>
      </c>
      <c r="T47" t="str">
        <f t="shared" si="7"/>
        <v/>
      </c>
      <c r="V47" t="str">
        <f t="shared" si="9"/>
        <v/>
      </c>
      <c r="X47" t="str">
        <f t="shared" si="11"/>
        <v/>
      </c>
      <c r="Z47" t="str">
        <f t="shared" si="13"/>
        <v/>
      </c>
      <c r="AB47" t="str">
        <f t="shared" si="15"/>
        <v/>
      </c>
      <c r="AD47" t="str">
        <f t="shared" si="17"/>
        <v/>
      </c>
      <c r="AF47" t="str">
        <f t="shared" si="19"/>
        <v/>
      </c>
      <c r="AH47" t="str">
        <f t="shared" si="21"/>
        <v/>
      </c>
      <c r="AJ47" t="str">
        <f t="shared" si="23"/>
        <v/>
      </c>
    </row>
    <row r="48">
      <c r="P48" t="str">
        <f t="shared" si="3"/>
        <v/>
      </c>
      <c r="R48" t="str">
        <f t="shared" si="5"/>
        <v/>
      </c>
      <c r="T48" t="str">
        <f t="shared" si="7"/>
        <v/>
      </c>
      <c r="V48" t="str">
        <f t="shared" si="9"/>
        <v/>
      </c>
      <c r="X48" t="str">
        <f t="shared" si="11"/>
        <v/>
      </c>
      <c r="Z48" t="str">
        <f t="shared" si="13"/>
        <v/>
      </c>
      <c r="AB48" t="str">
        <f t="shared" si="15"/>
        <v/>
      </c>
      <c r="AD48" t="str">
        <f t="shared" si="17"/>
        <v/>
      </c>
      <c r="AF48" t="str">
        <f t="shared" si="19"/>
        <v/>
      </c>
      <c r="AH48" t="str">
        <f t="shared" si="21"/>
        <v/>
      </c>
      <c r="AJ48" t="str">
        <f t="shared" si="23"/>
        <v/>
      </c>
    </row>
    <row r="49">
      <c r="P49" t="str">
        <f t="shared" si="3"/>
        <v/>
      </c>
      <c r="R49" t="str">
        <f t="shared" si="5"/>
        <v/>
      </c>
      <c r="T49" t="str">
        <f t="shared" si="7"/>
        <v/>
      </c>
      <c r="V49" t="str">
        <f t="shared" si="9"/>
        <v/>
      </c>
      <c r="X49" t="str">
        <f t="shared" si="11"/>
        <v/>
      </c>
      <c r="Z49" t="str">
        <f t="shared" si="13"/>
        <v/>
      </c>
      <c r="AB49" t="str">
        <f t="shared" si="15"/>
        <v/>
      </c>
      <c r="AD49" t="str">
        <f t="shared" si="17"/>
        <v/>
      </c>
      <c r="AF49" t="str">
        <f t="shared" si="19"/>
        <v/>
      </c>
      <c r="AH49" t="str">
        <f t="shared" si="21"/>
        <v/>
      </c>
      <c r="AJ49" t="str">
        <f t="shared" si="23"/>
        <v/>
      </c>
    </row>
    <row r="50">
      <c r="P50" t="str">
        <f t="shared" si="3"/>
        <v/>
      </c>
      <c r="R50" t="str">
        <f t="shared" si="5"/>
        <v/>
      </c>
      <c r="T50" t="str">
        <f t="shared" si="7"/>
        <v/>
      </c>
      <c r="V50" t="str">
        <f t="shared" si="9"/>
        <v/>
      </c>
      <c r="X50" t="str">
        <f t="shared" si="11"/>
        <v/>
      </c>
      <c r="Z50" t="str">
        <f t="shared" si="13"/>
        <v/>
      </c>
      <c r="AB50" t="str">
        <f t="shared" si="15"/>
        <v/>
      </c>
      <c r="AD50" t="str">
        <f t="shared" si="17"/>
        <v/>
      </c>
      <c r="AF50" t="str">
        <f t="shared" si="19"/>
        <v/>
      </c>
      <c r="AH50" t="str">
        <f t="shared" si="21"/>
        <v/>
      </c>
      <c r="AJ50" t="str">
        <f t="shared" si="23"/>
        <v/>
      </c>
    </row>
    <row r="51">
      <c r="P51" t="str">
        <f t="shared" si="3"/>
        <v/>
      </c>
      <c r="R51" t="str">
        <f t="shared" si="5"/>
        <v/>
      </c>
      <c r="T51" t="str">
        <f t="shared" si="7"/>
        <v/>
      </c>
      <c r="V51" t="str">
        <f t="shared" si="9"/>
        <v/>
      </c>
      <c r="X51" t="str">
        <f t="shared" si="11"/>
        <v/>
      </c>
      <c r="Z51" t="str">
        <f t="shared" si="13"/>
        <v/>
      </c>
      <c r="AB51" t="str">
        <f t="shared" si="15"/>
        <v/>
      </c>
      <c r="AD51" t="str">
        <f t="shared" si="17"/>
        <v/>
      </c>
      <c r="AF51" t="str">
        <f t="shared" si="19"/>
        <v/>
      </c>
      <c r="AH51" t="str">
        <f t="shared" si="21"/>
        <v/>
      </c>
      <c r="AJ51" t="str">
        <f t="shared" si="23"/>
        <v/>
      </c>
    </row>
    <row r="52">
      <c r="P52" t="str">
        <f t="shared" si="3"/>
        <v/>
      </c>
      <c r="R52" t="str">
        <f t="shared" si="5"/>
        <v/>
      </c>
      <c r="T52" t="str">
        <f t="shared" si="7"/>
        <v/>
      </c>
      <c r="V52" t="str">
        <f t="shared" si="9"/>
        <v/>
      </c>
      <c r="X52" t="str">
        <f t="shared" si="11"/>
        <v/>
      </c>
      <c r="Z52" t="str">
        <f t="shared" si="13"/>
        <v/>
      </c>
      <c r="AB52" t="str">
        <f t="shared" si="15"/>
        <v/>
      </c>
      <c r="AD52" t="str">
        <f t="shared" si="17"/>
        <v/>
      </c>
      <c r="AF52" t="str">
        <f t="shared" si="19"/>
        <v/>
      </c>
      <c r="AH52" t="str">
        <f t="shared" si="21"/>
        <v/>
      </c>
      <c r="AJ52" t="str">
        <f t="shared" si="23"/>
        <v/>
      </c>
    </row>
    <row r="53">
      <c r="P53" t="str">
        <f t="shared" si="3"/>
        <v/>
      </c>
      <c r="R53" t="str">
        <f t="shared" si="5"/>
        <v/>
      </c>
      <c r="T53" t="str">
        <f t="shared" si="7"/>
        <v/>
      </c>
      <c r="V53" t="str">
        <f t="shared" si="9"/>
        <v/>
      </c>
      <c r="X53" t="str">
        <f t="shared" si="11"/>
        <v/>
      </c>
      <c r="Z53" t="str">
        <f t="shared" si="13"/>
        <v/>
      </c>
      <c r="AB53" t="str">
        <f t="shared" si="15"/>
        <v/>
      </c>
      <c r="AD53" t="str">
        <f t="shared" si="17"/>
        <v/>
      </c>
      <c r="AF53" t="str">
        <f t="shared" si="19"/>
        <v/>
      </c>
      <c r="AH53" t="str">
        <f t="shared" si="21"/>
        <v/>
      </c>
      <c r="AJ53" t="str">
        <f t="shared" si="23"/>
        <v/>
      </c>
    </row>
    <row r="54">
      <c r="P54" t="str">
        <f t="shared" si="3"/>
        <v/>
      </c>
      <c r="R54" t="str">
        <f t="shared" si="5"/>
        <v/>
      </c>
      <c r="T54" t="str">
        <f t="shared" si="7"/>
        <v/>
      </c>
      <c r="V54" t="str">
        <f t="shared" si="9"/>
        <v/>
      </c>
      <c r="X54" t="str">
        <f t="shared" si="11"/>
        <v/>
      </c>
      <c r="Z54" t="str">
        <f t="shared" si="13"/>
        <v/>
      </c>
      <c r="AB54" t="str">
        <f t="shared" si="15"/>
        <v/>
      </c>
      <c r="AD54" t="str">
        <f t="shared" si="17"/>
        <v/>
      </c>
      <c r="AF54" t="str">
        <f t="shared" si="19"/>
        <v/>
      </c>
      <c r="AH54" t="str">
        <f t="shared" si="21"/>
        <v/>
      </c>
      <c r="AJ54" t="str">
        <f t="shared" si="23"/>
        <v/>
      </c>
    </row>
    <row r="55">
      <c r="P55" t="str">
        <f t="shared" si="3"/>
        <v/>
      </c>
      <c r="R55" t="str">
        <f t="shared" si="5"/>
        <v/>
      </c>
      <c r="T55" t="str">
        <f t="shared" si="7"/>
        <v/>
      </c>
      <c r="V55" t="str">
        <f t="shared" si="9"/>
        <v/>
      </c>
      <c r="X55" t="str">
        <f t="shared" si="11"/>
        <v/>
      </c>
      <c r="Z55" t="str">
        <f t="shared" si="13"/>
        <v/>
      </c>
      <c r="AB55" t="str">
        <f t="shared" si="15"/>
        <v/>
      </c>
      <c r="AD55" t="str">
        <f t="shared" si="17"/>
        <v/>
      </c>
      <c r="AF55" t="str">
        <f t="shared" si="19"/>
        <v/>
      </c>
      <c r="AH55" t="str">
        <f t="shared" si="21"/>
        <v/>
      </c>
      <c r="AJ55" t="str">
        <f t="shared" si="23"/>
        <v/>
      </c>
    </row>
    <row r="56">
      <c r="P56" t="str">
        <f t="shared" si="3"/>
        <v/>
      </c>
      <c r="R56" t="str">
        <f t="shared" si="5"/>
        <v/>
      </c>
      <c r="T56" t="str">
        <f t="shared" si="7"/>
        <v/>
      </c>
      <c r="V56" t="str">
        <f t="shared" si="9"/>
        <v/>
      </c>
      <c r="X56" t="str">
        <f t="shared" si="11"/>
        <v/>
      </c>
      <c r="Z56" t="str">
        <f t="shared" si="13"/>
        <v/>
      </c>
      <c r="AB56" t="str">
        <f t="shared" si="15"/>
        <v/>
      </c>
      <c r="AD56" t="str">
        <f t="shared" si="17"/>
        <v/>
      </c>
      <c r="AF56" t="str">
        <f t="shared" si="19"/>
        <v/>
      </c>
      <c r="AH56" t="str">
        <f t="shared" si="21"/>
        <v/>
      </c>
      <c r="AJ56" t="str">
        <f t="shared" si="23"/>
        <v/>
      </c>
    </row>
    <row r="57">
      <c r="P57" t="str">
        <f t="shared" si="3"/>
        <v/>
      </c>
      <c r="R57" t="str">
        <f t="shared" si="5"/>
        <v/>
      </c>
      <c r="T57" t="str">
        <f t="shared" si="7"/>
        <v/>
      </c>
      <c r="V57" t="str">
        <f t="shared" si="9"/>
        <v/>
      </c>
      <c r="X57" t="str">
        <f t="shared" si="11"/>
        <v/>
      </c>
      <c r="Z57" t="str">
        <f t="shared" si="13"/>
        <v/>
      </c>
      <c r="AB57" t="str">
        <f t="shared" si="15"/>
        <v/>
      </c>
      <c r="AD57" t="str">
        <f t="shared" si="17"/>
        <v/>
      </c>
      <c r="AF57" t="str">
        <f t="shared" si="19"/>
        <v/>
      </c>
      <c r="AH57" t="str">
        <f t="shared" si="21"/>
        <v/>
      </c>
      <c r="AJ57" t="str">
        <f t="shared" si="23"/>
        <v/>
      </c>
    </row>
    <row r="58">
      <c r="P58" t="str">
        <f t="shared" si="3"/>
        <v/>
      </c>
      <c r="R58" t="str">
        <f t="shared" si="5"/>
        <v/>
      </c>
      <c r="T58" t="str">
        <f t="shared" si="7"/>
        <v/>
      </c>
      <c r="V58" t="str">
        <f t="shared" si="9"/>
        <v/>
      </c>
      <c r="X58" t="str">
        <f t="shared" si="11"/>
        <v/>
      </c>
      <c r="Z58" t="str">
        <f t="shared" si="13"/>
        <v/>
      </c>
      <c r="AB58" t="str">
        <f t="shared" si="15"/>
        <v/>
      </c>
      <c r="AD58" t="str">
        <f t="shared" si="17"/>
        <v/>
      </c>
      <c r="AF58" t="str">
        <f t="shared" si="19"/>
        <v/>
      </c>
      <c r="AH58" t="str">
        <f t="shared" si="21"/>
        <v/>
      </c>
      <c r="AJ58" t="str">
        <f t="shared" si="23"/>
        <v/>
      </c>
    </row>
    <row r="59">
      <c r="P59" t="str">
        <f t="shared" si="3"/>
        <v/>
      </c>
      <c r="R59" t="str">
        <f t="shared" si="5"/>
        <v/>
      </c>
      <c r="T59" t="str">
        <f t="shared" si="7"/>
        <v/>
      </c>
      <c r="V59" t="str">
        <f t="shared" si="9"/>
        <v/>
      </c>
      <c r="X59" t="str">
        <f t="shared" si="11"/>
        <v/>
      </c>
      <c r="Z59" t="str">
        <f t="shared" si="13"/>
        <v/>
      </c>
      <c r="AB59" t="str">
        <f t="shared" si="15"/>
        <v/>
      </c>
      <c r="AD59" t="str">
        <f t="shared" si="17"/>
        <v/>
      </c>
      <c r="AF59" t="str">
        <f t="shared" si="19"/>
        <v/>
      </c>
      <c r="AH59" t="str">
        <f t="shared" si="21"/>
        <v/>
      </c>
      <c r="AJ59" t="str">
        <f t="shared" si="23"/>
        <v/>
      </c>
    </row>
    <row r="60">
      <c r="P60" t="str">
        <f t="shared" si="3"/>
        <v/>
      </c>
      <c r="R60" t="str">
        <f t="shared" si="5"/>
        <v/>
      </c>
      <c r="T60" t="str">
        <f t="shared" si="7"/>
        <v/>
      </c>
      <c r="V60" t="str">
        <f t="shared" si="9"/>
        <v/>
      </c>
      <c r="X60" t="str">
        <f t="shared" si="11"/>
        <v/>
      </c>
      <c r="Z60" t="str">
        <f t="shared" si="13"/>
        <v/>
      </c>
      <c r="AB60" t="str">
        <f t="shared" si="15"/>
        <v/>
      </c>
      <c r="AD60" t="str">
        <f t="shared" si="17"/>
        <v/>
      </c>
      <c r="AF60" t="str">
        <f t="shared" si="19"/>
        <v/>
      </c>
      <c r="AH60" t="str">
        <f t="shared" si="21"/>
        <v/>
      </c>
      <c r="AJ60" t="str">
        <f t="shared" si="23"/>
        <v/>
      </c>
    </row>
    <row r="61">
      <c r="P61" t="str">
        <f t="shared" si="3"/>
        <v/>
      </c>
      <c r="R61" t="str">
        <f t="shared" si="5"/>
        <v/>
      </c>
      <c r="T61" t="str">
        <f t="shared" si="7"/>
        <v/>
      </c>
      <c r="V61" t="str">
        <f t="shared" si="9"/>
        <v/>
      </c>
      <c r="X61" t="str">
        <f t="shared" si="11"/>
        <v/>
      </c>
      <c r="Z61" t="str">
        <f t="shared" si="13"/>
        <v/>
      </c>
      <c r="AB61" t="str">
        <f t="shared" si="15"/>
        <v/>
      </c>
      <c r="AD61" t="str">
        <f t="shared" si="17"/>
        <v/>
      </c>
      <c r="AF61" t="str">
        <f t="shared" si="19"/>
        <v/>
      </c>
      <c r="AH61" t="str">
        <f t="shared" si="21"/>
        <v/>
      </c>
      <c r="AJ61" t="str">
        <f t="shared" si="23"/>
        <v/>
      </c>
    </row>
    <row r="62">
      <c r="P62" t="str">
        <f t="shared" si="3"/>
        <v/>
      </c>
      <c r="R62" t="str">
        <f t="shared" si="5"/>
        <v/>
      </c>
      <c r="T62" t="str">
        <f t="shared" si="7"/>
        <v/>
      </c>
      <c r="V62" t="str">
        <f t="shared" si="9"/>
        <v/>
      </c>
      <c r="X62" t="str">
        <f t="shared" si="11"/>
        <v/>
      </c>
      <c r="Z62" t="str">
        <f t="shared" si="13"/>
        <v/>
      </c>
      <c r="AB62" t="str">
        <f t="shared" si="15"/>
        <v/>
      </c>
      <c r="AD62" t="str">
        <f t="shared" si="17"/>
        <v/>
      </c>
      <c r="AF62" t="str">
        <f t="shared" si="19"/>
        <v/>
      </c>
      <c r="AH62" t="str">
        <f t="shared" si="21"/>
        <v/>
      </c>
      <c r="AJ62" t="str">
        <f t="shared" si="23"/>
        <v/>
      </c>
    </row>
    <row r="63">
      <c r="P63" t="str">
        <f t="shared" si="3"/>
        <v/>
      </c>
      <c r="R63" t="str">
        <f t="shared" si="5"/>
        <v/>
      </c>
      <c r="T63" t="str">
        <f t="shared" si="7"/>
        <v/>
      </c>
      <c r="V63" t="str">
        <f t="shared" si="9"/>
        <v/>
      </c>
      <c r="X63" t="str">
        <f t="shared" si="11"/>
        <v/>
      </c>
      <c r="Z63" t="str">
        <f t="shared" si="13"/>
        <v/>
      </c>
      <c r="AB63" t="str">
        <f t="shared" si="15"/>
        <v/>
      </c>
      <c r="AD63" t="str">
        <f t="shared" si="17"/>
        <v/>
      </c>
      <c r="AF63" t="str">
        <f t="shared" si="19"/>
        <v/>
      </c>
      <c r="AH63" t="str">
        <f t="shared" si="21"/>
        <v/>
      </c>
      <c r="AJ63" t="str">
        <f t="shared" si="23"/>
        <v/>
      </c>
    </row>
    <row r="64">
      <c r="P64" t="str">
        <f t="shared" si="3"/>
        <v/>
      </c>
      <c r="R64" t="str">
        <f t="shared" si="5"/>
        <v/>
      </c>
      <c r="T64" t="str">
        <f t="shared" si="7"/>
        <v/>
      </c>
      <c r="V64" t="str">
        <f t="shared" si="9"/>
        <v/>
      </c>
      <c r="X64" t="str">
        <f t="shared" si="11"/>
        <v/>
      </c>
      <c r="Z64" t="str">
        <f t="shared" si="13"/>
        <v/>
      </c>
      <c r="AB64" t="str">
        <f t="shared" si="15"/>
        <v/>
      </c>
      <c r="AD64" t="str">
        <f t="shared" si="17"/>
        <v/>
      </c>
      <c r="AF64" t="str">
        <f t="shared" si="19"/>
        <v/>
      </c>
      <c r="AH64" t="str">
        <f t="shared" si="21"/>
        <v/>
      </c>
      <c r="AJ64" t="str">
        <f t="shared" si="23"/>
        <v/>
      </c>
    </row>
    <row r="65">
      <c r="P65" t="str">
        <f t="shared" si="3"/>
        <v/>
      </c>
      <c r="R65" t="str">
        <f t="shared" si="5"/>
        <v/>
      </c>
      <c r="T65" t="str">
        <f t="shared" si="7"/>
        <v/>
      </c>
      <c r="V65" t="str">
        <f t="shared" si="9"/>
        <v/>
      </c>
      <c r="X65" t="str">
        <f t="shared" si="11"/>
        <v/>
      </c>
      <c r="Z65" t="str">
        <f t="shared" si="13"/>
        <v/>
      </c>
      <c r="AB65" t="str">
        <f t="shared" si="15"/>
        <v/>
      </c>
      <c r="AD65" t="str">
        <f t="shared" si="17"/>
        <v/>
      </c>
      <c r="AF65" t="str">
        <f t="shared" si="19"/>
        <v/>
      </c>
      <c r="AH65" t="str">
        <f t="shared" si="21"/>
        <v/>
      </c>
      <c r="AJ65" t="str">
        <f t="shared" si="23"/>
        <v/>
      </c>
    </row>
    <row r="66">
      <c r="P66" t="str">
        <f t="shared" si="3"/>
        <v/>
      </c>
      <c r="R66" t="str">
        <f t="shared" si="5"/>
        <v/>
      </c>
      <c r="T66" t="str">
        <f t="shared" si="7"/>
        <v/>
      </c>
      <c r="V66" t="str">
        <f t="shared" si="9"/>
        <v/>
      </c>
      <c r="X66" t="str">
        <f t="shared" si="11"/>
        <v/>
      </c>
      <c r="Z66" t="str">
        <f t="shared" si="13"/>
        <v/>
      </c>
      <c r="AB66" t="str">
        <f t="shared" si="15"/>
        <v/>
      </c>
      <c r="AD66" t="str">
        <f t="shared" si="17"/>
        <v/>
      </c>
      <c r="AF66" t="str">
        <f t="shared" si="19"/>
        <v/>
      </c>
      <c r="AH66" t="str">
        <f t="shared" si="21"/>
        <v/>
      </c>
      <c r="AJ66" t="str">
        <f t="shared" si="23"/>
        <v/>
      </c>
    </row>
    <row r="67">
      <c r="P67" t="str">
        <f t="shared" si="3"/>
        <v/>
      </c>
      <c r="R67" t="str">
        <f t="shared" si="5"/>
        <v/>
      </c>
      <c r="T67" t="str">
        <f t="shared" si="7"/>
        <v/>
      </c>
      <c r="V67" t="str">
        <f t="shared" si="9"/>
        <v/>
      </c>
      <c r="X67" t="str">
        <f t="shared" si="11"/>
        <v/>
      </c>
      <c r="Z67" t="str">
        <f t="shared" si="13"/>
        <v/>
      </c>
      <c r="AB67" t="str">
        <f t="shared" si="15"/>
        <v/>
      </c>
      <c r="AD67" t="str">
        <f t="shared" si="17"/>
        <v/>
      </c>
      <c r="AF67" t="str">
        <f t="shared" si="19"/>
        <v/>
      </c>
      <c r="AH67" t="str">
        <f t="shared" si="21"/>
        <v/>
      </c>
      <c r="AJ67" t="str">
        <f t="shared" si="23"/>
        <v/>
      </c>
    </row>
    <row r="68">
      <c r="P68" t="str">
        <f t="shared" si="3"/>
        <v/>
      </c>
      <c r="R68" t="str">
        <f t="shared" si="5"/>
        <v/>
      </c>
      <c r="T68" t="str">
        <f t="shared" si="7"/>
        <v/>
      </c>
      <c r="V68" t="str">
        <f t="shared" si="9"/>
        <v/>
      </c>
      <c r="X68" t="str">
        <f t="shared" si="11"/>
        <v/>
      </c>
      <c r="Z68" t="str">
        <f t="shared" si="13"/>
        <v/>
      </c>
      <c r="AB68" t="str">
        <f t="shared" si="15"/>
        <v/>
      </c>
      <c r="AD68" t="str">
        <f t="shared" si="17"/>
        <v/>
      </c>
      <c r="AF68" t="str">
        <f t="shared" si="19"/>
        <v/>
      </c>
      <c r="AH68" t="str">
        <f t="shared" si="21"/>
        <v/>
      </c>
      <c r="AJ68" t="str">
        <f t="shared" si="23"/>
        <v/>
      </c>
    </row>
    <row r="69">
      <c r="P69" t="str">
        <f t="shared" si="3"/>
        <v/>
      </c>
      <c r="R69" t="str">
        <f t="shared" si="5"/>
        <v/>
      </c>
      <c r="T69" t="str">
        <f t="shared" si="7"/>
        <v/>
      </c>
      <c r="V69" t="str">
        <f t="shared" si="9"/>
        <v/>
      </c>
      <c r="X69" t="str">
        <f t="shared" si="11"/>
        <v/>
      </c>
      <c r="Z69" t="str">
        <f t="shared" si="13"/>
        <v/>
      </c>
      <c r="AB69" t="str">
        <f t="shared" si="15"/>
        <v/>
      </c>
      <c r="AD69" t="str">
        <f t="shared" si="17"/>
        <v/>
      </c>
      <c r="AF69" t="str">
        <f t="shared" si="19"/>
        <v/>
      </c>
      <c r="AH69" t="str">
        <f t="shared" si="21"/>
        <v/>
      </c>
      <c r="AJ69" t="str">
        <f t="shared" si="23"/>
        <v/>
      </c>
    </row>
    <row r="70">
      <c r="P70" t="str">
        <f t="shared" si="3"/>
        <v/>
      </c>
      <c r="R70" t="str">
        <f t="shared" si="5"/>
        <v/>
      </c>
      <c r="T70" t="str">
        <f t="shared" si="7"/>
        <v/>
      </c>
      <c r="V70" t="str">
        <f t="shared" si="9"/>
        <v/>
      </c>
      <c r="X70" t="str">
        <f t="shared" si="11"/>
        <v/>
      </c>
      <c r="Z70" t="str">
        <f t="shared" si="13"/>
        <v/>
      </c>
      <c r="AB70" t="str">
        <f t="shared" si="15"/>
        <v/>
      </c>
      <c r="AD70" t="str">
        <f t="shared" si="17"/>
        <v/>
      </c>
      <c r="AF70" t="str">
        <f t="shared" si="19"/>
        <v/>
      </c>
      <c r="AH70" t="str">
        <f t="shared" si="21"/>
        <v/>
      </c>
      <c r="AJ70" t="str">
        <f t="shared" si="23"/>
        <v/>
      </c>
    </row>
    <row r="71">
      <c r="P71" t="str">
        <f t="shared" si="3"/>
        <v/>
      </c>
      <c r="R71" t="str">
        <f t="shared" si="5"/>
        <v/>
      </c>
      <c r="T71" t="str">
        <f t="shared" si="7"/>
        <v/>
      </c>
      <c r="V71" t="str">
        <f t="shared" si="9"/>
        <v/>
      </c>
      <c r="X71" t="str">
        <f t="shared" si="11"/>
        <v/>
      </c>
      <c r="Z71" t="str">
        <f t="shared" si="13"/>
        <v/>
      </c>
      <c r="AB71" t="str">
        <f t="shared" si="15"/>
        <v/>
      </c>
      <c r="AD71" t="str">
        <f t="shared" si="17"/>
        <v/>
      </c>
      <c r="AF71" t="str">
        <f t="shared" si="19"/>
        <v/>
      </c>
      <c r="AH71" t="str">
        <f t="shared" si="21"/>
        <v/>
      </c>
      <c r="AJ71" t="str">
        <f t="shared" si="23"/>
        <v/>
      </c>
    </row>
    <row r="72">
      <c r="P72" t="str">
        <f t="shared" si="3"/>
        <v/>
      </c>
      <c r="R72" t="str">
        <f t="shared" si="5"/>
        <v/>
      </c>
      <c r="T72" t="str">
        <f t="shared" si="7"/>
        <v/>
      </c>
      <c r="V72" t="str">
        <f t="shared" si="9"/>
        <v/>
      </c>
      <c r="X72" t="str">
        <f t="shared" si="11"/>
        <v/>
      </c>
      <c r="Z72" t="str">
        <f t="shared" si="13"/>
        <v/>
      </c>
      <c r="AB72" t="str">
        <f t="shared" si="15"/>
        <v/>
      </c>
      <c r="AD72" t="str">
        <f t="shared" si="17"/>
        <v/>
      </c>
      <c r="AF72" t="str">
        <f t="shared" si="19"/>
        <v/>
      </c>
      <c r="AH72" t="str">
        <f t="shared" si="21"/>
        <v/>
      </c>
      <c r="AJ72" t="str">
        <f t="shared" si="23"/>
        <v/>
      </c>
    </row>
    <row r="73">
      <c r="P73" t="str">
        <f t="shared" si="3"/>
        <v/>
      </c>
      <c r="R73" t="str">
        <f t="shared" si="5"/>
        <v/>
      </c>
      <c r="T73" t="str">
        <f t="shared" si="7"/>
        <v/>
      </c>
      <c r="V73" t="str">
        <f t="shared" si="9"/>
        <v/>
      </c>
      <c r="X73" t="str">
        <f t="shared" si="11"/>
        <v/>
      </c>
      <c r="Z73" t="str">
        <f t="shared" si="13"/>
        <v/>
      </c>
      <c r="AB73" t="str">
        <f t="shared" si="15"/>
        <v/>
      </c>
      <c r="AD73" t="str">
        <f t="shared" si="17"/>
        <v/>
      </c>
      <c r="AF73" t="str">
        <f t="shared" si="19"/>
        <v/>
      </c>
      <c r="AH73" t="str">
        <f t="shared" si="21"/>
        <v/>
      </c>
      <c r="AJ73" t="str">
        <f t="shared" si="23"/>
        <v/>
      </c>
    </row>
    <row r="74">
      <c r="P74" t="str">
        <f t="shared" si="3"/>
        <v/>
      </c>
      <c r="R74" t="str">
        <f t="shared" si="5"/>
        <v/>
      </c>
      <c r="T74" t="str">
        <f t="shared" si="7"/>
        <v/>
      </c>
      <c r="V74" t="str">
        <f t="shared" si="9"/>
        <v/>
      </c>
      <c r="X74" t="str">
        <f t="shared" si="11"/>
        <v/>
      </c>
      <c r="Z74" t="str">
        <f t="shared" si="13"/>
        <v/>
      </c>
      <c r="AB74" t="str">
        <f t="shared" si="15"/>
        <v/>
      </c>
      <c r="AD74" t="str">
        <f t="shared" si="17"/>
        <v/>
      </c>
      <c r="AF74" t="str">
        <f t="shared" si="19"/>
        <v/>
      </c>
      <c r="AH74" t="str">
        <f t="shared" si="21"/>
        <v/>
      </c>
      <c r="AJ74" t="str">
        <f t="shared" si="23"/>
        <v/>
      </c>
    </row>
    <row r="75">
      <c r="P75" t="str">
        <f t="shared" si="3"/>
        <v/>
      </c>
      <c r="R75" t="str">
        <f t="shared" si="5"/>
        <v/>
      </c>
      <c r="T75" t="str">
        <f t="shared" si="7"/>
        <v/>
      </c>
      <c r="V75" t="str">
        <f t="shared" si="9"/>
        <v/>
      </c>
      <c r="X75" t="str">
        <f t="shared" si="11"/>
        <v/>
      </c>
      <c r="Z75" t="str">
        <f t="shared" si="13"/>
        <v/>
      </c>
      <c r="AB75" t="str">
        <f t="shared" si="15"/>
        <v/>
      </c>
      <c r="AD75" t="str">
        <f t="shared" si="17"/>
        <v/>
      </c>
      <c r="AF75" t="str">
        <f t="shared" si="19"/>
        <v/>
      </c>
      <c r="AH75" t="str">
        <f t="shared" si="21"/>
        <v/>
      </c>
      <c r="AJ75" t="str">
        <f t="shared" si="23"/>
        <v/>
      </c>
    </row>
    <row r="76">
      <c r="P76" t="str">
        <f t="shared" si="3"/>
        <v/>
      </c>
      <c r="R76" t="str">
        <f t="shared" si="5"/>
        <v/>
      </c>
      <c r="T76" t="str">
        <f t="shared" si="7"/>
        <v/>
      </c>
      <c r="V76" t="str">
        <f t="shared" si="9"/>
        <v/>
      </c>
      <c r="X76" t="str">
        <f t="shared" si="11"/>
        <v/>
      </c>
      <c r="Z76" t="str">
        <f t="shared" si="13"/>
        <v/>
      </c>
      <c r="AB76" t="str">
        <f t="shared" si="15"/>
        <v/>
      </c>
      <c r="AD76" t="str">
        <f t="shared" si="17"/>
        <v/>
      </c>
      <c r="AF76" t="str">
        <f t="shared" si="19"/>
        <v/>
      </c>
      <c r="AH76" t="str">
        <f t="shared" si="21"/>
        <v/>
      </c>
      <c r="AJ76" t="str">
        <f t="shared" si="23"/>
        <v/>
      </c>
    </row>
    <row r="77">
      <c r="P77" t="str">
        <f t="shared" si="3"/>
        <v/>
      </c>
      <c r="R77" t="str">
        <f t="shared" si="5"/>
        <v/>
      </c>
      <c r="T77" t="str">
        <f t="shared" si="7"/>
        <v/>
      </c>
      <c r="V77" t="str">
        <f t="shared" si="9"/>
        <v/>
      </c>
      <c r="X77" t="str">
        <f t="shared" si="11"/>
        <v/>
      </c>
      <c r="Z77" t="str">
        <f t="shared" si="13"/>
        <v/>
      </c>
      <c r="AB77" t="str">
        <f t="shared" si="15"/>
        <v/>
      </c>
      <c r="AD77" t="str">
        <f t="shared" si="17"/>
        <v/>
      </c>
      <c r="AF77" t="str">
        <f t="shared" si="19"/>
        <v/>
      </c>
      <c r="AH77" t="str">
        <f t="shared" si="21"/>
        <v/>
      </c>
      <c r="AJ77" t="str">
        <f t="shared" si="23"/>
        <v/>
      </c>
    </row>
    <row r="78">
      <c r="P78" t="str">
        <f t="shared" si="3"/>
        <v/>
      </c>
      <c r="R78" t="str">
        <f t="shared" si="5"/>
        <v/>
      </c>
      <c r="T78" t="str">
        <f t="shared" si="7"/>
        <v/>
      </c>
      <c r="V78" t="str">
        <f t="shared" si="9"/>
        <v/>
      </c>
      <c r="X78" t="str">
        <f t="shared" si="11"/>
        <v/>
      </c>
      <c r="Z78" t="str">
        <f t="shared" si="13"/>
        <v/>
      </c>
      <c r="AB78" t="str">
        <f t="shared" si="15"/>
        <v/>
      </c>
      <c r="AD78" t="str">
        <f t="shared" si="17"/>
        <v/>
      </c>
      <c r="AF78" t="str">
        <f t="shared" si="19"/>
        <v/>
      </c>
      <c r="AH78" t="str">
        <f t="shared" si="21"/>
        <v/>
      </c>
      <c r="AJ78" t="str">
        <f t="shared" si="23"/>
        <v/>
      </c>
    </row>
    <row r="79">
      <c r="P79" t="str">
        <f t="shared" si="3"/>
        <v/>
      </c>
      <c r="R79" t="str">
        <f t="shared" si="5"/>
        <v/>
      </c>
      <c r="T79" t="str">
        <f t="shared" si="7"/>
        <v/>
      </c>
      <c r="V79" t="str">
        <f t="shared" si="9"/>
        <v/>
      </c>
      <c r="X79" t="str">
        <f t="shared" si="11"/>
        <v/>
      </c>
      <c r="Z79" t="str">
        <f t="shared" si="13"/>
        <v/>
      </c>
      <c r="AB79" t="str">
        <f t="shared" si="15"/>
        <v/>
      </c>
      <c r="AD79" t="str">
        <f t="shared" si="17"/>
        <v/>
      </c>
      <c r="AF79" t="str">
        <f t="shared" si="19"/>
        <v/>
      </c>
      <c r="AH79" t="str">
        <f t="shared" si="21"/>
        <v/>
      </c>
      <c r="AJ79" t="str">
        <f t="shared" si="23"/>
        <v/>
      </c>
    </row>
    <row r="80">
      <c r="P80" t="str">
        <f t="shared" si="3"/>
        <v/>
      </c>
      <c r="R80" t="str">
        <f t="shared" si="5"/>
        <v/>
      </c>
      <c r="T80" t="str">
        <f t="shared" si="7"/>
        <v/>
      </c>
      <c r="V80" t="str">
        <f t="shared" si="9"/>
        <v/>
      </c>
      <c r="X80" t="str">
        <f t="shared" si="11"/>
        <v/>
      </c>
      <c r="Z80" t="str">
        <f t="shared" si="13"/>
        <v/>
      </c>
      <c r="AB80" t="str">
        <f t="shared" si="15"/>
        <v/>
      </c>
      <c r="AD80" t="str">
        <f t="shared" si="17"/>
        <v/>
      </c>
      <c r="AF80" t="str">
        <f t="shared" si="19"/>
        <v/>
      </c>
      <c r="AH80" t="str">
        <f t="shared" si="21"/>
        <v/>
      </c>
      <c r="AJ80" t="str">
        <f t="shared" si="23"/>
        <v/>
      </c>
    </row>
    <row r="81">
      <c r="P81" t="str">
        <f t="shared" si="3"/>
        <v/>
      </c>
      <c r="R81" t="str">
        <f t="shared" si="5"/>
        <v/>
      </c>
      <c r="T81" t="str">
        <f t="shared" si="7"/>
        <v/>
      </c>
      <c r="V81" t="str">
        <f t="shared" si="9"/>
        <v/>
      </c>
      <c r="X81" t="str">
        <f t="shared" si="11"/>
        <v/>
      </c>
      <c r="Z81" t="str">
        <f t="shared" si="13"/>
        <v/>
      </c>
      <c r="AB81" t="str">
        <f t="shared" si="15"/>
        <v/>
      </c>
      <c r="AD81" t="str">
        <f t="shared" si="17"/>
        <v/>
      </c>
      <c r="AF81" t="str">
        <f t="shared" si="19"/>
        <v/>
      </c>
      <c r="AH81" t="str">
        <f t="shared" si="21"/>
        <v/>
      </c>
      <c r="AJ81" t="str">
        <f t="shared" si="23"/>
        <v/>
      </c>
    </row>
    <row r="82">
      <c r="P82" t="str">
        <f t="shared" si="3"/>
        <v/>
      </c>
      <c r="R82" t="str">
        <f t="shared" si="5"/>
        <v/>
      </c>
      <c r="T82" t="str">
        <f t="shared" si="7"/>
        <v/>
      </c>
      <c r="V82" t="str">
        <f t="shared" si="9"/>
        <v/>
      </c>
      <c r="X82" t="str">
        <f t="shared" si="11"/>
        <v/>
      </c>
      <c r="Z82" t="str">
        <f t="shared" si="13"/>
        <v/>
      </c>
      <c r="AB82" t="str">
        <f t="shared" si="15"/>
        <v/>
      </c>
      <c r="AD82" t="str">
        <f t="shared" si="17"/>
        <v/>
      </c>
      <c r="AF82" t="str">
        <f t="shared" si="19"/>
        <v/>
      </c>
      <c r="AH82" t="str">
        <f t="shared" si="21"/>
        <v/>
      </c>
      <c r="AJ82" t="str">
        <f t="shared" si="23"/>
        <v/>
      </c>
    </row>
    <row r="83">
      <c r="P83" t="str">
        <f t="shared" si="3"/>
        <v/>
      </c>
      <c r="R83" t="str">
        <f t="shared" si="5"/>
        <v/>
      </c>
      <c r="T83" t="str">
        <f t="shared" si="7"/>
        <v/>
      </c>
      <c r="V83" t="str">
        <f t="shared" si="9"/>
        <v/>
      </c>
      <c r="X83" t="str">
        <f t="shared" si="11"/>
        <v/>
      </c>
      <c r="Z83" t="str">
        <f t="shared" si="13"/>
        <v/>
      </c>
      <c r="AB83" t="str">
        <f t="shared" si="15"/>
        <v/>
      </c>
      <c r="AD83" t="str">
        <f t="shared" si="17"/>
        <v/>
      </c>
      <c r="AF83" t="str">
        <f t="shared" si="19"/>
        <v/>
      </c>
      <c r="AH83" t="str">
        <f t="shared" si="21"/>
        <v/>
      </c>
      <c r="AJ83" t="str">
        <f t="shared" si="23"/>
        <v/>
      </c>
    </row>
    <row r="84">
      <c r="P84" t="str">
        <f t="shared" si="3"/>
        <v/>
      </c>
      <c r="R84" t="str">
        <f t="shared" si="5"/>
        <v/>
      </c>
      <c r="T84" t="str">
        <f t="shared" si="7"/>
        <v/>
      </c>
      <c r="V84" t="str">
        <f t="shared" si="9"/>
        <v/>
      </c>
      <c r="X84" t="str">
        <f t="shared" si="11"/>
        <v/>
      </c>
      <c r="Z84" t="str">
        <f t="shared" si="13"/>
        <v/>
      </c>
      <c r="AB84" t="str">
        <f t="shared" si="15"/>
        <v/>
      </c>
      <c r="AD84" t="str">
        <f t="shared" si="17"/>
        <v/>
      </c>
      <c r="AF84" t="str">
        <f t="shared" si="19"/>
        <v/>
      </c>
      <c r="AH84" t="str">
        <f t="shared" si="21"/>
        <v/>
      </c>
      <c r="AJ84" t="str">
        <f t="shared" si="23"/>
        <v/>
      </c>
    </row>
    <row r="85">
      <c r="P85" t="str">
        <f t="shared" si="3"/>
        <v/>
      </c>
      <c r="R85" t="str">
        <f t="shared" si="5"/>
        <v/>
      </c>
      <c r="T85" t="str">
        <f t="shared" si="7"/>
        <v/>
      </c>
      <c r="V85" t="str">
        <f t="shared" si="9"/>
        <v/>
      </c>
      <c r="X85" t="str">
        <f t="shared" si="11"/>
        <v/>
      </c>
      <c r="Z85" t="str">
        <f t="shared" si="13"/>
        <v/>
      </c>
      <c r="AB85" t="str">
        <f t="shared" si="15"/>
        <v/>
      </c>
      <c r="AD85" t="str">
        <f t="shared" si="17"/>
        <v/>
      </c>
      <c r="AF85" t="str">
        <f t="shared" si="19"/>
        <v/>
      </c>
      <c r="AH85" t="str">
        <f t="shared" si="21"/>
        <v/>
      </c>
      <c r="AJ85" t="str">
        <f t="shared" si="23"/>
        <v/>
      </c>
    </row>
    <row r="86">
      <c r="P86" t="str">
        <f t="shared" si="3"/>
        <v/>
      </c>
      <c r="R86" t="str">
        <f t="shared" si="5"/>
        <v/>
      </c>
      <c r="T86" t="str">
        <f t="shared" si="7"/>
        <v/>
      </c>
      <c r="V86" t="str">
        <f t="shared" si="9"/>
        <v/>
      </c>
      <c r="X86" t="str">
        <f t="shared" si="11"/>
        <v/>
      </c>
      <c r="Z86" t="str">
        <f t="shared" si="13"/>
        <v/>
      </c>
      <c r="AB86" t="str">
        <f t="shared" si="15"/>
        <v/>
      </c>
      <c r="AD86" t="str">
        <f t="shared" si="17"/>
        <v/>
      </c>
      <c r="AF86" t="str">
        <f t="shared" si="19"/>
        <v/>
      </c>
      <c r="AH86" t="str">
        <f t="shared" si="21"/>
        <v/>
      </c>
      <c r="AJ86" t="str">
        <f t="shared" si="23"/>
        <v/>
      </c>
    </row>
    <row r="87">
      <c r="P87" t="str">
        <f t="shared" si="3"/>
        <v/>
      </c>
      <c r="R87" t="str">
        <f t="shared" si="5"/>
        <v/>
      </c>
      <c r="T87" t="str">
        <f t="shared" si="7"/>
        <v/>
      </c>
      <c r="V87" t="str">
        <f t="shared" si="9"/>
        <v/>
      </c>
      <c r="X87" t="str">
        <f t="shared" si="11"/>
        <v/>
      </c>
      <c r="Z87" t="str">
        <f t="shared" si="13"/>
        <v/>
      </c>
      <c r="AB87" t="str">
        <f t="shared" si="15"/>
        <v/>
      </c>
      <c r="AD87" t="str">
        <f t="shared" si="17"/>
        <v/>
      </c>
      <c r="AF87" t="str">
        <f t="shared" si="19"/>
        <v/>
      </c>
      <c r="AH87" t="str">
        <f t="shared" si="21"/>
        <v/>
      </c>
      <c r="AJ87" t="str">
        <f t="shared" si="23"/>
        <v/>
      </c>
    </row>
    <row r="88">
      <c r="P88" t="str">
        <f t="shared" si="3"/>
        <v/>
      </c>
      <c r="R88" t="str">
        <f t="shared" si="5"/>
        <v/>
      </c>
      <c r="T88" t="str">
        <f t="shared" si="7"/>
        <v/>
      </c>
      <c r="V88" t="str">
        <f t="shared" si="9"/>
        <v/>
      </c>
      <c r="X88" t="str">
        <f t="shared" si="11"/>
        <v/>
      </c>
      <c r="Z88" t="str">
        <f t="shared" si="13"/>
        <v/>
      </c>
      <c r="AB88" t="str">
        <f t="shared" si="15"/>
        <v/>
      </c>
      <c r="AD88" t="str">
        <f t="shared" si="17"/>
        <v/>
      </c>
      <c r="AF88" t="str">
        <f t="shared" si="19"/>
        <v/>
      </c>
      <c r="AH88" t="str">
        <f t="shared" si="21"/>
        <v/>
      </c>
      <c r="AJ88" t="str">
        <f t="shared" si="23"/>
        <v/>
      </c>
    </row>
    <row r="89">
      <c r="P89" t="str">
        <f t="shared" si="3"/>
        <v/>
      </c>
      <c r="R89" t="str">
        <f t="shared" si="5"/>
        <v/>
      </c>
      <c r="T89" t="str">
        <f t="shared" si="7"/>
        <v/>
      </c>
      <c r="V89" t="str">
        <f t="shared" si="9"/>
        <v/>
      </c>
      <c r="X89" t="str">
        <f t="shared" si="11"/>
        <v/>
      </c>
      <c r="Z89" t="str">
        <f t="shared" si="13"/>
        <v/>
      </c>
      <c r="AB89" t="str">
        <f t="shared" si="15"/>
        <v/>
      </c>
      <c r="AD89" t="str">
        <f t="shared" si="17"/>
        <v/>
      </c>
      <c r="AF89" t="str">
        <f t="shared" si="19"/>
        <v/>
      </c>
      <c r="AH89" t="str">
        <f t="shared" si="21"/>
        <v/>
      </c>
      <c r="AJ89" t="str">
        <f t="shared" si="23"/>
        <v/>
      </c>
    </row>
    <row r="90">
      <c r="P90" t="str">
        <f t="shared" si="3"/>
        <v/>
      </c>
      <c r="R90" t="str">
        <f t="shared" si="5"/>
        <v/>
      </c>
      <c r="T90" t="str">
        <f t="shared" si="7"/>
        <v/>
      </c>
      <c r="V90" t="str">
        <f t="shared" si="9"/>
        <v/>
      </c>
      <c r="X90" t="str">
        <f t="shared" si="11"/>
        <v/>
      </c>
      <c r="Z90" t="str">
        <f t="shared" si="13"/>
        <v/>
      </c>
      <c r="AB90" t="str">
        <f t="shared" si="15"/>
        <v/>
      </c>
      <c r="AD90" t="str">
        <f t="shared" si="17"/>
        <v/>
      </c>
      <c r="AF90" t="str">
        <f t="shared" si="19"/>
        <v/>
      </c>
      <c r="AH90" t="str">
        <f t="shared" si="21"/>
        <v/>
      </c>
      <c r="AJ90" t="str">
        <f t="shared" si="23"/>
        <v/>
      </c>
    </row>
    <row r="91">
      <c r="P91" t="str">
        <f t="shared" si="3"/>
        <v/>
      </c>
      <c r="R91" t="str">
        <f t="shared" si="5"/>
        <v/>
      </c>
      <c r="T91" t="str">
        <f t="shared" si="7"/>
        <v/>
      </c>
      <c r="V91" t="str">
        <f t="shared" si="9"/>
        <v/>
      </c>
      <c r="X91" t="str">
        <f t="shared" si="11"/>
        <v/>
      </c>
      <c r="Z91" t="str">
        <f t="shared" si="13"/>
        <v/>
      </c>
      <c r="AB91" t="str">
        <f t="shared" si="15"/>
        <v/>
      </c>
      <c r="AD91" t="str">
        <f t="shared" si="17"/>
        <v/>
      </c>
      <c r="AF91" t="str">
        <f t="shared" si="19"/>
        <v/>
      </c>
      <c r="AH91" t="str">
        <f t="shared" si="21"/>
        <v/>
      </c>
      <c r="AJ91" t="str">
        <f t="shared" si="23"/>
        <v/>
      </c>
    </row>
    <row r="92">
      <c r="P92" t="str">
        <f t="shared" si="3"/>
        <v/>
      </c>
      <c r="R92" t="str">
        <f t="shared" si="5"/>
        <v/>
      </c>
      <c r="T92" t="str">
        <f t="shared" si="7"/>
        <v/>
      </c>
      <c r="V92" t="str">
        <f t="shared" si="9"/>
        <v/>
      </c>
      <c r="X92" t="str">
        <f t="shared" si="11"/>
        <v/>
      </c>
      <c r="Z92" t="str">
        <f t="shared" si="13"/>
        <v/>
      </c>
      <c r="AB92" t="str">
        <f t="shared" si="15"/>
        <v/>
      </c>
      <c r="AD92" t="str">
        <f t="shared" si="17"/>
        <v/>
      </c>
      <c r="AF92" t="str">
        <f t="shared" si="19"/>
        <v/>
      </c>
      <c r="AH92" t="str">
        <f t="shared" si="21"/>
        <v/>
      </c>
      <c r="AJ92" t="str">
        <f t="shared" si="23"/>
        <v/>
      </c>
    </row>
    <row r="93">
      <c r="P93" t="str">
        <f t="shared" si="3"/>
        <v/>
      </c>
      <c r="R93" t="str">
        <f t="shared" si="5"/>
        <v/>
      </c>
      <c r="T93" t="str">
        <f t="shared" si="7"/>
        <v/>
      </c>
      <c r="V93" t="str">
        <f t="shared" si="9"/>
        <v/>
      </c>
      <c r="X93" t="str">
        <f t="shared" si="11"/>
        <v/>
      </c>
      <c r="Z93" t="str">
        <f t="shared" si="13"/>
        <v/>
      </c>
      <c r="AB93" t="str">
        <f t="shared" si="15"/>
        <v/>
      </c>
      <c r="AD93" t="str">
        <f t="shared" si="17"/>
        <v/>
      </c>
      <c r="AF93" t="str">
        <f t="shared" si="19"/>
        <v/>
      </c>
      <c r="AH93" t="str">
        <f t="shared" si="21"/>
        <v/>
      </c>
      <c r="AJ93" t="str">
        <f t="shared" si="23"/>
        <v/>
      </c>
    </row>
    <row r="94">
      <c r="P94" t="str">
        <f t="shared" si="3"/>
        <v/>
      </c>
      <c r="R94" t="str">
        <f t="shared" si="5"/>
        <v/>
      </c>
      <c r="T94" t="str">
        <f t="shared" si="7"/>
        <v/>
      </c>
      <c r="V94" t="str">
        <f t="shared" si="9"/>
        <v/>
      </c>
      <c r="X94" t="str">
        <f t="shared" si="11"/>
        <v/>
      </c>
      <c r="Z94" t="str">
        <f t="shared" si="13"/>
        <v/>
      </c>
      <c r="AB94" t="str">
        <f t="shared" si="15"/>
        <v/>
      </c>
      <c r="AD94" t="str">
        <f t="shared" si="17"/>
        <v/>
      </c>
      <c r="AF94" t="str">
        <f t="shared" si="19"/>
        <v/>
      </c>
      <c r="AH94" t="str">
        <f t="shared" si="21"/>
        <v/>
      </c>
      <c r="AJ94" t="str">
        <f t="shared" si="23"/>
        <v/>
      </c>
    </row>
    <row r="95">
      <c r="P95" t="str">
        <f t="shared" si="3"/>
        <v/>
      </c>
      <c r="R95" t="str">
        <f t="shared" si="5"/>
        <v/>
      </c>
      <c r="T95" t="str">
        <f t="shared" si="7"/>
        <v/>
      </c>
      <c r="V95" t="str">
        <f t="shared" si="9"/>
        <v/>
      </c>
      <c r="X95" t="str">
        <f t="shared" si="11"/>
        <v/>
      </c>
      <c r="Z95" t="str">
        <f t="shared" si="13"/>
        <v/>
      </c>
      <c r="AB95" t="str">
        <f t="shared" si="15"/>
        <v/>
      </c>
      <c r="AD95" t="str">
        <f t="shared" si="17"/>
        <v/>
      </c>
      <c r="AF95" t="str">
        <f t="shared" si="19"/>
        <v/>
      </c>
      <c r="AH95" t="str">
        <f t="shared" si="21"/>
        <v/>
      </c>
      <c r="AJ95" t="str">
        <f t="shared" si="23"/>
        <v/>
      </c>
    </row>
    <row r="96">
      <c r="P96" t="str">
        <f t="shared" si="3"/>
        <v/>
      </c>
      <c r="R96" t="str">
        <f t="shared" si="5"/>
        <v/>
      </c>
      <c r="T96" t="str">
        <f t="shared" si="7"/>
        <v/>
      </c>
      <c r="V96" t="str">
        <f t="shared" si="9"/>
        <v/>
      </c>
      <c r="X96" t="str">
        <f t="shared" si="11"/>
        <v/>
      </c>
      <c r="Z96" t="str">
        <f t="shared" si="13"/>
        <v/>
      </c>
      <c r="AB96" t="str">
        <f t="shared" si="15"/>
        <v/>
      </c>
      <c r="AD96" t="str">
        <f t="shared" si="17"/>
        <v/>
      </c>
      <c r="AF96" t="str">
        <f t="shared" si="19"/>
        <v/>
      </c>
      <c r="AH96" t="str">
        <f t="shared" si="21"/>
        <v/>
      </c>
      <c r="AJ96" t="str">
        <f t="shared" si="23"/>
        <v/>
      </c>
    </row>
    <row r="97">
      <c r="P97" t="str">
        <f t="shared" si="3"/>
        <v/>
      </c>
      <c r="R97" t="str">
        <f t="shared" si="5"/>
        <v/>
      </c>
      <c r="T97" t="str">
        <f t="shared" si="7"/>
        <v/>
      </c>
      <c r="V97" t="str">
        <f t="shared" si="9"/>
        <v/>
      </c>
      <c r="X97" t="str">
        <f t="shared" si="11"/>
        <v/>
      </c>
      <c r="Z97" t="str">
        <f t="shared" si="13"/>
        <v/>
      </c>
      <c r="AB97" t="str">
        <f t="shared" si="15"/>
        <v/>
      </c>
      <c r="AD97" t="str">
        <f t="shared" si="17"/>
        <v/>
      </c>
      <c r="AF97" t="str">
        <f t="shared" si="19"/>
        <v/>
      </c>
      <c r="AH97" t="str">
        <f t="shared" si="21"/>
        <v/>
      </c>
      <c r="AJ97" t="str">
        <f t="shared" si="23"/>
        <v/>
      </c>
    </row>
    <row r="98">
      <c r="P98" t="str">
        <f t="shared" si="3"/>
        <v/>
      </c>
      <c r="R98" t="str">
        <f t="shared" si="5"/>
        <v/>
      </c>
      <c r="T98" t="str">
        <f t="shared" si="7"/>
        <v/>
      </c>
      <c r="V98" t="str">
        <f t="shared" si="9"/>
        <v/>
      </c>
      <c r="X98" t="str">
        <f t="shared" si="11"/>
        <v/>
      </c>
      <c r="Z98" t="str">
        <f t="shared" si="13"/>
        <v/>
      </c>
      <c r="AB98" t="str">
        <f t="shared" si="15"/>
        <v/>
      </c>
      <c r="AD98" t="str">
        <f t="shared" si="17"/>
        <v/>
      </c>
      <c r="AF98" t="str">
        <f t="shared" si="19"/>
        <v/>
      </c>
      <c r="AH98" t="str">
        <f t="shared" si="21"/>
        <v/>
      </c>
      <c r="AJ98" t="str">
        <f t="shared" si="23"/>
        <v/>
      </c>
    </row>
    <row r="99">
      <c r="P99" t="str">
        <f t="shared" si="3"/>
        <v/>
      </c>
      <c r="R99" t="str">
        <f t="shared" si="5"/>
        <v/>
      </c>
      <c r="T99" t="str">
        <f t="shared" si="7"/>
        <v/>
      </c>
      <c r="V99" t="str">
        <f t="shared" si="9"/>
        <v/>
      </c>
      <c r="X99" t="str">
        <f t="shared" si="11"/>
        <v/>
      </c>
      <c r="Z99" t="str">
        <f t="shared" si="13"/>
        <v/>
      </c>
      <c r="AB99" t="str">
        <f t="shared" si="15"/>
        <v/>
      </c>
      <c r="AD99" t="str">
        <f t="shared" si="17"/>
        <v/>
      </c>
      <c r="AF99" t="str">
        <f t="shared" si="19"/>
        <v/>
      </c>
      <c r="AH99" t="str">
        <f t="shared" si="21"/>
        <v/>
      </c>
      <c r="AJ99" t="str">
        <f t="shared" si="23"/>
        <v/>
      </c>
    </row>
    <row r="100">
      <c r="P100" t="str">
        <f t="shared" si="3"/>
        <v/>
      </c>
      <c r="R100" t="str">
        <f t="shared" si="5"/>
        <v/>
      </c>
      <c r="T100" t="str">
        <f t="shared" si="7"/>
        <v/>
      </c>
      <c r="V100" t="str">
        <f t="shared" si="9"/>
        <v/>
      </c>
      <c r="X100" t="str">
        <f t="shared" si="11"/>
        <v/>
      </c>
      <c r="Z100" t="str">
        <f t="shared" si="13"/>
        <v/>
      </c>
      <c r="AB100" t="str">
        <f t="shared" si="15"/>
        <v/>
      </c>
      <c r="AD100" t="str">
        <f t="shared" si="17"/>
        <v/>
      </c>
      <c r="AF100" t="str">
        <f t="shared" si="19"/>
        <v/>
      </c>
      <c r="AH100" t="str">
        <f t="shared" si="21"/>
        <v/>
      </c>
      <c r="AJ100" t="str">
        <f t="shared" si="23"/>
        <v/>
      </c>
    </row>
    <row r="101">
      <c r="P101" t="str">
        <f t="shared" si="3"/>
        <v/>
      </c>
      <c r="R101" t="str">
        <f t="shared" si="5"/>
        <v/>
      </c>
      <c r="T101" t="str">
        <f t="shared" si="7"/>
        <v/>
      </c>
      <c r="V101" t="str">
        <f t="shared" si="9"/>
        <v/>
      </c>
      <c r="X101" t="str">
        <f t="shared" si="11"/>
        <v/>
      </c>
      <c r="Z101" t="str">
        <f t="shared" si="13"/>
        <v/>
      </c>
      <c r="AB101" t="str">
        <f t="shared" si="15"/>
        <v/>
      </c>
      <c r="AD101" t="str">
        <f t="shared" si="17"/>
        <v/>
      </c>
      <c r="AF101" t="str">
        <f t="shared" si="19"/>
        <v/>
      </c>
      <c r="AH101" t="str">
        <f t="shared" si="21"/>
        <v/>
      </c>
      <c r="AJ101" t="str">
        <f t="shared" si="23"/>
        <v/>
      </c>
    </row>
    <row r="102">
      <c r="P102" t="str">
        <f t="shared" si="3"/>
        <v/>
      </c>
      <c r="R102" t="str">
        <f t="shared" si="5"/>
        <v/>
      </c>
      <c r="T102" t="str">
        <f t="shared" si="7"/>
        <v/>
      </c>
      <c r="V102" t="str">
        <f t="shared" si="9"/>
        <v/>
      </c>
      <c r="X102" t="str">
        <f t="shared" si="11"/>
        <v/>
      </c>
      <c r="Z102" t="str">
        <f t="shared" si="13"/>
        <v/>
      </c>
      <c r="AB102" t="str">
        <f t="shared" si="15"/>
        <v/>
      </c>
      <c r="AD102" t="str">
        <f t="shared" si="17"/>
        <v/>
      </c>
      <c r="AF102" t="str">
        <f t="shared" si="19"/>
        <v/>
      </c>
      <c r="AH102" t="str">
        <f t="shared" si="21"/>
        <v/>
      </c>
      <c r="AJ102" t="str">
        <f t="shared" si="23"/>
        <v/>
      </c>
    </row>
    <row r="103">
      <c r="P103" t="str">
        <f t="shared" si="3"/>
        <v/>
      </c>
      <c r="R103" t="str">
        <f t="shared" si="5"/>
        <v/>
      </c>
      <c r="T103" t="str">
        <f t="shared" si="7"/>
        <v/>
      </c>
      <c r="V103" t="str">
        <f t="shared" si="9"/>
        <v/>
      </c>
      <c r="X103" t="str">
        <f t="shared" si="11"/>
        <v/>
      </c>
      <c r="Z103" t="str">
        <f t="shared" si="13"/>
        <v/>
      </c>
      <c r="AB103" t="str">
        <f t="shared" si="15"/>
        <v/>
      </c>
      <c r="AD103" t="str">
        <f t="shared" si="17"/>
        <v/>
      </c>
      <c r="AF103" t="str">
        <f t="shared" si="19"/>
        <v/>
      </c>
      <c r="AH103" t="str">
        <f t="shared" si="21"/>
        <v/>
      </c>
      <c r="AJ103" t="str">
        <f t="shared" si="23"/>
        <v/>
      </c>
    </row>
    <row r="104">
      <c r="P104" t="str">
        <f t="shared" si="3"/>
        <v/>
      </c>
      <c r="R104" t="str">
        <f t="shared" si="5"/>
        <v/>
      </c>
      <c r="T104" t="str">
        <f t="shared" si="7"/>
        <v/>
      </c>
      <c r="V104" t="str">
        <f t="shared" si="9"/>
        <v/>
      </c>
      <c r="X104" t="str">
        <f t="shared" si="11"/>
        <v/>
      </c>
      <c r="Z104" t="str">
        <f t="shared" si="13"/>
        <v/>
      </c>
      <c r="AB104" t="str">
        <f t="shared" si="15"/>
        <v/>
      </c>
      <c r="AD104" t="str">
        <f t="shared" si="17"/>
        <v/>
      </c>
      <c r="AF104" t="str">
        <f t="shared" si="19"/>
        <v/>
      </c>
      <c r="AH104" t="str">
        <f t="shared" si="21"/>
        <v/>
      </c>
      <c r="AJ104" t="str">
        <f t="shared" si="23"/>
        <v/>
      </c>
    </row>
    <row r="105">
      <c r="P105" t="str">
        <f t="shared" si="3"/>
        <v/>
      </c>
      <c r="R105" t="str">
        <f t="shared" si="5"/>
        <v/>
      </c>
      <c r="T105" t="str">
        <f t="shared" si="7"/>
        <v/>
      </c>
      <c r="V105" t="str">
        <f t="shared" si="9"/>
        <v/>
      </c>
      <c r="X105" t="str">
        <f t="shared" si="11"/>
        <v/>
      </c>
      <c r="Z105" t="str">
        <f t="shared" si="13"/>
        <v/>
      </c>
      <c r="AB105" t="str">
        <f t="shared" si="15"/>
        <v/>
      </c>
      <c r="AD105" t="str">
        <f t="shared" si="17"/>
        <v/>
      </c>
      <c r="AF105" t="str">
        <f t="shared" si="19"/>
        <v/>
      </c>
      <c r="AH105" t="str">
        <f t="shared" si="21"/>
        <v/>
      </c>
      <c r="AJ105" t="str">
        <f t="shared" si="23"/>
        <v/>
      </c>
    </row>
    <row r="106">
      <c r="P106" t="str">
        <f t="shared" si="3"/>
        <v/>
      </c>
      <c r="R106" t="str">
        <f t="shared" si="5"/>
        <v/>
      </c>
      <c r="T106" t="str">
        <f t="shared" si="7"/>
        <v/>
      </c>
      <c r="V106" t="str">
        <f t="shared" si="9"/>
        <v/>
      </c>
      <c r="X106" t="str">
        <f t="shared" si="11"/>
        <v/>
      </c>
      <c r="Z106" t="str">
        <f t="shared" si="13"/>
        <v/>
      </c>
      <c r="AB106" t="str">
        <f t="shared" si="15"/>
        <v/>
      </c>
      <c r="AD106" t="str">
        <f t="shared" si="17"/>
        <v/>
      </c>
      <c r="AF106" t="str">
        <f t="shared" si="19"/>
        <v/>
      </c>
      <c r="AH106" t="str">
        <f t="shared" si="21"/>
        <v/>
      </c>
      <c r="AJ106" t="str">
        <f t="shared" si="23"/>
        <v/>
      </c>
    </row>
    <row r="107">
      <c r="P107" t="str">
        <f t="shared" si="3"/>
        <v/>
      </c>
      <c r="R107" t="str">
        <f t="shared" si="5"/>
        <v/>
      </c>
      <c r="T107" t="str">
        <f t="shared" si="7"/>
        <v/>
      </c>
      <c r="V107" t="str">
        <f t="shared" si="9"/>
        <v/>
      </c>
      <c r="X107" t="str">
        <f t="shared" si="11"/>
        <v/>
      </c>
      <c r="Z107" t="str">
        <f t="shared" si="13"/>
        <v/>
      </c>
      <c r="AB107" t="str">
        <f t="shared" si="15"/>
        <v/>
      </c>
      <c r="AD107" t="str">
        <f t="shared" si="17"/>
        <v/>
      </c>
      <c r="AF107" t="str">
        <f t="shared" si="19"/>
        <v/>
      </c>
      <c r="AH107" t="str">
        <f t="shared" si="21"/>
        <v/>
      </c>
      <c r="AJ107" t="str">
        <f t="shared" si="23"/>
        <v/>
      </c>
    </row>
    <row r="108">
      <c r="P108" t="str">
        <f t="shared" si="3"/>
        <v/>
      </c>
      <c r="R108" t="str">
        <f t="shared" si="5"/>
        <v/>
      </c>
      <c r="T108" t="str">
        <f t="shared" si="7"/>
        <v/>
      </c>
      <c r="V108" t="str">
        <f t="shared" si="9"/>
        <v/>
      </c>
      <c r="X108" t="str">
        <f t="shared" si="11"/>
        <v/>
      </c>
      <c r="Z108" t="str">
        <f t="shared" si="13"/>
        <v/>
      </c>
      <c r="AB108" t="str">
        <f t="shared" si="15"/>
        <v/>
      </c>
      <c r="AD108" t="str">
        <f t="shared" si="17"/>
        <v/>
      </c>
      <c r="AF108" t="str">
        <f t="shared" si="19"/>
        <v/>
      </c>
      <c r="AH108" t="str">
        <f t="shared" si="21"/>
        <v/>
      </c>
      <c r="AJ108" t="str">
        <f t="shared" si="23"/>
        <v/>
      </c>
    </row>
    <row r="109">
      <c r="P109" t="str">
        <f t="shared" si="3"/>
        <v/>
      </c>
      <c r="R109" t="str">
        <f t="shared" si="5"/>
        <v/>
      </c>
      <c r="T109" t="str">
        <f t="shared" si="7"/>
        <v/>
      </c>
      <c r="V109" t="str">
        <f t="shared" si="9"/>
        <v/>
      </c>
      <c r="X109" t="str">
        <f t="shared" si="11"/>
        <v/>
      </c>
      <c r="Z109" t="str">
        <f t="shared" si="13"/>
        <v/>
      </c>
      <c r="AB109" t="str">
        <f t="shared" si="15"/>
        <v/>
      </c>
      <c r="AD109" t="str">
        <f t="shared" si="17"/>
        <v/>
      </c>
      <c r="AF109" t="str">
        <f t="shared" si="19"/>
        <v/>
      </c>
      <c r="AH109" t="str">
        <f t="shared" si="21"/>
        <v/>
      </c>
      <c r="AJ109" t="str">
        <f t="shared" si="23"/>
        <v/>
      </c>
    </row>
    <row r="110">
      <c r="P110" t="str">
        <f t="shared" si="3"/>
        <v/>
      </c>
      <c r="R110" t="str">
        <f t="shared" si="5"/>
        <v/>
      </c>
      <c r="T110" t="str">
        <f t="shared" si="7"/>
        <v/>
      </c>
      <c r="V110" t="str">
        <f t="shared" si="9"/>
        <v/>
      </c>
      <c r="X110" t="str">
        <f t="shared" si="11"/>
        <v/>
      </c>
      <c r="Z110" t="str">
        <f t="shared" si="13"/>
        <v/>
      </c>
      <c r="AB110" t="str">
        <f t="shared" si="15"/>
        <v/>
      </c>
      <c r="AD110" t="str">
        <f t="shared" si="17"/>
        <v/>
      </c>
      <c r="AF110" t="str">
        <f t="shared" si="19"/>
        <v/>
      </c>
      <c r="AH110" t="str">
        <f t="shared" si="21"/>
        <v/>
      </c>
      <c r="AJ110" t="str">
        <f t="shared" si="23"/>
        <v/>
      </c>
    </row>
    <row r="111">
      <c r="P111" t="str">
        <f t="shared" si="3"/>
        <v/>
      </c>
      <c r="R111" t="str">
        <f t="shared" si="5"/>
        <v/>
      </c>
      <c r="T111" t="str">
        <f t="shared" si="7"/>
        <v/>
      </c>
      <c r="V111" t="str">
        <f t="shared" si="9"/>
        <v/>
      </c>
      <c r="X111" t="str">
        <f t="shared" si="11"/>
        <v/>
      </c>
      <c r="Z111" t="str">
        <f t="shared" si="13"/>
        <v/>
      </c>
      <c r="AB111" t="str">
        <f t="shared" si="15"/>
        <v/>
      </c>
      <c r="AD111" t="str">
        <f t="shared" si="17"/>
        <v/>
      </c>
      <c r="AF111" t="str">
        <f t="shared" si="19"/>
        <v/>
      </c>
      <c r="AH111" t="str">
        <f t="shared" si="21"/>
        <v/>
      </c>
      <c r="AJ111" t="str">
        <f t="shared" si="23"/>
        <v/>
      </c>
    </row>
    <row r="112">
      <c r="P112" t="str">
        <f t="shared" si="3"/>
        <v/>
      </c>
      <c r="R112" t="str">
        <f t="shared" si="5"/>
        <v/>
      </c>
      <c r="T112" t="str">
        <f t="shared" si="7"/>
        <v/>
      </c>
      <c r="V112" t="str">
        <f t="shared" si="9"/>
        <v/>
      </c>
      <c r="X112" t="str">
        <f t="shared" si="11"/>
        <v/>
      </c>
      <c r="Z112" t="str">
        <f t="shared" si="13"/>
        <v/>
      </c>
      <c r="AB112" t="str">
        <f t="shared" si="15"/>
        <v/>
      </c>
      <c r="AD112" t="str">
        <f t="shared" si="17"/>
        <v/>
      </c>
      <c r="AF112" t="str">
        <f t="shared" si="19"/>
        <v/>
      </c>
      <c r="AH112" t="str">
        <f t="shared" si="21"/>
        <v/>
      </c>
      <c r="AJ112" t="str">
        <f t="shared" si="23"/>
        <v/>
      </c>
    </row>
    <row r="113">
      <c r="P113" t="str">
        <f t="shared" si="3"/>
        <v/>
      </c>
      <c r="R113" t="str">
        <f t="shared" si="5"/>
        <v/>
      </c>
      <c r="T113" t="str">
        <f t="shared" si="7"/>
        <v/>
      </c>
      <c r="V113" t="str">
        <f t="shared" si="9"/>
        <v/>
      </c>
      <c r="X113" t="str">
        <f t="shared" si="11"/>
        <v/>
      </c>
      <c r="Z113" t="str">
        <f t="shared" si="13"/>
        <v/>
      </c>
      <c r="AB113" t="str">
        <f t="shared" si="15"/>
        <v/>
      </c>
      <c r="AD113" t="str">
        <f t="shared" si="17"/>
        <v/>
      </c>
      <c r="AF113" t="str">
        <f t="shared" si="19"/>
        <v/>
      </c>
      <c r="AH113" t="str">
        <f t="shared" si="21"/>
        <v/>
      </c>
      <c r="AJ113" t="str">
        <f t="shared" si="23"/>
        <v/>
      </c>
    </row>
    <row r="114">
      <c r="P114" t="str">
        <f t="shared" si="3"/>
        <v/>
      </c>
      <c r="R114" t="str">
        <f t="shared" si="5"/>
        <v/>
      </c>
      <c r="T114" t="str">
        <f t="shared" si="7"/>
        <v/>
      </c>
      <c r="V114" t="str">
        <f t="shared" si="9"/>
        <v/>
      </c>
      <c r="X114" t="str">
        <f t="shared" si="11"/>
        <v/>
      </c>
      <c r="Z114" t="str">
        <f t="shared" si="13"/>
        <v/>
      </c>
      <c r="AB114" t="str">
        <f t="shared" si="15"/>
        <v/>
      </c>
      <c r="AD114" t="str">
        <f t="shared" si="17"/>
        <v/>
      </c>
      <c r="AF114" t="str">
        <f t="shared" si="19"/>
        <v/>
      </c>
      <c r="AH114" t="str">
        <f t="shared" si="21"/>
        <v/>
      </c>
      <c r="AJ114" t="str">
        <f t="shared" si="23"/>
        <v/>
      </c>
    </row>
    <row r="115">
      <c r="P115" t="str">
        <f t="shared" si="3"/>
        <v/>
      </c>
      <c r="R115" t="str">
        <f t="shared" si="5"/>
        <v/>
      </c>
      <c r="T115" t="str">
        <f t="shared" si="7"/>
        <v/>
      </c>
      <c r="V115" t="str">
        <f t="shared" si="9"/>
        <v/>
      </c>
      <c r="X115" t="str">
        <f t="shared" si="11"/>
        <v/>
      </c>
      <c r="Z115" t="str">
        <f t="shared" si="13"/>
        <v/>
      </c>
      <c r="AB115" t="str">
        <f t="shared" si="15"/>
        <v/>
      </c>
      <c r="AD115" t="str">
        <f t="shared" si="17"/>
        <v/>
      </c>
      <c r="AF115" t="str">
        <f t="shared" si="19"/>
        <v/>
      </c>
      <c r="AH115" t="str">
        <f t="shared" si="21"/>
        <v/>
      </c>
      <c r="AJ115" t="str">
        <f t="shared" si="23"/>
        <v/>
      </c>
    </row>
    <row r="116">
      <c r="P116" t="str">
        <f t="shared" si="3"/>
        <v/>
      </c>
      <c r="R116" t="str">
        <f t="shared" si="5"/>
        <v/>
      </c>
      <c r="T116" t="str">
        <f t="shared" si="7"/>
        <v/>
      </c>
      <c r="V116" t="str">
        <f t="shared" si="9"/>
        <v/>
      </c>
      <c r="X116" t="str">
        <f t="shared" si="11"/>
        <v/>
      </c>
      <c r="Z116" t="str">
        <f t="shared" si="13"/>
        <v/>
      </c>
      <c r="AB116" t="str">
        <f t="shared" si="15"/>
        <v/>
      </c>
      <c r="AD116" t="str">
        <f t="shared" si="17"/>
        <v/>
      </c>
      <c r="AF116" t="str">
        <f t="shared" si="19"/>
        <v/>
      </c>
      <c r="AH116" t="str">
        <f t="shared" si="21"/>
        <v/>
      </c>
      <c r="AJ116" t="str">
        <f t="shared" si="23"/>
        <v/>
      </c>
    </row>
    <row r="117">
      <c r="P117" t="str">
        <f t="shared" si="3"/>
        <v/>
      </c>
      <c r="R117" t="str">
        <f t="shared" si="5"/>
        <v/>
      </c>
      <c r="T117" t="str">
        <f t="shared" si="7"/>
        <v/>
      </c>
      <c r="V117" t="str">
        <f t="shared" si="9"/>
        <v/>
      </c>
      <c r="X117" t="str">
        <f t="shared" si="11"/>
        <v/>
      </c>
      <c r="Z117" t="str">
        <f t="shared" si="13"/>
        <v/>
      </c>
      <c r="AB117" t="str">
        <f t="shared" si="15"/>
        <v/>
      </c>
      <c r="AD117" t="str">
        <f t="shared" si="17"/>
        <v/>
      </c>
      <c r="AF117" t="str">
        <f t="shared" si="19"/>
        <v/>
      </c>
      <c r="AH117" t="str">
        <f t="shared" si="21"/>
        <v/>
      </c>
      <c r="AJ117" t="str">
        <f t="shared" si="23"/>
        <v/>
      </c>
    </row>
    <row r="118">
      <c r="P118" t="str">
        <f t="shared" si="3"/>
        <v/>
      </c>
      <c r="R118" t="str">
        <f t="shared" si="5"/>
        <v/>
      </c>
      <c r="T118" t="str">
        <f t="shared" si="7"/>
        <v/>
      </c>
      <c r="V118" t="str">
        <f t="shared" si="9"/>
        <v/>
      </c>
      <c r="X118" t="str">
        <f t="shared" si="11"/>
        <v/>
      </c>
      <c r="Z118" t="str">
        <f t="shared" si="13"/>
        <v/>
      </c>
      <c r="AB118" t="str">
        <f t="shared" si="15"/>
        <v/>
      </c>
      <c r="AD118" t="str">
        <f t="shared" si="17"/>
        <v/>
      </c>
      <c r="AF118" t="str">
        <f t="shared" si="19"/>
        <v/>
      </c>
      <c r="AH118" t="str">
        <f t="shared" si="21"/>
        <v/>
      </c>
      <c r="AJ118" t="str">
        <f t="shared" si="23"/>
        <v/>
      </c>
    </row>
    <row r="119">
      <c r="P119" t="str">
        <f t="shared" si="3"/>
        <v/>
      </c>
      <c r="R119" t="str">
        <f t="shared" si="5"/>
        <v/>
      </c>
      <c r="T119" t="str">
        <f t="shared" si="7"/>
        <v/>
      </c>
      <c r="V119" t="str">
        <f t="shared" si="9"/>
        <v/>
      </c>
      <c r="X119" t="str">
        <f t="shared" si="11"/>
        <v/>
      </c>
      <c r="Z119" t="str">
        <f t="shared" si="13"/>
        <v/>
      </c>
      <c r="AB119" t="str">
        <f t="shared" si="15"/>
        <v/>
      </c>
      <c r="AD119" t="str">
        <f t="shared" si="17"/>
        <v/>
      </c>
      <c r="AF119" t="str">
        <f t="shared" si="19"/>
        <v/>
      </c>
      <c r="AH119" t="str">
        <f t="shared" si="21"/>
        <v/>
      </c>
      <c r="AJ119" t="str">
        <f t="shared" si="23"/>
        <v/>
      </c>
    </row>
    <row r="120">
      <c r="P120" t="str">
        <f t="shared" si="3"/>
        <v/>
      </c>
      <c r="R120" t="str">
        <f t="shared" si="5"/>
        <v/>
      </c>
      <c r="T120" t="str">
        <f t="shared" si="7"/>
        <v/>
      </c>
      <c r="V120" t="str">
        <f t="shared" si="9"/>
        <v/>
      </c>
      <c r="X120" t="str">
        <f t="shared" si="11"/>
        <v/>
      </c>
      <c r="Z120" t="str">
        <f t="shared" si="13"/>
        <v/>
      </c>
      <c r="AB120" t="str">
        <f t="shared" si="15"/>
        <v/>
      </c>
      <c r="AD120" t="str">
        <f t="shared" si="17"/>
        <v/>
      </c>
      <c r="AF120" t="str">
        <f t="shared" si="19"/>
        <v/>
      </c>
      <c r="AH120" t="str">
        <f t="shared" si="21"/>
        <v/>
      </c>
      <c r="AJ120" t="str">
        <f t="shared" si="23"/>
        <v/>
      </c>
    </row>
    <row r="121">
      <c r="P121" t="str">
        <f t="shared" si="3"/>
        <v/>
      </c>
      <c r="R121" t="str">
        <f t="shared" si="5"/>
        <v/>
      </c>
      <c r="T121" t="str">
        <f t="shared" si="7"/>
        <v/>
      </c>
      <c r="V121" t="str">
        <f t="shared" si="9"/>
        <v/>
      </c>
      <c r="X121" t="str">
        <f t="shared" si="11"/>
        <v/>
      </c>
      <c r="Z121" t="str">
        <f t="shared" si="13"/>
        <v/>
      </c>
      <c r="AB121" t="str">
        <f t="shared" si="15"/>
        <v/>
      </c>
      <c r="AD121" t="str">
        <f t="shared" si="17"/>
        <v/>
      </c>
      <c r="AF121" t="str">
        <f t="shared" si="19"/>
        <v/>
      </c>
      <c r="AH121" t="str">
        <f t="shared" si="21"/>
        <v/>
      </c>
      <c r="AJ121" t="str">
        <f t="shared" si="23"/>
        <v/>
      </c>
    </row>
    <row r="122">
      <c r="P122" t="str">
        <f t="shared" si="3"/>
        <v/>
      </c>
      <c r="R122" t="str">
        <f t="shared" si="5"/>
        <v/>
      </c>
      <c r="T122" t="str">
        <f t="shared" si="7"/>
        <v/>
      </c>
      <c r="V122" t="str">
        <f t="shared" si="9"/>
        <v/>
      </c>
      <c r="X122" t="str">
        <f t="shared" si="11"/>
        <v/>
      </c>
      <c r="Z122" t="str">
        <f t="shared" si="13"/>
        <v/>
      </c>
      <c r="AB122" t="str">
        <f t="shared" si="15"/>
        <v/>
      </c>
      <c r="AD122" t="str">
        <f t="shared" si="17"/>
        <v/>
      </c>
      <c r="AF122" t="str">
        <f t="shared" si="19"/>
        <v/>
      </c>
      <c r="AH122" t="str">
        <f t="shared" si="21"/>
        <v/>
      </c>
      <c r="AJ122" t="str">
        <f t="shared" si="23"/>
        <v/>
      </c>
    </row>
    <row r="123">
      <c r="P123" t="str">
        <f t="shared" si="3"/>
        <v/>
      </c>
      <c r="R123" t="str">
        <f t="shared" si="5"/>
        <v/>
      </c>
      <c r="T123" t="str">
        <f t="shared" si="7"/>
        <v/>
      </c>
      <c r="V123" t="str">
        <f t="shared" si="9"/>
        <v/>
      </c>
      <c r="X123" t="str">
        <f t="shared" si="11"/>
        <v/>
      </c>
      <c r="Z123" t="str">
        <f t="shared" si="13"/>
        <v/>
      </c>
      <c r="AB123" t="str">
        <f t="shared" si="15"/>
        <v/>
      </c>
      <c r="AD123" t="str">
        <f t="shared" si="17"/>
        <v/>
      </c>
      <c r="AF123" t="str">
        <f t="shared" si="19"/>
        <v/>
      </c>
      <c r="AH123" t="str">
        <f t="shared" si="21"/>
        <v/>
      </c>
      <c r="AJ123" t="str">
        <f t="shared" si="23"/>
        <v/>
      </c>
    </row>
    <row r="124">
      <c r="P124" t="str">
        <f t="shared" si="3"/>
        <v/>
      </c>
      <c r="R124" t="str">
        <f t="shared" si="5"/>
        <v/>
      </c>
      <c r="T124" t="str">
        <f t="shared" si="7"/>
        <v/>
      </c>
      <c r="V124" t="str">
        <f t="shared" si="9"/>
        <v/>
      </c>
      <c r="X124" t="str">
        <f t="shared" si="11"/>
        <v/>
      </c>
      <c r="Z124" t="str">
        <f t="shared" si="13"/>
        <v/>
      </c>
      <c r="AB124" t="str">
        <f t="shared" si="15"/>
        <v/>
      </c>
      <c r="AD124" t="str">
        <f t="shared" si="17"/>
        <v/>
      </c>
      <c r="AF124" t="str">
        <f t="shared" si="19"/>
        <v/>
      </c>
      <c r="AH124" t="str">
        <f t="shared" si="21"/>
        <v/>
      </c>
      <c r="AJ124" t="str">
        <f t="shared" si="23"/>
        <v/>
      </c>
    </row>
    <row r="125">
      <c r="P125" t="str">
        <f t="shared" si="3"/>
        <v/>
      </c>
      <c r="R125" t="str">
        <f t="shared" si="5"/>
        <v/>
      </c>
      <c r="T125" t="str">
        <f t="shared" si="7"/>
        <v/>
      </c>
      <c r="V125" t="str">
        <f t="shared" si="9"/>
        <v/>
      </c>
      <c r="X125" t="str">
        <f t="shared" si="11"/>
        <v/>
      </c>
      <c r="Z125" t="str">
        <f t="shared" si="13"/>
        <v/>
      </c>
      <c r="AB125" t="str">
        <f t="shared" si="15"/>
        <v/>
      </c>
      <c r="AD125" t="str">
        <f t="shared" si="17"/>
        <v/>
      </c>
      <c r="AF125" t="str">
        <f t="shared" si="19"/>
        <v/>
      </c>
      <c r="AH125" t="str">
        <f t="shared" si="21"/>
        <v/>
      </c>
      <c r="AJ125" t="str">
        <f t="shared" si="23"/>
        <v/>
      </c>
    </row>
    <row r="126">
      <c r="P126" t="str">
        <f t="shared" si="3"/>
        <v/>
      </c>
      <c r="R126" t="str">
        <f t="shared" si="5"/>
        <v/>
      </c>
      <c r="T126" t="str">
        <f t="shared" si="7"/>
        <v/>
      </c>
      <c r="V126" t="str">
        <f t="shared" si="9"/>
        <v/>
      </c>
      <c r="X126" t="str">
        <f t="shared" si="11"/>
        <v/>
      </c>
      <c r="Z126" t="str">
        <f t="shared" si="13"/>
        <v/>
      </c>
      <c r="AB126" t="str">
        <f t="shared" si="15"/>
        <v/>
      </c>
      <c r="AD126" t="str">
        <f t="shared" si="17"/>
        <v/>
      </c>
      <c r="AF126" t="str">
        <f t="shared" si="19"/>
        <v/>
      </c>
      <c r="AH126" t="str">
        <f t="shared" si="21"/>
        <v/>
      </c>
      <c r="AJ126" t="str">
        <f t="shared" si="23"/>
        <v/>
      </c>
    </row>
    <row r="127">
      <c r="P127" t="str">
        <f t="shared" si="3"/>
        <v/>
      </c>
      <c r="R127" t="str">
        <f t="shared" si="5"/>
        <v/>
      </c>
      <c r="T127" t="str">
        <f t="shared" si="7"/>
        <v/>
      </c>
      <c r="V127" t="str">
        <f t="shared" si="9"/>
        <v/>
      </c>
      <c r="X127" t="str">
        <f t="shared" si="11"/>
        <v/>
      </c>
      <c r="Z127" t="str">
        <f t="shared" si="13"/>
        <v/>
      </c>
      <c r="AB127" t="str">
        <f t="shared" si="15"/>
        <v/>
      </c>
      <c r="AD127" t="str">
        <f t="shared" si="17"/>
        <v/>
      </c>
      <c r="AF127" t="str">
        <f t="shared" si="19"/>
        <v/>
      </c>
      <c r="AH127" t="str">
        <f t="shared" si="21"/>
        <v/>
      </c>
      <c r="AJ127" t="str">
        <f t="shared" si="23"/>
        <v/>
      </c>
    </row>
    <row r="128">
      <c r="P128" t="str">
        <f t="shared" si="3"/>
        <v/>
      </c>
      <c r="R128" t="str">
        <f t="shared" si="5"/>
        <v/>
      </c>
      <c r="T128" t="str">
        <f t="shared" si="7"/>
        <v/>
      </c>
      <c r="V128" t="str">
        <f t="shared" si="9"/>
        <v/>
      </c>
      <c r="X128" t="str">
        <f t="shared" si="11"/>
        <v/>
      </c>
      <c r="Z128" t="str">
        <f t="shared" si="13"/>
        <v/>
      </c>
      <c r="AB128" t="str">
        <f t="shared" si="15"/>
        <v/>
      </c>
      <c r="AD128" t="str">
        <f t="shared" si="17"/>
        <v/>
      </c>
      <c r="AF128" t="str">
        <f t="shared" si="19"/>
        <v/>
      </c>
      <c r="AH128" t="str">
        <f t="shared" si="21"/>
        <v/>
      </c>
      <c r="AJ128" t="str">
        <f t="shared" si="23"/>
        <v/>
      </c>
    </row>
    <row r="129">
      <c r="P129" t="str">
        <f t="shared" si="3"/>
        <v/>
      </c>
      <c r="R129" t="str">
        <f t="shared" si="5"/>
        <v/>
      </c>
      <c r="T129" t="str">
        <f t="shared" si="7"/>
        <v/>
      </c>
      <c r="V129" t="str">
        <f t="shared" si="9"/>
        <v/>
      </c>
      <c r="X129" t="str">
        <f t="shared" si="11"/>
        <v/>
      </c>
      <c r="Z129" t="str">
        <f t="shared" si="13"/>
        <v/>
      </c>
      <c r="AB129" t="str">
        <f t="shared" si="15"/>
        <v/>
      </c>
      <c r="AD129" t="str">
        <f t="shared" si="17"/>
        <v/>
      </c>
      <c r="AF129" t="str">
        <f t="shared" si="19"/>
        <v/>
      </c>
      <c r="AH129" t="str">
        <f t="shared" si="21"/>
        <v/>
      </c>
      <c r="AJ129" t="str">
        <f t="shared" si="23"/>
        <v/>
      </c>
    </row>
    <row r="130">
      <c r="P130" t="str">
        <f t="shared" si="3"/>
        <v/>
      </c>
      <c r="R130" t="str">
        <f t="shared" si="5"/>
        <v/>
      </c>
      <c r="T130" t="str">
        <f t="shared" si="7"/>
        <v/>
      </c>
      <c r="V130" t="str">
        <f t="shared" si="9"/>
        <v/>
      </c>
      <c r="X130" t="str">
        <f t="shared" si="11"/>
        <v/>
      </c>
      <c r="Z130" t="str">
        <f t="shared" si="13"/>
        <v/>
      </c>
      <c r="AB130" t="str">
        <f t="shared" si="15"/>
        <v/>
      </c>
      <c r="AD130" t="str">
        <f t="shared" si="17"/>
        <v/>
      </c>
      <c r="AF130" t="str">
        <f t="shared" si="19"/>
        <v/>
      </c>
      <c r="AH130" t="str">
        <f t="shared" si="21"/>
        <v/>
      </c>
      <c r="AJ130" t="str">
        <f t="shared" si="23"/>
        <v/>
      </c>
    </row>
    <row r="131">
      <c r="P131" t="str">
        <f t="shared" si="3"/>
        <v/>
      </c>
      <c r="R131" t="str">
        <f t="shared" si="5"/>
        <v/>
      </c>
      <c r="T131" t="str">
        <f t="shared" si="7"/>
        <v/>
      </c>
      <c r="V131" t="str">
        <f t="shared" si="9"/>
        <v/>
      </c>
      <c r="X131" t="str">
        <f t="shared" si="11"/>
        <v/>
      </c>
      <c r="Z131" t="str">
        <f t="shared" si="13"/>
        <v/>
      </c>
      <c r="AB131" t="str">
        <f t="shared" si="15"/>
        <v/>
      </c>
      <c r="AD131" t="str">
        <f t="shared" si="17"/>
        <v/>
      </c>
      <c r="AF131" t="str">
        <f t="shared" si="19"/>
        <v/>
      </c>
      <c r="AH131" t="str">
        <f t="shared" si="21"/>
        <v/>
      </c>
      <c r="AJ131" t="str">
        <f t="shared" si="23"/>
        <v/>
      </c>
    </row>
    <row r="132">
      <c r="P132" t="str">
        <f t="shared" si="3"/>
        <v/>
      </c>
      <c r="R132" t="str">
        <f t="shared" si="5"/>
        <v/>
      </c>
      <c r="T132" t="str">
        <f t="shared" si="7"/>
        <v/>
      </c>
      <c r="V132" t="str">
        <f t="shared" si="9"/>
        <v/>
      </c>
      <c r="X132" t="str">
        <f t="shared" si="11"/>
        <v/>
      </c>
      <c r="Z132" t="str">
        <f t="shared" si="13"/>
        <v/>
      </c>
      <c r="AB132" t="str">
        <f t="shared" si="15"/>
        <v/>
      </c>
      <c r="AD132" t="str">
        <f t="shared" si="17"/>
        <v/>
      </c>
      <c r="AF132" t="str">
        <f t="shared" si="19"/>
        <v/>
      </c>
      <c r="AH132" t="str">
        <f t="shared" si="21"/>
        <v/>
      </c>
      <c r="AJ132" t="str">
        <f t="shared" si="23"/>
        <v/>
      </c>
    </row>
    <row r="133">
      <c r="P133" t="str">
        <f t="shared" si="3"/>
        <v/>
      </c>
      <c r="R133" t="str">
        <f t="shared" si="5"/>
        <v/>
      </c>
      <c r="T133" t="str">
        <f t="shared" si="7"/>
        <v/>
      </c>
      <c r="V133" t="str">
        <f t="shared" si="9"/>
        <v/>
      </c>
      <c r="X133" t="str">
        <f t="shared" si="11"/>
        <v/>
      </c>
      <c r="Z133" t="str">
        <f t="shared" si="13"/>
        <v/>
      </c>
      <c r="AB133" t="str">
        <f t="shared" si="15"/>
        <v/>
      </c>
      <c r="AD133" t="str">
        <f t="shared" si="17"/>
        <v/>
      </c>
      <c r="AF133" t="str">
        <f t="shared" si="19"/>
        <v/>
      </c>
      <c r="AH133" t="str">
        <f t="shared" si="21"/>
        <v/>
      </c>
      <c r="AJ133" t="str">
        <f t="shared" si="23"/>
        <v/>
      </c>
    </row>
    <row r="134">
      <c r="P134" t="str">
        <f t="shared" si="3"/>
        <v/>
      </c>
      <c r="R134" t="str">
        <f t="shared" si="5"/>
        <v/>
      </c>
      <c r="T134" t="str">
        <f t="shared" si="7"/>
        <v/>
      </c>
      <c r="V134" t="str">
        <f t="shared" si="9"/>
        <v/>
      </c>
      <c r="X134" t="str">
        <f t="shared" si="11"/>
        <v/>
      </c>
      <c r="Z134" t="str">
        <f t="shared" si="13"/>
        <v/>
      </c>
      <c r="AB134" t="str">
        <f t="shared" si="15"/>
        <v/>
      </c>
      <c r="AD134" t="str">
        <f t="shared" si="17"/>
        <v/>
      </c>
      <c r="AF134" t="str">
        <f t="shared" si="19"/>
        <v/>
      </c>
      <c r="AH134" t="str">
        <f t="shared" si="21"/>
        <v/>
      </c>
      <c r="AJ134" t="str">
        <f t="shared" si="23"/>
        <v/>
      </c>
    </row>
    <row r="135">
      <c r="P135" t="str">
        <f t="shared" si="3"/>
        <v/>
      </c>
      <c r="R135" t="str">
        <f t="shared" si="5"/>
        <v/>
      </c>
      <c r="T135" t="str">
        <f t="shared" si="7"/>
        <v/>
      </c>
      <c r="V135" t="str">
        <f t="shared" si="9"/>
        <v/>
      </c>
      <c r="X135" t="str">
        <f t="shared" si="11"/>
        <v/>
      </c>
      <c r="Z135" t="str">
        <f t="shared" si="13"/>
        <v/>
      </c>
      <c r="AB135" t="str">
        <f t="shared" si="15"/>
        <v/>
      </c>
      <c r="AD135" t="str">
        <f t="shared" si="17"/>
        <v/>
      </c>
      <c r="AF135" t="str">
        <f t="shared" si="19"/>
        <v/>
      </c>
      <c r="AH135" t="str">
        <f t="shared" si="21"/>
        <v/>
      </c>
      <c r="AJ135" t="str">
        <f t="shared" si="23"/>
        <v/>
      </c>
    </row>
    <row r="136">
      <c r="P136" t="str">
        <f t="shared" si="3"/>
        <v/>
      </c>
      <c r="R136" t="str">
        <f t="shared" si="5"/>
        <v/>
      </c>
      <c r="T136" t="str">
        <f t="shared" si="7"/>
        <v/>
      </c>
      <c r="V136" t="str">
        <f t="shared" si="9"/>
        <v/>
      </c>
      <c r="X136" t="str">
        <f t="shared" si="11"/>
        <v/>
      </c>
      <c r="Z136" t="str">
        <f t="shared" si="13"/>
        <v/>
      </c>
      <c r="AB136" t="str">
        <f t="shared" si="15"/>
        <v/>
      </c>
      <c r="AD136" t="str">
        <f t="shared" si="17"/>
        <v/>
      </c>
      <c r="AF136" t="str">
        <f t="shared" si="19"/>
        <v/>
      </c>
      <c r="AH136" t="str">
        <f t="shared" si="21"/>
        <v/>
      </c>
      <c r="AJ136" t="str">
        <f t="shared" si="23"/>
        <v/>
      </c>
    </row>
    <row r="137">
      <c r="P137" t="str">
        <f t="shared" si="3"/>
        <v/>
      </c>
      <c r="R137" t="str">
        <f t="shared" si="5"/>
        <v/>
      </c>
      <c r="T137" t="str">
        <f t="shared" si="7"/>
        <v/>
      </c>
      <c r="V137" t="str">
        <f t="shared" si="9"/>
        <v/>
      </c>
      <c r="X137" t="str">
        <f t="shared" si="11"/>
        <v/>
      </c>
      <c r="Z137" t="str">
        <f t="shared" si="13"/>
        <v/>
      </c>
      <c r="AB137" t="str">
        <f t="shared" si="15"/>
        <v/>
      </c>
      <c r="AD137" t="str">
        <f t="shared" si="17"/>
        <v/>
      </c>
      <c r="AF137" t="str">
        <f t="shared" si="19"/>
        <v/>
      </c>
      <c r="AH137" t="str">
        <f t="shared" si="21"/>
        <v/>
      </c>
      <c r="AJ137" t="str">
        <f t="shared" si="23"/>
        <v/>
      </c>
    </row>
    <row r="138">
      <c r="P138" t="str">
        <f t="shared" si="3"/>
        <v/>
      </c>
      <c r="R138" t="str">
        <f t="shared" si="5"/>
        <v/>
      </c>
      <c r="T138" t="str">
        <f t="shared" si="7"/>
        <v/>
      </c>
      <c r="V138" t="str">
        <f t="shared" si="9"/>
        <v/>
      </c>
      <c r="X138" t="str">
        <f t="shared" si="11"/>
        <v/>
      </c>
      <c r="Z138" t="str">
        <f t="shared" si="13"/>
        <v/>
      </c>
      <c r="AB138" t="str">
        <f t="shared" si="15"/>
        <v/>
      </c>
      <c r="AD138" t="str">
        <f t="shared" si="17"/>
        <v/>
      </c>
      <c r="AF138" t="str">
        <f t="shared" si="19"/>
        <v/>
      </c>
      <c r="AH138" t="str">
        <f t="shared" si="21"/>
        <v/>
      </c>
      <c r="AJ138" t="str">
        <f t="shared" si="23"/>
        <v/>
      </c>
    </row>
    <row r="139">
      <c r="P139" t="str">
        <f t="shared" si="3"/>
        <v/>
      </c>
      <c r="R139" t="str">
        <f t="shared" si="5"/>
        <v/>
      </c>
      <c r="T139" t="str">
        <f t="shared" si="7"/>
        <v/>
      </c>
      <c r="V139" t="str">
        <f t="shared" si="9"/>
        <v/>
      </c>
      <c r="X139" t="str">
        <f t="shared" si="11"/>
        <v/>
      </c>
      <c r="Z139" t="str">
        <f t="shared" si="13"/>
        <v/>
      </c>
      <c r="AB139" t="str">
        <f t="shared" si="15"/>
        <v/>
      </c>
      <c r="AD139" t="str">
        <f t="shared" si="17"/>
        <v/>
      </c>
      <c r="AF139" t="str">
        <f t="shared" si="19"/>
        <v/>
      </c>
      <c r="AH139" t="str">
        <f t="shared" si="21"/>
        <v/>
      </c>
      <c r="AJ139" t="str">
        <f t="shared" si="23"/>
        <v/>
      </c>
    </row>
    <row r="140">
      <c r="P140" t="str">
        <f t="shared" si="3"/>
        <v/>
      </c>
      <c r="R140" t="str">
        <f t="shared" si="5"/>
        <v/>
      </c>
      <c r="T140" t="str">
        <f t="shared" si="7"/>
        <v/>
      </c>
      <c r="V140" t="str">
        <f t="shared" si="9"/>
        <v/>
      </c>
      <c r="X140" t="str">
        <f t="shared" si="11"/>
        <v/>
      </c>
      <c r="Z140" t="str">
        <f t="shared" si="13"/>
        <v/>
      </c>
      <c r="AB140" t="str">
        <f t="shared" si="15"/>
        <v/>
      </c>
      <c r="AD140" t="str">
        <f t="shared" si="17"/>
        <v/>
      </c>
      <c r="AF140" t="str">
        <f t="shared" si="19"/>
        <v/>
      </c>
      <c r="AH140" t="str">
        <f t="shared" si="21"/>
        <v/>
      </c>
      <c r="AJ140" t="str">
        <f t="shared" si="23"/>
        <v/>
      </c>
    </row>
    <row r="141">
      <c r="P141" t="str">
        <f t="shared" si="3"/>
        <v/>
      </c>
      <c r="R141" t="str">
        <f t="shared" si="5"/>
        <v/>
      </c>
      <c r="T141" t="str">
        <f t="shared" si="7"/>
        <v/>
      </c>
      <c r="V141" t="str">
        <f t="shared" si="9"/>
        <v/>
      </c>
      <c r="X141" t="str">
        <f t="shared" si="11"/>
        <v/>
      </c>
      <c r="Z141" t="str">
        <f t="shared" si="13"/>
        <v/>
      </c>
      <c r="AB141" t="str">
        <f t="shared" si="15"/>
        <v/>
      </c>
      <c r="AD141" t="str">
        <f t="shared" si="17"/>
        <v/>
      </c>
      <c r="AF141" t="str">
        <f t="shared" si="19"/>
        <v/>
      </c>
      <c r="AH141" t="str">
        <f t="shared" si="21"/>
        <v/>
      </c>
      <c r="AJ141" t="str">
        <f t="shared" si="23"/>
        <v/>
      </c>
    </row>
    <row r="142">
      <c r="P142" t="str">
        <f t="shared" si="3"/>
        <v/>
      </c>
      <c r="R142" t="str">
        <f t="shared" si="5"/>
        <v/>
      </c>
      <c r="T142" t="str">
        <f t="shared" si="7"/>
        <v/>
      </c>
      <c r="V142" t="str">
        <f t="shared" si="9"/>
        <v/>
      </c>
      <c r="X142" t="str">
        <f t="shared" si="11"/>
        <v/>
      </c>
      <c r="Z142" t="str">
        <f t="shared" si="13"/>
        <v/>
      </c>
      <c r="AB142" t="str">
        <f t="shared" si="15"/>
        <v/>
      </c>
      <c r="AD142" t="str">
        <f t="shared" si="17"/>
        <v/>
      </c>
      <c r="AF142" t="str">
        <f t="shared" si="19"/>
        <v/>
      </c>
      <c r="AH142" t="str">
        <f t="shared" si="21"/>
        <v/>
      </c>
      <c r="AJ142" t="str">
        <f t="shared" si="23"/>
        <v/>
      </c>
    </row>
    <row r="143">
      <c r="P143" t="str">
        <f t="shared" si="3"/>
        <v/>
      </c>
      <c r="R143" t="str">
        <f t="shared" si="5"/>
        <v/>
      </c>
      <c r="T143" t="str">
        <f t="shared" si="7"/>
        <v/>
      </c>
      <c r="V143" t="str">
        <f t="shared" si="9"/>
        <v/>
      </c>
      <c r="X143" t="str">
        <f t="shared" si="11"/>
        <v/>
      </c>
      <c r="Z143" t="str">
        <f t="shared" si="13"/>
        <v/>
      </c>
      <c r="AB143" t="str">
        <f t="shared" si="15"/>
        <v/>
      </c>
      <c r="AD143" t="str">
        <f t="shared" si="17"/>
        <v/>
      </c>
      <c r="AF143" t="str">
        <f t="shared" si="19"/>
        <v/>
      </c>
      <c r="AH143" t="str">
        <f t="shared" si="21"/>
        <v/>
      </c>
      <c r="AJ143" t="str">
        <f t="shared" si="23"/>
        <v/>
      </c>
    </row>
    <row r="144">
      <c r="P144" t="str">
        <f t="shared" si="3"/>
        <v/>
      </c>
      <c r="R144" t="str">
        <f t="shared" si="5"/>
        <v/>
      </c>
      <c r="T144" t="str">
        <f t="shared" si="7"/>
        <v/>
      </c>
      <c r="V144" t="str">
        <f t="shared" si="9"/>
        <v/>
      </c>
      <c r="X144" t="str">
        <f t="shared" si="11"/>
        <v/>
      </c>
      <c r="Z144" t="str">
        <f t="shared" si="13"/>
        <v/>
      </c>
      <c r="AB144" t="str">
        <f t="shared" si="15"/>
        <v/>
      </c>
      <c r="AD144" t="str">
        <f t="shared" si="17"/>
        <v/>
      </c>
      <c r="AF144" t="str">
        <f t="shared" si="19"/>
        <v/>
      </c>
      <c r="AH144" t="str">
        <f t="shared" si="21"/>
        <v/>
      </c>
      <c r="AJ144" t="str">
        <f t="shared" si="23"/>
        <v/>
      </c>
    </row>
    <row r="145">
      <c r="P145" t="str">
        <f t="shared" si="3"/>
        <v/>
      </c>
      <c r="R145" t="str">
        <f t="shared" si="5"/>
        <v/>
      </c>
      <c r="T145" t="str">
        <f t="shared" si="7"/>
        <v/>
      </c>
      <c r="V145" t="str">
        <f t="shared" si="9"/>
        <v/>
      </c>
      <c r="X145" t="str">
        <f t="shared" si="11"/>
        <v/>
      </c>
      <c r="Z145" t="str">
        <f t="shared" si="13"/>
        <v/>
      </c>
      <c r="AB145" t="str">
        <f t="shared" si="15"/>
        <v/>
      </c>
      <c r="AD145" t="str">
        <f t="shared" si="17"/>
        <v/>
      </c>
      <c r="AF145" t="str">
        <f t="shared" si="19"/>
        <v/>
      </c>
      <c r="AH145" t="str">
        <f t="shared" si="21"/>
        <v/>
      </c>
      <c r="AJ145" t="str">
        <f t="shared" si="23"/>
        <v/>
      </c>
    </row>
    <row r="146">
      <c r="P146" t="str">
        <f t="shared" si="3"/>
        <v/>
      </c>
      <c r="R146" t="str">
        <f t="shared" si="5"/>
        <v/>
      </c>
      <c r="T146" t="str">
        <f t="shared" si="7"/>
        <v/>
      </c>
      <c r="V146" t="str">
        <f t="shared" si="9"/>
        <v/>
      </c>
      <c r="X146" t="str">
        <f t="shared" si="11"/>
        <v/>
      </c>
      <c r="Z146" t="str">
        <f t="shared" si="13"/>
        <v/>
      </c>
      <c r="AB146" t="str">
        <f t="shared" si="15"/>
        <v/>
      </c>
      <c r="AD146" t="str">
        <f t="shared" si="17"/>
        <v/>
      </c>
      <c r="AF146" t="str">
        <f t="shared" si="19"/>
        <v/>
      </c>
      <c r="AH146" t="str">
        <f t="shared" si="21"/>
        <v/>
      </c>
      <c r="AJ146" t="str">
        <f t="shared" si="23"/>
        <v/>
      </c>
    </row>
    <row r="147">
      <c r="P147" t="str">
        <f t="shared" si="3"/>
        <v/>
      </c>
      <c r="R147" t="str">
        <f t="shared" si="5"/>
        <v/>
      </c>
      <c r="T147" t="str">
        <f t="shared" si="7"/>
        <v/>
      </c>
      <c r="V147" t="str">
        <f t="shared" si="9"/>
        <v/>
      </c>
      <c r="X147" t="str">
        <f t="shared" si="11"/>
        <v/>
      </c>
      <c r="Z147" t="str">
        <f t="shared" si="13"/>
        <v/>
      </c>
      <c r="AB147" t="str">
        <f t="shared" si="15"/>
        <v/>
      </c>
      <c r="AD147" t="str">
        <f t="shared" si="17"/>
        <v/>
      </c>
      <c r="AF147" t="str">
        <f t="shared" si="19"/>
        <v/>
      </c>
      <c r="AH147" t="str">
        <f t="shared" si="21"/>
        <v/>
      </c>
      <c r="AJ147" t="str">
        <f t="shared" si="23"/>
        <v/>
      </c>
    </row>
    <row r="148">
      <c r="P148" t="str">
        <f t="shared" si="3"/>
        <v/>
      </c>
      <c r="R148" t="str">
        <f t="shared" si="5"/>
        <v/>
      </c>
      <c r="T148" t="str">
        <f t="shared" si="7"/>
        <v/>
      </c>
      <c r="V148" t="str">
        <f t="shared" si="9"/>
        <v/>
      </c>
      <c r="X148" t="str">
        <f t="shared" si="11"/>
        <v/>
      </c>
      <c r="Z148" t="str">
        <f t="shared" si="13"/>
        <v/>
      </c>
      <c r="AB148" t="str">
        <f t="shared" si="15"/>
        <v/>
      </c>
      <c r="AD148" t="str">
        <f t="shared" si="17"/>
        <v/>
      </c>
      <c r="AF148" t="str">
        <f t="shared" si="19"/>
        <v/>
      </c>
      <c r="AH148" t="str">
        <f t="shared" si="21"/>
        <v/>
      </c>
      <c r="AJ148" t="str">
        <f t="shared" si="23"/>
        <v/>
      </c>
    </row>
    <row r="149">
      <c r="P149" t="str">
        <f t="shared" si="3"/>
        <v/>
      </c>
      <c r="R149" t="str">
        <f t="shared" si="5"/>
        <v/>
      </c>
      <c r="T149" t="str">
        <f t="shared" si="7"/>
        <v/>
      </c>
      <c r="V149" t="str">
        <f t="shared" si="9"/>
        <v/>
      </c>
      <c r="X149" t="str">
        <f t="shared" si="11"/>
        <v/>
      </c>
      <c r="Z149" t="str">
        <f t="shared" si="13"/>
        <v/>
      </c>
      <c r="AB149" t="str">
        <f t="shared" si="15"/>
        <v/>
      </c>
      <c r="AD149" t="str">
        <f t="shared" si="17"/>
        <v/>
      </c>
      <c r="AF149" t="str">
        <f t="shared" si="19"/>
        <v/>
      </c>
      <c r="AH149" t="str">
        <f t="shared" si="21"/>
        <v/>
      </c>
      <c r="AJ149" t="str">
        <f t="shared" si="23"/>
        <v/>
      </c>
    </row>
    <row r="150">
      <c r="P150" t="str">
        <f t="shared" si="3"/>
        <v/>
      </c>
      <c r="R150" t="str">
        <f t="shared" si="5"/>
        <v/>
      </c>
      <c r="T150" t="str">
        <f t="shared" si="7"/>
        <v/>
      </c>
      <c r="V150" t="str">
        <f t="shared" si="9"/>
        <v/>
      </c>
      <c r="X150" t="str">
        <f t="shared" si="11"/>
        <v/>
      </c>
      <c r="Z150" t="str">
        <f t="shared" si="13"/>
        <v/>
      </c>
      <c r="AB150" t="str">
        <f t="shared" si="15"/>
        <v/>
      </c>
      <c r="AD150" t="str">
        <f t="shared" si="17"/>
        <v/>
      </c>
      <c r="AF150" t="str">
        <f t="shared" si="19"/>
        <v/>
      </c>
      <c r="AH150" t="str">
        <f t="shared" si="21"/>
        <v/>
      </c>
      <c r="AJ150" t="str">
        <f t="shared" si="23"/>
        <v/>
      </c>
    </row>
    <row r="151">
      <c r="P151" t="str">
        <f t="shared" si="3"/>
        <v/>
      </c>
      <c r="R151" t="str">
        <f t="shared" si="5"/>
        <v/>
      </c>
      <c r="T151" t="str">
        <f t="shared" si="7"/>
        <v/>
      </c>
      <c r="V151" t="str">
        <f t="shared" si="9"/>
        <v/>
      </c>
      <c r="X151" t="str">
        <f t="shared" si="11"/>
        <v/>
      </c>
      <c r="Z151" t="str">
        <f t="shared" si="13"/>
        <v/>
      </c>
      <c r="AB151" t="str">
        <f t="shared" si="15"/>
        <v/>
      </c>
      <c r="AD151" t="str">
        <f t="shared" si="17"/>
        <v/>
      </c>
      <c r="AF151" t="str">
        <f t="shared" si="19"/>
        <v/>
      </c>
      <c r="AH151" t="str">
        <f t="shared" si="21"/>
        <v/>
      </c>
      <c r="AJ151" t="str">
        <f t="shared" si="23"/>
        <v/>
      </c>
    </row>
    <row r="152">
      <c r="P152" t="str">
        <f t="shared" si="3"/>
        <v/>
      </c>
      <c r="R152" t="str">
        <f t="shared" si="5"/>
        <v/>
      </c>
      <c r="T152" t="str">
        <f t="shared" si="7"/>
        <v/>
      </c>
      <c r="V152" t="str">
        <f t="shared" si="9"/>
        <v/>
      </c>
      <c r="X152" t="str">
        <f t="shared" si="11"/>
        <v/>
      </c>
      <c r="Z152" t="str">
        <f t="shared" si="13"/>
        <v/>
      </c>
      <c r="AB152" t="str">
        <f t="shared" si="15"/>
        <v/>
      </c>
      <c r="AD152" t="str">
        <f t="shared" si="17"/>
        <v/>
      </c>
      <c r="AF152" t="str">
        <f t="shared" si="19"/>
        <v/>
      </c>
      <c r="AH152" t="str">
        <f t="shared" si="21"/>
        <v/>
      </c>
      <c r="AJ152" t="str">
        <f t="shared" si="23"/>
        <v/>
      </c>
    </row>
    <row r="153">
      <c r="P153" t="str">
        <f t="shared" si="3"/>
        <v/>
      </c>
      <c r="R153" t="str">
        <f t="shared" si="5"/>
        <v/>
      </c>
      <c r="T153" t="str">
        <f t="shared" si="7"/>
        <v/>
      </c>
      <c r="V153" t="str">
        <f t="shared" si="9"/>
        <v/>
      </c>
      <c r="X153" t="str">
        <f t="shared" si="11"/>
        <v/>
      </c>
      <c r="Z153" t="str">
        <f t="shared" si="13"/>
        <v/>
      </c>
      <c r="AB153" t="str">
        <f t="shared" si="15"/>
        <v/>
      </c>
      <c r="AD153" t="str">
        <f t="shared" si="17"/>
        <v/>
      </c>
      <c r="AF153" t="str">
        <f t="shared" si="19"/>
        <v/>
      </c>
      <c r="AH153" t="str">
        <f t="shared" si="21"/>
        <v/>
      </c>
      <c r="AJ153" t="str">
        <f t="shared" si="23"/>
        <v/>
      </c>
    </row>
    <row r="154">
      <c r="P154" t="str">
        <f t="shared" si="3"/>
        <v/>
      </c>
      <c r="R154" t="str">
        <f t="shared" si="5"/>
        <v/>
      </c>
      <c r="T154" t="str">
        <f t="shared" si="7"/>
        <v/>
      </c>
      <c r="V154" t="str">
        <f t="shared" si="9"/>
        <v/>
      </c>
      <c r="X154" t="str">
        <f t="shared" si="11"/>
        <v/>
      </c>
      <c r="Z154" t="str">
        <f t="shared" si="13"/>
        <v/>
      </c>
      <c r="AB154" t="str">
        <f t="shared" si="15"/>
        <v/>
      </c>
      <c r="AD154" t="str">
        <f t="shared" si="17"/>
        <v/>
      </c>
      <c r="AF154" t="str">
        <f t="shared" si="19"/>
        <v/>
      </c>
      <c r="AH154" t="str">
        <f t="shared" si="21"/>
        <v/>
      </c>
      <c r="AJ154" t="str">
        <f t="shared" si="23"/>
        <v/>
      </c>
    </row>
    <row r="155">
      <c r="P155" t="str">
        <f t="shared" si="3"/>
        <v/>
      </c>
      <c r="R155" t="str">
        <f t="shared" si="5"/>
        <v/>
      </c>
      <c r="T155" t="str">
        <f t="shared" si="7"/>
        <v/>
      </c>
      <c r="V155" t="str">
        <f t="shared" si="9"/>
        <v/>
      </c>
      <c r="X155" t="str">
        <f t="shared" si="11"/>
        <v/>
      </c>
      <c r="Z155" t="str">
        <f t="shared" si="13"/>
        <v/>
      </c>
      <c r="AB155" t="str">
        <f t="shared" si="15"/>
        <v/>
      </c>
      <c r="AD155" t="str">
        <f t="shared" si="17"/>
        <v/>
      </c>
      <c r="AF155" t="str">
        <f t="shared" si="19"/>
        <v/>
      </c>
      <c r="AH155" t="str">
        <f t="shared" si="21"/>
        <v/>
      </c>
      <c r="AJ155" t="str">
        <f t="shared" si="23"/>
        <v/>
      </c>
    </row>
    <row r="156">
      <c r="P156" t="str">
        <f t="shared" si="3"/>
        <v/>
      </c>
      <c r="R156" t="str">
        <f t="shared" si="5"/>
        <v/>
      </c>
      <c r="T156" t="str">
        <f t="shared" si="7"/>
        <v/>
      </c>
      <c r="V156" t="str">
        <f t="shared" si="9"/>
        <v/>
      </c>
      <c r="X156" t="str">
        <f t="shared" si="11"/>
        <v/>
      </c>
      <c r="Z156" t="str">
        <f t="shared" si="13"/>
        <v/>
      </c>
      <c r="AB156" t="str">
        <f t="shared" si="15"/>
        <v/>
      </c>
      <c r="AD156" t="str">
        <f t="shared" si="17"/>
        <v/>
      </c>
      <c r="AF156" t="str">
        <f t="shared" si="19"/>
        <v/>
      </c>
      <c r="AH156" t="str">
        <f t="shared" si="21"/>
        <v/>
      </c>
      <c r="AJ156" t="str">
        <f t="shared" si="23"/>
        <v/>
      </c>
    </row>
    <row r="157">
      <c r="P157" t="str">
        <f t="shared" si="3"/>
        <v/>
      </c>
      <c r="R157" t="str">
        <f t="shared" si="5"/>
        <v/>
      </c>
      <c r="T157" t="str">
        <f t="shared" si="7"/>
        <v/>
      </c>
      <c r="V157" t="str">
        <f t="shared" si="9"/>
        <v/>
      </c>
      <c r="X157" t="str">
        <f t="shared" si="11"/>
        <v/>
      </c>
      <c r="Z157" t="str">
        <f t="shared" si="13"/>
        <v/>
      </c>
      <c r="AB157" t="str">
        <f t="shared" si="15"/>
        <v/>
      </c>
      <c r="AD157" t="str">
        <f t="shared" si="17"/>
        <v/>
      </c>
      <c r="AF157" t="str">
        <f t="shared" si="19"/>
        <v/>
      </c>
      <c r="AH157" t="str">
        <f t="shared" si="21"/>
        <v/>
      </c>
      <c r="AJ157" t="str">
        <f t="shared" si="23"/>
        <v/>
      </c>
    </row>
    <row r="158">
      <c r="P158" t="str">
        <f t="shared" si="3"/>
        <v/>
      </c>
      <c r="R158" t="str">
        <f t="shared" si="5"/>
        <v/>
      </c>
      <c r="T158" t="str">
        <f t="shared" si="7"/>
        <v/>
      </c>
      <c r="V158" t="str">
        <f t="shared" si="9"/>
        <v/>
      </c>
      <c r="X158" t="str">
        <f t="shared" si="11"/>
        <v/>
      </c>
      <c r="Z158" t="str">
        <f t="shared" si="13"/>
        <v/>
      </c>
      <c r="AB158" t="str">
        <f t="shared" si="15"/>
        <v/>
      </c>
      <c r="AD158" t="str">
        <f t="shared" si="17"/>
        <v/>
      </c>
      <c r="AF158" t="str">
        <f t="shared" si="19"/>
        <v/>
      </c>
      <c r="AH158" t="str">
        <f t="shared" si="21"/>
        <v/>
      </c>
      <c r="AJ158" t="str">
        <f t="shared" si="23"/>
        <v/>
      </c>
    </row>
    <row r="159">
      <c r="P159" t="str">
        <f t="shared" si="3"/>
        <v/>
      </c>
      <c r="R159" t="str">
        <f t="shared" si="5"/>
        <v/>
      </c>
      <c r="T159" t="str">
        <f t="shared" si="7"/>
        <v/>
      </c>
      <c r="V159" t="str">
        <f t="shared" si="9"/>
        <v/>
      </c>
      <c r="X159" t="str">
        <f t="shared" si="11"/>
        <v/>
      </c>
      <c r="Z159" t="str">
        <f t="shared" si="13"/>
        <v/>
      </c>
      <c r="AB159" t="str">
        <f t="shared" si="15"/>
        <v/>
      </c>
      <c r="AD159" t="str">
        <f t="shared" si="17"/>
        <v/>
      </c>
      <c r="AF159" t="str">
        <f t="shared" si="19"/>
        <v/>
      </c>
      <c r="AH159" t="str">
        <f t="shared" si="21"/>
        <v/>
      </c>
      <c r="AJ159" t="str">
        <f t="shared" si="23"/>
        <v/>
      </c>
    </row>
    <row r="160">
      <c r="P160" t="str">
        <f t="shared" si="3"/>
        <v/>
      </c>
      <c r="R160" t="str">
        <f t="shared" si="5"/>
        <v/>
      </c>
      <c r="T160" t="str">
        <f t="shared" si="7"/>
        <v/>
      </c>
      <c r="V160" t="str">
        <f t="shared" si="9"/>
        <v/>
      </c>
      <c r="X160" t="str">
        <f t="shared" si="11"/>
        <v/>
      </c>
      <c r="Z160" t="str">
        <f t="shared" si="13"/>
        <v/>
      </c>
      <c r="AB160" t="str">
        <f t="shared" si="15"/>
        <v/>
      </c>
      <c r="AD160" t="str">
        <f t="shared" si="17"/>
        <v/>
      </c>
      <c r="AF160" t="str">
        <f t="shared" si="19"/>
        <v/>
      </c>
      <c r="AH160" t="str">
        <f t="shared" si="21"/>
        <v/>
      </c>
      <c r="AJ160" t="str">
        <f t="shared" si="23"/>
        <v/>
      </c>
    </row>
    <row r="161">
      <c r="P161" t="str">
        <f t="shared" si="3"/>
        <v/>
      </c>
      <c r="R161" t="str">
        <f t="shared" si="5"/>
        <v/>
      </c>
      <c r="T161" t="str">
        <f t="shared" si="7"/>
        <v/>
      </c>
      <c r="V161" t="str">
        <f t="shared" si="9"/>
        <v/>
      </c>
      <c r="X161" t="str">
        <f t="shared" si="11"/>
        <v/>
      </c>
      <c r="Z161" t="str">
        <f t="shared" si="13"/>
        <v/>
      </c>
      <c r="AB161" t="str">
        <f t="shared" si="15"/>
        <v/>
      </c>
      <c r="AD161" t="str">
        <f t="shared" si="17"/>
        <v/>
      </c>
      <c r="AF161" t="str">
        <f t="shared" si="19"/>
        <v/>
      </c>
      <c r="AH161" t="str">
        <f t="shared" si="21"/>
        <v/>
      </c>
      <c r="AJ161" t="str">
        <f t="shared" si="23"/>
        <v/>
      </c>
    </row>
    <row r="162">
      <c r="P162" t="str">
        <f t="shared" si="3"/>
        <v/>
      </c>
      <c r="R162" t="str">
        <f t="shared" si="5"/>
        <v/>
      </c>
      <c r="T162" t="str">
        <f t="shared" si="7"/>
        <v/>
      </c>
      <c r="V162" t="str">
        <f t="shared" si="9"/>
        <v/>
      </c>
      <c r="X162" t="str">
        <f t="shared" si="11"/>
        <v/>
      </c>
      <c r="Z162" t="str">
        <f t="shared" si="13"/>
        <v/>
      </c>
      <c r="AB162" t="str">
        <f t="shared" si="15"/>
        <v/>
      </c>
      <c r="AD162" t="str">
        <f t="shared" si="17"/>
        <v/>
      </c>
      <c r="AF162" t="str">
        <f t="shared" si="19"/>
        <v/>
      </c>
      <c r="AH162" t="str">
        <f t="shared" si="21"/>
        <v/>
      </c>
      <c r="AJ162" t="str">
        <f t="shared" si="23"/>
        <v/>
      </c>
    </row>
    <row r="163">
      <c r="P163" t="str">
        <f t="shared" si="3"/>
        <v/>
      </c>
      <c r="R163" t="str">
        <f t="shared" si="5"/>
        <v/>
      </c>
      <c r="T163" t="str">
        <f t="shared" si="7"/>
        <v/>
      </c>
      <c r="V163" t="str">
        <f t="shared" si="9"/>
        <v/>
      </c>
      <c r="X163" t="str">
        <f t="shared" si="11"/>
        <v/>
      </c>
      <c r="Z163" t="str">
        <f t="shared" si="13"/>
        <v/>
      </c>
      <c r="AB163" t="str">
        <f t="shared" si="15"/>
        <v/>
      </c>
      <c r="AD163" t="str">
        <f t="shared" si="17"/>
        <v/>
      </c>
      <c r="AF163" t="str">
        <f t="shared" si="19"/>
        <v/>
      </c>
      <c r="AH163" t="str">
        <f t="shared" si="21"/>
        <v/>
      </c>
      <c r="AJ163" t="str">
        <f t="shared" si="23"/>
        <v/>
      </c>
    </row>
    <row r="164">
      <c r="P164" t="str">
        <f t="shared" si="3"/>
        <v/>
      </c>
      <c r="R164" t="str">
        <f t="shared" si="5"/>
        <v/>
      </c>
      <c r="T164" t="str">
        <f t="shared" si="7"/>
        <v/>
      </c>
      <c r="V164" t="str">
        <f t="shared" si="9"/>
        <v/>
      </c>
      <c r="X164" t="str">
        <f t="shared" si="11"/>
        <v/>
      </c>
      <c r="Z164" t="str">
        <f t="shared" si="13"/>
        <v/>
      </c>
      <c r="AB164" t="str">
        <f t="shared" si="15"/>
        <v/>
      </c>
      <c r="AD164" t="str">
        <f t="shared" si="17"/>
        <v/>
      </c>
      <c r="AF164" t="str">
        <f t="shared" si="19"/>
        <v/>
      </c>
      <c r="AH164" t="str">
        <f t="shared" si="21"/>
        <v/>
      </c>
      <c r="AJ164" t="str">
        <f t="shared" si="23"/>
        <v/>
      </c>
    </row>
    <row r="165">
      <c r="P165" t="str">
        <f t="shared" si="3"/>
        <v/>
      </c>
      <c r="R165" t="str">
        <f t="shared" si="5"/>
        <v/>
      </c>
      <c r="T165" t="str">
        <f t="shared" si="7"/>
        <v/>
      </c>
      <c r="V165" t="str">
        <f t="shared" si="9"/>
        <v/>
      </c>
      <c r="X165" t="str">
        <f t="shared" si="11"/>
        <v/>
      </c>
      <c r="Z165" t="str">
        <f t="shared" si="13"/>
        <v/>
      </c>
      <c r="AB165" t="str">
        <f t="shared" si="15"/>
        <v/>
      </c>
      <c r="AD165" t="str">
        <f t="shared" si="17"/>
        <v/>
      </c>
      <c r="AF165" t="str">
        <f t="shared" si="19"/>
        <v/>
      </c>
      <c r="AH165" t="str">
        <f t="shared" si="21"/>
        <v/>
      </c>
      <c r="AJ165" t="str">
        <f t="shared" si="23"/>
        <v/>
      </c>
    </row>
    <row r="166">
      <c r="P166" t="str">
        <f t="shared" si="3"/>
        <v/>
      </c>
      <c r="R166" t="str">
        <f t="shared" si="5"/>
        <v/>
      </c>
      <c r="T166" t="str">
        <f t="shared" si="7"/>
        <v/>
      </c>
      <c r="V166" t="str">
        <f t="shared" si="9"/>
        <v/>
      </c>
      <c r="X166" t="str">
        <f t="shared" si="11"/>
        <v/>
      </c>
      <c r="Z166" t="str">
        <f t="shared" si="13"/>
        <v/>
      </c>
      <c r="AB166" t="str">
        <f t="shared" si="15"/>
        <v/>
      </c>
      <c r="AD166" t="str">
        <f t="shared" si="17"/>
        <v/>
      </c>
      <c r="AF166" t="str">
        <f t="shared" si="19"/>
        <v/>
      </c>
      <c r="AH166" t="str">
        <f t="shared" si="21"/>
        <v/>
      </c>
      <c r="AJ166" t="str">
        <f t="shared" si="23"/>
        <v/>
      </c>
    </row>
    <row r="167">
      <c r="P167" t="str">
        <f t="shared" si="3"/>
        <v/>
      </c>
      <c r="R167" t="str">
        <f t="shared" si="5"/>
        <v/>
      </c>
      <c r="T167" t="str">
        <f t="shared" si="7"/>
        <v/>
      </c>
      <c r="V167" t="str">
        <f t="shared" si="9"/>
        <v/>
      </c>
      <c r="X167" t="str">
        <f t="shared" si="11"/>
        <v/>
      </c>
      <c r="Z167" t="str">
        <f t="shared" si="13"/>
        <v/>
      </c>
      <c r="AB167" t="str">
        <f t="shared" si="15"/>
        <v/>
      </c>
      <c r="AD167" t="str">
        <f t="shared" si="17"/>
        <v/>
      </c>
      <c r="AF167" t="str">
        <f t="shared" si="19"/>
        <v/>
      </c>
      <c r="AH167" t="str">
        <f t="shared" si="21"/>
        <v/>
      </c>
      <c r="AJ167" t="str">
        <f t="shared" si="23"/>
        <v/>
      </c>
    </row>
    <row r="168">
      <c r="P168" t="str">
        <f t="shared" si="3"/>
        <v/>
      </c>
      <c r="R168" t="str">
        <f t="shared" si="5"/>
        <v/>
      </c>
      <c r="T168" t="str">
        <f t="shared" si="7"/>
        <v/>
      </c>
      <c r="V168" t="str">
        <f t="shared" si="9"/>
        <v/>
      </c>
      <c r="X168" t="str">
        <f t="shared" si="11"/>
        <v/>
      </c>
      <c r="Z168" t="str">
        <f t="shared" si="13"/>
        <v/>
      </c>
      <c r="AB168" t="str">
        <f t="shared" si="15"/>
        <v/>
      </c>
      <c r="AD168" t="str">
        <f t="shared" si="17"/>
        <v/>
      </c>
      <c r="AF168" t="str">
        <f t="shared" si="19"/>
        <v/>
      </c>
      <c r="AH168" t="str">
        <f t="shared" si="21"/>
        <v/>
      </c>
      <c r="AJ168" t="str">
        <f t="shared" si="23"/>
        <v/>
      </c>
    </row>
    <row r="169">
      <c r="P169" t="str">
        <f t="shared" si="3"/>
        <v/>
      </c>
      <c r="R169" t="str">
        <f t="shared" si="5"/>
        <v/>
      </c>
      <c r="T169" t="str">
        <f t="shared" si="7"/>
        <v/>
      </c>
      <c r="V169" t="str">
        <f t="shared" si="9"/>
        <v/>
      </c>
      <c r="X169" t="str">
        <f t="shared" si="11"/>
        <v/>
      </c>
      <c r="Z169" t="str">
        <f t="shared" si="13"/>
        <v/>
      </c>
      <c r="AB169" t="str">
        <f t="shared" si="15"/>
        <v/>
      </c>
      <c r="AD169" t="str">
        <f t="shared" si="17"/>
        <v/>
      </c>
      <c r="AF169" t="str">
        <f t="shared" si="19"/>
        <v/>
      </c>
      <c r="AH169" t="str">
        <f t="shared" si="21"/>
        <v/>
      </c>
      <c r="AJ169" t="str">
        <f t="shared" si="23"/>
        <v/>
      </c>
    </row>
    <row r="170">
      <c r="P170" t="str">
        <f t="shared" si="3"/>
        <v/>
      </c>
      <c r="R170" t="str">
        <f t="shared" si="5"/>
        <v/>
      </c>
      <c r="T170" t="str">
        <f t="shared" si="7"/>
        <v/>
      </c>
      <c r="V170" t="str">
        <f t="shared" si="9"/>
        <v/>
      </c>
      <c r="X170" t="str">
        <f t="shared" si="11"/>
        <v/>
      </c>
      <c r="Z170" t="str">
        <f t="shared" si="13"/>
        <v/>
      </c>
      <c r="AB170" t="str">
        <f t="shared" si="15"/>
        <v/>
      </c>
      <c r="AD170" t="str">
        <f t="shared" si="17"/>
        <v/>
      </c>
      <c r="AF170" t="str">
        <f t="shared" si="19"/>
        <v/>
      </c>
      <c r="AH170" t="str">
        <f t="shared" si="21"/>
        <v/>
      </c>
      <c r="AJ170" t="str">
        <f t="shared" si="23"/>
        <v/>
      </c>
    </row>
    <row r="171">
      <c r="P171" t="str">
        <f t="shared" si="3"/>
        <v/>
      </c>
      <c r="R171" t="str">
        <f t="shared" si="5"/>
        <v/>
      </c>
      <c r="T171" t="str">
        <f t="shared" si="7"/>
        <v/>
      </c>
      <c r="V171" t="str">
        <f t="shared" si="9"/>
        <v/>
      </c>
      <c r="X171" t="str">
        <f t="shared" si="11"/>
        <v/>
      </c>
      <c r="Z171" t="str">
        <f t="shared" si="13"/>
        <v/>
      </c>
      <c r="AB171" t="str">
        <f t="shared" si="15"/>
        <v/>
      </c>
      <c r="AD171" t="str">
        <f t="shared" si="17"/>
        <v/>
      </c>
      <c r="AF171" t="str">
        <f t="shared" si="19"/>
        <v/>
      </c>
      <c r="AH171" t="str">
        <f t="shared" si="21"/>
        <v/>
      </c>
      <c r="AJ171" t="str">
        <f t="shared" si="23"/>
        <v/>
      </c>
    </row>
    <row r="172">
      <c r="P172" t="str">
        <f t="shared" si="3"/>
        <v/>
      </c>
      <c r="R172" t="str">
        <f t="shared" si="5"/>
        <v/>
      </c>
      <c r="T172" t="str">
        <f t="shared" si="7"/>
        <v/>
      </c>
      <c r="V172" t="str">
        <f t="shared" si="9"/>
        <v/>
      </c>
      <c r="X172" t="str">
        <f t="shared" si="11"/>
        <v/>
      </c>
      <c r="Z172" t="str">
        <f t="shared" si="13"/>
        <v/>
      </c>
      <c r="AB172" t="str">
        <f t="shared" si="15"/>
        <v/>
      </c>
      <c r="AD172" t="str">
        <f t="shared" si="17"/>
        <v/>
      </c>
      <c r="AF172" t="str">
        <f t="shared" si="19"/>
        <v/>
      </c>
      <c r="AH172" t="str">
        <f t="shared" si="21"/>
        <v/>
      </c>
      <c r="AJ172" t="str">
        <f t="shared" si="23"/>
        <v/>
      </c>
    </row>
    <row r="173">
      <c r="P173" t="str">
        <f t="shared" si="3"/>
        <v/>
      </c>
      <c r="R173" t="str">
        <f t="shared" si="5"/>
        <v/>
      </c>
      <c r="T173" t="str">
        <f t="shared" si="7"/>
        <v/>
      </c>
      <c r="V173" t="str">
        <f t="shared" si="9"/>
        <v/>
      </c>
      <c r="X173" t="str">
        <f t="shared" si="11"/>
        <v/>
      </c>
      <c r="Z173" t="str">
        <f t="shared" si="13"/>
        <v/>
      </c>
      <c r="AB173" t="str">
        <f t="shared" si="15"/>
        <v/>
      </c>
      <c r="AD173" t="str">
        <f t="shared" si="17"/>
        <v/>
      </c>
      <c r="AF173" t="str">
        <f t="shared" si="19"/>
        <v/>
      </c>
      <c r="AH173" t="str">
        <f t="shared" si="21"/>
        <v/>
      </c>
      <c r="AJ173" t="str">
        <f t="shared" si="23"/>
        <v/>
      </c>
    </row>
    <row r="174">
      <c r="P174" t="str">
        <f t="shared" si="3"/>
        <v/>
      </c>
      <c r="R174" t="str">
        <f t="shared" si="5"/>
        <v/>
      </c>
      <c r="T174" t="str">
        <f t="shared" si="7"/>
        <v/>
      </c>
      <c r="V174" t="str">
        <f t="shared" si="9"/>
        <v/>
      </c>
      <c r="X174" t="str">
        <f t="shared" si="11"/>
        <v/>
      </c>
      <c r="Z174" t="str">
        <f t="shared" si="13"/>
        <v/>
      </c>
      <c r="AB174" t="str">
        <f t="shared" si="15"/>
        <v/>
      </c>
      <c r="AD174" t="str">
        <f t="shared" si="17"/>
        <v/>
      </c>
      <c r="AF174" t="str">
        <f t="shared" si="19"/>
        <v/>
      </c>
      <c r="AH174" t="str">
        <f t="shared" si="21"/>
        <v/>
      </c>
      <c r="AJ174" t="str">
        <f t="shared" si="23"/>
        <v/>
      </c>
    </row>
    <row r="175">
      <c r="P175" t="str">
        <f t="shared" si="3"/>
        <v/>
      </c>
      <c r="R175" t="str">
        <f t="shared" si="5"/>
        <v/>
      </c>
      <c r="T175" t="str">
        <f t="shared" si="7"/>
        <v/>
      </c>
      <c r="V175" t="str">
        <f t="shared" si="9"/>
        <v/>
      </c>
      <c r="X175" t="str">
        <f t="shared" si="11"/>
        <v/>
      </c>
      <c r="Z175" t="str">
        <f t="shared" si="13"/>
        <v/>
      </c>
      <c r="AB175" t="str">
        <f t="shared" si="15"/>
        <v/>
      </c>
      <c r="AD175" t="str">
        <f t="shared" si="17"/>
        <v/>
      </c>
      <c r="AF175" t="str">
        <f t="shared" si="19"/>
        <v/>
      </c>
      <c r="AH175" t="str">
        <f t="shared" si="21"/>
        <v/>
      </c>
      <c r="AJ175" t="str">
        <f t="shared" si="23"/>
        <v/>
      </c>
    </row>
    <row r="176">
      <c r="P176" t="str">
        <f t="shared" si="3"/>
        <v/>
      </c>
      <c r="R176" t="str">
        <f t="shared" si="5"/>
        <v/>
      </c>
      <c r="T176" t="str">
        <f t="shared" si="7"/>
        <v/>
      </c>
      <c r="V176" t="str">
        <f t="shared" si="9"/>
        <v/>
      </c>
      <c r="X176" t="str">
        <f t="shared" si="11"/>
        <v/>
      </c>
      <c r="Z176" t="str">
        <f t="shared" si="13"/>
        <v/>
      </c>
      <c r="AB176" t="str">
        <f t="shared" si="15"/>
        <v/>
      </c>
      <c r="AD176" t="str">
        <f t="shared" si="17"/>
        <v/>
      </c>
      <c r="AF176" t="str">
        <f t="shared" si="19"/>
        <v/>
      </c>
      <c r="AH176" t="str">
        <f t="shared" si="21"/>
        <v/>
      </c>
      <c r="AJ176" t="str">
        <f t="shared" si="23"/>
        <v/>
      </c>
    </row>
    <row r="177">
      <c r="P177" t="str">
        <f t="shared" si="3"/>
        <v/>
      </c>
      <c r="R177" t="str">
        <f t="shared" si="5"/>
        <v/>
      </c>
      <c r="T177" t="str">
        <f t="shared" si="7"/>
        <v/>
      </c>
      <c r="V177" t="str">
        <f t="shared" si="9"/>
        <v/>
      </c>
      <c r="X177" t="str">
        <f t="shared" si="11"/>
        <v/>
      </c>
      <c r="Z177" t="str">
        <f t="shared" si="13"/>
        <v/>
      </c>
      <c r="AB177" t="str">
        <f t="shared" si="15"/>
        <v/>
      </c>
      <c r="AD177" t="str">
        <f t="shared" si="17"/>
        <v/>
      </c>
      <c r="AF177" t="str">
        <f t="shared" si="19"/>
        <v/>
      </c>
      <c r="AH177" t="str">
        <f t="shared" si="21"/>
        <v/>
      </c>
      <c r="AJ177" t="str">
        <f t="shared" si="23"/>
        <v/>
      </c>
    </row>
    <row r="178">
      <c r="P178" t="str">
        <f t="shared" si="3"/>
        <v/>
      </c>
      <c r="R178" t="str">
        <f t="shared" si="5"/>
        <v/>
      </c>
      <c r="T178" t="str">
        <f t="shared" si="7"/>
        <v/>
      </c>
      <c r="V178" t="str">
        <f t="shared" si="9"/>
        <v/>
      </c>
      <c r="X178" t="str">
        <f t="shared" si="11"/>
        <v/>
      </c>
      <c r="Z178" t="str">
        <f t="shared" si="13"/>
        <v/>
      </c>
      <c r="AB178" t="str">
        <f t="shared" si="15"/>
        <v/>
      </c>
      <c r="AD178" t="str">
        <f t="shared" si="17"/>
        <v/>
      </c>
      <c r="AF178" t="str">
        <f t="shared" si="19"/>
        <v/>
      </c>
      <c r="AH178" t="str">
        <f t="shared" si="21"/>
        <v/>
      </c>
      <c r="AJ178" t="str">
        <f t="shared" si="23"/>
        <v/>
      </c>
    </row>
    <row r="179">
      <c r="P179" t="str">
        <f t="shared" si="3"/>
        <v/>
      </c>
      <c r="R179" t="str">
        <f t="shared" si="5"/>
        <v/>
      </c>
      <c r="T179" t="str">
        <f t="shared" si="7"/>
        <v/>
      </c>
      <c r="V179" t="str">
        <f t="shared" si="9"/>
        <v/>
      </c>
      <c r="X179" t="str">
        <f t="shared" si="11"/>
        <v/>
      </c>
      <c r="Z179" t="str">
        <f t="shared" si="13"/>
        <v/>
      </c>
      <c r="AB179" t="str">
        <f t="shared" si="15"/>
        <v/>
      </c>
      <c r="AD179" t="str">
        <f t="shared" si="17"/>
        <v/>
      </c>
      <c r="AF179" t="str">
        <f t="shared" si="19"/>
        <v/>
      </c>
      <c r="AH179" t="str">
        <f t="shared" si="21"/>
        <v/>
      </c>
      <c r="AJ179" t="str">
        <f t="shared" si="23"/>
        <v/>
      </c>
    </row>
    <row r="180">
      <c r="P180" t="str">
        <f t="shared" si="3"/>
        <v/>
      </c>
      <c r="R180" t="str">
        <f t="shared" si="5"/>
        <v/>
      </c>
      <c r="T180" t="str">
        <f t="shared" si="7"/>
        <v/>
      </c>
      <c r="V180" t="str">
        <f t="shared" si="9"/>
        <v/>
      </c>
      <c r="X180" t="str">
        <f t="shared" si="11"/>
        <v/>
      </c>
      <c r="Z180" t="str">
        <f t="shared" si="13"/>
        <v/>
      </c>
      <c r="AB180" t="str">
        <f t="shared" si="15"/>
        <v/>
      </c>
      <c r="AD180" t="str">
        <f t="shared" si="17"/>
        <v/>
      </c>
      <c r="AF180" t="str">
        <f t="shared" si="19"/>
        <v/>
      </c>
      <c r="AH180" t="str">
        <f t="shared" si="21"/>
        <v/>
      </c>
      <c r="AJ180" t="str">
        <f t="shared" si="23"/>
        <v/>
      </c>
    </row>
    <row r="181">
      <c r="P181" t="str">
        <f t="shared" si="3"/>
        <v/>
      </c>
      <c r="R181" t="str">
        <f t="shared" si="5"/>
        <v/>
      </c>
      <c r="T181" t="str">
        <f t="shared" si="7"/>
        <v/>
      </c>
      <c r="V181" t="str">
        <f t="shared" si="9"/>
        <v/>
      </c>
      <c r="X181" t="str">
        <f t="shared" si="11"/>
        <v/>
      </c>
      <c r="Z181" t="str">
        <f t="shared" si="13"/>
        <v/>
      </c>
      <c r="AB181" t="str">
        <f t="shared" si="15"/>
        <v/>
      </c>
      <c r="AD181" t="str">
        <f t="shared" si="17"/>
        <v/>
      </c>
      <c r="AF181" t="str">
        <f t="shared" si="19"/>
        <v/>
      </c>
      <c r="AH181" t="str">
        <f t="shared" si="21"/>
        <v/>
      </c>
      <c r="AJ181" t="str">
        <f t="shared" si="23"/>
        <v/>
      </c>
    </row>
    <row r="182">
      <c r="P182" t="str">
        <f t="shared" si="3"/>
        <v/>
      </c>
      <c r="R182" t="str">
        <f t="shared" si="5"/>
        <v/>
      </c>
      <c r="T182" t="str">
        <f t="shared" si="7"/>
        <v/>
      </c>
      <c r="V182" t="str">
        <f t="shared" si="9"/>
        <v/>
      </c>
      <c r="X182" t="str">
        <f t="shared" si="11"/>
        <v/>
      </c>
      <c r="Z182" t="str">
        <f t="shared" si="13"/>
        <v/>
      </c>
      <c r="AB182" t="str">
        <f t="shared" si="15"/>
        <v/>
      </c>
      <c r="AD182" t="str">
        <f t="shared" si="17"/>
        <v/>
      </c>
      <c r="AF182" t="str">
        <f t="shared" si="19"/>
        <v/>
      </c>
      <c r="AH182" t="str">
        <f t="shared" si="21"/>
        <v/>
      </c>
      <c r="AJ182" t="str">
        <f t="shared" si="23"/>
        <v/>
      </c>
    </row>
    <row r="183">
      <c r="P183" t="str">
        <f t="shared" si="3"/>
        <v/>
      </c>
      <c r="R183" t="str">
        <f t="shared" si="5"/>
        <v/>
      </c>
      <c r="T183" t="str">
        <f t="shared" si="7"/>
        <v/>
      </c>
      <c r="V183" t="str">
        <f t="shared" si="9"/>
        <v/>
      </c>
      <c r="X183" t="str">
        <f t="shared" si="11"/>
        <v/>
      </c>
      <c r="Z183" t="str">
        <f t="shared" si="13"/>
        <v/>
      </c>
      <c r="AB183" t="str">
        <f t="shared" si="15"/>
        <v/>
      </c>
      <c r="AD183" t="str">
        <f t="shared" si="17"/>
        <v/>
      </c>
      <c r="AF183" t="str">
        <f t="shared" si="19"/>
        <v/>
      </c>
      <c r="AH183" t="str">
        <f t="shared" si="21"/>
        <v/>
      </c>
      <c r="AJ183" t="str">
        <f t="shared" si="23"/>
        <v/>
      </c>
    </row>
    <row r="184">
      <c r="P184" t="str">
        <f t="shared" si="3"/>
        <v/>
      </c>
      <c r="R184" t="str">
        <f t="shared" si="5"/>
        <v/>
      </c>
      <c r="T184" t="str">
        <f t="shared" si="7"/>
        <v/>
      </c>
      <c r="V184" t="str">
        <f t="shared" si="9"/>
        <v/>
      </c>
      <c r="X184" t="str">
        <f t="shared" si="11"/>
        <v/>
      </c>
      <c r="Z184" t="str">
        <f t="shared" si="13"/>
        <v/>
      </c>
      <c r="AB184" t="str">
        <f t="shared" si="15"/>
        <v/>
      </c>
      <c r="AD184" t="str">
        <f t="shared" si="17"/>
        <v/>
      </c>
      <c r="AF184" t="str">
        <f t="shared" si="19"/>
        <v/>
      </c>
      <c r="AH184" t="str">
        <f t="shared" si="21"/>
        <v/>
      </c>
      <c r="AJ184" t="str">
        <f t="shared" si="23"/>
        <v/>
      </c>
    </row>
    <row r="185">
      <c r="P185" t="str">
        <f t="shared" si="3"/>
        <v/>
      </c>
      <c r="R185" t="str">
        <f t="shared" si="5"/>
        <v/>
      </c>
      <c r="T185" t="str">
        <f t="shared" si="7"/>
        <v/>
      </c>
      <c r="V185" t="str">
        <f t="shared" si="9"/>
        <v/>
      </c>
      <c r="X185" t="str">
        <f t="shared" si="11"/>
        <v/>
      </c>
      <c r="Z185" t="str">
        <f t="shared" si="13"/>
        <v/>
      </c>
      <c r="AB185" t="str">
        <f t="shared" si="15"/>
        <v/>
      </c>
      <c r="AD185" t="str">
        <f t="shared" si="17"/>
        <v/>
      </c>
      <c r="AF185" t="str">
        <f t="shared" si="19"/>
        <v/>
      </c>
      <c r="AH185" t="str">
        <f t="shared" si="21"/>
        <v/>
      </c>
      <c r="AJ185" t="str">
        <f t="shared" si="23"/>
        <v/>
      </c>
    </row>
    <row r="186">
      <c r="P186" t="str">
        <f t="shared" si="3"/>
        <v/>
      </c>
      <c r="R186" t="str">
        <f t="shared" si="5"/>
        <v/>
      </c>
      <c r="T186" t="str">
        <f t="shared" si="7"/>
        <v/>
      </c>
      <c r="V186" t="str">
        <f t="shared" si="9"/>
        <v/>
      </c>
      <c r="X186" t="str">
        <f t="shared" si="11"/>
        <v/>
      </c>
      <c r="Z186" t="str">
        <f t="shared" si="13"/>
        <v/>
      </c>
      <c r="AB186" t="str">
        <f t="shared" si="15"/>
        <v/>
      </c>
      <c r="AD186" t="str">
        <f t="shared" si="17"/>
        <v/>
      </c>
      <c r="AF186" t="str">
        <f t="shared" si="19"/>
        <v/>
      </c>
      <c r="AH186" t="str">
        <f t="shared" si="21"/>
        <v/>
      </c>
      <c r="AJ186" t="str">
        <f t="shared" si="23"/>
        <v/>
      </c>
    </row>
    <row r="187">
      <c r="P187" t="str">
        <f t="shared" si="3"/>
        <v/>
      </c>
      <c r="R187" t="str">
        <f t="shared" si="5"/>
        <v/>
      </c>
      <c r="T187" t="str">
        <f t="shared" si="7"/>
        <v/>
      </c>
      <c r="V187" t="str">
        <f t="shared" si="9"/>
        <v/>
      </c>
      <c r="X187" t="str">
        <f t="shared" si="11"/>
        <v/>
      </c>
      <c r="Z187" t="str">
        <f t="shared" si="13"/>
        <v/>
      </c>
      <c r="AB187" t="str">
        <f t="shared" si="15"/>
        <v/>
      </c>
      <c r="AD187" t="str">
        <f t="shared" si="17"/>
        <v/>
      </c>
      <c r="AF187" t="str">
        <f t="shared" si="19"/>
        <v/>
      </c>
      <c r="AH187" t="str">
        <f t="shared" si="21"/>
        <v/>
      </c>
      <c r="AJ187" t="str">
        <f t="shared" si="23"/>
        <v/>
      </c>
    </row>
    <row r="188">
      <c r="P188" t="str">
        <f t="shared" si="3"/>
        <v/>
      </c>
      <c r="R188" t="str">
        <f t="shared" si="5"/>
        <v/>
      </c>
      <c r="T188" t="str">
        <f t="shared" si="7"/>
        <v/>
      </c>
      <c r="V188" t="str">
        <f t="shared" si="9"/>
        <v/>
      </c>
      <c r="X188" t="str">
        <f t="shared" si="11"/>
        <v/>
      </c>
      <c r="Z188" t="str">
        <f t="shared" si="13"/>
        <v/>
      </c>
      <c r="AB188" t="str">
        <f t="shared" si="15"/>
        <v/>
      </c>
      <c r="AD188" t="str">
        <f t="shared" si="17"/>
        <v/>
      </c>
      <c r="AF188" t="str">
        <f t="shared" si="19"/>
        <v/>
      </c>
      <c r="AH188" t="str">
        <f t="shared" si="21"/>
        <v/>
      </c>
      <c r="AJ188" t="str">
        <f t="shared" si="23"/>
        <v/>
      </c>
    </row>
    <row r="189">
      <c r="P189" t="str">
        <f t="shared" si="3"/>
        <v/>
      </c>
      <c r="R189" t="str">
        <f t="shared" si="5"/>
        <v/>
      </c>
      <c r="T189" t="str">
        <f t="shared" si="7"/>
        <v/>
      </c>
      <c r="V189" t="str">
        <f t="shared" si="9"/>
        <v/>
      </c>
      <c r="X189" t="str">
        <f t="shared" si="11"/>
        <v/>
      </c>
      <c r="Z189" t="str">
        <f t="shared" si="13"/>
        <v/>
      </c>
      <c r="AB189" t="str">
        <f t="shared" si="15"/>
        <v/>
      </c>
      <c r="AD189" t="str">
        <f t="shared" si="17"/>
        <v/>
      </c>
      <c r="AF189" t="str">
        <f t="shared" si="19"/>
        <v/>
      </c>
      <c r="AH189" t="str">
        <f t="shared" si="21"/>
        <v/>
      </c>
      <c r="AJ189" t="str">
        <f t="shared" si="23"/>
        <v/>
      </c>
    </row>
    <row r="190">
      <c r="P190" t="str">
        <f t="shared" si="3"/>
        <v/>
      </c>
      <c r="R190" t="str">
        <f t="shared" si="5"/>
        <v/>
      </c>
      <c r="T190" t="str">
        <f t="shared" si="7"/>
        <v/>
      </c>
      <c r="V190" t="str">
        <f t="shared" si="9"/>
        <v/>
      </c>
      <c r="X190" t="str">
        <f t="shared" si="11"/>
        <v/>
      </c>
      <c r="Z190" t="str">
        <f t="shared" si="13"/>
        <v/>
      </c>
      <c r="AB190" t="str">
        <f t="shared" si="15"/>
        <v/>
      </c>
      <c r="AD190" t="str">
        <f t="shared" si="17"/>
        <v/>
      </c>
      <c r="AF190" t="str">
        <f t="shared" si="19"/>
        <v/>
      </c>
      <c r="AH190" t="str">
        <f t="shared" si="21"/>
        <v/>
      </c>
      <c r="AJ190" t="str">
        <f t="shared" si="23"/>
        <v/>
      </c>
    </row>
    <row r="191">
      <c r="P191" t="str">
        <f t="shared" si="3"/>
        <v/>
      </c>
      <c r="R191" t="str">
        <f t="shared" si="5"/>
        <v/>
      </c>
      <c r="T191" t="str">
        <f t="shared" si="7"/>
        <v/>
      </c>
      <c r="V191" t="str">
        <f t="shared" si="9"/>
        <v/>
      </c>
      <c r="X191" t="str">
        <f t="shared" si="11"/>
        <v/>
      </c>
      <c r="Z191" t="str">
        <f t="shared" si="13"/>
        <v/>
      </c>
      <c r="AB191" t="str">
        <f t="shared" si="15"/>
        <v/>
      </c>
      <c r="AD191" t="str">
        <f t="shared" si="17"/>
        <v/>
      </c>
      <c r="AF191" t="str">
        <f t="shared" si="19"/>
        <v/>
      </c>
      <c r="AH191" t="str">
        <f t="shared" si="21"/>
        <v/>
      </c>
      <c r="AJ191" t="str">
        <f t="shared" si="23"/>
        <v/>
      </c>
    </row>
    <row r="192">
      <c r="P192" t="str">
        <f t="shared" si="3"/>
        <v/>
      </c>
      <c r="R192" t="str">
        <f t="shared" si="5"/>
        <v/>
      </c>
      <c r="T192" t="str">
        <f t="shared" si="7"/>
        <v/>
      </c>
      <c r="V192" t="str">
        <f t="shared" si="9"/>
        <v/>
      </c>
      <c r="X192" t="str">
        <f t="shared" si="11"/>
        <v/>
      </c>
      <c r="Z192" t="str">
        <f t="shared" si="13"/>
        <v/>
      </c>
      <c r="AB192" t="str">
        <f t="shared" si="15"/>
        <v/>
      </c>
      <c r="AD192" t="str">
        <f t="shared" si="17"/>
        <v/>
      </c>
      <c r="AF192" t="str">
        <f t="shared" si="19"/>
        <v/>
      </c>
      <c r="AH192" t="str">
        <f t="shared" si="21"/>
        <v/>
      </c>
      <c r="AJ192" t="str">
        <f t="shared" si="23"/>
        <v/>
      </c>
    </row>
    <row r="193">
      <c r="P193" t="str">
        <f t="shared" si="3"/>
        <v/>
      </c>
      <c r="R193" t="str">
        <f t="shared" si="5"/>
        <v/>
      </c>
      <c r="T193" t="str">
        <f t="shared" si="7"/>
        <v/>
      </c>
      <c r="V193" t="str">
        <f t="shared" si="9"/>
        <v/>
      </c>
      <c r="X193" t="str">
        <f t="shared" si="11"/>
        <v/>
      </c>
      <c r="Z193" t="str">
        <f t="shared" si="13"/>
        <v/>
      </c>
      <c r="AB193" t="str">
        <f t="shared" si="15"/>
        <v/>
      </c>
      <c r="AD193" t="str">
        <f t="shared" si="17"/>
        <v/>
      </c>
      <c r="AF193" t="str">
        <f t="shared" si="19"/>
        <v/>
      </c>
      <c r="AH193" t="str">
        <f t="shared" si="21"/>
        <v/>
      </c>
      <c r="AJ193" t="str">
        <f t="shared" si="23"/>
        <v/>
      </c>
    </row>
    <row r="194">
      <c r="P194" t="str">
        <f t="shared" si="3"/>
        <v/>
      </c>
      <c r="R194" t="str">
        <f t="shared" si="5"/>
        <v/>
      </c>
      <c r="T194" t="str">
        <f t="shared" si="7"/>
        <v/>
      </c>
      <c r="V194" t="str">
        <f t="shared" si="9"/>
        <v/>
      </c>
      <c r="X194" t="str">
        <f t="shared" si="11"/>
        <v/>
      </c>
      <c r="Z194" t="str">
        <f t="shared" si="13"/>
        <v/>
      </c>
      <c r="AB194" t="str">
        <f t="shared" si="15"/>
        <v/>
      </c>
      <c r="AD194" t="str">
        <f t="shared" si="17"/>
        <v/>
      </c>
      <c r="AF194" t="str">
        <f t="shared" si="19"/>
        <v/>
      </c>
      <c r="AH194" t="str">
        <f t="shared" si="21"/>
        <v/>
      </c>
      <c r="AJ194" t="str">
        <f t="shared" si="23"/>
        <v/>
      </c>
    </row>
    <row r="195">
      <c r="P195" t="str">
        <f t="shared" si="3"/>
        <v/>
      </c>
      <c r="R195" t="str">
        <f t="shared" si="5"/>
        <v/>
      </c>
      <c r="T195" t="str">
        <f t="shared" si="7"/>
        <v/>
      </c>
      <c r="V195" t="str">
        <f t="shared" si="9"/>
        <v/>
      </c>
      <c r="X195" t="str">
        <f t="shared" si="11"/>
        <v/>
      </c>
      <c r="Z195" t="str">
        <f t="shared" si="13"/>
        <v/>
      </c>
      <c r="AB195" t="str">
        <f t="shared" si="15"/>
        <v/>
      </c>
      <c r="AD195" t="str">
        <f t="shared" si="17"/>
        <v/>
      </c>
      <c r="AF195" t="str">
        <f t="shared" si="19"/>
        <v/>
      </c>
      <c r="AH195" t="str">
        <f t="shared" si="21"/>
        <v/>
      </c>
      <c r="AJ195" t="str">
        <f t="shared" si="23"/>
        <v/>
      </c>
    </row>
    <row r="196">
      <c r="P196" t="str">
        <f t="shared" si="3"/>
        <v/>
      </c>
      <c r="R196" t="str">
        <f t="shared" si="5"/>
        <v/>
      </c>
      <c r="T196" t="str">
        <f t="shared" si="7"/>
        <v/>
      </c>
      <c r="V196" t="str">
        <f t="shared" si="9"/>
        <v/>
      </c>
      <c r="X196" t="str">
        <f t="shared" si="11"/>
        <v/>
      </c>
      <c r="Z196" t="str">
        <f t="shared" si="13"/>
        <v/>
      </c>
      <c r="AB196" t="str">
        <f t="shared" si="15"/>
        <v/>
      </c>
      <c r="AD196" t="str">
        <f t="shared" si="17"/>
        <v/>
      </c>
      <c r="AF196" t="str">
        <f t="shared" si="19"/>
        <v/>
      </c>
      <c r="AH196" t="str">
        <f t="shared" si="21"/>
        <v/>
      </c>
      <c r="AJ196" t="str">
        <f t="shared" si="23"/>
        <v/>
      </c>
    </row>
    <row r="197">
      <c r="P197" t="str">
        <f t="shared" si="3"/>
        <v/>
      </c>
      <c r="R197" t="str">
        <f t="shared" si="5"/>
        <v/>
      </c>
      <c r="T197" t="str">
        <f t="shared" si="7"/>
        <v/>
      </c>
      <c r="V197" t="str">
        <f t="shared" si="9"/>
        <v/>
      </c>
      <c r="X197" t="str">
        <f t="shared" si="11"/>
        <v/>
      </c>
      <c r="Z197" t="str">
        <f t="shared" si="13"/>
        <v/>
      </c>
      <c r="AB197" t="str">
        <f t="shared" si="15"/>
        <v/>
      </c>
      <c r="AD197" t="str">
        <f t="shared" si="17"/>
        <v/>
      </c>
      <c r="AF197" t="str">
        <f t="shared" si="19"/>
        <v/>
      </c>
      <c r="AH197" t="str">
        <f t="shared" si="21"/>
        <v/>
      </c>
      <c r="AJ197" t="str">
        <f t="shared" si="23"/>
        <v/>
      </c>
    </row>
    <row r="198">
      <c r="P198" t="str">
        <f t="shared" si="3"/>
        <v/>
      </c>
      <c r="R198" t="str">
        <f t="shared" si="5"/>
        <v/>
      </c>
      <c r="T198" t="str">
        <f t="shared" si="7"/>
        <v/>
      </c>
      <c r="V198" t="str">
        <f t="shared" si="9"/>
        <v/>
      </c>
      <c r="X198" t="str">
        <f t="shared" si="11"/>
        <v/>
      </c>
      <c r="Z198" t="str">
        <f t="shared" si="13"/>
        <v/>
      </c>
      <c r="AB198" t="str">
        <f t="shared" si="15"/>
        <v/>
      </c>
      <c r="AD198" t="str">
        <f t="shared" si="17"/>
        <v/>
      </c>
      <c r="AF198" t="str">
        <f t="shared" si="19"/>
        <v/>
      </c>
      <c r="AH198" t="str">
        <f t="shared" si="21"/>
        <v/>
      </c>
      <c r="AJ198" t="str">
        <f t="shared" si="23"/>
        <v/>
      </c>
    </row>
    <row r="199">
      <c r="P199" t="str">
        <f t="shared" si="3"/>
        <v/>
      </c>
      <c r="R199" t="str">
        <f t="shared" si="5"/>
        <v/>
      </c>
      <c r="T199" t="str">
        <f t="shared" si="7"/>
        <v/>
      </c>
      <c r="V199" t="str">
        <f t="shared" si="9"/>
        <v/>
      </c>
      <c r="X199" t="str">
        <f t="shared" si="11"/>
        <v/>
      </c>
      <c r="Z199" t="str">
        <f t="shared" si="13"/>
        <v/>
      </c>
      <c r="AB199" t="str">
        <f t="shared" si="15"/>
        <v/>
      </c>
      <c r="AD199" t="str">
        <f t="shared" si="17"/>
        <v/>
      </c>
      <c r="AF199" t="str">
        <f t="shared" si="19"/>
        <v/>
      </c>
      <c r="AH199" t="str">
        <f t="shared" si="21"/>
        <v/>
      </c>
      <c r="AJ199" t="str">
        <f t="shared" si="23"/>
        <v/>
      </c>
    </row>
    <row r="200">
      <c r="P200" t="str">
        <f t="shared" si="3"/>
        <v/>
      </c>
      <c r="R200" t="str">
        <f t="shared" si="5"/>
        <v/>
      </c>
      <c r="T200" t="str">
        <f t="shared" si="7"/>
        <v/>
      </c>
      <c r="V200" t="str">
        <f t="shared" si="9"/>
        <v/>
      </c>
      <c r="X200" t="str">
        <f t="shared" si="11"/>
        <v/>
      </c>
      <c r="Z200" t="str">
        <f t="shared" si="13"/>
        <v/>
      </c>
      <c r="AB200" t="str">
        <f t="shared" si="15"/>
        <v/>
      </c>
      <c r="AD200" t="str">
        <f t="shared" si="17"/>
        <v/>
      </c>
      <c r="AF200" t="str">
        <f t="shared" si="19"/>
        <v/>
      </c>
      <c r="AH200" t="str">
        <f t="shared" si="21"/>
        <v/>
      </c>
      <c r="AJ200" t="str">
        <f t="shared" si="23"/>
        <v/>
      </c>
    </row>
    <row r="201">
      <c r="P201" t="str">
        <f t="shared" si="3"/>
        <v/>
      </c>
      <c r="R201" t="str">
        <f t="shared" si="5"/>
        <v/>
      </c>
      <c r="T201" t="str">
        <f t="shared" si="7"/>
        <v/>
      </c>
      <c r="V201" t="str">
        <f t="shared" si="9"/>
        <v/>
      </c>
      <c r="X201" t="str">
        <f t="shared" si="11"/>
        <v/>
      </c>
      <c r="Z201" t="str">
        <f t="shared" si="13"/>
        <v/>
      </c>
      <c r="AB201" t="str">
        <f t="shared" si="15"/>
        <v/>
      </c>
      <c r="AD201" t="str">
        <f t="shared" si="17"/>
        <v/>
      </c>
      <c r="AF201" t="str">
        <f t="shared" si="19"/>
        <v/>
      </c>
      <c r="AH201" t="str">
        <f t="shared" si="21"/>
        <v/>
      </c>
      <c r="AJ201" t="str">
        <f t="shared" si="23"/>
        <v/>
      </c>
    </row>
    <row r="202">
      <c r="P202" t="str">
        <f t="shared" si="3"/>
        <v/>
      </c>
      <c r="R202" t="str">
        <f t="shared" si="5"/>
        <v/>
      </c>
      <c r="T202" t="str">
        <f t="shared" si="7"/>
        <v/>
      </c>
      <c r="V202" t="str">
        <f t="shared" si="9"/>
        <v/>
      </c>
      <c r="X202" t="str">
        <f t="shared" si="11"/>
        <v/>
      </c>
      <c r="Z202" t="str">
        <f t="shared" si="13"/>
        <v/>
      </c>
      <c r="AB202" t="str">
        <f t="shared" si="15"/>
        <v/>
      </c>
      <c r="AD202" t="str">
        <f t="shared" si="17"/>
        <v/>
      </c>
      <c r="AF202" t="str">
        <f t="shared" si="19"/>
        <v/>
      </c>
      <c r="AH202" t="str">
        <f t="shared" si="21"/>
        <v/>
      </c>
      <c r="AJ202" t="str">
        <f t="shared" si="23"/>
        <v/>
      </c>
    </row>
    <row r="203">
      <c r="P203" t="str">
        <f t="shared" si="3"/>
        <v/>
      </c>
      <c r="R203" t="str">
        <f t="shared" si="5"/>
        <v/>
      </c>
      <c r="T203" t="str">
        <f t="shared" si="7"/>
        <v/>
      </c>
      <c r="V203" t="str">
        <f t="shared" si="9"/>
        <v/>
      </c>
      <c r="X203" t="str">
        <f t="shared" si="11"/>
        <v/>
      </c>
      <c r="Z203" t="str">
        <f t="shared" si="13"/>
        <v/>
      </c>
      <c r="AB203" t="str">
        <f t="shared" si="15"/>
        <v/>
      </c>
      <c r="AD203" t="str">
        <f t="shared" si="17"/>
        <v/>
      </c>
      <c r="AF203" t="str">
        <f t="shared" si="19"/>
        <v/>
      </c>
      <c r="AH203" t="str">
        <f t="shared" si="21"/>
        <v/>
      </c>
      <c r="AJ203" t="str">
        <f t="shared" si="23"/>
        <v/>
      </c>
    </row>
    <row r="204">
      <c r="P204" t="str">
        <f t="shared" si="3"/>
        <v/>
      </c>
      <c r="R204" t="str">
        <f t="shared" si="5"/>
        <v/>
      </c>
      <c r="T204" t="str">
        <f t="shared" si="7"/>
        <v/>
      </c>
      <c r="V204" t="str">
        <f t="shared" si="9"/>
        <v/>
      </c>
      <c r="X204" t="str">
        <f t="shared" si="11"/>
        <v/>
      </c>
      <c r="Z204" t="str">
        <f t="shared" si="13"/>
        <v/>
      </c>
      <c r="AB204" t="str">
        <f t="shared" si="15"/>
        <v/>
      </c>
      <c r="AD204" t="str">
        <f t="shared" si="17"/>
        <v/>
      </c>
      <c r="AF204" t="str">
        <f t="shared" si="19"/>
        <v/>
      </c>
      <c r="AH204" t="str">
        <f t="shared" si="21"/>
        <v/>
      </c>
      <c r="AJ204" t="str">
        <f t="shared" si="23"/>
        <v/>
      </c>
    </row>
    <row r="205">
      <c r="P205" t="str">
        <f t="shared" si="3"/>
        <v/>
      </c>
      <c r="R205" t="str">
        <f t="shared" si="5"/>
        <v/>
      </c>
      <c r="T205" t="str">
        <f t="shared" si="7"/>
        <v/>
      </c>
      <c r="V205" t="str">
        <f t="shared" si="9"/>
        <v/>
      </c>
      <c r="X205" t="str">
        <f t="shared" si="11"/>
        <v/>
      </c>
      <c r="Z205" t="str">
        <f t="shared" si="13"/>
        <v/>
      </c>
      <c r="AB205" t="str">
        <f t="shared" si="15"/>
        <v/>
      </c>
      <c r="AD205" t="str">
        <f t="shared" si="17"/>
        <v/>
      </c>
      <c r="AF205" t="str">
        <f t="shared" si="19"/>
        <v/>
      </c>
      <c r="AH205" t="str">
        <f t="shared" si="21"/>
        <v/>
      </c>
      <c r="AJ205" t="str">
        <f t="shared" si="23"/>
        <v/>
      </c>
    </row>
    <row r="206">
      <c r="P206" t="str">
        <f t="shared" si="3"/>
        <v/>
      </c>
      <c r="R206" t="str">
        <f t="shared" si="5"/>
        <v/>
      </c>
      <c r="T206" t="str">
        <f t="shared" si="7"/>
        <v/>
      </c>
      <c r="V206" t="str">
        <f t="shared" si="9"/>
        <v/>
      </c>
      <c r="X206" t="str">
        <f t="shared" si="11"/>
        <v/>
      </c>
      <c r="Z206" t="str">
        <f t="shared" si="13"/>
        <v/>
      </c>
      <c r="AB206" t="str">
        <f t="shared" si="15"/>
        <v/>
      </c>
      <c r="AD206" t="str">
        <f t="shared" si="17"/>
        <v/>
      </c>
      <c r="AF206" t="str">
        <f t="shared" si="19"/>
        <v/>
      </c>
      <c r="AH206" t="str">
        <f t="shared" si="21"/>
        <v/>
      </c>
      <c r="AJ206" t="str">
        <f t="shared" si="23"/>
        <v/>
      </c>
    </row>
    <row r="207">
      <c r="P207" t="str">
        <f t="shared" si="3"/>
        <v/>
      </c>
      <c r="R207" t="str">
        <f t="shared" si="5"/>
        <v/>
      </c>
      <c r="T207" t="str">
        <f t="shared" si="7"/>
        <v/>
      </c>
      <c r="V207" t="str">
        <f t="shared" si="9"/>
        <v/>
      </c>
      <c r="X207" t="str">
        <f t="shared" si="11"/>
        <v/>
      </c>
      <c r="Z207" t="str">
        <f t="shared" si="13"/>
        <v/>
      </c>
      <c r="AB207" t="str">
        <f t="shared" si="15"/>
        <v/>
      </c>
      <c r="AD207" t="str">
        <f t="shared" si="17"/>
        <v/>
      </c>
      <c r="AF207" t="str">
        <f t="shared" si="19"/>
        <v/>
      </c>
      <c r="AH207" t="str">
        <f t="shared" si="21"/>
        <v/>
      </c>
      <c r="AJ207" t="str">
        <f t="shared" si="23"/>
        <v/>
      </c>
    </row>
    <row r="208">
      <c r="P208" t="str">
        <f t="shared" si="3"/>
        <v/>
      </c>
      <c r="R208" t="str">
        <f t="shared" si="5"/>
        <v/>
      </c>
      <c r="T208" t="str">
        <f t="shared" si="7"/>
        <v/>
      </c>
      <c r="V208" t="str">
        <f t="shared" si="9"/>
        <v/>
      </c>
      <c r="X208" t="str">
        <f t="shared" si="11"/>
        <v/>
      </c>
      <c r="Z208" t="str">
        <f t="shared" si="13"/>
        <v/>
      </c>
      <c r="AB208" t="str">
        <f t="shared" si="15"/>
        <v/>
      </c>
      <c r="AD208" t="str">
        <f t="shared" si="17"/>
        <v/>
      </c>
      <c r="AF208" t="str">
        <f t="shared" si="19"/>
        <v/>
      </c>
      <c r="AH208" t="str">
        <f t="shared" si="21"/>
        <v/>
      </c>
      <c r="AJ208" t="str">
        <f t="shared" si="23"/>
        <v/>
      </c>
    </row>
    <row r="209">
      <c r="P209" t="str">
        <f t="shared" si="3"/>
        <v/>
      </c>
      <c r="R209" t="str">
        <f t="shared" si="5"/>
        <v/>
      </c>
      <c r="T209" t="str">
        <f t="shared" si="7"/>
        <v/>
      </c>
      <c r="V209" t="str">
        <f t="shared" si="9"/>
        <v/>
      </c>
      <c r="X209" t="str">
        <f t="shared" si="11"/>
        <v/>
      </c>
      <c r="Z209" t="str">
        <f t="shared" si="13"/>
        <v/>
      </c>
      <c r="AB209" t="str">
        <f t="shared" si="15"/>
        <v/>
      </c>
      <c r="AD209" t="str">
        <f t="shared" si="17"/>
        <v/>
      </c>
      <c r="AF209" t="str">
        <f t="shared" si="19"/>
        <v/>
      </c>
      <c r="AH209" t="str">
        <f t="shared" si="21"/>
        <v/>
      </c>
      <c r="AJ209" t="str">
        <f t="shared" si="23"/>
        <v/>
      </c>
    </row>
    <row r="210">
      <c r="P210" t="str">
        <f t="shared" si="3"/>
        <v/>
      </c>
      <c r="R210" t="str">
        <f t="shared" si="5"/>
        <v/>
      </c>
      <c r="T210" t="str">
        <f t="shared" si="7"/>
        <v/>
      </c>
      <c r="V210" t="str">
        <f t="shared" si="9"/>
        <v/>
      </c>
      <c r="X210" t="str">
        <f t="shared" si="11"/>
        <v/>
      </c>
      <c r="Z210" t="str">
        <f t="shared" si="13"/>
        <v/>
      </c>
      <c r="AB210" t="str">
        <f t="shared" si="15"/>
        <v/>
      </c>
      <c r="AD210" t="str">
        <f t="shared" si="17"/>
        <v/>
      </c>
      <c r="AF210" t="str">
        <f t="shared" si="19"/>
        <v/>
      </c>
      <c r="AH210" t="str">
        <f t="shared" si="21"/>
        <v/>
      </c>
      <c r="AJ210" t="str">
        <f t="shared" si="23"/>
        <v/>
      </c>
    </row>
    <row r="211">
      <c r="P211" t="str">
        <f t="shared" si="3"/>
        <v/>
      </c>
      <c r="R211" t="str">
        <f t="shared" si="5"/>
        <v/>
      </c>
      <c r="T211" t="str">
        <f t="shared" si="7"/>
        <v/>
      </c>
      <c r="V211" t="str">
        <f t="shared" si="9"/>
        <v/>
      </c>
      <c r="X211" t="str">
        <f t="shared" si="11"/>
        <v/>
      </c>
      <c r="Z211" t="str">
        <f t="shared" si="13"/>
        <v/>
      </c>
      <c r="AB211" t="str">
        <f t="shared" si="15"/>
        <v/>
      </c>
      <c r="AD211" t="str">
        <f t="shared" si="17"/>
        <v/>
      </c>
      <c r="AF211" t="str">
        <f t="shared" si="19"/>
        <v/>
      </c>
      <c r="AH211" t="str">
        <f t="shared" si="21"/>
        <v/>
      </c>
      <c r="AJ211" t="str">
        <f t="shared" si="23"/>
        <v/>
      </c>
    </row>
    <row r="212">
      <c r="P212" t="str">
        <f t="shared" si="3"/>
        <v/>
      </c>
      <c r="R212" t="str">
        <f t="shared" si="5"/>
        <v/>
      </c>
      <c r="T212" t="str">
        <f t="shared" si="7"/>
        <v/>
      </c>
      <c r="V212" t="str">
        <f t="shared" si="9"/>
        <v/>
      </c>
      <c r="X212" t="str">
        <f t="shared" si="11"/>
        <v/>
      </c>
      <c r="Z212" t="str">
        <f t="shared" si="13"/>
        <v/>
      </c>
      <c r="AB212" t="str">
        <f t="shared" si="15"/>
        <v/>
      </c>
      <c r="AD212" t="str">
        <f t="shared" si="17"/>
        <v/>
      </c>
      <c r="AF212" t="str">
        <f t="shared" si="19"/>
        <v/>
      </c>
      <c r="AH212" t="str">
        <f t="shared" si="21"/>
        <v/>
      </c>
      <c r="AJ212" t="str">
        <f t="shared" si="23"/>
        <v/>
      </c>
    </row>
    <row r="213">
      <c r="P213" t="str">
        <f t="shared" si="3"/>
        <v/>
      </c>
      <c r="R213" t="str">
        <f t="shared" si="5"/>
        <v/>
      </c>
      <c r="T213" t="str">
        <f t="shared" si="7"/>
        <v/>
      </c>
      <c r="V213" t="str">
        <f t="shared" si="9"/>
        <v/>
      </c>
      <c r="X213" t="str">
        <f t="shared" si="11"/>
        <v/>
      </c>
      <c r="Z213" t="str">
        <f t="shared" si="13"/>
        <v/>
      </c>
      <c r="AB213" t="str">
        <f t="shared" si="15"/>
        <v/>
      </c>
      <c r="AD213" t="str">
        <f t="shared" si="17"/>
        <v/>
      </c>
      <c r="AF213" t="str">
        <f t="shared" si="19"/>
        <v/>
      </c>
      <c r="AH213" t="str">
        <f t="shared" si="21"/>
        <v/>
      </c>
      <c r="AJ213" t="str">
        <f t="shared" si="23"/>
        <v/>
      </c>
    </row>
    <row r="214">
      <c r="P214" t="str">
        <f t="shared" si="3"/>
        <v/>
      </c>
      <c r="R214" t="str">
        <f t="shared" si="5"/>
        <v/>
      </c>
      <c r="T214" t="str">
        <f t="shared" si="7"/>
        <v/>
      </c>
      <c r="V214" t="str">
        <f t="shared" si="9"/>
        <v/>
      </c>
      <c r="X214" t="str">
        <f t="shared" si="11"/>
        <v/>
      </c>
      <c r="Z214" t="str">
        <f t="shared" si="13"/>
        <v/>
      </c>
      <c r="AB214" t="str">
        <f t="shared" si="15"/>
        <v/>
      </c>
      <c r="AD214" t="str">
        <f t="shared" si="17"/>
        <v/>
      </c>
      <c r="AF214" t="str">
        <f t="shared" si="19"/>
        <v/>
      </c>
      <c r="AH214" t="str">
        <f t="shared" si="21"/>
        <v/>
      </c>
      <c r="AJ214" t="str">
        <f t="shared" si="23"/>
        <v/>
      </c>
    </row>
    <row r="215">
      <c r="P215" t="str">
        <f t="shared" si="3"/>
        <v/>
      </c>
      <c r="R215" t="str">
        <f t="shared" si="5"/>
        <v/>
      </c>
      <c r="T215" t="str">
        <f t="shared" si="7"/>
        <v/>
      </c>
      <c r="V215" t="str">
        <f t="shared" si="9"/>
        <v/>
      </c>
      <c r="X215" t="str">
        <f t="shared" si="11"/>
        <v/>
      </c>
      <c r="Z215" t="str">
        <f t="shared" si="13"/>
        <v/>
      </c>
      <c r="AB215" t="str">
        <f t="shared" si="15"/>
        <v/>
      </c>
      <c r="AD215" t="str">
        <f t="shared" si="17"/>
        <v/>
      </c>
      <c r="AF215" t="str">
        <f t="shared" si="19"/>
        <v/>
      </c>
      <c r="AH215" t="str">
        <f t="shared" si="21"/>
        <v/>
      </c>
      <c r="AJ215" t="str">
        <f t="shared" si="23"/>
        <v/>
      </c>
    </row>
    <row r="216">
      <c r="P216" t="str">
        <f t="shared" si="3"/>
        <v/>
      </c>
      <c r="R216" t="str">
        <f t="shared" si="5"/>
        <v/>
      </c>
      <c r="T216" t="str">
        <f t="shared" si="7"/>
        <v/>
      </c>
      <c r="V216" t="str">
        <f t="shared" si="9"/>
        <v/>
      </c>
      <c r="X216" t="str">
        <f t="shared" si="11"/>
        <v/>
      </c>
      <c r="Z216" t="str">
        <f t="shared" si="13"/>
        <v/>
      </c>
      <c r="AB216" t="str">
        <f t="shared" si="15"/>
        <v/>
      </c>
      <c r="AD216" t="str">
        <f t="shared" si="17"/>
        <v/>
      </c>
      <c r="AF216" t="str">
        <f t="shared" si="19"/>
        <v/>
      </c>
      <c r="AH216" t="str">
        <f t="shared" si="21"/>
        <v/>
      </c>
      <c r="AJ216" t="str">
        <f t="shared" si="23"/>
        <v/>
      </c>
    </row>
    <row r="217">
      <c r="P217" t="str">
        <f t="shared" si="3"/>
        <v/>
      </c>
      <c r="R217" t="str">
        <f t="shared" si="5"/>
        <v/>
      </c>
      <c r="T217" t="str">
        <f t="shared" si="7"/>
        <v/>
      </c>
      <c r="V217" t="str">
        <f t="shared" si="9"/>
        <v/>
      </c>
      <c r="X217" t="str">
        <f t="shared" si="11"/>
        <v/>
      </c>
      <c r="Z217" t="str">
        <f t="shared" si="13"/>
        <v/>
      </c>
      <c r="AB217" t="str">
        <f t="shared" si="15"/>
        <v/>
      </c>
      <c r="AD217" t="str">
        <f t="shared" si="17"/>
        <v/>
      </c>
      <c r="AF217" t="str">
        <f t="shared" si="19"/>
        <v/>
      </c>
      <c r="AH217" t="str">
        <f t="shared" si="21"/>
        <v/>
      </c>
      <c r="AJ217" t="str">
        <f t="shared" si="23"/>
        <v/>
      </c>
    </row>
    <row r="218">
      <c r="P218" t="str">
        <f t="shared" si="3"/>
        <v/>
      </c>
      <c r="R218" t="str">
        <f t="shared" si="5"/>
        <v/>
      </c>
      <c r="T218" t="str">
        <f t="shared" si="7"/>
        <v/>
      </c>
      <c r="V218" t="str">
        <f t="shared" si="9"/>
        <v/>
      </c>
      <c r="X218" t="str">
        <f t="shared" si="11"/>
        <v/>
      </c>
      <c r="Z218" t="str">
        <f t="shared" si="13"/>
        <v/>
      </c>
      <c r="AB218" t="str">
        <f t="shared" si="15"/>
        <v/>
      </c>
      <c r="AD218" t="str">
        <f t="shared" si="17"/>
        <v/>
      </c>
      <c r="AF218" t="str">
        <f t="shared" si="19"/>
        <v/>
      </c>
      <c r="AH218" t="str">
        <f t="shared" si="21"/>
        <v/>
      </c>
      <c r="AJ218" t="str">
        <f t="shared" si="23"/>
        <v/>
      </c>
    </row>
    <row r="219">
      <c r="P219" t="str">
        <f t="shared" si="3"/>
        <v/>
      </c>
      <c r="R219" t="str">
        <f t="shared" si="5"/>
        <v/>
      </c>
      <c r="T219" t="str">
        <f t="shared" si="7"/>
        <v/>
      </c>
      <c r="V219" t="str">
        <f t="shared" si="9"/>
        <v/>
      </c>
      <c r="X219" t="str">
        <f t="shared" si="11"/>
        <v/>
      </c>
      <c r="Z219" t="str">
        <f t="shared" si="13"/>
        <v/>
      </c>
      <c r="AB219" t="str">
        <f t="shared" si="15"/>
        <v/>
      </c>
      <c r="AD219" t="str">
        <f t="shared" si="17"/>
        <v/>
      </c>
      <c r="AF219" t="str">
        <f t="shared" si="19"/>
        <v/>
      </c>
      <c r="AH219" t="str">
        <f t="shared" si="21"/>
        <v/>
      </c>
      <c r="AJ219" t="str">
        <f t="shared" si="23"/>
        <v/>
      </c>
    </row>
    <row r="220">
      <c r="P220" t="str">
        <f t="shared" si="3"/>
        <v/>
      </c>
      <c r="R220" t="str">
        <f t="shared" si="5"/>
        <v/>
      </c>
      <c r="T220" t="str">
        <f t="shared" si="7"/>
        <v/>
      </c>
      <c r="V220" t="str">
        <f t="shared" si="9"/>
        <v/>
      </c>
      <c r="X220" t="str">
        <f t="shared" si="11"/>
        <v/>
      </c>
      <c r="Z220" t="str">
        <f t="shared" si="13"/>
        <v/>
      </c>
      <c r="AB220" t="str">
        <f t="shared" si="15"/>
        <v/>
      </c>
      <c r="AD220" t="str">
        <f t="shared" si="17"/>
        <v/>
      </c>
      <c r="AF220" t="str">
        <f t="shared" si="19"/>
        <v/>
      </c>
      <c r="AH220" t="str">
        <f t="shared" si="21"/>
        <v/>
      </c>
      <c r="AJ220" t="str">
        <f t="shared" si="23"/>
        <v/>
      </c>
    </row>
    <row r="221">
      <c r="P221" t="str">
        <f t="shared" si="3"/>
        <v/>
      </c>
      <c r="R221" t="str">
        <f t="shared" si="5"/>
        <v/>
      </c>
      <c r="T221" t="str">
        <f t="shared" si="7"/>
        <v/>
      </c>
      <c r="V221" t="str">
        <f t="shared" si="9"/>
        <v/>
      </c>
      <c r="X221" t="str">
        <f t="shared" si="11"/>
        <v/>
      </c>
      <c r="Z221" t="str">
        <f t="shared" si="13"/>
        <v/>
      </c>
      <c r="AB221" t="str">
        <f t="shared" si="15"/>
        <v/>
      </c>
      <c r="AD221" t="str">
        <f t="shared" si="17"/>
        <v/>
      </c>
      <c r="AF221" t="str">
        <f t="shared" si="19"/>
        <v/>
      </c>
      <c r="AH221" t="str">
        <f t="shared" si="21"/>
        <v/>
      </c>
      <c r="AJ221" t="str">
        <f t="shared" si="23"/>
        <v/>
      </c>
    </row>
    <row r="222">
      <c r="P222" t="str">
        <f t="shared" si="3"/>
        <v/>
      </c>
      <c r="R222" t="str">
        <f t="shared" si="5"/>
        <v/>
      </c>
      <c r="T222" t="str">
        <f t="shared" si="7"/>
        <v/>
      </c>
      <c r="V222" t="str">
        <f t="shared" si="9"/>
        <v/>
      </c>
      <c r="X222" t="str">
        <f t="shared" si="11"/>
        <v/>
      </c>
      <c r="Z222" t="str">
        <f t="shared" si="13"/>
        <v/>
      </c>
      <c r="AB222" t="str">
        <f t="shared" si="15"/>
        <v/>
      </c>
      <c r="AD222" t="str">
        <f t="shared" si="17"/>
        <v/>
      </c>
      <c r="AF222" t="str">
        <f t="shared" si="19"/>
        <v/>
      </c>
      <c r="AH222" t="str">
        <f t="shared" si="21"/>
        <v/>
      </c>
      <c r="AJ222" t="str">
        <f t="shared" si="23"/>
        <v/>
      </c>
    </row>
    <row r="223">
      <c r="P223" t="str">
        <f t="shared" si="3"/>
        <v/>
      </c>
      <c r="R223" t="str">
        <f t="shared" si="5"/>
        <v/>
      </c>
      <c r="T223" t="str">
        <f t="shared" si="7"/>
        <v/>
      </c>
      <c r="V223" t="str">
        <f t="shared" si="9"/>
        <v/>
      </c>
      <c r="X223" t="str">
        <f t="shared" si="11"/>
        <v/>
      </c>
      <c r="Z223" t="str">
        <f t="shared" si="13"/>
        <v/>
      </c>
      <c r="AB223" t="str">
        <f t="shared" si="15"/>
        <v/>
      </c>
      <c r="AD223" t="str">
        <f t="shared" si="17"/>
        <v/>
      </c>
      <c r="AF223" t="str">
        <f t="shared" si="19"/>
        <v/>
      </c>
      <c r="AH223" t="str">
        <f t="shared" si="21"/>
        <v/>
      </c>
      <c r="AJ223" t="str">
        <f t="shared" si="23"/>
        <v/>
      </c>
    </row>
    <row r="224">
      <c r="P224" t="str">
        <f t="shared" si="3"/>
        <v/>
      </c>
      <c r="R224" t="str">
        <f t="shared" si="5"/>
        <v/>
      </c>
      <c r="T224" t="str">
        <f t="shared" si="7"/>
        <v/>
      </c>
      <c r="V224" t="str">
        <f t="shared" si="9"/>
        <v/>
      </c>
      <c r="X224" t="str">
        <f t="shared" si="11"/>
        <v/>
      </c>
      <c r="Z224" t="str">
        <f t="shared" si="13"/>
        <v/>
      </c>
      <c r="AB224" t="str">
        <f t="shared" si="15"/>
        <v/>
      </c>
      <c r="AD224" t="str">
        <f t="shared" si="17"/>
        <v/>
      </c>
      <c r="AF224" t="str">
        <f t="shared" si="19"/>
        <v/>
      </c>
      <c r="AH224" t="str">
        <f t="shared" si="21"/>
        <v/>
      </c>
      <c r="AJ224" t="str">
        <f t="shared" si="23"/>
        <v/>
      </c>
    </row>
    <row r="225">
      <c r="P225" t="str">
        <f t="shared" si="3"/>
        <v/>
      </c>
      <c r="R225" t="str">
        <f t="shared" si="5"/>
        <v/>
      </c>
      <c r="T225" t="str">
        <f t="shared" si="7"/>
        <v/>
      </c>
      <c r="V225" t="str">
        <f t="shared" si="9"/>
        <v/>
      </c>
      <c r="X225" t="str">
        <f t="shared" si="11"/>
        <v/>
      </c>
      <c r="Z225" t="str">
        <f t="shared" si="13"/>
        <v/>
      </c>
      <c r="AB225" t="str">
        <f t="shared" si="15"/>
        <v/>
      </c>
      <c r="AD225" t="str">
        <f t="shared" si="17"/>
        <v/>
      </c>
      <c r="AF225" t="str">
        <f t="shared" si="19"/>
        <v/>
      </c>
      <c r="AH225" t="str">
        <f t="shared" si="21"/>
        <v/>
      </c>
      <c r="AJ225" t="str">
        <f t="shared" si="23"/>
        <v/>
      </c>
    </row>
    <row r="226">
      <c r="P226" t="str">
        <f t="shared" si="3"/>
        <v/>
      </c>
      <c r="R226" t="str">
        <f t="shared" si="5"/>
        <v/>
      </c>
      <c r="T226" t="str">
        <f t="shared" si="7"/>
        <v/>
      </c>
      <c r="V226" t="str">
        <f t="shared" si="9"/>
        <v/>
      </c>
      <c r="X226" t="str">
        <f t="shared" si="11"/>
        <v/>
      </c>
      <c r="Z226" t="str">
        <f t="shared" si="13"/>
        <v/>
      </c>
      <c r="AB226" t="str">
        <f t="shared" si="15"/>
        <v/>
      </c>
      <c r="AD226" t="str">
        <f t="shared" si="17"/>
        <v/>
      </c>
      <c r="AF226" t="str">
        <f t="shared" si="19"/>
        <v/>
      </c>
      <c r="AH226" t="str">
        <f t="shared" si="21"/>
        <v/>
      </c>
      <c r="AJ226" t="str">
        <f t="shared" si="23"/>
        <v/>
      </c>
    </row>
    <row r="227">
      <c r="P227" t="str">
        <f t="shared" si="3"/>
        <v/>
      </c>
      <c r="R227" t="str">
        <f t="shared" si="5"/>
        <v/>
      </c>
      <c r="T227" t="str">
        <f t="shared" si="7"/>
        <v/>
      </c>
      <c r="V227" t="str">
        <f t="shared" si="9"/>
        <v/>
      </c>
      <c r="X227" t="str">
        <f t="shared" si="11"/>
        <v/>
      </c>
      <c r="Z227" t="str">
        <f t="shared" si="13"/>
        <v/>
      </c>
      <c r="AB227" t="str">
        <f t="shared" si="15"/>
        <v/>
      </c>
      <c r="AD227" t="str">
        <f t="shared" si="17"/>
        <v/>
      </c>
      <c r="AF227" t="str">
        <f t="shared" si="19"/>
        <v/>
      </c>
      <c r="AH227" t="str">
        <f t="shared" si="21"/>
        <v/>
      </c>
      <c r="AJ227" t="str">
        <f t="shared" si="23"/>
        <v/>
      </c>
    </row>
    <row r="228">
      <c r="P228" t="str">
        <f t="shared" si="3"/>
        <v/>
      </c>
      <c r="R228" t="str">
        <f t="shared" si="5"/>
        <v/>
      </c>
      <c r="T228" t="str">
        <f t="shared" si="7"/>
        <v/>
      </c>
      <c r="V228" t="str">
        <f t="shared" si="9"/>
        <v/>
      </c>
      <c r="X228" t="str">
        <f t="shared" si="11"/>
        <v/>
      </c>
      <c r="Z228" t="str">
        <f t="shared" si="13"/>
        <v/>
      </c>
      <c r="AB228" t="str">
        <f t="shared" si="15"/>
        <v/>
      </c>
      <c r="AD228" t="str">
        <f t="shared" si="17"/>
        <v/>
      </c>
      <c r="AF228" t="str">
        <f t="shared" si="19"/>
        <v/>
      </c>
      <c r="AH228" t="str">
        <f t="shared" si="21"/>
        <v/>
      </c>
      <c r="AJ228" t="str">
        <f t="shared" si="23"/>
        <v/>
      </c>
    </row>
    <row r="229">
      <c r="P229" t="str">
        <f t="shared" si="3"/>
        <v/>
      </c>
      <c r="R229" t="str">
        <f t="shared" si="5"/>
        <v/>
      </c>
      <c r="T229" t="str">
        <f t="shared" si="7"/>
        <v/>
      </c>
      <c r="V229" t="str">
        <f t="shared" si="9"/>
        <v/>
      </c>
      <c r="X229" t="str">
        <f t="shared" si="11"/>
        <v/>
      </c>
      <c r="Z229" t="str">
        <f t="shared" si="13"/>
        <v/>
      </c>
      <c r="AB229" t="str">
        <f t="shared" si="15"/>
        <v/>
      </c>
      <c r="AD229" t="str">
        <f t="shared" si="17"/>
        <v/>
      </c>
      <c r="AF229" t="str">
        <f t="shared" si="19"/>
        <v/>
      </c>
      <c r="AH229" t="str">
        <f t="shared" si="21"/>
        <v/>
      </c>
      <c r="AJ229" t="str">
        <f t="shared" si="23"/>
        <v/>
      </c>
    </row>
    <row r="230">
      <c r="P230" t="str">
        <f t="shared" si="3"/>
        <v/>
      </c>
      <c r="R230" t="str">
        <f t="shared" si="5"/>
        <v/>
      </c>
      <c r="T230" t="str">
        <f t="shared" si="7"/>
        <v/>
      </c>
      <c r="V230" t="str">
        <f t="shared" si="9"/>
        <v/>
      </c>
      <c r="X230" t="str">
        <f t="shared" si="11"/>
        <v/>
      </c>
      <c r="Z230" t="str">
        <f t="shared" si="13"/>
        <v/>
      </c>
      <c r="AB230" t="str">
        <f t="shared" si="15"/>
        <v/>
      </c>
      <c r="AD230" t="str">
        <f t="shared" si="17"/>
        <v/>
      </c>
      <c r="AF230" t="str">
        <f t="shared" si="19"/>
        <v/>
      </c>
      <c r="AH230" t="str">
        <f t="shared" si="21"/>
        <v/>
      </c>
      <c r="AJ230" t="str">
        <f t="shared" si="23"/>
        <v/>
      </c>
    </row>
    <row r="231">
      <c r="P231" t="str">
        <f t="shared" si="3"/>
        <v/>
      </c>
      <c r="R231" t="str">
        <f t="shared" si="5"/>
        <v/>
      </c>
      <c r="T231" t="str">
        <f t="shared" si="7"/>
        <v/>
      </c>
      <c r="V231" t="str">
        <f t="shared" si="9"/>
        <v/>
      </c>
      <c r="X231" t="str">
        <f t="shared" si="11"/>
        <v/>
      </c>
      <c r="Z231" t="str">
        <f t="shared" si="13"/>
        <v/>
      </c>
      <c r="AB231" t="str">
        <f t="shared" si="15"/>
        <v/>
      </c>
      <c r="AD231" t="str">
        <f t="shared" si="17"/>
        <v/>
      </c>
      <c r="AF231" t="str">
        <f t="shared" si="19"/>
        <v/>
      </c>
      <c r="AH231" t="str">
        <f t="shared" si="21"/>
        <v/>
      </c>
      <c r="AJ231" t="str">
        <f t="shared" si="23"/>
        <v/>
      </c>
    </row>
    <row r="232">
      <c r="P232" t="str">
        <f t="shared" si="3"/>
        <v/>
      </c>
      <c r="R232" t="str">
        <f t="shared" si="5"/>
        <v/>
      </c>
      <c r="T232" t="str">
        <f t="shared" si="7"/>
        <v/>
      </c>
      <c r="V232" t="str">
        <f t="shared" si="9"/>
        <v/>
      </c>
      <c r="X232" t="str">
        <f t="shared" si="11"/>
        <v/>
      </c>
      <c r="Z232" t="str">
        <f t="shared" si="13"/>
        <v/>
      </c>
      <c r="AB232" t="str">
        <f t="shared" si="15"/>
        <v/>
      </c>
      <c r="AD232" t="str">
        <f t="shared" si="17"/>
        <v/>
      </c>
      <c r="AF232" t="str">
        <f t="shared" si="19"/>
        <v/>
      </c>
      <c r="AH232" t="str">
        <f t="shared" si="21"/>
        <v/>
      </c>
      <c r="AJ232" t="str">
        <f t="shared" si="23"/>
        <v/>
      </c>
    </row>
    <row r="233">
      <c r="P233" t="str">
        <f t="shared" si="3"/>
        <v/>
      </c>
      <c r="R233" t="str">
        <f t="shared" si="5"/>
        <v/>
      </c>
      <c r="T233" t="str">
        <f t="shared" si="7"/>
        <v/>
      </c>
      <c r="V233" t="str">
        <f t="shared" si="9"/>
        <v/>
      </c>
      <c r="X233" t="str">
        <f t="shared" si="11"/>
        <v/>
      </c>
      <c r="Z233" t="str">
        <f t="shared" si="13"/>
        <v/>
      </c>
      <c r="AB233" t="str">
        <f t="shared" si="15"/>
        <v/>
      </c>
      <c r="AD233" t="str">
        <f t="shared" si="17"/>
        <v/>
      </c>
      <c r="AF233" t="str">
        <f t="shared" si="19"/>
        <v/>
      </c>
      <c r="AH233" t="str">
        <f t="shared" si="21"/>
        <v/>
      </c>
      <c r="AJ233" t="str">
        <f t="shared" si="23"/>
        <v/>
      </c>
    </row>
    <row r="234">
      <c r="P234" t="str">
        <f t="shared" si="3"/>
        <v/>
      </c>
      <c r="R234" t="str">
        <f t="shared" si="5"/>
        <v/>
      </c>
      <c r="T234" t="str">
        <f t="shared" si="7"/>
        <v/>
      </c>
      <c r="V234" t="str">
        <f t="shared" si="9"/>
        <v/>
      </c>
      <c r="X234" t="str">
        <f t="shared" si="11"/>
        <v/>
      </c>
      <c r="Z234" t="str">
        <f t="shared" si="13"/>
        <v/>
      </c>
      <c r="AB234" t="str">
        <f t="shared" si="15"/>
        <v/>
      </c>
      <c r="AD234" t="str">
        <f t="shared" si="17"/>
        <v/>
      </c>
      <c r="AF234" t="str">
        <f t="shared" si="19"/>
        <v/>
      </c>
      <c r="AH234" t="str">
        <f t="shared" si="21"/>
        <v/>
      </c>
      <c r="AJ234" t="str">
        <f t="shared" si="23"/>
        <v/>
      </c>
    </row>
    <row r="235">
      <c r="P235" t="str">
        <f t="shared" si="3"/>
        <v/>
      </c>
      <c r="R235" t="str">
        <f t="shared" si="5"/>
        <v/>
      </c>
      <c r="T235" t="str">
        <f t="shared" si="7"/>
        <v/>
      </c>
      <c r="V235" t="str">
        <f t="shared" si="9"/>
        <v/>
      </c>
      <c r="X235" t="str">
        <f t="shared" si="11"/>
        <v/>
      </c>
      <c r="Z235" t="str">
        <f t="shared" si="13"/>
        <v/>
      </c>
      <c r="AB235" t="str">
        <f t="shared" si="15"/>
        <v/>
      </c>
      <c r="AD235" t="str">
        <f t="shared" si="17"/>
        <v/>
      </c>
      <c r="AF235" t="str">
        <f t="shared" si="19"/>
        <v/>
      </c>
      <c r="AH235" t="str">
        <f t="shared" si="21"/>
        <v/>
      </c>
      <c r="AJ235" t="str">
        <f t="shared" si="23"/>
        <v/>
      </c>
    </row>
    <row r="236">
      <c r="P236" t="str">
        <f t="shared" si="3"/>
        <v/>
      </c>
      <c r="R236" t="str">
        <f t="shared" si="5"/>
        <v/>
      </c>
      <c r="T236" t="str">
        <f t="shared" si="7"/>
        <v/>
      </c>
      <c r="V236" t="str">
        <f t="shared" si="9"/>
        <v/>
      </c>
      <c r="X236" t="str">
        <f t="shared" si="11"/>
        <v/>
      </c>
      <c r="Z236" t="str">
        <f t="shared" si="13"/>
        <v/>
      </c>
      <c r="AB236" t="str">
        <f t="shared" si="15"/>
        <v/>
      </c>
      <c r="AD236" t="str">
        <f t="shared" si="17"/>
        <v/>
      </c>
      <c r="AF236" t="str">
        <f t="shared" si="19"/>
        <v/>
      </c>
      <c r="AH236" t="str">
        <f t="shared" si="21"/>
        <v/>
      </c>
      <c r="AJ236" t="str">
        <f t="shared" si="23"/>
        <v/>
      </c>
    </row>
    <row r="237">
      <c r="P237" t="str">
        <f t="shared" si="3"/>
        <v/>
      </c>
      <c r="R237" t="str">
        <f t="shared" si="5"/>
        <v/>
      </c>
      <c r="T237" t="str">
        <f t="shared" si="7"/>
        <v/>
      </c>
      <c r="V237" t="str">
        <f t="shared" si="9"/>
        <v/>
      </c>
      <c r="X237" t="str">
        <f t="shared" si="11"/>
        <v/>
      </c>
      <c r="Z237" t="str">
        <f t="shared" si="13"/>
        <v/>
      </c>
      <c r="AB237" t="str">
        <f t="shared" si="15"/>
        <v/>
      </c>
      <c r="AD237" t="str">
        <f t="shared" si="17"/>
        <v/>
      </c>
      <c r="AF237" t="str">
        <f t="shared" si="19"/>
        <v/>
      </c>
      <c r="AH237" t="str">
        <f t="shared" si="21"/>
        <v/>
      </c>
      <c r="AJ237" t="str">
        <f t="shared" si="23"/>
        <v/>
      </c>
    </row>
    <row r="238">
      <c r="P238" t="str">
        <f t="shared" si="3"/>
        <v/>
      </c>
      <c r="R238" t="str">
        <f t="shared" si="5"/>
        <v/>
      </c>
      <c r="T238" t="str">
        <f t="shared" si="7"/>
        <v/>
      </c>
      <c r="V238" t="str">
        <f t="shared" si="9"/>
        <v/>
      </c>
      <c r="X238" t="str">
        <f t="shared" si="11"/>
        <v/>
      </c>
      <c r="Z238" t="str">
        <f t="shared" si="13"/>
        <v/>
      </c>
      <c r="AB238" t="str">
        <f t="shared" si="15"/>
        <v/>
      </c>
      <c r="AD238" t="str">
        <f t="shared" si="17"/>
        <v/>
      </c>
      <c r="AF238" t="str">
        <f t="shared" si="19"/>
        <v/>
      </c>
      <c r="AH238" t="str">
        <f t="shared" si="21"/>
        <v/>
      </c>
      <c r="AJ238" t="str">
        <f t="shared" si="23"/>
        <v/>
      </c>
    </row>
    <row r="239">
      <c r="P239" t="str">
        <f t="shared" si="3"/>
        <v/>
      </c>
      <c r="R239" t="str">
        <f t="shared" si="5"/>
        <v/>
      </c>
      <c r="T239" t="str">
        <f t="shared" si="7"/>
        <v/>
      </c>
      <c r="V239" t="str">
        <f t="shared" si="9"/>
        <v/>
      </c>
      <c r="X239" t="str">
        <f t="shared" si="11"/>
        <v/>
      </c>
      <c r="Z239" t="str">
        <f t="shared" si="13"/>
        <v/>
      </c>
      <c r="AB239" t="str">
        <f t="shared" si="15"/>
        <v/>
      </c>
      <c r="AD239" t="str">
        <f t="shared" si="17"/>
        <v/>
      </c>
      <c r="AF239" t="str">
        <f t="shared" si="19"/>
        <v/>
      </c>
      <c r="AH239" t="str">
        <f t="shared" si="21"/>
        <v/>
      </c>
      <c r="AJ239" t="str">
        <f t="shared" si="23"/>
        <v/>
      </c>
    </row>
    <row r="240">
      <c r="P240" t="str">
        <f t="shared" si="3"/>
        <v/>
      </c>
      <c r="R240" t="str">
        <f t="shared" si="5"/>
        <v/>
      </c>
      <c r="T240" t="str">
        <f t="shared" si="7"/>
        <v/>
      </c>
      <c r="V240" t="str">
        <f t="shared" si="9"/>
        <v/>
      </c>
      <c r="X240" t="str">
        <f t="shared" si="11"/>
        <v/>
      </c>
      <c r="Z240" t="str">
        <f t="shared" si="13"/>
        <v/>
      </c>
      <c r="AB240" t="str">
        <f t="shared" si="15"/>
        <v/>
      </c>
      <c r="AD240" t="str">
        <f t="shared" si="17"/>
        <v/>
      </c>
      <c r="AF240" t="str">
        <f t="shared" si="19"/>
        <v/>
      </c>
      <c r="AH240" t="str">
        <f t="shared" si="21"/>
        <v/>
      </c>
      <c r="AJ240" t="str">
        <f t="shared" si="23"/>
        <v/>
      </c>
    </row>
    <row r="241">
      <c r="P241" t="str">
        <f t="shared" si="3"/>
        <v/>
      </c>
      <c r="R241" t="str">
        <f t="shared" si="5"/>
        <v/>
      </c>
      <c r="T241" t="str">
        <f t="shared" si="7"/>
        <v/>
      </c>
      <c r="V241" t="str">
        <f t="shared" si="9"/>
        <v/>
      </c>
      <c r="X241" t="str">
        <f t="shared" si="11"/>
        <v/>
      </c>
      <c r="Z241" t="str">
        <f t="shared" si="13"/>
        <v/>
      </c>
      <c r="AB241" t="str">
        <f t="shared" si="15"/>
        <v/>
      </c>
      <c r="AD241" t="str">
        <f t="shared" si="17"/>
        <v/>
      </c>
      <c r="AF241" t="str">
        <f t="shared" si="19"/>
        <v/>
      </c>
      <c r="AH241" t="str">
        <f t="shared" si="21"/>
        <v/>
      </c>
      <c r="AJ241" t="str">
        <f t="shared" si="23"/>
        <v/>
      </c>
    </row>
    <row r="242">
      <c r="P242" t="str">
        <f t="shared" si="3"/>
        <v/>
      </c>
      <c r="R242" t="str">
        <f t="shared" si="5"/>
        <v/>
      </c>
      <c r="T242" t="str">
        <f t="shared" si="7"/>
        <v/>
      </c>
      <c r="V242" t="str">
        <f t="shared" si="9"/>
        <v/>
      </c>
      <c r="X242" t="str">
        <f t="shared" si="11"/>
        <v/>
      </c>
      <c r="Z242" t="str">
        <f t="shared" si="13"/>
        <v/>
      </c>
      <c r="AB242" t="str">
        <f t="shared" si="15"/>
        <v/>
      </c>
      <c r="AD242" t="str">
        <f t="shared" si="17"/>
        <v/>
      </c>
      <c r="AF242" t="str">
        <f t="shared" si="19"/>
        <v/>
      </c>
      <c r="AH242" t="str">
        <f t="shared" si="21"/>
        <v/>
      </c>
      <c r="AJ242" t="str">
        <f t="shared" si="23"/>
        <v/>
      </c>
    </row>
    <row r="243">
      <c r="P243" t="str">
        <f t="shared" si="3"/>
        <v/>
      </c>
      <c r="R243" t="str">
        <f t="shared" si="5"/>
        <v/>
      </c>
      <c r="T243" t="str">
        <f t="shared" si="7"/>
        <v/>
      </c>
      <c r="V243" t="str">
        <f t="shared" si="9"/>
        <v/>
      </c>
      <c r="X243" t="str">
        <f t="shared" si="11"/>
        <v/>
      </c>
      <c r="Z243" t="str">
        <f t="shared" si="13"/>
        <v/>
      </c>
      <c r="AB243" t="str">
        <f t="shared" si="15"/>
        <v/>
      </c>
      <c r="AD243" t="str">
        <f t="shared" si="17"/>
        <v/>
      </c>
      <c r="AF243" t="str">
        <f t="shared" si="19"/>
        <v/>
      </c>
      <c r="AH243" t="str">
        <f t="shared" si="21"/>
        <v/>
      </c>
      <c r="AJ243" t="str">
        <f t="shared" si="23"/>
        <v/>
      </c>
    </row>
    <row r="244">
      <c r="P244" t="str">
        <f t="shared" si="3"/>
        <v/>
      </c>
      <c r="R244" t="str">
        <f t="shared" si="5"/>
        <v/>
      </c>
      <c r="T244" t="str">
        <f t="shared" si="7"/>
        <v/>
      </c>
      <c r="V244" t="str">
        <f t="shared" si="9"/>
        <v/>
      </c>
      <c r="X244" t="str">
        <f t="shared" si="11"/>
        <v/>
      </c>
      <c r="Z244" t="str">
        <f t="shared" si="13"/>
        <v/>
      </c>
      <c r="AB244" t="str">
        <f t="shared" si="15"/>
        <v/>
      </c>
      <c r="AD244" t="str">
        <f t="shared" si="17"/>
        <v/>
      </c>
      <c r="AF244" t="str">
        <f t="shared" si="19"/>
        <v/>
      </c>
      <c r="AH244" t="str">
        <f t="shared" si="21"/>
        <v/>
      </c>
      <c r="AJ244" t="str">
        <f t="shared" si="23"/>
        <v/>
      </c>
    </row>
    <row r="245">
      <c r="P245" t="str">
        <f t="shared" si="3"/>
        <v/>
      </c>
      <c r="R245" t="str">
        <f t="shared" si="5"/>
        <v/>
      </c>
      <c r="T245" t="str">
        <f t="shared" si="7"/>
        <v/>
      </c>
      <c r="V245" t="str">
        <f t="shared" si="9"/>
        <v/>
      </c>
      <c r="X245" t="str">
        <f t="shared" si="11"/>
        <v/>
      </c>
      <c r="Z245" t="str">
        <f t="shared" si="13"/>
        <v/>
      </c>
      <c r="AB245" t="str">
        <f t="shared" si="15"/>
        <v/>
      </c>
      <c r="AD245" t="str">
        <f t="shared" si="17"/>
        <v/>
      </c>
      <c r="AF245" t="str">
        <f t="shared" si="19"/>
        <v/>
      </c>
      <c r="AH245" t="str">
        <f t="shared" si="21"/>
        <v/>
      </c>
      <c r="AJ245" t="str">
        <f t="shared" si="23"/>
        <v/>
      </c>
    </row>
    <row r="246">
      <c r="P246" t="str">
        <f t="shared" si="3"/>
        <v/>
      </c>
      <c r="R246" t="str">
        <f t="shared" si="5"/>
        <v/>
      </c>
      <c r="T246" t="str">
        <f t="shared" si="7"/>
        <v/>
      </c>
      <c r="V246" t="str">
        <f t="shared" si="9"/>
        <v/>
      </c>
      <c r="X246" t="str">
        <f t="shared" si="11"/>
        <v/>
      </c>
      <c r="Z246" t="str">
        <f t="shared" si="13"/>
        <v/>
      </c>
      <c r="AB246" t="str">
        <f t="shared" si="15"/>
        <v/>
      </c>
      <c r="AD246" t="str">
        <f t="shared" si="17"/>
        <v/>
      </c>
      <c r="AF246" t="str">
        <f t="shared" si="19"/>
        <v/>
      </c>
      <c r="AH246" t="str">
        <f t="shared" si="21"/>
        <v/>
      </c>
      <c r="AJ246" t="str">
        <f t="shared" si="23"/>
        <v/>
      </c>
    </row>
    <row r="247">
      <c r="P247" t="str">
        <f t="shared" si="3"/>
        <v/>
      </c>
      <c r="R247" t="str">
        <f t="shared" si="5"/>
        <v/>
      </c>
      <c r="T247" t="str">
        <f t="shared" si="7"/>
        <v/>
      </c>
      <c r="V247" t="str">
        <f t="shared" si="9"/>
        <v/>
      </c>
      <c r="X247" t="str">
        <f t="shared" si="11"/>
        <v/>
      </c>
      <c r="Z247" t="str">
        <f t="shared" si="13"/>
        <v/>
      </c>
      <c r="AB247" t="str">
        <f t="shared" si="15"/>
        <v/>
      </c>
      <c r="AD247" t="str">
        <f t="shared" si="17"/>
        <v/>
      </c>
      <c r="AF247" t="str">
        <f t="shared" si="19"/>
        <v/>
      </c>
      <c r="AH247" t="str">
        <f t="shared" si="21"/>
        <v/>
      </c>
      <c r="AJ247" t="str">
        <f t="shared" si="23"/>
        <v/>
      </c>
    </row>
    <row r="248">
      <c r="P248" t="str">
        <f t="shared" si="3"/>
        <v/>
      </c>
      <c r="R248" t="str">
        <f t="shared" si="5"/>
        <v/>
      </c>
      <c r="T248" t="str">
        <f t="shared" si="7"/>
        <v/>
      </c>
      <c r="V248" t="str">
        <f t="shared" si="9"/>
        <v/>
      </c>
      <c r="X248" t="str">
        <f t="shared" si="11"/>
        <v/>
      </c>
      <c r="Z248" t="str">
        <f t="shared" si="13"/>
        <v/>
      </c>
      <c r="AB248" t="str">
        <f t="shared" si="15"/>
        <v/>
      </c>
      <c r="AD248" t="str">
        <f t="shared" si="17"/>
        <v/>
      </c>
      <c r="AF248" t="str">
        <f t="shared" si="19"/>
        <v/>
      </c>
      <c r="AH248" t="str">
        <f t="shared" si="21"/>
        <v/>
      </c>
      <c r="AJ248" t="str">
        <f t="shared" si="23"/>
        <v/>
      </c>
    </row>
    <row r="249">
      <c r="P249" t="str">
        <f t="shared" si="3"/>
        <v/>
      </c>
      <c r="R249" t="str">
        <f t="shared" si="5"/>
        <v/>
      </c>
      <c r="T249" t="str">
        <f t="shared" si="7"/>
        <v/>
      </c>
      <c r="V249" t="str">
        <f t="shared" si="9"/>
        <v/>
      </c>
      <c r="X249" t="str">
        <f t="shared" si="11"/>
        <v/>
      </c>
      <c r="Z249" t="str">
        <f t="shared" si="13"/>
        <v/>
      </c>
      <c r="AB249" t="str">
        <f t="shared" si="15"/>
        <v/>
      </c>
      <c r="AD249" t="str">
        <f t="shared" si="17"/>
        <v/>
      </c>
      <c r="AF249" t="str">
        <f t="shared" si="19"/>
        <v/>
      </c>
      <c r="AH249" t="str">
        <f t="shared" si="21"/>
        <v/>
      </c>
      <c r="AJ249" t="str">
        <f t="shared" si="23"/>
        <v/>
      </c>
    </row>
    <row r="250">
      <c r="P250" t="str">
        <f t="shared" si="3"/>
        <v/>
      </c>
      <c r="R250" t="str">
        <f t="shared" si="5"/>
        <v/>
      </c>
      <c r="T250" t="str">
        <f t="shared" si="7"/>
        <v/>
      </c>
      <c r="V250" t="str">
        <f t="shared" si="9"/>
        <v/>
      </c>
      <c r="X250" t="str">
        <f t="shared" si="11"/>
        <v/>
      </c>
      <c r="Z250" t="str">
        <f t="shared" si="13"/>
        <v/>
      </c>
      <c r="AB250" t="str">
        <f t="shared" si="15"/>
        <v/>
      </c>
      <c r="AD250" t="str">
        <f t="shared" si="17"/>
        <v/>
      </c>
      <c r="AF250" t="str">
        <f t="shared" si="19"/>
        <v/>
      </c>
      <c r="AH250" t="str">
        <f t="shared" si="21"/>
        <v/>
      </c>
      <c r="AJ250" t="str">
        <f t="shared" si="23"/>
        <v/>
      </c>
    </row>
    <row r="251">
      <c r="P251" t="str">
        <f t="shared" si="3"/>
        <v/>
      </c>
      <c r="R251" t="str">
        <f t="shared" si="5"/>
        <v/>
      </c>
      <c r="T251" t="str">
        <f t="shared" si="7"/>
        <v/>
      </c>
      <c r="V251" t="str">
        <f t="shared" si="9"/>
        <v/>
      </c>
      <c r="X251" t="str">
        <f t="shared" si="11"/>
        <v/>
      </c>
      <c r="Z251" t="str">
        <f t="shared" si="13"/>
        <v/>
      </c>
      <c r="AB251" t="str">
        <f t="shared" si="15"/>
        <v/>
      </c>
      <c r="AD251" t="str">
        <f t="shared" si="17"/>
        <v/>
      </c>
      <c r="AF251" t="str">
        <f t="shared" si="19"/>
        <v/>
      </c>
      <c r="AH251" t="str">
        <f t="shared" si="21"/>
        <v/>
      </c>
      <c r="AJ251" t="str">
        <f t="shared" si="23"/>
        <v/>
      </c>
    </row>
    <row r="252">
      <c r="P252" t="str">
        <f t="shared" si="3"/>
        <v/>
      </c>
      <c r="R252" t="str">
        <f t="shared" si="5"/>
        <v/>
      </c>
      <c r="T252" t="str">
        <f t="shared" si="7"/>
        <v/>
      </c>
      <c r="V252" t="str">
        <f t="shared" si="9"/>
        <v/>
      </c>
      <c r="X252" t="str">
        <f t="shared" si="11"/>
        <v/>
      </c>
      <c r="Z252" t="str">
        <f t="shared" si="13"/>
        <v/>
      </c>
      <c r="AB252" t="str">
        <f t="shared" si="15"/>
        <v/>
      </c>
      <c r="AD252" t="str">
        <f t="shared" si="17"/>
        <v/>
      </c>
      <c r="AF252" t="str">
        <f t="shared" si="19"/>
        <v/>
      </c>
      <c r="AH252" t="str">
        <f t="shared" si="21"/>
        <v/>
      </c>
      <c r="AJ252" t="str">
        <f t="shared" si="23"/>
        <v/>
      </c>
    </row>
    <row r="253">
      <c r="P253" t="str">
        <f t="shared" si="3"/>
        <v/>
      </c>
      <c r="R253" t="str">
        <f t="shared" si="5"/>
        <v/>
      </c>
      <c r="T253" t="str">
        <f t="shared" si="7"/>
        <v/>
      </c>
      <c r="V253" t="str">
        <f t="shared" si="9"/>
        <v/>
      </c>
      <c r="X253" t="str">
        <f t="shared" si="11"/>
        <v/>
      </c>
      <c r="Z253" t="str">
        <f t="shared" si="13"/>
        <v/>
      </c>
      <c r="AB253" t="str">
        <f t="shared" si="15"/>
        <v/>
      </c>
      <c r="AD253" t="str">
        <f t="shared" si="17"/>
        <v/>
      </c>
      <c r="AF253" t="str">
        <f t="shared" si="19"/>
        <v/>
      </c>
      <c r="AH253" t="str">
        <f t="shared" si="21"/>
        <v/>
      </c>
      <c r="AJ253" t="str">
        <f t="shared" si="23"/>
        <v/>
      </c>
    </row>
    <row r="254">
      <c r="P254" t="str">
        <f t="shared" si="3"/>
        <v/>
      </c>
      <c r="R254" t="str">
        <f t="shared" si="5"/>
        <v/>
      </c>
      <c r="T254" t="str">
        <f t="shared" si="7"/>
        <v/>
      </c>
      <c r="V254" t="str">
        <f t="shared" si="9"/>
        <v/>
      </c>
      <c r="X254" t="str">
        <f t="shared" si="11"/>
        <v/>
      </c>
      <c r="Z254" t="str">
        <f t="shared" si="13"/>
        <v/>
      </c>
      <c r="AB254" t="str">
        <f t="shared" si="15"/>
        <v/>
      </c>
      <c r="AD254" t="str">
        <f t="shared" si="17"/>
        <v/>
      </c>
      <c r="AF254" t="str">
        <f t="shared" si="19"/>
        <v/>
      </c>
      <c r="AH254" t="str">
        <f t="shared" si="21"/>
        <v/>
      </c>
      <c r="AJ254" t="str">
        <f t="shared" si="23"/>
        <v/>
      </c>
    </row>
    <row r="255">
      <c r="P255" t="str">
        <f t="shared" si="3"/>
        <v/>
      </c>
      <c r="R255" t="str">
        <f t="shared" si="5"/>
        <v/>
      </c>
      <c r="T255" t="str">
        <f t="shared" si="7"/>
        <v/>
      </c>
      <c r="V255" t="str">
        <f t="shared" si="9"/>
        <v/>
      </c>
      <c r="X255" t="str">
        <f t="shared" si="11"/>
        <v/>
      </c>
      <c r="Z255" t="str">
        <f t="shared" si="13"/>
        <v/>
      </c>
      <c r="AB255" t="str">
        <f t="shared" si="15"/>
        <v/>
      </c>
      <c r="AD255" t="str">
        <f t="shared" si="17"/>
        <v/>
      </c>
      <c r="AF255" t="str">
        <f t="shared" si="19"/>
        <v/>
      </c>
      <c r="AH255" t="str">
        <f t="shared" si="21"/>
        <v/>
      </c>
      <c r="AJ255" t="str">
        <f t="shared" si="23"/>
        <v/>
      </c>
    </row>
    <row r="256">
      <c r="P256" t="str">
        <f t="shared" si="3"/>
        <v/>
      </c>
      <c r="R256" t="str">
        <f t="shared" si="5"/>
        <v/>
      </c>
      <c r="T256" t="str">
        <f t="shared" si="7"/>
        <v/>
      </c>
      <c r="V256" t="str">
        <f t="shared" si="9"/>
        <v/>
      </c>
      <c r="X256" t="str">
        <f t="shared" si="11"/>
        <v/>
      </c>
      <c r="Z256" t="str">
        <f t="shared" si="13"/>
        <v/>
      </c>
      <c r="AB256" t="str">
        <f t="shared" si="15"/>
        <v/>
      </c>
      <c r="AD256" t="str">
        <f t="shared" si="17"/>
        <v/>
      </c>
      <c r="AF256" t="str">
        <f t="shared" si="19"/>
        <v/>
      </c>
      <c r="AH256" t="str">
        <f t="shared" si="21"/>
        <v/>
      </c>
      <c r="AJ256" t="str">
        <f t="shared" si="23"/>
        <v/>
      </c>
    </row>
    <row r="257">
      <c r="P257" t="str">
        <f t="shared" si="3"/>
        <v/>
      </c>
      <c r="R257" t="str">
        <f t="shared" si="5"/>
        <v/>
      </c>
      <c r="T257" t="str">
        <f t="shared" si="7"/>
        <v/>
      </c>
      <c r="V257" t="str">
        <f t="shared" si="9"/>
        <v/>
      </c>
      <c r="X257" t="str">
        <f t="shared" si="11"/>
        <v/>
      </c>
      <c r="Z257" t="str">
        <f t="shared" si="13"/>
        <v/>
      </c>
      <c r="AB257" t="str">
        <f t="shared" si="15"/>
        <v/>
      </c>
      <c r="AD257" t="str">
        <f t="shared" si="17"/>
        <v/>
      </c>
      <c r="AF257" t="str">
        <f t="shared" si="19"/>
        <v/>
      </c>
      <c r="AH257" t="str">
        <f t="shared" si="21"/>
        <v/>
      </c>
      <c r="AJ257" t="str">
        <f t="shared" si="23"/>
        <v/>
      </c>
    </row>
    <row r="258">
      <c r="P258" t="str">
        <f t="shared" si="3"/>
        <v/>
      </c>
      <c r="R258" t="str">
        <f t="shared" si="5"/>
        <v/>
      </c>
      <c r="T258" t="str">
        <f t="shared" si="7"/>
        <v/>
      </c>
      <c r="V258" t="str">
        <f t="shared" si="9"/>
        <v/>
      </c>
      <c r="X258" t="str">
        <f t="shared" si="11"/>
        <v/>
      </c>
      <c r="Z258" t="str">
        <f t="shared" si="13"/>
        <v/>
      </c>
      <c r="AB258" t="str">
        <f t="shared" si="15"/>
        <v/>
      </c>
      <c r="AD258" t="str">
        <f t="shared" si="17"/>
        <v/>
      </c>
      <c r="AF258" t="str">
        <f t="shared" si="19"/>
        <v/>
      </c>
      <c r="AH258" t="str">
        <f t="shared" si="21"/>
        <v/>
      </c>
      <c r="AJ258" t="str">
        <f t="shared" si="23"/>
        <v/>
      </c>
    </row>
    <row r="259">
      <c r="P259" t="str">
        <f t="shared" si="3"/>
        <v/>
      </c>
      <c r="R259" t="str">
        <f t="shared" si="5"/>
        <v/>
      </c>
      <c r="T259" t="str">
        <f t="shared" si="7"/>
        <v/>
      </c>
      <c r="V259" t="str">
        <f t="shared" si="9"/>
        <v/>
      </c>
      <c r="X259" t="str">
        <f t="shared" si="11"/>
        <v/>
      </c>
      <c r="Z259" t="str">
        <f t="shared" si="13"/>
        <v/>
      </c>
      <c r="AB259" t="str">
        <f t="shared" si="15"/>
        <v/>
      </c>
      <c r="AD259" t="str">
        <f t="shared" si="17"/>
        <v/>
      </c>
      <c r="AF259" t="str">
        <f t="shared" si="19"/>
        <v/>
      </c>
      <c r="AH259" t="str">
        <f t="shared" si="21"/>
        <v/>
      </c>
      <c r="AJ259" t="str">
        <f t="shared" si="23"/>
        <v/>
      </c>
    </row>
    <row r="260">
      <c r="P260" t="str">
        <f t="shared" si="3"/>
        <v/>
      </c>
      <c r="R260" t="str">
        <f t="shared" si="5"/>
        <v/>
      </c>
      <c r="T260" t="str">
        <f t="shared" si="7"/>
        <v/>
      </c>
      <c r="V260" t="str">
        <f t="shared" si="9"/>
        <v/>
      </c>
      <c r="X260" t="str">
        <f t="shared" si="11"/>
        <v/>
      </c>
      <c r="Z260" t="str">
        <f t="shared" si="13"/>
        <v/>
      </c>
      <c r="AB260" t="str">
        <f t="shared" si="15"/>
        <v/>
      </c>
      <c r="AD260" t="str">
        <f t="shared" si="17"/>
        <v/>
      </c>
      <c r="AF260" t="str">
        <f t="shared" si="19"/>
        <v/>
      </c>
      <c r="AH260" t="str">
        <f t="shared" si="21"/>
        <v/>
      </c>
      <c r="AJ260" t="str">
        <f t="shared" si="23"/>
        <v/>
      </c>
    </row>
    <row r="261">
      <c r="P261" t="str">
        <f t="shared" si="3"/>
        <v/>
      </c>
      <c r="R261" t="str">
        <f t="shared" si="5"/>
        <v/>
      </c>
      <c r="T261" t="str">
        <f t="shared" si="7"/>
        <v/>
      </c>
      <c r="V261" t="str">
        <f t="shared" si="9"/>
        <v/>
      </c>
      <c r="X261" t="str">
        <f t="shared" si="11"/>
        <v/>
      </c>
      <c r="Z261" t="str">
        <f t="shared" si="13"/>
        <v/>
      </c>
      <c r="AB261" t="str">
        <f t="shared" si="15"/>
        <v/>
      </c>
      <c r="AD261" t="str">
        <f t="shared" si="17"/>
        <v/>
      </c>
      <c r="AF261" t="str">
        <f t="shared" si="19"/>
        <v/>
      </c>
      <c r="AH261" t="str">
        <f t="shared" si="21"/>
        <v/>
      </c>
      <c r="AJ261" t="str">
        <f t="shared" si="23"/>
        <v/>
      </c>
    </row>
    <row r="262">
      <c r="P262" t="str">
        <f t="shared" si="3"/>
        <v/>
      </c>
      <c r="R262" t="str">
        <f t="shared" si="5"/>
        <v/>
      </c>
      <c r="T262" t="str">
        <f t="shared" si="7"/>
        <v/>
      </c>
      <c r="V262" t="str">
        <f t="shared" si="9"/>
        <v/>
      </c>
      <c r="X262" t="str">
        <f t="shared" si="11"/>
        <v/>
      </c>
      <c r="Z262" t="str">
        <f t="shared" si="13"/>
        <v/>
      </c>
      <c r="AB262" t="str">
        <f t="shared" si="15"/>
        <v/>
      </c>
      <c r="AD262" t="str">
        <f t="shared" si="17"/>
        <v/>
      </c>
      <c r="AF262" t="str">
        <f t="shared" si="19"/>
        <v/>
      </c>
      <c r="AH262" t="str">
        <f t="shared" si="21"/>
        <v/>
      </c>
      <c r="AJ262" t="str">
        <f t="shared" si="23"/>
        <v/>
      </c>
    </row>
    <row r="263">
      <c r="P263" t="str">
        <f t="shared" si="3"/>
        <v/>
      </c>
      <c r="R263" t="str">
        <f t="shared" si="5"/>
        <v/>
      </c>
      <c r="T263" t="str">
        <f t="shared" si="7"/>
        <v/>
      </c>
      <c r="V263" t="str">
        <f t="shared" si="9"/>
        <v/>
      </c>
      <c r="X263" t="str">
        <f t="shared" si="11"/>
        <v/>
      </c>
      <c r="Z263" t="str">
        <f t="shared" si="13"/>
        <v/>
      </c>
      <c r="AB263" t="str">
        <f t="shared" si="15"/>
        <v/>
      </c>
      <c r="AD263" t="str">
        <f t="shared" si="17"/>
        <v/>
      </c>
      <c r="AF263" t="str">
        <f t="shared" si="19"/>
        <v/>
      </c>
      <c r="AH263" t="str">
        <f t="shared" si="21"/>
        <v/>
      </c>
      <c r="AJ263" t="str">
        <f t="shared" si="23"/>
        <v/>
      </c>
    </row>
    <row r="264">
      <c r="P264" t="str">
        <f t="shared" si="3"/>
        <v/>
      </c>
      <c r="R264" t="str">
        <f t="shared" si="5"/>
        <v/>
      </c>
      <c r="T264" t="str">
        <f t="shared" si="7"/>
        <v/>
      </c>
      <c r="V264" t="str">
        <f t="shared" si="9"/>
        <v/>
      </c>
      <c r="X264" t="str">
        <f t="shared" si="11"/>
        <v/>
      </c>
      <c r="Z264" t="str">
        <f t="shared" si="13"/>
        <v/>
      </c>
      <c r="AB264" t="str">
        <f t="shared" si="15"/>
        <v/>
      </c>
      <c r="AD264" t="str">
        <f t="shared" si="17"/>
        <v/>
      </c>
      <c r="AF264" t="str">
        <f t="shared" si="19"/>
        <v/>
      </c>
      <c r="AH264" t="str">
        <f t="shared" si="21"/>
        <v/>
      </c>
      <c r="AJ264" t="str">
        <f t="shared" si="23"/>
        <v/>
      </c>
    </row>
    <row r="265">
      <c r="P265" t="str">
        <f t="shared" si="3"/>
        <v/>
      </c>
      <c r="R265" t="str">
        <f t="shared" si="5"/>
        <v/>
      </c>
      <c r="T265" t="str">
        <f t="shared" si="7"/>
        <v/>
      </c>
      <c r="V265" t="str">
        <f t="shared" si="9"/>
        <v/>
      </c>
      <c r="X265" t="str">
        <f t="shared" si="11"/>
        <v/>
      </c>
      <c r="Z265" t="str">
        <f t="shared" si="13"/>
        <v/>
      </c>
      <c r="AB265" t="str">
        <f t="shared" si="15"/>
        <v/>
      </c>
      <c r="AD265" t="str">
        <f t="shared" si="17"/>
        <v/>
      </c>
      <c r="AF265" t="str">
        <f t="shared" si="19"/>
        <v/>
      </c>
      <c r="AH265" t="str">
        <f t="shared" si="21"/>
        <v/>
      </c>
      <c r="AJ265" t="str">
        <f t="shared" si="23"/>
        <v/>
      </c>
    </row>
    <row r="266">
      <c r="P266" t="str">
        <f t="shared" si="3"/>
        <v/>
      </c>
      <c r="R266" t="str">
        <f t="shared" si="5"/>
        <v/>
      </c>
      <c r="T266" t="str">
        <f t="shared" si="7"/>
        <v/>
      </c>
      <c r="V266" t="str">
        <f t="shared" si="9"/>
        <v/>
      </c>
      <c r="X266" t="str">
        <f t="shared" si="11"/>
        <v/>
      </c>
      <c r="Z266" t="str">
        <f t="shared" si="13"/>
        <v/>
      </c>
      <c r="AB266" t="str">
        <f t="shared" si="15"/>
        <v/>
      </c>
      <c r="AD266" t="str">
        <f t="shared" si="17"/>
        <v/>
      </c>
      <c r="AF266" t="str">
        <f t="shared" si="19"/>
        <v/>
      </c>
      <c r="AH266" t="str">
        <f t="shared" si="21"/>
        <v/>
      </c>
      <c r="AJ266" t="str">
        <f t="shared" si="23"/>
        <v/>
      </c>
    </row>
    <row r="267">
      <c r="P267" t="str">
        <f t="shared" si="3"/>
        <v/>
      </c>
      <c r="R267" t="str">
        <f t="shared" si="5"/>
        <v/>
      </c>
      <c r="T267" t="str">
        <f t="shared" si="7"/>
        <v/>
      </c>
      <c r="V267" t="str">
        <f t="shared" si="9"/>
        <v/>
      </c>
      <c r="X267" t="str">
        <f t="shared" si="11"/>
        <v/>
      </c>
      <c r="Z267" t="str">
        <f t="shared" si="13"/>
        <v/>
      </c>
      <c r="AB267" t="str">
        <f t="shared" si="15"/>
        <v/>
      </c>
      <c r="AD267" t="str">
        <f t="shared" si="17"/>
        <v/>
      </c>
      <c r="AF267" t="str">
        <f t="shared" si="19"/>
        <v/>
      </c>
      <c r="AH267" t="str">
        <f t="shared" si="21"/>
        <v/>
      </c>
      <c r="AJ267" t="str">
        <f t="shared" si="23"/>
        <v/>
      </c>
    </row>
    <row r="268">
      <c r="P268" t="str">
        <f t="shared" si="3"/>
        <v/>
      </c>
      <c r="R268" t="str">
        <f t="shared" si="5"/>
        <v/>
      </c>
      <c r="T268" t="str">
        <f t="shared" si="7"/>
        <v/>
      </c>
      <c r="V268" t="str">
        <f t="shared" si="9"/>
        <v/>
      </c>
      <c r="X268" t="str">
        <f t="shared" si="11"/>
        <v/>
      </c>
      <c r="Z268" t="str">
        <f t="shared" si="13"/>
        <v/>
      </c>
      <c r="AB268" t="str">
        <f t="shared" si="15"/>
        <v/>
      </c>
      <c r="AD268" t="str">
        <f t="shared" si="17"/>
        <v/>
      </c>
      <c r="AF268" t="str">
        <f t="shared" si="19"/>
        <v/>
      </c>
      <c r="AH268" t="str">
        <f t="shared" si="21"/>
        <v/>
      </c>
      <c r="AJ268" t="str">
        <f t="shared" si="23"/>
        <v/>
      </c>
    </row>
    <row r="269">
      <c r="P269" t="str">
        <f t="shared" si="3"/>
        <v/>
      </c>
      <c r="R269" t="str">
        <f t="shared" si="5"/>
        <v/>
      </c>
      <c r="T269" t="str">
        <f t="shared" si="7"/>
        <v/>
      </c>
      <c r="V269" t="str">
        <f t="shared" si="9"/>
        <v/>
      </c>
      <c r="X269" t="str">
        <f t="shared" si="11"/>
        <v/>
      </c>
      <c r="Z269" t="str">
        <f t="shared" si="13"/>
        <v/>
      </c>
      <c r="AB269" t="str">
        <f t="shared" si="15"/>
        <v/>
      </c>
      <c r="AD269" t="str">
        <f t="shared" si="17"/>
        <v/>
      </c>
      <c r="AF269" t="str">
        <f t="shared" si="19"/>
        <v/>
      </c>
      <c r="AH269" t="str">
        <f t="shared" si="21"/>
        <v/>
      </c>
      <c r="AJ269" t="str">
        <f t="shared" si="23"/>
        <v/>
      </c>
    </row>
    <row r="270">
      <c r="P270" t="str">
        <f t="shared" si="3"/>
        <v/>
      </c>
      <c r="R270" t="str">
        <f t="shared" si="5"/>
        <v/>
      </c>
      <c r="T270" t="str">
        <f t="shared" si="7"/>
        <v/>
      </c>
      <c r="V270" t="str">
        <f t="shared" si="9"/>
        <v/>
      </c>
      <c r="X270" t="str">
        <f t="shared" si="11"/>
        <v/>
      </c>
      <c r="Z270" t="str">
        <f t="shared" si="13"/>
        <v/>
      </c>
      <c r="AB270" t="str">
        <f t="shared" si="15"/>
        <v/>
      </c>
      <c r="AD270" t="str">
        <f t="shared" si="17"/>
        <v/>
      </c>
      <c r="AF270" t="str">
        <f t="shared" si="19"/>
        <v/>
      </c>
      <c r="AH270" t="str">
        <f t="shared" si="21"/>
        <v/>
      </c>
      <c r="AJ270" t="str">
        <f t="shared" si="23"/>
        <v/>
      </c>
    </row>
    <row r="271">
      <c r="P271" t="str">
        <f t="shared" si="3"/>
        <v/>
      </c>
      <c r="R271" t="str">
        <f t="shared" si="5"/>
        <v/>
      </c>
      <c r="T271" t="str">
        <f t="shared" si="7"/>
        <v/>
      </c>
      <c r="V271" t="str">
        <f t="shared" si="9"/>
        <v/>
      </c>
      <c r="X271" t="str">
        <f t="shared" si="11"/>
        <v/>
      </c>
      <c r="Z271" t="str">
        <f t="shared" si="13"/>
        <v/>
      </c>
      <c r="AB271" t="str">
        <f t="shared" si="15"/>
        <v/>
      </c>
      <c r="AD271" t="str">
        <f t="shared" si="17"/>
        <v/>
      </c>
      <c r="AF271" t="str">
        <f t="shared" si="19"/>
        <v/>
      </c>
      <c r="AH271" t="str">
        <f t="shared" si="21"/>
        <v/>
      </c>
      <c r="AJ271" t="str">
        <f t="shared" si="23"/>
        <v/>
      </c>
    </row>
    <row r="272">
      <c r="P272" t="str">
        <f t="shared" si="3"/>
        <v/>
      </c>
      <c r="R272" t="str">
        <f t="shared" si="5"/>
        <v/>
      </c>
      <c r="T272" t="str">
        <f t="shared" si="7"/>
        <v/>
      </c>
      <c r="V272" t="str">
        <f t="shared" si="9"/>
        <v/>
      </c>
      <c r="X272" t="str">
        <f t="shared" si="11"/>
        <v/>
      </c>
      <c r="Z272" t="str">
        <f t="shared" si="13"/>
        <v/>
      </c>
      <c r="AB272" t="str">
        <f t="shared" si="15"/>
        <v/>
      </c>
      <c r="AD272" t="str">
        <f t="shared" si="17"/>
        <v/>
      </c>
      <c r="AF272" t="str">
        <f t="shared" si="19"/>
        <v/>
      </c>
      <c r="AH272" t="str">
        <f t="shared" si="21"/>
        <v/>
      </c>
      <c r="AJ272" t="str">
        <f t="shared" si="23"/>
        <v/>
      </c>
    </row>
    <row r="273">
      <c r="P273" t="str">
        <f t="shared" si="3"/>
        <v/>
      </c>
      <c r="R273" t="str">
        <f t="shared" si="5"/>
        <v/>
      </c>
      <c r="T273" t="str">
        <f t="shared" si="7"/>
        <v/>
      </c>
      <c r="V273" t="str">
        <f t="shared" si="9"/>
        <v/>
      </c>
      <c r="X273" t="str">
        <f t="shared" si="11"/>
        <v/>
      </c>
      <c r="Z273" t="str">
        <f t="shared" si="13"/>
        <v/>
      </c>
      <c r="AB273" t="str">
        <f t="shared" si="15"/>
        <v/>
      </c>
      <c r="AD273" t="str">
        <f t="shared" si="17"/>
        <v/>
      </c>
      <c r="AF273" t="str">
        <f t="shared" si="19"/>
        <v/>
      </c>
      <c r="AH273" t="str">
        <f t="shared" si="21"/>
        <v/>
      </c>
      <c r="AJ273" t="str">
        <f t="shared" si="23"/>
        <v/>
      </c>
    </row>
    <row r="274">
      <c r="P274" t="str">
        <f t="shared" si="3"/>
        <v/>
      </c>
      <c r="R274" t="str">
        <f t="shared" si="5"/>
        <v/>
      </c>
      <c r="T274" t="str">
        <f t="shared" si="7"/>
        <v/>
      </c>
      <c r="V274" t="str">
        <f t="shared" si="9"/>
        <v/>
      </c>
      <c r="X274" t="str">
        <f t="shared" si="11"/>
        <v/>
      </c>
      <c r="Z274" t="str">
        <f t="shared" si="13"/>
        <v/>
      </c>
      <c r="AB274" t="str">
        <f t="shared" si="15"/>
        <v/>
      </c>
      <c r="AD274" t="str">
        <f t="shared" si="17"/>
        <v/>
      </c>
      <c r="AF274" t="str">
        <f t="shared" si="19"/>
        <v/>
      </c>
      <c r="AH274" t="str">
        <f t="shared" si="21"/>
        <v/>
      </c>
      <c r="AJ274" t="str">
        <f t="shared" si="23"/>
        <v/>
      </c>
    </row>
    <row r="275">
      <c r="P275" t="str">
        <f t="shared" si="3"/>
        <v/>
      </c>
      <c r="R275" t="str">
        <f t="shared" si="5"/>
        <v/>
      </c>
      <c r="T275" t="str">
        <f t="shared" si="7"/>
        <v/>
      </c>
      <c r="V275" t="str">
        <f t="shared" si="9"/>
        <v/>
      </c>
      <c r="X275" t="str">
        <f t="shared" si="11"/>
        <v/>
      </c>
      <c r="Z275" t="str">
        <f t="shared" si="13"/>
        <v/>
      </c>
      <c r="AB275" t="str">
        <f t="shared" si="15"/>
        <v/>
      </c>
      <c r="AD275" t="str">
        <f t="shared" si="17"/>
        <v/>
      </c>
      <c r="AF275" t="str">
        <f t="shared" si="19"/>
        <v/>
      </c>
      <c r="AH275" t="str">
        <f t="shared" si="21"/>
        <v/>
      </c>
      <c r="AJ275" t="str">
        <f t="shared" si="23"/>
        <v/>
      </c>
    </row>
    <row r="276">
      <c r="P276" t="str">
        <f t="shared" si="3"/>
        <v/>
      </c>
      <c r="R276" t="str">
        <f t="shared" si="5"/>
        <v/>
      </c>
      <c r="T276" t="str">
        <f t="shared" si="7"/>
        <v/>
      </c>
      <c r="V276" t="str">
        <f t="shared" si="9"/>
        <v/>
      </c>
      <c r="X276" t="str">
        <f t="shared" si="11"/>
        <v/>
      </c>
      <c r="Z276" t="str">
        <f t="shared" si="13"/>
        <v/>
      </c>
      <c r="AB276" t="str">
        <f t="shared" si="15"/>
        <v/>
      </c>
      <c r="AD276" t="str">
        <f t="shared" si="17"/>
        <v/>
      </c>
      <c r="AF276" t="str">
        <f t="shared" si="19"/>
        <v/>
      </c>
      <c r="AH276" t="str">
        <f t="shared" si="21"/>
        <v/>
      </c>
      <c r="AJ276" t="str">
        <f t="shared" si="23"/>
        <v/>
      </c>
    </row>
    <row r="277">
      <c r="P277" t="str">
        <f t="shared" si="3"/>
        <v/>
      </c>
      <c r="R277" t="str">
        <f t="shared" si="5"/>
        <v/>
      </c>
      <c r="T277" t="str">
        <f t="shared" si="7"/>
        <v/>
      </c>
      <c r="V277" t="str">
        <f t="shared" si="9"/>
        <v/>
      </c>
      <c r="X277" t="str">
        <f t="shared" si="11"/>
        <v/>
      </c>
      <c r="Z277" t="str">
        <f t="shared" si="13"/>
        <v/>
      </c>
      <c r="AB277" t="str">
        <f t="shared" si="15"/>
        <v/>
      </c>
      <c r="AD277" t="str">
        <f t="shared" si="17"/>
        <v/>
      </c>
      <c r="AF277" t="str">
        <f t="shared" si="19"/>
        <v/>
      </c>
      <c r="AH277" t="str">
        <f t="shared" si="21"/>
        <v/>
      </c>
      <c r="AJ277" t="str">
        <f t="shared" si="23"/>
        <v/>
      </c>
    </row>
    <row r="278">
      <c r="P278" t="str">
        <f t="shared" si="3"/>
        <v/>
      </c>
      <c r="R278" t="str">
        <f t="shared" si="5"/>
        <v/>
      </c>
      <c r="T278" t="str">
        <f t="shared" si="7"/>
        <v/>
      </c>
      <c r="V278" t="str">
        <f t="shared" si="9"/>
        <v/>
      </c>
      <c r="X278" t="str">
        <f t="shared" si="11"/>
        <v/>
      </c>
      <c r="Z278" t="str">
        <f t="shared" si="13"/>
        <v/>
      </c>
      <c r="AB278" t="str">
        <f t="shared" si="15"/>
        <v/>
      </c>
      <c r="AD278" t="str">
        <f t="shared" si="17"/>
        <v/>
      </c>
      <c r="AF278" t="str">
        <f t="shared" si="19"/>
        <v/>
      </c>
      <c r="AH278" t="str">
        <f t="shared" si="21"/>
        <v/>
      </c>
      <c r="AJ278" t="str">
        <f t="shared" si="23"/>
        <v/>
      </c>
    </row>
    <row r="279">
      <c r="P279" t="str">
        <f t="shared" si="3"/>
        <v/>
      </c>
      <c r="R279" t="str">
        <f t="shared" si="5"/>
        <v/>
      </c>
      <c r="T279" t="str">
        <f t="shared" si="7"/>
        <v/>
      </c>
      <c r="V279" t="str">
        <f t="shared" si="9"/>
        <v/>
      </c>
      <c r="X279" t="str">
        <f t="shared" si="11"/>
        <v/>
      </c>
      <c r="Z279" t="str">
        <f t="shared" si="13"/>
        <v/>
      </c>
      <c r="AB279" t="str">
        <f t="shared" si="15"/>
        <v/>
      </c>
      <c r="AD279" t="str">
        <f t="shared" si="17"/>
        <v/>
      </c>
      <c r="AF279" t="str">
        <f t="shared" si="19"/>
        <v/>
      </c>
      <c r="AH279" t="str">
        <f t="shared" si="21"/>
        <v/>
      </c>
      <c r="AJ279" t="str">
        <f t="shared" si="23"/>
        <v/>
      </c>
    </row>
    <row r="280">
      <c r="P280" t="str">
        <f t="shared" si="3"/>
        <v/>
      </c>
      <c r="R280" t="str">
        <f t="shared" si="5"/>
        <v/>
      </c>
      <c r="T280" t="str">
        <f t="shared" si="7"/>
        <v/>
      </c>
      <c r="V280" t="str">
        <f t="shared" si="9"/>
        <v/>
      </c>
      <c r="X280" t="str">
        <f t="shared" si="11"/>
        <v/>
      </c>
      <c r="Z280" t="str">
        <f t="shared" si="13"/>
        <v/>
      </c>
      <c r="AB280" t="str">
        <f t="shared" si="15"/>
        <v/>
      </c>
      <c r="AD280" t="str">
        <f t="shared" si="17"/>
        <v/>
      </c>
      <c r="AF280" t="str">
        <f t="shared" si="19"/>
        <v/>
      </c>
      <c r="AH280" t="str">
        <f t="shared" si="21"/>
        <v/>
      </c>
      <c r="AJ280" t="str">
        <f t="shared" si="23"/>
        <v/>
      </c>
    </row>
    <row r="281">
      <c r="P281" t="str">
        <f t="shared" si="3"/>
        <v/>
      </c>
      <c r="R281" t="str">
        <f t="shared" si="5"/>
        <v/>
      </c>
      <c r="T281" t="str">
        <f t="shared" si="7"/>
        <v/>
      </c>
      <c r="V281" t="str">
        <f t="shared" si="9"/>
        <v/>
      </c>
      <c r="X281" t="str">
        <f t="shared" si="11"/>
        <v/>
      </c>
      <c r="Z281" t="str">
        <f t="shared" si="13"/>
        <v/>
      </c>
      <c r="AB281" t="str">
        <f t="shared" si="15"/>
        <v/>
      </c>
      <c r="AD281" t="str">
        <f t="shared" si="17"/>
        <v/>
      </c>
      <c r="AF281" t="str">
        <f t="shared" si="19"/>
        <v/>
      </c>
      <c r="AH281" t="str">
        <f t="shared" si="21"/>
        <v/>
      </c>
      <c r="AJ281" t="str">
        <f t="shared" si="23"/>
        <v/>
      </c>
    </row>
    <row r="282">
      <c r="P282" t="str">
        <f t="shared" si="3"/>
        <v/>
      </c>
      <c r="R282" t="str">
        <f t="shared" si="5"/>
        <v/>
      </c>
      <c r="T282" t="str">
        <f t="shared" si="7"/>
        <v/>
      </c>
      <c r="V282" t="str">
        <f t="shared" si="9"/>
        <v/>
      </c>
      <c r="X282" t="str">
        <f t="shared" si="11"/>
        <v/>
      </c>
      <c r="Z282" t="str">
        <f t="shared" si="13"/>
        <v/>
      </c>
      <c r="AB282" t="str">
        <f t="shared" si="15"/>
        <v/>
      </c>
      <c r="AD282" t="str">
        <f t="shared" si="17"/>
        <v/>
      </c>
      <c r="AF282" t="str">
        <f t="shared" si="19"/>
        <v/>
      </c>
      <c r="AH282" t="str">
        <f t="shared" si="21"/>
        <v/>
      </c>
      <c r="AJ282" t="str">
        <f t="shared" si="23"/>
        <v/>
      </c>
    </row>
    <row r="283">
      <c r="P283" t="str">
        <f t="shared" si="3"/>
        <v/>
      </c>
      <c r="R283" t="str">
        <f t="shared" si="5"/>
        <v/>
      </c>
      <c r="T283" t="str">
        <f t="shared" si="7"/>
        <v/>
      </c>
      <c r="V283" t="str">
        <f t="shared" si="9"/>
        <v/>
      </c>
      <c r="X283" t="str">
        <f t="shared" si="11"/>
        <v/>
      </c>
      <c r="Z283" t="str">
        <f t="shared" si="13"/>
        <v/>
      </c>
      <c r="AB283" t="str">
        <f t="shared" si="15"/>
        <v/>
      </c>
      <c r="AD283" t="str">
        <f t="shared" si="17"/>
        <v/>
      </c>
      <c r="AF283" t="str">
        <f t="shared" si="19"/>
        <v/>
      </c>
      <c r="AH283" t="str">
        <f t="shared" si="21"/>
        <v/>
      </c>
      <c r="AJ283" t="str">
        <f t="shared" si="23"/>
        <v/>
      </c>
    </row>
    <row r="284">
      <c r="P284" t="str">
        <f t="shared" si="3"/>
        <v/>
      </c>
      <c r="R284" t="str">
        <f t="shared" si="5"/>
        <v/>
      </c>
      <c r="T284" t="str">
        <f t="shared" si="7"/>
        <v/>
      </c>
      <c r="V284" t="str">
        <f t="shared" si="9"/>
        <v/>
      </c>
      <c r="X284" t="str">
        <f t="shared" si="11"/>
        <v/>
      </c>
      <c r="Z284" t="str">
        <f t="shared" si="13"/>
        <v/>
      </c>
      <c r="AB284" t="str">
        <f t="shared" si="15"/>
        <v/>
      </c>
      <c r="AD284" t="str">
        <f t="shared" si="17"/>
        <v/>
      </c>
      <c r="AF284" t="str">
        <f t="shared" si="19"/>
        <v/>
      </c>
      <c r="AH284" t="str">
        <f t="shared" si="21"/>
        <v/>
      </c>
      <c r="AJ284" t="str">
        <f t="shared" si="23"/>
        <v/>
      </c>
    </row>
    <row r="285">
      <c r="P285" t="str">
        <f t="shared" si="3"/>
        <v/>
      </c>
      <c r="R285" t="str">
        <f t="shared" si="5"/>
        <v/>
      </c>
      <c r="T285" t="str">
        <f t="shared" si="7"/>
        <v/>
      </c>
      <c r="V285" t="str">
        <f t="shared" si="9"/>
        <v/>
      </c>
      <c r="X285" t="str">
        <f t="shared" si="11"/>
        <v/>
      </c>
      <c r="Z285" t="str">
        <f t="shared" si="13"/>
        <v/>
      </c>
      <c r="AB285" t="str">
        <f t="shared" si="15"/>
        <v/>
      </c>
      <c r="AD285" t="str">
        <f t="shared" si="17"/>
        <v/>
      </c>
      <c r="AF285" t="str">
        <f t="shared" si="19"/>
        <v/>
      </c>
      <c r="AH285" t="str">
        <f t="shared" si="21"/>
        <v/>
      </c>
      <c r="AJ285" t="str">
        <f t="shared" si="23"/>
        <v/>
      </c>
    </row>
    <row r="286">
      <c r="P286" t="str">
        <f t="shared" si="3"/>
        <v/>
      </c>
      <c r="R286" t="str">
        <f t="shared" si="5"/>
        <v/>
      </c>
      <c r="T286" t="str">
        <f t="shared" si="7"/>
        <v/>
      </c>
      <c r="V286" t="str">
        <f t="shared" si="9"/>
        <v/>
      </c>
      <c r="X286" t="str">
        <f t="shared" si="11"/>
        <v/>
      </c>
      <c r="Z286" t="str">
        <f t="shared" si="13"/>
        <v/>
      </c>
      <c r="AB286" t="str">
        <f t="shared" si="15"/>
        <v/>
      </c>
      <c r="AD286" t="str">
        <f t="shared" si="17"/>
        <v/>
      </c>
      <c r="AF286" t="str">
        <f t="shared" si="19"/>
        <v/>
      </c>
      <c r="AH286" t="str">
        <f t="shared" si="21"/>
        <v/>
      </c>
      <c r="AJ286" t="str">
        <f t="shared" si="23"/>
        <v/>
      </c>
    </row>
    <row r="287">
      <c r="P287" t="str">
        <f t="shared" si="3"/>
        <v/>
      </c>
      <c r="R287" t="str">
        <f t="shared" si="5"/>
        <v/>
      </c>
      <c r="T287" t="str">
        <f t="shared" si="7"/>
        <v/>
      </c>
      <c r="V287" t="str">
        <f t="shared" si="9"/>
        <v/>
      </c>
      <c r="X287" t="str">
        <f t="shared" si="11"/>
        <v/>
      </c>
      <c r="Z287" t="str">
        <f t="shared" si="13"/>
        <v/>
      </c>
      <c r="AB287" t="str">
        <f t="shared" si="15"/>
        <v/>
      </c>
      <c r="AD287" t="str">
        <f t="shared" si="17"/>
        <v/>
      </c>
      <c r="AF287" t="str">
        <f t="shared" si="19"/>
        <v/>
      </c>
      <c r="AH287" t="str">
        <f t="shared" si="21"/>
        <v/>
      </c>
      <c r="AJ287" t="str">
        <f t="shared" si="23"/>
        <v/>
      </c>
    </row>
    <row r="288">
      <c r="P288" t="str">
        <f t="shared" si="3"/>
        <v/>
      </c>
      <c r="R288" t="str">
        <f t="shared" si="5"/>
        <v/>
      </c>
      <c r="T288" t="str">
        <f t="shared" si="7"/>
        <v/>
      </c>
      <c r="V288" t="str">
        <f t="shared" si="9"/>
        <v/>
      </c>
      <c r="X288" t="str">
        <f t="shared" si="11"/>
        <v/>
      </c>
      <c r="Z288" t="str">
        <f t="shared" si="13"/>
        <v/>
      </c>
      <c r="AB288" t="str">
        <f t="shared" si="15"/>
        <v/>
      </c>
      <c r="AD288" t="str">
        <f t="shared" si="17"/>
        <v/>
      </c>
      <c r="AF288" t="str">
        <f t="shared" si="19"/>
        <v/>
      </c>
      <c r="AH288" t="str">
        <f t="shared" si="21"/>
        <v/>
      </c>
      <c r="AJ288" t="str">
        <f t="shared" si="23"/>
        <v/>
      </c>
    </row>
    <row r="289">
      <c r="P289" t="str">
        <f t="shared" si="3"/>
        <v/>
      </c>
      <c r="R289" t="str">
        <f t="shared" si="5"/>
        <v/>
      </c>
      <c r="T289" t="str">
        <f t="shared" si="7"/>
        <v/>
      </c>
      <c r="V289" t="str">
        <f t="shared" si="9"/>
        <v/>
      </c>
      <c r="X289" t="str">
        <f t="shared" si="11"/>
        <v/>
      </c>
      <c r="Z289" t="str">
        <f t="shared" si="13"/>
        <v/>
      </c>
      <c r="AB289" t="str">
        <f t="shared" si="15"/>
        <v/>
      </c>
      <c r="AD289" t="str">
        <f t="shared" si="17"/>
        <v/>
      </c>
      <c r="AF289" t="str">
        <f t="shared" si="19"/>
        <v/>
      </c>
      <c r="AH289" t="str">
        <f t="shared" si="21"/>
        <v/>
      </c>
      <c r="AJ289" t="str">
        <f t="shared" si="23"/>
        <v/>
      </c>
    </row>
    <row r="290">
      <c r="P290" t="str">
        <f t="shared" si="3"/>
        <v/>
      </c>
      <c r="R290" t="str">
        <f t="shared" si="5"/>
        <v/>
      </c>
      <c r="T290" t="str">
        <f t="shared" si="7"/>
        <v/>
      </c>
      <c r="V290" t="str">
        <f t="shared" si="9"/>
        <v/>
      </c>
      <c r="X290" t="str">
        <f t="shared" si="11"/>
        <v/>
      </c>
      <c r="Z290" t="str">
        <f t="shared" si="13"/>
        <v/>
      </c>
      <c r="AB290" t="str">
        <f t="shared" si="15"/>
        <v/>
      </c>
      <c r="AD290" t="str">
        <f t="shared" si="17"/>
        <v/>
      </c>
      <c r="AF290" t="str">
        <f t="shared" si="19"/>
        <v/>
      </c>
      <c r="AH290" t="str">
        <f t="shared" si="21"/>
        <v/>
      </c>
      <c r="AJ290" t="str">
        <f t="shared" si="23"/>
        <v/>
      </c>
    </row>
    <row r="291">
      <c r="P291" t="str">
        <f t="shared" si="3"/>
        <v/>
      </c>
      <c r="R291" t="str">
        <f t="shared" si="5"/>
        <v/>
      </c>
      <c r="T291" t="str">
        <f t="shared" si="7"/>
        <v/>
      </c>
      <c r="V291" t="str">
        <f t="shared" si="9"/>
        <v/>
      </c>
      <c r="X291" t="str">
        <f t="shared" si="11"/>
        <v/>
      </c>
      <c r="Z291" t="str">
        <f t="shared" si="13"/>
        <v/>
      </c>
      <c r="AB291" t="str">
        <f t="shared" si="15"/>
        <v/>
      </c>
      <c r="AD291" t="str">
        <f t="shared" si="17"/>
        <v/>
      </c>
      <c r="AF291" t="str">
        <f t="shared" si="19"/>
        <v/>
      </c>
      <c r="AH291" t="str">
        <f t="shared" si="21"/>
        <v/>
      </c>
      <c r="AJ291" t="str">
        <f t="shared" si="23"/>
        <v/>
      </c>
    </row>
    <row r="292">
      <c r="P292" t="str">
        <f t="shared" si="3"/>
        <v/>
      </c>
      <c r="R292" t="str">
        <f t="shared" si="5"/>
        <v/>
      </c>
      <c r="T292" t="str">
        <f t="shared" si="7"/>
        <v/>
      </c>
      <c r="V292" t="str">
        <f t="shared" si="9"/>
        <v/>
      </c>
      <c r="X292" t="str">
        <f t="shared" si="11"/>
        <v/>
      </c>
      <c r="Z292" t="str">
        <f t="shared" si="13"/>
        <v/>
      </c>
      <c r="AB292" t="str">
        <f t="shared" si="15"/>
        <v/>
      </c>
      <c r="AD292" t="str">
        <f t="shared" si="17"/>
        <v/>
      </c>
      <c r="AF292" t="str">
        <f t="shared" si="19"/>
        <v/>
      </c>
      <c r="AH292" t="str">
        <f t="shared" si="21"/>
        <v/>
      </c>
      <c r="AJ292" t="str">
        <f t="shared" si="23"/>
        <v/>
      </c>
    </row>
    <row r="293">
      <c r="P293" t="str">
        <f t="shared" si="3"/>
        <v/>
      </c>
      <c r="R293" t="str">
        <f t="shared" si="5"/>
        <v/>
      </c>
      <c r="T293" t="str">
        <f t="shared" si="7"/>
        <v/>
      </c>
      <c r="V293" t="str">
        <f t="shared" si="9"/>
        <v/>
      </c>
      <c r="X293" t="str">
        <f t="shared" si="11"/>
        <v/>
      </c>
      <c r="Z293" t="str">
        <f t="shared" si="13"/>
        <v/>
      </c>
      <c r="AB293" t="str">
        <f t="shared" si="15"/>
        <v/>
      </c>
      <c r="AD293" t="str">
        <f t="shared" si="17"/>
        <v/>
      </c>
      <c r="AF293" t="str">
        <f t="shared" si="19"/>
        <v/>
      </c>
      <c r="AH293" t="str">
        <f t="shared" si="21"/>
        <v/>
      </c>
      <c r="AJ293" t="str">
        <f t="shared" si="23"/>
        <v/>
      </c>
    </row>
    <row r="294">
      <c r="P294" t="str">
        <f t="shared" si="3"/>
        <v/>
      </c>
      <c r="R294" t="str">
        <f t="shared" si="5"/>
        <v/>
      </c>
      <c r="T294" t="str">
        <f t="shared" si="7"/>
        <v/>
      </c>
      <c r="V294" t="str">
        <f t="shared" si="9"/>
        <v/>
      </c>
      <c r="X294" t="str">
        <f t="shared" si="11"/>
        <v/>
      </c>
      <c r="Z294" t="str">
        <f t="shared" si="13"/>
        <v/>
      </c>
      <c r="AB294" t="str">
        <f t="shared" si="15"/>
        <v/>
      </c>
      <c r="AD294" t="str">
        <f t="shared" si="17"/>
        <v/>
      </c>
      <c r="AF294" t="str">
        <f t="shared" si="19"/>
        <v/>
      </c>
      <c r="AH294" t="str">
        <f t="shared" si="21"/>
        <v/>
      </c>
      <c r="AJ294" t="str">
        <f t="shared" si="23"/>
        <v/>
      </c>
    </row>
    <row r="295">
      <c r="P295" t="str">
        <f t="shared" si="3"/>
        <v/>
      </c>
      <c r="R295" t="str">
        <f t="shared" si="5"/>
        <v/>
      </c>
      <c r="T295" t="str">
        <f t="shared" si="7"/>
        <v/>
      </c>
      <c r="V295" t="str">
        <f t="shared" si="9"/>
        <v/>
      </c>
      <c r="X295" t="str">
        <f t="shared" si="11"/>
        <v/>
      </c>
      <c r="Z295" t="str">
        <f t="shared" si="13"/>
        <v/>
      </c>
      <c r="AB295" t="str">
        <f t="shared" si="15"/>
        <v/>
      </c>
      <c r="AD295" t="str">
        <f t="shared" si="17"/>
        <v/>
      </c>
      <c r="AF295" t="str">
        <f t="shared" si="19"/>
        <v/>
      </c>
      <c r="AH295" t="str">
        <f t="shared" si="21"/>
        <v/>
      </c>
      <c r="AJ295" t="str">
        <f t="shared" si="23"/>
        <v/>
      </c>
    </row>
    <row r="296">
      <c r="P296" t="str">
        <f t="shared" si="3"/>
        <v/>
      </c>
      <c r="R296" t="str">
        <f t="shared" si="5"/>
        <v/>
      </c>
      <c r="T296" t="str">
        <f t="shared" si="7"/>
        <v/>
      </c>
      <c r="V296" t="str">
        <f t="shared" si="9"/>
        <v/>
      </c>
      <c r="X296" t="str">
        <f t="shared" si="11"/>
        <v/>
      </c>
      <c r="Z296" t="str">
        <f t="shared" si="13"/>
        <v/>
      </c>
      <c r="AB296" t="str">
        <f t="shared" si="15"/>
        <v/>
      </c>
      <c r="AD296" t="str">
        <f t="shared" si="17"/>
        <v/>
      </c>
      <c r="AF296" t="str">
        <f t="shared" si="19"/>
        <v/>
      </c>
      <c r="AH296" t="str">
        <f t="shared" si="21"/>
        <v/>
      </c>
      <c r="AJ296" t="str">
        <f t="shared" si="23"/>
        <v/>
      </c>
    </row>
    <row r="297">
      <c r="P297" t="str">
        <f t="shared" si="3"/>
        <v/>
      </c>
      <c r="R297" t="str">
        <f t="shared" si="5"/>
        <v/>
      </c>
      <c r="T297" t="str">
        <f t="shared" si="7"/>
        <v/>
      </c>
      <c r="V297" t="str">
        <f t="shared" si="9"/>
        <v/>
      </c>
      <c r="X297" t="str">
        <f t="shared" si="11"/>
        <v/>
      </c>
      <c r="Z297" t="str">
        <f t="shared" si="13"/>
        <v/>
      </c>
      <c r="AB297" t="str">
        <f t="shared" si="15"/>
        <v/>
      </c>
      <c r="AD297" t="str">
        <f t="shared" si="17"/>
        <v/>
      </c>
      <c r="AF297" t="str">
        <f t="shared" si="19"/>
        <v/>
      </c>
      <c r="AH297" t="str">
        <f t="shared" si="21"/>
        <v/>
      </c>
      <c r="AJ297" t="str">
        <f t="shared" si="23"/>
        <v/>
      </c>
    </row>
    <row r="298">
      <c r="P298" t="str">
        <f t="shared" si="3"/>
        <v/>
      </c>
      <c r="R298" t="str">
        <f t="shared" si="5"/>
        <v/>
      </c>
      <c r="T298" t="str">
        <f t="shared" si="7"/>
        <v/>
      </c>
      <c r="V298" t="str">
        <f t="shared" si="9"/>
        <v/>
      </c>
      <c r="X298" t="str">
        <f t="shared" si="11"/>
        <v/>
      </c>
      <c r="Z298" t="str">
        <f t="shared" si="13"/>
        <v/>
      </c>
      <c r="AB298" t="str">
        <f t="shared" si="15"/>
        <v/>
      </c>
      <c r="AD298" t="str">
        <f t="shared" si="17"/>
        <v/>
      </c>
      <c r="AF298" t="str">
        <f t="shared" si="19"/>
        <v/>
      </c>
      <c r="AH298" t="str">
        <f t="shared" si="21"/>
        <v/>
      </c>
      <c r="AJ298" t="str">
        <f t="shared" si="23"/>
        <v/>
      </c>
    </row>
    <row r="299">
      <c r="P299" t="str">
        <f t="shared" si="3"/>
        <v/>
      </c>
      <c r="R299" t="str">
        <f t="shared" si="5"/>
        <v/>
      </c>
      <c r="T299" t="str">
        <f t="shared" si="7"/>
        <v/>
      </c>
      <c r="V299" t="str">
        <f t="shared" si="9"/>
        <v/>
      </c>
      <c r="X299" t="str">
        <f t="shared" si="11"/>
        <v/>
      </c>
      <c r="Z299" t="str">
        <f t="shared" si="13"/>
        <v/>
      </c>
      <c r="AB299" t="str">
        <f t="shared" si="15"/>
        <v/>
      </c>
      <c r="AD299" t="str">
        <f t="shared" si="17"/>
        <v/>
      </c>
      <c r="AF299" t="str">
        <f t="shared" si="19"/>
        <v/>
      </c>
      <c r="AH299" t="str">
        <f t="shared" si="21"/>
        <v/>
      </c>
      <c r="AJ299" t="str">
        <f t="shared" si="23"/>
        <v/>
      </c>
    </row>
    <row r="300">
      <c r="P300" t="str">
        <f t="shared" si="3"/>
        <v/>
      </c>
      <c r="R300" t="str">
        <f t="shared" si="5"/>
        <v/>
      </c>
      <c r="T300" t="str">
        <f t="shared" si="7"/>
        <v/>
      </c>
      <c r="V300" t="str">
        <f t="shared" si="9"/>
        <v/>
      </c>
      <c r="X300" t="str">
        <f t="shared" si="11"/>
        <v/>
      </c>
      <c r="Z300" t="str">
        <f t="shared" si="13"/>
        <v/>
      </c>
      <c r="AB300" t="str">
        <f t="shared" si="15"/>
        <v/>
      </c>
      <c r="AD300" t="str">
        <f t="shared" si="17"/>
        <v/>
      </c>
      <c r="AF300" t="str">
        <f t="shared" si="19"/>
        <v/>
      </c>
      <c r="AH300" t="str">
        <f t="shared" si="21"/>
        <v/>
      </c>
      <c r="AJ300" t="str">
        <f t="shared" si="23"/>
        <v/>
      </c>
    </row>
    <row r="301">
      <c r="P301" t="str">
        <f t="shared" si="3"/>
        <v/>
      </c>
      <c r="R301" t="str">
        <f t="shared" si="5"/>
        <v/>
      </c>
      <c r="T301" t="str">
        <f t="shared" si="7"/>
        <v/>
      </c>
      <c r="V301" t="str">
        <f t="shared" si="9"/>
        <v/>
      </c>
      <c r="X301" t="str">
        <f t="shared" si="11"/>
        <v/>
      </c>
      <c r="Z301" t="str">
        <f t="shared" si="13"/>
        <v/>
      </c>
      <c r="AB301" t="str">
        <f t="shared" si="15"/>
        <v/>
      </c>
      <c r="AD301" t="str">
        <f t="shared" si="17"/>
        <v/>
      </c>
      <c r="AF301" t="str">
        <f t="shared" si="19"/>
        <v/>
      </c>
      <c r="AH301" t="str">
        <f t="shared" si="21"/>
        <v/>
      </c>
      <c r="AJ301" t="str">
        <f t="shared" si="23"/>
        <v/>
      </c>
    </row>
    <row r="302">
      <c r="P302" t="str">
        <f t="shared" si="3"/>
        <v/>
      </c>
      <c r="R302" t="str">
        <f t="shared" si="5"/>
        <v/>
      </c>
      <c r="T302" t="str">
        <f t="shared" si="7"/>
        <v/>
      </c>
      <c r="V302" t="str">
        <f t="shared" si="9"/>
        <v/>
      </c>
      <c r="X302" t="str">
        <f t="shared" si="11"/>
        <v/>
      </c>
      <c r="Z302" t="str">
        <f t="shared" si="13"/>
        <v/>
      </c>
      <c r="AB302" t="str">
        <f t="shared" si="15"/>
        <v/>
      </c>
      <c r="AD302" t="str">
        <f t="shared" si="17"/>
        <v/>
      </c>
      <c r="AF302" t="str">
        <f t="shared" si="19"/>
        <v/>
      </c>
      <c r="AH302" t="str">
        <f t="shared" si="21"/>
        <v/>
      </c>
      <c r="AJ302" t="str">
        <f t="shared" si="23"/>
        <v/>
      </c>
    </row>
    <row r="303">
      <c r="P303" t="str">
        <f t="shared" si="3"/>
        <v/>
      </c>
      <c r="R303" t="str">
        <f t="shared" si="5"/>
        <v/>
      </c>
      <c r="T303" t="str">
        <f t="shared" si="7"/>
        <v/>
      </c>
      <c r="V303" t="str">
        <f t="shared" si="9"/>
        <v/>
      </c>
      <c r="X303" t="str">
        <f t="shared" si="11"/>
        <v/>
      </c>
      <c r="Z303" t="str">
        <f t="shared" si="13"/>
        <v/>
      </c>
      <c r="AB303" t="str">
        <f t="shared" si="15"/>
        <v/>
      </c>
      <c r="AD303" t="str">
        <f t="shared" si="17"/>
        <v/>
      </c>
      <c r="AF303" t="str">
        <f t="shared" si="19"/>
        <v/>
      </c>
      <c r="AH303" t="str">
        <f t="shared" si="21"/>
        <v/>
      </c>
      <c r="AJ303" t="str">
        <f t="shared" si="23"/>
        <v/>
      </c>
    </row>
    <row r="304">
      <c r="P304" t="str">
        <f t="shared" si="3"/>
        <v/>
      </c>
      <c r="R304" t="str">
        <f t="shared" si="5"/>
        <v/>
      </c>
      <c r="T304" t="str">
        <f t="shared" si="7"/>
        <v/>
      </c>
      <c r="V304" t="str">
        <f t="shared" si="9"/>
        <v/>
      </c>
      <c r="X304" t="str">
        <f t="shared" si="11"/>
        <v/>
      </c>
      <c r="Z304" t="str">
        <f t="shared" si="13"/>
        <v/>
      </c>
      <c r="AB304" t="str">
        <f t="shared" si="15"/>
        <v/>
      </c>
      <c r="AD304" t="str">
        <f t="shared" si="17"/>
        <v/>
      </c>
      <c r="AF304" t="str">
        <f t="shared" si="19"/>
        <v/>
      </c>
      <c r="AH304" t="str">
        <f t="shared" si="21"/>
        <v/>
      </c>
      <c r="AJ304" t="str">
        <f t="shared" si="23"/>
        <v/>
      </c>
    </row>
    <row r="305">
      <c r="P305" t="str">
        <f t="shared" si="3"/>
        <v/>
      </c>
      <c r="R305" t="str">
        <f t="shared" si="5"/>
        <v/>
      </c>
      <c r="T305" t="str">
        <f t="shared" si="7"/>
        <v/>
      </c>
      <c r="V305" t="str">
        <f t="shared" si="9"/>
        <v/>
      </c>
      <c r="X305" t="str">
        <f t="shared" si="11"/>
        <v/>
      </c>
      <c r="Z305" t="str">
        <f t="shared" si="13"/>
        <v/>
      </c>
      <c r="AB305" t="str">
        <f t="shared" si="15"/>
        <v/>
      </c>
      <c r="AD305" t="str">
        <f t="shared" si="17"/>
        <v/>
      </c>
      <c r="AF305" t="str">
        <f t="shared" si="19"/>
        <v/>
      </c>
      <c r="AH305" t="str">
        <f t="shared" si="21"/>
        <v/>
      </c>
      <c r="AJ305" t="str">
        <f t="shared" si="23"/>
        <v/>
      </c>
    </row>
    <row r="306">
      <c r="P306" t="str">
        <f t="shared" si="3"/>
        <v/>
      </c>
      <c r="R306" t="str">
        <f t="shared" si="5"/>
        <v/>
      </c>
      <c r="T306" t="str">
        <f t="shared" si="7"/>
        <v/>
      </c>
      <c r="V306" t="str">
        <f t="shared" si="9"/>
        <v/>
      </c>
      <c r="X306" t="str">
        <f t="shared" si="11"/>
        <v/>
      </c>
      <c r="Z306" t="str">
        <f t="shared" si="13"/>
        <v/>
      </c>
      <c r="AB306" t="str">
        <f t="shared" si="15"/>
        <v/>
      </c>
      <c r="AD306" t="str">
        <f t="shared" si="17"/>
        <v/>
      </c>
      <c r="AF306" t="str">
        <f t="shared" si="19"/>
        <v/>
      </c>
      <c r="AH306" t="str">
        <f t="shared" si="21"/>
        <v/>
      </c>
      <c r="AJ306" t="str">
        <f t="shared" si="23"/>
        <v/>
      </c>
    </row>
    <row r="307">
      <c r="P307" t="str">
        <f t="shared" si="3"/>
        <v/>
      </c>
      <c r="R307" t="str">
        <f t="shared" si="5"/>
        <v/>
      </c>
      <c r="T307" t="str">
        <f t="shared" si="7"/>
        <v/>
      </c>
      <c r="V307" t="str">
        <f t="shared" si="9"/>
        <v/>
      </c>
      <c r="X307" t="str">
        <f t="shared" si="11"/>
        <v/>
      </c>
      <c r="Z307" t="str">
        <f t="shared" si="13"/>
        <v/>
      </c>
      <c r="AB307" t="str">
        <f t="shared" si="15"/>
        <v/>
      </c>
      <c r="AD307" t="str">
        <f t="shared" si="17"/>
        <v/>
      </c>
      <c r="AF307" t="str">
        <f t="shared" si="19"/>
        <v/>
      </c>
      <c r="AH307" t="str">
        <f t="shared" si="21"/>
        <v/>
      </c>
      <c r="AJ307" t="str">
        <f t="shared" si="23"/>
        <v/>
      </c>
    </row>
    <row r="308">
      <c r="P308" t="str">
        <f t="shared" si="3"/>
        <v/>
      </c>
      <c r="R308" t="str">
        <f t="shared" si="5"/>
        <v/>
      </c>
      <c r="T308" t="str">
        <f t="shared" si="7"/>
        <v/>
      </c>
      <c r="V308" t="str">
        <f t="shared" si="9"/>
        <v/>
      </c>
      <c r="X308" t="str">
        <f t="shared" si="11"/>
        <v/>
      </c>
      <c r="Z308" t="str">
        <f t="shared" si="13"/>
        <v/>
      </c>
      <c r="AB308" t="str">
        <f t="shared" si="15"/>
        <v/>
      </c>
      <c r="AD308" t="str">
        <f t="shared" si="17"/>
        <v/>
      </c>
      <c r="AF308" t="str">
        <f t="shared" si="19"/>
        <v/>
      </c>
      <c r="AH308" t="str">
        <f t="shared" si="21"/>
        <v/>
      </c>
      <c r="AJ308" t="str">
        <f t="shared" si="23"/>
        <v/>
      </c>
    </row>
    <row r="309">
      <c r="P309" t="str">
        <f t="shared" si="3"/>
        <v/>
      </c>
      <c r="R309" t="str">
        <f t="shared" si="5"/>
        <v/>
      </c>
      <c r="T309" t="str">
        <f t="shared" si="7"/>
        <v/>
      </c>
      <c r="V309" t="str">
        <f t="shared" si="9"/>
        <v/>
      </c>
      <c r="X309" t="str">
        <f t="shared" si="11"/>
        <v/>
      </c>
      <c r="Z309" t="str">
        <f t="shared" si="13"/>
        <v/>
      </c>
      <c r="AB309" t="str">
        <f t="shared" si="15"/>
        <v/>
      </c>
      <c r="AD309" t="str">
        <f t="shared" si="17"/>
        <v/>
      </c>
      <c r="AF309" t="str">
        <f t="shared" si="19"/>
        <v/>
      </c>
      <c r="AH309" t="str">
        <f t="shared" si="21"/>
        <v/>
      </c>
      <c r="AJ309" t="str">
        <f t="shared" si="23"/>
        <v/>
      </c>
    </row>
    <row r="310">
      <c r="P310" t="str">
        <f t="shared" si="3"/>
        <v/>
      </c>
      <c r="R310" t="str">
        <f t="shared" si="5"/>
        <v/>
      </c>
      <c r="T310" t="str">
        <f t="shared" si="7"/>
        <v/>
      </c>
      <c r="V310" t="str">
        <f t="shared" si="9"/>
        <v/>
      </c>
      <c r="X310" t="str">
        <f t="shared" si="11"/>
        <v/>
      </c>
      <c r="Z310" t="str">
        <f t="shared" si="13"/>
        <v/>
      </c>
      <c r="AB310" t="str">
        <f t="shared" si="15"/>
        <v/>
      </c>
      <c r="AD310" t="str">
        <f t="shared" si="17"/>
        <v/>
      </c>
      <c r="AF310" t="str">
        <f t="shared" si="19"/>
        <v/>
      </c>
      <c r="AH310" t="str">
        <f t="shared" si="21"/>
        <v/>
      </c>
      <c r="AJ310" t="str">
        <f t="shared" si="23"/>
        <v/>
      </c>
    </row>
    <row r="311">
      <c r="P311" t="str">
        <f t="shared" si="3"/>
        <v/>
      </c>
      <c r="R311" t="str">
        <f t="shared" si="5"/>
        <v/>
      </c>
      <c r="T311" t="str">
        <f t="shared" si="7"/>
        <v/>
      </c>
      <c r="V311" t="str">
        <f t="shared" si="9"/>
        <v/>
      </c>
      <c r="X311" t="str">
        <f t="shared" si="11"/>
        <v/>
      </c>
      <c r="Z311" t="str">
        <f t="shared" si="13"/>
        <v/>
      </c>
      <c r="AB311" t="str">
        <f t="shared" si="15"/>
        <v/>
      </c>
      <c r="AD311" t="str">
        <f t="shared" si="17"/>
        <v/>
      </c>
      <c r="AF311" t="str">
        <f t="shared" si="19"/>
        <v/>
      </c>
      <c r="AH311" t="str">
        <f t="shared" si="21"/>
        <v/>
      </c>
      <c r="AJ311" t="str">
        <f t="shared" si="23"/>
        <v/>
      </c>
    </row>
    <row r="312">
      <c r="P312" t="str">
        <f t="shared" si="3"/>
        <v/>
      </c>
      <c r="R312" t="str">
        <f t="shared" si="5"/>
        <v/>
      </c>
      <c r="T312" t="str">
        <f t="shared" si="7"/>
        <v/>
      </c>
      <c r="V312" t="str">
        <f t="shared" si="9"/>
        <v/>
      </c>
      <c r="X312" t="str">
        <f t="shared" si="11"/>
        <v/>
      </c>
      <c r="Z312" t="str">
        <f t="shared" si="13"/>
        <v/>
      </c>
      <c r="AB312" t="str">
        <f t="shared" si="15"/>
        <v/>
      </c>
      <c r="AD312" t="str">
        <f t="shared" si="17"/>
        <v/>
      </c>
      <c r="AF312" t="str">
        <f t="shared" si="19"/>
        <v/>
      </c>
      <c r="AH312" t="str">
        <f t="shared" si="21"/>
        <v/>
      </c>
      <c r="AJ312" t="str">
        <f t="shared" si="23"/>
        <v/>
      </c>
    </row>
    <row r="313">
      <c r="P313" t="str">
        <f t="shared" si="3"/>
        <v/>
      </c>
      <c r="R313" t="str">
        <f t="shared" si="5"/>
        <v/>
      </c>
      <c r="T313" t="str">
        <f t="shared" si="7"/>
        <v/>
      </c>
      <c r="V313" t="str">
        <f t="shared" si="9"/>
        <v/>
      </c>
      <c r="X313" t="str">
        <f t="shared" si="11"/>
        <v/>
      </c>
      <c r="Z313" t="str">
        <f t="shared" si="13"/>
        <v/>
      </c>
      <c r="AB313" t="str">
        <f t="shared" si="15"/>
        <v/>
      </c>
      <c r="AD313" t="str">
        <f t="shared" si="17"/>
        <v/>
      </c>
      <c r="AF313" t="str">
        <f t="shared" si="19"/>
        <v/>
      </c>
      <c r="AH313" t="str">
        <f t="shared" si="21"/>
        <v/>
      </c>
      <c r="AJ313" t="str">
        <f t="shared" si="23"/>
        <v/>
      </c>
    </row>
    <row r="314">
      <c r="P314" t="str">
        <f t="shared" si="3"/>
        <v/>
      </c>
      <c r="R314" t="str">
        <f t="shared" si="5"/>
        <v/>
      </c>
      <c r="T314" t="str">
        <f t="shared" si="7"/>
        <v/>
      </c>
      <c r="V314" t="str">
        <f t="shared" si="9"/>
        <v/>
      </c>
      <c r="X314" t="str">
        <f t="shared" si="11"/>
        <v/>
      </c>
      <c r="Z314" t="str">
        <f t="shared" si="13"/>
        <v/>
      </c>
      <c r="AB314" t="str">
        <f t="shared" si="15"/>
        <v/>
      </c>
      <c r="AD314" t="str">
        <f t="shared" si="17"/>
        <v/>
      </c>
      <c r="AF314" t="str">
        <f t="shared" si="19"/>
        <v/>
      </c>
      <c r="AH314" t="str">
        <f t="shared" si="21"/>
        <v/>
      </c>
      <c r="AJ314" t="str">
        <f t="shared" si="23"/>
        <v/>
      </c>
    </row>
    <row r="315">
      <c r="P315" t="str">
        <f t="shared" si="3"/>
        <v/>
      </c>
      <c r="R315" t="str">
        <f t="shared" si="5"/>
        <v/>
      </c>
      <c r="T315" t="str">
        <f t="shared" si="7"/>
        <v/>
      </c>
      <c r="V315" t="str">
        <f t="shared" si="9"/>
        <v/>
      </c>
      <c r="X315" t="str">
        <f t="shared" si="11"/>
        <v/>
      </c>
      <c r="Z315" t="str">
        <f t="shared" si="13"/>
        <v/>
      </c>
      <c r="AB315" t="str">
        <f t="shared" si="15"/>
        <v/>
      </c>
      <c r="AD315" t="str">
        <f t="shared" si="17"/>
        <v/>
      </c>
      <c r="AF315" t="str">
        <f t="shared" si="19"/>
        <v/>
      </c>
      <c r="AH315" t="str">
        <f t="shared" si="21"/>
        <v/>
      </c>
      <c r="AJ315" t="str">
        <f t="shared" si="23"/>
        <v/>
      </c>
    </row>
    <row r="316">
      <c r="P316" t="str">
        <f t="shared" si="3"/>
        <v/>
      </c>
      <c r="R316" t="str">
        <f t="shared" si="5"/>
        <v/>
      </c>
      <c r="T316" t="str">
        <f t="shared" si="7"/>
        <v/>
      </c>
      <c r="V316" t="str">
        <f t="shared" si="9"/>
        <v/>
      </c>
      <c r="X316" t="str">
        <f t="shared" si="11"/>
        <v/>
      </c>
      <c r="Z316" t="str">
        <f t="shared" si="13"/>
        <v/>
      </c>
      <c r="AB316" t="str">
        <f t="shared" si="15"/>
        <v/>
      </c>
      <c r="AD316" t="str">
        <f t="shared" si="17"/>
        <v/>
      </c>
      <c r="AF316" t="str">
        <f t="shared" si="19"/>
        <v/>
      </c>
      <c r="AH316" t="str">
        <f t="shared" si="21"/>
        <v/>
      </c>
      <c r="AJ316" t="str">
        <f t="shared" si="23"/>
        <v/>
      </c>
    </row>
    <row r="317">
      <c r="P317" t="str">
        <f t="shared" si="3"/>
        <v/>
      </c>
      <c r="R317" t="str">
        <f t="shared" si="5"/>
        <v/>
      </c>
      <c r="T317" t="str">
        <f t="shared" si="7"/>
        <v/>
      </c>
      <c r="V317" t="str">
        <f t="shared" si="9"/>
        <v/>
      </c>
      <c r="X317" t="str">
        <f t="shared" si="11"/>
        <v/>
      </c>
      <c r="Z317" t="str">
        <f t="shared" si="13"/>
        <v/>
      </c>
      <c r="AB317" t="str">
        <f t="shared" si="15"/>
        <v/>
      </c>
      <c r="AD317" t="str">
        <f t="shared" si="17"/>
        <v/>
      </c>
      <c r="AF317" t="str">
        <f t="shared" si="19"/>
        <v/>
      </c>
      <c r="AH317" t="str">
        <f t="shared" si="21"/>
        <v/>
      </c>
      <c r="AJ317" t="str">
        <f t="shared" si="23"/>
        <v/>
      </c>
    </row>
    <row r="318">
      <c r="P318" t="str">
        <f t="shared" si="3"/>
        <v/>
      </c>
      <c r="R318" t="str">
        <f t="shared" si="5"/>
        <v/>
      </c>
      <c r="T318" t="str">
        <f t="shared" si="7"/>
        <v/>
      </c>
      <c r="V318" t="str">
        <f t="shared" si="9"/>
        <v/>
      </c>
      <c r="X318" t="str">
        <f t="shared" si="11"/>
        <v/>
      </c>
      <c r="Z318" t="str">
        <f t="shared" si="13"/>
        <v/>
      </c>
      <c r="AB318" t="str">
        <f t="shared" si="15"/>
        <v/>
      </c>
      <c r="AD318" t="str">
        <f t="shared" si="17"/>
        <v/>
      </c>
      <c r="AF318" t="str">
        <f t="shared" si="19"/>
        <v/>
      </c>
      <c r="AH318" t="str">
        <f t="shared" si="21"/>
        <v/>
      </c>
      <c r="AJ318" t="str">
        <f t="shared" si="23"/>
        <v/>
      </c>
    </row>
    <row r="319">
      <c r="P319" t="str">
        <f t="shared" si="3"/>
        <v/>
      </c>
      <c r="R319" t="str">
        <f t="shared" si="5"/>
        <v/>
      </c>
      <c r="T319" t="str">
        <f t="shared" si="7"/>
        <v/>
      </c>
      <c r="V319" t="str">
        <f t="shared" si="9"/>
        <v/>
      </c>
      <c r="X319" t="str">
        <f t="shared" si="11"/>
        <v/>
      </c>
      <c r="Z319" t="str">
        <f t="shared" si="13"/>
        <v/>
      </c>
      <c r="AB319" t="str">
        <f t="shared" si="15"/>
        <v/>
      </c>
      <c r="AD319" t="str">
        <f t="shared" si="17"/>
        <v/>
      </c>
      <c r="AF319" t="str">
        <f t="shared" si="19"/>
        <v/>
      </c>
      <c r="AH319" t="str">
        <f t="shared" si="21"/>
        <v/>
      </c>
      <c r="AJ319" t="str">
        <f t="shared" si="23"/>
        <v/>
      </c>
    </row>
    <row r="320">
      <c r="P320" t="str">
        <f t="shared" si="3"/>
        <v/>
      </c>
      <c r="R320" t="str">
        <f t="shared" si="5"/>
        <v/>
      </c>
      <c r="T320" t="str">
        <f t="shared" si="7"/>
        <v/>
      </c>
      <c r="V320" t="str">
        <f t="shared" si="9"/>
        <v/>
      </c>
      <c r="X320" t="str">
        <f t="shared" si="11"/>
        <v/>
      </c>
      <c r="Z320" t="str">
        <f t="shared" si="13"/>
        <v/>
      </c>
      <c r="AB320" t="str">
        <f t="shared" si="15"/>
        <v/>
      </c>
      <c r="AD320" t="str">
        <f t="shared" si="17"/>
        <v/>
      </c>
      <c r="AF320" t="str">
        <f t="shared" si="19"/>
        <v/>
      </c>
      <c r="AH320" t="str">
        <f t="shared" si="21"/>
        <v/>
      </c>
      <c r="AJ320" t="str">
        <f t="shared" si="23"/>
        <v/>
      </c>
    </row>
    <row r="321">
      <c r="P321" t="str">
        <f t="shared" si="3"/>
        <v/>
      </c>
      <c r="R321" t="str">
        <f t="shared" si="5"/>
        <v/>
      </c>
      <c r="T321" t="str">
        <f t="shared" si="7"/>
        <v/>
      </c>
      <c r="V321" t="str">
        <f t="shared" si="9"/>
        <v/>
      </c>
      <c r="X321" t="str">
        <f t="shared" si="11"/>
        <v/>
      </c>
      <c r="Z321" t="str">
        <f t="shared" si="13"/>
        <v/>
      </c>
      <c r="AB321" t="str">
        <f t="shared" si="15"/>
        <v/>
      </c>
      <c r="AD321" t="str">
        <f t="shared" si="17"/>
        <v/>
      </c>
      <c r="AF321" t="str">
        <f t="shared" si="19"/>
        <v/>
      </c>
      <c r="AH321" t="str">
        <f t="shared" si="21"/>
        <v/>
      </c>
      <c r="AJ321" t="str">
        <f t="shared" si="23"/>
        <v/>
      </c>
    </row>
    <row r="322">
      <c r="P322" t="str">
        <f t="shared" si="3"/>
        <v/>
      </c>
      <c r="R322" t="str">
        <f t="shared" si="5"/>
        <v/>
      </c>
      <c r="T322" t="str">
        <f t="shared" si="7"/>
        <v/>
      </c>
      <c r="V322" t="str">
        <f t="shared" si="9"/>
        <v/>
      </c>
      <c r="X322" t="str">
        <f t="shared" si="11"/>
        <v/>
      </c>
      <c r="Z322" t="str">
        <f t="shared" si="13"/>
        <v/>
      </c>
      <c r="AB322" t="str">
        <f t="shared" si="15"/>
        <v/>
      </c>
      <c r="AD322" t="str">
        <f t="shared" si="17"/>
        <v/>
      </c>
      <c r="AF322" t="str">
        <f t="shared" si="19"/>
        <v/>
      </c>
      <c r="AH322" t="str">
        <f t="shared" si="21"/>
        <v/>
      </c>
      <c r="AJ322" t="str">
        <f t="shared" si="23"/>
        <v/>
      </c>
    </row>
    <row r="323">
      <c r="P323" t="str">
        <f t="shared" si="3"/>
        <v/>
      </c>
      <c r="R323" t="str">
        <f t="shared" si="5"/>
        <v/>
      </c>
      <c r="T323" t="str">
        <f t="shared" si="7"/>
        <v/>
      </c>
      <c r="V323" t="str">
        <f t="shared" si="9"/>
        <v/>
      </c>
      <c r="X323" t="str">
        <f t="shared" si="11"/>
        <v/>
      </c>
      <c r="Z323" t="str">
        <f t="shared" si="13"/>
        <v/>
      </c>
      <c r="AB323" t="str">
        <f t="shared" si="15"/>
        <v/>
      </c>
      <c r="AD323" t="str">
        <f t="shared" si="17"/>
        <v/>
      </c>
      <c r="AF323" t="str">
        <f t="shared" si="19"/>
        <v/>
      </c>
      <c r="AH323" t="str">
        <f t="shared" si="21"/>
        <v/>
      </c>
      <c r="AJ323" t="str">
        <f t="shared" si="23"/>
        <v/>
      </c>
    </row>
    <row r="324">
      <c r="P324" t="str">
        <f t="shared" si="3"/>
        <v/>
      </c>
      <c r="R324" t="str">
        <f t="shared" si="5"/>
        <v/>
      </c>
      <c r="T324" t="str">
        <f t="shared" si="7"/>
        <v/>
      </c>
      <c r="V324" t="str">
        <f t="shared" si="9"/>
        <v/>
      </c>
      <c r="X324" t="str">
        <f t="shared" si="11"/>
        <v/>
      </c>
      <c r="Z324" t="str">
        <f t="shared" si="13"/>
        <v/>
      </c>
      <c r="AB324" t="str">
        <f t="shared" si="15"/>
        <v/>
      </c>
      <c r="AD324" t="str">
        <f t="shared" si="17"/>
        <v/>
      </c>
      <c r="AF324" t="str">
        <f t="shared" si="19"/>
        <v/>
      </c>
      <c r="AH324" t="str">
        <f t="shared" si="21"/>
        <v/>
      </c>
      <c r="AJ324" t="str">
        <f t="shared" si="23"/>
        <v/>
      </c>
    </row>
    <row r="325">
      <c r="P325" t="str">
        <f t="shared" si="3"/>
        <v/>
      </c>
      <c r="R325" t="str">
        <f t="shared" si="5"/>
        <v/>
      </c>
      <c r="T325" t="str">
        <f t="shared" si="7"/>
        <v/>
      </c>
      <c r="V325" t="str">
        <f t="shared" si="9"/>
        <v/>
      </c>
      <c r="X325" t="str">
        <f t="shared" si="11"/>
        <v/>
      </c>
      <c r="Z325" t="str">
        <f t="shared" si="13"/>
        <v/>
      </c>
      <c r="AB325" t="str">
        <f t="shared" si="15"/>
        <v/>
      </c>
      <c r="AD325" t="str">
        <f t="shared" si="17"/>
        <v/>
      </c>
      <c r="AF325" t="str">
        <f t="shared" si="19"/>
        <v/>
      </c>
      <c r="AH325" t="str">
        <f t="shared" si="21"/>
        <v/>
      </c>
      <c r="AJ325" t="str">
        <f t="shared" si="23"/>
        <v/>
      </c>
    </row>
    <row r="326">
      <c r="P326" t="str">
        <f t="shared" si="3"/>
        <v/>
      </c>
      <c r="R326" t="str">
        <f t="shared" si="5"/>
        <v/>
      </c>
      <c r="T326" t="str">
        <f t="shared" si="7"/>
        <v/>
      </c>
      <c r="V326" t="str">
        <f t="shared" si="9"/>
        <v/>
      </c>
      <c r="X326" t="str">
        <f t="shared" si="11"/>
        <v/>
      </c>
      <c r="Z326" t="str">
        <f t="shared" si="13"/>
        <v/>
      </c>
      <c r="AB326" t="str">
        <f t="shared" si="15"/>
        <v/>
      </c>
      <c r="AD326" t="str">
        <f t="shared" si="17"/>
        <v/>
      </c>
      <c r="AF326" t="str">
        <f t="shared" si="19"/>
        <v/>
      </c>
      <c r="AH326" t="str">
        <f t="shared" si="21"/>
        <v/>
      </c>
      <c r="AJ326" t="str">
        <f t="shared" si="23"/>
        <v/>
      </c>
    </row>
    <row r="327">
      <c r="P327" t="str">
        <f t="shared" si="3"/>
        <v/>
      </c>
      <c r="R327" t="str">
        <f t="shared" si="5"/>
        <v/>
      </c>
      <c r="T327" t="str">
        <f t="shared" si="7"/>
        <v/>
      </c>
      <c r="V327" t="str">
        <f t="shared" si="9"/>
        <v/>
      </c>
      <c r="X327" t="str">
        <f t="shared" si="11"/>
        <v/>
      </c>
      <c r="Z327" t="str">
        <f t="shared" si="13"/>
        <v/>
      </c>
      <c r="AB327" t="str">
        <f t="shared" si="15"/>
        <v/>
      </c>
      <c r="AD327" t="str">
        <f t="shared" si="17"/>
        <v/>
      </c>
      <c r="AF327" t="str">
        <f t="shared" si="19"/>
        <v/>
      </c>
      <c r="AH327" t="str">
        <f t="shared" si="21"/>
        <v/>
      </c>
      <c r="AJ327" t="str">
        <f t="shared" si="23"/>
        <v/>
      </c>
    </row>
    <row r="328">
      <c r="P328" t="str">
        <f t="shared" si="3"/>
        <v/>
      </c>
      <c r="R328" t="str">
        <f t="shared" si="5"/>
        <v/>
      </c>
      <c r="T328" t="str">
        <f t="shared" si="7"/>
        <v/>
      </c>
      <c r="V328" t="str">
        <f t="shared" si="9"/>
        <v/>
      </c>
      <c r="X328" t="str">
        <f t="shared" si="11"/>
        <v/>
      </c>
      <c r="Z328" t="str">
        <f t="shared" si="13"/>
        <v/>
      </c>
      <c r="AB328" t="str">
        <f t="shared" si="15"/>
        <v/>
      </c>
      <c r="AD328" t="str">
        <f t="shared" si="17"/>
        <v/>
      </c>
      <c r="AF328" t="str">
        <f t="shared" si="19"/>
        <v/>
      </c>
      <c r="AH328" t="str">
        <f t="shared" si="21"/>
        <v/>
      </c>
      <c r="AJ328" t="str">
        <f t="shared" si="23"/>
        <v/>
      </c>
    </row>
    <row r="329">
      <c r="P329" t="str">
        <f t="shared" si="3"/>
        <v/>
      </c>
      <c r="R329" t="str">
        <f t="shared" si="5"/>
        <v/>
      </c>
      <c r="T329" t="str">
        <f t="shared" si="7"/>
        <v/>
      </c>
      <c r="V329" t="str">
        <f t="shared" si="9"/>
        <v/>
      </c>
      <c r="X329" t="str">
        <f t="shared" si="11"/>
        <v/>
      </c>
      <c r="Z329" t="str">
        <f t="shared" si="13"/>
        <v/>
      </c>
      <c r="AB329" t="str">
        <f t="shared" si="15"/>
        <v/>
      </c>
      <c r="AD329" t="str">
        <f t="shared" si="17"/>
        <v/>
      </c>
      <c r="AF329" t="str">
        <f t="shared" si="19"/>
        <v/>
      </c>
      <c r="AH329" t="str">
        <f t="shared" si="21"/>
        <v/>
      </c>
      <c r="AJ329" t="str">
        <f t="shared" si="23"/>
        <v/>
      </c>
    </row>
    <row r="330">
      <c r="P330" t="str">
        <f t="shared" si="3"/>
        <v/>
      </c>
      <c r="R330" t="str">
        <f t="shared" si="5"/>
        <v/>
      </c>
      <c r="T330" t="str">
        <f t="shared" si="7"/>
        <v/>
      </c>
      <c r="V330" t="str">
        <f t="shared" si="9"/>
        <v/>
      </c>
      <c r="X330" t="str">
        <f t="shared" si="11"/>
        <v/>
      </c>
      <c r="Z330" t="str">
        <f t="shared" si="13"/>
        <v/>
      </c>
      <c r="AB330" t="str">
        <f t="shared" si="15"/>
        <v/>
      </c>
      <c r="AD330" t="str">
        <f t="shared" si="17"/>
        <v/>
      </c>
      <c r="AF330" t="str">
        <f t="shared" si="19"/>
        <v/>
      </c>
      <c r="AH330" t="str">
        <f t="shared" si="21"/>
        <v/>
      </c>
      <c r="AJ330" t="str">
        <f t="shared" si="23"/>
        <v/>
      </c>
    </row>
    <row r="331">
      <c r="P331" t="str">
        <f t="shared" si="3"/>
        <v/>
      </c>
      <c r="R331" t="str">
        <f t="shared" si="5"/>
        <v/>
      </c>
      <c r="T331" t="str">
        <f t="shared" si="7"/>
        <v/>
      </c>
      <c r="V331" t="str">
        <f t="shared" si="9"/>
        <v/>
      </c>
      <c r="X331" t="str">
        <f t="shared" si="11"/>
        <v/>
      </c>
      <c r="Z331" t="str">
        <f t="shared" si="13"/>
        <v/>
      </c>
      <c r="AB331" t="str">
        <f t="shared" si="15"/>
        <v/>
      </c>
      <c r="AD331" t="str">
        <f t="shared" si="17"/>
        <v/>
      </c>
      <c r="AF331" t="str">
        <f t="shared" si="19"/>
        <v/>
      </c>
      <c r="AH331" t="str">
        <f t="shared" si="21"/>
        <v/>
      </c>
      <c r="AJ331" t="str">
        <f t="shared" si="23"/>
        <v/>
      </c>
    </row>
    <row r="332">
      <c r="P332" t="str">
        <f t="shared" si="3"/>
        <v/>
      </c>
      <c r="R332" t="str">
        <f t="shared" si="5"/>
        <v/>
      </c>
      <c r="T332" t="str">
        <f t="shared" si="7"/>
        <v/>
      </c>
      <c r="V332" t="str">
        <f t="shared" si="9"/>
        <v/>
      </c>
      <c r="X332" t="str">
        <f t="shared" si="11"/>
        <v/>
      </c>
      <c r="Z332" t="str">
        <f t="shared" si="13"/>
        <v/>
      </c>
      <c r="AB332" t="str">
        <f t="shared" si="15"/>
        <v/>
      </c>
      <c r="AD332" t="str">
        <f t="shared" si="17"/>
        <v/>
      </c>
      <c r="AF332" t="str">
        <f t="shared" si="19"/>
        <v/>
      </c>
      <c r="AH332" t="str">
        <f t="shared" si="21"/>
        <v/>
      </c>
      <c r="AJ332" t="str">
        <f t="shared" si="23"/>
        <v/>
      </c>
    </row>
    <row r="333">
      <c r="P333" t="str">
        <f t="shared" si="3"/>
        <v/>
      </c>
      <c r="R333" t="str">
        <f t="shared" si="5"/>
        <v/>
      </c>
      <c r="T333" t="str">
        <f t="shared" si="7"/>
        <v/>
      </c>
      <c r="V333" t="str">
        <f t="shared" si="9"/>
        <v/>
      </c>
      <c r="X333" t="str">
        <f t="shared" si="11"/>
        <v/>
      </c>
      <c r="Z333" t="str">
        <f t="shared" si="13"/>
        <v/>
      </c>
      <c r="AB333" t="str">
        <f t="shared" si="15"/>
        <v/>
      </c>
      <c r="AD333" t="str">
        <f t="shared" si="17"/>
        <v/>
      </c>
      <c r="AF333" t="str">
        <f t="shared" si="19"/>
        <v/>
      </c>
      <c r="AH333" t="str">
        <f t="shared" si="21"/>
        <v/>
      </c>
      <c r="AJ333" t="str">
        <f t="shared" si="23"/>
        <v/>
      </c>
    </row>
    <row r="334">
      <c r="P334" t="str">
        <f t="shared" si="3"/>
        <v/>
      </c>
      <c r="R334" t="str">
        <f t="shared" si="5"/>
        <v/>
      </c>
      <c r="T334" t="str">
        <f t="shared" si="7"/>
        <v/>
      </c>
      <c r="V334" t="str">
        <f t="shared" si="9"/>
        <v/>
      </c>
      <c r="X334" t="str">
        <f t="shared" si="11"/>
        <v/>
      </c>
      <c r="Z334" t="str">
        <f t="shared" si="13"/>
        <v/>
      </c>
      <c r="AB334" t="str">
        <f t="shared" si="15"/>
        <v/>
      </c>
      <c r="AD334" t="str">
        <f t="shared" si="17"/>
        <v/>
      </c>
      <c r="AF334" t="str">
        <f t="shared" si="19"/>
        <v/>
      </c>
      <c r="AH334" t="str">
        <f t="shared" si="21"/>
        <v/>
      </c>
      <c r="AJ334" t="str">
        <f t="shared" si="23"/>
        <v/>
      </c>
    </row>
    <row r="335">
      <c r="P335" t="str">
        <f t="shared" si="3"/>
        <v/>
      </c>
      <c r="R335" t="str">
        <f t="shared" si="5"/>
        <v/>
      </c>
      <c r="T335" t="str">
        <f t="shared" si="7"/>
        <v/>
      </c>
      <c r="V335" t="str">
        <f t="shared" si="9"/>
        <v/>
      </c>
      <c r="X335" t="str">
        <f t="shared" si="11"/>
        <v/>
      </c>
      <c r="Z335" t="str">
        <f t="shared" si="13"/>
        <v/>
      </c>
      <c r="AB335" t="str">
        <f t="shared" si="15"/>
        <v/>
      </c>
      <c r="AD335" t="str">
        <f t="shared" si="17"/>
        <v/>
      </c>
      <c r="AF335" t="str">
        <f t="shared" si="19"/>
        <v/>
      </c>
      <c r="AH335" t="str">
        <f t="shared" si="21"/>
        <v/>
      </c>
      <c r="AJ335" t="str">
        <f t="shared" si="23"/>
        <v/>
      </c>
    </row>
    <row r="336">
      <c r="P336" t="str">
        <f t="shared" si="3"/>
        <v/>
      </c>
      <c r="R336" t="str">
        <f t="shared" si="5"/>
        <v/>
      </c>
      <c r="T336" t="str">
        <f t="shared" si="7"/>
        <v/>
      </c>
      <c r="V336" t="str">
        <f t="shared" si="9"/>
        <v/>
      </c>
      <c r="X336" t="str">
        <f t="shared" si="11"/>
        <v/>
      </c>
      <c r="Z336" t="str">
        <f t="shared" si="13"/>
        <v/>
      </c>
      <c r="AB336" t="str">
        <f t="shared" si="15"/>
        <v/>
      </c>
      <c r="AD336" t="str">
        <f t="shared" si="17"/>
        <v/>
      </c>
      <c r="AF336" t="str">
        <f t="shared" si="19"/>
        <v/>
      </c>
      <c r="AH336" t="str">
        <f t="shared" si="21"/>
        <v/>
      </c>
      <c r="AJ336" t="str">
        <f t="shared" si="23"/>
        <v/>
      </c>
    </row>
    <row r="337">
      <c r="P337" t="str">
        <f t="shared" si="3"/>
        <v/>
      </c>
      <c r="R337" t="str">
        <f t="shared" si="5"/>
        <v/>
      </c>
      <c r="T337" t="str">
        <f t="shared" si="7"/>
        <v/>
      </c>
      <c r="V337" t="str">
        <f t="shared" si="9"/>
        <v/>
      </c>
      <c r="X337" t="str">
        <f t="shared" si="11"/>
        <v/>
      </c>
      <c r="Z337" t="str">
        <f t="shared" si="13"/>
        <v/>
      </c>
      <c r="AB337" t="str">
        <f t="shared" si="15"/>
        <v/>
      </c>
      <c r="AD337" t="str">
        <f t="shared" si="17"/>
        <v/>
      </c>
      <c r="AF337" t="str">
        <f t="shared" si="19"/>
        <v/>
      </c>
      <c r="AH337" t="str">
        <f t="shared" si="21"/>
        <v/>
      </c>
      <c r="AJ337" t="str">
        <f t="shared" si="23"/>
        <v/>
      </c>
    </row>
    <row r="338">
      <c r="P338" t="str">
        <f t="shared" si="3"/>
        <v/>
      </c>
      <c r="R338" t="str">
        <f t="shared" si="5"/>
        <v/>
      </c>
      <c r="T338" t="str">
        <f t="shared" si="7"/>
        <v/>
      </c>
      <c r="V338" t="str">
        <f t="shared" si="9"/>
        <v/>
      </c>
      <c r="X338" t="str">
        <f t="shared" si="11"/>
        <v/>
      </c>
      <c r="Z338" t="str">
        <f t="shared" si="13"/>
        <v/>
      </c>
      <c r="AB338" t="str">
        <f t="shared" si="15"/>
        <v/>
      </c>
      <c r="AD338" t="str">
        <f t="shared" si="17"/>
        <v/>
      </c>
      <c r="AF338" t="str">
        <f t="shared" si="19"/>
        <v/>
      </c>
      <c r="AH338" t="str">
        <f t="shared" si="21"/>
        <v/>
      </c>
      <c r="AJ338" t="str">
        <f t="shared" si="23"/>
        <v/>
      </c>
    </row>
    <row r="339">
      <c r="P339" t="str">
        <f t="shared" si="3"/>
        <v/>
      </c>
      <c r="R339" t="str">
        <f t="shared" si="5"/>
        <v/>
      </c>
      <c r="T339" t="str">
        <f t="shared" si="7"/>
        <v/>
      </c>
      <c r="V339" t="str">
        <f t="shared" si="9"/>
        <v/>
      </c>
      <c r="X339" t="str">
        <f t="shared" si="11"/>
        <v/>
      </c>
      <c r="Z339" t="str">
        <f t="shared" si="13"/>
        <v/>
      </c>
      <c r="AB339" t="str">
        <f t="shared" si="15"/>
        <v/>
      </c>
      <c r="AD339" t="str">
        <f t="shared" si="17"/>
        <v/>
      </c>
      <c r="AF339" t="str">
        <f t="shared" si="19"/>
        <v/>
      </c>
      <c r="AH339" t="str">
        <f t="shared" si="21"/>
        <v/>
      </c>
      <c r="AJ339" t="str">
        <f t="shared" si="23"/>
        <v/>
      </c>
    </row>
    <row r="340">
      <c r="P340" t="str">
        <f t="shared" si="3"/>
        <v/>
      </c>
      <c r="R340" t="str">
        <f t="shared" si="5"/>
        <v/>
      </c>
      <c r="T340" t="str">
        <f t="shared" si="7"/>
        <v/>
      </c>
      <c r="V340" t="str">
        <f t="shared" si="9"/>
        <v/>
      </c>
      <c r="X340" t="str">
        <f t="shared" si="11"/>
        <v/>
      </c>
      <c r="Z340" t="str">
        <f t="shared" si="13"/>
        <v/>
      </c>
      <c r="AB340" t="str">
        <f t="shared" si="15"/>
        <v/>
      </c>
      <c r="AD340" t="str">
        <f t="shared" si="17"/>
        <v/>
      </c>
      <c r="AF340" t="str">
        <f t="shared" si="19"/>
        <v/>
      </c>
      <c r="AH340" t="str">
        <f t="shared" si="21"/>
        <v/>
      </c>
      <c r="AJ340" t="str">
        <f t="shared" si="23"/>
        <v/>
      </c>
    </row>
    <row r="341">
      <c r="P341" t="str">
        <f t="shared" si="3"/>
        <v/>
      </c>
      <c r="R341" t="str">
        <f t="shared" si="5"/>
        <v/>
      </c>
      <c r="T341" t="str">
        <f t="shared" si="7"/>
        <v/>
      </c>
      <c r="V341" t="str">
        <f t="shared" si="9"/>
        <v/>
      </c>
      <c r="X341" t="str">
        <f t="shared" si="11"/>
        <v/>
      </c>
      <c r="Z341" t="str">
        <f t="shared" si="13"/>
        <v/>
      </c>
      <c r="AB341" t="str">
        <f t="shared" si="15"/>
        <v/>
      </c>
      <c r="AD341" t="str">
        <f t="shared" si="17"/>
        <v/>
      </c>
      <c r="AF341" t="str">
        <f t="shared" si="19"/>
        <v/>
      </c>
      <c r="AH341" t="str">
        <f t="shared" si="21"/>
        <v/>
      </c>
      <c r="AJ341" t="str">
        <f t="shared" si="23"/>
        <v/>
      </c>
    </row>
    <row r="342">
      <c r="P342" t="str">
        <f t="shared" si="3"/>
        <v/>
      </c>
      <c r="R342" t="str">
        <f t="shared" si="5"/>
        <v/>
      </c>
      <c r="T342" t="str">
        <f t="shared" si="7"/>
        <v/>
      </c>
      <c r="V342" t="str">
        <f t="shared" si="9"/>
        <v/>
      </c>
      <c r="X342" t="str">
        <f t="shared" si="11"/>
        <v/>
      </c>
      <c r="Z342" t="str">
        <f t="shared" si="13"/>
        <v/>
      </c>
      <c r="AB342" t="str">
        <f t="shared" si="15"/>
        <v/>
      </c>
      <c r="AD342" t="str">
        <f t="shared" si="17"/>
        <v/>
      </c>
      <c r="AF342" t="str">
        <f t="shared" si="19"/>
        <v/>
      </c>
      <c r="AH342" t="str">
        <f t="shared" si="21"/>
        <v/>
      </c>
      <c r="AJ342" t="str">
        <f t="shared" si="23"/>
        <v/>
      </c>
    </row>
    <row r="343">
      <c r="P343" t="str">
        <f t="shared" si="3"/>
        <v/>
      </c>
      <c r="R343" t="str">
        <f t="shared" si="5"/>
        <v/>
      </c>
      <c r="T343" t="str">
        <f t="shared" si="7"/>
        <v/>
      </c>
      <c r="V343" t="str">
        <f t="shared" si="9"/>
        <v/>
      </c>
      <c r="X343" t="str">
        <f t="shared" si="11"/>
        <v/>
      </c>
      <c r="Z343" t="str">
        <f t="shared" si="13"/>
        <v/>
      </c>
      <c r="AB343" t="str">
        <f t="shared" si="15"/>
        <v/>
      </c>
      <c r="AD343" t="str">
        <f t="shared" si="17"/>
        <v/>
      </c>
      <c r="AF343" t="str">
        <f t="shared" si="19"/>
        <v/>
      </c>
      <c r="AH343" t="str">
        <f t="shared" si="21"/>
        <v/>
      </c>
      <c r="AJ343" t="str">
        <f t="shared" si="23"/>
        <v/>
      </c>
    </row>
    <row r="344">
      <c r="P344" t="str">
        <f t="shared" si="3"/>
        <v/>
      </c>
      <c r="R344" t="str">
        <f t="shared" si="5"/>
        <v/>
      </c>
      <c r="T344" t="str">
        <f t="shared" si="7"/>
        <v/>
      </c>
      <c r="V344" t="str">
        <f t="shared" si="9"/>
        <v/>
      </c>
      <c r="X344" t="str">
        <f t="shared" si="11"/>
        <v/>
      </c>
      <c r="Z344" t="str">
        <f t="shared" si="13"/>
        <v/>
      </c>
      <c r="AB344" t="str">
        <f t="shared" si="15"/>
        <v/>
      </c>
      <c r="AD344" t="str">
        <f t="shared" si="17"/>
        <v/>
      </c>
      <c r="AF344" t="str">
        <f t="shared" si="19"/>
        <v/>
      </c>
      <c r="AH344" t="str">
        <f t="shared" si="21"/>
        <v/>
      </c>
      <c r="AJ344" t="str">
        <f t="shared" si="23"/>
        <v/>
      </c>
    </row>
    <row r="345">
      <c r="P345" t="str">
        <f t="shared" si="3"/>
        <v/>
      </c>
      <c r="R345" t="str">
        <f t="shared" si="5"/>
        <v/>
      </c>
      <c r="T345" t="str">
        <f t="shared" si="7"/>
        <v/>
      </c>
      <c r="V345" t="str">
        <f t="shared" si="9"/>
        <v/>
      </c>
      <c r="X345" t="str">
        <f t="shared" si="11"/>
        <v/>
      </c>
      <c r="Z345" t="str">
        <f t="shared" si="13"/>
        <v/>
      </c>
      <c r="AB345" t="str">
        <f t="shared" si="15"/>
        <v/>
      </c>
      <c r="AD345" t="str">
        <f t="shared" si="17"/>
        <v/>
      </c>
      <c r="AF345" t="str">
        <f t="shared" si="19"/>
        <v/>
      </c>
      <c r="AH345" t="str">
        <f t="shared" si="21"/>
        <v/>
      </c>
      <c r="AJ345" t="str">
        <f t="shared" si="23"/>
        <v/>
      </c>
    </row>
    <row r="346">
      <c r="P346" t="str">
        <f t="shared" si="3"/>
        <v/>
      </c>
      <c r="R346" t="str">
        <f t="shared" si="5"/>
        <v/>
      </c>
      <c r="T346" t="str">
        <f t="shared" si="7"/>
        <v/>
      </c>
      <c r="V346" t="str">
        <f t="shared" si="9"/>
        <v/>
      </c>
      <c r="X346" t="str">
        <f t="shared" si="11"/>
        <v/>
      </c>
      <c r="Z346" t="str">
        <f t="shared" si="13"/>
        <v/>
      </c>
      <c r="AB346" t="str">
        <f t="shared" si="15"/>
        <v/>
      </c>
      <c r="AD346" t="str">
        <f t="shared" si="17"/>
        <v/>
      </c>
      <c r="AF346" t="str">
        <f t="shared" si="19"/>
        <v/>
      </c>
      <c r="AH346" t="str">
        <f t="shared" si="21"/>
        <v/>
      </c>
      <c r="AJ346" t="str">
        <f t="shared" si="23"/>
        <v/>
      </c>
    </row>
    <row r="347">
      <c r="P347" t="str">
        <f t="shared" si="3"/>
        <v/>
      </c>
      <c r="R347" t="str">
        <f t="shared" si="5"/>
        <v/>
      </c>
      <c r="T347" t="str">
        <f t="shared" si="7"/>
        <v/>
      </c>
      <c r="V347" t="str">
        <f t="shared" si="9"/>
        <v/>
      </c>
      <c r="X347" t="str">
        <f t="shared" si="11"/>
        <v/>
      </c>
      <c r="Z347" t="str">
        <f t="shared" si="13"/>
        <v/>
      </c>
      <c r="AB347" t="str">
        <f t="shared" si="15"/>
        <v/>
      </c>
      <c r="AD347" t="str">
        <f t="shared" si="17"/>
        <v/>
      </c>
      <c r="AF347" t="str">
        <f t="shared" si="19"/>
        <v/>
      </c>
      <c r="AH347" t="str">
        <f t="shared" si="21"/>
        <v/>
      </c>
      <c r="AJ347" t="str">
        <f t="shared" si="23"/>
        <v/>
      </c>
    </row>
    <row r="348">
      <c r="P348" t="str">
        <f t="shared" si="3"/>
        <v/>
      </c>
      <c r="R348" t="str">
        <f t="shared" si="5"/>
        <v/>
      </c>
      <c r="T348" t="str">
        <f t="shared" si="7"/>
        <v/>
      </c>
      <c r="V348" t="str">
        <f t="shared" si="9"/>
        <v/>
      </c>
      <c r="X348" t="str">
        <f t="shared" si="11"/>
        <v/>
      </c>
      <c r="Z348" t="str">
        <f t="shared" si="13"/>
        <v/>
      </c>
      <c r="AB348" t="str">
        <f t="shared" si="15"/>
        <v/>
      </c>
      <c r="AD348" t="str">
        <f t="shared" si="17"/>
        <v/>
      </c>
      <c r="AF348" t="str">
        <f t="shared" si="19"/>
        <v/>
      </c>
      <c r="AH348" t="str">
        <f t="shared" si="21"/>
        <v/>
      </c>
      <c r="AJ348" t="str">
        <f t="shared" si="23"/>
        <v/>
      </c>
    </row>
    <row r="349">
      <c r="P349" t="str">
        <f t="shared" si="3"/>
        <v/>
      </c>
      <c r="R349" t="str">
        <f t="shared" si="5"/>
        <v/>
      </c>
      <c r="T349" t="str">
        <f t="shared" si="7"/>
        <v/>
      </c>
      <c r="V349" t="str">
        <f t="shared" si="9"/>
        <v/>
      </c>
      <c r="X349" t="str">
        <f t="shared" si="11"/>
        <v/>
      </c>
      <c r="Z349" t="str">
        <f t="shared" si="13"/>
        <v/>
      </c>
      <c r="AB349" t="str">
        <f t="shared" si="15"/>
        <v/>
      </c>
      <c r="AD349" t="str">
        <f t="shared" si="17"/>
        <v/>
      </c>
      <c r="AF349" t="str">
        <f t="shared" si="19"/>
        <v/>
      </c>
      <c r="AH349" t="str">
        <f t="shared" si="21"/>
        <v/>
      </c>
      <c r="AJ349" t="str">
        <f t="shared" si="23"/>
        <v/>
      </c>
    </row>
    <row r="350">
      <c r="P350" t="str">
        <f t="shared" si="3"/>
        <v/>
      </c>
      <c r="R350" t="str">
        <f t="shared" si="5"/>
        <v/>
      </c>
      <c r="T350" t="str">
        <f t="shared" si="7"/>
        <v/>
      </c>
      <c r="V350" t="str">
        <f t="shared" si="9"/>
        <v/>
      </c>
      <c r="X350" t="str">
        <f t="shared" si="11"/>
        <v/>
      </c>
      <c r="Z350" t="str">
        <f t="shared" si="13"/>
        <v/>
      </c>
      <c r="AB350" t="str">
        <f t="shared" si="15"/>
        <v/>
      </c>
      <c r="AD350" t="str">
        <f t="shared" si="17"/>
        <v/>
      </c>
      <c r="AF350" t="str">
        <f t="shared" si="19"/>
        <v/>
      </c>
      <c r="AH350" t="str">
        <f t="shared" si="21"/>
        <v/>
      </c>
      <c r="AJ350" t="str">
        <f t="shared" si="23"/>
        <v/>
      </c>
    </row>
    <row r="351">
      <c r="P351" t="str">
        <f t="shared" si="3"/>
        <v/>
      </c>
      <c r="R351" t="str">
        <f t="shared" si="5"/>
        <v/>
      </c>
      <c r="T351" t="str">
        <f t="shared" si="7"/>
        <v/>
      </c>
      <c r="V351" t="str">
        <f t="shared" si="9"/>
        <v/>
      </c>
      <c r="X351" t="str">
        <f t="shared" si="11"/>
        <v/>
      </c>
      <c r="Z351" t="str">
        <f t="shared" si="13"/>
        <v/>
      </c>
      <c r="AB351" t="str">
        <f t="shared" si="15"/>
        <v/>
      </c>
      <c r="AD351" t="str">
        <f t="shared" si="17"/>
        <v/>
      </c>
      <c r="AF351" t="str">
        <f t="shared" si="19"/>
        <v/>
      </c>
      <c r="AH351" t="str">
        <f t="shared" si="21"/>
        <v/>
      </c>
      <c r="AJ351" t="str">
        <f t="shared" si="23"/>
        <v/>
      </c>
    </row>
    <row r="352">
      <c r="P352" t="str">
        <f t="shared" si="3"/>
        <v/>
      </c>
      <c r="R352" t="str">
        <f t="shared" si="5"/>
        <v/>
      </c>
      <c r="T352" t="str">
        <f t="shared" si="7"/>
        <v/>
      </c>
      <c r="V352" t="str">
        <f t="shared" si="9"/>
        <v/>
      </c>
      <c r="X352" t="str">
        <f t="shared" si="11"/>
        <v/>
      </c>
      <c r="Z352" t="str">
        <f t="shared" si="13"/>
        <v/>
      </c>
      <c r="AB352" t="str">
        <f t="shared" si="15"/>
        <v/>
      </c>
      <c r="AD352" t="str">
        <f t="shared" si="17"/>
        <v/>
      </c>
      <c r="AF352" t="str">
        <f t="shared" si="19"/>
        <v/>
      </c>
      <c r="AH352" t="str">
        <f t="shared" si="21"/>
        <v/>
      </c>
      <c r="AJ352" t="str">
        <f t="shared" si="23"/>
        <v/>
      </c>
    </row>
    <row r="353">
      <c r="P353" t="str">
        <f t="shared" si="3"/>
        <v/>
      </c>
      <c r="R353" t="str">
        <f t="shared" si="5"/>
        <v/>
      </c>
      <c r="T353" t="str">
        <f t="shared" si="7"/>
        <v/>
      </c>
      <c r="V353" t="str">
        <f t="shared" si="9"/>
        <v/>
      </c>
      <c r="X353" t="str">
        <f t="shared" si="11"/>
        <v/>
      </c>
      <c r="Z353" t="str">
        <f t="shared" si="13"/>
        <v/>
      </c>
      <c r="AB353" t="str">
        <f t="shared" si="15"/>
        <v/>
      </c>
      <c r="AD353" t="str">
        <f t="shared" si="17"/>
        <v/>
      </c>
      <c r="AF353" t="str">
        <f t="shared" si="19"/>
        <v/>
      </c>
      <c r="AH353" t="str">
        <f t="shared" si="21"/>
        <v/>
      </c>
      <c r="AJ353" t="str">
        <f t="shared" si="23"/>
        <v/>
      </c>
    </row>
    <row r="354">
      <c r="P354" t="str">
        <f t="shared" si="3"/>
        <v/>
      </c>
      <c r="R354" t="str">
        <f t="shared" si="5"/>
        <v/>
      </c>
      <c r="T354" t="str">
        <f t="shared" si="7"/>
        <v/>
      </c>
      <c r="V354" t="str">
        <f t="shared" si="9"/>
        <v/>
      </c>
      <c r="X354" t="str">
        <f t="shared" si="11"/>
        <v/>
      </c>
      <c r="Z354" t="str">
        <f t="shared" si="13"/>
        <v/>
      </c>
      <c r="AB354" t="str">
        <f t="shared" si="15"/>
        <v/>
      </c>
      <c r="AD354" t="str">
        <f t="shared" si="17"/>
        <v/>
      </c>
      <c r="AF354" t="str">
        <f t="shared" si="19"/>
        <v/>
      </c>
      <c r="AH354" t="str">
        <f t="shared" si="21"/>
        <v/>
      </c>
      <c r="AJ354" t="str">
        <f t="shared" si="23"/>
        <v/>
      </c>
    </row>
    <row r="355">
      <c r="P355" t="str">
        <f t="shared" si="3"/>
        <v/>
      </c>
      <c r="R355" t="str">
        <f t="shared" si="5"/>
        <v/>
      </c>
      <c r="T355" t="str">
        <f t="shared" si="7"/>
        <v/>
      </c>
      <c r="V355" t="str">
        <f t="shared" si="9"/>
        <v/>
      </c>
      <c r="X355" t="str">
        <f t="shared" si="11"/>
        <v/>
      </c>
      <c r="Z355" t="str">
        <f t="shared" si="13"/>
        <v/>
      </c>
      <c r="AB355" t="str">
        <f t="shared" si="15"/>
        <v/>
      </c>
      <c r="AD355" t="str">
        <f t="shared" si="17"/>
        <v/>
      </c>
      <c r="AF355" t="str">
        <f t="shared" si="19"/>
        <v/>
      </c>
      <c r="AH355" t="str">
        <f t="shared" si="21"/>
        <v/>
      </c>
      <c r="AJ355" t="str">
        <f t="shared" si="23"/>
        <v/>
      </c>
    </row>
    <row r="356">
      <c r="P356" t="str">
        <f t="shared" si="3"/>
        <v/>
      </c>
      <c r="R356" t="str">
        <f t="shared" si="5"/>
        <v/>
      </c>
      <c r="T356" t="str">
        <f t="shared" si="7"/>
        <v/>
      </c>
      <c r="V356" t="str">
        <f t="shared" si="9"/>
        <v/>
      </c>
      <c r="X356" t="str">
        <f t="shared" si="11"/>
        <v/>
      </c>
      <c r="Z356" t="str">
        <f t="shared" si="13"/>
        <v/>
      </c>
      <c r="AB356" t="str">
        <f t="shared" si="15"/>
        <v/>
      </c>
      <c r="AD356" t="str">
        <f t="shared" si="17"/>
        <v/>
      </c>
      <c r="AF356" t="str">
        <f t="shared" si="19"/>
        <v/>
      </c>
      <c r="AH356" t="str">
        <f t="shared" si="21"/>
        <v/>
      </c>
      <c r="AJ356" t="str">
        <f t="shared" si="23"/>
        <v/>
      </c>
    </row>
    <row r="357">
      <c r="P357" t="str">
        <f t="shared" si="3"/>
        <v/>
      </c>
      <c r="R357" t="str">
        <f t="shared" si="5"/>
        <v/>
      </c>
      <c r="T357" t="str">
        <f t="shared" si="7"/>
        <v/>
      </c>
      <c r="V357" t="str">
        <f t="shared" si="9"/>
        <v/>
      </c>
      <c r="X357" t="str">
        <f t="shared" si="11"/>
        <v/>
      </c>
      <c r="Z357" t="str">
        <f t="shared" si="13"/>
        <v/>
      </c>
      <c r="AB357" t="str">
        <f t="shared" si="15"/>
        <v/>
      </c>
      <c r="AD357" t="str">
        <f t="shared" si="17"/>
        <v/>
      </c>
      <c r="AF357" t="str">
        <f t="shared" si="19"/>
        <v/>
      </c>
      <c r="AH357" t="str">
        <f t="shared" si="21"/>
        <v/>
      </c>
      <c r="AJ357" t="str">
        <f t="shared" si="23"/>
        <v/>
      </c>
    </row>
    <row r="358">
      <c r="P358" t="str">
        <f t="shared" si="3"/>
        <v/>
      </c>
      <c r="R358" t="str">
        <f t="shared" si="5"/>
        <v/>
      </c>
      <c r="T358" t="str">
        <f t="shared" si="7"/>
        <v/>
      </c>
      <c r="V358" t="str">
        <f t="shared" si="9"/>
        <v/>
      </c>
      <c r="X358" t="str">
        <f t="shared" si="11"/>
        <v/>
      </c>
      <c r="Z358" t="str">
        <f t="shared" si="13"/>
        <v/>
      </c>
      <c r="AB358" t="str">
        <f t="shared" si="15"/>
        <v/>
      </c>
      <c r="AD358" t="str">
        <f t="shared" si="17"/>
        <v/>
      </c>
      <c r="AF358" t="str">
        <f t="shared" si="19"/>
        <v/>
      </c>
      <c r="AH358" t="str">
        <f t="shared" si="21"/>
        <v/>
      </c>
      <c r="AJ358" t="str">
        <f t="shared" si="23"/>
        <v/>
      </c>
    </row>
    <row r="359">
      <c r="P359" t="str">
        <f t="shared" si="3"/>
        <v/>
      </c>
      <c r="R359" t="str">
        <f t="shared" si="5"/>
        <v/>
      </c>
      <c r="T359" t="str">
        <f t="shared" si="7"/>
        <v/>
      </c>
      <c r="V359" t="str">
        <f t="shared" si="9"/>
        <v/>
      </c>
      <c r="X359" t="str">
        <f t="shared" si="11"/>
        <v/>
      </c>
      <c r="Z359" t="str">
        <f t="shared" si="13"/>
        <v/>
      </c>
      <c r="AB359" t="str">
        <f t="shared" si="15"/>
        <v/>
      </c>
      <c r="AD359" t="str">
        <f t="shared" si="17"/>
        <v/>
      </c>
      <c r="AF359" t="str">
        <f t="shared" si="19"/>
        <v/>
      </c>
      <c r="AH359" t="str">
        <f t="shared" si="21"/>
        <v/>
      </c>
      <c r="AJ359" t="str">
        <f t="shared" si="23"/>
        <v/>
      </c>
    </row>
    <row r="360">
      <c r="P360" t="str">
        <f t="shared" si="3"/>
        <v/>
      </c>
      <c r="R360" t="str">
        <f t="shared" si="5"/>
        <v/>
      </c>
      <c r="T360" t="str">
        <f t="shared" si="7"/>
        <v/>
      </c>
      <c r="V360" t="str">
        <f t="shared" si="9"/>
        <v/>
      </c>
      <c r="X360" t="str">
        <f t="shared" si="11"/>
        <v/>
      </c>
      <c r="Z360" t="str">
        <f t="shared" si="13"/>
        <v/>
      </c>
      <c r="AB360" t="str">
        <f t="shared" si="15"/>
        <v/>
      </c>
      <c r="AD360" t="str">
        <f t="shared" si="17"/>
        <v/>
      </c>
      <c r="AF360" t="str">
        <f t="shared" si="19"/>
        <v/>
      </c>
      <c r="AH360" t="str">
        <f t="shared" si="21"/>
        <v/>
      </c>
      <c r="AJ360" t="str">
        <f t="shared" si="23"/>
        <v/>
      </c>
    </row>
    <row r="361">
      <c r="P361" t="str">
        <f t="shared" si="3"/>
        <v/>
      </c>
      <c r="R361" t="str">
        <f t="shared" si="5"/>
        <v/>
      </c>
      <c r="T361" t="str">
        <f t="shared" si="7"/>
        <v/>
      </c>
      <c r="V361" t="str">
        <f t="shared" si="9"/>
        <v/>
      </c>
      <c r="X361" t="str">
        <f t="shared" si="11"/>
        <v/>
      </c>
      <c r="Z361" t="str">
        <f t="shared" si="13"/>
        <v/>
      </c>
      <c r="AB361" t="str">
        <f t="shared" si="15"/>
        <v/>
      </c>
      <c r="AD361" t="str">
        <f t="shared" si="17"/>
        <v/>
      </c>
      <c r="AF361" t="str">
        <f t="shared" si="19"/>
        <v/>
      </c>
      <c r="AH361" t="str">
        <f t="shared" si="21"/>
        <v/>
      </c>
      <c r="AJ361" t="str">
        <f t="shared" si="23"/>
        <v/>
      </c>
    </row>
    <row r="362">
      <c r="P362" t="str">
        <f t="shared" si="3"/>
        <v/>
      </c>
      <c r="R362" t="str">
        <f t="shared" si="5"/>
        <v/>
      </c>
      <c r="T362" t="str">
        <f t="shared" si="7"/>
        <v/>
      </c>
      <c r="V362" t="str">
        <f t="shared" si="9"/>
        <v/>
      </c>
      <c r="X362" t="str">
        <f t="shared" si="11"/>
        <v/>
      </c>
      <c r="Z362" t="str">
        <f t="shared" si="13"/>
        <v/>
      </c>
      <c r="AB362" t="str">
        <f t="shared" si="15"/>
        <v/>
      </c>
      <c r="AD362" t="str">
        <f t="shared" si="17"/>
        <v/>
      </c>
      <c r="AF362" t="str">
        <f t="shared" si="19"/>
        <v/>
      </c>
      <c r="AH362" t="str">
        <f t="shared" si="21"/>
        <v/>
      </c>
      <c r="AJ362" t="str">
        <f t="shared" si="23"/>
        <v/>
      </c>
    </row>
    <row r="363">
      <c r="P363" t="str">
        <f t="shared" si="3"/>
        <v/>
      </c>
      <c r="R363" t="str">
        <f t="shared" si="5"/>
        <v/>
      </c>
      <c r="T363" t="str">
        <f t="shared" si="7"/>
        <v/>
      </c>
      <c r="V363" t="str">
        <f t="shared" si="9"/>
        <v/>
      </c>
      <c r="X363" t="str">
        <f t="shared" si="11"/>
        <v/>
      </c>
      <c r="Z363" t="str">
        <f t="shared" si="13"/>
        <v/>
      </c>
      <c r="AB363" t="str">
        <f t="shared" si="15"/>
        <v/>
      </c>
      <c r="AD363" t="str">
        <f t="shared" si="17"/>
        <v/>
      </c>
      <c r="AF363" t="str">
        <f t="shared" si="19"/>
        <v/>
      </c>
      <c r="AH363" t="str">
        <f t="shared" si="21"/>
        <v/>
      </c>
      <c r="AJ363" t="str">
        <f t="shared" si="23"/>
        <v/>
      </c>
    </row>
    <row r="364">
      <c r="P364" t="str">
        <f t="shared" si="3"/>
        <v/>
      </c>
      <c r="R364" t="str">
        <f t="shared" si="5"/>
        <v/>
      </c>
      <c r="T364" t="str">
        <f t="shared" si="7"/>
        <v/>
      </c>
      <c r="V364" t="str">
        <f t="shared" si="9"/>
        <v/>
      </c>
      <c r="X364" t="str">
        <f t="shared" si="11"/>
        <v/>
      </c>
      <c r="Z364" t="str">
        <f t="shared" si="13"/>
        <v/>
      </c>
      <c r="AB364" t="str">
        <f t="shared" si="15"/>
        <v/>
      </c>
      <c r="AD364" t="str">
        <f t="shared" si="17"/>
        <v/>
      </c>
      <c r="AF364" t="str">
        <f t="shared" si="19"/>
        <v/>
      </c>
      <c r="AH364" t="str">
        <f t="shared" si="21"/>
        <v/>
      </c>
      <c r="AJ364" t="str">
        <f t="shared" si="23"/>
        <v/>
      </c>
    </row>
    <row r="365">
      <c r="P365" t="str">
        <f t="shared" si="3"/>
        <v/>
      </c>
      <c r="R365" t="str">
        <f t="shared" si="5"/>
        <v/>
      </c>
      <c r="T365" t="str">
        <f t="shared" si="7"/>
        <v/>
      </c>
      <c r="V365" t="str">
        <f t="shared" si="9"/>
        <v/>
      </c>
      <c r="X365" t="str">
        <f t="shared" si="11"/>
        <v/>
      </c>
      <c r="Z365" t="str">
        <f t="shared" si="13"/>
        <v/>
      </c>
      <c r="AB365" t="str">
        <f t="shared" si="15"/>
        <v/>
      </c>
      <c r="AD365" t="str">
        <f t="shared" si="17"/>
        <v/>
      </c>
      <c r="AF365" t="str">
        <f t="shared" si="19"/>
        <v/>
      </c>
      <c r="AH365" t="str">
        <f t="shared" si="21"/>
        <v/>
      </c>
      <c r="AJ365" t="str">
        <f t="shared" si="23"/>
        <v/>
      </c>
    </row>
    <row r="366">
      <c r="P366" t="str">
        <f t="shared" si="3"/>
        <v/>
      </c>
      <c r="R366" t="str">
        <f t="shared" si="5"/>
        <v/>
      </c>
      <c r="T366" t="str">
        <f t="shared" si="7"/>
        <v/>
      </c>
      <c r="V366" t="str">
        <f t="shared" si="9"/>
        <v/>
      </c>
      <c r="X366" t="str">
        <f t="shared" si="11"/>
        <v/>
      </c>
      <c r="Z366" t="str">
        <f t="shared" si="13"/>
        <v/>
      </c>
      <c r="AB366" t="str">
        <f t="shared" si="15"/>
        <v/>
      </c>
      <c r="AD366" t="str">
        <f t="shared" si="17"/>
        <v/>
      </c>
      <c r="AF366" t="str">
        <f t="shared" si="19"/>
        <v/>
      </c>
      <c r="AH366" t="str">
        <f t="shared" si="21"/>
        <v/>
      </c>
      <c r="AJ366" t="str">
        <f t="shared" si="23"/>
        <v/>
      </c>
    </row>
    <row r="367">
      <c r="P367" t="str">
        <f t="shared" si="3"/>
        <v/>
      </c>
      <c r="R367" t="str">
        <f t="shared" si="5"/>
        <v/>
      </c>
      <c r="T367" t="str">
        <f t="shared" si="7"/>
        <v/>
      </c>
      <c r="V367" t="str">
        <f t="shared" si="9"/>
        <v/>
      </c>
      <c r="X367" t="str">
        <f t="shared" si="11"/>
        <v/>
      </c>
      <c r="Z367" t="str">
        <f t="shared" si="13"/>
        <v/>
      </c>
      <c r="AB367" t="str">
        <f t="shared" si="15"/>
        <v/>
      </c>
      <c r="AD367" t="str">
        <f t="shared" si="17"/>
        <v/>
      </c>
      <c r="AF367" t="str">
        <f t="shared" si="19"/>
        <v/>
      </c>
      <c r="AH367" t="str">
        <f t="shared" si="21"/>
        <v/>
      </c>
      <c r="AJ367" t="str">
        <f t="shared" si="23"/>
        <v/>
      </c>
    </row>
    <row r="368">
      <c r="P368" t="str">
        <f t="shared" si="3"/>
        <v/>
      </c>
      <c r="R368" t="str">
        <f t="shared" si="5"/>
        <v/>
      </c>
      <c r="T368" t="str">
        <f t="shared" si="7"/>
        <v/>
      </c>
      <c r="V368" t="str">
        <f t="shared" si="9"/>
        <v/>
      </c>
      <c r="X368" t="str">
        <f t="shared" si="11"/>
        <v/>
      </c>
      <c r="Z368" t="str">
        <f t="shared" si="13"/>
        <v/>
      </c>
      <c r="AB368" t="str">
        <f t="shared" si="15"/>
        <v/>
      </c>
      <c r="AD368" t="str">
        <f t="shared" si="17"/>
        <v/>
      </c>
      <c r="AF368" t="str">
        <f t="shared" si="19"/>
        <v/>
      </c>
      <c r="AH368" t="str">
        <f t="shared" si="21"/>
        <v/>
      </c>
      <c r="AJ368" t="str">
        <f t="shared" si="23"/>
        <v/>
      </c>
    </row>
    <row r="369">
      <c r="P369" t="str">
        <f t="shared" si="3"/>
        <v/>
      </c>
      <c r="R369" t="str">
        <f t="shared" si="5"/>
        <v/>
      </c>
      <c r="T369" t="str">
        <f t="shared" si="7"/>
        <v/>
      </c>
      <c r="V369" t="str">
        <f t="shared" si="9"/>
        <v/>
      </c>
      <c r="X369" t="str">
        <f t="shared" si="11"/>
        <v/>
      </c>
      <c r="Z369" t="str">
        <f t="shared" si="13"/>
        <v/>
      </c>
      <c r="AB369" t="str">
        <f t="shared" si="15"/>
        <v/>
      </c>
      <c r="AD369" t="str">
        <f t="shared" si="17"/>
        <v/>
      </c>
      <c r="AF369" t="str">
        <f t="shared" si="19"/>
        <v/>
      </c>
      <c r="AH369" t="str">
        <f t="shared" si="21"/>
        <v/>
      </c>
      <c r="AJ369" t="str">
        <f t="shared" si="23"/>
        <v/>
      </c>
    </row>
    <row r="370">
      <c r="P370" t="str">
        <f t="shared" si="3"/>
        <v/>
      </c>
      <c r="R370" t="str">
        <f t="shared" si="5"/>
        <v/>
      </c>
      <c r="T370" t="str">
        <f t="shared" si="7"/>
        <v/>
      </c>
      <c r="V370" t="str">
        <f t="shared" si="9"/>
        <v/>
      </c>
      <c r="X370" t="str">
        <f t="shared" si="11"/>
        <v/>
      </c>
      <c r="Z370" t="str">
        <f t="shared" si="13"/>
        <v/>
      </c>
      <c r="AB370" t="str">
        <f t="shared" si="15"/>
        <v/>
      </c>
      <c r="AD370" t="str">
        <f t="shared" si="17"/>
        <v/>
      </c>
      <c r="AF370" t="str">
        <f t="shared" si="19"/>
        <v/>
      </c>
      <c r="AH370" t="str">
        <f t="shared" si="21"/>
        <v/>
      </c>
      <c r="AJ370" t="str">
        <f t="shared" si="23"/>
        <v/>
      </c>
    </row>
    <row r="371">
      <c r="P371" t="str">
        <f t="shared" si="3"/>
        <v/>
      </c>
      <c r="R371" t="str">
        <f t="shared" si="5"/>
        <v/>
      </c>
      <c r="T371" t="str">
        <f t="shared" si="7"/>
        <v/>
      </c>
      <c r="V371" t="str">
        <f t="shared" si="9"/>
        <v/>
      </c>
      <c r="X371" t="str">
        <f t="shared" si="11"/>
        <v/>
      </c>
      <c r="Z371" t="str">
        <f t="shared" si="13"/>
        <v/>
      </c>
      <c r="AB371" t="str">
        <f t="shared" si="15"/>
        <v/>
      </c>
      <c r="AD371" t="str">
        <f t="shared" si="17"/>
        <v/>
      </c>
      <c r="AF371" t="str">
        <f t="shared" si="19"/>
        <v/>
      </c>
      <c r="AH371" t="str">
        <f t="shared" si="21"/>
        <v/>
      </c>
      <c r="AJ371" t="str">
        <f t="shared" si="23"/>
        <v/>
      </c>
    </row>
    <row r="372">
      <c r="P372" t="str">
        <f t="shared" si="3"/>
        <v/>
      </c>
      <c r="R372" t="str">
        <f t="shared" si="5"/>
        <v/>
      </c>
      <c r="T372" t="str">
        <f t="shared" si="7"/>
        <v/>
      </c>
      <c r="V372" t="str">
        <f t="shared" si="9"/>
        <v/>
      </c>
      <c r="X372" t="str">
        <f t="shared" si="11"/>
        <v/>
      </c>
      <c r="Z372" t="str">
        <f t="shared" si="13"/>
        <v/>
      </c>
      <c r="AB372" t="str">
        <f t="shared" si="15"/>
        <v/>
      </c>
      <c r="AD372" t="str">
        <f t="shared" si="17"/>
        <v/>
      </c>
      <c r="AF372" t="str">
        <f t="shared" si="19"/>
        <v/>
      </c>
      <c r="AH372" t="str">
        <f t="shared" si="21"/>
        <v/>
      </c>
      <c r="AJ372" t="str">
        <f t="shared" si="23"/>
        <v/>
      </c>
    </row>
    <row r="373">
      <c r="P373" t="str">
        <f t="shared" si="3"/>
        <v/>
      </c>
      <c r="R373" t="str">
        <f t="shared" si="5"/>
        <v/>
      </c>
      <c r="T373" t="str">
        <f t="shared" si="7"/>
        <v/>
      </c>
      <c r="V373" t="str">
        <f t="shared" si="9"/>
        <v/>
      </c>
      <c r="X373" t="str">
        <f t="shared" si="11"/>
        <v/>
      </c>
      <c r="Z373" t="str">
        <f t="shared" si="13"/>
        <v/>
      </c>
      <c r="AB373" t="str">
        <f t="shared" si="15"/>
        <v/>
      </c>
      <c r="AD373" t="str">
        <f t="shared" si="17"/>
        <v/>
      </c>
      <c r="AF373" t="str">
        <f t="shared" si="19"/>
        <v/>
      </c>
      <c r="AH373" t="str">
        <f t="shared" si="21"/>
        <v/>
      </c>
      <c r="AJ373" t="str">
        <f t="shared" si="23"/>
        <v/>
      </c>
    </row>
    <row r="374">
      <c r="P374" t="str">
        <f t="shared" si="3"/>
        <v/>
      </c>
      <c r="R374" t="str">
        <f t="shared" si="5"/>
        <v/>
      </c>
      <c r="T374" t="str">
        <f t="shared" si="7"/>
        <v/>
      </c>
      <c r="V374" t="str">
        <f t="shared" si="9"/>
        <v/>
      </c>
      <c r="X374" t="str">
        <f t="shared" si="11"/>
        <v/>
      </c>
      <c r="Z374" t="str">
        <f t="shared" si="13"/>
        <v/>
      </c>
      <c r="AB374" t="str">
        <f t="shared" si="15"/>
        <v/>
      </c>
      <c r="AD374" t="str">
        <f t="shared" si="17"/>
        <v/>
      </c>
      <c r="AF374" t="str">
        <f t="shared" si="19"/>
        <v/>
      </c>
      <c r="AH374" t="str">
        <f t="shared" si="21"/>
        <v/>
      </c>
      <c r="AJ374" t="str">
        <f t="shared" si="23"/>
        <v/>
      </c>
    </row>
    <row r="375">
      <c r="P375" t="str">
        <f t="shared" si="3"/>
        <v/>
      </c>
      <c r="R375" t="str">
        <f t="shared" si="5"/>
        <v/>
      </c>
      <c r="T375" t="str">
        <f t="shared" si="7"/>
        <v/>
      </c>
      <c r="V375" t="str">
        <f t="shared" si="9"/>
        <v/>
      </c>
      <c r="X375" t="str">
        <f t="shared" si="11"/>
        <v/>
      </c>
      <c r="Z375" t="str">
        <f t="shared" si="13"/>
        <v/>
      </c>
      <c r="AB375" t="str">
        <f t="shared" si="15"/>
        <v/>
      </c>
      <c r="AD375" t="str">
        <f t="shared" si="17"/>
        <v/>
      </c>
      <c r="AF375" t="str">
        <f t="shared" si="19"/>
        <v/>
      </c>
      <c r="AH375" t="str">
        <f t="shared" si="21"/>
        <v/>
      </c>
      <c r="AJ375" t="str">
        <f t="shared" si="23"/>
        <v/>
      </c>
    </row>
    <row r="376">
      <c r="P376" t="str">
        <f t="shared" si="3"/>
        <v/>
      </c>
      <c r="R376" t="str">
        <f t="shared" si="5"/>
        <v/>
      </c>
      <c r="T376" t="str">
        <f t="shared" si="7"/>
        <v/>
      </c>
      <c r="V376" t="str">
        <f t="shared" si="9"/>
        <v/>
      </c>
      <c r="X376" t="str">
        <f t="shared" si="11"/>
        <v/>
      </c>
      <c r="Z376" t="str">
        <f t="shared" si="13"/>
        <v/>
      </c>
      <c r="AB376" t="str">
        <f t="shared" si="15"/>
        <v/>
      </c>
      <c r="AD376" t="str">
        <f t="shared" si="17"/>
        <v/>
      </c>
      <c r="AF376" t="str">
        <f t="shared" si="19"/>
        <v/>
      </c>
      <c r="AH376" t="str">
        <f t="shared" si="21"/>
        <v/>
      </c>
      <c r="AJ376" t="str">
        <f t="shared" si="23"/>
        <v/>
      </c>
    </row>
    <row r="377">
      <c r="P377" t="str">
        <f t="shared" si="3"/>
        <v/>
      </c>
      <c r="R377" t="str">
        <f t="shared" si="5"/>
        <v/>
      </c>
      <c r="T377" t="str">
        <f t="shared" si="7"/>
        <v/>
      </c>
      <c r="V377" t="str">
        <f t="shared" si="9"/>
        <v/>
      </c>
      <c r="X377" t="str">
        <f t="shared" si="11"/>
        <v/>
      </c>
      <c r="Z377" t="str">
        <f t="shared" si="13"/>
        <v/>
      </c>
      <c r="AB377" t="str">
        <f t="shared" si="15"/>
        <v/>
      </c>
      <c r="AD377" t="str">
        <f t="shared" si="17"/>
        <v/>
      </c>
      <c r="AF377" t="str">
        <f t="shared" si="19"/>
        <v/>
      </c>
      <c r="AH377" t="str">
        <f t="shared" si="21"/>
        <v/>
      </c>
      <c r="AJ377" t="str">
        <f t="shared" si="23"/>
        <v/>
      </c>
    </row>
    <row r="378">
      <c r="P378" t="str">
        <f t="shared" si="3"/>
        <v/>
      </c>
      <c r="R378" t="str">
        <f t="shared" si="5"/>
        <v/>
      </c>
      <c r="T378" t="str">
        <f t="shared" si="7"/>
        <v/>
      </c>
      <c r="V378" t="str">
        <f t="shared" si="9"/>
        <v/>
      </c>
      <c r="X378" t="str">
        <f t="shared" si="11"/>
        <v/>
      </c>
      <c r="Z378" t="str">
        <f t="shared" si="13"/>
        <v/>
      </c>
      <c r="AB378" t="str">
        <f t="shared" si="15"/>
        <v/>
      </c>
      <c r="AD378" t="str">
        <f t="shared" si="17"/>
        <v/>
      </c>
      <c r="AF378" t="str">
        <f t="shared" si="19"/>
        <v/>
      </c>
      <c r="AH378" t="str">
        <f t="shared" si="21"/>
        <v/>
      </c>
      <c r="AJ378" t="str">
        <f t="shared" si="23"/>
        <v/>
      </c>
    </row>
    <row r="379">
      <c r="P379" t="str">
        <f t="shared" si="3"/>
        <v/>
      </c>
      <c r="R379" t="str">
        <f t="shared" si="5"/>
        <v/>
      </c>
      <c r="T379" t="str">
        <f t="shared" si="7"/>
        <v/>
      </c>
      <c r="V379" t="str">
        <f t="shared" si="9"/>
        <v/>
      </c>
      <c r="X379" t="str">
        <f t="shared" si="11"/>
        <v/>
      </c>
      <c r="Z379" t="str">
        <f t="shared" si="13"/>
        <v/>
      </c>
      <c r="AB379" t="str">
        <f t="shared" si="15"/>
        <v/>
      </c>
      <c r="AD379" t="str">
        <f t="shared" si="17"/>
        <v/>
      </c>
      <c r="AF379" t="str">
        <f t="shared" si="19"/>
        <v/>
      </c>
      <c r="AH379" t="str">
        <f t="shared" si="21"/>
        <v/>
      </c>
      <c r="AJ379" t="str">
        <f t="shared" si="23"/>
        <v/>
      </c>
    </row>
    <row r="380">
      <c r="P380" t="str">
        <f t="shared" si="3"/>
        <v/>
      </c>
      <c r="R380" t="str">
        <f t="shared" si="5"/>
        <v/>
      </c>
      <c r="T380" t="str">
        <f t="shared" si="7"/>
        <v/>
      </c>
      <c r="V380" t="str">
        <f t="shared" si="9"/>
        <v/>
      </c>
      <c r="X380" t="str">
        <f t="shared" si="11"/>
        <v/>
      </c>
      <c r="Z380" t="str">
        <f t="shared" si="13"/>
        <v/>
      </c>
      <c r="AB380" t="str">
        <f t="shared" si="15"/>
        <v/>
      </c>
      <c r="AD380" t="str">
        <f t="shared" si="17"/>
        <v/>
      </c>
      <c r="AF380" t="str">
        <f t="shared" si="19"/>
        <v/>
      </c>
      <c r="AH380" t="str">
        <f t="shared" si="21"/>
        <v/>
      </c>
      <c r="AJ380" t="str">
        <f t="shared" si="23"/>
        <v/>
      </c>
    </row>
    <row r="381">
      <c r="P381" t="str">
        <f t="shared" si="3"/>
        <v/>
      </c>
      <c r="R381" t="str">
        <f t="shared" si="5"/>
        <v/>
      </c>
      <c r="T381" t="str">
        <f t="shared" si="7"/>
        <v/>
      </c>
      <c r="V381" t="str">
        <f t="shared" si="9"/>
        <v/>
      </c>
      <c r="X381" t="str">
        <f t="shared" si="11"/>
        <v/>
      </c>
      <c r="Z381" t="str">
        <f t="shared" si="13"/>
        <v/>
      </c>
      <c r="AB381" t="str">
        <f t="shared" si="15"/>
        <v/>
      </c>
      <c r="AD381" t="str">
        <f t="shared" si="17"/>
        <v/>
      </c>
      <c r="AF381" t="str">
        <f t="shared" si="19"/>
        <v/>
      </c>
      <c r="AH381" t="str">
        <f t="shared" si="21"/>
        <v/>
      </c>
      <c r="AJ381" t="str">
        <f t="shared" si="23"/>
        <v/>
      </c>
    </row>
    <row r="382">
      <c r="P382" t="str">
        <f t="shared" si="3"/>
        <v/>
      </c>
      <c r="R382" t="str">
        <f t="shared" si="5"/>
        <v/>
      </c>
      <c r="T382" t="str">
        <f t="shared" si="7"/>
        <v/>
      </c>
      <c r="V382" t="str">
        <f t="shared" si="9"/>
        <v/>
      </c>
      <c r="X382" t="str">
        <f t="shared" si="11"/>
        <v/>
      </c>
      <c r="Z382" t="str">
        <f t="shared" si="13"/>
        <v/>
      </c>
      <c r="AB382" t="str">
        <f t="shared" si="15"/>
        <v/>
      </c>
      <c r="AD382" t="str">
        <f t="shared" si="17"/>
        <v/>
      </c>
      <c r="AF382" t="str">
        <f t="shared" si="19"/>
        <v/>
      </c>
      <c r="AH382" t="str">
        <f t="shared" si="21"/>
        <v/>
      </c>
      <c r="AJ382" t="str">
        <f t="shared" si="23"/>
        <v/>
      </c>
    </row>
    <row r="383">
      <c r="P383" t="str">
        <f t="shared" si="3"/>
        <v/>
      </c>
      <c r="R383" t="str">
        <f t="shared" si="5"/>
        <v/>
      </c>
      <c r="T383" t="str">
        <f t="shared" si="7"/>
        <v/>
      </c>
      <c r="V383" t="str">
        <f t="shared" si="9"/>
        <v/>
      </c>
      <c r="X383" t="str">
        <f t="shared" si="11"/>
        <v/>
      </c>
      <c r="Z383" t="str">
        <f t="shared" si="13"/>
        <v/>
      </c>
      <c r="AB383" t="str">
        <f t="shared" si="15"/>
        <v/>
      </c>
      <c r="AD383" t="str">
        <f t="shared" si="17"/>
        <v/>
      </c>
      <c r="AF383" t="str">
        <f t="shared" si="19"/>
        <v/>
      </c>
      <c r="AH383" t="str">
        <f t="shared" si="21"/>
        <v/>
      </c>
      <c r="AJ383" t="str">
        <f t="shared" si="23"/>
        <v/>
      </c>
    </row>
    <row r="384">
      <c r="P384" t="str">
        <f t="shared" si="3"/>
        <v/>
      </c>
      <c r="R384" t="str">
        <f t="shared" si="5"/>
        <v/>
      </c>
      <c r="T384" t="str">
        <f t="shared" si="7"/>
        <v/>
      </c>
      <c r="V384" t="str">
        <f t="shared" si="9"/>
        <v/>
      </c>
      <c r="X384" t="str">
        <f t="shared" si="11"/>
        <v/>
      </c>
      <c r="Z384" t="str">
        <f t="shared" si="13"/>
        <v/>
      </c>
      <c r="AB384" t="str">
        <f t="shared" si="15"/>
        <v/>
      </c>
      <c r="AD384" t="str">
        <f t="shared" si="17"/>
        <v/>
      </c>
      <c r="AF384" t="str">
        <f t="shared" si="19"/>
        <v/>
      </c>
      <c r="AH384" t="str">
        <f t="shared" si="21"/>
        <v/>
      </c>
      <c r="AJ384" t="str">
        <f t="shared" si="23"/>
        <v/>
      </c>
    </row>
    <row r="385">
      <c r="P385" t="str">
        <f t="shared" si="3"/>
        <v/>
      </c>
      <c r="R385" t="str">
        <f t="shared" si="5"/>
        <v/>
      </c>
      <c r="T385" t="str">
        <f t="shared" si="7"/>
        <v/>
      </c>
      <c r="V385" t="str">
        <f t="shared" si="9"/>
        <v/>
      </c>
      <c r="X385" t="str">
        <f t="shared" si="11"/>
        <v/>
      </c>
      <c r="Z385" t="str">
        <f t="shared" si="13"/>
        <v/>
      </c>
      <c r="AB385" t="str">
        <f t="shared" si="15"/>
        <v/>
      </c>
      <c r="AD385" t="str">
        <f t="shared" si="17"/>
        <v/>
      </c>
      <c r="AF385" t="str">
        <f t="shared" si="19"/>
        <v/>
      </c>
      <c r="AH385" t="str">
        <f t="shared" si="21"/>
        <v/>
      </c>
      <c r="AJ385" t="str">
        <f t="shared" si="23"/>
        <v/>
      </c>
    </row>
    <row r="386">
      <c r="P386" t="str">
        <f t="shared" si="3"/>
        <v/>
      </c>
      <c r="R386" t="str">
        <f t="shared" si="5"/>
        <v/>
      </c>
      <c r="T386" t="str">
        <f t="shared" si="7"/>
        <v/>
      </c>
      <c r="V386" t="str">
        <f t="shared" si="9"/>
        <v/>
      </c>
      <c r="X386" t="str">
        <f t="shared" si="11"/>
        <v/>
      </c>
      <c r="Z386" t="str">
        <f t="shared" si="13"/>
        <v/>
      </c>
      <c r="AB386" t="str">
        <f t="shared" si="15"/>
        <v/>
      </c>
      <c r="AD386" t="str">
        <f t="shared" si="17"/>
        <v/>
      </c>
      <c r="AF386" t="str">
        <f t="shared" si="19"/>
        <v/>
      </c>
      <c r="AH386" t="str">
        <f t="shared" si="21"/>
        <v/>
      </c>
      <c r="AJ386" t="str">
        <f t="shared" si="23"/>
        <v/>
      </c>
    </row>
    <row r="387">
      <c r="P387" t="str">
        <f t="shared" si="3"/>
        <v/>
      </c>
      <c r="R387" t="str">
        <f t="shared" si="5"/>
        <v/>
      </c>
      <c r="T387" t="str">
        <f t="shared" si="7"/>
        <v/>
      </c>
      <c r="V387" t="str">
        <f t="shared" si="9"/>
        <v/>
      </c>
      <c r="X387" t="str">
        <f t="shared" si="11"/>
        <v/>
      </c>
      <c r="Z387" t="str">
        <f t="shared" si="13"/>
        <v/>
      </c>
      <c r="AB387" t="str">
        <f t="shared" si="15"/>
        <v/>
      </c>
      <c r="AD387" t="str">
        <f t="shared" si="17"/>
        <v/>
      </c>
      <c r="AF387" t="str">
        <f t="shared" si="19"/>
        <v/>
      </c>
      <c r="AH387" t="str">
        <f t="shared" si="21"/>
        <v/>
      </c>
      <c r="AJ387" t="str">
        <f t="shared" si="23"/>
        <v/>
      </c>
    </row>
    <row r="388">
      <c r="P388" t="str">
        <f t="shared" si="3"/>
        <v/>
      </c>
      <c r="R388" t="str">
        <f t="shared" si="5"/>
        <v/>
      </c>
      <c r="T388" t="str">
        <f t="shared" si="7"/>
        <v/>
      </c>
      <c r="V388" t="str">
        <f t="shared" si="9"/>
        <v/>
      </c>
      <c r="X388" t="str">
        <f t="shared" si="11"/>
        <v/>
      </c>
      <c r="Z388" t="str">
        <f t="shared" si="13"/>
        <v/>
      </c>
      <c r="AB388" t="str">
        <f t="shared" si="15"/>
        <v/>
      </c>
      <c r="AD388" t="str">
        <f t="shared" si="17"/>
        <v/>
      </c>
      <c r="AF388" t="str">
        <f t="shared" si="19"/>
        <v/>
      </c>
      <c r="AH388" t="str">
        <f t="shared" si="21"/>
        <v/>
      </c>
      <c r="AJ388" t="str">
        <f t="shared" si="23"/>
        <v/>
      </c>
    </row>
    <row r="389">
      <c r="P389" t="str">
        <f t="shared" si="3"/>
        <v/>
      </c>
      <c r="R389" t="str">
        <f t="shared" si="5"/>
        <v/>
      </c>
      <c r="T389" t="str">
        <f t="shared" si="7"/>
        <v/>
      </c>
      <c r="V389" t="str">
        <f t="shared" si="9"/>
        <v/>
      </c>
      <c r="X389" t="str">
        <f t="shared" si="11"/>
        <v/>
      </c>
      <c r="Z389" t="str">
        <f t="shared" si="13"/>
        <v/>
      </c>
      <c r="AB389" t="str">
        <f t="shared" si="15"/>
        <v/>
      </c>
      <c r="AD389" t="str">
        <f t="shared" si="17"/>
        <v/>
      </c>
      <c r="AF389" t="str">
        <f t="shared" si="19"/>
        <v/>
      </c>
      <c r="AH389" t="str">
        <f t="shared" si="21"/>
        <v/>
      </c>
      <c r="AJ389" t="str">
        <f t="shared" si="23"/>
        <v/>
      </c>
    </row>
    <row r="390">
      <c r="P390" t="str">
        <f t="shared" si="3"/>
        <v/>
      </c>
      <c r="R390" t="str">
        <f t="shared" si="5"/>
        <v/>
      </c>
      <c r="T390" t="str">
        <f t="shared" si="7"/>
        <v/>
      </c>
      <c r="V390" t="str">
        <f t="shared" si="9"/>
        <v/>
      </c>
      <c r="X390" t="str">
        <f t="shared" si="11"/>
        <v/>
      </c>
      <c r="Z390" t="str">
        <f t="shared" si="13"/>
        <v/>
      </c>
      <c r="AB390" t="str">
        <f t="shared" si="15"/>
        <v/>
      </c>
      <c r="AD390" t="str">
        <f t="shared" si="17"/>
        <v/>
      </c>
      <c r="AF390" t="str">
        <f t="shared" si="19"/>
        <v/>
      </c>
      <c r="AH390" t="str">
        <f t="shared" si="21"/>
        <v/>
      </c>
      <c r="AJ390" t="str">
        <f t="shared" si="23"/>
        <v/>
      </c>
    </row>
    <row r="391">
      <c r="P391" t="str">
        <f t="shared" si="3"/>
        <v/>
      </c>
      <c r="R391" t="str">
        <f t="shared" si="5"/>
        <v/>
      </c>
      <c r="T391" t="str">
        <f t="shared" si="7"/>
        <v/>
      </c>
      <c r="V391" t="str">
        <f t="shared" si="9"/>
        <v/>
      </c>
      <c r="X391" t="str">
        <f t="shared" si="11"/>
        <v/>
      </c>
      <c r="Z391" t="str">
        <f t="shared" si="13"/>
        <v/>
      </c>
      <c r="AB391" t="str">
        <f t="shared" si="15"/>
        <v/>
      </c>
      <c r="AD391" t="str">
        <f t="shared" si="17"/>
        <v/>
      </c>
      <c r="AF391" t="str">
        <f t="shared" si="19"/>
        <v/>
      </c>
      <c r="AH391" t="str">
        <f t="shared" si="21"/>
        <v/>
      </c>
      <c r="AJ391" t="str">
        <f t="shared" si="23"/>
        <v/>
      </c>
    </row>
    <row r="392">
      <c r="P392" t="str">
        <f t="shared" si="3"/>
        <v/>
      </c>
      <c r="R392" t="str">
        <f t="shared" si="5"/>
        <v/>
      </c>
      <c r="T392" t="str">
        <f t="shared" si="7"/>
        <v/>
      </c>
      <c r="V392" t="str">
        <f t="shared" si="9"/>
        <v/>
      </c>
      <c r="X392" t="str">
        <f t="shared" si="11"/>
        <v/>
      </c>
      <c r="Z392" t="str">
        <f t="shared" si="13"/>
        <v/>
      </c>
      <c r="AB392" t="str">
        <f t="shared" si="15"/>
        <v/>
      </c>
      <c r="AD392" t="str">
        <f t="shared" si="17"/>
        <v/>
      </c>
      <c r="AF392" t="str">
        <f t="shared" si="19"/>
        <v/>
      </c>
      <c r="AH392" t="str">
        <f t="shared" si="21"/>
        <v/>
      </c>
      <c r="AJ392" t="str">
        <f t="shared" si="23"/>
        <v/>
      </c>
    </row>
    <row r="393">
      <c r="P393" t="str">
        <f t="shared" si="3"/>
        <v/>
      </c>
      <c r="R393" t="str">
        <f t="shared" si="5"/>
        <v/>
      </c>
      <c r="T393" t="str">
        <f t="shared" si="7"/>
        <v/>
      </c>
      <c r="V393" t="str">
        <f t="shared" si="9"/>
        <v/>
      </c>
      <c r="X393" t="str">
        <f t="shared" si="11"/>
        <v/>
      </c>
      <c r="Z393" t="str">
        <f t="shared" si="13"/>
        <v/>
      </c>
      <c r="AB393" t="str">
        <f t="shared" si="15"/>
        <v/>
      </c>
      <c r="AD393" t="str">
        <f t="shared" si="17"/>
        <v/>
      </c>
      <c r="AF393" t="str">
        <f t="shared" si="19"/>
        <v/>
      </c>
      <c r="AH393" t="str">
        <f t="shared" si="21"/>
        <v/>
      </c>
      <c r="AJ393" t="str">
        <f t="shared" si="23"/>
        <v/>
      </c>
    </row>
    <row r="394">
      <c r="P394" t="str">
        <f t="shared" si="3"/>
        <v/>
      </c>
      <c r="R394" t="str">
        <f t="shared" si="5"/>
        <v/>
      </c>
      <c r="T394" t="str">
        <f t="shared" si="7"/>
        <v/>
      </c>
      <c r="V394" t="str">
        <f t="shared" si="9"/>
        <v/>
      </c>
      <c r="X394" t="str">
        <f t="shared" si="11"/>
        <v/>
      </c>
      <c r="Z394" t="str">
        <f t="shared" si="13"/>
        <v/>
      </c>
      <c r="AB394" t="str">
        <f t="shared" si="15"/>
        <v/>
      </c>
      <c r="AD394" t="str">
        <f t="shared" si="17"/>
        <v/>
      </c>
      <c r="AF394" t="str">
        <f t="shared" si="19"/>
        <v/>
      </c>
      <c r="AH394" t="str">
        <f t="shared" si="21"/>
        <v/>
      </c>
      <c r="AJ394" t="str">
        <f t="shared" si="23"/>
        <v/>
      </c>
    </row>
    <row r="395">
      <c r="P395" t="str">
        <f t="shared" si="3"/>
        <v/>
      </c>
      <c r="R395" t="str">
        <f t="shared" si="5"/>
        <v/>
      </c>
      <c r="T395" t="str">
        <f t="shared" si="7"/>
        <v/>
      </c>
      <c r="V395" t="str">
        <f t="shared" si="9"/>
        <v/>
      </c>
      <c r="X395" t="str">
        <f t="shared" si="11"/>
        <v/>
      </c>
      <c r="Z395" t="str">
        <f t="shared" si="13"/>
        <v/>
      </c>
      <c r="AB395" t="str">
        <f t="shared" si="15"/>
        <v/>
      </c>
      <c r="AD395" t="str">
        <f t="shared" si="17"/>
        <v/>
      </c>
      <c r="AF395" t="str">
        <f t="shared" si="19"/>
        <v/>
      </c>
      <c r="AH395" t="str">
        <f t="shared" si="21"/>
        <v/>
      </c>
      <c r="AJ395" t="str">
        <f t="shared" si="23"/>
        <v/>
      </c>
    </row>
    <row r="396">
      <c r="P396" t="str">
        <f t="shared" si="3"/>
        <v/>
      </c>
      <c r="R396" t="str">
        <f t="shared" si="5"/>
        <v/>
      </c>
      <c r="T396" t="str">
        <f t="shared" si="7"/>
        <v/>
      </c>
      <c r="V396" t="str">
        <f t="shared" si="9"/>
        <v/>
      </c>
      <c r="X396" t="str">
        <f t="shared" si="11"/>
        <v/>
      </c>
      <c r="Z396" t="str">
        <f t="shared" si="13"/>
        <v/>
      </c>
      <c r="AB396" t="str">
        <f t="shared" si="15"/>
        <v/>
      </c>
      <c r="AD396" t="str">
        <f t="shared" si="17"/>
        <v/>
      </c>
      <c r="AF396" t="str">
        <f t="shared" si="19"/>
        <v/>
      </c>
      <c r="AH396" t="str">
        <f t="shared" si="21"/>
        <v/>
      </c>
      <c r="AJ396" t="str">
        <f t="shared" si="23"/>
        <v/>
      </c>
    </row>
    <row r="397">
      <c r="P397" t="str">
        <f t="shared" si="3"/>
        <v/>
      </c>
      <c r="R397" t="str">
        <f t="shared" si="5"/>
        <v/>
      </c>
      <c r="T397" t="str">
        <f t="shared" si="7"/>
        <v/>
      </c>
      <c r="V397" t="str">
        <f t="shared" si="9"/>
        <v/>
      </c>
      <c r="X397" t="str">
        <f t="shared" si="11"/>
        <v/>
      </c>
      <c r="Z397" t="str">
        <f t="shared" si="13"/>
        <v/>
      </c>
      <c r="AB397" t="str">
        <f t="shared" si="15"/>
        <v/>
      </c>
      <c r="AD397" t="str">
        <f t="shared" si="17"/>
        <v/>
      </c>
      <c r="AF397" t="str">
        <f t="shared" si="19"/>
        <v/>
      </c>
      <c r="AH397" t="str">
        <f t="shared" si="21"/>
        <v/>
      </c>
      <c r="AJ397" t="str">
        <f t="shared" si="23"/>
        <v/>
      </c>
    </row>
    <row r="398">
      <c r="P398" t="str">
        <f t="shared" si="3"/>
        <v/>
      </c>
      <c r="R398" t="str">
        <f t="shared" si="5"/>
        <v/>
      </c>
      <c r="T398" t="str">
        <f t="shared" si="7"/>
        <v/>
      </c>
      <c r="V398" t="str">
        <f t="shared" si="9"/>
        <v/>
      </c>
      <c r="X398" t="str">
        <f t="shared" si="11"/>
        <v/>
      </c>
      <c r="Z398" t="str">
        <f t="shared" si="13"/>
        <v/>
      </c>
      <c r="AB398" t="str">
        <f t="shared" si="15"/>
        <v/>
      </c>
      <c r="AD398" t="str">
        <f t="shared" si="17"/>
        <v/>
      </c>
      <c r="AF398" t="str">
        <f t="shared" si="19"/>
        <v/>
      </c>
      <c r="AH398" t="str">
        <f t="shared" si="21"/>
        <v/>
      </c>
      <c r="AJ398" t="str">
        <f t="shared" si="23"/>
        <v/>
      </c>
    </row>
    <row r="399">
      <c r="P399" t="str">
        <f t="shared" si="3"/>
        <v/>
      </c>
      <c r="R399" t="str">
        <f t="shared" si="5"/>
        <v/>
      </c>
      <c r="T399" t="str">
        <f t="shared" si="7"/>
        <v/>
      </c>
      <c r="V399" t="str">
        <f t="shared" si="9"/>
        <v/>
      </c>
      <c r="X399" t="str">
        <f t="shared" si="11"/>
        <v/>
      </c>
      <c r="Z399" t="str">
        <f t="shared" si="13"/>
        <v/>
      </c>
      <c r="AB399" t="str">
        <f t="shared" si="15"/>
        <v/>
      </c>
      <c r="AD399" t="str">
        <f t="shared" si="17"/>
        <v/>
      </c>
      <c r="AF399" t="str">
        <f t="shared" si="19"/>
        <v/>
      </c>
      <c r="AH399" t="str">
        <f t="shared" si="21"/>
        <v/>
      </c>
      <c r="AJ399" t="str">
        <f t="shared" si="23"/>
        <v/>
      </c>
    </row>
    <row r="400">
      <c r="P400" t="str">
        <f t="shared" si="3"/>
        <v/>
      </c>
      <c r="R400" t="str">
        <f t="shared" si="5"/>
        <v/>
      </c>
      <c r="T400" t="str">
        <f t="shared" si="7"/>
        <v/>
      </c>
      <c r="V400" t="str">
        <f t="shared" si="9"/>
        <v/>
      </c>
      <c r="X400" t="str">
        <f t="shared" si="11"/>
        <v/>
      </c>
      <c r="Z400" t="str">
        <f t="shared" si="13"/>
        <v/>
      </c>
      <c r="AB400" t="str">
        <f t="shared" si="15"/>
        <v/>
      </c>
      <c r="AD400" t="str">
        <f t="shared" si="17"/>
        <v/>
      </c>
      <c r="AF400" t="str">
        <f t="shared" si="19"/>
        <v/>
      </c>
      <c r="AH400" t="str">
        <f t="shared" si="21"/>
        <v/>
      </c>
      <c r="AJ400" t="str">
        <f t="shared" si="23"/>
        <v/>
      </c>
    </row>
    <row r="401">
      <c r="P401" t="str">
        <f t="shared" si="3"/>
        <v/>
      </c>
      <c r="R401" t="str">
        <f t="shared" si="5"/>
        <v/>
      </c>
      <c r="T401" t="str">
        <f t="shared" si="7"/>
        <v/>
      </c>
      <c r="V401" t="str">
        <f t="shared" si="9"/>
        <v/>
      </c>
      <c r="X401" t="str">
        <f t="shared" si="11"/>
        <v/>
      </c>
      <c r="Z401" t="str">
        <f t="shared" si="13"/>
        <v/>
      </c>
      <c r="AB401" t="str">
        <f t="shared" si="15"/>
        <v/>
      </c>
      <c r="AD401" t="str">
        <f t="shared" si="17"/>
        <v/>
      </c>
      <c r="AF401" t="str">
        <f t="shared" si="19"/>
        <v/>
      </c>
      <c r="AH401" t="str">
        <f t="shared" si="21"/>
        <v/>
      </c>
      <c r="AJ401" t="str">
        <f t="shared" si="23"/>
        <v/>
      </c>
    </row>
    <row r="402">
      <c r="P402" t="str">
        <f t="shared" si="3"/>
        <v/>
      </c>
      <c r="R402" t="str">
        <f t="shared" si="5"/>
        <v/>
      </c>
      <c r="T402" t="str">
        <f t="shared" si="7"/>
        <v/>
      </c>
      <c r="V402" t="str">
        <f t="shared" si="9"/>
        <v/>
      </c>
      <c r="X402" t="str">
        <f t="shared" si="11"/>
        <v/>
      </c>
      <c r="Z402" t="str">
        <f t="shared" si="13"/>
        <v/>
      </c>
      <c r="AB402" t="str">
        <f t="shared" si="15"/>
        <v/>
      </c>
      <c r="AD402" t="str">
        <f t="shared" si="17"/>
        <v/>
      </c>
      <c r="AF402" t="str">
        <f t="shared" si="19"/>
        <v/>
      </c>
      <c r="AH402" t="str">
        <f t="shared" si="21"/>
        <v/>
      </c>
      <c r="AJ402" t="str">
        <f t="shared" si="23"/>
        <v/>
      </c>
    </row>
    <row r="403">
      <c r="P403" t="str">
        <f t="shared" si="3"/>
        <v/>
      </c>
      <c r="R403" t="str">
        <f t="shared" si="5"/>
        <v/>
      </c>
      <c r="T403" t="str">
        <f t="shared" si="7"/>
        <v/>
      </c>
      <c r="V403" t="str">
        <f t="shared" si="9"/>
        <v/>
      </c>
      <c r="X403" t="str">
        <f t="shared" si="11"/>
        <v/>
      </c>
      <c r="Z403" t="str">
        <f t="shared" si="13"/>
        <v/>
      </c>
      <c r="AB403" t="str">
        <f t="shared" si="15"/>
        <v/>
      </c>
      <c r="AD403" t="str">
        <f t="shared" si="17"/>
        <v/>
      </c>
      <c r="AF403" t="str">
        <f t="shared" si="19"/>
        <v/>
      </c>
      <c r="AH403" t="str">
        <f t="shared" si="21"/>
        <v/>
      </c>
      <c r="AJ403" t="str">
        <f t="shared" si="23"/>
        <v/>
      </c>
    </row>
    <row r="404">
      <c r="P404" t="str">
        <f t="shared" si="3"/>
        <v/>
      </c>
      <c r="R404" t="str">
        <f t="shared" si="5"/>
        <v/>
      </c>
      <c r="T404" t="str">
        <f t="shared" si="7"/>
        <v/>
      </c>
      <c r="V404" t="str">
        <f t="shared" si="9"/>
        <v/>
      </c>
      <c r="X404" t="str">
        <f t="shared" si="11"/>
        <v/>
      </c>
      <c r="Z404" t="str">
        <f t="shared" si="13"/>
        <v/>
      </c>
      <c r="AB404" t="str">
        <f t="shared" si="15"/>
        <v/>
      </c>
      <c r="AD404" t="str">
        <f t="shared" si="17"/>
        <v/>
      </c>
      <c r="AF404" t="str">
        <f t="shared" si="19"/>
        <v/>
      </c>
      <c r="AH404" t="str">
        <f t="shared" si="21"/>
        <v/>
      </c>
      <c r="AJ404" t="str">
        <f t="shared" si="23"/>
        <v/>
      </c>
    </row>
    <row r="405">
      <c r="P405" t="str">
        <f t="shared" si="3"/>
        <v/>
      </c>
      <c r="R405" t="str">
        <f t="shared" si="5"/>
        <v/>
      </c>
      <c r="T405" t="str">
        <f t="shared" si="7"/>
        <v/>
      </c>
      <c r="V405" t="str">
        <f t="shared" si="9"/>
        <v/>
      </c>
      <c r="X405" t="str">
        <f t="shared" si="11"/>
        <v/>
      </c>
      <c r="Z405" t="str">
        <f t="shared" si="13"/>
        <v/>
      </c>
      <c r="AB405" t="str">
        <f t="shared" si="15"/>
        <v/>
      </c>
      <c r="AD405" t="str">
        <f t="shared" si="17"/>
        <v/>
      </c>
      <c r="AF405" t="str">
        <f t="shared" si="19"/>
        <v/>
      </c>
      <c r="AH405" t="str">
        <f t="shared" si="21"/>
        <v/>
      </c>
      <c r="AJ405" t="str">
        <f t="shared" si="23"/>
        <v/>
      </c>
    </row>
    <row r="406">
      <c r="P406" t="str">
        <f t="shared" si="3"/>
        <v/>
      </c>
      <c r="R406" t="str">
        <f t="shared" si="5"/>
        <v/>
      </c>
      <c r="T406" t="str">
        <f t="shared" si="7"/>
        <v/>
      </c>
      <c r="V406" t="str">
        <f t="shared" si="9"/>
        <v/>
      </c>
      <c r="X406" t="str">
        <f t="shared" si="11"/>
        <v/>
      </c>
      <c r="Z406" t="str">
        <f t="shared" si="13"/>
        <v/>
      </c>
      <c r="AB406" t="str">
        <f t="shared" si="15"/>
        <v/>
      </c>
      <c r="AD406" t="str">
        <f t="shared" si="17"/>
        <v/>
      </c>
      <c r="AF406" t="str">
        <f t="shared" si="19"/>
        <v/>
      </c>
      <c r="AH406" t="str">
        <f t="shared" si="21"/>
        <v/>
      </c>
      <c r="AJ406" t="str">
        <f t="shared" si="23"/>
        <v/>
      </c>
    </row>
    <row r="407">
      <c r="P407" t="str">
        <f t="shared" si="3"/>
        <v/>
      </c>
      <c r="R407" t="str">
        <f t="shared" si="5"/>
        <v/>
      </c>
      <c r="T407" t="str">
        <f t="shared" si="7"/>
        <v/>
      </c>
      <c r="V407" t="str">
        <f t="shared" si="9"/>
        <v/>
      </c>
      <c r="X407" t="str">
        <f t="shared" si="11"/>
        <v/>
      </c>
      <c r="Z407" t="str">
        <f t="shared" si="13"/>
        <v/>
      </c>
      <c r="AB407" t="str">
        <f t="shared" si="15"/>
        <v/>
      </c>
      <c r="AD407" t="str">
        <f t="shared" si="17"/>
        <v/>
      </c>
      <c r="AF407" t="str">
        <f t="shared" si="19"/>
        <v/>
      </c>
      <c r="AH407" t="str">
        <f t="shared" si="21"/>
        <v/>
      </c>
      <c r="AJ407" t="str">
        <f t="shared" si="23"/>
        <v/>
      </c>
    </row>
    <row r="408">
      <c r="P408" t="str">
        <f t="shared" si="3"/>
        <v/>
      </c>
      <c r="R408" t="str">
        <f t="shared" si="5"/>
        <v/>
      </c>
      <c r="T408" t="str">
        <f t="shared" si="7"/>
        <v/>
      </c>
      <c r="V408" t="str">
        <f t="shared" si="9"/>
        <v/>
      </c>
      <c r="X408" t="str">
        <f t="shared" si="11"/>
        <v/>
      </c>
      <c r="Z408" t="str">
        <f t="shared" si="13"/>
        <v/>
      </c>
      <c r="AB408" t="str">
        <f t="shared" si="15"/>
        <v/>
      </c>
      <c r="AD408" t="str">
        <f t="shared" si="17"/>
        <v/>
      </c>
      <c r="AF408" t="str">
        <f t="shared" si="19"/>
        <v/>
      </c>
      <c r="AH408" t="str">
        <f t="shared" si="21"/>
        <v/>
      </c>
      <c r="AJ408" t="str">
        <f t="shared" si="23"/>
        <v/>
      </c>
    </row>
    <row r="409">
      <c r="P409" t="str">
        <f t="shared" si="3"/>
        <v/>
      </c>
      <c r="R409" t="str">
        <f t="shared" si="5"/>
        <v/>
      </c>
      <c r="T409" t="str">
        <f t="shared" si="7"/>
        <v/>
      </c>
      <c r="V409" t="str">
        <f t="shared" si="9"/>
        <v/>
      </c>
      <c r="X409" t="str">
        <f t="shared" si="11"/>
        <v/>
      </c>
      <c r="Z409" t="str">
        <f t="shared" si="13"/>
        <v/>
      </c>
      <c r="AB409" t="str">
        <f t="shared" si="15"/>
        <v/>
      </c>
      <c r="AD409" t="str">
        <f t="shared" si="17"/>
        <v/>
      </c>
      <c r="AF409" t="str">
        <f t="shared" si="19"/>
        <v/>
      </c>
      <c r="AH409" t="str">
        <f t="shared" si="21"/>
        <v/>
      </c>
      <c r="AJ409" t="str">
        <f t="shared" si="23"/>
        <v/>
      </c>
    </row>
    <row r="410">
      <c r="P410" t="str">
        <f t="shared" si="3"/>
        <v/>
      </c>
      <c r="R410" t="str">
        <f t="shared" si="5"/>
        <v/>
      </c>
      <c r="T410" t="str">
        <f t="shared" si="7"/>
        <v/>
      </c>
      <c r="V410" t="str">
        <f t="shared" si="9"/>
        <v/>
      </c>
      <c r="X410" t="str">
        <f t="shared" si="11"/>
        <v/>
      </c>
      <c r="Z410" t="str">
        <f t="shared" si="13"/>
        <v/>
      </c>
      <c r="AB410" t="str">
        <f t="shared" si="15"/>
        <v/>
      </c>
      <c r="AD410" t="str">
        <f t="shared" si="17"/>
        <v/>
      </c>
      <c r="AF410" t="str">
        <f t="shared" si="19"/>
        <v/>
      </c>
      <c r="AH410" t="str">
        <f t="shared" si="21"/>
        <v/>
      </c>
      <c r="AJ410" t="str">
        <f t="shared" si="23"/>
        <v/>
      </c>
    </row>
    <row r="411">
      <c r="P411" t="str">
        <f t="shared" si="3"/>
        <v/>
      </c>
      <c r="R411" t="str">
        <f t="shared" si="5"/>
        <v/>
      </c>
      <c r="T411" t="str">
        <f t="shared" si="7"/>
        <v/>
      </c>
      <c r="V411" t="str">
        <f t="shared" si="9"/>
        <v/>
      </c>
      <c r="X411" t="str">
        <f t="shared" si="11"/>
        <v/>
      </c>
      <c r="Z411" t="str">
        <f t="shared" si="13"/>
        <v/>
      </c>
      <c r="AB411" t="str">
        <f t="shared" si="15"/>
        <v/>
      </c>
      <c r="AD411" t="str">
        <f t="shared" si="17"/>
        <v/>
      </c>
      <c r="AF411" t="str">
        <f t="shared" si="19"/>
        <v/>
      </c>
      <c r="AH411" t="str">
        <f t="shared" si="21"/>
        <v/>
      </c>
      <c r="AJ411" t="str">
        <f t="shared" si="23"/>
        <v/>
      </c>
    </row>
    <row r="412">
      <c r="P412" t="str">
        <f t="shared" si="3"/>
        <v/>
      </c>
      <c r="R412" t="str">
        <f t="shared" si="5"/>
        <v/>
      </c>
      <c r="T412" t="str">
        <f t="shared" si="7"/>
        <v/>
      </c>
      <c r="V412" t="str">
        <f t="shared" si="9"/>
        <v/>
      </c>
      <c r="X412" t="str">
        <f t="shared" si="11"/>
        <v/>
      </c>
      <c r="Z412" t="str">
        <f t="shared" si="13"/>
        <v/>
      </c>
      <c r="AB412" t="str">
        <f t="shared" si="15"/>
        <v/>
      </c>
      <c r="AD412" t="str">
        <f t="shared" si="17"/>
        <v/>
      </c>
      <c r="AF412" t="str">
        <f t="shared" si="19"/>
        <v/>
      </c>
      <c r="AH412" t="str">
        <f t="shared" si="21"/>
        <v/>
      </c>
      <c r="AJ412" t="str">
        <f t="shared" si="23"/>
        <v/>
      </c>
    </row>
    <row r="413">
      <c r="P413" t="str">
        <f t="shared" si="3"/>
        <v/>
      </c>
      <c r="R413" t="str">
        <f t="shared" si="5"/>
        <v/>
      </c>
      <c r="T413" t="str">
        <f t="shared" si="7"/>
        <v/>
      </c>
      <c r="V413" t="str">
        <f t="shared" si="9"/>
        <v/>
      </c>
      <c r="X413" t="str">
        <f t="shared" si="11"/>
        <v/>
      </c>
      <c r="Z413" t="str">
        <f t="shared" si="13"/>
        <v/>
      </c>
      <c r="AB413" t="str">
        <f t="shared" si="15"/>
        <v/>
      </c>
      <c r="AD413" t="str">
        <f t="shared" si="17"/>
        <v/>
      </c>
      <c r="AF413" t="str">
        <f t="shared" si="19"/>
        <v/>
      </c>
      <c r="AH413" t="str">
        <f t="shared" si="21"/>
        <v/>
      </c>
      <c r="AJ413" t="str">
        <f t="shared" si="23"/>
        <v/>
      </c>
    </row>
    <row r="414">
      <c r="P414" t="str">
        <f t="shared" si="3"/>
        <v/>
      </c>
      <c r="R414" t="str">
        <f t="shared" si="5"/>
        <v/>
      </c>
      <c r="T414" t="str">
        <f t="shared" si="7"/>
        <v/>
      </c>
      <c r="V414" t="str">
        <f t="shared" si="9"/>
        <v/>
      </c>
      <c r="X414" t="str">
        <f t="shared" si="11"/>
        <v/>
      </c>
      <c r="Z414" t="str">
        <f t="shared" si="13"/>
        <v/>
      </c>
      <c r="AB414" t="str">
        <f t="shared" si="15"/>
        <v/>
      </c>
      <c r="AD414" t="str">
        <f t="shared" si="17"/>
        <v/>
      </c>
      <c r="AF414" t="str">
        <f t="shared" si="19"/>
        <v/>
      </c>
      <c r="AH414" t="str">
        <f t="shared" si="21"/>
        <v/>
      </c>
      <c r="AJ414" t="str">
        <f t="shared" si="23"/>
        <v/>
      </c>
    </row>
    <row r="415">
      <c r="P415" t="str">
        <f t="shared" si="3"/>
        <v/>
      </c>
      <c r="R415" t="str">
        <f t="shared" si="5"/>
        <v/>
      </c>
      <c r="T415" t="str">
        <f t="shared" si="7"/>
        <v/>
      </c>
      <c r="V415" t="str">
        <f t="shared" si="9"/>
        <v/>
      </c>
      <c r="X415" t="str">
        <f t="shared" si="11"/>
        <v/>
      </c>
      <c r="Z415" t="str">
        <f t="shared" si="13"/>
        <v/>
      </c>
      <c r="AB415" t="str">
        <f t="shared" si="15"/>
        <v/>
      </c>
      <c r="AD415" t="str">
        <f t="shared" si="17"/>
        <v/>
      </c>
      <c r="AF415" t="str">
        <f t="shared" si="19"/>
        <v/>
      </c>
      <c r="AH415" t="str">
        <f t="shared" si="21"/>
        <v/>
      </c>
      <c r="AJ415" t="str">
        <f t="shared" si="23"/>
        <v/>
      </c>
    </row>
    <row r="416">
      <c r="P416" t="str">
        <f t="shared" si="3"/>
        <v/>
      </c>
      <c r="R416" t="str">
        <f t="shared" si="5"/>
        <v/>
      </c>
      <c r="T416" t="str">
        <f t="shared" si="7"/>
        <v/>
      </c>
      <c r="V416" t="str">
        <f t="shared" si="9"/>
        <v/>
      </c>
      <c r="X416" t="str">
        <f t="shared" si="11"/>
        <v/>
      </c>
      <c r="Z416" t="str">
        <f t="shared" si="13"/>
        <v/>
      </c>
      <c r="AB416" t="str">
        <f t="shared" si="15"/>
        <v/>
      </c>
      <c r="AD416" t="str">
        <f t="shared" si="17"/>
        <v/>
      </c>
      <c r="AF416" t="str">
        <f t="shared" si="19"/>
        <v/>
      </c>
      <c r="AH416" t="str">
        <f t="shared" si="21"/>
        <v/>
      </c>
      <c r="AJ416" t="str">
        <f t="shared" si="23"/>
        <v/>
      </c>
    </row>
    <row r="417">
      <c r="P417" t="str">
        <f t="shared" si="3"/>
        <v/>
      </c>
      <c r="R417" t="str">
        <f t="shared" si="5"/>
        <v/>
      </c>
      <c r="T417" t="str">
        <f t="shared" si="7"/>
        <v/>
      </c>
      <c r="V417" t="str">
        <f t="shared" si="9"/>
        <v/>
      </c>
      <c r="X417" t="str">
        <f t="shared" si="11"/>
        <v/>
      </c>
      <c r="Z417" t="str">
        <f t="shared" si="13"/>
        <v/>
      </c>
      <c r="AB417" t="str">
        <f t="shared" si="15"/>
        <v/>
      </c>
      <c r="AD417" t="str">
        <f t="shared" si="17"/>
        <v/>
      </c>
      <c r="AF417" t="str">
        <f t="shared" si="19"/>
        <v/>
      </c>
      <c r="AH417" t="str">
        <f t="shared" si="21"/>
        <v/>
      </c>
      <c r="AJ417" t="str">
        <f t="shared" si="23"/>
        <v/>
      </c>
    </row>
    <row r="418">
      <c r="P418" t="str">
        <f t="shared" si="3"/>
        <v/>
      </c>
      <c r="R418" t="str">
        <f t="shared" si="5"/>
        <v/>
      </c>
      <c r="T418" t="str">
        <f t="shared" si="7"/>
        <v/>
      </c>
      <c r="V418" t="str">
        <f t="shared" si="9"/>
        <v/>
      </c>
      <c r="X418" t="str">
        <f t="shared" si="11"/>
        <v/>
      </c>
      <c r="Z418" t="str">
        <f t="shared" si="13"/>
        <v/>
      </c>
      <c r="AB418" t="str">
        <f t="shared" si="15"/>
        <v/>
      </c>
      <c r="AD418" t="str">
        <f t="shared" si="17"/>
        <v/>
      </c>
      <c r="AF418" t="str">
        <f t="shared" si="19"/>
        <v/>
      </c>
      <c r="AH418" t="str">
        <f t="shared" si="21"/>
        <v/>
      </c>
      <c r="AJ418" t="str">
        <f t="shared" si="23"/>
        <v/>
      </c>
    </row>
    <row r="419">
      <c r="P419" t="str">
        <f t="shared" si="3"/>
        <v/>
      </c>
      <c r="R419" t="str">
        <f t="shared" si="5"/>
        <v/>
      </c>
      <c r="T419" t="str">
        <f t="shared" si="7"/>
        <v/>
      </c>
      <c r="V419" t="str">
        <f t="shared" si="9"/>
        <v/>
      </c>
      <c r="X419" t="str">
        <f t="shared" si="11"/>
        <v/>
      </c>
      <c r="Z419" t="str">
        <f t="shared" si="13"/>
        <v/>
      </c>
      <c r="AB419" t="str">
        <f t="shared" si="15"/>
        <v/>
      </c>
      <c r="AD419" t="str">
        <f t="shared" si="17"/>
        <v/>
      </c>
      <c r="AF419" t="str">
        <f t="shared" si="19"/>
        <v/>
      </c>
      <c r="AH419" t="str">
        <f t="shared" si="21"/>
        <v/>
      </c>
      <c r="AJ419" t="str">
        <f t="shared" si="23"/>
        <v/>
      </c>
    </row>
    <row r="420">
      <c r="P420" t="str">
        <f t="shared" si="3"/>
        <v/>
      </c>
      <c r="R420" t="str">
        <f t="shared" si="5"/>
        <v/>
      </c>
      <c r="T420" t="str">
        <f t="shared" si="7"/>
        <v/>
      </c>
      <c r="V420" t="str">
        <f t="shared" si="9"/>
        <v/>
      </c>
      <c r="X420" t="str">
        <f t="shared" si="11"/>
        <v/>
      </c>
      <c r="Z420" t="str">
        <f t="shared" si="13"/>
        <v/>
      </c>
      <c r="AB420" t="str">
        <f t="shared" si="15"/>
        <v/>
      </c>
      <c r="AD420" t="str">
        <f t="shared" si="17"/>
        <v/>
      </c>
      <c r="AF420" t="str">
        <f t="shared" si="19"/>
        <v/>
      </c>
      <c r="AH420" t="str">
        <f t="shared" si="21"/>
        <v/>
      </c>
      <c r="AJ420" t="str">
        <f t="shared" si="23"/>
        <v/>
      </c>
    </row>
    <row r="421">
      <c r="P421" t="str">
        <f t="shared" si="3"/>
        <v/>
      </c>
      <c r="R421" t="str">
        <f t="shared" si="5"/>
        <v/>
      </c>
      <c r="T421" t="str">
        <f t="shared" si="7"/>
        <v/>
      </c>
      <c r="V421" t="str">
        <f t="shared" si="9"/>
        <v/>
      </c>
      <c r="X421" t="str">
        <f t="shared" si="11"/>
        <v/>
      </c>
      <c r="Z421" t="str">
        <f t="shared" si="13"/>
        <v/>
      </c>
      <c r="AB421" t="str">
        <f t="shared" si="15"/>
        <v/>
      </c>
      <c r="AD421" t="str">
        <f t="shared" si="17"/>
        <v/>
      </c>
      <c r="AF421" t="str">
        <f t="shared" si="19"/>
        <v/>
      </c>
      <c r="AH421" t="str">
        <f t="shared" si="21"/>
        <v/>
      </c>
      <c r="AJ421" t="str">
        <f t="shared" si="23"/>
        <v/>
      </c>
    </row>
    <row r="422">
      <c r="P422" t="str">
        <f t="shared" si="3"/>
        <v/>
      </c>
      <c r="R422" t="str">
        <f t="shared" si="5"/>
        <v/>
      </c>
      <c r="T422" t="str">
        <f t="shared" si="7"/>
        <v/>
      </c>
      <c r="V422" t="str">
        <f t="shared" si="9"/>
        <v/>
      </c>
      <c r="X422" t="str">
        <f t="shared" si="11"/>
        <v/>
      </c>
      <c r="Z422" t="str">
        <f t="shared" si="13"/>
        <v/>
      </c>
      <c r="AB422" t="str">
        <f t="shared" si="15"/>
        <v/>
      </c>
      <c r="AD422" t="str">
        <f t="shared" si="17"/>
        <v/>
      </c>
      <c r="AF422" t="str">
        <f t="shared" si="19"/>
        <v/>
      </c>
      <c r="AH422" t="str">
        <f t="shared" si="21"/>
        <v/>
      </c>
      <c r="AJ422" t="str">
        <f t="shared" si="23"/>
        <v/>
      </c>
    </row>
    <row r="423">
      <c r="P423" t="str">
        <f t="shared" si="3"/>
        <v/>
      </c>
      <c r="R423" t="str">
        <f t="shared" si="5"/>
        <v/>
      </c>
      <c r="T423" t="str">
        <f t="shared" si="7"/>
        <v/>
      </c>
      <c r="V423" t="str">
        <f t="shared" si="9"/>
        <v/>
      </c>
      <c r="X423" t="str">
        <f t="shared" si="11"/>
        <v/>
      </c>
      <c r="Z423" t="str">
        <f t="shared" si="13"/>
        <v/>
      </c>
      <c r="AB423" t="str">
        <f t="shared" si="15"/>
        <v/>
      </c>
      <c r="AD423" t="str">
        <f t="shared" si="17"/>
        <v/>
      </c>
      <c r="AF423" t="str">
        <f t="shared" si="19"/>
        <v/>
      </c>
      <c r="AH423" t="str">
        <f t="shared" si="21"/>
        <v/>
      </c>
      <c r="AJ423" t="str">
        <f t="shared" si="23"/>
        <v/>
      </c>
    </row>
    <row r="424">
      <c r="P424" t="str">
        <f t="shared" si="3"/>
        <v/>
      </c>
      <c r="R424" t="str">
        <f t="shared" si="5"/>
        <v/>
      </c>
      <c r="T424" t="str">
        <f t="shared" si="7"/>
        <v/>
      </c>
      <c r="V424" t="str">
        <f t="shared" si="9"/>
        <v/>
      </c>
      <c r="X424" t="str">
        <f t="shared" si="11"/>
        <v/>
      </c>
      <c r="Z424" t="str">
        <f t="shared" si="13"/>
        <v/>
      </c>
      <c r="AB424" t="str">
        <f t="shared" si="15"/>
        <v/>
      </c>
      <c r="AD424" t="str">
        <f t="shared" si="17"/>
        <v/>
      </c>
      <c r="AF424" t="str">
        <f t="shared" si="19"/>
        <v/>
      </c>
      <c r="AH424" t="str">
        <f t="shared" si="21"/>
        <v/>
      </c>
      <c r="AJ424" t="str">
        <f t="shared" si="23"/>
        <v/>
      </c>
    </row>
    <row r="425">
      <c r="P425" t="str">
        <f t="shared" si="3"/>
        <v/>
      </c>
      <c r="R425" t="str">
        <f t="shared" si="5"/>
        <v/>
      </c>
      <c r="T425" t="str">
        <f t="shared" si="7"/>
        <v/>
      </c>
      <c r="V425" t="str">
        <f t="shared" si="9"/>
        <v/>
      </c>
      <c r="X425" t="str">
        <f t="shared" si="11"/>
        <v/>
      </c>
      <c r="Z425" t="str">
        <f t="shared" si="13"/>
        <v/>
      </c>
      <c r="AB425" t="str">
        <f t="shared" si="15"/>
        <v/>
      </c>
      <c r="AD425" t="str">
        <f t="shared" si="17"/>
        <v/>
      </c>
      <c r="AF425" t="str">
        <f t="shared" si="19"/>
        <v/>
      </c>
      <c r="AH425" t="str">
        <f t="shared" si="21"/>
        <v/>
      </c>
      <c r="AJ425" t="str">
        <f t="shared" si="23"/>
        <v/>
      </c>
    </row>
    <row r="426">
      <c r="P426" t="str">
        <f t="shared" si="3"/>
        <v/>
      </c>
      <c r="R426" t="str">
        <f t="shared" si="5"/>
        <v/>
      </c>
      <c r="T426" t="str">
        <f t="shared" si="7"/>
        <v/>
      </c>
      <c r="V426" t="str">
        <f t="shared" si="9"/>
        <v/>
      </c>
      <c r="X426" t="str">
        <f t="shared" si="11"/>
        <v/>
      </c>
      <c r="Z426" t="str">
        <f t="shared" si="13"/>
        <v/>
      </c>
      <c r="AB426" t="str">
        <f t="shared" si="15"/>
        <v/>
      </c>
      <c r="AD426" t="str">
        <f t="shared" si="17"/>
        <v/>
      </c>
      <c r="AF426" t="str">
        <f t="shared" si="19"/>
        <v/>
      </c>
      <c r="AH426" t="str">
        <f t="shared" si="21"/>
        <v/>
      </c>
      <c r="AJ426" t="str">
        <f t="shared" si="23"/>
        <v/>
      </c>
    </row>
    <row r="427">
      <c r="P427" t="str">
        <f t="shared" si="3"/>
        <v/>
      </c>
      <c r="R427" t="str">
        <f t="shared" si="5"/>
        <v/>
      </c>
      <c r="T427" t="str">
        <f t="shared" si="7"/>
        <v/>
      </c>
      <c r="V427" t="str">
        <f t="shared" si="9"/>
        <v/>
      </c>
      <c r="X427" t="str">
        <f t="shared" si="11"/>
        <v/>
      </c>
      <c r="Z427" t="str">
        <f t="shared" si="13"/>
        <v/>
      </c>
      <c r="AB427" t="str">
        <f t="shared" si="15"/>
        <v/>
      </c>
      <c r="AD427" t="str">
        <f t="shared" si="17"/>
        <v/>
      </c>
      <c r="AF427" t="str">
        <f t="shared" si="19"/>
        <v/>
      </c>
      <c r="AH427" t="str">
        <f t="shared" si="21"/>
        <v/>
      </c>
      <c r="AJ427" t="str">
        <f t="shared" si="23"/>
        <v/>
      </c>
    </row>
    <row r="428">
      <c r="P428" t="str">
        <f t="shared" si="3"/>
        <v/>
      </c>
      <c r="R428" t="str">
        <f t="shared" si="5"/>
        <v/>
      </c>
      <c r="T428" t="str">
        <f t="shared" si="7"/>
        <v/>
      </c>
      <c r="V428" t="str">
        <f t="shared" si="9"/>
        <v/>
      </c>
      <c r="X428" t="str">
        <f t="shared" si="11"/>
        <v/>
      </c>
      <c r="Z428" t="str">
        <f t="shared" si="13"/>
        <v/>
      </c>
      <c r="AB428" t="str">
        <f t="shared" si="15"/>
        <v/>
      </c>
      <c r="AD428" t="str">
        <f t="shared" si="17"/>
        <v/>
      </c>
      <c r="AF428" t="str">
        <f t="shared" si="19"/>
        <v/>
      </c>
      <c r="AH428" t="str">
        <f t="shared" si="21"/>
        <v/>
      </c>
      <c r="AJ428" t="str">
        <f t="shared" si="23"/>
        <v/>
      </c>
    </row>
    <row r="429">
      <c r="P429" t="str">
        <f t="shared" si="3"/>
        <v/>
      </c>
      <c r="R429" t="str">
        <f t="shared" si="5"/>
        <v/>
      </c>
      <c r="T429" t="str">
        <f t="shared" si="7"/>
        <v/>
      </c>
      <c r="V429" t="str">
        <f t="shared" si="9"/>
        <v/>
      </c>
      <c r="X429" t="str">
        <f t="shared" si="11"/>
        <v/>
      </c>
      <c r="Z429" t="str">
        <f t="shared" si="13"/>
        <v/>
      </c>
      <c r="AB429" t="str">
        <f t="shared" si="15"/>
        <v/>
      </c>
      <c r="AD429" t="str">
        <f t="shared" si="17"/>
        <v/>
      </c>
      <c r="AF429" t="str">
        <f t="shared" si="19"/>
        <v/>
      </c>
      <c r="AH429" t="str">
        <f t="shared" si="21"/>
        <v/>
      </c>
      <c r="AJ429" t="str">
        <f t="shared" si="23"/>
        <v/>
      </c>
    </row>
    <row r="430">
      <c r="P430" t="str">
        <f t="shared" si="3"/>
        <v/>
      </c>
      <c r="R430" t="str">
        <f t="shared" si="5"/>
        <v/>
      </c>
      <c r="T430" t="str">
        <f t="shared" si="7"/>
        <v/>
      </c>
      <c r="V430" t="str">
        <f t="shared" si="9"/>
        <v/>
      </c>
      <c r="X430" t="str">
        <f t="shared" si="11"/>
        <v/>
      </c>
      <c r="Z430" t="str">
        <f t="shared" si="13"/>
        <v/>
      </c>
      <c r="AB430" t="str">
        <f t="shared" si="15"/>
        <v/>
      </c>
      <c r="AD430" t="str">
        <f t="shared" si="17"/>
        <v/>
      </c>
      <c r="AF430" t="str">
        <f t="shared" si="19"/>
        <v/>
      </c>
      <c r="AH430" t="str">
        <f t="shared" si="21"/>
        <v/>
      </c>
      <c r="AJ430" t="str">
        <f t="shared" si="23"/>
        <v/>
      </c>
    </row>
    <row r="431">
      <c r="P431" t="str">
        <f t="shared" si="3"/>
        <v/>
      </c>
      <c r="R431" t="str">
        <f t="shared" si="5"/>
        <v/>
      </c>
      <c r="T431" t="str">
        <f t="shared" si="7"/>
        <v/>
      </c>
      <c r="V431" t="str">
        <f t="shared" si="9"/>
        <v/>
      </c>
      <c r="X431" t="str">
        <f t="shared" si="11"/>
        <v/>
      </c>
      <c r="Z431" t="str">
        <f t="shared" si="13"/>
        <v/>
      </c>
      <c r="AB431" t="str">
        <f t="shared" si="15"/>
        <v/>
      </c>
      <c r="AD431" t="str">
        <f t="shared" si="17"/>
        <v/>
      </c>
      <c r="AF431" t="str">
        <f t="shared" si="19"/>
        <v/>
      </c>
      <c r="AH431" t="str">
        <f t="shared" si="21"/>
        <v/>
      </c>
      <c r="AJ431" t="str">
        <f t="shared" si="23"/>
        <v/>
      </c>
    </row>
    <row r="432">
      <c r="P432" t="str">
        <f t="shared" si="3"/>
        <v/>
      </c>
      <c r="R432" t="str">
        <f t="shared" si="5"/>
        <v/>
      </c>
      <c r="T432" t="str">
        <f t="shared" si="7"/>
        <v/>
      </c>
      <c r="V432" t="str">
        <f t="shared" si="9"/>
        <v/>
      </c>
      <c r="X432" t="str">
        <f t="shared" si="11"/>
        <v/>
      </c>
      <c r="Z432" t="str">
        <f t="shared" si="13"/>
        <v/>
      </c>
      <c r="AB432" t="str">
        <f t="shared" si="15"/>
        <v/>
      </c>
      <c r="AD432" t="str">
        <f t="shared" si="17"/>
        <v/>
      </c>
      <c r="AF432" t="str">
        <f t="shared" si="19"/>
        <v/>
      </c>
      <c r="AH432" t="str">
        <f t="shared" si="21"/>
        <v/>
      </c>
      <c r="AJ432" t="str">
        <f t="shared" si="23"/>
        <v/>
      </c>
    </row>
    <row r="433">
      <c r="P433" t="str">
        <f t="shared" si="3"/>
        <v/>
      </c>
      <c r="R433" t="str">
        <f t="shared" si="5"/>
        <v/>
      </c>
      <c r="T433" t="str">
        <f t="shared" si="7"/>
        <v/>
      </c>
      <c r="V433" t="str">
        <f t="shared" si="9"/>
        <v/>
      </c>
      <c r="X433" t="str">
        <f t="shared" si="11"/>
        <v/>
      </c>
      <c r="Z433" t="str">
        <f t="shared" si="13"/>
        <v/>
      </c>
      <c r="AB433" t="str">
        <f t="shared" si="15"/>
        <v/>
      </c>
      <c r="AD433" t="str">
        <f t="shared" si="17"/>
        <v/>
      </c>
      <c r="AF433" t="str">
        <f t="shared" si="19"/>
        <v/>
      </c>
      <c r="AH433" t="str">
        <f t="shared" si="21"/>
        <v/>
      </c>
      <c r="AJ433" t="str">
        <f t="shared" si="23"/>
        <v/>
      </c>
    </row>
    <row r="434">
      <c r="P434" t="str">
        <f t="shared" si="3"/>
        <v/>
      </c>
      <c r="R434" t="str">
        <f t="shared" si="5"/>
        <v/>
      </c>
      <c r="T434" t="str">
        <f t="shared" si="7"/>
        <v/>
      </c>
      <c r="V434" t="str">
        <f t="shared" si="9"/>
        <v/>
      </c>
      <c r="X434" t="str">
        <f t="shared" si="11"/>
        <v/>
      </c>
      <c r="Z434" t="str">
        <f t="shared" si="13"/>
        <v/>
      </c>
      <c r="AB434" t="str">
        <f t="shared" si="15"/>
        <v/>
      </c>
      <c r="AD434" t="str">
        <f t="shared" si="17"/>
        <v/>
      </c>
      <c r="AF434" t="str">
        <f t="shared" si="19"/>
        <v/>
      </c>
      <c r="AH434" t="str">
        <f t="shared" si="21"/>
        <v/>
      </c>
      <c r="AJ434" t="str">
        <f t="shared" si="23"/>
        <v/>
      </c>
    </row>
    <row r="435">
      <c r="P435" t="str">
        <f t="shared" si="3"/>
        <v/>
      </c>
      <c r="R435" t="str">
        <f t="shared" si="5"/>
        <v/>
      </c>
      <c r="T435" t="str">
        <f t="shared" si="7"/>
        <v/>
      </c>
      <c r="V435" t="str">
        <f t="shared" si="9"/>
        <v/>
      </c>
      <c r="X435" t="str">
        <f t="shared" si="11"/>
        <v/>
      </c>
      <c r="Z435" t="str">
        <f t="shared" si="13"/>
        <v/>
      </c>
      <c r="AB435" t="str">
        <f t="shared" si="15"/>
        <v/>
      </c>
      <c r="AD435" t="str">
        <f t="shared" si="17"/>
        <v/>
      </c>
      <c r="AF435" t="str">
        <f t="shared" si="19"/>
        <v/>
      </c>
      <c r="AH435" t="str">
        <f t="shared" si="21"/>
        <v/>
      </c>
      <c r="AJ435" t="str">
        <f t="shared" si="23"/>
        <v/>
      </c>
    </row>
    <row r="436">
      <c r="P436" t="str">
        <f t="shared" si="3"/>
        <v/>
      </c>
      <c r="R436" t="str">
        <f t="shared" si="5"/>
        <v/>
      </c>
      <c r="T436" t="str">
        <f t="shared" si="7"/>
        <v/>
      </c>
      <c r="V436" t="str">
        <f t="shared" si="9"/>
        <v/>
      </c>
      <c r="X436" t="str">
        <f t="shared" si="11"/>
        <v/>
      </c>
      <c r="Z436" t="str">
        <f t="shared" si="13"/>
        <v/>
      </c>
      <c r="AB436" t="str">
        <f t="shared" si="15"/>
        <v/>
      </c>
      <c r="AD436" t="str">
        <f t="shared" si="17"/>
        <v/>
      </c>
      <c r="AF436" t="str">
        <f t="shared" si="19"/>
        <v/>
      </c>
      <c r="AH436" t="str">
        <f t="shared" si="21"/>
        <v/>
      </c>
      <c r="AJ436" t="str">
        <f t="shared" si="23"/>
        <v/>
      </c>
    </row>
    <row r="437">
      <c r="P437" t="str">
        <f t="shared" si="3"/>
        <v/>
      </c>
      <c r="R437" t="str">
        <f t="shared" si="5"/>
        <v/>
      </c>
      <c r="T437" t="str">
        <f t="shared" si="7"/>
        <v/>
      </c>
      <c r="V437" t="str">
        <f t="shared" si="9"/>
        <v/>
      </c>
      <c r="X437" t="str">
        <f t="shared" si="11"/>
        <v/>
      </c>
      <c r="Z437" t="str">
        <f t="shared" si="13"/>
        <v/>
      </c>
      <c r="AB437" t="str">
        <f t="shared" si="15"/>
        <v/>
      </c>
      <c r="AD437" t="str">
        <f t="shared" si="17"/>
        <v/>
      </c>
      <c r="AF437" t="str">
        <f t="shared" si="19"/>
        <v/>
      </c>
      <c r="AH437" t="str">
        <f t="shared" si="21"/>
        <v/>
      </c>
      <c r="AJ437" t="str">
        <f t="shared" si="23"/>
        <v/>
      </c>
    </row>
    <row r="438">
      <c r="P438" t="str">
        <f t="shared" si="3"/>
        <v/>
      </c>
      <c r="R438" t="str">
        <f t="shared" si="5"/>
        <v/>
      </c>
      <c r="T438" t="str">
        <f t="shared" si="7"/>
        <v/>
      </c>
      <c r="V438" t="str">
        <f t="shared" si="9"/>
        <v/>
      </c>
      <c r="X438" t="str">
        <f t="shared" si="11"/>
        <v/>
      </c>
      <c r="Z438" t="str">
        <f t="shared" si="13"/>
        <v/>
      </c>
      <c r="AB438" t="str">
        <f t="shared" si="15"/>
        <v/>
      </c>
      <c r="AD438" t="str">
        <f t="shared" si="17"/>
        <v/>
      </c>
      <c r="AF438" t="str">
        <f t="shared" si="19"/>
        <v/>
      </c>
      <c r="AH438" t="str">
        <f t="shared" si="21"/>
        <v/>
      </c>
      <c r="AJ438" t="str">
        <f t="shared" si="23"/>
        <v/>
      </c>
    </row>
    <row r="439">
      <c r="P439" t="str">
        <f t="shared" si="3"/>
        <v/>
      </c>
      <c r="R439" t="str">
        <f t="shared" si="5"/>
        <v/>
      </c>
      <c r="T439" t="str">
        <f t="shared" si="7"/>
        <v/>
      </c>
      <c r="V439" t="str">
        <f t="shared" si="9"/>
        <v/>
      </c>
      <c r="X439" t="str">
        <f t="shared" si="11"/>
        <v/>
      </c>
      <c r="Z439" t="str">
        <f t="shared" si="13"/>
        <v/>
      </c>
      <c r="AB439" t="str">
        <f t="shared" si="15"/>
        <v/>
      </c>
      <c r="AD439" t="str">
        <f t="shared" si="17"/>
        <v/>
      </c>
      <c r="AF439" t="str">
        <f t="shared" si="19"/>
        <v/>
      </c>
      <c r="AH439" t="str">
        <f t="shared" si="21"/>
        <v/>
      </c>
      <c r="AJ439" t="str">
        <f t="shared" si="23"/>
        <v/>
      </c>
    </row>
    <row r="440">
      <c r="P440" t="str">
        <f t="shared" si="3"/>
        <v/>
      </c>
      <c r="R440" t="str">
        <f t="shared" si="5"/>
        <v/>
      </c>
      <c r="T440" t="str">
        <f t="shared" si="7"/>
        <v/>
      </c>
      <c r="V440" t="str">
        <f t="shared" si="9"/>
        <v/>
      </c>
      <c r="X440" t="str">
        <f t="shared" si="11"/>
        <v/>
      </c>
      <c r="Z440" t="str">
        <f t="shared" si="13"/>
        <v/>
      </c>
      <c r="AB440" t="str">
        <f t="shared" si="15"/>
        <v/>
      </c>
      <c r="AD440" t="str">
        <f t="shared" si="17"/>
        <v/>
      </c>
      <c r="AF440" t="str">
        <f t="shared" si="19"/>
        <v/>
      </c>
      <c r="AH440" t="str">
        <f t="shared" si="21"/>
        <v/>
      </c>
      <c r="AJ440" t="str">
        <f t="shared" si="23"/>
        <v/>
      </c>
    </row>
    <row r="441">
      <c r="P441" t="str">
        <f t="shared" si="3"/>
        <v/>
      </c>
      <c r="R441" t="str">
        <f t="shared" si="5"/>
        <v/>
      </c>
      <c r="T441" t="str">
        <f t="shared" si="7"/>
        <v/>
      </c>
      <c r="V441" t="str">
        <f t="shared" si="9"/>
        <v/>
      </c>
      <c r="X441" t="str">
        <f t="shared" si="11"/>
        <v/>
      </c>
      <c r="Z441" t="str">
        <f t="shared" si="13"/>
        <v/>
      </c>
      <c r="AB441" t="str">
        <f t="shared" si="15"/>
        <v/>
      </c>
      <c r="AD441" t="str">
        <f t="shared" si="17"/>
        <v/>
      </c>
      <c r="AF441" t="str">
        <f t="shared" si="19"/>
        <v/>
      </c>
      <c r="AH441" t="str">
        <f t="shared" si="21"/>
        <v/>
      </c>
      <c r="AJ441" t="str">
        <f t="shared" si="23"/>
        <v/>
      </c>
    </row>
    <row r="442">
      <c r="P442" t="str">
        <f t="shared" si="3"/>
        <v/>
      </c>
      <c r="R442" t="str">
        <f t="shared" si="5"/>
        <v/>
      </c>
      <c r="T442" t="str">
        <f t="shared" si="7"/>
        <v/>
      </c>
      <c r="V442" t="str">
        <f t="shared" si="9"/>
        <v/>
      </c>
      <c r="X442" t="str">
        <f t="shared" si="11"/>
        <v/>
      </c>
      <c r="Z442" t="str">
        <f t="shared" si="13"/>
        <v/>
      </c>
      <c r="AB442" t="str">
        <f t="shared" si="15"/>
        <v/>
      </c>
      <c r="AD442" t="str">
        <f t="shared" si="17"/>
        <v/>
      </c>
      <c r="AF442" t="str">
        <f t="shared" si="19"/>
        <v/>
      </c>
      <c r="AH442" t="str">
        <f t="shared" si="21"/>
        <v/>
      </c>
      <c r="AJ442" t="str">
        <f t="shared" si="23"/>
        <v/>
      </c>
    </row>
    <row r="443">
      <c r="P443" t="str">
        <f t="shared" si="3"/>
        <v/>
      </c>
      <c r="R443" t="str">
        <f t="shared" si="5"/>
        <v/>
      </c>
      <c r="T443" t="str">
        <f t="shared" si="7"/>
        <v/>
      </c>
      <c r="V443" t="str">
        <f t="shared" si="9"/>
        <v/>
      </c>
      <c r="X443" t="str">
        <f t="shared" si="11"/>
        <v/>
      </c>
      <c r="Z443" t="str">
        <f t="shared" si="13"/>
        <v/>
      </c>
      <c r="AB443" t="str">
        <f t="shared" si="15"/>
        <v/>
      </c>
      <c r="AD443" t="str">
        <f t="shared" si="17"/>
        <v/>
      </c>
      <c r="AF443" t="str">
        <f t="shared" si="19"/>
        <v/>
      </c>
      <c r="AH443" t="str">
        <f t="shared" si="21"/>
        <v/>
      </c>
      <c r="AJ443" t="str">
        <f t="shared" si="23"/>
        <v/>
      </c>
    </row>
    <row r="444">
      <c r="P444" t="str">
        <f t="shared" si="3"/>
        <v/>
      </c>
      <c r="R444" t="str">
        <f t="shared" si="5"/>
        <v/>
      </c>
      <c r="T444" t="str">
        <f t="shared" si="7"/>
        <v/>
      </c>
      <c r="V444" t="str">
        <f t="shared" si="9"/>
        <v/>
      </c>
      <c r="X444" t="str">
        <f t="shared" si="11"/>
        <v/>
      </c>
      <c r="Z444" t="str">
        <f t="shared" si="13"/>
        <v/>
      </c>
      <c r="AB444" t="str">
        <f t="shared" si="15"/>
        <v/>
      </c>
      <c r="AD444" t="str">
        <f t="shared" si="17"/>
        <v/>
      </c>
      <c r="AF444" t="str">
        <f t="shared" si="19"/>
        <v/>
      </c>
      <c r="AH444" t="str">
        <f t="shared" si="21"/>
        <v/>
      </c>
      <c r="AJ444" t="str">
        <f t="shared" si="23"/>
        <v/>
      </c>
    </row>
    <row r="445">
      <c r="P445" t="str">
        <f t="shared" si="3"/>
        <v/>
      </c>
      <c r="R445" t="str">
        <f t="shared" si="5"/>
        <v/>
      </c>
      <c r="T445" t="str">
        <f t="shared" si="7"/>
        <v/>
      </c>
      <c r="V445" t="str">
        <f t="shared" si="9"/>
        <v/>
      </c>
      <c r="X445" t="str">
        <f t="shared" si="11"/>
        <v/>
      </c>
      <c r="Z445" t="str">
        <f t="shared" si="13"/>
        <v/>
      </c>
      <c r="AB445" t="str">
        <f t="shared" si="15"/>
        <v/>
      </c>
      <c r="AD445" t="str">
        <f t="shared" si="17"/>
        <v/>
      </c>
      <c r="AF445" t="str">
        <f t="shared" si="19"/>
        <v/>
      </c>
      <c r="AH445" t="str">
        <f t="shared" si="21"/>
        <v/>
      </c>
      <c r="AJ445" t="str">
        <f t="shared" si="23"/>
        <v/>
      </c>
    </row>
    <row r="446">
      <c r="P446" t="str">
        <f t="shared" si="3"/>
        <v/>
      </c>
      <c r="R446" t="str">
        <f t="shared" si="5"/>
        <v/>
      </c>
      <c r="T446" t="str">
        <f t="shared" si="7"/>
        <v/>
      </c>
      <c r="V446" t="str">
        <f t="shared" si="9"/>
        <v/>
      </c>
      <c r="X446" t="str">
        <f t="shared" si="11"/>
        <v/>
      </c>
      <c r="Z446" t="str">
        <f t="shared" si="13"/>
        <v/>
      </c>
      <c r="AB446" t="str">
        <f t="shared" si="15"/>
        <v/>
      </c>
      <c r="AD446" t="str">
        <f t="shared" si="17"/>
        <v/>
      </c>
      <c r="AF446" t="str">
        <f t="shared" si="19"/>
        <v/>
      </c>
      <c r="AH446" t="str">
        <f t="shared" si="21"/>
        <v/>
      </c>
      <c r="AJ446" t="str">
        <f t="shared" si="23"/>
        <v/>
      </c>
    </row>
    <row r="447">
      <c r="P447" t="str">
        <f t="shared" si="3"/>
        <v/>
      </c>
      <c r="R447" t="str">
        <f t="shared" si="5"/>
        <v/>
      </c>
      <c r="T447" t="str">
        <f t="shared" si="7"/>
        <v/>
      </c>
      <c r="V447" t="str">
        <f t="shared" si="9"/>
        <v/>
      </c>
      <c r="X447" t="str">
        <f t="shared" si="11"/>
        <v/>
      </c>
      <c r="Z447" t="str">
        <f t="shared" si="13"/>
        <v/>
      </c>
      <c r="AB447" t="str">
        <f t="shared" si="15"/>
        <v/>
      </c>
      <c r="AD447" t="str">
        <f t="shared" si="17"/>
        <v/>
      </c>
      <c r="AF447" t="str">
        <f t="shared" si="19"/>
        <v/>
      </c>
      <c r="AH447" t="str">
        <f t="shared" si="21"/>
        <v/>
      </c>
      <c r="AJ447" t="str">
        <f t="shared" si="23"/>
        <v/>
      </c>
    </row>
    <row r="448">
      <c r="P448" t="str">
        <f t="shared" si="3"/>
        <v/>
      </c>
      <c r="R448" t="str">
        <f t="shared" si="5"/>
        <v/>
      </c>
      <c r="T448" t="str">
        <f t="shared" si="7"/>
        <v/>
      </c>
      <c r="V448" t="str">
        <f t="shared" si="9"/>
        <v/>
      </c>
      <c r="X448" t="str">
        <f t="shared" si="11"/>
        <v/>
      </c>
      <c r="Z448" t="str">
        <f t="shared" si="13"/>
        <v/>
      </c>
      <c r="AB448" t="str">
        <f t="shared" si="15"/>
        <v/>
      </c>
      <c r="AD448" t="str">
        <f t="shared" si="17"/>
        <v/>
      </c>
      <c r="AF448" t="str">
        <f t="shared" si="19"/>
        <v/>
      </c>
      <c r="AH448" t="str">
        <f t="shared" si="21"/>
        <v/>
      </c>
      <c r="AJ448" t="str">
        <f t="shared" si="23"/>
        <v/>
      </c>
    </row>
    <row r="449">
      <c r="P449" t="str">
        <f t="shared" si="3"/>
        <v/>
      </c>
      <c r="R449" t="str">
        <f t="shared" si="5"/>
        <v/>
      </c>
      <c r="T449" t="str">
        <f t="shared" si="7"/>
        <v/>
      </c>
      <c r="V449" t="str">
        <f t="shared" si="9"/>
        <v/>
      </c>
      <c r="X449" t="str">
        <f t="shared" si="11"/>
        <v/>
      </c>
      <c r="Z449" t="str">
        <f t="shared" si="13"/>
        <v/>
      </c>
      <c r="AB449" t="str">
        <f t="shared" si="15"/>
        <v/>
      </c>
      <c r="AD449" t="str">
        <f t="shared" si="17"/>
        <v/>
      </c>
      <c r="AF449" t="str">
        <f t="shared" si="19"/>
        <v/>
      </c>
      <c r="AH449" t="str">
        <f t="shared" si="21"/>
        <v/>
      </c>
      <c r="AJ449" t="str">
        <f t="shared" si="23"/>
        <v/>
      </c>
    </row>
    <row r="450">
      <c r="P450" t="str">
        <f t="shared" si="3"/>
        <v/>
      </c>
      <c r="R450" t="str">
        <f t="shared" si="5"/>
        <v/>
      </c>
      <c r="T450" t="str">
        <f t="shared" si="7"/>
        <v/>
      </c>
      <c r="V450" t="str">
        <f t="shared" si="9"/>
        <v/>
      </c>
      <c r="X450" t="str">
        <f t="shared" si="11"/>
        <v/>
      </c>
      <c r="Z450" t="str">
        <f t="shared" si="13"/>
        <v/>
      </c>
      <c r="AB450" t="str">
        <f t="shared" si="15"/>
        <v/>
      </c>
      <c r="AD450" t="str">
        <f t="shared" si="17"/>
        <v/>
      </c>
      <c r="AF450" t="str">
        <f t="shared" si="19"/>
        <v/>
      </c>
      <c r="AH450" t="str">
        <f t="shared" si="21"/>
        <v/>
      </c>
      <c r="AJ450" t="str">
        <f t="shared" si="23"/>
        <v/>
      </c>
    </row>
    <row r="451">
      <c r="P451" t="str">
        <f t="shared" si="3"/>
        <v/>
      </c>
      <c r="R451" t="str">
        <f t="shared" si="5"/>
        <v/>
      </c>
      <c r="T451" t="str">
        <f t="shared" si="7"/>
        <v/>
      </c>
      <c r="V451" t="str">
        <f t="shared" si="9"/>
        <v/>
      </c>
      <c r="X451" t="str">
        <f t="shared" si="11"/>
        <v/>
      </c>
      <c r="Z451" t="str">
        <f t="shared" si="13"/>
        <v/>
      </c>
      <c r="AB451" t="str">
        <f t="shared" si="15"/>
        <v/>
      </c>
      <c r="AD451" t="str">
        <f t="shared" si="17"/>
        <v/>
      </c>
      <c r="AF451" t="str">
        <f t="shared" si="19"/>
        <v/>
      </c>
      <c r="AH451" t="str">
        <f t="shared" si="21"/>
        <v/>
      </c>
      <c r="AJ451" t="str">
        <f t="shared" si="23"/>
        <v/>
      </c>
    </row>
    <row r="452">
      <c r="P452" t="str">
        <f t="shared" si="3"/>
        <v/>
      </c>
      <c r="R452" t="str">
        <f t="shared" si="5"/>
        <v/>
      </c>
      <c r="T452" t="str">
        <f t="shared" si="7"/>
        <v/>
      </c>
      <c r="V452" t="str">
        <f t="shared" si="9"/>
        <v/>
      </c>
      <c r="X452" t="str">
        <f t="shared" si="11"/>
        <v/>
      </c>
      <c r="Z452" t="str">
        <f t="shared" si="13"/>
        <v/>
      </c>
      <c r="AB452" t="str">
        <f t="shared" si="15"/>
        <v/>
      </c>
      <c r="AD452" t="str">
        <f t="shared" si="17"/>
        <v/>
      </c>
      <c r="AF452" t="str">
        <f t="shared" si="19"/>
        <v/>
      </c>
      <c r="AH452" t="str">
        <f t="shared" si="21"/>
        <v/>
      </c>
      <c r="AJ452" t="str">
        <f t="shared" si="23"/>
        <v/>
      </c>
    </row>
    <row r="453">
      <c r="P453" t="str">
        <f t="shared" si="3"/>
        <v/>
      </c>
      <c r="R453" t="str">
        <f t="shared" si="5"/>
        <v/>
      </c>
      <c r="T453" t="str">
        <f t="shared" si="7"/>
        <v/>
      </c>
      <c r="V453" t="str">
        <f t="shared" si="9"/>
        <v/>
      </c>
      <c r="X453" t="str">
        <f t="shared" si="11"/>
        <v/>
      </c>
      <c r="Z453" t="str">
        <f t="shared" si="13"/>
        <v/>
      </c>
      <c r="AB453" t="str">
        <f t="shared" si="15"/>
        <v/>
      </c>
      <c r="AD453" t="str">
        <f t="shared" si="17"/>
        <v/>
      </c>
      <c r="AF453" t="str">
        <f t="shared" si="19"/>
        <v/>
      </c>
      <c r="AH453" t="str">
        <f t="shared" si="21"/>
        <v/>
      </c>
      <c r="AJ453" t="str">
        <f t="shared" si="23"/>
        <v/>
      </c>
    </row>
    <row r="454">
      <c r="P454" t="str">
        <f t="shared" si="3"/>
        <v/>
      </c>
      <c r="R454" t="str">
        <f t="shared" si="5"/>
        <v/>
      </c>
      <c r="T454" t="str">
        <f t="shared" si="7"/>
        <v/>
      </c>
      <c r="V454" t="str">
        <f t="shared" si="9"/>
        <v/>
      </c>
      <c r="X454" t="str">
        <f t="shared" si="11"/>
        <v/>
      </c>
      <c r="Z454" t="str">
        <f t="shared" si="13"/>
        <v/>
      </c>
      <c r="AB454" t="str">
        <f t="shared" si="15"/>
        <v/>
      </c>
      <c r="AD454" t="str">
        <f t="shared" si="17"/>
        <v/>
      </c>
      <c r="AF454" t="str">
        <f t="shared" si="19"/>
        <v/>
      </c>
      <c r="AH454" t="str">
        <f t="shared" si="21"/>
        <v/>
      </c>
      <c r="AJ454" t="str">
        <f t="shared" si="23"/>
        <v/>
      </c>
    </row>
    <row r="455">
      <c r="P455" t="str">
        <f t="shared" si="3"/>
        <v/>
      </c>
      <c r="R455" t="str">
        <f t="shared" si="5"/>
        <v/>
      </c>
      <c r="T455" t="str">
        <f t="shared" si="7"/>
        <v/>
      </c>
      <c r="V455" t="str">
        <f t="shared" si="9"/>
        <v/>
      </c>
      <c r="X455" t="str">
        <f t="shared" si="11"/>
        <v/>
      </c>
      <c r="Z455" t="str">
        <f t="shared" si="13"/>
        <v/>
      </c>
      <c r="AB455" t="str">
        <f t="shared" si="15"/>
        <v/>
      </c>
      <c r="AD455" t="str">
        <f t="shared" si="17"/>
        <v/>
      </c>
      <c r="AF455" t="str">
        <f t="shared" si="19"/>
        <v/>
      </c>
      <c r="AH455" t="str">
        <f t="shared" si="21"/>
        <v/>
      </c>
      <c r="AJ455" t="str">
        <f t="shared" si="23"/>
        <v/>
      </c>
    </row>
    <row r="456">
      <c r="P456" t="str">
        <f t="shared" si="3"/>
        <v/>
      </c>
      <c r="R456" t="str">
        <f t="shared" si="5"/>
        <v/>
      </c>
      <c r="T456" t="str">
        <f t="shared" si="7"/>
        <v/>
      </c>
      <c r="V456" t="str">
        <f t="shared" si="9"/>
        <v/>
      </c>
      <c r="X456" t="str">
        <f t="shared" si="11"/>
        <v/>
      </c>
      <c r="Z456" t="str">
        <f t="shared" si="13"/>
        <v/>
      </c>
      <c r="AB456" t="str">
        <f t="shared" si="15"/>
        <v/>
      </c>
      <c r="AD456" t="str">
        <f t="shared" si="17"/>
        <v/>
      </c>
      <c r="AF456" t="str">
        <f t="shared" si="19"/>
        <v/>
      </c>
      <c r="AH456" t="str">
        <f t="shared" si="21"/>
        <v/>
      </c>
      <c r="AJ456" t="str">
        <f t="shared" si="23"/>
        <v/>
      </c>
    </row>
    <row r="457">
      <c r="P457" t="str">
        <f t="shared" si="3"/>
        <v/>
      </c>
      <c r="R457" t="str">
        <f t="shared" si="5"/>
        <v/>
      </c>
      <c r="T457" t="str">
        <f t="shared" si="7"/>
        <v/>
      </c>
      <c r="V457" t="str">
        <f t="shared" si="9"/>
        <v/>
      </c>
      <c r="X457" t="str">
        <f t="shared" si="11"/>
        <v/>
      </c>
      <c r="Z457" t="str">
        <f t="shared" si="13"/>
        <v/>
      </c>
      <c r="AB457" t="str">
        <f t="shared" si="15"/>
        <v/>
      </c>
      <c r="AD457" t="str">
        <f t="shared" si="17"/>
        <v/>
      </c>
      <c r="AF457" t="str">
        <f t="shared" si="19"/>
        <v/>
      </c>
      <c r="AH457" t="str">
        <f t="shared" si="21"/>
        <v/>
      </c>
      <c r="AJ457" t="str">
        <f t="shared" si="23"/>
        <v/>
      </c>
    </row>
    <row r="458">
      <c r="P458" t="str">
        <f t="shared" si="3"/>
        <v/>
      </c>
      <c r="R458" t="str">
        <f t="shared" si="5"/>
        <v/>
      </c>
      <c r="T458" t="str">
        <f t="shared" si="7"/>
        <v/>
      </c>
      <c r="V458" t="str">
        <f t="shared" si="9"/>
        <v/>
      </c>
      <c r="X458" t="str">
        <f t="shared" si="11"/>
        <v/>
      </c>
      <c r="Z458" t="str">
        <f t="shared" si="13"/>
        <v/>
      </c>
      <c r="AB458" t="str">
        <f t="shared" si="15"/>
        <v/>
      </c>
      <c r="AD458" t="str">
        <f t="shared" si="17"/>
        <v/>
      </c>
      <c r="AF458" t="str">
        <f t="shared" si="19"/>
        <v/>
      </c>
      <c r="AH458" t="str">
        <f t="shared" si="21"/>
        <v/>
      </c>
      <c r="AJ458" t="str">
        <f t="shared" si="23"/>
        <v/>
      </c>
    </row>
    <row r="459">
      <c r="P459" t="str">
        <f t="shared" si="3"/>
        <v/>
      </c>
      <c r="R459" t="str">
        <f t="shared" si="5"/>
        <v/>
      </c>
      <c r="T459" t="str">
        <f t="shared" si="7"/>
        <v/>
      </c>
      <c r="V459" t="str">
        <f t="shared" si="9"/>
        <v/>
      </c>
      <c r="X459" t="str">
        <f t="shared" si="11"/>
        <v/>
      </c>
      <c r="Z459" t="str">
        <f t="shared" si="13"/>
        <v/>
      </c>
      <c r="AB459" t="str">
        <f t="shared" si="15"/>
        <v/>
      </c>
      <c r="AD459" t="str">
        <f t="shared" si="17"/>
        <v/>
      </c>
      <c r="AF459" t="str">
        <f t="shared" si="19"/>
        <v/>
      </c>
      <c r="AH459" t="str">
        <f t="shared" si="21"/>
        <v/>
      </c>
      <c r="AJ459" t="str">
        <f t="shared" si="23"/>
        <v/>
      </c>
    </row>
    <row r="460">
      <c r="P460" t="str">
        <f t="shared" si="3"/>
        <v/>
      </c>
      <c r="R460" t="str">
        <f t="shared" si="5"/>
        <v/>
      </c>
      <c r="T460" t="str">
        <f t="shared" si="7"/>
        <v/>
      </c>
      <c r="V460" t="str">
        <f t="shared" si="9"/>
        <v/>
      </c>
      <c r="X460" t="str">
        <f t="shared" si="11"/>
        <v/>
      </c>
      <c r="Z460" t="str">
        <f t="shared" si="13"/>
        <v/>
      </c>
      <c r="AB460" t="str">
        <f t="shared" si="15"/>
        <v/>
      </c>
      <c r="AD460" t="str">
        <f t="shared" si="17"/>
        <v/>
      </c>
      <c r="AF460" t="str">
        <f t="shared" si="19"/>
        <v/>
      </c>
      <c r="AH460" t="str">
        <f t="shared" si="21"/>
        <v/>
      </c>
      <c r="AJ460" t="str">
        <f t="shared" si="23"/>
        <v/>
      </c>
    </row>
    <row r="461">
      <c r="P461" t="str">
        <f t="shared" si="3"/>
        <v/>
      </c>
      <c r="R461" t="str">
        <f t="shared" si="5"/>
        <v/>
      </c>
      <c r="T461" t="str">
        <f t="shared" si="7"/>
        <v/>
      </c>
      <c r="V461" t="str">
        <f t="shared" si="9"/>
        <v/>
      </c>
      <c r="X461" t="str">
        <f t="shared" si="11"/>
        <v/>
      </c>
      <c r="Z461" t="str">
        <f t="shared" si="13"/>
        <v/>
      </c>
      <c r="AB461" t="str">
        <f t="shared" si="15"/>
        <v/>
      </c>
      <c r="AD461" t="str">
        <f t="shared" si="17"/>
        <v/>
      </c>
      <c r="AF461" t="str">
        <f t="shared" si="19"/>
        <v/>
      </c>
      <c r="AH461" t="str">
        <f t="shared" si="21"/>
        <v/>
      </c>
      <c r="AJ461" t="str">
        <f t="shared" si="23"/>
        <v/>
      </c>
    </row>
    <row r="462">
      <c r="P462" t="str">
        <f t="shared" si="3"/>
        <v/>
      </c>
      <c r="R462" t="str">
        <f t="shared" si="5"/>
        <v/>
      </c>
      <c r="T462" t="str">
        <f t="shared" si="7"/>
        <v/>
      </c>
      <c r="V462" t="str">
        <f t="shared" si="9"/>
        <v/>
      </c>
      <c r="X462" t="str">
        <f t="shared" si="11"/>
        <v/>
      </c>
      <c r="Z462" t="str">
        <f t="shared" si="13"/>
        <v/>
      </c>
      <c r="AB462" t="str">
        <f t="shared" si="15"/>
        <v/>
      </c>
      <c r="AD462" t="str">
        <f t="shared" si="17"/>
        <v/>
      </c>
      <c r="AF462" t="str">
        <f t="shared" si="19"/>
        <v/>
      </c>
      <c r="AH462" t="str">
        <f t="shared" si="21"/>
        <v/>
      </c>
      <c r="AJ462" t="str">
        <f t="shared" si="23"/>
        <v/>
      </c>
    </row>
    <row r="463">
      <c r="P463" t="str">
        <f t="shared" si="3"/>
        <v/>
      </c>
      <c r="R463" t="str">
        <f t="shared" si="5"/>
        <v/>
      </c>
      <c r="T463" t="str">
        <f t="shared" si="7"/>
        <v/>
      </c>
      <c r="V463" t="str">
        <f t="shared" si="9"/>
        <v/>
      </c>
      <c r="X463" t="str">
        <f t="shared" si="11"/>
        <v/>
      </c>
      <c r="Z463" t="str">
        <f t="shared" si="13"/>
        <v/>
      </c>
      <c r="AB463" t="str">
        <f t="shared" si="15"/>
        <v/>
      </c>
      <c r="AD463" t="str">
        <f t="shared" si="17"/>
        <v/>
      </c>
      <c r="AF463" t="str">
        <f t="shared" si="19"/>
        <v/>
      </c>
      <c r="AH463" t="str">
        <f t="shared" si="21"/>
        <v/>
      </c>
      <c r="AJ463" t="str">
        <f t="shared" si="23"/>
        <v/>
      </c>
    </row>
    <row r="464">
      <c r="P464" t="str">
        <f t="shared" si="3"/>
        <v/>
      </c>
      <c r="R464" t="str">
        <f t="shared" si="5"/>
        <v/>
      </c>
      <c r="T464" t="str">
        <f t="shared" si="7"/>
        <v/>
      </c>
      <c r="V464" t="str">
        <f t="shared" si="9"/>
        <v/>
      </c>
      <c r="X464" t="str">
        <f t="shared" si="11"/>
        <v/>
      </c>
      <c r="Z464" t="str">
        <f t="shared" si="13"/>
        <v/>
      </c>
      <c r="AB464" t="str">
        <f t="shared" si="15"/>
        <v/>
      </c>
      <c r="AD464" t="str">
        <f t="shared" si="17"/>
        <v/>
      </c>
      <c r="AF464" t="str">
        <f t="shared" si="19"/>
        <v/>
      </c>
      <c r="AH464" t="str">
        <f t="shared" si="21"/>
        <v/>
      </c>
      <c r="AJ464" t="str">
        <f t="shared" si="23"/>
        <v/>
      </c>
    </row>
    <row r="465">
      <c r="P465" t="str">
        <f t="shared" si="3"/>
        <v/>
      </c>
      <c r="R465" t="str">
        <f t="shared" si="5"/>
        <v/>
      </c>
      <c r="T465" t="str">
        <f t="shared" si="7"/>
        <v/>
      </c>
      <c r="V465" t="str">
        <f t="shared" si="9"/>
        <v/>
      </c>
      <c r="X465" t="str">
        <f t="shared" si="11"/>
        <v/>
      </c>
      <c r="Z465" t="str">
        <f t="shared" si="13"/>
        <v/>
      </c>
      <c r="AB465" t="str">
        <f t="shared" si="15"/>
        <v/>
      </c>
      <c r="AD465" t="str">
        <f t="shared" si="17"/>
        <v/>
      </c>
      <c r="AF465" t="str">
        <f t="shared" si="19"/>
        <v/>
      </c>
      <c r="AH465" t="str">
        <f t="shared" si="21"/>
        <v/>
      </c>
      <c r="AJ465" t="str">
        <f t="shared" si="23"/>
        <v/>
      </c>
    </row>
    <row r="466">
      <c r="P466" t="str">
        <f t="shared" si="3"/>
        <v/>
      </c>
      <c r="R466" t="str">
        <f t="shared" si="5"/>
        <v/>
      </c>
      <c r="T466" t="str">
        <f t="shared" si="7"/>
        <v/>
      </c>
      <c r="V466" t="str">
        <f t="shared" si="9"/>
        <v/>
      </c>
      <c r="X466" t="str">
        <f t="shared" si="11"/>
        <v/>
      </c>
      <c r="Z466" t="str">
        <f t="shared" si="13"/>
        <v/>
      </c>
      <c r="AB466" t="str">
        <f t="shared" si="15"/>
        <v/>
      </c>
      <c r="AD466" t="str">
        <f t="shared" si="17"/>
        <v/>
      </c>
      <c r="AF466" t="str">
        <f t="shared" si="19"/>
        <v/>
      </c>
      <c r="AH466" t="str">
        <f t="shared" si="21"/>
        <v/>
      </c>
      <c r="AJ466" t="str">
        <f t="shared" si="23"/>
        <v/>
      </c>
    </row>
    <row r="467">
      <c r="P467" t="str">
        <f t="shared" si="3"/>
        <v/>
      </c>
      <c r="R467" t="str">
        <f t="shared" si="5"/>
        <v/>
      </c>
      <c r="T467" t="str">
        <f t="shared" si="7"/>
        <v/>
      </c>
      <c r="V467" t="str">
        <f t="shared" si="9"/>
        <v/>
      </c>
      <c r="X467" t="str">
        <f t="shared" si="11"/>
        <v/>
      </c>
      <c r="Z467" t="str">
        <f t="shared" si="13"/>
        <v/>
      </c>
      <c r="AB467" t="str">
        <f t="shared" si="15"/>
        <v/>
      </c>
      <c r="AD467" t="str">
        <f t="shared" si="17"/>
        <v/>
      </c>
      <c r="AF467" t="str">
        <f t="shared" si="19"/>
        <v/>
      </c>
      <c r="AH467" t="str">
        <f t="shared" si="21"/>
        <v/>
      </c>
      <c r="AJ467" t="str">
        <f t="shared" si="23"/>
        <v/>
      </c>
    </row>
    <row r="468">
      <c r="P468" t="str">
        <f t="shared" si="3"/>
        <v/>
      </c>
      <c r="R468" t="str">
        <f t="shared" si="5"/>
        <v/>
      </c>
      <c r="T468" t="str">
        <f t="shared" si="7"/>
        <v/>
      </c>
      <c r="V468" t="str">
        <f t="shared" si="9"/>
        <v/>
      </c>
      <c r="X468" t="str">
        <f t="shared" si="11"/>
        <v/>
      </c>
      <c r="Z468" t="str">
        <f t="shared" si="13"/>
        <v/>
      </c>
      <c r="AB468" t="str">
        <f t="shared" si="15"/>
        <v/>
      </c>
      <c r="AD468" t="str">
        <f t="shared" si="17"/>
        <v/>
      </c>
      <c r="AF468" t="str">
        <f t="shared" si="19"/>
        <v/>
      </c>
      <c r="AH468" t="str">
        <f t="shared" si="21"/>
        <v/>
      </c>
      <c r="AJ468" t="str">
        <f t="shared" si="23"/>
        <v/>
      </c>
    </row>
    <row r="469">
      <c r="P469" t="str">
        <f t="shared" si="3"/>
        <v/>
      </c>
      <c r="R469" t="str">
        <f t="shared" si="5"/>
        <v/>
      </c>
      <c r="T469" t="str">
        <f t="shared" si="7"/>
        <v/>
      </c>
      <c r="V469" t="str">
        <f t="shared" si="9"/>
        <v/>
      </c>
      <c r="X469" t="str">
        <f t="shared" si="11"/>
        <v/>
      </c>
      <c r="Z469" t="str">
        <f t="shared" si="13"/>
        <v/>
      </c>
      <c r="AB469" t="str">
        <f t="shared" si="15"/>
        <v/>
      </c>
      <c r="AD469" t="str">
        <f t="shared" si="17"/>
        <v/>
      </c>
      <c r="AF469" t="str">
        <f t="shared" si="19"/>
        <v/>
      </c>
      <c r="AH469" t="str">
        <f t="shared" si="21"/>
        <v/>
      </c>
      <c r="AJ469" t="str">
        <f t="shared" si="23"/>
        <v/>
      </c>
    </row>
    <row r="470">
      <c r="P470" t="str">
        <f t="shared" si="3"/>
        <v/>
      </c>
      <c r="R470" t="str">
        <f t="shared" si="5"/>
        <v/>
      </c>
      <c r="T470" t="str">
        <f t="shared" si="7"/>
        <v/>
      </c>
      <c r="V470" t="str">
        <f t="shared" si="9"/>
        <v/>
      </c>
      <c r="X470" t="str">
        <f t="shared" si="11"/>
        <v/>
      </c>
      <c r="Z470" t="str">
        <f t="shared" si="13"/>
        <v/>
      </c>
      <c r="AB470" t="str">
        <f t="shared" si="15"/>
        <v/>
      </c>
      <c r="AD470" t="str">
        <f t="shared" si="17"/>
        <v/>
      </c>
      <c r="AF470" t="str">
        <f t="shared" si="19"/>
        <v/>
      </c>
      <c r="AH470" t="str">
        <f t="shared" si="21"/>
        <v/>
      </c>
      <c r="AJ470" t="str">
        <f t="shared" si="23"/>
        <v/>
      </c>
    </row>
    <row r="471">
      <c r="P471" t="str">
        <f t="shared" si="3"/>
        <v/>
      </c>
      <c r="R471" t="str">
        <f t="shared" si="5"/>
        <v/>
      </c>
      <c r="T471" t="str">
        <f t="shared" si="7"/>
        <v/>
      </c>
      <c r="V471" t="str">
        <f t="shared" si="9"/>
        <v/>
      </c>
      <c r="X471" t="str">
        <f t="shared" si="11"/>
        <v/>
      </c>
      <c r="Z471" t="str">
        <f t="shared" si="13"/>
        <v/>
      </c>
      <c r="AB471" t="str">
        <f t="shared" si="15"/>
        <v/>
      </c>
      <c r="AD471" t="str">
        <f t="shared" si="17"/>
        <v/>
      </c>
      <c r="AF471" t="str">
        <f t="shared" si="19"/>
        <v/>
      </c>
      <c r="AH471" t="str">
        <f t="shared" si="21"/>
        <v/>
      </c>
      <c r="AJ471" t="str">
        <f t="shared" si="23"/>
        <v/>
      </c>
    </row>
    <row r="472">
      <c r="P472" t="str">
        <f t="shared" si="3"/>
        <v/>
      </c>
      <c r="R472" t="str">
        <f t="shared" si="5"/>
        <v/>
      </c>
      <c r="T472" t="str">
        <f t="shared" si="7"/>
        <v/>
      </c>
      <c r="V472" t="str">
        <f t="shared" si="9"/>
        <v/>
      </c>
      <c r="X472" t="str">
        <f t="shared" si="11"/>
        <v/>
      </c>
      <c r="Z472" t="str">
        <f t="shared" si="13"/>
        <v/>
      </c>
      <c r="AB472" t="str">
        <f t="shared" si="15"/>
        <v/>
      </c>
      <c r="AD472" t="str">
        <f t="shared" si="17"/>
        <v/>
      </c>
      <c r="AF472" t="str">
        <f t="shared" si="19"/>
        <v/>
      </c>
      <c r="AH472" t="str">
        <f t="shared" si="21"/>
        <v/>
      </c>
      <c r="AJ472" t="str">
        <f t="shared" si="23"/>
        <v/>
      </c>
    </row>
    <row r="473">
      <c r="P473" t="str">
        <f t="shared" si="3"/>
        <v/>
      </c>
      <c r="R473" t="str">
        <f t="shared" si="5"/>
        <v/>
      </c>
      <c r="T473" t="str">
        <f t="shared" si="7"/>
        <v/>
      </c>
      <c r="V473" t="str">
        <f t="shared" si="9"/>
        <v/>
      </c>
      <c r="X473" t="str">
        <f t="shared" si="11"/>
        <v/>
      </c>
      <c r="Z473" t="str">
        <f t="shared" si="13"/>
        <v/>
      </c>
      <c r="AB473" t="str">
        <f t="shared" si="15"/>
        <v/>
      </c>
      <c r="AD473" t="str">
        <f t="shared" si="17"/>
        <v/>
      </c>
      <c r="AF473" t="str">
        <f t="shared" si="19"/>
        <v/>
      </c>
      <c r="AH473" t="str">
        <f t="shared" si="21"/>
        <v/>
      </c>
      <c r="AJ473" t="str">
        <f t="shared" si="23"/>
        <v/>
      </c>
    </row>
    <row r="474">
      <c r="P474" t="str">
        <f t="shared" si="3"/>
        <v/>
      </c>
      <c r="R474" t="str">
        <f t="shared" si="5"/>
        <v/>
      </c>
      <c r="T474" t="str">
        <f t="shared" si="7"/>
        <v/>
      </c>
      <c r="V474" t="str">
        <f t="shared" si="9"/>
        <v/>
      </c>
      <c r="X474" t="str">
        <f t="shared" si="11"/>
        <v/>
      </c>
      <c r="Z474" t="str">
        <f t="shared" si="13"/>
        <v/>
      </c>
      <c r="AB474" t="str">
        <f t="shared" si="15"/>
        <v/>
      </c>
      <c r="AD474" t="str">
        <f t="shared" si="17"/>
        <v/>
      </c>
      <c r="AF474" t="str">
        <f t="shared" si="19"/>
        <v/>
      </c>
      <c r="AH474" t="str">
        <f t="shared" si="21"/>
        <v/>
      </c>
      <c r="AJ474" t="str">
        <f t="shared" si="23"/>
        <v/>
      </c>
    </row>
    <row r="475">
      <c r="P475" t="str">
        <f t="shared" si="3"/>
        <v/>
      </c>
      <c r="R475" t="str">
        <f t="shared" si="5"/>
        <v/>
      </c>
      <c r="T475" t="str">
        <f t="shared" si="7"/>
        <v/>
      </c>
      <c r="V475" t="str">
        <f t="shared" si="9"/>
        <v/>
      </c>
      <c r="X475" t="str">
        <f t="shared" si="11"/>
        <v/>
      </c>
      <c r="Z475" t="str">
        <f t="shared" si="13"/>
        <v/>
      </c>
      <c r="AB475" t="str">
        <f t="shared" si="15"/>
        <v/>
      </c>
      <c r="AD475" t="str">
        <f t="shared" si="17"/>
        <v/>
      </c>
      <c r="AF475" t="str">
        <f t="shared" si="19"/>
        <v/>
      </c>
      <c r="AH475" t="str">
        <f t="shared" si="21"/>
        <v/>
      </c>
      <c r="AJ475" t="str">
        <f t="shared" si="23"/>
        <v/>
      </c>
    </row>
    <row r="476">
      <c r="P476" t="str">
        <f t="shared" si="3"/>
        <v/>
      </c>
      <c r="R476" t="str">
        <f t="shared" si="5"/>
        <v/>
      </c>
      <c r="T476" t="str">
        <f t="shared" si="7"/>
        <v/>
      </c>
      <c r="V476" t="str">
        <f t="shared" si="9"/>
        <v/>
      </c>
      <c r="X476" t="str">
        <f t="shared" si="11"/>
        <v/>
      </c>
      <c r="Z476" t="str">
        <f t="shared" si="13"/>
        <v/>
      </c>
      <c r="AB476" t="str">
        <f t="shared" si="15"/>
        <v/>
      </c>
      <c r="AD476" t="str">
        <f t="shared" si="17"/>
        <v/>
      </c>
      <c r="AF476" t="str">
        <f t="shared" si="19"/>
        <v/>
      </c>
      <c r="AH476" t="str">
        <f t="shared" si="21"/>
        <v/>
      </c>
      <c r="AJ476" t="str">
        <f t="shared" si="23"/>
        <v/>
      </c>
    </row>
    <row r="477">
      <c r="P477" t="str">
        <f t="shared" si="3"/>
        <v/>
      </c>
      <c r="R477" t="str">
        <f t="shared" si="5"/>
        <v/>
      </c>
      <c r="T477" t="str">
        <f t="shared" si="7"/>
        <v/>
      </c>
      <c r="V477" t="str">
        <f t="shared" si="9"/>
        <v/>
      </c>
      <c r="X477" t="str">
        <f t="shared" si="11"/>
        <v/>
      </c>
      <c r="Z477" t="str">
        <f t="shared" si="13"/>
        <v/>
      </c>
      <c r="AB477" t="str">
        <f t="shared" si="15"/>
        <v/>
      </c>
      <c r="AD477" t="str">
        <f t="shared" si="17"/>
        <v/>
      </c>
      <c r="AF477" t="str">
        <f t="shared" si="19"/>
        <v/>
      </c>
      <c r="AH477" t="str">
        <f t="shared" si="21"/>
        <v/>
      </c>
      <c r="AJ477" t="str">
        <f t="shared" si="23"/>
        <v/>
      </c>
    </row>
    <row r="478">
      <c r="P478" t="str">
        <f t="shared" si="3"/>
        <v/>
      </c>
      <c r="R478" t="str">
        <f t="shared" si="5"/>
        <v/>
      </c>
      <c r="T478" t="str">
        <f t="shared" si="7"/>
        <v/>
      </c>
      <c r="V478" t="str">
        <f t="shared" si="9"/>
        <v/>
      </c>
      <c r="X478" t="str">
        <f t="shared" si="11"/>
        <v/>
      </c>
      <c r="Z478" t="str">
        <f t="shared" si="13"/>
        <v/>
      </c>
      <c r="AB478" t="str">
        <f t="shared" si="15"/>
        <v/>
      </c>
      <c r="AD478" t="str">
        <f t="shared" si="17"/>
        <v/>
      </c>
      <c r="AF478" t="str">
        <f t="shared" si="19"/>
        <v/>
      </c>
      <c r="AH478" t="str">
        <f t="shared" si="21"/>
        <v/>
      </c>
      <c r="AJ478" t="str">
        <f t="shared" si="23"/>
        <v/>
      </c>
    </row>
    <row r="479">
      <c r="P479" t="str">
        <f t="shared" si="3"/>
        <v/>
      </c>
      <c r="R479" t="str">
        <f t="shared" si="5"/>
        <v/>
      </c>
      <c r="T479" t="str">
        <f t="shared" si="7"/>
        <v/>
      </c>
      <c r="V479" t="str">
        <f t="shared" si="9"/>
        <v/>
      </c>
      <c r="X479" t="str">
        <f t="shared" si="11"/>
        <v/>
      </c>
      <c r="Z479" t="str">
        <f t="shared" si="13"/>
        <v/>
      </c>
      <c r="AB479" t="str">
        <f t="shared" si="15"/>
        <v/>
      </c>
      <c r="AD479" t="str">
        <f t="shared" si="17"/>
        <v/>
      </c>
      <c r="AF479" t="str">
        <f t="shared" si="19"/>
        <v/>
      </c>
      <c r="AH479" t="str">
        <f t="shared" si="21"/>
        <v/>
      </c>
      <c r="AJ479" t="str">
        <f t="shared" si="23"/>
        <v/>
      </c>
    </row>
    <row r="480">
      <c r="P480" t="str">
        <f t="shared" si="3"/>
        <v/>
      </c>
      <c r="R480" t="str">
        <f t="shared" si="5"/>
        <v/>
      </c>
      <c r="T480" t="str">
        <f t="shared" si="7"/>
        <v/>
      </c>
      <c r="V480" t="str">
        <f t="shared" si="9"/>
        <v/>
      </c>
      <c r="X480" t="str">
        <f t="shared" si="11"/>
        <v/>
      </c>
      <c r="Z480" t="str">
        <f t="shared" si="13"/>
        <v/>
      </c>
      <c r="AB480" t="str">
        <f t="shared" si="15"/>
        <v/>
      </c>
      <c r="AD480" t="str">
        <f t="shared" si="17"/>
        <v/>
      </c>
      <c r="AF480" t="str">
        <f t="shared" si="19"/>
        <v/>
      </c>
      <c r="AH480" t="str">
        <f t="shared" si="21"/>
        <v/>
      </c>
      <c r="AJ480" t="str">
        <f t="shared" si="23"/>
        <v/>
      </c>
    </row>
    <row r="481">
      <c r="P481" t="str">
        <f t="shared" si="3"/>
        <v/>
      </c>
      <c r="R481" t="str">
        <f t="shared" si="5"/>
        <v/>
      </c>
      <c r="T481" t="str">
        <f t="shared" si="7"/>
        <v/>
      </c>
      <c r="V481" t="str">
        <f t="shared" si="9"/>
        <v/>
      </c>
      <c r="X481" t="str">
        <f t="shared" si="11"/>
        <v/>
      </c>
      <c r="Z481" t="str">
        <f t="shared" si="13"/>
        <v/>
      </c>
      <c r="AB481" t="str">
        <f t="shared" si="15"/>
        <v/>
      </c>
      <c r="AD481" t="str">
        <f t="shared" si="17"/>
        <v/>
      </c>
      <c r="AF481" t="str">
        <f t="shared" si="19"/>
        <v/>
      </c>
      <c r="AH481" t="str">
        <f t="shared" si="21"/>
        <v/>
      </c>
      <c r="AJ481" t="str">
        <f t="shared" si="23"/>
        <v/>
      </c>
    </row>
    <row r="482">
      <c r="P482" t="str">
        <f t="shared" si="3"/>
        <v/>
      </c>
      <c r="R482" t="str">
        <f t="shared" si="5"/>
        <v/>
      </c>
      <c r="T482" t="str">
        <f t="shared" si="7"/>
        <v/>
      </c>
      <c r="V482" t="str">
        <f t="shared" si="9"/>
        <v/>
      </c>
      <c r="X482" t="str">
        <f t="shared" si="11"/>
        <v/>
      </c>
      <c r="Z482" t="str">
        <f t="shared" si="13"/>
        <v/>
      </c>
      <c r="AB482" t="str">
        <f t="shared" si="15"/>
        <v/>
      </c>
      <c r="AD482" t="str">
        <f t="shared" si="17"/>
        <v/>
      </c>
      <c r="AF482" t="str">
        <f t="shared" si="19"/>
        <v/>
      </c>
      <c r="AH482" t="str">
        <f t="shared" si="21"/>
        <v/>
      </c>
      <c r="AJ482" t="str">
        <f t="shared" si="23"/>
        <v/>
      </c>
    </row>
    <row r="483">
      <c r="P483" t="str">
        <f t="shared" si="3"/>
        <v/>
      </c>
      <c r="R483" t="str">
        <f t="shared" si="5"/>
        <v/>
      </c>
      <c r="T483" t="str">
        <f t="shared" si="7"/>
        <v/>
      </c>
      <c r="V483" t="str">
        <f t="shared" si="9"/>
        <v/>
      </c>
      <c r="X483" t="str">
        <f t="shared" si="11"/>
        <v/>
      </c>
      <c r="Z483" t="str">
        <f t="shared" si="13"/>
        <v/>
      </c>
      <c r="AB483" t="str">
        <f t="shared" si="15"/>
        <v/>
      </c>
      <c r="AD483" t="str">
        <f t="shared" si="17"/>
        <v/>
      </c>
      <c r="AF483" t="str">
        <f t="shared" si="19"/>
        <v/>
      </c>
      <c r="AH483" t="str">
        <f t="shared" si="21"/>
        <v/>
      </c>
      <c r="AJ483" t="str">
        <f t="shared" si="23"/>
        <v/>
      </c>
    </row>
    <row r="484">
      <c r="P484" t="str">
        <f t="shared" si="3"/>
        <v/>
      </c>
      <c r="R484" t="str">
        <f t="shared" si="5"/>
        <v/>
      </c>
      <c r="T484" t="str">
        <f t="shared" si="7"/>
        <v/>
      </c>
      <c r="V484" t="str">
        <f t="shared" si="9"/>
        <v/>
      </c>
      <c r="X484" t="str">
        <f t="shared" si="11"/>
        <v/>
      </c>
      <c r="Z484" t="str">
        <f t="shared" si="13"/>
        <v/>
      </c>
      <c r="AB484" t="str">
        <f t="shared" si="15"/>
        <v/>
      </c>
      <c r="AD484" t="str">
        <f t="shared" si="17"/>
        <v/>
      </c>
      <c r="AF484" t="str">
        <f t="shared" si="19"/>
        <v/>
      </c>
      <c r="AH484" t="str">
        <f t="shared" si="21"/>
        <v/>
      </c>
      <c r="AJ484" t="str">
        <f t="shared" si="23"/>
        <v/>
      </c>
    </row>
    <row r="485">
      <c r="P485" t="str">
        <f t="shared" si="3"/>
        <v/>
      </c>
      <c r="R485" t="str">
        <f t="shared" si="5"/>
        <v/>
      </c>
      <c r="T485" t="str">
        <f t="shared" si="7"/>
        <v/>
      </c>
      <c r="V485" t="str">
        <f t="shared" si="9"/>
        <v/>
      </c>
      <c r="X485" t="str">
        <f t="shared" si="11"/>
        <v/>
      </c>
      <c r="Z485" t="str">
        <f t="shared" si="13"/>
        <v/>
      </c>
      <c r="AB485" t="str">
        <f t="shared" si="15"/>
        <v/>
      </c>
      <c r="AD485" t="str">
        <f t="shared" si="17"/>
        <v/>
      </c>
      <c r="AF485" t="str">
        <f t="shared" si="19"/>
        <v/>
      </c>
      <c r="AH485" t="str">
        <f t="shared" si="21"/>
        <v/>
      </c>
      <c r="AJ485" t="str">
        <f t="shared" si="23"/>
        <v/>
      </c>
    </row>
    <row r="486">
      <c r="P486" t="str">
        <f t="shared" si="3"/>
        <v/>
      </c>
      <c r="R486" t="str">
        <f t="shared" si="5"/>
        <v/>
      </c>
      <c r="T486" t="str">
        <f t="shared" si="7"/>
        <v/>
      </c>
      <c r="V486" t="str">
        <f t="shared" si="9"/>
        <v/>
      </c>
      <c r="X486" t="str">
        <f t="shared" si="11"/>
        <v/>
      </c>
      <c r="Z486" t="str">
        <f t="shared" si="13"/>
        <v/>
      </c>
      <c r="AB486" t="str">
        <f t="shared" si="15"/>
        <v/>
      </c>
      <c r="AD486" t="str">
        <f t="shared" si="17"/>
        <v/>
      </c>
      <c r="AF486" t="str">
        <f t="shared" si="19"/>
        <v/>
      </c>
      <c r="AH486" t="str">
        <f t="shared" si="21"/>
        <v/>
      </c>
      <c r="AJ486" t="str">
        <f t="shared" si="23"/>
        <v/>
      </c>
    </row>
    <row r="487">
      <c r="P487" t="str">
        <f t="shared" si="3"/>
        <v/>
      </c>
      <c r="R487" t="str">
        <f t="shared" si="5"/>
        <v/>
      </c>
      <c r="T487" t="str">
        <f t="shared" si="7"/>
        <v/>
      </c>
      <c r="V487" t="str">
        <f t="shared" si="9"/>
        <v/>
      </c>
      <c r="X487" t="str">
        <f t="shared" si="11"/>
        <v/>
      </c>
      <c r="Z487" t="str">
        <f t="shared" si="13"/>
        <v/>
      </c>
      <c r="AB487" t="str">
        <f t="shared" si="15"/>
        <v/>
      </c>
      <c r="AD487" t="str">
        <f t="shared" si="17"/>
        <v/>
      </c>
      <c r="AF487" t="str">
        <f t="shared" si="19"/>
        <v/>
      </c>
      <c r="AH487" t="str">
        <f t="shared" si="21"/>
        <v/>
      </c>
      <c r="AJ487" t="str">
        <f t="shared" si="23"/>
        <v/>
      </c>
    </row>
    <row r="488">
      <c r="P488" t="str">
        <f t="shared" si="3"/>
        <v/>
      </c>
      <c r="R488" t="str">
        <f t="shared" si="5"/>
        <v/>
      </c>
      <c r="T488" t="str">
        <f t="shared" si="7"/>
        <v/>
      </c>
      <c r="V488" t="str">
        <f t="shared" si="9"/>
        <v/>
      </c>
      <c r="X488" t="str">
        <f t="shared" si="11"/>
        <v/>
      </c>
      <c r="Z488" t="str">
        <f t="shared" si="13"/>
        <v/>
      </c>
      <c r="AB488" t="str">
        <f t="shared" si="15"/>
        <v/>
      </c>
      <c r="AD488" t="str">
        <f t="shared" si="17"/>
        <v/>
      </c>
      <c r="AF488" t="str">
        <f t="shared" si="19"/>
        <v/>
      </c>
      <c r="AH488" t="str">
        <f t="shared" si="21"/>
        <v/>
      </c>
      <c r="AJ488" t="str">
        <f t="shared" si="23"/>
        <v/>
      </c>
    </row>
    <row r="489">
      <c r="P489" t="str">
        <f t="shared" si="3"/>
        <v/>
      </c>
      <c r="R489" t="str">
        <f t="shared" si="5"/>
        <v/>
      </c>
      <c r="T489" t="str">
        <f t="shared" si="7"/>
        <v/>
      </c>
      <c r="V489" t="str">
        <f t="shared" si="9"/>
        <v/>
      </c>
      <c r="X489" t="str">
        <f t="shared" si="11"/>
        <v/>
      </c>
      <c r="Z489" t="str">
        <f t="shared" si="13"/>
        <v/>
      </c>
      <c r="AB489" t="str">
        <f t="shared" si="15"/>
        <v/>
      </c>
      <c r="AD489" t="str">
        <f t="shared" si="17"/>
        <v/>
      </c>
      <c r="AF489" t="str">
        <f t="shared" si="19"/>
        <v/>
      </c>
      <c r="AH489" t="str">
        <f t="shared" si="21"/>
        <v/>
      </c>
      <c r="AJ489" t="str">
        <f t="shared" si="23"/>
        <v/>
      </c>
    </row>
    <row r="490">
      <c r="P490" t="str">
        <f t="shared" si="3"/>
        <v/>
      </c>
      <c r="R490" t="str">
        <f t="shared" si="5"/>
        <v/>
      </c>
      <c r="T490" t="str">
        <f t="shared" si="7"/>
        <v/>
      </c>
      <c r="V490" t="str">
        <f t="shared" si="9"/>
        <v/>
      </c>
      <c r="X490" t="str">
        <f t="shared" si="11"/>
        <v/>
      </c>
      <c r="Z490" t="str">
        <f t="shared" si="13"/>
        <v/>
      </c>
      <c r="AB490" t="str">
        <f t="shared" si="15"/>
        <v/>
      </c>
      <c r="AD490" t="str">
        <f t="shared" si="17"/>
        <v/>
      </c>
      <c r="AF490" t="str">
        <f t="shared" si="19"/>
        <v/>
      </c>
      <c r="AH490" t="str">
        <f t="shared" si="21"/>
        <v/>
      </c>
      <c r="AJ490" t="str">
        <f t="shared" si="23"/>
        <v/>
      </c>
    </row>
    <row r="491">
      <c r="P491" t="str">
        <f t="shared" si="3"/>
        <v/>
      </c>
      <c r="R491" t="str">
        <f t="shared" si="5"/>
        <v/>
      </c>
      <c r="T491" t="str">
        <f t="shared" si="7"/>
        <v/>
      </c>
      <c r="V491" t="str">
        <f t="shared" si="9"/>
        <v/>
      </c>
      <c r="X491" t="str">
        <f t="shared" si="11"/>
        <v/>
      </c>
      <c r="Z491" t="str">
        <f t="shared" si="13"/>
        <v/>
      </c>
      <c r="AB491" t="str">
        <f t="shared" si="15"/>
        <v/>
      </c>
      <c r="AD491" t="str">
        <f t="shared" si="17"/>
        <v/>
      </c>
      <c r="AF491" t="str">
        <f t="shared" si="19"/>
        <v/>
      </c>
      <c r="AH491" t="str">
        <f t="shared" si="21"/>
        <v/>
      </c>
      <c r="AJ491" t="str">
        <f t="shared" si="23"/>
        <v/>
      </c>
    </row>
    <row r="492">
      <c r="P492" t="str">
        <f t="shared" si="3"/>
        <v/>
      </c>
      <c r="R492" t="str">
        <f t="shared" si="5"/>
        <v/>
      </c>
      <c r="T492" t="str">
        <f t="shared" si="7"/>
        <v/>
      </c>
      <c r="V492" t="str">
        <f t="shared" si="9"/>
        <v/>
      </c>
      <c r="X492" t="str">
        <f t="shared" si="11"/>
        <v/>
      </c>
      <c r="Z492" t="str">
        <f t="shared" si="13"/>
        <v/>
      </c>
      <c r="AB492" t="str">
        <f t="shared" si="15"/>
        <v/>
      </c>
      <c r="AD492" t="str">
        <f t="shared" si="17"/>
        <v/>
      </c>
      <c r="AF492" t="str">
        <f t="shared" si="19"/>
        <v/>
      </c>
      <c r="AH492" t="str">
        <f t="shared" si="21"/>
        <v/>
      </c>
      <c r="AJ492" t="str">
        <f t="shared" si="23"/>
        <v/>
      </c>
    </row>
    <row r="493">
      <c r="P493" t="str">
        <f t="shared" si="3"/>
        <v/>
      </c>
      <c r="R493" t="str">
        <f t="shared" si="5"/>
        <v/>
      </c>
      <c r="T493" t="str">
        <f t="shared" si="7"/>
        <v/>
      </c>
      <c r="V493" t="str">
        <f t="shared" si="9"/>
        <v/>
      </c>
      <c r="X493" t="str">
        <f t="shared" si="11"/>
        <v/>
      </c>
      <c r="Z493" t="str">
        <f t="shared" si="13"/>
        <v/>
      </c>
      <c r="AB493" t="str">
        <f t="shared" si="15"/>
        <v/>
      </c>
      <c r="AD493" t="str">
        <f t="shared" si="17"/>
        <v/>
      </c>
      <c r="AF493" t="str">
        <f t="shared" si="19"/>
        <v/>
      </c>
      <c r="AH493" t="str">
        <f t="shared" si="21"/>
        <v/>
      </c>
      <c r="AJ493" t="str">
        <f t="shared" si="23"/>
        <v/>
      </c>
    </row>
    <row r="494">
      <c r="P494" t="str">
        <f t="shared" si="3"/>
        <v/>
      </c>
      <c r="R494" t="str">
        <f t="shared" si="5"/>
        <v/>
      </c>
      <c r="T494" t="str">
        <f t="shared" si="7"/>
        <v/>
      </c>
      <c r="V494" t="str">
        <f t="shared" si="9"/>
        <v/>
      </c>
      <c r="X494" t="str">
        <f t="shared" si="11"/>
        <v/>
      </c>
      <c r="Z494" t="str">
        <f t="shared" si="13"/>
        <v/>
      </c>
      <c r="AB494" t="str">
        <f t="shared" si="15"/>
        <v/>
      </c>
      <c r="AD494" t="str">
        <f t="shared" si="17"/>
        <v/>
      </c>
      <c r="AF494" t="str">
        <f t="shared" si="19"/>
        <v/>
      </c>
      <c r="AH494" t="str">
        <f t="shared" si="21"/>
        <v/>
      </c>
      <c r="AJ494" t="str">
        <f t="shared" si="23"/>
        <v/>
      </c>
    </row>
    <row r="495">
      <c r="P495" t="str">
        <f t="shared" si="3"/>
        <v/>
      </c>
      <c r="R495" t="str">
        <f t="shared" si="5"/>
        <v/>
      </c>
      <c r="T495" t="str">
        <f t="shared" si="7"/>
        <v/>
      </c>
      <c r="V495" t="str">
        <f t="shared" si="9"/>
        <v/>
      </c>
      <c r="X495" t="str">
        <f t="shared" si="11"/>
        <v/>
      </c>
      <c r="Z495" t="str">
        <f t="shared" si="13"/>
        <v/>
      </c>
      <c r="AB495" t="str">
        <f t="shared" si="15"/>
        <v/>
      </c>
      <c r="AD495" t="str">
        <f t="shared" si="17"/>
        <v/>
      </c>
      <c r="AF495" t="str">
        <f t="shared" si="19"/>
        <v/>
      </c>
      <c r="AH495" t="str">
        <f t="shared" si="21"/>
        <v/>
      </c>
      <c r="AJ495" t="str">
        <f t="shared" si="23"/>
        <v/>
      </c>
    </row>
    <row r="496">
      <c r="P496" t="str">
        <f t="shared" si="3"/>
        <v/>
      </c>
      <c r="R496" t="str">
        <f t="shared" si="5"/>
        <v/>
      </c>
      <c r="T496" t="str">
        <f t="shared" si="7"/>
        <v/>
      </c>
      <c r="V496" t="str">
        <f t="shared" si="9"/>
        <v/>
      </c>
      <c r="X496" t="str">
        <f t="shared" si="11"/>
        <v/>
      </c>
      <c r="Z496" t="str">
        <f t="shared" si="13"/>
        <v/>
      </c>
      <c r="AB496" t="str">
        <f t="shared" si="15"/>
        <v/>
      </c>
      <c r="AD496" t="str">
        <f t="shared" si="17"/>
        <v/>
      </c>
      <c r="AF496" t="str">
        <f t="shared" si="19"/>
        <v/>
      </c>
      <c r="AH496" t="str">
        <f t="shared" si="21"/>
        <v/>
      </c>
      <c r="AJ496" t="str">
        <f t="shared" si="23"/>
        <v/>
      </c>
    </row>
    <row r="497">
      <c r="P497" t="str">
        <f t="shared" si="3"/>
        <v/>
      </c>
      <c r="R497" t="str">
        <f t="shared" si="5"/>
        <v/>
      </c>
      <c r="T497" t="str">
        <f t="shared" si="7"/>
        <v/>
      </c>
      <c r="V497" t="str">
        <f t="shared" si="9"/>
        <v/>
      </c>
      <c r="X497" t="str">
        <f t="shared" si="11"/>
        <v/>
      </c>
      <c r="Z497" t="str">
        <f t="shared" si="13"/>
        <v/>
      </c>
      <c r="AB497" t="str">
        <f t="shared" si="15"/>
        <v/>
      </c>
      <c r="AD497" t="str">
        <f t="shared" si="17"/>
        <v/>
      </c>
      <c r="AF497" t="str">
        <f t="shared" si="19"/>
        <v/>
      </c>
      <c r="AH497" t="str">
        <f t="shared" si="21"/>
        <v/>
      </c>
      <c r="AJ497" t="str">
        <f t="shared" si="23"/>
        <v/>
      </c>
    </row>
    <row r="498">
      <c r="P498" t="str">
        <f t="shared" si="3"/>
        <v/>
      </c>
      <c r="R498" t="str">
        <f t="shared" si="5"/>
        <v/>
      </c>
      <c r="T498" t="str">
        <f t="shared" si="7"/>
        <v/>
      </c>
      <c r="V498" t="str">
        <f t="shared" si="9"/>
        <v/>
      </c>
      <c r="X498" t="str">
        <f t="shared" si="11"/>
        <v/>
      </c>
      <c r="Z498" t="str">
        <f t="shared" si="13"/>
        <v/>
      </c>
      <c r="AB498" t="str">
        <f t="shared" si="15"/>
        <v/>
      </c>
      <c r="AD498" t="str">
        <f t="shared" si="17"/>
        <v/>
      </c>
      <c r="AF498" t="str">
        <f t="shared" si="19"/>
        <v/>
      </c>
      <c r="AH498" t="str">
        <f t="shared" si="21"/>
        <v/>
      </c>
      <c r="AJ498" t="str">
        <f t="shared" si="23"/>
        <v/>
      </c>
    </row>
    <row r="499">
      <c r="P499" t="str">
        <f t="shared" si="3"/>
        <v/>
      </c>
      <c r="R499" t="str">
        <f t="shared" si="5"/>
        <v/>
      </c>
      <c r="T499" t="str">
        <f t="shared" si="7"/>
        <v/>
      </c>
      <c r="V499" t="str">
        <f t="shared" si="9"/>
        <v/>
      </c>
      <c r="X499" t="str">
        <f t="shared" si="11"/>
        <v/>
      </c>
      <c r="Z499" t="str">
        <f t="shared" si="13"/>
        <v/>
      </c>
      <c r="AB499" t="str">
        <f t="shared" si="15"/>
        <v/>
      </c>
      <c r="AD499" t="str">
        <f t="shared" si="17"/>
        <v/>
      </c>
      <c r="AF499" t="str">
        <f t="shared" si="19"/>
        <v/>
      </c>
      <c r="AH499" t="str">
        <f t="shared" si="21"/>
        <v/>
      </c>
      <c r="AJ499" t="str">
        <f t="shared" si="23"/>
        <v/>
      </c>
    </row>
    <row r="500">
      <c r="P500" t="str">
        <f t="shared" si="3"/>
        <v/>
      </c>
      <c r="R500" t="str">
        <f t="shared" si="5"/>
        <v/>
      </c>
      <c r="T500" t="str">
        <f t="shared" si="7"/>
        <v/>
      </c>
      <c r="V500" t="str">
        <f t="shared" si="9"/>
        <v/>
      </c>
      <c r="X500" t="str">
        <f t="shared" si="11"/>
        <v/>
      </c>
      <c r="Z500" t="str">
        <f t="shared" si="13"/>
        <v/>
      </c>
      <c r="AB500" t="str">
        <f t="shared" si="15"/>
        <v/>
      </c>
      <c r="AD500" t="str">
        <f t="shared" si="17"/>
        <v/>
      </c>
      <c r="AF500" t="str">
        <f t="shared" si="19"/>
        <v/>
      </c>
      <c r="AH500" t="str">
        <f t="shared" si="21"/>
        <v/>
      </c>
      <c r="AJ500" t="str">
        <f t="shared" si="23"/>
        <v/>
      </c>
    </row>
    <row r="501">
      <c r="P501" t="str">
        <f t="shared" si="3"/>
        <v/>
      </c>
      <c r="R501" t="str">
        <f t="shared" si="5"/>
        <v/>
      </c>
      <c r="T501" t="str">
        <f t="shared" si="7"/>
        <v/>
      </c>
      <c r="V501" t="str">
        <f t="shared" si="9"/>
        <v/>
      </c>
      <c r="X501" t="str">
        <f t="shared" si="11"/>
        <v/>
      </c>
      <c r="Z501" t="str">
        <f t="shared" si="13"/>
        <v/>
      </c>
      <c r="AB501" t="str">
        <f t="shared" si="15"/>
        <v/>
      </c>
      <c r="AD501" t="str">
        <f t="shared" si="17"/>
        <v/>
      </c>
      <c r="AF501" t="str">
        <f t="shared" si="19"/>
        <v/>
      </c>
      <c r="AH501" t="str">
        <f t="shared" si="21"/>
        <v/>
      </c>
      <c r="AJ501" t="str">
        <f t="shared" si="23"/>
        <v/>
      </c>
    </row>
    <row r="502">
      <c r="P502" t="str">
        <f t="shared" si="3"/>
        <v/>
      </c>
      <c r="R502" t="str">
        <f t="shared" si="5"/>
        <v/>
      </c>
      <c r="T502" t="str">
        <f t="shared" si="7"/>
        <v/>
      </c>
      <c r="V502" t="str">
        <f t="shared" si="9"/>
        <v/>
      </c>
      <c r="X502" t="str">
        <f t="shared" si="11"/>
        <v/>
      </c>
      <c r="Z502" t="str">
        <f t="shared" si="13"/>
        <v/>
      </c>
      <c r="AB502" t="str">
        <f t="shared" si="15"/>
        <v/>
      </c>
      <c r="AD502" t="str">
        <f t="shared" si="17"/>
        <v/>
      </c>
      <c r="AF502" t="str">
        <f t="shared" si="19"/>
        <v/>
      </c>
      <c r="AH502" t="str">
        <f t="shared" si="21"/>
        <v/>
      </c>
      <c r="AJ502" t="str">
        <f t="shared" si="23"/>
        <v/>
      </c>
    </row>
    <row r="503">
      <c r="P503" t="str">
        <f t="shared" si="3"/>
        <v/>
      </c>
      <c r="R503" t="str">
        <f t="shared" si="5"/>
        <v/>
      </c>
      <c r="T503" t="str">
        <f t="shared" si="7"/>
        <v/>
      </c>
      <c r="V503" t="str">
        <f t="shared" si="9"/>
        <v/>
      </c>
      <c r="X503" t="str">
        <f t="shared" si="11"/>
        <v/>
      </c>
      <c r="Z503" t="str">
        <f t="shared" si="13"/>
        <v/>
      </c>
      <c r="AB503" t="str">
        <f t="shared" si="15"/>
        <v/>
      </c>
      <c r="AD503" t="str">
        <f t="shared" si="17"/>
        <v/>
      </c>
      <c r="AF503" t="str">
        <f t="shared" si="19"/>
        <v/>
      </c>
      <c r="AH503" t="str">
        <f t="shared" si="21"/>
        <v/>
      </c>
      <c r="AJ503" t="str">
        <f t="shared" si="23"/>
        <v/>
      </c>
    </row>
    <row r="504">
      <c r="P504" t="str">
        <f t="shared" si="3"/>
        <v/>
      </c>
      <c r="R504" t="str">
        <f t="shared" si="5"/>
        <v/>
      </c>
      <c r="T504" t="str">
        <f t="shared" si="7"/>
        <v/>
      </c>
      <c r="V504" t="str">
        <f t="shared" si="9"/>
        <v/>
      </c>
      <c r="X504" t="str">
        <f t="shared" si="11"/>
        <v/>
      </c>
      <c r="Z504" t="str">
        <f t="shared" si="13"/>
        <v/>
      </c>
      <c r="AB504" t="str">
        <f t="shared" si="15"/>
        <v/>
      </c>
      <c r="AD504" t="str">
        <f t="shared" si="17"/>
        <v/>
      </c>
      <c r="AF504" t="str">
        <f t="shared" si="19"/>
        <v/>
      </c>
      <c r="AH504" t="str">
        <f t="shared" si="21"/>
        <v/>
      </c>
      <c r="AJ504" t="str">
        <f t="shared" si="23"/>
        <v/>
      </c>
    </row>
    <row r="505">
      <c r="P505" t="str">
        <f t="shared" si="3"/>
        <v/>
      </c>
      <c r="R505" t="str">
        <f t="shared" si="5"/>
        <v/>
      </c>
      <c r="T505" t="str">
        <f t="shared" si="7"/>
        <v/>
      </c>
      <c r="V505" t="str">
        <f t="shared" si="9"/>
        <v/>
      </c>
      <c r="X505" t="str">
        <f t="shared" si="11"/>
        <v/>
      </c>
      <c r="Z505" t="str">
        <f t="shared" si="13"/>
        <v/>
      </c>
      <c r="AB505" t="str">
        <f t="shared" si="15"/>
        <v/>
      </c>
      <c r="AD505" t="str">
        <f t="shared" si="17"/>
        <v/>
      </c>
      <c r="AF505" t="str">
        <f t="shared" si="19"/>
        <v/>
      </c>
      <c r="AH505" t="str">
        <f t="shared" si="21"/>
        <v/>
      </c>
      <c r="AJ505" t="str">
        <f t="shared" si="23"/>
        <v/>
      </c>
    </row>
    <row r="506">
      <c r="P506" t="str">
        <f t="shared" si="3"/>
        <v/>
      </c>
      <c r="R506" t="str">
        <f t="shared" si="5"/>
        <v/>
      </c>
      <c r="T506" t="str">
        <f t="shared" si="7"/>
        <v/>
      </c>
      <c r="V506" t="str">
        <f t="shared" si="9"/>
        <v/>
      </c>
      <c r="X506" t="str">
        <f t="shared" si="11"/>
        <v/>
      </c>
      <c r="Z506" t="str">
        <f t="shared" si="13"/>
        <v/>
      </c>
      <c r="AB506" t="str">
        <f t="shared" si="15"/>
        <v/>
      </c>
      <c r="AD506" t="str">
        <f t="shared" si="17"/>
        <v/>
      </c>
      <c r="AF506" t="str">
        <f t="shared" si="19"/>
        <v/>
      </c>
      <c r="AH506" t="str">
        <f t="shared" si="21"/>
        <v/>
      </c>
      <c r="AJ506" t="str">
        <f t="shared" si="23"/>
        <v/>
      </c>
    </row>
    <row r="507">
      <c r="P507" t="str">
        <f t="shared" si="3"/>
        <v/>
      </c>
      <c r="R507" t="str">
        <f t="shared" si="5"/>
        <v/>
      </c>
      <c r="T507" t="str">
        <f t="shared" si="7"/>
        <v/>
      </c>
      <c r="V507" t="str">
        <f t="shared" si="9"/>
        <v/>
      </c>
      <c r="X507" t="str">
        <f t="shared" si="11"/>
        <v/>
      </c>
      <c r="Z507" t="str">
        <f t="shared" si="13"/>
        <v/>
      </c>
      <c r="AB507" t="str">
        <f t="shared" si="15"/>
        <v/>
      </c>
      <c r="AD507" t="str">
        <f t="shared" si="17"/>
        <v/>
      </c>
      <c r="AF507" t="str">
        <f t="shared" si="19"/>
        <v/>
      </c>
      <c r="AH507" t="str">
        <f t="shared" si="21"/>
        <v/>
      </c>
      <c r="AJ507" t="str">
        <f t="shared" si="23"/>
        <v/>
      </c>
    </row>
    <row r="508">
      <c r="P508" t="str">
        <f t="shared" si="3"/>
        <v/>
      </c>
      <c r="R508" t="str">
        <f t="shared" si="5"/>
        <v/>
      </c>
      <c r="T508" t="str">
        <f t="shared" si="7"/>
        <v/>
      </c>
      <c r="V508" t="str">
        <f t="shared" si="9"/>
        <v/>
      </c>
      <c r="X508" t="str">
        <f t="shared" si="11"/>
        <v/>
      </c>
      <c r="Z508" t="str">
        <f t="shared" si="13"/>
        <v/>
      </c>
      <c r="AB508" t="str">
        <f t="shared" si="15"/>
        <v/>
      </c>
      <c r="AD508" t="str">
        <f t="shared" si="17"/>
        <v/>
      </c>
      <c r="AF508" t="str">
        <f t="shared" si="19"/>
        <v/>
      </c>
      <c r="AH508" t="str">
        <f t="shared" si="21"/>
        <v/>
      </c>
      <c r="AJ508" t="str">
        <f t="shared" si="23"/>
        <v/>
      </c>
    </row>
    <row r="509">
      <c r="P509" t="str">
        <f t="shared" si="3"/>
        <v/>
      </c>
      <c r="R509" t="str">
        <f t="shared" si="5"/>
        <v/>
      </c>
      <c r="T509" t="str">
        <f t="shared" si="7"/>
        <v/>
      </c>
      <c r="V509" t="str">
        <f t="shared" si="9"/>
        <v/>
      </c>
      <c r="X509" t="str">
        <f t="shared" si="11"/>
        <v/>
      </c>
      <c r="Z509" t="str">
        <f t="shared" si="13"/>
        <v/>
      </c>
      <c r="AB509" t="str">
        <f t="shared" si="15"/>
        <v/>
      </c>
      <c r="AD509" t="str">
        <f t="shared" si="17"/>
        <v/>
      </c>
      <c r="AF509" t="str">
        <f t="shared" si="19"/>
        <v/>
      </c>
      <c r="AH509" t="str">
        <f t="shared" si="21"/>
        <v/>
      </c>
      <c r="AJ509" t="str">
        <f t="shared" si="23"/>
        <v/>
      </c>
    </row>
    <row r="510">
      <c r="P510" t="str">
        <f t="shared" si="3"/>
        <v/>
      </c>
      <c r="R510" t="str">
        <f t="shared" si="5"/>
        <v/>
      </c>
      <c r="T510" t="str">
        <f t="shared" si="7"/>
        <v/>
      </c>
      <c r="V510" t="str">
        <f t="shared" si="9"/>
        <v/>
      </c>
      <c r="X510" t="str">
        <f t="shared" si="11"/>
        <v/>
      </c>
      <c r="Z510" t="str">
        <f t="shared" si="13"/>
        <v/>
      </c>
      <c r="AB510" t="str">
        <f t="shared" si="15"/>
        <v/>
      </c>
      <c r="AD510" t="str">
        <f t="shared" si="17"/>
        <v/>
      </c>
      <c r="AF510" t="str">
        <f t="shared" si="19"/>
        <v/>
      </c>
      <c r="AH510" t="str">
        <f t="shared" si="21"/>
        <v/>
      </c>
      <c r="AJ510" t="str">
        <f t="shared" si="23"/>
        <v/>
      </c>
    </row>
    <row r="511">
      <c r="P511" t="str">
        <f t="shared" si="3"/>
        <v/>
      </c>
      <c r="R511" t="str">
        <f t="shared" si="5"/>
        <v/>
      </c>
      <c r="T511" t="str">
        <f t="shared" si="7"/>
        <v/>
      </c>
      <c r="V511" t="str">
        <f t="shared" si="9"/>
        <v/>
      </c>
      <c r="X511" t="str">
        <f t="shared" si="11"/>
        <v/>
      </c>
      <c r="Z511" t="str">
        <f t="shared" si="13"/>
        <v/>
      </c>
      <c r="AB511" t="str">
        <f t="shared" si="15"/>
        <v/>
      </c>
      <c r="AD511" t="str">
        <f t="shared" si="17"/>
        <v/>
      </c>
      <c r="AF511" t="str">
        <f t="shared" si="19"/>
        <v/>
      </c>
      <c r="AH511" t="str">
        <f t="shared" si="21"/>
        <v/>
      </c>
      <c r="AJ511" t="str">
        <f t="shared" si="23"/>
        <v/>
      </c>
    </row>
    <row r="512">
      <c r="P512" t="str">
        <f t="shared" si="3"/>
        <v/>
      </c>
      <c r="R512" t="str">
        <f t="shared" si="5"/>
        <v/>
      </c>
      <c r="T512" t="str">
        <f t="shared" si="7"/>
        <v/>
      </c>
      <c r="V512" t="str">
        <f t="shared" si="9"/>
        <v/>
      </c>
      <c r="X512" t="str">
        <f t="shared" si="11"/>
        <v/>
      </c>
      <c r="Z512" t="str">
        <f t="shared" si="13"/>
        <v/>
      </c>
      <c r="AB512" t="str">
        <f t="shared" si="15"/>
        <v/>
      </c>
      <c r="AD512" t="str">
        <f t="shared" si="17"/>
        <v/>
      </c>
      <c r="AF512" t="str">
        <f t="shared" si="19"/>
        <v/>
      </c>
      <c r="AH512" t="str">
        <f t="shared" si="21"/>
        <v/>
      </c>
      <c r="AJ512" t="str">
        <f t="shared" si="23"/>
        <v/>
      </c>
    </row>
    <row r="513">
      <c r="P513" t="str">
        <f t="shared" si="3"/>
        <v/>
      </c>
      <c r="R513" t="str">
        <f t="shared" si="5"/>
        <v/>
      </c>
      <c r="T513" t="str">
        <f t="shared" si="7"/>
        <v/>
      </c>
      <c r="V513" t="str">
        <f t="shared" si="9"/>
        <v/>
      </c>
      <c r="X513" t="str">
        <f t="shared" si="11"/>
        <v/>
      </c>
      <c r="Z513" t="str">
        <f t="shared" si="13"/>
        <v/>
      </c>
      <c r="AB513" t="str">
        <f t="shared" si="15"/>
        <v/>
      </c>
      <c r="AD513" t="str">
        <f t="shared" si="17"/>
        <v/>
      </c>
      <c r="AF513" t="str">
        <f t="shared" si="19"/>
        <v/>
      </c>
      <c r="AH513" t="str">
        <f t="shared" si="21"/>
        <v/>
      </c>
      <c r="AJ513" t="str">
        <f t="shared" si="23"/>
        <v/>
      </c>
    </row>
    <row r="514">
      <c r="P514" t="str">
        <f t="shared" si="3"/>
        <v/>
      </c>
      <c r="R514" t="str">
        <f t="shared" si="5"/>
        <v/>
      </c>
      <c r="T514" t="str">
        <f t="shared" si="7"/>
        <v/>
      </c>
      <c r="V514" t="str">
        <f t="shared" si="9"/>
        <v/>
      </c>
      <c r="X514" t="str">
        <f t="shared" si="11"/>
        <v/>
      </c>
      <c r="Z514" t="str">
        <f t="shared" si="13"/>
        <v/>
      </c>
      <c r="AB514" t="str">
        <f t="shared" si="15"/>
        <v/>
      </c>
      <c r="AD514" t="str">
        <f t="shared" si="17"/>
        <v/>
      </c>
      <c r="AF514" t="str">
        <f t="shared" si="19"/>
        <v/>
      </c>
      <c r="AH514" t="str">
        <f t="shared" si="21"/>
        <v/>
      </c>
      <c r="AJ514" t="str">
        <f t="shared" si="23"/>
        <v/>
      </c>
    </row>
    <row r="515">
      <c r="P515" t="str">
        <f t="shared" si="3"/>
        <v/>
      </c>
      <c r="R515" t="str">
        <f t="shared" si="5"/>
        <v/>
      </c>
      <c r="T515" t="str">
        <f t="shared" si="7"/>
        <v/>
      </c>
      <c r="V515" t="str">
        <f t="shared" si="9"/>
        <v/>
      </c>
      <c r="X515" t="str">
        <f t="shared" si="11"/>
        <v/>
      </c>
      <c r="Z515" t="str">
        <f t="shared" si="13"/>
        <v/>
      </c>
      <c r="AB515" t="str">
        <f t="shared" si="15"/>
        <v/>
      </c>
      <c r="AD515" t="str">
        <f t="shared" si="17"/>
        <v/>
      </c>
      <c r="AF515" t="str">
        <f t="shared" si="19"/>
        <v/>
      </c>
      <c r="AH515" t="str">
        <f t="shared" si="21"/>
        <v/>
      </c>
      <c r="AJ515" t="str">
        <f t="shared" si="23"/>
        <v/>
      </c>
    </row>
    <row r="516">
      <c r="P516" t="str">
        <f t="shared" si="3"/>
        <v/>
      </c>
      <c r="R516" t="str">
        <f t="shared" si="5"/>
        <v/>
      </c>
      <c r="T516" t="str">
        <f t="shared" si="7"/>
        <v/>
      </c>
      <c r="V516" t="str">
        <f t="shared" si="9"/>
        <v/>
      </c>
      <c r="X516" t="str">
        <f t="shared" si="11"/>
        <v/>
      </c>
      <c r="Z516" t="str">
        <f t="shared" si="13"/>
        <v/>
      </c>
      <c r="AB516" t="str">
        <f t="shared" si="15"/>
        <v/>
      </c>
      <c r="AD516" t="str">
        <f t="shared" si="17"/>
        <v/>
      </c>
      <c r="AF516" t="str">
        <f t="shared" si="19"/>
        <v/>
      </c>
      <c r="AH516" t="str">
        <f t="shared" si="21"/>
        <v/>
      </c>
      <c r="AJ516" t="str">
        <f t="shared" si="23"/>
        <v/>
      </c>
    </row>
    <row r="517">
      <c r="P517" t="str">
        <f t="shared" si="3"/>
        <v/>
      </c>
      <c r="R517" t="str">
        <f t="shared" si="5"/>
        <v/>
      </c>
      <c r="T517" t="str">
        <f t="shared" si="7"/>
        <v/>
      </c>
      <c r="V517" t="str">
        <f t="shared" si="9"/>
        <v/>
      </c>
      <c r="X517" t="str">
        <f t="shared" si="11"/>
        <v/>
      </c>
      <c r="Z517" t="str">
        <f t="shared" si="13"/>
        <v/>
      </c>
      <c r="AB517" t="str">
        <f t="shared" si="15"/>
        <v/>
      </c>
      <c r="AD517" t="str">
        <f t="shared" si="17"/>
        <v/>
      </c>
      <c r="AF517" t="str">
        <f t="shared" si="19"/>
        <v/>
      </c>
      <c r="AH517" t="str">
        <f t="shared" si="21"/>
        <v/>
      </c>
      <c r="AJ517" t="str">
        <f t="shared" si="23"/>
        <v/>
      </c>
    </row>
    <row r="518">
      <c r="P518" t="str">
        <f t="shared" si="3"/>
        <v/>
      </c>
      <c r="R518" t="str">
        <f t="shared" si="5"/>
        <v/>
      </c>
      <c r="T518" t="str">
        <f t="shared" si="7"/>
        <v/>
      </c>
      <c r="V518" t="str">
        <f t="shared" si="9"/>
        <v/>
      </c>
      <c r="X518" t="str">
        <f t="shared" si="11"/>
        <v/>
      </c>
      <c r="Z518" t="str">
        <f t="shared" si="13"/>
        <v/>
      </c>
      <c r="AB518" t="str">
        <f t="shared" si="15"/>
        <v/>
      </c>
      <c r="AD518" t="str">
        <f t="shared" si="17"/>
        <v/>
      </c>
      <c r="AF518" t="str">
        <f t="shared" si="19"/>
        <v/>
      </c>
      <c r="AH518" t="str">
        <f t="shared" si="21"/>
        <v/>
      </c>
      <c r="AJ518" t="str">
        <f t="shared" si="23"/>
        <v/>
      </c>
    </row>
    <row r="519">
      <c r="P519" t="str">
        <f t="shared" si="3"/>
        <v/>
      </c>
      <c r="R519" t="str">
        <f t="shared" si="5"/>
        <v/>
      </c>
      <c r="T519" t="str">
        <f t="shared" si="7"/>
        <v/>
      </c>
      <c r="V519" t="str">
        <f t="shared" si="9"/>
        <v/>
      </c>
      <c r="X519" t="str">
        <f t="shared" si="11"/>
        <v/>
      </c>
      <c r="Z519" t="str">
        <f t="shared" si="13"/>
        <v/>
      </c>
      <c r="AB519" t="str">
        <f t="shared" si="15"/>
        <v/>
      </c>
      <c r="AD519" t="str">
        <f t="shared" si="17"/>
        <v/>
      </c>
      <c r="AF519" t="str">
        <f t="shared" si="19"/>
        <v/>
      </c>
      <c r="AH519" t="str">
        <f t="shared" si="21"/>
        <v/>
      </c>
      <c r="AJ519" t="str">
        <f t="shared" si="23"/>
        <v/>
      </c>
    </row>
    <row r="520">
      <c r="P520" t="str">
        <f t="shared" si="3"/>
        <v/>
      </c>
      <c r="R520" t="str">
        <f t="shared" si="5"/>
        <v/>
      </c>
      <c r="T520" t="str">
        <f t="shared" si="7"/>
        <v/>
      </c>
      <c r="V520" t="str">
        <f t="shared" si="9"/>
        <v/>
      </c>
      <c r="X520" t="str">
        <f t="shared" si="11"/>
        <v/>
      </c>
      <c r="Z520" t="str">
        <f t="shared" si="13"/>
        <v/>
      </c>
      <c r="AB520" t="str">
        <f t="shared" si="15"/>
        <v/>
      </c>
      <c r="AD520" t="str">
        <f t="shared" si="17"/>
        <v/>
      </c>
      <c r="AF520" t="str">
        <f t="shared" si="19"/>
        <v/>
      </c>
      <c r="AH520" t="str">
        <f t="shared" si="21"/>
        <v/>
      </c>
      <c r="AJ520" t="str">
        <f t="shared" si="23"/>
        <v/>
      </c>
    </row>
    <row r="521">
      <c r="P521" t="str">
        <f t="shared" si="3"/>
        <v/>
      </c>
      <c r="R521" t="str">
        <f t="shared" si="5"/>
        <v/>
      </c>
      <c r="T521" t="str">
        <f t="shared" si="7"/>
        <v/>
      </c>
      <c r="V521" t="str">
        <f t="shared" si="9"/>
        <v/>
      </c>
      <c r="X521" t="str">
        <f t="shared" si="11"/>
        <v/>
      </c>
      <c r="Z521" t="str">
        <f t="shared" si="13"/>
        <v/>
      </c>
      <c r="AB521" t="str">
        <f t="shared" si="15"/>
        <v/>
      </c>
      <c r="AD521" t="str">
        <f t="shared" si="17"/>
        <v/>
      </c>
      <c r="AF521" t="str">
        <f t="shared" si="19"/>
        <v/>
      </c>
      <c r="AH521" t="str">
        <f t="shared" si="21"/>
        <v/>
      </c>
      <c r="AJ521" t="str">
        <f t="shared" si="23"/>
        <v/>
      </c>
    </row>
    <row r="522">
      <c r="P522" t="str">
        <f t="shared" si="3"/>
        <v/>
      </c>
      <c r="R522" t="str">
        <f t="shared" si="5"/>
        <v/>
      </c>
      <c r="T522" t="str">
        <f t="shared" si="7"/>
        <v/>
      </c>
      <c r="V522" t="str">
        <f t="shared" si="9"/>
        <v/>
      </c>
      <c r="X522" t="str">
        <f t="shared" si="11"/>
        <v/>
      </c>
      <c r="Z522" t="str">
        <f t="shared" si="13"/>
        <v/>
      </c>
      <c r="AB522" t="str">
        <f t="shared" si="15"/>
        <v/>
      </c>
      <c r="AD522" t="str">
        <f t="shared" si="17"/>
        <v/>
      </c>
      <c r="AF522" t="str">
        <f t="shared" si="19"/>
        <v/>
      </c>
      <c r="AH522" t="str">
        <f t="shared" si="21"/>
        <v/>
      </c>
      <c r="AJ522" t="str">
        <f t="shared" si="23"/>
        <v/>
      </c>
    </row>
    <row r="523">
      <c r="P523" t="str">
        <f t="shared" si="3"/>
        <v/>
      </c>
      <c r="R523" t="str">
        <f t="shared" si="5"/>
        <v/>
      </c>
      <c r="T523" t="str">
        <f t="shared" si="7"/>
        <v/>
      </c>
      <c r="V523" t="str">
        <f t="shared" si="9"/>
        <v/>
      </c>
      <c r="X523" t="str">
        <f t="shared" si="11"/>
        <v/>
      </c>
      <c r="Z523" t="str">
        <f t="shared" si="13"/>
        <v/>
      </c>
      <c r="AB523" t="str">
        <f t="shared" si="15"/>
        <v/>
      </c>
      <c r="AD523" t="str">
        <f t="shared" si="17"/>
        <v/>
      </c>
      <c r="AF523" t="str">
        <f t="shared" si="19"/>
        <v/>
      </c>
      <c r="AH523" t="str">
        <f t="shared" si="21"/>
        <v/>
      </c>
      <c r="AJ523" t="str">
        <f t="shared" si="23"/>
        <v/>
      </c>
    </row>
    <row r="524">
      <c r="P524" t="str">
        <f t="shared" si="3"/>
        <v/>
      </c>
      <c r="R524" t="str">
        <f t="shared" si="5"/>
        <v/>
      </c>
      <c r="T524" t="str">
        <f t="shared" si="7"/>
        <v/>
      </c>
      <c r="V524" t="str">
        <f t="shared" si="9"/>
        <v/>
      </c>
      <c r="X524" t="str">
        <f t="shared" si="11"/>
        <v/>
      </c>
      <c r="Z524" t="str">
        <f t="shared" si="13"/>
        <v/>
      </c>
      <c r="AB524" t="str">
        <f t="shared" si="15"/>
        <v/>
      </c>
      <c r="AD524" t="str">
        <f t="shared" si="17"/>
        <v/>
      </c>
      <c r="AF524" t="str">
        <f t="shared" si="19"/>
        <v/>
      </c>
      <c r="AH524" t="str">
        <f t="shared" si="21"/>
        <v/>
      </c>
      <c r="AJ524" t="str">
        <f t="shared" si="23"/>
        <v/>
      </c>
    </row>
    <row r="525">
      <c r="P525" t="str">
        <f t="shared" si="3"/>
        <v/>
      </c>
      <c r="R525" t="str">
        <f t="shared" si="5"/>
        <v/>
      </c>
      <c r="T525" t="str">
        <f t="shared" si="7"/>
        <v/>
      </c>
      <c r="V525" t="str">
        <f t="shared" si="9"/>
        <v/>
      </c>
      <c r="X525" t="str">
        <f t="shared" si="11"/>
        <v/>
      </c>
      <c r="Z525" t="str">
        <f t="shared" si="13"/>
        <v/>
      </c>
      <c r="AB525" t="str">
        <f t="shared" si="15"/>
        <v/>
      </c>
      <c r="AD525" t="str">
        <f t="shared" si="17"/>
        <v/>
      </c>
      <c r="AF525" t="str">
        <f t="shared" si="19"/>
        <v/>
      </c>
      <c r="AH525" t="str">
        <f t="shared" si="21"/>
        <v/>
      </c>
      <c r="AJ525" t="str">
        <f t="shared" si="23"/>
        <v/>
      </c>
    </row>
    <row r="526">
      <c r="P526" t="str">
        <f t="shared" si="3"/>
        <v/>
      </c>
      <c r="R526" t="str">
        <f t="shared" si="5"/>
        <v/>
      </c>
      <c r="T526" t="str">
        <f t="shared" si="7"/>
        <v/>
      </c>
      <c r="V526" t="str">
        <f t="shared" si="9"/>
        <v/>
      </c>
      <c r="X526" t="str">
        <f t="shared" si="11"/>
        <v/>
      </c>
      <c r="Z526" t="str">
        <f t="shared" si="13"/>
        <v/>
      </c>
      <c r="AB526" t="str">
        <f t="shared" si="15"/>
        <v/>
      </c>
      <c r="AD526" t="str">
        <f t="shared" si="17"/>
        <v/>
      </c>
      <c r="AF526" t="str">
        <f t="shared" si="19"/>
        <v/>
      </c>
      <c r="AH526" t="str">
        <f t="shared" si="21"/>
        <v/>
      </c>
      <c r="AJ526" t="str">
        <f t="shared" si="23"/>
        <v/>
      </c>
    </row>
    <row r="527">
      <c r="P527" t="str">
        <f t="shared" si="3"/>
        <v/>
      </c>
      <c r="R527" t="str">
        <f t="shared" si="5"/>
        <v/>
      </c>
      <c r="T527" t="str">
        <f t="shared" si="7"/>
        <v/>
      </c>
      <c r="V527" t="str">
        <f t="shared" si="9"/>
        <v/>
      </c>
      <c r="X527" t="str">
        <f t="shared" si="11"/>
        <v/>
      </c>
      <c r="Z527" t="str">
        <f t="shared" si="13"/>
        <v/>
      </c>
      <c r="AB527" t="str">
        <f t="shared" si="15"/>
        <v/>
      </c>
      <c r="AD527" t="str">
        <f t="shared" si="17"/>
        <v/>
      </c>
      <c r="AF527" t="str">
        <f t="shared" si="19"/>
        <v/>
      </c>
      <c r="AH527" t="str">
        <f t="shared" si="21"/>
        <v/>
      </c>
      <c r="AJ527" t="str">
        <f t="shared" si="23"/>
        <v/>
      </c>
    </row>
    <row r="528">
      <c r="P528" t="str">
        <f t="shared" si="3"/>
        <v/>
      </c>
      <c r="R528" t="str">
        <f t="shared" si="5"/>
        <v/>
      </c>
      <c r="T528" t="str">
        <f t="shared" si="7"/>
        <v/>
      </c>
      <c r="V528" t="str">
        <f t="shared" si="9"/>
        <v/>
      </c>
      <c r="X528" t="str">
        <f t="shared" si="11"/>
        <v/>
      </c>
      <c r="Z528" t="str">
        <f t="shared" si="13"/>
        <v/>
      </c>
      <c r="AB528" t="str">
        <f t="shared" si="15"/>
        <v/>
      </c>
      <c r="AD528" t="str">
        <f t="shared" si="17"/>
        <v/>
      </c>
      <c r="AF528" t="str">
        <f t="shared" si="19"/>
        <v/>
      </c>
      <c r="AH528" t="str">
        <f t="shared" si="21"/>
        <v/>
      </c>
      <c r="AJ528" t="str">
        <f t="shared" si="23"/>
        <v/>
      </c>
    </row>
    <row r="529">
      <c r="P529" t="str">
        <f t="shared" si="3"/>
        <v/>
      </c>
      <c r="R529" t="str">
        <f t="shared" si="5"/>
        <v/>
      </c>
      <c r="T529" t="str">
        <f t="shared" si="7"/>
        <v/>
      </c>
      <c r="V529" t="str">
        <f t="shared" si="9"/>
        <v/>
      </c>
      <c r="X529" t="str">
        <f t="shared" si="11"/>
        <v/>
      </c>
      <c r="Z529" t="str">
        <f t="shared" si="13"/>
        <v/>
      </c>
      <c r="AB529" t="str">
        <f t="shared" si="15"/>
        <v/>
      </c>
      <c r="AD529" t="str">
        <f t="shared" si="17"/>
        <v/>
      </c>
      <c r="AF529" t="str">
        <f t="shared" si="19"/>
        <v/>
      </c>
      <c r="AH529" t="str">
        <f t="shared" si="21"/>
        <v/>
      </c>
      <c r="AJ529" t="str">
        <f t="shared" si="23"/>
        <v/>
      </c>
    </row>
    <row r="530">
      <c r="P530" t="str">
        <f t="shared" si="3"/>
        <v/>
      </c>
      <c r="R530" t="str">
        <f t="shared" si="5"/>
        <v/>
      </c>
      <c r="T530" t="str">
        <f t="shared" si="7"/>
        <v/>
      </c>
      <c r="V530" t="str">
        <f t="shared" si="9"/>
        <v/>
      </c>
      <c r="X530" t="str">
        <f t="shared" si="11"/>
        <v/>
      </c>
      <c r="Z530" t="str">
        <f t="shared" si="13"/>
        <v/>
      </c>
      <c r="AB530" t="str">
        <f t="shared" si="15"/>
        <v/>
      </c>
      <c r="AD530" t="str">
        <f t="shared" si="17"/>
        <v/>
      </c>
      <c r="AF530" t="str">
        <f t="shared" si="19"/>
        <v/>
      </c>
      <c r="AH530" t="str">
        <f t="shared" si="21"/>
        <v/>
      </c>
      <c r="AJ530" t="str">
        <f t="shared" si="23"/>
        <v/>
      </c>
    </row>
    <row r="531">
      <c r="P531" t="str">
        <f t="shared" si="3"/>
        <v/>
      </c>
      <c r="R531" t="str">
        <f t="shared" si="5"/>
        <v/>
      </c>
      <c r="T531" t="str">
        <f t="shared" si="7"/>
        <v/>
      </c>
      <c r="V531" t="str">
        <f t="shared" si="9"/>
        <v/>
      </c>
      <c r="X531" t="str">
        <f t="shared" si="11"/>
        <v/>
      </c>
      <c r="Z531" t="str">
        <f t="shared" si="13"/>
        <v/>
      </c>
      <c r="AB531" t="str">
        <f t="shared" si="15"/>
        <v/>
      </c>
      <c r="AD531" t="str">
        <f t="shared" si="17"/>
        <v/>
      </c>
      <c r="AF531" t="str">
        <f t="shared" si="19"/>
        <v/>
      </c>
      <c r="AH531" t="str">
        <f t="shared" si="21"/>
        <v/>
      </c>
      <c r="AJ531" t="str">
        <f t="shared" si="23"/>
        <v/>
      </c>
    </row>
    <row r="532">
      <c r="P532" t="str">
        <f t="shared" si="3"/>
        <v/>
      </c>
      <c r="R532" t="str">
        <f t="shared" si="5"/>
        <v/>
      </c>
      <c r="T532" t="str">
        <f t="shared" si="7"/>
        <v/>
      </c>
      <c r="V532" t="str">
        <f t="shared" si="9"/>
        <v/>
      </c>
      <c r="X532" t="str">
        <f t="shared" si="11"/>
        <v/>
      </c>
      <c r="Z532" t="str">
        <f t="shared" si="13"/>
        <v/>
      </c>
      <c r="AB532" t="str">
        <f t="shared" si="15"/>
        <v/>
      </c>
      <c r="AD532" t="str">
        <f t="shared" si="17"/>
        <v/>
      </c>
      <c r="AF532" t="str">
        <f t="shared" si="19"/>
        <v/>
      </c>
      <c r="AH532" t="str">
        <f t="shared" si="21"/>
        <v/>
      </c>
      <c r="AJ532" t="str">
        <f t="shared" si="23"/>
        <v/>
      </c>
    </row>
    <row r="533">
      <c r="P533" t="str">
        <f t="shared" si="3"/>
        <v/>
      </c>
      <c r="R533" t="str">
        <f t="shared" si="5"/>
        <v/>
      </c>
      <c r="T533" t="str">
        <f t="shared" si="7"/>
        <v/>
      </c>
      <c r="V533" t="str">
        <f t="shared" si="9"/>
        <v/>
      </c>
      <c r="X533" t="str">
        <f t="shared" si="11"/>
        <v/>
      </c>
      <c r="Z533" t="str">
        <f t="shared" si="13"/>
        <v/>
      </c>
      <c r="AB533" t="str">
        <f t="shared" si="15"/>
        <v/>
      </c>
      <c r="AD533" t="str">
        <f t="shared" si="17"/>
        <v/>
      </c>
      <c r="AF533" t="str">
        <f t="shared" si="19"/>
        <v/>
      </c>
      <c r="AH533" t="str">
        <f t="shared" si="21"/>
        <v/>
      </c>
      <c r="AJ533" t="str">
        <f t="shared" si="23"/>
        <v/>
      </c>
    </row>
    <row r="534">
      <c r="P534" t="str">
        <f t="shared" si="3"/>
        <v/>
      </c>
      <c r="R534" t="str">
        <f t="shared" si="5"/>
        <v/>
      </c>
      <c r="T534" t="str">
        <f t="shared" si="7"/>
        <v/>
      </c>
      <c r="V534" t="str">
        <f t="shared" si="9"/>
        <v/>
      </c>
      <c r="X534" t="str">
        <f t="shared" si="11"/>
        <v/>
      </c>
      <c r="Z534" t="str">
        <f t="shared" si="13"/>
        <v/>
      </c>
      <c r="AB534" t="str">
        <f t="shared" si="15"/>
        <v/>
      </c>
      <c r="AD534" t="str">
        <f t="shared" si="17"/>
        <v/>
      </c>
      <c r="AF534" t="str">
        <f t="shared" si="19"/>
        <v/>
      </c>
      <c r="AH534" t="str">
        <f t="shared" si="21"/>
        <v/>
      </c>
      <c r="AJ534" t="str">
        <f t="shared" si="23"/>
        <v/>
      </c>
    </row>
    <row r="535">
      <c r="P535" t="str">
        <f t="shared" si="3"/>
        <v/>
      </c>
      <c r="R535" t="str">
        <f t="shared" si="5"/>
        <v/>
      </c>
      <c r="T535" t="str">
        <f t="shared" si="7"/>
        <v/>
      </c>
      <c r="V535" t="str">
        <f t="shared" si="9"/>
        <v/>
      </c>
      <c r="X535" t="str">
        <f t="shared" si="11"/>
        <v/>
      </c>
      <c r="Z535" t="str">
        <f t="shared" si="13"/>
        <v/>
      </c>
      <c r="AB535" t="str">
        <f t="shared" si="15"/>
        <v/>
      </c>
      <c r="AD535" t="str">
        <f t="shared" si="17"/>
        <v/>
      </c>
      <c r="AF535" t="str">
        <f t="shared" si="19"/>
        <v/>
      </c>
      <c r="AH535" t="str">
        <f t="shared" si="21"/>
        <v/>
      </c>
      <c r="AJ535" t="str">
        <f t="shared" si="23"/>
        <v/>
      </c>
    </row>
    <row r="536">
      <c r="P536" t="str">
        <f t="shared" si="3"/>
        <v/>
      </c>
      <c r="R536" t="str">
        <f t="shared" si="5"/>
        <v/>
      </c>
      <c r="T536" t="str">
        <f t="shared" si="7"/>
        <v/>
      </c>
      <c r="V536" t="str">
        <f t="shared" si="9"/>
        <v/>
      </c>
      <c r="X536" t="str">
        <f t="shared" si="11"/>
        <v/>
      </c>
      <c r="Z536" t="str">
        <f t="shared" si="13"/>
        <v/>
      </c>
      <c r="AB536" t="str">
        <f t="shared" si="15"/>
        <v/>
      </c>
      <c r="AD536" t="str">
        <f t="shared" si="17"/>
        <v/>
      </c>
      <c r="AF536" t="str">
        <f t="shared" si="19"/>
        <v/>
      </c>
      <c r="AH536" t="str">
        <f t="shared" si="21"/>
        <v/>
      </c>
      <c r="AJ536" t="str">
        <f t="shared" si="23"/>
        <v/>
      </c>
    </row>
    <row r="537">
      <c r="P537" t="str">
        <f t="shared" si="3"/>
        <v/>
      </c>
      <c r="R537" t="str">
        <f t="shared" si="5"/>
        <v/>
      </c>
      <c r="T537" t="str">
        <f t="shared" si="7"/>
        <v/>
      </c>
      <c r="V537" t="str">
        <f t="shared" si="9"/>
        <v/>
      </c>
      <c r="X537" t="str">
        <f t="shared" si="11"/>
        <v/>
      </c>
      <c r="Z537" t="str">
        <f t="shared" si="13"/>
        <v/>
      </c>
      <c r="AB537" t="str">
        <f t="shared" si="15"/>
        <v/>
      </c>
      <c r="AD537" t="str">
        <f t="shared" si="17"/>
        <v/>
      </c>
      <c r="AF537" t="str">
        <f t="shared" si="19"/>
        <v/>
      </c>
      <c r="AH537" t="str">
        <f t="shared" si="21"/>
        <v/>
      </c>
      <c r="AJ537" t="str">
        <f t="shared" si="23"/>
        <v/>
      </c>
    </row>
    <row r="538">
      <c r="P538" t="str">
        <f t="shared" si="3"/>
        <v/>
      </c>
      <c r="R538" t="str">
        <f t="shared" si="5"/>
        <v/>
      </c>
      <c r="T538" t="str">
        <f t="shared" si="7"/>
        <v/>
      </c>
      <c r="V538" t="str">
        <f t="shared" si="9"/>
        <v/>
      </c>
      <c r="X538" t="str">
        <f t="shared" si="11"/>
        <v/>
      </c>
      <c r="Z538" t="str">
        <f t="shared" si="13"/>
        <v/>
      </c>
      <c r="AB538" t="str">
        <f t="shared" si="15"/>
        <v/>
      </c>
      <c r="AD538" t="str">
        <f t="shared" si="17"/>
        <v/>
      </c>
      <c r="AF538" t="str">
        <f t="shared" si="19"/>
        <v/>
      </c>
      <c r="AH538" t="str">
        <f t="shared" si="21"/>
        <v/>
      </c>
      <c r="AJ538" t="str">
        <f t="shared" si="23"/>
        <v/>
      </c>
    </row>
    <row r="539">
      <c r="P539" t="str">
        <f t="shared" si="3"/>
        <v/>
      </c>
      <c r="R539" t="str">
        <f t="shared" si="5"/>
        <v/>
      </c>
      <c r="T539" t="str">
        <f t="shared" si="7"/>
        <v/>
      </c>
      <c r="V539" t="str">
        <f t="shared" si="9"/>
        <v/>
      </c>
      <c r="X539" t="str">
        <f t="shared" si="11"/>
        <v/>
      </c>
      <c r="Z539" t="str">
        <f t="shared" si="13"/>
        <v/>
      </c>
      <c r="AB539" t="str">
        <f t="shared" si="15"/>
        <v/>
      </c>
      <c r="AD539" t="str">
        <f t="shared" si="17"/>
        <v/>
      </c>
      <c r="AF539" t="str">
        <f t="shared" si="19"/>
        <v/>
      </c>
      <c r="AH539" t="str">
        <f t="shared" si="21"/>
        <v/>
      </c>
      <c r="AJ539" t="str">
        <f t="shared" si="23"/>
        <v/>
      </c>
    </row>
    <row r="540">
      <c r="P540" t="str">
        <f t="shared" si="3"/>
        <v/>
      </c>
      <c r="R540" t="str">
        <f t="shared" si="5"/>
        <v/>
      </c>
      <c r="T540" t="str">
        <f t="shared" si="7"/>
        <v/>
      </c>
      <c r="V540" t="str">
        <f t="shared" si="9"/>
        <v/>
      </c>
      <c r="X540" t="str">
        <f t="shared" si="11"/>
        <v/>
      </c>
      <c r="Z540" t="str">
        <f t="shared" si="13"/>
        <v/>
      </c>
      <c r="AB540" t="str">
        <f t="shared" si="15"/>
        <v/>
      </c>
      <c r="AD540" t="str">
        <f t="shared" si="17"/>
        <v/>
      </c>
      <c r="AF540" t="str">
        <f t="shared" si="19"/>
        <v/>
      </c>
      <c r="AH540" t="str">
        <f t="shared" si="21"/>
        <v/>
      </c>
      <c r="AJ540" t="str">
        <f t="shared" si="23"/>
        <v/>
      </c>
    </row>
    <row r="541">
      <c r="P541" t="str">
        <f t="shared" si="3"/>
        <v/>
      </c>
      <c r="R541" t="str">
        <f t="shared" si="5"/>
        <v/>
      </c>
      <c r="T541" t="str">
        <f t="shared" si="7"/>
        <v/>
      </c>
      <c r="V541" t="str">
        <f t="shared" si="9"/>
        <v/>
      </c>
      <c r="X541" t="str">
        <f t="shared" si="11"/>
        <v/>
      </c>
      <c r="Z541" t="str">
        <f t="shared" si="13"/>
        <v/>
      </c>
      <c r="AB541" t="str">
        <f t="shared" si="15"/>
        <v/>
      </c>
      <c r="AD541" t="str">
        <f t="shared" si="17"/>
        <v/>
      </c>
      <c r="AF541" t="str">
        <f t="shared" si="19"/>
        <v/>
      </c>
      <c r="AH541" t="str">
        <f t="shared" si="21"/>
        <v/>
      </c>
      <c r="AJ541" t="str">
        <f t="shared" si="23"/>
        <v/>
      </c>
    </row>
    <row r="542">
      <c r="P542" t="str">
        <f t="shared" si="3"/>
        <v/>
      </c>
      <c r="R542" t="str">
        <f t="shared" si="5"/>
        <v/>
      </c>
      <c r="T542" t="str">
        <f t="shared" si="7"/>
        <v/>
      </c>
      <c r="V542" t="str">
        <f t="shared" si="9"/>
        <v/>
      </c>
      <c r="X542" t="str">
        <f t="shared" si="11"/>
        <v/>
      </c>
      <c r="Z542" t="str">
        <f t="shared" si="13"/>
        <v/>
      </c>
      <c r="AB542" t="str">
        <f t="shared" si="15"/>
        <v/>
      </c>
      <c r="AD542" t="str">
        <f t="shared" si="17"/>
        <v/>
      </c>
      <c r="AF542" t="str">
        <f t="shared" si="19"/>
        <v/>
      </c>
      <c r="AH542" t="str">
        <f t="shared" si="21"/>
        <v/>
      </c>
      <c r="AJ542" t="str">
        <f t="shared" si="23"/>
        <v/>
      </c>
    </row>
    <row r="543">
      <c r="P543" t="str">
        <f t="shared" si="3"/>
        <v/>
      </c>
      <c r="R543" t="str">
        <f t="shared" si="5"/>
        <v/>
      </c>
      <c r="T543" t="str">
        <f t="shared" si="7"/>
        <v/>
      </c>
      <c r="V543" t="str">
        <f t="shared" si="9"/>
        <v/>
      </c>
      <c r="X543" t="str">
        <f t="shared" si="11"/>
        <v/>
      </c>
      <c r="Z543" t="str">
        <f t="shared" si="13"/>
        <v/>
      </c>
      <c r="AB543" t="str">
        <f t="shared" si="15"/>
        <v/>
      </c>
      <c r="AD543" t="str">
        <f t="shared" si="17"/>
        <v/>
      </c>
      <c r="AF543" t="str">
        <f t="shared" si="19"/>
        <v/>
      </c>
      <c r="AH543" t="str">
        <f t="shared" si="21"/>
        <v/>
      </c>
      <c r="AJ543" t="str">
        <f t="shared" si="23"/>
        <v/>
      </c>
    </row>
    <row r="544">
      <c r="P544" t="str">
        <f t="shared" si="3"/>
        <v/>
      </c>
      <c r="R544" t="str">
        <f t="shared" si="5"/>
        <v/>
      </c>
      <c r="T544" t="str">
        <f t="shared" si="7"/>
        <v/>
      </c>
      <c r="V544" t="str">
        <f t="shared" si="9"/>
        <v/>
      </c>
      <c r="X544" t="str">
        <f t="shared" si="11"/>
        <v/>
      </c>
      <c r="Z544" t="str">
        <f t="shared" si="13"/>
        <v/>
      </c>
      <c r="AB544" t="str">
        <f t="shared" si="15"/>
        <v/>
      </c>
      <c r="AD544" t="str">
        <f t="shared" si="17"/>
        <v/>
      </c>
      <c r="AF544" t="str">
        <f t="shared" si="19"/>
        <v/>
      </c>
      <c r="AH544" t="str">
        <f t="shared" si="21"/>
        <v/>
      </c>
      <c r="AJ544" t="str">
        <f t="shared" si="23"/>
        <v/>
      </c>
    </row>
    <row r="545">
      <c r="P545" t="str">
        <f t="shared" si="3"/>
        <v/>
      </c>
      <c r="R545" t="str">
        <f t="shared" si="5"/>
        <v/>
      </c>
      <c r="T545" t="str">
        <f t="shared" si="7"/>
        <v/>
      </c>
      <c r="V545" t="str">
        <f t="shared" si="9"/>
        <v/>
      </c>
      <c r="X545" t="str">
        <f t="shared" si="11"/>
        <v/>
      </c>
      <c r="Z545" t="str">
        <f t="shared" si="13"/>
        <v/>
      </c>
      <c r="AB545" t="str">
        <f t="shared" si="15"/>
        <v/>
      </c>
      <c r="AD545" t="str">
        <f t="shared" si="17"/>
        <v/>
      </c>
      <c r="AF545" t="str">
        <f t="shared" si="19"/>
        <v/>
      </c>
      <c r="AH545" t="str">
        <f t="shared" si="21"/>
        <v/>
      </c>
      <c r="AJ545" t="str">
        <f t="shared" si="23"/>
        <v/>
      </c>
    </row>
    <row r="546">
      <c r="P546" t="str">
        <f t="shared" si="3"/>
        <v/>
      </c>
      <c r="R546" t="str">
        <f t="shared" si="5"/>
        <v/>
      </c>
      <c r="T546" t="str">
        <f t="shared" si="7"/>
        <v/>
      </c>
      <c r="V546" t="str">
        <f t="shared" si="9"/>
        <v/>
      </c>
      <c r="X546" t="str">
        <f t="shared" si="11"/>
        <v/>
      </c>
      <c r="Z546" t="str">
        <f t="shared" si="13"/>
        <v/>
      </c>
      <c r="AB546" t="str">
        <f t="shared" si="15"/>
        <v/>
      </c>
      <c r="AD546" t="str">
        <f t="shared" si="17"/>
        <v/>
      </c>
      <c r="AF546" t="str">
        <f t="shared" si="19"/>
        <v/>
      </c>
      <c r="AH546" t="str">
        <f t="shared" si="21"/>
        <v/>
      </c>
      <c r="AJ546" t="str">
        <f t="shared" si="23"/>
        <v/>
      </c>
    </row>
    <row r="547">
      <c r="P547" t="str">
        <f t="shared" si="3"/>
        <v/>
      </c>
      <c r="R547" t="str">
        <f t="shared" si="5"/>
        <v/>
      </c>
      <c r="T547" t="str">
        <f t="shared" si="7"/>
        <v/>
      </c>
      <c r="V547" t="str">
        <f t="shared" si="9"/>
        <v/>
      </c>
      <c r="X547" t="str">
        <f t="shared" si="11"/>
        <v/>
      </c>
      <c r="Z547" t="str">
        <f t="shared" si="13"/>
        <v/>
      </c>
      <c r="AB547" t="str">
        <f t="shared" si="15"/>
        <v/>
      </c>
      <c r="AD547" t="str">
        <f t="shared" si="17"/>
        <v/>
      </c>
      <c r="AF547" t="str">
        <f t="shared" si="19"/>
        <v/>
      </c>
      <c r="AH547" t="str">
        <f t="shared" si="21"/>
        <v/>
      </c>
      <c r="AJ547" t="str">
        <f t="shared" si="23"/>
        <v/>
      </c>
    </row>
    <row r="548">
      <c r="P548" t="str">
        <f t="shared" si="3"/>
        <v/>
      </c>
      <c r="R548" t="str">
        <f t="shared" si="5"/>
        <v/>
      </c>
      <c r="T548" t="str">
        <f t="shared" si="7"/>
        <v/>
      </c>
      <c r="V548" t="str">
        <f t="shared" si="9"/>
        <v/>
      </c>
      <c r="X548" t="str">
        <f t="shared" si="11"/>
        <v/>
      </c>
      <c r="Z548" t="str">
        <f t="shared" si="13"/>
        <v/>
      </c>
      <c r="AB548" t="str">
        <f t="shared" si="15"/>
        <v/>
      </c>
      <c r="AD548" t="str">
        <f t="shared" si="17"/>
        <v/>
      </c>
      <c r="AF548" t="str">
        <f t="shared" si="19"/>
        <v/>
      </c>
      <c r="AH548" t="str">
        <f t="shared" si="21"/>
        <v/>
      </c>
      <c r="AJ548" t="str">
        <f t="shared" si="23"/>
        <v/>
      </c>
    </row>
    <row r="549">
      <c r="P549" t="str">
        <f t="shared" si="3"/>
        <v/>
      </c>
      <c r="R549" t="str">
        <f t="shared" si="5"/>
        <v/>
      </c>
      <c r="T549" t="str">
        <f t="shared" si="7"/>
        <v/>
      </c>
      <c r="V549" t="str">
        <f t="shared" si="9"/>
        <v/>
      </c>
      <c r="X549" t="str">
        <f t="shared" si="11"/>
        <v/>
      </c>
      <c r="Z549" t="str">
        <f t="shared" si="13"/>
        <v/>
      </c>
      <c r="AB549" t="str">
        <f t="shared" si="15"/>
        <v/>
      </c>
      <c r="AD549" t="str">
        <f t="shared" si="17"/>
        <v/>
      </c>
      <c r="AF549" t="str">
        <f t="shared" si="19"/>
        <v/>
      </c>
      <c r="AH549" t="str">
        <f t="shared" si="21"/>
        <v/>
      </c>
      <c r="AJ549" t="str">
        <f t="shared" si="23"/>
        <v/>
      </c>
    </row>
    <row r="550">
      <c r="P550" t="str">
        <f t="shared" si="3"/>
        <v/>
      </c>
      <c r="R550" t="str">
        <f t="shared" si="5"/>
        <v/>
      </c>
      <c r="T550" t="str">
        <f t="shared" si="7"/>
        <v/>
      </c>
      <c r="V550" t="str">
        <f t="shared" si="9"/>
        <v/>
      </c>
      <c r="X550" t="str">
        <f t="shared" si="11"/>
        <v/>
      </c>
      <c r="Z550" t="str">
        <f t="shared" si="13"/>
        <v/>
      </c>
      <c r="AB550" t="str">
        <f t="shared" si="15"/>
        <v/>
      </c>
      <c r="AD550" t="str">
        <f t="shared" si="17"/>
        <v/>
      </c>
      <c r="AF550" t="str">
        <f t="shared" si="19"/>
        <v/>
      </c>
      <c r="AH550" t="str">
        <f t="shared" si="21"/>
        <v/>
      </c>
      <c r="AJ550" t="str">
        <f t="shared" si="23"/>
        <v/>
      </c>
    </row>
    <row r="551">
      <c r="P551" t="str">
        <f t="shared" si="3"/>
        <v/>
      </c>
      <c r="R551" t="str">
        <f t="shared" si="5"/>
        <v/>
      </c>
      <c r="T551" t="str">
        <f t="shared" si="7"/>
        <v/>
      </c>
      <c r="V551" t="str">
        <f t="shared" si="9"/>
        <v/>
      </c>
      <c r="X551" t="str">
        <f t="shared" si="11"/>
        <v/>
      </c>
      <c r="Z551" t="str">
        <f t="shared" si="13"/>
        <v/>
      </c>
      <c r="AB551" t="str">
        <f t="shared" si="15"/>
        <v/>
      </c>
      <c r="AD551" t="str">
        <f t="shared" si="17"/>
        <v/>
      </c>
      <c r="AF551" t="str">
        <f t="shared" si="19"/>
        <v/>
      </c>
      <c r="AH551" t="str">
        <f t="shared" si="21"/>
        <v/>
      </c>
      <c r="AJ551" t="str">
        <f t="shared" si="23"/>
        <v/>
      </c>
    </row>
    <row r="552">
      <c r="P552" t="str">
        <f t="shared" si="3"/>
        <v/>
      </c>
      <c r="R552" t="str">
        <f t="shared" si="5"/>
        <v/>
      </c>
      <c r="T552" t="str">
        <f t="shared" si="7"/>
        <v/>
      </c>
      <c r="V552" t="str">
        <f t="shared" si="9"/>
        <v/>
      </c>
      <c r="X552" t="str">
        <f t="shared" si="11"/>
        <v/>
      </c>
      <c r="Z552" t="str">
        <f t="shared" si="13"/>
        <v/>
      </c>
      <c r="AB552" t="str">
        <f t="shared" si="15"/>
        <v/>
      </c>
      <c r="AD552" t="str">
        <f t="shared" si="17"/>
        <v/>
      </c>
      <c r="AF552" t="str">
        <f t="shared" si="19"/>
        <v/>
      </c>
      <c r="AH552" t="str">
        <f t="shared" si="21"/>
        <v/>
      </c>
      <c r="AJ552" t="str">
        <f t="shared" si="23"/>
        <v/>
      </c>
    </row>
    <row r="553">
      <c r="P553" t="str">
        <f t="shared" si="3"/>
        <v/>
      </c>
      <c r="R553" t="str">
        <f t="shared" si="5"/>
        <v/>
      </c>
      <c r="T553" t="str">
        <f t="shared" si="7"/>
        <v/>
      </c>
      <c r="V553" t="str">
        <f t="shared" si="9"/>
        <v/>
      </c>
      <c r="X553" t="str">
        <f t="shared" si="11"/>
        <v/>
      </c>
      <c r="Z553" t="str">
        <f t="shared" si="13"/>
        <v/>
      </c>
      <c r="AB553" t="str">
        <f t="shared" si="15"/>
        <v/>
      </c>
      <c r="AD553" t="str">
        <f t="shared" si="17"/>
        <v/>
      </c>
      <c r="AF553" t="str">
        <f t="shared" si="19"/>
        <v/>
      </c>
      <c r="AH553" t="str">
        <f t="shared" si="21"/>
        <v/>
      </c>
      <c r="AJ553" t="str">
        <f t="shared" si="23"/>
        <v/>
      </c>
    </row>
    <row r="554">
      <c r="P554" t="str">
        <f t="shared" si="3"/>
        <v/>
      </c>
      <c r="R554" t="str">
        <f t="shared" si="5"/>
        <v/>
      </c>
      <c r="T554" t="str">
        <f t="shared" si="7"/>
        <v/>
      </c>
      <c r="V554" t="str">
        <f t="shared" si="9"/>
        <v/>
      </c>
      <c r="X554" t="str">
        <f t="shared" si="11"/>
        <v/>
      </c>
      <c r="Z554" t="str">
        <f t="shared" si="13"/>
        <v/>
      </c>
      <c r="AB554" t="str">
        <f t="shared" si="15"/>
        <v/>
      </c>
      <c r="AD554" t="str">
        <f t="shared" si="17"/>
        <v/>
      </c>
      <c r="AF554" t="str">
        <f t="shared" si="19"/>
        <v/>
      </c>
      <c r="AH554" t="str">
        <f t="shared" si="21"/>
        <v/>
      </c>
      <c r="AJ554" t="str">
        <f t="shared" si="23"/>
        <v/>
      </c>
    </row>
    <row r="555">
      <c r="P555" t="str">
        <f t="shared" si="3"/>
        <v/>
      </c>
      <c r="R555" t="str">
        <f t="shared" si="5"/>
        <v/>
      </c>
      <c r="T555" t="str">
        <f t="shared" si="7"/>
        <v/>
      </c>
      <c r="V555" t="str">
        <f t="shared" si="9"/>
        <v/>
      </c>
      <c r="X555" t="str">
        <f t="shared" si="11"/>
        <v/>
      </c>
      <c r="Z555" t="str">
        <f t="shared" si="13"/>
        <v/>
      </c>
      <c r="AB555" t="str">
        <f t="shared" si="15"/>
        <v/>
      </c>
      <c r="AD555" t="str">
        <f t="shared" si="17"/>
        <v/>
      </c>
      <c r="AF555" t="str">
        <f t="shared" si="19"/>
        <v/>
      </c>
      <c r="AH555" t="str">
        <f t="shared" si="21"/>
        <v/>
      </c>
      <c r="AJ555" t="str">
        <f t="shared" si="23"/>
        <v/>
      </c>
    </row>
    <row r="556">
      <c r="P556" t="str">
        <f t="shared" si="3"/>
        <v/>
      </c>
      <c r="R556" t="str">
        <f t="shared" si="5"/>
        <v/>
      </c>
      <c r="T556" t="str">
        <f t="shared" si="7"/>
        <v/>
      </c>
      <c r="V556" t="str">
        <f t="shared" si="9"/>
        <v/>
      </c>
      <c r="X556" t="str">
        <f t="shared" si="11"/>
        <v/>
      </c>
      <c r="Z556" t="str">
        <f t="shared" si="13"/>
        <v/>
      </c>
      <c r="AB556" t="str">
        <f t="shared" si="15"/>
        <v/>
      </c>
      <c r="AD556" t="str">
        <f t="shared" si="17"/>
        <v/>
      </c>
      <c r="AF556" t="str">
        <f t="shared" si="19"/>
        <v/>
      </c>
      <c r="AH556" t="str">
        <f t="shared" si="21"/>
        <v/>
      </c>
      <c r="AJ556" t="str">
        <f t="shared" si="23"/>
        <v/>
      </c>
    </row>
    <row r="557">
      <c r="P557" t="str">
        <f t="shared" si="3"/>
        <v/>
      </c>
      <c r="R557" t="str">
        <f t="shared" si="5"/>
        <v/>
      </c>
      <c r="T557" t="str">
        <f t="shared" si="7"/>
        <v/>
      </c>
      <c r="V557" t="str">
        <f t="shared" si="9"/>
        <v/>
      </c>
      <c r="X557" t="str">
        <f t="shared" si="11"/>
        <v/>
      </c>
      <c r="Z557" t="str">
        <f t="shared" si="13"/>
        <v/>
      </c>
      <c r="AB557" t="str">
        <f t="shared" si="15"/>
        <v/>
      </c>
      <c r="AD557" t="str">
        <f t="shared" si="17"/>
        <v/>
      </c>
      <c r="AF557" t="str">
        <f t="shared" si="19"/>
        <v/>
      </c>
      <c r="AH557" t="str">
        <f t="shared" si="21"/>
        <v/>
      </c>
      <c r="AJ557" t="str">
        <f t="shared" si="23"/>
        <v/>
      </c>
    </row>
    <row r="558">
      <c r="P558" t="str">
        <f t="shared" si="3"/>
        <v/>
      </c>
      <c r="R558" t="str">
        <f t="shared" si="5"/>
        <v/>
      </c>
      <c r="T558" t="str">
        <f t="shared" si="7"/>
        <v/>
      </c>
      <c r="V558" t="str">
        <f t="shared" si="9"/>
        <v/>
      </c>
      <c r="X558" t="str">
        <f t="shared" si="11"/>
        <v/>
      </c>
      <c r="Z558" t="str">
        <f t="shared" si="13"/>
        <v/>
      </c>
      <c r="AB558" t="str">
        <f t="shared" si="15"/>
        <v/>
      </c>
      <c r="AD558" t="str">
        <f t="shared" si="17"/>
        <v/>
      </c>
      <c r="AF558" t="str">
        <f t="shared" si="19"/>
        <v/>
      </c>
      <c r="AH558" t="str">
        <f t="shared" si="21"/>
        <v/>
      </c>
      <c r="AJ558" t="str">
        <f t="shared" si="23"/>
        <v/>
      </c>
    </row>
    <row r="559">
      <c r="P559" t="str">
        <f t="shared" si="3"/>
        <v/>
      </c>
      <c r="R559" t="str">
        <f t="shared" si="5"/>
        <v/>
      </c>
      <c r="T559" t="str">
        <f t="shared" si="7"/>
        <v/>
      </c>
      <c r="V559" t="str">
        <f t="shared" si="9"/>
        <v/>
      </c>
      <c r="X559" t="str">
        <f t="shared" si="11"/>
        <v/>
      </c>
      <c r="Z559" t="str">
        <f t="shared" si="13"/>
        <v/>
      </c>
      <c r="AB559" t="str">
        <f t="shared" si="15"/>
        <v/>
      </c>
      <c r="AD559" t="str">
        <f t="shared" si="17"/>
        <v/>
      </c>
      <c r="AF559" t="str">
        <f t="shared" si="19"/>
        <v/>
      </c>
      <c r="AH559" t="str">
        <f t="shared" si="21"/>
        <v/>
      </c>
      <c r="AJ559" t="str">
        <f t="shared" si="23"/>
        <v/>
      </c>
    </row>
    <row r="560">
      <c r="P560" t="str">
        <f t="shared" si="3"/>
        <v/>
      </c>
      <c r="R560" t="str">
        <f t="shared" si="5"/>
        <v/>
      </c>
      <c r="T560" t="str">
        <f t="shared" si="7"/>
        <v/>
      </c>
      <c r="V560" t="str">
        <f t="shared" si="9"/>
        <v/>
      </c>
      <c r="X560" t="str">
        <f t="shared" si="11"/>
        <v/>
      </c>
      <c r="Z560" t="str">
        <f t="shared" si="13"/>
        <v/>
      </c>
      <c r="AB560" t="str">
        <f t="shared" si="15"/>
        <v/>
      </c>
      <c r="AD560" t="str">
        <f t="shared" si="17"/>
        <v/>
      </c>
      <c r="AF560" t="str">
        <f t="shared" si="19"/>
        <v/>
      </c>
      <c r="AH560" t="str">
        <f t="shared" si="21"/>
        <v/>
      </c>
      <c r="AJ560" t="str">
        <f t="shared" si="23"/>
        <v/>
      </c>
    </row>
    <row r="561">
      <c r="P561" t="str">
        <f t="shared" si="3"/>
        <v/>
      </c>
      <c r="R561" t="str">
        <f t="shared" si="5"/>
        <v/>
      </c>
      <c r="T561" t="str">
        <f t="shared" si="7"/>
        <v/>
      </c>
      <c r="V561" t="str">
        <f t="shared" si="9"/>
        <v/>
      </c>
      <c r="X561" t="str">
        <f t="shared" si="11"/>
        <v/>
      </c>
      <c r="Z561" t="str">
        <f t="shared" si="13"/>
        <v/>
      </c>
      <c r="AB561" t="str">
        <f t="shared" si="15"/>
        <v/>
      </c>
      <c r="AD561" t="str">
        <f t="shared" si="17"/>
        <v/>
      </c>
      <c r="AF561" t="str">
        <f t="shared" si="19"/>
        <v/>
      </c>
      <c r="AH561" t="str">
        <f t="shared" si="21"/>
        <v/>
      </c>
      <c r="AJ561" t="str">
        <f t="shared" si="23"/>
        <v/>
      </c>
    </row>
    <row r="562">
      <c r="P562" t="str">
        <f t="shared" si="3"/>
        <v/>
      </c>
      <c r="R562" t="str">
        <f t="shared" si="5"/>
        <v/>
      </c>
      <c r="T562" t="str">
        <f t="shared" si="7"/>
        <v/>
      </c>
      <c r="V562" t="str">
        <f t="shared" si="9"/>
        <v/>
      </c>
      <c r="X562" t="str">
        <f t="shared" si="11"/>
        <v/>
      </c>
      <c r="Z562" t="str">
        <f t="shared" si="13"/>
        <v/>
      </c>
      <c r="AB562" t="str">
        <f t="shared" si="15"/>
        <v/>
      </c>
      <c r="AD562" t="str">
        <f t="shared" si="17"/>
        <v/>
      </c>
      <c r="AF562" t="str">
        <f t="shared" si="19"/>
        <v/>
      </c>
      <c r="AH562" t="str">
        <f t="shared" si="21"/>
        <v/>
      </c>
      <c r="AJ562" t="str">
        <f t="shared" si="23"/>
        <v/>
      </c>
    </row>
    <row r="563">
      <c r="P563" t="str">
        <f t="shared" si="3"/>
        <v/>
      </c>
      <c r="R563" t="str">
        <f t="shared" si="5"/>
        <v/>
      </c>
      <c r="T563" t="str">
        <f t="shared" si="7"/>
        <v/>
      </c>
      <c r="V563" t="str">
        <f t="shared" si="9"/>
        <v/>
      </c>
      <c r="X563" t="str">
        <f t="shared" si="11"/>
        <v/>
      </c>
      <c r="Z563" t="str">
        <f t="shared" si="13"/>
        <v/>
      </c>
      <c r="AB563" t="str">
        <f t="shared" si="15"/>
        <v/>
      </c>
      <c r="AD563" t="str">
        <f t="shared" si="17"/>
        <v/>
      </c>
      <c r="AF563" t="str">
        <f t="shared" si="19"/>
        <v/>
      </c>
      <c r="AH563" t="str">
        <f t="shared" si="21"/>
        <v/>
      </c>
      <c r="AJ563" t="str">
        <f t="shared" si="23"/>
        <v/>
      </c>
    </row>
    <row r="564">
      <c r="P564" t="str">
        <f t="shared" si="3"/>
        <v/>
      </c>
      <c r="R564" t="str">
        <f t="shared" si="5"/>
        <v/>
      </c>
      <c r="T564" t="str">
        <f t="shared" si="7"/>
        <v/>
      </c>
      <c r="V564" t="str">
        <f t="shared" si="9"/>
        <v/>
      </c>
      <c r="X564" t="str">
        <f t="shared" si="11"/>
        <v/>
      </c>
      <c r="Z564" t="str">
        <f t="shared" si="13"/>
        <v/>
      </c>
      <c r="AB564" t="str">
        <f t="shared" si="15"/>
        <v/>
      </c>
      <c r="AD564" t="str">
        <f t="shared" si="17"/>
        <v/>
      </c>
      <c r="AF564" t="str">
        <f t="shared" si="19"/>
        <v/>
      </c>
      <c r="AH564" t="str">
        <f t="shared" si="21"/>
        <v/>
      </c>
      <c r="AJ564" t="str">
        <f t="shared" si="23"/>
        <v/>
      </c>
    </row>
    <row r="565">
      <c r="P565" t="str">
        <f t="shared" si="3"/>
        <v/>
      </c>
      <c r="R565" t="str">
        <f t="shared" si="5"/>
        <v/>
      </c>
      <c r="T565" t="str">
        <f t="shared" si="7"/>
        <v/>
      </c>
      <c r="V565" t="str">
        <f t="shared" si="9"/>
        <v/>
      </c>
      <c r="X565" t="str">
        <f t="shared" si="11"/>
        <v/>
      </c>
      <c r="Z565" t="str">
        <f t="shared" si="13"/>
        <v/>
      </c>
      <c r="AB565" t="str">
        <f t="shared" si="15"/>
        <v/>
      </c>
      <c r="AD565" t="str">
        <f t="shared" si="17"/>
        <v/>
      </c>
      <c r="AF565" t="str">
        <f t="shared" si="19"/>
        <v/>
      </c>
      <c r="AH565" t="str">
        <f t="shared" si="21"/>
        <v/>
      </c>
      <c r="AJ565" t="str">
        <f t="shared" si="23"/>
        <v/>
      </c>
    </row>
    <row r="566">
      <c r="P566" t="str">
        <f t="shared" si="3"/>
        <v/>
      </c>
      <c r="R566" t="str">
        <f t="shared" si="5"/>
        <v/>
      </c>
      <c r="T566" t="str">
        <f t="shared" si="7"/>
        <v/>
      </c>
      <c r="V566" t="str">
        <f t="shared" si="9"/>
        <v/>
      </c>
      <c r="X566" t="str">
        <f t="shared" si="11"/>
        <v/>
      </c>
      <c r="Z566" t="str">
        <f t="shared" si="13"/>
        <v/>
      </c>
      <c r="AB566" t="str">
        <f t="shared" si="15"/>
        <v/>
      </c>
      <c r="AD566" t="str">
        <f t="shared" si="17"/>
        <v/>
      </c>
      <c r="AF566" t="str">
        <f t="shared" si="19"/>
        <v/>
      </c>
      <c r="AH566" t="str">
        <f t="shared" si="21"/>
        <v/>
      </c>
      <c r="AJ566" t="str">
        <f t="shared" si="23"/>
        <v/>
      </c>
    </row>
    <row r="567">
      <c r="P567" t="str">
        <f t="shared" si="3"/>
        <v/>
      </c>
      <c r="R567" t="str">
        <f t="shared" si="5"/>
        <v/>
      </c>
      <c r="T567" t="str">
        <f t="shared" si="7"/>
        <v/>
      </c>
      <c r="V567" t="str">
        <f t="shared" si="9"/>
        <v/>
      </c>
      <c r="X567" t="str">
        <f t="shared" si="11"/>
        <v/>
      </c>
      <c r="Z567" t="str">
        <f t="shared" si="13"/>
        <v/>
      </c>
      <c r="AB567" t="str">
        <f t="shared" si="15"/>
        <v/>
      </c>
      <c r="AD567" t="str">
        <f t="shared" si="17"/>
        <v/>
      </c>
      <c r="AF567" t="str">
        <f t="shared" si="19"/>
        <v/>
      </c>
      <c r="AH567" t="str">
        <f t="shared" si="21"/>
        <v/>
      </c>
      <c r="AJ567" t="str">
        <f t="shared" si="23"/>
        <v/>
      </c>
    </row>
    <row r="568">
      <c r="P568" t="str">
        <f t="shared" si="3"/>
        <v/>
      </c>
      <c r="R568" t="str">
        <f t="shared" si="5"/>
        <v/>
      </c>
      <c r="T568" t="str">
        <f t="shared" si="7"/>
        <v/>
      </c>
      <c r="V568" t="str">
        <f t="shared" si="9"/>
        <v/>
      </c>
      <c r="X568" t="str">
        <f t="shared" si="11"/>
        <v/>
      </c>
      <c r="Z568" t="str">
        <f t="shared" si="13"/>
        <v/>
      </c>
      <c r="AB568" t="str">
        <f t="shared" si="15"/>
        <v/>
      </c>
      <c r="AD568" t="str">
        <f t="shared" si="17"/>
        <v/>
      </c>
      <c r="AF568" t="str">
        <f t="shared" si="19"/>
        <v/>
      </c>
      <c r="AH568" t="str">
        <f t="shared" si="21"/>
        <v/>
      </c>
      <c r="AJ568" t="str">
        <f t="shared" si="23"/>
        <v/>
      </c>
    </row>
    <row r="569">
      <c r="P569" t="str">
        <f t="shared" si="3"/>
        <v/>
      </c>
      <c r="R569" t="str">
        <f t="shared" si="5"/>
        <v/>
      </c>
      <c r="T569" t="str">
        <f t="shared" si="7"/>
        <v/>
      </c>
      <c r="V569" t="str">
        <f t="shared" si="9"/>
        <v/>
      </c>
      <c r="X569" t="str">
        <f t="shared" si="11"/>
        <v/>
      </c>
      <c r="Z569" t="str">
        <f t="shared" si="13"/>
        <v/>
      </c>
      <c r="AB569" t="str">
        <f t="shared" si="15"/>
        <v/>
      </c>
      <c r="AD569" t="str">
        <f t="shared" si="17"/>
        <v/>
      </c>
      <c r="AF569" t="str">
        <f t="shared" si="19"/>
        <v/>
      </c>
      <c r="AH569" t="str">
        <f t="shared" si="21"/>
        <v/>
      </c>
      <c r="AJ569" t="str">
        <f t="shared" si="23"/>
        <v/>
      </c>
    </row>
    <row r="570">
      <c r="P570" t="str">
        <f t="shared" si="3"/>
        <v/>
      </c>
      <c r="R570" t="str">
        <f t="shared" si="5"/>
        <v/>
      </c>
      <c r="T570" t="str">
        <f t="shared" si="7"/>
        <v/>
      </c>
      <c r="V570" t="str">
        <f t="shared" si="9"/>
        <v/>
      </c>
      <c r="X570" t="str">
        <f t="shared" si="11"/>
        <v/>
      </c>
      <c r="Z570" t="str">
        <f t="shared" si="13"/>
        <v/>
      </c>
      <c r="AB570" t="str">
        <f t="shared" si="15"/>
        <v/>
      </c>
      <c r="AD570" t="str">
        <f t="shared" si="17"/>
        <v/>
      </c>
      <c r="AF570" t="str">
        <f t="shared" si="19"/>
        <v/>
      </c>
      <c r="AH570" t="str">
        <f t="shared" si="21"/>
        <v/>
      </c>
      <c r="AJ570" t="str">
        <f t="shared" si="23"/>
        <v/>
      </c>
    </row>
    <row r="571">
      <c r="P571" t="str">
        <f t="shared" si="3"/>
        <v/>
      </c>
      <c r="R571" t="str">
        <f t="shared" si="5"/>
        <v/>
      </c>
      <c r="T571" t="str">
        <f t="shared" si="7"/>
        <v/>
      </c>
      <c r="V571" t="str">
        <f t="shared" si="9"/>
        <v/>
      </c>
      <c r="X571" t="str">
        <f t="shared" si="11"/>
        <v/>
      </c>
      <c r="Z571" t="str">
        <f t="shared" si="13"/>
        <v/>
      </c>
      <c r="AB571" t="str">
        <f t="shared" si="15"/>
        <v/>
      </c>
      <c r="AD571" t="str">
        <f t="shared" si="17"/>
        <v/>
      </c>
      <c r="AF571" t="str">
        <f t="shared" si="19"/>
        <v/>
      </c>
      <c r="AH571" t="str">
        <f t="shared" si="21"/>
        <v/>
      </c>
      <c r="AJ571" t="str">
        <f t="shared" si="23"/>
        <v/>
      </c>
    </row>
    <row r="572">
      <c r="P572" t="str">
        <f t="shared" si="3"/>
        <v/>
      </c>
      <c r="R572" t="str">
        <f t="shared" si="5"/>
        <v/>
      </c>
      <c r="T572" t="str">
        <f t="shared" si="7"/>
        <v/>
      </c>
      <c r="V572" t="str">
        <f t="shared" si="9"/>
        <v/>
      </c>
      <c r="X572" t="str">
        <f t="shared" si="11"/>
        <v/>
      </c>
      <c r="Z572" t="str">
        <f t="shared" si="13"/>
        <v/>
      </c>
      <c r="AB572" t="str">
        <f t="shared" si="15"/>
        <v/>
      </c>
      <c r="AD572" t="str">
        <f t="shared" si="17"/>
        <v/>
      </c>
      <c r="AF572" t="str">
        <f t="shared" si="19"/>
        <v/>
      </c>
      <c r="AH572" t="str">
        <f t="shared" si="21"/>
        <v/>
      </c>
      <c r="AJ572" t="str">
        <f t="shared" si="23"/>
        <v/>
      </c>
    </row>
    <row r="573">
      <c r="P573" t="str">
        <f t="shared" si="3"/>
        <v/>
      </c>
      <c r="R573" t="str">
        <f t="shared" si="5"/>
        <v/>
      </c>
      <c r="T573" t="str">
        <f t="shared" si="7"/>
        <v/>
      </c>
      <c r="V573" t="str">
        <f t="shared" si="9"/>
        <v/>
      </c>
      <c r="X573" t="str">
        <f t="shared" si="11"/>
        <v/>
      </c>
      <c r="Z573" t="str">
        <f t="shared" si="13"/>
        <v/>
      </c>
      <c r="AB573" t="str">
        <f t="shared" si="15"/>
        <v/>
      </c>
      <c r="AD573" t="str">
        <f t="shared" si="17"/>
        <v/>
      </c>
      <c r="AF573" t="str">
        <f t="shared" si="19"/>
        <v/>
      </c>
      <c r="AH573" t="str">
        <f t="shared" si="21"/>
        <v/>
      </c>
      <c r="AJ573" t="str">
        <f t="shared" si="23"/>
        <v/>
      </c>
    </row>
    <row r="574">
      <c r="P574" t="str">
        <f t="shared" si="3"/>
        <v/>
      </c>
      <c r="R574" t="str">
        <f t="shared" si="5"/>
        <v/>
      </c>
      <c r="T574" t="str">
        <f t="shared" si="7"/>
        <v/>
      </c>
      <c r="V574" t="str">
        <f t="shared" si="9"/>
        <v/>
      </c>
      <c r="X574" t="str">
        <f t="shared" si="11"/>
        <v/>
      </c>
      <c r="Z574" t="str">
        <f t="shared" si="13"/>
        <v/>
      </c>
      <c r="AB574" t="str">
        <f t="shared" si="15"/>
        <v/>
      </c>
      <c r="AD574" t="str">
        <f t="shared" si="17"/>
        <v/>
      </c>
      <c r="AF574" t="str">
        <f t="shared" si="19"/>
        <v/>
      </c>
      <c r="AH574" t="str">
        <f t="shared" si="21"/>
        <v/>
      </c>
      <c r="AJ574" t="str">
        <f t="shared" si="23"/>
        <v/>
      </c>
    </row>
    <row r="575">
      <c r="P575" t="str">
        <f t="shared" si="3"/>
        <v/>
      </c>
      <c r="R575" t="str">
        <f t="shared" si="5"/>
        <v/>
      </c>
      <c r="T575" t="str">
        <f t="shared" si="7"/>
        <v/>
      </c>
      <c r="V575" t="str">
        <f t="shared" si="9"/>
        <v/>
      </c>
      <c r="X575" t="str">
        <f t="shared" si="11"/>
        <v/>
      </c>
      <c r="Z575" t="str">
        <f t="shared" si="13"/>
        <v/>
      </c>
      <c r="AB575" t="str">
        <f t="shared" si="15"/>
        <v/>
      </c>
      <c r="AD575" t="str">
        <f t="shared" si="17"/>
        <v/>
      </c>
      <c r="AF575" t="str">
        <f t="shared" si="19"/>
        <v/>
      </c>
      <c r="AH575" t="str">
        <f t="shared" si="21"/>
        <v/>
      </c>
      <c r="AJ575" t="str">
        <f t="shared" si="23"/>
        <v/>
      </c>
    </row>
    <row r="576">
      <c r="P576" t="str">
        <f t="shared" si="3"/>
        <v/>
      </c>
      <c r="R576" t="str">
        <f t="shared" si="5"/>
        <v/>
      </c>
      <c r="T576" t="str">
        <f t="shared" si="7"/>
        <v/>
      </c>
      <c r="V576" t="str">
        <f t="shared" si="9"/>
        <v/>
      </c>
      <c r="X576" t="str">
        <f t="shared" si="11"/>
        <v/>
      </c>
      <c r="Z576" t="str">
        <f t="shared" si="13"/>
        <v/>
      </c>
      <c r="AB576" t="str">
        <f t="shared" si="15"/>
        <v/>
      </c>
      <c r="AD576" t="str">
        <f t="shared" si="17"/>
        <v/>
      </c>
      <c r="AF576" t="str">
        <f t="shared" si="19"/>
        <v/>
      </c>
      <c r="AH576" t="str">
        <f t="shared" si="21"/>
        <v/>
      </c>
      <c r="AJ576" t="str">
        <f t="shared" si="23"/>
        <v/>
      </c>
    </row>
    <row r="577">
      <c r="P577" t="str">
        <f t="shared" si="3"/>
        <v/>
      </c>
      <c r="R577" t="str">
        <f t="shared" si="5"/>
        <v/>
      </c>
      <c r="T577" t="str">
        <f t="shared" si="7"/>
        <v/>
      </c>
      <c r="V577" t="str">
        <f t="shared" si="9"/>
        <v/>
      </c>
      <c r="X577" t="str">
        <f t="shared" si="11"/>
        <v/>
      </c>
      <c r="Z577" t="str">
        <f t="shared" si="13"/>
        <v/>
      </c>
      <c r="AB577" t="str">
        <f t="shared" si="15"/>
        <v/>
      </c>
      <c r="AD577" t="str">
        <f t="shared" si="17"/>
        <v/>
      </c>
      <c r="AF577" t="str">
        <f t="shared" si="19"/>
        <v/>
      </c>
      <c r="AH577" t="str">
        <f t="shared" si="21"/>
        <v/>
      </c>
      <c r="AJ577" t="str">
        <f t="shared" si="23"/>
        <v/>
      </c>
    </row>
    <row r="578">
      <c r="P578" t="str">
        <f t="shared" si="3"/>
        <v/>
      </c>
      <c r="R578" t="str">
        <f t="shared" si="5"/>
        <v/>
      </c>
      <c r="T578" t="str">
        <f t="shared" si="7"/>
        <v/>
      </c>
      <c r="V578" t="str">
        <f t="shared" si="9"/>
        <v/>
      </c>
      <c r="X578" t="str">
        <f t="shared" si="11"/>
        <v/>
      </c>
      <c r="Z578" t="str">
        <f t="shared" si="13"/>
        <v/>
      </c>
      <c r="AB578" t="str">
        <f t="shared" si="15"/>
        <v/>
      </c>
      <c r="AD578" t="str">
        <f t="shared" si="17"/>
        <v/>
      </c>
      <c r="AF578" t="str">
        <f t="shared" si="19"/>
        <v/>
      </c>
      <c r="AH578" t="str">
        <f t="shared" si="21"/>
        <v/>
      </c>
      <c r="AJ578" t="str">
        <f t="shared" si="23"/>
        <v/>
      </c>
    </row>
    <row r="579">
      <c r="P579" t="str">
        <f t="shared" si="3"/>
        <v/>
      </c>
      <c r="R579" t="str">
        <f t="shared" si="5"/>
        <v/>
      </c>
      <c r="T579" t="str">
        <f t="shared" si="7"/>
        <v/>
      </c>
      <c r="V579" t="str">
        <f t="shared" si="9"/>
        <v/>
      </c>
      <c r="X579" t="str">
        <f t="shared" si="11"/>
        <v/>
      </c>
      <c r="Z579" t="str">
        <f t="shared" si="13"/>
        <v/>
      </c>
      <c r="AB579" t="str">
        <f t="shared" si="15"/>
        <v/>
      </c>
      <c r="AD579" t="str">
        <f t="shared" si="17"/>
        <v/>
      </c>
      <c r="AF579" t="str">
        <f t="shared" si="19"/>
        <v/>
      </c>
      <c r="AH579" t="str">
        <f t="shared" si="21"/>
        <v/>
      </c>
      <c r="AJ579" t="str">
        <f t="shared" si="23"/>
        <v/>
      </c>
    </row>
    <row r="580">
      <c r="P580" t="str">
        <f t="shared" si="3"/>
        <v/>
      </c>
      <c r="R580" t="str">
        <f t="shared" si="5"/>
        <v/>
      </c>
      <c r="T580" t="str">
        <f t="shared" si="7"/>
        <v/>
      </c>
      <c r="V580" t="str">
        <f t="shared" si="9"/>
        <v/>
      </c>
      <c r="X580" t="str">
        <f t="shared" si="11"/>
        <v/>
      </c>
      <c r="Z580" t="str">
        <f t="shared" si="13"/>
        <v/>
      </c>
      <c r="AB580" t="str">
        <f t="shared" si="15"/>
        <v/>
      </c>
      <c r="AD580" t="str">
        <f t="shared" si="17"/>
        <v/>
      </c>
      <c r="AF580" t="str">
        <f t="shared" si="19"/>
        <v/>
      </c>
      <c r="AH580" t="str">
        <f t="shared" si="21"/>
        <v/>
      </c>
      <c r="AJ580" t="str">
        <f t="shared" si="23"/>
        <v/>
      </c>
    </row>
    <row r="581">
      <c r="P581" t="str">
        <f t="shared" si="3"/>
        <v/>
      </c>
      <c r="R581" t="str">
        <f t="shared" si="5"/>
        <v/>
      </c>
      <c r="T581" t="str">
        <f t="shared" si="7"/>
        <v/>
      </c>
      <c r="V581" t="str">
        <f t="shared" si="9"/>
        <v/>
      </c>
      <c r="X581" t="str">
        <f t="shared" si="11"/>
        <v/>
      </c>
      <c r="Z581" t="str">
        <f t="shared" si="13"/>
        <v/>
      </c>
      <c r="AB581" t="str">
        <f t="shared" si="15"/>
        <v/>
      </c>
      <c r="AD581" t="str">
        <f t="shared" si="17"/>
        <v/>
      </c>
      <c r="AF581" t="str">
        <f t="shared" si="19"/>
        <v/>
      </c>
      <c r="AH581" t="str">
        <f t="shared" si="21"/>
        <v/>
      </c>
      <c r="AJ581" t="str">
        <f t="shared" si="23"/>
        <v/>
      </c>
    </row>
    <row r="582">
      <c r="P582" t="str">
        <f t="shared" si="3"/>
        <v/>
      </c>
      <c r="R582" t="str">
        <f t="shared" si="5"/>
        <v/>
      </c>
      <c r="T582" t="str">
        <f t="shared" si="7"/>
        <v/>
      </c>
      <c r="V582" t="str">
        <f t="shared" si="9"/>
        <v/>
      </c>
      <c r="X582" t="str">
        <f t="shared" si="11"/>
        <v/>
      </c>
      <c r="Z582" t="str">
        <f t="shared" si="13"/>
        <v/>
      </c>
      <c r="AB582" t="str">
        <f t="shared" si="15"/>
        <v/>
      </c>
      <c r="AD582" t="str">
        <f t="shared" si="17"/>
        <v/>
      </c>
      <c r="AF582" t="str">
        <f t="shared" si="19"/>
        <v/>
      </c>
      <c r="AH582" t="str">
        <f t="shared" si="21"/>
        <v/>
      </c>
      <c r="AJ582" t="str">
        <f t="shared" si="23"/>
        <v/>
      </c>
    </row>
    <row r="583">
      <c r="P583" t="str">
        <f t="shared" si="3"/>
        <v/>
      </c>
      <c r="R583" t="str">
        <f t="shared" si="5"/>
        <v/>
      </c>
      <c r="T583" t="str">
        <f t="shared" si="7"/>
        <v/>
      </c>
      <c r="V583" t="str">
        <f t="shared" si="9"/>
        <v/>
      </c>
      <c r="X583" t="str">
        <f t="shared" si="11"/>
        <v/>
      </c>
      <c r="Z583" t="str">
        <f t="shared" si="13"/>
        <v/>
      </c>
      <c r="AB583" t="str">
        <f t="shared" si="15"/>
        <v/>
      </c>
      <c r="AD583" t="str">
        <f t="shared" si="17"/>
        <v/>
      </c>
      <c r="AF583" t="str">
        <f t="shared" si="19"/>
        <v/>
      </c>
      <c r="AH583" t="str">
        <f t="shared" si="21"/>
        <v/>
      </c>
      <c r="AJ583" t="str">
        <f t="shared" si="23"/>
        <v/>
      </c>
    </row>
    <row r="584">
      <c r="P584" t="str">
        <f t="shared" si="3"/>
        <v/>
      </c>
      <c r="R584" t="str">
        <f t="shared" si="5"/>
        <v/>
      </c>
      <c r="T584" t="str">
        <f t="shared" si="7"/>
        <v/>
      </c>
      <c r="V584" t="str">
        <f t="shared" si="9"/>
        <v/>
      </c>
      <c r="X584" t="str">
        <f t="shared" si="11"/>
        <v/>
      </c>
      <c r="Z584" t="str">
        <f t="shared" si="13"/>
        <v/>
      </c>
      <c r="AB584" t="str">
        <f t="shared" si="15"/>
        <v/>
      </c>
      <c r="AD584" t="str">
        <f t="shared" si="17"/>
        <v/>
      </c>
      <c r="AF584" t="str">
        <f t="shared" si="19"/>
        <v/>
      </c>
      <c r="AH584" t="str">
        <f t="shared" si="21"/>
        <v/>
      </c>
      <c r="AJ584" t="str">
        <f t="shared" si="23"/>
        <v/>
      </c>
    </row>
    <row r="585">
      <c r="P585" t="str">
        <f t="shared" si="3"/>
        <v/>
      </c>
      <c r="R585" t="str">
        <f t="shared" si="5"/>
        <v/>
      </c>
      <c r="T585" t="str">
        <f t="shared" si="7"/>
        <v/>
      </c>
      <c r="V585" t="str">
        <f t="shared" si="9"/>
        <v/>
      </c>
      <c r="X585" t="str">
        <f t="shared" si="11"/>
        <v/>
      </c>
      <c r="Z585" t="str">
        <f t="shared" si="13"/>
        <v/>
      </c>
      <c r="AB585" t="str">
        <f t="shared" si="15"/>
        <v/>
      </c>
      <c r="AD585" t="str">
        <f t="shared" si="17"/>
        <v/>
      </c>
      <c r="AF585" t="str">
        <f t="shared" si="19"/>
        <v/>
      </c>
      <c r="AH585" t="str">
        <f t="shared" si="21"/>
        <v/>
      </c>
      <c r="AJ585" t="str">
        <f t="shared" si="23"/>
        <v/>
      </c>
    </row>
    <row r="586">
      <c r="P586" t="str">
        <f t="shared" si="3"/>
        <v/>
      </c>
      <c r="R586" t="str">
        <f t="shared" si="5"/>
        <v/>
      </c>
      <c r="T586" t="str">
        <f t="shared" si="7"/>
        <v/>
      </c>
      <c r="V586" t="str">
        <f t="shared" si="9"/>
        <v/>
      </c>
      <c r="X586" t="str">
        <f t="shared" si="11"/>
        <v/>
      </c>
      <c r="Z586" t="str">
        <f t="shared" si="13"/>
        <v/>
      </c>
      <c r="AB586" t="str">
        <f t="shared" si="15"/>
        <v/>
      </c>
      <c r="AD586" t="str">
        <f t="shared" si="17"/>
        <v/>
      </c>
      <c r="AF586" t="str">
        <f t="shared" si="19"/>
        <v/>
      </c>
      <c r="AH586" t="str">
        <f t="shared" si="21"/>
        <v/>
      </c>
      <c r="AJ586" t="str">
        <f t="shared" si="23"/>
        <v/>
      </c>
    </row>
    <row r="587">
      <c r="P587" t="str">
        <f t="shared" si="3"/>
        <v/>
      </c>
      <c r="R587" t="str">
        <f t="shared" si="5"/>
        <v/>
      </c>
      <c r="T587" t="str">
        <f t="shared" si="7"/>
        <v/>
      </c>
      <c r="V587" t="str">
        <f t="shared" si="9"/>
        <v/>
      </c>
      <c r="X587" t="str">
        <f t="shared" si="11"/>
        <v/>
      </c>
      <c r="Z587" t="str">
        <f t="shared" si="13"/>
        <v/>
      </c>
      <c r="AB587" t="str">
        <f t="shared" si="15"/>
        <v/>
      </c>
      <c r="AD587" t="str">
        <f t="shared" si="17"/>
        <v/>
      </c>
      <c r="AF587" t="str">
        <f t="shared" si="19"/>
        <v/>
      </c>
      <c r="AH587" t="str">
        <f t="shared" si="21"/>
        <v/>
      </c>
      <c r="AJ587" t="str">
        <f t="shared" si="23"/>
        <v/>
      </c>
    </row>
    <row r="588">
      <c r="P588" t="str">
        <f t="shared" si="3"/>
        <v/>
      </c>
      <c r="R588" t="str">
        <f t="shared" si="5"/>
        <v/>
      </c>
      <c r="T588" t="str">
        <f t="shared" si="7"/>
        <v/>
      </c>
      <c r="V588" t="str">
        <f t="shared" si="9"/>
        <v/>
      </c>
      <c r="X588" t="str">
        <f t="shared" si="11"/>
        <v/>
      </c>
      <c r="Z588" t="str">
        <f t="shared" si="13"/>
        <v/>
      </c>
      <c r="AB588" t="str">
        <f t="shared" si="15"/>
        <v/>
      </c>
      <c r="AD588" t="str">
        <f t="shared" si="17"/>
        <v/>
      </c>
      <c r="AF588" t="str">
        <f t="shared" si="19"/>
        <v/>
      </c>
      <c r="AH588" t="str">
        <f t="shared" si="21"/>
        <v/>
      </c>
      <c r="AJ588" t="str">
        <f t="shared" si="23"/>
        <v/>
      </c>
    </row>
    <row r="589">
      <c r="P589" t="str">
        <f t="shared" si="3"/>
        <v/>
      </c>
      <c r="R589" t="str">
        <f t="shared" si="5"/>
        <v/>
      </c>
      <c r="T589" t="str">
        <f t="shared" si="7"/>
        <v/>
      </c>
      <c r="V589" t="str">
        <f t="shared" si="9"/>
        <v/>
      </c>
      <c r="X589" t="str">
        <f t="shared" si="11"/>
        <v/>
      </c>
      <c r="Z589" t="str">
        <f t="shared" si="13"/>
        <v/>
      </c>
      <c r="AB589" t="str">
        <f t="shared" si="15"/>
        <v/>
      </c>
      <c r="AD589" t="str">
        <f t="shared" si="17"/>
        <v/>
      </c>
      <c r="AF589" t="str">
        <f t="shared" si="19"/>
        <v/>
      </c>
      <c r="AH589" t="str">
        <f t="shared" si="21"/>
        <v/>
      </c>
      <c r="AJ589" t="str">
        <f t="shared" si="23"/>
        <v/>
      </c>
    </row>
    <row r="590">
      <c r="P590" t="str">
        <f t="shared" si="3"/>
        <v/>
      </c>
      <c r="R590" t="str">
        <f t="shared" si="5"/>
        <v/>
      </c>
      <c r="T590" t="str">
        <f t="shared" si="7"/>
        <v/>
      </c>
      <c r="V590" t="str">
        <f t="shared" si="9"/>
        <v/>
      </c>
      <c r="X590" t="str">
        <f t="shared" si="11"/>
        <v/>
      </c>
      <c r="Z590" t="str">
        <f t="shared" si="13"/>
        <v/>
      </c>
      <c r="AB590" t="str">
        <f t="shared" si="15"/>
        <v/>
      </c>
      <c r="AD590" t="str">
        <f t="shared" si="17"/>
        <v/>
      </c>
      <c r="AF590" t="str">
        <f t="shared" si="19"/>
        <v/>
      </c>
      <c r="AH590" t="str">
        <f t="shared" si="21"/>
        <v/>
      </c>
      <c r="AJ590" t="str">
        <f t="shared" si="23"/>
        <v/>
      </c>
    </row>
    <row r="591">
      <c r="P591" t="str">
        <f t="shared" si="3"/>
        <v/>
      </c>
      <c r="R591" t="str">
        <f t="shared" si="5"/>
        <v/>
      </c>
      <c r="T591" t="str">
        <f t="shared" si="7"/>
        <v/>
      </c>
      <c r="V591" t="str">
        <f t="shared" si="9"/>
        <v/>
      </c>
      <c r="X591" t="str">
        <f t="shared" si="11"/>
        <v/>
      </c>
      <c r="Z591" t="str">
        <f t="shared" si="13"/>
        <v/>
      </c>
      <c r="AB591" t="str">
        <f t="shared" si="15"/>
        <v/>
      </c>
      <c r="AD591" t="str">
        <f t="shared" si="17"/>
        <v/>
      </c>
      <c r="AF591" t="str">
        <f t="shared" si="19"/>
        <v/>
      </c>
      <c r="AH591" t="str">
        <f t="shared" si="21"/>
        <v/>
      </c>
      <c r="AJ591" t="str">
        <f t="shared" si="23"/>
        <v/>
      </c>
    </row>
    <row r="592">
      <c r="P592" t="str">
        <f t="shared" si="3"/>
        <v/>
      </c>
      <c r="R592" t="str">
        <f t="shared" si="5"/>
        <v/>
      </c>
      <c r="T592" t="str">
        <f t="shared" si="7"/>
        <v/>
      </c>
      <c r="V592" t="str">
        <f t="shared" si="9"/>
        <v/>
      </c>
      <c r="X592" t="str">
        <f t="shared" si="11"/>
        <v/>
      </c>
      <c r="Z592" t="str">
        <f t="shared" si="13"/>
        <v/>
      </c>
      <c r="AB592" t="str">
        <f t="shared" si="15"/>
        <v/>
      </c>
      <c r="AD592" t="str">
        <f t="shared" si="17"/>
        <v/>
      </c>
      <c r="AF592" t="str">
        <f t="shared" si="19"/>
        <v/>
      </c>
      <c r="AH592" t="str">
        <f t="shared" si="21"/>
        <v/>
      </c>
      <c r="AJ592" t="str">
        <f t="shared" si="23"/>
        <v/>
      </c>
    </row>
    <row r="593">
      <c r="P593" t="str">
        <f t="shared" si="3"/>
        <v/>
      </c>
      <c r="R593" t="str">
        <f t="shared" si="5"/>
        <v/>
      </c>
      <c r="T593" t="str">
        <f t="shared" si="7"/>
        <v/>
      </c>
      <c r="V593" t="str">
        <f t="shared" si="9"/>
        <v/>
      </c>
      <c r="X593" t="str">
        <f t="shared" si="11"/>
        <v/>
      </c>
      <c r="Z593" t="str">
        <f t="shared" si="13"/>
        <v/>
      </c>
      <c r="AB593" t="str">
        <f t="shared" si="15"/>
        <v/>
      </c>
      <c r="AD593" t="str">
        <f t="shared" si="17"/>
        <v/>
      </c>
      <c r="AF593" t="str">
        <f t="shared" si="19"/>
        <v/>
      </c>
      <c r="AH593" t="str">
        <f t="shared" si="21"/>
        <v/>
      </c>
      <c r="AJ593" t="str">
        <f t="shared" si="23"/>
        <v/>
      </c>
    </row>
    <row r="594">
      <c r="P594" t="str">
        <f t="shared" si="3"/>
        <v/>
      </c>
      <c r="R594" t="str">
        <f t="shared" si="5"/>
        <v/>
      </c>
      <c r="T594" t="str">
        <f t="shared" si="7"/>
        <v/>
      </c>
      <c r="V594" t="str">
        <f t="shared" si="9"/>
        <v/>
      </c>
      <c r="X594" t="str">
        <f t="shared" si="11"/>
        <v/>
      </c>
      <c r="Z594" t="str">
        <f t="shared" si="13"/>
        <v/>
      </c>
      <c r="AB594" t="str">
        <f t="shared" si="15"/>
        <v/>
      </c>
      <c r="AD594" t="str">
        <f t="shared" si="17"/>
        <v/>
      </c>
      <c r="AF594" t="str">
        <f t="shared" si="19"/>
        <v/>
      </c>
      <c r="AH594" t="str">
        <f t="shared" si="21"/>
        <v/>
      </c>
      <c r="AJ594" t="str">
        <f t="shared" si="23"/>
        <v/>
      </c>
    </row>
    <row r="595">
      <c r="P595" t="str">
        <f t="shared" si="3"/>
        <v/>
      </c>
      <c r="R595" t="str">
        <f t="shared" si="5"/>
        <v/>
      </c>
      <c r="T595" t="str">
        <f t="shared" si="7"/>
        <v/>
      </c>
      <c r="V595" t="str">
        <f t="shared" si="9"/>
        <v/>
      </c>
      <c r="X595" t="str">
        <f t="shared" si="11"/>
        <v/>
      </c>
      <c r="Z595" t="str">
        <f t="shared" si="13"/>
        <v/>
      </c>
      <c r="AB595" t="str">
        <f t="shared" si="15"/>
        <v/>
      </c>
      <c r="AD595" t="str">
        <f t="shared" si="17"/>
        <v/>
      </c>
      <c r="AF595" t="str">
        <f t="shared" si="19"/>
        <v/>
      </c>
      <c r="AH595" t="str">
        <f t="shared" si="21"/>
        <v/>
      </c>
      <c r="AJ595" t="str">
        <f t="shared" si="23"/>
        <v/>
      </c>
    </row>
    <row r="596">
      <c r="P596" t="str">
        <f t="shared" si="3"/>
        <v/>
      </c>
      <c r="R596" t="str">
        <f t="shared" si="5"/>
        <v/>
      </c>
      <c r="T596" t="str">
        <f t="shared" si="7"/>
        <v/>
      </c>
      <c r="V596" t="str">
        <f t="shared" si="9"/>
        <v/>
      </c>
      <c r="X596" t="str">
        <f t="shared" si="11"/>
        <v/>
      </c>
      <c r="Z596" t="str">
        <f t="shared" si="13"/>
        <v/>
      </c>
      <c r="AB596" t="str">
        <f t="shared" si="15"/>
        <v/>
      </c>
      <c r="AD596" t="str">
        <f t="shared" si="17"/>
        <v/>
      </c>
      <c r="AF596" t="str">
        <f t="shared" si="19"/>
        <v/>
      </c>
      <c r="AH596" t="str">
        <f t="shared" si="21"/>
        <v/>
      </c>
      <c r="AJ596" t="str">
        <f t="shared" si="23"/>
        <v/>
      </c>
    </row>
    <row r="597">
      <c r="P597" t="str">
        <f t="shared" si="3"/>
        <v/>
      </c>
      <c r="R597" t="str">
        <f t="shared" si="5"/>
        <v/>
      </c>
      <c r="T597" t="str">
        <f t="shared" si="7"/>
        <v/>
      </c>
      <c r="V597" t="str">
        <f t="shared" si="9"/>
        <v/>
      </c>
      <c r="X597" t="str">
        <f t="shared" si="11"/>
        <v/>
      </c>
      <c r="Z597" t="str">
        <f t="shared" si="13"/>
        <v/>
      </c>
      <c r="AB597" t="str">
        <f t="shared" si="15"/>
        <v/>
      </c>
      <c r="AD597" t="str">
        <f t="shared" si="17"/>
        <v/>
      </c>
      <c r="AF597" t="str">
        <f t="shared" si="19"/>
        <v/>
      </c>
      <c r="AH597" t="str">
        <f t="shared" si="21"/>
        <v/>
      </c>
      <c r="AJ597" t="str">
        <f t="shared" si="23"/>
        <v/>
      </c>
    </row>
    <row r="598">
      <c r="P598" t="str">
        <f t="shared" si="3"/>
        <v/>
      </c>
      <c r="R598" t="str">
        <f t="shared" si="5"/>
        <v/>
      </c>
      <c r="T598" t="str">
        <f t="shared" si="7"/>
        <v/>
      </c>
      <c r="V598" t="str">
        <f t="shared" si="9"/>
        <v/>
      </c>
      <c r="X598" t="str">
        <f t="shared" si="11"/>
        <v/>
      </c>
      <c r="Z598" t="str">
        <f t="shared" si="13"/>
        <v/>
      </c>
      <c r="AB598" t="str">
        <f t="shared" si="15"/>
        <v/>
      </c>
      <c r="AD598" t="str">
        <f t="shared" si="17"/>
        <v/>
      </c>
      <c r="AF598" t="str">
        <f t="shared" si="19"/>
        <v/>
      </c>
      <c r="AH598" t="str">
        <f t="shared" si="21"/>
        <v/>
      </c>
      <c r="AJ598" t="str">
        <f t="shared" si="23"/>
        <v/>
      </c>
    </row>
    <row r="599">
      <c r="P599" t="str">
        <f t="shared" si="3"/>
        <v/>
      </c>
      <c r="R599" t="str">
        <f t="shared" si="5"/>
        <v/>
      </c>
      <c r="T599" t="str">
        <f t="shared" si="7"/>
        <v/>
      </c>
      <c r="V599" t="str">
        <f t="shared" si="9"/>
        <v/>
      </c>
      <c r="X599" t="str">
        <f t="shared" si="11"/>
        <v/>
      </c>
      <c r="Z599" t="str">
        <f t="shared" si="13"/>
        <v/>
      </c>
      <c r="AB599" t="str">
        <f t="shared" si="15"/>
        <v/>
      </c>
      <c r="AD599" t="str">
        <f t="shared" si="17"/>
        <v/>
      </c>
      <c r="AF599" t="str">
        <f t="shared" si="19"/>
        <v/>
      </c>
      <c r="AH599" t="str">
        <f t="shared" si="21"/>
        <v/>
      </c>
      <c r="AJ599" t="str">
        <f t="shared" si="23"/>
        <v/>
      </c>
    </row>
    <row r="600">
      <c r="P600" t="str">
        <f t="shared" si="3"/>
        <v/>
      </c>
      <c r="R600" t="str">
        <f t="shared" si="5"/>
        <v/>
      </c>
      <c r="T600" t="str">
        <f t="shared" si="7"/>
        <v/>
      </c>
      <c r="V600" t="str">
        <f t="shared" si="9"/>
        <v/>
      </c>
      <c r="X600" t="str">
        <f t="shared" si="11"/>
        <v/>
      </c>
      <c r="Z600" t="str">
        <f t="shared" si="13"/>
        <v/>
      </c>
      <c r="AB600" t="str">
        <f t="shared" si="15"/>
        <v/>
      </c>
      <c r="AD600" t="str">
        <f t="shared" si="17"/>
        <v/>
      </c>
      <c r="AF600" t="str">
        <f t="shared" si="19"/>
        <v/>
      </c>
      <c r="AH600" t="str">
        <f t="shared" si="21"/>
        <v/>
      </c>
      <c r="AJ600" t="str">
        <f t="shared" si="23"/>
        <v/>
      </c>
    </row>
    <row r="601">
      <c r="P601" t="str">
        <f t="shared" si="3"/>
        <v/>
      </c>
      <c r="R601" t="str">
        <f t="shared" si="5"/>
        <v/>
      </c>
      <c r="T601" t="str">
        <f t="shared" si="7"/>
        <v/>
      </c>
      <c r="V601" t="str">
        <f t="shared" si="9"/>
        <v/>
      </c>
      <c r="X601" t="str">
        <f t="shared" si="11"/>
        <v/>
      </c>
      <c r="Z601" t="str">
        <f t="shared" si="13"/>
        <v/>
      </c>
      <c r="AB601" t="str">
        <f t="shared" si="15"/>
        <v/>
      </c>
      <c r="AD601" t="str">
        <f t="shared" si="17"/>
        <v/>
      </c>
      <c r="AF601" t="str">
        <f t="shared" si="19"/>
        <v/>
      </c>
      <c r="AH601" t="str">
        <f t="shared" si="21"/>
        <v/>
      </c>
      <c r="AJ601" t="str">
        <f t="shared" si="23"/>
        <v/>
      </c>
    </row>
    <row r="602">
      <c r="P602" t="str">
        <f t="shared" si="3"/>
        <v/>
      </c>
      <c r="R602" t="str">
        <f t="shared" si="5"/>
        <v/>
      </c>
      <c r="T602" t="str">
        <f t="shared" si="7"/>
        <v/>
      </c>
      <c r="V602" t="str">
        <f t="shared" si="9"/>
        <v/>
      </c>
      <c r="X602" t="str">
        <f t="shared" si="11"/>
        <v/>
      </c>
      <c r="Z602" t="str">
        <f t="shared" si="13"/>
        <v/>
      </c>
      <c r="AB602" t="str">
        <f t="shared" si="15"/>
        <v/>
      </c>
      <c r="AD602" t="str">
        <f t="shared" si="17"/>
        <v/>
      </c>
      <c r="AF602" t="str">
        <f t="shared" si="19"/>
        <v/>
      </c>
      <c r="AH602" t="str">
        <f t="shared" si="21"/>
        <v/>
      </c>
      <c r="AJ602" t="str">
        <f t="shared" si="23"/>
        <v/>
      </c>
    </row>
    <row r="603">
      <c r="P603" t="str">
        <f t="shared" si="3"/>
        <v/>
      </c>
      <c r="R603" t="str">
        <f t="shared" si="5"/>
        <v/>
      </c>
      <c r="T603" t="str">
        <f t="shared" si="7"/>
        <v/>
      </c>
      <c r="V603" t="str">
        <f t="shared" si="9"/>
        <v/>
      </c>
      <c r="X603" t="str">
        <f t="shared" si="11"/>
        <v/>
      </c>
      <c r="Z603" t="str">
        <f t="shared" si="13"/>
        <v/>
      </c>
      <c r="AB603" t="str">
        <f t="shared" si="15"/>
        <v/>
      </c>
      <c r="AD603" t="str">
        <f t="shared" si="17"/>
        <v/>
      </c>
      <c r="AF603" t="str">
        <f t="shared" si="19"/>
        <v/>
      </c>
      <c r="AH603" t="str">
        <f t="shared" si="21"/>
        <v/>
      </c>
      <c r="AJ603" t="str">
        <f t="shared" si="23"/>
        <v/>
      </c>
    </row>
    <row r="604">
      <c r="P604" t="str">
        <f t="shared" si="3"/>
        <v/>
      </c>
      <c r="R604" t="str">
        <f t="shared" si="5"/>
        <v/>
      </c>
      <c r="T604" t="str">
        <f t="shared" si="7"/>
        <v/>
      </c>
      <c r="V604" t="str">
        <f t="shared" si="9"/>
        <v/>
      </c>
      <c r="X604" t="str">
        <f t="shared" si="11"/>
        <v/>
      </c>
      <c r="Z604" t="str">
        <f t="shared" si="13"/>
        <v/>
      </c>
      <c r="AB604" t="str">
        <f t="shared" si="15"/>
        <v/>
      </c>
      <c r="AD604" t="str">
        <f t="shared" si="17"/>
        <v/>
      </c>
      <c r="AF604" t="str">
        <f t="shared" si="19"/>
        <v/>
      </c>
      <c r="AH604" t="str">
        <f t="shared" si="21"/>
        <v/>
      </c>
      <c r="AJ604" t="str">
        <f t="shared" si="23"/>
        <v/>
      </c>
    </row>
    <row r="605">
      <c r="P605" t="str">
        <f t="shared" si="3"/>
        <v/>
      </c>
      <c r="R605" t="str">
        <f t="shared" si="5"/>
        <v/>
      </c>
      <c r="T605" t="str">
        <f t="shared" si="7"/>
        <v/>
      </c>
      <c r="V605" t="str">
        <f t="shared" si="9"/>
        <v/>
      </c>
      <c r="X605" t="str">
        <f t="shared" si="11"/>
        <v/>
      </c>
      <c r="Z605" t="str">
        <f t="shared" si="13"/>
        <v/>
      </c>
      <c r="AB605" t="str">
        <f t="shared" si="15"/>
        <v/>
      </c>
      <c r="AD605" t="str">
        <f t="shared" si="17"/>
        <v/>
      </c>
      <c r="AF605" t="str">
        <f t="shared" si="19"/>
        <v/>
      </c>
      <c r="AH605" t="str">
        <f t="shared" si="21"/>
        <v/>
      </c>
      <c r="AJ605" t="str">
        <f t="shared" si="23"/>
        <v/>
      </c>
    </row>
    <row r="606">
      <c r="P606" t="str">
        <f t="shared" si="3"/>
        <v/>
      </c>
      <c r="R606" t="str">
        <f t="shared" si="5"/>
        <v/>
      </c>
      <c r="T606" t="str">
        <f t="shared" si="7"/>
        <v/>
      </c>
      <c r="V606" t="str">
        <f t="shared" si="9"/>
        <v/>
      </c>
      <c r="X606" t="str">
        <f t="shared" si="11"/>
        <v/>
      </c>
      <c r="Z606" t="str">
        <f t="shared" si="13"/>
        <v/>
      </c>
      <c r="AB606" t="str">
        <f t="shared" si="15"/>
        <v/>
      </c>
      <c r="AD606" t="str">
        <f t="shared" si="17"/>
        <v/>
      </c>
      <c r="AF606" t="str">
        <f t="shared" si="19"/>
        <v/>
      </c>
      <c r="AH606" t="str">
        <f t="shared" si="21"/>
        <v/>
      </c>
      <c r="AJ606" t="str">
        <f t="shared" si="23"/>
        <v/>
      </c>
    </row>
    <row r="607">
      <c r="P607" t="str">
        <f t="shared" si="3"/>
        <v/>
      </c>
      <c r="R607" t="str">
        <f t="shared" si="5"/>
        <v/>
      </c>
      <c r="T607" t="str">
        <f t="shared" si="7"/>
        <v/>
      </c>
      <c r="V607" t="str">
        <f t="shared" si="9"/>
        <v/>
      </c>
      <c r="X607" t="str">
        <f t="shared" si="11"/>
        <v/>
      </c>
      <c r="Z607" t="str">
        <f t="shared" si="13"/>
        <v/>
      </c>
      <c r="AB607" t="str">
        <f t="shared" si="15"/>
        <v/>
      </c>
      <c r="AD607" t="str">
        <f t="shared" si="17"/>
        <v/>
      </c>
      <c r="AF607" t="str">
        <f t="shared" si="19"/>
        <v/>
      </c>
      <c r="AH607" t="str">
        <f t="shared" si="21"/>
        <v/>
      </c>
      <c r="AJ607" t="str">
        <f t="shared" si="23"/>
        <v/>
      </c>
    </row>
    <row r="608">
      <c r="P608" t="str">
        <f t="shared" si="3"/>
        <v/>
      </c>
      <c r="R608" t="str">
        <f t="shared" si="5"/>
        <v/>
      </c>
      <c r="T608" t="str">
        <f t="shared" si="7"/>
        <v/>
      </c>
      <c r="V608" t="str">
        <f t="shared" si="9"/>
        <v/>
      </c>
      <c r="X608" t="str">
        <f t="shared" si="11"/>
        <v/>
      </c>
      <c r="Z608" t="str">
        <f t="shared" si="13"/>
        <v/>
      </c>
      <c r="AB608" t="str">
        <f t="shared" si="15"/>
        <v/>
      </c>
      <c r="AD608" t="str">
        <f t="shared" si="17"/>
        <v/>
      </c>
      <c r="AF608" t="str">
        <f t="shared" si="19"/>
        <v/>
      </c>
      <c r="AH608" t="str">
        <f t="shared" si="21"/>
        <v/>
      </c>
      <c r="AJ608" t="str">
        <f t="shared" si="23"/>
        <v/>
      </c>
    </row>
    <row r="609">
      <c r="P609" t="str">
        <f t="shared" si="3"/>
        <v/>
      </c>
      <c r="R609" t="str">
        <f t="shared" si="5"/>
        <v/>
      </c>
      <c r="T609" t="str">
        <f t="shared" si="7"/>
        <v/>
      </c>
      <c r="V609" t="str">
        <f t="shared" si="9"/>
        <v/>
      </c>
      <c r="X609" t="str">
        <f t="shared" si="11"/>
        <v/>
      </c>
      <c r="Z609" t="str">
        <f t="shared" si="13"/>
        <v/>
      </c>
      <c r="AB609" t="str">
        <f t="shared" si="15"/>
        <v/>
      </c>
      <c r="AD609" t="str">
        <f t="shared" si="17"/>
        <v/>
      </c>
      <c r="AF609" t="str">
        <f t="shared" si="19"/>
        <v/>
      </c>
      <c r="AH609" t="str">
        <f t="shared" si="21"/>
        <v/>
      </c>
      <c r="AJ609" t="str">
        <f t="shared" si="23"/>
        <v/>
      </c>
    </row>
    <row r="610">
      <c r="P610" t="str">
        <f t="shared" si="3"/>
        <v/>
      </c>
      <c r="R610" t="str">
        <f t="shared" si="5"/>
        <v/>
      </c>
      <c r="T610" t="str">
        <f t="shared" si="7"/>
        <v/>
      </c>
      <c r="V610" t="str">
        <f t="shared" si="9"/>
        <v/>
      </c>
      <c r="X610" t="str">
        <f t="shared" si="11"/>
        <v/>
      </c>
      <c r="Z610" t="str">
        <f t="shared" si="13"/>
        <v/>
      </c>
      <c r="AB610" t="str">
        <f t="shared" si="15"/>
        <v/>
      </c>
      <c r="AD610" t="str">
        <f t="shared" si="17"/>
        <v/>
      </c>
      <c r="AF610" t="str">
        <f t="shared" si="19"/>
        <v/>
      </c>
      <c r="AH610" t="str">
        <f t="shared" si="21"/>
        <v/>
      </c>
      <c r="AJ610" t="str">
        <f t="shared" si="23"/>
        <v/>
      </c>
    </row>
    <row r="611">
      <c r="P611" t="str">
        <f t="shared" si="3"/>
        <v/>
      </c>
      <c r="R611" t="str">
        <f t="shared" si="5"/>
        <v/>
      </c>
      <c r="T611" t="str">
        <f t="shared" si="7"/>
        <v/>
      </c>
      <c r="V611" t="str">
        <f t="shared" si="9"/>
        <v/>
      </c>
      <c r="X611" t="str">
        <f t="shared" si="11"/>
        <v/>
      </c>
      <c r="Z611" t="str">
        <f t="shared" si="13"/>
        <v/>
      </c>
      <c r="AB611" t="str">
        <f t="shared" si="15"/>
        <v/>
      </c>
      <c r="AD611" t="str">
        <f t="shared" si="17"/>
        <v/>
      </c>
      <c r="AF611" t="str">
        <f t="shared" si="19"/>
        <v/>
      </c>
      <c r="AH611" t="str">
        <f t="shared" si="21"/>
        <v/>
      </c>
      <c r="AJ611" t="str">
        <f t="shared" si="23"/>
        <v/>
      </c>
    </row>
    <row r="612">
      <c r="P612" t="str">
        <f t="shared" si="3"/>
        <v/>
      </c>
      <c r="R612" t="str">
        <f t="shared" si="5"/>
        <v/>
      </c>
      <c r="T612" t="str">
        <f t="shared" si="7"/>
        <v/>
      </c>
      <c r="V612" t="str">
        <f t="shared" si="9"/>
        <v/>
      </c>
      <c r="X612" t="str">
        <f t="shared" si="11"/>
        <v/>
      </c>
      <c r="Z612" t="str">
        <f t="shared" si="13"/>
        <v/>
      </c>
      <c r="AB612" t="str">
        <f t="shared" si="15"/>
        <v/>
      </c>
      <c r="AD612" t="str">
        <f t="shared" si="17"/>
        <v/>
      </c>
      <c r="AF612" t="str">
        <f t="shared" si="19"/>
        <v/>
      </c>
      <c r="AH612" t="str">
        <f t="shared" si="21"/>
        <v/>
      </c>
      <c r="AJ612" t="str">
        <f t="shared" si="23"/>
        <v/>
      </c>
    </row>
    <row r="613">
      <c r="P613" t="str">
        <f t="shared" si="3"/>
        <v/>
      </c>
      <c r="R613" t="str">
        <f t="shared" si="5"/>
        <v/>
      </c>
      <c r="T613" t="str">
        <f t="shared" si="7"/>
        <v/>
      </c>
      <c r="V613" t="str">
        <f t="shared" si="9"/>
        <v/>
      </c>
      <c r="X613" t="str">
        <f t="shared" si="11"/>
        <v/>
      </c>
      <c r="Z613" t="str">
        <f t="shared" si="13"/>
        <v/>
      </c>
      <c r="AB613" t="str">
        <f t="shared" si="15"/>
        <v/>
      </c>
      <c r="AD613" t="str">
        <f t="shared" si="17"/>
        <v/>
      </c>
      <c r="AF613" t="str">
        <f t="shared" si="19"/>
        <v/>
      </c>
      <c r="AH613" t="str">
        <f t="shared" si="21"/>
        <v/>
      </c>
      <c r="AJ613" t="str">
        <f t="shared" si="23"/>
        <v/>
      </c>
    </row>
    <row r="614">
      <c r="P614" t="str">
        <f t="shared" si="3"/>
        <v/>
      </c>
      <c r="R614" t="str">
        <f t="shared" si="5"/>
        <v/>
      </c>
      <c r="T614" t="str">
        <f t="shared" si="7"/>
        <v/>
      </c>
      <c r="V614" t="str">
        <f t="shared" si="9"/>
        <v/>
      </c>
      <c r="X614" t="str">
        <f t="shared" si="11"/>
        <v/>
      </c>
      <c r="Z614" t="str">
        <f t="shared" si="13"/>
        <v/>
      </c>
      <c r="AB614" t="str">
        <f t="shared" si="15"/>
        <v/>
      </c>
      <c r="AD614" t="str">
        <f t="shared" si="17"/>
        <v/>
      </c>
      <c r="AF614" t="str">
        <f t="shared" si="19"/>
        <v/>
      </c>
      <c r="AH614" t="str">
        <f t="shared" si="21"/>
        <v/>
      </c>
      <c r="AJ614" t="str">
        <f t="shared" si="23"/>
        <v/>
      </c>
    </row>
    <row r="615">
      <c r="P615" t="str">
        <f t="shared" si="3"/>
        <v/>
      </c>
      <c r="R615" t="str">
        <f t="shared" si="5"/>
        <v/>
      </c>
      <c r="T615" t="str">
        <f t="shared" si="7"/>
        <v/>
      </c>
      <c r="V615" t="str">
        <f t="shared" si="9"/>
        <v/>
      </c>
      <c r="X615" t="str">
        <f t="shared" si="11"/>
        <v/>
      </c>
      <c r="Z615" t="str">
        <f t="shared" si="13"/>
        <v/>
      </c>
      <c r="AB615" t="str">
        <f t="shared" si="15"/>
        <v/>
      </c>
      <c r="AD615" t="str">
        <f t="shared" si="17"/>
        <v/>
      </c>
      <c r="AF615" t="str">
        <f t="shared" si="19"/>
        <v/>
      </c>
      <c r="AH615" t="str">
        <f t="shared" si="21"/>
        <v/>
      </c>
      <c r="AJ615" t="str">
        <f t="shared" si="23"/>
        <v/>
      </c>
    </row>
    <row r="616">
      <c r="P616" t="str">
        <f t="shared" si="3"/>
        <v/>
      </c>
      <c r="R616" t="str">
        <f t="shared" si="5"/>
        <v/>
      </c>
      <c r="T616" t="str">
        <f t="shared" si="7"/>
        <v/>
      </c>
      <c r="V616" t="str">
        <f t="shared" si="9"/>
        <v/>
      </c>
      <c r="X616" t="str">
        <f t="shared" si="11"/>
        <v/>
      </c>
      <c r="Z616" t="str">
        <f t="shared" si="13"/>
        <v/>
      </c>
      <c r="AB616" t="str">
        <f t="shared" si="15"/>
        <v/>
      </c>
      <c r="AD616" t="str">
        <f t="shared" si="17"/>
        <v/>
      </c>
      <c r="AF616" t="str">
        <f t="shared" si="19"/>
        <v/>
      </c>
      <c r="AH616" t="str">
        <f t="shared" si="21"/>
        <v/>
      </c>
      <c r="AJ616" t="str">
        <f t="shared" si="23"/>
        <v/>
      </c>
    </row>
    <row r="617">
      <c r="P617" t="str">
        <f t="shared" si="3"/>
        <v/>
      </c>
      <c r="R617" t="str">
        <f t="shared" si="5"/>
        <v/>
      </c>
      <c r="T617" t="str">
        <f t="shared" si="7"/>
        <v/>
      </c>
      <c r="V617" t="str">
        <f t="shared" si="9"/>
        <v/>
      </c>
      <c r="X617" t="str">
        <f t="shared" si="11"/>
        <v/>
      </c>
      <c r="Z617" t="str">
        <f t="shared" si="13"/>
        <v/>
      </c>
      <c r="AB617" t="str">
        <f t="shared" si="15"/>
        <v/>
      </c>
      <c r="AD617" t="str">
        <f t="shared" si="17"/>
        <v/>
      </c>
      <c r="AF617" t="str">
        <f t="shared" si="19"/>
        <v/>
      </c>
      <c r="AH617" t="str">
        <f t="shared" si="21"/>
        <v/>
      </c>
      <c r="AJ617" t="str">
        <f t="shared" si="23"/>
        <v/>
      </c>
    </row>
    <row r="618">
      <c r="P618" t="str">
        <f t="shared" si="3"/>
        <v/>
      </c>
      <c r="R618" t="str">
        <f t="shared" si="5"/>
        <v/>
      </c>
      <c r="T618" t="str">
        <f t="shared" si="7"/>
        <v/>
      </c>
      <c r="V618" t="str">
        <f t="shared" si="9"/>
        <v/>
      </c>
      <c r="X618" t="str">
        <f t="shared" si="11"/>
        <v/>
      </c>
      <c r="Z618" t="str">
        <f t="shared" si="13"/>
        <v/>
      </c>
      <c r="AB618" t="str">
        <f t="shared" si="15"/>
        <v/>
      </c>
      <c r="AD618" t="str">
        <f t="shared" si="17"/>
        <v/>
      </c>
      <c r="AF618" t="str">
        <f t="shared" si="19"/>
        <v/>
      </c>
      <c r="AH618" t="str">
        <f t="shared" si="21"/>
        <v/>
      </c>
      <c r="AJ618" t="str">
        <f t="shared" si="23"/>
        <v/>
      </c>
    </row>
    <row r="619">
      <c r="P619" t="str">
        <f t="shared" si="3"/>
        <v/>
      </c>
      <c r="R619" t="str">
        <f t="shared" si="5"/>
        <v/>
      </c>
      <c r="T619" t="str">
        <f t="shared" si="7"/>
        <v/>
      </c>
      <c r="V619" t="str">
        <f t="shared" si="9"/>
        <v/>
      </c>
      <c r="X619" t="str">
        <f t="shared" si="11"/>
        <v/>
      </c>
      <c r="Z619" t="str">
        <f t="shared" si="13"/>
        <v/>
      </c>
      <c r="AB619" t="str">
        <f t="shared" si="15"/>
        <v/>
      </c>
      <c r="AD619" t="str">
        <f t="shared" si="17"/>
        <v/>
      </c>
      <c r="AF619" t="str">
        <f t="shared" si="19"/>
        <v/>
      </c>
      <c r="AH619" t="str">
        <f t="shared" si="21"/>
        <v/>
      </c>
      <c r="AJ619" t="str">
        <f t="shared" si="23"/>
        <v/>
      </c>
    </row>
    <row r="620">
      <c r="P620" t="str">
        <f t="shared" si="3"/>
        <v/>
      </c>
      <c r="R620" t="str">
        <f t="shared" si="5"/>
        <v/>
      </c>
      <c r="T620" t="str">
        <f t="shared" si="7"/>
        <v/>
      </c>
      <c r="V620" t="str">
        <f t="shared" si="9"/>
        <v/>
      </c>
      <c r="X620" t="str">
        <f t="shared" si="11"/>
        <v/>
      </c>
      <c r="Z620" t="str">
        <f t="shared" si="13"/>
        <v/>
      </c>
      <c r="AB620" t="str">
        <f t="shared" si="15"/>
        <v/>
      </c>
      <c r="AD620" t="str">
        <f t="shared" si="17"/>
        <v/>
      </c>
      <c r="AF620" t="str">
        <f t="shared" si="19"/>
        <v/>
      </c>
      <c r="AH620" t="str">
        <f t="shared" si="21"/>
        <v/>
      </c>
      <c r="AJ620" t="str">
        <f t="shared" si="23"/>
        <v/>
      </c>
    </row>
    <row r="621">
      <c r="P621" t="str">
        <f t="shared" si="3"/>
        <v/>
      </c>
      <c r="R621" t="str">
        <f t="shared" si="5"/>
        <v/>
      </c>
      <c r="T621" t="str">
        <f t="shared" si="7"/>
        <v/>
      </c>
      <c r="V621" t="str">
        <f t="shared" si="9"/>
        <v/>
      </c>
      <c r="X621" t="str">
        <f t="shared" si="11"/>
        <v/>
      </c>
      <c r="Z621" t="str">
        <f t="shared" si="13"/>
        <v/>
      </c>
      <c r="AB621" t="str">
        <f t="shared" si="15"/>
        <v/>
      </c>
      <c r="AD621" t="str">
        <f t="shared" si="17"/>
        <v/>
      </c>
      <c r="AF621" t="str">
        <f t="shared" si="19"/>
        <v/>
      </c>
      <c r="AH621" t="str">
        <f t="shared" si="21"/>
        <v/>
      </c>
      <c r="AJ621" t="str">
        <f t="shared" si="23"/>
        <v/>
      </c>
    </row>
    <row r="622">
      <c r="P622" t="str">
        <f t="shared" si="3"/>
        <v/>
      </c>
      <c r="R622" t="str">
        <f t="shared" si="5"/>
        <v/>
      </c>
      <c r="T622" t="str">
        <f t="shared" si="7"/>
        <v/>
      </c>
      <c r="V622" t="str">
        <f t="shared" si="9"/>
        <v/>
      </c>
      <c r="X622" t="str">
        <f t="shared" si="11"/>
        <v/>
      </c>
      <c r="Z622" t="str">
        <f t="shared" si="13"/>
        <v/>
      </c>
      <c r="AB622" t="str">
        <f t="shared" si="15"/>
        <v/>
      </c>
      <c r="AD622" t="str">
        <f t="shared" si="17"/>
        <v/>
      </c>
      <c r="AF622" t="str">
        <f t="shared" si="19"/>
        <v/>
      </c>
      <c r="AH622" t="str">
        <f t="shared" si="21"/>
        <v/>
      </c>
      <c r="AJ622" t="str">
        <f t="shared" si="23"/>
        <v/>
      </c>
    </row>
    <row r="623">
      <c r="P623" t="str">
        <f t="shared" si="3"/>
        <v/>
      </c>
      <c r="R623" t="str">
        <f t="shared" si="5"/>
        <v/>
      </c>
      <c r="T623" t="str">
        <f t="shared" si="7"/>
        <v/>
      </c>
      <c r="V623" t="str">
        <f t="shared" si="9"/>
        <v/>
      </c>
      <c r="X623" t="str">
        <f t="shared" si="11"/>
        <v/>
      </c>
      <c r="Z623" t="str">
        <f t="shared" si="13"/>
        <v/>
      </c>
      <c r="AB623" t="str">
        <f t="shared" si="15"/>
        <v/>
      </c>
      <c r="AD623" t="str">
        <f t="shared" si="17"/>
        <v/>
      </c>
      <c r="AF623" t="str">
        <f t="shared" si="19"/>
        <v/>
      </c>
      <c r="AH623" t="str">
        <f t="shared" si="21"/>
        <v/>
      </c>
      <c r="AJ623" t="str">
        <f t="shared" si="23"/>
        <v/>
      </c>
    </row>
    <row r="624">
      <c r="P624" t="str">
        <f t="shared" si="3"/>
        <v/>
      </c>
      <c r="R624" t="str">
        <f t="shared" si="5"/>
        <v/>
      </c>
      <c r="T624" t="str">
        <f t="shared" si="7"/>
        <v/>
      </c>
      <c r="V624" t="str">
        <f t="shared" si="9"/>
        <v/>
      </c>
      <c r="X624" t="str">
        <f t="shared" si="11"/>
        <v/>
      </c>
      <c r="Z624" t="str">
        <f t="shared" si="13"/>
        <v/>
      </c>
      <c r="AB624" t="str">
        <f t="shared" si="15"/>
        <v/>
      </c>
      <c r="AD624" t="str">
        <f t="shared" si="17"/>
        <v/>
      </c>
      <c r="AF624" t="str">
        <f t="shared" si="19"/>
        <v/>
      </c>
      <c r="AH624" t="str">
        <f t="shared" si="21"/>
        <v/>
      </c>
      <c r="AJ624" t="str">
        <f t="shared" si="23"/>
        <v/>
      </c>
    </row>
    <row r="625">
      <c r="P625" t="str">
        <f t="shared" si="3"/>
        <v/>
      </c>
      <c r="R625" t="str">
        <f t="shared" si="5"/>
        <v/>
      </c>
      <c r="T625" t="str">
        <f t="shared" si="7"/>
        <v/>
      </c>
      <c r="V625" t="str">
        <f t="shared" si="9"/>
        <v/>
      </c>
      <c r="X625" t="str">
        <f t="shared" si="11"/>
        <v/>
      </c>
      <c r="Z625" t="str">
        <f t="shared" si="13"/>
        <v/>
      </c>
      <c r="AB625" t="str">
        <f t="shared" si="15"/>
        <v/>
      </c>
      <c r="AD625" t="str">
        <f t="shared" si="17"/>
        <v/>
      </c>
      <c r="AF625" t="str">
        <f t="shared" si="19"/>
        <v/>
      </c>
      <c r="AH625" t="str">
        <f t="shared" si="21"/>
        <v/>
      </c>
      <c r="AJ625" t="str">
        <f t="shared" si="23"/>
        <v/>
      </c>
    </row>
    <row r="626">
      <c r="P626" t="str">
        <f t="shared" si="3"/>
        <v/>
      </c>
      <c r="R626" t="str">
        <f t="shared" si="5"/>
        <v/>
      </c>
      <c r="T626" t="str">
        <f t="shared" si="7"/>
        <v/>
      </c>
      <c r="V626" t="str">
        <f t="shared" si="9"/>
        <v/>
      </c>
      <c r="X626" t="str">
        <f t="shared" si="11"/>
        <v/>
      </c>
      <c r="Z626" t="str">
        <f t="shared" si="13"/>
        <v/>
      </c>
      <c r="AB626" t="str">
        <f t="shared" si="15"/>
        <v/>
      </c>
      <c r="AD626" t="str">
        <f t="shared" si="17"/>
        <v/>
      </c>
      <c r="AF626" t="str">
        <f t="shared" si="19"/>
        <v/>
      </c>
      <c r="AH626" t="str">
        <f t="shared" si="21"/>
        <v/>
      </c>
      <c r="AJ626" t="str">
        <f t="shared" si="23"/>
        <v/>
      </c>
    </row>
    <row r="627">
      <c r="P627" t="str">
        <f t="shared" si="3"/>
        <v/>
      </c>
      <c r="R627" t="str">
        <f t="shared" si="5"/>
        <v/>
      </c>
      <c r="T627" t="str">
        <f t="shared" si="7"/>
        <v/>
      </c>
      <c r="V627" t="str">
        <f t="shared" si="9"/>
        <v/>
      </c>
      <c r="X627" t="str">
        <f t="shared" si="11"/>
        <v/>
      </c>
      <c r="Z627" t="str">
        <f t="shared" si="13"/>
        <v/>
      </c>
      <c r="AB627" t="str">
        <f t="shared" si="15"/>
        <v/>
      </c>
      <c r="AD627" t="str">
        <f t="shared" si="17"/>
        <v/>
      </c>
      <c r="AF627" t="str">
        <f t="shared" si="19"/>
        <v/>
      </c>
      <c r="AH627" t="str">
        <f t="shared" si="21"/>
        <v/>
      </c>
      <c r="AJ627" t="str">
        <f t="shared" si="23"/>
        <v/>
      </c>
    </row>
    <row r="628">
      <c r="P628" t="str">
        <f t="shared" si="3"/>
        <v/>
      </c>
      <c r="R628" t="str">
        <f t="shared" si="5"/>
        <v/>
      </c>
      <c r="T628" t="str">
        <f t="shared" si="7"/>
        <v/>
      </c>
      <c r="V628" t="str">
        <f t="shared" si="9"/>
        <v/>
      </c>
      <c r="X628" t="str">
        <f t="shared" si="11"/>
        <v/>
      </c>
      <c r="Z628" t="str">
        <f t="shared" si="13"/>
        <v/>
      </c>
      <c r="AB628" t="str">
        <f t="shared" si="15"/>
        <v/>
      </c>
      <c r="AD628" t="str">
        <f t="shared" si="17"/>
        <v/>
      </c>
      <c r="AF628" t="str">
        <f t="shared" si="19"/>
        <v/>
      </c>
      <c r="AH628" t="str">
        <f t="shared" si="21"/>
        <v/>
      </c>
      <c r="AJ628" t="str">
        <f t="shared" si="23"/>
        <v/>
      </c>
    </row>
    <row r="629">
      <c r="P629" t="str">
        <f t="shared" si="3"/>
        <v/>
      </c>
      <c r="R629" t="str">
        <f t="shared" si="5"/>
        <v/>
      </c>
      <c r="T629" t="str">
        <f t="shared" si="7"/>
        <v/>
      </c>
      <c r="V629" t="str">
        <f t="shared" si="9"/>
        <v/>
      </c>
      <c r="X629" t="str">
        <f t="shared" si="11"/>
        <v/>
      </c>
      <c r="Z629" t="str">
        <f t="shared" si="13"/>
        <v/>
      </c>
      <c r="AB629" t="str">
        <f t="shared" si="15"/>
        <v/>
      </c>
      <c r="AD629" t="str">
        <f t="shared" si="17"/>
        <v/>
      </c>
      <c r="AF629" t="str">
        <f t="shared" si="19"/>
        <v/>
      </c>
      <c r="AH629" t="str">
        <f t="shared" si="21"/>
        <v/>
      </c>
      <c r="AJ629" t="str">
        <f t="shared" si="23"/>
        <v/>
      </c>
    </row>
    <row r="630">
      <c r="P630" t="str">
        <f t="shared" si="3"/>
        <v/>
      </c>
      <c r="R630" t="str">
        <f t="shared" si="5"/>
        <v/>
      </c>
      <c r="T630" t="str">
        <f t="shared" si="7"/>
        <v/>
      </c>
      <c r="V630" t="str">
        <f t="shared" si="9"/>
        <v/>
      </c>
      <c r="X630" t="str">
        <f t="shared" si="11"/>
        <v/>
      </c>
      <c r="Z630" t="str">
        <f t="shared" si="13"/>
        <v/>
      </c>
      <c r="AB630" t="str">
        <f t="shared" si="15"/>
        <v/>
      </c>
      <c r="AD630" t="str">
        <f t="shared" si="17"/>
        <v/>
      </c>
      <c r="AF630" t="str">
        <f t="shared" si="19"/>
        <v/>
      </c>
      <c r="AH630" t="str">
        <f t="shared" si="21"/>
        <v/>
      </c>
      <c r="AJ630" t="str">
        <f t="shared" si="23"/>
        <v/>
      </c>
    </row>
    <row r="631">
      <c r="P631" t="str">
        <f t="shared" si="3"/>
        <v/>
      </c>
      <c r="R631" t="str">
        <f t="shared" si="5"/>
        <v/>
      </c>
      <c r="T631" t="str">
        <f t="shared" si="7"/>
        <v/>
      </c>
      <c r="V631" t="str">
        <f t="shared" si="9"/>
        <v/>
      </c>
      <c r="X631" t="str">
        <f t="shared" si="11"/>
        <v/>
      </c>
      <c r="Z631" t="str">
        <f t="shared" si="13"/>
        <v/>
      </c>
      <c r="AB631" t="str">
        <f t="shared" si="15"/>
        <v/>
      </c>
      <c r="AD631" t="str">
        <f t="shared" si="17"/>
        <v/>
      </c>
      <c r="AF631" t="str">
        <f t="shared" si="19"/>
        <v/>
      </c>
      <c r="AH631" t="str">
        <f t="shared" si="21"/>
        <v/>
      </c>
      <c r="AJ631" t="str">
        <f t="shared" si="23"/>
        <v/>
      </c>
    </row>
    <row r="632">
      <c r="P632" t="str">
        <f t="shared" si="3"/>
        <v/>
      </c>
      <c r="R632" t="str">
        <f t="shared" si="5"/>
        <v/>
      </c>
      <c r="T632" t="str">
        <f t="shared" si="7"/>
        <v/>
      </c>
      <c r="V632" t="str">
        <f t="shared" si="9"/>
        <v/>
      </c>
      <c r="X632" t="str">
        <f t="shared" si="11"/>
        <v/>
      </c>
      <c r="Z632" t="str">
        <f t="shared" si="13"/>
        <v/>
      </c>
      <c r="AB632" t="str">
        <f t="shared" si="15"/>
        <v/>
      </c>
      <c r="AD632" t="str">
        <f t="shared" si="17"/>
        <v/>
      </c>
      <c r="AF632" t="str">
        <f t="shared" si="19"/>
        <v/>
      </c>
      <c r="AH632" t="str">
        <f t="shared" si="21"/>
        <v/>
      </c>
      <c r="AJ632" t="str">
        <f t="shared" si="23"/>
        <v/>
      </c>
    </row>
    <row r="633">
      <c r="P633" t="str">
        <f t="shared" si="3"/>
        <v/>
      </c>
      <c r="R633" t="str">
        <f t="shared" si="5"/>
        <v/>
      </c>
      <c r="T633" t="str">
        <f t="shared" si="7"/>
        <v/>
      </c>
      <c r="V633" t="str">
        <f t="shared" si="9"/>
        <v/>
      </c>
      <c r="X633" t="str">
        <f t="shared" si="11"/>
        <v/>
      </c>
      <c r="Z633" t="str">
        <f t="shared" si="13"/>
        <v/>
      </c>
      <c r="AB633" t="str">
        <f t="shared" si="15"/>
        <v/>
      </c>
      <c r="AD633" t="str">
        <f t="shared" si="17"/>
        <v/>
      </c>
      <c r="AF633" t="str">
        <f t="shared" si="19"/>
        <v/>
      </c>
      <c r="AH633" t="str">
        <f t="shared" si="21"/>
        <v/>
      </c>
      <c r="AJ633" t="str">
        <f t="shared" si="23"/>
        <v/>
      </c>
    </row>
    <row r="634">
      <c r="P634" t="str">
        <f t="shared" si="3"/>
        <v/>
      </c>
      <c r="R634" t="str">
        <f t="shared" si="5"/>
        <v/>
      </c>
      <c r="T634" t="str">
        <f t="shared" si="7"/>
        <v/>
      </c>
      <c r="V634" t="str">
        <f t="shared" si="9"/>
        <v/>
      </c>
      <c r="X634" t="str">
        <f t="shared" si="11"/>
        <v/>
      </c>
      <c r="Z634" t="str">
        <f t="shared" si="13"/>
        <v/>
      </c>
      <c r="AB634" t="str">
        <f t="shared" si="15"/>
        <v/>
      </c>
      <c r="AD634" t="str">
        <f t="shared" si="17"/>
        <v/>
      </c>
      <c r="AF634" t="str">
        <f t="shared" si="19"/>
        <v/>
      </c>
      <c r="AH634" t="str">
        <f t="shared" si="21"/>
        <v/>
      </c>
      <c r="AJ634" t="str">
        <f t="shared" si="23"/>
        <v/>
      </c>
    </row>
    <row r="635">
      <c r="P635" t="str">
        <f t="shared" si="3"/>
        <v/>
      </c>
      <c r="R635" t="str">
        <f t="shared" si="5"/>
        <v/>
      </c>
      <c r="T635" t="str">
        <f t="shared" si="7"/>
        <v/>
      </c>
      <c r="V635" t="str">
        <f t="shared" si="9"/>
        <v/>
      </c>
      <c r="X635" t="str">
        <f t="shared" si="11"/>
        <v/>
      </c>
      <c r="Z635" t="str">
        <f t="shared" si="13"/>
        <v/>
      </c>
      <c r="AB635" t="str">
        <f t="shared" si="15"/>
        <v/>
      </c>
      <c r="AD635" t="str">
        <f t="shared" si="17"/>
        <v/>
      </c>
      <c r="AF635" t="str">
        <f t="shared" si="19"/>
        <v/>
      </c>
      <c r="AH635" t="str">
        <f t="shared" si="21"/>
        <v/>
      </c>
      <c r="AJ635" t="str">
        <f t="shared" si="23"/>
        <v/>
      </c>
    </row>
    <row r="636">
      <c r="P636" t="str">
        <f t="shared" si="3"/>
        <v/>
      </c>
      <c r="R636" t="str">
        <f t="shared" si="5"/>
        <v/>
      </c>
      <c r="T636" t="str">
        <f t="shared" si="7"/>
        <v/>
      </c>
      <c r="V636" t="str">
        <f t="shared" si="9"/>
        <v/>
      </c>
      <c r="X636" t="str">
        <f t="shared" si="11"/>
        <v/>
      </c>
      <c r="Z636" t="str">
        <f t="shared" si="13"/>
        <v/>
      </c>
      <c r="AB636" t="str">
        <f t="shared" si="15"/>
        <v/>
      </c>
      <c r="AD636" t="str">
        <f t="shared" si="17"/>
        <v/>
      </c>
      <c r="AF636" t="str">
        <f t="shared" si="19"/>
        <v/>
      </c>
      <c r="AH636" t="str">
        <f t="shared" si="21"/>
        <v/>
      </c>
      <c r="AJ636" t="str">
        <f t="shared" si="23"/>
        <v/>
      </c>
    </row>
    <row r="637">
      <c r="P637" t="str">
        <f t="shared" si="3"/>
        <v/>
      </c>
      <c r="R637" t="str">
        <f t="shared" si="5"/>
        <v/>
      </c>
      <c r="T637" t="str">
        <f t="shared" si="7"/>
        <v/>
      </c>
      <c r="V637" t="str">
        <f t="shared" si="9"/>
        <v/>
      </c>
      <c r="X637" t="str">
        <f t="shared" si="11"/>
        <v/>
      </c>
      <c r="Z637" t="str">
        <f t="shared" si="13"/>
        <v/>
      </c>
      <c r="AB637" t="str">
        <f t="shared" si="15"/>
        <v/>
      </c>
      <c r="AD637" t="str">
        <f t="shared" si="17"/>
        <v/>
      </c>
      <c r="AF637" t="str">
        <f t="shared" si="19"/>
        <v/>
      </c>
      <c r="AH637" t="str">
        <f t="shared" si="21"/>
        <v/>
      </c>
      <c r="AJ637" t="str">
        <f t="shared" si="23"/>
        <v/>
      </c>
    </row>
    <row r="638">
      <c r="P638" t="str">
        <f t="shared" si="3"/>
        <v/>
      </c>
      <c r="R638" t="str">
        <f t="shared" si="5"/>
        <v/>
      </c>
      <c r="T638" t="str">
        <f t="shared" si="7"/>
        <v/>
      </c>
      <c r="V638" t="str">
        <f t="shared" si="9"/>
        <v/>
      </c>
      <c r="X638" t="str">
        <f t="shared" si="11"/>
        <v/>
      </c>
      <c r="Z638" t="str">
        <f t="shared" si="13"/>
        <v/>
      </c>
      <c r="AB638" t="str">
        <f t="shared" si="15"/>
        <v/>
      </c>
      <c r="AD638" t="str">
        <f t="shared" si="17"/>
        <v/>
      </c>
      <c r="AF638" t="str">
        <f t="shared" si="19"/>
        <v/>
      </c>
      <c r="AH638" t="str">
        <f t="shared" si="21"/>
        <v/>
      </c>
      <c r="AJ638" t="str">
        <f t="shared" si="23"/>
        <v/>
      </c>
    </row>
    <row r="639">
      <c r="P639" t="str">
        <f t="shared" si="3"/>
        <v/>
      </c>
      <c r="R639" t="str">
        <f t="shared" si="5"/>
        <v/>
      </c>
      <c r="T639" t="str">
        <f t="shared" si="7"/>
        <v/>
      </c>
      <c r="V639" t="str">
        <f t="shared" si="9"/>
        <v/>
      </c>
      <c r="X639" t="str">
        <f t="shared" si="11"/>
        <v/>
      </c>
      <c r="Z639" t="str">
        <f t="shared" si="13"/>
        <v/>
      </c>
      <c r="AB639" t="str">
        <f t="shared" si="15"/>
        <v/>
      </c>
      <c r="AD639" t="str">
        <f t="shared" si="17"/>
        <v/>
      </c>
      <c r="AF639" t="str">
        <f t="shared" si="19"/>
        <v/>
      </c>
      <c r="AH639" t="str">
        <f t="shared" si="21"/>
        <v/>
      </c>
      <c r="AJ639" t="str">
        <f t="shared" si="23"/>
        <v/>
      </c>
    </row>
    <row r="640">
      <c r="P640" t="str">
        <f t="shared" si="3"/>
        <v/>
      </c>
      <c r="R640" t="str">
        <f t="shared" si="5"/>
        <v/>
      </c>
      <c r="T640" t="str">
        <f t="shared" si="7"/>
        <v/>
      </c>
      <c r="V640" t="str">
        <f t="shared" si="9"/>
        <v/>
      </c>
      <c r="X640" t="str">
        <f t="shared" si="11"/>
        <v/>
      </c>
      <c r="Z640" t="str">
        <f t="shared" si="13"/>
        <v/>
      </c>
      <c r="AB640" t="str">
        <f t="shared" si="15"/>
        <v/>
      </c>
      <c r="AD640" t="str">
        <f t="shared" si="17"/>
        <v/>
      </c>
      <c r="AF640" t="str">
        <f t="shared" si="19"/>
        <v/>
      </c>
      <c r="AH640" t="str">
        <f t="shared" si="21"/>
        <v/>
      </c>
      <c r="AJ640" t="str">
        <f t="shared" si="23"/>
        <v/>
      </c>
    </row>
    <row r="641">
      <c r="P641" t="str">
        <f t="shared" si="3"/>
        <v/>
      </c>
      <c r="R641" t="str">
        <f t="shared" si="5"/>
        <v/>
      </c>
      <c r="T641" t="str">
        <f t="shared" si="7"/>
        <v/>
      </c>
      <c r="V641" t="str">
        <f t="shared" si="9"/>
        <v/>
      </c>
      <c r="X641" t="str">
        <f t="shared" si="11"/>
        <v/>
      </c>
      <c r="Z641" t="str">
        <f t="shared" si="13"/>
        <v/>
      </c>
      <c r="AB641" t="str">
        <f t="shared" si="15"/>
        <v/>
      </c>
      <c r="AD641" t="str">
        <f t="shared" si="17"/>
        <v/>
      </c>
      <c r="AF641" t="str">
        <f t="shared" si="19"/>
        <v/>
      </c>
      <c r="AH641" t="str">
        <f t="shared" si="21"/>
        <v/>
      </c>
      <c r="AJ641" t="str">
        <f t="shared" si="23"/>
        <v/>
      </c>
    </row>
    <row r="642">
      <c r="P642" t="str">
        <f t="shared" si="3"/>
        <v/>
      </c>
      <c r="R642" t="str">
        <f t="shared" si="5"/>
        <v/>
      </c>
      <c r="T642" t="str">
        <f t="shared" si="7"/>
        <v/>
      </c>
      <c r="V642" t="str">
        <f t="shared" si="9"/>
        <v/>
      </c>
      <c r="X642" t="str">
        <f t="shared" si="11"/>
        <v/>
      </c>
      <c r="Z642" t="str">
        <f t="shared" si="13"/>
        <v/>
      </c>
      <c r="AB642" t="str">
        <f t="shared" si="15"/>
        <v/>
      </c>
      <c r="AD642" t="str">
        <f t="shared" si="17"/>
        <v/>
      </c>
      <c r="AF642" t="str">
        <f t="shared" si="19"/>
        <v/>
      </c>
      <c r="AH642" t="str">
        <f t="shared" si="21"/>
        <v/>
      </c>
      <c r="AJ642" t="str">
        <f t="shared" si="23"/>
        <v/>
      </c>
    </row>
    <row r="643">
      <c r="P643" t="str">
        <f t="shared" si="3"/>
        <v/>
      </c>
      <c r="R643" t="str">
        <f t="shared" si="5"/>
        <v/>
      </c>
      <c r="T643" t="str">
        <f t="shared" si="7"/>
        <v/>
      </c>
      <c r="V643" t="str">
        <f t="shared" si="9"/>
        <v/>
      </c>
      <c r="X643" t="str">
        <f t="shared" si="11"/>
        <v/>
      </c>
      <c r="Z643" t="str">
        <f t="shared" si="13"/>
        <v/>
      </c>
      <c r="AB643" t="str">
        <f t="shared" si="15"/>
        <v/>
      </c>
      <c r="AD643" t="str">
        <f t="shared" si="17"/>
        <v/>
      </c>
      <c r="AF643" t="str">
        <f t="shared" si="19"/>
        <v/>
      </c>
      <c r="AH643" t="str">
        <f t="shared" si="21"/>
        <v/>
      </c>
      <c r="AJ643" t="str">
        <f t="shared" si="23"/>
        <v/>
      </c>
    </row>
    <row r="644">
      <c r="P644" t="str">
        <f t="shared" si="3"/>
        <v/>
      </c>
      <c r="R644" t="str">
        <f t="shared" si="5"/>
        <v/>
      </c>
      <c r="T644" t="str">
        <f t="shared" si="7"/>
        <v/>
      </c>
      <c r="V644" t="str">
        <f t="shared" si="9"/>
        <v/>
      </c>
      <c r="X644" t="str">
        <f t="shared" si="11"/>
        <v/>
      </c>
      <c r="Z644" t="str">
        <f t="shared" si="13"/>
        <v/>
      </c>
      <c r="AB644" t="str">
        <f t="shared" si="15"/>
        <v/>
      </c>
      <c r="AD644" t="str">
        <f t="shared" si="17"/>
        <v/>
      </c>
      <c r="AF644" t="str">
        <f t="shared" si="19"/>
        <v/>
      </c>
      <c r="AH644" t="str">
        <f t="shared" si="21"/>
        <v/>
      </c>
      <c r="AJ644" t="str">
        <f t="shared" si="23"/>
        <v/>
      </c>
    </row>
    <row r="645">
      <c r="P645" t="str">
        <f t="shared" si="3"/>
        <v/>
      </c>
      <c r="R645" t="str">
        <f t="shared" si="5"/>
        <v/>
      </c>
      <c r="T645" t="str">
        <f t="shared" si="7"/>
        <v/>
      </c>
      <c r="V645" t="str">
        <f t="shared" si="9"/>
        <v/>
      </c>
      <c r="X645" t="str">
        <f t="shared" si="11"/>
        <v/>
      </c>
      <c r="Z645" t="str">
        <f t="shared" si="13"/>
        <v/>
      </c>
      <c r="AB645" t="str">
        <f t="shared" si="15"/>
        <v/>
      </c>
      <c r="AD645" t="str">
        <f t="shared" si="17"/>
        <v/>
      </c>
      <c r="AF645" t="str">
        <f t="shared" si="19"/>
        <v/>
      </c>
      <c r="AH645" t="str">
        <f t="shared" si="21"/>
        <v/>
      </c>
      <c r="AJ645" t="str">
        <f t="shared" si="23"/>
        <v/>
      </c>
    </row>
    <row r="646">
      <c r="P646" t="str">
        <f t="shared" si="3"/>
        <v/>
      </c>
      <c r="R646" t="str">
        <f t="shared" si="5"/>
        <v/>
      </c>
      <c r="T646" t="str">
        <f t="shared" si="7"/>
        <v/>
      </c>
      <c r="V646" t="str">
        <f t="shared" si="9"/>
        <v/>
      </c>
      <c r="X646" t="str">
        <f t="shared" si="11"/>
        <v/>
      </c>
      <c r="Z646" t="str">
        <f t="shared" si="13"/>
        <v/>
      </c>
      <c r="AB646" t="str">
        <f t="shared" si="15"/>
        <v/>
      </c>
      <c r="AD646" t="str">
        <f t="shared" si="17"/>
        <v/>
      </c>
      <c r="AF646" t="str">
        <f t="shared" si="19"/>
        <v/>
      </c>
      <c r="AH646" t="str">
        <f t="shared" si="21"/>
        <v/>
      </c>
      <c r="AJ646" t="str">
        <f t="shared" si="23"/>
        <v/>
      </c>
    </row>
    <row r="647">
      <c r="P647" t="str">
        <f t="shared" si="3"/>
        <v/>
      </c>
      <c r="R647" t="str">
        <f t="shared" si="5"/>
        <v/>
      </c>
      <c r="T647" t="str">
        <f t="shared" si="7"/>
        <v/>
      </c>
      <c r="V647" t="str">
        <f t="shared" si="9"/>
        <v/>
      </c>
      <c r="X647" t="str">
        <f t="shared" si="11"/>
        <v/>
      </c>
      <c r="Z647" t="str">
        <f t="shared" si="13"/>
        <v/>
      </c>
      <c r="AB647" t="str">
        <f t="shared" si="15"/>
        <v/>
      </c>
      <c r="AD647" t="str">
        <f t="shared" si="17"/>
        <v/>
      </c>
      <c r="AF647" t="str">
        <f t="shared" si="19"/>
        <v/>
      </c>
      <c r="AH647" t="str">
        <f t="shared" si="21"/>
        <v/>
      </c>
      <c r="AJ647" t="str">
        <f t="shared" si="23"/>
        <v/>
      </c>
    </row>
    <row r="648">
      <c r="P648" t="str">
        <f t="shared" si="3"/>
        <v/>
      </c>
      <c r="R648" t="str">
        <f t="shared" si="5"/>
        <v/>
      </c>
      <c r="T648" t="str">
        <f t="shared" si="7"/>
        <v/>
      </c>
      <c r="V648" t="str">
        <f t="shared" si="9"/>
        <v/>
      </c>
      <c r="X648" t="str">
        <f t="shared" si="11"/>
        <v/>
      </c>
      <c r="Z648" t="str">
        <f t="shared" si="13"/>
        <v/>
      </c>
      <c r="AB648" t="str">
        <f t="shared" si="15"/>
        <v/>
      </c>
      <c r="AD648" t="str">
        <f t="shared" si="17"/>
        <v/>
      </c>
      <c r="AF648" t="str">
        <f t="shared" si="19"/>
        <v/>
      </c>
      <c r="AH648" t="str">
        <f t="shared" si="21"/>
        <v/>
      </c>
      <c r="AJ648" t="str">
        <f t="shared" si="23"/>
        <v/>
      </c>
    </row>
    <row r="649">
      <c r="P649" t="str">
        <f t="shared" si="3"/>
        <v/>
      </c>
      <c r="R649" t="str">
        <f t="shared" si="5"/>
        <v/>
      </c>
      <c r="T649" t="str">
        <f t="shared" si="7"/>
        <v/>
      </c>
      <c r="V649" t="str">
        <f t="shared" si="9"/>
        <v/>
      </c>
      <c r="X649" t="str">
        <f t="shared" si="11"/>
        <v/>
      </c>
      <c r="Z649" t="str">
        <f t="shared" si="13"/>
        <v/>
      </c>
      <c r="AB649" t="str">
        <f t="shared" si="15"/>
        <v/>
      </c>
      <c r="AD649" t="str">
        <f t="shared" si="17"/>
        <v/>
      </c>
      <c r="AF649" t="str">
        <f t="shared" si="19"/>
        <v/>
      </c>
      <c r="AH649" t="str">
        <f t="shared" si="21"/>
        <v/>
      </c>
      <c r="AJ649" t="str">
        <f t="shared" si="23"/>
        <v/>
      </c>
    </row>
    <row r="650">
      <c r="P650" t="str">
        <f t="shared" si="3"/>
        <v/>
      </c>
      <c r="R650" t="str">
        <f t="shared" si="5"/>
        <v/>
      </c>
      <c r="T650" t="str">
        <f t="shared" si="7"/>
        <v/>
      </c>
      <c r="V650" t="str">
        <f t="shared" si="9"/>
        <v/>
      </c>
      <c r="X650" t="str">
        <f t="shared" si="11"/>
        <v/>
      </c>
      <c r="Z650" t="str">
        <f t="shared" si="13"/>
        <v/>
      </c>
      <c r="AB650" t="str">
        <f t="shared" si="15"/>
        <v/>
      </c>
      <c r="AD650" t="str">
        <f t="shared" si="17"/>
        <v/>
      </c>
      <c r="AF650" t="str">
        <f t="shared" si="19"/>
        <v/>
      </c>
      <c r="AH650" t="str">
        <f t="shared" si="21"/>
        <v/>
      </c>
      <c r="AJ650" t="str">
        <f t="shared" si="23"/>
        <v/>
      </c>
    </row>
    <row r="651">
      <c r="P651" t="str">
        <f t="shared" si="3"/>
        <v/>
      </c>
      <c r="R651" t="str">
        <f t="shared" si="5"/>
        <v/>
      </c>
      <c r="T651" t="str">
        <f t="shared" si="7"/>
        <v/>
      </c>
      <c r="V651" t="str">
        <f t="shared" si="9"/>
        <v/>
      </c>
      <c r="X651" t="str">
        <f t="shared" si="11"/>
        <v/>
      </c>
      <c r="Z651" t="str">
        <f t="shared" si="13"/>
        <v/>
      </c>
      <c r="AB651" t="str">
        <f t="shared" si="15"/>
        <v/>
      </c>
      <c r="AD651" t="str">
        <f t="shared" si="17"/>
        <v/>
      </c>
      <c r="AF651" t="str">
        <f t="shared" si="19"/>
        <v/>
      </c>
      <c r="AH651" t="str">
        <f t="shared" si="21"/>
        <v/>
      </c>
      <c r="AJ651" t="str">
        <f t="shared" si="23"/>
        <v/>
      </c>
    </row>
    <row r="652">
      <c r="P652" t="str">
        <f t="shared" si="3"/>
        <v/>
      </c>
      <c r="R652" t="str">
        <f t="shared" si="5"/>
        <v/>
      </c>
      <c r="T652" t="str">
        <f t="shared" si="7"/>
        <v/>
      </c>
      <c r="V652" t="str">
        <f t="shared" si="9"/>
        <v/>
      </c>
      <c r="X652" t="str">
        <f t="shared" si="11"/>
        <v/>
      </c>
      <c r="Z652" t="str">
        <f t="shared" si="13"/>
        <v/>
      </c>
      <c r="AB652" t="str">
        <f t="shared" si="15"/>
        <v/>
      </c>
      <c r="AD652" t="str">
        <f t="shared" si="17"/>
        <v/>
      </c>
      <c r="AF652" t="str">
        <f t="shared" si="19"/>
        <v/>
      </c>
      <c r="AH652" t="str">
        <f t="shared" si="21"/>
        <v/>
      </c>
      <c r="AJ652" t="str">
        <f t="shared" si="23"/>
        <v/>
      </c>
    </row>
    <row r="653">
      <c r="P653" t="str">
        <f t="shared" si="3"/>
        <v/>
      </c>
      <c r="R653" t="str">
        <f t="shared" si="5"/>
        <v/>
      </c>
      <c r="T653" t="str">
        <f t="shared" si="7"/>
        <v/>
      </c>
      <c r="V653" t="str">
        <f t="shared" si="9"/>
        <v/>
      </c>
      <c r="X653" t="str">
        <f t="shared" si="11"/>
        <v/>
      </c>
      <c r="Z653" t="str">
        <f t="shared" si="13"/>
        <v/>
      </c>
      <c r="AB653" t="str">
        <f t="shared" si="15"/>
        <v/>
      </c>
      <c r="AD653" t="str">
        <f t="shared" si="17"/>
        <v/>
      </c>
      <c r="AF653" t="str">
        <f t="shared" si="19"/>
        <v/>
      </c>
      <c r="AH653" t="str">
        <f t="shared" si="21"/>
        <v/>
      </c>
      <c r="AJ653" t="str">
        <f t="shared" si="23"/>
        <v/>
      </c>
    </row>
    <row r="654">
      <c r="P654" t="str">
        <f t="shared" si="3"/>
        <v/>
      </c>
      <c r="R654" t="str">
        <f t="shared" si="5"/>
        <v/>
      </c>
      <c r="T654" t="str">
        <f t="shared" si="7"/>
        <v/>
      </c>
      <c r="V654" t="str">
        <f t="shared" si="9"/>
        <v/>
      </c>
      <c r="X654" t="str">
        <f t="shared" si="11"/>
        <v/>
      </c>
      <c r="Z654" t="str">
        <f t="shared" si="13"/>
        <v/>
      </c>
      <c r="AB654" t="str">
        <f t="shared" si="15"/>
        <v/>
      </c>
      <c r="AD654" t="str">
        <f t="shared" si="17"/>
        <v/>
      </c>
      <c r="AF654" t="str">
        <f t="shared" si="19"/>
        <v/>
      </c>
      <c r="AH654" t="str">
        <f t="shared" si="21"/>
        <v/>
      </c>
      <c r="AJ654" t="str">
        <f t="shared" si="23"/>
        <v/>
      </c>
    </row>
    <row r="655">
      <c r="P655" t="str">
        <f t="shared" si="3"/>
        <v/>
      </c>
      <c r="R655" t="str">
        <f t="shared" si="5"/>
        <v/>
      </c>
      <c r="T655" t="str">
        <f t="shared" si="7"/>
        <v/>
      </c>
      <c r="V655" t="str">
        <f t="shared" si="9"/>
        <v/>
      </c>
      <c r="X655" t="str">
        <f t="shared" si="11"/>
        <v/>
      </c>
      <c r="Z655" t="str">
        <f t="shared" si="13"/>
        <v/>
      </c>
      <c r="AB655" t="str">
        <f t="shared" si="15"/>
        <v/>
      </c>
      <c r="AD655" t="str">
        <f t="shared" si="17"/>
        <v/>
      </c>
      <c r="AF655" t="str">
        <f t="shared" si="19"/>
        <v/>
      </c>
      <c r="AH655" t="str">
        <f t="shared" si="21"/>
        <v/>
      </c>
      <c r="AJ655" t="str">
        <f t="shared" si="23"/>
        <v/>
      </c>
    </row>
    <row r="656">
      <c r="P656" t="str">
        <f t="shared" si="3"/>
        <v/>
      </c>
      <c r="R656" t="str">
        <f t="shared" si="5"/>
        <v/>
      </c>
      <c r="T656" t="str">
        <f t="shared" si="7"/>
        <v/>
      </c>
      <c r="V656" t="str">
        <f t="shared" si="9"/>
        <v/>
      </c>
      <c r="X656" t="str">
        <f t="shared" si="11"/>
        <v/>
      </c>
      <c r="Z656" t="str">
        <f t="shared" si="13"/>
        <v/>
      </c>
      <c r="AB656" t="str">
        <f t="shared" si="15"/>
        <v/>
      </c>
      <c r="AD656" t="str">
        <f t="shared" si="17"/>
        <v/>
      </c>
      <c r="AF656" t="str">
        <f t="shared" si="19"/>
        <v/>
      </c>
      <c r="AH656" t="str">
        <f t="shared" si="21"/>
        <v/>
      </c>
      <c r="AJ656" t="str">
        <f t="shared" si="23"/>
        <v/>
      </c>
    </row>
    <row r="657">
      <c r="P657" t="str">
        <f t="shared" si="3"/>
        <v/>
      </c>
      <c r="R657" t="str">
        <f t="shared" si="5"/>
        <v/>
      </c>
      <c r="T657" t="str">
        <f t="shared" si="7"/>
        <v/>
      </c>
      <c r="V657" t="str">
        <f t="shared" si="9"/>
        <v/>
      </c>
      <c r="X657" t="str">
        <f t="shared" si="11"/>
        <v/>
      </c>
      <c r="Z657" t="str">
        <f t="shared" si="13"/>
        <v/>
      </c>
      <c r="AB657" t="str">
        <f t="shared" si="15"/>
        <v/>
      </c>
      <c r="AD657" t="str">
        <f t="shared" si="17"/>
        <v/>
      </c>
      <c r="AF657" t="str">
        <f t="shared" si="19"/>
        <v/>
      </c>
      <c r="AH657" t="str">
        <f t="shared" si="21"/>
        <v/>
      </c>
      <c r="AJ657" t="str">
        <f t="shared" si="23"/>
        <v/>
      </c>
    </row>
    <row r="658">
      <c r="P658" t="str">
        <f t="shared" si="3"/>
        <v/>
      </c>
      <c r="R658" t="str">
        <f t="shared" si="5"/>
        <v/>
      </c>
      <c r="T658" t="str">
        <f t="shared" si="7"/>
        <v/>
      </c>
      <c r="V658" t="str">
        <f t="shared" si="9"/>
        <v/>
      </c>
      <c r="X658" t="str">
        <f t="shared" si="11"/>
        <v/>
      </c>
      <c r="Z658" t="str">
        <f t="shared" si="13"/>
        <v/>
      </c>
      <c r="AB658" t="str">
        <f t="shared" si="15"/>
        <v/>
      </c>
      <c r="AD658" t="str">
        <f t="shared" si="17"/>
        <v/>
      </c>
      <c r="AF658" t="str">
        <f t="shared" si="19"/>
        <v/>
      </c>
      <c r="AH658" t="str">
        <f t="shared" si="21"/>
        <v/>
      </c>
      <c r="AJ658" t="str">
        <f t="shared" si="23"/>
        <v/>
      </c>
    </row>
    <row r="659">
      <c r="P659" t="str">
        <f t="shared" si="3"/>
        <v/>
      </c>
      <c r="R659" t="str">
        <f t="shared" si="5"/>
        <v/>
      </c>
      <c r="T659" t="str">
        <f t="shared" si="7"/>
        <v/>
      </c>
      <c r="V659" t="str">
        <f t="shared" si="9"/>
        <v/>
      </c>
      <c r="X659" t="str">
        <f t="shared" si="11"/>
        <v/>
      </c>
      <c r="Z659" t="str">
        <f t="shared" si="13"/>
        <v/>
      </c>
      <c r="AB659" t="str">
        <f t="shared" si="15"/>
        <v/>
      </c>
      <c r="AD659" t="str">
        <f t="shared" si="17"/>
        <v/>
      </c>
      <c r="AF659" t="str">
        <f t="shared" si="19"/>
        <v/>
      </c>
      <c r="AH659" t="str">
        <f t="shared" si="21"/>
        <v/>
      </c>
      <c r="AJ659" t="str">
        <f t="shared" si="23"/>
        <v/>
      </c>
    </row>
    <row r="660">
      <c r="P660" t="str">
        <f t="shared" si="3"/>
        <v/>
      </c>
      <c r="R660" t="str">
        <f t="shared" si="5"/>
        <v/>
      </c>
      <c r="T660" t="str">
        <f t="shared" si="7"/>
        <v/>
      </c>
      <c r="V660" t="str">
        <f t="shared" si="9"/>
        <v/>
      </c>
      <c r="X660" t="str">
        <f t="shared" si="11"/>
        <v/>
      </c>
      <c r="Z660" t="str">
        <f t="shared" si="13"/>
        <v/>
      </c>
      <c r="AB660" t="str">
        <f t="shared" si="15"/>
        <v/>
      </c>
      <c r="AD660" t="str">
        <f t="shared" si="17"/>
        <v/>
      </c>
      <c r="AF660" t="str">
        <f t="shared" si="19"/>
        <v/>
      </c>
      <c r="AH660" t="str">
        <f t="shared" si="21"/>
        <v/>
      </c>
      <c r="AJ660" t="str">
        <f t="shared" si="23"/>
        <v/>
      </c>
    </row>
    <row r="661">
      <c r="P661" t="str">
        <f t="shared" si="3"/>
        <v/>
      </c>
      <c r="R661" t="str">
        <f t="shared" si="5"/>
        <v/>
      </c>
      <c r="T661" t="str">
        <f t="shared" si="7"/>
        <v/>
      </c>
      <c r="V661" t="str">
        <f t="shared" si="9"/>
        <v/>
      </c>
      <c r="X661" t="str">
        <f t="shared" si="11"/>
        <v/>
      </c>
      <c r="Z661" t="str">
        <f t="shared" si="13"/>
        <v/>
      </c>
      <c r="AB661" t="str">
        <f t="shared" si="15"/>
        <v/>
      </c>
      <c r="AD661" t="str">
        <f t="shared" si="17"/>
        <v/>
      </c>
      <c r="AF661" t="str">
        <f t="shared" si="19"/>
        <v/>
      </c>
      <c r="AH661" t="str">
        <f t="shared" si="21"/>
        <v/>
      </c>
      <c r="AJ661" t="str">
        <f t="shared" si="23"/>
        <v/>
      </c>
    </row>
    <row r="662">
      <c r="P662" t="str">
        <f t="shared" si="3"/>
        <v/>
      </c>
      <c r="R662" t="str">
        <f t="shared" si="5"/>
        <v/>
      </c>
      <c r="T662" t="str">
        <f t="shared" si="7"/>
        <v/>
      </c>
      <c r="V662" t="str">
        <f t="shared" si="9"/>
        <v/>
      </c>
      <c r="X662" t="str">
        <f t="shared" si="11"/>
        <v/>
      </c>
      <c r="Z662" t="str">
        <f t="shared" si="13"/>
        <v/>
      </c>
      <c r="AB662" t="str">
        <f t="shared" si="15"/>
        <v/>
      </c>
      <c r="AD662" t="str">
        <f t="shared" si="17"/>
        <v/>
      </c>
      <c r="AF662" t="str">
        <f t="shared" si="19"/>
        <v/>
      </c>
      <c r="AH662" t="str">
        <f t="shared" si="21"/>
        <v/>
      </c>
      <c r="AJ662" t="str">
        <f t="shared" si="23"/>
        <v/>
      </c>
    </row>
    <row r="663">
      <c r="P663" t="str">
        <f t="shared" si="3"/>
        <v/>
      </c>
      <c r="R663" t="str">
        <f t="shared" si="5"/>
        <v/>
      </c>
      <c r="T663" t="str">
        <f t="shared" si="7"/>
        <v/>
      </c>
      <c r="V663" t="str">
        <f t="shared" si="9"/>
        <v/>
      </c>
      <c r="X663" t="str">
        <f t="shared" si="11"/>
        <v/>
      </c>
      <c r="Z663" t="str">
        <f t="shared" si="13"/>
        <v/>
      </c>
      <c r="AB663" t="str">
        <f t="shared" si="15"/>
        <v/>
      </c>
      <c r="AD663" t="str">
        <f t="shared" si="17"/>
        <v/>
      </c>
      <c r="AF663" t="str">
        <f t="shared" si="19"/>
        <v/>
      </c>
      <c r="AH663" t="str">
        <f t="shared" si="21"/>
        <v/>
      </c>
      <c r="AJ663" t="str">
        <f t="shared" si="23"/>
        <v/>
      </c>
    </row>
    <row r="664">
      <c r="P664" t="str">
        <f t="shared" si="3"/>
        <v/>
      </c>
      <c r="R664" t="str">
        <f t="shared" si="5"/>
        <v/>
      </c>
      <c r="T664" t="str">
        <f t="shared" si="7"/>
        <v/>
      </c>
      <c r="V664" t="str">
        <f t="shared" si="9"/>
        <v/>
      </c>
      <c r="X664" t="str">
        <f t="shared" si="11"/>
        <v/>
      </c>
      <c r="Z664" t="str">
        <f t="shared" si="13"/>
        <v/>
      </c>
      <c r="AB664" t="str">
        <f t="shared" si="15"/>
        <v/>
      </c>
      <c r="AD664" t="str">
        <f t="shared" si="17"/>
        <v/>
      </c>
      <c r="AF664" t="str">
        <f t="shared" si="19"/>
        <v/>
      </c>
      <c r="AH664" t="str">
        <f t="shared" si="21"/>
        <v/>
      </c>
      <c r="AJ664" t="str">
        <f t="shared" si="23"/>
        <v/>
      </c>
    </row>
    <row r="665">
      <c r="P665" t="str">
        <f t="shared" si="3"/>
        <v/>
      </c>
      <c r="R665" t="str">
        <f t="shared" si="5"/>
        <v/>
      </c>
      <c r="T665" t="str">
        <f t="shared" si="7"/>
        <v/>
      </c>
      <c r="V665" t="str">
        <f t="shared" si="9"/>
        <v/>
      </c>
      <c r="X665" t="str">
        <f t="shared" si="11"/>
        <v/>
      </c>
      <c r="Z665" t="str">
        <f t="shared" si="13"/>
        <v/>
      </c>
      <c r="AB665" t="str">
        <f t="shared" si="15"/>
        <v/>
      </c>
      <c r="AD665" t="str">
        <f t="shared" si="17"/>
        <v/>
      </c>
      <c r="AF665" t="str">
        <f t="shared" si="19"/>
        <v/>
      </c>
      <c r="AH665" t="str">
        <f t="shared" si="21"/>
        <v/>
      </c>
      <c r="AJ665" t="str">
        <f t="shared" si="23"/>
        <v/>
      </c>
    </row>
    <row r="666">
      <c r="P666" t="str">
        <f t="shared" si="3"/>
        <v/>
      </c>
      <c r="R666" t="str">
        <f t="shared" si="5"/>
        <v/>
      </c>
      <c r="T666" t="str">
        <f t="shared" si="7"/>
        <v/>
      </c>
      <c r="V666" t="str">
        <f t="shared" si="9"/>
        <v/>
      </c>
      <c r="X666" t="str">
        <f t="shared" si="11"/>
        <v/>
      </c>
      <c r="Z666" t="str">
        <f t="shared" si="13"/>
        <v/>
      </c>
      <c r="AB666" t="str">
        <f t="shared" si="15"/>
        <v/>
      </c>
      <c r="AD666" t="str">
        <f t="shared" si="17"/>
        <v/>
      </c>
      <c r="AF666" t="str">
        <f t="shared" si="19"/>
        <v/>
      </c>
      <c r="AH666" t="str">
        <f t="shared" si="21"/>
        <v/>
      </c>
      <c r="AJ666" t="str">
        <f t="shared" si="23"/>
        <v/>
      </c>
    </row>
    <row r="667">
      <c r="P667" t="str">
        <f t="shared" si="3"/>
        <v/>
      </c>
      <c r="R667" t="str">
        <f t="shared" si="5"/>
        <v/>
      </c>
      <c r="T667" t="str">
        <f t="shared" si="7"/>
        <v/>
      </c>
      <c r="V667" t="str">
        <f t="shared" si="9"/>
        <v/>
      </c>
      <c r="X667" t="str">
        <f t="shared" si="11"/>
        <v/>
      </c>
      <c r="Z667" t="str">
        <f t="shared" si="13"/>
        <v/>
      </c>
      <c r="AB667" t="str">
        <f t="shared" si="15"/>
        <v/>
      </c>
      <c r="AD667" t="str">
        <f t="shared" si="17"/>
        <v/>
      </c>
      <c r="AF667" t="str">
        <f t="shared" si="19"/>
        <v/>
      </c>
      <c r="AH667" t="str">
        <f t="shared" si="21"/>
        <v/>
      </c>
      <c r="AJ667" t="str">
        <f t="shared" si="23"/>
        <v/>
      </c>
    </row>
    <row r="668">
      <c r="P668" t="str">
        <f t="shared" si="3"/>
        <v/>
      </c>
      <c r="R668" t="str">
        <f t="shared" si="5"/>
        <v/>
      </c>
      <c r="T668" t="str">
        <f t="shared" si="7"/>
        <v/>
      </c>
      <c r="V668" t="str">
        <f t="shared" si="9"/>
        <v/>
      </c>
      <c r="X668" t="str">
        <f t="shared" si="11"/>
        <v/>
      </c>
      <c r="Z668" t="str">
        <f t="shared" si="13"/>
        <v/>
      </c>
      <c r="AB668" t="str">
        <f t="shared" si="15"/>
        <v/>
      </c>
      <c r="AD668" t="str">
        <f t="shared" si="17"/>
        <v/>
      </c>
      <c r="AF668" t="str">
        <f t="shared" si="19"/>
        <v/>
      </c>
      <c r="AH668" t="str">
        <f t="shared" si="21"/>
        <v/>
      </c>
      <c r="AJ668" t="str">
        <f t="shared" si="23"/>
        <v/>
      </c>
    </row>
    <row r="669">
      <c r="P669" t="str">
        <f t="shared" si="3"/>
        <v/>
      </c>
      <c r="R669" t="str">
        <f t="shared" si="5"/>
        <v/>
      </c>
      <c r="T669" t="str">
        <f t="shared" si="7"/>
        <v/>
      </c>
      <c r="V669" t="str">
        <f t="shared" si="9"/>
        <v/>
      </c>
      <c r="X669" t="str">
        <f t="shared" si="11"/>
        <v/>
      </c>
      <c r="Z669" t="str">
        <f t="shared" si="13"/>
        <v/>
      </c>
      <c r="AB669" t="str">
        <f t="shared" si="15"/>
        <v/>
      </c>
      <c r="AD669" t="str">
        <f t="shared" si="17"/>
        <v/>
      </c>
      <c r="AF669" t="str">
        <f t="shared" si="19"/>
        <v/>
      </c>
      <c r="AH669" t="str">
        <f t="shared" si="21"/>
        <v/>
      </c>
      <c r="AJ669" t="str">
        <f t="shared" si="23"/>
        <v/>
      </c>
    </row>
    <row r="670">
      <c r="P670" t="str">
        <f t="shared" si="3"/>
        <v/>
      </c>
      <c r="R670" t="str">
        <f t="shared" si="5"/>
        <v/>
      </c>
      <c r="T670" t="str">
        <f t="shared" si="7"/>
        <v/>
      </c>
      <c r="V670" t="str">
        <f t="shared" si="9"/>
        <v/>
      </c>
      <c r="X670" t="str">
        <f t="shared" si="11"/>
        <v/>
      </c>
      <c r="Z670" t="str">
        <f t="shared" si="13"/>
        <v/>
      </c>
      <c r="AB670" t="str">
        <f t="shared" si="15"/>
        <v/>
      </c>
      <c r="AD670" t="str">
        <f t="shared" si="17"/>
        <v/>
      </c>
      <c r="AF670" t="str">
        <f t="shared" si="19"/>
        <v/>
      </c>
      <c r="AH670" t="str">
        <f t="shared" si="21"/>
        <v/>
      </c>
      <c r="AJ670" t="str">
        <f t="shared" si="23"/>
        <v/>
      </c>
    </row>
    <row r="671">
      <c r="P671" t="str">
        <f t="shared" si="3"/>
        <v/>
      </c>
      <c r="R671" t="str">
        <f t="shared" si="5"/>
        <v/>
      </c>
      <c r="T671" t="str">
        <f t="shared" si="7"/>
        <v/>
      </c>
      <c r="V671" t="str">
        <f t="shared" si="9"/>
        <v/>
      </c>
      <c r="X671" t="str">
        <f t="shared" si="11"/>
        <v/>
      </c>
      <c r="Z671" t="str">
        <f t="shared" si="13"/>
        <v/>
      </c>
      <c r="AB671" t="str">
        <f t="shared" si="15"/>
        <v/>
      </c>
      <c r="AD671" t="str">
        <f t="shared" si="17"/>
        <v/>
      </c>
      <c r="AF671" t="str">
        <f t="shared" si="19"/>
        <v/>
      </c>
      <c r="AH671" t="str">
        <f t="shared" si="21"/>
        <v/>
      </c>
      <c r="AJ671" t="str">
        <f t="shared" si="23"/>
        <v/>
      </c>
    </row>
    <row r="672">
      <c r="P672" t="str">
        <f t="shared" si="3"/>
        <v/>
      </c>
      <c r="R672" t="str">
        <f t="shared" si="5"/>
        <v/>
      </c>
      <c r="T672" t="str">
        <f t="shared" si="7"/>
        <v/>
      </c>
      <c r="V672" t="str">
        <f t="shared" si="9"/>
        <v/>
      </c>
      <c r="X672" t="str">
        <f t="shared" si="11"/>
        <v/>
      </c>
      <c r="Z672" t="str">
        <f t="shared" si="13"/>
        <v/>
      </c>
      <c r="AB672" t="str">
        <f t="shared" si="15"/>
        <v/>
      </c>
      <c r="AD672" t="str">
        <f t="shared" si="17"/>
        <v/>
      </c>
      <c r="AF672" t="str">
        <f t="shared" si="19"/>
        <v/>
      </c>
      <c r="AH672" t="str">
        <f t="shared" si="21"/>
        <v/>
      </c>
      <c r="AJ672" t="str">
        <f t="shared" si="23"/>
        <v/>
      </c>
    </row>
    <row r="673">
      <c r="P673" t="str">
        <f t="shared" si="3"/>
        <v/>
      </c>
      <c r="R673" t="str">
        <f t="shared" si="5"/>
        <v/>
      </c>
      <c r="T673" t="str">
        <f t="shared" si="7"/>
        <v/>
      </c>
      <c r="V673" t="str">
        <f t="shared" si="9"/>
        <v/>
      </c>
      <c r="X673" t="str">
        <f t="shared" si="11"/>
        <v/>
      </c>
      <c r="Z673" t="str">
        <f t="shared" si="13"/>
        <v/>
      </c>
      <c r="AB673" t="str">
        <f t="shared" si="15"/>
        <v/>
      </c>
      <c r="AD673" t="str">
        <f t="shared" si="17"/>
        <v/>
      </c>
      <c r="AF673" t="str">
        <f t="shared" si="19"/>
        <v/>
      </c>
      <c r="AH673" t="str">
        <f t="shared" si="21"/>
        <v/>
      </c>
      <c r="AJ673" t="str">
        <f t="shared" si="23"/>
        <v/>
      </c>
    </row>
    <row r="674">
      <c r="P674" t="str">
        <f t="shared" si="3"/>
        <v/>
      </c>
      <c r="R674" t="str">
        <f t="shared" si="5"/>
        <v/>
      </c>
      <c r="T674" t="str">
        <f t="shared" si="7"/>
        <v/>
      </c>
      <c r="V674" t="str">
        <f t="shared" si="9"/>
        <v/>
      </c>
      <c r="X674" t="str">
        <f t="shared" si="11"/>
        <v/>
      </c>
      <c r="Z674" t="str">
        <f t="shared" si="13"/>
        <v/>
      </c>
      <c r="AB674" t="str">
        <f t="shared" si="15"/>
        <v/>
      </c>
      <c r="AD674" t="str">
        <f t="shared" si="17"/>
        <v/>
      </c>
      <c r="AF674" t="str">
        <f t="shared" si="19"/>
        <v/>
      </c>
      <c r="AH674" t="str">
        <f t="shared" si="21"/>
        <v/>
      </c>
      <c r="AJ674" t="str">
        <f t="shared" si="23"/>
        <v/>
      </c>
    </row>
    <row r="675">
      <c r="P675" t="str">
        <f t="shared" si="3"/>
        <v/>
      </c>
      <c r="R675" t="str">
        <f t="shared" si="5"/>
        <v/>
      </c>
      <c r="T675" t="str">
        <f t="shared" si="7"/>
        <v/>
      </c>
      <c r="V675" t="str">
        <f t="shared" si="9"/>
        <v/>
      </c>
      <c r="X675" t="str">
        <f t="shared" si="11"/>
        <v/>
      </c>
      <c r="Z675" t="str">
        <f t="shared" si="13"/>
        <v/>
      </c>
      <c r="AB675" t="str">
        <f t="shared" si="15"/>
        <v/>
      </c>
      <c r="AD675" t="str">
        <f t="shared" si="17"/>
        <v/>
      </c>
      <c r="AF675" t="str">
        <f t="shared" si="19"/>
        <v/>
      </c>
      <c r="AH675" t="str">
        <f t="shared" si="21"/>
        <v/>
      </c>
      <c r="AJ675" t="str">
        <f t="shared" si="23"/>
        <v/>
      </c>
    </row>
    <row r="676">
      <c r="P676" t="str">
        <f t="shared" si="3"/>
        <v/>
      </c>
      <c r="R676" t="str">
        <f t="shared" si="5"/>
        <v/>
      </c>
      <c r="T676" t="str">
        <f t="shared" si="7"/>
        <v/>
      </c>
      <c r="V676" t="str">
        <f t="shared" si="9"/>
        <v/>
      </c>
      <c r="X676" t="str">
        <f t="shared" si="11"/>
        <v/>
      </c>
      <c r="Z676" t="str">
        <f t="shared" si="13"/>
        <v/>
      </c>
      <c r="AB676" t="str">
        <f t="shared" si="15"/>
        <v/>
      </c>
      <c r="AD676" t="str">
        <f t="shared" si="17"/>
        <v/>
      </c>
      <c r="AF676" t="str">
        <f t="shared" si="19"/>
        <v/>
      </c>
      <c r="AH676" t="str">
        <f t="shared" si="21"/>
        <v/>
      </c>
      <c r="AJ676" t="str">
        <f t="shared" si="23"/>
        <v/>
      </c>
    </row>
    <row r="677">
      <c r="P677" t="str">
        <f t="shared" si="3"/>
        <v/>
      </c>
      <c r="R677" t="str">
        <f t="shared" si="5"/>
        <v/>
      </c>
      <c r="T677" t="str">
        <f t="shared" si="7"/>
        <v/>
      </c>
      <c r="V677" t="str">
        <f t="shared" si="9"/>
        <v/>
      </c>
      <c r="X677" t="str">
        <f t="shared" si="11"/>
        <v/>
      </c>
      <c r="Z677" t="str">
        <f t="shared" si="13"/>
        <v/>
      </c>
      <c r="AB677" t="str">
        <f t="shared" si="15"/>
        <v/>
      </c>
      <c r="AD677" t="str">
        <f t="shared" si="17"/>
        <v/>
      </c>
      <c r="AF677" t="str">
        <f t="shared" si="19"/>
        <v/>
      </c>
      <c r="AH677" t="str">
        <f t="shared" si="21"/>
        <v/>
      </c>
      <c r="AJ677" t="str">
        <f t="shared" si="23"/>
        <v/>
      </c>
    </row>
    <row r="678">
      <c r="P678" t="str">
        <f t="shared" si="3"/>
        <v/>
      </c>
      <c r="R678" t="str">
        <f t="shared" si="5"/>
        <v/>
      </c>
      <c r="T678" t="str">
        <f t="shared" si="7"/>
        <v/>
      </c>
      <c r="V678" t="str">
        <f t="shared" si="9"/>
        <v/>
      </c>
      <c r="X678" t="str">
        <f t="shared" si="11"/>
        <v/>
      </c>
      <c r="Z678" t="str">
        <f t="shared" si="13"/>
        <v/>
      </c>
      <c r="AB678" t="str">
        <f t="shared" si="15"/>
        <v/>
      </c>
      <c r="AD678" t="str">
        <f t="shared" si="17"/>
        <v/>
      </c>
      <c r="AF678" t="str">
        <f t="shared" si="19"/>
        <v/>
      </c>
      <c r="AH678" t="str">
        <f t="shared" si="21"/>
        <v/>
      </c>
      <c r="AJ678" t="str">
        <f t="shared" si="23"/>
        <v/>
      </c>
    </row>
    <row r="679">
      <c r="P679" t="str">
        <f t="shared" si="3"/>
        <v/>
      </c>
      <c r="R679" t="str">
        <f t="shared" si="5"/>
        <v/>
      </c>
      <c r="T679" t="str">
        <f t="shared" si="7"/>
        <v/>
      </c>
      <c r="V679" t="str">
        <f t="shared" si="9"/>
        <v/>
      </c>
      <c r="X679" t="str">
        <f t="shared" si="11"/>
        <v/>
      </c>
      <c r="Z679" t="str">
        <f t="shared" si="13"/>
        <v/>
      </c>
      <c r="AB679" t="str">
        <f t="shared" si="15"/>
        <v/>
      </c>
      <c r="AD679" t="str">
        <f t="shared" si="17"/>
        <v/>
      </c>
      <c r="AF679" t="str">
        <f t="shared" si="19"/>
        <v/>
      </c>
      <c r="AH679" t="str">
        <f t="shared" si="21"/>
        <v/>
      </c>
      <c r="AJ679" t="str">
        <f t="shared" si="23"/>
        <v/>
      </c>
    </row>
    <row r="680">
      <c r="P680" t="str">
        <f t="shared" si="3"/>
        <v/>
      </c>
      <c r="R680" t="str">
        <f t="shared" si="5"/>
        <v/>
      </c>
      <c r="T680" t="str">
        <f t="shared" si="7"/>
        <v/>
      </c>
      <c r="V680" t="str">
        <f t="shared" si="9"/>
        <v/>
      </c>
      <c r="X680" t="str">
        <f t="shared" si="11"/>
        <v/>
      </c>
      <c r="Z680" t="str">
        <f t="shared" si="13"/>
        <v/>
      </c>
      <c r="AB680" t="str">
        <f t="shared" si="15"/>
        <v/>
      </c>
      <c r="AD680" t="str">
        <f t="shared" si="17"/>
        <v/>
      </c>
      <c r="AF680" t="str">
        <f t="shared" si="19"/>
        <v/>
      </c>
      <c r="AH680" t="str">
        <f t="shared" si="21"/>
        <v/>
      </c>
      <c r="AJ680" t="str">
        <f t="shared" si="23"/>
        <v/>
      </c>
    </row>
    <row r="681">
      <c r="P681" t="str">
        <f t="shared" si="3"/>
        <v/>
      </c>
      <c r="R681" t="str">
        <f t="shared" si="5"/>
        <v/>
      </c>
      <c r="T681" t="str">
        <f t="shared" si="7"/>
        <v/>
      </c>
      <c r="V681" t="str">
        <f t="shared" si="9"/>
        <v/>
      </c>
      <c r="X681" t="str">
        <f t="shared" si="11"/>
        <v/>
      </c>
      <c r="Z681" t="str">
        <f t="shared" si="13"/>
        <v/>
      </c>
      <c r="AB681" t="str">
        <f t="shared" si="15"/>
        <v/>
      </c>
      <c r="AD681" t="str">
        <f t="shared" si="17"/>
        <v/>
      </c>
      <c r="AF681" t="str">
        <f t="shared" si="19"/>
        <v/>
      </c>
      <c r="AH681" t="str">
        <f t="shared" si="21"/>
        <v/>
      </c>
      <c r="AJ681" t="str">
        <f t="shared" si="23"/>
        <v/>
      </c>
    </row>
    <row r="682">
      <c r="P682" t="str">
        <f t="shared" si="3"/>
        <v/>
      </c>
      <c r="R682" t="str">
        <f t="shared" si="5"/>
        <v/>
      </c>
      <c r="T682" t="str">
        <f t="shared" si="7"/>
        <v/>
      </c>
      <c r="V682" t="str">
        <f t="shared" si="9"/>
        <v/>
      </c>
      <c r="X682" t="str">
        <f t="shared" si="11"/>
        <v/>
      </c>
      <c r="Z682" t="str">
        <f t="shared" si="13"/>
        <v/>
      </c>
      <c r="AB682" t="str">
        <f t="shared" si="15"/>
        <v/>
      </c>
      <c r="AD682" t="str">
        <f t="shared" si="17"/>
        <v/>
      </c>
      <c r="AF682" t="str">
        <f t="shared" si="19"/>
        <v/>
      </c>
      <c r="AH682" t="str">
        <f t="shared" si="21"/>
        <v/>
      </c>
      <c r="AJ682" t="str">
        <f t="shared" si="23"/>
        <v/>
      </c>
    </row>
    <row r="683">
      <c r="P683" t="str">
        <f t="shared" si="3"/>
        <v/>
      </c>
      <c r="R683" t="str">
        <f t="shared" si="5"/>
        <v/>
      </c>
      <c r="T683" t="str">
        <f t="shared" si="7"/>
        <v/>
      </c>
      <c r="V683" t="str">
        <f t="shared" si="9"/>
        <v/>
      </c>
      <c r="X683" t="str">
        <f t="shared" si="11"/>
        <v/>
      </c>
      <c r="Z683" t="str">
        <f t="shared" si="13"/>
        <v/>
      </c>
      <c r="AB683" t="str">
        <f t="shared" si="15"/>
        <v/>
      </c>
      <c r="AD683" t="str">
        <f t="shared" si="17"/>
        <v/>
      </c>
      <c r="AF683" t="str">
        <f t="shared" si="19"/>
        <v/>
      </c>
      <c r="AH683" t="str">
        <f t="shared" si="21"/>
        <v/>
      </c>
      <c r="AJ683" t="str">
        <f t="shared" si="23"/>
        <v/>
      </c>
    </row>
    <row r="684">
      <c r="P684" t="str">
        <f t="shared" si="3"/>
        <v/>
      </c>
      <c r="R684" t="str">
        <f t="shared" si="5"/>
        <v/>
      </c>
      <c r="T684" t="str">
        <f t="shared" si="7"/>
        <v/>
      </c>
      <c r="V684" t="str">
        <f t="shared" si="9"/>
        <v/>
      </c>
      <c r="X684" t="str">
        <f t="shared" si="11"/>
        <v/>
      </c>
      <c r="Z684" t="str">
        <f t="shared" si="13"/>
        <v/>
      </c>
      <c r="AB684" t="str">
        <f t="shared" si="15"/>
        <v/>
      </c>
      <c r="AD684" t="str">
        <f t="shared" si="17"/>
        <v/>
      </c>
      <c r="AF684" t="str">
        <f t="shared" si="19"/>
        <v/>
      </c>
      <c r="AH684" t="str">
        <f t="shared" si="21"/>
        <v/>
      </c>
      <c r="AJ684" t="str">
        <f t="shared" si="23"/>
        <v/>
      </c>
    </row>
    <row r="685">
      <c r="P685" t="str">
        <f t="shared" si="3"/>
        <v/>
      </c>
      <c r="R685" t="str">
        <f t="shared" si="5"/>
        <v/>
      </c>
      <c r="T685" t="str">
        <f t="shared" si="7"/>
        <v/>
      </c>
      <c r="V685" t="str">
        <f t="shared" si="9"/>
        <v/>
      </c>
      <c r="X685" t="str">
        <f t="shared" si="11"/>
        <v/>
      </c>
      <c r="Z685" t="str">
        <f t="shared" si="13"/>
        <v/>
      </c>
      <c r="AB685" t="str">
        <f t="shared" si="15"/>
        <v/>
      </c>
      <c r="AD685" t="str">
        <f t="shared" si="17"/>
        <v/>
      </c>
      <c r="AF685" t="str">
        <f t="shared" si="19"/>
        <v/>
      </c>
      <c r="AH685" t="str">
        <f t="shared" si="21"/>
        <v/>
      </c>
      <c r="AJ685" t="str">
        <f t="shared" si="23"/>
        <v/>
      </c>
    </row>
    <row r="686">
      <c r="P686" t="str">
        <f t="shared" si="3"/>
        <v/>
      </c>
      <c r="R686" t="str">
        <f t="shared" si="5"/>
        <v/>
      </c>
      <c r="T686" t="str">
        <f t="shared" si="7"/>
        <v/>
      </c>
      <c r="V686" t="str">
        <f t="shared" si="9"/>
        <v/>
      </c>
      <c r="X686" t="str">
        <f t="shared" si="11"/>
        <v/>
      </c>
      <c r="Z686" t="str">
        <f t="shared" si="13"/>
        <v/>
      </c>
      <c r="AB686" t="str">
        <f t="shared" si="15"/>
        <v/>
      </c>
      <c r="AD686" t="str">
        <f t="shared" si="17"/>
        <v/>
      </c>
      <c r="AF686" t="str">
        <f t="shared" si="19"/>
        <v/>
      </c>
      <c r="AH686" t="str">
        <f t="shared" si="21"/>
        <v/>
      </c>
      <c r="AJ686" t="str">
        <f t="shared" si="23"/>
        <v/>
      </c>
    </row>
    <row r="687">
      <c r="P687" t="str">
        <f t="shared" si="3"/>
        <v/>
      </c>
      <c r="R687" t="str">
        <f t="shared" si="5"/>
        <v/>
      </c>
      <c r="T687" t="str">
        <f t="shared" si="7"/>
        <v/>
      </c>
      <c r="V687" t="str">
        <f t="shared" si="9"/>
        <v/>
      </c>
      <c r="X687" t="str">
        <f t="shared" si="11"/>
        <v/>
      </c>
      <c r="Z687" t="str">
        <f t="shared" si="13"/>
        <v/>
      </c>
      <c r="AB687" t="str">
        <f t="shared" si="15"/>
        <v/>
      </c>
      <c r="AD687" t="str">
        <f t="shared" si="17"/>
        <v/>
      </c>
      <c r="AF687" t="str">
        <f t="shared" si="19"/>
        <v/>
      </c>
      <c r="AH687" t="str">
        <f t="shared" si="21"/>
        <v/>
      </c>
      <c r="AJ687" t="str">
        <f t="shared" si="23"/>
        <v/>
      </c>
    </row>
    <row r="688">
      <c r="P688" t="str">
        <f t="shared" si="3"/>
        <v/>
      </c>
      <c r="R688" t="str">
        <f t="shared" si="5"/>
        <v/>
      </c>
      <c r="T688" t="str">
        <f t="shared" si="7"/>
        <v/>
      </c>
      <c r="V688" t="str">
        <f t="shared" si="9"/>
        <v/>
      </c>
      <c r="X688" t="str">
        <f t="shared" si="11"/>
        <v/>
      </c>
      <c r="Z688" t="str">
        <f t="shared" si="13"/>
        <v/>
      </c>
      <c r="AB688" t="str">
        <f t="shared" si="15"/>
        <v/>
      </c>
      <c r="AD688" t="str">
        <f t="shared" si="17"/>
        <v/>
      </c>
      <c r="AF688" t="str">
        <f t="shared" si="19"/>
        <v/>
      </c>
      <c r="AH688" t="str">
        <f t="shared" si="21"/>
        <v/>
      </c>
      <c r="AJ688" t="str">
        <f t="shared" si="23"/>
        <v/>
      </c>
    </row>
    <row r="689">
      <c r="P689" t="str">
        <f t="shared" si="3"/>
        <v/>
      </c>
      <c r="R689" t="str">
        <f t="shared" si="5"/>
        <v/>
      </c>
      <c r="T689" t="str">
        <f t="shared" si="7"/>
        <v/>
      </c>
      <c r="V689" t="str">
        <f t="shared" si="9"/>
        <v/>
      </c>
      <c r="X689" t="str">
        <f t="shared" si="11"/>
        <v/>
      </c>
      <c r="Z689" t="str">
        <f t="shared" si="13"/>
        <v/>
      </c>
      <c r="AB689" t="str">
        <f t="shared" si="15"/>
        <v/>
      </c>
      <c r="AD689" t="str">
        <f t="shared" si="17"/>
        <v/>
      </c>
      <c r="AF689" t="str">
        <f t="shared" si="19"/>
        <v/>
      </c>
      <c r="AH689" t="str">
        <f t="shared" si="21"/>
        <v/>
      </c>
      <c r="AJ689" t="str">
        <f t="shared" si="23"/>
        <v/>
      </c>
    </row>
    <row r="690">
      <c r="P690" t="str">
        <f t="shared" si="3"/>
        <v/>
      </c>
      <c r="R690" t="str">
        <f t="shared" si="5"/>
        <v/>
      </c>
      <c r="T690" t="str">
        <f t="shared" si="7"/>
        <v/>
      </c>
      <c r="V690" t="str">
        <f t="shared" si="9"/>
        <v/>
      </c>
      <c r="X690" t="str">
        <f t="shared" si="11"/>
        <v/>
      </c>
      <c r="Z690" t="str">
        <f t="shared" si="13"/>
        <v/>
      </c>
      <c r="AB690" t="str">
        <f t="shared" si="15"/>
        <v/>
      </c>
      <c r="AD690" t="str">
        <f t="shared" si="17"/>
        <v/>
      </c>
      <c r="AF690" t="str">
        <f t="shared" si="19"/>
        <v/>
      </c>
      <c r="AH690" t="str">
        <f t="shared" si="21"/>
        <v/>
      </c>
      <c r="AJ690" t="str">
        <f t="shared" si="23"/>
        <v/>
      </c>
    </row>
    <row r="691">
      <c r="P691" t="str">
        <f t="shared" si="3"/>
        <v/>
      </c>
      <c r="R691" t="str">
        <f t="shared" si="5"/>
        <v/>
      </c>
      <c r="T691" t="str">
        <f t="shared" si="7"/>
        <v/>
      </c>
      <c r="V691" t="str">
        <f t="shared" si="9"/>
        <v/>
      </c>
      <c r="X691" t="str">
        <f t="shared" si="11"/>
        <v/>
      </c>
      <c r="Z691" t="str">
        <f t="shared" si="13"/>
        <v/>
      </c>
      <c r="AB691" t="str">
        <f t="shared" si="15"/>
        <v/>
      </c>
      <c r="AD691" t="str">
        <f t="shared" si="17"/>
        <v/>
      </c>
      <c r="AF691" t="str">
        <f t="shared" si="19"/>
        <v/>
      </c>
      <c r="AH691" t="str">
        <f t="shared" si="21"/>
        <v/>
      </c>
      <c r="AJ691" t="str">
        <f t="shared" si="23"/>
        <v/>
      </c>
    </row>
    <row r="692">
      <c r="P692" t="str">
        <f t="shared" si="3"/>
        <v/>
      </c>
      <c r="R692" t="str">
        <f t="shared" si="5"/>
        <v/>
      </c>
      <c r="T692" t="str">
        <f t="shared" si="7"/>
        <v/>
      </c>
      <c r="V692" t="str">
        <f t="shared" si="9"/>
        <v/>
      </c>
      <c r="X692" t="str">
        <f t="shared" si="11"/>
        <v/>
      </c>
      <c r="Z692" t="str">
        <f t="shared" si="13"/>
        <v/>
      </c>
      <c r="AB692" t="str">
        <f t="shared" si="15"/>
        <v/>
      </c>
      <c r="AD692" t="str">
        <f t="shared" si="17"/>
        <v/>
      </c>
      <c r="AF692" t="str">
        <f t="shared" si="19"/>
        <v/>
      </c>
      <c r="AH692" t="str">
        <f t="shared" si="21"/>
        <v/>
      </c>
      <c r="AJ692" t="str">
        <f t="shared" si="23"/>
        <v/>
      </c>
    </row>
    <row r="693">
      <c r="P693" t="str">
        <f t="shared" si="3"/>
        <v/>
      </c>
      <c r="R693" t="str">
        <f t="shared" si="5"/>
        <v/>
      </c>
      <c r="T693" t="str">
        <f t="shared" si="7"/>
        <v/>
      </c>
      <c r="V693" t="str">
        <f t="shared" si="9"/>
        <v/>
      </c>
      <c r="X693" t="str">
        <f t="shared" si="11"/>
        <v/>
      </c>
      <c r="Z693" t="str">
        <f t="shared" si="13"/>
        <v/>
      </c>
      <c r="AB693" t="str">
        <f t="shared" si="15"/>
        <v/>
      </c>
      <c r="AD693" t="str">
        <f t="shared" si="17"/>
        <v/>
      </c>
      <c r="AF693" t="str">
        <f t="shared" si="19"/>
        <v/>
      </c>
      <c r="AH693" t="str">
        <f t="shared" si="21"/>
        <v/>
      </c>
      <c r="AJ693" t="str">
        <f t="shared" si="23"/>
        <v/>
      </c>
    </row>
    <row r="694">
      <c r="P694" t="str">
        <f t="shared" si="3"/>
        <v/>
      </c>
      <c r="R694" t="str">
        <f t="shared" si="5"/>
        <v/>
      </c>
      <c r="T694" t="str">
        <f t="shared" si="7"/>
        <v/>
      </c>
      <c r="V694" t="str">
        <f t="shared" si="9"/>
        <v/>
      </c>
      <c r="X694" t="str">
        <f t="shared" si="11"/>
        <v/>
      </c>
      <c r="Z694" t="str">
        <f t="shared" si="13"/>
        <v/>
      </c>
      <c r="AB694" t="str">
        <f t="shared" si="15"/>
        <v/>
      </c>
      <c r="AD694" t="str">
        <f t="shared" si="17"/>
        <v/>
      </c>
      <c r="AF694" t="str">
        <f t="shared" si="19"/>
        <v/>
      </c>
      <c r="AH694" t="str">
        <f t="shared" si="21"/>
        <v/>
      </c>
      <c r="AJ694" t="str">
        <f t="shared" si="23"/>
        <v/>
      </c>
    </row>
    <row r="695">
      <c r="P695" t="str">
        <f t="shared" si="3"/>
        <v/>
      </c>
      <c r="R695" t="str">
        <f t="shared" si="5"/>
        <v/>
      </c>
      <c r="T695" t="str">
        <f t="shared" si="7"/>
        <v/>
      </c>
      <c r="V695" t="str">
        <f t="shared" si="9"/>
        <v/>
      </c>
      <c r="X695" t="str">
        <f t="shared" si="11"/>
        <v/>
      </c>
      <c r="Z695" t="str">
        <f t="shared" si="13"/>
        <v/>
      </c>
      <c r="AB695" t="str">
        <f t="shared" si="15"/>
        <v/>
      </c>
      <c r="AD695" t="str">
        <f t="shared" si="17"/>
        <v/>
      </c>
      <c r="AF695" t="str">
        <f t="shared" si="19"/>
        <v/>
      </c>
      <c r="AH695" t="str">
        <f t="shared" si="21"/>
        <v/>
      </c>
      <c r="AJ695" t="str">
        <f t="shared" si="23"/>
        <v/>
      </c>
    </row>
    <row r="696">
      <c r="P696" t="str">
        <f t="shared" si="3"/>
        <v/>
      </c>
      <c r="R696" t="str">
        <f t="shared" si="5"/>
        <v/>
      </c>
      <c r="T696" t="str">
        <f t="shared" si="7"/>
        <v/>
      </c>
      <c r="V696" t="str">
        <f t="shared" si="9"/>
        <v/>
      </c>
      <c r="X696" t="str">
        <f t="shared" si="11"/>
        <v/>
      </c>
      <c r="Z696" t="str">
        <f t="shared" si="13"/>
        <v/>
      </c>
      <c r="AB696" t="str">
        <f t="shared" si="15"/>
        <v/>
      </c>
      <c r="AD696" t="str">
        <f t="shared" si="17"/>
        <v/>
      </c>
      <c r="AF696" t="str">
        <f t="shared" si="19"/>
        <v/>
      </c>
      <c r="AH696" t="str">
        <f t="shared" si="21"/>
        <v/>
      </c>
      <c r="AJ696" t="str">
        <f t="shared" si="23"/>
        <v/>
      </c>
    </row>
    <row r="697">
      <c r="P697" t="str">
        <f t="shared" si="3"/>
        <v/>
      </c>
      <c r="R697" t="str">
        <f t="shared" si="5"/>
        <v/>
      </c>
      <c r="T697" t="str">
        <f t="shared" si="7"/>
        <v/>
      </c>
      <c r="V697" t="str">
        <f t="shared" si="9"/>
        <v/>
      </c>
      <c r="X697" t="str">
        <f t="shared" si="11"/>
        <v/>
      </c>
      <c r="Z697" t="str">
        <f t="shared" si="13"/>
        <v/>
      </c>
      <c r="AB697" t="str">
        <f t="shared" si="15"/>
        <v/>
      </c>
      <c r="AD697" t="str">
        <f t="shared" si="17"/>
        <v/>
      </c>
      <c r="AF697" t="str">
        <f t="shared" si="19"/>
        <v/>
      </c>
      <c r="AH697" t="str">
        <f t="shared" si="21"/>
        <v/>
      </c>
      <c r="AJ697" t="str">
        <f t="shared" si="23"/>
        <v/>
      </c>
    </row>
    <row r="698">
      <c r="P698" t="str">
        <f t="shared" si="3"/>
        <v/>
      </c>
      <c r="R698" t="str">
        <f t="shared" si="5"/>
        <v/>
      </c>
      <c r="T698" t="str">
        <f t="shared" si="7"/>
        <v/>
      </c>
      <c r="V698" t="str">
        <f t="shared" si="9"/>
        <v/>
      </c>
      <c r="X698" t="str">
        <f t="shared" si="11"/>
        <v/>
      </c>
      <c r="Z698" t="str">
        <f t="shared" si="13"/>
        <v/>
      </c>
      <c r="AB698" t="str">
        <f t="shared" si="15"/>
        <v/>
      </c>
      <c r="AD698" t="str">
        <f t="shared" si="17"/>
        <v/>
      </c>
      <c r="AF698" t="str">
        <f t="shared" si="19"/>
        <v/>
      </c>
      <c r="AH698" t="str">
        <f t="shared" si="21"/>
        <v/>
      </c>
      <c r="AJ698" t="str">
        <f t="shared" si="23"/>
        <v/>
      </c>
    </row>
    <row r="699">
      <c r="P699" t="str">
        <f t="shared" si="3"/>
        <v/>
      </c>
      <c r="R699" t="str">
        <f t="shared" si="5"/>
        <v/>
      </c>
      <c r="T699" t="str">
        <f t="shared" si="7"/>
        <v/>
      </c>
      <c r="V699" t="str">
        <f t="shared" si="9"/>
        <v/>
      </c>
      <c r="X699" t="str">
        <f t="shared" si="11"/>
        <v/>
      </c>
      <c r="Z699" t="str">
        <f t="shared" si="13"/>
        <v/>
      </c>
      <c r="AB699" t="str">
        <f t="shared" si="15"/>
        <v/>
      </c>
      <c r="AD699" t="str">
        <f t="shared" si="17"/>
        <v/>
      </c>
      <c r="AF699" t="str">
        <f t="shared" si="19"/>
        <v/>
      </c>
      <c r="AH699" t="str">
        <f t="shared" si="21"/>
        <v/>
      </c>
      <c r="AJ699" t="str">
        <f t="shared" si="23"/>
        <v/>
      </c>
    </row>
    <row r="700">
      <c r="P700" t="str">
        <f t="shared" si="3"/>
        <v/>
      </c>
      <c r="R700" t="str">
        <f t="shared" si="5"/>
        <v/>
      </c>
      <c r="T700" t="str">
        <f t="shared" si="7"/>
        <v/>
      </c>
      <c r="V700" t="str">
        <f t="shared" si="9"/>
        <v/>
      </c>
      <c r="X700" t="str">
        <f t="shared" si="11"/>
        <v/>
      </c>
      <c r="Z700" t="str">
        <f t="shared" si="13"/>
        <v/>
      </c>
      <c r="AB700" t="str">
        <f t="shared" si="15"/>
        <v/>
      </c>
      <c r="AD700" t="str">
        <f t="shared" si="17"/>
        <v/>
      </c>
      <c r="AF700" t="str">
        <f t="shared" si="19"/>
        <v/>
      </c>
      <c r="AH700" t="str">
        <f t="shared" si="21"/>
        <v/>
      </c>
      <c r="AJ700" t="str">
        <f t="shared" si="23"/>
        <v/>
      </c>
    </row>
    <row r="701">
      <c r="P701" t="str">
        <f t="shared" si="3"/>
        <v/>
      </c>
      <c r="R701" t="str">
        <f t="shared" si="5"/>
        <v/>
      </c>
      <c r="T701" t="str">
        <f t="shared" si="7"/>
        <v/>
      </c>
      <c r="V701" t="str">
        <f t="shared" si="9"/>
        <v/>
      </c>
      <c r="X701" t="str">
        <f t="shared" si="11"/>
        <v/>
      </c>
      <c r="Z701" t="str">
        <f t="shared" si="13"/>
        <v/>
      </c>
      <c r="AB701" t="str">
        <f t="shared" si="15"/>
        <v/>
      </c>
      <c r="AD701" t="str">
        <f t="shared" si="17"/>
        <v/>
      </c>
      <c r="AF701" t="str">
        <f t="shared" si="19"/>
        <v/>
      </c>
      <c r="AH701" t="str">
        <f t="shared" si="21"/>
        <v/>
      </c>
      <c r="AJ701" t="str">
        <f t="shared" si="23"/>
        <v/>
      </c>
    </row>
    <row r="702">
      <c r="P702" t="str">
        <f t="shared" si="3"/>
        <v/>
      </c>
      <c r="R702" t="str">
        <f t="shared" si="5"/>
        <v/>
      </c>
      <c r="T702" t="str">
        <f t="shared" si="7"/>
        <v/>
      </c>
      <c r="V702" t="str">
        <f t="shared" si="9"/>
        <v/>
      </c>
      <c r="X702" t="str">
        <f t="shared" si="11"/>
        <v/>
      </c>
      <c r="Z702" t="str">
        <f t="shared" si="13"/>
        <v/>
      </c>
      <c r="AB702" t="str">
        <f t="shared" si="15"/>
        <v/>
      </c>
      <c r="AD702" t="str">
        <f t="shared" si="17"/>
        <v/>
      </c>
      <c r="AF702" t="str">
        <f t="shared" si="19"/>
        <v/>
      </c>
      <c r="AH702" t="str">
        <f t="shared" si="21"/>
        <v/>
      </c>
      <c r="AJ702" t="str">
        <f t="shared" si="23"/>
        <v/>
      </c>
    </row>
    <row r="703">
      <c r="P703" t="str">
        <f t="shared" si="3"/>
        <v/>
      </c>
      <c r="R703" t="str">
        <f t="shared" si="5"/>
        <v/>
      </c>
      <c r="T703" t="str">
        <f t="shared" si="7"/>
        <v/>
      </c>
      <c r="V703" t="str">
        <f t="shared" si="9"/>
        <v/>
      </c>
      <c r="X703" t="str">
        <f t="shared" si="11"/>
        <v/>
      </c>
      <c r="Z703" t="str">
        <f t="shared" si="13"/>
        <v/>
      </c>
      <c r="AB703" t="str">
        <f t="shared" si="15"/>
        <v/>
      </c>
      <c r="AD703" t="str">
        <f t="shared" si="17"/>
        <v/>
      </c>
      <c r="AF703" t="str">
        <f t="shared" si="19"/>
        <v/>
      </c>
      <c r="AH703" t="str">
        <f t="shared" si="21"/>
        <v/>
      </c>
      <c r="AJ703" t="str">
        <f t="shared" si="23"/>
        <v/>
      </c>
    </row>
    <row r="704">
      <c r="P704" t="str">
        <f t="shared" si="3"/>
        <v/>
      </c>
      <c r="R704" t="str">
        <f t="shared" si="5"/>
        <v/>
      </c>
      <c r="T704" t="str">
        <f t="shared" si="7"/>
        <v/>
      </c>
      <c r="V704" t="str">
        <f t="shared" si="9"/>
        <v/>
      </c>
      <c r="X704" t="str">
        <f t="shared" si="11"/>
        <v/>
      </c>
      <c r="Z704" t="str">
        <f t="shared" si="13"/>
        <v/>
      </c>
      <c r="AB704" t="str">
        <f t="shared" si="15"/>
        <v/>
      </c>
      <c r="AD704" t="str">
        <f t="shared" si="17"/>
        <v/>
      </c>
      <c r="AF704" t="str">
        <f t="shared" si="19"/>
        <v/>
      </c>
      <c r="AH704" t="str">
        <f t="shared" si="21"/>
        <v/>
      </c>
      <c r="AJ704" t="str">
        <f t="shared" si="23"/>
        <v/>
      </c>
    </row>
    <row r="705">
      <c r="P705" t="str">
        <f t="shared" si="3"/>
        <v/>
      </c>
      <c r="R705" t="str">
        <f t="shared" si="5"/>
        <v/>
      </c>
      <c r="T705" t="str">
        <f t="shared" si="7"/>
        <v/>
      </c>
      <c r="V705" t="str">
        <f t="shared" si="9"/>
        <v/>
      </c>
      <c r="X705" t="str">
        <f t="shared" si="11"/>
        <v/>
      </c>
      <c r="Z705" t="str">
        <f t="shared" si="13"/>
        <v/>
      </c>
      <c r="AB705" t="str">
        <f t="shared" si="15"/>
        <v/>
      </c>
      <c r="AD705" t="str">
        <f t="shared" si="17"/>
        <v/>
      </c>
      <c r="AF705" t="str">
        <f t="shared" si="19"/>
        <v/>
      </c>
      <c r="AH705" t="str">
        <f t="shared" si="21"/>
        <v/>
      </c>
      <c r="AJ705" t="str">
        <f t="shared" si="23"/>
        <v/>
      </c>
    </row>
    <row r="706">
      <c r="P706" t="str">
        <f t="shared" si="3"/>
        <v/>
      </c>
      <c r="R706" t="str">
        <f t="shared" si="5"/>
        <v/>
      </c>
      <c r="T706" t="str">
        <f t="shared" si="7"/>
        <v/>
      </c>
      <c r="V706" t="str">
        <f t="shared" si="9"/>
        <v/>
      </c>
      <c r="X706" t="str">
        <f t="shared" si="11"/>
        <v/>
      </c>
      <c r="Z706" t="str">
        <f t="shared" si="13"/>
        <v/>
      </c>
      <c r="AB706" t="str">
        <f t="shared" si="15"/>
        <v/>
      </c>
      <c r="AD706" t="str">
        <f t="shared" si="17"/>
        <v/>
      </c>
      <c r="AF706" t="str">
        <f t="shared" si="19"/>
        <v/>
      </c>
      <c r="AH706" t="str">
        <f t="shared" si="21"/>
        <v/>
      </c>
      <c r="AJ706" t="str">
        <f t="shared" si="23"/>
        <v/>
      </c>
    </row>
    <row r="707">
      <c r="P707" t="str">
        <f t="shared" si="3"/>
        <v/>
      </c>
      <c r="R707" t="str">
        <f t="shared" si="5"/>
        <v/>
      </c>
      <c r="T707" t="str">
        <f t="shared" si="7"/>
        <v/>
      </c>
      <c r="V707" t="str">
        <f t="shared" si="9"/>
        <v/>
      </c>
      <c r="X707" t="str">
        <f t="shared" si="11"/>
        <v/>
      </c>
      <c r="Z707" t="str">
        <f t="shared" si="13"/>
        <v/>
      </c>
      <c r="AB707" t="str">
        <f t="shared" si="15"/>
        <v/>
      </c>
      <c r="AD707" t="str">
        <f t="shared" si="17"/>
        <v/>
      </c>
      <c r="AF707" t="str">
        <f t="shared" si="19"/>
        <v/>
      </c>
      <c r="AH707" t="str">
        <f t="shared" si="21"/>
        <v/>
      </c>
      <c r="AJ707" t="str">
        <f t="shared" si="23"/>
        <v/>
      </c>
    </row>
    <row r="708">
      <c r="P708" t="str">
        <f t="shared" si="3"/>
        <v/>
      </c>
      <c r="R708" t="str">
        <f t="shared" si="5"/>
        <v/>
      </c>
      <c r="T708" t="str">
        <f t="shared" si="7"/>
        <v/>
      </c>
      <c r="V708" t="str">
        <f t="shared" si="9"/>
        <v/>
      </c>
      <c r="X708" t="str">
        <f t="shared" si="11"/>
        <v/>
      </c>
      <c r="Z708" t="str">
        <f t="shared" si="13"/>
        <v/>
      </c>
      <c r="AB708" t="str">
        <f t="shared" si="15"/>
        <v/>
      </c>
      <c r="AD708" t="str">
        <f t="shared" si="17"/>
        <v/>
      </c>
      <c r="AF708" t="str">
        <f t="shared" si="19"/>
        <v/>
      </c>
      <c r="AH708" t="str">
        <f t="shared" si="21"/>
        <v/>
      </c>
      <c r="AJ708" t="str">
        <f t="shared" si="23"/>
        <v/>
      </c>
    </row>
    <row r="709">
      <c r="P709" t="str">
        <f t="shared" si="3"/>
        <v/>
      </c>
      <c r="R709" t="str">
        <f t="shared" si="5"/>
        <v/>
      </c>
      <c r="T709" t="str">
        <f t="shared" si="7"/>
        <v/>
      </c>
      <c r="V709" t="str">
        <f t="shared" si="9"/>
        <v/>
      </c>
      <c r="X709" t="str">
        <f t="shared" si="11"/>
        <v/>
      </c>
      <c r="Z709" t="str">
        <f t="shared" si="13"/>
        <v/>
      </c>
      <c r="AB709" t="str">
        <f t="shared" si="15"/>
        <v/>
      </c>
      <c r="AD709" t="str">
        <f t="shared" si="17"/>
        <v/>
      </c>
      <c r="AF709" t="str">
        <f t="shared" si="19"/>
        <v/>
      </c>
      <c r="AH709" t="str">
        <f t="shared" si="21"/>
        <v/>
      </c>
      <c r="AJ709" t="str">
        <f t="shared" si="23"/>
        <v/>
      </c>
    </row>
    <row r="710">
      <c r="P710" t="str">
        <f t="shared" si="3"/>
        <v/>
      </c>
      <c r="R710" t="str">
        <f t="shared" si="5"/>
        <v/>
      </c>
      <c r="T710" t="str">
        <f t="shared" si="7"/>
        <v/>
      </c>
      <c r="V710" t="str">
        <f t="shared" si="9"/>
        <v/>
      </c>
      <c r="X710" t="str">
        <f t="shared" si="11"/>
        <v/>
      </c>
      <c r="Z710" t="str">
        <f t="shared" si="13"/>
        <v/>
      </c>
      <c r="AB710" t="str">
        <f t="shared" si="15"/>
        <v/>
      </c>
      <c r="AD710" t="str">
        <f t="shared" si="17"/>
        <v/>
      </c>
      <c r="AF710" t="str">
        <f t="shared" si="19"/>
        <v/>
      </c>
      <c r="AH710" t="str">
        <f t="shared" si="21"/>
        <v/>
      </c>
      <c r="AJ710" t="str">
        <f t="shared" si="23"/>
        <v/>
      </c>
    </row>
    <row r="711">
      <c r="P711" t="str">
        <f t="shared" si="3"/>
        <v/>
      </c>
      <c r="R711" t="str">
        <f t="shared" si="5"/>
        <v/>
      </c>
      <c r="T711" t="str">
        <f t="shared" si="7"/>
        <v/>
      </c>
      <c r="V711" t="str">
        <f t="shared" si="9"/>
        <v/>
      </c>
      <c r="X711" t="str">
        <f t="shared" si="11"/>
        <v/>
      </c>
      <c r="Z711" t="str">
        <f t="shared" si="13"/>
        <v/>
      </c>
      <c r="AB711" t="str">
        <f t="shared" si="15"/>
        <v/>
      </c>
      <c r="AD711" t="str">
        <f t="shared" si="17"/>
        <v/>
      </c>
      <c r="AF711" t="str">
        <f t="shared" si="19"/>
        <v/>
      </c>
      <c r="AH711" t="str">
        <f t="shared" si="21"/>
        <v/>
      </c>
      <c r="AJ711" t="str">
        <f t="shared" si="23"/>
        <v/>
      </c>
    </row>
    <row r="712">
      <c r="P712" t="str">
        <f t="shared" si="3"/>
        <v/>
      </c>
      <c r="R712" t="str">
        <f t="shared" si="5"/>
        <v/>
      </c>
      <c r="T712" t="str">
        <f t="shared" si="7"/>
        <v/>
      </c>
      <c r="V712" t="str">
        <f t="shared" si="9"/>
        <v/>
      </c>
      <c r="X712" t="str">
        <f t="shared" si="11"/>
        <v/>
      </c>
      <c r="Z712" t="str">
        <f t="shared" si="13"/>
        <v/>
      </c>
      <c r="AB712" t="str">
        <f t="shared" si="15"/>
        <v/>
      </c>
      <c r="AD712" t="str">
        <f t="shared" si="17"/>
        <v/>
      </c>
      <c r="AF712" t="str">
        <f t="shared" si="19"/>
        <v/>
      </c>
      <c r="AH712" t="str">
        <f t="shared" si="21"/>
        <v/>
      </c>
      <c r="AJ712" t="str">
        <f t="shared" si="23"/>
        <v/>
      </c>
    </row>
    <row r="713">
      <c r="P713" t="str">
        <f t="shared" si="3"/>
        <v/>
      </c>
      <c r="R713" t="str">
        <f t="shared" si="5"/>
        <v/>
      </c>
      <c r="T713" t="str">
        <f t="shared" si="7"/>
        <v/>
      </c>
      <c r="V713" t="str">
        <f t="shared" si="9"/>
        <v/>
      </c>
      <c r="X713" t="str">
        <f t="shared" si="11"/>
        <v/>
      </c>
      <c r="Z713" t="str">
        <f t="shared" si="13"/>
        <v/>
      </c>
      <c r="AB713" t="str">
        <f t="shared" si="15"/>
        <v/>
      </c>
      <c r="AD713" t="str">
        <f t="shared" si="17"/>
        <v/>
      </c>
      <c r="AF713" t="str">
        <f t="shared" si="19"/>
        <v/>
      </c>
      <c r="AH713" t="str">
        <f t="shared" si="21"/>
        <v/>
      </c>
      <c r="AJ713" t="str">
        <f t="shared" si="23"/>
        <v/>
      </c>
    </row>
    <row r="714">
      <c r="P714" t="str">
        <f t="shared" si="3"/>
        <v/>
      </c>
      <c r="R714" t="str">
        <f t="shared" si="5"/>
        <v/>
      </c>
      <c r="T714" t="str">
        <f t="shared" si="7"/>
        <v/>
      </c>
      <c r="V714" t="str">
        <f t="shared" si="9"/>
        <v/>
      </c>
      <c r="X714" t="str">
        <f t="shared" si="11"/>
        <v/>
      </c>
      <c r="Z714" t="str">
        <f t="shared" si="13"/>
        <v/>
      </c>
      <c r="AB714" t="str">
        <f t="shared" si="15"/>
        <v/>
      </c>
      <c r="AD714" t="str">
        <f t="shared" si="17"/>
        <v/>
      </c>
      <c r="AF714" t="str">
        <f t="shared" si="19"/>
        <v/>
      </c>
      <c r="AH714" t="str">
        <f t="shared" si="21"/>
        <v/>
      </c>
      <c r="AJ714" t="str">
        <f t="shared" si="23"/>
        <v/>
      </c>
    </row>
    <row r="715">
      <c r="P715" t="str">
        <f t="shared" si="3"/>
        <v/>
      </c>
      <c r="R715" t="str">
        <f t="shared" si="5"/>
        <v/>
      </c>
      <c r="T715" t="str">
        <f t="shared" si="7"/>
        <v/>
      </c>
      <c r="V715" t="str">
        <f t="shared" si="9"/>
        <v/>
      </c>
      <c r="X715" t="str">
        <f t="shared" si="11"/>
        <v/>
      </c>
      <c r="Z715" t="str">
        <f t="shared" si="13"/>
        <v/>
      </c>
      <c r="AB715" t="str">
        <f t="shared" si="15"/>
        <v/>
      </c>
      <c r="AD715" t="str">
        <f t="shared" si="17"/>
        <v/>
      </c>
      <c r="AF715" t="str">
        <f t="shared" si="19"/>
        <v/>
      </c>
      <c r="AH715" t="str">
        <f t="shared" si="21"/>
        <v/>
      </c>
      <c r="AJ715" t="str">
        <f t="shared" si="23"/>
        <v/>
      </c>
    </row>
    <row r="716">
      <c r="P716" t="str">
        <f t="shared" si="3"/>
        <v/>
      </c>
      <c r="R716" t="str">
        <f t="shared" si="5"/>
        <v/>
      </c>
      <c r="T716" t="str">
        <f t="shared" si="7"/>
        <v/>
      </c>
      <c r="V716" t="str">
        <f t="shared" si="9"/>
        <v/>
      </c>
      <c r="X716" t="str">
        <f t="shared" si="11"/>
        <v/>
      </c>
      <c r="Z716" t="str">
        <f t="shared" si="13"/>
        <v/>
      </c>
      <c r="AB716" t="str">
        <f t="shared" si="15"/>
        <v/>
      </c>
      <c r="AD716" t="str">
        <f t="shared" si="17"/>
        <v/>
      </c>
      <c r="AF716" t="str">
        <f t="shared" si="19"/>
        <v/>
      </c>
      <c r="AH716" t="str">
        <f t="shared" si="21"/>
        <v/>
      </c>
      <c r="AJ716" t="str">
        <f t="shared" si="23"/>
        <v/>
      </c>
    </row>
    <row r="717">
      <c r="P717" t="str">
        <f t="shared" si="3"/>
        <v/>
      </c>
      <c r="R717" t="str">
        <f t="shared" si="5"/>
        <v/>
      </c>
      <c r="T717" t="str">
        <f t="shared" si="7"/>
        <v/>
      </c>
      <c r="V717" t="str">
        <f t="shared" si="9"/>
        <v/>
      </c>
      <c r="X717" t="str">
        <f t="shared" si="11"/>
        <v/>
      </c>
      <c r="Z717" t="str">
        <f t="shared" si="13"/>
        <v/>
      </c>
      <c r="AB717" t="str">
        <f t="shared" si="15"/>
        <v/>
      </c>
      <c r="AD717" t="str">
        <f t="shared" si="17"/>
        <v/>
      </c>
      <c r="AF717" t="str">
        <f t="shared" si="19"/>
        <v/>
      </c>
      <c r="AH717" t="str">
        <f t="shared" si="21"/>
        <v/>
      </c>
      <c r="AJ717" t="str">
        <f t="shared" si="23"/>
        <v/>
      </c>
    </row>
    <row r="718">
      <c r="P718" t="str">
        <f t="shared" si="3"/>
        <v/>
      </c>
      <c r="R718" t="str">
        <f t="shared" si="5"/>
        <v/>
      </c>
      <c r="T718" t="str">
        <f t="shared" si="7"/>
        <v/>
      </c>
      <c r="V718" t="str">
        <f t="shared" si="9"/>
        <v/>
      </c>
      <c r="X718" t="str">
        <f t="shared" si="11"/>
        <v/>
      </c>
      <c r="Z718" t="str">
        <f t="shared" si="13"/>
        <v/>
      </c>
      <c r="AB718" t="str">
        <f t="shared" si="15"/>
        <v/>
      </c>
      <c r="AD718" t="str">
        <f t="shared" si="17"/>
        <v/>
      </c>
      <c r="AF718" t="str">
        <f t="shared" si="19"/>
        <v/>
      </c>
      <c r="AH718" t="str">
        <f t="shared" si="21"/>
        <v/>
      </c>
      <c r="AJ718" t="str">
        <f t="shared" si="23"/>
        <v/>
      </c>
    </row>
    <row r="719">
      <c r="P719" t="str">
        <f t="shared" si="3"/>
        <v/>
      </c>
      <c r="R719" t="str">
        <f t="shared" si="5"/>
        <v/>
      </c>
      <c r="T719" t="str">
        <f t="shared" si="7"/>
        <v/>
      </c>
      <c r="V719" t="str">
        <f t="shared" si="9"/>
        <v/>
      </c>
      <c r="X719" t="str">
        <f t="shared" si="11"/>
        <v/>
      </c>
      <c r="Z719" t="str">
        <f t="shared" si="13"/>
        <v/>
      </c>
      <c r="AB719" t="str">
        <f t="shared" si="15"/>
        <v/>
      </c>
      <c r="AD719" t="str">
        <f t="shared" si="17"/>
        <v/>
      </c>
      <c r="AF719" t="str">
        <f t="shared" si="19"/>
        <v/>
      </c>
      <c r="AH719" t="str">
        <f t="shared" si="21"/>
        <v/>
      </c>
      <c r="AJ719" t="str">
        <f t="shared" si="23"/>
        <v/>
      </c>
    </row>
    <row r="720">
      <c r="P720" t="str">
        <f t="shared" si="3"/>
        <v/>
      </c>
      <c r="R720" t="str">
        <f t="shared" si="5"/>
        <v/>
      </c>
      <c r="T720" t="str">
        <f t="shared" si="7"/>
        <v/>
      </c>
      <c r="V720" t="str">
        <f t="shared" si="9"/>
        <v/>
      </c>
      <c r="X720" t="str">
        <f t="shared" si="11"/>
        <v/>
      </c>
      <c r="Z720" t="str">
        <f t="shared" si="13"/>
        <v/>
      </c>
      <c r="AB720" t="str">
        <f t="shared" si="15"/>
        <v/>
      </c>
      <c r="AD720" t="str">
        <f t="shared" si="17"/>
        <v/>
      </c>
      <c r="AF720" t="str">
        <f t="shared" si="19"/>
        <v/>
      </c>
      <c r="AH720" t="str">
        <f t="shared" si="21"/>
        <v/>
      </c>
      <c r="AJ720" t="str">
        <f t="shared" si="23"/>
        <v/>
      </c>
    </row>
    <row r="721">
      <c r="P721" t="str">
        <f t="shared" si="3"/>
        <v/>
      </c>
      <c r="R721" t="str">
        <f t="shared" si="5"/>
        <v/>
      </c>
      <c r="T721" t="str">
        <f t="shared" si="7"/>
        <v/>
      </c>
      <c r="V721" t="str">
        <f t="shared" si="9"/>
        <v/>
      </c>
      <c r="X721" t="str">
        <f t="shared" si="11"/>
        <v/>
      </c>
      <c r="Z721" t="str">
        <f t="shared" si="13"/>
        <v/>
      </c>
      <c r="AB721" t="str">
        <f t="shared" si="15"/>
        <v/>
      </c>
      <c r="AD721" t="str">
        <f t="shared" si="17"/>
        <v/>
      </c>
      <c r="AF721" t="str">
        <f t="shared" si="19"/>
        <v/>
      </c>
      <c r="AH721" t="str">
        <f t="shared" si="21"/>
        <v/>
      </c>
      <c r="AJ721" t="str">
        <f t="shared" si="23"/>
        <v/>
      </c>
    </row>
    <row r="722">
      <c r="P722" t="str">
        <f t="shared" si="3"/>
        <v/>
      </c>
      <c r="R722" t="str">
        <f t="shared" si="5"/>
        <v/>
      </c>
      <c r="T722" t="str">
        <f t="shared" si="7"/>
        <v/>
      </c>
      <c r="V722" t="str">
        <f t="shared" si="9"/>
        <v/>
      </c>
      <c r="X722" t="str">
        <f t="shared" si="11"/>
        <v/>
      </c>
      <c r="Z722" t="str">
        <f t="shared" si="13"/>
        <v/>
      </c>
      <c r="AB722" t="str">
        <f t="shared" si="15"/>
        <v/>
      </c>
      <c r="AD722" t="str">
        <f t="shared" si="17"/>
        <v/>
      </c>
      <c r="AF722" t="str">
        <f t="shared" si="19"/>
        <v/>
      </c>
      <c r="AH722" t="str">
        <f t="shared" si="21"/>
        <v/>
      </c>
      <c r="AJ722" t="str">
        <f t="shared" si="23"/>
        <v/>
      </c>
    </row>
    <row r="723">
      <c r="P723" t="str">
        <f t="shared" si="3"/>
        <v/>
      </c>
      <c r="R723" t="str">
        <f t="shared" si="5"/>
        <v/>
      </c>
      <c r="T723" t="str">
        <f t="shared" si="7"/>
        <v/>
      </c>
      <c r="V723" t="str">
        <f t="shared" si="9"/>
        <v/>
      </c>
      <c r="X723" t="str">
        <f t="shared" si="11"/>
        <v/>
      </c>
      <c r="Z723" t="str">
        <f t="shared" si="13"/>
        <v/>
      </c>
      <c r="AB723" t="str">
        <f t="shared" si="15"/>
        <v/>
      </c>
      <c r="AD723" t="str">
        <f t="shared" si="17"/>
        <v/>
      </c>
      <c r="AF723" t="str">
        <f t="shared" si="19"/>
        <v/>
      </c>
      <c r="AH723" t="str">
        <f t="shared" si="21"/>
        <v/>
      </c>
      <c r="AJ723" t="str">
        <f t="shared" si="23"/>
        <v/>
      </c>
    </row>
    <row r="724">
      <c r="P724" t="str">
        <f t="shared" si="3"/>
        <v/>
      </c>
      <c r="R724" t="str">
        <f t="shared" si="5"/>
        <v/>
      </c>
      <c r="T724" t="str">
        <f t="shared" si="7"/>
        <v/>
      </c>
      <c r="V724" t="str">
        <f t="shared" si="9"/>
        <v/>
      </c>
      <c r="X724" t="str">
        <f t="shared" si="11"/>
        <v/>
      </c>
      <c r="Z724" t="str">
        <f t="shared" si="13"/>
        <v/>
      </c>
      <c r="AB724" t="str">
        <f t="shared" si="15"/>
        <v/>
      </c>
      <c r="AD724" t="str">
        <f t="shared" si="17"/>
        <v/>
      </c>
      <c r="AF724" t="str">
        <f t="shared" si="19"/>
        <v/>
      </c>
      <c r="AH724" t="str">
        <f t="shared" si="21"/>
        <v/>
      </c>
      <c r="AJ724" t="str">
        <f t="shared" si="23"/>
        <v/>
      </c>
    </row>
    <row r="725">
      <c r="P725" t="str">
        <f t="shared" si="3"/>
        <v/>
      </c>
      <c r="R725" t="str">
        <f t="shared" si="5"/>
        <v/>
      </c>
      <c r="T725" t="str">
        <f t="shared" si="7"/>
        <v/>
      </c>
      <c r="V725" t="str">
        <f t="shared" si="9"/>
        <v/>
      </c>
      <c r="X725" t="str">
        <f t="shared" si="11"/>
        <v/>
      </c>
      <c r="Z725" t="str">
        <f t="shared" si="13"/>
        <v/>
      </c>
      <c r="AB725" t="str">
        <f t="shared" si="15"/>
        <v/>
      </c>
      <c r="AD725" t="str">
        <f t="shared" si="17"/>
        <v/>
      </c>
      <c r="AF725" t="str">
        <f t="shared" si="19"/>
        <v/>
      </c>
      <c r="AH725" t="str">
        <f t="shared" si="21"/>
        <v/>
      </c>
      <c r="AJ725" t="str">
        <f t="shared" si="23"/>
        <v/>
      </c>
    </row>
    <row r="726">
      <c r="P726" t="str">
        <f t="shared" si="3"/>
        <v/>
      </c>
      <c r="R726" t="str">
        <f t="shared" si="5"/>
        <v/>
      </c>
      <c r="T726" t="str">
        <f t="shared" si="7"/>
        <v/>
      </c>
      <c r="V726" t="str">
        <f t="shared" si="9"/>
        <v/>
      </c>
      <c r="X726" t="str">
        <f t="shared" si="11"/>
        <v/>
      </c>
      <c r="Z726" t="str">
        <f t="shared" si="13"/>
        <v/>
      </c>
      <c r="AB726" t="str">
        <f t="shared" si="15"/>
        <v/>
      </c>
      <c r="AD726" t="str">
        <f t="shared" si="17"/>
        <v/>
      </c>
      <c r="AF726" t="str">
        <f t="shared" si="19"/>
        <v/>
      </c>
      <c r="AH726" t="str">
        <f t="shared" si="21"/>
        <v/>
      </c>
      <c r="AJ726" t="str">
        <f t="shared" si="23"/>
        <v/>
      </c>
    </row>
    <row r="727">
      <c r="P727" t="str">
        <f t="shared" si="3"/>
        <v/>
      </c>
      <c r="R727" t="str">
        <f t="shared" si="5"/>
        <v/>
      </c>
      <c r="T727" t="str">
        <f t="shared" si="7"/>
        <v/>
      </c>
      <c r="V727" t="str">
        <f t="shared" si="9"/>
        <v/>
      </c>
      <c r="X727" t="str">
        <f t="shared" si="11"/>
        <v/>
      </c>
      <c r="Z727" t="str">
        <f t="shared" si="13"/>
        <v/>
      </c>
      <c r="AB727" t="str">
        <f t="shared" si="15"/>
        <v/>
      </c>
      <c r="AD727" t="str">
        <f t="shared" si="17"/>
        <v/>
      </c>
      <c r="AF727" t="str">
        <f t="shared" si="19"/>
        <v/>
      </c>
      <c r="AH727" t="str">
        <f t="shared" si="21"/>
        <v/>
      </c>
      <c r="AJ727" t="str">
        <f t="shared" si="23"/>
        <v/>
      </c>
    </row>
    <row r="728">
      <c r="P728" t="str">
        <f t="shared" si="3"/>
        <v/>
      </c>
      <c r="R728" t="str">
        <f t="shared" si="5"/>
        <v/>
      </c>
      <c r="T728" t="str">
        <f t="shared" si="7"/>
        <v/>
      </c>
      <c r="V728" t="str">
        <f t="shared" si="9"/>
        <v/>
      </c>
      <c r="X728" t="str">
        <f t="shared" si="11"/>
        <v/>
      </c>
      <c r="Z728" t="str">
        <f t="shared" si="13"/>
        <v/>
      </c>
      <c r="AB728" t="str">
        <f t="shared" si="15"/>
        <v/>
      </c>
      <c r="AD728" t="str">
        <f t="shared" si="17"/>
        <v/>
      </c>
      <c r="AF728" t="str">
        <f t="shared" si="19"/>
        <v/>
      </c>
      <c r="AH728" t="str">
        <f t="shared" si="21"/>
        <v/>
      </c>
      <c r="AJ728" t="str">
        <f t="shared" si="23"/>
        <v/>
      </c>
    </row>
    <row r="729">
      <c r="P729" t="str">
        <f t="shared" si="3"/>
        <v/>
      </c>
      <c r="R729" t="str">
        <f t="shared" si="5"/>
        <v/>
      </c>
      <c r="T729" t="str">
        <f t="shared" si="7"/>
        <v/>
      </c>
      <c r="V729" t="str">
        <f t="shared" si="9"/>
        <v/>
      </c>
      <c r="X729" t="str">
        <f t="shared" si="11"/>
        <v/>
      </c>
      <c r="Z729" t="str">
        <f t="shared" si="13"/>
        <v/>
      </c>
      <c r="AB729" t="str">
        <f t="shared" si="15"/>
        <v/>
      </c>
      <c r="AD729" t="str">
        <f t="shared" si="17"/>
        <v/>
      </c>
      <c r="AF729" t="str">
        <f t="shared" si="19"/>
        <v/>
      </c>
      <c r="AH729" t="str">
        <f t="shared" si="21"/>
        <v/>
      </c>
      <c r="AJ729" t="str">
        <f t="shared" si="23"/>
        <v/>
      </c>
    </row>
    <row r="730">
      <c r="P730" t="str">
        <f t="shared" si="3"/>
        <v/>
      </c>
      <c r="R730" t="str">
        <f t="shared" si="5"/>
        <v/>
      </c>
      <c r="T730" t="str">
        <f t="shared" si="7"/>
        <v/>
      </c>
      <c r="V730" t="str">
        <f t="shared" si="9"/>
        <v/>
      </c>
      <c r="X730" t="str">
        <f t="shared" si="11"/>
        <v/>
      </c>
      <c r="Z730" t="str">
        <f t="shared" si="13"/>
        <v/>
      </c>
      <c r="AB730" t="str">
        <f t="shared" si="15"/>
        <v/>
      </c>
      <c r="AD730" t="str">
        <f t="shared" si="17"/>
        <v/>
      </c>
      <c r="AF730" t="str">
        <f t="shared" si="19"/>
        <v/>
      </c>
      <c r="AH730" t="str">
        <f t="shared" si="21"/>
        <v/>
      </c>
      <c r="AJ730" t="str">
        <f t="shared" si="23"/>
        <v/>
      </c>
    </row>
    <row r="731">
      <c r="P731" t="str">
        <f t="shared" si="3"/>
        <v/>
      </c>
      <c r="R731" t="str">
        <f t="shared" si="5"/>
        <v/>
      </c>
      <c r="T731" t="str">
        <f t="shared" si="7"/>
        <v/>
      </c>
      <c r="V731" t="str">
        <f t="shared" si="9"/>
        <v/>
      </c>
      <c r="X731" t="str">
        <f t="shared" si="11"/>
        <v/>
      </c>
      <c r="Z731" t="str">
        <f t="shared" si="13"/>
        <v/>
      </c>
      <c r="AB731" t="str">
        <f t="shared" si="15"/>
        <v/>
      </c>
      <c r="AD731" t="str">
        <f t="shared" si="17"/>
        <v/>
      </c>
      <c r="AF731" t="str">
        <f t="shared" si="19"/>
        <v/>
      </c>
      <c r="AH731" t="str">
        <f t="shared" si="21"/>
        <v/>
      </c>
      <c r="AJ731" t="str">
        <f t="shared" si="23"/>
        <v/>
      </c>
    </row>
    <row r="732">
      <c r="P732" t="str">
        <f t="shared" si="3"/>
        <v/>
      </c>
      <c r="R732" t="str">
        <f t="shared" si="5"/>
        <v/>
      </c>
      <c r="T732" t="str">
        <f t="shared" si="7"/>
        <v/>
      </c>
      <c r="V732" t="str">
        <f t="shared" si="9"/>
        <v/>
      </c>
      <c r="X732" t="str">
        <f t="shared" si="11"/>
        <v/>
      </c>
      <c r="Z732" t="str">
        <f t="shared" si="13"/>
        <v/>
      </c>
      <c r="AB732" t="str">
        <f t="shared" si="15"/>
        <v/>
      </c>
      <c r="AD732" t="str">
        <f t="shared" si="17"/>
        <v/>
      </c>
      <c r="AF732" t="str">
        <f t="shared" si="19"/>
        <v/>
      </c>
      <c r="AH732" t="str">
        <f t="shared" si="21"/>
        <v/>
      </c>
      <c r="AJ732" t="str">
        <f t="shared" si="23"/>
        <v/>
      </c>
    </row>
    <row r="733">
      <c r="P733" t="str">
        <f t="shared" si="3"/>
        <v/>
      </c>
      <c r="R733" t="str">
        <f t="shared" si="5"/>
        <v/>
      </c>
      <c r="T733" t="str">
        <f t="shared" si="7"/>
        <v/>
      </c>
      <c r="V733" t="str">
        <f t="shared" si="9"/>
        <v/>
      </c>
      <c r="X733" t="str">
        <f t="shared" si="11"/>
        <v/>
      </c>
      <c r="Z733" t="str">
        <f t="shared" si="13"/>
        <v/>
      </c>
      <c r="AB733" t="str">
        <f t="shared" si="15"/>
        <v/>
      </c>
      <c r="AD733" t="str">
        <f t="shared" si="17"/>
        <v/>
      </c>
      <c r="AF733" t="str">
        <f t="shared" si="19"/>
        <v/>
      </c>
      <c r="AH733" t="str">
        <f t="shared" si="21"/>
        <v/>
      </c>
      <c r="AJ733" t="str">
        <f t="shared" si="23"/>
        <v/>
      </c>
    </row>
    <row r="734">
      <c r="P734" t="str">
        <f t="shared" si="3"/>
        <v/>
      </c>
      <c r="R734" t="str">
        <f t="shared" si="5"/>
        <v/>
      </c>
      <c r="T734" t="str">
        <f t="shared" si="7"/>
        <v/>
      </c>
      <c r="V734" t="str">
        <f t="shared" si="9"/>
        <v/>
      </c>
      <c r="X734" t="str">
        <f t="shared" si="11"/>
        <v/>
      </c>
      <c r="Z734" t="str">
        <f t="shared" si="13"/>
        <v/>
      </c>
      <c r="AB734" t="str">
        <f t="shared" si="15"/>
        <v/>
      </c>
      <c r="AD734" t="str">
        <f t="shared" si="17"/>
        <v/>
      </c>
      <c r="AF734" t="str">
        <f t="shared" si="19"/>
        <v/>
      </c>
      <c r="AH734" t="str">
        <f t="shared" si="21"/>
        <v/>
      </c>
      <c r="AJ734" t="str">
        <f t="shared" si="23"/>
        <v/>
      </c>
    </row>
    <row r="735">
      <c r="P735" t="str">
        <f t="shared" si="3"/>
        <v/>
      </c>
      <c r="R735" t="str">
        <f t="shared" si="5"/>
        <v/>
      </c>
      <c r="T735" t="str">
        <f t="shared" si="7"/>
        <v/>
      </c>
      <c r="V735" t="str">
        <f t="shared" si="9"/>
        <v/>
      </c>
      <c r="X735" t="str">
        <f t="shared" si="11"/>
        <v/>
      </c>
      <c r="Z735" t="str">
        <f t="shared" si="13"/>
        <v/>
      </c>
      <c r="AB735" t="str">
        <f t="shared" si="15"/>
        <v/>
      </c>
      <c r="AD735" t="str">
        <f t="shared" si="17"/>
        <v/>
      </c>
      <c r="AF735" t="str">
        <f t="shared" si="19"/>
        <v/>
      </c>
      <c r="AH735" t="str">
        <f t="shared" si="21"/>
        <v/>
      </c>
      <c r="AJ735" t="str">
        <f t="shared" si="23"/>
        <v/>
      </c>
    </row>
    <row r="736">
      <c r="P736" t="str">
        <f t="shared" si="3"/>
        <v/>
      </c>
      <c r="R736" t="str">
        <f t="shared" si="5"/>
        <v/>
      </c>
      <c r="T736" t="str">
        <f t="shared" si="7"/>
        <v/>
      </c>
      <c r="V736" t="str">
        <f t="shared" si="9"/>
        <v/>
      </c>
      <c r="X736" t="str">
        <f t="shared" si="11"/>
        <v/>
      </c>
      <c r="Z736" t="str">
        <f t="shared" si="13"/>
        <v/>
      </c>
      <c r="AB736" t="str">
        <f t="shared" si="15"/>
        <v/>
      </c>
      <c r="AD736" t="str">
        <f t="shared" si="17"/>
        <v/>
      </c>
      <c r="AF736" t="str">
        <f t="shared" si="19"/>
        <v/>
      </c>
      <c r="AH736" t="str">
        <f t="shared" si="21"/>
        <v/>
      </c>
      <c r="AJ736" t="str">
        <f t="shared" si="23"/>
        <v/>
      </c>
    </row>
    <row r="737">
      <c r="P737" t="str">
        <f t="shared" si="3"/>
        <v/>
      </c>
      <c r="R737" t="str">
        <f t="shared" si="5"/>
        <v/>
      </c>
      <c r="T737" t="str">
        <f t="shared" si="7"/>
        <v/>
      </c>
      <c r="V737" t="str">
        <f t="shared" si="9"/>
        <v/>
      </c>
      <c r="X737" t="str">
        <f t="shared" si="11"/>
        <v/>
      </c>
      <c r="Z737" t="str">
        <f t="shared" si="13"/>
        <v/>
      </c>
      <c r="AB737" t="str">
        <f t="shared" si="15"/>
        <v/>
      </c>
      <c r="AD737" t="str">
        <f t="shared" si="17"/>
        <v/>
      </c>
      <c r="AF737" t="str">
        <f t="shared" si="19"/>
        <v/>
      </c>
      <c r="AH737" t="str">
        <f t="shared" si="21"/>
        <v/>
      </c>
      <c r="AJ737" t="str">
        <f t="shared" si="23"/>
        <v/>
      </c>
    </row>
    <row r="738">
      <c r="P738" t="str">
        <f t="shared" si="3"/>
        <v/>
      </c>
      <c r="R738" t="str">
        <f t="shared" si="5"/>
        <v/>
      </c>
      <c r="T738" t="str">
        <f t="shared" si="7"/>
        <v/>
      </c>
      <c r="V738" t="str">
        <f t="shared" si="9"/>
        <v/>
      </c>
      <c r="X738" t="str">
        <f t="shared" si="11"/>
        <v/>
      </c>
      <c r="Z738" t="str">
        <f t="shared" si="13"/>
        <v/>
      </c>
      <c r="AB738" t="str">
        <f t="shared" si="15"/>
        <v/>
      </c>
      <c r="AD738" t="str">
        <f t="shared" si="17"/>
        <v/>
      </c>
      <c r="AF738" t="str">
        <f t="shared" si="19"/>
        <v/>
      </c>
      <c r="AH738" t="str">
        <f t="shared" si="21"/>
        <v/>
      </c>
      <c r="AJ738" t="str">
        <f t="shared" si="23"/>
        <v/>
      </c>
    </row>
    <row r="739">
      <c r="P739" t="str">
        <f t="shared" si="3"/>
        <v/>
      </c>
      <c r="R739" t="str">
        <f t="shared" si="5"/>
        <v/>
      </c>
      <c r="T739" t="str">
        <f t="shared" si="7"/>
        <v/>
      </c>
      <c r="V739" t="str">
        <f t="shared" si="9"/>
        <v/>
      </c>
      <c r="X739" t="str">
        <f t="shared" si="11"/>
        <v/>
      </c>
      <c r="Z739" t="str">
        <f t="shared" si="13"/>
        <v/>
      </c>
      <c r="AB739" t="str">
        <f t="shared" si="15"/>
        <v/>
      </c>
      <c r="AD739" t="str">
        <f t="shared" si="17"/>
        <v/>
      </c>
      <c r="AF739" t="str">
        <f t="shared" si="19"/>
        <v/>
      </c>
      <c r="AH739" t="str">
        <f t="shared" si="21"/>
        <v/>
      </c>
      <c r="AJ739" t="str">
        <f t="shared" si="23"/>
        <v/>
      </c>
    </row>
    <row r="740">
      <c r="P740" t="str">
        <f t="shared" si="3"/>
        <v/>
      </c>
      <c r="R740" t="str">
        <f t="shared" si="5"/>
        <v/>
      </c>
      <c r="T740" t="str">
        <f t="shared" si="7"/>
        <v/>
      </c>
      <c r="V740" t="str">
        <f t="shared" si="9"/>
        <v/>
      </c>
      <c r="X740" t="str">
        <f t="shared" si="11"/>
        <v/>
      </c>
      <c r="Z740" t="str">
        <f t="shared" si="13"/>
        <v/>
      </c>
      <c r="AB740" t="str">
        <f t="shared" si="15"/>
        <v/>
      </c>
      <c r="AD740" t="str">
        <f t="shared" si="17"/>
        <v/>
      </c>
      <c r="AF740" t="str">
        <f t="shared" si="19"/>
        <v/>
      </c>
      <c r="AH740" t="str">
        <f t="shared" si="21"/>
        <v/>
      </c>
      <c r="AJ740" t="str">
        <f t="shared" si="23"/>
        <v/>
      </c>
    </row>
    <row r="741">
      <c r="P741" t="str">
        <f t="shared" si="3"/>
        <v/>
      </c>
      <c r="R741" t="str">
        <f t="shared" si="5"/>
        <v/>
      </c>
      <c r="T741" t="str">
        <f t="shared" si="7"/>
        <v/>
      </c>
      <c r="V741" t="str">
        <f t="shared" si="9"/>
        <v/>
      </c>
      <c r="X741" t="str">
        <f t="shared" si="11"/>
        <v/>
      </c>
      <c r="Z741" t="str">
        <f t="shared" si="13"/>
        <v/>
      </c>
      <c r="AB741" t="str">
        <f t="shared" si="15"/>
        <v/>
      </c>
      <c r="AD741" t="str">
        <f t="shared" si="17"/>
        <v/>
      </c>
      <c r="AF741" t="str">
        <f t="shared" si="19"/>
        <v/>
      </c>
      <c r="AH741" t="str">
        <f t="shared" si="21"/>
        <v/>
      </c>
      <c r="AJ741" t="str">
        <f t="shared" si="23"/>
        <v/>
      </c>
    </row>
    <row r="742">
      <c r="P742" t="str">
        <f t="shared" si="3"/>
        <v/>
      </c>
      <c r="R742" t="str">
        <f t="shared" si="5"/>
        <v/>
      </c>
      <c r="T742" t="str">
        <f t="shared" si="7"/>
        <v/>
      </c>
      <c r="V742" t="str">
        <f t="shared" si="9"/>
        <v/>
      </c>
      <c r="X742" t="str">
        <f t="shared" si="11"/>
        <v/>
      </c>
      <c r="Z742" t="str">
        <f t="shared" si="13"/>
        <v/>
      </c>
      <c r="AB742" t="str">
        <f t="shared" si="15"/>
        <v/>
      </c>
      <c r="AD742" t="str">
        <f t="shared" si="17"/>
        <v/>
      </c>
      <c r="AF742" t="str">
        <f t="shared" si="19"/>
        <v/>
      </c>
      <c r="AH742" t="str">
        <f t="shared" si="21"/>
        <v/>
      </c>
      <c r="AJ742" t="str">
        <f t="shared" si="23"/>
        <v/>
      </c>
    </row>
    <row r="743">
      <c r="P743" t="str">
        <f t="shared" si="3"/>
        <v/>
      </c>
      <c r="R743" t="str">
        <f t="shared" si="5"/>
        <v/>
      </c>
      <c r="T743" t="str">
        <f t="shared" si="7"/>
        <v/>
      </c>
      <c r="V743" t="str">
        <f t="shared" si="9"/>
        <v/>
      </c>
      <c r="X743" t="str">
        <f t="shared" si="11"/>
        <v/>
      </c>
      <c r="Z743" t="str">
        <f t="shared" si="13"/>
        <v/>
      </c>
      <c r="AB743" t="str">
        <f t="shared" si="15"/>
        <v/>
      </c>
      <c r="AD743" t="str">
        <f t="shared" si="17"/>
        <v/>
      </c>
      <c r="AF743" t="str">
        <f t="shared" si="19"/>
        <v/>
      </c>
      <c r="AH743" t="str">
        <f t="shared" si="21"/>
        <v/>
      </c>
      <c r="AJ743" t="str">
        <f t="shared" si="23"/>
        <v/>
      </c>
    </row>
    <row r="744">
      <c r="P744" t="str">
        <f t="shared" si="3"/>
        <v/>
      </c>
      <c r="R744" t="str">
        <f t="shared" si="5"/>
        <v/>
      </c>
      <c r="T744" t="str">
        <f t="shared" si="7"/>
        <v/>
      </c>
      <c r="V744" t="str">
        <f t="shared" si="9"/>
        <v/>
      </c>
      <c r="X744" t="str">
        <f t="shared" si="11"/>
        <v/>
      </c>
      <c r="Z744" t="str">
        <f t="shared" si="13"/>
        <v/>
      </c>
      <c r="AB744" t="str">
        <f t="shared" si="15"/>
        <v/>
      </c>
      <c r="AD744" t="str">
        <f t="shared" si="17"/>
        <v/>
      </c>
      <c r="AF744" t="str">
        <f t="shared" si="19"/>
        <v/>
      </c>
      <c r="AH744" t="str">
        <f t="shared" si="21"/>
        <v/>
      </c>
      <c r="AJ744" t="str">
        <f t="shared" si="23"/>
        <v/>
      </c>
    </row>
    <row r="745">
      <c r="P745" t="str">
        <f t="shared" si="3"/>
        <v/>
      </c>
      <c r="R745" t="str">
        <f t="shared" si="5"/>
        <v/>
      </c>
      <c r="T745" t="str">
        <f t="shared" si="7"/>
        <v/>
      </c>
      <c r="V745" t="str">
        <f t="shared" si="9"/>
        <v/>
      </c>
      <c r="X745" t="str">
        <f t="shared" si="11"/>
        <v/>
      </c>
      <c r="Z745" t="str">
        <f t="shared" si="13"/>
        <v/>
      </c>
      <c r="AB745" t="str">
        <f t="shared" si="15"/>
        <v/>
      </c>
      <c r="AD745" t="str">
        <f t="shared" si="17"/>
        <v/>
      </c>
      <c r="AF745" t="str">
        <f t="shared" si="19"/>
        <v/>
      </c>
      <c r="AH745" t="str">
        <f t="shared" si="21"/>
        <v/>
      </c>
      <c r="AJ745" t="str">
        <f t="shared" si="23"/>
        <v/>
      </c>
    </row>
    <row r="746">
      <c r="P746" t="str">
        <f t="shared" si="3"/>
        <v/>
      </c>
      <c r="R746" t="str">
        <f t="shared" si="5"/>
        <v/>
      </c>
      <c r="T746" t="str">
        <f t="shared" si="7"/>
        <v/>
      </c>
      <c r="V746" t="str">
        <f t="shared" si="9"/>
        <v/>
      </c>
      <c r="X746" t="str">
        <f t="shared" si="11"/>
        <v/>
      </c>
      <c r="Z746" t="str">
        <f t="shared" si="13"/>
        <v/>
      </c>
      <c r="AB746" t="str">
        <f t="shared" si="15"/>
        <v/>
      </c>
      <c r="AD746" t="str">
        <f t="shared" si="17"/>
        <v/>
      </c>
      <c r="AF746" t="str">
        <f t="shared" si="19"/>
        <v/>
      </c>
      <c r="AH746" t="str">
        <f t="shared" si="21"/>
        <v/>
      </c>
      <c r="AJ746" t="str">
        <f t="shared" si="23"/>
        <v/>
      </c>
    </row>
    <row r="747">
      <c r="P747" t="str">
        <f t="shared" si="3"/>
        <v/>
      </c>
      <c r="R747" t="str">
        <f t="shared" si="5"/>
        <v/>
      </c>
      <c r="T747" t="str">
        <f t="shared" si="7"/>
        <v/>
      </c>
      <c r="V747" t="str">
        <f t="shared" si="9"/>
        <v/>
      </c>
      <c r="X747" t="str">
        <f t="shared" si="11"/>
        <v/>
      </c>
      <c r="Z747" t="str">
        <f t="shared" si="13"/>
        <v/>
      </c>
      <c r="AB747" t="str">
        <f t="shared" si="15"/>
        <v/>
      </c>
      <c r="AD747" t="str">
        <f t="shared" si="17"/>
        <v/>
      </c>
      <c r="AF747" t="str">
        <f t="shared" si="19"/>
        <v/>
      </c>
      <c r="AH747" t="str">
        <f t="shared" si="21"/>
        <v/>
      </c>
      <c r="AJ747" t="str">
        <f t="shared" si="23"/>
        <v/>
      </c>
    </row>
    <row r="748">
      <c r="P748" t="str">
        <f t="shared" si="3"/>
        <v/>
      </c>
      <c r="R748" t="str">
        <f t="shared" si="5"/>
        <v/>
      </c>
      <c r="T748" t="str">
        <f t="shared" si="7"/>
        <v/>
      </c>
      <c r="V748" t="str">
        <f t="shared" si="9"/>
        <v/>
      </c>
      <c r="X748" t="str">
        <f t="shared" si="11"/>
        <v/>
      </c>
      <c r="Z748" t="str">
        <f t="shared" si="13"/>
        <v/>
      </c>
      <c r="AB748" t="str">
        <f t="shared" si="15"/>
        <v/>
      </c>
      <c r="AD748" t="str">
        <f t="shared" si="17"/>
        <v/>
      </c>
      <c r="AF748" t="str">
        <f t="shared" si="19"/>
        <v/>
      </c>
      <c r="AH748" t="str">
        <f t="shared" si="21"/>
        <v/>
      </c>
      <c r="AJ748" t="str">
        <f t="shared" si="23"/>
        <v/>
      </c>
    </row>
    <row r="749">
      <c r="P749" t="str">
        <f t="shared" si="3"/>
        <v/>
      </c>
      <c r="R749" t="str">
        <f t="shared" si="5"/>
        <v/>
      </c>
      <c r="T749" t="str">
        <f t="shared" si="7"/>
        <v/>
      </c>
      <c r="V749" t="str">
        <f t="shared" si="9"/>
        <v/>
      </c>
      <c r="X749" t="str">
        <f t="shared" si="11"/>
        <v/>
      </c>
      <c r="Z749" t="str">
        <f t="shared" si="13"/>
        <v/>
      </c>
      <c r="AB749" t="str">
        <f t="shared" si="15"/>
        <v/>
      </c>
      <c r="AD749" t="str">
        <f t="shared" si="17"/>
        <v/>
      </c>
      <c r="AF749" t="str">
        <f t="shared" si="19"/>
        <v/>
      </c>
      <c r="AH749" t="str">
        <f t="shared" si="21"/>
        <v/>
      </c>
      <c r="AJ749" t="str">
        <f t="shared" si="23"/>
        <v/>
      </c>
    </row>
    <row r="750">
      <c r="P750" t="str">
        <f t="shared" si="3"/>
        <v/>
      </c>
      <c r="R750" t="str">
        <f t="shared" si="5"/>
        <v/>
      </c>
      <c r="T750" t="str">
        <f t="shared" si="7"/>
        <v/>
      </c>
      <c r="V750" t="str">
        <f t="shared" si="9"/>
        <v/>
      </c>
      <c r="X750" t="str">
        <f t="shared" si="11"/>
        <v/>
      </c>
      <c r="Z750" t="str">
        <f t="shared" si="13"/>
        <v/>
      </c>
      <c r="AB750" t="str">
        <f t="shared" si="15"/>
        <v/>
      </c>
      <c r="AD750" t="str">
        <f t="shared" si="17"/>
        <v/>
      </c>
      <c r="AF750" t="str">
        <f t="shared" si="19"/>
        <v/>
      </c>
      <c r="AH750" t="str">
        <f t="shared" si="21"/>
        <v/>
      </c>
      <c r="AJ750" t="str">
        <f t="shared" si="23"/>
        <v/>
      </c>
    </row>
    <row r="751">
      <c r="P751" t="str">
        <f t="shared" si="3"/>
        <v/>
      </c>
      <c r="R751" t="str">
        <f t="shared" si="5"/>
        <v/>
      </c>
      <c r="T751" t="str">
        <f t="shared" si="7"/>
        <v/>
      </c>
      <c r="V751" t="str">
        <f t="shared" si="9"/>
        <v/>
      </c>
      <c r="X751" t="str">
        <f t="shared" si="11"/>
        <v/>
      </c>
      <c r="Z751" t="str">
        <f t="shared" si="13"/>
        <v/>
      </c>
      <c r="AB751" t="str">
        <f t="shared" si="15"/>
        <v/>
      </c>
      <c r="AD751" t="str">
        <f t="shared" si="17"/>
        <v/>
      </c>
      <c r="AF751" t="str">
        <f t="shared" si="19"/>
        <v/>
      </c>
      <c r="AH751" t="str">
        <f t="shared" si="21"/>
        <v/>
      </c>
      <c r="AJ751" t="str">
        <f t="shared" si="23"/>
        <v/>
      </c>
    </row>
    <row r="752">
      <c r="P752" t="str">
        <f t="shared" si="3"/>
        <v/>
      </c>
      <c r="R752" t="str">
        <f t="shared" si="5"/>
        <v/>
      </c>
      <c r="T752" t="str">
        <f t="shared" si="7"/>
        <v/>
      </c>
      <c r="V752" t="str">
        <f t="shared" si="9"/>
        <v/>
      </c>
      <c r="X752" t="str">
        <f t="shared" si="11"/>
        <v/>
      </c>
      <c r="Z752" t="str">
        <f t="shared" si="13"/>
        <v/>
      </c>
      <c r="AB752" t="str">
        <f t="shared" si="15"/>
        <v/>
      </c>
      <c r="AD752" t="str">
        <f t="shared" si="17"/>
        <v/>
      </c>
      <c r="AF752" t="str">
        <f t="shared" si="19"/>
        <v/>
      </c>
      <c r="AH752" t="str">
        <f t="shared" si="21"/>
        <v/>
      </c>
      <c r="AJ752" t="str">
        <f t="shared" si="23"/>
        <v/>
      </c>
    </row>
    <row r="753">
      <c r="P753" t="str">
        <f t="shared" si="3"/>
        <v/>
      </c>
      <c r="R753" t="str">
        <f t="shared" si="5"/>
        <v/>
      </c>
      <c r="T753" t="str">
        <f t="shared" si="7"/>
        <v/>
      </c>
      <c r="V753" t="str">
        <f t="shared" si="9"/>
        <v/>
      </c>
      <c r="X753" t="str">
        <f t="shared" si="11"/>
        <v/>
      </c>
      <c r="Z753" t="str">
        <f t="shared" si="13"/>
        <v/>
      </c>
      <c r="AB753" t="str">
        <f t="shared" si="15"/>
        <v/>
      </c>
      <c r="AD753" t="str">
        <f t="shared" si="17"/>
        <v/>
      </c>
      <c r="AF753" t="str">
        <f t="shared" si="19"/>
        <v/>
      </c>
      <c r="AH753" t="str">
        <f t="shared" si="21"/>
        <v/>
      </c>
      <c r="AJ753" t="str">
        <f t="shared" si="23"/>
        <v/>
      </c>
    </row>
    <row r="754">
      <c r="P754" t="str">
        <f t="shared" si="3"/>
        <v/>
      </c>
      <c r="R754" t="str">
        <f t="shared" si="5"/>
        <v/>
      </c>
      <c r="T754" t="str">
        <f t="shared" si="7"/>
        <v/>
      </c>
      <c r="V754" t="str">
        <f t="shared" si="9"/>
        <v/>
      </c>
      <c r="X754" t="str">
        <f t="shared" si="11"/>
        <v/>
      </c>
      <c r="Z754" t="str">
        <f t="shared" si="13"/>
        <v/>
      </c>
      <c r="AB754" t="str">
        <f t="shared" si="15"/>
        <v/>
      </c>
      <c r="AD754" t="str">
        <f t="shared" si="17"/>
        <v/>
      </c>
      <c r="AF754" t="str">
        <f t="shared" si="19"/>
        <v/>
      </c>
      <c r="AH754" t="str">
        <f t="shared" si="21"/>
        <v/>
      </c>
      <c r="AJ754" t="str">
        <f t="shared" si="23"/>
        <v/>
      </c>
    </row>
    <row r="755">
      <c r="P755" t="str">
        <f t="shared" si="3"/>
        <v/>
      </c>
      <c r="R755" t="str">
        <f t="shared" si="5"/>
        <v/>
      </c>
      <c r="T755" t="str">
        <f t="shared" si="7"/>
        <v/>
      </c>
      <c r="V755" t="str">
        <f t="shared" si="9"/>
        <v/>
      </c>
      <c r="X755" t="str">
        <f t="shared" si="11"/>
        <v/>
      </c>
      <c r="Z755" t="str">
        <f t="shared" si="13"/>
        <v/>
      </c>
      <c r="AB755" t="str">
        <f t="shared" si="15"/>
        <v/>
      </c>
      <c r="AD755" t="str">
        <f t="shared" si="17"/>
        <v/>
      </c>
      <c r="AF755" t="str">
        <f t="shared" si="19"/>
        <v/>
      </c>
      <c r="AH755" t="str">
        <f t="shared" si="21"/>
        <v/>
      </c>
      <c r="AJ755" t="str">
        <f t="shared" si="23"/>
        <v/>
      </c>
    </row>
    <row r="756">
      <c r="P756" t="str">
        <f t="shared" si="3"/>
        <v/>
      </c>
      <c r="R756" t="str">
        <f t="shared" si="5"/>
        <v/>
      </c>
      <c r="T756" t="str">
        <f t="shared" si="7"/>
        <v/>
      </c>
      <c r="V756" t="str">
        <f t="shared" si="9"/>
        <v/>
      </c>
      <c r="X756" t="str">
        <f t="shared" si="11"/>
        <v/>
      </c>
      <c r="Z756" t="str">
        <f t="shared" si="13"/>
        <v/>
      </c>
      <c r="AB756" t="str">
        <f t="shared" si="15"/>
        <v/>
      </c>
      <c r="AD756" t="str">
        <f t="shared" si="17"/>
        <v/>
      </c>
      <c r="AF756" t="str">
        <f t="shared" si="19"/>
        <v/>
      </c>
      <c r="AH756" t="str">
        <f t="shared" si="21"/>
        <v/>
      </c>
      <c r="AJ756" t="str">
        <f t="shared" si="23"/>
        <v/>
      </c>
    </row>
    <row r="757">
      <c r="P757" t="str">
        <f t="shared" si="3"/>
        <v/>
      </c>
      <c r="R757" t="str">
        <f t="shared" si="5"/>
        <v/>
      </c>
      <c r="T757" t="str">
        <f t="shared" si="7"/>
        <v/>
      </c>
      <c r="V757" t="str">
        <f t="shared" si="9"/>
        <v/>
      </c>
      <c r="X757" t="str">
        <f t="shared" si="11"/>
        <v/>
      </c>
      <c r="Z757" t="str">
        <f t="shared" si="13"/>
        <v/>
      </c>
      <c r="AB757" t="str">
        <f t="shared" si="15"/>
        <v/>
      </c>
      <c r="AD757" t="str">
        <f t="shared" si="17"/>
        <v/>
      </c>
      <c r="AF757" t="str">
        <f t="shared" si="19"/>
        <v/>
      </c>
      <c r="AH757" t="str">
        <f t="shared" si="21"/>
        <v/>
      </c>
      <c r="AJ757" t="str">
        <f t="shared" si="23"/>
        <v/>
      </c>
    </row>
    <row r="758">
      <c r="P758" t="str">
        <f t="shared" si="3"/>
        <v/>
      </c>
      <c r="R758" t="str">
        <f t="shared" si="5"/>
        <v/>
      </c>
      <c r="T758" t="str">
        <f t="shared" si="7"/>
        <v/>
      </c>
      <c r="V758" t="str">
        <f t="shared" si="9"/>
        <v/>
      </c>
      <c r="X758" t="str">
        <f t="shared" si="11"/>
        <v/>
      </c>
      <c r="Z758" t="str">
        <f t="shared" si="13"/>
        <v/>
      </c>
      <c r="AB758" t="str">
        <f t="shared" si="15"/>
        <v/>
      </c>
      <c r="AD758" t="str">
        <f t="shared" si="17"/>
        <v/>
      </c>
      <c r="AF758" t="str">
        <f t="shared" si="19"/>
        <v/>
      </c>
      <c r="AH758" t="str">
        <f t="shared" si="21"/>
        <v/>
      </c>
      <c r="AJ758" t="str">
        <f t="shared" si="23"/>
        <v/>
      </c>
    </row>
    <row r="759">
      <c r="P759" t="str">
        <f t="shared" si="3"/>
        <v/>
      </c>
      <c r="R759" t="str">
        <f t="shared" si="5"/>
        <v/>
      </c>
      <c r="T759" t="str">
        <f t="shared" si="7"/>
        <v/>
      </c>
      <c r="V759" t="str">
        <f t="shared" si="9"/>
        <v/>
      </c>
      <c r="X759" t="str">
        <f t="shared" si="11"/>
        <v/>
      </c>
      <c r="Z759" t="str">
        <f t="shared" si="13"/>
        <v/>
      </c>
      <c r="AB759" t="str">
        <f t="shared" si="15"/>
        <v/>
      </c>
      <c r="AD759" t="str">
        <f t="shared" si="17"/>
        <v/>
      </c>
      <c r="AF759" t="str">
        <f t="shared" si="19"/>
        <v/>
      </c>
      <c r="AH759" t="str">
        <f t="shared" si="21"/>
        <v/>
      </c>
      <c r="AJ759" t="str">
        <f t="shared" si="23"/>
        <v/>
      </c>
    </row>
    <row r="760">
      <c r="P760" t="str">
        <f t="shared" si="3"/>
        <v/>
      </c>
      <c r="R760" t="str">
        <f t="shared" si="5"/>
        <v/>
      </c>
      <c r="T760" t="str">
        <f t="shared" si="7"/>
        <v/>
      </c>
      <c r="V760" t="str">
        <f t="shared" si="9"/>
        <v/>
      </c>
      <c r="X760" t="str">
        <f t="shared" si="11"/>
        <v/>
      </c>
      <c r="Z760" t="str">
        <f t="shared" si="13"/>
        <v/>
      </c>
      <c r="AB760" t="str">
        <f t="shared" si="15"/>
        <v/>
      </c>
      <c r="AD760" t="str">
        <f t="shared" si="17"/>
        <v/>
      </c>
      <c r="AF760" t="str">
        <f t="shared" si="19"/>
        <v/>
      </c>
      <c r="AH760" t="str">
        <f t="shared" si="21"/>
        <v/>
      </c>
      <c r="AJ760" t="str">
        <f t="shared" si="23"/>
        <v/>
      </c>
    </row>
    <row r="761">
      <c r="P761" t="str">
        <f t="shared" si="3"/>
        <v/>
      </c>
      <c r="R761" t="str">
        <f t="shared" si="5"/>
        <v/>
      </c>
      <c r="T761" t="str">
        <f t="shared" si="7"/>
        <v/>
      </c>
      <c r="V761" t="str">
        <f t="shared" si="9"/>
        <v/>
      </c>
      <c r="X761" t="str">
        <f t="shared" si="11"/>
        <v/>
      </c>
      <c r="Z761" t="str">
        <f t="shared" si="13"/>
        <v/>
      </c>
      <c r="AB761" t="str">
        <f t="shared" si="15"/>
        <v/>
      </c>
      <c r="AD761" t="str">
        <f t="shared" si="17"/>
        <v/>
      </c>
      <c r="AF761" t="str">
        <f t="shared" si="19"/>
        <v/>
      </c>
      <c r="AH761" t="str">
        <f t="shared" si="21"/>
        <v/>
      </c>
      <c r="AJ761" t="str">
        <f t="shared" si="23"/>
        <v/>
      </c>
    </row>
    <row r="762">
      <c r="P762" t="str">
        <f t="shared" si="3"/>
        <v/>
      </c>
      <c r="R762" t="str">
        <f t="shared" si="5"/>
        <v/>
      </c>
      <c r="T762" t="str">
        <f t="shared" si="7"/>
        <v/>
      </c>
      <c r="V762" t="str">
        <f t="shared" si="9"/>
        <v/>
      </c>
      <c r="X762" t="str">
        <f t="shared" si="11"/>
        <v/>
      </c>
      <c r="Z762" t="str">
        <f t="shared" si="13"/>
        <v/>
      </c>
      <c r="AB762" t="str">
        <f t="shared" si="15"/>
        <v/>
      </c>
      <c r="AD762" t="str">
        <f t="shared" si="17"/>
        <v/>
      </c>
      <c r="AF762" t="str">
        <f t="shared" si="19"/>
        <v/>
      </c>
      <c r="AH762" t="str">
        <f t="shared" si="21"/>
        <v/>
      </c>
      <c r="AJ762" t="str">
        <f t="shared" si="23"/>
        <v/>
      </c>
    </row>
    <row r="763">
      <c r="P763" t="str">
        <f t="shared" si="3"/>
        <v/>
      </c>
      <c r="R763" t="str">
        <f t="shared" si="5"/>
        <v/>
      </c>
      <c r="T763" t="str">
        <f t="shared" si="7"/>
        <v/>
      </c>
      <c r="V763" t="str">
        <f t="shared" si="9"/>
        <v/>
      </c>
      <c r="X763" t="str">
        <f t="shared" si="11"/>
        <v/>
      </c>
      <c r="Z763" t="str">
        <f t="shared" si="13"/>
        <v/>
      </c>
      <c r="AB763" t="str">
        <f t="shared" si="15"/>
        <v/>
      </c>
      <c r="AD763" t="str">
        <f t="shared" si="17"/>
        <v/>
      </c>
      <c r="AF763" t="str">
        <f t="shared" si="19"/>
        <v/>
      </c>
      <c r="AH763" t="str">
        <f t="shared" si="21"/>
        <v/>
      </c>
      <c r="AJ763" t="str">
        <f t="shared" si="23"/>
        <v/>
      </c>
    </row>
    <row r="764">
      <c r="P764" t="str">
        <f t="shared" si="3"/>
        <v/>
      </c>
      <c r="R764" t="str">
        <f t="shared" si="5"/>
        <v/>
      </c>
      <c r="T764" t="str">
        <f t="shared" si="7"/>
        <v/>
      </c>
      <c r="V764" t="str">
        <f t="shared" si="9"/>
        <v/>
      </c>
      <c r="X764" t="str">
        <f t="shared" si="11"/>
        <v/>
      </c>
      <c r="Z764" t="str">
        <f t="shared" si="13"/>
        <v/>
      </c>
      <c r="AB764" t="str">
        <f t="shared" si="15"/>
        <v/>
      </c>
      <c r="AD764" t="str">
        <f t="shared" si="17"/>
        <v/>
      </c>
      <c r="AF764" t="str">
        <f t="shared" si="19"/>
        <v/>
      </c>
      <c r="AH764" t="str">
        <f t="shared" si="21"/>
        <v/>
      </c>
      <c r="AJ764" t="str">
        <f t="shared" si="23"/>
        <v/>
      </c>
    </row>
    <row r="765">
      <c r="P765" t="str">
        <f t="shared" si="3"/>
        <v/>
      </c>
      <c r="R765" t="str">
        <f t="shared" si="5"/>
        <v/>
      </c>
      <c r="T765" t="str">
        <f t="shared" si="7"/>
        <v/>
      </c>
      <c r="V765" t="str">
        <f t="shared" si="9"/>
        <v/>
      </c>
      <c r="X765" t="str">
        <f t="shared" si="11"/>
        <v/>
      </c>
      <c r="Z765" t="str">
        <f t="shared" si="13"/>
        <v/>
      </c>
      <c r="AB765" t="str">
        <f t="shared" si="15"/>
        <v/>
      </c>
      <c r="AD765" t="str">
        <f t="shared" si="17"/>
        <v/>
      </c>
      <c r="AF765" t="str">
        <f t="shared" si="19"/>
        <v/>
      </c>
      <c r="AH765" t="str">
        <f t="shared" si="21"/>
        <v/>
      </c>
      <c r="AJ765" t="str">
        <f t="shared" si="23"/>
        <v/>
      </c>
    </row>
    <row r="766">
      <c r="P766" t="str">
        <f t="shared" si="3"/>
        <v/>
      </c>
      <c r="R766" t="str">
        <f t="shared" si="5"/>
        <v/>
      </c>
      <c r="T766" t="str">
        <f t="shared" si="7"/>
        <v/>
      </c>
      <c r="V766" t="str">
        <f t="shared" si="9"/>
        <v/>
      </c>
      <c r="X766" t="str">
        <f t="shared" si="11"/>
        <v/>
      </c>
      <c r="Z766" t="str">
        <f t="shared" si="13"/>
        <v/>
      </c>
      <c r="AB766" t="str">
        <f t="shared" si="15"/>
        <v/>
      </c>
      <c r="AD766" t="str">
        <f t="shared" si="17"/>
        <v/>
      </c>
      <c r="AF766" t="str">
        <f t="shared" si="19"/>
        <v/>
      </c>
      <c r="AH766" t="str">
        <f t="shared" si="21"/>
        <v/>
      </c>
      <c r="AJ766" t="str">
        <f t="shared" si="23"/>
        <v/>
      </c>
    </row>
    <row r="767">
      <c r="P767" t="str">
        <f t="shared" si="3"/>
        <v/>
      </c>
      <c r="R767" t="str">
        <f t="shared" si="5"/>
        <v/>
      </c>
      <c r="T767" t="str">
        <f t="shared" si="7"/>
        <v/>
      </c>
      <c r="V767" t="str">
        <f t="shared" si="9"/>
        <v/>
      </c>
      <c r="X767" t="str">
        <f t="shared" si="11"/>
        <v/>
      </c>
      <c r="Z767" t="str">
        <f t="shared" si="13"/>
        <v/>
      </c>
      <c r="AB767" t="str">
        <f t="shared" si="15"/>
        <v/>
      </c>
      <c r="AD767" t="str">
        <f t="shared" si="17"/>
        <v/>
      </c>
      <c r="AF767" t="str">
        <f t="shared" si="19"/>
        <v/>
      </c>
      <c r="AH767" t="str">
        <f t="shared" si="21"/>
        <v/>
      </c>
      <c r="AJ767" t="str">
        <f t="shared" si="23"/>
        <v/>
      </c>
    </row>
    <row r="768">
      <c r="P768" t="str">
        <f t="shared" si="3"/>
        <v/>
      </c>
      <c r="R768" t="str">
        <f t="shared" si="5"/>
        <v/>
      </c>
      <c r="T768" t="str">
        <f t="shared" si="7"/>
        <v/>
      </c>
      <c r="V768" t="str">
        <f t="shared" si="9"/>
        <v/>
      </c>
      <c r="X768" t="str">
        <f t="shared" si="11"/>
        <v/>
      </c>
      <c r="Z768" t="str">
        <f t="shared" si="13"/>
        <v/>
      </c>
      <c r="AB768" t="str">
        <f t="shared" si="15"/>
        <v/>
      </c>
      <c r="AD768" t="str">
        <f t="shared" si="17"/>
        <v/>
      </c>
      <c r="AF768" t="str">
        <f t="shared" si="19"/>
        <v/>
      </c>
      <c r="AH768" t="str">
        <f t="shared" si="21"/>
        <v/>
      </c>
      <c r="AJ768" t="str">
        <f t="shared" si="23"/>
        <v/>
      </c>
    </row>
    <row r="769">
      <c r="P769" t="str">
        <f t="shared" si="3"/>
        <v/>
      </c>
      <c r="R769" t="str">
        <f t="shared" si="5"/>
        <v/>
      </c>
      <c r="T769" t="str">
        <f t="shared" si="7"/>
        <v/>
      </c>
      <c r="V769" t="str">
        <f t="shared" si="9"/>
        <v/>
      </c>
      <c r="X769" t="str">
        <f t="shared" si="11"/>
        <v/>
      </c>
      <c r="Z769" t="str">
        <f t="shared" si="13"/>
        <v/>
      </c>
      <c r="AB769" t="str">
        <f t="shared" si="15"/>
        <v/>
      </c>
      <c r="AD769" t="str">
        <f t="shared" si="17"/>
        <v/>
      </c>
      <c r="AF769" t="str">
        <f t="shared" si="19"/>
        <v/>
      </c>
      <c r="AH769" t="str">
        <f t="shared" si="21"/>
        <v/>
      </c>
      <c r="AJ769" t="str">
        <f t="shared" si="23"/>
        <v/>
      </c>
    </row>
    <row r="770">
      <c r="P770" t="str">
        <f t="shared" si="3"/>
        <v/>
      </c>
      <c r="R770" t="str">
        <f t="shared" si="5"/>
        <v/>
      </c>
      <c r="T770" t="str">
        <f t="shared" si="7"/>
        <v/>
      </c>
      <c r="V770" t="str">
        <f t="shared" si="9"/>
        <v/>
      </c>
      <c r="X770" t="str">
        <f t="shared" si="11"/>
        <v/>
      </c>
      <c r="Z770" t="str">
        <f t="shared" si="13"/>
        <v/>
      </c>
      <c r="AB770" t="str">
        <f t="shared" si="15"/>
        <v/>
      </c>
      <c r="AD770" t="str">
        <f t="shared" si="17"/>
        <v/>
      </c>
      <c r="AF770" t="str">
        <f t="shared" si="19"/>
        <v/>
      </c>
      <c r="AH770" t="str">
        <f t="shared" si="21"/>
        <v/>
      </c>
      <c r="AJ770" t="str">
        <f t="shared" si="23"/>
        <v/>
      </c>
    </row>
    <row r="771">
      <c r="P771" t="str">
        <f t="shared" si="3"/>
        <v/>
      </c>
      <c r="R771" t="str">
        <f t="shared" si="5"/>
        <v/>
      </c>
      <c r="T771" t="str">
        <f t="shared" si="7"/>
        <v/>
      </c>
      <c r="V771" t="str">
        <f t="shared" si="9"/>
        <v/>
      </c>
      <c r="X771" t="str">
        <f t="shared" si="11"/>
        <v/>
      </c>
      <c r="Z771" t="str">
        <f t="shared" si="13"/>
        <v/>
      </c>
      <c r="AB771" t="str">
        <f t="shared" si="15"/>
        <v/>
      </c>
      <c r="AD771" t="str">
        <f t="shared" si="17"/>
        <v/>
      </c>
      <c r="AF771" t="str">
        <f t="shared" si="19"/>
        <v/>
      </c>
      <c r="AH771" t="str">
        <f t="shared" si="21"/>
        <v/>
      </c>
      <c r="AJ771" t="str">
        <f t="shared" si="23"/>
        <v/>
      </c>
    </row>
    <row r="772">
      <c r="P772" t="str">
        <f t="shared" si="3"/>
        <v/>
      </c>
      <c r="R772" t="str">
        <f t="shared" si="5"/>
        <v/>
      </c>
      <c r="T772" t="str">
        <f t="shared" si="7"/>
        <v/>
      </c>
      <c r="V772" t="str">
        <f t="shared" si="9"/>
        <v/>
      </c>
      <c r="X772" t="str">
        <f t="shared" si="11"/>
        <v/>
      </c>
      <c r="Z772" t="str">
        <f t="shared" si="13"/>
        <v/>
      </c>
      <c r="AB772" t="str">
        <f t="shared" si="15"/>
        <v/>
      </c>
      <c r="AD772" t="str">
        <f t="shared" si="17"/>
        <v/>
      </c>
      <c r="AF772" t="str">
        <f t="shared" si="19"/>
        <v/>
      </c>
      <c r="AH772" t="str">
        <f t="shared" si="21"/>
        <v/>
      </c>
      <c r="AJ772" t="str">
        <f t="shared" si="23"/>
        <v/>
      </c>
    </row>
    <row r="773">
      <c r="P773" t="str">
        <f t="shared" si="3"/>
        <v/>
      </c>
      <c r="R773" t="str">
        <f t="shared" si="5"/>
        <v/>
      </c>
      <c r="T773" t="str">
        <f t="shared" si="7"/>
        <v/>
      </c>
      <c r="V773" t="str">
        <f t="shared" si="9"/>
        <v/>
      </c>
      <c r="X773" t="str">
        <f t="shared" si="11"/>
        <v/>
      </c>
      <c r="Z773" t="str">
        <f t="shared" si="13"/>
        <v/>
      </c>
      <c r="AB773" t="str">
        <f t="shared" si="15"/>
        <v/>
      </c>
      <c r="AD773" t="str">
        <f t="shared" si="17"/>
        <v/>
      </c>
      <c r="AF773" t="str">
        <f t="shared" si="19"/>
        <v/>
      </c>
      <c r="AH773" t="str">
        <f t="shared" si="21"/>
        <v/>
      </c>
      <c r="AJ773" t="str">
        <f t="shared" si="23"/>
        <v/>
      </c>
    </row>
    <row r="774">
      <c r="P774" t="str">
        <f t="shared" si="3"/>
        <v/>
      </c>
      <c r="R774" t="str">
        <f t="shared" si="5"/>
        <v/>
      </c>
      <c r="T774" t="str">
        <f t="shared" si="7"/>
        <v/>
      </c>
      <c r="V774" t="str">
        <f t="shared" si="9"/>
        <v/>
      </c>
      <c r="X774" t="str">
        <f t="shared" si="11"/>
        <v/>
      </c>
      <c r="Z774" t="str">
        <f t="shared" si="13"/>
        <v/>
      </c>
      <c r="AB774" t="str">
        <f t="shared" si="15"/>
        <v/>
      </c>
      <c r="AD774" t="str">
        <f t="shared" si="17"/>
        <v/>
      </c>
      <c r="AF774" t="str">
        <f t="shared" si="19"/>
        <v/>
      </c>
      <c r="AH774" t="str">
        <f t="shared" si="21"/>
        <v/>
      </c>
      <c r="AJ774" t="str">
        <f t="shared" si="23"/>
        <v/>
      </c>
    </row>
    <row r="775">
      <c r="P775" t="str">
        <f t="shared" si="3"/>
        <v/>
      </c>
      <c r="R775" t="str">
        <f t="shared" si="5"/>
        <v/>
      </c>
      <c r="T775" t="str">
        <f t="shared" si="7"/>
        <v/>
      </c>
      <c r="V775" t="str">
        <f t="shared" si="9"/>
        <v/>
      </c>
      <c r="X775" t="str">
        <f t="shared" si="11"/>
        <v/>
      </c>
      <c r="Z775" t="str">
        <f t="shared" si="13"/>
        <v/>
      </c>
      <c r="AB775" t="str">
        <f t="shared" si="15"/>
        <v/>
      </c>
      <c r="AD775" t="str">
        <f t="shared" si="17"/>
        <v/>
      </c>
      <c r="AF775" t="str">
        <f t="shared" si="19"/>
        <v/>
      </c>
      <c r="AH775" t="str">
        <f t="shared" si="21"/>
        <v/>
      </c>
      <c r="AJ775" t="str">
        <f t="shared" si="23"/>
        <v/>
      </c>
    </row>
    <row r="776">
      <c r="P776" t="str">
        <f t="shared" si="3"/>
        <v/>
      </c>
      <c r="R776" t="str">
        <f t="shared" si="5"/>
        <v/>
      </c>
      <c r="T776" t="str">
        <f t="shared" si="7"/>
        <v/>
      </c>
      <c r="V776" t="str">
        <f t="shared" si="9"/>
        <v/>
      </c>
      <c r="X776" t="str">
        <f t="shared" si="11"/>
        <v/>
      </c>
      <c r="Z776" t="str">
        <f t="shared" si="13"/>
        <v/>
      </c>
      <c r="AB776" t="str">
        <f t="shared" si="15"/>
        <v/>
      </c>
      <c r="AD776" t="str">
        <f t="shared" si="17"/>
        <v/>
      </c>
      <c r="AF776" t="str">
        <f t="shared" si="19"/>
        <v/>
      </c>
      <c r="AH776" t="str">
        <f t="shared" si="21"/>
        <v/>
      </c>
      <c r="AJ776" t="str">
        <f t="shared" si="23"/>
        <v/>
      </c>
    </row>
    <row r="777">
      <c r="P777" t="str">
        <f t="shared" si="3"/>
        <v/>
      </c>
      <c r="R777" t="str">
        <f t="shared" si="5"/>
        <v/>
      </c>
      <c r="T777" t="str">
        <f t="shared" si="7"/>
        <v/>
      </c>
      <c r="V777" t="str">
        <f t="shared" si="9"/>
        <v/>
      </c>
      <c r="X777" t="str">
        <f t="shared" si="11"/>
        <v/>
      </c>
      <c r="Z777" t="str">
        <f t="shared" si="13"/>
        <v/>
      </c>
      <c r="AB777" t="str">
        <f t="shared" si="15"/>
        <v/>
      </c>
      <c r="AD777" t="str">
        <f t="shared" si="17"/>
        <v/>
      </c>
      <c r="AF777" t="str">
        <f t="shared" si="19"/>
        <v/>
      </c>
      <c r="AH777" t="str">
        <f t="shared" si="21"/>
        <v/>
      </c>
      <c r="AJ777" t="str">
        <f t="shared" si="23"/>
        <v/>
      </c>
    </row>
    <row r="778">
      <c r="P778" t="str">
        <f t="shared" si="3"/>
        <v/>
      </c>
      <c r="R778" t="str">
        <f t="shared" si="5"/>
        <v/>
      </c>
      <c r="T778" t="str">
        <f t="shared" si="7"/>
        <v/>
      </c>
      <c r="V778" t="str">
        <f t="shared" si="9"/>
        <v/>
      </c>
      <c r="X778" t="str">
        <f t="shared" si="11"/>
        <v/>
      </c>
      <c r="Z778" t="str">
        <f t="shared" si="13"/>
        <v/>
      </c>
      <c r="AB778" t="str">
        <f t="shared" si="15"/>
        <v/>
      </c>
      <c r="AD778" t="str">
        <f t="shared" si="17"/>
        <v/>
      </c>
      <c r="AF778" t="str">
        <f t="shared" si="19"/>
        <v/>
      </c>
      <c r="AH778" t="str">
        <f t="shared" si="21"/>
        <v/>
      </c>
      <c r="AJ778" t="str">
        <f t="shared" si="23"/>
        <v/>
      </c>
    </row>
    <row r="779">
      <c r="P779" t="str">
        <f t="shared" si="3"/>
        <v/>
      </c>
      <c r="R779" t="str">
        <f t="shared" si="5"/>
        <v/>
      </c>
      <c r="T779" t="str">
        <f t="shared" si="7"/>
        <v/>
      </c>
      <c r="V779" t="str">
        <f t="shared" si="9"/>
        <v/>
      </c>
      <c r="X779" t="str">
        <f t="shared" si="11"/>
        <v/>
      </c>
      <c r="Z779" t="str">
        <f t="shared" si="13"/>
        <v/>
      </c>
      <c r="AB779" t="str">
        <f t="shared" si="15"/>
        <v/>
      </c>
      <c r="AD779" t="str">
        <f t="shared" si="17"/>
        <v/>
      </c>
      <c r="AF779" t="str">
        <f t="shared" si="19"/>
        <v/>
      </c>
      <c r="AH779" t="str">
        <f t="shared" si="21"/>
        <v/>
      </c>
      <c r="AJ779" t="str">
        <f t="shared" si="23"/>
        <v/>
      </c>
    </row>
    <row r="780">
      <c r="P780" t="str">
        <f t="shared" si="3"/>
        <v/>
      </c>
      <c r="R780" t="str">
        <f t="shared" si="5"/>
        <v/>
      </c>
      <c r="T780" t="str">
        <f t="shared" si="7"/>
        <v/>
      </c>
      <c r="V780" t="str">
        <f t="shared" si="9"/>
        <v/>
      </c>
      <c r="X780" t="str">
        <f t="shared" si="11"/>
        <v/>
      </c>
      <c r="Z780" t="str">
        <f t="shared" si="13"/>
        <v/>
      </c>
      <c r="AB780" t="str">
        <f t="shared" si="15"/>
        <v/>
      </c>
      <c r="AD780" t="str">
        <f t="shared" si="17"/>
        <v/>
      </c>
      <c r="AF780" t="str">
        <f t="shared" si="19"/>
        <v/>
      </c>
      <c r="AH780" t="str">
        <f t="shared" si="21"/>
        <v/>
      </c>
      <c r="AJ780" t="str">
        <f t="shared" si="23"/>
        <v/>
      </c>
    </row>
    <row r="781">
      <c r="P781" t="str">
        <f t="shared" si="3"/>
        <v/>
      </c>
      <c r="R781" t="str">
        <f t="shared" si="5"/>
        <v/>
      </c>
      <c r="T781" t="str">
        <f t="shared" si="7"/>
        <v/>
      </c>
      <c r="V781" t="str">
        <f t="shared" si="9"/>
        <v/>
      </c>
      <c r="X781" t="str">
        <f t="shared" si="11"/>
        <v/>
      </c>
      <c r="Z781" t="str">
        <f t="shared" si="13"/>
        <v/>
      </c>
      <c r="AB781" t="str">
        <f t="shared" si="15"/>
        <v/>
      </c>
      <c r="AD781" t="str">
        <f t="shared" si="17"/>
        <v/>
      </c>
      <c r="AF781" t="str">
        <f t="shared" si="19"/>
        <v/>
      </c>
      <c r="AH781" t="str">
        <f t="shared" si="21"/>
        <v/>
      </c>
      <c r="AJ781" t="str">
        <f t="shared" si="23"/>
        <v/>
      </c>
    </row>
    <row r="782">
      <c r="P782" t="str">
        <f t="shared" si="3"/>
        <v/>
      </c>
      <c r="R782" t="str">
        <f t="shared" si="5"/>
        <v/>
      </c>
      <c r="T782" t="str">
        <f t="shared" si="7"/>
        <v/>
      </c>
      <c r="V782" t="str">
        <f t="shared" si="9"/>
        <v/>
      </c>
      <c r="X782" t="str">
        <f t="shared" si="11"/>
        <v/>
      </c>
      <c r="Z782" t="str">
        <f t="shared" si="13"/>
        <v/>
      </c>
      <c r="AB782" t="str">
        <f t="shared" si="15"/>
        <v/>
      </c>
      <c r="AD782" t="str">
        <f t="shared" si="17"/>
        <v/>
      </c>
      <c r="AF782" t="str">
        <f t="shared" si="19"/>
        <v/>
      </c>
      <c r="AH782" t="str">
        <f t="shared" si="21"/>
        <v/>
      </c>
      <c r="AJ782" t="str">
        <f t="shared" si="23"/>
        <v/>
      </c>
    </row>
    <row r="783">
      <c r="P783" t="str">
        <f t="shared" si="3"/>
        <v/>
      </c>
      <c r="R783" t="str">
        <f t="shared" si="5"/>
        <v/>
      </c>
      <c r="T783" t="str">
        <f t="shared" si="7"/>
        <v/>
      </c>
      <c r="V783" t="str">
        <f t="shared" si="9"/>
        <v/>
      </c>
      <c r="X783" t="str">
        <f t="shared" si="11"/>
        <v/>
      </c>
      <c r="Z783" t="str">
        <f t="shared" si="13"/>
        <v/>
      </c>
      <c r="AB783" t="str">
        <f t="shared" si="15"/>
        <v/>
      </c>
      <c r="AD783" t="str">
        <f t="shared" si="17"/>
        <v/>
      </c>
      <c r="AF783" t="str">
        <f t="shared" si="19"/>
        <v/>
      </c>
      <c r="AH783" t="str">
        <f t="shared" si="21"/>
        <v/>
      </c>
      <c r="AJ783" t="str">
        <f t="shared" si="23"/>
        <v/>
      </c>
    </row>
    <row r="784">
      <c r="P784" t="str">
        <f t="shared" si="3"/>
        <v/>
      </c>
      <c r="R784" t="str">
        <f t="shared" si="5"/>
        <v/>
      </c>
      <c r="T784" t="str">
        <f t="shared" si="7"/>
        <v/>
      </c>
      <c r="V784" t="str">
        <f t="shared" si="9"/>
        <v/>
      </c>
      <c r="X784" t="str">
        <f t="shared" si="11"/>
        <v/>
      </c>
      <c r="Z784" t="str">
        <f t="shared" si="13"/>
        <v/>
      </c>
      <c r="AB784" t="str">
        <f t="shared" si="15"/>
        <v/>
      </c>
      <c r="AD784" t="str">
        <f t="shared" si="17"/>
        <v/>
      </c>
      <c r="AF784" t="str">
        <f t="shared" si="19"/>
        <v/>
      </c>
      <c r="AH784" t="str">
        <f t="shared" si="21"/>
        <v/>
      </c>
      <c r="AJ784" t="str">
        <f t="shared" si="23"/>
        <v/>
      </c>
    </row>
    <row r="785">
      <c r="P785" t="str">
        <f t="shared" si="3"/>
        <v/>
      </c>
      <c r="R785" t="str">
        <f t="shared" si="5"/>
        <v/>
      </c>
      <c r="T785" t="str">
        <f t="shared" si="7"/>
        <v/>
      </c>
      <c r="V785" t="str">
        <f t="shared" si="9"/>
        <v/>
      </c>
      <c r="X785" t="str">
        <f t="shared" si="11"/>
        <v/>
      </c>
      <c r="Z785" t="str">
        <f t="shared" si="13"/>
        <v/>
      </c>
      <c r="AB785" t="str">
        <f t="shared" si="15"/>
        <v/>
      </c>
      <c r="AD785" t="str">
        <f t="shared" si="17"/>
        <v/>
      </c>
      <c r="AF785" t="str">
        <f t="shared" si="19"/>
        <v/>
      </c>
      <c r="AH785" t="str">
        <f t="shared" si="21"/>
        <v/>
      </c>
      <c r="AJ785" t="str">
        <f t="shared" si="23"/>
        <v/>
      </c>
    </row>
    <row r="786">
      <c r="P786" t="str">
        <f t="shared" si="3"/>
        <v/>
      </c>
      <c r="R786" t="str">
        <f t="shared" si="5"/>
        <v/>
      </c>
      <c r="T786" t="str">
        <f t="shared" si="7"/>
        <v/>
      </c>
      <c r="V786" t="str">
        <f t="shared" si="9"/>
        <v/>
      </c>
      <c r="X786" t="str">
        <f t="shared" si="11"/>
        <v/>
      </c>
      <c r="Z786" t="str">
        <f t="shared" si="13"/>
        <v/>
      </c>
      <c r="AB786" t="str">
        <f t="shared" si="15"/>
        <v/>
      </c>
      <c r="AD786" t="str">
        <f t="shared" si="17"/>
        <v/>
      </c>
      <c r="AF786" t="str">
        <f t="shared" si="19"/>
        <v/>
      </c>
      <c r="AH786" t="str">
        <f t="shared" si="21"/>
        <v/>
      </c>
      <c r="AJ786" t="str">
        <f t="shared" si="23"/>
        <v/>
      </c>
    </row>
    <row r="787">
      <c r="P787" t="str">
        <f t="shared" si="3"/>
        <v/>
      </c>
      <c r="R787" t="str">
        <f t="shared" si="5"/>
        <v/>
      </c>
      <c r="T787" t="str">
        <f t="shared" si="7"/>
        <v/>
      </c>
      <c r="V787" t="str">
        <f t="shared" si="9"/>
        <v/>
      </c>
      <c r="X787" t="str">
        <f t="shared" si="11"/>
        <v/>
      </c>
      <c r="Z787" t="str">
        <f t="shared" si="13"/>
        <v/>
      </c>
      <c r="AB787" t="str">
        <f t="shared" si="15"/>
        <v/>
      </c>
      <c r="AD787" t="str">
        <f t="shared" si="17"/>
        <v/>
      </c>
      <c r="AF787" t="str">
        <f t="shared" si="19"/>
        <v/>
      </c>
      <c r="AH787" t="str">
        <f t="shared" si="21"/>
        <v/>
      </c>
      <c r="AJ787" t="str">
        <f t="shared" si="23"/>
        <v/>
      </c>
    </row>
    <row r="788">
      <c r="P788" t="str">
        <f t="shared" si="3"/>
        <v/>
      </c>
      <c r="R788" t="str">
        <f t="shared" si="5"/>
        <v/>
      </c>
      <c r="T788" t="str">
        <f t="shared" si="7"/>
        <v/>
      </c>
      <c r="V788" t="str">
        <f t="shared" si="9"/>
        <v/>
      </c>
      <c r="X788" t="str">
        <f t="shared" si="11"/>
        <v/>
      </c>
      <c r="Z788" t="str">
        <f t="shared" si="13"/>
        <v/>
      </c>
      <c r="AB788" t="str">
        <f t="shared" si="15"/>
        <v/>
      </c>
      <c r="AD788" t="str">
        <f t="shared" si="17"/>
        <v/>
      </c>
      <c r="AF788" t="str">
        <f t="shared" si="19"/>
        <v/>
      </c>
      <c r="AH788" t="str">
        <f t="shared" si="21"/>
        <v/>
      </c>
      <c r="AJ788" t="str">
        <f t="shared" si="23"/>
        <v/>
      </c>
    </row>
    <row r="789">
      <c r="P789" t="str">
        <f t="shared" si="3"/>
        <v/>
      </c>
      <c r="R789" t="str">
        <f t="shared" si="5"/>
        <v/>
      </c>
      <c r="T789" t="str">
        <f t="shared" si="7"/>
        <v/>
      </c>
      <c r="V789" t="str">
        <f t="shared" si="9"/>
        <v/>
      </c>
      <c r="X789" t="str">
        <f t="shared" si="11"/>
        <v/>
      </c>
      <c r="Z789" t="str">
        <f t="shared" si="13"/>
        <v/>
      </c>
      <c r="AB789" t="str">
        <f t="shared" si="15"/>
        <v/>
      </c>
      <c r="AD789" t="str">
        <f t="shared" si="17"/>
        <v/>
      </c>
      <c r="AF789" t="str">
        <f t="shared" si="19"/>
        <v/>
      </c>
      <c r="AH789" t="str">
        <f t="shared" si="21"/>
        <v/>
      </c>
      <c r="AJ789" t="str">
        <f t="shared" si="23"/>
        <v/>
      </c>
    </row>
    <row r="790">
      <c r="P790" t="str">
        <f t="shared" si="3"/>
        <v/>
      </c>
      <c r="R790" t="str">
        <f t="shared" si="5"/>
        <v/>
      </c>
      <c r="T790" t="str">
        <f t="shared" si="7"/>
        <v/>
      </c>
      <c r="V790" t="str">
        <f t="shared" si="9"/>
        <v/>
      </c>
      <c r="X790" t="str">
        <f t="shared" si="11"/>
        <v/>
      </c>
      <c r="Z790" t="str">
        <f t="shared" si="13"/>
        <v/>
      </c>
      <c r="AB790" t="str">
        <f t="shared" si="15"/>
        <v/>
      </c>
      <c r="AD790" t="str">
        <f t="shared" si="17"/>
        <v/>
      </c>
      <c r="AF790" t="str">
        <f t="shared" si="19"/>
        <v/>
      </c>
      <c r="AH790" t="str">
        <f t="shared" si="21"/>
        <v/>
      </c>
      <c r="AJ790" t="str">
        <f t="shared" si="23"/>
        <v/>
      </c>
    </row>
    <row r="791">
      <c r="P791" t="str">
        <f t="shared" si="3"/>
        <v/>
      </c>
      <c r="R791" t="str">
        <f t="shared" si="5"/>
        <v/>
      </c>
      <c r="T791" t="str">
        <f t="shared" si="7"/>
        <v/>
      </c>
      <c r="V791" t="str">
        <f t="shared" si="9"/>
        <v/>
      </c>
      <c r="X791" t="str">
        <f t="shared" si="11"/>
        <v/>
      </c>
      <c r="Z791" t="str">
        <f t="shared" si="13"/>
        <v/>
      </c>
      <c r="AB791" t="str">
        <f t="shared" si="15"/>
        <v/>
      </c>
      <c r="AD791" t="str">
        <f t="shared" si="17"/>
        <v/>
      </c>
      <c r="AF791" t="str">
        <f t="shared" si="19"/>
        <v/>
      </c>
      <c r="AH791" t="str">
        <f t="shared" si="21"/>
        <v/>
      </c>
      <c r="AJ791" t="str">
        <f t="shared" si="23"/>
        <v/>
      </c>
    </row>
    <row r="792">
      <c r="P792" t="str">
        <f t="shared" si="3"/>
        <v/>
      </c>
      <c r="R792" t="str">
        <f t="shared" si="5"/>
        <v/>
      </c>
      <c r="T792" t="str">
        <f t="shared" si="7"/>
        <v/>
      </c>
      <c r="V792" t="str">
        <f t="shared" si="9"/>
        <v/>
      </c>
      <c r="X792" t="str">
        <f t="shared" si="11"/>
        <v/>
      </c>
      <c r="Z792" t="str">
        <f t="shared" si="13"/>
        <v/>
      </c>
      <c r="AB792" t="str">
        <f t="shared" si="15"/>
        <v/>
      </c>
      <c r="AD792" t="str">
        <f t="shared" si="17"/>
        <v/>
      </c>
      <c r="AF792" t="str">
        <f t="shared" si="19"/>
        <v/>
      </c>
      <c r="AH792" t="str">
        <f t="shared" si="21"/>
        <v/>
      </c>
      <c r="AJ792" t="str">
        <f t="shared" si="23"/>
        <v/>
      </c>
    </row>
    <row r="793">
      <c r="P793" t="str">
        <f t="shared" si="3"/>
        <v/>
      </c>
      <c r="R793" t="str">
        <f t="shared" si="5"/>
        <v/>
      </c>
      <c r="T793" t="str">
        <f t="shared" si="7"/>
        <v/>
      </c>
      <c r="V793" t="str">
        <f t="shared" si="9"/>
        <v/>
      </c>
      <c r="X793" t="str">
        <f t="shared" si="11"/>
        <v/>
      </c>
      <c r="Z793" t="str">
        <f t="shared" si="13"/>
        <v/>
      </c>
      <c r="AB793" t="str">
        <f t="shared" si="15"/>
        <v/>
      </c>
      <c r="AD793" t="str">
        <f t="shared" si="17"/>
        <v/>
      </c>
      <c r="AF793" t="str">
        <f t="shared" si="19"/>
        <v/>
      </c>
      <c r="AH793" t="str">
        <f t="shared" si="21"/>
        <v/>
      </c>
      <c r="AJ793" t="str">
        <f t="shared" si="23"/>
        <v/>
      </c>
    </row>
    <row r="794">
      <c r="P794" t="str">
        <f t="shared" si="3"/>
        <v/>
      </c>
      <c r="R794" t="str">
        <f t="shared" si="5"/>
        <v/>
      </c>
      <c r="T794" t="str">
        <f t="shared" si="7"/>
        <v/>
      </c>
      <c r="V794" t="str">
        <f t="shared" si="9"/>
        <v/>
      </c>
      <c r="X794" t="str">
        <f t="shared" si="11"/>
        <v/>
      </c>
      <c r="Z794" t="str">
        <f t="shared" si="13"/>
        <v/>
      </c>
      <c r="AB794" t="str">
        <f t="shared" si="15"/>
        <v/>
      </c>
      <c r="AD794" t="str">
        <f t="shared" si="17"/>
        <v/>
      </c>
      <c r="AF794" t="str">
        <f t="shared" si="19"/>
        <v/>
      </c>
      <c r="AH794" t="str">
        <f t="shared" si="21"/>
        <v/>
      </c>
      <c r="AJ794" t="str">
        <f t="shared" si="23"/>
        <v/>
      </c>
    </row>
    <row r="795">
      <c r="P795" t="str">
        <f t="shared" si="3"/>
        <v/>
      </c>
      <c r="R795" t="str">
        <f t="shared" si="5"/>
        <v/>
      </c>
      <c r="T795" t="str">
        <f t="shared" si="7"/>
        <v/>
      </c>
      <c r="V795" t="str">
        <f t="shared" si="9"/>
        <v/>
      </c>
      <c r="X795" t="str">
        <f t="shared" si="11"/>
        <v/>
      </c>
      <c r="Z795" t="str">
        <f t="shared" si="13"/>
        <v/>
      </c>
      <c r="AB795" t="str">
        <f t="shared" si="15"/>
        <v/>
      </c>
      <c r="AD795" t="str">
        <f t="shared" si="17"/>
        <v/>
      </c>
      <c r="AF795" t="str">
        <f t="shared" si="19"/>
        <v/>
      </c>
      <c r="AH795" t="str">
        <f t="shared" si="21"/>
        <v/>
      </c>
      <c r="AJ795" t="str">
        <f t="shared" si="23"/>
        <v/>
      </c>
    </row>
    <row r="796">
      <c r="P796" t="str">
        <f t="shared" si="3"/>
        <v/>
      </c>
      <c r="R796" t="str">
        <f t="shared" si="5"/>
        <v/>
      </c>
      <c r="T796" t="str">
        <f t="shared" si="7"/>
        <v/>
      </c>
      <c r="V796" t="str">
        <f t="shared" si="9"/>
        <v/>
      </c>
      <c r="X796" t="str">
        <f t="shared" si="11"/>
        <v/>
      </c>
      <c r="Z796" t="str">
        <f t="shared" si="13"/>
        <v/>
      </c>
      <c r="AB796" t="str">
        <f t="shared" si="15"/>
        <v/>
      </c>
      <c r="AD796" t="str">
        <f t="shared" si="17"/>
        <v/>
      </c>
      <c r="AF796" t="str">
        <f t="shared" si="19"/>
        <v/>
      </c>
      <c r="AH796" t="str">
        <f t="shared" si="21"/>
        <v/>
      </c>
      <c r="AJ796" t="str">
        <f t="shared" si="23"/>
        <v/>
      </c>
    </row>
    <row r="797">
      <c r="P797" t="str">
        <f t="shared" si="3"/>
        <v/>
      </c>
      <c r="R797" t="str">
        <f t="shared" si="5"/>
        <v/>
      </c>
      <c r="T797" t="str">
        <f t="shared" si="7"/>
        <v/>
      </c>
      <c r="V797" t="str">
        <f t="shared" si="9"/>
        <v/>
      </c>
      <c r="X797" t="str">
        <f t="shared" si="11"/>
        <v/>
      </c>
      <c r="Z797" t="str">
        <f t="shared" si="13"/>
        <v/>
      </c>
      <c r="AB797" t="str">
        <f t="shared" si="15"/>
        <v/>
      </c>
      <c r="AD797" t="str">
        <f t="shared" si="17"/>
        <v/>
      </c>
      <c r="AF797" t="str">
        <f t="shared" si="19"/>
        <v/>
      </c>
      <c r="AH797" t="str">
        <f t="shared" si="21"/>
        <v/>
      </c>
      <c r="AJ797" t="str">
        <f t="shared" si="23"/>
        <v/>
      </c>
    </row>
    <row r="798">
      <c r="P798" t="str">
        <f t="shared" si="3"/>
        <v/>
      </c>
      <c r="R798" t="str">
        <f t="shared" si="5"/>
        <v/>
      </c>
      <c r="T798" t="str">
        <f t="shared" si="7"/>
        <v/>
      </c>
      <c r="V798" t="str">
        <f t="shared" si="9"/>
        <v/>
      </c>
      <c r="X798" t="str">
        <f t="shared" si="11"/>
        <v/>
      </c>
      <c r="Z798" t="str">
        <f t="shared" si="13"/>
        <v/>
      </c>
      <c r="AB798" t="str">
        <f t="shared" si="15"/>
        <v/>
      </c>
      <c r="AD798" t="str">
        <f t="shared" si="17"/>
        <v/>
      </c>
      <c r="AF798" t="str">
        <f t="shared" si="19"/>
        <v/>
      </c>
      <c r="AH798" t="str">
        <f t="shared" si="21"/>
        <v/>
      </c>
      <c r="AJ798" t="str">
        <f t="shared" si="23"/>
        <v/>
      </c>
    </row>
    <row r="799">
      <c r="P799" t="str">
        <f t="shared" si="3"/>
        <v/>
      </c>
      <c r="R799" t="str">
        <f t="shared" si="5"/>
        <v/>
      </c>
      <c r="T799" t="str">
        <f t="shared" si="7"/>
        <v/>
      </c>
      <c r="V799" t="str">
        <f t="shared" si="9"/>
        <v/>
      </c>
      <c r="X799" t="str">
        <f t="shared" si="11"/>
        <v/>
      </c>
      <c r="Z799" t="str">
        <f t="shared" si="13"/>
        <v/>
      </c>
      <c r="AB799" t="str">
        <f t="shared" si="15"/>
        <v/>
      </c>
      <c r="AD799" t="str">
        <f t="shared" si="17"/>
        <v/>
      </c>
      <c r="AF799" t="str">
        <f t="shared" si="19"/>
        <v/>
      </c>
      <c r="AH799" t="str">
        <f t="shared" si="21"/>
        <v/>
      </c>
      <c r="AJ799" t="str">
        <f t="shared" si="23"/>
        <v/>
      </c>
    </row>
    <row r="800">
      <c r="P800" t="str">
        <f t="shared" si="3"/>
        <v/>
      </c>
      <c r="R800" t="str">
        <f t="shared" si="5"/>
        <v/>
      </c>
      <c r="T800" t="str">
        <f t="shared" si="7"/>
        <v/>
      </c>
      <c r="V800" t="str">
        <f t="shared" si="9"/>
        <v/>
      </c>
      <c r="X800" t="str">
        <f t="shared" si="11"/>
        <v/>
      </c>
      <c r="Z800" t="str">
        <f t="shared" si="13"/>
        <v/>
      </c>
      <c r="AB800" t="str">
        <f t="shared" si="15"/>
        <v/>
      </c>
      <c r="AD800" t="str">
        <f t="shared" si="17"/>
        <v/>
      </c>
      <c r="AF800" t="str">
        <f t="shared" si="19"/>
        <v/>
      </c>
      <c r="AH800" t="str">
        <f t="shared" si="21"/>
        <v/>
      </c>
      <c r="AJ800" t="str">
        <f t="shared" si="23"/>
        <v/>
      </c>
    </row>
    <row r="801">
      <c r="P801" t="str">
        <f t="shared" si="3"/>
        <v/>
      </c>
      <c r="R801" t="str">
        <f t="shared" si="5"/>
        <v/>
      </c>
      <c r="T801" t="str">
        <f t="shared" si="7"/>
        <v/>
      </c>
      <c r="V801" t="str">
        <f t="shared" si="9"/>
        <v/>
      </c>
      <c r="X801" t="str">
        <f t="shared" si="11"/>
        <v/>
      </c>
      <c r="Z801" t="str">
        <f t="shared" si="13"/>
        <v/>
      </c>
      <c r="AB801" t="str">
        <f t="shared" si="15"/>
        <v/>
      </c>
      <c r="AD801" t="str">
        <f t="shared" si="17"/>
        <v/>
      </c>
      <c r="AF801" t="str">
        <f t="shared" si="19"/>
        <v/>
      </c>
      <c r="AH801" t="str">
        <f t="shared" si="21"/>
        <v/>
      </c>
      <c r="AJ801" t="str">
        <f t="shared" si="23"/>
        <v/>
      </c>
    </row>
    <row r="802">
      <c r="P802" t="str">
        <f t="shared" si="3"/>
        <v/>
      </c>
      <c r="R802" t="str">
        <f t="shared" si="5"/>
        <v/>
      </c>
      <c r="T802" t="str">
        <f t="shared" si="7"/>
        <v/>
      </c>
      <c r="V802" t="str">
        <f t="shared" si="9"/>
        <v/>
      </c>
      <c r="X802" t="str">
        <f t="shared" si="11"/>
        <v/>
      </c>
      <c r="Z802" t="str">
        <f t="shared" si="13"/>
        <v/>
      </c>
      <c r="AB802" t="str">
        <f t="shared" si="15"/>
        <v/>
      </c>
      <c r="AD802" t="str">
        <f t="shared" si="17"/>
        <v/>
      </c>
      <c r="AF802" t="str">
        <f t="shared" si="19"/>
        <v/>
      </c>
      <c r="AH802" t="str">
        <f t="shared" si="21"/>
        <v/>
      </c>
      <c r="AJ802" t="str">
        <f t="shared" si="23"/>
        <v/>
      </c>
    </row>
    <row r="803">
      <c r="P803" t="str">
        <f t="shared" si="3"/>
        <v/>
      </c>
      <c r="R803" t="str">
        <f t="shared" si="5"/>
        <v/>
      </c>
      <c r="T803" t="str">
        <f t="shared" si="7"/>
        <v/>
      </c>
      <c r="V803" t="str">
        <f t="shared" si="9"/>
        <v/>
      </c>
      <c r="X803" t="str">
        <f t="shared" si="11"/>
        <v/>
      </c>
      <c r="Z803" t="str">
        <f t="shared" si="13"/>
        <v/>
      </c>
      <c r="AB803" t="str">
        <f t="shared" si="15"/>
        <v/>
      </c>
      <c r="AD803" t="str">
        <f t="shared" si="17"/>
        <v/>
      </c>
      <c r="AF803" t="str">
        <f t="shared" si="19"/>
        <v/>
      </c>
      <c r="AH803" t="str">
        <f t="shared" si="21"/>
        <v/>
      </c>
      <c r="AJ803" t="str">
        <f t="shared" si="23"/>
        <v/>
      </c>
    </row>
    <row r="804">
      <c r="P804" t="str">
        <f t="shared" si="3"/>
        <v/>
      </c>
      <c r="R804" t="str">
        <f t="shared" si="5"/>
        <v/>
      </c>
      <c r="T804" t="str">
        <f t="shared" si="7"/>
        <v/>
      </c>
      <c r="V804" t="str">
        <f t="shared" si="9"/>
        <v/>
      </c>
      <c r="X804" t="str">
        <f t="shared" si="11"/>
        <v/>
      </c>
      <c r="Z804" t="str">
        <f t="shared" si="13"/>
        <v/>
      </c>
      <c r="AB804" t="str">
        <f t="shared" si="15"/>
        <v/>
      </c>
      <c r="AD804" t="str">
        <f t="shared" si="17"/>
        <v/>
      </c>
      <c r="AF804" t="str">
        <f t="shared" si="19"/>
        <v/>
      </c>
      <c r="AH804" t="str">
        <f t="shared" si="21"/>
        <v/>
      </c>
      <c r="AJ804" t="str">
        <f t="shared" si="23"/>
        <v/>
      </c>
    </row>
    <row r="805">
      <c r="P805" t="str">
        <f t="shared" si="3"/>
        <v/>
      </c>
      <c r="R805" t="str">
        <f t="shared" si="5"/>
        <v/>
      </c>
      <c r="T805" t="str">
        <f t="shared" si="7"/>
        <v/>
      </c>
      <c r="V805" t="str">
        <f t="shared" si="9"/>
        <v/>
      </c>
      <c r="X805" t="str">
        <f t="shared" si="11"/>
        <v/>
      </c>
      <c r="Z805" t="str">
        <f t="shared" si="13"/>
        <v/>
      </c>
      <c r="AB805" t="str">
        <f t="shared" si="15"/>
        <v/>
      </c>
      <c r="AD805" t="str">
        <f t="shared" si="17"/>
        <v/>
      </c>
      <c r="AF805" t="str">
        <f t="shared" si="19"/>
        <v/>
      </c>
      <c r="AH805" t="str">
        <f t="shared" si="21"/>
        <v/>
      </c>
      <c r="AJ805" t="str">
        <f t="shared" si="23"/>
        <v/>
      </c>
    </row>
    <row r="806">
      <c r="P806" t="str">
        <f t="shared" si="3"/>
        <v/>
      </c>
      <c r="R806" t="str">
        <f t="shared" si="5"/>
        <v/>
      </c>
      <c r="T806" t="str">
        <f t="shared" si="7"/>
        <v/>
      </c>
      <c r="V806" t="str">
        <f t="shared" si="9"/>
        <v/>
      </c>
      <c r="X806" t="str">
        <f t="shared" si="11"/>
        <v/>
      </c>
      <c r="Z806" t="str">
        <f t="shared" si="13"/>
        <v/>
      </c>
      <c r="AB806" t="str">
        <f t="shared" si="15"/>
        <v/>
      </c>
      <c r="AD806" t="str">
        <f t="shared" si="17"/>
        <v/>
      </c>
      <c r="AF806" t="str">
        <f t="shared" si="19"/>
        <v/>
      </c>
      <c r="AH806" t="str">
        <f t="shared" si="21"/>
        <v/>
      </c>
      <c r="AJ806" t="str">
        <f t="shared" si="23"/>
        <v/>
      </c>
    </row>
    <row r="807">
      <c r="P807" t="str">
        <f t="shared" si="3"/>
        <v/>
      </c>
      <c r="R807" t="str">
        <f t="shared" si="5"/>
        <v/>
      </c>
      <c r="T807" t="str">
        <f t="shared" si="7"/>
        <v/>
      </c>
      <c r="V807" t="str">
        <f t="shared" si="9"/>
        <v/>
      </c>
      <c r="X807" t="str">
        <f t="shared" si="11"/>
        <v/>
      </c>
      <c r="Z807" t="str">
        <f t="shared" si="13"/>
        <v/>
      </c>
      <c r="AB807" t="str">
        <f t="shared" si="15"/>
        <v/>
      </c>
      <c r="AD807" t="str">
        <f t="shared" si="17"/>
        <v/>
      </c>
      <c r="AF807" t="str">
        <f t="shared" si="19"/>
        <v/>
      </c>
      <c r="AH807" t="str">
        <f t="shared" si="21"/>
        <v/>
      </c>
      <c r="AJ807" t="str">
        <f t="shared" si="23"/>
        <v/>
      </c>
    </row>
    <row r="808">
      <c r="P808" t="str">
        <f t="shared" si="3"/>
        <v/>
      </c>
      <c r="R808" t="str">
        <f t="shared" si="5"/>
        <v/>
      </c>
      <c r="T808" t="str">
        <f t="shared" si="7"/>
        <v/>
      </c>
      <c r="V808" t="str">
        <f t="shared" si="9"/>
        <v/>
      </c>
      <c r="X808" t="str">
        <f t="shared" si="11"/>
        <v/>
      </c>
      <c r="Z808" t="str">
        <f t="shared" si="13"/>
        <v/>
      </c>
      <c r="AB808" t="str">
        <f t="shared" si="15"/>
        <v/>
      </c>
      <c r="AD808" t="str">
        <f t="shared" si="17"/>
        <v/>
      </c>
      <c r="AF808" t="str">
        <f t="shared" si="19"/>
        <v/>
      </c>
      <c r="AH808" t="str">
        <f t="shared" si="21"/>
        <v/>
      </c>
      <c r="AJ808" t="str">
        <f t="shared" si="23"/>
        <v/>
      </c>
    </row>
    <row r="809">
      <c r="P809" t="str">
        <f t="shared" si="3"/>
        <v/>
      </c>
      <c r="R809" t="str">
        <f t="shared" si="5"/>
        <v/>
      </c>
      <c r="T809" t="str">
        <f t="shared" si="7"/>
        <v/>
      </c>
      <c r="V809" t="str">
        <f t="shared" si="9"/>
        <v/>
      </c>
      <c r="X809" t="str">
        <f t="shared" si="11"/>
        <v/>
      </c>
      <c r="Z809" t="str">
        <f t="shared" si="13"/>
        <v/>
      </c>
      <c r="AB809" t="str">
        <f t="shared" si="15"/>
        <v/>
      </c>
      <c r="AD809" t="str">
        <f t="shared" si="17"/>
        <v/>
      </c>
      <c r="AF809" t="str">
        <f t="shared" si="19"/>
        <v/>
      </c>
      <c r="AH809" t="str">
        <f t="shared" si="21"/>
        <v/>
      </c>
      <c r="AJ809" t="str">
        <f t="shared" si="23"/>
        <v/>
      </c>
    </row>
    <row r="810">
      <c r="P810" t="str">
        <f t="shared" si="3"/>
        <v/>
      </c>
      <c r="R810" t="str">
        <f t="shared" si="5"/>
        <v/>
      </c>
      <c r="T810" t="str">
        <f t="shared" si="7"/>
        <v/>
      </c>
      <c r="V810" t="str">
        <f t="shared" si="9"/>
        <v/>
      </c>
      <c r="X810" t="str">
        <f t="shared" si="11"/>
        <v/>
      </c>
      <c r="Z810" t="str">
        <f t="shared" si="13"/>
        <v/>
      </c>
      <c r="AB810" t="str">
        <f t="shared" si="15"/>
        <v/>
      </c>
      <c r="AD810" t="str">
        <f t="shared" si="17"/>
        <v/>
      </c>
      <c r="AF810" t="str">
        <f t="shared" si="19"/>
        <v/>
      </c>
      <c r="AH810" t="str">
        <f t="shared" si="21"/>
        <v/>
      </c>
      <c r="AJ810" t="str">
        <f t="shared" si="23"/>
        <v/>
      </c>
    </row>
    <row r="811">
      <c r="P811" t="str">
        <f t="shared" si="3"/>
        <v/>
      </c>
      <c r="R811" t="str">
        <f t="shared" si="5"/>
        <v/>
      </c>
      <c r="T811" t="str">
        <f t="shared" si="7"/>
        <v/>
      </c>
      <c r="V811" t="str">
        <f t="shared" si="9"/>
        <v/>
      </c>
      <c r="X811" t="str">
        <f t="shared" si="11"/>
        <v/>
      </c>
      <c r="Z811" t="str">
        <f t="shared" si="13"/>
        <v/>
      </c>
      <c r="AB811" t="str">
        <f t="shared" si="15"/>
        <v/>
      </c>
      <c r="AD811" t="str">
        <f t="shared" si="17"/>
        <v/>
      </c>
      <c r="AF811" t="str">
        <f t="shared" si="19"/>
        <v/>
      </c>
      <c r="AH811" t="str">
        <f t="shared" si="21"/>
        <v/>
      </c>
      <c r="AJ811" t="str">
        <f t="shared" si="23"/>
        <v/>
      </c>
    </row>
    <row r="812">
      <c r="P812" t="str">
        <f t="shared" si="3"/>
        <v/>
      </c>
      <c r="R812" t="str">
        <f t="shared" si="5"/>
        <v/>
      </c>
      <c r="T812" t="str">
        <f t="shared" si="7"/>
        <v/>
      </c>
      <c r="V812" t="str">
        <f t="shared" si="9"/>
        <v/>
      </c>
      <c r="X812" t="str">
        <f t="shared" si="11"/>
        <v/>
      </c>
      <c r="Z812" t="str">
        <f t="shared" si="13"/>
        <v/>
      </c>
      <c r="AB812" t="str">
        <f t="shared" si="15"/>
        <v/>
      </c>
      <c r="AD812" t="str">
        <f t="shared" si="17"/>
        <v/>
      </c>
      <c r="AF812" t="str">
        <f t="shared" si="19"/>
        <v/>
      </c>
      <c r="AH812" t="str">
        <f t="shared" si="21"/>
        <v/>
      </c>
      <c r="AJ812" t="str">
        <f t="shared" si="23"/>
        <v/>
      </c>
    </row>
    <row r="813">
      <c r="P813" t="str">
        <f t="shared" si="3"/>
        <v/>
      </c>
      <c r="R813" t="str">
        <f t="shared" si="5"/>
        <v/>
      </c>
      <c r="T813" t="str">
        <f t="shared" si="7"/>
        <v/>
      </c>
      <c r="V813" t="str">
        <f t="shared" si="9"/>
        <v/>
      </c>
      <c r="X813" t="str">
        <f t="shared" si="11"/>
        <v/>
      </c>
      <c r="Z813" t="str">
        <f t="shared" si="13"/>
        <v/>
      </c>
      <c r="AB813" t="str">
        <f t="shared" si="15"/>
        <v/>
      </c>
      <c r="AD813" t="str">
        <f t="shared" si="17"/>
        <v/>
      </c>
      <c r="AF813" t="str">
        <f t="shared" si="19"/>
        <v/>
      </c>
      <c r="AH813" t="str">
        <f t="shared" si="21"/>
        <v/>
      </c>
      <c r="AJ813" t="str">
        <f t="shared" si="23"/>
        <v/>
      </c>
    </row>
    <row r="814">
      <c r="P814" t="str">
        <f t="shared" si="3"/>
        <v/>
      </c>
      <c r="R814" t="str">
        <f t="shared" si="5"/>
        <v/>
      </c>
      <c r="T814" t="str">
        <f t="shared" si="7"/>
        <v/>
      </c>
      <c r="V814" t="str">
        <f t="shared" si="9"/>
        <v/>
      </c>
      <c r="X814" t="str">
        <f t="shared" si="11"/>
        <v/>
      </c>
      <c r="Z814" t="str">
        <f t="shared" si="13"/>
        <v/>
      </c>
      <c r="AB814" t="str">
        <f t="shared" si="15"/>
        <v/>
      </c>
      <c r="AD814" t="str">
        <f t="shared" si="17"/>
        <v/>
      </c>
      <c r="AF814" t="str">
        <f t="shared" si="19"/>
        <v/>
      </c>
      <c r="AH814" t="str">
        <f t="shared" si="21"/>
        <v/>
      </c>
      <c r="AJ814" t="str">
        <f t="shared" si="23"/>
        <v/>
      </c>
    </row>
    <row r="815">
      <c r="P815" t="str">
        <f t="shared" si="3"/>
        <v/>
      </c>
      <c r="R815" t="str">
        <f t="shared" si="5"/>
        <v/>
      </c>
      <c r="T815" t="str">
        <f t="shared" si="7"/>
        <v/>
      </c>
      <c r="V815" t="str">
        <f t="shared" si="9"/>
        <v/>
      </c>
      <c r="X815" t="str">
        <f t="shared" si="11"/>
        <v/>
      </c>
      <c r="Z815" t="str">
        <f t="shared" si="13"/>
        <v/>
      </c>
      <c r="AB815" t="str">
        <f t="shared" si="15"/>
        <v/>
      </c>
      <c r="AD815" t="str">
        <f t="shared" si="17"/>
        <v/>
      </c>
      <c r="AF815" t="str">
        <f t="shared" si="19"/>
        <v/>
      </c>
      <c r="AH815" t="str">
        <f t="shared" si="21"/>
        <v/>
      </c>
      <c r="AJ815" t="str">
        <f t="shared" si="23"/>
        <v/>
      </c>
    </row>
    <row r="816">
      <c r="P816" t="str">
        <f t="shared" si="3"/>
        <v/>
      </c>
      <c r="R816" t="str">
        <f t="shared" si="5"/>
        <v/>
      </c>
      <c r="T816" t="str">
        <f t="shared" si="7"/>
        <v/>
      </c>
      <c r="V816" t="str">
        <f t="shared" si="9"/>
        <v/>
      </c>
      <c r="X816" t="str">
        <f t="shared" si="11"/>
        <v/>
      </c>
      <c r="Z816" t="str">
        <f t="shared" si="13"/>
        <v/>
      </c>
      <c r="AB816" t="str">
        <f t="shared" si="15"/>
        <v/>
      </c>
      <c r="AD816" t="str">
        <f t="shared" si="17"/>
        <v/>
      </c>
      <c r="AF816" t="str">
        <f t="shared" si="19"/>
        <v/>
      </c>
      <c r="AH816" t="str">
        <f t="shared" si="21"/>
        <v/>
      </c>
      <c r="AJ816" t="str">
        <f t="shared" si="23"/>
        <v/>
      </c>
    </row>
    <row r="817">
      <c r="P817" t="str">
        <f t="shared" si="3"/>
        <v/>
      </c>
      <c r="R817" t="str">
        <f t="shared" si="5"/>
        <v/>
      </c>
      <c r="T817" t="str">
        <f t="shared" si="7"/>
        <v/>
      </c>
      <c r="V817" t="str">
        <f t="shared" si="9"/>
        <v/>
      </c>
      <c r="X817" t="str">
        <f t="shared" si="11"/>
        <v/>
      </c>
      <c r="Z817" t="str">
        <f t="shared" si="13"/>
        <v/>
      </c>
      <c r="AB817" t="str">
        <f t="shared" si="15"/>
        <v/>
      </c>
      <c r="AD817" t="str">
        <f t="shared" si="17"/>
        <v/>
      </c>
      <c r="AF817" t="str">
        <f t="shared" si="19"/>
        <v/>
      </c>
      <c r="AH817" t="str">
        <f t="shared" si="21"/>
        <v/>
      </c>
      <c r="AJ817" t="str">
        <f t="shared" si="23"/>
        <v/>
      </c>
    </row>
    <row r="818">
      <c r="P818" t="str">
        <f t="shared" si="3"/>
        <v/>
      </c>
      <c r="R818" t="str">
        <f t="shared" si="5"/>
        <v/>
      </c>
      <c r="T818" t="str">
        <f t="shared" si="7"/>
        <v/>
      </c>
      <c r="V818" t="str">
        <f t="shared" si="9"/>
        <v/>
      </c>
      <c r="X818" t="str">
        <f t="shared" si="11"/>
        <v/>
      </c>
      <c r="Z818" t="str">
        <f t="shared" si="13"/>
        <v/>
      </c>
      <c r="AB818" t="str">
        <f t="shared" si="15"/>
        <v/>
      </c>
      <c r="AD818" t="str">
        <f t="shared" si="17"/>
        <v/>
      </c>
      <c r="AF818" t="str">
        <f t="shared" si="19"/>
        <v/>
      </c>
      <c r="AH818" t="str">
        <f t="shared" si="21"/>
        <v/>
      </c>
      <c r="AJ818" t="str">
        <f t="shared" si="23"/>
        <v/>
      </c>
    </row>
    <row r="819">
      <c r="P819" t="str">
        <f t="shared" si="3"/>
        <v/>
      </c>
      <c r="R819" t="str">
        <f t="shared" si="5"/>
        <v/>
      </c>
      <c r="T819" t="str">
        <f t="shared" si="7"/>
        <v/>
      </c>
      <c r="V819" t="str">
        <f t="shared" si="9"/>
        <v/>
      </c>
      <c r="X819" t="str">
        <f t="shared" si="11"/>
        <v/>
      </c>
      <c r="Z819" t="str">
        <f t="shared" si="13"/>
        <v/>
      </c>
      <c r="AB819" t="str">
        <f t="shared" si="15"/>
        <v/>
      </c>
      <c r="AD819" t="str">
        <f t="shared" si="17"/>
        <v/>
      </c>
      <c r="AF819" t="str">
        <f t="shared" si="19"/>
        <v/>
      </c>
      <c r="AH819" t="str">
        <f t="shared" si="21"/>
        <v/>
      </c>
      <c r="AJ819" t="str">
        <f t="shared" si="23"/>
        <v/>
      </c>
    </row>
    <row r="820">
      <c r="P820" t="str">
        <f t="shared" si="3"/>
        <v/>
      </c>
      <c r="R820" t="str">
        <f t="shared" si="5"/>
        <v/>
      </c>
      <c r="T820" t="str">
        <f t="shared" si="7"/>
        <v/>
      </c>
      <c r="V820" t="str">
        <f t="shared" si="9"/>
        <v/>
      </c>
      <c r="X820" t="str">
        <f t="shared" si="11"/>
        <v/>
      </c>
      <c r="Z820" t="str">
        <f t="shared" si="13"/>
        <v/>
      </c>
      <c r="AB820" t="str">
        <f t="shared" si="15"/>
        <v/>
      </c>
      <c r="AD820" t="str">
        <f t="shared" si="17"/>
        <v/>
      </c>
      <c r="AF820" t="str">
        <f t="shared" si="19"/>
        <v/>
      </c>
      <c r="AH820" t="str">
        <f t="shared" si="21"/>
        <v/>
      </c>
      <c r="AJ820" t="str">
        <f t="shared" si="23"/>
        <v/>
      </c>
    </row>
    <row r="821">
      <c r="P821" t="str">
        <f t="shared" si="3"/>
        <v/>
      </c>
      <c r="R821" t="str">
        <f t="shared" si="5"/>
        <v/>
      </c>
      <c r="T821" t="str">
        <f t="shared" si="7"/>
        <v/>
      </c>
      <c r="V821" t="str">
        <f t="shared" si="9"/>
        <v/>
      </c>
      <c r="X821" t="str">
        <f t="shared" si="11"/>
        <v/>
      </c>
      <c r="Z821" t="str">
        <f t="shared" si="13"/>
        <v/>
      </c>
      <c r="AB821" t="str">
        <f t="shared" si="15"/>
        <v/>
      </c>
      <c r="AD821" t="str">
        <f t="shared" si="17"/>
        <v/>
      </c>
      <c r="AF821" t="str">
        <f t="shared" si="19"/>
        <v/>
      </c>
      <c r="AH821" t="str">
        <f t="shared" si="21"/>
        <v/>
      </c>
      <c r="AJ821" t="str">
        <f t="shared" si="23"/>
        <v/>
      </c>
    </row>
    <row r="822">
      <c r="P822" t="str">
        <f t="shared" si="3"/>
        <v/>
      </c>
      <c r="R822" t="str">
        <f t="shared" si="5"/>
        <v/>
      </c>
      <c r="T822" t="str">
        <f t="shared" si="7"/>
        <v/>
      </c>
      <c r="V822" t="str">
        <f t="shared" si="9"/>
        <v/>
      </c>
      <c r="X822" t="str">
        <f t="shared" si="11"/>
        <v/>
      </c>
      <c r="Z822" t="str">
        <f t="shared" si="13"/>
        <v/>
      </c>
      <c r="AB822" t="str">
        <f t="shared" si="15"/>
        <v/>
      </c>
      <c r="AD822" t="str">
        <f t="shared" si="17"/>
        <v/>
      </c>
      <c r="AF822" t="str">
        <f t="shared" si="19"/>
        <v/>
      </c>
      <c r="AH822" t="str">
        <f t="shared" si="21"/>
        <v/>
      </c>
      <c r="AJ822" t="str">
        <f t="shared" si="23"/>
        <v/>
      </c>
    </row>
    <row r="823">
      <c r="P823" t="str">
        <f t="shared" si="3"/>
        <v/>
      </c>
      <c r="R823" t="str">
        <f t="shared" si="5"/>
        <v/>
      </c>
      <c r="T823" t="str">
        <f t="shared" si="7"/>
        <v/>
      </c>
      <c r="V823" t="str">
        <f t="shared" si="9"/>
        <v/>
      </c>
      <c r="X823" t="str">
        <f t="shared" si="11"/>
        <v/>
      </c>
      <c r="Z823" t="str">
        <f t="shared" si="13"/>
        <v/>
      </c>
      <c r="AB823" t="str">
        <f t="shared" si="15"/>
        <v/>
      </c>
      <c r="AD823" t="str">
        <f t="shared" si="17"/>
        <v/>
      </c>
      <c r="AF823" t="str">
        <f t="shared" si="19"/>
        <v/>
      </c>
      <c r="AH823" t="str">
        <f t="shared" si="21"/>
        <v/>
      </c>
      <c r="AJ823" t="str">
        <f t="shared" si="23"/>
        <v/>
      </c>
    </row>
    <row r="824">
      <c r="P824" t="str">
        <f t="shared" si="3"/>
        <v/>
      </c>
      <c r="R824" t="str">
        <f t="shared" si="5"/>
        <v/>
      </c>
      <c r="T824" t="str">
        <f t="shared" si="7"/>
        <v/>
      </c>
      <c r="V824" t="str">
        <f t="shared" si="9"/>
        <v/>
      </c>
      <c r="X824" t="str">
        <f t="shared" si="11"/>
        <v/>
      </c>
      <c r="Z824" t="str">
        <f t="shared" si="13"/>
        <v/>
      </c>
      <c r="AB824" t="str">
        <f t="shared" si="15"/>
        <v/>
      </c>
      <c r="AD824" t="str">
        <f t="shared" si="17"/>
        <v/>
      </c>
      <c r="AF824" t="str">
        <f t="shared" si="19"/>
        <v/>
      </c>
      <c r="AH824" t="str">
        <f t="shared" si="21"/>
        <v/>
      </c>
      <c r="AJ824" t="str">
        <f t="shared" si="23"/>
        <v/>
      </c>
    </row>
    <row r="825">
      <c r="P825" t="str">
        <f t="shared" si="3"/>
        <v/>
      </c>
      <c r="R825" t="str">
        <f t="shared" si="5"/>
        <v/>
      </c>
      <c r="T825" t="str">
        <f t="shared" si="7"/>
        <v/>
      </c>
      <c r="V825" t="str">
        <f t="shared" si="9"/>
        <v/>
      </c>
      <c r="X825" t="str">
        <f t="shared" si="11"/>
        <v/>
      </c>
      <c r="Z825" t="str">
        <f t="shared" si="13"/>
        <v/>
      </c>
      <c r="AB825" t="str">
        <f t="shared" si="15"/>
        <v/>
      </c>
      <c r="AD825" t="str">
        <f t="shared" si="17"/>
        <v/>
      </c>
      <c r="AF825" t="str">
        <f t="shared" si="19"/>
        <v/>
      </c>
      <c r="AH825" t="str">
        <f t="shared" si="21"/>
        <v/>
      </c>
      <c r="AJ825" t="str">
        <f t="shared" si="23"/>
        <v/>
      </c>
    </row>
    <row r="826">
      <c r="P826" t="str">
        <f t="shared" si="3"/>
        <v/>
      </c>
      <c r="R826" t="str">
        <f t="shared" si="5"/>
        <v/>
      </c>
      <c r="T826" t="str">
        <f t="shared" si="7"/>
        <v/>
      </c>
      <c r="V826" t="str">
        <f t="shared" si="9"/>
        <v/>
      </c>
      <c r="X826" t="str">
        <f t="shared" si="11"/>
        <v/>
      </c>
      <c r="Z826" t="str">
        <f t="shared" si="13"/>
        <v/>
      </c>
      <c r="AB826" t="str">
        <f t="shared" si="15"/>
        <v/>
      </c>
      <c r="AD826" t="str">
        <f t="shared" si="17"/>
        <v/>
      </c>
      <c r="AF826" t="str">
        <f t="shared" si="19"/>
        <v/>
      </c>
      <c r="AH826" t="str">
        <f t="shared" si="21"/>
        <v/>
      </c>
      <c r="AJ826" t="str">
        <f t="shared" si="23"/>
        <v/>
      </c>
    </row>
    <row r="827">
      <c r="P827" t="str">
        <f t="shared" si="3"/>
        <v/>
      </c>
      <c r="R827" t="str">
        <f t="shared" si="5"/>
        <v/>
      </c>
      <c r="T827" t="str">
        <f t="shared" si="7"/>
        <v/>
      </c>
      <c r="V827" t="str">
        <f t="shared" si="9"/>
        <v/>
      </c>
      <c r="X827" t="str">
        <f t="shared" si="11"/>
        <v/>
      </c>
      <c r="Z827" t="str">
        <f t="shared" si="13"/>
        <v/>
      </c>
      <c r="AB827" t="str">
        <f t="shared" si="15"/>
        <v/>
      </c>
      <c r="AD827" t="str">
        <f t="shared" si="17"/>
        <v/>
      </c>
      <c r="AF827" t="str">
        <f t="shared" si="19"/>
        <v/>
      </c>
      <c r="AH827" t="str">
        <f t="shared" si="21"/>
        <v/>
      </c>
      <c r="AJ827" t="str">
        <f t="shared" si="23"/>
        <v/>
      </c>
    </row>
    <row r="828">
      <c r="P828" t="str">
        <f t="shared" si="3"/>
        <v/>
      </c>
      <c r="R828" t="str">
        <f t="shared" si="5"/>
        <v/>
      </c>
      <c r="T828" t="str">
        <f t="shared" si="7"/>
        <v/>
      </c>
      <c r="V828" t="str">
        <f t="shared" si="9"/>
        <v/>
      </c>
      <c r="X828" t="str">
        <f t="shared" si="11"/>
        <v/>
      </c>
      <c r="Z828" t="str">
        <f t="shared" si="13"/>
        <v/>
      </c>
      <c r="AB828" t="str">
        <f t="shared" si="15"/>
        <v/>
      </c>
      <c r="AD828" t="str">
        <f t="shared" si="17"/>
        <v/>
      </c>
      <c r="AF828" t="str">
        <f t="shared" si="19"/>
        <v/>
      </c>
      <c r="AH828" t="str">
        <f t="shared" si="21"/>
        <v/>
      </c>
      <c r="AJ828" t="str">
        <f t="shared" si="23"/>
        <v/>
      </c>
    </row>
    <row r="829">
      <c r="P829" t="str">
        <f t="shared" si="3"/>
        <v/>
      </c>
      <c r="R829" t="str">
        <f t="shared" si="5"/>
        <v/>
      </c>
      <c r="T829" t="str">
        <f t="shared" si="7"/>
        <v/>
      </c>
      <c r="V829" t="str">
        <f t="shared" si="9"/>
        <v/>
      </c>
      <c r="X829" t="str">
        <f t="shared" si="11"/>
        <v/>
      </c>
      <c r="Z829" t="str">
        <f t="shared" si="13"/>
        <v/>
      </c>
      <c r="AB829" t="str">
        <f t="shared" si="15"/>
        <v/>
      </c>
      <c r="AD829" t="str">
        <f t="shared" si="17"/>
        <v/>
      </c>
      <c r="AF829" t="str">
        <f t="shared" si="19"/>
        <v/>
      </c>
      <c r="AH829" t="str">
        <f t="shared" si="21"/>
        <v/>
      </c>
      <c r="AJ829" t="str">
        <f t="shared" si="23"/>
        <v/>
      </c>
    </row>
    <row r="830">
      <c r="P830" t="str">
        <f t="shared" si="3"/>
        <v/>
      </c>
      <c r="R830" t="str">
        <f t="shared" si="5"/>
        <v/>
      </c>
      <c r="T830" t="str">
        <f t="shared" si="7"/>
        <v/>
      </c>
      <c r="V830" t="str">
        <f t="shared" si="9"/>
        <v/>
      </c>
      <c r="X830" t="str">
        <f t="shared" si="11"/>
        <v/>
      </c>
      <c r="Z830" t="str">
        <f t="shared" si="13"/>
        <v/>
      </c>
      <c r="AB830" t="str">
        <f t="shared" si="15"/>
        <v/>
      </c>
      <c r="AD830" t="str">
        <f t="shared" si="17"/>
        <v/>
      </c>
      <c r="AF830" t="str">
        <f t="shared" si="19"/>
        <v/>
      </c>
      <c r="AH830" t="str">
        <f t="shared" si="21"/>
        <v/>
      </c>
      <c r="AJ830" t="str">
        <f t="shared" si="23"/>
        <v/>
      </c>
    </row>
    <row r="831">
      <c r="P831" t="str">
        <f t="shared" si="3"/>
        <v/>
      </c>
      <c r="R831" t="str">
        <f t="shared" si="5"/>
        <v/>
      </c>
      <c r="T831" t="str">
        <f t="shared" si="7"/>
        <v/>
      </c>
      <c r="V831" t="str">
        <f t="shared" si="9"/>
        <v/>
      </c>
      <c r="X831" t="str">
        <f t="shared" si="11"/>
        <v/>
      </c>
      <c r="Z831" t="str">
        <f t="shared" si="13"/>
        <v/>
      </c>
      <c r="AB831" t="str">
        <f t="shared" si="15"/>
        <v/>
      </c>
      <c r="AD831" t="str">
        <f t="shared" si="17"/>
        <v/>
      </c>
      <c r="AF831" t="str">
        <f t="shared" si="19"/>
        <v/>
      </c>
      <c r="AH831" t="str">
        <f t="shared" si="21"/>
        <v/>
      </c>
      <c r="AJ831" t="str">
        <f t="shared" si="23"/>
        <v/>
      </c>
    </row>
    <row r="832">
      <c r="P832" t="str">
        <f t="shared" si="3"/>
        <v/>
      </c>
      <c r="R832" t="str">
        <f t="shared" si="5"/>
        <v/>
      </c>
      <c r="T832" t="str">
        <f t="shared" si="7"/>
        <v/>
      </c>
      <c r="V832" t="str">
        <f t="shared" si="9"/>
        <v/>
      </c>
      <c r="X832" t="str">
        <f t="shared" si="11"/>
        <v/>
      </c>
      <c r="Z832" t="str">
        <f t="shared" si="13"/>
        <v/>
      </c>
      <c r="AB832" t="str">
        <f t="shared" si="15"/>
        <v/>
      </c>
      <c r="AD832" t="str">
        <f t="shared" si="17"/>
        <v/>
      </c>
      <c r="AF832" t="str">
        <f t="shared" si="19"/>
        <v/>
      </c>
      <c r="AH832" t="str">
        <f t="shared" si="21"/>
        <v/>
      </c>
      <c r="AJ832" t="str">
        <f t="shared" si="23"/>
        <v/>
      </c>
    </row>
    <row r="833">
      <c r="P833" t="str">
        <f t="shared" si="3"/>
        <v/>
      </c>
      <c r="R833" t="str">
        <f t="shared" si="5"/>
        <v/>
      </c>
      <c r="T833" t="str">
        <f t="shared" si="7"/>
        <v/>
      </c>
      <c r="V833" t="str">
        <f t="shared" si="9"/>
        <v/>
      </c>
      <c r="X833" t="str">
        <f t="shared" si="11"/>
        <v/>
      </c>
      <c r="Z833" t="str">
        <f t="shared" si="13"/>
        <v/>
      </c>
      <c r="AB833" t="str">
        <f t="shared" si="15"/>
        <v/>
      </c>
      <c r="AD833" t="str">
        <f t="shared" si="17"/>
        <v/>
      </c>
      <c r="AF833" t="str">
        <f t="shared" si="19"/>
        <v/>
      </c>
      <c r="AH833" t="str">
        <f t="shared" si="21"/>
        <v/>
      </c>
      <c r="AJ833" t="str">
        <f t="shared" si="23"/>
        <v/>
      </c>
    </row>
    <row r="834">
      <c r="P834" t="str">
        <f t="shared" si="3"/>
        <v/>
      </c>
      <c r="R834" t="str">
        <f t="shared" si="5"/>
        <v/>
      </c>
      <c r="T834" t="str">
        <f t="shared" si="7"/>
        <v/>
      </c>
      <c r="V834" t="str">
        <f t="shared" si="9"/>
        <v/>
      </c>
      <c r="X834" t="str">
        <f t="shared" si="11"/>
        <v/>
      </c>
      <c r="Z834" t="str">
        <f t="shared" si="13"/>
        <v/>
      </c>
      <c r="AB834" t="str">
        <f t="shared" si="15"/>
        <v/>
      </c>
      <c r="AD834" t="str">
        <f t="shared" si="17"/>
        <v/>
      </c>
      <c r="AF834" t="str">
        <f t="shared" si="19"/>
        <v/>
      </c>
      <c r="AH834" t="str">
        <f t="shared" si="21"/>
        <v/>
      </c>
      <c r="AJ834" t="str">
        <f t="shared" si="23"/>
        <v/>
      </c>
    </row>
    <row r="835">
      <c r="P835" t="str">
        <f t="shared" si="3"/>
        <v/>
      </c>
      <c r="R835" t="str">
        <f t="shared" si="5"/>
        <v/>
      </c>
      <c r="T835" t="str">
        <f t="shared" si="7"/>
        <v/>
      </c>
      <c r="V835" t="str">
        <f t="shared" si="9"/>
        <v/>
      </c>
      <c r="X835" t="str">
        <f t="shared" si="11"/>
        <v/>
      </c>
      <c r="Z835" t="str">
        <f t="shared" si="13"/>
        <v/>
      </c>
      <c r="AB835" t="str">
        <f t="shared" si="15"/>
        <v/>
      </c>
      <c r="AD835" t="str">
        <f t="shared" si="17"/>
        <v/>
      </c>
      <c r="AF835" t="str">
        <f t="shared" si="19"/>
        <v/>
      </c>
      <c r="AH835" t="str">
        <f t="shared" si="21"/>
        <v/>
      </c>
      <c r="AJ835" t="str">
        <f t="shared" si="23"/>
        <v/>
      </c>
    </row>
    <row r="836">
      <c r="P836" t="str">
        <f t="shared" si="3"/>
        <v/>
      </c>
      <c r="R836" t="str">
        <f t="shared" si="5"/>
        <v/>
      </c>
      <c r="T836" t="str">
        <f t="shared" si="7"/>
        <v/>
      </c>
      <c r="V836" t="str">
        <f t="shared" si="9"/>
        <v/>
      </c>
      <c r="X836" t="str">
        <f t="shared" si="11"/>
        <v/>
      </c>
      <c r="Z836" t="str">
        <f t="shared" si="13"/>
        <v/>
      </c>
      <c r="AB836" t="str">
        <f t="shared" si="15"/>
        <v/>
      </c>
      <c r="AD836" t="str">
        <f t="shared" si="17"/>
        <v/>
      </c>
      <c r="AF836" t="str">
        <f t="shared" si="19"/>
        <v/>
      </c>
      <c r="AH836" t="str">
        <f t="shared" si="21"/>
        <v/>
      </c>
      <c r="AJ836" t="str">
        <f t="shared" si="23"/>
        <v/>
      </c>
    </row>
    <row r="837">
      <c r="P837" t="str">
        <f t="shared" si="3"/>
        <v/>
      </c>
      <c r="R837" t="str">
        <f t="shared" si="5"/>
        <v/>
      </c>
      <c r="T837" t="str">
        <f t="shared" si="7"/>
        <v/>
      </c>
      <c r="V837" t="str">
        <f t="shared" si="9"/>
        <v/>
      </c>
      <c r="X837" t="str">
        <f t="shared" si="11"/>
        <v/>
      </c>
      <c r="Z837" t="str">
        <f t="shared" si="13"/>
        <v/>
      </c>
      <c r="AB837" t="str">
        <f t="shared" si="15"/>
        <v/>
      </c>
      <c r="AD837" t="str">
        <f t="shared" si="17"/>
        <v/>
      </c>
      <c r="AF837" t="str">
        <f t="shared" si="19"/>
        <v/>
      </c>
      <c r="AH837" t="str">
        <f t="shared" si="21"/>
        <v/>
      </c>
      <c r="AJ837" t="str">
        <f t="shared" si="23"/>
        <v/>
      </c>
    </row>
    <row r="838">
      <c r="P838" t="str">
        <f t="shared" si="3"/>
        <v/>
      </c>
      <c r="R838" t="str">
        <f t="shared" si="5"/>
        <v/>
      </c>
      <c r="T838" t="str">
        <f t="shared" si="7"/>
        <v/>
      </c>
      <c r="V838" t="str">
        <f t="shared" si="9"/>
        <v/>
      </c>
      <c r="X838" t="str">
        <f t="shared" si="11"/>
        <v/>
      </c>
      <c r="Z838" t="str">
        <f t="shared" si="13"/>
        <v/>
      </c>
      <c r="AB838" t="str">
        <f t="shared" si="15"/>
        <v/>
      </c>
      <c r="AD838" t="str">
        <f t="shared" si="17"/>
        <v/>
      </c>
      <c r="AF838" t="str">
        <f t="shared" si="19"/>
        <v/>
      </c>
      <c r="AH838" t="str">
        <f t="shared" si="21"/>
        <v/>
      </c>
      <c r="AJ838" t="str">
        <f t="shared" si="23"/>
        <v/>
      </c>
    </row>
    <row r="839">
      <c r="P839" t="str">
        <f t="shared" si="3"/>
        <v/>
      </c>
      <c r="R839" t="str">
        <f t="shared" si="5"/>
        <v/>
      </c>
      <c r="T839" t="str">
        <f t="shared" si="7"/>
        <v/>
      </c>
      <c r="V839" t="str">
        <f t="shared" si="9"/>
        <v/>
      </c>
      <c r="X839" t="str">
        <f t="shared" si="11"/>
        <v/>
      </c>
      <c r="Z839" t="str">
        <f t="shared" si="13"/>
        <v/>
      </c>
      <c r="AB839" t="str">
        <f t="shared" si="15"/>
        <v/>
      </c>
      <c r="AD839" t="str">
        <f t="shared" si="17"/>
        <v/>
      </c>
      <c r="AF839" t="str">
        <f t="shared" si="19"/>
        <v/>
      </c>
      <c r="AH839" t="str">
        <f t="shared" si="21"/>
        <v/>
      </c>
      <c r="AJ839" t="str">
        <f t="shared" si="23"/>
        <v/>
      </c>
    </row>
    <row r="840">
      <c r="P840" t="str">
        <f t="shared" si="3"/>
        <v/>
      </c>
      <c r="R840" t="str">
        <f t="shared" si="5"/>
        <v/>
      </c>
      <c r="T840" t="str">
        <f t="shared" si="7"/>
        <v/>
      </c>
      <c r="V840" t="str">
        <f t="shared" si="9"/>
        <v/>
      </c>
      <c r="X840" t="str">
        <f t="shared" si="11"/>
        <v/>
      </c>
      <c r="Z840" t="str">
        <f t="shared" si="13"/>
        <v/>
      </c>
      <c r="AB840" t="str">
        <f t="shared" si="15"/>
        <v/>
      </c>
      <c r="AD840" t="str">
        <f t="shared" si="17"/>
        <v/>
      </c>
      <c r="AF840" t="str">
        <f t="shared" si="19"/>
        <v/>
      </c>
      <c r="AH840" t="str">
        <f t="shared" si="21"/>
        <v/>
      </c>
      <c r="AJ840" t="str">
        <f t="shared" si="23"/>
        <v/>
      </c>
    </row>
    <row r="841">
      <c r="P841" t="str">
        <f t="shared" si="3"/>
        <v/>
      </c>
      <c r="R841" t="str">
        <f t="shared" si="5"/>
        <v/>
      </c>
      <c r="T841" t="str">
        <f t="shared" si="7"/>
        <v/>
      </c>
      <c r="V841" t="str">
        <f t="shared" si="9"/>
        <v/>
      </c>
      <c r="X841" t="str">
        <f t="shared" si="11"/>
        <v/>
      </c>
      <c r="Z841" t="str">
        <f t="shared" si="13"/>
        <v/>
      </c>
      <c r="AB841" t="str">
        <f t="shared" si="15"/>
        <v/>
      </c>
      <c r="AD841" t="str">
        <f t="shared" si="17"/>
        <v/>
      </c>
      <c r="AF841" t="str">
        <f t="shared" si="19"/>
        <v/>
      </c>
      <c r="AH841" t="str">
        <f t="shared" si="21"/>
        <v/>
      </c>
      <c r="AJ841" t="str">
        <f t="shared" si="23"/>
        <v/>
      </c>
    </row>
    <row r="842">
      <c r="P842" t="str">
        <f t="shared" si="3"/>
        <v/>
      </c>
      <c r="R842" t="str">
        <f t="shared" si="5"/>
        <v/>
      </c>
      <c r="T842" t="str">
        <f t="shared" si="7"/>
        <v/>
      </c>
      <c r="V842" t="str">
        <f t="shared" si="9"/>
        <v/>
      </c>
      <c r="X842" t="str">
        <f t="shared" si="11"/>
        <v/>
      </c>
      <c r="Z842" t="str">
        <f t="shared" si="13"/>
        <v/>
      </c>
      <c r="AB842" t="str">
        <f t="shared" si="15"/>
        <v/>
      </c>
      <c r="AD842" t="str">
        <f t="shared" si="17"/>
        <v/>
      </c>
      <c r="AF842" t="str">
        <f t="shared" si="19"/>
        <v/>
      </c>
      <c r="AH842" t="str">
        <f t="shared" si="21"/>
        <v/>
      </c>
      <c r="AJ842" t="str">
        <f t="shared" si="23"/>
        <v/>
      </c>
    </row>
    <row r="843">
      <c r="P843" t="str">
        <f t="shared" si="3"/>
        <v/>
      </c>
      <c r="R843" t="str">
        <f t="shared" si="5"/>
        <v/>
      </c>
      <c r="T843" t="str">
        <f t="shared" si="7"/>
        <v/>
      </c>
      <c r="V843" t="str">
        <f t="shared" si="9"/>
        <v/>
      </c>
      <c r="X843" t="str">
        <f t="shared" si="11"/>
        <v/>
      </c>
      <c r="Z843" t="str">
        <f t="shared" si="13"/>
        <v/>
      </c>
      <c r="AB843" t="str">
        <f t="shared" si="15"/>
        <v/>
      </c>
      <c r="AD843" t="str">
        <f t="shared" si="17"/>
        <v/>
      </c>
      <c r="AF843" t="str">
        <f t="shared" si="19"/>
        <v/>
      </c>
      <c r="AH843" t="str">
        <f t="shared" si="21"/>
        <v/>
      </c>
      <c r="AJ843" t="str">
        <f t="shared" si="23"/>
        <v/>
      </c>
    </row>
    <row r="844">
      <c r="P844" t="str">
        <f t="shared" si="3"/>
        <v/>
      </c>
      <c r="R844" t="str">
        <f t="shared" si="5"/>
        <v/>
      </c>
      <c r="T844" t="str">
        <f t="shared" si="7"/>
        <v/>
      </c>
      <c r="V844" t="str">
        <f t="shared" si="9"/>
        <v/>
      </c>
      <c r="X844" t="str">
        <f t="shared" si="11"/>
        <v/>
      </c>
      <c r="Z844" t="str">
        <f t="shared" si="13"/>
        <v/>
      </c>
      <c r="AB844" t="str">
        <f t="shared" si="15"/>
        <v/>
      </c>
      <c r="AD844" t="str">
        <f t="shared" si="17"/>
        <v/>
      </c>
      <c r="AF844" t="str">
        <f t="shared" si="19"/>
        <v/>
      </c>
      <c r="AH844" t="str">
        <f t="shared" si="21"/>
        <v/>
      </c>
      <c r="AJ844" t="str">
        <f t="shared" si="23"/>
        <v/>
      </c>
    </row>
    <row r="845">
      <c r="P845" t="str">
        <f t="shared" si="3"/>
        <v/>
      </c>
      <c r="R845" t="str">
        <f t="shared" si="5"/>
        <v/>
      </c>
      <c r="T845" t="str">
        <f t="shared" si="7"/>
        <v/>
      </c>
      <c r="V845" t="str">
        <f t="shared" si="9"/>
        <v/>
      </c>
      <c r="X845" t="str">
        <f t="shared" si="11"/>
        <v/>
      </c>
      <c r="Z845" t="str">
        <f t="shared" si="13"/>
        <v/>
      </c>
      <c r="AB845" t="str">
        <f t="shared" si="15"/>
        <v/>
      </c>
      <c r="AD845" t="str">
        <f t="shared" si="17"/>
        <v/>
      </c>
      <c r="AF845" t="str">
        <f t="shared" si="19"/>
        <v/>
      </c>
      <c r="AH845" t="str">
        <f t="shared" si="21"/>
        <v/>
      </c>
      <c r="AJ845" t="str">
        <f t="shared" si="23"/>
        <v/>
      </c>
    </row>
    <row r="846">
      <c r="P846" t="str">
        <f t="shared" si="3"/>
        <v/>
      </c>
      <c r="R846" t="str">
        <f t="shared" si="5"/>
        <v/>
      </c>
      <c r="T846" t="str">
        <f t="shared" si="7"/>
        <v/>
      </c>
      <c r="V846" t="str">
        <f t="shared" si="9"/>
        <v/>
      </c>
      <c r="X846" t="str">
        <f t="shared" si="11"/>
        <v/>
      </c>
      <c r="Z846" t="str">
        <f t="shared" si="13"/>
        <v/>
      </c>
      <c r="AB846" t="str">
        <f t="shared" si="15"/>
        <v/>
      </c>
      <c r="AD846" t="str">
        <f t="shared" si="17"/>
        <v/>
      </c>
      <c r="AF846" t="str">
        <f t="shared" si="19"/>
        <v/>
      </c>
      <c r="AH846" t="str">
        <f t="shared" si="21"/>
        <v/>
      </c>
      <c r="AJ846" t="str">
        <f t="shared" si="23"/>
        <v/>
      </c>
    </row>
    <row r="847">
      <c r="P847" t="str">
        <f t="shared" si="3"/>
        <v/>
      </c>
      <c r="R847" t="str">
        <f t="shared" si="5"/>
        <v/>
      </c>
      <c r="T847" t="str">
        <f t="shared" si="7"/>
        <v/>
      </c>
      <c r="V847" t="str">
        <f t="shared" si="9"/>
        <v/>
      </c>
      <c r="X847" t="str">
        <f t="shared" si="11"/>
        <v/>
      </c>
      <c r="Z847" t="str">
        <f t="shared" si="13"/>
        <v/>
      </c>
      <c r="AB847" t="str">
        <f t="shared" si="15"/>
        <v/>
      </c>
      <c r="AD847" t="str">
        <f t="shared" si="17"/>
        <v/>
      </c>
      <c r="AF847" t="str">
        <f t="shared" si="19"/>
        <v/>
      </c>
      <c r="AH847" t="str">
        <f t="shared" si="21"/>
        <v/>
      </c>
      <c r="AJ847" t="str">
        <f t="shared" si="23"/>
        <v/>
      </c>
    </row>
    <row r="848">
      <c r="P848" t="str">
        <f t="shared" si="3"/>
        <v/>
      </c>
      <c r="R848" t="str">
        <f t="shared" si="5"/>
        <v/>
      </c>
      <c r="T848" t="str">
        <f t="shared" si="7"/>
        <v/>
      </c>
      <c r="V848" t="str">
        <f t="shared" si="9"/>
        <v/>
      </c>
      <c r="X848" t="str">
        <f t="shared" si="11"/>
        <v/>
      </c>
      <c r="Z848" t="str">
        <f t="shared" si="13"/>
        <v/>
      </c>
      <c r="AB848" t="str">
        <f t="shared" si="15"/>
        <v/>
      </c>
      <c r="AD848" t="str">
        <f t="shared" si="17"/>
        <v/>
      </c>
      <c r="AF848" t="str">
        <f t="shared" si="19"/>
        <v/>
      </c>
      <c r="AH848" t="str">
        <f t="shared" si="21"/>
        <v/>
      </c>
      <c r="AJ848" t="str">
        <f t="shared" si="23"/>
        <v/>
      </c>
    </row>
    <row r="849">
      <c r="P849" t="str">
        <f t="shared" si="3"/>
        <v/>
      </c>
      <c r="R849" t="str">
        <f t="shared" si="5"/>
        <v/>
      </c>
      <c r="T849" t="str">
        <f t="shared" si="7"/>
        <v/>
      </c>
      <c r="V849" t="str">
        <f t="shared" si="9"/>
        <v/>
      </c>
      <c r="X849" t="str">
        <f t="shared" si="11"/>
        <v/>
      </c>
      <c r="Z849" t="str">
        <f t="shared" si="13"/>
        <v/>
      </c>
      <c r="AB849" t="str">
        <f t="shared" si="15"/>
        <v/>
      </c>
      <c r="AD849" t="str">
        <f t="shared" si="17"/>
        <v/>
      </c>
      <c r="AF849" t="str">
        <f t="shared" si="19"/>
        <v/>
      </c>
      <c r="AH849" t="str">
        <f t="shared" si="21"/>
        <v/>
      </c>
      <c r="AJ849" t="str">
        <f t="shared" si="23"/>
        <v/>
      </c>
    </row>
    <row r="850">
      <c r="P850" t="str">
        <f t="shared" si="3"/>
        <v/>
      </c>
      <c r="R850" t="str">
        <f t="shared" si="5"/>
        <v/>
      </c>
      <c r="T850" t="str">
        <f t="shared" si="7"/>
        <v/>
      </c>
      <c r="V850" t="str">
        <f t="shared" si="9"/>
        <v/>
      </c>
      <c r="X850" t="str">
        <f t="shared" si="11"/>
        <v/>
      </c>
      <c r="Z850" t="str">
        <f t="shared" si="13"/>
        <v/>
      </c>
      <c r="AB850" t="str">
        <f t="shared" si="15"/>
        <v/>
      </c>
      <c r="AD850" t="str">
        <f t="shared" si="17"/>
        <v/>
      </c>
      <c r="AF850" t="str">
        <f t="shared" si="19"/>
        <v/>
      </c>
      <c r="AH850" t="str">
        <f t="shared" si="21"/>
        <v/>
      </c>
      <c r="AJ850" t="str">
        <f t="shared" si="23"/>
        <v/>
      </c>
    </row>
    <row r="851">
      <c r="P851" t="str">
        <f t="shared" si="3"/>
        <v/>
      </c>
      <c r="R851" t="str">
        <f t="shared" si="5"/>
        <v/>
      </c>
      <c r="T851" t="str">
        <f t="shared" si="7"/>
        <v/>
      </c>
      <c r="V851" t="str">
        <f t="shared" si="9"/>
        <v/>
      </c>
      <c r="X851" t="str">
        <f t="shared" si="11"/>
        <v/>
      </c>
      <c r="Z851" t="str">
        <f t="shared" si="13"/>
        <v/>
      </c>
      <c r="AB851" t="str">
        <f t="shared" si="15"/>
        <v/>
      </c>
      <c r="AD851" t="str">
        <f t="shared" si="17"/>
        <v/>
      </c>
      <c r="AF851" t="str">
        <f t="shared" si="19"/>
        <v/>
      </c>
      <c r="AH851" t="str">
        <f t="shared" si="21"/>
        <v/>
      </c>
      <c r="AJ851" t="str">
        <f t="shared" si="23"/>
        <v/>
      </c>
    </row>
    <row r="852">
      <c r="P852" t="str">
        <f t="shared" si="3"/>
        <v/>
      </c>
      <c r="R852" t="str">
        <f t="shared" si="5"/>
        <v/>
      </c>
      <c r="T852" t="str">
        <f t="shared" si="7"/>
        <v/>
      </c>
      <c r="V852" t="str">
        <f t="shared" si="9"/>
        <v/>
      </c>
      <c r="X852" t="str">
        <f t="shared" si="11"/>
        <v/>
      </c>
      <c r="Z852" t="str">
        <f t="shared" si="13"/>
        <v/>
      </c>
      <c r="AB852" t="str">
        <f t="shared" si="15"/>
        <v/>
      </c>
      <c r="AD852" t="str">
        <f t="shared" si="17"/>
        <v/>
      </c>
      <c r="AF852" t="str">
        <f t="shared" si="19"/>
        <v/>
      </c>
      <c r="AH852" t="str">
        <f t="shared" si="21"/>
        <v/>
      </c>
      <c r="AJ852" t="str">
        <f t="shared" si="23"/>
        <v/>
      </c>
    </row>
    <row r="853">
      <c r="P853" t="str">
        <f t="shared" si="3"/>
        <v/>
      </c>
      <c r="R853" t="str">
        <f t="shared" si="5"/>
        <v/>
      </c>
      <c r="T853" t="str">
        <f t="shared" si="7"/>
        <v/>
      </c>
      <c r="V853" t="str">
        <f t="shared" si="9"/>
        <v/>
      </c>
      <c r="X853" t="str">
        <f t="shared" si="11"/>
        <v/>
      </c>
      <c r="Z853" t="str">
        <f t="shared" si="13"/>
        <v/>
      </c>
      <c r="AB853" t="str">
        <f t="shared" si="15"/>
        <v/>
      </c>
      <c r="AD853" t="str">
        <f t="shared" si="17"/>
        <v/>
      </c>
      <c r="AF853" t="str">
        <f t="shared" si="19"/>
        <v/>
      </c>
      <c r="AH853" t="str">
        <f t="shared" si="21"/>
        <v/>
      </c>
      <c r="AJ853" t="str">
        <f t="shared" si="23"/>
        <v/>
      </c>
    </row>
    <row r="854">
      <c r="P854" t="str">
        <f t="shared" si="3"/>
        <v/>
      </c>
      <c r="R854" t="str">
        <f t="shared" si="5"/>
        <v/>
      </c>
      <c r="T854" t="str">
        <f t="shared" si="7"/>
        <v/>
      </c>
      <c r="V854" t="str">
        <f t="shared" si="9"/>
        <v/>
      </c>
      <c r="X854" t="str">
        <f t="shared" si="11"/>
        <v/>
      </c>
      <c r="Z854" t="str">
        <f t="shared" si="13"/>
        <v/>
      </c>
      <c r="AB854" t="str">
        <f t="shared" si="15"/>
        <v/>
      </c>
      <c r="AD854" t="str">
        <f t="shared" si="17"/>
        <v/>
      </c>
      <c r="AF854" t="str">
        <f t="shared" si="19"/>
        <v/>
      </c>
      <c r="AH854" t="str">
        <f t="shared" si="21"/>
        <v/>
      </c>
      <c r="AJ854" t="str">
        <f t="shared" si="23"/>
        <v/>
      </c>
    </row>
    <row r="855">
      <c r="P855" t="str">
        <f t="shared" si="3"/>
        <v/>
      </c>
      <c r="R855" t="str">
        <f t="shared" si="5"/>
        <v/>
      </c>
      <c r="T855" t="str">
        <f t="shared" si="7"/>
        <v/>
      </c>
      <c r="V855" t="str">
        <f t="shared" si="9"/>
        <v/>
      </c>
      <c r="X855" t="str">
        <f t="shared" si="11"/>
        <v/>
      </c>
      <c r="Z855" t="str">
        <f t="shared" si="13"/>
        <v/>
      </c>
      <c r="AB855" t="str">
        <f t="shared" si="15"/>
        <v/>
      </c>
      <c r="AD855" t="str">
        <f t="shared" si="17"/>
        <v/>
      </c>
      <c r="AF855" t="str">
        <f t="shared" si="19"/>
        <v/>
      </c>
      <c r="AH855" t="str">
        <f t="shared" si="21"/>
        <v/>
      </c>
      <c r="AJ855" t="str">
        <f t="shared" si="23"/>
        <v/>
      </c>
    </row>
    <row r="856">
      <c r="P856" t="str">
        <f t="shared" si="3"/>
        <v/>
      </c>
      <c r="R856" t="str">
        <f t="shared" si="5"/>
        <v/>
      </c>
      <c r="T856" t="str">
        <f t="shared" si="7"/>
        <v/>
      </c>
      <c r="V856" t="str">
        <f t="shared" si="9"/>
        <v/>
      </c>
      <c r="X856" t="str">
        <f t="shared" si="11"/>
        <v/>
      </c>
      <c r="Z856" t="str">
        <f t="shared" si="13"/>
        <v/>
      </c>
      <c r="AB856" t="str">
        <f t="shared" si="15"/>
        <v/>
      </c>
      <c r="AD856" t="str">
        <f t="shared" si="17"/>
        <v/>
      </c>
      <c r="AF856" t="str">
        <f t="shared" si="19"/>
        <v/>
      </c>
      <c r="AH856" t="str">
        <f t="shared" si="21"/>
        <v/>
      </c>
      <c r="AJ856" t="str">
        <f t="shared" si="23"/>
        <v/>
      </c>
    </row>
    <row r="857">
      <c r="P857" t="str">
        <f t="shared" si="3"/>
        <v/>
      </c>
      <c r="R857" t="str">
        <f t="shared" si="5"/>
        <v/>
      </c>
      <c r="T857" t="str">
        <f t="shared" si="7"/>
        <v/>
      </c>
      <c r="V857" t="str">
        <f t="shared" si="9"/>
        <v/>
      </c>
      <c r="X857" t="str">
        <f t="shared" si="11"/>
        <v/>
      </c>
      <c r="Z857" t="str">
        <f t="shared" si="13"/>
        <v/>
      </c>
      <c r="AB857" t="str">
        <f t="shared" si="15"/>
        <v/>
      </c>
      <c r="AD857" t="str">
        <f t="shared" si="17"/>
        <v/>
      </c>
      <c r="AF857" t="str">
        <f t="shared" si="19"/>
        <v/>
      </c>
      <c r="AH857" t="str">
        <f t="shared" si="21"/>
        <v/>
      </c>
      <c r="AJ857" t="str">
        <f t="shared" si="23"/>
        <v/>
      </c>
    </row>
    <row r="858">
      <c r="P858" t="str">
        <f t="shared" si="3"/>
        <v/>
      </c>
      <c r="R858" t="str">
        <f t="shared" si="5"/>
        <v/>
      </c>
      <c r="T858" t="str">
        <f t="shared" si="7"/>
        <v/>
      </c>
      <c r="V858" t="str">
        <f t="shared" si="9"/>
        <v/>
      </c>
      <c r="X858" t="str">
        <f t="shared" si="11"/>
        <v/>
      </c>
      <c r="Z858" t="str">
        <f t="shared" si="13"/>
        <v/>
      </c>
      <c r="AB858" t="str">
        <f t="shared" si="15"/>
        <v/>
      </c>
      <c r="AD858" t="str">
        <f t="shared" si="17"/>
        <v/>
      </c>
      <c r="AF858" t="str">
        <f t="shared" si="19"/>
        <v/>
      </c>
      <c r="AH858" t="str">
        <f t="shared" si="21"/>
        <v/>
      </c>
      <c r="AJ858" t="str">
        <f t="shared" si="23"/>
        <v/>
      </c>
    </row>
    <row r="859">
      <c r="P859" t="str">
        <f t="shared" si="3"/>
        <v/>
      </c>
      <c r="R859" t="str">
        <f t="shared" si="5"/>
        <v/>
      </c>
      <c r="T859" t="str">
        <f t="shared" si="7"/>
        <v/>
      </c>
      <c r="V859" t="str">
        <f t="shared" si="9"/>
        <v/>
      </c>
      <c r="X859" t="str">
        <f t="shared" si="11"/>
        <v/>
      </c>
      <c r="Z859" t="str">
        <f t="shared" si="13"/>
        <v/>
      </c>
      <c r="AB859" t="str">
        <f t="shared" si="15"/>
        <v/>
      </c>
      <c r="AD859" t="str">
        <f t="shared" si="17"/>
        <v/>
      </c>
      <c r="AF859" t="str">
        <f t="shared" si="19"/>
        <v/>
      </c>
      <c r="AH859" t="str">
        <f t="shared" si="21"/>
        <v/>
      </c>
      <c r="AJ859" t="str">
        <f t="shared" si="23"/>
        <v/>
      </c>
    </row>
    <row r="860">
      <c r="P860" t="str">
        <f t="shared" si="3"/>
        <v/>
      </c>
      <c r="R860" t="str">
        <f t="shared" si="5"/>
        <v/>
      </c>
      <c r="T860" t="str">
        <f t="shared" si="7"/>
        <v/>
      </c>
      <c r="V860" t="str">
        <f t="shared" si="9"/>
        <v/>
      </c>
      <c r="X860" t="str">
        <f t="shared" si="11"/>
        <v/>
      </c>
      <c r="Z860" t="str">
        <f t="shared" si="13"/>
        <v/>
      </c>
      <c r="AB860" t="str">
        <f t="shared" si="15"/>
        <v/>
      </c>
      <c r="AD860" t="str">
        <f t="shared" si="17"/>
        <v/>
      </c>
      <c r="AF860" t="str">
        <f t="shared" si="19"/>
        <v/>
      </c>
      <c r="AH860" t="str">
        <f t="shared" si="21"/>
        <v/>
      </c>
      <c r="AJ860" t="str">
        <f t="shared" si="23"/>
        <v/>
      </c>
    </row>
    <row r="861">
      <c r="P861" t="str">
        <f t="shared" si="3"/>
        <v/>
      </c>
      <c r="R861" t="str">
        <f t="shared" si="5"/>
        <v/>
      </c>
      <c r="T861" t="str">
        <f t="shared" si="7"/>
        <v/>
      </c>
      <c r="V861" t="str">
        <f t="shared" si="9"/>
        <v/>
      </c>
      <c r="X861" t="str">
        <f t="shared" si="11"/>
        <v/>
      </c>
      <c r="Z861" t="str">
        <f t="shared" si="13"/>
        <v/>
      </c>
      <c r="AB861" t="str">
        <f t="shared" si="15"/>
        <v/>
      </c>
      <c r="AD861" t="str">
        <f t="shared" si="17"/>
        <v/>
      </c>
      <c r="AF861" t="str">
        <f t="shared" si="19"/>
        <v/>
      </c>
      <c r="AH861" t="str">
        <f t="shared" si="21"/>
        <v/>
      </c>
      <c r="AJ861" t="str">
        <f t="shared" si="23"/>
        <v/>
      </c>
    </row>
    <row r="862">
      <c r="P862" t="str">
        <f t="shared" si="3"/>
        <v/>
      </c>
      <c r="R862" t="str">
        <f t="shared" si="5"/>
        <v/>
      </c>
      <c r="T862" t="str">
        <f t="shared" si="7"/>
        <v/>
      </c>
      <c r="V862" t="str">
        <f t="shared" si="9"/>
        <v/>
      </c>
      <c r="X862" t="str">
        <f t="shared" si="11"/>
        <v/>
      </c>
      <c r="Z862" t="str">
        <f t="shared" si="13"/>
        <v/>
      </c>
      <c r="AB862" t="str">
        <f t="shared" si="15"/>
        <v/>
      </c>
      <c r="AD862" t="str">
        <f t="shared" si="17"/>
        <v/>
      </c>
      <c r="AF862" t="str">
        <f t="shared" si="19"/>
        <v/>
      </c>
      <c r="AH862" t="str">
        <f t="shared" si="21"/>
        <v/>
      </c>
      <c r="AJ862" t="str">
        <f t="shared" si="23"/>
        <v/>
      </c>
    </row>
    <row r="863">
      <c r="P863" t="str">
        <f t="shared" si="3"/>
        <v/>
      </c>
      <c r="R863" t="str">
        <f t="shared" si="5"/>
        <v/>
      </c>
      <c r="T863" t="str">
        <f t="shared" si="7"/>
        <v/>
      </c>
      <c r="V863" t="str">
        <f t="shared" si="9"/>
        <v/>
      </c>
      <c r="X863" t="str">
        <f t="shared" si="11"/>
        <v/>
      </c>
      <c r="Z863" t="str">
        <f t="shared" si="13"/>
        <v/>
      </c>
      <c r="AB863" t="str">
        <f t="shared" si="15"/>
        <v/>
      </c>
      <c r="AD863" t="str">
        <f t="shared" si="17"/>
        <v/>
      </c>
      <c r="AF863" t="str">
        <f t="shared" si="19"/>
        <v/>
      </c>
      <c r="AH863" t="str">
        <f t="shared" si="21"/>
        <v/>
      </c>
      <c r="AJ863" t="str">
        <f t="shared" si="23"/>
        <v/>
      </c>
    </row>
    <row r="864">
      <c r="P864" t="str">
        <f t="shared" si="3"/>
        <v/>
      </c>
      <c r="R864" t="str">
        <f t="shared" si="5"/>
        <v/>
      </c>
      <c r="T864" t="str">
        <f t="shared" si="7"/>
        <v/>
      </c>
      <c r="V864" t="str">
        <f t="shared" si="9"/>
        <v/>
      </c>
      <c r="X864" t="str">
        <f t="shared" si="11"/>
        <v/>
      </c>
      <c r="Z864" t="str">
        <f t="shared" si="13"/>
        <v/>
      </c>
      <c r="AB864" t="str">
        <f t="shared" si="15"/>
        <v/>
      </c>
      <c r="AD864" t="str">
        <f t="shared" si="17"/>
        <v/>
      </c>
      <c r="AF864" t="str">
        <f t="shared" si="19"/>
        <v/>
      </c>
      <c r="AH864" t="str">
        <f t="shared" si="21"/>
        <v/>
      </c>
      <c r="AJ864" t="str">
        <f t="shared" si="23"/>
        <v/>
      </c>
    </row>
    <row r="865">
      <c r="P865" t="str">
        <f t="shared" si="3"/>
        <v/>
      </c>
      <c r="R865" t="str">
        <f t="shared" si="5"/>
        <v/>
      </c>
      <c r="T865" t="str">
        <f t="shared" si="7"/>
        <v/>
      </c>
      <c r="V865" t="str">
        <f t="shared" si="9"/>
        <v/>
      </c>
      <c r="X865" t="str">
        <f t="shared" si="11"/>
        <v/>
      </c>
      <c r="Z865" t="str">
        <f t="shared" si="13"/>
        <v/>
      </c>
      <c r="AB865" t="str">
        <f t="shared" si="15"/>
        <v/>
      </c>
      <c r="AD865" t="str">
        <f t="shared" si="17"/>
        <v/>
      </c>
      <c r="AF865" t="str">
        <f t="shared" si="19"/>
        <v/>
      </c>
      <c r="AH865" t="str">
        <f t="shared" si="21"/>
        <v/>
      </c>
      <c r="AJ865" t="str">
        <f t="shared" si="23"/>
        <v/>
      </c>
    </row>
    <row r="866">
      <c r="P866" t="str">
        <f t="shared" si="3"/>
        <v/>
      </c>
      <c r="R866" t="str">
        <f t="shared" si="5"/>
        <v/>
      </c>
      <c r="T866" t="str">
        <f t="shared" si="7"/>
        <v/>
      </c>
      <c r="V866" t="str">
        <f t="shared" si="9"/>
        <v/>
      </c>
      <c r="X866" t="str">
        <f t="shared" si="11"/>
        <v/>
      </c>
      <c r="Z866" t="str">
        <f t="shared" si="13"/>
        <v/>
      </c>
      <c r="AB866" t="str">
        <f t="shared" si="15"/>
        <v/>
      </c>
      <c r="AD866" t="str">
        <f t="shared" si="17"/>
        <v/>
      </c>
      <c r="AF866" t="str">
        <f t="shared" si="19"/>
        <v/>
      </c>
      <c r="AH866" t="str">
        <f t="shared" si="21"/>
        <v/>
      </c>
      <c r="AJ866" t="str">
        <f t="shared" si="23"/>
        <v/>
      </c>
    </row>
    <row r="867">
      <c r="P867" t="str">
        <f t="shared" si="3"/>
        <v/>
      </c>
      <c r="R867" t="str">
        <f t="shared" si="5"/>
        <v/>
      </c>
      <c r="T867" t="str">
        <f t="shared" si="7"/>
        <v/>
      </c>
      <c r="V867" t="str">
        <f t="shared" si="9"/>
        <v/>
      </c>
      <c r="X867" t="str">
        <f t="shared" si="11"/>
        <v/>
      </c>
      <c r="Z867" t="str">
        <f t="shared" si="13"/>
        <v/>
      </c>
      <c r="AB867" t="str">
        <f t="shared" si="15"/>
        <v/>
      </c>
      <c r="AD867" t="str">
        <f t="shared" si="17"/>
        <v/>
      </c>
      <c r="AF867" t="str">
        <f t="shared" si="19"/>
        <v/>
      </c>
      <c r="AH867" t="str">
        <f t="shared" si="21"/>
        <v/>
      </c>
      <c r="AJ867" t="str">
        <f t="shared" si="23"/>
        <v/>
      </c>
    </row>
    <row r="868">
      <c r="P868" t="str">
        <f t="shared" si="3"/>
        <v/>
      </c>
      <c r="R868" t="str">
        <f t="shared" si="5"/>
        <v/>
      </c>
      <c r="T868" t="str">
        <f t="shared" si="7"/>
        <v/>
      </c>
      <c r="V868" t="str">
        <f t="shared" si="9"/>
        <v/>
      </c>
      <c r="X868" t="str">
        <f t="shared" si="11"/>
        <v/>
      </c>
      <c r="Z868" t="str">
        <f t="shared" si="13"/>
        <v/>
      </c>
      <c r="AB868" t="str">
        <f t="shared" si="15"/>
        <v/>
      </c>
      <c r="AD868" t="str">
        <f t="shared" si="17"/>
        <v/>
      </c>
      <c r="AF868" t="str">
        <f t="shared" si="19"/>
        <v/>
      </c>
      <c r="AH868" t="str">
        <f t="shared" si="21"/>
        <v/>
      </c>
      <c r="AJ868" t="str">
        <f t="shared" si="23"/>
        <v/>
      </c>
    </row>
    <row r="869">
      <c r="P869" t="str">
        <f t="shared" si="3"/>
        <v/>
      </c>
      <c r="R869" t="str">
        <f t="shared" si="5"/>
        <v/>
      </c>
      <c r="T869" t="str">
        <f t="shared" si="7"/>
        <v/>
      </c>
      <c r="V869" t="str">
        <f t="shared" si="9"/>
        <v/>
      </c>
      <c r="X869" t="str">
        <f t="shared" si="11"/>
        <v/>
      </c>
      <c r="Z869" t="str">
        <f t="shared" si="13"/>
        <v/>
      </c>
      <c r="AB869" t="str">
        <f t="shared" si="15"/>
        <v/>
      </c>
      <c r="AD869" t="str">
        <f t="shared" si="17"/>
        <v/>
      </c>
      <c r="AF869" t="str">
        <f t="shared" si="19"/>
        <v/>
      </c>
      <c r="AH869" t="str">
        <f t="shared" si="21"/>
        <v/>
      </c>
      <c r="AJ869" t="str">
        <f t="shared" si="23"/>
        <v/>
      </c>
    </row>
    <row r="870">
      <c r="P870" t="str">
        <f t="shared" si="3"/>
        <v/>
      </c>
      <c r="R870" t="str">
        <f t="shared" si="5"/>
        <v/>
      </c>
      <c r="T870" t="str">
        <f t="shared" si="7"/>
        <v/>
      </c>
      <c r="V870" t="str">
        <f t="shared" si="9"/>
        <v/>
      </c>
      <c r="X870" t="str">
        <f t="shared" si="11"/>
        <v/>
      </c>
      <c r="Z870" t="str">
        <f t="shared" si="13"/>
        <v/>
      </c>
      <c r="AB870" t="str">
        <f t="shared" si="15"/>
        <v/>
      </c>
      <c r="AD870" t="str">
        <f t="shared" si="17"/>
        <v/>
      </c>
      <c r="AF870" t="str">
        <f t="shared" si="19"/>
        <v/>
      </c>
      <c r="AH870" t="str">
        <f t="shared" si="21"/>
        <v/>
      </c>
      <c r="AJ870" t="str">
        <f t="shared" si="23"/>
        <v/>
      </c>
    </row>
    <row r="871">
      <c r="P871" t="str">
        <f t="shared" si="3"/>
        <v/>
      </c>
      <c r="R871" t="str">
        <f t="shared" si="5"/>
        <v/>
      </c>
      <c r="T871" t="str">
        <f t="shared" si="7"/>
        <v/>
      </c>
      <c r="V871" t="str">
        <f t="shared" si="9"/>
        <v/>
      </c>
      <c r="X871" t="str">
        <f t="shared" si="11"/>
        <v/>
      </c>
      <c r="Z871" t="str">
        <f t="shared" si="13"/>
        <v/>
      </c>
      <c r="AB871" t="str">
        <f t="shared" si="15"/>
        <v/>
      </c>
      <c r="AD871" t="str">
        <f t="shared" si="17"/>
        <v/>
      </c>
      <c r="AF871" t="str">
        <f t="shared" si="19"/>
        <v/>
      </c>
      <c r="AH871" t="str">
        <f t="shared" si="21"/>
        <v/>
      </c>
      <c r="AJ871" t="str">
        <f t="shared" si="23"/>
        <v/>
      </c>
    </row>
    <row r="872">
      <c r="P872" t="str">
        <f t="shared" si="3"/>
        <v/>
      </c>
      <c r="R872" t="str">
        <f t="shared" si="5"/>
        <v/>
      </c>
      <c r="T872" t="str">
        <f t="shared" si="7"/>
        <v/>
      </c>
      <c r="V872" t="str">
        <f t="shared" si="9"/>
        <v/>
      </c>
      <c r="X872" t="str">
        <f t="shared" si="11"/>
        <v/>
      </c>
      <c r="Z872" t="str">
        <f t="shared" si="13"/>
        <v/>
      </c>
      <c r="AB872" t="str">
        <f t="shared" si="15"/>
        <v/>
      </c>
      <c r="AD872" t="str">
        <f t="shared" si="17"/>
        <v/>
      </c>
      <c r="AF872" t="str">
        <f t="shared" si="19"/>
        <v/>
      </c>
      <c r="AH872" t="str">
        <f t="shared" si="21"/>
        <v/>
      </c>
      <c r="AJ872" t="str">
        <f t="shared" si="23"/>
        <v/>
      </c>
    </row>
    <row r="873">
      <c r="P873" t="str">
        <f t="shared" si="3"/>
        <v/>
      </c>
      <c r="R873" t="str">
        <f t="shared" si="5"/>
        <v/>
      </c>
      <c r="T873" t="str">
        <f t="shared" si="7"/>
        <v/>
      </c>
      <c r="V873" t="str">
        <f t="shared" si="9"/>
        <v/>
      </c>
      <c r="X873" t="str">
        <f t="shared" si="11"/>
        <v/>
      </c>
      <c r="Z873" t="str">
        <f t="shared" si="13"/>
        <v/>
      </c>
      <c r="AB873" t="str">
        <f t="shared" si="15"/>
        <v/>
      </c>
      <c r="AD873" t="str">
        <f t="shared" si="17"/>
        <v/>
      </c>
      <c r="AF873" t="str">
        <f t="shared" si="19"/>
        <v/>
      </c>
      <c r="AH873" t="str">
        <f t="shared" si="21"/>
        <v/>
      </c>
      <c r="AJ873" t="str">
        <f t="shared" si="23"/>
        <v/>
      </c>
    </row>
    <row r="874">
      <c r="P874" t="str">
        <f t="shared" si="3"/>
        <v/>
      </c>
      <c r="R874" t="str">
        <f t="shared" si="5"/>
        <v/>
      </c>
      <c r="T874" t="str">
        <f t="shared" si="7"/>
        <v/>
      </c>
      <c r="V874" t="str">
        <f t="shared" si="9"/>
        <v/>
      </c>
      <c r="X874" t="str">
        <f t="shared" si="11"/>
        <v/>
      </c>
      <c r="Z874" t="str">
        <f t="shared" si="13"/>
        <v/>
      </c>
      <c r="AB874" t="str">
        <f t="shared" si="15"/>
        <v/>
      </c>
      <c r="AD874" t="str">
        <f t="shared" si="17"/>
        <v/>
      </c>
      <c r="AF874" t="str">
        <f t="shared" si="19"/>
        <v/>
      </c>
      <c r="AH874" t="str">
        <f t="shared" si="21"/>
        <v/>
      </c>
      <c r="AJ874" t="str">
        <f t="shared" si="23"/>
        <v/>
      </c>
    </row>
    <row r="875">
      <c r="P875" t="str">
        <f t="shared" si="3"/>
        <v/>
      </c>
      <c r="R875" t="str">
        <f t="shared" si="5"/>
        <v/>
      </c>
      <c r="T875" t="str">
        <f t="shared" si="7"/>
        <v/>
      </c>
      <c r="V875" t="str">
        <f t="shared" si="9"/>
        <v/>
      </c>
      <c r="X875" t="str">
        <f t="shared" si="11"/>
        <v/>
      </c>
      <c r="Z875" t="str">
        <f t="shared" si="13"/>
        <v/>
      </c>
      <c r="AB875" t="str">
        <f t="shared" si="15"/>
        <v/>
      </c>
      <c r="AD875" t="str">
        <f t="shared" si="17"/>
        <v/>
      </c>
      <c r="AF875" t="str">
        <f t="shared" si="19"/>
        <v/>
      </c>
      <c r="AH875" t="str">
        <f t="shared" si="21"/>
        <v/>
      </c>
      <c r="AJ875" t="str">
        <f t="shared" si="23"/>
        <v/>
      </c>
    </row>
    <row r="876">
      <c r="P876" t="str">
        <f t="shared" si="3"/>
        <v/>
      </c>
      <c r="R876" t="str">
        <f t="shared" si="5"/>
        <v/>
      </c>
      <c r="T876" t="str">
        <f t="shared" si="7"/>
        <v/>
      </c>
      <c r="V876" t="str">
        <f t="shared" si="9"/>
        <v/>
      </c>
      <c r="X876" t="str">
        <f t="shared" si="11"/>
        <v/>
      </c>
      <c r="Z876" t="str">
        <f t="shared" si="13"/>
        <v/>
      </c>
      <c r="AB876" t="str">
        <f t="shared" si="15"/>
        <v/>
      </c>
      <c r="AD876" t="str">
        <f t="shared" si="17"/>
        <v/>
      </c>
      <c r="AF876" t="str">
        <f t="shared" si="19"/>
        <v/>
      </c>
      <c r="AH876" t="str">
        <f t="shared" si="21"/>
        <v/>
      </c>
      <c r="AJ876" t="str">
        <f t="shared" si="23"/>
        <v/>
      </c>
    </row>
    <row r="877">
      <c r="P877" t="str">
        <f t="shared" si="3"/>
        <v/>
      </c>
      <c r="R877" t="str">
        <f t="shared" si="5"/>
        <v/>
      </c>
      <c r="T877" t="str">
        <f t="shared" si="7"/>
        <v/>
      </c>
      <c r="V877" t="str">
        <f t="shared" si="9"/>
        <v/>
      </c>
      <c r="X877" t="str">
        <f t="shared" si="11"/>
        <v/>
      </c>
      <c r="Z877" t="str">
        <f t="shared" si="13"/>
        <v/>
      </c>
      <c r="AB877" t="str">
        <f t="shared" si="15"/>
        <v/>
      </c>
      <c r="AD877" t="str">
        <f t="shared" si="17"/>
        <v/>
      </c>
      <c r="AF877" t="str">
        <f t="shared" si="19"/>
        <v/>
      </c>
      <c r="AH877" t="str">
        <f t="shared" si="21"/>
        <v/>
      </c>
      <c r="AJ877" t="str">
        <f t="shared" si="23"/>
        <v/>
      </c>
    </row>
    <row r="878">
      <c r="P878" t="str">
        <f t="shared" si="3"/>
        <v/>
      </c>
      <c r="R878" t="str">
        <f t="shared" si="5"/>
        <v/>
      </c>
      <c r="T878" t="str">
        <f t="shared" si="7"/>
        <v/>
      </c>
      <c r="V878" t="str">
        <f t="shared" si="9"/>
        <v/>
      </c>
      <c r="X878" t="str">
        <f t="shared" si="11"/>
        <v/>
      </c>
      <c r="Z878" t="str">
        <f t="shared" si="13"/>
        <v/>
      </c>
      <c r="AB878" t="str">
        <f t="shared" si="15"/>
        <v/>
      </c>
      <c r="AD878" t="str">
        <f t="shared" si="17"/>
        <v/>
      </c>
      <c r="AF878" t="str">
        <f t="shared" si="19"/>
        <v/>
      </c>
      <c r="AH878" t="str">
        <f t="shared" si="21"/>
        <v/>
      </c>
      <c r="AJ878" t="str">
        <f t="shared" si="23"/>
        <v/>
      </c>
    </row>
    <row r="879">
      <c r="P879" t="str">
        <f t="shared" si="3"/>
        <v/>
      </c>
      <c r="R879" t="str">
        <f t="shared" si="5"/>
        <v/>
      </c>
      <c r="T879" t="str">
        <f t="shared" si="7"/>
        <v/>
      </c>
      <c r="V879" t="str">
        <f t="shared" si="9"/>
        <v/>
      </c>
      <c r="X879" t="str">
        <f t="shared" si="11"/>
        <v/>
      </c>
      <c r="Z879" t="str">
        <f t="shared" si="13"/>
        <v/>
      </c>
      <c r="AB879" t="str">
        <f t="shared" si="15"/>
        <v/>
      </c>
      <c r="AD879" t="str">
        <f t="shared" si="17"/>
        <v/>
      </c>
      <c r="AF879" t="str">
        <f t="shared" si="19"/>
        <v/>
      </c>
      <c r="AH879" t="str">
        <f t="shared" si="21"/>
        <v/>
      </c>
      <c r="AJ879" t="str">
        <f t="shared" si="23"/>
        <v/>
      </c>
    </row>
    <row r="880">
      <c r="P880" t="str">
        <f t="shared" si="3"/>
        <v/>
      </c>
      <c r="R880" t="str">
        <f t="shared" si="5"/>
        <v/>
      </c>
      <c r="T880" t="str">
        <f t="shared" si="7"/>
        <v/>
      </c>
      <c r="V880" t="str">
        <f t="shared" si="9"/>
        <v/>
      </c>
      <c r="X880" t="str">
        <f t="shared" si="11"/>
        <v/>
      </c>
      <c r="Z880" t="str">
        <f t="shared" si="13"/>
        <v/>
      </c>
      <c r="AB880" t="str">
        <f t="shared" si="15"/>
        <v/>
      </c>
      <c r="AD880" t="str">
        <f t="shared" si="17"/>
        <v/>
      </c>
      <c r="AF880" t="str">
        <f t="shared" si="19"/>
        <v/>
      </c>
      <c r="AH880" t="str">
        <f t="shared" si="21"/>
        <v/>
      </c>
      <c r="AJ880" t="str">
        <f t="shared" si="23"/>
        <v/>
      </c>
    </row>
    <row r="881">
      <c r="P881" t="str">
        <f t="shared" si="3"/>
        <v/>
      </c>
      <c r="R881" t="str">
        <f t="shared" si="5"/>
        <v/>
      </c>
      <c r="T881" t="str">
        <f t="shared" si="7"/>
        <v/>
      </c>
      <c r="V881" t="str">
        <f t="shared" si="9"/>
        <v/>
      </c>
      <c r="X881" t="str">
        <f t="shared" si="11"/>
        <v/>
      </c>
      <c r="Z881" t="str">
        <f t="shared" si="13"/>
        <v/>
      </c>
      <c r="AB881" t="str">
        <f t="shared" si="15"/>
        <v/>
      </c>
      <c r="AD881" t="str">
        <f t="shared" si="17"/>
        <v/>
      </c>
      <c r="AF881" t="str">
        <f t="shared" si="19"/>
        <v/>
      </c>
      <c r="AH881" t="str">
        <f t="shared" si="21"/>
        <v/>
      </c>
      <c r="AJ881" t="str">
        <f t="shared" si="23"/>
        <v/>
      </c>
    </row>
    <row r="882">
      <c r="P882" t="str">
        <f t="shared" si="3"/>
        <v/>
      </c>
      <c r="R882" t="str">
        <f t="shared" si="5"/>
        <v/>
      </c>
      <c r="T882" t="str">
        <f t="shared" si="7"/>
        <v/>
      </c>
      <c r="V882" t="str">
        <f t="shared" si="9"/>
        <v/>
      </c>
      <c r="X882" t="str">
        <f t="shared" si="11"/>
        <v/>
      </c>
      <c r="Z882" t="str">
        <f t="shared" si="13"/>
        <v/>
      </c>
      <c r="AB882" t="str">
        <f t="shared" si="15"/>
        <v/>
      </c>
      <c r="AD882" t="str">
        <f t="shared" si="17"/>
        <v/>
      </c>
      <c r="AF882" t="str">
        <f t="shared" si="19"/>
        <v/>
      </c>
      <c r="AH882" t="str">
        <f t="shared" si="21"/>
        <v/>
      </c>
      <c r="AJ882" t="str">
        <f t="shared" si="23"/>
        <v/>
      </c>
    </row>
    <row r="883">
      <c r="P883" t="str">
        <f t="shared" si="3"/>
        <v/>
      </c>
      <c r="R883" t="str">
        <f t="shared" si="5"/>
        <v/>
      </c>
      <c r="T883" t="str">
        <f t="shared" si="7"/>
        <v/>
      </c>
      <c r="V883" t="str">
        <f t="shared" si="9"/>
        <v/>
      </c>
      <c r="X883" t="str">
        <f t="shared" si="11"/>
        <v/>
      </c>
      <c r="Z883" t="str">
        <f t="shared" si="13"/>
        <v/>
      </c>
      <c r="AB883" t="str">
        <f t="shared" si="15"/>
        <v/>
      </c>
      <c r="AD883" t="str">
        <f t="shared" si="17"/>
        <v/>
      </c>
      <c r="AF883" t="str">
        <f t="shared" si="19"/>
        <v/>
      </c>
      <c r="AH883" t="str">
        <f t="shared" si="21"/>
        <v/>
      </c>
      <c r="AJ883" t="str">
        <f t="shared" si="23"/>
        <v/>
      </c>
    </row>
    <row r="884">
      <c r="P884" t="str">
        <f t="shared" si="3"/>
        <v/>
      </c>
      <c r="R884" t="str">
        <f t="shared" si="5"/>
        <v/>
      </c>
      <c r="T884" t="str">
        <f t="shared" si="7"/>
        <v/>
      </c>
      <c r="V884" t="str">
        <f t="shared" si="9"/>
        <v/>
      </c>
      <c r="X884" t="str">
        <f t="shared" si="11"/>
        <v/>
      </c>
      <c r="Z884" t="str">
        <f t="shared" si="13"/>
        <v/>
      </c>
      <c r="AB884" t="str">
        <f t="shared" si="15"/>
        <v/>
      </c>
      <c r="AD884" t="str">
        <f t="shared" si="17"/>
        <v/>
      </c>
      <c r="AF884" t="str">
        <f t="shared" si="19"/>
        <v/>
      </c>
      <c r="AH884" t="str">
        <f t="shared" si="21"/>
        <v/>
      </c>
      <c r="AJ884" t="str">
        <f t="shared" si="23"/>
        <v/>
      </c>
    </row>
    <row r="885">
      <c r="P885" t="str">
        <f t="shared" si="3"/>
        <v/>
      </c>
      <c r="R885" t="str">
        <f t="shared" si="5"/>
        <v/>
      </c>
      <c r="T885" t="str">
        <f t="shared" si="7"/>
        <v/>
      </c>
      <c r="V885" t="str">
        <f t="shared" si="9"/>
        <v/>
      </c>
      <c r="X885" t="str">
        <f t="shared" si="11"/>
        <v/>
      </c>
      <c r="Z885" t="str">
        <f t="shared" si="13"/>
        <v/>
      </c>
      <c r="AB885" t="str">
        <f t="shared" si="15"/>
        <v/>
      </c>
      <c r="AD885" t="str">
        <f t="shared" si="17"/>
        <v/>
      </c>
      <c r="AF885" t="str">
        <f t="shared" si="19"/>
        <v/>
      </c>
      <c r="AH885" t="str">
        <f t="shared" si="21"/>
        <v/>
      </c>
      <c r="AJ885" t="str">
        <f t="shared" si="23"/>
        <v/>
      </c>
    </row>
    <row r="886">
      <c r="P886" t="str">
        <f t="shared" si="3"/>
        <v/>
      </c>
      <c r="R886" t="str">
        <f t="shared" si="5"/>
        <v/>
      </c>
      <c r="T886" t="str">
        <f t="shared" si="7"/>
        <v/>
      </c>
      <c r="V886" t="str">
        <f t="shared" si="9"/>
        <v/>
      </c>
      <c r="X886" t="str">
        <f t="shared" si="11"/>
        <v/>
      </c>
      <c r="Z886" t="str">
        <f t="shared" si="13"/>
        <v/>
      </c>
      <c r="AB886" t="str">
        <f t="shared" si="15"/>
        <v/>
      </c>
      <c r="AD886" t="str">
        <f t="shared" si="17"/>
        <v/>
      </c>
      <c r="AF886" t="str">
        <f t="shared" si="19"/>
        <v/>
      </c>
      <c r="AH886" t="str">
        <f t="shared" si="21"/>
        <v/>
      </c>
      <c r="AJ886" t="str">
        <f t="shared" si="23"/>
        <v/>
      </c>
    </row>
    <row r="887">
      <c r="P887" t="str">
        <f t="shared" si="3"/>
        <v/>
      </c>
      <c r="R887" t="str">
        <f t="shared" si="5"/>
        <v/>
      </c>
      <c r="T887" t="str">
        <f t="shared" si="7"/>
        <v/>
      </c>
      <c r="V887" t="str">
        <f t="shared" si="9"/>
        <v/>
      </c>
      <c r="X887" t="str">
        <f t="shared" si="11"/>
        <v/>
      </c>
      <c r="Z887" t="str">
        <f t="shared" si="13"/>
        <v/>
      </c>
      <c r="AB887" t="str">
        <f t="shared" si="15"/>
        <v/>
      </c>
      <c r="AD887" t="str">
        <f t="shared" si="17"/>
        <v/>
      </c>
      <c r="AF887" t="str">
        <f t="shared" si="19"/>
        <v/>
      </c>
      <c r="AH887" t="str">
        <f t="shared" si="21"/>
        <v/>
      </c>
      <c r="AJ887" t="str">
        <f t="shared" si="23"/>
        <v/>
      </c>
    </row>
    <row r="888">
      <c r="P888" t="str">
        <f t="shared" si="3"/>
        <v/>
      </c>
      <c r="R888" t="str">
        <f t="shared" si="5"/>
        <v/>
      </c>
      <c r="T888" t="str">
        <f t="shared" si="7"/>
        <v/>
      </c>
      <c r="V888" t="str">
        <f t="shared" si="9"/>
        <v/>
      </c>
      <c r="X888" t="str">
        <f t="shared" si="11"/>
        <v/>
      </c>
      <c r="Z888" t="str">
        <f t="shared" si="13"/>
        <v/>
      </c>
      <c r="AB888" t="str">
        <f t="shared" si="15"/>
        <v/>
      </c>
      <c r="AD888" t="str">
        <f t="shared" si="17"/>
        <v/>
      </c>
      <c r="AF888" t="str">
        <f t="shared" si="19"/>
        <v/>
      </c>
      <c r="AH888" t="str">
        <f t="shared" si="21"/>
        <v/>
      </c>
      <c r="AJ888" t="str">
        <f t="shared" si="23"/>
        <v/>
      </c>
    </row>
    <row r="889">
      <c r="P889" t="str">
        <f t="shared" si="3"/>
        <v/>
      </c>
      <c r="R889" t="str">
        <f t="shared" si="5"/>
        <v/>
      </c>
      <c r="T889" t="str">
        <f t="shared" si="7"/>
        <v/>
      </c>
      <c r="V889" t="str">
        <f t="shared" si="9"/>
        <v/>
      </c>
      <c r="X889" t="str">
        <f t="shared" si="11"/>
        <v/>
      </c>
      <c r="Z889" t="str">
        <f t="shared" si="13"/>
        <v/>
      </c>
      <c r="AB889" t="str">
        <f t="shared" si="15"/>
        <v/>
      </c>
      <c r="AD889" t="str">
        <f t="shared" si="17"/>
        <v/>
      </c>
      <c r="AF889" t="str">
        <f t="shared" si="19"/>
        <v/>
      </c>
      <c r="AH889" t="str">
        <f t="shared" si="21"/>
        <v/>
      </c>
      <c r="AJ889" t="str">
        <f t="shared" si="23"/>
        <v/>
      </c>
    </row>
    <row r="890">
      <c r="P890" t="str">
        <f t="shared" si="3"/>
        <v/>
      </c>
      <c r="R890" t="str">
        <f t="shared" si="5"/>
        <v/>
      </c>
      <c r="T890" t="str">
        <f t="shared" si="7"/>
        <v/>
      </c>
      <c r="V890" t="str">
        <f t="shared" si="9"/>
        <v/>
      </c>
      <c r="X890" t="str">
        <f t="shared" si="11"/>
        <v/>
      </c>
      <c r="Z890" t="str">
        <f t="shared" si="13"/>
        <v/>
      </c>
      <c r="AB890" t="str">
        <f t="shared" si="15"/>
        <v/>
      </c>
      <c r="AD890" t="str">
        <f t="shared" si="17"/>
        <v/>
      </c>
      <c r="AF890" t="str">
        <f t="shared" si="19"/>
        <v/>
      </c>
      <c r="AH890" t="str">
        <f t="shared" si="21"/>
        <v/>
      </c>
      <c r="AJ890" t="str">
        <f t="shared" si="23"/>
        <v/>
      </c>
    </row>
    <row r="891">
      <c r="P891" t="str">
        <f t="shared" si="3"/>
        <v/>
      </c>
      <c r="R891" t="str">
        <f t="shared" si="5"/>
        <v/>
      </c>
      <c r="T891" t="str">
        <f t="shared" si="7"/>
        <v/>
      </c>
      <c r="V891" t="str">
        <f t="shared" si="9"/>
        <v/>
      </c>
      <c r="X891" t="str">
        <f t="shared" si="11"/>
        <v/>
      </c>
      <c r="Z891" t="str">
        <f t="shared" si="13"/>
        <v/>
      </c>
      <c r="AB891" t="str">
        <f t="shared" si="15"/>
        <v/>
      </c>
      <c r="AD891" t="str">
        <f t="shared" si="17"/>
        <v/>
      </c>
      <c r="AF891" t="str">
        <f t="shared" si="19"/>
        <v/>
      </c>
      <c r="AH891" t="str">
        <f t="shared" si="21"/>
        <v/>
      </c>
      <c r="AJ891" t="str">
        <f t="shared" si="23"/>
        <v/>
      </c>
    </row>
    <row r="892">
      <c r="P892" t="str">
        <f t="shared" si="3"/>
        <v/>
      </c>
      <c r="R892" t="str">
        <f t="shared" si="5"/>
        <v/>
      </c>
      <c r="T892" t="str">
        <f t="shared" si="7"/>
        <v/>
      </c>
      <c r="V892" t="str">
        <f t="shared" si="9"/>
        <v/>
      </c>
      <c r="X892" t="str">
        <f t="shared" si="11"/>
        <v/>
      </c>
      <c r="Z892" t="str">
        <f t="shared" si="13"/>
        <v/>
      </c>
      <c r="AB892" t="str">
        <f t="shared" si="15"/>
        <v/>
      </c>
      <c r="AD892" t="str">
        <f t="shared" si="17"/>
        <v/>
      </c>
      <c r="AF892" t="str">
        <f t="shared" si="19"/>
        <v/>
      </c>
      <c r="AH892" t="str">
        <f t="shared" si="21"/>
        <v/>
      </c>
      <c r="AJ892" t="str">
        <f t="shared" si="23"/>
        <v/>
      </c>
    </row>
    <row r="893">
      <c r="P893" t="str">
        <f t="shared" si="3"/>
        <v/>
      </c>
      <c r="R893" t="str">
        <f t="shared" si="5"/>
        <v/>
      </c>
      <c r="T893" t="str">
        <f t="shared" si="7"/>
        <v/>
      </c>
      <c r="V893" t="str">
        <f t="shared" si="9"/>
        <v/>
      </c>
      <c r="X893" t="str">
        <f t="shared" si="11"/>
        <v/>
      </c>
      <c r="Z893" t="str">
        <f t="shared" si="13"/>
        <v/>
      </c>
      <c r="AB893" t="str">
        <f t="shared" si="15"/>
        <v/>
      </c>
      <c r="AD893" t="str">
        <f t="shared" si="17"/>
        <v/>
      </c>
      <c r="AF893" t="str">
        <f t="shared" si="19"/>
        <v/>
      </c>
      <c r="AH893" t="str">
        <f t="shared" si="21"/>
        <v/>
      </c>
      <c r="AJ893" t="str">
        <f t="shared" si="23"/>
        <v/>
      </c>
    </row>
    <row r="894">
      <c r="P894" t="str">
        <f t="shared" si="3"/>
        <v/>
      </c>
      <c r="R894" t="str">
        <f t="shared" si="5"/>
        <v/>
      </c>
      <c r="T894" t="str">
        <f t="shared" si="7"/>
        <v/>
      </c>
      <c r="V894" t="str">
        <f t="shared" si="9"/>
        <v/>
      </c>
      <c r="X894" t="str">
        <f t="shared" si="11"/>
        <v/>
      </c>
      <c r="Z894" t="str">
        <f t="shared" si="13"/>
        <v/>
      </c>
      <c r="AB894" t="str">
        <f t="shared" si="15"/>
        <v/>
      </c>
      <c r="AD894" t="str">
        <f t="shared" si="17"/>
        <v/>
      </c>
      <c r="AF894" t="str">
        <f t="shared" si="19"/>
        <v/>
      </c>
      <c r="AH894" t="str">
        <f t="shared" si="21"/>
        <v/>
      </c>
      <c r="AJ894" t="str">
        <f t="shared" si="23"/>
        <v/>
      </c>
    </row>
    <row r="895">
      <c r="P895" t="str">
        <f t="shared" si="3"/>
        <v/>
      </c>
      <c r="R895" t="str">
        <f t="shared" si="5"/>
        <v/>
      </c>
      <c r="T895" t="str">
        <f t="shared" si="7"/>
        <v/>
      </c>
      <c r="V895" t="str">
        <f t="shared" si="9"/>
        <v/>
      </c>
      <c r="X895" t="str">
        <f t="shared" si="11"/>
        <v/>
      </c>
      <c r="Z895" t="str">
        <f t="shared" si="13"/>
        <v/>
      </c>
      <c r="AB895" t="str">
        <f t="shared" si="15"/>
        <v/>
      </c>
      <c r="AD895" t="str">
        <f t="shared" si="17"/>
        <v/>
      </c>
      <c r="AF895" t="str">
        <f t="shared" si="19"/>
        <v/>
      </c>
      <c r="AH895" t="str">
        <f t="shared" si="21"/>
        <v/>
      </c>
      <c r="AJ895" t="str">
        <f t="shared" si="23"/>
        <v/>
      </c>
    </row>
    <row r="896">
      <c r="P896" t="str">
        <f t="shared" si="3"/>
        <v/>
      </c>
      <c r="R896" t="str">
        <f t="shared" si="5"/>
        <v/>
      </c>
      <c r="T896" t="str">
        <f t="shared" si="7"/>
        <v/>
      </c>
      <c r="V896" t="str">
        <f t="shared" si="9"/>
        <v/>
      </c>
      <c r="X896" t="str">
        <f t="shared" si="11"/>
        <v/>
      </c>
      <c r="Z896" t="str">
        <f t="shared" si="13"/>
        <v/>
      </c>
      <c r="AB896" t="str">
        <f t="shared" si="15"/>
        <v/>
      </c>
      <c r="AD896" t="str">
        <f t="shared" si="17"/>
        <v/>
      </c>
      <c r="AF896" t="str">
        <f t="shared" si="19"/>
        <v/>
      </c>
      <c r="AH896" t="str">
        <f t="shared" si="21"/>
        <v/>
      </c>
      <c r="AJ896" t="str">
        <f t="shared" si="23"/>
        <v/>
      </c>
    </row>
    <row r="897">
      <c r="P897" t="str">
        <f t="shared" si="3"/>
        <v/>
      </c>
      <c r="R897" t="str">
        <f t="shared" si="5"/>
        <v/>
      </c>
      <c r="T897" t="str">
        <f t="shared" si="7"/>
        <v/>
      </c>
      <c r="V897" t="str">
        <f t="shared" si="9"/>
        <v/>
      </c>
      <c r="X897" t="str">
        <f t="shared" si="11"/>
        <v/>
      </c>
      <c r="Z897" t="str">
        <f t="shared" si="13"/>
        <v/>
      </c>
      <c r="AB897" t="str">
        <f t="shared" si="15"/>
        <v/>
      </c>
      <c r="AD897" t="str">
        <f t="shared" si="17"/>
        <v/>
      </c>
      <c r="AF897" t="str">
        <f t="shared" si="19"/>
        <v/>
      </c>
      <c r="AH897" t="str">
        <f t="shared" si="21"/>
        <v/>
      </c>
      <c r="AJ897" t="str">
        <f t="shared" si="23"/>
        <v/>
      </c>
    </row>
    <row r="898">
      <c r="P898" t="str">
        <f t="shared" si="3"/>
        <v/>
      </c>
      <c r="R898" t="str">
        <f t="shared" si="5"/>
        <v/>
      </c>
      <c r="T898" t="str">
        <f t="shared" si="7"/>
        <v/>
      </c>
      <c r="V898" t="str">
        <f t="shared" si="9"/>
        <v/>
      </c>
      <c r="X898" t="str">
        <f t="shared" si="11"/>
        <v/>
      </c>
      <c r="Z898" t="str">
        <f t="shared" si="13"/>
        <v/>
      </c>
      <c r="AB898" t="str">
        <f t="shared" si="15"/>
        <v/>
      </c>
      <c r="AD898" t="str">
        <f t="shared" si="17"/>
        <v/>
      </c>
      <c r="AF898" t="str">
        <f t="shared" si="19"/>
        <v/>
      </c>
      <c r="AH898" t="str">
        <f t="shared" si="21"/>
        <v/>
      </c>
      <c r="AJ898" t="str">
        <f t="shared" si="23"/>
        <v/>
      </c>
    </row>
    <row r="899">
      <c r="P899" t="str">
        <f t="shared" si="3"/>
        <v/>
      </c>
      <c r="R899" t="str">
        <f t="shared" si="5"/>
        <v/>
      </c>
      <c r="T899" t="str">
        <f t="shared" si="7"/>
        <v/>
      </c>
      <c r="V899" t="str">
        <f t="shared" si="9"/>
        <v/>
      </c>
      <c r="X899" t="str">
        <f t="shared" si="11"/>
        <v/>
      </c>
      <c r="Z899" t="str">
        <f t="shared" si="13"/>
        <v/>
      </c>
      <c r="AB899" t="str">
        <f t="shared" si="15"/>
        <v/>
      </c>
      <c r="AD899" t="str">
        <f t="shared" si="17"/>
        <v/>
      </c>
      <c r="AF899" t="str">
        <f t="shared" si="19"/>
        <v/>
      </c>
      <c r="AH899" t="str">
        <f t="shared" si="21"/>
        <v/>
      </c>
      <c r="AJ899" t="str">
        <f t="shared" si="23"/>
        <v/>
      </c>
    </row>
    <row r="900">
      <c r="P900" t="str">
        <f t="shared" si="3"/>
        <v/>
      </c>
      <c r="R900" t="str">
        <f t="shared" si="5"/>
        <v/>
      </c>
      <c r="T900" t="str">
        <f t="shared" si="7"/>
        <v/>
      </c>
      <c r="V900" t="str">
        <f t="shared" si="9"/>
        <v/>
      </c>
      <c r="X900" t="str">
        <f t="shared" si="11"/>
        <v/>
      </c>
      <c r="Z900" t="str">
        <f t="shared" si="13"/>
        <v/>
      </c>
      <c r="AB900" t="str">
        <f t="shared" si="15"/>
        <v/>
      </c>
      <c r="AD900" t="str">
        <f t="shared" si="17"/>
        <v/>
      </c>
      <c r="AF900" t="str">
        <f t="shared" si="19"/>
        <v/>
      </c>
      <c r="AH900" t="str">
        <f t="shared" si="21"/>
        <v/>
      </c>
      <c r="AJ900" t="str">
        <f t="shared" si="23"/>
        <v/>
      </c>
    </row>
    <row r="901">
      <c r="P901" t="str">
        <f t="shared" si="3"/>
        <v/>
      </c>
      <c r="R901" t="str">
        <f t="shared" si="5"/>
        <v/>
      </c>
      <c r="T901" t="str">
        <f t="shared" si="7"/>
        <v/>
      </c>
      <c r="V901" t="str">
        <f t="shared" si="9"/>
        <v/>
      </c>
      <c r="X901" t="str">
        <f t="shared" si="11"/>
        <v/>
      </c>
      <c r="Z901" t="str">
        <f t="shared" si="13"/>
        <v/>
      </c>
      <c r="AB901" t="str">
        <f t="shared" si="15"/>
        <v/>
      </c>
      <c r="AD901" t="str">
        <f t="shared" si="17"/>
        <v/>
      </c>
      <c r="AF901" t="str">
        <f t="shared" si="19"/>
        <v/>
      </c>
      <c r="AH901" t="str">
        <f t="shared" si="21"/>
        <v/>
      </c>
      <c r="AJ901" t="str">
        <f t="shared" si="23"/>
        <v/>
      </c>
    </row>
    <row r="902">
      <c r="P902" t="str">
        <f t="shared" si="3"/>
        <v/>
      </c>
      <c r="R902" t="str">
        <f t="shared" si="5"/>
        <v/>
      </c>
      <c r="T902" t="str">
        <f t="shared" si="7"/>
        <v/>
      </c>
      <c r="V902" t="str">
        <f t="shared" si="9"/>
        <v/>
      </c>
      <c r="X902" t="str">
        <f t="shared" si="11"/>
        <v/>
      </c>
      <c r="Z902" t="str">
        <f t="shared" si="13"/>
        <v/>
      </c>
      <c r="AB902" t="str">
        <f t="shared" si="15"/>
        <v/>
      </c>
      <c r="AD902" t="str">
        <f t="shared" si="17"/>
        <v/>
      </c>
      <c r="AF902" t="str">
        <f t="shared" si="19"/>
        <v/>
      </c>
      <c r="AH902" t="str">
        <f t="shared" si="21"/>
        <v/>
      </c>
      <c r="AJ902" t="str">
        <f t="shared" si="23"/>
        <v/>
      </c>
    </row>
    <row r="903">
      <c r="P903" t="str">
        <f t="shared" si="3"/>
        <v/>
      </c>
      <c r="R903" t="str">
        <f t="shared" si="5"/>
        <v/>
      </c>
      <c r="T903" t="str">
        <f t="shared" si="7"/>
        <v/>
      </c>
      <c r="V903" t="str">
        <f t="shared" si="9"/>
        <v/>
      </c>
      <c r="X903" t="str">
        <f t="shared" si="11"/>
        <v/>
      </c>
      <c r="Z903" t="str">
        <f t="shared" si="13"/>
        <v/>
      </c>
      <c r="AB903" t="str">
        <f t="shared" si="15"/>
        <v/>
      </c>
      <c r="AD903" t="str">
        <f t="shared" si="17"/>
        <v/>
      </c>
      <c r="AF903" t="str">
        <f t="shared" si="19"/>
        <v/>
      </c>
      <c r="AH903" t="str">
        <f t="shared" si="21"/>
        <v/>
      </c>
      <c r="AJ903" t="str">
        <f t="shared" si="23"/>
        <v/>
      </c>
    </row>
    <row r="904">
      <c r="P904" t="str">
        <f t="shared" si="3"/>
        <v/>
      </c>
      <c r="R904" t="str">
        <f t="shared" si="5"/>
        <v/>
      </c>
      <c r="T904" t="str">
        <f t="shared" si="7"/>
        <v/>
      </c>
      <c r="V904" t="str">
        <f t="shared" si="9"/>
        <v/>
      </c>
      <c r="X904" t="str">
        <f t="shared" si="11"/>
        <v/>
      </c>
      <c r="Z904" t="str">
        <f t="shared" si="13"/>
        <v/>
      </c>
      <c r="AB904" t="str">
        <f t="shared" si="15"/>
        <v/>
      </c>
      <c r="AD904" t="str">
        <f t="shared" si="17"/>
        <v/>
      </c>
      <c r="AF904" t="str">
        <f t="shared" si="19"/>
        <v/>
      </c>
      <c r="AH904" t="str">
        <f t="shared" si="21"/>
        <v/>
      </c>
      <c r="AJ904" t="str">
        <f t="shared" si="23"/>
        <v/>
      </c>
    </row>
    <row r="905">
      <c r="P905" t="str">
        <f t="shared" si="3"/>
        <v/>
      </c>
      <c r="R905" t="str">
        <f t="shared" si="5"/>
        <v/>
      </c>
      <c r="T905" t="str">
        <f t="shared" si="7"/>
        <v/>
      </c>
      <c r="V905" t="str">
        <f t="shared" si="9"/>
        <v/>
      </c>
      <c r="X905" t="str">
        <f t="shared" si="11"/>
        <v/>
      </c>
      <c r="Z905" t="str">
        <f t="shared" si="13"/>
        <v/>
      </c>
      <c r="AB905" t="str">
        <f t="shared" si="15"/>
        <v/>
      </c>
      <c r="AD905" t="str">
        <f t="shared" si="17"/>
        <v/>
      </c>
      <c r="AF905" t="str">
        <f t="shared" si="19"/>
        <v/>
      </c>
      <c r="AH905" t="str">
        <f t="shared" si="21"/>
        <v/>
      </c>
      <c r="AJ905" t="str">
        <f t="shared" si="23"/>
        <v/>
      </c>
    </row>
    <row r="906">
      <c r="P906" t="str">
        <f t="shared" si="3"/>
        <v/>
      </c>
      <c r="R906" t="str">
        <f t="shared" si="5"/>
        <v/>
      </c>
      <c r="T906" t="str">
        <f t="shared" si="7"/>
        <v/>
      </c>
      <c r="V906" t="str">
        <f t="shared" si="9"/>
        <v/>
      </c>
      <c r="X906" t="str">
        <f t="shared" si="11"/>
        <v/>
      </c>
      <c r="Z906" t="str">
        <f t="shared" si="13"/>
        <v/>
      </c>
      <c r="AB906" t="str">
        <f t="shared" si="15"/>
        <v/>
      </c>
      <c r="AD906" t="str">
        <f t="shared" si="17"/>
        <v/>
      </c>
      <c r="AF906" t="str">
        <f t="shared" si="19"/>
        <v/>
      </c>
      <c r="AH906" t="str">
        <f t="shared" si="21"/>
        <v/>
      </c>
      <c r="AJ906" t="str">
        <f t="shared" si="23"/>
        <v/>
      </c>
    </row>
    <row r="907">
      <c r="P907" t="str">
        <f t="shared" si="3"/>
        <v/>
      </c>
      <c r="R907" t="str">
        <f t="shared" si="5"/>
        <v/>
      </c>
      <c r="T907" t="str">
        <f t="shared" si="7"/>
        <v/>
      </c>
      <c r="V907" t="str">
        <f t="shared" si="9"/>
        <v/>
      </c>
      <c r="X907" t="str">
        <f t="shared" si="11"/>
        <v/>
      </c>
      <c r="Z907" t="str">
        <f t="shared" si="13"/>
        <v/>
      </c>
      <c r="AB907" t="str">
        <f t="shared" si="15"/>
        <v/>
      </c>
      <c r="AD907" t="str">
        <f t="shared" si="17"/>
        <v/>
      </c>
      <c r="AF907" t="str">
        <f t="shared" si="19"/>
        <v/>
      </c>
      <c r="AH907" t="str">
        <f t="shared" si="21"/>
        <v/>
      </c>
      <c r="AJ907" t="str">
        <f t="shared" si="23"/>
        <v/>
      </c>
    </row>
    <row r="908">
      <c r="P908" t="str">
        <f t="shared" si="3"/>
        <v/>
      </c>
      <c r="R908" t="str">
        <f t="shared" si="5"/>
        <v/>
      </c>
      <c r="T908" t="str">
        <f t="shared" si="7"/>
        <v/>
      </c>
      <c r="V908" t="str">
        <f t="shared" si="9"/>
        <v/>
      </c>
      <c r="X908" t="str">
        <f t="shared" si="11"/>
        <v/>
      </c>
      <c r="Z908" t="str">
        <f t="shared" si="13"/>
        <v/>
      </c>
      <c r="AB908" t="str">
        <f t="shared" si="15"/>
        <v/>
      </c>
      <c r="AD908" t="str">
        <f t="shared" si="17"/>
        <v/>
      </c>
      <c r="AF908" t="str">
        <f t="shared" si="19"/>
        <v/>
      </c>
      <c r="AH908" t="str">
        <f t="shared" si="21"/>
        <v/>
      </c>
      <c r="AJ908" t="str">
        <f t="shared" si="23"/>
        <v/>
      </c>
    </row>
    <row r="909">
      <c r="P909" t="str">
        <f t="shared" si="3"/>
        <v/>
      </c>
      <c r="R909" t="str">
        <f t="shared" si="5"/>
        <v/>
      </c>
      <c r="T909" t="str">
        <f t="shared" si="7"/>
        <v/>
      </c>
      <c r="V909" t="str">
        <f t="shared" si="9"/>
        <v/>
      </c>
      <c r="X909" t="str">
        <f t="shared" si="11"/>
        <v/>
      </c>
      <c r="Z909" t="str">
        <f t="shared" si="13"/>
        <v/>
      </c>
      <c r="AB909" t="str">
        <f t="shared" si="15"/>
        <v/>
      </c>
      <c r="AD909" t="str">
        <f t="shared" si="17"/>
        <v/>
      </c>
      <c r="AF909" t="str">
        <f t="shared" si="19"/>
        <v/>
      </c>
      <c r="AH909" t="str">
        <f t="shared" si="21"/>
        <v/>
      </c>
      <c r="AJ909" t="str">
        <f t="shared" si="23"/>
        <v/>
      </c>
    </row>
    <row r="910">
      <c r="P910" t="str">
        <f t="shared" si="3"/>
        <v/>
      </c>
      <c r="R910" t="str">
        <f t="shared" si="5"/>
        <v/>
      </c>
      <c r="T910" t="str">
        <f t="shared" si="7"/>
        <v/>
      </c>
      <c r="V910" t="str">
        <f t="shared" si="9"/>
        <v/>
      </c>
      <c r="X910" t="str">
        <f t="shared" si="11"/>
        <v/>
      </c>
      <c r="Z910" t="str">
        <f t="shared" si="13"/>
        <v/>
      </c>
      <c r="AB910" t="str">
        <f t="shared" si="15"/>
        <v/>
      </c>
      <c r="AD910" t="str">
        <f t="shared" si="17"/>
        <v/>
      </c>
      <c r="AF910" t="str">
        <f t="shared" si="19"/>
        <v/>
      </c>
      <c r="AH910" t="str">
        <f t="shared" si="21"/>
        <v/>
      </c>
      <c r="AJ910" t="str">
        <f t="shared" si="23"/>
        <v/>
      </c>
    </row>
    <row r="911">
      <c r="P911" t="str">
        <f t="shared" si="3"/>
        <v/>
      </c>
      <c r="R911" t="str">
        <f t="shared" si="5"/>
        <v/>
      </c>
      <c r="T911" t="str">
        <f t="shared" si="7"/>
        <v/>
      </c>
      <c r="V911" t="str">
        <f t="shared" si="9"/>
        <v/>
      </c>
      <c r="X911" t="str">
        <f t="shared" si="11"/>
        <v/>
      </c>
      <c r="Z911" t="str">
        <f t="shared" si="13"/>
        <v/>
      </c>
      <c r="AB911" t="str">
        <f t="shared" si="15"/>
        <v/>
      </c>
      <c r="AD911" t="str">
        <f t="shared" si="17"/>
        <v/>
      </c>
      <c r="AF911" t="str">
        <f t="shared" si="19"/>
        <v/>
      </c>
      <c r="AH911" t="str">
        <f t="shared" si="21"/>
        <v/>
      </c>
      <c r="AJ911" t="str">
        <f t="shared" si="23"/>
        <v/>
      </c>
    </row>
    <row r="912">
      <c r="P912" t="str">
        <f t="shared" si="3"/>
        <v/>
      </c>
      <c r="R912" t="str">
        <f t="shared" si="5"/>
        <v/>
      </c>
      <c r="T912" t="str">
        <f t="shared" si="7"/>
        <v/>
      </c>
      <c r="V912" t="str">
        <f t="shared" si="9"/>
        <v/>
      </c>
      <c r="X912" t="str">
        <f t="shared" si="11"/>
        <v/>
      </c>
      <c r="Z912" t="str">
        <f t="shared" si="13"/>
        <v/>
      </c>
      <c r="AB912" t="str">
        <f t="shared" si="15"/>
        <v/>
      </c>
      <c r="AD912" t="str">
        <f t="shared" si="17"/>
        <v/>
      </c>
      <c r="AF912" t="str">
        <f t="shared" si="19"/>
        <v/>
      </c>
      <c r="AH912" t="str">
        <f t="shared" si="21"/>
        <v/>
      </c>
      <c r="AJ912" t="str">
        <f t="shared" si="23"/>
        <v/>
      </c>
    </row>
    <row r="913">
      <c r="P913" t="str">
        <f t="shared" si="3"/>
        <v/>
      </c>
      <c r="R913" t="str">
        <f t="shared" si="5"/>
        <v/>
      </c>
      <c r="T913" t="str">
        <f t="shared" si="7"/>
        <v/>
      </c>
      <c r="V913" t="str">
        <f t="shared" si="9"/>
        <v/>
      </c>
      <c r="X913" t="str">
        <f t="shared" si="11"/>
        <v/>
      </c>
      <c r="Z913" t="str">
        <f t="shared" si="13"/>
        <v/>
      </c>
      <c r="AB913" t="str">
        <f t="shared" si="15"/>
        <v/>
      </c>
      <c r="AD913" t="str">
        <f t="shared" si="17"/>
        <v/>
      </c>
      <c r="AF913" t="str">
        <f t="shared" si="19"/>
        <v/>
      </c>
      <c r="AH913" t="str">
        <f t="shared" si="21"/>
        <v/>
      </c>
      <c r="AJ913" t="str">
        <f t="shared" si="23"/>
        <v/>
      </c>
    </row>
    <row r="914">
      <c r="P914" t="str">
        <f t="shared" si="3"/>
        <v/>
      </c>
      <c r="R914" t="str">
        <f t="shared" si="5"/>
        <v/>
      </c>
      <c r="T914" t="str">
        <f t="shared" si="7"/>
        <v/>
      </c>
      <c r="V914" t="str">
        <f t="shared" si="9"/>
        <v/>
      </c>
      <c r="X914" t="str">
        <f t="shared" si="11"/>
        <v/>
      </c>
      <c r="Z914" t="str">
        <f t="shared" si="13"/>
        <v/>
      </c>
      <c r="AB914" t="str">
        <f t="shared" si="15"/>
        <v/>
      </c>
      <c r="AD914" t="str">
        <f t="shared" si="17"/>
        <v/>
      </c>
      <c r="AF914" t="str">
        <f t="shared" si="19"/>
        <v/>
      </c>
      <c r="AH914" t="str">
        <f t="shared" si="21"/>
        <v/>
      </c>
      <c r="AJ914" t="str">
        <f t="shared" si="23"/>
        <v/>
      </c>
    </row>
    <row r="915">
      <c r="P915" t="str">
        <f t="shared" si="3"/>
        <v/>
      </c>
      <c r="R915" t="str">
        <f t="shared" si="5"/>
        <v/>
      </c>
      <c r="T915" t="str">
        <f t="shared" si="7"/>
        <v/>
      </c>
      <c r="V915" t="str">
        <f t="shared" si="9"/>
        <v/>
      </c>
      <c r="X915" t="str">
        <f t="shared" si="11"/>
        <v/>
      </c>
      <c r="Z915" t="str">
        <f t="shared" si="13"/>
        <v/>
      </c>
      <c r="AB915" t="str">
        <f t="shared" si="15"/>
        <v/>
      </c>
      <c r="AD915" t="str">
        <f t="shared" si="17"/>
        <v/>
      </c>
      <c r="AF915" t="str">
        <f t="shared" si="19"/>
        <v/>
      </c>
      <c r="AH915" t="str">
        <f t="shared" si="21"/>
        <v/>
      </c>
      <c r="AJ915" t="str">
        <f t="shared" si="23"/>
        <v/>
      </c>
    </row>
    <row r="916">
      <c r="P916" t="str">
        <f t="shared" si="3"/>
        <v/>
      </c>
      <c r="R916" t="str">
        <f t="shared" si="5"/>
        <v/>
      </c>
      <c r="T916" t="str">
        <f t="shared" si="7"/>
        <v/>
      </c>
      <c r="V916" t="str">
        <f t="shared" si="9"/>
        <v/>
      </c>
      <c r="X916" t="str">
        <f t="shared" si="11"/>
        <v/>
      </c>
      <c r="Z916" t="str">
        <f t="shared" si="13"/>
        <v/>
      </c>
      <c r="AB916" t="str">
        <f t="shared" si="15"/>
        <v/>
      </c>
      <c r="AD916" t="str">
        <f t="shared" si="17"/>
        <v/>
      </c>
      <c r="AF916" t="str">
        <f t="shared" si="19"/>
        <v/>
      </c>
      <c r="AH916" t="str">
        <f t="shared" si="21"/>
        <v/>
      </c>
      <c r="AJ916" t="str">
        <f t="shared" si="23"/>
        <v/>
      </c>
    </row>
    <row r="917">
      <c r="P917" t="str">
        <f t="shared" si="3"/>
        <v/>
      </c>
      <c r="R917" t="str">
        <f t="shared" si="5"/>
        <v/>
      </c>
      <c r="T917" t="str">
        <f t="shared" si="7"/>
        <v/>
      </c>
      <c r="V917" t="str">
        <f t="shared" si="9"/>
        <v/>
      </c>
      <c r="X917" t="str">
        <f t="shared" si="11"/>
        <v/>
      </c>
      <c r="Z917" t="str">
        <f t="shared" si="13"/>
        <v/>
      </c>
      <c r="AB917" t="str">
        <f t="shared" si="15"/>
        <v/>
      </c>
      <c r="AD917" t="str">
        <f t="shared" si="17"/>
        <v/>
      </c>
      <c r="AF917" t="str">
        <f t="shared" si="19"/>
        <v/>
      </c>
      <c r="AH917" t="str">
        <f t="shared" si="21"/>
        <v/>
      </c>
      <c r="AJ917" t="str">
        <f t="shared" si="23"/>
        <v/>
      </c>
    </row>
    <row r="918">
      <c r="P918" t="str">
        <f t="shared" si="3"/>
        <v/>
      </c>
      <c r="R918" t="str">
        <f t="shared" si="5"/>
        <v/>
      </c>
      <c r="T918" t="str">
        <f t="shared" si="7"/>
        <v/>
      </c>
      <c r="V918" t="str">
        <f t="shared" si="9"/>
        <v/>
      </c>
      <c r="X918" t="str">
        <f t="shared" si="11"/>
        <v/>
      </c>
      <c r="Z918" t="str">
        <f t="shared" si="13"/>
        <v/>
      </c>
      <c r="AB918" t="str">
        <f t="shared" si="15"/>
        <v/>
      </c>
      <c r="AD918" t="str">
        <f t="shared" si="17"/>
        <v/>
      </c>
      <c r="AF918" t="str">
        <f t="shared" si="19"/>
        <v/>
      </c>
      <c r="AH918" t="str">
        <f t="shared" si="21"/>
        <v/>
      </c>
      <c r="AJ918" t="str">
        <f t="shared" si="23"/>
        <v/>
      </c>
    </row>
    <row r="919">
      <c r="P919" t="str">
        <f t="shared" si="3"/>
        <v/>
      </c>
      <c r="R919" t="str">
        <f t="shared" si="5"/>
        <v/>
      </c>
      <c r="T919" t="str">
        <f t="shared" si="7"/>
        <v/>
      </c>
      <c r="V919" t="str">
        <f t="shared" si="9"/>
        <v/>
      </c>
      <c r="X919" t="str">
        <f t="shared" si="11"/>
        <v/>
      </c>
      <c r="Z919" t="str">
        <f t="shared" si="13"/>
        <v/>
      </c>
      <c r="AB919" t="str">
        <f t="shared" si="15"/>
        <v/>
      </c>
      <c r="AD919" t="str">
        <f t="shared" si="17"/>
        <v/>
      </c>
      <c r="AF919" t="str">
        <f t="shared" si="19"/>
        <v/>
      </c>
      <c r="AH919" t="str">
        <f t="shared" si="21"/>
        <v/>
      </c>
      <c r="AJ919" t="str">
        <f t="shared" si="23"/>
        <v/>
      </c>
    </row>
    <row r="920">
      <c r="P920" t="str">
        <f t="shared" si="3"/>
        <v/>
      </c>
      <c r="R920" t="str">
        <f t="shared" si="5"/>
        <v/>
      </c>
      <c r="T920" t="str">
        <f t="shared" si="7"/>
        <v/>
      </c>
      <c r="V920" t="str">
        <f t="shared" si="9"/>
        <v/>
      </c>
      <c r="X920" t="str">
        <f t="shared" si="11"/>
        <v/>
      </c>
      <c r="Z920" t="str">
        <f t="shared" si="13"/>
        <v/>
      </c>
      <c r="AB920" t="str">
        <f t="shared" si="15"/>
        <v/>
      </c>
      <c r="AD920" t="str">
        <f t="shared" si="17"/>
        <v/>
      </c>
      <c r="AF920" t="str">
        <f t="shared" si="19"/>
        <v/>
      </c>
      <c r="AH920" t="str">
        <f t="shared" si="21"/>
        <v/>
      </c>
      <c r="AJ920" t="str">
        <f t="shared" si="23"/>
        <v/>
      </c>
    </row>
    <row r="921">
      <c r="P921" t="str">
        <f t="shared" si="3"/>
        <v/>
      </c>
      <c r="R921" t="str">
        <f t="shared" si="5"/>
        <v/>
      </c>
      <c r="T921" t="str">
        <f t="shared" si="7"/>
        <v/>
      </c>
      <c r="V921" t="str">
        <f t="shared" si="9"/>
        <v/>
      </c>
      <c r="X921" t="str">
        <f t="shared" si="11"/>
        <v/>
      </c>
      <c r="Z921" t="str">
        <f t="shared" si="13"/>
        <v/>
      </c>
      <c r="AB921" t="str">
        <f t="shared" si="15"/>
        <v/>
      </c>
      <c r="AD921" t="str">
        <f t="shared" si="17"/>
        <v/>
      </c>
      <c r="AF921" t="str">
        <f t="shared" si="19"/>
        <v/>
      </c>
      <c r="AH921" t="str">
        <f t="shared" si="21"/>
        <v/>
      </c>
      <c r="AJ921" t="str">
        <f t="shared" si="23"/>
        <v/>
      </c>
    </row>
    <row r="922">
      <c r="P922" t="str">
        <f t="shared" si="3"/>
        <v/>
      </c>
      <c r="R922" t="str">
        <f t="shared" si="5"/>
        <v/>
      </c>
      <c r="T922" t="str">
        <f t="shared" si="7"/>
        <v/>
      </c>
      <c r="V922" t="str">
        <f t="shared" si="9"/>
        <v/>
      </c>
      <c r="X922" t="str">
        <f t="shared" si="11"/>
        <v/>
      </c>
      <c r="Z922" t="str">
        <f t="shared" si="13"/>
        <v/>
      </c>
      <c r="AB922" t="str">
        <f t="shared" si="15"/>
        <v/>
      </c>
      <c r="AD922" t="str">
        <f t="shared" si="17"/>
        <v/>
      </c>
      <c r="AF922" t="str">
        <f t="shared" si="19"/>
        <v/>
      </c>
      <c r="AH922" t="str">
        <f t="shared" si="21"/>
        <v/>
      </c>
      <c r="AJ922" t="str">
        <f t="shared" si="23"/>
        <v/>
      </c>
    </row>
    <row r="923">
      <c r="P923" t="str">
        <f t="shared" si="3"/>
        <v/>
      </c>
      <c r="R923" t="str">
        <f t="shared" si="5"/>
        <v/>
      </c>
      <c r="T923" t="str">
        <f t="shared" si="7"/>
        <v/>
      </c>
      <c r="V923" t="str">
        <f t="shared" si="9"/>
        <v/>
      </c>
      <c r="X923" t="str">
        <f t="shared" si="11"/>
        <v/>
      </c>
      <c r="Z923" t="str">
        <f t="shared" si="13"/>
        <v/>
      </c>
      <c r="AB923" t="str">
        <f t="shared" si="15"/>
        <v/>
      </c>
      <c r="AD923" t="str">
        <f t="shared" si="17"/>
        <v/>
      </c>
      <c r="AF923" t="str">
        <f t="shared" si="19"/>
        <v/>
      </c>
      <c r="AH923" t="str">
        <f t="shared" si="21"/>
        <v/>
      </c>
      <c r="AJ923" t="str">
        <f t="shared" si="23"/>
        <v/>
      </c>
    </row>
    <row r="924">
      <c r="P924" t="str">
        <f t="shared" si="3"/>
        <v/>
      </c>
      <c r="R924" t="str">
        <f t="shared" si="5"/>
        <v/>
      </c>
      <c r="T924" t="str">
        <f t="shared" si="7"/>
        <v/>
      </c>
      <c r="V924" t="str">
        <f t="shared" si="9"/>
        <v/>
      </c>
      <c r="X924" t="str">
        <f t="shared" si="11"/>
        <v/>
      </c>
      <c r="Z924" t="str">
        <f t="shared" si="13"/>
        <v/>
      </c>
      <c r="AB924" t="str">
        <f t="shared" si="15"/>
        <v/>
      </c>
      <c r="AD924" t="str">
        <f t="shared" si="17"/>
        <v/>
      </c>
      <c r="AF924" t="str">
        <f t="shared" si="19"/>
        <v/>
      </c>
      <c r="AH924" t="str">
        <f t="shared" si="21"/>
        <v/>
      </c>
      <c r="AJ924" t="str">
        <f t="shared" si="23"/>
        <v/>
      </c>
    </row>
    <row r="925">
      <c r="P925" t="str">
        <f t="shared" si="3"/>
        <v/>
      </c>
      <c r="R925" t="str">
        <f t="shared" si="5"/>
        <v/>
      </c>
      <c r="T925" t="str">
        <f t="shared" si="7"/>
        <v/>
      </c>
      <c r="V925" t="str">
        <f t="shared" si="9"/>
        <v/>
      </c>
      <c r="X925" t="str">
        <f t="shared" si="11"/>
        <v/>
      </c>
      <c r="Z925" t="str">
        <f t="shared" si="13"/>
        <v/>
      </c>
      <c r="AB925" t="str">
        <f t="shared" si="15"/>
        <v/>
      </c>
      <c r="AD925" t="str">
        <f t="shared" si="17"/>
        <v/>
      </c>
      <c r="AF925" t="str">
        <f t="shared" si="19"/>
        <v/>
      </c>
      <c r="AH925" t="str">
        <f t="shared" si="21"/>
        <v/>
      </c>
      <c r="AJ925" t="str">
        <f t="shared" si="23"/>
        <v/>
      </c>
    </row>
    <row r="926">
      <c r="P926" t="str">
        <f t="shared" si="3"/>
        <v/>
      </c>
      <c r="R926" t="str">
        <f t="shared" si="5"/>
        <v/>
      </c>
      <c r="T926" t="str">
        <f t="shared" si="7"/>
        <v/>
      </c>
      <c r="V926" t="str">
        <f t="shared" si="9"/>
        <v/>
      </c>
      <c r="X926" t="str">
        <f t="shared" si="11"/>
        <v/>
      </c>
      <c r="Z926" t="str">
        <f t="shared" si="13"/>
        <v/>
      </c>
      <c r="AB926" t="str">
        <f t="shared" si="15"/>
        <v/>
      </c>
      <c r="AD926" t="str">
        <f t="shared" si="17"/>
        <v/>
      </c>
      <c r="AF926" t="str">
        <f t="shared" si="19"/>
        <v/>
      </c>
      <c r="AH926" t="str">
        <f t="shared" si="21"/>
        <v/>
      </c>
      <c r="AJ926" t="str">
        <f t="shared" si="23"/>
        <v/>
      </c>
    </row>
    <row r="927">
      <c r="P927" t="str">
        <f t="shared" si="3"/>
        <v/>
      </c>
      <c r="R927" t="str">
        <f t="shared" si="5"/>
        <v/>
      </c>
      <c r="T927" t="str">
        <f t="shared" si="7"/>
        <v/>
      </c>
      <c r="V927" t="str">
        <f t="shared" si="9"/>
        <v/>
      </c>
      <c r="X927" t="str">
        <f t="shared" si="11"/>
        <v/>
      </c>
      <c r="Z927" t="str">
        <f t="shared" si="13"/>
        <v/>
      </c>
      <c r="AB927" t="str">
        <f t="shared" si="15"/>
        <v/>
      </c>
      <c r="AD927" t="str">
        <f t="shared" si="17"/>
        <v/>
      </c>
      <c r="AF927" t="str">
        <f t="shared" si="19"/>
        <v/>
      </c>
      <c r="AH927" t="str">
        <f t="shared" si="21"/>
        <v/>
      </c>
      <c r="AJ927" t="str">
        <f t="shared" si="23"/>
        <v/>
      </c>
    </row>
    <row r="928">
      <c r="P928" t="str">
        <f t="shared" si="3"/>
        <v/>
      </c>
      <c r="R928" t="str">
        <f t="shared" si="5"/>
        <v/>
      </c>
      <c r="T928" t="str">
        <f t="shared" si="7"/>
        <v/>
      </c>
      <c r="V928" t="str">
        <f t="shared" si="9"/>
        <v/>
      </c>
      <c r="X928" t="str">
        <f t="shared" si="11"/>
        <v/>
      </c>
      <c r="Z928" t="str">
        <f t="shared" si="13"/>
        <v/>
      </c>
      <c r="AB928" t="str">
        <f t="shared" si="15"/>
        <v/>
      </c>
      <c r="AD928" t="str">
        <f t="shared" si="17"/>
        <v/>
      </c>
      <c r="AF928" t="str">
        <f t="shared" si="19"/>
        <v/>
      </c>
      <c r="AH928" t="str">
        <f t="shared" si="21"/>
        <v/>
      </c>
      <c r="AJ928" t="str">
        <f t="shared" si="23"/>
        <v/>
      </c>
    </row>
    <row r="929">
      <c r="P929" t="str">
        <f t="shared" si="3"/>
        <v/>
      </c>
      <c r="R929" t="str">
        <f t="shared" si="5"/>
        <v/>
      </c>
      <c r="T929" t="str">
        <f t="shared" si="7"/>
        <v/>
      </c>
      <c r="V929" t="str">
        <f t="shared" si="9"/>
        <v/>
      </c>
      <c r="X929" t="str">
        <f t="shared" si="11"/>
        <v/>
      </c>
      <c r="Z929" t="str">
        <f t="shared" si="13"/>
        <v/>
      </c>
      <c r="AB929" t="str">
        <f t="shared" si="15"/>
        <v/>
      </c>
      <c r="AD929" t="str">
        <f t="shared" si="17"/>
        <v/>
      </c>
      <c r="AF929" t="str">
        <f t="shared" si="19"/>
        <v/>
      </c>
      <c r="AH929" t="str">
        <f t="shared" si="21"/>
        <v/>
      </c>
      <c r="AJ929" t="str">
        <f t="shared" si="23"/>
        <v/>
      </c>
    </row>
    <row r="930">
      <c r="P930" t="str">
        <f t="shared" si="3"/>
        <v/>
      </c>
      <c r="R930" t="str">
        <f t="shared" si="5"/>
        <v/>
      </c>
      <c r="T930" t="str">
        <f t="shared" si="7"/>
        <v/>
      </c>
      <c r="V930" t="str">
        <f t="shared" si="9"/>
        <v/>
      </c>
      <c r="X930" t="str">
        <f t="shared" si="11"/>
        <v/>
      </c>
      <c r="Z930" t="str">
        <f t="shared" si="13"/>
        <v/>
      </c>
      <c r="AB930" t="str">
        <f t="shared" si="15"/>
        <v/>
      </c>
      <c r="AD930" t="str">
        <f t="shared" si="17"/>
        <v/>
      </c>
      <c r="AF930" t="str">
        <f t="shared" si="19"/>
        <v/>
      </c>
      <c r="AH930" t="str">
        <f t="shared" si="21"/>
        <v/>
      </c>
      <c r="AJ930" t="str">
        <f t="shared" si="23"/>
        <v/>
      </c>
    </row>
    <row r="931">
      <c r="P931" t="str">
        <f t="shared" si="3"/>
        <v/>
      </c>
      <c r="R931" t="str">
        <f t="shared" si="5"/>
        <v/>
      </c>
      <c r="T931" t="str">
        <f t="shared" si="7"/>
        <v/>
      </c>
      <c r="V931" t="str">
        <f t="shared" si="9"/>
        <v/>
      </c>
      <c r="X931" t="str">
        <f t="shared" si="11"/>
        <v/>
      </c>
      <c r="Z931" t="str">
        <f t="shared" si="13"/>
        <v/>
      </c>
      <c r="AB931" t="str">
        <f t="shared" si="15"/>
        <v/>
      </c>
      <c r="AD931" t="str">
        <f t="shared" si="17"/>
        <v/>
      </c>
      <c r="AF931" t="str">
        <f t="shared" si="19"/>
        <v/>
      </c>
      <c r="AH931" t="str">
        <f t="shared" si="21"/>
        <v/>
      </c>
      <c r="AJ931" t="str">
        <f t="shared" si="23"/>
        <v/>
      </c>
    </row>
    <row r="932">
      <c r="P932" t="str">
        <f t="shared" si="3"/>
        <v/>
      </c>
      <c r="R932" t="str">
        <f t="shared" si="5"/>
        <v/>
      </c>
      <c r="T932" t="str">
        <f t="shared" si="7"/>
        <v/>
      </c>
      <c r="V932" t="str">
        <f t="shared" si="9"/>
        <v/>
      </c>
      <c r="X932" t="str">
        <f t="shared" si="11"/>
        <v/>
      </c>
      <c r="Z932" t="str">
        <f t="shared" si="13"/>
        <v/>
      </c>
      <c r="AB932" t="str">
        <f t="shared" si="15"/>
        <v/>
      </c>
      <c r="AD932" t="str">
        <f t="shared" si="17"/>
        <v/>
      </c>
      <c r="AF932" t="str">
        <f t="shared" si="19"/>
        <v/>
      </c>
      <c r="AH932" t="str">
        <f t="shared" si="21"/>
        <v/>
      </c>
      <c r="AJ932" t="str">
        <f t="shared" si="23"/>
        <v/>
      </c>
    </row>
    <row r="933">
      <c r="P933" t="str">
        <f t="shared" si="3"/>
        <v/>
      </c>
      <c r="R933" t="str">
        <f t="shared" si="5"/>
        <v/>
      </c>
      <c r="T933" t="str">
        <f t="shared" si="7"/>
        <v/>
      </c>
      <c r="V933" t="str">
        <f t="shared" si="9"/>
        <v/>
      </c>
      <c r="X933" t="str">
        <f t="shared" si="11"/>
        <v/>
      </c>
      <c r="Z933" t="str">
        <f t="shared" si="13"/>
        <v/>
      </c>
      <c r="AB933" t="str">
        <f t="shared" si="15"/>
        <v/>
      </c>
      <c r="AD933" t="str">
        <f t="shared" si="17"/>
        <v/>
      </c>
      <c r="AF933" t="str">
        <f t="shared" si="19"/>
        <v/>
      </c>
      <c r="AH933" t="str">
        <f t="shared" si="21"/>
        <v/>
      </c>
      <c r="AJ933" t="str">
        <f t="shared" si="23"/>
        <v/>
      </c>
    </row>
    <row r="934">
      <c r="P934" t="str">
        <f t="shared" si="3"/>
        <v/>
      </c>
      <c r="R934" t="str">
        <f t="shared" si="5"/>
        <v/>
      </c>
      <c r="T934" t="str">
        <f t="shared" si="7"/>
        <v/>
      </c>
      <c r="V934" t="str">
        <f t="shared" si="9"/>
        <v/>
      </c>
      <c r="X934" t="str">
        <f t="shared" si="11"/>
        <v/>
      </c>
      <c r="Z934" t="str">
        <f t="shared" si="13"/>
        <v/>
      </c>
      <c r="AB934" t="str">
        <f t="shared" si="15"/>
        <v/>
      </c>
      <c r="AD934" t="str">
        <f t="shared" si="17"/>
        <v/>
      </c>
      <c r="AF934" t="str">
        <f t="shared" si="19"/>
        <v/>
      </c>
      <c r="AH934" t="str">
        <f t="shared" si="21"/>
        <v/>
      </c>
      <c r="AJ934" t="str">
        <f t="shared" si="23"/>
        <v/>
      </c>
    </row>
    <row r="935">
      <c r="P935" t="str">
        <f t="shared" si="3"/>
        <v/>
      </c>
      <c r="R935" t="str">
        <f t="shared" si="5"/>
        <v/>
      </c>
      <c r="T935" t="str">
        <f t="shared" si="7"/>
        <v/>
      </c>
      <c r="V935" t="str">
        <f t="shared" si="9"/>
        <v/>
      </c>
      <c r="X935" t="str">
        <f t="shared" si="11"/>
        <v/>
      </c>
      <c r="Z935" t="str">
        <f t="shared" si="13"/>
        <v/>
      </c>
      <c r="AB935" t="str">
        <f t="shared" si="15"/>
        <v/>
      </c>
      <c r="AD935" t="str">
        <f t="shared" si="17"/>
        <v/>
      </c>
      <c r="AF935" t="str">
        <f t="shared" si="19"/>
        <v/>
      </c>
      <c r="AH935" t="str">
        <f t="shared" si="21"/>
        <v/>
      </c>
      <c r="AJ935" t="str">
        <f t="shared" si="23"/>
        <v/>
      </c>
    </row>
    <row r="936">
      <c r="P936" t="str">
        <f t="shared" si="3"/>
        <v/>
      </c>
      <c r="R936" t="str">
        <f t="shared" si="5"/>
        <v/>
      </c>
      <c r="T936" t="str">
        <f t="shared" si="7"/>
        <v/>
      </c>
      <c r="V936" t="str">
        <f t="shared" si="9"/>
        <v/>
      </c>
      <c r="X936" t="str">
        <f t="shared" si="11"/>
        <v/>
      </c>
      <c r="Z936" t="str">
        <f t="shared" si="13"/>
        <v/>
      </c>
      <c r="AB936" t="str">
        <f t="shared" si="15"/>
        <v/>
      </c>
      <c r="AD936" t="str">
        <f t="shared" si="17"/>
        <v/>
      </c>
      <c r="AF936" t="str">
        <f t="shared" si="19"/>
        <v/>
      </c>
      <c r="AH936" t="str">
        <f t="shared" si="21"/>
        <v/>
      </c>
      <c r="AJ936" t="str">
        <f t="shared" si="23"/>
        <v/>
      </c>
    </row>
    <row r="937">
      <c r="P937" t="str">
        <f t="shared" si="3"/>
        <v/>
      </c>
      <c r="R937" t="str">
        <f t="shared" si="5"/>
        <v/>
      </c>
      <c r="T937" t="str">
        <f t="shared" si="7"/>
        <v/>
      </c>
      <c r="V937" t="str">
        <f t="shared" si="9"/>
        <v/>
      </c>
      <c r="X937" t="str">
        <f t="shared" si="11"/>
        <v/>
      </c>
      <c r="Z937" t="str">
        <f t="shared" si="13"/>
        <v/>
      </c>
      <c r="AB937" t="str">
        <f t="shared" si="15"/>
        <v/>
      </c>
      <c r="AD937" t="str">
        <f t="shared" si="17"/>
        <v/>
      </c>
      <c r="AF937" t="str">
        <f t="shared" si="19"/>
        <v/>
      </c>
      <c r="AH937" t="str">
        <f t="shared" si="21"/>
        <v/>
      </c>
      <c r="AJ937" t="str">
        <f t="shared" si="23"/>
        <v/>
      </c>
    </row>
    <row r="938">
      <c r="P938" t="str">
        <f t="shared" si="3"/>
        <v/>
      </c>
      <c r="R938" t="str">
        <f t="shared" si="5"/>
        <v/>
      </c>
      <c r="T938" t="str">
        <f t="shared" si="7"/>
        <v/>
      </c>
      <c r="V938" t="str">
        <f t="shared" si="9"/>
        <v/>
      </c>
      <c r="X938" t="str">
        <f t="shared" si="11"/>
        <v/>
      </c>
      <c r="Z938" t="str">
        <f t="shared" si="13"/>
        <v/>
      </c>
      <c r="AB938" t="str">
        <f t="shared" si="15"/>
        <v/>
      </c>
      <c r="AD938" t="str">
        <f t="shared" si="17"/>
        <v/>
      </c>
      <c r="AF938" t="str">
        <f t="shared" si="19"/>
        <v/>
      </c>
      <c r="AH938" t="str">
        <f t="shared" si="21"/>
        <v/>
      </c>
      <c r="AJ938" t="str">
        <f t="shared" si="23"/>
        <v/>
      </c>
    </row>
    <row r="939">
      <c r="P939" t="str">
        <f t="shared" si="3"/>
        <v/>
      </c>
      <c r="R939" t="str">
        <f t="shared" si="5"/>
        <v/>
      </c>
      <c r="T939" t="str">
        <f t="shared" si="7"/>
        <v/>
      </c>
      <c r="V939" t="str">
        <f t="shared" si="9"/>
        <v/>
      </c>
      <c r="X939" t="str">
        <f t="shared" si="11"/>
        <v/>
      </c>
      <c r="Z939" t="str">
        <f t="shared" si="13"/>
        <v/>
      </c>
      <c r="AB939" t="str">
        <f t="shared" si="15"/>
        <v/>
      </c>
      <c r="AD939" t="str">
        <f t="shared" si="17"/>
        <v/>
      </c>
      <c r="AF939" t="str">
        <f t="shared" si="19"/>
        <v/>
      </c>
      <c r="AH939" t="str">
        <f t="shared" si="21"/>
        <v/>
      </c>
      <c r="AJ939" t="str">
        <f t="shared" si="23"/>
        <v/>
      </c>
    </row>
    <row r="940">
      <c r="P940" t="str">
        <f t="shared" si="3"/>
        <v/>
      </c>
      <c r="R940" t="str">
        <f t="shared" si="5"/>
        <v/>
      </c>
      <c r="T940" t="str">
        <f t="shared" si="7"/>
        <v/>
      </c>
      <c r="V940" t="str">
        <f t="shared" si="9"/>
        <v/>
      </c>
      <c r="X940" t="str">
        <f t="shared" si="11"/>
        <v/>
      </c>
      <c r="Z940" t="str">
        <f t="shared" si="13"/>
        <v/>
      </c>
      <c r="AB940" t="str">
        <f t="shared" si="15"/>
        <v/>
      </c>
      <c r="AD940" t="str">
        <f t="shared" si="17"/>
        <v/>
      </c>
      <c r="AF940" t="str">
        <f t="shared" si="19"/>
        <v/>
      </c>
      <c r="AH940" t="str">
        <f t="shared" si="21"/>
        <v/>
      </c>
      <c r="AJ940" t="str">
        <f t="shared" si="23"/>
        <v/>
      </c>
    </row>
    <row r="941">
      <c r="P941" t="str">
        <f t="shared" si="3"/>
        <v/>
      </c>
      <c r="R941" t="str">
        <f t="shared" si="5"/>
        <v/>
      </c>
      <c r="T941" t="str">
        <f t="shared" si="7"/>
        <v/>
      </c>
      <c r="V941" t="str">
        <f t="shared" si="9"/>
        <v/>
      </c>
      <c r="X941" t="str">
        <f t="shared" si="11"/>
        <v/>
      </c>
      <c r="Z941" t="str">
        <f t="shared" si="13"/>
        <v/>
      </c>
      <c r="AB941" t="str">
        <f t="shared" si="15"/>
        <v/>
      </c>
      <c r="AD941" t="str">
        <f t="shared" si="17"/>
        <v/>
      </c>
      <c r="AF941" t="str">
        <f t="shared" si="19"/>
        <v/>
      </c>
      <c r="AH941" t="str">
        <f t="shared" si="21"/>
        <v/>
      </c>
      <c r="AJ941" t="str">
        <f t="shared" si="23"/>
        <v/>
      </c>
    </row>
    <row r="942">
      <c r="P942" t="str">
        <f t="shared" si="3"/>
        <v/>
      </c>
      <c r="R942" t="str">
        <f t="shared" si="5"/>
        <v/>
      </c>
      <c r="T942" t="str">
        <f t="shared" si="7"/>
        <v/>
      </c>
      <c r="V942" t="str">
        <f t="shared" si="9"/>
        <v/>
      </c>
      <c r="X942" t="str">
        <f t="shared" si="11"/>
        <v/>
      </c>
      <c r="Z942" t="str">
        <f t="shared" si="13"/>
        <v/>
      </c>
      <c r="AB942" t="str">
        <f t="shared" si="15"/>
        <v/>
      </c>
      <c r="AD942" t="str">
        <f t="shared" si="17"/>
        <v/>
      </c>
      <c r="AF942" t="str">
        <f t="shared" si="19"/>
        <v/>
      </c>
      <c r="AH942" t="str">
        <f t="shared" si="21"/>
        <v/>
      </c>
      <c r="AJ942" t="str">
        <f t="shared" si="23"/>
        <v/>
      </c>
    </row>
    <row r="943">
      <c r="P943" t="str">
        <f t="shared" si="3"/>
        <v/>
      </c>
      <c r="R943" t="str">
        <f t="shared" si="5"/>
        <v/>
      </c>
      <c r="T943" t="str">
        <f t="shared" si="7"/>
        <v/>
      </c>
      <c r="V943" t="str">
        <f t="shared" si="9"/>
        <v/>
      </c>
      <c r="X943" t="str">
        <f t="shared" si="11"/>
        <v/>
      </c>
      <c r="Z943" t="str">
        <f t="shared" si="13"/>
        <v/>
      </c>
      <c r="AB943" t="str">
        <f t="shared" si="15"/>
        <v/>
      </c>
      <c r="AD943" t="str">
        <f t="shared" si="17"/>
        <v/>
      </c>
      <c r="AF943" t="str">
        <f t="shared" si="19"/>
        <v/>
      </c>
      <c r="AH943" t="str">
        <f t="shared" si="21"/>
        <v/>
      </c>
      <c r="AJ943" t="str">
        <f t="shared" si="23"/>
        <v/>
      </c>
    </row>
    <row r="944">
      <c r="P944" t="str">
        <f t="shared" si="3"/>
        <v/>
      </c>
      <c r="R944" t="str">
        <f t="shared" si="5"/>
        <v/>
      </c>
      <c r="T944" t="str">
        <f t="shared" si="7"/>
        <v/>
      </c>
      <c r="V944" t="str">
        <f t="shared" si="9"/>
        <v/>
      </c>
      <c r="X944" t="str">
        <f t="shared" si="11"/>
        <v/>
      </c>
      <c r="Z944" t="str">
        <f t="shared" si="13"/>
        <v/>
      </c>
      <c r="AB944" t="str">
        <f t="shared" si="15"/>
        <v/>
      </c>
      <c r="AD944" t="str">
        <f t="shared" si="17"/>
        <v/>
      </c>
      <c r="AF944" t="str">
        <f t="shared" si="19"/>
        <v/>
      </c>
      <c r="AH944" t="str">
        <f t="shared" si="21"/>
        <v/>
      </c>
      <c r="AJ944" t="str">
        <f t="shared" si="23"/>
        <v/>
      </c>
    </row>
    <row r="945">
      <c r="P945" t="str">
        <f t="shared" si="3"/>
        <v/>
      </c>
      <c r="R945" t="str">
        <f t="shared" si="5"/>
        <v/>
      </c>
      <c r="T945" t="str">
        <f t="shared" si="7"/>
        <v/>
      </c>
      <c r="V945" t="str">
        <f t="shared" si="9"/>
        <v/>
      </c>
      <c r="X945" t="str">
        <f t="shared" si="11"/>
        <v/>
      </c>
      <c r="Z945" t="str">
        <f t="shared" si="13"/>
        <v/>
      </c>
      <c r="AB945" t="str">
        <f t="shared" si="15"/>
        <v/>
      </c>
      <c r="AD945" t="str">
        <f t="shared" si="17"/>
        <v/>
      </c>
      <c r="AF945" t="str">
        <f t="shared" si="19"/>
        <v/>
      </c>
      <c r="AH945" t="str">
        <f t="shared" si="21"/>
        <v/>
      </c>
      <c r="AJ945" t="str">
        <f t="shared" si="23"/>
        <v/>
      </c>
    </row>
    <row r="946">
      <c r="P946" t="str">
        <f t="shared" si="3"/>
        <v/>
      </c>
      <c r="R946" t="str">
        <f t="shared" si="5"/>
        <v/>
      </c>
      <c r="T946" t="str">
        <f t="shared" si="7"/>
        <v/>
      </c>
      <c r="V946" t="str">
        <f t="shared" si="9"/>
        <v/>
      </c>
      <c r="X946" t="str">
        <f t="shared" si="11"/>
        <v/>
      </c>
      <c r="Z946" t="str">
        <f t="shared" si="13"/>
        <v/>
      </c>
      <c r="AB946" t="str">
        <f t="shared" si="15"/>
        <v/>
      </c>
      <c r="AD946" t="str">
        <f t="shared" si="17"/>
        <v/>
      </c>
      <c r="AF946" t="str">
        <f t="shared" si="19"/>
        <v/>
      </c>
      <c r="AH946" t="str">
        <f t="shared" si="21"/>
        <v/>
      </c>
      <c r="AJ946" t="str">
        <f t="shared" si="23"/>
        <v/>
      </c>
    </row>
    <row r="947">
      <c r="P947" t="str">
        <f t="shared" si="3"/>
        <v/>
      </c>
      <c r="R947" t="str">
        <f t="shared" si="5"/>
        <v/>
      </c>
      <c r="T947" t="str">
        <f t="shared" si="7"/>
        <v/>
      </c>
      <c r="V947" t="str">
        <f t="shared" si="9"/>
        <v/>
      </c>
      <c r="X947" t="str">
        <f t="shared" si="11"/>
        <v/>
      </c>
      <c r="Z947" t="str">
        <f t="shared" si="13"/>
        <v/>
      </c>
      <c r="AB947" t="str">
        <f t="shared" si="15"/>
        <v/>
      </c>
      <c r="AD947" t="str">
        <f t="shared" si="17"/>
        <v/>
      </c>
      <c r="AF947" t="str">
        <f t="shared" si="19"/>
        <v/>
      </c>
      <c r="AH947" t="str">
        <f t="shared" si="21"/>
        <v/>
      </c>
      <c r="AJ947" t="str">
        <f t="shared" si="23"/>
        <v/>
      </c>
    </row>
    <row r="948">
      <c r="P948" t="str">
        <f t="shared" si="3"/>
        <v/>
      </c>
      <c r="R948" t="str">
        <f t="shared" si="5"/>
        <v/>
      </c>
      <c r="T948" t="str">
        <f t="shared" si="7"/>
        <v/>
      </c>
      <c r="V948" t="str">
        <f t="shared" si="9"/>
        <v/>
      </c>
      <c r="X948" t="str">
        <f t="shared" si="11"/>
        <v/>
      </c>
      <c r="Z948" t="str">
        <f t="shared" si="13"/>
        <v/>
      </c>
      <c r="AB948" t="str">
        <f t="shared" si="15"/>
        <v/>
      </c>
      <c r="AD948" t="str">
        <f t="shared" si="17"/>
        <v/>
      </c>
      <c r="AF948" t="str">
        <f t="shared" si="19"/>
        <v/>
      </c>
      <c r="AH948" t="str">
        <f t="shared" si="21"/>
        <v/>
      </c>
      <c r="AJ948" t="str">
        <f t="shared" si="23"/>
        <v/>
      </c>
    </row>
    <row r="949">
      <c r="P949" t="str">
        <f t="shared" si="3"/>
        <v/>
      </c>
      <c r="R949" t="str">
        <f t="shared" si="5"/>
        <v/>
      </c>
      <c r="T949" t="str">
        <f t="shared" si="7"/>
        <v/>
      </c>
      <c r="V949" t="str">
        <f t="shared" si="9"/>
        <v/>
      </c>
      <c r="X949" t="str">
        <f t="shared" si="11"/>
        <v/>
      </c>
      <c r="Z949" t="str">
        <f t="shared" si="13"/>
        <v/>
      </c>
      <c r="AB949" t="str">
        <f t="shared" si="15"/>
        <v/>
      </c>
      <c r="AD949" t="str">
        <f t="shared" si="17"/>
        <v/>
      </c>
      <c r="AF949" t="str">
        <f t="shared" si="19"/>
        <v/>
      </c>
      <c r="AH949" t="str">
        <f t="shared" si="21"/>
        <v/>
      </c>
      <c r="AJ949" t="str">
        <f t="shared" si="23"/>
        <v/>
      </c>
    </row>
    <row r="950">
      <c r="P950" t="str">
        <f t="shared" si="3"/>
        <v/>
      </c>
      <c r="R950" t="str">
        <f t="shared" si="5"/>
        <v/>
      </c>
      <c r="T950" t="str">
        <f t="shared" si="7"/>
        <v/>
      </c>
      <c r="V950" t="str">
        <f t="shared" si="9"/>
        <v/>
      </c>
      <c r="X950" t="str">
        <f t="shared" si="11"/>
        <v/>
      </c>
      <c r="Z950" t="str">
        <f t="shared" si="13"/>
        <v/>
      </c>
      <c r="AB950" t="str">
        <f t="shared" si="15"/>
        <v/>
      </c>
      <c r="AD950" t="str">
        <f t="shared" si="17"/>
        <v/>
      </c>
      <c r="AF950" t="str">
        <f t="shared" si="19"/>
        <v/>
      </c>
      <c r="AH950" t="str">
        <f t="shared" si="21"/>
        <v/>
      </c>
      <c r="AJ950" t="str">
        <f t="shared" si="23"/>
        <v/>
      </c>
    </row>
    <row r="951">
      <c r="P951" t="str">
        <f t="shared" si="3"/>
        <v/>
      </c>
      <c r="R951" t="str">
        <f t="shared" si="5"/>
        <v/>
      </c>
      <c r="T951" t="str">
        <f t="shared" si="7"/>
        <v/>
      </c>
      <c r="V951" t="str">
        <f t="shared" si="9"/>
        <v/>
      </c>
      <c r="X951" t="str">
        <f t="shared" si="11"/>
        <v/>
      </c>
      <c r="Z951" t="str">
        <f t="shared" si="13"/>
        <v/>
      </c>
      <c r="AB951" t="str">
        <f t="shared" si="15"/>
        <v/>
      </c>
      <c r="AD951" t="str">
        <f t="shared" si="17"/>
        <v/>
      </c>
      <c r="AF951" t="str">
        <f t="shared" si="19"/>
        <v/>
      </c>
      <c r="AH951" t="str">
        <f t="shared" si="21"/>
        <v/>
      </c>
      <c r="AJ951" t="str">
        <f t="shared" si="23"/>
        <v/>
      </c>
    </row>
    <row r="952">
      <c r="P952" t="str">
        <f t="shared" si="3"/>
        <v/>
      </c>
      <c r="R952" t="str">
        <f t="shared" si="5"/>
        <v/>
      </c>
      <c r="T952" t="str">
        <f t="shared" si="7"/>
        <v/>
      </c>
      <c r="V952" t="str">
        <f t="shared" si="9"/>
        <v/>
      </c>
      <c r="X952" t="str">
        <f t="shared" si="11"/>
        <v/>
      </c>
      <c r="Z952" t="str">
        <f t="shared" si="13"/>
        <v/>
      </c>
      <c r="AB952" t="str">
        <f t="shared" si="15"/>
        <v/>
      </c>
      <c r="AD952" t="str">
        <f t="shared" si="17"/>
        <v/>
      </c>
      <c r="AF952" t="str">
        <f t="shared" si="19"/>
        <v/>
      </c>
      <c r="AH952" t="str">
        <f t="shared" si="21"/>
        <v/>
      </c>
      <c r="AJ952" t="str">
        <f t="shared" si="23"/>
        <v/>
      </c>
    </row>
    <row r="953">
      <c r="P953" t="str">
        <f t="shared" si="3"/>
        <v/>
      </c>
      <c r="R953" t="str">
        <f t="shared" si="5"/>
        <v/>
      </c>
      <c r="T953" t="str">
        <f t="shared" si="7"/>
        <v/>
      </c>
      <c r="V953" t="str">
        <f t="shared" si="9"/>
        <v/>
      </c>
      <c r="X953" t="str">
        <f t="shared" si="11"/>
        <v/>
      </c>
      <c r="Z953" t="str">
        <f t="shared" si="13"/>
        <v/>
      </c>
      <c r="AB953" t="str">
        <f t="shared" si="15"/>
        <v/>
      </c>
      <c r="AD953" t="str">
        <f t="shared" si="17"/>
        <v/>
      </c>
      <c r="AF953" t="str">
        <f t="shared" si="19"/>
        <v/>
      </c>
      <c r="AH953" t="str">
        <f t="shared" si="21"/>
        <v/>
      </c>
      <c r="AJ953" t="str">
        <f t="shared" si="23"/>
        <v/>
      </c>
    </row>
    <row r="954">
      <c r="P954" t="str">
        <f t="shared" si="3"/>
        <v/>
      </c>
      <c r="R954" t="str">
        <f t="shared" si="5"/>
        <v/>
      </c>
      <c r="T954" t="str">
        <f t="shared" si="7"/>
        <v/>
      </c>
      <c r="V954" t="str">
        <f t="shared" si="9"/>
        <v/>
      </c>
      <c r="X954" t="str">
        <f t="shared" si="11"/>
        <v/>
      </c>
      <c r="Z954" t="str">
        <f t="shared" si="13"/>
        <v/>
      </c>
      <c r="AB954" t="str">
        <f t="shared" si="15"/>
        <v/>
      </c>
      <c r="AD954" t="str">
        <f t="shared" si="17"/>
        <v/>
      </c>
      <c r="AF954" t="str">
        <f t="shared" si="19"/>
        <v/>
      </c>
      <c r="AH954" t="str">
        <f t="shared" si="21"/>
        <v/>
      </c>
      <c r="AJ954" t="str">
        <f t="shared" si="23"/>
        <v/>
      </c>
    </row>
    <row r="955">
      <c r="P955" t="str">
        <f t="shared" si="3"/>
        <v/>
      </c>
      <c r="R955" t="str">
        <f t="shared" si="5"/>
        <v/>
      </c>
      <c r="T955" t="str">
        <f t="shared" si="7"/>
        <v/>
      </c>
      <c r="V955" t="str">
        <f t="shared" si="9"/>
        <v/>
      </c>
      <c r="X955" t="str">
        <f t="shared" si="11"/>
        <v/>
      </c>
      <c r="Z955" t="str">
        <f t="shared" si="13"/>
        <v/>
      </c>
      <c r="AB955" t="str">
        <f t="shared" si="15"/>
        <v/>
      </c>
      <c r="AD955" t="str">
        <f t="shared" si="17"/>
        <v/>
      </c>
      <c r="AF955" t="str">
        <f t="shared" si="19"/>
        <v/>
      </c>
      <c r="AH955" t="str">
        <f t="shared" si="21"/>
        <v/>
      </c>
      <c r="AJ955" t="str">
        <f t="shared" si="23"/>
        <v/>
      </c>
    </row>
    <row r="956">
      <c r="P956" t="str">
        <f t="shared" si="3"/>
        <v/>
      </c>
      <c r="R956" t="str">
        <f t="shared" si="5"/>
        <v/>
      </c>
      <c r="T956" t="str">
        <f t="shared" si="7"/>
        <v/>
      </c>
      <c r="V956" t="str">
        <f t="shared" si="9"/>
        <v/>
      </c>
      <c r="X956" t="str">
        <f t="shared" si="11"/>
        <v/>
      </c>
      <c r="Z956" t="str">
        <f t="shared" si="13"/>
        <v/>
      </c>
      <c r="AB956" t="str">
        <f t="shared" si="15"/>
        <v/>
      </c>
      <c r="AD956" t="str">
        <f t="shared" si="17"/>
        <v/>
      </c>
      <c r="AF956" t="str">
        <f t="shared" si="19"/>
        <v/>
      </c>
      <c r="AH956" t="str">
        <f t="shared" si="21"/>
        <v/>
      </c>
      <c r="AJ956" t="str">
        <f t="shared" si="23"/>
        <v/>
      </c>
    </row>
    <row r="957">
      <c r="P957" t="str">
        <f t="shared" si="3"/>
        <v/>
      </c>
      <c r="R957" t="str">
        <f t="shared" si="5"/>
        <v/>
      </c>
      <c r="T957" t="str">
        <f t="shared" si="7"/>
        <v/>
      </c>
      <c r="V957" t="str">
        <f t="shared" si="9"/>
        <v/>
      </c>
      <c r="X957" t="str">
        <f t="shared" si="11"/>
        <v/>
      </c>
      <c r="Z957" t="str">
        <f t="shared" si="13"/>
        <v/>
      </c>
      <c r="AB957" t="str">
        <f t="shared" si="15"/>
        <v/>
      </c>
      <c r="AD957" t="str">
        <f t="shared" si="17"/>
        <v/>
      </c>
      <c r="AF957" t="str">
        <f t="shared" si="19"/>
        <v/>
      </c>
      <c r="AH957" t="str">
        <f t="shared" si="21"/>
        <v/>
      </c>
      <c r="AJ957" t="str">
        <f t="shared" si="23"/>
        <v/>
      </c>
    </row>
    <row r="958">
      <c r="P958" t="str">
        <f t="shared" si="3"/>
        <v/>
      </c>
      <c r="R958" t="str">
        <f t="shared" si="5"/>
        <v/>
      </c>
      <c r="T958" t="str">
        <f t="shared" si="7"/>
        <v/>
      </c>
      <c r="V958" t="str">
        <f t="shared" si="9"/>
        <v/>
      </c>
      <c r="X958" t="str">
        <f t="shared" si="11"/>
        <v/>
      </c>
      <c r="Z958" t="str">
        <f t="shared" si="13"/>
        <v/>
      </c>
      <c r="AB958" t="str">
        <f t="shared" si="15"/>
        <v/>
      </c>
      <c r="AD958" t="str">
        <f t="shared" si="17"/>
        <v/>
      </c>
      <c r="AF958" t="str">
        <f t="shared" si="19"/>
        <v/>
      </c>
      <c r="AH958" t="str">
        <f t="shared" si="21"/>
        <v/>
      </c>
      <c r="AJ958" t="str">
        <f t="shared" si="23"/>
        <v/>
      </c>
    </row>
    <row r="959">
      <c r="P959" t="str">
        <f t="shared" si="3"/>
        <v/>
      </c>
      <c r="R959" t="str">
        <f t="shared" si="5"/>
        <v/>
      </c>
      <c r="T959" t="str">
        <f t="shared" si="7"/>
        <v/>
      </c>
      <c r="V959" t="str">
        <f t="shared" si="9"/>
        <v/>
      </c>
      <c r="X959" t="str">
        <f t="shared" si="11"/>
        <v/>
      </c>
      <c r="Z959" t="str">
        <f t="shared" si="13"/>
        <v/>
      </c>
      <c r="AB959" t="str">
        <f t="shared" si="15"/>
        <v/>
      </c>
      <c r="AD959" t="str">
        <f t="shared" si="17"/>
        <v/>
      </c>
      <c r="AF959" t="str">
        <f t="shared" si="19"/>
        <v/>
      </c>
      <c r="AH959" t="str">
        <f t="shared" si="21"/>
        <v/>
      </c>
      <c r="AJ959" t="str">
        <f t="shared" si="23"/>
        <v/>
      </c>
    </row>
    <row r="960">
      <c r="P960" t="str">
        <f t="shared" si="3"/>
        <v/>
      </c>
      <c r="R960" t="str">
        <f t="shared" si="5"/>
        <v/>
      </c>
      <c r="T960" t="str">
        <f t="shared" si="7"/>
        <v/>
      </c>
      <c r="V960" t="str">
        <f t="shared" si="9"/>
        <v/>
      </c>
      <c r="X960" t="str">
        <f t="shared" si="11"/>
        <v/>
      </c>
      <c r="Z960" t="str">
        <f t="shared" si="13"/>
        <v/>
      </c>
      <c r="AB960" t="str">
        <f t="shared" si="15"/>
        <v/>
      </c>
      <c r="AD960" t="str">
        <f t="shared" si="17"/>
        <v/>
      </c>
      <c r="AF960" t="str">
        <f t="shared" si="19"/>
        <v/>
      </c>
      <c r="AH960" t="str">
        <f t="shared" si="21"/>
        <v/>
      </c>
      <c r="AJ960" t="str">
        <f t="shared" si="23"/>
        <v/>
      </c>
    </row>
    <row r="961">
      <c r="P961" t="str">
        <f t="shared" si="3"/>
        <v/>
      </c>
      <c r="R961" t="str">
        <f t="shared" si="5"/>
        <v/>
      </c>
      <c r="T961" t="str">
        <f t="shared" si="7"/>
        <v/>
      </c>
      <c r="V961" t="str">
        <f t="shared" si="9"/>
        <v/>
      </c>
      <c r="X961" t="str">
        <f t="shared" si="11"/>
        <v/>
      </c>
      <c r="Z961" t="str">
        <f t="shared" si="13"/>
        <v/>
      </c>
      <c r="AB961" t="str">
        <f t="shared" si="15"/>
        <v/>
      </c>
      <c r="AD961" t="str">
        <f t="shared" si="17"/>
        <v/>
      </c>
      <c r="AF961" t="str">
        <f t="shared" si="19"/>
        <v/>
      </c>
      <c r="AH961" t="str">
        <f t="shared" si="21"/>
        <v/>
      </c>
      <c r="AJ961" t="str">
        <f t="shared" si="23"/>
        <v/>
      </c>
    </row>
    <row r="962">
      <c r="P962" t="str">
        <f t="shared" si="3"/>
        <v/>
      </c>
      <c r="R962" t="str">
        <f t="shared" si="5"/>
        <v/>
      </c>
      <c r="T962" t="str">
        <f t="shared" si="7"/>
        <v/>
      </c>
      <c r="V962" t="str">
        <f t="shared" si="9"/>
        <v/>
      </c>
      <c r="X962" t="str">
        <f t="shared" si="11"/>
        <v/>
      </c>
      <c r="Z962" t="str">
        <f t="shared" si="13"/>
        <v/>
      </c>
      <c r="AB962" t="str">
        <f t="shared" si="15"/>
        <v/>
      </c>
      <c r="AD962" t="str">
        <f t="shared" si="17"/>
        <v/>
      </c>
      <c r="AF962" t="str">
        <f t="shared" si="19"/>
        <v/>
      </c>
      <c r="AH962" t="str">
        <f t="shared" si="21"/>
        <v/>
      </c>
      <c r="AJ962" t="str">
        <f t="shared" si="23"/>
        <v/>
      </c>
    </row>
    <row r="963">
      <c r="P963" t="str">
        <f t="shared" si="3"/>
        <v/>
      </c>
      <c r="R963" t="str">
        <f t="shared" si="5"/>
        <v/>
      </c>
      <c r="T963" t="str">
        <f t="shared" si="7"/>
        <v/>
      </c>
      <c r="V963" t="str">
        <f t="shared" si="9"/>
        <v/>
      </c>
      <c r="X963" t="str">
        <f t="shared" si="11"/>
        <v/>
      </c>
      <c r="Z963" t="str">
        <f t="shared" si="13"/>
        <v/>
      </c>
      <c r="AB963" t="str">
        <f t="shared" si="15"/>
        <v/>
      </c>
      <c r="AD963" t="str">
        <f t="shared" si="17"/>
        <v/>
      </c>
      <c r="AF963" t="str">
        <f t="shared" si="19"/>
        <v/>
      </c>
      <c r="AH963" t="str">
        <f t="shared" si="21"/>
        <v/>
      </c>
      <c r="AJ963" t="str">
        <f t="shared" si="23"/>
        <v/>
      </c>
    </row>
    <row r="964">
      <c r="P964" t="str">
        <f t="shared" si="3"/>
        <v/>
      </c>
      <c r="R964" t="str">
        <f t="shared" si="5"/>
        <v/>
      </c>
      <c r="T964" t="str">
        <f t="shared" si="7"/>
        <v/>
      </c>
      <c r="V964" t="str">
        <f t="shared" si="9"/>
        <v/>
      </c>
      <c r="X964" t="str">
        <f t="shared" si="11"/>
        <v/>
      </c>
      <c r="Z964" t="str">
        <f t="shared" si="13"/>
        <v/>
      </c>
      <c r="AB964" t="str">
        <f t="shared" si="15"/>
        <v/>
      </c>
      <c r="AD964" t="str">
        <f t="shared" si="17"/>
        <v/>
      </c>
      <c r="AF964" t="str">
        <f t="shared" si="19"/>
        <v/>
      </c>
      <c r="AH964" t="str">
        <f t="shared" si="21"/>
        <v/>
      </c>
      <c r="AJ964" t="str">
        <f t="shared" si="23"/>
        <v/>
      </c>
    </row>
    <row r="965">
      <c r="P965" t="str">
        <f t="shared" si="3"/>
        <v/>
      </c>
      <c r="R965" t="str">
        <f t="shared" si="5"/>
        <v/>
      </c>
      <c r="T965" t="str">
        <f t="shared" si="7"/>
        <v/>
      </c>
      <c r="V965" t="str">
        <f t="shared" si="9"/>
        <v/>
      </c>
      <c r="X965" t="str">
        <f t="shared" si="11"/>
        <v/>
      </c>
      <c r="Z965" t="str">
        <f t="shared" si="13"/>
        <v/>
      </c>
      <c r="AB965" t="str">
        <f t="shared" si="15"/>
        <v/>
      </c>
      <c r="AD965" t="str">
        <f t="shared" si="17"/>
        <v/>
      </c>
      <c r="AF965" t="str">
        <f t="shared" si="19"/>
        <v/>
      </c>
      <c r="AH965" t="str">
        <f t="shared" si="21"/>
        <v/>
      </c>
      <c r="AJ965" t="str">
        <f t="shared" si="23"/>
        <v/>
      </c>
    </row>
    <row r="966">
      <c r="P966" t="str">
        <f t="shared" si="3"/>
        <v/>
      </c>
      <c r="R966" t="str">
        <f t="shared" si="5"/>
        <v/>
      </c>
      <c r="T966" t="str">
        <f t="shared" si="7"/>
        <v/>
      </c>
      <c r="V966" t="str">
        <f t="shared" si="9"/>
        <v/>
      </c>
      <c r="X966" t="str">
        <f t="shared" si="11"/>
        <v/>
      </c>
      <c r="Z966" t="str">
        <f t="shared" si="13"/>
        <v/>
      </c>
      <c r="AB966" t="str">
        <f t="shared" si="15"/>
        <v/>
      </c>
      <c r="AD966" t="str">
        <f t="shared" si="17"/>
        <v/>
      </c>
      <c r="AF966" t="str">
        <f t="shared" si="19"/>
        <v/>
      </c>
      <c r="AH966" t="str">
        <f t="shared" si="21"/>
        <v/>
      </c>
      <c r="AJ966" t="str">
        <f t="shared" si="23"/>
        <v/>
      </c>
    </row>
    <row r="967">
      <c r="P967" t="str">
        <f t="shared" si="3"/>
        <v/>
      </c>
      <c r="R967" t="str">
        <f t="shared" si="5"/>
        <v/>
      </c>
      <c r="T967" t="str">
        <f t="shared" si="7"/>
        <v/>
      </c>
      <c r="V967" t="str">
        <f t="shared" si="9"/>
        <v/>
      </c>
      <c r="X967" t="str">
        <f t="shared" si="11"/>
        <v/>
      </c>
      <c r="Z967" t="str">
        <f t="shared" si="13"/>
        <v/>
      </c>
      <c r="AB967" t="str">
        <f t="shared" si="15"/>
        <v/>
      </c>
      <c r="AD967" t="str">
        <f t="shared" si="17"/>
        <v/>
      </c>
      <c r="AF967" t="str">
        <f t="shared" si="19"/>
        <v/>
      </c>
      <c r="AH967" t="str">
        <f t="shared" si="21"/>
        <v/>
      </c>
      <c r="AJ967" t="str">
        <f t="shared" si="23"/>
        <v/>
      </c>
    </row>
    <row r="968">
      <c r="P968" t="str">
        <f t="shared" si="3"/>
        <v/>
      </c>
      <c r="R968" t="str">
        <f t="shared" si="5"/>
        <v/>
      </c>
      <c r="T968" t="str">
        <f t="shared" si="7"/>
        <v/>
      </c>
      <c r="V968" t="str">
        <f t="shared" si="9"/>
        <v/>
      </c>
      <c r="X968" t="str">
        <f t="shared" si="11"/>
        <v/>
      </c>
      <c r="Z968" t="str">
        <f t="shared" si="13"/>
        <v/>
      </c>
      <c r="AB968" t="str">
        <f t="shared" si="15"/>
        <v/>
      </c>
      <c r="AD968" t="str">
        <f t="shared" si="17"/>
        <v/>
      </c>
      <c r="AF968" t="str">
        <f t="shared" si="19"/>
        <v/>
      </c>
      <c r="AH968" t="str">
        <f t="shared" si="21"/>
        <v/>
      </c>
      <c r="AJ968" t="str">
        <f t="shared" si="23"/>
        <v/>
      </c>
    </row>
    <row r="969">
      <c r="P969" t="str">
        <f t="shared" si="3"/>
        <v/>
      </c>
      <c r="R969" t="str">
        <f t="shared" si="5"/>
        <v/>
      </c>
      <c r="T969" t="str">
        <f t="shared" si="7"/>
        <v/>
      </c>
      <c r="V969" t="str">
        <f t="shared" si="9"/>
        <v/>
      </c>
      <c r="X969" t="str">
        <f t="shared" si="11"/>
        <v/>
      </c>
      <c r="Z969" t="str">
        <f t="shared" si="13"/>
        <v/>
      </c>
      <c r="AB969" t="str">
        <f t="shared" si="15"/>
        <v/>
      </c>
      <c r="AD969" t="str">
        <f t="shared" si="17"/>
        <v/>
      </c>
      <c r="AF969" t="str">
        <f t="shared" si="19"/>
        <v/>
      </c>
      <c r="AH969" t="str">
        <f t="shared" si="21"/>
        <v/>
      </c>
      <c r="AJ969" t="str">
        <f t="shared" si="23"/>
        <v/>
      </c>
    </row>
    <row r="970">
      <c r="P970" t="str">
        <f t="shared" si="3"/>
        <v/>
      </c>
      <c r="R970" t="str">
        <f t="shared" si="5"/>
        <v/>
      </c>
      <c r="T970" t="str">
        <f t="shared" si="7"/>
        <v/>
      </c>
      <c r="V970" t="str">
        <f t="shared" si="9"/>
        <v/>
      </c>
      <c r="X970" t="str">
        <f t="shared" si="11"/>
        <v/>
      </c>
      <c r="Z970" t="str">
        <f t="shared" si="13"/>
        <v/>
      </c>
      <c r="AB970" t="str">
        <f t="shared" si="15"/>
        <v/>
      </c>
      <c r="AD970" t="str">
        <f t="shared" si="17"/>
        <v/>
      </c>
      <c r="AF970" t="str">
        <f t="shared" si="19"/>
        <v/>
      </c>
      <c r="AH970" t="str">
        <f t="shared" si="21"/>
        <v/>
      </c>
      <c r="AJ970" t="str">
        <f t="shared" si="23"/>
        <v/>
      </c>
    </row>
    <row r="971">
      <c r="P971" t="str">
        <f t="shared" si="3"/>
        <v/>
      </c>
      <c r="R971" t="str">
        <f t="shared" si="5"/>
        <v/>
      </c>
      <c r="T971" t="str">
        <f t="shared" si="7"/>
        <v/>
      </c>
      <c r="V971" t="str">
        <f t="shared" si="9"/>
        <v/>
      </c>
      <c r="X971" t="str">
        <f t="shared" si="11"/>
        <v/>
      </c>
      <c r="Z971" t="str">
        <f t="shared" si="13"/>
        <v/>
      </c>
      <c r="AB971" t="str">
        <f t="shared" si="15"/>
        <v/>
      </c>
      <c r="AD971" t="str">
        <f t="shared" si="17"/>
        <v/>
      </c>
      <c r="AF971" t="str">
        <f t="shared" si="19"/>
        <v/>
      </c>
      <c r="AH971" t="str">
        <f t="shared" si="21"/>
        <v/>
      </c>
      <c r="AJ971" t="str">
        <f t="shared" si="23"/>
        <v/>
      </c>
    </row>
    <row r="972">
      <c r="P972" t="str">
        <f t="shared" si="3"/>
        <v/>
      </c>
      <c r="R972" t="str">
        <f t="shared" si="5"/>
        <v/>
      </c>
      <c r="T972" t="str">
        <f t="shared" si="7"/>
        <v/>
      </c>
      <c r="V972" t="str">
        <f t="shared" si="9"/>
        <v/>
      </c>
      <c r="X972" t="str">
        <f t="shared" si="11"/>
        <v/>
      </c>
      <c r="Z972" t="str">
        <f t="shared" si="13"/>
        <v/>
      </c>
      <c r="AB972" t="str">
        <f t="shared" si="15"/>
        <v/>
      </c>
      <c r="AD972" t="str">
        <f t="shared" si="17"/>
        <v/>
      </c>
      <c r="AF972" t="str">
        <f t="shared" si="19"/>
        <v/>
      </c>
      <c r="AH972" t="str">
        <f t="shared" si="21"/>
        <v/>
      </c>
      <c r="AJ972" t="str">
        <f t="shared" si="23"/>
        <v/>
      </c>
    </row>
    <row r="973">
      <c r="P973" t="str">
        <f t="shared" si="3"/>
        <v/>
      </c>
      <c r="R973" t="str">
        <f t="shared" si="5"/>
        <v/>
      </c>
      <c r="T973" t="str">
        <f t="shared" si="7"/>
        <v/>
      </c>
      <c r="V973" t="str">
        <f t="shared" si="9"/>
        <v/>
      </c>
      <c r="X973" t="str">
        <f t="shared" si="11"/>
        <v/>
      </c>
      <c r="Z973" t="str">
        <f t="shared" si="13"/>
        <v/>
      </c>
      <c r="AB973" t="str">
        <f t="shared" si="15"/>
        <v/>
      </c>
      <c r="AD973" t="str">
        <f t="shared" si="17"/>
        <v/>
      </c>
      <c r="AF973" t="str">
        <f t="shared" si="19"/>
        <v/>
      </c>
      <c r="AH973" t="str">
        <f t="shared" si="21"/>
        <v/>
      </c>
      <c r="AJ973" t="str">
        <f t="shared" si="23"/>
        <v/>
      </c>
    </row>
    <row r="974">
      <c r="P974" t="str">
        <f t="shared" si="3"/>
        <v/>
      </c>
      <c r="R974" t="str">
        <f t="shared" si="5"/>
        <v/>
      </c>
      <c r="T974" t="str">
        <f t="shared" si="7"/>
        <v/>
      </c>
      <c r="V974" t="str">
        <f t="shared" si="9"/>
        <v/>
      </c>
      <c r="X974" t="str">
        <f t="shared" si="11"/>
        <v/>
      </c>
      <c r="Z974" t="str">
        <f t="shared" si="13"/>
        <v/>
      </c>
      <c r="AB974" t="str">
        <f t="shared" si="15"/>
        <v/>
      </c>
      <c r="AD974" t="str">
        <f t="shared" si="17"/>
        <v/>
      </c>
      <c r="AF974" t="str">
        <f t="shared" si="19"/>
        <v/>
      </c>
      <c r="AH974" t="str">
        <f t="shared" si="21"/>
        <v/>
      </c>
      <c r="AJ974" t="str">
        <f t="shared" si="23"/>
        <v/>
      </c>
    </row>
    <row r="975">
      <c r="P975" t="str">
        <f t="shared" si="3"/>
        <v/>
      </c>
      <c r="R975" t="str">
        <f t="shared" si="5"/>
        <v/>
      </c>
      <c r="T975" t="str">
        <f t="shared" si="7"/>
        <v/>
      </c>
      <c r="V975" t="str">
        <f t="shared" si="9"/>
        <v/>
      </c>
      <c r="X975" t="str">
        <f t="shared" si="11"/>
        <v/>
      </c>
      <c r="Z975" t="str">
        <f t="shared" si="13"/>
        <v/>
      </c>
      <c r="AB975" t="str">
        <f t="shared" si="15"/>
        <v/>
      </c>
      <c r="AD975" t="str">
        <f t="shared" si="17"/>
        <v/>
      </c>
      <c r="AF975" t="str">
        <f t="shared" si="19"/>
        <v/>
      </c>
      <c r="AH975" t="str">
        <f t="shared" si="21"/>
        <v/>
      </c>
      <c r="AJ975" t="str">
        <f t="shared" si="23"/>
        <v/>
      </c>
    </row>
    <row r="976">
      <c r="P976" t="str">
        <f t="shared" si="3"/>
        <v/>
      </c>
      <c r="R976" t="str">
        <f t="shared" si="5"/>
        <v/>
      </c>
      <c r="T976" t="str">
        <f t="shared" si="7"/>
        <v/>
      </c>
      <c r="V976" t="str">
        <f t="shared" si="9"/>
        <v/>
      </c>
      <c r="X976" t="str">
        <f t="shared" si="11"/>
        <v/>
      </c>
      <c r="Z976" t="str">
        <f t="shared" si="13"/>
        <v/>
      </c>
      <c r="AB976" t="str">
        <f t="shared" si="15"/>
        <v/>
      </c>
      <c r="AD976" t="str">
        <f t="shared" si="17"/>
        <v/>
      </c>
      <c r="AF976" t="str">
        <f t="shared" si="19"/>
        <v/>
      </c>
      <c r="AH976" t="str">
        <f t="shared" si="21"/>
        <v/>
      </c>
      <c r="AJ976" t="str">
        <f t="shared" si="23"/>
        <v/>
      </c>
    </row>
    <row r="977">
      <c r="P977" t="str">
        <f t="shared" si="3"/>
        <v/>
      </c>
      <c r="R977" t="str">
        <f t="shared" si="5"/>
        <v/>
      </c>
      <c r="T977" t="str">
        <f t="shared" si="7"/>
        <v/>
      </c>
      <c r="V977" t="str">
        <f t="shared" si="9"/>
        <v/>
      </c>
      <c r="X977" t="str">
        <f t="shared" si="11"/>
        <v/>
      </c>
      <c r="Z977" t="str">
        <f t="shared" si="13"/>
        <v/>
      </c>
      <c r="AB977" t="str">
        <f t="shared" si="15"/>
        <v/>
      </c>
      <c r="AD977" t="str">
        <f t="shared" si="17"/>
        <v/>
      </c>
      <c r="AF977" t="str">
        <f t="shared" si="19"/>
        <v/>
      </c>
      <c r="AH977" t="str">
        <f t="shared" si="21"/>
        <v/>
      </c>
      <c r="AJ977" t="str">
        <f t="shared" si="23"/>
        <v/>
      </c>
    </row>
    <row r="978">
      <c r="P978" t="str">
        <f t="shared" si="3"/>
        <v/>
      </c>
      <c r="R978" t="str">
        <f t="shared" si="5"/>
        <v/>
      </c>
      <c r="T978" t="str">
        <f t="shared" si="7"/>
        <v/>
      </c>
      <c r="V978" t="str">
        <f t="shared" si="9"/>
        <v/>
      </c>
      <c r="X978" t="str">
        <f t="shared" si="11"/>
        <v/>
      </c>
      <c r="Z978" t="str">
        <f t="shared" si="13"/>
        <v/>
      </c>
      <c r="AB978" t="str">
        <f t="shared" si="15"/>
        <v/>
      </c>
      <c r="AD978" t="str">
        <f t="shared" si="17"/>
        <v/>
      </c>
      <c r="AF978" t="str">
        <f t="shared" si="19"/>
        <v/>
      </c>
      <c r="AH978" t="str">
        <f t="shared" si="21"/>
        <v/>
      </c>
      <c r="AJ978" t="str">
        <f t="shared" si="23"/>
        <v/>
      </c>
    </row>
    <row r="979">
      <c r="P979" t="str">
        <f t="shared" si="3"/>
        <v/>
      </c>
      <c r="R979" t="str">
        <f t="shared" si="5"/>
        <v/>
      </c>
      <c r="T979" t="str">
        <f t="shared" si="7"/>
        <v/>
      </c>
      <c r="V979" t="str">
        <f t="shared" si="9"/>
        <v/>
      </c>
      <c r="X979" t="str">
        <f t="shared" si="11"/>
        <v/>
      </c>
      <c r="Z979" t="str">
        <f t="shared" si="13"/>
        <v/>
      </c>
      <c r="AB979" t="str">
        <f t="shared" si="15"/>
        <v/>
      </c>
      <c r="AD979" t="str">
        <f t="shared" si="17"/>
        <v/>
      </c>
      <c r="AF979" t="str">
        <f t="shared" si="19"/>
        <v/>
      </c>
      <c r="AH979" t="str">
        <f t="shared" si="21"/>
        <v/>
      </c>
      <c r="AJ979" t="str">
        <f t="shared" si="23"/>
        <v/>
      </c>
    </row>
    <row r="980">
      <c r="P980" t="str">
        <f t="shared" si="3"/>
        <v/>
      </c>
      <c r="R980" t="str">
        <f t="shared" si="5"/>
        <v/>
      </c>
      <c r="T980" t="str">
        <f t="shared" si="7"/>
        <v/>
      </c>
      <c r="V980" t="str">
        <f t="shared" si="9"/>
        <v/>
      </c>
      <c r="X980" t="str">
        <f t="shared" si="11"/>
        <v/>
      </c>
      <c r="Z980" t="str">
        <f t="shared" si="13"/>
        <v/>
      </c>
      <c r="AB980" t="str">
        <f t="shared" si="15"/>
        <v/>
      </c>
      <c r="AD980" t="str">
        <f t="shared" si="17"/>
        <v/>
      </c>
      <c r="AF980" t="str">
        <f t="shared" si="19"/>
        <v/>
      </c>
      <c r="AH980" t="str">
        <f t="shared" si="21"/>
        <v/>
      </c>
      <c r="AJ980" t="str">
        <f t="shared" si="23"/>
        <v/>
      </c>
    </row>
    <row r="981">
      <c r="P981" t="str">
        <f t="shared" si="3"/>
        <v/>
      </c>
      <c r="R981" t="str">
        <f t="shared" si="5"/>
        <v/>
      </c>
      <c r="T981" t="str">
        <f t="shared" si="7"/>
        <v/>
      </c>
      <c r="V981" t="str">
        <f t="shared" si="9"/>
        <v/>
      </c>
      <c r="X981" t="str">
        <f t="shared" si="11"/>
        <v/>
      </c>
      <c r="Z981" t="str">
        <f t="shared" si="13"/>
        <v/>
      </c>
      <c r="AB981" t="str">
        <f t="shared" si="15"/>
        <v/>
      </c>
      <c r="AD981" t="str">
        <f t="shared" si="17"/>
        <v/>
      </c>
      <c r="AF981" t="str">
        <f t="shared" si="19"/>
        <v/>
      </c>
      <c r="AH981" t="str">
        <f t="shared" si="21"/>
        <v/>
      </c>
      <c r="AJ981" t="str">
        <f t="shared" si="23"/>
        <v/>
      </c>
    </row>
    <row r="982">
      <c r="P982" t="str">
        <f t="shared" si="3"/>
        <v/>
      </c>
      <c r="R982" t="str">
        <f t="shared" si="5"/>
        <v/>
      </c>
      <c r="T982" t="str">
        <f t="shared" si="7"/>
        <v/>
      </c>
      <c r="V982" t="str">
        <f t="shared" si="9"/>
        <v/>
      </c>
      <c r="X982" t="str">
        <f t="shared" si="11"/>
        <v/>
      </c>
      <c r="Z982" t="str">
        <f t="shared" si="13"/>
        <v/>
      </c>
      <c r="AB982" t="str">
        <f t="shared" si="15"/>
        <v/>
      </c>
      <c r="AD982" t="str">
        <f t="shared" si="17"/>
        <v/>
      </c>
      <c r="AF982" t="str">
        <f t="shared" si="19"/>
        <v/>
      </c>
      <c r="AH982" t="str">
        <f t="shared" si="21"/>
        <v/>
      </c>
      <c r="AJ982" t="str">
        <f t="shared" si="23"/>
        <v/>
      </c>
    </row>
    <row r="983">
      <c r="P983" t="str">
        <f t="shared" si="3"/>
        <v/>
      </c>
      <c r="R983" t="str">
        <f t="shared" si="5"/>
        <v/>
      </c>
      <c r="T983" t="str">
        <f t="shared" si="7"/>
        <v/>
      </c>
      <c r="V983" t="str">
        <f t="shared" si="9"/>
        <v/>
      </c>
      <c r="X983" t="str">
        <f t="shared" si="11"/>
        <v/>
      </c>
      <c r="Z983" t="str">
        <f t="shared" si="13"/>
        <v/>
      </c>
      <c r="AB983" t="str">
        <f t="shared" si="15"/>
        <v/>
      </c>
      <c r="AD983" t="str">
        <f t="shared" si="17"/>
        <v/>
      </c>
      <c r="AF983" t="str">
        <f t="shared" si="19"/>
        <v/>
      </c>
      <c r="AH983" t="str">
        <f t="shared" si="21"/>
        <v/>
      </c>
      <c r="AJ983" t="str">
        <f t="shared" si="23"/>
        <v/>
      </c>
    </row>
    <row r="984">
      <c r="P984" t="str">
        <f t="shared" si="3"/>
        <v/>
      </c>
      <c r="R984" t="str">
        <f t="shared" si="5"/>
        <v/>
      </c>
      <c r="T984" t="str">
        <f t="shared" si="7"/>
        <v/>
      </c>
      <c r="V984" t="str">
        <f t="shared" si="9"/>
        <v/>
      </c>
      <c r="X984" t="str">
        <f t="shared" si="11"/>
        <v/>
      </c>
      <c r="Z984" t="str">
        <f t="shared" si="13"/>
        <v/>
      </c>
      <c r="AB984" t="str">
        <f t="shared" si="15"/>
        <v/>
      </c>
      <c r="AD984" t="str">
        <f t="shared" si="17"/>
        <v/>
      </c>
      <c r="AF984" t="str">
        <f t="shared" si="19"/>
        <v/>
      </c>
      <c r="AH984" t="str">
        <f t="shared" si="21"/>
        <v/>
      </c>
      <c r="AJ984" t="str">
        <f t="shared" si="23"/>
        <v/>
      </c>
    </row>
    <row r="985">
      <c r="P985" t="str">
        <f t="shared" si="3"/>
        <v/>
      </c>
      <c r="R985" t="str">
        <f t="shared" si="5"/>
        <v/>
      </c>
      <c r="T985" t="str">
        <f t="shared" si="7"/>
        <v/>
      </c>
      <c r="V985" t="str">
        <f t="shared" si="9"/>
        <v/>
      </c>
      <c r="X985" t="str">
        <f t="shared" si="11"/>
        <v/>
      </c>
      <c r="Z985" t="str">
        <f t="shared" si="13"/>
        <v/>
      </c>
      <c r="AB985" t="str">
        <f t="shared" si="15"/>
        <v/>
      </c>
      <c r="AD985" t="str">
        <f t="shared" si="17"/>
        <v/>
      </c>
      <c r="AF985" t="str">
        <f t="shared" si="19"/>
        <v/>
      </c>
      <c r="AH985" t="str">
        <f t="shared" si="21"/>
        <v/>
      </c>
      <c r="AJ985" t="str">
        <f t="shared" si="23"/>
        <v/>
      </c>
    </row>
    <row r="986">
      <c r="P986" t="str">
        <f t="shared" si="3"/>
        <v/>
      </c>
      <c r="R986" t="str">
        <f t="shared" si="5"/>
        <v/>
      </c>
      <c r="T986" t="str">
        <f t="shared" si="7"/>
        <v/>
      </c>
      <c r="V986" t="str">
        <f t="shared" si="9"/>
        <v/>
      </c>
      <c r="X986" t="str">
        <f t="shared" si="11"/>
        <v/>
      </c>
      <c r="Z986" t="str">
        <f t="shared" si="13"/>
        <v/>
      </c>
      <c r="AB986" t="str">
        <f t="shared" si="15"/>
        <v/>
      </c>
      <c r="AD986" t="str">
        <f t="shared" si="17"/>
        <v/>
      </c>
      <c r="AF986" t="str">
        <f t="shared" si="19"/>
        <v/>
      </c>
      <c r="AH986" t="str">
        <f t="shared" si="21"/>
        <v/>
      </c>
      <c r="AJ986" t="str">
        <f t="shared" si="23"/>
        <v/>
      </c>
    </row>
    <row r="987">
      <c r="P987" t="str">
        <f t="shared" si="3"/>
        <v/>
      </c>
      <c r="R987" t="str">
        <f t="shared" si="5"/>
        <v/>
      </c>
      <c r="T987" t="str">
        <f t="shared" si="7"/>
        <v/>
      </c>
      <c r="V987" t="str">
        <f t="shared" si="9"/>
        <v/>
      </c>
      <c r="X987" t="str">
        <f t="shared" si="11"/>
        <v/>
      </c>
      <c r="Z987" t="str">
        <f t="shared" si="13"/>
        <v/>
      </c>
      <c r="AB987" t="str">
        <f t="shared" si="15"/>
        <v/>
      </c>
      <c r="AD987" t="str">
        <f t="shared" si="17"/>
        <v/>
      </c>
      <c r="AF987" t="str">
        <f t="shared" si="19"/>
        <v/>
      </c>
      <c r="AH987" t="str">
        <f t="shared" si="21"/>
        <v/>
      </c>
      <c r="AJ987" t="str">
        <f t="shared" si="23"/>
        <v/>
      </c>
    </row>
    <row r="988">
      <c r="P988" t="str">
        <f t="shared" si="3"/>
        <v/>
      </c>
      <c r="R988" t="str">
        <f t="shared" si="5"/>
        <v/>
      </c>
      <c r="T988" t="str">
        <f t="shared" si="7"/>
        <v/>
      </c>
      <c r="V988" t="str">
        <f t="shared" si="9"/>
        <v/>
      </c>
      <c r="X988" t="str">
        <f t="shared" si="11"/>
        <v/>
      </c>
      <c r="Z988" t="str">
        <f t="shared" si="13"/>
        <v/>
      </c>
      <c r="AB988" t="str">
        <f t="shared" si="15"/>
        <v/>
      </c>
      <c r="AD988" t="str">
        <f t="shared" si="17"/>
        <v/>
      </c>
      <c r="AF988" t="str">
        <f t="shared" si="19"/>
        <v/>
      </c>
      <c r="AH988" t="str">
        <f t="shared" si="21"/>
        <v/>
      </c>
      <c r="AJ988" t="str">
        <f t="shared" si="23"/>
        <v/>
      </c>
    </row>
    <row r="989">
      <c r="P989" t="str">
        <f t="shared" si="3"/>
        <v/>
      </c>
      <c r="R989" t="str">
        <f t="shared" si="5"/>
        <v/>
      </c>
      <c r="T989" t="str">
        <f t="shared" si="7"/>
        <v/>
      </c>
      <c r="V989" t="str">
        <f t="shared" si="9"/>
        <v/>
      </c>
      <c r="X989" t="str">
        <f t="shared" si="11"/>
        <v/>
      </c>
      <c r="Z989" t="str">
        <f t="shared" si="13"/>
        <v/>
      </c>
      <c r="AB989" t="str">
        <f t="shared" si="15"/>
        <v/>
      </c>
      <c r="AD989" t="str">
        <f t="shared" si="17"/>
        <v/>
      </c>
      <c r="AF989" t="str">
        <f t="shared" si="19"/>
        <v/>
      </c>
      <c r="AH989" t="str">
        <f t="shared" si="21"/>
        <v/>
      </c>
      <c r="AJ989" t="str">
        <f t="shared" si="23"/>
        <v/>
      </c>
    </row>
    <row r="990">
      <c r="P990" t="str">
        <f t="shared" si="3"/>
        <v/>
      </c>
      <c r="R990" t="str">
        <f t="shared" si="5"/>
        <v/>
      </c>
      <c r="T990" t="str">
        <f t="shared" si="7"/>
        <v/>
      </c>
      <c r="V990" t="str">
        <f t="shared" si="9"/>
        <v/>
      </c>
      <c r="X990" t="str">
        <f t="shared" si="11"/>
        <v/>
      </c>
      <c r="Z990" t="str">
        <f t="shared" si="13"/>
        <v/>
      </c>
      <c r="AB990" t="str">
        <f t="shared" si="15"/>
        <v/>
      </c>
      <c r="AD990" t="str">
        <f t="shared" si="17"/>
        <v/>
      </c>
      <c r="AF990" t="str">
        <f t="shared" si="19"/>
        <v/>
      </c>
      <c r="AH990" t="str">
        <f t="shared" si="21"/>
        <v/>
      </c>
      <c r="AJ990" t="str">
        <f t="shared" si="23"/>
        <v/>
      </c>
    </row>
    <row r="991">
      <c r="P991" t="str">
        <f t="shared" si="3"/>
        <v/>
      </c>
      <c r="R991" t="str">
        <f t="shared" si="5"/>
        <v/>
      </c>
      <c r="T991" t="str">
        <f t="shared" si="7"/>
        <v/>
      </c>
      <c r="V991" t="str">
        <f t="shared" si="9"/>
        <v/>
      </c>
      <c r="X991" t="str">
        <f t="shared" si="11"/>
        <v/>
      </c>
      <c r="Z991" t="str">
        <f t="shared" si="13"/>
        <v/>
      </c>
      <c r="AB991" t="str">
        <f t="shared" si="15"/>
        <v/>
      </c>
      <c r="AD991" t="str">
        <f t="shared" si="17"/>
        <v/>
      </c>
      <c r="AF991" t="str">
        <f t="shared" si="19"/>
        <v/>
      </c>
      <c r="AH991" t="str">
        <f t="shared" si="21"/>
        <v/>
      </c>
      <c r="AJ991" t="str">
        <f t="shared" si="23"/>
        <v/>
      </c>
    </row>
    <row r="992">
      <c r="P992" t="str">
        <f t="shared" si="3"/>
        <v/>
      </c>
      <c r="R992" t="str">
        <f t="shared" si="5"/>
        <v/>
      </c>
      <c r="T992" t="str">
        <f t="shared" si="7"/>
        <v/>
      </c>
      <c r="V992" t="str">
        <f t="shared" si="9"/>
        <v/>
      </c>
      <c r="X992" t="str">
        <f t="shared" si="11"/>
        <v/>
      </c>
      <c r="Z992" t="str">
        <f t="shared" si="13"/>
        <v/>
      </c>
      <c r="AB992" t="str">
        <f t="shared" si="15"/>
        <v/>
      </c>
      <c r="AD992" t="str">
        <f t="shared" si="17"/>
        <v/>
      </c>
      <c r="AF992" t="str">
        <f t="shared" si="19"/>
        <v/>
      </c>
      <c r="AH992" t="str">
        <f t="shared" si="21"/>
        <v/>
      </c>
      <c r="AJ992" t="str">
        <f t="shared" si="23"/>
        <v/>
      </c>
    </row>
    <row r="993">
      <c r="P993" t="str">
        <f t="shared" si="3"/>
        <v/>
      </c>
      <c r="R993" t="str">
        <f t="shared" si="5"/>
        <v/>
      </c>
      <c r="T993" t="str">
        <f t="shared" si="7"/>
        <v/>
      </c>
      <c r="V993" t="str">
        <f t="shared" si="9"/>
        <v/>
      </c>
      <c r="X993" t="str">
        <f t="shared" si="11"/>
        <v/>
      </c>
      <c r="Z993" t="str">
        <f t="shared" si="13"/>
        <v/>
      </c>
      <c r="AB993" t="str">
        <f t="shared" si="15"/>
        <v/>
      </c>
      <c r="AD993" t="str">
        <f t="shared" si="17"/>
        <v/>
      </c>
      <c r="AF993" t="str">
        <f t="shared" si="19"/>
        <v/>
      </c>
      <c r="AH993" t="str">
        <f t="shared" si="21"/>
        <v/>
      </c>
      <c r="AJ993" t="str">
        <f t="shared" si="23"/>
        <v/>
      </c>
    </row>
    <row r="994">
      <c r="P994" t="str">
        <f t="shared" si="3"/>
        <v/>
      </c>
      <c r="R994" t="str">
        <f t="shared" si="5"/>
        <v/>
      </c>
      <c r="T994" t="str">
        <f t="shared" si="7"/>
        <v/>
      </c>
      <c r="V994" t="str">
        <f t="shared" si="9"/>
        <v/>
      </c>
      <c r="X994" t="str">
        <f t="shared" si="11"/>
        <v/>
      </c>
      <c r="Z994" t="str">
        <f t="shared" si="13"/>
        <v/>
      </c>
      <c r="AB994" t="str">
        <f t="shared" si="15"/>
        <v/>
      </c>
      <c r="AD994" t="str">
        <f t="shared" si="17"/>
        <v/>
      </c>
      <c r="AF994" t="str">
        <f t="shared" si="19"/>
        <v/>
      </c>
      <c r="AH994" t="str">
        <f t="shared" si="21"/>
        <v/>
      </c>
      <c r="AJ994" t="str">
        <f t="shared" si="23"/>
        <v/>
      </c>
    </row>
    <row r="995">
      <c r="P995" t="str">
        <f t="shared" si="3"/>
        <v/>
      </c>
      <c r="R995" t="str">
        <f t="shared" si="5"/>
        <v/>
      </c>
      <c r="T995" t="str">
        <f t="shared" si="7"/>
        <v/>
      </c>
      <c r="V995" t="str">
        <f t="shared" si="9"/>
        <v/>
      </c>
      <c r="X995" t="str">
        <f t="shared" si="11"/>
        <v/>
      </c>
      <c r="Z995" t="str">
        <f t="shared" si="13"/>
        <v/>
      </c>
      <c r="AB995" t="str">
        <f t="shared" si="15"/>
        <v/>
      </c>
      <c r="AD995" t="str">
        <f t="shared" si="17"/>
        <v/>
      </c>
      <c r="AF995" t="str">
        <f t="shared" si="19"/>
        <v/>
      </c>
      <c r="AH995" t="str">
        <f t="shared" si="21"/>
        <v/>
      </c>
      <c r="AJ995" t="str">
        <f t="shared" si="23"/>
        <v/>
      </c>
    </row>
    <row r="996">
      <c r="P996" t="str">
        <f t="shared" si="3"/>
        <v/>
      </c>
      <c r="R996" t="str">
        <f t="shared" si="5"/>
        <v/>
      </c>
      <c r="T996" t="str">
        <f t="shared" si="7"/>
        <v/>
      </c>
      <c r="V996" t="str">
        <f t="shared" si="9"/>
        <v/>
      </c>
      <c r="X996" t="str">
        <f t="shared" si="11"/>
        <v/>
      </c>
      <c r="Z996" t="str">
        <f t="shared" si="13"/>
        <v/>
      </c>
      <c r="AB996" t="str">
        <f t="shared" si="15"/>
        <v/>
      </c>
      <c r="AD996" t="str">
        <f t="shared" si="17"/>
        <v/>
      </c>
      <c r="AF996" t="str">
        <f t="shared" si="19"/>
        <v/>
      </c>
      <c r="AH996" t="str">
        <f t="shared" si="21"/>
        <v/>
      </c>
      <c r="AJ996" t="str">
        <f t="shared" si="23"/>
        <v/>
      </c>
    </row>
    <row r="997">
      <c r="P997" t="str">
        <f t="shared" si="3"/>
        <v/>
      </c>
      <c r="R997" t="str">
        <f t="shared" si="5"/>
        <v/>
      </c>
      <c r="T997" t="str">
        <f t="shared" si="7"/>
        <v/>
      </c>
      <c r="V997" t="str">
        <f t="shared" si="9"/>
        <v/>
      </c>
      <c r="X997" t="str">
        <f t="shared" si="11"/>
        <v/>
      </c>
      <c r="Z997" t="str">
        <f t="shared" si="13"/>
        <v/>
      </c>
      <c r="AB997" t="str">
        <f t="shared" si="15"/>
        <v/>
      </c>
      <c r="AD997" t="str">
        <f t="shared" si="17"/>
        <v/>
      </c>
      <c r="AF997" t="str">
        <f t="shared" si="19"/>
        <v/>
      </c>
      <c r="AH997" t="str">
        <f t="shared" si="21"/>
        <v/>
      </c>
      <c r="AJ997" t="str">
        <f t="shared" si="23"/>
        <v/>
      </c>
    </row>
    <row r="998">
      <c r="P998" t="str">
        <f t="shared" si="3"/>
        <v/>
      </c>
      <c r="R998" t="str">
        <f t="shared" si="5"/>
        <v/>
      </c>
      <c r="T998" t="str">
        <f t="shared" si="7"/>
        <v/>
      </c>
      <c r="V998" t="str">
        <f t="shared" si="9"/>
        <v/>
      </c>
      <c r="X998" t="str">
        <f t="shared" si="11"/>
        <v/>
      </c>
      <c r="Z998" t="str">
        <f t="shared" si="13"/>
        <v/>
      </c>
      <c r="AB998" t="str">
        <f t="shared" si="15"/>
        <v/>
      </c>
      <c r="AD998" t="str">
        <f t="shared" si="17"/>
        <v/>
      </c>
      <c r="AF998" t="str">
        <f t="shared" si="19"/>
        <v/>
      </c>
      <c r="AH998" t="str">
        <f t="shared" si="21"/>
        <v/>
      </c>
      <c r="AJ998" t="str">
        <f t="shared" si="23"/>
        <v/>
      </c>
    </row>
    <row r="999">
      <c r="P999" t="str">
        <f t="shared" si="3"/>
        <v/>
      </c>
      <c r="R999" t="str">
        <f t="shared" si="5"/>
        <v/>
      </c>
      <c r="T999" t="str">
        <f t="shared" si="7"/>
        <v/>
      </c>
      <c r="V999" t="str">
        <f t="shared" si="9"/>
        <v/>
      </c>
      <c r="X999" t="str">
        <f t="shared" si="11"/>
        <v/>
      </c>
      <c r="Z999" t="str">
        <f t="shared" si="13"/>
        <v/>
      </c>
      <c r="AB999" t="str">
        <f t="shared" si="15"/>
        <v/>
      </c>
      <c r="AD999" t="str">
        <f t="shared" si="17"/>
        <v/>
      </c>
      <c r="AF999" t="str">
        <f t="shared" si="19"/>
        <v/>
      </c>
      <c r="AH999" t="str">
        <f t="shared" si="21"/>
        <v/>
      </c>
      <c r="AJ999" t="str">
        <f t="shared" si="23"/>
        <v/>
      </c>
    </row>
    <row r="1000">
      <c r="P1000" t="str">
        <f t="shared" si="3"/>
        <v/>
      </c>
      <c r="R1000" t="str">
        <f t="shared" si="5"/>
        <v/>
      </c>
      <c r="T1000" t="str">
        <f t="shared" si="7"/>
        <v/>
      </c>
      <c r="V1000" t="str">
        <f t="shared" si="9"/>
        <v/>
      </c>
      <c r="X1000" t="str">
        <f t="shared" si="11"/>
        <v/>
      </c>
      <c r="Z1000" t="str">
        <f t="shared" si="13"/>
        <v/>
      </c>
      <c r="AB1000" t="str">
        <f t="shared" si="15"/>
        <v/>
      </c>
      <c r="AD1000" t="str">
        <f t="shared" si="17"/>
        <v/>
      </c>
      <c r="AF1000" t="str">
        <f t="shared" si="19"/>
        <v/>
      </c>
      <c r="AH1000" t="str">
        <f t="shared" si="21"/>
        <v/>
      </c>
      <c r="AJ1000" t="str">
        <f t="shared" si="23"/>
        <v/>
      </c>
    </row>
  </sheetData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8" max="18" width="16.5"/>
  </cols>
  <sheetData>
    <row r="1"/>
    <row r="2">
      <c r="N2" s="1" t="s">
        <v>1370</v>
      </c>
      <c r="O2" s="1" t="s">
        <v>1371</v>
      </c>
      <c r="P2" s="1" t="s">
        <v>362</v>
      </c>
      <c r="Q2" s="1" t="s">
        <v>1372</v>
      </c>
      <c r="R2" s="1" t="s">
        <v>1373</v>
      </c>
      <c r="S2" t="str">
        <f t="array" ref="S2:AI14">TRANSPOSE(A2:M18)</f>
        <v>Week</v>
      </c>
      <c r="T2">
        <v>0.0</v>
      </c>
      <c r="U2">
        <v>1.0</v>
      </c>
      <c r="V2">
        <v>2.0</v>
      </c>
      <c r="W2">
        <v>3.0</v>
      </c>
      <c r="X2">
        <v>4.0</v>
      </c>
      <c r="Y2">
        <v>5.0</v>
      </c>
      <c r="Z2">
        <v>6.0</v>
      </c>
      <c r="AA2">
        <v>7.0</v>
      </c>
      <c r="AB2">
        <v>8.0</v>
      </c>
      <c r="AC2">
        <v>9.0</v>
      </c>
      <c r="AD2">
        <v>10.0</v>
      </c>
      <c r="AE2">
        <v>11.0</v>
      </c>
      <c r="AF2">
        <v>12.0</v>
      </c>
      <c r="AG2">
        <v>13.0</v>
      </c>
      <c r="AH2">
        <v>14.0</v>
      </c>
    </row>
    <row r="3">
      <c r="N3">
        <f>max(A3:M3)</f>
        <v>1</v>
      </c>
      <c r="O3">
        <f>LARGE(B3:M3,2)</f>
        <v>1</v>
      </c>
      <c r="P3">
        <f t="shared" ref="P3:P18" si="1">A3</f>
        <v>0</v>
      </c>
      <c r="Q3">
        <f>N3-O3</f>
        <v>0</v>
      </c>
      <c r="R3" t="str">
        <f>IFERROR(__xludf.DUMMYFUNCTION("if(Q3="""","""",left(arrayformula(CONCATENATE(filter(S:S,offset(S:S,0,P3+1)=max(offset(S:S,0,P3+1)))&amp;"","")),len(arrayformula(CONCATENATE(filter(S:S,offset(S:S,0,P3+1)=max(offset(S:S,0,P3+1)))&amp;"","")))-1))"),"Adam,Vu")</f>
        <v>Adam,Vu</v>
      </c>
      <c r="S3" t="s">
        <v>60</v>
      </c>
      <c r="T3">
        <v>1.0</v>
      </c>
      <c r="U3">
        <v>6.0</v>
      </c>
      <c r="V3">
        <v>10.0</v>
      </c>
      <c r="W3">
        <v>18.0</v>
      </c>
      <c r="X3">
        <v>21.0</v>
      </c>
      <c r="Y3">
        <v>25.0</v>
      </c>
      <c r="Z3">
        <v>30.0</v>
      </c>
      <c r="AA3">
        <v>33.0</v>
      </c>
      <c r="AB3">
        <v>41.0</v>
      </c>
      <c r="AC3">
        <v>44.0</v>
      </c>
      <c r="AD3">
        <v>49.0</v>
      </c>
      <c r="AE3">
        <v>51.0</v>
      </c>
      <c r="AF3">
        <v>55.0</v>
      </c>
      <c r="AG3">
        <v>60.0</v>
      </c>
      <c r="AH3">
        <v>65.0</v>
      </c>
    </row>
    <row r="4">
      <c r="N4">
        <f t="shared" ref="N4:N18" si="2">if(A4="","",max(A4:M4))</f>
        <v>10</v>
      </c>
      <c r="O4">
        <f t="shared" ref="O4:O18" si="3">if(A4="","",LARGE(B4:M4,2))</f>
        <v>9</v>
      </c>
      <c r="P4">
        <f t="shared" si="1"/>
        <v>1</v>
      </c>
      <c r="Q4">
        <f t="shared" ref="Q4:Q18" si="4">if(A4="","",N4-O4)</f>
        <v>1</v>
      </c>
      <c r="R4" t="str">
        <f>IFERROR(__xludf.DUMMYFUNCTION("if(Q4="""","""",left(arrayformula(CONCATENATE(filter(S:S,offset(S:S,0,P4+1)=max(offset(S:S,0,P4+1)))&amp;"","")),len(arrayformula(CONCATENATE(filter(S:S,offset(S:S,0,P4+1)=max(offset(S:S,0,P4+1)))&amp;"","")))-1))"),"Jeannine")</f>
        <v>Jeannine</v>
      </c>
      <c r="S4" t="s">
        <v>69</v>
      </c>
      <c r="T4">
        <v>0.0</v>
      </c>
      <c r="U4">
        <v>5.0</v>
      </c>
      <c r="V4">
        <v>12.0</v>
      </c>
      <c r="W4">
        <v>18.0</v>
      </c>
      <c r="X4">
        <v>23.0</v>
      </c>
      <c r="Y4">
        <v>29.0</v>
      </c>
      <c r="Z4">
        <v>30.0</v>
      </c>
      <c r="AA4">
        <v>36.0</v>
      </c>
      <c r="AB4">
        <v>41.0</v>
      </c>
      <c r="AC4">
        <v>48.0</v>
      </c>
      <c r="AD4">
        <v>55.0</v>
      </c>
      <c r="AE4">
        <v>58.0</v>
      </c>
      <c r="AF4">
        <v>62.0</v>
      </c>
      <c r="AG4">
        <v>66.0</v>
      </c>
      <c r="AH4">
        <v>70.0</v>
      </c>
    </row>
    <row r="5">
      <c r="N5">
        <f t="shared" si="2"/>
        <v>17</v>
      </c>
      <c r="O5">
        <f t="shared" si="3"/>
        <v>14</v>
      </c>
      <c r="P5">
        <f t="shared" si="1"/>
        <v>2</v>
      </c>
      <c r="Q5">
        <f t="shared" si="4"/>
        <v>3</v>
      </c>
      <c r="R5" t="str">
        <f>IFERROR(__xludf.DUMMYFUNCTION("if(Q5="""","""",left(arrayformula(CONCATENATE(filter(S:S,offset(S:S,0,P5+1)=max(offset(S:S,0,P5+1)))&amp;"","")),len(arrayformula(CONCATENATE(filter(S:S,offset(S:S,0,P5+1)=max(offset(S:S,0,P5+1)))&amp;"","")))-1))"),"Jeannine")</f>
        <v>Jeannine</v>
      </c>
      <c r="S5" t="s">
        <v>27</v>
      </c>
      <c r="T5">
        <v>0.0</v>
      </c>
      <c r="U5">
        <v>5.0</v>
      </c>
      <c r="V5">
        <v>11.0</v>
      </c>
      <c r="W5">
        <v>17.0</v>
      </c>
      <c r="X5">
        <v>23.0</v>
      </c>
      <c r="Y5">
        <v>26.0</v>
      </c>
      <c r="Z5">
        <v>31.0</v>
      </c>
      <c r="AA5">
        <v>35.0</v>
      </c>
      <c r="AB5">
        <v>40.0</v>
      </c>
      <c r="AC5">
        <v>41.0</v>
      </c>
      <c r="AD5">
        <v>44.0</v>
      </c>
      <c r="AE5">
        <v>49.0</v>
      </c>
      <c r="AF5">
        <v>52.0</v>
      </c>
      <c r="AG5">
        <v>57.0</v>
      </c>
      <c r="AH5">
        <v>62.0</v>
      </c>
    </row>
    <row r="6">
      <c r="N6">
        <f t="shared" si="2"/>
        <v>22</v>
      </c>
      <c r="O6">
        <f t="shared" si="3"/>
        <v>20</v>
      </c>
      <c r="P6">
        <f t="shared" si="1"/>
        <v>3</v>
      </c>
      <c r="Q6">
        <f t="shared" si="4"/>
        <v>2</v>
      </c>
      <c r="R6" t="str">
        <f>IFERROR(__xludf.DUMMYFUNCTION("if(Q6="""","""",left(arrayformula(CONCATENATE(filter(S:S,offset(S:S,0,P6+1)=max(offset(S:S,0,P6+1)))&amp;"","")),len(arrayformula(CONCATENATE(filter(S:S,offset(S:S,0,P6+1)=max(offset(S:S,0,P6+1)))&amp;"","")))-1))"),"Jeannine")</f>
        <v>Jeannine</v>
      </c>
      <c r="S6" t="s">
        <v>41</v>
      </c>
      <c r="T6">
        <v>0.0</v>
      </c>
      <c r="U6">
        <v>4.0</v>
      </c>
      <c r="V6">
        <v>10.0</v>
      </c>
      <c r="W6">
        <v>15.0</v>
      </c>
      <c r="X6">
        <v>19.0</v>
      </c>
      <c r="Y6">
        <v>23.0</v>
      </c>
      <c r="Z6">
        <v>28.0</v>
      </c>
      <c r="AA6">
        <v>31.0</v>
      </c>
      <c r="AB6">
        <v>37.0</v>
      </c>
      <c r="AC6">
        <v>40.0</v>
      </c>
      <c r="AD6">
        <v>45.0</v>
      </c>
      <c r="AE6">
        <v>47.0</v>
      </c>
      <c r="AF6">
        <v>51.0</v>
      </c>
      <c r="AG6">
        <v>53.0</v>
      </c>
      <c r="AH6">
        <v>57.0</v>
      </c>
    </row>
    <row r="7">
      <c r="N7">
        <f t="shared" si="2"/>
        <v>28</v>
      </c>
      <c r="O7">
        <f t="shared" si="3"/>
        <v>25</v>
      </c>
      <c r="P7">
        <f t="shared" si="1"/>
        <v>4</v>
      </c>
      <c r="Q7">
        <f t="shared" si="4"/>
        <v>3</v>
      </c>
      <c r="R7" t="str">
        <f>IFERROR(__xludf.DUMMYFUNCTION("if(Q7="""","""",left(arrayformula(CONCATENATE(filter(S:S,offset(S:S,0,P7+1)=max(offset(S:S,0,P7+1)))&amp;"","")),len(arrayformula(CONCATENATE(filter(S:S,offset(S:S,0,P7+1)=max(offset(S:S,0,P7+1)))&amp;"","")))-1))"),"Jeannine")</f>
        <v>Jeannine</v>
      </c>
      <c r="S7" t="s">
        <v>44</v>
      </c>
      <c r="T7">
        <v>0.0</v>
      </c>
      <c r="U7">
        <v>8.0</v>
      </c>
      <c r="V7">
        <v>14.0</v>
      </c>
      <c r="W7">
        <v>19.0</v>
      </c>
      <c r="X7">
        <v>22.0</v>
      </c>
      <c r="Y7">
        <v>24.0</v>
      </c>
      <c r="Z7">
        <v>30.0</v>
      </c>
      <c r="AA7">
        <v>34.0</v>
      </c>
      <c r="AB7">
        <v>37.0</v>
      </c>
      <c r="AC7">
        <v>41.0</v>
      </c>
      <c r="AD7">
        <v>46.0</v>
      </c>
      <c r="AE7">
        <v>50.0</v>
      </c>
      <c r="AF7">
        <v>54.0</v>
      </c>
      <c r="AG7">
        <v>58.0</v>
      </c>
      <c r="AH7">
        <v>65.0</v>
      </c>
    </row>
    <row r="8">
      <c r="N8">
        <f t="shared" si="2"/>
        <v>33</v>
      </c>
      <c r="O8">
        <f t="shared" si="3"/>
        <v>30</v>
      </c>
      <c r="P8">
        <f t="shared" si="1"/>
        <v>5</v>
      </c>
      <c r="Q8">
        <f t="shared" si="4"/>
        <v>3</v>
      </c>
      <c r="R8" t="str">
        <f>IFERROR(__xludf.DUMMYFUNCTION("if(Q8="""","""",left(arrayformula(CONCATENATE(filter(S:S,offset(S:S,0,P8+1)=max(offset(S:S,0,P8+1)))&amp;"","")),len(arrayformula(CONCATENATE(filter(S:S,offset(S:S,0,P8+1)=max(offset(S:S,0,P8+1)))&amp;"","")))-1))"),"Jeannine")</f>
        <v>Jeannine</v>
      </c>
      <c r="S8" t="s">
        <v>53</v>
      </c>
      <c r="T8">
        <v>0.0</v>
      </c>
      <c r="U8">
        <v>10.0</v>
      </c>
      <c r="V8">
        <v>17.0</v>
      </c>
      <c r="W8">
        <v>22.0</v>
      </c>
      <c r="X8">
        <v>28.0</v>
      </c>
      <c r="Y8">
        <v>33.0</v>
      </c>
      <c r="Z8">
        <v>38.0</v>
      </c>
      <c r="AA8">
        <v>43.0</v>
      </c>
      <c r="AB8">
        <v>48.0</v>
      </c>
      <c r="AC8">
        <v>52.0</v>
      </c>
      <c r="AD8">
        <v>54.0</v>
      </c>
      <c r="AE8">
        <v>60.0</v>
      </c>
      <c r="AF8">
        <v>64.0</v>
      </c>
      <c r="AG8">
        <v>70.0</v>
      </c>
      <c r="AH8">
        <v>77.0</v>
      </c>
    </row>
    <row r="9">
      <c r="N9">
        <f t="shared" si="2"/>
        <v>38</v>
      </c>
      <c r="O9">
        <f t="shared" si="3"/>
        <v>33</v>
      </c>
      <c r="P9">
        <f t="shared" si="1"/>
        <v>6</v>
      </c>
      <c r="Q9">
        <f t="shared" si="4"/>
        <v>5</v>
      </c>
      <c r="R9" t="str">
        <f>IFERROR(__xludf.DUMMYFUNCTION("if(Q9="""","""",left(arrayformula(CONCATENATE(filter(S:S,offset(S:S,0,P9+1)=max(offset(S:S,0,P9+1)))&amp;"","")),len(arrayformula(CONCATENATE(filter(S:S,offset(S:S,0,P9+1)=max(offset(S:S,0,P9+1)))&amp;"","")))-1))"),"Jeannine")</f>
        <v>Jeannine</v>
      </c>
      <c r="S9" t="s">
        <v>64</v>
      </c>
      <c r="T9">
        <v>0.0</v>
      </c>
      <c r="U9">
        <v>8.0</v>
      </c>
      <c r="V9">
        <v>12.0</v>
      </c>
      <c r="W9">
        <v>19.0</v>
      </c>
      <c r="X9">
        <v>23.0</v>
      </c>
      <c r="Y9">
        <v>29.0</v>
      </c>
      <c r="Z9">
        <v>32.0</v>
      </c>
      <c r="AA9">
        <v>37.0</v>
      </c>
      <c r="AB9">
        <v>39.0</v>
      </c>
      <c r="AC9">
        <v>46.0</v>
      </c>
      <c r="AD9">
        <v>47.0</v>
      </c>
      <c r="AE9">
        <v>55.0</v>
      </c>
      <c r="AF9">
        <v>61.0</v>
      </c>
      <c r="AG9">
        <v>65.0</v>
      </c>
      <c r="AH9">
        <v>67.0</v>
      </c>
    </row>
    <row r="10">
      <c r="N10">
        <f t="shared" si="2"/>
        <v>43</v>
      </c>
      <c r="O10">
        <f t="shared" si="3"/>
        <v>37</v>
      </c>
      <c r="P10">
        <f t="shared" si="1"/>
        <v>7</v>
      </c>
      <c r="Q10">
        <f t="shared" si="4"/>
        <v>6</v>
      </c>
      <c r="R10" t="str">
        <f>IFERROR(__xludf.DUMMYFUNCTION("if(Q10="""","""",left(arrayformula(CONCATENATE(filter(S:S,offset(S:S,0,P10+1)=max(offset(S:S,0,P10+1)))&amp;"","")),len(arrayformula(CONCATENATE(filter(S:S,offset(S:S,0,P10+1)=max(offset(S:S,0,P10+1)))&amp;"","")))-1))"),"Jeannine")</f>
        <v>Jeannine</v>
      </c>
      <c r="S10" t="s">
        <v>58</v>
      </c>
      <c r="T10">
        <v>0.0</v>
      </c>
      <c r="U10">
        <v>5.0</v>
      </c>
      <c r="V10">
        <v>11.0</v>
      </c>
      <c r="W10">
        <v>16.0</v>
      </c>
      <c r="X10">
        <v>20.0</v>
      </c>
      <c r="Y10">
        <v>25.0</v>
      </c>
      <c r="Z10">
        <v>29.0</v>
      </c>
      <c r="AA10">
        <v>37.0</v>
      </c>
      <c r="AB10">
        <v>43.0</v>
      </c>
      <c r="AC10">
        <v>49.0</v>
      </c>
      <c r="AD10">
        <v>53.0</v>
      </c>
      <c r="AE10">
        <v>57.0</v>
      </c>
      <c r="AF10">
        <v>60.0</v>
      </c>
      <c r="AG10">
        <v>67.0</v>
      </c>
      <c r="AH10">
        <v>76.0</v>
      </c>
    </row>
    <row r="11">
      <c r="N11">
        <f t="shared" si="2"/>
        <v>48</v>
      </c>
      <c r="O11">
        <f t="shared" si="3"/>
        <v>43</v>
      </c>
      <c r="P11">
        <f t="shared" si="1"/>
        <v>8</v>
      </c>
      <c r="Q11">
        <f t="shared" si="4"/>
        <v>5</v>
      </c>
      <c r="R11" t="str">
        <f>IFERROR(__xludf.DUMMYFUNCTION("if(Q11="""","""",left(arrayformula(CONCATENATE(filter(S:S,offset(S:S,0,P11+1)=max(offset(S:S,0,P11+1)))&amp;"","")),len(arrayformula(CONCATENATE(filter(S:S,offset(S:S,0,P11+1)=max(offset(S:S,0,P11+1)))&amp;"","")))-1))"),"Jeannine")</f>
        <v>Jeannine</v>
      </c>
      <c r="S11" t="s">
        <v>38</v>
      </c>
      <c r="T11">
        <v>0.0</v>
      </c>
      <c r="U11">
        <v>8.0</v>
      </c>
      <c r="V11">
        <v>14.0</v>
      </c>
      <c r="W11">
        <v>18.0</v>
      </c>
      <c r="X11">
        <v>23.0</v>
      </c>
      <c r="Y11">
        <v>26.0</v>
      </c>
      <c r="Z11">
        <v>29.0</v>
      </c>
      <c r="AA11">
        <v>34.0</v>
      </c>
      <c r="AB11">
        <v>39.0</v>
      </c>
      <c r="AC11">
        <v>42.0</v>
      </c>
      <c r="AD11">
        <v>44.0</v>
      </c>
      <c r="AE11">
        <v>46.0</v>
      </c>
      <c r="AF11">
        <v>52.0</v>
      </c>
      <c r="AG11">
        <v>58.0</v>
      </c>
      <c r="AH11">
        <v>62.0</v>
      </c>
    </row>
    <row r="12">
      <c r="N12">
        <f t="shared" si="2"/>
        <v>52</v>
      </c>
      <c r="O12">
        <f t="shared" si="3"/>
        <v>49</v>
      </c>
      <c r="P12">
        <f t="shared" si="1"/>
        <v>9</v>
      </c>
      <c r="Q12">
        <f t="shared" si="4"/>
        <v>3</v>
      </c>
      <c r="R12" t="str">
        <f>IFERROR(__xludf.DUMMYFUNCTION("if(Q12="""","""",left(arrayformula(CONCATENATE(filter(S:S,offset(S:S,0,P12+1)=max(offset(S:S,0,P12+1)))&amp;"","")),len(arrayformula(CONCATENATE(filter(S:S,offset(S:S,0,P12+1)=max(offset(S:S,0,P12+1)))&amp;"","")))-1))"),"Jeannine")</f>
        <v>Jeannine</v>
      </c>
      <c r="S12" t="s">
        <v>74</v>
      </c>
      <c r="T12">
        <v>0.0</v>
      </c>
      <c r="U12">
        <v>9.0</v>
      </c>
      <c r="V12">
        <v>14.0</v>
      </c>
      <c r="W12">
        <v>20.0</v>
      </c>
      <c r="X12">
        <v>25.0</v>
      </c>
      <c r="Y12">
        <v>30.0</v>
      </c>
      <c r="Z12">
        <v>33.0</v>
      </c>
      <c r="AA12">
        <v>36.0</v>
      </c>
      <c r="AB12">
        <v>42.0</v>
      </c>
      <c r="AC12">
        <v>48.0</v>
      </c>
      <c r="AD12">
        <v>52.0</v>
      </c>
      <c r="AE12">
        <v>55.0</v>
      </c>
      <c r="AF12">
        <v>58.0</v>
      </c>
      <c r="AG12">
        <v>63.0</v>
      </c>
      <c r="AH12">
        <v>68.0</v>
      </c>
    </row>
    <row r="13">
      <c r="N13">
        <f t="shared" si="2"/>
        <v>55</v>
      </c>
      <c r="O13">
        <f t="shared" si="3"/>
        <v>54</v>
      </c>
      <c r="P13">
        <f t="shared" si="1"/>
        <v>10</v>
      </c>
      <c r="Q13">
        <f t="shared" si="4"/>
        <v>1</v>
      </c>
      <c r="R13" t="str">
        <f>IFERROR(__xludf.DUMMYFUNCTION("if(Q13="""","""",left(arrayformula(CONCATENATE(filter(S:S,offset(S:S,0,P13+1)=max(offset(S:S,0,P13+1)))&amp;"","")),len(arrayformula(CONCATENATE(filter(S:S,offset(S:S,0,P13+1)=max(offset(S:S,0,P13+1)))&amp;"","")))-1))"),"Brad")</f>
        <v>Brad</v>
      </c>
      <c r="S13" t="s">
        <v>48</v>
      </c>
      <c r="T13">
        <v>0.0</v>
      </c>
      <c r="U13">
        <v>5.0</v>
      </c>
      <c r="V13">
        <v>13.0</v>
      </c>
      <c r="W13">
        <v>16.0</v>
      </c>
      <c r="X13">
        <v>20.0</v>
      </c>
      <c r="Y13">
        <v>23.0</v>
      </c>
      <c r="Z13">
        <v>26.0</v>
      </c>
      <c r="AA13">
        <v>28.0</v>
      </c>
      <c r="AB13">
        <v>31.0</v>
      </c>
      <c r="AC13">
        <v>34.0</v>
      </c>
      <c r="AD13">
        <v>36.0</v>
      </c>
      <c r="AE13">
        <v>39.0</v>
      </c>
      <c r="AF13">
        <v>42.0</v>
      </c>
      <c r="AG13">
        <v>48.0</v>
      </c>
      <c r="AH13">
        <v>52.0</v>
      </c>
    </row>
    <row r="14">
      <c r="N14">
        <f t="shared" si="2"/>
        <v>60</v>
      </c>
      <c r="O14">
        <f t="shared" si="3"/>
        <v>58</v>
      </c>
      <c r="P14">
        <f t="shared" si="1"/>
        <v>11</v>
      </c>
      <c r="Q14">
        <f t="shared" si="4"/>
        <v>2</v>
      </c>
      <c r="R14" t="str">
        <f>IFERROR(__xludf.DUMMYFUNCTION("if(Q14="""","""",left(arrayformula(CONCATENATE(filter(S:S,offset(S:S,0,P14+1)=max(offset(S:S,0,P14+1)))&amp;"","")),len(arrayformula(CONCATENATE(filter(S:S,offset(S:S,0,P14+1)=max(offset(S:S,0,P14+1)))&amp;"","")))-1))"),"Jeannine")</f>
        <v>Jeannine</v>
      </c>
      <c r="S14" t="s">
        <v>62</v>
      </c>
      <c r="T14">
        <v>1.0</v>
      </c>
      <c r="U14">
        <v>8.0</v>
      </c>
      <c r="V14">
        <v>12.0</v>
      </c>
      <c r="W14">
        <v>16.0</v>
      </c>
      <c r="X14">
        <v>20.0</v>
      </c>
      <c r="Y14">
        <v>28.0</v>
      </c>
      <c r="Z14">
        <v>30.0</v>
      </c>
      <c r="AA14">
        <v>34.0</v>
      </c>
      <c r="AB14">
        <v>37.0</v>
      </c>
      <c r="AC14">
        <v>41.0</v>
      </c>
      <c r="AD14">
        <v>45.0</v>
      </c>
      <c r="AE14">
        <v>48.0</v>
      </c>
      <c r="AF14">
        <v>55.0</v>
      </c>
      <c r="AG14">
        <v>59.0</v>
      </c>
      <c r="AH14">
        <v>64.0</v>
      </c>
    </row>
    <row r="15">
      <c r="N15">
        <f t="shared" si="2"/>
        <v>64</v>
      </c>
      <c r="O15">
        <f t="shared" si="3"/>
        <v>62</v>
      </c>
      <c r="P15">
        <f t="shared" si="1"/>
        <v>12</v>
      </c>
      <c r="Q15">
        <f t="shared" si="4"/>
        <v>2</v>
      </c>
      <c r="R15" t="str">
        <f>IFERROR(__xludf.DUMMYFUNCTION("if(Q15="""","""",left(arrayformula(CONCATENATE(filter(S:S,offset(S:S,0,P15+1)=max(offset(S:S,0,P15+1)))&amp;"","")),len(arrayformula(CONCATENATE(filter(S:S,offset(S:S,0,P15+1)=max(offset(S:S,0,P15+1)))&amp;"","")))-1))"),"Jeannine")</f>
        <v>Jeannine</v>
      </c>
    </row>
    <row r="16">
      <c r="N16">
        <f t="shared" si="2"/>
        <v>70</v>
      </c>
      <c r="O16">
        <f t="shared" si="3"/>
        <v>67</v>
      </c>
      <c r="P16">
        <f t="shared" si="1"/>
        <v>13</v>
      </c>
      <c r="Q16">
        <f t="shared" si="4"/>
        <v>3</v>
      </c>
      <c r="R16" t="str">
        <f>IFERROR(__xludf.DUMMYFUNCTION("if(Q16="""","""",left(arrayformula(CONCATENATE(filter(S:S,offset(S:S,0,P16+1)=max(offset(S:S,0,P16+1)))&amp;"","")),len(arrayformula(CONCATENATE(filter(S:S,offset(S:S,0,P16+1)=max(offset(S:S,0,P16+1)))&amp;"","")))-1))"),"Jeannine")</f>
        <v>Jeannine</v>
      </c>
    </row>
    <row r="17">
      <c r="N17">
        <f t="shared" si="2"/>
        <v>77</v>
      </c>
      <c r="O17">
        <f t="shared" si="3"/>
        <v>76</v>
      </c>
      <c r="P17">
        <f t="shared" si="1"/>
        <v>14</v>
      </c>
      <c r="Q17">
        <f t="shared" si="4"/>
        <v>1</v>
      </c>
      <c r="R17" t="str">
        <f>IFERROR(__xludf.DUMMYFUNCTION("if(Q17="""","""",left(arrayformula(CONCATENATE(filter(S:S,offset(S:S,0,P17+1)=max(offset(S:S,0,P17+1)))&amp;"","")),len(arrayformula(CONCATENATE(filter(S:S,offset(S:S,0,P17+1)=max(offset(S:S,0,P17+1)))&amp;"","")))-1))"),"Jeannine")</f>
        <v>Jeannine</v>
      </c>
    </row>
    <row r="18">
      <c r="N18" t="str">
        <f t="shared" si="2"/>
        <v/>
      </c>
      <c r="O18" t="str">
        <f t="shared" si="3"/>
        <v/>
      </c>
      <c r="P18" t="str">
        <f t="shared" si="1"/>
        <v/>
      </c>
      <c r="Q18" t="str">
        <f t="shared" si="4"/>
        <v/>
      </c>
      <c r="R18" t="str">
        <f>IFERROR(__xludf.DUMMYFUNCTION("if(Q18="""","""",left(arrayformula(CONCATENATE(filter(S:S,offset(S:S,0,P18+1)=max(offset(S:S,0,P18+1)))&amp;"","")),len(arrayformula(CONCATENATE(filter(S:S,offset(S:S,0,P18+1)=max(offset(S:S,0,P18+1)))&amp;"","")))-1))"),"")</f>
        <v/>
      </c>
    </row>
  </sheetData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</row>
    <row r="2">
      <c r="N2" s="169"/>
      <c r="O2" s="169"/>
      <c r="P2" s="170">
        <v>0.0</v>
      </c>
      <c r="Q2" s="169"/>
      <c r="R2" s="169">
        <f>P2+1</f>
        <v>1</v>
      </c>
      <c r="S2" s="169"/>
      <c r="T2" s="169">
        <f>R2+1</f>
        <v>2</v>
      </c>
      <c r="U2" s="169"/>
      <c r="V2" s="169">
        <f>T2+1</f>
        <v>3</v>
      </c>
      <c r="W2" s="169"/>
      <c r="X2" s="169">
        <f>V2+1</f>
        <v>4</v>
      </c>
      <c r="Y2" s="169"/>
      <c r="Z2" s="169">
        <f>X2+1</f>
        <v>5</v>
      </c>
      <c r="AA2" s="169"/>
      <c r="AB2" s="169">
        <f>Z2+1</f>
        <v>6</v>
      </c>
      <c r="AC2" s="169"/>
      <c r="AD2" s="169">
        <f>AB2+1</f>
        <v>7</v>
      </c>
      <c r="AE2" s="169"/>
      <c r="AF2" s="169">
        <f>AD2+1</f>
        <v>8</v>
      </c>
      <c r="AG2" s="169"/>
      <c r="AH2" s="169">
        <f>AF2+1</f>
        <v>9</v>
      </c>
      <c r="AI2" s="169"/>
      <c r="AJ2" s="169">
        <f>AH2+1</f>
        <v>10</v>
      </c>
    </row>
    <row r="3">
      <c r="N3" s="169">
        <f t="shared" ref="N3:O3" si="1">A3</f>
        <v>0</v>
      </c>
      <c r="O3" s="169">
        <f t="shared" si="1"/>
        <v>1</v>
      </c>
      <c r="P3" s="169" t="str">
        <f t="shared" ref="P3:P1000" si="2">if(O3="","",if(O4="",offset($B$2,0,P$2),""))</f>
        <v/>
      </c>
      <c r="Q3" s="169">
        <f>C3</f>
        <v>0</v>
      </c>
      <c r="R3" s="169" t="str">
        <f t="shared" ref="R3:R1000" si="3">if(Q3="","",if(Q4="",offset($B$2,0,R$2),""))</f>
        <v/>
      </c>
      <c r="S3" s="169">
        <f>D3</f>
        <v>0</v>
      </c>
      <c r="T3" s="169" t="str">
        <f t="shared" ref="T3:T1000" si="4">if(S3="","",if(S4="",offset($B$2,0,T$2),""))</f>
        <v/>
      </c>
      <c r="U3" s="169">
        <f>E3</f>
        <v>0</v>
      </c>
      <c r="V3" s="169" t="str">
        <f t="shared" ref="V3:V1000" si="5">if(U3="","",if(U4="",offset($B$2,0,V$2),""))</f>
        <v/>
      </c>
      <c r="W3" s="169">
        <f>F3</f>
        <v>0</v>
      </c>
      <c r="X3" s="169" t="str">
        <f t="shared" ref="X3:X1000" si="6">if(W3="","",if(W4="",offset($B$2,0,X$2),""))</f>
        <v/>
      </c>
      <c r="Y3" s="169">
        <f>G3</f>
        <v>0</v>
      </c>
      <c r="Z3" s="169" t="str">
        <f t="shared" ref="Z3:Z1000" si="7">if(Y3="","",if(Y4="",offset($B$2,0,Z$2),""))</f>
        <v/>
      </c>
      <c r="AA3" s="169">
        <f>H3</f>
        <v>0</v>
      </c>
      <c r="AB3" s="169" t="str">
        <f t="shared" ref="AB3:AB1000" si="8">if(AA3="","",if(AA4="",offset($B$2,0,AB$2),""))</f>
        <v/>
      </c>
      <c r="AC3" s="169">
        <f>I3</f>
        <v>0</v>
      </c>
      <c r="AD3" s="169" t="str">
        <f t="shared" ref="AD3:AD1000" si="9">if(AC3="","",if(AC4="",offset($B$2,0,AD$2),""))</f>
        <v/>
      </c>
      <c r="AE3" s="169">
        <f>J3</f>
        <v>0</v>
      </c>
      <c r="AF3" s="169" t="str">
        <f t="shared" ref="AF3:AF1000" si="10">if(AE3="","",if(AE4="",offset($B$2,0,AF$2),""))</f>
        <v/>
      </c>
      <c r="AG3" s="169">
        <f>K3</f>
        <v>0</v>
      </c>
      <c r="AH3" s="169" t="str">
        <f t="shared" ref="AH3:AH1000" si="11">if(AG3="","",if(AG4="",offset($B$2,0,AH$2),""))</f>
        <v/>
      </c>
      <c r="AI3" s="169">
        <f>L3</f>
        <v>0</v>
      </c>
      <c r="AJ3" s="169" t="str">
        <f t="shared" ref="AJ3:AJ1000" si="12">if(AI3="","",if(AI4="",offset($B$2,0,AJ$2),""))</f>
        <v/>
      </c>
    </row>
    <row r="4">
      <c r="N4" s="169">
        <f t="shared" ref="N4:N19" si="13">A4</f>
        <v>1</v>
      </c>
      <c r="O4" s="169">
        <f t="shared" ref="O4:O19" si="14">if($N4="","",B4-sum(O$3:O3))</f>
        <v>5</v>
      </c>
      <c r="P4" s="169" t="str">
        <f t="shared" si="2"/>
        <v/>
      </c>
      <c r="Q4" s="169">
        <f t="shared" ref="Q4:Q19" si="15">if($N4="","",C4-sum(Q$3:Q3))</f>
        <v>5</v>
      </c>
      <c r="R4" s="169" t="str">
        <f t="shared" si="3"/>
        <v/>
      </c>
      <c r="S4" s="169">
        <f t="shared" ref="S4:S19" si="16">if($N4="","",D4-sum(S$3:S3))</f>
        <v>5</v>
      </c>
      <c r="T4" s="169" t="str">
        <f t="shared" si="4"/>
        <v/>
      </c>
      <c r="U4" s="169">
        <f t="shared" ref="U4:U19" si="17">if($N4="","",E4-sum(U$3:U3))</f>
        <v>4</v>
      </c>
      <c r="V4" s="169" t="str">
        <f t="shared" si="5"/>
        <v/>
      </c>
      <c r="W4" s="169">
        <f t="shared" ref="W4:W19" si="18">if($N4="","",F4-sum(W$3:W3))</f>
        <v>8</v>
      </c>
      <c r="X4" s="169" t="str">
        <f t="shared" si="6"/>
        <v/>
      </c>
      <c r="Y4" s="169">
        <f t="shared" ref="Y4:Y19" si="19">if($N4="","",G4-sum(Y$3:Y3))</f>
        <v>10</v>
      </c>
      <c r="Z4" s="169" t="str">
        <f t="shared" si="7"/>
        <v/>
      </c>
      <c r="AA4" s="169">
        <f t="shared" ref="AA4:AA19" si="20">if($N4="","",H4-sum(AA$3:AA3))</f>
        <v>8</v>
      </c>
      <c r="AB4" s="169" t="str">
        <f t="shared" si="8"/>
        <v/>
      </c>
      <c r="AC4" s="169">
        <f t="shared" ref="AC4:AC19" si="21">if($N4="","",I4-sum(AC$3:AC3))</f>
        <v>5</v>
      </c>
      <c r="AD4" s="169" t="str">
        <f t="shared" si="9"/>
        <v/>
      </c>
      <c r="AE4" s="169">
        <f t="shared" ref="AE4:AE19" si="22">if($N4="","",J4-sum(AE$3:AE3))</f>
        <v>8</v>
      </c>
      <c r="AF4" s="169" t="str">
        <f t="shared" si="10"/>
        <v/>
      </c>
      <c r="AG4" s="169">
        <f t="shared" ref="AG4:AG19" si="23">if($N4="","",K4-sum(AG$3:AG3))</f>
        <v>9</v>
      </c>
      <c r="AH4" s="169" t="str">
        <f t="shared" si="11"/>
        <v/>
      </c>
      <c r="AI4" s="169">
        <f t="shared" ref="AI4:AI19" si="24">if($N4="","",L4-sum(AI$3:AI3))</f>
        <v>5</v>
      </c>
      <c r="AJ4" s="169" t="str">
        <f t="shared" si="12"/>
        <v/>
      </c>
    </row>
    <row r="5">
      <c r="N5" s="169">
        <f t="shared" si="13"/>
        <v>2</v>
      </c>
      <c r="O5" s="169">
        <f t="shared" si="14"/>
        <v>4</v>
      </c>
      <c r="P5" s="169" t="str">
        <f t="shared" si="2"/>
        <v/>
      </c>
      <c r="Q5" s="169">
        <f t="shared" si="15"/>
        <v>7</v>
      </c>
      <c r="R5" s="169" t="str">
        <f t="shared" si="3"/>
        <v/>
      </c>
      <c r="S5" s="169">
        <f t="shared" si="16"/>
        <v>6</v>
      </c>
      <c r="T5" s="169" t="str">
        <f t="shared" si="4"/>
        <v/>
      </c>
      <c r="U5" s="169">
        <f t="shared" si="17"/>
        <v>6</v>
      </c>
      <c r="V5" s="169" t="str">
        <f t="shared" si="5"/>
        <v/>
      </c>
      <c r="W5" s="169">
        <f t="shared" si="18"/>
        <v>6</v>
      </c>
      <c r="X5" s="169" t="str">
        <f t="shared" si="6"/>
        <v/>
      </c>
      <c r="Y5" s="169">
        <f t="shared" si="19"/>
        <v>7</v>
      </c>
      <c r="Z5" s="169" t="str">
        <f t="shared" si="7"/>
        <v/>
      </c>
      <c r="AA5" s="169">
        <f t="shared" si="20"/>
        <v>4</v>
      </c>
      <c r="AB5" s="169" t="str">
        <f t="shared" si="8"/>
        <v/>
      </c>
      <c r="AC5" s="169">
        <f t="shared" si="21"/>
        <v>6</v>
      </c>
      <c r="AD5" s="169" t="str">
        <f t="shared" si="9"/>
        <v/>
      </c>
      <c r="AE5" s="169">
        <f t="shared" si="22"/>
        <v>6</v>
      </c>
      <c r="AF5" s="169" t="str">
        <f t="shared" si="10"/>
        <v/>
      </c>
      <c r="AG5" s="169">
        <f t="shared" si="23"/>
        <v>5</v>
      </c>
      <c r="AH5" s="169" t="str">
        <f t="shared" si="11"/>
        <v/>
      </c>
      <c r="AI5" s="169">
        <f t="shared" si="24"/>
        <v>8</v>
      </c>
      <c r="AJ5" s="169" t="str">
        <f t="shared" si="12"/>
        <v/>
      </c>
    </row>
    <row r="6">
      <c r="N6" s="169">
        <f t="shared" si="13"/>
        <v>3</v>
      </c>
      <c r="O6" s="169">
        <f t="shared" si="14"/>
        <v>8</v>
      </c>
      <c r="P6" s="169" t="str">
        <f t="shared" si="2"/>
        <v/>
      </c>
      <c r="Q6" s="169">
        <f t="shared" si="15"/>
        <v>6</v>
      </c>
      <c r="R6" s="169" t="str">
        <f t="shared" si="3"/>
        <v/>
      </c>
      <c r="S6" s="169">
        <f t="shared" si="16"/>
        <v>6</v>
      </c>
      <c r="T6" s="169" t="str">
        <f t="shared" si="4"/>
        <v/>
      </c>
      <c r="U6" s="169">
        <f t="shared" si="17"/>
        <v>5</v>
      </c>
      <c r="V6" s="169" t="str">
        <f t="shared" si="5"/>
        <v/>
      </c>
      <c r="W6" s="169">
        <f t="shared" si="18"/>
        <v>5</v>
      </c>
      <c r="X6" s="169" t="str">
        <f t="shared" si="6"/>
        <v/>
      </c>
      <c r="Y6" s="169">
        <f t="shared" si="19"/>
        <v>5</v>
      </c>
      <c r="Z6" s="169" t="str">
        <f t="shared" si="7"/>
        <v/>
      </c>
      <c r="AA6" s="169">
        <f t="shared" si="20"/>
        <v>7</v>
      </c>
      <c r="AB6" s="169" t="str">
        <f t="shared" si="8"/>
        <v/>
      </c>
      <c r="AC6" s="169">
        <f t="shared" si="21"/>
        <v>5</v>
      </c>
      <c r="AD6" s="169" t="str">
        <f t="shared" si="9"/>
        <v/>
      </c>
      <c r="AE6" s="169">
        <f t="shared" si="22"/>
        <v>4</v>
      </c>
      <c r="AF6" s="169" t="str">
        <f t="shared" si="10"/>
        <v/>
      </c>
      <c r="AG6" s="169">
        <f t="shared" si="23"/>
        <v>6</v>
      </c>
      <c r="AH6" s="169" t="str">
        <f t="shared" si="11"/>
        <v/>
      </c>
      <c r="AI6" s="169">
        <f t="shared" si="24"/>
        <v>3</v>
      </c>
      <c r="AJ6" s="169" t="str">
        <f t="shared" si="12"/>
        <v/>
      </c>
    </row>
    <row r="7">
      <c r="N7" s="169">
        <f t="shared" si="13"/>
        <v>4</v>
      </c>
      <c r="O7" s="169">
        <f t="shared" si="14"/>
        <v>3</v>
      </c>
      <c r="P7" s="169" t="str">
        <f t="shared" si="2"/>
        <v/>
      </c>
      <c r="Q7" s="169">
        <f t="shared" si="15"/>
        <v>5</v>
      </c>
      <c r="R7" s="169" t="str">
        <f t="shared" si="3"/>
        <v/>
      </c>
      <c r="S7" s="169">
        <f t="shared" si="16"/>
        <v>6</v>
      </c>
      <c r="T7" s="169" t="str">
        <f t="shared" si="4"/>
        <v/>
      </c>
      <c r="U7" s="169">
        <f t="shared" si="17"/>
        <v>4</v>
      </c>
      <c r="V7" s="169" t="str">
        <f t="shared" si="5"/>
        <v/>
      </c>
      <c r="W7" s="169">
        <f t="shared" si="18"/>
        <v>3</v>
      </c>
      <c r="X7" s="169" t="str">
        <f t="shared" si="6"/>
        <v/>
      </c>
      <c r="Y7" s="169">
        <f t="shared" si="19"/>
        <v>6</v>
      </c>
      <c r="Z7" s="169" t="str">
        <f t="shared" si="7"/>
        <v/>
      </c>
      <c r="AA7" s="169">
        <f t="shared" si="20"/>
        <v>4</v>
      </c>
      <c r="AB7" s="169" t="str">
        <f t="shared" si="8"/>
        <v/>
      </c>
      <c r="AC7" s="169">
        <f t="shared" si="21"/>
        <v>4</v>
      </c>
      <c r="AD7" s="169" t="str">
        <f t="shared" si="9"/>
        <v/>
      </c>
      <c r="AE7" s="169">
        <f t="shared" si="22"/>
        <v>5</v>
      </c>
      <c r="AF7" s="169" t="str">
        <f t="shared" si="10"/>
        <v/>
      </c>
      <c r="AG7" s="169">
        <f t="shared" si="23"/>
        <v>5</v>
      </c>
      <c r="AH7" s="169" t="str">
        <f t="shared" si="11"/>
        <v/>
      </c>
      <c r="AI7" s="169">
        <f t="shared" si="24"/>
        <v>4</v>
      </c>
      <c r="AJ7" s="169" t="str">
        <f t="shared" si="12"/>
        <v/>
      </c>
    </row>
    <row r="8">
      <c r="N8" s="169">
        <f t="shared" si="13"/>
        <v>5</v>
      </c>
      <c r="O8" s="169">
        <f t="shared" si="14"/>
        <v>4</v>
      </c>
      <c r="P8" s="169" t="str">
        <f t="shared" si="2"/>
        <v/>
      </c>
      <c r="Q8" s="169">
        <f t="shared" si="15"/>
        <v>6</v>
      </c>
      <c r="R8" s="169" t="str">
        <f t="shared" si="3"/>
        <v/>
      </c>
      <c r="S8" s="169">
        <f t="shared" si="16"/>
        <v>3</v>
      </c>
      <c r="T8" s="169" t="str">
        <f t="shared" si="4"/>
        <v/>
      </c>
      <c r="U8" s="169">
        <f t="shared" si="17"/>
        <v>4</v>
      </c>
      <c r="V8" s="169" t="str">
        <f t="shared" si="5"/>
        <v/>
      </c>
      <c r="W8" s="169">
        <f t="shared" si="18"/>
        <v>2</v>
      </c>
      <c r="X8" s="169" t="str">
        <f t="shared" si="6"/>
        <v/>
      </c>
      <c r="Y8" s="169">
        <f t="shared" si="19"/>
        <v>5</v>
      </c>
      <c r="Z8" s="169" t="str">
        <f t="shared" si="7"/>
        <v/>
      </c>
      <c r="AA8" s="169">
        <f t="shared" si="20"/>
        <v>6</v>
      </c>
      <c r="AB8" s="169" t="str">
        <f t="shared" si="8"/>
        <v/>
      </c>
      <c r="AC8" s="169">
        <f t="shared" si="21"/>
        <v>5</v>
      </c>
      <c r="AD8" s="169" t="str">
        <f t="shared" si="9"/>
        <v/>
      </c>
      <c r="AE8" s="169">
        <f t="shared" si="22"/>
        <v>3</v>
      </c>
      <c r="AF8" s="169" t="str">
        <f t="shared" si="10"/>
        <v/>
      </c>
      <c r="AG8" s="169">
        <f t="shared" si="23"/>
        <v>5</v>
      </c>
      <c r="AH8" s="169" t="str">
        <f t="shared" si="11"/>
        <v/>
      </c>
      <c r="AI8" s="169">
        <f t="shared" si="24"/>
        <v>3</v>
      </c>
      <c r="AJ8" s="169" t="str">
        <f t="shared" si="12"/>
        <v/>
      </c>
    </row>
    <row r="9">
      <c r="N9" s="169">
        <f t="shared" si="13"/>
        <v>6</v>
      </c>
      <c r="O9" s="169">
        <f t="shared" si="14"/>
        <v>5</v>
      </c>
      <c r="P9" s="169" t="str">
        <f t="shared" si="2"/>
        <v/>
      </c>
      <c r="Q9" s="169">
        <f t="shared" si="15"/>
        <v>1</v>
      </c>
      <c r="R9" s="169" t="str">
        <f t="shared" si="3"/>
        <v/>
      </c>
      <c r="S9" s="169">
        <f t="shared" si="16"/>
        <v>5</v>
      </c>
      <c r="T9" s="169" t="str">
        <f t="shared" si="4"/>
        <v/>
      </c>
      <c r="U9" s="169">
        <f t="shared" si="17"/>
        <v>5</v>
      </c>
      <c r="V9" s="169" t="str">
        <f t="shared" si="5"/>
        <v/>
      </c>
      <c r="W9" s="169">
        <f t="shared" si="18"/>
        <v>6</v>
      </c>
      <c r="X9" s="169" t="str">
        <f t="shared" si="6"/>
        <v/>
      </c>
      <c r="Y9" s="169">
        <f t="shared" si="19"/>
        <v>5</v>
      </c>
      <c r="Z9" s="169" t="str">
        <f t="shared" si="7"/>
        <v/>
      </c>
      <c r="AA9" s="169">
        <f t="shared" si="20"/>
        <v>3</v>
      </c>
      <c r="AB9" s="169" t="str">
        <f t="shared" si="8"/>
        <v/>
      </c>
      <c r="AC9" s="169">
        <f t="shared" si="21"/>
        <v>4</v>
      </c>
      <c r="AD9" s="169" t="str">
        <f t="shared" si="9"/>
        <v/>
      </c>
      <c r="AE9" s="169">
        <f t="shared" si="22"/>
        <v>3</v>
      </c>
      <c r="AF9" s="169" t="str">
        <f t="shared" si="10"/>
        <v/>
      </c>
      <c r="AG9" s="169">
        <f t="shared" si="23"/>
        <v>3</v>
      </c>
      <c r="AH9" s="169" t="str">
        <f t="shared" si="11"/>
        <v/>
      </c>
      <c r="AI9" s="169">
        <f t="shared" si="24"/>
        <v>3</v>
      </c>
      <c r="AJ9" s="169" t="str">
        <f t="shared" si="12"/>
        <v/>
      </c>
    </row>
    <row r="10">
      <c r="N10" s="169">
        <f t="shared" si="13"/>
        <v>7</v>
      </c>
      <c r="O10" s="169">
        <f t="shared" si="14"/>
        <v>3</v>
      </c>
      <c r="P10" s="169" t="str">
        <f t="shared" si="2"/>
        <v/>
      </c>
      <c r="Q10" s="169">
        <f t="shared" si="15"/>
        <v>6</v>
      </c>
      <c r="R10" s="169" t="str">
        <f t="shared" si="3"/>
        <v/>
      </c>
      <c r="S10" s="169">
        <f t="shared" si="16"/>
        <v>4</v>
      </c>
      <c r="T10" s="169" t="str">
        <f t="shared" si="4"/>
        <v/>
      </c>
      <c r="U10" s="169">
        <f t="shared" si="17"/>
        <v>3</v>
      </c>
      <c r="V10" s="169" t="str">
        <f t="shared" si="5"/>
        <v/>
      </c>
      <c r="W10" s="169">
        <f t="shared" si="18"/>
        <v>4</v>
      </c>
      <c r="X10" s="169" t="str">
        <f t="shared" si="6"/>
        <v/>
      </c>
      <c r="Y10" s="169">
        <f t="shared" si="19"/>
        <v>5</v>
      </c>
      <c r="Z10" s="169" t="str">
        <f t="shared" si="7"/>
        <v/>
      </c>
      <c r="AA10" s="169">
        <f t="shared" si="20"/>
        <v>5</v>
      </c>
      <c r="AB10" s="169" t="str">
        <f t="shared" si="8"/>
        <v/>
      </c>
      <c r="AC10" s="169">
        <f t="shared" si="21"/>
        <v>8</v>
      </c>
      <c r="AD10" s="169" t="str">
        <f t="shared" si="9"/>
        <v/>
      </c>
      <c r="AE10" s="169">
        <f t="shared" si="22"/>
        <v>5</v>
      </c>
      <c r="AF10" s="169" t="str">
        <f t="shared" si="10"/>
        <v/>
      </c>
      <c r="AG10" s="169">
        <f t="shared" si="23"/>
        <v>3</v>
      </c>
      <c r="AH10" s="169" t="str">
        <f t="shared" si="11"/>
        <v/>
      </c>
      <c r="AI10" s="169">
        <f t="shared" si="24"/>
        <v>2</v>
      </c>
      <c r="AJ10" s="169" t="str">
        <f t="shared" si="12"/>
        <v/>
      </c>
    </row>
    <row r="11">
      <c r="N11" s="169">
        <f t="shared" si="13"/>
        <v>8</v>
      </c>
      <c r="O11" s="169">
        <f t="shared" si="14"/>
        <v>8</v>
      </c>
      <c r="P11" s="169" t="str">
        <f t="shared" si="2"/>
        <v/>
      </c>
      <c r="Q11" s="169">
        <f t="shared" si="15"/>
        <v>5</v>
      </c>
      <c r="R11" s="169" t="str">
        <f t="shared" si="3"/>
        <v/>
      </c>
      <c r="S11" s="169">
        <f t="shared" si="16"/>
        <v>5</v>
      </c>
      <c r="T11" s="169" t="str">
        <f t="shared" si="4"/>
        <v/>
      </c>
      <c r="U11" s="169">
        <f t="shared" si="17"/>
        <v>6</v>
      </c>
      <c r="V11" s="169" t="str">
        <f t="shared" si="5"/>
        <v/>
      </c>
      <c r="W11" s="169">
        <f t="shared" si="18"/>
        <v>3</v>
      </c>
      <c r="X11" s="169" t="str">
        <f t="shared" si="6"/>
        <v/>
      </c>
      <c r="Y11" s="169">
        <f t="shared" si="19"/>
        <v>5</v>
      </c>
      <c r="Z11" s="169" t="str">
        <f t="shared" si="7"/>
        <v/>
      </c>
      <c r="AA11" s="169">
        <f t="shared" si="20"/>
        <v>2</v>
      </c>
      <c r="AB11" s="169" t="str">
        <f t="shared" si="8"/>
        <v/>
      </c>
      <c r="AC11" s="169">
        <f t="shared" si="21"/>
        <v>6</v>
      </c>
      <c r="AD11" s="169" t="str">
        <f t="shared" si="9"/>
        <v/>
      </c>
      <c r="AE11" s="169">
        <f t="shared" si="22"/>
        <v>5</v>
      </c>
      <c r="AF11" s="169" t="str">
        <f t="shared" si="10"/>
        <v/>
      </c>
      <c r="AG11" s="169">
        <f t="shared" si="23"/>
        <v>6</v>
      </c>
      <c r="AH11" s="169" t="str">
        <f t="shared" si="11"/>
        <v/>
      </c>
      <c r="AI11" s="169">
        <f t="shared" si="24"/>
        <v>3</v>
      </c>
      <c r="AJ11" s="169" t="str">
        <f t="shared" si="12"/>
        <v/>
      </c>
    </row>
    <row r="12">
      <c r="N12" s="169">
        <f t="shared" si="13"/>
        <v>9</v>
      </c>
      <c r="O12" s="169">
        <f t="shared" si="14"/>
        <v>3</v>
      </c>
      <c r="P12" s="169" t="str">
        <f t="shared" si="2"/>
        <v/>
      </c>
      <c r="Q12" s="169">
        <f t="shared" si="15"/>
        <v>7</v>
      </c>
      <c r="R12" s="169" t="str">
        <f t="shared" si="3"/>
        <v/>
      </c>
      <c r="S12" s="169">
        <f t="shared" si="16"/>
        <v>1</v>
      </c>
      <c r="T12" s="169" t="str">
        <f t="shared" si="4"/>
        <v/>
      </c>
      <c r="U12" s="169">
        <f t="shared" si="17"/>
        <v>3</v>
      </c>
      <c r="V12" s="169" t="str">
        <f t="shared" si="5"/>
        <v/>
      </c>
      <c r="W12" s="169">
        <f t="shared" si="18"/>
        <v>4</v>
      </c>
      <c r="X12" s="169" t="str">
        <f t="shared" si="6"/>
        <v/>
      </c>
      <c r="Y12" s="169">
        <f t="shared" si="19"/>
        <v>4</v>
      </c>
      <c r="Z12" s="169" t="str">
        <f t="shared" si="7"/>
        <v/>
      </c>
      <c r="AA12" s="169">
        <f t="shared" si="20"/>
        <v>7</v>
      </c>
      <c r="AB12" s="169" t="str">
        <f t="shared" si="8"/>
        <v/>
      </c>
      <c r="AC12" s="169">
        <f t="shared" si="21"/>
        <v>6</v>
      </c>
      <c r="AD12" s="169" t="str">
        <f t="shared" si="9"/>
        <v/>
      </c>
      <c r="AE12" s="169">
        <f t="shared" si="22"/>
        <v>3</v>
      </c>
      <c r="AF12" s="169" t="str">
        <f t="shared" si="10"/>
        <v/>
      </c>
      <c r="AG12" s="169">
        <f t="shared" si="23"/>
        <v>6</v>
      </c>
      <c r="AH12" s="169" t="str">
        <f t="shared" si="11"/>
        <v/>
      </c>
      <c r="AI12" s="169">
        <f t="shared" si="24"/>
        <v>3</v>
      </c>
      <c r="AJ12" s="169" t="str">
        <f t="shared" si="12"/>
        <v/>
      </c>
    </row>
    <row r="13">
      <c r="N13" s="169">
        <f t="shared" si="13"/>
        <v>10</v>
      </c>
      <c r="O13" s="169">
        <f t="shared" si="14"/>
        <v>5</v>
      </c>
      <c r="P13" s="169" t="str">
        <f t="shared" si="2"/>
        <v/>
      </c>
      <c r="Q13" s="169">
        <f t="shared" si="15"/>
        <v>7</v>
      </c>
      <c r="R13" s="169" t="str">
        <f t="shared" si="3"/>
        <v/>
      </c>
      <c r="S13" s="169">
        <f t="shared" si="16"/>
        <v>3</v>
      </c>
      <c r="T13" s="169" t="str">
        <f t="shared" si="4"/>
        <v/>
      </c>
      <c r="U13" s="169">
        <f t="shared" si="17"/>
        <v>5</v>
      </c>
      <c r="V13" s="169" t="str">
        <f t="shared" si="5"/>
        <v/>
      </c>
      <c r="W13" s="169">
        <f t="shared" si="18"/>
        <v>5</v>
      </c>
      <c r="X13" s="169" t="str">
        <f t="shared" si="6"/>
        <v/>
      </c>
      <c r="Y13" s="169">
        <f t="shared" si="19"/>
        <v>2</v>
      </c>
      <c r="Z13" s="169" t="str">
        <f t="shared" si="7"/>
        <v/>
      </c>
      <c r="AA13" s="169">
        <f t="shared" si="20"/>
        <v>1</v>
      </c>
      <c r="AB13" s="169" t="str">
        <f t="shared" si="8"/>
        <v/>
      </c>
      <c r="AC13" s="169">
        <f t="shared" si="21"/>
        <v>4</v>
      </c>
      <c r="AD13" s="169" t="str">
        <f t="shared" si="9"/>
        <v/>
      </c>
      <c r="AE13" s="169">
        <f t="shared" si="22"/>
        <v>2</v>
      </c>
      <c r="AF13" s="169" t="str">
        <f t="shared" si="10"/>
        <v/>
      </c>
      <c r="AG13" s="169">
        <f t="shared" si="23"/>
        <v>4</v>
      </c>
      <c r="AH13" s="169" t="str">
        <f t="shared" si="11"/>
        <v/>
      </c>
      <c r="AI13" s="169">
        <f t="shared" si="24"/>
        <v>2</v>
      </c>
      <c r="AJ13" s="169" t="str">
        <f t="shared" si="12"/>
        <v/>
      </c>
    </row>
    <row r="14">
      <c r="N14" s="169">
        <f t="shared" si="13"/>
        <v>11</v>
      </c>
      <c r="O14" s="169">
        <f t="shared" si="14"/>
        <v>2</v>
      </c>
      <c r="P14" s="169" t="str">
        <f t="shared" si="2"/>
        <v/>
      </c>
      <c r="Q14" s="169">
        <f t="shared" si="15"/>
        <v>3</v>
      </c>
      <c r="R14" s="169" t="str">
        <f t="shared" si="3"/>
        <v/>
      </c>
      <c r="S14" s="169">
        <f t="shared" si="16"/>
        <v>5</v>
      </c>
      <c r="T14" s="169" t="str">
        <f t="shared" si="4"/>
        <v/>
      </c>
      <c r="U14" s="169">
        <f t="shared" si="17"/>
        <v>2</v>
      </c>
      <c r="V14" s="169" t="str">
        <f t="shared" si="5"/>
        <v/>
      </c>
      <c r="W14" s="169">
        <f t="shared" si="18"/>
        <v>4</v>
      </c>
      <c r="X14" s="169" t="str">
        <f t="shared" si="6"/>
        <v/>
      </c>
      <c r="Y14" s="169">
        <f t="shared" si="19"/>
        <v>6</v>
      </c>
      <c r="Z14" s="169" t="str">
        <f t="shared" si="7"/>
        <v/>
      </c>
      <c r="AA14" s="169">
        <f t="shared" si="20"/>
        <v>8</v>
      </c>
      <c r="AB14" s="169" t="str">
        <f t="shared" si="8"/>
        <v/>
      </c>
      <c r="AC14" s="169">
        <f t="shared" si="21"/>
        <v>4</v>
      </c>
      <c r="AD14" s="169" t="str">
        <f t="shared" si="9"/>
        <v/>
      </c>
      <c r="AE14" s="169">
        <f t="shared" si="22"/>
        <v>2</v>
      </c>
      <c r="AF14" s="169" t="str">
        <f t="shared" si="10"/>
        <v/>
      </c>
      <c r="AG14" s="169">
        <f t="shared" si="23"/>
        <v>3</v>
      </c>
      <c r="AH14" s="169" t="str">
        <f t="shared" si="11"/>
        <v/>
      </c>
      <c r="AI14" s="169">
        <f t="shared" si="24"/>
        <v>3</v>
      </c>
      <c r="AJ14" s="169" t="str">
        <f t="shared" si="12"/>
        <v/>
      </c>
    </row>
    <row r="15">
      <c r="N15" s="169">
        <f t="shared" si="13"/>
        <v>12</v>
      </c>
      <c r="O15" s="169">
        <f t="shared" si="14"/>
        <v>4</v>
      </c>
      <c r="P15" s="169" t="str">
        <f t="shared" si="2"/>
        <v/>
      </c>
      <c r="Q15" s="169">
        <f t="shared" si="15"/>
        <v>4</v>
      </c>
      <c r="R15" s="169" t="str">
        <f t="shared" si="3"/>
        <v/>
      </c>
      <c r="S15" s="169">
        <f t="shared" si="16"/>
        <v>3</v>
      </c>
      <c r="T15" s="169" t="str">
        <f t="shared" si="4"/>
        <v/>
      </c>
      <c r="U15" s="169">
        <f t="shared" si="17"/>
        <v>4</v>
      </c>
      <c r="V15" s="169" t="str">
        <f t="shared" si="5"/>
        <v/>
      </c>
      <c r="W15" s="169">
        <f t="shared" si="18"/>
        <v>4</v>
      </c>
      <c r="X15" s="169" t="str">
        <f t="shared" si="6"/>
        <v/>
      </c>
      <c r="Y15" s="169">
        <f t="shared" si="19"/>
        <v>4</v>
      </c>
      <c r="Z15" s="169" t="str">
        <f t="shared" si="7"/>
        <v/>
      </c>
      <c r="AA15" s="169">
        <f t="shared" si="20"/>
        <v>6</v>
      </c>
      <c r="AB15" s="169" t="str">
        <f t="shared" si="8"/>
        <v/>
      </c>
      <c r="AC15" s="169">
        <f t="shared" si="21"/>
        <v>3</v>
      </c>
      <c r="AD15" s="169" t="str">
        <f t="shared" si="9"/>
        <v/>
      </c>
      <c r="AE15" s="169">
        <f t="shared" si="22"/>
        <v>6</v>
      </c>
      <c r="AF15" s="169" t="str">
        <f t="shared" si="10"/>
        <v/>
      </c>
      <c r="AG15" s="169">
        <f t="shared" si="23"/>
        <v>3</v>
      </c>
      <c r="AH15" s="169" t="str">
        <f t="shared" si="11"/>
        <v/>
      </c>
      <c r="AI15" s="169">
        <f t="shared" si="24"/>
        <v>3</v>
      </c>
      <c r="AJ15" s="169" t="str">
        <f t="shared" si="12"/>
        <v/>
      </c>
    </row>
    <row r="16">
      <c r="N16" s="169">
        <f t="shared" si="13"/>
        <v>13</v>
      </c>
      <c r="O16" s="169">
        <f t="shared" si="14"/>
        <v>5</v>
      </c>
      <c r="P16" s="169" t="str">
        <f t="shared" si="2"/>
        <v/>
      </c>
      <c r="Q16" s="169">
        <f t="shared" si="15"/>
        <v>4</v>
      </c>
      <c r="R16" s="169" t="str">
        <f t="shared" si="3"/>
        <v/>
      </c>
      <c r="S16" s="169">
        <f t="shared" si="16"/>
        <v>5</v>
      </c>
      <c r="T16" s="169" t="str">
        <f t="shared" si="4"/>
        <v/>
      </c>
      <c r="U16" s="169">
        <f t="shared" si="17"/>
        <v>2</v>
      </c>
      <c r="V16" s="169" t="str">
        <f t="shared" si="5"/>
        <v/>
      </c>
      <c r="W16" s="169">
        <f t="shared" si="18"/>
        <v>4</v>
      </c>
      <c r="X16" s="169" t="str">
        <f t="shared" si="6"/>
        <v/>
      </c>
      <c r="Y16" s="169">
        <f t="shared" si="19"/>
        <v>6</v>
      </c>
      <c r="Z16" s="169" t="str">
        <f t="shared" si="7"/>
        <v/>
      </c>
      <c r="AA16" s="169">
        <f t="shared" si="20"/>
        <v>4</v>
      </c>
      <c r="AB16" s="169" t="str">
        <f t="shared" si="8"/>
        <v/>
      </c>
      <c r="AC16" s="169">
        <f t="shared" si="21"/>
        <v>7</v>
      </c>
      <c r="AD16" s="169" t="str">
        <f t="shared" si="9"/>
        <v/>
      </c>
      <c r="AE16" s="169">
        <f t="shared" si="22"/>
        <v>6</v>
      </c>
      <c r="AF16" s="169" t="str">
        <f t="shared" si="10"/>
        <v/>
      </c>
      <c r="AG16" s="169">
        <f t="shared" si="23"/>
        <v>5</v>
      </c>
      <c r="AH16" s="169" t="str">
        <f t="shared" si="11"/>
        <v/>
      </c>
      <c r="AI16" s="169">
        <f t="shared" si="24"/>
        <v>6</v>
      </c>
      <c r="AJ16" s="169" t="str">
        <f t="shared" si="12"/>
        <v/>
      </c>
    </row>
    <row r="17">
      <c r="N17" s="169">
        <f t="shared" si="13"/>
        <v>14</v>
      </c>
      <c r="O17" s="169">
        <f t="shared" si="14"/>
        <v>5</v>
      </c>
      <c r="P17" s="169" t="str">
        <f t="shared" si="2"/>
        <v>Adam</v>
      </c>
      <c r="Q17" s="169">
        <f t="shared" si="15"/>
        <v>4</v>
      </c>
      <c r="R17" s="169" t="str">
        <f t="shared" si="3"/>
        <v>Brad</v>
      </c>
      <c r="S17" s="169">
        <f t="shared" si="16"/>
        <v>5</v>
      </c>
      <c r="T17" s="169" t="str">
        <f t="shared" si="4"/>
        <v>DavEmily</v>
      </c>
      <c r="U17" s="169">
        <f t="shared" si="17"/>
        <v>4</v>
      </c>
      <c r="V17" s="169" t="str">
        <f t="shared" si="5"/>
        <v>Gary</v>
      </c>
      <c r="W17" s="169">
        <f t="shared" si="18"/>
        <v>7</v>
      </c>
      <c r="X17" s="169" t="str">
        <f t="shared" si="6"/>
        <v>Janice/Mike</v>
      </c>
      <c r="Y17" s="169">
        <f t="shared" si="19"/>
        <v>7</v>
      </c>
      <c r="Z17" s="169" t="str">
        <f t="shared" si="7"/>
        <v>Jeannine</v>
      </c>
      <c r="AA17" s="169">
        <f t="shared" si="20"/>
        <v>2</v>
      </c>
      <c r="AB17" s="169" t="str">
        <f t="shared" si="8"/>
        <v>Josh R.</v>
      </c>
      <c r="AC17" s="169">
        <f t="shared" si="21"/>
        <v>9</v>
      </c>
      <c r="AD17" s="169" t="str">
        <f t="shared" si="9"/>
        <v>Justin</v>
      </c>
      <c r="AE17" s="169">
        <f t="shared" si="22"/>
        <v>4</v>
      </c>
      <c r="AF17" s="169" t="str">
        <f t="shared" si="10"/>
        <v>Nick A.</v>
      </c>
      <c r="AG17" s="169">
        <f t="shared" si="23"/>
        <v>5</v>
      </c>
      <c r="AH17" s="169" t="str">
        <f t="shared" si="11"/>
        <v>Nick G.</v>
      </c>
      <c r="AI17" s="169">
        <f t="shared" si="24"/>
        <v>4</v>
      </c>
      <c r="AJ17" s="169" t="str">
        <f t="shared" si="12"/>
        <v>Nico</v>
      </c>
    </row>
    <row r="18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 t="str">
        <f t="shared" si="13"/>
        <v/>
      </c>
      <c r="O18" s="169" t="str">
        <f t="shared" si="14"/>
        <v/>
      </c>
      <c r="P18" s="169" t="str">
        <f t="shared" si="2"/>
        <v/>
      </c>
      <c r="Q18" s="169" t="str">
        <f t="shared" si="15"/>
        <v/>
      </c>
      <c r="R18" s="169" t="str">
        <f t="shared" si="3"/>
        <v/>
      </c>
      <c r="S18" s="169" t="str">
        <f t="shared" si="16"/>
        <v/>
      </c>
      <c r="T18" s="169" t="str">
        <f t="shared" si="4"/>
        <v/>
      </c>
      <c r="U18" s="169" t="str">
        <f t="shared" si="17"/>
        <v/>
      </c>
      <c r="V18" s="169" t="str">
        <f t="shared" si="5"/>
        <v/>
      </c>
      <c r="W18" s="169" t="str">
        <f t="shared" si="18"/>
        <v/>
      </c>
      <c r="X18" s="169" t="str">
        <f t="shared" si="6"/>
        <v/>
      </c>
      <c r="Y18" s="169" t="str">
        <f t="shared" si="19"/>
        <v/>
      </c>
      <c r="Z18" s="169" t="str">
        <f t="shared" si="7"/>
        <v/>
      </c>
      <c r="AA18" s="169" t="str">
        <f t="shared" si="20"/>
        <v/>
      </c>
      <c r="AB18" s="169" t="str">
        <f t="shared" si="8"/>
        <v/>
      </c>
      <c r="AC18" s="169" t="str">
        <f t="shared" si="21"/>
        <v/>
      </c>
      <c r="AD18" s="169" t="str">
        <f t="shared" si="9"/>
        <v/>
      </c>
      <c r="AE18" s="169" t="str">
        <f t="shared" si="22"/>
        <v/>
      </c>
      <c r="AF18" s="169" t="str">
        <f t="shared" si="10"/>
        <v/>
      </c>
      <c r="AG18" s="169" t="str">
        <f t="shared" si="23"/>
        <v/>
      </c>
      <c r="AH18" s="169" t="str">
        <f t="shared" si="11"/>
        <v/>
      </c>
      <c r="AI18" s="169" t="str">
        <f t="shared" si="24"/>
        <v/>
      </c>
      <c r="AJ18" s="169" t="str">
        <f t="shared" si="12"/>
        <v/>
      </c>
    </row>
    <row r="19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 t="str">
        <f t="shared" si="13"/>
        <v/>
      </c>
      <c r="O19" s="169" t="str">
        <f t="shared" si="14"/>
        <v/>
      </c>
      <c r="P19" s="169" t="str">
        <f t="shared" si="2"/>
        <v/>
      </c>
      <c r="Q19" s="169" t="str">
        <f t="shared" si="15"/>
        <v/>
      </c>
      <c r="R19" s="169" t="str">
        <f t="shared" si="3"/>
        <v/>
      </c>
      <c r="S19" s="169" t="str">
        <f t="shared" si="16"/>
        <v/>
      </c>
      <c r="T19" s="169" t="str">
        <f t="shared" si="4"/>
        <v/>
      </c>
      <c r="U19" s="169" t="str">
        <f t="shared" si="17"/>
        <v/>
      </c>
      <c r="V19" s="169" t="str">
        <f t="shared" si="5"/>
        <v/>
      </c>
      <c r="W19" s="169" t="str">
        <f t="shared" si="18"/>
        <v/>
      </c>
      <c r="X19" s="169" t="str">
        <f t="shared" si="6"/>
        <v/>
      </c>
      <c r="Y19" s="169" t="str">
        <f t="shared" si="19"/>
        <v/>
      </c>
      <c r="Z19" s="169" t="str">
        <f t="shared" si="7"/>
        <v/>
      </c>
      <c r="AA19" s="169" t="str">
        <f t="shared" si="20"/>
        <v/>
      </c>
      <c r="AB19" s="169" t="str">
        <f t="shared" si="8"/>
        <v/>
      </c>
      <c r="AC19" s="169" t="str">
        <f t="shared" si="21"/>
        <v/>
      </c>
      <c r="AD19" s="169" t="str">
        <f t="shared" si="9"/>
        <v/>
      </c>
      <c r="AE19" s="169" t="str">
        <f t="shared" si="22"/>
        <v/>
      </c>
      <c r="AF19" s="169" t="str">
        <f t="shared" si="10"/>
        <v/>
      </c>
      <c r="AG19" s="169" t="str">
        <f t="shared" si="23"/>
        <v/>
      </c>
      <c r="AH19" s="169" t="str">
        <f t="shared" si="11"/>
        <v/>
      </c>
      <c r="AI19" s="169" t="str">
        <f t="shared" si="24"/>
        <v/>
      </c>
      <c r="AJ19" s="169" t="str">
        <f t="shared" si="12"/>
        <v/>
      </c>
    </row>
    <row r="20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 t="str">
        <f t="shared" si="2"/>
        <v/>
      </c>
      <c r="Q20" s="169"/>
      <c r="R20" s="169" t="str">
        <f t="shared" si="3"/>
        <v/>
      </c>
      <c r="S20" s="169"/>
      <c r="T20" s="169" t="str">
        <f t="shared" si="4"/>
        <v/>
      </c>
      <c r="U20" s="169"/>
      <c r="V20" s="169" t="str">
        <f t="shared" si="5"/>
        <v/>
      </c>
      <c r="W20" s="169"/>
      <c r="X20" s="169" t="str">
        <f t="shared" si="6"/>
        <v/>
      </c>
      <c r="Y20" s="169"/>
      <c r="Z20" s="169" t="str">
        <f t="shared" si="7"/>
        <v/>
      </c>
      <c r="AA20" s="169"/>
      <c r="AB20" s="169" t="str">
        <f t="shared" si="8"/>
        <v/>
      </c>
      <c r="AC20" s="169"/>
      <c r="AD20" s="169" t="str">
        <f t="shared" si="9"/>
        <v/>
      </c>
      <c r="AE20" s="169"/>
      <c r="AF20" s="169" t="str">
        <f t="shared" si="10"/>
        <v/>
      </c>
      <c r="AG20" s="169"/>
      <c r="AH20" s="169" t="str">
        <f t="shared" si="11"/>
        <v/>
      </c>
      <c r="AI20" s="169"/>
      <c r="AJ20" s="169" t="str">
        <f t="shared" si="12"/>
        <v/>
      </c>
    </row>
    <row r="2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 t="str">
        <f t="shared" si="2"/>
        <v/>
      </c>
      <c r="Q21" s="169"/>
      <c r="R21" s="169" t="str">
        <f t="shared" si="3"/>
        <v/>
      </c>
      <c r="S21" s="169"/>
      <c r="T21" s="169" t="str">
        <f t="shared" si="4"/>
        <v/>
      </c>
      <c r="U21" s="169"/>
      <c r="V21" s="169" t="str">
        <f t="shared" si="5"/>
        <v/>
      </c>
      <c r="W21" s="169"/>
      <c r="X21" s="169" t="str">
        <f t="shared" si="6"/>
        <v/>
      </c>
      <c r="Y21" s="169"/>
      <c r="Z21" s="169" t="str">
        <f t="shared" si="7"/>
        <v/>
      </c>
      <c r="AA21" s="169"/>
      <c r="AB21" s="169" t="str">
        <f t="shared" si="8"/>
        <v/>
      </c>
      <c r="AC21" s="169"/>
      <c r="AD21" s="169" t="str">
        <f t="shared" si="9"/>
        <v/>
      </c>
      <c r="AE21" s="169"/>
      <c r="AF21" s="169" t="str">
        <f t="shared" si="10"/>
        <v/>
      </c>
      <c r="AG21" s="169"/>
      <c r="AH21" s="169" t="str">
        <f t="shared" si="11"/>
        <v/>
      </c>
      <c r="AI21" s="169"/>
      <c r="AJ21" s="169" t="str">
        <f t="shared" si="12"/>
        <v/>
      </c>
    </row>
    <row r="22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 t="str">
        <f t="shared" si="2"/>
        <v/>
      </c>
      <c r="Q22" s="169"/>
      <c r="R22" s="169" t="str">
        <f t="shared" si="3"/>
        <v/>
      </c>
      <c r="S22" s="169"/>
      <c r="T22" s="169" t="str">
        <f t="shared" si="4"/>
        <v/>
      </c>
      <c r="U22" s="169"/>
      <c r="V22" s="169" t="str">
        <f t="shared" si="5"/>
        <v/>
      </c>
      <c r="W22" s="169"/>
      <c r="X22" s="169" t="str">
        <f t="shared" si="6"/>
        <v/>
      </c>
      <c r="Y22" s="169"/>
      <c r="Z22" s="169" t="str">
        <f t="shared" si="7"/>
        <v/>
      </c>
      <c r="AA22" s="169"/>
      <c r="AB22" s="169" t="str">
        <f t="shared" si="8"/>
        <v/>
      </c>
      <c r="AC22" s="169"/>
      <c r="AD22" s="169" t="str">
        <f t="shared" si="9"/>
        <v/>
      </c>
      <c r="AE22" s="169"/>
      <c r="AF22" s="169" t="str">
        <f t="shared" si="10"/>
        <v/>
      </c>
      <c r="AG22" s="169"/>
      <c r="AH22" s="169" t="str">
        <f t="shared" si="11"/>
        <v/>
      </c>
      <c r="AI22" s="169"/>
      <c r="AJ22" s="169" t="str">
        <f t="shared" si="12"/>
        <v/>
      </c>
    </row>
    <row r="23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 t="str">
        <f t="shared" si="2"/>
        <v/>
      </c>
      <c r="Q23" s="169"/>
      <c r="R23" s="169" t="str">
        <f t="shared" si="3"/>
        <v/>
      </c>
      <c r="S23" s="169"/>
      <c r="T23" s="169" t="str">
        <f t="shared" si="4"/>
        <v/>
      </c>
      <c r="U23" s="169"/>
      <c r="V23" s="169" t="str">
        <f t="shared" si="5"/>
        <v/>
      </c>
      <c r="W23" s="169"/>
      <c r="X23" s="169" t="str">
        <f t="shared" si="6"/>
        <v/>
      </c>
      <c r="Y23" s="169"/>
      <c r="Z23" s="169" t="str">
        <f t="shared" si="7"/>
        <v/>
      </c>
      <c r="AA23" s="169"/>
      <c r="AB23" s="169" t="str">
        <f t="shared" si="8"/>
        <v/>
      </c>
      <c r="AC23" s="169"/>
      <c r="AD23" s="169" t="str">
        <f t="shared" si="9"/>
        <v/>
      </c>
      <c r="AE23" s="169"/>
      <c r="AF23" s="169" t="str">
        <f t="shared" si="10"/>
        <v/>
      </c>
      <c r="AG23" s="169"/>
      <c r="AH23" s="169" t="str">
        <f t="shared" si="11"/>
        <v/>
      </c>
      <c r="AI23" s="169"/>
      <c r="AJ23" s="169" t="str">
        <f t="shared" si="12"/>
        <v/>
      </c>
    </row>
    <row r="24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 t="str">
        <f t="shared" si="2"/>
        <v/>
      </c>
      <c r="Q24" s="169"/>
      <c r="R24" s="169" t="str">
        <f t="shared" si="3"/>
        <v/>
      </c>
      <c r="S24" s="169"/>
      <c r="T24" s="169" t="str">
        <f t="shared" si="4"/>
        <v/>
      </c>
      <c r="U24" s="169"/>
      <c r="V24" s="169" t="str">
        <f t="shared" si="5"/>
        <v/>
      </c>
      <c r="W24" s="169"/>
      <c r="X24" s="169" t="str">
        <f t="shared" si="6"/>
        <v/>
      </c>
      <c r="Y24" s="169"/>
      <c r="Z24" s="169" t="str">
        <f t="shared" si="7"/>
        <v/>
      </c>
      <c r="AA24" s="169"/>
      <c r="AB24" s="169" t="str">
        <f t="shared" si="8"/>
        <v/>
      </c>
      <c r="AC24" s="169"/>
      <c r="AD24" s="169" t="str">
        <f t="shared" si="9"/>
        <v/>
      </c>
      <c r="AE24" s="169"/>
      <c r="AF24" s="169" t="str">
        <f t="shared" si="10"/>
        <v/>
      </c>
      <c r="AG24" s="169"/>
      <c r="AH24" s="169" t="str">
        <f t="shared" si="11"/>
        <v/>
      </c>
      <c r="AI24" s="169"/>
      <c r="AJ24" s="169" t="str">
        <f t="shared" si="12"/>
        <v/>
      </c>
    </row>
    <row r="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 t="str">
        <f t="shared" si="2"/>
        <v/>
      </c>
      <c r="Q25" s="169"/>
      <c r="R25" s="169" t="str">
        <f t="shared" si="3"/>
        <v/>
      </c>
      <c r="S25" s="169"/>
      <c r="T25" s="169" t="str">
        <f t="shared" si="4"/>
        <v/>
      </c>
      <c r="U25" s="169"/>
      <c r="V25" s="169" t="str">
        <f t="shared" si="5"/>
        <v/>
      </c>
      <c r="W25" s="169"/>
      <c r="X25" s="169" t="str">
        <f t="shared" si="6"/>
        <v/>
      </c>
      <c r="Y25" s="169"/>
      <c r="Z25" s="169" t="str">
        <f t="shared" si="7"/>
        <v/>
      </c>
      <c r="AA25" s="169"/>
      <c r="AB25" s="169" t="str">
        <f t="shared" si="8"/>
        <v/>
      </c>
      <c r="AC25" s="169"/>
      <c r="AD25" s="169" t="str">
        <f t="shared" si="9"/>
        <v/>
      </c>
      <c r="AE25" s="169"/>
      <c r="AF25" s="169" t="str">
        <f t="shared" si="10"/>
        <v/>
      </c>
      <c r="AG25" s="169"/>
      <c r="AH25" s="169" t="str">
        <f t="shared" si="11"/>
        <v/>
      </c>
      <c r="AI25" s="169"/>
      <c r="AJ25" s="169" t="str">
        <f t="shared" si="12"/>
        <v/>
      </c>
    </row>
    <row r="26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 t="str">
        <f t="shared" si="2"/>
        <v/>
      </c>
      <c r="Q26" s="169"/>
      <c r="R26" s="169" t="str">
        <f t="shared" si="3"/>
        <v/>
      </c>
      <c r="S26" s="169"/>
      <c r="T26" s="169" t="str">
        <f t="shared" si="4"/>
        <v/>
      </c>
      <c r="U26" s="169"/>
      <c r="V26" s="169" t="str">
        <f t="shared" si="5"/>
        <v/>
      </c>
      <c r="W26" s="169"/>
      <c r="X26" s="169" t="str">
        <f t="shared" si="6"/>
        <v/>
      </c>
      <c r="Y26" s="169"/>
      <c r="Z26" s="169" t="str">
        <f t="shared" si="7"/>
        <v/>
      </c>
      <c r="AA26" s="169"/>
      <c r="AB26" s="169" t="str">
        <f t="shared" si="8"/>
        <v/>
      </c>
      <c r="AC26" s="169"/>
      <c r="AD26" s="169" t="str">
        <f t="shared" si="9"/>
        <v/>
      </c>
      <c r="AE26" s="169"/>
      <c r="AF26" s="169" t="str">
        <f t="shared" si="10"/>
        <v/>
      </c>
      <c r="AG26" s="169"/>
      <c r="AH26" s="169" t="str">
        <f t="shared" si="11"/>
        <v/>
      </c>
      <c r="AI26" s="169"/>
      <c r="AJ26" s="169" t="str">
        <f t="shared" si="12"/>
        <v/>
      </c>
    </row>
    <row r="27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 t="str">
        <f t="shared" si="2"/>
        <v/>
      </c>
      <c r="Q27" s="169"/>
      <c r="R27" s="169" t="str">
        <f t="shared" si="3"/>
        <v/>
      </c>
      <c r="S27" s="169"/>
      <c r="T27" s="169" t="str">
        <f t="shared" si="4"/>
        <v/>
      </c>
      <c r="U27" s="169"/>
      <c r="V27" s="169" t="str">
        <f t="shared" si="5"/>
        <v/>
      </c>
      <c r="W27" s="169"/>
      <c r="X27" s="169" t="str">
        <f t="shared" si="6"/>
        <v/>
      </c>
      <c r="Y27" s="169"/>
      <c r="Z27" s="169" t="str">
        <f t="shared" si="7"/>
        <v/>
      </c>
      <c r="AA27" s="169"/>
      <c r="AB27" s="169" t="str">
        <f t="shared" si="8"/>
        <v/>
      </c>
      <c r="AC27" s="169"/>
      <c r="AD27" s="169" t="str">
        <f t="shared" si="9"/>
        <v/>
      </c>
      <c r="AE27" s="169"/>
      <c r="AF27" s="169" t="str">
        <f t="shared" si="10"/>
        <v/>
      </c>
      <c r="AG27" s="169"/>
      <c r="AH27" s="169" t="str">
        <f t="shared" si="11"/>
        <v/>
      </c>
      <c r="AI27" s="169"/>
      <c r="AJ27" s="169" t="str">
        <f t="shared" si="12"/>
        <v/>
      </c>
    </row>
    <row r="28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 t="str">
        <f t="shared" si="2"/>
        <v/>
      </c>
      <c r="Q28" s="169"/>
      <c r="R28" s="169" t="str">
        <f t="shared" si="3"/>
        <v/>
      </c>
      <c r="S28" s="169"/>
      <c r="T28" s="169" t="str">
        <f t="shared" si="4"/>
        <v/>
      </c>
      <c r="U28" s="169"/>
      <c r="V28" s="169" t="str">
        <f t="shared" si="5"/>
        <v/>
      </c>
      <c r="W28" s="169"/>
      <c r="X28" s="169" t="str">
        <f t="shared" si="6"/>
        <v/>
      </c>
      <c r="Y28" s="169"/>
      <c r="Z28" s="169" t="str">
        <f t="shared" si="7"/>
        <v/>
      </c>
      <c r="AA28" s="169"/>
      <c r="AB28" s="169" t="str">
        <f t="shared" si="8"/>
        <v/>
      </c>
      <c r="AC28" s="169"/>
      <c r="AD28" s="169" t="str">
        <f t="shared" si="9"/>
        <v/>
      </c>
      <c r="AE28" s="169"/>
      <c r="AF28" s="169" t="str">
        <f t="shared" si="10"/>
        <v/>
      </c>
      <c r="AG28" s="169"/>
      <c r="AH28" s="169" t="str">
        <f t="shared" si="11"/>
        <v/>
      </c>
      <c r="AI28" s="169"/>
      <c r="AJ28" s="169" t="str">
        <f t="shared" si="12"/>
        <v/>
      </c>
    </row>
    <row r="29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 t="str">
        <f t="shared" si="2"/>
        <v/>
      </c>
      <c r="Q29" s="169"/>
      <c r="R29" s="169" t="str">
        <f t="shared" si="3"/>
        <v/>
      </c>
      <c r="S29" s="169"/>
      <c r="T29" s="169" t="str">
        <f t="shared" si="4"/>
        <v/>
      </c>
      <c r="U29" s="169"/>
      <c r="V29" s="169" t="str">
        <f t="shared" si="5"/>
        <v/>
      </c>
      <c r="W29" s="169"/>
      <c r="X29" s="169" t="str">
        <f t="shared" si="6"/>
        <v/>
      </c>
      <c r="Y29" s="169"/>
      <c r="Z29" s="169" t="str">
        <f t="shared" si="7"/>
        <v/>
      </c>
      <c r="AA29" s="169"/>
      <c r="AB29" s="169" t="str">
        <f t="shared" si="8"/>
        <v/>
      </c>
      <c r="AC29" s="169"/>
      <c r="AD29" s="169" t="str">
        <f t="shared" si="9"/>
        <v/>
      </c>
      <c r="AE29" s="169"/>
      <c r="AF29" s="169" t="str">
        <f t="shared" si="10"/>
        <v/>
      </c>
      <c r="AG29" s="169"/>
      <c r="AH29" s="169" t="str">
        <f t="shared" si="11"/>
        <v/>
      </c>
      <c r="AI29" s="169"/>
      <c r="AJ29" s="169" t="str">
        <f t="shared" si="12"/>
        <v/>
      </c>
    </row>
    <row r="30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 t="str">
        <f t="shared" si="2"/>
        <v/>
      </c>
      <c r="Q30" s="169"/>
      <c r="R30" s="169" t="str">
        <f t="shared" si="3"/>
        <v/>
      </c>
      <c r="S30" s="169"/>
      <c r="T30" s="169" t="str">
        <f t="shared" si="4"/>
        <v/>
      </c>
      <c r="U30" s="169"/>
      <c r="V30" s="169" t="str">
        <f t="shared" si="5"/>
        <v/>
      </c>
      <c r="W30" s="169"/>
      <c r="X30" s="169" t="str">
        <f t="shared" si="6"/>
        <v/>
      </c>
      <c r="Y30" s="169"/>
      <c r="Z30" s="169" t="str">
        <f t="shared" si="7"/>
        <v/>
      </c>
      <c r="AA30" s="169"/>
      <c r="AB30" s="169" t="str">
        <f t="shared" si="8"/>
        <v/>
      </c>
      <c r="AC30" s="169"/>
      <c r="AD30" s="169" t="str">
        <f t="shared" si="9"/>
        <v/>
      </c>
      <c r="AE30" s="169"/>
      <c r="AF30" s="169" t="str">
        <f t="shared" si="10"/>
        <v/>
      </c>
      <c r="AG30" s="169"/>
      <c r="AH30" s="169" t="str">
        <f t="shared" si="11"/>
        <v/>
      </c>
      <c r="AI30" s="169"/>
      <c r="AJ30" s="169" t="str">
        <f t="shared" si="12"/>
        <v/>
      </c>
    </row>
    <row r="3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 t="str">
        <f t="shared" si="2"/>
        <v/>
      </c>
      <c r="Q31" s="169"/>
      <c r="R31" s="169" t="str">
        <f t="shared" si="3"/>
        <v/>
      </c>
      <c r="S31" s="169"/>
      <c r="T31" s="169" t="str">
        <f t="shared" si="4"/>
        <v/>
      </c>
      <c r="U31" s="169"/>
      <c r="V31" s="169" t="str">
        <f t="shared" si="5"/>
        <v/>
      </c>
      <c r="W31" s="169"/>
      <c r="X31" s="169" t="str">
        <f t="shared" si="6"/>
        <v/>
      </c>
      <c r="Y31" s="169"/>
      <c r="Z31" s="169" t="str">
        <f t="shared" si="7"/>
        <v/>
      </c>
      <c r="AA31" s="169"/>
      <c r="AB31" s="169" t="str">
        <f t="shared" si="8"/>
        <v/>
      </c>
      <c r="AC31" s="169"/>
      <c r="AD31" s="169" t="str">
        <f t="shared" si="9"/>
        <v/>
      </c>
      <c r="AE31" s="169"/>
      <c r="AF31" s="169" t="str">
        <f t="shared" si="10"/>
        <v/>
      </c>
      <c r="AG31" s="169"/>
      <c r="AH31" s="169" t="str">
        <f t="shared" si="11"/>
        <v/>
      </c>
      <c r="AI31" s="169"/>
      <c r="AJ31" s="169" t="str">
        <f t="shared" si="12"/>
        <v/>
      </c>
    </row>
    <row r="32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 t="str">
        <f t="shared" si="2"/>
        <v/>
      </c>
      <c r="Q32" s="169"/>
      <c r="R32" s="169" t="str">
        <f t="shared" si="3"/>
        <v/>
      </c>
      <c r="S32" s="169"/>
      <c r="T32" s="169" t="str">
        <f t="shared" si="4"/>
        <v/>
      </c>
      <c r="U32" s="169"/>
      <c r="V32" s="169" t="str">
        <f t="shared" si="5"/>
        <v/>
      </c>
      <c r="W32" s="169"/>
      <c r="X32" s="169" t="str">
        <f t="shared" si="6"/>
        <v/>
      </c>
      <c r="Y32" s="169"/>
      <c r="Z32" s="169" t="str">
        <f t="shared" si="7"/>
        <v/>
      </c>
      <c r="AA32" s="169"/>
      <c r="AB32" s="169" t="str">
        <f t="shared" si="8"/>
        <v/>
      </c>
      <c r="AC32" s="169"/>
      <c r="AD32" s="169" t="str">
        <f t="shared" si="9"/>
        <v/>
      </c>
      <c r="AE32" s="169"/>
      <c r="AF32" s="169" t="str">
        <f t="shared" si="10"/>
        <v/>
      </c>
      <c r="AG32" s="169"/>
      <c r="AH32" s="169" t="str">
        <f t="shared" si="11"/>
        <v/>
      </c>
      <c r="AI32" s="169"/>
      <c r="AJ32" s="169" t="str">
        <f t="shared" si="12"/>
        <v/>
      </c>
    </row>
    <row r="33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 t="str">
        <f t="shared" si="2"/>
        <v/>
      </c>
      <c r="Q33" s="169"/>
      <c r="R33" s="169" t="str">
        <f t="shared" si="3"/>
        <v/>
      </c>
      <c r="S33" s="169"/>
      <c r="T33" s="169" t="str">
        <f t="shared" si="4"/>
        <v/>
      </c>
      <c r="U33" s="169"/>
      <c r="V33" s="169" t="str">
        <f t="shared" si="5"/>
        <v/>
      </c>
      <c r="W33" s="169"/>
      <c r="X33" s="169" t="str">
        <f t="shared" si="6"/>
        <v/>
      </c>
      <c r="Y33" s="169"/>
      <c r="Z33" s="169" t="str">
        <f t="shared" si="7"/>
        <v/>
      </c>
      <c r="AA33" s="169"/>
      <c r="AB33" s="169" t="str">
        <f t="shared" si="8"/>
        <v/>
      </c>
      <c r="AC33" s="169"/>
      <c r="AD33" s="169" t="str">
        <f t="shared" si="9"/>
        <v/>
      </c>
      <c r="AE33" s="169"/>
      <c r="AF33" s="169" t="str">
        <f t="shared" si="10"/>
        <v/>
      </c>
      <c r="AG33" s="169"/>
      <c r="AH33" s="169" t="str">
        <f t="shared" si="11"/>
        <v/>
      </c>
      <c r="AI33" s="169"/>
      <c r="AJ33" s="169" t="str">
        <f t="shared" si="12"/>
        <v/>
      </c>
    </row>
    <row r="34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 t="str">
        <f t="shared" si="2"/>
        <v/>
      </c>
      <c r="Q34" s="169"/>
      <c r="R34" s="169" t="str">
        <f t="shared" si="3"/>
        <v/>
      </c>
      <c r="S34" s="169"/>
      <c r="T34" s="169" t="str">
        <f t="shared" si="4"/>
        <v/>
      </c>
      <c r="U34" s="169"/>
      <c r="V34" s="169" t="str">
        <f t="shared" si="5"/>
        <v/>
      </c>
      <c r="W34" s="169"/>
      <c r="X34" s="169" t="str">
        <f t="shared" si="6"/>
        <v/>
      </c>
      <c r="Y34" s="169"/>
      <c r="Z34" s="169" t="str">
        <f t="shared" si="7"/>
        <v/>
      </c>
      <c r="AA34" s="169"/>
      <c r="AB34" s="169" t="str">
        <f t="shared" si="8"/>
        <v/>
      </c>
      <c r="AC34" s="169"/>
      <c r="AD34" s="169" t="str">
        <f t="shared" si="9"/>
        <v/>
      </c>
      <c r="AE34" s="169"/>
      <c r="AF34" s="169" t="str">
        <f t="shared" si="10"/>
        <v/>
      </c>
      <c r="AG34" s="169"/>
      <c r="AH34" s="169" t="str">
        <f t="shared" si="11"/>
        <v/>
      </c>
      <c r="AI34" s="169"/>
      <c r="AJ34" s="169" t="str">
        <f t="shared" si="12"/>
        <v/>
      </c>
    </row>
    <row r="35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 t="str">
        <f t="shared" si="2"/>
        <v/>
      </c>
      <c r="Q35" s="169"/>
      <c r="R35" s="169" t="str">
        <f t="shared" si="3"/>
        <v/>
      </c>
      <c r="S35" s="169"/>
      <c r="T35" s="169" t="str">
        <f t="shared" si="4"/>
        <v/>
      </c>
      <c r="U35" s="169"/>
      <c r="V35" s="169" t="str">
        <f t="shared" si="5"/>
        <v/>
      </c>
      <c r="W35" s="169"/>
      <c r="X35" s="169" t="str">
        <f t="shared" si="6"/>
        <v/>
      </c>
      <c r="Y35" s="169"/>
      <c r="Z35" s="169" t="str">
        <f t="shared" si="7"/>
        <v/>
      </c>
      <c r="AA35" s="169"/>
      <c r="AB35" s="169" t="str">
        <f t="shared" si="8"/>
        <v/>
      </c>
      <c r="AC35" s="169"/>
      <c r="AD35" s="169" t="str">
        <f t="shared" si="9"/>
        <v/>
      </c>
      <c r="AE35" s="169"/>
      <c r="AF35" s="169" t="str">
        <f t="shared" si="10"/>
        <v/>
      </c>
      <c r="AG35" s="169"/>
      <c r="AH35" s="169" t="str">
        <f t="shared" si="11"/>
        <v/>
      </c>
      <c r="AI35" s="169"/>
      <c r="AJ35" s="169" t="str">
        <f t="shared" si="12"/>
        <v/>
      </c>
    </row>
    <row r="36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 t="str">
        <f t="shared" si="2"/>
        <v/>
      </c>
      <c r="Q36" s="169"/>
      <c r="R36" s="169" t="str">
        <f t="shared" si="3"/>
        <v/>
      </c>
      <c r="S36" s="169"/>
      <c r="T36" s="169" t="str">
        <f t="shared" si="4"/>
        <v/>
      </c>
      <c r="U36" s="169"/>
      <c r="V36" s="169" t="str">
        <f t="shared" si="5"/>
        <v/>
      </c>
      <c r="W36" s="169"/>
      <c r="X36" s="169" t="str">
        <f t="shared" si="6"/>
        <v/>
      </c>
      <c r="Y36" s="169"/>
      <c r="Z36" s="169" t="str">
        <f t="shared" si="7"/>
        <v/>
      </c>
      <c r="AA36" s="169"/>
      <c r="AB36" s="169" t="str">
        <f t="shared" si="8"/>
        <v/>
      </c>
      <c r="AC36" s="169"/>
      <c r="AD36" s="169" t="str">
        <f t="shared" si="9"/>
        <v/>
      </c>
      <c r="AE36" s="169"/>
      <c r="AF36" s="169" t="str">
        <f t="shared" si="10"/>
        <v/>
      </c>
      <c r="AG36" s="169"/>
      <c r="AH36" s="169" t="str">
        <f t="shared" si="11"/>
        <v/>
      </c>
      <c r="AI36" s="169"/>
      <c r="AJ36" s="169" t="str">
        <f t="shared" si="12"/>
        <v/>
      </c>
    </row>
    <row r="37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 t="str">
        <f t="shared" si="2"/>
        <v/>
      </c>
      <c r="Q37" s="169"/>
      <c r="R37" s="169" t="str">
        <f t="shared" si="3"/>
        <v/>
      </c>
      <c r="S37" s="169"/>
      <c r="T37" s="169" t="str">
        <f t="shared" si="4"/>
        <v/>
      </c>
      <c r="U37" s="169"/>
      <c r="V37" s="169" t="str">
        <f t="shared" si="5"/>
        <v/>
      </c>
      <c r="W37" s="169"/>
      <c r="X37" s="169" t="str">
        <f t="shared" si="6"/>
        <v/>
      </c>
      <c r="Y37" s="169"/>
      <c r="Z37" s="169" t="str">
        <f t="shared" si="7"/>
        <v/>
      </c>
      <c r="AA37" s="169"/>
      <c r="AB37" s="169" t="str">
        <f t="shared" si="8"/>
        <v/>
      </c>
      <c r="AC37" s="169"/>
      <c r="AD37" s="169" t="str">
        <f t="shared" si="9"/>
        <v/>
      </c>
      <c r="AE37" s="169"/>
      <c r="AF37" s="169" t="str">
        <f t="shared" si="10"/>
        <v/>
      </c>
      <c r="AG37" s="169"/>
      <c r="AH37" s="169" t="str">
        <f t="shared" si="11"/>
        <v/>
      </c>
      <c r="AI37" s="169"/>
      <c r="AJ37" s="169" t="str">
        <f t="shared" si="12"/>
        <v/>
      </c>
    </row>
    <row r="38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 t="str">
        <f t="shared" si="2"/>
        <v/>
      </c>
      <c r="Q38" s="169"/>
      <c r="R38" s="169" t="str">
        <f t="shared" si="3"/>
        <v/>
      </c>
      <c r="S38" s="169"/>
      <c r="T38" s="169" t="str">
        <f t="shared" si="4"/>
        <v/>
      </c>
      <c r="U38" s="169"/>
      <c r="V38" s="169" t="str">
        <f t="shared" si="5"/>
        <v/>
      </c>
      <c r="W38" s="169"/>
      <c r="X38" s="169" t="str">
        <f t="shared" si="6"/>
        <v/>
      </c>
      <c r="Y38" s="169"/>
      <c r="Z38" s="169" t="str">
        <f t="shared" si="7"/>
        <v/>
      </c>
      <c r="AA38" s="169"/>
      <c r="AB38" s="169" t="str">
        <f t="shared" si="8"/>
        <v/>
      </c>
      <c r="AC38" s="169"/>
      <c r="AD38" s="169" t="str">
        <f t="shared" si="9"/>
        <v/>
      </c>
      <c r="AE38" s="169"/>
      <c r="AF38" s="169" t="str">
        <f t="shared" si="10"/>
        <v/>
      </c>
      <c r="AG38" s="169"/>
      <c r="AH38" s="169" t="str">
        <f t="shared" si="11"/>
        <v/>
      </c>
      <c r="AI38" s="169"/>
      <c r="AJ38" s="169" t="str">
        <f t="shared" si="12"/>
        <v/>
      </c>
    </row>
    <row r="39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 t="str">
        <f t="shared" si="2"/>
        <v/>
      </c>
      <c r="Q39" s="169"/>
      <c r="R39" s="169" t="str">
        <f t="shared" si="3"/>
        <v/>
      </c>
      <c r="S39" s="169"/>
      <c r="T39" s="169" t="str">
        <f t="shared" si="4"/>
        <v/>
      </c>
      <c r="U39" s="169"/>
      <c r="V39" s="169" t="str">
        <f t="shared" si="5"/>
        <v/>
      </c>
      <c r="W39" s="169"/>
      <c r="X39" s="169" t="str">
        <f t="shared" si="6"/>
        <v/>
      </c>
      <c r="Y39" s="169"/>
      <c r="Z39" s="169" t="str">
        <f t="shared" si="7"/>
        <v/>
      </c>
      <c r="AA39" s="169"/>
      <c r="AB39" s="169" t="str">
        <f t="shared" si="8"/>
        <v/>
      </c>
      <c r="AC39" s="169"/>
      <c r="AD39" s="169" t="str">
        <f t="shared" si="9"/>
        <v/>
      </c>
      <c r="AE39" s="169"/>
      <c r="AF39" s="169" t="str">
        <f t="shared" si="10"/>
        <v/>
      </c>
      <c r="AG39" s="169"/>
      <c r="AH39" s="169" t="str">
        <f t="shared" si="11"/>
        <v/>
      </c>
      <c r="AI39" s="169"/>
      <c r="AJ39" s="169" t="str">
        <f t="shared" si="12"/>
        <v/>
      </c>
    </row>
    <row r="40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 t="str">
        <f t="shared" si="2"/>
        <v/>
      </c>
      <c r="Q40" s="169"/>
      <c r="R40" s="169" t="str">
        <f t="shared" si="3"/>
        <v/>
      </c>
      <c r="S40" s="169"/>
      <c r="T40" s="169" t="str">
        <f t="shared" si="4"/>
        <v/>
      </c>
      <c r="U40" s="169"/>
      <c r="V40" s="169" t="str">
        <f t="shared" si="5"/>
        <v/>
      </c>
      <c r="W40" s="169"/>
      <c r="X40" s="169" t="str">
        <f t="shared" si="6"/>
        <v/>
      </c>
      <c r="Y40" s="169"/>
      <c r="Z40" s="169" t="str">
        <f t="shared" si="7"/>
        <v/>
      </c>
      <c r="AA40" s="169"/>
      <c r="AB40" s="169" t="str">
        <f t="shared" si="8"/>
        <v/>
      </c>
      <c r="AC40" s="169"/>
      <c r="AD40" s="169" t="str">
        <f t="shared" si="9"/>
        <v/>
      </c>
      <c r="AE40" s="169"/>
      <c r="AF40" s="169" t="str">
        <f t="shared" si="10"/>
        <v/>
      </c>
      <c r="AG40" s="169"/>
      <c r="AH40" s="169" t="str">
        <f t="shared" si="11"/>
        <v/>
      </c>
      <c r="AI40" s="169"/>
      <c r="AJ40" s="169" t="str">
        <f t="shared" si="12"/>
        <v/>
      </c>
    </row>
    <row r="4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 t="str">
        <f t="shared" si="2"/>
        <v/>
      </c>
      <c r="Q41" s="169"/>
      <c r="R41" s="169" t="str">
        <f t="shared" si="3"/>
        <v/>
      </c>
      <c r="S41" s="169"/>
      <c r="T41" s="169" t="str">
        <f t="shared" si="4"/>
        <v/>
      </c>
      <c r="U41" s="169"/>
      <c r="V41" s="169" t="str">
        <f t="shared" si="5"/>
        <v/>
      </c>
      <c r="W41" s="169"/>
      <c r="X41" s="169" t="str">
        <f t="shared" si="6"/>
        <v/>
      </c>
      <c r="Y41" s="169"/>
      <c r="Z41" s="169" t="str">
        <f t="shared" si="7"/>
        <v/>
      </c>
      <c r="AA41" s="169"/>
      <c r="AB41" s="169" t="str">
        <f t="shared" si="8"/>
        <v/>
      </c>
      <c r="AC41" s="169"/>
      <c r="AD41" s="169" t="str">
        <f t="shared" si="9"/>
        <v/>
      </c>
      <c r="AE41" s="169"/>
      <c r="AF41" s="169" t="str">
        <f t="shared" si="10"/>
        <v/>
      </c>
      <c r="AG41" s="169"/>
      <c r="AH41" s="169" t="str">
        <f t="shared" si="11"/>
        <v/>
      </c>
      <c r="AI41" s="169"/>
      <c r="AJ41" s="169" t="str">
        <f t="shared" si="12"/>
        <v/>
      </c>
    </row>
    <row r="42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 t="str">
        <f t="shared" si="2"/>
        <v/>
      </c>
      <c r="Q42" s="169"/>
      <c r="R42" s="169" t="str">
        <f t="shared" si="3"/>
        <v/>
      </c>
      <c r="S42" s="169"/>
      <c r="T42" s="169" t="str">
        <f t="shared" si="4"/>
        <v/>
      </c>
      <c r="U42" s="169"/>
      <c r="V42" s="169" t="str">
        <f t="shared" si="5"/>
        <v/>
      </c>
      <c r="W42" s="169"/>
      <c r="X42" s="169" t="str">
        <f t="shared" si="6"/>
        <v/>
      </c>
      <c r="Y42" s="169"/>
      <c r="Z42" s="169" t="str">
        <f t="shared" si="7"/>
        <v/>
      </c>
      <c r="AA42" s="169"/>
      <c r="AB42" s="169" t="str">
        <f t="shared" si="8"/>
        <v/>
      </c>
      <c r="AC42" s="169"/>
      <c r="AD42" s="169" t="str">
        <f t="shared" si="9"/>
        <v/>
      </c>
      <c r="AE42" s="169"/>
      <c r="AF42" s="169" t="str">
        <f t="shared" si="10"/>
        <v/>
      </c>
      <c r="AG42" s="169"/>
      <c r="AH42" s="169" t="str">
        <f t="shared" si="11"/>
        <v/>
      </c>
      <c r="AI42" s="169"/>
      <c r="AJ42" s="169" t="str">
        <f t="shared" si="12"/>
        <v/>
      </c>
    </row>
    <row r="43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 t="str">
        <f t="shared" si="2"/>
        <v/>
      </c>
      <c r="Q43" s="169"/>
      <c r="R43" s="169" t="str">
        <f t="shared" si="3"/>
        <v/>
      </c>
      <c r="S43" s="169"/>
      <c r="T43" s="169" t="str">
        <f t="shared" si="4"/>
        <v/>
      </c>
      <c r="U43" s="169"/>
      <c r="V43" s="169" t="str">
        <f t="shared" si="5"/>
        <v/>
      </c>
      <c r="W43" s="169"/>
      <c r="X43" s="169" t="str">
        <f t="shared" si="6"/>
        <v/>
      </c>
      <c r="Y43" s="169"/>
      <c r="Z43" s="169" t="str">
        <f t="shared" si="7"/>
        <v/>
      </c>
      <c r="AA43" s="169"/>
      <c r="AB43" s="169" t="str">
        <f t="shared" si="8"/>
        <v/>
      </c>
      <c r="AC43" s="169"/>
      <c r="AD43" s="169" t="str">
        <f t="shared" si="9"/>
        <v/>
      </c>
      <c r="AE43" s="169"/>
      <c r="AF43" s="169" t="str">
        <f t="shared" si="10"/>
        <v/>
      </c>
      <c r="AG43" s="169"/>
      <c r="AH43" s="169" t="str">
        <f t="shared" si="11"/>
        <v/>
      </c>
      <c r="AI43" s="169"/>
      <c r="AJ43" s="169" t="str">
        <f t="shared" si="12"/>
        <v/>
      </c>
    </row>
    <row r="44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 t="str">
        <f t="shared" si="2"/>
        <v/>
      </c>
      <c r="Q44" s="169"/>
      <c r="R44" s="169" t="str">
        <f t="shared" si="3"/>
        <v/>
      </c>
      <c r="S44" s="169"/>
      <c r="T44" s="169" t="str">
        <f t="shared" si="4"/>
        <v/>
      </c>
      <c r="U44" s="169"/>
      <c r="V44" s="169" t="str">
        <f t="shared" si="5"/>
        <v/>
      </c>
      <c r="W44" s="169"/>
      <c r="X44" s="169" t="str">
        <f t="shared" si="6"/>
        <v/>
      </c>
      <c r="Y44" s="169"/>
      <c r="Z44" s="169" t="str">
        <f t="shared" si="7"/>
        <v/>
      </c>
      <c r="AA44" s="169"/>
      <c r="AB44" s="169" t="str">
        <f t="shared" si="8"/>
        <v/>
      </c>
      <c r="AC44" s="169"/>
      <c r="AD44" s="169" t="str">
        <f t="shared" si="9"/>
        <v/>
      </c>
      <c r="AE44" s="169"/>
      <c r="AF44" s="169" t="str">
        <f t="shared" si="10"/>
        <v/>
      </c>
      <c r="AG44" s="169"/>
      <c r="AH44" s="169" t="str">
        <f t="shared" si="11"/>
        <v/>
      </c>
      <c r="AI44" s="169"/>
      <c r="AJ44" s="169" t="str">
        <f t="shared" si="12"/>
        <v/>
      </c>
    </row>
    <row r="4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 t="str">
        <f t="shared" si="2"/>
        <v/>
      </c>
      <c r="Q45" s="169"/>
      <c r="R45" s="169" t="str">
        <f t="shared" si="3"/>
        <v/>
      </c>
      <c r="S45" s="169"/>
      <c r="T45" s="169" t="str">
        <f t="shared" si="4"/>
        <v/>
      </c>
      <c r="U45" s="169"/>
      <c r="V45" s="169" t="str">
        <f t="shared" si="5"/>
        <v/>
      </c>
      <c r="W45" s="169"/>
      <c r="X45" s="169" t="str">
        <f t="shared" si="6"/>
        <v/>
      </c>
      <c r="Y45" s="169"/>
      <c r="Z45" s="169" t="str">
        <f t="shared" si="7"/>
        <v/>
      </c>
      <c r="AA45" s="169"/>
      <c r="AB45" s="169" t="str">
        <f t="shared" si="8"/>
        <v/>
      </c>
      <c r="AC45" s="169"/>
      <c r="AD45" s="169" t="str">
        <f t="shared" si="9"/>
        <v/>
      </c>
      <c r="AE45" s="169"/>
      <c r="AF45" s="169" t="str">
        <f t="shared" si="10"/>
        <v/>
      </c>
      <c r="AG45" s="169"/>
      <c r="AH45" s="169" t="str">
        <f t="shared" si="11"/>
        <v/>
      </c>
      <c r="AI45" s="169"/>
      <c r="AJ45" s="169" t="str">
        <f t="shared" si="12"/>
        <v/>
      </c>
    </row>
    <row r="46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 t="str">
        <f t="shared" si="2"/>
        <v/>
      </c>
      <c r="Q46" s="169"/>
      <c r="R46" s="169" t="str">
        <f t="shared" si="3"/>
        <v/>
      </c>
      <c r="S46" s="169"/>
      <c r="T46" s="169" t="str">
        <f t="shared" si="4"/>
        <v/>
      </c>
      <c r="U46" s="169"/>
      <c r="V46" s="169" t="str">
        <f t="shared" si="5"/>
        <v/>
      </c>
      <c r="W46" s="169"/>
      <c r="X46" s="169" t="str">
        <f t="shared" si="6"/>
        <v/>
      </c>
      <c r="Y46" s="169"/>
      <c r="Z46" s="169" t="str">
        <f t="shared" si="7"/>
        <v/>
      </c>
      <c r="AA46" s="169"/>
      <c r="AB46" s="169" t="str">
        <f t="shared" si="8"/>
        <v/>
      </c>
      <c r="AC46" s="169"/>
      <c r="AD46" s="169" t="str">
        <f t="shared" si="9"/>
        <v/>
      </c>
      <c r="AE46" s="169"/>
      <c r="AF46" s="169" t="str">
        <f t="shared" si="10"/>
        <v/>
      </c>
      <c r="AG46" s="169"/>
      <c r="AH46" s="169" t="str">
        <f t="shared" si="11"/>
        <v/>
      </c>
      <c r="AI46" s="169"/>
      <c r="AJ46" s="169" t="str">
        <f t="shared" si="12"/>
        <v/>
      </c>
    </row>
    <row r="47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 t="str">
        <f t="shared" si="2"/>
        <v/>
      </c>
      <c r="Q47" s="169"/>
      <c r="R47" s="169" t="str">
        <f t="shared" si="3"/>
        <v/>
      </c>
      <c r="S47" s="169"/>
      <c r="T47" s="169" t="str">
        <f t="shared" si="4"/>
        <v/>
      </c>
      <c r="U47" s="169"/>
      <c r="V47" s="169" t="str">
        <f t="shared" si="5"/>
        <v/>
      </c>
      <c r="W47" s="169"/>
      <c r="X47" s="169" t="str">
        <f t="shared" si="6"/>
        <v/>
      </c>
      <c r="Y47" s="169"/>
      <c r="Z47" s="169" t="str">
        <f t="shared" si="7"/>
        <v/>
      </c>
      <c r="AA47" s="169"/>
      <c r="AB47" s="169" t="str">
        <f t="shared" si="8"/>
        <v/>
      </c>
      <c r="AC47" s="169"/>
      <c r="AD47" s="169" t="str">
        <f t="shared" si="9"/>
        <v/>
      </c>
      <c r="AE47" s="169"/>
      <c r="AF47" s="169" t="str">
        <f t="shared" si="10"/>
        <v/>
      </c>
      <c r="AG47" s="169"/>
      <c r="AH47" s="169" t="str">
        <f t="shared" si="11"/>
        <v/>
      </c>
      <c r="AI47" s="169"/>
      <c r="AJ47" s="169" t="str">
        <f t="shared" si="12"/>
        <v/>
      </c>
    </row>
    <row r="48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 t="str">
        <f t="shared" si="2"/>
        <v/>
      </c>
      <c r="Q48" s="169"/>
      <c r="R48" s="169" t="str">
        <f t="shared" si="3"/>
        <v/>
      </c>
      <c r="S48" s="169"/>
      <c r="T48" s="169" t="str">
        <f t="shared" si="4"/>
        <v/>
      </c>
      <c r="U48" s="169"/>
      <c r="V48" s="169" t="str">
        <f t="shared" si="5"/>
        <v/>
      </c>
      <c r="W48" s="169"/>
      <c r="X48" s="169" t="str">
        <f t="shared" si="6"/>
        <v/>
      </c>
      <c r="Y48" s="169"/>
      <c r="Z48" s="169" t="str">
        <f t="shared" si="7"/>
        <v/>
      </c>
      <c r="AA48" s="169"/>
      <c r="AB48" s="169" t="str">
        <f t="shared" si="8"/>
        <v/>
      </c>
      <c r="AC48" s="169"/>
      <c r="AD48" s="169" t="str">
        <f t="shared" si="9"/>
        <v/>
      </c>
      <c r="AE48" s="169"/>
      <c r="AF48" s="169" t="str">
        <f t="shared" si="10"/>
        <v/>
      </c>
      <c r="AG48" s="169"/>
      <c r="AH48" s="169" t="str">
        <f t="shared" si="11"/>
        <v/>
      </c>
      <c r="AI48" s="169"/>
      <c r="AJ48" s="169" t="str">
        <f t="shared" si="12"/>
        <v/>
      </c>
    </row>
    <row r="49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 t="str">
        <f t="shared" si="2"/>
        <v/>
      </c>
      <c r="Q49" s="169"/>
      <c r="R49" s="169" t="str">
        <f t="shared" si="3"/>
        <v/>
      </c>
      <c r="S49" s="169"/>
      <c r="T49" s="169" t="str">
        <f t="shared" si="4"/>
        <v/>
      </c>
      <c r="U49" s="169"/>
      <c r="V49" s="169" t="str">
        <f t="shared" si="5"/>
        <v/>
      </c>
      <c r="W49" s="169"/>
      <c r="X49" s="169" t="str">
        <f t="shared" si="6"/>
        <v/>
      </c>
      <c r="Y49" s="169"/>
      <c r="Z49" s="169" t="str">
        <f t="shared" si="7"/>
        <v/>
      </c>
      <c r="AA49" s="169"/>
      <c r="AB49" s="169" t="str">
        <f t="shared" si="8"/>
        <v/>
      </c>
      <c r="AC49" s="169"/>
      <c r="AD49" s="169" t="str">
        <f t="shared" si="9"/>
        <v/>
      </c>
      <c r="AE49" s="169"/>
      <c r="AF49" s="169" t="str">
        <f t="shared" si="10"/>
        <v/>
      </c>
      <c r="AG49" s="169"/>
      <c r="AH49" s="169" t="str">
        <f t="shared" si="11"/>
        <v/>
      </c>
      <c r="AI49" s="169"/>
      <c r="AJ49" s="169" t="str">
        <f t="shared" si="12"/>
        <v/>
      </c>
    </row>
    <row r="50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 t="str">
        <f t="shared" si="2"/>
        <v/>
      </c>
      <c r="Q50" s="169"/>
      <c r="R50" s="169" t="str">
        <f t="shared" si="3"/>
        <v/>
      </c>
      <c r="S50" s="169"/>
      <c r="T50" s="169" t="str">
        <f t="shared" si="4"/>
        <v/>
      </c>
      <c r="U50" s="169"/>
      <c r="V50" s="169" t="str">
        <f t="shared" si="5"/>
        <v/>
      </c>
      <c r="W50" s="169"/>
      <c r="X50" s="169" t="str">
        <f t="shared" si="6"/>
        <v/>
      </c>
      <c r="Y50" s="169"/>
      <c r="Z50" s="169" t="str">
        <f t="shared" si="7"/>
        <v/>
      </c>
      <c r="AA50" s="169"/>
      <c r="AB50" s="169" t="str">
        <f t="shared" si="8"/>
        <v/>
      </c>
      <c r="AC50" s="169"/>
      <c r="AD50" s="169" t="str">
        <f t="shared" si="9"/>
        <v/>
      </c>
      <c r="AE50" s="169"/>
      <c r="AF50" s="169" t="str">
        <f t="shared" si="10"/>
        <v/>
      </c>
      <c r="AG50" s="169"/>
      <c r="AH50" s="169" t="str">
        <f t="shared" si="11"/>
        <v/>
      </c>
      <c r="AI50" s="169"/>
      <c r="AJ50" s="169" t="str">
        <f t="shared" si="12"/>
        <v/>
      </c>
    </row>
    <row r="5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 t="str">
        <f t="shared" si="2"/>
        <v/>
      </c>
      <c r="Q51" s="169"/>
      <c r="R51" s="169" t="str">
        <f t="shared" si="3"/>
        <v/>
      </c>
      <c r="S51" s="169"/>
      <c r="T51" s="169" t="str">
        <f t="shared" si="4"/>
        <v/>
      </c>
      <c r="U51" s="169"/>
      <c r="V51" s="169" t="str">
        <f t="shared" si="5"/>
        <v/>
      </c>
      <c r="W51" s="169"/>
      <c r="X51" s="169" t="str">
        <f t="shared" si="6"/>
        <v/>
      </c>
      <c r="Y51" s="169"/>
      <c r="Z51" s="169" t="str">
        <f t="shared" si="7"/>
        <v/>
      </c>
      <c r="AA51" s="169"/>
      <c r="AB51" s="169" t="str">
        <f t="shared" si="8"/>
        <v/>
      </c>
      <c r="AC51" s="169"/>
      <c r="AD51" s="169" t="str">
        <f t="shared" si="9"/>
        <v/>
      </c>
      <c r="AE51" s="169"/>
      <c r="AF51" s="169" t="str">
        <f t="shared" si="10"/>
        <v/>
      </c>
      <c r="AG51" s="169"/>
      <c r="AH51" s="169" t="str">
        <f t="shared" si="11"/>
        <v/>
      </c>
      <c r="AI51" s="169"/>
      <c r="AJ51" s="169" t="str">
        <f t="shared" si="12"/>
        <v/>
      </c>
    </row>
    <row r="52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 t="str">
        <f t="shared" si="2"/>
        <v/>
      </c>
      <c r="Q52" s="169"/>
      <c r="R52" s="169" t="str">
        <f t="shared" si="3"/>
        <v/>
      </c>
      <c r="S52" s="169"/>
      <c r="T52" s="169" t="str">
        <f t="shared" si="4"/>
        <v/>
      </c>
      <c r="U52" s="169"/>
      <c r="V52" s="169" t="str">
        <f t="shared" si="5"/>
        <v/>
      </c>
      <c r="W52" s="169"/>
      <c r="X52" s="169" t="str">
        <f t="shared" si="6"/>
        <v/>
      </c>
      <c r="Y52" s="169"/>
      <c r="Z52" s="169" t="str">
        <f t="shared" si="7"/>
        <v/>
      </c>
      <c r="AA52" s="169"/>
      <c r="AB52" s="169" t="str">
        <f t="shared" si="8"/>
        <v/>
      </c>
      <c r="AC52" s="169"/>
      <c r="AD52" s="169" t="str">
        <f t="shared" si="9"/>
        <v/>
      </c>
      <c r="AE52" s="169"/>
      <c r="AF52" s="169" t="str">
        <f t="shared" si="10"/>
        <v/>
      </c>
      <c r="AG52" s="169"/>
      <c r="AH52" s="169" t="str">
        <f t="shared" si="11"/>
        <v/>
      </c>
      <c r="AI52" s="169"/>
      <c r="AJ52" s="169" t="str">
        <f t="shared" si="12"/>
        <v/>
      </c>
    </row>
    <row r="53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 t="str">
        <f t="shared" si="2"/>
        <v/>
      </c>
      <c r="Q53" s="169"/>
      <c r="R53" s="169" t="str">
        <f t="shared" si="3"/>
        <v/>
      </c>
      <c r="S53" s="169"/>
      <c r="T53" s="169" t="str">
        <f t="shared" si="4"/>
        <v/>
      </c>
      <c r="U53" s="169"/>
      <c r="V53" s="169" t="str">
        <f t="shared" si="5"/>
        <v/>
      </c>
      <c r="W53" s="169"/>
      <c r="X53" s="169" t="str">
        <f t="shared" si="6"/>
        <v/>
      </c>
      <c r="Y53" s="169"/>
      <c r="Z53" s="169" t="str">
        <f t="shared" si="7"/>
        <v/>
      </c>
      <c r="AA53" s="169"/>
      <c r="AB53" s="169" t="str">
        <f t="shared" si="8"/>
        <v/>
      </c>
      <c r="AC53" s="169"/>
      <c r="AD53" s="169" t="str">
        <f t="shared" si="9"/>
        <v/>
      </c>
      <c r="AE53" s="169"/>
      <c r="AF53" s="169" t="str">
        <f t="shared" si="10"/>
        <v/>
      </c>
      <c r="AG53" s="169"/>
      <c r="AH53" s="169" t="str">
        <f t="shared" si="11"/>
        <v/>
      </c>
      <c r="AI53" s="169"/>
      <c r="AJ53" s="169" t="str">
        <f t="shared" si="12"/>
        <v/>
      </c>
    </row>
    <row r="54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 t="str">
        <f t="shared" si="2"/>
        <v/>
      </c>
      <c r="Q54" s="169"/>
      <c r="R54" s="169" t="str">
        <f t="shared" si="3"/>
        <v/>
      </c>
      <c r="S54" s="169"/>
      <c r="T54" s="169" t="str">
        <f t="shared" si="4"/>
        <v/>
      </c>
      <c r="U54" s="169"/>
      <c r="V54" s="169" t="str">
        <f t="shared" si="5"/>
        <v/>
      </c>
      <c r="W54" s="169"/>
      <c r="X54" s="169" t="str">
        <f t="shared" si="6"/>
        <v/>
      </c>
      <c r="Y54" s="169"/>
      <c r="Z54" s="169" t="str">
        <f t="shared" si="7"/>
        <v/>
      </c>
      <c r="AA54" s="169"/>
      <c r="AB54" s="169" t="str">
        <f t="shared" si="8"/>
        <v/>
      </c>
      <c r="AC54" s="169"/>
      <c r="AD54" s="169" t="str">
        <f t="shared" si="9"/>
        <v/>
      </c>
      <c r="AE54" s="169"/>
      <c r="AF54" s="169" t="str">
        <f t="shared" si="10"/>
        <v/>
      </c>
      <c r="AG54" s="169"/>
      <c r="AH54" s="169" t="str">
        <f t="shared" si="11"/>
        <v/>
      </c>
      <c r="AI54" s="169"/>
      <c r="AJ54" s="169" t="str">
        <f t="shared" si="12"/>
        <v/>
      </c>
    </row>
    <row r="5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 t="str">
        <f t="shared" si="2"/>
        <v/>
      </c>
      <c r="Q55" s="169"/>
      <c r="R55" s="169" t="str">
        <f t="shared" si="3"/>
        <v/>
      </c>
      <c r="S55" s="169"/>
      <c r="T55" s="169" t="str">
        <f t="shared" si="4"/>
        <v/>
      </c>
      <c r="U55" s="169"/>
      <c r="V55" s="169" t="str">
        <f t="shared" si="5"/>
        <v/>
      </c>
      <c r="W55" s="169"/>
      <c r="X55" s="169" t="str">
        <f t="shared" si="6"/>
        <v/>
      </c>
      <c r="Y55" s="169"/>
      <c r="Z55" s="169" t="str">
        <f t="shared" si="7"/>
        <v/>
      </c>
      <c r="AA55" s="169"/>
      <c r="AB55" s="169" t="str">
        <f t="shared" si="8"/>
        <v/>
      </c>
      <c r="AC55" s="169"/>
      <c r="AD55" s="169" t="str">
        <f t="shared" si="9"/>
        <v/>
      </c>
      <c r="AE55" s="169"/>
      <c r="AF55" s="169" t="str">
        <f t="shared" si="10"/>
        <v/>
      </c>
      <c r="AG55" s="169"/>
      <c r="AH55" s="169" t="str">
        <f t="shared" si="11"/>
        <v/>
      </c>
      <c r="AI55" s="169"/>
      <c r="AJ55" s="169" t="str">
        <f t="shared" si="12"/>
        <v/>
      </c>
    </row>
    <row r="56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 t="str">
        <f t="shared" si="2"/>
        <v/>
      </c>
      <c r="Q56" s="169"/>
      <c r="R56" s="169" t="str">
        <f t="shared" si="3"/>
        <v/>
      </c>
      <c r="S56" s="169"/>
      <c r="T56" s="169" t="str">
        <f t="shared" si="4"/>
        <v/>
      </c>
      <c r="U56" s="169"/>
      <c r="V56" s="169" t="str">
        <f t="shared" si="5"/>
        <v/>
      </c>
      <c r="W56" s="169"/>
      <c r="X56" s="169" t="str">
        <f t="shared" si="6"/>
        <v/>
      </c>
      <c r="Y56" s="169"/>
      <c r="Z56" s="169" t="str">
        <f t="shared" si="7"/>
        <v/>
      </c>
      <c r="AA56" s="169"/>
      <c r="AB56" s="169" t="str">
        <f t="shared" si="8"/>
        <v/>
      </c>
      <c r="AC56" s="169"/>
      <c r="AD56" s="169" t="str">
        <f t="shared" si="9"/>
        <v/>
      </c>
      <c r="AE56" s="169"/>
      <c r="AF56" s="169" t="str">
        <f t="shared" si="10"/>
        <v/>
      </c>
      <c r="AG56" s="169"/>
      <c r="AH56" s="169" t="str">
        <f t="shared" si="11"/>
        <v/>
      </c>
      <c r="AI56" s="169"/>
      <c r="AJ56" s="169" t="str">
        <f t="shared" si="12"/>
        <v/>
      </c>
    </row>
    <row r="57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 t="str">
        <f t="shared" si="2"/>
        <v/>
      </c>
      <c r="Q57" s="169"/>
      <c r="R57" s="169" t="str">
        <f t="shared" si="3"/>
        <v/>
      </c>
      <c r="S57" s="169"/>
      <c r="T57" s="169" t="str">
        <f t="shared" si="4"/>
        <v/>
      </c>
      <c r="U57" s="169"/>
      <c r="V57" s="169" t="str">
        <f t="shared" si="5"/>
        <v/>
      </c>
      <c r="W57" s="169"/>
      <c r="X57" s="169" t="str">
        <f t="shared" si="6"/>
        <v/>
      </c>
      <c r="Y57" s="169"/>
      <c r="Z57" s="169" t="str">
        <f t="shared" si="7"/>
        <v/>
      </c>
      <c r="AA57" s="169"/>
      <c r="AB57" s="169" t="str">
        <f t="shared" si="8"/>
        <v/>
      </c>
      <c r="AC57" s="169"/>
      <c r="AD57" s="169" t="str">
        <f t="shared" si="9"/>
        <v/>
      </c>
      <c r="AE57" s="169"/>
      <c r="AF57" s="169" t="str">
        <f t="shared" si="10"/>
        <v/>
      </c>
      <c r="AG57" s="169"/>
      <c r="AH57" s="169" t="str">
        <f t="shared" si="11"/>
        <v/>
      </c>
      <c r="AI57" s="169"/>
      <c r="AJ57" s="169" t="str">
        <f t="shared" si="12"/>
        <v/>
      </c>
    </row>
    <row r="58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 t="str">
        <f t="shared" si="2"/>
        <v/>
      </c>
      <c r="Q58" s="169"/>
      <c r="R58" s="169" t="str">
        <f t="shared" si="3"/>
        <v/>
      </c>
      <c r="S58" s="169"/>
      <c r="T58" s="169" t="str">
        <f t="shared" si="4"/>
        <v/>
      </c>
      <c r="U58" s="169"/>
      <c r="V58" s="169" t="str">
        <f t="shared" si="5"/>
        <v/>
      </c>
      <c r="W58" s="169"/>
      <c r="X58" s="169" t="str">
        <f t="shared" si="6"/>
        <v/>
      </c>
      <c r="Y58" s="169"/>
      <c r="Z58" s="169" t="str">
        <f t="shared" si="7"/>
        <v/>
      </c>
      <c r="AA58" s="169"/>
      <c r="AB58" s="169" t="str">
        <f t="shared" si="8"/>
        <v/>
      </c>
      <c r="AC58" s="169"/>
      <c r="AD58" s="169" t="str">
        <f t="shared" si="9"/>
        <v/>
      </c>
      <c r="AE58" s="169"/>
      <c r="AF58" s="169" t="str">
        <f t="shared" si="10"/>
        <v/>
      </c>
      <c r="AG58" s="169"/>
      <c r="AH58" s="169" t="str">
        <f t="shared" si="11"/>
        <v/>
      </c>
      <c r="AI58" s="169"/>
      <c r="AJ58" s="169" t="str">
        <f t="shared" si="12"/>
        <v/>
      </c>
    </row>
    <row r="59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 t="str">
        <f t="shared" si="2"/>
        <v/>
      </c>
      <c r="Q59" s="169"/>
      <c r="R59" s="169" t="str">
        <f t="shared" si="3"/>
        <v/>
      </c>
      <c r="S59" s="169"/>
      <c r="T59" s="169" t="str">
        <f t="shared" si="4"/>
        <v/>
      </c>
      <c r="U59" s="169"/>
      <c r="V59" s="169" t="str">
        <f t="shared" si="5"/>
        <v/>
      </c>
      <c r="W59" s="169"/>
      <c r="X59" s="169" t="str">
        <f t="shared" si="6"/>
        <v/>
      </c>
      <c r="Y59" s="169"/>
      <c r="Z59" s="169" t="str">
        <f t="shared" si="7"/>
        <v/>
      </c>
      <c r="AA59" s="169"/>
      <c r="AB59" s="169" t="str">
        <f t="shared" si="8"/>
        <v/>
      </c>
      <c r="AC59" s="169"/>
      <c r="AD59" s="169" t="str">
        <f t="shared" si="9"/>
        <v/>
      </c>
      <c r="AE59" s="169"/>
      <c r="AF59" s="169" t="str">
        <f t="shared" si="10"/>
        <v/>
      </c>
      <c r="AG59" s="169"/>
      <c r="AH59" s="169" t="str">
        <f t="shared" si="11"/>
        <v/>
      </c>
      <c r="AI59" s="169"/>
      <c r="AJ59" s="169" t="str">
        <f t="shared" si="12"/>
        <v/>
      </c>
    </row>
    <row r="60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 t="str">
        <f t="shared" si="2"/>
        <v/>
      </c>
      <c r="Q60" s="169"/>
      <c r="R60" s="169" t="str">
        <f t="shared" si="3"/>
        <v/>
      </c>
      <c r="S60" s="169"/>
      <c r="T60" s="169" t="str">
        <f t="shared" si="4"/>
        <v/>
      </c>
      <c r="U60" s="169"/>
      <c r="V60" s="169" t="str">
        <f t="shared" si="5"/>
        <v/>
      </c>
      <c r="W60" s="169"/>
      <c r="X60" s="169" t="str">
        <f t="shared" si="6"/>
        <v/>
      </c>
      <c r="Y60" s="169"/>
      <c r="Z60" s="169" t="str">
        <f t="shared" si="7"/>
        <v/>
      </c>
      <c r="AA60" s="169"/>
      <c r="AB60" s="169" t="str">
        <f t="shared" si="8"/>
        <v/>
      </c>
      <c r="AC60" s="169"/>
      <c r="AD60" s="169" t="str">
        <f t="shared" si="9"/>
        <v/>
      </c>
      <c r="AE60" s="169"/>
      <c r="AF60" s="169" t="str">
        <f t="shared" si="10"/>
        <v/>
      </c>
      <c r="AG60" s="169"/>
      <c r="AH60" s="169" t="str">
        <f t="shared" si="11"/>
        <v/>
      </c>
      <c r="AI60" s="169"/>
      <c r="AJ60" s="169" t="str">
        <f t="shared" si="12"/>
        <v/>
      </c>
    </row>
    <row r="6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 t="str">
        <f t="shared" si="2"/>
        <v/>
      </c>
      <c r="Q61" s="169"/>
      <c r="R61" s="169" t="str">
        <f t="shared" si="3"/>
        <v/>
      </c>
      <c r="S61" s="169"/>
      <c r="T61" s="169" t="str">
        <f t="shared" si="4"/>
        <v/>
      </c>
      <c r="U61" s="169"/>
      <c r="V61" s="169" t="str">
        <f t="shared" si="5"/>
        <v/>
      </c>
      <c r="W61" s="169"/>
      <c r="X61" s="169" t="str">
        <f t="shared" si="6"/>
        <v/>
      </c>
      <c r="Y61" s="169"/>
      <c r="Z61" s="169" t="str">
        <f t="shared" si="7"/>
        <v/>
      </c>
      <c r="AA61" s="169"/>
      <c r="AB61" s="169" t="str">
        <f t="shared" si="8"/>
        <v/>
      </c>
      <c r="AC61" s="169"/>
      <c r="AD61" s="169" t="str">
        <f t="shared" si="9"/>
        <v/>
      </c>
      <c r="AE61" s="169"/>
      <c r="AF61" s="169" t="str">
        <f t="shared" si="10"/>
        <v/>
      </c>
      <c r="AG61" s="169"/>
      <c r="AH61" s="169" t="str">
        <f t="shared" si="11"/>
        <v/>
      </c>
      <c r="AI61" s="169"/>
      <c r="AJ61" s="169" t="str">
        <f t="shared" si="12"/>
        <v/>
      </c>
    </row>
    <row r="62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 t="str">
        <f t="shared" si="2"/>
        <v/>
      </c>
      <c r="Q62" s="169"/>
      <c r="R62" s="169" t="str">
        <f t="shared" si="3"/>
        <v/>
      </c>
      <c r="S62" s="169"/>
      <c r="T62" s="169" t="str">
        <f t="shared" si="4"/>
        <v/>
      </c>
      <c r="U62" s="169"/>
      <c r="V62" s="169" t="str">
        <f t="shared" si="5"/>
        <v/>
      </c>
      <c r="W62" s="169"/>
      <c r="X62" s="169" t="str">
        <f t="shared" si="6"/>
        <v/>
      </c>
      <c r="Y62" s="169"/>
      <c r="Z62" s="169" t="str">
        <f t="shared" si="7"/>
        <v/>
      </c>
      <c r="AA62" s="169"/>
      <c r="AB62" s="169" t="str">
        <f t="shared" si="8"/>
        <v/>
      </c>
      <c r="AC62" s="169"/>
      <c r="AD62" s="169" t="str">
        <f t="shared" si="9"/>
        <v/>
      </c>
      <c r="AE62" s="169"/>
      <c r="AF62" s="169" t="str">
        <f t="shared" si="10"/>
        <v/>
      </c>
      <c r="AG62" s="169"/>
      <c r="AH62" s="169" t="str">
        <f t="shared" si="11"/>
        <v/>
      </c>
      <c r="AI62" s="169"/>
      <c r="AJ62" s="169" t="str">
        <f t="shared" si="12"/>
        <v/>
      </c>
    </row>
    <row r="63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 t="str">
        <f t="shared" si="2"/>
        <v/>
      </c>
      <c r="Q63" s="169"/>
      <c r="R63" s="169" t="str">
        <f t="shared" si="3"/>
        <v/>
      </c>
      <c r="S63" s="169"/>
      <c r="T63" s="169" t="str">
        <f t="shared" si="4"/>
        <v/>
      </c>
      <c r="U63" s="169"/>
      <c r="V63" s="169" t="str">
        <f t="shared" si="5"/>
        <v/>
      </c>
      <c r="W63" s="169"/>
      <c r="X63" s="169" t="str">
        <f t="shared" si="6"/>
        <v/>
      </c>
      <c r="Y63" s="169"/>
      <c r="Z63" s="169" t="str">
        <f t="shared" si="7"/>
        <v/>
      </c>
      <c r="AA63" s="169"/>
      <c r="AB63" s="169" t="str">
        <f t="shared" si="8"/>
        <v/>
      </c>
      <c r="AC63" s="169"/>
      <c r="AD63" s="169" t="str">
        <f t="shared" si="9"/>
        <v/>
      </c>
      <c r="AE63" s="169"/>
      <c r="AF63" s="169" t="str">
        <f t="shared" si="10"/>
        <v/>
      </c>
      <c r="AG63" s="169"/>
      <c r="AH63" s="169" t="str">
        <f t="shared" si="11"/>
        <v/>
      </c>
      <c r="AI63" s="169"/>
      <c r="AJ63" s="169" t="str">
        <f t="shared" si="12"/>
        <v/>
      </c>
    </row>
    <row r="64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 t="str">
        <f t="shared" si="2"/>
        <v/>
      </c>
      <c r="Q64" s="169"/>
      <c r="R64" s="169" t="str">
        <f t="shared" si="3"/>
        <v/>
      </c>
      <c r="S64" s="169"/>
      <c r="T64" s="169" t="str">
        <f t="shared" si="4"/>
        <v/>
      </c>
      <c r="U64" s="169"/>
      <c r="V64" s="169" t="str">
        <f t="shared" si="5"/>
        <v/>
      </c>
      <c r="W64" s="169"/>
      <c r="X64" s="169" t="str">
        <f t="shared" si="6"/>
        <v/>
      </c>
      <c r="Y64" s="169"/>
      <c r="Z64" s="169" t="str">
        <f t="shared" si="7"/>
        <v/>
      </c>
      <c r="AA64" s="169"/>
      <c r="AB64" s="169" t="str">
        <f t="shared" si="8"/>
        <v/>
      </c>
      <c r="AC64" s="169"/>
      <c r="AD64" s="169" t="str">
        <f t="shared" si="9"/>
        <v/>
      </c>
      <c r="AE64" s="169"/>
      <c r="AF64" s="169" t="str">
        <f t="shared" si="10"/>
        <v/>
      </c>
      <c r="AG64" s="169"/>
      <c r="AH64" s="169" t="str">
        <f t="shared" si="11"/>
        <v/>
      </c>
      <c r="AI64" s="169"/>
      <c r="AJ64" s="169" t="str">
        <f t="shared" si="12"/>
        <v/>
      </c>
    </row>
    <row r="6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 t="str">
        <f t="shared" si="2"/>
        <v/>
      </c>
      <c r="Q65" s="169"/>
      <c r="R65" s="169" t="str">
        <f t="shared" si="3"/>
        <v/>
      </c>
      <c r="S65" s="169"/>
      <c r="T65" s="169" t="str">
        <f t="shared" si="4"/>
        <v/>
      </c>
      <c r="U65" s="169"/>
      <c r="V65" s="169" t="str">
        <f t="shared" si="5"/>
        <v/>
      </c>
      <c r="W65" s="169"/>
      <c r="X65" s="169" t="str">
        <f t="shared" si="6"/>
        <v/>
      </c>
      <c r="Y65" s="169"/>
      <c r="Z65" s="169" t="str">
        <f t="shared" si="7"/>
        <v/>
      </c>
      <c r="AA65" s="169"/>
      <c r="AB65" s="169" t="str">
        <f t="shared" si="8"/>
        <v/>
      </c>
      <c r="AC65" s="169"/>
      <c r="AD65" s="169" t="str">
        <f t="shared" si="9"/>
        <v/>
      </c>
      <c r="AE65" s="169"/>
      <c r="AF65" s="169" t="str">
        <f t="shared" si="10"/>
        <v/>
      </c>
      <c r="AG65" s="169"/>
      <c r="AH65" s="169" t="str">
        <f t="shared" si="11"/>
        <v/>
      </c>
      <c r="AI65" s="169"/>
      <c r="AJ65" s="169" t="str">
        <f t="shared" si="12"/>
        <v/>
      </c>
    </row>
    <row r="66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 t="str">
        <f t="shared" si="2"/>
        <v/>
      </c>
      <c r="Q66" s="169"/>
      <c r="R66" s="169" t="str">
        <f t="shared" si="3"/>
        <v/>
      </c>
      <c r="S66" s="169"/>
      <c r="T66" s="169" t="str">
        <f t="shared" si="4"/>
        <v/>
      </c>
      <c r="U66" s="169"/>
      <c r="V66" s="169" t="str">
        <f t="shared" si="5"/>
        <v/>
      </c>
      <c r="W66" s="169"/>
      <c r="X66" s="169" t="str">
        <f t="shared" si="6"/>
        <v/>
      </c>
      <c r="Y66" s="169"/>
      <c r="Z66" s="169" t="str">
        <f t="shared" si="7"/>
        <v/>
      </c>
      <c r="AA66" s="169"/>
      <c r="AB66" s="169" t="str">
        <f t="shared" si="8"/>
        <v/>
      </c>
      <c r="AC66" s="169"/>
      <c r="AD66" s="169" t="str">
        <f t="shared" si="9"/>
        <v/>
      </c>
      <c r="AE66" s="169"/>
      <c r="AF66" s="169" t="str">
        <f t="shared" si="10"/>
        <v/>
      </c>
      <c r="AG66" s="169"/>
      <c r="AH66" s="169" t="str">
        <f t="shared" si="11"/>
        <v/>
      </c>
      <c r="AI66" s="169"/>
      <c r="AJ66" s="169" t="str">
        <f t="shared" si="12"/>
        <v/>
      </c>
    </row>
    <row r="67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 t="str">
        <f t="shared" si="2"/>
        <v/>
      </c>
      <c r="Q67" s="169"/>
      <c r="R67" s="169" t="str">
        <f t="shared" si="3"/>
        <v/>
      </c>
      <c r="S67" s="169"/>
      <c r="T67" s="169" t="str">
        <f t="shared" si="4"/>
        <v/>
      </c>
      <c r="U67" s="169"/>
      <c r="V67" s="169" t="str">
        <f t="shared" si="5"/>
        <v/>
      </c>
      <c r="W67" s="169"/>
      <c r="X67" s="169" t="str">
        <f t="shared" si="6"/>
        <v/>
      </c>
      <c r="Y67" s="169"/>
      <c r="Z67" s="169" t="str">
        <f t="shared" si="7"/>
        <v/>
      </c>
      <c r="AA67" s="169"/>
      <c r="AB67" s="169" t="str">
        <f t="shared" si="8"/>
        <v/>
      </c>
      <c r="AC67" s="169"/>
      <c r="AD67" s="169" t="str">
        <f t="shared" si="9"/>
        <v/>
      </c>
      <c r="AE67" s="169"/>
      <c r="AF67" s="169" t="str">
        <f t="shared" si="10"/>
        <v/>
      </c>
      <c r="AG67" s="169"/>
      <c r="AH67" s="169" t="str">
        <f t="shared" si="11"/>
        <v/>
      </c>
      <c r="AI67" s="169"/>
      <c r="AJ67" s="169" t="str">
        <f t="shared" si="12"/>
        <v/>
      </c>
    </row>
    <row r="68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 t="str">
        <f t="shared" si="2"/>
        <v/>
      </c>
      <c r="Q68" s="169"/>
      <c r="R68" s="169" t="str">
        <f t="shared" si="3"/>
        <v/>
      </c>
      <c r="S68" s="169"/>
      <c r="T68" s="169" t="str">
        <f t="shared" si="4"/>
        <v/>
      </c>
      <c r="U68" s="169"/>
      <c r="V68" s="169" t="str">
        <f t="shared" si="5"/>
        <v/>
      </c>
      <c r="W68" s="169"/>
      <c r="X68" s="169" t="str">
        <f t="shared" si="6"/>
        <v/>
      </c>
      <c r="Y68" s="169"/>
      <c r="Z68" s="169" t="str">
        <f t="shared" si="7"/>
        <v/>
      </c>
      <c r="AA68" s="169"/>
      <c r="AB68" s="169" t="str">
        <f t="shared" si="8"/>
        <v/>
      </c>
      <c r="AC68" s="169"/>
      <c r="AD68" s="169" t="str">
        <f t="shared" si="9"/>
        <v/>
      </c>
      <c r="AE68" s="169"/>
      <c r="AF68" s="169" t="str">
        <f t="shared" si="10"/>
        <v/>
      </c>
      <c r="AG68" s="169"/>
      <c r="AH68" s="169" t="str">
        <f t="shared" si="11"/>
        <v/>
      </c>
      <c r="AI68" s="169"/>
      <c r="AJ68" s="169" t="str">
        <f t="shared" si="12"/>
        <v/>
      </c>
    </row>
    <row r="69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 t="str">
        <f t="shared" si="2"/>
        <v/>
      </c>
      <c r="Q69" s="169"/>
      <c r="R69" s="169" t="str">
        <f t="shared" si="3"/>
        <v/>
      </c>
      <c r="S69" s="169"/>
      <c r="T69" s="169" t="str">
        <f t="shared" si="4"/>
        <v/>
      </c>
      <c r="U69" s="169"/>
      <c r="V69" s="169" t="str">
        <f t="shared" si="5"/>
        <v/>
      </c>
      <c r="W69" s="169"/>
      <c r="X69" s="169" t="str">
        <f t="shared" si="6"/>
        <v/>
      </c>
      <c r="Y69" s="169"/>
      <c r="Z69" s="169" t="str">
        <f t="shared" si="7"/>
        <v/>
      </c>
      <c r="AA69" s="169"/>
      <c r="AB69" s="169" t="str">
        <f t="shared" si="8"/>
        <v/>
      </c>
      <c r="AC69" s="169"/>
      <c r="AD69" s="169" t="str">
        <f t="shared" si="9"/>
        <v/>
      </c>
      <c r="AE69" s="169"/>
      <c r="AF69" s="169" t="str">
        <f t="shared" si="10"/>
        <v/>
      </c>
      <c r="AG69" s="169"/>
      <c r="AH69" s="169" t="str">
        <f t="shared" si="11"/>
        <v/>
      </c>
      <c r="AI69" s="169"/>
      <c r="AJ69" s="169" t="str">
        <f t="shared" si="12"/>
        <v/>
      </c>
    </row>
    <row r="70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 t="str">
        <f t="shared" si="2"/>
        <v/>
      </c>
      <c r="Q70" s="169"/>
      <c r="R70" s="169" t="str">
        <f t="shared" si="3"/>
        <v/>
      </c>
      <c r="S70" s="169"/>
      <c r="T70" s="169" t="str">
        <f t="shared" si="4"/>
        <v/>
      </c>
      <c r="U70" s="169"/>
      <c r="V70" s="169" t="str">
        <f t="shared" si="5"/>
        <v/>
      </c>
      <c r="W70" s="169"/>
      <c r="X70" s="169" t="str">
        <f t="shared" si="6"/>
        <v/>
      </c>
      <c r="Y70" s="169"/>
      <c r="Z70" s="169" t="str">
        <f t="shared" si="7"/>
        <v/>
      </c>
      <c r="AA70" s="169"/>
      <c r="AB70" s="169" t="str">
        <f t="shared" si="8"/>
        <v/>
      </c>
      <c r="AC70" s="169"/>
      <c r="AD70" s="169" t="str">
        <f t="shared" si="9"/>
        <v/>
      </c>
      <c r="AE70" s="169"/>
      <c r="AF70" s="169" t="str">
        <f t="shared" si="10"/>
        <v/>
      </c>
      <c r="AG70" s="169"/>
      <c r="AH70" s="169" t="str">
        <f t="shared" si="11"/>
        <v/>
      </c>
      <c r="AI70" s="169"/>
      <c r="AJ70" s="169" t="str">
        <f t="shared" si="12"/>
        <v/>
      </c>
    </row>
    <row r="7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 t="str">
        <f t="shared" si="2"/>
        <v/>
      </c>
      <c r="Q71" s="169"/>
      <c r="R71" s="169" t="str">
        <f t="shared" si="3"/>
        <v/>
      </c>
      <c r="S71" s="169"/>
      <c r="T71" s="169" t="str">
        <f t="shared" si="4"/>
        <v/>
      </c>
      <c r="U71" s="169"/>
      <c r="V71" s="169" t="str">
        <f t="shared" si="5"/>
        <v/>
      </c>
      <c r="W71" s="169"/>
      <c r="X71" s="169" t="str">
        <f t="shared" si="6"/>
        <v/>
      </c>
      <c r="Y71" s="169"/>
      <c r="Z71" s="169" t="str">
        <f t="shared" si="7"/>
        <v/>
      </c>
      <c r="AA71" s="169"/>
      <c r="AB71" s="169" t="str">
        <f t="shared" si="8"/>
        <v/>
      </c>
      <c r="AC71" s="169"/>
      <c r="AD71" s="169" t="str">
        <f t="shared" si="9"/>
        <v/>
      </c>
      <c r="AE71" s="169"/>
      <c r="AF71" s="169" t="str">
        <f t="shared" si="10"/>
        <v/>
      </c>
      <c r="AG71" s="169"/>
      <c r="AH71" s="169" t="str">
        <f t="shared" si="11"/>
        <v/>
      </c>
      <c r="AI71" s="169"/>
      <c r="AJ71" s="169" t="str">
        <f t="shared" si="12"/>
        <v/>
      </c>
    </row>
    <row r="72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 t="str">
        <f t="shared" si="2"/>
        <v/>
      </c>
      <c r="Q72" s="169"/>
      <c r="R72" s="169" t="str">
        <f t="shared" si="3"/>
        <v/>
      </c>
      <c r="S72" s="169"/>
      <c r="T72" s="169" t="str">
        <f t="shared" si="4"/>
        <v/>
      </c>
      <c r="U72" s="169"/>
      <c r="V72" s="169" t="str">
        <f t="shared" si="5"/>
        <v/>
      </c>
      <c r="W72" s="169"/>
      <c r="X72" s="169" t="str">
        <f t="shared" si="6"/>
        <v/>
      </c>
      <c r="Y72" s="169"/>
      <c r="Z72" s="169" t="str">
        <f t="shared" si="7"/>
        <v/>
      </c>
      <c r="AA72" s="169"/>
      <c r="AB72" s="169" t="str">
        <f t="shared" si="8"/>
        <v/>
      </c>
      <c r="AC72" s="169"/>
      <c r="AD72" s="169" t="str">
        <f t="shared" si="9"/>
        <v/>
      </c>
      <c r="AE72" s="169"/>
      <c r="AF72" s="169" t="str">
        <f t="shared" si="10"/>
        <v/>
      </c>
      <c r="AG72" s="169"/>
      <c r="AH72" s="169" t="str">
        <f t="shared" si="11"/>
        <v/>
      </c>
      <c r="AI72" s="169"/>
      <c r="AJ72" s="169" t="str">
        <f t="shared" si="12"/>
        <v/>
      </c>
    </row>
    <row r="73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 t="str">
        <f t="shared" si="2"/>
        <v/>
      </c>
      <c r="Q73" s="169"/>
      <c r="R73" s="169" t="str">
        <f t="shared" si="3"/>
        <v/>
      </c>
      <c r="S73" s="169"/>
      <c r="T73" s="169" t="str">
        <f t="shared" si="4"/>
        <v/>
      </c>
      <c r="U73" s="169"/>
      <c r="V73" s="169" t="str">
        <f t="shared" si="5"/>
        <v/>
      </c>
      <c r="W73" s="169"/>
      <c r="X73" s="169" t="str">
        <f t="shared" si="6"/>
        <v/>
      </c>
      <c r="Y73" s="169"/>
      <c r="Z73" s="169" t="str">
        <f t="shared" si="7"/>
        <v/>
      </c>
      <c r="AA73" s="169"/>
      <c r="AB73" s="169" t="str">
        <f t="shared" si="8"/>
        <v/>
      </c>
      <c r="AC73" s="169"/>
      <c r="AD73" s="169" t="str">
        <f t="shared" si="9"/>
        <v/>
      </c>
      <c r="AE73" s="169"/>
      <c r="AF73" s="169" t="str">
        <f t="shared" si="10"/>
        <v/>
      </c>
      <c r="AG73" s="169"/>
      <c r="AH73" s="169" t="str">
        <f t="shared" si="11"/>
        <v/>
      </c>
      <c r="AI73" s="169"/>
      <c r="AJ73" s="169" t="str">
        <f t="shared" si="12"/>
        <v/>
      </c>
    </row>
    <row r="74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 t="str">
        <f t="shared" si="2"/>
        <v/>
      </c>
      <c r="Q74" s="169"/>
      <c r="R74" s="169" t="str">
        <f t="shared" si="3"/>
        <v/>
      </c>
      <c r="S74" s="169"/>
      <c r="T74" s="169" t="str">
        <f t="shared" si="4"/>
        <v/>
      </c>
      <c r="U74" s="169"/>
      <c r="V74" s="169" t="str">
        <f t="shared" si="5"/>
        <v/>
      </c>
      <c r="W74" s="169"/>
      <c r="X74" s="169" t="str">
        <f t="shared" si="6"/>
        <v/>
      </c>
      <c r="Y74" s="169"/>
      <c r="Z74" s="169" t="str">
        <f t="shared" si="7"/>
        <v/>
      </c>
      <c r="AA74" s="169"/>
      <c r="AB74" s="169" t="str">
        <f t="shared" si="8"/>
        <v/>
      </c>
      <c r="AC74" s="169"/>
      <c r="AD74" s="169" t="str">
        <f t="shared" si="9"/>
        <v/>
      </c>
      <c r="AE74" s="169"/>
      <c r="AF74" s="169" t="str">
        <f t="shared" si="10"/>
        <v/>
      </c>
      <c r="AG74" s="169"/>
      <c r="AH74" s="169" t="str">
        <f t="shared" si="11"/>
        <v/>
      </c>
      <c r="AI74" s="169"/>
      <c r="AJ74" s="169" t="str">
        <f t="shared" si="12"/>
        <v/>
      </c>
    </row>
    <row r="7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 t="str">
        <f t="shared" si="2"/>
        <v/>
      </c>
      <c r="Q75" s="169"/>
      <c r="R75" s="169" t="str">
        <f t="shared" si="3"/>
        <v/>
      </c>
      <c r="S75" s="169"/>
      <c r="T75" s="169" t="str">
        <f t="shared" si="4"/>
        <v/>
      </c>
      <c r="U75" s="169"/>
      <c r="V75" s="169" t="str">
        <f t="shared" si="5"/>
        <v/>
      </c>
      <c r="W75" s="169"/>
      <c r="X75" s="169" t="str">
        <f t="shared" si="6"/>
        <v/>
      </c>
      <c r="Y75" s="169"/>
      <c r="Z75" s="169" t="str">
        <f t="shared" si="7"/>
        <v/>
      </c>
      <c r="AA75" s="169"/>
      <c r="AB75" s="169" t="str">
        <f t="shared" si="8"/>
        <v/>
      </c>
      <c r="AC75" s="169"/>
      <c r="AD75" s="169" t="str">
        <f t="shared" si="9"/>
        <v/>
      </c>
      <c r="AE75" s="169"/>
      <c r="AF75" s="169" t="str">
        <f t="shared" si="10"/>
        <v/>
      </c>
      <c r="AG75" s="169"/>
      <c r="AH75" s="169" t="str">
        <f t="shared" si="11"/>
        <v/>
      </c>
      <c r="AI75" s="169"/>
      <c r="AJ75" s="169" t="str">
        <f t="shared" si="12"/>
        <v/>
      </c>
    </row>
    <row r="76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 t="str">
        <f t="shared" si="2"/>
        <v/>
      </c>
      <c r="Q76" s="169"/>
      <c r="R76" s="169" t="str">
        <f t="shared" si="3"/>
        <v/>
      </c>
      <c r="S76" s="169"/>
      <c r="T76" s="169" t="str">
        <f t="shared" si="4"/>
        <v/>
      </c>
      <c r="U76" s="169"/>
      <c r="V76" s="169" t="str">
        <f t="shared" si="5"/>
        <v/>
      </c>
      <c r="W76" s="169"/>
      <c r="X76" s="169" t="str">
        <f t="shared" si="6"/>
        <v/>
      </c>
      <c r="Y76" s="169"/>
      <c r="Z76" s="169" t="str">
        <f t="shared" si="7"/>
        <v/>
      </c>
      <c r="AA76" s="169"/>
      <c r="AB76" s="169" t="str">
        <f t="shared" si="8"/>
        <v/>
      </c>
      <c r="AC76" s="169"/>
      <c r="AD76" s="169" t="str">
        <f t="shared" si="9"/>
        <v/>
      </c>
      <c r="AE76" s="169"/>
      <c r="AF76" s="169" t="str">
        <f t="shared" si="10"/>
        <v/>
      </c>
      <c r="AG76" s="169"/>
      <c r="AH76" s="169" t="str">
        <f t="shared" si="11"/>
        <v/>
      </c>
      <c r="AI76" s="169"/>
      <c r="AJ76" s="169" t="str">
        <f t="shared" si="12"/>
        <v/>
      </c>
    </row>
    <row r="77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 t="str">
        <f t="shared" si="2"/>
        <v/>
      </c>
      <c r="Q77" s="169"/>
      <c r="R77" s="169" t="str">
        <f t="shared" si="3"/>
        <v/>
      </c>
      <c r="S77" s="169"/>
      <c r="T77" s="169" t="str">
        <f t="shared" si="4"/>
        <v/>
      </c>
      <c r="U77" s="169"/>
      <c r="V77" s="169" t="str">
        <f t="shared" si="5"/>
        <v/>
      </c>
      <c r="W77" s="169"/>
      <c r="X77" s="169" t="str">
        <f t="shared" si="6"/>
        <v/>
      </c>
      <c r="Y77" s="169"/>
      <c r="Z77" s="169" t="str">
        <f t="shared" si="7"/>
        <v/>
      </c>
      <c r="AA77" s="169"/>
      <c r="AB77" s="169" t="str">
        <f t="shared" si="8"/>
        <v/>
      </c>
      <c r="AC77" s="169"/>
      <c r="AD77" s="169" t="str">
        <f t="shared" si="9"/>
        <v/>
      </c>
      <c r="AE77" s="169"/>
      <c r="AF77" s="169" t="str">
        <f t="shared" si="10"/>
        <v/>
      </c>
      <c r="AG77" s="169"/>
      <c r="AH77" s="169" t="str">
        <f t="shared" si="11"/>
        <v/>
      </c>
      <c r="AI77" s="169"/>
      <c r="AJ77" s="169" t="str">
        <f t="shared" si="12"/>
        <v/>
      </c>
    </row>
    <row r="78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 t="str">
        <f t="shared" si="2"/>
        <v/>
      </c>
      <c r="Q78" s="169"/>
      <c r="R78" s="169" t="str">
        <f t="shared" si="3"/>
        <v/>
      </c>
      <c r="S78" s="169"/>
      <c r="T78" s="169" t="str">
        <f t="shared" si="4"/>
        <v/>
      </c>
      <c r="U78" s="169"/>
      <c r="V78" s="169" t="str">
        <f t="shared" si="5"/>
        <v/>
      </c>
      <c r="W78" s="169"/>
      <c r="X78" s="169" t="str">
        <f t="shared" si="6"/>
        <v/>
      </c>
      <c r="Y78" s="169"/>
      <c r="Z78" s="169" t="str">
        <f t="shared" si="7"/>
        <v/>
      </c>
      <c r="AA78" s="169"/>
      <c r="AB78" s="169" t="str">
        <f t="shared" si="8"/>
        <v/>
      </c>
      <c r="AC78" s="169"/>
      <c r="AD78" s="169" t="str">
        <f t="shared" si="9"/>
        <v/>
      </c>
      <c r="AE78" s="169"/>
      <c r="AF78" s="169" t="str">
        <f t="shared" si="10"/>
        <v/>
      </c>
      <c r="AG78" s="169"/>
      <c r="AH78" s="169" t="str">
        <f t="shared" si="11"/>
        <v/>
      </c>
      <c r="AI78" s="169"/>
      <c r="AJ78" s="169" t="str">
        <f t="shared" si="12"/>
        <v/>
      </c>
    </row>
    <row r="79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 t="str">
        <f t="shared" si="2"/>
        <v/>
      </c>
      <c r="Q79" s="169"/>
      <c r="R79" s="169" t="str">
        <f t="shared" si="3"/>
        <v/>
      </c>
      <c r="S79" s="169"/>
      <c r="T79" s="169" t="str">
        <f t="shared" si="4"/>
        <v/>
      </c>
      <c r="U79" s="169"/>
      <c r="V79" s="169" t="str">
        <f t="shared" si="5"/>
        <v/>
      </c>
      <c r="W79" s="169"/>
      <c r="X79" s="169" t="str">
        <f t="shared" si="6"/>
        <v/>
      </c>
      <c r="Y79" s="169"/>
      <c r="Z79" s="169" t="str">
        <f t="shared" si="7"/>
        <v/>
      </c>
      <c r="AA79" s="169"/>
      <c r="AB79" s="169" t="str">
        <f t="shared" si="8"/>
        <v/>
      </c>
      <c r="AC79" s="169"/>
      <c r="AD79" s="169" t="str">
        <f t="shared" si="9"/>
        <v/>
      </c>
      <c r="AE79" s="169"/>
      <c r="AF79" s="169" t="str">
        <f t="shared" si="10"/>
        <v/>
      </c>
      <c r="AG79" s="169"/>
      <c r="AH79" s="169" t="str">
        <f t="shared" si="11"/>
        <v/>
      </c>
      <c r="AI79" s="169"/>
      <c r="AJ79" s="169" t="str">
        <f t="shared" si="12"/>
        <v/>
      </c>
    </row>
    <row r="80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 t="str">
        <f t="shared" si="2"/>
        <v/>
      </c>
      <c r="Q80" s="169"/>
      <c r="R80" s="169" t="str">
        <f t="shared" si="3"/>
        <v/>
      </c>
      <c r="S80" s="169"/>
      <c r="T80" s="169" t="str">
        <f t="shared" si="4"/>
        <v/>
      </c>
      <c r="U80" s="169"/>
      <c r="V80" s="169" t="str">
        <f t="shared" si="5"/>
        <v/>
      </c>
      <c r="W80" s="169"/>
      <c r="X80" s="169" t="str">
        <f t="shared" si="6"/>
        <v/>
      </c>
      <c r="Y80" s="169"/>
      <c r="Z80" s="169" t="str">
        <f t="shared" si="7"/>
        <v/>
      </c>
      <c r="AA80" s="169"/>
      <c r="AB80" s="169" t="str">
        <f t="shared" si="8"/>
        <v/>
      </c>
      <c r="AC80" s="169"/>
      <c r="AD80" s="169" t="str">
        <f t="shared" si="9"/>
        <v/>
      </c>
      <c r="AE80" s="169"/>
      <c r="AF80" s="169" t="str">
        <f t="shared" si="10"/>
        <v/>
      </c>
      <c r="AG80" s="169"/>
      <c r="AH80" s="169" t="str">
        <f t="shared" si="11"/>
        <v/>
      </c>
      <c r="AI80" s="169"/>
      <c r="AJ80" s="169" t="str">
        <f t="shared" si="12"/>
        <v/>
      </c>
    </row>
    <row r="8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 t="str">
        <f t="shared" si="2"/>
        <v/>
      </c>
      <c r="Q81" s="169"/>
      <c r="R81" s="169" t="str">
        <f t="shared" si="3"/>
        <v/>
      </c>
      <c r="S81" s="169"/>
      <c r="T81" s="169" t="str">
        <f t="shared" si="4"/>
        <v/>
      </c>
      <c r="U81" s="169"/>
      <c r="V81" s="169" t="str">
        <f t="shared" si="5"/>
        <v/>
      </c>
      <c r="W81" s="169"/>
      <c r="X81" s="169" t="str">
        <f t="shared" si="6"/>
        <v/>
      </c>
      <c r="Y81" s="169"/>
      <c r="Z81" s="169" t="str">
        <f t="shared" si="7"/>
        <v/>
      </c>
      <c r="AA81" s="169"/>
      <c r="AB81" s="169" t="str">
        <f t="shared" si="8"/>
        <v/>
      </c>
      <c r="AC81" s="169"/>
      <c r="AD81" s="169" t="str">
        <f t="shared" si="9"/>
        <v/>
      </c>
      <c r="AE81" s="169"/>
      <c r="AF81" s="169" t="str">
        <f t="shared" si="10"/>
        <v/>
      </c>
      <c r="AG81" s="169"/>
      <c r="AH81" s="169" t="str">
        <f t="shared" si="11"/>
        <v/>
      </c>
      <c r="AI81" s="169"/>
      <c r="AJ81" s="169" t="str">
        <f t="shared" si="12"/>
        <v/>
      </c>
    </row>
    <row r="82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 t="str">
        <f t="shared" si="2"/>
        <v/>
      </c>
      <c r="Q82" s="169"/>
      <c r="R82" s="169" t="str">
        <f t="shared" si="3"/>
        <v/>
      </c>
      <c r="S82" s="169"/>
      <c r="T82" s="169" t="str">
        <f t="shared" si="4"/>
        <v/>
      </c>
      <c r="U82" s="169"/>
      <c r="V82" s="169" t="str">
        <f t="shared" si="5"/>
        <v/>
      </c>
      <c r="W82" s="169"/>
      <c r="X82" s="169" t="str">
        <f t="shared" si="6"/>
        <v/>
      </c>
      <c r="Y82" s="169"/>
      <c r="Z82" s="169" t="str">
        <f t="shared" si="7"/>
        <v/>
      </c>
      <c r="AA82" s="169"/>
      <c r="AB82" s="169" t="str">
        <f t="shared" si="8"/>
        <v/>
      </c>
      <c r="AC82" s="169"/>
      <c r="AD82" s="169" t="str">
        <f t="shared" si="9"/>
        <v/>
      </c>
      <c r="AE82" s="169"/>
      <c r="AF82" s="169" t="str">
        <f t="shared" si="10"/>
        <v/>
      </c>
      <c r="AG82" s="169"/>
      <c r="AH82" s="169" t="str">
        <f t="shared" si="11"/>
        <v/>
      </c>
      <c r="AI82" s="169"/>
      <c r="AJ82" s="169" t="str">
        <f t="shared" si="12"/>
        <v/>
      </c>
    </row>
    <row r="83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 t="str">
        <f t="shared" si="2"/>
        <v/>
      </c>
      <c r="Q83" s="169"/>
      <c r="R83" s="169" t="str">
        <f t="shared" si="3"/>
        <v/>
      </c>
      <c r="S83" s="169"/>
      <c r="T83" s="169" t="str">
        <f t="shared" si="4"/>
        <v/>
      </c>
      <c r="U83" s="169"/>
      <c r="V83" s="169" t="str">
        <f t="shared" si="5"/>
        <v/>
      </c>
      <c r="W83" s="169"/>
      <c r="X83" s="169" t="str">
        <f t="shared" si="6"/>
        <v/>
      </c>
      <c r="Y83" s="169"/>
      <c r="Z83" s="169" t="str">
        <f t="shared" si="7"/>
        <v/>
      </c>
      <c r="AA83" s="169"/>
      <c r="AB83" s="169" t="str">
        <f t="shared" si="8"/>
        <v/>
      </c>
      <c r="AC83" s="169"/>
      <c r="AD83" s="169" t="str">
        <f t="shared" si="9"/>
        <v/>
      </c>
      <c r="AE83" s="169"/>
      <c r="AF83" s="169" t="str">
        <f t="shared" si="10"/>
        <v/>
      </c>
      <c r="AG83" s="169"/>
      <c r="AH83" s="169" t="str">
        <f t="shared" si="11"/>
        <v/>
      </c>
      <c r="AI83" s="169"/>
      <c r="AJ83" s="169" t="str">
        <f t="shared" si="12"/>
        <v/>
      </c>
    </row>
    <row r="84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 t="str">
        <f t="shared" si="2"/>
        <v/>
      </c>
      <c r="Q84" s="169"/>
      <c r="R84" s="169" t="str">
        <f t="shared" si="3"/>
        <v/>
      </c>
      <c r="S84" s="169"/>
      <c r="T84" s="169" t="str">
        <f t="shared" si="4"/>
        <v/>
      </c>
      <c r="U84" s="169"/>
      <c r="V84" s="169" t="str">
        <f t="shared" si="5"/>
        <v/>
      </c>
      <c r="W84" s="169"/>
      <c r="X84" s="169" t="str">
        <f t="shared" si="6"/>
        <v/>
      </c>
      <c r="Y84" s="169"/>
      <c r="Z84" s="169" t="str">
        <f t="shared" si="7"/>
        <v/>
      </c>
      <c r="AA84" s="169"/>
      <c r="AB84" s="169" t="str">
        <f t="shared" si="8"/>
        <v/>
      </c>
      <c r="AC84" s="169"/>
      <c r="AD84" s="169" t="str">
        <f t="shared" si="9"/>
        <v/>
      </c>
      <c r="AE84" s="169"/>
      <c r="AF84" s="169" t="str">
        <f t="shared" si="10"/>
        <v/>
      </c>
      <c r="AG84" s="169"/>
      <c r="AH84" s="169" t="str">
        <f t="shared" si="11"/>
        <v/>
      </c>
      <c r="AI84" s="169"/>
      <c r="AJ84" s="169" t="str">
        <f t="shared" si="12"/>
        <v/>
      </c>
    </row>
    <row r="8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 t="str">
        <f t="shared" si="2"/>
        <v/>
      </c>
      <c r="Q85" s="169"/>
      <c r="R85" s="169" t="str">
        <f t="shared" si="3"/>
        <v/>
      </c>
      <c r="S85" s="169"/>
      <c r="T85" s="169" t="str">
        <f t="shared" si="4"/>
        <v/>
      </c>
      <c r="U85" s="169"/>
      <c r="V85" s="169" t="str">
        <f t="shared" si="5"/>
        <v/>
      </c>
      <c r="W85" s="169"/>
      <c r="X85" s="169" t="str">
        <f t="shared" si="6"/>
        <v/>
      </c>
      <c r="Y85" s="169"/>
      <c r="Z85" s="169" t="str">
        <f t="shared" si="7"/>
        <v/>
      </c>
      <c r="AA85" s="169"/>
      <c r="AB85" s="169" t="str">
        <f t="shared" si="8"/>
        <v/>
      </c>
      <c r="AC85" s="169"/>
      <c r="AD85" s="169" t="str">
        <f t="shared" si="9"/>
        <v/>
      </c>
      <c r="AE85" s="169"/>
      <c r="AF85" s="169" t="str">
        <f t="shared" si="10"/>
        <v/>
      </c>
      <c r="AG85" s="169"/>
      <c r="AH85" s="169" t="str">
        <f t="shared" si="11"/>
        <v/>
      </c>
      <c r="AI85" s="169"/>
      <c r="AJ85" s="169" t="str">
        <f t="shared" si="12"/>
        <v/>
      </c>
    </row>
    <row r="86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 t="str">
        <f t="shared" si="2"/>
        <v/>
      </c>
      <c r="Q86" s="169"/>
      <c r="R86" s="169" t="str">
        <f t="shared" si="3"/>
        <v/>
      </c>
      <c r="S86" s="169"/>
      <c r="T86" s="169" t="str">
        <f t="shared" si="4"/>
        <v/>
      </c>
      <c r="U86" s="169"/>
      <c r="V86" s="169" t="str">
        <f t="shared" si="5"/>
        <v/>
      </c>
      <c r="W86" s="169"/>
      <c r="X86" s="169" t="str">
        <f t="shared" si="6"/>
        <v/>
      </c>
      <c r="Y86" s="169"/>
      <c r="Z86" s="169" t="str">
        <f t="shared" si="7"/>
        <v/>
      </c>
      <c r="AA86" s="169"/>
      <c r="AB86" s="169" t="str">
        <f t="shared" si="8"/>
        <v/>
      </c>
      <c r="AC86" s="169"/>
      <c r="AD86" s="169" t="str">
        <f t="shared" si="9"/>
        <v/>
      </c>
      <c r="AE86" s="169"/>
      <c r="AF86" s="169" t="str">
        <f t="shared" si="10"/>
        <v/>
      </c>
      <c r="AG86" s="169"/>
      <c r="AH86" s="169" t="str">
        <f t="shared" si="11"/>
        <v/>
      </c>
      <c r="AI86" s="169"/>
      <c r="AJ86" s="169" t="str">
        <f t="shared" si="12"/>
        <v/>
      </c>
    </row>
    <row r="87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 t="str">
        <f t="shared" si="2"/>
        <v/>
      </c>
      <c r="Q87" s="169"/>
      <c r="R87" s="169" t="str">
        <f t="shared" si="3"/>
        <v/>
      </c>
      <c r="S87" s="169"/>
      <c r="T87" s="169" t="str">
        <f t="shared" si="4"/>
        <v/>
      </c>
      <c r="U87" s="169"/>
      <c r="V87" s="169" t="str">
        <f t="shared" si="5"/>
        <v/>
      </c>
      <c r="W87" s="169"/>
      <c r="X87" s="169" t="str">
        <f t="shared" si="6"/>
        <v/>
      </c>
      <c r="Y87" s="169"/>
      <c r="Z87" s="169" t="str">
        <f t="shared" si="7"/>
        <v/>
      </c>
      <c r="AA87" s="169"/>
      <c r="AB87" s="169" t="str">
        <f t="shared" si="8"/>
        <v/>
      </c>
      <c r="AC87" s="169"/>
      <c r="AD87" s="169" t="str">
        <f t="shared" si="9"/>
        <v/>
      </c>
      <c r="AE87" s="169"/>
      <c r="AF87" s="169" t="str">
        <f t="shared" si="10"/>
        <v/>
      </c>
      <c r="AG87" s="169"/>
      <c r="AH87" s="169" t="str">
        <f t="shared" si="11"/>
        <v/>
      </c>
      <c r="AI87" s="169"/>
      <c r="AJ87" s="169" t="str">
        <f t="shared" si="12"/>
        <v/>
      </c>
    </row>
    <row r="88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 t="str">
        <f t="shared" si="2"/>
        <v/>
      </c>
      <c r="Q88" s="169"/>
      <c r="R88" s="169" t="str">
        <f t="shared" si="3"/>
        <v/>
      </c>
      <c r="S88" s="169"/>
      <c r="T88" s="169" t="str">
        <f t="shared" si="4"/>
        <v/>
      </c>
      <c r="U88" s="169"/>
      <c r="V88" s="169" t="str">
        <f t="shared" si="5"/>
        <v/>
      </c>
      <c r="W88" s="169"/>
      <c r="X88" s="169" t="str">
        <f t="shared" si="6"/>
        <v/>
      </c>
      <c r="Y88" s="169"/>
      <c r="Z88" s="169" t="str">
        <f t="shared" si="7"/>
        <v/>
      </c>
      <c r="AA88" s="169"/>
      <c r="AB88" s="169" t="str">
        <f t="shared" si="8"/>
        <v/>
      </c>
      <c r="AC88" s="169"/>
      <c r="AD88" s="169" t="str">
        <f t="shared" si="9"/>
        <v/>
      </c>
      <c r="AE88" s="169"/>
      <c r="AF88" s="169" t="str">
        <f t="shared" si="10"/>
        <v/>
      </c>
      <c r="AG88" s="169"/>
      <c r="AH88" s="169" t="str">
        <f t="shared" si="11"/>
        <v/>
      </c>
      <c r="AI88" s="169"/>
      <c r="AJ88" s="169" t="str">
        <f t="shared" si="12"/>
        <v/>
      </c>
    </row>
    <row r="89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 t="str">
        <f t="shared" si="2"/>
        <v/>
      </c>
      <c r="Q89" s="169"/>
      <c r="R89" s="169" t="str">
        <f t="shared" si="3"/>
        <v/>
      </c>
      <c r="S89" s="169"/>
      <c r="T89" s="169" t="str">
        <f t="shared" si="4"/>
        <v/>
      </c>
      <c r="U89" s="169"/>
      <c r="V89" s="169" t="str">
        <f t="shared" si="5"/>
        <v/>
      </c>
      <c r="W89" s="169"/>
      <c r="X89" s="169" t="str">
        <f t="shared" si="6"/>
        <v/>
      </c>
      <c r="Y89" s="169"/>
      <c r="Z89" s="169" t="str">
        <f t="shared" si="7"/>
        <v/>
      </c>
      <c r="AA89" s="169"/>
      <c r="AB89" s="169" t="str">
        <f t="shared" si="8"/>
        <v/>
      </c>
      <c r="AC89" s="169"/>
      <c r="AD89" s="169" t="str">
        <f t="shared" si="9"/>
        <v/>
      </c>
      <c r="AE89" s="169"/>
      <c r="AF89" s="169" t="str">
        <f t="shared" si="10"/>
        <v/>
      </c>
      <c r="AG89" s="169"/>
      <c r="AH89" s="169" t="str">
        <f t="shared" si="11"/>
        <v/>
      </c>
      <c r="AI89" s="169"/>
      <c r="AJ89" s="169" t="str">
        <f t="shared" si="12"/>
        <v/>
      </c>
    </row>
    <row r="90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 t="str">
        <f t="shared" si="2"/>
        <v/>
      </c>
      <c r="Q90" s="169"/>
      <c r="R90" s="169" t="str">
        <f t="shared" si="3"/>
        <v/>
      </c>
      <c r="S90" s="169"/>
      <c r="T90" s="169" t="str">
        <f t="shared" si="4"/>
        <v/>
      </c>
      <c r="U90" s="169"/>
      <c r="V90" s="169" t="str">
        <f t="shared" si="5"/>
        <v/>
      </c>
      <c r="W90" s="169"/>
      <c r="X90" s="169" t="str">
        <f t="shared" si="6"/>
        <v/>
      </c>
      <c r="Y90" s="169"/>
      <c r="Z90" s="169" t="str">
        <f t="shared" si="7"/>
        <v/>
      </c>
      <c r="AA90" s="169"/>
      <c r="AB90" s="169" t="str">
        <f t="shared" si="8"/>
        <v/>
      </c>
      <c r="AC90" s="169"/>
      <c r="AD90" s="169" t="str">
        <f t="shared" si="9"/>
        <v/>
      </c>
      <c r="AE90" s="169"/>
      <c r="AF90" s="169" t="str">
        <f t="shared" si="10"/>
        <v/>
      </c>
      <c r="AG90" s="169"/>
      <c r="AH90" s="169" t="str">
        <f t="shared" si="11"/>
        <v/>
      </c>
      <c r="AI90" s="169"/>
      <c r="AJ90" s="169" t="str">
        <f t="shared" si="12"/>
        <v/>
      </c>
    </row>
    <row r="9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 t="str">
        <f t="shared" si="2"/>
        <v/>
      </c>
      <c r="Q91" s="169"/>
      <c r="R91" s="169" t="str">
        <f t="shared" si="3"/>
        <v/>
      </c>
      <c r="S91" s="169"/>
      <c r="T91" s="169" t="str">
        <f t="shared" si="4"/>
        <v/>
      </c>
      <c r="U91" s="169"/>
      <c r="V91" s="169" t="str">
        <f t="shared" si="5"/>
        <v/>
      </c>
      <c r="W91" s="169"/>
      <c r="X91" s="169" t="str">
        <f t="shared" si="6"/>
        <v/>
      </c>
      <c r="Y91" s="169"/>
      <c r="Z91" s="169" t="str">
        <f t="shared" si="7"/>
        <v/>
      </c>
      <c r="AA91" s="169"/>
      <c r="AB91" s="169" t="str">
        <f t="shared" si="8"/>
        <v/>
      </c>
      <c r="AC91" s="169"/>
      <c r="AD91" s="169" t="str">
        <f t="shared" si="9"/>
        <v/>
      </c>
      <c r="AE91" s="169"/>
      <c r="AF91" s="169" t="str">
        <f t="shared" si="10"/>
        <v/>
      </c>
      <c r="AG91" s="169"/>
      <c r="AH91" s="169" t="str">
        <f t="shared" si="11"/>
        <v/>
      </c>
      <c r="AI91" s="169"/>
      <c r="AJ91" s="169" t="str">
        <f t="shared" si="12"/>
        <v/>
      </c>
    </row>
    <row r="92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 t="str">
        <f t="shared" si="2"/>
        <v/>
      </c>
      <c r="Q92" s="169"/>
      <c r="R92" s="169" t="str">
        <f t="shared" si="3"/>
        <v/>
      </c>
      <c r="S92" s="169"/>
      <c r="T92" s="169" t="str">
        <f t="shared" si="4"/>
        <v/>
      </c>
      <c r="U92" s="169"/>
      <c r="V92" s="169" t="str">
        <f t="shared" si="5"/>
        <v/>
      </c>
      <c r="W92" s="169"/>
      <c r="X92" s="169" t="str">
        <f t="shared" si="6"/>
        <v/>
      </c>
      <c r="Y92" s="169"/>
      <c r="Z92" s="169" t="str">
        <f t="shared" si="7"/>
        <v/>
      </c>
      <c r="AA92" s="169"/>
      <c r="AB92" s="169" t="str">
        <f t="shared" si="8"/>
        <v/>
      </c>
      <c r="AC92" s="169"/>
      <c r="AD92" s="169" t="str">
        <f t="shared" si="9"/>
        <v/>
      </c>
      <c r="AE92" s="169"/>
      <c r="AF92" s="169" t="str">
        <f t="shared" si="10"/>
        <v/>
      </c>
      <c r="AG92" s="169"/>
      <c r="AH92" s="169" t="str">
        <f t="shared" si="11"/>
        <v/>
      </c>
      <c r="AI92" s="169"/>
      <c r="AJ92" s="169" t="str">
        <f t="shared" si="12"/>
        <v/>
      </c>
    </row>
    <row r="93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 t="str">
        <f t="shared" si="2"/>
        <v/>
      </c>
      <c r="Q93" s="169"/>
      <c r="R93" s="169" t="str">
        <f t="shared" si="3"/>
        <v/>
      </c>
      <c r="S93" s="169"/>
      <c r="T93" s="169" t="str">
        <f t="shared" si="4"/>
        <v/>
      </c>
      <c r="U93" s="169"/>
      <c r="V93" s="169" t="str">
        <f t="shared" si="5"/>
        <v/>
      </c>
      <c r="W93" s="169"/>
      <c r="X93" s="169" t="str">
        <f t="shared" si="6"/>
        <v/>
      </c>
      <c r="Y93" s="169"/>
      <c r="Z93" s="169" t="str">
        <f t="shared" si="7"/>
        <v/>
      </c>
      <c r="AA93" s="169"/>
      <c r="AB93" s="169" t="str">
        <f t="shared" si="8"/>
        <v/>
      </c>
      <c r="AC93" s="169"/>
      <c r="AD93" s="169" t="str">
        <f t="shared" si="9"/>
        <v/>
      </c>
      <c r="AE93" s="169"/>
      <c r="AF93" s="169" t="str">
        <f t="shared" si="10"/>
        <v/>
      </c>
      <c r="AG93" s="169"/>
      <c r="AH93" s="169" t="str">
        <f t="shared" si="11"/>
        <v/>
      </c>
      <c r="AI93" s="169"/>
      <c r="AJ93" s="169" t="str">
        <f t="shared" si="12"/>
        <v/>
      </c>
    </row>
    <row r="94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 t="str">
        <f t="shared" si="2"/>
        <v/>
      </c>
      <c r="Q94" s="169"/>
      <c r="R94" s="169" t="str">
        <f t="shared" si="3"/>
        <v/>
      </c>
      <c r="S94" s="169"/>
      <c r="T94" s="169" t="str">
        <f t="shared" si="4"/>
        <v/>
      </c>
      <c r="U94" s="169"/>
      <c r="V94" s="169" t="str">
        <f t="shared" si="5"/>
        <v/>
      </c>
      <c r="W94" s="169"/>
      <c r="X94" s="169" t="str">
        <f t="shared" si="6"/>
        <v/>
      </c>
      <c r="Y94" s="169"/>
      <c r="Z94" s="169" t="str">
        <f t="shared" si="7"/>
        <v/>
      </c>
      <c r="AA94" s="169"/>
      <c r="AB94" s="169" t="str">
        <f t="shared" si="8"/>
        <v/>
      </c>
      <c r="AC94" s="169"/>
      <c r="AD94" s="169" t="str">
        <f t="shared" si="9"/>
        <v/>
      </c>
      <c r="AE94" s="169"/>
      <c r="AF94" s="169" t="str">
        <f t="shared" si="10"/>
        <v/>
      </c>
      <c r="AG94" s="169"/>
      <c r="AH94" s="169" t="str">
        <f t="shared" si="11"/>
        <v/>
      </c>
      <c r="AI94" s="169"/>
      <c r="AJ94" s="169" t="str">
        <f t="shared" si="12"/>
        <v/>
      </c>
    </row>
    <row r="9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 t="str">
        <f t="shared" si="2"/>
        <v/>
      </c>
      <c r="Q95" s="169"/>
      <c r="R95" s="169" t="str">
        <f t="shared" si="3"/>
        <v/>
      </c>
      <c r="S95" s="169"/>
      <c r="T95" s="169" t="str">
        <f t="shared" si="4"/>
        <v/>
      </c>
      <c r="U95" s="169"/>
      <c r="V95" s="169" t="str">
        <f t="shared" si="5"/>
        <v/>
      </c>
      <c r="W95" s="169"/>
      <c r="X95" s="169" t="str">
        <f t="shared" si="6"/>
        <v/>
      </c>
      <c r="Y95" s="169"/>
      <c r="Z95" s="169" t="str">
        <f t="shared" si="7"/>
        <v/>
      </c>
      <c r="AA95" s="169"/>
      <c r="AB95" s="169" t="str">
        <f t="shared" si="8"/>
        <v/>
      </c>
      <c r="AC95" s="169"/>
      <c r="AD95" s="169" t="str">
        <f t="shared" si="9"/>
        <v/>
      </c>
      <c r="AE95" s="169"/>
      <c r="AF95" s="169" t="str">
        <f t="shared" si="10"/>
        <v/>
      </c>
      <c r="AG95" s="169"/>
      <c r="AH95" s="169" t="str">
        <f t="shared" si="11"/>
        <v/>
      </c>
      <c r="AI95" s="169"/>
      <c r="AJ95" s="169" t="str">
        <f t="shared" si="12"/>
        <v/>
      </c>
    </row>
    <row r="96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 t="str">
        <f t="shared" si="2"/>
        <v/>
      </c>
      <c r="Q96" s="169"/>
      <c r="R96" s="169" t="str">
        <f t="shared" si="3"/>
        <v/>
      </c>
      <c r="S96" s="169"/>
      <c r="T96" s="169" t="str">
        <f t="shared" si="4"/>
        <v/>
      </c>
      <c r="U96" s="169"/>
      <c r="V96" s="169" t="str">
        <f t="shared" si="5"/>
        <v/>
      </c>
      <c r="W96" s="169"/>
      <c r="X96" s="169" t="str">
        <f t="shared" si="6"/>
        <v/>
      </c>
      <c r="Y96" s="169"/>
      <c r="Z96" s="169" t="str">
        <f t="shared" si="7"/>
        <v/>
      </c>
      <c r="AA96" s="169"/>
      <c r="AB96" s="169" t="str">
        <f t="shared" si="8"/>
        <v/>
      </c>
      <c r="AC96" s="169"/>
      <c r="AD96" s="169" t="str">
        <f t="shared" si="9"/>
        <v/>
      </c>
      <c r="AE96" s="169"/>
      <c r="AF96" s="169" t="str">
        <f t="shared" si="10"/>
        <v/>
      </c>
      <c r="AG96" s="169"/>
      <c r="AH96" s="169" t="str">
        <f t="shared" si="11"/>
        <v/>
      </c>
      <c r="AI96" s="169"/>
      <c r="AJ96" s="169" t="str">
        <f t="shared" si="12"/>
        <v/>
      </c>
    </row>
    <row r="97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 t="str">
        <f t="shared" si="2"/>
        <v/>
      </c>
      <c r="Q97" s="169"/>
      <c r="R97" s="169" t="str">
        <f t="shared" si="3"/>
        <v/>
      </c>
      <c r="S97" s="169"/>
      <c r="T97" s="169" t="str">
        <f t="shared" si="4"/>
        <v/>
      </c>
      <c r="U97" s="169"/>
      <c r="V97" s="169" t="str">
        <f t="shared" si="5"/>
        <v/>
      </c>
      <c r="W97" s="169"/>
      <c r="X97" s="169" t="str">
        <f t="shared" si="6"/>
        <v/>
      </c>
      <c r="Y97" s="169"/>
      <c r="Z97" s="169" t="str">
        <f t="shared" si="7"/>
        <v/>
      </c>
      <c r="AA97" s="169"/>
      <c r="AB97" s="169" t="str">
        <f t="shared" si="8"/>
        <v/>
      </c>
      <c r="AC97" s="169"/>
      <c r="AD97" s="169" t="str">
        <f t="shared" si="9"/>
        <v/>
      </c>
      <c r="AE97" s="169"/>
      <c r="AF97" s="169" t="str">
        <f t="shared" si="10"/>
        <v/>
      </c>
      <c r="AG97" s="169"/>
      <c r="AH97" s="169" t="str">
        <f t="shared" si="11"/>
        <v/>
      </c>
      <c r="AI97" s="169"/>
      <c r="AJ97" s="169" t="str">
        <f t="shared" si="12"/>
        <v/>
      </c>
    </row>
    <row r="98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 t="str">
        <f t="shared" si="2"/>
        <v/>
      </c>
      <c r="Q98" s="169"/>
      <c r="R98" s="169" t="str">
        <f t="shared" si="3"/>
        <v/>
      </c>
      <c r="S98" s="169"/>
      <c r="T98" s="169" t="str">
        <f t="shared" si="4"/>
        <v/>
      </c>
      <c r="U98" s="169"/>
      <c r="V98" s="169" t="str">
        <f t="shared" si="5"/>
        <v/>
      </c>
      <c r="W98" s="169"/>
      <c r="X98" s="169" t="str">
        <f t="shared" si="6"/>
        <v/>
      </c>
      <c r="Y98" s="169"/>
      <c r="Z98" s="169" t="str">
        <f t="shared" si="7"/>
        <v/>
      </c>
      <c r="AA98" s="169"/>
      <c r="AB98" s="169" t="str">
        <f t="shared" si="8"/>
        <v/>
      </c>
      <c r="AC98" s="169"/>
      <c r="AD98" s="169" t="str">
        <f t="shared" si="9"/>
        <v/>
      </c>
      <c r="AE98" s="169"/>
      <c r="AF98" s="169" t="str">
        <f t="shared" si="10"/>
        <v/>
      </c>
      <c r="AG98" s="169"/>
      <c r="AH98" s="169" t="str">
        <f t="shared" si="11"/>
        <v/>
      </c>
      <c r="AI98" s="169"/>
      <c r="AJ98" s="169" t="str">
        <f t="shared" si="12"/>
        <v/>
      </c>
    </row>
    <row r="99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 t="str">
        <f t="shared" si="2"/>
        <v/>
      </c>
      <c r="Q99" s="169"/>
      <c r="R99" s="169" t="str">
        <f t="shared" si="3"/>
        <v/>
      </c>
      <c r="S99" s="169"/>
      <c r="T99" s="169" t="str">
        <f t="shared" si="4"/>
        <v/>
      </c>
      <c r="U99" s="169"/>
      <c r="V99" s="169" t="str">
        <f t="shared" si="5"/>
        <v/>
      </c>
      <c r="W99" s="169"/>
      <c r="X99" s="169" t="str">
        <f t="shared" si="6"/>
        <v/>
      </c>
      <c r="Y99" s="169"/>
      <c r="Z99" s="169" t="str">
        <f t="shared" si="7"/>
        <v/>
      </c>
      <c r="AA99" s="169"/>
      <c r="AB99" s="169" t="str">
        <f t="shared" si="8"/>
        <v/>
      </c>
      <c r="AC99" s="169"/>
      <c r="AD99" s="169" t="str">
        <f t="shared" si="9"/>
        <v/>
      </c>
      <c r="AE99" s="169"/>
      <c r="AF99" s="169" t="str">
        <f t="shared" si="10"/>
        <v/>
      </c>
      <c r="AG99" s="169"/>
      <c r="AH99" s="169" t="str">
        <f t="shared" si="11"/>
        <v/>
      </c>
      <c r="AI99" s="169"/>
      <c r="AJ99" s="169" t="str">
        <f t="shared" si="12"/>
        <v/>
      </c>
    </row>
    <row r="100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 t="str">
        <f t="shared" si="2"/>
        <v/>
      </c>
      <c r="Q100" s="169"/>
      <c r="R100" s="169" t="str">
        <f t="shared" si="3"/>
        <v/>
      </c>
      <c r="S100" s="169"/>
      <c r="T100" s="169" t="str">
        <f t="shared" si="4"/>
        <v/>
      </c>
      <c r="U100" s="169"/>
      <c r="V100" s="169" t="str">
        <f t="shared" si="5"/>
        <v/>
      </c>
      <c r="W100" s="169"/>
      <c r="X100" s="169" t="str">
        <f t="shared" si="6"/>
        <v/>
      </c>
      <c r="Y100" s="169"/>
      <c r="Z100" s="169" t="str">
        <f t="shared" si="7"/>
        <v/>
      </c>
      <c r="AA100" s="169"/>
      <c r="AB100" s="169" t="str">
        <f t="shared" si="8"/>
        <v/>
      </c>
      <c r="AC100" s="169"/>
      <c r="AD100" s="169" t="str">
        <f t="shared" si="9"/>
        <v/>
      </c>
      <c r="AE100" s="169"/>
      <c r="AF100" s="169" t="str">
        <f t="shared" si="10"/>
        <v/>
      </c>
      <c r="AG100" s="169"/>
      <c r="AH100" s="169" t="str">
        <f t="shared" si="11"/>
        <v/>
      </c>
      <c r="AI100" s="169"/>
      <c r="AJ100" s="169" t="str">
        <f t="shared" si="12"/>
        <v/>
      </c>
    </row>
    <row r="10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 t="str">
        <f t="shared" si="2"/>
        <v/>
      </c>
      <c r="Q101" s="169"/>
      <c r="R101" s="169" t="str">
        <f t="shared" si="3"/>
        <v/>
      </c>
      <c r="S101" s="169"/>
      <c r="T101" s="169" t="str">
        <f t="shared" si="4"/>
        <v/>
      </c>
      <c r="U101" s="169"/>
      <c r="V101" s="169" t="str">
        <f t="shared" si="5"/>
        <v/>
      </c>
      <c r="W101" s="169"/>
      <c r="X101" s="169" t="str">
        <f t="shared" si="6"/>
        <v/>
      </c>
      <c r="Y101" s="169"/>
      <c r="Z101" s="169" t="str">
        <f t="shared" si="7"/>
        <v/>
      </c>
      <c r="AA101" s="169"/>
      <c r="AB101" s="169" t="str">
        <f t="shared" si="8"/>
        <v/>
      </c>
      <c r="AC101" s="169"/>
      <c r="AD101" s="169" t="str">
        <f t="shared" si="9"/>
        <v/>
      </c>
      <c r="AE101" s="169"/>
      <c r="AF101" s="169" t="str">
        <f t="shared" si="10"/>
        <v/>
      </c>
      <c r="AG101" s="169"/>
      <c r="AH101" s="169" t="str">
        <f t="shared" si="11"/>
        <v/>
      </c>
      <c r="AI101" s="169"/>
      <c r="AJ101" s="169" t="str">
        <f t="shared" si="12"/>
        <v/>
      </c>
    </row>
    <row r="102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 t="str">
        <f t="shared" si="2"/>
        <v/>
      </c>
      <c r="Q102" s="169"/>
      <c r="R102" s="169" t="str">
        <f t="shared" si="3"/>
        <v/>
      </c>
      <c r="S102" s="169"/>
      <c r="T102" s="169" t="str">
        <f t="shared" si="4"/>
        <v/>
      </c>
      <c r="U102" s="169"/>
      <c r="V102" s="169" t="str">
        <f t="shared" si="5"/>
        <v/>
      </c>
      <c r="W102" s="169"/>
      <c r="X102" s="169" t="str">
        <f t="shared" si="6"/>
        <v/>
      </c>
      <c r="Y102" s="169"/>
      <c r="Z102" s="169" t="str">
        <f t="shared" si="7"/>
        <v/>
      </c>
      <c r="AA102" s="169"/>
      <c r="AB102" s="169" t="str">
        <f t="shared" si="8"/>
        <v/>
      </c>
      <c r="AC102" s="169"/>
      <c r="AD102" s="169" t="str">
        <f t="shared" si="9"/>
        <v/>
      </c>
      <c r="AE102" s="169"/>
      <c r="AF102" s="169" t="str">
        <f t="shared" si="10"/>
        <v/>
      </c>
      <c r="AG102" s="169"/>
      <c r="AH102" s="169" t="str">
        <f t="shared" si="11"/>
        <v/>
      </c>
      <c r="AI102" s="169"/>
      <c r="AJ102" s="169" t="str">
        <f t="shared" si="12"/>
        <v/>
      </c>
    </row>
    <row r="103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 t="str">
        <f t="shared" si="2"/>
        <v/>
      </c>
      <c r="Q103" s="169"/>
      <c r="R103" s="169" t="str">
        <f t="shared" si="3"/>
        <v/>
      </c>
      <c r="S103" s="169"/>
      <c r="T103" s="169" t="str">
        <f t="shared" si="4"/>
        <v/>
      </c>
      <c r="U103" s="169"/>
      <c r="V103" s="169" t="str">
        <f t="shared" si="5"/>
        <v/>
      </c>
      <c r="W103" s="169"/>
      <c r="X103" s="169" t="str">
        <f t="shared" si="6"/>
        <v/>
      </c>
      <c r="Y103" s="169"/>
      <c r="Z103" s="169" t="str">
        <f t="shared" si="7"/>
        <v/>
      </c>
      <c r="AA103" s="169"/>
      <c r="AB103" s="169" t="str">
        <f t="shared" si="8"/>
        <v/>
      </c>
      <c r="AC103" s="169"/>
      <c r="AD103" s="169" t="str">
        <f t="shared" si="9"/>
        <v/>
      </c>
      <c r="AE103" s="169"/>
      <c r="AF103" s="169" t="str">
        <f t="shared" si="10"/>
        <v/>
      </c>
      <c r="AG103" s="169"/>
      <c r="AH103" s="169" t="str">
        <f t="shared" si="11"/>
        <v/>
      </c>
      <c r="AI103" s="169"/>
      <c r="AJ103" s="169" t="str">
        <f t="shared" si="12"/>
        <v/>
      </c>
    </row>
    <row r="104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 t="str">
        <f t="shared" si="2"/>
        <v/>
      </c>
      <c r="Q104" s="169"/>
      <c r="R104" s="169" t="str">
        <f t="shared" si="3"/>
        <v/>
      </c>
      <c r="S104" s="169"/>
      <c r="T104" s="169" t="str">
        <f t="shared" si="4"/>
        <v/>
      </c>
      <c r="U104" s="169"/>
      <c r="V104" s="169" t="str">
        <f t="shared" si="5"/>
        <v/>
      </c>
      <c r="W104" s="169"/>
      <c r="X104" s="169" t="str">
        <f t="shared" si="6"/>
        <v/>
      </c>
      <c r="Y104" s="169"/>
      <c r="Z104" s="169" t="str">
        <f t="shared" si="7"/>
        <v/>
      </c>
      <c r="AA104" s="169"/>
      <c r="AB104" s="169" t="str">
        <f t="shared" si="8"/>
        <v/>
      </c>
      <c r="AC104" s="169"/>
      <c r="AD104" s="169" t="str">
        <f t="shared" si="9"/>
        <v/>
      </c>
      <c r="AE104" s="169"/>
      <c r="AF104" s="169" t="str">
        <f t="shared" si="10"/>
        <v/>
      </c>
      <c r="AG104" s="169"/>
      <c r="AH104" s="169" t="str">
        <f t="shared" si="11"/>
        <v/>
      </c>
      <c r="AI104" s="169"/>
      <c r="AJ104" s="169" t="str">
        <f t="shared" si="12"/>
        <v/>
      </c>
    </row>
    <row r="10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 t="str">
        <f t="shared" si="2"/>
        <v/>
      </c>
      <c r="Q105" s="169"/>
      <c r="R105" s="169" t="str">
        <f t="shared" si="3"/>
        <v/>
      </c>
      <c r="S105" s="169"/>
      <c r="T105" s="169" t="str">
        <f t="shared" si="4"/>
        <v/>
      </c>
      <c r="U105" s="169"/>
      <c r="V105" s="169" t="str">
        <f t="shared" si="5"/>
        <v/>
      </c>
      <c r="W105" s="169"/>
      <c r="X105" s="169" t="str">
        <f t="shared" si="6"/>
        <v/>
      </c>
      <c r="Y105" s="169"/>
      <c r="Z105" s="169" t="str">
        <f t="shared" si="7"/>
        <v/>
      </c>
      <c r="AA105" s="169"/>
      <c r="AB105" s="169" t="str">
        <f t="shared" si="8"/>
        <v/>
      </c>
      <c r="AC105" s="169"/>
      <c r="AD105" s="169" t="str">
        <f t="shared" si="9"/>
        <v/>
      </c>
      <c r="AE105" s="169"/>
      <c r="AF105" s="169" t="str">
        <f t="shared" si="10"/>
        <v/>
      </c>
      <c r="AG105" s="169"/>
      <c r="AH105" s="169" t="str">
        <f t="shared" si="11"/>
        <v/>
      </c>
      <c r="AI105" s="169"/>
      <c r="AJ105" s="169" t="str">
        <f t="shared" si="12"/>
        <v/>
      </c>
    </row>
    <row r="106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 t="str">
        <f t="shared" si="2"/>
        <v/>
      </c>
      <c r="Q106" s="169"/>
      <c r="R106" s="169" t="str">
        <f t="shared" si="3"/>
        <v/>
      </c>
      <c r="S106" s="169"/>
      <c r="T106" s="169" t="str">
        <f t="shared" si="4"/>
        <v/>
      </c>
      <c r="U106" s="169"/>
      <c r="V106" s="169" t="str">
        <f t="shared" si="5"/>
        <v/>
      </c>
      <c r="W106" s="169"/>
      <c r="X106" s="169" t="str">
        <f t="shared" si="6"/>
        <v/>
      </c>
      <c r="Y106" s="169"/>
      <c r="Z106" s="169" t="str">
        <f t="shared" si="7"/>
        <v/>
      </c>
      <c r="AA106" s="169"/>
      <c r="AB106" s="169" t="str">
        <f t="shared" si="8"/>
        <v/>
      </c>
      <c r="AC106" s="169"/>
      <c r="AD106" s="169" t="str">
        <f t="shared" si="9"/>
        <v/>
      </c>
      <c r="AE106" s="169"/>
      <c r="AF106" s="169" t="str">
        <f t="shared" si="10"/>
        <v/>
      </c>
      <c r="AG106" s="169"/>
      <c r="AH106" s="169" t="str">
        <f t="shared" si="11"/>
        <v/>
      </c>
      <c r="AI106" s="169"/>
      <c r="AJ106" s="169" t="str">
        <f t="shared" si="12"/>
        <v/>
      </c>
    </row>
    <row r="107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 t="str">
        <f t="shared" si="2"/>
        <v/>
      </c>
      <c r="Q107" s="169"/>
      <c r="R107" s="169" t="str">
        <f t="shared" si="3"/>
        <v/>
      </c>
      <c r="S107" s="169"/>
      <c r="T107" s="169" t="str">
        <f t="shared" si="4"/>
        <v/>
      </c>
      <c r="U107" s="169"/>
      <c r="V107" s="169" t="str">
        <f t="shared" si="5"/>
        <v/>
      </c>
      <c r="W107" s="169"/>
      <c r="X107" s="169" t="str">
        <f t="shared" si="6"/>
        <v/>
      </c>
      <c r="Y107" s="169"/>
      <c r="Z107" s="169" t="str">
        <f t="shared" si="7"/>
        <v/>
      </c>
      <c r="AA107" s="169"/>
      <c r="AB107" s="169" t="str">
        <f t="shared" si="8"/>
        <v/>
      </c>
      <c r="AC107" s="169"/>
      <c r="AD107" s="169" t="str">
        <f t="shared" si="9"/>
        <v/>
      </c>
      <c r="AE107" s="169"/>
      <c r="AF107" s="169" t="str">
        <f t="shared" si="10"/>
        <v/>
      </c>
      <c r="AG107" s="169"/>
      <c r="AH107" s="169" t="str">
        <f t="shared" si="11"/>
        <v/>
      </c>
      <c r="AI107" s="169"/>
      <c r="AJ107" s="169" t="str">
        <f t="shared" si="12"/>
        <v/>
      </c>
    </row>
    <row r="108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 t="str">
        <f t="shared" si="2"/>
        <v/>
      </c>
      <c r="Q108" s="169"/>
      <c r="R108" s="169" t="str">
        <f t="shared" si="3"/>
        <v/>
      </c>
      <c r="S108" s="169"/>
      <c r="T108" s="169" t="str">
        <f t="shared" si="4"/>
        <v/>
      </c>
      <c r="U108" s="169"/>
      <c r="V108" s="169" t="str">
        <f t="shared" si="5"/>
        <v/>
      </c>
      <c r="W108" s="169"/>
      <c r="X108" s="169" t="str">
        <f t="shared" si="6"/>
        <v/>
      </c>
      <c r="Y108" s="169"/>
      <c r="Z108" s="169" t="str">
        <f t="shared" si="7"/>
        <v/>
      </c>
      <c r="AA108" s="169"/>
      <c r="AB108" s="169" t="str">
        <f t="shared" si="8"/>
        <v/>
      </c>
      <c r="AC108" s="169"/>
      <c r="AD108" s="169" t="str">
        <f t="shared" si="9"/>
        <v/>
      </c>
      <c r="AE108" s="169"/>
      <c r="AF108" s="169" t="str">
        <f t="shared" si="10"/>
        <v/>
      </c>
      <c r="AG108" s="169"/>
      <c r="AH108" s="169" t="str">
        <f t="shared" si="11"/>
        <v/>
      </c>
      <c r="AI108" s="169"/>
      <c r="AJ108" s="169" t="str">
        <f t="shared" si="12"/>
        <v/>
      </c>
    </row>
    <row r="109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 t="str">
        <f t="shared" si="2"/>
        <v/>
      </c>
      <c r="Q109" s="169"/>
      <c r="R109" s="169" t="str">
        <f t="shared" si="3"/>
        <v/>
      </c>
      <c r="S109" s="169"/>
      <c r="T109" s="169" t="str">
        <f t="shared" si="4"/>
        <v/>
      </c>
      <c r="U109" s="169"/>
      <c r="V109" s="169" t="str">
        <f t="shared" si="5"/>
        <v/>
      </c>
      <c r="W109" s="169"/>
      <c r="X109" s="169" t="str">
        <f t="shared" si="6"/>
        <v/>
      </c>
      <c r="Y109" s="169"/>
      <c r="Z109" s="169" t="str">
        <f t="shared" si="7"/>
        <v/>
      </c>
      <c r="AA109" s="169"/>
      <c r="AB109" s="169" t="str">
        <f t="shared" si="8"/>
        <v/>
      </c>
      <c r="AC109" s="169"/>
      <c r="AD109" s="169" t="str">
        <f t="shared" si="9"/>
        <v/>
      </c>
      <c r="AE109" s="169"/>
      <c r="AF109" s="169" t="str">
        <f t="shared" si="10"/>
        <v/>
      </c>
      <c r="AG109" s="169"/>
      <c r="AH109" s="169" t="str">
        <f t="shared" si="11"/>
        <v/>
      </c>
      <c r="AI109" s="169"/>
      <c r="AJ109" s="169" t="str">
        <f t="shared" si="12"/>
        <v/>
      </c>
    </row>
    <row r="110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 t="str">
        <f t="shared" si="2"/>
        <v/>
      </c>
      <c r="Q110" s="169"/>
      <c r="R110" s="169" t="str">
        <f t="shared" si="3"/>
        <v/>
      </c>
      <c r="S110" s="169"/>
      <c r="T110" s="169" t="str">
        <f t="shared" si="4"/>
        <v/>
      </c>
      <c r="U110" s="169"/>
      <c r="V110" s="169" t="str">
        <f t="shared" si="5"/>
        <v/>
      </c>
      <c r="W110" s="169"/>
      <c r="X110" s="169" t="str">
        <f t="shared" si="6"/>
        <v/>
      </c>
      <c r="Y110" s="169"/>
      <c r="Z110" s="169" t="str">
        <f t="shared" si="7"/>
        <v/>
      </c>
      <c r="AA110" s="169"/>
      <c r="AB110" s="169" t="str">
        <f t="shared" si="8"/>
        <v/>
      </c>
      <c r="AC110" s="169"/>
      <c r="AD110" s="169" t="str">
        <f t="shared" si="9"/>
        <v/>
      </c>
      <c r="AE110" s="169"/>
      <c r="AF110" s="169" t="str">
        <f t="shared" si="10"/>
        <v/>
      </c>
      <c r="AG110" s="169"/>
      <c r="AH110" s="169" t="str">
        <f t="shared" si="11"/>
        <v/>
      </c>
      <c r="AI110" s="169"/>
      <c r="AJ110" s="169" t="str">
        <f t="shared" si="12"/>
        <v/>
      </c>
    </row>
    <row r="11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 t="str">
        <f t="shared" si="2"/>
        <v/>
      </c>
      <c r="Q111" s="169"/>
      <c r="R111" s="169" t="str">
        <f t="shared" si="3"/>
        <v/>
      </c>
      <c r="S111" s="169"/>
      <c r="T111" s="169" t="str">
        <f t="shared" si="4"/>
        <v/>
      </c>
      <c r="U111" s="169"/>
      <c r="V111" s="169" t="str">
        <f t="shared" si="5"/>
        <v/>
      </c>
      <c r="W111" s="169"/>
      <c r="X111" s="169" t="str">
        <f t="shared" si="6"/>
        <v/>
      </c>
      <c r="Y111" s="169"/>
      <c r="Z111" s="169" t="str">
        <f t="shared" si="7"/>
        <v/>
      </c>
      <c r="AA111" s="169"/>
      <c r="AB111" s="169" t="str">
        <f t="shared" si="8"/>
        <v/>
      </c>
      <c r="AC111" s="169"/>
      <c r="AD111" s="169" t="str">
        <f t="shared" si="9"/>
        <v/>
      </c>
      <c r="AE111" s="169"/>
      <c r="AF111" s="169" t="str">
        <f t="shared" si="10"/>
        <v/>
      </c>
      <c r="AG111" s="169"/>
      <c r="AH111" s="169" t="str">
        <f t="shared" si="11"/>
        <v/>
      </c>
      <c r="AI111" s="169"/>
      <c r="AJ111" s="169" t="str">
        <f t="shared" si="12"/>
        <v/>
      </c>
    </row>
    <row r="112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 t="str">
        <f t="shared" si="2"/>
        <v/>
      </c>
      <c r="Q112" s="169"/>
      <c r="R112" s="169" t="str">
        <f t="shared" si="3"/>
        <v/>
      </c>
      <c r="S112" s="169"/>
      <c r="T112" s="169" t="str">
        <f t="shared" si="4"/>
        <v/>
      </c>
      <c r="U112" s="169"/>
      <c r="V112" s="169" t="str">
        <f t="shared" si="5"/>
        <v/>
      </c>
      <c r="W112" s="169"/>
      <c r="X112" s="169" t="str">
        <f t="shared" si="6"/>
        <v/>
      </c>
      <c r="Y112" s="169"/>
      <c r="Z112" s="169" t="str">
        <f t="shared" si="7"/>
        <v/>
      </c>
      <c r="AA112" s="169"/>
      <c r="AB112" s="169" t="str">
        <f t="shared" si="8"/>
        <v/>
      </c>
      <c r="AC112" s="169"/>
      <c r="AD112" s="169" t="str">
        <f t="shared" si="9"/>
        <v/>
      </c>
      <c r="AE112" s="169"/>
      <c r="AF112" s="169" t="str">
        <f t="shared" si="10"/>
        <v/>
      </c>
      <c r="AG112" s="169"/>
      <c r="AH112" s="169" t="str">
        <f t="shared" si="11"/>
        <v/>
      </c>
      <c r="AI112" s="169"/>
      <c r="AJ112" s="169" t="str">
        <f t="shared" si="12"/>
        <v/>
      </c>
    </row>
    <row r="113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 t="str">
        <f t="shared" si="2"/>
        <v/>
      </c>
      <c r="Q113" s="169"/>
      <c r="R113" s="169" t="str">
        <f t="shared" si="3"/>
        <v/>
      </c>
      <c r="S113" s="169"/>
      <c r="T113" s="169" t="str">
        <f t="shared" si="4"/>
        <v/>
      </c>
      <c r="U113" s="169"/>
      <c r="V113" s="169" t="str">
        <f t="shared" si="5"/>
        <v/>
      </c>
      <c r="W113" s="169"/>
      <c r="X113" s="169" t="str">
        <f t="shared" si="6"/>
        <v/>
      </c>
      <c r="Y113" s="169"/>
      <c r="Z113" s="169" t="str">
        <f t="shared" si="7"/>
        <v/>
      </c>
      <c r="AA113" s="169"/>
      <c r="AB113" s="169" t="str">
        <f t="shared" si="8"/>
        <v/>
      </c>
      <c r="AC113" s="169"/>
      <c r="AD113" s="169" t="str">
        <f t="shared" si="9"/>
        <v/>
      </c>
      <c r="AE113" s="169"/>
      <c r="AF113" s="169" t="str">
        <f t="shared" si="10"/>
        <v/>
      </c>
      <c r="AG113" s="169"/>
      <c r="AH113" s="169" t="str">
        <f t="shared" si="11"/>
        <v/>
      </c>
      <c r="AI113" s="169"/>
      <c r="AJ113" s="169" t="str">
        <f t="shared" si="12"/>
        <v/>
      </c>
    </row>
    <row r="114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 t="str">
        <f t="shared" si="2"/>
        <v/>
      </c>
      <c r="Q114" s="169"/>
      <c r="R114" s="169" t="str">
        <f t="shared" si="3"/>
        <v/>
      </c>
      <c r="S114" s="169"/>
      <c r="T114" s="169" t="str">
        <f t="shared" si="4"/>
        <v/>
      </c>
      <c r="U114" s="169"/>
      <c r="V114" s="169" t="str">
        <f t="shared" si="5"/>
        <v/>
      </c>
      <c r="W114" s="169"/>
      <c r="X114" s="169" t="str">
        <f t="shared" si="6"/>
        <v/>
      </c>
      <c r="Y114" s="169"/>
      <c r="Z114" s="169" t="str">
        <f t="shared" si="7"/>
        <v/>
      </c>
      <c r="AA114" s="169"/>
      <c r="AB114" s="169" t="str">
        <f t="shared" si="8"/>
        <v/>
      </c>
      <c r="AC114" s="169"/>
      <c r="AD114" s="169" t="str">
        <f t="shared" si="9"/>
        <v/>
      </c>
      <c r="AE114" s="169"/>
      <c r="AF114" s="169" t="str">
        <f t="shared" si="10"/>
        <v/>
      </c>
      <c r="AG114" s="169"/>
      <c r="AH114" s="169" t="str">
        <f t="shared" si="11"/>
        <v/>
      </c>
      <c r="AI114" s="169"/>
      <c r="AJ114" s="169" t="str">
        <f t="shared" si="12"/>
        <v/>
      </c>
    </row>
    <row r="11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 t="str">
        <f t="shared" si="2"/>
        <v/>
      </c>
      <c r="Q115" s="169"/>
      <c r="R115" s="169" t="str">
        <f t="shared" si="3"/>
        <v/>
      </c>
      <c r="S115" s="169"/>
      <c r="T115" s="169" t="str">
        <f t="shared" si="4"/>
        <v/>
      </c>
      <c r="U115" s="169"/>
      <c r="V115" s="169" t="str">
        <f t="shared" si="5"/>
        <v/>
      </c>
      <c r="W115" s="169"/>
      <c r="X115" s="169" t="str">
        <f t="shared" si="6"/>
        <v/>
      </c>
      <c r="Y115" s="169"/>
      <c r="Z115" s="169" t="str">
        <f t="shared" si="7"/>
        <v/>
      </c>
      <c r="AA115" s="169"/>
      <c r="AB115" s="169" t="str">
        <f t="shared" si="8"/>
        <v/>
      </c>
      <c r="AC115" s="169"/>
      <c r="AD115" s="169" t="str">
        <f t="shared" si="9"/>
        <v/>
      </c>
      <c r="AE115" s="169"/>
      <c r="AF115" s="169" t="str">
        <f t="shared" si="10"/>
        <v/>
      </c>
      <c r="AG115" s="169"/>
      <c r="AH115" s="169" t="str">
        <f t="shared" si="11"/>
        <v/>
      </c>
      <c r="AI115" s="169"/>
      <c r="AJ115" s="169" t="str">
        <f t="shared" si="12"/>
        <v/>
      </c>
    </row>
    <row r="1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 t="str">
        <f t="shared" si="2"/>
        <v/>
      </c>
      <c r="Q116" s="169"/>
      <c r="R116" s="169" t="str">
        <f t="shared" si="3"/>
        <v/>
      </c>
      <c r="S116" s="169"/>
      <c r="T116" s="169" t="str">
        <f t="shared" si="4"/>
        <v/>
      </c>
      <c r="U116" s="169"/>
      <c r="V116" s="169" t="str">
        <f t="shared" si="5"/>
        <v/>
      </c>
      <c r="W116" s="169"/>
      <c r="X116" s="169" t="str">
        <f t="shared" si="6"/>
        <v/>
      </c>
      <c r="Y116" s="169"/>
      <c r="Z116" s="169" t="str">
        <f t="shared" si="7"/>
        <v/>
      </c>
      <c r="AA116" s="169"/>
      <c r="AB116" s="169" t="str">
        <f t="shared" si="8"/>
        <v/>
      </c>
      <c r="AC116" s="169"/>
      <c r="AD116" s="169" t="str">
        <f t="shared" si="9"/>
        <v/>
      </c>
      <c r="AE116" s="169"/>
      <c r="AF116" s="169" t="str">
        <f t="shared" si="10"/>
        <v/>
      </c>
      <c r="AG116" s="169"/>
      <c r="AH116" s="169" t="str">
        <f t="shared" si="11"/>
        <v/>
      </c>
      <c r="AI116" s="169"/>
      <c r="AJ116" s="169" t="str">
        <f t="shared" si="12"/>
        <v/>
      </c>
    </row>
    <row r="117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 t="str">
        <f t="shared" si="2"/>
        <v/>
      </c>
      <c r="Q117" s="169"/>
      <c r="R117" s="169" t="str">
        <f t="shared" si="3"/>
        <v/>
      </c>
      <c r="S117" s="169"/>
      <c r="T117" s="169" t="str">
        <f t="shared" si="4"/>
        <v/>
      </c>
      <c r="U117" s="169"/>
      <c r="V117" s="169" t="str">
        <f t="shared" si="5"/>
        <v/>
      </c>
      <c r="W117" s="169"/>
      <c r="X117" s="169" t="str">
        <f t="shared" si="6"/>
        <v/>
      </c>
      <c r="Y117" s="169"/>
      <c r="Z117" s="169" t="str">
        <f t="shared" si="7"/>
        <v/>
      </c>
      <c r="AA117" s="169"/>
      <c r="AB117" s="169" t="str">
        <f t="shared" si="8"/>
        <v/>
      </c>
      <c r="AC117" s="169"/>
      <c r="AD117" s="169" t="str">
        <f t="shared" si="9"/>
        <v/>
      </c>
      <c r="AE117" s="169"/>
      <c r="AF117" s="169" t="str">
        <f t="shared" si="10"/>
        <v/>
      </c>
      <c r="AG117" s="169"/>
      <c r="AH117" s="169" t="str">
        <f t="shared" si="11"/>
        <v/>
      </c>
      <c r="AI117" s="169"/>
      <c r="AJ117" s="169" t="str">
        <f t="shared" si="12"/>
        <v/>
      </c>
    </row>
    <row r="118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 t="str">
        <f t="shared" si="2"/>
        <v/>
      </c>
      <c r="Q118" s="169"/>
      <c r="R118" s="169" t="str">
        <f t="shared" si="3"/>
        <v/>
      </c>
      <c r="S118" s="169"/>
      <c r="T118" s="169" t="str">
        <f t="shared" si="4"/>
        <v/>
      </c>
      <c r="U118" s="169"/>
      <c r="V118" s="169" t="str">
        <f t="shared" si="5"/>
        <v/>
      </c>
      <c r="W118" s="169"/>
      <c r="X118" s="169" t="str">
        <f t="shared" si="6"/>
        <v/>
      </c>
      <c r="Y118" s="169"/>
      <c r="Z118" s="169" t="str">
        <f t="shared" si="7"/>
        <v/>
      </c>
      <c r="AA118" s="169"/>
      <c r="AB118" s="169" t="str">
        <f t="shared" si="8"/>
        <v/>
      </c>
      <c r="AC118" s="169"/>
      <c r="AD118" s="169" t="str">
        <f t="shared" si="9"/>
        <v/>
      </c>
      <c r="AE118" s="169"/>
      <c r="AF118" s="169" t="str">
        <f t="shared" si="10"/>
        <v/>
      </c>
      <c r="AG118" s="169"/>
      <c r="AH118" s="169" t="str">
        <f t="shared" si="11"/>
        <v/>
      </c>
      <c r="AI118" s="169"/>
      <c r="AJ118" s="169" t="str">
        <f t="shared" si="12"/>
        <v/>
      </c>
    </row>
    <row r="119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 t="str">
        <f t="shared" si="2"/>
        <v/>
      </c>
      <c r="Q119" s="169"/>
      <c r="R119" s="169" t="str">
        <f t="shared" si="3"/>
        <v/>
      </c>
      <c r="S119" s="169"/>
      <c r="T119" s="169" t="str">
        <f t="shared" si="4"/>
        <v/>
      </c>
      <c r="U119" s="169"/>
      <c r="V119" s="169" t="str">
        <f t="shared" si="5"/>
        <v/>
      </c>
      <c r="W119" s="169"/>
      <c r="X119" s="169" t="str">
        <f t="shared" si="6"/>
        <v/>
      </c>
      <c r="Y119" s="169"/>
      <c r="Z119" s="169" t="str">
        <f t="shared" si="7"/>
        <v/>
      </c>
      <c r="AA119" s="169"/>
      <c r="AB119" s="169" t="str">
        <f t="shared" si="8"/>
        <v/>
      </c>
      <c r="AC119" s="169"/>
      <c r="AD119" s="169" t="str">
        <f t="shared" si="9"/>
        <v/>
      </c>
      <c r="AE119" s="169"/>
      <c r="AF119" s="169" t="str">
        <f t="shared" si="10"/>
        <v/>
      </c>
      <c r="AG119" s="169"/>
      <c r="AH119" s="169" t="str">
        <f t="shared" si="11"/>
        <v/>
      </c>
      <c r="AI119" s="169"/>
      <c r="AJ119" s="169" t="str">
        <f t="shared" si="12"/>
        <v/>
      </c>
    </row>
    <row r="120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 t="str">
        <f t="shared" si="2"/>
        <v/>
      </c>
      <c r="Q120" s="169"/>
      <c r="R120" s="169" t="str">
        <f t="shared" si="3"/>
        <v/>
      </c>
      <c r="S120" s="169"/>
      <c r="T120" s="169" t="str">
        <f t="shared" si="4"/>
        <v/>
      </c>
      <c r="U120" s="169"/>
      <c r="V120" s="169" t="str">
        <f t="shared" si="5"/>
        <v/>
      </c>
      <c r="W120" s="169"/>
      <c r="X120" s="169" t="str">
        <f t="shared" si="6"/>
        <v/>
      </c>
      <c r="Y120" s="169"/>
      <c r="Z120" s="169" t="str">
        <f t="shared" si="7"/>
        <v/>
      </c>
      <c r="AA120" s="169"/>
      <c r="AB120" s="169" t="str">
        <f t="shared" si="8"/>
        <v/>
      </c>
      <c r="AC120" s="169"/>
      <c r="AD120" s="169" t="str">
        <f t="shared" si="9"/>
        <v/>
      </c>
      <c r="AE120" s="169"/>
      <c r="AF120" s="169" t="str">
        <f t="shared" si="10"/>
        <v/>
      </c>
      <c r="AG120" s="169"/>
      <c r="AH120" s="169" t="str">
        <f t="shared" si="11"/>
        <v/>
      </c>
      <c r="AI120" s="169"/>
      <c r="AJ120" s="169" t="str">
        <f t="shared" si="12"/>
        <v/>
      </c>
    </row>
    <row r="12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 t="str">
        <f t="shared" si="2"/>
        <v/>
      </c>
      <c r="Q121" s="169"/>
      <c r="R121" s="169" t="str">
        <f t="shared" si="3"/>
        <v/>
      </c>
      <c r="S121" s="169"/>
      <c r="T121" s="169" t="str">
        <f t="shared" si="4"/>
        <v/>
      </c>
      <c r="U121" s="169"/>
      <c r="V121" s="169" t="str">
        <f t="shared" si="5"/>
        <v/>
      </c>
      <c r="W121" s="169"/>
      <c r="X121" s="169" t="str">
        <f t="shared" si="6"/>
        <v/>
      </c>
      <c r="Y121" s="169"/>
      <c r="Z121" s="169" t="str">
        <f t="shared" si="7"/>
        <v/>
      </c>
      <c r="AA121" s="169"/>
      <c r="AB121" s="169" t="str">
        <f t="shared" si="8"/>
        <v/>
      </c>
      <c r="AC121" s="169"/>
      <c r="AD121" s="169" t="str">
        <f t="shared" si="9"/>
        <v/>
      </c>
      <c r="AE121" s="169"/>
      <c r="AF121" s="169" t="str">
        <f t="shared" si="10"/>
        <v/>
      </c>
      <c r="AG121" s="169"/>
      <c r="AH121" s="169" t="str">
        <f t="shared" si="11"/>
        <v/>
      </c>
      <c r="AI121" s="169"/>
      <c r="AJ121" s="169" t="str">
        <f t="shared" si="12"/>
        <v/>
      </c>
    </row>
    <row r="122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 t="str">
        <f t="shared" si="2"/>
        <v/>
      </c>
      <c r="Q122" s="169"/>
      <c r="R122" s="169" t="str">
        <f t="shared" si="3"/>
        <v/>
      </c>
      <c r="S122" s="169"/>
      <c r="T122" s="169" t="str">
        <f t="shared" si="4"/>
        <v/>
      </c>
      <c r="U122" s="169"/>
      <c r="V122" s="169" t="str">
        <f t="shared" si="5"/>
        <v/>
      </c>
      <c r="W122" s="169"/>
      <c r="X122" s="169" t="str">
        <f t="shared" si="6"/>
        <v/>
      </c>
      <c r="Y122" s="169"/>
      <c r="Z122" s="169" t="str">
        <f t="shared" si="7"/>
        <v/>
      </c>
      <c r="AA122" s="169"/>
      <c r="AB122" s="169" t="str">
        <f t="shared" si="8"/>
        <v/>
      </c>
      <c r="AC122" s="169"/>
      <c r="AD122" s="169" t="str">
        <f t="shared" si="9"/>
        <v/>
      </c>
      <c r="AE122" s="169"/>
      <c r="AF122" s="169" t="str">
        <f t="shared" si="10"/>
        <v/>
      </c>
      <c r="AG122" s="169"/>
      <c r="AH122" s="169" t="str">
        <f t="shared" si="11"/>
        <v/>
      </c>
      <c r="AI122" s="169"/>
      <c r="AJ122" s="169" t="str">
        <f t="shared" si="12"/>
        <v/>
      </c>
    </row>
    <row r="123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 t="str">
        <f t="shared" si="2"/>
        <v/>
      </c>
      <c r="Q123" s="169"/>
      <c r="R123" s="169" t="str">
        <f t="shared" si="3"/>
        <v/>
      </c>
      <c r="S123" s="169"/>
      <c r="T123" s="169" t="str">
        <f t="shared" si="4"/>
        <v/>
      </c>
      <c r="U123" s="169"/>
      <c r="V123" s="169" t="str">
        <f t="shared" si="5"/>
        <v/>
      </c>
      <c r="W123" s="169"/>
      <c r="X123" s="169" t="str">
        <f t="shared" si="6"/>
        <v/>
      </c>
      <c r="Y123" s="169"/>
      <c r="Z123" s="169" t="str">
        <f t="shared" si="7"/>
        <v/>
      </c>
      <c r="AA123" s="169"/>
      <c r="AB123" s="169" t="str">
        <f t="shared" si="8"/>
        <v/>
      </c>
      <c r="AC123" s="169"/>
      <c r="AD123" s="169" t="str">
        <f t="shared" si="9"/>
        <v/>
      </c>
      <c r="AE123" s="169"/>
      <c r="AF123" s="169" t="str">
        <f t="shared" si="10"/>
        <v/>
      </c>
      <c r="AG123" s="169"/>
      <c r="AH123" s="169" t="str">
        <f t="shared" si="11"/>
        <v/>
      </c>
      <c r="AI123" s="169"/>
      <c r="AJ123" s="169" t="str">
        <f t="shared" si="12"/>
        <v/>
      </c>
    </row>
    <row r="124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 t="str">
        <f t="shared" si="2"/>
        <v/>
      </c>
      <c r="Q124" s="169"/>
      <c r="R124" s="169" t="str">
        <f t="shared" si="3"/>
        <v/>
      </c>
      <c r="S124" s="169"/>
      <c r="T124" s="169" t="str">
        <f t="shared" si="4"/>
        <v/>
      </c>
      <c r="U124" s="169"/>
      <c r="V124" s="169" t="str">
        <f t="shared" si="5"/>
        <v/>
      </c>
      <c r="W124" s="169"/>
      <c r="X124" s="169" t="str">
        <f t="shared" si="6"/>
        <v/>
      </c>
      <c r="Y124" s="169"/>
      <c r="Z124" s="169" t="str">
        <f t="shared" si="7"/>
        <v/>
      </c>
      <c r="AA124" s="169"/>
      <c r="AB124" s="169" t="str">
        <f t="shared" si="8"/>
        <v/>
      </c>
      <c r="AC124" s="169"/>
      <c r="AD124" s="169" t="str">
        <f t="shared" si="9"/>
        <v/>
      </c>
      <c r="AE124" s="169"/>
      <c r="AF124" s="169" t="str">
        <f t="shared" si="10"/>
        <v/>
      </c>
      <c r="AG124" s="169"/>
      <c r="AH124" s="169" t="str">
        <f t="shared" si="11"/>
        <v/>
      </c>
      <c r="AI124" s="169"/>
      <c r="AJ124" s="169" t="str">
        <f t="shared" si="12"/>
        <v/>
      </c>
    </row>
    <row r="1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 t="str">
        <f t="shared" si="2"/>
        <v/>
      </c>
      <c r="Q125" s="169"/>
      <c r="R125" s="169" t="str">
        <f t="shared" si="3"/>
        <v/>
      </c>
      <c r="S125" s="169"/>
      <c r="T125" s="169" t="str">
        <f t="shared" si="4"/>
        <v/>
      </c>
      <c r="U125" s="169"/>
      <c r="V125" s="169" t="str">
        <f t="shared" si="5"/>
        <v/>
      </c>
      <c r="W125" s="169"/>
      <c r="X125" s="169" t="str">
        <f t="shared" si="6"/>
        <v/>
      </c>
      <c r="Y125" s="169"/>
      <c r="Z125" s="169" t="str">
        <f t="shared" si="7"/>
        <v/>
      </c>
      <c r="AA125" s="169"/>
      <c r="AB125" s="169" t="str">
        <f t="shared" si="8"/>
        <v/>
      </c>
      <c r="AC125" s="169"/>
      <c r="AD125" s="169" t="str">
        <f t="shared" si="9"/>
        <v/>
      </c>
      <c r="AE125" s="169"/>
      <c r="AF125" s="169" t="str">
        <f t="shared" si="10"/>
        <v/>
      </c>
      <c r="AG125" s="169"/>
      <c r="AH125" s="169" t="str">
        <f t="shared" si="11"/>
        <v/>
      </c>
      <c r="AI125" s="169"/>
      <c r="AJ125" s="169" t="str">
        <f t="shared" si="12"/>
        <v/>
      </c>
    </row>
    <row r="126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 t="str">
        <f t="shared" si="2"/>
        <v/>
      </c>
      <c r="Q126" s="169"/>
      <c r="R126" s="169" t="str">
        <f t="shared" si="3"/>
        <v/>
      </c>
      <c r="S126" s="169"/>
      <c r="T126" s="169" t="str">
        <f t="shared" si="4"/>
        <v/>
      </c>
      <c r="U126" s="169"/>
      <c r="V126" s="169" t="str">
        <f t="shared" si="5"/>
        <v/>
      </c>
      <c r="W126" s="169"/>
      <c r="X126" s="169" t="str">
        <f t="shared" si="6"/>
        <v/>
      </c>
      <c r="Y126" s="169"/>
      <c r="Z126" s="169" t="str">
        <f t="shared" si="7"/>
        <v/>
      </c>
      <c r="AA126" s="169"/>
      <c r="AB126" s="169" t="str">
        <f t="shared" si="8"/>
        <v/>
      </c>
      <c r="AC126" s="169"/>
      <c r="AD126" s="169" t="str">
        <f t="shared" si="9"/>
        <v/>
      </c>
      <c r="AE126" s="169"/>
      <c r="AF126" s="169" t="str">
        <f t="shared" si="10"/>
        <v/>
      </c>
      <c r="AG126" s="169"/>
      <c r="AH126" s="169" t="str">
        <f t="shared" si="11"/>
        <v/>
      </c>
      <c r="AI126" s="169"/>
      <c r="AJ126" s="169" t="str">
        <f t="shared" si="12"/>
        <v/>
      </c>
    </row>
    <row r="127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 t="str">
        <f t="shared" si="2"/>
        <v/>
      </c>
      <c r="Q127" s="169"/>
      <c r="R127" s="169" t="str">
        <f t="shared" si="3"/>
        <v/>
      </c>
      <c r="S127" s="169"/>
      <c r="T127" s="169" t="str">
        <f t="shared" si="4"/>
        <v/>
      </c>
      <c r="U127" s="169"/>
      <c r="V127" s="169" t="str">
        <f t="shared" si="5"/>
        <v/>
      </c>
      <c r="W127" s="169"/>
      <c r="X127" s="169" t="str">
        <f t="shared" si="6"/>
        <v/>
      </c>
      <c r="Y127" s="169"/>
      <c r="Z127" s="169" t="str">
        <f t="shared" si="7"/>
        <v/>
      </c>
      <c r="AA127" s="169"/>
      <c r="AB127" s="169" t="str">
        <f t="shared" si="8"/>
        <v/>
      </c>
      <c r="AC127" s="169"/>
      <c r="AD127" s="169" t="str">
        <f t="shared" si="9"/>
        <v/>
      </c>
      <c r="AE127" s="169"/>
      <c r="AF127" s="169" t="str">
        <f t="shared" si="10"/>
        <v/>
      </c>
      <c r="AG127" s="169"/>
      <c r="AH127" s="169" t="str">
        <f t="shared" si="11"/>
        <v/>
      </c>
      <c r="AI127" s="169"/>
      <c r="AJ127" s="169" t="str">
        <f t="shared" si="12"/>
        <v/>
      </c>
    </row>
    <row r="128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 t="str">
        <f t="shared" si="2"/>
        <v/>
      </c>
      <c r="Q128" s="169"/>
      <c r="R128" s="169" t="str">
        <f t="shared" si="3"/>
        <v/>
      </c>
      <c r="S128" s="169"/>
      <c r="T128" s="169" t="str">
        <f t="shared" si="4"/>
        <v/>
      </c>
      <c r="U128" s="169"/>
      <c r="V128" s="169" t="str">
        <f t="shared" si="5"/>
        <v/>
      </c>
      <c r="W128" s="169"/>
      <c r="X128" s="169" t="str">
        <f t="shared" si="6"/>
        <v/>
      </c>
      <c r="Y128" s="169"/>
      <c r="Z128" s="169" t="str">
        <f t="shared" si="7"/>
        <v/>
      </c>
      <c r="AA128" s="169"/>
      <c r="AB128" s="169" t="str">
        <f t="shared" si="8"/>
        <v/>
      </c>
      <c r="AC128" s="169"/>
      <c r="AD128" s="169" t="str">
        <f t="shared" si="9"/>
        <v/>
      </c>
      <c r="AE128" s="169"/>
      <c r="AF128" s="169" t="str">
        <f t="shared" si="10"/>
        <v/>
      </c>
      <c r="AG128" s="169"/>
      <c r="AH128" s="169" t="str">
        <f t="shared" si="11"/>
        <v/>
      </c>
      <c r="AI128" s="169"/>
      <c r="AJ128" s="169" t="str">
        <f t="shared" si="12"/>
        <v/>
      </c>
    </row>
    <row r="129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 t="str">
        <f t="shared" si="2"/>
        <v/>
      </c>
      <c r="Q129" s="169"/>
      <c r="R129" s="169" t="str">
        <f t="shared" si="3"/>
        <v/>
      </c>
      <c r="S129" s="169"/>
      <c r="T129" s="169" t="str">
        <f t="shared" si="4"/>
        <v/>
      </c>
      <c r="U129" s="169"/>
      <c r="V129" s="169" t="str">
        <f t="shared" si="5"/>
        <v/>
      </c>
      <c r="W129" s="169"/>
      <c r="X129" s="169" t="str">
        <f t="shared" si="6"/>
        <v/>
      </c>
      <c r="Y129" s="169"/>
      <c r="Z129" s="169" t="str">
        <f t="shared" si="7"/>
        <v/>
      </c>
      <c r="AA129" s="169"/>
      <c r="AB129" s="169" t="str">
        <f t="shared" si="8"/>
        <v/>
      </c>
      <c r="AC129" s="169"/>
      <c r="AD129" s="169" t="str">
        <f t="shared" si="9"/>
        <v/>
      </c>
      <c r="AE129" s="169"/>
      <c r="AF129" s="169" t="str">
        <f t="shared" si="10"/>
        <v/>
      </c>
      <c r="AG129" s="169"/>
      <c r="AH129" s="169" t="str">
        <f t="shared" si="11"/>
        <v/>
      </c>
      <c r="AI129" s="169"/>
      <c r="AJ129" s="169" t="str">
        <f t="shared" si="12"/>
        <v/>
      </c>
    </row>
    <row r="130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 t="str">
        <f t="shared" si="2"/>
        <v/>
      </c>
      <c r="Q130" s="169"/>
      <c r="R130" s="169" t="str">
        <f t="shared" si="3"/>
        <v/>
      </c>
      <c r="S130" s="169"/>
      <c r="T130" s="169" t="str">
        <f t="shared" si="4"/>
        <v/>
      </c>
      <c r="U130" s="169"/>
      <c r="V130" s="169" t="str">
        <f t="shared" si="5"/>
        <v/>
      </c>
      <c r="W130" s="169"/>
      <c r="X130" s="169" t="str">
        <f t="shared" si="6"/>
        <v/>
      </c>
      <c r="Y130" s="169"/>
      <c r="Z130" s="169" t="str">
        <f t="shared" si="7"/>
        <v/>
      </c>
      <c r="AA130" s="169"/>
      <c r="AB130" s="169" t="str">
        <f t="shared" si="8"/>
        <v/>
      </c>
      <c r="AC130" s="169"/>
      <c r="AD130" s="169" t="str">
        <f t="shared" si="9"/>
        <v/>
      </c>
      <c r="AE130" s="169"/>
      <c r="AF130" s="169" t="str">
        <f t="shared" si="10"/>
        <v/>
      </c>
      <c r="AG130" s="169"/>
      <c r="AH130" s="169" t="str">
        <f t="shared" si="11"/>
        <v/>
      </c>
      <c r="AI130" s="169"/>
      <c r="AJ130" s="169" t="str">
        <f t="shared" si="12"/>
        <v/>
      </c>
    </row>
    <row r="13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 t="str">
        <f t="shared" si="2"/>
        <v/>
      </c>
      <c r="Q131" s="169"/>
      <c r="R131" s="169" t="str">
        <f t="shared" si="3"/>
        <v/>
      </c>
      <c r="S131" s="169"/>
      <c r="T131" s="169" t="str">
        <f t="shared" si="4"/>
        <v/>
      </c>
      <c r="U131" s="169"/>
      <c r="V131" s="169" t="str">
        <f t="shared" si="5"/>
        <v/>
      </c>
      <c r="W131" s="169"/>
      <c r="X131" s="169" t="str">
        <f t="shared" si="6"/>
        <v/>
      </c>
      <c r="Y131" s="169"/>
      <c r="Z131" s="169" t="str">
        <f t="shared" si="7"/>
        <v/>
      </c>
      <c r="AA131" s="169"/>
      <c r="AB131" s="169" t="str">
        <f t="shared" si="8"/>
        <v/>
      </c>
      <c r="AC131" s="169"/>
      <c r="AD131" s="169" t="str">
        <f t="shared" si="9"/>
        <v/>
      </c>
      <c r="AE131" s="169"/>
      <c r="AF131" s="169" t="str">
        <f t="shared" si="10"/>
        <v/>
      </c>
      <c r="AG131" s="169"/>
      <c r="AH131" s="169" t="str">
        <f t="shared" si="11"/>
        <v/>
      </c>
      <c r="AI131" s="169"/>
      <c r="AJ131" s="169" t="str">
        <f t="shared" si="12"/>
        <v/>
      </c>
    </row>
    <row r="132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 t="str">
        <f t="shared" si="2"/>
        <v/>
      </c>
      <c r="Q132" s="169"/>
      <c r="R132" s="169" t="str">
        <f t="shared" si="3"/>
        <v/>
      </c>
      <c r="S132" s="169"/>
      <c r="T132" s="169" t="str">
        <f t="shared" si="4"/>
        <v/>
      </c>
      <c r="U132" s="169"/>
      <c r="V132" s="169" t="str">
        <f t="shared" si="5"/>
        <v/>
      </c>
      <c r="W132" s="169"/>
      <c r="X132" s="169" t="str">
        <f t="shared" si="6"/>
        <v/>
      </c>
      <c r="Y132" s="169"/>
      <c r="Z132" s="169" t="str">
        <f t="shared" si="7"/>
        <v/>
      </c>
      <c r="AA132" s="169"/>
      <c r="AB132" s="169" t="str">
        <f t="shared" si="8"/>
        <v/>
      </c>
      <c r="AC132" s="169"/>
      <c r="AD132" s="169" t="str">
        <f t="shared" si="9"/>
        <v/>
      </c>
      <c r="AE132" s="169"/>
      <c r="AF132" s="169" t="str">
        <f t="shared" si="10"/>
        <v/>
      </c>
      <c r="AG132" s="169"/>
      <c r="AH132" s="169" t="str">
        <f t="shared" si="11"/>
        <v/>
      </c>
      <c r="AI132" s="169"/>
      <c r="AJ132" s="169" t="str">
        <f t="shared" si="12"/>
        <v/>
      </c>
    </row>
    <row r="133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 t="str">
        <f t="shared" si="2"/>
        <v/>
      </c>
      <c r="Q133" s="169"/>
      <c r="R133" s="169" t="str">
        <f t="shared" si="3"/>
        <v/>
      </c>
      <c r="S133" s="169"/>
      <c r="T133" s="169" t="str">
        <f t="shared" si="4"/>
        <v/>
      </c>
      <c r="U133" s="169"/>
      <c r="V133" s="169" t="str">
        <f t="shared" si="5"/>
        <v/>
      </c>
      <c r="W133" s="169"/>
      <c r="X133" s="169" t="str">
        <f t="shared" si="6"/>
        <v/>
      </c>
      <c r="Y133" s="169"/>
      <c r="Z133" s="169" t="str">
        <f t="shared" si="7"/>
        <v/>
      </c>
      <c r="AA133" s="169"/>
      <c r="AB133" s="169" t="str">
        <f t="shared" si="8"/>
        <v/>
      </c>
      <c r="AC133" s="169"/>
      <c r="AD133" s="169" t="str">
        <f t="shared" si="9"/>
        <v/>
      </c>
      <c r="AE133" s="169"/>
      <c r="AF133" s="169" t="str">
        <f t="shared" si="10"/>
        <v/>
      </c>
      <c r="AG133" s="169"/>
      <c r="AH133" s="169" t="str">
        <f t="shared" si="11"/>
        <v/>
      </c>
      <c r="AI133" s="169"/>
      <c r="AJ133" s="169" t="str">
        <f t="shared" si="12"/>
        <v/>
      </c>
    </row>
    <row r="134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 t="str">
        <f t="shared" si="2"/>
        <v/>
      </c>
      <c r="Q134" s="169"/>
      <c r="R134" s="169" t="str">
        <f t="shared" si="3"/>
        <v/>
      </c>
      <c r="S134" s="169"/>
      <c r="T134" s="169" t="str">
        <f t="shared" si="4"/>
        <v/>
      </c>
      <c r="U134" s="169"/>
      <c r="V134" s="169" t="str">
        <f t="shared" si="5"/>
        <v/>
      </c>
      <c r="W134" s="169"/>
      <c r="X134" s="169" t="str">
        <f t="shared" si="6"/>
        <v/>
      </c>
      <c r="Y134" s="169"/>
      <c r="Z134" s="169" t="str">
        <f t="shared" si="7"/>
        <v/>
      </c>
      <c r="AA134" s="169"/>
      <c r="AB134" s="169" t="str">
        <f t="shared" si="8"/>
        <v/>
      </c>
      <c r="AC134" s="169"/>
      <c r="AD134" s="169" t="str">
        <f t="shared" si="9"/>
        <v/>
      </c>
      <c r="AE134" s="169"/>
      <c r="AF134" s="169" t="str">
        <f t="shared" si="10"/>
        <v/>
      </c>
      <c r="AG134" s="169"/>
      <c r="AH134" s="169" t="str">
        <f t="shared" si="11"/>
        <v/>
      </c>
      <c r="AI134" s="169"/>
      <c r="AJ134" s="169" t="str">
        <f t="shared" si="12"/>
        <v/>
      </c>
    </row>
    <row r="13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 t="str">
        <f t="shared" si="2"/>
        <v/>
      </c>
      <c r="Q135" s="169"/>
      <c r="R135" s="169" t="str">
        <f t="shared" si="3"/>
        <v/>
      </c>
      <c r="S135" s="169"/>
      <c r="T135" s="169" t="str">
        <f t="shared" si="4"/>
        <v/>
      </c>
      <c r="U135" s="169"/>
      <c r="V135" s="169" t="str">
        <f t="shared" si="5"/>
        <v/>
      </c>
      <c r="W135" s="169"/>
      <c r="X135" s="169" t="str">
        <f t="shared" si="6"/>
        <v/>
      </c>
      <c r="Y135" s="169"/>
      <c r="Z135" s="169" t="str">
        <f t="shared" si="7"/>
        <v/>
      </c>
      <c r="AA135" s="169"/>
      <c r="AB135" s="169" t="str">
        <f t="shared" si="8"/>
        <v/>
      </c>
      <c r="AC135" s="169"/>
      <c r="AD135" s="169" t="str">
        <f t="shared" si="9"/>
        <v/>
      </c>
      <c r="AE135" s="169"/>
      <c r="AF135" s="169" t="str">
        <f t="shared" si="10"/>
        <v/>
      </c>
      <c r="AG135" s="169"/>
      <c r="AH135" s="169" t="str">
        <f t="shared" si="11"/>
        <v/>
      </c>
      <c r="AI135" s="169"/>
      <c r="AJ135" s="169" t="str">
        <f t="shared" si="12"/>
        <v/>
      </c>
    </row>
    <row r="136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 t="str">
        <f t="shared" si="2"/>
        <v/>
      </c>
      <c r="Q136" s="169"/>
      <c r="R136" s="169" t="str">
        <f t="shared" si="3"/>
        <v/>
      </c>
      <c r="S136" s="169"/>
      <c r="T136" s="169" t="str">
        <f t="shared" si="4"/>
        <v/>
      </c>
      <c r="U136" s="169"/>
      <c r="V136" s="169" t="str">
        <f t="shared" si="5"/>
        <v/>
      </c>
      <c r="W136" s="169"/>
      <c r="X136" s="169" t="str">
        <f t="shared" si="6"/>
        <v/>
      </c>
      <c r="Y136" s="169"/>
      <c r="Z136" s="169" t="str">
        <f t="shared" si="7"/>
        <v/>
      </c>
      <c r="AA136" s="169"/>
      <c r="AB136" s="169" t="str">
        <f t="shared" si="8"/>
        <v/>
      </c>
      <c r="AC136" s="169"/>
      <c r="AD136" s="169" t="str">
        <f t="shared" si="9"/>
        <v/>
      </c>
      <c r="AE136" s="169"/>
      <c r="AF136" s="169" t="str">
        <f t="shared" si="10"/>
        <v/>
      </c>
      <c r="AG136" s="169"/>
      <c r="AH136" s="169" t="str">
        <f t="shared" si="11"/>
        <v/>
      </c>
      <c r="AI136" s="169"/>
      <c r="AJ136" s="169" t="str">
        <f t="shared" si="12"/>
        <v/>
      </c>
    </row>
    <row r="137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 t="str">
        <f t="shared" si="2"/>
        <v/>
      </c>
      <c r="Q137" s="169"/>
      <c r="R137" s="169" t="str">
        <f t="shared" si="3"/>
        <v/>
      </c>
      <c r="S137" s="169"/>
      <c r="T137" s="169" t="str">
        <f t="shared" si="4"/>
        <v/>
      </c>
      <c r="U137" s="169"/>
      <c r="V137" s="169" t="str">
        <f t="shared" si="5"/>
        <v/>
      </c>
      <c r="W137" s="169"/>
      <c r="X137" s="169" t="str">
        <f t="shared" si="6"/>
        <v/>
      </c>
      <c r="Y137" s="169"/>
      <c r="Z137" s="169" t="str">
        <f t="shared" si="7"/>
        <v/>
      </c>
      <c r="AA137" s="169"/>
      <c r="AB137" s="169" t="str">
        <f t="shared" si="8"/>
        <v/>
      </c>
      <c r="AC137" s="169"/>
      <c r="AD137" s="169" t="str">
        <f t="shared" si="9"/>
        <v/>
      </c>
      <c r="AE137" s="169"/>
      <c r="AF137" s="169" t="str">
        <f t="shared" si="10"/>
        <v/>
      </c>
      <c r="AG137" s="169"/>
      <c r="AH137" s="169" t="str">
        <f t="shared" si="11"/>
        <v/>
      </c>
      <c r="AI137" s="169"/>
      <c r="AJ137" s="169" t="str">
        <f t="shared" si="12"/>
        <v/>
      </c>
    </row>
    <row r="138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 t="str">
        <f t="shared" si="2"/>
        <v/>
      </c>
      <c r="Q138" s="169"/>
      <c r="R138" s="169" t="str">
        <f t="shared" si="3"/>
        <v/>
      </c>
      <c r="S138" s="169"/>
      <c r="T138" s="169" t="str">
        <f t="shared" si="4"/>
        <v/>
      </c>
      <c r="U138" s="169"/>
      <c r="V138" s="169" t="str">
        <f t="shared" si="5"/>
        <v/>
      </c>
      <c r="W138" s="169"/>
      <c r="X138" s="169" t="str">
        <f t="shared" si="6"/>
        <v/>
      </c>
      <c r="Y138" s="169"/>
      <c r="Z138" s="169" t="str">
        <f t="shared" si="7"/>
        <v/>
      </c>
      <c r="AA138" s="169"/>
      <c r="AB138" s="169" t="str">
        <f t="shared" si="8"/>
        <v/>
      </c>
      <c r="AC138" s="169"/>
      <c r="AD138" s="169" t="str">
        <f t="shared" si="9"/>
        <v/>
      </c>
      <c r="AE138" s="169"/>
      <c r="AF138" s="169" t="str">
        <f t="shared" si="10"/>
        <v/>
      </c>
      <c r="AG138" s="169"/>
      <c r="AH138" s="169" t="str">
        <f t="shared" si="11"/>
        <v/>
      </c>
      <c r="AI138" s="169"/>
      <c r="AJ138" s="169" t="str">
        <f t="shared" si="12"/>
        <v/>
      </c>
    </row>
    <row r="139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 t="str">
        <f t="shared" si="2"/>
        <v/>
      </c>
      <c r="Q139" s="169"/>
      <c r="R139" s="169" t="str">
        <f t="shared" si="3"/>
        <v/>
      </c>
      <c r="S139" s="169"/>
      <c r="T139" s="169" t="str">
        <f t="shared" si="4"/>
        <v/>
      </c>
      <c r="U139" s="169"/>
      <c r="V139" s="169" t="str">
        <f t="shared" si="5"/>
        <v/>
      </c>
      <c r="W139" s="169"/>
      <c r="X139" s="169" t="str">
        <f t="shared" si="6"/>
        <v/>
      </c>
      <c r="Y139" s="169"/>
      <c r="Z139" s="169" t="str">
        <f t="shared" si="7"/>
        <v/>
      </c>
      <c r="AA139" s="169"/>
      <c r="AB139" s="169" t="str">
        <f t="shared" si="8"/>
        <v/>
      </c>
      <c r="AC139" s="169"/>
      <c r="AD139" s="169" t="str">
        <f t="shared" si="9"/>
        <v/>
      </c>
      <c r="AE139" s="169"/>
      <c r="AF139" s="169" t="str">
        <f t="shared" si="10"/>
        <v/>
      </c>
      <c r="AG139" s="169"/>
      <c r="AH139" s="169" t="str">
        <f t="shared" si="11"/>
        <v/>
      </c>
      <c r="AI139" s="169"/>
      <c r="AJ139" s="169" t="str">
        <f t="shared" si="12"/>
        <v/>
      </c>
    </row>
    <row r="140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 t="str">
        <f t="shared" si="2"/>
        <v/>
      </c>
      <c r="Q140" s="169"/>
      <c r="R140" s="169" t="str">
        <f t="shared" si="3"/>
        <v/>
      </c>
      <c r="S140" s="169"/>
      <c r="T140" s="169" t="str">
        <f t="shared" si="4"/>
        <v/>
      </c>
      <c r="U140" s="169"/>
      <c r="V140" s="169" t="str">
        <f t="shared" si="5"/>
        <v/>
      </c>
      <c r="W140" s="169"/>
      <c r="X140" s="169" t="str">
        <f t="shared" si="6"/>
        <v/>
      </c>
      <c r="Y140" s="169"/>
      <c r="Z140" s="169" t="str">
        <f t="shared" si="7"/>
        <v/>
      </c>
      <c r="AA140" s="169"/>
      <c r="AB140" s="169" t="str">
        <f t="shared" si="8"/>
        <v/>
      </c>
      <c r="AC140" s="169"/>
      <c r="AD140" s="169" t="str">
        <f t="shared" si="9"/>
        <v/>
      </c>
      <c r="AE140" s="169"/>
      <c r="AF140" s="169" t="str">
        <f t="shared" si="10"/>
        <v/>
      </c>
      <c r="AG140" s="169"/>
      <c r="AH140" s="169" t="str">
        <f t="shared" si="11"/>
        <v/>
      </c>
      <c r="AI140" s="169"/>
      <c r="AJ140" s="169" t="str">
        <f t="shared" si="12"/>
        <v/>
      </c>
    </row>
    <row r="14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 t="str">
        <f t="shared" si="2"/>
        <v/>
      </c>
      <c r="Q141" s="169"/>
      <c r="R141" s="169" t="str">
        <f t="shared" si="3"/>
        <v/>
      </c>
      <c r="S141" s="169"/>
      <c r="T141" s="169" t="str">
        <f t="shared" si="4"/>
        <v/>
      </c>
      <c r="U141" s="169"/>
      <c r="V141" s="169" t="str">
        <f t="shared" si="5"/>
        <v/>
      </c>
      <c r="W141" s="169"/>
      <c r="X141" s="169" t="str">
        <f t="shared" si="6"/>
        <v/>
      </c>
      <c r="Y141" s="169"/>
      <c r="Z141" s="169" t="str">
        <f t="shared" si="7"/>
        <v/>
      </c>
      <c r="AA141" s="169"/>
      <c r="AB141" s="169" t="str">
        <f t="shared" si="8"/>
        <v/>
      </c>
      <c r="AC141" s="169"/>
      <c r="AD141" s="169" t="str">
        <f t="shared" si="9"/>
        <v/>
      </c>
      <c r="AE141" s="169"/>
      <c r="AF141" s="169" t="str">
        <f t="shared" si="10"/>
        <v/>
      </c>
      <c r="AG141" s="169"/>
      <c r="AH141" s="169" t="str">
        <f t="shared" si="11"/>
        <v/>
      </c>
      <c r="AI141" s="169"/>
      <c r="AJ141" s="169" t="str">
        <f t="shared" si="12"/>
        <v/>
      </c>
    </row>
    <row r="142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 t="str">
        <f t="shared" si="2"/>
        <v/>
      </c>
      <c r="Q142" s="169"/>
      <c r="R142" s="169" t="str">
        <f t="shared" si="3"/>
        <v/>
      </c>
      <c r="S142" s="169"/>
      <c r="T142" s="169" t="str">
        <f t="shared" si="4"/>
        <v/>
      </c>
      <c r="U142" s="169"/>
      <c r="V142" s="169" t="str">
        <f t="shared" si="5"/>
        <v/>
      </c>
      <c r="W142" s="169"/>
      <c r="X142" s="169" t="str">
        <f t="shared" si="6"/>
        <v/>
      </c>
      <c r="Y142" s="169"/>
      <c r="Z142" s="169" t="str">
        <f t="shared" si="7"/>
        <v/>
      </c>
      <c r="AA142" s="169"/>
      <c r="AB142" s="169" t="str">
        <f t="shared" si="8"/>
        <v/>
      </c>
      <c r="AC142" s="169"/>
      <c r="AD142" s="169" t="str">
        <f t="shared" si="9"/>
        <v/>
      </c>
      <c r="AE142" s="169"/>
      <c r="AF142" s="169" t="str">
        <f t="shared" si="10"/>
        <v/>
      </c>
      <c r="AG142" s="169"/>
      <c r="AH142" s="169" t="str">
        <f t="shared" si="11"/>
        <v/>
      </c>
      <c r="AI142" s="169"/>
      <c r="AJ142" s="169" t="str">
        <f t="shared" si="12"/>
        <v/>
      </c>
    </row>
    <row r="143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 t="str">
        <f t="shared" si="2"/>
        <v/>
      </c>
      <c r="Q143" s="169"/>
      <c r="R143" s="169" t="str">
        <f t="shared" si="3"/>
        <v/>
      </c>
      <c r="S143" s="169"/>
      <c r="T143" s="169" t="str">
        <f t="shared" si="4"/>
        <v/>
      </c>
      <c r="U143" s="169"/>
      <c r="V143" s="169" t="str">
        <f t="shared" si="5"/>
        <v/>
      </c>
      <c r="W143" s="169"/>
      <c r="X143" s="169" t="str">
        <f t="shared" si="6"/>
        <v/>
      </c>
      <c r="Y143" s="169"/>
      <c r="Z143" s="169" t="str">
        <f t="shared" si="7"/>
        <v/>
      </c>
      <c r="AA143" s="169"/>
      <c r="AB143" s="169" t="str">
        <f t="shared" si="8"/>
        <v/>
      </c>
      <c r="AC143" s="169"/>
      <c r="AD143" s="169" t="str">
        <f t="shared" si="9"/>
        <v/>
      </c>
      <c r="AE143" s="169"/>
      <c r="AF143" s="169" t="str">
        <f t="shared" si="10"/>
        <v/>
      </c>
      <c r="AG143" s="169"/>
      <c r="AH143" s="169" t="str">
        <f t="shared" si="11"/>
        <v/>
      </c>
      <c r="AI143" s="169"/>
      <c r="AJ143" s="169" t="str">
        <f t="shared" si="12"/>
        <v/>
      </c>
    </row>
    <row r="144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 t="str">
        <f t="shared" si="2"/>
        <v/>
      </c>
      <c r="Q144" s="169"/>
      <c r="R144" s="169" t="str">
        <f t="shared" si="3"/>
        <v/>
      </c>
      <c r="S144" s="169"/>
      <c r="T144" s="169" t="str">
        <f t="shared" si="4"/>
        <v/>
      </c>
      <c r="U144" s="169"/>
      <c r="V144" s="169" t="str">
        <f t="shared" si="5"/>
        <v/>
      </c>
      <c r="W144" s="169"/>
      <c r="X144" s="169" t="str">
        <f t="shared" si="6"/>
        <v/>
      </c>
      <c r="Y144" s="169"/>
      <c r="Z144" s="169" t="str">
        <f t="shared" si="7"/>
        <v/>
      </c>
      <c r="AA144" s="169"/>
      <c r="AB144" s="169" t="str">
        <f t="shared" si="8"/>
        <v/>
      </c>
      <c r="AC144" s="169"/>
      <c r="AD144" s="169" t="str">
        <f t="shared" si="9"/>
        <v/>
      </c>
      <c r="AE144" s="169"/>
      <c r="AF144" s="169" t="str">
        <f t="shared" si="10"/>
        <v/>
      </c>
      <c r="AG144" s="169"/>
      <c r="AH144" s="169" t="str">
        <f t="shared" si="11"/>
        <v/>
      </c>
      <c r="AI144" s="169"/>
      <c r="AJ144" s="169" t="str">
        <f t="shared" si="12"/>
        <v/>
      </c>
    </row>
    <row r="14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 t="str">
        <f t="shared" si="2"/>
        <v/>
      </c>
      <c r="Q145" s="169"/>
      <c r="R145" s="169" t="str">
        <f t="shared" si="3"/>
        <v/>
      </c>
      <c r="S145" s="169"/>
      <c r="T145" s="169" t="str">
        <f t="shared" si="4"/>
        <v/>
      </c>
      <c r="U145" s="169"/>
      <c r="V145" s="169" t="str">
        <f t="shared" si="5"/>
        <v/>
      </c>
      <c r="W145" s="169"/>
      <c r="X145" s="169" t="str">
        <f t="shared" si="6"/>
        <v/>
      </c>
      <c r="Y145" s="169"/>
      <c r="Z145" s="169" t="str">
        <f t="shared" si="7"/>
        <v/>
      </c>
      <c r="AA145" s="169"/>
      <c r="AB145" s="169" t="str">
        <f t="shared" si="8"/>
        <v/>
      </c>
      <c r="AC145" s="169"/>
      <c r="AD145" s="169" t="str">
        <f t="shared" si="9"/>
        <v/>
      </c>
      <c r="AE145" s="169"/>
      <c r="AF145" s="169" t="str">
        <f t="shared" si="10"/>
        <v/>
      </c>
      <c r="AG145" s="169"/>
      <c r="AH145" s="169" t="str">
        <f t="shared" si="11"/>
        <v/>
      </c>
      <c r="AI145" s="169"/>
      <c r="AJ145" s="169" t="str">
        <f t="shared" si="12"/>
        <v/>
      </c>
    </row>
    <row r="146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 t="str">
        <f t="shared" si="2"/>
        <v/>
      </c>
      <c r="Q146" s="169"/>
      <c r="R146" s="169" t="str">
        <f t="shared" si="3"/>
        <v/>
      </c>
      <c r="S146" s="169"/>
      <c r="T146" s="169" t="str">
        <f t="shared" si="4"/>
        <v/>
      </c>
      <c r="U146" s="169"/>
      <c r="V146" s="169" t="str">
        <f t="shared" si="5"/>
        <v/>
      </c>
      <c r="W146" s="169"/>
      <c r="X146" s="169" t="str">
        <f t="shared" si="6"/>
        <v/>
      </c>
      <c r="Y146" s="169"/>
      <c r="Z146" s="169" t="str">
        <f t="shared" si="7"/>
        <v/>
      </c>
      <c r="AA146" s="169"/>
      <c r="AB146" s="169" t="str">
        <f t="shared" si="8"/>
        <v/>
      </c>
      <c r="AC146" s="169"/>
      <c r="AD146" s="169" t="str">
        <f t="shared" si="9"/>
        <v/>
      </c>
      <c r="AE146" s="169"/>
      <c r="AF146" s="169" t="str">
        <f t="shared" si="10"/>
        <v/>
      </c>
      <c r="AG146" s="169"/>
      <c r="AH146" s="169" t="str">
        <f t="shared" si="11"/>
        <v/>
      </c>
      <c r="AI146" s="169"/>
      <c r="AJ146" s="169" t="str">
        <f t="shared" si="12"/>
        <v/>
      </c>
    </row>
    <row r="147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 t="str">
        <f t="shared" si="2"/>
        <v/>
      </c>
      <c r="Q147" s="169"/>
      <c r="R147" s="169" t="str">
        <f t="shared" si="3"/>
        <v/>
      </c>
      <c r="S147" s="169"/>
      <c r="T147" s="169" t="str">
        <f t="shared" si="4"/>
        <v/>
      </c>
      <c r="U147" s="169"/>
      <c r="V147" s="169" t="str">
        <f t="shared" si="5"/>
        <v/>
      </c>
      <c r="W147" s="169"/>
      <c r="X147" s="169" t="str">
        <f t="shared" si="6"/>
        <v/>
      </c>
      <c r="Y147" s="169"/>
      <c r="Z147" s="169" t="str">
        <f t="shared" si="7"/>
        <v/>
      </c>
      <c r="AA147" s="169"/>
      <c r="AB147" s="169" t="str">
        <f t="shared" si="8"/>
        <v/>
      </c>
      <c r="AC147" s="169"/>
      <c r="AD147" s="169" t="str">
        <f t="shared" si="9"/>
        <v/>
      </c>
      <c r="AE147" s="169"/>
      <c r="AF147" s="169" t="str">
        <f t="shared" si="10"/>
        <v/>
      </c>
      <c r="AG147" s="169"/>
      <c r="AH147" s="169" t="str">
        <f t="shared" si="11"/>
        <v/>
      </c>
      <c r="AI147" s="169"/>
      <c r="AJ147" s="169" t="str">
        <f t="shared" si="12"/>
        <v/>
      </c>
    </row>
    <row r="148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 t="str">
        <f t="shared" si="2"/>
        <v/>
      </c>
      <c r="Q148" s="169"/>
      <c r="R148" s="169" t="str">
        <f t="shared" si="3"/>
        <v/>
      </c>
      <c r="S148" s="169"/>
      <c r="T148" s="169" t="str">
        <f t="shared" si="4"/>
        <v/>
      </c>
      <c r="U148" s="169"/>
      <c r="V148" s="169" t="str">
        <f t="shared" si="5"/>
        <v/>
      </c>
      <c r="W148" s="169"/>
      <c r="X148" s="169" t="str">
        <f t="shared" si="6"/>
        <v/>
      </c>
      <c r="Y148" s="169"/>
      <c r="Z148" s="169" t="str">
        <f t="shared" si="7"/>
        <v/>
      </c>
      <c r="AA148" s="169"/>
      <c r="AB148" s="169" t="str">
        <f t="shared" si="8"/>
        <v/>
      </c>
      <c r="AC148" s="169"/>
      <c r="AD148" s="169" t="str">
        <f t="shared" si="9"/>
        <v/>
      </c>
      <c r="AE148" s="169"/>
      <c r="AF148" s="169" t="str">
        <f t="shared" si="10"/>
        <v/>
      </c>
      <c r="AG148" s="169"/>
      <c r="AH148" s="169" t="str">
        <f t="shared" si="11"/>
        <v/>
      </c>
      <c r="AI148" s="169"/>
      <c r="AJ148" s="169" t="str">
        <f t="shared" si="12"/>
        <v/>
      </c>
    </row>
    <row r="149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 t="str">
        <f t="shared" si="2"/>
        <v/>
      </c>
      <c r="Q149" s="169"/>
      <c r="R149" s="169" t="str">
        <f t="shared" si="3"/>
        <v/>
      </c>
      <c r="S149" s="169"/>
      <c r="T149" s="169" t="str">
        <f t="shared" si="4"/>
        <v/>
      </c>
      <c r="U149" s="169"/>
      <c r="V149" s="169" t="str">
        <f t="shared" si="5"/>
        <v/>
      </c>
      <c r="W149" s="169"/>
      <c r="X149" s="169" t="str">
        <f t="shared" si="6"/>
        <v/>
      </c>
      <c r="Y149" s="169"/>
      <c r="Z149" s="169" t="str">
        <f t="shared" si="7"/>
        <v/>
      </c>
      <c r="AA149" s="169"/>
      <c r="AB149" s="169" t="str">
        <f t="shared" si="8"/>
        <v/>
      </c>
      <c r="AC149" s="169"/>
      <c r="AD149" s="169" t="str">
        <f t="shared" si="9"/>
        <v/>
      </c>
      <c r="AE149" s="169"/>
      <c r="AF149" s="169" t="str">
        <f t="shared" si="10"/>
        <v/>
      </c>
      <c r="AG149" s="169"/>
      <c r="AH149" s="169" t="str">
        <f t="shared" si="11"/>
        <v/>
      </c>
      <c r="AI149" s="169"/>
      <c r="AJ149" s="169" t="str">
        <f t="shared" si="12"/>
        <v/>
      </c>
    </row>
    <row r="150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 t="str">
        <f t="shared" si="2"/>
        <v/>
      </c>
      <c r="Q150" s="169"/>
      <c r="R150" s="169" t="str">
        <f t="shared" si="3"/>
        <v/>
      </c>
      <c r="S150" s="169"/>
      <c r="T150" s="169" t="str">
        <f t="shared" si="4"/>
        <v/>
      </c>
      <c r="U150" s="169"/>
      <c r="V150" s="169" t="str">
        <f t="shared" si="5"/>
        <v/>
      </c>
      <c r="W150" s="169"/>
      <c r="X150" s="169" t="str">
        <f t="shared" si="6"/>
        <v/>
      </c>
      <c r="Y150" s="169"/>
      <c r="Z150" s="169" t="str">
        <f t="shared" si="7"/>
        <v/>
      </c>
      <c r="AA150" s="169"/>
      <c r="AB150" s="169" t="str">
        <f t="shared" si="8"/>
        <v/>
      </c>
      <c r="AC150" s="169"/>
      <c r="AD150" s="169" t="str">
        <f t="shared" si="9"/>
        <v/>
      </c>
      <c r="AE150" s="169"/>
      <c r="AF150" s="169" t="str">
        <f t="shared" si="10"/>
        <v/>
      </c>
      <c r="AG150" s="169"/>
      <c r="AH150" s="169" t="str">
        <f t="shared" si="11"/>
        <v/>
      </c>
      <c r="AI150" s="169"/>
      <c r="AJ150" s="169" t="str">
        <f t="shared" si="12"/>
        <v/>
      </c>
    </row>
    <row r="15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 t="str">
        <f t="shared" si="2"/>
        <v/>
      </c>
      <c r="Q151" s="169"/>
      <c r="R151" s="169" t="str">
        <f t="shared" si="3"/>
        <v/>
      </c>
      <c r="S151" s="169"/>
      <c r="T151" s="169" t="str">
        <f t="shared" si="4"/>
        <v/>
      </c>
      <c r="U151" s="169"/>
      <c r="V151" s="169" t="str">
        <f t="shared" si="5"/>
        <v/>
      </c>
      <c r="W151" s="169"/>
      <c r="X151" s="169" t="str">
        <f t="shared" si="6"/>
        <v/>
      </c>
      <c r="Y151" s="169"/>
      <c r="Z151" s="169" t="str">
        <f t="shared" si="7"/>
        <v/>
      </c>
      <c r="AA151" s="169"/>
      <c r="AB151" s="169" t="str">
        <f t="shared" si="8"/>
        <v/>
      </c>
      <c r="AC151" s="169"/>
      <c r="AD151" s="169" t="str">
        <f t="shared" si="9"/>
        <v/>
      </c>
      <c r="AE151" s="169"/>
      <c r="AF151" s="169" t="str">
        <f t="shared" si="10"/>
        <v/>
      </c>
      <c r="AG151" s="169"/>
      <c r="AH151" s="169" t="str">
        <f t="shared" si="11"/>
        <v/>
      </c>
      <c r="AI151" s="169"/>
      <c r="AJ151" s="169" t="str">
        <f t="shared" si="12"/>
        <v/>
      </c>
    </row>
    <row r="15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 t="str">
        <f t="shared" si="2"/>
        <v/>
      </c>
      <c r="Q152" s="169"/>
      <c r="R152" s="169" t="str">
        <f t="shared" si="3"/>
        <v/>
      </c>
      <c r="S152" s="169"/>
      <c r="T152" s="169" t="str">
        <f t="shared" si="4"/>
        <v/>
      </c>
      <c r="U152" s="169"/>
      <c r="V152" s="169" t="str">
        <f t="shared" si="5"/>
        <v/>
      </c>
      <c r="W152" s="169"/>
      <c r="X152" s="169" t="str">
        <f t="shared" si="6"/>
        <v/>
      </c>
      <c r="Y152" s="169"/>
      <c r="Z152" s="169" t="str">
        <f t="shared" si="7"/>
        <v/>
      </c>
      <c r="AA152" s="169"/>
      <c r="AB152" s="169" t="str">
        <f t="shared" si="8"/>
        <v/>
      </c>
      <c r="AC152" s="169"/>
      <c r="AD152" s="169" t="str">
        <f t="shared" si="9"/>
        <v/>
      </c>
      <c r="AE152" s="169"/>
      <c r="AF152" s="169" t="str">
        <f t="shared" si="10"/>
        <v/>
      </c>
      <c r="AG152" s="169"/>
      <c r="AH152" s="169" t="str">
        <f t="shared" si="11"/>
        <v/>
      </c>
      <c r="AI152" s="169"/>
      <c r="AJ152" s="169" t="str">
        <f t="shared" si="12"/>
        <v/>
      </c>
    </row>
    <row r="153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 t="str">
        <f t="shared" si="2"/>
        <v/>
      </c>
      <c r="Q153" s="169"/>
      <c r="R153" s="169" t="str">
        <f t="shared" si="3"/>
        <v/>
      </c>
      <c r="S153" s="169"/>
      <c r="T153" s="169" t="str">
        <f t="shared" si="4"/>
        <v/>
      </c>
      <c r="U153" s="169"/>
      <c r="V153" s="169" t="str">
        <f t="shared" si="5"/>
        <v/>
      </c>
      <c r="W153" s="169"/>
      <c r="X153" s="169" t="str">
        <f t="shared" si="6"/>
        <v/>
      </c>
      <c r="Y153" s="169"/>
      <c r="Z153" s="169" t="str">
        <f t="shared" si="7"/>
        <v/>
      </c>
      <c r="AA153" s="169"/>
      <c r="AB153" s="169" t="str">
        <f t="shared" si="8"/>
        <v/>
      </c>
      <c r="AC153" s="169"/>
      <c r="AD153" s="169" t="str">
        <f t="shared" si="9"/>
        <v/>
      </c>
      <c r="AE153" s="169"/>
      <c r="AF153" s="169" t="str">
        <f t="shared" si="10"/>
        <v/>
      </c>
      <c r="AG153" s="169"/>
      <c r="AH153" s="169" t="str">
        <f t="shared" si="11"/>
        <v/>
      </c>
      <c r="AI153" s="169"/>
      <c r="AJ153" s="169" t="str">
        <f t="shared" si="12"/>
        <v/>
      </c>
    </row>
    <row r="154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 t="str">
        <f t="shared" si="2"/>
        <v/>
      </c>
      <c r="Q154" s="169"/>
      <c r="R154" s="169" t="str">
        <f t="shared" si="3"/>
        <v/>
      </c>
      <c r="S154" s="169"/>
      <c r="T154" s="169" t="str">
        <f t="shared" si="4"/>
        <v/>
      </c>
      <c r="U154" s="169"/>
      <c r="V154" s="169" t="str">
        <f t="shared" si="5"/>
        <v/>
      </c>
      <c r="W154" s="169"/>
      <c r="X154" s="169" t="str">
        <f t="shared" si="6"/>
        <v/>
      </c>
      <c r="Y154" s="169"/>
      <c r="Z154" s="169" t="str">
        <f t="shared" si="7"/>
        <v/>
      </c>
      <c r="AA154" s="169"/>
      <c r="AB154" s="169" t="str">
        <f t="shared" si="8"/>
        <v/>
      </c>
      <c r="AC154" s="169"/>
      <c r="AD154" s="169" t="str">
        <f t="shared" si="9"/>
        <v/>
      </c>
      <c r="AE154" s="169"/>
      <c r="AF154" s="169" t="str">
        <f t="shared" si="10"/>
        <v/>
      </c>
      <c r="AG154" s="169"/>
      <c r="AH154" s="169" t="str">
        <f t="shared" si="11"/>
        <v/>
      </c>
      <c r="AI154" s="169"/>
      <c r="AJ154" s="169" t="str">
        <f t="shared" si="12"/>
        <v/>
      </c>
    </row>
    <row r="15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 t="str">
        <f t="shared" si="2"/>
        <v/>
      </c>
      <c r="Q155" s="169"/>
      <c r="R155" s="169" t="str">
        <f t="shared" si="3"/>
        <v/>
      </c>
      <c r="S155" s="169"/>
      <c r="T155" s="169" t="str">
        <f t="shared" si="4"/>
        <v/>
      </c>
      <c r="U155" s="169"/>
      <c r="V155" s="169" t="str">
        <f t="shared" si="5"/>
        <v/>
      </c>
      <c r="W155" s="169"/>
      <c r="X155" s="169" t="str">
        <f t="shared" si="6"/>
        <v/>
      </c>
      <c r="Y155" s="169"/>
      <c r="Z155" s="169" t="str">
        <f t="shared" si="7"/>
        <v/>
      </c>
      <c r="AA155" s="169"/>
      <c r="AB155" s="169" t="str">
        <f t="shared" si="8"/>
        <v/>
      </c>
      <c r="AC155" s="169"/>
      <c r="AD155" s="169" t="str">
        <f t="shared" si="9"/>
        <v/>
      </c>
      <c r="AE155" s="169"/>
      <c r="AF155" s="169" t="str">
        <f t="shared" si="10"/>
        <v/>
      </c>
      <c r="AG155" s="169"/>
      <c r="AH155" s="169" t="str">
        <f t="shared" si="11"/>
        <v/>
      </c>
      <c r="AI155" s="169"/>
      <c r="AJ155" s="169" t="str">
        <f t="shared" si="12"/>
        <v/>
      </c>
    </row>
    <row r="156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 t="str">
        <f t="shared" si="2"/>
        <v/>
      </c>
      <c r="Q156" s="169"/>
      <c r="R156" s="169" t="str">
        <f t="shared" si="3"/>
        <v/>
      </c>
      <c r="S156" s="169"/>
      <c r="T156" s="169" t="str">
        <f t="shared" si="4"/>
        <v/>
      </c>
      <c r="U156" s="169"/>
      <c r="V156" s="169" t="str">
        <f t="shared" si="5"/>
        <v/>
      </c>
      <c r="W156" s="169"/>
      <c r="X156" s="169" t="str">
        <f t="shared" si="6"/>
        <v/>
      </c>
      <c r="Y156" s="169"/>
      <c r="Z156" s="169" t="str">
        <f t="shared" si="7"/>
        <v/>
      </c>
      <c r="AA156" s="169"/>
      <c r="AB156" s="169" t="str">
        <f t="shared" si="8"/>
        <v/>
      </c>
      <c r="AC156" s="169"/>
      <c r="AD156" s="169" t="str">
        <f t="shared" si="9"/>
        <v/>
      </c>
      <c r="AE156" s="169"/>
      <c r="AF156" s="169" t="str">
        <f t="shared" si="10"/>
        <v/>
      </c>
      <c r="AG156" s="169"/>
      <c r="AH156" s="169" t="str">
        <f t="shared" si="11"/>
        <v/>
      </c>
      <c r="AI156" s="169"/>
      <c r="AJ156" s="169" t="str">
        <f t="shared" si="12"/>
        <v/>
      </c>
    </row>
    <row r="157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 t="str">
        <f t="shared" si="2"/>
        <v/>
      </c>
      <c r="Q157" s="169"/>
      <c r="R157" s="169" t="str">
        <f t="shared" si="3"/>
        <v/>
      </c>
      <c r="S157" s="169"/>
      <c r="T157" s="169" t="str">
        <f t="shared" si="4"/>
        <v/>
      </c>
      <c r="U157" s="169"/>
      <c r="V157" s="169" t="str">
        <f t="shared" si="5"/>
        <v/>
      </c>
      <c r="W157" s="169"/>
      <c r="X157" s="169" t="str">
        <f t="shared" si="6"/>
        <v/>
      </c>
      <c r="Y157" s="169"/>
      <c r="Z157" s="169" t="str">
        <f t="shared" si="7"/>
        <v/>
      </c>
      <c r="AA157" s="169"/>
      <c r="AB157" s="169" t="str">
        <f t="shared" si="8"/>
        <v/>
      </c>
      <c r="AC157" s="169"/>
      <c r="AD157" s="169" t="str">
        <f t="shared" si="9"/>
        <v/>
      </c>
      <c r="AE157" s="169"/>
      <c r="AF157" s="169" t="str">
        <f t="shared" si="10"/>
        <v/>
      </c>
      <c r="AG157" s="169"/>
      <c r="AH157" s="169" t="str">
        <f t="shared" si="11"/>
        <v/>
      </c>
      <c r="AI157" s="169"/>
      <c r="AJ157" s="169" t="str">
        <f t="shared" si="12"/>
        <v/>
      </c>
    </row>
    <row r="158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 t="str">
        <f t="shared" si="2"/>
        <v/>
      </c>
      <c r="Q158" s="169"/>
      <c r="R158" s="169" t="str">
        <f t="shared" si="3"/>
        <v/>
      </c>
      <c r="S158" s="169"/>
      <c r="T158" s="169" t="str">
        <f t="shared" si="4"/>
        <v/>
      </c>
      <c r="U158" s="169"/>
      <c r="V158" s="169" t="str">
        <f t="shared" si="5"/>
        <v/>
      </c>
      <c r="W158" s="169"/>
      <c r="X158" s="169" t="str">
        <f t="shared" si="6"/>
        <v/>
      </c>
      <c r="Y158" s="169"/>
      <c r="Z158" s="169" t="str">
        <f t="shared" si="7"/>
        <v/>
      </c>
      <c r="AA158" s="169"/>
      <c r="AB158" s="169" t="str">
        <f t="shared" si="8"/>
        <v/>
      </c>
      <c r="AC158" s="169"/>
      <c r="AD158" s="169" t="str">
        <f t="shared" si="9"/>
        <v/>
      </c>
      <c r="AE158" s="169"/>
      <c r="AF158" s="169" t="str">
        <f t="shared" si="10"/>
        <v/>
      </c>
      <c r="AG158" s="169"/>
      <c r="AH158" s="169" t="str">
        <f t="shared" si="11"/>
        <v/>
      </c>
      <c r="AI158" s="169"/>
      <c r="AJ158" s="169" t="str">
        <f t="shared" si="12"/>
        <v/>
      </c>
    </row>
    <row r="159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 t="str">
        <f t="shared" si="2"/>
        <v/>
      </c>
      <c r="Q159" s="169"/>
      <c r="R159" s="169" t="str">
        <f t="shared" si="3"/>
        <v/>
      </c>
      <c r="S159" s="169"/>
      <c r="T159" s="169" t="str">
        <f t="shared" si="4"/>
        <v/>
      </c>
      <c r="U159" s="169"/>
      <c r="V159" s="169" t="str">
        <f t="shared" si="5"/>
        <v/>
      </c>
      <c r="W159" s="169"/>
      <c r="X159" s="169" t="str">
        <f t="shared" si="6"/>
        <v/>
      </c>
      <c r="Y159" s="169"/>
      <c r="Z159" s="169" t="str">
        <f t="shared" si="7"/>
        <v/>
      </c>
      <c r="AA159" s="169"/>
      <c r="AB159" s="169" t="str">
        <f t="shared" si="8"/>
        <v/>
      </c>
      <c r="AC159" s="169"/>
      <c r="AD159" s="169" t="str">
        <f t="shared" si="9"/>
        <v/>
      </c>
      <c r="AE159" s="169"/>
      <c r="AF159" s="169" t="str">
        <f t="shared" si="10"/>
        <v/>
      </c>
      <c r="AG159" s="169"/>
      <c r="AH159" s="169" t="str">
        <f t="shared" si="11"/>
        <v/>
      </c>
      <c r="AI159" s="169"/>
      <c r="AJ159" s="169" t="str">
        <f t="shared" si="12"/>
        <v/>
      </c>
    </row>
    <row r="160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 t="str">
        <f t="shared" si="2"/>
        <v/>
      </c>
      <c r="Q160" s="169"/>
      <c r="R160" s="169" t="str">
        <f t="shared" si="3"/>
        <v/>
      </c>
      <c r="S160" s="169"/>
      <c r="T160" s="169" t="str">
        <f t="shared" si="4"/>
        <v/>
      </c>
      <c r="U160" s="169"/>
      <c r="V160" s="169" t="str">
        <f t="shared" si="5"/>
        <v/>
      </c>
      <c r="W160" s="169"/>
      <c r="X160" s="169" t="str">
        <f t="shared" si="6"/>
        <v/>
      </c>
      <c r="Y160" s="169"/>
      <c r="Z160" s="169" t="str">
        <f t="shared" si="7"/>
        <v/>
      </c>
      <c r="AA160" s="169"/>
      <c r="AB160" s="169" t="str">
        <f t="shared" si="8"/>
        <v/>
      </c>
      <c r="AC160" s="169"/>
      <c r="AD160" s="169" t="str">
        <f t="shared" si="9"/>
        <v/>
      </c>
      <c r="AE160" s="169"/>
      <c r="AF160" s="169" t="str">
        <f t="shared" si="10"/>
        <v/>
      </c>
      <c r="AG160" s="169"/>
      <c r="AH160" s="169" t="str">
        <f t="shared" si="11"/>
        <v/>
      </c>
      <c r="AI160" s="169"/>
      <c r="AJ160" s="169" t="str">
        <f t="shared" si="12"/>
        <v/>
      </c>
    </row>
    <row r="16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 t="str">
        <f t="shared" si="2"/>
        <v/>
      </c>
      <c r="Q161" s="169"/>
      <c r="R161" s="169" t="str">
        <f t="shared" si="3"/>
        <v/>
      </c>
      <c r="S161" s="169"/>
      <c r="T161" s="169" t="str">
        <f t="shared" si="4"/>
        <v/>
      </c>
      <c r="U161" s="169"/>
      <c r="V161" s="169" t="str">
        <f t="shared" si="5"/>
        <v/>
      </c>
      <c r="W161" s="169"/>
      <c r="X161" s="169" t="str">
        <f t="shared" si="6"/>
        <v/>
      </c>
      <c r="Y161" s="169"/>
      <c r="Z161" s="169" t="str">
        <f t="shared" si="7"/>
        <v/>
      </c>
      <c r="AA161" s="169"/>
      <c r="AB161" s="169" t="str">
        <f t="shared" si="8"/>
        <v/>
      </c>
      <c r="AC161" s="169"/>
      <c r="AD161" s="169" t="str">
        <f t="shared" si="9"/>
        <v/>
      </c>
      <c r="AE161" s="169"/>
      <c r="AF161" s="169" t="str">
        <f t="shared" si="10"/>
        <v/>
      </c>
      <c r="AG161" s="169"/>
      <c r="AH161" s="169" t="str">
        <f t="shared" si="11"/>
        <v/>
      </c>
      <c r="AI161" s="169"/>
      <c r="AJ161" s="169" t="str">
        <f t="shared" si="12"/>
        <v/>
      </c>
    </row>
    <row r="162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 t="str">
        <f t="shared" si="2"/>
        <v/>
      </c>
      <c r="Q162" s="169"/>
      <c r="R162" s="169" t="str">
        <f t="shared" si="3"/>
        <v/>
      </c>
      <c r="S162" s="169"/>
      <c r="T162" s="169" t="str">
        <f t="shared" si="4"/>
        <v/>
      </c>
      <c r="U162" s="169"/>
      <c r="V162" s="169" t="str">
        <f t="shared" si="5"/>
        <v/>
      </c>
      <c r="W162" s="169"/>
      <c r="X162" s="169" t="str">
        <f t="shared" si="6"/>
        <v/>
      </c>
      <c r="Y162" s="169"/>
      <c r="Z162" s="169" t="str">
        <f t="shared" si="7"/>
        <v/>
      </c>
      <c r="AA162" s="169"/>
      <c r="AB162" s="169" t="str">
        <f t="shared" si="8"/>
        <v/>
      </c>
      <c r="AC162" s="169"/>
      <c r="AD162" s="169" t="str">
        <f t="shared" si="9"/>
        <v/>
      </c>
      <c r="AE162" s="169"/>
      <c r="AF162" s="169" t="str">
        <f t="shared" si="10"/>
        <v/>
      </c>
      <c r="AG162" s="169"/>
      <c r="AH162" s="169" t="str">
        <f t="shared" si="11"/>
        <v/>
      </c>
      <c r="AI162" s="169"/>
      <c r="AJ162" s="169" t="str">
        <f t="shared" si="12"/>
        <v/>
      </c>
    </row>
    <row r="163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 t="str">
        <f t="shared" si="2"/>
        <v/>
      </c>
      <c r="Q163" s="169"/>
      <c r="R163" s="169" t="str">
        <f t="shared" si="3"/>
        <v/>
      </c>
      <c r="S163" s="169"/>
      <c r="T163" s="169" t="str">
        <f t="shared" si="4"/>
        <v/>
      </c>
      <c r="U163" s="169"/>
      <c r="V163" s="169" t="str">
        <f t="shared" si="5"/>
        <v/>
      </c>
      <c r="W163" s="169"/>
      <c r="X163" s="169" t="str">
        <f t="shared" si="6"/>
        <v/>
      </c>
      <c r="Y163" s="169"/>
      <c r="Z163" s="169" t="str">
        <f t="shared" si="7"/>
        <v/>
      </c>
      <c r="AA163" s="169"/>
      <c r="AB163" s="169" t="str">
        <f t="shared" si="8"/>
        <v/>
      </c>
      <c r="AC163" s="169"/>
      <c r="AD163" s="169" t="str">
        <f t="shared" si="9"/>
        <v/>
      </c>
      <c r="AE163" s="169"/>
      <c r="AF163" s="169" t="str">
        <f t="shared" si="10"/>
        <v/>
      </c>
      <c r="AG163" s="169"/>
      <c r="AH163" s="169" t="str">
        <f t="shared" si="11"/>
        <v/>
      </c>
      <c r="AI163" s="169"/>
      <c r="AJ163" s="169" t="str">
        <f t="shared" si="12"/>
        <v/>
      </c>
    </row>
    <row r="164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 t="str">
        <f t="shared" si="2"/>
        <v/>
      </c>
      <c r="Q164" s="169"/>
      <c r="R164" s="169" t="str">
        <f t="shared" si="3"/>
        <v/>
      </c>
      <c r="S164" s="169"/>
      <c r="T164" s="169" t="str">
        <f t="shared" si="4"/>
        <v/>
      </c>
      <c r="U164" s="169"/>
      <c r="V164" s="169" t="str">
        <f t="shared" si="5"/>
        <v/>
      </c>
      <c r="W164" s="169"/>
      <c r="X164" s="169" t="str">
        <f t="shared" si="6"/>
        <v/>
      </c>
      <c r="Y164" s="169"/>
      <c r="Z164" s="169" t="str">
        <f t="shared" si="7"/>
        <v/>
      </c>
      <c r="AA164" s="169"/>
      <c r="AB164" s="169" t="str">
        <f t="shared" si="8"/>
        <v/>
      </c>
      <c r="AC164" s="169"/>
      <c r="AD164" s="169" t="str">
        <f t="shared" si="9"/>
        <v/>
      </c>
      <c r="AE164" s="169"/>
      <c r="AF164" s="169" t="str">
        <f t="shared" si="10"/>
        <v/>
      </c>
      <c r="AG164" s="169"/>
      <c r="AH164" s="169" t="str">
        <f t="shared" si="11"/>
        <v/>
      </c>
      <c r="AI164" s="169"/>
      <c r="AJ164" s="169" t="str">
        <f t="shared" si="12"/>
        <v/>
      </c>
    </row>
    <row r="16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 t="str">
        <f t="shared" si="2"/>
        <v/>
      </c>
      <c r="Q165" s="169"/>
      <c r="R165" s="169" t="str">
        <f t="shared" si="3"/>
        <v/>
      </c>
      <c r="S165" s="169"/>
      <c r="T165" s="169" t="str">
        <f t="shared" si="4"/>
        <v/>
      </c>
      <c r="U165" s="169"/>
      <c r="V165" s="169" t="str">
        <f t="shared" si="5"/>
        <v/>
      </c>
      <c r="W165" s="169"/>
      <c r="X165" s="169" t="str">
        <f t="shared" si="6"/>
        <v/>
      </c>
      <c r="Y165" s="169"/>
      <c r="Z165" s="169" t="str">
        <f t="shared" si="7"/>
        <v/>
      </c>
      <c r="AA165" s="169"/>
      <c r="AB165" s="169" t="str">
        <f t="shared" si="8"/>
        <v/>
      </c>
      <c r="AC165" s="169"/>
      <c r="AD165" s="169" t="str">
        <f t="shared" si="9"/>
        <v/>
      </c>
      <c r="AE165" s="169"/>
      <c r="AF165" s="169" t="str">
        <f t="shared" si="10"/>
        <v/>
      </c>
      <c r="AG165" s="169"/>
      <c r="AH165" s="169" t="str">
        <f t="shared" si="11"/>
        <v/>
      </c>
      <c r="AI165" s="169"/>
      <c r="AJ165" s="169" t="str">
        <f t="shared" si="12"/>
        <v/>
      </c>
    </row>
    <row r="166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 t="str">
        <f t="shared" si="2"/>
        <v/>
      </c>
      <c r="Q166" s="169"/>
      <c r="R166" s="169" t="str">
        <f t="shared" si="3"/>
        <v/>
      </c>
      <c r="S166" s="169"/>
      <c r="T166" s="169" t="str">
        <f t="shared" si="4"/>
        <v/>
      </c>
      <c r="U166" s="169"/>
      <c r="V166" s="169" t="str">
        <f t="shared" si="5"/>
        <v/>
      </c>
      <c r="W166" s="169"/>
      <c r="X166" s="169" t="str">
        <f t="shared" si="6"/>
        <v/>
      </c>
      <c r="Y166" s="169"/>
      <c r="Z166" s="169" t="str">
        <f t="shared" si="7"/>
        <v/>
      </c>
      <c r="AA166" s="169"/>
      <c r="AB166" s="169" t="str">
        <f t="shared" si="8"/>
        <v/>
      </c>
      <c r="AC166" s="169"/>
      <c r="AD166" s="169" t="str">
        <f t="shared" si="9"/>
        <v/>
      </c>
      <c r="AE166" s="169"/>
      <c r="AF166" s="169" t="str">
        <f t="shared" si="10"/>
        <v/>
      </c>
      <c r="AG166" s="169"/>
      <c r="AH166" s="169" t="str">
        <f t="shared" si="11"/>
        <v/>
      </c>
      <c r="AI166" s="169"/>
      <c r="AJ166" s="169" t="str">
        <f t="shared" si="12"/>
        <v/>
      </c>
    </row>
    <row r="167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 t="str">
        <f t="shared" si="2"/>
        <v/>
      </c>
      <c r="Q167" s="169"/>
      <c r="R167" s="169" t="str">
        <f t="shared" si="3"/>
        <v/>
      </c>
      <c r="S167" s="169"/>
      <c r="T167" s="169" t="str">
        <f t="shared" si="4"/>
        <v/>
      </c>
      <c r="U167" s="169"/>
      <c r="V167" s="169" t="str">
        <f t="shared" si="5"/>
        <v/>
      </c>
      <c r="W167" s="169"/>
      <c r="X167" s="169" t="str">
        <f t="shared" si="6"/>
        <v/>
      </c>
      <c r="Y167" s="169"/>
      <c r="Z167" s="169" t="str">
        <f t="shared" si="7"/>
        <v/>
      </c>
      <c r="AA167" s="169"/>
      <c r="AB167" s="169" t="str">
        <f t="shared" si="8"/>
        <v/>
      </c>
      <c r="AC167" s="169"/>
      <c r="AD167" s="169" t="str">
        <f t="shared" si="9"/>
        <v/>
      </c>
      <c r="AE167" s="169"/>
      <c r="AF167" s="169" t="str">
        <f t="shared" si="10"/>
        <v/>
      </c>
      <c r="AG167" s="169"/>
      <c r="AH167" s="169" t="str">
        <f t="shared" si="11"/>
        <v/>
      </c>
      <c r="AI167" s="169"/>
      <c r="AJ167" s="169" t="str">
        <f t="shared" si="12"/>
        <v/>
      </c>
    </row>
    <row r="168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 t="str">
        <f t="shared" si="2"/>
        <v/>
      </c>
      <c r="Q168" s="169"/>
      <c r="R168" s="169" t="str">
        <f t="shared" si="3"/>
        <v/>
      </c>
      <c r="S168" s="169"/>
      <c r="T168" s="169" t="str">
        <f t="shared" si="4"/>
        <v/>
      </c>
      <c r="U168" s="169"/>
      <c r="V168" s="169" t="str">
        <f t="shared" si="5"/>
        <v/>
      </c>
      <c r="W168" s="169"/>
      <c r="X168" s="169" t="str">
        <f t="shared" si="6"/>
        <v/>
      </c>
      <c r="Y168" s="169"/>
      <c r="Z168" s="169" t="str">
        <f t="shared" si="7"/>
        <v/>
      </c>
      <c r="AA168" s="169"/>
      <c r="AB168" s="169" t="str">
        <f t="shared" si="8"/>
        <v/>
      </c>
      <c r="AC168" s="169"/>
      <c r="AD168" s="169" t="str">
        <f t="shared" si="9"/>
        <v/>
      </c>
      <c r="AE168" s="169"/>
      <c r="AF168" s="169" t="str">
        <f t="shared" si="10"/>
        <v/>
      </c>
      <c r="AG168" s="169"/>
      <c r="AH168" s="169" t="str">
        <f t="shared" si="11"/>
        <v/>
      </c>
      <c r="AI168" s="169"/>
      <c r="AJ168" s="169" t="str">
        <f t="shared" si="12"/>
        <v/>
      </c>
    </row>
    <row r="169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 t="str">
        <f t="shared" si="2"/>
        <v/>
      </c>
      <c r="Q169" s="169"/>
      <c r="R169" s="169" t="str">
        <f t="shared" si="3"/>
        <v/>
      </c>
      <c r="S169" s="169"/>
      <c r="T169" s="169" t="str">
        <f t="shared" si="4"/>
        <v/>
      </c>
      <c r="U169" s="169"/>
      <c r="V169" s="169" t="str">
        <f t="shared" si="5"/>
        <v/>
      </c>
      <c r="W169" s="169"/>
      <c r="X169" s="169" t="str">
        <f t="shared" si="6"/>
        <v/>
      </c>
      <c r="Y169" s="169"/>
      <c r="Z169" s="169" t="str">
        <f t="shared" si="7"/>
        <v/>
      </c>
      <c r="AA169" s="169"/>
      <c r="AB169" s="169" t="str">
        <f t="shared" si="8"/>
        <v/>
      </c>
      <c r="AC169" s="169"/>
      <c r="AD169" s="169" t="str">
        <f t="shared" si="9"/>
        <v/>
      </c>
      <c r="AE169" s="169"/>
      <c r="AF169" s="169" t="str">
        <f t="shared" si="10"/>
        <v/>
      </c>
      <c r="AG169" s="169"/>
      <c r="AH169" s="169" t="str">
        <f t="shared" si="11"/>
        <v/>
      </c>
      <c r="AI169" s="169"/>
      <c r="AJ169" s="169" t="str">
        <f t="shared" si="12"/>
        <v/>
      </c>
    </row>
    <row r="170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 t="str">
        <f t="shared" si="2"/>
        <v/>
      </c>
      <c r="Q170" s="169"/>
      <c r="R170" s="169" t="str">
        <f t="shared" si="3"/>
        <v/>
      </c>
      <c r="S170" s="169"/>
      <c r="T170" s="169" t="str">
        <f t="shared" si="4"/>
        <v/>
      </c>
      <c r="U170" s="169"/>
      <c r="V170" s="169" t="str">
        <f t="shared" si="5"/>
        <v/>
      </c>
      <c r="W170" s="169"/>
      <c r="X170" s="169" t="str">
        <f t="shared" si="6"/>
        <v/>
      </c>
      <c r="Y170" s="169"/>
      <c r="Z170" s="169" t="str">
        <f t="shared" si="7"/>
        <v/>
      </c>
      <c r="AA170" s="169"/>
      <c r="AB170" s="169" t="str">
        <f t="shared" si="8"/>
        <v/>
      </c>
      <c r="AC170" s="169"/>
      <c r="AD170" s="169" t="str">
        <f t="shared" si="9"/>
        <v/>
      </c>
      <c r="AE170" s="169"/>
      <c r="AF170" s="169" t="str">
        <f t="shared" si="10"/>
        <v/>
      </c>
      <c r="AG170" s="169"/>
      <c r="AH170" s="169" t="str">
        <f t="shared" si="11"/>
        <v/>
      </c>
      <c r="AI170" s="169"/>
      <c r="AJ170" s="169" t="str">
        <f t="shared" si="12"/>
        <v/>
      </c>
    </row>
    <row r="17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 t="str">
        <f t="shared" si="2"/>
        <v/>
      </c>
      <c r="Q171" s="169"/>
      <c r="R171" s="169" t="str">
        <f t="shared" si="3"/>
        <v/>
      </c>
      <c r="S171" s="169"/>
      <c r="T171" s="169" t="str">
        <f t="shared" si="4"/>
        <v/>
      </c>
      <c r="U171" s="169"/>
      <c r="V171" s="169" t="str">
        <f t="shared" si="5"/>
        <v/>
      </c>
      <c r="W171" s="169"/>
      <c r="X171" s="169" t="str">
        <f t="shared" si="6"/>
        <v/>
      </c>
      <c r="Y171" s="169"/>
      <c r="Z171" s="169" t="str">
        <f t="shared" si="7"/>
        <v/>
      </c>
      <c r="AA171" s="169"/>
      <c r="AB171" s="169" t="str">
        <f t="shared" si="8"/>
        <v/>
      </c>
      <c r="AC171" s="169"/>
      <c r="AD171" s="169" t="str">
        <f t="shared" si="9"/>
        <v/>
      </c>
      <c r="AE171" s="169"/>
      <c r="AF171" s="169" t="str">
        <f t="shared" si="10"/>
        <v/>
      </c>
      <c r="AG171" s="169"/>
      <c r="AH171" s="169" t="str">
        <f t="shared" si="11"/>
        <v/>
      </c>
      <c r="AI171" s="169"/>
      <c r="AJ171" s="169" t="str">
        <f t="shared" si="12"/>
        <v/>
      </c>
    </row>
    <row r="172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 t="str">
        <f t="shared" si="2"/>
        <v/>
      </c>
      <c r="Q172" s="169"/>
      <c r="R172" s="169" t="str">
        <f t="shared" si="3"/>
        <v/>
      </c>
      <c r="S172" s="169"/>
      <c r="T172" s="169" t="str">
        <f t="shared" si="4"/>
        <v/>
      </c>
      <c r="U172" s="169"/>
      <c r="V172" s="169" t="str">
        <f t="shared" si="5"/>
        <v/>
      </c>
      <c r="W172" s="169"/>
      <c r="X172" s="169" t="str">
        <f t="shared" si="6"/>
        <v/>
      </c>
      <c r="Y172" s="169"/>
      <c r="Z172" s="169" t="str">
        <f t="shared" si="7"/>
        <v/>
      </c>
      <c r="AA172" s="169"/>
      <c r="AB172" s="169" t="str">
        <f t="shared" si="8"/>
        <v/>
      </c>
      <c r="AC172" s="169"/>
      <c r="AD172" s="169" t="str">
        <f t="shared" si="9"/>
        <v/>
      </c>
      <c r="AE172" s="169"/>
      <c r="AF172" s="169" t="str">
        <f t="shared" si="10"/>
        <v/>
      </c>
      <c r="AG172" s="169"/>
      <c r="AH172" s="169" t="str">
        <f t="shared" si="11"/>
        <v/>
      </c>
      <c r="AI172" s="169"/>
      <c r="AJ172" s="169" t="str">
        <f t="shared" si="12"/>
        <v/>
      </c>
    </row>
    <row r="173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 t="str">
        <f t="shared" si="2"/>
        <v/>
      </c>
      <c r="Q173" s="169"/>
      <c r="R173" s="169" t="str">
        <f t="shared" si="3"/>
        <v/>
      </c>
      <c r="S173" s="169"/>
      <c r="T173" s="169" t="str">
        <f t="shared" si="4"/>
        <v/>
      </c>
      <c r="U173" s="169"/>
      <c r="V173" s="169" t="str">
        <f t="shared" si="5"/>
        <v/>
      </c>
      <c r="W173" s="169"/>
      <c r="X173" s="169" t="str">
        <f t="shared" si="6"/>
        <v/>
      </c>
      <c r="Y173" s="169"/>
      <c r="Z173" s="169" t="str">
        <f t="shared" si="7"/>
        <v/>
      </c>
      <c r="AA173" s="169"/>
      <c r="AB173" s="169" t="str">
        <f t="shared" si="8"/>
        <v/>
      </c>
      <c r="AC173" s="169"/>
      <c r="AD173" s="169" t="str">
        <f t="shared" si="9"/>
        <v/>
      </c>
      <c r="AE173" s="169"/>
      <c r="AF173" s="169" t="str">
        <f t="shared" si="10"/>
        <v/>
      </c>
      <c r="AG173" s="169"/>
      <c r="AH173" s="169" t="str">
        <f t="shared" si="11"/>
        <v/>
      </c>
      <c r="AI173" s="169"/>
      <c r="AJ173" s="169" t="str">
        <f t="shared" si="12"/>
        <v/>
      </c>
    </row>
    <row r="174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 t="str">
        <f t="shared" si="2"/>
        <v/>
      </c>
      <c r="Q174" s="169"/>
      <c r="R174" s="169" t="str">
        <f t="shared" si="3"/>
        <v/>
      </c>
      <c r="S174" s="169"/>
      <c r="T174" s="169" t="str">
        <f t="shared" si="4"/>
        <v/>
      </c>
      <c r="U174" s="169"/>
      <c r="V174" s="169" t="str">
        <f t="shared" si="5"/>
        <v/>
      </c>
      <c r="W174" s="169"/>
      <c r="X174" s="169" t="str">
        <f t="shared" si="6"/>
        <v/>
      </c>
      <c r="Y174" s="169"/>
      <c r="Z174" s="169" t="str">
        <f t="shared" si="7"/>
        <v/>
      </c>
      <c r="AA174" s="169"/>
      <c r="AB174" s="169" t="str">
        <f t="shared" si="8"/>
        <v/>
      </c>
      <c r="AC174" s="169"/>
      <c r="AD174" s="169" t="str">
        <f t="shared" si="9"/>
        <v/>
      </c>
      <c r="AE174" s="169"/>
      <c r="AF174" s="169" t="str">
        <f t="shared" si="10"/>
        <v/>
      </c>
      <c r="AG174" s="169"/>
      <c r="AH174" s="169" t="str">
        <f t="shared" si="11"/>
        <v/>
      </c>
      <c r="AI174" s="169"/>
      <c r="AJ174" s="169" t="str">
        <f t="shared" si="12"/>
        <v/>
      </c>
    </row>
    <row r="17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 t="str">
        <f t="shared" si="2"/>
        <v/>
      </c>
      <c r="Q175" s="169"/>
      <c r="R175" s="169" t="str">
        <f t="shared" si="3"/>
        <v/>
      </c>
      <c r="S175" s="169"/>
      <c r="T175" s="169" t="str">
        <f t="shared" si="4"/>
        <v/>
      </c>
      <c r="U175" s="169"/>
      <c r="V175" s="169" t="str">
        <f t="shared" si="5"/>
        <v/>
      </c>
      <c r="W175" s="169"/>
      <c r="X175" s="169" t="str">
        <f t="shared" si="6"/>
        <v/>
      </c>
      <c r="Y175" s="169"/>
      <c r="Z175" s="169" t="str">
        <f t="shared" si="7"/>
        <v/>
      </c>
      <c r="AA175" s="169"/>
      <c r="AB175" s="169" t="str">
        <f t="shared" si="8"/>
        <v/>
      </c>
      <c r="AC175" s="169"/>
      <c r="AD175" s="169" t="str">
        <f t="shared" si="9"/>
        <v/>
      </c>
      <c r="AE175" s="169"/>
      <c r="AF175" s="169" t="str">
        <f t="shared" si="10"/>
        <v/>
      </c>
      <c r="AG175" s="169"/>
      <c r="AH175" s="169" t="str">
        <f t="shared" si="11"/>
        <v/>
      </c>
      <c r="AI175" s="169"/>
      <c r="AJ175" s="169" t="str">
        <f t="shared" si="12"/>
        <v/>
      </c>
    </row>
    <row r="176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 t="str">
        <f t="shared" si="2"/>
        <v/>
      </c>
      <c r="Q176" s="169"/>
      <c r="R176" s="169" t="str">
        <f t="shared" si="3"/>
        <v/>
      </c>
      <c r="S176" s="169"/>
      <c r="T176" s="169" t="str">
        <f t="shared" si="4"/>
        <v/>
      </c>
      <c r="U176" s="169"/>
      <c r="V176" s="169" t="str">
        <f t="shared" si="5"/>
        <v/>
      </c>
      <c r="W176" s="169"/>
      <c r="X176" s="169" t="str">
        <f t="shared" si="6"/>
        <v/>
      </c>
      <c r="Y176" s="169"/>
      <c r="Z176" s="169" t="str">
        <f t="shared" si="7"/>
        <v/>
      </c>
      <c r="AA176" s="169"/>
      <c r="AB176" s="169" t="str">
        <f t="shared" si="8"/>
        <v/>
      </c>
      <c r="AC176" s="169"/>
      <c r="AD176" s="169" t="str">
        <f t="shared" si="9"/>
        <v/>
      </c>
      <c r="AE176" s="169"/>
      <c r="AF176" s="169" t="str">
        <f t="shared" si="10"/>
        <v/>
      </c>
      <c r="AG176" s="169"/>
      <c r="AH176" s="169" t="str">
        <f t="shared" si="11"/>
        <v/>
      </c>
      <c r="AI176" s="169"/>
      <c r="AJ176" s="169" t="str">
        <f t="shared" si="12"/>
        <v/>
      </c>
    </row>
    <row r="177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 t="str">
        <f t="shared" si="2"/>
        <v/>
      </c>
      <c r="Q177" s="169"/>
      <c r="R177" s="169" t="str">
        <f t="shared" si="3"/>
        <v/>
      </c>
      <c r="S177" s="169"/>
      <c r="T177" s="169" t="str">
        <f t="shared" si="4"/>
        <v/>
      </c>
      <c r="U177" s="169"/>
      <c r="V177" s="169" t="str">
        <f t="shared" si="5"/>
        <v/>
      </c>
      <c r="W177" s="169"/>
      <c r="X177" s="169" t="str">
        <f t="shared" si="6"/>
        <v/>
      </c>
      <c r="Y177" s="169"/>
      <c r="Z177" s="169" t="str">
        <f t="shared" si="7"/>
        <v/>
      </c>
      <c r="AA177" s="169"/>
      <c r="AB177" s="169" t="str">
        <f t="shared" si="8"/>
        <v/>
      </c>
      <c r="AC177" s="169"/>
      <c r="AD177" s="169" t="str">
        <f t="shared" si="9"/>
        <v/>
      </c>
      <c r="AE177" s="169"/>
      <c r="AF177" s="169" t="str">
        <f t="shared" si="10"/>
        <v/>
      </c>
      <c r="AG177" s="169"/>
      <c r="AH177" s="169" t="str">
        <f t="shared" si="11"/>
        <v/>
      </c>
      <c r="AI177" s="169"/>
      <c r="AJ177" s="169" t="str">
        <f t="shared" si="12"/>
        <v/>
      </c>
    </row>
    <row r="178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 t="str">
        <f t="shared" si="2"/>
        <v/>
      </c>
      <c r="Q178" s="169"/>
      <c r="R178" s="169" t="str">
        <f t="shared" si="3"/>
        <v/>
      </c>
      <c r="S178" s="169"/>
      <c r="T178" s="169" t="str">
        <f t="shared" si="4"/>
        <v/>
      </c>
      <c r="U178" s="169"/>
      <c r="V178" s="169" t="str">
        <f t="shared" si="5"/>
        <v/>
      </c>
      <c r="W178" s="169"/>
      <c r="X178" s="169" t="str">
        <f t="shared" si="6"/>
        <v/>
      </c>
      <c r="Y178" s="169"/>
      <c r="Z178" s="169" t="str">
        <f t="shared" si="7"/>
        <v/>
      </c>
      <c r="AA178" s="169"/>
      <c r="AB178" s="169" t="str">
        <f t="shared" si="8"/>
        <v/>
      </c>
      <c r="AC178" s="169"/>
      <c r="AD178" s="169" t="str">
        <f t="shared" si="9"/>
        <v/>
      </c>
      <c r="AE178" s="169"/>
      <c r="AF178" s="169" t="str">
        <f t="shared" si="10"/>
        <v/>
      </c>
      <c r="AG178" s="169"/>
      <c r="AH178" s="169" t="str">
        <f t="shared" si="11"/>
        <v/>
      </c>
      <c r="AI178" s="169"/>
      <c r="AJ178" s="169" t="str">
        <f t="shared" si="12"/>
        <v/>
      </c>
    </row>
    <row r="179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 t="str">
        <f t="shared" si="2"/>
        <v/>
      </c>
      <c r="Q179" s="169"/>
      <c r="R179" s="169" t="str">
        <f t="shared" si="3"/>
        <v/>
      </c>
      <c r="S179" s="169"/>
      <c r="T179" s="169" t="str">
        <f t="shared" si="4"/>
        <v/>
      </c>
      <c r="U179" s="169"/>
      <c r="V179" s="169" t="str">
        <f t="shared" si="5"/>
        <v/>
      </c>
      <c r="W179" s="169"/>
      <c r="X179" s="169" t="str">
        <f t="shared" si="6"/>
        <v/>
      </c>
      <c r="Y179" s="169"/>
      <c r="Z179" s="169" t="str">
        <f t="shared" si="7"/>
        <v/>
      </c>
      <c r="AA179" s="169"/>
      <c r="AB179" s="169" t="str">
        <f t="shared" si="8"/>
        <v/>
      </c>
      <c r="AC179" s="169"/>
      <c r="AD179" s="169" t="str">
        <f t="shared" si="9"/>
        <v/>
      </c>
      <c r="AE179" s="169"/>
      <c r="AF179" s="169" t="str">
        <f t="shared" si="10"/>
        <v/>
      </c>
      <c r="AG179" s="169"/>
      <c r="AH179" s="169" t="str">
        <f t="shared" si="11"/>
        <v/>
      </c>
      <c r="AI179" s="169"/>
      <c r="AJ179" s="169" t="str">
        <f t="shared" si="12"/>
        <v/>
      </c>
    </row>
    <row r="180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 t="str">
        <f t="shared" si="2"/>
        <v/>
      </c>
      <c r="Q180" s="169"/>
      <c r="R180" s="169" t="str">
        <f t="shared" si="3"/>
        <v/>
      </c>
      <c r="S180" s="169"/>
      <c r="T180" s="169" t="str">
        <f t="shared" si="4"/>
        <v/>
      </c>
      <c r="U180" s="169"/>
      <c r="V180" s="169" t="str">
        <f t="shared" si="5"/>
        <v/>
      </c>
      <c r="W180" s="169"/>
      <c r="X180" s="169" t="str">
        <f t="shared" si="6"/>
        <v/>
      </c>
      <c r="Y180" s="169"/>
      <c r="Z180" s="169" t="str">
        <f t="shared" si="7"/>
        <v/>
      </c>
      <c r="AA180" s="169"/>
      <c r="AB180" s="169" t="str">
        <f t="shared" si="8"/>
        <v/>
      </c>
      <c r="AC180" s="169"/>
      <c r="AD180" s="169" t="str">
        <f t="shared" si="9"/>
        <v/>
      </c>
      <c r="AE180" s="169"/>
      <c r="AF180" s="169" t="str">
        <f t="shared" si="10"/>
        <v/>
      </c>
      <c r="AG180" s="169"/>
      <c r="AH180" s="169" t="str">
        <f t="shared" si="11"/>
        <v/>
      </c>
      <c r="AI180" s="169"/>
      <c r="AJ180" s="169" t="str">
        <f t="shared" si="12"/>
        <v/>
      </c>
    </row>
    <row r="18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 t="str">
        <f t="shared" si="2"/>
        <v/>
      </c>
      <c r="Q181" s="169"/>
      <c r="R181" s="169" t="str">
        <f t="shared" si="3"/>
        <v/>
      </c>
      <c r="S181" s="169"/>
      <c r="T181" s="169" t="str">
        <f t="shared" si="4"/>
        <v/>
      </c>
      <c r="U181" s="169"/>
      <c r="V181" s="169" t="str">
        <f t="shared" si="5"/>
        <v/>
      </c>
      <c r="W181" s="169"/>
      <c r="X181" s="169" t="str">
        <f t="shared" si="6"/>
        <v/>
      </c>
      <c r="Y181" s="169"/>
      <c r="Z181" s="169" t="str">
        <f t="shared" si="7"/>
        <v/>
      </c>
      <c r="AA181" s="169"/>
      <c r="AB181" s="169" t="str">
        <f t="shared" si="8"/>
        <v/>
      </c>
      <c r="AC181" s="169"/>
      <c r="AD181" s="169" t="str">
        <f t="shared" si="9"/>
        <v/>
      </c>
      <c r="AE181" s="169"/>
      <c r="AF181" s="169" t="str">
        <f t="shared" si="10"/>
        <v/>
      </c>
      <c r="AG181" s="169"/>
      <c r="AH181" s="169" t="str">
        <f t="shared" si="11"/>
        <v/>
      </c>
      <c r="AI181" s="169"/>
      <c r="AJ181" s="169" t="str">
        <f t="shared" si="12"/>
        <v/>
      </c>
    </row>
    <row r="182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 t="str">
        <f t="shared" si="2"/>
        <v/>
      </c>
      <c r="Q182" s="169"/>
      <c r="R182" s="169" t="str">
        <f t="shared" si="3"/>
        <v/>
      </c>
      <c r="S182" s="169"/>
      <c r="T182" s="169" t="str">
        <f t="shared" si="4"/>
        <v/>
      </c>
      <c r="U182" s="169"/>
      <c r="V182" s="169" t="str">
        <f t="shared" si="5"/>
        <v/>
      </c>
      <c r="W182" s="169"/>
      <c r="X182" s="169" t="str">
        <f t="shared" si="6"/>
        <v/>
      </c>
      <c r="Y182" s="169"/>
      <c r="Z182" s="169" t="str">
        <f t="shared" si="7"/>
        <v/>
      </c>
      <c r="AA182" s="169"/>
      <c r="AB182" s="169" t="str">
        <f t="shared" si="8"/>
        <v/>
      </c>
      <c r="AC182" s="169"/>
      <c r="AD182" s="169" t="str">
        <f t="shared" si="9"/>
        <v/>
      </c>
      <c r="AE182" s="169"/>
      <c r="AF182" s="169" t="str">
        <f t="shared" si="10"/>
        <v/>
      </c>
      <c r="AG182" s="169"/>
      <c r="AH182" s="169" t="str">
        <f t="shared" si="11"/>
        <v/>
      </c>
      <c r="AI182" s="169"/>
      <c r="AJ182" s="169" t="str">
        <f t="shared" si="12"/>
        <v/>
      </c>
    </row>
    <row r="183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 t="str">
        <f t="shared" si="2"/>
        <v/>
      </c>
      <c r="Q183" s="169"/>
      <c r="R183" s="169" t="str">
        <f t="shared" si="3"/>
        <v/>
      </c>
      <c r="S183" s="169"/>
      <c r="T183" s="169" t="str">
        <f t="shared" si="4"/>
        <v/>
      </c>
      <c r="U183" s="169"/>
      <c r="V183" s="169" t="str">
        <f t="shared" si="5"/>
        <v/>
      </c>
      <c r="W183" s="169"/>
      <c r="X183" s="169" t="str">
        <f t="shared" si="6"/>
        <v/>
      </c>
      <c r="Y183" s="169"/>
      <c r="Z183" s="169" t="str">
        <f t="shared" si="7"/>
        <v/>
      </c>
      <c r="AA183" s="169"/>
      <c r="AB183" s="169" t="str">
        <f t="shared" si="8"/>
        <v/>
      </c>
      <c r="AC183" s="169"/>
      <c r="AD183" s="169" t="str">
        <f t="shared" si="9"/>
        <v/>
      </c>
      <c r="AE183" s="169"/>
      <c r="AF183" s="169" t="str">
        <f t="shared" si="10"/>
        <v/>
      </c>
      <c r="AG183" s="169"/>
      <c r="AH183" s="169" t="str">
        <f t="shared" si="11"/>
        <v/>
      </c>
      <c r="AI183" s="169"/>
      <c r="AJ183" s="169" t="str">
        <f t="shared" si="12"/>
        <v/>
      </c>
    </row>
    <row r="184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 t="str">
        <f t="shared" si="2"/>
        <v/>
      </c>
      <c r="Q184" s="169"/>
      <c r="R184" s="169" t="str">
        <f t="shared" si="3"/>
        <v/>
      </c>
      <c r="S184" s="169"/>
      <c r="T184" s="169" t="str">
        <f t="shared" si="4"/>
        <v/>
      </c>
      <c r="U184" s="169"/>
      <c r="V184" s="169" t="str">
        <f t="shared" si="5"/>
        <v/>
      </c>
      <c r="W184" s="169"/>
      <c r="X184" s="169" t="str">
        <f t="shared" si="6"/>
        <v/>
      </c>
      <c r="Y184" s="169"/>
      <c r="Z184" s="169" t="str">
        <f t="shared" si="7"/>
        <v/>
      </c>
      <c r="AA184" s="169"/>
      <c r="AB184" s="169" t="str">
        <f t="shared" si="8"/>
        <v/>
      </c>
      <c r="AC184" s="169"/>
      <c r="AD184" s="169" t="str">
        <f t="shared" si="9"/>
        <v/>
      </c>
      <c r="AE184" s="169"/>
      <c r="AF184" s="169" t="str">
        <f t="shared" si="10"/>
        <v/>
      </c>
      <c r="AG184" s="169"/>
      <c r="AH184" s="169" t="str">
        <f t="shared" si="11"/>
        <v/>
      </c>
      <c r="AI184" s="169"/>
      <c r="AJ184" s="169" t="str">
        <f t="shared" si="12"/>
        <v/>
      </c>
    </row>
    <row r="18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 t="str">
        <f t="shared" si="2"/>
        <v/>
      </c>
      <c r="Q185" s="169"/>
      <c r="R185" s="169" t="str">
        <f t="shared" si="3"/>
        <v/>
      </c>
      <c r="S185" s="169"/>
      <c r="T185" s="169" t="str">
        <f t="shared" si="4"/>
        <v/>
      </c>
      <c r="U185" s="169"/>
      <c r="V185" s="169" t="str">
        <f t="shared" si="5"/>
        <v/>
      </c>
      <c r="W185" s="169"/>
      <c r="X185" s="169" t="str">
        <f t="shared" si="6"/>
        <v/>
      </c>
      <c r="Y185" s="169"/>
      <c r="Z185" s="169" t="str">
        <f t="shared" si="7"/>
        <v/>
      </c>
      <c r="AA185" s="169"/>
      <c r="AB185" s="169" t="str">
        <f t="shared" si="8"/>
        <v/>
      </c>
      <c r="AC185" s="169"/>
      <c r="AD185" s="169" t="str">
        <f t="shared" si="9"/>
        <v/>
      </c>
      <c r="AE185" s="169"/>
      <c r="AF185" s="169" t="str">
        <f t="shared" si="10"/>
        <v/>
      </c>
      <c r="AG185" s="169"/>
      <c r="AH185" s="169" t="str">
        <f t="shared" si="11"/>
        <v/>
      </c>
      <c r="AI185" s="169"/>
      <c r="AJ185" s="169" t="str">
        <f t="shared" si="12"/>
        <v/>
      </c>
    </row>
    <row r="186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 t="str">
        <f t="shared" si="2"/>
        <v/>
      </c>
      <c r="Q186" s="169"/>
      <c r="R186" s="169" t="str">
        <f t="shared" si="3"/>
        <v/>
      </c>
      <c r="S186" s="169"/>
      <c r="T186" s="169" t="str">
        <f t="shared" si="4"/>
        <v/>
      </c>
      <c r="U186" s="169"/>
      <c r="V186" s="169" t="str">
        <f t="shared" si="5"/>
        <v/>
      </c>
      <c r="W186" s="169"/>
      <c r="X186" s="169" t="str">
        <f t="shared" si="6"/>
        <v/>
      </c>
      <c r="Y186" s="169"/>
      <c r="Z186" s="169" t="str">
        <f t="shared" si="7"/>
        <v/>
      </c>
      <c r="AA186" s="169"/>
      <c r="AB186" s="169" t="str">
        <f t="shared" si="8"/>
        <v/>
      </c>
      <c r="AC186" s="169"/>
      <c r="AD186" s="169" t="str">
        <f t="shared" si="9"/>
        <v/>
      </c>
      <c r="AE186" s="169"/>
      <c r="AF186" s="169" t="str">
        <f t="shared" si="10"/>
        <v/>
      </c>
      <c r="AG186" s="169"/>
      <c r="AH186" s="169" t="str">
        <f t="shared" si="11"/>
        <v/>
      </c>
      <c r="AI186" s="169"/>
      <c r="AJ186" s="169" t="str">
        <f t="shared" si="12"/>
        <v/>
      </c>
    </row>
    <row r="187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 t="str">
        <f t="shared" si="2"/>
        <v/>
      </c>
      <c r="Q187" s="169"/>
      <c r="R187" s="169" t="str">
        <f t="shared" si="3"/>
        <v/>
      </c>
      <c r="S187" s="169"/>
      <c r="T187" s="169" t="str">
        <f t="shared" si="4"/>
        <v/>
      </c>
      <c r="U187" s="169"/>
      <c r="V187" s="169" t="str">
        <f t="shared" si="5"/>
        <v/>
      </c>
      <c r="W187" s="169"/>
      <c r="X187" s="169" t="str">
        <f t="shared" si="6"/>
        <v/>
      </c>
      <c r="Y187" s="169"/>
      <c r="Z187" s="169" t="str">
        <f t="shared" si="7"/>
        <v/>
      </c>
      <c r="AA187" s="169"/>
      <c r="AB187" s="169" t="str">
        <f t="shared" si="8"/>
        <v/>
      </c>
      <c r="AC187" s="169"/>
      <c r="AD187" s="169" t="str">
        <f t="shared" si="9"/>
        <v/>
      </c>
      <c r="AE187" s="169"/>
      <c r="AF187" s="169" t="str">
        <f t="shared" si="10"/>
        <v/>
      </c>
      <c r="AG187" s="169"/>
      <c r="AH187" s="169" t="str">
        <f t="shared" si="11"/>
        <v/>
      </c>
      <c r="AI187" s="169"/>
      <c r="AJ187" s="169" t="str">
        <f t="shared" si="12"/>
        <v/>
      </c>
    </row>
    <row r="188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 t="str">
        <f t="shared" si="2"/>
        <v/>
      </c>
      <c r="Q188" s="169"/>
      <c r="R188" s="169" t="str">
        <f t="shared" si="3"/>
        <v/>
      </c>
      <c r="S188" s="169"/>
      <c r="T188" s="169" t="str">
        <f t="shared" si="4"/>
        <v/>
      </c>
      <c r="U188" s="169"/>
      <c r="V188" s="169" t="str">
        <f t="shared" si="5"/>
        <v/>
      </c>
      <c r="W188" s="169"/>
      <c r="X188" s="169" t="str">
        <f t="shared" si="6"/>
        <v/>
      </c>
      <c r="Y188" s="169"/>
      <c r="Z188" s="169" t="str">
        <f t="shared" si="7"/>
        <v/>
      </c>
      <c r="AA188" s="169"/>
      <c r="AB188" s="169" t="str">
        <f t="shared" si="8"/>
        <v/>
      </c>
      <c r="AC188" s="169"/>
      <c r="AD188" s="169" t="str">
        <f t="shared" si="9"/>
        <v/>
      </c>
      <c r="AE188" s="169"/>
      <c r="AF188" s="169" t="str">
        <f t="shared" si="10"/>
        <v/>
      </c>
      <c r="AG188" s="169"/>
      <c r="AH188" s="169" t="str">
        <f t="shared" si="11"/>
        <v/>
      </c>
      <c r="AI188" s="169"/>
      <c r="AJ188" s="169" t="str">
        <f t="shared" si="12"/>
        <v/>
      </c>
    </row>
    <row r="189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 t="str">
        <f t="shared" si="2"/>
        <v/>
      </c>
      <c r="Q189" s="169"/>
      <c r="R189" s="169" t="str">
        <f t="shared" si="3"/>
        <v/>
      </c>
      <c r="S189" s="169"/>
      <c r="T189" s="169" t="str">
        <f t="shared" si="4"/>
        <v/>
      </c>
      <c r="U189" s="169"/>
      <c r="V189" s="169" t="str">
        <f t="shared" si="5"/>
        <v/>
      </c>
      <c r="W189" s="169"/>
      <c r="X189" s="169" t="str">
        <f t="shared" si="6"/>
        <v/>
      </c>
      <c r="Y189" s="169"/>
      <c r="Z189" s="169" t="str">
        <f t="shared" si="7"/>
        <v/>
      </c>
      <c r="AA189" s="169"/>
      <c r="AB189" s="169" t="str">
        <f t="shared" si="8"/>
        <v/>
      </c>
      <c r="AC189" s="169"/>
      <c r="AD189" s="169" t="str">
        <f t="shared" si="9"/>
        <v/>
      </c>
      <c r="AE189" s="169"/>
      <c r="AF189" s="169" t="str">
        <f t="shared" si="10"/>
        <v/>
      </c>
      <c r="AG189" s="169"/>
      <c r="AH189" s="169" t="str">
        <f t="shared" si="11"/>
        <v/>
      </c>
      <c r="AI189" s="169"/>
      <c r="AJ189" s="169" t="str">
        <f t="shared" si="12"/>
        <v/>
      </c>
    </row>
    <row r="190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 t="str">
        <f t="shared" si="2"/>
        <v/>
      </c>
      <c r="Q190" s="169"/>
      <c r="R190" s="169" t="str">
        <f t="shared" si="3"/>
        <v/>
      </c>
      <c r="S190" s="169"/>
      <c r="T190" s="169" t="str">
        <f t="shared" si="4"/>
        <v/>
      </c>
      <c r="U190" s="169"/>
      <c r="V190" s="169" t="str">
        <f t="shared" si="5"/>
        <v/>
      </c>
      <c r="W190" s="169"/>
      <c r="X190" s="169" t="str">
        <f t="shared" si="6"/>
        <v/>
      </c>
      <c r="Y190" s="169"/>
      <c r="Z190" s="169" t="str">
        <f t="shared" si="7"/>
        <v/>
      </c>
      <c r="AA190" s="169"/>
      <c r="AB190" s="169" t="str">
        <f t="shared" si="8"/>
        <v/>
      </c>
      <c r="AC190" s="169"/>
      <c r="AD190" s="169" t="str">
        <f t="shared" si="9"/>
        <v/>
      </c>
      <c r="AE190" s="169"/>
      <c r="AF190" s="169" t="str">
        <f t="shared" si="10"/>
        <v/>
      </c>
      <c r="AG190" s="169"/>
      <c r="AH190" s="169" t="str">
        <f t="shared" si="11"/>
        <v/>
      </c>
      <c r="AI190" s="169"/>
      <c r="AJ190" s="169" t="str">
        <f t="shared" si="12"/>
        <v/>
      </c>
    </row>
    <row r="19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 t="str">
        <f t="shared" si="2"/>
        <v/>
      </c>
      <c r="Q191" s="169"/>
      <c r="R191" s="169" t="str">
        <f t="shared" si="3"/>
        <v/>
      </c>
      <c r="S191" s="169"/>
      <c r="T191" s="169" t="str">
        <f t="shared" si="4"/>
        <v/>
      </c>
      <c r="U191" s="169"/>
      <c r="V191" s="169" t="str">
        <f t="shared" si="5"/>
        <v/>
      </c>
      <c r="W191" s="169"/>
      <c r="X191" s="169" t="str">
        <f t="shared" si="6"/>
        <v/>
      </c>
      <c r="Y191" s="169"/>
      <c r="Z191" s="169" t="str">
        <f t="shared" si="7"/>
        <v/>
      </c>
      <c r="AA191" s="169"/>
      <c r="AB191" s="169" t="str">
        <f t="shared" si="8"/>
        <v/>
      </c>
      <c r="AC191" s="169"/>
      <c r="AD191" s="169" t="str">
        <f t="shared" si="9"/>
        <v/>
      </c>
      <c r="AE191" s="169"/>
      <c r="AF191" s="169" t="str">
        <f t="shared" si="10"/>
        <v/>
      </c>
      <c r="AG191" s="169"/>
      <c r="AH191" s="169" t="str">
        <f t="shared" si="11"/>
        <v/>
      </c>
      <c r="AI191" s="169"/>
      <c r="AJ191" s="169" t="str">
        <f t="shared" si="12"/>
        <v/>
      </c>
    </row>
    <row r="192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 t="str">
        <f t="shared" si="2"/>
        <v/>
      </c>
      <c r="Q192" s="169"/>
      <c r="R192" s="169" t="str">
        <f t="shared" si="3"/>
        <v/>
      </c>
      <c r="S192" s="169"/>
      <c r="T192" s="169" t="str">
        <f t="shared" si="4"/>
        <v/>
      </c>
      <c r="U192" s="169"/>
      <c r="V192" s="169" t="str">
        <f t="shared" si="5"/>
        <v/>
      </c>
      <c r="W192" s="169"/>
      <c r="X192" s="169" t="str">
        <f t="shared" si="6"/>
        <v/>
      </c>
      <c r="Y192" s="169"/>
      <c r="Z192" s="169" t="str">
        <f t="shared" si="7"/>
        <v/>
      </c>
      <c r="AA192" s="169"/>
      <c r="AB192" s="169" t="str">
        <f t="shared" si="8"/>
        <v/>
      </c>
      <c r="AC192" s="169"/>
      <c r="AD192" s="169" t="str">
        <f t="shared" si="9"/>
        <v/>
      </c>
      <c r="AE192" s="169"/>
      <c r="AF192" s="169" t="str">
        <f t="shared" si="10"/>
        <v/>
      </c>
      <c r="AG192" s="169"/>
      <c r="AH192" s="169" t="str">
        <f t="shared" si="11"/>
        <v/>
      </c>
      <c r="AI192" s="169"/>
      <c r="AJ192" s="169" t="str">
        <f t="shared" si="12"/>
        <v/>
      </c>
    </row>
    <row r="193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 t="str">
        <f t="shared" si="2"/>
        <v/>
      </c>
      <c r="Q193" s="169"/>
      <c r="R193" s="169" t="str">
        <f t="shared" si="3"/>
        <v/>
      </c>
      <c r="S193" s="169"/>
      <c r="T193" s="169" t="str">
        <f t="shared" si="4"/>
        <v/>
      </c>
      <c r="U193" s="169"/>
      <c r="V193" s="169" t="str">
        <f t="shared" si="5"/>
        <v/>
      </c>
      <c r="W193" s="169"/>
      <c r="X193" s="169" t="str">
        <f t="shared" si="6"/>
        <v/>
      </c>
      <c r="Y193" s="169"/>
      <c r="Z193" s="169" t="str">
        <f t="shared" si="7"/>
        <v/>
      </c>
      <c r="AA193" s="169"/>
      <c r="AB193" s="169" t="str">
        <f t="shared" si="8"/>
        <v/>
      </c>
      <c r="AC193" s="169"/>
      <c r="AD193" s="169" t="str">
        <f t="shared" si="9"/>
        <v/>
      </c>
      <c r="AE193" s="169"/>
      <c r="AF193" s="169" t="str">
        <f t="shared" si="10"/>
        <v/>
      </c>
      <c r="AG193" s="169"/>
      <c r="AH193" s="169" t="str">
        <f t="shared" si="11"/>
        <v/>
      </c>
      <c r="AI193" s="169"/>
      <c r="AJ193" s="169" t="str">
        <f t="shared" si="12"/>
        <v/>
      </c>
    </row>
    <row r="194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 t="str">
        <f t="shared" si="2"/>
        <v/>
      </c>
      <c r="Q194" s="169"/>
      <c r="R194" s="169" t="str">
        <f t="shared" si="3"/>
        <v/>
      </c>
      <c r="S194" s="169"/>
      <c r="T194" s="169" t="str">
        <f t="shared" si="4"/>
        <v/>
      </c>
      <c r="U194" s="169"/>
      <c r="V194" s="169" t="str">
        <f t="shared" si="5"/>
        <v/>
      </c>
      <c r="W194" s="169"/>
      <c r="X194" s="169" t="str">
        <f t="shared" si="6"/>
        <v/>
      </c>
      <c r="Y194" s="169"/>
      <c r="Z194" s="169" t="str">
        <f t="shared" si="7"/>
        <v/>
      </c>
      <c r="AA194" s="169"/>
      <c r="AB194" s="169" t="str">
        <f t="shared" si="8"/>
        <v/>
      </c>
      <c r="AC194" s="169"/>
      <c r="AD194" s="169" t="str">
        <f t="shared" si="9"/>
        <v/>
      </c>
      <c r="AE194" s="169"/>
      <c r="AF194" s="169" t="str">
        <f t="shared" si="10"/>
        <v/>
      </c>
      <c r="AG194" s="169"/>
      <c r="AH194" s="169" t="str">
        <f t="shared" si="11"/>
        <v/>
      </c>
      <c r="AI194" s="169"/>
      <c r="AJ194" s="169" t="str">
        <f t="shared" si="12"/>
        <v/>
      </c>
    </row>
    <row r="19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 t="str">
        <f t="shared" si="2"/>
        <v/>
      </c>
      <c r="Q195" s="169"/>
      <c r="R195" s="169" t="str">
        <f t="shared" si="3"/>
        <v/>
      </c>
      <c r="S195" s="169"/>
      <c r="T195" s="169" t="str">
        <f t="shared" si="4"/>
        <v/>
      </c>
      <c r="U195" s="169"/>
      <c r="V195" s="169" t="str">
        <f t="shared" si="5"/>
        <v/>
      </c>
      <c r="W195" s="169"/>
      <c r="X195" s="169" t="str">
        <f t="shared" si="6"/>
        <v/>
      </c>
      <c r="Y195" s="169"/>
      <c r="Z195" s="169" t="str">
        <f t="shared" si="7"/>
        <v/>
      </c>
      <c r="AA195" s="169"/>
      <c r="AB195" s="169" t="str">
        <f t="shared" si="8"/>
        <v/>
      </c>
      <c r="AC195" s="169"/>
      <c r="AD195" s="169" t="str">
        <f t="shared" si="9"/>
        <v/>
      </c>
      <c r="AE195" s="169"/>
      <c r="AF195" s="169" t="str">
        <f t="shared" si="10"/>
        <v/>
      </c>
      <c r="AG195" s="169"/>
      <c r="AH195" s="169" t="str">
        <f t="shared" si="11"/>
        <v/>
      </c>
      <c r="AI195" s="169"/>
      <c r="AJ195" s="169" t="str">
        <f t="shared" si="12"/>
        <v/>
      </c>
    </row>
    <row r="196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 t="str">
        <f t="shared" si="2"/>
        <v/>
      </c>
      <c r="Q196" s="169"/>
      <c r="R196" s="169" t="str">
        <f t="shared" si="3"/>
        <v/>
      </c>
      <c r="S196" s="169"/>
      <c r="T196" s="169" t="str">
        <f t="shared" si="4"/>
        <v/>
      </c>
      <c r="U196" s="169"/>
      <c r="V196" s="169" t="str">
        <f t="shared" si="5"/>
        <v/>
      </c>
      <c r="W196" s="169"/>
      <c r="X196" s="169" t="str">
        <f t="shared" si="6"/>
        <v/>
      </c>
      <c r="Y196" s="169"/>
      <c r="Z196" s="169" t="str">
        <f t="shared" si="7"/>
        <v/>
      </c>
      <c r="AA196" s="169"/>
      <c r="AB196" s="169" t="str">
        <f t="shared" si="8"/>
        <v/>
      </c>
      <c r="AC196" s="169"/>
      <c r="AD196" s="169" t="str">
        <f t="shared" si="9"/>
        <v/>
      </c>
      <c r="AE196" s="169"/>
      <c r="AF196" s="169" t="str">
        <f t="shared" si="10"/>
        <v/>
      </c>
      <c r="AG196" s="169"/>
      <c r="AH196" s="169" t="str">
        <f t="shared" si="11"/>
        <v/>
      </c>
      <c r="AI196" s="169"/>
      <c r="AJ196" s="169" t="str">
        <f t="shared" si="12"/>
        <v/>
      </c>
    </row>
    <row r="197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 t="str">
        <f t="shared" si="2"/>
        <v/>
      </c>
      <c r="Q197" s="169"/>
      <c r="R197" s="169" t="str">
        <f t="shared" si="3"/>
        <v/>
      </c>
      <c r="S197" s="169"/>
      <c r="T197" s="169" t="str">
        <f t="shared" si="4"/>
        <v/>
      </c>
      <c r="U197" s="169"/>
      <c r="V197" s="169" t="str">
        <f t="shared" si="5"/>
        <v/>
      </c>
      <c r="W197" s="169"/>
      <c r="X197" s="169" t="str">
        <f t="shared" si="6"/>
        <v/>
      </c>
      <c r="Y197" s="169"/>
      <c r="Z197" s="169" t="str">
        <f t="shared" si="7"/>
        <v/>
      </c>
      <c r="AA197" s="169"/>
      <c r="AB197" s="169" t="str">
        <f t="shared" si="8"/>
        <v/>
      </c>
      <c r="AC197" s="169"/>
      <c r="AD197" s="169" t="str">
        <f t="shared" si="9"/>
        <v/>
      </c>
      <c r="AE197" s="169"/>
      <c r="AF197" s="169" t="str">
        <f t="shared" si="10"/>
        <v/>
      </c>
      <c r="AG197" s="169"/>
      <c r="AH197" s="169" t="str">
        <f t="shared" si="11"/>
        <v/>
      </c>
      <c r="AI197" s="169"/>
      <c r="AJ197" s="169" t="str">
        <f t="shared" si="12"/>
        <v/>
      </c>
    </row>
    <row r="198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 t="str">
        <f t="shared" si="2"/>
        <v/>
      </c>
      <c r="Q198" s="169"/>
      <c r="R198" s="169" t="str">
        <f t="shared" si="3"/>
        <v/>
      </c>
      <c r="S198" s="169"/>
      <c r="T198" s="169" t="str">
        <f t="shared" si="4"/>
        <v/>
      </c>
      <c r="U198" s="169"/>
      <c r="V198" s="169" t="str">
        <f t="shared" si="5"/>
        <v/>
      </c>
      <c r="W198" s="169"/>
      <c r="X198" s="169" t="str">
        <f t="shared" si="6"/>
        <v/>
      </c>
      <c r="Y198" s="169"/>
      <c r="Z198" s="169" t="str">
        <f t="shared" si="7"/>
        <v/>
      </c>
      <c r="AA198" s="169"/>
      <c r="AB198" s="169" t="str">
        <f t="shared" si="8"/>
        <v/>
      </c>
      <c r="AC198" s="169"/>
      <c r="AD198" s="169" t="str">
        <f t="shared" si="9"/>
        <v/>
      </c>
      <c r="AE198" s="169"/>
      <c r="AF198" s="169" t="str">
        <f t="shared" si="10"/>
        <v/>
      </c>
      <c r="AG198" s="169"/>
      <c r="AH198" s="169" t="str">
        <f t="shared" si="11"/>
        <v/>
      </c>
      <c r="AI198" s="169"/>
      <c r="AJ198" s="169" t="str">
        <f t="shared" si="12"/>
        <v/>
      </c>
    </row>
    <row r="199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 t="str">
        <f t="shared" si="2"/>
        <v/>
      </c>
      <c r="Q199" s="169"/>
      <c r="R199" s="169" t="str">
        <f t="shared" si="3"/>
        <v/>
      </c>
      <c r="S199" s="169"/>
      <c r="T199" s="169" t="str">
        <f t="shared" si="4"/>
        <v/>
      </c>
      <c r="U199" s="169"/>
      <c r="V199" s="169" t="str">
        <f t="shared" si="5"/>
        <v/>
      </c>
      <c r="W199" s="169"/>
      <c r="X199" s="169" t="str">
        <f t="shared" si="6"/>
        <v/>
      </c>
      <c r="Y199" s="169"/>
      <c r="Z199" s="169" t="str">
        <f t="shared" si="7"/>
        <v/>
      </c>
      <c r="AA199" s="169"/>
      <c r="AB199" s="169" t="str">
        <f t="shared" si="8"/>
        <v/>
      </c>
      <c r="AC199" s="169"/>
      <c r="AD199" s="169" t="str">
        <f t="shared" si="9"/>
        <v/>
      </c>
      <c r="AE199" s="169"/>
      <c r="AF199" s="169" t="str">
        <f t="shared" si="10"/>
        <v/>
      </c>
      <c r="AG199" s="169"/>
      <c r="AH199" s="169" t="str">
        <f t="shared" si="11"/>
        <v/>
      </c>
      <c r="AI199" s="169"/>
      <c r="AJ199" s="169" t="str">
        <f t="shared" si="12"/>
        <v/>
      </c>
    </row>
    <row r="200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 t="str">
        <f t="shared" si="2"/>
        <v/>
      </c>
      <c r="Q200" s="169"/>
      <c r="R200" s="169" t="str">
        <f t="shared" si="3"/>
        <v/>
      </c>
      <c r="S200" s="169"/>
      <c r="T200" s="169" t="str">
        <f t="shared" si="4"/>
        <v/>
      </c>
      <c r="U200" s="169"/>
      <c r="V200" s="169" t="str">
        <f t="shared" si="5"/>
        <v/>
      </c>
      <c r="W200" s="169"/>
      <c r="X200" s="169" t="str">
        <f t="shared" si="6"/>
        <v/>
      </c>
      <c r="Y200" s="169"/>
      <c r="Z200" s="169" t="str">
        <f t="shared" si="7"/>
        <v/>
      </c>
      <c r="AA200" s="169"/>
      <c r="AB200" s="169" t="str">
        <f t="shared" si="8"/>
        <v/>
      </c>
      <c r="AC200" s="169"/>
      <c r="AD200" s="169" t="str">
        <f t="shared" si="9"/>
        <v/>
      </c>
      <c r="AE200" s="169"/>
      <c r="AF200" s="169" t="str">
        <f t="shared" si="10"/>
        <v/>
      </c>
      <c r="AG200" s="169"/>
      <c r="AH200" s="169" t="str">
        <f t="shared" si="11"/>
        <v/>
      </c>
      <c r="AI200" s="169"/>
      <c r="AJ200" s="169" t="str">
        <f t="shared" si="12"/>
        <v/>
      </c>
    </row>
    <row r="20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 t="str">
        <f t="shared" si="2"/>
        <v/>
      </c>
      <c r="Q201" s="169"/>
      <c r="R201" s="169" t="str">
        <f t="shared" si="3"/>
        <v/>
      </c>
      <c r="S201" s="169"/>
      <c r="T201" s="169" t="str">
        <f t="shared" si="4"/>
        <v/>
      </c>
      <c r="U201" s="169"/>
      <c r="V201" s="169" t="str">
        <f t="shared" si="5"/>
        <v/>
      </c>
      <c r="W201" s="169"/>
      <c r="X201" s="169" t="str">
        <f t="shared" si="6"/>
        <v/>
      </c>
      <c r="Y201" s="169"/>
      <c r="Z201" s="169" t="str">
        <f t="shared" si="7"/>
        <v/>
      </c>
      <c r="AA201" s="169"/>
      <c r="AB201" s="169" t="str">
        <f t="shared" si="8"/>
        <v/>
      </c>
      <c r="AC201" s="169"/>
      <c r="AD201" s="169" t="str">
        <f t="shared" si="9"/>
        <v/>
      </c>
      <c r="AE201" s="169"/>
      <c r="AF201" s="169" t="str">
        <f t="shared" si="10"/>
        <v/>
      </c>
      <c r="AG201" s="169"/>
      <c r="AH201" s="169" t="str">
        <f t="shared" si="11"/>
        <v/>
      </c>
      <c r="AI201" s="169"/>
      <c r="AJ201" s="169" t="str">
        <f t="shared" si="12"/>
        <v/>
      </c>
    </row>
    <row r="202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 t="str">
        <f t="shared" si="2"/>
        <v/>
      </c>
      <c r="Q202" s="169"/>
      <c r="R202" s="169" t="str">
        <f t="shared" si="3"/>
        <v/>
      </c>
      <c r="S202" s="169"/>
      <c r="T202" s="169" t="str">
        <f t="shared" si="4"/>
        <v/>
      </c>
      <c r="U202" s="169"/>
      <c r="V202" s="169" t="str">
        <f t="shared" si="5"/>
        <v/>
      </c>
      <c r="W202" s="169"/>
      <c r="X202" s="169" t="str">
        <f t="shared" si="6"/>
        <v/>
      </c>
      <c r="Y202" s="169"/>
      <c r="Z202" s="169" t="str">
        <f t="shared" si="7"/>
        <v/>
      </c>
      <c r="AA202" s="169"/>
      <c r="AB202" s="169" t="str">
        <f t="shared" si="8"/>
        <v/>
      </c>
      <c r="AC202" s="169"/>
      <c r="AD202" s="169" t="str">
        <f t="shared" si="9"/>
        <v/>
      </c>
      <c r="AE202" s="169"/>
      <c r="AF202" s="169" t="str">
        <f t="shared" si="10"/>
        <v/>
      </c>
      <c r="AG202" s="169"/>
      <c r="AH202" s="169" t="str">
        <f t="shared" si="11"/>
        <v/>
      </c>
      <c r="AI202" s="169"/>
      <c r="AJ202" s="169" t="str">
        <f t="shared" si="12"/>
        <v/>
      </c>
    </row>
    <row r="203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 t="str">
        <f t="shared" si="2"/>
        <v/>
      </c>
      <c r="Q203" s="169"/>
      <c r="R203" s="169" t="str">
        <f t="shared" si="3"/>
        <v/>
      </c>
      <c r="S203" s="169"/>
      <c r="T203" s="169" t="str">
        <f t="shared" si="4"/>
        <v/>
      </c>
      <c r="U203" s="169"/>
      <c r="V203" s="169" t="str">
        <f t="shared" si="5"/>
        <v/>
      </c>
      <c r="W203" s="169"/>
      <c r="X203" s="169" t="str">
        <f t="shared" si="6"/>
        <v/>
      </c>
      <c r="Y203" s="169"/>
      <c r="Z203" s="169" t="str">
        <f t="shared" si="7"/>
        <v/>
      </c>
      <c r="AA203" s="169"/>
      <c r="AB203" s="169" t="str">
        <f t="shared" si="8"/>
        <v/>
      </c>
      <c r="AC203" s="169"/>
      <c r="AD203" s="169" t="str">
        <f t="shared" si="9"/>
        <v/>
      </c>
      <c r="AE203" s="169"/>
      <c r="AF203" s="169" t="str">
        <f t="shared" si="10"/>
        <v/>
      </c>
      <c r="AG203" s="169"/>
      <c r="AH203" s="169" t="str">
        <f t="shared" si="11"/>
        <v/>
      </c>
      <c r="AI203" s="169"/>
      <c r="AJ203" s="169" t="str">
        <f t="shared" si="12"/>
        <v/>
      </c>
    </row>
    <row r="204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 t="str">
        <f t="shared" si="2"/>
        <v/>
      </c>
      <c r="Q204" s="169"/>
      <c r="R204" s="169" t="str">
        <f t="shared" si="3"/>
        <v/>
      </c>
      <c r="S204" s="169"/>
      <c r="T204" s="169" t="str">
        <f t="shared" si="4"/>
        <v/>
      </c>
      <c r="U204" s="169"/>
      <c r="V204" s="169" t="str">
        <f t="shared" si="5"/>
        <v/>
      </c>
      <c r="W204" s="169"/>
      <c r="X204" s="169" t="str">
        <f t="shared" si="6"/>
        <v/>
      </c>
      <c r="Y204" s="169"/>
      <c r="Z204" s="169" t="str">
        <f t="shared" si="7"/>
        <v/>
      </c>
      <c r="AA204" s="169"/>
      <c r="AB204" s="169" t="str">
        <f t="shared" si="8"/>
        <v/>
      </c>
      <c r="AC204" s="169"/>
      <c r="AD204" s="169" t="str">
        <f t="shared" si="9"/>
        <v/>
      </c>
      <c r="AE204" s="169"/>
      <c r="AF204" s="169" t="str">
        <f t="shared" si="10"/>
        <v/>
      </c>
      <c r="AG204" s="169"/>
      <c r="AH204" s="169" t="str">
        <f t="shared" si="11"/>
        <v/>
      </c>
      <c r="AI204" s="169"/>
      <c r="AJ204" s="169" t="str">
        <f t="shared" si="12"/>
        <v/>
      </c>
    </row>
    <row r="20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 t="str">
        <f t="shared" si="2"/>
        <v/>
      </c>
      <c r="Q205" s="169"/>
      <c r="R205" s="169" t="str">
        <f t="shared" si="3"/>
        <v/>
      </c>
      <c r="S205" s="169"/>
      <c r="T205" s="169" t="str">
        <f t="shared" si="4"/>
        <v/>
      </c>
      <c r="U205" s="169"/>
      <c r="V205" s="169" t="str">
        <f t="shared" si="5"/>
        <v/>
      </c>
      <c r="W205" s="169"/>
      <c r="X205" s="169" t="str">
        <f t="shared" si="6"/>
        <v/>
      </c>
      <c r="Y205" s="169"/>
      <c r="Z205" s="169" t="str">
        <f t="shared" si="7"/>
        <v/>
      </c>
      <c r="AA205" s="169"/>
      <c r="AB205" s="169" t="str">
        <f t="shared" si="8"/>
        <v/>
      </c>
      <c r="AC205" s="169"/>
      <c r="AD205" s="169" t="str">
        <f t="shared" si="9"/>
        <v/>
      </c>
      <c r="AE205" s="169"/>
      <c r="AF205" s="169" t="str">
        <f t="shared" si="10"/>
        <v/>
      </c>
      <c r="AG205" s="169"/>
      <c r="AH205" s="169" t="str">
        <f t="shared" si="11"/>
        <v/>
      </c>
      <c r="AI205" s="169"/>
      <c r="AJ205" s="169" t="str">
        <f t="shared" si="12"/>
        <v/>
      </c>
    </row>
    <row r="206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 t="str">
        <f t="shared" si="2"/>
        <v/>
      </c>
      <c r="Q206" s="169"/>
      <c r="R206" s="169" t="str">
        <f t="shared" si="3"/>
        <v/>
      </c>
      <c r="S206" s="169"/>
      <c r="T206" s="169" t="str">
        <f t="shared" si="4"/>
        <v/>
      </c>
      <c r="U206" s="169"/>
      <c r="V206" s="169" t="str">
        <f t="shared" si="5"/>
        <v/>
      </c>
      <c r="W206" s="169"/>
      <c r="X206" s="169" t="str">
        <f t="shared" si="6"/>
        <v/>
      </c>
      <c r="Y206" s="169"/>
      <c r="Z206" s="169" t="str">
        <f t="shared" si="7"/>
        <v/>
      </c>
      <c r="AA206" s="169"/>
      <c r="AB206" s="169" t="str">
        <f t="shared" si="8"/>
        <v/>
      </c>
      <c r="AC206" s="169"/>
      <c r="AD206" s="169" t="str">
        <f t="shared" si="9"/>
        <v/>
      </c>
      <c r="AE206" s="169"/>
      <c r="AF206" s="169" t="str">
        <f t="shared" si="10"/>
        <v/>
      </c>
      <c r="AG206" s="169"/>
      <c r="AH206" s="169" t="str">
        <f t="shared" si="11"/>
        <v/>
      </c>
      <c r="AI206" s="169"/>
      <c r="AJ206" s="169" t="str">
        <f t="shared" si="12"/>
        <v/>
      </c>
    </row>
    <row r="207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 t="str">
        <f t="shared" si="2"/>
        <v/>
      </c>
      <c r="Q207" s="169"/>
      <c r="R207" s="169" t="str">
        <f t="shared" si="3"/>
        <v/>
      </c>
      <c r="S207" s="169"/>
      <c r="T207" s="169" t="str">
        <f t="shared" si="4"/>
        <v/>
      </c>
      <c r="U207" s="169"/>
      <c r="V207" s="169" t="str">
        <f t="shared" si="5"/>
        <v/>
      </c>
      <c r="W207" s="169"/>
      <c r="X207" s="169" t="str">
        <f t="shared" si="6"/>
        <v/>
      </c>
      <c r="Y207" s="169"/>
      <c r="Z207" s="169" t="str">
        <f t="shared" si="7"/>
        <v/>
      </c>
      <c r="AA207" s="169"/>
      <c r="AB207" s="169" t="str">
        <f t="shared" si="8"/>
        <v/>
      </c>
      <c r="AC207" s="169"/>
      <c r="AD207" s="169" t="str">
        <f t="shared" si="9"/>
        <v/>
      </c>
      <c r="AE207" s="169"/>
      <c r="AF207" s="169" t="str">
        <f t="shared" si="10"/>
        <v/>
      </c>
      <c r="AG207" s="169"/>
      <c r="AH207" s="169" t="str">
        <f t="shared" si="11"/>
        <v/>
      </c>
      <c r="AI207" s="169"/>
      <c r="AJ207" s="169" t="str">
        <f t="shared" si="12"/>
        <v/>
      </c>
    </row>
    <row r="208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 t="str">
        <f t="shared" si="2"/>
        <v/>
      </c>
      <c r="Q208" s="169"/>
      <c r="R208" s="169" t="str">
        <f t="shared" si="3"/>
        <v/>
      </c>
      <c r="S208" s="169"/>
      <c r="T208" s="169" t="str">
        <f t="shared" si="4"/>
        <v/>
      </c>
      <c r="U208" s="169"/>
      <c r="V208" s="169" t="str">
        <f t="shared" si="5"/>
        <v/>
      </c>
      <c r="W208" s="169"/>
      <c r="X208" s="169" t="str">
        <f t="shared" si="6"/>
        <v/>
      </c>
      <c r="Y208" s="169"/>
      <c r="Z208" s="169" t="str">
        <f t="shared" si="7"/>
        <v/>
      </c>
      <c r="AA208" s="169"/>
      <c r="AB208" s="169" t="str">
        <f t="shared" si="8"/>
        <v/>
      </c>
      <c r="AC208" s="169"/>
      <c r="AD208" s="169" t="str">
        <f t="shared" si="9"/>
        <v/>
      </c>
      <c r="AE208" s="169"/>
      <c r="AF208" s="169" t="str">
        <f t="shared" si="10"/>
        <v/>
      </c>
      <c r="AG208" s="169"/>
      <c r="AH208" s="169" t="str">
        <f t="shared" si="11"/>
        <v/>
      </c>
      <c r="AI208" s="169"/>
      <c r="AJ208" s="169" t="str">
        <f t="shared" si="12"/>
        <v/>
      </c>
    </row>
    <row r="209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 t="str">
        <f t="shared" si="2"/>
        <v/>
      </c>
      <c r="Q209" s="169"/>
      <c r="R209" s="169" t="str">
        <f t="shared" si="3"/>
        <v/>
      </c>
      <c r="S209" s="169"/>
      <c r="T209" s="169" t="str">
        <f t="shared" si="4"/>
        <v/>
      </c>
      <c r="U209" s="169"/>
      <c r="V209" s="169" t="str">
        <f t="shared" si="5"/>
        <v/>
      </c>
      <c r="W209" s="169"/>
      <c r="X209" s="169" t="str">
        <f t="shared" si="6"/>
        <v/>
      </c>
      <c r="Y209" s="169"/>
      <c r="Z209" s="169" t="str">
        <f t="shared" si="7"/>
        <v/>
      </c>
      <c r="AA209" s="169"/>
      <c r="AB209" s="169" t="str">
        <f t="shared" si="8"/>
        <v/>
      </c>
      <c r="AC209" s="169"/>
      <c r="AD209" s="169" t="str">
        <f t="shared" si="9"/>
        <v/>
      </c>
      <c r="AE209" s="169"/>
      <c r="AF209" s="169" t="str">
        <f t="shared" si="10"/>
        <v/>
      </c>
      <c r="AG209" s="169"/>
      <c r="AH209" s="169" t="str">
        <f t="shared" si="11"/>
        <v/>
      </c>
      <c r="AI209" s="169"/>
      <c r="AJ209" s="169" t="str">
        <f t="shared" si="12"/>
        <v/>
      </c>
    </row>
    <row r="210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 t="str">
        <f t="shared" si="2"/>
        <v/>
      </c>
      <c r="Q210" s="169"/>
      <c r="R210" s="169" t="str">
        <f t="shared" si="3"/>
        <v/>
      </c>
      <c r="S210" s="169"/>
      <c r="T210" s="169" t="str">
        <f t="shared" si="4"/>
        <v/>
      </c>
      <c r="U210" s="169"/>
      <c r="V210" s="169" t="str">
        <f t="shared" si="5"/>
        <v/>
      </c>
      <c r="W210" s="169"/>
      <c r="X210" s="169" t="str">
        <f t="shared" si="6"/>
        <v/>
      </c>
      <c r="Y210" s="169"/>
      <c r="Z210" s="169" t="str">
        <f t="shared" si="7"/>
        <v/>
      </c>
      <c r="AA210" s="169"/>
      <c r="AB210" s="169" t="str">
        <f t="shared" si="8"/>
        <v/>
      </c>
      <c r="AC210" s="169"/>
      <c r="AD210" s="169" t="str">
        <f t="shared" si="9"/>
        <v/>
      </c>
      <c r="AE210" s="169"/>
      <c r="AF210" s="169" t="str">
        <f t="shared" si="10"/>
        <v/>
      </c>
      <c r="AG210" s="169"/>
      <c r="AH210" s="169" t="str">
        <f t="shared" si="11"/>
        <v/>
      </c>
      <c r="AI210" s="169"/>
      <c r="AJ210" s="169" t="str">
        <f t="shared" si="12"/>
        <v/>
      </c>
    </row>
    <row r="21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 t="str">
        <f t="shared" si="2"/>
        <v/>
      </c>
      <c r="Q211" s="169"/>
      <c r="R211" s="169" t="str">
        <f t="shared" si="3"/>
        <v/>
      </c>
      <c r="S211" s="169"/>
      <c r="T211" s="169" t="str">
        <f t="shared" si="4"/>
        <v/>
      </c>
      <c r="U211" s="169"/>
      <c r="V211" s="169" t="str">
        <f t="shared" si="5"/>
        <v/>
      </c>
      <c r="W211" s="169"/>
      <c r="X211" s="169" t="str">
        <f t="shared" si="6"/>
        <v/>
      </c>
      <c r="Y211" s="169"/>
      <c r="Z211" s="169" t="str">
        <f t="shared" si="7"/>
        <v/>
      </c>
      <c r="AA211" s="169"/>
      <c r="AB211" s="169" t="str">
        <f t="shared" si="8"/>
        <v/>
      </c>
      <c r="AC211" s="169"/>
      <c r="AD211" s="169" t="str">
        <f t="shared" si="9"/>
        <v/>
      </c>
      <c r="AE211" s="169"/>
      <c r="AF211" s="169" t="str">
        <f t="shared" si="10"/>
        <v/>
      </c>
      <c r="AG211" s="169"/>
      <c r="AH211" s="169" t="str">
        <f t="shared" si="11"/>
        <v/>
      </c>
      <c r="AI211" s="169"/>
      <c r="AJ211" s="169" t="str">
        <f t="shared" si="12"/>
        <v/>
      </c>
    </row>
    <row r="212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 t="str">
        <f t="shared" si="2"/>
        <v/>
      </c>
      <c r="Q212" s="169"/>
      <c r="R212" s="169" t="str">
        <f t="shared" si="3"/>
        <v/>
      </c>
      <c r="S212" s="169"/>
      <c r="T212" s="169" t="str">
        <f t="shared" si="4"/>
        <v/>
      </c>
      <c r="U212" s="169"/>
      <c r="V212" s="169" t="str">
        <f t="shared" si="5"/>
        <v/>
      </c>
      <c r="W212" s="169"/>
      <c r="X212" s="169" t="str">
        <f t="shared" si="6"/>
        <v/>
      </c>
      <c r="Y212" s="169"/>
      <c r="Z212" s="169" t="str">
        <f t="shared" si="7"/>
        <v/>
      </c>
      <c r="AA212" s="169"/>
      <c r="AB212" s="169" t="str">
        <f t="shared" si="8"/>
        <v/>
      </c>
      <c r="AC212" s="169"/>
      <c r="AD212" s="169" t="str">
        <f t="shared" si="9"/>
        <v/>
      </c>
      <c r="AE212" s="169"/>
      <c r="AF212" s="169" t="str">
        <f t="shared" si="10"/>
        <v/>
      </c>
      <c r="AG212" s="169"/>
      <c r="AH212" s="169" t="str">
        <f t="shared" si="11"/>
        <v/>
      </c>
      <c r="AI212" s="169"/>
      <c r="AJ212" s="169" t="str">
        <f t="shared" si="12"/>
        <v/>
      </c>
    </row>
    <row r="213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 t="str">
        <f t="shared" si="2"/>
        <v/>
      </c>
      <c r="Q213" s="169"/>
      <c r="R213" s="169" t="str">
        <f t="shared" si="3"/>
        <v/>
      </c>
      <c r="S213" s="169"/>
      <c r="T213" s="169" t="str">
        <f t="shared" si="4"/>
        <v/>
      </c>
      <c r="U213" s="169"/>
      <c r="V213" s="169" t="str">
        <f t="shared" si="5"/>
        <v/>
      </c>
      <c r="W213" s="169"/>
      <c r="X213" s="169" t="str">
        <f t="shared" si="6"/>
        <v/>
      </c>
      <c r="Y213" s="169"/>
      <c r="Z213" s="169" t="str">
        <f t="shared" si="7"/>
        <v/>
      </c>
      <c r="AA213" s="169"/>
      <c r="AB213" s="169" t="str">
        <f t="shared" si="8"/>
        <v/>
      </c>
      <c r="AC213" s="169"/>
      <c r="AD213" s="169" t="str">
        <f t="shared" si="9"/>
        <v/>
      </c>
      <c r="AE213" s="169"/>
      <c r="AF213" s="169" t="str">
        <f t="shared" si="10"/>
        <v/>
      </c>
      <c r="AG213" s="169"/>
      <c r="AH213" s="169" t="str">
        <f t="shared" si="11"/>
        <v/>
      </c>
      <c r="AI213" s="169"/>
      <c r="AJ213" s="169" t="str">
        <f t="shared" si="12"/>
        <v/>
      </c>
    </row>
    <row r="214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 t="str">
        <f t="shared" si="2"/>
        <v/>
      </c>
      <c r="Q214" s="169"/>
      <c r="R214" s="169" t="str">
        <f t="shared" si="3"/>
        <v/>
      </c>
      <c r="S214" s="169"/>
      <c r="T214" s="169" t="str">
        <f t="shared" si="4"/>
        <v/>
      </c>
      <c r="U214" s="169"/>
      <c r="V214" s="169" t="str">
        <f t="shared" si="5"/>
        <v/>
      </c>
      <c r="W214" s="169"/>
      <c r="X214" s="169" t="str">
        <f t="shared" si="6"/>
        <v/>
      </c>
      <c r="Y214" s="169"/>
      <c r="Z214" s="169" t="str">
        <f t="shared" si="7"/>
        <v/>
      </c>
      <c r="AA214" s="169"/>
      <c r="AB214" s="169" t="str">
        <f t="shared" si="8"/>
        <v/>
      </c>
      <c r="AC214" s="169"/>
      <c r="AD214" s="169" t="str">
        <f t="shared" si="9"/>
        <v/>
      </c>
      <c r="AE214" s="169"/>
      <c r="AF214" s="169" t="str">
        <f t="shared" si="10"/>
        <v/>
      </c>
      <c r="AG214" s="169"/>
      <c r="AH214" s="169" t="str">
        <f t="shared" si="11"/>
        <v/>
      </c>
      <c r="AI214" s="169"/>
      <c r="AJ214" s="169" t="str">
        <f t="shared" si="12"/>
        <v/>
      </c>
    </row>
    <row r="21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 t="str">
        <f t="shared" si="2"/>
        <v/>
      </c>
      <c r="Q215" s="169"/>
      <c r="R215" s="169" t="str">
        <f t="shared" si="3"/>
        <v/>
      </c>
      <c r="S215" s="169"/>
      <c r="T215" s="169" t="str">
        <f t="shared" si="4"/>
        <v/>
      </c>
      <c r="U215" s="169"/>
      <c r="V215" s="169" t="str">
        <f t="shared" si="5"/>
        <v/>
      </c>
      <c r="W215" s="169"/>
      <c r="X215" s="169" t="str">
        <f t="shared" si="6"/>
        <v/>
      </c>
      <c r="Y215" s="169"/>
      <c r="Z215" s="169" t="str">
        <f t="shared" si="7"/>
        <v/>
      </c>
      <c r="AA215" s="169"/>
      <c r="AB215" s="169" t="str">
        <f t="shared" si="8"/>
        <v/>
      </c>
      <c r="AC215" s="169"/>
      <c r="AD215" s="169" t="str">
        <f t="shared" si="9"/>
        <v/>
      </c>
      <c r="AE215" s="169"/>
      <c r="AF215" s="169" t="str">
        <f t="shared" si="10"/>
        <v/>
      </c>
      <c r="AG215" s="169"/>
      <c r="AH215" s="169" t="str">
        <f t="shared" si="11"/>
        <v/>
      </c>
      <c r="AI215" s="169"/>
      <c r="AJ215" s="169" t="str">
        <f t="shared" si="12"/>
        <v/>
      </c>
    </row>
    <row r="216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 t="str">
        <f t="shared" si="2"/>
        <v/>
      </c>
      <c r="Q216" s="169"/>
      <c r="R216" s="169" t="str">
        <f t="shared" si="3"/>
        <v/>
      </c>
      <c r="S216" s="169"/>
      <c r="T216" s="169" t="str">
        <f t="shared" si="4"/>
        <v/>
      </c>
      <c r="U216" s="169"/>
      <c r="V216" s="169" t="str">
        <f t="shared" si="5"/>
        <v/>
      </c>
      <c r="W216" s="169"/>
      <c r="X216" s="169" t="str">
        <f t="shared" si="6"/>
        <v/>
      </c>
      <c r="Y216" s="169"/>
      <c r="Z216" s="169" t="str">
        <f t="shared" si="7"/>
        <v/>
      </c>
      <c r="AA216" s="169"/>
      <c r="AB216" s="169" t="str">
        <f t="shared" si="8"/>
        <v/>
      </c>
      <c r="AC216" s="169"/>
      <c r="AD216" s="169" t="str">
        <f t="shared" si="9"/>
        <v/>
      </c>
      <c r="AE216" s="169"/>
      <c r="AF216" s="169" t="str">
        <f t="shared" si="10"/>
        <v/>
      </c>
      <c r="AG216" s="169"/>
      <c r="AH216" s="169" t="str">
        <f t="shared" si="11"/>
        <v/>
      </c>
      <c r="AI216" s="169"/>
      <c r="AJ216" s="169" t="str">
        <f t="shared" si="12"/>
        <v/>
      </c>
    </row>
    <row r="217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 t="str">
        <f t="shared" si="2"/>
        <v/>
      </c>
      <c r="Q217" s="169"/>
      <c r="R217" s="169" t="str">
        <f t="shared" si="3"/>
        <v/>
      </c>
      <c r="S217" s="169"/>
      <c r="T217" s="169" t="str">
        <f t="shared" si="4"/>
        <v/>
      </c>
      <c r="U217" s="169"/>
      <c r="V217" s="169" t="str">
        <f t="shared" si="5"/>
        <v/>
      </c>
      <c r="W217" s="169"/>
      <c r="X217" s="169" t="str">
        <f t="shared" si="6"/>
        <v/>
      </c>
      <c r="Y217" s="169"/>
      <c r="Z217" s="169" t="str">
        <f t="shared" si="7"/>
        <v/>
      </c>
      <c r="AA217" s="169"/>
      <c r="AB217" s="169" t="str">
        <f t="shared" si="8"/>
        <v/>
      </c>
      <c r="AC217" s="169"/>
      <c r="AD217" s="169" t="str">
        <f t="shared" si="9"/>
        <v/>
      </c>
      <c r="AE217" s="169"/>
      <c r="AF217" s="169" t="str">
        <f t="shared" si="10"/>
        <v/>
      </c>
      <c r="AG217" s="169"/>
      <c r="AH217" s="169" t="str">
        <f t="shared" si="11"/>
        <v/>
      </c>
      <c r="AI217" s="169"/>
      <c r="AJ217" s="169" t="str">
        <f t="shared" si="12"/>
        <v/>
      </c>
    </row>
    <row r="218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 t="str">
        <f t="shared" si="2"/>
        <v/>
      </c>
      <c r="Q218" s="169"/>
      <c r="R218" s="169" t="str">
        <f t="shared" si="3"/>
        <v/>
      </c>
      <c r="S218" s="169"/>
      <c r="T218" s="169" t="str">
        <f t="shared" si="4"/>
        <v/>
      </c>
      <c r="U218" s="169"/>
      <c r="V218" s="169" t="str">
        <f t="shared" si="5"/>
        <v/>
      </c>
      <c r="W218" s="169"/>
      <c r="X218" s="169" t="str">
        <f t="shared" si="6"/>
        <v/>
      </c>
      <c r="Y218" s="169"/>
      <c r="Z218" s="169" t="str">
        <f t="shared" si="7"/>
        <v/>
      </c>
      <c r="AA218" s="169"/>
      <c r="AB218" s="169" t="str">
        <f t="shared" si="8"/>
        <v/>
      </c>
      <c r="AC218" s="169"/>
      <c r="AD218" s="169" t="str">
        <f t="shared" si="9"/>
        <v/>
      </c>
      <c r="AE218" s="169"/>
      <c r="AF218" s="169" t="str">
        <f t="shared" si="10"/>
        <v/>
      </c>
      <c r="AG218" s="169"/>
      <c r="AH218" s="169" t="str">
        <f t="shared" si="11"/>
        <v/>
      </c>
      <c r="AI218" s="169"/>
      <c r="AJ218" s="169" t="str">
        <f t="shared" si="12"/>
        <v/>
      </c>
    </row>
    <row r="219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 t="str">
        <f t="shared" si="2"/>
        <v/>
      </c>
      <c r="Q219" s="169"/>
      <c r="R219" s="169" t="str">
        <f t="shared" si="3"/>
        <v/>
      </c>
      <c r="S219" s="169"/>
      <c r="T219" s="169" t="str">
        <f t="shared" si="4"/>
        <v/>
      </c>
      <c r="U219" s="169"/>
      <c r="V219" s="169" t="str">
        <f t="shared" si="5"/>
        <v/>
      </c>
      <c r="W219" s="169"/>
      <c r="X219" s="169" t="str">
        <f t="shared" si="6"/>
        <v/>
      </c>
      <c r="Y219" s="169"/>
      <c r="Z219" s="169" t="str">
        <f t="shared" si="7"/>
        <v/>
      </c>
      <c r="AA219" s="169"/>
      <c r="AB219" s="169" t="str">
        <f t="shared" si="8"/>
        <v/>
      </c>
      <c r="AC219" s="169"/>
      <c r="AD219" s="169" t="str">
        <f t="shared" si="9"/>
        <v/>
      </c>
      <c r="AE219" s="169"/>
      <c r="AF219" s="169" t="str">
        <f t="shared" si="10"/>
        <v/>
      </c>
      <c r="AG219" s="169"/>
      <c r="AH219" s="169" t="str">
        <f t="shared" si="11"/>
        <v/>
      </c>
      <c r="AI219" s="169"/>
      <c r="AJ219" s="169" t="str">
        <f t="shared" si="12"/>
        <v/>
      </c>
    </row>
    <row r="220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 t="str">
        <f t="shared" si="2"/>
        <v/>
      </c>
      <c r="Q220" s="169"/>
      <c r="R220" s="169" t="str">
        <f t="shared" si="3"/>
        <v/>
      </c>
      <c r="S220" s="169"/>
      <c r="T220" s="169" t="str">
        <f t="shared" si="4"/>
        <v/>
      </c>
      <c r="U220" s="169"/>
      <c r="V220" s="169" t="str">
        <f t="shared" si="5"/>
        <v/>
      </c>
      <c r="W220" s="169"/>
      <c r="X220" s="169" t="str">
        <f t="shared" si="6"/>
        <v/>
      </c>
      <c r="Y220" s="169"/>
      <c r="Z220" s="169" t="str">
        <f t="shared" si="7"/>
        <v/>
      </c>
      <c r="AA220" s="169"/>
      <c r="AB220" s="169" t="str">
        <f t="shared" si="8"/>
        <v/>
      </c>
      <c r="AC220" s="169"/>
      <c r="AD220" s="169" t="str">
        <f t="shared" si="9"/>
        <v/>
      </c>
      <c r="AE220" s="169"/>
      <c r="AF220" s="169" t="str">
        <f t="shared" si="10"/>
        <v/>
      </c>
      <c r="AG220" s="169"/>
      <c r="AH220" s="169" t="str">
        <f t="shared" si="11"/>
        <v/>
      </c>
      <c r="AI220" s="169"/>
      <c r="AJ220" s="169" t="str">
        <f t="shared" si="12"/>
        <v/>
      </c>
    </row>
    <row r="22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 t="str">
        <f t="shared" si="2"/>
        <v/>
      </c>
      <c r="Q221" s="169"/>
      <c r="R221" s="169" t="str">
        <f t="shared" si="3"/>
        <v/>
      </c>
      <c r="S221" s="169"/>
      <c r="T221" s="169" t="str">
        <f t="shared" si="4"/>
        <v/>
      </c>
      <c r="U221" s="169"/>
      <c r="V221" s="169" t="str">
        <f t="shared" si="5"/>
        <v/>
      </c>
      <c r="W221" s="169"/>
      <c r="X221" s="169" t="str">
        <f t="shared" si="6"/>
        <v/>
      </c>
      <c r="Y221" s="169"/>
      <c r="Z221" s="169" t="str">
        <f t="shared" si="7"/>
        <v/>
      </c>
      <c r="AA221" s="169"/>
      <c r="AB221" s="169" t="str">
        <f t="shared" si="8"/>
        <v/>
      </c>
      <c r="AC221" s="169"/>
      <c r="AD221" s="169" t="str">
        <f t="shared" si="9"/>
        <v/>
      </c>
      <c r="AE221" s="169"/>
      <c r="AF221" s="169" t="str">
        <f t="shared" si="10"/>
        <v/>
      </c>
      <c r="AG221" s="169"/>
      <c r="AH221" s="169" t="str">
        <f t="shared" si="11"/>
        <v/>
      </c>
      <c r="AI221" s="169"/>
      <c r="AJ221" s="169" t="str">
        <f t="shared" si="12"/>
        <v/>
      </c>
    </row>
    <row r="222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 t="str">
        <f t="shared" si="2"/>
        <v/>
      </c>
      <c r="Q222" s="169"/>
      <c r="R222" s="169" t="str">
        <f t="shared" si="3"/>
        <v/>
      </c>
      <c r="S222" s="169"/>
      <c r="T222" s="169" t="str">
        <f t="shared" si="4"/>
        <v/>
      </c>
      <c r="U222" s="169"/>
      <c r="V222" s="169" t="str">
        <f t="shared" si="5"/>
        <v/>
      </c>
      <c r="W222" s="169"/>
      <c r="X222" s="169" t="str">
        <f t="shared" si="6"/>
        <v/>
      </c>
      <c r="Y222" s="169"/>
      <c r="Z222" s="169" t="str">
        <f t="shared" si="7"/>
        <v/>
      </c>
      <c r="AA222" s="169"/>
      <c r="AB222" s="169" t="str">
        <f t="shared" si="8"/>
        <v/>
      </c>
      <c r="AC222" s="169"/>
      <c r="AD222" s="169" t="str">
        <f t="shared" si="9"/>
        <v/>
      </c>
      <c r="AE222" s="169"/>
      <c r="AF222" s="169" t="str">
        <f t="shared" si="10"/>
        <v/>
      </c>
      <c r="AG222" s="169"/>
      <c r="AH222" s="169" t="str">
        <f t="shared" si="11"/>
        <v/>
      </c>
      <c r="AI222" s="169"/>
      <c r="AJ222" s="169" t="str">
        <f t="shared" si="12"/>
        <v/>
      </c>
    </row>
    <row r="223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 t="str">
        <f t="shared" si="2"/>
        <v/>
      </c>
      <c r="Q223" s="169"/>
      <c r="R223" s="169" t="str">
        <f t="shared" si="3"/>
        <v/>
      </c>
      <c r="S223" s="169"/>
      <c r="T223" s="169" t="str">
        <f t="shared" si="4"/>
        <v/>
      </c>
      <c r="U223" s="169"/>
      <c r="V223" s="169" t="str">
        <f t="shared" si="5"/>
        <v/>
      </c>
      <c r="W223" s="169"/>
      <c r="X223" s="169" t="str">
        <f t="shared" si="6"/>
        <v/>
      </c>
      <c r="Y223" s="169"/>
      <c r="Z223" s="169" t="str">
        <f t="shared" si="7"/>
        <v/>
      </c>
      <c r="AA223" s="169"/>
      <c r="AB223" s="169" t="str">
        <f t="shared" si="8"/>
        <v/>
      </c>
      <c r="AC223" s="169"/>
      <c r="AD223" s="169" t="str">
        <f t="shared" si="9"/>
        <v/>
      </c>
      <c r="AE223" s="169"/>
      <c r="AF223" s="169" t="str">
        <f t="shared" si="10"/>
        <v/>
      </c>
      <c r="AG223" s="169"/>
      <c r="AH223" s="169" t="str">
        <f t="shared" si="11"/>
        <v/>
      </c>
      <c r="AI223" s="169"/>
      <c r="AJ223" s="169" t="str">
        <f t="shared" si="12"/>
        <v/>
      </c>
    </row>
    <row r="224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 t="str">
        <f t="shared" si="2"/>
        <v/>
      </c>
      <c r="Q224" s="169"/>
      <c r="R224" s="169" t="str">
        <f t="shared" si="3"/>
        <v/>
      </c>
      <c r="S224" s="169"/>
      <c r="T224" s="169" t="str">
        <f t="shared" si="4"/>
        <v/>
      </c>
      <c r="U224" s="169"/>
      <c r="V224" s="169" t="str">
        <f t="shared" si="5"/>
        <v/>
      </c>
      <c r="W224" s="169"/>
      <c r="X224" s="169" t="str">
        <f t="shared" si="6"/>
        <v/>
      </c>
      <c r="Y224" s="169"/>
      <c r="Z224" s="169" t="str">
        <f t="shared" si="7"/>
        <v/>
      </c>
      <c r="AA224" s="169"/>
      <c r="AB224" s="169" t="str">
        <f t="shared" si="8"/>
        <v/>
      </c>
      <c r="AC224" s="169"/>
      <c r="AD224" s="169" t="str">
        <f t="shared" si="9"/>
        <v/>
      </c>
      <c r="AE224" s="169"/>
      <c r="AF224" s="169" t="str">
        <f t="shared" si="10"/>
        <v/>
      </c>
      <c r="AG224" s="169"/>
      <c r="AH224" s="169" t="str">
        <f t="shared" si="11"/>
        <v/>
      </c>
      <c r="AI224" s="169"/>
      <c r="AJ224" s="169" t="str">
        <f t="shared" si="12"/>
        <v/>
      </c>
    </row>
    <row r="2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 t="str">
        <f t="shared" si="2"/>
        <v/>
      </c>
      <c r="Q225" s="169"/>
      <c r="R225" s="169" t="str">
        <f t="shared" si="3"/>
        <v/>
      </c>
      <c r="S225" s="169"/>
      <c r="T225" s="169" t="str">
        <f t="shared" si="4"/>
        <v/>
      </c>
      <c r="U225" s="169"/>
      <c r="V225" s="169" t="str">
        <f t="shared" si="5"/>
        <v/>
      </c>
      <c r="W225" s="169"/>
      <c r="X225" s="169" t="str">
        <f t="shared" si="6"/>
        <v/>
      </c>
      <c r="Y225" s="169"/>
      <c r="Z225" s="169" t="str">
        <f t="shared" si="7"/>
        <v/>
      </c>
      <c r="AA225" s="169"/>
      <c r="AB225" s="169" t="str">
        <f t="shared" si="8"/>
        <v/>
      </c>
      <c r="AC225" s="169"/>
      <c r="AD225" s="169" t="str">
        <f t="shared" si="9"/>
        <v/>
      </c>
      <c r="AE225" s="169"/>
      <c r="AF225" s="169" t="str">
        <f t="shared" si="10"/>
        <v/>
      </c>
      <c r="AG225" s="169"/>
      <c r="AH225" s="169" t="str">
        <f t="shared" si="11"/>
        <v/>
      </c>
      <c r="AI225" s="169"/>
      <c r="AJ225" s="169" t="str">
        <f t="shared" si="12"/>
        <v/>
      </c>
    </row>
    <row r="226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 t="str">
        <f t="shared" si="2"/>
        <v/>
      </c>
      <c r="Q226" s="169"/>
      <c r="R226" s="169" t="str">
        <f t="shared" si="3"/>
        <v/>
      </c>
      <c r="S226" s="169"/>
      <c r="T226" s="169" t="str">
        <f t="shared" si="4"/>
        <v/>
      </c>
      <c r="U226" s="169"/>
      <c r="V226" s="169" t="str">
        <f t="shared" si="5"/>
        <v/>
      </c>
      <c r="W226" s="169"/>
      <c r="X226" s="169" t="str">
        <f t="shared" si="6"/>
        <v/>
      </c>
      <c r="Y226" s="169"/>
      <c r="Z226" s="169" t="str">
        <f t="shared" si="7"/>
        <v/>
      </c>
      <c r="AA226" s="169"/>
      <c r="AB226" s="169" t="str">
        <f t="shared" si="8"/>
        <v/>
      </c>
      <c r="AC226" s="169"/>
      <c r="AD226" s="169" t="str">
        <f t="shared" si="9"/>
        <v/>
      </c>
      <c r="AE226" s="169"/>
      <c r="AF226" s="169" t="str">
        <f t="shared" si="10"/>
        <v/>
      </c>
      <c r="AG226" s="169"/>
      <c r="AH226" s="169" t="str">
        <f t="shared" si="11"/>
        <v/>
      </c>
      <c r="AI226" s="169"/>
      <c r="AJ226" s="169" t="str">
        <f t="shared" si="12"/>
        <v/>
      </c>
    </row>
    <row r="227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 t="str">
        <f t="shared" si="2"/>
        <v/>
      </c>
      <c r="Q227" s="169"/>
      <c r="R227" s="169" t="str">
        <f t="shared" si="3"/>
        <v/>
      </c>
      <c r="S227" s="169"/>
      <c r="T227" s="169" t="str">
        <f t="shared" si="4"/>
        <v/>
      </c>
      <c r="U227" s="169"/>
      <c r="V227" s="169" t="str">
        <f t="shared" si="5"/>
        <v/>
      </c>
      <c r="W227" s="169"/>
      <c r="X227" s="169" t="str">
        <f t="shared" si="6"/>
        <v/>
      </c>
      <c r="Y227" s="169"/>
      <c r="Z227" s="169" t="str">
        <f t="shared" si="7"/>
        <v/>
      </c>
      <c r="AA227" s="169"/>
      <c r="AB227" s="169" t="str">
        <f t="shared" si="8"/>
        <v/>
      </c>
      <c r="AC227" s="169"/>
      <c r="AD227" s="169" t="str">
        <f t="shared" si="9"/>
        <v/>
      </c>
      <c r="AE227" s="169"/>
      <c r="AF227" s="169" t="str">
        <f t="shared" si="10"/>
        <v/>
      </c>
      <c r="AG227" s="169"/>
      <c r="AH227" s="169" t="str">
        <f t="shared" si="11"/>
        <v/>
      </c>
      <c r="AI227" s="169"/>
      <c r="AJ227" s="169" t="str">
        <f t="shared" si="12"/>
        <v/>
      </c>
    </row>
    <row r="228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 t="str">
        <f t="shared" si="2"/>
        <v/>
      </c>
      <c r="Q228" s="169"/>
      <c r="R228" s="169" t="str">
        <f t="shared" si="3"/>
        <v/>
      </c>
      <c r="S228" s="169"/>
      <c r="T228" s="169" t="str">
        <f t="shared" si="4"/>
        <v/>
      </c>
      <c r="U228" s="169"/>
      <c r="V228" s="169" t="str">
        <f t="shared" si="5"/>
        <v/>
      </c>
      <c r="W228" s="169"/>
      <c r="X228" s="169" t="str">
        <f t="shared" si="6"/>
        <v/>
      </c>
      <c r="Y228" s="169"/>
      <c r="Z228" s="169" t="str">
        <f t="shared" si="7"/>
        <v/>
      </c>
      <c r="AA228" s="169"/>
      <c r="AB228" s="169" t="str">
        <f t="shared" si="8"/>
        <v/>
      </c>
      <c r="AC228" s="169"/>
      <c r="AD228" s="169" t="str">
        <f t="shared" si="9"/>
        <v/>
      </c>
      <c r="AE228" s="169"/>
      <c r="AF228" s="169" t="str">
        <f t="shared" si="10"/>
        <v/>
      </c>
      <c r="AG228" s="169"/>
      <c r="AH228" s="169" t="str">
        <f t="shared" si="11"/>
        <v/>
      </c>
      <c r="AI228" s="169"/>
      <c r="AJ228" s="169" t="str">
        <f t="shared" si="12"/>
        <v/>
      </c>
    </row>
    <row r="229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 t="str">
        <f t="shared" si="2"/>
        <v/>
      </c>
      <c r="Q229" s="169"/>
      <c r="R229" s="169" t="str">
        <f t="shared" si="3"/>
        <v/>
      </c>
      <c r="S229" s="169"/>
      <c r="T229" s="169" t="str">
        <f t="shared" si="4"/>
        <v/>
      </c>
      <c r="U229" s="169"/>
      <c r="V229" s="169" t="str">
        <f t="shared" si="5"/>
        <v/>
      </c>
      <c r="W229" s="169"/>
      <c r="X229" s="169" t="str">
        <f t="shared" si="6"/>
        <v/>
      </c>
      <c r="Y229" s="169"/>
      <c r="Z229" s="169" t="str">
        <f t="shared" si="7"/>
        <v/>
      </c>
      <c r="AA229" s="169"/>
      <c r="AB229" s="169" t="str">
        <f t="shared" si="8"/>
        <v/>
      </c>
      <c r="AC229" s="169"/>
      <c r="AD229" s="169" t="str">
        <f t="shared" si="9"/>
        <v/>
      </c>
      <c r="AE229" s="169"/>
      <c r="AF229" s="169" t="str">
        <f t="shared" si="10"/>
        <v/>
      </c>
      <c r="AG229" s="169"/>
      <c r="AH229" s="169" t="str">
        <f t="shared" si="11"/>
        <v/>
      </c>
      <c r="AI229" s="169"/>
      <c r="AJ229" s="169" t="str">
        <f t="shared" si="12"/>
        <v/>
      </c>
    </row>
    <row r="230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 t="str">
        <f t="shared" si="2"/>
        <v/>
      </c>
      <c r="Q230" s="169"/>
      <c r="R230" s="169" t="str">
        <f t="shared" si="3"/>
        <v/>
      </c>
      <c r="S230" s="169"/>
      <c r="T230" s="169" t="str">
        <f t="shared" si="4"/>
        <v/>
      </c>
      <c r="U230" s="169"/>
      <c r="V230" s="169" t="str">
        <f t="shared" si="5"/>
        <v/>
      </c>
      <c r="W230" s="169"/>
      <c r="X230" s="169" t="str">
        <f t="shared" si="6"/>
        <v/>
      </c>
      <c r="Y230" s="169"/>
      <c r="Z230" s="169" t="str">
        <f t="shared" si="7"/>
        <v/>
      </c>
      <c r="AA230" s="169"/>
      <c r="AB230" s="169" t="str">
        <f t="shared" si="8"/>
        <v/>
      </c>
      <c r="AC230" s="169"/>
      <c r="AD230" s="169" t="str">
        <f t="shared" si="9"/>
        <v/>
      </c>
      <c r="AE230" s="169"/>
      <c r="AF230" s="169" t="str">
        <f t="shared" si="10"/>
        <v/>
      </c>
      <c r="AG230" s="169"/>
      <c r="AH230" s="169" t="str">
        <f t="shared" si="11"/>
        <v/>
      </c>
      <c r="AI230" s="169"/>
      <c r="AJ230" s="169" t="str">
        <f t="shared" si="12"/>
        <v/>
      </c>
    </row>
    <row r="23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 t="str">
        <f t="shared" si="2"/>
        <v/>
      </c>
      <c r="Q231" s="169"/>
      <c r="R231" s="169" t="str">
        <f t="shared" si="3"/>
        <v/>
      </c>
      <c r="S231" s="169"/>
      <c r="T231" s="169" t="str">
        <f t="shared" si="4"/>
        <v/>
      </c>
      <c r="U231" s="169"/>
      <c r="V231" s="169" t="str">
        <f t="shared" si="5"/>
        <v/>
      </c>
      <c r="W231" s="169"/>
      <c r="X231" s="169" t="str">
        <f t="shared" si="6"/>
        <v/>
      </c>
      <c r="Y231" s="169"/>
      <c r="Z231" s="169" t="str">
        <f t="shared" si="7"/>
        <v/>
      </c>
      <c r="AA231" s="169"/>
      <c r="AB231" s="169" t="str">
        <f t="shared" si="8"/>
        <v/>
      </c>
      <c r="AC231" s="169"/>
      <c r="AD231" s="169" t="str">
        <f t="shared" si="9"/>
        <v/>
      </c>
      <c r="AE231" s="169"/>
      <c r="AF231" s="169" t="str">
        <f t="shared" si="10"/>
        <v/>
      </c>
      <c r="AG231" s="169"/>
      <c r="AH231" s="169" t="str">
        <f t="shared" si="11"/>
        <v/>
      </c>
      <c r="AI231" s="169"/>
      <c r="AJ231" s="169" t="str">
        <f t="shared" si="12"/>
        <v/>
      </c>
    </row>
    <row r="232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 t="str">
        <f t="shared" si="2"/>
        <v/>
      </c>
      <c r="Q232" s="169"/>
      <c r="R232" s="169" t="str">
        <f t="shared" si="3"/>
        <v/>
      </c>
      <c r="S232" s="169"/>
      <c r="T232" s="169" t="str">
        <f t="shared" si="4"/>
        <v/>
      </c>
      <c r="U232" s="169"/>
      <c r="V232" s="169" t="str">
        <f t="shared" si="5"/>
        <v/>
      </c>
      <c r="W232" s="169"/>
      <c r="X232" s="169" t="str">
        <f t="shared" si="6"/>
        <v/>
      </c>
      <c r="Y232" s="169"/>
      <c r="Z232" s="169" t="str">
        <f t="shared" si="7"/>
        <v/>
      </c>
      <c r="AA232" s="169"/>
      <c r="AB232" s="169" t="str">
        <f t="shared" si="8"/>
        <v/>
      </c>
      <c r="AC232" s="169"/>
      <c r="AD232" s="169" t="str">
        <f t="shared" si="9"/>
        <v/>
      </c>
      <c r="AE232" s="169"/>
      <c r="AF232" s="169" t="str">
        <f t="shared" si="10"/>
        <v/>
      </c>
      <c r="AG232" s="169"/>
      <c r="AH232" s="169" t="str">
        <f t="shared" si="11"/>
        <v/>
      </c>
      <c r="AI232" s="169"/>
      <c r="AJ232" s="169" t="str">
        <f t="shared" si="12"/>
        <v/>
      </c>
    </row>
    <row r="233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 t="str">
        <f t="shared" si="2"/>
        <v/>
      </c>
      <c r="Q233" s="169"/>
      <c r="R233" s="169" t="str">
        <f t="shared" si="3"/>
        <v/>
      </c>
      <c r="S233" s="169"/>
      <c r="T233" s="169" t="str">
        <f t="shared" si="4"/>
        <v/>
      </c>
      <c r="U233" s="169"/>
      <c r="V233" s="169" t="str">
        <f t="shared" si="5"/>
        <v/>
      </c>
      <c r="W233" s="169"/>
      <c r="X233" s="169" t="str">
        <f t="shared" si="6"/>
        <v/>
      </c>
      <c r="Y233" s="169"/>
      <c r="Z233" s="169" t="str">
        <f t="shared" si="7"/>
        <v/>
      </c>
      <c r="AA233" s="169"/>
      <c r="AB233" s="169" t="str">
        <f t="shared" si="8"/>
        <v/>
      </c>
      <c r="AC233" s="169"/>
      <c r="AD233" s="169" t="str">
        <f t="shared" si="9"/>
        <v/>
      </c>
      <c r="AE233" s="169"/>
      <c r="AF233" s="169" t="str">
        <f t="shared" si="10"/>
        <v/>
      </c>
      <c r="AG233" s="169"/>
      <c r="AH233" s="169" t="str">
        <f t="shared" si="11"/>
        <v/>
      </c>
      <c r="AI233" s="169"/>
      <c r="AJ233" s="169" t="str">
        <f t="shared" si="12"/>
        <v/>
      </c>
    </row>
    <row r="234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 t="str">
        <f t="shared" si="2"/>
        <v/>
      </c>
      <c r="Q234" s="169"/>
      <c r="R234" s="169" t="str">
        <f t="shared" si="3"/>
        <v/>
      </c>
      <c r="S234" s="169"/>
      <c r="T234" s="169" t="str">
        <f t="shared" si="4"/>
        <v/>
      </c>
      <c r="U234" s="169"/>
      <c r="V234" s="169" t="str">
        <f t="shared" si="5"/>
        <v/>
      </c>
      <c r="W234" s="169"/>
      <c r="X234" s="169" t="str">
        <f t="shared" si="6"/>
        <v/>
      </c>
      <c r="Y234" s="169"/>
      <c r="Z234" s="169" t="str">
        <f t="shared" si="7"/>
        <v/>
      </c>
      <c r="AA234" s="169"/>
      <c r="AB234" s="169" t="str">
        <f t="shared" si="8"/>
        <v/>
      </c>
      <c r="AC234" s="169"/>
      <c r="AD234" s="169" t="str">
        <f t="shared" si="9"/>
        <v/>
      </c>
      <c r="AE234" s="169"/>
      <c r="AF234" s="169" t="str">
        <f t="shared" si="10"/>
        <v/>
      </c>
      <c r="AG234" s="169"/>
      <c r="AH234" s="169" t="str">
        <f t="shared" si="11"/>
        <v/>
      </c>
      <c r="AI234" s="169"/>
      <c r="AJ234" s="169" t="str">
        <f t="shared" si="12"/>
        <v/>
      </c>
    </row>
    <row r="23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 t="str">
        <f t="shared" si="2"/>
        <v/>
      </c>
      <c r="Q235" s="169"/>
      <c r="R235" s="169" t="str">
        <f t="shared" si="3"/>
        <v/>
      </c>
      <c r="S235" s="169"/>
      <c r="T235" s="169" t="str">
        <f t="shared" si="4"/>
        <v/>
      </c>
      <c r="U235" s="169"/>
      <c r="V235" s="169" t="str">
        <f t="shared" si="5"/>
        <v/>
      </c>
      <c r="W235" s="169"/>
      <c r="X235" s="169" t="str">
        <f t="shared" si="6"/>
        <v/>
      </c>
      <c r="Y235" s="169"/>
      <c r="Z235" s="169" t="str">
        <f t="shared" si="7"/>
        <v/>
      </c>
      <c r="AA235" s="169"/>
      <c r="AB235" s="169" t="str">
        <f t="shared" si="8"/>
        <v/>
      </c>
      <c r="AC235" s="169"/>
      <c r="AD235" s="169" t="str">
        <f t="shared" si="9"/>
        <v/>
      </c>
      <c r="AE235" s="169"/>
      <c r="AF235" s="169" t="str">
        <f t="shared" si="10"/>
        <v/>
      </c>
      <c r="AG235" s="169"/>
      <c r="AH235" s="169" t="str">
        <f t="shared" si="11"/>
        <v/>
      </c>
      <c r="AI235" s="169"/>
      <c r="AJ235" s="169" t="str">
        <f t="shared" si="12"/>
        <v/>
      </c>
    </row>
    <row r="236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 t="str">
        <f t="shared" si="2"/>
        <v/>
      </c>
      <c r="Q236" s="169"/>
      <c r="R236" s="169" t="str">
        <f t="shared" si="3"/>
        <v/>
      </c>
      <c r="S236" s="169"/>
      <c r="T236" s="169" t="str">
        <f t="shared" si="4"/>
        <v/>
      </c>
      <c r="U236" s="169"/>
      <c r="V236" s="169" t="str">
        <f t="shared" si="5"/>
        <v/>
      </c>
      <c r="W236" s="169"/>
      <c r="X236" s="169" t="str">
        <f t="shared" si="6"/>
        <v/>
      </c>
      <c r="Y236" s="169"/>
      <c r="Z236" s="169" t="str">
        <f t="shared" si="7"/>
        <v/>
      </c>
      <c r="AA236" s="169"/>
      <c r="AB236" s="169" t="str">
        <f t="shared" si="8"/>
        <v/>
      </c>
      <c r="AC236" s="169"/>
      <c r="AD236" s="169" t="str">
        <f t="shared" si="9"/>
        <v/>
      </c>
      <c r="AE236" s="169"/>
      <c r="AF236" s="169" t="str">
        <f t="shared" si="10"/>
        <v/>
      </c>
      <c r="AG236" s="169"/>
      <c r="AH236" s="169" t="str">
        <f t="shared" si="11"/>
        <v/>
      </c>
      <c r="AI236" s="169"/>
      <c r="AJ236" s="169" t="str">
        <f t="shared" si="12"/>
        <v/>
      </c>
    </row>
    <row r="237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 t="str">
        <f t="shared" si="2"/>
        <v/>
      </c>
      <c r="Q237" s="169"/>
      <c r="R237" s="169" t="str">
        <f t="shared" si="3"/>
        <v/>
      </c>
      <c r="S237" s="169"/>
      <c r="T237" s="169" t="str">
        <f t="shared" si="4"/>
        <v/>
      </c>
      <c r="U237" s="169"/>
      <c r="V237" s="169" t="str">
        <f t="shared" si="5"/>
        <v/>
      </c>
      <c r="W237" s="169"/>
      <c r="X237" s="169" t="str">
        <f t="shared" si="6"/>
        <v/>
      </c>
      <c r="Y237" s="169"/>
      <c r="Z237" s="169" t="str">
        <f t="shared" si="7"/>
        <v/>
      </c>
      <c r="AA237" s="169"/>
      <c r="AB237" s="169" t="str">
        <f t="shared" si="8"/>
        <v/>
      </c>
      <c r="AC237" s="169"/>
      <c r="AD237" s="169" t="str">
        <f t="shared" si="9"/>
        <v/>
      </c>
      <c r="AE237" s="169"/>
      <c r="AF237" s="169" t="str">
        <f t="shared" si="10"/>
        <v/>
      </c>
      <c r="AG237" s="169"/>
      <c r="AH237" s="169" t="str">
        <f t="shared" si="11"/>
        <v/>
      </c>
      <c r="AI237" s="169"/>
      <c r="AJ237" s="169" t="str">
        <f t="shared" si="12"/>
        <v/>
      </c>
    </row>
    <row r="238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 t="str">
        <f t="shared" si="2"/>
        <v/>
      </c>
      <c r="Q238" s="169"/>
      <c r="R238" s="169" t="str">
        <f t="shared" si="3"/>
        <v/>
      </c>
      <c r="S238" s="169"/>
      <c r="T238" s="169" t="str">
        <f t="shared" si="4"/>
        <v/>
      </c>
      <c r="U238" s="169"/>
      <c r="V238" s="169" t="str">
        <f t="shared" si="5"/>
        <v/>
      </c>
      <c r="W238" s="169"/>
      <c r="X238" s="169" t="str">
        <f t="shared" si="6"/>
        <v/>
      </c>
      <c r="Y238" s="169"/>
      <c r="Z238" s="169" t="str">
        <f t="shared" si="7"/>
        <v/>
      </c>
      <c r="AA238" s="169"/>
      <c r="AB238" s="169" t="str">
        <f t="shared" si="8"/>
        <v/>
      </c>
      <c r="AC238" s="169"/>
      <c r="AD238" s="169" t="str">
        <f t="shared" si="9"/>
        <v/>
      </c>
      <c r="AE238" s="169"/>
      <c r="AF238" s="169" t="str">
        <f t="shared" si="10"/>
        <v/>
      </c>
      <c r="AG238" s="169"/>
      <c r="AH238" s="169" t="str">
        <f t="shared" si="11"/>
        <v/>
      </c>
      <c r="AI238" s="169"/>
      <c r="AJ238" s="169" t="str">
        <f t="shared" si="12"/>
        <v/>
      </c>
    </row>
    <row r="239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 t="str">
        <f t="shared" si="2"/>
        <v/>
      </c>
      <c r="Q239" s="169"/>
      <c r="R239" s="169" t="str">
        <f t="shared" si="3"/>
        <v/>
      </c>
      <c r="S239" s="169"/>
      <c r="T239" s="169" t="str">
        <f t="shared" si="4"/>
        <v/>
      </c>
      <c r="U239" s="169"/>
      <c r="V239" s="169" t="str">
        <f t="shared" si="5"/>
        <v/>
      </c>
      <c r="W239" s="169"/>
      <c r="X239" s="169" t="str">
        <f t="shared" si="6"/>
        <v/>
      </c>
      <c r="Y239" s="169"/>
      <c r="Z239" s="169" t="str">
        <f t="shared" si="7"/>
        <v/>
      </c>
      <c r="AA239" s="169"/>
      <c r="AB239" s="169" t="str">
        <f t="shared" si="8"/>
        <v/>
      </c>
      <c r="AC239" s="169"/>
      <c r="AD239" s="169" t="str">
        <f t="shared" si="9"/>
        <v/>
      </c>
      <c r="AE239" s="169"/>
      <c r="AF239" s="169" t="str">
        <f t="shared" si="10"/>
        <v/>
      </c>
      <c r="AG239" s="169"/>
      <c r="AH239" s="169" t="str">
        <f t="shared" si="11"/>
        <v/>
      </c>
      <c r="AI239" s="169"/>
      <c r="AJ239" s="169" t="str">
        <f t="shared" si="12"/>
        <v/>
      </c>
    </row>
    <row r="240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 t="str">
        <f t="shared" si="2"/>
        <v/>
      </c>
      <c r="Q240" s="169"/>
      <c r="R240" s="169" t="str">
        <f t="shared" si="3"/>
        <v/>
      </c>
      <c r="S240" s="169"/>
      <c r="T240" s="169" t="str">
        <f t="shared" si="4"/>
        <v/>
      </c>
      <c r="U240" s="169"/>
      <c r="V240" s="169" t="str">
        <f t="shared" si="5"/>
        <v/>
      </c>
      <c r="W240" s="169"/>
      <c r="X240" s="169" t="str">
        <f t="shared" si="6"/>
        <v/>
      </c>
      <c r="Y240" s="169"/>
      <c r="Z240" s="169" t="str">
        <f t="shared" si="7"/>
        <v/>
      </c>
      <c r="AA240" s="169"/>
      <c r="AB240" s="169" t="str">
        <f t="shared" si="8"/>
        <v/>
      </c>
      <c r="AC240" s="169"/>
      <c r="AD240" s="169" t="str">
        <f t="shared" si="9"/>
        <v/>
      </c>
      <c r="AE240" s="169"/>
      <c r="AF240" s="169" t="str">
        <f t="shared" si="10"/>
        <v/>
      </c>
      <c r="AG240" s="169"/>
      <c r="AH240" s="169" t="str">
        <f t="shared" si="11"/>
        <v/>
      </c>
      <c r="AI240" s="169"/>
      <c r="AJ240" s="169" t="str">
        <f t="shared" si="12"/>
        <v/>
      </c>
    </row>
    <row r="24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 t="str">
        <f t="shared" si="2"/>
        <v/>
      </c>
      <c r="Q241" s="169"/>
      <c r="R241" s="169" t="str">
        <f t="shared" si="3"/>
        <v/>
      </c>
      <c r="S241" s="169"/>
      <c r="T241" s="169" t="str">
        <f t="shared" si="4"/>
        <v/>
      </c>
      <c r="U241" s="169"/>
      <c r="V241" s="169" t="str">
        <f t="shared" si="5"/>
        <v/>
      </c>
      <c r="W241" s="169"/>
      <c r="X241" s="169" t="str">
        <f t="shared" si="6"/>
        <v/>
      </c>
      <c r="Y241" s="169"/>
      <c r="Z241" s="169" t="str">
        <f t="shared" si="7"/>
        <v/>
      </c>
      <c r="AA241" s="169"/>
      <c r="AB241" s="169" t="str">
        <f t="shared" si="8"/>
        <v/>
      </c>
      <c r="AC241" s="169"/>
      <c r="AD241" s="169" t="str">
        <f t="shared" si="9"/>
        <v/>
      </c>
      <c r="AE241" s="169"/>
      <c r="AF241" s="169" t="str">
        <f t="shared" si="10"/>
        <v/>
      </c>
      <c r="AG241" s="169"/>
      <c r="AH241" s="169" t="str">
        <f t="shared" si="11"/>
        <v/>
      </c>
      <c r="AI241" s="169"/>
      <c r="AJ241" s="169" t="str">
        <f t="shared" si="12"/>
        <v/>
      </c>
    </row>
    <row r="242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 t="str">
        <f t="shared" si="2"/>
        <v/>
      </c>
      <c r="Q242" s="169"/>
      <c r="R242" s="169" t="str">
        <f t="shared" si="3"/>
        <v/>
      </c>
      <c r="S242" s="169"/>
      <c r="T242" s="169" t="str">
        <f t="shared" si="4"/>
        <v/>
      </c>
      <c r="U242" s="169"/>
      <c r="V242" s="169" t="str">
        <f t="shared" si="5"/>
        <v/>
      </c>
      <c r="W242" s="169"/>
      <c r="X242" s="169" t="str">
        <f t="shared" si="6"/>
        <v/>
      </c>
      <c r="Y242" s="169"/>
      <c r="Z242" s="169" t="str">
        <f t="shared" si="7"/>
        <v/>
      </c>
      <c r="AA242" s="169"/>
      <c r="AB242" s="169" t="str">
        <f t="shared" si="8"/>
        <v/>
      </c>
      <c r="AC242" s="169"/>
      <c r="AD242" s="169" t="str">
        <f t="shared" si="9"/>
        <v/>
      </c>
      <c r="AE242" s="169"/>
      <c r="AF242" s="169" t="str">
        <f t="shared" si="10"/>
        <v/>
      </c>
      <c r="AG242" s="169"/>
      <c r="AH242" s="169" t="str">
        <f t="shared" si="11"/>
        <v/>
      </c>
      <c r="AI242" s="169"/>
      <c r="AJ242" s="169" t="str">
        <f t="shared" si="12"/>
        <v/>
      </c>
    </row>
    <row r="243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 t="str">
        <f t="shared" si="2"/>
        <v/>
      </c>
      <c r="Q243" s="169"/>
      <c r="R243" s="169" t="str">
        <f t="shared" si="3"/>
        <v/>
      </c>
      <c r="S243" s="169"/>
      <c r="T243" s="169" t="str">
        <f t="shared" si="4"/>
        <v/>
      </c>
      <c r="U243" s="169"/>
      <c r="V243" s="169" t="str">
        <f t="shared" si="5"/>
        <v/>
      </c>
      <c r="W243" s="169"/>
      <c r="X243" s="169" t="str">
        <f t="shared" si="6"/>
        <v/>
      </c>
      <c r="Y243" s="169"/>
      <c r="Z243" s="169" t="str">
        <f t="shared" si="7"/>
        <v/>
      </c>
      <c r="AA243" s="169"/>
      <c r="AB243" s="169" t="str">
        <f t="shared" si="8"/>
        <v/>
      </c>
      <c r="AC243" s="169"/>
      <c r="AD243" s="169" t="str">
        <f t="shared" si="9"/>
        <v/>
      </c>
      <c r="AE243" s="169"/>
      <c r="AF243" s="169" t="str">
        <f t="shared" si="10"/>
        <v/>
      </c>
      <c r="AG243" s="169"/>
      <c r="AH243" s="169" t="str">
        <f t="shared" si="11"/>
        <v/>
      </c>
      <c r="AI243" s="169"/>
      <c r="AJ243" s="169" t="str">
        <f t="shared" si="12"/>
        <v/>
      </c>
    </row>
    <row r="244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 t="str">
        <f t="shared" si="2"/>
        <v/>
      </c>
      <c r="Q244" s="169"/>
      <c r="R244" s="169" t="str">
        <f t="shared" si="3"/>
        <v/>
      </c>
      <c r="S244" s="169"/>
      <c r="T244" s="169" t="str">
        <f t="shared" si="4"/>
        <v/>
      </c>
      <c r="U244" s="169"/>
      <c r="V244" s="169" t="str">
        <f t="shared" si="5"/>
        <v/>
      </c>
      <c r="W244" s="169"/>
      <c r="X244" s="169" t="str">
        <f t="shared" si="6"/>
        <v/>
      </c>
      <c r="Y244" s="169"/>
      <c r="Z244" s="169" t="str">
        <f t="shared" si="7"/>
        <v/>
      </c>
      <c r="AA244" s="169"/>
      <c r="AB244" s="169" t="str">
        <f t="shared" si="8"/>
        <v/>
      </c>
      <c r="AC244" s="169"/>
      <c r="AD244" s="169" t="str">
        <f t="shared" si="9"/>
        <v/>
      </c>
      <c r="AE244" s="169"/>
      <c r="AF244" s="169" t="str">
        <f t="shared" si="10"/>
        <v/>
      </c>
      <c r="AG244" s="169"/>
      <c r="AH244" s="169" t="str">
        <f t="shared" si="11"/>
        <v/>
      </c>
      <c r="AI244" s="169"/>
      <c r="AJ244" s="169" t="str">
        <f t="shared" si="12"/>
        <v/>
      </c>
    </row>
    <row r="24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 t="str">
        <f t="shared" si="2"/>
        <v/>
      </c>
      <c r="Q245" s="169"/>
      <c r="R245" s="169" t="str">
        <f t="shared" si="3"/>
        <v/>
      </c>
      <c r="S245" s="169"/>
      <c r="T245" s="169" t="str">
        <f t="shared" si="4"/>
        <v/>
      </c>
      <c r="U245" s="169"/>
      <c r="V245" s="169" t="str">
        <f t="shared" si="5"/>
        <v/>
      </c>
      <c r="W245" s="169"/>
      <c r="X245" s="169" t="str">
        <f t="shared" si="6"/>
        <v/>
      </c>
      <c r="Y245" s="169"/>
      <c r="Z245" s="169" t="str">
        <f t="shared" si="7"/>
        <v/>
      </c>
      <c r="AA245" s="169"/>
      <c r="AB245" s="169" t="str">
        <f t="shared" si="8"/>
        <v/>
      </c>
      <c r="AC245" s="169"/>
      <c r="AD245" s="169" t="str">
        <f t="shared" si="9"/>
        <v/>
      </c>
      <c r="AE245" s="169"/>
      <c r="AF245" s="169" t="str">
        <f t="shared" si="10"/>
        <v/>
      </c>
      <c r="AG245" s="169"/>
      <c r="AH245" s="169" t="str">
        <f t="shared" si="11"/>
        <v/>
      </c>
      <c r="AI245" s="169"/>
      <c r="AJ245" s="169" t="str">
        <f t="shared" si="12"/>
        <v/>
      </c>
    </row>
    <row r="246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 t="str">
        <f t="shared" si="2"/>
        <v/>
      </c>
      <c r="Q246" s="169"/>
      <c r="R246" s="169" t="str">
        <f t="shared" si="3"/>
        <v/>
      </c>
      <c r="S246" s="169"/>
      <c r="T246" s="169" t="str">
        <f t="shared" si="4"/>
        <v/>
      </c>
      <c r="U246" s="169"/>
      <c r="V246" s="169" t="str">
        <f t="shared" si="5"/>
        <v/>
      </c>
      <c r="W246" s="169"/>
      <c r="X246" s="169" t="str">
        <f t="shared" si="6"/>
        <v/>
      </c>
      <c r="Y246" s="169"/>
      <c r="Z246" s="169" t="str">
        <f t="shared" si="7"/>
        <v/>
      </c>
      <c r="AA246" s="169"/>
      <c r="AB246" s="169" t="str">
        <f t="shared" si="8"/>
        <v/>
      </c>
      <c r="AC246" s="169"/>
      <c r="AD246" s="169" t="str">
        <f t="shared" si="9"/>
        <v/>
      </c>
      <c r="AE246" s="169"/>
      <c r="AF246" s="169" t="str">
        <f t="shared" si="10"/>
        <v/>
      </c>
      <c r="AG246" s="169"/>
      <c r="AH246" s="169" t="str">
        <f t="shared" si="11"/>
        <v/>
      </c>
      <c r="AI246" s="169"/>
      <c r="AJ246" s="169" t="str">
        <f t="shared" si="12"/>
        <v/>
      </c>
    </row>
    <row r="247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 t="str">
        <f t="shared" si="2"/>
        <v/>
      </c>
      <c r="Q247" s="169"/>
      <c r="R247" s="169" t="str">
        <f t="shared" si="3"/>
        <v/>
      </c>
      <c r="S247" s="169"/>
      <c r="T247" s="169" t="str">
        <f t="shared" si="4"/>
        <v/>
      </c>
      <c r="U247" s="169"/>
      <c r="V247" s="169" t="str">
        <f t="shared" si="5"/>
        <v/>
      </c>
      <c r="W247" s="169"/>
      <c r="X247" s="169" t="str">
        <f t="shared" si="6"/>
        <v/>
      </c>
      <c r="Y247" s="169"/>
      <c r="Z247" s="169" t="str">
        <f t="shared" si="7"/>
        <v/>
      </c>
      <c r="AA247" s="169"/>
      <c r="AB247" s="169" t="str">
        <f t="shared" si="8"/>
        <v/>
      </c>
      <c r="AC247" s="169"/>
      <c r="AD247" s="169" t="str">
        <f t="shared" si="9"/>
        <v/>
      </c>
      <c r="AE247" s="169"/>
      <c r="AF247" s="169" t="str">
        <f t="shared" si="10"/>
        <v/>
      </c>
      <c r="AG247" s="169"/>
      <c r="AH247" s="169" t="str">
        <f t="shared" si="11"/>
        <v/>
      </c>
      <c r="AI247" s="169"/>
      <c r="AJ247" s="169" t="str">
        <f t="shared" si="12"/>
        <v/>
      </c>
    </row>
    <row r="248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 t="str">
        <f t="shared" si="2"/>
        <v/>
      </c>
      <c r="Q248" s="169"/>
      <c r="R248" s="169" t="str">
        <f t="shared" si="3"/>
        <v/>
      </c>
      <c r="S248" s="169"/>
      <c r="T248" s="169" t="str">
        <f t="shared" si="4"/>
        <v/>
      </c>
      <c r="U248" s="169"/>
      <c r="V248" s="169" t="str">
        <f t="shared" si="5"/>
        <v/>
      </c>
      <c r="W248" s="169"/>
      <c r="X248" s="169" t="str">
        <f t="shared" si="6"/>
        <v/>
      </c>
      <c r="Y248" s="169"/>
      <c r="Z248" s="169" t="str">
        <f t="shared" si="7"/>
        <v/>
      </c>
      <c r="AA248" s="169"/>
      <c r="AB248" s="169" t="str">
        <f t="shared" si="8"/>
        <v/>
      </c>
      <c r="AC248" s="169"/>
      <c r="AD248" s="169" t="str">
        <f t="shared" si="9"/>
        <v/>
      </c>
      <c r="AE248" s="169"/>
      <c r="AF248" s="169" t="str">
        <f t="shared" si="10"/>
        <v/>
      </c>
      <c r="AG248" s="169"/>
      <c r="AH248" s="169" t="str">
        <f t="shared" si="11"/>
        <v/>
      </c>
      <c r="AI248" s="169"/>
      <c r="AJ248" s="169" t="str">
        <f t="shared" si="12"/>
        <v/>
      </c>
    </row>
    <row r="249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 t="str">
        <f t="shared" si="2"/>
        <v/>
      </c>
      <c r="Q249" s="169"/>
      <c r="R249" s="169" t="str">
        <f t="shared" si="3"/>
        <v/>
      </c>
      <c r="S249" s="169"/>
      <c r="T249" s="169" t="str">
        <f t="shared" si="4"/>
        <v/>
      </c>
      <c r="U249" s="169"/>
      <c r="V249" s="169" t="str">
        <f t="shared" si="5"/>
        <v/>
      </c>
      <c r="W249" s="169"/>
      <c r="X249" s="169" t="str">
        <f t="shared" si="6"/>
        <v/>
      </c>
      <c r="Y249" s="169"/>
      <c r="Z249" s="169" t="str">
        <f t="shared" si="7"/>
        <v/>
      </c>
      <c r="AA249" s="169"/>
      <c r="AB249" s="169" t="str">
        <f t="shared" si="8"/>
        <v/>
      </c>
      <c r="AC249" s="169"/>
      <c r="AD249" s="169" t="str">
        <f t="shared" si="9"/>
        <v/>
      </c>
      <c r="AE249" s="169"/>
      <c r="AF249" s="169" t="str">
        <f t="shared" si="10"/>
        <v/>
      </c>
      <c r="AG249" s="169"/>
      <c r="AH249" s="169" t="str">
        <f t="shared" si="11"/>
        <v/>
      </c>
      <c r="AI249" s="169"/>
      <c r="AJ249" s="169" t="str">
        <f t="shared" si="12"/>
        <v/>
      </c>
    </row>
    <row r="250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 t="str">
        <f t="shared" si="2"/>
        <v/>
      </c>
      <c r="Q250" s="169"/>
      <c r="R250" s="169" t="str">
        <f t="shared" si="3"/>
        <v/>
      </c>
      <c r="S250" s="169"/>
      <c r="T250" s="169" t="str">
        <f t="shared" si="4"/>
        <v/>
      </c>
      <c r="U250" s="169"/>
      <c r="V250" s="169" t="str">
        <f t="shared" si="5"/>
        <v/>
      </c>
      <c r="W250" s="169"/>
      <c r="X250" s="169" t="str">
        <f t="shared" si="6"/>
        <v/>
      </c>
      <c r="Y250" s="169"/>
      <c r="Z250" s="169" t="str">
        <f t="shared" si="7"/>
        <v/>
      </c>
      <c r="AA250" s="169"/>
      <c r="AB250" s="169" t="str">
        <f t="shared" si="8"/>
        <v/>
      </c>
      <c r="AC250" s="169"/>
      <c r="AD250" s="169" t="str">
        <f t="shared" si="9"/>
        <v/>
      </c>
      <c r="AE250" s="169"/>
      <c r="AF250" s="169" t="str">
        <f t="shared" si="10"/>
        <v/>
      </c>
      <c r="AG250" s="169"/>
      <c r="AH250" s="169" t="str">
        <f t="shared" si="11"/>
        <v/>
      </c>
      <c r="AI250" s="169"/>
      <c r="AJ250" s="169" t="str">
        <f t="shared" si="12"/>
        <v/>
      </c>
    </row>
    <row r="25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 t="str">
        <f t="shared" si="2"/>
        <v/>
      </c>
      <c r="Q251" s="169"/>
      <c r="R251" s="169" t="str">
        <f t="shared" si="3"/>
        <v/>
      </c>
      <c r="S251" s="169"/>
      <c r="T251" s="169" t="str">
        <f t="shared" si="4"/>
        <v/>
      </c>
      <c r="U251" s="169"/>
      <c r="V251" s="169" t="str">
        <f t="shared" si="5"/>
        <v/>
      </c>
      <c r="W251" s="169"/>
      <c r="X251" s="169" t="str">
        <f t="shared" si="6"/>
        <v/>
      </c>
      <c r="Y251" s="169"/>
      <c r="Z251" s="169" t="str">
        <f t="shared" si="7"/>
        <v/>
      </c>
      <c r="AA251" s="169"/>
      <c r="AB251" s="169" t="str">
        <f t="shared" si="8"/>
        <v/>
      </c>
      <c r="AC251" s="169"/>
      <c r="AD251" s="169" t="str">
        <f t="shared" si="9"/>
        <v/>
      </c>
      <c r="AE251" s="169"/>
      <c r="AF251" s="169" t="str">
        <f t="shared" si="10"/>
        <v/>
      </c>
      <c r="AG251" s="169"/>
      <c r="AH251" s="169" t="str">
        <f t="shared" si="11"/>
        <v/>
      </c>
      <c r="AI251" s="169"/>
      <c r="AJ251" s="169" t="str">
        <f t="shared" si="12"/>
        <v/>
      </c>
    </row>
    <row r="252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 t="str">
        <f t="shared" si="2"/>
        <v/>
      </c>
      <c r="Q252" s="169"/>
      <c r="R252" s="169" t="str">
        <f t="shared" si="3"/>
        <v/>
      </c>
      <c r="S252" s="169"/>
      <c r="T252" s="169" t="str">
        <f t="shared" si="4"/>
        <v/>
      </c>
      <c r="U252" s="169"/>
      <c r="V252" s="169" t="str">
        <f t="shared" si="5"/>
        <v/>
      </c>
      <c r="W252" s="169"/>
      <c r="X252" s="169" t="str">
        <f t="shared" si="6"/>
        <v/>
      </c>
      <c r="Y252" s="169"/>
      <c r="Z252" s="169" t="str">
        <f t="shared" si="7"/>
        <v/>
      </c>
      <c r="AA252" s="169"/>
      <c r="AB252" s="169" t="str">
        <f t="shared" si="8"/>
        <v/>
      </c>
      <c r="AC252" s="169"/>
      <c r="AD252" s="169" t="str">
        <f t="shared" si="9"/>
        <v/>
      </c>
      <c r="AE252" s="169"/>
      <c r="AF252" s="169" t="str">
        <f t="shared" si="10"/>
        <v/>
      </c>
      <c r="AG252" s="169"/>
      <c r="AH252" s="169" t="str">
        <f t="shared" si="11"/>
        <v/>
      </c>
      <c r="AI252" s="169"/>
      <c r="AJ252" s="169" t="str">
        <f t="shared" si="12"/>
        <v/>
      </c>
    </row>
    <row r="253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 t="str">
        <f t="shared" si="2"/>
        <v/>
      </c>
      <c r="Q253" s="169"/>
      <c r="R253" s="169" t="str">
        <f t="shared" si="3"/>
        <v/>
      </c>
      <c r="S253" s="169"/>
      <c r="T253" s="169" t="str">
        <f t="shared" si="4"/>
        <v/>
      </c>
      <c r="U253" s="169"/>
      <c r="V253" s="169" t="str">
        <f t="shared" si="5"/>
        <v/>
      </c>
      <c r="W253" s="169"/>
      <c r="X253" s="169" t="str">
        <f t="shared" si="6"/>
        <v/>
      </c>
      <c r="Y253" s="169"/>
      <c r="Z253" s="169" t="str">
        <f t="shared" si="7"/>
        <v/>
      </c>
      <c r="AA253" s="169"/>
      <c r="AB253" s="169" t="str">
        <f t="shared" si="8"/>
        <v/>
      </c>
      <c r="AC253" s="169"/>
      <c r="AD253" s="169" t="str">
        <f t="shared" si="9"/>
        <v/>
      </c>
      <c r="AE253" s="169"/>
      <c r="AF253" s="169" t="str">
        <f t="shared" si="10"/>
        <v/>
      </c>
      <c r="AG253" s="169"/>
      <c r="AH253" s="169" t="str">
        <f t="shared" si="11"/>
        <v/>
      </c>
      <c r="AI253" s="169"/>
      <c r="AJ253" s="169" t="str">
        <f t="shared" si="12"/>
        <v/>
      </c>
    </row>
    <row r="254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 t="str">
        <f t="shared" si="2"/>
        <v/>
      </c>
      <c r="Q254" s="169"/>
      <c r="R254" s="169" t="str">
        <f t="shared" si="3"/>
        <v/>
      </c>
      <c r="S254" s="169"/>
      <c r="T254" s="169" t="str">
        <f t="shared" si="4"/>
        <v/>
      </c>
      <c r="U254" s="169"/>
      <c r="V254" s="169" t="str">
        <f t="shared" si="5"/>
        <v/>
      </c>
      <c r="W254" s="169"/>
      <c r="X254" s="169" t="str">
        <f t="shared" si="6"/>
        <v/>
      </c>
      <c r="Y254" s="169"/>
      <c r="Z254" s="169" t="str">
        <f t="shared" si="7"/>
        <v/>
      </c>
      <c r="AA254" s="169"/>
      <c r="AB254" s="169" t="str">
        <f t="shared" si="8"/>
        <v/>
      </c>
      <c r="AC254" s="169"/>
      <c r="AD254" s="169" t="str">
        <f t="shared" si="9"/>
        <v/>
      </c>
      <c r="AE254" s="169"/>
      <c r="AF254" s="169" t="str">
        <f t="shared" si="10"/>
        <v/>
      </c>
      <c r="AG254" s="169"/>
      <c r="AH254" s="169" t="str">
        <f t="shared" si="11"/>
        <v/>
      </c>
      <c r="AI254" s="169"/>
      <c r="AJ254" s="169" t="str">
        <f t="shared" si="12"/>
        <v/>
      </c>
    </row>
    <row r="25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 t="str">
        <f t="shared" si="2"/>
        <v/>
      </c>
      <c r="Q255" s="169"/>
      <c r="R255" s="169" t="str">
        <f t="shared" si="3"/>
        <v/>
      </c>
      <c r="S255" s="169"/>
      <c r="T255" s="169" t="str">
        <f t="shared" si="4"/>
        <v/>
      </c>
      <c r="U255" s="169"/>
      <c r="V255" s="169" t="str">
        <f t="shared" si="5"/>
        <v/>
      </c>
      <c r="W255" s="169"/>
      <c r="X255" s="169" t="str">
        <f t="shared" si="6"/>
        <v/>
      </c>
      <c r="Y255" s="169"/>
      <c r="Z255" s="169" t="str">
        <f t="shared" si="7"/>
        <v/>
      </c>
      <c r="AA255" s="169"/>
      <c r="AB255" s="169" t="str">
        <f t="shared" si="8"/>
        <v/>
      </c>
      <c r="AC255" s="169"/>
      <c r="AD255" s="169" t="str">
        <f t="shared" si="9"/>
        <v/>
      </c>
      <c r="AE255" s="169"/>
      <c r="AF255" s="169" t="str">
        <f t="shared" si="10"/>
        <v/>
      </c>
      <c r="AG255" s="169"/>
      <c r="AH255" s="169" t="str">
        <f t="shared" si="11"/>
        <v/>
      </c>
      <c r="AI255" s="169"/>
      <c r="AJ255" s="169" t="str">
        <f t="shared" si="12"/>
        <v/>
      </c>
    </row>
    <row r="256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 t="str">
        <f t="shared" si="2"/>
        <v/>
      </c>
      <c r="Q256" s="169"/>
      <c r="R256" s="169" t="str">
        <f t="shared" si="3"/>
        <v/>
      </c>
      <c r="S256" s="169"/>
      <c r="T256" s="169" t="str">
        <f t="shared" si="4"/>
        <v/>
      </c>
      <c r="U256" s="169"/>
      <c r="V256" s="169" t="str">
        <f t="shared" si="5"/>
        <v/>
      </c>
      <c r="W256" s="169"/>
      <c r="X256" s="169" t="str">
        <f t="shared" si="6"/>
        <v/>
      </c>
      <c r="Y256" s="169"/>
      <c r="Z256" s="169" t="str">
        <f t="shared" si="7"/>
        <v/>
      </c>
      <c r="AA256" s="169"/>
      <c r="AB256" s="169" t="str">
        <f t="shared" si="8"/>
        <v/>
      </c>
      <c r="AC256" s="169"/>
      <c r="AD256" s="169" t="str">
        <f t="shared" si="9"/>
        <v/>
      </c>
      <c r="AE256" s="169"/>
      <c r="AF256" s="169" t="str">
        <f t="shared" si="10"/>
        <v/>
      </c>
      <c r="AG256" s="169"/>
      <c r="AH256" s="169" t="str">
        <f t="shared" si="11"/>
        <v/>
      </c>
      <c r="AI256" s="169"/>
      <c r="AJ256" s="169" t="str">
        <f t="shared" si="12"/>
        <v/>
      </c>
    </row>
    <row r="257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 t="str">
        <f t="shared" si="2"/>
        <v/>
      </c>
      <c r="Q257" s="169"/>
      <c r="R257" s="169" t="str">
        <f t="shared" si="3"/>
        <v/>
      </c>
      <c r="S257" s="169"/>
      <c r="T257" s="169" t="str">
        <f t="shared" si="4"/>
        <v/>
      </c>
      <c r="U257" s="169"/>
      <c r="V257" s="169" t="str">
        <f t="shared" si="5"/>
        <v/>
      </c>
      <c r="W257" s="169"/>
      <c r="X257" s="169" t="str">
        <f t="shared" si="6"/>
        <v/>
      </c>
      <c r="Y257" s="169"/>
      <c r="Z257" s="169" t="str">
        <f t="shared" si="7"/>
        <v/>
      </c>
      <c r="AA257" s="169"/>
      <c r="AB257" s="169" t="str">
        <f t="shared" si="8"/>
        <v/>
      </c>
      <c r="AC257" s="169"/>
      <c r="AD257" s="169" t="str">
        <f t="shared" si="9"/>
        <v/>
      </c>
      <c r="AE257" s="169"/>
      <c r="AF257" s="169" t="str">
        <f t="shared" si="10"/>
        <v/>
      </c>
      <c r="AG257" s="169"/>
      <c r="AH257" s="169" t="str">
        <f t="shared" si="11"/>
        <v/>
      </c>
      <c r="AI257" s="169"/>
      <c r="AJ257" s="169" t="str">
        <f t="shared" si="12"/>
        <v/>
      </c>
    </row>
    <row r="258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 t="str">
        <f t="shared" si="2"/>
        <v/>
      </c>
      <c r="Q258" s="169"/>
      <c r="R258" s="169" t="str">
        <f t="shared" si="3"/>
        <v/>
      </c>
      <c r="S258" s="169"/>
      <c r="T258" s="169" t="str">
        <f t="shared" si="4"/>
        <v/>
      </c>
      <c r="U258" s="169"/>
      <c r="V258" s="169" t="str">
        <f t="shared" si="5"/>
        <v/>
      </c>
      <c r="W258" s="169"/>
      <c r="X258" s="169" t="str">
        <f t="shared" si="6"/>
        <v/>
      </c>
      <c r="Y258" s="169"/>
      <c r="Z258" s="169" t="str">
        <f t="shared" si="7"/>
        <v/>
      </c>
      <c r="AA258" s="169"/>
      <c r="AB258" s="169" t="str">
        <f t="shared" si="8"/>
        <v/>
      </c>
      <c r="AC258" s="169"/>
      <c r="AD258" s="169" t="str">
        <f t="shared" si="9"/>
        <v/>
      </c>
      <c r="AE258" s="169"/>
      <c r="AF258" s="169" t="str">
        <f t="shared" si="10"/>
        <v/>
      </c>
      <c r="AG258" s="169"/>
      <c r="AH258" s="169" t="str">
        <f t="shared" si="11"/>
        <v/>
      </c>
      <c r="AI258" s="169"/>
      <c r="AJ258" s="169" t="str">
        <f t="shared" si="12"/>
        <v/>
      </c>
    </row>
    <row r="259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 t="str">
        <f t="shared" si="2"/>
        <v/>
      </c>
      <c r="Q259" s="169"/>
      <c r="R259" s="169" t="str">
        <f t="shared" si="3"/>
        <v/>
      </c>
      <c r="S259" s="169"/>
      <c r="T259" s="169" t="str">
        <f t="shared" si="4"/>
        <v/>
      </c>
      <c r="U259" s="169"/>
      <c r="V259" s="169" t="str">
        <f t="shared" si="5"/>
        <v/>
      </c>
      <c r="W259" s="169"/>
      <c r="X259" s="169" t="str">
        <f t="shared" si="6"/>
        <v/>
      </c>
      <c r="Y259" s="169"/>
      <c r="Z259" s="169" t="str">
        <f t="shared" si="7"/>
        <v/>
      </c>
      <c r="AA259" s="169"/>
      <c r="AB259" s="169" t="str">
        <f t="shared" si="8"/>
        <v/>
      </c>
      <c r="AC259" s="169"/>
      <c r="AD259" s="169" t="str">
        <f t="shared" si="9"/>
        <v/>
      </c>
      <c r="AE259" s="169"/>
      <c r="AF259" s="169" t="str">
        <f t="shared" si="10"/>
        <v/>
      </c>
      <c r="AG259" s="169"/>
      <c r="AH259" s="169" t="str">
        <f t="shared" si="11"/>
        <v/>
      </c>
      <c r="AI259" s="169"/>
      <c r="AJ259" s="169" t="str">
        <f t="shared" si="12"/>
        <v/>
      </c>
    </row>
    <row r="260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 t="str">
        <f t="shared" si="2"/>
        <v/>
      </c>
      <c r="Q260" s="169"/>
      <c r="R260" s="169" t="str">
        <f t="shared" si="3"/>
        <v/>
      </c>
      <c r="S260" s="169"/>
      <c r="T260" s="169" t="str">
        <f t="shared" si="4"/>
        <v/>
      </c>
      <c r="U260" s="169"/>
      <c r="V260" s="169" t="str">
        <f t="shared" si="5"/>
        <v/>
      </c>
      <c r="W260" s="169"/>
      <c r="X260" s="169" t="str">
        <f t="shared" si="6"/>
        <v/>
      </c>
      <c r="Y260" s="169"/>
      <c r="Z260" s="169" t="str">
        <f t="shared" si="7"/>
        <v/>
      </c>
      <c r="AA260" s="169"/>
      <c r="AB260" s="169" t="str">
        <f t="shared" si="8"/>
        <v/>
      </c>
      <c r="AC260" s="169"/>
      <c r="AD260" s="169" t="str">
        <f t="shared" si="9"/>
        <v/>
      </c>
      <c r="AE260" s="169"/>
      <c r="AF260" s="169" t="str">
        <f t="shared" si="10"/>
        <v/>
      </c>
      <c r="AG260" s="169"/>
      <c r="AH260" s="169" t="str">
        <f t="shared" si="11"/>
        <v/>
      </c>
      <c r="AI260" s="169"/>
      <c r="AJ260" s="169" t="str">
        <f t="shared" si="12"/>
        <v/>
      </c>
    </row>
    <row r="26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 t="str">
        <f t="shared" si="2"/>
        <v/>
      </c>
      <c r="Q261" s="169"/>
      <c r="R261" s="169" t="str">
        <f t="shared" si="3"/>
        <v/>
      </c>
      <c r="S261" s="169"/>
      <c r="T261" s="169" t="str">
        <f t="shared" si="4"/>
        <v/>
      </c>
      <c r="U261" s="169"/>
      <c r="V261" s="169" t="str">
        <f t="shared" si="5"/>
        <v/>
      </c>
      <c r="W261" s="169"/>
      <c r="X261" s="169" t="str">
        <f t="shared" si="6"/>
        <v/>
      </c>
      <c r="Y261" s="169"/>
      <c r="Z261" s="169" t="str">
        <f t="shared" si="7"/>
        <v/>
      </c>
      <c r="AA261" s="169"/>
      <c r="AB261" s="169" t="str">
        <f t="shared" si="8"/>
        <v/>
      </c>
      <c r="AC261" s="169"/>
      <c r="AD261" s="169" t="str">
        <f t="shared" si="9"/>
        <v/>
      </c>
      <c r="AE261" s="169"/>
      <c r="AF261" s="169" t="str">
        <f t="shared" si="10"/>
        <v/>
      </c>
      <c r="AG261" s="169"/>
      <c r="AH261" s="169" t="str">
        <f t="shared" si="11"/>
        <v/>
      </c>
      <c r="AI261" s="169"/>
      <c r="AJ261" s="169" t="str">
        <f t="shared" si="12"/>
        <v/>
      </c>
    </row>
    <row r="262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 t="str">
        <f t="shared" si="2"/>
        <v/>
      </c>
      <c r="Q262" s="169"/>
      <c r="R262" s="169" t="str">
        <f t="shared" si="3"/>
        <v/>
      </c>
      <c r="S262" s="169"/>
      <c r="T262" s="169" t="str">
        <f t="shared" si="4"/>
        <v/>
      </c>
      <c r="U262" s="169"/>
      <c r="V262" s="169" t="str">
        <f t="shared" si="5"/>
        <v/>
      </c>
      <c r="W262" s="169"/>
      <c r="X262" s="169" t="str">
        <f t="shared" si="6"/>
        <v/>
      </c>
      <c r="Y262" s="169"/>
      <c r="Z262" s="169" t="str">
        <f t="shared" si="7"/>
        <v/>
      </c>
      <c r="AA262" s="169"/>
      <c r="AB262" s="169" t="str">
        <f t="shared" si="8"/>
        <v/>
      </c>
      <c r="AC262" s="169"/>
      <c r="AD262" s="169" t="str">
        <f t="shared" si="9"/>
        <v/>
      </c>
      <c r="AE262" s="169"/>
      <c r="AF262" s="169" t="str">
        <f t="shared" si="10"/>
        <v/>
      </c>
      <c r="AG262" s="169"/>
      <c r="AH262" s="169" t="str">
        <f t="shared" si="11"/>
        <v/>
      </c>
      <c r="AI262" s="169"/>
      <c r="AJ262" s="169" t="str">
        <f t="shared" si="12"/>
        <v/>
      </c>
    </row>
    <row r="263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 t="str">
        <f t="shared" si="2"/>
        <v/>
      </c>
      <c r="Q263" s="169"/>
      <c r="R263" s="169" t="str">
        <f t="shared" si="3"/>
        <v/>
      </c>
      <c r="S263" s="169"/>
      <c r="T263" s="169" t="str">
        <f t="shared" si="4"/>
        <v/>
      </c>
      <c r="U263" s="169"/>
      <c r="V263" s="169" t="str">
        <f t="shared" si="5"/>
        <v/>
      </c>
      <c r="W263" s="169"/>
      <c r="X263" s="169" t="str">
        <f t="shared" si="6"/>
        <v/>
      </c>
      <c r="Y263" s="169"/>
      <c r="Z263" s="169" t="str">
        <f t="shared" si="7"/>
        <v/>
      </c>
      <c r="AA263" s="169"/>
      <c r="AB263" s="169" t="str">
        <f t="shared" si="8"/>
        <v/>
      </c>
      <c r="AC263" s="169"/>
      <c r="AD263" s="169" t="str">
        <f t="shared" si="9"/>
        <v/>
      </c>
      <c r="AE263" s="169"/>
      <c r="AF263" s="169" t="str">
        <f t="shared" si="10"/>
        <v/>
      </c>
      <c r="AG263" s="169"/>
      <c r="AH263" s="169" t="str">
        <f t="shared" si="11"/>
        <v/>
      </c>
      <c r="AI263" s="169"/>
      <c r="AJ263" s="169" t="str">
        <f t="shared" si="12"/>
        <v/>
      </c>
    </row>
    <row r="264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 t="str">
        <f t="shared" si="2"/>
        <v/>
      </c>
      <c r="Q264" s="169"/>
      <c r="R264" s="169" t="str">
        <f t="shared" si="3"/>
        <v/>
      </c>
      <c r="S264" s="169"/>
      <c r="T264" s="169" t="str">
        <f t="shared" si="4"/>
        <v/>
      </c>
      <c r="U264" s="169"/>
      <c r="V264" s="169" t="str">
        <f t="shared" si="5"/>
        <v/>
      </c>
      <c r="W264" s="169"/>
      <c r="X264" s="169" t="str">
        <f t="shared" si="6"/>
        <v/>
      </c>
      <c r="Y264" s="169"/>
      <c r="Z264" s="169" t="str">
        <f t="shared" si="7"/>
        <v/>
      </c>
      <c r="AA264" s="169"/>
      <c r="AB264" s="169" t="str">
        <f t="shared" si="8"/>
        <v/>
      </c>
      <c r="AC264" s="169"/>
      <c r="AD264" s="169" t="str">
        <f t="shared" si="9"/>
        <v/>
      </c>
      <c r="AE264" s="169"/>
      <c r="AF264" s="169" t="str">
        <f t="shared" si="10"/>
        <v/>
      </c>
      <c r="AG264" s="169"/>
      <c r="AH264" s="169" t="str">
        <f t="shared" si="11"/>
        <v/>
      </c>
      <c r="AI264" s="169"/>
      <c r="AJ264" s="169" t="str">
        <f t="shared" si="12"/>
        <v/>
      </c>
    </row>
    <row r="26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 t="str">
        <f t="shared" si="2"/>
        <v/>
      </c>
      <c r="Q265" s="169"/>
      <c r="R265" s="169" t="str">
        <f t="shared" si="3"/>
        <v/>
      </c>
      <c r="S265" s="169"/>
      <c r="T265" s="169" t="str">
        <f t="shared" si="4"/>
        <v/>
      </c>
      <c r="U265" s="169"/>
      <c r="V265" s="169" t="str">
        <f t="shared" si="5"/>
        <v/>
      </c>
      <c r="W265" s="169"/>
      <c r="X265" s="169" t="str">
        <f t="shared" si="6"/>
        <v/>
      </c>
      <c r="Y265" s="169"/>
      <c r="Z265" s="169" t="str">
        <f t="shared" si="7"/>
        <v/>
      </c>
      <c r="AA265" s="169"/>
      <c r="AB265" s="169" t="str">
        <f t="shared" si="8"/>
        <v/>
      </c>
      <c r="AC265" s="169"/>
      <c r="AD265" s="169" t="str">
        <f t="shared" si="9"/>
        <v/>
      </c>
      <c r="AE265" s="169"/>
      <c r="AF265" s="169" t="str">
        <f t="shared" si="10"/>
        <v/>
      </c>
      <c r="AG265" s="169"/>
      <c r="AH265" s="169" t="str">
        <f t="shared" si="11"/>
        <v/>
      </c>
      <c r="AI265" s="169"/>
      <c r="AJ265" s="169" t="str">
        <f t="shared" si="12"/>
        <v/>
      </c>
    </row>
    <row r="266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 t="str">
        <f t="shared" si="2"/>
        <v/>
      </c>
      <c r="Q266" s="169"/>
      <c r="R266" s="169" t="str">
        <f t="shared" si="3"/>
        <v/>
      </c>
      <c r="S266" s="169"/>
      <c r="T266" s="169" t="str">
        <f t="shared" si="4"/>
        <v/>
      </c>
      <c r="U266" s="169"/>
      <c r="V266" s="169" t="str">
        <f t="shared" si="5"/>
        <v/>
      </c>
      <c r="W266" s="169"/>
      <c r="X266" s="169" t="str">
        <f t="shared" si="6"/>
        <v/>
      </c>
      <c r="Y266" s="169"/>
      <c r="Z266" s="169" t="str">
        <f t="shared" si="7"/>
        <v/>
      </c>
      <c r="AA266" s="169"/>
      <c r="AB266" s="169" t="str">
        <f t="shared" si="8"/>
        <v/>
      </c>
      <c r="AC266" s="169"/>
      <c r="AD266" s="169" t="str">
        <f t="shared" si="9"/>
        <v/>
      </c>
      <c r="AE266" s="169"/>
      <c r="AF266" s="169" t="str">
        <f t="shared" si="10"/>
        <v/>
      </c>
      <c r="AG266" s="169"/>
      <c r="AH266" s="169" t="str">
        <f t="shared" si="11"/>
        <v/>
      </c>
      <c r="AI266" s="169"/>
      <c r="AJ266" s="169" t="str">
        <f t="shared" si="12"/>
        <v/>
      </c>
    </row>
    <row r="267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 t="str">
        <f t="shared" si="2"/>
        <v/>
      </c>
      <c r="Q267" s="169"/>
      <c r="R267" s="169" t="str">
        <f t="shared" si="3"/>
        <v/>
      </c>
      <c r="S267" s="169"/>
      <c r="T267" s="169" t="str">
        <f t="shared" si="4"/>
        <v/>
      </c>
      <c r="U267" s="169"/>
      <c r="V267" s="169" t="str">
        <f t="shared" si="5"/>
        <v/>
      </c>
      <c r="W267" s="169"/>
      <c r="X267" s="169" t="str">
        <f t="shared" si="6"/>
        <v/>
      </c>
      <c r="Y267" s="169"/>
      <c r="Z267" s="169" t="str">
        <f t="shared" si="7"/>
        <v/>
      </c>
      <c r="AA267" s="169"/>
      <c r="AB267" s="169" t="str">
        <f t="shared" si="8"/>
        <v/>
      </c>
      <c r="AC267" s="169"/>
      <c r="AD267" s="169" t="str">
        <f t="shared" si="9"/>
        <v/>
      </c>
      <c r="AE267" s="169"/>
      <c r="AF267" s="169" t="str">
        <f t="shared" si="10"/>
        <v/>
      </c>
      <c r="AG267" s="169"/>
      <c r="AH267" s="169" t="str">
        <f t="shared" si="11"/>
        <v/>
      </c>
      <c r="AI267" s="169"/>
      <c r="AJ267" s="169" t="str">
        <f t="shared" si="12"/>
        <v/>
      </c>
    </row>
    <row r="268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 t="str">
        <f t="shared" si="2"/>
        <v/>
      </c>
      <c r="Q268" s="169"/>
      <c r="R268" s="169" t="str">
        <f t="shared" si="3"/>
        <v/>
      </c>
      <c r="S268" s="169"/>
      <c r="T268" s="169" t="str">
        <f t="shared" si="4"/>
        <v/>
      </c>
      <c r="U268" s="169"/>
      <c r="V268" s="169" t="str">
        <f t="shared" si="5"/>
        <v/>
      </c>
      <c r="W268" s="169"/>
      <c r="X268" s="169" t="str">
        <f t="shared" si="6"/>
        <v/>
      </c>
      <c r="Y268" s="169"/>
      <c r="Z268" s="169" t="str">
        <f t="shared" si="7"/>
        <v/>
      </c>
      <c r="AA268" s="169"/>
      <c r="AB268" s="169" t="str">
        <f t="shared" si="8"/>
        <v/>
      </c>
      <c r="AC268" s="169"/>
      <c r="AD268" s="169" t="str">
        <f t="shared" si="9"/>
        <v/>
      </c>
      <c r="AE268" s="169"/>
      <c r="AF268" s="169" t="str">
        <f t="shared" si="10"/>
        <v/>
      </c>
      <c r="AG268" s="169"/>
      <c r="AH268" s="169" t="str">
        <f t="shared" si="11"/>
        <v/>
      </c>
      <c r="AI268" s="169"/>
      <c r="AJ268" s="169" t="str">
        <f t="shared" si="12"/>
        <v/>
      </c>
    </row>
    <row r="269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 t="str">
        <f t="shared" si="2"/>
        <v/>
      </c>
      <c r="Q269" s="169"/>
      <c r="R269" s="169" t="str">
        <f t="shared" si="3"/>
        <v/>
      </c>
      <c r="S269" s="169"/>
      <c r="T269" s="169" t="str">
        <f t="shared" si="4"/>
        <v/>
      </c>
      <c r="U269" s="169"/>
      <c r="V269" s="169" t="str">
        <f t="shared" si="5"/>
        <v/>
      </c>
      <c r="W269" s="169"/>
      <c r="X269" s="169" t="str">
        <f t="shared" si="6"/>
        <v/>
      </c>
      <c r="Y269" s="169"/>
      <c r="Z269" s="169" t="str">
        <f t="shared" si="7"/>
        <v/>
      </c>
      <c r="AA269" s="169"/>
      <c r="AB269" s="169" t="str">
        <f t="shared" si="8"/>
        <v/>
      </c>
      <c r="AC269" s="169"/>
      <c r="AD269" s="169" t="str">
        <f t="shared" si="9"/>
        <v/>
      </c>
      <c r="AE269" s="169"/>
      <c r="AF269" s="169" t="str">
        <f t="shared" si="10"/>
        <v/>
      </c>
      <c r="AG269" s="169"/>
      <c r="AH269" s="169" t="str">
        <f t="shared" si="11"/>
        <v/>
      </c>
      <c r="AI269" s="169"/>
      <c r="AJ269" s="169" t="str">
        <f t="shared" si="12"/>
        <v/>
      </c>
    </row>
    <row r="270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 t="str">
        <f t="shared" si="2"/>
        <v/>
      </c>
      <c r="Q270" s="169"/>
      <c r="R270" s="169" t="str">
        <f t="shared" si="3"/>
        <v/>
      </c>
      <c r="S270" s="169"/>
      <c r="T270" s="169" t="str">
        <f t="shared" si="4"/>
        <v/>
      </c>
      <c r="U270" s="169"/>
      <c r="V270" s="169" t="str">
        <f t="shared" si="5"/>
        <v/>
      </c>
      <c r="W270" s="169"/>
      <c r="X270" s="169" t="str">
        <f t="shared" si="6"/>
        <v/>
      </c>
      <c r="Y270" s="169"/>
      <c r="Z270" s="169" t="str">
        <f t="shared" si="7"/>
        <v/>
      </c>
      <c r="AA270" s="169"/>
      <c r="AB270" s="169" t="str">
        <f t="shared" si="8"/>
        <v/>
      </c>
      <c r="AC270" s="169"/>
      <c r="AD270" s="169" t="str">
        <f t="shared" si="9"/>
        <v/>
      </c>
      <c r="AE270" s="169"/>
      <c r="AF270" s="169" t="str">
        <f t="shared" si="10"/>
        <v/>
      </c>
      <c r="AG270" s="169"/>
      <c r="AH270" s="169" t="str">
        <f t="shared" si="11"/>
        <v/>
      </c>
      <c r="AI270" s="169"/>
      <c r="AJ270" s="169" t="str">
        <f t="shared" si="12"/>
        <v/>
      </c>
    </row>
    <row r="27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 t="str">
        <f t="shared" si="2"/>
        <v/>
      </c>
      <c r="Q271" s="169"/>
      <c r="R271" s="169" t="str">
        <f t="shared" si="3"/>
        <v/>
      </c>
      <c r="S271" s="169"/>
      <c r="T271" s="169" t="str">
        <f t="shared" si="4"/>
        <v/>
      </c>
      <c r="U271" s="169"/>
      <c r="V271" s="169" t="str">
        <f t="shared" si="5"/>
        <v/>
      </c>
      <c r="W271" s="169"/>
      <c r="X271" s="169" t="str">
        <f t="shared" si="6"/>
        <v/>
      </c>
      <c r="Y271" s="169"/>
      <c r="Z271" s="169" t="str">
        <f t="shared" si="7"/>
        <v/>
      </c>
      <c r="AA271" s="169"/>
      <c r="AB271" s="169" t="str">
        <f t="shared" si="8"/>
        <v/>
      </c>
      <c r="AC271" s="169"/>
      <c r="AD271" s="169" t="str">
        <f t="shared" si="9"/>
        <v/>
      </c>
      <c r="AE271" s="169"/>
      <c r="AF271" s="169" t="str">
        <f t="shared" si="10"/>
        <v/>
      </c>
      <c r="AG271" s="169"/>
      <c r="AH271" s="169" t="str">
        <f t="shared" si="11"/>
        <v/>
      </c>
      <c r="AI271" s="169"/>
      <c r="AJ271" s="169" t="str">
        <f t="shared" si="12"/>
        <v/>
      </c>
    </row>
    <row r="272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 t="str">
        <f t="shared" si="2"/>
        <v/>
      </c>
      <c r="Q272" s="169"/>
      <c r="R272" s="169" t="str">
        <f t="shared" si="3"/>
        <v/>
      </c>
      <c r="S272" s="169"/>
      <c r="T272" s="169" t="str">
        <f t="shared" si="4"/>
        <v/>
      </c>
      <c r="U272" s="169"/>
      <c r="V272" s="169" t="str">
        <f t="shared" si="5"/>
        <v/>
      </c>
      <c r="W272" s="169"/>
      <c r="X272" s="169" t="str">
        <f t="shared" si="6"/>
        <v/>
      </c>
      <c r="Y272" s="169"/>
      <c r="Z272" s="169" t="str">
        <f t="shared" si="7"/>
        <v/>
      </c>
      <c r="AA272" s="169"/>
      <c r="AB272" s="169" t="str">
        <f t="shared" si="8"/>
        <v/>
      </c>
      <c r="AC272" s="169"/>
      <c r="AD272" s="169" t="str">
        <f t="shared" si="9"/>
        <v/>
      </c>
      <c r="AE272" s="169"/>
      <c r="AF272" s="169" t="str">
        <f t="shared" si="10"/>
        <v/>
      </c>
      <c r="AG272" s="169"/>
      <c r="AH272" s="169" t="str">
        <f t="shared" si="11"/>
        <v/>
      </c>
      <c r="AI272" s="169"/>
      <c r="AJ272" s="169" t="str">
        <f t="shared" si="12"/>
        <v/>
      </c>
    </row>
    <row r="273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 t="str">
        <f t="shared" si="2"/>
        <v/>
      </c>
      <c r="Q273" s="169"/>
      <c r="R273" s="169" t="str">
        <f t="shared" si="3"/>
        <v/>
      </c>
      <c r="S273" s="169"/>
      <c r="T273" s="169" t="str">
        <f t="shared" si="4"/>
        <v/>
      </c>
      <c r="U273" s="169"/>
      <c r="V273" s="169" t="str">
        <f t="shared" si="5"/>
        <v/>
      </c>
      <c r="W273" s="169"/>
      <c r="X273" s="169" t="str">
        <f t="shared" si="6"/>
        <v/>
      </c>
      <c r="Y273" s="169"/>
      <c r="Z273" s="169" t="str">
        <f t="shared" si="7"/>
        <v/>
      </c>
      <c r="AA273" s="169"/>
      <c r="AB273" s="169" t="str">
        <f t="shared" si="8"/>
        <v/>
      </c>
      <c r="AC273" s="169"/>
      <c r="AD273" s="169" t="str">
        <f t="shared" si="9"/>
        <v/>
      </c>
      <c r="AE273" s="169"/>
      <c r="AF273" s="169" t="str">
        <f t="shared" si="10"/>
        <v/>
      </c>
      <c r="AG273" s="169"/>
      <c r="AH273" s="169" t="str">
        <f t="shared" si="11"/>
        <v/>
      </c>
      <c r="AI273" s="169"/>
      <c r="AJ273" s="169" t="str">
        <f t="shared" si="12"/>
        <v/>
      </c>
    </row>
    <row r="274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 t="str">
        <f t="shared" si="2"/>
        <v/>
      </c>
      <c r="Q274" s="169"/>
      <c r="R274" s="169" t="str">
        <f t="shared" si="3"/>
        <v/>
      </c>
      <c r="S274" s="169"/>
      <c r="T274" s="169" t="str">
        <f t="shared" si="4"/>
        <v/>
      </c>
      <c r="U274" s="169"/>
      <c r="V274" s="169" t="str">
        <f t="shared" si="5"/>
        <v/>
      </c>
      <c r="W274" s="169"/>
      <c r="X274" s="169" t="str">
        <f t="shared" si="6"/>
        <v/>
      </c>
      <c r="Y274" s="169"/>
      <c r="Z274" s="169" t="str">
        <f t="shared" si="7"/>
        <v/>
      </c>
      <c r="AA274" s="169"/>
      <c r="AB274" s="169" t="str">
        <f t="shared" si="8"/>
        <v/>
      </c>
      <c r="AC274" s="169"/>
      <c r="AD274" s="169" t="str">
        <f t="shared" si="9"/>
        <v/>
      </c>
      <c r="AE274" s="169"/>
      <c r="AF274" s="169" t="str">
        <f t="shared" si="10"/>
        <v/>
      </c>
      <c r="AG274" s="169"/>
      <c r="AH274" s="169" t="str">
        <f t="shared" si="11"/>
        <v/>
      </c>
      <c r="AI274" s="169"/>
      <c r="AJ274" s="169" t="str">
        <f t="shared" si="12"/>
        <v/>
      </c>
    </row>
    <row r="27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 t="str">
        <f t="shared" si="2"/>
        <v/>
      </c>
      <c r="Q275" s="169"/>
      <c r="R275" s="169" t="str">
        <f t="shared" si="3"/>
        <v/>
      </c>
      <c r="S275" s="169"/>
      <c r="T275" s="169" t="str">
        <f t="shared" si="4"/>
        <v/>
      </c>
      <c r="U275" s="169"/>
      <c r="V275" s="169" t="str">
        <f t="shared" si="5"/>
        <v/>
      </c>
      <c r="W275" s="169"/>
      <c r="X275" s="169" t="str">
        <f t="shared" si="6"/>
        <v/>
      </c>
      <c r="Y275" s="169"/>
      <c r="Z275" s="169" t="str">
        <f t="shared" si="7"/>
        <v/>
      </c>
      <c r="AA275" s="169"/>
      <c r="AB275" s="169" t="str">
        <f t="shared" si="8"/>
        <v/>
      </c>
      <c r="AC275" s="169"/>
      <c r="AD275" s="169" t="str">
        <f t="shared" si="9"/>
        <v/>
      </c>
      <c r="AE275" s="169"/>
      <c r="AF275" s="169" t="str">
        <f t="shared" si="10"/>
        <v/>
      </c>
      <c r="AG275" s="169"/>
      <c r="AH275" s="169" t="str">
        <f t="shared" si="11"/>
        <v/>
      </c>
      <c r="AI275" s="169"/>
      <c r="AJ275" s="169" t="str">
        <f t="shared" si="12"/>
        <v/>
      </c>
    </row>
    <row r="276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 t="str">
        <f t="shared" si="2"/>
        <v/>
      </c>
      <c r="Q276" s="169"/>
      <c r="R276" s="169" t="str">
        <f t="shared" si="3"/>
        <v/>
      </c>
      <c r="S276" s="169"/>
      <c r="T276" s="169" t="str">
        <f t="shared" si="4"/>
        <v/>
      </c>
      <c r="U276" s="169"/>
      <c r="V276" s="169" t="str">
        <f t="shared" si="5"/>
        <v/>
      </c>
      <c r="W276" s="169"/>
      <c r="X276" s="169" t="str">
        <f t="shared" si="6"/>
        <v/>
      </c>
      <c r="Y276" s="169"/>
      <c r="Z276" s="169" t="str">
        <f t="shared" si="7"/>
        <v/>
      </c>
      <c r="AA276" s="169"/>
      <c r="AB276" s="169" t="str">
        <f t="shared" si="8"/>
        <v/>
      </c>
      <c r="AC276" s="169"/>
      <c r="AD276" s="169" t="str">
        <f t="shared" si="9"/>
        <v/>
      </c>
      <c r="AE276" s="169"/>
      <c r="AF276" s="169" t="str">
        <f t="shared" si="10"/>
        <v/>
      </c>
      <c r="AG276" s="169"/>
      <c r="AH276" s="169" t="str">
        <f t="shared" si="11"/>
        <v/>
      </c>
      <c r="AI276" s="169"/>
      <c r="AJ276" s="169" t="str">
        <f t="shared" si="12"/>
        <v/>
      </c>
    </row>
    <row r="277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 t="str">
        <f t="shared" si="2"/>
        <v/>
      </c>
      <c r="Q277" s="169"/>
      <c r="R277" s="169" t="str">
        <f t="shared" si="3"/>
        <v/>
      </c>
      <c r="S277" s="169"/>
      <c r="T277" s="169" t="str">
        <f t="shared" si="4"/>
        <v/>
      </c>
      <c r="U277" s="169"/>
      <c r="V277" s="169" t="str">
        <f t="shared" si="5"/>
        <v/>
      </c>
      <c r="W277" s="169"/>
      <c r="X277" s="169" t="str">
        <f t="shared" si="6"/>
        <v/>
      </c>
      <c r="Y277" s="169"/>
      <c r="Z277" s="169" t="str">
        <f t="shared" si="7"/>
        <v/>
      </c>
      <c r="AA277" s="169"/>
      <c r="AB277" s="169" t="str">
        <f t="shared" si="8"/>
        <v/>
      </c>
      <c r="AC277" s="169"/>
      <c r="AD277" s="169" t="str">
        <f t="shared" si="9"/>
        <v/>
      </c>
      <c r="AE277" s="169"/>
      <c r="AF277" s="169" t="str">
        <f t="shared" si="10"/>
        <v/>
      </c>
      <c r="AG277" s="169"/>
      <c r="AH277" s="169" t="str">
        <f t="shared" si="11"/>
        <v/>
      </c>
      <c r="AI277" s="169"/>
      <c r="AJ277" s="169" t="str">
        <f t="shared" si="12"/>
        <v/>
      </c>
    </row>
    <row r="278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 t="str">
        <f t="shared" si="2"/>
        <v/>
      </c>
      <c r="Q278" s="169"/>
      <c r="R278" s="169" t="str">
        <f t="shared" si="3"/>
        <v/>
      </c>
      <c r="S278" s="169"/>
      <c r="T278" s="169" t="str">
        <f t="shared" si="4"/>
        <v/>
      </c>
      <c r="U278" s="169"/>
      <c r="V278" s="169" t="str">
        <f t="shared" si="5"/>
        <v/>
      </c>
      <c r="W278" s="169"/>
      <c r="X278" s="169" t="str">
        <f t="shared" si="6"/>
        <v/>
      </c>
      <c r="Y278" s="169"/>
      <c r="Z278" s="169" t="str">
        <f t="shared" si="7"/>
        <v/>
      </c>
      <c r="AA278" s="169"/>
      <c r="AB278" s="169" t="str">
        <f t="shared" si="8"/>
        <v/>
      </c>
      <c r="AC278" s="169"/>
      <c r="AD278" s="169" t="str">
        <f t="shared" si="9"/>
        <v/>
      </c>
      <c r="AE278" s="169"/>
      <c r="AF278" s="169" t="str">
        <f t="shared" si="10"/>
        <v/>
      </c>
      <c r="AG278" s="169"/>
      <c r="AH278" s="169" t="str">
        <f t="shared" si="11"/>
        <v/>
      </c>
      <c r="AI278" s="169"/>
      <c r="AJ278" s="169" t="str">
        <f t="shared" si="12"/>
        <v/>
      </c>
    </row>
    <row r="279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 t="str">
        <f t="shared" si="2"/>
        <v/>
      </c>
      <c r="Q279" s="169"/>
      <c r="R279" s="169" t="str">
        <f t="shared" si="3"/>
        <v/>
      </c>
      <c r="S279" s="169"/>
      <c r="T279" s="169" t="str">
        <f t="shared" si="4"/>
        <v/>
      </c>
      <c r="U279" s="169"/>
      <c r="V279" s="169" t="str">
        <f t="shared" si="5"/>
        <v/>
      </c>
      <c r="W279" s="169"/>
      <c r="X279" s="169" t="str">
        <f t="shared" si="6"/>
        <v/>
      </c>
      <c r="Y279" s="169"/>
      <c r="Z279" s="169" t="str">
        <f t="shared" si="7"/>
        <v/>
      </c>
      <c r="AA279" s="169"/>
      <c r="AB279" s="169" t="str">
        <f t="shared" si="8"/>
        <v/>
      </c>
      <c r="AC279" s="169"/>
      <c r="AD279" s="169" t="str">
        <f t="shared" si="9"/>
        <v/>
      </c>
      <c r="AE279" s="169"/>
      <c r="AF279" s="169" t="str">
        <f t="shared" si="10"/>
        <v/>
      </c>
      <c r="AG279" s="169"/>
      <c r="AH279" s="169" t="str">
        <f t="shared" si="11"/>
        <v/>
      </c>
      <c r="AI279" s="169"/>
      <c r="AJ279" s="169" t="str">
        <f t="shared" si="12"/>
        <v/>
      </c>
    </row>
    <row r="280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 t="str">
        <f t="shared" si="2"/>
        <v/>
      </c>
      <c r="Q280" s="169"/>
      <c r="R280" s="169" t="str">
        <f t="shared" si="3"/>
        <v/>
      </c>
      <c r="S280" s="169"/>
      <c r="T280" s="169" t="str">
        <f t="shared" si="4"/>
        <v/>
      </c>
      <c r="U280" s="169"/>
      <c r="V280" s="169" t="str">
        <f t="shared" si="5"/>
        <v/>
      </c>
      <c r="W280" s="169"/>
      <c r="X280" s="169" t="str">
        <f t="shared" si="6"/>
        <v/>
      </c>
      <c r="Y280" s="169"/>
      <c r="Z280" s="169" t="str">
        <f t="shared" si="7"/>
        <v/>
      </c>
      <c r="AA280" s="169"/>
      <c r="AB280" s="169" t="str">
        <f t="shared" si="8"/>
        <v/>
      </c>
      <c r="AC280" s="169"/>
      <c r="AD280" s="169" t="str">
        <f t="shared" si="9"/>
        <v/>
      </c>
      <c r="AE280" s="169"/>
      <c r="AF280" s="169" t="str">
        <f t="shared" si="10"/>
        <v/>
      </c>
      <c r="AG280" s="169"/>
      <c r="AH280" s="169" t="str">
        <f t="shared" si="11"/>
        <v/>
      </c>
      <c r="AI280" s="169"/>
      <c r="AJ280" s="169" t="str">
        <f t="shared" si="12"/>
        <v/>
      </c>
    </row>
    <row r="28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 t="str">
        <f t="shared" si="2"/>
        <v/>
      </c>
      <c r="Q281" s="169"/>
      <c r="R281" s="169" t="str">
        <f t="shared" si="3"/>
        <v/>
      </c>
      <c r="S281" s="169"/>
      <c r="T281" s="169" t="str">
        <f t="shared" si="4"/>
        <v/>
      </c>
      <c r="U281" s="169"/>
      <c r="V281" s="169" t="str">
        <f t="shared" si="5"/>
        <v/>
      </c>
      <c r="W281" s="169"/>
      <c r="X281" s="169" t="str">
        <f t="shared" si="6"/>
        <v/>
      </c>
      <c r="Y281" s="169"/>
      <c r="Z281" s="169" t="str">
        <f t="shared" si="7"/>
        <v/>
      </c>
      <c r="AA281" s="169"/>
      <c r="AB281" s="169" t="str">
        <f t="shared" si="8"/>
        <v/>
      </c>
      <c r="AC281" s="169"/>
      <c r="AD281" s="169" t="str">
        <f t="shared" si="9"/>
        <v/>
      </c>
      <c r="AE281" s="169"/>
      <c r="AF281" s="169" t="str">
        <f t="shared" si="10"/>
        <v/>
      </c>
      <c r="AG281" s="169"/>
      <c r="AH281" s="169" t="str">
        <f t="shared" si="11"/>
        <v/>
      </c>
      <c r="AI281" s="169"/>
      <c r="AJ281" s="169" t="str">
        <f t="shared" si="12"/>
        <v/>
      </c>
    </row>
    <row r="282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 t="str">
        <f t="shared" si="2"/>
        <v/>
      </c>
      <c r="Q282" s="169"/>
      <c r="R282" s="169" t="str">
        <f t="shared" si="3"/>
        <v/>
      </c>
      <c r="S282" s="169"/>
      <c r="T282" s="169" t="str">
        <f t="shared" si="4"/>
        <v/>
      </c>
      <c r="U282" s="169"/>
      <c r="V282" s="169" t="str">
        <f t="shared" si="5"/>
        <v/>
      </c>
      <c r="W282" s="169"/>
      <c r="X282" s="169" t="str">
        <f t="shared" si="6"/>
        <v/>
      </c>
      <c r="Y282" s="169"/>
      <c r="Z282" s="169" t="str">
        <f t="shared" si="7"/>
        <v/>
      </c>
      <c r="AA282" s="169"/>
      <c r="AB282" s="169" t="str">
        <f t="shared" si="8"/>
        <v/>
      </c>
      <c r="AC282" s="169"/>
      <c r="AD282" s="169" t="str">
        <f t="shared" si="9"/>
        <v/>
      </c>
      <c r="AE282" s="169"/>
      <c r="AF282" s="169" t="str">
        <f t="shared" si="10"/>
        <v/>
      </c>
      <c r="AG282" s="169"/>
      <c r="AH282" s="169" t="str">
        <f t="shared" si="11"/>
        <v/>
      </c>
      <c r="AI282" s="169"/>
      <c r="AJ282" s="169" t="str">
        <f t="shared" si="12"/>
        <v/>
      </c>
    </row>
    <row r="283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 t="str">
        <f t="shared" si="2"/>
        <v/>
      </c>
      <c r="Q283" s="169"/>
      <c r="R283" s="169" t="str">
        <f t="shared" si="3"/>
        <v/>
      </c>
      <c r="S283" s="169"/>
      <c r="T283" s="169" t="str">
        <f t="shared" si="4"/>
        <v/>
      </c>
      <c r="U283" s="169"/>
      <c r="V283" s="169" t="str">
        <f t="shared" si="5"/>
        <v/>
      </c>
      <c r="W283" s="169"/>
      <c r="X283" s="169" t="str">
        <f t="shared" si="6"/>
        <v/>
      </c>
      <c r="Y283" s="169"/>
      <c r="Z283" s="169" t="str">
        <f t="shared" si="7"/>
        <v/>
      </c>
      <c r="AA283" s="169"/>
      <c r="AB283" s="169" t="str">
        <f t="shared" si="8"/>
        <v/>
      </c>
      <c r="AC283" s="169"/>
      <c r="AD283" s="169" t="str">
        <f t="shared" si="9"/>
        <v/>
      </c>
      <c r="AE283" s="169"/>
      <c r="AF283" s="169" t="str">
        <f t="shared" si="10"/>
        <v/>
      </c>
      <c r="AG283" s="169"/>
      <c r="AH283" s="169" t="str">
        <f t="shared" si="11"/>
        <v/>
      </c>
      <c r="AI283" s="169"/>
      <c r="AJ283" s="169" t="str">
        <f t="shared" si="12"/>
        <v/>
      </c>
    </row>
    <row r="284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 t="str">
        <f t="shared" si="2"/>
        <v/>
      </c>
      <c r="Q284" s="169"/>
      <c r="R284" s="169" t="str">
        <f t="shared" si="3"/>
        <v/>
      </c>
      <c r="S284" s="169"/>
      <c r="T284" s="169" t="str">
        <f t="shared" si="4"/>
        <v/>
      </c>
      <c r="U284" s="169"/>
      <c r="V284" s="169" t="str">
        <f t="shared" si="5"/>
        <v/>
      </c>
      <c r="W284" s="169"/>
      <c r="X284" s="169" t="str">
        <f t="shared" si="6"/>
        <v/>
      </c>
      <c r="Y284" s="169"/>
      <c r="Z284" s="169" t="str">
        <f t="shared" si="7"/>
        <v/>
      </c>
      <c r="AA284" s="169"/>
      <c r="AB284" s="169" t="str">
        <f t="shared" si="8"/>
        <v/>
      </c>
      <c r="AC284" s="169"/>
      <c r="AD284" s="169" t="str">
        <f t="shared" si="9"/>
        <v/>
      </c>
      <c r="AE284" s="169"/>
      <c r="AF284" s="169" t="str">
        <f t="shared" si="10"/>
        <v/>
      </c>
      <c r="AG284" s="169"/>
      <c r="AH284" s="169" t="str">
        <f t="shared" si="11"/>
        <v/>
      </c>
      <c r="AI284" s="169"/>
      <c r="AJ284" s="169" t="str">
        <f t="shared" si="12"/>
        <v/>
      </c>
    </row>
    <row r="28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 t="str">
        <f t="shared" si="2"/>
        <v/>
      </c>
      <c r="Q285" s="169"/>
      <c r="R285" s="169" t="str">
        <f t="shared" si="3"/>
        <v/>
      </c>
      <c r="S285" s="169"/>
      <c r="T285" s="169" t="str">
        <f t="shared" si="4"/>
        <v/>
      </c>
      <c r="U285" s="169"/>
      <c r="V285" s="169" t="str">
        <f t="shared" si="5"/>
        <v/>
      </c>
      <c r="W285" s="169"/>
      <c r="X285" s="169" t="str">
        <f t="shared" si="6"/>
        <v/>
      </c>
      <c r="Y285" s="169"/>
      <c r="Z285" s="169" t="str">
        <f t="shared" si="7"/>
        <v/>
      </c>
      <c r="AA285" s="169"/>
      <c r="AB285" s="169" t="str">
        <f t="shared" si="8"/>
        <v/>
      </c>
      <c r="AC285" s="169"/>
      <c r="AD285" s="169" t="str">
        <f t="shared" si="9"/>
        <v/>
      </c>
      <c r="AE285" s="169"/>
      <c r="AF285" s="169" t="str">
        <f t="shared" si="10"/>
        <v/>
      </c>
      <c r="AG285" s="169"/>
      <c r="AH285" s="169" t="str">
        <f t="shared" si="11"/>
        <v/>
      </c>
      <c r="AI285" s="169"/>
      <c r="AJ285" s="169" t="str">
        <f t="shared" si="12"/>
        <v/>
      </c>
    </row>
    <row r="286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 t="str">
        <f t="shared" si="2"/>
        <v/>
      </c>
      <c r="Q286" s="169"/>
      <c r="R286" s="169" t="str">
        <f t="shared" si="3"/>
        <v/>
      </c>
      <c r="S286" s="169"/>
      <c r="T286" s="169" t="str">
        <f t="shared" si="4"/>
        <v/>
      </c>
      <c r="U286" s="169"/>
      <c r="V286" s="169" t="str">
        <f t="shared" si="5"/>
        <v/>
      </c>
      <c r="W286" s="169"/>
      <c r="X286" s="169" t="str">
        <f t="shared" si="6"/>
        <v/>
      </c>
      <c r="Y286" s="169"/>
      <c r="Z286" s="169" t="str">
        <f t="shared" si="7"/>
        <v/>
      </c>
      <c r="AA286" s="169"/>
      <c r="AB286" s="169" t="str">
        <f t="shared" si="8"/>
        <v/>
      </c>
      <c r="AC286" s="169"/>
      <c r="AD286" s="169" t="str">
        <f t="shared" si="9"/>
        <v/>
      </c>
      <c r="AE286" s="169"/>
      <c r="AF286" s="169" t="str">
        <f t="shared" si="10"/>
        <v/>
      </c>
      <c r="AG286" s="169"/>
      <c r="AH286" s="169" t="str">
        <f t="shared" si="11"/>
        <v/>
      </c>
      <c r="AI286" s="169"/>
      <c r="AJ286" s="169" t="str">
        <f t="shared" si="12"/>
        <v/>
      </c>
    </row>
    <row r="287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 t="str">
        <f t="shared" si="2"/>
        <v/>
      </c>
      <c r="Q287" s="169"/>
      <c r="R287" s="169" t="str">
        <f t="shared" si="3"/>
        <v/>
      </c>
      <c r="S287" s="169"/>
      <c r="T287" s="169" t="str">
        <f t="shared" si="4"/>
        <v/>
      </c>
      <c r="U287" s="169"/>
      <c r="V287" s="169" t="str">
        <f t="shared" si="5"/>
        <v/>
      </c>
      <c r="W287" s="169"/>
      <c r="X287" s="169" t="str">
        <f t="shared" si="6"/>
        <v/>
      </c>
      <c r="Y287" s="169"/>
      <c r="Z287" s="169" t="str">
        <f t="shared" si="7"/>
        <v/>
      </c>
      <c r="AA287" s="169"/>
      <c r="AB287" s="169" t="str">
        <f t="shared" si="8"/>
        <v/>
      </c>
      <c r="AC287" s="169"/>
      <c r="AD287" s="169" t="str">
        <f t="shared" si="9"/>
        <v/>
      </c>
      <c r="AE287" s="169"/>
      <c r="AF287" s="169" t="str">
        <f t="shared" si="10"/>
        <v/>
      </c>
      <c r="AG287" s="169"/>
      <c r="AH287" s="169" t="str">
        <f t="shared" si="11"/>
        <v/>
      </c>
      <c r="AI287" s="169"/>
      <c r="AJ287" s="169" t="str">
        <f t="shared" si="12"/>
        <v/>
      </c>
    </row>
    <row r="288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 t="str">
        <f t="shared" si="2"/>
        <v/>
      </c>
      <c r="Q288" s="169"/>
      <c r="R288" s="169" t="str">
        <f t="shared" si="3"/>
        <v/>
      </c>
      <c r="S288" s="169"/>
      <c r="T288" s="169" t="str">
        <f t="shared" si="4"/>
        <v/>
      </c>
      <c r="U288" s="169"/>
      <c r="V288" s="169" t="str">
        <f t="shared" si="5"/>
        <v/>
      </c>
      <c r="W288" s="169"/>
      <c r="X288" s="169" t="str">
        <f t="shared" si="6"/>
        <v/>
      </c>
      <c r="Y288" s="169"/>
      <c r="Z288" s="169" t="str">
        <f t="shared" si="7"/>
        <v/>
      </c>
      <c r="AA288" s="169"/>
      <c r="AB288" s="169" t="str">
        <f t="shared" si="8"/>
        <v/>
      </c>
      <c r="AC288" s="169"/>
      <c r="AD288" s="169" t="str">
        <f t="shared" si="9"/>
        <v/>
      </c>
      <c r="AE288" s="169"/>
      <c r="AF288" s="169" t="str">
        <f t="shared" si="10"/>
        <v/>
      </c>
      <c r="AG288" s="169"/>
      <c r="AH288" s="169" t="str">
        <f t="shared" si="11"/>
        <v/>
      </c>
      <c r="AI288" s="169"/>
      <c r="AJ288" s="169" t="str">
        <f t="shared" si="12"/>
        <v/>
      </c>
    </row>
    <row r="289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 t="str">
        <f t="shared" si="2"/>
        <v/>
      </c>
      <c r="Q289" s="169"/>
      <c r="R289" s="169" t="str">
        <f t="shared" si="3"/>
        <v/>
      </c>
      <c r="S289" s="169"/>
      <c r="T289" s="169" t="str">
        <f t="shared" si="4"/>
        <v/>
      </c>
      <c r="U289" s="169"/>
      <c r="V289" s="169" t="str">
        <f t="shared" si="5"/>
        <v/>
      </c>
      <c r="W289" s="169"/>
      <c r="X289" s="169" t="str">
        <f t="shared" si="6"/>
        <v/>
      </c>
      <c r="Y289" s="169"/>
      <c r="Z289" s="169" t="str">
        <f t="shared" si="7"/>
        <v/>
      </c>
      <c r="AA289" s="169"/>
      <c r="AB289" s="169" t="str">
        <f t="shared" si="8"/>
        <v/>
      </c>
      <c r="AC289" s="169"/>
      <c r="AD289" s="169" t="str">
        <f t="shared" si="9"/>
        <v/>
      </c>
      <c r="AE289" s="169"/>
      <c r="AF289" s="169" t="str">
        <f t="shared" si="10"/>
        <v/>
      </c>
      <c r="AG289" s="169"/>
      <c r="AH289" s="169" t="str">
        <f t="shared" si="11"/>
        <v/>
      </c>
      <c r="AI289" s="169"/>
      <c r="AJ289" s="169" t="str">
        <f t="shared" si="12"/>
        <v/>
      </c>
    </row>
    <row r="290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 t="str">
        <f t="shared" si="2"/>
        <v/>
      </c>
      <c r="Q290" s="169"/>
      <c r="R290" s="169" t="str">
        <f t="shared" si="3"/>
        <v/>
      </c>
      <c r="S290" s="169"/>
      <c r="T290" s="169" t="str">
        <f t="shared" si="4"/>
        <v/>
      </c>
      <c r="U290" s="169"/>
      <c r="V290" s="169" t="str">
        <f t="shared" si="5"/>
        <v/>
      </c>
      <c r="W290" s="169"/>
      <c r="X290" s="169" t="str">
        <f t="shared" si="6"/>
        <v/>
      </c>
      <c r="Y290" s="169"/>
      <c r="Z290" s="169" t="str">
        <f t="shared" si="7"/>
        <v/>
      </c>
      <c r="AA290" s="169"/>
      <c r="AB290" s="169" t="str">
        <f t="shared" si="8"/>
        <v/>
      </c>
      <c r="AC290" s="169"/>
      <c r="AD290" s="169" t="str">
        <f t="shared" si="9"/>
        <v/>
      </c>
      <c r="AE290" s="169"/>
      <c r="AF290" s="169" t="str">
        <f t="shared" si="10"/>
        <v/>
      </c>
      <c r="AG290" s="169"/>
      <c r="AH290" s="169" t="str">
        <f t="shared" si="11"/>
        <v/>
      </c>
      <c r="AI290" s="169"/>
      <c r="AJ290" s="169" t="str">
        <f t="shared" si="12"/>
        <v/>
      </c>
    </row>
    <row r="29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 t="str">
        <f t="shared" si="2"/>
        <v/>
      </c>
      <c r="Q291" s="169"/>
      <c r="R291" s="169" t="str">
        <f t="shared" si="3"/>
        <v/>
      </c>
      <c r="S291" s="169"/>
      <c r="T291" s="169" t="str">
        <f t="shared" si="4"/>
        <v/>
      </c>
      <c r="U291" s="169"/>
      <c r="V291" s="169" t="str">
        <f t="shared" si="5"/>
        <v/>
      </c>
      <c r="W291" s="169"/>
      <c r="X291" s="169" t="str">
        <f t="shared" si="6"/>
        <v/>
      </c>
      <c r="Y291" s="169"/>
      <c r="Z291" s="169" t="str">
        <f t="shared" si="7"/>
        <v/>
      </c>
      <c r="AA291" s="169"/>
      <c r="AB291" s="169" t="str">
        <f t="shared" si="8"/>
        <v/>
      </c>
      <c r="AC291" s="169"/>
      <c r="AD291" s="169" t="str">
        <f t="shared" si="9"/>
        <v/>
      </c>
      <c r="AE291" s="169"/>
      <c r="AF291" s="169" t="str">
        <f t="shared" si="10"/>
        <v/>
      </c>
      <c r="AG291" s="169"/>
      <c r="AH291" s="169" t="str">
        <f t="shared" si="11"/>
        <v/>
      </c>
      <c r="AI291" s="169"/>
      <c r="AJ291" s="169" t="str">
        <f t="shared" si="12"/>
        <v/>
      </c>
    </row>
    <row r="292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 t="str">
        <f t="shared" si="2"/>
        <v/>
      </c>
      <c r="Q292" s="169"/>
      <c r="R292" s="169" t="str">
        <f t="shared" si="3"/>
        <v/>
      </c>
      <c r="S292" s="169"/>
      <c r="T292" s="169" t="str">
        <f t="shared" si="4"/>
        <v/>
      </c>
      <c r="U292" s="169"/>
      <c r="V292" s="169" t="str">
        <f t="shared" si="5"/>
        <v/>
      </c>
      <c r="W292" s="169"/>
      <c r="X292" s="169" t="str">
        <f t="shared" si="6"/>
        <v/>
      </c>
      <c r="Y292" s="169"/>
      <c r="Z292" s="169" t="str">
        <f t="shared" si="7"/>
        <v/>
      </c>
      <c r="AA292" s="169"/>
      <c r="AB292" s="169" t="str">
        <f t="shared" si="8"/>
        <v/>
      </c>
      <c r="AC292" s="169"/>
      <c r="AD292" s="169" t="str">
        <f t="shared" si="9"/>
        <v/>
      </c>
      <c r="AE292" s="169"/>
      <c r="AF292" s="169" t="str">
        <f t="shared" si="10"/>
        <v/>
      </c>
      <c r="AG292" s="169"/>
      <c r="AH292" s="169" t="str">
        <f t="shared" si="11"/>
        <v/>
      </c>
      <c r="AI292" s="169"/>
      <c r="AJ292" s="169" t="str">
        <f t="shared" si="12"/>
        <v/>
      </c>
    </row>
    <row r="293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 t="str">
        <f t="shared" si="2"/>
        <v/>
      </c>
      <c r="Q293" s="169"/>
      <c r="R293" s="169" t="str">
        <f t="shared" si="3"/>
        <v/>
      </c>
      <c r="S293" s="169"/>
      <c r="T293" s="169" t="str">
        <f t="shared" si="4"/>
        <v/>
      </c>
      <c r="U293" s="169"/>
      <c r="V293" s="169" t="str">
        <f t="shared" si="5"/>
        <v/>
      </c>
      <c r="W293" s="169"/>
      <c r="X293" s="169" t="str">
        <f t="shared" si="6"/>
        <v/>
      </c>
      <c r="Y293" s="169"/>
      <c r="Z293" s="169" t="str">
        <f t="shared" si="7"/>
        <v/>
      </c>
      <c r="AA293" s="169"/>
      <c r="AB293" s="169" t="str">
        <f t="shared" si="8"/>
        <v/>
      </c>
      <c r="AC293" s="169"/>
      <c r="AD293" s="169" t="str">
        <f t="shared" si="9"/>
        <v/>
      </c>
      <c r="AE293" s="169"/>
      <c r="AF293" s="169" t="str">
        <f t="shared" si="10"/>
        <v/>
      </c>
      <c r="AG293" s="169"/>
      <c r="AH293" s="169" t="str">
        <f t="shared" si="11"/>
        <v/>
      </c>
      <c r="AI293" s="169"/>
      <c r="AJ293" s="169" t="str">
        <f t="shared" si="12"/>
        <v/>
      </c>
    </row>
    <row r="294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 t="str">
        <f t="shared" si="2"/>
        <v/>
      </c>
      <c r="Q294" s="169"/>
      <c r="R294" s="169" t="str">
        <f t="shared" si="3"/>
        <v/>
      </c>
      <c r="S294" s="169"/>
      <c r="T294" s="169" t="str">
        <f t="shared" si="4"/>
        <v/>
      </c>
      <c r="U294" s="169"/>
      <c r="V294" s="169" t="str">
        <f t="shared" si="5"/>
        <v/>
      </c>
      <c r="W294" s="169"/>
      <c r="X294" s="169" t="str">
        <f t="shared" si="6"/>
        <v/>
      </c>
      <c r="Y294" s="169"/>
      <c r="Z294" s="169" t="str">
        <f t="shared" si="7"/>
        <v/>
      </c>
      <c r="AA294" s="169"/>
      <c r="AB294" s="169" t="str">
        <f t="shared" si="8"/>
        <v/>
      </c>
      <c r="AC294" s="169"/>
      <c r="AD294" s="169" t="str">
        <f t="shared" si="9"/>
        <v/>
      </c>
      <c r="AE294" s="169"/>
      <c r="AF294" s="169" t="str">
        <f t="shared" si="10"/>
        <v/>
      </c>
      <c r="AG294" s="169"/>
      <c r="AH294" s="169" t="str">
        <f t="shared" si="11"/>
        <v/>
      </c>
      <c r="AI294" s="169"/>
      <c r="AJ294" s="169" t="str">
        <f t="shared" si="12"/>
        <v/>
      </c>
    </row>
    <row r="29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 t="str">
        <f t="shared" si="2"/>
        <v/>
      </c>
      <c r="Q295" s="169"/>
      <c r="R295" s="169" t="str">
        <f t="shared" si="3"/>
        <v/>
      </c>
      <c r="S295" s="169"/>
      <c r="T295" s="169" t="str">
        <f t="shared" si="4"/>
        <v/>
      </c>
      <c r="U295" s="169"/>
      <c r="V295" s="169" t="str">
        <f t="shared" si="5"/>
        <v/>
      </c>
      <c r="W295" s="169"/>
      <c r="X295" s="169" t="str">
        <f t="shared" si="6"/>
        <v/>
      </c>
      <c r="Y295" s="169"/>
      <c r="Z295" s="169" t="str">
        <f t="shared" si="7"/>
        <v/>
      </c>
      <c r="AA295" s="169"/>
      <c r="AB295" s="169" t="str">
        <f t="shared" si="8"/>
        <v/>
      </c>
      <c r="AC295" s="169"/>
      <c r="AD295" s="169" t="str">
        <f t="shared" si="9"/>
        <v/>
      </c>
      <c r="AE295" s="169"/>
      <c r="AF295" s="169" t="str">
        <f t="shared" si="10"/>
        <v/>
      </c>
      <c r="AG295" s="169"/>
      <c r="AH295" s="169" t="str">
        <f t="shared" si="11"/>
        <v/>
      </c>
      <c r="AI295" s="169"/>
      <c r="AJ295" s="169" t="str">
        <f t="shared" si="12"/>
        <v/>
      </c>
    </row>
    <row r="296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 t="str">
        <f t="shared" si="2"/>
        <v/>
      </c>
      <c r="Q296" s="169"/>
      <c r="R296" s="169" t="str">
        <f t="shared" si="3"/>
        <v/>
      </c>
      <c r="S296" s="169"/>
      <c r="T296" s="169" t="str">
        <f t="shared" si="4"/>
        <v/>
      </c>
      <c r="U296" s="169"/>
      <c r="V296" s="169" t="str">
        <f t="shared" si="5"/>
        <v/>
      </c>
      <c r="W296" s="169"/>
      <c r="X296" s="169" t="str">
        <f t="shared" si="6"/>
        <v/>
      </c>
      <c r="Y296" s="169"/>
      <c r="Z296" s="169" t="str">
        <f t="shared" si="7"/>
        <v/>
      </c>
      <c r="AA296" s="169"/>
      <c r="AB296" s="169" t="str">
        <f t="shared" si="8"/>
        <v/>
      </c>
      <c r="AC296" s="169"/>
      <c r="AD296" s="169" t="str">
        <f t="shared" si="9"/>
        <v/>
      </c>
      <c r="AE296" s="169"/>
      <c r="AF296" s="169" t="str">
        <f t="shared" si="10"/>
        <v/>
      </c>
      <c r="AG296" s="169"/>
      <c r="AH296" s="169" t="str">
        <f t="shared" si="11"/>
        <v/>
      </c>
      <c r="AI296" s="169"/>
      <c r="AJ296" s="169" t="str">
        <f t="shared" si="12"/>
        <v/>
      </c>
    </row>
    <row r="297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 t="str">
        <f t="shared" si="2"/>
        <v/>
      </c>
      <c r="Q297" s="169"/>
      <c r="R297" s="169" t="str">
        <f t="shared" si="3"/>
        <v/>
      </c>
      <c r="S297" s="169"/>
      <c r="T297" s="169" t="str">
        <f t="shared" si="4"/>
        <v/>
      </c>
      <c r="U297" s="169"/>
      <c r="V297" s="169" t="str">
        <f t="shared" si="5"/>
        <v/>
      </c>
      <c r="W297" s="169"/>
      <c r="X297" s="169" t="str">
        <f t="shared" si="6"/>
        <v/>
      </c>
      <c r="Y297" s="169"/>
      <c r="Z297" s="169" t="str">
        <f t="shared" si="7"/>
        <v/>
      </c>
      <c r="AA297" s="169"/>
      <c r="AB297" s="169" t="str">
        <f t="shared" si="8"/>
        <v/>
      </c>
      <c r="AC297" s="169"/>
      <c r="AD297" s="169" t="str">
        <f t="shared" si="9"/>
        <v/>
      </c>
      <c r="AE297" s="169"/>
      <c r="AF297" s="169" t="str">
        <f t="shared" si="10"/>
        <v/>
      </c>
      <c r="AG297" s="169"/>
      <c r="AH297" s="169" t="str">
        <f t="shared" si="11"/>
        <v/>
      </c>
      <c r="AI297" s="169"/>
      <c r="AJ297" s="169" t="str">
        <f t="shared" si="12"/>
        <v/>
      </c>
    </row>
    <row r="298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 t="str">
        <f t="shared" si="2"/>
        <v/>
      </c>
      <c r="Q298" s="169"/>
      <c r="R298" s="169" t="str">
        <f t="shared" si="3"/>
        <v/>
      </c>
      <c r="S298" s="169"/>
      <c r="T298" s="169" t="str">
        <f t="shared" si="4"/>
        <v/>
      </c>
      <c r="U298" s="169"/>
      <c r="V298" s="169" t="str">
        <f t="shared" si="5"/>
        <v/>
      </c>
      <c r="W298" s="169"/>
      <c r="X298" s="169" t="str">
        <f t="shared" si="6"/>
        <v/>
      </c>
      <c r="Y298" s="169"/>
      <c r="Z298" s="169" t="str">
        <f t="shared" si="7"/>
        <v/>
      </c>
      <c r="AA298" s="169"/>
      <c r="AB298" s="169" t="str">
        <f t="shared" si="8"/>
        <v/>
      </c>
      <c r="AC298" s="169"/>
      <c r="AD298" s="169" t="str">
        <f t="shared" si="9"/>
        <v/>
      </c>
      <c r="AE298" s="169"/>
      <c r="AF298" s="169" t="str">
        <f t="shared" si="10"/>
        <v/>
      </c>
      <c r="AG298" s="169"/>
      <c r="AH298" s="169" t="str">
        <f t="shared" si="11"/>
        <v/>
      </c>
      <c r="AI298" s="169"/>
      <c r="AJ298" s="169" t="str">
        <f t="shared" si="12"/>
        <v/>
      </c>
    </row>
    <row r="299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 t="str">
        <f t="shared" si="2"/>
        <v/>
      </c>
      <c r="Q299" s="169"/>
      <c r="R299" s="169" t="str">
        <f t="shared" si="3"/>
        <v/>
      </c>
      <c r="S299" s="169"/>
      <c r="T299" s="169" t="str">
        <f t="shared" si="4"/>
        <v/>
      </c>
      <c r="U299" s="169"/>
      <c r="V299" s="169" t="str">
        <f t="shared" si="5"/>
        <v/>
      </c>
      <c r="W299" s="169"/>
      <c r="X299" s="169" t="str">
        <f t="shared" si="6"/>
        <v/>
      </c>
      <c r="Y299" s="169"/>
      <c r="Z299" s="169" t="str">
        <f t="shared" si="7"/>
        <v/>
      </c>
      <c r="AA299" s="169"/>
      <c r="AB299" s="169" t="str">
        <f t="shared" si="8"/>
        <v/>
      </c>
      <c r="AC299" s="169"/>
      <c r="AD299" s="169" t="str">
        <f t="shared" si="9"/>
        <v/>
      </c>
      <c r="AE299" s="169"/>
      <c r="AF299" s="169" t="str">
        <f t="shared" si="10"/>
        <v/>
      </c>
      <c r="AG299" s="169"/>
      <c r="AH299" s="169" t="str">
        <f t="shared" si="11"/>
        <v/>
      </c>
      <c r="AI299" s="169"/>
      <c r="AJ299" s="169" t="str">
        <f t="shared" si="12"/>
        <v/>
      </c>
    </row>
    <row r="300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 t="str">
        <f t="shared" si="2"/>
        <v/>
      </c>
      <c r="Q300" s="169"/>
      <c r="R300" s="169" t="str">
        <f t="shared" si="3"/>
        <v/>
      </c>
      <c r="S300" s="169"/>
      <c r="T300" s="169" t="str">
        <f t="shared" si="4"/>
        <v/>
      </c>
      <c r="U300" s="169"/>
      <c r="V300" s="169" t="str">
        <f t="shared" si="5"/>
        <v/>
      </c>
      <c r="W300" s="169"/>
      <c r="X300" s="169" t="str">
        <f t="shared" si="6"/>
        <v/>
      </c>
      <c r="Y300" s="169"/>
      <c r="Z300" s="169" t="str">
        <f t="shared" si="7"/>
        <v/>
      </c>
      <c r="AA300" s="169"/>
      <c r="AB300" s="169" t="str">
        <f t="shared" si="8"/>
        <v/>
      </c>
      <c r="AC300" s="169"/>
      <c r="AD300" s="169" t="str">
        <f t="shared" si="9"/>
        <v/>
      </c>
      <c r="AE300" s="169"/>
      <c r="AF300" s="169" t="str">
        <f t="shared" si="10"/>
        <v/>
      </c>
      <c r="AG300" s="169"/>
      <c r="AH300" s="169" t="str">
        <f t="shared" si="11"/>
        <v/>
      </c>
      <c r="AI300" s="169"/>
      <c r="AJ300" s="169" t="str">
        <f t="shared" si="12"/>
        <v/>
      </c>
    </row>
    <row r="30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 t="str">
        <f t="shared" si="2"/>
        <v/>
      </c>
      <c r="Q301" s="169"/>
      <c r="R301" s="169" t="str">
        <f t="shared" si="3"/>
        <v/>
      </c>
      <c r="S301" s="169"/>
      <c r="T301" s="169" t="str">
        <f t="shared" si="4"/>
        <v/>
      </c>
      <c r="U301" s="169"/>
      <c r="V301" s="169" t="str">
        <f t="shared" si="5"/>
        <v/>
      </c>
      <c r="W301" s="169"/>
      <c r="X301" s="169" t="str">
        <f t="shared" si="6"/>
        <v/>
      </c>
      <c r="Y301" s="169"/>
      <c r="Z301" s="169" t="str">
        <f t="shared" si="7"/>
        <v/>
      </c>
      <c r="AA301" s="169"/>
      <c r="AB301" s="169" t="str">
        <f t="shared" si="8"/>
        <v/>
      </c>
      <c r="AC301" s="169"/>
      <c r="AD301" s="169" t="str">
        <f t="shared" si="9"/>
        <v/>
      </c>
      <c r="AE301" s="169"/>
      <c r="AF301" s="169" t="str">
        <f t="shared" si="10"/>
        <v/>
      </c>
      <c r="AG301" s="169"/>
      <c r="AH301" s="169" t="str">
        <f t="shared" si="11"/>
        <v/>
      </c>
      <c r="AI301" s="169"/>
      <c r="AJ301" s="169" t="str">
        <f t="shared" si="12"/>
        <v/>
      </c>
    </row>
    <row r="302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 t="str">
        <f t="shared" si="2"/>
        <v/>
      </c>
      <c r="Q302" s="169"/>
      <c r="R302" s="169" t="str">
        <f t="shared" si="3"/>
        <v/>
      </c>
      <c r="S302" s="169"/>
      <c r="T302" s="169" t="str">
        <f t="shared" si="4"/>
        <v/>
      </c>
      <c r="U302" s="169"/>
      <c r="V302" s="169" t="str">
        <f t="shared" si="5"/>
        <v/>
      </c>
      <c r="W302" s="169"/>
      <c r="X302" s="169" t="str">
        <f t="shared" si="6"/>
        <v/>
      </c>
      <c r="Y302" s="169"/>
      <c r="Z302" s="169" t="str">
        <f t="shared" si="7"/>
        <v/>
      </c>
      <c r="AA302" s="169"/>
      <c r="AB302" s="169" t="str">
        <f t="shared" si="8"/>
        <v/>
      </c>
      <c r="AC302" s="169"/>
      <c r="AD302" s="169" t="str">
        <f t="shared" si="9"/>
        <v/>
      </c>
      <c r="AE302" s="169"/>
      <c r="AF302" s="169" t="str">
        <f t="shared" si="10"/>
        <v/>
      </c>
      <c r="AG302" s="169"/>
      <c r="AH302" s="169" t="str">
        <f t="shared" si="11"/>
        <v/>
      </c>
      <c r="AI302" s="169"/>
      <c r="AJ302" s="169" t="str">
        <f t="shared" si="12"/>
        <v/>
      </c>
    </row>
    <row r="303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 t="str">
        <f t="shared" si="2"/>
        <v/>
      </c>
      <c r="Q303" s="169"/>
      <c r="R303" s="169" t="str">
        <f t="shared" si="3"/>
        <v/>
      </c>
      <c r="S303" s="169"/>
      <c r="T303" s="169" t="str">
        <f t="shared" si="4"/>
        <v/>
      </c>
      <c r="U303" s="169"/>
      <c r="V303" s="169" t="str">
        <f t="shared" si="5"/>
        <v/>
      </c>
      <c r="W303" s="169"/>
      <c r="X303" s="169" t="str">
        <f t="shared" si="6"/>
        <v/>
      </c>
      <c r="Y303" s="169"/>
      <c r="Z303" s="169" t="str">
        <f t="shared" si="7"/>
        <v/>
      </c>
      <c r="AA303" s="169"/>
      <c r="AB303" s="169" t="str">
        <f t="shared" si="8"/>
        <v/>
      </c>
      <c r="AC303" s="169"/>
      <c r="AD303" s="169" t="str">
        <f t="shared" si="9"/>
        <v/>
      </c>
      <c r="AE303" s="169"/>
      <c r="AF303" s="169" t="str">
        <f t="shared" si="10"/>
        <v/>
      </c>
      <c r="AG303" s="169"/>
      <c r="AH303" s="169" t="str">
        <f t="shared" si="11"/>
        <v/>
      </c>
      <c r="AI303" s="169"/>
      <c r="AJ303" s="169" t="str">
        <f t="shared" si="12"/>
        <v/>
      </c>
    </row>
    <row r="304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 t="str">
        <f t="shared" si="2"/>
        <v/>
      </c>
      <c r="Q304" s="169"/>
      <c r="R304" s="169" t="str">
        <f t="shared" si="3"/>
        <v/>
      </c>
      <c r="S304" s="169"/>
      <c r="T304" s="169" t="str">
        <f t="shared" si="4"/>
        <v/>
      </c>
      <c r="U304" s="169"/>
      <c r="V304" s="169" t="str">
        <f t="shared" si="5"/>
        <v/>
      </c>
      <c r="W304" s="169"/>
      <c r="X304" s="169" t="str">
        <f t="shared" si="6"/>
        <v/>
      </c>
      <c r="Y304" s="169"/>
      <c r="Z304" s="169" t="str">
        <f t="shared" si="7"/>
        <v/>
      </c>
      <c r="AA304" s="169"/>
      <c r="AB304" s="169" t="str">
        <f t="shared" si="8"/>
        <v/>
      </c>
      <c r="AC304" s="169"/>
      <c r="AD304" s="169" t="str">
        <f t="shared" si="9"/>
        <v/>
      </c>
      <c r="AE304" s="169"/>
      <c r="AF304" s="169" t="str">
        <f t="shared" si="10"/>
        <v/>
      </c>
      <c r="AG304" s="169"/>
      <c r="AH304" s="169" t="str">
        <f t="shared" si="11"/>
        <v/>
      </c>
      <c r="AI304" s="169"/>
      <c r="AJ304" s="169" t="str">
        <f t="shared" si="12"/>
        <v/>
      </c>
    </row>
    <row r="30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 t="str">
        <f t="shared" si="2"/>
        <v/>
      </c>
      <c r="Q305" s="169"/>
      <c r="R305" s="169" t="str">
        <f t="shared" si="3"/>
        <v/>
      </c>
      <c r="S305" s="169"/>
      <c r="T305" s="169" t="str">
        <f t="shared" si="4"/>
        <v/>
      </c>
      <c r="U305" s="169"/>
      <c r="V305" s="169" t="str">
        <f t="shared" si="5"/>
        <v/>
      </c>
      <c r="W305" s="169"/>
      <c r="X305" s="169" t="str">
        <f t="shared" si="6"/>
        <v/>
      </c>
      <c r="Y305" s="169"/>
      <c r="Z305" s="169" t="str">
        <f t="shared" si="7"/>
        <v/>
      </c>
      <c r="AA305" s="169"/>
      <c r="AB305" s="169" t="str">
        <f t="shared" si="8"/>
        <v/>
      </c>
      <c r="AC305" s="169"/>
      <c r="AD305" s="169" t="str">
        <f t="shared" si="9"/>
        <v/>
      </c>
      <c r="AE305" s="169"/>
      <c r="AF305" s="169" t="str">
        <f t="shared" si="10"/>
        <v/>
      </c>
      <c r="AG305" s="169"/>
      <c r="AH305" s="169" t="str">
        <f t="shared" si="11"/>
        <v/>
      </c>
      <c r="AI305" s="169"/>
      <c r="AJ305" s="169" t="str">
        <f t="shared" si="12"/>
        <v/>
      </c>
    </row>
    <row r="306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 t="str">
        <f t="shared" si="2"/>
        <v/>
      </c>
      <c r="Q306" s="169"/>
      <c r="R306" s="169" t="str">
        <f t="shared" si="3"/>
        <v/>
      </c>
      <c r="S306" s="169"/>
      <c r="T306" s="169" t="str">
        <f t="shared" si="4"/>
        <v/>
      </c>
      <c r="U306" s="169"/>
      <c r="V306" s="169" t="str">
        <f t="shared" si="5"/>
        <v/>
      </c>
      <c r="W306" s="169"/>
      <c r="X306" s="169" t="str">
        <f t="shared" si="6"/>
        <v/>
      </c>
      <c r="Y306" s="169"/>
      <c r="Z306" s="169" t="str">
        <f t="shared" si="7"/>
        <v/>
      </c>
      <c r="AA306" s="169"/>
      <c r="AB306" s="169" t="str">
        <f t="shared" si="8"/>
        <v/>
      </c>
      <c r="AC306" s="169"/>
      <c r="AD306" s="169" t="str">
        <f t="shared" si="9"/>
        <v/>
      </c>
      <c r="AE306" s="169"/>
      <c r="AF306" s="169" t="str">
        <f t="shared" si="10"/>
        <v/>
      </c>
      <c r="AG306" s="169"/>
      <c r="AH306" s="169" t="str">
        <f t="shared" si="11"/>
        <v/>
      </c>
      <c r="AI306" s="169"/>
      <c r="AJ306" s="169" t="str">
        <f t="shared" si="12"/>
        <v/>
      </c>
    </row>
    <row r="307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 t="str">
        <f t="shared" si="2"/>
        <v/>
      </c>
      <c r="Q307" s="169"/>
      <c r="R307" s="169" t="str">
        <f t="shared" si="3"/>
        <v/>
      </c>
      <c r="S307" s="169"/>
      <c r="T307" s="169" t="str">
        <f t="shared" si="4"/>
        <v/>
      </c>
      <c r="U307" s="169"/>
      <c r="V307" s="169" t="str">
        <f t="shared" si="5"/>
        <v/>
      </c>
      <c r="W307" s="169"/>
      <c r="X307" s="169" t="str">
        <f t="shared" si="6"/>
        <v/>
      </c>
      <c r="Y307" s="169"/>
      <c r="Z307" s="169" t="str">
        <f t="shared" si="7"/>
        <v/>
      </c>
      <c r="AA307" s="169"/>
      <c r="AB307" s="169" t="str">
        <f t="shared" si="8"/>
        <v/>
      </c>
      <c r="AC307" s="169"/>
      <c r="AD307" s="169" t="str">
        <f t="shared" si="9"/>
        <v/>
      </c>
      <c r="AE307" s="169"/>
      <c r="AF307" s="169" t="str">
        <f t="shared" si="10"/>
        <v/>
      </c>
      <c r="AG307" s="169"/>
      <c r="AH307" s="169" t="str">
        <f t="shared" si="11"/>
        <v/>
      </c>
      <c r="AI307" s="169"/>
      <c r="AJ307" s="169" t="str">
        <f t="shared" si="12"/>
        <v/>
      </c>
    </row>
    <row r="308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 t="str">
        <f t="shared" si="2"/>
        <v/>
      </c>
      <c r="Q308" s="169"/>
      <c r="R308" s="169" t="str">
        <f t="shared" si="3"/>
        <v/>
      </c>
      <c r="S308" s="169"/>
      <c r="T308" s="169" t="str">
        <f t="shared" si="4"/>
        <v/>
      </c>
      <c r="U308" s="169"/>
      <c r="V308" s="169" t="str">
        <f t="shared" si="5"/>
        <v/>
      </c>
      <c r="W308" s="169"/>
      <c r="X308" s="169" t="str">
        <f t="shared" si="6"/>
        <v/>
      </c>
      <c r="Y308" s="169"/>
      <c r="Z308" s="169" t="str">
        <f t="shared" si="7"/>
        <v/>
      </c>
      <c r="AA308" s="169"/>
      <c r="AB308" s="169" t="str">
        <f t="shared" si="8"/>
        <v/>
      </c>
      <c r="AC308" s="169"/>
      <c r="AD308" s="169" t="str">
        <f t="shared" si="9"/>
        <v/>
      </c>
      <c r="AE308" s="169"/>
      <c r="AF308" s="169" t="str">
        <f t="shared" si="10"/>
        <v/>
      </c>
      <c r="AG308" s="169"/>
      <c r="AH308" s="169" t="str">
        <f t="shared" si="11"/>
        <v/>
      </c>
      <c r="AI308" s="169"/>
      <c r="AJ308" s="169" t="str">
        <f t="shared" si="12"/>
        <v/>
      </c>
    </row>
    <row r="309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 t="str">
        <f t="shared" si="2"/>
        <v/>
      </c>
      <c r="Q309" s="169"/>
      <c r="R309" s="169" t="str">
        <f t="shared" si="3"/>
        <v/>
      </c>
      <c r="S309" s="169"/>
      <c r="T309" s="169" t="str">
        <f t="shared" si="4"/>
        <v/>
      </c>
      <c r="U309" s="169"/>
      <c r="V309" s="169" t="str">
        <f t="shared" si="5"/>
        <v/>
      </c>
      <c r="W309" s="169"/>
      <c r="X309" s="169" t="str">
        <f t="shared" si="6"/>
        <v/>
      </c>
      <c r="Y309" s="169"/>
      <c r="Z309" s="169" t="str">
        <f t="shared" si="7"/>
        <v/>
      </c>
      <c r="AA309" s="169"/>
      <c r="AB309" s="169" t="str">
        <f t="shared" si="8"/>
        <v/>
      </c>
      <c r="AC309" s="169"/>
      <c r="AD309" s="169" t="str">
        <f t="shared" si="9"/>
        <v/>
      </c>
      <c r="AE309" s="169"/>
      <c r="AF309" s="169" t="str">
        <f t="shared" si="10"/>
        <v/>
      </c>
      <c r="AG309" s="169"/>
      <c r="AH309" s="169" t="str">
        <f t="shared" si="11"/>
        <v/>
      </c>
      <c r="AI309" s="169"/>
      <c r="AJ309" s="169" t="str">
        <f t="shared" si="12"/>
        <v/>
      </c>
    </row>
    <row r="310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 t="str">
        <f t="shared" si="2"/>
        <v/>
      </c>
      <c r="Q310" s="169"/>
      <c r="R310" s="169" t="str">
        <f t="shared" si="3"/>
        <v/>
      </c>
      <c r="S310" s="169"/>
      <c r="T310" s="169" t="str">
        <f t="shared" si="4"/>
        <v/>
      </c>
      <c r="U310" s="169"/>
      <c r="V310" s="169" t="str">
        <f t="shared" si="5"/>
        <v/>
      </c>
      <c r="W310" s="169"/>
      <c r="X310" s="169" t="str">
        <f t="shared" si="6"/>
        <v/>
      </c>
      <c r="Y310" s="169"/>
      <c r="Z310" s="169" t="str">
        <f t="shared" si="7"/>
        <v/>
      </c>
      <c r="AA310" s="169"/>
      <c r="AB310" s="169" t="str">
        <f t="shared" si="8"/>
        <v/>
      </c>
      <c r="AC310" s="169"/>
      <c r="AD310" s="169" t="str">
        <f t="shared" si="9"/>
        <v/>
      </c>
      <c r="AE310" s="169"/>
      <c r="AF310" s="169" t="str">
        <f t="shared" si="10"/>
        <v/>
      </c>
      <c r="AG310" s="169"/>
      <c r="AH310" s="169" t="str">
        <f t="shared" si="11"/>
        <v/>
      </c>
      <c r="AI310" s="169"/>
      <c r="AJ310" s="169" t="str">
        <f t="shared" si="12"/>
        <v/>
      </c>
    </row>
    <row r="31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 t="str">
        <f t="shared" si="2"/>
        <v/>
      </c>
      <c r="Q311" s="169"/>
      <c r="R311" s="169" t="str">
        <f t="shared" si="3"/>
        <v/>
      </c>
      <c r="S311" s="169"/>
      <c r="T311" s="169" t="str">
        <f t="shared" si="4"/>
        <v/>
      </c>
      <c r="U311" s="169"/>
      <c r="V311" s="169" t="str">
        <f t="shared" si="5"/>
        <v/>
      </c>
      <c r="W311" s="169"/>
      <c r="X311" s="169" t="str">
        <f t="shared" si="6"/>
        <v/>
      </c>
      <c r="Y311" s="169"/>
      <c r="Z311" s="169" t="str">
        <f t="shared" si="7"/>
        <v/>
      </c>
      <c r="AA311" s="169"/>
      <c r="AB311" s="169" t="str">
        <f t="shared" si="8"/>
        <v/>
      </c>
      <c r="AC311" s="169"/>
      <c r="AD311" s="169" t="str">
        <f t="shared" si="9"/>
        <v/>
      </c>
      <c r="AE311" s="169"/>
      <c r="AF311" s="169" t="str">
        <f t="shared" si="10"/>
        <v/>
      </c>
      <c r="AG311" s="169"/>
      <c r="AH311" s="169" t="str">
        <f t="shared" si="11"/>
        <v/>
      </c>
      <c r="AI311" s="169"/>
      <c r="AJ311" s="169" t="str">
        <f t="shared" si="12"/>
        <v/>
      </c>
    </row>
    <row r="312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 t="str">
        <f t="shared" si="2"/>
        <v/>
      </c>
      <c r="Q312" s="169"/>
      <c r="R312" s="169" t="str">
        <f t="shared" si="3"/>
        <v/>
      </c>
      <c r="S312" s="169"/>
      <c r="T312" s="169" t="str">
        <f t="shared" si="4"/>
        <v/>
      </c>
      <c r="U312" s="169"/>
      <c r="V312" s="169" t="str">
        <f t="shared" si="5"/>
        <v/>
      </c>
      <c r="W312" s="169"/>
      <c r="X312" s="169" t="str">
        <f t="shared" si="6"/>
        <v/>
      </c>
      <c r="Y312" s="169"/>
      <c r="Z312" s="169" t="str">
        <f t="shared" si="7"/>
        <v/>
      </c>
      <c r="AA312" s="169"/>
      <c r="AB312" s="169" t="str">
        <f t="shared" si="8"/>
        <v/>
      </c>
      <c r="AC312" s="169"/>
      <c r="AD312" s="169" t="str">
        <f t="shared" si="9"/>
        <v/>
      </c>
      <c r="AE312" s="169"/>
      <c r="AF312" s="169" t="str">
        <f t="shared" si="10"/>
        <v/>
      </c>
      <c r="AG312" s="169"/>
      <c r="AH312" s="169" t="str">
        <f t="shared" si="11"/>
        <v/>
      </c>
      <c r="AI312" s="169"/>
      <c r="AJ312" s="169" t="str">
        <f t="shared" si="12"/>
        <v/>
      </c>
    </row>
    <row r="313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 t="str">
        <f t="shared" si="2"/>
        <v/>
      </c>
      <c r="Q313" s="169"/>
      <c r="R313" s="169" t="str">
        <f t="shared" si="3"/>
        <v/>
      </c>
      <c r="S313" s="169"/>
      <c r="T313" s="169" t="str">
        <f t="shared" si="4"/>
        <v/>
      </c>
      <c r="U313" s="169"/>
      <c r="V313" s="169" t="str">
        <f t="shared" si="5"/>
        <v/>
      </c>
      <c r="W313" s="169"/>
      <c r="X313" s="169" t="str">
        <f t="shared" si="6"/>
        <v/>
      </c>
      <c r="Y313" s="169"/>
      <c r="Z313" s="169" t="str">
        <f t="shared" si="7"/>
        <v/>
      </c>
      <c r="AA313" s="169"/>
      <c r="AB313" s="169" t="str">
        <f t="shared" si="8"/>
        <v/>
      </c>
      <c r="AC313" s="169"/>
      <c r="AD313" s="169" t="str">
        <f t="shared" si="9"/>
        <v/>
      </c>
      <c r="AE313" s="169"/>
      <c r="AF313" s="169" t="str">
        <f t="shared" si="10"/>
        <v/>
      </c>
      <c r="AG313" s="169"/>
      <c r="AH313" s="169" t="str">
        <f t="shared" si="11"/>
        <v/>
      </c>
      <c r="AI313" s="169"/>
      <c r="AJ313" s="169" t="str">
        <f t="shared" si="12"/>
        <v/>
      </c>
    </row>
    <row r="314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 t="str">
        <f t="shared" si="2"/>
        <v/>
      </c>
      <c r="Q314" s="169"/>
      <c r="R314" s="169" t="str">
        <f t="shared" si="3"/>
        <v/>
      </c>
      <c r="S314" s="169"/>
      <c r="T314" s="169" t="str">
        <f t="shared" si="4"/>
        <v/>
      </c>
      <c r="U314" s="169"/>
      <c r="V314" s="169" t="str">
        <f t="shared" si="5"/>
        <v/>
      </c>
      <c r="W314" s="169"/>
      <c r="X314" s="169" t="str">
        <f t="shared" si="6"/>
        <v/>
      </c>
      <c r="Y314" s="169"/>
      <c r="Z314" s="169" t="str">
        <f t="shared" si="7"/>
        <v/>
      </c>
      <c r="AA314" s="169"/>
      <c r="AB314" s="169" t="str">
        <f t="shared" si="8"/>
        <v/>
      </c>
      <c r="AC314" s="169"/>
      <c r="AD314" s="169" t="str">
        <f t="shared" si="9"/>
        <v/>
      </c>
      <c r="AE314" s="169"/>
      <c r="AF314" s="169" t="str">
        <f t="shared" si="10"/>
        <v/>
      </c>
      <c r="AG314" s="169"/>
      <c r="AH314" s="169" t="str">
        <f t="shared" si="11"/>
        <v/>
      </c>
      <c r="AI314" s="169"/>
      <c r="AJ314" s="169" t="str">
        <f t="shared" si="12"/>
        <v/>
      </c>
    </row>
    <row r="31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 t="str">
        <f t="shared" si="2"/>
        <v/>
      </c>
      <c r="Q315" s="169"/>
      <c r="R315" s="169" t="str">
        <f t="shared" si="3"/>
        <v/>
      </c>
      <c r="S315" s="169"/>
      <c r="T315" s="169" t="str">
        <f t="shared" si="4"/>
        <v/>
      </c>
      <c r="U315" s="169"/>
      <c r="V315" s="169" t="str">
        <f t="shared" si="5"/>
        <v/>
      </c>
      <c r="W315" s="169"/>
      <c r="X315" s="169" t="str">
        <f t="shared" si="6"/>
        <v/>
      </c>
      <c r="Y315" s="169"/>
      <c r="Z315" s="169" t="str">
        <f t="shared" si="7"/>
        <v/>
      </c>
      <c r="AA315" s="169"/>
      <c r="AB315" s="169" t="str">
        <f t="shared" si="8"/>
        <v/>
      </c>
      <c r="AC315" s="169"/>
      <c r="AD315" s="169" t="str">
        <f t="shared" si="9"/>
        <v/>
      </c>
      <c r="AE315" s="169"/>
      <c r="AF315" s="169" t="str">
        <f t="shared" si="10"/>
        <v/>
      </c>
      <c r="AG315" s="169"/>
      <c r="AH315" s="169" t="str">
        <f t="shared" si="11"/>
        <v/>
      </c>
      <c r="AI315" s="169"/>
      <c r="AJ315" s="169" t="str">
        <f t="shared" si="12"/>
        <v/>
      </c>
    </row>
    <row r="316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 t="str">
        <f t="shared" si="2"/>
        <v/>
      </c>
      <c r="Q316" s="169"/>
      <c r="R316" s="169" t="str">
        <f t="shared" si="3"/>
        <v/>
      </c>
      <c r="S316" s="169"/>
      <c r="T316" s="169" t="str">
        <f t="shared" si="4"/>
        <v/>
      </c>
      <c r="U316" s="169"/>
      <c r="V316" s="169" t="str">
        <f t="shared" si="5"/>
        <v/>
      </c>
      <c r="W316" s="169"/>
      <c r="X316" s="169" t="str">
        <f t="shared" si="6"/>
        <v/>
      </c>
      <c r="Y316" s="169"/>
      <c r="Z316" s="169" t="str">
        <f t="shared" si="7"/>
        <v/>
      </c>
      <c r="AA316" s="169"/>
      <c r="AB316" s="169" t="str">
        <f t="shared" si="8"/>
        <v/>
      </c>
      <c r="AC316" s="169"/>
      <c r="AD316" s="169" t="str">
        <f t="shared" si="9"/>
        <v/>
      </c>
      <c r="AE316" s="169"/>
      <c r="AF316" s="169" t="str">
        <f t="shared" si="10"/>
        <v/>
      </c>
      <c r="AG316" s="169"/>
      <c r="AH316" s="169" t="str">
        <f t="shared" si="11"/>
        <v/>
      </c>
      <c r="AI316" s="169"/>
      <c r="AJ316" s="169" t="str">
        <f t="shared" si="12"/>
        <v/>
      </c>
    </row>
    <row r="317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 t="str">
        <f t="shared" si="2"/>
        <v/>
      </c>
      <c r="Q317" s="169"/>
      <c r="R317" s="169" t="str">
        <f t="shared" si="3"/>
        <v/>
      </c>
      <c r="S317" s="169"/>
      <c r="T317" s="169" t="str">
        <f t="shared" si="4"/>
        <v/>
      </c>
      <c r="U317" s="169"/>
      <c r="V317" s="169" t="str">
        <f t="shared" si="5"/>
        <v/>
      </c>
      <c r="W317" s="169"/>
      <c r="X317" s="169" t="str">
        <f t="shared" si="6"/>
        <v/>
      </c>
      <c r="Y317" s="169"/>
      <c r="Z317" s="169" t="str">
        <f t="shared" si="7"/>
        <v/>
      </c>
      <c r="AA317" s="169"/>
      <c r="AB317" s="169" t="str">
        <f t="shared" si="8"/>
        <v/>
      </c>
      <c r="AC317" s="169"/>
      <c r="AD317" s="169" t="str">
        <f t="shared" si="9"/>
        <v/>
      </c>
      <c r="AE317" s="169"/>
      <c r="AF317" s="169" t="str">
        <f t="shared" si="10"/>
        <v/>
      </c>
      <c r="AG317" s="169"/>
      <c r="AH317" s="169" t="str">
        <f t="shared" si="11"/>
        <v/>
      </c>
      <c r="AI317" s="169"/>
      <c r="AJ317" s="169" t="str">
        <f t="shared" si="12"/>
        <v/>
      </c>
    </row>
    <row r="318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 t="str">
        <f t="shared" si="2"/>
        <v/>
      </c>
      <c r="Q318" s="169"/>
      <c r="R318" s="169" t="str">
        <f t="shared" si="3"/>
        <v/>
      </c>
      <c r="S318" s="169"/>
      <c r="T318" s="169" t="str">
        <f t="shared" si="4"/>
        <v/>
      </c>
      <c r="U318" s="169"/>
      <c r="V318" s="169" t="str">
        <f t="shared" si="5"/>
        <v/>
      </c>
      <c r="W318" s="169"/>
      <c r="X318" s="169" t="str">
        <f t="shared" si="6"/>
        <v/>
      </c>
      <c r="Y318" s="169"/>
      <c r="Z318" s="169" t="str">
        <f t="shared" si="7"/>
        <v/>
      </c>
      <c r="AA318" s="169"/>
      <c r="AB318" s="169" t="str">
        <f t="shared" si="8"/>
        <v/>
      </c>
      <c r="AC318" s="169"/>
      <c r="AD318" s="169" t="str">
        <f t="shared" si="9"/>
        <v/>
      </c>
      <c r="AE318" s="169"/>
      <c r="AF318" s="169" t="str">
        <f t="shared" si="10"/>
        <v/>
      </c>
      <c r="AG318" s="169"/>
      <c r="AH318" s="169" t="str">
        <f t="shared" si="11"/>
        <v/>
      </c>
      <c r="AI318" s="169"/>
      <c r="AJ318" s="169" t="str">
        <f t="shared" si="12"/>
        <v/>
      </c>
    </row>
    <row r="319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 t="str">
        <f t="shared" si="2"/>
        <v/>
      </c>
      <c r="Q319" s="169"/>
      <c r="R319" s="169" t="str">
        <f t="shared" si="3"/>
        <v/>
      </c>
      <c r="S319" s="169"/>
      <c r="T319" s="169" t="str">
        <f t="shared" si="4"/>
        <v/>
      </c>
      <c r="U319" s="169"/>
      <c r="V319" s="169" t="str">
        <f t="shared" si="5"/>
        <v/>
      </c>
      <c r="W319" s="169"/>
      <c r="X319" s="169" t="str">
        <f t="shared" si="6"/>
        <v/>
      </c>
      <c r="Y319" s="169"/>
      <c r="Z319" s="169" t="str">
        <f t="shared" si="7"/>
        <v/>
      </c>
      <c r="AA319" s="169"/>
      <c r="AB319" s="169" t="str">
        <f t="shared" si="8"/>
        <v/>
      </c>
      <c r="AC319" s="169"/>
      <c r="AD319" s="169" t="str">
        <f t="shared" si="9"/>
        <v/>
      </c>
      <c r="AE319" s="169"/>
      <c r="AF319" s="169" t="str">
        <f t="shared" si="10"/>
        <v/>
      </c>
      <c r="AG319" s="169"/>
      <c r="AH319" s="169" t="str">
        <f t="shared" si="11"/>
        <v/>
      </c>
      <c r="AI319" s="169"/>
      <c r="AJ319" s="169" t="str">
        <f t="shared" si="12"/>
        <v/>
      </c>
    </row>
    <row r="320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 t="str">
        <f t="shared" si="2"/>
        <v/>
      </c>
      <c r="Q320" s="169"/>
      <c r="R320" s="169" t="str">
        <f t="shared" si="3"/>
        <v/>
      </c>
      <c r="S320" s="169"/>
      <c r="T320" s="169" t="str">
        <f t="shared" si="4"/>
        <v/>
      </c>
      <c r="U320" s="169"/>
      <c r="V320" s="169" t="str">
        <f t="shared" si="5"/>
        <v/>
      </c>
      <c r="W320" s="169"/>
      <c r="X320" s="169" t="str">
        <f t="shared" si="6"/>
        <v/>
      </c>
      <c r="Y320" s="169"/>
      <c r="Z320" s="169" t="str">
        <f t="shared" si="7"/>
        <v/>
      </c>
      <c r="AA320" s="169"/>
      <c r="AB320" s="169" t="str">
        <f t="shared" si="8"/>
        <v/>
      </c>
      <c r="AC320" s="169"/>
      <c r="AD320" s="169" t="str">
        <f t="shared" si="9"/>
        <v/>
      </c>
      <c r="AE320" s="169"/>
      <c r="AF320" s="169" t="str">
        <f t="shared" si="10"/>
        <v/>
      </c>
      <c r="AG320" s="169"/>
      <c r="AH320" s="169" t="str">
        <f t="shared" si="11"/>
        <v/>
      </c>
      <c r="AI320" s="169"/>
      <c r="AJ320" s="169" t="str">
        <f t="shared" si="12"/>
        <v/>
      </c>
    </row>
    <row r="32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 t="str">
        <f t="shared" si="2"/>
        <v/>
      </c>
      <c r="Q321" s="169"/>
      <c r="R321" s="169" t="str">
        <f t="shared" si="3"/>
        <v/>
      </c>
      <c r="S321" s="169"/>
      <c r="T321" s="169" t="str">
        <f t="shared" si="4"/>
        <v/>
      </c>
      <c r="U321" s="169"/>
      <c r="V321" s="169" t="str">
        <f t="shared" si="5"/>
        <v/>
      </c>
      <c r="W321" s="169"/>
      <c r="X321" s="169" t="str">
        <f t="shared" si="6"/>
        <v/>
      </c>
      <c r="Y321" s="169"/>
      <c r="Z321" s="169" t="str">
        <f t="shared" si="7"/>
        <v/>
      </c>
      <c r="AA321" s="169"/>
      <c r="AB321" s="169" t="str">
        <f t="shared" si="8"/>
        <v/>
      </c>
      <c r="AC321" s="169"/>
      <c r="AD321" s="169" t="str">
        <f t="shared" si="9"/>
        <v/>
      </c>
      <c r="AE321" s="169"/>
      <c r="AF321" s="169" t="str">
        <f t="shared" si="10"/>
        <v/>
      </c>
      <c r="AG321" s="169"/>
      <c r="AH321" s="169" t="str">
        <f t="shared" si="11"/>
        <v/>
      </c>
      <c r="AI321" s="169"/>
      <c r="AJ321" s="169" t="str">
        <f t="shared" si="12"/>
        <v/>
      </c>
    </row>
    <row r="322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 t="str">
        <f t="shared" si="2"/>
        <v/>
      </c>
      <c r="Q322" s="169"/>
      <c r="R322" s="169" t="str">
        <f t="shared" si="3"/>
        <v/>
      </c>
      <c r="S322" s="169"/>
      <c r="T322" s="169" t="str">
        <f t="shared" si="4"/>
        <v/>
      </c>
      <c r="U322" s="169"/>
      <c r="V322" s="169" t="str">
        <f t="shared" si="5"/>
        <v/>
      </c>
      <c r="W322" s="169"/>
      <c r="X322" s="169" t="str">
        <f t="shared" si="6"/>
        <v/>
      </c>
      <c r="Y322" s="169"/>
      <c r="Z322" s="169" t="str">
        <f t="shared" si="7"/>
        <v/>
      </c>
      <c r="AA322" s="169"/>
      <c r="AB322" s="169" t="str">
        <f t="shared" si="8"/>
        <v/>
      </c>
      <c r="AC322" s="169"/>
      <c r="AD322" s="169" t="str">
        <f t="shared" si="9"/>
        <v/>
      </c>
      <c r="AE322" s="169"/>
      <c r="AF322" s="169" t="str">
        <f t="shared" si="10"/>
        <v/>
      </c>
      <c r="AG322" s="169"/>
      <c r="AH322" s="169" t="str">
        <f t="shared" si="11"/>
        <v/>
      </c>
      <c r="AI322" s="169"/>
      <c r="AJ322" s="169" t="str">
        <f t="shared" si="12"/>
        <v/>
      </c>
    </row>
    <row r="323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 t="str">
        <f t="shared" si="2"/>
        <v/>
      </c>
      <c r="Q323" s="169"/>
      <c r="R323" s="169" t="str">
        <f t="shared" si="3"/>
        <v/>
      </c>
      <c r="S323" s="169"/>
      <c r="T323" s="169" t="str">
        <f t="shared" si="4"/>
        <v/>
      </c>
      <c r="U323" s="169"/>
      <c r="V323" s="169" t="str">
        <f t="shared" si="5"/>
        <v/>
      </c>
      <c r="W323" s="169"/>
      <c r="X323" s="169" t="str">
        <f t="shared" si="6"/>
        <v/>
      </c>
      <c r="Y323" s="169"/>
      <c r="Z323" s="169" t="str">
        <f t="shared" si="7"/>
        <v/>
      </c>
      <c r="AA323" s="169"/>
      <c r="AB323" s="169" t="str">
        <f t="shared" si="8"/>
        <v/>
      </c>
      <c r="AC323" s="169"/>
      <c r="AD323" s="169" t="str">
        <f t="shared" si="9"/>
        <v/>
      </c>
      <c r="AE323" s="169"/>
      <c r="AF323" s="169" t="str">
        <f t="shared" si="10"/>
        <v/>
      </c>
      <c r="AG323" s="169"/>
      <c r="AH323" s="169" t="str">
        <f t="shared" si="11"/>
        <v/>
      </c>
      <c r="AI323" s="169"/>
      <c r="AJ323" s="169" t="str">
        <f t="shared" si="12"/>
        <v/>
      </c>
    </row>
    <row r="324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 t="str">
        <f t="shared" si="2"/>
        <v/>
      </c>
      <c r="Q324" s="169"/>
      <c r="R324" s="169" t="str">
        <f t="shared" si="3"/>
        <v/>
      </c>
      <c r="S324" s="169"/>
      <c r="T324" s="169" t="str">
        <f t="shared" si="4"/>
        <v/>
      </c>
      <c r="U324" s="169"/>
      <c r="V324" s="169" t="str">
        <f t="shared" si="5"/>
        <v/>
      </c>
      <c r="W324" s="169"/>
      <c r="X324" s="169" t="str">
        <f t="shared" si="6"/>
        <v/>
      </c>
      <c r="Y324" s="169"/>
      <c r="Z324" s="169" t="str">
        <f t="shared" si="7"/>
        <v/>
      </c>
      <c r="AA324" s="169"/>
      <c r="AB324" s="169" t="str">
        <f t="shared" si="8"/>
        <v/>
      </c>
      <c r="AC324" s="169"/>
      <c r="AD324" s="169" t="str">
        <f t="shared" si="9"/>
        <v/>
      </c>
      <c r="AE324" s="169"/>
      <c r="AF324" s="169" t="str">
        <f t="shared" si="10"/>
        <v/>
      </c>
      <c r="AG324" s="169"/>
      <c r="AH324" s="169" t="str">
        <f t="shared" si="11"/>
        <v/>
      </c>
      <c r="AI324" s="169"/>
      <c r="AJ324" s="169" t="str">
        <f t="shared" si="12"/>
        <v/>
      </c>
    </row>
    <row r="3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 t="str">
        <f t="shared" si="2"/>
        <v/>
      </c>
      <c r="Q325" s="169"/>
      <c r="R325" s="169" t="str">
        <f t="shared" si="3"/>
        <v/>
      </c>
      <c r="S325" s="169"/>
      <c r="T325" s="169" t="str">
        <f t="shared" si="4"/>
        <v/>
      </c>
      <c r="U325" s="169"/>
      <c r="V325" s="169" t="str">
        <f t="shared" si="5"/>
        <v/>
      </c>
      <c r="W325" s="169"/>
      <c r="X325" s="169" t="str">
        <f t="shared" si="6"/>
        <v/>
      </c>
      <c r="Y325" s="169"/>
      <c r="Z325" s="169" t="str">
        <f t="shared" si="7"/>
        <v/>
      </c>
      <c r="AA325" s="169"/>
      <c r="AB325" s="169" t="str">
        <f t="shared" si="8"/>
        <v/>
      </c>
      <c r="AC325" s="169"/>
      <c r="AD325" s="169" t="str">
        <f t="shared" si="9"/>
        <v/>
      </c>
      <c r="AE325" s="169"/>
      <c r="AF325" s="169" t="str">
        <f t="shared" si="10"/>
        <v/>
      </c>
      <c r="AG325" s="169"/>
      <c r="AH325" s="169" t="str">
        <f t="shared" si="11"/>
        <v/>
      </c>
      <c r="AI325" s="169"/>
      <c r="AJ325" s="169" t="str">
        <f t="shared" si="12"/>
        <v/>
      </c>
    </row>
    <row r="326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 t="str">
        <f t="shared" si="2"/>
        <v/>
      </c>
      <c r="Q326" s="169"/>
      <c r="R326" s="169" t="str">
        <f t="shared" si="3"/>
        <v/>
      </c>
      <c r="S326" s="169"/>
      <c r="T326" s="169" t="str">
        <f t="shared" si="4"/>
        <v/>
      </c>
      <c r="U326" s="169"/>
      <c r="V326" s="169" t="str">
        <f t="shared" si="5"/>
        <v/>
      </c>
      <c r="W326" s="169"/>
      <c r="X326" s="169" t="str">
        <f t="shared" si="6"/>
        <v/>
      </c>
      <c r="Y326" s="169"/>
      <c r="Z326" s="169" t="str">
        <f t="shared" si="7"/>
        <v/>
      </c>
      <c r="AA326" s="169"/>
      <c r="AB326" s="169" t="str">
        <f t="shared" si="8"/>
        <v/>
      </c>
      <c r="AC326" s="169"/>
      <c r="AD326" s="169" t="str">
        <f t="shared" si="9"/>
        <v/>
      </c>
      <c r="AE326" s="169"/>
      <c r="AF326" s="169" t="str">
        <f t="shared" si="10"/>
        <v/>
      </c>
      <c r="AG326" s="169"/>
      <c r="AH326" s="169" t="str">
        <f t="shared" si="11"/>
        <v/>
      </c>
      <c r="AI326" s="169"/>
      <c r="AJ326" s="169" t="str">
        <f t="shared" si="12"/>
        <v/>
      </c>
    </row>
    <row r="327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 t="str">
        <f t="shared" si="2"/>
        <v/>
      </c>
      <c r="Q327" s="169"/>
      <c r="R327" s="169" t="str">
        <f t="shared" si="3"/>
        <v/>
      </c>
      <c r="S327" s="169"/>
      <c r="T327" s="169" t="str">
        <f t="shared" si="4"/>
        <v/>
      </c>
      <c r="U327" s="169"/>
      <c r="V327" s="169" t="str">
        <f t="shared" si="5"/>
        <v/>
      </c>
      <c r="W327" s="169"/>
      <c r="X327" s="169" t="str">
        <f t="shared" si="6"/>
        <v/>
      </c>
      <c r="Y327" s="169"/>
      <c r="Z327" s="169" t="str">
        <f t="shared" si="7"/>
        <v/>
      </c>
      <c r="AA327" s="169"/>
      <c r="AB327" s="169" t="str">
        <f t="shared" si="8"/>
        <v/>
      </c>
      <c r="AC327" s="169"/>
      <c r="AD327" s="169" t="str">
        <f t="shared" si="9"/>
        <v/>
      </c>
      <c r="AE327" s="169"/>
      <c r="AF327" s="169" t="str">
        <f t="shared" si="10"/>
        <v/>
      </c>
      <c r="AG327" s="169"/>
      <c r="AH327" s="169" t="str">
        <f t="shared" si="11"/>
        <v/>
      </c>
      <c r="AI327" s="169"/>
      <c r="AJ327" s="169" t="str">
        <f t="shared" si="12"/>
        <v/>
      </c>
    </row>
    <row r="328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 t="str">
        <f t="shared" si="2"/>
        <v/>
      </c>
      <c r="Q328" s="169"/>
      <c r="R328" s="169" t="str">
        <f t="shared" si="3"/>
        <v/>
      </c>
      <c r="S328" s="169"/>
      <c r="T328" s="169" t="str">
        <f t="shared" si="4"/>
        <v/>
      </c>
      <c r="U328" s="169"/>
      <c r="V328" s="169" t="str">
        <f t="shared" si="5"/>
        <v/>
      </c>
      <c r="W328" s="169"/>
      <c r="X328" s="169" t="str">
        <f t="shared" si="6"/>
        <v/>
      </c>
      <c r="Y328" s="169"/>
      <c r="Z328" s="169" t="str">
        <f t="shared" si="7"/>
        <v/>
      </c>
      <c r="AA328" s="169"/>
      <c r="AB328" s="169" t="str">
        <f t="shared" si="8"/>
        <v/>
      </c>
      <c r="AC328" s="169"/>
      <c r="AD328" s="169" t="str">
        <f t="shared" si="9"/>
        <v/>
      </c>
      <c r="AE328" s="169"/>
      <c r="AF328" s="169" t="str">
        <f t="shared" si="10"/>
        <v/>
      </c>
      <c r="AG328" s="169"/>
      <c r="AH328" s="169" t="str">
        <f t="shared" si="11"/>
        <v/>
      </c>
      <c r="AI328" s="169"/>
      <c r="AJ328" s="169" t="str">
        <f t="shared" si="12"/>
        <v/>
      </c>
    </row>
    <row r="329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 t="str">
        <f t="shared" si="2"/>
        <v/>
      </c>
      <c r="Q329" s="169"/>
      <c r="R329" s="169" t="str">
        <f t="shared" si="3"/>
        <v/>
      </c>
      <c r="S329" s="169"/>
      <c r="T329" s="169" t="str">
        <f t="shared" si="4"/>
        <v/>
      </c>
      <c r="U329" s="169"/>
      <c r="V329" s="169" t="str">
        <f t="shared" si="5"/>
        <v/>
      </c>
      <c r="W329" s="169"/>
      <c r="X329" s="169" t="str">
        <f t="shared" si="6"/>
        <v/>
      </c>
      <c r="Y329" s="169"/>
      <c r="Z329" s="169" t="str">
        <f t="shared" si="7"/>
        <v/>
      </c>
      <c r="AA329" s="169"/>
      <c r="AB329" s="169" t="str">
        <f t="shared" si="8"/>
        <v/>
      </c>
      <c r="AC329" s="169"/>
      <c r="AD329" s="169" t="str">
        <f t="shared" si="9"/>
        <v/>
      </c>
      <c r="AE329" s="169"/>
      <c r="AF329" s="169" t="str">
        <f t="shared" si="10"/>
        <v/>
      </c>
      <c r="AG329" s="169"/>
      <c r="AH329" s="169" t="str">
        <f t="shared" si="11"/>
        <v/>
      </c>
      <c r="AI329" s="169"/>
      <c r="AJ329" s="169" t="str">
        <f t="shared" si="12"/>
        <v/>
      </c>
    </row>
    <row r="330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 t="str">
        <f t="shared" si="2"/>
        <v/>
      </c>
      <c r="Q330" s="169"/>
      <c r="R330" s="169" t="str">
        <f t="shared" si="3"/>
        <v/>
      </c>
      <c r="S330" s="169"/>
      <c r="T330" s="169" t="str">
        <f t="shared" si="4"/>
        <v/>
      </c>
      <c r="U330" s="169"/>
      <c r="V330" s="169" t="str">
        <f t="shared" si="5"/>
        <v/>
      </c>
      <c r="W330" s="169"/>
      <c r="X330" s="169" t="str">
        <f t="shared" si="6"/>
        <v/>
      </c>
      <c r="Y330" s="169"/>
      <c r="Z330" s="169" t="str">
        <f t="shared" si="7"/>
        <v/>
      </c>
      <c r="AA330" s="169"/>
      <c r="AB330" s="169" t="str">
        <f t="shared" si="8"/>
        <v/>
      </c>
      <c r="AC330" s="169"/>
      <c r="AD330" s="169" t="str">
        <f t="shared" si="9"/>
        <v/>
      </c>
      <c r="AE330" s="169"/>
      <c r="AF330" s="169" t="str">
        <f t="shared" si="10"/>
        <v/>
      </c>
      <c r="AG330" s="169"/>
      <c r="AH330" s="169" t="str">
        <f t="shared" si="11"/>
        <v/>
      </c>
      <c r="AI330" s="169"/>
      <c r="AJ330" s="169" t="str">
        <f t="shared" si="12"/>
        <v/>
      </c>
    </row>
    <row r="33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 t="str">
        <f t="shared" si="2"/>
        <v/>
      </c>
      <c r="Q331" s="169"/>
      <c r="R331" s="169" t="str">
        <f t="shared" si="3"/>
        <v/>
      </c>
      <c r="S331" s="169"/>
      <c r="T331" s="169" t="str">
        <f t="shared" si="4"/>
        <v/>
      </c>
      <c r="U331" s="169"/>
      <c r="V331" s="169" t="str">
        <f t="shared" si="5"/>
        <v/>
      </c>
      <c r="W331" s="169"/>
      <c r="X331" s="169" t="str">
        <f t="shared" si="6"/>
        <v/>
      </c>
      <c r="Y331" s="169"/>
      <c r="Z331" s="169" t="str">
        <f t="shared" si="7"/>
        <v/>
      </c>
      <c r="AA331" s="169"/>
      <c r="AB331" s="169" t="str">
        <f t="shared" si="8"/>
        <v/>
      </c>
      <c r="AC331" s="169"/>
      <c r="AD331" s="169" t="str">
        <f t="shared" si="9"/>
        <v/>
      </c>
      <c r="AE331" s="169"/>
      <c r="AF331" s="169" t="str">
        <f t="shared" si="10"/>
        <v/>
      </c>
      <c r="AG331" s="169"/>
      <c r="AH331" s="169" t="str">
        <f t="shared" si="11"/>
        <v/>
      </c>
      <c r="AI331" s="169"/>
      <c r="AJ331" s="169" t="str">
        <f t="shared" si="12"/>
        <v/>
      </c>
    </row>
    <row r="332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 t="str">
        <f t="shared" si="2"/>
        <v/>
      </c>
      <c r="Q332" s="169"/>
      <c r="R332" s="169" t="str">
        <f t="shared" si="3"/>
        <v/>
      </c>
      <c r="S332" s="169"/>
      <c r="T332" s="169" t="str">
        <f t="shared" si="4"/>
        <v/>
      </c>
      <c r="U332" s="169"/>
      <c r="V332" s="169" t="str">
        <f t="shared" si="5"/>
        <v/>
      </c>
      <c r="W332" s="169"/>
      <c r="X332" s="169" t="str">
        <f t="shared" si="6"/>
        <v/>
      </c>
      <c r="Y332" s="169"/>
      <c r="Z332" s="169" t="str">
        <f t="shared" si="7"/>
        <v/>
      </c>
      <c r="AA332" s="169"/>
      <c r="AB332" s="169" t="str">
        <f t="shared" si="8"/>
        <v/>
      </c>
      <c r="AC332" s="169"/>
      <c r="AD332" s="169" t="str">
        <f t="shared" si="9"/>
        <v/>
      </c>
      <c r="AE332" s="169"/>
      <c r="AF332" s="169" t="str">
        <f t="shared" si="10"/>
        <v/>
      </c>
      <c r="AG332" s="169"/>
      <c r="AH332" s="169" t="str">
        <f t="shared" si="11"/>
        <v/>
      </c>
      <c r="AI332" s="169"/>
      <c r="AJ332" s="169" t="str">
        <f t="shared" si="12"/>
        <v/>
      </c>
    </row>
    <row r="333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 t="str">
        <f t="shared" si="2"/>
        <v/>
      </c>
      <c r="Q333" s="169"/>
      <c r="R333" s="169" t="str">
        <f t="shared" si="3"/>
        <v/>
      </c>
      <c r="S333" s="169"/>
      <c r="T333" s="169" t="str">
        <f t="shared" si="4"/>
        <v/>
      </c>
      <c r="U333" s="169"/>
      <c r="V333" s="169" t="str">
        <f t="shared" si="5"/>
        <v/>
      </c>
      <c r="W333" s="169"/>
      <c r="X333" s="169" t="str">
        <f t="shared" si="6"/>
        <v/>
      </c>
      <c r="Y333" s="169"/>
      <c r="Z333" s="169" t="str">
        <f t="shared" si="7"/>
        <v/>
      </c>
      <c r="AA333" s="169"/>
      <c r="AB333" s="169" t="str">
        <f t="shared" si="8"/>
        <v/>
      </c>
      <c r="AC333" s="169"/>
      <c r="AD333" s="169" t="str">
        <f t="shared" si="9"/>
        <v/>
      </c>
      <c r="AE333" s="169"/>
      <c r="AF333" s="169" t="str">
        <f t="shared" si="10"/>
        <v/>
      </c>
      <c r="AG333" s="169"/>
      <c r="AH333" s="169" t="str">
        <f t="shared" si="11"/>
        <v/>
      </c>
      <c r="AI333" s="169"/>
      <c r="AJ333" s="169" t="str">
        <f t="shared" si="12"/>
        <v/>
      </c>
    </row>
    <row r="334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 t="str">
        <f t="shared" si="2"/>
        <v/>
      </c>
      <c r="Q334" s="169"/>
      <c r="R334" s="169" t="str">
        <f t="shared" si="3"/>
        <v/>
      </c>
      <c r="S334" s="169"/>
      <c r="T334" s="169" t="str">
        <f t="shared" si="4"/>
        <v/>
      </c>
      <c r="U334" s="169"/>
      <c r="V334" s="169" t="str">
        <f t="shared" si="5"/>
        <v/>
      </c>
      <c r="W334" s="169"/>
      <c r="X334" s="169" t="str">
        <f t="shared" si="6"/>
        <v/>
      </c>
      <c r="Y334" s="169"/>
      <c r="Z334" s="169" t="str">
        <f t="shared" si="7"/>
        <v/>
      </c>
      <c r="AA334" s="169"/>
      <c r="AB334" s="169" t="str">
        <f t="shared" si="8"/>
        <v/>
      </c>
      <c r="AC334" s="169"/>
      <c r="AD334" s="169" t="str">
        <f t="shared" si="9"/>
        <v/>
      </c>
      <c r="AE334" s="169"/>
      <c r="AF334" s="169" t="str">
        <f t="shared" si="10"/>
        <v/>
      </c>
      <c r="AG334" s="169"/>
      <c r="AH334" s="169" t="str">
        <f t="shared" si="11"/>
        <v/>
      </c>
      <c r="AI334" s="169"/>
      <c r="AJ334" s="169" t="str">
        <f t="shared" si="12"/>
        <v/>
      </c>
    </row>
    <row r="33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 t="str">
        <f t="shared" si="2"/>
        <v/>
      </c>
      <c r="Q335" s="169"/>
      <c r="R335" s="169" t="str">
        <f t="shared" si="3"/>
        <v/>
      </c>
      <c r="S335" s="169"/>
      <c r="T335" s="169" t="str">
        <f t="shared" si="4"/>
        <v/>
      </c>
      <c r="U335" s="169"/>
      <c r="V335" s="169" t="str">
        <f t="shared" si="5"/>
        <v/>
      </c>
      <c r="W335" s="169"/>
      <c r="X335" s="169" t="str">
        <f t="shared" si="6"/>
        <v/>
      </c>
      <c r="Y335" s="169"/>
      <c r="Z335" s="169" t="str">
        <f t="shared" si="7"/>
        <v/>
      </c>
      <c r="AA335" s="169"/>
      <c r="AB335" s="169" t="str">
        <f t="shared" si="8"/>
        <v/>
      </c>
      <c r="AC335" s="169"/>
      <c r="AD335" s="169" t="str">
        <f t="shared" si="9"/>
        <v/>
      </c>
      <c r="AE335" s="169"/>
      <c r="AF335" s="169" t="str">
        <f t="shared" si="10"/>
        <v/>
      </c>
      <c r="AG335" s="169"/>
      <c r="AH335" s="169" t="str">
        <f t="shared" si="11"/>
        <v/>
      </c>
      <c r="AI335" s="169"/>
      <c r="AJ335" s="169" t="str">
        <f t="shared" si="12"/>
        <v/>
      </c>
    </row>
    <row r="336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 t="str">
        <f t="shared" si="2"/>
        <v/>
      </c>
      <c r="Q336" s="169"/>
      <c r="R336" s="169" t="str">
        <f t="shared" si="3"/>
        <v/>
      </c>
      <c r="S336" s="169"/>
      <c r="T336" s="169" t="str">
        <f t="shared" si="4"/>
        <v/>
      </c>
      <c r="U336" s="169"/>
      <c r="V336" s="169" t="str">
        <f t="shared" si="5"/>
        <v/>
      </c>
      <c r="W336" s="169"/>
      <c r="X336" s="169" t="str">
        <f t="shared" si="6"/>
        <v/>
      </c>
      <c r="Y336" s="169"/>
      <c r="Z336" s="169" t="str">
        <f t="shared" si="7"/>
        <v/>
      </c>
      <c r="AA336" s="169"/>
      <c r="AB336" s="169" t="str">
        <f t="shared" si="8"/>
        <v/>
      </c>
      <c r="AC336" s="169"/>
      <c r="AD336" s="169" t="str">
        <f t="shared" si="9"/>
        <v/>
      </c>
      <c r="AE336" s="169"/>
      <c r="AF336" s="169" t="str">
        <f t="shared" si="10"/>
        <v/>
      </c>
      <c r="AG336" s="169"/>
      <c r="AH336" s="169" t="str">
        <f t="shared" si="11"/>
        <v/>
      </c>
      <c r="AI336" s="169"/>
      <c r="AJ336" s="169" t="str">
        <f t="shared" si="12"/>
        <v/>
      </c>
    </row>
    <row r="337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 t="str">
        <f t="shared" si="2"/>
        <v/>
      </c>
      <c r="Q337" s="169"/>
      <c r="R337" s="169" t="str">
        <f t="shared" si="3"/>
        <v/>
      </c>
      <c r="S337" s="169"/>
      <c r="T337" s="169" t="str">
        <f t="shared" si="4"/>
        <v/>
      </c>
      <c r="U337" s="169"/>
      <c r="V337" s="169" t="str">
        <f t="shared" si="5"/>
        <v/>
      </c>
      <c r="W337" s="169"/>
      <c r="X337" s="169" t="str">
        <f t="shared" si="6"/>
        <v/>
      </c>
      <c r="Y337" s="169"/>
      <c r="Z337" s="169" t="str">
        <f t="shared" si="7"/>
        <v/>
      </c>
      <c r="AA337" s="169"/>
      <c r="AB337" s="169" t="str">
        <f t="shared" si="8"/>
        <v/>
      </c>
      <c r="AC337" s="169"/>
      <c r="AD337" s="169" t="str">
        <f t="shared" si="9"/>
        <v/>
      </c>
      <c r="AE337" s="169"/>
      <c r="AF337" s="169" t="str">
        <f t="shared" si="10"/>
        <v/>
      </c>
      <c r="AG337" s="169"/>
      <c r="AH337" s="169" t="str">
        <f t="shared" si="11"/>
        <v/>
      </c>
      <c r="AI337" s="169"/>
      <c r="AJ337" s="169" t="str">
        <f t="shared" si="12"/>
        <v/>
      </c>
    </row>
    <row r="338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 t="str">
        <f t="shared" si="2"/>
        <v/>
      </c>
      <c r="Q338" s="169"/>
      <c r="R338" s="169" t="str">
        <f t="shared" si="3"/>
        <v/>
      </c>
      <c r="S338" s="169"/>
      <c r="T338" s="169" t="str">
        <f t="shared" si="4"/>
        <v/>
      </c>
      <c r="U338" s="169"/>
      <c r="V338" s="169" t="str">
        <f t="shared" si="5"/>
        <v/>
      </c>
      <c r="W338" s="169"/>
      <c r="X338" s="169" t="str">
        <f t="shared" si="6"/>
        <v/>
      </c>
      <c r="Y338" s="169"/>
      <c r="Z338" s="169" t="str">
        <f t="shared" si="7"/>
        <v/>
      </c>
      <c r="AA338" s="169"/>
      <c r="AB338" s="169" t="str">
        <f t="shared" si="8"/>
        <v/>
      </c>
      <c r="AC338" s="169"/>
      <c r="AD338" s="169" t="str">
        <f t="shared" si="9"/>
        <v/>
      </c>
      <c r="AE338" s="169"/>
      <c r="AF338" s="169" t="str">
        <f t="shared" si="10"/>
        <v/>
      </c>
      <c r="AG338" s="169"/>
      <c r="AH338" s="169" t="str">
        <f t="shared" si="11"/>
        <v/>
      </c>
      <c r="AI338" s="169"/>
      <c r="AJ338" s="169" t="str">
        <f t="shared" si="12"/>
        <v/>
      </c>
    </row>
    <row r="339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 t="str">
        <f t="shared" si="2"/>
        <v/>
      </c>
      <c r="Q339" s="169"/>
      <c r="R339" s="169" t="str">
        <f t="shared" si="3"/>
        <v/>
      </c>
      <c r="S339" s="169"/>
      <c r="T339" s="169" t="str">
        <f t="shared" si="4"/>
        <v/>
      </c>
      <c r="U339" s="169"/>
      <c r="V339" s="169" t="str">
        <f t="shared" si="5"/>
        <v/>
      </c>
      <c r="W339" s="169"/>
      <c r="X339" s="169" t="str">
        <f t="shared" si="6"/>
        <v/>
      </c>
      <c r="Y339" s="169"/>
      <c r="Z339" s="169" t="str">
        <f t="shared" si="7"/>
        <v/>
      </c>
      <c r="AA339" s="169"/>
      <c r="AB339" s="169" t="str">
        <f t="shared" si="8"/>
        <v/>
      </c>
      <c r="AC339" s="169"/>
      <c r="AD339" s="169" t="str">
        <f t="shared" si="9"/>
        <v/>
      </c>
      <c r="AE339" s="169"/>
      <c r="AF339" s="169" t="str">
        <f t="shared" si="10"/>
        <v/>
      </c>
      <c r="AG339" s="169"/>
      <c r="AH339" s="169" t="str">
        <f t="shared" si="11"/>
        <v/>
      </c>
      <c r="AI339" s="169"/>
      <c r="AJ339" s="169" t="str">
        <f t="shared" si="12"/>
        <v/>
      </c>
    </row>
    <row r="340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 t="str">
        <f t="shared" si="2"/>
        <v/>
      </c>
      <c r="Q340" s="169"/>
      <c r="R340" s="169" t="str">
        <f t="shared" si="3"/>
        <v/>
      </c>
      <c r="S340" s="169"/>
      <c r="T340" s="169" t="str">
        <f t="shared" si="4"/>
        <v/>
      </c>
      <c r="U340" s="169"/>
      <c r="V340" s="169" t="str">
        <f t="shared" si="5"/>
        <v/>
      </c>
      <c r="W340" s="169"/>
      <c r="X340" s="169" t="str">
        <f t="shared" si="6"/>
        <v/>
      </c>
      <c r="Y340" s="169"/>
      <c r="Z340" s="169" t="str">
        <f t="shared" si="7"/>
        <v/>
      </c>
      <c r="AA340" s="169"/>
      <c r="AB340" s="169" t="str">
        <f t="shared" si="8"/>
        <v/>
      </c>
      <c r="AC340" s="169"/>
      <c r="AD340" s="169" t="str">
        <f t="shared" si="9"/>
        <v/>
      </c>
      <c r="AE340" s="169"/>
      <c r="AF340" s="169" t="str">
        <f t="shared" si="10"/>
        <v/>
      </c>
      <c r="AG340" s="169"/>
      <c r="AH340" s="169" t="str">
        <f t="shared" si="11"/>
        <v/>
      </c>
      <c r="AI340" s="169"/>
      <c r="AJ340" s="169" t="str">
        <f t="shared" si="12"/>
        <v/>
      </c>
    </row>
    <row r="34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 t="str">
        <f t="shared" si="2"/>
        <v/>
      </c>
      <c r="Q341" s="169"/>
      <c r="R341" s="169" t="str">
        <f t="shared" si="3"/>
        <v/>
      </c>
      <c r="S341" s="169"/>
      <c r="T341" s="169" t="str">
        <f t="shared" si="4"/>
        <v/>
      </c>
      <c r="U341" s="169"/>
      <c r="V341" s="169" t="str">
        <f t="shared" si="5"/>
        <v/>
      </c>
      <c r="W341" s="169"/>
      <c r="X341" s="169" t="str">
        <f t="shared" si="6"/>
        <v/>
      </c>
      <c r="Y341" s="169"/>
      <c r="Z341" s="169" t="str">
        <f t="shared" si="7"/>
        <v/>
      </c>
      <c r="AA341" s="169"/>
      <c r="AB341" s="169" t="str">
        <f t="shared" si="8"/>
        <v/>
      </c>
      <c r="AC341" s="169"/>
      <c r="AD341" s="169" t="str">
        <f t="shared" si="9"/>
        <v/>
      </c>
      <c r="AE341" s="169"/>
      <c r="AF341" s="169" t="str">
        <f t="shared" si="10"/>
        <v/>
      </c>
      <c r="AG341" s="169"/>
      <c r="AH341" s="169" t="str">
        <f t="shared" si="11"/>
        <v/>
      </c>
      <c r="AI341" s="169"/>
      <c r="AJ341" s="169" t="str">
        <f t="shared" si="12"/>
        <v/>
      </c>
    </row>
    <row r="342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 t="str">
        <f t="shared" si="2"/>
        <v/>
      </c>
      <c r="Q342" s="169"/>
      <c r="R342" s="169" t="str">
        <f t="shared" si="3"/>
        <v/>
      </c>
      <c r="S342" s="169"/>
      <c r="T342" s="169" t="str">
        <f t="shared" si="4"/>
        <v/>
      </c>
      <c r="U342" s="169"/>
      <c r="V342" s="169" t="str">
        <f t="shared" si="5"/>
        <v/>
      </c>
      <c r="W342" s="169"/>
      <c r="X342" s="169" t="str">
        <f t="shared" si="6"/>
        <v/>
      </c>
      <c r="Y342" s="169"/>
      <c r="Z342" s="169" t="str">
        <f t="shared" si="7"/>
        <v/>
      </c>
      <c r="AA342" s="169"/>
      <c r="AB342" s="169" t="str">
        <f t="shared" si="8"/>
        <v/>
      </c>
      <c r="AC342" s="169"/>
      <c r="AD342" s="169" t="str">
        <f t="shared" si="9"/>
        <v/>
      </c>
      <c r="AE342" s="169"/>
      <c r="AF342" s="169" t="str">
        <f t="shared" si="10"/>
        <v/>
      </c>
      <c r="AG342" s="169"/>
      <c r="AH342" s="169" t="str">
        <f t="shared" si="11"/>
        <v/>
      </c>
      <c r="AI342" s="169"/>
      <c r="AJ342" s="169" t="str">
        <f t="shared" si="12"/>
        <v/>
      </c>
    </row>
    <row r="343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 t="str">
        <f t="shared" si="2"/>
        <v/>
      </c>
      <c r="Q343" s="169"/>
      <c r="R343" s="169" t="str">
        <f t="shared" si="3"/>
        <v/>
      </c>
      <c r="S343" s="169"/>
      <c r="T343" s="169" t="str">
        <f t="shared" si="4"/>
        <v/>
      </c>
      <c r="U343" s="169"/>
      <c r="V343" s="169" t="str">
        <f t="shared" si="5"/>
        <v/>
      </c>
      <c r="W343" s="169"/>
      <c r="X343" s="169" t="str">
        <f t="shared" si="6"/>
        <v/>
      </c>
      <c r="Y343" s="169"/>
      <c r="Z343" s="169" t="str">
        <f t="shared" si="7"/>
        <v/>
      </c>
      <c r="AA343" s="169"/>
      <c r="AB343" s="169" t="str">
        <f t="shared" si="8"/>
        <v/>
      </c>
      <c r="AC343" s="169"/>
      <c r="AD343" s="169" t="str">
        <f t="shared" si="9"/>
        <v/>
      </c>
      <c r="AE343" s="169"/>
      <c r="AF343" s="169" t="str">
        <f t="shared" si="10"/>
        <v/>
      </c>
      <c r="AG343" s="169"/>
      <c r="AH343" s="169" t="str">
        <f t="shared" si="11"/>
        <v/>
      </c>
      <c r="AI343" s="169"/>
      <c r="AJ343" s="169" t="str">
        <f t="shared" si="12"/>
        <v/>
      </c>
    </row>
    <row r="344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 t="str">
        <f t="shared" si="2"/>
        <v/>
      </c>
      <c r="Q344" s="169"/>
      <c r="R344" s="169" t="str">
        <f t="shared" si="3"/>
        <v/>
      </c>
      <c r="S344" s="169"/>
      <c r="T344" s="169" t="str">
        <f t="shared" si="4"/>
        <v/>
      </c>
      <c r="U344" s="169"/>
      <c r="V344" s="169" t="str">
        <f t="shared" si="5"/>
        <v/>
      </c>
      <c r="W344" s="169"/>
      <c r="X344" s="169" t="str">
        <f t="shared" si="6"/>
        <v/>
      </c>
      <c r="Y344" s="169"/>
      <c r="Z344" s="169" t="str">
        <f t="shared" si="7"/>
        <v/>
      </c>
      <c r="AA344" s="169"/>
      <c r="AB344" s="169" t="str">
        <f t="shared" si="8"/>
        <v/>
      </c>
      <c r="AC344" s="169"/>
      <c r="AD344" s="169" t="str">
        <f t="shared" si="9"/>
        <v/>
      </c>
      <c r="AE344" s="169"/>
      <c r="AF344" s="169" t="str">
        <f t="shared" si="10"/>
        <v/>
      </c>
      <c r="AG344" s="169"/>
      <c r="AH344" s="169" t="str">
        <f t="shared" si="11"/>
        <v/>
      </c>
      <c r="AI344" s="169"/>
      <c r="AJ344" s="169" t="str">
        <f t="shared" si="12"/>
        <v/>
      </c>
    </row>
    <row r="34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 t="str">
        <f t="shared" si="2"/>
        <v/>
      </c>
      <c r="Q345" s="169"/>
      <c r="R345" s="169" t="str">
        <f t="shared" si="3"/>
        <v/>
      </c>
      <c r="S345" s="169"/>
      <c r="T345" s="169" t="str">
        <f t="shared" si="4"/>
        <v/>
      </c>
      <c r="U345" s="169"/>
      <c r="V345" s="169" t="str">
        <f t="shared" si="5"/>
        <v/>
      </c>
      <c r="W345" s="169"/>
      <c r="X345" s="169" t="str">
        <f t="shared" si="6"/>
        <v/>
      </c>
      <c r="Y345" s="169"/>
      <c r="Z345" s="169" t="str">
        <f t="shared" si="7"/>
        <v/>
      </c>
      <c r="AA345" s="169"/>
      <c r="AB345" s="169" t="str">
        <f t="shared" si="8"/>
        <v/>
      </c>
      <c r="AC345" s="169"/>
      <c r="AD345" s="169" t="str">
        <f t="shared" si="9"/>
        <v/>
      </c>
      <c r="AE345" s="169"/>
      <c r="AF345" s="169" t="str">
        <f t="shared" si="10"/>
        <v/>
      </c>
      <c r="AG345" s="169"/>
      <c r="AH345" s="169" t="str">
        <f t="shared" si="11"/>
        <v/>
      </c>
      <c r="AI345" s="169"/>
      <c r="AJ345" s="169" t="str">
        <f t="shared" si="12"/>
        <v/>
      </c>
    </row>
    <row r="346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 t="str">
        <f t="shared" si="2"/>
        <v/>
      </c>
      <c r="Q346" s="169"/>
      <c r="R346" s="169" t="str">
        <f t="shared" si="3"/>
        <v/>
      </c>
      <c r="S346" s="169"/>
      <c r="T346" s="169" t="str">
        <f t="shared" si="4"/>
        <v/>
      </c>
      <c r="U346" s="169"/>
      <c r="V346" s="169" t="str">
        <f t="shared" si="5"/>
        <v/>
      </c>
      <c r="W346" s="169"/>
      <c r="X346" s="169" t="str">
        <f t="shared" si="6"/>
        <v/>
      </c>
      <c r="Y346" s="169"/>
      <c r="Z346" s="169" t="str">
        <f t="shared" si="7"/>
        <v/>
      </c>
      <c r="AA346" s="169"/>
      <c r="AB346" s="169" t="str">
        <f t="shared" si="8"/>
        <v/>
      </c>
      <c r="AC346" s="169"/>
      <c r="AD346" s="169" t="str">
        <f t="shared" si="9"/>
        <v/>
      </c>
      <c r="AE346" s="169"/>
      <c r="AF346" s="169" t="str">
        <f t="shared" si="10"/>
        <v/>
      </c>
      <c r="AG346" s="169"/>
      <c r="AH346" s="169" t="str">
        <f t="shared" si="11"/>
        <v/>
      </c>
      <c r="AI346" s="169"/>
      <c r="AJ346" s="169" t="str">
        <f t="shared" si="12"/>
        <v/>
      </c>
    </row>
    <row r="347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 t="str">
        <f t="shared" si="2"/>
        <v/>
      </c>
      <c r="Q347" s="169"/>
      <c r="R347" s="169" t="str">
        <f t="shared" si="3"/>
        <v/>
      </c>
      <c r="S347" s="169"/>
      <c r="T347" s="169" t="str">
        <f t="shared" si="4"/>
        <v/>
      </c>
      <c r="U347" s="169"/>
      <c r="V347" s="169" t="str">
        <f t="shared" si="5"/>
        <v/>
      </c>
      <c r="W347" s="169"/>
      <c r="X347" s="169" t="str">
        <f t="shared" si="6"/>
        <v/>
      </c>
      <c r="Y347" s="169"/>
      <c r="Z347" s="169" t="str">
        <f t="shared" si="7"/>
        <v/>
      </c>
      <c r="AA347" s="169"/>
      <c r="AB347" s="169" t="str">
        <f t="shared" si="8"/>
        <v/>
      </c>
      <c r="AC347" s="169"/>
      <c r="AD347" s="169" t="str">
        <f t="shared" si="9"/>
        <v/>
      </c>
      <c r="AE347" s="169"/>
      <c r="AF347" s="169" t="str">
        <f t="shared" si="10"/>
        <v/>
      </c>
      <c r="AG347" s="169"/>
      <c r="AH347" s="169" t="str">
        <f t="shared" si="11"/>
        <v/>
      </c>
      <c r="AI347" s="169"/>
      <c r="AJ347" s="169" t="str">
        <f t="shared" si="12"/>
        <v/>
      </c>
    </row>
    <row r="348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 t="str">
        <f t="shared" si="2"/>
        <v/>
      </c>
      <c r="Q348" s="169"/>
      <c r="R348" s="169" t="str">
        <f t="shared" si="3"/>
        <v/>
      </c>
      <c r="S348" s="169"/>
      <c r="T348" s="169" t="str">
        <f t="shared" si="4"/>
        <v/>
      </c>
      <c r="U348" s="169"/>
      <c r="V348" s="169" t="str">
        <f t="shared" si="5"/>
        <v/>
      </c>
      <c r="W348" s="169"/>
      <c r="X348" s="169" t="str">
        <f t="shared" si="6"/>
        <v/>
      </c>
      <c r="Y348" s="169"/>
      <c r="Z348" s="169" t="str">
        <f t="shared" si="7"/>
        <v/>
      </c>
      <c r="AA348" s="169"/>
      <c r="AB348" s="169" t="str">
        <f t="shared" si="8"/>
        <v/>
      </c>
      <c r="AC348" s="169"/>
      <c r="AD348" s="169" t="str">
        <f t="shared" si="9"/>
        <v/>
      </c>
      <c r="AE348" s="169"/>
      <c r="AF348" s="169" t="str">
        <f t="shared" si="10"/>
        <v/>
      </c>
      <c r="AG348" s="169"/>
      <c r="AH348" s="169" t="str">
        <f t="shared" si="11"/>
        <v/>
      </c>
      <c r="AI348" s="169"/>
      <c r="AJ348" s="169" t="str">
        <f t="shared" si="12"/>
        <v/>
      </c>
    </row>
    <row r="349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 t="str">
        <f t="shared" si="2"/>
        <v/>
      </c>
      <c r="Q349" s="169"/>
      <c r="R349" s="169" t="str">
        <f t="shared" si="3"/>
        <v/>
      </c>
      <c r="S349" s="169"/>
      <c r="T349" s="169" t="str">
        <f t="shared" si="4"/>
        <v/>
      </c>
      <c r="U349" s="169"/>
      <c r="V349" s="169" t="str">
        <f t="shared" si="5"/>
        <v/>
      </c>
      <c r="W349" s="169"/>
      <c r="X349" s="169" t="str">
        <f t="shared" si="6"/>
        <v/>
      </c>
      <c r="Y349" s="169"/>
      <c r="Z349" s="169" t="str">
        <f t="shared" si="7"/>
        <v/>
      </c>
      <c r="AA349" s="169"/>
      <c r="AB349" s="169" t="str">
        <f t="shared" si="8"/>
        <v/>
      </c>
      <c r="AC349" s="169"/>
      <c r="AD349" s="169" t="str">
        <f t="shared" si="9"/>
        <v/>
      </c>
      <c r="AE349" s="169"/>
      <c r="AF349" s="169" t="str">
        <f t="shared" si="10"/>
        <v/>
      </c>
      <c r="AG349" s="169"/>
      <c r="AH349" s="169" t="str">
        <f t="shared" si="11"/>
        <v/>
      </c>
      <c r="AI349" s="169"/>
      <c r="AJ349" s="169" t="str">
        <f t="shared" si="12"/>
        <v/>
      </c>
    </row>
    <row r="350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 t="str">
        <f t="shared" si="2"/>
        <v/>
      </c>
      <c r="Q350" s="169"/>
      <c r="R350" s="169" t="str">
        <f t="shared" si="3"/>
        <v/>
      </c>
      <c r="S350" s="169"/>
      <c r="T350" s="169" t="str">
        <f t="shared" si="4"/>
        <v/>
      </c>
      <c r="U350" s="169"/>
      <c r="V350" s="169" t="str">
        <f t="shared" si="5"/>
        <v/>
      </c>
      <c r="W350" s="169"/>
      <c r="X350" s="169" t="str">
        <f t="shared" si="6"/>
        <v/>
      </c>
      <c r="Y350" s="169"/>
      <c r="Z350" s="169" t="str">
        <f t="shared" si="7"/>
        <v/>
      </c>
      <c r="AA350" s="169"/>
      <c r="AB350" s="169" t="str">
        <f t="shared" si="8"/>
        <v/>
      </c>
      <c r="AC350" s="169"/>
      <c r="AD350" s="169" t="str">
        <f t="shared" si="9"/>
        <v/>
      </c>
      <c r="AE350" s="169"/>
      <c r="AF350" s="169" t="str">
        <f t="shared" si="10"/>
        <v/>
      </c>
      <c r="AG350" s="169"/>
      <c r="AH350" s="169" t="str">
        <f t="shared" si="11"/>
        <v/>
      </c>
      <c r="AI350" s="169"/>
      <c r="AJ350" s="169" t="str">
        <f t="shared" si="12"/>
        <v/>
      </c>
    </row>
    <row r="35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 t="str">
        <f t="shared" si="2"/>
        <v/>
      </c>
      <c r="Q351" s="169"/>
      <c r="R351" s="169" t="str">
        <f t="shared" si="3"/>
        <v/>
      </c>
      <c r="S351" s="169"/>
      <c r="T351" s="169" t="str">
        <f t="shared" si="4"/>
        <v/>
      </c>
      <c r="U351" s="169"/>
      <c r="V351" s="169" t="str">
        <f t="shared" si="5"/>
        <v/>
      </c>
      <c r="W351" s="169"/>
      <c r="X351" s="169" t="str">
        <f t="shared" si="6"/>
        <v/>
      </c>
      <c r="Y351" s="169"/>
      <c r="Z351" s="169" t="str">
        <f t="shared" si="7"/>
        <v/>
      </c>
      <c r="AA351" s="169"/>
      <c r="AB351" s="169" t="str">
        <f t="shared" si="8"/>
        <v/>
      </c>
      <c r="AC351" s="169"/>
      <c r="AD351" s="169" t="str">
        <f t="shared" si="9"/>
        <v/>
      </c>
      <c r="AE351" s="169"/>
      <c r="AF351" s="169" t="str">
        <f t="shared" si="10"/>
        <v/>
      </c>
      <c r="AG351" s="169"/>
      <c r="AH351" s="169" t="str">
        <f t="shared" si="11"/>
        <v/>
      </c>
      <c r="AI351" s="169"/>
      <c r="AJ351" s="169" t="str">
        <f t="shared" si="12"/>
        <v/>
      </c>
    </row>
    <row r="352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 t="str">
        <f t="shared" si="2"/>
        <v/>
      </c>
      <c r="Q352" s="169"/>
      <c r="R352" s="169" t="str">
        <f t="shared" si="3"/>
        <v/>
      </c>
      <c r="S352" s="169"/>
      <c r="T352" s="169" t="str">
        <f t="shared" si="4"/>
        <v/>
      </c>
      <c r="U352" s="169"/>
      <c r="V352" s="169" t="str">
        <f t="shared" si="5"/>
        <v/>
      </c>
      <c r="W352" s="169"/>
      <c r="X352" s="169" t="str">
        <f t="shared" si="6"/>
        <v/>
      </c>
      <c r="Y352" s="169"/>
      <c r="Z352" s="169" t="str">
        <f t="shared" si="7"/>
        <v/>
      </c>
      <c r="AA352" s="169"/>
      <c r="AB352" s="169" t="str">
        <f t="shared" si="8"/>
        <v/>
      </c>
      <c r="AC352" s="169"/>
      <c r="AD352" s="169" t="str">
        <f t="shared" si="9"/>
        <v/>
      </c>
      <c r="AE352" s="169"/>
      <c r="AF352" s="169" t="str">
        <f t="shared" si="10"/>
        <v/>
      </c>
      <c r="AG352" s="169"/>
      <c r="AH352" s="169" t="str">
        <f t="shared" si="11"/>
        <v/>
      </c>
      <c r="AI352" s="169"/>
      <c r="AJ352" s="169" t="str">
        <f t="shared" si="12"/>
        <v/>
      </c>
    </row>
    <row r="353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 t="str">
        <f t="shared" si="2"/>
        <v/>
      </c>
      <c r="Q353" s="169"/>
      <c r="R353" s="169" t="str">
        <f t="shared" si="3"/>
        <v/>
      </c>
      <c r="S353" s="169"/>
      <c r="T353" s="169" t="str">
        <f t="shared" si="4"/>
        <v/>
      </c>
      <c r="U353" s="169"/>
      <c r="V353" s="169" t="str">
        <f t="shared" si="5"/>
        <v/>
      </c>
      <c r="W353" s="169"/>
      <c r="X353" s="169" t="str">
        <f t="shared" si="6"/>
        <v/>
      </c>
      <c r="Y353" s="169"/>
      <c r="Z353" s="169" t="str">
        <f t="shared" si="7"/>
        <v/>
      </c>
      <c r="AA353" s="169"/>
      <c r="AB353" s="169" t="str">
        <f t="shared" si="8"/>
        <v/>
      </c>
      <c r="AC353" s="169"/>
      <c r="AD353" s="169" t="str">
        <f t="shared" si="9"/>
        <v/>
      </c>
      <c r="AE353" s="169"/>
      <c r="AF353" s="169" t="str">
        <f t="shared" si="10"/>
        <v/>
      </c>
      <c r="AG353" s="169"/>
      <c r="AH353" s="169" t="str">
        <f t="shared" si="11"/>
        <v/>
      </c>
      <c r="AI353" s="169"/>
      <c r="AJ353" s="169" t="str">
        <f t="shared" si="12"/>
        <v/>
      </c>
    </row>
    <row r="354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 t="str">
        <f t="shared" si="2"/>
        <v/>
      </c>
      <c r="Q354" s="169"/>
      <c r="R354" s="169" t="str">
        <f t="shared" si="3"/>
        <v/>
      </c>
      <c r="S354" s="169"/>
      <c r="T354" s="169" t="str">
        <f t="shared" si="4"/>
        <v/>
      </c>
      <c r="U354" s="169"/>
      <c r="V354" s="169" t="str">
        <f t="shared" si="5"/>
        <v/>
      </c>
      <c r="W354" s="169"/>
      <c r="X354" s="169" t="str">
        <f t="shared" si="6"/>
        <v/>
      </c>
      <c r="Y354" s="169"/>
      <c r="Z354" s="169" t="str">
        <f t="shared" si="7"/>
        <v/>
      </c>
      <c r="AA354" s="169"/>
      <c r="AB354" s="169" t="str">
        <f t="shared" si="8"/>
        <v/>
      </c>
      <c r="AC354" s="169"/>
      <c r="AD354" s="169" t="str">
        <f t="shared" si="9"/>
        <v/>
      </c>
      <c r="AE354" s="169"/>
      <c r="AF354" s="169" t="str">
        <f t="shared" si="10"/>
        <v/>
      </c>
      <c r="AG354" s="169"/>
      <c r="AH354" s="169" t="str">
        <f t="shared" si="11"/>
        <v/>
      </c>
      <c r="AI354" s="169"/>
      <c r="AJ354" s="169" t="str">
        <f t="shared" si="12"/>
        <v/>
      </c>
    </row>
    <row r="35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 t="str">
        <f t="shared" si="2"/>
        <v/>
      </c>
      <c r="Q355" s="169"/>
      <c r="R355" s="169" t="str">
        <f t="shared" si="3"/>
        <v/>
      </c>
      <c r="S355" s="169"/>
      <c r="T355" s="169" t="str">
        <f t="shared" si="4"/>
        <v/>
      </c>
      <c r="U355" s="169"/>
      <c r="V355" s="169" t="str">
        <f t="shared" si="5"/>
        <v/>
      </c>
      <c r="W355" s="169"/>
      <c r="X355" s="169" t="str">
        <f t="shared" si="6"/>
        <v/>
      </c>
      <c r="Y355" s="169"/>
      <c r="Z355" s="169" t="str">
        <f t="shared" si="7"/>
        <v/>
      </c>
      <c r="AA355" s="169"/>
      <c r="AB355" s="169" t="str">
        <f t="shared" si="8"/>
        <v/>
      </c>
      <c r="AC355" s="169"/>
      <c r="AD355" s="169" t="str">
        <f t="shared" si="9"/>
        <v/>
      </c>
      <c r="AE355" s="169"/>
      <c r="AF355" s="169" t="str">
        <f t="shared" si="10"/>
        <v/>
      </c>
      <c r="AG355" s="169"/>
      <c r="AH355" s="169" t="str">
        <f t="shared" si="11"/>
        <v/>
      </c>
      <c r="AI355" s="169"/>
      <c r="AJ355" s="169" t="str">
        <f t="shared" si="12"/>
        <v/>
      </c>
    </row>
    <row r="356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 t="str">
        <f t="shared" si="2"/>
        <v/>
      </c>
      <c r="Q356" s="169"/>
      <c r="R356" s="169" t="str">
        <f t="shared" si="3"/>
        <v/>
      </c>
      <c r="S356" s="169"/>
      <c r="T356" s="169" t="str">
        <f t="shared" si="4"/>
        <v/>
      </c>
      <c r="U356" s="169"/>
      <c r="V356" s="169" t="str">
        <f t="shared" si="5"/>
        <v/>
      </c>
      <c r="W356" s="169"/>
      <c r="X356" s="169" t="str">
        <f t="shared" si="6"/>
        <v/>
      </c>
      <c r="Y356" s="169"/>
      <c r="Z356" s="169" t="str">
        <f t="shared" si="7"/>
        <v/>
      </c>
      <c r="AA356" s="169"/>
      <c r="AB356" s="169" t="str">
        <f t="shared" si="8"/>
        <v/>
      </c>
      <c r="AC356" s="169"/>
      <c r="AD356" s="169" t="str">
        <f t="shared" si="9"/>
        <v/>
      </c>
      <c r="AE356" s="169"/>
      <c r="AF356" s="169" t="str">
        <f t="shared" si="10"/>
        <v/>
      </c>
      <c r="AG356" s="169"/>
      <c r="AH356" s="169" t="str">
        <f t="shared" si="11"/>
        <v/>
      </c>
      <c r="AI356" s="169"/>
      <c r="AJ356" s="169" t="str">
        <f t="shared" si="12"/>
        <v/>
      </c>
    </row>
    <row r="357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 t="str">
        <f t="shared" si="2"/>
        <v/>
      </c>
      <c r="Q357" s="169"/>
      <c r="R357" s="169" t="str">
        <f t="shared" si="3"/>
        <v/>
      </c>
      <c r="S357" s="169"/>
      <c r="T357" s="169" t="str">
        <f t="shared" si="4"/>
        <v/>
      </c>
      <c r="U357" s="169"/>
      <c r="V357" s="169" t="str">
        <f t="shared" si="5"/>
        <v/>
      </c>
      <c r="W357" s="169"/>
      <c r="X357" s="169" t="str">
        <f t="shared" si="6"/>
        <v/>
      </c>
      <c r="Y357" s="169"/>
      <c r="Z357" s="169" t="str">
        <f t="shared" si="7"/>
        <v/>
      </c>
      <c r="AA357" s="169"/>
      <c r="AB357" s="169" t="str">
        <f t="shared" si="8"/>
        <v/>
      </c>
      <c r="AC357" s="169"/>
      <c r="AD357" s="169" t="str">
        <f t="shared" si="9"/>
        <v/>
      </c>
      <c r="AE357" s="169"/>
      <c r="AF357" s="169" t="str">
        <f t="shared" si="10"/>
        <v/>
      </c>
      <c r="AG357" s="169"/>
      <c r="AH357" s="169" t="str">
        <f t="shared" si="11"/>
        <v/>
      </c>
      <c r="AI357" s="169"/>
      <c r="AJ357" s="169" t="str">
        <f t="shared" si="12"/>
        <v/>
      </c>
    </row>
    <row r="358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 t="str">
        <f t="shared" si="2"/>
        <v/>
      </c>
      <c r="Q358" s="169"/>
      <c r="R358" s="169" t="str">
        <f t="shared" si="3"/>
        <v/>
      </c>
      <c r="S358" s="169"/>
      <c r="T358" s="169" t="str">
        <f t="shared" si="4"/>
        <v/>
      </c>
      <c r="U358" s="169"/>
      <c r="V358" s="169" t="str">
        <f t="shared" si="5"/>
        <v/>
      </c>
      <c r="W358" s="169"/>
      <c r="X358" s="169" t="str">
        <f t="shared" si="6"/>
        <v/>
      </c>
      <c r="Y358" s="169"/>
      <c r="Z358" s="169" t="str">
        <f t="shared" si="7"/>
        <v/>
      </c>
      <c r="AA358" s="169"/>
      <c r="AB358" s="169" t="str">
        <f t="shared" si="8"/>
        <v/>
      </c>
      <c r="AC358" s="169"/>
      <c r="AD358" s="169" t="str">
        <f t="shared" si="9"/>
        <v/>
      </c>
      <c r="AE358" s="169"/>
      <c r="AF358" s="169" t="str">
        <f t="shared" si="10"/>
        <v/>
      </c>
      <c r="AG358" s="169"/>
      <c r="AH358" s="169" t="str">
        <f t="shared" si="11"/>
        <v/>
      </c>
      <c r="AI358" s="169"/>
      <c r="AJ358" s="169" t="str">
        <f t="shared" si="12"/>
        <v/>
      </c>
    </row>
    <row r="359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 t="str">
        <f t="shared" si="2"/>
        <v/>
      </c>
      <c r="Q359" s="169"/>
      <c r="R359" s="169" t="str">
        <f t="shared" si="3"/>
        <v/>
      </c>
      <c r="S359" s="169"/>
      <c r="T359" s="169" t="str">
        <f t="shared" si="4"/>
        <v/>
      </c>
      <c r="U359" s="169"/>
      <c r="V359" s="169" t="str">
        <f t="shared" si="5"/>
        <v/>
      </c>
      <c r="W359" s="169"/>
      <c r="X359" s="169" t="str">
        <f t="shared" si="6"/>
        <v/>
      </c>
      <c r="Y359" s="169"/>
      <c r="Z359" s="169" t="str">
        <f t="shared" si="7"/>
        <v/>
      </c>
      <c r="AA359" s="169"/>
      <c r="AB359" s="169" t="str">
        <f t="shared" si="8"/>
        <v/>
      </c>
      <c r="AC359" s="169"/>
      <c r="AD359" s="169" t="str">
        <f t="shared" si="9"/>
        <v/>
      </c>
      <c r="AE359" s="169"/>
      <c r="AF359" s="169" t="str">
        <f t="shared" si="10"/>
        <v/>
      </c>
      <c r="AG359" s="169"/>
      <c r="AH359" s="169" t="str">
        <f t="shared" si="11"/>
        <v/>
      </c>
      <c r="AI359" s="169"/>
      <c r="AJ359" s="169" t="str">
        <f t="shared" si="12"/>
        <v/>
      </c>
    </row>
    <row r="360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 t="str">
        <f t="shared" si="2"/>
        <v/>
      </c>
      <c r="Q360" s="169"/>
      <c r="R360" s="169" t="str">
        <f t="shared" si="3"/>
        <v/>
      </c>
      <c r="S360" s="169"/>
      <c r="T360" s="169" t="str">
        <f t="shared" si="4"/>
        <v/>
      </c>
      <c r="U360" s="169"/>
      <c r="V360" s="169" t="str">
        <f t="shared" si="5"/>
        <v/>
      </c>
      <c r="W360" s="169"/>
      <c r="X360" s="169" t="str">
        <f t="shared" si="6"/>
        <v/>
      </c>
      <c r="Y360" s="169"/>
      <c r="Z360" s="169" t="str">
        <f t="shared" si="7"/>
        <v/>
      </c>
      <c r="AA360" s="169"/>
      <c r="AB360" s="169" t="str">
        <f t="shared" si="8"/>
        <v/>
      </c>
      <c r="AC360" s="169"/>
      <c r="AD360" s="169" t="str">
        <f t="shared" si="9"/>
        <v/>
      </c>
      <c r="AE360" s="169"/>
      <c r="AF360" s="169" t="str">
        <f t="shared" si="10"/>
        <v/>
      </c>
      <c r="AG360" s="169"/>
      <c r="AH360" s="169" t="str">
        <f t="shared" si="11"/>
        <v/>
      </c>
      <c r="AI360" s="169"/>
      <c r="AJ360" s="169" t="str">
        <f t="shared" si="12"/>
        <v/>
      </c>
    </row>
    <row r="36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 t="str">
        <f t="shared" si="2"/>
        <v/>
      </c>
      <c r="Q361" s="169"/>
      <c r="R361" s="169" t="str">
        <f t="shared" si="3"/>
        <v/>
      </c>
      <c r="S361" s="169"/>
      <c r="T361" s="169" t="str">
        <f t="shared" si="4"/>
        <v/>
      </c>
      <c r="U361" s="169"/>
      <c r="V361" s="169" t="str">
        <f t="shared" si="5"/>
        <v/>
      </c>
      <c r="W361" s="169"/>
      <c r="X361" s="169" t="str">
        <f t="shared" si="6"/>
        <v/>
      </c>
      <c r="Y361" s="169"/>
      <c r="Z361" s="169" t="str">
        <f t="shared" si="7"/>
        <v/>
      </c>
      <c r="AA361" s="169"/>
      <c r="AB361" s="169" t="str">
        <f t="shared" si="8"/>
        <v/>
      </c>
      <c r="AC361" s="169"/>
      <c r="AD361" s="169" t="str">
        <f t="shared" si="9"/>
        <v/>
      </c>
      <c r="AE361" s="169"/>
      <c r="AF361" s="169" t="str">
        <f t="shared" si="10"/>
        <v/>
      </c>
      <c r="AG361" s="169"/>
      <c r="AH361" s="169" t="str">
        <f t="shared" si="11"/>
        <v/>
      </c>
      <c r="AI361" s="169"/>
      <c r="AJ361" s="169" t="str">
        <f t="shared" si="12"/>
        <v/>
      </c>
    </row>
    <row r="36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 t="str">
        <f t="shared" si="2"/>
        <v/>
      </c>
      <c r="Q362" s="169"/>
      <c r="R362" s="169" t="str">
        <f t="shared" si="3"/>
        <v/>
      </c>
      <c r="S362" s="169"/>
      <c r="T362" s="169" t="str">
        <f t="shared" si="4"/>
        <v/>
      </c>
      <c r="U362" s="169"/>
      <c r="V362" s="169" t="str">
        <f t="shared" si="5"/>
        <v/>
      </c>
      <c r="W362" s="169"/>
      <c r="X362" s="169" t="str">
        <f t="shared" si="6"/>
        <v/>
      </c>
      <c r="Y362" s="169"/>
      <c r="Z362" s="169" t="str">
        <f t="shared" si="7"/>
        <v/>
      </c>
      <c r="AA362" s="169"/>
      <c r="AB362" s="169" t="str">
        <f t="shared" si="8"/>
        <v/>
      </c>
      <c r="AC362" s="169"/>
      <c r="AD362" s="169" t="str">
        <f t="shared" si="9"/>
        <v/>
      </c>
      <c r="AE362" s="169"/>
      <c r="AF362" s="169" t="str">
        <f t="shared" si="10"/>
        <v/>
      </c>
      <c r="AG362" s="169"/>
      <c r="AH362" s="169" t="str">
        <f t="shared" si="11"/>
        <v/>
      </c>
      <c r="AI362" s="169"/>
      <c r="AJ362" s="169" t="str">
        <f t="shared" si="12"/>
        <v/>
      </c>
    </row>
    <row r="363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 t="str">
        <f t="shared" si="2"/>
        <v/>
      </c>
      <c r="Q363" s="169"/>
      <c r="R363" s="169" t="str">
        <f t="shared" si="3"/>
        <v/>
      </c>
      <c r="S363" s="169"/>
      <c r="T363" s="169" t="str">
        <f t="shared" si="4"/>
        <v/>
      </c>
      <c r="U363" s="169"/>
      <c r="V363" s="169" t="str">
        <f t="shared" si="5"/>
        <v/>
      </c>
      <c r="W363" s="169"/>
      <c r="X363" s="169" t="str">
        <f t="shared" si="6"/>
        <v/>
      </c>
      <c r="Y363" s="169"/>
      <c r="Z363" s="169" t="str">
        <f t="shared" si="7"/>
        <v/>
      </c>
      <c r="AA363" s="169"/>
      <c r="AB363" s="169" t="str">
        <f t="shared" si="8"/>
        <v/>
      </c>
      <c r="AC363" s="169"/>
      <c r="AD363" s="169" t="str">
        <f t="shared" si="9"/>
        <v/>
      </c>
      <c r="AE363" s="169"/>
      <c r="AF363" s="169" t="str">
        <f t="shared" si="10"/>
        <v/>
      </c>
      <c r="AG363" s="169"/>
      <c r="AH363" s="169" t="str">
        <f t="shared" si="11"/>
        <v/>
      </c>
      <c r="AI363" s="169"/>
      <c r="AJ363" s="169" t="str">
        <f t="shared" si="12"/>
        <v/>
      </c>
    </row>
    <row r="364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 t="str">
        <f t="shared" si="2"/>
        <v/>
      </c>
      <c r="Q364" s="169"/>
      <c r="R364" s="169" t="str">
        <f t="shared" si="3"/>
        <v/>
      </c>
      <c r="S364" s="169"/>
      <c r="T364" s="169" t="str">
        <f t="shared" si="4"/>
        <v/>
      </c>
      <c r="U364" s="169"/>
      <c r="V364" s="169" t="str">
        <f t="shared" si="5"/>
        <v/>
      </c>
      <c r="W364" s="169"/>
      <c r="X364" s="169" t="str">
        <f t="shared" si="6"/>
        <v/>
      </c>
      <c r="Y364" s="169"/>
      <c r="Z364" s="169" t="str">
        <f t="shared" si="7"/>
        <v/>
      </c>
      <c r="AA364" s="169"/>
      <c r="AB364" s="169" t="str">
        <f t="shared" si="8"/>
        <v/>
      </c>
      <c r="AC364" s="169"/>
      <c r="AD364" s="169" t="str">
        <f t="shared" si="9"/>
        <v/>
      </c>
      <c r="AE364" s="169"/>
      <c r="AF364" s="169" t="str">
        <f t="shared" si="10"/>
        <v/>
      </c>
      <c r="AG364" s="169"/>
      <c r="AH364" s="169" t="str">
        <f t="shared" si="11"/>
        <v/>
      </c>
      <c r="AI364" s="169"/>
      <c r="AJ364" s="169" t="str">
        <f t="shared" si="12"/>
        <v/>
      </c>
    </row>
    <row r="36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 t="str">
        <f t="shared" si="2"/>
        <v/>
      </c>
      <c r="Q365" s="169"/>
      <c r="R365" s="169" t="str">
        <f t="shared" si="3"/>
        <v/>
      </c>
      <c r="S365" s="169"/>
      <c r="T365" s="169" t="str">
        <f t="shared" si="4"/>
        <v/>
      </c>
      <c r="U365" s="169"/>
      <c r="V365" s="169" t="str">
        <f t="shared" si="5"/>
        <v/>
      </c>
      <c r="W365" s="169"/>
      <c r="X365" s="169" t="str">
        <f t="shared" si="6"/>
        <v/>
      </c>
      <c r="Y365" s="169"/>
      <c r="Z365" s="169" t="str">
        <f t="shared" si="7"/>
        <v/>
      </c>
      <c r="AA365" s="169"/>
      <c r="AB365" s="169" t="str">
        <f t="shared" si="8"/>
        <v/>
      </c>
      <c r="AC365" s="169"/>
      <c r="AD365" s="169" t="str">
        <f t="shared" si="9"/>
        <v/>
      </c>
      <c r="AE365" s="169"/>
      <c r="AF365" s="169" t="str">
        <f t="shared" si="10"/>
        <v/>
      </c>
      <c r="AG365" s="169"/>
      <c r="AH365" s="169" t="str">
        <f t="shared" si="11"/>
        <v/>
      </c>
      <c r="AI365" s="169"/>
      <c r="AJ365" s="169" t="str">
        <f t="shared" si="12"/>
        <v/>
      </c>
    </row>
    <row r="366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 t="str">
        <f t="shared" si="2"/>
        <v/>
      </c>
      <c r="Q366" s="169"/>
      <c r="R366" s="169" t="str">
        <f t="shared" si="3"/>
        <v/>
      </c>
      <c r="S366" s="169"/>
      <c r="T366" s="169" t="str">
        <f t="shared" si="4"/>
        <v/>
      </c>
      <c r="U366" s="169"/>
      <c r="V366" s="169" t="str">
        <f t="shared" si="5"/>
        <v/>
      </c>
      <c r="W366" s="169"/>
      <c r="X366" s="169" t="str">
        <f t="shared" si="6"/>
        <v/>
      </c>
      <c r="Y366" s="169"/>
      <c r="Z366" s="169" t="str">
        <f t="shared" si="7"/>
        <v/>
      </c>
      <c r="AA366" s="169"/>
      <c r="AB366" s="169" t="str">
        <f t="shared" si="8"/>
        <v/>
      </c>
      <c r="AC366" s="169"/>
      <c r="AD366" s="169" t="str">
        <f t="shared" si="9"/>
        <v/>
      </c>
      <c r="AE366" s="169"/>
      <c r="AF366" s="169" t="str">
        <f t="shared" si="10"/>
        <v/>
      </c>
      <c r="AG366" s="169"/>
      <c r="AH366" s="169" t="str">
        <f t="shared" si="11"/>
        <v/>
      </c>
      <c r="AI366" s="169"/>
      <c r="AJ366" s="169" t="str">
        <f t="shared" si="12"/>
        <v/>
      </c>
    </row>
    <row r="367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 t="str">
        <f t="shared" si="2"/>
        <v/>
      </c>
      <c r="Q367" s="169"/>
      <c r="R367" s="169" t="str">
        <f t="shared" si="3"/>
        <v/>
      </c>
      <c r="S367" s="169"/>
      <c r="T367" s="169" t="str">
        <f t="shared" si="4"/>
        <v/>
      </c>
      <c r="U367" s="169"/>
      <c r="V367" s="169" t="str">
        <f t="shared" si="5"/>
        <v/>
      </c>
      <c r="W367" s="169"/>
      <c r="X367" s="169" t="str">
        <f t="shared" si="6"/>
        <v/>
      </c>
      <c r="Y367" s="169"/>
      <c r="Z367" s="169" t="str">
        <f t="shared" si="7"/>
        <v/>
      </c>
      <c r="AA367" s="169"/>
      <c r="AB367" s="169" t="str">
        <f t="shared" si="8"/>
        <v/>
      </c>
      <c r="AC367" s="169"/>
      <c r="AD367" s="169" t="str">
        <f t="shared" si="9"/>
        <v/>
      </c>
      <c r="AE367" s="169"/>
      <c r="AF367" s="169" t="str">
        <f t="shared" si="10"/>
        <v/>
      </c>
      <c r="AG367" s="169"/>
      <c r="AH367" s="169" t="str">
        <f t="shared" si="11"/>
        <v/>
      </c>
      <c r="AI367" s="169"/>
      <c r="AJ367" s="169" t="str">
        <f t="shared" si="12"/>
        <v/>
      </c>
    </row>
    <row r="368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 t="str">
        <f t="shared" si="2"/>
        <v/>
      </c>
      <c r="Q368" s="169"/>
      <c r="R368" s="169" t="str">
        <f t="shared" si="3"/>
        <v/>
      </c>
      <c r="S368" s="169"/>
      <c r="T368" s="169" t="str">
        <f t="shared" si="4"/>
        <v/>
      </c>
      <c r="U368" s="169"/>
      <c r="V368" s="169" t="str">
        <f t="shared" si="5"/>
        <v/>
      </c>
      <c r="W368" s="169"/>
      <c r="X368" s="169" t="str">
        <f t="shared" si="6"/>
        <v/>
      </c>
      <c r="Y368" s="169"/>
      <c r="Z368" s="169" t="str">
        <f t="shared" si="7"/>
        <v/>
      </c>
      <c r="AA368" s="169"/>
      <c r="AB368" s="169" t="str">
        <f t="shared" si="8"/>
        <v/>
      </c>
      <c r="AC368" s="169"/>
      <c r="AD368" s="169" t="str">
        <f t="shared" si="9"/>
        <v/>
      </c>
      <c r="AE368" s="169"/>
      <c r="AF368" s="169" t="str">
        <f t="shared" si="10"/>
        <v/>
      </c>
      <c r="AG368" s="169"/>
      <c r="AH368" s="169" t="str">
        <f t="shared" si="11"/>
        <v/>
      </c>
      <c r="AI368" s="169"/>
      <c r="AJ368" s="169" t="str">
        <f t="shared" si="12"/>
        <v/>
      </c>
    </row>
    <row r="369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 t="str">
        <f t="shared" si="2"/>
        <v/>
      </c>
      <c r="Q369" s="169"/>
      <c r="R369" s="169" t="str">
        <f t="shared" si="3"/>
        <v/>
      </c>
      <c r="S369" s="169"/>
      <c r="T369" s="169" t="str">
        <f t="shared" si="4"/>
        <v/>
      </c>
      <c r="U369" s="169"/>
      <c r="V369" s="169" t="str">
        <f t="shared" si="5"/>
        <v/>
      </c>
      <c r="W369" s="169"/>
      <c r="X369" s="169" t="str">
        <f t="shared" si="6"/>
        <v/>
      </c>
      <c r="Y369" s="169"/>
      <c r="Z369" s="169" t="str">
        <f t="shared" si="7"/>
        <v/>
      </c>
      <c r="AA369" s="169"/>
      <c r="AB369" s="169" t="str">
        <f t="shared" si="8"/>
        <v/>
      </c>
      <c r="AC369" s="169"/>
      <c r="AD369" s="169" t="str">
        <f t="shared" si="9"/>
        <v/>
      </c>
      <c r="AE369" s="169"/>
      <c r="AF369" s="169" t="str">
        <f t="shared" si="10"/>
        <v/>
      </c>
      <c r="AG369" s="169"/>
      <c r="AH369" s="169" t="str">
        <f t="shared" si="11"/>
        <v/>
      </c>
      <c r="AI369" s="169"/>
      <c r="AJ369" s="169" t="str">
        <f t="shared" si="12"/>
        <v/>
      </c>
    </row>
    <row r="370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 t="str">
        <f t="shared" si="2"/>
        <v/>
      </c>
      <c r="Q370" s="169"/>
      <c r="R370" s="169" t="str">
        <f t="shared" si="3"/>
        <v/>
      </c>
      <c r="S370" s="169"/>
      <c r="T370" s="169" t="str">
        <f t="shared" si="4"/>
        <v/>
      </c>
      <c r="U370" s="169"/>
      <c r="V370" s="169" t="str">
        <f t="shared" si="5"/>
        <v/>
      </c>
      <c r="W370" s="169"/>
      <c r="X370" s="169" t="str">
        <f t="shared" si="6"/>
        <v/>
      </c>
      <c r="Y370" s="169"/>
      <c r="Z370" s="169" t="str">
        <f t="shared" si="7"/>
        <v/>
      </c>
      <c r="AA370" s="169"/>
      <c r="AB370" s="169" t="str">
        <f t="shared" si="8"/>
        <v/>
      </c>
      <c r="AC370" s="169"/>
      <c r="AD370" s="169" t="str">
        <f t="shared" si="9"/>
        <v/>
      </c>
      <c r="AE370" s="169"/>
      <c r="AF370" s="169" t="str">
        <f t="shared" si="10"/>
        <v/>
      </c>
      <c r="AG370" s="169"/>
      <c r="AH370" s="169" t="str">
        <f t="shared" si="11"/>
        <v/>
      </c>
      <c r="AI370" s="169"/>
      <c r="AJ370" s="169" t="str">
        <f t="shared" si="12"/>
        <v/>
      </c>
    </row>
    <row r="37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 t="str">
        <f t="shared" si="2"/>
        <v/>
      </c>
      <c r="Q371" s="169"/>
      <c r="R371" s="169" t="str">
        <f t="shared" si="3"/>
        <v/>
      </c>
      <c r="S371" s="169"/>
      <c r="T371" s="169" t="str">
        <f t="shared" si="4"/>
        <v/>
      </c>
      <c r="U371" s="169"/>
      <c r="V371" s="169" t="str">
        <f t="shared" si="5"/>
        <v/>
      </c>
      <c r="W371" s="169"/>
      <c r="X371" s="169" t="str">
        <f t="shared" si="6"/>
        <v/>
      </c>
      <c r="Y371" s="169"/>
      <c r="Z371" s="169" t="str">
        <f t="shared" si="7"/>
        <v/>
      </c>
      <c r="AA371" s="169"/>
      <c r="AB371" s="169" t="str">
        <f t="shared" si="8"/>
        <v/>
      </c>
      <c r="AC371" s="169"/>
      <c r="AD371" s="169" t="str">
        <f t="shared" si="9"/>
        <v/>
      </c>
      <c r="AE371" s="169"/>
      <c r="AF371" s="169" t="str">
        <f t="shared" si="10"/>
        <v/>
      </c>
      <c r="AG371" s="169"/>
      <c r="AH371" s="169" t="str">
        <f t="shared" si="11"/>
        <v/>
      </c>
      <c r="AI371" s="169"/>
      <c r="AJ371" s="169" t="str">
        <f t="shared" si="12"/>
        <v/>
      </c>
    </row>
    <row r="37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 t="str">
        <f t="shared" si="2"/>
        <v/>
      </c>
      <c r="Q372" s="169"/>
      <c r="R372" s="169" t="str">
        <f t="shared" si="3"/>
        <v/>
      </c>
      <c r="S372" s="169"/>
      <c r="T372" s="169" t="str">
        <f t="shared" si="4"/>
        <v/>
      </c>
      <c r="U372" s="169"/>
      <c r="V372" s="169" t="str">
        <f t="shared" si="5"/>
        <v/>
      </c>
      <c r="W372" s="169"/>
      <c r="X372" s="169" t="str">
        <f t="shared" si="6"/>
        <v/>
      </c>
      <c r="Y372" s="169"/>
      <c r="Z372" s="169" t="str">
        <f t="shared" si="7"/>
        <v/>
      </c>
      <c r="AA372" s="169"/>
      <c r="AB372" s="169" t="str">
        <f t="shared" si="8"/>
        <v/>
      </c>
      <c r="AC372" s="169"/>
      <c r="AD372" s="169" t="str">
        <f t="shared" si="9"/>
        <v/>
      </c>
      <c r="AE372" s="169"/>
      <c r="AF372" s="169" t="str">
        <f t="shared" si="10"/>
        <v/>
      </c>
      <c r="AG372" s="169"/>
      <c r="AH372" s="169" t="str">
        <f t="shared" si="11"/>
        <v/>
      </c>
      <c r="AI372" s="169"/>
      <c r="AJ372" s="169" t="str">
        <f t="shared" si="12"/>
        <v/>
      </c>
    </row>
    <row r="373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 t="str">
        <f t="shared" si="2"/>
        <v/>
      </c>
      <c r="Q373" s="169"/>
      <c r="R373" s="169" t="str">
        <f t="shared" si="3"/>
        <v/>
      </c>
      <c r="S373" s="169"/>
      <c r="T373" s="169" t="str">
        <f t="shared" si="4"/>
        <v/>
      </c>
      <c r="U373" s="169"/>
      <c r="V373" s="169" t="str">
        <f t="shared" si="5"/>
        <v/>
      </c>
      <c r="W373" s="169"/>
      <c r="X373" s="169" t="str">
        <f t="shared" si="6"/>
        <v/>
      </c>
      <c r="Y373" s="169"/>
      <c r="Z373" s="169" t="str">
        <f t="shared" si="7"/>
        <v/>
      </c>
      <c r="AA373" s="169"/>
      <c r="AB373" s="169" t="str">
        <f t="shared" si="8"/>
        <v/>
      </c>
      <c r="AC373" s="169"/>
      <c r="AD373" s="169" t="str">
        <f t="shared" si="9"/>
        <v/>
      </c>
      <c r="AE373" s="169"/>
      <c r="AF373" s="169" t="str">
        <f t="shared" si="10"/>
        <v/>
      </c>
      <c r="AG373" s="169"/>
      <c r="AH373" s="169" t="str">
        <f t="shared" si="11"/>
        <v/>
      </c>
      <c r="AI373" s="169"/>
      <c r="AJ373" s="169" t="str">
        <f t="shared" si="12"/>
        <v/>
      </c>
    </row>
    <row r="374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 t="str">
        <f t="shared" si="2"/>
        <v/>
      </c>
      <c r="Q374" s="169"/>
      <c r="R374" s="169" t="str">
        <f t="shared" si="3"/>
        <v/>
      </c>
      <c r="S374" s="169"/>
      <c r="T374" s="169" t="str">
        <f t="shared" si="4"/>
        <v/>
      </c>
      <c r="U374" s="169"/>
      <c r="V374" s="169" t="str">
        <f t="shared" si="5"/>
        <v/>
      </c>
      <c r="W374" s="169"/>
      <c r="X374" s="169" t="str">
        <f t="shared" si="6"/>
        <v/>
      </c>
      <c r="Y374" s="169"/>
      <c r="Z374" s="169" t="str">
        <f t="shared" si="7"/>
        <v/>
      </c>
      <c r="AA374" s="169"/>
      <c r="AB374" s="169" t="str">
        <f t="shared" si="8"/>
        <v/>
      </c>
      <c r="AC374" s="169"/>
      <c r="AD374" s="169" t="str">
        <f t="shared" si="9"/>
        <v/>
      </c>
      <c r="AE374" s="169"/>
      <c r="AF374" s="169" t="str">
        <f t="shared" si="10"/>
        <v/>
      </c>
      <c r="AG374" s="169"/>
      <c r="AH374" s="169" t="str">
        <f t="shared" si="11"/>
        <v/>
      </c>
      <c r="AI374" s="169"/>
      <c r="AJ374" s="169" t="str">
        <f t="shared" si="12"/>
        <v/>
      </c>
    </row>
    <row r="37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 t="str">
        <f t="shared" si="2"/>
        <v/>
      </c>
      <c r="Q375" s="169"/>
      <c r="R375" s="169" t="str">
        <f t="shared" si="3"/>
        <v/>
      </c>
      <c r="S375" s="169"/>
      <c r="T375" s="169" t="str">
        <f t="shared" si="4"/>
        <v/>
      </c>
      <c r="U375" s="169"/>
      <c r="V375" s="169" t="str">
        <f t="shared" si="5"/>
        <v/>
      </c>
      <c r="W375" s="169"/>
      <c r="X375" s="169" t="str">
        <f t="shared" si="6"/>
        <v/>
      </c>
      <c r="Y375" s="169"/>
      <c r="Z375" s="169" t="str">
        <f t="shared" si="7"/>
        <v/>
      </c>
      <c r="AA375" s="169"/>
      <c r="AB375" s="169" t="str">
        <f t="shared" si="8"/>
        <v/>
      </c>
      <c r="AC375" s="169"/>
      <c r="AD375" s="169" t="str">
        <f t="shared" si="9"/>
        <v/>
      </c>
      <c r="AE375" s="169"/>
      <c r="AF375" s="169" t="str">
        <f t="shared" si="10"/>
        <v/>
      </c>
      <c r="AG375" s="169"/>
      <c r="AH375" s="169" t="str">
        <f t="shared" si="11"/>
        <v/>
      </c>
      <c r="AI375" s="169"/>
      <c r="AJ375" s="169" t="str">
        <f t="shared" si="12"/>
        <v/>
      </c>
    </row>
    <row r="376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 t="str">
        <f t="shared" si="2"/>
        <v/>
      </c>
      <c r="Q376" s="169"/>
      <c r="R376" s="169" t="str">
        <f t="shared" si="3"/>
        <v/>
      </c>
      <c r="S376" s="169"/>
      <c r="T376" s="169" t="str">
        <f t="shared" si="4"/>
        <v/>
      </c>
      <c r="U376" s="169"/>
      <c r="V376" s="169" t="str">
        <f t="shared" si="5"/>
        <v/>
      </c>
      <c r="W376" s="169"/>
      <c r="X376" s="169" t="str">
        <f t="shared" si="6"/>
        <v/>
      </c>
      <c r="Y376" s="169"/>
      <c r="Z376" s="169" t="str">
        <f t="shared" si="7"/>
        <v/>
      </c>
      <c r="AA376" s="169"/>
      <c r="AB376" s="169" t="str">
        <f t="shared" si="8"/>
        <v/>
      </c>
      <c r="AC376" s="169"/>
      <c r="AD376" s="169" t="str">
        <f t="shared" si="9"/>
        <v/>
      </c>
      <c r="AE376" s="169"/>
      <c r="AF376" s="169" t="str">
        <f t="shared" si="10"/>
        <v/>
      </c>
      <c r="AG376" s="169"/>
      <c r="AH376" s="169" t="str">
        <f t="shared" si="11"/>
        <v/>
      </c>
      <c r="AI376" s="169"/>
      <c r="AJ376" s="169" t="str">
        <f t="shared" si="12"/>
        <v/>
      </c>
    </row>
    <row r="377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 t="str">
        <f t="shared" si="2"/>
        <v/>
      </c>
      <c r="Q377" s="169"/>
      <c r="R377" s="169" t="str">
        <f t="shared" si="3"/>
        <v/>
      </c>
      <c r="S377" s="169"/>
      <c r="T377" s="169" t="str">
        <f t="shared" si="4"/>
        <v/>
      </c>
      <c r="U377" s="169"/>
      <c r="V377" s="169" t="str">
        <f t="shared" si="5"/>
        <v/>
      </c>
      <c r="W377" s="169"/>
      <c r="X377" s="169" t="str">
        <f t="shared" si="6"/>
        <v/>
      </c>
      <c r="Y377" s="169"/>
      <c r="Z377" s="169" t="str">
        <f t="shared" si="7"/>
        <v/>
      </c>
      <c r="AA377" s="169"/>
      <c r="AB377" s="169" t="str">
        <f t="shared" si="8"/>
        <v/>
      </c>
      <c r="AC377" s="169"/>
      <c r="AD377" s="169" t="str">
        <f t="shared" si="9"/>
        <v/>
      </c>
      <c r="AE377" s="169"/>
      <c r="AF377" s="169" t="str">
        <f t="shared" si="10"/>
        <v/>
      </c>
      <c r="AG377" s="169"/>
      <c r="AH377" s="169" t="str">
        <f t="shared" si="11"/>
        <v/>
      </c>
      <c r="AI377" s="169"/>
      <c r="AJ377" s="169" t="str">
        <f t="shared" si="12"/>
        <v/>
      </c>
    </row>
    <row r="378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 t="str">
        <f t="shared" si="2"/>
        <v/>
      </c>
      <c r="Q378" s="169"/>
      <c r="R378" s="169" t="str">
        <f t="shared" si="3"/>
        <v/>
      </c>
      <c r="S378" s="169"/>
      <c r="T378" s="169" t="str">
        <f t="shared" si="4"/>
        <v/>
      </c>
      <c r="U378" s="169"/>
      <c r="V378" s="169" t="str">
        <f t="shared" si="5"/>
        <v/>
      </c>
      <c r="W378" s="169"/>
      <c r="X378" s="169" t="str">
        <f t="shared" si="6"/>
        <v/>
      </c>
      <c r="Y378" s="169"/>
      <c r="Z378" s="169" t="str">
        <f t="shared" si="7"/>
        <v/>
      </c>
      <c r="AA378" s="169"/>
      <c r="AB378" s="169" t="str">
        <f t="shared" si="8"/>
        <v/>
      </c>
      <c r="AC378" s="169"/>
      <c r="AD378" s="169" t="str">
        <f t="shared" si="9"/>
        <v/>
      </c>
      <c r="AE378" s="169"/>
      <c r="AF378" s="169" t="str">
        <f t="shared" si="10"/>
        <v/>
      </c>
      <c r="AG378" s="169"/>
      <c r="AH378" s="169" t="str">
        <f t="shared" si="11"/>
        <v/>
      </c>
      <c r="AI378" s="169"/>
      <c r="AJ378" s="169" t="str">
        <f t="shared" si="12"/>
        <v/>
      </c>
    </row>
    <row r="379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 t="str">
        <f t="shared" si="2"/>
        <v/>
      </c>
      <c r="Q379" s="169"/>
      <c r="R379" s="169" t="str">
        <f t="shared" si="3"/>
        <v/>
      </c>
      <c r="S379" s="169"/>
      <c r="T379" s="169" t="str">
        <f t="shared" si="4"/>
        <v/>
      </c>
      <c r="U379" s="169"/>
      <c r="V379" s="169" t="str">
        <f t="shared" si="5"/>
        <v/>
      </c>
      <c r="W379" s="169"/>
      <c r="X379" s="169" t="str">
        <f t="shared" si="6"/>
        <v/>
      </c>
      <c r="Y379" s="169"/>
      <c r="Z379" s="169" t="str">
        <f t="shared" si="7"/>
        <v/>
      </c>
      <c r="AA379" s="169"/>
      <c r="AB379" s="169" t="str">
        <f t="shared" si="8"/>
        <v/>
      </c>
      <c r="AC379" s="169"/>
      <c r="AD379" s="169" t="str">
        <f t="shared" si="9"/>
        <v/>
      </c>
      <c r="AE379" s="169"/>
      <c r="AF379" s="169" t="str">
        <f t="shared" si="10"/>
        <v/>
      </c>
      <c r="AG379" s="169"/>
      <c r="AH379" s="169" t="str">
        <f t="shared" si="11"/>
        <v/>
      </c>
      <c r="AI379" s="169"/>
      <c r="AJ379" s="169" t="str">
        <f t="shared" si="12"/>
        <v/>
      </c>
    </row>
    <row r="380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 t="str">
        <f t="shared" si="2"/>
        <v/>
      </c>
      <c r="Q380" s="169"/>
      <c r="R380" s="169" t="str">
        <f t="shared" si="3"/>
        <v/>
      </c>
      <c r="S380" s="169"/>
      <c r="T380" s="169" t="str">
        <f t="shared" si="4"/>
        <v/>
      </c>
      <c r="U380" s="169"/>
      <c r="V380" s="169" t="str">
        <f t="shared" si="5"/>
        <v/>
      </c>
      <c r="W380" s="169"/>
      <c r="X380" s="169" t="str">
        <f t="shared" si="6"/>
        <v/>
      </c>
      <c r="Y380" s="169"/>
      <c r="Z380" s="169" t="str">
        <f t="shared" si="7"/>
        <v/>
      </c>
      <c r="AA380" s="169"/>
      <c r="AB380" s="169" t="str">
        <f t="shared" si="8"/>
        <v/>
      </c>
      <c r="AC380" s="169"/>
      <c r="AD380" s="169" t="str">
        <f t="shared" si="9"/>
        <v/>
      </c>
      <c r="AE380" s="169"/>
      <c r="AF380" s="169" t="str">
        <f t="shared" si="10"/>
        <v/>
      </c>
      <c r="AG380" s="169"/>
      <c r="AH380" s="169" t="str">
        <f t="shared" si="11"/>
        <v/>
      </c>
      <c r="AI380" s="169"/>
      <c r="AJ380" s="169" t="str">
        <f t="shared" si="12"/>
        <v/>
      </c>
    </row>
    <row r="38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 t="str">
        <f t="shared" si="2"/>
        <v/>
      </c>
      <c r="Q381" s="169"/>
      <c r="R381" s="169" t="str">
        <f t="shared" si="3"/>
        <v/>
      </c>
      <c r="S381" s="169"/>
      <c r="T381" s="169" t="str">
        <f t="shared" si="4"/>
        <v/>
      </c>
      <c r="U381" s="169"/>
      <c r="V381" s="169" t="str">
        <f t="shared" si="5"/>
        <v/>
      </c>
      <c r="W381" s="169"/>
      <c r="X381" s="169" t="str">
        <f t="shared" si="6"/>
        <v/>
      </c>
      <c r="Y381" s="169"/>
      <c r="Z381" s="169" t="str">
        <f t="shared" si="7"/>
        <v/>
      </c>
      <c r="AA381" s="169"/>
      <c r="AB381" s="169" t="str">
        <f t="shared" si="8"/>
        <v/>
      </c>
      <c r="AC381" s="169"/>
      <c r="AD381" s="169" t="str">
        <f t="shared" si="9"/>
        <v/>
      </c>
      <c r="AE381" s="169"/>
      <c r="AF381" s="169" t="str">
        <f t="shared" si="10"/>
        <v/>
      </c>
      <c r="AG381" s="169"/>
      <c r="AH381" s="169" t="str">
        <f t="shared" si="11"/>
        <v/>
      </c>
      <c r="AI381" s="169"/>
      <c r="AJ381" s="169" t="str">
        <f t="shared" si="12"/>
        <v/>
      </c>
    </row>
    <row r="38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 t="str">
        <f t="shared" si="2"/>
        <v/>
      </c>
      <c r="Q382" s="169"/>
      <c r="R382" s="169" t="str">
        <f t="shared" si="3"/>
        <v/>
      </c>
      <c r="S382" s="169"/>
      <c r="T382" s="169" t="str">
        <f t="shared" si="4"/>
        <v/>
      </c>
      <c r="U382" s="169"/>
      <c r="V382" s="169" t="str">
        <f t="shared" si="5"/>
        <v/>
      </c>
      <c r="W382" s="169"/>
      <c r="X382" s="169" t="str">
        <f t="shared" si="6"/>
        <v/>
      </c>
      <c r="Y382" s="169"/>
      <c r="Z382" s="169" t="str">
        <f t="shared" si="7"/>
        <v/>
      </c>
      <c r="AA382" s="169"/>
      <c r="AB382" s="169" t="str">
        <f t="shared" si="8"/>
        <v/>
      </c>
      <c r="AC382" s="169"/>
      <c r="AD382" s="169" t="str">
        <f t="shared" si="9"/>
        <v/>
      </c>
      <c r="AE382" s="169"/>
      <c r="AF382" s="169" t="str">
        <f t="shared" si="10"/>
        <v/>
      </c>
      <c r="AG382" s="169"/>
      <c r="AH382" s="169" t="str">
        <f t="shared" si="11"/>
        <v/>
      </c>
      <c r="AI382" s="169"/>
      <c r="AJ382" s="169" t="str">
        <f t="shared" si="12"/>
        <v/>
      </c>
    </row>
    <row r="383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 t="str">
        <f t="shared" si="2"/>
        <v/>
      </c>
      <c r="Q383" s="169"/>
      <c r="R383" s="169" t="str">
        <f t="shared" si="3"/>
        <v/>
      </c>
      <c r="S383" s="169"/>
      <c r="T383" s="169" t="str">
        <f t="shared" si="4"/>
        <v/>
      </c>
      <c r="U383" s="169"/>
      <c r="V383" s="169" t="str">
        <f t="shared" si="5"/>
        <v/>
      </c>
      <c r="W383" s="169"/>
      <c r="X383" s="169" t="str">
        <f t="shared" si="6"/>
        <v/>
      </c>
      <c r="Y383" s="169"/>
      <c r="Z383" s="169" t="str">
        <f t="shared" si="7"/>
        <v/>
      </c>
      <c r="AA383" s="169"/>
      <c r="AB383" s="169" t="str">
        <f t="shared" si="8"/>
        <v/>
      </c>
      <c r="AC383" s="169"/>
      <c r="AD383" s="169" t="str">
        <f t="shared" si="9"/>
        <v/>
      </c>
      <c r="AE383" s="169"/>
      <c r="AF383" s="169" t="str">
        <f t="shared" si="10"/>
        <v/>
      </c>
      <c r="AG383" s="169"/>
      <c r="AH383" s="169" t="str">
        <f t="shared" si="11"/>
        <v/>
      </c>
      <c r="AI383" s="169"/>
      <c r="AJ383" s="169" t="str">
        <f t="shared" si="12"/>
        <v/>
      </c>
    </row>
    <row r="384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 t="str">
        <f t="shared" si="2"/>
        <v/>
      </c>
      <c r="Q384" s="169"/>
      <c r="R384" s="169" t="str">
        <f t="shared" si="3"/>
        <v/>
      </c>
      <c r="S384" s="169"/>
      <c r="T384" s="169" t="str">
        <f t="shared" si="4"/>
        <v/>
      </c>
      <c r="U384" s="169"/>
      <c r="V384" s="169" t="str">
        <f t="shared" si="5"/>
        <v/>
      </c>
      <c r="W384" s="169"/>
      <c r="X384" s="169" t="str">
        <f t="shared" si="6"/>
        <v/>
      </c>
      <c r="Y384" s="169"/>
      <c r="Z384" s="169" t="str">
        <f t="shared" si="7"/>
        <v/>
      </c>
      <c r="AA384" s="169"/>
      <c r="AB384" s="169" t="str">
        <f t="shared" si="8"/>
        <v/>
      </c>
      <c r="AC384" s="169"/>
      <c r="AD384" s="169" t="str">
        <f t="shared" si="9"/>
        <v/>
      </c>
      <c r="AE384" s="169"/>
      <c r="AF384" s="169" t="str">
        <f t="shared" si="10"/>
        <v/>
      </c>
      <c r="AG384" s="169"/>
      <c r="AH384" s="169" t="str">
        <f t="shared" si="11"/>
        <v/>
      </c>
      <c r="AI384" s="169"/>
      <c r="AJ384" s="169" t="str">
        <f t="shared" si="12"/>
        <v/>
      </c>
    </row>
    <row r="38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 t="str">
        <f t="shared" si="2"/>
        <v/>
      </c>
      <c r="Q385" s="169"/>
      <c r="R385" s="169" t="str">
        <f t="shared" si="3"/>
        <v/>
      </c>
      <c r="S385" s="169"/>
      <c r="T385" s="169" t="str">
        <f t="shared" si="4"/>
        <v/>
      </c>
      <c r="U385" s="169"/>
      <c r="V385" s="169" t="str">
        <f t="shared" si="5"/>
        <v/>
      </c>
      <c r="W385" s="169"/>
      <c r="X385" s="169" t="str">
        <f t="shared" si="6"/>
        <v/>
      </c>
      <c r="Y385" s="169"/>
      <c r="Z385" s="169" t="str">
        <f t="shared" si="7"/>
        <v/>
      </c>
      <c r="AA385" s="169"/>
      <c r="AB385" s="169" t="str">
        <f t="shared" si="8"/>
        <v/>
      </c>
      <c r="AC385" s="169"/>
      <c r="AD385" s="169" t="str">
        <f t="shared" si="9"/>
        <v/>
      </c>
      <c r="AE385" s="169"/>
      <c r="AF385" s="169" t="str">
        <f t="shared" si="10"/>
        <v/>
      </c>
      <c r="AG385" s="169"/>
      <c r="AH385" s="169" t="str">
        <f t="shared" si="11"/>
        <v/>
      </c>
      <c r="AI385" s="169"/>
      <c r="AJ385" s="169" t="str">
        <f t="shared" si="12"/>
        <v/>
      </c>
    </row>
    <row r="386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 t="str">
        <f t="shared" si="2"/>
        <v/>
      </c>
      <c r="Q386" s="169"/>
      <c r="R386" s="169" t="str">
        <f t="shared" si="3"/>
        <v/>
      </c>
      <c r="S386" s="169"/>
      <c r="T386" s="169" t="str">
        <f t="shared" si="4"/>
        <v/>
      </c>
      <c r="U386" s="169"/>
      <c r="V386" s="169" t="str">
        <f t="shared" si="5"/>
        <v/>
      </c>
      <c r="W386" s="169"/>
      <c r="X386" s="169" t="str">
        <f t="shared" si="6"/>
        <v/>
      </c>
      <c r="Y386" s="169"/>
      <c r="Z386" s="169" t="str">
        <f t="shared" si="7"/>
        <v/>
      </c>
      <c r="AA386" s="169"/>
      <c r="AB386" s="169" t="str">
        <f t="shared" si="8"/>
        <v/>
      </c>
      <c r="AC386" s="169"/>
      <c r="AD386" s="169" t="str">
        <f t="shared" si="9"/>
        <v/>
      </c>
      <c r="AE386" s="169"/>
      <c r="AF386" s="169" t="str">
        <f t="shared" si="10"/>
        <v/>
      </c>
      <c r="AG386" s="169"/>
      <c r="AH386" s="169" t="str">
        <f t="shared" si="11"/>
        <v/>
      </c>
      <c r="AI386" s="169"/>
      <c r="AJ386" s="169" t="str">
        <f t="shared" si="12"/>
        <v/>
      </c>
    </row>
    <row r="387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 t="str">
        <f t="shared" si="2"/>
        <v/>
      </c>
      <c r="Q387" s="169"/>
      <c r="R387" s="169" t="str">
        <f t="shared" si="3"/>
        <v/>
      </c>
      <c r="S387" s="169"/>
      <c r="T387" s="169" t="str">
        <f t="shared" si="4"/>
        <v/>
      </c>
      <c r="U387" s="169"/>
      <c r="V387" s="169" t="str">
        <f t="shared" si="5"/>
        <v/>
      </c>
      <c r="W387" s="169"/>
      <c r="X387" s="169" t="str">
        <f t="shared" si="6"/>
        <v/>
      </c>
      <c r="Y387" s="169"/>
      <c r="Z387" s="169" t="str">
        <f t="shared" si="7"/>
        <v/>
      </c>
      <c r="AA387" s="169"/>
      <c r="AB387" s="169" t="str">
        <f t="shared" si="8"/>
        <v/>
      </c>
      <c r="AC387" s="169"/>
      <c r="AD387" s="169" t="str">
        <f t="shared" si="9"/>
        <v/>
      </c>
      <c r="AE387" s="169"/>
      <c r="AF387" s="169" t="str">
        <f t="shared" si="10"/>
        <v/>
      </c>
      <c r="AG387" s="169"/>
      <c r="AH387" s="169" t="str">
        <f t="shared" si="11"/>
        <v/>
      </c>
      <c r="AI387" s="169"/>
      <c r="AJ387" s="169" t="str">
        <f t="shared" si="12"/>
        <v/>
      </c>
    </row>
    <row r="388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 t="str">
        <f t="shared" si="2"/>
        <v/>
      </c>
      <c r="Q388" s="169"/>
      <c r="R388" s="169" t="str">
        <f t="shared" si="3"/>
        <v/>
      </c>
      <c r="S388" s="169"/>
      <c r="T388" s="169" t="str">
        <f t="shared" si="4"/>
        <v/>
      </c>
      <c r="U388" s="169"/>
      <c r="V388" s="169" t="str">
        <f t="shared" si="5"/>
        <v/>
      </c>
      <c r="W388" s="169"/>
      <c r="X388" s="169" t="str">
        <f t="shared" si="6"/>
        <v/>
      </c>
      <c r="Y388" s="169"/>
      <c r="Z388" s="169" t="str">
        <f t="shared" si="7"/>
        <v/>
      </c>
      <c r="AA388" s="169"/>
      <c r="AB388" s="169" t="str">
        <f t="shared" si="8"/>
        <v/>
      </c>
      <c r="AC388" s="169"/>
      <c r="AD388" s="169" t="str">
        <f t="shared" si="9"/>
        <v/>
      </c>
      <c r="AE388" s="169"/>
      <c r="AF388" s="169" t="str">
        <f t="shared" si="10"/>
        <v/>
      </c>
      <c r="AG388" s="169"/>
      <c r="AH388" s="169" t="str">
        <f t="shared" si="11"/>
        <v/>
      </c>
      <c r="AI388" s="169"/>
      <c r="AJ388" s="169" t="str">
        <f t="shared" si="12"/>
        <v/>
      </c>
    </row>
    <row r="389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 t="str">
        <f t="shared" si="2"/>
        <v/>
      </c>
      <c r="Q389" s="169"/>
      <c r="R389" s="169" t="str">
        <f t="shared" si="3"/>
        <v/>
      </c>
      <c r="S389" s="169"/>
      <c r="T389" s="169" t="str">
        <f t="shared" si="4"/>
        <v/>
      </c>
      <c r="U389" s="169"/>
      <c r="V389" s="169" t="str">
        <f t="shared" si="5"/>
        <v/>
      </c>
      <c r="W389" s="169"/>
      <c r="X389" s="169" t="str">
        <f t="shared" si="6"/>
        <v/>
      </c>
      <c r="Y389" s="169"/>
      <c r="Z389" s="169" t="str">
        <f t="shared" si="7"/>
        <v/>
      </c>
      <c r="AA389" s="169"/>
      <c r="AB389" s="169" t="str">
        <f t="shared" si="8"/>
        <v/>
      </c>
      <c r="AC389" s="169"/>
      <c r="AD389" s="169" t="str">
        <f t="shared" si="9"/>
        <v/>
      </c>
      <c r="AE389" s="169"/>
      <c r="AF389" s="169" t="str">
        <f t="shared" si="10"/>
        <v/>
      </c>
      <c r="AG389" s="169"/>
      <c r="AH389" s="169" t="str">
        <f t="shared" si="11"/>
        <v/>
      </c>
      <c r="AI389" s="169"/>
      <c r="AJ389" s="169" t="str">
        <f t="shared" si="12"/>
        <v/>
      </c>
    </row>
    <row r="390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 t="str">
        <f t="shared" si="2"/>
        <v/>
      </c>
      <c r="Q390" s="169"/>
      <c r="R390" s="169" t="str">
        <f t="shared" si="3"/>
        <v/>
      </c>
      <c r="S390" s="169"/>
      <c r="T390" s="169" t="str">
        <f t="shared" si="4"/>
        <v/>
      </c>
      <c r="U390" s="169"/>
      <c r="V390" s="169" t="str">
        <f t="shared" si="5"/>
        <v/>
      </c>
      <c r="W390" s="169"/>
      <c r="X390" s="169" t="str">
        <f t="shared" si="6"/>
        <v/>
      </c>
      <c r="Y390" s="169"/>
      <c r="Z390" s="169" t="str">
        <f t="shared" si="7"/>
        <v/>
      </c>
      <c r="AA390" s="169"/>
      <c r="AB390" s="169" t="str">
        <f t="shared" si="8"/>
        <v/>
      </c>
      <c r="AC390" s="169"/>
      <c r="AD390" s="169" t="str">
        <f t="shared" si="9"/>
        <v/>
      </c>
      <c r="AE390" s="169"/>
      <c r="AF390" s="169" t="str">
        <f t="shared" si="10"/>
        <v/>
      </c>
      <c r="AG390" s="169"/>
      <c r="AH390" s="169" t="str">
        <f t="shared" si="11"/>
        <v/>
      </c>
      <c r="AI390" s="169"/>
      <c r="AJ390" s="169" t="str">
        <f t="shared" si="12"/>
        <v/>
      </c>
    </row>
    <row r="39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 t="str">
        <f t="shared" si="2"/>
        <v/>
      </c>
      <c r="Q391" s="169"/>
      <c r="R391" s="169" t="str">
        <f t="shared" si="3"/>
        <v/>
      </c>
      <c r="S391" s="169"/>
      <c r="T391" s="169" t="str">
        <f t="shared" si="4"/>
        <v/>
      </c>
      <c r="U391" s="169"/>
      <c r="V391" s="169" t="str">
        <f t="shared" si="5"/>
        <v/>
      </c>
      <c r="W391" s="169"/>
      <c r="X391" s="169" t="str">
        <f t="shared" si="6"/>
        <v/>
      </c>
      <c r="Y391" s="169"/>
      <c r="Z391" s="169" t="str">
        <f t="shared" si="7"/>
        <v/>
      </c>
      <c r="AA391" s="169"/>
      <c r="AB391" s="169" t="str">
        <f t="shared" si="8"/>
        <v/>
      </c>
      <c r="AC391" s="169"/>
      <c r="AD391" s="169" t="str">
        <f t="shared" si="9"/>
        <v/>
      </c>
      <c r="AE391" s="169"/>
      <c r="AF391" s="169" t="str">
        <f t="shared" si="10"/>
        <v/>
      </c>
      <c r="AG391" s="169"/>
      <c r="AH391" s="169" t="str">
        <f t="shared" si="11"/>
        <v/>
      </c>
      <c r="AI391" s="169"/>
      <c r="AJ391" s="169" t="str">
        <f t="shared" si="12"/>
        <v/>
      </c>
    </row>
    <row r="39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 t="str">
        <f t="shared" si="2"/>
        <v/>
      </c>
      <c r="Q392" s="169"/>
      <c r="R392" s="169" t="str">
        <f t="shared" si="3"/>
        <v/>
      </c>
      <c r="S392" s="169"/>
      <c r="T392" s="169" t="str">
        <f t="shared" si="4"/>
        <v/>
      </c>
      <c r="U392" s="169"/>
      <c r="V392" s="169" t="str">
        <f t="shared" si="5"/>
        <v/>
      </c>
      <c r="W392" s="169"/>
      <c r="X392" s="169" t="str">
        <f t="shared" si="6"/>
        <v/>
      </c>
      <c r="Y392" s="169"/>
      <c r="Z392" s="169" t="str">
        <f t="shared" si="7"/>
        <v/>
      </c>
      <c r="AA392" s="169"/>
      <c r="AB392" s="169" t="str">
        <f t="shared" si="8"/>
        <v/>
      </c>
      <c r="AC392" s="169"/>
      <c r="AD392" s="169" t="str">
        <f t="shared" si="9"/>
        <v/>
      </c>
      <c r="AE392" s="169"/>
      <c r="AF392" s="169" t="str">
        <f t="shared" si="10"/>
        <v/>
      </c>
      <c r="AG392" s="169"/>
      <c r="AH392" s="169" t="str">
        <f t="shared" si="11"/>
        <v/>
      </c>
      <c r="AI392" s="169"/>
      <c r="AJ392" s="169" t="str">
        <f t="shared" si="12"/>
        <v/>
      </c>
    </row>
    <row r="393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 t="str">
        <f t="shared" si="2"/>
        <v/>
      </c>
      <c r="Q393" s="169"/>
      <c r="R393" s="169" t="str">
        <f t="shared" si="3"/>
        <v/>
      </c>
      <c r="S393" s="169"/>
      <c r="T393" s="169" t="str">
        <f t="shared" si="4"/>
        <v/>
      </c>
      <c r="U393" s="169"/>
      <c r="V393" s="169" t="str">
        <f t="shared" si="5"/>
        <v/>
      </c>
      <c r="W393" s="169"/>
      <c r="X393" s="169" t="str">
        <f t="shared" si="6"/>
        <v/>
      </c>
      <c r="Y393" s="169"/>
      <c r="Z393" s="169" t="str">
        <f t="shared" si="7"/>
        <v/>
      </c>
      <c r="AA393" s="169"/>
      <c r="AB393" s="169" t="str">
        <f t="shared" si="8"/>
        <v/>
      </c>
      <c r="AC393" s="169"/>
      <c r="AD393" s="169" t="str">
        <f t="shared" si="9"/>
        <v/>
      </c>
      <c r="AE393" s="169"/>
      <c r="AF393" s="169" t="str">
        <f t="shared" si="10"/>
        <v/>
      </c>
      <c r="AG393" s="169"/>
      <c r="AH393" s="169" t="str">
        <f t="shared" si="11"/>
        <v/>
      </c>
      <c r="AI393" s="169"/>
      <c r="AJ393" s="169" t="str">
        <f t="shared" si="12"/>
        <v/>
      </c>
    </row>
    <row r="394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 t="str">
        <f t="shared" si="2"/>
        <v/>
      </c>
      <c r="Q394" s="169"/>
      <c r="R394" s="169" t="str">
        <f t="shared" si="3"/>
        <v/>
      </c>
      <c r="S394" s="169"/>
      <c r="T394" s="169" t="str">
        <f t="shared" si="4"/>
        <v/>
      </c>
      <c r="U394" s="169"/>
      <c r="V394" s="169" t="str">
        <f t="shared" si="5"/>
        <v/>
      </c>
      <c r="W394" s="169"/>
      <c r="X394" s="169" t="str">
        <f t="shared" si="6"/>
        <v/>
      </c>
      <c r="Y394" s="169"/>
      <c r="Z394" s="169" t="str">
        <f t="shared" si="7"/>
        <v/>
      </c>
      <c r="AA394" s="169"/>
      <c r="AB394" s="169" t="str">
        <f t="shared" si="8"/>
        <v/>
      </c>
      <c r="AC394" s="169"/>
      <c r="AD394" s="169" t="str">
        <f t="shared" si="9"/>
        <v/>
      </c>
      <c r="AE394" s="169"/>
      <c r="AF394" s="169" t="str">
        <f t="shared" si="10"/>
        <v/>
      </c>
      <c r="AG394" s="169"/>
      <c r="AH394" s="169" t="str">
        <f t="shared" si="11"/>
        <v/>
      </c>
      <c r="AI394" s="169"/>
      <c r="AJ394" s="169" t="str">
        <f t="shared" si="12"/>
        <v/>
      </c>
    </row>
    <row r="39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 t="str">
        <f t="shared" si="2"/>
        <v/>
      </c>
      <c r="Q395" s="169"/>
      <c r="R395" s="169" t="str">
        <f t="shared" si="3"/>
        <v/>
      </c>
      <c r="S395" s="169"/>
      <c r="T395" s="169" t="str">
        <f t="shared" si="4"/>
        <v/>
      </c>
      <c r="U395" s="169"/>
      <c r="V395" s="169" t="str">
        <f t="shared" si="5"/>
        <v/>
      </c>
      <c r="W395" s="169"/>
      <c r="X395" s="169" t="str">
        <f t="shared" si="6"/>
        <v/>
      </c>
      <c r="Y395" s="169"/>
      <c r="Z395" s="169" t="str">
        <f t="shared" si="7"/>
        <v/>
      </c>
      <c r="AA395" s="169"/>
      <c r="AB395" s="169" t="str">
        <f t="shared" si="8"/>
        <v/>
      </c>
      <c r="AC395" s="169"/>
      <c r="AD395" s="169" t="str">
        <f t="shared" si="9"/>
        <v/>
      </c>
      <c r="AE395" s="169"/>
      <c r="AF395" s="169" t="str">
        <f t="shared" si="10"/>
        <v/>
      </c>
      <c r="AG395" s="169"/>
      <c r="AH395" s="169" t="str">
        <f t="shared" si="11"/>
        <v/>
      </c>
      <c r="AI395" s="169"/>
      <c r="AJ395" s="169" t="str">
        <f t="shared" si="12"/>
        <v/>
      </c>
    </row>
    <row r="396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 t="str">
        <f t="shared" si="2"/>
        <v/>
      </c>
      <c r="Q396" s="169"/>
      <c r="R396" s="169" t="str">
        <f t="shared" si="3"/>
        <v/>
      </c>
      <c r="S396" s="169"/>
      <c r="T396" s="169" t="str">
        <f t="shared" si="4"/>
        <v/>
      </c>
      <c r="U396" s="169"/>
      <c r="V396" s="169" t="str">
        <f t="shared" si="5"/>
        <v/>
      </c>
      <c r="W396" s="169"/>
      <c r="X396" s="169" t="str">
        <f t="shared" si="6"/>
        <v/>
      </c>
      <c r="Y396" s="169"/>
      <c r="Z396" s="169" t="str">
        <f t="shared" si="7"/>
        <v/>
      </c>
      <c r="AA396" s="169"/>
      <c r="AB396" s="169" t="str">
        <f t="shared" si="8"/>
        <v/>
      </c>
      <c r="AC396" s="169"/>
      <c r="AD396" s="169" t="str">
        <f t="shared" si="9"/>
        <v/>
      </c>
      <c r="AE396" s="169"/>
      <c r="AF396" s="169" t="str">
        <f t="shared" si="10"/>
        <v/>
      </c>
      <c r="AG396" s="169"/>
      <c r="AH396" s="169" t="str">
        <f t="shared" si="11"/>
        <v/>
      </c>
      <c r="AI396" s="169"/>
      <c r="AJ396" s="169" t="str">
        <f t="shared" si="12"/>
        <v/>
      </c>
    </row>
    <row r="397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 t="str">
        <f t="shared" si="2"/>
        <v/>
      </c>
      <c r="Q397" s="169"/>
      <c r="R397" s="169" t="str">
        <f t="shared" si="3"/>
        <v/>
      </c>
      <c r="S397" s="169"/>
      <c r="T397" s="169" t="str">
        <f t="shared" si="4"/>
        <v/>
      </c>
      <c r="U397" s="169"/>
      <c r="V397" s="169" t="str">
        <f t="shared" si="5"/>
        <v/>
      </c>
      <c r="W397" s="169"/>
      <c r="X397" s="169" t="str">
        <f t="shared" si="6"/>
        <v/>
      </c>
      <c r="Y397" s="169"/>
      <c r="Z397" s="169" t="str">
        <f t="shared" si="7"/>
        <v/>
      </c>
      <c r="AA397" s="169"/>
      <c r="AB397" s="169" t="str">
        <f t="shared" si="8"/>
        <v/>
      </c>
      <c r="AC397" s="169"/>
      <c r="AD397" s="169" t="str">
        <f t="shared" si="9"/>
        <v/>
      </c>
      <c r="AE397" s="169"/>
      <c r="AF397" s="169" t="str">
        <f t="shared" si="10"/>
        <v/>
      </c>
      <c r="AG397" s="169"/>
      <c r="AH397" s="169" t="str">
        <f t="shared" si="11"/>
        <v/>
      </c>
      <c r="AI397" s="169"/>
      <c r="AJ397" s="169" t="str">
        <f t="shared" si="12"/>
        <v/>
      </c>
    </row>
    <row r="398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 t="str">
        <f t="shared" si="2"/>
        <v/>
      </c>
      <c r="Q398" s="169"/>
      <c r="R398" s="169" t="str">
        <f t="shared" si="3"/>
        <v/>
      </c>
      <c r="S398" s="169"/>
      <c r="T398" s="169" t="str">
        <f t="shared" si="4"/>
        <v/>
      </c>
      <c r="U398" s="169"/>
      <c r="V398" s="169" t="str">
        <f t="shared" si="5"/>
        <v/>
      </c>
      <c r="W398" s="169"/>
      <c r="X398" s="169" t="str">
        <f t="shared" si="6"/>
        <v/>
      </c>
      <c r="Y398" s="169"/>
      <c r="Z398" s="169" t="str">
        <f t="shared" si="7"/>
        <v/>
      </c>
      <c r="AA398" s="169"/>
      <c r="AB398" s="169" t="str">
        <f t="shared" si="8"/>
        <v/>
      </c>
      <c r="AC398" s="169"/>
      <c r="AD398" s="169" t="str">
        <f t="shared" si="9"/>
        <v/>
      </c>
      <c r="AE398" s="169"/>
      <c r="AF398" s="169" t="str">
        <f t="shared" si="10"/>
        <v/>
      </c>
      <c r="AG398" s="169"/>
      <c r="AH398" s="169" t="str">
        <f t="shared" si="11"/>
        <v/>
      </c>
      <c r="AI398" s="169"/>
      <c r="AJ398" s="169" t="str">
        <f t="shared" si="12"/>
        <v/>
      </c>
    </row>
    <row r="399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 t="str">
        <f t="shared" si="2"/>
        <v/>
      </c>
      <c r="Q399" s="169"/>
      <c r="R399" s="169" t="str">
        <f t="shared" si="3"/>
        <v/>
      </c>
      <c r="S399" s="169"/>
      <c r="T399" s="169" t="str">
        <f t="shared" si="4"/>
        <v/>
      </c>
      <c r="U399" s="169"/>
      <c r="V399" s="169" t="str">
        <f t="shared" si="5"/>
        <v/>
      </c>
      <c r="W399" s="169"/>
      <c r="X399" s="169" t="str">
        <f t="shared" si="6"/>
        <v/>
      </c>
      <c r="Y399" s="169"/>
      <c r="Z399" s="169" t="str">
        <f t="shared" si="7"/>
        <v/>
      </c>
      <c r="AA399" s="169"/>
      <c r="AB399" s="169" t="str">
        <f t="shared" si="8"/>
        <v/>
      </c>
      <c r="AC399" s="169"/>
      <c r="AD399" s="169" t="str">
        <f t="shared" si="9"/>
        <v/>
      </c>
      <c r="AE399" s="169"/>
      <c r="AF399" s="169" t="str">
        <f t="shared" si="10"/>
        <v/>
      </c>
      <c r="AG399" s="169"/>
      <c r="AH399" s="169" t="str">
        <f t="shared" si="11"/>
        <v/>
      </c>
      <c r="AI399" s="169"/>
      <c r="AJ399" s="169" t="str">
        <f t="shared" si="12"/>
        <v/>
      </c>
    </row>
    <row r="400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 t="str">
        <f t="shared" si="2"/>
        <v/>
      </c>
      <c r="Q400" s="169"/>
      <c r="R400" s="169" t="str">
        <f t="shared" si="3"/>
        <v/>
      </c>
      <c r="S400" s="169"/>
      <c r="T400" s="169" t="str">
        <f t="shared" si="4"/>
        <v/>
      </c>
      <c r="U400" s="169"/>
      <c r="V400" s="169" t="str">
        <f t="shared" si="5"/>
        <v/>
      </c>
      <c r="W400" s="169"/>
      <c r="X400" s="169" t="str">
        <f t="shared" si="6"/>
        <v/>
      </c>
      <c r="Y400" s="169"/>
      <c r="Z400" s="169" t="str">
        <f t="shared" si="7"/>
        <v/>
      </c>
      <c r="AA400" s="169"/>
      <c r="AB400" s="169" t="str">
        <f t="shared" si="8"/>
        <v/>
      </c>
      <c r="AC400" s="169"/>
      <c r="AD400" s="169" t="str">
        <f t="shared" si="9"/>
        <v/>
      </c>
      <c r="AE400" s="169"/>
      <c r="AF400" s="169" t="str">
        <f t="shared" si="10"/>
        <v/>
      </c>
      <c r="AG400" s="169"/>
      <c r="AH400" s="169" t="str">
        <f t="shared" si="11"/>
        <v/>
      </c>
      <c r="AI400" s="169"/>
      <c r="AJ400" s="169" t="str">
        <f t="shared" si="12"/>
        <v/>
      </c>
    </row>
    <row r="40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 t="str">
        <f t="shared" si="2"/>
        <v/>
      </c>
      <c r="Q401" s="169"/>
      <c r="R401" s="169" t="str">
        <f t="shared" si="3"/>
        <v/>
      </c>
      <c r="S401" s="169"/>
      <c r="T401" s="169" t="str">
        <f t="shared" si="4"/>
        <v/>
      </c>
      <c r="U401" s="169"/>
      <c r="V401" s="169" t="str">
        <f t="shared" si="5"/>
        <v/>
      </c>
      <c r="W401" s="169"/>
      <c r="X401" s="169" t="str">
        <f t="shared" si="6"/>
        <v/>
      </c>
      <c r="Y401" s="169"/>
      <c r="Z401" s="169" t="str">
        <f t="shared" si="7"/>
        <v/>
      </c>
      <c r="AA401" s="169"/>
      <c r="AB401" s="169" t="str">
        <f t="shared" si="8"/>
        <v/>
      </c>
      <c r="AC401" s="169"/>
      <c r="AD401" s="169" t="str">
        <f t="shared" si="9"/>
        <v/>
      </c>
      <c r="AE401" s="169"/>
      <c r="AF401" s="169" t="str">
        <f t="shared" si="10"/>
        <v/>
      </c>
      <c r="AG401" s="169"/>
      <c r="AH401" s="169" t="str">
        <f t="shared" si="11"/>
        <v/>
      </c>
      <c r="AI401" s="169"/>
      <c r="AJ401" s="169" t="str">
        <f t="shared" si="12"/>
        <v/>
      </c>
    </row>
    <row r="40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 t="str">
        <f t="shared" si="2"/>
        <v/>
      </c>
      <c r="Q402" s="169"/>
      <c r="R402" s="169" t="str">
        <f t="shared" si="3"/>
        <v/>
      </c>
      <c r="S402" s="169"/>
      <c r="T402" s="169" t="str">
        <f t="shared" si="4"/>
        <v/>
      </c>
      <c r="U402" s="169"/>
      <c r="V402" s="169" t="str">
        <f t="shared" si="5"/>
        <v/>
      </c>
      <c r="W402" s="169"/>
      <c r="X402" s="169" t="str">
        <f t="shared" si="6"/>
        <v/>
      </c>
      <c r="Y402" s="169"/>
      <c r="Z402" s="169" t="str">
        <f t="shared" si="7"/>
        <v/>
      </c>
      <c r="AA402" s="169"/>
      <c r="AB402" s="169" t="str">
        <f t="shared" si="8"/>
        <v/>
      </c>
      <c r="AC402" s="169"/>
      <c r="AD402" s="169" t="str">
        <f t="shared" si="9"/>
        <v/>
      </c>
      <c r="AE402" s="169"/>
      <c r="AF402" s="169" t="str">
        <f t="shared" si="10"/>
        <v/>
      </c>
      <c r="AG402" s="169"/>
      <c r="AH402" s="169" t="str">
        <f t="shared" si="11"/>
        <v/>
      </c>
      <c r="AI402" s="169"/>
      <c r="AJ402" s="169" t="str">
        <f t="shared" si="12"/>
        <v/>
      </c>
    </row>
    <row r="403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 t="str">
        <f t="shared" si="2"/>
        <v/>
      </c>
      <c r="Q403" s="169"/>
      <c r="R403" s="169" t="str">
        <f t="shared" si="3"/>
        <v/>
      </c>
      <c r="S403" s="169"/>
      <c r="T403" s="169" t="str">
        <f t="shared" si="4"/>
        <v/>
      </c>
      <c r="U403" s="169"/>
      <c r="V403" s="169" t="str">
        <f t="shared" si="5"/>
        <v/>
      </c>
      <c r="W403" s="169"/>
      <c r="X403" s="169" t="str">
        <f t="shared" si="6"/>
        <v/>
      </c>
      <c r="Y403" s="169"/>
      <c r="Z403" s="169" t="str">
        <f t="shared" si="7"/>
        <v/>
      </c>
      <c r="AA403" s="169"/>
      <c r="AB403" s="169" t="str">
        <f t="shared" si="8"/>
        <v/>
      </c>
      <c r="AC403" s="169"/>
      <c r="AD403" s="169" t="str">
        <f t="shared" si="9"/>
        <v/>
      </c>
      <c r="AE403" s="169"/>
      <c r="AF403" s="169" t="str">
        <f t="shared" si="10"/>
        <v/>
      </c>
      <c r="AG403" s="169"/>
      <c r="AH403" s="169" t="str">
        <f t="shared" si="11"/>
        <v/>
      </c>
      <c r="AI403" s="169"/>
      <c r="AJ403" s="169" t="str">
        <f t="shared" si="12"/>
        <v/>
      </c>
    </row>
    <row r="404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 t="str">
        <f t="shared" si="2"/>
        <v/>
      </c>
      <c r="Q404" s="169"/>
      <c r="R404" s="169" t="str">
        <f t="shared" si="3"/>
        <v/>
      </c>
      <c r="S404" s="169"/>
      <c r="T404" s="169" t="str">
        <f t="shared" si="4"/>
        <v/>
      </c>
      <c r="U404" s="169"/>
      <c r="V404" s="169" t="str">
        <f t="shared" si="5"/>
        <v/>
      </c>
      <c r="W404" s="169"/>
      <c r="X404" s="169" t="str">
        <f t="shared" si="6"/>
        <v/>
      </c>
      <c r="Y404" s="169"/>
      <c r="Z404" s="169" t="str">
        <f t="shared" si="7"/>
        <v/>
      </c>
      <c r="AA404" s="169"/>
      <c r="AB404" s="169" t="str">
        <f t="shared" si="8"/>
        <v/>
      </c>
      <c r="AC404" s="169"/>
      <c r="AD404" s="169" t="str">
        <f t="shared" si="9"/>
        <v/>
      </c>
      <c r="AE404" s="169"/>
      <c r="AF404" s="169" t="str">
        <f t="shared" si="10"/>
        <v/>
      </c>
      <c r="AG404" s="169"/>
      <c r="AH404" s="169" t="str">
        <f t="shared" si="11"/>
        <v/>
      </c>
      <c r="AI404" s="169"/>
      <c r="AJ404" s="169" t="str">
        <f t="shared" si="12"/>
        <v/>
      </c>
    </row>
    <row r="40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 t="str">
        <f t="shared" si="2"/>
        <v/>
      </c>
      <c r="Q405" s="169"/>
      <c r="R405" s="169" t="str">
        <f t="shared" si="3"/>
        <v/>
      </c>
      <c r="S405" s="169"/>
      <c r="T405" s="169" t="str">
        <f t="shared" si="4"/>
        <v/>
      </c>
      <c r="U405" s="169"/>
      <c r="V405" s="169" t="str">
        <f t="shared" si="5"/>
        <v/>
      </c>
      <c r="W405" s="169"/>
      <c r="X405" s="169" t="str">
        <f t="shared" si="6"/>
        <v/>
      </c>
      <c r="Y405" s="169"/>
      <c r="Z405" s="169" t="str">
        <f t="shared" si="7"/>
        <v/>
      </c>
      <c r="AA405" s="169"/>
      <c r="AB405" s="169" t="str">
        <f t="shared" si="8"/>
        <v/>
      </c>
      <c r="AC405" s="169"/>
      <c r="AD405" s="169" t="str">
        <f t="shared" si="9"/>
        <v/>
      </c>
      <c r="AE405" s="169"/>
      <c r="AF405" s="169" t="str">
        <f t="shared" si="10"/>
        <v/>
      </c>
      <c r="AG405" s="169"/>
      <c r="AH405" s="169" t="str">
        <f t="shared" si="11"/>
        <v/>
      </c>
      <c r="AI405" s="169"/>
      <c r="AJ405" s="169" t="str">
        <f t="shared" si="12"/>
        <v/>
      </c>
    </row>
    <row r="406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 t="str">
        <f t="shared" si="2"/>
        <v/>
      </c>
      <c r="Q406" s="169"/>
      <c r="R406" s="169" t="str">
        <f t="shared" si="3"/>
        <v/>
      </c>
      <c r="S406" s="169"/>
      <c r="T406" s="169" t="str">
        <f t="shared" si="4"/>
        <v/>
      </c>
      <c r="U406" s="169"/>
      <c r="V406" s="169" t="str">
        <f t="shared" si="5"/>
        <v/>
      </c>
      <c r="W406" s="169"/>
      <c r="X406" s="169" t="str">
        <f t="shared" si="6"/>
        <v/>
      </c>
      <c r="Y406" s="169"/>
      <c r="Z406" s="169" t="str">
        <f t="shared" si="7"/>
        <v/>
      </c>
      <c r="AA406" s="169"/>
      <c r="AB406" s="169" t="str">
        <f t="shared" si="8"/>
        <v/>
      </c>
      <c r="AC406" s="169"/>
      <c r="AD406" s="169" t="str">
        <f t="shared" si="9"/>
        <v/>
      </c>
      <c r="AE406" s="169"/>
      <c r="AF406" s="169" t="str">
        <f t="shared" si="10"/>
        <v/>
      </c>
      <c r="AG406" s="169"/>
      <c r="AH406" s="169" t="str">
        <f t="shared" si="11"/>
        <v/>
      </c>
      <c r="AI406" s="169"/>
      <c r="AJ406" s="169" t="str">
        <f t="shared" si="12"/>
        <v/>
      </c>
    </row>
    <row r="407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 t="str">
        <f t="shared" si="2"/>
        <v/>
      </c>
      <c r="Q407" s="169"/>
      <c r="R407" s="169" t="str">
        <f t="shared" si="3"/>
        <v/>
      </c>
      <c r="S407" s="169"/>
      <c r="T407" s="169" t="str">
        <f t="shared" si="4"/>
        <v/>
      </c>
      <c r="U407" s="169"/>
      <c r="V407" s="169" t="str">
        <f t="shared" si="5"/>
        <v/>
      </c>
      <c r="W407" s="169"/>
      <c r="X407" s="169" t="str">
        <f t="shared" si="6"/>
        <v/>
      </c>
      <c r="Y407" s="169"/>
      <c r="Z407" s="169" t="str">
        <f t="shared" si="7"/>
        <v/>
      </c>
      <c r="AA407" s="169"/>
      <c r="AB407" s="169" t="str">
        <f t="shared" si="8"/>
        <v/>
      </c>
      <c r="AC407" s="169"/>
      <c r="AD407" s="169" t="str">
        <f t="shared" si="9"/>
        <v/>
      </c>
      <c r="AE407" s="169"/>
      <c r="AF407" s="169" t="str">
        <f t="shared" si="10"/>
        <v/>
      </c>
      <c r="AG407" s="169"/>
      <c r="AH407" s="169" t="str">
        <f t="shared" si="11"/>
        <v/>
      </c>
      <c r="AI407" s="169"/>
      <c r="AJ407" s="169" t="str">
        <f t="shared" si="12"/>
        <v/>
      </c>
    </row>
    <row r="408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 t="str">
        <f t="shared" si="2"/>
        <v/>
      </c>
      <c r="Q408" s="169"/>
      <c r="R408" s="169" t="str">
        <f t="shared" si="3"/>
        <v/>
      </c>
      <c r="S408" s="169"/>
      <c r="T408" s="169" t="str">
        <f t="shared" si="4"/>
        <v/>
      </c>
      <c r="U408" s="169"/>
      <c r="V408" s="169" t="str">
        <f t="shared" si="5"/>
        <v/>
      </c>
      <c r="W408" s="169"/>
      <c r="X408" s="169" t="str">
        <f t="shared" si="6"/>
        <v/>
      </c>
      <c r="Y408" s="169"/>
      <c r="Z408" s="169" t="str">
        <f t="shared" si="7"/>
        <v/>
      </c>
      <c r="AA408" s="169"/>
      <c r="AB408" s="169" t="str">
        <f t="shared" si="8"/>
        <v/>
      </c>
      <c r="AC408" s="169"/>
      <c r="AD408" s="169" t="str">
        <f t="shared" si="9"/>
        <v/>
      </c>
      <c r="AE408" s="169"/>
      <c r="AF408" s="169" t="str">
        <f t="shared" si="10"/>
        <v/>
      </c>
      <c r="AG408" s="169"/>
      <c r="AH408" s="169" t="str">
        <f t="shared" si="11"/>
        <v/>
      </c>
      <c r="AI408" s="169"/>
      <c r="AJ408" s="169" t="str">
        <f t="shared" si="12"/>
        <v/>
      </c>
    </row>
    <row r="409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 t="str">
        <f t="shared" si="2"/>
        <v/>
      </c>
      <c r="Q409" s="169"/>
      <c r="R409" s="169" t="str">
        <f t="shared" si="3"/>
        <v/>
      </c>
      <c r="S409" s="169"/>
      <c r="T409" s="169" t="str">
        <f t="shared" si="4"/>
        <v/>
      </c>
      <c r="U409" s="169"/>
      <c r="V409" s="169" t="str">
        <f t="shared" si="5"/>
        <v/>
      </c>
      <c r="W409" s="169"/>
      <c r="X409" s="169" t="str">
        <f t="shared" si="6"/>
        <v/>
      </c>
      <c r="Y409" s="169"/>
      <c r="Z409" s="169" t="str">
        <f t="shared" si="7"/>
        <v/>
      </c>
      <c r="AA409" s="169"/>
      <c r="AB409" s="169" t="str">
        <f t="shared" si="8"/>
        <v/>
      </c>
      <c r="AC409" s="169"/>
      <c r="AD409" s="169" t="str">
        <f t="shared" si="9"/>
        <v/>
      </c>
      <c r="AE409" s="169"/>
      <c r="AF409" s="169" t="str">
        <f t="shared" si="10"/>
        <v/>
      </c>
      <c r="AG409" s="169"/>
      <c r="AH409" s="169" t="str">
        <f t="shared" si="11"/>
        <v/>
      </c>
      <c r="AI409" s="169"/>
      <c r="AJ409" s="169" t="str">
        <f t="shared" si="12"/>
        <v/>
      </c>
    </row>
    <row r="410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 t="str">
        <f t="shared" si="2"/>
        <v/>
      </c>
      <c r="Q410" s="169"/>
      <c r="R410" s="169" t="str">
        <f t="shared" si="3"/>
        <v/>
      </c>
      <c r="S410" s="169"/>
      <c r="T410" s="169" t="str">
        <f t="shared" si="4"/>
        <v/>
      </c>
      <c r="U410" s="169"/>
      <c r="V410" s="169" t="str">
        <f t="shared" si="5"/>
        <v/>
      </c>
      <c r="W410" s="169"/>
      <c r="X410" s="169" t="str">
        <f t="shared" si="6"/>
        <v/>
      </c>
      <c r="Y410" s="169"/>
      <c r="Z410" s="169" t="str">
        <f t="shared" si="7"/>
        <v/>
      </c>
      <c r="AA410" s="169"/>
      <c r="AB410" s="169" t="str">
        <f t="shared" si="8"/>
        <v/>
      </c>
      <c r="AC410" s="169"/>
      <c r="AD410" s="169" t="str">
        <f t="shared" si="9"/>
        <v/>
      </c>
      <c r="AE410" s="169"/>
      <c r="AF410" s="169" t="str">
        <f t="shared" si="10"/>
        <v/>
      </c>
      <c r="AG410" s="169"/>
      <c r="AH410" s="169" t="str">
        <f t="shared" si="11"/>
        <v/>
      </c>
      <c r="AI410" s="169"/>
      <c r="AJ410" s="169" t="str">
        <f t="shared" si="12"/>
        <v/>
      </c>
    </row>
    <row r="41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 t="str">
        <f t="shared" si="2"/>
        <v/>
      </c>
      <c r="Q411" s="169"/>
      <c r="R411" s="169" t="str">
        <f t="shared" si="3"/>
        <v/>
      </c>
      <c r="S411" s="169"/>
      <c r="T411" s="169" t="str">
        <f t="shared" si="4"/>
        <v/>
      </c>
      <c r="U411" s="169"/>
      <c r="V411" s="169" t="str">
        <f t="shared" si="5"/>
        <v/>
      </c>
      <c r="W411" s="169"/>
      <c r="X411" s="169" t="str">
        <f t="shared" si="6"/>
        <v/>
      </c>
      <c r="Y411" s="169"/>
      <c r="Z411" s="169" t="str">
        <f t="shared" si="7"/>
        <v/>
      </c>
      <c r="AA411" s="169"/>
      <c r="AB411" s="169" t="str">
        <f t="shared" si="8"/>
        <v/>
      </c>
      <c r="AC411" s="169"/>
      <c r="AD411" s="169" t="str">
        <f t="shared" si="9"/>
        <v/>
      </c>
      <c r="AE411" s="169"/>
      <c r="AF411" s="169" t="str">
        <f t="shared" si="10"/>
        <v/>
      </c>
      <c r="AG411" s="169"/>
      <c r="AH411" s="169" t="str">
        <f t="shared" si="11"/>
        <v/>
      </c>
      <c r="AI411" s="169"/>
      <c r="AJ411" s="169" t="str">
        <f t="shared" si="12"/>
        <v/>
      </c>
    </row>
    <row r="41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 t="str">
        <f t="shared" si="2"/>
        <v/>
      </c>
      <c r="Q412" s="169"/>
      <c r="R412" s="169" t="str">
        <f t="shared" si="3"/>
        <v/>
      </c>
      <c r="S412" s="169"/>
      <c r="T412" s="169" t="str">
        <f t="shared" si="4"/>
        <v/>
      </c>
      <c r="U412" s="169"/>
      <c r="V412" s="169" t="str">
        <f t="shared" si="5"/>
        <v/>
      </c>
      <c r="W412" s="169"/>
      <c r="X412" s="169" t="str">
        <f t="shared" si="6"/>
        <v/>
      </c>
      <c r="Y412" s="169"/>
      <c r="Z412" s="169" t="str">
        <f t="shared" si="7"/>
        <v/>
      </c>
      <c r="AA412" s="169"/>
      <c r="AB412" s="169" t="str">
        <f t="shared" si="8"/>
        <v/>
      </c>
      <c r="AC412" s="169"/>
      <c r="AD412" s="169" t="str">
        <f t="shared" si="9"/>
        <v/>
      </c>
      <c r="AE412" s="169"/>
      <c r="AF412" s="169" t="str">
        <f t="shared" si="10"/>
        <v/>
      </c>
      <c r="AG412" s="169"/>
      <c r="AH412" s="169" t="str">
        <f t="shared" si="11"/>
        <v/>
      </c>
      <c r="AI412" s="169"/>
      <c r="AJ412" s="169" t="str">
        <f t="shared" si="12"/>
        <v/>
      </c>
    </row>
    <row r="413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 t="str">
        <f t="shared" si="2"/>
        <v/>
      </c>
      <c r="Q413" s="169"/>
      <c r="R413" s="169" t="str">
        <f t="shared" si="3"/>
        <v/>
      </c>
      <c r="S413" s="169"/>
      <c r="T413" s="169" t="str">
        <f t="shared" si="4"/>
        <v/>
      </c>
      <c r="U413" s="169"/>
      <c r="V413" s="169" t="str">
        <f t="shared" si="5"/>
        <v/>
      </c>
      <c r="W413" s="169"/>
      <c r="X413" s="169" t="str">
        <f t="shared" si="6"/>
        <v/>
      </c>
      <c r="Y413" s="169"/>
      <c r="Z413" s="169" t="str">
        <f t="shared" si="7"/>
        <v/>
      </c>
      <c r="AA413" s="169"/>
      <c r="AB413" s="169" t="str">
        <f t="shared" si="8"/>
        <v/>
      </c>
      <c r="AC413" s="169"/>
      <c r="AD413" s="169" t="str">
        <f t="shared" si="9"/>
        <v/>
      </c>
      <c r="AE413" s="169"/>
      <c r="AF413" s="169" t="str">
        <f t="shared" si="10"/>
        <v/>
      </c>
      <c r="AG413" s="169"/>
      <c r="AH413" s="169" t="str">
        <f t="shared" si="11"/>
        <v/>
      </c>
      <c r="AI413" s="169"/>
      <c r="AJ413" s="169" t="str">
        <f t="shared" si="12"/>
        <v/>
      </c>
    </row>
    <row r="414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 t="str">
        <f t="shared" si="2"/>
        <v/>
      </c>
      <c r="Q414" s="169"/>
      <c r="R414" s="169" t="str">
        <f t="shared" si="3"/>
        <v/>
      </c>
      <c r="S414" s="169"/>
      <c r="T414" s="169" t="str">
        <f t="shared" si="4"/>
        <v/>
      </c>
      <c r="U414" s="169"/>
      <c r="V414" s="169" t="str">
        <f t="shared" si="5"/>
        <v/>
      </c>
      <c r="W414" s="169"/>
      <c r="X414" s="169" t="str">
        <f t="shared" si="6"/>
        <v/>
      </c>
      <c r="Y414" s="169"/>
      <c r="Z414" s="169" t="str">
        <f t="shared" si="7"/>
        <v/>
      </c>
      <c r="AA414" s="169"/>
      <c r="AB414" s="169" t="str">
        <f t="shared" si="8"/>
        <v/>
      </c>
      <c r="AC414" s="169"/>
      <c r="AD414" s="169" t="str">
        <f t="shared" si="9"/>
        <v/>
      </c>
      <c r="AE414" s="169"/>
      <c r="AF414" s="169" t="str">
        <f t="shared" si="10"/>
        <v/>
      </c>
      <c r="AG414" s="169"/>
      <c r="AH414" s="169" t="str">
        <f t="shared" si="11"/>
        <v/>
      </c>
      <c r="AI414" s="169"/>
      <c r="AJ414" s="169" t="str">
        <f t="shared" si="12"/>
        <v/>
      </c>
    </row>
    <row r="41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 t="str">
        <f t="shared" si="2"/>
        <v/>
      </c>
      <c r="Q415" s="169"/>
      <c r="R415" s="169" t="str">
        <f t="shared" si="3"/>
        <v/>
      </c>
      <c r="S415" s="169"/>
      <c r="T415" s="169" t="str">
        <f t="shared" si="4"/>
        <v/>
      </c>
      <c r="U415" s="169"/>
      <c r="V415" s="169" t="str">
        <f t="shared" si="5"/>
        <v/>
      </c>
      <c r="W415" s="169"/>
      <c r="X415" s="169" t="str">
        <f t="shared" si="6"/>
        <v/>
      </c>
      <c r="Y415" s="169"/>
      <c r="Z415" s="169" t="str">
        <f t="shared" si="7"/>
        <v/>
      </c>
      <c r="AA415" s="169"/>
      <c r="AB415" s="169" t="str">
        <f t="shared" si="8"/>
        <v/>
      </c>
      <c r="AC415" s="169"/>
      <c r="AD415" s="169" t="str">
        <f t="shared" si="9"/>
        <v/>
      </c>
      <c r="AE415" s="169"/>
      <c r="AF415" s="169" t="str">
        <f t="shared" si="10"/>
        <v/>
      </c>
      <c r="AG415" s="169"/>
      <c r="AH415" s="169" t="str">
        <f t="shared" si="11"/>
        <v/>
      </c>
      <c r="AI415" s="169"/>
      <c r="AJ415" s="169" t="str">
        <f t="shared" si="12"/>
        <v/>
      </c>
    </row>
    <row r="416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 t="str">
        <f t="shared" si="2"/>
        <v/>
      </c>
      <c r="Q416" s="169"/>
      <c r="R416" s="169" t="str">
        <f t="shared" si="3"/>
        <v/>
      </c>
      <c r="S416" s="169"/>
      <c r="T416" s="169" t="str">
        <f t="shared" si="4"/>
        <v/>
      </c>
      <c r="U416" s="169"/>
      <c r="V416" s="169" t="str">
        <f t="shared" si="5"/>
        <v/>
      </c>
      <c r="W416" s="169"/>
      <c r="X416" s="169" t="str">
        <f t="shared" si="6"/>
        <v/>
      </c>
      <c r="Y416" s="169"/>
      <c r="Z416" s="169" t="str">
        <f t="shared" si="7"/>
        <v/>
      </c>
      <c r="AA416" s="169"/>
      <c r="AB416" s="169" t="str">
        <f t="shared" si="8"/>
        <v/>
      </c>
      <c r="AC416" s="169"/>
      <c r="AD416" s="169" t="str">
        <f t="shared" si="9"/>
        <v/>
      </c>
      <c r="AE416" s="169"/>
      <c r="AF416" s="169" t="str">
        <f t="shared" si="10"/>
        <v/>
      </c>
      <c r="AG416" s="169"/>
      <c r="AH416" s="169" t="str">
        <f t="shared" si="11"/>
        <v/>
      </c>
      <c r="AI416" s="169"/>
      <c r="AJ416" s="169" t="str">
        <f t="shared" si="12"/>
        <v/>
      </c>
    </row>
    <row r="417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 t="str">
        <f t="shared" si="2"/>
        <v/>
      </c>
      <c r="Q417" s="169"/>
      <c r="R417" s="169" t="str">
        <f t="shared" si="3"/>
        <v/>
      </c>
      <c r="S417" s="169"/>
      <c r="T417" s="169" t="str">
        <f t="shared" si="4"/>
        <v/>
      </c>
      <c r="U417" s="169"/>
      <c r="V417" s="169" t="str">
        <f t="shared" si="5"/>
        <v/>
      </c>
      <c r="W417" s="169"/>
      <c r="X417" s="169" t="str">
        <f t="shared" si="6"/>
        <v/>
      </c>
      <c r="Y417" s="169"/>
      <c r="Z417" s="169" t="str">
        <f t="shared" si="7"/>
        <v/>
      </c>
      <c r="AA417" s="169"/>
      <c r="AB417" s="169" t="str">
        <f t="shared" si="8"/>
        <v/>
      </c>
      <c r="AC417" s="169"/>
      <c r="AD417" s="169" t="str">
        <f t="shared" si="9"/>
        <v/>
      </c>
      <c r="AE417" s="169"/>
      <c r="AF417" s="169" t="str">
        <f t="shared" si="10"/>
        <v/>
      </c>
      <c r="AG417" s="169"/>
      <c r="AH417" s="169" t="str">
        <f t="shared" si="11"/>
        <v/>
      </c>
      <c r="AI417" s="169"/>
      <c r="AJ417" s="169" t="str">
        <f t="shared" si="12"/>
        <v/>
      </c>
    </row>
    <row r="418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 t="str">
        <f t="shared" si="2"/>
        <v/>
      </c>
      <c r="Q418" s="169"/>
      <c r="R418" s="169" t="str">
        <f t="shared" si="3"/>
        <v/>
      </c>
      <c r="S418" s="169"/>
      <c r="T418" s="169" t="str">
        <f t="shared" si="4"/>
        <v/>
      </c>
      <c r="U418" s="169"/>
      <c r="V418" s="169" t="str">
        <f t="shared" si="5"/>
        <v/>
      </c>
      <c r="W418" s="169"/>
      <c r="X418" s="169" t="str">
        <f t="shared" si="6"/>
        <v/>
      </c>
      <c r="Y418" s="169"/>
      <c r="Z418" s="169" t="str">
        <f t="shared" si="7"/>
        <v/>
      </c>
      <c r="AA418" s="169"/>
      <c r="AB418" s="169" t="str">
        <f t="shared" si="8"/>
        <v/>
      </c>
      <c r="AC418" s="169"/>
      <c r="AD418" s="169" t="str">
        <f t="shared" si="9"/>
        <v/>
      </c>
      <c r="AE418" s="169"/>
      <c r="AF418" s="169" t="str">
        <f t="shared" si="10"/>
        <v/>
      </c>
      <c r="AG418" s="169"/>
      <c r="AH418" s="169" t="str">
        <f t="shared" si="11"/>
        <v/>
      </c>
      <c r="AI418" s="169"/>
      <c r="AJ418" s="169" t="str">
        <f t="shared" si="12"/>
        <v/>
      </c>
    </row>
    <row r="419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 t="str">
        <f t="shared" si="2"/>
        <v/>
      </c>
      <c r="Q419" s="169"/>
      <c r="R419" s="169" t="str">
        <f t="shared" si="3"/>
        <v/>
      </c>
      <c r="S419" s="169"/>
      <c r="T419" s="169" t="str">
        <f t="shared" si="4"/>
        <v/>
      </c>
      <c r="U419" s="169"/>
      <c r="V419" s="169" t="str">
        <f t="shared" si="5"/>
        <v/>
      </c>
      <c r="W419" s="169"/>
      <c r="X419" s="169" t="str">
        <f t="shared" si="6"/>
        <v/>
      </c>
      <c r="Y419" s="169"/>
      <c r="Z419" s="169" t="str">
        <f t="shared" si="7"/>
        <v/>
      </c>
      <c r="AA419" s="169"/>
      <c r="AB419" s="169" t="str">
        <f t="shared" si="8"/>
        <v/>
      </c>
      <c r="AC419" s="169"/>
      <c r="AD419" s="169" t="str">
        <f t="shared" si="9"/>
        <v/>
      </c>
      <c r="AE419" s="169"/>
      <c r="AF419" s="169" t="str">
        <f t="shared" si="10"/>
        <v/>
      </c>
      <c r="AG419" s="169"/>
      <c r="AH419" s="169" t="str">
        <f t="shared" si="11"/>
        <v/>
      </c>
      <c r="AI419" s="169"/>
      <c r="AJ419" s="169" t="str">
        <f t="shared" si="12"/>
        <v/>
      </c>
    </row>
    <row r="420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 t="str">
        <f t="shared" si="2"/>
        <v/>
      </c>
      <c r="Q420" s="169"/>
      <c r="R420" s="169" t="str">
        <f t="shared" si="3"/>
        <v/>
      </c>
      <c r="S420" s="169"/>
      <c r="T420" s="169" t="str">
        <f t="shared" si="4"/>
        <v/>
      </c>
      <c r="U420" s="169"/>
      <c r="V420" s="169" t="str">
        <f t="shared" si="5"/>
        <v/>
      </c>
      <c r="W420" s="169"/>
      <c r="X420" s="169" t="str">
        <f t="shared" si="6"/>
        <v/>
      </c>
      <c r="Y420" s="169"/>
      <c r="Z420" s="169" t="str">
        <f t="shared" si="7"/>
        <v/>
      </c>
      <c r="AA420" s="169"/>
      <c r="AB420" s="169" t="str">
        <f t="shared" si="8"/>
        <v/>
      </c>
      <c r="AC420" s="169"/>
      <c r="AD420" s="169" t="str">
        <f t="shared" si="9"/>
        <v/>
      </c>
      <c r="AE420" s="169"/>
      <c r="AF420" s="169" t="str">
        <f t="shared" si="10"/>
        <v/>
      </c>
      <c r="AG420" s="169"/>
      <c r="AH420" s="169" t="str">
        <f t="shared" si="11"/>
        <v/>
      </c>
      <c r="AI420" s="169"/>
      <c r="AJ420" s="169" t="str">
        <f t="shared" si="12"/>
        <v/>
      </c>
    </row>
    <row r="42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 t="str">
        <f t="shared" si="2"/>
        <v/>
      </c>
      <c r="Q421" s="169"/>
      <c r="R421" s="169" t="str">
        <f t="shared" si="3"/>
        <v/>
      </c>
      <c r="S421" s="169"/>
      <c r="T421" s="169" t="str">
        <f t="shared" si="4"/>
        <v/>
      </c>
      <c r="U421" s="169"/>
      <c r="V421" s="169" t="str">
        <f t="shared" si="5"/>
        <v/>
      </c>
      <c r="W421" s="169"/>
      <c r="X421" s="169" t="str">
        <f t="shared" si="6"/>
        <v/>
      </c>
      <c r="Y421" s="169"/>
      <c r="Z421" s="169" t="str">
        <f t="shared" si="7"/>
        <v/>
      </c>
      <c r="AA421" s="169"/>
      <c r="AB421" s="169" t="str">
        <f t="shared" si="8"/>
        <v/>
      </c>
      <c r="AC421" s="169"/>
      <c r="AD421" s="169" t="str">
        <f t="shared" si="9"/>
        <v/>
      </c>
      <c r="AE421" s="169"/>
      <c r="AF421" s="169" t="str">
        <f t="shared" si="10"/>
        <v/>
      </c>
      <c r="AG421" s="169"/>
      <c r="AH421" s="169" t="str">
        <f t="shared" si="11"/>
        <v/>
      </c>
      <c r="AI421" s="169"/>
      <c r="AJ421" s="169" t="str">
        <f t="shared" si="12"/>
        <v/>
      </c>
    </row>
    <row r="42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 t="str">
        <f t="shared" si="2"/>
        <v/>
      </c>
      <c r="Q422" s="169"/>
      <c r="R422" s="169" t="str">
        <f t="shared" si="3"/>
        <v/>
      </c>
      <c r="S422" s="169"/>
      <c r="T422" s="169" t="str">
        <f t="shared" si="4"/>
        <v/>
      </c>
      <c r="U422" s="169"/>
      <c r="V422" s="169" t="str">
        <f t="shared" si="5"/>
        <v/>
      </c>
      <c r="W422" s="169"/>
      <c r="X422" s="169" t="str">
        <f t="shared" si="6"/>
        <v/>
      </c>
      <c r="Y422" s="169"/>
      <c r="Z422" s="169" t="str">
        <f t="shared" si="7"/>
        <v/>
      </c>
      <c r="AA422" s="169"/>
      <c r="AB422" s="169" t="str">
        <f t="shared" si="8"/>
        <v/>
      </c>
      <c r="AC422" s="169"/>
      <c r="AD422" s="169" t="str">
        <f t="shared" si="9"/>
        <v/>
      </c>
      <c r="AE422" s="169"/>
      <c r="AF422" s="169" t="str">
        <f t="shared" si="10"/>
        <v/>
      </c>
      <c r="AG422" s="169"/>
      <c r="AH422" s="169" t="str">
        <f t="shared" si="11"/>
        <v/>
      </c>
      <c r="AI422" s="169"/>
      <c r="AJ422" s="169" t="str">
        <f t="shared" si="12"/>
        <v/>
      </c>
    </row>
    <row r="423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 t="str">
        <f t="shared" si="2"/>
        <v/>
      </c>
      <c r="Q423" s="169"/>
      <c r="R423" s="169" t="str">
        <f t="shared" si="3"/>
        <v/>
      </c>
      <c r="S423" s="169"/>
      <c r="T423" s="169" t="str">
        <f t="shared" si="4"/>
        <v/>
      </c>
      <c r="U423" s="169"/>
      <c r="V423" s="169" t="str">
        <f t="shared" si="5"/>
        <v/>
      </c>
      <c r="W423" s="169"/>
      <c r="X423" s="169" t="str">
        <f t="shared" si="6"/>
        <v/>
      </c>
      <c r="Y423" s="169"/>
      <c r="Z423" s="169" t="str">
        <f t="shared" si="7"/>
        <v/>
      </c>
      <c r="AA423" s="169"/>
      <c r="AB423" s="169" t="str">
        <f t="shared" si="8"/>
        <v/>
      </c>
      <c r="AC423" s="169"/>
      <c r="AD423" s="169" t="str">
        <f t="shared" si="9"/>
        <v/>
      </c>
      <c r="AE423" s="169"/>
      <c r="AF423" s="169" t="str">
        <f t="shared" si="10"/>
        <v/>
      </c>
      <c r="AG423" s="169"/>
      <c r="AH423" s="169" t="str">
        <f t="shared" si="11"/>
        <v/>
      </c>
      <c r="AI423" s="169"/>
      <c r="AJ423" s="169" t="str">
        <f t="shared" si="12"/>
        <v/>
      </c>
    </row>
    <row r="424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 t="str">
        <f t="shared" si="2"/>
        <v/>
      </c>
      <c r="Q424" s="169"/>
      <c r="R424" s="169" t="str">
        <f t="shared" si="3"/>
        <v/>
      </c>
      <c r="S424" s="169"/>
      <c r="T424" s="169" t="str">
        <f t="shared" si="4"/>
        <v/>
      </c>
      <c r="U424" s="169"/>
      <c r="V424" s="169" t="str">
        <f t="shared" si="5"/>
        <v/>
      </c>
      <c r="W424" s="169"/>
      <c r="X424" s="169" t="str">
        <f t="shared" si="6"/>
        <v/>
      </c>
      <c r="Y424" s="169"/>
      <c r="Z424" s="169" t="str">
        <f t="shared" si="7"/>
        <v/>
      </c>
      <c r="AA424" s="169"/>
      <c r="AB424" s="169" t="str">
        <f t="shared" si="8"/>
        <v/>
      </c>
      <c r="AC424" s="169"/>
      <c r="AD424" s="169" t="str">
        <f t="shared" si="9"/>
        <v/>
      </c>
      <c r="AE424" s="169"/>
      <c r="AF424" s="169" t="str">
        <f t="shared" si="10"/>
        <v/>
      </c>
      <c r="AG424" s="169"/>
      <c r="AH424" s="169" t="str">
        <f t="shared" si="11"/>
        <v/>
      </c>
      <c r="AI424" s="169"/>
      <c r="AJ424" s="169" t="str">
        <f t="shared" si="12"/>
        <v/>
      </c>
    </row>
    <row r="4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 t="str">
        <f t="shared" si="2"/>
        <v/>
      </c>
      <c r="Q425" s="169"/>
      <c r="R425" s="169" t="str">
        <f t="shared" si="3"/>
        <v/>
      </c>
      <c r="S425" s="169"/>
      <c r="T425" s="169" t="str">
        <f t="shared" si="4"/>
        <v/>
      </c>
      <c r="U425" s="169"/>
      <c r="V425" s="169" t="str">
        <f t="shared" si="5"/>
        <v/>
      </c>
      <c r="W425" s="169"/>
      <c r="X425" s="169" t="str">
        <f t="shared" si="6"/>
        <v/>
      </c>
      <c r="Y425" s="169"/>
      <c r="Z425" s="169" t="str">
        <f t="shared" si="7"/>
        <v/>
      </c>
      <c r="AA425" s="169"/>
      <c r="AB425" s="169" t="str">
        <f t="shared" si="8"/>
        <v/>
      </c>
      <c r="AC425" s="169"/>
      <c r="AD425" s="169" t="str">
        <f t="shared" si="9"/>
        <v/>
      </c>
      <c r="AE425" s="169"/>
      <c r="AF425" s="169" t="str">
        <f t="shared" si="10"/>
        <v/>
      </c>
      <c r="AG425" s="169"/>
      <c r="AH425" s="169" t="str">
        <f t="shared" si="11"/>
        <v/>
      </c>
      <c r="AI425" s="169"/>
      <c r="AJ425" s="169" t="str">
        <f t="shared" si="12"/>
        <v/>
      </c>
    </row>
    <row r="426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 t="str">
        <f t="shared" si="2"/>
        <v/>
      </c>
      <c r="Q426" s="169"/>
      <c r="R426" s="169" t="str">
        <f t="shared" si="3"/>
        <v/>
      </c>
      <c r="S426" s="169"/>
      <c r="T426" s="169" t="str">
        <f t="shared" si="4"/>
        <v/>
      </c>
      <c r="U426" s="169"/>
      <c r="V426" s="169" t="str">
        <f t="shared" si="5"/>
        <v/>
      </c>
      <c r="W426" s="169"/>
      <c r="X426" s="169" t="str">
        <f t="shared" si="6"/>
        <v/>
      </c>
      <c r="Y426" s="169"/>
      <c r="Z426" s="169" t="str">
        <f t="shared" si="7"/>
        <v/>
      </c>
      <c r="AA426" s="169"/>
      <c r="AB426" s="169" t="str">
        <f t="shared" si="8"/>
        <v/>
      </c>
      <c r="AC426" s="169"/>
      <c r="AD426" s="169" t="str">
        <f t="shared" si="9"/>
        <v/>
      </c>
      <c r="AE426" s="169"/>
      <c r="AF426" s="169" t="str">
        <f t="shared" si="10"/>
        <v/>
      </c>
      <c r="AG426" s="169"/>
      <c r="AH426" s="169" t="str">
        <f t="shared" si="11"/>
        <v/>
      </c>
      <c r="AI426" s="169"/>
      <c r="AJ426" s="169" t="str">
        <f t="shared" si="12"/>
        <v/>
      </c>
    </row>
    <row r="427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 t="str">
        <f t="shared" si="2"/>
        <v/>
      </c>
      <c r="Q427" s="169"/>
      <c r="R427" s="169" t="str">
        <f t="shared" si="3"/>
        <v/>
      </c>
      <c r="S427" s="169"/>
      <c r="T427" s="169" t="str">
        <f t="shared" si="4"/>
        <v/>
      </c>
      <c r="U427" s="169"/>
      <c r="V427" s="169" t="str">
        <f t="shared" si="5"/>
        <v/>
      </c>
      <c r="W427" s="169"/>
      <c r="X427" s="169" t="str">
        <f t="shared" si="6"/>
        <v/>
      </c>
      <c r="Y427" s="169"/>
      <c r="Z427" s="169" t="str">
        <f t="shared" si="7"/>
        <v/>
      </c>
      <c r="AA427" s="169"/>
      <c r="AB427" s="169" t="str">
        <f t="shared" si="8"/>
        <v/>
      </c>
      <c r="AC427" s="169"/>
      <c r="AD427" s="169" t="str">
        <f t="shared" si="9"/>
        <v/>
      </c>
      <c r="AE427" s="169"/>
      <c r="AF427" s="169" t="str">
        <f t="shared" si="10"/>
        <v/>
      </c>
      <c r="AG427" s="169"/>
      <c r="AH427" s="169" t="str">
        <f t="shared" si="11"/>
        <v/>
      </c>
      <c r="AI427" s="169"/>
      <c r="AJ427" s="169" t="str">
        <f t="shared" si="12"/>
        <v/>
      </c>
    </row>
    <row r="428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 t="str">
        <f t="shared" si="2"/>
        <v/>
      </c>
      <c r="Q428" s="169"/>
      <c r="R428" s="169" t="str">
        <f t="shared" si="3"/>
        <v/>
      </c>
      <c r="S428" s="169"/>
      <c r="T428" s="169" t="str">
        <f t="shared" si="4"/>
        <v/>
      </c>
      <c r="U428" s="169"/>
      <c r="V428" s="169" t="str">
        <f t="shared" si="5"/>
        <v/>
      </c>
      <c r="W428" s="169"/>
      <c r="X428" s="169" t="str">
        <f t="shared" si="6"/>
        <v/>
      </c>
      <c r="Y428" s="169"/>
      <c r="Z428" s="169" t="str">
        <f t="shared" si="7"/>
        <v/>
      </c>
      <c r="AA428" s="169"/>
      <c r="AB428" s="169" t="str">
        <f t="shared" si="8"/>
        <v/>
      </c>
      <c r="AC428" s="169"/>
      <c r="AD428" s="169" t="str">
        <f t="shared" si="9"/>
        <v/>
      </c>
      <c r="AE428" s="169"/>
      <c r="AF428" s="169" t="str">
        <f t="shared" si="10"/>
        <v/>
      </c>
      <c r="AG428" s="169"/>
      <c r="AH428" s="169" t="str">
        <f t="shared" si="11"/>
        <v/>
      </c>
      <c r="AI428" s="169"/>
      <c r="AJ428" s="169" t="str">
        <f t="shared" si="12"/>
        <v/>
      </c>
    </row>
    <row r="429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 t="str">
        <f t="shared" si="2"/>
        <v/>
      </c>
      <c r="Q429" s="169"/>
      <c r="R429" s="169" t="str">
        <f t="shared" si="3"/>
        <v/>
      </c>
      <c r="S429" s="169"/>
      <c r="T429" s="169" t="str">
        <f t="shared" si="4"/>
        <v/>
      </c>
      <c r="U429" s="169"/>
      <c r="V429" s="169" t="str">
        <f t="shared" si="5"/>
        <v/>
      </c>
      <c r="W429" s="169"/>
      <c r="X429" s="169" t="str">
        <f t="shared" si="6"/>
        <v/>
      </c>
      <c r="Y429" s="169"/>
      <c r="Z429" s="169" t="str">
        <f t="shared" si="7"/>
        <v/>
      </c>
      <c r="AA429" s="169"/>
      <c r="AB429" s="169" t="str">
        <f t="shared" si="8"/>
        <v/>
      </c>
      <c r="AC429" s="169"/>
      <c r="AD429" s="169" t="str">
        <f t="shared" si="9"/>
        <v/>
      </c>
      <c r="AE429" s="169"/>
      <c r="AF429" s="169" t="str">
        <f t="shared" si="10"/>
        <v/>
      </c>
      <c r="AG429" s="169"/>
      <c r="AH429" s="169" t="str">
        <f t="shared" si="11"/>
        <v/>
      </c>
      <c r="AI429" s="169"/>
      <c r="AJ429" s="169" t="str">
        <f t="shared" si="12"/>
        <v/>
      </c>
    </row>
    <row r="430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 t="str">
        <f t="shared" si="2"/>
        <v/>
      </c>
      <c r="Q430" s="169"/>
      <c r="R430" s="169" t="str">
        <f t="shared" si="3"/>
        <v/>
      </c>
      <c r="S430" s="169"/>
      <c r="T430" s="169" t="str">
        <f t="shared" si="4"/>
        <v/>
      </c>
      <c r="U430" s="169"/>
      <c r="V430" s="169" t="str">
        <f t="shared" si="5"/>
        <v/>
      </c>
      <c r="W430" s="169"/>
      <c r="X430" s="169" t="str">
        <f t="shared" si="6"/>
        <v/>
      </c>
      <c r="Y430" s="169"/>
      <c r="Z430" s="169" t="str">
        <f t="shared" si="7"/>
        <v/>
      </c>
      <c r="AA430" s="169"/>
      <c r="AB430" s="169" t="str">
        <f t="shared" si="8"/>
        <v/>
      </c>
      <c r="AC430" s="169"/>
      <c r="AD430" s="169" t="str">
        <f t="shared" si="9"/>
        <v/>
      </c>
      <c r="AE430" s="169"/>
      <c r="AF430" s="169" t="str">
        <f t="shared" si="10"/>
        <v/>
      </c>
      <c r="AG430" s="169"/>
      <c r="AH430" s="169" t="str">
        <f t="shared" si="11"/>
        <v/>
      </c>
      <c r="AI430" s="169"/>
      <c r="AJ430" s="169" t="str">
        <f t="shared" si="12"/>
        <v/>
      </c>
    </row>
    <row r="4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 t="str">
        <f t="shared" si="2"/>
        <v/>
      </c>
      <c r="Q431" s="169"/>
      <c r="R431" s="169" t="str">
        <f t="shared" si="3"/>
        <v/>
      </c>
      <c r="S431" s="169"/>
      <c r="T431" s="169" t="str">
        <f t="shared" si="4"/>
        <v/>
      </c>
      <c r="U431" s="169"/>
      <c r="V431" s="169" t="str">
        <f t="shared" si="5"/>
        <v/>
      </c>
      <c r="W431" s="169"/>
      <c r="X431" s="169" t="str">
        <f t="shared" si="6"/>
        <v/>
      </c>
      <c r="Y431" s="169"/>
      <c r="Z431" s="169" t="str">
        <f t="shared" si="7"/>
        <v/>
      </c>
      <c r="AA431" s="169"/>
      <c r="AB431" s="169" t="str">
        <f t="shared" si="8"/>
        <v/>
      </c>
      <c r="AC431" s="169"/>
      <c r="AD431" s="169" t="str">
        <f t="shared" si="9"/>
        <v/>
      </c>
      <c r="AE431" s="169"/>
      <c r="AF431" s="169" t="str">
        <f t="shared" si="10"/>
        <v/>
      </c>
      <c r="AG431" s="169"/>
      <c r="AH431" s="169" t="str">
        <f t="shared" si="11"/>
        <v/>
      </c>
      <c r="AI431" s="169"/>
      <c r="AJ431" s="169" t="str">
        <f t="shared" si="12"/>
        <v/>
      </c>
    </row>
    <row r="43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 t="str">
        <f t="shared" si="2"/>
        <v/>
      </c>
      <c r="Q432" s="169"/>
      <c r="R432" s="169" t="str">
        <f t="shared" si="3"/>
        <v/>
      </c>
      <c r="S432" s="169"/>
      <c r="T432" s="169" t="str">
        <f t="shared" si="4"/>
        <v/>
      </c>
      <c r="U432" s="169"/>
      <c r="V432" s="169" t="str">
        <f t="shared" si="5"/>
        <v/>
      </c>
      <c r="W432" s="169"/>
      <c r="X432" s="169" t="str">
        <f t="shared" si="6"/>
        <v/>
      </c>
      <c r="Y432" s="169"/>
      <c r="Z432" s="169" t="str">
        <f t="shared" si="7"/>
        <v/>
      </c>
      <c r="AA432" s="169"/>
      <c r="AB432" s="169" t="str">
        <f t="shared" si="8"/>
        <v/>
      </c>
      <c r="AC432" s="169"/>
      <c r="AD432" s="169" t="str">
        <f t="shared" si="9"/>
        <v/>
      </c>
      <c r="AE432" s="169"/>
      <c r="AF432" s="169" t="str">
        <f t="shared" si="10"/>
        <v/>
      </c>
      <c r="AG432" s="169"/>
      <c r="AH432" s="169" t="str">
        <f t="shared" si="11"/>
        <v/>
      </c>
      <c r="AI432" s="169"/>
      <c r="AJ432" s="169" t="str">
        <f t="shared" si="12"/>
        <v/>
      </c>
    </row>
    <row r="433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 t="str">
        <f t="shared" si="2"/>
        <v/>
      </c>
      <c r="Q433" s="169"/>
      <c r="R433" s="169" t="str">
        <f t="shared" si="3"/>
        <v/>
      </c>
      <c r="S433" s="169"/>
      <c r="T433" s="169" t="str">
        <f t="shared" si="4"/>
        <v/>
      </c>
      <c r="U433" s="169"/>
      <c r="V433" s="169" t="str">
        <f t="shared" si="5"/>
        <v/>
      </c>
      <c r="W433" s="169"/>
      <c r="X433" s="169" t="str">
        <f t="shared" si="6"/>
        <v/>
      </c>
      <c r="Y433" s="169"/>
      <c r="Z433" s="169" t="str">
        <f t="shared" si="7"/>
        <v/>
      </c>
      <c r="AA433" s="169"/>
      <c r="AB433" s="169" t="str">
        <f t="shared" si="8"/>
        <v/>
      </c>
      <c r="AC433" s="169"/>
      <c r="AD433" s="169" t="str">
        <f t="shared" si="9"/>
        <v/>
      </c>
      <c r="AE433" s="169"/>
      <c r="AF433" s="169" t="str">
        <f t="shared" si="10"/>
        <v/>
      </c>
      <c r="AG433" s="169"/>
      <c r="AH433" s="169" t="str">
        <f t="shared" si="11"/>
        <v/>
      </c>
      <c r="AI433" s="169"/>
      <c r="AJ433" s="169" t="str">
        <f t="shared" si="12"/>
        <v/>
      </c>
    </row>
    <row r="434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 t="str">
        <f t="shared" si="2"/>
        <v/>
      </c>
      <c r="Q434" s="169"/>
      <c r="R434" s="169" t="str">
        <f t="shared" si="3"/>
        <v/>
      </c>
      <c r="S434" s="169"/>
      <c r="T434" s="169" t="str">
        <f t="shared" si="4"/>
        <v/>
      </c>
      <c r="U434" s="169"/>
      <c r="V434" s="169" t="str">
        <f t="shared" si="5"/>
        <v/>
      </c>
      <c r="W434" s="169"/>
      <c r="X434" s="169" t="str">
        <f t="shared" si="6"/>
        <v/>
      </c>
      <c r="Y434" s="169"/>
      <c r="Z434" s="169" t="str">
        <f t="shared" si="7"/>
        <v/>
      </c>
      <c r="AA434" s="169"/>
      <c r="AB434" s="169" t="str">
        <f t="shared" si="8"/>
        <v/>
      </c>
      <c r="AC434" s="169"/>
      <c r="AD434" s="169" t="str">
        <f t="shared" si="9"/>
        <v/>
      </c>
      <c r="AE434" s="169"/>
      <c r="AF434" s="169" t="str">
        <f t="shared" si="10"/>
        <v/>
      </c>
      <c r="AG434" s="169"/>
      <c r="AH434" s="169" t="str">
        <f t="shared" si="11"/>
        <v/>
      </c>
      <c r="AI434" s="169"/>
      <c r="AJ434" s="169" t="str">
        <f t="shared" si="12"/>
        <v/>
      </c>
    </row>
    <row r="43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 t="str">
        <f t="shared" si="2"/>
        <v/>
      </c>
      <c r="Q435" s="169"/>
      <c r="R435" s="169" t="str">
        <f t="shared" si="3"/>
        <v/>
      </c>
      <c r="S435" s="169"/>
      <c r="T435" s="169" t="str">
        <f t="shared" si="4"/>
        <v/>
      </c>
      <c r="U435" s="169"/>
      <c r="V435" s="169" t="str">
        <f t="shared" si="5"/>
        <v/>
      </c>
      <c r="W435" s="169"/>
      <c r="X435" s="169" t="str">
        <f t="shared" si="6"/>
        <v/>
      </c>
      <c r="Y435" s="169"/>
      <c r="Z435" s="169" t="str">
        <f t="shared" si="7"/>
        <v/>
      </c>
      <c r="AA435" s="169"/>
      <c r="AB435" s="169" t="str">
        <f t="shared" si="8"/>
        <v/>
      </c>
      <c r="AC435" s="169"/>
      <c r="AD435" s="169" t="str">
        <f t="shared" si="9"/>
        <v/>
      </c>
      <c r="AE435" s="169"/>
      <c r="AF435" s="169" t="str">
        <f t="shared" si="10"/>
        <v/>
      </c>
      <c r="AG435" s="169"/>
      <c r="AH435" s="169" t="str">
        <f t="shared" si="11"/>
        <v/>
      </c>
      <c r="AI435" s="169"/>
      <c r="AJ435" s="169" t="str">
        <f t="shared" si="12"/>
        <v/>
      </c>
    </row>
    <row r="436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 t="str">
        <f t="shared" si="2"/>
        <v/>
      </c>
      <c r="Q436" s="169"/>
      <c r="R436" s="169" t="str">
        <f t="shared" si="3"/>
        <v/>
      </c>
      <c r="S436" s="169"/>
      <c r="T436" s="169" t="str">
        <f t="shared" si="4"/>
        <v/>
      </c>
      <c r="U436" s="169"/>
      <c r="V436" s="169" t="str">
        <f t="shared" si="5"/>
        <v/>
      </c>
      <c r="W436" s="169"/>
      <c r="X436" s="169" t="str">
        <f t="shared" si="6"/>
        <v/>
      </c>
      <c r="Y436" s="169"/>
      <c r="Z436" s="169" t="str">
        <f t="shared" si="7"/>
        <v/>
      </c>
      <c r="AA436" s="169"/>
      <c r="AB436" s="169" t="str">
        <f t="shared" si="8"/>
        <v/>
      </c>
      <c r="AC436" s="169"/>
      <c r="AD436" s="169" t="str">
        <f t="shared" si="9"/>
        <v/>
      </c>
      <c r="AE436" s="169"/>
      <c r="AF436" s="169" t="str">
        <f t="shared" si="10"/>
        <v/>
      </c>
      <c r="AG436" s="169"/>
      <c r="AH436" s="169" t="str">
        <f t="shared" si="11"/>
        <v/>
      </c>
      <c r="AI436" s="169"/>
      <c r="AJ436" s="169" t="str">
        <f t="shared" si="12"/>
        <v/>
      </c>
    </row>
    <row r="437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 t="str">
        <f t="shared" si="2"/>
        <v/>
      </c>
      <c r="Q437" s="169"/>
      <c r="R437" s="169" t="str">
        <f t="shared" si="3"/>
        <v/>
      </c>
      <c r="S437" s="169"/>
      <c r="T437" s="169" t="str">
        <f t="shared" si="4"/>
        <v/>
      </c>
      <c r="U437" s="169"/>
      <c r="V437" s="169" t="str">
        <f t="shared" si="5"/>
        <v/>
      </c>
      <c r="W437" s="169"/>
      <c r="X437" s="169" t="str">
        <f t="shared" si="6"/>
        <v/>
      </c>
      <c r="Y437" s="169"/>
      <c r="Z437" s="169" t="str">
        <f t="shared" si="7"/>
        <v/>
      </c>
      <c r="AA437" s="169"/>
      <c r="AB437" s="169" t="str">
        <f t="shared" si="8"/>
        <v/>
      </c>
      <c r="AC437" s="169"/>
      <c r="AD437" s="169" t="str">
        <f t="shared" si="9"/>
        <v/>
      </c>
      <c r="AE437" s="169"/>
      <c r="AF437" s="169" t="str">
        <f t="shared" si="10"/>
        <v/>
      </c>
      <c r="AG437" s="169"/>
      <c r="AH437" s="169" t="str">
        <f t="shared" si="11"/>
        <v/>
      </c>
      <c r="AI437" s="169"/>
      <c r="AJ437" s="169" t="str">
        <f t="shared" si="12"/>
        <v/>
      </c>
    </row>
    <row r="438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 t="str">
        <f t="shared" si="2"/>
        <v/>
      </c>
      <c r="Q438" s="169"/>
      <c r="R438" s="169" t="str">
        <f t="shared" si="3"/>
        <v/>
      </c>
      <c r="S438" s="169"/>
      <c r="T438" s="169" t="str">
        <f t="shared" si="4"/>
        <v/>
      </c>
      <c r="U438" s="169"/>
      <c r="V438" s="169" t="str">
        <f t="shared" si="5"/>
        <v/>
      </c>
      <c r="W438" s="169"/>
      <c r="X438" s="169" t="str">
        <f t="shared" si="6"/>
        <v/>
      </c>
      <c r="Y438" s="169"/>
      <c r="Z438" s="169" t="str">
        <f t="shared" si="7"/>
        <v/>
      </c>
      <c r="AA438" s="169"/>
      <c r="AB438" s="169" t="str">
        <f t="shared" si="8"/>
        <v/>
      </c>
      <c r="AC438" s="169"/>
      <c r="AD438" s="169" t="str">
        <f t="shared" si="9"/>
        <v/>
      </c>
      <c r="AE438" s="169"/>
      <c r="AF438" s="169" t="str">
        <f t="shared" si="10"/>
        <v/>
      </c>
      <c r="AG438" s="169"/>
      <c r="AH438" s="169" t="str">
        <f t="shared" si="11"/>
        <v/>
      </c>
      <c r="AI438" s="169"/>
      <c r="AJ438" s="169" t="str">
        <f t="shared" si="12"/>
        <v/>
      </c>
    </row>
    <row r="439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 t="str">
        <f t="shared" si="2"/>
        <v/>
      </c>
      <c r="Q439" s="169"/>
      <c r="R439" s="169" t="str">
        <f t="shared" si="3"/>
        <v/>
      </c>
      <c r="S439" s="169"/>
      <c r="T439" s="169" t="str">
        <f t="shared" si="4"/>
        <v/>
      </c>
      <c r="U439" s="169"/>
      <c r="V439" s="169" t="str">
        <f t="shared" si="5"/>
        <v/>
      </c>
      <c r="W439" s="169"/>
      <c r="X439" s="169" t="str">
        <f t="shared" si="6"/>
        <v/>
      </c>
      <c r="Y439" s="169"/>
      <c r="Z439" s="169" t="str">
        <f t="shared" si="7"/>
        <v/>
      </c>
      <c r="AA439" s="169"/>
      <c r="AB439" s="169" t="str">
        <f t="shared" si="8"/>
        <v/>
      </c>
      <c r="AC439" s="169"/>
      <c r="AD439" s="169" t="str">
        <f t="shared" si="9"/>
        <v/>
      </c>
      <c r="AE439" s="169"/>
      <c r="AF439" s="169" t="str">
        <f t="shared" si="10"/>
        <v/>
      </c>
      <c r="AG439" s="169"/>
      <c r="AH439" s="169" t="str">
        <f t="shared" si="11"/>
        <v/>
      </c>
      <c r="AI439" s="169"/>
      <c r="AJ439" s="169" t="str">
        <f t="shared" si="12"/>
        <v/>
      </c>
    </row>
    <row r="440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 t="str">
        <f t="shared" si="2"/>
        <v/>
      </c>
      <c r="Q440" s="169"/>
      <c r="R440" s="169" t="str">
        <f t="shared" si="3"/>
        <v/>
      </c>
      <c r="S440" s="169"/>
      <c r="T440" s="169" t="str">
        <f t="shared" si="4"/>
        <v/>
      </c>
      <c r="U440" s="169"/>
      <c r="V440" s="169" t="str">
        <f t="shared" si="5"/>
        <v/>
      </c>
      <c r="W440" s="169"/>
      <c r="X440" s="169" t="str">
        <f t="shared" si="6"/>
        <v/>
      </c>
      <c r="Y440" s="169"/>
      <c r="Z440" s="169" t="str">
        <f t="shared" si="7"/>
        <v/>
      </c>
      <c r="AA440" s="169"/>
      <c r="AB440" s="169" t="str">
        <f t="shared" si="8"/>
        <v/>
      </c>
      <c r="AC440" s="169"/>
      <c r="AD440" s="169" t="str">
        <f t="shared" si="9"/>
        <v/>
      </c>
      <c r="AE440" s="169"/>
      <c r="AF440" s="169" t="str">
        <f t="shared" si="10"/>
        <v/>
      </c>
      <c r="AG440" s="169"/>
      <c r="AH440" s="169" t="str">
        <f t="shared" si="11"/>
        <v/>
      </c>
      <c r="AI440" s="169"/>
      <c r="AJ440" s="169" t="str">
        <f t="shared" si="12"/>
        <v/>
      </c>
    </row>
    <row r="44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 t="str">
        <f t="shared" si="2"/>
        <v/>
      </c>
      <c r="Q441" s="169"/>
      <c r="R441" s="169" t="str">
        <f t="shared" si="3"/>
        <v/>
      </c>
      <c r="S441" s="169"/>
      <c r="T441" s="169" t="str">
        <f t="shared" si="4"/>
        <v/>
      </c>
      <c r="U441" s="169"/>
      <c r="V441" s="169" t="str">
        <f t="shared" si="5"/>
        <v/>
      </c>
      <c r="W441" s="169"/>
      <c r="X441" s="169" t="str">
        <f t="shared" si="6"/>
        <v/>
      </c>
      <c r="Y441" s="169"/>
      <c r="Z441" s="169" t="str">
        <f t="shared" si="7"/>
        <v/>
      </c>
      <c r="AA441" s="169"/>
      <c r="AB441" s="169" t="str">
        <f t="shared" si="8"/>
        <v/>
      </c>
      <c r="AC441" s="169"/>
      <c r="AD441" s="169" t="str">
        <f t="shared" si="9"/>
        <v/>
      </c>
      <c r="AE441" s="169"/>
      <c r="AF441" s="169" t="str">
        <f t="shared" si="10"/>
        <v/>
      </c>
      <c r="AG441" s="169"/>
      <c r="AH441" s="169" t="str">
        <f t="shared" si="11"/>
        <v/>
      </c>
      <c r="AI441" s="169"/>
      <c r="AJ441" s="169" t="str">
        <f t="shared" si="12"/>
        <v/>
      </c>
    </row>
    <row r="44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 t="str">
        <f t="shared" si="2"/>
        <v/>
      </c>
      <c r="Q442" s="169"/>
      <c r="R442" s="169" t="str">
        <f t="shared" si="3"/>
        <v/>
      </c>
      <c r="S442" s="169"/>
      <c r="T442" s="169" t="str">
        <f t="shared" si="4"/>
        <v/>
      </c>
      <c r="U442" s="169"/>
      <c r="V442" s="169" t="str">
        <f t="shared" si="5"/>
        <v/>
      </c>
      <c r="W442" s="169"/>
      <c r="X442" s="169" t="str">
        <f t="shared" si="6"/>
        <v/>
      </c>
      <c r="Y442" s="169"/>
      <c r="Z442" s="169" t="str">
        <f t="shared" si="7"/>
        <v/>
      </c>
      <c r="AA442" s="169"/>
      <c r="AB442" s="169" t="str">
        <f t="shared" si="8"/>
        <v/>
      </c>
      <c r="AC442" s="169"/>
      <c r="AD442" s="169" t="str">
        <f t="shared" si="9"/>
        <v/>
      </c>
      <c r="AE442" s="169"/>
      <c r="AF442" s="169" t="str">
        <f t="shared" si="10"/>
        <v/>
      </c>
      <c r="AG442" s="169"/>
      <c r="AH442" s="169" t="str">
        <f t="shared" si="11"/>
        <v/>
      </c>
      <c r="AI442" s="169"/>
      <c r="AJ442" s="169" t="str">
        <f t="shared" si="12"/>
        <v/>
      </c>
    </row>
    <row r="443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 t="str">
        <f t="shared" si="2"/>
        <v/>
      </c>
      <c r="Q443" s="169"/>
      <c r="R443" s="169" t="str">
        <f t="shared" si="3"/>
        <v/>
      </c>
      <c r="S443" s="169"/>
      <c r="T443" s="169" t="str">
        <f t="shared" si="4"/>
        <v/>
      </c>
      <c r="U443" s="169"/>
      <c r="V443" s="169" t="str">
        <f t="shared" si="5"/>
        <v/>
      </c>
      <c r="W443" s="169"/>
      <c r="X443" s="169" t="str">
        <f t="shared" si="6"/>
        <v/>
      </c>
      <c r="Y443" s="169"/>
      <c r="Z443" s="169" t="str">
        <f t="shared" si="7"/>
        <v/>
      </c>
      <c r="AA443" s="169"/>
      <c r="AB443" s="169" t="str">
        <f t="shared" si="8"/>
        <v/>
      </c>
      <c r="AC443" s="169"/>
      <c r="AD443" s="169" t="str">
        <f t="shared" si="9"/>
        <v/>
      </c>
      <c r="AE443" s="169"/>
      <c r="AF443" s="169" t="str">
        <f t="shared" si="10"/>
        <v/>
      </c>
      <c r="AG443" s="169"/>
      <c r="AH443" s="169" t="str">
        <f t="shared" si="11"/>
        <v/>
      </c>
      <c r="AI443" s="169"/>
      <c r="AJ443" s="169" t="str">
        <f t="shared" si="12"/>
        <v/>
      </c>
    </row>
    <row r="444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 t="str">
        <f t="shared" si="2"/>
        <v/>
      </c>
      <c r="Q444" s="169"/>
      <c r="R444" s="169" t="str">
        <f t="shared" si="3"/>
        <v/>
      </c>
      <c r="S444" s="169"/>
      <c r="T444" s="169" t="str">
        <f t="shared" si="4"/>
        <v/>
      </c>
      <c r="U444" s="169"/>
      <c r="V444" s="169" t="str">
        <f t="shared" si="5"/>
        <v/>
      </c>
      <c r="W444" s="169"/>
      <c r="X444" s="169" t="str">
        <f t="shared" si="6"/>
        <v/>
      </c>
      <c r="Y444" s="169"/>
      <c r="Z444" s="169" t="str">
        <f t="shared" si="7"/>
        <v/>
      </c>
      <c r="AA444" s="169"/>
      <c r="AB444" s="169" t="str">
        <f t="shared" si="8"/>
        <v/>
      </c>
      <c r="AC444" s="169"/>
      <c r="AD444" s="169" t="str">
        <f t="shared" si="9"/>
        <v/>
      </c>
      <c r="AE444" s="169"/>
      <c r="AF444" s="169" t="str">
        <f t="shared" si="10"/>
        <v/>
      </c>
      <c r="AG444" s="169"/>
      <c r="AH444" s="169" t="str">
        <f t="shared" si="11"/>
        <v/>
      </c>
      <c r="AI444" s="169"/>
      <c r="AJ444" s="169" t="str">
        <f t="shared" si="12"/>
        <v/>
      </c>
    </row>
    <row r="44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 t="str">
        <f t="shared" si="2"/>
        <v/>
      </c>
      <c r="Q445" s="169"/>
      <c r="R445" s="169" t="str">
        <f t="shared" si="3"/>
        <v/>
      </c>
      <c r="S445" s="169"/>
      <c r="T445" s="169" t="str">
        <f t="shared" si="4"/>
        <v/>
      </c>
      <c r="U445" s="169"/>
      <c r="V445" s="169" t="str">
        <f t="shared" si="5"/>
        <v/>
      </c>
      <c r="W445" s="169"/>
      <c r="X445" s="169" t="str">
        <f t="shared" si="6"/>
        <v/>
      </c>
      <c r="Y445" s="169"/>
      <c r="Z445" s="169" t="str">
        <f t="shared" si="7"/>
        <v/>
      </c>
      <c r="AA445" s="169"/>
      <c r="AB445" s="169" t="str">
        <f t="shared" si="8"/>
        <v/>
      </c>
      <c r="AC445" s="169"/>
      <c r="AD445" s="169" t="str">
        <f t="shared" si="9"/>
        <v/>
      </c>
      <c r="AE445" s="169"/>
      <c r="AF445" s="169" t="str">
        <f t="shared" si="10"/>
        <v/>
      </c>
      <c r="AG445" s="169"/>
      <c r="AH445" s="169" t="str">
        <f t="shared" si="11"/>
        <v/>
      </c>
      <c r="AI445" s="169"/>
      <c r="AJ445" s="169" t="str">
        <f t="shared" si="12"/>
        <v/>
      </c>
    </row>
    <row r="446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 t="str">
        <f t="shared" si="2"/>
        <v/>
      </c>
      <c r="Q446" s="169"/>
      <c r="R446" s="169" t="str">
        <f t="shared" si="3"/>
        <v/>
      </c>
      <c r="S446" s="169"/>
      <c r="T446" s="169" t="str">
        <f t="shared" si="4"/>
        <v/>
      </c>
      <c r="U446" s="169"/>
      <c r="V446" s="169" t="str">
        <f t="shared" si="5"/>
        <v/>
      </c>
      <c r="W446" s="169"/>
      <c r="X446" s="169" t="str">
        <f t="shared" si="6"/>
        <v/>
      </c>
      <c r="Y446" s="169"/>
      <c r="Z446" s="169" t="str">
        <f t="shared" si="7"/>
        <v/>
      </c>
      <c r="AA446" s="169"/>
      <c r="AB446" s="169" t="str">
        <f t="shared" si="8"/>
        <v/>
      </c>
      <c r="AC446" s="169"/>
      <c r="AD446" s="169" t="str">
        <f t="shared" si="9"/>
        <v/>
      </c>
      <c r="AE446" s="169"/>
      <c r="AF446" s="169" t="str">
        <f t="shared" si="10"/>
        <v/>
      </c>
      <c r="AG446" s="169"/>
      <c r="AH446" s="169" t="str">
        <f t="shared" si="11"/>
        <v/>
      </c>
      <c r="AI446" s="169"/>
      <c r="AJ446" s="169" t="str">
        <f t="shared" si="12"/>
        <v/>
      </c>
    </row>
    <row r="447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 t="str">
        <f t="shared" si="2"/>
        <v/>
      </c>
      <c r="Q447" s="169"/>
      <c r="R447" s="169" t="str">
        <f t="shared" si="3"/>
        <v/>
      </c>
      <c r="S447" s="169"/>
      <c r="T447" s="169" t="str">
        <f t="shared" si="4"/>
        <v/>
      </c>
      <c r="U447" s="169"/>
      <c r="V447" s="169" t="str">
        <f t="shared" si="5"/>
        <v/>
      </c>
      <c r="W447" s="169"/>
      <c r="X447" s="169" t="str">
        <f t="shared" si="6"/>
        <v/>
      </c>
      <c r="Y447" s="169"/>
      <c r="Z447" s="169" t="str">
        <f t="shared" si="7"/>
        <v/>
      </c>
      <c r="AA447" s="169"/>
      <c r="AB447" s="169" t="str">
        <f t="shared" si="8"/>
        <v/>
      </c>
      <c r="AC447" s="169"/>
      <c r="AD447" s="169" t="str">
        <f t="shared" si="9"/>
        <v/>
      </c>
      <c r="AE447" s="169"/>
      <c r="AF447" s="169" t="str">
        <f t="shared" si="10"/>
        <v/>
      </c>
      <c r="AG447" s="169"/>
      <c r="AH447" s="169" t="str">
        <f t="shared" si="11"/>
        <v/>
      </c>
      <c r="AI447" s="169"/>
      <c r="AJ447" s="169" t="str">
        <f t="shared" si="12"/>
        <v/>
      </c>
    </row>
    <row r="448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 t="str">
        <f t="shared" si="2"/>
        <v/>
      </c>
      <c r="Q448" s="169"/>
      <c r="R448" s="169" t="str">
        <f t="shared" si="3"/>
        <v/>
      </c>
      <c r="S448" s="169"/>
      <c r="T448" s="169" t="str">
        <f t="shared" si="4"/>
        <v/>
      </c>
      <c r="U448" s="169"/>
      <c r="V448" s="169" t="str">
        <f t="shared" si="5"/>
        <v/>
      </c>
      <c r="W448" s="169"/>
      <c r="X448" s="169" t="str">
        <f t="shared" si="6"/>
        <v/>
      </c>
      <c r="Y448" s="169"/>
      <c r="Z448" s="169" t="str">
        <f t="shared" si="7"/>
        <v/>
      </c>
      <c r="AA448" s="169"/>
      <c r="AB448" s="169" t="str">
        <f t="shared" si="8"/>
        <v/>
      </c>
      <c r="AC448" s="169"/>
      <c r="AD448" s="169" t="str">
        <f t="shared" si="9"/>
        <v/>
      </c>
      <c r="AE448" s="169"/>
      <c r="AF448" s="169" t="str">
        <f t="shared" si="10"/>
        <v/>
      </c>
      <c r="AG448" s="169"/>
      <c r="AH448" s="169" t="str">
        <f t="shared" si="11"/>
        <v/>
      </c>
      <c r="AI448" s="169"/>
      <c r="AJ448" s="169" t="str">
        <f t="shared" si="12"/>
        <v/>
      </c>
    </row>
    <row r="449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 t="str">
        <f t="shared" si="2"/>
        <v/>
      </c>
      <c r="Q449" s="169"/>
      <c r="R449" s="169" t="str">
        <f t="shared" si="3"/>
        <v/>
      </c>
      <c r="S449" s="169"/>
      <c r="T449" s="169" t="str">
        <f t="shared" si="4"/>
        <v/>
      </c>
      <c r="U449" s="169"/>
      <c r="V449" s="169" t="str">
        <f t="shared" si="5"/>
        <v/>
      </c>
      <c r="W449" s="169"/>
      <c r="X449" s="169" t="str">
        <f t="shared" si="6"/>
        <v/>
      </c>
      <c r="Y449" s="169"/>
      <c r="Z449" s="169" t="str">
        <f t="shared" si="7"/>
        <v/>
      </c>
      <c r="AA449" s="169"/>
      <c r="AB449" s="169" t="str">
        <f t="shared" si="8"/>
        <v/>
      </c>
      <c r="AC449" s="169"/>
      <c r="AD449" s="169" t="str">
        <f t="shared" si="9"/>
        <v/>
      </c>
      <c r="AE449" s="169"/>
      <c r="AF449" s="169" t="str">
        <f t="shared" si="10"/>
        <v/>
      </c>
      <c r="AG449" s="169"/>
      <c r="AH449" s="169" t="str">
        <f t="shared" si="11"/>
        <v/>
      </c>
      <c r="AI449" s="169"/>
      <c r="AJ449" s="169" t="str">
        <f t="shared" si="12"/>
        <v/>
      </c>
    </row>
    <row r="450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 t="str">
        <f t="shared" si="2"/>
        <v/>
      </c>
      <c r="Q450" s="169"/>
      <c r="R450" s="169" t="str">
        <f t="shared" si="3"/>
        <v/>
      </c>
      <c r="S450" s="169"/>
      <c r="T450" s="169" t="str">
        <f t="shared" si="4"/>
        <v/>
      </c>
      <c r="U450" s="169"/>
      <c r="V450" s="169" t="str">
        <f t="shared" si="5"/>
        <v/>
      </c>
      <c r="W450" s="169"/>
      <c r="X450" s="169" t="str">
        <f t="shared" si="6"/>
        <v/>
      </c>
      <c r="Y450" s="169"/>
      <c r="Z450" s="169" t="str">
        <f t="shared" si="7"/>
        <v/>
      </c>
      <c r="AA450" s="169"/>
      <c r="AB450" s="169" t="str">
        <f t="shared" si="8"/>
        <v/>
      </c>
      <c r="AC450" s="169"/>
      <c r="AD450" s="169" t="str">
        <f t="shared" si="9"/>
        <v/>
      </c>
      <c r="AE450" s="169"/>
      <c r="AF450" s="169" t="str">
        <f t="shared" si="10"/>
        <v/>
      </c>
      <c r="AG450" s="169"/>
      <c r="AH450" s="169" t="str">
        <f t="shared" si="11"/>
        <v/>
      </c>
      <c r="AI450" s="169"/>
      <c r="AJ450" s="169" t="str">
        <f t="shared" si="12"/>
        <v/>
      </c>
    </row>
    <row r="45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 t="str">
        <f t="shared" si="2"/>
        <v/>
      </c>
      <c r="Q451" s="169"/>
      <c r="R451" s="169" t="str">
        <f t="shared" si="3"/>
        <v/>
      </c>
      <c r="S451" s="169"/>
      <c r="T451" s="169" t="str">
        <f t="shared" si="4"/>
        <v/>
      </c>
      <c r="U451" s="169"/>
      <c r="V451" s="169" t="str">
        <f t="shared" si="5"/>
        <v/>
      </c>
      <c r="W451" s="169"/>
      <c r="X451" s="169" t="str">
        <f t="shared" si="6"/>
        <v/>
      </c>
      <c r="Y451" s="169"/>
      <c r="Z451" s="169" t="str">
        <f t="shared" si="7"/>
        <v/>
      </c>
      <c r="AA451" s="169"/>
      <c r="AB451" s="169" t="str">
        <f t="shared" si="8"/>
        <v/>
      </c>
      <c r="AC451" s="169"/>
      <c r="AD451" s="169" t="str">
        <f t="shared" si="9"/>
        <v/>
      </c>
      <c r="AE451" s="169"/>
      <c r="AF451" s="169" t="str">
        <f t="shared" si="10"/>
        <v/>
      </c>
      <c r="AG451" s="169"/>
      <c r="AH451" s="169" t="str">
        <f t="shared" si="11"/>
        <v/>
      </c>
      <c r="AI451" s="169"/>
      <c r="AJ451" s="169" t="str">
        <f t="shared" si="12"/>
        <v/>
      </c>
    </row>
    <row r="45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 t="str">
        <f t="shared" si="2"/>
        <v/>
      </c>
      <c r="Q452" s="169"/>
      <c r="R452" s="169" t="str">
        <f t="shared" si="3"/>
        <v/>
      </c>
      <c r="S452" s="169"/>
      <c r="T452" s="169" t="str">
        <f t="shared" si="4"/>
        <v/>
      </c>
      <c r="U452" s="169"/>
      <c r="V452" s="169" t="str">
        <f t="shared" si="5"/>
        <v/>
      </c>
      <c r="W452" s="169"/>
      <c r="X452" s="169" t="str">
        <f t="shared" si="6"/>
        <v/>
      </c>
      <c r="Y452" s="169"/>
      <c r="Z452" s="169" t="str">
        <f t="shared" si="7"/>
        <v/>
      </c>
      <c r="AA452" s="169"/>
      <c r="AB452" s="169" t="str">
        <f t="shared" si="8"/>
        <v/>
      </c>
      <c r="AC452" s="169"/>
      <c r="AD452" s="169" t="str">
        <f t="shared" si="9"/>
        <v/>
      </c>
      <c r="AE452" s="169"/>
      <c r="AF452" s="169" t="str">
        <f t="shared" si="10"/>
        <v/>
      </c>
      <c r="AG452" s="169"/>
      <c r="AH452" s="169" t="str">
        <f t="shared" si="11"/>
        <v/>
      </c>
      <c r="AI452" s="169"/>
      <c r="AJ452" s="169" t="str">
        <f t="shared" si="12"/>
        <v/>
      </c>
    </row>
    <row r="453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 t="str">
        <f t="shared" si="2"/>
        <v/>
      </c>
      <c r="Q453" s="169"/>
      <c r="R453" s="169" t="str">
        <f t="shared" si="3"/>
        <v/>
      </c>
      <c r="S453" s="169"/>
      <c r="T453" s="169" t="str">
        <f t="shared" si="4"/>
        <v/>
      </c>
      <c r="U453" s="169"/>
      <c r="V453" s="169" t="str">
        <f t="shared" si="5"/>
        <v/>
      </c>
      <c r="W453" s="169"/>
      <c r="X453" s="169" t="str">
        <f t="shared" si="6"/>
        <v/>
      </c>
      <c r="Y453" s="169"/>
      <c r="Z453" s="169" t="str">
        <f t="shared" si="7"/>
        <v/>
      </c>
      <c r="AA453" s="169"/>
      <c r="AB453" s="169" t="str">
        <f t="shared" si="8"/>
        <v/>
      </c>
      <c r="AC453" s="169"/>
      <c r="AD453" s="169" t="str">
        <f t="shared" si="9"/>
        <v/>
      </c>
      <c r="AE453" s="169"/>
      <c r="AF453" s="169" t="str">
        <f t="shared" si="10"/>
        <v/>
      </c>
      <c r="AG453" s="169"/>
      <c r="AH453" s="169" t="str">
        <f t="shared" si="11"/>
        <v/>
      </c>
      <c r="AI453" s="169"/>
      <c r="AJ453" s="169" t="str">
        <f t="shared" si="12"/>
        <v/>
      </c>
    </row>
    <row r="454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 t="str">
        <f t="shared" si="2"/>
        <v/>
      </c>
      <c r="Q454" s="169"/>
      <c r="R454" s="169" t="str">
        <f t="shared" si="3"/>
        <v/>
      </c>
      <c r="S454" s="169"/>
      <c r="T454" s="169" t="str">
        <f t="shared" si="4"/>
        <v/>
      </c>
      <c r="U454" s="169"/>
      <c r="V454" s="169" t="str">
        <f t="shared" si="5"/>
        <v/>
      </c>
      <c r="W454" s="169"/>
      <c r="X454" s="169" t="str">
        <f t="shared" si="6"/>
        <v/>
      </c>
      <c r="Y454" s="169"/>
      <c r="Z454" s="169" t="str">
        <f t="shared" si="7"/>
        <v/>
      </c>
      <c r="AA454" s="169"/>
      <c r="AB454" s="169" t="str">
        <f t="shared" si="8"/>
        <v/>
      </c>
      <c r="AC454" s="169"/>
      <c r="AD454" s="169" t="str">
        <f t="shared" si="9"/>
        <v/>
      </c>
      <c r="AE454" s="169"/>
      <c r="AF454" s="169" t="str">
        <f t="shared" si="10"/>
        <v/>
      </c>
      <c r="AG454" s="169"/>
      <c r="AH454" s="169" t="str">
        <f t="shared" si="11"/>
        <v/>
      </c>
      <c r="AI454" s="169"/>
      <c r="AJ454" s="169" t="str">
        <f t="shared" si="12"/>
        <v/>
      </c>
    </row>
    <row r="45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 t="str">
        <f t="shared" si="2"/>
        <v/>
      </c>
      <c r="Q455" s="169"/>
      <c r="R455" s="169" t="str">
        <f t="shared" si="3"/>
        <v/>
      </c>
      <c r="S455" s="169"/>
      <c r="T455" s="169" t="str">
        <f t="shared" si="4"/>
        <v/>
      </c>
      <c r="U455" s="169"/>
      <c r="V455" s="169" t="str">
        <f t="shared" si="5"/>
        <v/>
      </c>
      <c r="W455" s="169"/>
      <c r="X455" s="169" t="str">
        <f t="shared" si="6"/>
        <v/>
      </c>
      <c r="Y455" s="169"/>
      <c r="Z455" s="169" t="str">
        <f t="shared" si="7"/>
        <v/>
      </c>
      <c r="AA455" s="169"/>
      <c r="AB455" s="169" t="str">
        <f t="shared" si="8"/>
        <v/>
      </c>
      <c r="AC455" s="169"/>
      <c r="AD455" s="169" t="str">
        <f t="shared" si="9"/>
        <v/>
      </c>
      <c r="AE455" s="169"/>
      <c r="AF455" s="169" t="str">
        <f t="shared" si="10"/>
        <v/>
      </c>
      <c r="AG455" s="169"/>
      <c r="AH455" s="169" t="str">
        <f t="shared" si="11"/>
        <v/>
      </c>
      <c r="AI455" s="169"/>
      <c r="AJ455" s="169" t="str">
        <f t="shared" si="12"/>
        <v/>
      </c>
    </row>
    <row r="456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 t="str">
        <f t="shared" si="2"/>
        <v/>
      </c>
      <c r="Q456" s="169"/>
      <c r="R456" s="169" t="str">
        <f t="shared" si="3"/>
        <v/>
      </c>
      <c r="S456" s="169"/>
      <c r="T456" s="169" t="str">
        <f t="shared" si="4"/>
        <v/>
      </c>
      <c r="U456" s="169"/>
      <c r="V456" s="169" t="str">
        <f t="shared" si="5"/>
        <v/>
      </c>
      <c r="W456" s="169"/>
      <c r="X456" s="169" t="str">
        <f t="shared" si="6"/>
        <v/>
      </c>
      <c r="Y456" s="169"/>
      <c r="Z456" s="169" t="str">
        <f t="shared" si="7"/>
        <v/>
      </c>
      <c r="AA456" s="169"/>
      <c r="AB456" s="169" t="str">
        <f t="shared" si="8"/>
        <v/>
      </c>
      <c r="AC456" s="169"/>
      <c r="AD456" s="169" t="str">
        <f t="shared" si="9"/>
        <v/>
      </c>
      <c r="AE456" s="169"/>
      <c r="AF456" s="169" t="str">
        <f t="shared" si="10"/>
        <v/>
      </c>
      <c r="AG456" s="169"/>
      <c r="AH456" s="169" t="str">
        <f t="shared" si="11"/>
        <v/>
      </c>
      <c r="AI456" s="169"/>
      <c r="AJ456" s="169" t="str">
        <f t="shared" si="12"/>
        <v/>
      </c>
    </row>
    <row r="457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 t="str">
        <f t="shared" si="2"/>
        <v/>
      </c>
      <c r="Q457" s="169"/>
      <c r="R457" s="169" t="str">
        <f t="shared" si="3"/>
        <v/>
      </c>
      <c r="S457" s="169"/>
      <c r="T457" s="169" t="str">
        <f t="shared" si="4"/>
        <v/>
      </c>
      <c r="U457" s="169"/>
      <c r="V457" s="169" t="str">
        <f t="shared" si="5"/>
        <v/>
      </c>
      <c r="W457" s="169"/>
      <c r="X457" s="169" t="str">
        <f t="shared" si="6"/>
        <v/>
      </c>
      <c r="Y457" s="169"/>
      <c r="Z457" s="169" t="str">
        <f t="shared" si="7"/>
        <v/>
      </c>
      <c r="AA457" s="169"/>
      <c r="AB457" s="169" t="str">
        <f t="shared" si="8"/>
        <v/>
      </c>
      <c r="AC457" s="169"/>
      <c r="AD457" s="169" t="str">
        <f t="shared" si="9"/>
        <v/>
      </c>
      <c r="AE457" s="169"/>
      <c r="AF457" s="169" t="str">
        <f t="shared" si="10"/>
        <v/>
      </c>
      <c r="AG457" s="169"/>
      <c r="AH457" s="169" t="str">
        <f t="shared" si="11"/>
        <v/>
      </c>
      <c r="AI457" s="169"/>
      <c r="AJ457" s="169" t="str">
        <f t="shared" si="12"/>
        <v/>
      </c>
    </row>
    <row r="458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 t="str">
        <f t="shared" si="2"/>
        <v/>
      </c>
      <c r="Q458" s="169"/>
      <c r="R458" s="169" t="str">
        <f t="shared" si="3"/>
        <v/>
      </c>
      <c r="S458" s="169"/>
      <c r="T458" s="169" t="str">
        <f t="shared" si="4"/>
        <v/>
      </c>
      <c r="U458" s="169"/>
      <c r="V458" s="169" t="str">
        <f t="shared" si="5"/>
        <v/>
      </c>
      <c r="W458" s="169"/>
      <c r="X458" s="169" t="str">
        <f t="shared" si="6"/>
        <v/>
      </c>
      <c r="Y458" s="169"/>
      <c r="Z458" s="169" t="str">
        <f t="shared" si="7"/>
        <v/>
      </c>
      <c r="AA458" s="169"/>
      <c r="AB458" s="169" t="str">
        <f t="shared" si="8"/>
        <v/>
      </c>
      <c r="AC458" s="169"/>
      <c r="AD458" s="169" t="str">
        <f t="shared" si="9"/>
        <v/>
      </c>
      <c r="AE458" s="169"/>
      <c r="AF458" s="169" t="str">
        <f t="shared" si="10"/>
        <v/>
      </c>
      <c r="AG458" s="169"/>
      <c r="AH458" s="169" t="str">
        <f t="shared" si="11"/>
        <v/>
      </c>
      <c r="AI458" s="169"/>
      <c r="AJ458" s="169" t="str">
        <f t="shared" si="12"/>
        <v/>
      </c>
    </row>
    <row r="459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 t="str">
        <f t="shared" si="2"/>
        <v/>
      </c>
      <c r="Q459" s="169"/>
      <c r="R459" s="169" t="str">
        <f t="shared" si="3"/>
        <v/>
      </c>
      <c r="S459" s="169"/>
      <c r="T459" s="169" t="str">
        <f t="shared" si="4"/>
        <v/>
      </c>
      <c r="U459" s="169"/>
      <c r="V459" s="169" t="str">
        <f t="shared" si="5"/>
        <v/>
      </c>
      <c r="W459" s="169"/>
      <c r="X459" s="169" t="str">
        <f t="shared" si="6"/>
        <v/>
      </c>
      <c r="Y459" s="169"/>
      <c r="Z459" s="169" t="str">
        <f t="shared" si="7"/>
        <v/>
      </c>
      <c r="AA459" s="169"/>
      <c r="AB459" s="169" t="str">
        <f t="shared" si="8"/>
        <v/>
      </c>
      <c r="AC459" s="169"/>
      <c r="AD459" s="169" t="str">
        <f t="shared" si="9"/>
        <v/>
      </c>
      <c r="AE459" s="169"/>
      <c r="AF459" s="169" t="str">
        <f t="shared" si="10"/>
        <v/>
      </c>
      <c r="AG459" s="169"/>
      <c r="AH459" s="169" t="str">
        <f t="shared" si="11"/>
        <v/>
      </c>
      <c r="AI459" s="169"/>
      <c r="AJ459" s="169" t="str">
        <f t="shared" si="12"/>
        <v/>
      </c>
    </row>
    <row r="460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 t="str">
        <f t="shared" si="2"/>
        <v/>
      </c>
      <c r="Q460" s="169"/>
      <c r="R460" s="169" t="str">
        <f t="shared" si="3"/>
        <v/>
      </c>
      <c r="S460" s="169"/>
      <c r="T460" s="169" t="str">
        <f t="shared" si="4"/>
        <v/>
      </c>
      <c r="U460" s="169"/>
      <c r="V460" s="169" t="str">
        <f t="shared" si="5"/>
        <v/>
      </c>
      <c r="W460" s="169"/>
      <c r="X460" s="169" t="str">
        <f t="shared" si="6"/>
        <v/>
      </c>
      <c r="Y460" s="169"/>
      <c r="Z460" s="169" t="str">
        <f t="shared" si="7"/>
        <v/>
      </c>
      <c r="AA460" s="169"/>
      <c r="AB460" s="169" t="str">
        <f t="shared" si="8"/>
        <v/>
      </c>
      <c r="AC460" s="169"/>
      <c r="AD460" s="169" t="str">
        <f t="shared" si="9"/>
        <v/>
      </c>
      <c r="AE460" s="169"/>
      <c r="AF460" s="169" t="str">
        <f t="shared" si="10"/>
        <v/>
      </c>
      <c r="AG460" s="169"/>
      <c r="AH460" s="169" t="str">
        <f t="shared" si="11"/>
        <v/>
      </c>
      <c r="AI460" s="169"/>
      <c r="AJ460" s="169" t="str">
        <f t="shared" si="12"/>
        <v/>
      </c>
    </row>
    <row r="46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 t="str">
        <f t="shared" si="2"/>
        <v/>
      </c>
      <c r="Q461" s="169"/>
      <c r="R461" s="169" t="str">
        <f t="shared" si="3"/>
        <v/>
      </c>
      <c r="S461" s="169"/>
      <c r="T461" s="169" t="str">
        <f t="shared" si="4"/>
        <v/>
      </c>
      <c r="U461" s="169"/>
      <c r="V461" s="169" t="str">
        <f t="shared" si="5"/>
        <v/>
      </c>
      <c r="W461" s="169"/>
      <c r="X461" s="169" t="str">
        <f t="shared" si="6"/>
        <v/>
      </c>
      <c r="Y461" s="169"/>
      <c r="Z461" s="169" t="str">
        <f t="shared" si="7"/>
        <v/>
      </c>
      <c r="AA461" s="169"/>
      <c r="AB461" s="169" t="str">
        <f t="shared" si="8"/>
        <v/>
      </c>
      <c r="AC461" s="169"/>
      <c r="AD461" s="169" t="str">
        <f t="shared" si="9"/>
        <v/>
      </c>
      <c r="AE461" s="169"/>
      <c r="AF461" s="169" t="str">
        <f t="shared" si="10"/>
        <v/>
      </c>
      <c r="AG461" s="169"/>
      <c r="AH461" s="169" t="str">
        <f t="shared" si="11"/>
        <v/>
      </c>
      <c r="AI461" s="169"/>
      <c r="AJ461" s="169" t="str">
        <f t="shared" si="12"/>
        <v/>
      </c>
    </row>
    <row r="46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 t="str">
        <f t="shared" si="2"/>
        <v/>
      </c>
      <c r="Q462" s="169"/>
      <c r="R462" s="169" t="str">
        <f t="shared" si="3"/>
        <v/>
      </c>
      <c r="S462" s="169"/>
      <c r="T462" s="169" t="str">
        <f t="shared" si="4"/>
        <v/>
      </c>
      <c r="U462" s="169"/>
      <c r="V462" s="169" t="str">
        <f t="shared" si="5"/>
        <v/>
      </c>
      <c r="W462" s="169"/>
      <c r="X462" s="169" t="str">
        <f t="shared" si="6"/>
        <v/>
      </c>
      <c r="Y462" s="169"/>
      <c r="Z462" s="169" t="str">
        <f t="shared" si="7"/>
        <v/>
      </c>
      <c r="AA462" s="169"/>
      <c r="AB462" s="169" t="str">
        <f t="shared" si="8"/>
        <v/>
      </c>
      <c r="AC462" s="169"/>
      <c r="AD462" s="169" t="str">
        <f t="shared" si="9"/>
        <v/>
      </c>
      <c r="AE462" s="169"/>
      <c r="AF462" s="169" t="str">
        <f t="shared" si="10"/>
        <v/>
      </c>
      <c r="AG462" s="169"/>
      <c r="AH462" s="169" t="str">
        <f t="shared" si="11"/>
        <v/>
      </c>
      <c r="AI462" s="169"/>
      <c r="AJ462" s="169" t="str">
        <f t="shared" si="12"/>
        <v/>
      </c>
    </row>
    <row r="463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 t="str">
        <f t="shared" si="2"/>
        <v/>
      </c>
      <c r="Q463" s="169"/>
      <c r="R463" s="169" t="str">
        <f t="shared" si="3"/>
        <v/>
      </c>
      <c r="S463" s="169"/>
      <c r="T463" s="169" t="str">
        <f t="shared" si="4"/>
        <v/>
      </c>
      <c r="U463" s="169"/>
      <c r="V463" s="169" t="str">
        <f t="shared" si="5"/>
        <v/>
      </c>
      <c r="W463" s="169"/>
      <c r="X463" s="169" t="str">
        <f t="shared" si="6"/>
        <v/>
      </c>
      <c r="Y463" s="169"/>
      <c r="Z463" s="169" t="str">
        <f t="shared" si="7"/>
        <v/>
      </c>
      <c r="AA463" s="169"/>
      <c r="AB463" s="169" t="str">
        <f t="shared" si="8"/>
        <v/>
      </c>
      <c r="AC463" s="169"/>
      <c r="AD463" s="169" t="str">
        <f t="shared" si="9"/>
        <v/>
      </c>
      <c r="AE463" s="169"/>
      <c r="AF463" s="169" t="str">
        <f t="shared" si="10"/>
        <v/>
      </c>
      <c r="AG463" s="169"/>
      <c r="AH463" s="169" t="str">
        <f t="shared" si="11"/>
        <v/>
      </c>
      <c r="AI463" s="169"/>
      <c r="AJ463" s="169" t="str">
        <f t="shared" si="12"/>
        <v/>
      </c>
    </row>
    <row r="464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 t="str">
        <f t="shared" si="2"/>
        <v/>
      </c>
      <c r="Q464" s="169"/>
      <c r="R464" s="169" t="str">
        <f t="shared" si="3"/>
        <v/>
      </c>
      <c r="S464" s="169"/>
      <c r="T464" s="169" t="str">
        <f t="shared" si="4"/>
        <v/>
      </c>
      <c r="U464" s="169"/>
      <c r="V464" s="169" t="str">
        <f t="shared" si="5"/>
        <v/>
      </c>
      <c r="W464" s="169"/>
      <c r="X464" s="169" t="str">
        <f t="shared" si="6"/>
        <v/>
      </c>
      <c r="Y464" s="169"/>
      <c r="Z464" s="169" t="str">
        <f t="shared" si="7"/>
        <v/>
      </c>
      <c r="AA464" s="169"/>
      <c r="AB464" s="169" t="str">
        <f t="shared" si="8"/>
        <v/>
      </c>
      <c r="AC464" s="169"/>
      <c r="AD464" s="169" t="str">
        <f t="shared" si="9"/>
        <v/>
      </c>
      <c r="AE464" s="169"/>
      <c r="AF464" s="169" t="str">
        <f t="shared" si="10"/>
        <v/>
      </c>
      <c r="AG464" s="169"/>
      <c r="AH464" s="169" t="str">
        <f t="shared" si="11"/>
        <v/>
      </c>
      <c r="AI464" s="169"/>
      <c r="AJ464" s="169" t="str">
        <f t="shared" si="12"/>
        <v/>
      </c>
    </row>
    <row r="46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 t="str">
        <f t="shared" si="2"/>
        <v/>
      </c>
      <c r="Q465" s="169"/>
      <c r="R465" s="169" t="str">
        <f t="shared" si="3"/>
        <v/>
      </c>
      <c r="S465" s="169"/>
      <c r="T465" s="169" t="str">
        <f t="shared" si="4"/>
        <v/>
      </c>
      <c r="U465" s="169"/>
      <c r="V465" s="169" t="str">
        <f t="shared" si="5"/>
        <v/>
      </c>
      <c r="W465" s="169"/>
      <c r="X465" s="169" t="str">
        <f t="shared" si="6"/>
        <v/>
      </c>
      <c r="Y465" s="169"/>
      <c r="Z465" s="169" t="str">
        <f t="shared" si="7"/>
        <v/>
      </c>
      <c r="AA465" s="169"/>
      <c r="AB465" s="169" t="str">
        <f t="shared" si="8"/>
        <v/>
      </c>
      <c r="AC465" s="169"/>
      <c r="AD465" s="169" t="str">
        <f t="shared" si="9"/>
        <v/>
      </c>
      <c r="AE465" s="169"/>
      <c r="AF465" s="169" t="str">
        <f t="shared" si="10"/>
        <v/>
      </c>
      <c r="AG465" s="169"/>
      <c r="AH465" s="169" t="str">
        <f t="shared" si="11"/>
        <v/>
      </c>
      <c r="AI465" s="169"/>
      <c r="AJ465" s="169" t="str">
        <f t="shared" si="12"/>
        <v/>
      </c>
    </row>
    <row r="466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 t="str">
        <f t="shared" si="2"/>
        <v/>
      </c>
      <c r="Q466" s="169"/>
      <c r="R466" s="169" t="str">
        <f t="shared" si="3"/>
        <v/>
      </c>
      <c r="S466" s="169"/>
      <c r="T466" s="169" t="str">
        <f t="shared" si="4"/>
        <v/>
      </c>
      <c r="U466" s="169"/>
      <c r="V466" s="169" t="str">
        <f t="shared" si="5"/>
        <v/>
      </c>
      <c r="W466" s="169"/>
      <c r="X466" s="169" t="str">
        <f t="shared" si="6"/>
        <v/>
      </c>
      <c r="Y466" s="169"/>
      <c r="Z466" s="169" t="str">
        <f t="shared" si="7"/>
        <v/>
      </c>
      <c r="AA466" s="169"/>
      <c r="AB466" s="169" t="str">
        <f t="shared" si="8"/>
        <v/>
      </c>
      <c r="AC466" s="169"/>
      <c r="AD466" s="169" t="str">
        <f t="shared" si="9"/>
        <v/>
      </c>
      <c r="AE466" s="169"/>
      <c r="AF466" s="169" t="str">
        <f t="shared" si="10"/>
        <v/>
      </c>
      <c r="AG466" s="169"/>
      <c r="AH466" s="169" t="str">
        <f t="shared" si="11"/>
        <v/>
      </c>
      <c r="AI466" s="169"/>
      <c r="AJ466" s="169" t="str">
        <f t="shared" si="12"/>
        <v/>
      </c>
    </row>
    <row r="467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 t="str">
        <f t="shared" si="2"/>
        <v/>
      </c>
      <c r="Q467" s="169"/>
      <c r="R467" s="169" t="str">
        <f t="shared" si="3"/>
        <v/>
      </c>
      <c r="S467" s="169"/>
      <c r="T467" s="169" t="str">
        <f t="shared" si="4"/>
        <v/>
      </c>
      <c r="U467" s="169"/>
      <c r="V467" s="169" t="str">
        <f t="shared" si="5"/>
        <v/>
      </c>
      <c r="W467" s="169"/>
      <c r="X467" s="169" t="str">
        <f t="shared" si="6"/>
        <v/>
      </c>
      <c r="Y467" s="169"/>
      <c r="Z467" s="169" t="str">
        <f t="shared" si="7"/>
        <v/>
      </c>
      <c r="AA467" s="169"/>
      <c r="AB467" s="169" t="str">
        <f t="shared" si="8"/>
        <v/>
      </c>
      <c r="AC467" s="169"/>
      <c r="AD467" s="169" t="str">
        <f t="shared" si="9"/>
        <v/>
      </c>
      <c r="AE467" s="169"/>
      <c r="AF467" s="169" t="str">
        <f t="shared" si="10"/>
        <v/>
      </c>
      <c r="AG467" s="169"/>
      <c r="AH467" s="169" t="str">
        <f t="shared" si="11"/>
        <v/>
      </c>
      <c r="AI467" s="169"/>
      <c r="AJ467" s="169" t="str">
        <f t="shared" si="12"/>
        <v/>
      </c>
    </row>
    <row r="468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 t="str">
        <f t="shared" si="2"/>
        <v/>
      </c>
      <c r="Q468" s="169"/>
      <c r="R468" s="169" t="str">
        <f t="shared" si="3"/>
        <v/>
      </c>
      <c r="S468" s="169"/>
      <c r="T468" s="169" t="str">
        <f t="shared" si="4"/>
        <v/>
      </c>
      <c r="U468" s="169"/>
      <c r="V468" s="169" t="str">
        <f t="shared" si="5"/>
        <v/>
      </c>
      <c r="W468" s="169"/>
      <c r="X468" s="169" t="str">
        <f t="shared" si="6"/>
        <v/>
      </c>
      <c r="Y468" s="169"/>
      <c r="Z468" s="169" t="str">
        <f t="shared" si="7"/>
        <v/>
      </c>
      <c r="AA468" s="169"/>
      <c r="AB468" s="169" t="str">
        <f t="shared" si="8"/>
        <v/>
      </c>
      <c r="AC468" s="169"/>
      <c r="AD468" s="169" t="str">
        <f t="shared" si="9"/>
        <v/>
      </c>
      <c r="AE468" s="169"/>
      <c r="AF468" s="169" t="str">
        <f t="shared" si="10"/>
        <v/>
      </c>
      <c r="AG468" s="169"/>
      <c r="AH468" s="169" t="str">
        <f t="shared" si="11"/>
        <v/>
      </c>
      <c r="AI468" s="169"/>
      <c r="AJ468" s="169" t="str">
        <f t="shared" si="12"/>
        <v/>
      </c>
    </row>
    <row r="469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 t="str">
        <f t="shared" si="2"/>
        <v/>
      </c>
      <c r="Q469" s="169"/>
      <c r="R469" s="169" t="str">
        <f t="shared" si="3"/>
        <v/>
      </c>
      <c r="S469" s="169"/>
      <c r="T469" s="169" t="str">
        <f t="shared" si="4"/>
        <v/>
      </c>
      <c r="U469" s="169"/>
      <c r="V469" s="169" t="str">
        <f t="shared" si="5"/>
        <v/>
      </c>
      <c r="W469" s="169"/>
      <c r="X469" s="169" t="str">
        <f t="shared" si="6"/>
        <v/>
      </c>
      <c r="Y469" s="169"/>
      <c r="Z469" s="169" t="str">
        <f t="shared" si="7"/>
        <v/>
      </c>
      <c r="AA469" s="169"/>
      <c r="AB469" s="169" t="str">
        <f t="shared" si="8"/>
        <v/>
      </c>
      <c r="AC469" s="169"/>
      <c r="AD469" s="169" t="str">
        <f t="shared" si="9"/>
        <v/>
      </c>
      <c r="AE469" s="169"/>
      <c r="AF469" s="169" t="str">
        <f t="shared" si="10"/>
        <v/>
      </c>
      <c r="AG469" s="169"/>
      <c r="AH469" s="169" t="str">
        <f t="shared" si="11"/>
        <v/>
      </c>
      <c r="AI469" s="169"/>
      <c r="AJ469" s="169" t="str">
        <f t="shared" si="12"/>
        <v/>
      </c>
    </row>
    <row r="470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 t="str">
        <f t="shared" si="2"/>
        <v/>
      </c>
      <c r="Q470" s="169"/>
      <c r="R470" s="169" t="str">
        <f t="shared" si="3"/>
        <v/>
      </c>
      <c r="S470" s="169"/>
      <c r="T470" s="169" t="str">
        <f t="shared" si="4"/>
        <v/>
      </c>
      <c r="U470" s="169"/>
      <c r="V470" s="169" t="str">
        <f t="shared" si="5"/>
        <v/>
      </c>
      <c r="W470" s="169"/>
      <c r="X470" s="169" t="str">
        <f t="shared" si="6"/>
        <v/>
      </c>
      <c r="Y470" s="169"/>
      <c r="Z470" s="169" t="str">
        <f t="shared" si="7"/>
        <v/>
      </c>
      <c r="AA470" s="169"/>
      <c r="AB470" s="169" t="str">
        <f t="shared" si="8"/>
        <v/>
      </c>
      <c r="AC470" s="169"/>
      <c r="AD470" s="169" t="str">
        <f t="shared" si="9"/>
        <v/>
      </c>
      <c r="AE470" s="169"/>
      <c r="AF470" s="169" t="str">
        <f t="shared" si="10"/>
        <v/>
      </c>
      <c r="AG470" s="169"/>
      <c r="AH470" s="169" t="str">
        <f t="shared" si="11"/>
        <v/>
      </c>
      <c r="AI470" s="169"/>
      <c r="AJ470" s="169" t="str">
        <f t="shared" si="12"/>
        <v/>
      </c>
    </row>
    <row r="47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 t="str">
        <f t="shared" si="2"/>
        <v/>
      </c>
      <c r="Q471" s="169"/>
      <c r="R471" s="169" t="str">
        <f t="shared" si="3"/>
        <v/>
      </c>
      <c r="S471" s="169"/>
      <c r="T471" s="169" t="str">
        <f t="shared" si="4"/>
        <v/>
      </c>
      <c r="U471" s="169"/>
      <c r="V471" s="169" t="str">
        <f t="shared" si="5"/>
        <v/>
      </c>
      <c r="W471" s="169"/>
      <c r="X471" s="169" t="str">
        <f t="shared" si="6"/>
        <v/>
      </c>
      <c r="Y471" s="169"/>
      <c r="Z471" s="169" t="str">
        <f t="shared" si="7"/>
        <v/>
      </c>
      <c r="AA471" s="169"/>
      <c r="AB471" s="169" t="str">
        <f t="shared" si="8"/>
        <v/>
      </c>
      <c r="AC471" s="169"/>
      <c r="AD471" s="169" t="str">
        <f t="shared" si="9"/>
        <v/>
      </c>
      <c r="AE471" s="169"/>
      <c r="AF471" s="169" t="str">
        <f t="shared" si="10"/>
        <v/>
      </c>
      <c r="AG471" s="169"/>
      <c r="AH471" s="169" t="str">
        <f t="shared" si="11"/>
        <v/>
      </c>
      <c r="AI471" s="169"/>
      <c r="AJ471" s="169" t="str">
        <f t="shared" si="12"/>
        <v/>
      </c>
    </row>
    <row r="47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 t="str">
        <f t="shared" si="2"/>
        <v/>
      </c>
      <c r="Q472" s="169"/>
      <c r="R472" s="169" t="str">
        <f t="shared" si="3"/>
        <v/>
      </c>
      <c r="S472" s="169"/>
      <c r="T472" s="169" t="str">
        <f t="shared" si="4"/>
        <v/>
      </c>
      <c r="U472" s="169"/>
      <c r="V472" s="169" t="str">
        <f t="shared" si="5"/>
        <v/>
      </c>
      <c r="W472" s="169"/>
      <c r="X472" s="169" t="str">
        <f t="shared" si="6"/>
        <v/>
      </c>
      <c r="Y472" s="169"/>
      <c r="Z472" s="169" t="str">
        <f t="shared" si="7"/>
        <v/>
      </c>
      <c r="AA472" s="169"/>
      <c r="AB472" s="169" t="str">
        <f t="shared" si="8"/>
        <v/>
      </c>
      <c r="AC472" s="169"/>
      <c r="AD472" s="169" t="str">
        <f t="shared" si="9"/>
        <v/>
      </c>
      <c r="AE472" s="169"/>
      <c r="AF472" s="169" t="str">
        <f t="shared" si="10"/>
        <v/>
      </c>
      <c r="AG472" s="169"/>
      <c r="AH472" s="169" t="str">
        <f t="shared" si="11"/>
        <v/>
      </c>
      <c r="AI472" s="169"/>
      <c r="AJ472" s="169" t="str">
        <f t="shared" si="12"/>
        <v/>
      </c>
    </row>
    <row r="473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 t="str">
        <f t="shared" si="2"/>
        <v/>
      </c>
      <c r="Q473" s="169"/>
      <c r="R473" s="169" t="str">
        <f t="shared" si="3"/>
        <v/>
      </c>
      <c r="S473" s="169"/>
      <c r="T473" s="169" t="str">
        <f t="shared" si="4"/>
        <v/>
      </c>
      <c r="U473" s="169"/>
      <c r="V473" s="169" t="str">
        <f t="shared" si="5"/>
        <v/>
      </c>
      <c r="W473" s="169"/>
      <c r="X473" s="169" t="str">
        <f t="shared" si="6"/>
        <v/>
      </c>
      <c r="Y473" s="169"/>
      <c r="Z473" s="169" t="str">
        <f t="shared" si="7"/>
        <v/>
      </c>
      <c r="AA473" s="169"/>
      <c r="AB473" s="169" t="str">
        <f t="shared" si="8"/>
        <v/>
      </c>
      <c r="AC473" s="169"/>
      <c r="AD473" s="169" t="str">
        <f t="shared" si="9"/>
        <v/>
      </c>
      <c r="AE473" s="169"/>
      <c r="AF473" s="169" t="str">
        <f t="shared" si="10"/>
        <v/>
      </c>
      <c r="AG473" s="169"/>
      <c r="AH473" s="169" t="str">
        <f t="shared" si="11"/>
        <v/>
      </c>
      <c r="AI473" s="169"/>
      <c r="AJ473" s="169" t="str">
        <f t="shared" si="12"/>
        <v/>
      </c>
    </row>
    <row r="474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 t="str">
        <f t="shared" si="2"/>
        <v/>
      </c>
      <c r="Q474" s="169"/>
      <c r="R474" s="169" t="str">
        <f t="shared" si="3"/>
        <v/>
      </c>
      <c r="S474" s="169"/>
      <c r="T474" s="169" t="str">
        <f t="shared" si="4"/>
        <v/>
      </c>
      <c r="U474" s="169"/>
      <c r="V474" s="169" t="str">
        <f t="shared" si="5"/>
        <v/>
      </c>
      <c r="W474" s="169"/>
      <c r="X474" s="169" t="str">
        <f t="shared" si="6"/>
        <v/>
      </c>
      <c r="Y474" s="169"/>
      <c r="Z474" s="169" t="str">
        <f t="shared" si="7"/>
        <v/>
      </c>
      <c r="AA474" s="169"/>
      <c r="AB474" s="169" t="str">
        <f t="shared" si="8"/>
        <v/>
      </c>
      <c r="AC474" s="169"/>
      <c r="AD474" s="169" t="str">
        <f t="shared" si="9"/>
        <v/>
      </c>
      <c r="AE474" s="169"/>
      <c r="AF474" s="169" t="str">
        <f t="shared" si="10"/>
        <v/>
      </c>
      <c r="AG474" s="169"/>
      <c r="AH474" s="169" t="str">
        <f t="shared" si="11"/>
        <v/>
      </c>
      <c r="AI474" s="169"/>
      <c r="AJ474" s="169" t="str">
        <f t="shared" si="12"/>
        <v/>
      </c>
    </row>
    <row r="47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 t="str">
        <f t="shared" si="2"/>
        <v/>
      </c>
      <c r="Q475" s="169"/>
      <c r="R475" s="169" t="str">
        <f t="shared" si="3"/>
        <v/>
      </c>
      <c r="S475" s="169"/>
      <c r="T475" s="169" t="str">
        <f t="shared" si="4"/>
        <v/>
      </c>
      <c r="U475" s="169"/>
      <c r="V475" s="169" t="str">
        <f t="shared" si="5"/>
        <v/>
      </c>
      <c r="W475" s="169"/>
      <c r="X475" s="169" t="str">
        <f t="shared" si="6"/>
        <v/>
      </c>
      <c r="Y475" s="169"/>
      <c r="Z475" s="169" t="str">
        <f t="shared" si="7"/>
        <v/>
      </c>
      <c r="AA475" s="169"/>
      <c r="AB475" s="169" t="str">
        <f t="shared" si="8"/>
        <v/>
      </c>
      <c r="AC475" s="169"/>
      <c r="AD475" s="169" t="str">
        <f t="shared" si="9"/>
        <v/>
      </c>
      <c r="AE475" s="169"/>
      <c r="AF475" s="169" t="str">
        <f t="shared" si="10"/>
        <v/>
      </c>
      <c r="AG475" s="169"/>
      <c r="AH475" s="169" t="str">
        <f t="shared" si="11"/>
        <v/>
      </c>
      <c r="AI475" s="169"/>
      <c r="AJ475" s="169" t="str">
        <f t="shared" si="12"/>
        <v/>
      </c>
    </row>
    <row r="476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 t="str">
        <f t="shared" si="2"/>
        <v/>
      </c>
      <c r="Q476" s="169"/>
      <c r="R476" s="169" t="str">
        <f t="shared" si="3"/>
        <v/>
      </c>
      <c r="S476" s="169"/>
      <c r="T476" s="169" t="str">
        <f t="shared" si="4"/>
        <v/>
      </c>
      <c r="U476" s="169"/>
      <c r="V476" s="169" t="str">
        <f t="shared" si="5"/>
        <v/>
      </c>
      <c r="W476" s="169"/>
      <c r="X476" s="169" t="str">
        <f t="shared" si="6"/>
        <v/>
      </c>
      <c r="Y476" s="169"/>
      <c r="Z476" s="169" t="str">
        <f t="shared" si="7"/>
        <v/>
      </c>
      <c r="AA476" s="169"/>
      <c r="AB476" s="169" t="str">
        <f t="shared" si="8"/>
        <v/>
      </c>
      <c r="AC476" s="169"/>
      <c r="AD476" s="169" t="str">
        <f t="shared" si="9"/>
        <v/>
      </c>
      <c r="AE476" s="169"/>
      <c r="AF476" s="169" t="str">
        <f t="shared" si="10"/>
        <v/>
      </c>
      <c r="AG476" s="169"/>
      <c r="AH476" s="169" t="str">
        <f t="shared" si="11"/>
        <v/>
      </c>
      <c r="AI476" s="169"/>
      <c r="AJ476" s="169" t="str">
        <f t="shared" si="12"/>
        <v/>
      </c>
    </row>
    <row r="477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 t="str">
        <f t="shared" si="2"/>
        <v/>
      </c>
      <c r="Q477" s="169"/>
      <c r="R477" s="169" t="str">
        <f t="shared" si="3"/>
        <v/>
      </c>
      <c r="S477" s="169"/>
      <c r="T477" s="169" t="str">
        <f t="shared" si="4"/>
        <v/>
      </c>
      <c r="U477" s="169"/>
      <c r="V477" s="169" t="str">
        <f t="shared" si="5"/>
        <v/>
      </c>
      <c r="W477" s="169"/>
      <c r="X477" s="169" t="str">
        <f t="shared" si="6"/>
        <v/>
      </c>
      <c r="Y477" s="169"/>
      <c r="Z477" s="169" t="str">
        <f t="shared" si="7"/>
        <v/>
      </c>
      <c r="AA477" s="169"/>
      <c r="AB477" s="169" t="str">
        <f t="shared" si="8"/>
        <v/>
      </c>
      <c r="AC477" s="169"/>
      <c r="AD477" s="169" t="str">
        <f t="shared" si="9"/>
        <v/>
      </c>
      <c r="AE477" s="169"/>
      <c r="AF477" s="169" t="str">
        <f t="shared" si="10"/>
        <v/>
      </c>
      <c r="AG477" s="169"/>
      <c r="AH477" s="169" t="str">
        <f t="shared" si="11"/>
        <v/>
      </c>
      <c r="AI477" s="169"/>
      <c r="AJ477" s="169" t="str">
        <f t="shared" si="12"/>
        <v/>
      </c>
    </row>
    <row r="478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 t="str">
        <f t="shared" si="2"/>
        <v/>
      </c>
      <c r="Q478" s="169"/>
      <c r="R478" s="169" t="str">
        <f t="shared" si="3"/>
        <v/>
      </c>
      <c r="S478" s="169"/>
      <c r="T478" s="169" t="str">
        <f t="shared" si="4"/>
        <v/>
      </c>
      <c r="U478" s="169"/>
      <c r="V478" s="169" t="str">
        <f t="shared" si="5"/>
        <v/>
      </c>
      <c r="W478" s="169"/>
      <c r="X478" s="169" t="str">
        <f t="shared" si="6"/>
        <v/>
      </c>
      <c r="Y478" s="169"/>
      <c r="Z478" s="169" t="str">
        <f t="shared" si="7"/>
        <v/>
      </c>
      <c r="AA478" s="169"/>
      <c r="AB478" s="169" t="str">
        <f t="shared" si="8"/>
        <v/>
      </c>
      <c r="AC478" s="169"/>
      <c r="AD478" s="169" t="str">
        <f t="shared" si="9"/>
        <v/>
      </c>
      <c r="AE478" s="169"/>
      <c r="AF478" s="169" t="str">
        <f t="shared" si="10"/>
        <v/>
      </c>
      <c r="AG478" s="169"/>
      <c r="AH478" s="169" t="str">
        <f t="shared" si="11"/>
        <v/>
      </c>
      <c r="AI478" s="169"/>
      <c r="AJ478" s="169" t="str">
        <f t="shared" si="12"/>
        <v/>
      </c>
    </row>
    <row r="479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 t="str">
        <f t="shared" si="2"/>
        <v/>
      </c>
      <c r="Q479" s="169"/>
      <c r="R479" s="169" t="str">
        <f t="shared" si="3"/>
        <v/>
      </c>
      <c r="S479" s="169"/>
      <c r="T479" s="169" t="str">
        <f t="shared" si="4"/>
        <v/>
      </c>
      <c r="U479" s="169"/>
      <c r="V479" s="169" t="str">
        <f t="shared" si="5"/>
        <v/>
      </c>
      <c r="W479" s="169"/>
      <c r="X479" s="169" t="str">
        <f t="shared" si="6"/>
        <v/>
      </c>
      <c r="Y479" s="169"/>
      <c r="Z479" s="169" t="str">
        <f t="shared" si="7"/>
        <v/>
      </c>
      <c r="AA479" s="169"/>
      <c r="AB479" s="169" t="str">
        <f t="shared" si="8"/>
        <v/>
      </c>
      <c r="AC479" s="169"/>
      <c r="AD479" s="169" t="str">
        <f t="shared" si="9"/>
        <v/>
      </c>
      <c r="AE479" s="169"/>
      <c r="AF479" s="169" t="str">
        <f t="shared" si="10"/>
        <v/>
      </c>
      <c r="AG479" s="169"/>
      <c r="AH479" s="169" t="str">
        <f t="shared" si="11"/>
        <v/>
      </c>
      <c r="AI479" s="169"/>
      <c r="AJ479" s="169" t="str">
        <f t="shared" si="12"/>
        <v/>
      </c>
    </row>
    <row r="480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 t="str">
        <f t="shared" si="2"/>
        <v/>
      </c>
      <c r="Q480" s="169"/>
      <c r="R480" s="169" t="str">
        <f t="shared" si="3"/>
        <v/>
      </c>
      <c r="S480" s="169"/>
      <c r="T480" s="169" t="str">
        <f t="shared" si="4"/>
        <v/>
      </c>
      <c r="U480" s="169"/>
      <c r="V480" s="169" t="str">
        <f t="shared" si="5"/>
        <v/>
      </c>
      <c r="W480" s="169"/>
      <c r="X480" s="169" t="str">
        <f t="shared" si="6"/>
        <v/>
      </c>
      <c r="Y480" s="169"/>
      <c r="Z480" s="169" t="str">
        <f t="shared" si="7"/>
        <v/>
      </c>
      <c r="AA480" s="169"/>
      <c r="AB480" s="169" t="str">
        <f t="shared" si="8"/>
        <v/>
      </c>
      <c r="AC480" s="169"/>
      <c r="AD480" s="169" t="str">
        <f t="shared" si="9"/>
        <v/>
      </c>
      <c r="AE480" s="169"/>
      <c r="AF480" s="169" t="str">
        <f t="shared" si="10"/>
        <v/>
      </c>
      <c r="AG480" s="169"/>
      <c r="AH480" s="169" t="str">
        <f t="shared" si="11"/>
        <v/>
      </c>
      <c r="AI480" s="169"/>
      <c r="AJ480" s="169" t="str">
        <f t="shared" si="12"/>
        <v/>
      </c>
    </row>
    <row r="48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 t="str">
        <f t="shared" si="2"/>
        <v/>
      </c>
      <c r="Q481" s="169"/>
      <c r="R481" s="169" t="str">
        <f t="shared" si="3"/>
        <v/>
      </c>
      <c r="S481" s="169"/>
      <c r="T481" s="169" t="str">
        <f t="shared" si="4"/>
        <v/>
      </c>
      <c r="U481" s="169"/>
      <c r="V481" s="169" t="str">
        <f t="shared" si="5"/>
        <v/>
      </c>
      <c r="W481" s="169"/>
      <c r="X481" s="169" t="str">
        <f t="shared" si="6"/>
        <v/>
      </c>
      <c r="Y481" s="169"/>
      <c r="Z481" s="169" t="str">
        <f t="shared" si="7"/>
        <v/>
      </c>
      <c r="AA481" s="169"/>
      <c r="AB481" s="169" t="str">
        <f t="shared" si="8"/>
        <v/>
      </c>
      <c r="AC481" s="169"/>
      <c r="AD481" s="169" t="str">
        <f t="shared" si="9"/>
        <v/>
      </c>
      <c r="AE481" s="169"/>
      <c r="AF481" s="169" t="str">
        <f t="shared" si="10"/>
        <v/>
      </c>
      <c r="AG481" s="169"/>
      <c r="AH481" s="169" t="str">
        <f t="shared" si="11"/>
        <v/>
      </c>
      <c r="AI481" s="169"/>
      <c r="AJ481" s="169" t="str">
        <f t="shared" si="12"/>
        <v/>
      </c>
    </row>
    <row r="48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 t="str">
        <f t="shared" si="2"/>
        <v/>
      </c>
      <c r="Q482" s="169"/>
      <c r="R482" s="169" t="str">
        <f t="shared" si="3"/>
        <v/>
      </c>
      <c r="S482" s="169"/>
      <c r="T482" s="169" t="str">
        <f t="shared" si="4"/>
        <v/>
      </c>
      <c r="U482" s="169"/>
      <c r="V482" s="169" t="str">
        <f t="shared" si="5"/>
        <v/>
      </c>
      <c r="W482" s="169"/>
      <c r="X482" s="169" t="str">
        <f t="shared" si="6"/>
        <v/>
      </c>
      <c r="Y482" s="169"/>
      <c r="Z482" s="169" t="str">
        <f t="shared" si="7"/>
        <v/>
      </c>
      <c r="AA482" s="169"/>
      <c r="AB482" s="169" t="str">
        <f t="shared" si="8"/>
        <v/>
      </c>
      <c r="AC482" s="169"/>
      <c r="AD482" s="169" t="str">
        <f t="shared" si="9"/>
        <v/>
      </c>
      <c r="AE482" s="169"/>
      <c r="AF482" s="169" t="str">
        <f t="shared" si="10"/>
        <v/>
      </c>
      <c r="AG482" s="169"/>
      <c r="AH482" s="169" t="str">
        <f t="shared" si="11"/>
        <v/>
      </c>
      <c r="AI482" s="169"/>
      <c r="AJ482" s="169" t="str">
        <f t="shared" si="12"/>
        <v/>
      </c>
    </row>
    <row r="483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 t="str">
        <f t="shared" si="2"/>
        <v/>
      </c>
      <c r="Q483" s="169"/>
      <c r="R483" s="169" t="str">
        <f t="shared" si="3"/>
        <v/>
      </c>
      <c r="S483" s="169"/>
      <c r="T483" s="169" t="str">
        <f t="shared" si="4"/>
        <v/>
      </c>
      <c r="U483" s="169"/>
      <c r="V483" s="169" t="str">
        <f t="shared" si="5"/>
        <v/>
      </c>
      <c r="W483" s="169"/>
      <c r="X483" s="169" t="str">
        <f t="shared" si="6"/>
        <v/>
      </c>
      <c r="Y483" s="169"/>
      <c r="Z483" s="169" t="str">
        <f t="shared" si="7"/>
        <v/>
      </c>
      <c r="AA483" s="169"/>
      <c r="AB483" s="169" t="str">
        <f t="shared" si="8"/>
        <v/>
      </c>
      <c r="AC483" s="169"/>
      <c r="AD483" s="169" t="str">
        <f t="shared" si="9"/>
        <v/>
      </c>
      <c r="AE483" s="169"/>
      <c r="AF483" s="169" t="str">
        <f t="shared" si="10"/>
        <v/>
      </c>
      <c r="AG483" s="169"/>
      <c r="AH483" s="169" t="str">
        <f t="shared" si="11"/>
        <v/>
      </c>
      <c r="AI483" s="169"/>
      <c r="AJ483" s="169" t="str">
        <f t="shared" si="12"/>
        <v/>
      </c>
    </row>
    <row r="484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 t="str">
        <f t="shared" si="2"/>
        <v/>
      </c>
      <c r="Q484" s="169"/>
      <c r="R484" s="169" t="str">
        <f t="shared" si="3"/>
        <v/>
      </c>
      <c r="S484" s="169"/>
      <c r="T484" s="169" t="str">
        <f t="shared" si="4"/>
        <v/>
      </c>
      <c r="U484" s="169"/>
      <c r="V484" s="169" t="str">
        <f t="shared" si="5"/>
        <v/>
      </c>
      <c r="W484" s="169"/>
      <c r="X484" s="169" t="str">
        <f t="shared" si="6"/>
        <v/>
      </c>
      <c r="Y484" s="169"/>
      <c r="Z484" s="169" t="str">
        <f t="shared" si="7"/>
        <v/>
      </c>
      <c r="AA484" s="169"/>
      <c r="AB484" s="169" t="str">
        <f t="shared" si="8"/>
        <v/>
      </c>
      <c r="AC484" s="169"/>
      <c r="AD484" s="169" t="str">
        <f t="shared" si="9"/>
        <v/>
      </c>
      <c r="AE484" s="169"/>
      <c r="AF484" s="169" t="str">
        <f t="shared" si="10"/>
        <v/>
      </c>
      <c r="AG484" s="169"/>
      <c r="AH484" s="169" t="str">
        <f t="shared" si="11"/>
        <v/>
      </c>
      <c r="AI484" s="169"/>
      <c r="AJ484" s="169" t="str">
        <f t="shared" si="12"/>
        <v/>
      </c>
    </row>
    <row r="48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 t="str">
        <f t="shared" si="2"/>
        <v/>
      </c>
      <c r="Q485" s="169"/>
      <c r="R485" s="169" t="str">
        <f t="shared" si="3"/>
        <v/>
      </c>
      <c r="S485" s="169"/>
      <c r="T485" s="169" t="str">
        <f t="shared" si="4"/>
        <v/>
      </c>
      <c r="U485" s="169"/>
      <c r="V485" s="169" t="str">
        <f t="shared" si="5"/>
        <v/>
      </c>
      <c r="W485" s="169"/>
      <c r="X485" s="169" t="str">
        <f t="shared" si="6"/>
        <v/>
      </c>
      <c r="Y485" s="169"/>
      <c r="Z485" s="169" t="str">
        <f t="shared" si="7"/>
        <v/>
      </c>
      <c r="AA485" s="169"/>
      <c r="AB485" s="169" t="str">
        <f t="shared" si="8"/>
        <v/>
      </c>
      <c r="AC485" s="169"/>
      <c r="AD485" s="169" t="str">
        <f t="shared" si="9"/>
        <v/>
      </c>
      <c r="AE485" s="169"/>
      <c r="AF485" s="169" t="str">
        <f t="shared" si="10"/>
        <v/>
      </c>
      <c r="AG485" s="169"/>
      <c r="AH485" s="169" t="str">
        <f t="shared" si="11"/>
        <v/>
      </c>
      <c r="AI485" s="169"/>
      <c r="AJ485" s="169" t="str">
        <f t="shared" si="12"/>
        <v/>
      </c>
    </row>
    <row r="486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 t="str">
        <f t="shared" si="2"/>
        <v/>
      </c>
      <c r="Q486" s="169"/>
      <c r="R486" s="169" t="str">
        <f t="shared" si="3"/>
        <v/>
      </c>
      <c r="S486" s="169"/>
      <c r="T486" s="169" t="str">
        <f t="shared" si="4"/>
        <v/>
      </c>
      <c r="U486" s="169"/>
      <c r="V486" s="169" t="str">
        <f t="shared" si="5"/>
        <v/>
      </c>
      <c r="W486" s="169"/>
      <c r="X486" s="169" t="str">
        <f t="shared" si="6"/>
        <v/>
      </c>
      <c r="Y486" s="169"/>
      <c r="Z486" s="169" t="str">
        <f t="shared" si="7"/>
        <v/>
      </c>
      <c r="AA486" s="169"/>
      <c r="AB486" s="169" t="str">
        <f t="shared" si="8"/>
        <v/>
      </c>
      <c r="AC486" s="169"/>
      <c r="AD486" s="169" t="str">
        <f t="shared" si="9"/>
        <v/>
      </c>
      <c r="AE486" s="169"/>
      <c r="AF486" s="169" t="str">
        <f t="shared" si="10"/>
        <v/>
      </c>
      <c r="AG486" s="169"/>
      <c r="AH486" s="169" t="str">
        <f t="shared" si="11"/>
        <v/>
      </c>
      <c r="AI486" s="169"/>
      <c r="AJ486" s="169" t="str">
        <f t="shared" si="12"/>
        <v/>
      </c>
    </row>
    <row r="487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 t="str">
        <f t="shared" si="2"/>
        <v/>
      </c>
      <c r="Q487" s="169"/>
      <c r="R487" s="169" t="str">
        <f t="shared" si="3"/>
        <v/>
      </c>
      <c r="S487" s="169"/>
      <c r="T487" s="169" t="str">
        <f t="shared" si="4"/>
        <v/>
      </c>
      <c r="U487" s="169"/>
      <c r="V487" s="169" t="str">
        <f t="shared" si="5"/>
        <v/>
      </c>
      <c r="W487" s="169"/>
      <c r="X487" s="169" t="str">
        <f t="shared" si="6"/>
        <v/>
      </c>
      <c r="Y487" s="169"/>
      <c r="Z487" s="169" t="str">
        <f t="shared" si="7"/>
        <v/>
      </c>
      <c r="AA487" s="169"/>
      <c r="AB487" s="169" t="str">
        <f t="shared" si="8"/>
        <v/>
      </c>
      <c r="AC487" s="169"/>
      <c r="AD487" s="169" t="str">
        <f t="shared" si="9"/>
        <v/>
      </c>
      <c r="AE487" s="169"/>
      <c r="AF487" s="169" t="str">
        <f t="shared" si="10"/>
        <v/>
      </c>
      <c r="AG487" s="169"/>
      <c r="AH487" s="169" t="str">
        <f t="shared" si="11"/>
        <v/>
      </c>
      <c r="AI487" s="169"/>
      <c r="AJ487" s="169" t="str">
        <f t="shared" si="12"/>
        <v/>
      </c>
    </row>
    <row r="488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 t="str">
        <f t="shared" si="2"/>
        <v/>
      </c>
      <c r="Q488" s="169"/>
      <c r="R488" s="169" t="str">
        <f t="shared" si="3"/>
        <v/>
      </c>
      <c r="S488" s="169"/>
      <c r="T488" s="169" t="str">
        <f t="shared" si="4"/>
        <v/>
      </c>
      <c r="U488" s="169"/>
      <c r="V488" s="169" t="str">
        <f t="shared" si="5"/>
        <v/>
      </c>
      <c r="W488" s="169"/>
      <c r="X488" s="169" t="str">
        <f t="shared" si="6"/>
        <v/>
      </c>
      <c r="Y488" s="169"/>
      <c r="Z488" s="169" t="str">
        <f t="shared" si="7"/>
        <v/>
      </c>
      <c r="AA488" s="169"/>
      <c r="AB488" s="169" t="str">
        <f t="shared" si="8"/>
        <v/>
      </c>
      <c r="AC488" s="169"/>
      <c r="AD488" s="169" t="str">
        <f t="shared" si="9"/>
        <v/>
      </c>
      <c r="AE488" s="169"/>
      <c r="AF488" s="169" t="str">
        <f t="shared" si="10"/>
        <v/>
      </c>
      <c r="AG488" s="169"/>
      <c r="AH488" s="169" t="str">
        <f t="shared" si="11"/>
        <v/>
      </c>
      <c r="AI488" s="169"/>
      <c r="AJ488" s="169" t="str">
        <f t="shared" si="12"/>
        <v/>
      </c>
    </row>
    <row r="489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 t="str">
        <f t="shared" si="2"/>
        <v/>
      </c>
      <c r="Q489" s="169"/>
      <c r="R489" s="169" t="str">
        <f t="shared" si="3"/>
        <v/>
      </c>
      <c r="S489" s="169"/>
      <c r="T489" s="169" t="str">
        <f t="shared" si="4"/>
        <v/>
      </c>
      <c r="U489" s="169"/>
      <c r="V489" s="169" t="str">
        <f t="shared" si="5"/>
        <v/>
      </c>
      <c r="W489" s="169"/>
      <c r="X489" s="169" t="str">
        <f t="shared" si="6"/>
        <v/>
      </c>
      <c r="Y489" s="169"/>
      <c r="Z489" s="169" t="str">
        <f t="shared" si="7"/>
        <v/>
      </c>
      <c r="AA489" s="169"/>
      <c r="AB489" s="169" t="str">
        <f t="shared" si="8"/>
        <v/>
      </c>
      <c r="AC489" s="169"/>
      <c r="AD489" s="169" t="str">
        <f t="shared" si="9"/>
        <v/>
      </c>
      <c r="AE489" s="169"/>
      <c r="AF489" s="169" t="str">
        <f t="shared" si="10"/>
        <v/>
      </c>
      <c r="AG489" s="169"/>
      <c r="AH489" s="169" t="str">
        <f t="shared" si="11"/>
        <v/>
      </c>
      <c r="AI489" s="169"/>
      <c r="AJ489" s="169" t="str">
        <f t="shared" si="12"/>
        <v/>
      </c>
    </row>
    <row r="490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 t="str">
        <f t="shared" si="2"/>
        <v/>
      </c>
      <c r="Q490" s="169"/>
      <c r="R490" s="169" t="str">
        <f t="shared" si="3"/>
        <v/>
      </c>
      <c r="S490" s="169"/>
      <c r="T490" s="169" t="str">
        <f t="shared" si="4"/>
        <v/>
      </c>
      <c r="U490" s="169"/>
      <c r="V490" s="169" t="str">
        <f t="shared" si="5"/>
        <v/>
      </c>
      <c r="W490" s="169"/>
      <c r="X490" s="169" t="str">
        <f t="shared" si="6"/>
        <v/>
      </c>
      <c r="Y490" s="169"/>
      <c r="Z490" s="169" t="str">
        <f t="shared" si="7"/>
        <v/>
      </c>
      <c r="AA490" s="169"/>
      <c r="AB490" s="169" t="str">
        <f t="shared" si="8"/>
        <v/>
      </c>
      <c r="AC490" s="169"/>
      <c r="AD490" s="169" t="str">
        <f t="shared" si="9"/>
        <v/>
      </c>
      <c r="AE490" s="169"/>
      <c r="AF490" s="169" t="str">
        <f t="shared" si="10"/>
        <v/>
      </c>
      <c r="AG490" s="169"/>
      <c r="AH490" s="169" t="str">
        <f t="shared" si="11"/>
        <v/>
      </c>
      <c r="AI490" s="169"/>
      <c r="AJ490" s="169" t="str">
        <f t="shared" si="12"/>
        <v/>
      </c>
    </row>
    <row r="49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 t="str">
        <f t="shared" si="2"/>
        <v/>
      </c>
      <c r="Q491" s="169"/>
      <c r="R491" s="169" t="str">
        <f t="shared" si="3"/>
        <v/>
      </c>
      <c r="S491" s="169"/>
      <c r="T491" s="169" t="str">
        <f t="shared" si="4"/>
        <v/>
      </c>
      <c r="U491" s="169"/>
      <c r="V491" s="169" t="str">
        <f t="shared" si="5"/>
        <v/>
      </c>
      <c r="W491" s="169"/>
      <c r="X491" s="169" t="str">
        <f t="shared" si="6"/>
        <v/>
      </c>
      <c r="Y491" s="169"/>
      <c r="Z491" s="169" t="str">
        <f t="shared" si="7"/>
        <v/>
      </c>
      <c r="AA491" s="169"/>
      <c r="AB491" s="169" t="str">
        <f t="shared" si="8"/>
        <v/>
      </c>
      <c r="AC491" s="169"/>
      <c r="AD491" s="169" t="str">
        <f t="shared" si="9"/>
        <v/>
      </c>
      <c r="AE491" s="169"/>
      <c r="AF491" s="169" t="str">
        <f t="shared" si="10"/>
        <v/>
      </c>
      <c r="AG491" s="169"/>
      <c r="AH491" s="169" t="str">
        <f t="shared" si="11"/>
        <v/>
      </c>
      <c r="AI491" s="169"/>
      <c r="AJ491" s="169" t="str">
        <f t="shared" si="12"/>
        <v/>
      </c>
    </row>
    <row r="49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 t="str">
        <f t="shared" si="2"/>
        <v/>
      </c>
      <c r="Q492" s="169"/>
      <c r="R492" s="169" t="str">
        <f t="shared" si="3"/>
        <v/>
      </c>
      <c r="S492" s="169"/>
      <c r="T492" s="169" t="str">
        <f t="shared" si="4"/>
        <v/>
      </c>
      <c r="U492" s="169"/>
      <c r="V492" s="169" t="str">
        <f t="shared" si="5"/>
        <v/>
      </c>
      <c r="W492" s="169"/>
      <c r="X492" s="169" t="str">
        <f t="shared" si="6"/>
        <v/>
      </c>
      <c r="Y492" s="169"/>
      <c r="Z492" s="169" t="str">
        <f t="shared" si="7"/>
        <v/>
      </c>
      <c r="AA492" s="169"/>
      <c r="AB492" s="169" t="str">
        <f t="shared" si="8"/>
        <v/>
      </c>
      <c r="AC492" s="169"/>
      <c r="AD492" s="169" t="str">
        <f t="shared" si="9"/>
        <v/>
      </c>
      <c r="AE492" s="169"/>
      <c r="AF492" s="169" t="str">
        <f t="shared" si="10"/>
        <v/>
      </c>
      <c r="AG492" s="169"/>
      <c r="AH492" s="169" t="str">
        <f t="shared" si="11"/>
        <v/>
      </c>
      <c r="AI492" s="169"/>
      <c r="AJ492" s="169" t="str">
        <f t="shared" si="12"/>
        <v/>
      </c>
    </row>
    <row r="493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 t="str">
        <f t="shared" si="2"/>
        <v/>
      </c>
      <c r="Q493" s="169"/>
      <c r="R493" s="169" t="str">
        <f t="shared" si="3"/>
        <v/>
      </c>
      <c r="S493" s="169"/>
      <c r="T493" s="169" t="str">
        <f t="shared" si="4"/>
        <v/>
      </c>
      <c r="U493" s="169"/>
      <c r="V493" s="169" t="str">
        <f t="shared" si="5"/>
        <v/>
      </c>
      <c r="W493" s="169"/>
      <c r="X493" s="169" t="str">
        <f t="shared" si="6"/>
        <v/>
      </c>
      <c r="Y493" s="169"/>
      <c r="Z493" s="169" t="str">
        <f t="shared" si="7"/>
        <v/>
      </c>
      <c r="AA493" s="169"/>
      <c r="AB493" s="169" t="str">
        <f t="shared" si="8"/>
        <v/>
      </c>
      <c r="AC493" s="169"/>
      <c r="AD493" s="169" t="str">
        <f t="shared" si="9"/>
        <v/>
      </c>
      <c r="AE493" s="169"/>
      <c r="AF493" s="169" t="str">
        <f t="shared" si="10"/>
        <v/>
      </c>
      <c r="AG493" s="169"/>
      <c r="AH493" s="169" t="str">
        <f t="shared" si="11"/>
        <v/>
      </c>
      <c r="AI493" s="169"/>
      <c r="AJ493" s="169" t="str">
        <f t="shared" si="12"/>
        <v/>
      </c>
    </row>
    <row r="494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 t="str">
        <f t="shared" si="2"/>
        <v/>
      </c>
      <c r="Q494" s="169"/>
      <c r="R494" s="169" t="str">
        <f t="shared" si="3"/>
        <v/>
      </c>
      <c r="S494" s="169"/>
      <c r="T494" s="169" t="str">
        <f t="shared" si="4"/>
        <v/>
      </c>
      <c r="U494" s="169"/>
      <c r="V494" s="169" t="str">
        <f t="shared" si="5"/>
        <v/>
      </c>
      <c r="W494" s="169"/>
      <c r="X494" s="169" t="str">
        <f t="shared" si="6"/>
        <v/>
      </c>
      <c r="Y494" s="169"/>
      <c r="Z494" s="169" t="str">
        <f t="shared" si="7"/>
        <v/>
      </c>
      <c r="AA494" s="169"/>
      <c r="AB494" s="169" t="str">
        <f t="shared" si="8"/>
        <v/>
      </c>
      <c r="AC494" s="169"/>
      <c r="AD494" s="169" t="str">
        <f t="shared" si="9"/>
        <v/>
      </c>
      <c r="AE494" s="169"/>
      <c r="AF494" s="169" t="str">
        <f t="shared" si="10"/>
        <v/>
      </c>
      <c r="AG494" s="169"/>
      <c r="AH494" s="169" t="str">
        <f t="shared" si="11"/>
        <v/>
      </c>
      <c r="AI494" s="169"/>
      <c r="AJ494" s="169" t="str">
        <f t="shared" si="12"/>
        <v/>
      </c>
    </row>
    <row r="49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 t="str">
        <f t="shared" si="2"/>
        <v/>
      </c>
      <c r="Q495" s="169"/>
      <c r="R495" s="169" t="str">
        <f t="shared" si="3"/>
        <v/>
      </c>
      <c r="S495" s="169"/>
      <c r="T495" s="169" t="str">
        <f t="shared" si="4"/>
        <v/>
      </c>
      <c r="U495" s="169"/>
      <c r="V495" s="169" t="str">
        <f t="shared" si="5"/>
        <v/>
      </c>
      <c r="W495" s="169"/>
      <c r="X495" s="169" t="str">
        <f t="shared" si="6"/>
        <v/>
      </c>
      <c r="Y495" s="169"/>
      <c r="Z495" s="169" t="str">
        <f t="shared" si="7"/>
        <v/>
      </c>
      <c r="AA495" s="169"/>
      <c r="AB495" s="169" t="str">
        <f t="shared" si="8"/>
        <v/>
      </c>
      <c r="AC495" s="169"/>
      <c r="AD495" s="169" t="str">
        <f t="shared" si="9"/>
        <v/>
      </c>
      <c r="AE495" s="169"/>
      <c r="AF495" s="169" t="str">
        <f t="shared" si="10"/>
        <v/>
      </c>
      <c r="AG495" s="169"/>
      <c r="AH495" s="169" t="str">
        <f t="shared" si="11"/>
        <v/>
      </c>
      <c r="AI495" s="169"/>
      <c r="AJ495" s="169" t="str">
        <f t="shared" si="12"/>
        <v/>
      </c>
    </row>
    <row r="496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 t="str">
        <f t="shared" si="2"/>
        <v/>
      </c>
      <c r="Q496" s="169"/>
      <c r="R496" s="169" t="str">
        <f t="shared" si="3"/>
        <v/>
      </c>
      <c r="S496" s="169"/>
      <c r="T496" s="169" t="str">
        <f t="shared" si="4"/>
        <v/>
      </c>
      <c r="U496" s="169"/>
      <c r="V496" s="169" t="str">
        <f t="shared" si="5"/>
        <v/>
      </c>
      <c r="W496" s="169"/>
      <c r="X496" s="169" t="str">
        <f t="shared" si="6"/>
        <v/>
      </c>
      <c r="Y496" s="169"/>
      <c r="Z496" s="169" t="str">
        <f t="shared" si="7"/>
        <v/>
      </c>
      <c r="AA496" s="169"/>
      <c r="AB496" s="169" t="str">
        <f t="shared" si="8"/>
        <v/>
      </c>
      <c r="AC496" s="169"/>
      <c r="AD496" s="169" t="str">
        <f t="shared" si="9"/>
        <v/>
      </c>
      <c r="AE496" s="169"/>
      <c r="AF496" s="169" t="str">
        <f t="shared" si="10"/>
        <v/>
      </c>
      <c r="AG496" s="169"/>
      <c r="AH496" s="169" t="str">
        <f t="shared" si="11"/>
        <v/>
      </c>
      <c r="AI496" s="169"/>
      <c r="AJ496" s="169" t="str">
        <f t="shared" si="12"/>
        <v/>
      </c>
    </row>
    <row r="497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 t="str">
        <f t="shared" si="2"/>
        <v/>
      </c>
      <c r="Q497" s="169"/>
      <c r="R497" s="169" t="str">
        <f t="shared" si="3"/>
        <v/>
      </c>
      <c r="S497" s="169"/>
      <c r="T497" s="169" t="str">
        <f t="shared" si="4"/>
        <v/>
      </c>
      <c r="U497" s="169"/>
      <c r="V497" s="169" t="str">
        <f t="shared" si="5"/>
        <v/>
      </c>
      <c r="W497" s="169"/>
      <c r="X497" s="169" t="str">
        <f t="shared" si="6"/>
        <v/>
      </c>
      <c r="Y497" s="169"/>
      <c r="Z497" s="169" t="str">
        <f t="shared" si="7"/>
        <v/>
      </c>
      <c r="AA497" s="169"/>
      <c r="AB497" s="169" t="str">
        <f t="shared" si="8"/>
        <v/>
      </c>
      <c r="AC497" s="169"/>
      <c r="AD497" s="169" t="str">
        <f t="shared" si="9"/>
        <v/>
      </c>
      <c r="AE497" s="169"/>
      <c r="AF497" s="169" t="str">
        <f t="shared" si="10"/>
        <v/>
      </c>
      <c r="AG497" s="169"/>
      <c r="AH497" s="169" t="str">
        <f t="shared" si="11"/>
        <v/>
      </c>
      <c r="AI497" s="169"/>
      <c r="AJ497" s="169" t="str">
        <f t="shared" si="12"/>
        <v/>
      </c>
    </row>
    <row r="498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 t="str">
        <f t="shared" si="2"/>
        <v/>
      </c>
      <c r="Q498" s="169"/>
      <c r="R498" s="169" t="str">
        <f t="shared" si="3"/>
        <v/>
      </c>
      <c r="S498" s="169"/>
      <c r="T498" s="169" t="str">
        <f t="shared" si="4"/>
        <v/>
      </c>
      <c r="U498" s="169"/>
      <c r="V498" s="169" t="str">
        <f t="shared" si="5"/>
        <v/>
      </c>
      <c r="W498" s="169"/>
      <c r="X498" s="169" t="str">
        <f t="shared" si="6"/>
        <v/>
      </c>
      <c r="Y498" s="169"/>
      <c r="Z498" s="169" t="str">
        <f t="shared" si="7"/>
        <v/>
      </c>
      <c r="AA498" s="169"/>
      <c r="AB498" s="169" t="str">
        <f t="shared" si="8"/>
        <v/>
      </c>
      <c r="AC498" s="169"/>
      <c r="AD498" s="169" t="str">
        <f t="shared" si="9"/>
        <v/>
      </c>
      <c r="AE498" s="169"/>
      <c r="AF498" s="169" t="str">
        <f t="shared" si="10"/>
        <v/>
      </c>
      <c r="AG498" s="169"/>
      <c r="AH498" s="169" t="str">
        <f t="shared" si="11"/>
        <v/>
      </c>
      <c r="AI498" s="169"/>
      <c r="AJ498" s="169" t="str">
        <f t="shared" si="12"/>
        <v/>
      </c>
    </row>
    <row r="499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 t="str">
        <f t="shared" si="2"/>
        <v/>
      </c>
      <c r="Q499" s="169"/>
      <c r="R499" s="169" t="str">
        <f t="shared" si="3"/>
        <v/>
      </c>
      <c r="S499" s="169"/>
      <c r="T499" s="169" t="str">
        <f t="shared" si="4"/>
        <v/>
      </c>
      <c r="U499" s="169"/>
      <c r="V499" s="169" t="str">
        <f t="shared" si="5"/>
        <v/>
      </c>
      <c r="W499" s="169"/>
      <c r="X499" s="169" t="str">
        <f t="shared" si="6"/>
        <v/>
      </c>
      <c r="Y499" s="169"/>
      <c r="Z499" s="169" t="str">
        <f t="shared" si="7"/>
        <v/>
      </c>
      <c r="AA499" s="169"/>
      <c r="AB499" s="169" t="str">
        <f t="shared" si="8"/>
        <v/>
      </c>
      <c r="AC499" s="169"/>
      <c r="AD499" s="169" t="str">
        <f t="shared" si="9"/>
        <v/>
      </c>
      <c r="AE499" s="169"/>
      <c r="AF499" s="169" t="str">
        <f t="shared" si="10"/>
        <v/>
      </c>
      <c r="AG499" s="169"/>
      <c r="AH499" s="169" t="str">
        <f t="shared" si="11"/>
        <v/>
      </c>
      <c r="AI499" s="169"/>
      <c r="AJ499" s="169" t="str">
        <f t="shared" si="12"/>
        <v/>
      </c>
    </row>
    <row r="500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 t="str">
        <f t="shared" si="2"/>
        <v/>
      </c>
      <c r="Q500" s="169"/>
      <c r="R500" s="169" t="str">
        <f t="shared" si="3"/>
        <v/>
      </c>
      <c r="S500" s="169"/>
      <c r="T500" s="169" t="str">
        <f t="shared" si="4"/>
        <v/>
      </c>
      <c r="U500" s="169"/>
      <c r="V500" s="169" t="str">
        <f t="shared" si="5"/>
        <v/>
      </c>
      <c r="W500" s="169"/>
      <c r="X500" s="169" t="str">
        <f t="shared" si="6"/>
        <v/>
      </c>
      <c r="Y500" s="169"/>
      <c r="Z500" s="169" t="str">
        <f t="shared" si="7"/>
        <v/>
      </c>
      <c r="AA500" s="169"/>
      <c r="AB500" s="169" t="str">
        <f t="shared" si="8"/>
        <v/>
      </c>
      <c r="AC500" s="169"/>
      <c r="AD500" s="169" t="str">
        <f t="shared" si="9"/>
        <v/>
      </c>
      <c r="AE500" s="169"/>
      <c r="AF500" s="169" t="str">
        <f t="shared" si="10"/>
        <v/>
      </c>
      <c r="AG500" s="169"/>
      <c r="AH500" s="169" t="str">
        <f t="shared" si="11"/>
        <v/>
      </c>
      <c r="AI500" s="169"/>
      <c r="AJ500" s="169" t="str">
        <f t="shared" si="12"/>
        <v/>
      </c>
    </row>
    <row r="50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 t="str">
        <f t="shared" si="2"/>
        <v/>
      </c>
      <c r="Q501" s="169"/>
      <c r="R501" s="169" t="str">
        <f t="shared" si="3"/>
        <v/>
      </c>
      <c r="S501" s="169"/>
      <c r="T501" s="169" t="str">
        <f t="shared" si="4"/>
        <v/>
      </c>
      <c r="U501" s="169"/>
      <c r="V501" s="169" t="str">
        <f t="shared" si="5"/>
        <v/>
      </c>
      <c r="W501" s="169"/>
      <c r="X501" s="169" t="str">
        <f t="shared" si="6"/>
        <v/>
      </c>
      <c r="Y501" s="169"/>
      <c r="Z501" s="169" t="str">
        <f t="shared" si="7"/>
        <v/>
      </c>
      <c r="AA501" s="169"/>
      <c r="AB501" s="169" t="str">
        <f t="shared" si="8"/>
        <v/>
      </c>
      <c r="AC501" s="169"/>
      <c r="AD501" s="169" t="str">
        <f t="shared" si="9"/>
        <v/>
      </c>
      <c r="AE501" s="169"/>
      <c r="AF501" s="169" t="str">
        <f t="shared" si="10"/>
        <v/>
      </c>
      <c r="AG501" s="169"/>
      <c r="AH501" s="169" t="str">
        <f t="shared" si="11"/>
        <v/>
      </c>
      <c r="AI501" s="169"/>
      <c r="AJ501" s="169" t="str">
        <f t="shared" si="12"/>
        <v/>
      </c>
    </row>
    <row r="50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 t="str">
        <f t="shared" si="2"/>
        <v/>
      </c>
      <c r="Q502" s="169"/>
      <c r="R502" s="169" t="str">
        <f t="shared" si="3"/>
        <v/>
      </c>
      <c r="S502" s="169"/>
      <c r="T502" s="169" t="str">
        <f t="shared" si="4"/>
        <v/>
      </c>
      <c r="U502" s="169"/>
      <c r="V502" s="169" t="str">
        <f t="shared" si="5"/>
        <v/>
      </c>
      <c r="W502" s="169"/>
      <c r="X502" s="169" t="str">
        <f t="shared" si="6"/>
        <v/>
      </c>
      <c r="Y502" s="169"/>
      <c r="Z502" s="169" t="str">
        <f t="shared" si="7"/>
        <v/>
      </c>
      <c r="AA502" s="169"/>
      <c r="AB502" s="169" t="str">
        <f t="shared" si="8"/>
        <v/>
      </c>
      <c r="AC502" s="169"/>
      <c r="AD502" s="169" t="str">
        <f t="shared" si="9"/>
        <v/>
      </c>
      <c r="AE502" s="169"/>
      <c r="AF502" s="169" t="str">
        <f t="shared" si="10"/>
        <v/>
      </c>
      <c r="AG502" s="169"/>
      <c r="AH502" s="169" t="str">
        <f t="shared" si="11"/>
        <v/>
      </c>
      <c r="AI502" s="169"/>
      <c r="AJ502" s="169" t="str">
        <f t="shared" si="12"/>
        <v/>
      </c>
    </row>
    <row r="503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 t="str">
        <f t="shared" si="2"/>
        <v/>
      </c>
      <c r="Q503" s="169"/>
      <c r="R503" s="169" t="str">
        <f t="shared" si="3"/>
        <v/>
      </c>
      <c r="S503" s="169"/>
      <c r="T503" s="169" t="str">
        <f t="shared" si="4"/>
        <v/>
      </c>
      <c r="U503" s="169"/>
      <c r="V503" s="169" t="str">
        <f t="shared" si="5"/>
        <v/>
      </c>
      <c r="W503" s="169"/>
      <c r="X503" s="169" t="str">
        <f t="shared" si="6"/>
        <v/>
      </c>
      <c r="Y503" s="169"/>
      <c r="Z503" s="169" t="str">
        <f t="shared" si="7"/>
        <v/>
      </c>
      <c r="AA503" s="169"/>
      <c r="AB503" s="169" t="str">
        <f t="shared" si="8"/>
        <v/>
      </c>
      <c r="AC503" s="169"/>
      <c r="AD503" s="169" t="str">
        <f t="shared" si="9"/>
        <v/>
      </c>
      <c r="AE503" s="169"/>
      <c r="AF503" s="169" t="str">
        <f t="shared" si="10"/>
        <v/>
      </c>
      <c r="AG503" s="169"/>
      <c r="AH503" s="169" t="str">
        <f t="shared" si="11"/>
        <v/>
      </c>
      <c r="AI503" s="169"/>
      <c r="AJ503" s="169" t="str">
        <f t="shared" si="12"/>
        <v/>
      </c>
    </row>
    <row r="504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 t="str">
        <f t="shared" si="2"/>
        <v/>
      </c>
      <c r="Q504" s="169"/>
      <c r="R504" s="169" t="str">
        <f t="shared" si="3"/>
        <v/>
      </c>
      <c r="S504" s="169"/>
      <c r="T504" s="169" t="str">
        <f t="shared" si="4"/>
        <v/>
      </c>
      <c r="U504" s="169"/>
      <c r="V504" s="169" t="str">
        <f t="shared" si="5"/>
        <v/>
      </c>
      <c r="W504" s="169"/>
      <c r="X504" s="169" t="str">
        <f t="shared" si="6"/>
        <v/>
      </c>
      <c r="Y504" s="169"/>
      <c r="Z504" s="169" t="str">
        <f t="shared" si="7"/>
        <v/>
      </c>
      <c r="AA504" s="169"/>
      <c r="AB504" s="169" t="str">
        <f t="shared" si="8"/>
        <v/>
      </c>
      <c r="AC504" s="169"/>
      <c r="AD504" s="169" t="str">
        <f t="shared" si="9"/>
        <v/>
      </c>
      <c r="AE504" s="169"/>
      <c r="AF504" s="169" t="str">
        <f t="shared" si="10"/>
        <v/>
      </c>
      <c r="AG504" s="169"/>
      <c r="AH504" s="169" t="str">
        <f t="shared" si="11"/>
        <v/>
      </c>
      <c r="AI504" s="169"/>
      <c r="AJ504" s="169" t="str">
        <f t="shared" si="12"/>
        <v/>
      </c>
    </row>
    <row r="50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 t="str">
        <f t="shared" si="2"/>
        <v/>
      </c>
      <c r="Q505" s="169"/>
      <c r="R505" s="169" t="str">
        <f t="shared" si="3"/>
        <v/>
      </c>
      <c r="S505" s="169"/>
      <c r="T505" s="169" t="str">
        <f t="shared" si="4"/>
        <v/>
      </c>
      <c r="U505" s="169"/>
      <c r="V505" s="169" t="str">
        <f t="shared" si="5"/>
        <v/>
      </c>
      <c r="W505" s="169"/>
      <c r="X505" s="169" t="str">
        <f t="shared" si="6"/>
        <v/>
      </c>
      <c r="Y505" s="169"/>
      <c r="Z505" s="169" t="str">
        <f t="shared" si="7"/>
        <v/>
      </c>
      <c r="AA505" s="169"/>
      <c r="AB505" s="169" t="str">
        <f t="shared" si="8"/>
        <v/>
      </c>
      <c r="AC505" s="169"/>
      <c r="AD505" s="169" t="str">
        <f t="shared" si="9"/>
        <v/>
      </c>
      <c r="AE505" s="169"/>
      <c r="AF505" s="169" t="str">
        <f t="shared" si="10"/>
        <v/>
      </c>
      <c r="AG505" s="169"/>
      <c r="AH505" s="169" t="str">
        <f t="shared" si="11"/>
        <v/>
      </c>
      <c r="AI505" s="169"/>
      <c r="AJ505" s="169" t="str">
        <f t="shared" si="12"/>
        <v/>
      </c>
    </row>
    <row r="506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 t="str">
        <f t="shared" si="2"/>
        <v/>
      </c>
      <c r="Q506" s="169"/>
      <c r="R506" s="169" t="str">
        <f t="shared" si="3"/>
        <v/>
      </c>
      <c r="S506" s="169"/>
      <c r="T506" s="169" t="str">
        <f t="shared" si="4"/>
        <v/>
      </c>
      <c r="U506" s="169"/>
      <c r="V506" s="169" t="str">
        <f t="shared" si="5"/>
        <v/>
      </c>
      <c r="W506" s="169"/>
      <c r="X506" s="169" t="str">
        <f t="shared" si="6"/>
        <v/>
      </c>
      <c r="Y506" s="169"/>
      <c r="Z506" s="169" t="str">
        <f t="shared" si="7"/>
        <v/>
      </c>
      <c r="AA506" s="169"/>
      <c r="AB506" s="169" t="str">
        <f t="shared" si="8"/>
        <v/>
      </c>
      <c r="AC506" s="169"/>
      <c r="AD506" s="169" t="str">
        <f t="shared" si="9"/>
        <v/>
      </c>
      <c r="AE506" s="169"/>
      <c r="AF506" s="169" t="str">
        <f t="shared" si="10"/>
        <v/>
      </c>
      <c r="AG506" s="169"/>
      <c r="AH506" s="169" t="str">
        <f t="shared" si="11"/>
        <v/>
      </c>
      <c r="AI506" s="169"/>
      <c r="AJ506" s="169" t="str">
        <f t="shared" si="12"/>
        <v/>
      </c>
    </row>
    <row r="507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 t="str">
        <f t="shared" si="2"/>
        <v/>
      </c>
      <c r="Q507" s="169"/>
      <c r="R507" s="169" t="str">
        <f t="shared" si="3"/>
        <v/>
      </c>
      <c r="S507" s="169"/>
      <c r="T507" s="169" t="str">
        <f t="shared" si="4"/>
        <v/>
      </c>
      <c r="U507" s="169"/>
      <c r="V507" s="169" t="str">
        <f t="shared" si="5"/>
        <v/>
      </c>
      <c r="W507" s="169"/>
      <c r="X507" s="169" t="str">
        <f t="shared" si="6"/>
        <v/>
      </c>
      <c r="Y507" s="169"/>
      <c r="Z507" s="169" t="str">
        <f t="shared" si="7"/>
        <v/>
      </c>
      <c r="AA507" s="169"/>
      <c r="AB507" s="169" t="str">
        <f t="shared" si="8"/>
        <v/>
      </c>
      <c r="AC507" s="169"/>
      <c r="AD507" s="169" t="str">
        <f t="shared" si="9"/>
        <v/>
      </c>
      <c r="AE507" s="169"/>
      <c r="AF507" s="169" t="str">
        <f t="shared" si="10"/>
        <v/>
      </c>
      <c r="AG507" s="169"/>
      <c r="AH507" s="169" t="str">
        <f t="shared" si="11"/>
        <v/>
      </c>
      <c r="AI507" s="169"/>
      <c r="AJ507" s="169" t="str">
        <f t="shared" si="12"/>
        <v/>
      </c>
    </row>
    <row r="508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 t="str">
        <f t="shared" si="2"/>
        <v/>
      </c>
      <c r="Q508" s="169"/>
      <c r="R508" s="169" t="str">
        <f t="shared" si="3"/>
        <v/>
      </c>
      <c r="S508" s="169"/>
      <c r="T508" s="169" t="str">
        <f t="shared" si="4"/>
        <v/>
      </c>
      <c r="U508" s="169"/>
      <c r="V508" s="169" t="str">
        <f t="shared" si="5"/>
        <v/>
      </c>
      <c r="W508" s="169"/>
      <c r="X508" s="169" t="str">
        <f t="shared" si="6"/>
        <v/>
      </c>
      <c r="Y508" s="169"/>
      <c r="Z508" s="169" t="str">
        <f t="shared" si="7"/>
        <v/>
      </c>
      <c r="AA508" s="169"/>
      <c r="AB508" s="169" t="str">
        <f t="shared" si="8"/>
        <v/>
      </c>
      <c r="AC508" s="169"/>
      <c r="AD508" s="169" t="str">
        <f t="shared" si="9"/>
        <v/>
      </c>
      <c r="AE508" s="169"/>
      <c r="AF508" s="169" t="str">
        <f t="shared" si="10"/>
        <v/>
      </c>
      <c r="AG508" s="169"/>
      <c r="AH508" s="169" t="str">
        <f t="shared" si="11"/>
        <v/>
      </c>
      <c r="AI508" s="169"/>
      <c r="AJ508" s="169" t="str">
        <f t="shared" si="12"/>
        <v/>
      </c>
    </row>
    <row r="509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 t="str">
        <f t="shared" si="2"/>
        <v/>
      </c>
      <c r="Q509" s="169"/>
      <c r="R509" s="169" t="str">
        <f t="shared" si="3"/>
        <v/>
      </c>
      <c r="S509" s="169"/>
      <c r="T509" s="169" t="str">
        <f t="shared" si="4"/>
        <v/>
      </c>
      <c r="U509" s="169"/>
      <c r="V509" s="169" t="str">
        <f t="shared" si="5"/>
        <v/>
      </c>
      <c r="W509" s="169"/>
      <c r="X509" s="169" t="str">
        <f t="shared" si="6"/>
        <v/>
      </c>
      <c r="Y509" s="169"/>
      <c r="Z509" s="169" t="str">
        <f t="shared" si="7"/>
        <v/>
      </c>
      <c r="AA509" s="169"/>
      <c r="AB509" s="169" t="str">
        <f t="shared" si="8"/>
        <v/>
      </c>
      <c r="AC509" s="169"/>
      <c r="AD509" s="169" t="str">
        <f t="shared" si="9"/>
        <v/>
      </c>
      <c r="AE509" s="169"/>
      <c r="AF509" s="169" t="str">
        <f t="shared" si="10"/>
        <v/>
      </c>
      <c r="AG509" s="169"/>
      <c r="AH509" s="169" t="str">
        <f t="shared" si="11"/>
        <v/>
      </c>
      <c r="AI509" s="169"/>
      <c r="AJ509" s="169" t="str">
        <f t="shared" si="12"/>
        <v/>
      </c>
    </row>
    <row r="510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 t="str">
        <f t="shared" si="2"/>
        <v/>
      </c>
      <c r="Q510" s="169"/>
      <c r="R510" s="169" t="str">
        <f t="shared" si="3"/>
        <v/>
      </c>
      <c r="S510" s="169"/>
      <c r="T510" s="169" t="str">
        <f t="shared" si="4"/>
        <v/>
      </c>
      <c r="U510" s="169"/>
      <c r="V510" s="169" t="str">
        <f t="shared" si="5"/>
        <v/>
      </c>
      <c r="W510" s="169"/>
      <c r="X510" s="169" t="str">
        <f t="shared" si="6"/>
        <v/>
      </c>
      <c r="Y510" s="169"/>
      <c r="Z510" s="169" t="str">
        <f t="shared" si="7"/>
        <v/>
      </c>
      <c r="AA510" s="169"/>
      <c r="AB510" s="169" t="str">
        <f t="shared" si="8"/>
        <v/>
      </c>
      <c r="AC510" s="169"/>
      <c r="AD510" s="169" t="str">
        <f t="shared" si="9"/>
        <v/>
      </c>
      <c r="AE510" s="169"/>
      <c r="AF510" s="169" t="str">
        <f t="shared" si="10"/>
        <v/>
      </c>
      <c r="AG510" s="169"/>
      <c r="AH510" s="169" t="str">
        <f t="shared" si="11"/>
        <v/>
      </c>
      <c r="AI510" s="169"/>
      <c r="AJ510" s="169" t="str">
        <f t="shared" si="12"/>
        <v/>
      </c>
    </row>
    <row r="51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 t="str">
        <f t="shared" si="2"/>
        <v/>
      </c>
      <c r="Q511" s="169"/>
      <c r="R511" s="169" t="str">
        <f t="shared" si="3"/>
        <v/>
      </c>
      <c r="S511" s="169"/>
      <c r="T511" s="169" t="str">
        <f t="shared" si="4"/>
        <v/>
      </c>
      <c r="U511" s="169"/>
      <c r="V511" s="169" t="str">
        <f t="shared" si="5"/>
        <v/>
      </c>
      <c r="W511" s="169"/>
      <c r="X511" s="169" t="str">
        <f t="shared" si="6"/>
        <v/>
      </c>
      <c r="Y511" s="169"/>
      <c r="Z511" s="169" t="str">
        <f t="shared" si="7"/>
        <v/>
      </c>
      <c r="AA511" s="169"/>
      <c r="AB511" s="169" t="str">
        <f t="shared" si="8"/>
        <v/>
      </c>
      <c r="AC511" s="169"/>
      <c r="AD511" s="169" t="str">
        <f t="shared" si="9"/>
        <v/>
      </c>
      <c r="AE511" s="169"/>
      <c r="AF511" s="169" t="str">
        <f t="shared" si="10"/>
        <v/>
      </c>
      <c r="AG511" s="169"/>
      <c r="AH511" s="169" t="str">
        <f t="shared" si="11"/>
        <v/>
      </c>
      <c r="AI511" s="169"/>
      <c r="AJ511" s="169" t="str">
        <f t="shared" si="12"/>
        <v/>
      </c>
    </row>
    <row r="51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 t="str">
        <f t="shared" si="2"/>
        <v/>
      </c>
      <c r="Q512" s="169"/>
      <c r="R512" s="169" t="str">
        <f t="shared" si="3"/>
        <v/>
      </c>
      <c r="S512" s="169"/>
      <c r="T512" s="169" t="str">
        <f t="shared" si="4"/>
        <v/>
      </c>
      <c r="U512" s="169"/>
      <c r="V512" s="169" t="str">
        <f t="shared" si="5"/>
        <v/>
      </c>
      <c r="W512" s="169"/>
      <c r="X512" s="169" t="str">
        <f t="shared" si="6"/>
        <v/>
      </c>
      <c r="Y512" s="169"/>
      <c r="Z512" s="169" t="str">
        <f t="shared" si="7"/>
        <v/>
      </c>
      <c r="AA512" s="169"/>
      <c r="AB512" s="169" t="str">
        <f t="shared" si="8"/>
        <v/>
      </c>
      <c r="AC512" s="169"/>
      <c r="AD512" s="169" t="str">
        <f t="shared" si="9"/>
        <v/>
      </c>
      <c r="AE512" s="169"/>
      <c r="AF512" s="169" t="str">
        <f t="shared" si="10"/>
        <v/>
      </c>
      <c r="AG512" s="169"/>
      <c r="AH512" s="169" t="str">
        <f t="shared" si="11"/>
        <v/>
      </c>
      <c r="AI512" s="169"/>
      <c r="AJ512" s="169" t="str">
        <f t="shared" si="12"/>
        <v/>
      </c>
    </row>
    <row r="513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 t="str">
        <f t="shared" si="2"/>
        <v/>
      </c>
      <c r="Q513" s="169"/>
      <c r="R513" s="169" t="str">
        <f t="shared" si="3"/>
        <v/>
      </c>
      <c r="S513" s="169"/>
      <c r="T513" s="169" t="str">
        <f t="shared" si="4"/>
        <v/>
      </c>
      <c r="U513" s="169"/>
      <c r="V513" s="169" t="str">
        <f t="shared" si="5"/>
        <v/>
      </c>
      <c r="W513" s="169"/>
      <c r="X513" s="169" t="str">
        <f t="shared" si="6"/>
        <v/>
      </c>
      <c r="Y513" s="169"/>
      <c r="Z513" s="169" t="str">
        <f t="shared" si="7"/>
        <v/>
      </c>
      <c r="AA513" s="169"/>
      <c r="AB513" s="169" t="str">
        <f t="shared" si="8"/>
        <v/>
      </c>
      <c r="AC513" s="169"/>
      <c r="AD513" s="169" t="str">
        <f t="shared" si="9"/>
        <v/>
      </c>
      <c r="AE513" s="169"/>
      <c r="AF513" s="169" t="str">
        <f t="shared" si="10"/>
        <v/>
      </c>
      <c r="AG513" s="169"/>
      <c r="AH513" s="169" t="str">
        <f t="shared" si="11"/>
        <v/>
      </c>
      <c r="AI513" s="169"/>
      <c r="AJ513" s="169" t="str">
        <f t="shared" si="12"/>
        <v/>
      </c>
    </row>
    <row r="514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 t="str">
        <f t="shared" si="2"/>
        <v/>
      </c>
      <c r="Q514" s="169"/>
      <c r="R514" s="169" t="str">
        <f t="shared" si="3"/>
        <v/>
      </c>
      <c r="S514" s="169"/>
      <c r="T514" s="169" t="str">
        <f t="shared" si="4"/>
        <v/>
      </c>
      <c r="U514" s="169"/>
      <c r="V514" s="169" t="str">
        <f t="shared" si="5"/>
        <v/>
      </c>
      <c r="W514" s="169"/>
      <c r="X514" s="169" t="str">
        <f t="shared" si="6"/>
        <v/>
      </c>
      <c r="Y514" s="169"/>
      <c r="Z514" s="169" t="str">
        <f t="shared" si="7"/>
        <v/>
      </c>
      <c r="AA514" s="169"/>
      <c r="AB514" s="169" t="str">
        <f t="shared" si="8"/>
        <v/>
      </c>
      <c r="AC514" s="169"/>
      <c r="AD514" s="169" t="str">
        <f t="shared" si="9"/>
        <v/>
      </c>
      <c r="AE514" s="169"/>
      <c r="AF514" s="169" t="str">
        <f t="shared" si="10"/>
        <v/>
      </c>
      <c r="AG514" s="169"/>
      <c r="AH514" s="169" t="str">
        <f t="shared" si="11"/>
        <v/>
      </c>
      <c r="AI514" s="169"/>
      <c r="AJ514" s="169" t="str">
        <f t="shared" si="12"/>
        <v/>
      </c>
    </row>
    <row r="51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 t="str">
        <f t="shared" si="2"/>
        <v/>
      </c>
      <c r="Q515" s="169"/>
      <c r="R515" s="169" t="str">
        <f t="shared" si="3"/>
        <v/>
      </c>
      <c r="S515" s="169"/>
      <c r="T515" s="169" t="str">
        <f t="shared" si="4"/>
        <v/>
      </c>
      <c r="U515" s="169"/>
      <c r="V515" s="169" t="str">
        <f t="shared" si="5"/>
        <v/>
      </c>
      <c r="W515" s="169"/>
      <c r="X515" s="169" t="str">
        <f t="shared" si="6"/>
        <v/>
      </c>
      <c r="Y515" s="169"/>
      <c r="Z515" s="169" t="str">
        <f t="shared" si="7"/>
        <v/>
      </c>
      <c r="AA515" s="169"/>
      <c r="AB515" s="169" t="str">
        <f t="shared" si="8"/>
        <v/>
      </c>
      <c r="AC515" s="169"/>
      <c r="AD515" s="169" t="str">
        <f t="shared" si="9"/>
        <v/>
      </c>
      <c r="AE515" s="169"/>
      <c r="AF515" s="169" t="str">
        <f t="shared" si="10"/>
        <v/>
      </c>
      <c r="AG515" s="169"/>
      <c r="AH515" s="169" t="str">
        <f t="shared" si="11"/>
        <v/>
      </c>
      <c r="AI515" s="169"/>
      <c r="AJ515" s="169" t="str">
        <f t="shared" si="12"/>
        <v/>
      </c>
    </row>
    <row r="516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 t="str">
        <f t="shared" si="2"/>
        <v/>
      </c>
      <c r="Q516" s="169"/>
      <c r="R516" s="169" t="str">
        <f t="shared" si="3"/>
        <v/>
      </c>
      <c r="S516" s="169"/>
      <c r="T516" s="169" t="str">
        <f t="shared" si="4"/>
        <v/>
      </c>
      <c r="U516" s="169"/>
      <c r="V516" s="169" t="str">
        <f t="shared" si="5"/>
        <v/>
      </c>
      <c r="W516" s="169"/>
      <c r="X516" s="169" t="str">
        <f t="shared" si="6"/>
        <v/>
      </c>
      <c r="Y516" s="169"/>
      <c r="Z516" s="169" t="str">
        <f t="shared" si="7"/>
        <v/>
      </c>
      <c r="AA516" s="169"/>
      <c r="AB516" s="169" t="str">
        <f t="shared" si="8"/>
        <v/>
      </c>
      <c r="AC516" s="169"/>
      <c r="AD516" s="169" t="str">
        <f t="shared" si="9"/>
        <v/>
      </c>
      <c r="AE516" s="169"/>
      <c r="AF516" s="169" t="str">
        <f t="shared" si="10"/>
        <v/>
      </c>
      <c r="AG516" s="169"/>
      <c r="AH516" s="169" t="str">
        <f t="shared" si="11"/>
        <v/>
      </c>
      <c r="AI516" s="169"/>
      <c r="AJ516" s="169" t="str">
        <f t="shared" si="12"/>
        <v/>
      </c>
    </row>
    <row r="517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 t="str">
        <f t="shared" si="2"/>
        <v/>
      </c>
      <c r="Q517" s="169"/>
      <c r="R517" s="169" t="str">
        <f t="shared" si="3"/>
        <v/>
      </c>
      <c r="S517" s="169"/>
      <c r="T517" s="169" t="str">
        <f t="shared" si="4"/>
        <v/>
      </c>
      <c r="U517" s="169"/>
      <c r="V517" s="169" t="str">
        <f t="shared" si="5"/>
        <v/>
      </c>
      <c r="W517" s="169"/>
      <c r="X517" s="169" t="str">
        <f t="shared" si="6"/>
        <v/>
      </c>
      <c r="Y517" s="169"/>
      <c r="Z517" s="169" t="str">
        <f t="shared" si="7"/>
        <v/>
      </c>
      <c r="AA517" s="169"/>
      <c r="AB517" s="169" t="str">
        <f t="shared" si="8"/>
        <v/>
      </c>
      <c r="AC517" s="169"/>
      <c r="AD517" s="169" t="str">
        <f t="shared" si="9"/>
        <v/>
      </c>
      <c r="AE517" s="169"/>
      <c r="AF517" s="169" t="str">
        <f t="shared" si="10"/>
        <v/>
      </c>
      <c r="AG517" s="169"/>
      <c r="AH517" s="169" t="str">
        <f t="shared" si="11"/>
        <v/>
      </c>
      <c r="AI517" s="169"/>
      <c r="AJ517" s="169" t="str">
        <f t="shared" si="12"/>
        <v/>
      </c>
    </row>
    <row r="518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 t="str">
        <f t="shared" si="2"/>
        <v/>
      </c>
      <c r="Q518" s="169"/>
      <c r="R518" s="169" t="str">
        <f t="shared" si="3"/>
        <v/>
      </c>
      <c r="S518" s="169"/>
      <c r="T518" s="169" t="str">
        <f t="shared" si="4"/>
        <v/>
      </c>
      <c r="U518" s="169"/>
      <c r="V518" s="169" t="str">
        <f t="shared" si="5"/>
        <v/>
      </c>
      <c r="W518" s="169"/>
      <c r="X518" s="169" t="str">
        <f t="shared" si="6"/>
        <v/>
      </c>
      <c r="Y518" s="169"/>
      <c r="Z518" s="169" t="str">
        <f t="shared" si="7"/>
        <v/>
      </c>
      <c r="AA518" s="169"/>
      <c r="AB518" s="169" t="str">
        <f t="shared" si="8"/>
        <v/>
      </c>
      <c r="AC518" s="169"/>
      <c r="AD518" s="169" t="str">
        <f t="shared" si="9"/>
        <v/>
      </c>
      <c r="AE518" s="169"/>
      <c r="AF518" s="169" t="str">
        <f t="shared" si="10"/>
        <v/>
      </c>
      <c r="AG518" s="169"/>
      <c r="AH518" s="169" t="str">
        <f t="shared" si="11"/>
        <v/>
      </c>
      <c r="AI518" s="169"/>
      <c r="AJ518" s="169" t="str">
        <f t="shared" si="12"/>
        <v/>
      </c>
    </row>
    <row r="519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 t="str">
        <f t="shared" si="2"/>
        <v/>
      </c>
      <c r="Q519" s="169"/>
      <c r="R519" s="169" t="str">
        <f t="shared" si="3"/>
        <v/>
      </c>
      <c r="S519" s="169"/>
      <c r="T519" s="169" t="str">
        <f t="shared" si="4"/>
        <v/>
      </c>
      <c r="U519" s="169"/>
      <c r="V519" s="169" t="str">
        <f t="shared" si="5"/>
        <v/>
      </c>
      <c r="W519" s="169"/>
      <c r="X519" s="169" t="str">
        <f t="shared" si="6"/>
        <v/>
      </c>
      <c r="Y519" s="169"/>
      <c r="Z519" s="169" t="str">
        <f t="shared" si="7"/>
        <v/>
      </c>
      <c r="AA519" s="169"/>
      <c r="AB519" s="169" t="str">
        <f t="shared" si="8"/>
        <v/>
      </c>
      <c r="AC519" s="169"/>
      <c r="AD519" s="169" t="str">
        <f t="shared" si="9"/>
        <v/>
      </c>
      <c r="AE519" s="169"/>
      <c r="AF519" s="169" t="str">
        <f t="shared" si="10"/>
        <v/>
      </c>
      <c r="AG519" s="169"/>
      <c r="AH519" s="169" t="str">
        <f t="shared" si="11"/>
        <v/>
      </c>
      <c r="AI519" s="169"/>
      <c r="AJ519" s="169" t="str">
        <f t="shared" si="12"/>
        <v/>
      </c>
    </row>
    <row r="520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 t="str">
        <f t="shared" si="2"/>
        <v/>
      </c>
      <c r="Q520" s="169"/>
      <c r="R520" s="169" t="str">
        <f t="shared" si="3"/>
        <v/>
      </c>
      <c r="S520" s="169"/>
      <c r="T520" s="169" t="str">
        <f t="shared" si="4"/>
        <v/>
      </c>
      <c r="U520" s="169"/>
      <c r="V520" s="169" t="str">
        <f t="shared" si="5"/>
        <v/>
      </c>
      <c r="W520" s="169"/>
      <c r="X520" s="169" t="str">
        <f t="shared" si="6"/>
        <v/>
      </c>
      <c r="Y520" s="169"/>
      <c r="Z520" s="169" t="str">
        <f t="shared" si="7"/>
        <v/>
      </c>
      <c r="AA520" s="169"/>
      <c r="AB520" s="169" t="str">
        <f t="shared" si="8"/>
        <v/>
      </c>
      <c r="AC520" s="169"/>
      <c r="AD520" s="169" t="str">
        <f t="shared" si="9"/>
        <v/>
      </c>
      <c r="AE520" s="169"/>
      <c r="AF520" s="169" t="str">
        <f t="shared" si="10"/>
        <v/>
      </c>
      <c r="AG520" s="169"/>
      <c r="AH520" s="169" t="str">
        <f t="shared" si="11"/>
        <v/>
      </c>
      <c r="AI520" s="169"/>
      <c r="AJ520" s="169" t="str">
        <f t="shared" si="12"/>
        <v/>
      </c>
    </row>
    <row r="52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 t="str">
        <f t="shared" si="2"/>
        <v/>
      </c>
      <c r="Q521" s="169"/>
      <c r="R521" s="169" t="str">
        <f t="shared" si="3"/>
        <v/>
      </c>
      <c r="S521" s="169"/>
      <c r="T521" s="169" t="str">
        <f t="shared" si="4"/>
        <v/>
      </c>
      <c r="U521" s="169"/>
      <c r="V521" s="169" t="str">
        <f t="shared" si="5"/>
        <v/>
      </c>
      <c r="W521" s="169"/>
      <c r="X521" s="169" t="str">
        <f t="shared" si="6"/>
        <v/>
      </c>
      <c r="Y521" s="169"/>
      <c r="Z521" s="169" t="str">
        <f t="shared" si="7"/>
        <v/>
      </c>
      <c r="AA521" s="169"/>
      <c r="AB521" s="169" t="str">
        <f t="shared" si="8"/>
        <v/>
      </c>
      <c r="AC521" s="169"/>
      <c r="AD521" s="169" t="str">
        <f t="shared" si="9"/>
        <v/>
      </c>
      <c r="AE521" s="169"/>
      <c r="AF521" s="169" t="str">
        <f t="shared" si="10"/>
        <v/>
      </c>
      <c r="AG521" s="169"/>
      <c r="AH521" s="169" t="str">
        <f t="shared" si="11"/>
        <v/>
      </c>
      <c r="AI521" s="169"/>
      <c r="AJ521" s="169" t="str">
        <f t="shared" si="12"/>
        <v/>
      </c>
    </row>
    <row r="52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 t="str">
        <f t="shared" si="2"/>
        <v/>
      </c>
      <c r="Q522" s="169"/>
      <c r="R522" s="169" t="str">
        <f t="shared" si="3"/>
        <v/>
      </c>
      <c r="S522" s="169"/>
      <c r="T522" s="169" t="str">
        <f t="shared" si="4"/>
        <v/>
      </c>
      <c r="U522" s="169"/>
      <c r="V522" s="169" t="str">
        <f t="shared" si="5"/>
        <v/>
      </c>
      <c r="W522" s="169"/>
      <c r="X522" s="169" t="str">
        <f t="shared" si="6"/>
        <v/>
      </c>
      <c r="Y522" s="169"/>
      <c r="Z522" s="169" t="str">
        <f t="shared" si="7"/>
        <v/>
      </c>
      <c r="AA522" s="169"/>
      <c r="AB522" s="169" t="str">
        <f t="shared" si="8"/>
        <v/>
      </c>
      <c r="AC522" s="169"/>
      <c r="AD522" s="169" t="str">
        <f t="shared" si="9"/>
        <v/>
      </c>
      <c r="AE522" s="169"/>
      <c r="AF522" s="169" t="str">
        <f t="shared" si="10"/>
        <v/>
      </c>
      <c r="AG522" s="169"/>
      <c r="AH522" s="169" t="str">
        <f t="shared" si="11"/>
        <v/>
      </c>
      <c r="AI522" s="169"/>
      <c r="AJ522" s="169" t="str">
        <f t="shared" si="12"/>
        <v/>
      </c>
    </row>
    <row r="523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 t="str">
        <f t="shared" si="2"/>
        <v/>
      </c>
      <c r="Q523" s="169"/>
      <c r="R523" s="169" t="str">
        <f t="shared" si="3"/>
        <v/>
      </c>
      <c r="S523" s="169"/>
      <c r="T523" s="169" t="str">
        <f t="shared" si="4"/>
        <v/>
      </c>
      <c r="U523" s="169"/>
      <c r="V523" s="169" t="str">
        <f t="shared" si="5"/>
        <v/>
      </c>
      <c r="W523" s="169"/>
      <c r="X523" s="169" t="str">
        <f t="shared" si="6"/>
        <v/>
      </c>
      <c r="Y523" s="169"/>
      <c r="Z523" s="169" t="str">
        <f t="shared" si="7"/>
        <v/>
      </c>
      <c r="AA523" s="169"/>
      <c r="AB523" s="169" t="str">
        <f t="shared" si="8"/>
        <v/>
      </c>
      <c r="AC523" s="169"/>
      <c r="AD523" s="169" t="str">
        <f t="shared" si="9"/>
        <v/>
      </c>
      <c r="AE523" s="169"/>
      <c r="AF523" s="169" t="str">
        <f t="shared" si="10"/>
        <v/>
      </c>
      <c r="AG523" s="169"/>
      <c r="AH523" s="169" t="str">
        <f t="shared" si="11"/>
        <v/>
      </c>
      <c r="AI523" s="169"/>
      <c r="AJ523" s="169" t="str">
        <f t="shared" si="12"/>
        <v/>
      </c>
    </row>
    <row r="524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 t="str">
        <f t="shared" si="2"/>
        <v/>
      </c>
      <c r="Q524" s="169"/>
      <c r="R524" s="169" t="str">
        <f t="shared" si="3"/>
        <v/>
      </c>
      <c r="S524" s="169"/>
      <c r="T524" s="169" t="str">
        <f t="shared" si="4"/>
        <v/>
      </c>
      <c r="U524" s="169"/>
      <c r="V524" s="169" t="str">
        <f t="shared" si="5"/>
        <v/>
      </c>
      <c r="W524" s="169"/>
      <c r="X524" s="169" t="str">
        <f t="shared" si="6"/>
        <v/>
      </c>
      <c r="Y524" s="169"/>
      <c r="Z524" s="169" t="str">
        <f t="shared" si="7"/>
        <v/>
      </c>
      <c r="AA524" s="169"/>
      <c r="AB524" s="169" t="str">
        <f t="shared" si="8"/>
        <v/>
      </c>
      <c r="AC524" s="169"/>
      <c r="AD524" s="169" t="str">
        <f t="shared" si="9"/>
        <v/>
      </c>
      <c r="AE524" s="169"/>
      <c r="AF524" s="169" t="str">
        <f t="shared" si="10"/>
        <v/>
      </c>
      <c r="AG524" s="169"/>
      <c r="AH524" s="169" t="str">
        <f t="shared" si="11"/>
        <v/>
      </c>
      <c r="AI524" s="169"/>
      <c r="AJ524" s="169" t="str">
        <f t="shared" si="12"/>
        <v/>
      </c>
    </row>
    <row r="5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 t="str">
        <f t="shared" si="2"/>
        <v/>
      </c>
      <c r="Q525" s="169"/>
      <c r="R525" s="169" t="str">
        <f t="shared" si="3"/>
        <v/>
      </c>
      <c r="S525" s="169"/>
      <c r="T525" s="169" t="str">
        <f t="shared" si="4"/>
        <v/>
      </c>
      <c r="U525" s="169"/>
      <c r="V525" s="169" t="str">
        <f t="shared" si="5"/>
        <v/>
      </c>
      <c r="W525" s="169"/>
      <c r="X525" s="169" t="str">
        <f t="shared" si="6"/>
        <v/>
      </c>
      <c r="Y525" s="169"/>
      <c r="Z525" s="169" t="str">
        <f t="shared" si="7"/>
        <v/>
      </c>
      <c r="AA525" s="169"/>
      <c r="AB525" s="169" t="str">
        <f t="shared" si="8"/>
        <v/>
      </c>
      <c r="AC525" s="169"/>
      <c r="AD525" s="169" t="str">
        <f t="shared" si="9"/>
        <v/>
      </c>
      <c r="AE525" s="169"/>
      <c r="AF525" s="169" t="str">
        <f t="shared" si="10"/>
        <v/>
      </c>
      <c r="AG525" s="169"/>
      <c r="AH525" s="169" t="str">
        <f t="shared" si="11"/>
        <v/>
      </c>
      <c r="AI525" s="169"/>
      <c r="AJ525" s="169" t="str">
        <f t="shared" si="12"/>
        <v/>
      </c>
    </row>
    <row r="526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 t="str">
        <f t="shared" si="2"/>
        <v/>
      </c>
      <c r="Q526" s="169"/>
      <c r="R526" s="169" t="str">
        <f t="shared" si="3"/>
        <v/>
      </c>
      <c r="S526" s="169"/>
      <c r="T526" s="169" t="str">
        <f t="shared" si="4"/>
        <v/>
      </c>
      <c r="U526" s="169"/>
      <c r="V526" s="169" t="str">
        <f t="shared" si="5"/>
        <v/>
      </c>
      <c r="W526" s="169"/>
      <c r="X526" s="169" t="str">
        <f t="shared" si="6"/>
        <v/>
      </c>
      <c r="Y526" s="169"/>
      <c r="Z526" s="169" t="str">
        <f t="shared" si="7"/>
        <v/>
      </c>
      <c r="AA526" s="169"/>
      <c r="AB526" s="169" t="str">
        <f t="shared" si="8"/>
        <v/>
      </c>
      <c r="AC526" s="169"/>
      <c r="AD526" s="169" t="str">
        <f t="shared" si="9"/>
        <v/>
      </c>
      <c r="AE526" s="169"/>
      <c r="AF526" s="169" t="str">
        <f t="shared" si="10"/>
        <v/>
      </c>
      <c r="AG526" s="169"/>
      <c r="AH526" s="169" t="str">
        <f t="shared" si="11"/>
        <v/>
      </c>
      <c r="AI526" s="169"/>
      <c r="AJ526" s="169" t="str">
        <f t="shared" si="12"/>
        <v/>
      </c>
    </row>
    <row r="527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 t="str">
        <f t="shared" si="2"/>
        <v/>
      </c>
      <c r="Q527" s="169"/>
      <c r="R527" s="169" t="str">
        <f t="shared" si="3"/>
        <v/>
      </c>
      <c r="S527" s="169"/>
      <c r="T527" s="169" t="str">
        <f t="shared" si="4"/>
        <v/>
      </c>
      <c r="U527" s="169"/>
      <c r="V527" s="169" t="str">
        <f t="shared" si="5"/>
        <v/>
      </c>
      <c r="W527" s="169"/>
      <c r="X527" s="169" t="str">
        <f t="shared" si="6"/>
        <v/>
      </c>
      <c r="Y527" s="169"/>
      <c r="Z527" s="169" t="str">
        <f t="shared" si="7"/>
        <v/>
      </c>
      <c r="AA527" s="169"/>
      <c r="AB527" s="169" t="str">
        <f t="shared" si="8"/>
        <v/>
      </c>
      <c r="AC527" s="169"/>
      <c r="AD527" s="169" t="str">
        <f t="shared" si="9"/>
        <v/>
      </c>
      <c r="AE527" s="169"/>
      <c r="AF527" s="169" t="str">
        <f t="shared" si="10"/>
        <v/>
      </c>
      <c r="AG527" s="169"/>
      <c r="AH527" s="169" t="str">
        <f t="shared" si="11"/>
        <v/>
      </c>
      <c r="AI527" s="169"/>
      <c r="AJ527" s="169" t="str">
        <f t="shared" si="12"/>
        <v/>
      </c>
    </row>
    <row r="528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 t="str">
        <f t="shared" si="2"/>
        <v/>
      </c>
      <c r="Q528" s="169"/>
      <c r="R528" s="169" t="str">
        <f t="shared" si="3"/>
        <v/>
      </c>
      <c r="S528" s="169"/>
      <c r="T528" s="169" t="str">
        <f t="shared" si="4"/>
        <v/>
      </c>
      <c r="U528" s="169"/>
      <c r="V528" s="169" t="str">
        <f t="shared" si="5"/>
        <v/>
      </c>
      <c r="W528" s="169"/>
      <c r="X528" s="169" t="str">
        <f t="shared" si="6"/>
        <v/>
      </c>
      <c r="Y528" s="169"/>
      <c r="Z528" s="169" t="str">
        <f t="shared" si="7"/>
        <v/>
      </c>
      <c r="AA528" s="169"/>
      <c r="AB528" s="169" t="str">
        <f t="shared" si="8"/>
        <v/>
      </c>
      <c r="AC528" s="169"/>
      <c r="AD528" s="169" t="str">
        <f t="shared" si="9"/>
        <v/>
      </c>
      <c r="AE528" s="169"/>
      <c r="AF528" s="169" t="str">
        <f t="shared" si="10"/>
        <v/>
      </c>
      <c r="AG528" s="169"/>
      <c r="AH528" s="169" t="str">
        <f t="shared" si="11"/>
        <v/>
      </c>
      <c r="AI528" s="169"/>
      <c r="AJ528" s="169" t="str">
        <f t="shared" si="12"/>
        <v/>
      </c>
    </row>
    <row r="529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 t="str">
        <f t="shared" si="2"/>
        <v/>
      </c>
      <c r="Q529" s="169"/>
      <c r="R529" s="169" t="str">
        <f t="shared" si="3"/>
        <v/>
      </c>
      <c r="S529" s="169"/>
      <c r="T529" s="169" t="str">
        <f t="shared" si="4"/>
        <v/>
      </c>
      <c r="U529" s="169"/>
      <c r="V529" s="169" t="str">
        <f t="shared" si="5"/>
        <v/>
      </c>
      <c r="W529" s="169"/>
      <c r="X529" s="169" t="str">
        <f t="shared" si="6"/>
        <v/>
      </c>
      <c r="Y529" s="169"/>
      <c r="Z529" s="169" t="str">
        <f t="shared" si="7"/>
        <v/>
      </c>
      <c r="AA529" s="169"/>
      <c r="AB529" s="169" t="str">
        <f t="shared" si="8"/>
        <v/>
      </c>
      <c r="AC529" s="169"/>
      <c r="AD529" s="169" t="str">
        <f t="shared" si="9"/>
        <v/>
      </c>
      <c r="AE529" s="169"/>
      <c r="AF529" s="169" t="str">
        <f t="shared" si="10"/>
        <v/>
      </c>
      <c r="AG529" s="169"/>
      <c r="AH529" s="169" t="str">
        <f t="shared" si="11"/>
        <v/>
      </c>
      <c r="AI529" s="169"/>
      <c r="AJ529" s="169" t="str">
        <f t="shared" si="12"/>
        <v/>
      </c>
    </row>
    <row r="530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 t="str">
        <f t="shared" si="2"/>
        <v/>
      </c>
      <c r="Q530" s="169"/>
      <c r="R530" s="169" t="str">
        <f t="shared" si="3"/>
        <v/>
      </c>
      <c r="S530" s="169"/>
      <c r="T530" s="169" t="str">
        <f t="shared" si="4"/>
        <v/>
      </c>
      <c r="U530" s="169"/>
      <c r="V530" s="169" t="str">
        <f t="shared" si="5"/>
        <v/>
      </c>
      <c r="W530" s="169"/>
      <c r="X530" s="169" t="str">
        <f t="shared" si="6"/>
        <v/>
      </c>
      <c r="Y530" s="169"/>
      <c r="Z530" s="169" t="str">
        <f t="shared" si="7"/>
        <v/>
      </c>
      <c r="AA530" s="169"/>
      <c r="AB530" s="169" t="str">
        <f t="shared" si="8"/>
        <v/>
      </c>
      <c r="AC530" s="169"/>
      <c r="AD530" s="169" t="str">
        <f t="shared" si="9"/>
        <v/>
      </c>
      <c r="AE530" s="169"/>
      <c r="AF530" s="169" t="str">
        <f t="shared" si="10"/>
        <v/>
      </c>
      <c r="AG530" s="169"/>
      <c r="AH530" s="169" t="str">
        <f t="shared" si="11"/>
        <v/>
      </c>
      <c r="AI530" s="169"/>
      <c r="AJ530" s="169" t="str">
        <f t="shared" si="12"/>
        <v/>
      </c>
    </row>
    <row r="5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 t="str">
        <f t="shared" si="2"/>
        <v/>
      </c>
      <c r="Q531" s="169"/>
      <c r="R531" s="169" t="str">
        <f t="shared" si="3"/>
        <v/>
      </c>
      <c r="S531" s="169"/>
      <c r="T531" s="169" t="str">
        <f t="shared" si="4"/>
        <v/>
      </c>
      <c r="U531" s="169"/>
      <c r="V531" s="169" t="str">
        <f t="shared" si="5"/>
        <v/>
      </c>
      <c r="W531" s="169"/>
      <c r="X531" s="169" t="str">
        <f t="shared" si="6"/>
        <v/>
      </c>
      <c r="Y531" s="169"/>
      <c r="Z531" s="169" t="str">
        <f t="shared" si="7"/>
        <v/>
      </c>
      <c r="AA531" s="169"/>
      <c r="AB531" s="169" t="str">
        <f t="shared" si="8"/>
        <v/>
      </c>
      <c r="AC531" s="169"/>
      <c r="AD531" s="169" t="str">
        <f t="shared" si="9"/>
        <v/>
      </c>
      <c r="AE531" s="169"/>
      <c r="AF531" s="169" t="str">
        <f t="shared" si="10"/>
        <v/>
      </c>
      <c r="AG531" s="169"/>
      <c r="AH531" s="169" t="str">
        <f t="shared" si="11"/>
        <v/>
      </c>
      <c r="AI531" s="169"/>
      <c r="AJ531" s="169" t="str">
        <f t="shared" si="12"/>
        <v/>
      </c>
    </row>
    <row r="53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 t="str">
        <f t="shared" si="2"/>
        <v/>
      </c>
      <c r="Q532" s="169"/>
      <c r="R532" s="169" t="str">
        <f t="shared" si="3"/>
        <v/>
      </c>
      <c r="S532" s="169"/>
      <c r="T532" s="169" t="str">
        <f t="shared" si="4"/>
        <v/>
      </c>
      <c r="U532" s="169"/>
      <c r="V532" s="169" t="str">
        <f t="shared" si="5"/>
        <v/>
      </c>
      <c r="W532" s="169"/>
      <c r="X532" s="169" t="str">
        <f t="shared" si="6"/>
        <v/>
      </c>
      <c r="Y532" s="169"/>
      <c r="Z532" s="169" t="str">
        <f t="shared" si="7"/>
        <v/>
      </c>
      <c r="AA532" s="169"/>
      <c r="AB532" s="169" t="str">
        <f t="shared" si="8"/>
        <v/>
      </c>
      <c r="AC532" s="169"/>
      <c r="AD532" s="169" t="str">
        <f t="shared" si="9"/>
        <v/>
      </c>
      <c r="AE532" s="169"/>
      <c r="AF532" s="169" t="str">
        <f t="shared" si="10"/>
        <v/>
      </c>
      <c r="AG532" s="169"/>
      <c r="AH532" s="169" t="str">
        <f t="shared" si="11"/>
        <v/>
      </c>
      <c r="AI532" s="169"/>
      <c r="AJ532" s="169" t="str">
        <f t="shared" si="12"/>
        <v/>
      </c>
    </row>
    <row r="533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 t="str">
        <f t="shared" si="2"/>
        <v/>
      </c>
      <c r="Q533" s="169"/>
      <c r="R533" s="169" t="str">
        <f t="shared" si="3"/>
        <v/>
      </c>
      <c r="S533" s="169"/>
      <c r="T533" s="169" t="str">
        <f t="shared" si="4"/>
        <v/>
      </c>
      <c r="U533" s="169"/>
      <c r="V533" s="169" t="str">
        <f t="shared" si="5"/>
        <v/>
      </c>
      <c r="W533" s="169"/>
      <c r="X533" s="169" t="str">
        <f t="shared" si="6"/>
        <v/>
      </c>
      <c r="Y533" s="169"/>
      <c r="Z533" s="169" t="str">
        <f t="shared" si="7"/>
        <v/>
      </c>
      <c r="AA533" s="169"/>
      <c r="AB533" s="169" t="str">
        <f t="shared" si="8"/>
        <v/>
      </c>
      <c r="AC533" s="169"/>
      <c r="AD533" s="169" t="str">
        <f t="shared" si="9"/>
        <v/>
      </c>
      <c r="AE533" s="169"/>
      <c r="AF533" s="169" t="str">
        <f t="shared" si="10"/>
        <v/>
      </c>
      <c r="AG533" s="169"/>
      <c r="AH533" s="169" t="str">
        <f t="shared" si="11"/>
        <v/>
      </c>
      <c r="AI533" s="169"/>
      <c r="AJ533" s="169" t="str">
        <f t="shared" si="12"/>
        <v/>
      </c>
    </row>
    <row r="534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 t="str">
        <f t="shared" si="2"/>
        <v/>
      </c>
      <c r="Q534" s="169"/>
      <c r="R534" s="169" t="str">
        <f t="shared" si="3"/>
        <v/>
      </c>
      <c r="S534" s="169"/>
      <c r="T534" s="169" t="str">
        <f t="shared" si="4"/>
        <v/>
      </c>
      <c r="U534" s="169"/>
      <c r="V534" s="169" t="str">
        <f t="shared" si="5"/>
        <v/>
      </c>
      <c r="W534" s="169"/>
      <c r="X534" s="169" t="str">
        <f t="shared" si="6"/>
        <v/>
      </c>
      <c r="Y534" s="169"/>
      <c r="Z534" s="169" t="str">
        <f t="shared" si="7"/>
        <v/>
      </c>
      <c r="AA534" s="169"/>
      <c r="AB534" s="169" t="str">
        <f t="shared" si="8"/>
        <v/>
      </c>
      <c r="AC534" s="169"/>
      <c r="AD534" s="169" t="str">
        <f t="shared" si="9"/>
        <v/>
      </c>
      <c r="AE534" s="169"/>
      <c r="AF534" s="169" t="str">
        <f t="shared" si="10"/>
        <v/>
      </c>
      <c r="AG534" s="169"/>
      <c r="AH534" s="169" t="str">
        <f t="shared" si="11"/>
        <v/>
      </c>
      <c r="AI534" s="169"/>
      <c r="AJ534" s="169" t="str">
        <f t="shared" si="12"/>
        <v/>
      </c>
    </row>
    <row r="53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 t="str">
        <f t="shared" si="2"/>
        <v/>
      </c>
      <c r="Q535" s="169"/>
      <c r="R535" s="169" t="str">
        <f t="shared" si="3"/>
        <v/>
      </c>
      <c r="S535" s="169"/>
      <c r="T535" s="169" t="str">
        <f t="shared" si="4"/>
        <v/>
      </c>
      <c r="U535" s="169"/>
      <c r="V535" s="169" t="str">
        <f t="shared" si="5"/>
        <v/>
      </c>
      <c r="W535" s="169"/>
      <c r="X535" s="169" t="str">
        <f t="shared" si="6"/>
        <v/>
      </c>
      <c r="Y535" s="169"/>
      <c r="Z535" s="169" t="str">
        <f t="shared" si="7"/>
        <v/>
      </c>
      <c r="AA535" s="169"/>
      <c r="AB535" s="169" t="str">
        <f t="shared" si="8"/>
        <v/>
      </c>
      <c r="AC535" s="169"/>
      <c r="AD535" s="169" t="str">
        <f t="shared" si="9"/>
        <v/>
      </c>
      <c r="AE535" s="169"/>
      <c r="AF535" s="169" t="str">
        <f t="shared" si="10"/>
        <v/>
      </c>
      <c r="AG535" s="169"/>
      <c r="AH535" s="169" t="str">
        <f t="shared" si="11"/>
        <v/>
      </c>
      <c r="AI535" s="169"/>
      <c r="AJ535" s="169" t="str">
        <f t="shared" si="12"/>
        <v/>
      </c>
    </row>
    <row r="536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 t="str">
        <f t="shared" si="2"/>
        <v/>
      </c>
      <c r="Q536" s="169"/>
      <c r="R536" s="169" t="str">
        <f t="shared" si="3"/>
        <v/>
      </c>
      <c r="S536" s="169"/>
      <c r="T536" s="169" t="str">
        <f t="shared" si="4"/>
        <v/>
      </c>
      <c r="U536" s="169"/>
      <c r="V536" s="169" t="str">
        <f t="shared" si="5"/>
        <v/>
      </c>
      <c r="W536" s="169"/>
      <c r="X536" s="169" t="str">
        <f t="shared" si="6"/>
        <v/>
      </c>
      <c r="Y536" s="169"/>
      <c r="Z536" s="169" t="str">
        <f t="shared" si="7"/>
        <v/>
      </c>
      <c r="AA536" s="169"/>
      <c r="AB536" s="169" t="str">
        <f t="shared" si="8"/>
        <v/>
      </c>
      <c r="AC536" s="169"/>
      <c r="AD536" s="169" t="str">
        <f t="shared" si="9"/>
        <v/>
      </c>
      <c r="AE536" s="169"/>
      <c r="AF536" s="169" t="str">
        <f t="shared" si="10"/>
        <v/>
      </c>
      <c r="AG536" s="169"/>
      <c r="AH536" s="169" t="str">
        <f t="shared" si="11"/>
        <v/>
      </c>
      <c r="AI536" s="169"/>
      <c r="AJ536" s="169" t="str">
        <f t="shared" si="12"/>
        <v/>
      </c>
    </row>
    <row r="537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 t="str">
        <f t="shared" si="2"/>
        <v/>
      </c>
      <c r="Q537" s="169"/>
      <c r="R537" s="169" t="str">
        <f t="shared" si="3"/>
        <v/>
      </c>
      <c r="S537" s="169"/>
      <c r="T537" s="169" t="str">
        <f t="shared" si="4"/>
        <v/>
      </c>
      <c r="U537" s="169"/>
      <c r="V537" s="169" t="str">
        <f t="shared" si="5"/>
        <v/>
      </c>
      <c r="W537" s="169"/>
      <c r="X537" s="169" t="str">
        <f t="shared" si="6"/>
        <v/>
      </c>
      <c r="Y537" s="169"/>
      <c r="Z537" s="169" t="str">
        <f t="shared" si="7"/>
        <v/>
      </c>
      <c r="AA537" s="169"/>
      <c r="AB537" s="169" t="str">
        <f t="shared" si="8"/>
        <v/>
      </c>
      <c r="AC537" s="169"/>
      <c r="AD537" s="169" t="str">
        <f t="shared" si="9"/>
        <v/>
      </c>
      <c r="AE537" s="169"/>
      <c r="AF537" s="169" t="str">
        <f t="shared" si="10"/>
        <v/>
      </c>
      <c r="AG537" s="169"/>
      <c r="AH537" s="169" t="str">
        <f t="shared" si="11"/>
        <v/>
      </c>
      <c r="AI537" s="169"/>
      <c r="AJ537" s="169" t="str">
        <f t="shared" si="12"/>
        <v/>
      </c>
    </row>
    <row r="538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 t="str">
        <f t="shared" si="2"/>
        <v/>
      </c>
      <c r="Q538" s="169"/>
      <c r="R538" s="169" t="str">
        <f t="shared" si="3"/>
        <v/>
      </c>
      <c r="S538" s="169"/>
      <c r="T538" s="169" t="str">
        <f t="shared" si="4"/>
        <v/>
      </c>
      <c r="U538" s="169"/>
      <c r="V538" s="169" t="str">
        <f t="shared" si="5"/>
        <v/>
      </c>
      <c r="W538" s="169"/>
      <c r="X538" s="169" t="str">
        <f t="shared" si="6"/>
        <v/>
      </c>
      <c r="Y538" s="169"/>
      <c r="Z538" s="169" t="str">
        <f t="shared" si="7"/>
        <v/>
      </c>
      <c r="AA538" s="169"/>
      <c r="AB538" s="169" t="str">
        <f t="shared" si="8"/>
        <v/>
      </c>
      <c r="AC538" s="169"/>
      <c r="AD538" s="169" t="str">
        <f t="shared" si="9"/>
        <v/>
      </c>
      <c r="AE538" s="169"/>
      <c r="AF538" s="169" t="str">
        <f t="shared" si="10"/>
        <v/>
      </c>
      <c r="AG538" s="169"/>
      <c r="AH538" s="169" t="str">
        <f t="shared" si="11"/>
        <v/>
      </c>
      <c r="AI538" s="169"/>
      <c r="AJ538" s="169" t="str">
        <f t="shared" si="12"/>
        <v/>
      </c>
    </row>
    <row r="539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 t="str">
        <f t="shared" si="2"/>
        <v/>
      </c>
      <c r="Q539" s="169"/>
      <c r="R539" s="169" t="str">
        <f t="shared" si="3"/>
        <v/>
      </c>
      <c r="S539" s="169"/>
      <c r="T539" s="169" t="str">
        <f t="shared" si="4"/>
        <v/>
      </c>
      <c r="U539" s="169"/>
      <c r="V539" s="169" t="str">
        <f t="shared" si="5"/>
        <v/>
      </c>
      <c r="W539" s="169"/>
      <c r="X539" s="169" t="str">
        <f t="shared" si="6"/>
        <v/>
      </c>
      <c r="Y539" s="169"/>
      <c r="Z539" s="169" t="str">
        <f t="shared" si="7"/>
        <v/>
      </c>
      <c r="AA539" s="169"/>
      <c r="AB539" s="169" t="str">
        <f t="shared" si="8"/>
        <v/>
      </c>
      <c r="AC539" s="169"/>
      <c r="AD539" s="169" t="str">
        <f t="shared" si="9"/>
        <v/>
      </c>
      <c r="AE539" s="169"/>
      <c r="AF539" s="169" t="str">
        <f t="shared" si="10"/>
        <v/>
      </c>
      <c r="AG539" s="169"/>
      <c r="AH539" s="169" t="str">
        <f t="shared" si="11"/>
        <v/>
      </c>
      <c r="AI539" s="169"/>
      <c r="AJ539" s="169" t="str">
        <f t="shared" si="12"/>
        <v/>
      </c>
    </row>
    <row r="540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 t="str">
        <f t="shared" si="2"/>
        <v/>
      </c>
      <c r="Q540" s="169"/>
      <c r="R540" s="169" t="str">
        <f t="shared" si="3"/>
        <v/>
      </c>
      <c r="S540" s="169"/>
      <c r="T540" s="169" t="str">
        <f t="shared" si="4"/>
        <v/>
      </c>
      <c r="U540" s="169"/>
      <c r="V540" s="169" t="str">
        <f t="shared" si="5"/>
        <v/>
      </c>
      <c r="W540" s="169"/>
      <c r="X540" s="169" t="str">
        <f t="shared" si="6"/>
        <v/>
      </c>
      <c r="Y540" s="169"/>
      <c r="Z540" s="169" t="str">
        <f t="shared" si="7"/>
        <v/>
      </c>
      <c r="AA540" s="169"/>
      <c r="AB540" s="169" t="str">
        <f t="shared" si="8"/>
        <v/>
      </c>
      <c r="AC540" s="169"/>
      <c r="AD540" s="169" t="str">
        <f t="shared" si="9"/>
        <v/>
      </c>
      <c r="AE540" s="169"/>
      <c r="AF540" s="169" t="str">
        <f t="shared" si="10"/>
        <v/>
      </c>
      <c r="AG540" s="169"/>
      <c r="AH540" s="169" t="str">
        <f t="shared" si="11"/>
        <v/>
      </c>
      <c r="AI540" s="169"/>
      <c r="AJ540" s="169" t="str">
        <f t="shared" si="12"/>
        <v/>
      </c>
    </row>
    <row r="54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 t="str">
        <f t="shared" si="2"/>
        <v/>
      </c>
      <c r="Q541" s="169"/>
      <c r="R541" s="169" t="str">
        <f t="shared" si="3"/>
        <v/>
      </c>
      <c r="S541" s="169"/>
      <c r="T541" s="169" t="str">
        <f t="shared" si="4"/>
        <v/>
      </c>
      <c r="U541" s="169"/>
      <c r="V541" s="169" t="str">
        <f t="shared" si="5"/>
        <v/>
      </c>
      <c r="W541" s="169"/>
      <c r="X541" s="169" t="str">
        <f t="shared" si="6"/>
        <v/>
      </c>
      <c r="Y541" s="169"/>
      <c r="Z541" s="169" t="str">
        <f t="shared" si="7"/>
        <v/>
      </c>
      <c r="AA541" s="169"/>
      <c r="AB541" s="169" t="str">
        <f t="shared" si="8"/>
        <v/>
      </c>
      <c r="AC541" s="169"/>
      <c r="AD541" s="169" t="str">
        <f t="shared" si="9"/>
        <v/>
      </c>
      <c r="AE541" s="169"/>
      <c r="AF541" s="169" t="str">
        <f t="shared" si="10"/>
        <v/>
      </c>
      <c r="AG541" s="169"/>
      <c r="AH541" s="169" t="str">
        <f t="shared" si="11"/>
        <v/>
      </c>
      <c r="AI541" s="169"/>
      <c r="AJ541" s="169" t="str">
        <f t="shared" si="12"/>
        <v/>
      </c>
    </row>
    <row r="54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 t="str">
        <f t="shared" si="2"/>
        <v/>
      </c>
      <c r="Q542" s="169"/>
      <c r="R542" s="169" t="str">
        <f t="shared" si="3"/>
        <v/>
      </c>
      <c r="S542" s="169"/>
      <c r="T542" s="169" t="str">
        <f t="shared" si="4"/>
        <v/>
      </c>
      <c r="U542" s="169"/>
      <c r="V542" s="169" t="str">
        <f t="shared" si="5"/>
        <v/>
      </c>
      <c r="W542" s="169"/>
      <c r="X542" s="169" t="str">
        <f t="shared" si="6"/>
        <v/>
      </c>
      <c r="Y542" s="169"/>
      <c r="Z542" s="169" t="str">
        <f t="shared" si="7"/>
        <v/>
      </c>
      <c r="AA542" s="169"/>
      <c r="AB542" s="169" t="str">
        <f t="shared" si="8"/>
        <v/>
      </c>
      <c r="AC542" s="169"/>
      <c r="AD542" s="169" t="str">
        <f t="shared" si="9"/>
        <v/>
      </c>
      <c r="AE542" s="169"/>
      <c r="AF542" s="169" t="str">
        <f t="shared" si="10"/>
        <v/>
      </c>
      <c r="AG542" s="169"/>
      <c r="AH542" s="169" t="str">
        <f t="shared" si="11"/>
        <v/>
      </c>
      <c r="AI542" s="169"/>
      <c r="AJ542" s="169" t="str">
        <f t="shared" si="12"/>
        <v/>
      </c>
    </row>
    <row r="543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 t="str">
        <f t="shared" si="2"/>
        <v/>
      </c>
      <c r="Q543" s="169"/>
      <c r="R543" s="169" t="str">
        <f t="shared" si="3"/>
        <v/>
      </c>
      <c r="S543" s="169"/>
      <c r="T543" s="169" t="str">
        <f t="shared" si="4"/>
        <v/>
      </c>
      <c r="U543" s="169"/>
      <c r="V543" s="169" t="str">
        <f t="shared" si="5"/>
        <v/>
      </c>
      <c r="W543" s="169"/>
      <c r="X543" s="169" t="str">
        <f t="shared" si="6"/>
        <v/>
      </c>
      <c r="Y543" s="169"/>
      <c r="Z543" s="169" t="str">
        <f t="shared" si="7"/>
        <v/>
      </c>
      <c r="AA543" s="169"/>
      <c r="AB543" s="169" t="str">
        <f t="shared" si="8"/>
        <v/>
      </c>
      <c r="AC543" s="169"/>
      <c r="AD543" s="169" t="str">
        <f t="shared" si="9"/>
        <v/>
      </c>
      <c r="AE543" s="169"/>
      <c r="AF543" s="169" t="str">
        <f t="shared" si="10"/>
        <v/>
      </c>
      <c r="AG543" s="169"/>
      <c r="AH543" s="169" t="str">
        <f t="shared" si="11"/>
        <v/>
      </c>
      <c r="AI543" s="169"/>
      <c r="AJ543" s="169" t="str">
        <f t="shared" si="12"/>
        <v/>
      </c>
    </row>
    <row r="544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 t="str">
        <f t="shared" si="2"/>
        <v/>
      </c>
      <c r="Q544" s="169"/>
      <c r="R544" s="169" t="str">
        <f t="shared" si="3"/>
        <v/>
      </c>
      <c r="S544" s="169"/>
      <c r="T544" s="169" t="str">
        <f t="shared" si="4"/>
        <v/>
      </c>
      <c r="U544" s="169"/>
      <c r="V544" s="169" t="str">
        <f t="shared" si="5"/>
        <v/>
      </c>
      <c r="W544" s="169"/>
      <c r="X544" s="169" t="str">
        <f t="shared" si="6"/>
        <v/>
      </c>
      <c r="Y544" s="169"/>
      <c r="Z544" s="169" t="str">
        <f t="shared" si="7"/>
        <v/>
      </c>
      <c r="AA544" s="169"/>
      <c r="AB544" s="169" t="str">
        <f t="shared" si="8"/>
        <v/>
      </c>
      <c r="AC544" s="169"/>
      <c r="AD544" s="169" t="str">
        <f t="shared" si="9"/>
        <v/>
      </c>
      <c r="AE544" s="169"/>
      <c r="AF544" s="169" t="str">
        <f t="shared" si="10"/>
        <v/>
      </c>
      <c r="AG544" s="169"/>
      <c r="AH544" s="169" t="str">
        <f t="shared" si="11"/>
        <v/>
      </c>
      <c r="AI544" s="169"/>
      <c r="AJ544" s="169" t="str">
        <f t="shared" si="12"/>
        <v/>
      </c>
    </row>
    <row r="54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 t="str">
        <f t="shared" si="2"/>
        <v/>
      </c>
      <c r="Q545" s="169"/>
      <c r="R545" s="169" t="str">
        <f t="shared" si="3"/>
        <v/>
      </c>
      <c r="S545" s="169"/>
      <c r="T545" s="169" t="str">
        <f t="shared" si="4"/>
        <v/>
      </c>
      <c r="U545" s="169"/>
      <c r="V545" s="169" t="str">
        <f t="shared" si="5"/>
        <v/>
      </c>
      <c r="W545" s="169"/>
      <c r="X545" s="169" t="str">
        <f t="shared" si="6"/>
        <v/>
      </c>
      <c r="Y545" s="169"/>
      <c r="Z545" s="169" t="str">
        <f t="shared" si="7"/>
        <v/>
      </c>
      <c r="AA545" s="169"/>
      <c r="AB545" s="169" t="str">
        <f t="shared" si="8"/>
        <v/>
      </c>
      <c r="AC545" s="169"/>
      <c r="AD545" s="169" t="str">
        <f t="shared" si="9"/>
        <v/>
      </c>
      <c r="AE545" s="169"/>
      <c r="AF545" s="169" t="str">
        <f t="shared" si="10"/>
        <v/>
      </c>
      <c r="AG545" s="169"/>
      <c r="AH545" s="169" t="str">
        <f t="shared" si="11"/>
        <v/>
      </c>
      <c r="AI545" s="169"/>
      <c r="AJ545" s="169" t="str">
        <f t="shared" si="12"/>
        <v/>
      </c>
    </row>
    <row r="546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 t="str">
        <f t="shared" si="2"/>
        <v/>
      </c>
      <c r="Q546" s="169"/>
      <c r="R546" s="169" t="str">
        <f t="shared" si="3"/>
        <v/>
      </c>
      <c r="S546" s="169"/>
      <c r="T546" s="169" t="str">
        <f t="shared" si="4"/>
        <v/>
      </c>
      <c r="U546" s="169"/>
      <c r="V546" s="169" t="str">
        <f t="shared" si="5"/>
        <v/>
      </c>
      <c r="W546" s="169"/>
      <c r="X546" s="169" t="str">
        <f t="shared" si="6"/>
        <v/>
      </c>
      <c r="Y546" s="169"/>
      <c r="Z546" s="169" t="str">
        <f t="shared" si="7"/>
        <v/>
      </c>
      <c r="AA546" s="169"/>
      <c r="AB546" s="169" t="str">
        <f t="shared" si="8"/>
        <v/>
      </c>
      <c r="AC546" s="169"/>
      <c r="AD546" s="169" t="str">
        <f t="shared" si="9"/>
        <v/>
      </c>
      <c r="AE546" s="169"/>
      <c r="AF546" s="169" t="str">
        <f t="shared" si="10"/>
        <v/>
      </c>
      <c r="AG546" s="169"/>
      <c r="AH546" s="169" t="str">
        <f t="shared" si="11"/>
        <v/>
      </c>
      <c r="AI546" s="169"/>
      <c r="AJ546" s="169" t="str">
        <f t="shared" si="12"/>
        <v/>
      </c>
    </row>
    <row r="547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 t="str">
        <f t="shared" si="2"/>
        <v/>
      </c>
      <c r="Q547" s="169"/>
      <c r="R547" s="169" t="str">
        <f t="shared" si="3"/>
        <v/>
      </c>
      <c r="S547" s="169"/>
      <c r="T547" s="169" t="str">
        <f t="shared" si="4"/>
        <v/>
      </c>
      <c r="U547" s="169"/>
      <c r="V547" s="169" t="str">
        <f t="shared" si="5"/>
        <v/>
      </c>
      <c r="W547" s="169"/>
      <c r="X547" s="169" t="str">
        <f t="shared" si="6"/>
        <v/>
      </c>
      <c r="Y547" s="169"/>
      <c r="Z547" s="169" t="str">
        <f t="shared" si="7"/>
        <v/>
      </c>
      <c r="AA547" s="169"/>
      <c r="AB547" s="169" t="str">
        <f t="shared" si="8"/>
        <v/>
      </c>
      <c r="AC547" s="169"/>
      <c r="AD547" s="169" t="str">
        <f t="shared" si="9"/>
        <v/>
      </c>
      <c r="AE547" s="169"/>
      <c r="AF547" s="169" t="str">
        <f t="shared" si="10"/>
        <v/>
      </c>
      <c r="AG547" s="169"/>
      <c r="AH547" s="169" t="str">
        <f t="shared" si="11"/>
        <v/>
      </c>
      <c r="AI547" s="169"/>
      <c r="AJ547" s="169" t="str">
        <f t="shared" si="12"/>
        <v/>
      </c>
    </row>
    <row r="548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 t="str">
        <f t="shared" si="2"/>
        <v/>
      </c>
      <c r="Q548" s="169"/>
      <c r="R548" s="169" t="str">
        <f t="shared" si="3"/>
        <v/>
      </c>
      <c r="S548" s="169"/>
      <c r="T548" s="169" t="str">
        <f t="shared" si="4"/>
        <v/>
      </c>
      <c r="U548" s="169"/>
      <c r="V548" s="169" t="str">
        <f t="shared" si="5"/>
        <v/>
      </c>
      <c r="W548" s="169"/>
      <c r="X548" s="169" t="str">
        <f t="shared" si="6"/>
        <v/>
      </c>
      <c r="Y548" s="169"/>
      <c r="Z548" s="169" t="str">
        <f t="shared" si="7"/>
        <v/>
      </c>
      <c r="AA548" s="169"/>
      <c r="AB548" s="169" t="str">
        <f t="shared" si="8"/>
        <v/>
      </c>
      <c r="AC548" s="169"/>
      <c r="AD548" s="169" t="str">
        <f t="shared" si="9"/>
        <v/>
      </c>
      <c r="AE548" s="169"/>
      <c r="AF548" s="169" t="str">
        <f t="shared" si="10"/>
        <v/>
      </c>
      <c r="AG548" s="169"/>
      <c r="AH548" s="169" t="str">
        <f t="shared" si="11"/>
        <v/>
      </c>
      <c r="AI548" s="169"/>
      <c r="AJ548" s="169" t="str">
        <f t="shared" si="12"/>
        <v/>
      </c>
    </row>
    <row r="549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 t="str">
        <f t="shared" si="2"/>
        <v/>
      </c>
      <c r="Q549" s="169"/>
      <c r="R549" s="169" t="str">
        <f t="shared" si="3"/>
        <v/>
      </c>
      <c r="S549" s="169"/>
      <c r="T549" s="169" t="str">
        <f t="shared" si="4"/>
        <v/>
      </c>
      <c r="U549" s="169"/>
      <c r="V549" s="169" t="str">
        <f t="shared" si="5"/>
        <v/>
      </c>
      <c r="W549" s="169"/>
      <c r="X549" s="169" t="str">
        <f t="shared" si="6"/>
        <v/>
      </c>
      <c r="Y549" s="169"/>
      <c r="Z549" s="169" t="str">
        <f t="shared" si="7"/>
        <v/>
      </c>
      <c r="AA549" s="169"/>
      <c r="AB549" s="169" t="str">
        <f t="shared" si="8"/>
        <v/>
      </c>
      <c r="AC549" s="169"/>
      <c r="AD549" s="169" t="str">
        <f t="shared" si="9"/>
        <v/>
      </c>
      <c r="AE549" s="169"/>
      <c r="AF549" s="169" t="str">
        <f t="shared" si="10"/>
        <v/>
      </c>
      <c r="AG549" s="169"/>
      <c r="AH549" s="169" t="str">
        <f t="shared" si="11"/>
        <v/>
      </c>
      <c r="AI549" s="169"/>
      <c r="AJ549" s="169" t="str">
        <f t="shared" si="12"/>
        <v/>
      </c>
    </row>
    <row r="550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 t="str">
        <f t="shared" si="2"/>
        <v/>
      </c>
      <c r="Q550" s="169"/>
      <c r="R550" s="169" t="str">
        <f t="shared" si="3"/>
        <v/>
      </c>
      <c r="S550" s="169"/>
      <c r="T550" s="169" t="str">
        <f t="shared" si="4"/>
        <v/>
      </c>
      <c r="U550" s="169"/>
      <c r="V550" s="169" t="str">
        <f t="shared" si="5"/>
        <v/>
      </c>
      <c r="W550" s="169"/>
      <c r="X550" s="169" t="str">
        <f t="shared" si="6"/>
        <v/>
      </c>
      <c r="Y550" s="169"/>
      <c r="Z550" s="169" t="str">
        <f t="shared" si="7"/>
        <v/>
      </c>
      <c r="AA550" s="169"/>
      <c r="AB550" s="169" t="str">
        <f t="shared" si="8"/>
        <v/>
      </c>
      <c r="AC550" s="169"/>
      <c r="AD550" s="169" t="str">
        <f t="shared" si="9"/>
        <v/>
      </c>
      <c r="AE550" s="169"/>
      <c r="AF550" s="169" t="str">
        <f t="shared" si="10"/>
        <v/>
      </c>
      <c r="AG550" s="169"/>
      <c r="AH550" s="169" t="str">
        <f t="shared" si="11"/>
        <v/>
      </c>
      <c r="AI550" s="169"/>
      <c r="AJ550" s="169" t="str">
        <f t="shared" si="12"/>
        <v/>
      </c>
    </row>
    <row r="55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 t="str">
        <f t="shared" si="2"/>
        <v/>
      </c>
      <c r="Q551" s="169"/>
      <c r="R551" s="169" t="str">
        <f t="shared" si="3"/>
        <v/>
      </c>
      <c r="S551" s="169"/>
      <c r="T551" s="169" t="str">
        <f t="shared" si="4"/>
        <v/>
      </c>
      <c r="U551" s="169"/>
      <c r="V551" s="169" t="str">
        <f t="shared" si="5"/>
        <v/>
      </c>
      <c r="W551" s="169"/>
      <c r="X551" s="169" t="str">
        <f t="shared" si="6"/>
        <v/>
      </c>
      <c r="Y551" s="169"/>
      <c r="Z551" s="169" t="str">
        <f t="shared" si="7"/>
        <v/>
      </c>
      <c r="AA551" s="169"/>
      <c r="AB551" s="169" t="str">
        <f t="shared" si="8"/>
        <v/>
      </c>
      <c r="AC551" s="169"/>
      <c r="AD551" s="169" t="str">
        <f t="shared" si="9"/>
        <v/>
      </c>
      <c r="AE551" s="169"/>
      <c r="AF551" s="169" t="str">
        <f t="shared" si="10"/>
        <v/>
      </c>
      <c r="AG551" s="169"/>
      <c r="AH551" s="169" t="str">
        <f t="shared" si="11"/>
        <v/>
      </c>
      <c r="AI551" s="169"/>
      <c r="AJ551" s="169" t="str">
        <f t="shared" si="12"/>
        <v/>
      </c>
    </row>
    <row r="55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 t="str">
        <f t="shared" si="2"/>
        <v/>
      </c>
      <c r="Q552" s="169"/>
      <c r="R552" s="169" t="str">
        <f t="shared" si="3"/>
        <v/>
      </c>
      <c r="S552" s="169"/>
      <c r="T552" s="169" t="str">
        <f t="shared" si="4"/>
        <v/>
      </c>
      <c r="U552" s="169"/>
      <c r="V552" s="169" t="str">
        <f t="shared" si="5"/>
        <v/>
      </c>
      <c r="W552" s="169"/>
      <c r="X552" s="169" t="str">
        <f t="shared" si="6"/>
        <v/>
      </c>
      <c r="Y552" s="169"/>
      <c r="Z552" s="169" t="str">
        <f t="shared" si="7"/>
        <v/>
      </c>
      <c r="AA552" s="169"/>
      <c r="AB552" s="169" t="str">
        <f t="shared" si="8"/>
        <v/>
      </c>
      <c r="AC552" s="169"/>
      <c r="AD552" s="169" t="str">
        <f t="shared" si="9"/>
        <v/>
      </c>
      <c r="AE552" s="169"/>
      <c r="AF552" s="169" t="str">
        <f t="shared" si="10"/>
        <v/>
      </c>
      <c r="AG552" s="169"/>
      <c r="AH552" s="169" t="str">
        <f t="shared" si="11"/>
        <v/>
      </c>
      <c r="AI552" s="169"/>
      <c r="AJ552" s="169" t="str">
        <f t="shared" si="12"/>
        <v/>
      </c>
    </row>
    <row r="553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 t="str">
        <f t="shared" si="2"/>
        <v/>
      </c>
      <c r="Q553" s="169"/>
      <c r="R553" s="169" t="str">
        <f t="shared" si="3"/>
        <v/>
      </c>
      <c r="S553" s="169"/>
      <c r="T553" s="169" t="str">
        <f t="shared" si="4"/>
        <v/>
      </c>
      <c r="U553" s="169"/>
      <c r="V553" s="169" t="str">
        <f t="shared" si="5"/>
        <v/>
      </c>
      <c r="W553" s="169"/>
      <c r="X553" s="169" t="str">
        <f t="shared" si="6"/>
        <v/>
      </c>
      <c r="Y553" s="169"/>
      <c r="Z553" s="169" t="str">
        <f t="shared" si="7"/>
        <v/>
      </c>
      <c r="AA553" s="169"/>
      <c r="AB553" s="169" t="str">
        <f t="shared" si="8"/>
        <v/>
      </c>
      <c r="AC553" s="169"/>
      <c r="AD553" s="169" t="str">
        <f t="shared" si="9"/>
        <v/>
      </c>
      <c r="AE553" s="169"/>
      <c r="AF553" s="169" t="str">
        <f t="shared" si="10"/>
        <v/>
      </c>
      <c r="AG553" s="169"/>
      <c r="AH553" s="169" t="str">
        <f t="shared" si="11"/>
        <v/>
      </c>
      <c r="AI553" s="169"/>
      <c r="AJ553" s="169" t="str">
        <f t="shared" si="12"/>
        <v/>
      </c>
    </row>
    <row r="554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 t="str">
        <f t="shared" si="2"/>
        <v/>
      </c>
      <c r="Q554" s="169"/>
      <c r="R554" s="169" t="str">
        <f t="shared" si="3"/>
        <v/>
      </c>
      <c r="S554" s="169"/>
      <c r="T554" s="169" t="str">
        <f t="shared" si="4"/>
        <v/>
      </c>
      <c r="U554" s="169"/>
      <c r="V554" s="169" t="str">
        <f t="shared" si="5"/>
        <v/>
      </c>
      <c r="W554" s="169"/>
      <c r="X554" s="169" t="str">
        <f t="shared" si="6"/>
        <v/>
      </c>
      <c r="Y554" s="169"/>
      <c r="Z554" s="169" t="str">
        <f t="shared" si="7"/>
        <v/>
      </c>
      <c r="AA554" s="169"/>
      <c r="AB554" s="169" t="str">
        <f t="shared" si="8"/>
        <v/>
      </c>
      <c r="AC554" s="169"/>
      <c r="AD554" s="169" t="str">
        <f t="shared" si="9"/>
        <v/>
      </c>
      <c r="AE554" s="169"/>
      <c r="AF554" s="169" t="str">
        <f t="shared" si="10"/>
        <v/>
      </c>
      <c r="AG554" s="169"/>
      <c r="AH554" s="169" t="str">
        <f t="shared" si="11"/>
        <v/>
      </c>
      <c r="AI554" s="169"/>
      <c r="AJ554" s="169" t="str">
        <f t="shared" si="12"/>
        <v/>
      </c>
    </row>
    <row r="55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 t="str">
        <f t="shared" si="2"/>
        <v/>
      </c>
      <c r="Q555" s="169"/>
      <c r="R555" s="169" t="str">
        <f t="shared" si="3"/>
        <v/>
      </c>
      <c r="S555" s="169"/>
      <c r="T555" s="169" t="str">
        <f t="shared" si="4"/>
        <v/>
      </c>
      <c r="U555" s="169"/>
      <c r="V555" s="169" t="str">
        <f t="shared" si="5"/>
        <v/>
      </c>
      <c r="W555" s="169"/>
      <c r="X555" s="169" t="str">
        <f t="shared" si="6"/>
        <v/>
      </c>
      <c r="Y555" s="169"/>
      <c r="Z555" s="169" t="str">
        <f t="shared" si="7"/>
        <v/>
      </c>
      <c r="AA555" s="169"/>
      <c r="AB555" s="169" t="str">
        <f t="shared" si="8"/>
        <v/>
      </c>
      <c r="AC555" s="169"/>
      <c r="AD555" s="169" t="str">
        <f t="shared" si="9"/>
        <v/>
      </c>
      <c r="AE555" s="169"/>
      <c r="AF555" s="169" t="str">
        <f t="shared" si="10"/>
        <v/>
      </c>
      <c r="AG555" s="169"/>
      <c r="AH555" s="169" t="str">
        <f t="shared" si="11"/>
        <v/>
      </c>
      <c r="AI555" s="169"/>
      <c r="AJ555" s="169" t="str">
        <f t="shared" si="12"/>
        <v/>
      </c>
    </row>
    <row r="556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 t="str">
        <f t="shared" si="2"/>
        <v/>
      </c>
      <c r="Q556" s="169"/>
      <c r="R556" s="169" t="str">
        <f t="shared" si="3"/>
        <v/>
      </c>
      <c r="S556" s="169"/>
      <c r="T556" s="169" t="str">
        <f t="shared" si="4"/>
        <v/>
      </c>
      <c r="U556" s="169"/>
      <c r="V556" s="169" t="str">
        <f t="shared" si="5"/>
        <v/>
      </c>
      <c r="W556" s="169"/>
      <c r="X556" s="169" t="str">
        <f t="shared" si="6"/>
        <v/>
      </c>
      <c r="Y556" s="169"/>
      <c r="Z556" s="169" t="str">
        <f t="shared" si="7"/>
        <v/>
      </c>
      <c r="AA556" s="169"/>
      <c r="AB556" s="169" t="str">
        <f t="shared" si="8"/>
        <v/>
      </c>
      <c r="AC556" s="169"/>
      <c r="AD556" s="169" t="str">
        <f t="shared" si="9"/>
        <v/>
      </c>
      <c r="AE556" s="169"/>
      <c r="AF556" s="169" t="str">
        <f t="shared" si="10"/>
        <v/>
      </c>
      <c r="AG556" s="169"/>
      <c r="AH556" s="169" t="str">
        <f t="shared" si="11"/>
        <v/>
      </c>
      <c r="AI556" s="169"/>
      <c r="AJ556" s="169" t="str">
        <f t="shared" si="12"/>
        <v/>
      </c>
    </row>
    <row r="557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 t="str">
        <f t="shared" si="2"/>
        <v/>
      </c>
      <c r="Q557" s="169"/>
      <c r="R557" s="169" t="str">
        <f t="shared" si="3"/>
        <v/>
      </c>
      <c r="S557" s="169"/>
      <c r="T557" s="169" t="str">
        <f t="shared" si="4"/>
        <v/>
      </c>
      <c r="U557" s="169"/>
      <c r="V557" s="169" t="str">
        <f t="shared" si="5"/>
        <v/>
      </c>
      <c r="W557" s="169"/>
      <c r="X557" s="169" t="str">
        <f t="shared" si="6"/>
        <v/>
      </c>
      <c r="Y557" s="169"/>
      <c r="Z557" s="169" t="str">
        <f t="shared" si="7"/>
        <v/>
      </c>
      <c r="AA557" s="169"/>
      <c r="AB557" s="169" t="str">
        <f t="shared" si="8"/>
        <v/>
      </c>
      <c r="AC557" s="169"/>
      <c r="AD557" s="169" t="str">
        <f t="shared" si="9"/>
        <v/>
      </c>
      <c r="AE557" s="169"/>
      <c r="AF557" s="169" t="str">
        <f t="shared" si="10"/>
        <v/>
      </c>
      <c r="AG557" s="169"/>
      <c r="AH557" s="169" t="str">
        <f t="shared" si="11"/>
        <v/>
      </c>
      <c r="AI557" s="169"/>
      <c r="AJ557" s="169" t="str">
        <f t="shared" si="12"/>
        <v/>
      </c>
    </row>
    <row r="558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 t="str">
        <f t="shared" si="2"/>
        <v/>
      </c>
      <c r="Q558" s="169"/>
      <c r="R558" s="169" t="str">
        <f t="shared" si="3"/>
        <v/>
      </c>
      <c r="S558" s="169"/>
      <c r="T558" s="169" t="str">
        <f t="shared" si="4"/>
        <v/>
      </c>
      <c r="U558" s="169"/>
      <c r="V558" s="169" t="str">
        <f t="shared" si="5"/>
        <v/>
      </c>
      <c r="W558" s="169"/>
      <c r="X558" s="169" t="str">
        <f t="shared" si="6"/>
        <v/>
      </c>
      <c r="Y558" s="169"/>
      <c r="Z558" s="169" t="str">
        <f t="shared" si="7"/>
        <v/>
      </c>
      <c r="AA558" s="169"/>
      <c r="AB558" s="169" t="str">
        <f t="shared" si="8"/>
        <v/>
      </c>
      <c r="AC558" s="169"/>
      <c r="AD558" s="169" t="str">
        <f t="shared" si="9"/>
        <v/>
      </c>
      <c r="AE558" s="169"/>
      <c r="AF558" s="169" t="str">
        <f t="shared" si="10"/>
        <v/>
      </c>
      <c r="AG558" s="169"/>
      <c r="AH558" s="169" t="str">
        <f t="shared" si="11"/>
        <v/>
      </c>
      <c r="AI558" s="169"/>
      <c r="AJ558" s="169" t="str">
        <f t="shared" si="12"/>
        <v/>
      </c>
    </row>
    <row r="559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 t="str">
        <f t="shared" si="2"/>
        <v/>
      </c>
      <c r="Q559" s="169"/>
      <c r="R559" s="169" t="str">
        <f t="shared" si="3"/>
        <v/>
      </c>
      <c r="S559" s="169"/>
      <c r="T559" s="169" t="str">
        <f t="shared" si="4"/>
        <v/>
      </c>
      <c r="U559" s="169"/>
      <c r="V559" s="169" t="str">
        <f t="shared" si="5"/>
        <v/>
      </c>
      <c r="W559" s="169"/>
      <c r="X559" s="169" t="str">
        <f t="shared" si="6"/>
        <v/>
      </c>
      <c r="Y559" s="169"/>
      <c r="Z559" s="169" t="str">
        <f t="shared" si="7"/>
        <v/>
      </c>
      <c r="AA559" s="169"/>
      <c r="AB559" s="169" t="str">
        <f t="shared" si="8"/>
        <v/>
      </c>
      <c r="AC559" s="169"/>
      <c r="AD559" s="169" t="str">
        <f t="shared" si="9"/>
        <v/>
      </c>
      <c r="AE559" s="169"/>
      <c r="AF559" s="169" t="str">
        <f t="shared" si="10"/>
        <v/>
      </c>
      <c r="AG559" s="169"/>
      <c r="AH559" s="169" t="str">
        <f t="shared" si="11"/>
        <v/>
      </c>
      <c r="AI559" s="169"/>
      <c r="AJ559" s="169" t="str">
        <f t="shared" si="12"/>
        <v/>
      </c>
    </row>
    <row r="560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 t="str">
        <f t="shared" si="2"/>
        <v/>
      </c>
      <c r="Q560" s="169"/>
      <c r="R560" s="169" t="str">
        <f t="shared" si="3"/>
        <v/>
      </c>
      <c r="S560" s="169"/>
      <c r="T560" s="169" t="str">
        <f t="shared" si="4"/>
        <v/>
      </c>
      <c r="U560" s="169"/>
      <c r="V560" s="169" t="str">
        <f t="shared" si="5"/>
        <v/>
      </c>
      <c r="W560" s="169"/>
      <c r="X560" s="169" t="str">
        <f t="shared" si="6"/>
        <v/>
      </c>
      <c r="Y560" s="169"/>
      <c r="Z560" s="169" t="str">
        <f t="shared" si="7"/>
        <v/>
      </c>
      <c r="AA560" s="169"/>
      <c r="AB560" s="169" t="str">
        <f t="shared" si="8"/>
        <v/>
      </c>
      <c r="AC560" s="169"/>
      <c r="AD560" s="169" t="str">
        <f t="shared" si="9"/>
        <v/>
      </c>
      <c r="AE560" s="169"/>
      <c r="AF560" s="169" t="str">
        <f t="shared" si="10"/>
        <v/>
      </c>
      <c r="AG560" s="169"/>
      <c r="AH560" s="169" t="str">
        <f t="shared" si="11"/>
        <v/>
      </c>
      <c r="AI560" s="169"/>
      <c r="AJ560" s="169" t="str">
        <f t="shared" si="12"/>
        <v/>
      </c>
    </row>
    <row r="56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 t="str">
        <f t="shared" si="2"/>
        <v/>
      </c>
      <c r="Q561" s="169"/>
      <c r="R561" s="169" t="str">
        <f t="shared" si="3"/>
        <v/>
      </c>
      <c r="S561" s="169"/>
      <c r="T561" s="169" t="str">
        <f t="shared" si="4"/>
        <v/>
      </c>
      <c r="U561" s="169"/>
      <c r="V561" s="169" t="str">
        <f t="shared" si="5"/>
        <v/>
      </c>
      <c r="W561" s="169"/>
      <c r="X561" s="169" t="str">
        <f t="shared" si="6"/>
        <v/>
      </c>
      <c r="Y561" s="169"/>
      <c r="Z561" s="169" t="str">
        <f t="shared" si="7"/>
        <v/>
      </c>
      <c r="AA561" s="169"/>
      <c r="AB561" s="169" t="str">
        <f t="shared" si="8"/>
        <v/>
      </c>
      <c r="AC561" s="169"/>
      <c r="AD561" s="169" t="str">
        <f t="shared" si="9"/>
        <v/>
      </c>
      <c r="AE561" s="169"/>
      <c r="AF561" s="169" t="str">
        <f t="shared" si="10"/>
        <v/>
      </c>
      <c r="AG561" s="169"/>
      <c r="AH561" s="169" t="str">
        <f t="shared" si="11"/>
        <v/>
      </c>
      <c r="AI561" s="169"/>
      <c r="AJ561" s="169" t="str">
        <f t="shared" si="12"/>
        <v/>
      </c>
    </row>
    <row r="56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 t="str">
        <f t="shared" si="2"/>
        <v/>
      </c>
      <c r="Q562" s="169"/>
      <c r="R562" s="169" t="str">
        <f t="shared" si="3"/>
        <v/>
      </c>
      <c r="S562" s="169"/>
      <c r="T562" s="169" t="str">
        <f t="shared" si="4"/>
        <v/>
      </c>
      <c r="U562" s="169"/>
      <c r="V562" s="169" t="str">
        <f t="shared" si="5"/>
        <v/>
      </c>
      <c r="W562" s="169"/>
      <c r="X562" s="169" t="str">
        <f t="shared" si="6"/>
        <v/>
      </c>
      <c r="Y562" s="169"/>
      <c r="Z562" s="169" t="str">
        <f t="shared" si="7"/>
        <v/>
      </c>
      <c r="AA562" s="169"/>
      <c r="AB562" s="169" t="str">
        <f t="shared" si="8"/>
        <v/>
      </c>
      <c r="AC562" s="169"/>
      <c r="AD562" s="169" t="str">
        <f t="shared" si="9"/>
        <v/>
      </c>
      <c r="AE562" s="169"/>
      <c r="AF562" s="169" t="str">
        <f t="shared" si="10"/>
        <v/>
      </c>
      <c r="AG562" s="169"/>
      <c r="AH562" s="169" t="str">
        <f t="shared" si="11"/>
        <v/>
      </c>
      <c r="AI562" s="169"/>
      <c r="AJ562" s="169" t="str">
        <f t="shared" si="12"/>
        <v/>
      </c>
    </row>
    <row r="563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 t="str">
        <f t="shared" si="2"/>
        <v/>
      </c>
      <c r="Q563" s="169"/>
      <c r="R563" s="169" t="str">
        <f t="shared" si="3"/>
        <v/>
      </c>
      <c r="S563" s="169"/>
      <c r="T563" s="169" t="str">
        <f t="shared" si="4"/>
        <v/>
      </c>
      <c r="U563" s="169"/>
      <c r="V563" s="169" t="str">
        <f t="shared" si="5"/>
        <v/>
      </c>
      <c r="W563" s="169"/>
      <c r="X563" s="169" t="str">
        <f t="shared" si="6"/>
        <v/>
      </c>
      <c r="Y563" s="169"/>
      <c r="Z563" s="169" t="str">
        <f t="shared" si="7"/>
        <v/>
      </c>
      <c r="AA563" s="169"/>
      <c r="AB563" s="169" t="str">
        <f t="shared" si="8"/>
        <v/>
      </c>
      <c r="AC563" s="169"/>
      <c r="AD563" s="169" t="str">
        <f t="shared" si="9"/>
        <v/>
      </c>
      <c r="AE563" s="169"/>
      <c r="AF563" s="169" t="str">
        <f t="shared" si="10"/>
        <v/>
      </c>
      <c r="AG563" s="169"/>
      <c r="AH563" s="169" t="str">
        <f t="shared" si="11"/>
        <v/>
      </c>
      <c r="AI563" s="169"/>
      <c r="AJ563" s="169" t="str">
        <f t="shared" si="12"/>
        <v/>
      </c>
    </row>
    <row r="564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 t="str">
        <f t="shared" si="2"/>
        <v/>
      </c>
      <c r="Q564" s="169"/>
      <c r="R564" s="169" t="str">
        <f t="shared" si="3"/>
        <v/>
      </c>
      <c r="S564" s="169"/>
      <c r="T564" s="169" t="str">
        <f t="shared" si="4"/>
        <v/>
      </c>
      <c r="U564" s="169"/>
      <c r="V564" s="169" t="str">
        <f t="shared" si="5"/>
        <v/>
      </c>
      <c r="W564" s="169"/>
      <c r="X564" s="169" t="str">
        <f t="shared" si="6"/>
        <v/>
      </c>
      <c r="Y564" s="169"/>
      <c r="Z564" s="169" t="str">
        <f t="shared" si="7"/>
        <v/>
      </c>
      <c r="AA564" s="169"/>
      <c r="AB564" s="169" t="str">
        <f t="shared" si="8"/>
        <v/>
      </c>
      <c r="AC564" s="169"/>
      <c r="AD564" s="169" t="str">
        <f t="shared" si="9"/>
        <v/>
      </c>
      <c r="AE564" s="169"/>
      <c r="AF564" s="169" t="str">
        <f t="shared" si="10"/>
        <v/>
      </c>
      <c r="AG564" s="169"/>
      <c r="AH564" s="169" t="str">
        <f t="shared" si="11"/>
        <v/>
      </c>
      <c r="AI564" s="169"/>
      <c r="AJ564" s="169" t="str">
        <f t="shared" si="12"/>
        <v/>
      </c>
    </row>
    <row r="56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 t="str">
        <f t="shared" si="2"/>
        <v/>
      </c>
      <c r="Q565" s="169"/>
      <c r="R565" s="169" t="str">
        <f t="shared" si="3"/>
        <v/>
      </c>
      <c r="S565" s="169"/>
      <c r="T565" s="169" t="str">
        <f t="shared" si="4"/>
        <v/>
      </c>
      <c r="U565" s="169"/>
      <c r="V565" s="169" t="str">
        <f t="shared" si="5"/>
        <v/>
      </c>
      <c r="W565" s="169"/>
      <c r="X565" s="169" t="str">
        <f t="shared" si="6"/>
        <v/>
      </c>
      <c r="Y565" s="169"/>
      <c r="Z565" s="169" t="str">
        <f t="shared" si="7"/>
        <v/>
      </c>
      <c r="AA565" s="169"/>
      <c r="AB565" s="169" t="str">
        <f t="shared" si="8"/>
        <v/>
      </c>
      <c r="AC565" s="169"/>
      <c r="AD565" s="169" t="str">
        <f t="shared" si="9"/>
        <v/>
      </c>
      <c r="AE565" s="169"/>
      <c r="AF565" s="169" t="str">
        <f t="shared" si="10"/>
        <v/>
      </c>
      <c r="AG565" s="169"/>
      <c r="AH565" s="169" t="str">
        <f t="shared" si="11"/>
        <v/>
      </c>
      <c r="AI565" s="169"/>
      <c r="AJ565" s="169" t="str">
        <f t="shared" si="12"/>
        <v/>
      </c>
    </row>
    <row r="566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 t="str">
        <f t="shared" si="2"/>
        <v/>
      </c>
      <c r="Q566" s="169"/>
      <c r="R566" s="169" t="str">
        <f t="shared" si="3"/>
        <v/>
      </c>
      <c r="S566" s="169"/>
      <c r="T566" s="169" t="str">
        <f t="shared" si="4"/>
        <v/>
      </c>
      <c r="U566" s="169"/>
      <c r="V566" s="169" t="str">
        <f t="shared" si="5"/>
        <v/>
      </c>
      <c r="W566" s="169"/>
      <c r="X566" s="169" t="str">
        <f t="shared" si="6"/>
        <v/>
      </c>
      <c r="Y566" s="169"/>
      <c r="Z566" s="169" t="str">
        <f t="shared" si="7"/>
        <v/>
      </c>
      <c r="AA566" s="169"/>
      <c r="AB566" s="169" t="str">
        <f t="shared" si="8"/>
        <v/>
      </c>
      <c r="AC566" s="169"/>
      <c r="AD566" s="169" t="str">
        <f t="shared" si="9"/>
        <v/>
      </c>
      <c r="AE566" s="169"/>
      <c r="AF566" s="169" t="str">
        <f t="shared" si="10"/>
        <v/>
      </c>
      <c r="AG566" s="169"/>
      <c r="AH566" s="169" t="str">
        <f t="shared" si="11"/>
        <v/>
      </c>
      <c r="AI566" s="169"/>
      <c r="AJ566" s="169" t="str">
        <f t="shared" si="12"/>
        <v/>
      </c>
    </row>
    <row r="567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 t="str">
        <f t="shared" si="2"/>
        <v/>
      </c>
      <c r="Q567" s="169"/>
      <c r="R567" s="169" t="str">
        <f t="shared" si="3"/>
        <v/>
      </c>
      <c r="S567" s="169"/>
      <c r="T567" s="169" t="str">
        <f t="shared" si="4"/>
        <v/>
      </c>
      <c r="U567" s="169"/>
      <c r="V567" s="169" t="str">
        <f t="shared" si="5"/>
        <v/>
      </c>
      <c r="W567" s="169"/>
      <c r="X567" s="169" t="str">
        <f t="shared" si="6"/>
        <v/>
      </c>
      <c r="Y567" s="169"/>
      <c r="Z567" s="169" t="str">
        <f t="shared" si="7"/>
        <v/>
      </c>
      <c r="AA567" s="169"/>
      <c r="AB567" s="169" t="str">
        <f t="shared" si="8"/>
        <v/>
      </c>
      <c r="AC567" s="169"/>
      <c r="AD567" s="169" t="str">
        <f t="shared" si="9"/>
        <v/>
      </c>
      <c r="AE567" s="169"/>
      <c r="AF567" s="169" t="str">
        <f t="shared" si="10"/>
        <v/>
      </c>
      <c r="AG567" s="169"/>
      <c r="AH567" s="169" t="str">
        <f t="shared" si="11"/>
        <v/>
      </c>
      <c r="AI567" s="169"/>
      <c r="AJ567" s="169" t="str">
        <f t="shared" si="12"/>
        <v/>
      </c>
    </row>
    <row r="568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 t="str">
        <f t="shared" si="2"/>
        <v/>
      </c>
      <c r="Q568" s="169"/>
      <c r="R568" s="169" t="str">
        <f t="shared" si="3"/>
        <v/>
      </c>
      <c r="S568" s="169"/>
      <c r="T568" s="169" t="str">
        <f t="shared" si="4"/>
        <v/>
      </c>
      <c r="U568" s="169"/>
      <c r="V568" s="169" t="str">
        <f t="shared" si="5"/>
        <v/>
      </c>
      <c r="W568" s="169"/>
      <c r="X568" s="169" t="str">
        <f t="shared" si="6"/>
        <v/>
      </c>
      <c r="Y568" s="169"/>
      <c r="Z568" s="169" t="str">
        <f t="shared" si="7"/>
        <v/>
      </c>
      <c r="AA568" s="169"/>
      <c r="AB568" s="169" t="str">
        <f t="shared" si="8"/>
        <v/>
      </c>
      <c r="AC568" s="169"/>
      <c r="AD568" s="169" t="str">
        <f t="shared" si="9"/>
        <v/>
      </c>
      <c r="AE568" s="169"/>
      <c r="AF568" s="169" t="str">
        <f t="shared" si="10"/>
        <v/>
      </c>
      <c r="AG568" s="169"/>
      <c r="AH568" s="169" t="str">
        <f t="shared" si="11"/>
        <v/>
      </c>
      <c r="AI568" s="169"/>
      <c r="AJ568" s="169" t="str">
        <f t="shared" si="12"/>
        <v/>
      </c>
    </row>
    <row r="569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 t="str">
        <f t="shared" si="2"/>
        <v/>
      </c>
      <c r="Q569" s="169"/>
      <c r="R569" s="169" t="str">
        <f t="shared" si="3"/>
        <v/>
      </c>
      <c r="S569" s="169"/>
      <c r="T569" s="169" t="str">
        <f t="shared" si="4"/>
        <v/>
      </c>
      <c r="U569" s="169"/>
      <c r="V569" s="169" t="str">
        <f t="shared" si="5"/>
        <v/>
      </c>
      <c r="W569" s="169"/>
      <c r="X569" s="169" t="str">
        <f t="shared" si="6"/>
        <v/>
      </c>
      <c r="Y569" s="169"/>
      <c r="Z569" s="169" t="str">
        <f t="shared" si="7"/>
        <v/>
      </c>
      <c r="AA569" s="169"/>
      <c r="AB569" s="169" t="str">
        <f t="shared" si="8"/>
        <v/>
      </c>
      <c r="AC569" s="169"/>
      <c r="AD569" s="169" t="str">
        <f t="shared" si="9"/>
        <v/>
      </c>
      <c r="AE569" s="169"/>
      <c r="AF569" s="169" t="str">
        <f t="shared" si="10"/>
        <v/>
      </c>
      <c r="AG569" s="169"/>
      <c r="AH569" s="169" t="str">
        <f t="shared" si="11"/>
        <v/>
      </c>
      <c r="AI569" s="169"/>
      <c r="AJ569" s="169" t="str">
        <f t="shared" si="12"/>
        <v/>
      </c>
    </row>
    <row r="570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 t="str">
        <f t="shared" si="2"/>
        <v/>
      </c>
      <c r="Q570" s="169"/>
      <c r="R570" s="169" t="str">
        <f t="shared" si="3"/>
        <v/>
      </c>
      <c r="S570" s="169"/>
      <c r="T570" s="169" t="str">
        <f t="shared" si="4"/>
        <v/>
      </c>
      <c r="U570" s="169"/>
      <c r="V570" s="169" t="str">
        <f t="shared" si="5"/>
        <v/>
      </c>
      <c r="W570" s="169"/>
      <c r="X570" s="169" t="str">
        <f t="shared" si="6"/>
        <v/>
      </c>
      <c r="Y570" s="169"/>
      <c r="Z570" s="169" t="str">
        <f t="shared" si="7"/>
        <v/>
      </c>
      <c r="AA570" s="169"/>
      <c r="AB570" s="169" t="str">
        <f t="shared" si="8"/>
        <v/>
      </c>
      <c r="AC570" s="169"/>
      <c r="AD570" s="169" t="str">
        <f t="shared" si="9"/>
        <v/>
      </c>
      <c r="AE570" s="169"/>
      <c r="AF570" s="169" t="str">
        <f t="shared" si="10"/>
        <v/>
      </c>
      <c r="AG570" s="169"/>
      <c r="AH570" s="169" t="str">
        <f t="shared" si="11"/>
        <v/>
      </c>
      <c r="AI570" s="169"/>
      <c r="AJ570" s="169" t="str">
        <f t="shared" si="12"/>
        <v/>
      </c>
    </row>
    <row r="57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 t="str">
        <f t="shared" si="2"/>
        <v/>
      </c>
      <c r="Q571" s="169"/>
      <c r="R571" s="169" t="str">
        <f t="shared" si="3"/>
        <v/>
      </c>
      <c r="S571" s="169"/>
      <c r="T571" s="169" t="str">
        <f t="shared" si="4"/>
        <v/>
      </c>
      <c r="U571" s="169"/>
      <c r="V571" s="169" t="str">
        <f t="shared" si="5"/>
        <v/>
      </c>
      <c r="W571" s="169"/>
      <c r="X571" s="169" t="str">
        <f t="shared" si="6"/>
        <v/>
      </c>
      <c r="Y571" s="169"/>
      <c r="Z571" s="169" t="str">
        <f t="shared" si="7"/>
        <v/>
      </c>
      <c r="AA571" s="169"/>
      <c r="AB571" s="169" t="str">
        <f t="shared" si="8"/>
        <v/>
      </c>
      <c r="AC571" s="169"/>
      <c r="AD571" s="169" t="str">
        <f t="shared" si="9"/>
        <v/>
      </c>
      <c r="AE571" s="169"/>
      <c r="AF571" s="169" t="str">
        <f t="shared" si="10"/>
        <v/>
      </c>
      <c r="AG571" s="169"/>
      <c r="AH571" s="169" t="str">
        <f t="shared" si="11"/>
        <v/>
      </c>
      <c r="AI571" s="169"/>
      <c r="AJ571" s="169" t="str">
        <f t="shared" si="12"/>
        <v/>
      </c>
    </row>
    <row r="57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 t="str">
        <f t="shared" si="2"/>
        <v/>
      </c>
      <c r="Q572" s="169"/>
      <c r="R572" s="169" t="str">
        <f t="shared" si="3"/>
        <v/>
      </c>
      <c r="S572" s="169"/>
      <c r="T572" s="169" t="str">
        <f t="shared" si="4"/>
        <v/>
      </c>
      <c r="U572" s="169"/>
      <c r="V572" s="169" t="str">
        <f t="shared" si="5"/>
        <v/>
      </c>
      <c r="W572" s="169"/>
      <c r="X572" s="169" t="str">
        <f t="shared" si="6"/>
        <v/>
      </c>
      <c r="Y572" s="169"/>
      <c r="Z572" s="169" t="str">
        <f t="shared" si="7"/>
        <v/>
      </c>
      <c r="AA572" s="169"/>
      <c r="AB572" s="169" t="str">
        <f t="shared" si="8"/>
        <v/>
      </c>
      <c r="AC572" s="169"/>
      <c r="AD572" s="169" t="str">
        <f t="shared" si="9"/>
        <v/>
      </c>
      <c r="AE572" s="169"/>
      <c r="AF572" s="169" t="str">
        <f t="shared" si="10"/>
        <v/>
      </c>
      <c r="AG572" s="169"/>
      <c r="AH572" s="169" t="str">
        <f t="shared" si="11"/>
        <v/>
      </c>
      <c r="AI572" s="169"/>
      <c r="AJ572" s="169" t="str">
        <f t="shared" si="12"/>
        <v/>
      </c>
    </row>
    <row r="573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 t="str">
        <f t="shared" si="2"/>
        <v/>
      </c>
      <c r="Q573" s="169"/>
      <c r="R573" s="169" t="str">
        <f t="shared" si="3"/>
        <v/>
      </c>
      <c r="S573" s="169"/>
      <c r="T573" s="169" t="str">
        <f t="shared" si="4"/>
        <v/>
      </c>
      <c r="U573" s="169"/>
      <c r="V573" s="169" t="str">
        <f t="shared" si="5"/>
        <v/>
      </c>
      <c r="W573" s="169"/>
      <c r="X573" s="169" t="str">
        <f t="shared" si="6"/>
        <v/>
      </c>
      <c r="Y573" s="169"/>
      <c r="Z573" s="169" t="str">
        <f t="shared" si="7"/>
        <v/>
      </c>
      <c r="AA573" s="169"/>
      <c r="AB573" s="169" t="str">
        <f t="shared" si="8"/>
        <v/>
      </c>
      <c r="AC573" s="169"/>
      <c r="AD573" s="169" t="str">
        <f t="shared" si="9"/>
        <v/>
      </c>
      <c r="AE573" s="169"/>
      <c r="AF573" s="169" t="str">
        <f t="shared" si="10"/>
        <v/>
      </c>
      <c r="AG573" s="169"/>
      <c r="AH573" s="169" t="str">
        <f t="shared" si="11"/>
        <v/>
      </c>
      <c r="AI573" s="169"/>
      <c r="AJ573" s="169" t="str">
        <f t="shared" si="12"/>
        <v/>
      </c>
    </row>
    <row r="574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 t="str">
        <f t="shared" si="2"/>
        <v/>
      </c>
      <c r="Q574" s="169"/>
      <c r="R574" s="169" t="str">
        <f t="shared" si="3"/>
        <v/>
      </c>
      <c r="S574" s="169"/>
      <c r="T574" s="169" t="str">
        <f t="shared" si="4"/>
        <v/>
      </c>
      <c r="U574" s="169"/>
      <c r="V574" s="169" t="str">
        <f t="shared" si="5"/>
        <v/>
      </c>
      <c r="W574" s="169"/>
      <c r="X574" s="169" t="str">
        <f t="shared" si="6"/>
        <v/>
      </c>
      <c r="Y574" s="169"/>
      <c r="Z574" s="169" t="str">
        <f t="shared" si="7"/>
        <v/>
      </c>
      <c r="AA574" s="169"/>
      <c r="AB574" s="169" t="str">
        <f t="shared" si="8"/>
        <v/>
      </c>
      <c r="AC574" s="169"/>
      <c r="AD574" s="169" t="str">
        <f t="shared" si="9"/>
        <v/>
      </c>
      <c r="AE574" s="169"/>
      <c r="AF574" s="169" t="str">
        <f t="shared" si="10"/>
        <v/>
      </c>
      <c r="AG574" s="169"/>
      <c r="AH574" s="169" t="str">
        <f t="shared" si="11"/>
        <v/>
      </c>
      <c r="AI574" s="169"/>
      <c r="AJ574" s="169" t="str">
        <f t="shared" si="12"/>
        <v/>
      </c>
    </row>
    <row r="57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 t="str">
        <f t="shared" si="2"/>
        <v/>
      </c>
      <c r="Q575" s="169"/>
      <c r="R575" s="169" t="str">
        <f t="shared" si="3"/>
        <v/>
      </c>
      <c r="S575" s="169"/>
      <c r="T575" s="169" t="str">
        <f t="shared" si="4"/>
        <v/>
      </c>
      <c r="U575" s="169"/>
      <c r="V575" s="169" t="str">
        <f t="shared" si="5"/>
        <v/>
      </c>
      <c r="W575" s="169"/>
      <c r="X575" s="169" t="str">
        <f t="shared" si="6"/>
        <v/>
      </c>
      <c r="Y575" s="169"/>
      <c r="Z575" s="169" t="str">
        <f t="shared" si="7"/>
        <v/>
      </c>
      <c r="AA575" s="169"/>
      <c r="AB575" s="169" t="str">
        <f t="shared" si="8"/>
        <v/>
      </c>
      <c r="AC575" s="169"/>
      <c r="AD575" s="169" t="str">
        <f t="shared" si="9"/>
        <v/>
      </c>
      <c r="AE575" s="169"/>
      <c r="AF575" s="169" t="str">
        <f t="shared" si="10"/>
        <v/>
      </c>
      <c r="AG575" s="169"/>
      <c r="AH575" s="169" t="str">
        <f t="shared" si="11"/>
        <v/>
      </c>
      <c r="AI575" s="169"/>
      <c r="AJ575" s="169" t="str">
        <f t="shared" si="12"/>
        <v/>
      </c>
    </row>
    <row r="576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 t="str">
        <f t="shared" si="2"/>
        <v/>
      </c>
      <c r="Q576" s="169"/>
      <c r="R576" s="169" t="str">
        <f t="shared" si="3"/>
        <v/>
      </c>
      <c r="S576" s="169"/>
      <c r="T576" s="169" t="str">
        <f t="shared" si="4"/>
        <v/>
      </c>
      <c r="U576" s="169"/>
      <c r="V576" s="169" t="str">
        <f t="shared" si="5"/>
        <v/>
      </c>
      <c r="W576" s="169"/>
      <c r="X576" s="169" t="str">
        <f t="shared" si="6"/>
        <v/>
      </c>
      <c r="Y576" s="169"/>
      <c r="Z576" s="169" t="str">
        <f t="shared" si="7"/>
        <v/>
      </c>
      <c r="AA576" s="169"/>
      <c r="AB576" s="169" t="str">
        <f t="shared" si="8"/>
        <v/>
      </c>
      <c r="AC576" s="169"/>
      <c r="AD576" s="169" t="str">
        <f t="shared" si="9"/>
        <v/>
      </c>
      <c r="AE576" s="169"/>
      <c r="AF576" s="169" t="str">
        <f t="shared" si="10"/>
        <v/>
      </c>
      <c r="AG576" s="169"/>
      <c r="AH576" s="169" t="str">
        <f t="shared" si="11"/>
        <v/>
      </c>
      <c r="AI576" s="169"/>
      <c r="AJ576" s="169" t="str">
        <f t="shared" si="12"/>
        <v/>
      </c>
    </row>
    <row r="577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 t="str">
        <f t="shared" si="2"/>
        <v/>
      </c>
      <c r="Q577" s="169"/>
      <c r="R577" s="169" t="str">
        <f t="shared" si="3"/>
        <v/>
      </c>
      <c r="S577" s="169"/>
      <c r="T577" s="169" t="str">
        <f t="shared" si="4"/>
        <v/>
      </c>
      <c r="U577" s="169"/>
      <c r="V577" s="169" t="str">
        <f t="shared" si="5"/>
        <v/>
      </c>
      <c r="W577" s="169"/>
      <c r="X577" s="169" t="str">
        <f t="shared" si="6"/>
        <v/>
      </c>
      <c r="Y577" s="169"/>
      <c r="Z577" s="169" t="str">
        <f t="shared" si="7"/>
        <v/>
      </c>
      <c r="AA577" s="169"/>
      <c r="AB577" s="169" t="str">
        <f t="shared" si="8"/>
        <v/>
      </c>
      <c r="AC577" s="169"/>
      <c r="AD577" s="169" t="str">
        <f t="shared" si="9"/>
        <v/>
      </c>
      <c r="AE577" s="169"/>
      <c r="AF577" s="169" t="str">
        <f t="shared" si="10"/>
        <v/>
      </c>
      <c r="AG577" s="169"/>
      <c r="AH577" s="169" t="str">
        <f t="shared" si="11"/>
        <v/>
      </c>
      <c r="AI577" s="169"/>
      <c r="AJ577" s="169" t="str">
        <f t="shared" si="12"/>
        <v/>
      </c>
    </row>
    <row r="578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 t="str">
        <f t="shared" si="2"/>
        <v/>
      </c>
      <c r="Q578" s="169"/>
      <c r="R578" s="169" t="str">
        <f t="shared" si="3"/>
        <v/>
      </c>
      <c r="S578" s="169"/>
      <c r="T578" s="169" t="str">
        <f t="shared" si="4"/>
        <v/>
      </c>
      <c r="U578" s="169"/>
      <c r="V578" s="169" t="str">
        <f t="shared" si="5"/>
        <v/>
      </c>
      <c r="W578" s="169"/>
      <c r="X578" s="169" t="str">
        <f t="shared" si="6"/>
        <v/>
      </c>
      <c r="Y578" s="169"/>
      <c r="Z578" s="169" t="str">
        <f t="shared" si="7"/>
        <v/>
      </c>
      <c r="AA578" s="169"/>
      <c r="AB578" s="169" t="str">
        <f t="shared" si="8"/>
        <v/>
      </c>
      <c r="AC578" s="169"/>
      <c r="AD578" s="169" t="str">
        <f t="shared" si="9"/>
        <v/>
      </c>
      <c r="AE578" s="169"/>
      <c r="AF578" s="169" t="str">
        <f t="shared" si="10"/>
        <v/>
      </c>
      <c r="AG578" s="169"/>
      <c r="AH578" s="169" t="str">
        <f t="shared" si="11"/>
        <v/>
      </c>
      <c r="AI578" s="169"/>
      <c r="AJ578" s="169" t="str">
        <f t="shared" si="12"/>
        <v/>
      </c>
    </row>
    <row r="579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 t="str">
        <f t="shared" si="2"/>
        <v/>
      </c>
      <c r="Q579" s="169"/>
      <c r="R579" s="169" t="str">
        <f t="shared" si="3"/>
        <v/>
      </c>
      <c r="S579" s="169"/>
      <c r="T579" s="169" t="str">
        <f t="shared" si="4"/>
        <v/>
      </c>
      <c r="U579" s="169"/>
      <c r="V579" s="169" t="str">
        <f t="shared" si="5"/>
        <v/>
      </c>
      <c r="W579" s="169"/>
      <c r="X579" s="169" t="str">
        <f t="shared" si="6"/>
        <v/>
      </c>
      <c r="Y579" s="169"/>
      <c r="Z579" s="169" t="str">
        <f t="shared" si="7"/>
        <v/>
      </c>
      <c r="AA579" s="169"/>
      <c r="AB579" s="169" t="str">
        <f t="shared" si="8"/>
        <v/>
      </c>
      <c r="AC579" s="169"/>
      <c r="AD579" s="169" t="str">
        <f t="shared" si="9"/>
        <v/>
      </c>
      <c r="AE579" s="169"/>
      <c r="AF579" s="169" t="str">
        <f t="shared" si="10"/>
        <v/>
      </c>
      <c r="AG579" s="169"/>
      <c r="AH579" s="169" t="str">
        <f t="shared" si="11"/>
        <v/>
      </c>
      <c r="AI579" s="169"/>
      <c r="AJ579" s="169" t="str">
        <f t="shared" si="12"/>
        <v/>
      </c>
    </row>
    <row r="580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 t="str">
        <f t="shared" si="2"/>
        <v/>
      </c>
      <c r="Q580" s="169"/>
      <c r="R580" s="169" t="str">
        <f t="shared" si="3"/>
        <v/>
      </c>
      <c r="S580" s="169"/>
      <c r="T580" s="169" t="str">
        <f t="shared" si="4"/>
        <v/>
      </c>
      <c r="U580" s="169"/>
      <c r="V580" s="169" t="str">
        <f t="shared" si="5"/>
        <v/>
      </c>
      <c r="W580" s="169"/>
      <c r="X580" s="169" t="str">
        <f t="shared" si="6"/>
        <v/>
      </c>
      <c r="Y580" s="169"/>
      <c r="Z580" s="169" t="str">
        <f t="shared" si="7"/>
        <v/>
      </c>
      <c r="AA580" s="169"/>
      <c r="AB580" s="169" t="str">
        <f t="shared" si="8"/>
        <v/>
      </c>
      <c r="AC580" s="169"/>
      <c r="AD580" s="169" t="str">
        <f t="shared" si="9"/>
        <v/>
      </c>
      <c r="AE580" s="169"/>
      <c r="AF580" s="169" t="str">
        <f t="shared" si="10"/>
        <v/>
      </c>
      <c r="AG580" s="169"/>
      <c r="AH580" s="169" t="str">
        <f t="shared" si="11"/>
        <v/>
      </c>
      <c r="AI580" s="169"/>
      <c r="AJ580" s="169" t="str">
        <f t="shared" si="12"/>
        <v/>
      </c>
    </row>
    <row r="58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 t="str">
        <f t="shared" si="2"/>
        <v/>
      </c>
      <c r="Q581" s="169"/>
      <c r="R581" s="169" t="str">
        <f t="shared" si="3"/>
        <v/>
      </c>
      <c r="S581" s="169"/>
      <c r="T581" s="169" t="str">
        <f t="shared" si="4"/>
        <v/>
      </c>
      <c r="U581" s="169"/>
      <c r="V581" s="169" t="str">
        <f t="shared" si="5"/>
        <v/>
      </c>
      <c r="W581" s="169"/>
      <c r="X581" s="169" t="str">
        <f t="shared" si="6"/>
        <v/>
      </c>
      <c r="Y581" s="169"/>
      <c r="Z581" s="169" t="str">
        <f t="shared" si="7"/>
        <v/>
      </c>
      <c r="AA581" s="169"/>
      <c r="AB581" s="169" t="str">
        <f t="shared" si="8"/>
        <v/>
      </c>
      <c r="AC581" s="169"/>
      <c r="AD581" s="169" t="str">
        <f t="shared" si="9"/>
        <v/>
      </c>
      <c r="AE581" s="169"/>
      <c r="AF581" s="169" t="str">
        <f t="shared" si="10"/>
        <v/>
      </c>
      <c r="AG581" s="169"/>
      <c r="AH581" s="169" t="str">
        <f t="shared" si="11"/>
        <v/>
      </c>
      <c r="AI581" s="169"/>
      <c r="AJ581" s="169" t="str">
        <f t="shared" si="12"/>
        <v/>
      </c>
    </row>
    <row r="58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 t="str">
        <f t="shared" si="2"/>
        <v/>
      </c>
      <c r="Q582" s="169"/>
      <c r="R582" s="169" t="str">
        <f t="shared" si="3"/>
        <v/>
      </c>
      <c r="S582" s="169"/>
      <c r="T582" s="169" t="str">
        <f t="shared" si="4"/>
        <v/>
      </c>
      <c r="U582" s="169"/>
      <c r="V582" s="169" t="str">
        <f t="shared" si="5"/>
        <v/>
      </c>
      <c r="W582" s="169"/>
      <c r="X582" s="169" t="str">
        <f t="shared" si="6"/>
        <v/>
      </c>
      <c r="Y582" s="169"/>
      <c r="Z582" s="169" t="str">
        <f t="shared" si="7"/>
        <v/>
      </c>
      <c r="AA582" s="169"/>
      <c r="AB582" s="169" t="str">
        <f t="shared" si="8"/>
        <v/>
      </c>
      <c r="AC582" s="169"/>
      <c r="AD582" s="169" t="str">
        <f t="shared" si="9"/>
        <v/>
      </c>
      <c r="AE582" s="169"/>
      <c r="AF582" s="169" t="str">
        <f t="shared" si="10"/>
        <v/>
      </c>
      <c r="AG582" s="169"/>
      <c r="AH582" s="169" t="str">
        <f t="shared" si="11"/>
        <v/>
      </c>
      <c r="AI582" s="169"/>
      <c r="AJ582" s="169" t="str">
        <f t="shared" si="12"/>
        <v/>
      </c>
    </row>
    <row r="583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 t="str">
        <f t="shared" si="2"/>
        <v/>
      </c>
      <c r="Q583" s="169"/>
      <c r="R583" s="169" t="str">
        <f t="shared" si="3"/>
        <v/>
      </c>
      <c r="S583" s="169"/>
      <c r="T583" s="169" t="str">
        <f t="shared" si="4"/>
        <v/>
      </c>
      <c r="U583" s="169"/>
      <c r="V583" s="169" t="str">
        <f t="shared" si="5"/>
        <v/>
      </c>
      <c r="W583" s="169"/>
      <c r="X583" s="169" t="str">
        <f t="shared" si="6"/>
        <v/>
      </c>
      <c r="Y583" s="169"/>
      <c r="Z583" s="169" t="str">
        <f t="shared" si="7"/>
        <v/>
      </c>
      <c r="AA583" s="169"/>
      <c r="AB583" s="169" t="str">
        <f t="shared" si="8"/>
        <v/>
      </c>
      <c r="AC583" s="169"/>
      <c r="AD583" s="169" t="str">
        <f t="shared" si="9"/>
        <v/>
      </c>
      <c r="AE583" s="169"/>
      <c r="AF583" s="169" t="str">
        <f t="shared" si="10"/>
        <v/>
      </c>
      <c r="AG583" s="169"/>
      <c r="AH583" s="169" t="str">
        <f t="shared" si="11"/>
        <v/>
      </c>
      <c r="AI583" s="169"/>
      <c r="AJ583" s="169" t="str">
        <f t="shared" si="12"/>
        <v/>
      </c>
    </row>
    <row r="584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 t="str">
        <f t="shared" si="2"/>
        <v/>
      </c>
      <c r="Q584" s="169"/>
      <c r="R584" s="169" t="str">
        <f t="shared" si="3"/>
        <v/>
      </c>
      <c r="S584" s="169"/>
      <c r="T584" s="169" t="str">
        <f t="shared" si="4"/>
        <v/>
      </c>
      <c r="U584" s="169"/>
      <c r="V584" s="169" t="str">
        <f t="shared" si="5"/>
        <v/>
      </c>
      <c r="W584" s="169"/>
      <c r="X584" s="169" t="str">
        <f t="shared" si="6"/>
        <v/>
      </c>
      <c r="Y584" s="169"/>
      <c r="Z584" s="169" t="str">
        <f t="shared" si="7"/>
        <v/>
      </c>
      <c r="AA584" s="169"/>
      <c r="AB584" s="169" t="str">
        <f t="shared" si="8"/>
        <v/>
      </c>
      <c r="AC584" s="169"/>
      <c r="AD584" s="169" t="str">
        <f t="shared" si="9"/>
        <v/>
      </c>
      <c r="AE584" s="169"/>
      <c r="AF584" s="169" t="str">
        <f t="shared" si="10"/>
        <v/>
      </c>
      <c r="AG584" s="169"/>
      <c r="AH584" s="169" t="str">
        <f t="shared" si="11"/>
        <v/>
      </c>
      <c r="AI584" s="169"/>
      <c r="AJ584" s="169" t="str">
        <f t="shared" si="12"/>
        <v/>
      </c>
    </row>
    <row r="58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 t="str">
        <f t="shared" si="2"/>
        <v/>
      </c>
      <c r="Q585" s="169"/>
      <c r="R585" s="169" t="str">
        <f t="shared" si="3"/>
        <v/>
      </c>
      <c r="S585" s="169"/>
      <c r="T585" s="169" t="str">
        <f t="shared" si="4"/>
        <v/>
      </c>
      <c r="U585" s="169"/>
      <c r="V585" s="169" t="str">
        <f t="shared" si="5"/>
        <v/>
      </c>
      <c r="W585" s="169"/>
      <c r="X585" s="169" t="str">
        <f t="shared" si="6"/>
        <v/>
      </c>
      <c r="Y585" s="169"/>
      <c r="Z585" s="169" t="str">
        <f t="shared" si="7"/>
        <v/>
      </c>
      <c r="AA585" s="169"/>
      <c r="AB585" s="169" t="str">
        <f t="shared" si="8"/>
        <v/>
      </c>
      <c r="AC585" s="169"/>
      <c r="AD585" s="169" t="str">
        <f t="shared" si="9"/>
        <v/>
      </c>
      <c r="AE585" s="169"/>
      <c r="AF585" s="169" t="str">
        <f t="shared" si="10"/>
        <v/>
      </c>
      <c r="AG585" s="169"/>
      <c r="AH585" s="169" t="str">
        <f t="shared" si="11"/>
        <v/>
      </c>
      <c r="AI585" s="169"/>
      <c r="AJ585" s="169" t="str">
        <f t="shared" si="12"/>
        <v/>
      </c>
    </row>
    <row r="586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 t="str">
        <f t="shared" si="2"/>
        <v/>
      </c>
      <c r="Q586" s="169"/>
      <c r="R586" s="169" t="str">
        <f t="shared" si="3"/>
        <v/>
      </c>
      <c r="S586" s="169"/>
      <c r="T586" s="169" t="str">
        <f t="shared" si="4"/>
        <v/>
      </c>
      <c r="U586" s="169"/>
      <c r="V586" s="169" t="str">
        <f t="shared" si="5"/>
        <v/>
      </c>
      <c r="W586" s="169"/>
      <c r="X586" s="169" t="str">
        <f t="shared" si="6"/>
        <v/>
      </c>
      <c r="Y586" s="169"/>
      <c r="Z586" s="169" t="str">
        <f t="shared" si="7"/>
        <v/>
      </c>
      <c r="AA586" s="169"/>
      <c r="AB586" s="169" t="str">
        <f t="shared" si="8"/>
        <v/>
      </c>
      <c r="AC586" s="169"/>
      <c r="AD586" s="169" t="str">
        <f t="shared" si="9"/>
        <v/>
      </c>
      <c r="AE586" s="169"/>
      <c r="AF586" s="169" t="str">
        <f t="shared" si="10"/>
        <v/>
      </c>
      <c r="AG586" s="169"/>
      <c r="AH586" s="169" t="str">
        <f t="shared" si="11"/>
        <v/>
      </c>
      <c r="AI586" s="169"/>
      <c r="AJ586" s="169" t="str">
        <f t="shared" si="12"/>
        <v/>
      </c>
    </row>
    <row r="587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 t="str">
        <f t="shared" si="2"/>
        <v/>
      </c>
      <c r="Q587" s="169"/>
      <c r="R587" s="169" t="str">
        <f t="shared" si="3"/>
        <v/>
      </c>
      <c r="S587" s="169"/>
      <c r="T587" s="169" t="str">
        <f t="shared" si="4"/>
        <v/>
      </c>
      <c r="U587" s="169"/>
      <c r="V587" s="169" t="str">
        <f t="shared" si="5"/>
        <v/>
      </c>
      <c r="W587" s="169"/>
      <c r="X587" s="169" t="str">
        <f t="shared" si="6"/>
        <v/>
      </c>
      <c r="Y587" s="169"/>
      <c r="Z587" s="169" t="str">
        <f t="shared" si="7"/>
        <v/>
      </c>
      <c r="AA587" s="169"/>
      <c r="AB587" s="169" t="str">
        <f t="shared" si="8"/>
        <v/>
      </c>
      <c r="AC587" s="169"/>
      <c r="AD587" s="169" t="str">
        <f t="shared" si="9"/>
        <v/>
      </c>
      <c r="AE587" s="169"/>
      <c r="AF587" s="169" t="str">
        <f t="shared" si="10"/>
        <v/>
      </c>
      <c r="AG587" s="169"/>
      <c r="AH587" s="169" t="str">
        <f t="shared" si="11"/>
        <v/>
      </c>
      <c r="AI587" s="169"/>
      <c r="AJ587" s="169" t="str">
        <f t="shared" si="12"/>
        <v/>
      </c>
    </row>
    <row r="588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 t="str">
        <f t="shared" si="2"/>
        <v/>
      </c>
      <c r="Q588" s="169"/>
      <c r="R588" s="169" t="str">
        <f t="shared" si="3"/>
        <v/>
      </c>
      <c r="S588" s="169"/>
      <c r="T588" s="169" t="str">
        <f t="shared" si="4"/>
        <v/>
      </c>
      <c r="U588" s="169"/>
      <c r="V588" s="169" t="str">
        <f t="shared" si="5"/>
        <v/>
      </c>
      <c r="W588" s="169"/>
      <c r="X588" s="169" t="str">
        <f t="shared" si="6"/>
        <v/>
      </c>
      <c r="Y588" s="169"/>
      <c r="Z588" s="169" t="str">
        <f t="shared" si="7"/>
        <v/>
      </c>
      <c r="AA588" s="169"/>
      <c r="AB588" s="169" t="str">
        <f t="shared" si="8"/>
        <v/>
      </c>
      <c r="AC588" s="169"/>
      <c r="AD588" s="169" t="str">
        <f t="shared" si="9"/>
        <v/>
      </c>
      <c r="AE588" s="169"/>
      <c r="AF588" s="169" t="str">
        <f t="shared" si="10"/>
        <v/>
      </c>
      <c r="AG588" s="169"/>
      <c r="AH588" s="169" t="str">
        <f t="shared" si="11"/>
        <v/>
      </c>
      <c r="AI588" s="169"/>
      <c r="AJ588" s="169" t="str">
        <f t="shared" si="12"/>
        <v/>
      </c>
    </row>
    <row r="589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 t="str">
        <f t="shared" si="2"/>
        <v/>
      </c>
      <c r="Q589" s="169"/>
      <c r="R589" s="169" t="str">
        <f t="shared" si="3"/>
        <v/>
      </c>
      <c r="S589" s="169"/>
      <c r="T589" s="169" t="str">
        <f t="shared" si="4"/>
        <v/>
      </c>
      <c r="U589" s="169"/>
      <c r="V589" s="169" t="str">
        <f t="shared" si="5"/>
        <v/>
      </c>
      <c r="W589" s="169"/>
      <c r="X589" s="169" t="str">
        <f t="shared" si="6"/>
        <v/>
      </c>
      <c r="Y589" s="169"/>
      <c r="Z589" s="169" t="str">
        <f t="shared" si="7"/>
        <v/>
      </c>
      <c r="AA589" s="169"/>
      <c r="AB589" s="169" t="str">
        <f t="shared" si="8"/>
        <v/>
      </c>
      <c r="AC589" s="169"/>
      <c r="AD589" s="169" t="str">
        <f t="shared" si="9"/>
        <v/>
      </c>
      <c r="AE589" s="169"/>
      <c r="AF589" s="169" t="str">
        <f t="shared" si="10"/>
        <v/>
      </c>
      <c r="AG589" s="169"/>
      <c r="AH589" s="169" t="str">
        <f t="shared" si="11"/>
        <v/>
      </c>
      <c r="AI589" s="169"/>
      <c r="AJ589" s="169" t="str">
        <f t="shared" si="12"/>
        <v/>
      </c>
    </row>
    <row r="590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 t="str">
        <f t="shared" si="2"/>
        <v/>
      </c>
      <c r="Q590" s="169"/>
      <c r="R590" s="169" t="str">
        <f t="shared" si="3"/>
        <v/>
      </c>
      <c r="S590" s="169"/>
      <c r="T590" s="169" t="str">
        <f t="shared" si="4"/>
        <v/>
      </c>
      <c r="U590" s="169"/>
      <c r="V590" s="169" t="str">
        <f t="shared" si="5"/>
        <v/>
      </c>
      <c r="W590" s="169"/>
      <c r="X590" s="169" t="str">
        <f t="shared" si="6"/>
        <v/>
      </c>
      <c r="Y590" s="169"/>
      <c r="Z590" s="169" t="str">
        <f t="shared" si="7"/>
        <v/>
      </c>
      <c r="AA590" s="169"/>
      <c r="AB590" s="169" t="str">
        <f t="shared" si="8"/>
        <v/>
      </c>
      <c r="AC590" s="169"/>
      <c r="AD590" s="169" t="str">
        <f t="shared" si="9"/>
        <v/>
      </c>
      <c r="AE590" s="169"/>
      <c r="AF590" s="169" t="str">
        <f t="shared" si="10"/>
        <v/>
      </c>
      <c r="AG590" s="169"/>
      <c r="AH590" s="169" t="str">
        <f t="shared" si="11"/>
        <v/>
      </c>
      <c r="AI590" s="169"/>
      <c r="AJ590" s="169" t="str">
        <f t="shared" si="12"/>
        <v/>
      </c>
    </row>
    <row r="59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 t="str">
        <f t="shared" si="2"/>
        <v/>
      </c>
      <c r="Q591" s="169"/>
      <c r="R591" s="169" t="str">
        <f t="shared" si="3"/>
        <v/>
      </c>
      <c r="S591" s="169"/>
      <c r="T591" s="169" t="str">
        <f t="shared" si="4"/>
        <v/>
      </c>
      <c r="U591" s="169"/>
      <c r="V591" s="169" t="str">
        <f t="shared" si="5"/>
        <v/>
      </c>
      <c r="W591" s="169"/>
      <c r="X591" s="169" t="str">
        <f t="shared" si="6"/>
        <v/>
      </c>
      <c r="Y591" s="169"/>
      <c r="Z591" s="169" t="str">
        <f t="shared" si="7"/>
        <v/>
      </c>
      <c r="AA591" s="169"/>
      <c r="AB591" s="169" t="str">
        <f t="shared" si="8"/>
        <v/>
      </c>
      <c r="AC591" s="169"/>
      <c r="AD591" s="169" t="str">
        <f t="shared" si="9"/>
        <v/>
      </c>
      <c r="AE591" s="169"/>
      <c r="AF591" s="169" t="str">
        <f t="shared" si="10"/>
        <v/>
      </c>
      <c r="AG591" s="169"/>
      <c r="AH591" s="169" t="str">
        <f t="shared" si="11"/>
        <v/>
      </c>
      <c r="AI591" s="169"/>
      <c r="AJ591" s="169" t="str">
        <f t="shared" si="12"/>
        <v/>
      </c>
    </row>
    <row r="59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 t="str">
        <f t="shared" si="2"/>
        <v/>
      </c>
      <c r="Q592" s="169"/>
      <c r="R592" s="169" t="str">
        <f t="shared" si="3"/>
        <v/>
      </c>
      <c r="S592" s="169"/>
      <c r="T592" s="169" t="str">
        <f t="shared" si="4"/>
        <v/>
      </c>
      <c r="U592" s="169"/>
      <c r="V592" s="169" t="str">
        <f t="shared" si="5"/>
        <v/>
      </c>
      <c r="W592" s="169"/>
      <c r="X592" s="169" t="str">
        <f t="shared" si="6"/>
        <v/>
      </c>
      <c r="Y592" s="169"/>
      <c r="Z592" s="169" t="str">
        <f t="shared" si="7"/>
        <v/>
      </c>
      <c r="AA592" s="169"/>
      <c r="AB592" s="169" t="str">
        <f t="shared" si="8"/>
        <v/>
      </c>
      <c r="AC592" s="169"/>
      <c r="AD592" s="169" t="str">
        <f t="shared" si="9"/>
        <v/>
      </c>
      <c r="AE592" s="169"/>
      <c r="AF592" s="169" t="str">
        <f t="shared" si="10"/>
        <v/>
      </c>
      <c r="AG592" s="169"/>
      <c r="AH592" s="169" t="str">
        <f t="shared" si="11"/>
        <v/>
      </c>
      <c r="AI592" s="169"/>
      <c r="AJ592" s="169" t="str">
        <f t="shared" si="12"/>
        <v/>
      </c>
    </row>
    <row r="593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 t="str">
        <f t="shared" si="2"/>
        <v/>
      </c>
      <c r="Q593" s="169"/>
      <c r="R593" s="169" t="str">
        <f t="shared" si="3"/>
        <v/>
      </c>
      <c r="S593" s="169"/>
      <c r="T593" s="169" t="str">
        <f t="shared" si="4"/>
        <v/>
      </c>
      <c r="U593" s="169"/>
      <c r="V593" s="169" t="str">
        <f t="shared" si="5"/>
        <v/>
      </c>
      <c r="W593" s="169"/>
      <c r="X593" s="169" t="str">
        <f t="shared" si="6"/>
        <v/>
      </c>
      <c r="Y593" s="169"/>
      <c r="Z593" s="169" t="str">
        <f t="shared" si="7"/>
        <v/>
      </c>
      <c r="AA593" s="169"/>
      <c r="AB593" s="169" t="str">
        <f t="shared" si="8"/>
        <v/>
      </c>
      <c r="AC593" s="169"/>
      <c r="AD593" s="169" t="str">
        <f t="shared" si="9"/>
        <v/>
      </c>
      <c r="AE593" s="169"/>
      <c r="AF593" s="169" t="str">
        <f t="shared" si="10"/>
        <v/>
      </c>
      <c r="AG593" s="169"/>
      <c r="AH593" s="169" t="str">
        <f t="shared" si="11"/>
        <v/>
      </c>
      <c r="AI593" s="169"/>
      <c r="AJ593" s="169" t="str">
        <f t="shared" si="12"/>
        <v/>
      </c>
    </row>
    <row r="594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 t="str">
        <f t="shared" si="2"/>
        <v/>
      </c>
      <c r="Q594" s="169"/>
      <c r="R594" s="169" t="str">
        <f t="shared" si="3"/>
        <v/>
      </c>
      <c r="S594" s="169"/>
      <c r="T594" s="169" t="str">
        <f t="shared" si="4"/>
        <v/>
      </c>
      <c r="U594" s="169"/>
      <c r="V594" s="169" t="str">
        <f t="shared" si="5"/>
        <v/>
      </c>
      <c r="W594" s="169"/>
      <c r="X594" s="169" t="str">
        <f t="shared" si="6"/>
        <v/>
      </c>
      <c r="Y594" s="169"/>
      <c r="Z594" s="169" t="str">
        <f t="shared" si="7"/>
        <v/>
      </c>
      <c r="AA594" s="169"/>
      <c r="AB594" s="169" t="str">
        <f t="shared" si="8"/>
        <v/>
      </c>
      <c r="AC594" s="169"/>
      <c r="AD594" s="169" t="str">
        <f t="shared" si="9"/>
        <v/>
      </c>
      <c r="AE594" s="169"/>
      <c r="AF594" s="169" t="str">
        <f t="shared" si="10"/>
        <v/>
      </c>
      <c r="AG594" s="169"/>
      <c r="AH594" s="169" t="str">
        <f t="shared" si="11"/>
        <v/>
      </c>
      <c r="AI594" s="169"/>
      <c r="AJ594" s="169" t="str">
        <f t="shared" si="12"/>
        <v/>
      </c>
    </row>
    <row r="59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 t="str">
        <f t="shared" si="2"/>
        <v/>
      </c>
      <c r="Q595" s="169"/>
      <c r="R595" s="169" t="str">
        <f t="shared" si="3"/>
        <v/>
      </c>
      <c r="S595" s="169"/>
      <c r="T595" s="169" t="str">
        <f t="shared" si="4"/>
        <v/>
      </c>
      <c r="U595" s="169"/>
      <c r="V595" s="169" t="str">
        <f t="shared" si="5"/>
        <v/>
      </c>
      <c r="W595" s="169"/>
      <c r="X595" s="169" t="str">
        <f t="shared" si="6"/>
        <v/>
      </c>
      <c r="Y595" s="169"/>
      <c r="Z595" s="169" t="str">
        <f t="shared" si="7"/>
        <v/>
      </c>
      <c r="AA595" s="169"/>
      <c r="AB595" s="169" t="str">
        <f t="shared" si="8"/>
        <v/>
      </c>
      <c r="AC595" s="169"/>
      <c r="AD595" s="169" t="str">
        <f t="shared" si="9"/>
        <v/>
      </c>
      <c r="AE595" s="169"/>
      <c r="AF595" s="169" t="str">
        <f t="shared" si="10"/>
        <v/>
      </c>
      <c r="AG595" s="169"/>
      <c r="AH595" s="169" t="str">
        <f t="shared" si="11"/>
        <v/>
      </c>
      <c r="AI595" s="169"/>
      <c r="AJ595" s="169" t="str">
        <f t="shared" si="12"/>
        <v/>
      </c>
    </row>
    <row r="596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 t="str">
        <f t="shared" si="2"/>
        <v/>
      </c>
      <c r="Q596" s="169"/>
      <c r="R596" s="169" t="str">
        <f t="shared" si="3"/>
        <v/>
      </c>
      <c r="S596" s="169"/>
      <c r="T596" s="169" t="str">
        <f t="shared" si="4"/>
        <v/>
      </c>
      <c r="U596" s="169"/>
      <c r="V596" s="169" t="str">
        <f t="shared" si="5"/>
        <v/>
      </c>
      <c r="W596" s="169"/>
      <c r="X596" s="169" t="str">
        <f t="shared" si="6"/>
        <v/>
      </c>
      <c r="Y596" s="169"/>
      <c r="Z596" s="169" t="str">
        <f t="shared" si="7"/>
        <v/>
      </c>
      <c r="AA596" s="169"/>
      <c r="AB596" s="169" t="str">
        <f t="shared" si="8"/>
        <v/>
      </c>
      <c r="AC596" s="169"/>
      <c r="AD596" s="169" t="str">
        <f t="shared" si="9"/>
        <v/>
      </c>
      <c r="AE596" s="169"/>
      <c r="AF596" s="169" t="str">
        <f t="shared" si="10"/>
        <v/>
      </c>
      <c r="AG596" s="169"/>
      <c r="AH596" s="169" t="str">
        <f t="shared" si="11"/>
        <v/>
      </c>
      <c r="AI596" s="169"/>
      <c r="AJ596" s="169" t="str">
        <f t="shared" si="12"/>
        <v/>
      </c>
    </row>
    <row r="597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 t="str">
        <f t="shared" si="2"/>
        <v/>
      </c>
      <c r="Q597" s="169"/>
      <c r="R597" s="169" t="str">
        <f t="shared" si="3"/>
        <v/>
      </c>
      <c r="S597" s="169"/>
      <c r="T597" s="169" t="str">
        <f t="shared" si="4"/>
        <v/>
      </c>
      <c r="U597" s="169"/>
      <c r="V597" s="169" t="str">
        <f t="shared" si="5"/>
        <v/>
      </c>
      <c r="W597" s="169"/>
      <c r="X597" s="169" t="str">
        <f t="shared" si="6"/>
        <v/>
      </c>
      <c r="Y597" s="169"/>
      <c r="Z597" s="169" t="str">
        <f t="shared" si="7"/>
        <v/>
      </c>
      <c r="AA597" s="169"/>
      <c r="AB597" s="169" t="str">
        <f t="shared" si="8"/>
        <v/>
      </c>
      <c r="AC597" s="169"/>
      <c r="AD597" s="169" t="str">
        <f t="shared" si="9"/>
        <v/>
      </c>
      <c r="AE597" s="169"/>
      <c r="AF597" s="169" t="str">
        <f t="shared" si="10"/>
        <v/>
      </c>
      <c r="AG597" s="169"/>
      <c r="AH597" s="169" t="str">
        <f t="shared" si="11"/>
        <v/>
      </c>
      <c r="AI597" s="169"/>
      <c r="AJ597" s="169" t="str">
        <f t="shared" si="12"/>
        <v/>
      </c>
    </row>
    <row r="598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 t="str">
        <f t="shared" si="2"/>
        <v/>
      </c>
      <c r="Q598" s="169"/>
      <c r="R598" s="169" t="str">
        <f t="shared" si="3"/>
        <v/>
      </c>
      <c r="S598" s="169"/>
      <c r="T598" s="169" t="str">
        <f t="shared" si="4"/>
        <v/>
      </c>
      <c r="U598" s="169"/>
      <c r="V598" s="169" t="str">
        <f t="shared" si="5"/>
        <v/>
      </c>
      <c r="W598" s="169"/>
      <c r="X598" s="169" t="str">
        <f t="shared" si="6"/>
        <v/>
      </c>
      <c r="Y598" s="169"/>
      <c r="Z598" s="169" t="str">
        <f t="shared" si="7"/>
        <v/>
      </c>
      <c r="AA598" s="169"/>
      <c r="AB598" s="169" t="str">
        <f t="shared" si="8"/>
        <v/>
      </c>
      <c r="AC598" s="169"/>
      <c r="AD598" s="169" t="str">
        <f t="shared" si="9"/>
        <v/>
      </c>
      <c r="AE598" s="169"/>
      <c r="AF598" s="169" t="str">
        <f t="shared" si="10"/>
        <v/>
      </c>
      <c r="AG598" s="169"/>
      <c r="AH598" s="169" t="str">
        <f t="shared" si="11"/>
        <v/>
      </c>
      <c r="AI598" s="169"/>
      <c r="AJ598" s="169" t="str">
        <f t="shared" si="12"/>
        <v/>
      </c>
    </row>
    <row r="599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 t="str">
        <f t="shared" si="2"/>
        <v/>
      </c>
      <c r="Q599" s="169"/>
      <c r="R599" s="169" t="str">
        <f t="shared" si="3"/>
        <v/>
      </c>
      <c r="S599" s="169"/>
      <c r="T599" s="169" t="str">
        <f t="shared" si="4"/>
        <v/>
      </c>
      <c r="U599" s="169"/>
      <c r="V599" s="169" t="str">
        <f t="shared" si="5"/>
        <v/>
      </c>
      <c r="W599" s="169"/>
      <c r="X599" s="169" t="str">
        <f t="shared" si="6"/>
        <v/>
      </c>
      <c r="Y599" s="169"/>
      <c r="Z599" s="169" t="str">
        <f t="shared" si="7"/>
        <v/>
      </c>
      <c r="AA599" s="169"/>
      <c r="AB599" s="169" t="str">
        <f t="shared" si="8"/>
        <v/>
      </c>
      <c r="AC599" s="169"/>
      <c r="AD599" s="169" t="str">
        <f t="shared" si="9"/>
        <v/>
      </c>
      <c r="AE599" s="169"/>
      <c r="AF599" s="169" t="str">
        <f t="shared" si="10"/>
        <v/>
      </c>
      <c r="AG599" s="169"/>
      <c r="AH599" s="169" t="str">
        <f t="shared" si="11"/>
        <v/>
      </c>
      <c r="AI599" s="169"/>
      <c r="AJ599" s="169" t="str">
        <f t="shared" si="12"/>
        <v/>
      </c>
    </row>
    <row r="600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 t="str">
        <f t="shared" si="2"/>
        <v/>
      </c>
      <c r="Q600" s="169"/>
      <c r="R600" s="169" t="str">
        <f t="shared" si="3"/>
        <v/>
      </c>
      <c r="S600" s="169"/>
      <c r="T600" s="169" t="str">
        <f t="shared" si="4"/>
        <v/>
      </c>
      <c r="U600" s="169"/>
      <c r="V600" s="169" t="str">
        <f t="shared" si="5"/>
        <v/>
      </c>
      <c r="W600" s="169"/>
      <c r="X600" s="169" t="str">
        <f t="shared" si="6"/>
        <v/>
      </c>
      <c r="Y600" s="169"/>
      <c r="Z600" s="169" t="str">
        <f t="shared" si="7"/>
        <v/>
      </c>
      <c r="AA600" s="169"/>
      <c r="AB600" s="169" t="str">
        <f t="shared" si="8"/>
        <v/>
      </c>
      <c r="AC600" s="169"/>
      <c r="AD600" s="169" t="str">
        <f t="shared" si="9"/>
        <v/>
      </c>
      <c r="AE600" s="169"/>
      <c r="AF600" s="169" t="str">
        <f t="shared" si="10"/>
        <v/>
      </c>
      <c r="AG600" s="169"/>
      <c r="AH600" s="169" t="str">
        <f t="shared" si="11"/>
        <v/>
      </c>
      <c r="AI600" s="169"/>
      <c r="AJ600" s="169" t="str">
        <f t="shared" si="12"/>
        <v/>
      </c>
    </row>
    <row r="60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 t="str">
        <f t="shared" si="2"/>
        <v/>
      </c>
      <c r="Q601" s="169"/>
      <c r="R601" s="169" t="str">
        <f t="shared" si="3"/>
        <v/>
      </c>
      <c r="S601" s="169"/>
      <c r="T601" s="169" t="str">
        <f t="shared" si="4"/>
        <v/>
      </c>
      <c r="U601" s="169"/>
      <c r="V601" s="169" t="str">
        <f t="shared" si="5"/>
        <v/>
      </c>
      <c r="W601" s="169"/>
      <c r="X601" s="169" t="str">
        <f t="shared" si="6"/>
        <v/>
      </c>
      <c r="Y601" s="169"/>
      <c r="Z601" s="169" t="str">
        <f t="shared" si="7"/>
        <v/>
      </c>
      <c r="AA601" s="169"/>
      <c r="AB601" s="169" t="str">
        <f t="shared" si="8"/>
        <v/>
      </c>
      <c r="AC601" s="169"/>
      <c r="AD601" s="169" t="str">
        <f t="shared" si="9"/>
        <v/>
      </c>
      <c r="AE601" s="169"/>
      <c r="AF601" s="169" t="str">
        <f t="shared" si="10"/>
        <v/>
      </c>
      <c r="AG601" s="169"/>
      <c r="AH601" s="169" t="str">
        <f t="shared" si="11"/>
        <v/>
      </c>
      <c r="AI601" s="169"/>
      <c r="AJ601" s="169" t="str">
        <f t="shared" si="12"/>
        <v/>
      </c>
    </row>
    <row r="60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 t="str">
        <f t="shared" si="2"/>
        <v/>
      </c>
      <c r="Q602" s="169"/>
      <c r="R602" s="169" t="str">
        <f t="shared" si="3"/>
        <v/>
      </c>
      <c r="S602" s="169"/>
      <c r="T602" s="169" t="str">
        <f t="shared" si="4"/>
        <v/>
      </c>
      <c r="U602" s="169"/>
      <c r="V602" s="169" t="str">
        <f t="shared" si="5"/>
        <v/>
      </c>
      <c r="W602" s="169"/>
      <c r="X602" s="169" t="str">
        <f t="shared" si="6"/>
        <v/>
      </c>
      <c r="Y602" s="169"/>
      <c r="Z602" s="169" t="str">
        <f t="shared" si="7"/>
        <v/>
      </c>
      <c r="AA602" s="169"/>
      <c r="AB602" s="169" t="str">
        <f t="shared" si="8"/>
        <v/>
      </c>
      <c r="AC602" s="169"/>
      <c r="AD602" s="169" t="str">
        <f t="shared" si="9"/>
        <v/>
      </c>
      <c r="AE602" s="169"/>
      <c r="AF602" s="169" t="str">
        <f t="shared" si="10"/>
        <v/>
      </c>
      <c r="AG602" s="169"/>
      <c r="AH602" s="169" t="str">
        <f t="shared" si="11"/>
        <v/>
      </c>
      <c r="AI602" s="169"/>
      <c r="AJ602" s="169" t="str">
        <f t="shared" si="12"/>
        <v/>
      </c>
    </row>
    <row r="603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 t="str">
        <f t="shared" si="2"/>
        <v/>
      </c>
      <c r="Q603" s="169"/>
      <c r="R603" s="169" t="str">
        <f t="shared" si="3"/>
        <v/>
      </c>
      <c r="S603" s="169"/>
      <c r="T603" s="169" t="str">
        <f t="shared" si="4"/>
        <v/>
      </c>
      <c r="U603" s="169"/>
      <c r="V603" s="169" t="str">
        <f t="shared" si="5"/>
        <v/>
      </c>
      <c r="W603" s="169"/>
      <c r="X603" s="169" t="str">
        <f t="shared" si="6"/>
        <v/>
      </c>
      <c r="Y603" s="169"/>
      <c r="Z603" s="169" t="str">
        <f t="shared" si="7"/>
        <v/>
      </c>
      <c r="AA603" s="169"/>
      <c r="AB603" s="169" t="str">
        <f t="shared" si="8"/>
        <v/>
      </c>
      <c r="AC603" s="169"/>
      <c r="AD603" s="169" t="str">
        <f t="shared" si="9"/>
        <v/>
      </c>
      <c r="AE603" s="169"/>
      <c r="AF603" s="169" t="str">
        <f t="shared" si="10"/>
        <v/>
      </c>
      <c r="AG603" s="169"/>
      <c r="AH603" s="169" t="str">
        <f t="shared" si="11"/>
        <v/>
      </c>
      <c r="AI603" s="169"/>
      <c r="AJ603" s="169" t="str">
        <f t="shared" si="12"/>
        <v/>
      </c>
    </row>
    <row r="604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 t="str">
        <f t="shared" si="2"/>
        <v/>
      </c>
      <c r="Q604" s="169"/>
      <c r="R604" s="169" t="str">
        <f t="shared" si="3"/>
        <v/>
      </c>
      <c r="S604" s="169"/>
      <c r="T604" s="169" t="str">
        <f t="shared" si="4"/>
        <v/>
      </c>
      <c r="U604" s="169"/>
      <c r="V604" s="169" t="str">
        <f t="shared" si="5"/>
        <v/>
      </c>
      <c r="W604" s="169"/>
      <c r="X604" s="169" t="str">
        <f t="shared" si="6"/>
        <v/>
      </c>
      <c r="Y604" s="169"/>
      <c r="Z604" s="169" t="str">
        <f t="shared" si="7"/>
        <v/>
      </c>
      <c r="AA604" s="169"/>
      <c r="AB604" s="169" t="str">
        <f t="shared" si="8"/>
        <v/>
      </c>
      <c r="AC604" s="169"/>
      <c r="AD604" s="169" t="str">
        <f t="shared" si="9"/>
        <v/>
      </c>
      <c r="AE604" s="169"/>
      <c r="AF604" s="169" t="str">
        <f t="shared" si="10"/>
        <v/>
      </c>
      <c r="AG604" s="169"/>
      <c r="AH604" s="169" t="str">
        <f t="shared" si="11"/>
        <v/>
      </c>
      <c r="AI604" s="169"/>
      <c r="AJ604" s="169" t="str">
        <f t="shared" si="12"/>
        <v/>
      </c>
    </row>
    <row r="60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 t="str">
        <f t="shared" si="2"/>
        <v/>
      </c>
      <c r="Q605" s="169"/>
      <c r="R605" s="169" t="str">
        <f t="shared" si="3"/>
        <v/>
      </c>
      <c r="S605" s="169"/>
      <c r="T605" s="169" t="str">
        <f t="shared" si="4"/>
        <v/>
      </c>
      <c r="U605" s="169"/>
      <c r="V605" s="169" t="str">
        <f t="shared" si="5"/>
        <v/>
      </c>
      <c r="W605" s="169"/>
      <c r="X605" s="169" t="str">
        <f t="shared" si="6"/>
        <v/>
      </c>
      <c r="Y605" s="169"/>
      <c r="Z605" s="169" t="str">
        <f t="shared" si="7"/>
        <v/>
      </c>
      <c r="AA605" s="169"/>
      <c r="AB605" s="169" t="str">
        <f t="shared" si="8"/>
        <v/>
      </c>
      <c r="AC605" s="169"/>
      <c r="AD605" s="169" t="str">
        <f t="shared" si="9"/>
        <v/>
      </c>
      <c r="AE605" s="169"/>
      <c r="AF605" s="169" t="str">
        <f t="shared" si="10"/>
        <v/>
      </c>
      <c r="AG605" s="169"/>
      <c r="AH605" s="169" t="str">
        <f t="shared" si="11"/>
        <v/>
      </c>
      <c r="AI605" s="169"/>
      <c r="AJ605" s="169" t="str">
        <f t="shared" si="12"/>
        <v/>
      </c>
    </row>
    <row r="606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 t="str">
        <f t="shared" si="2"/>
        <v/>
      </c>
      <c r="Q606" s="169"/>
      <c r="R606" s="169" t="str">
        <f t="shared" si="3"/>
        <v/>
      </c>
      <c r="S606" s="169"/>
      <c r="T606" s="169" t="str">
        <f t="shared" si="4"/>
        <v/>
      </c>
      <c r="U606" s="169"/>
      <c r="V606" s="169" t="str">
        <f t="shared" si="5"/>
        <v/>
      </c>
      <c r="W606" s="169"/>
      <c r="X606" s="169" t="str">
        <f t="shared" si="6"/>
        <v/>
      </c>
      <c r="Y606" s="169"/>
      <c r="Z606" s="169" t="str">
        <f t="shared" si="7"/>
        <v/>
      </c>
      <c r="AA606" s="169"/>
      <c r="AB606" s="169" t="str">
        <f t="shared" si="8"/>
        <v/>
      </c>
      <c r="AC606" s="169"/>
      <c r="AD606" s="169" t="str">
        <f t="shared" si="9"/>
        <v/>
      </c>
      <c r="AE606" s="169"/>
      <c r="AF606" s="169" t="str">
        <f t="shared" si="10"/>
        <v/>
      </c>
      <c r="AG606" s="169"/>
      <c r="AH606" s="169" t="str">
        <f t="shared" si="11"/>
        <v/>
      </c>
      <c r="AI606" s="169"/>
      <c r="AJ606" s="169" t="str">
        <f t="shared" si="12"/>
        <v/>
      </c>
    </row>
    <row r="607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 t="str">
        <f t="shared" si="2"/>
        <v/>
      </c>
      <c r="Q607" s="169"/>
      <c r="R607" s="169" t="str">
        <f t="shared" si="3"/>
        <v/>
      </c>
      <c r="S607" s="169"/>
      <c r="T607" s="169" t="str">
        <f t="shared" si="4"/>
        <v/>
      </c>
      <c r="U607" s="169"/>
      <c r="V607" s="169" t="str">
        <f t="shared" si="5"/>
        <v/>
      </c>
      <c r="W607" s="169"/>
      <c r="X607" s="169" t="str">
        <f t="shared" si="6"/>
        <v/>
      </c>
      <c r="Y607" s="169"/>
      <c r="Z607" s="169" t="str">
        <f t="shared" si="7"/>
        <v/>
      </c>
      <c r="AA607" s="169"/>
      <c r="AB607" s="169" t="str">
        <f t="shared" si="8"/>
        <v/>
      </c>
      <c r="AC607" s="169"/>
      <c r="AD607" s="169" t="str">
        <f t="shared" si="9"/>
        <v/>
      </c>
      <c r="AE607" s="169"/>
      <c r="AF607" s="169" t="str">
        <f t="shared" si="10"/>
        <v/>
      </c>
      <c r="AG607" s="169"/>
      <c r="AH607" s="169" t="str">
        <f t="shared" si="11"/>
        <v/>
      </c>
      <c r="AI607" s="169"/>
      <c r="AJ607" s="169" t="str">
        <f t="shared" si="12"/>
        <v/>
      </c>
    </row>
    <row r="608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 t="str">
        <f t="shared" si="2"/>
        <v/>
      </c>
      <c r="Q608" s="169"/>
      <c r="R608" s="169" t="str">
        <f t="shared" si="3"/>
        <v/>
      </c>
      <c r="S608" s="169"/>
      <c r="T608" s="169" t="str">
        <f t="shared" si="4"/>
        <v/>
      </c>
      <c r="U608" s="169"/>
      <c r="V608" s="169" t="str">
        <f t="shared" si="5"/>
        <v/>
      </c>
      <c r="W608" s="169"/>
      <c r="X608" s="169" t="str">
        <f t="shared" si="6"/>
        <v/>
      </c>
      <c r="Y608" s="169"/>
      <c r="Z608" s="169" t="str">
        <f t="shared" si="7"/>
        <v/>
      </c>
      <c r="AA608" s="169"/>
      <c r="AB608" s="169" t="str">
        <f t="shared" si="8"/>
        <v/>
      </c>
      <c r="AC608" s="169"/>
      <c r="AD608" s="169" t="str">
        <f t="shared" si="9"/>
        <v/>
      </c>
      <c r="AE608" s="169"/>
      <c r="AF608" s="169" t="str">
        <f t="shared" si="10"/>
        <v/>
      </c>
      <c r="AG608" s="169"/>
      <c r="AH608" s="169" t="str">
        <f t="shared" si="11"/>
        <v/>
      </c>
      <c r="AI608" s="169"/>
      <c r="AJ608" s="169" t="str">
        <f t="shared" si="12"/>
        <v/>
      </c>
    </row>
    <row r="609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 t="str">
        <f t="shared" si="2"/>
        <v/>
      </c>
      <c r="Q609" s="169"/>
      <c r="R609" s="169" t="str">
        <f t="shared" si="3"/>
        <v/>
      </c>
      <c r="S609" s="169"/>
      <c r="T609" s="169" t="str">
        <f t="shared" si="4"/>
        <v/>
      </c>
      <c r="U609" s="169"/>
      <c r="V609" s="169" t="str">
        <f t="shared" si="5"/>
        <v/>
      </c>
      <c r="W609" s="169"/>
      <c r="X609" s="169" t="str">
        <f t="shared" si="6"/>
        <v/>
      </c>
      <c r="Y609" s="169"/>
      <c r="Z609" s="169" t="str">
        <f t="shared" si="7"/>
        <v/>
      </c>
      <c r="AA609" s="169"/>
      <c r="AB609" s="169" t="str">
        <f t="shared" si="8"/>
        <v/>
      </c>
      <c r="AC609" s="169"/>
      <c r="AD609" s="169" t="str">
        <f t="shared" si="9"/>
        <v/>
      </c>
      <c r="AE609" s="169"/>
      <c r="AF609" s="169" t="str">
        <f t="shared" si="10"/>
        <v/>
      </c>
      <c r="AG609" s="169"/>
      <c r="AH609" s="169" t="str">
        <f t="shared" si="11"/>
        <v/>
      </c>
      <c r="AI609" s="169"/>
      <c r="AJ609" s="169" t="str">
        <f t="shared" si="12"/>
        <v/>
      </c>
    </row>
    <row r="610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 t="str">
        <f t="shared" si="2"/>
        <v/>
      </c>
      <c r="Q610" s="169"/>
      <c r="R610" s="169" t="str">
        <f t="shared" si="3"/>
        <v/>
      </c>
      <c r="S610" s="169"/>
      <c r="T610" s="169" t="str">
        <f t="shared" si="4"/>
        <v/>
      </c>
      <c r="U610" s="169"/>
      <c r="V610" s="169" t="str">
        <f t="shared" si="5"/>
        <v/>
      </c>
      <c r="W610" s="169"/>
      <c r="X610" s="169" t="str">
        <f t="shared" si="6"/>
        <v/>
      </c>
      <c r="Y610" s="169"/>
      <c r="Z610" s="169" t="str">
        <f t="shared" si="7"/>
        <v/>
      </c>
      <c r="AA610" s="169"/>
      <c r="AB610" s="169" t="str">
        <f t="shared" si="8"/>
        <v/>
      </c>
      <c r="AC610" s="169"/>
      <c r="AD610" s="169" t="str">
        <f t="shared" si="9"/>
        <v/>
      </c>
      <c r="AE610" s="169"/>
      <c r="AF610" s="169" t="str">
        <f t="shared" si="10"/>
        <v/>
      </c>
      <c r="AG610" s="169"/>
      <c r="AH610" s="169" t="str">
        <f t="shared" si="11"/>
        <v/>
      </c>
      <c r="AI610" s="169"/>
      <c r="AJ610" s="169" t="str">
        <f t="shared" si="12"/>
        <v/>
      </c>
    </row>
    <row r="61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 t="str">
        <f t="shared" si="2"/>
        <v/>
      </c>
      <c r="Q611" s="169"/>
      <c r="R611" s="169" t="str">
        <f t="shared" si="3"/>
        <v/>
      </c>
      <c r="S611" s="169"/>
      <c r="T611" s="169" t="str">
        <f t="shared" si="4"/>
        <v/>
      </c>
      <c r="U611" s="169"/>
      <c r="V611" s="169" t="str">
        <f t="shared" si="5"/>
        <v/>
      </c>
      <c r="W611" s="169"/>
      <c r="X611" s="169" t="str">
        <f t="shared" si="6"/>
        <v/>
      </c>
      <c r="Y611" s="169"/>
      <c r="Z611" s="169" t="str">
        <f t="shared" si="7"/>
        <v/>
      </c>
      <c r="AA611" s="169"/>
      <c r="AB611" s="169" t="str">
        <f t="shared" si="8"/>
        <v/>
      </c>
      <c r="AC611" s="169"/>
      <c r="AD611" s="169" t="str">
        <f t="shared" si="9"/>
        <v/>
      </c>
      <c r="AE611" s="169"/>
      <c r="AF611" s="169" t="str">
        <f t="shared" si="10"/>
        <v/>
      </c>
      <c r="AG611" s="169"/>
      <c r="AH611" s="169" t="str">
        <f t="shared" si="11"/>
        <v/>
      </c>
      <c r="AI611" s="169"/>
      <c r="AJ611" s="169" t="str">
        <f t="shared" si="12"/>
        <v/>
      </c>
    </row>
    <row r="61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 t="str">
        <f t="shared" si="2"/>
        <v/>
      </c>
      <c r="Q612" s="169"/>
      <c r="R612" s="169" t="str">
        <f t="shared" si="3"/>
        <v/>
      </c>
      <c r="S612" s="169"/>
      <c r="T612" s="169" t="str">
        <f t="shared" si="4"/>
        <v/>
      </c>
      <c r="U612" s="169"/>
      <c r="V612" s="169" t="str">
        <f t="shared" si="5"/>
        <v/>
      </c>
      <c r="W612" s="169"/>
      <c r="X612" s="169" t="str">
        <f t="shared" si="6"/>
        <v/>
      </c>
      <c r="Y612" s="169"/>
      <c r="Z612" s="169" t="str">
        <f t="shared" si="7"/>
        <v/>
      </c>
      <c r="AA612" s="169"/>
      <c r="AB612" s="169" t="str">
        <f t="shared" si="8"/>
        <v/>
      </c>
      <c r="AC612" s="169"/>
      <c r="AD612" s="169" t="str">
        <f t="shared" si="9"/>
        <v/>
      </c>
      <c r="AE612" s="169"/>
      <c r="AF612" s="169" t="str">
        <f t="shared" si="10"/>
        <v/>
      </c>
      <c r="AG612" s="169"/>
      <c r="AH612" s="169" t="str">
        <f t="shared" si="11"/>
        <v/>
      </c>
      <c r="AI612" s="169"/>
      <c r="AJ612" s="169" t="str">
        <f t="shared" si="12"/>
        <v/>
      </c>
    </row>
    <row r="613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 t="str">
        <f t="shared" si="2"/>
        <v/>
      </c>
      <c r="Q613" s="169"/>
      <c r="R613" s="169" t="str">
        <f t="shared" si="3"/>
        <v/>
      </c>
      <c r="S613" s="169"/>
      <c r="T613" s="169" t="str">
        <f t="shared" si="4"/>
        <v/>
      </c>
      <c r="U613" s="169"/>
      <c r="V613" s="169" t="str">
        <f t="shared" si="5"/>
        <v/>
      </c>
      <c r="W613" s="169"/>
      <c r="X613" s="169" t="str">
        <f t="shared" si="6"/>
        <v/>
      </c>
      <c r="Y613" s="169"/>
      <c r="Z613" s="169" t="str">
        <f t="shared" si="7"/>
        <v/>
      </c>
      <c r="AA613" s="169"/>
      <c r="AB613" s="169" t="str">
        <f t="shared" si="8"/>
        <v/>
      </c>
      <c r="AC613" s="169"/>
      <c r="AD613" s="169" t="str">
        <f t="shared" si="9"/>
        <v/>
      </c>
      <c r="AE613" s="169"/>
      <c r="AF613" s="169" t="str">
        <f t="shared" si="10"/>
        <v/>
      </c>
      <c r="AG613" s="169"/>
      <c r="AH613" s="169" t="str">
        <f t="shared" si="11"/>
        <v/>
      </c>
      <c r="AI613" s="169"/>
      <c r="AJ613" s="169" t="str">
        <f t="shared" si="12"/>
        <v/>
      </c>
    </row>
    <row r="614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 t="str">
        <f t="shared" si="2"/>
        <v/>
      </c>
      <c r="Q614" s="169"/>
      <c r="R614" s="169" t="str">
        <f t="shared" si="3"/>
        <v/>
      </c>
      <c r="S614" s="169"/>
      <c r="T614" s="169" t="str">
        <f t="shared" si="4"/>
        <v/>
      </c>
      <c r="U614" s="169"/>
      <c r="V614" s="169" t="str">
        <f t="shared" si="5"/>
        <v/>
      </c>
      <c r="W614" s="169"/>
      <c r="X614" s="169" t="str">
        <f t="shared" si="6"/>
        <v/>
      </c>
      <c r="Y614" s="169"/>
      <c r="Z614" s="169" t="str">
        <f t="shared" si="7"/>
        <v/>
      </c>
      <c r="AA614" s="169"/>
      <c r="AB614" s="169" t="str">
        <f t="shared" si="8"/>
        <v/>
      </c>
      <c r="AC614" s="169"/>
      <c r="AD614" s="169" t="str">
        <f t="shared" si="9"/>
        <v/>
      </c>
      <c r="AE614" s="169"/>
      <c r="AF614" s="169" t="str">
        <f t="shared" si="10"/>
        <v/>
      </c>
      <c r="AG614" s="169"/>
      <c r="AH614" s="169" t="str">
        <f t="shared" si="11"/>
        <v/>
      </c>
      <c r="AI614" s="169"/>
      <c r="AJ614" s="169" t="str">
        <f t="shared" si="12"/>
        <v/>
      </c>
    </row>
    <row r="61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 t="str">
        <f t="shared" si="2"/>
        <v/>
      </c>
      <c r="Q615" s="169"/>
      <c r="R615" s="169" t="str">
        <f t="shared" si="3"/>
        <v/>
      </c>
      <c r="S615" s="169"/>
      <c r="T615" s="169" t="str">
        <f t="shared" si="4"/>
        <v/>
      </c>
      <c r="U615" s="169"/>
      <c r="V615" s="169" t="str">
        <f t="shared" si="5"/>
        <v/>
      </c>
      <c r="W615" s="169"/>
      <c r="X615" s="169" t="str">
        <f t="shared" si="6"/>
        <v/>
      </c>
      <c r="Y615" s="169"/>
      <c r="Z615" s="169" t="str">
        <f t="shared" si="7"/>
        <v/>
      </c>
      <c r="AA615" s="169"/>
      <c r="AB615" s="169" t="str">
        <f t="shared" si="8"/>
        <v/>
      </c>
      <c r="AC615" s="169"/>
      <c r="AD615" s="169" t="str">
        <f t="shared" si="9"/>
        <v/>
      </c>
      <c r="AE615" s="169"/>
      <c r="AF615" s="169" t="str">
        <f t="shared" si="10"/>
        <v/>
      </c>
      <c r="AG615" s="169"/>
      <c r="AH615" s="169" t="str">
        <f t="shared" si="11"/>
        <v/>
      </c>
      <c r="AI615" s="169"/>
      <c r="AJ615" s="169" t="str">
        <f t="shared" si="12"/>
        <v/>
      </c>
    </row>
    <row r="616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 t="str">
        <f t="shared" si="2"/>
        <v/>
      </c>
      <c r="Q616" s="169"/>
      <c r="R616" s="169" t="str">
        <f t="shared" si="3"/>
        <v/>
      </c>
      <c r="S616" s="169"/>
      <c r="T616" s="169" t="str">
        <f t="shared" si="4"/>
        <v/>
      </c>
      <c r="U616" s="169"/>
      <c r="V616" s="169" t="str">
        <f t="shared" si="5"/>
        <v/>
      </c>
      <c r="W616" s="169"/>
      <c r="X616" s="169" t="str">
        <f t="shared" si="6"/>
        <v/>
      </c>
      <c r="Y616" s="169"/>
      <c r="Z616" s="169" t="str">
        <f t="shared" si="7"/>
        <v/>
      </c>
      <c r="AA616" s="169"/>
      <c r="AB616" s="169" t="str">
        <f t="shared" si="8"/>
        <v/>
      </c>
      <c r="AC616" s="169"/>
      <c r="AD616" s="169" t="str">
        <f t="shared" si="9"/>
        <v/>
      </c>
      <c r="AE616" s="169"/>
      <c r="AF616" s="169" t="str">
        <f t="shared" si="10"/>
        <v/>
      </c>
      <c r="AG616" s="169"/>
      <c r="AH616" s="169" t="str">
        <f t="shared" si="11"/>
        <v/>
      </c>
      <c r="AI616" s="169"/>
      <c r="AJ616" s="169" t="str">
        <f t="shared" si="12"/>
        <v/>
      </c>
    </row>
    <row r="617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 t="str">
        <f t="shared" si="2"/>
        <v/>
      </c>
      <c r="Q617" s="169"/>
      <c r="R617" s="169" t="str">
        <f t="shared" si="3"/>
        <v/>
      </c>
      <c r="S617" s="169"/>
      <c r="T617" s="169" t="str">
        <f t="shared" si="4"/>
        <v/>
      </c>
      <c r="U617" s="169"/>
      <c r="V617" s="169" t="str">
        <f t="shared" si="5"/>
        <v/>
      </c>
      <c r="W617" s="169"/>
      <c r="X617" s="169" t="str">
        <f t="shared" si="6"/>
        <v/>
      </c>
      <c r="Y617" s="169"/>
      <c r="Z617" s="169" t="str">
        <f t="shared" si="7"/>
        <v/>
      </c>
      <c r="AA617" s="169"/>
      <c r="AB617" s="169" t="str">
        <f t="shared" si="8"/>
        <v/>
      </c>
      <c r="AC617" s="169"/>
      <c r="AD617" s="169" t="str">
        <f t="shared" si="9"/>
        <v/>
      </c>
      <c r="AE617" s="169"/>
      <c r="AF617" s="169" t="str">
        <f t="shared" si="10"/>
        <v/>
      </c>
      <c r="AG617" s="169"/>
      <c r="AH617" s="169" t="str">
        <f t="shared" si="11"/>
        <v/>
      </c>
      <c r="AI617" s="169"/>
      <c r="AJ617" s="169" t="str">
        <f t="shared" si="12"/>
        <v/>
      </c>
    </row>
    <row r="618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 t="str">
        <f t="shared" si="2"/>
        <v/>
      </c>
      <c r="Q618" s="169"/>
      <c r="R618" s="169" t="str">
        <f t="shared" si="3"/>
        <v/>
      </c>
      <c r="S618" s="169"/>
      <c r="T618" s="169" t="str">
        <f t="shared" si="4"/>
        <v/>
      </c>
      <c r="U618" s="169"/>
      <c r="V618" s="169" t="str">
        <f t="shared" si="5"/>
        <v/>
      </c>
      <c r="W618" s="169"/>
      <c r="X618" s="169" t="str">
        <f t="shared" si="6"/>
        <v/>
      </c>
      <c r="Y618" s="169"/>
      <c r="Z618" s="169" t="str">
        <f t="shared" si="7"/>
        <v/>
      </c>
      <c r="AA618" s="169"/>
      <c r="AB618" s="169" t="str">
        <f t="shared" si="8"/>
        <v/>
      </c>
      <c r="AC618" s="169"/>
      <c r="AD618" s="169" t="str">
        <f t="shared" si="9"/>
        <v/>
      </c>
      <c r="AE618" s="169"/>
      <c r="AF618" s="169" t="str">
        <f t="shared" si="10"/>
        <v/>
      </c>
      <c r="AG618" s="169"/>
      <c r="AH618" s="169" t="str">
        <f t="shared" si="11"/>
        <v/>
      </c>
      <c r="AI618" s="169"/>
      <c r="AJ618" s="169" t="str">
        <f t="shared" si="12"/>
        <v/>
      </c>
    </row>
    <row r="619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 t="str">
        <f t="shared" si="2"/>
        <v/>
      </c>
      <c r="Q619" s="169"/>
      <c r="R619" s="169" t="str">
        <f t="shared" si="3"/>
        <v/>
      </c>
      <c r="S619" s="169"/>
      <c r="T619" s="169" t="str">
        <f t="shared" si="4"/>
        <v/>
      </c>
      <c r="U619" s="169"/>
      <c r="V619" s="169" t="str">
        <f t="shared" si="5"/>
        <v/>
      </c>
      <c r="W619" s="169"/>
      <c r="X619" s="169" t="str">
        <f t="shared" si="6"/>
        <v/>
      </c>
      <c r="Y619" s="169"/>
      <c r="Z619" s="169" t="str">
        <f t="shared" si="7"/>
        <v/>
      </c>
      <c r="AA619" s="169"/>
      <c r="AB619" s="169" t="str">
        <f t="shared" si="8"/>
        <v/>
      </c>
      <c r="AC619" s="169"/>
      <c r="AD619" s="169" t="str">
        <f t="shared" si="9"/>
        <v/>
      </c>
      <c r="AE619" s="169"/>
      <c r="AF619" s="169" t="str">
        <f t="shared" si="10"/>
        <v/>
      </c>
      <c r="AG619" s="169"/>
      <c r="AH619" s="169" t="str">
        <f t="shared" si="11"/>
        <v/>
      </c>
      <c r="AI619" s="169"/>
      <c r="AJ619" s="169" t="str">
        <f t="shared" si="12"/>
        <v/>
      </c>
    </row>
    <row r="620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 t="str">
        <f t="shared" si="2"/>
        <v/>
      </c>
      <c r="Q620" s="169"/>
      <c r="R620" s="169" t="str">
        <f t="shared" si="3"/>
        <v/>
      </c>
      <c r="S620" s="169"/>
      <c r="T620" s="169" t="str">
        <f t="shared" si="4"/>
        <v/>
      </c>
      <c r="U620" s="169"/>
      <c r="V620" s="169" t="str">
        <f t="shared" si="5"/>
        <v/>
      </c>
      <c r="W620" s="169"/>
      <c r="X620" s="169" t="str">
        <f t="shared" si="6"/>
        <v/>
      </c>
      <c r="Y620" s="169"/>
      <c r="Z620" s="169" t="str">
        <f t="shared" si="7"/>
        <v/>
      </c>
      <c r="AA620" s="169"/>
      <c r="AB620" s="169" t="str">
        <f t="shared" si="8"/>
        <v/>
      </c>
      <c r="AC620" s="169"/>
      <c r="AD620" s="169" t="str">
        <f t="shared" si="9"/>
        <v/>
      </c>
      <c r="AE620" s="169"/>
      <c r="AF620" s="169" t="str">
        <f t="shared" si="10"/>
        <v/>
      </c>
      <c r="AG620" s="169"/>
      <c r="AH620" s="169" t="str">
        <f t="shared" si="11"/>
        <v/>
      </c>
      <c r="AI620" s="169"/>
      <c r="AJ620" s="169" t="str">
        <f t="shared" si="12"/>
        <v/>
      </c>
    </row>
    <row r="62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 t="str">
        <f t="shared" si="2"/>
        <v/>
      </c>
      <c r="Q621" s="169"/>
      <c r="R621" s="169" t="str">
        <f t="shared" si="3"/>
        <v/>
      </c>
      <c r="S621" s="169"/>
      <c r="T621" s="169" t="str">
        <f t="shared" si="4"/>
        <v/>
      </c>
      <c r="U621" s="169"/>
      <c r="V621" s="169" t="str">
        <f t="shared" si="5"/>
        <v/>
      </c>
      <c r="W621" s="169"/>
      <c r="X621" s="169" t="str">
        <f t="shared" si="6"/>
        <v/>
      </c>
      <c r="Y621" s="169"/>
      <c r="Z621" s="169" t="str">
        <f t="shared" si="7"/>
        <v/>
      </c>
      <c r="AA621" s="169"/>
      <c r="AB621" s="169" t="str">
        <f t="shared" si="8"/>
        <v/>
      </c>
      <c r="AC621" s="169"/>
      <c r="AD621" s="169" t="str">
        <f t="shared" si="9"/>
        <v/>
      </c>
      <c r="AE621" s="169"/>
      <c r="AF621" s="169" t="str">
        <f t="shared" si="10"/>
        <v/>
      </c>
      <c r="AG621" s="169"/>
      <c r="AH621" s="169" t="str">
        <f t="shared" si="11"/>
        <v/>
      </c>
      <c r="AI621" s="169"/>
      <c r="AJ621" s="169" t="str">
        <f t="shared" si="12"/>
        <v/>
      </c>
    </row>
    <row r="62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 t="str">
        <f t="shared" si="2"/>
        <v/>
      </c>
      <c r="Q622" s="169"/>
      <c r="R622" s="169" t="str">
        <f t="shared" si="3"/>
        <v/>
      </c>
      <c r="S622" s="169"/>
      <c r="T622" s="169" t="str">
        <f t="shared" si="4"/>
        <v/>
      </c>
      <c r="U622" s="169"/>
      <c r="V622" s="169" t="str">
        <f t="shared" si="5"/>
        <v/>
      </c>
      <c r="W622" s="169"/>
      <c r="X622" s="169" t="str">
        <f t="shared" si="6"/>
        <v/>
      </c>
      <c r="Y622" s="169"/>
      <c r="Z622" s="169" t="str">
        <f t="shared" si="7"/>
        <v/>
      </c>
      <c r="AA622" s="169"/>
      <c r="AB622" s="169" t="str">
        <f t="shared" si="8"/>
        <v/>
      </c>
      <c r="AC622" s="169"/>
      <c r="AD622" s="169" t="str">
        <f t="shared" si="9"/>
        <v/>
      </c>
      <c r="AE622" s="169"/>
      <c r="AF622" s="169" t="str">
        <f t="shared" si="10"/>
        <v/>
      </c>
      <c r="AG622" s="169"/>
      <c r="AH622" s="169" t="str">
        <f t="shared" si="11"/>
        <v/>
      </c>
      <c r="AI622" s="169"/>
      <c r="AJ622" s="169" t="str">
        <f t="shared" si="12"/>
        <v/>
      </c>
    </row>
    <row r="623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 t="str">
        <f t="shared" si="2"/>
        <v/>
      </c>
      <c r="Q623" s="169"/>
      <c r="R623" s="169" t="str">
        <f t="shared" si="3"/>
        <v/>
      </c>
      <c r="S623" s="169"/>
      <c r="T623" s="169" t="str">
        <f t="shared" si="4"/>
        <v/>
      </c>
      <c r="U623" s="169"/>
      <c r="V623" s="169" t="str">
        <f t="shared" si="5"/>
        <v/>
      </c>
      <c r="W623" s="169"/>
      <c r="X623" s="169" t="str">
        <f t="shared" si="6"/>
        <v/>
      </c>
      <c r="Y623" s="169"/>
      <c r="Z623" s="169" t="str">
        <f t="shared" si="7"/>
        <v/>
      </c>
      <c r="AA623" s="169"/>
      <c r="AB623" s="169" t="str">
        <f t="shared" si="8"/>
        <v/>
      </c>
      <c r="AC623" s="169"/>
      <c r="AD623" s="169" t="str">
        <f t="shared" si="9"/>
        <v/>
      </c>
      <c r="AE623" s="169"/>
      <c r="AF623" s="169" t="str">
        <f t="shared" si="10"/>
        <v/>
      </c>
      <c r="AG623" s="169"/>
      <c r="AH623" s="169" t="str">
        <f t="shared" si="11"/>
        <v/>
      </c>
      <c r="AI623" s="169"/>
      <c r="AJ623" s="169" t="str">
        <f t="shared" si="12"/>
        <v/>
      </c>
    </row>
    <row r="624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 t="str">
        <f t="shared" si="2"/>
        <v/>
      </c>
      <c r="Q624" s="169"/>
      <c r="R624" s="169" t="str">
        <f t="shared" si="3"/>
        <v/>
      </c>
      <c r="S624" s="169"/>
      <c r="T624" s="169" t="str">
        <f t="shared" si="4"/>
        <v/>
      </c>
      <c r="U624" s="169"/>
      <c r="V624" s="169" t="str">
        <f t="shared" si="5"/>
        <v/>
      </c>
      <c r="W624" s="169"/>
      <c r="X624" s="169" t="str">
        <f t="shared" si="6"/>
        <v/>
      </c>
      <c r="Y624" s="169"/>
      <c r="Z624" s="169" t="str">
        <f t="shared" si="7"/>
        <v/>
      </c>
      <c r="AA624" s="169"/>
      <c r="AB624" s="169" t="str">
        <f t="shared" si="8"/>
        <v/>
      </c>
      <c r="AC624" s="169"/>
      <c r="AD624" s="169" t="str">
        <f t="shared" si="9"/>
        <v/>
      </c>
      <c r="AE624" s="169"/>
      <c r="AF624" s="169" t="str">
        <f t="shared" si="10"/>
        <v/>
      </c>
      <c r="AG624" s="169"/>
      <c r="AH624" s="169" t="str">
        <f t="shared" si="11"/>
        <v/>
      </c>
      <c r="AI624" s="169"/>
      <c r="AJ624" s="169" t="str">
        <f t="shared" si="12"/>
        <v/>
      </c>
    </row>
    <row r="6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 t="str">
        <f t="shared" si="2"/>
        <v/>
      </c>
      <c r="Q625" s="169"/>
      <c r="R625" s="169" t="str">
        <f t="shared" si="3"/>
        <v/>
      </c>
      <c r="S625" s="169"/>
      <c r="T625" s="169" t="str">
        <f t="shared" si="4"/>
        <v/>
      </c>
      <c r="U625" s="169"/>
      <c r="V625" s="169" t="str">
        <f t="shared" si="5"/>
        <v/>
      </c>
      <c r="W625" s="169"/>
      <c r="X625" s="169" t="str">
        <f t="shared" si="6"/>
        <v/>
      </c>
      <c r="Y625" s="169"/>
      <c r="Z625" s="169" t="str">
        <f t="shared" si="7"/>
        <v/>
      </c>
      <c r="AA625" s="169"/>
      <c r="AB625" s="169" t="str">
        <f t="shared" si="8"/>
        <v/>
      </c>
      <c r="AC625" s="169"/>
      <c r="AD625" s="169" t="str">
        <f t="shared" si="9"/>
        <v/>
      </c>
      <c r="AE625" s="169"/>
      <c r="AF625" s="169" t="str">
        <f t="shared" si="10"/>
        <v/>
      </c>
      <c r="AG625" s="169"/>
      <c r="AH625" s="169" t="str">
        <f t="shared" si="11"/>
        <v/>
      </c>
      <c r="AI625" s="169"/>
      <c r="AJ625" s="169" t="str">
        <f t="shared" si="12"/>
        <v/>
      </c>
    </row>
    <row r="626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 t="str">
        <f t="shared" si="2"/>
        <v/>
      </c>
      <c r="Q626" s="169"/>
      <c r="R626" s="169" t="str">
        <f t="shared" si="3"/>
        <v/>
      </c>
      <c r="S626" s="169"/>
      <c r="T626" s="169" t="str">
        <f t="shared" si="4"/>
        <v/>
      </c>
      <c r="U626" s="169"/>
      <c r="V626" s="169" t="str">
        <f t="shared" si="5"/>
        <v/>
      </c>
      <c r="W626" s="169"/>
      <c r="X626" s="169" t="str">
        <f t="shared" si="6"/>
        <v/>
      </c>
      <c r="Y626" s="169"/>
      <c r="Z626" s="169" t="str">
        <f t="shared" si="7"/>
        <v/>
      </c>
      <c r="AA626" s="169"/>
      <c r="AB626" s="169" t="str">
        <f t="shared" si="8"/>
        <v/>
      </c>
      <c r="AC626" s="169"/>
      <c r="AD626" s="169" t="str">
        <f t="shared" si="9"/>
        <v/>
      </c>
      <c r="AE626" s="169"/>
      <c r="AF626" s="169" t="str">
        <f t="shared" si="10"/>
        <v/>
      </c>
      <c r="AG626" s="169"/>
      <c r="AH626" s="169" t="str">
        <f t="shared" si="11"/>
        <v/>
      </c>
      <c r="AI626" s="169"/>
      <c r="AJ626" s="169" t="str">
        <f t="shared" si="12"/>
        <v/>
      </c>
    </row>
    <row r="627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 t="str">
        <f t="shared" si="2"/>
        <v/>
      </c>
      <c r="Q627" s="169"/>
      <c r="R627" s="169" t="str">
        <f t="shared" si="3"/>
        <v/>
      </c>
      <c r="S627" s="169"/>
      <c r="T627" s="169" t="str">
        <f t="shared" si="4"/>
        <v/>
      </c>
      <c r="U627" s="169"/>
      <c r="V627" s="169" t="str">
        <f t="shared" si="5"/>
        <v/>
      </c>
      <c r="W627" s="169"/>
      <c r="X627" s="169" t="str">
        <f t="shared" si="6"/>
        <v/>
      </c>
      <c r="Y627" s="169"/>
      <c r="Z627" s="169" t="str">
        <f t="shared" si="7"/>
        <v/>
      </c>
      <c r="AA627" s="169"/>
      <c r="AB627" s="169" t="str">
        <f t="shared" si="8"/>
        <v/>
      </c>
      <c r="AC627" s="169"/>
      <c r="AD627" s="169" t="str">
        <f t="shared" si="9"/>
        <v/>
      </c>
      <c r="AE627" s="169"/>
      <c r="AF627" s="169" t="str">
        <f t="shared" si="10"/>
        <v/>
      </c>
      <c r="AG627" s="169"/>
      <c r="AH627" s="169" t="str">
        <f t="shared" si="11"/>
        <v/>
      </c>
      <c r="AI627" s="169"/>
      <c r="AJ627" s="169" t="str">
        <f t="shared" si="12"/>
        <v/>
      </c>
    </row>
    <row r="628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 t="str">
        <f t="shared" si="2"/>
        <v/>
      </c>
      <c r="Q628" s="169"/>
      <c r="R628" s="169" t="str">
        <f t="shared" si="3"/>
        <v/>
      </c>
      <c r="S628" s="169"/>
      <c r="T628" s="169" t="str">
        <f t="shared" si="4"/>
        <v/>
      </c>
      <c r="U628" s="169"/>
      <c r="V628" s="169" t="str">
        <f t="shared" si="5"/>
        <v/>
      </c>
      <c r="W628" s="169"/>
      <c r="X628" s="169" t="str">
        <f t="shared" si="6"/>
        <v/>
      </c>
      <c r="Y628" s="169"/>
      <c r="Z628" s="169" t="str">
        <f t="shared" si="7"/>
        <v/>
      </c>
      <c r="AA628" s="169"/>
      <c r="AB628" s="169" t="str">
        <f t="shared" si="8"/>
        <v/>
      </c>
      <c r="AC628" s="169"/>
      <c r="AD628" s="169" t="str">
        <f t="shared" si="9"/>
        <v/>
      </c>
      <c r="AE628" s="169"/>
      <c r="AF628" s="169" t="str">
        <f t="shared" si="10"/>
        <v/>
      </c>
      <c r="AG628" s="169"/>
      <c r="AH628" s="169" t="str">
        <f t="shared" si="11"/>
        <v/>
      </c>
      <c r="AI628" s="169"/>
      <c r="AJ628" s="169" t="str">
        <f t="shared" si="12"/>
        <v/>
      </c>
    </row>
    <row r="629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 t="str">
        <f t="shared" si="2"/>
        <v/>
      </c>
      <c r="Q629" s="169"/>
      <c r="R629" s="169" t="str">
        <f t="shared" si="3"/>
        <v/>
      </c>
      <c r="S629" s="169"/>
      <c r="T629" s="169" t="str">
        <f t="shared" si="4"/>
        <v/>
      </c>
      <c r="U629" s="169"/>
      <c r="V629" s="169" t="str">
        <f t="shared" si="5"/>
        <v/>
      </c>
      <c r="W629" s="169"/>
      <c r="X629" s="169" t="str">
        <f t="shared" si="6"/>
        <v/>
      </c>
      <c r="Y629" s="169"/>
      <c r="Z629" s="169" t="str">
        <f t="shared" si="7"/>
        <v/>
      </c>
      <c r="AA629" s="169"/>
      <c r="AB629" s="169" t="str">
        <f t="shared" si="8"/>
        <v/>
      </c>
      <c r="AC629" s="169"/>
      <c r="AD629" s="169" t="str">
        <f t="shared" si="9"/>
        <v/>
      </c>
      <c r="AE629" s="169"/>
      <c r="AF629" s="169" t="str">
        <f t="shared" si="10"/>
        <v/>
      </c>
      <c r="AG629" s="169"/>
      <c r="AH629" s="169" t="str">
        <f t="shared" si="11"/>
        <v/>
      </c>
      <c r="AI629" s="169"/>
      <c r="AJ629" s="169" t="str">
        <f t="shared" si="12"/>
        <v/>
      </c>
    </row>
    <row r="630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 t="str">
        <f t="shared" si="2"/>
        <v/>
      </c>
      <c r="Q630" s="169"/>
      <c r="R630" s="169" t="str">
        <f t="shared" si="3"/>
        <v/>
      </c>
      <c r="S630" s="169"/>
      <c r="T630" s="169" t="str">
        <f t="shared" si="4"/>
        <v/>
      </c>
      <c r="U630" s="169"/>
      <c r="V630" s="169" t="str">
        <f t="shared" si="5"/>
        <v/>
      </c>
      <c r="W630" s="169"/>
      <c r="X630" s="169" t="str">
        <f t="shared" si="6"/>
        <v/>
      </c>
      <c r="Y630" s="169"/>
      <c r="Z630" s="169" t="str">
        <f t="shared" si="7"/>
        <v/>
      </c>
      <c r="AA630" s="169"/>
      <c r="AB630" s="169" t="str">
        <f t="shared" si="8"/>
        <v/>
      </c>
      <c r="AC630" s="169"/>
      <c r="AD630" s="169" t="str">
        <f t="shared" si="9"/>
        <v/>
      </c>
      <c r="AE630" s="169"/>
      <c r="AF630" s="169" t="str">
        <f t="shared" si="10"/>
        <v/>
      </c>
      <c r="AG630" s="169"/>
      <c r="AH630" s="169" t="str">
        <f t="shared" si="11"/>
        <v/>
      </c>
      <c r="AI630" s="169"/>
      <c r="AJ630" s="169" t="str">
        <f t="shared" si="12"/>
        <v/>
      </c>
    </row>
    <row r="6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 t="str">
        <f t="shared" si="2"/>
        <v/>
      </c>
      <c r="Q631" s="169"/>
      <c r="R631" s="169" t="str">
        <f t="shared" si="3"/>
        <v/>
      </c>
      <c r="S631" s="169"/>
      <c r="T631" s="169" t="str">
        <f t="shared" si="4"/>
        <v/>
      </c>
      <c r="U631" s="169"/>
      <c r="V631" s="169" t="str">
        <f t="shared" si="5"/>
        <v/>
      </c>
      <c r="W631" s="169"/>
      <c r="X631" s="169" t="str">
        <f t="shared" si="6"/>
        <v/>
      </c>
      <c r="Y631" s="169"/>
      <c r="Z631" s="169" t="str">
        <f t="shared" si="7"/>
        <v/>
      </c>
      <c r="AA631" s="169"/>
      <c r="AB631" s="169" t="str">
        <f t="shared" si="8"/>
        <v/>
      </c>
      <c r="AC631" s="169"/>
      <c r="AD631" s="169" t="str">
        <f t="shared" si="9"/>
        <v/>
      </c>
      <c r="AE631" s="169"/>
      <c r="AF631" s="169" t="str">
        <f t="shared" si="10"/>
        <v/>
      </c>
      <c r="AG631" s="169"/>
      <c r="AH631" s="169" t="str">
        <f t="shared" si="11"/>
        <v/>
      </c>
      <c r="AI631" s="169"/>
      <c r="AJ631" s="169" t="str">
        <f t="shared" si="12"/>
        <v/>
      </c>
    </row>
    <row r="63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 t="str">
        <f t="shared" si="2"/>
        <v/>
      </c>
      <c r="Q632" s="169"/>
      <c r="R632" s="169" t="str">
        <f t="shared" si="3"/>
        <v/>
      </c>
      <c r="S632" s="169"/>
      <c r="T632" s="169" t="str">
        <f t="shared" si="4"/>
        <v/>
      </c>
      <c r="U632" s="169"/>
      <c r="V632" s="169" t="str">
        <f t="shared" si="5"/>
        <v/>
      </c>
      <c r="W632" s="169"/>
      <c r="X632" s="169" t="str">
        <f t="shared" si="6"/>
        <v/>
      </c>
      <c r="Y632" s="169"/>
      <c r="Z632" s="169" t="str">
        <f t="shared" si="7"/>
        <v/>
      </c>
      <c r="AA632" s="169"/>
      <c r="AB632" s="169" t="str">
        <f t="shared" si="8"/>
        <v/>
      </c>
      <c r="AC632" s="169"/>
      <c r="AD632" s="169" t="str">
        <f t="shared" si="9"/>
        <v/>
      </c>
      <c r="AE632" s="169"/>
      <c r="AF632" s="169" t="str">
        <f t="shared" si="10"/>
        <v/>
      </c>
      <c r="AG632" s="169"/>
      <c r="AH632" s="169" t="str">
        <f t="shared" si="11"/>
        <v/>
      </c>
      <c r="AI632" s="169"/>
      <c r="AJ632" s="169" t="str">
        <f t="shared" si="12"/>
        <v/>
      </c>
    </row>
    <row r="633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 t="str">
        <f t="shared" si="2"/>
        <v/>
      </c>
      <c r="Q633" s="169"/>
      <c r="R633" s="169" t="str">
        <f t="shared" si="3"/>
        <v/>
      </c>
      <c r="S633" s="169"/>
      <c r="T633" s="169" t="str">
        <f t="shared" si="4"/>
        <v/>
      </c>
      <c r="U633" s="169"/>
      <c r="V633" s="169" t="str">
        <f t="shared" si="5"/>
        <v/>
      </c>
      <c r="W633" s="169"/>
      <c r="X633" s="169" t="str">
        <f t="shared" si="6"/>
        <v/>
      </c>
      <c r="Y633" s="169"/>
      <c r="Z633" s="169" t="str">
        <f t="shared" si="7"/>
        <v/>
      </c>
      <c r="AA633" s="169"/>
      <c r="AB633" s="169" t="str">
        <f t="shared" si="8"/>
        <v/>
      </c>
      <c r="AC633" s="169"/>
      <c r="AD633" s="169" t="str">
        <f t="shared" si="9"/>
        <v/>
      </c>
      <c r="AE633" s="169"/>
      <c r="AF633" s="169" t="str">
        <f t="shared" si="10"/>
        <v/>
      </c>
      <c r="AG633" s="169"/>
      <c r="AH633" s="169" t="str">
        <f t="shared" si="11"/>
        <v/>
      </c>
      <c r="AI633" s="169"/>
      <c r="AJ633" s="169" t="str">
        <f t="shared" si="12"/>
        <v/>
      </c>
    </row>
    <row r="634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 t="str">
        <f t="shared" si="2"/>
        <v/>
      </c>
      <c r="Q634" s="169"/>
      <c r="R634" s="169" t="str">
        <f t="shared" si="3"/>
        <v/>
      </c>
      <c r="S634" s="169"/>
      <c r="T634" s="169" t="str">
        <f t="shared" si="4"/>
        <v/>
      </c>
      <c r="U634" s="169"/>
      <c r="V634" s="169" t="str">
        <f t="shared" si="5"/>
        <v/>
      </c>
      <c r="W634" s="169"/>
      <c r="X634" s="169" t="str">
        <f t="shared" si="6"/>
        <v/>
      </c>
      <c r="Y634" s="169"/>
      <c r="Z634" s="169" t="str">
        <f t="shared" si="7"/>
        <v/>
      </c>
      <c r="AA634" s="169"/>
      <c r="AB634" s="169" t="str">
        <f t="shared" si="8"/>
        <v/>
      </c>
      <c r="AC634" s="169"/>
      <c r="AD634" s="169" t="str">
        <f t="shared" si="9"/>
        <v/>
      </c>
      <c r="AE634" s="169"/>
      <c r="AF634" s="169" t="str">
        <f t="shared" si="10"/>
        <v/>
      </c>
      <c r="AG634" s="169"/>
      <c r="AH634" s="169" t="str">
        <f t="shared" si="11"/>
        <v/>
      </c>
      <c r="AI634" s="169"/>
      <c r="AJ634" s="169" t="str">
        <f t="shared" si="12"/>
        <v/>
      </c>
    </row>
    <row r="63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 t="str">
        <f t="shared" si="2"/>
        <v/>
      </c>
      <c r="Q635" s="169"/>
      <c r="R635" s="169" t="str">
        <f t="shared" si="3"/>
        <v/>
      </c>
      <c r="S635" s="169"/>
      <c r="T635" s="169" t="str">
        <f t="shared" si="4"/>
        <v/>
      </c>
      <c r="U635" s="169"/>
      <c r="V635" s="169" t="str">
        <f t="shared" si="5"/>
        <v/>
      </c>
      <c r="W635" s="169"/>
      <c r="X635" s="169" t="str">
        <f t="shared" si="6"/>
        <v/>
      </c>
      <c r="Y635" s="169"/>
      <c r="Z635" s="169" t="str">
        <f t="shared" si="7"/>
        <v/>
      </c>
      <c r="AA635" s="169"/>
      <c r="AB635" s="169" t="str">
        <f t="shared" si="8"/>
        <v/>
      </c>
      <c r="AC635" s="169"/>
      <c r="AD635" s="169" t="str">
        <f t="shared" si="9"/>
        <v/>
      </c>
      <c r="AE635" s="169"/>
      <c r="AF635" s="169" t="str">
        <f t="shared" si="10"/>
        <v/>
      </c>
      <c r="AG635" s="169"/>
      <c r="AH635" s="169" t="str">
        <f t="shared" si="11"/>
        <v/>
      </c>
      <c r="AI635" s="169"/>
      <c r="AJ635" s="169" t="str">
        <f t="shared" si="12"/>
        <v/>
      </c>
    </row>
    <row r="636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 t="str">
        <f t="shared" si="2"/>
        <v/>
      </c>
      <c r="Q636" s="169"/>
      <c r="R636" s="169" t="str">
        <f t="shared" si="3"/>
        <v/>
      </c>
      <c r="S636" s="169"/>
      <c r="T636" s="169" t="str">
        <f t="shared" si="4"/>
        <v/>
      </c>
      <c r="U636" s="169"/>
      <c r="V636" s="169" t="str">
        <f t="shared" si="5"/>
        <v/>
      </c>
      <c r="W636" s="169"/>
      <c r="X636" s="169" t="str">
        <f t="shared" si="6"/>
        <v/>
      </c>
      <c r="Y636" s="169"/>
      <c r="Z636" s="169" t="str">
        <f t="shared" si="7"/>
        <v/>
      </c>
      <c r="AA636" s="169"/>
      <c r="AB636" s="169" t="str">
        <f t="shared" si="8"/>
        <v/>
      </c>
      <c r="AC636" s="169"/>
      <c r="AD636" s="169" t="str">
        <f t="shared" si="9"/>
        <v/>
      </c>
      <c r="AE636" s="169"/>
      <c r="AF636" s="169" t="str">
        <f t="shared" si="10"/>
        <v/>
      </c>
      <c r="AG636" s="169"/>
      <c r="AH636" s="169" t="str">
        <f t="shared" si="11"/>
        <v/>
      </c>
      <c r="AI636" s="169"/>
      <c r="AJ636" s="169" t="str">
        <f t="shared" si="12"/>
        <v/>
      </c>
    </row>
    <row r="637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 t="str">
        <f t="shared" si="2"/>
        <v/>
      </c>
      <c r="Q637" s="169"/>
      <c r="R637" s="169" t="str">
        <f t="shared" si="3"/>
        <v/>
      </c>
      <c r="S637" s="169"/>
      <c r="T637" s="169" t="str">
        <f t="shared" si="4"/>
        <v/>
      </c>
      <c r="U637" s="169"/>
      <c r="V637" s="169" t="str">
        <f t="shared" si="5"/>
        <v/>
      </c>
      <c r="W637" s="169"/>
      <c r="X637" s="169" t="str">
        <f t="shared" si="6"/>
        <v/>
      </c>
      <c r="Y637" s="169"/>
      <c r="Z637" s="169" t="str">
        <f t="shared" si="7"/>
        <v/>
      </c>
      <c r="AA637" s="169"/>
      <c r="AB637" s="169" t="str">
        <f t="shared" si="8"/>
        <v/>
      </c>
      <c r="AC637" s="169"/>
      <c r="AD637" s="169" t="str">
        <f t="shared" si="9"/>
        <v/>
      </c>
      <c r="AE637" s="169"/>
      <c r="AF637" s="169" t="str">
        <f t="shared" si="10"/>
        <v/>
      </c>
      <c r="AG637" s="169"/>
      <c r="AH637" s="169" t="str">
        <f t="shared" si="11"/>
        <v/>
      </c>
      <c r="AI637" s="169"/>
      <c r="AJ637" s="169" t="str">
        <f t="shared" si="12"/>
        <v/>
      </c>
    </row>
    <row r="638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 t="str">
        <f t="shared" si="2"/>
        <v/>
      </c>
      <c r="Q638" s="169"/>
      <c r="R638" s="169" t="str">
        <f t="shared" si="3"/>
        <v/>
      </c>
      <c r="S638" s="169"/>
      <c r="T638" s="169" t="str">
        <f t="shared" si="4"/>
        <v/>
      </c>
      <c r="U638" s="169"/>
      <c r="V638" s="169" t="str">
        <f t="shared" si="5"/>
        <v/>
      </c>
      <c r="W638" s="169"/>
      <c r="X638" s="169" t="str">
        <f t="shared" si="6"/>
        <v/>
      </c>
      <c r="Y638" s="169"/>
      <c r="Z638" s="169" t="str">
        <f t="shared" si="7"/>
        <v/>
      </c>
      <c r="AA638" s="169"/>
      <c r="AB638" s="169" t="str">
        <f t="shared" si="8"/>
        <v/>
      </c>
      <c r="AC638" s="169"/>
      <c r="AD638" s="169" t="str">
        <f t="shared" si="9"/>
        <v/>
      </c>
      <c r="AE638" s="169"/>
      <c r="AF638" s="169" t="str">
        <f t="shared" si="10"/>
        <v/>
      </c>
      <c r="AG638" s="169"/>
      <c r="AH638" s="169" t="str">
        <f t="shared" si="11"/>
        <v/>
      </c>
      <c r="AI638" s="169"/>
      <c r="AJ638" s="169" t="str">
        <f t="shared" si="12"/>
        <v/>
      </c>
    </row>
    <row r="639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 t="str">
        <f t="shared" si="2"/>
        <v/>
      </c>
      <c r="Q639" s="169"/>
      <c r="R639" s="169" t="str">
        <f t="shared" si="3"/>
        <v/>
      </c>
      <c r="S639" s="169"/>
      <c r="T639" s="169" t="str">
        <f t="shared" si="4"/>
        <v/>
      </c>
      <c r="U639" s="169"/>
      <c r="V639" s="169" t="str">
        <f t="shared" si="5"/>
        <v/>
      </c>
      <c r="W639" s="169"/>
      <c r="X639" s="169" t="str">
        <f t="shared" si="6"/>
        <v/>
      </c>
      <c r="Y639" s="169"/>
      <c r="Z639" s="169" t="str">
        <f t="shared" si="7"/>
        <v/>
      </c>
      <c r="AA639" s="169"/>
      <c r="AB639" s="169" t="str">
        <f t="shared" si="8"/>
        <v/>
      </c>
      <c r="AC639" s="169"/>
      <c r="AD639" s="169" t="str">
        <f t="shared" si="9"/>
        <v/>
      </c>
      <c r="AE639" s="169"/>
      <c r="AF639" s="169" t="str">
        <f t="shared" si="10"/>
        <v/>
      </c>
      <c r="AG639" s="169"/>
      <c r="AH639" s="169" t="str">
        <f t="shared" si="11"/>
        <v/>
      </c>
      <c r="AI639" s="169"/>
      <c r="AJ639" s="169" t="str">
        <f t="shared" si="12"/>
        <v/>
      </c>
    </row>
    <row r="640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 t="str">
        <f t="shared" si="2"/>
        <v/>
      </c>
      <c r="Q640" s="169"/>
      <c r="R640" s="169" t="str">
        <f t="shared" si="3"/>
        <v/>
      </c>
      <c r="S640" s="169"/>
      <c r="T640" s="169" t="str">
        <f t="shared" si="4"/>
        <v/>
      </c>
      <c r="U640" s="169"/>
      <c r="V640" s="169" t="str">
        <f t="shared" si="5"/>
        <v/>
      </c>
      <c r="W640" s="169"/>
      <c r="X640" s="169" t="str">
        <f t="shared" si="6"/>
        <v/>
      </c>
      <c r="Y640" s="169"/>
      <c r="Z640" s="169" t="str">
        <f t="shared" si="7"/>
        <v/>
      </c>
      <c r="AA640" s="169"/>
      <c r="AB640" s="169" t="str">
        <f t="shared" si="8"/>
        <v/>
      </c>
      <c r="AC640" s="169"/>
      <c r="AD640" s="169" t="str">
        <f t="shared" si="9"/>
        <v/>
      </c>
      <c r="AE640" s="169"/>
      <c r="AF640" s="169" t="str">
        <f t="shared" si="10"/>
        <v/>
      </c>
      <c r="AG640" s="169"/>
      <c r="AH640" s="169" t="str">
        <f t="shared" si="11"/>
        <v/>
      </c>
      <c r="AI640" s="169"/>
      <c r="AJ640" s="169" t="str">
        <f t="shared" si="12"/>
        <v/>
      </c>
    </row>
    <row r="64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 t="str">
        <f t="shared" si="2"/>
        <v/>
      </c>
      <c r="Q641" s="169"/>
      <c r="R641" s="169" t="str">
        <f t="shared" si="3"/>
        <v/>
      </c>
      <c r="S641" s="169"/>
      <c r="T641" s="169" t="str">
        <f t="shared" si="4"/>
        <v/>
      </c>
      <c r="U641" s="169"/>
      <c r="V641" s="169" t="str">
        <f t="shared" si="5"/>
        <v/>
      </c>
      <c r="W641" s="169"/>
      <c r="X641" s="169" t="str">
        <f t="shared" si="6"/>
        <v/>
      </c>
      <c r="Y641" s="169"/>
      <c r="Z641" s="169" t="str">
        <f t="shared" si="7"/>
        <v/>
      </c>
      <c r="AA641" s="169"/>
      <c r="AB641" s="169" t="str">
        <f t="shared" si="8"/>
        <v/>
      </c>
      <c r="AC641" s="169"/>
      <c r="AD641" s="169" t="str">
        <f t="shared" si="9"/>
        <v/>
      </c>
      <c r="AE641" s="169"/>
      <c r="AF641" s="169" t="str">
        <f t="shared" si="10"/>
        <v/>
      </c>
      <c r="AG641" s="169"/>
      <c r="AH641" s="169" t="str">
        <f t="shared" si="11"/>
        <v/>
      </c>
      <c r="AI641" s="169"/>
      <c r="AJ641" s="169" t="str">
        <f t="shared" si="12"/>
        <v/>
      </c>
    </row>
    <row r="64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 t="str">
        <f t="shared" si="2"/>
        <v/>
      </c>
      <c r="Q642" s="169"/>
      <c r="R642" s="169" t="str">
        <f t="shared" si="3"/>
        <v/>
      </c>
      <c r="S642" s="169"/>
      <c r="T642" s="169" t="str">
        <f t="shared" si="4"/>
        <v/>
      </c>
      <c r="U642" s="169"/>
      <c r="V642" s="169" t="str">
        <f t="shared" si="5"/>
        <v/>
      </c>
      <c r="W642" s="169"/>
      <c r="X642" s="169" t="str">
        <f t="shared" si="6"/>
        <v/>
      </c>
      <c r="Y642" s="169"/>
      <c r="Z642" s="169" t="str">
        <f t="shared" si="7"/>
        <v/>
      </c>
      <c r="AA642" s="169"/>
      <c r="AB642" s="169" t="str">
        <f t="shared" si="8"/>
        <v/>
      </c>
      <c r="AC642" s="169"/>
      <c r="AD642" s="169" t="str">
        <f t="shared" si="9"/>
        <v/>
      </c>
      <c r="AE642" s="169"/>
      <c r="AF642" s="169" t="str">
        <f t="shared" si="10"/>
        <v/>
      </c>
      <c r="AG642" s="169"/>
      <c r="AH642" s="169" t="str">
        <f t="shared" si="11"/>
        <v/>
      </c>
      <c r="AI642" s="169"/>
      <c r="AJ642" s="169" t="str">
        <f t="shared" si="12"/>
        <v/>
      </c>
    </row>
    <row r="643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 t="str">
        <f t="shared" si="2"/>
        <v/>
      </c>
      <c r="Q643" s="169"/>
      <c r="R643" s="169" t="str">
        <f t="shared" si="3"/>
        <v/>
      </c>
      <c r="S643" s="169"/>
      <c r="T643" s="169" t="str">
        <f t="shared" si="4"/>
        <v/>
      </c>
      <c r="U643" s="169"/>
      <c r="V643" s="169" t="str">
        <f t="shared" si="5"/>
        <v/>
      </c>
      <c r="W643" s="169"/>
      <c r="X643" s="169" t="str">
        <f t="shared" si="6"/>
        <v/>
      </c>
      <c r="Y643" s="169"/>
      <c r="Z643" s="169" t="str">
        <f t="shared" si="7"/>
        <v/>
      </c>
      <c r="AA643" s="169"/>
      <c r="AB643" s="169" t="str">
        <f t="shared" si="8"/>
        <v/>
      </c>
      <c r="AC643" s="169"/>
      <c r="AD643" s="169" t="str">
        <f t="shared" si="9"/>
        <v/>
      </c>
      <c r="AE643" s="169"/>
      <c r="AF643" s="169" t="str">
        <f t="shared" si="10"/>
        <v/>
      </c>
      <c r="AG643" s="169"/>
      <c r="AH643" s="169" t="str">
        <f t="shared" si="11"/>
        <v/>
      </c>
      <c r="AI643" s="169"/>
      <c r="AJ643" s="169" t="str">
        <f t="shared" si="12"/>
        <v/>
      </c>
    </row>
    <row r="644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 t="str">
        <f t="shared" si="2"/>
        <v/>
      </c>
      <c r="Q644" s="169"/>
      <c r="R644" s="169" t="str">
        <f t="shared" si="3"/>
        <v/>
      </c>
      <c r="S644" s="169"/>
      <c r="T644" s="169" t="str">
        <f t="shared" si="4"/>
        <v/>
      </c>
      <c r="U644" s="169"/>
      <c r="V644" s="169" t="str">
        <f t="shared" si="5"/>
        <v/>
      </c>
      <c r="W644" s="169"/>
      <c r="X644" s="169" t="str">
        <f t="shared" si="6"/>
        <v/>
      </c>
      <c r="Y644" s="169"/>
      <c r="Z644" s="169" t="str">
        <f t="shared" si="7"/>
        <v/>
      </c>
      <c r="AA644" s="169"/>
      <c r="AB644" s="169" t="str">
        <f t="shared" si="8"/>
        <v/>
      </c>
      <c r="AC644" s="169"/>
      <c r="AD644" s="169" t="str">
        <f t="shared" si="9"/>
        <v/>
      </c>
      <c r="AE644" s="169"/>
      <c r="AF644" s="169" t="str">
        <f t="shared" si="10"/>
        <v/>
      </c>
      <c r="AG644" s="169"/>
      <c r="AH644" s="169" t="str">
        <f t="shared" si="11"/>
        <v/>
      </c>
      <c r="AI644" s="169"/>
      <c r="AJ644" s="169" t="str">
        <f t="shared" si="12"/>
        <v/>
      </c>
    </row>
    <row r="64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 t="str">
        <f t="shared" si="2"/>
        <v/>
      </c>
      <c r="Q645" s="169"/>
      <c r="R645" s="169" t="str">
        <f t="shared" si="3"/>
        <v/>
      </c>
      <c r="S645" s="169"/>
      <c r="T645" s="169" t="str">
        <f t="shared" si="4"/>
        <v/>
      </c>
      <c r="U645" s="169"/>
      <c r="V645" s="169" t="str">
        <f t="shared" si="5"/>
        <v/>
      </c>
      <c r="W645" s="169"/>
      <c r="X645" s="169" t="str">
        <f t="shared" si="6"/>
        <v/>
      </c>
      <c r="Y645" s="169"/>
      <c r="Z645" s="169" t="str">
        <f t="shared" si="7"/>
        <v/>
      </c>
      <c r="AA645" s="169"/>
      <c r="AB645" s="169" t="str">
        <f t="shared" si="8"/>
        <v/>
      </c>
      <c r="AC645" s="169"/>
      <c r="AD645" s="169" t="str">
        <f t="shared" si="9"/>
        <v/>
      </c>
      <c r="AE645" s="169"/>
      <c r="AF645" s="169" t="str">
        <f t="shared" si="10"/>
        <v/>
      </c>
      <c r="AG645" s="169"/>
      <c r="AH645" s="169" t="str">
        <f t="shared" si="11"/>
        <v/>
      </c>
      <c r="AI645" s="169"/>
      <c r="AJ645" s="169" t="str">
        <f t="shared" si="12"/>
        <v/>
      </c>
    </row>
    <row r="646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 t="str">
        <f t="shared" si="2"/>
        <v/>
      </c>
      <c r="Q646" s="169"/>
      <c r="R646" s="169" t="str">
        <f t="shared" si="3"/>
        <v/>
      </c>
      <c r="S646" s="169"/>
      <c r="T646" s="169" t="str">
        <f t="shared" si="4"/>
        <v/>
      </c>
      <c r="U646" s="169"/>
      <c r="V646" s="169" t="str">
        <f t="shared" si="5"/>
        <v/>
      </c>
      <c r="W646" s="169"/>
      <c r="X646" s="169" t="str">
        <f t="shared" si="6"/>
        <v/>
      </c>
      <c r="Y646" s="169"/>
      <c r="Z646" s="169" t="str">
        <f t="shared" si="7"/>
        <v/>
      </c>
      <c r="AA646" s="169"/>
      <c r="AB646" s="169" t="str">
        <f t="shared" si="8"/>
        <v/>
      </c>
      <c r="AC646" s="169"/>
      <c r="AD646" s="169" t="str">
        <f t="shared" si="9"/>
        <v/>
      </c>
      <c r="AE646" s="169"/>
      <c r="AF646" s="169" t="str">
        <f t="shared" si="10"/>
        <v/>
      </c>
      <c r="AG646" s="169"/>
      <c r="AH646" s="169" t="str">
        <f t="shared" si="11"/>
        <v/>
      </c>
      <c r="AI646" s="169"/>
      <c r="AJ646" s="169" t="str">
        <f t="shared" si="12"/>
        <v/>
      </c>
    </row>
    <row r="647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 t="str">
        <f t="shared" si="2"/>
        <v/>
      </c>
      <c r="Q647" s="169"/>
      <c r="R647" s="169" t="str">
        <f t="shared" si="3"/>
        <v/>
      </c>
      <c r="S647" s="169"/>
      <c r="T647" s="169" t="str">
        <f t="shared" si="4"/>
        <v/>
      </c>
      <c r="U647" s="169"/>
      <c r="V647" s="169" t="str">
        <f t="shared" si="5"/>
        <v/>
      </c>
      <c r="W647" s="169"/>
      <c r="X647" s="169" t="str">
        <f t="shared" si="6"/>
        <v/>
      </c>
      <c r="Y647" s="169"/>
      <c r="Z647" s="169" t="str">
        <f t="shared" si="7"/>
        <v/>
      </c>
      <c r="AA647" s="169"/>
      <c r="AB647" s="169" t="str">
        <f t="shared" si="8"/>
        <v/>
      </c>
      <c r="AC647" s="169"/>
      <c r="AD647" s="169" t="str">
        <f t="shared" si="9"/>
        <v/>
      </c>
      <c r="AE647" s="169"/>
      <c r="AF647" s="169" t="str">
        <f t="shared" si="10"/>
        <v/>
      </c>
      <c r="AG647" s="169"/>
      <c r="AH647" s="169" t="str">
        <f t="shared" si="11"/>
        <v/>
      </c>
      <c r="AI647" s="169"/>
      <c r="AJ647" s="169" t="str">
        <f t="shared" si="12"/>
        <v/>
      </c>
    </row>
    <row r="648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 t="str">
        <f t="shared" si="2"/>
        <v/>
      </c>
      <c r="Q648" s="169"/>
      <c r="R648" s="169" t="str">
        <f t="shared" si="3"/>
        <v/>
      </c>
      <c r="S648" s="169"/>
      <c r="T648" s="169" t="str">
        <f t="shared" si="4"/>
        <v/>
      </c>
      <c r="U648" s="169"/>
      <c r="V648" s="169" t="str">
        <f t="shared" si="5"/>
        <v/>
      </c>
      <c r="W648" s="169"/>
      <c r="X648" s="169" t="str">
        <f t="shared" si="6"/>
        <v/>
      </c>
      <c r="Y648" s="169"/>
      <c r="Z648" s="169" t="str">
        <f t="shared" si="7"/>
        <v/>
      </c>
      <c r="AA648" s="169"/>
      <c r="AB648" s="169" t="str">
        <f t="shared" si="8"/>
        <v/>
      </c>
      <c r="AC648" s="169"/>
      <c r="AD648" s="169" t="str">
        <f t="shared" si="9"/>
        <v/>
      </c>
      <c r="AE648" s="169"/>
      <c r="AF648" s="169" t="str">
        <f t="shared" si="10"/>
        <v/>
      </c>
      <c r="AG648" s="169"/>
      <c r="AH648" s="169" t="str">
        <f t="shared" si="11"/>
        <v/>
      </c>
      <c r="AI648" s="169"/>
      <c r="AJ648" s="169" t="str">
        <f t="shared" si="12"/>
        <v/>
      </c>
    </row>
    <row r="649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 t="str">
        <f t="shared" si="2"/>
        <v/>
      </c>
      <c r="Q649" s="169"/>
      <c r="R649" s="169" t="str">
        <f t="shared" si="3"/>
        <v/>
      </c>
      <c r="S649" s="169"/>
      <c r="T649" s="169" t="str">
        <f t="shared" si="4"/>
        <v/>
      </c>
      <c r="U649" s="169"/>
      <c r="V649" s="169" t="str">
        <f t="shared" si="5"/>
        <v/>
      </c>
      <c r="W649" s="169"/>
      <c r="X649" s="169" t="str">
        <f t="shared" si="6"/>
        <v/>
      </c>
      <c r="Y649" s="169"/>
      <c r="Z649" s="169" t="str">
        <f t="shared" si="7"/>
        <v/>
      </c>
      <c r="AA649" s="169"/>
      <c r="AB649" s="169" t="str">
        <f t="shared" si="8"/>
        <v/>
      </c>
      <c r="AC649" s="169"/>
      <c r="AD649" s="169" t="str">
        <f t="shared" si="9"/>
        <v/>
      </c>
      <c r="AE649" s="169"/>
      <c r="AF649" s="169" t="str">
        <f t="shared" si="10"/>
        <v/>
      </c>
      <c r="AG649" s="169"/>
      <c r="AH649" s="169" t="str">
        <f t="shared" si="11"/>
        <v/>
      </c>
      <c r="AI649" s="169"/>
      <c r="AJ649" s="169" t="str">
        <f t="shared" si="12"/>
        <v/>
      </c>
    </row>
    <row r="650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 t="str">
        <f t="shared" si="2"/>
        <v/>
      </c>
      <c r="Q650" s="169"/>
      <c r="R650" s="169" t="str">
        <f t="shared" si="3"/>
        <v/>
      </c>
      <c r="S650" s="169"/>
      <c r="T650" s="169" t="str">
        <f t="shared" si="4"/>
        <v/>
      </c>
      <c r="U650" s="169"/>
      <c r="V650" s="169" t="str">
        <f t="shared" si="5"/>
        <v/>
      </c>
      <c r="W650" s="169"/>
      <c r="X650" s="169" t="str">
        <f t="shared" si="6"/>
        <v/>
      </c>
      <c r="Y650" s="169"/>
      <c r="Z650" s="169" t="str">
        <f t="shared" si="7"/>
        <v/>
      </c>
      <c r="AA650" s="169"/>
      <c r="AB650" s="169" t="str">
        <f t="shared" si="8"/>
        <v/>
      </c>
      <c r="AC650" s="169"/>
      <c r="AD650" s="169" t="str">
        <f t="shared" si="9"/>
        <v/>
      </c>
      <c r="AE650" s="169"/>
      <c r="AF650" s="169" t="str">
        <f t="shared" si="10"/>
        <v/>
      </c>
      <c r="AG650" s="169"/>
      <c r="AH650" s="169" t="str">
        <f t="shared" si="11"/>
        <v/>
      </c>
      <c r="AI650" s="169"/>
      <c r="AJ650" s="169" t="str">
        <f t="shared" si="12"/>
        <v/>
      </c>
    </row>
    <row r="65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 t="str">
        <f t="shared" si="2"/>
        <v/>
      </c>
      <c r="Q651" s="169"/>
      <c r="R651" s="169" t="str">
        <f t="shared" si="3"/>
        <v/>
      </c>
      <c r="S651" s="169"/>
      <c r="T651" s="169" t="str">
        <f t="shared" si="4"/>
        <v/>
      </c>
      <c r="U651" s="169"/>
      <c r="V651" s="169" t="str">
        <f t="shared" si="5"/>
        <v/>
      </c>
      <c r="W651" s="169"/>
      <c r="X651" s="169" t="str">
        <f t="shared" si="6"/>
        <v/>
      </c>
      <c r="Y651" s="169"/>
      <c r="Z651" s="169" t="str">
        <f t="shared" si="7"/>
        <v/>
      </c>
      <c r="AA651" s="169"/>
      <c r="AB651" s="169" t="str">
        <f t="shared" si="8"/>
        <v/>
      </c>
      <c r="AC651" s="169"/>
      <c r="AD651" s="169" t="str">
        <f t="shared" si="9"/>
        <v/>
      </c>
      <c r="AE651" s="169"/>
      <c r="AF651" s="169" t="str">
        <f t="shared" si="10"/>
        <v/>
      </c>
      <c r="AG651" s="169"/>
      <c r="AH651" s="169" t="str">
        <f t="shared" si="11"/>
        <v/>
      </c>
      <c r="AI651" s="169"/>
      <c r="AJ651" s="169" t="str">
        <f t="shared" si="12"/>
        <v/>
      </c>
    </row>
    <row r="65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 t="str">
        <f t="shared" si="2"/>
        <v/>
      </c>
      <c r="Q652" s="169"/>
      <c r="R652" s="169" t="str">
        <f t="shared" si="3"/>
        <v/>
      </c>
      <c r="S652" s="169"/>
      <c r="T652" s="169" t="str">
        <f t="shared" si="4"/>
        <v/>
      </c>
      <c r="U652" s="169"/>
      <c r="V652" s="169" t="str">
        <f t="shared" si="5"/>
        <v/>
      </c>
      <c r="W652" s="169"/>
      <c r="X652" s="169" t="str">
        <f t="shared" si="6"/>
        <v/>
      </c>
      <c r="Y652" s="169"/>
      <c r="Z652" s="169" t="str">
        <f t="shared" si="7"/>
        <v/>
      </c>
      <c r="AA652" s="169"/>
      <c r="AB652" s="169" t="str">
        <f t="shared" si="8"/>
        <v/>
      </c>
      <c r="AC652" s="169"/>
      <c r="AD652" s="169" t="str">
        <f t="shared" si="9"/>
        <v/>
      </c>
      <c r="AE652" s="169"/>
      <c r="AF652" s="169" t="str">
        <f t="shared" si="10"/>
        <v/>
      </c>
      <c r="AG652" s="169"/>
      <c r="AH652" s="169" t="str">
        <f t="shared" si="11"/>
        <v/>
      </c>
      <c r="AI652" s="169"/>
      <c r="AJ652" s="169" t="str">
        <f t="shared" si="12"/>
        <v/>
      </c>
    </row>
    <row r="653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 t="str">
        <f t="shared" si="2"/>
        <v/>
      </c>
      <c r="Q653" s="169"/>
      <c r="R653" s="169" t="str">
        <f t="shared" si="3"/>
        <v/>
      </c>
      <c r="S653" s="169"/>
      <c r="T653" s="169" t="str">
        <f t="shared" si="4"/>
        <v/>
      </c>
      <c r="U653" s="169"/>
      <c r="V653" s="169" t="str">
        <f t="shared" si="5"/>
        <v/>
      </c>
      <c r="W653" s="169"/>
      <c r="X653" s="169" t="str">
        <f t="shared" si="6"/>
        <v/>
      </c>
      <c r="Y653" s="169"/>
      <c r="Z653" s="169" t="str">
        <f t="shared" si="7"/>
        <v/>
      </c>
      <c r="AA653" s="169"/>
      <c r="AB653" s="169" t="str">
        <f t="shared" si="8"/>
        <v/>
      </c>
      <c r="AC653" s="169"/>
      <c r="AD653" s="169" t="str">
        <f t="shared" si="9"/>
        <v/>
      </c>
      <c r="AE653" s="169"/>
      <c r="AF653" s="169" t="str">
        <f t="shared" si="10"/>
        <v/>
      </c>
      <c r="AG653" s="169"/>
      <c r="AH653" s="169" t="str">
        <f t="shared" si="11"/>
        <v/>
      </c>
      <c r="AI653" s="169"/>
      <c r="AJ653" s="169" t="str">
        <f t="shared" si="12"/>
        <v/>
      </c>
    </row>
    <row r="654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 t="str">
        <f t="shared" si="2"/>
        <v/>
      </c>
      <c r="Q654" s="169"/>
      <c r="R654" s="169" t="str">
        <f t="shared" si="3"/>
        <v/>
      </c>
      <c r="S654" s="169"/>
      <c r="T654" s="169" t="str">
        <f t="shared" si="4"/>
        <v/>
      </c>
      <c r="U654" s="169"/>
      <c r="V654" s="169" t="str">
        <f t="shared" si="5"/>
        <v/>
      </c>
      <c r="W654" s="169"/>
      <c r="X654" s="169" t="str">
        <f t="shared" si="6"/>
        <v/>
      </c>
      <c r="Y654" s="169"/>
      <c r="Z654" s="169" t="str">
        <f t="shared" si="7"/>
        <v/>
      </c>
      <c r="AA654" s="169"/>
      <c r="AB654" s="169" t="str">
        <f t="shared" si="8"/>
        <v/>
      </c>
      <c r="AC654" s="169"/>
      <c r="AD654" s="169" t="str">
        <f t="shared" si="9"/>
        <v/>
      </c>
      <c r="AE654" s="169"/>
      <c r="AF654" s="169" t="str">
        <f t="shared" si="10"/>
        <v/>
      </c>
      <c r="AG654" s="169"/>
      <c r="AH654" s="169" t="str">
        <f t="shared" si="11"/>
        <v/>
      </c>
      <c r="AI654" s="169"/>
      <c r="AJ654" s="169" t="str">
        <f t="shared" si="12"/>
        <v/>
      </c>
    </row>
    <row r="65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 t="str">
        <f t="shared" si="2"/>
        <v/>
      </c>
      <c r="Q655" s="169"/>
      <c r="R655" s="169" t="str">
        <f t="shared" si="3"/>
        <v/>
      </c>
      <c r="S655" s="169"/>
      <c r="T655" s="169" t="str">
        <f t="shared" si="4"/>
        <v/>
      </c>
      <c r="U655" s="169"/>
      <c r="V655" s="169" t="str">
        <f t="shared" si="5"/>
        <v/>
      </c>
      <c r="W655" s="169"/>
      <c r="X655" s="169" t="str">
        <f t="shared" si="6"/>
        <v/>
      </c>
      <c r="Y655" s="169"/>
      <c r="Z655" s="169" t="str">
        <f t="shared" si="7"/>
        <v/>
      </c>
      <c r="AA655" s="169"/>
      <c r="AB655" s="169" t="str">
        <f t="shared" si="8"/>
        <v/>
      </c>
      <c r="AC655" s="169"/>
      <c r="AD655" s="169" t="str">
        <f t="shared" si="9"/>
        <v/>
      </c>
      <c r="AE655" s="169"/>
      <c r="AF655" s="169" t="str">
        <f t="shared" si="10"/>
        <v/>
      </c>
      <c r="AG655" s="169"/>
      <c r="AH655" s="169" t="str">
        <f t="shared" si="11"/>
        <v/>
      </c>
      <c r="AI655" s="169"/>
      <c r="AJ655" s="169" t="str">
        <f t="shared" si="12"/>
        <v/>
      </c>
    </row>
    <row r="656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 t="str">
        <f t="shared" si="2"/>
        <v/>
      </c>
      <c r="Q656" s="169"/>
      <c r="R656" s="169" t="str">
        <f t="shared" si="3"/>
        <v/>
      </c>
      <c r="S656" s="169"/>
      <c r="T656" s="169" t="str">
        <f t="shared" si="4"/>
        <v/>
      </c>
      <c r="U656" s="169"/>
      <c r="V656" s="169" t="str">
        <f t="shared" si="5"/>
        <v/>
      </c>
      <c r="W656" s="169"/>
      <c r="X656" s="169" t="str">
        <f t="shared" si="6"/>
        <v/>
      </c>
      <c r="Y656" s="169"/>
      <c r="Z656" s="169" t="str">
        <f t="shared" si="7"/>
        <v/>
      </c>
      <c r="AA656" s="169"/>
      <c r="AB656" s="169" t="str">
        <f t="shared" si="8"/>
        <v/>
      </c>
      <c r="AC656" s="169"/>
      <c r="AD656" s="169" t="str">
        <f t="shared" si="9"/>
        <v/>
      </c>
      <c r="AE656" s="169"/>
      <c r="AF656" s="169" t="str">
        <f t="shared" si="10"/>
        <v/>
      </c>
      <c r="AG656" s="169"/>
      <c r="AH656" s="169" t="str">
        <f t="shared" si="11"/>
        <v/>
      </c>
      <c r="AI656" s="169"/>
      <c r="AJ656" s="169" t="str">
        <f t="shared" si="12"/>
        <v/>
      </c>
    </row>
    <row r="657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 t="str">
        <f t="shared" si="2"/>
        <v/>
      </c>
      <c r="Q657" s="169"/>
      <c r="R657" s="169" t="str">
        <f t="shared" si="3"/>
        <v/>
      </c>
      <c r="S657" s="169"/>
      <c r="T657" s="169" t="str">
        <f t="shared" si="4"/>
        <v/>
      </c>
      <c r="U657" s="169"/>
      <c r="V657" s="169" t="str">
        <f t="shared" si="5"/>
        <v/>
      </c>
      <c r="W657" s="169"/>
      <c r="X657" s="169" t="str">
        <f t="shared" si="6"/>
        <v/>
      </c>
      <c r="Y657" s="169"/>
      <c r="Z657" s="169" t="str">
        <f t="shared" si="7"/>
        <v/>
      </c>
      <c r="AA657" s="169"/>
      <c r="AB657" s="169" t="str">
        <f t="shared" si="8"/>
        <v/>
      </c>
      <c r="AC657" s="169"/>
      <c r="AD657" s="169" t="str">
        <f t="shared" si="9"/>
        <v/>
      </c>
      <c r="AE657" s="169"/>
      <c r="AF657" s="169" t="str">
        <f t="shared" si="10"/>
        <v/>
      </c>
      <c r="AG657" s="169"/>
      <c r="AH657" s="169" t="str">
        <f t="shared" si="11"/>
        <v/>
      </c>
      <c r="AI657" s="169"/>
      <c r="AJ657" s="169" t="str">
        <f t="shared" si="12"/>
        <v/>
      </c>
    </row>
    <row r="658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 t="str">
        <f t="shared" si="2"/>
        <v/>
      </c>
      <c r="Q658" s="169"/>
      <c r="R658" s="169" t="str">
        <f t="shared" si="3"/>
        <v/>
      </c>
      <c r="S658" s="169"/>
      <c r="T658" s="169" t="str">
        <f t="shared" si="4"/>
        <v/>
      </c>
      <c r="U658" s="169"/>
      <c r="V658" s="169" t="str">
        <f t="shared" si="5"/>
        <v/>
      </c>
      <c r="W658" s="169"/>
      <c r="X658" s="169" t="str">
        <f t="shared" si="6"/>
        <v/>
      </c>
      <c r="Y658" s="169"/>
      <c r="Z658" s="169" t="str">
        <f t="shared" si="7"/>
        <v/>
      </c>
      <c r="AA658" s="169"/>
      <c r="AB658" s="169" t="str">
        <f t="shared" si="8"/>
        <v/>
      </c>
      <c r="AC658" s="169"/>
      <c r="AD658" s="169" t="str">
        <f t="shared" si="9"/>
        <v/>
      </c>
      <c r="AE658" s="169"/>
      <c r="AF658" s="169" t="str">
        <f t="shared" si="10"/>
        <v/>
      </c>
      <c r="AG658" s="169"/>
      <c r="AH658" s="169" t="str">
        <f t="shared" si="11"/>
        <v/>
      </c>
      <c r="AI658" s="169"/>
      <c r="AJ658" s="169" t="str">
        <f t="shared" si="12"/>
        <v/>
      </c>
    </row>
    <row r="659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 t="str">
        <f t="shared" si="2"/>
        <v/>
      </c>
      <c r="Q659" s="169"/>
      <c r="R659" s="169" t="str">
        <f t="shared" si="3"/>
        <v/>
      </c>
      <c r="S659" s="169"/>
      <c r="T659" s="169" t="str">
        <f t="shared" si="4"/>
        <v/>
      </c>
      <c r="U659" s="169"/>
      <c r="V659" s="169" t="str">
        <f t="shared" si="5"/>
        <v/>
      </c>
      <c r="W659" s="169"/>
      <c r="X659" s="169" t="str">
        <f t="shared" si="6"/>
        <v/>
      </c>
      <c r="Y659" s="169"/>
      <c r="Z659" s="169" t="str">
        <f t="shared" si="7"/>
        <v/>
      </c>
      <c r="AA659" s="169"/>
      <c r="AB659" s="169" t="str">
        <f t="shared" si="8"/>
        <v/>
      </c>
      <c r="AC659" s="169"/>
      <c r="AD659" s="169" t="str">
        <f t="shared" si="9"/>
        <v/>
      </c>
      <c r="AE659" s="169"/>
      <c r="AF659" s="169" t="str">
        <f t="shared" si="10"/>
        <v/>
      </c>
      <c r="AG659" s="169"/>
      <c r="AH659" s="169" t="str">
        <f t="shared" si="11"/>
        <v/>
      </c>
      <c r="AI659" s="169"/>
      <c r="AJ659" s="169" t="str">
        <f t="shared" si="12"/>
        <v/>
      </c>
    </row>
    <row r="660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 t="str">
        <f t="shared" si="2"/>
        <v/>
      </c>
      <c r="Q660" s="169"/>
      <c r="R660" s="169" t="str">
        <f t="shared" si="3"/>
        <v/>
      </c>
      <c r="S660" s="169"/>
      <c r="T660" s="169" t="str">
        <f t="shared" si="4"/>
        <v/>
      </c>
      <c r="U660" s="169"/>
      <c r="V660" s="169" t="str">
        <f t="shared" si="5"/>
        <v/>
      </c>
      <c r="W660" s="169"/>
      <c r="X660" s="169" t="str">
        <f t="shared" si="6"/>
        <v/>
      </c>
      <c r="Y660" s="169"/>
      <c r="Z660" s="169" t="str">
        <f t="shared" si="7"/>
        <v/>
      </c>
      <c r="AA660" s="169"/>
      <c r="AB660" s="169" t="str">
        <f t="shared" si="8"/>
        <v/>
      </c>
      <c r="AC660" s="169"/>
      <c r="AD660" s="169" t="str">
        <f t="shared" si="9"/>
        <v/>
      </c>
      <c r="AE660" s="169"/>
      <c r="AF660" s="169" t="str">
        <f t="shared" si="10"/>
        <v/>
      </c>
      <c r="AG660" s="169"/>
      <c r="AH660" s="169" t="str">
        <f t="shared" si="11"/>
        <v/>
      </c>
      <c r="AI660" s="169"/>
      <c r="AJ660" s="169" t="str">
        <f t="shared" si="12"/>
        <v/>
      </c>
    </row>
    <row r="66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 t="str">
        <f t="shared" si="2"/>
        <v/>
      </c>
      <c r="Q661" s="169"/>
      <c r="R661" s="169" t="str">
        <f t="shared" si="3"/>
        <v/>
      </c>
      <c r="S661" s="169"/>
      <c r="T661" s="169" t="str">
        <f t="shared" si="4"/>
        <v/>
      </c>
      <c r="U661" s="169"/>
      <c r="V661" s="169" t="str">
        <f t="shared" si="5"/>
        <v/>
      </c>
      <c r="W661" s="169"/>
      <c r="X661" s="169" t="str">
        <f t="shared" si="6"/>
        <v/>
      </c>
      <c r="Y661" s="169"/>
      <c r="Z661" s="169" t="str">
        <f t="shared" si="7"/>
        <v/>
      </c>
      <c r="AA661" s="169"/>
      <c r="AB661" s="169" t="str">
        <f t="shared" si="8"/>
        <v/>
      </c>
      <c r="AC661" s="169"/>
      <c r="AD661" s="169" t="str">
        <f t="shared" si="9"/>
        <v/>
      </c>
      <c r="AE661" s="169"/>
      <c r="AF661" s="169" t="str">
        <f t="shared" si="10"/>
        <v/>
      </c>
      <c r="AG661" s="169"/>
      <c r="AH661" s="169" t="str">
        <f t="shared" si="11"/>
        <v/>
      </c>
      <c r="AI661" s="169"/>
      <c r="AJ661" s="169" t="str">
        <f t="shared" si="12"/>
        <v/>
      </c>
    </row>
    <row r="66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 t="str">
        <f t="shared" si="2"/>
        <v/>
      </c>
      <c r="Q662" s="169"/>
      <c r="R662" s="169" t="str">
        <f t="shared" si="3"/>
        <v/>
      </c>
      <c r="S662" s="169"/>
      <c r="T662" s="169" t="str">
        <f t="shared" si="4"/>
        <v/>
      </c>
      <c r="U662" s="169"/>
      <c r="V662" s="169" t="str">
        <f t="shared" si="5"/>
        <v/>
      </c>
      <c r="W662" s="169"/>
      <c r="X662" s="169" t="str">
        <f t="shared" si="6"/>
        <v/>
      </c>
      <c r="Y662" s="169"/>
      <c r="Z662" s="169" t="str">
        <f t="shared" si="7"/>
        <v/>
      </c>
      <c r="AA662" s="169"/>
      <c r="AB662" s="169" t="str">
        <f t="shared" si="8"/>
        <v/>
      </c>
      <c r="AC662" s="169"/>
      <c r="AD662" s="169" t="str">
        <f t="shared" si="9"/>
        <v/>
      </c>
      <c r="AE662" s="169"/>
      <c r="AF662" s="169" t="str">
        <f t="shared" si="10"/>
        <v/>
      </c>
      <c r="AG662" s="169"/>
      <c r="AH662" s="169" t="str">
        <f t="shared" si="11"/>
        <v/>
      </c>
      <c r="AI662" s="169"/>
      <c r="AJ662" s="169" t="str">
        <f t="shared" si="12"/>
        <v/>
      </c>
    </row>
    <row r="663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 t="str">
        <f t="shared" si="2"/>
        <v/>
      </c>
      <c r="Q663" s="169"/>
      <c r="R663" s="169" t="str">
        <f t="shared" si="3"/>
        <v/>
      </c>
      <c r="S663" s="169"/>
      <c r="T663" s="169" t="str">
        <f t="shared" si="4"/>
        <v/>
      </c>
      <c r="U663" s="169"/>
      <c r="V663" s="169" t="str">
        <f t="shared" si="5"/>
        <v/>
      </c>
      <c r="W663" s="169"/>
      <c r="X663" s="169" t="str">
        <f t="shared" si="6"/>
        <v/>
      </c>
      <c r="Y663" s="169"/>
      <c r="Z663" s="169" t="str">
        <f t="shared" si="7"/>
        <v/>
      </c>
      <c r="AA663" s="169"/>
      <c r="AB663" s="169" t="str">
        <f t="shared" si="8"/>
        <v/>
      </c>
      <c r="AC663" s="169"/>
      <c r="AD663" s="169" t="str">
        <f t="shared" si="9"/>
        <v/>
      </c>
      <c r="AE663" s="169"/>
      <c r="AF663" s="169" t="str">
        <f t="shared" si="10"/>
        <v/>
      </c>
      <c r="AG663" s="169"/>
      <c r="AH663" s="169" t="str">
        <f t="shared" si="11"/>
        <v/>
      </c>
      <c r="AI663" s="169"/>
      <c r="AJ663" s="169" t="str">
        <f t="shared" si="12"/>
        <v/>
      </c>
    </row>
    <row r="664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 t="str">
        <f t="shared" si="2"/>
        <v/>
      </c>
      <c r="Q664" s="169"/>
      <c r="R664" s="169" t="str">
        <f t="shared" si="3"/>
        <v/>
      </c>
      <c r="S664" s="169"/>
      <c r="T664" s="169" t="str">
        <f t="shared" si="4"/>
        <v/>
      </c>
      <c r="U664" s="169"/>
      <c r="V664" s="169" t="str">
        <f t="shared" si="5"/>
        <v/>
      </c>
      <c r="W664" s="169"/>
      <c r="X664" s="169" t="str">
        <f t="shared" si="6"/>
        <v/>
      </c>
      <c r="Y664" s="169"/>
      <c r="Z664" s="169" t="str">
        <f t="shared" si="7"/>
        <v/>
      </c>
      <c r="AA664" s="169"/>
      <c r="AB664" s="169" t="str">
        <f t="shared" si="8"/>
        <v/>
      </c>
      <c r="AC664" s="169"/>
      <c r="AD664" s="169" t="str">
        <f t="shared" si="9"/>
        <v/>
      </c>
      <c r="AE664" s="169"/>
      <c r="AF664" s="169" t="str">
        <f t="shared" si="10"/>
        <v/>
      </c>
      <c r="AG664" s="169"/>
      <c r="AH664" s="169" t="str">
        <f t="shared" si="11"/>
        <v/>
      </c>
      <c r="AI664" s="169"/>
      <c r="AJ664" s="169" t="str">
        <f t="shared" si="12"/>
        <v/>
      </c>
    </row>
    <row r="66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 t="str">
        <f t="shared" si="2"/>
        <v/>
      </c>
      <c r="Q665" s="169"/>
      <c r="R665" s="169" t="str">
        <f t="shared" si="3"/>
        <v/>
      </c>
      <c r="S665" s="169"/>
      <c r="T665" s="169" t="str">
        <f t="shared" si="4"/>
        <v/>
      </c>
      <c r="U665" s="169"/>
      <c r="V665" s="169" t="str">
        <f t="shared" si="5"/>
        <v/>
      </c>
      <c r="W665" s="169"/>
      <c r="X665" s="169" t="str">
        <f t="shared" si="6"/>
        <v/>
      </c>
      <c r="Y665" s="169"/>
      <c r="Z665" s="169" t="str">
        <f t="shared" si="7"/>
        <v/>
      </c>
      <c r="AA665" s="169"/>
      <c r="AB665" s="169" t="str">
        <f t="shared" si="8"/>
        <v/>
      </c>
      <c r="AC665" s="169"/>
      <c r="AD665" s="169" t="str">
        <f t="shared" si="9"/>
        <v/>
      </c>
      <c r="AE665" s="169"/>
      <c r="AF665" s="169" t="str">
        <f t="shared" si="10"/>
        <v/>
      </c>
      <c r="AG665" s="169"/>
      <c r="AH665" s="169" t="str">
        <f t="shared" si="11"/>
        <v/>
      </c>
      <c r="AI665" s="169"/>
      <c r="AJ665" s="169" t="str">
        <f t="shared" si="12"/>
        <v/>
      </c>
    </row>
    <row r="666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 t="str">
        <f t="shared" si="2"/>
        <v/>
      </c>
      <c r="Q666" s="169"/>
      <c r="R666" s="169" t="str">
        <f t="shared" si="3"/>
        <v/>
      </c>
      <c r="S666" s="169"/>
      <c r="T666" s="169" t="str">
        <f t="shared" si="4"/>
        <v/>
      </c>
      <c r="U666" s="169"/>
      <c r="V666" s="169" t="str">
        <f t="shared" si="5"/>
        <v/>
      </c>
      <c r="W666" s="169"/>
      <c r="X666" s="169" t="str">
        <f t="shared" si="6"/>
        <v/>
      </c>
      <c r="Y666" s="169"/>
      <c r="Z666" s="169" t="str">
        <f t="shared" si="7"/>
        <v/>
      </c>
      <c r="AA666" s="169"/>
      <c r="AB666" s="169" t="str">
        <f t="shared" si="8"/>
        <v/>
      </c>
      <c r="AC666" s="169"/>
      <c r="AD666" s="169" t="str">
        <f t="shared" si="9"/>
        <v/>
      </c>
      <c r="AE666" s="169"/>
      <c r="AF666" s="169" t="str">
        <f t="shared" si="10"/>
        <v/>
      </c>
      <c r="AG666" s="169"/>
      <c r="AH666" s="169" t="str">
        <f t="shared" si="11"/>
        <v/>
      </c>
      <c r="AI666" s="169"/>
      <c r="AJ666" s="169" t="str">
        <f t="shared" si="12"/>
        <v/>
      </c>
    </row>
    <row r="667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 t="str">
        <f t="shared" si="2"/>
        <v/>
      </c>
      <c r="Q667" s="169"/>
      <c r="R667" s="169" t="str">
        <f t="shared" si="3"/>
        <v/>
      </c>
      <c r="S667" s="169"/>
      <c r="T667" s="169" t="str">
        <f t="shared" si="4"/>
        <v/>
      </c>
      <c r="U667" s="169"/>
      <c r="V667" s="169" t="str">
        <f t="shared" si="5"/>
        <v/>
      </c>
      <c r="W667" s="169"/>
      <c r="X667" s="169" t="str">
        <f t="shared" si="6"/>
        <v/>
      </c>
      <c r="Y667" s="169"/>
      <c r="Z667" s="169" t="str">
        <f t="shared" si="7"/>
        <v/>
      </c>
      <c r="AA667" s="169"/>
      <c r="AB667" s="169" t="str">
        <f t="shared" si="8"/>
        <v/>
      </c>
      <c r="AC667" s="169"/>
      <c r="AD667" s="169" t="str">
        <f t="shared" si="9"/>
        <v/>
      </c>
      <c r="AE667" s="169"/>
      <c r="AF667" s="169" t="str">
        <f t="shared" si="10"/>
        <v/>
      </c>
      <c r="AG667" s="169"/>
      <c r="AH667" s="169" t="str">
        <f t="shared" si="11"/>
        <v/>
      </c>
      <c r="AI667" s="169"/>
      <c r="AJ667" s="169" t="str">
        <f t="shared" si="12"/>
        <v/>
      </c>
    </row>
    <row r="668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 t="str">
        <f t="shared" si="2"/>
        <v/>
      </c>
      <c r="Q668" s="169"/>
      <c r="R668" s="169" t="str">
        <f t="shared" si="3"/>
        <v/>
      </c>
      <c r="S668" s="169"/>
      <c r="T668" s="169" t="str">
        <f t="shared" si="4"/>
        <v/>
      </c>
      <c r="U668" s="169"/>
      <c r="V668" s="169" t="str">
        <f t="shared" si="5"/>
        <v/>
      </c>
      <c r="W668" s="169"/>
      <c r="X668" s="169" t="str">
        <f t="shared" si="6"/>
        <v/>
      </c>
      <c r="Y668" s="169"/>
      <c r="Z668" s="169" t="str">
        <f t="shared" si="7"/>
        <v/>
      </c>
      <c r="AA668" s="169"/>
      <c r="AB668" s="169" t="str">
        <f t="shared" si="8"/>
        <v/>
      </c>
      <c r="AC668" s="169"/>
      <c r="AD668" s="169" t="str">
        <f t="shared" si="9"/>
        <v/>
      </c>
      <c r="AE668" s="169"/>
      <c r="AF668" s="169" t="str">
        <f t="shared" si="10"/>
        <v/>
      </c>
      <c r="AG668" s="169"/>
      <c r="AH668" s="169" t="str">
        <f t="shared" si="11"/>
        <v/>
      </c>
      <c r="AI668" s="169"/>
      <c r="AJ668" s="169" t="str">
        <f t="shared" si="12"/>
        <v/>
      </c>
    </row>
    <row r="669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 t="str">
        <f t="shared" si="2"/>
        <v/>
      </c>
      <c r="Q669" s="169"/>
      <c r="R669" s="169" t="str">
        <f t="shared" si="3"/>
        <v/>
      </c>
      <c r="S669" s="169"/>
      <c r="T669" s="169" t="str">
        <f t="shared" si="4"/>
        <v/>
      </c>
      <c r="U669" s="169"/>
      <c r="V669" s="169" t="str">
        <f t="shared" si="5"/>
        <v/>
      </c>
      <c r="W669" s="169"/>
      <c r="X669" s="169" t="str">
        <f t="shared" si="6"/>
        <v/>
      </c>
      <c r="Y669" s="169"/>
      <c r="Z669" s="169" t="str">
        <f t="shared" si="7"/>
        <v/>
      </c>
      <c r="AA669" s="169"/>
      <c r="AB669" s="169" t="str">
        <f t="shared" si="8"/>
        <v/>
      </c>
      <c r="AC669" s="169"/>
      <c r="AD669" s="169" t="str">
        <f t="shared" si="9"/>
        <v/>
      </c>
      <c r="AE669" s="169"/>
      <c r="AF669" s="169" t="str">
        <f t="shared" si="10"/>
        <v/>
      </c>
      <c r="AG669" s="169"/>
      <c r="AH669" s="169" t="str">
        <f t="shared" si="11"/>
        <v/>
      </c>
      <c r="AI669" s="169"/>
      <c r="AJ669" s="169" t="str">
        <f t="shared" si="12"/>
        <v/>
      </c>
    </row>
    <row r="670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 t="str">
        <f t="shared" si="2"/>
        <v/>
      </c>
      <c r="Q670" s="169"/>
      <c r="R670" s="169" t="str">
        <f t="shared" si="3"/>
        <v/>
      </c>
      <c r="S670" s="169"/>
      <c r="T670" s="169" t="str">
        <f t="shared" si="4"/>
        <v/>
      </c>
      <c r="U670" s="169"/>
      <c r="V670" s="169" t="str">
        <f t="shared" si="5"/>
        <v/>
      </c>
      <c r="W670" s="169"/>
      <c r="X670" s="169" t="str">
        <f t="shared" si="6"/>
        <v/>
      </c>
      <c r="Y670" s="169"/>
      <c r="Z670" s="169" t="str">
        <f t="shared" si="7"/>
        <v/>
      </c>
      <c r="AA670" s="169"/>
      <c r="AB670" s="169" t="str">
        <f t="shared" si="8"/>
        <v/>
      </c>
      <c r="AC670" s="169"/>
      <c r="AD670" s="169" t="str">
        <f t="shared" si="9"/>
        <v/>
      </c>
      <c r="AE670" s="169"/>
      <c r="AF670" s="169" t="str">
        <f t="shared" si="10"/>
        <v/>
      </c>
      <c r="AG670" s="169"/>
      <c r="AH670" s="169" t="str">
        <f t="shared" si="11"/>
        <v/>
      </c>
      <c r="AI670" s="169"/>
      <c r="AJ670" s="169" t="str">
        <f t="shared" si="12"/>
        <v/>
      </c>
    </row>
    <row r="67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 t="str">
        <f t="shared" si="2"/>
        <v/>
      </c>
      <c r="Q671" s="169"/>
      <c r="R671" s="169" t="str">
        <f t="shared" si="3"/>
        <v/>
      </c>
      <c r="S671" s="169"/>
      <c r="T671" s="169" t="str">
        <f t="shared" si="4"/>
        <v/>
      </c>
      <c r="U671" s="169"/>
      <c r="V671" s="169" t="str">
        <f t="shared" si="5"/>
        <v/>
      </c>
      <c r="W671" s="169"/>
      <c r="X671" s="169" t="str">
        <f t="shared" si="6"/>
        <v/>
      </c>
      <c r="Y671" s="169"/>
      <c r="Z671" s="169" t="str">
        <f t="shared" si="7"/>
        <v/>
      </c>
      <c r="AA671" s="169"/>
      <c r="AB671" s="169" t="str">
        <f t="shared" si="8"/>
        <v/>
      </c>
      <c r="AC671" s="169"/>
      <c r="AD671" s="169" t="str">
        <f t="shared" si="9"/>
        <v/>
      </c>
      <c r="AE671" s="169"/>
      <c r="AF671" s="169" t="str">
        <f t="shared" si="10"/>
        <v/>
      </c>
      <c r="AG671" s="169"/>
      <c r="AH671" s="169" t="str">
        <f t="shared" si="11"/>
        <v/>
      </c>
      <c r="AI671" s="169"/>
      <c r="AJ671" s="169" t="str">
        <f t="shared" si="12"/>
        <v/>
      </c>
    </row>
    <row r="67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 t="str">
        <f t="shared" si="2"/>
        <v/>
      </c>
      <c r="Q672" s="169"/>
      <c r="R672" s="169" t="str">
        <f t="shared" si="3"/>
        <v/>
      </c>
      <c r="S672" s="169"/>
      <c r="T672" s="169" t="str">
        <f t="shared" si="4"/>
        <v/>
      </c>
      <c r="U672" s="169"/>
      <c r="V672" s="169" t="str">
        <f t="shared" si="5"/>
        <v/>
      </c>
      <c r="W672" s="169"/>
      <c r="X672" s="169" t="str">
        <f t="shared" si="6"/>
        <v/>
      </c>
      <c r="Y672" s="169"/>
      <c r="Z672" s="169" t="str">
        <f t="shared" si="7"/>
        <v/>
      </c>
      <c r="AA672" s="169"/>
      <c r="AB672" s="169" t="str">
        <f t="shared" si="8"/>
        <v/>
      </c>
      <c r="AC672" s="169"/>
      <c r="AD672" s="169" t="str">
        <f t="shared" si="9"/>
        <v/>
      </c>
      <c r="AE672" s="169"/>
      <c r="AF672" s="169" t="str">
        <f t="shared" si="10"/>
        <v/>
      </c>
      <c r="AG672" s="169"/>
      <c r="AH672" s="169" t="str">
        <f t="shared" si="11"/>
        <v/>
      </c>
      <c r="AI672" s="169"/>
      <c r="AJ672" s="169" t="str">
        <f t="shared" si="12"/>
        <v/>
      </c>
    </row>
    <row r="673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 t="str">
        <f t="shared" si="2"/>
        <v/>
      </c>
      <c r="Q673" s="169"/>
      <c r="R673" s="169" t="str">
        <f t="shared" si="3"/>
        <v/>
      </c>
      <c r="S673" s="169"/>
      <c r="T673" s="169" t="str">
        <f t="shared" si="4"/>
        <v/>
      </c>
      <c r="U673" s="169"/>
      <c r="V673" s="169" t="str">
        <f t="shared" si="5"/>
        <v/>
      </c>
      <c r="W673" s="169"/>
      <c r="X673" s="169" t="str">
        <f t="shared" si="6"/>
        <v/>
      </c>
      <c r="Y673" s="169"/>
      <c r="Z673" s="169" t="str">
        <f t="shared" si="7"/>
        <v/>
      </c>
      <c r="AA673" s="169"/>
      <c r="AB673" s="169" t="str">
        <f t="shared" si="8"/>
        <v/>
      </c>
      <c r="AC673" s="169"/>
      <c r="AD673" s="169" t="str">
        <f t="shared" si="9"/>
        <v/>
      </c>
      <c r="AE673" s="169"/>
      <c r="AF673" s="169" t="str">
        <f t="shared" si="10"/>
        <v/>
      </c>
      <c r="AG673" s="169"/>
      <c r="AH673" s="169" t="str">
        <f t="shared" si="11"/>
        <v/>
      </c>
      <c r="AI673" s="169"/>
      <c r="AJ673" s="169" t="str">
        <f t="shared" si="12"/>
        <v/>
      </c>
    </row>
    <row r="674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 t="str">
        <f t="shared" si="2"/>
        <v/>
      </c>
      <c r="Q674" s="169"/>
      <c r="R674" s="169" t="str">
        <f t="shared" si="3"/>
        <v/>
      </c>
      <c r="S674" s="169"/>
      <c r="T674" s="169" t="str">
        <f t="shared" si="4"/>
        <v/>
      </c>
      <c r="U674" s="169"/>
      <c r="V674" s="169" t="str">
        <f t="shared" si="5"/>
        <v/>
      </c>
      <c r="W674" s="169"/>
      <c r="X674" s="169" t="str">
        <f t="shared" si="6"/>
        <v/>
      </c>
      <c r="Y674" s="169"/>
      <c r="Z674" s="169" t="str">
        <f t="shared" si="7"/>
        <v/>
      </c>
      <c r="AA674" s="169"/>
      <c r="AB674" s="169" t="str">
        <f t="shared" si="8"/>
        <v/>
      </c>
      <c r="AC674" s="169"/>
      <c r="AD674" s="169" t="str">
        <f t="shared" si="9"/>
        <v/>
      </c>
      <c r="AE674" s="169"/>
      <c r="AF674" s="169" t="str">
        <f t="shared" si="10"/>
        <v/>
      </c>
      <c r="AG674" s="169"/>
      <c r="AH674" s="169" t="str">
        <f t="shared" si="11"/>
        <v/>
      </c>
      <c r="AI674" s="169"/>
      <c r="AJ674" s="169" t="str">
        <f t="shared" si="12"/>
        <v/>
      </c>
    </row>
    <row r="67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 t="str">
        <f t="shared" si="2"/>
        <v/>
      </c>
      <c r="Q675" s="169"/>
      <c r="R675" s="169" t="str">
        <f t="shared" si="3"/>
        <v/>
      </c>
      <c r="S675" s="169"/>
      <c r="T675" s="169" t="str">
        <f t="shared" si="4"/>
        <v/>
      </c>
      <c r="U675" s="169"/>
      <c r="V675" s="169" t="str">
        <f t="shared" si="5"/>
        <v/>
      </c>
      <c r="W675" s="169"/>
      <c r="X675" s="169" t="str">
        <f t="shared" si="6"/>
        <v/>
      </c>
      <c r="Y675" s="169"/>
      <c r="Z675" s="169" t="str">
        <f t="shared" si="7"/>
        <v/>
      </c>
      <c r="AA675" s="169"/>
      <c r="AB675" s="169" t="str">
        <f t="shared" si="8"/>
        <v/>
      </c>
      <c r="AC675" s="169"/>
      <c r="AD675" s="169" t="str">
        <f t="shared" si="9"/>
        <v/>
      </c>
      <c r="AE675" s="169"/>
      <c r="AF675" s="169" t="str">
        <f t="shared" si="10"/>
        <v/>
      </c>
      <c r="AG675" s="169"/>
      <c r="AH675" s="169" t="str">
        <f t="shared" si="11"/>
        <v/>
      </c>
      <c r="AI675" s="169"/>
      <c r="AJ675" s="169" t="str">
        <f t="shared" si="12"/>
        <v/>
      </c>
    </row>
    <row r="676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 t="str">
        <f t="shared" si="2"/>
        <v/>
      </c>
      <c r="Q676" s="169"/>
      <c r="R676" s="169" t="str">
        <f t="shared" si="3"/>
        <v/>
      </c>
      <c r="S676" s="169"/>
      <c r="T676" s="169" t="str">
        <f t="shared" si="4"/>
        <v/>
      </c>
      <c r="U676" s="169"/>
      <c r="V676" s="169" t="str">
        <f t="shared" si="5"/>
        <v/>
      </c>
      <c r="W676" s="169"/>
      <c r="X676" s="169" t="str">
        <f t="shared" si="6"/>
        <v/>
      </c>
      <c r="Y676" s="169"/>
      <c r="Z676" s="169" t="str">
        <f t="shared" si="7"/>
        <v/>
      </c>
      <c r="AA676" s="169"/>
      <c r="AB676" s="169" t="str">
        <f t="shared" si="8"/>
        <v/>
      </c>
      <c r="AC676" s="169"/>
      <c r="AD676" s="169" t="str">
        <f t="shared" si="9"/>
        <v/>
      </c>
      <c r="AE676" s="169"/>
      <c r="AF676" s="169" t="str">
        <f t="shared" si="10"/>
        <v/>
      </c>
      <c r="AG676" s="169"/>
      <c r="AH676" s="169" t="str">
        <f t="shared" si="11"/>
        <v/>
      </c>
      <c r="AI676" s="169"/>
      <c r="AJ676" s="169" t="str">
        <f t="shared" si="12"/>
        <v/>
      </c>
    </row>
    <row r="677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 t="str">
        <f t="shared" si="2"/>
        <v/>
      </c>
      <c r="Q677" s="169"/>
      <c r="R677" s="169" t="str">
        <f t="shared" si="3"/>
        <v/>
      </c>
      <c r="S677" s="169"/>
      <c r="T677" s="169" t="str">
        <f t="shared" si="4"/>
        <v/>
      </c>
      <c r="U677" s="169"/>
      <c r="V677" s="169" t="str">
        <f t="shared" si="5"/>
        <v/>
      </c>
      <c r="W677" s="169"/>
      <c r="X677" s="169" t="str">
        <f t="shared" si="6"/>
        <v/>
      </c>
      <c r="Y677" s="169"/>
      <c r="Z677" s="169" t="str">
        <f t="shared" si="7"/>
        <v/>
      </c>
      <c r="AA677" s="169"/>
      <c r="AB677" s="169" t="str">
        <f t="shared" si="8"/>
        <v/>
      </c>
      <c r="AC677" s="169"/>
      <c r="AD677" s="169" t="str">
        <f t="shared" si="9"/>
        <v/>
      </c>
      <c r="AE677" s="169"/>
      <c r="AF677" s="169" t="str">
        <f t="shared" si="10"/>
        <v/>
      </c>
      <c r="AG677" s="169"/>
      <c r="AH677" s="169" t="str">
        <f t="shared" si="11"/>
        <v/>
      </c>
      <c r="AI677" s="169"/>
      <c r="AJ677" s="169" t="str">
        <f t="shared" si="12"/>
        <v/>
      </c>
    </row>
    <row r="678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 t="str">
        <f t="shared" si="2"/>
        <v/>
      </c>
      <c r="Q678" s="169"/>
      <c r="R678" s="169" t="str">
        <f t="shared" si="3"/>
        <v/>
      </c>
      <c r="S678" s="169"/>
      <c r="T678" s="169" t="str">
        <f t="shared" si="4"/>
        <v/>
      </c>
      <c r="U678" s="169"/>
      <c r="V678" s="169" t="str">
        <f t="shared" si="5"/>
        <v/>
      </c>
      <c r="W678" s="169"/>
      <c r="X678" s="169" t="str">
        <f t="shared" si="6"/>
        <v/>
      </c>
      <c r="Y678" s="169"/>
      <c r="Z678" s="169" t="str">
        <f t="shared" si="7"/>
        <v/>
      </c>
      <c r="AA678" s="169"/>
      <c r="AB678" s="169" t="str">
        <f t="shared" si="8"/>
        <v/>
      </c>
      <c r="AC678" s="169"/>
      <c r="AD678" s="169" t="str">
        <f t="shared" si="9"/>
        <v/>
      </c>
      <c r="AE678" s="169"/>
      <c r="AF678" s="169" t="str">
        <f t="shared" si="10"/>
        <v/>
      </c>
      <c r="AG678" s="169"/>
      <c r="AH678" s="169" t="str">
        <f t="shared" si="11"/>
        <v/>
      </c>
      <c r="AI678" s="169"/>
      <c r="AJ678" s="169" t="str">
        <f t="shared" si="12"/>
        <v/>
      </c>
    </row>
    <row r="679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 t="str">
        <f t="shared" si="2"/>
        <v/>
      </c>
      <c r="Q679" s="169"/>
      <c r="R679" s="169" t="str">
        <f t="shared" si="3"/>
        <v/>
      </c>
      <c r="S679" s="169"/>
      <c r="T679" s="169" t="str">
        <f t="shared" si="4"/>
        <v/>
      </c>
      <c r="U679" s="169"/>
      <c r="V679" s="169" t="str">
        <f t="shared" si="5"/>
        <v/>
      </c>
      <c r="W679" s="169"/>
      <c r="X679" s="169" t="str">
        <f t="shared" si="6"/>
        <v/>
      </c>
      <c r="Y679" s="169"/>
      <c r="Z679" s="169" t="str">
        <f t="shared" si="7"/>
        <v/>
      </c>
      <c r="AA679" s="169"/>
      <c r="AB679" s="169" t="str">
        <f t="shared" si="8"/>
        <v/>
      </c>
      <c r="AC679" s="169"/>
      <c r="AD679" s="169" t="str">
        <f t="shared" si="9"/>
        <v/>
      </c>
      <c r="AE679" s="169"/>
      <c r="AF679" s="169" t="str">
        <f t="shared" si="10"/>
        <v/>
      </c>
      <c r="AG679" s="169"/>
      <c r="AH679" s="169" t="str">
        <f t="shared" si="11"/>
        <v/>
      </c>
      <c r="AI679" s="169"/>
      <c r="AJ679" s="169" t="str">
        <f t="shared" si="12"/>
        <v/>
      </c>
    </row>
    <row r="680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 t="str">
        <f t="shared" si="2"/>
        <v/>
      </c>
      <c r="Q680" s="169"/>
      <c r="R680" s="169" t="str">
        <f t="shared" si="3"/>
        <v/>
      </c>
      <c r="S680" s="169"/>
      <c r="T680" s="169" t="str">
        <f t="shared" si="4"/>
        <v/>
      </c>
      <c r="U680" s="169"/>
      <c r="V680" s="169" t="str">
        <f t="shared" si="5"/>
        <v/>
      </c>
      <c r="W680" s="169"/>
      <c r="X680" s="169" t="str">
        <f t="shared" si="6"/>
        <v/>
      </c>
      <c r="Y680" s="169"/>
      <c r="Z680" s="169" t="str">
        <f t="shared" si="7"/>
        <v/>
      </c>
      <c r="AA680" s="169"/>
      <c r="AB680" s="169" t="str">
        <f t="shared" si="8"/>
        <v/>
      </c>
      <c r="AC680" s="169"/>
      <c r="AD680" s="169" t="str">
        <f t="shared" si="9"/>
        <v/>
      </c>
      <c r="AE680" s="169"/>
      <c r="AF680" s="169" t="str">
        <f t="shared" si="10"/>
        <v/>
      </c>
      <c r="AG680" s="169"/>
      <c r="AH680" s="169" t="str">
        <f t="shared" si="11"/>
        <v/>
      </c>
      <c r="AI680" s="169"/>
      <c r="AJ680" s="169" t="str">
        <f t="shared" si="12"/>
        <v/>
      </c>
    </row>
    <row r="68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 t="str">
        <f t="shared" si="2"/>
        <v/>
      </c>
      <c r="Q681" s="169"/>
      <c r="R681" s="169" t="str">
        <f t="shared" si="3"/>
        <v/>
      </c>
      <c r="S681" s="169"/>
      <c r="T681" s="169" t="str">
        <f t="shared" si="4"/>
        <v/>
      </c>
      <c r="U681" s="169"/>
      <c r="V681" s="169" t="str">
        <f t="shared" si="5"/>
        <v/>
      </c>
      <c r="W681" s="169"/>
      <c r="X681" s="169" t="str">
        <f t="shared" si="6"/>
        <v/>
      </c>
      <c r="Y681" s="169"/>
      <c r="Z681" s="169" t="str">
        <f t="shared" si="7"/>
        <v/>
      </c>
      <c r="AA681" s="169"/>
      <c r="AB681" s="169" t="str">
        <f t="shared" si="8"/>
        <v/>
      </c>
      <c r="AC681" s="169"/>
      <c r="AD681" s="169" t="str">
        <f t="shared" si="9"/>
        <v/>
      </c>
      <c r="AE681" s="169"/>
      <c r="AF681" s="169" t="str">
        <f t="shared" si="10"/>
        <v/>
      </c>
      <c r="AG681" s="169"/>
      <c r="AH681" s="169" t="str">
        <f t="shared" si="11"/>
        <v/>
      </c>
      <c r="AI681" s="169"/>
      <c r="AJ681" s="169" t="str">
        <f t="shared" si="12"/>
        <v/>
      </c>
    </row>
    <row r="68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 t="str">
        <f t="shared" si="2"/>
        <v/>
      </c>
      <c r="Q682" s="169"/>
      <c r="R682" s="169" t="str">
        <f t="shared" si="3"/>
        <v/>
      </c>
      <c r="S682" s="169"/>
      <c r="T682" s="169" t="str">
        <f t="shared" si="4"/>
        <v/>
      </c>
      <c r="U682" s="169"/>
      <c r="V682" s="169" t="str">
        <f t="shared" si="5"/>
        <v/>
      </c>
      <c r="W682" s="169"/>
      <c r="X682" s="169" t="str">
        <f t="shared" si="6"/>
        <v/>
      </c>
      <c r="Y682" s="169"/>
      <c r="Z682" s="169" t="str">
        <f t="shared" si="7"/>
        <v/>
      </c>
      <c r="AA682" s="169"/>
      <c r="AB682" s="169" t="str">
        <f t="shared" si="8"/>
        <v/>
      </c>
      <c r="AC682" s="169"/>
      <c r="AD682" s="169" t="str">
        <f t="shared" si="9"/>
        <v/>
      </c>
      <c r="AE682" s="169"/>
      <c r="AF682" s="169" t="str">
        <f t="shared" si="10"/>
        <v/>
      </c>
      <c r="AG682" s="169"/>
      <c r="AH682" s="169" t="str">
        <f t="shared" si="11"/>
        <v/>
      </c>
      <c r="AI682" s="169"/>
      <c r="AJ682" s="169" t="str">
        <f t="shared" si="12"/>
        <v/>
      </c>
    </row>
    <row r="683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 t="str">
        <f t="shared" si="2"/>
        <v/>
      </c>
      <c r="Q683" s="169"/>
      <c r="R683" s="169" t="str">
        <f t="shared" si="3"/>
        <v/>
      </c>
      <c r="S683" s="169"/>
      <c r="T683" s="169" t="str">
        <f t="shared" si="4"/>
        <v/>
      </c>
      <c r="U683" s="169"/>
      <c r="V683" s="169" t="str">
        <f t="shared" si="5"/>
        <v/>
      </c>
      <c r="W683" s="169"/>
      <c r="X683" s="169" t="str">
        <f t="shared" si="6"/>
        <v/>
      </c>
      <c r="Y683" s="169"/>
      <c r="Z683" s="169" t="str">
        <f t="shared" si="7"/>
        <v/>
      </c>
      <c r="AA683" s="169"/>
      <c r="AB683" s="169" t="str">
        <f t="shared" si="8"/>
        <v/>
      </c>
      <c r="AC683" s="169"/>
      <c r="AD683" s="169" t="str">
        <f t="shared" si="9"/>
        <v/>
      </c>
      <c r="AE683" s="169"/>
      <c r="AF683" s="169" t="str">
        <f t="shared" si="10"/>
        <v/>
      </c>
      <c r="AG683" s="169"/>
      <c r="AH683" s="169" t="str">
        <f t="shared" si="11"/>
        <v/>
      </c>
      <c r="AI683" s="169"/>
      <c r="AJ683" s="169" t="str">
        <f t="shared" si="12"/>
        <v/>
      </c>
    </row>
    <row r="684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 t="str">
        <f t="shared" si="2"/>
        <v/>
      </c>
      <c r="Q684" s="169"/>
      <c r="R684" s="169" t="str">
        <f t="shared" si="3"/>
        <v/>
      </c>
      <c r="S684" s="169"/>
      <c r="T684" s="169" t="str">
        <f t="shared" si="4"/>
        <v/>
      </c>
      <c r="U684" s="169"/>
      <c r="V684" s="169" t="str">
        <f t="shared" si="5"/>
        <v/>
      </c>
      <c r="W684" s="169"/>
      <c r="X684" s="169" t="str">
        <f t="shared" si="6"/>
        <v/>
      </c>
      <c r="Y684" s="169"/>
      <c r="Z684" s="169" t="str">
        <f t="shared" si="7"/>
        <v/>
      </c>
      <c r="AA684" s="169"/>
      <c r="AB684" s="169" t="str">
        <f t="shared" si="8"/>
        <v/>
      </c>
      <c r="AC684" s="169"/>
      <c r="AD684" s="169" t="str">
        <f t="shared" si="9"/>
        <v/>
      </c>
      <c r="AE684" s="169"/>
      <c r="AF684" s="169" t="str">
        <f t="shared" si="10"/>
        <v/>
      </c>
      <c r="AG684" s="169"/>
      <c r="AH684" s="169" t="str">
        <f t="shared" si="11"/>
        <v/>
      </c>
      <c r="AI684" s="169"/>
      <c r="AJ684" s="169" t="str">
        <f t="shared" si="12"/>
        <v/>
      </c>
    </row>
    <row r="68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 t="str">
        <f t="shared" si="2"/>
        <v/>
      </c>
      <c r="Q685" s="169"/>
      <c r="R685" s="169" t="str">
        <f t="shared" si="3"/>
        <v/>
      </c>
      <c r="S685" s="169"/>
      <c r="T685" s="169" t="str">
        <f t="shared" si="4"/>
        <v/>
      </c>
      <c r="U685" s="169"/>
      <c r="V685" s="169" t="str">
        <f t="shared" si="5"/>
        <v/>
      </c>
      <c r="W685" s="169"/>
      <c r="X685" s="169" t="str">
        <f t="shared" si="6"/>
        <v/>
      </c>
      <c r="Y685" s="169"/>
      <c r="Z685" s="169" t="str">
        <f t="shared" si="7"/>
        <v/>
      </c>
      <c r="AA685" s="169"/>
      <c r="AB685" s="169" t="str">
        <f t="shared" si="8"/>
        <v/>
      </c>
      <c r="AC685" s="169"/>
      <c r="AD685" s="169" t="str">
        <f t="shared" si="9"/>
        <v/>
      </c>
      <c r="AE685" s="169"/>
      <c r="AF685" s="169" t="str">
        <f t="shared" si="10"/>
        <v/>
      </c>
      <c r="AG685" s="169"/>
      <c r="AH685" s="169" t="str">
        <f t="shared" si="11"/>
        <v/>
      </c>
      <c r="AI685" s="169"/>
      <c r="AJ685" s="169" t="str">
        <f t="shared" si="12"/>
        <v/>
      </c>
    </row>
    <row r="686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 t="str">
        <f t="shared" si="2"/>
        <v/>
      </c>
      <c r="Q686" s="169"/>
      <c r="R686" s="169" t="str">
        <f t="shared" si="3"/>
        <v/>
      </c>
      <c r="S686" s="169"/>
      <c r="T686" s="169" t="str">
        <f t="shared" si="4"/>
        <v/>
      </c>
      <c r="U686" s="169"/>
      <c r="V686" s="169" t="str">
        <f t="shared" si="5"/>
        <v/>
      </c>
      <c r="W686" s="169"/>
      <c r="X686" s="169" t="str">
        <f t="shared" si="6"/>
        <v/>
      </c>
      <c r="Y686" s="169"/>
      <c r="Z686" s="169" t="str">
        <f t="shared" si="7"/>
        <v/>
      </c>
      <c r="AA686" s="169"/>
      <c r="AB686" s="169" t="str">
        <f t="shared" si="8"/>
        <v/>
      </c>
      <c r="AC686" s="169"/>
      <c r="AD686" s="169" t="str">
        <f t="shared" si="9"/>
        <v/>
      </c>
      <c r="AE686" s="169"/>
      <c r="AF686" s="169" t="str">
        <f t="shared" si="10"/>
        <v/>
      </c>
      <c r="AG686" s="169"/>
      <c r="AH686" s="169" t="str">
        <f t="shared" si="11"/>
        <v/>
      </c>
      <c r="AI686" s="169"/>
      <c r="AJ686" s="169" t="str">
        <f t="shared" si="12"/>
        <v/>
      </c>
    </row>
    <row r="687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 t="str">
        <f t="shared" si="2"/>
        <v/>
      </c>
      <c r="Q687" s="169"/>
      <c r="R687" s="169" t="str">
        <f t="shared" si="3"/>
        <v/>
      </c>
      <c r="S687" s="169"/>
      <c r="T687" s="169" t="str">
        <f t="shared" si="4"/>
        <v/>
      </c>
      <c r="U687" s="169"/>
      <c r="V687" s="169" t="str">
        <f t="shared" si="5"/>
        <v/>
      </c>
      <c r="W687" s="169"/>
      <c r="X687" s="169" t="str">
        <f t="shared" si="6"/>
        <v/>
      </c>
      <c r="Y687" s="169"/>
      <c r="Z687" s="169" t="str">
        <f t="shared" si="7"/>
        <v/>
      </c>
      <c r="AA687" s="169"/>
      <c r="AB687" s="169" t="str">
        <f t="shared" si="8"/>
        <v/>
      </c>
      <c r="AC687" s="169"/>
      <c r="AD687" s="169" t="str">
        <f t="shared" si="9"/>
        <v/>
      </c>
      <c r="AE687" s="169"/>
      <c r="AF687" s="169" t="str">
        <f t="shared" si="10"/>
        <v/>
      </c>
      <c r="AG687" s="169"/>
      <c r="AH687" s="169" t="str">
        <f t="shared" si="11"/>
        <v/>
      </c>
      <c r="AI687" s="169"/>
      <c r="AJ687" s="169" t="str">
        <f t="shared" si="12"/>
        <v/>
      </c>
    </row>
    <row r="688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 t="str">
        <f t="shared" si="2"/>
        <v/>
      </c>
      <c r="Q688" s="169"/>
      <c r="R688" s="169" t="str">
        <f t="shared" si="3"/>
        <v/>
      </c>
      <c r="S688" s="169"/>
      <c r="T688" s="169" t="str">
        <f t="shared" si="4"/>
        <v/>
      </c>
      <c r="U688" s="169"/>
      <c r="V688" s="169" t="str">
        <f t="shared" si="5"/>
        <v/>
      </c>
      <c r="W688" s="169"/>
      <c r="X688" s="169" t="str">
        <f t="shared" si="6"/>
        <v/>
      </c>
      <c r="Y688" s="169"/>
      <c r="Z688" s="169" t="str">
        <f t="shared" si="7"/>
        <v/>
      </c>
      <c r="AA688" s="169"/>
      <c r="AB688" s="169" t="str">
        <f t="shared" si="8"/>
        <v/>
      </c>
      <c r="AC688" s="169"/>
      <c r="AD688" s="169" t="str">
        <f t="shared" si="9"/>
        <v/>
      </c>
      <c r="AE688" s="169"/>
      <c r="AF688" s="169" t="str">
        <f t="shared" si="10"/>
        <v/>
      </c>
      <c r="AG688" s="169"/>
      <c r="AH688" s="169" t="str">
        <f t="shared" si="11"/>
        <v/>
      </c>
      <c r="AI688" s="169"/>
      <c r="AJ688" s="169" t="str">
        <f t="shared" si="12"/>
        <v/>
      </c>
    </row>
    <row r="689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 t="str">
        <f t="shared" si="2"/>
        <v/>
      </c>
      <c r="Q689" s="169"/>
      <c r="R689" s="169" t="str">
        <f t="shared" si="3"/>
        <v/>
      </c>
      <c r="S689" s="169"/>
      <c r="T689" s="169" t="str">
        <f t="shared" si="4"/>
        <v/>
      </c>
      <c r="U689" s="169"/>
      <c r="V689" s="169" t="str">
        <f t="shared" si="5"/>
        <v/>
      </c>
      <c r="W689" s="169"/>
      <c r="X689" s="169" t="str">
        <f t="shared" si="6"/>
        <v/>
      </c>
      <c r="Y689" s="169"/>
      <c r="Z689" s="169" t="str">
        <f t="shared" si="7"/>
        <v/>
      </c>
      <c r="AA689" s="169"/>
      <c r="AB689" s="169" t="str">
        <f t="shared" si="8"/>
        <v/>
      </c>
      <c r="AC689" s="169"/>
      <c r="AD689" s="169" t="str">
        <f t="shared" si="9"/>
        <v/>
      </c>
      <c r="AE689" s="169"/>
      <c r="AF689" s="169" t="str">
        <f t="shared" si="10"/>
        <v/>
      </c>
      <c r="AG689" s="169"/>
      <c r="AH689" s="169" t="str">
        <f t="shared" si="11"/>
        <v/>
      </c>
      <c r="AI689" s="169"/>
      <c r="AJ689" s="169" t="str">
        <f t="shared" si="12"/>
        <v/>
      </c>
    </row>
    <row r="690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 t="str">
        <f t="shared" si="2"/>
        <v/>
      </c>
      <c r="Q690" s="169"/>
      <c r="R690" s="169" t="str">
        <f t="shared" si="3"/>
        <v/>
      </c>
      <c r="S690" s="169"/>
      <c r="T690" s="169" t="str">
        <f t="shared" si="4"/>
        <v/>
      </c>
      <c r="U690" s="169"/>
      <c r="V690" s="169" t="str">
        <f t="shared" si="5"/>
        <v/>
      </c>
      <c r="W690" s="169"/>
      <c r="X690" s="169" t="str">
        <f t="shared" si="6"/>
        <v/>
      </c>
      <c r="Y690" s="169"/>
      <c r="Z690" s="169" t="str">
        <f t="shared" si="7"/>
        <v/>
      </c>
      <c r="AA690" s="169"/>
      <c r="AB690" s="169" t="str">
        <f t="shared" si="8"/>
        <v/>
      </c>
      <c r="AC690" s="169"/>
      <c r="AD690" s="169" t="str">
        <f t="shared" si="9"/>
        <v/>
      </c>
      <c r="AE690" s="169"/>
      <c r="AF690" s="169" t="str">
        <f t="shared" si="10"/>
        <v/>
      </c>
      <c r="AG690" s="169"/>
      <c r="AH690" s="169" t="str">
        <f t="shared" si="11"/>
        <v/>
      </c>
      <c r="AI690" s="169"/>
      <c r="AJ690" s="169" t="str">
        <f t="shared" si="12"/>
        <v/>
      </c>
    </row>
    <row r="69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 t="str">
        <f t="shared" si="2"/>
        <v/>
      </c>
      <c r="Q691" s="169"/>
      <c r="R691" s="169" t="str">
        <f t="shared" si="3"/>
        <v/>
      </c>
      <c r="S691" s="169"/>
      <c r="T691" s="169" t="str">
        <f t="shared" si="4"/>
        <v/>
      </c>
      <c r="U691" s="169"/>
      <c r="V691" s="169" t="str">
        <f t="shared" si="5"/>
        <v/>
      </c>
      <c r="W691" s="169"/>
      <c r="X691" s="169" t="str">
        <f t="shared" si="6"/>
        <v/>
      </c>
      <c r="Y691" s="169"/>
      <c r="Z691" s="169" t="str">
        <f t="shared" si="7"/>
        <v/>
      </c>
      <c r="AA691" s="169"/>
      <c r="AB691" s="169" t="str">
        <f t="shared" si="8"/>
        <v/>
      </c>
      <c r="AC691" s="169"/>
      <c r="AD691" s="169" t="str">
        <f t="shared" si="9"/>
        <v/>
      </c>
      <c r="AE691" s="169"/>
      <c r="AF691" s="169" t="str">
        <f t="shared" si="10"/>
        <v/>
      </c>
      <c r="AG691" s="169"/>
      <c r="AH691" s="169" t="str">
        <f t="shared" si="11"/>
        <v/>
      </c>
      <c r="AI691" s="169"/>
      <c r="AJ691" s="169" t="str">
        <f t="shared" si="12"/>
        <v/>
      </c>
    </row>
    <row r="69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 t="str">
        <f t="shared" si="2"/>
        <v/>
      </c>
      <c r="Q692" s="169"/>
      <c r="R692" s="169" t="str">
        <f t="shared" si="3"/>
        <v/>
      </c>
      <c r="S692" s="169"/>
      <c r="T692" s="169" t="str">
        <f t="shared" si="4"/>
        <v/>
      </c>
      <c r="U692" s="169"/>
      <c r="V692" s="169" t="str">
        <f t="shared" si="5"/>
        <v/>
      </c>
      <c r="W692" s="169"/>
      <c r="X692" s="169" t="str">
        <f t="shared" si="6"/>
        <v/>
      </c>
      <c r="Y692" s="169"/>
      <c r="Z692" s="169" t="str">
        <f t="shared" si="7"/>
        <v/>
      </c>
      <c r="AA692" s="169"/>
      <c r="AB692" s="169" t="str">
        <f t="shared" si="8"/>
        <v/>
      </c>
      <c r="AC692" s="169"/>
      <c r="AD692" s="169" t="str">
        <f t="shared" si="9"/>
        <v/>
      </c>
      <c r="AE692" s="169"/>
      <c r="AF692" s="169" t="str">
        <f t="shared" si="10"/>
        <v/>
      </c>
      <c r="AG692" s="169"/>
      <c r="AH692" s="169" t="str">
        <f t="shared" si="11"/>
        <v/>
      </c>
      <c r="AI692" s="169"/>
      <c r="AJ692" s="169" t="str">
        <f t="shared" si="12"/>
        <v/>
      </c>
    </row>
    <row r="693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 t="str">
        <f t="shared" si="2"/>
        <v/>
      </c>
      <c r="Q693" s="169"/>
      <c r="R693" s="169" t="str">
        <f t="shared" si="3"/>
        <v/>
      </c>
      <c r="S693" s="169"/>
      <c r="T693" s="169" t="str">
        <f t="shared" si="4"/>
        <v/>
      </c>
      <c r="U693" s="169"/>
      <c r="V693" s="169" t="str">
        <f t="shared" si="5"/>
        <v/>
      </c>
      <c r="W693" s="169"/>
      <c r="X693" s="169" t="str">
        <f t="shared" si="6"/>
        <v/>
      </c>
      <c r="Y693" s="169"/>
      <c r="Z693" s="169" t="str">
        <f t="shared" si="7"/>
        <v/>
      </c>
      <c r="AA693" s="169"/>
      <c r="AB693" s="169" t="str">
        <f t="shared" si="8"/>
        <v/>
      </c>
      <c r="AC693" s="169"/>
      <c r="AD693" s="169" t="str">
        <f t="shared" si="9"/>
        <v/>
      </c>
      <c r="AE693" s="169"/>
      <c r="AF693" s="169" t="str">
        <f t="shared" si="10"/>
        <v/>
      </c>
      <c r="AG693" s="169"/>
      <c r="AH693" s="169" t="str">
        <f t="shared" si="11"/>
        <v/>
      </c>
      <c r="AI693" s="169"/>
      <c r="AJ693" s="169" t="str">
        <f t="shared" si="12"/>
        <v/>
      </c>
    </row>
    <row r="694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 t="str">
        <f t="shared" si="2"/>
        <v/>
      </c>
      <c r="Q694" s="169"/>
      <c r="R694" s="169" t="str">
        <f t="shared" si="3"/>
        <v/>
      </c>
      <c r="S694" s="169"/>
      <c r="T694" s="169" t="str">
        <f t="shared" si="4"/>
        <v/>
      </c>
      <c r="U694" s="169"/>
      <c r="V694" s="169" t="str">
        <f t="shared" si="5"/>
        <v/>
      </c>
      <c r="W694" s="169"/>
      <c r="X694" s="169" t="str">
        <f t="shared" si="6"/>
        <v/>
      </c>
      <c r="Y694" s="169"/>
      <c r="Z694" s="169" t="str">
        <f t="shared" si="7"/>
        <v/>
      </c>
      <c r="AA694" s="169"/>
      <c r="AB694" s="169" t="str">
        <f t="shared" si="8"/>
        <v/>
      </c>
      <c r="AC694" s="169"/>
      <c r="AD694" s="169" t="str">
        <f t="shared" si="9"/>
        <v/>
      </c>
      <c r="AE694" s="169"/>
      <c r="AF694" s="169" t="str">
        <f t="shared" si="10"/>
        <v/>
      </c>
      <c r="AG694" s="169"/>
      <c r="AH694" s="169" t="str">
        <f t="shared" si="11"/>
        <v/>
      </c>
      <c r="AI694" s="169"/>
      <c r="AJ694" s="169" t="str">
        <f t="shared" si="12"/>
        <v/>
      </c>
    </row>
    <row r="69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 t="str">
        <f t="shared" si="2"/>
        <v/>
      </c>
      <c r="Q695" s="169"/>
      <c r="R695" s="169" t="str">
        <f t="shared" si="3"/>
        <v/>
      </c>
      <c r="S695" s="169"/>
      <c r="T695" s="169" t="str">
        <f t="shared" si="4"/>
        <v/>
      </c>
      <c r="U695" s="169"/>
      <c r="V695" s="169" t="str">
        <f t="shared" si="5"/>
        <v/>
      </c>
      <c r="W695" s="169"/>
      <c r="X695" s="169" t="str">
        <f t="shared" si="6"/>
        <v/>
      </c>
      <c r="Y695" s="169"/>
      <c r="Z695" s="169" t="str">
        <f t="shared" si="7"/>
        <v/>
      </c>
      <c r="AA695" s="169"/>
      <c r="AB695" s="169" t="str">
        <f t="shared" si="8"/>
        <v/>
      </c>
      <c r="AC695" s="169"/>
      <c r="AD695" s="169" t="str">
        <f t="shared" si="9"/>
        <v/>
      </c>
      <c r="AE695" s="169"/>
      <c r="AF695" s="169" t="str">
        <f t="shared" si="10"/>
        <v/>
      </c>
      <c r="AG695" s="169"/>
      <c r="AH695" s="169" t="str">
        <f t="shared" si="11"/>
        <v/>
      </c>
      <c r="AI695" s="169"/>
      <c r="AJ695" s="169" t="str">
        <f t="shared" si="12"/>
        <v/>
      </c>
    </row>
    <row r="696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 t="str">
        <f t="shared" si="2"/>
        <v/>
      </c>
      <c r="Q696" s="169"/>
      <c r="R696" s="169" t="str">
        <f t="shared" si="3"/>
        <v/>
      </c>
      <c r="S696" s="169"/>
      <c r="T696" s="169" t="str">
        <f t="shared" si="4"/>
        <v/>
      </c>
      <c r="U696" s="169"/>
      <c r="V696" s="169" t="str">
        <f t="shared" si="5"/>
        <v/>
      </c>
      <c r="W696" s="169"/>
      <c r="X696" s="169" t="str">
        <f t="shared" si="6"/>
        <v/>
      </c>
      <c r="Y696" s="169"/>
      <c r="Z696" s="169" t="str">
        <f t="shared" si="7"/>
        <v/>
      </c>
      <c r="AA696" s="169"/>
      <c r="AB696" s="169" t="str">
        <f t="shared" si="8"/>
        <v/>
      </c>
      <c r="AC696" s="169"/>
      <c r="AD696" s="169" t="str">
        <f t="shared" si="9"/>
        <v/>
      </c>
      <c r="AE696" s="169"/>
      <c r="AF696" s="169" t="str">
        <f t="shared" si="10"/>
        <v/>
      </c>
      <c r="AG696" s="169"/>
      <c r="AH696" s="169" t="str">
        <f t="shared" si="11"/>
        <v/>
      </c>
      <c r="AI696" s="169"/>
      <c r="AJ696" s="169" t="str">
        <f t="shared" si="12"/>
        <v/>
      </c>
    </row>
    <row r="697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 t="str">
        <f t="shared" si="2"/>
        <v/>
      </c>
      <c r="Q697" s="169"/>
      <c r="R697" s="169" t="str">
        <f t="shared" si="3"/>
        <v/>
      </c>
      <c r="S697" s="169"/>
      <c r="T697" s="169" t="str">
        <f t="shared" si="4"/>
        <v/>
      </c>
      <c r="U697" s="169"/>
      <c r="V697" s="169" t="str">
        <f t="shared" si="5"/>
        <v/>
      </c>
      <c r="W697" s="169"/>
      <c r="X697" s="169" t="str">
        <f t="shared" si="6"/>
        <v/>
      </c>
      <c r="Y697" s="169"/>
      <c r="Z697" s="169" t="str">
        <f t="shared" si="7"/>
        <v/>
      </c>
      <c r="AA697" s="169"/>
      <c r="AB697" s="169" t="str">
        <f t="shared" si="8"/>
        <v/>
      </c>
      <c r="AC697" s="169"/>
      <c r="AD697" s="169" t="str">
        <f t="shared" si="9"/>
        <v/>
      </c>
      <c r="AE697" s="169"/>
      <c r="AF697" s="169" t="str">
        <f t="shared" si="10"/>
        <v/>
      </c>
      <c r="AG697" s="169"/>
      <c r="AH697" s="169" t="str">
        <f t="shared" si="11"/>
        <v/>
      </c>
      <c r="AI697" s="169"/>
      <c r="AJ697" s="169" t="str">
        <f t="shared" si="12"/>
        <v/>
      </c>
    </row>
    <row r="698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 t="str">
        <f t="shared" si="2"/>
        <v/>
      </c>
      <c r="Q698" s="169"/>
      <c r="R698" s="169" t="str">
        <f t="shared" si="3"/>
        <v/>
      </c>
      <c r="S698" s="169"/>
      <c r="T698" s="169" t="str">
        <f t="shared" si="4"/>
        <v/>
      </c>
      <c r="U698" s="169"/>
      <c r="V698" s="169" t="str">
        <f t="shared" si="5"/>
        <v/>
      </c>
      <c r="W698" s="169"/>
      <c r="X698" s="169" t="str">
        <f t="shared" si="6"/>
        <v/>
      </c>
      <c r="Y698" s="169"/>
      <c r="Z698" s="169" t="str">
        <f t="shared" si="7"/>
        <v/>
      </c>
      <c r="AA698" s="169"/>
      <c r="AB698" s="169" t="str">
        <f t="shared" si="8"/>
        <v/>
      </c>
      <c r="AC698" s="169"/>
      <c r="AD698" s="169" t="str">
        <f t="shared" si="9"/>
        <v/>
      </c>
      <c r="AE698" s="169"/>
      <c r="AF698" s="169" t="str">
        <f t="shared" si="10"/>
        <v/>
      </c>
      <c r="AG698" s="169"/>
      <c r="AH698" s="169" t="str">
        <f t="shared" si="11"/>
        <v/>
      </c>
      <c r="AI698" s="169"/>
      <c r="AJ698" s="169" t="str">
        <f t="shared" si="12"/>
        <v/>
      </c>
    </row>
    <row r="699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 t="str">
        <f t="shared" si="2"/>
        <v/>
      </c>
      <c r="Q699" s="169"/>
      <c r="R699" s="169" t="str">
        <f t="shared" si="3"/>
        <v/>
      </c>
      <c r="S699" s="169"/>
      <c r="T699" s="169" t="str">
        <f t="shared" si="4"/>
        <v/>
      </c>
      <c r="U699" s="169"/>
      <c r="V699" s="169" t="str">
        <f t="shared" si="5"/>
        <v/>
      </c>
      <c r="W699" s="169"/>
      <c r="X699" s="169" t="str">
        <f t="shared" si="6"/>
        <v/>
      </c>
      <c r="Y699" s="169"/>
      <c r="Z699" s="169" t="str">
        <f t="shared" si="7"/>
        <v/>
      </c>
      <c r="AA699" s="169"/>
      <c r="AB699" s="169" t="str">
        <f t="shared" si="8"/>
        <v/>
      </c>
      <c r="AC699" s="169"/>
      <c r="AD699" s="169" t="str">
        <f t="shared" si="9"/>
        <v/>
      </c>
      <c r="AE699" s="169"/>
      <c r="AF699" s="169" t="str">
        <f t="shared" si="10"/>
        <v/>
      </c>
      <c r="AG699" s="169"/>
      <c r="AH699" s="169" t="str">
        <f t="shared" si="11"/>
        <v/>
      </c>
      <c r="AI699" s="169"/>
      <c r="AJ699" s="169" t="str">
        <f t="shared" si="12"/>
        <v/>
      </c>
    </row>
    <row r="700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 t="str">
        <f t="shared" si="2"/>
        <v/>
      </c>
      <c r="Q700" s="169"/>
      <c r="R700" s="169" t="str">
        <f t="shared" si="3"/>
        <v/>
      </c>
      <c r="S700" s="169"/>
      <c r="T700" s="169" t="str">
        <f t="shared" si="4"/>
        <v/>
      </c>
      <c r="U700" s="169"/>
      <c r="V700" s="169" t="str">
        <f t="shared" si="5"/>
        <v/>
      </c>
      <c r="W700" s="169"/>
      <c r="X700" s="169" t="str">
        <f t="shared" si="6"/>
        <v/>
      </c>
      <c r="Y700" s="169"/>
      <c r="Z700" s="169" t="str">
        <f t="shared" si="7"/>
        <v/>
      </c>
      <c r="AA700" s="169"/>
      <c r="AB700" s="169" t="str">
        <f t="shared" si="8"/>
        <v/>
      </c>
      <c r="AC700" s="169"/>
      <c r="AD700" s="169" t="str">
        <f t="shared" si="9"/>
        <v/>
      </c>
      <c r="AE700" s="169"/>
      <c r="AF700" s="169" t="str">
        <f t="shared" si="10"/>
        <v/>
      </c>
      <c r="AG700" s="169"/>
      <c r="AH700" s="169" t="str">
        <f t="shared" si="11"/>
        <v/>
      </c>
      <c r="AI700" s="169"/>
      <c r="AJ700" s="169" t="str">
        <f t="shared" si="12"/>
        <v/>
      </c>
    </row>
    <row r="70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 t="str">
        <f t="shared" si="2"/>
        <v/>
      </c>
      <c r="Q701" s="169"/>
      <c r="R701" s="169" t="str">
        <f t="shared" si="3"/>
        <v/>
      </c>
      <c r="S701" s="169"/>
      <c r="T701" s="169" t="str">
        <f t="shared" si="4"/>
        <v/>
      </c>
      <c r="U701" s="169"/>
      <c r="V701" s="169" t="str">
        <f t="shared" si="5"/>
        <v/>
      </c>
      <c r="W701" s="169"/>
      <c r="X701" s="169" t="str">
        <f t="shared" si="6"/>
        <v/>
      </c>
      <c r="Y701" s="169"/>
      <c r="Z701" s="169" t="str">
        <f t="shared" si="7"/>
        <v/>
      </c>
      <c r="AA701" s="169"/>
      <c r="AB701" s="169" t="str">
        <f t="shared" si="8"/>
        <v/>
      </c>
      <c r="AC701" s="169"/>
      <c r="AD701" s="169" t="str">
        <f t="shared" si="9"/>
        <v/>
      </c>
      <c r="AE701" s="169"/>
      <c r="AF701" s="169" t="str">
        <f t="shared" si="10"/>
        <v/>
      </c>
      <c r="AG701" s="169"/>
      <c r="AH701" s="169" t="str">
        <f t="shared" si="11"/>
        <v/>
      </c>
      <c r="AI701" s="169"/>
      <c r="AJ701" s="169" t="str">
        <f t="shared" si="12"/>
        <v/>
      </c>
    </row>
    <row r="70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 t="str">
        <f t="shared" si="2"/>
        <v/>
      </c>
      <c r="Q702" s="169"/>
      <c r="R702" s="169" t="str">
        <f t="shared" si="3"/>
        <v/>
      </c>
      <c r="S702" s="169"/>
      <c r="T702" s="169" t="str">
        <f t="shared" si="4"/>
        <v/>
      </c>
      <c r="U702" s="169"/>
      <c r="V702" s="169" t="str">
        <f t="shared" si="5"/>
        <v/>
      </c>
      <c r="W702" s="169"/>
      <c r="X702" s="169" t="str">
        <f t="shared" si="6"/>
        <v/>
      </c>
      <c r="Y702" s="169"/>
      <c r="Z702" s="169" t="str">
        <f t="shared" si="7"/>
        <v/>
      </c>
      <c r="AA702" s="169"/>
      <c r="AB702" s="169" t="str">
        <f t="shared" si="8"/>
        <v/>
      </c>
      <c r="AC702" s="169"/>
      <c r="AD702" s="169" t="str">
        <f t="shared" si="9"/>
        <v/>
      </c>
      <c r="AE702" s="169"/>
      <c r="AF702" s="169" t="str">
        <f t="shared" si="10"/>
        <v/>
      </c>
      <c r="AG702" s="169"/>
      <c r="AH702" s="169" t="str">
        <f t="shared" si="11"/>
        <v/>
      </c>
      <c r="AI702" s="169"/>
      <c r="AJ702" s="169" t="str">
        <f t="shared" si="12"/>
        <v/>
      </c>
    </row>
    <row r="703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 t="str">
        <f t="shared" si="2"/>
        <v/>
      </c>
      <c r="Q703" s="169"/>
      <c r="R703" s="169" t="str">
        <f t="shared" si="3"/>
        <v/>
      </c>
      <c r="S703" s="169"/>
      <c r="T703" s="169" t="str">
        <f t="shared" si="4"/>
        <v/>
      </c>
      <c r="U703" s="169"/>
      <c r="V703" s="169" t="str">
        <f t="shared" si="5"/>
        <v/>
      </c>
      <c r="W703" s="169"/>
      <c r="X703" s="169" t="str">
        <f t="shared" si="6"/>
        <v/>
      </c>
      <c r="Y703" s="169"/>
      <c r="Z703" s="169" t="str">
        <f t="shared" si="7"/>
        <v/>
      </c>
      <c r="AA703" s="169"/>
      <c r="AB703" s="169" t="str">
        <f t="shared" si="8"/>
        <v/>
      </c>
      <c r="AC703" s="169"/>
      <c r="AD703" s="169" t="str">
        <f t="shared" si="9"/>
        <v/>
      </c>
      <c r="AE703" s="169"/>
      <c r="AF703" s="169" t="str">
        <f t="shared" si="10"/>
        <v/>
      </c>
      <c r="AG703" s="169"/>
      <c r="AH703" s="169" t="str">
        <f t="shared" si="11"/>
        <v/>
      </c>
      <c r="AI703" s="169"/>
      <c r="AJ703" s="169" t="str">
        <f t="shared" si="12"/>
        <v/>
      </c>
    </row>
    <row r="704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 t="str">
        <f t="shared" si="2"/>
        <v/>
      </c>
      <c r="Q704" s="169"/>
      <c r="R704" s="169" t="str">
        <f t="shared" si="3"/>
        <v/>
      </c>
      <c r="S704" s="169"/>
      <c r="T704" s="169" t="str">
        <f t="shared" si="4"/>
        <v/>
      </c>
      <c r="U704" s="169"/>
      <c r="V704" s="169" t="str">
        <f t="shared" si="5"/>
        <v/>
      </c>
      <c r="W704" s="169"/>
      <c r="X704" s="169" t="str">
        <f t="shared" si="6"/>
        <v/>
      </c>
      <c r="Y704" s="169"/>
      <c r="Z704" s="169" t="str">
        <f t="shared" si="7"/>
        <v/>
      </c>
      <c r="AA704" s="169"/>
      <c r="AB704" s="169" t="str">
        <f t="shared" si="8"/>
        <v/>
      </c>
      <c r="AC704" s="169"/>
      <c r="AD704" s="169" t="str">
        <f t="shared" si="9"/>
        <v/>
      </c>
      <c r="AE704" s="169"/>
      <c r="AF704" s="169" t="str">
        <f t="shared" si="10"/>
        <v/>
      </c>
      <c r="AG704" s="169"/>
      <c r="AH704" s="169" t="str">
        <f t="shared" si="11"/>
        <v/>
      </c>
      <c r="AI704" s="169"/>
      <c r="AJ704" s="169" t="str">
        <f t="shared" si="12"/>
        <v/>
      </c>
    </row>
    <row r="70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 t="str">
        <f t="shared" si="2"/>
        <v/>
      </c>
      <c r="Q705" s="169"/>
      <c r="R705" s="169" t="str">
        <f t="shared" si="3"/>
        <v/>
      </c>
      <c r="S705" s="169"/>
      <c r="T705" s="169" t="str">
        <f t="shared" si="4"/>
        <v/>
      </c>
      <c r="U705" s="169"/>
      <c r="V705" s="169" t="str">
        <f t="shared" si="5"/>
        <v/>
      </c>
      <c r="W705" s="169"/>
      <c r="X705" s="169" t="str">
        <f t="shared" si="6"/>
        <v/>
      </c>
      <c r="Y705" s="169"/>
      <c r="Z705" s="169" t="str">
        <f t="shared" si="7"/>
        <v/>
      </c>
      <c r="AA705" s="169"/>
      <c r="AB705" s="169" t="str">
        <f t="shared" si="8"/>
        <v/>
      </c>
      <c r="AC705" s="169"/>
      <c r="AD705" s="169" t="str">
        <f t="shared" si="9"/>
        <v/>
      </c>
      <c r="AE705" s="169"/>
      <c r="AF705" s="169" t="str">
        <f t="shared" si="10"/>
        <v/>
      </c>
      <c r="AG705" s="169"/>
      <c r="AH705" s="169" t="str">
        <f t="shared" si="11"/>
        <v/>
      </c>
      <c r="AI705" s="169"/>
      <c r="AJ705" s="169" t="str">
        <f t="shared" si="12"/>
        <v/>
      </c>
    </row>
    <row r="706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 t="str">
        <f t="shared" si="2"/>
        <v/>
      </c>
      <c r="Q706" s="169"/>
      <c r="R706" s="169" t="str">
        <f t="shared" si="3"/>
        <v/>
      </c>
      <c r="S706" s="169"/>
      <c r="T706" s="169" t="str">
        <f t="shared" si="4"/>
        <v/>
      </c>
      <c r="U706" s="169"/>
      <c r="V706" s="169" t="str">
        <f t="shared" si="5"/>
        <v/>
      </c>
      <c r="W706" s="169"/>
      <c r="X706" s="169" t="str">
        <f t="shared" si="6"/>
        <v/>
      </c>
      <c r="Y706" s="169"/>
      <c r="Z706" s="169" t="str">
        <f t="shared" si="7"/>
        <v/>
      </c>
      <c r="AA706" s="169"/>
      <c r="AB706" s="169" t="str">
        <f t="shared" si="8"/>
        <v/>
      </c>
      <c r="AC706" s="169"/>
      <c r="AD706" s="169" t="str">
        <f t="shared" si="9"/>
        <v/>
      </c>
      <c r="AE706" s="169"/>
      <c r="AF706" s="169" t="str">
        <f t="shared" si="10"/>
        <v/>
      </c>
      <c r="AG706" s="169"/>
      <c r="AH706" s="169" t="str">
        <f t="shared" si="11"/>
        <v/>
      </c>
      <c r="AI706" s="169"/>
      <c r="AJ706" s="169" t="str">
        <f t="shared" si="12"/>
        <v/>
      </c>
    </row>
    <row r="707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 t="str">
        <f t="shared" si="2"/>
        <v/>
      </c>
      <c r="Q707" s="169"/>
      <c r="R707" s="169" t="str">
        <f t="shared" si="3"/>
        <v/>
      </c>
      <c r="S707" s="169"/>
      <c r="T707" s="169" t="str">
        <f t="shared" si="4"/>
        <v/>
      </c>
      <c r="U707" s="169"/>
      <c r="V707" s="169" t="str">
        <f t="shared" si="5"/>
        <v/>
      </c>
      <c r="W707" s="169"/>
      <c r="X707" s="169" t="str">
        <f t="shared" si="6"/>
        <v/>
      </c>
      <c r="Y707" s="169"/>
      <c r="Z707" s="169" t="str">
        <f t="shared" si="7"/>
        <v/>
      </c>
      <c r="AA707" s="169"/>
      <c r="AB707" s="169" t="str">
        <f t="shared" si="8"/>
        <v/>
      </c>
      <c r="AC707" s="169"/>
      <c r="AD707" s="169" t="str">
        <f t="shared" si="9"/>
        <v/>
      </c>
      <c r="AE707" s="169"/>
      <c r="AF707" s="169" t="str">
        <f t="shared" si="10"/>
        <v/>
      </c>
      <c r="AG707" s="169"/>
      <c r="AH707" s="169" t="str">
        <f t="shared" si="11"/>
        <v/>
      </c>
      <c r="AI707" s="169"/>
      <c r="AJ707" s="169" t="str">
        <f t="shared" si="12"/>
        <v/>
      </c>
    </row>
    <row r="708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 t="str">
        <f t="shared" si="2"/>
        <v/>
      </c>
      <c r="Q708" s="169"/>
      <c r="R708" s="169" t="str">
        <f t="shared" si="3"/>
        <v/>
      </c>
      <c r="S708" s="169"/>
      <c r="T708" s="169" t="str">
        <f t="shared" si="4"/>
        <v/>
      </c>
      <c r="U708" s="169"/>
      <c r="V708" s="169" t="str">
        <f t="shared" si="5"/>
        <v/>
      </c>
      <c r="W708" s="169"/>
      <c r="X708" s="169" t="str">
        <f t="shared" si="6"/>
        <v/>
      </c>
      <c r="Y708" s="169"/>
      <c r="Z708" s="169" t="str">
        <f t="shared" si="7"/>
        <v/>
      </c>
      <c r="AA708" s="169"/>
      <c r="AB708" s="169" t="str">
        <f t="shared" si="8"/>
        <v/>
      </c>
      <c r="AC708" s="169"/>
      <c r="AD708" s="169" t="str">
        <f t="shared" si="9"/>
        <v/>
      </c>
      <c r="AE708" s="169"/>
      <c r="AF708" s="169" t="str">
        <f t="shared" si="10"/>
        <v/>
      </c>
      <c r="AG708" s="169"/>
      <c r="AH708" s="169" t="str">
        <f t="shared" si="11"/>
        <v/>
      </c>
      <c r="AI708" s="169"/>
      <c r="AJ708" s="169" t="str">
        <f t="shared" si="12"/>
        <v/>
      </c>
    </row>
    <row r="709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 t="str">
        <f t="shared" si="2"/>
        <v/>
      </c>
      <c r="Q709" s="169"/>
      <c r="R709" s="169" t="str">
        <f t="shared" si="3"/>
        <v/>
      </c>
      <c r="S709" s="169"/>
      <c r="T709" s="169" t="str">
        <f t="shared" si="4"/>
        <v/>
      </c>
      <c r="U709" s="169"/>
      <c r="V709" s="169" t="str">
        <f t="shared" si="5"/>
        <v/>
      </c>
      <c r="W709" s="169"/>
      <c r="X709" s="169" t="str">
        <f t="shared" si="6"/>
        <v/>
      </c>
      <c r="Y709" s="169"/>
      <c r="Z709" s="169" t="str">
        <f t="shared" si="7"/>
        <v/>
      </c>
      <c r="AA709" s="169"/>
      <c r="AB709" s="169" t="str">
        <f t="shared" si="8"/>
        <v/>
      </c>
      <c r="AC709" s="169"/>
      <c r="AD709" s="169" t="str">
        <f t="shared" si="9"/>
        <v/>
      </c>
      <c r="AE709" s="169"/>
      <c r="AF709" s="169" t="str">
        <f t="shared" si="10"/>
        <v/>
      </c>
      <c r="AG709" s="169"/>
      <c r="AH709" s="169" t="str">
        <f t="shared" si="11"/>
        <v/>
      </c>
      <c r="AI709" s="169"/>
      <c r="AJ709" s="169" t="str">
        <f t="shared" si="12"/>
        <v/>
      </c>
    </row>
    <row r="710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 t="str">
        <f t="shared" si="2"/>
        <v/>
      </c>
      <c r="Q710" s="169"/>
      <c r="R710" s="169" t="str">
        <f t="shared" si="3"/>
        <v/>
      </c>
      <c r="S710" s="169"/>
      <c r="T710" s="169" t="str">
        <f t="shared" si="4"/>
        <v/>
      </c>
      <c r="U710" s="169"/>
      <c r="V710" s="169" t="str">
        <f t="shared" si="5"/>
        <v/>
      </c>
      <c r="W710" s="169"/>
      <c r="X710" s="169" t="str">
        <f t="shared" si="6"/>
        <v/>
      </c>
      <c r="Y710" s="169"/>
      <c r="Z710" s="169" t="str">
        <f t="shared" si="7"/>
        <v/>
      </c>
      <c r="AA710" s="169"/>
      <c r="AB710" s="169" t="str">
        <f t="shared" si="8"/>
        <v/>
      </c>
      <c r="AC710" s="169"/>
      <c r="AD710" s="169" t="str">
        <f t="shared" si="9"/>
        <v/>
      </c>
      <c r="AE710" s="169"/>
      <c r="AF710" s="169" t="str">
        <f t="shared" si="10"/>
        <v/>
      </c>
      <c r="AG710" s="169"/>
      <c r="AH710" s="169" t="str">
        <f t="shared" si="11"/>
        <v/>
      </c>
      <c r="AI710" s="169"/>
      <c r="AJ710" s="169" t="str">
        <f t="shared" si="12"/>
        <v/>
      </c>
    </row>
    <row r="71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 t="str">
        <f t="shared" si="2"/>
        <v/>
      </c>
      <c r="Q711" s="169"/>
      <c r="R711" s="169" t="str">
        <f t="shared" si="3"/>
        <v/>
      </c>
      <c r="S711" s="169"/>
      <c r="T711" s="169" t="str">
        <f t="shared" si="4"/>
        <v/>
      </c>
      <c r="U711" s="169"/>
      <c r="V711" s="169" t="str">
        <f t="shared" si="5"/>
        <v/>
      </c>
      <c r="W711" s="169"/>
      <c r="X711" s="169" t="str">
        <f t="shared" si="6"/>
        <v/>
      </c>
      <c r="Y711" s="169"/>
      <c r="Z711" s="169" t="str">
        <f t="shared" si="7"/>
        <v/>
      </c>
      <c r="AA711" s="169"/>
      <c r="AB711" s="169" t="str">
        <f t="shared" si="8"/>
        <v/>
      </c>
      <c r="AC711" s="169"/>
      <c r="AD711" s="169" t="str">
        <f t="shared" si="9"/>
        <v/>
      </c>
      <c r="AE711" s="169"/>
      <c r="AF711" s="169" t="str">
        <f t="shared" si="10"/>
        <v/>
      </c>
      <c r="AG711" s="169"/>
      <c r="AH711" s="169" t="str">
        <f t="shared" si="11"/>
        <v/>
      </c>
      <c r="AI711" s="169"/>
      <c r="AJ711" s="169" t="str">
        <f t="shared" si="12"/>
        <v/>
      </c>
    </row>
    <row r="71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 t="str">
        <f t="shared" si="2"/>
        <v/>
      </c>
      <c r="Q712" s="169"/>
      <c r="R712" s="169" t="str">
        <f t="shared" si="3"/>
        <v/>
      </c>
      <c r="S712" s="169"/>
      <c r="T712" s="169" t="str">
        <f t="shared" si="4"/>
        <v/>
      </c>
      <c r="U712" s="169"/>
      <c r="V712" s="169" t="str">
        <f t="shared" si="5"/>
        <v/>
      </c>
      <c r="W712" s="169"/>
      <c r="X712" s="169" t="str">
        <f t="shared" si="6"/>
        <v/>
      </c>
      <c r="Y712" s="169"/>
      <c r="Z712" s="169" t="str">
        <f t="shared" si="7"/>
        <v/>
      </c>
      <c r="AA712" s="169"/>
      <c r="AB712" s="169" t="str">
        <f t="shared" si="8"/>
        <v/>
      </c>
      <c r="AC712" s="169"/>
      <c r="AD712" s="169" t="str">
        <f t="shared" si="9"/>
        <v/>
      </c>
      <c r="AE712" s="169"/>
      <c r="AF712" s="169" t="str">
        <f t="shared" si="10"/>
        <v/>
      </c>
      <c r="AG712" s="169"/>
      <c r="AH712" s="169" t="str">
        <f t="shared" si="11"/>
        <v/>
      </c>
      <c r="AI712" s="169"/>
      <c r="AJ712" s="169" t="str">
        <f t="shared" si="12"/>
        <v/>
      </c>
    </row>
    <row r="713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 t="str">
        <f t="shared" si="2"/>
        <v/>
      </c>
      <c r="Q713" s="169"/>
      <c r="R713" s="169" t="str">
        <f t="shared" si="3"/>
        <v/>
      </c>
      <c r="S713" s="169"/>
      <c r="T713" s="169" t="str">
        <f t="shared" si="4"/>
        <v/>
      </c>
      <c r="U713" s="169"/>
      <c r="V713" s="169" t="str">
        <f t="shared" si="5"/>
        <v/>
      </c>
      <c r="W713" s="169"/>
      <c r="X713" s="169" t="str">
        <f t="shared" si="6"/>
        <v/>
      </c>
      <c r="Y713" s="169"/>
      <c r="Z713" s="169" t="str">
        <f t="shared" si="7"/>
        <v/>
      </c>
      <c r="AA713" s="169"/>
      <c r="AB713" s="169" t="str">
        <f t="shared" si="8"/>
        <v/>
      </c>
      <c r="AC713" s="169"/>
      <c r="AD713" s="169" t="str">
        <f t="shared" si="9"/>
        <v/>
      </c>
      <c r="AE713" s="169"/>
      <c r="AF713" s="169" t="str">
        <f t="shared" si="10"/>
        <v/>
      </c>
      <c r="AG713" s="169"/>
      <c r="AH713" s="169" t="str">
        <f t="shared" si="11"/>
        <v/>
      </c>
      <c r="AI713" s="169"/>
      <c r="AJ713" s="169" t="str">
        <f t="shared" si="12"/>
        <v/>
      </c>
    </row>
    <row r="714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 t="str">
        <f t="shared" si="2"/>
        <v/>
      </c>
      <c r="Q714" s="169"/>
      <c r="R714" s="169" t="str">
        <f t="shared" si="3"/>
        <v/>
      </c>
      <c r="S714" s="169"/>
      <c r="T714" s="169" t="str">
        <f t="shared" si="4"/>
        <v/>
      </c>
      <c r="U714" s="169"/>
      <c r="V714" s="169" t="str">
        <f t="shared" si="5"/>
        <v/>
      </c>
      <c r="W714" s="169"/>
      <c r="X714" s="169" t="str">
        <f t="shared" si="6"/>
        <v/>
      </c>
      <c r="Y714" s="169"/>
      <c r="Z714" s="169" t="str">
        <f t="shared" si="7"/>
        <v/>
      </c>
      <c r="AA714" s="169"/>
      <c r="AB714" s="169" t="str">
        <f t="shared" si="8"/>
        <v/>
      </c>
      <c r="AC714" s="169"/>
      <c r="AD714" s="169" t="str">
        <f t="shared" si="9"/>
        <v/>
      </c>
      <c r="AE714" s="169"/>
      <c r="AF714" s="169" t="str">
        <f t="shared" si="10"/>
        <v/>
      </c>
      <c r="AG714" s="169"/>
      <c r="AH714" s="169" t="str">
        <f t="shared" si="11"/>
        <v/>
      </c>
      <c r="AI714" s="169"/>
      <c r="AJ714" s="169" t="str">
        <f t="shared" si="12"/>
        <v/>
      </c>
    </row>
    <row r="71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 t="str">
        <f t="shared" si="2"/>
        <v/>
      </c>
      <c r="Q715" s="169"/>
      <c r="R715" s="169" t="str">
        <f t="shared" si="3"/>
        <v/>
      </c>
      <c r="S715" s="169"/>
      <c r="T715" s="169" t="str">
        <f t="shared" si="4"/>
        <v/>
      </c>
      <c r="U715" s="169"/>
      <c r="V715" s="169" t="str">
        <f t="shared" si="5"/>
        <v/>
      </c>
      <c r="W715" s="169"/>
      <c r="X715" s="169" t="str">
        <f t="shared" si="6"/>
        <v/>
      </c>
      <c r="Y715" s="169"/>
      <c r="Z715" s="169" t="str">
        <f t="shared" si="7"/>
        <v/>
      </c>
      <c r="AA715" s="169"/>
      <c r="AB715" s="169" t="str">
        <f t="shared" si="8"/>
        <v/>
      </c>
      <c r="AC715" s="169"/>
      <c r="AD715" s="169" t="str">
        <f t="shared" si="9"/>
        <v/>
      </c>
      <c r="AE715" s="169"/>
      <c r="AF715" s="169" t="str">
        <f t="shared" si="10"/>
        <v/>
      </c>
      <c r="AG715" s="169"/>
      <c r="AH715" s="169" t="str">
        <f t="shared" si="11"/>
        <v/>
      </c>
      <c r="AI715" s="169"/>
      <c r="AJ715" s="169" t="str">
        <f t="shared" si="12"/>
        <v/>
      </c>
    </row>
    <row r="716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 t="str">
        <f t="shared" si="2"/>
        <v/>
      </c>
      <c r="Q716" s="169"/>
      <c r="R716" s="169" t="str">
        <f t="shared" si="3"/>
        <v/>
      </c>
      <c r="S716" s="169"/>
      <c r="T716" s="169" t="str">
        <f t="shared" si="4"/>
        <v/>
      </c>
      <c r="U716" s="169"/>
      <c r="V716" s="169" t="str">
        <f t="shared" si="5"/>
        <v/>
      </c>
      <c r="W716" s="169"/>
      <c r="X716" s="169" t="str">
        <f t="shared" si="6"/>
        <v/>
      </c>
      <c r="Y716" s="169"/>
      <c r="Z716" s="169" t="str">
        <f t="shared" si="7"/>
        <v/>
      </c>
      <c r="AA716" s="169"/>
      <c r="AB716" s="169" t="str">
        <f t="shared" si="8"/>
        <v/>
      </c>
      <c r="AC716" s="169"/>
      <c r="AD716" s="169" t="str">
        <f t="shared" si="9"/>
        <v/>
      </c>
      <c r="AE716" s="169"/>
      <c r="AF716" s="169" t="str">
        <f t="shared" si="10"/>
        <v/>
      </c>
      <c r="AG716" s="169"/>
      <c r="AH716" s="169" t="str">
        <f t="shared" si="11"/>
        <v/>
      </c>
      <c r="AI716" s="169"/>
      <c r="AJ716" s="169" t="str">
        <f t="shared" si="12"/>
        <v/>
      </c>
    </row>
    <row r="717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 t="str">
        <f t="shared" si="2"/>
        <v/>
      </c>
      <c r="Q717" s="169"/>
      <c r="R717" s="169" t="str">
        <f t="shared" si="3"/>
        <v/>
      </c>
      <c r="S717" s="169"/>
      <c r="T717" s="169" t="str">
        <f t="shared" si="4"/>
        <v/>
      </c>
      <c r="U717" s="169"/>
      <c r="V717" s="169" t="str">
        <f t="shared" si="5"/>
        <v/>
      </c>
      <c r="W717" s="169"/>
      <c r="X717" s="169" t="str">
        <f t="shared" si="6"/>
        <v/>
      </c>
      <c r="Y717" s="169"/>
      <c r="Z717" s="169" t="str">
        <f t="shared" si="7"/>
        <v/>
      </c>
      <c r="AA717" s="169"/>
      <c r="AB717" s="169" t="str">
        <f t="shared" si="8"/>
        <v/>
      </c>
      <c r="AC717" s="169"/>
      <c r="AD717" s="169" t="str">
        <f t="shared" si="9"/>
        <v/>
      </c>
      <c r="AE717" s="169"/>
      <c r="AF717" s="169" t="str">
        <f t="shared" si="10"/>
        <v/>
      </c>
      <c r="AG717" s="169"/>
      <c r="AH717" s="169" t="str">
        <f t="shared" si="11"/>
        <v/>
      </c>
      <c r="AI717" s="169"/>
      <c r="AJ717" s="169" t="str">
        <f t="shared" si="12"/>
        <v/>
      </c>
    </row>
    <row r="718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 t="str">
        <f t="shared" si="2"/>
        <v/>
      </c>
      <c r="Q718" s="169"/>
      <c r="R718" s="169" t="str">
        <f t="shared" si="3"/>
        <v/>
      </c>
      <c r="S718" s="169"/>
      <c r="T718" s="169" t="str">
        <f t="shared" si="4"/>
        <v/>
      </c>
      <c r="U718" s="169"/>
      <c r="V718" s="169" t="str">
        <f t="shared" si="5"/>
        <v/>
      </c>
      <c r="W718" s="169"/>
      <c r="X718" s="169" t="str">
        <f t="shared" si="6"/>
        <v/>
      </c>
      <c r="Y718" s="169"/>
      <c r="Z718" s="169" t="str">
        <f t="shared" si="7"/>
        <v/>
      </c>
      <c r="AA718" s="169"/>
      <c r="AB718" s="169" t="str">
        <f t="shared" si="8"/>
        <v/>
      </c>
      <c r="AC718" s="169"/>
      <c r="AD718" s="169" t="str">
        <f t="shared" si="9"/>
        <v/>
      </c>
      <c r="AE718" s="169"/>
      <c r="AF718" s="169" t="str">
        <f t="shared" si="10"/>
        <v/>
      </c>
      <c r="AG718" s="169"/>
      <c r="AH718" s="169" t="str">
        <f t="shared" si="11"/>
        <v/>
      </c>
      <c r="AI718" s="169"/>
      <c r="AJ718" s="169" t="str">
        <f t="shared" si="12"/>
        <v/>
      </c>
    </row>
    <row r="719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 t="str">
        <f t="shared" si="2"/>
        <v/>
      </c>
      <c r="Q719" s="169"/>
      <c r="R719" s="169" t="str">
        <f t="shared" si="3"/>
        <v/>
      </c>
      <c r="S719" s="169"/>
      <c r="T719" s="169" t="str">
        <f t="shared" si="4"/>
        <v/>
      </c>
      <c r="U719" s="169"/>
      <c r="V719" s="169" t="str">
        <f t="shared" si="5"/>
        <v/>
      </c>
      <c r="W719" s="169"/>
      <c r="X719" s="169" t="str">
        <f t="shared" si="6"/>
        <v/>
      </c>
      <c r="Y719" s="169"/>
      <c r="Z719" s="169" t="str">
        <f t="shared" si="7"/>
        <v/>
      </c>
      <c r="AA719" s="169"/>
      <c r="AB719" s="169" t="str">
        <f t="shared" si="8"/>
        <v/>
      </c>
      <c r="AC719" s="169"/>
      <c r="AD719" s="169" t="str">
        <f t="shared" si="9"/>
        <v/>
      </c>
      <c r="AE719" s="169"/>
      <c r="AF719" s="169" t="str">
        <f t="shared" si="10"/>
        <v/>
      </c>
      <c r="AG719" s="169"/>
      <c r="AH719" s="169" t="str">
        <f t="shared" si="11"/>
        <v/>
      </c>
      <c r="AI719" s="169"/>
      <c r="AJ719" s="169" t="str">
        <f t="shared" si="12"/>
        <v/>
      </c>
    </row>
    <row r="720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 t="str">
        <f t="shared" si="2"/>
        <v/>
      </c>
      <c r="Q720" s="169"/>
      <c r="R720" s="169" t="str">
        <f t="shared" si="3"/>
        <v/>
      </c>
      <c r="S720" s="169"/>
      <c r="T720" s="169" t="str">
        <f t="shared" si="4"/>
        <v/>
      </c>
      <c r="U720" s="169"/>
      <c r="V720" s="169" t="str">
        <f t="shared" si="5"/>
        <v/>
      </c>
      <c r="W720" s="169"/>
      <c r="X720" s="169" t="str">
        <f t="shared" si="6"/>
        <v/>
      </c>
      <c r="Y720" s="169"/>
      <c r="Z720" s="169" t="str">
        <f t="shared" si="7"/>
        <v/>
      </c>
      <c r="AA720" s="169"/>
      <c r="AB720" s="169" t="str">
        <f t="shared" si="8"/>
        <v/>
      </c>
      <c r="AC720" s="169"/>
      <c r="AD720" s="169" t="str">
        <f t="shared" si="9"/>
        <v/>
      </c>
      <c r="AE720" s="169"/>
      <c r="AF720" s="169" t="str">
        <f t="shared" si="10"/>
        <v/>
      </c>
      <c r="AG720" s="169"/>
      <c r="AH720" s="169" t="str">
        <f t="shared" si="11"/>
        <v/>
      </c>
      <c r="AI720" s="169"/>
      <c r="AJ720" s="169" t="str">
        <f t="shared" si="12"/>
        <v/>
      </c>
    </row>
    <row r="72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 t="str">
        <f t="shared" si="2"/>
        <v/>
      </c>
      <c r="Q721" s="169"/>
      <c r="R721" s="169" t="str">
        <f t="shared" si="3"/>
        <v/>
      </c>
      <c r="S721" s="169"/>
      <c r="T721" s="169" t="str">
        <f t="shared" si="4"/>
        <v/>
      </c>
      <c r="U721" s="169"/>
      <c r="V721" s="169" t="str">
        <f t="shared" si="5"/>
        <v/>
      </c>
      <c r="W721" s="169"/>
      <c r="X721" s="169" t="str">
        <f t="shared" si="6"/>
        <v/>
      </c>
      <c r="Y721" s="169"/>
      <c r="Z721" s="169" t="str">
        <f t="shared" si="7"/>
        <v/>
      </c>
      <c r="AA721" s="169"/>
      <c r="AB721" s="169" t="str">
        <f t="shared" si="8"/>
        <v/>
      </c>
      <c r="AC721" s="169"/>
      <c r="AD721" s="169" t="str">
        <f t="shared" si="9"/>
        <v/>
      </c>
      <c r="AE721" s="169"/>
      <c r="AF721" s="169" t="str">
        <f t="shared" si="10"/>
        <v/>
      </c>
      <c r="AG721" s="169"/>
      <c r="AH721" s="169" t="str">
        <f t="shared" si="11"/>
        <v/>
      </c>
      <c r="AI721" s="169"/>
      <c r="AJ721" s="169" t="str">
        <f t="shared" si="12"/>
        <v/>
      </c>
    </row>
    <row r="72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 t="str">
        <f t="shared" si="2"/>
        <v/>
      </c>
      <c r="Q722" s="169"/>
      <c r="R722" s="169" t="str">
        <f t="shared" si="3"/>
        <v/>
      </c>
      <c r="S722" s="169"/>
      <c r="T722" s="169" t="str">
        <f t="shared" si="4"/>
        <v/>
      </c>
      <c r="U722" s="169"/>
      <c r="V722" s="169" t="str">
        <f t="shared" si="5"/>
        <v/>
      </c>
      <c r="W722" s="169"/>
      <c r="X722" s="169" t="str">
        <f t="shared" si="6"/>
        <v/>
      </c>
      <c r="Y722" s="169"/>
      <c r="Z722" s="169" t="str">
        <f t="shared" si="7"/>
        <v/>
      </c>
      <c r="AA722" s="169"/>
      <c r="AB722" s="169" t="str">
        <f t="shared" si="8"/>
        <v/>
      </c>
      <c r="AC722" s="169"/>
      <c r="AD722" s="169" t="str">
        <f t="shared" si="9"/>
        <v/>
      </c>
      <c r="AE722" s="169"/>
      <c r="AF722" s="169" t="str">
        <f t="shared" si="10"/>
        <v/>
      </c>
      <c r="AG722" s="169"/>
      <c r="AH722" s="169" t="str">
        <f t="shared" si="11"/>
        <v/>
      </c>
      <c r="AI722" s="169"/>
      <c r="AJ722" s="169" t="str">
        <f t="shared" si="12"/>
        <v/>
      </c>
    </row>
    <row r="723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 t="str">
        <f t="shared" si="2"/>
        <v/>
      </c>
      <c r="Q723" s="169"/>
      <c r="R723" s="169" t="str">
        <f t="shared" si="3"/>
        <v/>
      </c>
      <c r="S723" s="169"/>
      <c r="T723" s="169" t="str">
        <f t="shared" si="4"/>
        <v/>
      </c>
      <c r="U723" s="169"/>
      <c r="V723" s="169" t="str">
        <f t="shared" si="5"/>
        <v/>
      </c>
      <c r="W723" s="169"/>
      <c r="X723" s="169" t="str">
        <f t="shared" si="6"/>
        <v/>
      </c>
      <c r="Y723" s="169"/>
      <c r="Z723" s="169" t="str">
        <f t="shared" si="7"/>
        <v/>
      </c>
      <c r="AA723" s="169"/>
      <c r="AB723" s="169" t="str">
        <f t="shared" si="8"/>
        <v/>
      </c>
      <c r="AC723" s="169"/>
      <c r="AD723" s="169" t="str">
        <f t="shared" si="9"/>
        <v/>
      </c>
      <c r="AE723" s="169"/>
      <c r="AF723" s="169" t="str">
        <f t="shared" si="10"/>
        <v/>
      </c>
      <c r="AG723" s="169"/>
      <c r="AH723" s="169" t="str">
        <f t="shared" si="11"/>
        <v/>
      </c>
      <c r="AI723" s="169"/>
      <c r="AJ723" s="169" t="str">
        <f t="shared" si="12"/>
        <v/>
      </c>
    </row>
    <row r="724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 t="str">
        <f t="shared" si="2"/>
        <v/>
      </c>
      <c r="Q724" s="169"/>
      <c r="R724" s="169" t="str">
        <f t="shared" si="3"/>
        <v/>
      </c>
      <c r="S724" s="169"/>
      <c r="T724" s="169" t="str">
        <f t="shared" si="4"/>
        <v/>
      </c>
      <c r="U724" s="169"/>
      <c r="V724" s="169" t="str">
        <f t="shared" si="5"/>
        <v/>
      </c>
      <c r="W724" s="169"/>
      <c r="X724" s="169" t="str">
        <f t="shared" si="6"/>
        <v/>
      </c>
      <c r="Y724" s="169"/>
      <c r="Z724" s="169" t="str">
        <f t="shared" si="7"/>
        <v/>
      </c>
      <c r="AA724" s="169"/>
      <c r="AB724" s="169" t="str">
        <f t="shared" si="8"/>
        <v/>
      </c>
      <c r="AC724" s="169"/>
      <c r="AD724" s="169" t="str">
        <f t="shared" si="9"/>
        <v/>
      </c>
      <c r="AE724" s="169"/>
      <c r="AF724" s="169" t="str">
        <f t="shared" si="10"/>
        <v/>
      </c>
      <c r="AG724" s="169"/>
      <c r="AH724" s="169" t="str">
        <f t="shared" si="11"/>
        <v/>
      </c>
      <c r="AI724" s="169"/>
      <c r="AJ724" s="169" t="str">
        <f t="shared" si="12"/>
        <v/>
      </c>
    </row>
    <row r="7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 t="str">
        <f t="shared" si="2"/>
        <v/>
      </c>
      <c r="Q725" s="169"/>
      <c r="R725" s="169" t="str">
        <f t="shared" si="3"/>
        <v/>
      </c>
      <c r="S725" s="169"/>
      <c r="T725" s="169" t="str">
        <f t="shared" si="4"/>
        <v/>
      </c>
      <c r="U725" s="169"/>
      <c r="V725" s="169" t="str">
        <f t="shared" si="5"/>
        <v/>
      </c>
      <c r="W725" s="169"/>
      <c r="X725" s="169" t="str">
        <f t="shared" si="6"/>
        <v/>
      </c>
      <c r="Y725" s="169"/>
      <c r="Z725" s="169" t="str">
        <f t="shared" si="7"/>
        <v/>
      </c>
      <c r="AA725" s="169"/>
      <c r="AB725" s="169" t="str">
        <f t="shared" si="8"/>
        <v/>
      </c>
      <c r="AC725" s="169"/>
      <c r="AD725" s="169" t="str">
        <f t="shared" si="9"/>
        <v/>
      </c>
      <c r="AE725" s="169"/>
      <c r="AF725" s="169" t="str">
        <f t="shared" si="10"/>
        <v/>
      </c>
      <c r="AG725" s="169"/>
      <c r="AH725" s="169" t="str">
        <f t="shared" si="11"/>
        <v/>
      </c>
      <c r="AI725" s="169"/>
      <c r="AJ725" s="169" t="str">
        <f t="shared" si="12"/>
        <v/>
      </c>
    </row>
    <row r="726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 t="str">
        <f t="shared" si="2"/>
        <v/>
      </c>
      <c r="Q726" s="169"/>
      <c r="R726" s="169" t="str">
        <f t="shared" si="3"/>
        <v/>
      </c>
      <c r="S726" s="169"/>
      <c r="T726" s="169" t="str">
        <f t="shared" si="4"/>
        <v/>
      </c>
      <c r="U726" s="169"/>
      <c r="V726" s="169" t="str">
        <f t="shared" si="5"/>
        <v/>
      </c>
      <c r="W726" s="169"/>
      <c r="X726" s="169" t="str">
        <f t="shared" si="6"/>
        <v/>
      </c>
      <c r="Y726" s="169"/>
      <c r="Z726" s="169" t="str">
        <f t="shared" si="7"/>
        <v/>
      </c>
      <c r="AA726" s="169"/>
      <c r="AB726" s="169" t="str">
        <f t="shared" si="8"/>
        <v/>
      </c>
      <c r="AC726" s="169"/>
      <c r="AD726" s="169" t="str">
        <f t="shared" si="9"/>
        <v/>
      </c>
      <c r="AE726" s="169"/>
      <c r="AF726" s="169" t="str">
        <f t="shared" si="10"/>
        <v/>
      </c>
      <c r="AG726" s="169"/>
      <c r="AH726" s="169" t="str">
        <f t="shared" si="11"/>
        <v/>
      </c>
      <c r="AI726" s="169"/>
      <c r="AJ726" s="169" t="str">
        <f t="shared" si="12"/>
        <v/>
      </c>
    </row>
    <row r="727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 t="str">
        <f t="shared" si="2"/>
        <v/>
      </c>
      <c r="Q727" s="169"/>
      <c r="R727" s="169" t="str">
        <f t="shared" si="3"/>
        <v/>
      </c>
      <c r="S727" s="169"/>
      <c r="T727" s="169" t="str">
        <f t="shared" si="4"/>
        <v/>
      </c>
      <c r="U727" s="169"/>
      <c r="V727" s="169" t="str">
        <f t="shared" si="5"/>
        <v/>
      </c>
      <c r="W727" s="169"/>
      <c r="X727" s="169" t="str">
        <f t="shared" si="6"/>
        <v/>
      </c>
      <c r="Y727" s="169"/>
      <c r="Z727" s="169" t="str">
        <f t="shared" si="7"/>
        <v/>
      </c>
      <c r="AA727" s="169"/>
      <c r="AB727" s="169" t="str">
        <f t="shared" si="8"/>
        <v/>
      </c>
      <c r="AC727" s="169"/>
      <c r="AD727" s="169" t="str">
        <f t="shared" si="9"/>
        <v/>
      </c>
      <c r="AE727" s="169"/>
      <c r="AF727" s="169" t="str">
        <f t="shared" si="10"/>
        <v/>
      </c>
      <c r="AG727" s="169"/>
      <c r="AH727" s="169" t="str">
        <f t="shared" si="11"/>
        <v/>
      </c>
      <c r="AI727" s="169"/>
      <c r="AJ727" s="169" t="str">
        <f t="shared" si="12"/>
        <v/>
      </c>
    </row>
    <row r="728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 t="str">
        <f t="shared" si="2"/>
        <v/>
      </c>
      <c r="Q728" s="169"/>
      <c r="R728" s="169" t="str">
        <f t="shared" si="3"/>
        <v/>
      </c>
      <c r="S728" s="169"/>
      <c r="T728" s="169" t="str">
        <f t="shared" si="4"/>
        <v/>
      </c>
      <c r="U728" s="169"/>
      <c r="V728" s="169" t="str">
        <f t="shared" si="5"/>
        <v/>
      </c>
      <c r="W728" s="169"/>
      <c r="X728" s="169" t="str">
        <f t="shared" si="6"/>
        <v/>
      </c>
      <c r="Y728" s="169"/>
      <c r="Z728" s="169" t="str">
        <f t="shared" si="7"/>
        <v/>
      </c>
      <c r="AA728" s="169"/>
      <c r="AB728" s="169" t="str">
        <f t="shared" si="8"/>
        <v/>
      </c>
      <c r="AC728" s="169"/>
      <c r="AD728" s="169" t="str">
        <f t="shared" si="9"/>
        <v/>
      </c>
      <c r="AE728" s="169"/>
      <c r="AF728" s="169" t="str">
        <f t="shared" si="10"/>
        <v/>
      </c>
      <c r="AG728" s="169"/>
      <c r="AH728" s="169" t="str">
        <f t="shared" si="11"/>
        <v/>
      </c>
      <c r="AI728" s="169"/>
      <c r="AJ728" s="169" t="str">
        <f t="shared" si="12"/>
        <v/>
      </c>
    </row>
    <row r="729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 t="str">
        <f t="shared" si="2"/>
        <v/>
      </c>
      <c r="Q729" s="169"/>
      <c r="R729" s="169" t="str">
        <f t="shared" si="3"/>
        <v/>
      </c>
      <c r="S729" s="169"/>
      <c r="T729" s="169" t="str">
        <f t="shared" si="4"/>
        <v/>
      </c>
      <c r="U729" s="169"/>
      <c r="V729" s="169" t="str">
        <f t="shared" si="5"/>
        <v/>
      </c>
      <c r="W729" s="169"/>
      <c r="X729" s="169" t="str">
        <f t="shared" si="6"/>
        <v/>
      </c>
      <c r="Y729" s="169"/>
      <c r="Z729" s="169" t="str">
        <f t="shared" si="7"/>
        <v/>
      </c>
      <c r="AA729" s="169"/>
      <c r="AB729" s="169" t="str">
        <f t="shared" si="8"/>
        <v/>
      </c>
      <c r="AC729" s="169"/>
      <c r="AD729" s="169" t="str">
        <f t="shared" si="9"/>
        <v/>
      </c>
      <c r="AE729" s="169"/>
      <c r="AF729" s="169" t="str">
        <f t="shared" si="10"/>
        <v/>
      </c>
      <c r="AG729" s="169"/>
      <c r="AH729" s="169" t="str">
        <f t="shared" si="11"/>
        <v/>
      </c>
      <c r="AI729" s="169"/>
      <c r="AJ729" s="169" t="str">
        <f t="shared" si="12"/>
        <v/>
      </c>
    </row>
    <row r="730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 t="str">
        <f t="shared" si="2"/>
        <v/>
      </c>
      <c r="Q730" s="169"/>
      <c r="R730" s="169" t="str">
        <f t="shared" si="3"/>
        <v/>
      </c>
      <c r="S730" s="169"/>
      <c r="T730" s="169" t="str">
        <f t="shared" si="4"/>
        <v/>
      </c>
      <c r="U730" s="169"/>
      <c r="V730" s="169" t="str">
        <f t="shared" si="5"/>
        <v/>
      </c>
      <c r="W730" s="169"/>
      <c r="X730" s="169" t="str">
        <f t="shared" si="6"/>
        <v/>
      </c>
      <c r="Y730" s="169"/>
      <c r="Z730" s="169" t="str">
        <f t="shared" si="7"/>
        <v/>
      </c>
      <c r="AA730" s="169"/>
      <c r="AB730" s="169" t="str">
        <f t="shared" si="8"/>
        <v/>
      </c>
      <c r="AC730" s="169"/>
      <c r="AD730" s="169" t="str">
        <f t="shared" si="9"/>
        <v/>
      </c>
      <c r="AE730" s="169"/>
      <c r="AF730" s="169" t="str">
        <f t="shared" si="10"/>
        <v/>
      </c>
      <c r="AG730" s="169"/>
      <c r="AH730" s="169" t="str">
        <f t="shared" si="11"/>
        <v/>
      </c>
      <c r="AI730" s="169"/>
      <c r="AJ730" s="169" t="str">
        <f t="shared" si="12"/>
        <v/>
      </c>
    </row>
    <row r="7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 t="str">
        <f t="shared" si="2"/>
        <v/>
      </c>
      <c r="Q731" s="169"/>
      <c r="R731" s="169" t="str">
        <f t="shared" si="3"/>
        <v/>
      </c>
      <c r="S731" s="169"/>
      <c r="T731" s="169" t="str">
        <f t="shared" si="4"/>
        <v/>
      </c>
      <c r="U731" s="169"/>
      <c r="V731" s="169" t="str">
        <f t="shared" si="5"/>
        <v/>
      </c>
      <c r="W731" s="169"/>
      <c r="X731" s="169" t="str">
        <f t="shared" si="6"/>
        <v/>
      </c>
      <c r="Y731" s="169"/>
      <c r="Z731" s="169" t="str">
        <f t="shared" si="7"/>
        <v/>
      </c>
      <c r="AA731" s="169"/>
      <c r="AB731" s="169" t="str">
        <f t="shared" si="8"/>
        <v/>
      </c>
      <c r="AC731" s="169"/>
      <c r="AD731" s="169" t="str">
        <f t="shared" si="9"/>
        <v/>
      </c>
      <c r="AE731" s="169"/>
      <c r="AF731" s="169" t="str">
        <f t="shared" si="10"/>
        <v/>
      </c>
      <c r="AG731" s="169"/>
      <c r="AH731" s="169" t="str">
        <f t="shared" si="11"/>
        <v/>
      </c>
      <c r="AI731" s="169"/>
      <c r="AJ731" s="169" t="str">
        <f t="shared" si="12"/>
        <v/>
      </c>
    </row>
    <row r="73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 t="str">
        <f t="shared" si="2"/>
        <v/>
      </c>
      <c r="Q732" s="169"/>
      <c r="R732" s="169" t="str">
        <f t="shared" si="3"/>
        <v/>
      </c>
      <c r="S732" s="169"/>
      <c r="T732" s="169" t="str">
        <f t="shared" si="4"/>
        <v/>
      </c>
      <c r="U732" s="169"/>
      <c r="V732" s="169" t="str">
        <f t="shared" si="5"/>
        <v/>
      </c>
      <c r="W732" s="169"/>
      <c r="X732" s="169" t="str">
        <f t="shared" si="6"/>
        <v/>
      </c>
      <c r="Y732" s="169"/>
      <c r="Z732" s="169" t="str">
        <f t="shared" si="7"/>
        <v/>
      </c>
      <c r="AA732" s="169"/>
      <c r="AB732" s="169" t="str">
        <f t="shared" si="8"/>
        <v/>
      </c>
      <c r="AC732" s="169"/>
      <c r="AD732" s="169" t="str">
        <f t="shared" si="9"/>
        <v/>
      </c>
      <c r="AE732" s="169"/>
      <c r="AF732" s="169" t="str">
        <f t="shared" si="10"/>
        <v/>
      </c>
      <c r="AG732" s="169"/>
      <c r="AH732" s="169" t="str">
        <f t="shared" si="11"/>
        <v/>
      </c>
      <c r="AI732" s="169"/>
      <c r="AJ732" s="169" t="str">
        <f t="shared" si="12"/>
        <v/>
      </c>
    </row>
    <row r="733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 t="str">
        <f t="shared" si="2"/>
        <v/>
      </c>
      <c r="Q733" s="169"/>
      <c r="R733" s="169" t="str">
        <f t="shared" si="3"/>
        <v/>
      </c>
      <c r="S733" s="169"/>
      <c r="T733" s="169" t="str">
        <f t="shared" si="4"/>
        <v/>
      </c>
      <c r="U733" s="169"/>
      <c r="V733" s="169" t="str">
        <f t="shared" si="5"/>
        <v/>
      </c>
      <c r="W733" s="169"/>
      <c r="X733" s="169" t="str">
        <f t="shared" si="6"/>
        <v/>
      </c>
      <c r="Y733" s="169"/>
      <c r="Z733" s="169" t="str">
        <f t="shared" si="7"/>
        <v/>
      </c>
      <c r="AA733" s="169"/>
      <c r="AB733" s="169" t="str">
        <f t="shared" si="8"/>
        <v/>
      </c>
      <c r="AC733" s="169"/>
      <c r="AD733" s="169" t="str">
        <f t="shared" si="9"/>
        <v/>
      </c>
      <c r="AE733" s="169"/>
      <c r="AF733" s="169" t="str">
        <f t="shared" si="10"/>
        <v/>
      </c>
      <c r="AG733" s="169"/>
      <c r="AH733" s="169" t="str">
        <f t="shared" si="11"/>
        <v/>
      </c>
      <c r="AI733" s="169"/>
      <c r="AJ733" s="169" t="str">
        <f t="shared" si="12"/>
        <v/>
      </c>
    </row>
    <row r="734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 t="str">
        <f t="shared" si="2"/>
        <v/>
      </c>
      <c r="Q734" s="169"/>
      <c r="R734" s="169" t="str">
        <f t="shared" si="3"/>
        <v/>
      </c>
      <c r="S734" s="169"/>
      <c r="T734" s="169" t="str">
        <f t="shared" si="4"/>
        <v/>
      </c>
      <c r="U734" s="169"/>
      <c r="V734" s="169" t="str">
        <f t="shared" si="5"/>
        <v/>
      </c>
      <c r="W734" s="169"/>
      <c r="X734" s="169" t="str">
        <f t="shared" si="6"/>
        <v/>
      </c>
      <c r="Y734" s="169"/>
      <c r="Z734" s="169" t="str">
        <f t="shared" si="7"/>
        <v/>
      </c>
      <c r="AA734" s="169"/>
      <c r="AB734" s="169" t="str">
        <f t="shared" si="8"/>
        <v/>
      </c>
      <c r="AC734" s="169"/>
      <c r="AD734" s="169" t="str">
        <f t="shared" si="9"/>
        <v/>
      </c>
      <c r="AE734" s="169"/>
      <c r="AF734" s="169" t="str">
        <f t="shared" si="10"/>
        <v/>
      </c>
      <c r="AG734" s="169"/>
      <c r="AH734" s="169" t="str">
        <f t="shared" si="11"/>
        <v/>
      </c>
      <c r="AI734" s="169"/>
      <c r="AJ734" s="169" t="str">
        <f t="shared" si="12"/>
        <v/>
      </c>
    </row>
    <row r="73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 t="str">
        <f t="shared" si="2"/>
        <v/>
      </c>
      <c r="Q735" s="169"/>
      <c r="R735" s="169" t="str">
        <f t="shared" si="3"/>
        <v/>
      </c>
      <c r="S735" s="169"/>
      <c r="T735" s="169" t="str">
        <f t="shared" si="4"/>
        <v/>
      </c>
      <c r="U735" s="169"/>
      <c r="V735" s="169" t="str">
        <f t="shared" si="5"/>
        <v/>
      </c>
      <c r="W735" s="169"/>
      <c r="X735" s="169" t="str">
        <f t="shared" si="6"/>
        <v/>
      </c>
      <c r="Y735" s="169"/>
      <c r="Z735" s="169" t="str">
        <f t="shared" si="7"/>
        <v/>
      </c>
      <c r="AA735" s="169"/>
      <c r="AB735" s="169" t="str">
        <f t="shared" si="8"/>
        <v/>
      </c>
      <c r="AC735" s="169"/>
      <c r="AD735" s="169" t="str">
        <f t="shared" si="9"/>
        <v/>
      </c>
      <c r="AE735" s="169"/>
      <c r="AF735" s="169" t="str">
        <f t="shared" si="10"/>
        <v/>
      </c>
      <c r="AG735" s="169"/>
      <c r="AH735" s="169" t="str">
        <f t="shared" si="11"/>
        <v/>
      </c>
      <c r="AI735" s="169"/>
      <c r="AJ735" s="169" t="str">
        <f t="shared" si="12"/>
        <v/>
      </c>
    </row>
    <row r="736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 t="str">
        <f t="shared" si="2"/>
        <v/>
      </c>
      <c r="Q736" s="169"/>
      <c r="R736" s="169" t="str">
        <f t="shared" si="3"/>
        <v/>
      </c>
      <c r="S736" s="169"/>
      <c r="T736" s="169" t="str">
        <f t="shared" si="4"/>
        <v/>
      </c>
      <c r="U736" s="169"/>
      <c r="V736" s="169" t="str">
        <f t="shared" si="5"/>
        <v/>
      </c>
      <c r="W736" s="169"/>
      <c r="X736" s="169" t="str">
        <f t="shared" si="6"/>
        <v/>
      </c>
      <c r="Y736" s="169"/>
      <c r="Z736" s="169" t="str">
        <f t="shared" si="7"/>
        <v/>
      </c>
      <c r="AA736" s="169"/>
      <c r="AB736" s="169" t="str">
        <f t="shared" si="8"/>
        <v/>
      </c>
      <c r="AC736" s="169"/>
      <c r="AD736" s="169" t="str">
        <f t="shared" si="9"/>
        <v/>
      </c>
      <c r="AE736" s="169"/>
      <c r="AF736" s="169" t="str">
        <f t="shared" si="10"/>
        <v/>
      </c>
      <c r="AG736" s="169"/>
      <c r="AH736" s="169" t="str">
        <f t="shared" si="11"/>
        <v/>
      </c>
      <c r="AI736" s="169"/>
      <c r="AJ736" s="169" t="str">
        <f t="shared" si="12"/>
        <v/>
      </c>
    </row>
    <row r="737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 t="str">
        <f t="shared" si="2"/>
        <v/>
      </c>
      <c r="Q737" s="169"/>
      <c r="R737" s="169" t="str">
        <f t="shared" si="3"/>
        <v/>
      </c>
      <c r="S737" s="169"/>
      <c r="T737" s="169" t="str">
        <f t="shared" si="4"/>
        <v/>
      </c>
      <c r="U737" s="169"/>
      <c r="V737" s="169" t="str">
        <f t="shared" si="5"/>
        <v/>
      </c>
      <c r="W737" s="169"/>
      <c r="X737" s="169" t="str">
        <f t="shared" si="6"/>
        <v/>
      </c>
      <c r="Y737" s="169"/>
      <c r="Z737" s="169" t="str">
        <f t="shared" si="7"/>
        <v/>
      </c>
      <c r="AA737" s="169"/>
      <c r="AB737" s="169" t="str">
        <f t="shared" si="8"/>
        <v/>
      </c>
      <c r="AC737" s="169"/>
      <c r="AD737" s="169" t="str">
        <f t="shared" si="9"/>
        <v/>
      </c>
      <c r="AE737" s="169"/>
      <c r="AF737" s="169" t="str">
        <f t="shared" si="10"/>
        <v/>
      </c>
      <c r="AG737" s="169"/>
      <c r="AH737" s="169" t="str">
        <f t="shared" si="11"/>
        <v/>
      </c>
      <c r="AI737" s="169"/>
      <c r="AJ737" s="169" t="str">
        <f t="shared" si="12"/>
        <v/>
      </c>
    </row>
    <row r="738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 t="str">
        <f t="shared" si="2"/>
        <v/>
      </c>
      <c r="Q738" s="169"/>
      <c r="R738" s="169" t="str">
        <f t="shared" si="3"/>
        <v/>
      </c>
      <c r="S738" s="169"/>
      <c r="T738" s="169" t="str">
        <f t="shared" si="4"/>
        <v/>
      </c>
      <c r="U738" s="169"/>
      <c r="V738" s="169" t="str">
        <f t="shared" si="5"/>
        <v/>
      </c>
      <c r="W738" s="169"/>
      <c r="X738" s="169" t="str">
        <f t="shared" si="6"/>
        <v/>
      </c>
      <c r="Y738" s="169"/>
      <c r="Z738" s="169" t="str">
        <f t="shared" si="7"/>
        <v/>
      </c>
      <c r="AA738" s="169"/>
      <c r="AB738" s="169" t="str">
        <f t="shared" si="8"/>
        <v/>
      </c>
      <c r="AC738" s="169"/>
      <c r="AD738" s="169" t="str">
        <f t="shared" si="9"/>
        <v/>
      </c>
      <c r="AE738" s="169"/>
      <c r="AF738" s="169" t="str">
        <f t="shared" si="10"/>
        <v/>
      </c>
      <c r="AG738" s="169"/>
      <c r="AH738" s="169" t="str">
        <f t="shared" si="11"/>
        <v/>
      </c>
      <c r="AI738" s="169"/>
      <c r="AJ738" s="169" t="str">
        <f t="shared" si="12"/>
        <v/>
      </c>
    </row>
    <row r="739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 t="str">
        <f t="shared" si="2"/>
        <v/>
      </c>
      <c r="Q739" s="169"/>
      <c r="R739" s="169" t="str">
        <f t="shared" si="3"/>
        <v/>
      </c>
      <c r="S739" s="169"/>
      <c r="T739" s="169" t="str">
        <f t="shared" si="4"/>
        <v/>
      </c>
      <c r="U739" s="169"/>
      <c r="V739" s="169" t="str">
        <f t="shared" si="5"/>
        <v/>
      </c>
      <c r="W739" s="169"/>
      <c r="X739" s="169" t="str">
        <f t="shared" si="6"/>
        <v/>
      </c>
      <c r="Y739" s="169"/>
      <c r="Z739" s="169" t="str">
        <f t="shared" si="7"/>
        <v/>
      </c>
      <c r="AA739" s="169"/>
      <c r="AB739" s="169" t="str">
        <f t="shared" si="8"/>
        <v/>
      </c>
      <c r="AC739" s="169"/>
      <c r="AD739" s="169" t="str">
        <f t="shared" si="9"/>
        <v/>
      </c>
      <c r="AE739" s="169"/>
      <c r="AF739" s="169" t="str">
        <f t="shared" si="10"/>
        <v/>
      </c>
      <c r="AG739" s="169"/>
      <c r="AH739" s="169" t="str">
        <f t="shared" si="11"/>
        <v/>
      </c>
      <c r="AI739" s="169"/>
      <c r="AJ739" s="169" t="str">
        <f t="shared" si="12"/>
        <v/>
      </c>
    </row>
    <row r="740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 t="str">
        <f t="shared" si="2"/>
        <v/>
      </c>
      <c r="Q740" s="169"/>
      <c r="R740" s="169" t="str">
        <f t="shared" si="3"/>
        <v/>
      </c>
      <c r="S740" s="169"/>
      <c r="T740" s="169" t="str">
        <f t="shared" si="4"/>
        <v/>
      </c>
      <c r="U740" s="169"/>
      <c r="V740" s="169" t="str">
        <f t="shared" si="5"/>
        <v/>
      </c>
      <c r="W740" s="169"/>
      <c r="X740" s="169" t="str">
        <f t="shared" si="6"/>
        <v/>
      </c>
      <c r="Y740" s="169"/>
      <c r="Z740" s="169" t="str">
        <f t="shared" si="7"/>
        <v/>
      </c>
      <c r="AA740" s="169"/>
      <c r="AB740" s="169" t="str">
        <f t="shared" si="8"/>
        <v/>
      </c>
      <c r="AC740" s="169"/>
      <c r="AD740" s="169" t="str">
        <f t="shared" si="9"/>
        <v/>
      </c>
      <c r="AE740" s="169"/>
      <c r="AF740" s="169" t="str">
        <f t="shared" si="10"/>
        <v/>
      </c>
      <c r="AG740" s="169"/>
      <c r="AH740" s="169" t="str">
        <f t="shared" si="11"/>
        <v/>
      </c>
      <c r="AI740" s="169"/>
      <c r="AJ740" s="169" t="str">
        <f t="shared" si="12"/>
        <v/>
      </c>
    </row>
    <row r="74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 t="str">
        <f t="shared" si="2"/>
        <v/>
      </c>
      <c r="Q741" s="169"/>
      <c r="R741" s="169" t="str">
        <f t="shared" si="3"/>
        <v/>
      </c>
      <c r="S741" s="169"/>
      <c r="T741" s="169" t="str">
        <f t="shared" si="4"/>
        <v/>
      </c>
      <c r="U741" s="169"/>
      <c r="V741" s="169" t="str">
        <f t="shared" si="5"/>
        <v/>
      </c>
      <c r="W741" s="169"/>
      <c r="X741" s="169" t="str">
        <f t="shared" si="6"/>
        <v/>
      </c>
      <c r="Y741" s="169"/>
      <c r="Z741" s="169" t="str">
        <f t="shared" si="7"/>
        <v/>
      </c>
      <c r="AA741" s="169"/>
      <c r="AB741" s="169" t="str">
        <f t="shared" si="8"/>
        <v/>
      </c>
      <c r="AC741" s="169"/>
      <c r="AD741" s="169" t="str">
        <f t="shared" si="9"/>
        <v/>
      </c>
      <c r="AE741" s="169"/>
      <c r="AF741" s="169" t="str">
        <f t="shared" si="10"/>
        <v/>
      </c>
      <c r="AG741" s="169"/>
      <c r="AH741" s="169" t="str">
        <f t="shared" si="11"/>
        <v/>
      </c>
      <c r="AI741" s="169"/>
      <c r="AJ741" s="169" t="str">
        <f t="shared" si="12"/>
        <v/>
      </c>
    </row>
    <row r="74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 t="str">
        <f t="shared" si="2"/>
        <v/>
      </c>
      <c r="Q742" s="169"/>
      <c r="R742" s="169" t="str">
        <f t="shared" si="3"/>
        <v/>
      </c>
      <c r="S742" s="169"/>
      <c r="T742" s="169" t="str">
        <f t="shared" si="4"/>
        <v/>
      </c>
      <c r="U742" s="169"/>
      <c r="V742" s="169" t="str">
        <f t="shared" si="5"/>
        <v/>
      </c>
      <c r="W742" s="169"/>
      <c r="X742" s="169" t="str">
        <f t="shared" si="6"/>
        <v/>
      </c>
      <c r="Y742" s="169"/>
      <c r="Z742" s="169" t="str">
        <f t="shared" si="7"/>
        <v/>
      </c>
      <c r="AA742" s="169"/>
      <c r="AB742" s="169" t="str">
        <f t="shared" si="8"/>
        <v/>
      </c>
      <c r="AC742" s="169"/>
      <c r="AD742" s="169" t="str">
        <f t="shared" si="9"/>
        <v/>
      </c>
      <c r="AE742" s="169"/>
      <c r="AF742" s="169" t="str">
        <f t="shared" si="10"/>
        <v/>
      </c>
      <c r="AG742" s="169"/>
      <c r="AH742" s="169" t="str">
        <f t="shared" si="11"/>
        <v/>
      </c>
      <c r="AI742" s="169"/>
      <c r="AJ742" s="169" t="str">
        <f t="shared" si="12"/>
        <v/>
      </c>
    </row>
    <row r="743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 t="str">
        <f t="shared" si="2"/>
        <v/>
      </c>
      <c r="Q743" s="169"/>
      <c r="R743" s="169" t="str">
        <f t="shared" si="3"/>
        <v/>
      </c>
      <c r="S743" s="169"/>
      <c r="T743" s="169" t="str">
        <f t="shared" si="4"/>
        <v/>
      </c>
      <c r="U743" s="169"/>
      <c r="V743" s="169" t="str">
        <f t="shared" si="5"/>
        <v/>
      </c>
      <c r="W743" s="169"/>
      <c r="X743" s="169" t="str">
        <f t="shared" si="6"/>
        <v/>
      </c>
      <c r="Y743" s="169"/>
      <c r="Z743" s="169" t="str">
        <f t="shared" si="7"/>
        <v/>
      </c>
      <c r="AA743" s="169"/>
      <c r="AB743" s="169" t="str">
        <f t="shared" si="8"/>
        <v/>
      </c>
      <c r="AC743" s="169"/>
      <c r="AD743" s="169" t="str">
        <f t="shared" si="9"/>
        <v/>
      </c>
      <c r="AE743" s="169"/>
      <c r="AF743" s="169" t="str">
        <f t="shared" si="10"/>
        <v/>
      </c>
      <c r="AG743" s="169"/>
      <c r="AH743" s="169" t="str">
        <f t="shared" si="11"/>
        <v/>
      </c>
      <c r="AI743" s="169"/>
      <c r="AJ743" s="169" t="str">
        <f t="shared" si="12"/>
        <v/>
      </c>
    </row>
    <row r="744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 t="str">
        <f t="shared" si="2"/>
        <v/>
      </c>
      <c r="Q744" s="169"/>
      <c r="R744" s="169" t="str">
        <f t="shared" si="3"/>
        <v/>
      </c>
      <c r="S744" s="169"/>
      <c r="T744" s="169" t="str">
        <f t="shared" si="4"/>
        <v/>
      </c>
      <c r="U744" s="169"/>
      <c r="V744" s="169" t="str">
        <f t="shared" si="5"/>
        <v/>
      </c>
      <c r="W744" s="169"/>
      <c r="X744" s="169" t="str">
        <f t="shared" si="6"/>
        <v/>
      </c>
      <c r="Y744" s="169"/>
      <c r="Z744" s="169" t="str">
        <f t="shared" si="7"/>
        <v/>
      </c>
      <c r="AA744" s="169"/>
      <c r="AB744" s="169" t="str">
        <f t="shared" si="8"/>
        <v/>
      </c>
      <c r="AC744" s="169"/>
      <c r="AD744" s="169" t="str">
        <f t="shared" si="9"/>
        <v/>
      </c>
      <c r="AE744" s="169"/>
      <c r="AF744" s="169" t="str">
        <f t="shared" si="10"/>
        <v/>
      </c>
      <c r="AG744" s="169"/>
      <c r="AH744" s="169" t="str">
        <f t="shared" si="11"/>
        <v/>
      </c>
      <c r="AI744" s="169"/>
      <c r="AJ744" s="169" t="str">
        <f t="shared" si="12"/>
        <v/>
      </c>
    </row>
    <row r="74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 t="str">
        <f t="shared" si="2"/>
        <v/>
      </c>
      <c r="Q745" s="169"/>
      <c r="R745" s="169" t="str">
        <f t="shared" si="3"/>
        <v/>
      </c>
      <c r="S745" s="169"/>
      <c r="T745" s="169" t="str">
        <f t="shared" si="4"/>
        <v/>
      </c>
      <c r="U745" s="169"/>
      <c r="V745" s="169" t="str">
        <f t="shared" si="5"/>
        <v/>
      </c>
      <c r="W745" s="169"/>
      <c r="X745" s="169" t="str">
        <f t="shared" si="6"/>
        <v/>
      </c>
      <c r="Y745" s="169"/>
      <c r="Z745" s="169" t="str">
        <f t="shared" si="7"/>
        <v/>
      </c>
      <c r="AA745" s="169"/>
      <c r="AB745" s="169" t="str">
        <f t="shared" si="8"/>
        <v/>
      </c>
      <c r="AC745" s="169"/>
      <c r="AD745" s="169" t="str">
        <f t="shared" si="9"/>
        <v/>
      </c>
      <c r="AE745" s="169"/>
      <c r="AF745" s="169" t="str">
        <f t="shared" si="10"/>
        <v/>
      </c>
      <c r="AG745" s="169"/>
      <c r="AH745" s="169" t="str">
        <f t="shared" si="11"/>
        <v/>
      </c>
      <c r="AI745" s="169"/>
      <c r="AJ745" s="169" t="str">
        <f t="shared" si="12"/>
        <v/>
      </c>
    </row>
    <row r="746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 t="str">
        <f t="shared" si="2"/>
        <v/>
      </c>
      <c r="Q746" s="169"/>
      <c r="R746" s="169" t="str">
        <f t="shared" si="3"/>
        <v/>
      </c>
      <c r="S746" s="169"/>
      <c r="T746" s="169" t="str">
        <f t="shared" si="4"/>
        <v/>
      </c>
      <c r="U746" s="169"/>
      <c r="V746" s="169" t="str">
        <f t="shared" si="5"/>
        <v/>
      </c>
      <c r="W746" s="169"/>
      <c r="X746" s="169" t="str">
        <f t="shared" si="6"/>
        <v/>
      </c>
      <c r="Y746" s="169"/>
      <c r="Z746" s="169" t="str">
        <f t="shared" si="7"/>
        <v/>
      </c>
      <c r="AA746" s="169"/>
      <c r="AB746" s="169" t="str">
        <f t="shared" si="8"/>
        <v/>
      </c>
      <c r="AC746" s="169"/>
      <c r="AD746" s="169" t="str">
        <f t="shared" si="9"/>
        <v/>
      </c>
      <c r="AE746" s="169"/>
      <c r="AF746" s="169" t="str">
        <f t="shared" si="10"/>
        <v/>
      </c>
      <c r="AG746" s="169"/>
      <c r="AH746" s="169" t="str">
        <f t="shared" si="11"/>
        <v/>
      </c>
      <c r="AI746" s="169"/>
      <c r="AJ746" s="169" t="str">
        <f t="shared" si="12"/>
        <v/>
      </c>
    </row>
    <row r="747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 t="str">
        <f t="shared" si="2"/>
        <v/>
      </c>
      <c r="Q747" s="169"/>
      <c r="R747" s="169" t="str">
        <f t="shared" si="3"/>
        <v/>
      </c>
      <c r="S747" s="169"/>
      <c r="T747" s="169" t="str">
        <f t="shared" si="4"/>
        <v/>
      </c>
      <c r="U747" s="169"/>
      <c r="V747" s="169" t="str">
        <f t="shared" si="5"/>
        <v/>
      </c>
      <c r="W747" s="169"/>
      <c r="X747" s="169" t="str">
        <f t="shared" si="6"/>
        <v/>
      </c>
      <c r="Y747" s="169"/>
      <c r="Z747" s="169" t="str">
        <f t="shared" si="7"/>
        <v/>
      </c>
      <c r="AA747" s="169"/>
      <c r="AB747" s="169" t="str">
        <f t="shared" si="8"/>
        <v/>
      </c>
      <c r="AC747" s="169"/>
      <c r="AD747" s="169" t="str">
        <f t="shared" si="9"/>
        <v/>
      </c>
      <c r="AE747" s="169"/>
      <c r="AF747" s="169" t="str">
        <f t="shared" si="10"/>
        <v/>
      </c>
      <c r="AG747" s="169"/>
      <c r="AH747" s="169" t="str">
        <f t="shared" si="11"/>
        <v/>
      </c>
      <c r="AI747" s="169"/>
      <c r="AJ747" s="169" t="str">
        <f t="shared" si="12"/>
        <v/>
      </c>
    </row>
    <row r="748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 t="str">
        <f t="shared" si="2"/>
        <v/>
      </c>
      <c r="Q748" s="169"/>
      <c r="R748" s="169" t="str">
        <f t="shared" si="3"/>
        <v/>
      </c>
      <c r="S748" s="169"/>
      <c r="T748" s="169" t="str">
        <f t="shared" si="4"/>
        <v/>
      </c>
      <c r="U748" s="169"/>
      <c r="V748" s="169" t="str">
        <f t="shared" si="5"/>
        <v/>
      </c>
      <c r="W748" s="169"/>
      <c r="X748" s="169" t="str">
        <f t="shared" si="6"/>
        <v/>
      </c>
      <c r="Y748" s="169"/>
      <c r="Z748" s="169" t="str">
        <f t="shared" si="7"/>
        <v/>
      </c>
      <c r="AA748" s="169"/>
      <c r="AB748" s="169" t="str">
        <f t="shared" si="8"/>
        <v/>
      </c>
      <c r="AC748" s="169"/>
      <c r="AD748" s="169" t="str">
        <f t="shared" si="9"/>
        <v/>
      </c>
      <c r="AE748" s="169"/>
      <c r="AF748" s="169" t="str">
        <f t="shared" si="10"/>
        <v/>
      </c>
      <c r="AG748" s="169"/>
      <c r="AH748" s="169" t="str">
        <f t="shared" si="11"/>
        <v/>
      </c>
      <c r="AI748" s="169"/>
      <c r="AJ748" s="169" t="str">
        <f t="shared" si="12"/>
        <v/>
      </c>
    </row>
    <row r="749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 t="str">
        <f t="shared" si="2"/>
        <v/>
      </c>
      <c r="Q749" s="169"/>
      <c r="R749" s="169" t="str">
        <f t="shared" si="3"/>
        <v/>
      </c>
      <c r="S749" s="169"/>
      <c r="T749" s="169" t="str">
        <f t="shared" si="4"/>
        <v/>
      </c>
      <c r="U749" s="169"/>
      <c r="V749" s="169" t="str">
        <f t="shared" si="5"/>
        <v/>
      </c>
      <c r="W749" s="169"/>
      <c r="X749" s="169" t="str">
        <f t="shared" si="6"/>
        <v/>
      </c>
      <c r="Y749" s="169"/>
      <c r="Z749" s="169" t="str">
        <f t="shared" si="7"/>
        <v/>
      </c>
      <c r="AA749" s="169"/>
      <c r="AB749" s="169" t="str">
        <f t="shared" si="8"/>
        <v/>
      </c>
      <c r="AC749" s="169"/>
      <c r="AD749" s="169" t="str">
        <f t="shared" si="9"/>
        <v/>
      </c>
      <c r="AE749" s="169"/>
      <c r="AF749" s="169" t="str">
        <f t="shared" si="10"/>
        <v/>
      </c>
      <c r="AG749" s="169"/>
      <c r="AH749" s="169" t="str">
        <f t="shared" si="11"/>
        <v/>
      </c>
      <c r="AI749" s="169"/>
      <c r="AJ749" s="169" t="str">
        <f t="shared" si="12"/>
        <v/>
      </c>
    </row>
    <row r="750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 t="str">
        <f t="shared" si="2"/>
        <v/>
      </c>
      <c r="Q750" s="169"/>
      <c r="R750" s="169" t="str">
        <f t="shared" si="3"/>
        <v/>
      </c>
      <c r="S750" s="169"/>
      <c r="T750" s="169" t="str">
        <f t="shared" si="4"/>
        <v/>
      </c>
      <c r="U750" s="169"/>
      <c r="V750" s="169" t="str">
        <f t="shared" si="5"/>
        <v/>
      </c>
      <c r="W750" s="169"/>
      <c r="X750" s="169" t="str">
        <f t="shared" si="6"/>
        <v/>
      </c>
      <c r="Y750" s="169"/>
      <c r="Z750" s="169" t="str">
        <f t="shared" si="7"/>
        <v/>
      </c>
      <c r="AA750" s="169"/>
      <c r="AB750" s="169" t="str">
        <f t="shared" si="8"/>
        <v/>
      </c>
      <c r="AC750" s="169"/>
      <c r="AD750" s="169" t="str">
        <f t="shared" si="9"/>
        <v/>
      </c>
      <c r="AE750" s="169"/>
      <c r="AF750" s="169" t="str">
        <f t="shared" si="10"/>
        <v/>
      </c>
      <c r="AG750" s="169"/>
      <c r="AH750" s="169" t="str">
        <f t="shared" si="11"/>
        <v/>
      </c>
      <c r="AI750" s="169"/>
      <c r="AJ750" s="169" t="str">
        <f t="shared" si="12"/>
        <v/>
      </c>
    </row>
    <row r="75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 t="str">
        <f t="shared" si="2"/>
        <v/>
      </c>
      <c r="Q751" s="169"/>
      <c r="R751" s="169" t="str">
        <f t="shared" si="3"/>
        <v/>
      </c>
      <c r="S751" s="169"/>
      <c r="T751" s="169" t="str">
        <f t="shared" si="4"/>
        <v/>
      </c>
      <c r="U751" s="169"/>
      <c r="V751" s="169" t="str">
        <f t="shared" si="5"/>
        <v/>
      </c>
      <c r="W751" s="169"/>
      <c r="X751" s="169" t="str">
        <f t="shared" si="6"/>
        <v/>
      </c>
      <c r="Y751" s="169"/>
      <c r="Z751" s="169" t="str">
        <f t="shared" si="7"/>
        <v/>
      </c>
      <c r="AA751" s="169"/>
      <c r="AB751" s="169" t="str">
        <f t="shared" si="8"/>
        <v/>
      </c>
      <c r="AC751" s="169"/>
      <c r="AD751" s="169" t="str">
        <f t="shared" si="9"/>
        <v/>
      </c>
      <c r="AE751" s="169"/>
      <c r="AF751" s="169" t="str">
        <f t="shared" si="10"/>
        <v/>
      </c>
      <c r="AG751" s="169"/>
      <c r="AH751" s="169" t="str">
        <f t="shared" si="11"/>
        <v/>
      </c>
      <c r="AI751" s="169"/>
      <c r="AJ751" s="169" t="str">
        <f t="shared" si="12"/>
        <v/>
      </c>
    </row>
    <row r="75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 t="str">
        <f t="shared" si="2"/>
        <v/>
      </c>
      <c r="Q752" s="169"/>
      <c r="R752" s="169" t="str">
        <f t="shared" si="3"/>
        <v/>
      </c>
      <c r="S752" s="169"/>
      <c r="T752" s="169" t="str">
        <f t="shared" si="4"/>
        <v/>
      </c>
      <c r="U752" s="169"/>
      <c r="V752" s="169" t="str">
        <f t="shared" si="5"/>
        <v/>
      </c>
      <c r="W752" s="169"/>
      <c r="X752" s="169" t="str">
        <f t="shared" si="6"/>
        <v/>
      </c>
      <c r="Y752" s="169"/>
      <c r="Z752" s="169" t="str">
        <f t="shared" si="7"/>
        <v/>
      </c>
      <c r="AA752" s="169"/>
      <c r="AB752" s="169" t="str">
        <f t="shared" si="8"/>
        <v/>
      </c>
      <c r="AC752" s="169"/>
      <c r="AD752" s="169" t="str">
        <f t="shared" si="9"/>
        <v/>
      </c>
      <c r="AE752" s="169"/>
      <c r="AF752" s="169" t="str">
        <f t="shared" si="10"/>
        <v/>
      </c>
      <c r="AG752" s="169"/>
      <c r="AH752" s="169" t="str">
        <f t="shared" si="11"/>
        <v/>
      </c>
      <c r="AI752" s="169"/>
      <c r="AJ752" s="169" t="str">
        <f t="shared" si="12"/>
        <v/>
      </c>
    </row>
    <row r="753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 t="str">
        <f t="shared" si="2"/>
        <v/>
      </c>
      <c r="Q753" s="169"/>
      <c r="R753" s="169" t="str">
        <f t="shared" si="3"/>
        <v/>
      </c>
      <c r="S753" s="169"/>
      <c r="T753" s="169" t="str">
        <f t="shared" si="4"/>
        <v/>
      </c>
      <c r="U753" s="169"/>
      <c r="V753" s="169" t="str">
        <f t="shared" si="5"/>
        <v/>
      </c>
      <c r="W753" s="169"/>
      <c r="X753" s="169" t="str">
        <f t="shared" si="6"/>
        <v/>
      </c>
      <c r="Y753" s="169"/>
      <c r="Z753" s="169" t="str">
        <f t="shared" si="7"/>
        <v/>
      </c>
      <c r="AA753" s="169"/>
      <c r="AB753" s="169" t="str">
        <f t="shared" si="8"/>
        <v/>
      </c>
      <c r="AC753" s="169"/>
      <c r="AD753" s="169" t="str">
        <f t="shared" si="9"/>
        <v/>
      </c>
      <c r="AE753" s="169"/>
      <c r="AF753" s="169" t="str">
        <f t="shared" si="10"/>
        <v/>
      </c>
      <c r="AG753" s="169"/>
      <c r="AH753" s="169" t="str">
        <f t="shared" si="11"/>
        <v/>
      </c>
      <c r="AI753" s="169"/>
      <c r="AJ753" s="169" t="str">
        <f t="shared" si="12"/>
        <v/>
      </c>
    </row>
    <row r="754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 t="str">
        <f t="shared" si="2"/>
        <v/>
      </c>
      <c r="Q754" s="169"/>
      <c r="R754" s="169" t="str">
        <f t="shared" si="3"/>
        <v/>
      </c>
      <c r="S754" s="169"/>
      <c r="T754" s="169" t="str">
        <f t="shared" si="4"/>
        <v/>
      </c>
      <c r="U754" s="169"/>
      <c r="V754" s="169" t="str">
        <f t="shared" si="5"/>
        <v/>
      </c>
      <c r="W754" s="169"/>
      <c r="X754" s="169" t="str">
        <f t="shared" si="6"/>
        <v/>
      </c>
      <c r="Y754" s="169"/>
      <c r="Z754" s="169" t="str">
        <f t="shared" si="7"/>
        <v/>
      </c>
      <c r="AA754" s="169"/>
      <c r="AB754" s="169" t="str">
        <f t="shared" si="8"/>
        <v/>
      </c>
      <c r="AC754" s="169"/>
      <c r="AD754" s="169" t="str">
        <f t="shared" si="9"/>
        <v/>
      </c>
      <c r="AE754" s="169"/>
      <c r="AF754" s="169" t="str">
        <f t="shared" si="10"/>
        <v/>
      </c>
      <c r="AG754" s="169"/>
      <c r="AH754" s="169" t="str">
        <f t="shared" si="11"/>
        <v/>
      </c>
      <c r="AI754" s="169"/>
      <c r="AJ754" s="169" t="str">
        <f t="shared" si="12"/>
        <v/>
      </c>
    </row>
    <row r="75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 t="str">
        <f t="shared" si="2"/>
        <v/>
      </c>
      <c r="Q755" s="169"/>
      <c r="R755" s="169" t="str">
        <f t="shared" si="3"/>
        <v/>
      </c>
      <c r="S755" s="169"/>
      <c r="T755" s="169" t="str">
        <f t="shared" si="4"/>
        <v/>
      </c>
      <c r="U755" s="169"/>
      <c r="V755" s="169" t="str">
        <f t="shared" si="5"/>
        <v/>
      </c>
      <c r="W755" s="169"/>
      <c r="X755" s="169" t="str">
        <f t="shared" si="6"/>
        <v/>
      </c>
      <c r="Y755" s="169"/>
      <c r="Z755" s="169" t="str">
        <f t="shared" si="7"/>
        <v/>
      </c>
      <c r="AA755" s="169"/>
      <c r="AB755" s="169" t="str">
        <f t="shared" si="8"/>
        <v/>
      </c>
      <c r="AC755" s="169"/>
      <c r="AD755" s="169" t="str">
        <f t="shared" si="9"/>
        <v/>
      </c>
      <c r="AE755" s="169"/>
      <c r="AF755" s="169" t="str">
        <f t="shared" si="10"/>
        <v/>
      </c>
      <c r="AG755" s="169"/>
      <c r="AH755" s="169" t="str">
        <f t="shared" si="11"/>
        <v/>
      </c>
      <c r="AI755" s="169"/>
      <c r="AJ755" s="169" t="str">
        <f t="shared" si="12"/>
        <v/>
      </c>
    </row>
    <row r="756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 t="str">
        <f t="shared" si="2"/>
        <v/>
      </c>
      <c r="Q756" s="169"/>
      <c r="R756" s="169" t="str">
        <f t="shared" si="3"/>
        <v/>
      </c>
      <c r="S756" s="169"/>
      <c r="T756" s="169" t="str">
        <f t="shared" si="4"/>
        <v/>
      </c>
      <c r="U756" s="169"/>
      <c r="V756" s="169" t="str">
        <f t="shared" si="5"/>
        <v/>
      </c>
      <c r="W756" s="169"/>
      <c r="X756" s="169" t="str">
        <f t="shared" si="6"/>
        <v/>
      </c>
      <c r="Y756" s="169"/>
      <c r="Z756" s="169" t="str">
        <f t="shared" si="7"/>
        <v/>
      </c>
      <c r="AA756" s="169"/>
      <c r="AB756" s="169" t="str">
        <f t="shared" si="8"/>
        <v/>
      </c>
      <c r="AC756" s="169"/>
      <c r="AD756" s="169" t="str">
        <f t="shared" si="9"/>
        <v/>
      </c>
      <c r="AE756" s="169"/>
      <c r="AF756" s="169" t="str">
        <f t="shared" si="10"/>
        <v/>
      </c>
      <c r="AG756" s="169"/>
      <c r="AH756" s="169" t="str">
        <f t="shared" si="11"/>
        <v/>
      </c>
      <c r="AI756" s="169"/>
      <c r="AJ756" s="169" t="str">
        <f t="shared" si="12"/>
        <v/>
      </c>
    </row>
    <row r="757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 t="str">
        <f t="shared" si="2"/>
        <v/>
      </c>
      <c r="Q757" s="169"/>
      <c r="R757" s="169" t="str">
        <f t="shared" si="3"/>
        <v/>
      </c>
      <c r="S757" s="169"/>
      <c r="T757" s="169" t="str">
        <f t="shared" si="4"/>
        <v/>
      </c>
      <c r="U757" s="169"/>
      <c r="V757" s="169" t="str">
        <f t="shared" si="5"/>
        <v/>
      </c>
      <c r="W757" s="169"/>
      <c r="X757" s="169" t="str">
        <f t="shared" si="6"/>
        <v/>
      </c>
      <c r="Y757" s="169"/>
      <c r="Z757" s="169" t="str">
        <f t="shared" si="7"/>
        <v/>
      </c>
      <c r="AA757" s="169"/>
      <c r="AB757" s="169" t="str">
        <f t="shared" si="8"/>
        <v/>
      </c>
      <c r="AC757" s="169"/>
      <c r="AD757" s="169" t="str">
        <f t="shared" si="9"/>
        <v/>
      </c>
      <c r="AE757" s="169"/>
      <c r="AF757" s="169" t="str">
        <f t="shared" si="10"/>
        <v/>
      </c>
      <c r="AG757" s="169"/>
      <c r="AH757" s="169" t="str">
        <f t="shared" si="11"/>
        <v/>
      </c>
      <c r="AI757" s="169"/>
      <c r="AJ757" s="169" t="str">
        <f t="shared" si="12"/>
        <v/>
      </c>
    </row>
    <row r="758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 t="str">
        <f t="shared" si="2"/>
        <v/>
      </c>
      <c r="Q758" s="169"/>
      <c r="R758" s="169" t="str">
        <f t="shared" si="3"/>
        <v/>
      </c>
      <c r="S758" s="169"/>
      <c r="T758" s="169" t="str">
        <f t="shared" si="4"/>
        <v/>
      </c>
      <c r="U758" s="169"/>
      <c r="V758" s="169" t="str">
        <f t="shared" si="5"/>
        <v/>
      </c>
      <c r="W758" s="169"/>
      <c r="X758" s="169" t="str">
        <f t="shared" si="6"/>
        <v/>
      </c>
      <c r="Y758" s="169"/>
      <c r="Z758" s="169" t="str">
        <f t="shared" si="7"/>
        <v/>
      </c>
      <c r="AA758" s="169"/>
      <c r="AB758" s="169" t="str">
        <f t="shared" si="8"/>
        <v/>
      </c>
      <c r="AC758" s="169"/>
      <c r="AD758" s="169" t="str">
        <f t="shared" si="9"/>
        <v/>
      </c>
      <c r="AE758" s="169"/>
      <c r="AF758" s="169" t="str">
        <f t="shared" si="10"/>
        <v/>
      </c>
      <c r="AG758" s="169"/>
      <c r="AH758" s="169" t="str">
        <f t="shared" si="11"/>
        <v/>
      </c>
      <c r="AI758" s="169"/>
      <c r="AJ758" s="169" t="str">
        <f t="shared" si="12"/>
        <v/>
      </c>
    </row>
    <row r="759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 t="str">
        <f t="shared" si="2"/>
        <v/>
      </c>
      <c r="Q759" s="169"/>
      <c r="R759" s="169" t="str">
        <f t="shared" si="3"/>
        <v/>
      </c>
      <c r="S759" s="169"/>
      <c r="T759" s="169" t="str">
        <f t="shared" si="4"/>
        <v/>
      </c>
      <c r="U759" s="169"/>
      <c r="V759" s="169" t="str">
        <f t="shared" si="5"/>
        <v/>
      </c>
      <c r="W759" s="169"/>
      <c r="X759" s="169" t="str">
        <f t="shared" si="6"/>
        <v/>
      </c>
      <c r="Y759" s="169"/>
      <c r="Z759" s="169" t="str">
        <f t="shared" si="7"/>
        <v/>
      </c>
      <c r="AA759" s="169"/>
      <c r="AB759" s="169" t="str">
        <f t="shared" si="8"/>
        <v/>
      </c>
      <c r="AC759" s="169"/>
      <c r="AD759" s="169" t="str">
        <f t="shared" si="9"/>
        <v/>
      </c>
      <c r="AE759" s="169"/>
      <c r="AF759" s="169" t="str">
        <f t="shared" si="10"/>
        <v/>
      </c>
      <c r="AG759" s="169"/>
      <c r="AH759" s="169" t="str">
        <f t="shared" si="11"/>
        <v/>
      </c>
      <c r="AI759" s="169"/>
      <c r="AJ759" s="169" t="str">
        <f t="shared" si="12"/>
        <v/>
      </c>
    </row>
    <row r="760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 t="str">
        <f t="shared" si="2"/>
        <v/>
      </c>
      <c r="Q760" s="169"/>
      <c r="R760" s="169" t="str">
        <f t="shared" si="3"/>
        <v/>
      </c>
      <c r="S760" s="169"/>
      <c r="T760" s="169" t="str">
        <f t="shared" si="4"/>
        <v/>
      </c>
      <c r="U760" s="169"/>
      <c r="V760" s="169" t="str">
        <f t="shared" si="5"/>
        <v/>
      </c>
      <c r="W760" s="169"/>
      <c r="X760" s="169" t="str">
        <f t="shared" si="6"/>
        <v/>
      </c>
      <c r="Y760" s="169"/>
      <c r="Z760" s="169" t="str">
        <f t="shared" si="7"/>
        <v/>
      </c>
      <c r="AA760" s="169"/>
      <c r="AB760" s="169" t="str">
        <f t="shared" si="8"/>
        <v/>
      </c>
      <c r="AC760" s="169"/>
      <c r="AD760" s="169" t="str">
        <f t="shared" si="9"/>
        <v/>
      </c>
      <c r="AE760" s="169"/>
      <c r="AF760" s="169" t="str">
        <f t="shared" si="10"/>
        <v/>
      </c>
      <c r="AG760" s="169"/>
      <c r="AH760" s="169" t="str">
        <f t="shared" si="11"/>
        <v/>
      </c>
      <c r="AI760" s="169"/>
      <c r="AJ760" s="169" t="str">
        <f t="shared" si="12"/>
        <v/>
      </c>
    </row>
    <row r="76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 t="str">
        <f t="shared" si="2"/>
        <v/>
      </c>
      <c r="Q761" s="169"/>
      <c r="R761" s="169" t="str">
        <f t="shared" si="3"/>
        <v/>
      </c>
      <c r="S761" s="169"/>
      <c r="T761" s="169" t="str">
        <f t="shared" si="4"/>
        <v/>
      </c>
      <c r="U761" s="169"/>
      <c r="V761" s="169" t="str">
        <f t="shared" si="5"/>
        <v/>
      </c>
      <c r="W761" s="169"/>
      <c r="X761" s="169" t="str">
        <f t="shared" si="6"/>
        <v/>
      </c>
      <c r="Y761" s="169"/>
      <c r="Z761" s="169" t="str">
        <f t="shared" si="7"/>
        <v/>
      </c>
      <c r="AA761" s="169"/>
      <c r="AB761" s="169" t="str">
        <f t="shared" si="8"/>
        <v/>
      </c>
      <c r="AC761" s="169"/>
      <c r="AD761" s="169" t="str">
        <f t="shared" si="9"/>
        <v/>
      </c>
      <c r="AE761" s="169"/>
      <c r="AF761" s="169" t="str">
        <f t="shared" si="10"/>
        <v/>
      </c>
      <c r="AG761" s="169"/>
      <c r="AH761" s="169" t="str">
        <f t="shared" si="11"/>
        <v/>
      </c>
      <c r="AI761" s="169"/>
      <c r="AJ761" s="169" t="str">
        <f t="shared" si="12"/>
        <v/>
      </c>
    </row>
    <row r="76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 t="str">
        <f t="shared" si="2"/>
        <v/>
      </c>
      <c r="Q762" s="169"/>
      <c r="R762" s="169" t="str">
        <f t="shared" si="3"/>
        <v/>
      </c>
      <c r="S762" s="169"/>
      <c r="T762" s="169" t="str">
        <f t="shared" si="4"/>
        <v/>
      </c>
      <c r="U762" s="169"/>
      <c r="V762" s="169" t="str">
        <f t="shared" si="5"/>
        <v/>
      </c>
      <c r="W762" s="169"/>
      <c r="X762" s="169" t="str">
        <f t="shared" si="6"/>
        <v/>
      </c>
      <c r="Y762" s="169"/>
      <c r="Z762" s="169" t="str">
        <f t="shared" si="7"/>
        <v/>
      </c>
      <c r="AA762" s="169"/>
      <c r="AB762" s="169" t="str">
        <f t="shared" si="8"/>
        <v/>
      </c>
      <c r="AC762" s="169"/>
      <c r="AD762" s="169" t="str">
        <f t="shared" si="9"/>
        <v/>
      </c>
      <c r="AE762" s="169"/>
      <c r="AF762" s="169" t="str">
        <f t="shared" si="10"/>
        <v/>
      </c>
      <c r="AG762" s="169"/>
      <c r="AH762" s="169" t="str">
        <f t="shared" si="11"/>
        <v/>
      </c>
      <c r="AI762" s="169"/>
      <c r="AJ762" s="169" t="str">
        <f t="shared" si="12"/>
        <v/>
      </c>
    </row>
    <row r="763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 t="str">
        <f t="shared" si="2"/>
        <v/>
      </c>
      <c r="Q763" s="169"/>
      <c r="R763" s="169" t="str">
        <f t="shared" si="3"/>
        <v/>
      </c>
      <c r="S763" s="169"/>
      <c r="T763" s="169" t="str">
        <f t="shared" si="4"/>
        <v/>
      </c>
      <c r="U763" s="169"/>
      <c r="V763" s="169" t="str">
        <f t="shared" si="5"/>
        <v/>
      </c>
      <c r="W763" s="169"/>
      <c r="X763" s="169" t="str">
        <f t="shared" si="6"/>
        <v/>
      </c>
      <c r="Y763" s="169"/>
      <c r="Z763" s="169" t="str">
        <f t="shared" si="7"/>
        <v/>
      </c>
      <c r="AA763" s="169"/>
      <c r="AB763" s="169" t="str">
        <f t="shared" si="8"/>
        <v/>
      </c>
      <c r="AC763" s="169"/>
      <c r="AD763" s="169" t="str">
        <f t="shared" si="9"/>
        <v/>
      </c>
      <c r="AE763" s="169"/>
      <c r="AF763" s="169" t="str">
        <f t="shared" si="10"/>
        <v/>
      </c>
      <c r="AG763" s="169"/>
      <c r="AH763" s="169" t="str">
        <f t="shared" si="11"/>
        <v/>
      </c>
      <c r="AI763" s="169"/>
      <c r="AJ763" s="169" t="str">
        <f t="shared" si="12"/>
        <v/>
      </c>
    </row>
    <row r="764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 t="str">
        <f t="shared" si="2"/>
        <v/>
      </c>
      <c r="Q764" s="169"/>
      <c r="R764" s="169" t="str">
        <f t="shared" si="3"/>
        <v/>
      </c>
      <c r="S764" s="169"/>
      <c r="T764" s="169" t="str">
        <f t="shared" si="4"/>
        <v/>
      </c>
      <c r="U764" s="169"/>
      <c r="V764" s="169" t="str">
        <f t="shared" si="5"/>
        <v/>
      </c>
      <c r="W764" s="169"/>
      <c r="X764" s="169" t="str">
        <f t="shared" si="6"/>
        <v/>
      </c>
      <c r="Y764" s="169"/>
      <c r="Z764" s="169" t="str">
        <f t="shared" si="7"/>
        <v/>
      </c>
      <c r="AA764" s="169"/>
      <c r="AB764" s="169" t="str">
        <f t="shared" si="8"/>
        <v/>
      </c>
      <c r="AC764" s="169"/>
      <c r="AD764" s="169" t="str">
        <f t="shared" si="9"/>
        <v/>
      </c>
      <c r="AE764" s="169"/>
      <c r="AF764" s="169" t="str">
        <f t="shared" si="10"/>
        <v/>
      </c>
      <c r="AG764" s="169"/>
      <c r="AH764" s="169" t="str">
        <f t="shared" si="11"/>
        <v/>
      </c>
      <c r="AI764" s="169"/>
      <c r="AJ764" s="169" t="str">
        <f t="shared" si="12"/>
        <v/>
      </c>
    </row>
    <row r="76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 t="str">
        <f t="shared" si="2"/>
        <v/>
      </c>
      <c r="Q765" s="169"/>
      <c r="R765" s="169" t="str">
        <f t="shared" si="3"/>
        <v/>
      </c>
      <c r="S765" s="169"/>
      <c r="T765" s="169" t="str">
        <f t="shared" si="4"/>
        <v/>
      </c>
      <c r="U765" s="169"/>
      <c r="V765" s="169" t="str">
        <f t="shared" si="5"/>
        <v/>
      </c>
      <c r="W765" s="169"/>
      <c r="X765" s="169" t="str">
        <f t="shared" si="6"/>
        <v/>
      </c>
      <c r="Y765" s="169"/>
      <c r="Z765" s="169" t="str">
        <f t="shared" si="7"/>
        <v/>
      </c>
      <c r="AA765" s="169"/>
      <c r="AB765" s="169" t="str">
        <f t="shared" si="8"/>
        <v/>
      </c>
      <c r="AC765" s="169"/>
      <c r="AD765" s="169" t="str">
        <f t="shared" si="9"/>
        <v/>
      </c>
      <c r="AE765" s="169"/>
      <c r="AF765" s="169" t="str">
        <f t="shared" si="10"/>
        <v/>
      </c>
      <c r="AG765" s="169"/>
      <c r="AH765" s="169" t="str">
        <f t="shared" si="11"/>
        <v/>
      </c>
      <c r="AI765" s="169"/>
      <c r="AJ765" s="169" t="str">
        <f t="shared" si="12"/>
        <v/>
      </c>
    </row>
    <row r="766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 t="str">
        <f t="shared" si="2"/>
        <v/>
      </c>
      <c r="Q766" s="169"/>
      <c r="R766" s="169" t="str">
        <f t="shared" si="3"/>
        <v/>
      </c>
      <c r="S766" s="169"/>
      <c r="T766" s="169" t="str">
        <f t="shared" si="4"/>
        <v/>
      </c>
      <c r="U766" s="169"/>
      <c r="V766" s="169" t="str">
        <f t="shared" si="5"/>
        <v/>
      </c>
      <c r="W766" s="169"/>
      <c r="X766" s="169" t="str">
        <f t="shared" si="6"/>
        <v/>
      </c>
      <c r="Y766" s="169"/>
      <c r="Z766" s="169" t="str">
        <f t="shared" si="7"/>
        <v/>
      </c>
      <c r="AA766" s="169"/>
      <c r="AB766" s="169" t="str">
        <f t="shared" si="8"/>
        <v/>
      </c>
      <c r="AC766" s="169"/>
      <c r="AD766" s="169" t="str">
        <f t="shared" si="9"/>
        <v/>
      </c>
      <c r="AE766" s="169"/>
      <c r="AF766" s="169" t="str">
        <f t="shared" si="10"/>
        <v/>
      </c>
      <c r="AG766" s="169"/>
      <c r="AH766" s="169" t="str">
        <f t="shared" si="11"/>
        <v/>
      </c>
      <c r="AI766" s="169"/>
      <c r="AJ766" s="169" t="str">
        <f t="shared" si="12"/>
        <v/>
      </c>
    </row>
    <row r="767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 t="str">
        <f t="shared" si="2"/>
        <v/>
      </c>
      <c r="Q767" s="169"/>
      <c r="R767" s="169" t="str">
        <f t="shared" si="3"/>
        <v/>
      </c>
      <c r="S767" s="169"/>
      <c r="T767" s="169" t="str">
        <f t="shared" si="4"/>
        <v/>
      </c>
      <c r="U767" s="169"/>
      <c r="V767" s="169" t="str">
        <f t="shared" si="5"/>
        <v/>
      </c>
      <c r="W767" s="169"/>
      <c r="X767" s="169" t="str">
        <f t="shared" si="6"/>
        <v/>
      </c>
      <c r="Y767" s="169"/>
      <c r="Z767" s="169" t="str">
        <f t="shared" si="7"/>
        <v/>
      </c>
      <c r="AA767" s="169"/>
      <c r="AB767" s="169" t="str">
        <f t="shared" si="8"/>
        <v/>
      </c>
      <c r="AC767" s="169"/>
      <c r="AD767" s="169" t="str">
        <f t="shared" si="9"/>
        <v/>
      </c>
      <c r="AE767" s="169"/>
      <c r="AF767" s="169" t="str">
        <f t="shared" si="10"/>
        <v/>
      </c>
      <c r="AG767" s="169"/>
      <c r="AH767" s="169" t="str">
        <f t="shared" si="11"/>
        <v/>
      </c>
      <c r="AI767" s="169"/>
      <c r="AJ767" s="169" t="str">
        <f t="shared" si="12"/>
        <v/>
      </c>
    </row>
    <row r="768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 t="str">
        <f t="shared" si="2"/>
        <v/>
      </c>
      <c r="Q768" s="169"/>
      <c r="R768" s="169" t="str">
        <f t="shared" si="3"/>
        <v/>
      </c>
      <c r="S768" s="169"/>
      <c r="T768" s="169" t="str">
        <f t="shared" si="4"/>
        <v/>
      </c>
      <c r="U768" s="169"/>
      <c r="V768" s="169" t="str">
        <f t="shared" si="5"/>
        <v/>
      </c>
      <c r="W768" s="169"/>
      <c r="X768" s="169" t="str">
        <f t="shared" si="6"/>
        <v/>
      </c>
      <c r="Y768" s="169"/>
      <c r="Z768" s="169" t="str">
        <f t="shared" si="7"/>
        <v/>
      </c>
      <c r="AA768" s="169"/>
      <c r="AB768" s="169" t="str">
        <f t="shared" si="8"/>
        <v/>
      </c>
      <c r="AC768" s="169"/>
      <c r="AD768" s="169" t="str">
        <f t="shared" si="9"/>
        <v/>
      </c>
      <c r="AE768" s="169"/>
      <c r="AF768" s="169" t="str">
        <f t="shared" si="10"/>
        <v/>
      </c>
      <c r="AG768" s="169"/>
      <c r="AH768" s="169" t="str">
        <f t="shared" si="11"/>
        <v/>
      </c>
      <c r="AI768" s="169"/>
      <c r="AJ768" s="169" t="str">
        <f t="shared" si="12"/>
        <v/>
      </c>
    </row>
    <row r="769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 t="str">
        <f t="shared" si="2"/>
        <v/>
      </c>
      <c r="Q769" s="169"/>
      <c r="R769" s="169" t="str">
        <f t="shared" si="3"/>
        <v/>
      </c>
      <c r="S769" s="169"/>
      <c r="T769" s="169" t="str">
        <f t="shared" si="4"/>
        <v/>
      </c>
      <c r="U769" s="169"/>
      <c r="V769" s="169" t="str">
        <f t="shared" si="5"/>
        <v/>
      </c>
      <c r="W769" s="169"/>
      <c r="X769" s="169" t="str">
        <f t="shared" si="6"/>
        <v/>
      </c>
      <c r="Y769" s="169"/>
      <c r="Z769" s="169" t="str">
        <f t="shared" si="7"/>
        <v/>
      </c>
      <c r="AA769" s="169"/>
      <c r="AB769" s="169" t="str">
        <f t="shared" si="8"/>
        <v/>
      </c>
      <c r="AC769" s="169"/>
      <c r="AD769" s="169" t="str">
        <f t="shared" si="9"/>
        <v/>
      </c>
      <c r="AE769" s="169"/>
      <c r="AF769" s="169" t="str">
        <f t="shared" si="10"/>
        <v/>
      </c>
      <c r="AG769" s="169"/>
      <c r="AH769" s="169" t="str">
        <f t="shared" si="11"/>
        <v/>
      </c>
      <c r="AI769" s="169"/>
      <c r="AJ769" s="169" t="str">
        <f t="shared" si="12"/>
        <v/>
      </c>
    </row>
    <row r="770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 t="str">
        <f t="shared" si="2"/>
        <v/>
      </c>
      <c r="Q770" s="169"/>
      <c r="R770" s="169" t="str">
        <f t="shared" si="3"/>
        <v/>
      </c>
      <c r="S770" s="169"/>
      <c r="T770" s="169" t="str">
        <f t="shared" si="4"/>
        <v/>
      </c>
      <c r="U770" s="169"/>
      <c r="V770" s="169" t="str">
        <f t="shared" si="5"/>
        <v/>
      </c>
      <c r="W770" s="169"/>
      <c r="X770" s="169" t="str">
        <f t="shared" si="6"/>
        <v/>
      </c>
      <c r="Y770" s="169"/>
      <c r="Z770" s="169" t="str">
        <f t="shared" si="7"/>
        <v/>
      </c>
      <c r="AA770" s="169"/>
      <c r="AB770" s="169" t="str">
        <f t="shared" si="8"/>
        <v/>
      </c>
      <c r="AC770" s="169"/>
      <c r="AD770" s="169" t="str">
        <f t="shared" si="9"/>
        <v/>
      </c>
      <c r="AE770" s="169"/>
      <c r="AF770" s="169" t="str">
        <f t="shared" si="10"/>
        <v/>
      </c>
      <c r="AG770" s="169"/>
      <c r="AH770" s="169" t="str">
        <f t="shared" si="11"/>
        <v/>
      </c>
      <c r="AI770" s="169"/>
      <c r="AJ770" s="169" t="str">
        <f t="shared" si="12"/>
        <v/>
      </c>
    </row>
    <row r="77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 t="str">
        <f t="shared" si="2"/>
        <v/>
      </c>
      <c r="Q771" s="169"/>
      <c r="R771" s="169" t="str">
        <f t="shared" si="3"/>
        <v/>
      </c>
      <c r="S771" s="169"/>
      <c r="T771" s="169" t="str">
        <f t="shared" si="4"/>
        <v/>
      </c>
      <c r="U771" s="169"/>
      <c r="V771" s="169" t="str">
        <f t="shared" si="5"/>
        <v/>
      </c>
      <c r="W771" s="169"/>
      <c r="X771" s="169" t="str">
        <f t="shared" si="6"/>
        <v/>
      </c>
      <c r="Y771" s="169"/>
      <c r="Z771" s="169" t="str">
        <f t="shared" si="7"/>
        <v/>
      </c>
      <c r="AA771" s="169"/>
      <c r="AB771" s="169" t="str">
        <f t="shared" si="8"/>
        <v/>
      </c>
      <c r="AC771" s="169"/>
      <c r="AD771" s="169" t="str">
        <f t="shared" si="9"/>
        <v/>
      </c>
      <c r="AE771" s="169"/>
      <c r="AF771" s="169" t="str">
        <f t="shared" si="10"/>
        <v/>
      </c>
      <c r="AG771" s="169"/>
      <c r="AH771" s="169" t="str">
        <f t="shared" si="11"/>
        <v/>
      </c>
      <c r="AI771" s="169"/>
      <c r="AJ771" s="169" t="str">
        <f t="shared" si="12"/>
        <v/>
      </c>
    </row>
    <row r="77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 t="str">
        <f t="shared" si="2"/>
        <v/>
      </c>
      <c r="Q772" s="169"/>
      <c r="R772" s="169" t="str">
        <f t="shared" si="3"/>
        <v/>
      </c>
      <c r="S772" s="169"/>
      <c r="T772" s="169" t="str">
        <f t="shared" si="4"/>
        <v/>
      </c>
      <c r="U772" s="169"/>
      <c r="V772" s="169" t="str">
        <f t="shared" si="5"/>
        <v/>
      </c>
      <c r="W772" s="169"/>
      <c r="X772" s="169" t="str">
        <f t="shared" si="6"/>
        <v/>
      </c>
      <c r="Y772" s="169"/>
      <c r="Z772" s="169" t="str">
        <f t="shared" si="7"/>
        <v/>
      </c>
      <c r="AA772" s="169"/>
      <c r="AB772" s="169" t="str">
        <f t="shared" si="8"/>
        <v/>
      </c>
      <c r="AC772" s="169"/>
      <c r="AD772" s="169" t="str">
        <f t="shared" si="9"/>
        <v/>
      </c>
      <c r="AE772" s="169"/>
      <c r="AF772" s="169" t="str">
        <f t="shared" si="10"/>
        <v/>
      </c>
      <c r="AG772" s="169"/>
      <c r="AH772" s="169" t="str">
        <f t="shared" si="11"/>
        <v/>
      </c>
      <c r="AI772" s="169"/>
      <c r="AJ772" s="169" t="str">
        <f t="shared" si="12"/>
        <v/>
      </c>
    </row>
    <row r="773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 t="str">
        <f t="shared" si="2"/>
        <v/>
      </c>
      <c r="Q773" s="169"/>
      <c r="R773" s="169" t="str">
        <f t="shared" si="3"/>
        <v/>
      </c>
      <c r="S773" s="169"/>
      <c r="T773" s="169" t="str">
        <f t="shared" si="4"/>
        <v/>
      </c>
      <c r="U773" s="169"/>
      <c r="V773" s="169" t="str">
        <f t="shared" si="5"/>
        <v/>
      </c>
      <c r="W773" s="169"/>
      <c r="X773" s="169" t="str">
        <f t="shared" si="6"/>
        <v/>
      </c>
      <c r="Y773" s="169"/>
      <c r="Z773" s="169" t="str">
        <f t="shared" si="7"/>
        <v/>
      </c>
      <c r="AA773" s="169"/>
      <c r="AB773" s="169" t="str">
        <f t="shared" si="8"/>
        <v/>
      </c>
      <c r="AC773" s="169"/>
      <c r="AD773" s="169" t="str">
        <f t="shared" si="9"/>
        <v/>
      </c>
      <c r="AE773" s="169"/>
      <c r="AF773" s="169" t="str">
        <f t="shared" si="10"/>
        <v/>
      </c>
      <c r="AG773" s="169"/>
      <c r="AH773" s="169" t="str">
        <f t="shared" si="11"/>
        <v/>
      </c>
      <c r="AI773" s="169"/>
      <c r="AJ773" s="169" t="str">
        <f t="shared" si="12"/>
        <v/>
      </c>
    </row>
    <row r="774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 t="str">
        <f t="shared" si="2"/>
        <v/>
      </c>
      <c r="Q774" s="169"/>
      <c r="R774" s="169" t="str">
        <f t="shared" si="3"/>
        <v/>
      </c>
      <c r="S774" s="169"/>
      <c r="T774" s="169" t="str">
        <f t="shared" si="4"/>
        <v/>
      </c>
      <c r="U774" s="169"/>
      <c r="V774" s="169" t="str">
        <f t="shared" si="5"/>
        <v/>
      </c>
      <c r="W774" s="169"/>
      <c r="X774" s="169" t="str">
        <f t="shared" si="6"/>
        <v/>
      </c>
      <c r="Y774" s="169"/>
      <c r="Z774" s="169" t="str">
        <f t="shared" si="7"/>
        <v/>
      </c>
      <c r="AA774" s="169"/>
      <c r="AB774" s="169" t="str">
        <f t="shared" si="8"/>
        <v/>
      </c>
      <c r="AC774" s="169"/>
      <c r="AD774" s="169" t="str">
        <f t="shared" si="9"/>
        <v/>
      </c>
      <c r="AE774" s="169"/>
      <c r="AF774" s="169" t="str">
        <f t="shared" si="10"/>
        <v/>
      </c>
      <c r="AG774" s="169"/>
      <c r="AH774" s="169" t="str">
        <f t="shared" si="11"/>
        <v/>
      </c>
      <c r="AI774" s="169"/>
      <c r="AJ774" s="169" t="str">
        <f t="shared" si="12"/>
        <v/>
      </c>
    </row>
    <row r="77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 t="str">
        <f t="shared" si="2"/>
        <v/>
      </c>
      <c r="Q775" s="169"/>
      <c r="R775" s="169" t="str">
        <f t="shared" si="3"/>
        <v/>
      </c>
      <c r="S775" s="169"/>
      <c r="T775" s="169" t="str">
        <f t="shared" si="4"/>
        <v/>
      </c>
      <c r="U775" s="169"/>
      <c r="V775" s="169" t="str">
        <f t="shared" si="5"/>
        <v/>
      </c>
      <c r="W775" s="169"/>
      <c r="X775" s="169" t="str">
        <f t="shared" si="6"/>
        <v/>
      </c>
      <c r="Y775" s="169"/>
      <c r="Z775" s="169" t="str">
        <f t="shared" si="7"/>
        <v/>
      </c>
      <c r="AA775" s="169"/>
      <c r="AB775" s="169" t="str">
        <f t="shared" si="8"/>
        <v/>
      </c>
      <c r="AC775" s="169"/>
      <c r="AD775" s="169" t="str">
        <f t="shared" si="9"/>
        <v/>
      </c>
      <c r="AE775" s="169"/>
      <c r="AF775" s="169" t="str">
        <f t="shared" si="10"/>
        <v/>
      </c>
      <c r="AG775" s="169"/>
      <c r="AH775" s="169" t="str">
        <f t="shared" si="11"/>
        <v/>
      </c>
      <c r="AI775" s="169"/>
      <c r="AJ775" s="169" t="str">
        <f t="shared" si="12"/>
        <v/>
      </c>
    </row>
    <row r="776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 t="str">
        <f t="shared" si="2"/>
        <v/>
      </c>
      <c r="Q776" s="169"/>
      <c r="R776" s="169" t="str">
        <f t="shared" si="3"/>
        <v/>
      </c>
      <c r="S776" s="169"/>
      <c r="T776" s="169" t="str">
        <f t="shared" si="4"/>
        <v/>
      </c>
      <c r="U776" s="169"/>
      <c r="V776" s="169" t="str">
        <f t="shared" si="5"/>
        <v/>
      </c>
      <c r="W776" s="169"/>
      <c r="X776" s="169" t="str">
        <f t="shared" si="6"/>
        <v/>
      </c>
      <c r="Y776" s="169"/>
      <c r="Z776" s="169" t="str">
        <f t="shared" si="7"/>
        <v/>
      </c>
      <c r="AA776" s="169"/>
      <c r="AB776" s="169" t="str">
        <f t="shared" si="8"/>
        <v/>
      </c>
      <c r="AC776" s="169"/>
      <c r="AD776" s="169" t="str">
        <f t="shared" si="9"/>
        <v/>
      </c>
      <c r="AE776" s="169"/>
      <c r="AF776" s="169" t="str">
        <f t="shared" si="10"/>
        <v/>
      </c>
      <c r="AG776" s="169"/>
      <c r="AH776" s="169" t="str">
        <f t="shared" si="11"/>
        <v/>
      </c>
      <c r="AI776" s="169"/>
      <c r="AJ776" s="169" t="str">
        <f t="shared" si="12"/>
        <v/>
      </c>
    </row>
    <row r="777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 t="str">
        <f t="shared" si="2"/>
        <v/>
      </c>
      <c r="Q777" s="169"/>
      <c r="R777" s="169" t="str">
        <f t="shared" si="3"/>
        <v/>
      </c>
      <c r="S777" s="169"/>
      <c r="T777" s="169" t="str">
        <f t="shared" si="4"/>
        <v/>
      </c>
      <c r="U777" s="169"/>
      <c r="V777" s="169" t="str">
        <f t="shared" si="5"/>
        <v/>
      </c>
      <c r="W777" s="169"/>
      <c r="X777" s="169" t="str">
        <f t="shared" si="6"/>
        <v/>
      </c>
      <c r="Y777" s="169"/>
      <c r="Z777" s="169" t="str">
        <f t="shared" si="7"/>
        <v/>
      </c>
      <c r="AA777" s="169"/>
      <c r="AB777" s="169" t="str">
        <f t="shared" si="8"/>
        <v/>
      </c>
      <c r="AC777" s="169"/>
      <c r="AD777" s="169" t="str">
        <f t="shared" si="9"/>
        <v/>
      </c>
      <c r="AE777" s="169"/>
      <c r="AF777" s="169" t="str">
        <f t="shared" si="10"/>
        <v/>
      </c>
      <c r="AG777" s="169"/>
      <c r="AH777" s="169" t="str">
        <f t="shared" si="11"/>
        <v/>
      </c>
      <c r="AI777" s="169"/>
      <c r="AJ777" s="169" t="str">
        <f t="shared" si="12"/>
        <v/>
      </c>
    </row>
    <row r="778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 t="str">
        <f t="shared" si="2"/>
        <v/>
      </c>
      <c r="Q778" s="169"/>
      <c r="R778" s="169" t="str">
        <f t="shared" si="3"/>
        <v/>
      </c>
      <c r="S778" s="169"/>
      <c r="T778" s="169" t="str">
        <f t="shared" si="4"/>
        <v/>
      </c>
      <c r="U778" s="169"/>
      <c r="V778" s="169" t="str">
        <f t="shared" si="5"/>
        <v/>
      </c>
      <c r="W778" s="169"/>
      <c r="X778" s="169" t="str">
        <f t="shared" si="6"/>
        <v/>
      </c>
      <c r="Y778" s="169"/>
      <c r="Z778" s="169" t="str">
        <f t="shared" si="7"/>
        <v/>
      </c>
      <c r="AA778" s="169"/>
      <c r="AB778" s="169" t="str">
        <f t="shared" si="8"/>
        <v/>
      </c>
      <c r="AC778" s="169"/>
      <c r="AD778" s="169" t="str">
        <f t="shared" si="9"/>
        <v/>
      </c>
      <c r="AE778" s="169"/>
      <c r="AF778" s="169" t="str">
        <f t="shared" si="10"/>
        <v/>
      </c>
      <c r="AG778" s="169"/>
      <c r="AH778" s="169" t="str">
        <f t="shared" si="11"/>
        <v/>
      </c>
      <c r="AI778" s="169"/>
      <c r="AJ778" s="169" t="str">
        <f t="shared" si="12"/>
        <v/>
      </c>
    </row>
    <row r="779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 t="str">
        <f t="shared" si="2"/>
        <v/>
      </c>
      <c r="Q779" s="169"/>
      <c r="R779" s="169" t="str">
        <f t="shared" si="3"/>
        <v/>
      </c>
      <c r="S779" s="169"/>
      <c r="T779" s="169" t="str">
        <f t="shared" si="4"/>
        <v/>
      </c>
      <c r="U779" s="169"/>
      <c r="V779" s="169" t="str">
        <f t="shared" si="5"/>
        <v/>
      </c>
      <c r="W779" s="169"/>
      <c r="X779" s="169" t="str">
        <f t="shared" si="6"/>
        <v/>
      </c>
      <c r="Y779" s="169"/>
      <c r="Z779" s="169" t="str">
        <f t="shared" si="7"/>
        <v/>
      </c>
      <c r="AA779" s="169"/>
      <c r="AB779" s="169" t="str">
        <f t="shared" si="8"/>
        <v/>
      </c>
      <c r="AC779" s="169"/>
      <c r="AD779" s="169" t="str">
        <f t="shared" si="9"/>
        <v/>
      </c>
      <c r="AE779" s="169"/>
      <c r="AF779" s="169" t="str">
        <f t="shared" si="10"/>
        <v/>
      </c>
      <c r="AG779" s="169"/>
      <c r="AH779" s="169" t="str">
        <f t="shared" si="11"/>
        <v/>
      </c>
      <c r="AI779" s="169"/>
      <c r="AJ779" s="169" t="str">
        <f t="shared" si="12"/>
        <v/>
      </c>
    </row>
    <row r="780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 t="str">
        <f t="shared" si="2"/>
        <v/>
      </c>
      <c r="Q780" s="169"/>
      <c r="R780" s="169" t="str">
        <f t="shared" si="3"/>
        <v/>
      </c>
      <c r="S780" s="169"/>
      <c r="T780" s="169" t="str">
        <f t="shared" si="4"/>
        <v/>
      </c>
      <c r="U780" s="169"/>
      <c r="V780" s="169" t="str">
        <f t="shared" si="5"/>
        <v/>
      </c>
      <c r="W780" s="169"/>
      <c r="X780" s="169" t="str">
        <f t="shared" si="6"/>
        <v/>
      </c>
      <c r="Y780" s="169"/>
      <c r="Z780" s="169" t="str">
        <f t="shared" si="7"/>
        <v/>
      </c>
      <c r="AA780" s="169"/>
      <c r="AB780" s="169" t="str">
        <f t="shared" si="8"/>
        <v/>
      </c>
      <c r="AC780" s="169"/>
      <c r="AD780" s="169" t="str">
        <f t="shared" si="9"/>
        <v/>
      </c>
      <c r="AE780" s="169"/>
      <c r="AF780" s="169" t="str">
        <f t="shared" si="10"/>
        <v/>
      </c>
      <c r="AG780" s="169"/>
      <c r="AH780" s="169" t="str">
        <f t="shared" si="11"/>
        <v/>
      </c>
      <c r="AI780" s="169"/>
      <c r="AJ780" s="169" t="str">
        <f t="shared" si="12"/>
        <v/>
      </c>
    </row>
    <row r="78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 t="str">
        <f t="shared" si="2"/>
        <v/>
      </c>
      <c r="Q781" s="169"/>
      <c r="R781" s="169" t="str">
        <f t="shared" si="3"/>
        <v/>
      </c>
      <c r="S781" s="169"/>
      <c r="T781" s="169" t="str">
        <f t="shared" si="4"/>
        <v/>
      </c>
      <c r="U781" s="169"/>
      <c r="V781" s="169" t="str">
        <f t="shared" si="5"/>
        <v/>
      </c>
      <c r="W781" s="169"/>
      <c r="X781" s="169" t="str">
        <f t="shared" si="6"/>
        <v/>
      </c>
      <c r="Y781" s="169"/>
      <c r="Z781" s="169" t="str">
        <f t="shared" si="7"/>
        <v/>
      </c>
      <c r="AA781" s="169"/>
      <c r="AB781" s="169" t="str">
        <f t="shared" si="8"/>
        <v/>
      </c>
      <c r="AC781" s="169"/>
      <c r="AD781" s="169" t="str">
        <f t="shared" si="9"/>
        <v/>
      </c>
      <c r="AE781" s="169"/>
      <c r="AF781" s="169" t="str">
        <f t="shared" si="10"/>
        <v/>
      </c>
      <c r="AG781" s="169"/>
      <c r="AH781" s="169" t="str">
        <f t="shared" si="11"/>
        <v/>
      </c>
      <c r="AI781" s="169"/>
      <c r="AJ781" s="169" t="str">
        <f t="shared" si="12"/>
        <v/>
      </c>
    </row>
    <row r="78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 t="str">
        <f t="shared" si="2"/>
        <v/>
      </c>
      <c r="Q782" s="169"/>
      <c r="R782" s="169" t="str">
        <f t="shared" si="3"/>
        <v/>
      </c>
      <c r="S782" s="169"/>
      <c r="T782" s="169" t="str">
        <f t="shared" si="4"/>
        <v/>
      </c>
      <c r="U782" s="169"/>
      <c r="V782" s="169" t="str">
        <f t="shared" si="5"/>
        <v/>
      </c>
      <c r="W782" s="169"/>
      <c r="X782" s="169" t="str">
        <f t="shared" si="6"/>
        <v/>
      </c>
      <c r="Y782" s="169"/>
      <c r="Z782" s="169" t="str">
        <f t="shared" si="7"/>
        <v/>
      </c>
      <c r="AA782" s="169"/>
      <c r="AB782" s="169" t="str">
        <f t="shared" si="8"/>
        <v/>
      </c>
      <c r="AC782" s="169"/>
      <c r="AD782" s="169" t="str">
        <f t="shared" si="9"/>
        <v/>
      </c>
      <c r="AE782" s="169"/>
      <c r="AF782" s="169" t="str">
        <f t="shared" si="10"/>
        <v/>
      </c>
      <c r="AG782" s="169"/>
      <c r="AH782" s="169" t="str">
        <f t="shared" si="11"/>
        <v/>
      </c>
      <c r="AI782" s="169"/>
      <c r="AJ782" s="169" t="str">
        <f t="shared" si="12"/>
        <v/>
      </c>
    </row>
    <row r="783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 t="str">
        <f t="shared" si="2"/>
        <v/>
      </c>
      <c r="Q783" s="169"/>
      <c r="R783" s="169" t="str">
        <f t="shared" si="3"/>
        <v/>
      </c>
      <c r="S783" s="169"/>
      <c r="T783" s="169" t="str">
        <f t="shared" si="4"/>
        <v/>
      </c>
      <c r="U783" s="169"/>
      <c r="V783" s="169" t="str">
        <f t="shared" si="5"/>
        <v/>
      </c>
      <c r="W783" s="169"/>
      <c r="X783" s="169" t="str">
        <f t="shared" si="6"/>
        <v/>
      </c>
      <c r="Y783" s="169"/>
      <c r="Z783" s="169" t="str">
        <f t="shared" si="7"/>
        <v/>
      </c>
      <c r="AA783" s="169"/>
      <c r="AB783" s="169" t="str">
        <f t="shared" si="8"/>
        <v/>
      </c>
      <c r="AC783" s="169"/>
      <c r="AD783" s="169" t="str">
        <f t="shared" si="9"/>
        <v/>
      </c>
      <c r="AE783" s="169"/>
      <c r="AF783" s="169" t="str">
        <f t="shared" si="10"/>
        <v/>
      </c>
      <c r="AG783" s="169"/>
      <c r="AH783" s="169" t="str">
        <f t="shared" si="11"/>
        <v/>
      </c>
      <c r="AI783" s="169"/>
      <c r="AJ783" s="169" t="str">
        <f t="shared" si="12"/>
        <v/>
      </c>
    </row>
    <row r="784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 t="str">
        <f t="shared" si="2"/>
        <v/>
      </c>
      <c r="Q784" s="169"/>
      <c r="R784" s="169" t="str">
        <f t="shared" si="3"/>
        <v/>
      </c>
      <c r="S784" s="169"/>
      <c r="T784" s="169" t="str">
        <f t="shared" si="4"/>
        <v/>
      </c>
      <c r="U784" s="169"/>
      <c r="V784" s="169" t="str">
        <f t="shared" si="5"/>
        <v/>
      </c>
      <c r="W784" s="169"/>
      <c r="X784" s="169" t="str">
        <f t="shared" si="6"/>
        <v/>
      </c>
      <c r="Y784" s="169"/>
      <c r="Z784" s="169" t="str">
        <f t="shared" si="7"/>
        <v/>
      </c>
      <c r="AA784" s="169"/>
      <c r="AB784" s="169" t="str">
        <f t="shared" si="8"/>
        <v/>
      </c>
      <c r="AC784" s="169"/>
      <c r="AD784" s="169" t="str">
        <f t="shared" si="9"/>
        <v/>
      </c>
      <c r="AE784" s="169"/>
      <c r="AF784" s="169" t="str">
        <f t="shared" si="10"/>
        <v/>
      </c>
      <c r="AG784" s="169"/>
      <c r="AH784" s="169" t="str">
        <f t="shared" si="11"/>
        <v/>
      </c>
      <c r="AI784" s="169"/>
      <c r="AJ784" s="169" t="str">
        <f t="shared" si="12"/>
        <v/>
      </c>
    </row>
    <row r="78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 t="str">
        <f t="shared" si="2"/>
        <v/>
      </c>
      <c r="Q785" s="169"/>
      <c r="R785" s="169" t="str">
        <f t="shared" si="3"/>
        <v/>
      </c>
      <c r="S785" s="169"/>
      <c r="T785" s="169" t="str">
        <f t="shared" si="4"/>
        <v/>
      </c>
      <c r="U785" s="169"/>
      <c r="V785" s="169" t="str">
        <f t="shared" si="5"/>
        <v/>
      </c>
      <c r="W785" s="169"/>
      <c r="X785" s="169" t="str">
        <f t="shared" si="6"/>
        <v/>
      </c>
      <c r="Y785" s="169"/>
      <c r="Z785" s="169" t="str">
        <f t="shared" si="7"/>
        <v/>
      </c>
      <c r="AA785" s="169"/>
      <c r="AB785" s="169" t="str">
        <f t="shared" si="8"/>
        <v/>
      </c>
      <c r="AC785" s="169"/>
      <c r="AD785" s="169" t="str">
        <f t="shared" si="9"/>
        <v/>
      </c>
      <c r="AE785" s="169"/>
      <c r="AF785" s="169" t="str">
        <f t="shared" si="10"/>
        <v/>
      </c>
      <c r="AG785" s="169"/>
      <c r="AH785" s="169" t="str">
        <f t="shared" si="11"/>
        <v/>
      </c>
      <c r="AI785" s="169"/>
      <c r="AJ785" s="169" t="str">
        <f t="shared" si="12"/>
        <v/>
      </c>
    </row>
    <row r="786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 t="str">
        <f t="shared" si="2"/>
        <v/>
      </c>
      <c r="Q786" s="169"/>
      <c r="R786" s="169" t="str">
        <f t="shared" si="3"/>
        <v/>
      </c>
      <c r="S786" s="169"/>
      <c r="T786" s="169" t="str">
        <f t="shared" si="4"/>
        <v/>
      </c>
      <c r="U786" s="169"/>
      <c r="V786" s="169" t="str">
        <f t="shared" si="5"/>
        <v/>
      </c>
      <c r="W786" s="169"/>
      <c r="X786" s="169" t="str">
        <f t="shared" si="6"/>
        <v/>
      </c>
      <c r="Y786" s="169"/>
      <c r="Z786" s="169" t="str">
        <f t="shared" si="7"/>
        <v/>
      </c>
      <c r="AA786" s="169"/>
      <c r="AB786" s="169" t="str">
        <f t="shared" si="8"/>
        <v/>
      </c>
      <c r="AC786" s="169"/>
      <c r="AD786" s="169" t="str">
        <f t="shared" si="9"/>
        <v/>
      </c>
      <c r="AE786" s="169"/>
      <c r="AF786" s="169" t="str">
        <f t="shared" si="10"/>
        <v/>
      </c>
      <c r="AG786" s="169"/>
      <c r="AH786" s="169" t="str">
        <f t="shared" si="11"/>
        <v/>
      </c>
      <c r="AI786" s="169"/>
      <c r="AJ786" s="169" t="str">
        <f t="shared" si="12"/>
        <v/>
      </c>
    </row>
    <row r="787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 t="str">
        <f t="shared" si="2"/>
        <v/>
      </c>
      <c r="Q787" s="169"/>
      <c r="R787" s="169" t="str">
        <f t="shared" si="3"/>
        <v/>
      </c>
      <c r="S787" s="169"/>
      <c r="T787" s="169" t="str">
        <f t="shared" si="4"/>
        <v/>
      </c>
      <c r="U787" s="169"/>
      <c r="V787" s="169" t="str">
        <f t="shared" si="5"/>
        <v/>
      </c>
      <c r="W787" s="169"/>
      <c r="X787" s="169" t="str">
        <f t="shared" si="6"/>
        <v/>
      </c>
      <c r="Y787" s="169"/>
      <c r="Z787" s="169" t="str">
        <f t="shared" si="7"/>
        <v/>
      </c>
      <c r="AA787" s="169"/>
      <c r="AB787" s="169" t="str">
        <f t="shared" si="8"/>
        <v/>
      </c>
      <c r="AC787" s="169"/>
      <c r="AD787" s="169" t="str">
        <f t="shared" si="9"/>
        <v/>
      </c>
      <c r="AE787" s="169"/>
      <c r="AF787" s="169" t="str">
        <f t="shared" si="10"/>
        <v/>
      </c>
      <c r="AG787" s="169"/>
      <c r="AH787" s="169" t="str">
        <f t="shared" si="11"/>
        <v/>
      </c>
      <c r="AI787" s="169"/>
      <c r="AJ787" s="169" t="str">
        <f t="shared" si="12"/>
        <v/>
      </c>
    </row>
    <row r="788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 t="str">
        <f t="shared" si="2"/>
        <v/>
      </c>
      <c r="Q788" s="169"/>
      <c r="R788" s="169" t="str">
        <f t="shared" si="3"/>
        <v/>
      </c>
      <c r="S788" s="169"/>
      <c r="T788" s="169" t="str">
        <f t="shared" si="4"/>
        <v/>
      </c>
      <c r="U788" s="169"/>
      <c r="V788" s="169" t="str">
        <f t="shared" si="5"/>
        <v/>
      </c>
      <c r="W788" s="169"/>
      <c r="X788" s="169" t="str">
        <f t="shared" si="6"/>
        <v/>
      </c>
      <c r="Y788" s="169"/>
      <c r="Z788" s="169" t="str">
        <f t="shared" si="7"/>
        <v/>
      </c>
      <c r="AA788" s="169"/>
      <c r="AB788" s="169" t="str">
        <f t="shared" si="8"/>
        <v/>
      </c>
      <c r="AC788" s="169"/>
      <c r="AD788" s="169" t="str">
        <f t="shared" si="9"/>
        <v/>
      </c>
      <c r="AE788" s="169"/>
      <c r="AF788" s="169" t="str">
        <f t="shared" si="10"/>
        <v/>
      </c>
      <c r="AG788" s="169"/>
      <c r="AH788" s="169" t="str">
        <f t="shared" si="11"/>
        <v/>
      </c>
      <c r="AI788" s="169"/>
      <c r="AJ788" s="169" t="str">
        <f t="shared" si="12"/>
        <v/>
      </c>
    </row>
    <row r="789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 t="str">
        <f t="shared" si="2"/>
        <v/>
      </c>
      <c r="Q789" s="169"/>
      <c r="R789" s="169" t="str">
        <f t="shared" si="3"/>
        <v/>
      </c>
      <c r="S789" s="169"/>
      <c r="T789" s="169" t="str">
        <f t="shared" si="4"/>
        <v/>
      </c>
      <c r="U789" s="169"/>
      <c r="V789" s="169" t="str">
        <f t="shared" si="5"/>
        <v/>
      </c>
      <c r="W789" s="169"/>
      <c r="X789" s="169" t="str">
        <f t="shared" si="6"/>
        <v/>
      </c>
      <c r="Y789" s="169"/>
      <c r="Z789" s="169" t="str">
        <f t="shared" si="7"/>
        <v/>
      </c>
      <c r="AA789" s="169"/>
      <c r="AB789" s="169" t="str">
        <f t="shared" si="8"/>
        <v/>
      </c>
      <c r="AC789" s="169"/>
      <c r="AD789" s="169" t="str">
        <f t="shared" si="9"/>
        <v/>
      </c>
      <c r="AE789" s="169"/>
      <c r="AF789" s="169" t="str">
        <f t="shared" si="10"/>
        <v/>
      </c>
      <c r="AG789" s="169"/>
      <c r="AH789" s="169" t="str">
        <f t="shared" si="11"/>
        <v/>
      </c>
      <c r="AI789" s="169"/>
      <c r="AJ789" s="169" t="str">
        <f t="shared" si="12"/>
        <v/>
      </c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 t="str">
        <f t="shared" si="2"/>
        <v/>
      </c>
      <c r="Q790" s="169"/>
      <c r="R790" s="169" t="str">
        <f t="shared" si="3"/>
        <v/>
      </c>
      <c r="S790" s="169"/>
      <c r="T790" s="169" t="str">
        <f t="shared" si="4"/>
        <v/>
      </c>
      <c r="U790" s="169"/>
      <c r="V790" s="169" t="str">
        <f t="shared" si="5"/>
        <v/>
      </c>
      <c r="W790" s="169"/>
      <c r="X790" s="169" t="str">
        <f t="shared" si="6"/>
        <v/>
      </c>
      <c r="Y790" s="169"/>
      <c r="Z790" s="169" t="str">
        <f t="shared" si="7"/>
        <v/>
      </c>
      <c r="AA790" s="169"/>
      <c r="AB790" s="169" t="str">
        <f t="shared" si="8"/>
        <v/>
      </c>
      <c r="AC790" s="169"/>
      <c r="AD790" s="169" t="str">
        <f t="shared" si="9"/>
        <v/>
      </c>
      <c r="AE790" s="169"/>
      <c r="AF790" s="169" t="str">
        <f t="shared" si="10"/>
        <v/>
      </c>
      <c r="AG790" s="169"/>
      <c r="AH790" s="169" t="str">
        <f t="shared" si="11"/>
        <v/>
      </c>
      <c r="AI790" s="169"/>
      <c r="AJ790" s="169" t="str">
        <f t="shared" si="12"/>
        <v/>
      </c>
    </row>
    <row r="79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 t="str">
        <f t="shared" si="2"/>
        <v/>
      </c>
      <c r="Q791" s="169"/>
      <c r="R791" s="169" t="str">
        <f t="shared" si="3"/>
        <v/>
      </c>
      <c r="S791" s="169"/>
      <c r="T791" s="169" t="str">
        <f t="shared" si="4"/>
        <v/>
      </c>
      <c r="U791" s="169"/>
      <c r="V791" s="169" t="str">
        <f t="shared" si="5"/>
        <v/>
      </c>
      <c r="W791" s="169"/>
      <c r="X791" s="169" t="str">
        <f t="shared" si="6"/>
        <v/>
      </c>
      <c r="Y791" s="169"/>
      <c r="Z791" s="169" t="str">
        <f t="shared" si="7"/>
        <v/>
      </c>
      <c r="AA791" s="169"/>
      <c r="AB791" s="169" t="str">
        <f t="shared" si="8"/>
        <v/>
      </c>
      <c r="AC791" s="169"/>
      <c r="AD791" s="169" t="str">
        <f t="shared" si="9"/>
        <v/>
      </c>
      <c r="AE791" s="169"/>
      <c r="AF791" s="169" t="str">
        <f t="shared" si="10"/>
        <v/>
      </c>
      <c r="AG791" s="169"/>
      <c r="AH791" s="169" t="str">
        <f t="shared" si="11"/>
        <v/>
      </c>
      <c r="AI791" s="169"/>
      <c r="AJ791" s="169" t="str">
        <f t="shared" si="12"/>
        <v/>
      </c>
    </row>
    <row r="79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 t="str">
        <f t="shared" si="2"/>
        <v/>
      </c>
      <c r="Q792" s="169"/>
      <c r="R792" s="169" t="str">
        <f t="shared" si="3"/>
        <v/>
      </c>
      <c r="S792" s="169"/>
      <c r="T792" s="169" t="str">
        <f t="shared" si="4"/>
        <v/>
      </c>
      <c r="U792" s="169"/>
      <c r="V792" s="169" t="str">
        <f t="shared" si="5"/>
        <v/>
      </c>
      <c r="W792" s="169"/>
      <c r="X792" s="169" t="str">
        <f t="shared" si="6"/>
        <v/>
      </c>
      <c r="Y792" s="169"/>
      <c r="Z792" s="169" t="str">
        <f t="shared" si="7"/>
        <v/>
      </c>
      <c r="AA792" s="169"/>
      <c r="AB792" s="169" t="str">
        <f t="shared" si="8"/>
        <v/>
      </c>
      <c r="AC792" s="169"/>
      <c r="AD792" s="169" t="str">
        <f t="shared" si="9"/>
        <v/>
      </c>
      <c r="AE792" s="169"/>
      <c r="AF792" s="169" t="str">
        <f t="shared" si="10"/>
        <v/>
      </c>
      <c r="AG792" s="169"/>
      <c r="AH792" s="169" t="str">
        <f t="shared" si="11"/>
        <v/>
      </c>
      <c r="AI792" s="169"/>
      <c r="AJ792" s="169" t="str">
        <f t="shared" si="12"/>
        <v/>
      </c>
    </row>
    <row r="793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 t="str">
        <f t="shared" si="2"/>
        <v/>
      </c>
      <c r="Q793" s="169"/>
      <c r="R793" s="169" t="str">
        <f t="shared" si="3"/>
        <v/>
      </c>
      <c r="S793" s="169"/>
      <c r="T793" s="169" t="str">
        <f t="shared" si="4"/>
        <v/>
      </c>
      <c r="U793" s="169"/>
      <c r="V793" s="169" t="str">
        <f t="shared" si="5"/>
        <v/>
      </c>
      <c r="W793" s="169"/>
      <c r="X793" s="169" t="str">
        <f t="shared" si="6"/>
        <v/>
      </c>
      <c r="Y793" s="169"/>
      <c r="Z793" s="169" t="str">
        <f t="shared" si="7"/>
        <v/>
      </c>
      <c r="AA793" s="169"/>
      <c r="AB793" s="169" t="str">
        <f t="shared" si="8"/>
        <v/>
      </c>
      <c r="AC793" s="169"/>
      <c r="AD793" s="169" t="str">
        <f t="shared" si="9"/>
        <v/>
      </c>
      <c r="AE793" s="169"/>
      <c r="AF793" s="169" t="str">
        <f t="shared" si="10"/>
        <v/>
      </c>
      <c r="AG793" s="169"/>
      <c r="AH793" s="169" t="str">
        <f t="shared" si="11"/>
        <v/>
      </c>
      <c r="AI793" s="169"/>
      <c r="AJ793" s="169" t="str">
        <f t="shared" si="12"/>
        <v/>
      </c>
    </row>
    <row r="794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 t="str">
        <f t="shared" si="2"/>
        <v/>
      </c>
      <c r="Q794" s="169"/>
      <c r="R794" s="169" t="str">
        <f t="shared" si="3"/>
        <v/>
      </c>
      <c r="S794" s="169"/>
      <c r="T794" s="169" t="str">
        <f t="shared" si="4"/>
        <v/>
      </c>
      <c r="U794" s="169"/>
      <c r="V794" s="169" t="str">
        <f t="shared" si="5"/>
        <v/>
      </c>
      <c r="W794" s="169"/>
      <c r="X794" s="169" t="str">
        <f t="shared" si="6"/>
        <v/>
      </c>
      <c r="Y794" s="169"/>
      <c r="Z794" s="169" t="str">
        <f t="shared" si="7"/>
        <v/>
      </c>
      <c r="AA794" s="169"/>
      <c r="AB794" s="169" t="str">
        <f t="shared" si="8"/>
        <v/>
      </c>
      <c r="AC794" s="169"/>
      <c r="AD794" s="169" t="str">
        <f t="shared" si="9"/>
        <v/>
      </c>
      <c r="AE794" s="169"/>
      <c r="AF794" s="169" t="str">
        <f t="shared" si="10"/>
        <v/>
      </c>
      <c r="AG794" s="169"/>
      <c r="AH794" s="169" t="str">
        <f t="shared" si="11"/>
        <v/>
      </c>
      <c r="AI794" s="169"/>
      <c r="AJ794" s="169" t="str">
        <f t="shared" si="12"/>
        <v/>
      </c>
    </row>
    <row r="79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 t="str">
        <f t="shared" si="2"/>
        <v/>
      </c>
      <c r="Q795" s="169"/>
      <c r="R795" s="169" t="str">
        <f t="shared" si="3"/>
        <v/>
      </c>
      <c r="S795" s="169"/>
      <c r="T795" s="169" t="str">
        <f t="shared" si="4"/>
        <v/>
      </c>
      <c r="U795" s="169"/>
      <c r="V795" s="169" t="str">
        <f t="shared" si="5"/>
        <v/>
      </c>
      <c r="W795" s="169"/>
      <c r="X795" s="169" t="str">
        <f t="shared" si="6"/>
        <v/>
      </c>
      <c r="Y795" s="169"/>
      <c r="Z795" s="169" t="str">
        <f t="shared" si="7"/>
        <v/>
      </c>
      <c r="AA795" s="169"/>
      <c r="AB795" s="169" t="str">
        <f t="shared" si="8"/>
        <v/>
      </c>
      <c r="AC795" s="169"/>
      <c r="AD795" s="169" t="str">
        <f t="shared" si="9"/>
        <v/>
      </c>
      <c r="AE795" s="169"/>
      <c r="AF795" s="169" t="str">
        <f t="shared" si="10"/>
        <v/>
      </c>
      <c r="AG795" s="169"/>
      <c r="AH795" s="169" t="str">
        <f t="shared" si="11"/>
        <v/>
      </c>
      <c r="AI795" s="169"/>
      <c r="AJ795" s="169" t="str">
        <f t="shared" si="12"/>
        <v/>
      </c>
    </row>
    <row r="796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 t="str">
        <f t="shared" si="2"/>
        <v/>
      </c>
      <c r="Q796" s="169"/>
      <c r="R796" s="169" t="str">
        <f t="shared" si="3"/>
        <v/>
      </c>
      <c r="S796" s="169"/>
      <c r="T796" s="169" t="str">
        <f t="shared" si="4"/>
        <v/>
      </c>
      <c r="U796" s="169"/>
      <c r="V796" s="169" t="str">
        <f t="shared" si="5"/>
        <v/>
      </c>
      <c r="W796" s="169"/>
      <c r="X796" s="169" t="str">
        <f t="shared" si="6"/>
        <v/>
      </c>
      <c r="Y796" s="169"/>
      <c r="Z796" s="169" t="str">
        <f t="shared" si="7"/>
        <v/>
      </c>
      <c r="AA796" s="169"/>
      <c r="AB796" s="169" t="str">
        <f t="shared" si="8"/>
        <v/>
      </c>
      <c r="AC796" s="169"/>
      <c r="AD796" s="169" t="str">
        <f t="shared" si="9"/>
        <v/>
      </c>
      <c r="AE796" s="169"/>
      <c r="AF796" s="169" t="str">
        <f t="shared" si="10"/>
        <v/>
      </c>
      <c r="AG796" s="169"/>
      <c r="AH796" s="169" t="str">
        <f t="shared" si="11"/>
        <v/>
      </c>
      <c r="AI796" s="169"/>
      <c r="AJ796" s="169" t="str">
        <f t="shared" si="12"/>
        <v/>
      </c>
    </row>
    <row r="797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 t="str">
        <f t="shared" si="2"/>
        <v/>
      </c>
      <c r="Q797" s="169"/>
      <c r="R797" s="169" t="str">
        <f t="shared" si="3"/>
        <v/>
      </c>
      <c r="S797" s="169"/>
      <c r="T797" s="169" t="str">
        <f t="shared" si="4"/>
        <v/>
      </c>
      <c r="U797" s="169"/>
      <c r="V797" s="169" t="str">
        <f t="shared" si="5"/>
        <v/>
      </c>
      <c r="W797" s="169"/>
      <c r="X797" s="169" t="str">
        <f t="shared" si="6"/>
        <v/>
      </c>
      <c r="Y797" s="169"/>
      <c r="Z797" s="169" t="str">
        <f t="shared" si="7"/>
        <v/>
      </c>
      <c r="AA797" s="169"/>
      <c r="AB797" s="169" t="str">
        <f t="shared" si="8"/>
        <v/>
      </c>
      <c r="AC797" s="169"/>
      <c r="AD797" s="169" t="str">
        <f t="shared" si="9"/>
        <v/>
      </c>
      <c r="AE797" s="169"/>
      <c r="AF797" s="169" t="str">
        <f t="shared" si="10"/>
        <v/>
      </c>
      <c r="AG797" s="169"/>
      <c r="AH797" s="169" t="str">
        <f t="shared" si="11"/>
        <v/>
      </c>
      <c r="AI797" s="169"/>
      <c r="AJ797" s="169" t="str">
        <f t="shared" si="12"/>
        <v/>
      </c>
    </row>
    <row r="798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 t="str">
        <f t="shared" si="2"/>
        <v/>
      </c>
      <c r="Q798" s="169"/>
      <c r="R798" s="169" t="str">
        <f t="shared" si="3"/>
        <v/>
      </c>
      <c r="S798" s="169"/>
      <c r="T798" s="169" t="str">
        <f t="shared" si="4"/>
        <v/>
      </c>
      <c r="U798" s="169"/>
      <c r="V798" s="169" t="str">
        <f t="shared" si="5"/>
        <v/>
      </c>
      <c r="W798" s="169"/>
      <c r="X798" s="169" t="str">
        <f t="shared" si="6"/>
        <v/>
      </c>
      <c r="Y798" s="169"/>
      <c r="Z798" s="169" t="str">
        <f t="shared" si="7"/>
        <v/>
      </c>
      <c r="AA798" s="169"/>
      <c r="AB798" s="169" t="str">
        <f t="shared" si="8"/>
        <v/>
      </c>
      <c r="AC798" s="169"/>
      <c r="AD798" s="169" t="str">
        <f t="shared" si="9"/>
        <v/>
      </c>
      <c r="AE798" s="169"/>
      <c r="AF798" s="169" t="str">
        <f t="shared" si="10"/>
        <v/>
      </c>
      <c r="AG798" s="169"/>
      <c r="AH798" s="169" t="str">
        <f t="shared" si="11"/>
        <v/>
      </c>
      <c r="AI798" s="169"/>
      <c r="AJ798" s="169" t="str">
        <f t="shared" si="12"/>
        <v/>
      </c>
    </row>
    <row r="799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 t="str">
        <f t="shared" si="2"/>
        <v/>
      </c>
      <c r="Q799" s="169"/>
      <c r="R799" s="169" t="str">
        <f t="shared" si="3"/>
        <v/>
      </c>
      <c r="S799" s="169"/>
      <c r="T799" s="169" t="str">
        <f t="shared" si="4"/>
        <v/>
      </c>
      <c r="U799" s="169"/>
      <c r="V799" s="169" t="str">
        <f t="shared" si="5"/>
        <v/>
      </c>
      <c r="W799" s="169"/>
      <c r="X799" s="169" t="str">
        <f t="shared" si="6"/>
        <v/>
      </c>
      <c r="Y799" s="169"/>
      <c r="Z799" s="169" t="str">
        <f t="shared" si="7"/>
        <v/>
      </c>
      <c r="AA799" s="169"/>
      <c r="AB799" s="169" t="str">
        <f t="shared" si="8"/>
        <v/>
      </c>
      <c r="AC799" s="169"/>
      <c r="AD799" s="169" t="str">
        <f t="shared" si="9"/>
        <v/>
      </c>
      <c r="AE799" s="169"/>
      <c r="AF799" s="169" t="str">
        <f t="shared" si="10"/>
        <v/>
      </c>
      <c r="AG799" s="169"/>
      <c r="AH799" s="169" t="str">
        <f t="shared" si="11"/>
        <v/>
      </c>
      <c r="AI799" s="169"/>
      <c r="AJ799" s="169" t="str">
        <f t="shared" si="12"/>
        <v/>
      </c>
    </row>
    <row r="800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 t="str">
        <f t="shared" si="2"/>
        <v/>
      </c>
      <c r="Q800" s="169"/>
      <c r="R800" s="169" t="str">
        <f t="shared" si="3"/>
        <v/>
      </c>
      <c r="S800" s="169"/>
      <c r="T800" s="169" t="str">
        <f t="shared" si="4"/>
        <v/>
      </c>
      <c r="U800" s="169"/>
      <c r="V800" s="169" t="str">
        <f t="shared" si="5"/>
        <v/>
      </c>
      <c r="W800" s="169"/>
      <c r="X800" s="169" t="str">
        <f t="shared" si="6"/>
        <v/>
      </c>
      <c r="Y800" s="169"/>
      <c r="Z800" s="169" t="str">
        <f t="shared" si="7"/>
        <v/>
      </c>
      <c r="AA800" s="169"/>
      <c r="AB800" s="169" t="str">
        <f t="shared" si="8"/>
        <v/>
      </c>
      <c r="AC800" s="169"/>
      <c r="AD800" s="169" t="str">
        <f t="shared" si="9"/>
        <v/>
      </c>
      <c r="AE800" s="169"/>
      <c r="AF800" s="169" t="str">
        <f t="shared" si="10"/>
        <v/>
      </c>
      <c r="AG800" s="169"/>
      <c r="AH800" s="169" t="str">
        <f t="shared" si="11"/>
        <v/>
      </c>
      <c r="AI800" s="169"/>
      <c r="AJ800" s="169" t="str">
        <f t="shared" si="12"/>
        <v/>
      </c>
    </row>
    <row r="80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 t="str">
        <f t="shared" si="2"/>
        <v/>
      </c>
      <c r="Q801" s="169"/>
      <c r="R801" s="169" t="str">
        <f t="shared" si="3"/>
        <v/>
      </c>
      <c r="S801" s="169"/>
      <c r="T801" s="169" t="str">
        <f t="shared" si="4"/>
        <v/>
      </c>
      <c r="U801" s="169"/>
      <c r="V801" s="169" t="str">
        <f t="shared" si="5"/>
        <v/>
      </c>
      <c r="W801" s="169"/>
      <c r="X801" s="169" t="str">
        <f t="shared" si="6"/>
        <v/>
      </c>
      <c r="Y801" s="169"/>
      <c r="Z801" s="169" t="str">
        <f t="shared" si="7"/>
        <v/>
      </c>
      <c r="AA801" s="169"/>
      <c r="AB801" s="169" t="str">
        <f t="shared" si="8"/>
        <v/>
      </c>
      <c r="AC801" s="169"/>
      <c r="AD801" s="169" t="str">
        <f t="shared" si="9"/>
        <v/>
      </c>
      <c r="AE801" s="169"/>
      <c r="AF801" s="169" t="str">
        <f t="shared" si="10"/>
        <v/>
      </c>
      <c r="AG801" s="169"/>
      <c r="AH801" s="169" t="str">
        <f t="shared" si="11"/>
        <v/>
      </c>
      <c r="AI801" s="169"/>
      <c r="AJ801" s="169" t="str">
        <f t="shared" si="12"/>
        <v/>
      </c>
    </row>
    <row r="80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 t="str">
        <f t="shared" si="2"/>
        <v/>
      </c>
      <c r="Q802" s="169"/>
      <c r="R802" s="169" t="str">
        <f t="shared" si="3"/>
        <v/>
      </c>
      <c r="S802" s="169"/>
      <c r="T802" s="169" t="str">
        <f t="shared" si="4"/>
        <v/>
      </c>
      <c r="U802" s="169"/>
      <c r="V802" s="169" t="str">
        <f t="shared" si="5"/>
        <v/>
      </c>
      <c r="W802" s="169"/>
      <c r="X802" s="169" t="str">
        <f t="shared" si="6"/>
        <v/>
      </c>
      <c r="Y802" s="169"/>
      <c r="Z802" s="169" t="str">
        <f t="shared" si="7"/>
        <v/>
      </c>
      <c r="AA802" s="169"/>
      <c r="AB802" s="169" t="str">
        <f t="shared" si="8"/>
        <v/>
      </c>
      <c r="AC802" s="169"/>
      <c r="AD802" s="169" t="str">
        <f t="shared" si="9"/>
        <v/>
      </c>
      <c r="AE802" s="169"/>
      <c r="AF802" s="169" t="str">
        <f t="shared" si="10"/>
        <v/>
      </c>
      <c r="AG802" s="169"/>
      <c r="AH802" s="169" t="str">
        <f t="shared" si="11"/>
        <v/>
      </c>
      <c r="AI802" s="169"/>
      <c r="AJ802" s="169" t="str">
        <f t="shared" si="12"/>
        <v/>
      </c>
    </row>
    <row r="803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 t="str">
        <f t="shared" si="2"/>
        <v/>
      </c>
      <c r="Q803" s="169"/>
      <c r="R803" s="169" t="str">
        <f t="shared" si="3"/>
        <v/>
      </c>
      <c r="S803" s="169"/>
      <c r="T803" s="169" t="str">
        <f t="shared" si="4"/>
        <v/>
      </c>
      <c r="U803" s="169"/>
      <c r="V803" s="169" t="str">
        <f t="shared" si="5"/>
        <v/>
      </c>
      <c r="W803" s="169"/>
      <c r="X803" s="169" t="str">
        <f t="shared" si="6"/>
        <v/>
      </c>
      <c r="Y803" s="169"/>
      <c r="Z803" s="169" t="str">
        <f t="shared" si="7"/>
        <v/>
      </c>
      <c r="AA803" s="169"/>
      <c r="AB803" s="169" t="str">
        <f t="shared" si="8"/>
        <v/>
      </c>
      <c r="AC803" s="169"/>
      <c r="AD803" s="169" t="str">
        <f t="shared" si="9"/>
        <v/>
      </c>
      <c r="AE803" s="169"/>
      <c r="AF803" s="169" t="str">
        <f t="shared" si="10"/>
        <v/>
      </c>
      <c r="AG803" s="169"/>
      <c r="AH803" s="169" t="str">
        <f t="shared" si="11"/>
        <v/>
      </c>
      <c r="AI803" s="169"/>
      <c r="AJ803" s="169" t="str">
        <f t="shared" si="12"/>
        <v/>
      </c>
    </row>
    <row r="804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 t="str">
        <f t="shared" si="2"/>
        <v/>
      </c>
      <c r="Q804" s="169"/>
      <c r="R804" s="169" t="str">
        <f t="shared" si="3"/>
        <v/>
      </c>
      <c r="S804" s="169"/>
      <c r="T804" s="169" t="str">
        <f t="shared" si="4"/>
        <v/>
      </c>
      <c r="U804" s="169"/>
      <c r="V804" s="169" t="str">
        <f t="shared" si="5"/>
        <v/>
      </c>
      <c r="W804" s="169"/>
      <c r="X804" s="169" t="str">
        <f t="shared" si="6"/>
        <v/>
      </c>
      <c r="Y804" s="169"/>
      <c r="Z804" s="169" t="str">
        <f t="shared" si="7"/>
        <v/>
      </c>
      <c r="AA804" s="169"/>
      <c r="AB804" s="169" t="str">
        <f t="shared" si="8"/>
        <v/>
      </c>
      <c r="AC804" s="169"/>
      <c r="AD804" s="169" t="str">
        <f t="shared" si="9"/>
        <v/>
      </c>
      <c r="AE804" s="169"/>
      <c r="AF804" s="169" t="str">
        <f t="shared" si="10"/>
        <v/>
      </c>
      <c r="AG804" s="169"/>
      <c r="AH804" s="169" t="str">
        <f t="shared" si="11"/>
        <v/>
      </c>
      <c r="AI804" s="169"/>
      <c r="AJ804" s="169" t="str">
        <f t="shared" si="12"/>
        <v/>
      </c>
    </row>
    <row r="80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 t="str">
        <f t="shared" si="2"/>
        <v/>
      </c>
      <c r="Q805" s="169"/>
      <c r="R805" s="169" t="str">
        <f t="shared" si="3"/>
        <v/>
      </c>
      <c r="S805" s="169"/>
      <c r="T805" s="169" t="str">
        <f t="shared" si="4"/>
        <v/>
      </c>
      <c r="U805" s="169"/>
      <c r="V805" s="169" t="str">
        <f t="shared" si="5"/>
        <v/>
      </c>
      <c r="W805" s="169"/>
      <c r="X805" s="169" t="str">
        <f t="shared" si="6"/>
        <v/>
      </c>
      <c r="Y805" s="169"/>
      <c r="Z805" s="169" t="str">
        <f t="shared" si="7"/>
        <v/>
      </c>
      <c r="AA805" s="169"/>
      <c r="AB805" s="169" t="str">
        <f t="shared" si="8"/>
        <v/>
      </c>
      <c r="AC805" s="169"/>
      <c r="AD805" s="169" t="str">
        <f t="shared" si="9"/>
        <v/>
      </c>
      <c r="AE805" s="169"/>
      <c r="AF805" s="169" t="str">
        <f t="shared" si="10"/>
        <v/>
      </c>
      <c r="AG805" s="169"/>
      <c r="AH805" s="169" t="str">
        <f t="shared" si="11"/>
        <v/>
      </c>
      <c r="AI805" s="169"/>
      <c r="AJ805" s="169" t="str">
        <f t="shared" si="12"/>
        <v/>
      </c>
    </row>
    <row r="806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 t="str">
        <f t="shared" si="2"/>
        <v/>
      </c>
      <c r="Q806" s="169"/>
      <c r="R806" s="169" t="str">
        <f t="shared" si="3"/>
        <v/>
      </c>
      <c r="S806" s="169"/>
      <c r="T806" s="169" t="str">
        <f t="shared" si="4"/>
        <v/>
      </c>
      <c r="U806" s="169"/>
      <c r="V806" s="169" t="str">
        <f t="shared" si="5"/>
        <v/>
      </c>
      <c r="W806" s="169"/>
      <c r="X806" s="169" t="str">
        <f t="shared" si="6"/>
        <v/>
      </c>
      <c r="Y806" s="169"/>
      <c r="Z806" s="169" t="str">
        <f t="shared" si="7"/>
        <v/>
      </c>
      <c r="AA806" s="169"/>
      <c r="AB806" s="169" t="str">
        <f t="shared" si="8"/>
        <v/>
      </c>
      <c r="AC806" s="169"/>
      <c r="AD806" s="169" t="str">
        <f t="shared" si="9"/>
        <v/>
      </c>
      <c r="AE806" s="169"/>
      <c r="AF806" s="169" t="str">
        <f t="shared" si="10"/>
        <v/>
      </c>
      <c r="AG806" s="169"/>
      <c r="AH806" s="169" t="str">
        <f t="shared" si="11"/>
        <v/>
      </c>
      <c r="AI806" s="169"/>
      <c r="AJ806" s="169" t="str">
        <f t="shared" si="12"/>
        <v/>
      </c>
    </row>
    <row r="807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 t="str">
        <f t="shared" si="2"/>
        <v/>
      </c>
      <c r="Q807" s="169"/>
      <c r="R807" s="169" t="str">
        <f t="shared" si="3"/>
        <v/>
      </c>
      <c r="S807" s="169"/>
      <c r="T807" s="169" t="str">
        <f t="shared" si="4"/>
        <v/>
      </c>
      <c r="U807" s="169"/>
      <c r="V807" s="169" t="str">
        <f t="shared" si="5"/>
        <v/>
      </c>
      <c r="W807" s="169"/>
      <c r="X807" s="169" t="str">
        <f t="shared" si="6"/>
        <v/>
      </c>
      <c r="Y807" s="169"/>
      <c r="Z807" s="169" t="str">
        <f t="shared" si="7"/>
        <v/>
      </c>
      <c r="AA807" s="169"/>
      <c r="AB807" s="169" t="str">
        <f t="shared" si="8"/>
        <v/>
      </c>
      <c r="AC807" s="169"/>
      <c r="AD807" s="169" t="str">
        <f t="shared" si="9"/>
        <v/>
      </c>
      <c r="AE807" s="169"/>
      <c r="AF807" s="169" t="str">
        <f t="shared" si="10"/>
        <v/>
      </c>
      <c r="AG807" s="169"/>
      <c r="AH807" s="169" t="str">
        <f t="shared" si="11"/>
        <v/>
      </c>
      <c r="AI807" s="169"/>
      <c r="AJ807" s="169" t="str">
        <f t="shared" si="12"/>
        <v/>
      </c>
    </row>
    <row r="808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 t="str">
        <f t="shared" si="2"/>
        <v/>
      </c>
      <c r="Q808" s="169"/>
      <c r="R808" s="169" t="str">
        <f t="shared" si="3"/>
        <v/>
      </c>
      <c r="S808" s="169"/>
      <c r="T808" s="169" t="str">
        <f t="shared" si="4"/>
        <v/>
      </c>
      <c r="U808" s="169"/>
      <c r="V808" s="169" t="str">
        <f t="shared" si="5"/>
        <v/>
      </c>
      <c r="W808" s="169"/>
      <c r="X808" s="169" t="str">
        <f t="shared" si="6"/>
        <v/>
      </c>
      <c r="Y808" s="169"/>
      <c r="Z808" s="169" t="str">
        <f t="shared" si="7"/>
        <v/>
      </c>
      <c r="AA808" s="169"/>
      <c r="AB808" s="169" t="str">
        <f t="shared" si="8"/>
        <v/>
      </c>
      <c r="AC808" s="169"/>
      <c r="AD808" s="169" t="str">
        <f t="shared" si="9"/>
        <v/>
      </c>
      <c r="AE808" s="169"/>
      <c r="AF808" s="169" t="str">
        <f t="shared" si="10"/>
        <v/>
      </c>
      <c r="AG808" s="169"/>
      <c r="AH808" s="169" t="str">
        <f t="shared" si="11"/>
        <v/>
      </c>
      <c r="AI808" s="169"/>
      <c r="AJ808" s="169" t="str">
        <f t="shared" si="12"/>
        <v/>
      </c>
    </row>
    <row r="809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 t="str">
        <f t="shared" si="2"/>
        <v/>
      </c>
      <c r="Q809" s="169"/>
      <c r="R809" s="169" t="str">
        <f t="shared" si="3"/>
        <v/>
      </c>
      <c r="S809" s="169"/>
      <c r="T809" s="169" t="str">
        <f t="shared" si="4"/>
        <v/>
      </c>
      <c r="U809" s="169"/>
      <c r="V809" s="169" t="str">
        <f t="shared" si="5"/>
        <v/>
      </c>
      <c r="W809" s="169"/>
      <c r="X809" s="169" t="str">
        <f t="shared" si="6"/>
        <v/>
      </c>
      <c r="Y809" s="169"/>
      <c r="Z809" s="169" t="str">
        <f t="shared" si="7"/>
        <v/>
      </c>
      <c r="AA809" s="169"/>
      <c r="AB809" s="169" t="str">
        <f t="shared" si="8"/>
        <v/>
      </c>
      <c r="AC809" s="169"/>
      <c r="AD809" s="169" t="str">
        <f t="shared" si="9"/>
        <v/>
      </c>
      <c r="AE809" s="169"/>
      <c r="AF809" s="169" t="str">
        <f t="shared" si="10"/>
        <v/>
      </c>
      <c r="AG809" s="169"/>
      <c r="AH809" s="169" t="str">
        <f t="shared" si="11"/>
        <v/>
      </c>
      <c r="AI809" s="169"/>
      <c r="AJ809" s="169" t="str">
        <f t="shared" si="12"/>
        <v/>
      </c>
    </row>
    <row r="810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 t="str">
        <f t="shared" si="2"/>
        <v/>
      </c>
      <c r="Q810" s="169"/>
      <c r="R810" s="169" t="str">
        <f t="shared" si="3"/>
        <v/>
      </c>
      <c r="S810" s="169"/>
      <c r="T810" s="169" t="str">
        <f t="shared" si="4"/>
        <v/>
      </c>
      <c r="U810" s="169"/>
      <c r="V810" s="169" t="str">
        <f t="shared" si="5"/>
        <v/>
      </c>
      <c r="W810" s="169"/>
      <c r="X810" s="169" t="str">
        <f t="shared" si="6"/>
        <v/>
      </c>
      <c r="Y810" s="169"/>
      <c r="Z810" s="169" t="str">
        <f t="shared" si="7"/>
        <v/>
      </c>
      <c r="AA810" s="169"/>
      <c r="AB810" s="169" t="str">
        <f t="shared" si="8"/>
        <v/>
      </c>
      <c r="AC810" s="169"/>
      <c r="AD810" s="169" t="str">
        <f t="shared" si="9"/>
        <v/>
      </c>
      <c r="AE810" s="169"/>
      <c r="AF810" s="169" t="str">
        <f t="shared" si="10"/>
        <v/>
      </c>
      <c r="AG810" s="169"/>
      <c r="AH810" s="169" t="str">
        <f t="shared" si="11"/>
        <v/>
      </c>
      <c r="AI810" s="169"/>
      <c r="AJ810" s="169" t="str">
        <f t="shared" si="12"/>
        <v/>
      </c>
    </row>
    <row r="81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 t="str">
        <f t="shared" si="2"/>
        <v/>
      </c>
      <c r="Q811" s="169"/>
      <c r="R811" s="169" t="str">
        <f t="shared" si="3"/>
        <v/>
      </c>
      <c r="S811" s="169"/>
      <c r="T811" s="169" t="str">
        <f t="shared" si="4"/>
        <v/>
      </c>
      <c r="U811" s="169"/>
      <c r="V811" s="169" t="str">
        <f t="shared" si="5"/>
        <v/>
      </c>
      <c r="W811" s="169"/>
      <c r="X811" s="169" t="str">
        <f t="shared" si="6"/>
        <v/>
      </c>
      <c r="Y811" s="169"/>
      <c r="Z811" s="169" t="str">
        <f t="shared" si="7"/>
        <v/>
      </c>
      <c r="AA811" s="169"/>
      <c r="AB811" s="169" t="str">
        <f t="shared" si="8"/>
        <v/>
      </c>
      <c r="AC811" s="169"/>
      <c r="AD811" s="169" t="str">
        <f t="shared" si="9"/>
        <v/>
      </c>
      <c r="AE811" s="169"/>
      <c r="AF811" s="169" t="str">
        <f t="shared" si="10"/>
        <v/>
      </c>
      <c r="AG811" s="169"/>
      <c r="AH811" s="169" t="str">
        <f t="shared" si="11"/>
        <v/>
      </c>
      <c r="AI811" s="169"/>
      <c r="AJ811" s="169" t="str">
        <f t="shared" si="12"/>
        <v/>
      </c>
    </row>
    <row r="81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 t="str">
        <f t="shared" si="2"/>
        <v/>
      </c>
      <c r="Q812" s="169"/>
      <c r="R812" s="169" t="str">
        <f t="shared" si="3"/>
        <v/>
      </c>
      <c r="S812" s="169"/>
      <c r="T812" s="169" t="str">
        <f t="shared" si="4"/>
        <v/>
      </c>
      <c r="U812" s="169"/>
      <c r="V812" s="169" t="str">
        <f t="shared" si="5"/>
        <v/>
      </c>
      <c r="W812" s="169"/>
      <c r="X812" s="169" t="str">
        <f t="shared" si="6"/>
        <v/>
      </c>
      <c r="Y812" s="169"/>
      <c r="Z812" s="169" t="str">
        <f t="shared" si="7"/>
        <v/>
      </c>
      <c r="AA812" s="169"/>
      <c r="AB812" s="169" t="str">
        <f t="shared" si="8"/>
        <v/>
      </c>
      <c r="AC812" s="169"/>
      <c r="AD812" s="169" t="str">
        <f t="shared" si="9"/>
        <v/>
      </c>
      <c r="AE812" s="169"/>
      <c r="AF812" s="169" t="str">
        <f t="shared" si="10"/>
        <v/>
      </c>
      <c r="AG812" s="169"/>
      <c r="AH812" s="169" t="str">
        <f t="shared" si="11"/>
        <v/>
      </c>
      <c r="AI812" s="169"/>
      <c r="AJ812" s="169" t="str">
        <f t="shared" si="12"/>
        <v/>
      </c>
    </row>
    <row r="813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 t="str">
        <f t="shared" si="2"/>
        <v/>
      </c>
      <c r="Q813" s="169"/>
      <c r="R813" s="169" t="str">
        <f t="shared" si="3"/>
        <v/>
      </c>
      <c r="S813" s="169"/>
      <c r="T813" s="169" t="str">
        <f t="shared" si="4"/>
        <v/>
      </c>
      <c r="U813" s="169"/>
      <c r="V813" s="169" t="str">
        <f t="shared" si="5"/>
        <v/>
      </c>
      <c r="W813" s="169"/>
      <c r="X813" s="169" t="str">
        <f t="shared" si="6"/>
        <v/>
      </c>
      <c r="Y813" s="169"/>
      <c r="Z813" s="169" t="str">
        <f t="shared" si="7"/>
        <v/>
      </c>
      <c r="AA813" s="169"/>
      <c r="AB813" s="169" t="str">
        <f t="shared" si="8"/>
        <v/>
      </c>
      <c r="AC813" s="169"/>
      <c r="AD813" s="169" t="str">
        <f t="shared" si="9"/>
        <v/>
      </c>
      <c r="AE813" s="169"/>
      <c r="AF813" s="169" t="str">
        <f t="shared" si="10"/>
        <v/>
      </c>
      <c r="AG813" s="169"/>
      <c r="AH813" s="169" t="str">
        <f t="shared" si="11"/>
        <v/>
      </c>
      <c r="AI813" s="169"/>
      <c r="AJ813" s="169" t="str">
        <f t="shared" si="12"/>
        <v/>
      </c>
    </row>
    <row r="814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 t="str">
        <f t="shared" si="2"/>
        <v/>
      </c>
      <c r="Q814" s="169"/>
      <c r="R814" s="169" t="str">
        <f t="shared" si="3"/>
        <v/>
      </c>
      <c r="S814" s="169"/>
      <c r="T814" s="169" t="str">
        <f t="shared" si="4"/>
        <v/>
      </c>
      <c r="U814" s="169"/>
      <c r="V814" s="169" t="str">
        <f t="shared" si="5"/>
        <v/>
      </c>
      <c r="W814" s="169"/>
      <c r="X814" s="169" t="str">
        <f t="shared" si="6"/>
        <v/>
      </c>
      <c r="Y814" s="169"/>
      <c r="Z814" s="169" t="str">
        <f t="shared" si="7"/>
        <v/>
      </c>
      <c r="AA814" s="169"/>
      <c r="AB814" s="169" t="str">
        <f t="shared" si="8"/>
        <v/>
      </c>
      <c r="AC814" s="169"/>
      <c r="AD814" s="169" t="str">
        <f t="shared" si="9"/>
        <v/>
      </c>
      <c r="AE814" s="169"/>
      <c r="AF814" s="169" t="str">
        <f t="shared" si="10"/>
        <v/>
      </c>
      <c r="AG814" s="169"/>
      <c r="AH814" s="169" t="str">
        <f t="shared" si="11"/>
        <v/>
      </c>
      <c r="AI814" s="169"/>
      <c r="AJ814" s="169" t="str">
        <f t="shared" si="12"/>
        <v/>
      </c>
    </row>
    <row r="81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 t="str">
        <f t="shared" si="2"/>
        <v/>
      </c>
      <c r="Q815" s="169"/>
      <c r="R815" s="169" t="str">
        <f t="shared" si="3"/>
        <v/>
      </c>
      <c r="S815" s="169"/>
      <c r="T815" s="169" t="str">
        <f t="shared" si="4"/>
        <v/>
      </c>
      <c r="U815" s="169"/>
      <c r="V815" s="169" t="str">
        <f t="shared" si="5"/>
        <v/>
      </c>
      <c r="W815" s="169"/>
      <c r="X815" s="169" t="str">
        <f t="shared" si="6"/>
        <v/>
      </c>
      <c r="Y815" s="169"/>
      <c r="Z815" s="169" t="str">
        <f t="shared" si="7"/>
        <v/>
      </c>
      <c r="AA815" s="169"/>
      <c r="AB815" s="169" t="str">
        <f t="shared" si="8"/>
        <v/>
      </c>
      <c r="AC815" s="169"/>
      <c r="AD815" s="169" t="str">
        <f t="shared" si="9"/>
        <v/>
      </c>
      <c r="AE815" s="169"/>
      <c r="AF815" s="169" t="str">
        <f t="shared" si="10"/>
        <v/>
      </c>
      <c r="AG815" s="169"/>
      <c r="AH815" s="169" t="str">
        <f t="shared" si="11"/>
        <v/>
      </c>
      <c r="AI815" s="169"/>
      <c r="AJ815" s="169" t="str">
        <f t="shared" si="12"/>
        <v/>
      </c>
    </row>
    <row r="816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 t="str">
        <f t="shared" si="2"/>
        <v/>
      </c>
      <c r="Q816" s="169"/>
      <c r="R816" s="169" t="str">
        <f t="shared" si="3"/>
        <v/>
      </c>
      <c r="S816" s="169"/>
      <c r="T816" s="169" t="str">
        <f t="shared" si="4"/>
        <v/>
      </c>
      <c r="U816" s="169"/>
      <c r="V816" s="169" t="str">
        <f t="shared" si="5"/>
        <v/>
      </c>
      <c r="W816" s="169"/>
      <c r="X816" s="169" t="str">
        <f t="shared" si="6"/>
        <v/>
      </c>
      <c r="Y816" s="169"/>
      <c r="Z816" s="169" t="str">
        <f t="shared" si="7"/>
        <v/>
      </c>
      <c r="AA816" s="169"/>
      <c r="AB816" s="169" t="str">
        <f t="shared" si="8"/>
        <v/>
      </c>
      <c r="AC816" s="169"/>
      <c r="AD816" s="169" t="str">
        <f t="shared" si="9"/>
        <v/>
      </c>
      <c r="AE816" s="169"/>
      <c r="AF816" s="169" t="str">
        <f t="shared" si="10"/>
        <v/>
      </c>
      <c r="AG816" s="169"/>
      <c r="AH816" s="169" t="str">
        <f t="shared" si="11"/>
        <v/>
      </c>
      <c r="AI816" s="169"/>
      <c r="AJ816" s="169" t="str">
        <f t="shared" si="12"/>
        <v/>
      </c>
    </row>
    <row r="817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 t="str">
        <f t="shared" si="2"/>
        <v/>
      </c>
      <c r="Q817" s="169"/>
      <c r="R817" s="169" t="str">
        <f t="shared" si="3"/>
        <v/>
      </c>
      <c r="S817" s="169"/>
      <c r="T817" s="169" t="str">
        <f t="shared" si="4"/>
        <v/>
      </c>
      <c r="U817" s="169"/>
      <c r="V817" s="169" t="str">
        <f t="shared" si="5"/>
        <v/>
      </c>
      <c r="W817" s="169"/>
      <c r="X817" s="169" t="str">
        <f t="shared" si="6"/>
        <v/>
      </c>
      <c r="Y817" s="169"/>
      <c r="Z817" s="169" t="str">
        <f t="shared" si="7"/>
        <v/>
      </c>
      <c r="AA817" s="169"/>
      <c r="AB817" s="169" t="str">
        <f t="shared" si="8"/>
        <v/>
      </c>
      <c r="AC817" s="169"/>
      <c r="AD817" s="169" t="str">
        <f t="shared" si="9"/>
        <v/>
      </c>
      <c r="AE817" s="169"/>
      <c r="AF817" s="169" t="str">
        <f t="shared" si="10"/>
        <v/>
      </c>
      <c r="AG817" s="169"/>
      <c r="AH817" s="169" t="str">
        <f t="shared" si="11"/>
        <v/>
      </c>
      <c r="AI817" s="169"/>
      <c r="AJ817" s="169" t="str">
        <f t="shared" si="12"/>
        <v/>
      </c>
    </row>
    <row r="818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 t="str">
        <f t="shared" si="2"/>
        <v/>
      </c>
      <c r="Q818" s="169"/>
      <c r="R818" s="169" t="str">
        <f t="shared" si="3"/>
        <v/>
      </c>
      <c r="S818" s="169"/>
      <c r="T818" s="169" t="str">
        <f t="shared" si="4"/>
        <v/>
      </c>
      <c r="U818" s="169"/>
      <c r="V818" s="169" t="str">
        <f t="shared" si="5"/>
        <v/>
      </c>
      <c r="W818" s="169"/>
      <c r="X818" s="169" t="str">
        <f t="shared" si="6"/>
        <v/>
      </c>
      <c r="Y818" s="169"/>
      <c r="Z818" s="169" t="str">
        <f t="shared" si="7"/>
        <v/>
      </c>
      <c r="AA818" s="169"/>
      <c r="AB818" s="169" t="str">
        <f t="shared" si="8"/>
        <v/>
      </c>
      <c r="AC818" s="169"/>
      <c r="AD818" s="169" t="str">
        <f t="shared" si="9"/>
        <v/>
      </c>
      <c r="AE818" s="169"/>
      <c r="AF818" s="169" t="str">
        <f t="shared" si="10"/>
        <v/>
      </c>
      <c r="AG818" s="169"/>
      <c r="AH818" s="169" t="str">
        <f t="shared" si="11"/>
        <v/>
      </c>
      <c r="AI818" s="169"/>
      <c r="AJ818" s="169" t="str">
        <f t="shared" si="12"/>
        <v/>
      </c>
    </row>
    <row r="819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 t="str">
        <f t="shared" si="2"/>
        <v/>
      </c>
      <c r="Q819" s="169"/>
      <c r="R819" s="169" t="str">
        <f t="shared" si="3"/>
        <v/>
      </c>
      <c r="S819" s="169"/>
      <c r="T819" s="169" t="str">
        <f t="shared" si="4"/>
        <v/>
      </c>
      <c r="U819" s="169"/>
      <c r="V819" s="169" t="str">
        <f t="shared" si="5"/>
        <v/>
      </c>
      <c r="W819" s="169"/>
      <c r="X819" s="169" t="str">
        <f t="shared" si="6"/>
        <v/>
      </c>
      <c r="Y819" s="169"/>
      <c r="Z819" s="169" t="str">
        <f t="shared" si="7"/>
        <v/>
      </c>
      <c r="AA819" s="169"/>
      <c r="AB819" s="169" t="str">
        <f t="shared" si="8"/>
        <v/>
      </c>
      <c r="AC819" s="169"/>
      <c r="AD819" s="169" t="str">
        <f t="shared" si="9"/>
        <v/>
      </c>
      <c r="AE819" s="169"/>
      <c r="AF819" s="169" t="str">
        <f t="shared" si="10"/>
        <v/>
      </c>
      <c r="AG819" s="169"/>
      <c r="AH819" s="169" t="str">
        <f t="shared" si="11"/>
        <v/>
      </c>
      <c r="AI819" s="169"/>
      <c r="AJ819" s="169" t="str">
        <f t="shared" si="12"/>
        <v/>
      </c>
    </row>
    <row r="820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 t="str">
        <f t="shared" si="2"/>
        <v/>
      </c>
      <c r="Q820" s="169"/>
      <c r="R820" s="169" t="str">
        <f t="shared" si="3"/>
        <v/>
      </c>
      <c r="S820" s="169"/>
      <c r="T820" s="169" t="str">
        <f t="shared" si="4"/>
        <v/>
      </c>
      <c r="U820" s="169"/>
      <c r="V820" s="169" t="str">
        <f t="shared" si="5"/>
        <v/>
      </c>
      <c r="W820" s="169"/>
      <c r="X820" s="169" t="str">
        <f t="shared" si="6"/>
        <v/>
      </c>
      <c r="Y820" s="169"/>
      <c r="Z820" s="169" t="str">
        <f t="shared" si="7"/>
        <v/>
      </c>
      <c r="AA820" s="169"/>
      <c r="AB820" s="169" t="str">
        <f t="shared" si="8"/>
        <v/>
      </c>
      <c r="AC820" s="169"/>
      <c r="AD820" s="169" t="str">
        <f t="shared" si="9"/>
        <v/>
      </c>
      <c r="AE820" s="169"/>
      <c r="AF820" s="169" t="str">
        <f t="shared" si="10"/>
        <v/>
      </c>
      <c r="AG820" s="169"/>
      <c r="AH820" s="169" t="str">
        <f t="shared" si="11"/>
        <v/>
      </c>
      <c r="AI820" s="169"/>
      <c r="AJ820" s="169" t="str">
        <f t="shared" si="12"/>
        <v/>
      </c>
    </row>
    <row r="82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 t="str">
        <f t="shared" si="2"/>
        <v/>
      </c>
      <c r="Q821" s="169"/>
      <c r="R821" s="169" t="str">
        <f t="shared" si="3"/>
        <v/>
      </c>
      <c r="S821" s="169"/>
      <c r="T821" s="169" t="str">
        <f t="shared" si="4"/>
        <v/>
      </c>
      <c r="U821" s="169"/>
      <c r="V821" s="169" t="str">
        <f t="shared" si="5"/>
        <v/>
      </c>
      <c r="W821" s="169"/>
      <c r="X821" s="169" t="str">
        <f t="shared" si="6"/>
        <v/>
      </c>
      <c r="Y821" s="169"/>
      <c r="Z821" s="169" t="str">
        <f t="shared" si="7"/>
        <v/>
      </c>
      <c r="AA821" s="169"/>
      <c r="AB821" s="169" t="str">
        <f t="shared" si="8"/>
        <v/>
      </c>
      <c r="AC821" s="169"/>
      <c r="AD821" s="169" t="str">
        <f t="shared" si="9"/>
        <v/>
      </c>
      <c r="AE821" s="169"/>
      <c r="AF821" s="169" t="str">
        <f t="shared" si="10"/>
        <v/>
      </c>
      <c r="AG821" s="169"/>
      <c r="AH821" s="169" t="str">
        <f t="shared" si="11"/>
        <v/>
      </c>
      <c r="AI821" s="169"/>
      <c r="AJ821" s="169" t="str">
        <f t="shared" si="12"/>
        <v/>
      </c>
    </row>
    <row r="82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 t="str">
        <f t="shared" si="2"/>
        <v/>
      </c>
      <c r="Q822" s="169"/>
      <c r="R822" s="169" t="str">
        <f t="shared" si="3"/>
        <v/>
      </c>
      <c r="S822" s="169"/>
      <c r="T822" s="169" t="str">
        <f t="shared" si="4"/>
        <v/>
      </c>
      <c r="U822" s="169"/>
      <c r="V822" s="169" t="str">
        <f t="shared" si="5"/>
        <v/>
      </c>
      <c r="W822" s="169"/>
      <c r="X822" s="169" t="str">
        <f t="shared" si="6"/>
        <v/>
      </c>
      <c r="Y822" s="169"/>
      <c r="Z822" s="169" t="str">
        <f t="shared" si="7"/>
        <v/>
      </c>
      <c r="AA822" s="169"/>
      <c r="AB822" s="169" t="str">
        <f t="shared" si="8"/>
        <v/>
      </c>
      <c r="AC822" s="169"/>
      <c r="AD822" s="169" t="str">
        <f t="shared" si="9"/>
        <v/>
      </c>
      <c r="AE822" s="169"/>
      <c r="AF822" s="169" t="str">
        <f t="shared" si="10"/>
        <v/>
      </c>
      <c r="AG822" s="169"/>
      <c r="AH822" s="169" t="str">
        <f t="shared" si="11"/>
        <v/>
      </c>
      <c r="AI822" s="169"/>
      <c r="AJ822" s="169" t="str">
        <f t="shared" si="12"/>
        <v/>
      </c>
    </row>
    <row r="823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 t="str">
        <f t="shared" si="2"/>
        <v/>
      </c>
      <c r="Q823" s="169"/>
      <c r="R823" s="169" t="str">
        <f t="shared" si="3"/>
        <v/>
      </c>
      <c r="S823" s="169"/>
      <c r="T823" s="169" t="str">
        <f t="shared" si="4"/>
        <v/>
      </c>
      <c r="U823" s="169"/>
      <c r="V823" s="169" t="str">
        <f t="shared" si="5"/>
        <v/>
      </c>
      <c r="W823" s="169"/>
      <c r="X823" s="169" t="str">
        <f t="shared" si="6"/>
        <v/>
      </c>
      <c r="Y823" s="169"/>
      <c r="Z823" s="169" t="str">
        <f t="shared" si="7"/>
        <v/>
      </c>
      <c r="AA823" s="169"/>
      <c r="AB823" s="169" t="str">
        <f t="shared" si="8"/>
        <v/>
      </c>
      <c r="AC823" s="169"/>
      <c r="AD823" s="169" t="str">
        <f t="shared" si="9"/>
        <v/>
      </c>
      <c r="AE823" s="169"/>
      <c r="AF823" s="169" t="str">
        <f t="shared" si="10"/>
        <v/>
      </c>
      <c r="AG823" s="169"/>
      <c r="AH823" s="169" t="str">
        <f t="shared" si="11"/>
        <v/>
      </c>
      <c r="AI823" s="169"/>
      <c r="AJ823" s="169" t="str">
        <f t="shared" si="12"/>
        <v/>
      </c>
    </row>
    <row r="824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 t="str">
        <f t="shared" si="2"/>
        <v/>
      </c>
      <c r="Q824" s="169"/>
      <c r="R824" s="169" t="str">
        <f t="shared" si="3"/>
        <v/>
      </c>
      <c r="S824" s="169"/>
      <c r="T824" s="169" t="str">
        <f t="shared" si="4"/>
        <v/>
      </c>
      <c r="U824" s="169"/>
      <c r="V824" s="169" t="str">
        <f t="shared" si="5"/>
        <v/>
      </c>
      <c r="W824" s="169"/>
      <c r="X824" s="169" t="str">
        <f t="shared" si="6"/>
        <v/>
      </c>
      <c r="Y824" s="169"/>
      <c r="Z824" s="169" t="str">
        <f t="shared" si="7"/>
        <v/>
      </c>
      <c r="AA824" s="169"/>
      <c r="AB824" s="169" t="str">
        <f t="shared" si="8"/>
        <v/>
      </c>
      <c r="AC824" s="169"/>
      <c r="AD824" s="169" t="str">
        <f t="shared" si="9"/>
        <v/>
      </c>
      <c r="AE824" s="169"/>
      <c r="AF824" s="169" t="str">
        <f t="shared" si="10"/>
        <v/>
      </c>
      <c r="AG824" s="169"/>
      <c r="AH824" s="169" t="str">
        <f t="shared" si="11"/>
        <v/>
      </c>
      <c r="AI824" s="169"/>
      <c r="AJ824" s="169" t="str">
        <f t="shared" si="12"/>
        <v/>
      </c>
    </row>
    <row r="8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 t="str">
        <f t="shared" si="2"/>
        <v/>
      </c>
      <c r="Q825" s="169"/>
      <c r="R825" s="169" t="str">
        <f t="shared" si="3"/>
        <v/>
      </c>
      <c r="S825" s="169"/>
      <c r="T825" s="169" t="str">
        <f t="shared" si="4"/>
        <v/>
      </c>
      <c r="U825" s="169"/>
      <c r="V825" s="169" t="str">
        <f t="shared" si="5"/>
        <v/>
      </c>
      <c r="W825" s="169"/>
      <c r="X825" s="169" t="str">
        <f t="shared" si="6"/>
        <v/>
      </c>
      <c r="Y825" s="169"/>
      <c r="Z825" s="169" t="str">
        <f t="shared" si="7"/>
        <v/>
      </c>
      <c r="AA825" s="169"/>
      <c r="AB825" s="169" t="str">
        <f t="shared" si="8"/>
        <v/>
      </c>
      <c r="AC825" s="169"/>
      <c r="AD825" s="169" t="str">
        <f t="shared" si="9"/>
        <v/>
      </c>
      <c r="AE825" s="169"/>
      <c r="AF825" s="169" t="str">
        <f t="shared" si="10"/>
        <v/>
      </c>
      <c r="AG825" s="169"/>
      <c r="AH825" s="169" t="str">
        <f t="shared" si="11"/>
        <v/>
      </c>
      <c r="AI825" s="169"/>
      <c r="AJ825" s="169" t="str">
        <f t="shared" si="12"/>
        <v/>
      </c>
    </row>
    <row r="826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 t="str">
        <f t="shared" si="2"/>
        <v/>
      </c>
      <c r="Q826" s="169"/>
      <c r="R826" s="169" t="str">
        <f t="shared" si="3"/>
        <v/>
      </c>
      <c r="S826" s="169"/>
      <c r="T826" s="169" t="str">
        <f t="shared" si="4"/>
        <v/>
      </c>
      <c r="U826" s="169"/>
      <c r="V826" s="169" t="str">
        <f t="shared" si="5"/>
        <v/>
      </c>
      <c r="W826" s="169"/>
      <c r="X826" s="169" t="str">
        <f t="shared" si="6"/>
        <v/>
      </c>
      <c r="Y826" s="169"/>
      <c r="Z826" s="169" t="str">
        <f t="shared" si="7"/>
        <v/>
      </c>
      <c r="AA826" s="169"/>
      <c r="AB826" s="169" t="str">
        <f t="shared" si="8"/>
        <v/>
      </c>
      <c r="AC826" s="169"/>
      <c r="AD826" s="169" t="str">
        <f t="shared" si="9"/>
        <v/>
      </c>
      <c r="AE826" s="169"/>
      <c r="AF826" s="169" t="str">
        <f t="shared" si="10"/>
        <v/>
      </c>
      <c r="AG826" s="169"/>
      <c r="AH826" s="169" t="str">
        <f t="shared" si="11"/>
        <v/>
      </c>
      <c r="AI826" s="169"/>
      <c r="AJ826" s="169" t="str">
        <f t="shared" si="12"/>
        <v/>
      </c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 t="str">
        <f t="shared" si="2"/>
        <v/>
      </c>
      <c r="Q827" s="169"/>
      <c r="R827" s="169" t="str">
        <f t="shared" si="3"/>
        <v/>
      </c>
      <c r="S827" s="169"/>
      <c r="T827" s="169" t="str">
        <f t="shared" si="4"/>
        <v/>
      </c>
      <c r="U827" s="169"/>
      <c r="V827" s="169" t="str">
        <f t="shared" si="5"/>
        <v/>
      </c>
      <c r="W827" s="169"/>
      <c r="X827" s="169" t="str">
        <f t="shared" si="6"/>
        <v/>
      </c>
      <c r="Y827" s="169"/>
      <c r="Z827" s="169" t="str">
        <f t="shared" si="7"/>
        <v/>
      </c>
      <c r="AA827" s="169"/>
      <c r="AB827" s="169" t="str">
        <f t="shared" si="8"/>
        <v/>
      </c>
      <c r="AC827" s="169"/>
      <c r="AD827" s="169" t="str">
        <f t="shared" si="9"/>
        <v/>
      </c>
      <c r="AE827" s="169"/>
      <c r="AF827" s="169" t="str">
        <f t="shared" si="10"/>
        <v/>
      </c>
      <c r="AG827" s="169"/>
      <c r="AH827" s="169" t="str">
        <f t="shared" si="11"/>
        <v/>
      </c>
      <c r="AI827" s="169"/>
      <c r="AJ827" s="169" t="str">
        <f t="shared" si="12"/>
        <v/>
      </c>
    </row>
    <row r="828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 t="str">
        <f t="shared" si="2"/>
        <v/>
      </c>
      <c r="Q828" s="169"/>
      <c r="R828" s="169" t="str">
        <f t="shared" si="3"/>
        <v/>
      </c>
      <c r="S828" s="169"/>
      <c r="T828" s="169" t="str">
        <f t="shared" si="4"/>
        <v/>
      </c>
      <c r="U828" s="169"/>
      <c r="V828" s="169" t="str">
        <f t="shared" si="5"/>
        <v/>
      </c>
      <c r="W828" s="169"/>
      <c r="X828" s="169" t="str">
        <f t="shared" si="6"/>
        <v/>
      </c>
      <c r="Y828" s="169"/>
      <c r="Z828" s="169" t="str">
        <f t="shared" si="7"/>
        <v/>
      </c>
      <c r="AA828" s="169"/>
      <c r="AB828" s="169" t="str">
        <f t="shared" si="8"/>
        <v/>
      </c>
      <c r="AC828" s="169"/>
      <c r="AD828" s="169" t="str">
        <f t="shared" si="9"/>
        <v/>
      </c>
      <c r="AE828" s="169"/>
      <c r="AF828" s="169" t="str">
        <f t="shared" si="10"/>
        <v/>
      </c>
      <c r="AG828" s="169"/>
      <c r="AH828" s="169" t="str">
        <f t="shared" si="11"/>
        <v/>
      </c>
      <c r="AI828" s="169"/>
      <c r="AJ828" s="169" t="str">
        <f t="shared" si="12"/>
        <v/>
      </c>
    </row>
    <row r="829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 t="str">
        <f t="shared" si="2"/>
        <v/>
      </c>
      <c r="Q829" s="169"/>
      <c r="R829" s="169" t="str">
        <f t="shared" si="3"/>
        <v/>
      </c>
      <c r="S829" s="169"/>
      <c r="T829" s="169" t="str">
        <f t="shared" si="4"/>
        <v/>
      </c>
      <c r="U829" s="169"/>
      <c r="V829" s="169" t="str">
        <f t="shared" si="5"/>
        <v/>
      </c>
      <c r="W829" s="169"/>
      <c r="X829" s="169" t="str">
        <f t="shared" si="6"/>
        <v/>
      </c>
      <c r="Y829" s="169"/>
      <c r="Z829" s="169" t="str">
        <f t="shared" si="7"/>
        <v/>
      </c>
      <c r="AA829" s="169"/>
      <c r="AB829" s="169" t="str">
        <f t="shared" si="8"/>
        <v/>
      </c>
      <c r="AC829" s="169"/>
      <c r="AD829" s="169" t="str">
        <f t="shared" si="9"/>
        <v/>
      </c>
      <c r="AE829" s="169"/>
      <c r="AF829" s="169" t="str">
        <f t="shared" si="10"/>
        <v/>
      </c>
      <c r="AG829" s="169"/>
      <c r="AH829" s="169" t="str">
        <f t="shared" si="11"/>
        <v/>
      </c>
      <c r="AI829" s="169"/>
      <c r="AJ829" s="169" t="str">
        <f t="shared" si="12"/>
        <v/>
      </c>
    </row>
    <row r="830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 t="str">
        <f t="shared" si="2"/>
        <v/>
      </c>
      <c r="Q830" s="169"/>
      <c r="R830" s="169" t="str">
        <f t="shared" si="3"/>
        <v/>
      </c>
      <c r="S830" s="169"/>
      <c r="T830" s="169" t="str">
        <f t="shared" si="4"/>
        <v/>
      </c>
      <c r="U830" s="169"/>
      <c r="V830" s="169" t="str">
        <f t="shared" si="5"/>
        <v/>
      </c>
      <c r="W830" s="169"/>
      <c r="X830" s="169" t="str">
        <f t="shared" si="6"/>
        <v/>
      </c>
      <c r="Y830" s="169"/>
      <c r="Z830" s="169" t="str">
        <f t="shared" si="7"/>
        <v/>
      </c>
      <c r="AA830" s="169"/>
      <c r="AB830" s="169" t="str">
        <f t="shared" si="8"/>
        <v/>
      </c>
      <c r="AC830" s="169"/>
      <c r="AD830" s="169" t="str">
        <f t="shared" si="9"/>
        <v/>
      </c>
      <c r="AE830" s="169"/>
      <c r="AF830" s="169" t="str">
        <f t="shared" si="10"/>
        <v/>
      </c>
      <c r="AG830" s="169"/>
      <c r="AH830" s="169" t="str">
        <f t="shared" si="11"/>
        <v/>
      </c>
      <c r="AI830" s="169"/>
      <c r="AJ830" s="169" t="str">
        <f t="shared" si="12"/>
        <v/>
      </c>
    </row>
    <row r="8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 t="str">
        <f t="shared" si="2"/>
        <v/>
      </c>
      <c r="Q831" s="169"/>
      <c r="R831" s="169" t="str">
        <f t="shared" si="3"/>
        <v/>
      </c>
      <c r="S831" s="169"/>
      <c r="T831" s="169" t="str">
        <f t="shared" si="4"/>
        <v/>
      </c>
      <c r="U831" s="169"/>
      <c r="V831" s="169" t="str">
        <f t="shared" si="5"/>
        <v/>
      </c>
      <c r="W831" s="169"/>
      <c r="X831" s="169" t="str">
        <f t="shared" si="6"/>
        <v/>
      </c>
      <c r="Y831" s="169"/>
      <c r="Z831" s="169" t="str">
        <f t="shared" si="7"/>
        <v/>
      </c>
      <c r="AA831" s="169"/>
      <c r="AB831" s="169" t="str">
        <f t="shared" si="8"/>
        <v/>
      </c>
      <c r="AC831" s="169"/>
      <c r="AD831" s="169" t="str">
        <f t="shared" si="9"/>
        <v/>
      </c>
      <c r="AE831" s="169"/>
      <c r="AF831" s="169" t="str">
        <f t="shared" si="10"/>
        <v/>
      </c>
      <c r="AG831" s="169"/>
      <c r="AH831" s="169" t="str">
        <f t="shared" si="11"/>
        <v/>
      </c>
      <c r="AI831" s="169"/>
      <c r="AJ831" s="169" t="str">
        <f t="shared" si="12"/>
        <v/>
      </c>
    </row>
    <row r="83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 t="str">
        <f t="shared" si="2"/>
        <v/>
      </c>
      <c r="Q832" s="169"/>
      <c r="R832" s="169" t="str">
        <f t="shared" si="3"/>
        <v/>
      </c>
      <c r="S832" s="169"/>
      <c r="T832" s="169" t="str">
        <f t="shared" si="4"/>
        <v/>
      </c>
      <c r="U832" s="169"/>
      <c r="V832" s="169" t="str">
        <f t="shared" si="5"/>
        <v/>
      </c>
      <c r="W832" s="169"/>
      <c r="X832" s="169" t="str">
        <f t="shared" si="6"/>
        <v/>
      </c>
      <c r="Y832" s="169"/>
      <c r="Z832" s="169" t="str">
        <f t="shared" si="7"/>
        <v/>
      </c>
      <c r="AA832" s="169"/>
      <c r="AB832" s="169" t="str">
        <f t="shared" si="8"/>
        <v/>
      </c>
      <c r="AC832" s="169"/>
      <c r="AD832" s="169" t="str">
        <f t="shared" si="9"/>
        <v/>
      </c>
      <c r="AE832" s="169"/>
      <c r="AF832" s="169" t="str">
        <f t="shared" si="10"/>
        <v/>
      </c>
      <c r="AG832" s="169"/>
      <c r="AH832" s="169" t="str">
        <f t="shared" si="11"/>
        <v/>
      </c>
      <c r="AI832" s="169"/>
      <c r="AJ832" s="169" t="str">
        <f t="shared" si="12"/>
        <v/>
      </c>
    </row>
    <row r="833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 t="str">
        <f t="shared" si="2"/>
        <v/>
      </c>
      <c r="Q833" s="169"/>
      <c r="R833" s="169" t="str">
        <f t="shared" si="3"/>
        <v/>
      </c>
      <c r="S833" s="169"/>
      <c r="T833" s="169" t="str">
        <f t="shared" si="4"/>
        <v/>
      </c>
      <c r="U833" s="169"/>
      <c r="V833" s="169" t="str">
        <f t="shared" si="5"/>
        <v/>
      </c>
      <c r="W833" s="169"/>
      <c r="X833" s="169" t="str">
        <f t="shared" si="6"/>
        <v/>
      </c>
      <c r="Y833" s="169"/>
      <c r="Z833" s="169" t="str">
        <f t="shared" si="7"/>
        <v/>
      </c>
      <c r="AA833" s="169"/>
      <c r="AB833" s="169" t="str">
        <f t="shared" si="8"/>
        <v/>
      </c>
      <c r="AC833" s="169"/>
      <c r="AD833" s="169" t="str">
        <f t="shared" si="9"/>
        <v/>
      </c>
      <c r="AE833" s="169"/>
      <c r="AF833" s="169" t="str">
        <f t="shared" si="10"/>
        <v/>
      </c>
      <c r="AG833" s="169"/>
      <c r="AH833" s="169" t="str">
        <f t="shared" si="11"/>
        <v/>
      </c>
      <c r="AI833" s="169"/>
      <c r="AJ833" s="169" t="str">
        <f t="shared" si="12"/>
        <v/>
      </c>
    </row>
    <row r="834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 t="str">
        <f t="shared" si="2"/>
        <v/>
      </c>
      <c r="Q834" s="169"/>
      <c r="R834" s="169" t="str">
        <f t="shared" si="3"/>
        <v/>
      </c>
      <c r="S834" s="169"/>
      <c r="T834" s="169" t="str">
        <f t="shared" si="4"/>
        <v/>
      </c>
      <c r="U834" s="169"/>
      <c r="V834" s="169" t="str">
        <f t="shared" si="5"/>
        <v/>
      </c>
      <c r="W834" s="169"/>
      <c r="X834" s="169" t="str">
        <f t="shared" si="6"/>
        <v/>
      </c>
      <c r="Y834" s="169"/>
      <c r="Z834" s="169" t="str">
        <f t="shared" si="7"/>
        <v/>
      </c>
      <c r="AA834" s="169"/>
      <c r="AB834" s="169" t="str">
        <f t="shared" si="8"/>
        <v/>
      </c>
      <c r="AC834" s="169"/>
      <c r="AD834" s="169" t="str">
        <f t="shared" si="9"/>
        <v/>
      </c>
      <c r="AE834" s="169"/>
      <c r="AF834" s="169" t="str">
        <f t="shared" si="10"/>
        <v/>
      </c>
      <c r="AG834" s="169"/>
      <c r="AH834" s="169" t="str">
        <f t="shared" si="11"/>
        <v/>
      </c>
      <c r="AI834" s="169"/>
      <c r="AJ834" s="169" t="str">
        <f t="shared" si="12"/>
        <v/>
      </c>
    </row>
    <row r="83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 t="str">
        <f t="shared" si="2"/>
        <v/>
      </c>
      <c r="Q835" s="169"/>
      <c r="R835" s="169" t="str">
        <f t="shared" si="3"/>
        <v/>
      </c>
      <c r="S835" s="169"/>
      <c r="T835" s="169" t="str">
        <f t="shared" si="4"/>
        <v/>
      </c>
      <c r="U835" s="169"/>
      <c r="V835" s="169" t="str">
        <f t="shared" si="5"/>
        <v/>
      </c>
      <c r="W835" s="169"/>
      <c r="X835" s="169" t="str">
        <f t="shared" si="6"/>
        <v/>
      </c>
      <c r="Y835" s="169"/>
      <c r="Z835" s="169" t="str">
        <f t="shared" si="7"/>
        <v/>
      </c>
      <c r="AA835" s="169"/>
      <c r="AB835" s="169" t="str">
        <f t="shared" si="8"/>
        <v/>
      </c>
      <c r="AC835" s="169"/>
      <c r="AD835" s="169" t="str">
        <f t="shared" si="9"/>
        <v/>
      </c>
      <c r="AE835" s="169"/>
      <c r="AF835" s="169" t="str">
        <f t="shared" si="10"/>
        <v/>
      </c>
      <c r="AG835" s="169"/>
      <c r="AH835" s="169" t="str">
        <f t="shared" si="11"/>
        <v/>
      </c>
      <c r="AI835" s="169"/>
      <c r="AJ835" s="169" t="str">
        <f t="shared" si="12"/>
        <v/>
      </c>
    </row>
    <row r="836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 t="str">
        <f t="shared" si="2"/>
        <v/>
      </c>
      <c r="Q836" s="169"/>
      <c r="R836" s="169" t="str">
        <f t="shared" si="3"/>
        <v/>
      </c>
      <c r="S836" s="169"/>
      <c r="T836" s="169" t="str">
        <f t="shared" si="4"/>
        <v/>
      </c>
      <c r="U836" s="169"/>
      <c r="V836" s="169" t="str">
        <f t="shared" si="5"/>
        <v/>
      </c>
      <c r="W836" s="169"/>
      <c r="X836" s="169" t="str">
        <f t="shared" si="6"/>
        <v/>
      </c>
      <c r="Y836" s="169"/>
      <c r="Z836" s="169" t="str">
        <f t="shared" si="7"/>
        <v/>
      </c>
      <c r="AA836" s="169"/>
      <c r="AB836" s="169" t="str">
        <f t="shared" si="8"/>
        <v/>
      </c>
      <c r="AC836" s="169"/>
      <c r="AD836" s="169" t="str">
        <f t="shared" si="9"/>
        <v/>
      </c>
      <c r="AE836" s="169"/>
      <c r="AF836" s="169" t="str">
        <f t="shared" si="10"/>
        <v/>
      </c>
      <c r="AG836" s="169"/>
      <c r="AH836" s="169" t="str">
        <f t="shared" si="11"/>
        <v/>
      </c>
      <c r="AI836" s="169"/>
      <c r="AJ836" s="169" t="str">
        <f t="shared" si="12"/>
        <v/>
      </c>
    </row>
    <row r="837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 t="str">
        <f t="shared" si="2"/>
        <v/>
      </c>
      <c r="Q837" s="169"/>
      <c r="R837" s="169" t="str">
        <f t="shared" si="3"/>
        <v/>
      </c>
      <c r="S837" s="169"/>
      <c r="T837" s="169" t="str">
        <f t="shared" si="4"/>
        <v/>
      </c>
      <c r="U837" s="169"/>
      <c r="V837" s="169" t="str">
        <f t="shared" si="5"/>
        <v/>
      </c>
      <c r="W837" s="169"/>
      <c r="X837" s="169" t="str">
        <f t="shared" si="6"/>
        <v/>
      </c>
      <c r="Y837" s="169"/>
      <c r="Z837" s="169" t="str">
        <f t="shared" si="7"/>
        <v/>
      </c>
      <c r="AA837" s="169"/>
      <c r="AB837" s="169" t="str">
        <f t="shared" si="8"/>
        <v/>
      </c>
      <c r="AC837" s="169"/>
      <c r="AD837" s="169" t="str">
        <f t="shared" si="9"/>
        <v/>
      </c>
      <c r="AE837" s="169"/>
      <c r="AF837" s="169" t="str">
        <f t="shared" si="10"/>
        <v/>
      </c>
      <c r="AG837" s="169"/>
      <c r="AH837" s="169" t="str">
        <f t="shared" si="11"/>
        <v/>
      </c>
      <c r="AI837" s="169"/>
      <c r="AJ837" s="169" t="str">
        <f t="shared" si="12"/>
        <v/>
      </c>
    </row>
    <row r="838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 t="str">
        <f t="shared" si="2"/>
        <v/>
      </c>
      <c r="Q838" s="169"/>
      <c r="R838" s="169" t="str">
        <f t="shared" si="3"/>
        <v/>
      </c>
      <c r="S838" s="169"/>
      <c r="T838" s="169" t="str">
        <f t="shared" si="4"/>
        <v/>
      </c>
      <c r="U838" s="169"/>
      <c r="V838" s="169" t="str">
        <f t="shared" si="5"/>
        <v/>
      </c>
      <c r="W838" s="169"/>
      <c r="X838" s="169" t="str">
        <f t="shared" si="6"/>
        <v/>
      </c>
      <c r="Y838" s="169"/>
      <c r="Z838" s="169" t="str">
        <f t="shared" si="7"/>
        <v/>
      </c>
      <c r="AA838" s="169"/>
      <c r="AB838" s="169" t="str">
        <f t="shared" si="8"/>
        <v/>
      </c>
      <c r="AC838" s="169"/>
      <c r="AD838" s="169" t="str">
        <f t="shared" si="9"/>
        <v/>
      </c>
      <c r="AE838" s="169"/>
      <c r="AF838" s="169" t="str">
        <f t="shared" si="10"/>
        <v/>
      </c>
      <c r="AG838" s="169"/>
      <c r="AH838" s="169" t="str">
        <f t="shared" si="11"/>
        <v/>
      </c>
      <c r="AI838" s="169"/>
      <c r="AJ838" s="169" t="str">
        <f t="shared" si="12"/>
        <v/>
      </c>
    </row>
    <row r="839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 t="str">
        <f t="shared" si="2"/>
        <v/>
      </c>
      <c r="Q839" s="169"/>
      <c r="R839" s="169" t="str">
        <f t="shared" si="3"/>
        <v/>
      </c>
      <c r="S839" s="169"/>
      <c r="T839" s="169" t="str">
        <f t="shared" si="4"/>
        <v/>
      </c>
      <c r="U839" s="169"/>
      <c r="V839" s="169" t="str">
        <f t="shared" si="5"/>
        <v/>
      </c>
      <c r="W839" s="169"/>
      <c r="X839" s="169" t="str">
        <f t="shared" si="6"/>
        <v/>
      </c>
      <c r="Y839" s="169"/>
      <c r="Z839" s="169" t="str">
        <f t="shared" si="7"/>
        <v/>
      </c>
      <c r="AA839" s="169"/>
      <c r="AB839" s="169" t="str">
        <f t="shared" si="8"/>
        <v/>
      </c>
      <c r="AC839" s="169"/>
      <c r="AD839" s="169" t="str">
        <f t="shared" si="9"/>
        <v/>
      </c>
      <c r="AE839" s="169"/>
      <c r="AF839" s="169" t="str">
        <f t="shared" si="10"/>
        <v/>
      </c>
      <c r="AG839" s="169"/>
      <c r="AH839" s="169" t="str">
        <f t="shared" si="11"/>
        <v/>
      </c>
      <c r="AI839" s="169"/>
      <c r="AJ839" s="169" t="str">
        <f t="shared" si="12"/>
        <v/>
      </c>
    </row>
    <row r="840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 t="str">
        <f t="shared" si="2"/>
        <v/>
      </c>
      <c r="Q840" s="169"/>
      <c r="R840" s="169" t="str">
        <f t="shared" si="3"/>
        <v/>
      </c>
      <c r="S840" s="169"/>
      <c r="T840" s="169" t="str">
        <f t="shared" si="4"/>
        <v/>
      </c>
      <c r="U840" s="169"/>
      <c r="V840" s="169" t="str">
        <f t="shared" si="5"/>
        <v/>
      </c>
      <c r="W840" s="169"/>
      <c r="X840" s="169" t="str">
        <f t="shared" si="6"/>
        <v/>
      </c>
      <c r="Y840" s="169"/>
      <c r="Z840" s="169" t="str">
        <f t="shared" si="7"/>
        <v/>
      </c>
      <c r="AA840" s="169"/>
      <c r="AB840" s="169" t="str">
        <f t="shared" si="8"/>
        <v/>
      </c>
      <c r="AC840" s="169"/>
      <c r="AD840" s="169" t="str">
        <f t="shared" si="9"/>
        <v/>
      </c>
      <c r="AE840" s="169"/>
      <c r="AF840" s="169" t="str">
        <f t="shared" si="10"/>
        <v/>
      </c>
      <c r="AG840" s="169"/>
      <c r="AH840" s="169" t="str">
        <f t="shared" si="11"/>
        <v/>
      </c>
      <c r="AI840" s="169"/>
      <c r="AJ840" s="169" t="str">
        <f t="shared" si="12"/>
        <v/>
      </c>
    </row>
    <row r="84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 t="str">
        <f t="shared" si="2"/>
        <v/>
      </c>
      <c r="Q841" s="169"/>
      <c r="R841" s="169" t="str">
        <f t="shared" si="3"/>
        <v/>
      </c>
      <c r="S841" s="169"/>
      <c r="T841" s="169" t="str">
        <f t="shared" si="4"/>
        <v/>
      </c>
      <c r="U841" s="169"/>
      <c r="V841" s="169" t="str">
        <f t="shared" si="5"/>
        <v/>
      </c>
      <c r="W841" s="169"/>
      <c r="X841" s="169" t="str">
        <f t="shared" si="6"/>
        <v/>
      </c>
      <c r="Y841" s="169"/>
      <c r="Z841" s="169" t="str">
        <f t="shared" si="7"/>
        <v/>
      </c>
      <c r="AA841" s="169"/>
      <c r="AB841" s="169" t="str">
        <f t="shared" si="8"/>
        <v/>
      </c>
      <c r="AC841" s="169"/>
      <c r="AD841" s="169" t="str">
        <f t="shared" si="9"/>
        <v/>
      </c>
      <c r="AE841" s="169"/>
      <c r="AF841" s="169" t="str">
        <f t="shared" si="10"/>
        <v/>
      </c>
      <c r="AG841" s="169"/>
      <c r="AH841" s="169" t="str">
        <f t="shared" si="11"/>
        <v/>
      </c>
      <c r="AI841" s="169"/>
      <c r="AJ841" s="169" t="str">
        <f t="shared" si="12"/>
        <v/>
      </c>
    </row>
    <row r="84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 t="str">
        <f t="shared" si="2"/>
        <v/>
      </c>
      <c r="Q842" s="169"/>
      <c r="R842" s="169" t="str">
        <f t="shared" si="3"/>
        <v/>
      </c>
      <c r="S842" s="169"/>
      <c r="T842" s="169" t="str">
        <f t="shared" si="4"/>
        <v/>
      </c>
      <c r="U842" s="169"/>
      <c r="V842" s="169" t="str">
        <f t="shared" si="5"/>
        <v/>
      </c>
      <c r="W842" s="169"/>
      <c r="X842" s="169" t="str">
        <f t="shared" si="6"/>
        <v/>
      </c>
      <c r="Y842" s="169"/>
      <c r="Z842" s="169" t="str">
        <f t="shared" si="7"/>
        <v/>
      </c>
      <c r="AA842" s="169"/>
      <c r="AB842" s="169" t="str">
        <f t="shared" si="8"/>
        <v/>
      </c>
      <c r="AC842" s="169"/>
      <c r="AD842" s="169" t="str">
        <f t="shared" si="9"/>
        <v/>
      </c>
      <c r="AE842" s="169"/>
      <c r="AF842" s="169" t="str">
        <f t="shared" si="10"/>
        <v/>
      </c>
      <c r="AG842" s="169"/>
      <c r="AH842" s="169" t="str">
        <f t="shared" si="11"/>
        <v/>
      </c>
      <c r="AI842" s="169"/>
      <c r="AJ842" s="169" t="str">
        <f t="shared" si="12"/>
        <v/>
      </c>
    </row>
    <row r="843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 t="str">
        <f t="shared" si="2"/>
        <v/>
      </c>
      <c r="Q843" s="169"/>
      <c r="R843" s="169" t="str">
        <f t="shared" si="3"/>
        <v/>
      </c>
      <c r="S843" s="169"/>
      <c r="T843" s="169" t="str">
        <f t="shared" si="4"/>
        <v/>
      </c>
      <c r="U843" s="169"/>
      <c r="V843" s="169" t="str">
        <f t="shared" si="5"/>
        <v/>
      </c>
      <c r="W843" s="169"/>
      <c r="X843" s="169" t="str">
        <f t="shared" si="6"/>
        <v/>
      </c>
      <c r="Y843" s="169"/>
      <c r="Z843" s="169" t="str">
        <f t="shared" si="7"/>
        <v/>
      </c>
      <c r="AA843" s="169"/>
      <c r="AB843" s="169" t="str">
        <f t="shared" si="8"/>
        <v/>
      </c>
      <c r="AC843" s="169"/>
      <c r="AD843" s="169" t="str">
        <f t="shared" si="9"/>
        <v/>
      </c>
      <c r="AE843" s="169"/>
      <c r="AF843" s="169" t="str">
        <f t="shared" si="10"/>
        <v/>
      </c>
      <c r="AG843" s="169"/>
      <c r="AH843" s="169" t="str">
        <f t="shared" si="11"/>
        <v/>
      </c>
      <c r="AI843" s="169"/>
      <c r="AJ843" s="169" t="str">
        <f t="shared" si="12"/>
        <v/>
      </c>
    </row>
    <row r="844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 t="str">
        <f t="shared" si="2"/>
        <v/>
      </c>
      <c r="Q844" s="169"/>
      <c r="R844" s="169" t="str">
        <f t="shared" si="3"/>
        <v/>
      </c>
      <c r="S844" s="169"/>
      <c r="T844" s="169" t="str">
        <f t="shared" si="4"/>
        <v/>
      </c>
      <c r="U844" s="169"/>
      <c r="V844" s="169" t="str">
        <f t="shared" si="5"/>
        <v/>
      </c>
      <c r="W844" s="169"/>
      <c r="X844" s="169" t="str">
        <f t="shared" si="6"/>
        <v/>
      </c>
      <c r="Y844" s="169"/>
      <c r="Z844" s="169" t="str">
        <f t="shared" si="7"/>
        <v/>
      </c>
      <c r="AA844" s="169"/>
      <c r="AB844" s="169" t="str">
        <f t="shared" si="8"/>
        <v/>
      </c>
      <c r="AC844" s="169"/>
      <c r="AD844" s="169" t="str">
        <f t="shared" si="9"/>
        <v/>
      </c>
      <c r="AE844" s="169"/>
      <c r="AF844" s="169" t="str">
        <f t="shared" si="10"/>
        <v/>
      </c>
      <c r="AG844" s="169"/>
      <c r="AH844" s="169" t="str">
        <f t="shared" si="11"/>
        <v/>
      </c>
      <c r="AI844" s="169"/>
      <c r="AJ844" s="169" t="str">
        <f t="shared" si="12"/>
        <v/>
      </c>
    </row>
    <row r="84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 t="str">
        <f t="shared" si="2"/>
        <v/>
      </c>
      <c r="Q845" s="169"/>
      <c r="R845" s="169" t="str">
        <f t="shared" si="3"/>
        <v/>
      </c>
      <c r="S845" s="169"/>
      <c r="T845" s="169" t="str">
        <f t="shared" si="4"/>
        <v/>
      </c>
      <c r="U845" s="169"/>
      <c r="V845" s="169" t="str">
        <f t="shared" si="5"/>
        <v/>
      </c>
      <c r="W845" s="169"/>
      <c r="X845" s="169" t="str">
        <f t="shared" si="6"/>
        <v/>
      </c>
      <c r="Y845" s="169"/>
      <c r="Z845" s="169" t="str">
        <f t="shared" si="7"/>
        <v/>
      </c>
      <c r="AA845" s="169"/>
      <c r="AB845" s="169" t="str">
        <f t="shared" si="8"/>
        <v/>
      </c>
      <c r="AC845" s="169"/>
      <c r="AD845" s="169" t="str">
        <f t="shared" si="9"/>
        <v/>
      </c>
      <c r="AE845" s="169"/>
      <c r="AF845" s="169" t="str">
        <f t="shared" si="10"/>
        <v/>
      </c>
      <c r="AG845" s="169"/>
      <c r="AH845" s="169" t="str">
        <f t="shared" si="11"/>
        <v/>
      </c>
      <c r="AI845" s="169"/>
      <c r="AJ845" s="169" t="str">
        <f t="shared" si="12"/>
        <v/>
      </c>
    </row>
    <row r="846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 t="str">
        <f t="shared" si="2"/>
        <v/>
      </c>
      <c r="Q846" s="169"/>
      <c r="R846" s="169" t="str">
        <f t="shared" si="3"/>
        <v/>
      </c>
      <c r="S846" s="169"/>
      <c r="T846" s="169" t="str">
        <f t="shared" si="4"/>
        <v/>
      </c>
      <c r="U846" s="169"/>
      <c r="V846" s="169" t="str">
        <f t="shared" si="5"/>
        <v/>
      </c>
      <c r="W846" s="169"/>
      <c r="X846" s="169" t="str">
        <f t="shared" si="6"/>
        <v/>
      </c>
      <c r="Y846" s="169"/>
      <c r="Z846" s="169" t="str">
        <f t="shared" si="7"/>
        <v/>
      </c>
      <c r="AA846" s="169"/>
      <c r="AB846" s="169" t="str">
        <f t="shared" si="8"/>
        <v/>
      </c>
      <c r="AC846" s="169"/>
      <c r="AD846" s="169" t="str">
        <f t="shared" si="9"/>
        <v/>
      </c>
      <c r="AE846" s="169"/>
      <c r="AF846" s="169" t="str">
        <f t="shared" si="10"/>
        <v/>
      </c>
      <c r="AG846" s="169"/>
      <c r="AH846" s="169" t="str">
        <f t="shared" si="11"/>
        <v/>
      </c>
      <c r="AI846" s="169"/>
      <c r="AJ846" s="169" t="str">
        <f t="shared" si="12"/>
        <v/>
      </c>
    </row>
    <row r="847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 t="str">
        <f t="shared" si="2"/>
        <v/>
      </c>
      <c r="Q847" s="169"/>
      <c r="R847" s="169" t="str">
        <f t="shared" si="3"/>
        <v/>
      </c>
      <c r="S847" s="169"/>
      <c r="T847" s="169" t="str">
        <f t="shared" si="4"/>
        <v/>
      </c>
      <c r="U847" s="169"/>
      <c r="V847" s="169" t="str">
        <f t="shared" si="5"/>
        <v/>
      </c>
      <c r="W847" s="169"/>
      <c r="X847" s="169" t="str">
        <f t="shared" si="6"/>
        <v/>
      </c>
      <c r="Y847" s="169"/>
      <c r="Z847" s="169" t="str">
        <f t="shared" si="7"/>
        <v/>
      </c>
      <c r="AA847" s="169"/>
      <c r="AB847" s="169" t="str">
        <f t="shared" si="8"/>
        <v/>
      </c>
      <c r="AC847" s="169"/>
      <c r="AD847" s="169" t="str">
        <f t="shared" si="9"/>
        <v/>
      </c>
      <c r="AE847" s="169"/>
      <c r="AF847" s="169" t="str">
        <f t="shared" si="10"/>
        <v/>
      </c>
      <c r="AG847" s="169"/>
      <c r="AH847" s="169" t="str">
        <f t="shared" si="11"/>
        <v/>
      </c>
      <c r="AI847" s="169"/>
      <c r="AJ847" s="169" t="str">
        <f t="shared" si="12"/>
        <v/>
      </c>
    </row>
    <row r="848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 t="str">
        <f t="shared" si="2"/>
        <v/>
      </c>
      <c r="Q848" s="169"/>
      <c r="R848" s="169" t="str">
        <f t="shared" si="3"/>
        <v/>
      </c>
      <c r="S848" s="169"/>
      <c r="T848" s="169" t="str">
        <f t="shared" si="4"/>
        <v/>
      </c>
      <c r="U848" s="169"/>
      <c r="V848" s="169" t="str">
        <f t="shared" si="5"/>
        <v/>
      </c>
      <c r="W848" s="169"/>
      <c r="X848" s="169" t="str">
        <f t="shared" si="6"/>
        <v/>
      </c>
      <c r="Y848" s="169"/>
      <c r="Z848" s="169" t="str">
        <f t="shared" si="7"/>
        <v/>
      </c>
      <c r="AA848" s="169"/>
      <c r="AB848" s="169" t="str">
        <f t="shared" si="8"/>
        <v/>
      </c>
      <c r="AC848" s="169"/>
      <c r="AD848" s="169" t="str">
        <f t="shared" si="9"/>
        <v/>
      </c>
      <c r="AE848" s="169"/>
      <c r="AF848" s="169" t="str">
        <f t="shared" si="10"/>
        <v/>
      </c>
      <c r="AG848" s="169"/>
      <c r="AH848" s="169" t="str">
        <f t="shared" si="11"/>
        <v/>
      </c>
      <c r="AI848" s="169"/>
      <c r="AJ848" s="169" t="str">
        <f t="shared" si="12"/>
        <v/>
      </c>
    </row>
    <row r="849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 t="str">
        <f t="shared" si="2"/>
        <v/>
      </c>
      <c r="Q849" s="169"/>
      <c r="R849" s="169" t="str">
        <f t="shared" si="3"/>
        <v/>
      </c>
      <c r="S849" s="169"/>
      <c r="T849" s="169" t="str">
        <f t="shared" si="4"/>
        <v/>
      </c>
      <c r="U849" s="169"/>
      <c r="V849" s="169" t="str">
        <f t="shared" si="5"/>
        <v/>
      </c>
      <c r="W849" s="169"/>
      <c r="X849" s="169" t="str">
        <f t="shared" si="6"/>
        <v/>
      </c>
      <c r="Y849" s="169"/>
      <c r="Z849" s="169" t="str">
        <f t="shared" si="7"/>
        <v/>
      </c>
      <c r="AA849" s="169"/>
      <c r="AB849" s="169" t="str">
        <f t="shared" si="8"/>
        <v/>
      </c>
      <c r="AC849" s="169"/>
      <c r="AD849" s="169" t="str">
        <f t="shared" si="9"/>
        <v/>
      </c>
      <c r="AE849" s="169"/>
      <c r="AF849" s="169" t="str">
        <f t="shared" si="10"/>
        <v/>
      </c>
      <c r="AG849" s="169"/>
      <c r="AH849" s="169" t="str">
        <f t="shared" si="11"/>
        <v/>
      </c>
      <c r="AI849" s="169"/>
      <c r="AJ849" s="169" t="str">
        <f t="shared" si="12"/>
        <v/>
      </c>
    </row>
    <row r="850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 t="str">
        <f t="shared" si="2"/>
        <v/>
      </c>
      <c r="Q850" s="169"/>
      <c r="R850" s="169" t="str">
        <f t="shared" si="3"/>
        <v/>
      </c>
      <c r="S850" s="169"/>
      <c r="T850" s="169" t="str">
        <f t="shared" si="4"/>
        <v/>
      </c>
      <c r="U850" s="169"/>
      <c r="V850" s="169" t="str">
        <f t="shared" si="5"/>
        <v/>
      </c>
      <c r="W850" s="169"/>
      <c r="X850" s="169" t="str">
        <f t="shared" si="6"/>
        <v/>
      </c>
      <c r="Y850" s="169"/>
      <c r="Z850" s="169" t="str">
        <f t="shared" si="7"/>
        <v/>
      </c>
      <c r="AA850" s="169"/>
      <c r="AB850" s="169" t="str">
        <f t="shared" si="8"/>
        <v/>
      </c>
      <c r="AC850" s="169"/>
      <c r="AD850" s="169" t="str">
        <f t="shared" si="9"/>
        <v/>
      </c>
      <c r="AE850" s="169"/>
      <c r="AF850" s="169" t="str">
        <f t="shared" si="10"/>
        <v/>
      </c>
      <c r="AG850" s="169"/>
      <c r="AH850" s="169" t="str">
        <f t="shared" si="11"/>
        <v/>
      </c>
      <c r="AI850" s="169"/>
      <c r="AJ850" s="169" t="str">
        <f t="shared" si="12"/>
        <v/>
      </c>
    </row>
    <row r="85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 t="str">
        <f t="shared" si="2"/>
        <v/>
      </c>
      <c r="Q851" s="169"/>
      <c r="R851" s="169" t="str">
        <f t="shared" si="3"/>
        <v/>
      </c>
      <c r="S851" s="169"/>
      <c r="T851" s="169" t="str">
        <f t="shared" si="4"/>
        <v/>
      </c>
      <c r="U851" s="169"/>
      <c r="V851" s="169" t="str">
        <f t="shared" si="5"/>
        <v/>
      </c>
      <c r="W851" s="169"/>
      <c r="X851" s="169" t="str">
        <f t="shared" si="6"/>
        <v/>
      </c>
      <c r="Y851" s="169"/>
      <c r="Z851" s="169" t="str">
        <f t="shared" si="7"/>
        <v/>
      </c>
      <c r="AA851" s="169"/>
      <c r="AB851" s="169" t="str">
        <f t="shared" si="8"/>
        <v/>
      </c>
      <c r="AC851" s="169"/>
      <c r="AD851" s="169" t="str">
        <f t="shared" si="9"/>
        <v/>
      </c>
      <c r="AE851" s="169"/>
      <c r="AF851" s="169" t="str">
        <f t="shared" si="10"/>
        <v/>
      </c>
      <c r="AG851" s="169"/>
      <c r="AH851" s="169" t="str">
        <f t="shared" si="11"/>
        <v/>
      </c>
      <c r="AI851" s="169"/>
      <c r="AJ851" s="169" t="str">
        <f t="shared" si="12"/>
        <v/>
      </c>
    </row>
    <row r="85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 t="str">
        <f t="shared" si="2"/>
        <v/>
      </c>
      <c r="Q852" s="169"/>
      <c r="R852" s="169" t="str">
        <f t="shared" si="3"/>
        <v/>
      </c>
      <c r="S852" s="169"/>
      <c r="T852" s="169" t="str">
        <f t="shared" si="4"/>
        <v/>
      </c>
      <c r="U852" s="169"/>
      <c r="V852" s="169" t="str">
        <f t="shared" si="5"/>
        <v/>
      </c>
      <c r="W852" s="169"/>
      <c r="X852" s="169" t="str">
        <f t="shared" si="6"/>
        <v/>
      </c>
      <c r="Y852" s="169"/>
      <c r="Z852" s="169" t="str">
        <f t="shared" si="7"/>
        <v/>
      </c>
      <c r="AA852" s="169"/>
      <c r="AB852" s="169" t="str">
        <f t="shared" si="8"/>
        <v/>
      </c>
      <c r="AC852" s="169"/>
      <c r="AD852" s="169" t="str">
        <f t="shared" si="9"/>
        <v/>
      </c>
      <c r="AE852" s="169"/>
      <c r="AF852" s="169" t="str">
        <f t="shared" si="10"/>
        <v/>
      </c>
      <c r="AG852" s="169"/>
      <c r="AH852" s="169" t="str">
        <f t="shared" si="11"/>
        <v/>
      </c>
      <c r="AI852" s="169"/>
      <c r="AJ852" s="169" t="str">
        <f t="shared" si="12"/>
        <v/>
      </c>
    </row>
    <row r="853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 t="str">
        <f t="shared" si="2"/>
        <v/>
      </c>
      <c r="Q853" s="169"/>
      <c r="R853" s="169" t="str">
        <f t="shared" si="3"/>
        <v/>
      </c>
      <c r="S853" s="169"/>
      <c r="T853" s="169" t="str">
        <f t="shared" si="4"/>
        <v/>
      </c>
      <c r="U853" s="169"/>
      <c r="V853" s="169" t="str">
        <f t="shared" si="5"/>
        <v/>
      </c>
      <c r="W853" s="169"/>
      <c r="X853" s="169" t="str">
        <f t="shared" si="6"/>
        <v/>
      </c>
      <c r="Y853" s="169"/>
      <c r="Z853" s="169" t="str">
        <f t="shared" si="7"/>
        <v/>
      </c>
      <c r="AA853" s="169"/>
      <c r="AB853" s="169" t="str">
        <f t="shared" si="8"/>
        <v/>
      </c>
      <c r="AC853" s="169"/>
      <c r="AD853" s="169" t="str">
        <f t="shared" si="9"/>
        <v/>
      </c>
      <c r="AE853" s="169"/>
      <c r="AF853" s="169" t="str">
        <f t="shared" si="10"/>
        <v/>
      </c>
      <c r="AG853" s="169"/>
      <c r="AH853" s="169" t="str">
        <f t="shared" si="11"/>
        <v/>
      </c>
      <c r="AI853" s="169"/>
      <c r="AJ853" s="169" t="str">
        <f t="shared" si="12"/>
        <v/>
      </c>
    </row>
    <row r="854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 t="str">
        <f t="shared" si="2"/>
        <v/>
      </c>
      <c r="Q854" s="169"/>
      <c r="R854" s="169" t="str">
        <f t="shared" si="3"/>
        <v/>
      </c>
      <c r="S854" s="169"/>
      <c r="T854" s="169" t="str">
        <f t="shared" si="4"/>
        <v/>
      </c>
      <c r="U854" s="169"/>
      <c r="V854" s="169" t="str">
        <f t="shared" si="5"/>
        <v/>
      </c>
      <c r="W854" s="169"/>
      <c r="X854" s="169" t="str">
        <f t="shared" si="6"/>
        <v/>
      </c>
      <c r="Y854" s="169"/>
      <c r="Z854" s="169" t="str">
        <f t="shared" si="7"/>
        <v/>
      </c>
      <c r="AA854" s="169"/>
      <c r="AB854" s="169" t="str">
        <f t="shared" si="8"/>
        <v/>
      </c>
      <c r="AC854" s="169"/>
      <c r="AD854" s="169" t="str">
        <f t="shared" si="9"/>
        <v/>
      </c>
      <c r="AE854" s="169"/>
      <c r="AF854" s="169" t="str">
        <f t="shared" si="10"/>
        <v/>
      </c>
      <c r="AG854" s="169"/>
      <c r="AH854" s="169" t="str">
        <f t="shared" si="11"/>
        <v/>
      </c>
      <c r="AI854" s="169"/>
      <c r="AJ854" s="169" t="str">
        <f t="shared" si="12"/>
        <v/>
      </c>
    </row>
    <row r="85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 t="str">
        <f t="shared" si="2"/>
        <v/>
      </c>
      <c r="Q855" s="169"/>
      <c r="R855" s="169" t="str">
        <f t="shared" si="3"/>
        <v/>
      </c>
      <c r="S855" s="169"/>
      <c r="T855" s="169" t="str">
        <f t="shared" si="4"/>
        <v/>
      </c>
      <c r="U855" s="169"/>
      <c r="V855" s="169" t="str">
        <f t="shared" si="5"/>
        <v/>
      </c>
      <c r="W855" s="169"/>
      <c r="X855" s="169" t="str">
        <f t="shared" si="6"/>
        <v/>
      </c>
      <c r="Y855" s="169"/>
      <c r="Z855" s="169" t="str">
        <f t="shared" si="7"/>
        <v/>
      </c>
      <c r="AA855" s="169"/>
      <c r="AB855" s="169" t="str">
        <f t="shared" si="8"/>
        <v/>
      </c>
      <c r="AC855" s="169"/>
      <c r="AD855" s="169" t="str">
        <f t="shared" si="9"/>
        <v/>
      </c>
      <c r="AE855" s="169"/>
      <c r="AF855" s="169" t="str">
        <f t="shared" si="10"/>
        <v/>
      </c>
      <c r="AG855" s="169"/>
      <c r="AH855" s="169" t="str">
        <f t="shared" si="11"/>
        <v/>
      </c>
      <c r="AI855" s="169"/>
      <c r="AJ855" s="169" t="str">
        <f t="shared" si="12"/>
        <v/>
      </c>
    </row>
    <row r="856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 t="str">
        <f t="shared" si="2"/>
        <v/>
      </c>
      <c r="Q856" s="169"/>
      <c r="R856" s="169" t="str">
        <f t="shared" si="3"/>
        <v/>
      </c>
      <c r="S856" s="169"/>
      <c r="T856" s="169" t="str">
        <f t="shared" si="4"/>
        <v/>
      </c>
      <c r="U856" s="169"/>
      <c r="V856" s="169" t="str">
        <f t="shared" si="5"/>
        <v/>
      </c>
      <c r="W856" s="169"/>
      <c r="X856" s="169" t="str">
        <f t="shared" si="6"/>
        <v/>
      </c>
      <c r="Y856" s="169"/>
      <c r="Z856" s="169" t="str">
        <f t="shared" si="7"/>
        <v/>
      </c>
      <c r="AA856" s="169"/>
      <c r="AB856" s="169" t="str">
        <f t="shared" si="8"/>
        <v/>
      </c>
      <c r="AC856" s="169"/>
      <c r="AD856" s="169" t="str">
        <f t="shared" si="9"/>
        <v/>
      </c>
      <c r="AE856" s="169"/>
      <c r="AF856" s="169" t="str">
        <f t="shared" si="10"/>
        <v/>
      </c>
      <c r="AG856" s="169"/>
      <c r="AH856" s="169" t="str">
        <f t="shared" si="11"/>
        <v/>
      </c>
      <c r="AI856" s="169"/>
      <c r="AJ856" s="169" t="str">
        <f t="shared" si="12"/>
        <v/>
      </c>
    </row>
    <row r="857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 t="str">
        <f t="shared" si="2"/>
        <v/>
      </c>
      <c r="Q857" s="169"/>
      <c r="R857" s="169" t="str">
        <f t="shared" si="3"/>
        <v/>
      </c>
      <c r="S857" s="169"/>
      <c r="T857" s="169" t="str">
        <f t="shared" si="4"/>
        <v/>
      </c>
      <c r="U857" s="169"/>
      <c r="V857" s="169" t="str">
        <f t="shared" si="5"/>
        <v/>
      </c>
      <c r="W857" s="169"/>
      <c r="X857" s="169" t="str">
        <f t="shared" si="6"/>
        <v/>
      </c>
      <c r="Y857" s="169"/>
      <c r="Z857" s="169" t="str">
        <f t="shared" si="7"/>
        <v/>
      </c>
      <c r="AA857" s="169"/>
      <c r="AB857" s="169" t="str">
        <f t="shared" si="8"/>
        <v/>
      </c>
      <c r="AC857" s="169"/>
      <c r="AD857" s="169" t="str">
        <f t="shared" si="9"/>
        <v/>
      </c>
      <c r="AE857" s="169"/>
      <c r="AF857" s="169" t="str">
        <f t="shared" si="10"/>
        <v/>
      </c>
      <c r="AG857" s="169"/>
      <c r="AH857" s="169" t="str">
        <f t="shared" si="11"/>
        <v/>
      </c>
      <c r="AI857" s="169"/>
      <c r="AJ857" s="169" t="str">
        <f t="shared" si="12"/>
        <v/>
      </c>
    </row>
    <row r="858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 t="str">
        <f t="shared" si="2"/>
        <v/>
      </c>
      <c r="Q858" s="169"/>
      <c r="R858" s="169" t="str">
        <f t="shared" si="3"/>
        <v/>
      </c>
      <c r="S858" s="169"/>
      <c r="T858" s="169" t="str">
        <f t="shared" si="4"/>
        <v/>
      </c>
      <c r="U858" s="169"/>
      <c r="V858" s="169" t="str">
        <f t="shared" si="5"/>
        <v/>
      </c>
      <c r="W858" s="169"/>
      <c r="X858" s="169" t="str">
        <f t="shared" si="6"/>
        <v/>
      </c>
      <c r="Y858" s="169"/>
      <c r="Z858" s="169" t="str">
        <f t="shared" si="7"/>
        <v/>
      </c>
      <c r="AA858" s="169"/>
      <c r="AB858" s="169" t="str">
        <f t="shared" si="8"/>
        <v/>
      </c>
      <c r="AC858" s="169"/>
      <c r="AD858" s="169" t="str">
        <f t="shared" si="9"/>
        <v/>
      </c>
      <c r="AE858" s="169"/>
      <c r="AF858" s="169" t="str">
        <f t="shared" si="10"/>
        <v/>
      </c>
      <c r="AG858" s="169"/>
      <c r="AH858" s="169" t="str">
        <f t="shared" si="11"/>
        <v/>
      </c>
      <c r="AI858" s="169"/>
      <c r="AJ858" s="169" t="str">
        <f t="shared" si="12"/>
        <v/>
      </c>
    </row>
    <row r="859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 t="str">
        <f t="shared" si="2"/>
        <v/>
      </c>
      <c r="Q859" s="169"/>
      <c r="R859" s="169" t="str">
        <f t="shared" si="3"/>
        <v/>
      </c>
      <c r="S859" s="169"/>
      <c r="T859" s="169" t="str">
        <f t="shared" si="4"/>
        <v/>
      </c>
      <c r="U859" s="169"/>
      <c r="V859" s="169" t="str">
        <f t="shared" si="5"/>
        <v/>
      </c>
      <c r="W859" s="169"/>
      <c r="X859" s="169" t="str">
        <f t="shared" si="6"/>
        <v/>
      </c>
      <c r="Y859" s="169"/>
      <c r="Z859" s="169" t="str">
        <f t="shared" si="7"/>
        <v/>
      </c>
      <c r="AA859" s="169"/>
      <c r="AB859" s="169" t="str">
        <f t="shared" si="8"/>
        <v/>
      </c>
      <c r="AC859" s="169"/>
      <c r="AD859" s="169" t="str">
        <f t="shared" si="9"/>
        <v/>
      </c>
      <c r="AE859" s="169"/>
      <c r="AF859" s="169" t="str">
        <f t="shared" si="10"/>
        <v/>
      </c>
      <c r="AG859" s="169"/>
      <c r="AH859" s="169" t="str">
        <f t="shared" si="11"/>
        <v/>
      </c>
      <c r="AI859" s="169"/>
      <c r="AJ859" s="169" t="str">
        <f t="shared" si="12"/>
        <v/>
      </c>
    </row>
    <row r="860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 t="str">
        <f t="shared" si="2"/>
        <v/>
      </c>
      <c r="Q860" s="169"/>
      <c r="R860" s="169" t="str">
        <f t="shared" si="3"/>
        <v/>
      </c>
      <c r="S860" s="169"/>
      <c r="T860" s="169" t="str">
        <f t="shared" si="4"/>
        <v/>
      </c>
      <c r="U860" s="169"/>
      <c r="V860" s="169" t="str">
        <f t="shared" si="5"/>
        <v/>
      </c>
      <c r="W860" s="169"/>
      <c r="X860" s="169" t="str">
        <f t="shared" si="6"/>
        <v/>
      </c>
      <c r="Y860" s="169"/>
      <c r="Z860" s="169" t="str">
        <f t="shared" si="7"/>
        <v/>
      </c>
      <c r="AA860" s="169"/>
      <c r="AB860" s="169" t="str">
        <f t="shared" si="8"/>
        <v/>
      </c>
      <c r="AC860" s="169"/>
      <c r="AD860" s="169" t="str">
        <f t="shared" si="9"/>
        <v/>
      </c>
      <c r="AE860" s="169"/>
      <c r="AF860" s="169" t="str">
        <f t="shared" si="10"/>
        <v/>
      </c>
      <c r="AG860" s="169"/>
      <c r="AH860" s="169" t="str">
        <f t="shared" si="11"/>
        <v/>
      </c>
      <c r="AI860" s="169"/>
      <c r="AJ860" s="169" t="str">
        <f t="shared" si="12"/>
        <v/>
      </c>
    </row>
    <row r="86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 t="str">
        <f t="shared" si="2"/>
        <v/>
      </c>
      <c r="Q861" s="169"/>
      <c r="R861" s="169" t="str">
        <f t="shared" si="3"/>
        <v/>
      </c>
      <c r="S861" s="169"/>
      <c r="T861" s="169" t="str">
        <f t="shared" si="4"/>
        <v/>
      </c>
      <c r="U861" s="169"/>
      <c r="V861" s="169" t="str">
        <f t="shared" si="5"/>
        <v/>
      </c>
      <c r="W861" s="169"/>
      <c r="X861" s="169" t="str">
        <f t="shared" si="6"/>
        <v/>
      </c>
      <c r="Y861" s="169"/>
      <c r="Z861" s="169" t="str">
        <f t="shared" si="7"/>
        <v/>
      </c>
      <c r="AA861" s="169"/>
      <c r="AB861" s="169" t="str">
        <f t="shared" si="8"/>
        <v/>
      </c>
      <c r="AC861" s="169"/>
      <c r="AD861" s="169" t="str">
        <f t="shared" si="9"/>
        <v/>
      </c>
      <c r="AE861" s="169"/>
      <c r="AF861" s="169" t="str">
        <f t="shared" si="10"/>
        <v/>
      </c>
      <c r="AG861" s="169"/>
      <c r="AH861" s="169" t="str">
        <f t="shared" si="11"/>
        <v/>
      </c>
      <c r="AI861" s="169"/>
      <c r="AJ861" s="169" t="str">
        <f t="shared" si="12"/>
        <v/>
      </c>
    </row>
    <row r="86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 t="str">
        <f t="shared" si="2"/>
        <v/>
      </c>
      <c r="Q862" s="169"/>
      <c r="R862" s="169" t="str">
        <f t="shared" si="3"/>
        <v/>
      </c>
      <c r="S862" s="169"/>
      <c r="T862" s="169" t="str">
        <f t="shared" si="4"/>
        <v/>
      </c>
      <c r="U862" s="169"/>
      <c r="V862" s="169" t="str">
        <f t="shared" si="5"/>
        <v/>
      </c>
      <c r="W862" s="169"/>
      <c r="X862" s="169" t="str">
        <f t="shared" si="6"/>
        <v/>
      </c>
      <c r="Y862" s="169"/>
      <c r="Z862" s="169" t="str">
        <f t="shared" si="7"/>
        <v/>
      </c>
      <c r="AA862" s="169"/>
      <c r="AB862" s="169" t="str">
        <f t="shared" si="8"/>
        <v/>
      </c>
      <c r="AC862" s="169"/>
      <c r="AD862" s="169" t="str">
        <f t="shared" si="9"/>
        <v/>
      </c>
      <c r="AE862" s="169"/>
      <c r="AF862" s="169" t="str">
        <f t="shared" si="10"/>
        <v/>
      </c>
      <c r="AG862" s="169"/>
      <c r="AH862" s="169" t="str">
        <f t="shared" si="11"/>
        <v/>
      </c>
      <c r="AI862" s="169"/>
      <c r="AJ862" s="169" t="str">
        <f t="shared" si="12"/>
        <v/>
      </c>
    </row>
    <row r="863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 t="str">
        <f t="shared" si="2"/>
        <v/>
      </c>
      <c r="Q863" s="169"/>
      <c r="R863" s="169" t="str">
        <f t="shared" si="3"/>
        <v/>
      </c>
      <c r="S863" s="169"/>
      <c r="T863" s="169" t="str">
        <f t="shared" si="4"/>
        <v/>
      </c>
      <c r="U863" s="169"/>
      <c r="V863" s="169" t="str">
        <f t="shared" si="5"/>
        <v/>
      </c>
      <c r="W863" s="169"/>
      <c r="X863" s="169" t="str">
        <f t="shared" si="6"/>
        <v/>
      </c>
      <c r="Y863" s="169"/>
      <c r="Z863" s="169" t="str">
        <f t="shared" si="7"/>
        <v/>
      </c>
      <c r="AA863" s="169"/>
      <c r="AB863" s="169" t="str">
        <f t="shared" si="8"/>
        <v/>
      </c>
      <c r="AC863" s="169"/>
      <c r="AD863" s="169" t="str">
        <f t="shared" si="9"/>
        <v/>
      </c>
      <c r="AE863" s="169"/>
      <c r="AF863" s="169" t="str">
        <f t="shared" si="10"/>
        <v/>
      </c>
      <c r="AG863" s="169"/>
      <c r="AH863" s="169" t="str">
        <f t="shared" si="11"/>
        <v/>
      </c>
      <c r="AI863" s="169"/>
      <c r="AJ863" s="169" t="str">
        <f t="shared" si="12"/>
        <v/>
      </c>
    </row>
    <row r="864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 t="str">
        <f t="shared" si="2"/>
        <v/>
      </c>
      <c r="Q864" s="169"/>
      <c r="R864" s="169" t="str">
        <f t="shared" si="3"/>
        <v/>
      </c>
      <c r="S864" s="169"/>
      <c r="T864" s="169" t="str">
        <f t="shared" si="4"/>
        <v/>
      </c>
      <c r="U864" s="169"/>
      <c r="V864" s="169" t="str">
        <f t="shared" si="5"/>
        <v/>
      </c>
      <c r="W864" s="169"/>
      <c r="X864" s="169" t="str">
        <f t="shared" si="6"/>
        <v/>
      </c>
      <c r="Y864" s="169"/>
      <c r="Z864" s="169" t="str">
        <f t="shared" si="7"/>
        <v/>
      </c>
      <c r="AA864" s="169"/>
      <c r="AB864" s="169" t="str">
        <f t="shared" si="8"/>
        <v/>
      </c>
      <c r="AC864" s="169"/>
      <c r="AD864" s="169" t="str">
        <f t="shared" si="9"/>
        <v/>
      </c>
      <c r="AE864" s="169"/>
      <c r="AF864" s="169" t="str">
        <f t="shared" si="10"/>
        <v/>
      </c>
      <c r="AG864" s="169"/>
      <c r="AH864" s="169" t="str">
        <f t="shared" si="11"/>
        <v/>
      </c>
      <c r="AI864" s="169"/>
      <c r="AJ864" s="169" t="str">
        <f t="shared" si="12"/>
        <v/>
      </c>
    </row>
    <row r="86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 t="str">
        <f t="shared" si="2"/>
        <v/>
      </c>
      <c r="Q865" s="169"/>
      <c r="R865" s="169" t="str">
        <f t="shared" si="3"/>
        <v/>
      </c>
      <c r="S865" s="169"/>
      <c r="T865" s="169" t="str">
        <f t="shared" si="4"/>
        <v/>
      </c>
      <c r="U865" s="169"/>
      <c r="V865" s="169" t="str">
        <f t="shared" si="5"/>
        <v/>
      </c>
      <c r="W865" s="169"/>
      <c r="X865" s="169" t="str">
        <f t="shared" si="6"/>
        <v/>
      </c>
      <c r="Y865" s="169"/>
      <c r="Z865" s="169" t="str">
        <f t="shared" si="7"/>
        <v/>
      </c>
      <c r="AA865" s="169"/>
      <c r="AB865" s="169" t="str">
        <f t="shared" si="8"/>
        <v/>
      </c>
      <c r="AC865" s="169"/>
      <c r="AD865" s="169" t="str">
        <f t="shared" si="9"/>
        <v/>
      </c>
      <c r="AE865" s="169"/>
      <c r="AF865" s="169" t="str">
        <f t="shared" si="10"/>
        <v/>
      </c>
      <c r="AG865" s="169"/>
      <c r="AH865" s="169" t="str">
        <f t="shared" si="11"/>
        <v/>
      </c>
      <c r="AI865" s="169"/>
      <c r="AJ865" s="169" t="str">
        <f t="shared" si="12"/>
        <v/>
      </c>
    </row>
    <row r="866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 t="str">
        <f t="shared" si="2"/>
        <v/>
      </c>
      <c r="Q866" s="169"/>
      <c r="R866" s="169" t="str">
        <f t="shared" si="3"/>
        <v/>
      </c>
      <c r="S866" s="169"/>
      <c r="T866" s="169" t="str">
        <f t="shared" si="4"/>
        <v/>
      </c>
      <c r="U866" s="169"/>
      <c r="V866" s="169" t="str">
        <f t="shared" si="5"/>
        <v/>
      </c>
      <c r="W866" s="169"/>
      <c r="X866" s="169" t="str">
        <f t="shared" si="6"/>
        <v/>
      </c>
      <c r="Y866" s="169"/>
      <c r="Z866" s="169" t="str">
        <f t="shared" si="7"/>
        <v/>
      </c>
      <c r="AA866" s="169"/>
      <c r="AB866" s="169" t="str">
        <f t="shared" si="8"/>
        <v/>
      </c>
      <c r="AC866" s="169"/>
      <c r="AD866" s="169" t="str">
        <f t="shared" si="9"/>
        <v/>
      </c>
      <c r="AE866" s="169"/>
      <c r="AF866" s="169" t="str">
        <f t="shared" si="10"/>
        <v/>
      </c>
      <c r="AG866" s="169"/>
      <c r="AH866" s="169" t="str">
        <f t="shared" si="11"/>
        <v/>
      </c>
      <c r="AI866" s="169"/>
      <c r="AJ866" s="169" t="str">
        <f t="shared" si="12"/>
        <v/>
      </c>
    </row>
    <row r="867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 t="str">
        <f t="shared" si="2"/>
        <v/>
      </c>
      <c r="Q867" s="169"/>
      <c r="R867" s="169" t="str">
        <f t="shared" si="3"/>
        <v/>
      </c>
      <c r="S867" s="169"/>
      <c r="T867" s="169" t="str">
        <f t="shared" si="4"/>
        <v/>
      </c>
      <c r="U867" s="169"/>
      <c r="V867" s="169" t="str">
        <f t="shared" si="5"/>
        <v/>
      </c>
      <c r="W867" s="169"/>
      <c r="X867" s="169" t="str">
        <f t="shared" si="6"/>
        <v/>
      </c>
      <c r="Y867" s="169"/>
      <c r="Z867" s="169" t="str">
        <f t="shared" si="7"/>
        <v/>
      </c>
      <c r="AA867" s="169"/>
      <c r="AB867" s="169" t="str">
        <f t="shared" si="8"/>
        <v/>
      </c>
      <c r="AC867" s="169"/>
      <c r="AD867" s="169" t="str">
        <f t="shared" si="9"/>
        <v/>
      </c>
      <c r="AE867" s="169"/>
      <c r="AF867" s="169" t="str">
        <f t="shared" si="10"/>
        <v/>
      </c>
      <c r="AG867" s="169"/>
      <c r="AH867" s="169" t="str">
        <f t="shared" si="11"/>
        <v/>
      </c>
      <c r="AI867" s="169"/>
      <c r="AJ867" s="169" t="str">
        <f t="shared" si="12"/>
        <v/>
      </c>
    </row>
    <row r="868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 t="str">
        <f t="shared" si="2"/>
        <v/>
      </c>
      <c r="Q868" s="169"/>
      <c r="R868" s="169" t="str">
        <f t="shared" si="3"/>
        <v/>
      </c>
      <c r="S868" s="169"/>
      <c r="T868" s="169" t="str">
        <f t="shared" si="4"/>
        <v/>
      </c>
      <c r="U868" s="169"/>
      <c r="V868" s="169" t="str">
        <f t="shared" si="5"/>
        <v/>
      </c>
      <c r="W868" s="169"/>
      <c r="X868" s="169" t="str">
        <f t="shared" si="6"/>
        <v/>
      </c>
      <c r="Y868" s="169"/>
      <c r="Z868" s="169" t="str">
        <f t="shared" si="7"/>
        <v/>
      </c>
      <c r="AA868" s="169"/>
      <c r="AB868" s="169" t="str">
        <f t="shared" si="8"/>
        <v/>
      </c>
      <c r="AC868" s="169"/>
      <c r="AD868" s="169" t="str">
        <f t="shared" si="9"/>
        <v/>
      </c>
      <c r="AE868" s="169"/>
      <c r="AF868" s="169" t="str">
        <f t="shared" si="10"/>
        <v/>
      </c>
      <c r="AG868" s="169"/>
      <c r="AH868" s="169" t="str">
        <f t="shared" si="11"/>
        <v/>
      </c>
      <c r="AI868" s="169"/>
      <c r="AJ868" s="169" t="str">
        <f t="shared" si="12"/>
        <v/>
      </c>
    </row>
    <row r="869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 t="str">
        <f t="shared" si="2"/>
        <v/>
      </c>
      <c r="Q869" s="169"/>
      <c r="R869" s="169" t="str">
        <f t="shared" si="3"/>
        <v/>
      </c>
      <c r="S869" s="169"/>
      <c r="T869" s="169" t="str">
        <f t="shared" si="4"/>
        <v/>
      </c>
      <c r="U869" s="169"/>
      <c r="V869" s="169" t="str">
        <f t="shared" si="5"/>
        <v/>
      </c>
      <c r="W869" s="169"/>
      <c r="X869" s="169" t="str">
        <f t="shared" si="6"/>
        <v/>
      </c>
      <c r="Y869" s="169"/>
      <c r="Z869" s="169" t="str">
        <f t="shared" si="7"/>
        <v/>
      </c>
      <c r="AA869" s="169"/>
      <c r="AB869" s="169" t="str">
        <f t="shared" si="8"/>
        <v/>
      </c>
      <c r="AC869" s="169"/>
      <c r="AD869" s="169" t="str">
        <f t="shared" si="9"/>
        <v/>
      </c>
      <c r="AE869" s="169"/>
      <c r="AF869" s="169" t="str">
        <f t="shared" si="10"/>
        <v/>
      </c>
      <c r="AG869" s="169"/>
      <c r="AH869" s="169" t="str">
        <f t="shared" si="11"/>
        <v/>
      </c>
      <c r="AI869" s="169"/>
      <c r="AJ869" s="169" t="str">
        <f t="shared" si="12"/>
        <v/>
      </c>
    </row>
    <row r="870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 t="str">
        <f t="shared" si="2"/>
        <v/>
      </c>
      <c r="Q870" s="169"/>
      <c r="R870" s="169" t="str">
        <f t="shared" si="3"/>
        <v/>
      </c>
      <c r="S870" s="169"/>
      <c r="T870" s="169" t="str">
        <f t="shared" si="4"/>
        <v/>
      </c>
      <c r="U870" s="169"/>
      <c r="V870" s="169" t="str">
        <f t="shared" si="5"/>
        <v/>
      </c>
      <c r="W870" s="169"/>
      <c r="X870" s="169" t="str">
        <f t="shared" si="6"/>
        <v/>
      </c>
      <c r="Y870" s="169"/>
      <c r="Z870" s="169" t="str">
        <f t="shared" si="7"/>
        <v/>
      </c>
      <c r="AA870" s="169"/>
      <c r="AB870" s="169" t="str">
        <f t="shared" si="8"/>
        <v/>
      </c>
      <c r="AC870" s="169"/>
      <c r="AD870" s="169" t="str">
        <f t="shared" si="9"/>
        <v/>
      </c>
      <c r="AE870" s="169"/>
      <c r="AF870" s="169" t="str">
        <f t="shared" si="10"/>
        <v/>
      </c>
      <c r="AG870" s="169"/>
      <c r="AH870" s="169" t="str">
        <f t="shared" si="11"/>
        <v/>
      </c>
      <c r="AI870" s="169"/>
      <c r="AJ870" s="169" t="str">
        <f t="shared" si="12"/>
        <v/>
      </c>
    </row>
    <row r="87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 t="str">
        <f t="shared" si="2"/>
        <v/>
      </c>
      <c r="Q871" s="169"/>
      <c r="R871" s="169" t="str">
        <f t="shared" si="3"/>
        <v/>
      </c>
      <c r="S871" s="169"/>
      <c r="T871" s="169" t="str">
        <f t="shared" si="4"/>
        <v/>
      </c>
      <c r="U871" s="169"/>
      <c r="V871" s="169" t="str">
        <f t="shared" si="5"/>
        <v/>
      </c>
      <c r="W871" s="169"/>
      <c r="X871" s="169" t="str">
        <f t="shared" si="6"/>
        <v/>
      </c>
      <c r="Y871" s="169"/>
      <c r="Z871" s="169" t="str">
        <f t="shared" si="7"/>
        <v/>
      </c>
      <c r="AA871" s="169"/>
      <c r="AB871" s="169" t="str">
        <f t="shared" si="8"/>
        <v/>
      </c>
      <c r="AC871" s="169"/>
      <c r="AD871" s="169" t="str">
        <f t="shared" si="9"/>
        <v/>
      </c>
      <c r="AE871" s="169"/>
      <c r="AF871" s="169" t="str">
        <f t="shared" si="10"/>
        <v/>
      </c>
      <c r="AG871" s="169"/>
      <c r="AH871" s="169" t="str">
        <f t="shared" si="11"/>
        <v/>
      </c>
      <c r="AI871" s="169"/>
      <c r="AJ871" s="169" t="str">
        <f t="shared" si="12"/>
        <v/>
      </c>
    </row>
    <row r="87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 t="str">
        <f t="shared" si="2"/>
        <v/>
      </c>
      <c r="Q872" s="169"/>
      <c r="R872" s="169" t="str">
        <f t="shared" si="3"/>
        <v/>
      </c>
      <c r="S872" s="169"/>
      <c r="T872" s="169" t="str">
        <f t="shared" si="4"/>
        <v/>
      </c>
      <c r="U872" s="169"/>
      <c r="V872" s="169" t="str">
        <f t="shared" si="5"/>
        <v/>
      </c>
      <c r="W872" s="169"/>
      <c r="X872" s="169" t="str">
        <f t="shared" si="6"/>
        <v/>
      </c>
      <c r="Y872" s="169"/>
      <c r="Z872" s="169" t="str">
        <f t="shared" si="7"/>
        <v/>
      </c>
      <c r="AA872" s="169"/>
      <c r="AB872" s="169" t="str">
        <f t="shared" si="8"/>
        <v/>
      </c>
      <c r="AC872" s="169"/>
      <c r="AD872" s="169" t="str">
        <f t="shared" si="9"/>
        <v/>
      </c>
      <c r="AE872" s="169"/>
      <c r="AF872" s="169" t="str">
        <f t="shared" si="10"/>
        <v/>
      </c>
      <c r="AG872" s="169"/>
      <c r="AH872" s="169" t="str">
        <f t="shared" si="11"/>
        <v/>
      </c>
      <c r="AI872" s="169"/>
      <c r="AJ872" s="169" t="str">
        <f t="shared" si="12"/>
        <v/>
      </c>
    </row>
    <row r="873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 t="str">
        <f t="shared" si="2"/>
        <v/>
      </c>
      <c r="Q873" s="169"/>
      <c r="R873" s="169" t="str">
        <f t="shared" si="3"/>
        <v/>
      </c>
      <c r="S873" s="169"/>
      <c r="T873" s="169" t="str">
        <f t="shared" si="4"/>
        <v/>
      </c>
      <c r="U873" s="169"/>
      <c r="V873" s="169" t="str">
        <f t="shared" si="5"/>
        <v/>
      </c>
      <c r="W873" s="169"/>
      <c r="X873" s="169" t="str">
        <f t="shared" si="6"/>
        <v/>
      </c>
      <c r="Y873" s="169"/>
      <c r="Z873" s="169" t="str">
        <f t="shared" si="7"/>
        <v/>
      </c>
      <c r="AA873" s="169"/>
      <c r="AB873" s="169" t="str">
        <f t="shared" si="8"/>
        <v/>
      </c>
      <c r="AC873" s="169"/>
      <c r="AD873" s="169" t="str">
        <f t="shared" si="9"/>
        <v/>
      </c>
      <c r="AE873" s="169"/>
      <c r="AF873" s="169" t="str">
        <f t="shared" si="10"/>
        <v/>
      </c>
      <c r="AG873" s="169"/>
      <c r="AH873" s="169" t="str">
        <f t="shared" si="11"/>
        <v/>
      </c>
      <c r="AI873" s="169"/>
      <c r="AJ873" s="169" t="str">
        <f t="shared" si="12"/>
        <v/>
      </c>
    </row>
    <row r="874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 t="str">
        <f t="shared" si="2"/>
        <v/>
      </c>
      <c r="Q874" s="169"/>
      <c r="R874" s="169" t="str">
        <f t="shared" si="3"/>
        <v/>
      </c>
      <c r="S874" s="169"/>
      <c r="T874" s="169" t="str">
        <f t="shared" si="4"/>
        <v/>
      </c>
      <c r="U874" s="169"/>
      <c r="V874" s="169" t="str">
        <f t="shared" si="5"/>
        <v/>
      </c>
      <c r="W874" s="169"/>
      <c r="X874" s="169" t="str">
        <f t="shared" si="6"/>
        <v/>
      </c>
      <c r="Y874" s="169"/>
      <c r="Z874" s="169" t="str">
        <f t="shared" si="7"/>
        <v/>
      </c>
      <c r="AA874" s="169"/>
      <c r="AB874" s="169" t="str">
        <f t="shared" si="8"/>
        <v/>
      </c>
      <c r="AC874" s="169"/>
      <c r="AD874" s="169" t="str">
        <f t="shared" si="9"/>
        <v/>
      </c>
      <c r="AE874" s="169"/>
      <c r="AF874" s="169" t="str">
        <f t="shared" si="10"/>
        <v/>
      </c>
      <c r="AG874" s="169"/>
      <c r="AH874" s="169" t="str">
        <f t="shared" si="11"/>
        <v/>
      </c>
      <c r="AI874" s="169"/>
      <c r="AJ874" s="169" t="str">
        <f t="shared" si="12"/>
        <v/>
      </c>
    </row>
    <row r="87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 t="str">
        <f t="shared" si="2"/>
        <v/>
      </c>
      <c r="Q875" s="169"/>
      <c r="R875" s="169" t="str">
        <f t="shared" si="3"/>
        <v/>
      </c>
      <c r="S875" s="169"/>
      <c r="T875" s="169" t="str">
        <f t="shared" si="4"/>
        <v/>
      </c>
      <c r="U875" s="169"/>
      <c r="V875" s="169" t="str">
        <f t="shared" si="5"/>
        <v/>
      </c>
      <c r="W875" s="169"/>
      <c r="X875" s="169" t="str">
        <f t="shared" si="6"/>
        <v/>
      </c>
      <c r="Y875" s="169"/>
      <c r="Z875" s="169" t="str">
        <f t="shared" si="7"/>
        <v/>
      </c>
      <c r="AA875" s="169"/>
      <c r="AB875" s="169" t="str">
        <f t="shared" si="8"/>
        <v/>
      </c>
      <c r="AC875" s="169"/>
      <c r="AD875" s="169" t="str">
        <f t="shared" si="9"/>
        <v/>
      </c>
      <c r="AE875" s="169"/>
      <c r="AF875" s="169" t="str">
        <f t="shared" si="10"/>
        <v/>
      </c>
      <c r="AG875" s="169"/>
      <c r="AH875" s="169" t="str">
        <f t="shared" si="11"/>
        <v/>
      </c>
      <c r="AI875" s="169"/>
      <c r="AJ875" s="169" t="str">
        <f t="shared" si="12"/>
        <v/>
      </c>
    </row>
    <row r="876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 t="str">
        <f t="shared" si="2"/>
        <v/>
      </c>
      <c r="Q876" s="169"/>
      <c r="R876" s="169" t="str">
        <f t="shared" si="3"/>
        <v/>
      </c>
      <c r="S876" s="169"/>
      <c r="T876" s="169" t="str">
        <f t="shared" si="4"/>
        <v/>
      </c>
      <c r="U876" s="169"/>
      <c r="V876" s="169" t="str">
        <f t="shared" si="5"/>
        <v/>
      </c>
      <c r="W876" s="169"/>
      <c r="X876" s="169" t="str">
        <f t="shared" si="6"/>
        <v/>
      </c>
      <c r="Y876" s="169"/>
      <c r="Z876" s="169" t="str">
        <f t="shared" si="7"/>
        <v/>
      </c>
      <c r="AA876" s="169"/>
      <c r="AB876" s="169" t="str">
        <f t="shared" si="8"/>
        <v/>
      </c>
      <c r="AC876" s="169"/>
      <c r="AD876" s="169" t="str">
        <f t="shared" si="9"/>
        <v/>
      </c>
      <c r="AE876" s="169"/>
      <c r="AF876" s="169" t="str">
        <f t="shared" si="10"/>
        <v/>
      </c>
      <c r="AG876" s="169"/>
      <c r="AH876" s="169" t="str">
        <f t="shared" si="11"/>
        <v/>
      </c>
      <c r="AI876" s="169"/>
      <c r="AJ876" s="169" t="str">
        <f t="shared" si="12"/>
        <v/>
      </c>
    </row>
    <row r="877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 t="str">
        <f t="shared" si="2"/>
        <v/>
      </c>
      <c r="Q877" s="169"/>
      <c r="R877" s="169" t="str">
        <f t="shared" si="3"/>
        <v/>
      </c>
      <c r="S877" s="169"/>
      <c r="T877" s="169" t="str">
        <f t="shared" si="4"/>
        <v/>
      </c>
      <c r="U877" s="169"/>
      <c r="V877" s="169" t="str">
        <f t="shared" si="5"/>
        <v/>
      </c>
      <c r="W877" s="169"/>
      <c r="X877" s="169" t="str">
        <f t="shared" si="6"/>
        <v/>
      </c>
      <c r="Y877" s="169"/>
      <c r="Z877" s="169" t="str">
        <f t="shared" si="7"/>
        <v/>
      </c>
      <c r="AA877" s="169"/>
      <c r="AB877" s="169" t="str">
        <f t="shared" si="8"/>
        <v/>
      </c>
      <c r="AC877" s="169"/>
      <c r="AD877" s="169" t="str">
        <f t="shared" si="9"/>
        <v/>
      </c>
      <c r="AE877" s="169"/>
      <c r="AF877" s="169" t="str">
        <f t="shared" si="10"/>
        <v/>
      </c>
      <c r="AG877" s="169"/>
      <c r="AH877" s="169" t="str">
        <f t="shared" si="11"/>
        <v/>
      </c>
      <c r="AI877" s="169"/>
      <c r="AJ877" s="169" t="str">
        <f t="shared" si="12"/>
        <v/>
      </c>
    </row>
    <row r="878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 t="str">
        <f t="shared" si="2"/>
        <v/>
      </c>
      <c r="Q878" s="169"/>
      <c r="R878" s="169" t="str">
        <f t="shared" si="3"/>
        <v/>
      </c>
      <c r="S878" s="169"/>
      <c r="T878" s="169" t="str">
        <f t="shared" si="4"/>
        <v/>
      </c>
      <c r="U878" s="169"/>
      <c r="V878" s="169" t="str">
        <f t="shared" si="5"/>
        <v/>
      </c>
      <c r="W878" s="169"/>
      <c r="X878" s="169" t="str">
        <f t="shared" si="6"/>
        <v/>
      </c>
      <c r="Y878" s="169"/>
      <c r="Z878" s="169" t="str">
        <f t="shared" si="7"/>
        <v/>
      </c>
      <c r="AA878" s="169"/>
      <c r="AB878" s="169" t="str">
        <f t="shared" si="8"/>
        <v/>
      </c>
      <c r="AC878" s="169"/>
      <c r="AD878" s="169" t="str">
        <f t="shared" si="9"/>
        <v/>
      </c>
      <c r="AE878" s="169"/>
      <c r="AF878" s="169" t="str">
        <f t="shared" si="10"/>
        <v/>
      </c>
      <c r="AG878" s="169"/>
      <c r="AH878" s="169" t="str">
        <f t="shared" si="11"/>
        <v/>
      </c>
      <c r="AI878" s="169"/>
      <c r="AJ878" s="169" t="str">
        <f t="shared" si="12"/>
        <v/>
      </c>
    </row>
    <row r="879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 t="str">
        <f t="shared" si="2"/>
        <v/>
      </c>
      <c r="Q879" s="169"/>
      <c r="R879" s="169" t="str">
        <f t="shared" si="3"/>
        <v/>
      </c>
      <c r="S879" s="169"/>
      <c r="T879" s="169" t="str">
        <f t="shared" si="4"/>
        <v/>
      </c>
      <c r="U879" s="169"/>
      <c r="V879" s="169" t="str">
        <f t="shared" si="5"/>
        <v/>
      </c>
      <c r="W879" s="169"/>
      <c r="X879" s="169" t="str">
        <f t="shared" si="6"/>
        <v/>
      </c>
      <c r="Y879" s="169"/>
      <c r="Z879" s="169" t="str">
        <f t="shared" si="7"/>
        <v/>
      </c>
      <c r="AA879" s="169"/>
      <c r="AB879" s="169" t="str">
        <f t="shared" si="8"/>
        <v/>
      </c>
      <c r="AC879" s="169"/>
      <c r="AD879" s="169" t="str">
        <f t="shared" si="9"/>
        <v/>
      </c>
      <c r="AE879" s="169"/>
      <c r="AF879" s="169" t="str">
        <f t="shared" si="10"/>
        <v/>
      </c>
      <c r="AG879" s="169"/>
      <c r="AH879" s="169" t="str">
        <f t="shared" si="11"/>
        <v/>
      </c>
      <c r="AI879" s="169"/>
      <c r="AJ879" s="169" t="str">
        <f t="shared" si="12"/>
        <v/>
      </c>
    </row>
    <row r="880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 t="str">
        <f t="shared" si="2"/>
        <v/>
      </c>
      <c r="Q880" s="169"/>
      <c r="R880" s="169" t="str">
        <f t="shared" si="3"/>
        <v/>
      </c>
      <c r="S880" s="169"/>
      <c r="T880" s="169" t="str">
        <f t="shared" si="4"/>
        <v/>
      </c>
      <c r="U880" s="169"/>
      <c r="V880" s="169" t="str">
        <f t="shared" si="5"/>
        <v/>
      </c>
      <c r="W880" s="169"/>
      <c r="X880" s="169" t="str">
        <f t="shared" si="6"/>
        <v/>
      </c>
      <c r="Y880" s="169"/>
      <c r="Z880" s="169" t="str">
        <f t="shared" si="7"/>
        <v/>
      </c>
      <c r="AA880" s="169"/>
      <c r="AB880" s="169" t="str">
        <f t="shared" si="8"/>
        <v/>
      </c>
      <c r="AC880" s="169"/>
      <c r="AD880" s="169" t="str">
        <f t="shared" si="9"/>
        <v/>
      </c>
      <c r="AE880" s="169"/>
      <c r="AF880" s="169" t="str">
        <f t="shared" si="10"/>
        <v/>
      </c>
      <c r="AG880" s="169"/>
      <c r="AH880" s="169" t="str">
        <f t="shared" si="11"/>
        <v/>
      </c>
      <c r="AI880" s="169"/>
      <c r="AJ880" s="169" t="str">
        <f t="shared" si="12"/>
        <v/>
      </c>
    </row>
    <row r="88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 t="str">
        <f t="shared" si="2"/>
        <v/>
      </c>
      <c r="Q881" s="169"/>
      <c r="R881" s="169" t="str">
        <f t="shared" si="3"/>
        <v/>
      </c>
      <c r="S881" s="169"/>
      <c r="T881" s="169" t="str">
        <f t="shared" si="4"/>
        <v/>
      </c>
      <c r="U881" s="169"/>
      <c r="V881" s="169" t="str">
        <f t="shared" si="5"/>
        <v/>
      </c>
      <c r="W881" s="169"/>
      <c r="X881" s="169" t="str">
        <f t="shared" si="6"/>
        <v/>
      </c>
      <c r="Y881" s="169"/>
      <c r="Z881" s="169" t="str">
        <f t="shared" si="7"/>
        <v/>
      </c>
      <c r="AA881" s="169"/>
      <c r="AB881" s="169" t="str">
        <f t="shared" si="8"/>
        <v/>
      </c>
      <c r="AC881" s="169"/>
      <c r="AD881" s="169" t="str">
        <f t="shared" si="9"/>
        <v/>
      </c>
      <c r="AE881" s="169"/>
      <c r="AF881" s="169" t="str">
        <f t="shared" si="10"/>
        <v/>
      </c>
      <c r="AG881" s="169"/>
      <c r="AH881" s="169" t="str">
        <f t="shared" si="11"/>
        <v/>
      </c>
      <c r="AI881" s="169"/>
      <c r="AJ881" s="169" t="str">
        <f t="shared" si="12"/>
        <v/>
      </c>
    </row>
    <row r="88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 t="str">
        <f t="shared" si="2"/>
        <v/>
      </c>
      <c r="Q882" s="169"/>
      <c r="R882" s="169" t="str">
        <f t="shared" si="3"/>
        <v/>
      </c>
      <c r="S882" s="169"/>
      <c r="T882" s="169" t="str">
        <f t="shared" si="4"/>
        <v/>
      </c>
      <c r="U882" s="169"/>
      <c r="V882" s="169" t="str">
        <f t="shared" si="5"/>
        <v/>
      </c>
      <c r="W882" s="169"/>
      <c r="X882" s="169" t="str">
        <f t="shared" si="6"/>
        <v/>
      </c>
      <c r="Y882" s="169"/>
      <c r="Z882" s="169" t="str">
        <f t="shared" si="7"/>
        <v/>
      </c>
      <c r="AA882" s="169"/>
      <c r="AB882" s="169" t="str">
        <f t="shared" si="8"/>
        <v/>
      </c>
      <c r="AC882" s="169"/>
      <c r="AD882" s="169" t="str">
        <f t="shared" si="9"/>
        <v/>
      </c>
      <c r="AE882" s="169"/>
      <c r="AF882" s="169" t="str">
        <f t="shared" si="10"/>
        <v/>
      </c>
      <c r="AG882" s="169"/>
      <c r="AH882" s="169" t="str">
        <f t="shared" si="11"/>
        <v/>
      </c>
      <c r="AI882" s="169"/>
      <c r="AJ882" s="169" t="str">
        <f t="shared" si="12"/>
        <v/>
      </c>
    </row>
    <row r="883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 t="str">
        <f t="shared" si="2"/>
        <v/>
      </c>
      <c r="Q883" s="169"/>
      <c r="R883" s="169" t="str">
        <f t="shared" si="3"/>
        <v/>
      </c>
      <c r="S883" s="169"/>
      <c r="T883" s="169" t="str">
        <f t="shared" si="4"/>
        <v/>
      </c>
      <c r="U883" s="169"/>
      <c r="V883" s="169" t="str">
        <f t="shared" si="5"/>
        <v/>
      </c>
      <c r="W883" s="169"/>
      <c r="X883" s="169" t="str">
        <f t="shared" si="6"/>
        <v/>
      </c>
      <c r="Y883" s="169"/>
      <c r="Z883" s="169" t="str">
        <f t="shared" si="7"/>
        <v/>
      </c>
      <c r="AA883" s="169"/>
      <c r="AB883" s="169" t="str">
        <f t="shared" si="8"/>
        <v/>
      </c>
      <c r="AC883" s="169"/>
      <c r="AD883" s="169" t="str">
        <f t="shared" si="9"/>
        <v/>
      </c>
      <c r="AE883" s="169"/>
      <c r="AF883" s="169" t="str">
        <f t="shared" si="10"/>
        <v/>
      </c>
      <c r="AG883" s="169"/>
      <c r="AH883" s="169" t="str">
        <f t="shared" si="11"/>
        <v/>
      </c>
      <c r="AI883" s="169"/>
      <c r="AJ883" s="169" t="str">
        <f t="shared" si="12"/>
        <v/>
      </c>
    </row>
    <row r="884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 t="str">
        <f t="shared" si="2"/>
        <v/>
      </c>
      <c r="Q884" s="169"/>
      <c r="R884" s="169" t="str">
        <f t="shared" si="3"/>
        <v/>
      </c>
      <c r="S884" s="169"/>
      <c r="T884" s="169" t="str">
        <f t="shared" si="4"/>
        <v/>
      </c>
      <c r="U884" s="169"/>
      <c r="V884" s="169" t="str">
        <f t="shared" si="5"/>
        <v/>
      </c>
      <c r="W884" s="169"/>
      <c r="X884" s="169" t="str">
        <f t="shared" si="6"/>
        <v/>
      </c>
      <c r="Y884" s="169"/>
      <c r="Z884" s="169" t="str">
        <f t="shared" si="7"/>
        <v/>
      </c>
      <c r="AA884" s="169"/>
      <c r="AB884" s="169" t="str">
        <f t="shared" si="8"/>
        <v/>
      </c>
      <c r="AC884" s="169"/>
      <c r="AD884" s="169" t="str">
        <f t="shared" si="9"/>
        <v/>
      </c>
      <c r="AE884" s="169"/>
      <c r="AF884" s="169" t="str">
        <f t="shared" si="10"/>
        <v/>
      </c>
      <c r="AG884" s="169"/>
      <c r="AH884" s="169" t="str">
        <f t="shared" si="11"/>
        <v/>
      </c>
      <c r="AI884" s="169"/>
      <c r="AJ884" s="169" t="str">
        <f t="shared" si="12"/>
        <v/>
      </c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 t="str">
        <f t="shared" si="2"/>
        <v/>
      </c>
      <c r="Q885" s="169"/>
      <c r="R885" s="169" t="str">
        <f t="shared" si="3"/>
        <v/>
      </c>
      <c r="S885" s="169"/>
      <c r="T885" s="169" t="str">
        <f t="shared" si="4"/>
        <v/>
      </c>
      <c r="U885" s="169"/>
      <c r="V885" s="169" t="str">
        <f t="shared" si="5"/>
        <v/>
      </c>
      <c r="W885" s="169"/>
      <c r="X885" s="169" t="str">
        <f t="shared" si="6"/>
        <v/>
      </c>
      <c r="Y885" s="169"/>
      <c r="Z885" s="169" t="str">
        <f t="shared" si="7"/>
        <v/>
      </c>
      <c r="AA885" s="169"/>
      <c r="AB885" s="169" t="str">
        <f t="shared" si="8"/>
        <v/>
      </c>
      <c r="AC885" s="169"/>
      <c r="AD885" s="169" t="str">
        <f t="shared" si="9"/>
        <v/>
      </c>
      <c r="AE885" s="169"/>
      <c r="AF885" s="169" t="str">
        <f t="shared" si="10"/>
        <v/>
      </c>
      <c r="AG885" s="169"/>
      <c r="AH885" s="169" t="str">
        <f t="shared" si="11"/>
        <v/>
      </c>
      <c r="AI885" s="169"/>
      <c r="AJ885" s="169" t="str">
        <f t="shared" si="12"/>
        <v/>
      </c>
    </row>
    <row r="886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 t="str">
        <f t="shared" si="2"/>
        <v/>
      </c>
      <c r="Q886" s="169"/>
      <c r="R886" s="169" t="str">
        <f t="shared" si="3"/>
        <v/>
      </c>
      <c r="S886" s="169"/>
      <c r="T886" s="169" t="str">
        <f t="shared" si="4"/>
        <v/>
      </c>
      <c r="U886" s="169"/>
      <c r="V886" s="169" t="str">
        <f t="shared" si="5"/>
        <v/>
      </c>
      <c r="W886" s="169"/>
      <c r="X886" s="169" t="str">
        <f t="shared" si="6"/>
        <v/>
      </c>
      <c r="Y886" s="169"/>
      <c r="Z886" s="169" t="str">
        <f t="shared" si="7"/>
        <v/>
      </c>
      <c r="AA886" s="169"/>
      <c r="AB886" s="169" t="str">
        <f t="shared" si="8"/>
        <v/>
      </c>
      <c r="AC886" s="169"/>
      <c r="AD886" s="169" t="str">
        <f t="shared" si="9"/>
        <v/>
      </c>
      <c r="AE886" s="169"/>
      <c r="AF886" s="169" t="str">
        <f t="shared" si="10"/>
        <v/>
      </c>
      <c r="AG886" s="169"/>
      <c r="AH886" s="169" t="str">
        <f t="shared" si="11"/>
        <v/>
      </c>
      <c r="AI886" s="169"/>
      <c r="AJ886" s="169" t="str">
        <f t="shared" si="12"/>
        <v/>
      </c>
    </row>
    <row r="887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 t="str">
        <f t="shared" si="2"/>
        <v/>
      </c>
      <c r="Q887" s="169"/>
      <c r="R887" s="169" t="str">
        <f t="shared" si="3"/>
        <v/>
      </c>
      <c r="S887" s="169"/>
      <c r="T887" s="169" t="str">
        <f t="shared" si="4"/>
        <v/>
      </c>
      <c r="U887" s="169"/>
      <c r="V887" s="169" t="str">
        <f t="shared" si="5"/>
        <v/>
      </c>
      <c r="W887" s="169"/>
      <c r="X887" s="169" t="str">
        <f t="shared" si="6"/>
        <v/>
      </c>
      <c r="Y887" s="169"/>
      <c r="Z887" s="169" t="str">
        <f t="shared" si="7"/>
        <v/>
      </c>
      <c r="AA887" s="169"/>
      <c r="AB887" s="169" t="str">
        <f t="shared" si="8"/>
        <v/>
      </c>
      <c r="AC887" s="169"/>
      <c r="AD887" s="169" t="str">
        <f t="shared" si="9"/>
        <v/>
      </c>
      <c r="AE887" s="169"/>
      <c r="AF887" s="169" t="str">
        <f t="shared" si="10"/>
        <v/>
      </c>
      <c r="AG887" s="169"/>
      <c r="AH887" s="169" t="str">
        <f t="shared" si="11"/>
        <v/>
      </c>
      <c r="AI887" s="169"/>
      <c r="AJ887" s="169" t="str">
        <f t="shared" si="12"/>
        <v/>
      </c>
    </row>
    <row r="888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 t="str">
        <f t="shared" si="2"/>
        <v/>
      </c>
      <c r="Q888" s="169"/>
      <c r="R888" s="169" t="str">
        <f t="shared" si="3"/>
        <v/>
      </c>
      <c r="S888" s="169"/>
      <c r="T888" s="169" t="str">
        <f t="shared" si="4"/>
        <v/>
      </c>
      <c r="U888" s="169"/>
      <c r="V888" s="169" t="str">
        <f t="shared" si="5"/>
        <v/>
      </c>
      <c r="W888" s="169"/>
      <c r="X888" s="169" t="str">
        <f t="shared" si="6"/>
        <v/>
      </c>
      <c r="Y888" s="169"/>
      <c r="Z888" s="169" t="str">
        <f t="shared" si="7"/>
        <v/>
      </c>
      <c r="AA888" s="169"/>
      <c r="AB888" s="169" t="str">
        <f t="shared" si="8"/>
        <v/>
      </c>
      <c r="AC888" s="169"/>
      <c r="AD888" s="169" t="str">
        <f t="shared" si="9"/>
        <v/>
      </c>
      <c r="AE888" s="169"/>
      <c r="AF888" s="169" t="str">
        <f t="shared" si="10"/>
        <v/>
      </c>
      <c r="AG888" s="169"/>
      <c r="AH888" s="169" t="str">
        <f t="shared" si="11"/>
        <v/>
      </c>
      <c r="AI888" s="169"/>
      <c r="AJ888" s="169" t="str">
        <f t="shared" si="12"/>
        <v/>
      </c>
    </row>
    <row r="889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 t="str">
        <f t="shared" si="2"/>
        <v/>
      </c>
      <c r="Q889" s="169"/>
      <c r="R889" s="169" t="str">
        <f t="shared" si="3"/>
        <v/>
      </c>
      <c r="S889" s="169"/>
      <c r="T889" s="169" t="str">
        <f t="shared" si="4"/>
        <v/>
      </c>
      <c r="U889" s="169"/>
      <c r="V889" s="169" t="str">
        <f t="shared" si="5"/>
        <v/>
      </c>
      <c r="W889" s="169"/>
      <c r="X889" s="169" t="str">
        <f t="shared" si="6"/>
        <v/>
      </c>
      <c r="Y889" s="169"/>
      <c r="Z889" s="169" t="str">
        <f t="shared" si="7"/>
        <v/>
      </c>
      <c r="AA889" s="169"/>
      <c r="AB889" s="169" t="str">
        <f t="shared" si="8"/>
        <v/>
      </c>
      <c r="AC889" s="169"/>
      <c r="AD889" s="169" t="str">
        <f t="shared" si="9"/>
        <v/>
      </c>
      <c r="AE889" s="169"/>
      <c r="AF889" s="169" t="str">
        <f t="shared" si="10"/>
        <v/>
      </c>
      <c r="AG889" s="169"/>
      <c r="AH889" s="169" t="str">
        <f t="shared" si="11"/>
        <v/>
      </c>
      <c r="AI889" s="169"/>
      <c r="AJ889" s="169" t="str">
        <f t="shared" si="12"/>
        <v/>
      </c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 t="str">
        <f t="shared" si="2"/>
        <v/>
      </c>
      <c r="Q890" s="169"/>
      <c r="R890" s="169" t="str">
        <f t="shared" si="3"/>
        <v/>
      </c>
      <c r="S890" s="169"/>
      <c r="T890" s="169" t="str">
        <f t="shared" si="4"/>
        <v/>
      </c>
      <c r="U890" s="169"/>
      <c r="V890" s="169" t="str">
        <f t="shared" si="5"/>
        <v/>
      </c>
      <c r="W890" s="169"/>
      <c r="X890" s="169" t="str">
        <f t="shared" si="6"/>
        <v/>
      </c>
      <c r="Y890" s="169"/>
      <c r="Z890" s="169" t="str">
        <f t="shared" si="7"/>
        <v/>
      </c>
      <c r="AA890" s="169"/>
      <c r="AB890" s="169" t="str">
        <f t="shared" si="8"/>
        <v/>
      </c>
      <c r="AC890" s="169"/>
      <c r="AD890" s="169" t="str">
        <f t="shared" si="9"/>
        <v/>
      </c>
      <c r="AE890" s="169"/>
      <c r="AF890" s="169" t="str">
        <f t="shared" si="10"/>
        <v/>
      </c>
      <c r="AG890" s="169"/>
      <c r="AH890" s="169" t="str">
        <f t="shared" si="11"/>
        <v/>
      </c>
      <c r="AI890" s="169"/>
      <c r="AJ890" s="169" t="str">
        <f t="shared" si="12"/>
        <v/>
      </c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 t="str">
        <f t="shared" si="2"/>
        <v/>
      </c>
      <c r="Q891" s="169"/>
      <c r="R891" s="169" t="str">
        <f t="shared" si="3"/>
        <v/>
      </c>
      <c r="S891" s="169"/>
      <c r="T891" s="169" t="str">
        <f t="shared" si="4"/>
        <v/>
      </c>
      <c r="U891" s="169"/>
      <c r="V891" s="169" t="str">
        <f t="shared" si="5"/>
        <v/>
      </c>
      <c r="W891" s="169"/>
      <c r="X891" s="169" t="str">
        <f t="shared" si="6"/>
        <v/>
      </c>
      <c r="Y891" s="169"/>
      <c r="Z891" s="169" t="str">
        <f t="shared" si="7"/>
        <v/>
      </c>
      <c r="AA891" s="169"/>
      <c r="AB891" s="169" t="str">
        <f t="shared" si="8"/>
        <v/>
      </c>
      <c r="AC891" s="169"/>
      <c r="AD891" s="169" t="str">
        <f t="shared" si="9"/>
        <v/>
      </c>
      <c r="AE891" s="169"/>
      <c r="AF891" s="169" t="str">
        <f t="shared" si="10"/>
        <v/>
      </c>
      <c r="AG891" s="169"/>
      <c r="AH891" s="169" t="str">
        <f t="shared" si="11"/>
        <v/>
      </c>
      <c r="AI891" s="169"/>
      <c r="AJ891" s="169" t="str">
        <f t="shared" si="12"/>
        <v/>
      </c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 t="str">
        <f t="shared" si="2"/>
        <v/>
      </c>
      <c r="Q892" s="169"/>
      <c r="R892" s="169" t="str">
        <f t="shared" si="3"/>
        <v/>
      </c>
      <c r="S892" s="169"/>
      <c r="T892" s="169" t="str">
        <f t="shared" si="4"/>
        <v/>
      </c>
      <c r="U892" s="169"/>
      <c r="V892" s="169" t="str">
        <f t="shared" si="5"/>
        <v/>
      </c>
      <c r="W892" s="169"/>
      <c r="X892" s="169" t="str">
        <f t="shared" si="6"/>
        <v/>
      </c>
      <c r="Y892" s="169"/>
      <c r="Z892" s="169" t="str">
        <f t="shared" si="7"/>
        <v/>
      </c>
      <c r="AA892" s="169"/>
      <c r="AB892" s="169" t="str">
        <f t="shared" si="8"/>
        <v/>
      </c>
      <c r="AC892" s="169"/>
      <c r="AD892" s="169" t="str">
        <f t="shared" si="9"/>
        <v/>
      </c>
      <c r="AE892" s="169"/>
      <c r="AF892" s="169" t="str">
        <f t="shared" si="10"/>
        <v/>
      </c>
      <c r="AG892" s="169"/>
      <c r="AH892" s="169" t="str">
        <f t="shared" si="11"/>
        <v/>
      </c>
      <c r="AI892" s="169"/>
      <c r="AJ892" s="169" t="str">
        <f t="shared" si="12"/>
        <v/>
      </c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 t="str">
        <f t="shared" si="2"/>
        <v/>
      </c>
      <c r="Q893" s="169"/>
      <c r="R893" s="169" t="str">
        <f t="shared" si="3"/>
        <v/>
      </c>
      <c r="S893" s="169"/>
      <c r="T893" s="169" t="str">
        <f t="shared" si="4"/>
        <v/>
      </c>
      <c r="U893" s="169"/>
      <c r="V893" s="169" t="str">
        <f t="shared" si="5"/>
        <v/>
      </c>
      <c r="W893" s="169"/>
      <c r="X893" s="169" t="str">
        <f t="shared" si="6"/>
        <v/>
      </c>
      <c r="Y893" s="169"/>
      <c r="Z893" s="169" t="str">
        <f t="shared" si="7"/>
        <v/>
      </c>
      <c r="AA893" s="169"/>
      <c r="AB893" s="169" t="str">
        <f t="shared" si="8"/>
        <v/>
      </c>
      <c r="AC893" s="169"/>
      <c r="AD893" s="169" t="str">
        <f t="shared" si="9"/>
        <v/>
      </c>
      <c r="AE893" s="169"/>
      <c r="AF893" s="169" t="str">
        <f t="shared" si="10"/>
        <v/>
      </c>
      <c r="AG893" s="169"/>
      <c r="AH893" s="169" t="str">
        <f t="shared" si="11"/>
        <v/>
      </c>
      <c r="AI893" s="169"/>
      <c r="AJ893" s="169" t="str">
        <f t="shared" si="12"/>
        <v/>
      </c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 t="str">
        <f t="shared" si="2"/>
        <v/>
      </c>
      <c r="Q894" s="169"/>
      <c r="R894" s="169" t="str">
        <f t="shared" si="3"/>
        <v/>
      </c>
      <c r="S894" s="169"/>
      <c r="T894" s="169" t="str">
        <f t="shared" si="4"/>
        <v/>
      </c>
      <c r="U894" s="169"/>
      <c r="V894" s="169" t="str">
        <f t="shared" si="5"/>
        <v/>
      </c>
      <c r="W894" s="169"/>
      <c r="X894" s="169" t="str">
        <f t="shared" si="6"/>
        <v/>
      </c>
      <c r="Y894" s="169"/>
      <c r="Z894" s="169" t="str">
        <f t="shared" si="7"/>
        <v/>
      </c>
      <c r="AA894" s="169"/>
      <c r="AB894" s="169" t="str">
        <f t="shared" si="8"/>
        <v/>
      </c>
      <c r="AC894" s="169"/>
      <c r="AD894" s="169" t="str">
        <f t="shared" si="9"/>
        <v/>
      </c>
      <c r="AE894" s="169"/>
      <c r="AF894" s="169" t="str">
        <f t="shared" si="10"/>
        <v/>
      </c>
      <c r="AG894" s="169"/>
      <c r="AH894" s="169" t="str">
        <f t="shared" si="11"/>
        <v/>
      </c>
      <c r="AI894" s="169"/>
      <c r="AJ894" s="169" t="str">
        <f t="shared" si="12"/>
        <v/>
      </c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 t="str">
        <f t="shared" si="2"/>
        <v/>
      </c>
      <c r="Q895" s="169"/>
      <c r="R895" s="169" t="str">
        <f t="shared" si="3"/>
        <v/>
      </c>
      <c r="S895" s="169"/>
      <c r="T895" s="169" t="str">
        <f t="shared" si="4"/>
        <v/>
      </c>
      <c r="U895" s="169"/>
      <c r="V895" s="169" t="str">
        <f t="shared" si="5"/>
        <v/>
      </c>
      <c r="W895" s="169"/>
      <c r="X895" s="169" t="str">
        <f t="shared" si="6"/>
        <v/>
      </c>
      <c r="Y895" s="169"/>
      <c r="Z895" s="169" t="str">
        <f t="shared" si="7"/>
        <v/>
      </c>
      <c r="AA895" s="169"/>
      <c r="AB895" s="169" t="str">
        <f t="shared" si="8"/>
        <v/>
      </c>
      <c r="AC895" s="169"/>
      <c r="AD895" s="169" t="str">
        <f t="shared" si="9"/>
        <v/>
      </c>
      <c r="AE895" s="169"/>
      <c r="AF895" s="169" t="str">
        <f t="shared" si="10"/>
        <v/>
      </c>
      <c r="AG895" s="169"/>
      <c r="AH895" s="169" t="str">
        <f t="shared" si="11"/>
        <v/>
      </c>
      <c r="AI895" s="169"/>
      <c r="AJ895" s="169" t="str">
        <f t="shared" si="12"/>
        <v/>
      </c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 t="str">
        <f t="shared" si="2"/>
        <v/>
      </c>
      <c r="Q896" s="169"/>
      <c r="R896" s="169" t="str">
        <f t="shared" si="3"/>
        <v/>
      </c>
      <c r="S896" s="169"/>
      <c r="T896" s="169" t="str">
        <f t="shared" si="4"/>
        <v/>
      </c>
      <c r="U896" s="169"/>
      <c r="V896" s="169" t="str">
        <f t="shared" si="5"/>
        <v/>
      </c>
      <c r="W896" s="169"/>
      <c r="X896" s="169" t="str">
        <f t="shared" si="6"/>
        <v/>
      </c>
      <c r="Y896" s="169"/>
      <c r="Z896" s="169" t="str">
        <f t="shared" si="7"/>
        <v/>
      </c>
      <c r="AA896" s="169"/>
      <c r="AB896" s="169" t="str">
        <f t="shared" si="8"/>
        <v/>
      </c>
      <c r="AC896" s="169"/>
      <c r="AD896" s="169" t="str">
        <f t="shared" si="9"/>
        <v/>
      </c>
      <c r="AE896" s="169"/>
      <c r="AF896" s="169" t="str">
        <f t="shared" si="10"/>
        <v/>
      </c>
      <c r="AG896" s="169"/>
      <c r="AH896" s="169" t="str">
        <f t="shared" si="11"/>
        <v/>
      </c>
      <c r="AI896" s="169"/>
      <c r="AJ896" s="169" t="str">
        <f t="shared" si="12"/>
        <v/>
      </c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 t="str">
        <f t="shared" si="2"/>
        <v/>
      </c>
      <c r="Q897" s="169"/>
      <c r="R897" s="169" t="str">
        <f t="shared" si="3"/>
        <v/>
      </c>
      <c r="S897" s="169"/>
      <c r="T897" s="169" t="str">
        <f t="shared" si="4"/>
        <v/>
      </c>
      <c r="U897" s="169"/>
      <c r="V897" s="169" t="str">
        <f t="shared" si="5"/>
        <v/>
      </c>
      <c r="W897" s="169"/>
      <c r="X897" s="169" t="str">
        <f t="shared" si="6"/>
        <v/>
      </c>
      <c r="Y897" s="169"/>
      <c r="Z897" s="169" t="str">
        <f t="shared" si="7"/>
        <v/>
      </c>
      <c r="AA897" s="169"/>
      <c r="AB897" s="169" t="str">
        <f t="shared" si="8"/>
        <v/>
      </c>
      <c r="AC897" s="169"/>
      <c r="AD897" s="169" t="str">
        <f t="shared" si="9"/>
        <v/>
      </c>
      <c r="AE897" s="169"/>
      <c r="AF897" s="169" t="str">
        <f t="shared" si="10"/>
        <v/>
      </c>
      <c r="AG897" s="169"/>
      <c r="AH897" s="169" t="str">
        <f t="shared" si="11"/>
        <v/>
      </c>
      <c r="AI897" s="169"/>
      <c r="AJ897" s="169" t="str">
        <f t="shared" si="12"/>
        <v/>
      </c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 t="str">
        <f t="shared" si="2"/>
        <v/>
      </c>
      <c r="Q898" s="169"/>
      <c r="R898" s="169" t="str">
        <f t="shared" si="3"/>
        <v/>
      </c>
      <c r="S898" s="169"/>
      <c r="T898" s="169" t="str">
        <f t="shared" si="4"/>
        <v/>
      </c>
      <c r="U898" s="169"/>
      <c r="V898" s="169" t="str">
        <f t="shared" si="5"/>
        <v/>
      </c>
      <c r="W898" s="169"/>
      <c r="X898" s="169" t="str">
        <f t="shared" si="6"/>
        <v/>
      </c>
      <c r="Y898" s="169"/>
      <c r="Z898" s="169" t="str">
        <f t="shared" si="7"/>
        <v/>
      </c>
      <c r="AA898" s="169"/>
      <c r="AB898" s="169" t="str">
        <f t="shared" si="8"/>
        <v/>
      </c>
      <c r="AC898" s="169"/>
      <c r="AD898" s="169" t="str">
        <f t="shared" si="9"/>
        <v/>
      </c>
      <c r="AE898" s="169"/>
      <c r="AF898" s="169" t="str">
        <f t="shared" si="10"/>
        <v/>
      </c>
      <c r="AG898" s="169"/>
      <c r="AH898" s="169" t="str">
        <f t="shared" si="11"/>
        <v/>
      </c>
      <c r="AI898" s="169"/>
      <c r="AJ898" s="169" t="str">
        <f t="shared" si="12"/>
        <v/>
      </c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 t="str">
        <f t="shared" si="2"/>
        <v/>
      </c>
      <c r="Q899" s="169"/>
      <c r="R899" s="169" t="str">
        <f t="shared" si="3"/>
        <v/>
      </c>
      <c r="S899" s="169"/>
      <c r="T899" s="169" t="str">
        <f t="shared" si="4"/>
        <v/>
      </c>
      <c r="U899" s="169"/>
      <c r="V899" s="169" t="str">
        <f t="shared" si="5"/>
        <v/>
      </c>
      <c r="W899" s="169"/>
      <c r="X899" s="169" t="str">
        <f t="shared" si="6"/>
        <v/>
      </c>
      <c r="Y899" s="169"/>
      <c r="Z899" s="169" t="str">
        <f t="shared" si="7"/>
        <v/>
      </c>
      <c r="AA899" s="169"/>
      <c r="AB899" s="169" t="str">
        <f t="shared" si="8"/>
        <v/>
      </c>
      <c r="AC899" s="169"/>
      <c r="AD899" s="169" t="str">
        <f t="shared" si="9"/>
        <v/>
      </c>
      <c r="AE899" s="169"/>
      <c r="AF899" s="169" t="str">
        <f t="shared" si="10"/>
        <v/>
      </c>
      <c r="AG899" s="169"/>
      <c r="AH899" s="169" t="str">
        <f t="shared" si="11"/>
        <v/>
      </c>
      <c r="AI899" s="169"/>
      <c r="AJ899" s="169" t="str">
        <f t="shared" si="12"/>
        <v/>
      </c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 t="str">
        <f t="shared" si="2"/>
        <v/>
      </c>
      <c r="Q900" s="169"/>
      <c r="R900" s="169" t="str">
        <f t="shared" si="3"/>
        <v/>
      </c>
      <c r="S900" s="169"/>
      <c r="T900" s="169" t="str">
        <f t="shared" si="4"/>
        <v/>
      </c>
      <c r="U900" s="169"/>
      <c r="V900" s="169" t="str">
        <f t="shared" si="5"/>
        <v/>
      </c>
      <c r="W900" s="169"/>
      <c r="X900" s="169" t="str">
        <f t="shared" si="6"/>
        <v/>
      </c>
      <c r="Y900" s="169"/>
      <c r="Z900" s="169" t="str">
        <f t="shared" si="7"/>
        <v/>
      </c>
      <c r="AA900" s="169"/>
      <c r="AB900" s="169" t="str">
        <f t="shared" si="8"/>
        <v/>
      </c>
      <c r="AC900" s="169"/>
      <c r="AD900" s="169" t="str">
        <f t="shared" si="9"/>
        <v/>
      </c>
      <c r="AE900" s="169"/>
      <c r="AF900" s="169" t="str">
        <f t="shared" si="10"/>
        <v/>
      </c>
      <c r="AG900" s="169"/>
      <c r="AH900" s="169" t="str">
        <f t="shared" si="11"/>
        <v/>
      </c>
      <c r="AI900" s="169"/>
      <c r="AJ900" s="169" t="str">
        <f t="shared" si="12"/>
        <v/>
      </c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 t="str">
        <f t="shared" si="2"/>
        <v/>
      </c>
      <c r="Q901" s="169"/>
      <c r="R901" s="169" t="str">
        <f t="shared" si="3"/>
        <v/>
      </c>
      <c r="S901" s="169"/>
      <c r="T901" s="169" t="str">
        <f t="shared" si="4"/>
        <v/>
      </c>
      <c r="U901" s="169"/>
      <c r="V901" s="169" t="str">
        <f t="shared" si="5"/>
        <v/>
      </c>
      <c r="W901" s="169"/>
      <c r="X901" s="169" t="str">
        <f t="shared" si="6"/>
        <v/>
      </c>
      <c r="Y901" s="169"/>
      <c r="Z901" s="169" t="str">
        <f t="shared" si="7"/>
        <v/>
      </c>
      <c r="AA901" s="169"/>
      <c r="AB901" s="169" t="str">
        <f t="shared" si="8"/>
        <v/>
      </c>
      <c r="AC901" s="169"/>
      <c r="AD901" s="169" t="str">
        <f t="shared" si="9"/>
        <v/>
      </c>
      <c r="AE901" s="169"/>
      <c r="AF901" s="169" t="str">
        <f t="shared" si="10"/>
        <v/>
      </c>
      <c r="AG901" s="169"/>
      <c r="AH901" s="169" t="str">
        <f t="shared" si="11"/>
        <v/>
      </c>
      <c r="AI901" s="169"/>
      <c r="AJ901" s="169" t="str">
        <f t="shared" si="12"/>
        <v/>
      </c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 t="str">
        <f t="shared" si="2"/>
        <v/>
      </c>
      <c r="Q902" s="169"/>
      <c r="R902" s="169" t="str">
        <f t="shared" si="3"/>
        <v/>
      </c>
      <c r="S902" s="169"/>
      <c r="T902" s="169" t="str">
        <f t="shared" si="4"/>
        <v/>
      </c>
      <c r="U902" s="169"/>
      <c r="V902" s="169" t="str">
        <f t="shared" si="5"/>
        <v/>
      </c>
      <c r="W902" s="169"/>
      <c r="X902" s="169" t="str">
        <f t="shared" si="6"/>
        <v/>
      </c>
      <c r="Y902" s="169"/>
      <c r="Z902" s="169" t="str">
        <f t="shared" si="7"/>
        <v/>
      </c>
      <c r="AA902" s="169"/>
      <c r="AB902" s="169" t="str">
        <f t="shared" si="8"/>
        <v/>
      </c>
      <c r="AC902" s="169"/>
      <c r="AD902" s="169" t="str">
        <f t="shared" si="9"/>
        <v/>
      </c>
      <c r="AE902" s="169"/>
      <c r="AF902" s="169" t="str">
        <f t="shared" si="10"/>
        <v/>
      </c>
      <c r="AG902" s="169"/>
      <c r="AH902" s="169" t="str">
        <f t="shared" si="11"/>
        <v/>
      </c>
      <c r="AI902" s="169"/>
      <c r="AJ902" s="169" t="str">
        <f t="shared" si="12"/>
        <v/>
      </c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 t="str">
        <f t="shared" si="2"/>
        <v/>
      </c>
      <c r="Q903" s="169"/>
      <c r="R903" s="169" t="str">
        <f t="shared" si="3"/>
        <v/>
      </c>
      <c r="S903" s="169"/>
      <c r="T903" s="169" t="str">
        <f t="shared" si="4"/>
        <v/>
      </c>
      <c r="U903" s="169"/>
      <c r="V903" s="169" t="str">
        <f t="shared" si="5"/>
        <v/>
      </c>
      <c r="W903" s="169"/>
      <c r="X903" s="169" t="str">
        <f t="shared" si="6"/>
        <v/>
      </c>
      <c r="Y903" s="169"/>
      <c r="Z903" s="169" t="str">
        <f t="shared" si="7"/>
        <v/>
      </c>
      <c r="AA903" s="169"/>
      <c r="AB903" s="169" t="str">
        <f t="shared" si="8"/>
        <v/>
      </c>
      <c r="AC903" s="169"/>
      <c r="AD903" s="169" t="str">
        <f t="shared" si="9"/>
        <v/>
      </c>
      <c r="AE903" s="169"/>
      <c r="AF903" s="169" t="str">
        <f t="shared" si="10"/>
        <v/>
      </c>
      <c r="AG903" s="169"/>
      <c r="AH903" s="169" t="str">
        <f t="shared" si="11"/>
        <v/>
      </c>
      <c r="AI903" s="169"/>
      <c r="AJ903" s="169" t="str">
        <f t="shared" si="12"/>
        <v/>
      </c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 t="str">
        <f t="shared" si="2"/>
        <v/>
      </c>
      <c r="Q904" s="169"/>
      <c r="R904" s="169" t="str">
        <f t="shared" si="3"/>
        <v/>
      </c>
      <c r="S904" s="169"/>
      <c r="T904" s="169" t="str">
        <f t="shared" si="4"/>
        <v/>
      </c>
      <c r="U904" s="169"/>
      <c r="V904" s="169" t="str">
        <f t="shared" si="5"/>
        <v/>
      </c>
      <c r="W904" s="169"/>
      <c r="X904" s="169" t="str">
        <f t="shared" si="6"/>
        <v/>
      </c>
      <c r="Y904" s="169"/>
      <c r="Z904" s="169" t="str">
        <f t="shared" si="7"/>
        <v/>
      </c>
      <c r="AA904" s="169"/>
      <c r="AB904" s="169" t="str">
        <f t="shared" si="8"/>
        <v/>
      </c>
      <c r="AC904" s="169"/>
      <c r="AD904" s="169" t="str">
        <f t="shared" si="9"/>
        <v/>
      </c>
      <c r="AE904" s="169"/>
      <c r="AF904" s="169" t="str">
        <f t="shared" si="10"/>
        <v/>
      </c>
      <c r="AG904" s="169"/>
      <c r="AH904" s="169" t="str">
        <f t="shared" si="11"/>
        <v/>
      </c>
      <c r="AI904" s="169"/>
      <c r="AJ904" s="169" t="str">
        <f t="shared" si="12"/>
        <v/>
      </c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 t="str">
        <f t="shared" si="2"/>
        <v/>
      </c>
      <c r="Q905" s="169"/>
      <c r="R905" s="169" t="str">
        <f t="shared" si="3"/>
        <v/>
      </c>
      <c r="S905" s="169"/>
      <c r="T905" s="169" t="str">
        <f t="shared" si="4"/>
        <v/>
      </c>
      <c r="U905" s="169"/>
      <c r="V905" s="169" t="str">
        <f t="shared" si="5"/>
        <v/>
      </c>
      <c r="W905" s="169"/>
      <c r="X905" s="169" t="str">
        <f t="shared" si="6"/>
        <v/>
      </c>
      <c r="Y905" s="169"/>
      <c r="Z905" s="169" t="str">
        <f t="shared" si="7"/>
        <v/>
      </c>
      <c r="AA905" s="169"/>
      <c r="AB905" s="169" t="str">
        <f t="shared" si="8"/>
        <v/>
      </c>
      <c r="AC905" s="169"/>
      <c r="AD905" s="169" t="str">
        <f t="shared" si="9"/>
        <v/>
      </c>
      <c r="AE905" s="169"/>
      <c r="AF905" s="169" t="str">
        <f t="shared" si="10"/>
        <v/>
      </c>
      <c r="AG905" s="169"/>
      <c r="AH905" s="169" t="str">
        <f t="shared" si="11"/>
        <v/>
      </c>
      <c r="AI905" s="169"/>
      <c r="AJ905" s="169" t="str">
        <f t="shared" si="12"/>
        <v/>
      </c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 t="str">
        <f t="shared" si="2"/>
        <v/>
      </c>
      <c r="Q906" s="169"/>
      <c r="R906" s="169" t="str">
        <f t="shared" si="3"/>
        <v/>
      </c>
      <c r="S906" s="169"/>
      <c r="T906" s="169" t="str">
        <f t="shared" si="4"/>
        <v/>
      </c>
      <c r="U906" s="169"/>
      <c r="V906" s="169" t="str">
        <f t="shared" si="5"/>
        <v/>
      </c>
      <c r="W906" s="169"/>
      <c r="X906" s="169" t="str">
        <f t="shared" si="6"/>
        <v/>
      </c>
      <c r="Y906" s="169"/>
      <c r="Z906" s="169" t="str">
        <f t="shared" si="7"/>
        <v/>
      </c>
      <c r="AA906" s="169"/>
      <c r="AB906" s="169" t="str">
        <f t="shared" si="8"/>
        <v/>
      </c>
      <c r="AC906" s="169"/>
      <c r="AD906" s="169" t="str">
        <f t="shared" si="9"/>
        <v/>
      </c>
      <c r="AE906" s="169"/>
      <c r="AF906" s="169" t="str">
        <f t="shared" si="10"/>
        <v/>
      </c>
      <c r="AG906" s="169"/>
      <c r="AH906" s="169" t="str">
        <f t="shared" si="11"/>
        <v/>
      </c>
      <c r="AI906" s="169"/>
      <c r="AJ906" s="169" t="str">
        <f t="shared" si="12"/>
        <v/>
      </c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 t="str">
        <f t="shared" si="2"/>
        <v/>
      </c>
      <c r="Q907" s="169"/>
      <c r="R907" s="169" t="str">
        <f t="shared" si="3"/>
        <v/>
      </c>
      <c r="S907" s="169"/>
      <c r="T907" s="169" t="str">
        <f t="shared" si="4"/>
        <v/>
      </c>
      <c r="U907" s="169"/>
      <c r="V907" s="169" t="str">
        <f t="shared" si="5"/>
        <v/>
      </c>
      <c r="W907" s="169"/>
      <c r="X907" s="169" t="str">
        <f t="shared" si="6"/>
        <v/>
      </c>
      <c r="Y907" s="169"/>
      <c r="Z907" s="169" t="str">
        <f t="shared" si="7"/>
        <v/>
      </c>
      <c r="AA907" s="169"/>
      <c r="AB907" s="169" t="str">
        <f t="shared" si="8"/>
        <v/>
      </c>
      <c r="AC907" s="169"/>
      <c r="AD907" s="169" t="str">
        <f t="shared" si="9"/>
        <v/>
      </c>
      <c r="AE907" s="169"/>
      <c r="AF907" s="169" t="str">
        <f t="shared" si="10"/>
        <v/>
      </c>
      <c r="AG907" s="169"/>
      <c r="AH907" s="169" t="str">
        <f t="shared" si="11"/>
        <v/>
      </c>
      <c r="AI907" s="169"/>
      <c r="AJ907" s="169" t="str">
        <f t="shared" si="12"/>
        <v/>
      </c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 t="str">
        <f t="shared" si="2"/>
        <v/>
      </c>
      <c r="Q908" s="169"/>
      <c r="R908" s="169" t="str">
        <f t="shared" si="3"/>
        <v/>
      </c>
      <c r="S908" s="169"/>
      <c r="T908" s="169" t="str">
        <f t="shared" si="4"/>
        <v/>
      </c>
      <c r="U908" s="169"/>
      <c r="V908" s="169" t="str">
        <f t="shared" si="5"/>
        <v/>
      </c>
      <c r="W908" s="169"/>
      <c r="X908" s="169" t="str">
        <f t="shared" si="6"/>
        <v/>
      </c>
      <c r="Y908" s="169"/>
      <c r="Z908" s="169" t="str">
        <f t="shared" si="7"/>
        <v/>
      </c>
      <c r="AA908" s="169"/>
      <c r="AB908" s="169" t="str">
        <f t="shared" si="8"/>
        <v/>
      </c>
      <c r="AC908" s="169"/>
      <c r="AD908" s="169" t="str">
        <f t="shared" si="9"/>
        <v/>
      </c>
      <c r="AE908" s="169"/>
      <c r="AF908" s="169" t="str">
        <f t="shared" si="10"/>
        <v/>
      </c>
      <c r="AG908" s="169"/>
      <c r="AH908" s="169" t="str">
        <f t="shared" si="11"/>
        <v/>
      </c>
      <c r="AI908" s="169"/>
      <c r="AJ908" s="169" t="str">
        <f t="shared" si="12"/>
        <v/>
      </c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 t="str">
        <f t="shared" si="2"/>
        <v/>
      </c>
      <c r="Q909" s="169"/>
      <c r="R909" s="169" t="str">
        <f t="shared" si="3"/>
        <v/>
      </c>
      <c r="S909" s="169"/>
      <c r="T909" s="169" t="str">
        <f t="shared" si="4"/>
        <v/>
      </c>
      <c r="U909" s="169"/>
      <c r="V909" s="169" t="str">
        <f t="shared" si="5"/>
        <v/>
      </c>
      <c r="W909" s="169"/>
      <c r="X909" s="169" t="str">
        <f t="shared" si="6"/>
        <v/>
      </c>
      <c r="Y909" s="169"/>
      <c r="Z909" s="169" t="str">
        <f t="shared" si="7"/>
        <v/>
      </c>
      <c r="AA909" s="169"/>
      <c r="AB909" s="169" t="str">
        <f t="shared" si="8"/>
        <v/>
      </c>
      <c r="AC909" s="169"/>
      <c r="AD909" s="169" t="str">
        <f t="shared" si="9"/>
        <v/>
      </c>
      <c r="AE909" s="169"/>
      <c r="AF909" s="169" t="str">
        <f t="shared" si="10"/>
        <v/>
      </c>
      <c r="AG909" s="169"/>
      <c r="AH909" s="169" t="str">
        <f t="shared" si="11"/>
        <v/>
      </c>
      <c r="AI909" s="169"/>
      <c r="AJ909" s="169" t="str">
        <f t="shared" si="12"/>
        <v/>
      </c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 t="str">
        <f t="shared" si="2"/>
        <v/>
      </c>
      <c r="Q910" s="169"/>
      <c r="R910" s="169" t="str">
        <f t="shared" si="3"/>
        <v/>
      </c>
      <c r="S910" s="169"/>
      <c r="T910" s="169" t="str">
        <f t="shared" si="4"/>
        <v/>
      </c>
      <c r="U910" s="169"/>
      <c r="V910" s="169" t="str">
        <f t="shared" si="5"/>
        <v/>
      </c>
      <c r="W910" s="169"/>
      <c r="X910" s="169" t="str">
        <f t="shared" si="6"/>
        <v/>
      </c>
      <c r="Y910" s="169"/>
      <c r="Z910" s="169" t="str">
        <f t="shared" si="7"/>
        <v/>
      </c>
      <c r="AA910" s="169"/>
      <c r="AB910" s="169" t="str">
        <f t="shared" si="8"/>
        <v/>
      </c>
      <c r="AC910" s="169"/>
      <c r="AD910" s="169" t="str">
        <f t="shared" si="9"/>
        <v/>
      </c>
      <c r="AE910" s="169"/>
      <c r="AF910" s="169" t="str">
        <f t="shared" si="10"/>
        <v/>
      </c>
      <c r="AG910" s="169"/>
      <c r="AH910" s="169" t="str">
        <f t="shared" si="11"/>
        <v/>
      </c>
      <c r="AI910" s="169"/>
      <c r="AJ910" s="169" t="str">
        <f t="shared" si="12"/>
        <v/>
      </c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 t="str">
        <f t="shared" si="2"/>
        <v/>
      </c>
      <c r="Q911" s="169"/>
      <c r="R911" s="169" t="str">
        <f t="shared" si="3"/>
        <v/>
      </c>
      <c r="S911" s="169"/>
      <c r="T911" s="169" t="str">
        <f t="shared" si="4"/>
        <v/>
      </c>
      <c r="U911" s="169"/>
      <c r="V911" s="169" t="str">
        <f t="shared" si="5"/>
        <v/>
      </c>
      <c r="W911" s="169"/>
      <c r="X911" s="169" t="str">
        <f t="shared" si="6"/>
        <v/>
      </c>
      <c r="Y911" s="169"/>
      <c r="Z911" s="169" t="str">
        <f t="shared" si="7"/>
        <v/>
      </c>
      <c r="AA911" s="169"/>
      <c r="AB911" s="169" t="str">
        <f t="shared" si="8"/>
        <v/>
      </c>
      <c r="AC911" s="169"/>
      <c r="AD911" s="169" t="str">
        <f t="shared" si="9"/>
        <v/>
      </c>
      <c r="AE911" s="169"/>
      <c r="AF911" s="169" t="str">
        <f t="shared" si="10"/>
        <v/>
      </c>
      <c r="AG911" s="169"/>
      <c r="AH911" s="169" t="str">
        <f t="shared" si="11"/>
        <v/>
      </c>
      <c r="AI911" s="169"/>
      <c r="AJ911" s="169" t="str">
        <f t="shared" si="12"/>
        <v/>
      </c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 t="str">
        <f t="shared" si="2"/>
        <v/>
      </c>
      <c r="Q912" s="169"/>
      <c r="R912" s="169" t="str">
        <f t="shared" si="3"/>
        <v/>
      </c>
      <c r="S912" s="169"/>
      <c r="T912" s="169" t="str">
        <f t="shared" si="4"/>
        <v/>
      </c>
      <c r="U912" s="169"/>
      <c r="V912" s="169" t="str">
        <f t="shared" si="5"/>
        <v/>
      </c>
      <c r="W912" s="169"/>
      <c r="X912" s="169" t="str">
        <f t="shared" si="6"/>
        <v/>
      </c>
      <c r="Y912" s="169"/>
      <c r="Z912" s="169" t="str">
        <f t="shared" si="7"/>
        <v/>
      </c>
      <c r="AA912" s="169"/>
      <c r="AB912" s="169" t="str">
        <f t="shared" si="8"/>
        <v/>
      </c>
      <c r="AC912" s="169"/>
      <c r="AD912" s="169" t="str">
        <f t="shared" si="9"/>
        <v/>
      </c>
      <c r="AE912" s="169"/>
      <c r="AF912" s="169" t="str">
        <f t="shared" si="10"/>
        <v/>
      </c>
      <c r="AG912" s="169"/>
      <c r="AH912" s="169" t="str">
        <f t="shared" si="11"/>
        <v/>
      </c>
      <c r="AI912" s="169"/>
      <c r="AJ912" s="169" t="str">
        <f t="shared" si="12"/>
        <v/>
      </c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 t="str">
        <f t="shared" si="2"/>
        <v/>
      </c>
      <c r="Q913" s="169"/>
      <c r="R913" s="169" t="str">
        <f t="shared" si="3"/>
        <v/>
      </c>
      <c r="S913" s="169"/>
      <c r="T913" s="169" t="str">
        <f t="shared" si="4"/>
        <v/>
      </c>
      <c r="U913" s="169"/>
      <c r="V913" s="169" t="str">
        <f t="shared" si="5"/>
        <v/>
      </c>
      <c r="W913" s="169"/>
      <c r="X913" s="169" t="str">
        <f t="shared" si="6"/>
        <v/>
      </c>
      <c r="Y913" s="169"/>
      <c r="Z913" s="169" t="str">
        <f t="shared" si="7"/>
        <v/>
      </c>
      <c r="AA913" s="169"/>
      <c r="AB913" s="169" t="str">
        <f t="shared" si="8"/>
        <v/>
      </c>
      <c r="AC913" s="169"/>
      <c r="AD913" s="169" t="str">
        <f t="shared" si="9"/>
        <v/>
      </c>
      <c r="AE913" s="169"/>
      <c r="AF913" s="169" t="str">
        <f t="shared" si="10"/>
        <v/>
      </c>
      <c r="AG913" s="169"/>
      <c r="AH913" s="169" t="str">
        <f t="shared" si="11"/>
        <v/>
      </c>
      <c r="AI913" s="169"/>
      <c r="AJ913" s="169" t="str">
        <f t="shared" si="12"/>
        <v/>
      </c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 t="str">
        <f t="shared" si="2"/>
        <v/>
      </c>
      <c r="Q914" s="169"/>
      <c r="R914" s="169" t="str">
        <f t="shared" si="3"/>
        <v/>
      </c>
      <c r="S914" s="169"/>
      <c r="T914" s="169" t="str">
        <f t="shared" si="4"/>
        <v/>
      </c>
      <c r="U914" s="169"/>
      <c r="V914" s="169" t="str">
        <f t="shared" si="5"/>
        <v/>
      </c>
      <c r="W914" s="169"/>
      <c r="X914" s="169" t="str">
        <f t="shared" si="6"/>
        <v/>
      </c>
      <c r="Y914" s="169"/>
      <c r="Z914" s="169" t="str">
        <f t="shared" si="7"/>
        <v/>
      </c>
      <c r="AA914" s="169"/>
      <c r="AB914" s="169" t="str">
        <f t="shared" si="8"/>
        <v/>
      </c>
      <c r="AC914" s="169"/>
      <c r="AD914" s="169" t="str">
        <f t="shared" si="9"/>
        <v/>
      </c>
      <c r="AE914" s="169"/>
      <c r="AF914" s="169" t="str">
        <f t="shared" si="10"/>
        <v/>
      </c>
      <c r="AG914" s="169"/>
      <c r="AH914" s="169" t="str">
        <f t="shared" si="11"/>
        <v/>
      </c>
      <c r="AI914" s="169"/>
      <c r="AJ914" s="169" t="str">
        <f t="shared" si="12"/>
        <v/>
      </c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 t="str">
        <f t="shared" si="2"/>
        <v/>
      </c>
      <c r="Q915" s="169"/>
      <c r="R915" s="169" t="str">
        <f t="shared" si="3"/>
        <v/>
      </c>
      <c r="S915" s="169"/>
      <c r="T915" s="169" t="str">
        <f t="shared" si="4"/>
        <v/>
      </c>
      <c r="U915" s="169"/>
      <c r="V915" s="169" t="str">
        <f t="shared" si="5"/>
        <v/>
      </c>
      <c r="W915" s="169"/>
      <c r="X915" s="169" t="str">
        <f t="shared" si="6"/>
        <v/>
      </c>
      <c r="Y915" s="169"/>
      <c r="Z915" s="169" t="str">
        <f t="shared" si="7"/>
        <v/>
      </c>
      <c r="AA915" s="169"/>
      <c r="AB915" s="169" t="str">
        <f t="shared" si="8"/>
        <v/>
      </c>
      <c r="AC915" s="169"/>
      <c r="AD915" s="169" t="str">
        <f t="shared" si="9"/>
        <v/>
      </c>
      <c r="AE915" s="169"/>
      <c r="AF915" s="169" t="str">
        <f t="shared" si="10"/>
        <v/>
      </c>
      <c r="AG915" s="169"/>
      <c r="AH915" s="169" t="str">
        <f t="shared" si="11"/>
        <v/>
      </c>
      <c r="AI915" s="169"/>
      <c r="AJ915" s="169" t="str">
        <f t="shared" si="12"/>
        <v/>
      </c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 t="str">
        <f t="shared" si="2"/>
        <v/>
      </c>
      <c r="Q916" s="169"/>
      <c r="R916" s="169" t="str">
        <f t="shared" si="3"/>
        <v/>
      </c>
      <c r="S916" s="169"/>
      <c r="T916" s="169" t="str">
        <f t="shared" si="4"/>
        <v/>
      </c>
      <c r="U916" s="169"/>
      <c r="V916" s="169" t="str">
        <f t="shared" si="5"/>
        <v/>
      </c>
      <c r="W916" s="169"/>
      <c r="X916" s="169" t="str">
        <f t="shared" si="6"/>
        <v/>
      </c>
      <c r="Y916" s="169"/>
      <c r="Z916" s="169" t="str">
        <f t="shared" si="7"/>
        <v/>
      </c>
      <c r="AA916" s="169"/>
      <c r="AB916" s="169" t="str">
        <f t="shared" si="8"/>
        <v/>
      </c>
      <c r="AC916" s="169"/>
      <c r="AD916" s="169" t="str">
        <f t="shared" si="9"/>
        <v/>
      </c>
      <c r="AE916" s="169"/>
      <c r="AF916" s="169" t="str">
        <f t="shared" si="10"/>
        <v/>
      </c>
      <c r="AG916" s="169"/>
      <c r="AH916" s="169" t="str">
        <f t="shared" si="11"/>
        <v/>
      </c>
      <c r="AI916" s="169"/>
      <c r="AJ916" s="169" t="str">
        <f t="shared" si="12"/>
        <v/>
      </c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 t="str">
        <f t="shared" si="2"/>
        <v/>
      </c>
      <c r="Q917" s="169"/>
      <c r="R917" s="169" t="str">
        <f t="shared" si="3"/>
        <v/>
      </c>
      <c r="S917" s="169"/>
      <c r="T917" s="169" t="str">
        <f t="shared" si="4"/>
        <v/>
      </c>
      <c r="U917" s="169"/>
      <c r="V917" s="169" t="str">
        <f t="shared" si="5"/>
        <v/>
      </c>
      <c r="W917" s="169"/>
      <c r="X917" s="169" t="str">
        <f t="shared" si="6"/>
        <v/>
      </c>
      <c r="Y917" s="169"/>
      <c r="Z917" s="169" t="str">
        <f t="shared" si="7"/>
        <v/>
      </c>
      <c r="AA917" s="169"/>
      <c r="AB917" s="169" t="str">
        <f t="shared" si="8"/>
        <v/>
      </c>
      <c r="AC917" s="169"/>
      <c r="AD917" s="169" t="str">
        <f t="shared" si="9"/>
        <v/>
      </c>
      <c r="AE917" s="169"/>
      <c r="AF917" s="169" t="str">
        <f t="shared" si="10"/>
        <v/>
      </c>
      <c r="AG917" s="169"/>
      <c r="AH917" s="169" t="str">
        <f t="shared" si="11"/>
        <v/>
      </c>
      <c r="AI917" s="169"/>
      <c r="AJ917" s="169" t="str">
        <f t="shared" si="12"/>
        <v/>
      </c>
    </row>
    <row r="918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 t="str">
        <f t="shared" si="2"/>
        <v/>
      </c>
      <c r="Q918" s="169"/>
      <c r="R918" s="169" t="str">
        <f t="shared" si="3"/>
        <v/>
      </c>
      <c r="S918" s="169"/>
      <c r="T918" s="169" t="str">
        <f t="shared" si="4"/>
        <v/>
      </c>
      <c r="U918" s="169"/>
      <c r="V918" s="169" t="str">
        <f t="shared" si="5"/>
        <v/>
      </c>
      <c r="W918" s="169"/>
      <c r="X918" s="169" t="str">
        <f t="shared" si="6"/>
        <v/>
      </c>
      <c r="Y918" s="169"/>
      <c r="Z918" s="169" t="str">
        <f t="shared" si="7"/>
        <v/>
      </c>
      <c r="AA918" s="169"/>
      <c r="AB918" s="169" t="str">
        <f t="shared" si="8"/>
        <v/>
      </c>
      <c r="AC918" s="169"/>
      <c r="AD918" s="169" t="str">
        <f t="shared" si="9"/>
        <v/>
      </c>
      <c r="AE918" s="169"/>
      <c r="AF918" s="169" t="str">
        <f t="shared" si="10"/>
        <v/>
      </c>
      <c r="AG918" s="169"/>
      <c r="AH918" s="169" t="str">
        <f t="shared" si="11"/>
        <v/>
      </c>
      <c r="AI918" s="169"/>
      <c r="AJ918" s="169" t="str">
        <f t="shared" si="12"/>
        <v/>
      </c>
    </row>
    <row r="919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 t="str">
        <f t="shared" si="2"/>
        <v/>
      </c>
      <c r="Q919" s="169"/>
      <c r="R919" s="169" t="str">
        <f t="shared" si="3"/>
        <v/>
      </c>
      <c r="S919" s="169"/>
      <c r="T919" s="169" t="str">
        <f t="shared" si="4"/>
        <v/>
      </c>
      <c r="U919" s="169"/>
      <c r="V919" s="169" t="str">
        <f t="shared" si="5"/>
        <v/>
      </c>
      <c r="W919" s="169"/>
      <c r="X919" s="169" t="str">
        <f t="shared" si="6"/>
        <v/>
      </c>
      <c r="Y919" s="169"/>
      <c r="Z919" s="169" t="str">
        <f t="shared" si="7"/>
        <v/>
      </c>
      <c r="AA919" s="169"/>
      <c r="AB919" s="169" t="str">
        <f t="shared" si="8"/>
        <v/>
      </c>
      <c r="AC919" s="169"/>
      <c r="AD919" s="169" t="str">
        <f t="shared" si="9"/>
        <v/>
      </c>
      <c r="AE919" s="169"/>
      <c r="AF919" s="169" t="str">
        <f t="shared" si="10"/>
        <v/>
      </c>
      <c r="AG919" s="169"/>
      <c r="AH919" s="169" t="str">
        <f t="shared" si="11"/>
        <v/>
      </c>
      <c r="AI919" s="169"/>
      <c r="AJ919" s="169" t="str">
        <f t="shared" si="12"/>
        <v/>
      </c>
    </row>
    <row r="920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 t="str">
        <f t="shared" si="2"/>
        <v/>
      </c>
      <c r="Q920" s="169"/>
      <c r="R920" s="169" t="str">
        <f t="shared" si="3"/>
        <v/>
      </c>
      <c r="S920" s="169"/>
      <c r="T920" s="169" t="str">
        <f t="shared" si="4"/>
        <v/>
      </c>
      <c r="U920" s="169"/>
      <c r="V920" s="169" t="str">
        <f t="shared" si="5"/>
        <v/>
      </c>
      <c r="W920" s="169"/>
      <c r="X920" s="169" t="str">
        <f t="shared" si="6"/>
        <v/>
      </c>
      <c r="Y920" s="169"/>
      <c r="Z920" s="169" t="str">
        <f t="shared" si="7"/>
        <v/>
      </c>
      <c r="AA920" s="169"/>
      <c r="AB920" s="169" t="str">
        <f t="shared" si="8"/>
        <v/>
      </c>
      <c r="AC920" s="169"/>
      <c r="AD920" s="169" t="str">
        <f t="shared" si="9"/>
        <v/>
      </c>
      <c r="AE920" s="169"/>
      <c r="AF920" s="169" t="str">
        <f t="shared" si="10"/>
        <v/>
      </c>
      <c r="AG920" s="169"/>
      <c r="AH920" s="169" t="str">
        <f t="shared" si="11"/>
        <v/>
      </c>
      <c r="AI920" s="169"/>
      <c r="AJ920" s="169" t="str">
        <f t="shared" si="12"/>
        <v/>
      </c>
    </row>
    <row r="92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 t="str">
        <f t="shared" si="2"/>
        <v/>
      </c>
      <c r="Q921" s="169"/>
      <c r="R921" s="169" t="str">
        <f t="shared" si="3"/>
        <v/>
      </c>
      <c r="S921" s="169"/>
      <c r="T921" s="169" t="str">
        <f t="shared" si="4"/>
        <v/>
      </c>
      <c r="U921" s="169"/>
      <c r="V921" s="169" t="str">
        <f t="shared" si="5"/>
        <v/>
      </c>
      <c r="W921" s="169"/>
      <c r="X921" s="169" t="str">
        <f t="shared" si="6"/>
        <v/>
      </c>
      <c r="Y921" s="169"/>
      <c r="Z921" s="169" t="str">
        <f t="shared" si="7"/>
        <v/>
      </c>
      <c r="AA921" s="169"/>
      <c r="AB921" s="169" t="str">
        <f t="shared" si="8"/>
        <v/>
      </c>
      <c r="AC921" s="169"/>
      <c r="AD921" s="169" t="str">
        <f t="shared" si="9"/>
        <v/>
      </c>
      <c r="AE921" s="169"/>
      <c r="AF921" s="169" t="str">
        <f t="shared" si="10"/>
        <v/>
      </c>
      <c r="AG921" s="169"/>
      <c r="AH921" s="169" t="str">
        <f t="shared" si="11"/>
        <v/>
      </c>
      <c r="AI921" s="169"/>
      <c r="AJ921" s="169" t="str">
        <f t="shared" si="12"/>
        <v/>
      </c>
    </row>
    <row r="92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 t="str">
        <f t="shared" si="2"/>
        <v/>
      </c>
      <c r="Q922" s="169"/>
      <c r="R922" s="169" t="str">
        <f t="shared" si="3"/>
        <v/>
      </c>
      <c r="S922" s="169"/>
      <c r="T922" s="169" t="str">
        <f t="shared" si="4"/>
        <v/>
      </c>
      <c r="U922" s="169"/>
      <c r="V922" s="169" t="str">
        <f t="shared" si="5"/>
        <v/>
      </c>
      <c r="W922" s="169"/>
      <c r="X922" s="169" t="str">
        <f t="shared" si="6"/>
        <v/>
      </c>
      <c r="Y922" s="169"/>
      <c r="Z922" s="169" t="str">
        <f t="shared" si="7"/>
        <v/>
      </c>
      <c r="AA922" s="169"/>
      <c r="AB922" s="169" t="str">
        <f t="shared" si="8"/>
        <v/>
      </c>
      <c r="AC922" s="169"/>
      <c r="AD922" s="169" t="str">
        <f t="shared" si="9"/>
        <v/>
      </c>
      <c r="AE922" s="169"/>
      <c r="AF922" s="169" t="str">
        <f t="shared" si="10"/>
        <v/>
      </c>
      <c r="AG922" s="169"/>
      <c r="AH922" s="169" t="str">
        <f t="shared" si="11"/>
        <v/>
      </c>
      <c r="AI922" s="169"/>
      <c r="AJ922" s="169" t="str">
        <f t="shared" si="12"/>
        <v/>
      </c>
    </row>
    <row r="923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 t="str">
        <f t="shared" si="2"/>
        <v/>
      </c>
      <c r="Q923" s="169"/>
      <c r="R923" s="169" t="str">
        <f t="shared" si="3"/>
        <v/>
      </c>
      <c r="S923" s="169"/>
      <c r="T923" s="169" t="str">
        <f t="shared" si="4"/>
        <v/>
      </c>
      <c r="U923" s="169"/>
      <c r="V923" s="169" t="str">
        <f t="shared" si="5"/>
        <v/>
      </c>
      <c r="W923" s="169"/>
      <c r="X923" s="169" t="str">
        <f t="shared" si="6"/>
        <v/>
      </c>
      <c r="Y923" s="169"/>
      <c r="Z923" s="169" t="str">
        <f t="shared" si="7"/>
        <v/>
      </c>
      <c r="AA923" s="169"/>
      <c r="AB923" s="169" t="str">
        <f t="shared" si="8"/>
        <v/>
      </c>
      <c r="AC923" s="169"/>
      <c r="AD923" s="169" t="str">
        <f t="shared" si="9"/>
        <v/>
      </c>
      <c r="AE923" s="169"/>
      <c r="AF923" s="169" t="str">
        <f t="shared" si="10"/>
        <v/>
      </c>
      <c r="AG923" s="169"/>
      <c r="AH923" s="169" t="str">
        <f t="shared" si="11"/>
        <v/>
      </c>
      <c r="AI923" s="169"/>
      <c r="AJ923" s="169" t="str">
        <f t="shared" si="12"/>
        <v/>
      </c>
    </row>
    <row r="924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 t="str">
        <f t="shared" si="2"/>
        <v/>
      </c>
      <c r="Q924" s="169"/>
      <c r="R924" s="169" t="str">
        <f t="shared" si="3"/>
        <v/>
      </c>
      <c r="S924" s="169"/>
      <c r="T924" s="169" t="str">
        <f t="shared" si="4"/>
        <v/>
      </c>
      <c r="U924" s="169"/>
      <c r="V924" s="169" t="str">
        <f t="shared" si="5"/>
        <v/>
      </c>
      <c r="W924" s="169"/>
      <c r="X924" s="169" t="str">
        <f t="shared" si="6"/>
        <v/>
      </c>
      <c r="Y924" s="169"/>
      <c r="Z924" s="169" t="str">
        <f t="shared" si="7"/>
        <v/>
      </c>
      <c r="AA924" s="169"/>
      <c r="AB924" s="169" t="str">
        <f t="shared" si="8"/>
        <v/>
      </c>
      <c r="AC924" s="169"/>
      <c r="AD924" s="169" t="str">
        <f t="shared" si="9"/>
        <v/>
      </c>
      <c r="AE924" s="169"/>
      <c r="AF924" s="169" t="str">
        <f t="shared" si="10"/>
        <v/>
      </c>
      <c r="AG924" s="169"/>
      <c r="AH924" s="169" t="str">
        <f t="shared" si="11"/>
        <v/>
      </c>
      <c r="AI924" s="169"/>
      <c r="AJ924" s="169" t="str">
        <f t="shared" si="12"/>
        <v/>
      </c>
    </row>
    <row r="9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 t="str">
        <f t="shared" si="2"/>
        <v/>
      </c>
      <c r="Q925" s="169"/>
      <c r="R925" s="169" t="str">
        <f t="shared" si="3"/>
        <v/>
      </c>
      <c r="S925" s="169"/>
      <c r="T925" s="169" t="str">
        <f t="shared" si="4"/>
        <v/>
      </c>
      <c r="U925" s="169"/>
      <c r="V925" s="169" t="str">
        <f t="shared" si="5"/>
        <v/>
      </c>
      <c r="W925" s="169"/>
      <c r="X925" s="169" t="str">
        <f t="shared" si="6"/>
        <v/>
      </c>
      <c r="Y925" s="169"/>
      <c r="Z925" s="169" t="str">
        <f t="shared" si="7"/>
        <v/>
      </c>
      <c r="AA925" s="169"/>
      <c r="AB925" s="169" t="str">
        <f t="shared" si="8"/>
        <v/>
      </c>
      <c r="AC925" s="169"/>
      <c r="AD925" s="169" t="str">
        <f t="shared" si="9"/>
        <v/>
      </c>
      <c r="AE925" s="169"/>
      <c r="AF925" s="169" t="str">
        <f t="shared" si="10"/>
        <v/>
      </c>
      <c r="AG925" s="169"/>
      <c r="AH925" s="169" t="str">
        <f t="shared" si="11"/>
        <v/>
      </c>
      <c r="AI925" s="169"/>
      <c r="AJ925" s="169" t="str">
        <f t="shared" si="12"/>
        <v/>
      </c>
    </row>
    <row r="926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 t="str">
        <f t="shared" si="2"/>
        <v/>
      </c>
      <c r="Q926" s="169"/>
      <c r="R926" s="169" t="str">
        <f t="shared" si="3"/>
        <v/>
      </c>
      <c r="S926" s="169"/>
      <c r="T926" s="169" t="str">
        <f t="shared" si="4"/>
        <v/>
      </c>
      <c r="U926" s="169"/>
      <c r="V926" s="169" t="str">
        <f t="shared" si="5"/>
        <v/>
      </c>
      <c r="W926" s="169"/>
      <c r="X926" s="169" t="str">
        <f t="shared" si="6"/>
        <v/>
      </c>
      <c r="Y926" s="169"/>
      <c r="Z926" s="169" t="str">
        <f t="shared" si="7"/>
        <v/>
      </c>
      <c r="AA926" s="169"/>
      <c r="AB926" s="169" t="str">
        <f t="shared" si="8"/>
        <v/>
      </c>
      <c r="AC926" s="169"/>
      <c r="AD926" s="169" t="str">
        <f t="shared" si="9"/>
        <v/>
      </c>
      <c r="AE926" s="169"/>
      <c r="AF926" s="169" t="str">
        <f t="shared" si="10"/>
        <v/>
      </c>
      <c r="AG926" s="169"/>
      <c r="AH926" s="169" t="str">
        <f t="shared" si="11"/>
        <v/>
      </c>
      <c r="AI926" s="169"/>
      <c r="AJ926" s="169" t="str">
        <f t="shared" si="12"/>
        <v/>
      </c>
    </row>
    <row r="927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 t="str">
        <f t="shared" si="2"/>
        <v/>
      </c>
      <c r="Q927" s="169"/>
      <c r="R927" s="169" t="str">
        <f t="shared" si="3"/>
        <v/>
      </c>
      <c r="S927" s="169"/>
      <c r="T927" s="169" t="str">
        <f t="shared" si="4"/>
        <v/>
      </c>
      <c r="U927" s="169"/>
      <c r="V927" s="169" t="str">
        <f t="shared" si="5"/>
        <v/>
      </c>
      <c r="W927" s="169"/>
      <c r="X927" s="169" t="str">
        <f t="shared" si="6"/>
        <v/>
      </c>
      <c r="Y927" s="169"/>
      <c r="Z927" s="169" t="str">
        <f t="shared" si="7"/>
        <v/>
      </c>
      <c r="AA927" s="169"/>
      <c r="AB927" s="169" t="str">
        <f t="shared" si="8"/>
        <v/>
      </c>
      <c r="AC927" s="169"/>
      <c r="AD927" s="169" t="str">
        <f t="shared" si="9"/>
        <v/>
      </c>
      <c r="AE927" s="169"/>
      <c r="AF927" s="169" t="str">
        <f t="shared" si="10"/>
        <v/>
      </c>
      <c r="AG927" s="169"/>
      <c r="AH927" s="169" t="str">
        <f t="shared" si="11"/>
        <v/>
      </c>
      <c r="AI927" s="169"/>
      <c r="AJ927" s="169" t="str">
        <f t="shared" si="12"/>
        <v/>
      </c>
    </row>
    <row r="928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 t="str">
        <f t="shared" si="2"/>
        <v/>
      </c>
      <c r="Q928" s="169"/>
      <c r="R928" s="169" t="str">
        <f t="shared" si="3"/>
        <v/>
      </c>
      <c r="S928" s="169"/>
      <c r="T928" s="169" t="str">
        <f t="shared" si="4"/>
        <v/>
      </c>
      <c r="U928" s="169"/>
      <c r="V928" s="169" t="str">
        <f t="shared" si="5"/>
        <v/>
      </c>
      <c r="W928" s="169"/>
      <c r="X928" s="169" t="str">
        <f t="shared" si="6"/>
        <v/>
      </c>
      <c r="Y928" s="169"/>
      <c r="Z928" s="169" t="str">
        <f t="shared" si="7"/>
        <v/>
      </c>
      <c r="AA928" s="169"/>
      <c r="AB928" s="169" t="str">
        <f t="shared" si="8"/>
        <v/>
      </c>
      <c r="AC928" s="169"/>
      <c r="AD928" s="169" t="str">
        <f t="shared" si="9"/>
        <v/>
      </c>
      <c r="AE928" s="169"/>
      <c r="AF928" s="169" t="str">
        <f t="shared" si="10"/>
        <v/>
      </c>
      <c r="AG928" s="169"/>
      <c r="AH928" s="169" t="str">
        <f t="shared" si="11"/>
        <v/>
      </c>
      <c r="AI928" s="169"/>
      <c r="AJ928" s="169" t="str">
        <f t="shared" si="12"/>
        <v/>
      </c>
    </row>
    <row r="929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 t="str">
        <f t="shared" si="2"/>
        <v/>
      </c>
      <c r="Q929" s="169"/>
      <c r="R929" s="169" t="str">
        <f t="shared" si="3"/>
        <v/>
      </c>
      <c r="S929" s="169"/>
      <c r="T929" s="169" t="str">
        <f t="shared" si="4"/>
        <v/>
      </c>
      <c r="U929" s="169"/>
      <c r="V929" s="169" t="str">
        <f t="shared" si="5"/>
        <v/>
      </c>
      <c r="W929" s="169"/>
      <c r="X929" s="169" t="str">
        <f t="shared" si="6"/>
        <v/>
      </c>
      <c r="Y929" s="169"/>
      <c r="Z929" s="169" t="str">
        <f t="shared" si="7"/>
        <v/>
      </c>
      <c r="AA929" s="169"/>
      <c r="AB929" s="169" t="str">
        <f t="shared" si="8"/>
        <v/>
      </c>
      <c r="AC929" s="169"/>
      <c r="AD929" s="169" t="str">
        <f t="shared" si="9"/>
        <v/>
      </c>
      <c r="AE929" s="169"/>
      <c r="AF929" s="169" t="str">
        <f t="shared" si="10"/>
        <v/>
      </c>
      <c r="AG929" s="169"/>
      <c r="AH929" s="169" t="str">
        <f t="shared" si="11"/>
        <v/>
      </c>
      <c r="AI929" s="169"/>
      <c r="AJ929" s="169" t="str">
        <f t="shared" si="12"/>
        <v/>
      </c>
    </row>
    <row r="930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 t="str">
        <f t="shared" si="2"/>
        <v/>
      </c>
      <c r="Q930" s="169"/>
      <c r="R930" s="169" t="str">
        <f t="shared" si="3"/>
        <v/>
      </c>
      <c r="S930" s="169"/>
      <c r="T930" s="169" t="str">
        <f t="shared" si="4"/>
        <v/>
      </c>
      <c r="U930" s="169"/>
      <c r="V930" s="169" t="str">
        <f t="shared" si="5"/>
        <v/>
      </c>
      <c r="W930" s="169"/>
      <c r="X930" s="169" t="str">
        <f t="shared" si="6"/>
        <v/>
      </c>
      <c r="Y930" s="169"/>
      <c r="Z930" s="169" t="str">
        <f t="shared" si="7"/>
        <v/>
      </c>
      <c r="AA930" s="169"/>
      <c r="AB930" s="169" t="str">
        <f t="shared" si="8"/>
        <v/>
      </c>
      <c r="AC930" s="169"/>
      <c r="AD930" s="169" t="str">
        <f t="shared" si="9"/>
        <v/>
      </c>
      <c r="AE930" s="169"/>
      <c r="AF930" s="169" t="str">
        <f t="shared" si="10"/>
        <v/>
      </c>
      <c r="AG930" s="169"/>
      <c r="AH930" s="169" t="str">
        <f t="shared" si="11"/>
        <v/>
      </c>
      <c r="AI930" s="169"/>
      <c r="AJ930" s="169" t="str">
        <f t="shared" si="12"/>
        <v/>
      </c>
    </row>
    <row r="9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 t="str">
        <f t="shared" si="2"/>
        <v/>
      </c>
      <c r="Q931" s="169"/>
      <c r="R931" s="169" t="str">
        <f t="shared" si="3"/>
        <v/>
      </c>
      <c r="S931" s="169"/>
      <c r="T931" s="169" t="str">
        <f t="shared" si="4"/>
        <v/>
      </c>
      <c r="U931" s="169"/>
      <c r="V931" s="169" t="str">
        <f t="shared" si="5"/>
        <v/>
      </c>
      <c r="W931" s="169"/>
      <c r="X931" s="169" t="str">
        <f t="shared" si="6"/>
        <v/>
      </c>
      <c r="Y931" s="169"/>
      <c r="Z931" s="169" t="str">
        <f t="shared" si="7"/>
        <v/>
      </c>
      <c r="AA931" s="169"/>
      <c r="AB931" s="169" t="str">
        <f t="shared" si="8"/>
        <v/>
      </c>
      <c r="AC931" s="169"/>
      <c r="AD931" s="169" t="str">
        <f t="shared" si="9"/>
        <v/>
      </c>
      <c r="AE931" s="169"/>
      <c r="AF931" s="169" t="str">
        <f t="shared" si="10"/>
        <v/>
      </c>
      <c r="AG931" s="169"/>
      <c r="AH931" s="169" t="str">
        <f t="shared" si="11"/>
        <v/>
      </c>
      <c r="AI931" s="169"/>
      <c r="AJ931" s="169" t="str">
        <f t="shared" si="12"/>
        <v/>
      </c>
    </row>
    <row r="93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 t="str">
        <f t="shared" si="2"/>
        <v/>
      </c>
      <c r="Q932" s="169"/>
      <c r="R932" s="169" t="str">
        <f t="shared" si="3"/>
        <v/>
      </c>
      <c r="S932" s="169"/>
      <c r="T932" s="169" t="str">
        <f t="shared" si="4"/>
        <v/>
      </c>
      <c r="U932" s="169"/>
      <c r="V932" s="169" t="str">
        <f t="shared" si="5"/>
        <v/>
      </c>
      <c r="W932" s="169"/>
      <c r="X932" s="169" t="str">
        <f t="shared" si="6"/>
        <v/>
      </c>
      <c r="Y932" s="169"/>
      <c r="Z932" s="169" t="str">
        <f t="shared" si="7"/>
        <v/>
      </c>
      <c r="AA932" s="169"/>
      <c r="AB932" s="169" t="str">
        <f t="shared" si="8"/>
        <v/>
      </c>
      <c r="AC932" s="169"/>
      <c r="AD932" s="169" t="str">
        <f t="shared" si="9"/>
        <v/>
      </c>
      <c r="AE932" s="169"/>
      <c r="AF932" s="169" t="str">
        <f t="shared" si="10"/>
        <v/>
      </c>
      <c r="AG932" s="169"/>
      <c r="AH932" s="169" t="str">
        <f t="shared" si="11"/>
        <v/>
      </c>
      <c r="AI932" s="169"/>
      <c r="AJ932" s="169" t="str">
        <f t="shared" si="12"/>
        <v/>
      </c>
    </row>
    <row r="933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 t="str">
        <f t="shared" si="2"/>
        <v/>
      </c>
      <c r="Q933" s="169"/>
      <c r="R933" s="169" t="str">
        <f t="shared" si="3"/>
        <v/>
      </c>
      <c r="S933" s="169"/>
      <c r="T933" s="169" t="str">
        <f t="shared" si="4"/>
        <v/>
      </c>
      <c r="U933" s="169"/>
      <c r="V933" s="169" t="str">
        <f t="shared" si="5"/>
        <v/>
      </c>
      <c r="W933" s="169"/>
      <c r="X933" s="169" t="str">
        <f t="shared" si="6"/>
        <v/>
      </c>
      <c r="Y933" s="169"/>
      <c r="Z933" s="169" t="str">
        <f t="shared" si="7"/>
        <v/>
      </c>
      <c r="AA933" s="169"/>
      <c r="AB933" s="169" t="str">
        <f t="shared" si="8"/>
        <v/>
      </c>
      <c r="AC933" s="169"/>
      <c r="AD933" s="169" t="str">
        <f t="shared" si="9"/>
        <v/>
      </c>
      <c r="AE933" s="169"/>
      <c r="AF933" s="169" t="str">
        <f t="shared" si="10"/>
        <v/>
      </c>
      <c r="AG933" s="169"/>
      <c r="AH933" s="169" t="str">
        <f t="shared" si="11"/>
        <v/>
      </c>
      <c r="AI933" s="169"/>
      <c r="AJ933" s="169" t="str">
        <f t="shared" si="12"/>
        <v/>
      </c>
    </row>
    <row r="934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 t="str">
        <f t="shared" si="2"/>
        <v/>
      </c>
      <c r="Q934" s="169"/>
      <c r="R934" s="169" t="str">
        <f t="shared" si="3"/>
        <v/>
      </c>
      <c r="S934" s="169"/>
      <c r="T934" s="169" t="str">
        <f t="shared" si="4"/>
        <v/>
      </c>
      <c r="U934" s="169"/>
      <c r="V934" s="169" t="str">
        <f t="shared" si="5"/>
        <v/>
      </c>
      <c r="W934" s="169"/>
      <c r="X934" s="169" t="str">
        <f t="shared" si="6"/>
        <v/>
      </c>
      <c r="Y934" s="169"/>
      <c r="Z934" s="169" t="str">
        <f t="shared" si="7"/>
        <v/>
      </c>
      <c r="AA934" s="169"/>
      <c r="AB934" s="169" t="str">
        <f t="shared" si="8"/>
        <v/>
      </c>
      <c r="AC934" s="169"/>
      <c r="AD934" s="169" t="str">
        <f t="shared" si="9"/>
        <v/>
      </c>
      <c r="AE934" s="169"/>
      <c r="AF934" s="169" t="str">
        <f t="shared" si="10"/>
        <v/>
      </c>
      <c r="AG934" s="169"/>
      <c r="AH934" s="169" t="str">
        <f t="shared" si="11"/>
        <v/>
      </c>
      <c r="AI934" s="169"/>
      <c r="AJ934" s="169" t="str">
        <f t="shared" si="12"/>
        <v/>
      </c>
    </row>
    <row r="93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 t="str">
        <f t="shared" si="2"/>
        <v/>
      </c>
      <c r="Q935" s="169"/>
      <c r="R935" s="169" t="str">
        <f t="shared" si="3"/>
        <v/>
      </c>
      <c r="S935" s="169"/>
      <c r="T935" s="169" t="str">
        <f t="shared" si="4"/>
        <v/>
      </c>
      <c r="U935" s="169"/>
      <c r="V935" s="169" t="str">
        <f t="shared" si="5"/>
        <v/>
      </c>
      <c r="W935" s="169"/>
      <c r="X935" s="169" t="str">
        <f t="shared" si="6"/>
        <v/>
      </c>
      <c r="Y935" s="169"/>
      <c r="Z935" s="169" t="str">
        <f t="shared" si="7"/>
        <v/>
      </c>
      <c r="AA935" s="169"/>
      <c r="AB935" s="169" t="str">
        <f t="shared" si="8"/>
        <v/>
      </c>
      <c r="AC935" s="169"/>
      <c r="AD935" s="169" t="str">
        <f t="shared" si="9"/>
        <v/>
      </c>
      <c r="AE935" s="169"/>
      <c r="AF935" s="169" t="str">
        <f t="shared" si="10"/>
        <v/>
      </c>
      <c r="AG935" s="169"/>
      <c r="AH935" s="169" t="str">
        <f t="shared" si="11"/>
        <v/>
      </c>
      <c r="AI935" s="169"/>
      <c r="AJ935" s="169" t="str">
        <f t="shared" si="12"/>
        <v/>
      </c>
    </row>
    <row r="936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 t="str">
        <f t="shared" si="2"/>
        <v/>
      </c>
      <c r="Q936" s="169"/>
      <c r="R936" s="169" t="str">
        <f t="shared" si="3"/>
        <v/>
      </c>
      <c r="S936" s="169"/>
      <c r="T936" s="169" t="str">
        <f t="shared" si="4"/>
        <v/>
      </c>
      <c r="U936" s="169"/>
      <c r="V936" s="169" t="str">
        <f t="shared" si="5"/>
        <v/>
      </c>
      <c r="W936" s="169"/>
      <c r="X936" s="169" t="str">
        <f t="shared" si="6"/>
        <v/>
      </c>
      <c r="Y936" s="169"/>
      <c r="Z936" s="169" t="str">
        <f t="shared" si="7"/>
        <v/>
      </c>
      <c r="AA936" s="169"/>
      <c r="AB936" s="169" t="str">
        <f t="shared" si="8"/>
        <v/>
      </c>
      <c r="AC936" s="169"/>
      <c r="AD936" s="169" t="str">
        <f t="shared" si="9"/>
        <v/>
      </c>
      <c r="AE936" s="169"/>
      <c r="AF936" s="169" t="str">
        <f t="shared" si="10"/>
        <v/>
      </c>
      <c r="AG936" s="169"/>
      <c r="AH936" s="169" t="str">
        <f t="shared" si="11"/>
        <v/>
      </c>
      <c r="AI936" s="169"/>
      <c r="AJ936" s="169" t="str">
        <f t="shared" si="12"/>
        <v/>
      </c>
    </row>
    <row r="937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 t="str">
        <f t="shared" si="2"/>
        <v/>
      </c>
      <c r="Q937" s="169"/>
      <c r="R937" s="169" t="str">
        <f t="shared" si="3"/>
        <v/>
      </c>
      <c r="S937" s="169"/>
      <c r="T937" s="169" t="str">
        <f t="shared" si="4"/>
        <v/>
      </c>
      <c r="U937" s="169"/>
      <c r="V937" s="169" t="str">
        <f t="shared" si="5"/>
        <v/>
      </c>
      <c r="W937" s="169"/>
      <c r="X937" s="169" t="str">
        <f t="shared" si="6"/>
        <v/>
      </c>
      <c r="Y937" s="169"/>
      <c r="Z937" s="169" t="str">
        <f t="shared" si="7"/>
        <v/>
      </c>
      <c r="AA937" s="169"/>
      <c r="AB937" s="169" t="str">
        <f t="shared" si="8"/>
        <v/>
      </c>
      <c r="AC937" s="169"/>
      <c r="AD937" s="169" t="str">
        <f t="shared" si="9"/>
        <v/>
      </c>
      <c r="AE937" s="169"/>
      <c r="AF937" s="169" t="str">
        <f t="shared" si="10"/>
        <v/>
      </c>
      <c r="AG937" s="169"/>
      <c r="AH937" s="169" t="str">
        <f t="shared" si="11"/>
        <v/>
      </c>
      <c r="AI937" s="169"/>
      <c r="AJ937" s="169" t="str">
        <f t="shared" si="12"/>
        <v/>
      </c>
    </row>
    <row r="938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 t="str">
        <f t="shared" si="2"/>
        <v/>
      </c>
      <c r="Q938" s="169"/>
      <c r="R938" s="169" t="str">
        <f t="shared" si="3"/>
        <v/>
      </c>
      <c r="S938" s="169"/>
      <c r="T938" s="169" t="str">
        <f t="shared" si="4"/>
        <v/>
      </c>
      <c r="U938" s="169"/>
      <c r="V938" s="169" t="str">
        <f t="shared" si="5"/>
        <v/>
      </c>
      <c r="W938" s="169"/>
      <c r="X938" s="169" t="str">
        <f t="shared" si="6"/>
        <v/>
      </c>
      <c r="Y938" s="169"/>
      <c r="Z938" s="169" t="str">
        <f t="shared" si="7"/>
        <v/>
      </c>
      <c r="AA938" s="169"/>
      <c r="AB938" s="169" t="str">
        <f t="shared" si="8"/>
        <v/>
      </c>
      <c r="AC938" s="169"/>
      <c r="AD938" s="169" t="str">
        <f t="shared" si="9"/>
        <v/>
      </c>
      <c r="AE938" s="169"/>
      <c r="AF938" s="169" t="str">
        <f t="shared" si="10"/>
        <v/>
      </c>
      <c r="AG938" s="169"/>
      <c r="AH938" s="169" t="str">
        <f t="shared" si="11"/>
        <v/>
      </c>
      <c r="AI938" s="169"/>
      <c r="AJ938" s="169" t="str">
        <f t="shared" si="12"/>
        <v/>
      </c>
    </row>
    <row r="939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 t="str">
        <f t="shared" si="2"/>
        <v/>
      </c>
      <c r="Q939" s="169"/>
      <c r="R939" s="169" t="str">
        <f t="shared" si="3"/>
        <v/>
      </c>
      <c r="S939" s="169"/>
      <c r="T939" s="169" t="str">
        <f t="shared" si="4"/>
        <v/>
      </c>
      <c r="U939" s="169"/>
      <c r="V939" s="169" t="str">
        <f t="shared" si="5"/>
        <v/>
      </c>
      <c r="W939" s="169"/>
      <c r="X939" s="169" t="str">
        <f t="shared" si="6"/>
        <v/>
      </c>
      <c r="Y939" s="169"/>
      <c r="Z939" s="169" t="str">
        <f t="shared" si="7"/>
        <v/>
      </c>
      <c r="AA939" s="169"/>
      <c r="AB939" s="169" t="str">
        <f t="shared" si="8"/>
        <v/>
      </c>
      <c r="AC939" s="169"/>
      <c r="AD939" s="169" t="str">
        <f t="shared" si="9"/>
        <v/>
      </c>
      <c r="AE939" s="169"/>
      <c r="AF939" s="169" t="str">
        <f t="shared" si="10"/>
        <v/>
      </c>
      <c r="AG939" s="169"/>
      <c r="AH939" s="169" t="str">
        <f t="shared" si="11"/>
        <v/>
      </c>
      <c r="AI939" s="169"/>
      <c r="AJ939" s="169" t="str">
        <f t="shared" si="12"/>
        <v/>
      </c>
    </row>
    <row r="940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 t="str">
        <f t="shared" si="2"/>
        <v/>
      </c>
      <c r="Q940" s="169"/>
      <c r="R940" s="169" t="str">
        <f t="shared" si="3"/>
        <v/>
      </c>
      <c r="S940" s="169"/>
      <c r="T940" s="169" t="str">
        <f t="shared" si="4"/>
        <v/>
      </c>
      <c r="U940" s="169"/>
      <c r="V940" s="169" t="str">
        <f t="shared" si="5"/>
        <v/>
      </c>
      <c r="W940" s="169"/>
      <c r="X940" s="169" t="str">
        <f t="shared" si="6"/>
        <v/>
      </c>
      <c r="Y940" s="169"/>
      <c r="Z940" s="169" t="str">
        <f t="shared" si="7"/>
        <v/>
      </c>
      <c r="AA940" s="169"/>
      <c r="AB940" s="169" t="str">
        <f t="shared" si="8"/>
        <v/>
      </c>
      <c r="AC940" s="169"/>
      <c r="AD940" s="169" t="str">
        <f t="shared" si="9"/>
        <v/>
      </c>
      <c r="AE940" s="169"/>
      <c r="AF940" s="169" t="str">
        <f t="shared" si="10"/>
        <v/>
      </c>
      <c r="AG940" s="169"/>
      <c r="AH940" s="169" t="str">
        <f t="shared" si="11"/>
        <v/>
      </c>
      <c r="AI940" s="169"/>
      <c r="AJ940" s="169" t="str">
        <f t="shared" si="12"/>
        <v/>
      </c>
    </row>
    <row r="94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 t="str">
        <f t="shared" si="2"/>
        <v/>
      </c>
      <c r="Q941" s="169"/>
      <c r="R941" s="169" t="str">
        <f t="shared" si="3"/>
        <v/>
      </c>
      <c r="S941" s="169"/>
      <c r="T941" s="169" t="str">
        <f t="shared" si="4"/>
        <v/>
      </c>
      <c r="U941" s="169"/>
      <c r="V941" s="169" t="str">
        <f t="shared" si="5"/>
        <v/>
      </c>
      <c r="W941" s="169"/>
      <c r="X941" s="169" t="str">
        <f t="shared" si="6"/>
        <v/>
      </c>
      <c r="Y941" s="169"/>
      <c r="Z941" s="169" t="str">
        <f t="shared" si="7"/>
        <v/>
      </c>
      <c r="AA941" s="169"/>
      <c r="AB941" s="169" t="str">
        <f t="shared" si="8"/>
        <v/>
      </c>
      <c r="AC941" s="169"/>
      <c r="AD941" s="169" t="str">
        <f t="shared" si="9"/>
        <v/>
      </c>
      <c r="AE941" s="169"/>
      <c r="AF941" s="169" t="str">
        <f t="shared" si="10"/>
        <v/>
      </c>
      <c r="AG941" s="169"/>
      <c r="AH941" s="169" t="str">
        <f t="shared" si="11"/>
        <v/>
      </c>
      <c r="AI941" s="169"/>
      <c r="AJ941" s="169" t="str">
        <f t="shared" si="12"/>
        <v/>
      </c>
    </row>
    <row r="94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 t="str">
        <f t="shared" si="2"/>
        <v/>
      </c>
      <c r="Q942" s="169"/>
      <c r="R942" s="169" t="str">
        <f t="shared" si="3"/>
        <v/>
      </c>
      <c r="S942" s="169"/>
      <c r="T942" s="169" t="str">
        <f t="shared" si="4"/>
        <v/>
      </c>
      <c r="U942" s="169"/>
      <c r="V942" s="169" t="str">
        <f t="shared" si="5"/>
        <v/>
      </c>
      <c r="W942" s="169"/>
      <c r="X942" s="169" t="str">
        <f t="shared" si="6"/>
        <v/>
      </c>
      <c r="Y942" s="169"/>
      <c r="Z942" s="169" t="str">
        <f t="shared" si="7"/>
        <v/>
      </c>
      <c r="AA942" s="169"/>
      <c r="AB942" s="169" t="str">
        <f t="shared" si="8"/>
        <v/>
      </c>
      <c r="AC942" s="169"/>
      <c r="AD942" s="169" t="str">
        <f t="shared" si="9"/>
        <v/>
      </c>
      <c r="AE942" s="169"/>
      <c r="AF942" s="169" t="str">
        <f t="shared" si="10"/>
        <v/>
      </c>
      <c r="AG942" s="169"/>
      <c r="AH942" s="169" t="str">
        <f t="shared" si="11"/>
        <v/>
      </c>
      <c r="AI942" s="169"/>
      <c r="AJ942" s="169" t="str">
        <f t="shared" si="12"/>
        <v/>
      </c>
    </row>
    <row r="943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 t="str">
        <f t="shared" si="2"/>
        <v/>
      </c>
      <c r="Q943" s="169"/>
      <c r="R943" s="169" t="str">
        <f t="shared" si="3"/>
        <v/>
      </c>
      <c r="S943" s="169"/>
      <c r="T943" s="169" t="str">
        <f t="shared" si="4"/>
        <v/>
      </c>
      <c r="U943" s="169"/>
      <c r="V943" s="169" t="str">
        <f t="shared" si="5"/>
        <v/>
      </c>
      <c r="W943" s="169"/>
      <c r="X943" s="169" t="str">
        <f t="shared" si="6"/>
        <v/>
      </c>
      <c r="Y943" s="169"/>
      <c r="Z943" s="169" t="str">
        <f t="shared" si="7"/>
        <v/>
      </c>
      <c r="AA943" s="169"/>
      <c r="AB943" s="169" t="str">
        <f t="shared" si="8"/>
        <v/>
      </c>
      <c r="AC943" s="169"/>
      <c r="AD943" s="169" t="str">
        <f t="shared" si="9"/>
        <v/>
      </c>
      <c r="AE943" s="169"/>
      <c r="AF943" s="169" t="str">
        <f t="shared" si="10"/>
        <v/>
      </c>
      <c r="AG943" s="169"/>
      <c r="AH943" s="169" t="str">
        <f t="shared" si="11"/>
        <v/>
      </c>
      <c r="AI943" s="169"/>
      <c r="AJ943" s="169" t="str">
        <f t="shared" si="12"/>
        <v/>
      </c>
    </row>
    <row r="944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 t="str">
        <f t="shared" si="2"/>
        <v/>
      </c>
      <c r="Q944" s="169"/>
      <c r="R944" s="169" t="str">
        <f t="shared" si="3"/>
        <v/>
      </c>
      <c r="S944" s="169"/>
      <c r="T944" s="169" t="str">
        <f t="shared" si="4"/>
        <v/>
      </c>
      <c r="U944" s="169"/>
      <c r="V944" s="169" t="str">
        <f t="shared" si="5"/>
        <v/>
      </c>
      <c r="W944" s="169"/>
      <c r="X944" s="169" t="str">
        <f t="shared" si="6"/>
        <v/>
      </c>
      <c r="Y944" s="169"/>
      <c r="Z944" s="169" t="str">
        <f t="shared" si="7"/>
        <v/>
      </c>
      <c r="AA944" s="169"/>
      <c r="AB944" s="169" t="str">
        <f t="shared" si="8"/>
        <v/>
      </c>
      <c r="AC944" s="169"/>
      <c r="AD944" s="169" t="str">
        <f t="shared" si="9"/>
        <v/>
      </c>
      <c r="AE944" s="169"/>
      <c r="AF944" s="169" t="str">
        <f t="shared" si="10"/>
        <v/>
      </c>
      <c r="AG944" s="169"/>
      <c r="AH944" s="169" t="str">
        <f t="shared" si="11"/>
        <v/>
      </c>
      <c r="AI944" s="169"/>
      <c r="AJ944" s="169" t="str">
        <f t="shared" si="12"/>
        <v/>
      </c>
    </row>
    <row r="94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 t="str">
        <f t="shared" si="2"/>
        <v/>
      </c>
      <c r="Q945" s="169"/>
      <c r="R945" s="169" t="str">
        <f t="shared" si="3"/>
        <v/>
      </c>
      <c r="S945" s="169"/>
      <c r="T945" s="169" t="str">
        <f t="shared" si="4"/>
        <v/>
      </c>
      <c r="U945" s="169"/>
      <c r="V945" s="169" t="str">
        <f t="shared" si="5"/>
        <v/>
      </c>
      <c r="W945" s="169"/>
      <c r="X945" s="169" t="str">
        <f t="shared" si="6"/>
        <v/>
      </c>
      <c r="Y945" s="169"/>
      <c r="Z945" s="169" t="str">
        <f t="shared" si="7"/>
        <v/>
      </c>
      <c r="AA945" s="169"/>
      <c r="AB945" s="169" t="str">
        <f t="shared" si="8"/>
        <v/>
      </c>
      <c r="AC945" s="169"/>
      <c r="AD945" s="169" t="str">
        <f t="shared" si="9"/>
        <v/>
      </c>
      <c r="AE945" s="169"/>
      <c r="AF945" s="169" t="str">
        <f t="shared" si="10"/>
        <v/>
      </c>
      <c r="AG945" s="169"/>
      <c r="AH945" s="169" t="str">
        <f t="shared" si="11"/>
        <v/>
      </c>
      <c r="AI945" s="169"/>
      <c r="AJ945" s="169" t="str">
        <f t="shared" si="12"/>
        <v/>
      </c>
    </row>
    <row r="946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 t="str">
        <f t="shared" si="2"/>
        <v/>
      </c>
      <c r="Q946" s="169"/>
      <c r="R946" s="169" t="str">
        <f t="shared" si="3"/>
        <v/>
      </c>
      <c r="S946" s="169"/>
      <c r="T946" s="169" t="str">
        <f t="shared" si="4"/>
        <v/>
      </c>
      <c r="U946" s="169"/>
      <c r="V946" s="169" t="str">
        <f t="shared" si="5"/>
        <v/>
      </c>
      <c r="W946" s="169"/>
      <c r="X946" s="169" t="str">
        <f t="shared" si="6"/>
        <v/>
      </c>
      <c r="Y946" s="169"/>
      <c r="Z946" s="169" t="str">
        <f t="shared" si="7"/>
        <v/>
      </c>
      <c r="AA946" s="169"/>
      <c r="AB946" s="169" t="str">
        <f t="shared" si="8"/>
        <v/>
      </c>
      <c r="AC946" s="169"/>
      <c r="AD946" s="169" t="str">
        <f t="shared" si="9"/>
        <v/>
      </c>
      <c r="AE946" s="169"/>
      <c r="AF946" s="169" t="str">
        <f t="shared" si="10"/>
        <v/>
      </c>
      <c r="AG946" s="169"/>
      <c r="AH946" s="169" t="str">
        <f t="shared" si="11"/>
        <v/>
      </c>
      <c r="AI946" s="169"/>
      <c r="AJ946" s="169" t="str">
        <f t="shared" si="12"/>
        <v/>
      </c>
    </row>
    <row r="947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 t="str">
        <f t="shared" si="2"/>
        <v/>
      </c>
      <c r="Q947" s="169"/>
      <c r="R947" s="169" t="str">
        <f t="shared" si="3"/>
        <v/>
      </c>
      <c r="S947" s="169"/>
      <c r="T947" s="169" t="str">
        <f t="shared" si="4"/>
        <v/>
      </c>
      <c r="U947" s="169"/>
      <c r="V947" s="169" t="str">
        <f t="shared" si="5"/>
        <v/>
      </c>
      <c r="W947" s="169"/>
      <c r="X947" s="169" t="str">
        <f t="shared" si="6"/>
        <v/>
      </c>
      <c r="Y947" s="169"/>
      <c r="Z947" s="169" t="str">
        <f t="shared" si="7"/>
        <v/>
      </c>
      <c r="AA947" s="169"/>
      <c r="AB947" s="169" t="str">
        <f t="shared" si="8"/>
        <v/>
      </c>
      <c r="AC947" s="169"/>
      <c r="AD947" s="169" t="str">
        <f t="shared" si="9"/>
        <v/>
      </c>
      <c r="AE947" s="169"/>
      <c r="AF947" s="169" t="str">
        <f t="shared" si="10"/>
        <v/>
      </c>
      <c r="AG947" s="169"/>
      <c r="AH947" s="169" t="str">
        <f t="shared" si="11"/>
        <v/>
      </c>
      <c r="AI947" s="169"/>
      <c r="AJ947" s="169" t="str">
        <f t="shared" si="12"/>
        <v/>
      </c>
    </row>
    <row r="948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 t="str">
        <f t="shared" si="2"/>
        <v/>
      </c>
      <c r="Q948" s="169"/>
      <c r="R948" s="169" t="str">
        <f t="shared" si="3"/>
        <v/>
      </c>
      <c r="S948" s="169"/>
      <c r="T948" s="169" t="str">
        <f t="shared" si="4"/>
        <v/>
      </c>
      <c r="U948" s="169"/>
      <c r="V948" s="169" t="str">
        <f t="shared" si="5"/>
        <v/>
      </c>
      <c r="W948" s="169"/>
      <c r="X948" s="169" t="str">
        <f t="shared" si="6"/>
        <v/>
      </c>
      <c r="Y948" s="169"/>
      <c r="Z948" s="169" t="str">
        <f t="shared" si="7"/>
        <v/>
      </c>
      <c r="AA948" s="169"/>
      <c r="AB948" s="169" t="str">
        <f t="shared" si="8"/>
        <v/>
      </c>
      <c r="AC948" s="169"/>
      <c r="AD948" s="169" t="str">
        <f t="shared" si="9"/>
        <v/>
      </c>
      <c r="AE948" s="169"/>
      <c r="AF948" s="169" t="str">
        <f t="shared" si="10"/>
        <v/>
      </c>
      <c r="AG948" s="169"/>
      <c r="AH948" s="169" t="str">
        <f t="shared" si="11"/>
        <v/>
      </c>
      <c r="AI948" s="169"/>
      <c r="AJ948" s="169" t="str">
        <f t="shared" si="12"/>
        <v/>
      </c>
    </row>
    <row r="949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 t="str">
        <f t="shared" si="2"/>
        <v/>
      </c>
      <c r="Q949" s="169"/>
      <c r="R949" s="169" t="str">
        <f t="shared" si="3"/>
        <v/>
      </c>
      <c r="S949" s="169"/>
      <c r="T949" s="169" t="str">
        <f t="shared" si="4"/>
        <v/>
      </c>
      <c r="U949" s="169"/>
      <c r="V949" s="169" t="str">
        <f t="shared" si="5"/>
        <v/>
      </c>
      <c r="W949" s="169"/>
      <c r="X949" s="169" t="str">
        <f t="shared" si="6"/>
        <v/>
      </c>
      <c r="Y949" s="169"/>
      <c r="Z949" s="169" t="str">
        <f t="shared" si="7"/>
        <v/>
      </c>
      <c r="AA949" s="169"/>
      <c r="AB949" s="169" t="str">
        <f t="shared" si="8"/>
        <v/>
      </c>
      <c r="AC949" s="169"/>
      <c r="AD949" s="169" t="str">
        <f t="shared" si="9"/>
        <v/>
      </c>
      <c r="AE949" s="169"/>
      <c r="AF949" s="169" t="str">
        <f t="shared" si="10"/>
        <v/>
      </c>
      <c r="AG949" s="169"/>
      <c r="AH949" s="169" t="str">
        <f t="shared" si="11"/>
        <v/>
      </c>
      <c r="AI949" s="169"/>
      <c r="AJ949" s="169" t="str">
        <f t="shared" si="12"/>
        <v/>
      </c>
    </row>
    <row r="950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 t="str">
        <f t="shared" si="2"/>
        <v/>
      </c>
      <c r="Q950" s="169"/>
      <c r="R950" s="169" t="str">
        <f t="shared" si="3"/>
        <v/>
      </c>
      <c r="S950" s="169"/>
      <c r="T950" s="169" t="str">
        <f t="shared" si="4"/>
        <v/>
      </c>
      <c r="U950" s="169"/>
      <c r="V950" s="169" t="str">
        <f t="shared" si="5"/>
        <v/>
      </c>
      <c r="W950" s="169"/>
      <c r="X950" s="169" t="str">
        <f t="shared" si="6"/>
        <v/>
      </c>
      <c r="Y950" s="169"/>
      <c r="Z950" s="169" t="str">
        <f t="shared" si="7"/>
        <v/>
      </c>
      <c r="AA950" s="169"/>
      <c r="AB950" s="169" t="str">
        <f t="shared" si="8"/>
        <v/>
      </c>
      <c r="AC950" s="169"/>
      <c r="AD950" s="169" t="str">
        <f t="shared" si="9"/>
        <v/>
      </c>
      <c r="AE950" s="169"/>
      <c r="AF950" s="169" t="str">
        <f t="shared" si="10"/>
        <v/>
      </c>
      <c r="AG950" s="169"/>
      <c r="AH950" s="169" t="str">
        <f t="shared" si="11"/>
        <v/>
      </c>
      <c r="AI950" s="169"/>
      <c r="AJ950" s="169" t="str">
        <f t="shared" si="12"/>
        <v/>
      </c>
    </row>
    <row r="95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 t="str">
        <f t="shared" si="2"/>
        <v/>
      </c>
      <c r="Q951" s="169"/>
      <c r="R951" s="169" t="str">
        <f t="shared" si="3"/>
        <v/>
      </c>
      <c r="S951" s="169"/>
      <c r="T951" s="169" t="str">
        <f t="shared" si="4"/>
        <v/>
      </c>
      <c r="U951" s="169"/>
      <c r="V951" s="169" t="str">
        <f t="shared" si="5"/>
        <v/>
      </c>
      <c r="W951" s="169"/>
      <c r="X951" s="169" t="str">
        <f t="shared" si="6"/>
        <v/>
      </c>
      <c r="Y951" s="169"/>
      <c r="Z951" s="169" t="str">
        <f t="shared" si="7"/>
        <v/>
      </c>
      <c r="AA951" s="169"/>
      <c r="AB951" s="169" t="str">
        <f t="shared" si="8"/>
        <v/>
      </c>
      <c r="AC951" s="169"/>
      <c r="AD951" s="169" t="str">
        <f t="shared" si="9"/>
        <v/>
      </c>
      <c r="AE951" s="169"/>
      <c r="AF951" s="169" t="str">
        <f t="shared" si="10"/>
        <v/>
      </c>
      <c r="AG951" s="169"/>
      <c r="AH951" s="169" t="str">
        <f t="shared" si="11"/>
        <v/>
      </c>
      <c r="AI951" s="169"/>
      <c r="AJ951" s="169" t="str">
        <f t="shared" si="12"/>
        <v/>
      </c>
    </row>
    <row r="95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 t="str">
        <f t="shared" si="2"/>
        <v/>
      </c>
      <c r="Q952" s="169"/>
      <c r="R952" s="169" t="str">
        <f t="shared" si="3"/>
        <v/>
      </c>
      <c r="S952" s="169"/>
      <c r="T952" s="169" t="str">
        <f t="shared" si="4"/>
        <v/>
      </c>
      <c r="U952" s="169"/>
      <c r="V952" s="169" t="str">
        <f t="shared" si="5"/>
        <v/>
      </c>
      <c r="W952" s="169"/>
      <c r="X952" s="169" t="str">
        <f t="shared" si="6"/>
        <v/>
      </c>
      <c r="Y952" s="169"/>
      <c r="Z952" s="169" t="str">
        <f t="shared" si="7"/>
        <v/>
      </c>
      <c r="AA952" s="169"/>
      <c r="AB952" s="169" t="str">
        <f t="shared" si="8"/>
        <v/>
      </c>
      <c r="AC952" s="169"/>
      <c r="AD952" s="169" t="str">
        <f t="shared" si="9"/>
        <v/>
      </c>
      <c r="AE952" s="169"/>
      <c r="AF952" s="169" t="str">
        <f t="shared" si="10"/>
        <v/>
      </c>
      <c r="AG952" s="169"/>
      <c r="AH952" s="169" t="str">
        <f t="shared" si="11"/>
        <v/>
      </c>
      <c r="AI952" s="169"/>
      <c r="AJ952" s="169" t="str">
        <f t="shared" si="12"/>
        <v/>
      </c>
    </row>
    <row r="953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 t="str">
        <f t="shared" si="2"/>
        <v/>
      </c>
      <c r="Q953" s="169"/>
      <c r="R953" s="169" t="str">
        <f t="shared" si="3"/>
        <v/>
      </c>
      <c r="S953" s="169"/>
      <c r="T953" s="169" t="str">
        <f t="shared" si="4"/>
        <v/>
      </c>
      <c r="U953" s="169"/>
      <c r="V953" s="169" t="str">
        <f t="shared" si="5"/>
        <v/>
      </c>
      <c r="W953" s="169"/>
      <c r="X953" s="169" t="str">
        <f t="shared" si="6"/>
        <v/>
      </c>
      <c r="Y953" s="169"/>
      <c r="Z953" s="169" t="str">
        <f t="shared" si="7"/>
        <v/>
      </c>
      <c r="AA953" s="169"/>
      <c r="AB953" s="169" t="str">
        <f t="shared" si="8"/>
        <v/>
      </c>
      <c r="AC953" s="169"/>
      <c r="AD953" s="169" t="str">
        <f t="shared" si="9"/>
        <v/>
      </c>
      <c r="AE953" s="169"/>
      <c r="AF953" s="169" t="str">
        <f t="shared" si="10"/>
        <v/>
      </c>
      <c r="AG953" s="169"/>
      <c r="AH953" s="169" t="str">
        <f t="shared" si="11"/>
        <v/>
      </c>
      <c r="AI953" s="169"/>
      <c r="AJ953" s="169" t="str">
        <f t="shared" si="12"/>
        <v/>
      </c>
    </row>
    <row r="954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 t="str">
        <f t="shared" si="2"/>
        <v/>
      </c>
      <c r="Q954" s="169"/>
      <c r="R954" s="169" t="str">
        <f t="shared" si="3"/>
        <v/>
      </c>
      <c r="S954" s="169"/>
      <c r="T954" s="169" t="str">
        <f t="shared" si="4"/>
        <v/>
      </c>
      <c r="U954" s="169"/>
      <c r="V954" s="169" t="str">
        <f t="shared" si="5"/>
        <v/>
      </c>
      <c r="W954" s="169"/>
      <c r="X954" s="169" t="str">
        <f t="shared" si="6"/>
        <v/>
      </c>
      <c r="Y954" s="169"/>
      <c r="Z954" s="169" t="str">
        <f t="shared" si="7"/>
        <v/>
      </c>
      <c r="AA954" s="169"/>
      <c r="AB954" s="169" t="str">
        <f t="shared" si="8"/>
        <v/>
      </c>
      <c r="AC954" s="169"/>
      <c r="AD954" s="169" t="str">
        <f t="shared" si="9"/>
        <v/>
      </c>
      <c r="AE954" s="169"/>
      <c r="AF954" s="169" t="str">
        <f t="shared" si="10"/>
        <v/>
      </c>
      <c r="AG954" s="169"/>
      <c r="AH954" s="169" t="str">
        <f t="shared" si="11"/>
        <v/>
      </c>
      <c r="AI954" s="169"/>
      <c r="AJ954" s="169" t="str">
        <f t="shared" si="12"/>
        <v/>
      </c>
    </row>
    <row r="95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 t="str">
        <f t="shared" si="2"/>
        <v/>
      </c>
      <c r="Q955" s="169"/>
      <c r="R955" s="169" t="str">
        <f t="shared" si="3"/>
        <v/>
      </c>
      <c r="S955" s="169"/>
      <c r="T955" s="169" t="str">
        <f t="shared" si="4"/>
        <v/>
      </c>
      <c r="U955" s="169"/>
      <c r="V955" s="169" t="str">
        <f t="shared" si="5"/>
        <v/>
      </c>
      <c r="W955" s="169"/>
      <c r="X955" s="169" t="str">
        <f t="shared" si="6"/>
        <v/>
      </c>
      <c r="Y955" s="169"/>
      <c r="Z955" s="169" t="str">
        <f t="shared" si="7"/>
        <v/>
      </c>
      <c r="AA955" s="169"/>
      <c r="AB955" s="169" t="str">
        <f t="shared" si="8"/>
        <v/>
      </c>
      <c r="AC955" s="169"/>
      <c r="AD955" s="169" t="str">
        <f t="shared" si="9"/>
        <v/>
      </c>
      <c r="AE955" s="169"/>
      <c r="AF955" s="169" t="str">
        <f t="shared" si="10"/>
        <v/>
      </c>
      <c r="AG955" s="169"/>
      <c r="AH955" s="169" t="str">
        <f t="shared" si="11"/>
        <v/>
      </c>
      <c r="AI955" s="169"/>
      <c r="AJ955" s="169" t="str">
        <f t="shared" si="12"/>
        <v/>
      </c>
    </row>
    <row r="956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 t="str">
        <f t="shared" si="2"/>
        <v/>
      </c>
      <c r="Q956" s="169"/>
      <c r="R956" s="169" t="str">
        <f t="shared" si="3"/>
        <v/>
      </c>
      <c r="S956" s="169"/>
      <c r="T956" s="169" t="str">
        <f t="shared" si="4"/>
        <v/>
      </c>
      <c r="U956" s="169"/>
      <c r="V956" s="169" t="str">
        <f t="shared" si="5"/>
        <v/>
      </c>
      <c r="W956" s="169"/>
      <c r="X956" s="169" t="str">
        <f t="shared" si="6"/>
        <v/>
      </c>
      <c r="Y956" s="169"/>
      <c r="Z956" s="169" t="str">
        <f t="shared" si="7"/>
        <v/>
      </c>
      <c r="AA956" s="169"/>
      <c r="AB956" s="169" t="str">
        <f t="shared" si="8"/>
        <v/>
      </c>
      <c r="AC956" s="169"/>
      <c r="AD956" s="169" t="str">
        <f t="shared" si="9"/>
        <v/>
      </c>
      <c r="AE956" s="169"/>
      <c r="AF956" s="169" t="str">
        <f t="shared" si="10"/>
        <v/>
      </c>
      <c r="AG956" s="169"/>
      <c r="AH956" s="169" t="str">
        <f t="shared" si="11"/>
        <v/>
      </c>
      <c r="AI956" s="169"/>
      <c r="AJ956" s="169" t="str">
        <f t="shared" si="12"/>
        <v/>
      </c>
    </row>
    <row r="957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 t="str">
        <f t="shared" si="2"/>
        <v/>
      </c>
      <c r="Q957" s="169"/>
      <c r="R957" s="169" t="str">
        <f t="shared" si="3"/>
        <v/>
      </c>
      <c r="S957" s="169"/>
      <c r="T957" s="169" t="str">
        <f t="shared" si="4"/>
        <v/>
      </c>
      <c r="U957" s="169"/>
      <c r="V957" s="169" t="str">
        <f t="shared" si="5"/>
        <v/>
      </c>
      <c r="W957" s="169"/>
      <c r="X957" s="169" t="str">
        <f t="shared" si="6"/>
        <v/>
      </c>
      <c r="Y957" s="169"/>
      <c r="Z957" s="169" t="str">
        <f t="shared" si="7"/>
        <v/>
      </c>
      <c r="AA957" s="169"/>
      <c r="AB957" s="169" t="str">
        <f t="shared" si="8"/>
        <v/>
      </c>
      <c r="AC957" s="169"/>
      <c r="AD957" s="169" t="str">
        <f t="shared" si="9"/>
        <v/>
      </c>
      <c r="AE957" s="169"/>
      <c r="AF957" s="169" t="str">
        <f t="shared" si="10"/>
        <v/>
      </c>
      <c r="AG957" s="169"/>
      <c r="AH957" s="169" t="str">
        <f t="shared" si="11"/>
        <v/>
      </c>
      <c r="AI957" s="169"/>
      <c r="AJ957" s="169" t="str">
        <f t="shared" si="12"/>
        <v/>
      </c>
    </row>
    <row r="958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 t="str">
        <f t="shared" si="2"/>
        <v/>
      </c>
      <c r="Q958" s="169"/>
      <c r="R958" s="169" t="str">
        <f t="shared" si="3"/>
        <v/>
      </c>
      <c r="S958" s="169"/>
      <c r="T958" s="169" t="str">
        <f t="shared" si="4"/>
        <v/>
      </c>
      <c r="U958" s="169"/>
      <c r="V958" s="169" t="str">
        <f t="shared" si="5"/>
        <v/>
      </c>
      <c r="W958" s="169"/>
      <c r="X958" s="169" t="str">
        <f t="shared" si="6"/>
        <v/>
      </c>
      <c r="Y958" s="169"/>
      <c r="Z958" s="169" t="str">
        <f t="shared" si="7"/>
        <v/>
      </c>
      <c r="AA958" s="169"/>
      <c r="AB958" s="169" t="str">
        <f t="shared" si="8"/>
        <v/>
      </c>
      <c r="AC958" s="169"/>
      <c r="AD958" s="169" t="str">
        <f t="shared" si="9"/>
        <v/>
      </c>
      <c r="AE958" s="169"/>
      <c r="AF958" s="169" t="str">
        <f t="shared" si="10"/>
        <v/>
      </c>
      <c r="AG958" s="169"/>
      <c r="AH958" s="169" t="str">
        <f t="shared" si="11"/>
        <v/>
      </c>
      <c r="AI958" s="169"/>
      <c r="AJ958" s="169" t="str">
        <f t="shared" si="12"/>
        <v/>
      </c>
    </row>
    <row r="959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 t="str">
        <f t="shared" si="2"/>
        <v/>
      </c>
      <c r="Q959" s="169"/>
      <c r="R959" s="169" t="str">
        <f t="shared" si="3"/>
        <v/>
      </c>
      <c r="S959" s="169"/>
      <c r="T959" s="169" t="str">
        <f t="shared" si="4"/>
        <v/>
      </c>
      <c r="U959" s="169"/>
      <c r="V959" s="169" t="str">
        <f t="shared" si="5"/>
        <v/>
      </c>
      <c r="W959" s="169"/>
      <c r="X959" s="169" t="str">
        <f t="shared" si="6"/>
        <v/>
      </c>
      <c r="Y959" s="169"/>
      <c r="Z959" s="169" t="str">
        <f t="shared" si="7"/>
        <v/>
      </c>
      <c r="AA959" s="169"/>
      <c r="AB959" s="169" t="str">
        <f t="shared" si="8"/>
        <v/>
      </c>
      <c r="AC959" s="169"/>
      <c r="AD959" s="169" t="str">
        <f t="shared" si="9"/>
        <v/>
      </c>
      <c r="AE959" s="169"/>
      <c r="AF959" s="169" t="str">
        <f t="shared" si="10"/>
        <v/>
      </c>
      <c r="AG959" s="169"/>
      <c r="AH959" s="169" t="str">
        <f t="shared" si="11"/>
        <v/>
      </c>
      <c r="AI959" s="169"/>
      <c r="AJ959" s="169" t="str">
        <f t="shared" si="12"/>
        <v/>
      </c>
    </row>
    <row r="960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 t="str">
        <f t="shared" si="2"/>
        <v/>
      </c>
      <c r="Q960" s="169"/>
      <c r="R960" s="169" t="str">
        <f t="shared" si="3"/>
        <v/>
      </c>
      <c r="S960" s="169"/>
      <c r="T960" s="169" t="str">
        <f t="shared" si="4"/>
        <v/>
      </c>
      <c r="U960" s="169"/>
      <c r="V960" s="169" t="str">
        <f t="shared" si="5"/>
        <v/>
      </c>
      <c r="W960" s="169"/>
      <c r="X960" s="169" t="str">
        <f t="shared" si="6"/>
        <v/>
      </c>
      <c r="Y960" s="169"/>
      <c r="Z960" s="169" t="str">
        <f t="shared" si="7"/>
        <v/>
      </c>
      <c r="AA960" s="169"/>
      <c r="AB960" s="169" t="str">
        <f t="shared" si="8"/>
        <v/>
      </c>
      <c r="AC960" s="169"/>
      <c r="AD960" s="169" t="str">
        <f t="shared" si="9"/>
        <v/>
      </c>
      <c r="AE960" s="169"/>
      <c r="AF960" s="169" t="str">
        <f t="shared" si="10"/>
        <v/>
      </c>
      <c r="AG960" s="169"/>
      <c r="AH960" s="169" t="str">
        <f t="shared" si="11"/>
        <v/>
      </c>
      <c r="AI960" s="169"/>
      <c r="AJ960" s="169" t="str">
        <f t="shared" si="12"/>
        <v/>
      </c>
    </row>
    <row r="96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 t="str">
        <f t="shared" si="2"/>
        <v/>
      </c>
      <c r="Q961" s="169"/>
      <c r="R961" s="169" t="str">
        <f t="shared" si="3"/>
        <v/>
      </c>
      <c r="S961" s="169"/>
      <c r="T961" s="169" t="str">
        <f t="shared" si="4"/>
        <v/>
      </c>
      <c r="U961" s="169"/>
      <c r="V961" s="169" t="str">
        <f t="shared" si="5"/>
        <v/>
      </c>
      <c r="W961" s="169"/>
      <c r="X961" s="169" t="str">
        <f t="shared" si="6"/>
        <v/>
      </c>
      <c r="Y961" s="169"/>
      <c r="Z961" s="169" t="str">
        <f t="shared" si="7"/>
        <v/>
      </c>
      <c r="AA961" s="169"/>
      <c r="AB961" s="169" t="str">
        <f t="shared" si="8"/>
        <v/>
      </c>
      <c r="AC961" s="169"/>
      <c r="AD961" s="169" t="str">
        <f t="shared" si="9"/>
        <v/>
      </c>
      <c r="AE961" s="169"/>
      <c r="AF961" s="169" t="str">
        <f t="shared" si="10"/>
        <v/>
      </c>
      <c r="AG961" s="169"/>
      <c r="AH961" s="169" t="str">
        <f t="shared" si="11"/>
        <v/>
      </c>
      <c r="AI961" s="169"/>
      <c r="AJ961" s="169" t="str">
        <f t="shared" si="12"/>
        <v/>
      </c>
    </row>
    <row r="96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 t="str">
        <f t="shared" si="2"/>
        <v/>
      </c>
      <c r="Q962" s="169"/>
      <c r="R962" s="169" t="str">
        <f t="shared" si="3"/>
        <v/>
      </c>
      <c r="S962" s="169"/>
      <c r="T962" s="169" t="str">
        <f t="shared" si="4"/>
        <v/>
      </c>
      <c r="U962" s="169"/>
      <c r="V962" s="169" t="str">
        <f t="shared" si="5"/>
        <v/>
      </c>
      <c r="W962" s="169"/>
      <c r="X962" s="169" t="str">
        <f t="shared" si="6"/>
        <v/>
      </c>
      <c r="Y962" s="169"/>
      <c r="Z962" s="169" t="str">
        <f t="shared" si="7"/>
        <v/>
      </c>
      <c r="AA962" s="169"/>
      <c r="AB962" s="169" t="str">
        <f t="shared" si="8"/>
        <v/>
      </c>
      <c r="AC962" s="169"/>
      <c r="AD962" s="169" t="str">
        <f t="shared" si="9"/>
        <v/>
      </c>
      <c r="AE962" s="169"/>
      <c r="AF962" s="169" t="str">
        <f t="shared" si="10"/>
        <v/>
      </c>
      <c r="AG962" s="169"/>
      <c r="AH962" s="169" t="str">
        <f t="shared" si="11"/>
        <v/>
      </c>
      <c r="AI962" s="169"/>
      <c r="AJ962" s="169" t="str">
        <f t="shared" si="12"/>
        <v/>
      </c>
    </row>
    <row r="963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 t="str">
        <f t="shared" si="2"/>
        <v/>
      </c>
      <c r="Q963" s="169"/>
      <c r="R963" s="169" t="str">
        <f t="shared" si="3"/>
        <v/>
      </c>
      <c r="S963" s="169"/>
      <c r="T963" s="169" t="str">
        <f t="shared" si="4"/>
        <v/>
      </c>
      <c r="U963" s="169"/>
      <c r="V963" s="169" t="str">
        <f t="shared" si="5"/>
        <v/>
      </c>
      <c r="W963" s="169"/>
      <c r="X963" s="169" t="str">
        <f t="shared" si="6"/>
        <v/>
      </c>
      <c r="Y963" s="169"/>
      <c r="Z963" s="169" t="str">
        <f t="shared" si="7"/>
        <v/>
      </c>
      <c r="AA963" s="169"/>
      <c r="AB963" s="169" t="str">
        <f t="shared" si="8"/>
        <v/>
      </c>
      <c r="AC963" s="169"/>
      <c r="AD963" s="169" t="str">
        <f t="shared" si="9"/>
        <v/>
      </c>
      <c r="AE963" s="169"/>
      <c r="AF963" s="169" t="str">
        <f t="shared" si="10"/>
        <v/>
      </c>
      <c r="AG963" s="169"/>
      <c r="AH963" s="169" t="str">
        <f t="shared" si="11"/>
        <v/>
      </c>
      <c r="AI963" s="169"/>
      <c r="AJ963" s="169" t="str">
        <f t="shared" si="12"/>
        <v/>
      </c>
    </row>
    <row r="964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 t="str">
        <f t="shared" si="2"/>
        <v/>
      </c>
      <c r="Q964" s="169"/>
      <c r="R964" s="169" t="str">
        <f t="shared" si="3"/>
        <v/>
      </c>
      <c r="S964" s="169"/>
      <c r="T964" s="169" t="str">
        <f t="shared" si="4"/>
        <v/>
      </c>
      <c r="U964" s="169"/>
      <c r="V964" s="169" t="str">
        <f t="shared" si="5"/>
        <v/>
      </c>
      <c r="W964" s="169"/>
      <c r="X964" s="169" t="str">
        <f t="shared" si="6"/>
        <v/>
      </c>
      <c r="Y964" s="169"/>
      <c r="Z964" s="169" t="str">
        <f t="shared" si="7"/>
        <v/>
      </c>
      <c r="AA964" s="169"/>
      <c r="AB964" s="169" t="str">
        <f t="shared" si="8"/>
        <v/>
      </c>
      <c r="AC964" s="169"/>
      <c r="AD964" s="169" t="str">
        <f t="shared" si="9"/>
        <v/>
      </c>
      <c r="AE964" s="169"/>
      <c r="AF964" s="169" t="str">
        <f t="shared" si="10"/>
        <v/>
      </c>
      <c r="AG964" s="169"/>
      <c r="AH964" s="169" t="str">
        <f t="shared" si="11"/>
        <v/>
      </c>
      <c r="AI964" s="169"/>
      <c r="AJ964" s="169" t="str">
        <f t="shared" si="12"/>
        <v/>
      </c>
    </row>
    <row r="96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 t="str">
        <f t="shared" si="2"/>
        <v/>
      </c>
      <c r="Q965" s="169"/>
      <c r="R965" s="169" t="str">
        <f t="shared" si="3"/>
        <v/>
      </c>
      <c r="S965" s="169"/>
      <c r="T965" s="169" t="str">
        <f t="shared" si="4"/>
        <v/>
      </c>
      <c r="U965" s="169"/>
      <c r="V965" s="169" t="str">
        <f t="shared" si="5"/>
        <v/>
      </c>
      <c r="W965" s="169"/>
      <c r="X965" s="169" t="str">
        <f t="shared" si="6"/>
        <v/>
      </c>
      <c r="Y965" s="169"/>
      <c r="Z965" s="169" t="str">
        <f t="shared" si="7"/>
        <v/>
      </c>
      <c r="AA965" s="169"/>
      <c r="AB965" s="169" t="str">
        <f t="shared" si="8"/>
        <v/>
      </c>
      <c r="AC965" s="169"/>
      <c r="AD965" s="169" t="str">
        <f t="shared" si="9"/>
        <v/>
      </c>
      <c r="AE965" s="169"/>
      <c r="AF965" s="169" t="str">
        <f t="shared" si="10"/>
        <v/>
      </c>
      <c r="AG965" s="169"/>
      <c r="AH965" s="169" t="str">
        <f t="shared" si="11"/>
        <v/>
      </c>
      <c r="AI965" s="169"/>
      <c r="AJ965" s="169" t="str">
        <f t="shared" si="12"/>
        <v/>
      </c>
    </row>
    <row r="966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 t="str">
        <f t="shared" si="2"/>
        <v/>
      </c>
      <c r="Q966" s="169"/>
      <c r="R966" s="169" t="str">
        <f t="shared" si="3"/>
        <v/>
      </c>
      <c r="S966" s="169"/>
      <c r="T966" s="169" t="str">
        <f t="shared" si="4"/>
        <v/>
      </c>
      <c r="U966" s="169"/>
      <c r="V966" s="169" t="str">
        <f t="shared" si="5"/>
        <v/>
      </c>
      <c r="W966" s="169"/>
      <c r="X966" s="169" t="str">
        <f t="shared" si="6"/>
        <v/>
      </c>
      <c r="Y966" s="169"/>
      <c r="Z966" s="169" t="str">
        <f t="shared" si="7"/>
        <v/>
      </c>
      <c r="AA966" s="169"/>
      <c r="AB966" s="169" t="str">
        <f t="shared" si="8"/>
        <v/>
      </c>
      <c r="AC966" s="169"/>
      <c r="AD966" s="169" t="str">
        <f t="shared" si="9"/>
        <v/>
      </c>
      <c r="AE966" s="169"/>
      <c r="AF966" s="169" t="str">
        <f t="shared" si="10"/>
        <v/>
      </c>
      <c r="AG966" s="169"/>
      <c r="AH966" s="169" t="str">
        <f t="shared" si="11"/>
        <v/>
      </c>
      <c r="AI966" s="169"/>
      <c r="AJ966" s="169" t="str">
        <f t="shared" si="12"/>
        <v/>
      </c>
    </row>
    <row r="967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 t="str">
        <f t="shared" si="2"/>
        <v/>
      </c>
      <c r="Q967" s="169"/>
      <c r="R967" s="169" t="str">
        <f t="shared" si="3"/>
        <v/>
      </c>
      <c r="S967" s="169"/>
      <c r="T967" s="169" t="str">
        <f t="shared" si="4"/>
        <v/>
      </c>
      <c r="U967" s="169"/>
      <c r="V967" s="169" t="str">
        <f t="shared" si="5"/>
        <v/>
      </c>
      <c r="W967" s="169"/>
      <c r="X967" s="169" t="str">
        <f t="shared" si="6"/>
        <v/>
      </c>
      <c r="Y967" s="169"/>
      <c r="Z967" s="169" t="str">
        <f t="shared" si="7"/>
        <v/>
      </c>
      <c r="AA967" s="169"/>
      <c r="AB967" s="169" t="str">
        <f t="shared" si="8"/>
        <v/>
      </c>
      <c r="AC967" s="169"/>
      <c r="AD967" s="169" t="str">
        <f t="shared" si="9"/>
        <v/>
      </c>
      <c r="AE967" s="169"/>
      <c r="AF967" s="169" t="str">
        <f t="shared" si="10"/>
        <v/>
      </c>
      <c r="AG967" s="169"/>
      <c r="AH967" s="169" t="str">
        <f t="shared" si="11"/>
        <v/>
      </c>
      <c r="AI967" s="169"/>
      <c r="AJ967" s="169" t="str">
        <f t="shared" si="12"/>
        <v/>
      </c>
    </row>
    <row r="968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 t="str">
        <f t="shared" si="2"/>
        <v/>
      </c>
      <c r="Q968" s="169"/>
      <c r="R968" s="169" t="str">
        <f t="shared" si="3"/>
        <v/>
      </c>
      <c r="S968" s="169"/>
      <c r="T968" s="169" t="str">
        <f t="shared" si="4"/>
        <v/>
      </c>
      <c r="U968" s="169"/>
      <c r="V968" s="169" t="str">
        <f t="shared" si="5"/>
        <v/>
      </c>
      <c r="W968" s="169"/>
      <c r="X968" s="169" t="str">
        <f t="shared" si="6"/>
        <v/>
      </c>
      <c r="Y968" s="169"/>
      <c r="Z968" s="169" t="str">
        <f t="shared" si="7"/>
        <v/>
      </c>
      <c r="AA968" s="169"/>
      <c r="AB968" s="169" t="str">
        <f t="shared" si="8"/>
        <v/>
      </c>
      <c r="AC968" s="169"/>
      <c r="AD968" s="169" t="str">
        <f t="shared" si="9"/>
        <v/>
      </c>
      <c r="AE968" s="169"/>
      <c r="AF968" s="169" t="str">
        <f t="shared" si="10"/>
        <v/>
      </c>
      <c r="AG968" s="169"/>
      <c r="AH968" s="169" t="str">
        <f t="shared" si="11"/>
        <v/>
      </c>
      <c r="AI968" s="169"/>
      <c r="AJ968" s="169" t="str">
        <f t="shared" si="12"/>
        <v/>
      </c>
    </row>
    <row r="969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 t="str">
        <f t="shared" si="2"/>
        <v/>
      </c>
      <c r="Q969" s="169"/>
      <c r="R969" s="169" t="str">
        <f t="shared" si="3"/>
        <v/>
      </c>
      <c r="S969" s="169"/>
      <c r="T969" s="169" t="str">
        <f t="shared" si="4"/>
        <v/>
      </c>
      <c r="U969" s="169"/>
      <c r="V969" s="169" t="str">
        <f t="shared" si="5"/>
        <v/>
      </c>
      <c r="W969" s="169"/>
      <c r="X969" s="169" t="str">
        <f t="shared" si="6"/>
        <v/>
      </c>
      <c r="Y969" s="169"/>
      <c r="Z969" s="169" t="str">
        <f t="shared" si="7"/>
        <v/>
      </c>
      <c r="AA969" s="169"/>
      <c r="AB969" s="169" t="str">
        <f t="shared" si="8"/>
        <v/>
      </c>
      <c r="AC969" s="169"/>
      <c r="AD969" s="169" t="str">
        <f t="shared" si="9"/>
        <v/>
      </c>
      <c r="AE969" s="169"/>
      <c r="AF969" s="169" t="str">
        <f t="shared" si="10"/>
        <v/>
      </c>
      <c r="AG969" s="169"/>
      <c r="AH969" s="169" t="str">
        <f t="shared" si="11"/>
        <v/>
      </c>
      <c r="AI969" s="169"/>
      <c r="AJ969" s="169" t="str">
        <f t="shared" si="12"/>
        <v/>
      </c>
    </row>
    <row r="970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 t="str">
        <f t="shared" si="2"/>
        <v/>
      </c>
      <c r="Q970" s="169"/>
      <c r="R970" s="169" t="str">
        <f t="shared" si="3"/>
        <v/>
      </c>
      <c r="S970" s="169"/>
      <c r="T970" s="169" t="str">
        <f t="shared" si="4"/>
        <v/>
      </c>
      <c r="U970" s="169"/>
      <c r="V970" s="169" t="str">
        <f t="shared" si="5"/>
        <v/>
      </c>
      <c r="W970" s="169"/>
      <c r="X970" s="169" t="str">
        <f t="shared" si="6"/>
        <v/>
      </c>
      <c r="Y970" s="169"/>
      <c r="Z970" s="169" t="str">
        <f t="shared" si="7"/>
        <v/>
      </c>
      <c r="AA970" s="169"/>
      <c r="AB970" s="169" t="str">
        <f t="shared" si="8"/>
        <v/>
      </c>
      <c r="AC970" s="169"/>
      <c r="AD970" s="169" t="str">
        <f t="shared" si="9"/>
        <v/>
      </c>
      <c r="AE970" s="169"/>
      <c r="AF970" s="169" t="str">
        <f t="shared" si="10"/>
        <v/>
      </c>
      <c r="AG970" s="169"/>
      <c r="AH970" s="169" t="str">
        <f t="shared" si="11"/>
        <v/>
      </c>
      <c r="AI970" s="169"/>
      <c r="AJ970" s="169" t="str">
        <f t="shared" si="12"/>
        <v/>
      </c>
    </row>
    <row r="97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 t="str">
        <f t="shared" si="2"/>
        <v/>
      </c>
      <c r="Q971" s="169"/>
      <c r="R971" s="169" t="str">
        <f t="shared" si="3"/>
        <v/>
      </c>
      <c r="S971" s="169"/>
      <c r="T971" s="169" t="str">
        <f t="shared" si="4"/>
        <v/>
      </c>
      <c r="U971" s="169"/>
      <c r="V971" s="169" t="str">
        <f t="shared" si="5"/>
        <v/>
      </c>
      <c r="W971" s="169"/>
      <c r="X971" s="169" t="str">
        <f t="shared" si="6"/>
        <v/>
      </c>
      <c r="Y971" s="169"/>
      <c r="Z971" s="169" t="str">
        <f t="shared" si="7"/>
        <v/>
      </c>
      <c r="AA971" s="169"/>
      <c r="AB971" s="169" t="str">
        <f t="shared" si="8"/>
        <v/>
      </c>
      <c r="AC971" s="169"/>
      <c r="AD971" s="169" t="str">
        <f t="shared" si="9"/>
        <v/>
      </c>
      <c r="AE971" s="169"/>
      <c r="AF971" s="169" t="str">
        <f t="shared" si="10"/>
        <v/>
      </c>
      <c r="AG971" s="169"/>
      <c r="AH971" s="169" t="str">
        <f t="shared" si="11"/>
        <v/>
      </c>
      <c r="AI971" s="169"/>
      <c r="AJ971" s="169" t="str">
        <f t="shared" si="12"/>
        <v/>
      </c>
    </row>
    <row r="97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 t="str">
        <f t="shared" si="2"/>
        <v/>
      </c>
      <c r="Q972" s="169"/>
      <c r="R972" s="169" t="str">
        <f t="shared" si="3"/>
        <v/>
      </c>
      <c r="S972" s="169"/>
      <c r="T972" s="169" t="str">
        <f t="shared" si="4"/>
        <v/>
      </c>
      <c r="U972" s="169"/>
      <c r="V972" s="169" t="str">
        <f t="shared" si="5"/>
        <v/>
      </c>
      <c r="W972" s="169"/>
      <c r="X972" s="169" t="str">
        <f t="shared" si="6"/>
        <v/>
      </c>
      <c r="Y972" s="169"/>
      <c r="Z972" s="169" t="str">
        <f t="shared" si="7"/>
        <v/>
      </c>
      <c r="AA972" s="169"/>
      <c r="AB972" s="169" t="str">
        <f t="shared" si="8"/>
        <v/>
      </c>
      <c r="AC972" s="169"/>
      <c r="AD972" s="169" t="str">
        <f t="shared" si="9"/>
        <v/>
      </c>
      <c r="AE972" s="169"/>
      <c r="AF972" s="169" t="str">
        <f t="shared" si="10"/>
        <v/>
      </c>
      <c r="AG972" s="169"/>
      <c r="AH972" s="169" t="str">
        <f t="shared" si="11"/>
        <v/>
      </c>
      <c r="AI972" s="169"/>
      <c r="AJ972" s="169" t="str">
        <f t="shared" si="12"/>
        <v/>
      </c>
    </row>
    <row r="973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 t="str">
        <f t="shared" si="2"/>
        <v/>
      </c>
      <c r="Q973" s="169"/>
      <c r="R973" s="169" t="str">
        <f t="shared" si="3"/>
        <v/>
      </c>
      <c r="S973" s="169"/>
      <c r="T973" s="169" t="str">
        <f t="shared" si="4"/>
        <v/>
      </c>
      <c r="U973" s="169"/>
      <c r="V973" s="169" t="str">
        <f t="shared" si="5"/>
        <v/>
      </c>
      <c r="W973" s="169"/>
      <c r="X973" s="169" t="str">
        <f t="shared" si="6"/>
        <v/>
      </c>
      <c r="Y973" s="169"/>
      <c r="Z973" s="169" t="str">
        <f t="shared" si="7"/>
        <v/>
      </c>
      <c r="AA973" s="169"/>
      <c r="AB973" s="169" t="str">
        <f t="shared" si="8"/>
        <v/>
      </c>
      <c r="AC973" s="169"/>
      <c r="AD973" s="169" t="str">
        <f t="shared" si="9"/>
        <v/>
      </c>
      <c r="AE973" s="169"/>
      <c r="AF973" s="169" t="str">
        <f t="shared" si="10"/>
        <v/>
      </c>
      <c r="AG973" s="169"/>
      <c r="AH973" s="169" t="str">
        <f t="shared" si="11"/>
        <v/>
      </c>
      <c r="AI973" s="169"/>
      <c r="AJ973" s="169" t="str">
        <f t="shared" si="12"/>
        <v/>
      </c>
    </row>
    <row r="974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 t="str">
        <f t="shared" si="2"/>
        <v/>
      </c>
      <c r="Q974" s="169"/>
      <c r="R974" s="169" t="str">
        <f t="shared" si="3"/>
        <v/>
      </c>
      <c r="S974" s="169"/>
      <c r="T974" s="169" t="str">
        <f t="shared" si="4"/>
        <v/>
      </c>
      <c r="U974" s="169"/>
      <c r="V974" s="169" t="str">
        <f t="shared" si="5"/>
        <v/>
      </c>
      <c r="W974" s="169"/>
      <c r="X974" s="169" t="str">
        <f t="shared" si="6"/>
        <v/>
      </c>
      <c r="Y974" s="169"/>
      <c r="Z974" s="169" t="str">
        <f t="shared" si="7"/>
        <v/>
      </c>
      <c r="AA974" s="169"/>
      <c r="AB974" s="169" t="str">
        <f t="shared" si="8"/>
        <v/>
      </c>
      <c r="AC974" s="169"/>
      <c r="AD974" s="169" t="str">
        <f t="shared" si="9"/>
        <v/>
      </c>
      <c r="AE974" s="169"/>
      <c r="AF974" s="169" t="str">
        <f t="shared" si="10"/>
        <v/>
      </c>
      <c r="AG974" s="169"/>
      <c r="AH974" s="169" t="str">
        <f t="shared" si="11"/>
        <v/>
      </c>
      <c r="AI974" s="169"/>
      <c r="AJ974" s="169" t="str">
        <f t="shared" si="12"/>
        <v/>
      </c>
    </row>
    <row r="97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 t="str">
        <f t="shared" si="2"/>
        <v/>
      </c>
      <c r="Q975" s="169"/>
      <c r="R975" s="169" t="str">
        <f t="shared" si="3"/>
        <v/>
      </c>
      <c r="S975" s="169"/>
      <c r="T975" s="169" t="str">
        <f t="shared" si="4"/>
        <v/>
      </c>
      <c r="U975" s="169"/>
      <c r="V975" s="169" t="str">
        <f t="shared" si="5"/>
        <v/>
      </c>
      <c r="W975" s="169"/>
      <c r="X975" s="169" t="str">
        <f t="shared" si="6"/>
        <v/>
      </c>
      <c r="Y975" s="169"/>
      <c r="Z975" s="169" t="str">
        <f t="shared" si="7"/>
        <v/>
      </c>
      <c r="AA975" s="169"/>
      <c r="AB975" s="169" t="str">
        <f t="shared" si="8"/>
        <v/>
      </c>
      <c r="AC975" s="169"/>
      <c r="AD975" s="169" t="str">
        <f t="shared" si="9"/>
        <v/>
      </c>
      <c r="AE975" s="169"/>
      <c r="AF975" s="169" t="str">
        <f t="shared" si="10"/>
        <v/>
      </c>
      <c r="AG975" s="169"/>
      <c r="AH975" s="169" t="str">
        <f t="shared" si="11"/>
        <v/>
      </c>
      <c r="AI975" s="169"/>
      <c r="AJ975" s="169" t="str">
        <f t="shared" si="12"/>
        <v/>
      </c>
    </row>
    <row r="976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 t="str">
        <f t="shared" si="2"/>
        <v/>
      </c>
      <c r="Q976" s="169"/>
      <c r="R976" s="169" t="str">
        <f t="shared" si="3"/>
        <v/>
      </c>
      <c r="S976" s="169"/>
      <c r="T976" s="169" t="str">
        <f t="shared" si="4"/>
        <v/>
      </c>
      <c r="U976" s="169"/>
      <c r="V976" s="169" t="str">
        <f t="shared" si="5"/>
        <v/>
      </c>
      <c r="W976" s="169"/>
      <c r="X976" s="169" t="str">
        <f t="shared" si="6"/>
        <v/>
      </c>
      <c r="Y976" s="169"/>
      <c r="Z976" s="169" t="str">
        <f t="shared" si="7"/>
        <v/>
      </c>
      <c r="AA976" s="169"/>
      <c r="AB976" s="169" t="str">
        <f t="shared" si="8"/>
        <v/>
      </c>
      <c r="AC976" s="169"/>
      <c r="AD976" s="169" t="str">
        <f t="shared" si="9"/>
        <v/>
      </c>
      <c r="AE976" s="169"/>
      <c r="AF976" s="169" t="str">
        <f t="shared" si="10"/>
        <v/>
      </c>
      <c r="AG976" s="169"/>
      <c r="AH976" s="169" t="str">
        <f t="shared" si="11"/>
        <v/>
      </c>
      <c r="AI976" s="169"/>
      <c r="AJ976" s="169" t="str">
        <f t="shared" si="12"/>
        <v/>
      </c>
    </row>
    <row r="977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 t="str">
        <f t="shared" si="2"/>
        <v/>
      </c>
      <c r="Q977" s="169"/>
      <c r="R977" s="169" t="str">
        <f t="shared" si="3"/>
        <v/>
      </c>
      <c r="S977" s="169"/>
      <c r="T977" s="169" t="str">
        <f t="shared" si="4"/>
        <v/>
      </c>
      <c r="U977" s="169"/>
      <c r="V977" s="169" t="str">
        <f t="shared" si="5"/>
        <v/>
      </c>
      <c r="W977" s="169"/>
      <c r="X977" s="169" t="str">
        <f t="shared" si="6"/>
        <v/>
      </c>
      <c r="Y977" s="169"/>
      <c r="Z977" s="169" t="str">
        <f t="shared" si="7"/>
        <v/>
      </c>
      <c r="AA977" s="169"/>
      <c r="AB977" s="169" t="str">
        <f t="shared" si="8"/>
        <v/>
      </c>
      <c r="AC977" s="169"/>
      <c r="AD977" s="169" t="str">
        <f t="shared" si="9"/>
        <v/>
      </c>
      <c r="AE977" s="169"/>
      <c r="AF977" s="169" t="str">
        <f t="shared" si="10"/>
        <v/>
      </c>
      <c r="AG977" s="169"/>
      <c r="AH977" s="169" t="str">
        <f t="shared" si="11"/>
        <v/>
      </c>
      <c r="AI977" s="169"/>
      <c r="AJ977" s="169" t="str">
        <f t="shared" si="12"/>
        <v/>
      </c>
    </row>
    <row r="978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 t="str">
        <f t="shared" si="2"/>
        <v/>
      </c>
      <c r="Q978" s="169"/>
      <c r="R978" s="169" t="str">
        <f t="shared" si="3"/>
        <v/>
      </c>
      <c r="S978" s="169"/>
      <c r="T978" s="169" t="str">
        <f t="shared" si="4"/>
        <v/>
      </c>
      <c r="U978" s="169"/>
      <c r="V978" s="169" t="str">
        <f t="shared" si="5"/>
        <v/>
      </c>
      <c r="W978" s="169"/>
      <c r="X978" s="169" t="str">
        <f t="shared" si="6"/>
        <v/>
      </c>
      <c r="Y978" s="169"/>
      <c r="Z978" s="169" t="str">
        <f t="shared" si="7"/>
        <v/>
      </c>
      <c r="AA978" s="169"/>
      <c r="AB978" s="169" t="str">
        <f t="shared" si="8"/>
        <v/>
      </c>
      <c r="AC978" s="169"/>
      <c r="AD978" s="169" t="str">
        <f t="shared" si="9"/>
        <v/>
      </c>
      <c r="AE978" s="169"/>
      <c r="AF978" s="169" t="str">
        <f t="shared" si="10"/>
        <v/>
      </c>
      <c r="AG978" s="169"/>
      <c r="AH978" s="169" t="str">
        <f t="shared" si="11"/>
        <v/>
      </c>
      <c r="AI978" s="169"/>
      <c r="AJ978" s="169" t="str">
        <f t="shared" si="12"/>
        <v/>
      </c>
    </row>
    <row r="979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 t="str">
        <f t="shared" si="2"/>
        <v/>
      </c>
      <c r="Q979" s="169"/>
      <c r="R979" s="169" t="str">
        <f t="shared" si="3"/>
        <v/>
      </c>
      <c r="S979" s="169"/>
      <c r="T979" s="169" t="str">
        <f t="shared" si="4"/>
        <v/>
      </c>
      <c r="U979" s="169"/>
      <c r="V979" s="169" t="str">
        <f t="shared" si="5"/>
        <v/>
      </c>
      <c r="W979" s="169"/>
      <c r="X979" s="169" t="str">
        <f t="shared" si="6"/>
        <v/>
      </c>
      <c r="Y979" s="169"/>
      <c r="Z979" s="169" t="str">
        <f t="shared" si="7"/>
        <v/>
      </c>
      <c r="AA979" s="169"/>
      <c r="AB979" s="169" t="str">
        <f t="shared" si="8"/>
        <v/>
      </c>
      <c r="AC979" s="169"/>
      <c r="AD979" s="169" t="str">
        <f t="shared" si="9"/>
        <v/>
      </c>
      <c r="AE979" s="169"/>
      <c r="AF979" s="169" t="str">
        <f t="shared" si="10"/>
        <v/>
      </c>
      <c r="AG979" s="169"/>
      <c r="AH979" s="169" t="str">
        <f t="shared" si="11"/>
        <v/>
      </c>
      <c r="AI979" s="169"/>
      <c r="AJ979" s="169" t="str">
        <f t="shared" si="12"/>
        <v/>
      </c>
    </row>
    <row r="980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 t="str">
        <f t="shared" si="2"/>
        <v/>
      </c>
      <c r="Q980" s="169"/>
      <c r="R980" s="169" t="str">
        <f t="shared" si="3"/>
        <v/>
      </c>
      <c r="S980" s="169"/>
      <c r="T980" s="169" t="str">
        <f t="shared" si="4"/>
        <v/>
      </c>
      <c r="U980" s="169"/>
      <c r="V980" s="169" t="str">
        <f t="shared" si="5"/>
        <v/>
      </c>
      <c r="W980" s="169"/>
      <c r="X980" s="169" t="str">
        <f t="shared" si="6"/>
        <v/>
      </c>
      <c r="Y980" s="169"/>
      <c r="Z980" s="169" t="str">
        <f t="shared" si="7"/>
        <v/>
      </c>
      <c r="AA980" s="169"/>
      <c r="AB980" s="169" t="str">
        <f t="shared" si="8"/>
        <v/>
      </c>
      <c r="AC980" s="169"/>
      <c r="AD980" s="169" t="str">
        <f t="shared" si="9"/>
        <v/>
      </c>
      <c r="AE980" s="169"/>
      <c r="AF980" s="169" t="str">
        <f t="shared" si="10"/>
        <v/>
      </c>
      <c r="AG980" s="169"/>
      <c r="AH980" s="169" t="str">
        <f t="shared" si="11"/>
        <v/>
      </c>
      <c r="AI980" s="169"/>
      <c r="AJ980" s="169" t="str">
        <f t="shared" si="12"/>
        <v/>
      </c>
    </row>
    <row r="98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 t="str">
        <f t="shared" si="2"/>
        <v/>
      </c>
      <c r="Q981" s="169"/>
      <c r="R981" s="169" t="str">
        <f t="shared" si="3"/>
        <v/>
      </c>
      <c r="S981" s="169"/>
      <c r="T981" s="169" t="str">
        <f t="shared" si="4"/>
        <v/>
      </c>
      <c r="U981" s="169"/>
      <c r="V981" s="169" t="str">
        <f t="shared" si="5"/>
        <v/>
      </c>
      <c r="W981" s="169"/>
      <c r="X981" s="169" t="str">
        <f t="shared" si="6"/>
        <v/>
      </c>
      <c r="Y981" s="169"/>
      <c r="Z981" s="169" t="str">
        <f t="shared" si="7"/>
        <v/>
      </c>
      <c r="AA981" s="169"/>
      <c r="AB981" s="169" t="str">
        <f t="shared" si="8"/>
        <v/>
      </c>
      <c r="AC981" s="169"/>
      <c r="AD981" s="169" t="str">
        <f t="shared" si="9"/>
        <v/>
      </c>
      <c r="AE981" s="169"/>
      <c r="AF981" s="169" t="str">
        <f t="shared" si="10"/>
        <v/>
      </c>
      <c r="AG981" s="169"/>
      <c r="AH981" s="169" t="str">
        <f t="shared" si="11"/>
        <v/>
      </c>
      <c r="AI981" s="169"/>
      <c r="AJ981" s="169" t="str">
        <f t="shared" si="12"/>
        <v/>
      </c>
    </row>
    <row r="98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 t="str">
        <f t="shared" si="2"/>
        <v/>
      </c>
      <c r="Q982" s="169"/>
      <c r="R982" s="169" t="str">
        <f t="shared" si="3"/>
        <v/>
      </c>
      <c r="S982" s="169"/>
      <c r="T982" s="169" t="str">
        <f t="shared" si="4"/>
        <v/>
      </c>
      <c r="U982" s="169"/>
      <c r="V982" s="169" t="str">
        <f t="shared" si="5"/>
        <v/>
      </c>
      <c r="W982" s="169"/>
      <c r="X982" s="169" t="str">
        <f t="shared" si="6"/>
        <v/>
      </c>
      <c r="Y982" s="169"/>
      <c r="Z982" s="169" t="str">
        <f t="shared" si="7"/>
        <v/>
      </c>
      <c r="AA982" s="169"/>
      <c r="AB982" s="169" t="str">
        <f t="shared" si="8"/>
        <v/>
      </c>
      <c r="AC982" s="169"/>
      <c r="AD982" s="169" t="str">
        <f t="shared" si="9"/>
        <v/>
      </c>
      <c r="AE982" s="169"/>
      <c r="AF982" s="169" t="str">
        <f t="shared" si="10"/>
        <v/>
      </c>
      <c r="AG982" s="169"/>
      <c r="AH982" s="169" t="str">
        <f t="shared" si="11"/>
        <v/>
      </c>
      <c r="AI982" s="169"/>
      <c r="AJ982" s="169" t="str">
        <f t="shared" si="12"/>
        <v/>
      </c>
    </row>
    <row r="983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 t="str">
        <f t="shared" si="2"/>
        <v/>
      </c>
      <c r="Q983" s="169"/>
      <c r="R983" s="169" t="str">
        <f t="shared" si="3"/>
        <v/>
      </c>
      <c r="S983" s="169"/>
      <c r="T983" s="169" t="str">
        <f t="shared" si="4"/>
        <v/>
      </c>
      <c r="U983" s="169"/>
      <c r="V983" s="169" t="str">
        <f t="shared" si="5"/>
        <v/>
      </c>
      <c r="W983" s="169"/>
      <c r="X983" s="169" t="str">
        <f t="shared" si="6"/>
        <v/>
      </c>
      <c r="Y983" s="169"/>
      <c r="Z983" s="169" t="str">
        <f t="shared" si="7"/>
        <v/>
      </c>
      <c r="AA983" s="169"/>
      <c r="AB983" s="169" t="str">
        <f t="shared" si="8"/>
        <v/>
      </c>
      <c r="AC983" s="169"/>
      <c r="AD983" s="169" t="str">
        <f t="shared" si="9"/>
        <v/>
      </c>
      <c r="AE983" s="169"/>
      <c r="AF983" s="169" t="str">
        <f t="shared" si="10"/>
        <v/>
      </c>
      <c r="AG983" s="169"/>
      <c r="AH983" s="169" t="str">
        <f t="shared" si="11"/>
        <v/>
      </c>
      <c r="AI983" s="169"/>
      <c r="AJ983" s="169" t="str">
        <f t="shared" si="12"/>
        <v/>
      </c>
    </row>
    <row r="984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 t="str">
        <f t="shared" si="2"/>
        <v/>
      </c>
      <c r="Q984" s="169"/>
      <c r="R984" s="169" t="str">
        <f t="shared" si="3"/>
        <v/>
      </c>
      <c r="S984" s="169"/>
      <c r="T984" s="169" t="str">
        <f t="shared" si="4"/>
        <v/>
      </c>
      <c r="U984" s="169"/>
      <c r="V984" s="169" t="str">
        <f t="shared" si="5"/>
        <v/>
      </c>
      <c r="W984" s="169"/>
      <c r="X984" s="169" t="str">
        <f t="shared" si="6"/>
        <v/>
      </c>
      <c r="Y984" s="169"/>
      <c r="Z984" s="169" t="str">
        <f t="shared" si="7"/>
        <v/>
      </c>
      <c r="AA984" s="169"/>
      <c r="AB984" s="169" t="str">
        <f t="shared" si="8"/>
        <v/>
      </c>
      <c r="AC984" s="169"/>
      <c r="AD984" s="169" t="str">
        <f t="shared" si="9"/>
        <v/>
      </c>
      <c r="AE984" s="169"/>
      <c r="AF984" s="169" t="str">
        <f t="shared" si="10"/>
        <v/>
      </c>
      <c r="AG984" s="169"/>
      <c r="AH984" s="169" t="str">
        <f t="shared" si="11"/>
        <v/>
      </c>
      <c r="AI984" s="169"/>
      <c r="AJ984" s="169" t="str">
        <f t="shared" si="12"/>
        <v/>
      </c>
    </row>
    <row r="98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 t="str">
        <f t="shared" si="2"/>
        <v/>
      </c>
      <c r="Q985" s="169"/>
      <c r="R985" s="169" t="str">
        <f t="shared" si="3"/>
        <v/>
      </c>
      <c r="S985" s="169"/>
      <c r="T985" s="169" t="str">
        <f t="shared" si="4"/>
        <v/>
      </c>
      <c r="U985" s="169"/>
      <c r="V985" s="169" t="str">
        <f t="shared" si="5"/>
        <v/>
      </c>
      <c r="W985" s="169"/>
      <c r="X985" s="169" t="str">
        <f t="shared" si="6"/>
        <v/>
      </c>
      <c r="Y985" s="169"/>
      <c r="Z985" s="169" t="str">
        <f t="shared" si="7"/>
        <v/>
      </c>
      <c r="AA985" s="169"/>
      <c r="AB985" s="169" t="str">
        <f t="shared" si="8"/>
        <v/>
      </c>
      <c r="AC985" s="169"/>
      <c r="AD985" s="169" t="str">
        <f t="shared" si="9"/>
        <v/>
      </c>
      <c r="AE985" s="169"/>
      <c r="AF985" s="169" t="str">
        <f t="shared" si="10"/>
        <v/>
      </c>
      <c r="AG985" s="169"/>
      <c r="AH985" s="169" t="str">
        <f t="shared" si="11"/>
        <v/>
      </c>
      <c r="AI985" s="169"/>
      <c r="AJ985" s="169" t="str">
        <f t="shared" si="12"/>
        <v/>
      </c>
    </row>
    <row r="986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 t="str">
        <f t="shared" si="2"/>
        <v/>
      </c>
      <c r="Q986" s="169"/>
      <c r="R986" s="169" t="str">
        <f t="shared" si="3"/>
        <v/>
      </c>
      <c r="S986" s="169"/>
      <c r="T986" s="169" t="str">
        <f t="shared" si="4"/>
        <v/>
      </c>
      <c r="U986" s="169"/>
      <c r="V986" s="169" t="str">
        <f t="shared" si="5"/>
        <v/>
      </c>
      <c r="W986" s="169"/>
      <c r="X986" s="169" t="str">
        <f t="shared" si="6"/>
        <v/>
      </c>
      <c r="Y986" s="169"/>
      <c r="Z986" s="169" t="str">
        <f t="shared" si="7"/>
        <v/>
      </c>
      <c r="AA986" s="169"/>
      <c r="AB986" s="169" t="str">
        <f t="shared" si="8"/>
        <v/>
      </c>
      <c r="AC986" s="169"/>
      <c r="AD986" s="169" t="str">
        <f t="shared" si="9"/>
        <v/>
      </c>
      <c r="AE986" s="169"/>
      <c r="AF986" s="169" t="str">
        <f t="shared" si="10"/>
        <v/>
      </c>
      <c r="AG986" s="169"/>
      <c r="AH986" s="169" t="str">
        <f t="shared" si="11"/>
        <v/>
      </c>
      <c r="AI986" s="169"/>
      <c r="AJ986" s="169" t="str">
        <f t="shared" si="12"/>
        <v/>
      </c>
    </row>
    <row r="987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 t="str">
        <f t="shared" si="2"/>
        <v/>
      </c>
      <c r="Q987" s="169"/>
      <c r="R987" s="169" t="str">
        <f t="shared" si="3"/>
        <v/>
      </c>
      <c r="S987" s="169"/>
      <c r="T987" s="169" t="str">
        <f t="shared" si="4"/>
        <v/>
      </c>
      <c r="U987" s="169"/>
      <c r="V987" s="169" t="str">
        <f t="shared" si="5"/>
        <v/>
      </c>
      <c r="W987" s="169"/>
      <c r="X987" s="169" t="str">
        <f t="shared" si="6"/>
        <v/>
      </c>
      <c r="Y987" s="169"/>
      <c r="Z987" s="169" t="str">
        <f t="shared" si="7"/>
        <v/>
      </c>
      <c r="AA987" s="169"/>
      <c r="AB987" s="169" t="str">
        <f t="shared" si="8"/>
        <v/>
      </c>
      <c r="AC987" s="169"/>
      <c r="AD987" s="169" t="str">
        <f t="shared" si="9"/>
        <v/>
      </c>
      <c r="AE987" s="169"/>
      <c r="AF987" s="169" t="str">
        <f t="shared" si="10"/>
        <v/>
      </c>
      <c r="AG987" s="169"/>
      <c r="AH987" s="169" t="str">
        <f t="shared" si="11"/>
        <v/>
      </c>
      <c r="AI987" s="169"/>
      <c r="AJ987" s="169" t="str">
        <f t="shared" si="12"/>
        <v/>
      </c>
    </row>
    <row r="988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 t="str">
        <f t="shared" si="2"/>
        <v/>
      </c>
      <c r="Q988" s="169"/>
      <c r="R988" s="169" t="str">
        <f t="shared" si="3"/>
        <v/>
      </c>
      <c r="S988" s="169"/>
      <c r="T988" s="169" t="str">
        <f t="shared" si="4"/>
        <v/>
      </c>
      <c r="U988" s="169"/>
      <c r="V988" s="169" t="str">
        <f t="shared" si="5"/>
        <v/>
      </c>
      <c r="W988" s="169"/>
      <c r="X988" s="169" t="str">
        <f t="shared" si="6"/>
        <v/>
      </c>
      <c r="Y988" s="169"/>
      <c r="Z988" s="169" t="str">
        <f t="shared" si="7"/>
        <v/>
      </c>
      <c r="AA988" s="169"/>
      <c r="AB988" s="169" t="str">
        <f t="shared" si="8"/>
        <v/>
      </c>
      <c r="AC988" s="169"/>
      <c r="AD988" s="169" t="str">
        <f t="shared" si="9"/>
        <v/>
      </c>
      <c r="AE988" s="169"/>
      <c r="AF988" s="169" t="str">
        <f t="shared" si="10"/>
        <v/>
      </c>
      <c r="AG988" s="169"/>
      <c r="AH988" s="169" t="str">
        <f t="shared" si="11"/>
        <v/>
      </c>
      <c r="AI988" s="169"/>
      <c r="AJ988" s="169" t="str">
        <f t="shared" si="12"/>
        <v/>
      </c>
    </row>
    <row r="989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 t="str">
        <f t="shared" si="2"/>
        <v/>
      </c>
      <c r="Q989" s="169"/>
      <c r="R989" s="169" t="str">
        <f t="shared" si="3"/>
        <v/>
      </c>
      <c r="S989" s="169"/>
      <c r="T989" s="169" t="str">
        <f t="shared" si="4"/>
        <v/>
      </c>
      <c r="U989" s="169"/>
      <c r="V989" s="169" t="str">
        <f t="shared" si="5"/>
        <v/>
      </c>
      <c r="W989" s="169"/>
      <c r="X989" s="169" t="str">
        <f t="shared" si="6"/>
        <v/>
      </c>
      <c r="Y989" s="169"/>
      <c r="Z989" s="169" t="str">
        <f t="shared" si="7"/>
        <v/>
      </c>
      <c r="AA989" s="169"/>
      <c r="AB989" s="169" t="str">
        <f t="shared" si="8"/>
        <v/>
      </c>
      <c r="AC989" s="169"/>
      <c r="AD989" s="169" t="str">
        <f t="shared" si="9"/>
        <v/>
      </c>
      <c r="AE989" s="169"/>
      <c r="AF989" s="169" t="str">
        <f t="shared" si="10"/>
        <v/>
      </c>
      <c r="AG989" s="169"/>
      <c r="AH989" s="169" t="str">
        <f t="shared" si="11"/>
        <v/>
      </c>
      <c r="AI989" s="169"/>
      <c r="AJ989" s="169" t="str">
        <f t="shared" si="12"/>
        <v/>
      </c>
    </row>
    <row r="990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 t="str">
        <f t="shared" si="2"/>
        <v/>
      </c>
      <c r="Q990" s="169"/>
      <c r="R990" s="169" t="str">
        <f t="shared" si="3"/>
        <v/>
      </c>
      <c r="S990" s="169"/>
      <c r="T990" s="169" t="str">
        <f t="shared" si="4"/>
        <v/>
      </c>
      <c r="U990" s="169"/>
      <c r="V990" s="169" t="str">
        <f t="shared" si="5"/>
        <v/>
      </c>
      <c r="W990" s="169"/>
      <c r="X990" s="169" t="str">
        <f t="shared" si="6"/>
        <v/>
      </c>
      <c r="Y990" s="169"/>
      <c r="Z990" s="169" t="str">
        <f t="shared" si="7"/>
        <v/>
      </c>
      <c r="AA990" s="169"/>
      <c r="AB990" s="169" t="str">
        <f t="shared" si="8"/>
        <v/>
      </c>
      <c r="AC990" s="169"/>
      <c r="AD990" s="169" t="str">
        <f t="shared" si="9"/>
        <v/>
      </c>
      <c r="AE990" s="169"/>
      <c r="AF990" s="169" t="str">
        <f t="shared" si="10"/>
        <v/>
      </c>
      <c r="AG990" s="169"/>
      <c r="AH990" s="169" t="str">
        <f t="shared" si="11"/>
        <v/>
      </c>
      <c r="AI990" s="169"/>
      <c r="AJ990" s="169" t="str">
        <f t="shared" si="12"/>
        <v/>
      </c>
    </row>
    <row r="99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 t="str">
        <f t="shared" si="2"/>
        <v/>
      </c>
      <c r="Q991" s="169"/>
      <c r="R991" s="169" t="str">
        <f t="shared" si="3"/>
        <v/>
      </c>
      <c r="S991" s="169"/>
      <c r="T991" s="169" t="str">
        <f t="shared" si="4"/>
        <v/>
      </c>
      <c r="U991" s="169"/>
      <c r="V991" s="169" t="str">
        <f t="shared" si="5"/>
        <v/>
      </c>
      <c r="W991" s="169"/>
      <c r="X991" s="169" t="str">
        <f t="shared" si="6"/>
        <v/>
      </c>
      <c r="Y991" s="169"/>
      <c r="Z991" s="169" t="str">
        <f t="shared" si="7"/>
        <v/>
      </c>
      <c r="AA991" s="169"/>
      <c r="AB991" s="169" t="str">
        <f t="shared" si="8"/>
        <v/>
      </c>
      <c r="AC991" s="169"/>
      <c r="AD991" s="169" t="str">
        <f t="shared" si="9"/>
        <v/>
      </c>
      <c r="AE991" s="169"/>
      <c r="AF991" s="169" t="str">
        <f t="shared" si="10"/>
        <v/>
      </c>
      <c r="AG991" s="169"/>
      <c r="AH991" s="169" t="str">
        <f t="shared" si="11"/>
        <v/>
      </c>
      <c r="AI991" s="169"/>
      <c r="AJ991" s="169" t="str">
        <f t="shared" si="12"/>
        <v/>
      </c>
    </row>
    <row r="99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 t="str">
        <f t="shared" si="2"/>
        <v/>
      </c>
      <c r="Q992" s="169"/>
      <c r="R992" s="169" t="str">
        <f t="shared" si="3"/>
        <v/>
      </c>
      <c r="S992" s="169"/>
      <c r="T992" s="169" t="str">
        <f t="shared" si="4"/>
        <v/>
      </c>
      <c r="U992" s="169"/>
      <c r="V992" s="169" t="str">
        <f t="shared" si="5"/>
        <v/>
      </c>
      <c r="W992" s="169"/>
      <c r="X992" s="169" t="str">
        <f t="shared" si="6"/>
        <v/>
      </c>
      <c r="Y992" s="169"/>
      <c r="Z992" s="169" t="str">
        <f t="shared" si="7"/>
        <v/>
      </c>
      <c r="AA992" s="169"/>
      <c r="AB992" s="169" t="str">
        <f t="shared" si="8"/>
        <v/>
      </c>
      <c r="AC992" s="169"/>
      <c r="AD992" s="169" t="str">
        <f t="shared" si="9"/>
        <v/>
      </c>
      <c r="AE992" s="169"/>
      <c r="AF992" s="169" t="str">
        <f t="shared" si="10"/>
        <v/>
      </c>
      <c r="AG992" s="169"/>
      <c r="AH992" s="169" t="str">
        <f t="shared" si="11"/>
        <v/>
      </c>
      <c r="AI992" s="169"/>
      <c r="AJ992" s="169" t="str">
        <f t="shared" si="12"/>
        <v/>
      </c>
    </row>
    <row r="993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 t="str">
        <f t="shared" si="2"/>
        <v/>
      </c>
      <c r="Q993" s="169"/>
      <c r="R993" s="169" t="str">
        <f t="shared" si="3"/>
        <v/>
      </c>
      <c r="S993" s="169"/>
      <c r="T993" s="169" t="str">
        <f t="shared" si="4"/>
        <v/>
      </c>
      <c r="U993" s="169"/>
      <c r="V993" s="169" t="str">
        <f t="shared" si="5"/>
        <v/>
      </c>
      <c r="W993" s="169"/>
      <c r="X993" s="169" t="str">
        <f t="shared" si="6"/>
        <v/>
      </c>
      <c r="Y993" s="169"/>
      <c r="Z993" s="169" t="str">
        <f t="shared" si="7"/>
        <v/>
      </c>
      <c r="AA993" s="169"/>
      <c r="AB993" s="169" t="str">
        <f t="shared" si="8"/>
        <v/>
      </c>
      <c r="AC993" s="169"/>
      <c r="AD993" s="169" t="str">
        <f t="shared" si="9"/>
        <v/>
      </c>
      <c r="AE993" s="169"/>
      <c r="AF993" s="169" t="str">
        <f t="shared" si="10"/>
        <v/>
      </c>
      <c r="AG993" s="169"/>
      <c r="AH993" s="169" t="str">
        <f t="shared" si="11"/>
        <v/>
      </c>
      <c r="AI993" s="169"/>
      <c r="AJ993" s="169" t="str">
        <f t="shared" si="12"/>
        <v/>
      </c>
    </row>
    <row r="994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 t="str">
        <f t="shared" si="2"/>
        <v/>
      </c>
      <c r="Q994" s="169"/>
      <c r="R994" s="169" t="str">
        <f t="shared" si="3"/>
        <v/>
      </c>
      <c r="S994" s="169"/>
      <c r="T994" s="169" t="str">
        <f t="shared" si="4"/>
        <v/>
      </c>
      <c r="U994" s="169"/>
      <c r="V994" s="169" t="str">
        <f t="shared" si="5"/>
        <v/>
      </c>
      <c r="W994" s="169"/>
      <c r="X994" s="169" t="str">
        <f t="shared" si="6"/>
        <v/>
      </c>
      <c r="Y994" s="169"/>
      <c r="Z994" s="169" t="str">
        <f t="shared" si="7"/>
        <v/>
      </c>
      <c r="AA994" s="169"/>
      <c r="AB994" s="169" t="str">
        <f t="shared" si="8"/>
        <v/>
      </c>
      <c r="AC994" s="169"/>
      <c r="AD994" s="169" t="str">
        <f t="shared" si="9"/>
        <v/>
      </c>
      <c r="AE994" s="169"/>
      <c r="AF994" s="169" t="str">
        <f t="shared" si="10"/>
        <v/>
      </c>
      <c r="AG994" s="169"/>
      <c r="AH994" s="169" t="str">
        <f t="shared" si="11"/>
        <v/>
      </c>
      <c r="AI994" s="169"/>
      <c r="AJ994" s="169" t="str">
        <f t="shared" si="12"/>
        <v/>
      </c>
    </row>
    <row r="99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 t="str">
        <f t="shared" si="2"/>
        <v/>
      </c>
      <c r="Q995" s="169"/>
      <c r="R995" s="169" t="str">
        <f t="shared" si="3"/>
        <v/>
      </c>
      <c r="S995" s="169"/>
      <c r="T995" s="169" t="str">
        <f t="shared" si="4"/>
        <v/>
      </c>
      <c r="U995" s="169"/>
      <c r="V995" s="169" t="str">
        <f t="shared" si="5"/>
        <v/>
      </c>
      <c r="W995" s="169"/>
      <c r="X995" s="169" t="str">
        <f t="shared" si="6"/>
        <v/>
      </c>
      <c r="Y995" s="169"/>
      <c r="Z995" s="169" t="str">
        <f t="shared" si="7"/>
        <v/>
      </c>
      <c r="AA995" s="169"/>
      <c r="AB995" s="169" t="str">
        <f t="shared" si="8"/>
        <v/>
      </c>
      <c r="AC995" s="169"/>
      <c r="AD995" s="169" t="str">
        <f t="shared" si="9"/>
        <v/>
      </c>
      <c r="AE995" s="169"/>
      <c r="AF995" s="169" t="str">
        <f t="shared" si="10"/>
        <v/>
      </c>
      <c r="AG995" s="169"/>
      <c r="AH995" s="169" t="str">
        <f t="shared" si="11"/>
        <v/>
      </c>
      <c r="AI995" s="169"/>
      <c r="AJ995" s="169" t="str">
        <f t="shared" si="12"/>
        <v/>
      </c>
    </row>
    <row r="996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 t="str">
        <f t="shared" si="2"/>
        <v/>
      </c>
      <c r="Q996" s="169"/>
      <c r="R996" s="169" t="str">
        <f t="shared" si="3"/>
        <v/>
      </c>
      <c r="S996" s="169"/>
      <c r="T996" s="169" t="str">
        <f t="shared" si="4"/>
        <v/>
      </c>
      <c r="U996" s="169"/>
      <c r="V996" s="169" t="str">
        <f t="shared" si="5"/>
        <v/>
      </c>
      <c r="W996" s="169"/>
      <c r="X996" s="169" t="str">
        <f t="shared" si="6"/>
        <v/>
      </c>
      <c r="Y996" s="169"/>
      <c r="Z996" s="169" t="str">
        <f t="shared" si="7"/>
        <v/>
      </c>
      <c r="AA996" s="169"/>
      <c r="AB996" s="169" t="str">
        <f t="shared" si="8"/>
        <v/>
      </c>
      <c r="AC996" s="169"/>
      <c r="AD996" s="169" t="str">
        <f t="shared" si="9"/>
        <v/>
      </c>
      <c r="AE996" s="169"/>
      <c r="AF996" s="169" t="str">
        <f t="shared" si="10"/>
        <v/>
      </c>
      <c r="AG996" s="169"/>
      <c r="AH996" s="169" t="str">
        <f t="shared" si="11"/>
        <v/>
      </c>
      <c r="AI996" s="169"/>
      <c r="AJ996" s="169" t="str">
        <f t="shared" si="12"/>
        <v/>
      </c>
    </row>
    <row r="997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 t="str">
        <f t="shared" si="2"/>
        <v/>
      </c>
      <c r="Q997" s="169"/>
      <c r="R997" s="169" t="str">
        <f t="shared" si="3"/>
        <v/>
      </c>
      <c r="S997" s="169"/>
      <c r="T997" s="169" t="str">
        <f t="shared" si="4"/>
        <v/>
      </c>
      <c r="U997" s="169"/>
      <c r="V997" s="169" t="str">
        <f t="shared" si="5"/>
        <v/>
      </c>
      <c r="W997" s="169"/>
      <c r="X997" s="169" t="str">
        <f t="shared" si="6"/>
        <v/>
      </c>
      <c r="Y997" s="169"/>
      <c r="Z997" s="169" t="str">
        <f t="shared" si="7"/>
        <v/>
      </c>
      <c r="AA997" s="169"/>
      <c r="AB997" s="169" t="str">
        <f t="shared" si="8"/>
        <v/>
      </c>
      <c r="AC997" s="169"/>
      <c r="AD997" s="169" t="str">
        <f t="shared" si="9"/>
        <v/>
      </c>
      <c r="AE997" s="169"/>
      <c r="AF997" s="169" t="str">
        <f t="shared" si="10"/>
        <v/>
      </c>
      <c r="AG997" s="169"/>
      <c r="AH997" s="169" t="str">
        <f t="shared" si="11"/>
        <v/>
      </c>
      <c r="AI997" s="169"/>
      <c r="AJ997" s="169" t="str">
        <f t="shared" si="12"/>
        <v/>
      </c>
    </row>
    <row r="998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 t="str">
        <f t="shared" si="2"/>
        <v/>
      </c>
      <c r="Q998" s="169"/>
      <c r="R998" s="169" t="str">
        <f t="shared" si="3"/>
        <v/>
      </c>
      <c r="S998" s="169"/>
      <c r="T998" s="169" t="str">
        <f t="shared" si="4"/>
        <v/>
      </c>
      <c r="U998" s="169"/>
      <c r="V998" s="169" t="str">
        <f t="shared" si="5"/>
        <v/>
      </c>
      <c r="W998" s="169"/>
      <c r="X998" s="169" t="str">
        <f t="shared" si="6"/>
        <v/>
      </c>
      <c r="Y998" s="169"/>
      <c r="Z998" s="169" t="str">
        <f t="shared" si="7"/>
        <v/>
      </c>
      <c r="AA998" s="169"/>
      <c r="AB998" s="169" t="str">
        <f t="shared" si="8"/>
        <v/>
      </c>
      <c r="AC998" s="169"/>
      <c r="AD998" s="169" t="str">
        <f t="shared" si="9"/>
        <v/>
      </c>
      <c r="AE998" s="169"/>
      <c r="AF998" s="169" t="str">
        <f t="shared" si="10"/>
        <v/>
      </c>
      <c r="AG998" s="169"/>
      <c r="AH998" s="169" t="str">
        <f t="shared" si="11"/>
        <v/>
      </c>
      <c r="AI998" s="169"/>
      <c r="AJ998" s="169" t="str">
        <f t="shared" si="12"/>
        <v/>
      </c>
    </row>
    <row r="999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 t="str">
        <f t="shared" si="2"/>
        <v/>
      </c>
      <c r="Q999" s="169"/>
      <c r="R999" s="169" t="str">
        <f t="shared" si="3"/>
        <v/>
      </c>
      <c r="S999" s="169"/>
      <c r="T999" s="169" t="str">
        <f t="shared" si="4"/>
        <v/>
      </c>
      <c r="U999" s="169"/>
      <c r="V999" s="169" t="str">
        <f t="shared" si="5"/>
        <v/>
      </c>
      <c r="W999" s="169"/>
      <c r="X999" s="169" t="str">
        <f t="shared" si="6"/>
        <v/>
      </c>
      <c r="Y999" s="169"/>
      <c r="Z999" s="169" t="str">
        <f t="shared" si="7"/>
        <v/>
      </c>
      <c r="AA999" s="169"/>
      <c r="AB999" s="169" t="str">
        <f t="shared" si="8"/>
        <v/>
      </c>
      <c r="AC999" s="169"/>
      <c r="AD999" s="169" t="str">
        <f t="shared" si="9"/>
        <v/>
      </c>
      <c r="AE999" s="169"/>
      <c r="AF999" s="169" t="str">
        <f t="shared" si="10"/>
        <v/>
      </c>
      <c r="AG999" s="169"/>
      <c r="AH999" s="169" t="str">
        <f t="shared" si="11"/>
        <v/>
      </c>
      <c r="AI999" s="169"/>
      <c r="AJ999" s="169" t="str">
        <f t="shared" si="12"/>
        <v/>
      </c>
    </row>
    <row r="1000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 t="str">
        <f t="shared" si="2"/>
        <v/>
      </c>
      <c r="Q1000" s="169"/>
      <c r="R1000" s="169" t="str">
        <f t="shared" si="3"/>
        <v/>
      </c>
      <c r="S1000" s="169"/>
      <c r="T1000" s="169" t="str">
        <f t="shared" si="4"/>
        <v/>
      </c>
      <c r="U1000" s="169"/>
      <c r="V1000" s="169" t="str">
        <f t="shared" si="5"/>
        <v/>
      </c>
      <c r="W1000" s="169"/>
      <c r="X1000" s="169" t="str">
        <f t="shared" si="6"/>
        <v/>
      </c>
      <c r="Y1000" s="169"/>
      <c r="Z1000" s="169" t="str">
        <f t="shared" si="7"/>
        <v/>
      </c>
      <c r="AA1000" s="169"/>
      <c r="AB1000" s="169" t="str">
        <f t="shared" si="8"/>
        <v/>
      </c>
      <c r="AC1000" s="169"/>
      <c r="AD1000" s="169" t="str">
        <f t="shared" si="9"/>
        <v/>
      </c>
      <c r="AE1000" s="169"/>
      <c r="AF1000" s="169" t="str">
        <f t="shared" si="10"/>
        <v/>
      </c>
      <c r="AG1000" s="169"/>
      <c r="AH1000" s="169" t="str">
        <f t="shared" si="11"/>
        <v/>
      </c>
      <c r="AI1000" s="169"/>
      <c r="AJ1000" s="169" t="str">
        <f t="shared" si="12"/>
        <v/>
      </c>
    </row>
  </sheetData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8.25"/>
    <col customWidth="1" min="16" max="16" width="6.38"/>
    <col customWidth="1" min="17" max="17" width="10.25"/>
    <col customWidth="1" min="18" max="18" width="6.13"/>
    <col customWidth="1" min="19" max="19" width="9.0"/>
    <col customWidth="1" min="20" max="20" width="6.13"/>
    <col customWidth="1" min="21" max="21" width="10.25"/>
    <col customWidth="1" min="22" max="22" width="6.13"/>
    <col customWidth="1" min="23" max="23" width="12.75"/>
    <col customWidth="1" min="24" max="24" width="6.13"/>
    <col customWidth="1" min="25" max="25" width="11.38"/>
  </cols>
  <sheetData>
    <row r="1">
      <c r="A1" s="174"/>
      <c r="B1" s="175" t="str">
        <f>'Picks by Player'!A1</f>
        <v>DavEmily</v>
      </c>
      <c r="C1" s="176"/>
      <c r="D1" s="175" t="str">
        <f>'Picks by Player'!C1</f>
        <v>Nick A.</v>
      </c>
      <c r="E1" s="176"/>
      <c r="F1" s="175" t="str">
        <f>'Picks by Player'!E1</f>
        <v>Gary</v>
      </c>
      <c r="G1" s="176"/>
      <c r="H1" s="175" t="str">
        <f>'Picks by Player'!G1</f>
        <v>Janice/Mike</v>
      </c>
      <c r="I1" s="176"/>
      <c r="J1" s="175" t="str">
        <f>'Picks by Player'!I1</f>
        <v>Nico</v>
      </c>
      <c r="K1" s="176"/>
      <c r="L1" s="175" t="str">
        <f>'Picks by Player'!K1</f>
        <v>Jeannine</v>
      </c>
      <c r="M1" s="176"/>
      <c r="N1" s="175" t="str">
        <f>'Picks by Player'!M1</f>
        <v>Justin</v>
      </c>
      <c r="O1" s="176"/>
      <c r="P1" s="175" t="str">
        <f>'Picks by Player'!O1</f>
        <v>Adam</v>
      </c>
      <c r="Q1" s="176"/>
      <c r="R1" s="175" t="str">
        <f>'Picks by Player'!Q1</f>
        <v>Vu</v>
      </c>
      <c r="S1" s="176"/>
      <c r="T1" s="175" t="str">
        <f>'Picks by Player'!S1</f>
        <v>Josh R.</v>
      </c>
      <c r="U1" s="176"/>
      <c r="V1" s="175" t="str">
        <f>'Picks by Player'!U1</f>
        <v>Brad</v>
      </c>
      <c r="W1" s="176"/>
      <c r="X1" s="175" t="str">
        <f>'Picks by Player'!W1</f>
        <v>Nick G.</v>
      </c>
      <c r="Y1" s="176"/>
    </row>
    <row r="2">
      <c r="A2" s="177"/>
      <c r="B2" s="178" t="s">
        <v>199</v>
      </c>
      <c r="C2" s="179" t="s">
        <v>227</v>
      </c>
      <c r="D2" s="180" t="s">
        <v>199</v>
      </c>
      <c r="E2" s="181" t="s">
        <v>227</v>
      </c>
      <c r="F2" s="180" t="s">
        <v>199</v>
      </c>
      <c r="G2" s="181" t="s">
        <v>227</v>
      </c>
      <c r="H2" s="180" t="s">
        <v>199</v>
      </c>
      <c r="I2" s="181" t="s">
        <v>227</v>
      </c>
      <c r="J2" s="180" t="s">
        <v>199</v>
      </c>
      <c r="K2" s="181" t="s">
        <v>227</v>
      </c>
      <c r="L2" s="180" t="s">
        <v>199</v>
      </c>
      <c r="M2" s="181" t="s">
        <v>227</v>
      </c>
      <c r="N2" s="180" t="s">
        <v>199</v>
      </c>
      <c r="O2" s="181" t="s">
        <v>227</v>
      </c>
      <c r="P2" s="180" t="s">
        <v>199</v>
      </c>
      <c r="Q2" s="181" t="s">
        <v>227</v>
      </c>
      <c r="R2" s="180" t="s">
        <v>199</v>
      </c>
      <c r="S2" s="181" t="s">
        <v>227</v>
      </c>
      <c r="T2" s="180" t="s">
        <v>199</v>
      </c>
      <c r="U2" s="181" t="s">
        <v>227</v>
      </c>
      <c r="V2" s="180" t="s">
        <v>199</v>
      </c>
      <c r="W2" s="181" t="s">
        <v>227</v>
      </c>
      <c r="X2" s="180" t="s">
        <v>199</v>
      </c>
      <c r="Y2" s="181" t="s">
        <v>227</v>
      </c>
    </row>
    <row r="3">
      <c r="A3" t="s">
        <v>11</v>
      </c>
      <c r="B3" s="182" t="str">
        <f t="shared" ref="B3:B12" si="1">if(C3="", "", $A3)</f>
        <v>AAC</v>
      </c>
      <c r="C3" s="183" t="str">
        <f>if(iserror(VLOOKUP($A3,'Picks by Player'!A$3:B$12,2,0)),"", VLOOKUP($A3,'Picks by Player'!A$3:B$12,2,0))</f>
        <v>Tulsa</v>
      </c>
      <c r="D3" s="182" t="str">
        <f t="shared" ref="D3:D12" si="2">if(E3="", "", $A3)</f>
        <v>AAC</v>
      </c>
      <c r="E3" s="183" t="str">
        <f>if(iserror(VLOOKUP($A3,'Picks by Player'!C$3:D$12,2,0)),"", VLOOKUP($A3,'Picks by Player'!C$3:D$12,2,0))</f>
        <v>East Carolina</v>
      </c>
      <c r="F3" s="182" t="str">
        <f t="shared" ref="F3:F12" si="3">if(G3="", "", $A3)</f>
        <v>AAC</v>
      </c>
      <c r="G3" s="183" t="str">
        <f>if(iserror(VLOOKUP($A3,'Picks by Player'!E$3:F$12,2,0)),"", VLOOKUP($A3,'Picks by Player'!E$3:F$12,2,0))</f>
        <v>Tulane</v>
      </c>
      <c r="H3" s="182" t="str">
        <f t="shared" ref="H3:H12" si="4">if(I3="", "", $A3)</f>
        <v>AAC</v>
      </c>
      <c r="I3" s="183" t="str">
        <f>if(iserror(VLOOKUP($A3,'Picks by Player'!G$3:H$12,2,0)),"", VLOOKUP($A3,'Picks by Player'!G$3:H$12,2,0))</f>
        <v>Navy</v>
      </c>
      <c r="J3" s="182" t="str">
        <f t="shared" ref="J3:J12" si="5">if(K3="", "", $A3)</f>
        <v>AAC</v>
      </c>
      <c r="K3" s="183" t="str">
        <f>if(iserror(VLOOKUP($A3,'Picks by Player'!I$3:J$12,2,0)),"", VLOOKUP($A3,'Picks by Player'!I$3:J$12,2,0))</f>
        <v>Houston</v>
      </c>
      <c r="L3" s="182" t="str">
        <f t="shared" ref="L3:L12" si="6">if(M3="", "", $A3)</f>
        <v>AAC</v>
      </c>
      <c r="M3" s="183" t="str">
        <f>if(iserror(VLOOKUP($A3,'Picks by Player'!K$3:L$12,2,0)),"", VLOOKUP($A3,'Picks by Player'!K$3:L$12,2,0))</f>
        <v>SMU</v>
      </c>
      <c r="N3" s="182" t="str">
        <f t="shared" ref="N3:N12" si="7">if(O3="", "", $A3)</f>
        <v>AAC</v>
      </c>
      <c r="O3" s="183" t="str">
        <f>if(iserror(VLOOKUP($A3,'Picks by Player'!M$3:N$12,2,0)),"", VLOOKUP($A3,'Picks by Player'!M$3:N$12,2,0))</f>
        <v>South Florida</v>
      </c>
      <c r="P3" s="182" t="str">
        <f t="shared" ref="P3:P12" si="8">if(Q3="", "", $A3)</f>
        <v>AAC</v>
      </c>
      <c r="Q3" s="183" t="str">
        <f>if(iserror(VLOOKUP($A3,'Picks by Player'!O$3:P$12,2,0)),"", VLOOKUP($A3,'Picks by Player'!O$3:P$12,2,0))</f>
        <v>UCF</v>
      </c>
      <c r="R3" s="182" t="str">
        <f t="shared" ref="R3:R12" si="9">if(S3="", "", $A3)</f>
        <v>AAC</v>
      </c>
      <c r="S3" s="183" t="str">
        <f>if(iserror(VLOOKUP($A3,'Picks by Player'!Q$3:R$12,2,0)),"", VLOOKUP($A3,'Picks by Player'!Q$3:R$12,2,0))</f>
        <v>Cincinnati</v>
      </c>
      <c r="T3" s="184" t="str">
        <f t="shared" ref="T3:T12" si="10">if(U3="", "", $A3)</f>
        <v>AAC</v>
      </c>
      <c r="U3" s="183" t="str">
        <f>if(iserror(VLOOKUP($A3,'Picks by Player'!S$3:T$12,2,0)),"", VLOOKUP($A3,'Picks by Player'!S$3:T$12,2,0))</f>
        <v>Temple</v>
      </c>
      <c r="V3" s="182" t="str">
        <f t="shared" ref="V3:V12" si="11">if(W3="", "", $A3)</f>
        <v>AAC</v>
      </c>
      <c r="W3" s="183" t="str">
        <f>if(iserror(VLOOKUP($A3,'Picks by Player'!U$3:V$12,2,0)),"", VLOOKUP($A3,'Picks by Player'!U$3:V$12,2,0))</f>
        <v>Memphis</v>
      </c>
      <c r="X3" s="182" t="str">
        <f t="shared" ref="X3:X12" si="12">if(Y3="", "", $A3)</f>
        <v>AAC</v>
      </c>
      <c r="Y3" s="183" t="str">
        <f>if(iserror(VLOOKUP($A3,'Picks by Player'!W$3:X$12,2,0)),"", VLOOKUP($A3,'Picks by Player'!W$3:X$12,2,0))</f>
        <v>UConn</v>
      </c>
    </row>
    <row r="4">
      <c r="A4" t="s">
        <v>15</v>
      </c>
      <c r="B4" s="185" t="str">
        <f t="shared" si="1"/>
        <v>ACC</v>
      </c>
      <c r="C4" s="186" t="str">
        <f>if(iserror(VLOOKUP($A4,'Picks by Player'!A$3:B$12,2,0)),"", VLOOKUP($A4,'Picks by Player'!A$3:B$12,2,0))</f>
        <v>Virginia Tech</v>
      </c>
      <c r="D4" s="185" t="str">
        <f t="shared" si="2"/>
        <v>ACC</v>
      </c>
      <c r="E4" s="186" t="str">
        <f>if(iserror(VLOOKUP($A4,'Picks by Player'!C$3:D$12,2,0)),"", VLOOKUP($A4,'Picks by Player'!C$3:D$12,2,0))</f>
        <v>Clemson</v>
      </c>
      <c r="F4" s="185" t="str">
        <f t="shared" si="3"/>
        <v>ACC</v>
      </c>
      <c r="G4" s="186" t="str">
        <f>if(iserror(VLOOKUP($A4,'Picks by Player'!E$3:F$12,2,0)),"", VLOOKUP($A4,'Picks by Player'!E$3:F$12,2,0))</f>
        <v>Pittsburgh</v>
      </c>
      <c r="H4" s="185" t="str">
        <f t="shared" si="4"/>
        <v>ACC</v>
      </c>
      <c r="I4" s="186" t="str">
        <f>if(iserror(VLOOKUP($A4,'Picks by Player'!G$3:H$12,2,0)),"", VLOOKUP($A4,'Picks by Player'!G$3:H$12,2,0))</f>
        <v>Boston College</v>
      </c>
      <c r="J4" s="185" t="str">
        <f t="shared" si="5"/>
        <v>ACC</v>
      </c>
      <c r="K4" s="186" t="str">
        <f>if(iserror(VLOOKUP($A4,'Picks by Player'!I$3:J$12,2,0)),"", VLOOKUP($A4,'Picks by Player'!I$3:J$12,2,0))</f>
        <v>North Carolina</v>
      </c>
      <c r="L4" s="185" t="str">
        <f t="shared" si="6"/>
        <v>ACC</v>
      </c>
      <c r="M4" s="186" t="str">
        <f>if(iserror(VLOOKUP($A4,'Picks by Player'!K$3:L$12,2,0)),"", VLOOKUP($A4,'Picks by Player'!K$3:L$12,2,0))</f>
        <v>Virginia</v>
      </c>
      <c r="N4" s="185" t="str">
        <f t="shared" si="7"/>
        <v>ACC</v>
      </c>
      <c r="O4" s="186" t="str">
        <f>if(iserror(VLOOKUP($A4,'Picks by Player'!M$3:N$12,2,0)),"", VLOOKUP($A4,'Picks by Player'!M$3:N$12,2,0))</f>
        <v>Duke</v>
      </c>
      <c r="P4" s="185" t="str">
        <f t="shared" si="8"/>
        <v>ACC</v>
      </c>
      <c r="Q4" s="186" t="str">
        <f>if(iserror(VLOOKUP($A4,'Picks by Player'!O$3:P$12,2,0)),"", VLOOKUP($A4,'Picks by Player'!O$3:P$12,2,0))</f>
        <v>Wake Forest</v>
      </c>
      <c r="R4" t="str">
        <f t="shared" si="9"/>
        <v>ACC</v>
      </c>
      <c r="S4" t="str">
        <f>if(iserror(VLOOKUP($A4,'Picks by Player'!Q$3:R$12,2,0)),"", VLOOKUP($A4,'Picks by Player'!Q$3:R$12,2,0))</f>
        <v>Syracuse</v>
      </c>
      <c r="T4" s="187" t="str">
        <f t="shared" si="10"/>
        <v>ACC</v>
      </c>
      <c r="U4" t="str">
        <f>if(iserror(VLOOKUP($A4,'Picks by Player'!S$3:T$12,2,0)),"", VLOOKUP($A4,'Picks by Player'!S$3:T$12,2,0))</f>
        <v>Florida State</v>
      </c>
      <c r="V4" s="185" t="str">
        <f t="shared" si="11"/>
        <v>ACC</v>
      </c>
      <c r="W4" s="186" t="str">
        <f>if(iserror(VLOOKUP($A4,'Picks by Player'!U$3:V$12,2,0)),"", VLOOKUP($A4,'Picks by Player'!U$3:V$12,2,0))</f>
        <v>Miami</v>
      </c>
      <c r="X4" s="185" t="str">
        <f t="shared" si="12"/>
        <v>ACC</v>
      </c>
      <c r="Y4" s="186" t="str">
        <f>if(iserror(VLOOKUP($A4,'Picks by Player'!W$3:X$12,2,0)),"", VLOOKUP($A4,'Picks by Player'!W$3:X$12,2,0))</f>
        <v>NC State</v>
      </c>
    </row>
    <row r="5">
      <c r="A5" t="s">
        <v>17</v>
      </c>
      <c r="B5" s="185" t="str">
        <f t="shared" si="1"/>
        <v>Big 12</v>
      </c>
      <c r="C5" s="186" t="str">
        <f>if(iserror(VLOOKUP($A5,'Picks by Player'!A$3:B$12,2,0)),"", VLOOKUP($A5,'Picks by Player'!A$3:B$12,2,0))</f>
        <v>Notre Dame</v>
      </c>
      <c r="D5" s="185" t="str">
        <f t="shared" si="2"/>
        <v>Big 12</v>
      </c>
      <c r="E5" s="186" t="str">
        <f>if(iserror(VLOOKUP($A5,'Picks by Player'!C$3:D$12,2,0)),"", VLOOKUP($A5,'Picks by Player'!C$3:D$12,2,0))</f>
        <v>Iowa State</v>
      </c>
      <c r="F5" s="185" t="str">
        <f t="shared" si="3"/>
        <v>Big 12</v>
      </c>
      <c r="G5" s="186" t="str">
        <f>if(iserror(VLOOKUP($A5,'Picks by Player'!E$3:F$12,2,0)),"", VLOOKUP($A5,'Picks by Player'!E$3:F$12,2,0))</f>
        <v>BYU</v>
      </c>
      <c r="H5" s="185" t="str">
        <f t="shared" si="4"/>
        <v>Big 12</v>
      </c>
      <c r="I5" s="186" t="str">
        <f>if(iserror(VLOOKUP($A5,'Picks by Player'!G$3:H$12,2,0)),"", VLOOKUP($A5,'Picks by Player'!G$3:H$12,2,0))</f>
        <v>Texas Tech</v>
      </c>
      <c r="J5" s="185" t="str">
        <f t="shared" si="5"/>
        <v>Big 12</v>
      </c>
      <c r="K5" s="186" t="str">
        <f>if(iserror(VLOOKUP($A5,'Picks by Player'!I$3:J$12,2,0)),"", VLOOKUP($A5,'Picks by Player'!I$3:J$12,2,0))</f>
        <v>West Virginia</v>
      </c>
      <c r="L5" s="185" t="str">
        <f t="shared" si="6"/>
        <v>Big 12</v>
      </c>
      <c r="M5" s="186" t="str">
        <f>if(iserror(VLOOKUP($A5,'Picks by Player'!K$3:L$12,2,0)),"", VLOOKUP($A5,'Picks by Player'!K$3:L$12,2,0))</f>
        <v>Oklahoma</v>
      </c>
      <c r="N5" s="185" t="str">
        <f t="shared" si="7"/>
        <v>Big 12</v>
      </c>
      <c r="O5" s="186" t="str">
        <f>if(iserror(VLOOKUP($A5,'Picks by Player'!M$3:N$12,2,0)),"", VLOOKUP($A5,'Picks by Player'!M$3:N$12,2,0))</f>
        <v>Baylor</v>
      </c>
      <c r="P5" s="185" t="str">
        <f t="shared" si="8"/>
        <v>Big 12</v>
      </c>
      <c r="Q5" s="186" t="str">
        <f>if(iserror(VLOOKUP($A5,'Picks by Player'!O$3:P$12,2,0)),"", VLOOKUP($A5,'Picks by Player'!O$3:P$12,2,0))</f>
        <v>Texas</v>
      </c>
      <c r="R5" t="str">
        <f t="shared" si="9"/>
        <v>Big 12</v>
      </c>
      <c r="S5" t="str">
        <f>if(iserror(VLOOKUP($A5,'Picks by Player'!Q$3:R$12,2,0)),"", VLOOKUP($A5,'Picks by Player'!Q$3:R$12,2,0))</f>
        <v>TCU</v>
      </c>
      <c r="T5" s="187" t="str">
        <f t="shared" si="10"/>
        <v>Big 12</v>
      </c>
      <c r="U5" t="str">
        <f>if(iserror(VLOOKUP($A5,'Picks by Player'!S$3:T$12,2,0)),"", VLOOKUP($A5,'Picks by Player'!S$3:T$12,2,0))</f>
        <v>Kansas</v>
      </c>
      <c r="V5" s="185" t="str">
        <f t="shared" si="11"/>
        <v>Big 12</v>
      </c>
      <c r="W5" s="186" t="str">
        <f>if(iserror(VLOOKUP($A5,'Picks by Player'!U$3:V$12,2,0)),"", VLOOKUP($A5,'Picks by Player'!U$3:V$12,2,0))</f>
        <v>Oklahoma State</v>
      </c>
      <c r="X5" s="185" t="str">
        <f t="shared" si="12"/>
        <v>Big 12</v>
      </c>
      <c r="Y5" s="186" t="str">
        <f>if(iserror(VLOOKUP($A5,'Picks by Player'!W$3:X$12,2,0)),"", VLOOKUP($A5,'Picks by Player'!W$3:X$12,2,0))</f>
        <v>Kansas State</v>
      </c>
    </row>
    <row r="6">
      <c r="A6" t="s">
        <v>19</v>
      </c>
      <c r="B6" s="185" t="str">
        <f t="shared" si="1"/>
        <v>Big Ten</v>
      </c>
      <c r="C6" s="186" t="str">
        <f>if(iserror(VLOOKUP($A6,'Picks by Player'!A$3:B$12,2,0)),"", VLOOKUP($A6,'Picks by Player'!A$3:B$12,2,0))</f>
        <v>Nebraska</v>
      </c>
      <c r="D6" s="185" t="str">
        <f t="shared" si="2"/>
        <v>Big Ten</v>
      </c>
      <c r="E6" s="186" t="str">
        <f>if(iserror(VLOOKUP($A6,'Picks by Player'!C$3:D$12,2,0)),"", VLOOKUP($A6,'Picks by Player'!C$3:D$12,2,0))</f>
        <v>Michigan State</v>
      </c>
      <c r="F6" s="185" t="str">
        <f t="shared" si="3"/>
        <v>Big Ten</v>
      </c>
      <c r="G6" s="186" t="str">
        <f>if(iserror(VLOOKUP($A6,'Picks by Player'!E$3:F$12,2,0)),"", VLOOKUP($A6,'Picks by Player'!E$3:F$12,2,0))</f>
        <v>Maryland</v>
      </c>
      <c r="H6" s="185" t="str">
        <f t="shared" si="4"/>
        <v>Big Ten</v>
      </c>
      <c r="I6" s="186" t="str">
        <f>if(iserror(VLOOKUP($A6,'Picks by Player'!G$3:H$12,2,0)),"", VLOOKUP($A6,'Picks by Player'!G$3:H$12,2,0))</f>
        <v>Wisconsin</v>
      </c>
      <c r="J6" s="185" t="str">
        <f t="shared" si="5"/>
        <v>Big Ten</v>
      </c>
      <c r="K6" s="186" t="str">
        <f>if(iserror(VLOOKUP($A6,'Picks by Player'!I$3:J$12,2,0)),"", VLOOKUP($A6,'Picks by Player'!I$3:J$12,2,0))</f>
        <v>Purdue</v>
      </c>
      <c r="L6" s="185" t="str">
        <f t="shared" si="6"/>
        <v>Big Ten</v>
      </c>
      <c r="M6" s="186" t="str">
        <f>if(iserror(VLOOKUP($A6,'Picks by Player'!K$3:L$12,2,0)),"", VLOOKUP($A6,'Picks by Player'!K$3:L$12,2,0))</f>
        <v>Penn State</v>
      </c>
      <c r="N6" s="185" t="str">
        <f t="shared" si="7"/>
        <v>Big Ten</v>
      </c>
      <c r="O6" s="186" t="str">
        <f>if(iserror(VLOOKUP($A6,'Picks by Player'!M$3:N$12,2,0)),"", VLOOKUP($A6,'Picks by Player'!M$3:N$12,2,0))</f>
        <v>Iowa</v>
      </c>
      <c r="P6" s="185" t="str">
        <f t="shared" si="8"/>
        <v>Big Ten</v>
      </c>
      <c r="Q6" s="186" t="str">
        <f>if(iserror(VLOOKUP($A6,'Picks by Player'!O$3:P$12,2,0)),"", VLOOKUP($A6,'Picks by Player'!O$3:P$12,2,0))</f>
        <v>Northwestern</v>
      </c>
      <c r="R6" t="str">
        <f t="shared" si="9"/>
        <v>Big Ten</v>
      </c>
      <c r="S6" t="str">
        <f>if(iserror(VLOOKUP($A6,'Picks by Player'!Q$3:R$12,2,0)),"", VLOOKUP($A6,'Picks by Player'!Q$3:R$12,2,0))</f>
        <v>Michigan</v>
      </c>
      <c r="T6" s="187" t="str">
        <f t="shared" si="10"/>
        <v>Big Ten</v>
      </c>
      <c r="U6" t="str">
        <f>if(iserror(VLOOKUP($A6,'Picks by Player'!S$3:T$12,2,0)),"", VLOOKUP($A6,'Picks by Player'!S$3:T$12,2,0))</f>
        <v>Minnesota</v>
      </c>
      <c r="V6" s="185" t="str">
        <f t="shared" si="11"/>
        <v>Big Ten</v>
      </c>
      <c r="W6" s="186" t="str">
        <f>if(iserror(VLOOKUP($A6,'Picks by Player'!U$3:V$12,2,0)),"", VLOOKUP($A6,'Picks by Player'!U$3:V$12,2,0))</f>
        <v>Indiana</v>
      </c>
      <c r="X6" s="185" t="str">
        <f t="shared" si="12"/>
        <v>Big Ten</v>
      </c>
      <c r="Y6" s="186" t="str">
        <f>if(iserror(VLOOKUP($A6,'Picks by Player'!W$3:X$12,2,0)),"", VLOOKUP($A6,'Picks by Player'!W$3:X$12,2,0))</f>
        <v>Ohio State</v>
      </c>
    </row>
    <row r="7">
      <c r="A7" t="s">
        <v>20</v>
      </c>
      <c r="B7" s="185" t="str">
        <f t="shared" si="1"/>
        <v>CUSA</v>
      </c>
      <c r="C7" s="186" t="str">
        <f>if(iserror(VLOOKUP($A7,'Picks by Player'!A$3:B$12,2,0)),"", VLOOKUP($A7,'Picks by Player'!A$3:B$12,2,0))</f>
        <v>UTSA</v>
      </c>
      <c r="D7" s="185" t="str">
        <f t="shared" si="2"/>
        <v>CUSA</v>
      </c>
      <c r="E7" s="186" t="str">
        <f>if(iserror(VLOOKUP($A7,'Picks by Player'!C$3:D$12,2,0)),"", VLOOKUP($A7,'Picks by Player'!C$3:D$12,2,0))</f>
        <v>Old Dominion</v>
      </c>
      <c r="F7" s="185" t="str">
        <f t="shared" si="3"/>
        <v>CUSA</v>
      </c>
      <c r="G7" s="186" t="str">
        <f>if(iserror(VLOOKUP($A7,'Picks by Player'!E$3:F$12,2,0)),"", VLOOKUP($A7,'Picks by Player'!E$3:F$12,2,0))</f>
        <v>Marshall</v>
      </c>
      <c r="H7" s="185" t="str">
        <f t="shared" si="4"/>
        <v>CUSA</v>
      </c>
      <c r="I7" s="186" t="str">
        <f>if(iserror(VLOOKUP($A7,'Picks by Player'!G$3:H$12,2,0)),"", VLOOKUP($A7,'Picks by Player'!G$3:H$12,2,0))</f>
        <v>Charlotte</v>
      </c>
      <c r="J7" s="185" t="str">
        <f t="shared" si="5"/>
        <v>CUSA</v>
      </c>
      <c r="K7" s="186" t="str">
        <f>if(iserror(VLOOKUP($A7,'Picks by Player'!I$3:J$12,2,0)),"", VLOOKUP($A7,'Picks by Player'!I$3:J$12,2,0))</f>
        <v>Middle Tennessee</v>
      </c>
      <c r="L7" s="185" t="str">
        <f t="shared" si="6"/>
        <v>CUSA</v>
      </c>
      <c r="M7" s="186" t="str">
        <f>if(iserror(VLOOKUP($A7,'Picks by Player'!K$3:L$12,2,0)),"", VLOOKUP($A7,'Picks by Player'!K$3:L$12,2,0))</f>
        <v>UAB</v>
      </c>
      <c r="N7" s="185" t="str">
        <f t="shared" si="7"/>
        <v>CUSA</v>
      </c>
      <c r="O7" s="186" t="str">
        <f>if(iserror(VLOOKUP($A7,'Picks by Player'!M$3:N$12,2,0)),"", VLOOKUP($A7,'Picks by Player'!M$3:N$12,2,0))</f>
        <v>Western Kentucky</v>
      </c>
      <c r="P7" s="185" t="str">
        <f t="shared" si="8"/>
        <v>CUSA</v>
      </c>
      <c r="Q7" s="186" t="str">
        <f>if(iserror(VLOOKUP($A7,'Picks by Player'!O$3:P$12,2,0)),"", VLOOKUP($A7,'Picks by Player'!O$3:P$12,2,0))</f>
        <v>Florida Intl</v>
      </c>
      <c r="R7" t="str">
        <f t="shared" si="9"/>
        <v>CUSA</v>
      </c>
      <c r="S7" t="str">
        <f>if(iserror(VLOOKUP($A7,'Picks by Player'!Q$3:R$12,2,0)),"", VLOOKUP($A7,'Picks by Player'!Q$3:R$12,2,0))</f>
        <v>North Texas</v>
      </c>
      <c r="T7" s="187" t="str">
        <f t="shared" si="10"/>
        <v>CUSA</v>
      </c>
      <c r="U7" t="str">
        <f>if(iserror(VLOOKUP($A7,'Picks by Player'!S$3:T$12,2,0)),"", VLOOKUP($A7,'Picks by Player'!S$3:T$12,2,0))</f>
        <v>Southern Mississippi</v>
      </c>
      <c r="V7" s="185" t="str">
        <f t="shared" si="11"/>
        <v>CUSA</v>
      </c>
      <c r="W7" s="186" t="str">
        <f>if(iserror(VLOOKUP($A7,'Picks by Player'!U$3:V$12,2,0)),"", VLOOKUP($A7,'Picks by Player'!U$3:V$12,2,0))</f>
        <v>Louisiana Tech</v>
      </c>
      <c r="X7" s="185" t="str">
        <f t="shared" si="12"/>
        <v>CUSA</v>
      </c>
      <c r="Y7" s="186" t="str">
        <f>if(iserror(VLOOKUP($A7,'Picks by Player'!W$3:X$12,2,0)),"", VLOOKUP($A7,'Picks by Player'!W$3:X$12,2,0))</f>
        <v>Florida Atlantic</v>
      </c>
    </row>
    <row r="8">
      <c r="A8" t="s">
        <v>22</v>
      </c>
      <c r="B8" s="185" t="str">
        <f t="shared" si="1"/>
        <v>MAC</v>
      </c>
      <c r="C8" s="186" t="str">
        <f>if(iserror(VLOOKUP($A8,'Picks by Player'!A$3:B$12,2,0)),"", VLOOKUP($A8,'Picks by Player'!A$3:B$12,2,0))</f>
        <v>Ball State</v>
      </c>
      <c r="D8" s="185" t="str">
        <f t="shared" si="2"/>
        <v>MAC</v>
      </c>
      <c r="E8" s="186" t="str">
        <f>if(iserror(VLOOKUP($A8,'Picks by Player'!C$3:D$12,2,0)),"", VLOOKUP($A8,'Picks by Player'!C$3:D$12,2,0))</f>
        <v>Bowling Green</v>
      </c>
      <c r="F8" s="185" t="str">
        <f t="shared" si="3"/>
        <v>MAC</v>
      </c>
      <c r="G8" s="186" t="str">
        <f>if(iserror(VLOOKUP($A8,'Picks by Player'!E$3:F$12,2,0)),"", VLOOKUP($A8,'Picks by Player'!E$3:F$12,2,0))</f>
        <v>Ohio</v>
      </c>
      <c r="H8" s="185" t="str">
        <f t="shared" si="4"/>
        <v>MAC</v>
      </c>
      <c r="I8" s="186" t="str">
        <f>if(iserror(VLOOKUP($A8,'Picks by Player'!G$3:H$12,2,0)),"", VLOOKUP($A8,'Picks by Player'!G$3:H$12,2,0))</f>
        <v>Northern Illinois</v>
      </c>
      <c r="J8" s="185" t="str">
        <f t="shared" si="5"/>
        <v>MAC</v>
      </c>
      <c r="K8" s="186" t="str">
        <f>if(iserror(VLOOKUP($A8,'Picks by Player'!I$3:J$12,2,0)),"", VLOOKUP($A8,'Picks by Player'!I$3:J$12,2,0))</f>
        <v>Miami-OH</v>
      </c>
      <c r="L8" s="185" t="str">
        <f t="shared" si="6"/>
        <v>MAC</v>
      </c>
      <c r="M8" s="186" t="str">
        <f>if(iserror(VLOOKUP($A8,'Picks by Player'!K$3:L$12,2,0)),"", VLOOKUP($A8,'Picks by Player'!K$3:L$12,2,0))</f>
        <v>Western Michigan</v>
      </c>
      <c r="N8" s="185" t="str">
        <f t="shared" si="7"/>
        <v>MAC</v>
      </c>
      <c r="O8" s="186" t="str">
        <f>if(iserror(VLOOKUP($A8,'Picks by Player'!M$3:N$12,2,0)),"", VLOOKUP($A8,'Picks by Player'!M$3:N$12,2,0))</f>
        <v>Buffalo</v>
      </c>
      <c r="P8" s="185" t="str">
        <f t="shared" si="8"/>
        <v>MAC</v>
      </c>
      <c r="Q8" s="186" t="str">
        <f>if(iserror(VLOOKUP($A8,'Picks by Player'!O$3:P$12,2,0)),"", VLOOKUP($A8,'Picks by Player'!O$3:P$12,2,0))</f>
        <v>Akron</v>
      </c>
      <c r="R8" t="str">
        <f t="shared" si="9"/>
        <v>MAC</v>
      </c>
      <c r="S8" t="str">
        <f>if(iserror(VLOOKUP($A8,'Picks by Player'!Q$3:R$12,2,0)),"", VLOOKUP($A8,'Picks by Player'!Q$3:R$12,2,0))</f>
        <v>Kent State</v>
      </c>
      <c r="T8" s="187" t="str">
        <f t="shared" si="10"/>
        <v>MAC</v>
      </c>
      <c r="U8" t="str">
        <f>if(iserror(VLOOKUP($A8,'Picks by Player'!S$3:T$12,2,0)),"", VLOOKUP($A8,'Picks by Player'!S$3:T$12,2,0))</f>
        <v>Toledo</v>
      </c>
      <c r="V8" s="185" t="str">
        <f t="shared" si="11"/>
        <v>MAC</v>
      </c>
      <c r="W8" s="186" t="str">
        <f>if(iserror(VLOOKUP($A8,'Picks by Player'!U$3:V$12,2,0)),"", VLOOKUP($A8,'Picks by Player'!U$3:V$12,2,0))</f>
        <v>EMU</v>
      </c>
      <c r="X8" s="185" t="str">
        <f t="shared" si="12"/>
        <v>MAC</v>
      </c>
      <c r="Y8" s="186" t="str">
        <f>if(iserror(VLOOKUP($A8,'Picks by Player'!W$3:X$12,2,0)),"", VLOOKUP($A8,'Picks by Player'!W$3:X$12,2,0))</f>
        <v>Central Michigan</v>
      </c>
    </row>
    <row r="9">
      <c r="A9" t="s">
        <v>24</v>
      </c>
      <c r="B9" s="185" t="str">
        <f t="shared" si="1"/>
        <v>MWC</v>
      </c>
      <c r="C9" s="186" t="str">
        <f>if(iserror(VLOOKUP($A9,'Picks by Player'!A$3:B$12,2,0)),"", VLOOKUP($A9,'Picks by Player'!A$3:B$12,2,0))</f>
        <v>Fresno State</v>
      </c>
      <c r="D9" s="185" t="str">
        <f t="shared" si="2"/>
        <v>MWC</v>
      </c>
      <c r="E9" s="186" t="str">
        <f>if(iserror(VLOOKUP($A9,'Picks by Player'!C$3:D$12,2,0)),"", VLOOKUP($A9,'Picks by Player'!C$3:D$12,2,0))</f>
        <v>San Diego State</v>
      </c>
      <c r="F9" s="185" t="str">
        <f t="shared" si="3"/>
        <v>MWC</v>
      </c>
      <c r="G9" s="186" t="str">
        <f>if(iserror(VLOOKUP($A9,'Picks by Player'!E$3:F$12,2,0)),"", VLOOKUP($A9,'Picks by Player'!E$3:F$12,2,0))</f>
        <v>Utah State</v>
      </c>
      <c r="H9" s="185" t="str">
        <f t="shared" si="4"/>
        <v>MWC</v>
      </c>
      <c r="I9" s="186" t="str">
        <f>if(iserror(VLOOKUP($A9,'Picks by Player'!G$3:H$12,2,0)),"", VLOOKUP($A9,'Picks by Player'!G$3:H$12,2,0))</f>
        <v>Boise State</v>
      </c>
      <c r="J9" s="185" t="str">
        <f t="shared" si="5"/>
        <v>MWC</v>
      </c>
      <c r="K9" s="186" t="str">
        <f>if(iserror(VLOOKUP($A9,'Picks by Player'!I$3:J$12,2,0)),"", VLOOKUP($A9,'Picks by Player'!I$3:J$12,2,0))</f>
        <v>New Mexico</v>
      </c>
      <c r="L9" s="185" t="str">
        <f t="shared" si="6"/>
        <v>MWC</v>
      </c>
      <c r="M9" s="186" t="str">
        <f>if(iserror(VLOOKUP($A9,'Picks by Player'!K$3:L$12,2,0)),"", VLOOKUP($A9,'Picks by Player'!K$3:L$12,2,0))</f>
        <v>San José State</v>
      </c>
      <c r="N9" s="185" t="str">
        <f t="shared" si="7"/>
        <v>MWC</v>
      </c>
      <c r="O9" s="186" t="str">
        <f>if(iserror(VLOOKUP($A9,'Picks by Player'!M$3:N$12,2,0)),"", VLOOKUP($A9,'Picks by Player'!M$3:N$12,2,0))</f>
        <v>UNLV</v>
      </c>
      <c r="P9" s="185" t="str">
        <f t="shared" si="8"/>
        <v>MWC</v>
      </c>
      <c r="Q9" s="186" t="str">
        <f>if(iserror(VLOOKUP($A9,'Picks by Player'!O$3:P$12,2,0)),"", VLOOKUP($A9,'Picks by Player'!O$3:P$12,2,0))</f>
        <v>Air Force</v>
      </c>
      <c r="R9" t="str">
        <f t="shared" si="9"/>
        <v>MWC</v>
      </c>
      <c r="S9" t="str">
        <f>if(iserror(VLOOKUP($A9,'Picks by Player'!Q$3:R$12,2,0)),"", VLOOKUP($A9,'Picks by Player'!Q$3:R$12,2,0))</f>
        <v>Hawaii</v>
      </c>
      <c r="T9" s="187" t="str">
        <f t="shared" si="10"/>
        <v>MWC</v>
      </c>
      <c r="U9" t="str">
        <f>if(iserror(VLOOKUP($A9,'Picks by Player'!S$3:T$12,2,0)),"", VLOOKUP($A9,'Picks by Player'!S$3:T$12,2,0))</f>
        <v>Nevada</v>
      </c>
      <c r="V9" s="185" t="str">
        <f t="shared" si="11"/>
        <v>MWC</v>
      </c>
      <c r="W9" s="186" t="str">
        <f>if(iserror(VLOOKUP($A9,'Picks by Player'!U$3:V$12,2,0)),"", VLOOKUP($A9,'Picks by Player'!U$3:V$12,2,0))</f>
        <v>Colorado State</v>
      </c>
      <c r="X9" s="185" t="str">
        <f t="shared" si="12"/>
        <v>MWC</v>
      </c>
      <c r="Y9" s="186" t="str">
        <f>if(iserror(VLOOKUP($A9,'Picks by Player'!W$3:X$12,2,0)),"", VLOOKUP($A9,'Picks by Player'!W$3:X$12,2,0))</f>
        <v>Wyoming</v>
      </c>
    </row>
    <row r="10">
      <c r="A10" t="s">
        <v>26</v>
      </c>
      <c r="B10" s="185" t="str">
        <f t="shared" si="1"/>
        <v>Pac12</v>
      </c>
      <c r="C10" s="186" t="str">
        <f>if(iserror(VLOOKUP($A10,'Picks by Player'!A$3:B$12,2,0)),"", VLOOKUP($A10,'Picks by Player'!A$3:B$12,2,0))</f>
        <v>California</v>
      </c>
      <c r="D10" s="185" t="str">
        <f t="shared" si="2"/>
        <v>Pac12</v>
      </c>
      <c r="E10" s="186" t="str">
        <f>if(iserror(VLOOKUP($A10,'Picks by Player'!C$3:D$12,2,0)),"", VLOOKUP($A10,'Picks by Player'!C$3:D$12,2,0))</f>
        <v>Washington State</v>
      </c>
      <c r="F10" s="185" t="str">
        <f t="shared" si="3"/>
        <v>Pac12</v>
      </c>
      <c r="G10" s="186" t="str">
        <f>if(iserror(VLOOKUP($A10,'Picks by Player'!E$3:F$12,2,0)),"", VLOOKUP($A10,'Picks by Player'!E$3:F$12,2,0))</f>
        <v>UCLA</v>
      </c>
      <c r="H10" s="185" t="str">
        <f t="shared" si="4"/>
        <v>Pac12</v>
      </c>
      <c r="I10" s="186" t="str">
        <f>if(iserror(VLOOKUP($A10,'Picks by Player'!G$3:H$12,2,0)),"", VLOOKUP($A10,'Picks by Player'!G$3:H$12,2,0))</f>
        <v>Arizona</v>
      </c>
      <c r="J10" s="185" t="str">
        <f t="shared" si="5"/>
        <v>Pac12</v>
      </c>
      <c r="K10" s="186" t="str">
        <f>if(iserror(VLOOKUP($A10,'Picks by Player'!I$3:J$12,2,0)),"", VLOOKUP($A10,'Picks by Player'!I$3:J$12,2,0))</f>
        <v>Arizona State</v>
      </c>
      <c r="L10" s="185" t="str">
        <f t="shared" si="6"/>
        <v>Pac12</v>
      </c>
      <c r="M10" s="186" t="str">
        <f>if(iserror(VLOOKUP($A10,'Picks by Player'!K$3:L$12,2,0)),"", VLOOKUP($A10,'Picks by Player'!K$3:L$12,2,0))</f>
        <v>Colorado</v>
      </c>
      <c r="N10" s="185" t="str">
        <f t="shared" si="7"/>
        <v>Pac12</v>
      </c>
      <c r="O10" s="186" t="str">
        <f>if(iserror(VLOOKUP($A10,'Picks by Player'!M$3:N$12,2,0)),"", VLOOKUP($A10,'Picks by Player'!M$3:N$12,2,0))</f>
        <v>Oregon</v>
      </c>
      <c r="P10" s="185" t="str">
        <f t="shared" si="8"/>
        <v>Pac12</v>
      </c>
      <c r="Q10" s="186" t="str">
        <f>if(iserror(VLOOKUP($A10,'Picks by Player'!O$3:P$12,2,0)),"", VLOOKUP($A10,'Picks by Player'!O$3:P$12,2,0))</f>
        <v>Oregon State</v>
      </c>
      <c r="R10" t="str">
        <f t="shared" si="9"/>
        <v>Pac12</v>
      </c>
      <c r="S10" t="str">
        <f>if(iserror(VLOOKUP($A10,'Picks by Player'!Q$3:R$12,2,0)),"", VLOOKUP($A10,'Picks by Player'!Q$3:R$12,2,0))</f>
        <v>Washington</v>
      </c>
      <c r="T10" s="187" t="str">
        <f t="shared" si="10"/>
        <v>Pac12</v>
      </c>
      <c r="U10" t="str">
        <f>if(iserror(VLOOKUP($A10,'Picks by Player'!S$3:T$12,2,0)),"", VLOOKUP($A10,'Picks by Player'!S$3:T$12,2,0))</f>
        <v>USC</v>
      </c>
      <c r="V10" s="185" t="str">
        <f t="shared" si="11"/>
        <v>Pac12</v>
      </c>
      <c r="W10" s="186" t="str">
        <f>if(iserror(VLOOKUP($A10,'Picks by Player'!U$3:V$12,2,0)),"", VLOOKUP($A10,'Picks by Player'!U$3:V$12,2,0))</f>
        <v>Utah</v>
      </c>
      <c r="X10" s="185" t="str">
        <f t="shared" si="12"/>
        <v>Pac12</v>
      </c>
      <c r="Y10" s="186" t="str">
        <f>if(iserror(VLOOKUP($A10,'Picks by Player'!W$3:X$12,2,0)),"", VLOOKUP($A10,'Picks by Player'!W$3:X$12,2,0))</f>
        <v>Stanford</v>
      </c>
    </row>
    <row r="11">
      <c r="A11" t="s">
        <v>28</v>
      </c>
      <c r="B11" s="185" t="str">
        <f t="shared" si="1"/>
        <v>SEC</v>
      </c>
      <c r="C11" s="186" t="str">
        <f>if(iserror(VLOOKUP($A11,'Picks by Player'!A$3:B$12,2,0)),"", VLOOKUP($A11,'Picks by Player'!A$3:B$12,2,0))</f>
        <v>Alabama</v>
      </c>
      <c r="D11" s="185" t="str">
        <f t="shared" si="2"/>
        <v>SEC</v>
      </c>
      <c r="E11" s="186" t="str">
        <f>if(iserror(VLOOKUP($A11,'Picks by Player'!C$3:D$12,2,0)),"", VLOOKUP($A11,'Picks by Player'!C$3:D$12,2,0))</f>
        <v>LSU</v>
      </c>
      <c r="F11" s="185" t="str">
        <f t="shared" si="3"/>
        <v>SEC</v>
      </c>
      <c r="G11" s="186" t="str">
        <f>if(iserror(VLOOKUP($A11,'Picks by Player'!E$3:F$12,2,0)),"", VLOOKUP($A11,'Picks by Player'!E$3:F$12,2,0))</f>
        <v>Missouri</v>
      </c>
      <c r="H11" s="185" t="str">
        <f t="shared" si="4"/>
        <v>SEC</v>
      </c>
      <c r="I11" s="186" t="str">
        <f>if(iserror(VLOOKUP($A11,'Picks by Player'!G$3:H$12,2,0)),"", VLOOKUP($A11,'Picks by Player'!G$3:H$12,2,0))</f>
        <v>Arkansas</v>
      </c>
      <c r="J11" s="185" t="str">
        <f t="shared" si="5"/>
        <v>SEC</v>
      </c>
      <c r="K11" s="186" t="str">
        <f>if(iserror(VLOOKUP($A11,'Picks by Player'!I$3:J$12,2,0)),"", VLOOKUP($A11,'Picks by Player'!I$3:J$12,2,0))</f>
        <v>Georgia</v>
      </c>
      <c r="L11" s="185" t="str">
        <f t="shared" si="6"/>
        <v>SEC</v>
      </c>
      <c r="M11" s="186" t="str">
        <f>if(iserror(VLOOKUP($A11,'Picks by Player'!K$3:L$12,2,0)),"", VLOOKUP($A11,'Picks by Player'!K$3:L$12,2,0))</f>
        <v>Mississippi State</v>
      </c>
      <c r="N11" s="185" t="str">
        <f t="shared" si="7"/>
        <v>SEC</v>
      </c>
      <c r="O11" s="186" t="str">
        <f>if(iserror(VLOOKUP($A11,'Picks by Player'!M$3:N$12,2,0)),"", VLOOKUP($A11,'Picks by Player'!M$3:N$12,2,0))</f>
        <v>Tennessee</v>
      </c>
      <c r="P11" s="185" t="str">
        <f t="shared" si="8"/>
        <v>SEC</v>
      </c>
      <c r="Q11" s="186" t="str">
        <f>if(iserror(VLOOKUP($A11,'Picks by Player'!O$3:P$12,2,0)),"", VLOOKUP($A11,'Picks by Player'!O$3:P$12,2,0))</f>
        <v>Florida</v>
      </c>
      <c r="R11" t="str">
        <f t="shared" si="9"/>
        <v>SEC</v>
      </c>
      <c r="S11" t="str">
        <f>if(iserror(VLOOKUP($A11,'Picks by Player'!Q$3:R$12,2,0)),"", VLOOKUP($A11,'Picks by Player'!Q$3:R$12,2,0))</f>
        <v>Texas A&amp;M</v>
      </c>
      <c r="T11" s="187" t="str">
        <f t="shared" si="10"/>
        <v>SEC</v>
      </c>
      <c r="U11" t="str">
        <f>if(iserror(VLOOKUP($A11,'Picks by Player'!S$3:T$12,2,0)),"", VLOOKUP($A11,'Picks by Player'!S$3:T$12,2,0))</f>
        <v>Kentucky</v>
      </c>
      <c r="V11" s="185" t="str">
        <f t="shared" si="11"/>
        <v>SEC</v>
      </c>
      <c r="W11" s="186" t="str">
        <f>if(iserror(VLOOKUP($A11,'Picks by Player'!U$3:V$12,2,0)),"", VLOOKUP($A11,'Picks by Player'!U$3:V$12,2,0))</f>
        <v>South Carolina</v>
      </c>
      <c r="X11" s="185" t="str">
        <f t="shared" si="12"/>
        <v>SEC</v>
      </c>
      <c r="Y11" s="186" t="str">
        <f>if(iserror(VLOOKUP($A11,'Picks by Player'!W$3:X$12,2,0)),"", VLOOKUP($A11,'Picks by Player'!W$3:X$12,2,0))</f>
        <v>Auburn</v>
      </c>
    </row>
    <row r="12">
      <c r="A12" t="s">
        <v>30</v>
      </c>
      <c r="B12" s="188" t="str">
        <f t="shared" si="1"/>
        <v>Sun Belt</v>
      </c>
      <c r="C12" s="189" t="str">
        <f>if(iserror(VLOOKUP($A12,'Picks by Player'!A$3:B$12,2,0)),"", VLOOKUP($A12,'Picks by Player'!A$3:B$12,2,0))</f>
        <v>Coastal Carolina</v>
      </c>
      <c r="D12" s="188" t="str">
        <f t="shared" si="2"/>
        <v>Sun Belt</v>
      </c>
      <c r="E12" s="189" t="str">
        <f>if(iserror(VLOOKUP($A12,'Picks by Player'!C$3:D$12,2,0)),"", VLOOKUP($A12,'Picks by Player'!C$3:D$12,2,0))</f>
        <v>New Mexico State</v>
      </c>
      <c r="F12" s="188" t="str">
        <f t="shared" si="3"/>
        <v>Sun Belt</v>
      </c>
      <c r="G12" s="189" t="str">
        <f>if(iserror(VLOOKUP($A12,'Picks by Player'!E$3:F$12,2,0)),"", VLOOKUP($A12,'Picks by Player'!E$3:F$12,2,0))</f>
        <v>UL Lafayette</v>
      </c>
      <c r="H12" s="188" t="str">
        <f t="shared" si="4"/>
        <v>Sun Belt</v>
      </c>
      <c r="I12" s="189" t="str">
        <f>if(iserror(VLOOKUP($A12,'Picks by Player'!G$3:H$12,2,0)),"", VLOOKUP($A12,'Picks by Player'!G$3:H$12,2,0))</f>
        <v>Georgia Southern</v>
      </c>
      <c r="J12" s="188" t="str">
        <f t="shared" si="5"/>
        <v>Sun Belt</v>
      </c>
      <c r="K12" s="189" t="str">
        <f>if(iserror(VLOOKUP($A12,'Picks by Player'!I$3:J$12,2,0)),"", VLOOKUP($A12,'Picks by Player'!I$3:J$12,2,0))</f>
        <v>Arkansas State</v>
      </c>
      <c r="L12" s="188" t="str">
        <f t="shared" si="6"/>
        <v>Sun Belt</v>
      </c>
      <c r="M12" s="189" t="str">
        <f>if(iserror(VLOOKUP($A12,'Picks by Player'!K$3:L$12,2,0)),"", VLOOKUP($A12,'Picks by Player'!K$3:L$12,2,0))</f>
        <v>UL Monroe</v>
      </c>
      <c r="N12" s="188" t="str">
        <f t="shared" si="7"/>
        <v>Sun Belt</v>
      </c>
      <c r="O12" s="189" t="str">
        <f>if(iserror(VLOOKUP($A12,'Picks by Player'!M$3:N$12,2,0)),"", VLOOKUP($A12,'Picks by Player'!M$3:N$12,2,0))</f>
        <v>Appalachian State</v>
      </c>
      <c r="P12" s="188" t="str">
        <f t="shared" si="8"/>
        <v>Sun Belt</v>
      </c>
      <c r="Q12" s="189" t="str">
        <f>if(iserror(VLOOKUP($A12,'Picks by Player'!O$3:P$12,2,0)),"", VLOOKUP($A12,'Picks by Player'!O$3:P$12,2,0))</f>
        <v>Georgia State</v>
      </c>
      <c r="R12" s="190" t="str">
        <f t="shared" si="9"/>
        <v>Sun Belt</v>
      </c>
      <c r="S12" s="190" t="str">
        <f>if(iserror(VLOOKUP($A12,'Picks by Player'!Q$3:R$12,2,0)),"", VLOOKUP($A12,'Picks by Player'!Q$3:R$12,2,0))</f>
        <v>South Alabama</v>
      </c>
      <c r="T12" s="191" t="str">
        <f t="shared" si="10"/>
        <v>Sun Belt</v>
      </c>
      <c r="U12" s="190" t="str">
        <f>if(iserror(VLOOKUP($A12,'Picks by Player'!S$3:T$12,2,0)),"", VLOOKUP($A12,'Picks by Player'!S$3:T$12,2,0))</f>
        <v>Army</v>
      </c>
      <c r="V12" s="188" t="str">
        <f t="shared" si="11"/>
        <v>Sun Belt</v>
      </c>
      <c r="W12" s="189" t="str">
        <f>if(iserror(VLOOKUP($A12,'Picks by Player'!U$3:V$12,2,0)),"", VLOOKUP($A12,'Picks by Player'!U$3:V$12,2,0))</f>
        <v>Texas State</v>
      </c>
      <c r="X12" s="188" t="str">
        <f t="shared" si="12"/>
        <v>Sun Belt</v>
      </c>
      <c r="Y12" s="189" t="str">
        <f>if(iserror(VLOOKUP($A12,'Picks by Player'!W$3:X$12,2,0)),"", VLOOKUP($A12,'Picks by Player'!W$3:X$12,2,0))</f>
        <v>Troy</v>
      </c>
    </row>
  </sheetData>
  <mergeCells count="12"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1" max="71" width="13.5"/>
  </cols>
  <sheetData>
    <row r="1">
      <c r="A1" s="192" t="s">
        <v>1374</v>
      </c>
      <c r="B1" t="s">
        <v>5</v>
      </c>
      <c r="C1" t="s">
        <v>23</v>
      </c>
      <c r="D1" t="s">
        <v>32</v>
      </c>
      <c r="E1" t="s">
        <v>33</v>
      </c>
      <c r="F1" t="s">
        <v>35</v>
      </c>
      <c r="G1" t="s">
        <v>37</v>
      </c>
      <c r="H1" t="s">
        <v>42</v>
      </c>
      <c r="I1" t="s">
        <v>45</v>
      </c>
      <c r="J1" t="s">
        <v>49</v>
      </c>
      <c r="K1" t="s">
        <v>52</v>
      </c>
      <c r="L1" t="s">
        <v>56</v>
      </c>
      <c r="M1" t="s">
        <v>59</v>
      </c>
      <c r="N1" t="s">
        <v>61</v>
      </c>
      <c r="O1" t="s">
        <v>68</v>
      </c>
      <c r="P1" t="s">
        <v>72</v>
      </c>
      <c r="Q1" t="s">
        <v>76</v>
      </c>
      <c r="R1" t="s">
        <v>80</v>
      </c>
      <c r="S1" t="s">
        <v>84</v>
      </c>
      <c r="T1" t="s">
        <v>87</v>
      </c>
      <c r="U1" t="s">
        <v>88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110</v>
      </c>
      <c r="AO1" t="s">
        <v>111</v>
      </c>
      <c r="AP1" t="s">
        <v>112</v>
      </c>
      <c r="AQ1" t="s">
        <v>113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1375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  <c r="BF1" t="s">
        <v>129</v>
      </c>
      <c r="BG1" t="s">
        <v>130</v>
      </c>
      <c r="BH1" t="s">
        <v>131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1376</v>
      </c>
      <c r="BT1" t="s">
        <v>143</v>
      </c>
      <c r="BU1" s="1" t="s">
        <v>1377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152</v>
      </c>
      <c r="CD1" t="s">
        <v>1378</v>
      </c>
      <c r="CE1" t="s">
        <v>154</v>
      </c>
      <c r="CF1" t="s">
        <v>155</v>
      </c>
      <c r="CG1" t="s">
        <v>156</v>
      </c>
      <c r="CH1" t="s">
        <v>1379</v>
      </c>
      <c r="CI1" t="s">
        <v>158</v>
      </c>
      <c r="CJ1" t="s">
        <v>159</v>
      </c>
      <c r="CK1" t="s">
        <v>160</v>
      </c>
      <c r="CL1" t="s">
        <v>161</v>
      </c>
      <c r="CM1" t="s">
        <v>162</v>
      </c>
      <c r="CN1" t="s">
        <v>163</v>
      </c>
      <c r="CO1" t="s">
        <v>164</v>
      </c>
      <c r="CP1" t="s">
        <v>165</v>
      </c>
      <c r="CQ1" t="s">
        <v>166</v>
      </c>
      <c r="CR1" t="s">
        <v>167</v>
      </c>
      <c r="CS1" t="s">
        <v>168</v>
      </c>
      <c r="CT1" t="s">
        <v>169</v>
      </c>
      <c r="CU1" t="s">
        <v>170</v>
      </c>
      <c r="CV1" t="s">
        <v>171</v>
      </c>
      <c r="CW1" t="s">
        <v>172</v>
      </c>
      <c r="CX1" t="s">
        <v>114</v>
      </c>
      <c r="CY1" t="s">
        <v>173</v>
      </c>
      <c r="CZ1" t="s">
        <v>174</v>
      </c>
      <c r="DA1" t="s">
        <v>175</v>
      </c>
      <c r="DB1" t="s">
        <v>176</v>
      </c>
      <c r="DC1" t="s">
        <v>177</v>
      </c>
      <c r="DD1" t="s">
        <v>178</v>
      </c>
      <c r="DE1" t="s">
        <v>179</v>
      </c>
      <c r="DF1" t="s">
        <v>180</v>
      </c>
      <c r="DG1" t="s">
        <v>181</v>
      </c>
      <c r="DH1" t="s">
        <v>182</v>
      </c>
      <c r="DI1" t="s">
        <v>183</v>
      </c>
      <c r="DJ1" t="s">
        <v>1380</v>
      </c>
      <c r="DK1" t="s">
        <v>185</v>
      </c>
      <c r="DL1" t="s">
        <v>186</v>
      </c>
      <c r="DM1" t="s">
        <v>187</v>
      </c>
      <c r="DN1" t="s">
        <v>188</v>
      </c>
      <c r="DO1" t="s">
        <v>189</v>
      </c>
      <c r="DP1" t="s">
        <v>1381</v>
      </c>
      <c r="DQ1" t="s">
        <v>191</v>
      </c>
      <c r="DR1" t="s">
        <v>192</v>
      </c>
      <c r="DS1" t="s">
        <v>193</v>
      </c>
      <c r="DT1" t="s">
        <v>194</v>
      </c>
      <c r="DU1" t="s">
        <v>195</v>
      </c>
      <c r="DV1" t="s">
        <v>196</v>
      </c>
      <c r="DW1" t="s">
        <v>109</v>
      </c>
      <c r="DX1" t="s">
        <v>197</v>
      </c>
      <c r="DY1" t="s">
        <v>198</v>
      </c>
      <c r="DZ1" t="s">
        <v>107</v>
      </c>
      <c r="EA1" t="s">
        <v>66</v>
      </c>
    </row>
    <row r="2">
      <c r="A2" s="193" t="s">
        <v>1382</v>
      </c>
      <c r="B2" t="s">
        <v>1383</v>
      </c>
      <c r="C2" t="s">
        <v>1384</v>
      </c>
      <c r="D2" t="s">
        <v>1385</v>
      </c>
      <c r="E2" t="s">
        <v>1386</v>
      </c>
      <c r="F2" t="s">
        <v>1387</v>
      </c>
      <c r="G2" t="s">
        <v>1388</v>
      </c>
      <c r="H2" t="s">
        <v>42</v>
      </c>
      <c r="I2" t="s">
        <v>1389</v>
      </c>
      <c r="J2" t="s">
        <v>1390</v>
      </c>
      <c r="K2" t="s">
        <v>1391</v>
      </c>
      <c r="L2" t="s">
        <v>1392</v>
      </c>
      <c r="M2" t="s">
        <v>59</v>
      </c>
      <c r="N2" t="s">
        <v>1393</v>
      </c>
      <c r="O2" t="s">
        <v>1394</v>
      </c>
      <c r="P2" t="s">
        <v>1395</v>
      </c>
      <c r="Q2" t="s">
        <v>1396</v>
      </c>
      <c r="R2" t="s">
        <v>1397</v>
      </c>
      <c r="S2" t="s">
        <v>1398</v>
      </c>
      <c r="T2" s="1" t="s">
        <v>1399</v>
      </c>
      <c r="U2" t="s">
        <v>1400</v>
      </c>
      <c r="V2" t="s">
        <v>1401</v>
      </c>
      <c r="W2" t="s">
        <v>1402</v>
      </c>
      <c r="X2" t="s">
        <v>1403</v>
      </c>
      <c r="Y2" t="s">
        <v>1404</v>
      </c>
      <c r="Z2" t="s">
        <v>1405</v>
      </c>
      <c r="AA2" t="s">
        <v>1406</v>
      </c>
      <c r="AB2" t="s">
        <v>1407</v>
      </c>
      <c r="AC2" t="s">
        <v>1408</v>
      </c>
      <c r="AD2" t="s">
        <v>1409</v>
      </c>
      <c r="AE2" t="s">
        <v>1410</v>
      </c>
      <c r="AF2" t="s">
        <v>1411</v>
      </c>
      <c r="AG2" t="s">
        <v>1412</v>
      </c>
      <c r="AH2" t="s">
        <v>102</v>
      </c>
      <c r="AI2" t="s">
        <v>1413</v>
      </c>
      <c r="AJ2" t="s">
        <v>1414</v>
      </c>
      <c r="AK2" t="s">
        <v>1415</v>
      </c>
      <c r="AL2" t="s">
        <v>1416</v>
      </c>
      <c r="AM2" t="s">
        <v>1417</v>
      </c>
      <c r="AN2" t="s">
        <v>1418</v>
      </c>
      <c r="AO2" t="s">
        <v>1419</v>
      </c>
      <c r="AP2" t="s">
        <v>1420</v>
      </c>
      <c r="AQ2" t="s">
        <v>1421</v>
      </c>
      <c r="AR2" t="s">
        <v>1422</v>
      </c>
      <c r="AS2" t="s">
        <v>1423</v>
      </c>
      <c r="AT2" t="s">
        <v>1424</v>
      </c>
      <c r="AU2" t="s">
        <v>1425</v>
      </c>
      <c r="AV2" t="s">
        <v>1426</v>
      </c>
      <c r="AW2" t="s">
        <v>1427</v>
      </c>
      <c r="AX2" t="s">
        <v>1428</v>
      </c>
      <c r="AY2" t="s">
        <v>1429</v>
      </c>
      <c r="AZ2" t="s">
        <v>1430</v>
      </c>
      <c r="BA2" t="s">
        <v>1431</v>
      </c>
      <c r="BB2" s="1" t="s">
        <v>1432</v>
      </c>
      <c r="BC2" t="s">
        <v>1433</v>
      </c>
      <c r="BD2" t="s">
        <v>1434</v>
      </c>
      <c r="BE2" t="s">
        <v>1435</v>
      </c>
      <c r="BF2" t="s">
        <v>1436</v>
      </c>
      <c r="BG2" t="s">
        <v>1437</v>
      </c>
      <c r="BH2" t="s">
        <v>1438</v>
      </c>
      <c r="BI2" s="1" t="s">
        <v>1439</v>
      </c>
      <c r="BJ2" t="s">
        <v>133</v>
      </c>
      <c r="BK2" t="s">
        <v>134</v>
      </c>
      <c r="BL2" t="s">
        <v>1440</v>
      </c>
      <c r="BM2" t="s">
        <v>136</v>
      </c>
      <c r="BN2" s="1" t="s">
        <v>1441</v>
      </c>
      <c r="BO2" t="s">
        <v>1442</v>
      </c>
      <c r="BP2" t="s">
        <v>1443</v>
      </c>
      <c r="BQ2" t="s">
        <v>1444</v>
      </c>
      <c r="BR2" t="s">
        <v>1445</v>
      </c>
      <c r="BS2" t="s">
        <v>142</v>
      </c>
      <c r="BT2" t="s">
        <v>1446</v>
      </c>
      <c r="BU2" t="s">
        <v>1447</v>
      </c>
      <c r="BV2" t="s">
        <v>1448</v>
      </c>
      <c r="BW2" t="s">
        <v>1449</v>
      </c>
      <c r="BX2" t="s">
        <v>1450</v>
      </c>
      <c r="BY2" t="s">
        <v>1451</v>
      </c>
      <c r="BZ2" t="s">
        <v>1452</v>
      </c>
      <c r="CA2" t="s">
        <v>1453</v>
      </c>
      <c r="CB2" t="s">
        <v>1454</v>
      </c>
      <c r="CC2" t="s">
        <v>1455</v>
      </c>
      <c r="CD2" t="s">
        <v>1456</v>
      </c>
      <c r="CE2" t="s">
        <v>1457</v>
      </c>
      <c r="CF2" t="s">
        <v>1458</v>
      </c>
      <c r="CG2" t="s">
        <v>1459</v>
      </c>
      <c r="CH2" t="s">
        <v>1460</v>
      </c>
      <c r="CI2" t="s">
        <v>158</v>
      </c>
      <c r="CJ2" t="s">
        <v>1461</v>
      </c>
      <c r="CK2" t="s">
        <v>1462</v>
      </c>
      <c r="CL2" t="s">
        <v>1463</v>
      </c>
      <c r="CM2" t="s">
        <v>1464</v>
      </c>
      <c r="CN2" t="s">
        <v>1465</v>
      </c>
      <c r="CO2" t="s">
        <v>1466</v>
      </c>
      <c r="CP2" t="s">
        <v>1467</v>
      </c>
      <c r="CQ2" t="s">
        <v>1468</v>
      </c>
      <c r="CR2" t="s">
        <v>1469</v>
      </c>
      <c r="CS2" t="s">
        <v>168</v>
      </c>
      <c r="CT2" t="s">
        <v>169</v>
      </c>
      <c r="CU2" t="s">
        <v>1470</v>
      </c>
      <c r="CV2" t="s">
        <v>1471</v>
      </c>
      <c r="CW2" t="s">
        <v>1472</v>
      </c>
      <c r="CX2" t="s">
        <v>1473</v>
      </c>
      <c r="CY2" t="s">
        <v>1474</v>
      </c>
      <c r="CZ2" t="s">
        <v>1475</v>
      </c>
      <c r="DA2" t="s">
        <v>1476</v>
      </c>
      <c r="DB2" t="s">
        <v>1477</v>
      </c>
      <c r="DC2" t="s">
        <v>1478</v>
      </c>
      <c r="DD2" t="s">
        <v>178</v>
      </c>
      <c r="DE2" t="s">
        <v>1479</v>
      </c>
      <c r="DF2" t="s">
        <v>1480</v>
      </c>
      <c r="DG2" t="s">
        <v>1481</v>
      </c>
      <c r="DH2" t="s">
        <v>1482</v>
      </c>
      <c r="DI2" t="s">
        <v>1483</v>
      </c>
      <c r="DJ2" t="s">
        <v>1484</v>
      </c>
      <c r="DK2" t="s">
        <v>1485</v>
      </c>
      <c r="DL2" t="s">
        <v>1486</v>
      </c>
      <c r="DM2" t="s">
        <v>1487</v>
      </c>
      <c r="DN2" t="s">
        <v>1488</v>
      </c>
      <c r="DO2" t="s">
        <v>1489</v>
      </c>
      <c r="DP2" t="s">
        <v>1490</v>
      </c>
      <c r="DQ2" t="s">
        <v>1491</v>
      </c>
      <c r="DR2" t="s">
        <v>1492</v>
      </c>
      <c r="DS2" t="s">
        <v>1493</v>
      </c>
      <c r="DT2" t="s">
        <v>1494</v>
      </c>
      <c r="DU2" t="s">
        <v>1495</v>
      </c>
      <c r="DV2" t="s">
        <v>1496</v>
      </c>
      <c r="DW2" t="s">
        <v>109</v>
      </c>
      <c r="DX2" t="s">
        <v>1497</v>
      </c>
      <c r="DY2" t="s">
        <v>1498</v>
      </c>
      <c r="DZ2" t="s">
        <v>1499</v>
      </c>
      <c r="EA2" t="s">
        <v>1500</v>
      </c>
    </row>
    <row r="3">
      <c r="A3" s="193" t="s">
        <v>1501</v>
      </c>
      <c r="B3" t="s">
        <v>5</v>
      </c>
      <c r="C3" t="s">
        <v>1502</v>
      </c>
      <c r="D3" t="s">
        <v>32</v>
      </c>
      <c r="E3" t="s">
        <v>33</v>
      </c>
      <c r="F3" t="s">
        <v>35</v>
      </c>
      <c r="G3" t="s">
        <v>37</v>
      </c>
      <c r="H3" t="s">
        <v>1503</v>
      </c>
      <c r="I3" t="s">
        <v>45</v>
      </c>
      <c r="J3" t="s">
        <v>49</v>
      </c>
      <c r="K3" t="s">
        <v>52</v>
      </c>
      <c r="L3" t="s">
        <v>56</v>
      </c>
      <c r="M3" t="s">
        <v>1504</v>
      </c>
      <c r="N3" t="s">
        <v>61</v>
      </c>
      <c r="O3" t="s">
        <v>68</v>
      </c>
      <c r="P3" t="s">
        <v>72</v>
      </c>
      <c r="Q3" t="s">
        <v>76</v>
      </c>
      <c r="R3" t="s">
        <v>80</v>
      </c>
      <c r="S3" t="s">
        <v>84</v>
      </c>
      <c r="T3" s="1" t="s">
        <v>1505</v>
      </c>
      <c r="U3" t="s">
        <v>1506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1507</v>
      </c>
      <c r="AI3" t="s">
        <v>103</v>
      </c>
      <c r="AJ3" t="s">
        <v>104</v>
      </c>
      <c r="AK3" t="s">
        <v>105</v>
      </c>
      <c r="AL3" t="s">
        <v>106</v>
      </c>
      <c r="AM3" t="s">
        <v>108</v>
      </c>
      <c r="AN3" t="s">
        <v>110</v>
      </c>
      <c r="AO3" t="s">
        <v>111</v>
      </c>
      <c r="AP3" t="s">
        <v>112</v>
      </c>
      <c r="AQ3" t="s">
        <v>113</v>
      </c>
      <c r="AR3" t="s">
        <v>115</v>
      </c>
      <c r="AS3" t="s">
        <v>116</v>
      </c>
      <c r="AT3" t="s">
        <v>117</v>
      </c>
      <c r="AU3" t="s">
        <v>118</v>
      </c>
      <c r="AV3" t="s">
        <v>119</v>
      </c>
      <c r="AW3" t="s">
        <v>120</v>
      </c>
      <c r="AX3" t="s">
        <v>121</v>
      </c>
      <c r="AY3" t="s">
        <v>122</v>
      </c>
      <c r="AZ3" t="s">
        <v>123</v>
      </c>
      <c r="BA3" t="s">
        <v>124</v>
      </c>
      <c r="BB3" t="s">
        <v>125</v>
      </c>
      <c r="BC3" t="s">
        <v>126</v>
      </c>
      <c r="BD3" t="s">
        <v>1508</v>
      </c>
      <c r="BE3" t="s">
        <v>128</v>
      </c>
      <c r="BF3" t="s">
        <v>129</v>
      </c>
      <c r="BG3" t="s">
        <v>130</v>
      </c>
      <c r="BH3" t="s">
        <v>1509</v>
      </c>
      <c r="BI3" t="s">
        <v>1510</v>
      </c>
      <c r="BJ3" t="s">
        <v>133</v>
      </c>
      <c r="BK3" t="s">
        <v>1511</v>
      </c>
      <c r="BL3" t="s">
        <v>135</v>
      </c>
      <c r="BM3" t="s">
        <v>136</v>
      </c>
      <c r="BN3" t="s">
        <v>137</v>
      </c>
      <c r="BO3" t="s">
        <v>138</v>
      </c>
      <c r="BP3" t="s">
        <v>1512</v>
      </c>
      <c r="BQ3" t="s">
        <v>1513</v>
      </c>
      <c r="BR3" t="s">
        <v>141</v>
      </c>
      <c r="BS3" t="s">
        <v>1376</v>
      </c>
      <c r="BT3" t="s">
        <v>143</v>
      </c>
      <c r="BU3" s="1" t="s">
        <v>1377</v>
      </c>
      <c r="BV3" t="s">
        <v>145</v>
      </c>
      <c r="BW3" t="s">
        <v>146</v>
      </c>
      <c r="BX3" t="s">
        <v>147</v>
      </c>
      <c r="BY3" t="s">
        <v>148</v>
      </c>
      <c r="BZ3" t="s">
        <v>149</v>
      </c>
      <c r="CA3" t="s">
        <v>150</v>
      </c>
      <c r="CB3" t="s">
        <v>151</v>
      </c>
      <c r="CC3" t="s">
        <v>152</v>
      </c>
      <c r="CD3" t="s">
        <v>153</v>
      </c>
      <c r="CE3" t="s">
        <v>154</v>
      </c>
      <c r="CF3" t="s">
        <v>155</v>
      </c>
      <c r="CG3" t="s">
        <v>156</v>
      </c>
      <c r="CH3" t="s">
        <v>1379</v>
      </c>
      <c r="CI3" t="s">
        <v>158</v>
      </c>
      <c r="CJ3" t="s">
        <v>159</v>
      </c>
      <c r="CK3" t="s">
        <v>160</v>
      </c>
      <c r="CL3" t="s">
        <v>161</v>
      </c>
      <c r="CM3" t="s">
        <v>162</v>
      </c>
      <c r="CN3" t="s">
        <v>163</v>
      </c>
      <c r="CO3" t="s">
        <v>164</v>
      </c>
      <c r="CP3" t="s">
        <v>165</v>
      </c>
      <c r="CQ3" t="s">
        <v>166</v>
      </c>
      <c r="CR3" t="s">
        <v>167</v>
      </c>
      <c r="CS3" t="s">
        <v>168</v>
      </c>
      <c r="CT3" t="s">
        <v>1514</v>
      </c>
      <c r="CU3" t="s">
        <v>170</v>
      </c>
      <c r="CV3" t="s">
        <v>171</v>
      </c>
      <c r="CW3" t="s">
        <v>172</v>
      </c>
      <c r="CX3" t="s">
        <v>114</v>
      </c>
      <c r="CY3" t="s">
        <v>173</v>
      </c>
      <c r="CZ3" t="s">
        <v>174</v>
      </c>
      <c r="DA3" t="s">
        <v>175</v>
      </c>
      <c r="DB3" t="s">
        <v>176</v>
      </c>
      <c r="DC3" t="s">
        <v>177</v>
      </c>
      <c r="DD3" t="s">
        <v>178</v>
      </c>
      <c r="DE3" t="s">
        <v>179</v>
      </c>
      <c r="DF3" t="s">
        <v>180</v>
      </c>
      <c r="DG3" t="s">
        <v>1515</v>
      </c>
      <c r="DH3" t="s">
        <v>182</v>
      </c>
      <c r="DI3" t="s">
        <v>183</v>
      </c>
      <c r="DJ3" t="s">
        <v>1516</v>
      </c>
      <c r="DK3" t="s">
        <v>185</v>
      </c>
      <c r="DL3" t="s">
        <v>186</v>
      </c>
      <c r="DM3" t="s">
        <v>187</v>
      </c>
      <c r="DN3" t="s">
        <v>188</v>
      </c>
      <c r="DO3" t="s">
        <v>189</v>
      </c>
      <c r="DP3" t="s">
        <v>1517</v>
      </c>
      <c r="DQ3" t="s">
        <v>1518</v>
      </c>
      <c r="DR3" t="s">
        <v>192</v>
      </c>
      <c r="DS3" t="s">
        <v>193</v>
      </c>
      <c r="DT3" t="s">
        <v>194</v>
      </c>
      <c r="DU3" t="s">
        <v>195</v>
      </c>
      <c r="DV3" t="s">
        <v>196</v>
      </c>
      <c r="DW3" t="s">
        <v>109</v>
      </c>
      <c r="DX3" t="s">
        <v>197</v>
      </c>
      <c r="DY3" t="s">
        <v>198</v>
      </c>
      <c r="DZ3" t="s">
        <v>107</v>
      </c>
      <c r="EA3" t="s">
        <v>1519</v>
      </c>
    </row>
    <row r="4">
      <c r="A4" s="192" t="s">
        <v>1520</v>
      </c>
      <c r="B4" t="s">
        <v>5</v>
      </c>
      <c r="C4" t="s">
        <v>23</v>
      </c>
      <c r="D4" t="s">
        <v>32</v>
      </c>
      <c r="E4" t="s">
        <v>33</v>
      </c>
      <c r="F4" t="s">
        <v>35</v>
      </c>
      <c r="G4" t="s">
        <v>37</v>
      </c>
      <c r="H4" t="s">
        <v>42</v>
      </c>
      <c r="I4" t="s">
        <v>45</v>
      </c>
      <c r="J4" t="s">
        <v>49</v>
      </c>
      <c r="K4" t="s">
        <v>52</v>
      </c>
      <c r="L4" t="s">
        <v>56</v>
      </c>
      <c r="M4" t="s">
        <v>59</v>
      </c>
      <c r="N4" t="s">
        <v>61</v>
      </c>
      <c r="O4" t="s">
        <v>68</v>
      </c>
      <c r="P4" t="s">
        <v>72</v>
      </c>
      <c r="Q4" t="s">
        <v>76</v>
      </c>
      <c r="R4" t="s">
        <v>80</v>
      </c>
      <c r="S4" t="s">
        <v>84</v>
      </c>
      <c r="T4" t="s">
        <v>87</v>
      </c>
      <c r="U4" t="s">
        <v>88</v>
      </c>
      <c r="V4" t="s">
        <v>90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102</v>
      </c>
      <c r="AI4" t="s">
        <v>103</v>
      </c>
      <c r="AJ4" t="s">
        <v>104</v>
      </c>
      <c r="AK4" t="s">
        <v>105</v>
      </c>
      <c r="AL4" t="s">
        <v>106</v>
      </c>
      <c r="AM4" t="s">
        <v>108</v>
      </c>
      <c r="AN4" t="s">
        <v>110</v>
      </c>
      <c r="AO4" t="s">
        <v>111</v>
      </c>
      <c r="AP4" t="s">
        <v>112</v>
      </c>
      <c r="AQ4" t="s">
        <v>113</v>
      </c>
      <c r="AR4" t="s">
        <v>115</v>
      </c>
      <c r="AS4" t="s">
        <v>116</v>
      </c>
      <c r="AT4" t="s">
        <v>117</v>
      </c>
      <c r="AU4" t="s">
        <v>118</v>
      </c>
      <c r="AV4" t="s">
        <v>119</v>
      </c>
      <c r="AW4" t="s">
        <v>120</v>
      </c>
      <c r="AX4" t="s">
        <v>121</v>
      </c>
      <c r="AY4" t="s">
        <v>122</v>
      </c>
      <c r="AZ4" t="s">
        <v>1375</v>
      </c>
      <c r="BA4" t="s">
        <v>124</v>
      </c>
      <c r="BB4" t="s">
        <v>125</v>
      </c>
      <c r="BC4" t="s">
        <v>126</v>
      </c>
      <c r="BD4" t="s">
        <v>127</v>
      </c>
      <c r="BE4" t="s">
        <v>128</v>
      </c>
      <c r="BF4" t="s">
        <v>129</v>
      </c>
      <c r="BG4" t="s">
        <v>130</v>
      </c>
      <c r="BH4" t="s">
        <v>1509</v>
      </c>
      <c r="BI4" t="s">
        <v>132</v>
      </c>
      <c r="BJ4" t="s">
        <v>133</v>
      </c>
      <c r="BK4" t="s">
        <v>134</v>
      </c>
      <c r="BL4" t="s">
        <v>135</v>
      </c>
      <c r="BM4" t="s">
        <v>136</v>
      </c>
      <c r="BN4" t="s">
        <v>137</v>
      </c>
      <c r="BO4" t="s">
        <v>138</v>
      </c>
      <c r="BP4" t="s">
        <v>139</v>
      </c>
      <c r="BQ4" t="s">
        <v>140</v>
      </c>
      <c r="BR4" t="s">
        <v>141</v>
      </c>
      <c r="BS4" t="s">
        <v>1376</v>
      </c>
      <c r="BT4" t="s">
        <v>143</v>
      </c>
      <c r="BU4" t="s">
        <v>1521</v>
      </c>
      <c r="BV4" t="s">
        <v>145</v>
      </c>
      <c r="BW4" t="s">
        <v>146</v>
      </c>
      <c r="BX4" t="s">
        <v>147</v>
      </c>
      <c r="BY4" t="s">
        <v>148</v>
      </c>
      <c r="BZ4" t="s">
        <v>149</v>
      </c>
      <c r="CA4" t="s">
        <v>150</v>
      </c>
      <c r="CB4" t="s">
        <v>151</v>
      </c>
      <c r="CC4" t="s">
        <v>152</v>
      </c>
      <c r="CD4" t="s">
        <v>153</v>
      </c>
      <c r="CE4" t="s">
        <v>154</v>
      </c>
      <c r="CF4" t="s">
        <v>155</v>
      </c>
      <c r="CG4" t="s">
        <v>156</v>
      </c>
      <c r="CH4" t="s">
        <v>1379</v>
      </c>
      <c r="CI4" t="s">
        <v>158</v>
      </c>
      <c r="CJ4" t="s">
        <v>159</v>
      </c>
      <c r="CK4" t="s">
        <v>160</v>
      </c>
      <c r="CL4" t="s">
        <v>161</v>
      </c>
      <c r="CM4" t="s">
        <v>162</v>
      </c>
      <c r="CN4" t="s">
        <v>163</v>
      </c>
      <c r="CO4" t="s">
        <v>164</v>
      </c>
      <c r="CP4" t="s">
        <v>165</v>
      </c>
      <c r="CQ4" t="s">
        <v>166</v>
      </c>
      <c r="CR4" t="s">
        <v>167</v>
      </c>
      <c r="CS4" t="s">
        <v>168</v>
      </c>
      <c r="CT4" t="s">
        <v>169</v>
      </c>
      <c r="CU4" t="s">
        <v>170</v>
      </c>
      <c r="CV4" t="s">
        <v>171</v>
      </c>
      <c r="CW4" t="s">
        <v>172</v>
      </c>
      <c r="CX4" t="s">
        <v>114</v>
      </c>
      <c r="CY4" t="s">
        <v>173</v>
      </c>
      <c r="CZ4" t="s">
        <v>174</v>
      </c>
      <c r="DA4" t="s">
        <v>175</v>
      </c>
      <c r="DB4" t="s">
        <v>176</v>
      </c>
      <c r="DC4" t="s">
        <v>177</v>
      </c>
      <c r="DD4" t="s">
        <v>178</v>
      </c>
      <c r="DE4" t="s">
        <v>179</v>
      </c>
      <c r="DF4" t="s">
        <v>180</v>
      </c>
      <c r="DG4" t="s">
        <v>181</v>
      </c>
      <c r="DH4" t="s">
        <v>182</v>
      </c>
      <c r="DI4" t="s">
        <v>183</v>
      </c>
      <c r="DJ4" t="s">
        <v>184</v>
      </c>
      <c r="DK4" t="s">
        <v>185</v>
      </c>
      <c r="DL4" t="s">
        <v>186</v>
      </c>
      <c r="DM4" t="s">
        <v>187</v>
      </c>
      <c r="DN4" t="s">
        <v>188</v>
      </c>
      <c r="DO4" t="s">
        <v>189</v>
      </c>
      <c r="DP4" s="1" t="s">
        <v>1522</v>
      </c>
      <c r="DQ4" t="s">
        <v>1523</v>
      </c>
      <c r="DR4" t="s">
        <v>192</v>
      </c>
      <c r="DS4" t="s">
        <v>193</v>
      </c>
      <c r="DT4" t="s">
        <v>194</v>
      </c>
      <c r="DU4" t="s">
        <v>195</v>
      </c>
      <c r="DV4" t="s">
        <v>196</v>
      </c>
      <c r="DW4" t="s">
        <v>109</v>
      </c>
      <c r="DX4" t="s">
        <v>197</v>
      </c>
      <c r="DY4" t="s">
        <v>198</v>
      </c>
      <c r="DZ4" t="s">
        <v>107</v>
      </c>
      <c r="EA4" t="s">
        <v>66</v>
      </c>
    </row>
    <row r="5">
      <c r="A5" s="192" t="s">
        <v>1524</v>
      </c>
      <c r="B5" t="s">
        <v>5</v>
      </c>
      <c r="C5" t="s">
        <v>23</v>
      </c>
      <c r="D5" t="s">
        <v>32</v>
      </c>
      <c r="E5" t="s">
        <v>33</v>
      </c>
      <c r="F5" t="s">
        <v>35</v>
      </c>
      <c r="G5" t="s">
        <v>37</v>
      </c>
      <c r="H5" t="s">
        <v>42</v>
      </c>
      <c r="I5" t="s">
        <v>45</v>
      </c>
      <c r="J5" t="s">
        <v>49</v>
      </c>
      <c r="K5" t="s">
        <v>52</v>
      </c>
      <c r="L5" t="s">
        <v>56</v>
      </c>
      <c r="M5" t="s">
        <v>59</v>
      </c>
      <c r="N5" t="s">
        <v>61</v>
      </c>
      <c r="O5" t="s">
        <v>68</v>
      </c>
      <c r="P5" t="s">
        <v>72</v>
      </c>
      <c r="Q5" t="s">
        <v>76</v>
      </c>
      <c r="R5" t="s">
        <v>80</v>
      </c>
      <c r="S5" t="s">
        <v>84</v>
      </c>
      <c r="T5" t="s">
        <v>87</v>
      </c>
      <c r="U5" t="s">
        <v>88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108</v>
      </c>
      <c r="AN5" t="s">
        <v>110</v>
      </c>
      <c r="AO5" t="s">
        <v>111</v>
      </c>
      <c r="AP5" t="s">
        <v>112</v>
      </c>
      <c r="AQ5" t="s">
        <v>113</v>
      </c>
      <c r="AR5" t="s">
        <v>115</v>
      </c>
      <c r="AS5" t="s">
        <v>116</v>
      </c>
      <c r="AT5" t="s">
        <v>117</v>
      </c>
      <c r="AU5" t="s">
        <v>118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131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138</v>
      </c>
      <c r="BP5" t="s">
        <v>139</v>
      </c>
      <c r="BQ5" t="s">
        <v>140</v>
      </c>
      <c r="BR5" t="s">
        <v>141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149</v>
      </c>
      <c r="CA5" t="s">
        <v>150</v>
      </c>
      <c r="CB5" t="s">
        <v>151</v>
      </c>
      <c r="CC5" t="s">
        <v>152</v>
      </c>
      <c r="CD5" t="s">
        <v>153</v>
      </c>
      <c r="CE5" t="s">
        <v>154</v>
      </c>
      <c r="CF5" t="s">
        <v>155</v>
      </c>
      <c r="CG5" t="s">
        <v>156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s">
        <v>162</v>
      </c>
      <c r="CN5" t="s">
        <v>163</v>
      </c>
      <c r="CO5" t="s">
        <v>164</v>
      </c>
      <c r="CP5" t="s">
        <v>165</v>
      </c>
      <c r="CQ5" t="s">
        <v>166</v>
      </c>
      <c r="CR5" t="s">
        <v>167</v>
      </c>
      <c r="CS5" t="s">
        <v>168</v>
      </c>
      <c r="CT5" t="s">
        <v>169</v>
      </c>
      <c r="CU5" t="s">
        <v>170</v>
      </c>
      <c r="CV5" t="s">
        <v>171</v>
      </c>
      <c r="CW5" t="s">
        <v>172</v>
      </c>
      <c r="CX5" t="s">
        <v>114</v>
      </c>
      <c r="CY5" t="s">
        <v>173</v>
      </c>
      <c r="CZ5" t="s">
        <v>174</v>
      </c>
      <c r="DA5" t="s">
        <v>175</v>
      </c>
      <c r="DB5" t="s">
        <v>176</v>
      </c>
      <c r="DC5" t="s">
        <v>177</v>
      </c>
      <c r="DD5" t="s">
        <v>178</v>
      </c>
      <c r="DE5" t="s">
        <v>179</v>
      </c>
      <c r="DF5" t="s">
        <v>180</v>
      </c>
      <c r="DG5" t="s">
        <v>181</v>
      </c>
      <c r="DH5" t="s">
        <v>182</v>
      </c>
      <c r="DI5" t="s">
        <v>183</v>
      </c>
      <c r="DJ5" t="s">
        <v>184</v>
      </c>
      <c r="DK5" t="s">
        <v>185</v>
      </c>
      <c r="DL5" t="s">
        <v>186</v>
      </c>
      <c r="DM5" t="s">
        <v>187</v>
      </c>
      <c r="DN5" t="s">
        <v>188</v>
      </c>
      <c r="DO5" t="s">
        <v>189</v>
      </c>
      <c r="DP5" t="s">
        <v>190</v>
      </c>
      <c r="DQ5" t="s">
        <v>191</v>
      </c>
      <c r="DR5" t="s">
        <v>192</v>
      </c>
      <c r="DS5" t="s">
        <v>193</v>
      </c>
      <c r="DT5" t="s">
        <v>194</v>
      </c>
      <c r="DU5" t="s">
        <v>195</v>
      </c>
      <c r="DV5" t="s">
        <v>196</v>
      </c>
      <c r="DW5" t="s">
        <v>109</v>
      </c>
      <c r="DX5" t="s">
        <v>197</v>
      </c>
      <c r="DY5" t="s">
        <v>198</v>
      </c>
      <c r="DZ5" t="s">
        <v>107</v>
      </c>
      <c r="EA5" t="s">
        <v>66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4.0"/>
    <col customWidth="1" min="13" max="13" width="6.38"/>
    <col customWidth="1" min="14" max="14" width="13.13"/>
    <col customWidth="1" min="15" max="15" width="6.38"/>
    <col customWidth="1" min="16" max="16" width="10.25"/>
    <col customWidth="1" min="17" max="17" width="6.38"/>
    <col customWidth="1" min="18" max="18" width="10.25"/>
    <col customWidth="1" min="19" max="19" width="6.38"/>
    <col customWidth="1" min="20" max="20" width="10.25"/>
    <col customWidth="1" min="21" max="21" width="6.13"/>
    <col customWidth="1" min="22" max="22" width="12.63"/>
    <col customWidth="1" min="23" max="23" width="6.13"/>
    <col customWidth="1" min="24" max="24" width="11.38"/>
  </cols>
  <sheetData>
    <row r="1">
      <c r="A1" s="175" t="str">
        <f>DraftTracker!D2</f>
        <v>DavEmily</v>
      </c>
      <c r="B1" s="176"/>
      <c r="C1" s="175" t="str">
        <f>DraftTracker!D3</f>
        <v>Nick A.</v>
      </c>
      <c r="D1" s="176"/>
      <c r="E1" s="175" t="str">
        <f>DraftTracker!D4</f>
        <v>Gary</v>
      </c>
      <c r="F1" s="176"/>
      <c r="G1" s="175" t="str">
        <f>DraftTracker!D5</f>
        <v>Janice/Mike</v>
      </c>
      <c r="H1" s="176"/>
      <c r="I1" s="175" t="str">
        <f>DraftTracker!D6</f>
        <v>Nico</v>
      </c>
      <c r="J1" s="176"/>
      <c r="K1" s="175" t="str">
        <f>DraftTracker!D7</f>
        <v>Jeannine</v>
      </c>
      <c r="L1" s="176"/>
      <c r="M1" s="175" t="str">
        <f>DraftTracker!D8</f>
        <v>Justin</v>
      </c>
      <c r="N1" s="176"/>
      <c r="O1" s="175" t="str">
        <f>DraftTracker!D9</f>
        <v>Adam</v>
      </c>
      <c r="P1" s="176"/>
      <c r="Q1" s="175" t="str">
        <f>DraftTracker!D10</f>
        <v>Vu</v>
      </c>
      <c r="R1" s="176"/>
      <c r="S1" s="175" t="str">
        <f>DraftTracker!D11</f>
        <v>Josh R.</v>
      </c>
      <c r="T1" s="176"/>
      <c r="U1" s="175" t="str">
        <f>DraftTracker!D12</f>
        <v>Brad</v>
      </c>
      <c r="V1" s="176"/>
      <c r="W1" s="175" t="str">
        <f>DraftTracker!D13</f>
        <v>Nick G.</v>
      </c>
      <c r="X1" s="176"/>
    </row>
    <row r="2">
      <c r="A2" s="178" t="s">
        <v>199</v>
      </c>
      <c r="B2" s="179" t="s">
        <v>227</v>
      </c>
      <c r="C2" s="178" t="s">
        <v>199</v>
      </c>
      <c r="D2" s="181" t="s">
        <v>227</v>
      </c>
      <c r="E2" s="180" t="s">
        <v>199</v>
      </c>
      <c r="F2" s="181" t="s">
        <v>227</v>
      </c>
      <c r="G2" s="180" t="s">
        <v>199</v>
      </c>
      <c r="H2" s="181" t="s">
        <v>227</v>
      </c>
      <c r="I2" s="180" t="s">
        <v>199</v>
      </c>
      <c r="J2" s="181" t="s">
        <v>227</v>
      </c>
      <c r="K2" s="180" t="s">
        <v>199</v>
      </c>
      <c r="L2" s="181" t="s">
        <v>227</v>
      </c>
      <c r="M2" s="180" t="s">
        <v>199</v>
      </c>
      <c r="N2" s="181" t="s">
        <v>227</v>
      </c>
      <c r="O2" s="180" t="s">
        <v>199</v>
      </c>
      <c r="P2" s="181" t="s">
        <v>227</v>
      </c>
      <c r="Q2" s="180" t="s">
        <v>199</v>
      </c>
      <c r="R2" s="181" t="s">
        <v>227</v>
      </c>
      <c r="S2" s="180" t="s">
        <v>199</v>
      </c>
      <c r="T2" s="181" t="s">
        <v>227</v>
      </c>
      <c r="U2" s="180" t="s">
        <v>199</v>
      </c>
      <c r="V2" s="181" t="s">
        <v>227</v>
      </c>
      <c r="W2" s="180" t="s">
        <v>199</v>
      </c>
      <c r="X2" s="181" t="s">
        <v>227</v>
      </c>
    </row>
    <row r="3">
      <c r="A3" s="171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Raw'!A:A&lt;&gt;""""))"),"SEC")</f>
        <v>SEC</v>
      </c>
      <c r="B3" s="194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Raw'!B:B&lt;&gt;""""))"),"Alabama")</f>
        <v>Alabama</v>
      </c>
      <c r="C3" s="171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Raw'!C:C&lt;&gt;""""))"),"ACC")</f>
        <v>ACC</v>
      </c>
      <c r="D3" s="194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Raw'!D:D&lt;&gt;""""))"),"Clemson")</f>
        <v>Clemson</v>
      </c>
      <c r="E3" s="171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Raw'!E:E&lt;&gt;""""))"),"MAC")</f>
        <v>MAC</v>
      </c>
      <c r="F3" s="194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Raw'!F:F&lt;&gt;""""))"),"Ohio")</f>
        <v>Ohio</v>
      </c>
      <c r="G3" s="171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Raw'!G:G&lt;&gt;""""))"),"MWC")</f>
        <v>MWC</v>
      </c>
      <c r="H3" s="194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Raw'!H:H&lt;&gt;""""))"),"Boise State")</f>
        <v>Boise State</v>
      </c>
      <c r="I3" s="171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Raw'!I:I&lt;&gt;""""))"),"SEC")</f>
        <v>SEC</v>
      </c>
      <c r="J3" s="194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Raw'!J:J&lt;&gt;""""))"),"Georgia")</f>
        <v>Georgia</v>
      </c>
      <c r="K3" s="171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Raw'!K:K&lt;&gt;""""))"),"Big 12")</f>
        <v>Big 12</v>
      </c>
      <c r="L3" s="194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Raw'!L:L&lt;&gt;""""))"),"Oklahoma")</f>
        <v>Oklahoma</v>
      </c>
      <c r="M3" s="171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Raw'!M:M&lt;&gt;""""))"),"Sun Belt")</f>
        <v>Sun Belt</v>
      </c>
      <c r="N3" s="194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Raw'!N:N&lt;&gt;""""))"),"Appalachian State")</f>
        <v>Appalachian State</v>
      </c>
      <c r="O3" s="171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Raw'!O:O&lt;&gt;""""))"),"AAC")</f>
        <v>AAC</v>
      </c>
      <c r="P3" s="194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Raw'!P:P&lt;&gt;""""))"),"UCF")</f>
        <v>UCF</v>
      </c>
      <c r="Q3" s="171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Raw'!Q:Q&lt;&gt;""""))"),"Pac12")</f>
        <v>Pac12</v>
      </c>
      <c r="R3" s="194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Raw'!R:R&lt;&gt;""""))"),"Washington")</f>
        <v>Washington</v>
      </c>
      <c r="S3" s="171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Raw'!S:S&lt;&gt;""""))"),"Sun Belt")</f>
        <v>Sun Belt</v>
      </c>
      <c r="T3" s="194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Raw'!T:T&lt;&gt;""""))"),"Army")</f>
        <v>Army</v>
      </c>
      <c r="U3" s="171" t="str">
        <f>IFERROR(__xludf.DUMMYFUNCTION("if(iserror(filter('Picks by Player Raw'!U:U,'Picks by Player Raw'!U:U &lt;&gt;U$1,'Picks by Player Raw'!U:U&lt;&gt;"""")),"""",filter('Picks by Player Raw'!U:U,'Picks by Player Raw'!U:U &lt;&gt;U$1,'Picks by Player Raw'!U:U&lt;&gt;""""))"),"AAC")</f>
        <v>AAC</v>
      </c>
      <c r="V3" s="194" t="str">
        <f>IFERROR(__xludf.DUMMYFUNCTION("if(iserror(filter('Picks by Player Raw'!V:V,'Picks by Player Raw'!V:V &lt;&gt;U$1,'Picks by Player Raw'!V:V&lt;&gt;"""")),"""",filter('Picks by Player Raw'!V:V,'Picks by Player Raw'!V:V &lt;&gt;U$1,'Picks by Player Raw'!V:V&lt;&gt;""""))"),"Memphis")</f>
        <v>Memphis</v>
      </c>
      <c r="W3" s="171" t="str">
        <f>IFERROR(__xludf.DUMMYFUNCTION("if(iserror(filter('Picks by Player Raw'!W:W,'Picks by Player Raw'!W:W &lt;&gt;W$1,'Picks by Player Raw'!W:W&lt;&gt;"""")),"""",filter('Picks by Player Raw'!W:W,'Picks by Player Raw'!W:W &lt;&gt;W$1,'Picks by Player Raw'!W:W&lt;&gt;""""))"),"Big Ten")</f>
        <v>Big Ten</v>
      </c>
      <c r="X3" s="194" t="str">
        <f>IFERROR(__xludf.DUMMYFUNCTION("if(iserror(filter('Picks by Player Raw'!X:X,'Picks by Player Raw'!X:X &lt;&gt;W$1,'Picks by Player Raw'!X:X&lt;&gt;"""")),"""",filter('Picks by Player Raw'!X:X,'Picks by Player Raw'!X:X &lt;&gt;W$1,'Picks by Player Raw'!X:X&lt;&gt;""""))"),"Ohio State")</f>
        <v>Ohio State</v>
      </c>
    </row>
    <row r="4">
      <c r="A4" s="195" t="str">
        <f>IFERROR(__xludf.DUMMYFUNCTION("""COMPUTED_VALUE"""),"Big 12")</f>
        <v>Big 12</v>
      </c>
      <c r="B4" s="2" t="str">
        <f>IFERROR(__xludf.DUMMYFUNCTION("""COMPUTED_VALUE"""),"Notre Dame")</f>
        <v>Notre Dame</v>
      </c>
      <c r="C4" s="195" t="str">
        <f>IFERROR(__xludf.DUMMYFUNCTION("""COMPUTED_VALUE"""),"Pac12")</f>
        <v>Pac12</v>
      </c>
      <c r="D4" s="2" t="str">
        <f>IFERROR(__xludf.DUMMYFUNCTION("""COMPUTED_VALUE"""),"Washington State")</f>
        <v>Washington State</v>
      </c>
      <c r="E4" s="195" t="str">
        <f>IFERROR(__xludf.DUMMYFUNCTION("""COMPUTED_VALUE"""),"Sun Belt")</f>
        <v>Sun Belt</v>
      </c>
      <c r="F4" s="2" t="str">
        <f>IFERROR(__xludf.DUMMYFUNCTION("""COMPUTED_VALUE"""),"UL Lafayette")</f>
        <v>UL Lafayette</v>
      </c>
      <c r="G4" s="195" t="str">
        <f>IFERROR(__xludf.DUMMYFUNCTION("""COMPUTED_VALUE"""),"Sun Belt")</f>
        <v>Sun Belt</v>
      </c>
      <c r="H4" s="2" t="str">
        <f>IFERROR(__xludf.DUMMYFUNCTION("""COMPUTED_VALUE"""),"Georgia Southern")</f>
        <v>Georgia Southern</v>
      </c>
      <c r="I4" s="195" t="str">
        <f>IFERROR(__xludf.DUMMYFUNCTION("""COMPUTED_VALUE"""),"Sun Belt")</f>
        <v>Sun Belt</v>
      </c>
      <c r="J4" s="2" t="str">
        <f>IFERROR(__xludf.DUMMYFUNCTION("""COMPUTED_VALUE"""),"Arkansas State")</f>
        <v>Arkansas State</v>
      </c>
      <c r="K4" s="195" t="str">
        <f>IFERROR(__xludf.DUMMYFUNCTION("""COMPUTED_VALUE"""),"MAC")</f>
        <v>MAC</v>
      </c>
      <c r="L4" s="2" t="str">
        <f>IFERROR(__xludf.DUMMYFUNCTION("""COMPUTED_VALUE"""),"Western Michigan")</f>
        <v>Western Michigan</v>
      </c>
      <c r="M4" s="195" t="str">
        <f>IFERROR(__xludf.DUMMYFUNCTION("""COMPUTED_VALUE"""),"Pac12")</f>
        <v>Pac12</v>
      </c>
      <c r="N4" s="2" t="str">
        <f>IFERROR(__xludf.DUMMYFUNCTION("""COMPUTED_VALUE"""),"Oregon")</f>
        <v>Oregon</v>
      </c>
      <c r="O4" s="195" t="str">
        <f>IFERROR(__xludf.DUMMYFUNCTION("""COMPUTED_VALUE"""),"Big 12")</f>
        <v>Big 12</v>
      </c>
      <c r="P4" s="2" t="str">
        <f>IFERROR(__xludf.DUMMYFUNCTION("""COMPUTED_VALUE"""),"Texas")</f>
        <v>Texas</v>
      </c>
      <c r="Q4" s="195" t="str">
        <f>IFERROR(__xludf.DUMMYFUNCTION("""COMPUTED_VALUE"""),"Big Ten")</f>
        <v>Big Ten</v>
      </c>
      <c r="R4" s="2" t="str">
        <f>IFERROR(__xludf.DUMMYFUNCTION("""COMPUTED_VALUE"""),"Michigan")</f>
        <v>Michigan</v>
      </c>
      <c r="S4" s="195" t="str">
        <f>IFERROR(__xludf.DUMMYFUNCTION("""COMPUTED_VALUE"""),"MAC")</f>
        <v>MAC</v>
      </c>
      <c r="T4" s="2" t="str">
        <f>IFERROR(__xludf.DUMMYFUNCTION("""COMPUTED_VALUE"""),"Toledo")</f>
        <v>Toledo</v>
      </c>
      <c r="U4" s="195" t="str">
        <f>IFERROR(__xludf.DUMMYFUNCTION("""COMPUTED_VALUE"""),"Pac12")</f>
        <v>Pac12</v>
      </c>
      <c r="V4" s="2" t="str">
        <f>IFERROR(__xludf.DUMMYFUNCTION("""COMPUTED_VALUE"""),"Utah")</f>
        <v>Utah</v>
      </c>
      <c r="W4" s="195" t="str">
        <f>IFERROR(__xludf.DUMMYFUNCTION("""COMPUTED_VALUE"""),"Sun Belt")</f>
        <v>Sun Belt</v>
      </c>
      <c r="X4" s="2" t="str">
        <f>IFERROR(__xludf.DUMMYFUNCTION("""COMPUTED_VALUE"""),"Troy")</f>
        <v>Troy</v>
      </c>
    </row>
    <row r="5">
      <c r="A5" s="195" t="str">
        <f>IFERROR(__xludf.DUMMYFUNCTION("""COMPUTED_VALUE"""),"MWC")</f>
        <v>MWC</v>
      </c>
      <c r="B5" s="2" t="str">
        <f>IFERROR(__xludf.DUMMYFUNCTION("""COMPUTED_VALUE"""),"Fresno State")</f>
        <v>Fresno State</v>
      </c>
      <c r="C5" s="195" t="str">
        <f>IFERROR(__xludf.DUMMYFUNCTION("""COMPUTED_VALUE"""),"MWC")</f>
        <v>MWC</v>
      </c>
      <c r="D5" s="2" t="str">
        <f>IFERROR(__xludf.DUMMYFUNCTION("""COMPUTED_VALUE"""),"San Diego State")</f>
        <v>San Diego State</v>
      </c>
      <c r="E5" s="195" t="str">
        <f>IFERROR(__xludf.DUMMYFUNCTION("""COMPUTED_VALUE"""),"MWC")</f>
        <v>MWC</v>
      </c>
      <c r="F5" s="2" t="str">
        <f>IFERROR(__xludf.DUMMYFUNCTION("""COMPUTED_VALUE"""),"Utah State")</f>
        <v>Utah State</v>
      </c>
      <c r="G5" s="195" t="str">
        <f>IFERROR(__xludf.DUMMYFUNCTION("""COMPUTED_VALUE"""),"MAC")</f>
        <v>MAC</v>
      </c>
      <c r="H5" s="2" t="str">
        <f>IFERROR(__xludf.DUMMYFUNCTION("""COMPUTED_VALUE"""),"Northern Illinois")</f>
        <v>Northern Illinois</v>
      </c>
      <c r="I5" s="195" t="str">
        <f>IFERROR(__xludf.DUMMYFUNCTION("""COMPUTED_VALUE"""),"AAC")</f>
        <v>AAC</v>
      </c>
      <c r="J5" s="2" t="str">
        <f>IFERROR(__xludf.DUMMYFUNCTION("""COMPUTED_VALUE"""),"Houston")</f>
        <v>Houston</v>
      </c>
      <c r="K5" s="195" t="str">
        <f>IFERROR(__xludf.DUMMYFUNCTION("""COMPUTED_VALUE"""),"Sun Belt")</f>
        <v>Sun Belt</v>
      </c>
      <c r="L5" s="2" t="str">
        <f>IFERROR(__xludf.DUMMYFUNCTION("""COMPUTED_VALUE"""),"UL Monroe")</f>
        <v>UL Monroe</v>
      </c>
      <c r="M5" s="195" t="str">
        <f>IFERROR(__xludf.DUMMYFUNCTION("""COMPUTED_VALUE"""),"AAC")</f>
        <v>AAC</v>
      </c>
      <c r="N5" s="2" t="str">
        <f>IFERROR(__xludf.DUMMYFUNCTION("""COMPUTED_VALUE"""),"South Florida")</f>
        <v>South Florida</v>
      </c>
      <c r="O5" s="195" t="str">
        <f>IFERROR(__xludf.DUMMYFUNCTION("""COMPUTED_VALUE"""),"MWC")</f>
        <v>MWC</v>
      </c>
      <c r="P5" s="2" t="str">
        <f>IFERROR(__xludf.DUMMYFUNCTION("""COMPUTED_VALUE"""),"Air Force")</f>
        <v>Air Force</v>
      </c>
      <c r="Q5" s="195" t="str">
        <f>IFERROR(__xludf.DUMMYFUNCTION("""COMPUTED_VALUE"""),"AAC")</f>
        <v>AAC</v>
      </c>
      <c r="R5" s="2" t="str">
        <f>IFERROR(__xludf.DUMMYFUNCTION("""COMPUTED_VALUE"""),"Cincinnati")</f>
        <v>Cincinnati</v>
      </c>
      <c r="S5" s="195" t="str">
        <f>IFERROR(__xludf.DUMMYFUNCTION("""COMPUTED_VALUE"""),"MWC")</f>
        <v>MWC</v>
      </c>
      <c r="T5" s="2" t="str">
        <f>IFERROR(__xludf.DUMMYFUNCTION("""COMPUTED_VALUE"""),"Nevada")</f>
        <v>Nevada</v>
      </c>
      <c r="U5" s="195" t="str">
        <f>IFERROR(__xludf.DUMMYFUNCTION("""COMPUTED_VALUE"""),"ACC")</f>
        <v>ACC</v>
      </c>
      <c r="V5" s="2" t="str">
        <f>IFERROR(__xludf.DUMMYFUNCTION("""COMPUTED_VALUE"""),"Miami")</f>
        <v>Miami</v>
      </c>
      <c r="W5" s="195" t="str">
        <f>IFERROR(__xludf.DUMMYFUNCTION("""COMPUTED_VALUE"""),"CUSA")</f>
        <v>CUSA</v>
      </c>
      <c r="X5" s="2" t="str">
        <f>IFERROR(__xludf.DUMMYFUNCTION("""COMPUTED_VALUE"""),"Florida Atlantic")</f>
        <v>Florida Atlantic</v>
      </c>
    </row>
    <row r="6">
      <c r="A6" s="195" t="str">
        <f>IFERROR(__xludf.DUMMYFUNCTION("""COMPUTED_VALUE"""),"ACC")</f>
        <v>ACC</v>
      </c>
      <c r="B6" s="2" t="str">
        <f>IFERROR(__xludf.DUMMYFUNCTION("""COMPUTED_VALUE"""),"Virginia Tech")</f>
        <v>Virginia Tech</v>
      </c>
      <c r="C6" s="195" t="str">
        <f>IFERROR(__xludf.DUMMYFUNCTION("""COMPUTED_VALUE"""),"Big 12")</f>
        <v>Big 12</v>
      </c>
      <c r="D6" s="2" t="str">
        <f>IFERROR(__xludf.DUMMYFUNCTION("""COMPUTED_VALUE"""),"Iowa State")</f>
        <v>Iowa State</v>
      </c>
      <c r="E6" s="195" t="str">
        <f>IFERROR(__xludf.DUMMYFUNCTION("""COMPUTED_VALUE"""),"AAC")</f>
        <v>AAC</v>
      </c>
      <c r="F6" s="2" t="str">
        <f>IFERROR(__xludf.DUMMYFUNCTION("""COMPUTED_VALUE"""),"Tulane")</f>
        <v>Tulane</v>
      </c>
      <c r="G6" s="195" t="str">
        <f>IFERROR(__xludf.DUMMYFUNCTION("""COMPUTED_VALUE"""),"AAC")</f>
        <v>AAC</v>
      </c>
      <c r="H6" s="2" t="str">
        <f>IFERROR(__xludf.DUMMYFUNCTION("""COMPUTED_VALUE"""),"Navy")</f>
        <v>Navy</v>
      </c>
      <c r="I6" s="195" t="str">
        <f>IFERROR(__xludf.DUMMYFUNCTION("""COMPUTED_VALUE"""),"MAC")</f>
        <v>MAC</v>
      </c>
      <c r="J6" s="2" t="str">
        <f>IFERROR(__xludf.DUMMYFUNCTION("""COMPUTED_VALUE"""),"Miami-OH")</f>
        <v>Miami-OH</v>
      </c>
      <c r="K6" s="195" t="str">
        <f>IFERROR(__xludf.DUMMYFUNCTION("""COMPUTED_VALUE"""),"AAC")</f>
        <v>AAC</v>
      </c>
      <c r="L6" s="2" t="str">
        <f>IFERROR(__xludf.DUMMYFUNCTION("""COMPUTED_VALUE"""),"SMU")</f>
        <v>SMU</v>
      </c>
      <c r="M6" s="195" t="str">
        <f>IFERROR(__xludf.DUMMYFUNCTION("""COMPUTED_VALUE"""),"MAC")</f>
        <v>MAC</v>
      </c>
      <c r="N6" s="2" t="str">
        <f>IFERROR(__xludf.DUMMYFUNCTION("""COMPUTED_VALUE"""),"Buffalo")</f>
        <v>Buffalo</v>
      </c>
      <c r="O6" s="195" t="str">
        <f>IFERROR(__xludf.DUMMYFUNCTION("""COMPUTED_VALUE"""),"CUSA")</f>
        <v>CUSA</v>
      </c>
      <c r="P6" s="2" t="str">
        <f>IFERROR(__xludf.DUMMYFUNCTION("""COMPUTED_VALUE"""),"Florida Intl")</f>
        <v>Florida Intl</v>
      </c>
      <c r="Q6" s="195" t="str">
        <f>IFERROR(__xludf.DUMMYFUNCTION("""COMPUTED_VALUE"""),"MWC")</f>
        <v>MWC</v>
      </c>
      <c r="R6" s="2" t="str">
        <f>IFERROR(__xludf.DUMMYFUNCTION("""COMPUTED_VALUE"""),"Hawaii")</f>
        <v>Hawaii</v>
      </c>
      <c r="S6" s="195" t="str">
        <f>IFERROR(__xludf.DUMMYFUNCTION("""COMPUTED_VALUE"""),"AAC")</f>
        <v>AAC</v>
      </c>
      <c r="T6" s="2" t="str">
        <f>IFERROR(__xludf.DUMMYFUNCTION("""COMPUTED_VALUE"""),"Temple")</f>
        <v>Temple</v>
      </c>
      <c r="U6" s="195" t="str">
        <f>IFERROR(__xludf.DUMMYFUNCTION("""COMPUTED_VALUE"""),"MAC")</f>
        <v>MAC</v>
      </c>
      <c r="V6" s="2" t="str">
        <f>IFERROR(__xludf.DUMMYFUNCTION("""COMPUTED_VALUE"""),"EMU")</f>
        <v>EMU</v>
      </c>
      <c r="W6" s="195" t="str">
        <f>IFERROR(__xludf.DUMMYFUNCTION("""COMPUTED_VALUE"""),"MWC")</f>
        <v>MWC</v>
      </c>
      <c r="X6" s="2" t="str">
        <f>IFERROR(__xludf.DUMMYFUNCTION("""COMPUTED_VALUE"""),"Wyoming")</f>
        <v>Wyoming</v>
      </c>
    </row>
    <row r="7">
      <c r="A7" s="195" t="str">
        <f>IFERROR(__xludf.DUMMYFUNCTION("""COMPUTED_VALUE"""),"Big Ten")</f>
        <v>Big Ten</v>
      </c>
      <c r="B7" s="2" t="str">
        <f>IFERROR(__xludf.DUMMYFUNCTION("""COMPUTED_VALUE"""),"Nebraska")</f>
        <v>Nebraska</v>
      </c>
      <c r="C7" s="195" t="str">
        <f>IFERROR(__xludf.DUMMYFUNCTION("""COMPUTED_VALUE"""),"SEC")</f>
        <v>SEC</v>
      </c>
      <c r="D7" s="2" t="str">
        <f>IFERROR(__xludf.DUMMYFUNCTION("""COMPUTED_VALUE"""),"LSU")</f>
        <v>LSU</v>
      </c>
      <c r="E7" s="195" t="str">
        <f>IFERROR(__xludf.DUMMYFUNCTION("""COMPUTED_VALUE"""),"CUSA")</f>
        <v>CUSA</v>
      </c>
      <c r="F7" s="2" t="str">
        <f>IFERROR(__xludf.DUMMYFUNCTION("""COMPUTED_VALUE"""),"Marshall")</f>
        <v>Marshall</v>
      </c>
      <c r="G7" s="195" t="str">
        <f>IFERROR(__xludf.DUMMYFUNCTION("""COMPUTED_VALUE"""),"Big Ten")</f>
        <v>Big Ten</v>
      </c>
      <c r="H7" s="2" t="str">
        <f>IFERROR(__xludf.DUMMYFUNCTION("""COMPUTED_VALUE"""),"Wisconsin")</f>
        <v>Wisconsin</v>
      </c>
      <c r="I7" s="195" t="str">
        <f>IFERROR(__xludf.DUMMYFUNCTION("""COMPUTED_VALUE"""),"MWC")</f>
        <v>MWC</v>
      </c>
      <c r="J7" s="2" t="str">
        <f>IFERROR(__xludf.DUMMYFUNCTION("""COMPUTED_VALUE"""),"New Mexico")</f>
        <v>New Mexico</v>
      </c>
      <c r="K7" s="195" t="str">
        <f>IFERROR(__xludf.DUMMYFUNCTION("""COMPUTED_VALUE"""),"Big Ten")</f>
        <v>Big Ten</v>
      </c>
      <c r="L7" s="2" t="str">
        <f>IFERROR(__xludf.DUMMYFUNCTION("""COMPUTED_VALUE"""),"Penn State")</f>
        <v>Penn State</v>
      </c>
      <c r="M7" s="195" t="str">
        <f>IFERROR(__xludf.DUMMYFUNCTION("""COMPUTED_VALUE"""),"MWC")</f>
        <v>MWC</v>
      </c>
      <c r="N7" s="2" t="str">
        <f>IFERROR(__xludf.DUMMYFUNCTION("""COMPUTED_VALUE"""),"UNLV")</f>
        <v>UNLV</v>
      </c>
      <c r="O7" s="195" t="str">
        <f>IFERROR(__xludf.DUMMYFUNCTION("""COMPUTED_VALUE"""),"Sun Belt")</f>
        <v>Sun Belt</v>
      </c>
      <c r="P7" s="2" t="str">
        <f>IFERROR(__xludf.DUMMYFUNCTION("""COMPUTED_VALUE"""),"Georgia State")</f>
        <v>Georgia State</v>
      </c>
      <c r="Q7" s="195" t="str">
        <f>IFERROR(__xludf.DUMMYFUNCTION("""COMPUTED_VALUE"""),"CUSA")</f>
        <v>CUSA</v>
      </c>
      <c r="R7" s="2" t="str">
        <f>IFERROR(__xludf.DUMMYFUNCTION("""COMPUTED_VALUE"""),"North Texas")</f>
        <v>North Texas</v>
      </c>
      <c r="S7" s="195" t="str">
        <f>IFERROR(__xludf.DUMMYFUNCTION("""COMPUTED_VALUE"""),"Pac12")</f>
        <v>Pac12</v>
      </c>
      <c r="T7" s="2" t="str">
        <f>IFERROR(__xludf.DUMMYFUNCTION("""COMPUTED_VALUE"""),"USC")</f>
        <v>USC</v>
      </c>
      <c r="U7" s="195" t="str">
        <f>IFERROR(__xludf.DUMMYFUNCTION("""COMPUTED_VALUE"""),"Big 12")</f>
        <v>Big 12</v>
      </c>
      <c r="V7" s="2" t="str">
        <f>IFERROR(__xludf.DUMMYFUNCTION("""COMPUTED_VALUE"""),"Oklahoma State")</f>
        <v>Oklahoma State</v>
      </c>
      <c r="W7" s="195" t="str">
        <f>IFERROR(__xludf.DUMMYFUNCTION("""COMPUTED_VALUE"""),"Pac12")</f>
        <v>Pac12</v>
      </c>
      <c r="X7" s="2" t="str">
        <f>IFERROR(__xludf.DUMMYFUNCTION("""COMPUTED_VALUE"""),"Stanford")</f>
        <v>Stanford</v>
      </c>
    </row>
    <row r="8">
      <c r="A8" s="195" t="str">
        <f>IFERROR(__xludf.DUMMYFUNCTION("""COMPUTED_VALUE"""),"Pac12")</f>
        <v>Pac12</v>
      </c>
      <c r="B8" s="2" t="str">
        <f>IFERROR(__xludf.DUMMYFUNCTION("""COMPUTED_VALUE"""),"California")</f>
        <v>California</v>
      </c>
      <c r="C8" s="195" t="str">
        <f>IFERROR(__xludf.DUMMYFUNCTION("""COMPUTED_VALUE"""),"AAC")</f>
        <v>AAC</v>
      </c>
      <c r="D8" s="2" t="str">
        <f>IFERROR(__xludf.DUMMYFUNCTION("""COMPUTED_VALUE"""),"East Carolina")</f>
        <v>East Carolina</v>
      </c>
      <c r="E8" s="195" t="str">
        <f>IFERROR(__xludf.DUMMYFUNCTION("""COMPUTED_VALUE"""),"Pac12")</f>
        <v>Pac12</v>
      </c>
      <c r="F8" s="2" t="str">
        <f>IFERROR(__xludf.DUMMYFUNCTION("""COMPUTED_VALUE"""),"UCLA")</f>
        <v>UCLA</v>
      </c>
      <c r="G8" s="195" t="str">
        <f>IFERROR(__xludf.DUMMYFUNCTION("""COMPUTED_VALUE"""),"Pac12")</f>
        <v>Pac12</v>
      </c>
      <c r="H8" s="2" t="str">
        <f>IFERROR(__xludf.DUMMYFUNCTION("""COMPUTED_VALUE"""),"Arizona")</f>
        <v>Arizona</v>
      </c>
      <c r="I8" s="195" t="str">
        <f>IFERROR(__xludf.DUMMYFUNCTION("""COMPUTED_VALUE"""),"Pac12")</f>
        <v>Pac12</v>
      </c>
      <c r="J8" s="2" t="str">
        <f>IFERROR(__xludf.DUMMYFUNCTION("""COMPUTED_VALUE"""),"Arizona State")</f>
        <v>Arizona State</v>
      </c>
      <c r="K8" s="195" t="str">
        <f>IFERROR(__xludf.DUMMYFUNCTION("""COMPUTED_VALUE"""),"CUSA")</f>
        <v>CUSA</v>
      </c>
      <c r="L8" s="2" t="str">
        <f>IFERROR(__xludf.DUMMYFUNCTION("""COMPUTED_VALUE"""),"UAB")</f>
        <v>UAB</v>
      </c>
      <c r="M8" s="195" t="str">
        <f>IFERROR(__xludf.DUMMYFUNCTION("""COMPUTED_VALUE"""),"Big 12")</f>
        <v>Big 12</v>
      </c>
      <c r="N8" s="2" t="str">
        <f>IFERROR(__xludf.DUMMYFUNCTION("""COMPUTED_VALUE"""),"Baylor")</f>
        <v>Baylor</v>
      </c>
      <c r="O8" s="195" t="str">
        <f>IFERROR(__xludf.DUMMYFUNCTION("""COMPUTED_VALUE"""),"SEC")</f>
        <v>SEC</v>
      </c>
      <c r="P8" s="2" t="str">
        <f>IFERROR(__xludf.DUMMYFUNCTION("""COMPUTED_VALUE"""),"Florida")</f>
        <v>Florida</v>
      </c>
      <c r="Q8" s="195" t="str">
        <f>IFERROR(__xludf.DUMMYFUNCTION("""COMPUTED_VALUE"""),"Big 12")</f>
        <v>Big 12</v>
      </c>
      <c r="R8" s="2" t="str">
        <f>IFERROR(__xludf.DUMMYFUNCTION("""COMPUTED_VALUE"""),"TCU")</f>
        <v>TCU</v>
      </c>
      <c r="S8" s="195" t="str">
        <f>IFERROR(__xludf.DUMMYFUNCTION("""COMPUTED_VALUE"""),"CUSA")</f>
        <v>CUSA</v>
      </c>
      <c r="T8" s="2" t="str">
        <f>IFERROR(__xludf.DUMMYFUNCTION("""COMPUTED_VALUE"""),"Southern Mississippi")</f>
        <v>Southern Mississippi</v>
      </c>
      <c r="U8" s="195" t="str">
        <f>IFERROR(__xludf.DUMMYFUNCTION("""COMPUTED_VALUE"""),"CUSA")</f>
        <v>CUSA</v>
      </c>
      <c r="V8" s="2" t="str">
        <f>IFERROR(__xludf.DUMMYFUNCTION("""COMPUTED_VALUE"""),"Louisiana Tech")</f>
        <v>Louisiana Tech</v>
      </c>
      <c r="W8" s="195" t="str">
        <f>IFERROR(__xludf.DUMMYFUNCTION("""COMPUTED_VALUE"""),"SEC")</f>
        <v>SEC</v>
      </c>
      <c r="X8" s="2" t="str">
        <f>IFERROR(__xludf.DUMMYFUNCTION("""COMPUTED_VALUE"""),"Auburn")</f>
        <v>Auburn</v>
      </c>
    </row>
    <row r="9">
      <c r="A9" s="195" t="str">
        <f>IFERROR(__xludf.DUMMYFUNCTION("""COMPUTED_VALUE"""),"AAC")</f>
        <v>AAC</v>
      </c>
      <c r="B9" s="2" t="str">
        <f>IFERROR(__xludf.DUMMYFUNCTION("""COMPUTED_VALUE"""),"Tulsa")</f>
        <v>Tulsa</v>
      </c>
      <c r="C9" s="195" t="str">
        <f>IFERROR(__xludf.DUMMYFUNCTION("""COMPUTED_VALUE"""),"Big Ten")</f>
        <v>Big Ten</v>
      </c>
      <c r="D9" s="2" t="str">
        <f>IFERROR(__xludf.DUMMYFUNCTION("""COMPUTED_VALUE"""),"Michigan State")</f>
        <v>Michigan State</v>
      </c>
      <c r="E9" s="195" t="str">
        <f>IFERROR(__xludf.DUMMYFUNCTION("""COMPUTED_VALUE"""),"Big 12")</f>
        <v>Big 12</v>
      </c>
      <c r="F9" s="2" t="str">
        <f>IFERROR(__xludf.DUMMYFUNCTION("""COMPUTED_VALUE"""),"BYU")</f>
        <v>BYU</v>
      </c>
      <c r="G9" s="195" t="str">
        <f>IFERROR(__xludf.DUMMYFUNCTION("""COMPUTED_VALUE"""),"Big 12")</f>
        <v>Big 12</v>
      </c>
      <c r="H9" s="2" t="str">
        <f>IFERROR(__xludf.DUMMYFUNCTION("""COMPUTED_VALUE"""),"Texas Tech")</f>
        <v>Texas Tech</v>
      </c>
      <c r="I9" s="195" t="str">
        <f>IFERROR(__xludf.DUMMYFUNCTION("""COMPUTED_VALUE"""),"Big Ten")</f>
        <v>Big Ten</v>
      </c>
      <c r="J9" s="2" t="str">
        <f>IFERROR(__xludf.DUMMYFUNCTION("""COMPUTED_VALUE"""),"Purdue")</f>
        <v>Purdue</v>
      </c>
      <c r="K9" s="195" t="str">
        <f>IFERROR(__xludf.DUMMYFUNCTION("""COMPUTED_VALUE"""),"Pac12")</f>
        <v>Pac12</v>
      </c>
      <c r="L9" s="2" t="str">
        <f>IFERROR(__xludf.DUMMYFUNCTION("""COMPUTED_VALUE"""),"Colorado")</f>
        <v>Colorado</v>
      </c>
      <c r="M9" s="195" t="str">
        <f>IFERROR(__xludf.DUMMYFUNCTION("""COMPUTED_VALUE"""),"Big Ten")</f>
        <v>Big Ten</v>
      </c>
      <c r="N9" s="2" t="str">
        <f>IFERROR(__xludf.DUMMYFUNCTION("""COMPUTED_VALUE"""),"Iowa")</f>
        <v>Iowa</v>
      </c>
      <c r="O9" s="195" t="str">
        <f>IFERROR(__xludf.DUMMYFUNCTION("""COMPUTED_VALUE"""),"Big Ten")</f>
        <v>Big Ten</v>
      </c>
      <c r="P9" s="2" t="str">
        <f>IFERROR(__xludf.DUMMYFUNCTION("""COMPUTED_VALUE"""),"Northwestern")</f>
        <v>Northwestern</v>
      </c>
      <c r="Q9" s="195" t="str">
        <f>IFERROR(__xludf.DUMMYFUNCTION("""COMPUTED_VALUE"""),"SEC")</f>
        <v>SEC</v>
      </c>
      <c r="R9" s="2" t="str">
        <f>IFERROR(__xludf.DUMMYFUNCTION("""COMPUTED_VALUE"""),"Texas A&amp;M")</f>
        <v>Texas A&amp;M</v>
      </c>
      <c r="S9" s="195" t="str">
        <f>IFERROR(__xludf.DUMMYFUNCTION("""COMPUTED_VALUE"""),"Big Ten")</f>
        <v>Big Ten</v>
      </c>
      <c r="T9" s="2" t="str">
        <f>IFERROR(__xludf.DUMMYFUNCTION("""COMPUTED_VALUE"""),"Minnesota")</f>
        <v>Minnesota</v>
      </c>
      <c r="U9" s="195" t="str">
        <f>IFERROR(__xludf.DUMMYFUNCTION("""COMPUTED_VALUE"""),"Sun Belt")</f>
        <v>Sun Belt</v>
      </c>
      <c r="V9" s="2" t="str">
        <f>IFERROR(__xludf.DUMMYFUNCTION("""COMPUTED_VALUE"""),"Texas State")</f>
        <v>Texas State</v>
      </c>
      <c r="W9" s="195" t="str">
        <f>IFERROR(__xludf.DUMMYFUNCTION("""COMPUTED_VALUE"""),"ACC")</f>
        <v>ACC</v>
      </c>
      <c r="X9" s="2" t="str">
        <f>IFERROR(__xludf.DUMMYFUNCTION("""COMPUTED_VALUE"""),"NC State")</f>
        <v>NC State</v>
      </c>
    </row>
    <row r="10">
      <c r="A10" s="195" t="str">
        <f>IFERROR(__xludf.DUMMYFUNCTION("""COMPUTED_VALUE"""),"MAC")</f>
        <v>MAC</v>
      </c>
      <c r="B10" s="2" t="str">
        <f>IFERROR(__xludf.DUMMYFUNCTION("""COMPUTED_VALUE"""),"Ball State")</f>
        <v>Ball State</v>
      </c>
      <c r="C10" s="195" t="str">
        <f>IFERROR(__xludf.DUMMYFUNCTION("""COMPUTED_VALUE"""),"CUSA")</f>
        <v>CUSA</v>
      </c>
      <c r="D10" s="2" t="str">
        <f>IFERROR(__xludf.DUMMYFUNCTION("""COMPUTED_VALUE"""),"Old Dominion")</f>
        <v>Old Dominion</v>
      </c>
      <c r="E10" s="195" t="str">
        <f>IFERROR(__xludf.DUMMYFUNCTION("""COMPUTED_VALUE"""),"ACC")</f>
        <v>ACC</v>
      </c>
      <c r="F10" s="2" t="str">
        <f>IFERROR(__xludf.DUMMYFUNCTION("""COMPUTED_VALUE"""),"Pittsburgh")</f>
        <v>Pittsburgh</v>
      </c>
      <c r="G10" s="195" t="str">
        <f>IFERROR(__xludf.DUMMYFUNCTION("""COMPUTED_VALUE"""),"CUSA")</f>
        <v>CUSA</v>
      </c>
      <c r="H10" s="2" t="str">
        <f>IFERROR(__xludf.DUMMYFUNCTION("""COMPUTED_VALUE"""),"Charlotte")</f>
        <v>Charlotte</v>
      </c>
      <c r="I10" s="195" t="str">
        <f>IFERROR(__xludf.DUMMYFUNCTION("""COMPUTED_VALUE"""),"CUSA")</f>
        <v>CUSA</v>
      </c>
      <c r="J10" s="2" t="str">
        <f>IFERROR(__xludf.DUMMYFUNCTION("""COMPUTED_VALUE"""),"Middle Tennessee")</f>
        <v>Middle Tennessee</v>
      </c>
      <c r="K10" s="195" t="str">
        <f>IFERROR(__xludf.DUMMYFUNCTION("""COMPUTED_VALUE"""),"ACC")</f>
        <v>ACC</v>
      </c>
      <c r="L10" s="2" t="str">
        <f>IFERROR(__xludf.DUMMYFUNCTION("""COMPUTED_VALUE"""),"Virginia")</f>
        <v>Virginia</v>
      </c>
      <c r="M10" s="195" t="str">
        <f>IFERROR(__xludf.DUMMYFUNCTION("""COMPUTED_VALUE"""),"CUSA")</f>
        <v>CUSA</v>
      </c>
      <c r="N10" s="2" t="str">
        <f>IFERROR(__xludf.DUMMYFUNCTION("""COMPUTED_VALUE"""),"Western Kentucky")</f>
        <v>Western Kentucky</v>
      </c>
      <c r="O10" s="195" t="str">
        <f>IFERROR(__xludf.DUMMYFUNCTION("""COMPUTED_VALUE"""),"ACC")</f>
        <v>ACC</v>
      </c>
      <c r="P10" s="2" t="str">
        <f>IFERROR(__xludf.DUMMYFUNCTION("""COMPUTED_VALUE"""),"Wake Forest")</f>
        <v>Wake Forest</v>
      </c>
      <c r="Q10" s="195" t="str">
        <f>IFERROR(__xludf.DUMMYFUNCTION("""COMPUTED_VALUE"""),"ACC")</f>
        <v>ACC</v>
      </c>
      <c r="R10" s="2" t="str">
        <f>IFERROR(__xludf.DUMMYFUNCTION("""COMPUTED_VALUE"""),"Syracuse")</f>
        <v>Syracuse</v>
      </c>
      <c r="S10" s="195" t="str">
        <f>IFERROR(__xludf.DUMMYFUNCTION("""COMPUTED_VALUE"""),"ACC")</f>
        <v>ACC</v>
      </c>
      <c r="T10" s="2" t="str">
        <f>IFERROR(__xludf.DUMMYFUNCTION("""COMPUTED_VALUE"""),"Florida State")</f>
        <v>Florida State</v>
      </c>
      <c r="U10" s="195" t="str">
        <f>IFERROR(__xludf.DUMMYFUNCTION("""COMPUTED_VALUE"""),"Big Ten")</f>
        <v>Big Ten</v>
      </c>
      <c r="V10" s="2" t="str">
        <f>IFERROR(__xludf.DUMMYFUNCTION("""COMPUTED_VALUE"""),"Indiana")</f>
        <v>Indiana</v>
      </c>
      <c r="W10" s="195" t="str">
        <f>IFERROR(__xludf.DUMMYFUNCTION("""COMPUTED_VALUE"""),"Big 12")</f>
        <v>Big 12</v>
      </c>
      <c r="X10" s="2" t="str">
        <f>IFERROR(__xludf.DUMMYFUNCTION("""COMPUTED_VALUE"""),"Kansas State")</f>
        <v>Kansas State</v>
      </c>
    </row>
    <row r="11">
      <c r="A11" s="24" t="str">
        <f>IFERROR(__xludf.DUMMYFUNCTION("""COMPUTED_VALUE"""),"Sun Belt")</f>
        <v>Sun Belt</v>
      </c>
      <c r="B11" s="24" t="str">
        <f>IFERROR(__xludf.DUMMYFUNCTION("""COMPUTED_VALUE"""),"Coastal Carolina")</f>
        <v>Coastal Carolina</v>
      </c>
      <c r="C11" s="195" t="str">
        <f>IFERROR(__xludf.DUMMYFUNCTION("""COMPUTED_VALUE"""),"Sun Belt")</f>
        <v>Sun Belt</v>
      </c>
      <c r="D11" s="2" t="str">
        <f>IFERROR(__xludf.DUMMYFUNCTION("""COMPUTED_VALUE"""),"New Mexico State")</f>
        <v>New Mexico State</v>
      </c>
      <c r="E11" s="24" t="str">
        <f>IFERROR(__xludf.DUMMYFUNCTION("""COMPUTED_VALUE"""),"SEC")</f>
        <v>SEC</v>
      </c>
      <c r="F11" s="24" t="str">
        <f>IFERROR(__xludf.DUMMYFUNCTION("""COMPUTED_VALUE"""),"Missouri")</f>
        <v>Missouri</v>
      </c>
      <c r="G11" s="195" t="str">
        <f>IFERROR(__xludf.DUMMYFUNCTION("""COMPUTED_VALUE"""),"ACC")</f>
        <v>ACC</v>
      </c>
      <c r="H11" s="2" t="str">
        <f>IFERROR(__xludf.DUMMYFUNCTION("""COMPUTED_VALUE"""),"Boston College")</f>
        <v>Boston College</v>
      </c>
      <c r="I11" s="24" t="str">
        <f>IFERROR(__xludf.DUMMYFUNCTION("""COMPUTED_VALUE"""),"Big 12")</f>
        <v>Big 12</v>
      </c>
      <c r="J11" s="24" t="str">
        <f>IFERROR(__xludf.DUMMYFUNCTION("""COMPUTED_VALUE"""),"West Virginia")</f>
        <v>West Virginia</v>
      </c>
      <c r="K11" s="195" t="str">
        <f>IFERROR(__xludf.DUMMYFUNCTION("""COMPUTED_VALUE"""),"SEC")</f>
        <v>SEC</v>
      </c>
      <c r="L11" s="2" t="str">
        <f>IFERROR(__xludf.DUMMYFUNCTION("""COMPUTED_VALUE"""),"Mississippi State")</f>
        <v>Mississippi State</v>
      </c>
      <c r="M11" s="195" t="str">
        <f>IFERROR(__xludf.DUMMYFUNCTION("""COMPUTED_VALUE"""),"SEC")</f>
        <v>SEC</v>
      </c>
      <c r="N11" s="2" t="str">
        <f>IFERROR(__xludf.DUMMYFUNCTION("""COMPUTED_VALUE"""),"Tennessee")</f>
        <v>Tennessee</v>
      </c>
      <c r="O11" s="24" t="str">
        <f>IFERROR(__xludf.DUMMYFUNCTION("""COMPUTED_VALUE"""),"Pac12")</f>
        <v>Pac12</v>
      </c>
      <c r="P11" s="2" t="str">
        <f>IFERROR(__xludf.DUMMYFUNCTION("""COMPUTED_VALUE"""),"Oregon State")</f>
        <v>Oregon State</v>
      </c>
      <c r="Q11" s="195" t="str">
        <f>IFERROR(__xludf.DUMMYFUNCTION("""COMPUTED_VALUE"""),"MAC")</f>
        <v>MAC</v>
      </c>
      <c r="R11" s="2" t="str">
        <f>IFERROR(__xludf.DUMMYFUNCTION("""COMPUTED_VALUE"""),"Kent State")</f>
        <v>Kent State</v>
      </c>
      <c r="S11" s="195" t="str">
        <f>IFERROR(__xludf.DUMMYFUNCTION("""COMPUTED_VALUE"""),"SEC")</f>
        <v>SEC</v>
      </c>
      <c r="T11" s="2" t="str">
        <f>IFERROR(__xludf.DUMMYFUNCTION("""COMPUTED_VALUE"""),"Kentucky")</f>
        <v>Kentucky</v>
      </c>
      <c r="U11" s="195" t="str">
        <f>IFERROR(__xludf.DUMMYFUNCTION("""COMPUTED_VALUE"""),"MWC")</f>
        <v>MWC</v>
      </c>
      <c r="V11" s="2" t="str">
        <f>IFERROR(__xludf.DUMMYFUNCTION("""COMPUTED_VALUE"""),"Colorado State")</f>
        <v>Colorado State</v>
      </c>
      <c r="W11" s="195" t="str">
        <f>IFERROR(__xludf.DUMMYFUNCTION("""COMPUTED_VALUE"""),"MAC")</f>
        <v>MAC</v>
      </c>
      <c r="X11" s="2" t="str">
        <f>IFERROR(__xludf.DUMMYFUNCTION("""COMPUTED_VALUE"""),"Central Michigan")</f>
        <v>Central Michigan</v>
      </c>
    </row>
    <row r="12">
      <c r="A12" s="24" t="str">
        <f>IFERROR(__xludf.DUMMYFUNCTION("""COMPUTED_VALUE"""),"CUSA")</f>
        <v>CUSA</v>
      </c>
      <c r="B12" s="24" t="str">
        <f>IFERROR(__xludf.DUMMYFUNCTION("""COMPUTED_VALUE"""),"UTSA")</f>
        <v>UTSA</v>
      </c>
      <c r="C12" s="195" t="str">
        <f>IFERROR(__xludf.DUMMYFUNCTION("""COMPUTED_VALUE"""),"MAC")</f>
        <v>MAC</v>
      </c>
      <c r="D12" s="2" t="str">
        <f>IFERROR(__xludf.DUMMYFUNCTION("""COMPUTED_VALUE"""),"Bowling Green")</f>
        <v>Bowling Green</v>
      </c>
      <c r="E12" s="24" t="str">
        <f>IFERROR(__xludf.DUMMYFUNCTION("""COMPUTED_VALUE"""),"Big Ten")</f>
        <v>Big Ten</v>
      </c>
      <c r="F12" s="24" t="str">
        <f>IFERROR(__xludf.DUMMYFUNCTION("""COMPUTED_VALUE"""),"Maryland")</f>
        <v>Maryland</v>
      </c>
      <c r="G12" s="195" t="str">
        <f>IFERROR(__xludf.DUMMYFUNCTION("""COMPUTED_VALUE"""),"SEC")</f>
        <v>SEC</v>
      </c>
      <c r="H12" s="2" t="str">
        <f>IFERROR(__xludf.DUMMYFUNCTION("""COMPUTED_VALUE"""),"Arkansas")</f>
        <v>Arkansas</v>
      </c>
      <c r="I12" s="24" t="str">
        <f>IFERROR(__xludf.DUMMYFUNCTION("""COMPUTED_VALUE"""),"ACC")</f>
        <v>ACC</v>
      </c>
      <c r="J12" s="24" t="str">
        <f>IFERROR(__xludf.DUMMYFUNCTION("""COMPUTED_VALUE"""),"North Carolina")</f>
        <v>North Carolina</v>
      </c>
      <c r="K12" s="195" t="str">
        <f>IFERROR(__xludf.DUMMYFUNCTION("""COMPUTED_VALUE"""),"MWC")</f>
        <v>MWC</v>
      </c>
      <c r="L12" s="2" t="str">
        <f>IFERROR(__xludf.DUMMYFUNCTION("""COMPUTED_VALUE"""),"San José State")</f>
        <v>San José State</v>
      </c>
      <c r="M12" s="195" t="str">
        <f>IFERROR(__xludf.DUMMYFUNCTION("""COMPUTED_VALUE"""),"ACC")</f>
        <v>ACC</v>
      </c>
      <c r="N12" s="2" t="str">
        <f>IFERROR(__xludf.DUMMYFUNCTION("""COMPUTED_VALUE"""),"Duke")</f>
        <v>Duke</v>
      </c>
      <c r="O12" s="24" t="str">
        <f>IFERROR(__xludf.DUMMYFUNCTION("""COMPUTED_VALUE"""),"MAC")</f>
        <v>MAC</v>
      </c>
      <c r="P12" s="2" t="str">
        <f>IFERROR(__xludf.DUMMYFUNCTION("""COMPUTED_VALUE"""),"Akron")</f>
        <v>Akron</v>
      </c>
      <c r="Q12" s="195" t="str">
        <f>IFERROR(__xludf.DUMMYFUNCTION("""COMPUTED_VALUE"""),"Sun Belt")</f>
        <v>Sun Belt</v>
      </c>
      <c r="R12" s="2" t="str">
        <f>IFERROR(__xludf.DUMMYFUNCTION("""COMPUTED_VALUE"""),"South Alabama")</f>
        <v>South Alabama</v>
      </c>
      <c r="S12" s="195" t="str">
        <f>IFERROR(__xludf.DUMMYFUNCTION("""COMPUTED_VALUE"""),"Big 12")</f>
        <v>Big 12</v>
      </c>
      <c r="T12" s="2" t="str">
        <f>IFERROR(__xludf.DUMMYFUNCTION("""COMPUTED_VALUE"""),"Kansas")</f>
        <v>Kansas</v>
      </c>
      <c r="U12" s="195" t="str">
        <f>IFERROR(__xludf.DUMMYFUNCTION("""COMPUTED_VALUE"""),"SEC")</f>
        <v>SEC</v>
      </c>
      <c r="V12" s="2" t="str">
        <f>IFERROR(__xludf.DUMMYFUNCTION("""COMPUTED_VALUE"""),"South Carolina")</f>
        <v>South Carolina</v>
      </c>
      <c r="W12" s="195" t="str">
        <f>IFERROR(__xludf.DUMMYFUNCTION("""COMPUTED_VALUE"""),"AAC")</f>
        <v>AAC</v>
      </c>
      <c r="X12" s="2" t="str">
        <f>IFERROR(__xludf.DUMMYFUNCTION("""COMPUTED_VALUE"""),"UConn")</f>
        <v>UConn</v>
      </c>
    </row>
  </sheetData>
  <mergeCells count="12"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3" max="14" width="13.13"/>
  </cols>
  <sheetData>
    <row r="1">
      <c r="A1" s="1" t="s">
        <v>1532</v>
      </c>
      <c r="B1" s="1" t="s">
        <v>1533</v>
      </c>
      <c r="C1" s="1" t="s">
        <v>1534</v>
      </c>
      <c r="D1" s="1" t="s">
        <v>227</v>
      </c>
      <c r="E1" s="1" t="s">
        <v>210</v>
      </c>
      <c r="F1" s="1" t="s">
        <v>1525</v>
      </c>
      <c r="G1" s="1" t="s">
        <v>1535</v>
      </c>
      <c r="H1" s="1" t="s">
        <v>1526</v>
      </c>
      <c r="I1" s="1" t="s">
        <v>1536</v>
      </c>
      <c r="J1" s="1" t="s">
        <v>1537</v>
      </c>
      <c r="K1" s="1" t="s">
        <v>1538</v>
      </c>
      <c r="L1" s="1" t="s">
        <v>1539</v>
      </c>
      <c r="M1" s="1" t="s">
        <v>1540</v>
      </c>
      <c r="N1" s="1" t="s">
        <v>1527</v>
      </c>
      <c r="O1" s="1" t="s">
        <v>1528</v>
      </c>
      <c r="P1" s="1" t="s">
        <v>1529</v>
      </c>
      <c r="Q1" s="1" t="s">
        <v>1541</v>
      </c>
      <c r="R1" s="1" t="s">
        <v>1542</v>
      </c>
    </row>
    <row r="2">
      <c r="A2" s="1" t="s">
        <v>59</v>
      </c>
      <c r="B2" s="197" t="s">
        <v>1543</v>
      </c>
      <c r="D2" s="93" t="s">
        <v>59</v>
      </c>
      <c r="E2" t="str">
        <f>iferror(vlookup(D2,'Teams-Conference'!C:D,2,0),"Independent")</f>
        <v>AAC</v>
      </c>
      <c r="F2" t="str">
        <f>iferror(offset(DraftTracker!D$1,match(D2,DraftTracker!F:F,0)-1,0),"")</f>
        <v>Adam</v>
      </c>
      <c r="G2">
        <f>iferror(match(D2,DraftTracker!F$2:F131,0),counta(DraftTracker!F:F))</f>
        <v>8</v>
      </c>
      <c r="H2" s="169">
        <f>VLOOKUP(D2,'Current Week'!B:D,2,0)</f>
        <v>9</v>
      </c>
      <c r="I2">
        <f>iferror(VLOOKUP(D2,DraftTracker!F:I,3,0)+if((VLOOKUP(D2,DraftTracker!F:I,4,0)-VLOOKUP(D2,DraftTracker!F:I,3,0))&gt;0,(VLOOKUP(D2,DraftTracker!F:I,4,0)-VLOOKUP(D2,DraftTracker!F:I,3,0)),0)*0.5,"")</f>
        <v>1.5</v>
      </c>
      <c r="J2" s="198">
        <f>iferror(VLOOKUP(D2,DraftTracker!F:K,5,0)+if((VLOOKUP(D2,DraftTracker!F:K,6,0)-VLOOKUP(D2,DraftTracker!F:K,5,0))&gt;0,(VLOOKUP(D2,DraftTracker!F:K,6,0)-VLOOKUP(D2,DraftTracker!F:K,5,0)),0)*0.5,"")</f>
        <v>0</v>
      </c>
      <c r="K2">
        <f>VLOOKUP(D2,'Current Week'!B:D,3,0)</f>
        <v>3</v>
      </c>
      <c r="L2">
        <f>IFERROR(__xludf.DUMMYFUNCTION("iferror(max(filter(H:H,G:G&gt;G2,E:E=E2)),0)"),11.0)</f>
        <v>11</v>
      </c>
      <c r="M2">
        <f>IFERROR(__xludf.DUMMYFUNCTION("iferror(COUNTA(filter(H:H,G:G&lt;G2,E:E=E2,H:H&gt;H2)),0)"),1.0)</f>
        <v>1</v>
      </c>
      <c r="N2" s="169">
        <f t="shared" ref="N2:N131" si="1">if(L2-H2&gt;0,L2-H2,0)</f>
        <v>2</v>
      </c>
      <c r="O2">
        <f t="shared" ref="O2:O131" si="2">if(N2&gt;0,1,0)</f>
        <v>1</v>
      </c>
      <c r="P2">
        <f t="shared" ref="P2:P131" si="3">if(O2=0,if(M2&gt;0,1,0),0)</f>
        <v>0</v>
      </c>
      <c r="Q2" t="b">
        <f>IFERROR(__xludf.DUMMYFUNCTION("N2=max(filter(N:N,F:F=F2,E:E&lt;&gt;""MWC""))"),FALSE)</f>
        <v>0</v>
      </c>
      <c r="R2" t="str">
        <f>IFERROR(__xludf.DUMMYFUNCTION("iferror(if(P2=1,H2-MIN(filter(H:H,G:G&lt;G2,E:E=E2,H:H&lt;H2)),""""),"""")"),"")</f>
        <v/>
      </c>
    </row>
    <row r="3">
      <c r="A3" s="1" t="s">
        <v>1390</v>
      </c>
      <c r="B3" s="199" t="s">
        <v>1544</v>
      </c>
      <c r="D3" s="1" t="s">
        <v>49</v>
      </c>
      <c r="E3" t="str">
        <f>iferror(vlookup(D3,'Teams-Conference'!C:D,2,0),"Independent")</f>
        <v>AAC</v>
      </c>
      <c r="F3" t="str">
        <f>iferror(offset(DraftTracker!D$1,match(D3,DraftTracker!F:F,0)-1,0),"")</f>
        <v>Josh R.</v>
      </c>
      <c r="G3">
        <f>iferror(match(D3,DraftTracker!F$2:F131,0),counta(DraftTracker!F:F))</f>
        <v>39</v>
      </c>
      <c r="H3" s="169">
        <f>VLOOKUP(D3,'Current Week'!B:D,2,0)</f>
        <v>8</v>
      </c>
      <c r="I3">
        <f>iferror(VLOOKUP(D3,DraftTracker!F:I,3,0)+if((VLOOKUP(D3,DraftTracker!F:I,4,0)-VLOOKUP(D3,DraftTracker!F:I,3,0))&gt;0,(VLOOKUP(D3,DraftTracker!F:I,4,0)-VLOOKUP(D3,DraftTracker!F:I,3,0)),0)*0.5,"")</f>
        <v>3</v>
      </c>
      <c r="J3" s="198">
        <f>iferror(VLOOKUP(D3,DraftTracker!F:K,5,0)+(VLOOKUP(D3,DraftTracker!F:K,6,0)-VLOOKUP(D3,DraftTracker!F:K,5,0))*0.5,"")</f>
        <v>1.5</v>
      </c>
      <c r="K3">
        <f>VLOOKUP(D3,'Current Week'!B:D,3,0)</f>
        <v>4</v>
      </c>
      <c r="L3">
        <f>IFERROR(__xludf.DUMMYFUNCTION("iferror(max(filter(H:H,G:G&gt;G3,E:E=E3)),0)"),10.0)</f>
        <v>10</v>
      </c>
      <c r="M3">
        <f>IFERROR(__xludf.DUMMYFUNCTION("iferror(countif(filter(H:H,G:G&lt;G3,E:E=E3),""&lt;""&amp;H3),0)"),2.0)</f>
        <v>2</v>
      </c>
      <c r="N3" s="169">
        <f t="shared" si="1"/>
        <v>2</v>
      </c>
      <c r="O3">
        <f t="shared" si="2"/>
        <v>1</v>
      </c>
      <c r="P3">
        <f t="shared" si="3"/>
        <v>0</v>
      </c>
      <c r="Q3" t="b">
        <f>IFERROR(__xludf.DUMMYFUNCTION("N3=max(filter(N:N,F:F=F3,E:E&lt;&gt;""MWC""))"),FALSE)</f>
        <v>0</v>
      </c>
      <c r="R3" t="str">
        <f>IFERROR(__xludf.DUMMYFUNCTION("iferror(if(P3=1,H3-MIN(filter(H:H,G:G&lt;G3,E:E=E3,H:H&lt;H3)),""""),"""")"),"")</f>
        <v/>
      </c>
    </row>
    <row r="4">
      <c r="A4" s="1" t="s">
        <v>1383</v>
      </c>
      <c r="B4" s="197" t="s">
        <v>1545</v>
      </c>
      <c r="D4" s="1" t="s">
        <v>5</v>
      </c>
      <c r="E4" t="str">
        <f>iferror(vlookup(D4,'Teams-Conference'!C:D,2,0),"Independent")</f>
        <v>AAC</v>
      </c>
      <c r="F4" t="str">
        <f>iferror(offset(DraftTracker!D$1,match(D4,DraftTracker!F:F,0)-1,0),"")</f>
        <v>Vu</v>
      </c>
      <c r="G4">
        <f>iferror(match(D4,DraftTracker!F$2:F131,0),counta(DraftTracker!F:F))</f>
        <v>33</v>
      </c>
      <c r="H4" s="169">
        <f>VLOOKUP(D4,'Current Week'!B:D,2,0)</f>
        <v>10</v>
      </c>
      <c r="I4">
        <f>iferror(VLOOKUP(D4,DraftTracker!F:I,3,0)+if((VLOOKUP(D4,DraftTracker!F:I,4,0)-VLOOKUP(D4,DraftTracker!F:I,3,0))&gt;0,(VLOOKUP(D4,DraftTracker!F:I,4,0)-VLOOKUP(D4,DraftTracker!F:I,3,0)),0)*0.5,"")</f>
        <v>3</v>
      </c>
      <c r="J4" s="198">
        <f>iferror(VLOOKUP(D4,DraftTracker!F:K,5,0)+(VLOOKUP(D4,DraftTracker!F:K,6,0)-VLOOKUP(D4,DraftTracker!F:K,5,0))*0.5,"")</f>
        <v>1</v>
      </c>
      <c r="K4">
        <f>VLOOKUP(D4,'Current Week'!B:D,3,0)</f>
        <v>2</v>
      </c>
      <c r="L4">
        <f>IFERROR(__xludf.DUMMYFUNCTION("iferror(max(filter(H:H,G:G&gt;G4,E:E=E4)),0)"),10.0)</f>
        <v>10</v>
      </c>
      <c r="M4">
        <f>IFERROR(__xludf.DUMMYFUNCTION("iferror(countif(filter(H:H,G:G&lt;G4,E:E=E4),""&lt;""&amp;H4),0)"),3.0)</f>
        <v>3</v>
      </c>
      <c r="N4">
        <f t="shared" si="1"/>
        <v>0</v>
      </c>
      <c r="O4">
        <f t="shared" si="2"/>
        <v>0</v>
      </c>
      <c r="P4">
        <f t="shared" si="3"/>
        <v>1</v>
      </c>
      <c r="Q4" t="b">
        <f>IFERROR(__xludf.DUMMYFUNCTION("N4=max(filter(N:N,F:F=F4,E:E&lt;&gt;""MWC""))"),FALSE)</f>
        <v>0</v>
      </c>
      <c r="R4">
        <f>IFERROR(__xludf.DUMMYFUNCTION("iferror(if(P4=1,H4-MIN(filter(H:H,G:G&lt;G4,E:E=E4,H:H&lt;H4)),""""),"""")"),6.0)</f>
        <v>6</v>
      </c>
    </row>
    <row r="5">
      <c r="A5" s="1" t="s">
        <v>1389</v>
      </c>
      <c r="B5" s="199" t="s">
        <v>1546</v>
      </c>
      <c r="D5" s="1" t="s">
        <v>45</v>
      </c>
      <c r="E5" t="str">
        <f>iferror(vlookup(D5,'Teams-Conference'!C:D,2,0),"Independent")</f>
        <v>AAC</v>
      </c>
      <c r="F5" t="str">
        <f>iferror(offset(DraftTracker!D$1,match(D5,DraftTracker!F:F,0)-1,0),"")</f>
        <v>Justin</v>
      </c>
      <c r="G5">
        <f>iferror(match(D5,DraftTracker!F$2:F131,0),counta(DraftTracker!F:F))</f>
        <v>31</v>
      </c>
      <c r="H5" s="169">
        <f>VLOOKUP(D5,'Current Week'!B:D,2,0)</f>
        <v>4</v>
      </c>
      <c r="I5">
        <f>iferror(VLOOKUP(D5,DraftTracker!F:I,3,0)+if((VLOOKUP(D5,DraftTracker!F:I,4,0)-VLOOKUP(D5,DraftTracker!F:I,3,0))&gt;0,(VLOOKUP(D5,DraftTracker!F:I,4,0)-VLOOKUP(D5,DraftTracker!F:I,3,0)),0)*0.5,"")</f>
        <v>3.5</v>
      </c>
      <c r="J5" s="198">
        <f>iferror(VLOOKUP(D5,DraftTracker!F:K,5,0)+(VLOOKUP(D5,DraftTracker!F:K,6,0)-VLOOKUP(D5,DraftTracker!F:K,5,0))*0.5,"")</f>
        <v>2</v>
      </c>
      <c r="K5">
        <f>VLOOKUP(D5,'Current Week'!B:D,3,0)</f>
        <v>8</v>
      </c>
      <c r="L5">
        <f>IFERROR(__xludf.DUMMYFUNCTION("iferror(max(filter(H:H,G:G&gt;G5,E:E=E5)),0)"),10.0)</f>
        <v>10</v>
      </c>
      <c r="M5">
        <f>IFERROR(__xludf.DUMMYFUNCTION("iferror(countif(filter(H:H,G:G&lt;G5,E:E=E5),""&lt;""&amp;H5),0)"),0.0)</f>
        <v>0</v>
      </c>
      <c r="N5" s="169">
        <f t="shared" si="1"/>
        <v>6</v>
      </c>
      <c r="O5">
        <f t="shared" si="2"/>
        <v>1</v>
      </c>
      <c r="P5">
        <f t="shared" si="3"/>
        <v>0</v>
      </c>
      <c r="Q5" t="b">
        <f>IFERROR(__xludf.DUMMYFUNCTION("N5=max(filter(N:N,F:F=F5,E:E&lt;&gt;""MWC""))"),TRUE)</f>
        <v>1</v>
      </c>
      <c r="R5" t="str">
        <f>IFERROR(__xludf.DUMMYFUNCTION("iferror(if(P5=1,H5-MIN(filter(H:H,G:G&lt;G5,E:E=E5,H:H&lt;H5)),""""),"""")"),"")</f>
        <v/>
      </c>
    </row>
    <row r="6">
      <c r="A6" s="1" t="s">
        <v>1385</v>
      </c>
      <c r="B6" s="197" t="s">
        <v>1547</v>
      </c>
      <c r="D6" s="1" t="s">
        <v>32</v>
      </c>
      <c r="E6" t="str">
        <f>iferror(vlookup(D6,'Teams-Conference'!C:D,2,0),"Independent")</f>
        <v>AAC</v>
      </c>
      <c r="F6" t="str">
        <f>iferror(offset(DraftTracker!D$1,match(D6,DraftTracker!F:F,0)-1,0),"")</f>
        <v>Nick A.</v>
      </c>
      <c r="G6">
        <f>iferror(match(D6,DraftTracker!F$2:F131,0),counta(DraftTracker!F:F))</f>
        <v>71</v>
      </c>
      <c r="H6" s="169">
        <f>VLOOKUP(D6,'Current Week'!B:D,2,0)</f>
        <v>4</v>
      </c>
      <c r="I6">
        <f>iferror(VLOOKUP(D6,DraftTracker!F:I,3,0)+if((VLOOKUP(D6,DraftTracker!F:I,4,0)-VLOOKUP(D6,DraftTracker!F:I,3,0))&gt;0,(VLOOKUP(D6,DraftTracker!F:I,4,0)-VLOOKUP(D6,DraftTracker!F:I,3,0)),0)*0.5,"")</f>
        <v>1</v>
      </c>
      <c r="J6" s="198">
        <f>iferror(VLOOKUP(D6,DraftTracker!F:K,5,0)+(VLOOKUP(D6,DraftTracker!F:K,6,0)-VLOOKUP(D6,DraftTracker!F:K,5,0))*0.5,"")</f>
        <v>2.5</v>
      </c>
      <c r="K6">
        <f>VLOOKUP(D6,'Current Week'!B:D,3,0)</f>
        <v>8</v>
      </c>
      <c r="L6">
        <f>IFERROR(__xludf.DUMMYFUNCTION("iferror(max(filter(H:H,G:G&gt;G6,E:E=E6)),0)"),4.0)</f>
        <v>4</v>
      </c>
      <c r="M6">
        <f>IFERROR(__xludf.DUMMYFUNCTION("iferror(countif(filter(H:H,G:G&lt;G6,E:E=E6),""&lt;""&amp;H6),0)"),0.0)</f>
        <v>0</v>
      </c>
      <c r="N6">
        <f t="shared" si="1"/>
        <v>0</v>
      </c>
      <c r="O6">
        <f t="shared" si="2"/>
        <v>0</v>
      </c>
      <c r="P6">
        <f t="shared" si="3"/>
        <v>0</v>
      </c>
      <c r="Q6" t="b">
        <f>IFERROR(__xludf.DUMMYFUNCTION("N6=max(filter(N:N,F:F=F6,E:E&lt;&gt;""MWC""))"),FALSE)</f>
        <v>0</v>
      </c>
      <c r="R6" t="str">
        <f>IFERROR(__xludf.DUMMYFUNCTION("iferror(if(P6=1,H6-MIN(filter(H:H,G:G&lt;G6,E:E=E6,H:H&lt;H6)),""""),"""")"),"")</f>
        <v/>
      </c>
    </row>
    <row r="7">
      <c r="A7" s="1" t="s">
        <v>1548</v>
      </c>
      <c r="B7" s="199" t="s">
        <v>1549</v>
      </c>
      <c r="D7" s="1" t="s">
        <v>23</v>
      </c>
      <c r="E7" t="str">
        <f>iferror(vlookup(D7,'Teams-Conference'!C:D,2,0),"Independent")</f>
        <v>AAC</v>
      </c>
      <c r="F7" t="str">
        <f>iferror(offset(DraftTracker!D$1,match(D7,DraftTracker!F:F,0)-1,0),"")</f>
        <v>Nick G.</v>
      </c>
      <c r="G7">
        <f>iferror(match(D7,DraftTracker!F$2:F131,0),counta(DraftTracker!F:F))</f>
        <v>109</v>
      </c>
      <c r="H7" s="169">
        <f>VLOOKUP(D7,'Current Week'!B:D,2,0)</f>
        <v>2</v>
      </c>
      <c r="I7">
        <f>iferror(VLOOKUP(D7,DraftTracker!F:I,3,0)+if((VLOOKUP(D7,DraftTracker!F:I,4,0)-VLOOKUP(D7,DraftTracker!F:I,3,0))&gt;0,(VLOOKUP(D7,DraftTracker!F:I,4,0)-VLOOKUP(D7,DraftTracker!F:I,3,0)),0)*0.5,"")</f>
        <v>0</v>
      </c>
      <c r="J7" s="198">
        <f>iferror(VLOOKUP(D7,DraftTracker!F:K,5,0)+(VLOOKUP(D7,DraftTracker!F:K,6,0)-VLOOKUP(D7,DraftTracker!F:K,5,0))*0.5,"")</f>
        <v>2</v>
      </c>
      <c r="K7">
        <f>VLOOKUP(D7,'Current Week'!B:D,3,0)</f>
        <v>10</v>
      </c>
      <c r="L7">
        <f>IFERROR(__xludf.DUMMYFUNCTION("iferror(max(filter(H:H,G:G&gt;G7,E:E=E7)),0)"),0.0)</f>
        <v>0</v>
      </c>
      <c r="M7">
        <f>IFERROR(__xludf.DUMMYFUNCTION("iferror(countif(filter(H:H,G:G&lt;G7,E:E=E7),""&lt;""&amp;H7),0)"),0.0)</f>
        <v>0</v>
      </c>
      <c r="N7">
        <f t="shared" si="1"/>
        <v>0</v>
      </c>
      <c r="O7">
        <f t="shared" si="2"/>
        <v>0</v>
      </c>
      <c r="P7">
        <f t="shared" si="3"/>
        <v>0</v>
      </c>
      <c r="Q7" t="b">
        <f>IFERROR(__xludf.DUMMYFUNCTION("N7=max(filter(N:N,F:F=F7,E:E&lt;&gt;""MWC""))"),FALSE)</f>
        <v>0</v>
      </c>
      <c r="R7" t="str">
        <f>IFERROR(__xludf.DUMMYFUNCTION("iferror(if(P7=1,H7-MIN(filter(H:H,G:G&lt;G7,E:E=E7,H:H&lt;H7)),""""),"""")"),"")</f>
        <v/>
      </c>
    </row>
    <row r="8">
      <c r="A8" s="1" t="s">
        <v>1388</v>
      </c>
      <c r="B8" s="197" t="s">
        <v>1550</v>
      </c>
      <c r="D8" s="1" t="s">
        <v>37</v>
      </c>
      <c r="E8" t="str">
        <f>iferror(vlookup(D8,'Teams-Conference'!C:D,2,0),"Independent")</f>
        <v>AAC</v>
      </c>
      <c r="F8" t="str">
        <f>iferror(offset(DraftTracker!D$1,match(D8,DraftTracker!F:F,0)-1,0),"")</f>
        <v>Janice/Mike</v>
      </c>
      <c r="G8">
        <f>iferror(match(D8,DraftTracker!F$2:F131,0),counta(DraftTracker!F:F))</f>
        <v>45</v>
      </c>
      <c r="H8" s="169">
        <f>VLOOKUP(D8,'Current Week'!B:D,2,0)</f>
        <v>10</v>
      </c>
      <c r="I8">
        <f>iferror(VLOOKUP(D8,DraftTracker!F:I,3,0)+if((VLOOKUP(D8,DraftTracker!F:I,4,0)-VLOOKUP(D8,DraftTracker!F:I,3,0))&gt;0,(VLOOKUP(D8,DraftTracker!F:I,4,0)-VLOOKUP(D8,DraftTracker!F:I,3,0)),0)*0.5,"")</f>
        <v>1</v>
      </c>
      <c r="J8" s="198">
        <f>iferror(VLOOKUP(D8,DraftTracker!F:K,5,0)+(VLOOKUP(D8,DraftTracker!F:K,6,0)-VLOOKUP(D8,DraftTracker!F:K,5,0))*0.5,"")</f>
        <v>4</v>
      </c>
      <c r="K8">
        <f>VLOOKUP(D8,'Current Week'!B:D,3,0)</f>
        <v>2</v>
      </c>
      <c r="L8">
        <f>IFERROR(__xludf.DUMMYFUNCTION("iferror(max(filter(H:H,G:G&gt;G8,E:E=E8)),0)"),6.0)</f>
        <v>6</v>
      </c>
      <c r="M8">
        <f>IFERROR(__xludf.DUMMYFUNCTION("iferror(countif(filter(H:H,G:G&lt;G8,E:E=E8),""&lt;""&amp;H8),0)"),4.0)</f>
        <v>4</v>
      </c>
      <c r="N8">
        <f t="shared" si="1"/>
        <v>0</v>
      </c>
      <c r="O8">
        <f t="shared" si="2"/>
        <v>0</v>
      </c>
      <c r="P8">
        <f t="shared" si="3"/>
        <v>1</v>
      </c>
      <c r="Q8" t="b">
        <f>IFERROR(__xludf.DUMMYFUNCTION("N8=max(filter(N:N,F:F=F8,E:E&lt;&gt;""MWC""))"),FALSE)</f>
        <v>0</v>
      </c>
      <c r="R8">
        <f>IFERROR(__xludf.DUMMYFUNCTION("iferror(if(P8=1,H8-MIN(filter(H:H,G:G&lt;G8,E:E=E8,H:H&lt;H8)),""""),"""")"),6.0)</f>
        <v>6</v>
      </c>
    </row>
    <row r="9">
      <c r="A9" s="1" t="s">
        <v>1386</v>
      </c>
      <c r="B9" s="199" t="s">
        <v>1551</v>
      </c>
      <c r="D9" s="1" t="s">
        <v>33</v>
      </c>
      <c r="E9" t="str">
        <f>iferror(vlookup(D9,'Teams-Conference'!C:D,2,0),"Independent")</f>
        <v>AAC</v>
      </c>
      <c r="F9" t="str">
        <f>iferror(offset(DraftTracker!D$1,match(D9,DraftTracker!F:F,0)-1,0),"")</f>
        <v>Nico</v>
      </c>
      <c r="G9">
        <f>iferror(match(D9,DraftTracker!F$2:F131,0),counta(DraftTracker!F:F))</f>
        <v>29</v>
      </c>
      <c r="H9" s="169">
        <f>VLOOKUP(D9,'Current Week'!B:D,2,0)</f>
        <v>4</v>
      </c>
      <c r="I9">
        <f>iferror(VLOOKUP(D9,DraftTracker!F:I,3,0)+if((VLOOKUP(D9,DraftTracker!F:I,4,0)-VLOOKUP(D9,DraftTracker!F:I,3,0))&gt;0,(VLOOKUP(D9,DraftTracker!F:I,4,0)-VLOOKUP(D9,DraftTracker!F:I,3,0)),0)*0.5,"")</f>
        <v>4.5</v>
      </c>
      <c r="J9" s="198">
        <f>iferror(VLOOKUP(D9,DraftTracker!F:K,5,0)+(VLOOKUP(D9,DraftTracker!F:K,6,0)-VLOOKUP(D9,DraftTracker!F:K,5,0))*0.5,"")</f>
        <v>2.5</v>
      </c>
      <c r="K9">
        <f>VLOOKUP(D9,'Current Week'!B:D,3,0)</f>
        <v>8</v>
      </c>
      <c r="L9">
        <f>IFERROR(__xludf.DUMMYFUNCTION("iferror(max(filter(H:H,G:G&gt;G9,E:E=E9)),0)"),10.0)</f>
        <v>10</v>
      </c>
      <c r="M9">
        <f>IFERROR(__xludf.DUMMYFUNCTION("iferror(countif(filter(H:H,G:G&lt;G9,E:E=E9),""&lt;""&amp;H9),0)"),0.0)</f>
        <v>0</v>
      </c>
      <c r="N9" s="169">
        <f t="shared" si="1"/>
        <v>6</v>
      </c>
      <c r="O9">
        <f t="shared" si="2"/>
        <v>1</v>
      </c>
      <c r="P9">
        <f t="shared" si="3"/>
        <v>0</v>
      </c>
      <c r="Q9" t="b">
        <f>IFERROR(__xludf.DUMMYFUNCTION("N9=max(filter(N:N,F:F=F9,E:E&lt;&gt;""MWC""))"),TRUE)</f>
        <v>1</v>
      </c>
      <c r="R9" t="str">
        <f>IFERROR(__xludf.DUMMYFUNCTION("iferror(if(P9=1,H9-MIN(filter(H:H,G:G&lt;G9,E:E=E9,H:H&lt;H9)),""""),"""")"),"")</f>
        <v/>
      </c>
    </row>
    <row r="10">
      <c r="A10" s="1" t="s">
        <v>1391</v>
      </c>
      <c r="B10" s="197" t="s">
        <v>1552</v>
      </c>
      <c r="D10" s="1" t="s">
        <v>52</v>
      </c>
      <c r="E10" t="str">
        <f>iferror(vlookup(D10,'Teams-Conference'!C:D,2,0),"Independent")</f>
        <v>AAC</v>
      </c>
      <c r="F10" t="str">
        <f>iferror(offset(DraftTracker!D$1,match(D10,DraftTracker!F:F,0)-1,0),"")</f>
        <v>Gary</v>
      </c>
      <c r="G10">
        <f>iferror(match(D10,DraftTracker!F$2:F131,0),counta(DraftTracker!F:F))</f>
        <v>46</v>
      </c>
      <c r="H10" s="169">
        <f>VLOOKUP(D10,'Current Week'!B:D,2,0)</f>
        <v>6</v>
      </c>
      <c r="I10">
        <f>iferror(VLOOKUP(D10,DraftTracker!F:I,3,0)+if((VLOOKUP(D10,DraftTracker!F:I,4,0)-VLOOKUP(D10,DraftTracker!F:I,3,0))&gt;0,(VLOOKUP(D10,DraftTracker!F:I,4,0)-VLOOKUP(D10,DraftTracker!F:I,3,0)),0)*0.5,"")</f>
        <v>0</v>
      </c>
      <c r="J10" s="198">
        <f>iferror(VLOOKUP(D10,DraftTracker!F:K,5,0)+(VLOOKUP(D10,DraftTracker!F:K,6,0)-VLOOKUP(D10,DraftTracker!F:K,5,0))*0.5,"")</f>
        <v>1.5</v>
      </c>
      <c r="K10">
        <f>VLOOKUP(D10,'Current Week'!B:D,3,0)</f>
        <v>6</v>
      </c>
      <c r="L10">
        <f>IFERROR(__xludf.DUMMYFUNCTION("iferror(max(filter(H:H,G:G&gt;G10,E:E=E10)),0)"),4.0)</f>
        <v>4</v>
      </c>
      <c r="M10">
        <f>IFERROR(__xludf.DUMMYFUNCTION("iferror(countif(filter(H:H,G:G&lt;G10,E:E=E10),""&lt;""&amp;H10),0)"),2.0)</f>
        <v>2</v>
      </c>
      <c r="N10">
        <f t="shared" si="1"/>
        <v>0</v>
      </c>
      <c r="O10">
        <f t="shared" si="2"/>
        <v>0</v>
      </c>
      <c r="P10">
        <f t="shared" si="3"/>
        <v>1</v>
      </c>
      <c r="Q10" t="b">
        <f>IFERROR(__xludf.DUMMYFUNCTION("N10=max(filter(N:N,F:F=F10,E:E&lt;&gt;""MWC""))"),FALSE)</f>
        <v>0</v>
      </c>
      <c r="R10">
        <f>IFERROR(__xludf.DUMMYFUNCTION("iferror(if(P10=1,H10-MIN(filter(H:H,G:G&lt;G10,E:E=E10,H:H&lt;H10)),""""),"""")"),2.0)</f>
        <v>2</v>
      </c>
    </row>
    <row r="11">
      <c r="A11" s="1" t="s">
        <v>42</v>
      </c>
      <c r="B11" s="199" t="s">
        <v>1553</v>
      </c>
      <c r="D11" s="1" t="s">
        <v>42</v>
      </c>
      <c r="E11" t="str">
        <f>iferror(vlookup(D11,'Teams-Conference'!C:D,2,0),"Independent")</f>
        <v>AAC</v>
      </c>
      <c r="F11" t="str">
        <f>iferror(offset(DraftTracker!D$1,match(D11,DraftTracker!F:F,0)-1,0),"")</f>
        <v>Jeannine</v>
      </c>
      <c r="G11">
        <f>iferror(match(D11,DraftTracker!F$2:F131,0),counta(DraftTracker!F:F))</f>
        <v>43</v>
      </c>
      <c r="H11" s="169">
        <f>VLOOKUP(D11,'Current Week'!B:D,2,0)</f>
        <v>10</v>
      </c>
      <c r="I11">
        <f>iferror(VLOOKUP(D11,DraftTracker!F:I,3,0)+if((VLOOKUP(D11,DraftTracker!F:I,4,0)-VLOOKUP(D11,DraftTracker!F:I,3,0))&gt;0,(VLOOKUP(D11,DraftTracker!F:I,4,0)-VLOOKUP(D11,DraftTracker!F:I,3,0)),0)*0.5,"")</f>
        <v>2</v>
      </c>
      <c r="J11" s="198">
        <f>iferror(VLOOKUP(D11,DraftTracker!F:K,5,0)+(VLOOKUP(D11,DraftTracker!F:K,6,0)-VLOOKUP(D11,DraftTracker!F:K,5,0))*0.5,"")</f>
        <v>2.5</v>
      </c>
      <c r="K11">
        <f>VLOOKUP(D11,'Current Week'!B:D,3,0)</f>
        <v>2</v>
      </c>
      <c r="L11">
        <f>IFERROR(__xludf.DUMMYFUNCTION("iferror(max(filter(H:H,G:G&gt;G11,E:E=E11)),0)"),10.0)</f>
        <v>10</v>
      </c>
      <c r="M11">
        <f>IFERROR(__xludf.DUMMYFUNCTION("iferror(countif(filter(H:H,G:G&lt;G11,E:E=E11),""&lt;""&amp;H11),0)"),4.0)</f>
        <v>4</v>
      </c>
      <c r="N11">
        <f t="shared" si="1"/>
        <v>0</v>
      </c>
      <c r="O11">
        <f t="shared" si="2"/>
        <v>0</v>
      </c>
      <c r="P11">
        <f t="shared" si="3"/>
        <v>1</v>
      </c>
      <c r="Q11" t="b">
        <f>IFERROR(__xludf.DUMMYFUNCTION("N11=max(filter(N:N,F:F=F11,E:E&lt;&gt;""MWC""))"),FALSE)</f>
        <v>0</v>
      </c>
      <c r="R11">
        <f>IFERROR(__xludf.DUMMYFUNCTION("iferror(if(P11=1,H11-MIN(filter(H:H,G:G&lt;G11,E:E=E11,H:H&lt;H11)),""""),"""")"),6.0)</f>
        <v>6</v>
      </c>
    </row>
    <row r="12">
      <c r="A12" s="1" t="s">
        <v>1387</v>
      </c>
      <c r="B12" s="197" t="s">
        <v>1554</v>
      </c>
      <c r="D12" s="1" t="s">
        <v>35</v>
      </c>
      <c r="E12" t="str">
        <f>iferror(vlookup(D12,'Teams-Conference'!C:D,2,0),"Independent")</f>
        <v>AAC</v>
      </c>
      <c r="F12" t="str">
        <f>iferror(offset(DraftTracker!D$1,match(D12,DraftTracker!F:F,0)-1,0),"")</f>
        <v>Brad</v>
      </c>
      <c r="G12">
        <f>iferror(match(D12,DraftTracker!F$2:F131,0),counta(DraftTracker!F:F))</f>
        <v>11</v>
      </c>
      <c r="H12" s="169">
        <f>VLOOKUP(D12,'Current Week'!B:D,2,0)</f>
        <v>11</v>
      </c>
      <c r="I12">
        <f>iferror(VLOOKUP(D12,DraftTracker!F:I,3,0)+if((VLOOKUP(D12,DraftTracker!F:I,4,0)-VLOOKUP(D12,DraftTracker!F:I,3,0))&gt;0,(VLOOKUP(D12,DraftTracker!F:I,4,0)-VLOOKUP(D12,DraftTracker!F:I,3,0)),0)*0.5,"")</f>
        <v>1.5</v>
      </c>
      <c r="J12" s="198">
        <f>iferror(VLOOKUP(D12,DraftTracker!F:K,5,0)+(VLOOKUP(D12,DraftTracker!F:K,6,0)-VLOOKUP(D12,DraftTracker!F:K,5,0))*0.5,"")</f>
        <v>0.5</v>
      </c>
      <c r="K12">
        <f>VLOOKUP(D12,'Current Week'!B:D,3,0)</f>
        <v>1</v>
      </c>
      <c r="L12">
        <f>IFERROR(__xludf.DUMMYFUNCTION("iferror(max(filter(H:H,G:G&gt;G12,E:E=E12)),0)"),10.0)</f>
        <v>10</v>
      </c>
      <c r="M12">
        <f>IFERROR(__xludf.DUMMYFUNCTION("iferror(countif(filter(H:H,G:G&lt;G12,E:E=E12),""&lt;""&amp;H12),0)"),1.0)</f>
        <v>1</v>
      </c>
      <c r="N12">
        <f t="shared" si="1"/>
        <v>0</v>
      </c>
      <c r="O12">
        <f t="shared" si="2"/>
        <v>0</v>
      </c>
      <c r="P12">
        <f t="shared" si="3"/>
        <v>1</v>
      </c>
      <c r="Q12" t="b">
        <f>IFERROR(__xludf.DUMMYFUNCTION("N12=max(filter(N:N,F:F=F12,E:E&lt;&gt;""MWC""))"),FALSE)</f>
        <v>0</v>
      </c>
      <c r="R12">
        <f>IFERROR(__xludf.DUMMYFUNCTION("iferror(if(P12=1,H12-MIN(filter(H:H,G:G&lt;G12,E:E=E12,H:H&lt;H12)),""""),"""")"),2.0)</f>
        <v>2</v>
      </c>
    </row>
    <row r="13">
      <c r="A13" s="1" t="s">
        <v>1392</v>
      </c>
      <c r="B13" s="199" t="s">
        <v>1555</v>
      </c>
      <c r="D13" s="1" t="s">
        <v>56</v>
      </c>
      <c r="E13" t="str">
        <f>iferror(vlookup(D13,'Teams-Conference'!C:D,2,0),"Independent")</f>
        <v>AAC</v>
      </c>
      <c r="F13" t="str">
        <f>iferror(offset(DraftTracker!D$1,match(D13,DraftTracker!F:F,0)-1,0),"")</f>
        <v>DavEmily</v>
      </c>
      <c r="G13">
        <f>iferror(match(D13,DraftTracker!F$2:F131,0),counta(DraftTracker!F:F))</f>
        <v>73</v>
      </c>
      <c r="H13" s="169">
        <f>VLOOKUP(D13,'Current Week'!B:D,2,0)</f>
        <v>4</v>
      </c>
      <c r="I13">
        <f>iferror(VLOOKUP(D13,DraftTracker!F:I,3,0)+if((VLOOKUP(D13,DraftTracker!F:I,4,0)-VLOOKUP(D13,DraftTracker!F:I,3,0))&gt;0,(VLOOKUP(D13,DraftTracker!F:I,4,0)-VLOOKUP(D13,DraftTracker!F:I,3,0)),0)*0.5,"")</f>
        <v>0</v>
      </c>
      <c r="J13" s="198">
        <f>iferror(VLOOKUP(D13,DraftTracker!F:K,5,0)+(VLOOKUP(D13,DraftTracker!F:K,6,0)-VLOOKUP(D13,DraftTracker!F:K,5,0))*0.5,"")</f>
        <v>1</v>
      </c>
      <c r="K13">
        <f>VLOOKUP(D13,'Current Week'!B:D,3,0)</f>
        <v>8</v>
      </c>
      <c r="L13">
        <f>IFERROR(__xludf.DUMMYFUNCTION("iferror(max(filter(H:H,G:G&gt;G13,E:E=E13)),0)"),2.0)</f>
        <v>2</v>
      </c>
      <c r="M13">
        <f>IFERROR(__xludf.DUMMYFUNCTION("iferror(countif(filter(H:H,G:G&lt;G13,E:E=E13),""&lt;""&amp;H13),0)"),0.0)</f>
        <v>0</v>
      </c>
      <c r="N13">
        <f t="shared" si="1"/>
        <v>0</v>
      </c>
      <c r="O13">
        <f t="shared" si="2"/>
        <v>0</v>
      </c>
      <c r="P13">
        <f t="shared" si="3"/>
        <v>0</v>
      </c>
      <c r="Q13" t="b">
        <f>IFERROR(__xludf.DUMMYFUNCTION("N13=max(filter(N:N,F:F=F13,E:E&lt;&gt;""MWC""))"),FALSE)</f>
        <v>0</v>
      </c>
      <c r="R13" t="str">
        <f>IFERROR(__xludf.DUMMYFUNCTION("iferror(if(P13=1,H13-MIN(filter(H:H,G:G&lt;G13,E:E=E13,H:H&lt;H13)),""""),"""")"),"")</f>
        <v/>
      </c>
    </row>
    <row r="14">
      <c r="A14" s="1" t="s">
        <v>1393</v>
      </c>
      <c r="B14" s="197" t="s">
        <v>1556</v>
      </c>
      <c r="D14" s="1" t="s">
        <v>61</v>
      </c>
      <c r="E14" t="str">
        <f>iferror(vlookup(D14,'Teams-Conference'!C:D,2,0),"Independent")</f>
        <v>ACC</v>
      </c>
      <c r="F14" t="str">
        <f>iferror(offset(DraftTracker!D$1,match(D14,DraftTracker!F:F,0)-1,0),"")</f>
        <v>Janice/Mike</v>
      </c>
      <c r="G14">
        <f>iferror(match(D14,DraftTracker!F$2:F131,0),counta(DraftTracker!F:F))</f>
        <v>100</v>
      </c>
      <c r="H14" s="169">
        <f>VLOOKUP(D14,'Current Week'!B:D,2,0)</f>
        <v>6</v>
      </c>
      <c r="I14">
        <f>iferror(VLOOKUP(D14,DraftTracker!F:I,3,0)+if((VLOOKUP(D14,DraftTracker!F:I,4,0)-VLOOKUP(D14,DraftTracker!F:I,3,0))&gt;0,(VLOOKUP(D14,DraftTracker!F:I,4,0)-VLOOKUP(D14,DraftTracker!F:I,3,0)),0)*0.5,"")</f>
        <v>1.5</v>
      </c>
      <c r="J14" s="198">
        <f>iferror(VLOOKUP(D14,DraftTracker!F:K,5,0)+(VLOOKUP(D14,DraftTracker!F:K,6,0)-VLOOKUP(D14,DraftTracker!F:K,5,0))*0.5,"")</f>
        <v>1.5</v>
      </c>
      <c r="K14">
        <f>VLOOKUP(D14,'Current Week'!B:D,3,0)</f>
        <v>6</v>
      </c>
      <c r="L14">
        <f>IFERROR(__xludf.DUMMYFUNCTION("iferror(max(filter(H:H,G:G&gt;G14,E:E=E14)),0)"),7.0)</f>
        <v>7</v>
      </c>
      <c r="M14">
        <f>IFERROR(__xludf.DUMMYFUNCTION("iferror(countif(filter(H:H,G:G&lt;G14,E:E=E14),""&lt;""&amp;H14),0)"),2.0)</f>
        <v>2</v>
      </c>
      <c r="N14" s="169">
        <f t="shared" si="1"/>
        <v>1</v>
      </c>
      <c r="O14">
        <f t="shared" si="2"/>
        <v>1</v>
      </c>
      <c r="P14">
        <f t="shared" si="3"/>
        <v>0</v>
      </c>
      <c r="Q14" t="b">
        <f>IFERROR(__xludf.DUMMYFUNCTION("N14=max(filter(N:N,F:F=F14,E:E&lt;&gt;""MWC""))"),FALSE)</f>
        <v>0</v>
      </c>
      <c r="R14" t="str">
        <f>IFERROR(__xludf.DUMMYFUNCTION("iferror(if(P14=1,H14-MIN(filter(H:H,G:G&lt;G14,E:E=E14,H:H&lt;H14)),""""),"""")"),"")</f>
        <v/>
      </c>
    </row>
    <row r="15">
      <c r="A15" s="1" t="s">
        <v>1403</v>
      </c>
      <c r="B15" s="199" t="s">
        <v>1557</v>
      </c>
      <c r="D15" s="1" t="s">
        <v>92</v>
      </c>
      <c r="E15" t="str">
        <f>iferror(vlookup(D15,'Teams-Conference'!C:D,2,0),"Independent")</f>
        <v>ACC</v>
      </c>
      <c r="F15" t="str">
        <f>iferror(offset(DraftTracker!D$1,match(D15,DraftTracker!F:F,0)-1,0),"")</f>
        <v>Vu</v>
      </c>
      <c r="G15">
        <f>iferror(match(D15,DraftTracker!F$2:F131,0),counta(DraftTracker!F:F))</f>
        <v>88</v>
      </c>
      <c r="H15" s="169">
        <f>VLOOKUP(D15,'Current Week'!B:D,2,0)</f>
        <v>5</v>
      </c>
      <c r="I15">
        <f>iferror(VLOOKUP(D15,DraftTracker!F:I,3,0)+if((VLOOKUP(D15,DraftTracker!F:I,4,0)-VLOOKUP(D15,DraftTracker!F:I,3,0))&gt;0,(VLOOKUP(D15,DraftTracker!F:I,4,0)-VLOOKUP(D15,DraftTracker!F:I,3,0)),0)*0.5,"")</f>
        <v>3.5</v>
      </c>
      <c r="J15" s="198">
        <f>iferror(VLOOKUP(D15,DraftTracker!F:K,5,0)+(VLOOKUP(D15,DraftTracker!F:K,6,0)-VLOOKUP(D15,DraftTracker!F:K,5,0))*0.5,"")</f>
        <v>2.5</v>
      </c>
      <c r="K15">
        <f>VLOOKUP(D15,'Current Week'!B:D,3,0)</f>
        <v>7</v>
      </c>
      <c r="L15">
        <f>IFERROR(__xludf.DUMMYFUNCTION("iferror(max(filter(H:H,G:G&gt;G15,E:E=E15)),0)"),9.0)</f>
        <v>9</v>
      </c>
      <c r="M15">
        <f>IFERROR(__xludf.DUMMYFUNCTION("iferror(countif(filter(H:H,G:G&lt;G15,E:E=E15),""&lt;""&amp;H15),0)"),1.0)</f>
        <v>1</v>
      </c>
      <c r="N15" s="169">
        <f t="shared" si="1"/>
        <v>4</v>
      </c>
      <c r="O15">
        <f t="shared" si="2"/>
        <v>1</v>
      </c>
      <c r="P15">
        <f t="shared" si="3"/>
        <v>0</v>
      </c>
      <c r="Q15" t="b">
        <f>IFERROR(__xludf.DUMMYFUNCTION("N15=max(filter(N:N,F:F=F15,E:E&lt;&gt;""MWC""))"),FALSE)</f>
        <v>0</v>
      </c>
      <c r="R15" t="str">
        <f>IFERROR(__xludf.DUMMYFUNCTION("iferror(if(P15=1,H15-MIN(filter(H:H,G:G&lt;G15,E:E=E15,H:H&lt;H15)),""""),"""")"),"")</f>
        <v/>
      </c>
    </row>
    <row r="16">
      <c r="A16" s="1" t="s">
        <v>1394</v>
      </c>
      <c r="B16" s="197" t="s">
        <v>1554</v>
      </c>
      <c r="D16" s="1" t="s">
        <v>68</v>
      </c>
      <c r="E16" t="str">
        <f>iferror(vlookup(D16,'Teams-Conference'!C:D,2,0),"Independent")</f>
        <v>ACC</v>
      </c>
      <c r="F16" t="str">
        <f>iferror(offset(DraftTracker!D$1,match(D16,DraftTracker!F:F,0)-1,0),"")</f>
        <v>Nick A.</v>
      </c>
      <c r="G16">
        <f>iferror(match(D16,DraftTracker!F$2:F131,0),counta(DraftTracker!F:F))</f>
        <v>2</v>
      </c>
      <c r="H16" s="169">
        <f>VLOOKUP(D16,'Current Week'!B:D,2,0)</f>
        <v>12</v>
      </c>
      <c r="I16">
        <f>iferror(VLOOKUP(D16,DraftTracker!F:I,3,0)+if((VLOOKUP(D16,DraftTracker!F:I,4,0)-VLOOKUP(D16,DraftTracker!F:I,3,0))&gt;0,(VLOOKUP(D16,DraftTracker!F:I,4,0)-VLOOKUP(D16,DraftTracker!F:I,3,0)),0)*0.5,"")</f>
        <v>0</v>
      </c>
      <c r="J16" s="198">
        <f>iferror(VLOOKUP(D16,DraftTracker!F:K,5,0)+(VLOOKUP(D16,DraftTracker!F:K,6,0)-VLOOKUP(D16,DraftTracker!F:K,5,0))*0.5,"")</f>
        <v>0</v>
      </c>
      <c r="K16">
        <f>VLOOKUP(D16,'Current Week'!B:D,3,0)</f>
        <v>0</v>
      </c>
      <c r="L16">
        <f>IFERROR(__xludf.DUMMYFUNCTION("iferror(max(filter(H:H,G:G&gt;G16,E:E=E16)),0)"),9.0)</f>
        <v>9</v>
      </c>
      <c r="M16">
        <f>IFERROR(__xludf.DUMMYFUNCTION("iferror(countif(filter(H:H,G:G&lt;G16,E:E=E16),""&lt;""&amp;H16),0)"),0.0)</f>
        <v>0</v>
      </c>
      <c r="N16">
        <f t="shared" si="1"/>
        <v>0</v>
      </c>
      <c r="O16">
        <f t="shared" si="2"/>
        <v>0</v>
      </c>
      <c r="P16">
        <f t="shared" si="3"/>
        <v>0</v>
      </c>
      <c r="Q16" t="b">
        <f>IFERROR(__xludf.DUMMYFUNCTION("N16=max(filter(N:N,F:F=F16,E:E&lt;&gt;""MWC""))"),FALSE)</f>
        <v>0</v>
      </c>
      <c r="R16" t="str">
        <f>IFERROR(__xludf.DUMMYFUNCTION("iferror(if(P16=1,H16-MIN(filter(H:H,G:G&lt;G16,E:E=E16,H:H&lt;H16)),""""),"""")"),"")</f>
        <v/>
      </c>
    </row>
    <row r="17">
      <c r="A17" s="1" t="s">
        <v>1400</v>
      </c>
      <c r="B17" s="199" t="s">
        <v>1560</v>
      </c>
      <c r="D17" s="1" t="s">
        <v>88</v>
      </c>
      <c r="E17" t="str">
        <f>iferror(vlookup(D17,'Teams-Conference'!C:D,2,0),"Independent")</f>
        <v>ACC</v>
      </c>
      <c r="F17" t="str">
        <f>iferror(offset(DraftTracker!D$1,match(D17,DraftTracker!F:F,0)-1,0),"")</f>
        <v>Nick G.</v>
      </c>
      <c r="G17">
        <f>iferror(match(D17,DraftTracker!F$2:F131,0),counta(DraftTracker!F:F))</f>
        <v>84</v>
      </c>
      <c r="H17" s="169">
        <f>VLOOKUP(D17,'Current Week'!B:D,2,0)</f>
        <v>4</v>
      </c>
      <c r="I17">
        <f>iferror(VLOOKUP(D17,DraftTracker!F:I,3,0)+if((VLOOKUP(D17,DraftTracker!F:I,4,0)-VLOOKUP(D17,DraftTracker!F:I,3,0))&gt;0,(VLOOKUP(D17,DraftTracker!F:I,4,0)-VLOOKUP(D17,DraftTracker!F:I,3,0)),0)*0.5,"")</f>
        <v>5.5</v>
      </c>
      <c r="J17" s="198">
        <f>iferror(VLOOKUP(D17,DraftTracker!F:K,5,0)+(VLOOKUP(D17,DraftTracker!F:K,6,0)-VLOOKUP(D17,DraftTracker!F:K,5,0))*0.5,"")</f>
        <v>2</v>
      </c>
      <c r="K17">
        <f>VLOOKUP(D17,'Current Week'!B:D,3,0)</f>
        <v>8</v>
      </c>
      <c r="L17">
        <f>IFERROR(__xludf.DUMMYFUNCTION("iferror(max(filter(H:H,G:G&gt;G17,E:E=E17)),0)"),9.0)</f>
        <v>9</v>
      </c>
      <c r="M17">
        <f>IFERROR(__xludf.DUMMYFUNCTION("iferror(countif(filter(H:H,G:G&lt;G17,E:E=E17),""&lt;""&amp;H17),0)"),0.0)</f>
        <v>0</v>
      </c>
      <c r="N17" s="169">
        <f t="shared" si="1"/>
        <v>5</v>
      </c>
      <c r="O17">
        <f t="shared" si="2"/>
        <v>1</v>
      </c>
      <c r="P17">
        <f t="shared" si="3"/>
        <v>0</v>
      </c>
      <c r="Q17" t="b">
        <f>IFERROR(__xludf.DUMMYFUNCTION("N17=max(filter(N:N,F:F=F17,E:E&lt;&gt;""MWC""))"),TRUE)</f>
        <v>1</v>
      </c>
      <c r="R17" t="str">
        <f>IFERROR(__xludf.DUMMYFUNCTION("iferror(if(P17=1,H17-MIN(filter(H:H,G:G&lt;G17,E:E=E17,H:H&lt;H17)),""""),"""")"),"")</f>
        <v/>
      </c>
    </row>
    <row r="18">
      <c r="A18" s="1" t="s">
        <v>1398</v>
      </c>
      <c r="B18" s="197" t="s">
        <v>1562</v>
      </c>
      <c r="D18" s="1" t="s">
        <v>84</v>
      </c>
      <c r="E18" t="str">
        <f>iferror(vlookup(D18,'Teams-Conference'!C:D,2,0),"Independent")</f>
        <v>ACC</v>
      </c>
      <c r="F18" t="str">
        <f>iferror(offset(DraftTracker!D$1,match(D18,DraftTracker!F:F,0)-1,0),"")</f>
        <v>Undrafted</v>
      </c>
      <c r="G18">
        <f>iferror(match(D18,DraftTracker!F$2:F131,0),counta(DraftTracker!F:F))</f>
        <v>121</v>
      </c>
      <c r="H18" s="1">
        <v>2.0</v>
      </c>
      <c r="I18">
        <f>iferror(VLOOKUP(D18,DraftTracker!F:I,3,0)+if((VLOOKUP(D18,DraftTracker!F:I,4,0)-VLOOKUP(D18,DraftTracker!F:I,3,0))&gt;0,(VLOOKUP(D18,DraftTracker!F:I,4,0)-VLOOKUP(D18,DraftTracker!F:I,3,0)),0)*0.5,"")</f>
        <v>1</v>
      </c>
      <c r="J18" s="198">
        <f>iferror(VLOOKUP(D18,DraftTracker!F:K,5,0)+(VLOOKUP(D18,DraftTracker!F:K,6,0)-VLOOKUP(D18,DraftTracker!F:K,5,0))*0.5,"")</f>
        <v>1</v>
      </c>
      <c r="K18" s="1">
        <v>10.0</v>
      </c>
      <c r="L18">
        <f>IFERROR(__xludf.DUMMYFUNCTION("iferror(max(filter(H:H,G:G&gt;G18,E:E=E18)),0)"),7.0)</f>
        <v>7</v>
      </c>
      <c r="M18">
        <f>IFERROR(__xludf.DUMMYFUNCTION("iferror(countif(filter(H:H,G:G&lt;G18,E:E=E18),""&lt;""&amp;H18),0)"),0.0)</f>
        <v>0</v>
      </c>
      <c r="N18">
        <f t="shared" si="1"/>
        <v>5</v>
      </c>
      <c r="O18">
        <f t="shared" si="2"/>
        <v>1</v>
      </c>
      <c r="P18">
        <f t="shared" si="3"/>
        <v>0</v>
      </c>
      <c r="Q18" t="b">
        <f>IFERROR(__xludf.DUMMYFUNCTION("N18=max(filter(N:N,F:F=F18,E:E&lt;&gt;""MWC""))"),TRUE)</f>
        <v>1</v>
      </c>
      <c r="R18" t="str">
        <f>IFERROR(__xludf.DUMMYFUNCTION("iferror(if(P18=1,H18-MIN(filter(H:H,G:G&lt;G18,E:E=E18,H:H&lt;H18)),""""),"""")"),"")</f>
        <v/>
      </c>
    </row>
    <row r="19">
      <c r="A19" s="1" t="s">
        <v>1406</v>
      </c>
      <c r="B19" s="199" t="s">
        <v>1563</v>
      </c>
      <c r="D19" s="1" t="s">
        <v>95</v>
      </c>
      <c r="E19" t="str">
        <f>iferror(vlookup(D19,'Teams-Conference'!C:D,2,0),"Independent")</f>
        <v>ACC</v>
      </c>
      <c r="F19" t="str">
        <f>iferror(offset(DraftTracker!D$1,match(D19,DraftTracker!F:F,0)-1,0),"")</f>
        <v>Adam</v>
      </c>
      <c r="G19">
        <f>iferror(match(D19,DraftTracker!F$2:F131,0),counta(DraftTracker!F:F))</f>
        <v>89</v>
      </c>
      <c r="H19" s="169">
        <f>VLOOKUP(D19,'Current Week'!B:D,2,0)</f>
        <v>8</v>
      </c>
      <c r="I19">
        <f>iferror(VLOOKUP(D19,DraftTracker!F:I,3,0)+if((VLOOKUP(D19,DraftTracker!F:I,4,0)-VLOOKUP(D19,DraftTracker!F:I,3,0))&gt;0,(VLOOKUP(D19,DraftTracker!F:I,4,0)-VLOOKUP(D19,DraftTracker!F:I,3,0)),0)*0.5,"")</f>
        <v>2.5</v>
      </c>
      <c r="J19" s="198">
        <f>iferror(VLOOKUP(D19,DraftTracker!F:K,5,0)+(VLOOKUP(D19,DraftTracker!F:K,6,0)-VLOOKUP(D19,DraftTracker!F:K,5,0))*0.5,"")</f>
        <v>1.5</v>
      </c>
      <c r="K19">
        <f>VLOOKUP(D19,'Current Week'!B:D,3,0)</f>
        <v>4</v>
      </c>
      <c r="L19">
        <f>IFERROR(__xludf.DUMMYFUNCTION("iferror(max(filter(H:H,G:G&gt;G19,E:E=E19)),0)"),9.0)</f>
        <v>9</v>
      </c>
      <c r="M19">
        <f>IFERROR(__xludf.DUMMYFUNCTION("iferror(countif(filter(H:H,G:G&lt;G19,E:E=E19),""&lt;""&amp;H19),0)"),4.0)</f>
        <v>4</v>
      </c>
      <c r="N19" s="169">
        <f t="shared" si="1"/>
        <v>1</v>
      </c>
      <c r="O19">
        <f t="shared" si="2"/>
        <v>1</v>
      </c>
      <c r="P19">
        <f t="shared" si="3"/>
        <v>0</v>
      </c>
      <c r="Q19" t="b">
        <f>IFERROR(__xludf.DUMMYFUNCTION("N19=max(filter(N:N,F:F=F19,E:E&lt;&gt;""MWC""))"),FALSE)</f>
        <v>0</v>
      </c>
      <c r="R19" t="str">
        <f>IFERROR(__xludf.DUMMYFUNCTION("iferror(if(P19=1,H19-MIN(filter(H:H,G:G&lt;G19,E:E=E19,H:H&lt;H19)),""""),"""")"),"")</f>
        <v/>
      </c>
    </row>
    <row r="20">
      <c r="A20" s="1" t="s">
        <v>1396</v>
      </c>
      <c r="B20" s="197" t="s">
        <v>1564</v>
      </c>
      <c r="D20" s="1" t="s">
        <v>76</v>
      </c>
      <c r="E20" t="str">
        <f>iferror(vlookup(D20,'Teams-Conference'!C:D,2,0),"Independent")</f>
        <v>ACC</v>
      </c>
      <c r="F20" t="str">
        <f>iferror(offset(DraftTracker!D$1,match(D20,DraftTracker!F:F,0)-1,0),"")</f>
        <v>Josh R.</v>
      </c>
      <c r="G20">
        <f>iferror(match(D20,DraftTracker!F$2:F131,0),counta(DraftTracker!F:F))</f>
        <v>87</v>
      </c>
      <c r="H20" s="169">
        <f>VLOOKUP(D20,'Current Week'!B:D,2,0)</f>
        <v>6</v>
      </c>
      <c r="I20">
        <f>iferror(VLOOKUP(D20,DraftTracker!F:I,3,0)+if((VLOOKUP(D20,DraftTracker!F:I,4,0)-VLOOKUP(D20,DraftTracker!F:I,3,0))&gt;0,(VLOOKUP(D20,DraftTracker!F:I,4,0)-VLOOKUP(D20,DraftTracker!F:I,3,0)),0)*0.5,"")</f>
        <v>4.5</v>
      </c>
      <c r="J20" s="198">
        <f>iferror(VLOOKUP(D20,DraftTracker!F:K,5,0)+(VLOOKUP(D20,DraftTracker!F:K,6,0)-VLOOKUP(D20,DraftTracker!F:K,5,0))*0.5,"")</f>
        <v>1.5</v>
      </c>
      <c r="K20">
        <f>VLOOKUP(D20,'Current Week'!B:D,3,0)</f>
        <v>6</v>
      </c>
      <c r="L20">
        <f>IFERROR(__xludf.DUMMYFUNCTION("iferror(max(filter(H:H,G:G&gt;G20,E:E=E20)),0)"),9.0)</f>
        <v>9</v>
      </c>
      <c r="M20">
        <f>IFERROR(__xludf.DUMMYFUNCTION("iferror(countif(filter(H:H,G:G&lt;G20,E:E=E20),""&lt;""&amp;H20),0)"),1.0)</f>
        <v>1</v>
      </c>
      <c r="N20" s="169">
        <f t="shared" si="1"/>
        <v>3</v>
      </c>
      <c r="O20">
        <f t="shared" si="2"/>
        <v>1</v>
      </c>
      <c r="P20">
        <f t="shared" si="3"/>
        <v>0</v>
      </c>
      <c r="Q20" t="b">
        <f>IFERROR(__xludf.DUMMYFUNCTION("N20=max(filter(N:N,F:F=F20,E:E&lt;&gt;""MWC""))"),TRUE)</f>
        <v>1</v>
      </c>
      <c r="R20" t="str">
        <f>IFERROR(__xludf.DUMMYFUNCTION("iferror(if(P20=1,H20-MIN(filter(H:H,G:G&lt;G20,E:E=E20,H:H&lt;H20)),""""),"""")"),"")</f>
        <v/>
      </c>
    </row>
    <row r="21">
      <c r="A21" s="1" t="s">
        <v>1405</v>
      </c>
      <c r="B21" s="199" t="s">
        <v>1565</v>
      </c>
      <c r="D21" s="1" t="s">
        <v>94</v>
      </c>
      <c r="E21" t="str">
        <f>iferror(vlookup(D21,'Teams-Conference'!C:D,2,0),"Independent")</f>
        <v>ACC</v>
      </c>
      <c r="F21" t="str">
        <f>iferror(offset(DraftTracker!D$1,match(D21,DraftTracker!F:F,0)-1,0),"")</f>
        <v>DavEmily</v>
      </c>
      <c r="G21">
        <f>iferror(match(D21,DraftTracker!F$2:F131,0),counta(DraftTracker!F:F))</f>
        <v>48</v>
      </c>
      <c r="H21" s="169">
        <f>VLOOKUP(D21,'Current Week'!B:D,2,0)</f>
        <v>8</v>
      </c>
      <c r="I21">
        <f>iferror(VLOOKUP(D21,DraftTracker!F:I,3,0)+if((VLOOKUP(D21,DraftTracker!F:I,4,0)-VLOOKUP(D21,DraftTracker!F:I,3,0))&gt;0,(VLOOKUP(D21,DraftTracker!F:I,4,0)-VLOOKUP(D21,DraftTracker!F:I,3,0)),0)*0.5,"")</f>
        <v>0</v>
      </c>
      <c r="J21" s="198">
        <f>iferror(VLOOKUP(D21,DraftTracker!F:K,5,0)+(VLOOKUP(D21,DraftTracker!F:K,6,0)-VLOOKUP(D21,DraftTracker!F:K,5,0))*0.5,"")</f>
        <v>0</v>
      </c>
      <c r="K21">
        <f>VLOOKUP(D21,'Current Week'!B:D,3,0)</f>
        <v>4</v>
      </c>
      <c r="L21">
        <f>IFERROR(__xludf.DUMMYFUNCTION("iferror(max(filter(H:H,G:G&gt;G21,E:E=E21)),0)"),9.0)</f>
        <v>9</v>
      </c>
      <c r="M21">
        <f>IFERROR(__xludf.DUMMYFUNCTION("iferror(countif(filter(H:H,G:G&lt;G21,E:E=E21),""&lt;""&amp;H21),0)"),1.0)</f>
        <v>1</v>
      </c>
      <c r="N21" s="169">
        <f t="shared" si="1"/>
        <v>1</v>
      </c>
      <c r="O21">
        <f t="shared" si="2"/>
        <v>1</v>
      </c>
      <c r="P21">
        <f t="shared" si="3"/>
        <v>0</v>
      </c>
      <c r="Q21" t="b">
        <f>IFERROR(__xludf.DUMMYFUNCTION("N21=max(filter(N:N,F:F=F21,E:E&lt;&gt;""MWC""))"),FALSE)</f>
        <v>0</v>
      </c>
      <c r="R21" t="str">
        <f>IFERROR(__xludf.DUMMYFUNCTION("iferror(if(P21=1,H21-MIN(filter(H:H,G:G&lt;G21,E:E=E21,H:H&lt;H21)),""""),"""")"),"")</f>
        <v/>
      </c>
    </row>
    <row r="22">
      <c r="A22" s="1" t="s">
        <v>1402</v>
      </c>
      <c r="B22" s="197" t="s">
        <v>1566</v>
      </c>
      <c r="D22" s="1" t="s">
        <v>91</v>
      </c>
      <c r="E22" t="str">
        <f>iferror(vlookup(D22,'Teams-Conference'!C:D,2,0),"Independent")</f>
        <v>ACC</v>
      </c>
      <c r="F22" t="str">
        <f>iferror(offset(DraftTracker!D$1,match(D22,DraftTracker!F:F,0)-1,0),"")</f>
        <v>Gary</v>
      </c>
      <c r="G22">
        <f>iferror(match(D22,DraftTracker!F$2:F131,0),counta(DraftTracker!F:F))</f>
        <v>94</v>
      </c>
      <c r="H22" s="169">
        <f>VLOOKUP(D22,'Current Week'!B:D,2,0)</f>
        <v>7</v>
      </c>
      <c r="I22">
        <f>iferror(VLOOKUP(D22,DraftTracker!F:I,3,0)+if((VLOOKUP(D22,DraftTracker!F:I,4,0)-VLOOKUP(D22,DraftTracker!F:I,3,0))&gt;0,(VLOOKUP(D22,DraftTracker!F:I,4,0)-VLOOKUP(D22,DraftTracker!F:I,3,0)),0)*0.5,"")</f>
        <v>2</v>
      </c>
      <c r="J22" s="198">
        <f>iferror(VLOOKUP(D22,DraftTracker!F:K,5,0)+(VLOOKUP(D22,DraftTracker!F:K,6,0)-VLOOKUP(D22,DraftTracker!F:K,5,0))*0.5,"")</f>
        <v>4</v>
      </c>
      <c r="K22">
        <f>VLOOKUP(D22,'Current Week'!B:D,3,0)</f>
        <v>5</v>
      </c>
      <c r="L22">
        <f>IFERROR(__xludf.DUMMYFUNCTION("iferror(max(filter(H:H,G:G&gt;G22,E:E=E22)),0)"),7.0)</f>
        <v>7</v>
      </c>
      <c r="M22">
        <f>IFERROR(__xludf.DUMMYFUNCTION("iferror(countif(filter(H:H,G:G&lt;G22,E:E=E22),""&lt;""&amp;H22),0)"),4.0)</f>
        <v>4</v>
      </c>
      <c r="N22">
        <f t="shared" si="1"/>
        <v>0</v>
      </c>
      <c r="O22">
        <f t="shared" si="2"/>
        <v>0</v>
      </c>
      <c r="P22">
        <f t="shared" si="3"/>
        <v>1</v>
      </c>
      <c r="Q22" t="b">
        <f>IFERROR(__xludf.DUMMYFUNCTION("N22=max(filter(N:N,F:F=F22,E:E&lt;&gt;""MWC""))"),FALSE)</f>
        <v>0</v>
      </c>
      <c r="R22">
        <f>IFERROR(__xludf.DUMMYFUNCTION("iferror(if(P22=1,H22-MIN(filter(H:H,G:G&lt;G22,E:E=E22,H:H&lt;H22)),""""),"""")"),3.0)</f>
        <v>3</v>
      </c>
    </row>
    <row r="23">
      <c r="A23" s="1" t="s">
        <v>1395</v>
      </c>
      <c r="B23" s="1" t="s">
        <v>1567</v>
      </c>
      <c r="D23" s="1" t="s">
        <v>72</v>
      </c>
      <c r="E23" t="str">
        <f>iferror(vlookup(D23,'Teams-Conference'!C:D,2,0),"Independent")</f>
        <v>ACC</v>
      </c>
      <c r="F23" t="str">
        <f>iferror(offset(DraftTracker!D$1,match(D23,DraftTracker!F:F,0)-1,0),"")</f>
        <v>Justin</v>
      </c>
      <c r="G23">
        <f>iferror(match(D23,DraftTracker!F$2:F131,0),counta(DraftTracker!F:F))</f>
        <v>114</v>
      </c>
      <c r="H23" s="169">
        <f>VLOOKUP(D23,'Current Week'!B:D,2,0)</f>
        <v>5</v>
      </c>
      <c r="I23">
        <f>iferror(VLOOKUP(D23,DraftTracker!F:I,3,0)+if((VLOOKUP(D23,DraftTracker!F:I,4,0)-VLOOKUP(D23,DraftTracker!F:I,3,0))&gt;0,(VLOOKUP(D23,DraftTracker!F:I,4,0)-VLOOKUP(D23,DraftTracker!F:I,3,0)),0)*0.5,"")</f>
        <v>3</v>
      </c>
      <c r="J23" s="198">
        <f>iferror(VLOOKUP(D23,DraftTracker!F:K,5,0)+(VLOOKUP(D23,DraftTracker!F:K,6,0)-VLOOKUP(D23,DraftTracker!F:K,5,0))*0.5,"")</f>
        <v>0.5</v>
      </c>
      <c r="K23">
        <f>VLOOKUP(D23,'Current Week'!B:D,3,0)</f>
        <v>7</v>
      </c>
      <c r="L23">
        <f>IFERROR(__xludf.DUMMYFUNCTION("iferror(max(filter(H:H,G:G&gt;G23,E:E=E23)),0)"),7.0)</f>
        <v>7</v>
      </c>
      <c r="M23">
        <f>IFERROR(__xludf.DUMMYFUNCTION("iferror(countif(filter(H:H,G:G&lt;G23,E:E=E23),""&lt;""&amp;H23),0)"),1.0)</f>
        <v>1</v>
      </c>
      <c r="N23" s="169">
        <f t="shared" si="1"/>
        <v>2</v>
      </c>
      <c r="O23">
        <f t="shared" si="2"/>
        <v>1</v>
      </c>
      <c r="P23">
        <f t="shared" si="3"/>
        <v>0</v>
      </c>
      <c r="Q23" t="b">
        <f>IFERROR(__xludf.DUMMYFUNCTION("N23=max(filter(N:N,F:F=F23,E:E&lt;&gt;""MWC""))"),FALSE)</f>
        <v>0</v>
      </c>
      <c r="R23" t="str">
        <f>IFERROR(__xludf.DUMMYFUNCTION("iferror(if(P23=1,H23-MIN(filter(H:H,G:G&lt;G23,E:E=E23,H:H&lt;H23)),""""),"""")"),"")</f>
        <v/>
      </c>
    </row>
    <row r="24">
      <c r="A24" s="1" t="s">
        <v>87</v>
      </c>
      <c r="B24" s="134" t="s">
        <v>1568</v>
      </c>
      <c r="D24" s="1" t="s">
        <v>87</v>
      </c>
      <c r="E24" t="str">
        <f>iferror(vlookup(D24,'Teams-Conference'!C:D,2,0),"Independent")</f>
        <v>ACC</v>
      </c>
      <c r="F24" t="str">
        <f>iferror(offset(DraftTracker!D$1,match(D24,DraftTracker!F:F,0)-1,0),"")</f>
        <v>Brad</v>
      </c>
      <c r="G24">
        <f>iferror(match(D24,DraftTracker!F$2:F131,0),counta(DraftTracker!F:F))</f>
        <v>35</v>
      </c>
      <c r="H24" s="169">
        <f>VLOOKUP(D24,'Current Week'!B:D,2,0)</f>
        <v>6</v>
      </c>
      <c r="I24">
        <f>iferror(VLOOKUP(D24,DraftTracker!F:I,3,0)+if((VLOOKUP(D24,DraftTracker!F:I,4,0)-VLOOKUP(D24,DraftTracker!F:I,3,0))&gt;0,(VLOOKUP(D24,DraftTracker!F:I,4,0)-VLOOKUP(D24,DraftTracker!F:I,3,0)),0)*0.5,"")</f>
        <v>0.5</v>
      </c>
      <c r="J24" s="198">
        <f>iferror(VLOOKUP(D24,DraftTracker!F:K,5,0)+(VLOOKUP(D24,DraftTracker!F:K,6,0)-VLOOKUP(D24,DraftTracker!F:K,5,0))*0.5,"")</f>
        <v>2.5</v>
      </c>
      <c r="K24">
        <f>VLOOKUP(D24,'Current Week'!B:D,3,0)</f>
        <v>6</v>
      </c>
      <c r="L24">
        <f>IFERROR(__xludf.DUMMYFUNCTION("iferror(max(filter(H:H,G:G&gt;G24,E:E=E24)),0)"),9.0)</f>
        <v>9</v>
      </c>
      <c r="M24">
        <f>IFERROR(__xludf.DUMMYFUNCTION("iferror(countif(filter(H:H,G:G&lt;G24,E:E=E24),""&lt;""&amp;H24),0)"),0.0)</f>
        <v>0</v>
      </c>
      <c r="N24" s="169">
        <f t="shared" si="1"/>
        <v>3</v>
      </c>
      <c r="O24">
        <f t="shared" si="2"/>
        <v>1</v>
      </c>
      <c r="P24">
        <f t="shared" si="3"/>
        <v>0</v>
      </c>
      <c r="Q24" t="b">
        <f>IFERROR(__xludf.DUMMYFUNCTION("N24=max(filter(N:N,F:F=F24,E:E&lt;&gt;""MWC""))"),TRUE)</f>
        <v>1</v>
      </c>
      <c r="R24" t="str">
        <f>IFERROR(__xludf.DUMMYFUNCTION("iferror(if(P24=1,H24-MIN(filter(H:H,G:G&lt;G24,E:E=E24,H:H&lt;H24)),""""),"""")"),"")</f>
        <v/>
      </c>
    </row>
    <row r="25">
      <c r="A25" s="1" t="s">
        <v>1404</v>
      </c>
      <c r="B25" s="1" t="s">
        <v>1569</v>
      </c>
      <c r="D25" s="1" t="s">
        <v>93</v>
      </c>
      <c r="E25" t="str">
        <f>iferror(vlookup(D25,'Teams-Conference'!C:D,2,0),"Independent")</f>
        <v>ACC</v>
      </c>
      <c r="F25" t="str">
        <f>iferror(offset(DraftTracker!D$1,match(D25,DraftTracker!F:F,0)-1,0),"")</f>
        <v>Jeannine</v>
      </c>
      <c r="G25">
        <f>iferror(match(D25,DraftTracker!F$2:F131,0),counta(DraftTracker!F:F))</f>
        <v>91</v>
      </c>
      <c r="H25" s="169">
        <f>VLOOKUP(D25,'Current Week'!B:D,2,0)</f>
        <v>9</v>
      </c>
      <c r="I25">
        <f>iferror(VLOOKUP(D25,DraftTracker!F:I,3,0)+if((VLOOKUP(D25,DraftTracker!F:I,4,0)-VLOOKUP(D25,DraftTracker!F:I,3,0))&gt;0,(VLOOKUP(D25,DraftTracker!F:I,4,0)-VLOOKUP(D25,DraftTracker!F:I,3,0)),0)*0.5,"")</f>
        <v>2</v>
      </c>
      <c r="J25" s="198">
        <f>iferror(VLOOKUP(D25,DraftTracker!F:K,5,0)+(VLOOKUP(D25,DraftTracker!F:K,6,0)-VLOOKUP(D25,DraftTracker!F:K,5,0))*0.5,"")</f>
        <v>2</v>
      </c>
      <c r="K25">
        <f>VLOOKUP(D25,'Current Week'!B:D,3,0)</f>
        <v>3</v>
      </c>
      <c r="L25">
        <f>IFERROR(__xludf.DUMMYFUNCTION("iferror(max(filter(H:H,G:G&gt;G25,E:E=E25)),0)"),7.0)</f>
        <v>7</v>
      </c>
      <c r="M25">
        <f>IFERROR(__xludf.DUMMYFUNCTION("iferror(countif(filter(H:H,G:G&lt;G25,E:E=E25),""&lt;""&amp;H25),0)"),6.0)</f>
        <v>6</v>
      </c>
      <c r="N25">
        <f t="shared" si="1"/>
        <v>0</v>
      </c>
      <c r="O25">
        <f t="shared" si="2"/>
        <v>0</v>
      </c>
      <c r="P25">
        <f t="shared" si="3"/>
        <v>1</v>
      </c>
      <c r="Q25" t="b">
        <f>IFERROR(__xludf.DUMMYFUNCTION("N25=max(filter(N:N,F:F=F25,E:E&lt;&gt;""MWC""))"),FALSE)</f>
        <v>0</v>
      </c>
      <c r="R25">
        <f>IFERROR(__xludf.DUMMYFUNCTION("iferror(if(P25=1,H25-MIN(filter(H:H,G:G&lt;G25,E:E=E25,H:H&lt;H25)),""""),"""")"),5.0)</f>
        <v>5</v>
      </c>
    </row>
    <row r="26">
      <c r="A26" s="1" t="s">
        <v>1401</v>
      </c>
      <c r="B26" s="1" t="s">
        <v>1570</v>
      </c>
      <c r="D26" s="1" t="s">
        <v>90</v>
      </c>
      <c r="E26" t="str">
        <f>iferror(vlookup(D26,'Teams-Conference'!C:D,2,0),"Independent")</f>
        <v>ACC</v>
      </c>
      <c r="F26" t="str">
        <f>iferror(offset(DraftTracker!D$1,match(D26,DraftTracker!F:F,0)-1,0),"")</f>
        <v>Nico</v>
      </c>
      <c r="G26">
        <f>iferror(match(D26,DraftTracker!F$2:F131,0),counta(DraftTracker!F:F))</f>
        <v>116</v>
      </c>
      <c r="H26" s="169">
        <f>VLOOKUP(D26,'Current Week'!B:D,2,0)</f>
        <v>6</v>
      </c>
      <c r="I26">
        <f>iferror(VLOOKUP(D26,DraftTracker!F:I,3,0)+if((VLOOKUP(D26,DraftTracker!F:I,4,0)-VLOOKUP(D26,DraftTracker!F:I,3,0))&gt;0,(VLOOKUP(D26,DraftTracker!F:I,4,0)-VLOOKUP(D26,DraftTracker!F:I,3,0)),0)*0.5,"")</f>
        <v>2</v>
      </c>
      <c r="J26" s="198">
        <f>iferror(VLOOKUP(D26,DraftTracker!F:K,5,0)+(VLOOKUP(D26,DraftTracker!F:K,6,0)-VLOOKUP(D26,DraftTracker!F:K,5,0))*0.5,"")</f>
        <v>0.5</v>
      </c>
      <c r="K26">
        <f>VLOOKUP(D26,'Current Week'!B:D,3,0)</f>
        <v>6</v>
      </c>
      <c r="L26">
        <f>IFERROR(__xludf.DUMMYFUNCTION("iferror(max(filter(H:H,G:G&gt;G26,E:E=E26)),0)"),7.0)</f>
        <v>7</v>
      </c>
      <c r="M26">
        <f>IFERROR(__xludf.DUMMYFUNCTION("iferror(countif(filter(H:H,G:G&lt;G26,E:E=E26),""&lt;""&amp;H26),0)"),3.0)</f>
        <v>3</v>
      </c>
      <c r="N26" s="169">
        <f t="shared" si="1"/>
        <v>1</v>
      </c>
      <c r="O26">
        <f t="shared" si="2"/>
        <v>1</v>
      </c>
      <c r="P26">
        <f t="shared" si="3"/>
        <v>0</v>
      </c>
      <c r="Q26" t="b">
        <f>IFERROR(__xludf.DUMMYFUNCTION("N26=max(filter(N:N,F:F=F26,E:E&lt;&gt;""MWC""))"),FALSE)</f>
        <v>0</v>
      </c>
      <c r="R26" t="str">
        <f>IFERROR(__xludf.DUMMYFUNCTION("iferror(if(P26=1,H26-MIN(filter(H:H,G:G&lt;G26,E:E=E26,H:H&lt;H26)),""""),"""")"),"")</f>
        <v/>
      </c>
    </row>
    <row r="27">
      <c r="A27" s="1" t="s">
        <v>1397</v>
      </c>
      <c r="B27" s="1" t="s">
        <v>1571</v>
      </c>
      <c r="D27" s="1" t="s">
        <v>80</v>
      </c>
      <c r="E27" t="str">
        <f>iferror(vlookup(D27,'Teams-Conference'!C:D,2,0),"Independent")</f>
        <v>ACC</v>
      </c>
      <c r="F27" t="str">
        <f>iferror(offset(DraftTracker!D$1,match(D27,DraftTracker!F:F,0)-1,0),"")</f>
        <v>Undrafted</v>
      </c>
      <c r="G27">
        <f>iferror(match(D27,DraftTracker!F$2:F131,0),counta(DraftTracker!F:F))</f>
        <v>124</v>
      </c>
      <c r="H27" s="1">
        <v>7.0</v>
      </c>
      <c r="I27">
        <f>iferror(VLOOKUP(D27,DraftTracker!F:I,3,0)+if((VLOOKUP(D27,DraftTracker!F:I,4,0)-VLOOKUP(D27,DraftTracker!F:I,3,0))&gt;0,(VLOOKUP(D27,DraftTracker!F:I,4,0)-VLOOKUP(D27,DraftTracker!F:I,3,0)),0)*0.5,"")</f>
        <v>0</v>
      </c>
      <c r="J27" s="198">
        <f>iferror(VLOOKUP(D27,DraftTracker!F:K,5,0)+(VLOOKUP(D27,DraftTracker!F:K,6,0)-VLOOKUP(D27,DraftTracker!F:K,5,0))*0.5,"")</f>
        <v>1.5</v>
      </c>
      <c r="K27" s="1">
        <v>6.0</v>
      </c>
      <c r="L27">
        <f>IFERROR(__xludf.DUMMYFUNCTION("iferror(max(filter(H:H,G:G&gt;G27,E:E=E27)),0)"),0.0)</f>
        <v>0</v>
      </c>
      <c r="M27">
        <f>IFERROR(__xludf.DUMMYFUNCTION("iferror(countif(filter(H:H,G:G&lt;G27,E:E=E27),""&lt;""&amp;H27),0)"),8.0)</f>
        <v>8</v>
      </c>
      <c r="N27">
        <f t="shared" si="1"/>
        <v>0</v>
      </c>
      <c r="O27">
        <f t="shared" si="2"/>
        <v>0</v>
      </c>
      <c r="P27">
        <f t="shared" si="3"/>
        <v>1</v>
      </c>
      <c r="Q27" t="b">
        <f>IFERROR(__xludf.DUMMYFUNCTION("N27=max(filter(N:N,F:F=F27,E:E&lt;&gt;""MWC""))"),FALSE)</f>
        <v>0</v>
      </c>
      <c r="R27">
        <f>IFERROR(__xludf.DUMMYFUNCTION("iferror(if(P27=1,H27-MIN(filter(H:H,G:G&lt;G27,E:E=E27,H:H&lt;H27)),""""),"""")"),5.0)</f>
        <v>5</v>
      </c>
    </row>
    <row r="28">
      <c r="A28" s="1" t="s">
        <v>1411</v>
      </c>
      <c r="B28" s="1" t="s">
        <v>1572</v>
      </c>
      <c r="D28" s="1" t="s">
        <v>100</v>
      </c>
      <c r="E28" t="str">
        <f>iferror(vlookup(D28,'Teams-Conference'!C:D,2,0),"Independent")</f>
        <v>Big 12</v>
      </c>
      <c r="F28" t="str">
        <f>iferror(offset(DraftTracker!D$1,match(D28,DraftTracker!F:F,0)-1,0),"")</f>
        <v>Jeannine</v>
      </c>
      <c r="G28">
        <f>iferror(match(D28,DraftTracker!F$2:F131,0),counta(DraftTracker!F:F))</f>
        <v>6</v>
      </c>
      <c r="H28" s="169">
        <f>VLOOKUP(D28,'Current Week'!B:D,2,0)</f>
        <v>11</v>
      </c>
      <c r="I28">
        <f>iferror(VLOOKUP(D28,DraftTracker!F:I,3,0)+if((VLOOKUP(D28,DraftTracker!F:I,4,0)-VLOOKUP(D28,DraftTracker!F:I,3,0))&gt;0,(VLOOKUP(D28,DraftTracker!F:I,4,0)-VLOOKUP(D28,DraftTracker!F:I,3,0)),0)*0.5,"")</f>
        <v>1</v>
      </c>
      <c r="J28" s="198">
        <f>iferror(VLOOKUP(D28,DraftTracker!F:K,5,0)+(VLOOKUP(D28,DraftTracker!F:K,6,0)-VLOOKUP(D28,DraftTracker!F:K,5,0))*0.5,"")</f>
        <v>0</v>
      </c>
      <c r="K28">
        <f>VLOOKUP(D28,'Current Week'!B:D,3,0)</f>
        <v>1</v>
      </c>
      <c r="L28">
        <f>IFERROR(__xludf.DUMMYFUNCTION("iferror(max(filter(H:H,G:G&gt;G28,E:E=E28)),0)"),11.0)</f>
        <v>11</v>
      </c>
      <c r="M28">
        <f>IFERROR(__xludf.DUMMYFUNCTION("iferror(countif(filter(H:H,G:G&lt;G28,E:E=E28),""&lt;""&amp;H28),0)"),0.0)</f>
        <v>0</v>
      </c>
      <c r="N28">
        <f t="shared" si="1"/>
        <v>0</v>
      </c>
      <c r="O28">
        <f t="shared" si="2"/>
        <v>0</v>
      </c>
      <c r="P28">
        <f t="shared" si="3"/>
        <v>0</v>
      </c>
      <c r="Q28" t="b">
        <f>IFERROR(__xludf.DUMMYFUNCTION("N28=max(filter(N:N,F:F=F28,E:E&lt;&gt;""MWC""))"),FALSE)</f>
        <v>0</v>
      </c>
      <c r="R28" t="str">
        <f>IFERROR(__xludf.DUMMYFUNCTION("iferror(if(P28=1,H28-MIN(filter(H:H,G:G&lt;G28,E:E=E28,H:H&lt;H28)),""""),"""")"),"")</f>
        <v/>
      </c>
    </row>
    <row r="29">
      <c r="A29" s="1" t="s">
        <v>1412</v>
      </c>
      <c r="B29" s="1" t="s">
        <v>1573</v>
      </c>
      <c r="D29" s="1" t="s">
        <v>101</v>
      </c>
      <c r="E29" t="str">
        <f>iferror(vlookup(D29,'Teams-Conference'!C:D,2,0),"Independent")</f>
        <v>Big 12</v>
      </c>
      <c r="F29" t="str">
        <f>iferror(offset(DraftTracker!D$1,match(D29,DraftTracker!F:F,0)-1,0),"")</f>
        <v>Brad</v>
      </c>
      <c r="G29">
        <f>iferror(match(D29,DraftTracker!F$2:F131,0),counta(DraftTracker!F:F))</f>
        <v>59</v>
      </c>
      <c r="H29" s="169">
        <f>VLOOKUP(D29,'Current Week'!B:D,2,0)</f>
        <v>8</v>
      </c>
      <c r="I29">
        <f>iferror(VLOOKUP(D29,DraftTracker!F:I,3,0)+if((VLOOKUP(D29,DraftTracker!F:I,4,0)-VLOOKUP(D29,DraftTracker!F:I,3,0))&gt;0,(VLOOKUP(D29,DraftTracker!F:I,4,0)-VLOOKUP(D29,DraftTracker!F:I,3,0)),0)*0.5,"")</f>
        <v>3</v>
      </c>
      <c r="J29" s="198">
        <f>iferror(VLOOKUP(D29,DraftTracker!F:K,5,0)+(VLOOKUP(D29,DraftTracker!F:K,6,0)-VLOOKUP(D29,DraftTracker!F:K,5,0))*0.5,"")</f>
        <v>0.5</v>
      </c>
      <c r="K29">
        <f>VLOOKUP(D29,'Current Week'!B:D,3,0)</f>
        <v>4</v>
      </c>
      <c r="L29">
        <f>IFERROR(__xludf.DUMMYFUNCTION("iferror(max(filter(H:H,G:G&gt;G29,E:E=E29)),0)"),11.0)</f>
        <v>11</v>
      </c>
      <c r="M29">
        <f>IFERROR(__xludf.DUMMYFUNCTION("iferror(countif(filter(H:H,G:G&lt;G29,E:E=E29),""&lt;""&amp;H29),0)"),2.0)</f>
        <v>2</v>
      </c>
      <c r="N29" s="169">
        <f t="shared" si="1"/>
        <v>3</v>
      </c>
      <c r="O29">
        <f t="shared" si="2"/>
        <v>1</v>
      </c>
      <c r="P29">
        <f t="shared" si="3"/>
        <v>0</v>
      </c>
      <c r="Q29" t="b">
        <f>IFERROR(__xludf.DUMMYFUNCTION("N29=max(filter(N:N,F:F=F29,E:E&lt;&gt;""MWC""))"),TRUE)</f>
        <v>1</v>
      </c>
      <c r="R29" t="str">
        <f>IFERROR(__xludf.DUMMYFUNCTION("iferror(if(P29=1,H29-MIN(filter(H:H,G:G&lt;G29,E:E=E29,H:H&lt;H29)),""""),"""")"),"")</f>
        <v/>
      </c>
    </row>
    <row r="30">
      <c r="A30" s="1" t="s">
        <v>1415</v>
      </c>
      <c r="B30" s="1" t="s">
        <v>1574</v>
      </c>
      <c r="D30" s="1" t="s">
        <v>105</v>
      </c>
      <c r="E30" t="str">
        <f>iferror(vlookup(D30,'Teams-Conference'!C:D,2,0),"Independent")</f>
        <v>Big 12</v>
      </c>
      <c r="F30" t="str">
        <f>iferror(offset(DraftTracker!D$1,match(D30,DraftTracker!F:F,0)-1,0),"")</f>
        <v>Nico</v>
      </c>
      <c r="G30">
        <f>iferror(match(D30,DraftTracker!F$2:F131,0),counta(DraftTracker!F:F))</f>
        <v>101</v>
      </c>
      <c r="H30" s="169">
        <f>VLOOKUP(D30,'Current Week'!B:D,2,0)</f>
        <v>5</v>
      </c>
      <c r="I30">
        <f>iferror(VLOOKUP(D30,DraftTracker!F:I,3,0)+if((VLOOKUP(D30,DraftTracker!F:I,4,0)-VLOOKUP(D30,DraftTracker!F:I,3,0))&gt;0,(VLOOKUP(D30,DraftTracker!F:I,4,0)-VLOOKUP(D30,DraftTracker!F:I,3,0)),0)*0.5,"")</f>
        <v>1</v>
      </c>
      <c r="J30" s="198">
        <f>iferror(VLOOKUP(D30,DraftTracker!F:K,5,0)+(VLOOKUP(D30,DraftTracker!F:K,6,0)-VLOOKUP(D30,DraftTracker!F:K,5,0))*0.5,"")</f>
        <v>0.5</v>
      </c>
      <c r="K30">
        <f>VLOOKUP(D30,'Current Week'!B:D,3,0)</f>
        <v>7</v>
      </c>
      <c r="L30">
        <f>IFERROR(__xludf.DUMMYFUNCTION("iferror(max(filter(H:H,G:G&gt;G30,E:E=E30)),0)"),3.0)</f>
        <v>3</v>
      </c>
      <c r="M30">
        <f>IFERROR(__xludf.DUMMYFUNCTION("iferror(countif(filter(H:H,G:G&lt;G30,E:E=E30),""&lt;""&amp;H30),0)"),1.0)</f>
        <v>1</v>
      </c>
      <c r="N30">
        <f t="shared" si="1"/>
        <v>0</v>
      </c>
      <c r="O30">
        <f t="shared" si="2"/>
        <v>0</v>
      </c>
      <c r="P30">
        <f t="shared" si="3"/>
        <v>1</v>
      </c>
      <c r="Q30" t="b">
        <f>IFERROR(__xludf.DUMMYFUNCTION("N30=max(filter(N:N,F:F=F30,E:E&lt;&gt;""MWC""))"),FALSE)</f>
        <v>0</v>
      </c>
      <c r="R30">
        <f>IFERROR(__xludf.DUMMYFUNCTION("iferror(if(P30=1,H30-MIN(filter(H:H,G:G&lt;G30,E:E=E30,H:H&lt;H30)),""""),"""")"),1.0)</f>
        <v>1</v>
      </c>
    </row>
    <row r="31">
      <c r="A31" s="1" t="s">
        <v>1407</v>
      </c>
      <c r="B31" s="1" t="s">
        <v>1575</v>
      </c>
      <c r="D31" s="1" t="s">
        <v>96</v>
      </c>
      <c r="E31" t="str">
        <f>iferror(vlookup(D31,'Teams-Conference'!C:D,2,0),"Independent")</f>
        <v>Big 12</v>
      </c>
      <c r="F31" t="str">
        <f>iferror(offset(DraftTracker!D$1,match(D31,DraftTracker!F:F,0)-1,0),"")</f>
        <v>Justin</v>
      </c>
      <c r="G31">
        <f>iferror(match(D31,DraftTracker!F$2:F131,0),counta(DraftTracker!F:F))</f>
        <v>66</v>
      </c>
      <c r="H31" s="169">
        <f>VLOOKUP(D31,'Current Week'!B:D,2,0)</f>
        <v>11</v>
      </c>
      <c r="I31">
        <f>iferror(VLOOKUP(D31,DraftTracker!F:I,3,0)+if((VLOOKUP(D31,DraftTracker!F:I,4,0)-VLOOKUP(D31,DraftTracker!F:I,3,0))&gt;0,(VLOOKUP(D31,DraftTracker!F:I,4,0)-VLOOKUP(D31,DraftTracker!F:I,3,0)),0)*0.5,"")</f>
        <v>2.5</v>
      </c>
      <c r="J31" s="198">
        <f>iferror(VLOOKUP(D31,DraftTracker!F:K,5,0)+(VLOOKUP(D31,DraftTracker!F:K,6,0)-VLOOKUP(D31,DraftTracker!F:K,5,0))*0.5,"")</f>
        <v>3</v>
      </c>
      <c r="K31">
        <f>VLOOKUP(D31,'Current Week'!B:D,3,0)</f>
        <v>1</v>
      </c>
      <c r="L31">
        <f>IFERROR(__xludf.DUMMYFUNCTION("iferror(max(filter(H:H,G:G&gt;G31,E:E=E31)),0)"),8.0)</f>
        <v>8</v>
      </c>
      <c r="M31">
        <f>IFERROR(__xludf.DUMMYFUNCTION("iferror(countif(filter(H:H,G:G&lt;G31,E:E=E31),""&lt;""&amp;H31),0)"),5.0)</f>
        <v>5</v>
      </c>
      <c r="N31">
        <f t="shared" si="1"/>
        <v>0</v>
      </c>
      <c r="O31">
        <f t="shared" si="2"/>
        <v>0</v>
      </c>
      <c r="P31">
        <f t="shared" si="3"/>
        <v>1</v>
      </c>
      <c r="Q31" t="b">
        <f>IFERROR(__xludf.DUMMYFUNCTION("N31=max(filter(N:N,F:F=F31,E:E&lt;&gt;""MWC""))"),FALSE)</f>
        <v>0</v>
      </c>
      <c r="R31">
        <f>IFERROR(__xludf.DUMMYFUNCTION("iferror(if(P31=1,H31-MIN(filter(H:H,G:G&lt;G31,E:E=E31,H:H&lt;H31)),""""),"""")"),6.0)</f>
        <v>6</v>
      </c>
    </row>
    <row r="32">
      <c r="A32" s="1" t="s">
        <v>1409</v>
      </c>
      <c r="B32" s="1" t="s">
        <v>1576</v>
      </c>
      <c r="D32" s="1" t="s">
        <v>98</v>
      </c>
      <c r="E32" t="str">
        <f>iferror(vlookup(D32,'Teams-Conference'!C:D,2,0),"Independent")</f>
        <v>Big 12</v>
      </c>
      <c r="F32" t="str">
        <f>iferror(offset(DraftTracker!D$1,match(D32,DraftTracker!F:F,0)-1,0),"")</f>
        <v>Josh R.</v>
      </c>
      <c r="G32">
        <f>iferror(match(D32,DraftTracker!F$2:F131,0),counta(DraftTracker!F:F))</f>
        <v>111</v>
      </c>
      <c r="H32" s="169">
        <f>VLOOKUP(D32,'Current Week'!B:D,2,0)</f>
        <v>3</v>
      </c>
      <c r="I32">
        <f>iferror(VLOOKUP(D32,DraftTracker!F:I,3,0)+if((VLOOKUP(D32,DraftTracker!F:I,4,0)-VLOOKUP(D32,DraftTracker!F:I,3,0))&gt;0,(VLOOKUP(D32,DraftTracker!F:I,4,0)-VLOOKUP(D32,DraftTracker!F:I,3,0)),0)*0.5,"")</f>
        <v>0</v>
      </c>
      <c r="J32" s="198">
        <f>iferror(VLOOKUP(D32,DraftTracker!F:K,5,0)+(VLOOKUP(D32,DraftTracker!F:K,6,0)-VLOOKUP(D32,DraftTracker!F:K,5,0))*0.5,"")</f>
        <v>1.5</v>
      </c>
      <c r="K32">
        <f>VLOOKUP(D32,'Current Week'!B:D,3,0)</f>
        <v>9</v>
      </c>
      <c r="L32">
        <f>IFERROR(__xludf.DUMMYFUNCTION("iferror(max(filter(H:H,G:G&gt;G32,E:E=E32)),0)"),0.0)</f>
        <v>0</v>
      </c>
      <c r="M32">
        <f>IFERROR(__xludf.DUMMYFUNCTION("iferror(countif(filter(H:H,G:G&lt;G32,E:E=E32),""&lt;""&amp;H32),0)"),0.0)</f>
        <v>0</v>
      </c>
      <c r="N32">
        <f t="shared" si="1"/>
        <v>0</v>
      </c>
      <c r="O32">
        <f t="shared" si="2"/>
        <v>0</v>
      </c>
      <c r="P32">
        <f t="shared" si="3"/>
        <v>0</v>
      </c>
      <c r="Q32" t="b">
        <f>IFERROR(__xludf.DUMMYFUNCTION("N32=max(filter(N:N,F:F=F32,E:E&lt;&gt;""MWC""))"),FALSE)</f>
        <v>0</v>
      </c>
      <c r="R32" t="str">
        <f>IFERROR(__xludf.DUMMYFUNCTION("iferror(if(P32=1,H32-MIN(filter(H:H,G:G&lt;G32,E:E=E32,H:H&lt;H32)),""""),"""")"),"")</f>
        <v/>
      </c>
    </row>
    <row r="33">
      <c r="A33" s="1" t="s">
        <v>1410</v>
      </c>
      <c r="B33" s="1" t="s">
        <v>1577</v>
      </c>
      <c r="D33" s="1" t="s">
        <v>99</v>
      </c>
      <c r="E33" t="str">
        <f>iferror(vlookup(D33,'Teams-Conference'!C:D,2,0),"Independent")</f>
        <v>Big 12</v>
      </c>
      <c r="F33" t="str">
        <f>iferror(offset(DraftTracker!D$1,match(D33,DraftTracker!F:F,0)-1,0),"")</f>
        <v>Nick G.</v>
      </c>
      <c r="G33">
        <f>iferror(match(D33,DraftTracker!F$2:F131,0),counta(DraftTracker!F:F))</f>
        <v>85</v>
      </c>
      <c r="H33" s="169">
        <f>VLOOKUP(D33,'Current Week'!B:D,2,0)</f>
        <v>8</v>
      </c>
      <c r="I33">
        <f>iferror(VLOOKUP(D33,DraftTracker!F:I,3,0)+if((VLOOKUP(D33,DraftTracker!F:I,4,0)-VLOOKUP(D33,DraftTracker!F:I,3,0))&gt;0,(VLOOKUP(D33,DraftTracker!F:I,4,0)-VLOOKUP(D33,DraftTracker!F:I,3,0)),0)*0.5,"")</f>
        <v>0.5</v>
      </c>
      <c r="J33" s="198">
        <f>iferror(VLOOKUP(D33,DraftTracker!F:K,5,0)+(VLOOKUP(D33,DraftTracker!F:K,6,0)-VLOOKUP(D33,DraftTracker!F:K,5,0))*0.5,"")</f>
        <v>3.5</v>
      </c>
      <c r="K33">
        <f>VLOOKUP(D33,'Current Week'!B:D,3,0)</f>
        <v>4</v>
      </c>
      <c r="L33">
        <f>IFERROR(__xludf.DUMMYFUNCTION("iferror(max(filter(H:H,G:G&gt;G33,E:E=E33)),0)"),5.0)</f>
        <v>5</v>
      </c>
      <c r="M33">
        <f>IFERROR(__xludf.DUMMYFUNCTION("iferror(countif(filter(H:H,G:G&lt;G33,E:E=E33),""&lt;""&amp;H33),0)"),4.0)</f>
        <v>4</v>
      </c>
      <c r="N33">
        <f t="shared" si="1"/>
        <v>0</v>
      </c>
      <c r="O33">
        <f t="shared" si="2"/>
        <v>0</v>
      </c>
      <c r="P33">
        <f t="shared" si="3"/>
        <v>1</v>
      </c>
      <c r="Q33" t="b">
        <f>IFERROR(__xludf.DUMMYFUNCTION("N33=max(filter(N:N,F:F=F33,E:E&lt;&gt;""MWC""))"),FALSE)</f>
        <v>0</v>
      </c>
      <c r="R33">
        <f>IFERROR(__xludf.DUMMYFUNCTION("iferror(if(P33=1,H33-MIN(filter(H:H,G:G&lt;G33,E:E=E33,H:H&lt;H33)),""""),"""")"),4.0)</f>
        <v>4</v>
      </c>
    </row>
    <row r="34">
      <c r="A34" s="1" t="s">
        <v>102</v>
      </c>
      <c r="B34" s="1" t="s">
        <v>1578</v>
      </c>
      <c r="D34" s="1" t="s">
        <v>102</v>
      </c>
      <c r="E34" t="str">
        <f>iferror(vlookup(D34,'Teams-Conference'!C:D,2,0),"Independent")</f>
        <v>Big 12</v>
      </c>
      <c r="F34" t="str">
        <f>iferror(offset(DraftTracker!D$1,match(D34,DraftTracker!F:F,0)-1,0),"")</f>
        <v>Vu</v>
      </c>
      <c r="G34">
        <f>iferror(match(D34,DraftTracker!F$2:F131,0),counta(DraftTracker!F:F))</f>
        <v>64</v>
      </c>
      <c r="H34" s="169">
        <f>VLOOKUP(D34,'Current Week'!B:D,2,0)</f>
        <v>5</v>
      </c>
      <c r="I34">
        <f>iferror(VLOOKUP(D34,DraftTracker!F:I,3,0)+if((VLOOKUP(D34,DraftTracker!F:I,4,0)-VLOOKUP(D34,DraftTracker!F:I,3,0))&gt;0,(VLOOKUP(D34,DraftTracker!F:I,4,0)-VLOOKUP(D34,DraftTracker!F:I,3,0)),0)*0.5,"")</f>
        <v>2.5</v>
      </c>
      <c r="J34" s="198">
        <f>iferror(VLOOKUP(D34,DraftTracker!F:K,5,0)+(VLOOKUP(D34,DraftTracker!F:K,6,0)-VLOOKUP(D34,DraftTracker!F:K,5,0))*0.5,"")</f>
        <v>2</v>
      </c>
      <c r="K34">
        <f>VLOOKUP(D34,'Current Week'!B:D,3,0)</f>
        <v>7</v>
      </c>
      <c r="L34">
        <f>IFERROR(__xludf.DUMMYFUNCTION("iferror(max(filter(H:H,G:G&gt;G34,E:E=E34)),0)"),11.0)</f>
        <v>11</v>
      </c>
      <c r="M34">
        <f>IFERROR(__xludf.DUMMYFUNCTION("iferror(countif(filter(H:H,G:G&lt;G34,E:E=E34),""&lt;""&amp;H34),0)"),0.0)</f>
        <v>0</v>
      </c>
      <c r="N34" s="169">
        <f t="shared" si="1"/>
        <v>6</v>
      </c>
      <c r="O34">
        <f t="shared" si="2"/>
        <v>1</v>
      </c>
      <c r="P34">
        <f t="shared" si="3"/>
        <v>0</v>
      </c>
      <c r="Q34" t="b">
        <f>IFERROR(__xludf.DUMMYFUNCTION("N34=max(filter(N:N,F:F=F34,E:E&lt;&gt;""MWC""))"),TRUE)</f>
        <v>1</v>
      </c>
      <c r="R34" t="str">
        <f>IFERROR(__xludf.DUMMYFUNCTION("iferror(if(P34=1,H34-MIN(filter(H:H,G:G&lt;G34,E:E=E34,H:H&lt;H34)),""""),"""")"),"")</f>
        <v/>
      </c>
    </row>
    <row r="35">
      <c r="A35" s="1" t="s">
        <v>1413</v>
      </c>
      <c r="B35" s="1" t="s">
        <v>1579</v>
      </c>
      <c r="D35" s="1" t="s">
        <v>103</v>
      </c>
      <c r="E35" t="str">
        <f>iferror(vlookup(D35,'Teams-Conference'!C:D,2,0),"Independent")</f>
        <v>Big 12</v>
      </c>
      <c r="F35" t="str">
        <f>iferror(offset(DraftTracker!D$1,match(D35,DraftTracker!F:F,0)-1,0),"")</f>
        <v>Adam</v>
      </c>
      <c r="G35">
        <f>iferror(match(D35,DraftTracker!F$2:F131,0),counta(DraftTracker!F:F))</f>
        <v>17</v>
      </c>
      <c r="H35" s="169">
        <f>VLOOKUP(D35,'Current Week'!B:D,2,0)</f>
        <v>7</v>
      </c>
      <c r="I35">
        <f>iferror(VLOOKUP(D35,DraftTracker!F:I,3,0)+if((VLOOKUP(D35,DraftTracker!F:I,4,0)-VLOOKUP(D35,DraftTracker!F:I,3,0))&gt;0,(VLOOKUP(D35,DraftTracker!F:I,4,0)-VLOOKUP(D35,DraftTracker!F:I,3,0)),0)*0.5,"")</f>
        <v>1</v>
      </c>
      <c r="J35" s="198">
        <f>iferror(VLOOKUP(D35,DraftTracker!F:K,5,0)+(VLOOKUP(D35,DraftTracker!F:K,6,0)-VLOOKUP(D35,DraftTracker!F:K,5,0))*0.5,"")</f>
        <v>0</v>
      </c>
      <c r="K35">
        <f>VLOOKUP(D35,'Current Week'!B:D,3,0)</f>
        <v>5</v>
      </c>
      <c r="L35">
        <f>IFERROR(__xludf.DUMMYFUNCTION("iferror(max(filter(H:H,G:G&gt;G35,E:E=E35)),0)"),11.0)</f>
        <v>11</v>
      </c>
      <c r="M35">
        <f>IFERROR(__xludf.DUMMYFUNCTION("iferror(countif(filter(H:H,G:G&lt;G35,E:E=E35),""&lt;""&amp;H35),0)"),0.0)</f>
        <v>0</v>
      </c>
      <c r="N35" s="169">
        <f t="shared" si="1"/>
        <v>4</v>
      </c>
      <c r="O35">
        <f t="shared" si="2"/>
        <v>1</v>
      </c>
      <c r="P35">
        <f t="shared" si="3"/>
        <v>0</v>
      </c>
      <c r="Q35" t="b">
        <f>IFERROR(__xludf.DUMMYFUNCTION("N35=max(filter(N:N,F:F=F35,E:E&lt;&gt;""MWC""))"),FALSE)</f>
        <v>0</v>
      </c>
      <c r="R35" t="str">
        <f>IFERROR(__xludf.DUMMYFUNCTION("iferror(if(P35=1,H35-MIN(filter(H:H,G:G&lt;G35,E:E=E35,H:H&lt;H35)),""""),"""")"),"")</f>
        <v/>
      </c>
    </row>
    <row r="36">
      <c r="A36" s="1" t="s">
        <v>1414</v>
      </c>
      <c r="B36" s="1" t="s">
        <v>1580</v>
      </c>
      <c r="D36" s="1" t="s">
        <v>104</v>
      </c>
      <c r="E36" t="str">
        <f>iferror(vlookup(D36,'Teams-Conference'!C:D,2,0),"Independent")</f>
        <v>Big 12</v>
      </c>
      <c r="F36" t="str">
        <f>iferror(offset(DraftTracker!D$1,match(D36,DraftTracker!F:F,0)-1,0),"")</f>
        <v>Janice/Mike</v>
      </c>
      <c r="G36">
        <f>iferror(match(D36,DraftTracker!F$2:F131,0),counta(DraftTracker!F:F))</f>
        <v>76</v>
      </c>
      <c r="H36" s="169">
        <f>VLOOKUP(D36,'Current Week'!B:D,2,0)</f>
        <v>4</v>
      </c>
      <c r="I36">
        <f>iferror(VLOOKUP(D36,DraftTracker!F:I,3,0)+if((VLOOKUP(D36,DraftTracker!F:I,4,0)-VLOOKUP(D36,DraftTracker!F:I,3,0))&gt;0,(VLOOKUP(D36,DraftTracker!F:I,4,0)-VLOOKUP(D36,DraftTracker!F:I,3,0)),0)*0.5,"")</f>
        <v>1</v>
      </c>
      <c r="J36" s="198">
        <f>iferror(VLOOKUP(D36,DraftTracker!F:K,5,0)+(VLOOKUP(D36,DraftTracker!F:K,6,0)-VLOOKUP(D36,DraftTracker!F:K,5,0))*0.5,"")</f>
        <v>1.5</v>
      </c>
      <c r="K36">
        <f>VLOOKUP(D36,'Current Week'!B:D,3,0)</f>
        <v>8</v>
      </c>
      <c r="L36">
        <f>IFERROR(__xludf.DUMMYFUNCTION("iferror(max(filter(H:H,G:G&gt;G36,E:E=E36)),0)"),8.0)</f>
        <v>8</v>
      </c>
      <c r="M36">
        <f>IFERROR(__xludf.DUMMYFUNCTION("iferror(countif(filter(H:H,G:G&lt;G36,E:E=E36),""&lt;""&amp;H36),0)"),0.0)</f>
        <v>0</v>
      </c>
      <c r="N36" s="169">
        <f t="shared" si="1"/>
        <v>4</v>
      </c>
      <c r="O36">
        <f t="shared" si="2"/>
        <v>1</v>
      </c>
      <c r="P36">
        <f t="shared" si="3"/>
        <v>0</v>
      </c>
      <c r="Q36" t="b">
        <f>IFERROR(__xludf.DUMMYFUNCTION("N36=max(filter(N:N,F:F=F36,E:E&lt;&gt;""MWC""))"),TRUE)</f>
        <v>1</v>
      </c>
      <c r="R36" t="str">
        <f>IFERROR(__xludf.DUMMYFUNCTION("iferror(if(P36=1,H36-MIN(filter(H:H,G:G&lt;G36,E:E=E36,H:H&lt;H36)),""""),"""")"),"")</f>
        <v/>
      </c>
    </row>
    <row r="37">
      <c r="A37" s="1" t="s">
        <v>1408</v>
      </c>
      <c r="B37" s="1" t="s">
        <v>1581</v>
      </c>
      <c r="D37" s="1" t="s">
        <v>97</v>
      </c>
      <c r="E37" t="str">
        <f>iferror(vlookup(D37,'Teams-Conference'!C:D,2,0),"Independent")</f>
        <v>Big 12</v>
      </c>
      <c r="F37" t="str">
        <f>iferror(offset(DraftTracker!D$1,match(D37,DraftTracker!F:F,0)-1,0),"")</f>
        <v>Nick A.</v>
      </c>
      <c r="G37">
        <f>iferror(match(D37,DraftTracker!F$2:F131,0),counta(DraftTracker!F:F))</f>
        <v>47</v>
      </c>
      <c r="H37" s="169">
        <f>VLOOKUP(D37,'Current Week'!B:D,2,0)</f>
        <v>7</v>
      </c>
      <c r="I37">
        <f>iferror(VLOOKUP(D37,DraftTracker!F:I,3,0)+if((VLOOKUP(D37,DraftTracker!F:I,4,0)-VLOOKUP(D37,DraftTracker!F:I,3,0))&gt;0,(VLOOKUP(D37,DraftTracker!F:I,4,0)-VLOOKUP(D37,DraftTracker!F:I,3,0)),0)*0.5,"")</f>
        <v>1.5</v>
      </c>
      <c r="J37" s="198">
        <f>iferror(VLOOKUP(D37,DraftTracker!F:K,5,0)+(VLOOKUP(D37,DraftTracker!F:K,6,0)-VLOOKUP(D37,DraftTracker!F:K,5,0))*0.5,"")</f>
        <v>0.5</v>
      </c>
      <c r="K37">
        <f>VLOOKUP(D37,'Current Week'!B:D,3,0)</f>
        <v>5</v>
      </c>
      <c r="L37">
        <f>IFERROR(__xludf.DUMMYFUNCTION("iferror(max(filter(H:H,G:G&gt;G37,E:E=E37)),0)"),11.0)</f>
        <v>11</v>
      </c>
      <c r="M37">
        <f>IFERROR(__xludf.DUMMYFUNCTION("iferror(countif(filter(H:H,G:G&lt;G37,E:E=E37),""&lt;""&amp;H37),0)"),0.0)</f>
        <v>0</v>
      </c>
      <c r="N37" s="169">
        <f t="shared" si="1"/>
        <v>4</v>
      </c>
      <c r="O37">
        <f t="shared" si="2"/>
        <v>1</v>
      </c>
      <c r="P37">
        <f t="shared" si="3"/>
        <v>0</v>
      </c>
      <c r="Q37" t="b">
        <f>IFERROR(__xludf.DUMMYFUNCTION("N37=max(filter(N:N,F:F=F37,E:E&lt;&gt;""MWC""))"),TRUE)</f>
        <v>1</v>
      </c>
      <c r="R37" t="str">
        <f>IFERROR(__xludf.DUMMYFUNCTION("iferror(if(P37=1,H37-MIN(filter(H:H,G:G&lt;G37,E:E=E37,H:H&lt;H37)),""""),"""")"),"")</f>
        <v/>
      </c>
    </row>
    <row r="38">
      <c r="A38" s="1" t="s">
        <v>1426</v>
      </c>
      <c r="B38" s="1" t="s">
        <v>1582</v>
      </c>
      <c r="D38" s="1" t="s">
        <v>119</v>
      </c>
      <c r="E38" t="str">
        <f>iferror(vlookup(D38,'Teams-Conference'!C:D,2,0),"Independent")</f>
        <v>Big Ten</v>
      </c>
      <c r="F38" t="str">
        <f>iferror(offset(DraftTracker!D$1,match(D38,DraftTracker!F:F,0)-1,0),"")</f>
        <v>Jeannine</v>
      </c>
      <c r="G38">
        <f>iferror(match(D38,DraftTracker!F$2:F131,0),counta(DraftTracker!F:F))</f>
        <v>54</v>
      </c>
      <c r="H38" s="169">
        <f>VLOOKUP(D38,'Current Week'!B:D,2,0)</f>
        <v>10</v>
      </c>
      <c r="I38">
        <f>iferror(VLOOKUP(D38,DraftTracker!F:I,3,0)+if((VLOOKUP(D38,DraftTracker!F:I,4,0)-VLOOKUP(D38,DraftTracker!F:I,3,0))&gt;0,(VLOOKUP(D38,DraftTracker!F:I,4,0)-VLOOKUP(D38,DraftTracker!F:I,3,0)),0)*0.5,"")</f>
        <v>0.5</v>
      </c>
      <c r="J38" s="198">
        <f>iferror(VLOOKUP(D38,DraftTracker!F:K,5,0)+(VLOOKUP(D38,DraftTracker!F:K,6,0)-VLOOKUP(D38,DraftTracker!F:K,5,0))*0.5,"")</f>
        <v>2.5</v>
      </c>
      <c r="K38">
        <f>VLOOKUP(D38,'Current Week'!B:D,3,0)</f>
        <v>2</v>
      </c>
      <c r="L38">
        <f>IFERROR(__xludf.DUMMYFUNCTION("iferror(max(filter(H:H,G:G&gt;G38,E:E=E38)),0)"),10.0)</f>
        <v>10</v>
      </c>
      <c r="M38">
        <f>IFERROR(__xludf.DUMMYFUNCTION("iferror(countif(filter(H:H,G:G&lt;G38,E:E=E38),""&lt;""&amp;H38),0)"),2.0)</f>
        <v>2</v>
      </c>
      <c r="N38">
        <f t="shared" si="1"/>
        <v>0</v>
      </c>
      <c r="O38">
        <f t="shared" si="2"/>
        <v>0</v>
      </c>
      <c r="P38">
        <f t="shared" si="3"/>
        <v>1</v>
      </c>
      <c r="Q38" t="b">
        <f>IFERROR(__xludf.DUMMYFUNCTION("N38=max(filter(N:N,F:F=F38,E:E&lt;&gt;""MWC""))"),FALSE)</f>
        <v>0</v>
      </c>
      <c r="R38">
        <f>IFERROR(__xludf.DUMMYFUNCTION("iferror(if(P38=1,H38-MIN(filter(H:H,G:G&lt;G38,E:E=E38,H:H&lt;H38)),""""),"""")"),5.0)</f>
        <v>5</v>
      </c>
    </row>
    <row r="39">
      <c r="A39" s="1" t="s">
        <v>1425</v>
      </c>
      <c r="B39" s="1" t="s">
        <v>1583</v>
      </c>
      <c r="D39" s="1" t="s">
        <v>118</v>
      </c>
      <c r="E39" t="str">
        <f>iferror(vlookup(D39,'Teams-Conference'!C:D,2,0),"Independent")</f>
        <v>Big Ten</v>
      </c>
      <c r="F39" t="str">
        <f>iferror(offset(DraftTracker!D$1,match(D39,DraftTracker!F:F,0)-1,0),"")</f>
        <v>Nick G.</v>
      </c>
      <c r="G39">
        <f>iferror(match(D39,DraftTracker!F$2:F131,0),counta(DraftTracker!F:F))</f>
        <v>12</v>
      </c>
      <c r="H39" s="169">
        <f>VLOOKUP(D39,'Current Week'!B:D,2,0)</f>
        <v>12</v>
      </c>
      <c r="I39">
        <f>iferror(VLOOKUP(D39,DraftTracker!F:I,3,0)+if((VLOOKUP(D39,DraftTracker!F:I,4,0)-VLOOKUP(D39,DraftTracker!F:I,3,0))&gt;0,(VLOOKUP(D39,DraftTracker!F:I,4,0)-VLOOKUP(D39,DraftTracker!F:I,3,0)),0)*0.5,"")</f>
        <v>1</v>
      </c>
      <c r="J39" s="198">
        <f>iferror(VLOOKUP(D39,DraftTracker!F:K,5,0)+(VLOOKUP(D39,DraftTracker!F:K,6,0)-VLOOKUP(D39,DraftTracker!F:K,5,0))*0.5,"")</f>
        <v>0</v>
      </c>
      <c r="K39">
        <f>VLOOKUP(D39,'Current Week'!B:D,3,0)</f>
        <v>0</v>
      </c>
      <c r="L39">
        <f>IFERROR(__xludf.DUMMYFUNCTION("iferror(max(filter(H:H,G:G&gt;G39,E:E=E39)),0)"),10.0)</f>
        <v>10</v>
      </c>
      <c r="M39">
        <f>IFERROR(__xludf.DUMMYFUNCTION("iferror(countif(filter(H:H,G:G&lt;G39,E:E=E39),""&lt;""&amp;H39),0)"),0.0)</f>
        <v>0</v>
      </c>
      <c r="N39">
        <f t="shared" si="1"/>
        <v>0</v>
      </c>
      <c r="O39">
        <f t="shared" si="2"/>
        <v>0</v>
      </c>
      <c r="P39">
        <f t="shared" si="3"/>
        <v>0</v>
      </c>
      <c r="Q39" t="b">
        <f>IFERROR(__xludf.DUMMYFUNCTION("N39=max(filter(N:N,F:F=F39,E:E&lt;&gt;""MWC""))"),FALSE)</f>
        <v>0</v>
      </c>
      <c r="R39" t="str">
        <f>IFERROR(__xludf.DUMMYFUNCTION("iferror(if(P39=1,H39-MIN(filter(H:H,G:G&lt;G39,E:E=E39,H:H&lt;H39)),""""),"""")"),"")</f>
        <v/>
      </c>
    </row>
    <row r="40">
      <c r="A40" s="1" t="s">
        <v>1417</v>
      </c>
      <c r="B40" s="1" t="s">
        <v>1584</v>
      </c>
      <c r="D40" s="1" t="s">
        <v>108</v>
      </c>
      <c r="E40" t="str">
        <f>iferror(vlookup(D40,'Teams-Conference'!C:D,2,0),"Independent")</f>
        <v>Big Ten</v>
      </c>
      <c r="F40" t="str">
        <f>iferror(offset(DraftTracker!D$1,match(D40,DraftTracker!F:F,0)-1,0),"")</f>
        <v>Brad</v>
      </c>
      <c r="G40">
        <f>iferror(match(D40,DraftTracker!F$2:F131,0),counta(DraftTracker!F:F))</f>
        <v>86</v>
      </c>
      <c r="H40" s="169">
        <f>VLOOKUP(D40,'Current Week'!B:D,2,0)</f>
        <v>8</v>
      </c>
      <c r="I40">
        <f>iferror(VLOOKUP(D40,DraftTracker!F:I,3,0)+if((VLOOKUP(D40,DraftTracker!F:I,4,0)-VLOOKUP(D40,DraftTracker!F:I,3,0))&gt;0,(VLOOKUP(D40,DraftTracker!F:I,4,0)-VLOOKUP(D40,DraftTracker!F:I,3,0)),0)*0.5,"")</f>
        <v>0</v>
      </c>
      <c r="J40" s="198">
        <f>iferror(VLOOKUP(D40,DraftTracker!F:K,5,0)+(VLOOKUP(D40,DraftTracker!F:K,6,0)-VLOOKUP(D40,DraftTracker!F:K,5,0))*0.5,"")</f>
        <v>2.5</v>
      </c>
      <c r="K40">
        <f>VLOOKUP(D40,'Current Week'!B:D,3,0)</f>
        <v>4</v>
      </c>
      <c r="L40">
        <f>IFERROR(__xludf.DUMMYFUNCTION("iferror(max(filter(H:H,G:G&gt;G40,E:E=E40)),0)"),4.0)</f>
        <v>4</v>
      </c>
      <c r="M40">
        <f>IFERROR(__xludf.DUMMYFUNCTION("iferror(countif(filter(H:H,G:G&lt;G40,E:E=E40),""&lt;""&amp;H40),0)"),4.0)</f>
        <v>4</v>
      </c>
      <c r="N40">
        <f t="shared" si="1"/>
        <v>0</v>
      </c>
      <c r="O40">
        <f t="shared" si="2"/>
        <v>0</v>
      </c>
      <c r="P40">
        <f t="shared" si="3"/>
        <v>1</v>
      </c>
      <c r="Q40" t="b">
        <f>IFERROR(__xludf.DUMMYFUNCTION("N40=max(filter(N:N,F:F=F40,E:E&lt;&gt;""MWC""))"),FALSE)</f>
        <v>0</v>
      </c>
      <c r="R40">
        <f>IFERROR(__xludf.DUMMYFUNCTION("iferror(if(P40=1,H40-MIN(filter(H:H,G:G&lt;G40,E:E=E40,H:H&lt;H40)),""""),"""")"),5.0)</f>
        <v>5</v>
      </c>
    </row>
    <row r="41">
      <c r="A41" s="1" t="s">
        <v>1419</v>
      </c>
      <c r="B41" s="1" t="s">
        <v>1585</v>
      </c>
      <c r="D41" s="1" t="s">
        <v>111</v>
      </c>
      <c r="E41" t="str">
        <f>iferror(vlookup(D41,'Teams-Conference'!C:D,2,0),"Independent")</f>
        <v>Big Ten</v>
      </c>
      <c r="F41" t="str">
        <f>iferror(offset(DraftTracker!D$1,match(D41,DraftTracker!F:F,0)-1,0),"")</f>
        <v>Gary</v>
      </c>
      <c r="G41">
        <f>iferror(match(D41,DraftTracker!F$2:F131,0),counta(DraftTracker!F:F))</f>
        <v>118</v>
      </c>
      <c r="H41" s="169">
        <f>VLOOKUP(D41,'Current Week'!B:D,2,0)</f>
        <v>3</v>
      </c>
      <c r="I41">
        <f>iferror(VLOOKUP(D41,DraftTracker!F:I,3,0)+if((VLOOKUP(D41,DraftTracker!F:I,4,0)-VLOOKUP(D41,DraftTracker!F:I,3,0))&gt;0,(VLOOKUP(D41,DraftTracker!F:I,4,0)-VLOOKUP(D41,DraftTracker!F:I,3,0)),0)*0.5,"")</f>
        <v>2</v>
      </c>
      <c r="J41" s="198">
        <f>iferror(VLOOKUP(D41,DraftTracker!F:K,5,0)+(VLOOKUP(D41,DraftTracker!F:K,6,0)-VLOOKUP(D41,DraftTracker!F:K,5,0))*0.5,"")</f>
        <v>1.5</v>
      </c>
      <c r="K41">
        <f>VLOOKUP(D41,'Current Week'!B:D,3,0)</f>
        <v>9</v>
      </c>
      <c r="L41">
        <f>IFERROR(__xludf.DUMMYFUNCTION("iferror(max(filter(H:H,G:G&gt;G41,E:E=E41)),0)"),4.0)</f>
        <v>4</v>
      </c>
      <c r="M41">
        <f>IFERROR(__xludf.DUMMYFUNCTION("iferror(countif(filter(H:H,G:G&lt;G41,E:E=E41),""&lt;""&amp;H41),0)"),0.0)</f>
        <v>0</v>
      </c>
      <c r="N41" s="169">
        <f t="shared" si="1"/>
        <v>1</v>
      </c>
      <c r="O41">
        <f t="shared" si="2"/>
        <v>1</v>
      </c>
      <c r="P41">
        <f t="shared" si="3"/>
        <v>0</v>
      </c>
      <c r="Q41" t="b">
        <f>IFERROR(__xludf.DUMMYFUNCTION("N41=max(filter(N:N,F:F=F41,E:E&lt;&gt;""MWC""))"),FALSE)</f>
        <v>0</v>
      </c>
      <c r="R41" t="str">
        <f>IFERROR(__xludf.DUMMYFUNCTION("iferror(if(P41=1,H41-MIN(filter(H:H,G:G&lt;G41,E:E=E41,H:H&lt;H41)),""""),"""")"),"")</f>
        <v/>
      </c>
    </row>
    <row r="42">
      <c r="A42" s="1" t="s">
        <v>1420</v>
      </c>
      <c r="B42" s="1" t="s">
        <v>1586</v>
      </c>
      <c r="D42" s="1" t="s">
        <v>112</v>
      </c>
      <c r="E42" t="str">
        <f>iferror(vlookup(D42,'Teams-Conference'!C:D,2,0),"Independent")</f>
        <v>Big Ten</v>
      </c>
      <c r="F42" t="str">
        <f>iferror(offset(DraftTracker!D$1,match(D42,DraftTracker!F:F,0)-1,0),"")</f>
        <v>Vu</v>
      </c>
      <c r="G42">
        <f>iferror(match(D42,DraftTracker!F$2:F131,0),counta(DraftTracker!F:F))</f>
        <v>16</v>
      </c>
      <c r="H42" s="169">
        <f>VLOOKUP(D42,'Current Week'!B:D,2,0)</f>
        <v>9</v>
      </c>
      <c r="I42">
        <f>iferror(VLOOKUP(D42,DraftTracker!F:I,3,0)+if((VLOOKUP(D42,DraftTracker!F:I,4,0)-VLOOKUP(D42,DraftTracker!F:I,3,0))&gt;0,(VLOOKUP(D42,DraftTracker!F:I,4,0)-VLOOKUP(D42,DraftTracker!F:I,3,0)),0)*0.5,"")</f>
        <v>0</v>
      </c>
      <c r="J42" s="198">
        <f>iferror(VLOOKUP(D42,DraftTracker!F:K,5,0)+(VLOOKUP(D42,DraftTracker!F:K,6,0)-VLOOKUP(D42,DraftTracker!F:K,5,0))*0.5,"")</f>
        <v>0.5</v>
      </c>
      <c r="K42">
        <f>VLOOKUP(D42,'Current Week'!B:D,3,0)</f>
        <v>3</v>
      </c>
      <c r="L42">
        <f>IFERROR(__xludf.DUMMYFUNCTION("iferror(max(filter(H:H,G:G&gt;G42,E:E=E42)),0)"),10.0)</f>
        <v>10</v>
      </c>
      <c r="M42">
        <f>IFERROR(__xludf.DUMMYFUNCTION("iferror(countif(filter(H:H,G:G&lt;G42,E:E=E42),""&lt;""&amp;H42),0)"),0.0)</f>
        <v>0</v>
      </c>
      <c r="N42" s="169">
        <f t="shared" si="1"/>
        <v>1</v>
      </c>
      <c r="O42">
        <f t="shared" si="2"/>
        <v>1</v>
      </c>
      <c r="P42">
        <f t="shared" si="3"/>
        <v>0</v>
      </c>
      <c r="Q42" t="b">
        <f>IFERROR(__xludf.DUMMYFUNCTION("N42=max(filter(N:N,F:F=F42,E:E&lt;&gt;""MWC""))"),FALSE)</f>
        <v>0</v>
      </c>
      <c r="R42" t="str">
        <f>IFERROR(__xludf.DUMMYFUNCTION("iferror(if(P42=1,H42-MIN(filter(H:H,G:G&lt;G42,E:E=E42,H:H&lt;H42)),""""),"""")"),"")</f>
        <v/>
      </c>
    </row>
    <row r="43">
      <c r="A43" s="1" t="s">
        <v>1421</v>
      </c>
      <c r="B43" s="1" t="s">
        <v>1587</v>
      </c>
      <c r="D43" s="1" t="s">
        <v>113</v>
      </c>
      <c r="E43" t="str">
        <f>iferror(vlookup(D43,'Teams-Conference'!C:D,2,0),"Independent")</f>
        <v>Big Ten</v>
      </c>
      <c r="F43" t="str">
        <f>iferror(offset(DraftTracker!D$1,match(D43,DraftTracker!F:F,0)-1,0),"")</f>
        <v>Nick A.</v>
      </c>
      <c r="G43">
        <f>iferror(match(D43,DraftTracker!F$2:F131,0),counta(DraftTracker!F:F))</f>
        <v>74</v>
      </c>
      <c r="H43" s="169">
        <f>VLOOKUP(D43,'Current Week'!B:D,2,0)</f>
        <v>6</v>
      </c>
      <c r="I43">
        <f>iferror(VLOOKUP(D43,DraftTracker!F:I,3,0)+if((VLOOKUP(D43,DraftTracker!F:I,4,0)-VLOOKUP(D43,DraftTracker!F:I,3,0))&gt;0,(VLOOKUP(D43,DraftTracker!F:I,4,0)-VLOOKUP(D43,DraftTracker!F:I,3,0)),0)*0.5,"")</f>
        <v>4.5</v>
      </c>
      <c r="J43" s="198">
        <f>iferror(VLOOKUP(D43,DraftTracker!F:K,5,0)+(VLOOKUP(D43,DraftTracker!F:K,6,0)-VLOOKUP(D43,DraftTracker!F:K,5,0))*0.5,"")</f>
        <v>1.5</v>
      </c>
      <c r="K43">
        <f>VLOOKUP(D43,'Current Week'!B:D,3,0)</f>
        <v>6</v>
      </c>
      <c r="L43">
        <f>IFERROR(__xludf.DUMMYFUNCTION("iferror(max(filter(H:H,G:G&gt;G43,E:E=E43)),0)"),10.0)</f>
        <v>10</v>
      </c>
      <c r="M43">
        <f>IFERROR(__xludf.DUMMYFUNCTION("iferror(countif(filter(H:H,G:G&lt;G43,E:E=E43),""&lt;""&amp;H43),0)"),1.0)</f>
        <v>1</v>
      </c>
      <c r="N43" s="169">
        <f t="shared" si="1"/>
        <v>4</v>
      </c>
      <c r="O43">
        <f t="shared" si="2"/>
        <v>1</v>
      </c>
      <c r="P43">
        <f t="shared" si="3"/>
        <v>0</v>
      </c>
      <c r="Q43" t="b">
        <f>IFERROR(__xludf.DUMMYFUNCTION("N43=max(filter(N:N,F:F=F43,E:E&lt;&gt;""MWC""))"),TRUE)</f>
        <v>1</v>
      </c>
      <c r="R43" t="str">
        <f>IFERROR(__xludf.DUMMYFUNCTION("iferror(if(P43=1,H43-MIN(filter(H:H,G:G&lt;G43,E:E=E43,H:H&lt;H43)),""""),"""")"),"")</f>
        <v/>
      </c>
    </row>
    <row r="44">
      <c r="A44" s="1" t="s">
        <v>1428</v>
      </c>
      <c r="B44" s="1" t="s">
        <v>1588</v>
      </c>
      <c r="D44" s="1" t="s">
        <v>121</v>
      </c>
      <c r="E44" t="str">
        <f>iferror(vlookup(D44,'Teams-Conference'!C:D,2,0),"Independent")</f>
        <v>Big Ten</v>
      </c>
      <c r="F44" t="str">
        <f>iferror(offset(DraftTracker!D$1,match(D44,DraftTracker!F:F,0)-1,0),"")</f>
        <v>Undrafted</v>
      </c>
      <c r="G44">
        <f>iferror(match(D44,DraftTracker!F$2:F131,0),counta(DraftTracker!F:F))</f>
        <v>127</v>
      </c>
      <c r="H44" s="1">
        <v>1.0</v>
      </c>
      <c r="I44">
        <f>iferror(VLOOKUP(D44,DraftTracker!F:I,3,0)+if((VLOOKUP(D44,DraftTracker!F:I,4,0)-VLOOKUP(D44,DraftTracker!F:I,3,0))&gt;0,(VLOOKUP(D44,DraftTracker!F:I,4,0)-VLOOKUP(D44,DraftTracker!F:I,3,0)),0)*0.5,"")</f>
        <v>0</v>
      </c>
      <c r="J44" s="198">
        <f>iferror(VLOOKUP(D44,DraftTracker!F:K,5,0)+(VLOOKUP(D44,DraftTracker!F:K,6,0)-VLOOKUP(D44,DraftTracker!F:K,5,0))*0.5,"")</f>
        <v>1</v>
      </c>
      <c r="K44" s="1">
        <v>11.0</v>
      </c>
      <c r="L44">
        <f>IFERROR(__xludf.DUMMYFUNCTION("iferror(max(filter(H:H,G:G&gt;G44,E:E=E44)),0)"),0.0)</f>
        <v>0</v>
      </c>
      <c r="M44">
        <f>IFERROR(__xludf.DUMMYFUNCTION("iferror(countif(filter(H:H,G:G&lt;G44,E:E=E44),""&lt;""&amp;H44),0)"),0.0)</f>
        <v>0</v>
      </c>
      <c r="N44">
        <f t="shared" si="1"/>
        <v>0</v>
      </c>
      <c r="O44">
        <f t="shared" si="2"/>
        <v>0</v>
      </c>
      <c r="P44">
        <f t="shared" si="3"/>
        <v>0</v>
      </c>
      <c r="Q44" t="b">
        <f>IFERROR(__xludf.DUMMYFUNCTION("N44=max(filter(N:N,F:F=F44,E:E&lt;&gt;""MWC""))"),FALSE)</f>
        <v>0</v>
      </c>
      <c r="R44" t="str">
        <f>IFERROR(__xludf.DUMMYFUNCTION("iferror(if(P44=1,H44-MIN(filter(H:H,G:G&lt;G44,E:E=E44,H:H&lt;H44)),""""),"""")"),"")</f>
        <v/>
      </c>
    </row>
    <row r="45">
      <c r="A45" s="1" t="s">
        <v>1424</v>
      </c>
      <c r="B45" s="1" t="s">
        <v>1577</v>
      </c>
      <c r="D45" s="1" t="s">
        <v>117</v>
      </c>
      <c r="E45" t="str">
        <f>iferror(vlookup(D45,'Teams-Conference'!C:D,2,0),"Independent")</f>
        <v>Big Ten</v>
      </c>
      <c r="F45" t="str">
        <f>iferror(offset(DraftTracker!D$1,match(D45,DraftTracker!F:F,0)-1,0),"")</f>
        <v>Adam</v>
      </c>
      <c r="G45">
        <f>iferror(match(D45,DraftTracker!F$2:F131,0),counta(DraftTracker!F:F))</f>
        <v>80</v>
      </c>
      <c r="H45" s="169">
        <f>VLOOKUP(D45,'Current Week'!B:D,2,0)</f>
        <v>3</v>
      </c>
      <c r="I45">
        <f>iferror(VLOOKUP(D45,DraftTracker!F:I,3,0)+if((VLOOKUP(D45,DraftTracker!F:I,4,0)-VLOOKUP(D45,DraftTracker!F:I,3,0))&gt;0,(VLOOKUP(D45,DraftTracker!F:I,4,0)-VLOOKUP(D45,DraftTracker!F:I,3,0)),0)*0.5,"")</f>
        <v>2</v>
      </c>
      <c r="J45" s="198">
        <f>iferror(VLOOKUP(D45,DraftTracker!F:K,5,0)+(VLOOKUP(D45,DraftTracker!F:K,6,0)-VLOOKUP(D45,DraftTracker!F:K,5,0))*0.5,"")</f>
        <v>2.5</v>
      </c>
      <c r="K45">
        <f>VLOOKUP(D45,'Current Week'!B:D,3,0)</f>
        <v>9</v>
      </c>
      <c r="L45">
        <f>IFERROR(__xludf.DUMMYFUNCTION("iferror(max(filter(H:H,G:G&gt;G45,E:E=E45)),0)"),10.0)</f>
        <v>10</v>
      </c>
      <c r="M45">
        <f>IFERROR(__xludf.DUMMYFUNCTION("iferror(countif(filter(H:H,G:G&lt;G45,E:E=E45),""&lt;""&amp;H45),0)"),0.0)</f>
        <v>0</v>
      </c>
      <c r="N45" s="169">
        <f t="shared" si="1"/>
        <v>7</v>
      </c>
      <c r="O45">
        <f t="shared" si="2"/>
        <v>1</v>
      </c>
      <c r="P45">
        <f t="shared" si="3"/>
        <v>0</v>
      </c>
      <c r="Q45" t="b">
        <f>IFERROR(__xludf.DUMMYFUNCTION("N45=max(filter(N:N,F:F=F45,E:E&lt;&gt;""MWC""))"),TRUE)</f>
        <v>1</v>
      </c>
      <c r="R45" t="str">
        <f>IFERROR(__xludf.DUMMYFUNCTION("iferror(if(P45=1,H45-MIN(filter(H:H,G:G&lt;G45,E:E=E45,H:H&lt;H45)),""""),"""")"),"")</f>
        <v/>
      </c>
    </row>
    <row r="46">
      <c r="A46" s="1" t="s">
        <v>1418</v>
      </c>
      <c r="B46" s="1" t="s">
        <v>1589</v>
      </c>
      <c r="D46" s="1" t="s">
        <v>110</v>
      </c>
      <c r="E46" t="str">
        <f>iferror(vlookup(D46,'Teams-Conference'!C:D,2,0),"Independent")</f>
        <v>Big Ten</v>
      </c>
      <c r="F46" t="str">
        <f>iferror(offset(DraftTracker!D$1,match(D46,DraftTracker!F:F,0)-1,0),"")</f>
        <v>Justin</v>
      </c>
      <c r="G46">
        <f>iferror(match(D46,DraftTracker!F$2:F131,0),counta(DraftTracker!F:F))</f>
        <v>79</v>
      </c>
      <c r="H46" s="169">
        <f>VLOOKUP(D46,'Current Week'!B:D,2,0)</f>
        <v>9</v>
      </c>
      <c r="I46">
        <f>iferror(VLOOKUP(D46,DraftTracker!F:I,3,0)+if((VLOOKUP(D46,DraftTracker!F:I,4,0)-VLOOKUP(D46,DraftTracker!F:I,3,0))&gt;0,(VLOOKUP(D46,DraftTracker!F:I,4,0)-VLOOKUP(D46,DraftTracker!F:I,3,0)),0)*0.5,"")</f>
        <v>3</v>
      </c>
      <c r="J46" s="198">
        <f>iferror(VLOOKUP(D46,DraftTracker!F:K,5,0)+(VLOOKUP(D46,DraftTracker!F:K,6,0)-VLOOKUP(D46,DraftTracker!F:K,5,0))*0.5,"")</f>
        <v>2.5</v>
      </c>
      <c r="K46">
        <f>VLOOKUP(D46,'Current Week'!B:D,3,0)</f>
        <v>3</v>
      </c>
      <c r="L46">
        <f>IFERROR(__xludf.DUMMYFUNCTION("iferror(max(filter(H:H,G:G&gt;G46,E:E=E46)),0)"),10.0)</f>
        <v>10</v>
      </c>
      <c r="M46">
        <f>IFERROR(__xludf.DUMMYFUNCTION("iferror(countif(filter(H:H,G:G&lt;G46,E:E=E46),""&lt;""&amp;H46),0)"),3.0)</f>
        <v>3</v>
      </c>
      <c r="N46" s="169">
        <f t="shared" si="1"/>
        <v>1</v>
      </c>
      <c r="O46">
        <f t="shared" si="2"/>
        <v>1</v>
      </c>
      <c r="P46">
        <f t="shared" si="3"/>
        <v>0</v>
      </c>
      <c r="Q46" t="b">
        <f>IFERROR(__xludf.DUMMYFUNCTION("N46=max(filter(N:N,F:F=F46,E:E&lt;&gt;""MWC""))"),FALSE)</f>
        <v>0</v>
      </c>
      <c r="R46" t="str">
        <f>IFERROR(__xludf.DUMMYFUNCTION("iferror(if(P46=1,H46-MIN(filter(H:H,G:G&lt;G46,E:E=E46,H:H&lt;H46)),""""),"""")"),"")</f>
        <v/>
      </c>
    </row>
    <row r="47">
      <c r="A47" s="1" t="s">
        <v>1422</v>
      </c>
      <c r="B47" s="1" t="s">
        <v>1590</v>
      </c>
      <c r="D47" s="1" t="s">
        <v>115</v>
      </c>
      <c r="E47" t="str">
        <f>iferror(vlookup(D47,'Teams-Conference'!C:D,2,0),"Independent")</f>
        <v>Big Ten</v>
      </c>
      <c r="F47" t="str">
        <f>iferror(offset(DraftTracker!D$1,match(D47,DraftTracker!F:F,0)-1,0),"")</f>
        <v>Josh R.</v>
      </c>
      <c r="G47">
        <f>iferror(match(D47,DraftTracker!F$2:F131,0),counta(DraftTracker!F:F))</f>
        <v>82</v>
      </c>
      <c r="H47" s="169">
        <f>VLOOKUP(D47,'Current Week'!B:D,2,0)</f>
        <v>10</v>
      </c>
      <c r="I47">
        <f>iferror(VLOOKUP(D47,DraftTracker!F:I,3,0)+if((VLOOKUP(D47,DraftTracker!F:I,4,0)-VLOOKUP(D47,DraftTracker!F:I,3,0))&gt;0,(VLOOKUP(D47,DraftTracker!F:I,4,0)-VLOOKUP(D47,DraftTracker!F:I,3,0)),0)*0.5,"")</f>
        <v>1</v>
      </c>
      <c r="J47" s="198">
        <f>iferror(VLOOKUP(D47,DraftTracker!F:K,5,0)+(VLOOKUP(D47,DraftTracker!F:K,6,0)-VLOOKUP(D47,DraftTracker!F:K,5,0))*0.5,"")</f>
        <v>2</v>
      </c>
      <c r="K47">
        <f>VLOOKUP(D47,'Current Week'!B:D,3,0)</f>
        <v>2</v>
      </c>
      <c r="L47">
        <f>IFERROR(__xludf.DUMMYFUNCTION("iferror(max(filter(H:H,G:G&gt;G47,E:E=E47)),0)"),8.0)</f>
        <v>8</v>
      </c>
      <c r="M47">
        <f>IFERROR(__xludf.DUMMYFUNCTION("iferror(countif(filter(H:H,G:G&lt;G47,E:E=E47),""&lt;""&amp;H47),0)"),6.0)</f>
        <v>6</v>
      </c>
      <c r="N47">
        <f t="shared" si="1"/>
        <v>0</v>
      </c>
      <c r="O47">
        <f t="shared" si="2"/>
        <v>0</v>
      </c>
      <c r="P47">
        <f t="shared" si="3"/>
        <v>1</v>
      </c>
      <c r="Q47" t="b">
        <f>IFERROR(__xludf.DUMMYFUNCTION("N47=max(filter(N:N,F:F=F47,E:E&lt;&gt;""MWC""))"),FALSE)</f>
        <v>0</v>
      </c>
      <c r="R47">
        <f>IFERROR(__xludf.DUMMYFUNCTION("iferror(if(P47=1,H47-MIN(filter(H:H,G:G&lt;G47,E:E=E47,H:H&lt;H47)),""""),"""")"),7.0)</f>
        <v>7</v>
      </c>
    </row>
    <row r="48">
      <c r="A48" s="1" t="s">
        <v>1429</v>
      </c>
      <c r="B48" s="1" t="s">
        <v>1591</v>
      </c>
      <c r="D48" s="1" t="s">
        <v>122</v>
      </c>
      <c r="E48" t="str">
        <f>iferror(vlookup(D48,'Teams-Conference'!C:D,2,0),"Independent")</f>
        <v>Big Ten</v>
      </c>
      <c r="F48" t="str">
        <f>iferror(offset(DraftTracker!D$1,match(D48,DraftTracker!F:F,0)-1,0),"")</f>
        <v>Janice/Mike</v>
      </c>
      <c r="G48">
        <f>iferror(match(D48,DraftTracker!F$2:F131,0),counta(DraftTracker!F:F))</f>
        <v>52</v>
      </c>
      <c r="H48" s="169">
        <f>VLOOKUP(D48,'Current Week'!B:D,2,0)</f>
        <v>10</v>
      </c>
      <c r="I48">
        <f>iferror(VLOOKUP(D48,DraftTracker!F:I,3,0)+if((VLOOKUP(D48,DraftTracker!F:I,4,0)-VLOOKUP(D48,DraftTracker!F:I,3,0))&gt;0,(VLOOKUP(D48,DraftTracker!F:I,4,0)-VLOOKUP(D48,DraftTracker!F:I,3,0)),0)*0.5,"")</f>
        <v>1.5</v>
      </c>
      <c r="J48" s="198">
        <f>iferror(VLOOKUP(D48,DraftTracker!F:K,5,0)+(VLOOKUP(D48,DraftTracker!F:K,6,0)-VLOOKUP(D48,DraftTracker!F:K,5,0))*0.5,"")</f>
        <v>0.5</v>
      </c>
      <c r="K48">
        <f>VLOOKUP(D48,'Current Week'!B:D,3,0)</f>
        <v>2</v>
      </c>
      <c r="L48">
        <f>IFERROR(__xludf.DUMMYFUNCTION("iferror(max(filter(H:H,G:G&gt;G48,E:E=E48)),0)"),10.0)</f>
        <v>10</v>
      </c>
      <c r="M48">
        <f>IFERROR(__xludf.DUMMYFUNCTION("iferror(countif(filter(H:H,G:G&lt;G48,E:E=E48),""&lt;""&amp;H48),0)"),2.0)</f>
        <v>2</v>
      </c>
      <c r="N48">
        <f t="shared" si="1"/>
        <v>0</v>
      </c>
      <c r="O48">
        <f t="shared" si="2"/>
        <v>0</v>
      </c>
      <c r="P48">
        <f t="shared" si="3"/>
        <v>1</v>
      </c>
      <c r="Q48" t="b">
        <f>IFERROR(__xludf.DUMMYFUNCTION("N48=max(filter(N:N,F:F=F48,E:E&lt;&gt;""MWC""))"),FALSE)</f>
        <v>0</v>
      </c>
      <c r="R48">
        <f>IFERROR(__xludf.DUMMYFUNCTION("iferror(if(P48=1,H48-MIN(filter(H:H,G:G&lt;G48,E:E=E48,H:H&lt;H48)),""""),"""")"),5.0)</f>
        <v>5</v>
      </c>
    </row>
    <row r="49">
      <c r="A49" s="1" t="s">
        <v>1423</v>
      </c>
      <c r="B49" s="1" t="s">
        <v>1592</v>
      </c>
      <c r="D49" s="1" t="s">
        <v>116</v>
      </c>
      <c r="E49" t="str">
        <f>iferror(vlookup(D49,'Teams-Conference'!C:D,2,0),"Independent")</f>
        <v>Big Ten</v>
      </c>
      <c r="F49" t="str">
        <f>iferror(offset(DraftTracker!D$1,match(D49,DraftTracker!F:F,0)-1,0),"")</f>
        <v>DavEmily</v>
      </c>
      <c r="G49">
        <f>iferror(match(D49,DraftTracker!F$2:F131,0),counta(DraftTracker!F:F))</f>
        <v>49</v>
      </c>
      <c r="H49" s="169">
        <f>VLOOKUP(D49,'Current Week'!B:D,2,0)</f>
        <v>5</v>
      </c>
      <c r="I49">
        <f>iferror(VLOOKUP(D49,DraftTracker!F:I,3,0)+if((VLOOKUP(D49,DraftTracker!F:I,4,0)-VLOOKUP(D49,DraftTracker!F:I,3,0))&gt;0,(VLOOKUP(D49,DraftTracker!F:I,4,0)-VLOOKUP(D49,DraftTracker!F:I,3,0)),0)*0.5,"")</f>
        <v>2</v>
      </c>
      <c r="J49" s="198">
        <f>iferror(VLOOKUP(D49,DraftTracker!F:K,5,0)+(VLOOKUP(D49,DraftTracker!F:K,6,0)-VLOOKUP(D49,DraftTracker!F:K,5,0))*0.5,"")</f>
        <v>0</v>
      </c>
      <c r="K49">
        <f>VLOOKUP(D49,'Current Week'!B:D,3,0)</f>
        <v>7</v>
      </c>
      <c r="L49">
        <f>IFERROR(__xludf.DUMMYFUNCTION("iferror(max(filter(H:H,G:G&gt;G49,E:E=E49)),0)"),10.0)</f>
        <v>10</v>
      </c>
      <c r="M49">
        <f>IFERROR(__xludf.DUMMYFUNCTION("iferror(countif(filter(H:H,G:G&lt;G49,E:E=E49),""&lt;""&amp;H49),0)"),0.0)</f>
        <v>0</v>
      </c>
      <c r="N49" s="169">
        <f t="shared" si="1"/>
        <v>5</v>
      </c>
      <c r="O49">
        <f t="shared" si="2"/>
        <v>1</v>
      </c>
      <c r="P49">
        <f t="shared" si="3"/>
        <v>0</v>
      </c>
      <c r="Q49" t="b">
        <f>IFERROR(__xludf.DUMMYFUNCTION("N49=max(filter(N:N,F:F=F49,E:E&lt;&gt;""MWC""))"),TRUE)</f>
        <v>1</v>
      </c>
      <c r="R49" t="str">
        <f>IFERROR(__xludf.DUMMYFUNCTION("iferror(if(P49=1,H49-MIN(filter(H:H,G:G&lt;G49,E:E=E49,H:H&lt;H49)),""""),"""")"),"")</f>
        <v/>
      </c>
    </row>
    <row r="50">
      <c r="A50" s="1" t="s">
        <v>1416</v>
      </c>
      <c r="B50" s="1" t="s">
        <v>1593</v>
      </c>
      <c r="D50" s="1" t="s">
        <v>106</v>
      </c>
      <c r="E50" t="str">
        <f>iferror(vlookup(D50,'Teams-Conference'!C:D,2,0),"Independent")</f>
        <v>Big Ten</v>
      </c>
      <c r="F50" t="str">
        <f>iferror(offset(DraftTracker!D$1,match(D50,DraftTracker!F:F,0)-1,0),"")</f>
        <v>Undrafted</v>
      </c>
      <c r="G50">
        <f>iferror(match(D50,DraftTracker!F$2:F131,0),counta(DraftTracker!F:F))</f>
        <v>122</v>
      </c>
      <c r="H50" s="1">
        <v>4.0</v>
      </c>
      <c r="I50">
        <f>iferror(VLOOKUP(D50,DraftTracker!F:I,3,0)+if((VLOOKUP(D50,DraftTracker!F:I,4,0)-VLOOKUP(D50,DraftTracker!F:I,3,0))&gt;0,(VLOOKUP(D50,DraftTracker!F:I,4,0)-VLOOKUP(D50,DraftTracker!F:I,3,0)),0)*0.5,"")</f>
        <v>1</v>
      </c>
      <c r="J50" s="198">
        <f>iferror(VLOOKUP(D50,DraftTracker!F:K,5,0)+(VLOOKUP(D50,DraftTracker!F:K,6,0)-VLOOKUP(D50,DraftTracker!F:K,5,0))*0.5,"")</f>
        <v>0.5</v>
      </c>
      <c r="K50" s="1">
        <v>8.0</v>
      </c>
      <c r="L50">
        <f>IFERROR(__xludf.DUMMYFUNCTION("iferror(max(filter(H:H,G:G&gt;G50,E:E=E50)),0)"),1.0)</f>
        <v>1</v>
      </c>
      <c r="M50">
        <f>IFERROR(__xludf.DUMMYFUNCTION("iferror(countif(filter(H:H,G:G&lt;G50,E:E=E50),""&lt;""&amp;H50),0)"),2.0)</f>
        <v>2</v>
      </c>
      <c r="N50">
        <f t="shared" si="1"/>
        <v>0</v>
      </c>
      <c r="O50">
        <f t="shared" si="2"/>
        <v>0</v>
      </c>
      <c r="P50">
        <f t="shared" si="3"/>
        <v>1</v>
      </c>
      <c r="Q50" t="b">
        <f>IFERROR(__xludf.DUMMYFUNCTION("N50=max(filter(N:N,F:F=F50,E:E&lt;&gt;""MWC""))"),FALSE)</f>
        <v>0</v>
      </c>
      <c r="R50">
        <f>IFERROR(__xludf.DUMMYFUNCTION("iferror(if(P50=1,H50-MIN(filter(H:H,G:G&lt;G50,E:E=E50,H:H&lt;H50)),""""),"""")"),1.0)</f>
        <v>1</v>
      </c>
    </row>
    <row r="51">
      <c r="A51" s="1" t="s">
        <v>1427</v>
      </c>
      <c r="B51" s="1" t="s">
        <v>1594</v>
      </c>
      <c r="D51" s="1" t="s">
        <v>120</v>
      </c>
      <c r="E51" t="str">
        <f>iferror(vlookup(D51,'Teams-Conference'!C:D,2,0),"Independent")</f>
        <v>Big Ten</v>
      </c>
      <c r="F51" t="str">
        <f>iferror(offset(DraftTracker!D$1,match(D51,DraftTracker!F:F,0)-1,0),"")</f>
        <v>Nico</v>
      </c>
      <c r="G51">
        <f>iferror(match(D51,DraftTracker!F$2:F131,0),counta(DraftTracker!F:F))</f>
        <v>77</v>
      </c>
      <c r="H51" s="169">
        <f>VLOOKUP(D51,'Current Week'!B:D,2,0)</f>
        <v>4</v>
      </c>
      <c r="I51">
        <f>iferror(VLOOKUP(D51,DraftTracker!F:I,3,0)+if((VLOOKUP(D51,DraftTracker!F:I,4,0)-VLOOKUP(D51,DraftTracker!F:I,3,0))&gt;0,(VLOOKUP(D51,DraftTracker!F:I,4,0)-VLOOKUP(D51,DraftTracker!F:I,3,0)),0)*0.5,"")</f>
        <v>4</v>
      </c>
      <c r="J51" s="198">
        <f>iferror(VLOOKUP(D51,DraftTracker!F:K,5,0)+(VLOOKUP(D51,DraftTracker!F:K,6,0)-VLOOKUP(D51,DraftTracker!F:K,5,0))*0.5,"")</f>
        <v>1.5</v>
      </c>
      <c r="K51">
        <f>VLOOKUP(D51,'Current Week'!B:D,3,0)</f>
        <v>8</v>
      </c>
      <c r="L51">
        <f>IFERROR(__xludf.DUMMYFUNCTION("iferror(max(filter(H:H,G:G&gt;G51,E:E=E51)),0)"),10.0)</f>
        <v>10</v>
      </c>
      <c r="M51">
        <f>IFERROR(__xludf.DUMMYFUNCTION("iferror(countif(filter(H:H,G:G&lt;G51,E:E=E51),""&lt;""&amp;H51),0)"),0.0)</f>
        <v>0</v>
      </c>
      <c r="N51" s="169">
        <f t="shared" si="1"/>
        <v>6</v>
      </c>
      <c r="O51">
        <f t="shared" si="2"/>
        <v>1</v>
      </c>
      <c r="P51">
        <f t="shared" si="3"/>
        <v>0</v>
      </c>
      <c r="Q51" t="b">
        <f>IFERROR(__xludf.DUMMYFUNCTION("N51=max(filter(N:N,F:F=F51,E:E&lt;&gt;""MWC""))"),TRUE)</f>
        <v>1</v>
      </c>
      <c r="R51" t="str">
        <f>IFERROR(__xludf.DUMMYFUNCTION("iferror(if(P51=1,H51-MIN(filter(H:H,G:G&lt;G51,E:E=E51,H:H&lt;H51)),""""),"""")"),"")</f>
        <v/>
      </c>
    </row>
    <row r="52">
      <c r="A52" s="1" t="s">
        <v>1595</v>
      </c>
      <c r="D52" s="1" t="s">
        <v>132</v>
      </c>
      <c r="E52" t="str">
        <f>iferror(vlookup(D52,'Teams-Conference'!C:D,2,0),"Independent")</f>
        <v>CUSA</v>
      </c>
      <c r="F52" t="str">
        <f>iferror(offset(DraftTracker!D$1,match(D52,DraftTracker!F:F,0)-1,0),"")</f>
        <v>Janice/Mike</v>
      </c>
      <c r="G52">
        <f>iferror(match(D52,DraftTracker!F$2:F131,0),counta(DraftTracker!F:F))</f>
        <v>93</v>
      </c>
      <c r="H52" s="169">
        <f>VLOOKUP(D52,'Current Week'!B:D,2,0)</f>
        <v>7</v>
      </c>
      <c r="I52">
        <f>iferror(VLOOKUP(D52,DraftTracker!F:I,3,0)+if((VLOOKUP(D52,DraftTracker!F:I,4,0)-VLOOKUP(D52,DraftTracker!F:I,3,0))&gt;0,(VLOOKUP(D52,DraftTracker!F:I,4,0)-VLOOKUP(D52,DraftTracker!F:I,3,0)),0)*0.5,"")</f>
        <v>1</v>
      </c>
      <c r="J52" s="198">
        <f>iferror(VLOOKUP(D52,DraftTracker!F:K,5,0)+(VLOOKUP(D52,DraftTracker!F:K,6,0)-VLOOKUP(D52,DraftTracker!F:K,5,0))*0.5,"")</f>
        <v>3.5</v>
      </c>
      <c r="K52">
        <f>VLOOKUP(D52,'Current Week'!B:D,3,0)</f>
        <v>5</v>
      </c>
      <c r="L52">
        <f>IFERROR(__xludf.DUMMYFUNCTION("iferror(max(filter(H:H,G:G&gt;G52,E:E=E52)),0)"),4.0)</f>
        <v>4</v>
      </c>
      <c r="M52">
        <f>IFERROR(__xludf.DUMMYFUNCTION("iferror(countif(filter(H:H,G:G&lt;G52,E:E=E52),""&lt;""&amp;H52),0)"),3.0)</f>
        <v>3</v>
      </c>
      <c r="N52">
        <f t="shared" si="1"/>
        <v>0</v>
      </c>
      <c r="O52">
        <f t="shared" si="2"/>
        <v>0</v>
      </c>
      <c r="P52">
        <f t="shared" si="3"/>
        <v>1</v>
      </c>
      <c r="Q52" t="b">
        <f>IFERROR(__xludf.DUMMYFUNCTION("N52=max(filter(N:N,F:F=F52,E:E&lt;&gt;""MWC""))"),FALSE)</f>
        <v>0</v>
      </c>
      <c r="R52">
        <f>IFERROR(__xludf.DUMMYFUNCTION("iferror(if(P52=1,H52-MIN(filter(H:H,G:G&lt;G52,E:E=E52,H:H&lt;H52)),""""),"""")"),3.0)</f>
        <v>3</v>
      </c>
    </row>
    <row r="53">
      <c r="A53" s="1" t="s">
        <v>1430</v>
      </c>
      <c r="B53" s="1" t="s">
        <v>1596</v>
      </c>
      <c r="D53" s="1" t="s">
        <v>123</v>
      </c>
      <c r="E53" t="str">
        <f>iferror(vlookup(D53,'Teams-Conference'!C:D,2,0),"Independent")</f>
        <v>CUSA</v>
      </c>
      <c r="F53" t="str">
        <f>iferror(offset(DraftTracker!D$1,match(D53,DraftTracker!F:F,0)-1,0),"")</f>
        <v>Adam</v>
      </c>
      <c r="G53">
        <f>iferror(match(D53,DraftTracker!F$2:F131,0),counta(DraftTracker!F:F))</f>
        <v>41</v>
      </c>
      <c r="H53" s="169">
        <f>VLOOKUP(D53,'Current Week'!B:D,2,0)</f>
        <v>6</v>
      </c>
      <c r="I53">
        <f>iferror(VLOOKUP(D53,DraftTracker!F:I,3,0)+if((VLOOKUP(D53,DraftTracker!F:I,4,0)-VLOOKUP(D53,DraftTracker!F:I,3,0))&gt;0,(VLOOKUP(D53,DraftTracker!F:I,4,0)-VLOOKUP(D53,DraftTracker!F:I,3,0)),0)*0.5,"")</f>
        <v>2.5</v>
      </c>
      <c r="J53" s="198">
        <f>iferror(VLOOKUP(D53,DraftTracker!F:K,5,0)+(VLOOKUP(D53,DraftTracker!F:K,6,0)-VLOOKUP(D53,DraftTracker!F:K,5,0))*0.5,"")</f>
        <v>1.5</v>
      </c>
      <c r="K53">
        <f>VLOOKUP(D53,'Current Week'!B:D,3,0)</f>
        <v>6</v>
      </c>
      <c r="L53">
        <f>IFERROR(__xludf.DUMMYFUNCTION("iferror(max(filter(H:H,G:G&gt;G53,E:E=E53)),0)"),9.0)</f>
        <v>9</v>
      </c>
      <c r="M53">
        <f>IFERROR(__xludf.DUMMYFUNCTION("iferror(countif(filter(H:H,G:G&lt;G53,E:E=E53),""&lt;""&amp;H53),0)"),0.0)</f>
        <v>0</v>
      </c>
      <c r="N53" s="169">
        <f t="shared" si="1"/>
        <v>3</v>
      </c>
      <c r="O53">
        <f t="shared" si="2"/>
        <v>1</v>
      </c>
      <c r="P53">
        <f t="shared" si="3"/>
        <v>0</v>
      </c>
      <c r="Q53" t="b">
        <f>IFERROR(__xludf.DUMMYFUNCTION("N53=max(filter(N:N,F:F=F53,E:E&lt;&gt;""MWC""))"),FALSE)</f>
        <v>0</v>
      </c>
      <c r="R53" t="str">
        <f>IFERROR(__xludf.DUMMYFUNCTION("iferror(if(P53=1,H53-MIN(filter(H:H,G:G&lt;G53,E:E=E53,H:H&lt;H53)),""""),"""")"),"")</f>
        <v/>
      </c>
    </row>
    <row r="54">
      <c r="A54" s="1" t="s">
        <v>1433</v>
      </c>
      <c r="B54" s="1" t="s">
        <v>1597</v>
      </c>
      <c r="D54" s="1" t="s">
        <v>126</v>
      </c>
      <c r="E54" t="str">
        <f>iferror(vlookup(D54,'Teams-Conference'!C:D,2,0),"Independent")</f>
        <v>CUSA</v>
      </c>
      <c r="F54" t="str">
        <f>iferror(offset(DraftTracker!D$1,match(D54,DraftTracker!F:F,0)-1,0),"")</f>
        <v>Gary</v>
      </c>
      <c r="G54">
        <f>iferror(match(D54,DraftTracker!F$2:F131,0),counta(DraftTracker!F:F))</f>
        <v>51</v>
      </c>
      <c r="H54" s="169">
        <f>VLOOKUP(D54,'Current Week'!B:D,2,0)</f>
        <v>8</v>
      </c>
      <c r="I54">
        <f>iferror(VLOOKUP(D54,DraftTracker!F:I,3,0)+if((VLOOKUP(D54,DraftTracker!F:I,4,0)-VLOOKUP(D54,DraftTracker!F:I,3,0))&gt;0,(VLOOKUP(D54,DraftTracker!F:I,4,0)-VLOOKUP(D54,DraftTracker!F:I,3,0)),0)*0.5,"")</f>
        <v>2.5</v>
      </c>
      <c r="J54" s="198">
        <f>iferror(VLOOKUP(D54,DraftTracker!F:K,5,0)+(VLOOKUP(D54,DraftTracker!F:K,6,0)-VLOOKUP(D54,DraftTracker!F:K,5,0))*0.5,"")</f>
        <v>2.5</v>
      </c>
      <c r="K54">
        <f>VLOOKUP(D54,'Current Week'!B:D,3,0)</f>
        <v>4</v>
      </c>
      <c r="L54">
        <f>IFERROR(__xludf.DUMMYFUNCTION("iferror(max(filter(H:H,G:G&gt;G54,E:E=E54)),0)"),9.0)</f>
        <v>9</v>
      </c>
      <c r="M54">
        <f>IFERROR(__xludf.DUMMYFUNCTION("iferror(countif(filter(H:H,G:G&lt;G54,E:E=E54),""&lt;""&amp;H54),0)"),1.0)</f>
        <v>1</v>
      </c>
      <c r="N54" s="169">
        <f t="shared" si="1"/>
        <v>1</v>
      </c>
      <c r="O54">
        <f t="shared" si="2"/>
        <v>1</v>
      </c>
      <c r="P54">
        <f t="shared" si="3"/>
        <v>0</v>
      </c>
      <c r="Q54" t="b">
        <f>IFERROR(__xludf.DUMMYFUNCTION("N54=max(filter(N:N,F:F=F54,E:E&lt;&gt;""MWC""))"),FALSE)</f>
        <v>0</v>
      </c>
      <c r="R54" t="str">
        <f>IFERROR(__xludf.DUMMYFUNCTION("iferror(if(P54=1,H54-MIN(filter(H:H,G:G&lt;G54,E:E=E54,H:H&lt;H54)),""""),"""")"),"")</f>
        <v/>
      </c>
    </row>
    <row r="55">
      <c r="A55" s="1" t="s">
        <v>1431</v>
      </c>
      <c r="B55" s="1" t="s">
        <v>1544</v>
      </c>
      <c r="D55" s="1" t="s">
        <v>124</v>
      </c>
      <c r="E55" t="str">
        <f>iferror(vlookup(D55,'Teams-Conference'!C:D,2,0),"Independent")</f>
        <v>CUSA</v>
      </c>
      <c r="F55" t="str">
        <f>iferror(offset(DraftTracker!D$1,match(D55,DraftTracker!F:F,0)-1,0),"")</f>
        <v>Nick G.</v>
      </c>
      <c r="G55">
        <f>iferror(match(D55,DraftTracker!F$2:F131,0),counta(DraftTracker!F:F))</f>
        <v>36</v>
      </c>
      <c r="H55" s="169">
        <f>VLOOKUP(D55,'Current Week'!B:D,2,0)</f>
        <v>9</v>
      </c>
      <c r="I55">
        <f>iferror(VLOOKUP(D55,DraftTracker!F:I,3,0)+if((VLOOKUP(D55,DraftTracker!F:I,4,0)-VLOOKUP(D55,DraftTracker!F:I,3,0))&gt;0,(VLOOKUP(D55,DraftTracker!F:I,4,0)-VLOOKUP(D55,DraftTracker!F:I,3,0)),0)*0.5,"")</f>
        <v>2</v>
      </c>
      <c r="J55" s="198">
        <f>iferror(VLOOKUP(D55,DraftTracker!F:K,5,0)+(VLOOKUP(D55,DraftTracker!F:K,6,0)-VLOOKUP(D55,DraftTracker!F:K,5,0))*0.5,"")</f>
        <v>2.5</v>
      </c>
      <c r="K55">
        <f>VLOOKUP(D55,'Current Week'!B:D,3,0)</f>
        <v>3</v>
      </c>
      <c r="L55">
        <f>IFERROR(__xludf.DUMMYFUNCTION("iferror(max(filter(H:H,G:G&gt;G55,E:E=E55)),0)"),9.0)</f>
        <v>9</v>
      </c>
      <c r="M55">
        <f>IFERROR(__xludf.DUMMYFUNCTION("iferror(countif(filter(H:H,G:G&lt;G55,E:E=E55),""&lt;""&amp;H55),0)"),0.0)</f>
        <v>0</v>
      </c>
      <c r="N55">
        <f t="shared" si="1"/>
        <v>0</v>
      </c>
      <c r="O55">
        <f t="shared" si="2"/>
        <v>0</v>
      </c>
      <c r="P55">
        <f t="shared" si="3"/>
        <v>0</v>
      </c>
      <c r="Q55" t="b">
        <f>IFERROR(__xludf.DUMMYFUNCTION("N55=max(filter(N:N,F:F=F55,E:E&lt;&gt;""MWC""))"),FALSE)</f>
        <v>0</v>
      </c>
      <c r="R55" t="str">
        <f>IFERROR(__xludf.DUMMYFUNCTION("iferror(if(P55=1,H55-MIN(filter(H:H,G:G&lt;G55,E:E=E55,H:H&lt;H55)),""""),"""")"),"")</f>
        <v/>
      </c>
    </row>
    <row r="56">
      <c r="A56" s="1" t="s">
        <v>1434</v>
      </c>
      <c r="B56" s="1" t="s">
        <v>1598</v>
      </c>
      <c r="D56" s="1" t="s">
        <v>127</v>
      </c>
      <c r="E56" t="str">
        <f>iferror(vlookup(D56,'Teams-Conference'!C:D,2,0),"Independent")</f>
        <v>CUSA</v>
      </c>
      <c r="F56" t="str">
        <f>iferror(offset(DraftTracker!D$1,match(D56,DraftTracker!F:F,0)-1,0),"")</f>
        <v>Nico</v>
      </c>
      <c r="G56">
        <f>iferror(match(D56,DraftTracker!F$2:F131,0),counta(DraftTracker!F:F))</f>
        <v>92</v>
      </c>
      <c r="H56" s="169">
        <f>VLOOKUP(D56,'Current Week'!B:D,2,0)</f>
        <v>4</v>
      </c>
      <c r="I56">
        <f>iferror(VLOOKUP(D56,DraftTracker!F:I,3,0)+if((VLOOKUP(D56,DraftTracker!F:I,4,0)-VLOOKUP(D56,DraftTracker!F:I,3,0))&gt;0,(VLOOKUP(D56,DraftTracker!F:I,4,0)-VLOOKUP(D56,DraftTracker!F:I,3,0)),0)*0.5,"")</f>
        <v>2</v>
      </c>
      <c r="J56" s="198">
        <f>iferror(VLOOKUP(D56,DraftTracker!F:K,5,0)+(VLOOKUP(D56,DraftTracker!F:K,6,0)-VLOOKUP(D56,DraftTracker!F:K,5,0))*0.5,"")</f>
        <v>1.5</v>
      </c>
      <c r="K56">
        <f>VLOOKUP(D56,'Current Week'!B:D,3,0)</f>
        <v>8</v>
      </c>
      <c r="L56">
        <f>IFERROR(__xludf.DUMMYFUNCTION("iferror(max(filter(H:H,G:G&gt;G56,E:E=E56)),0)"),7.0)</f>
        <v>7</v>
      </c>
      <c r="M56">
        <f>IFERROR(__xludf.DUMMYFUNCTION("iferror(countif(filter(H:H,G:G&lt;G56,E:E=E56),""&lt;""&amp;H56),0)"),0.0)</f>
        <v>0</v>
      </c>
      <c r="N56" s="169">
        <f t="shared" si="1"/>
        <v>3</v>
      </c>
      <c r="O56">
        <f t="shared" si="2"/>
        <v>1</v>
      </c>
      <c r="P56">
        <f t="shared" si="3"/>
        <v>0</v>
      </c>
      <c r="Q56" t="b">
        <f>IFERROR(__xludf.DUMMYFUNCTION("N56=max(filter(N:N,F:F=F56,E:E&lt;&gt;""MWC""))"),FALSE)</f>
        <v>0</v>
      </c>
      <c r="R56" t="str">
        <f>IFERROR(__xludf.DUMMYFUNCTION("iferror(if(P56=1,H56-MIN(filter(H:H,G:G&lt;G56,E:E=E56,H:H&lt;H56)),""""),"""")"),"")</f>
        <v/>
      </c>
    </row>
    <row r="57">
      <c r="A57" s="1" t="s">
        <v>1462</v>
      </c>
      <c r="B57" s="1" t="s">
        <v>1573</v>
      </c>
      <c r="D57" s="1" t="s">
        <v>160</v>
      </c>
      <c r="E57" t="str">
        <f>iferror(vlookup(D57,'Teams-Conference'!C:D,2,0),"Independent")</f>
        <v>MWC</v>
      </c>
      <c r="F57" t="str">
        <f>iferror(offset(DraftTracker!D$1,match(D57,DraftTracker!F:F,0)-1,0),"")</f>
        <v>Nick G.</v>
      </c>
      <c r="G57">
        <f>iferror(match(D57,DraftTracker!F$2:F131,0),counta(DraftTracker!F:F))</f>
        <v>37</v>
      </c>
      <c r="H57" s="169">
        <f>VLOOKUP(D57,'Current Week'!B:D,2,0)</f>
        <v>7</v>
      </c>
      <c r="I57">
        <f>iferror(VLOOKUP(D57,DraftTracker!F:I,3,0)+if((VLOOKUP(D57,DraftTracker!F:I,4,0)-VLOOKUP(D57,DraftTracker!F:I,3,0))&gt;0,(VLOOKUP(D57,DraftTracker!F:I,4,0)-VLOOKUP(D57,DraftTracker!F:I,3,0)),0)*0.5,"")</f>
        <v>2</v>
      </c>
      <c r="J57" s="198">
        <f>iferror(VLOOKUP(D57,DraftTracker!F:K,5,0)+(VLOOKUP(D57,DraftTracker!F:K,6,0)-VLOOKUP(D57,DraftTracker!F:K,5,0))*0.5,"")</f>
        <v>2.5</v>
      </c>
      <c r="K57">
        <f>VLOOKUP(D57,'Current Week'!B:D,3,0)</f>
        <v>5</v>
      </c>
      <c r="L57">
        <f>IFERROR(__xludf.DUMMYFUNCTION("iferror(max(filter(H:H,G:G&gt;G57,E:E=E57)),0)"),9.0)</f>
        <v>9</v>
      </c>
      <c r="M57">
        <f>IFERROR(__xludf.DUMMYFUNCTION("iferror(countif(filter(H:H,G:G&lt;G57,E:E=E57),""&lt;""&amp;H57),0)"),1.0)</f>
        <v>1</v>
      </c>
      <c r="N57" s="169">
        <f t="shared" si="1"/>
        <v>2</v>
      </c>
      <c r="O57">
        <f t="shared" si="2"/>
        <v>1</v>
      </c>
      <c r="P57">
        <f t="shared" si="3"/>
        <v>0</v>
      </c>
      <c r="Q57" t="b">
        <f>IFERROR(__xludf.DUMMYFUNCTION("N57=max(filter(N:N,F:F=F57,E:E&lt;&gt;""MWC""))"),FALSE)</f>
        <v>0</v>
      </c>
      <c r="R57" t="str">
        <f>IFERROR(__xludf.DUMMYFUNCTION("iferror(if(P57=1,H57-MIN(filter(H:H,G:G&lt;G57,E:E=E57,H:H&lt;H57)),""""),"""")"),"")</f>
        <v/>
      </c>
    </row>
    <row r="58">
      <c r="A58" s="1" t="s">
        <v>1436</v>
      </c>
      <c r="B58" s="1" t="s">
        <v>1599</v>
      </c>
      <c r="D58" s="1" t="s">
        <v>129</v>
      </c>
      <c r="E58" t="str">
        <f>iferror(vlookup(D58,'Teams-Conference'!C:D,2,0),"Independent")</f>
        <v>CUSA</v>
      </c>
      <c r="F58" t="str">
        <f>iferror(offset(DraftTracker!D$1,match(D58,DraftTracker!F:F,0)-1,0),"")</f>
        <v>Nick A.</v>
      </c>
      <c r="G58">
        <f>iferror(match(D58,DraftTracker!F$2:F131,0),counta(DraftTracker!F:F))</f>
        <v>95</v>
      </c>
      <c r="H58" s="169">
        <f>VLOOKUP(D58,'Current Week'!B:D,2,0)</f>
        <v>1</v>
      </c>
      <c r="I58">
        <f>iferror(VLOOKUP(D58,DraftTracker!F:I,3,0)+if((VLOOKUP(D58,DraftTracker!F:I,4,0)-VLOOKUP(D58,DraftTracker!F:I,3,0))&gt;0,(VLOOKUP(D58,DraftTracker!F:I,4,0)-VLOOKUP(D58,DraftTracker!F:I,3,0)),0)*0.5,"")</f>
        <v>0</v>
      </c>
      <c r="J58" s="198">
        <f>iferror(VLOOKUP(D58,DraftTracker!F:K,5,0)+(VLOOKUP(D58,DraftTracker!F:K,6,0)-VLOOKUP(D58,DraftTracker!F:K,5,0))*0.5,"")</f>
        <v>1.5</v>
      </c>
      <c r="K58">
        <f>VLOOKUP(D58,'Current Week'!B:D,3,0)</f>
        <v>11</v>
      </c>
      <c r="L58">
        <f>IFERROR(__xludf.DUMMYFUNCTION("iferror(max(filter(H:H,G:G&gt;G58,E:E=E58)),0)"),4.0)</f>
        <v>4</v>
      </c>
      <c r="M58">
        <f>IFERROR(__xludf.DUMMYFUNCTION("iferror(countif(filter(H:H,G:G&lt;G58,E:E=E58),""&lt;""&amp;H58),0)"),0.0)</f>
        <v>0</v>
      </c>
      <c r="N58" s="169">
        <f t="shared" si="1"/>
        <v>3</v>
      </c>
      <c r="O58">
        <f t="shared" si="2"/>
        <v>1</v>
      </c>
      <c r="P58">
        <f t="shared" si="3"/>
        <v>0</v>
      </c>
      <c r="Q58" t="b">
        <f>IFERROR(__xludf.DUMMYFUNCTION("N58=max(filter(N:N,F:F=F58,E:E&lt;&gt;""MWC""))"),FALSE)</f>
        <v>0</v>
      </c>
      <c r="R58" t="str">
        <f>IFERROR(__xludf.DUMMYFUNCTION("iferror(if(P58=1,H58-MIN(filter(H:H,G:G&lt;G58,E:E=E58,H:H&lt;H58)),""""),"""")"),"")</f>
        <v/>
      </c>
    </row>
    <row r="59">
      <c r="A59" s="1" t="s">
        <v>1435</v>
      </c>
      <c r="B59" s="1" t="s">
        <v>1600</v>
      </c>
      <c r="D59" s="1" t="s">
        <v>128</v>
      </c>
      <c r="E59" t="str">
        <f>iferror(vlookup(D59,'Teams-Conference'!C:D,2,0),"Independent")</f>
        <v>CUSA</v>
      </c>
      <c r="F59" t="str">
        <f>iferror(offset(DraftTracker!D$1,match(D59,DraftTracker!F:F,0)-1,0),"")</f>
        <v>Vu</v>
      </c>
      <c r="G59">
        <f>iferror(match(D59,DraftTracker!F$2:F131,0),counta(DraftTracker!F:F))</f>
        <v>57</v>
      </c>
      <c r="H59" s="169">
        <f>VLOOKUP(D59,'Current Week'!B:D,2,0)</f>
        <v>4</v>
      </c>
      <c r="I59">
        <f>iferror(VLOOKUP(D59,DraftTracker!F:I,3,0)+if((VLOOKUP(D59,DraftTracker!F:I,4,0)-VLOOKUP(D59,DraftTracker!F:I,3,0))&gt;0,(VLOOKUP(D59,DraftTracker!F:I,4,0)-VLOOKUP(D59,DraftTracker!F:I,3,0)),0)*0.5,"")</f>
        <v>3</v>
      </c>
      <c r="J59" s="198">
        <f>iferror(VLOOKUP(D59,DraftTracker!F:K,5,0)+(VLOOKUP(D59,DraftTracker!F:K,6,0)-VLOOKUP(D59,DraftTracker!F:K,5,0))*0.5,"")</f>
        <v>0.5</v>
      </c>
      <c r="K59">
        <f>VLOOKUP(D59,'Current Week'!B:D,3,0)</f>
        <v>8</v>
      </c>
      <c r="L59">
        <f>IFERROR(__xludf.DUMMYFUNCTION("iferror(max(filter(H:H,G:G&gt;G59,E:E=E59)),0)"),9.0)</f>
        <v>9</v>
      </c>
      <c r="M59">
        <f>IFERROR(__xludf.DUMMYFUNCTION("iferror(countif(filter(H:H,G:G&lt;G59,E:E=E59),""&lt;""&amp;H59),0)"),0.0)</f>
        <v>0</v>
      </c>
      <c r="N59" s="169">
        <f t="shared" si="1"/>
        <v>5</v>
      </c>
      <c r="O59">
        <f t="shared" si="2"/>
        <v>1</v>
      </c>
      <c r="P59">
        <f t="shared" si="3"/>
        <v>0</v>
      </c>
      <c r="Q59" t="b">
        <f>IFERROR(__xludf.DUMMYFUNCTION("N59=max(filter(N:N,F:F=F59,E:E&lt;&gt;""MWC""))"),FALSE)</f>
        <v>0</v>
      </c>
      <c r="R59" t="str">
        <f>IFERROR(__xludf.DUMMYFUNCTION("iferror(if(P59=1,H59-MIN(filter(H:H,G:G&lt;G59,E:E=E59,H:H&lt;H59)),""""),"""")"),"")</f>
        <v/>
      </c>
    </row>
    <row r="60">
      <c r="A60" s="1" t="s">
        <v>1601</v>
      </c>
      <c r="B60" s="1" t="s">
        <v>1602</v>
      </c>
      <c r="D60" s="1" t="s">
        <v>125</v>
      </c>
      <c r="E60" t="str">
        <f>iferror(vlookup(D60,'Teams-Conference'!C:D,2,0),"Independent")</f>
        <v>CUSA</v>
      </c>
      <c r="F60" t="str">
        <f>iferror(offset(DraftTracker!D$1,match(D60,DraftTracker!F:F,0)-1,0),"")</f>
        <v>Brad</v>
      </c>
      <c r="G60">
        <f>iferror(match(D60,DraftTracker!F$2:F131,0),counta(DraftTracker!F:F))</f>
        <v>62</v>
      </c>
      <c r="H60" s="169">
        <f>VLOOKUP(D60,'Current Week'!B:D,2,0)</f>
        <v>9</v>
      </c>
      <c r="I60">
        <f>iferror(VLOOKUP(D60,DraftTracker!F:I,3,0)+if((VLOOKUP(D60,DraftTracker!F:I,4,0)-VLOOKUP(D60,DraftTracker!F:I,3,0))&gt;0,(VLOOKUP(D60,DraftTracker!F:I,4,0)-VLOOKUP(D60,DraftTracker!F:I,3,0)),0)*0.5,"")</f>
        <v>2</v>
      </c>
      <c r="J60" s="198">
        <f>iferror(VLOOKUP(D60,DraftTracker!F:K,5,0)+(VLOOKUP(D60,DraftTracker!F:K,6,0)-VLOOKUP(D60,DraftTracker!F:K,5,0))*0.5,"")</f>
        <v>2</v>
      </c>
      <c r="K60">
        <f>VLOOKUP(D60,'Current Week'!B:D,3,0)</f>
        <v>3</v>
      </c>
      <c r="L60">
        <f>IFERROR(__xludf.DUMMYFUNCTION("iferror(max(filter(H:H,G:G&gt;G60,E:E=E60)),0)"),9.0)</f>
        <v>9</v>
      </c>
      <c r="M60">
        <f>IFERROR(__xludf.DUMMYFUNCTION("iferror(countif(filter(H:H,G:G&lt;G60,E:E=E60),""&lt;""&amp;H60),0)"),3.0)</f>
        <v>3</v>
      </c>
      <c r="N60">
        <f t="shared" si="1"/>
        <v>0</v>
      </c>
      <c r="O60">
        <f t="shared" si="2"/>
        <v>0</v>
      </c>
      <c r="P60">
        <f t="shared" si="3"/>
        <v>1</v>
      </c>
      <c r="Q60" t="b">
        <f>IFERROR(__xludf.DUMMYFUNCTION("N60=max(filter(N:N,F:F=F60,E:E&lt;&gt;""MWC""))"),FALSE)</f>
        <v>0</v>
      </c>
      <c r="R60">
        <f>IFERROR(__xludf.DUMMYFUNCTION("iferror(if(P60=1,H60-MIN(filter(H:H,G:G&lt;G60,E:E=E60,H:H&lt;H60)),""""),"""")"),5.0)</f>
        <v>5</v>
      </c>
    </row>
    <row r="61">
      <c r="A61" s="1" t="s">
        <v>136</v>
      </c>
      <c r="B61" s="1" t="s">
        <v>1605</v>
      </c>
      <c r="D61" s="1" t="s">
        <v>136</v>
      </c>
      <c r="E61" t="str">
        <f>iferror(vlookup(D61,'Teams-Conference'!C:D,2,0),"Independent")</f>
        <v>CUSA</v>
      </c>
      <c r="F61" t="str">
        <f>iferror(offset(DraftTracker!D$1,match(D61,DraftTracker!F:F,0)-1,0),"")</f>
        <v>Jeannine</v>
      </c>
      <c r="G61">
        <f>iferror(match(D61,DraftTracker!F$2:F131,0),counta(DraftTracker!F:F))</f>
        <v>67</v>
      </c>
      <c r="H61" s="169">
        <f>VLOOKUP(D61,'Current Week'!B:D,2,0)</f>
        <v>9</v>
      </c>
      <c r="I61">
        <f>iferror(VLOOKUP(D61,DraftTracker!F:I,3,0)+if((VLOOKUP(D61,DraftTracker!F:I,4,0)-VLOOKUP(D61,DraftTracker!F:I,3,0))&gt;0,(VLOOKUP(D61,DraftTracker!F:I,4,0)-VLOOKUP(D61,DraftTracker!F:I,3,0)),0)*0.5,"")</f>
        <v>0</v>
      </c>
      <c r="J61" s="198">
        <f>iferror(VLOOKUP(D61,DraftTracker!F:K,5,0)+(VLOOKUP(D61,DraftTracker!F:K,6,0)-VLOOKUP(D61,DraftTracker!F:K,5,0))*0.5,"")</f>
        <v>2.5</v>
      </c>
      <c r="K61">
        <f>VLOOKUP(D61,'Current Week'!B:D,3,0)</f>
        <v>3</v>
      </c>
      <c r="L61">
        <f>IFERROR(__xludf.DUMMYFUNCTION("iferror(max(filter(H:H,G:G&gt;G61,E:E=E61)),0)"),8.0)</f>
        <v>8</v>
      </c>
      <c r="M61">
        <f>IFERROR(__xludf.DUMMYFUNCTION("iferror(countif(filter(H:H,G:G&lt;G61,E:E=E61),""&lt;""&amp;H61),0)"),4.0)</f>
        <v>4</v>
      </c>
      <c r="N61">
        <f t="shared" si="1"/>
        <v>0</v>
      </c>
      <c r="O61">
        <f t="shared" si="2"/>
        <v>0</v>
      </c>
      <c r="P61">
        <f t="shared" si="3"/>
        <v>1</v>
      </c>
      <c r="Q61" t="b">
        <f>IFERROR(__xludf.DUMMYFUNCTION("N61=max(filter(N:N,F:F=F61,E:E&lt;&gt;""MWC""))"),FALSE)</f>
        <v>0</v>
      </c>
      <c r="R61">
        <f>IFERROR(__xludf.DUMMYFUNCTION("iferror(if(P61=1,H61-MIN(filter(H:H,G:G&lt;G61,E:E=E61,H:H&lt;H61)),""""),"""")"),5.0)</f>
        <v>5</v>
      </c>
    </row>
    <row r="62">
      <c r="A62" s="1" t="s">
        <v>1438</v>
      </c>
      <c r="B62" s="1" t="s">
        <v>1606</v>
      </c>
      <c r="D62" s="1" t="s">
        <v>131</v>
      </c>
      <c r="E62" t="str">
        <f>iferror(vlookup(D62,'Teams-Conference'!C:D,2,0),"Independent")</f>
        <v>CUSA</v>
      </c>
      <c r="F62" t="str">
        <f>iferror(offset(DraftTracker!D$1,match(D62,DraftTracker!F:F,0)-1,0),"")</f>
        <v>Josh R.</v>
      </c>
      <c r="G62">
        <f>iferror(match(D62,DraftTracker!F$2:F131,0),counta(DraftTracker!F:F))</f>
        <v>63</v>
      </c>
      <c r="H62" s="169">
        <f>VLOOKUP(D62,'Current Week'!B:D,2,0)</f>
        <v>7</v>
      </c>
      <c r="I62">
        <f>iferror(VLOOKUP(D62,DraftTracker!F:I,3,0)+if((VLOOKUP(D62,DraftTracker!F:I,4,0)-VLOOKUP(D62,DraftTracker!F:I,3,0))&gt;0,(VLOOKUP(D62,DraftTracker!F:I,4,0)-VLOOKUP(D62,DraftTracker!F:I,3,0)),0)*0.5,"")</f>
        <v>1</v>
      </c>
      <c r="J62" s="198">
        <f>iferror(VLOOKUP(D62,DraftTracker!F:K,5,0)+(VLOOKUP(D62,DraftTracker!F:K,6,0)-VLOOKUP(D62,DraftTracker!F:K,5,0))*0.5,"")</f>
        <v>2</v>
      </c>
      <c r="K62">
        <f>VLOOKUP(D62,'Current Week'!B:D,3,0)</f>
        <v>5</v>
      </c>
      <c r="L62">
        <f>IFERROR(__xludf.DUMMYFUNCTION("iferror(max(filter(H:H,G:G&gt;G62,E:E=E62)),0)"),9.0)</f>
        <v>9</v>
      </c>
      <c r="M62">
        <f>IFERROR(__xludf.DUMMYFUNCTION("iferror(countif(filter(H:H,G:G&lt;G62,E:E=E62),""&lt;""&amp;H62),0)"),2.0)</f>
        <v>2</v>
      </c>
      <c r="N62" s="169">
        <f t="shared" si="1"/>
        <v>2</v>
      </c>
      <c r="O62">
        <f t="shared" si="2"/>
        <v>1</v>
      </c>
      <c r="P62">
        <f t="shared" si="3"/>
        <v>0</v>
      </c>
      <c r="Q62" t="b">
        <f>IFERROR(__xludf.DUMMYFUNCTION("N62=max(filter(N:N,F:F=F62,E:E&lt;&gt;""MWC""))"),FALSE)</f>
        <v>0</v>
      </c>
      <c r="R62" t="str">
        <f>IFERROR(__xludf.DUMMYFUNCTION("iferror(if(P62=1,H62-MIN(filter(H:H,G:G&lt;G62,E:E=E62,H:H&lt;H62)),""""),"""")"),"")</f>
        <v/>
      </c>
    </row>
    <row r="63">
      <c r="A63" s="1" t="s">
        <v>1437</v>
      </c>
      <c r="B63" s="1" t="s">
        <v>1544</v>
      </c>
      <c r="D63" s="1" t="s">
        <v>130</v>
      </c>
      <c r="E63" t="str">
        <f>iferror(vlookup(D63,'Teams-Conference'!C:D,2,0),"Independent")</f>
        <v>CUSA</v>
      </c>
      <c r="F63" t="str">
        <f>iferror(offset(DraftTracker!D$1,match(D63,DraftTracker!F:F,0)-1,0),"")</f>
        <v>Undrafted</v>
      </c>
      <c r="G63">
        <f>iferror(match(D63,DraftTracker!F$2:F131,0),counta(DraftTracker!F:F))</f>
        <v>125</v>
      </c>
      <c r="H63" s="1">
        <v>2.0</v>
      </c>
      <c r="I63">
        <f>iferror(VLOOKUP(D63,DraftTracker!F:I,3,0)+if((VLOOKUP(D63,DraftTracker!F:I,4,0)-VLOOKUP(D63,DraftTracker!F:I,3,0))&gt;0,(VLOOKUP(D63,DraftTracker!F:I,4,0)-VLOOKUP(D63,DraftTracker!F:I,3,0)),0)*0.5,"")</f>
        <v>1</v>
      </c>
      <c r="J63" s="198">
        <f>iferror(VLOOKUP(D63,DraftTracker!F:K,5,0)+(VLOOKUP(D63,DraftTracker!F:K,6,0)-VLOOKUP(D63,DraftTracker!F:K,5,0))*0.5,"")</f>
        <v>0.5</v>
      </c>
      <c r="K63" s="1">
        <v>11.0</v>
      </c>
      <c r="L63">
        <f>IFERROR(__xludf.DUMMYFUNCTION("iferror(max(filter(H:H,G:G&gt;G63,E:E=E63)),0)"),1.0)</f>
        <v>1</v>
      </c>
      <c r="M63">
        <f>IFERROR(__xludf.DUMMYFUNCTION("iferror(countif(filter(H:H,G:G&lt;G63,E:E=E63),""&lt;""&amp;H63),0)"),1.0)</f>
        <v>1</v>
      </c>
      <c r="N63">
        <f t="shared" si="1"/>
        <v>0</v>
      </c>
      <c r="O63">
        <f t="shared" si="2"/>
        <v>0</v>
      </c>
      <c r="P63">
        <f t="shared" si="3"/>
        <v>1</v>
      </c>
      <c r="Q63" t="b">
        <f>IFERROR(__xludf.DUMMYFUNCTION("N63=max(filter(N:N,F:F=F63,E:E&lt;&gt;""MWC""))"),FALSE)</f>
        <v>0</v>
      </c>
      <c r="R63">
        <f>IFERROR(__xludf.DUMMYFUNCTION("iferror(if(P63=1,H63-MIN(filter(H:H,G:G&lt;G63,E:E=E63,H:H&lt;H63)),""""),"""")"),1.0)</f>
        <v>1</v>
      </c>
    </row>
    <row r="64">
      <c r="A64" s="1" t="s">
        <v>133</v>
      </c>
      <c r="B64" s="1" t="s">
        <v>1607</v>
      </c>
      <c r="D64" s="1" t="s">
        <v>133</v>
      </c>
      <c r="E64" t="str">
        <f>iferror(vlookup(D64,'Teams-Conference'!C:D,2,0),"Independent")</f>
        <v>CUSA</v>
      </c>
      <c r="F64" t="str">
        <f>iferror(offset(DraftTracker!D$1,match(D64,DraftTracker!F:F,0)-1,0),"")</f>
        <v>Undrafted</v>
      </c>
      <c r="G64">
        <f>iferror(match(D64,DraftTracker!F$2:F131,0),counta(DraftTracker!F:F))</f>
        <v>128</v>
      </c>
      <c r="H64" s="1">
        <v>1.0</v>
      </c>
      <c r="I64">
        <f>iferror(VLOOKUP(D64,DraftTracker!F:I,3,0)+if((VLOOKUP(D64,DraftTracker!F:I,4,0)-VLOOKUP(D64,DraftTracker!F:I,3,0))&gt;0,(VLOOKUP(D64,DraftTracker!F:I,4,0)-VLOOKUP(D64,DraftTracker!F:I,3,0)),0)*0.5,"")</f>
        <v>0</v>
      </c>
      <c r="J64" s="198">
        <f>iferror(VLOOKUP(D64,DraftTracker!F:K,5,0)+(VLOOKUP(D64,DraftTracker!F:K,6,0)-VLOOKUP(D64,DraftTracker!F:K,5,0))*0.5,"")</f>
        <v>1</v>
      </c>
      <c r="K64" s="1">
        <v>11.0</v>
      </c>
      <c r="L64">
        <f>IFERROR(__xludf.DUMMYFUNCTION("iferror(max(filter(H:H,G:G&gt;G64,E:E=E64)),0)"),0.0)</f>
        <v>0</v>
      </c>
      <c r="M64">
        <f>IFERROR(__xludf.DUMMYFUNCTION("iferror(countif(filter(H:H,G:G&lt;G64,E:E=E64),""&lt;""&amp;H64),0)"),0.0)</f>
        <v>0</v>
      </c>
      <c r="N64">
        <f t="shared" si="1"/>
        <v>0</v>
      </c>
      <c r="O64">
        <f t="shared" si="2"/>
        <v>0</v>
      </c>
      <c r="P64">
        <f t="shared" si="3"/>
        <v>0</v>
      </c>
      <c r="Q64" t="b">
        <f>IFERROR(__xludf.DUMMYFUNCTION("N64=max(filter(N:N,F:F=F64,E:E&lt;&gt;""MWC""))"),FALSE)</f>
        <v>0</v>
      </c>
      <c r="R64" t="str">
        <f>IFERROR(__xludf.DUMMYFUNCTION("iferror(if(P64=1,H64-MIN(filter(H:H,G:G&lt;G64,E:E=E64,H:H&lt;H64)),""""),"""")"),"")</f>
        <v/>
      </c>
    </row>
    <row r="65">
      <c r="A65" s="1" t="s">
        <v>134</v>
      </c>
      <c r="B65" s="1" t="s">
        <v>1608</v>
      </c>
      <c r="D65" s="1" t="s">
        <v>134</v>
      </c>
      <c r="E65" t="str">
        <f>iferror(vlookup(D65,'Teams-Conference'!C:D,2,0),"Independent")</f>
        <v>CUSA</v>
      </c>
      <c r="F65" t="str">
        <f>iferror(offset(DraftTracker!D$1,match(D65,DraftTracker!F:F,0)-1,0),"")</f>
        <v>DavEmily</v>
      </c>
      <c r="G65">
        <f>iferror(match(D65,DraftTracker!F$2:F131,0),counta(DraftTracker!F:F))</f>
        <v>120</v>
      </c>
      <c r="H65" s="169">
        <f>VLOOKUP(D65,'Current Week'!B:D,2,0)</f>
        <v>4</v>
      </c>
      <c r="I65">
        <f>iferror(VLOOKUP(D65,DraftTracker!F:I,3,0)+if((VLOOKUP(D65,DraftTracker!F:I,4,0)-VLOOKUP(D65,DraftTracker!F:I,3,0))&gt;0,(VLOOKUP(D65,DraftTracker!F:I,4,0)-VLOOKUP(D65,DraftTracker!F:I,3,0)),0)*0.5,"")</f>
        <v>2</v>
      </c>
      <c r="J65" s="198">
        <f>iferror(VLOOKUP(D65,DraftTracker!F:K,5,0)+(VLOOKUP(D65,DraftTracker!F:K,6,0)-VLOOKUP(D65,DraftTracker!F:K,5,0))*0.5,"")</f>
        <v>0</v>
      </c>
      <c r="K65">
        <f>VLOOKUP(D65,'Current Week'!B:D,3,0)</f>
        <v>8</v>
      </c>
      <c r="L65">
        <f>IFERROR(__xludf.DUMMYFUNCTION("iferror(max(filter(H:H,G:G&gt;G65,E:E=E65)),0)"),2.0)</f>
        <v>2</v>
      </c>
      <c r="M65">
        <f>IFERROR(__xludf.DUMMYFUNCTION("iferror(countif(filter(H:H,G:G&lt;G65,E:E=E65),""&lt;""&amp;H65),0)"),1.0)</f>
        <v>1</v>
      </c>
      <c r="N65">
        <f t="shared" si="1"/>
        <v>0</v>
      </c>
      <c r="O65">
        <f t="shared" si="2"/>
        <v>0</v>
      </c>
      <c r="P65">
        <f t="shared" si="3"/>
        <v>1</v>
      </c>
      <c r="Q65" t="b">
        <f>IFERROR(__xludf.DUMMYFUNCTION("N65=max(filter(N:N,F:F=F65,E:E&lt;&gt;""MWC""))"),FALSE)</f>
        <v>0</v>
      </c>
      <c r="R65">
        <f>IFERROR(__xludf.DUMMYFUNCTION("iferror(if(P65=1,H65-MIN(filter(H:H,G:G&lt;G65,E:E=E65,H:H&lt;H65)),""""),"""")"),3.0)</f>
        <v>3</v>
      </c>
    </row>
    <row r="66">
      <c r="A66" s="1" t="s">
        <v>1499</v>
      </c>
      <c r="B66" s="1" t="s">
        <v>1609</v>
      </c>
      <c r="D66" s="1" t="s">
        <v>107</v>
      </c>
      <c r="E66" t="str">
        <f>iferror(vlookup(D66,'Teams-Conference'!C:D,2,0),"Independent")</f>
        <v>Big 12</v>
      </c>
      <c r="F66" t="str">
        <f>iferror(offset(DraftTracker!D$1,match(D66,DraftTracker!F:F,0)-1,0),"")</f>
        <v>DavEmily</v>
      </c>
      <c r="G66">
        <f>iferror(match(D66,DraftTracker!F$2:F131,0),counta(DraftTracker!F:F))</f>
        <v>24</v>
      </c>
      <c r="H66" s="169">
        <f>VLOOKUP(D66,'Current Week'!B:D,2,0)</f>
        <v>10</v>
      </c>
      <c r="I66">
        <f>iferror(VLOOKUP(D66,DraftTracker!F:I,3,0)+if((VLOOKUP(D66,DraftTracker!F:I,4,0)-VLOOKUP(D66,DraftTracker!F:I,3,0))&gt;0,(VLOOKUP(D66,DraftTracker!F:I,4,0)-VLOOKUP(D66,DraftTracker!F:I,3,0)),0)*0.5,"")</f>
        <v>0</v>
      </c>
      <c r="J66" s="198">
        <f>iferror(VLOOKUP(D66,DraftTracker!F:K,5,0)+(VLOOKUP(D66,DraftTracker!F:K,6,0)-VLOOKUP(D66,DraftTracker!F:K,5,0))*0.5,"")</f>
        <v>1</v>
      </c>
      <c r="K66">
        <f>VLOOKUP(D66,'Current Week'!B:D,3,0)</f>
        <v>2</v>
      </c>
      <c r="L66">
        <f>IFERROR(__xludf.DUMMYFUNCTION("iferror(max(filter(H:H,G:G&gt;G66,E:E=E66)),0)"),11.0)</f>
        <v>11</v>
      </c>
      <c r="M66">
        <f>IFERROR(__xludf.DUMMYFUNCTION("iferror(countif(filter(H:H,G:G&lt;G66,E:E=E66),""&lt;""&amp;H66),0)"),1.0)</f>
        <v>1</v>
      </c>
      <c r="N66" s="169">
        <f t="shared" si="1"/>
        <v>1</v>
      </c>
      <c r="O66">
        <f t="shared" si="2"/>
        <v>1</v>
      </c>
      <c r="P66">
        <f t="shared" si="3"/>
        <v>0</v>
      </c>
      <c r="Q66" t="b">
        <f>IFERROR(__xludf.DUMMYFUNCTION("N66=max(filter(N:N,F:F=F66,E:E&lt;&gt;""MWC""))"),FALSE)</f>
        <v>0</v>
      </c>
      <c r="R66" t="str">
        <f>IFERROR(__xludf.DUMMYFUNCTION("iferror(if(P66=1,H66-MIN(filter(H:H,G:G&lt;G66,E:E=E66,H:H&lt;H66)),""""),"""")"),"")</f>
        <v/>
      </c>
    </row>
    <row r="67">
      <c r="A67" s="1" t="s">
        <v>1496</v>
      </c>
      <c r="B67" s="1" t="s">
        <v>1543</v>
      </c>
      <c r="D67" s="1" t="s">
        <v>196</v>
      </c>
      <c r="E67" t="str">
        <f>iferror(vlookup(D67,'Teams-Conference'!C:D,2,0),"Independent")</f>
        <v>Independent</v>
      </c>
      <c r="F67" t="str">
        <f>iferror(offset(DraftTracker!D$1,match(D67,DraftTracker!F:F,0)-1,0),"")</f>
        <v>Josh R.</v>
      </c>
      <c r="G67">
        <f>iferror(match(D67,DraftTracker!F$2:F131,0),counta(DraftTracker!F:F))</f>
        <v>10</v>
      </c>
      <c r="H67" s="169">
        <f>VLOOKUP(D67,'Current Week'!B:D,2,0)</f>
        <v>5</v>
      </c>
      <c r="I67">
        <f>iferror(VLOOKUP(D67,DraftTracker!F:I,3,0)+if((VLOOKUP(D67,DraftTracker!F:I,4,0)-VLOOKUP(D67,DraftTracker!F:I,3,0))&gt;0,(VLOOKUP(D67,DraftTracker!F:I,4,0)-VLOOKUP(D67,DraftTracker!F:I,3,0)),0)*0.5,"")</f>
        <v>3.5</v>
      </c>
      <c r="J67" s="198">
        <f>iferror(VLOOKUP(D67,DraftTracker!F:K,5,0)+(VLOOKUP(D67,DraftTracker!F:K,6,0)-VLOOKUP(D67,DraftTracker!F:K,5,0))*0.5,"")</f>
        <v>0</v>
      </c>
      <c r="K67">
        <f>VLOOKUP(D67,'Current Week'!B:D,3,0)</f>
        <v>8</v>
      </c>
      <c r="L67">
        <f>IFERROR(__xludf.DUMMYFUNCTION("iferror(max(filter(H:H,G:G&gt;G67,E:E=E67)),0)"),7.0)</f>
        <v>7</v>
      </c>
      <c r="M67">
        <f>IFERROR(__xludf.DUMMYFUNCTION("iferror(countif(filter(H:H,G:G&lt;G67,E:E=E67),""&lt;""&amp;H67),0)"),0.0)</f>
        <v>0</v>
      </c>
      <c r="N67" s="169">
        <f t="shared" si="1"/>
        <v>2</v>
      </c>
      <c r="O67">
        <f t="shared" si="2"/>
        <v>1</v>
      </c>
      <c r="P67">
        <f t="shared" si="3"/>
        <v>0</v>
      </c>
      <c r="Q67" t="b">
        <f>IFERROR(__xludf.DUMMYFUNCTION("N67=max(filter(N:N,F:F=F67,E:E&lt;&gt;""MWC""))"),FALSE)</f>
        <v>0</v>
      </c>
      <c r="R67" t="str">
        <f>IFERROR(__xludf.DUMMYFUNCTION("iferror(if(P67=1,H67-MIN(filter(H:H,G:G&lt;G67,E:E=E67,H:H&lt;H67)),""""),"""")"),"")</f>
        <v/>
      </c>
    </row>
    <row r="68">
      <c r="A68" s="1" t="s">
        <v>109</v>
      </c>
      <c r="B68" s="1" t="s">
        <v>1551</v>
      </c>
      <c r="D68" s="1" t="s">
        <v>109</v>
      </c>
      <c r="E68" t="str">
        <f>iferror(vlookup(D68,'Teams-Conference'!C:D,2,0),"Independent")</f>
        <v>Independent</v>
      </c>
      <c r="F68" t="str">
        <f>iferror(offset(DraftTracker!D$1,match(D68,DraftTracker!F:F,0)-1,0),"")</f>
        <v>Gary</v>
      </c>
      <c r="G68">
        <f>iferror(match(D68,DraftTracker!F$2:F131,0),counta(DraftTracker!F:F))</f>
        <v>75</v>
      </c>
      <c r="H68" s="169">
        <f>VLOOKUP(D68,'Current Week'!B:D,2,0)</f>
        <v>7</v>
      </c>
      <c r="I68">
        <f>iferror(VLOOKUP(D68,DraftTracker!F:I,3,0)+if((VLOOKUP(D68,DraftTracker!F:I,4,0)-VLOOKUP(D68,DraftTracker!F:I,3,0))&gt;0,(VLOOKUP(D68,DraftTracker!F:I,4,0)-VLOOKUP(D68,DraftTracker!F:I,3,0)),0)*0.5,"")</f>
        <v>2</v>
      </c>
      <c r="J68" s="198">
        <f>iferror(VLOOKUP(D68,DraftTracker!F:K,5,0)+(VLOOKUP(D68,DraftTracker!F:K,6,0)-VLOOKUP(D68,DraftTracker!F:K,5,0))*0.5,"")</f>
        <v>2.5</v>
      </c>
      <c r="K68">
        <f>VLOOKUP(D68,'Current Week'!B:D,3,0)</f>
        <v>5</v>
      </c>
      <c r="L68">
        <f>IFERROR(__xludf.DUMMYFUNCTION("iferror(max(filter(H:H,G:G&gt;G68,E:E=E68)),0)"),5.0)</f>
        <v>5</v>
      </c>
      <c r="M68">
        <f>IFERROR(__xludf.DUMMYFUNCTION("iferror(countif(filter(H:H,G:G&lt;G68,E:E=E68),""&lt;""&amp;H68),0)"),1.0)</f>
        <v>1</v>
      </c>
      <c r="N68">
        <f t="shared" si="1"/>
        <v>0</v>
      </c>
      <c r="O68">
        <f t="shared" si="2"/>
        <v>0</v>
      </c>
      <c r="P68">
        <f t="shared" si="3"/>
        <v>1</v>
      </c>
      <c r="Q68" t="b">
        <f>IFERROR(__xludf.DUMMYFUNCTION("N68=max(filter(N:N,F:F=F68,E:E&lt;&gt;""MWC""))"),FALSE)</f>
        <v>0</v>
      </c>
      <c r="R68">
        <f>IFERROR(__xludf.DUMMYFUNCTION("iferror(if(P68=1,H68-MIN(filter(H:H,G:G&lt;G68,E:E=E68,H:H&lt;H68)),""""),"""")"),2.0)</f>
        <v>2</v>
      </c>
    </row>
    <row r="69">
      <c r="A69" s="1" t="s">
        <v>1497</v>
      </c>
      <c r="B69" s="1" t="s">
        <v>1610</v>
      </c>
      <c r="D69" s="1" t="s">
        <v>197</v>
      </c>
      <c r="E69" t="str">
        <f>iferror(vlookup(D69,'Teams-Conference'!C:D,2,0),"Independent")</f>
        <v>Independent</v>
      </c>
      <c r="F69" t="str">
        <f>iferror(offset(DraftTracker!D$1,match(D69,DraftTracker!F:F,0)-1,0),"")</f>
        <v/>
      </c>
      <c r="G69">
        <f>iferror(match(D69,DraftTracker!F$2:F131,0),counta(DraftTracker!F:F))</f>
        <v>129</v>
      </c>
      <c r="H69" s="1">
        <v>5.0</v>
      </c>
      <c r="I69" t="str">
        <f>iferror(VLOOKUP(D69,DraftTracker!F:I,3,0)+if((VLOOKUP(D69,DraftTracker!F:I,4,0)-VLOOKUP(D69,DraftTracker!F:I,3,0))&gt;0,(VLOOKUP(D69,DraftTracker!F:I,4,0)-VLOOKUP(D69,DraftTracker!F:I,3,0)),0)*0.5,"")</f>
        <v/>
      </c>
      <c r="J69" s="198" t="str">
        <f>iferror(VLOOKUP(D69,DraftTracker!F:K,5,0)+(VLOOKUP(D69,DraftTracker!F:K,6,0)-VLOOKUP(D69,DraftTracker!F:K,5,0))*0.5,"")</f>
        <v/>
      </c>
      <c r="K69" s="1">
        <v>1.0</v>
      </c>
      <c r="L69">
        <f>IFERROR(__xludf.DUMMYFUNCTION("iferror(max(filter(H:H,G:G&gt;G69,E:E=E69)),0)"),0.0)</f>
        <v>0</v>
      </c>
      <c r="M69">
        <f>IFERROR(__xludf.DUMMYFUNCTION("iferror(countif(filter(H:H,G:G&lt;G69,E:E=E69),""&lt;""&amp;H69),0)"),0.0)</f>
        <v>0</v>
      </c>
      <c r="N69">
        <f t="shared" si="1"/>
        <v>0</v>
      </c>
      <c r="O69">
        <f t="shared" si="2"/>
        <v>0</v>
      </c>
      <c r="P69">
        <f t="shared" si="3"/>
        <v>0</v>
      </c>
      <c r="Q69" t="b">
        <f>IFERROR(__xludf.DUMMYFUNCTION("N69=max(filter(N:N,F:F=F69,E:E&lt;&gt;""MWC""))"),TRUE)</f>
        <v>1</v>
      </c>
      <c r="R69" t="str">
        <f>IFERROR(__xludf.DUMMYFUNCTION("iferror(if(P69=1,H69-MIN(filter(H:H,G:G&lt;G69,E:E=E69,H:H&lt;H69)),""""),"""")"),"")</f>
        <v/>
      </c>
    </row>
    <row r="70">
      <c r="A70" s="1" t="s">
        <v>66</v>
      </c>
      <c r="B70" s="1" t="s">
        <v>1611</v>
      </c>
      <c r="D70" s="1" t="s">
        <v>1612</v>
      </c>
      <c r="E70" t="str">
        <f>iferror(vlookup(D70,'Teams-Conference'!C:D,2,0),"Independent")</f>
        <v>Independent</v>
      </c>
      <c r="F70" t="str">
        <f>iferror(offset(DraftTracker!D$1,match(D70,DraftTracker!F:F,0)-1,0),"")</f>
        <v/>
      </c>
      <c r="G70">
        <f>iferror(match(D70,DraftTracker!F$2:F131,0),counta(DraftTracker!F:F))</f>
        <v>129</v>
      </c>
      <c r="H70" s="1">
        <v>3.0</v>
      </c>
      <c r="I70" t="str">
        <f>iferror(VLOOKUP(D70,DraftTracker!F:I,3,0)+if((VLOOKUP(D70,DraftTracker!F:I,4,0)-VLOOKUP(D70,DraftTracker!F:I,3,0))&gt;0,(VLOOKUP(D70,DraftTracker!F:I,4,0)-VLOOKUP(D70,DraftTracker!F:I,3,0)),0)*0.5,"")</f>
        <v/>
      </c>
      <c r="J70" s="198" t="str">
        <f>iferror(VLOOKUP(D70,DraftTracker!F:K,5,0)+(VLOOKUP(D70,DraftTracker!F:K,6,0)-VLOOKUP(D70,DraftTracker!F:K,5,0))*0.5,"")</f>
        <v/>
      </c>
      <c r="K70" s="1">
        <v>3.0</v>
      </c>
      <c r="L70">
        <f>IFERROR(__xludf.DUMMYFUNCTION("iferror(max(filter(H:H,G:G&gt;G70,E:E=E70)),0)"),0.0)</f>
        <v>0</v>
      </c>
      <c r="M70">
        <f>IFERROR(__xludf.DUMMYFUNCTION("iferror(countif(filter(H:H,G:G&lt;G70,E:E=E70),""&lt;""&amp;H70),0)"),0.0)</f>
        <v>0</v>
      </c>
      <c r="N70">
        <f t="shared" si="1"/>
        <v>0</v>
      </c>
      <c r="O70">
        <f t="shared" si="2"/>
        <v>0</v>
      </c>
      <c r="P70">
        <f t="shared" si="3"/>
        <v>0</v>
      </c>
      <c r="Q70" t="b">
        <f>IFERROR(__xludf.DUMMYFUNCTION("N70=max(filter(N:N,F:F=F70,E:E&lt;&gt;""MWC""))"),TRUE)</f>
        <v>1</v>
      </c>
      <c r="R70" t="str">
        <f>IFERROR(__xludf.DUMMYFUNCTION("iferror(if(P70=1,H70-MIN(filter(H:H,G:G&lt;G70,E:E=E70,H:H&lt;H70)),""""),"""")"),"")</f>
        <v/>
      </c>
    </row>
    <row r="71">
      <c r="A71" s="1" t="s">
        <v>1498</v>
      </c>
      <c r="B71" s="1" t="s">
        <v>1613</v>
      </c>
      <c r="D71" s="1" t="s">
        <v>198</v>
      </c>
      <c r="E71" t="str">
        <f>iferror(vlookup(D71,'Teams-Conference'!C:D,2,0),"Independent")</f>
        <v>Sun Belt</v>
      </c>
      <c r="F71" t="str">
        <f>iferror(offset(DraftTracker!D$1,match(D71,DraftTracker!F:F,0)-1,0),"")</f>
        <v>Nick A.</v>
      </c>
      <c r="G71">
        <f>iferror(match(D71,DraftTracker!F$2:F131,0),counta(DraftTracker!F:F))</f>
        <v>98</v>
      </c>
      <c r="H71" s="169">
        <f>VLOOKUP(D71,'Current Week'!B:D,2,0)</f>
        <v>2</v>
      </c>
      <c r="I71">
        <f>iferror(VLOOKUP(D71,DraftTracker!F:I,3,0)+if((VLOOKUP(D71,DraftTracker!F:I,4,0)-VLOOKUP(D71,DraftTracker!F:I,3,0))&gt;0,(VLOOKUP(D71,DraftTracker!F:I,4,0)-VLOOKUP(D71,DraftTracker!F:I,3,0)),0)*0.5,"")</f>
        <v>0.5</v>
      </c>
      <c r="J71" s="198">
        <f>iferror(VLOOKUP(D71,DraftTracker!F:K,5,0)+(VLOOKUP(D71,DraftTracker!F:K,6,0)-VLOOKUP(D71,DraftTracker!F:K,5,0))*0.5,"")</f>
        <v>1</v>
      </c>
      <c r="K71">
        <f>VLOOKUP(D71,'Current Week'!B:D,3,0)</f>
        <v>10</v>
      </c>
      <c r="L71">
        <f>IFERROR(__xludf.DUMMYFUNCTION("iferror(max(filter(H:H,G:G&gt;G71,E:E=E71)),0)"),2.0)</f>
        <v>2</v>
      </c>
      <c r="M71">
        <f>IFERROR(__xludf.DUMMYFUNCTION("iferror(countif(filter(H:H,G:G&lt;G71,E:E=E71),""&lt;""&amp;H71),0)"),0.0)</f>
        <v>0</v>
      </c>
      <c r="N71">
        <f t="shared" si="1"/>
        <v>0</v>
      </c>
      <c r="O71">
        <f t="shared" si="2"/>
        <v>0</v>
      </c>
      <c r="P71">
        <f t="shared" si="3"/>
        <v>0</v>
      </c>
      <c r="Q71" t="b">
        <f>IFERROR(__xludf.DUMMYFUNCTION("N71=max(filter(N:N,F:F=F71,E:E&lt;&gt;""MWC""))"),FALSE)</f>
        <v>0</v>
      </c>
      <c r="R71" t="str">
        <f>IFERROR(__xludf.DUMMYFUNCTION("iferror(if(P71=1,H71-MIN(filter(H:H,G:G&lt;G71,E:E=E71,H:H&lt;H71)),""""),"""")"),"")</f>
        <v/>
      </c>
    </row>
    <row r="72">
      <c r="A72" s="1" t="s">
        <v>1444</v>
      </c>
      <c r="B72" s="1" t="s">
        <v>1546</v>
      </c>
      <c r="D72" s="1" t="s">
        <v>140</v>
      </c>
      <c r="E72" t="str">
        <f>iferror(vlookup(D72,'Teams-Conference'!C:D,2,0),"Independent")</f>
        <v>MAC</v>
      </c>
      <c r="F72" t="str">
        <f>iferror(offset(DraftTracker!D$1,match(D72,DraftTracker!F:F,0)-1,0),"")</f>
        <v>Justin</v>
      </c>
      <c r="G72">
        <f>iferror(match(D72,DraftTracker!F$2:F131,0),counta(DraftTracker!F:F))</f>
        <v>42</v>
      </c>
      <c r="H72" s="169">
        <f>VLOOKUP(D72,'Current Week'!B:D,2,0)</f>
        <v>7</v>
      </c>
      <c r="I72">
        <f>iferror(VLOOKUP(D72,DraftTracker!F:I,3,0)+if((VLOOKUP(D72,DraftTracker!F:I,4,0)-VLOOKUP(D72,DraftTracker!F:I,3,0))&gt;0,(VLOOKUP(D72,DraftTracker!F:I,4,0)-VLOOKUP(D72,DraftTracker!F:I,3,0)),0)*0.5,"")</f>
        <v>1</v>
      </c>
      <c r="J72" s="198">
        <f>iferror(VLOOKUP(D72,DraftTracker!F:K,5,0)+(VLOOKUP(D72,DraftTracker!F:K,6,0)-VLOOKUP(D72,DraftTracker!F:K,5,0))*0.5,"")</f>
        <v>2.5</v>
      </c>
      <c r="K72">
        <f>VLOOKUP(D72,'Current Week'!B:D,3,0)</f>
        <v>5</v>
      </c>
      <c r="L72">
        <f>IFERROR(__xludf.DUMMYFUNCTION("iferror(max(filter(H:H,G:G&gt;G72,E:E=E72)),0)"),8.0)</f>
        <v>8</v>
      </c>
      <c r="M72">
        <f>IFERROR(__xludf.DUMMYFUNCTION("iferror(countif(filter(H:H,G:G&lt;G72,E:E=E72),""&lt;""&amp;H72),0)"),4.0)</f>
        <v>4</v>
      </c>
      <c r="N72" s="169">
        <f t="shared" si="1"/>
        <v>1</v>
      </c>
      <c r="O72">
        <f t="shared" si="2"/>
        <v>1</v>
      </c>
      <c r="P72">
        <f t="shared" si="3"/>
        <v>0</v>
      </c>
      <c r="Q72" t="b">
        <f>IFERROR(__xludf.DUMMYFUNCTION("N72=max(filter(N:N,F:F=F72,E:E&lt;&gt;""MWC""))"),FALSE)</f>
        <v>0</v>
      </c>
      <c r="R72" t="str">
        <f>IFERROR(__xludf.DUMMYFUNCTION("iferror(if(P72=1,H72-MIN(filter(H:H,G:G&lt;G72,E:E=E72,H:H&lt;H72)),""""),"""")"),"")</f>
        <v/>
      </c>
    </row>
    <row r="73">
      <c r="A73" s="1" t="s">
        <v>1614</v>
      </c>
      <c r="B73" s="1" t="s">
        <v>1615</v>
      </c>
      <c r="D73" s="1" t="s">
        <v>137</v>
      </c>
      <c r="E73" t="str">
        <f>iferror(vlookup(D73,'Teams-Conference'!C:D,2,0),"Independent")</f>
        <v>MAC</v>
      </c>
      <c r="F73" t="str">
        <f>iferror(offset(DraftTracker!D$1,match(D73,DraftTracker!F:F,0)-1,0),"")</f>
        <v>Adam</v>
      </c>
      <c r="G73">
        <f>iferror(match(D73,DraftTracker!F$2:F131,0),counta(DraftTracker!F:F))</f>
        <v>113</v>
      </c>
      <c r="H73" s="169">
        <f>VLOOKUP(D73,'Current Week'!B:D,2,0)</f>
        <v>0</v>
      </c>
      <c r="I73">
        <f>iferror(VLOOKUP(D73,DraftTracker!F:I,3,0)+if((VLOOKUP(D73,DraftTracker!F:I,4,0)-VLOOKUP(D73,DraftTracker!F:I,3,0))&gt;0,(VLOOKUP(D73,DraftTracker!F:I,4,0)-VLOOKUP(D73,DraftTracker!F:I,3,0)),0)*0.5,"")</f>
        <v>1</v>
      </c>
      <c r="J73" s="198">
        <f>iferror(VLOOKUP(D73,DraftTracker!F:K,5,0)+(VLOOKUP(D73,DraftTracker!F:K,6,0)-VLOOKUP(D73,DraftTracker!F:K,5,0))*0.5,"")</f>
        <v>2</v>
      </c>
      <c r="K73">
        <f>VLOOKUP(D73,'Current Week'!B:D,3,0)</f>
        <v>12</v>
      </c>
      <c r="L73">
        <f>IFERROR(__xludf.DUMMYFUNCTION("iferror(max(filter(H:H,G:G&gt;G73,E:E=E73)),0)"),3.0)</f>
        <v>3</v>
      </c>
      <c r="M73">
        <f>IFERROR(__xludf.DUMMYFUNCTION("iferror(countif(filter(H:H,G:G&lt;G73,E:E=E73),""&lt;""&amp;H73),0)"),0.0)</f>
        <v>0</v>
      </c>
      <c r="N73" s="169">
        <f t="shared" si="1"/>
        <v>3</v>
      </c>
      <c r="O73">
        <f t="shared" si="2"/>
        <v>1</v>
      </c>
      <c r="P73">
        <f t="shared" si="3"/>
        <v>0</v>
      </c>
      <c r="Q73" t="b">
        <f>IFERROR(__xludf.DUMMYFUNCTION("N73=max(filter(N:N,F:F=F73,E:E&lt;&gt;""MWC""))"),FALSE)</f>
        <v>0</v>
      </c>
      <c r="R73" t="str">
        <f>IFERROR(__xludf.DUMMYFUNCTION("iferror(if(P73=1,H73-MIN(filter(H:H,G:G&lt;G73,E:E=E73,H:H&lt;H73)),""""),"""")"),"")</f>
        <v/>
      </c>
    </row>
    <row r="74">
      <c r="A74" s="1" t="s">
        <v>1449</v>
      </c>
      <c r="B74" s="1" t="s">
        <v>1616</v>
      </c>
      <c r="D74" s="1" t="s">
        <v>146</v>
      </c>
      <c r="E74" t="str">
        <f>iferror(vlookup(D74,'Teams-Conference'!C:D,2,0),"Independent")</f>
        <v>MAC</v>
      </c>
      <c r="F74" t="str">
        <f>iferror(offset(DraftTracker!D$1,match(D74,DraftTracker!F:F,0)-1,0),"")</f>
        <v>Gary</v>
      </c>
      <c r="G74">
        <f>iferror(match(D74,DraftTracker!F$2:F131,0),counta(DraftTracker!F:F))</f>
        <v>3</v>
      </c>
      <c r="H74" s="169">
        <f>VLOOKUP(D74,'Current Week'!B:D,2,0)</f>
        <v>6</v>
      </c>
      <c r="I74">
        <f>iferror(VLOOKUP(D74,DraftTracker!F:I,3,0)+if((VLOOKUP(D74,DraftTracker!F:I,4,0)-VLOOKUP(D74,DraftTracker!F:I,3,0))&gt;0,(VLOOKUP(D74,DraftTracker!F:I,4,0)-VLOOKUP(D74,DraftTracker!F:I,3,0)),0)*0.5,"")</f>
        <v>1</v>
      </c>
      <c r="J74" s="198">
        <f>iferror(VLOOKUP(D74,DraftTracker!F:K,5,0)+(VLOOKUP(D74,DraftTracker!F:K,6,0)-VLOOKUP(D74,DraftTracker!F:K,5,0))*0.5,"")</f>
        <v>0</v>
      </c>
      <c r="K74">
        <f>VLOOKUP(D74,'Current Week'!B:D,3,0)</f>
        <v>6</v>
      </c>
      <c r="L74">
        <f>IFERROR(__xludf.DUMMYFUNCTION("iferror(max(filter(H:H,G:G&gt;G74,E:E=E74)),0)"),8.0)</f>
        <v>8</v>
      </c>
      <c r="M74">
        <f>IFERROR(__xludf.DUMMYFUNCTION("iferror(countif(filter(H:H,G:G&lt;G74,E:E=E74),""&lt;""&amp;H74),0)"),0.0)</f>
        <v>0</v>
      </c>
      <c r="N74" s="169">
        <f t="shared" si="1"/>
        <v>2</v>
      </c>
      <c r="O74">
        <f t="shared" si="2"/>
        <v>1</v>
      </c>
      <c r="P74">
        <f t="shared" si="3"/>
        <v>0</v>
      </c>
      <c r="Q74" t="b">
        <f>IFERROR(__xludf.DUMMYFUNCTION("N74=max(filter(N:N,F:F=F74,E:E&lt;&gt;""MWC""))"),FALSE)</f>
        <v>0</v>
      </c>
      <c r="R74" t="str">
        <f>IFERROR(__xludf.DUMMYFUNCTION("iferror(if(P74=1,H74-MIN(filter(H:H,G:G&lt;G74,E:E=E74,H:H&lt;H74)),""""),"""")"),"")</f>
        <v/>
      </c>
    </row>
    <row r="75">
      <c r="A75" s="1" t="s">
        <v>1446</v>
      </c>
      <c r="B75" s="1" t="s">
        <v>1617</v>
      </c>
      <c r="D75" s="1" t="s">
        <v>143</v>
      </c>
      <c r="E75" t="str">
        <f>iferror(vlookup(D75,'Teams-Conference'!C:D,2,0),"Independent")</f>
        <v>MAC</v>
      </c>
      <c r="F75" t="str">
        <f>iferror(offset(DraftTracker!D$1,match(D75,DraftTracker!F:F,0)-1,0),"")</f>
        <v>Vu</v>
      </c>
      <c r="G75">
        <f>iferror(match(D75,DraftTracker!F$2:F131,0),counta(DraftTracker!F:F))</f>
        <v>105</v>
      </c>
      <c r="H75" s="169">
        <f>VLOOKUP(D75,'Current Week'!B:D,2,0)</f>
        <v>6</v>
      </c>
      <c r="I75">
        <f>iferror(VLOOKUP(D75,DraftTracker!F:I,3,0)+if((VLOOKUP(D75,DraftTracker!F:I,4,0)-VLOOKUP(D75,DraftTracker!F:I,3,0))&gt;0,(VLOOKUP(D75,DraftTracker!F:I,4,0)-VLOOKUP(D75,DraftTracker!F:I,3,0)),0)*0.5,"")</f>
        <v>2.5</v>
      </c>
      <c r="J75" s="198">
        <f>iferror(VLOOKUP(D75,DraftTracker!F:K,5,0)+(VLOOKUP(D75,DraftTracker!F:K,6,0)-VLOOKUP(D75,DraftTracker!F:K,5,0))*0.5,"")</f>
        <v>2</v>
      </c>
      <c r="K75">
        <f>VLOOKUP(D75,'Current Week'!B:D,3,0)</f>
        <v>6</v>
      </c>
      <c r="L75">
        <f>IFERROR(__xludf.DUMMYFUNCTION("iferror(max(filter(H:H,G:G&gt;G75,E:E=E75)),0)"),8.0)</f>
        <v>8</v>
      </c>
      <c r="M75">
        <f>IFERROR(__xludf.DUMMYFUNCTION("iferror(countif(filter(H:H,G:G&lt;G75,E:E=E75),""&lt;""&amp;H75),0)"),2.0)</f>
        <v>2</v>
      </c>
      <c r="N75" s="169">
        <f t="shared" si="1"/>
        <v>2</v>
      </c>
      <c r="O75">
        <f t="shared" si="2"/>
        <v>1</v>
      </c>
      <c r="P75">
        <f t="shared" si="3"/>
        <v>0</v>
      </c>
      <c r="Q75" t="b">
        <f>IFERROR(__xludf.DUMMYFUNCTION("N75=max(filter(N:N,F:F=F75,E:E&lt;&gt;""MWC""))"),FALSE)</f>
        <v>0</v>
      </c>
      <c r="R75" t="str">
        <f>IFERROR(__xludf.DUMMYFUNCTION("iferror(if(P75=1,H75-MIN(filter(H:H,G:G&lt;G75,E:E=E75,H:H&lt;H75)),""""),"""")"),"")</f>
        <v/>
      </c>
    </row>
    <row r="76">
      <c r="A76" s="1" t="s">
        <v>1443</v>
      </c>
      <c r="B76" s="1" t="s">
        <v>1731</v>
      </c>
      <c r="D76" s="1" t="s">
        <v>139</v>
      </c>
      <c r="E76" t="str">
        <f>iferror(vlookup(D76,'Teams-Conference'!C:D,2,0),"Independent")</f>
        <v>MAC</v>
      </c>
      <c r="F76" t="str">
        <f>iferror(offset(DraftTracker!D$1,match(D76,DraftTracker!F:F,0)-1,0),"")</f>
        <v>Nick A.</v>
      </c>
      <c r="G76">
        <f>iferror(match(D76,DraftTracker!F$2:F131,0),counta(DraftTracker!F:F))</f>
        <v>119</v>
      </c>
      <c r="H76" s="169">
        <f>VLOOKUP(D76,'Current Week'!B:D,2,0)</f>
        <v>3</v>
      </c>
      <c r="I76">
        <f>iferror(VLOOKUP(D76,DraftTracker!F:I,3,0)+if((VLOOKUP(D76,DraftTracker!F:I,4,0)-VLOOKUP(D76,DraftTracker!F:I,3,0))&gt;0,(VLOOKUP(D76,DraftTracker!F:I,4,0)-VLOOKUP(D76,DraftTracker!F:I,3,0)),0)*0.5,"")</f>
        <v>0</v>
      </c>
      <c r="J76" s="198">
        <f>iferror(VLOOKUP(D76,DraftTracker!F:K,5,0)+(VLOOKUP(D76,DraftTracker!F:K,6,0)-VLOOKUP(D76,DraftTracker!F:K,5,0))*0.5,"")</f>
        <v>0.5</v>
      </c>
      <c r="K76">
        <f>VLOOKUP(D76,'Current Week'!B:D,3,0)</f>
        <v>9</v>
      </c>
      <c r="L76">
        <f>IFERROR(__xludf.DUMMYFUNCTION("iferror(max(filter(H:H,G:G&gt;G76,E:E=E76)),0)"),0.0)</f>
        <v>0</v>
      </c>
      <c r="M76">
        <f>IFERROR(__xludf.DUMMYFUNCTION("iferror(countif(filter(H:H,G:G&lt;G76,E:E=E76),""&lt;""&amp;H76),0)"),1.0)</f>
        <v>1</v>
      </c>
      <c r="N76">
        <f t="shared" si="1"/>
        <v>0</v>
      </c>
      <c r="O76">
        <f t="shared" si="2"/>
        <v>0</v>
      </c>
      <c r="P76">
        <f t="shared" si="3"/>
        <v>1</v>
      </c>
      <c r="Q76" t="b">
        <f>IFERROR(__xludf.DUMMYFUNCTION("N76=max(filter(N:N,F:F=F76,E:E&lt;&gt;""MWC""))"),FALSE)</f>
        <v>0</v>
      </c>
      <c r="R76">
        <f>IFERROR(__xludf.DUMMYFUNCTION("iferror(if(P76=1,H76-MIN(filter(H:H,G:G&lt;G76,E:E=E76,H:H&lt;H76)),""""),"""")"),3.0)</f>
        <v>3</v>
      </c>
    </row>
    <row r="77">
      <c r="A77" s="1" t="s">
        <v>1808</v>
      </c>
      <c r="B77" s="1" t="s">
        <v>1809</v>
      </c>
      <c r="C77" s="1" t="s">
        <v>1810</v>
      </c>
      <c r="D77" s="1" t="s">
        <v>144</v>
      </c>
      <c r="E77" t="str">
        <f>iferror(vlookup(D77,'Teams-Conference'!C:D,2,0),"Independent")</f>
        <v>MAC</v>
      </c>
      <c r="F77" t="str">
        <f>iferror(offset(DraftTracker!D$1,match(D77,DraftTracker!F:F,0)-1,0),"")</f>
        <v>Nico</v>
      </c>
      <c r="G77">
        <f>iferror(match(D77,DraftTracker!F$2:F131,0),counta(DraftTracker!F:F))</f>
        <v>44</v>
      </c>
      <c r="H77" s="169">
        <f>VLOOKUP(D77,'Current Week'!B:D,2,0)</f>
        <v>7</v>
      </c>
      <c r="I77">
        <f>iferror(VLOOKUP(D77,DraftTracker!F:I,3,0)+if((VLOOKUP(D77,DraftTracker!F:I,4,0)-VLOOKUP(D77,DraftTracker!F:I,3,0))&gt;0,(VLOOKUP(D77,DraftTracker!F:I,4,0)-VLOOKUP(D77,DraftTracker!F:I,3,0)),0)*0.5,"")</f>
        <v>0</v>
      </c>
      <c r="J77" s="198">
        <f>iferror(VLOOKUP(D77,DraftTracker!F:K,5,0)+(VLOOKUP(D77,DraftTracker!F:K,6,0)-VLOOKUP(D77,DraftTracker!F:K,5,0))*0.5,"")</f>
        <v>3.5</v>
      </c>
      <c r="K77">
        <f>VLOOKUP(D77,'Current Week'!B:D,3,0)</f>
        <v>5</v>
      </c>
      <c r="L77">
        <f>IFERROR(__xludf.DUMMYFUNCTION("iferror(max(filter(H:H,G:G&gt;G77,E:E=E77)),0)"),8.0)</f>
        <v>8</v>
      </c>
      <c r="M77">
        <f>IFERROR(__xludf.DUMMYFUNCTION("iferror(countif(filter(H:H,G:G&lt;G77,E:E=E77),""&lt;""&amp;H77),0)"),4.0)</f>
        <v>4</v>
      </c>
      <c r="N77" s="169">
        <f t="shared" si="1"/>
        <v>1</v>
      </c>
      <c r="O77">
        <f t="shared" si="2"/>
        <v>1</v>
      </c>
      <c r="P77">
        <f t="shared" si="3"/>
        <v>0</v>
      </c>
      <c r="Q77" t="b">
        <f>IFERROR(__xludf.DUMMYFUNCTION("N77=max(filter(N:N,F:F=F77,E:E&lt;&gt;""MWC""))"),FALSE)</f>
        <v>0</v>
      </c>
      <c r="R77" t="str">
        <f>IFERROR(__xludf.DUMMYFUNCTION("iferror(if(P77=1,H77-MIN(filter(H:H,G:G&lt;G77,E:E=E77,H:H&lt;H77)),""""),"""")"),"")</f>
        <v/>
      </c>
    </row>
    <row r="78">
      <c r="A78" s="1" t="s">
        <v>1448</v>
      </c>
      <c r="B78" s="1" t="s">
        <v>1549</v>
      </c>
      <c r="D78" s="1" t="s">
        <v>145</v>
      </c>
      <c r="E78" t="str">
        <f>iferror(vlookup(D78,'Teams-Conference'!C:D,2,0),"Independent")</f>
        <v>MAC</v>
      </c>
      <c r="F78" t="str">
        <f>iferror(offset(DraftTracker!D$1,match(D78,DraftTracker!F:F,0)-1,0),"")</f>
        <v>Janice/Mike</v>
      </c>
      <c r="G78">
        <f>iferror(match(D78,DraftTracker!F$2:F131,0),counta(DraftTracker!F:F))</f>
        <v>28</v>
      </c>
      <c r="H78" s="169">
        <f>VLOOKUP(D78,'Current Week'!B:D,2,0)</f>
        <v>5</v>
      </c>
      <c r="I78">
        <f>iferror(VLOOKUP(D78,DraftTracker!F:I,3,0)+if((VLOOKUP(D78,DraftTracker!F:I,4,0)-VLOOKUP(D78,DraftTracker!F:I,3,0))&gt;0,(VLOOKUP(D78,DraftTracker!F:I,4,0)-VLOOKUP(D78,DraftTracker!F:I,3,0)),0)*0.5,"")</f>
        <v>2</v>
      </c>
      <c r="J78" s="198">
        <f>iferror(VLOOKUP(D78,DraftTracker!F:K,5,0)+(VLOOKUP(D78,DraftTracker!F:K,6,0)-VLOOKUP(D78,DraftTracker!F:K,5,0))*0.5,"")</f>
        <v>1.5</v>
      </c>
      <c r="K78">
        <f>VLOOKUP(D78,'Current Week'!B:D,3,0)</f>
        <v>7</v>
      </c>
      <c r="L78">
        <f>IFERROR(__xludf.DUMMYFUNCTION("iferror(max(filter(H:H,G:G&gt;G78,E:E=E78)),0)"),8.0)</f>
        <v>8</v>
      </c>
      <c r="M78">
        <f>IFERROR(__xludf.DUMMYFUNCTION("iferror(countif(filter(H:H,G:G&lt;G78,E:E=E78),""&lt;""&amp;H78),0)"),0.0)</f>
        <v>0</v>
      </c>
      <c r="N78" s="169">
        <f t="shared" si="1"/>
        <v>3</v>
      </c>
      <c r="O78">
        <f t="shared" si="2"/>
        <v>1</v>
      </c>
      <c r="P78">
        <f t="shared" si="3"/>
        <v>0</v>
      </c>
      <c r="Q78" t="b">
        <f>IFERROR(__xludf.DUMMYFUNCTION("N78=max(filter(N:N,F:F=F78,E:E&lt;&gt;""MWC""))"),FALSE)</f>
        <v>0</v>
      </c>
      <c r="R78" t="str">
        <f>IFERROR(__xludf.DUMMYFUNCTION("iferror(if(P78=1,H78-MIN(filter(H:H,G:G&lt;G78,E:E=E78,H:H&lt;H78)),""""),"""")"),"")</f>
        <v/>
      </c>
    </row>
    <row r="79">
      <c r="A79" s="1" t="s">
        <v>1452</v>
      </c>
      <c r="B79" s="1" t="s">
        <v>1731</v>
      </c>
      <c r="D79" s="1" t="s">
        <v>149</v>
      </c>
      <c r="E79" t="str">
        <f>iferror(vlookup(D79,'Teams-Conference'!C:D,2,0),"Independent")</f>
        <v>MWC</v>
      </c>
      <c r="F79" t="str">
        <f>iferror(offset(DraftTracker!D$1,match(D79,DraftTracker!F:F,0)-1,0),"")</f>
        <v>Adam</v>
      </c>
      <c r="G79">
        <f>iferror(match(D79,DraftTracker!F$2:F131,0),counta(DraftTracker!F:F))</f>
        <v>32</v>
      </c>
      <c r="H79" s="169">
        <f>VLOOKUP(D79,'Current Week'!B:D,2,0)</f>
        <v>10</v>
      </c>
      <c r="I79">
        <f>iferror(VLOOKUP(D79,DraftTracker!F:I,3,0)+if((VLOOKUP(D79,DraftTracker!F:I,4,0)-VLOOKUP(D79,DraftTracker!F:I,3,0))&gt;0,(VLOOKUP(D79,DraftTracker!F:I,4,0)-VLOOKUP(D79,DraftTracker!F:I,3,0)),0)*0.5,"")</f>
        <v>3.5</v>
      </c>
      <c r="J79" s="198">
        <f>iferror(VLOOKUP(D79,DraftTracker!F:K,5,0)+(VLOOKUP(D79,DraftTracker!F:K,6,0)-VLOOKUP(D79,DraftTracker!F:K,5,0))*0.5,"")</f>
        <v>3</v>
      </c>
      <c r="K79">
        <f>VLOOKUP(D79,'Current Week'!B:D,3,0)</f>
        <v>2</v>
      </c>
      <c r="L79">
        <f>IFERROR(__xludf.DUMMYFUNCTION("iferror(max(filter(H:H,G:G&gt;G79,E:E=E79)),0)"),9.0)</f>
        <v>9</v>
      </c>
      <c r="M79">
        <f>IFERROR(__xludf.DUMMYFUNCTION("iferror(countif(filter(H:H,G:G&lt;G79,E:E=E79),""&lt;""&amp;H79),0)"),3.0)</f>
        <v>3</v>
      </c>
      <c r="N79">
        <f t="shared" si="1"/>
        <v>0</v>
      </c>
      <c r="O79">
        <f t="shared" si="2"/>
        <v>0</v>
      </c>
      <c r="P79">
        <f t="shared" si="3"/>
        <v>1</v>
      </c>
      <c r="Q79" t="b">
        <f>IFERROR(__xludf.DUMMYFUNCTION("N79=max(filter(N:N,F:F=F79,E:E&lt;&gt;""MWC""))"),FALSE)</f>
        <v>0</v>
      </c>
      <c r="R79">
        <f>IFERROR(__xludf.DUMMYFUNCTION("iferror(if(P79=1,H79-MIN(filter(H:H,G:G&lt;G79,E:E=E79,H:H&lt;H79)),""""),"""")"),6.0)</f>
        <v>6</v>
      </c>
    </row>
    <row r="80">
      <c r="A80" s="1" t="s">
        <v>1442</v>
      </c>
      <c r="B80" s="1" t="s">
        <v>1562</v>
      </c>
      <c r="D80" s="1" t="s">
        <v>138</v>
      </c>
      <c r="E80" t="str">
        <f>iferror(vlookup(D80,'Teams-Conference'!C:D,2,0),"Independent")</f>
        <v>MAC</v>
      </c>
      <c r="F80" t="str">
        <f>iferror(offset(DraftTracker!D$1,match(D80,DraftTracker!F:F,0)-1,0),"")</f>
        <v>DavEmily</v>
      </c>
      <c r="G80">
        <f>iferror(match(D80,DraftTracker!F$2:F131,0),counta(DraftTracker!F:F))</f>
        <v>96</v>
      </c>
      <c r="H80" s="169">
        <f>VLOOKUP(D80,'Current Week'!B:D,2,0)</f>
        <v>5</v>
      </c>
      <c r="I80">
        <f>iferror(VLOOKUP(D80,DraftTracker!F:I,3,0)+if((VLOOKUP(D80,DraftTracker!F:I,4,0)-VLOOKUP(D80,DraftTracker!F:I,3,0))&gt;0,(VLOOKUP(D80,DraftTracker!F:I,4,0)-VLOOKUP(D80,DraftTracker!F:I,3,0)),0)*0.5,"")</f>
        <v>2</v>
      </c>
      <c r="J80" s="198">
        <f>iferror(VLOOKUP(D80,DraftTracker!F:K,5,0)+(VLOOKUP(D80,DraftTracker!F:K,6,0)-VLOOKUP(D80,DraftTracker!F:K,5,0))*0.5,"")</f>
        <v>0.5</v>
      </c>
      <c r="K80">
        <f>VLOOKUP(D80,'Current Week'!B:D,3,0)</f>
        <v>7</v>
      </c>
      <c r="L80">
        <f>IFERROR(__xludf.DUMMYFUNCTION("iferror(max(filter(H:H,G:G&gt;G80,E:E=E80)),0)"),8.0)</f>
        <v>8</v>
      </c>
      <c r="M80">
        <f>IFERROR(__xludf.DUMMYFUNCTION("iferror(countif(filter(H:H,G:G&lt;G80,E:E=E80),""&lt;""&amp;H80),0)"),0.0)</f>
        <v>0</v>
      </c>
      <c r="N80" s="169">
        <f t="shared" si="1"/>
        <v>3</v>
      </c>
      <c r="O80">
        <f t="shared" si="2"/>
        <v>1</v>
      </c>
      <c r="P80">
        <f t="shared" si="3"/>
        <v>0</v>
      </c>
      <c r="Q80" t="b">
        <f>IFERROR(__xludf.DUMMYFUNCTION("N80=max(filter(N:N,F:F=F80,E:E&lt;&gt;""MWC""))"),FALSE)</f>
        <v>0</v>
      </c>
      <c r="R80" t="str">
        <f>IFERROR(__xludf.DUMMYFUNCTION("iferror(if(P80=1,H80-MIN(filter(H:H,G:G&lt;G80,E:E=E80,H:H&lt;H80)),""""),"""")"),"")</f>
        <v/>
      </c>
    </row>
    <row r="81">
      <c r="A81" s="1" t="s">
        <v>1451</v>
      </c>
      <c r="B81" s="1" t="s">
        <v>1811</v>
      </c>
      <c r="D81" s="1" t="s">
        <v>148</v>
      </c>
      <c r="E81" t="str">
        <f>iferror(vlookup(D81,'Teams-Conference'!C:D,2,0),"Independent")</f>
        <v>MAC</v>
      </c>
      <c r="F81" t="str">
        <f>iferror(offset(DraftTracker!D$1,match(D81,DraftTracker!F:F,0)-1,0),"")</f>
        <v>Jeannine</v>
      </c>
      <c r="G81">
        <f>iferror(match(D81,DraftTracker!F$2:F131,0),counta(DraftTracker!F:F))</f>
        <v>19</v>
      </c>
      <c r="H81" s="169">
        <f>VLOOKUP(D81,'Current Week'!B:D,2,0)</f>
        <v>7</v>
      </c>
      <c r="I81">
        <f>iferror(VLOOKUP(D81,DraftTracker!F:I,3,0)+if((VLOOKUP(D81,DraftTracker!F:I,4,0)-VLOOKUP(D81,DraftTracker!F:I,3,0))&gt;0,(VLOOKUP(D81,DraftTracker!F:I,4,0)-VLOOKUP(D81,DraftTracker!F:I,3,0)),0)*0.5,"")</f>
        <v>1.5</v>
      </c>
      <c r="J81" s="198">
        <f>iferror(VLOOKUP(D81,DraftTracker!F:K,5,0)+(VLOOKUP(D81,DraftTracker!F:K,6,0)-VLOOKUP(D81,DraftTracker!F:K,5,0))*0.5,"")</f>
        <v>0.5</v>
      </c>
      <c r="K81">
        <f>VLOOKUP(D81,'Current Week'!B:D,3,0)</f>
        <v>5</v>
      </c>
      <c r="L81">
        <f>IFERROR(__xludf.DUMMYFUNCTION("iferror(max(filter(H:H,G:G&gt;G81,E:E=E81)),0)"),8.0)</f>
        <v>8</v>
      </c>
      <c r="M81">
        <f>IFERROR(__xludf.DUMMYFUNCTION("iferror(countif(filter(H:H,G:G&lt;G81,E:E=E81),""&lt;""&amp;H81),0)"),2.0)</f>
        <v>2</v>
      </c>
      <c r="N81" s="169">
        <f t="shared" si="1"/>
        <v>1</v>
      </c>
      <c r="O81">
        <f t="shared" si="2"/>
        <v>1</v>
      </c>
      <c r="P81">
        <f t="shared" si="3"/>
        <v>0</v>
      </c>
      <c r="Q81" t="b">
        <f>IFERROR(__xludf.DUMMYFUNCTION("N81=max(filter(N:N,F:F=F81,E:E&lt;&gt;""MWC""))"),FALSE)</f>
        <v>0</v>
      </c>
      <c r="R81" t="str">
        <f>IFERROR(__xludf.DUMMYFUNCTION("iferror(if(P81=1,H81-MIN(filter(H:H,G:G&lt;G81,E:E=E81,H:H&lt;H81)),""""),"""")"),"")</f>
        <v/>
      </c>
    </row>
    <row r="82">
      <c r="A82" s="1" t="s">
        <v>142</v>
      </c>
      <c r="B82" s="1" t="s">
        <v>1556</v>
      </c>
      <c r="C82" s="1" t="s">
        <v>1376</v>
      </c>
      <c r="D82" s="1" t="s">
        <v>142</v>
      </c>
      <c r="E82" t="str">
        <f>iferror(vlookup(D82,'Teams-Conference'!C:D,2,0),"Independent")</f>
        <v>MAC</v>
      </c>
      <c r="F82" t="str">
        <f>iferror(offset(DraftTracker!D$1,match(D82,DraftTracker!F:F,0)-1,0),"")</f>
        <v>Brad</v>
      </c>
      <c r="G82">
        <f>iferror(match(D82,DraftTracker!F$2:F131,0),counta(DraftTracker!F:F))</f>
        <v>38</v>
      </c>
      <c r="H82" s="169">
        <f>VLOOKUP(D82,'Current Week'!B:D,2,0)</f>
        <v>6</v>
      </c>
      <c r="I82">
        <f>iferror(VLOOKUP(D82,DraftTracker!F:I,3,0)+if((VLOOKUP(D82,DraftTracker!F:I,4,0)-VLOOKUP(D82,DraftTracker!F:I,3,0))&gt;0,(VLOOKUP(D82,DraftTracker!F:I,4,0)-VLOOKUP(D82,DraftTracker!F:I,3,0)),0)*0.5,"")</f>
        <v>2</v>
      </c>
      <c r="J82" s="198">
        <f>iferror(VLOOKUP(D82,DraftTracker!F:K,5,0)+(VLOOKUP(D82,DraftTracker!F:K,6,0)-VLOOKUP(D82,DraftTracker!F:K,5,0))*0.5,"")</f>
        <v>3.5</v>
      </c>
      <c r="K82">
        <f>VLOOKUP(D82,'Current Week'!B:D,3,0)</f>
        <v>6</v>
      </c>
      <c r="L82">
        <f>IFERROR(__xludf.DUMMYFUNCTION("iferror(max(filter(H:H,G:G&gt;G82,E:E=E82)),0)"),8.0)</f>
        <v>8</v>
      </c>
      <c r="M82">
        <f>IFERROR(__xludf.DUMMYFUNCTION("iferror(countif(filter(H:H,G:G&lt;G82,E:E=E82),""&lt;""&amp;H82),0)"),1.0)</f>
        <v>1</v>
      </c>
      <c r="N82" s="169">
        <f t="shared" si="1"/>
        <v>2</v>
      </c>
      <c r="O82">
        <f t="shared" si="2"/>
        <v>1</v>
      </c>
      <c r="P82">
        <f t="shared" si="3"/>
        <v>0</v>
      </c>
      <c r="Q82" t="b">
        <f>IFERROR(__xludf.DUMMYFUNCTION("N82=max(filter(N:N,F:F=F82,E:E&lt;&gt;""MWC""))"),FALSE)</f>
        <v>0</v>
      </c>
      <c r="R82" t="str">
        <f>IFERROR(__xludf.DUMMYFUNCTION("iferror(if(P82=1,H82-MIN(filter(H:H,G:G&lt;G82,E:E=E82,H:H&lt;H82)),""""),"""")"),"")</f>
        <v/>
      </c>
    </row>
    <row r="83">
      <c r="A83" s="1" t="s">
        <v>1445</v>
      </c>
      <c r="B83" s="1" t="s">
        <v>1812</v>
      </c>
      <c r="D83" s="1" t="s">
        <v>141</v>
      </c>
      <c r="E83" t="str">
        <f>iferror(vlookup(D83,'Teams-Conference'!C:D,2,0),"Independent")</f>
        <v>MAC</v>
      </c>
      <c r="F83" t="str">
        <f>iferror(offset(DraftTracker!D$1,match(D83,DraftTracker!F:F,0)-1,0),"")</f>
        <v>Nick G.</v>
      </c>
      <c r="G83">
        <f>iferror(match(D83,DraftTracker!F$2:F131,0),counta(DraftTracker!F:F))</f>
        <v>108</v>
      </c>
      <c r="H83" s="169">
        <f>VLOOKUP(D83,'Current Week'!B:D,2,0)</f>
        <v>8</v>
      </c>
      <c r="I83">
        <f>iferror(VLOOKUP(D83,DraftTracker!F:I,3,0)+if((VLOOKUP(D83,DraftTracker!F:I,4,0)-VLOOKUP(D83,DraftTracker!F:I,3,0))&gt;0,(VLOOKUP(D83,DraftTracker!F:I,4,0)-VLOOKUP(D83,DraftTracker!F:I,3,0)),0)*0.5,"")</f>
        <v>1.5</v>
      </c>
      <c r="J83" s="198">
        <f>iferror(VLOOKUP(D83,DraftTracker!F:K,5,0)+(VLOOKUP(D83,DraftTracker!F:K,6,0)-VLOOKUP(D83,DraftTracker!F:K,5,0))*0.5,"")</f>
        <v>0.5</v>
      </c>
      <c r="K83">
        <f>VLOOKUP(D83,'Current Week'!B:D,3,0)</f>
        <v>4</v>
      </c>
      <c r="L83">
        <f>IFERROR(__xludf.DUMMYFUNCTION("iferror(max(filter(H:H,G:G&gt;G83,E:E=E83)),0)"),3.0)</f>
        <v>3</v>
      </c>
      <c r="M83">
        <f>IFERROR(__xludf.DUMMYFUNCTION("iferror(countif(filter(H:H,G:G&lt;G83,E:E=E83),""&lt;""&amp;H83),0)"),9.0)</f>
        <v>9</v>
      </c>
      <c r="N83">
        <f t="shared" si="1"/>
        <v>0</v>
      </c>
      <c r="O83">
        <f t="shared" si="2"/>
        <v>0</v>
      </c>
      <c r="P83">
        <f t="shared" si="3"/>
        <v>1</v>
      </c>
      <c r="Q83" t="b">
        <f>IFERROR(__xludf.DUMMYFUNCTION("N83=max(filter(N:N,F:F=F83,E:E&lt;&gt;""MWC""))"),FALSE)</f>
        <v>0</v>
      </c>
      <c r="R83">
        <f>IFERROR(__xludf.DUMMYFUNCTION("iferror(if(P83=1,H83-MIN(filter(H:H,G:G&lt;G83,E:E=E83,H:H&lt;H83)),""""),"""")"),3.0)</f>
        <v>3</v>
      </c>
    </row>
    <row r="84">
      <c r="A84" s="1" t="s">
        <v>1453</v>
      </c>
      <c r="B84" s="1" t="s">
        <v>1811</v>
      </c>
      <c r="D84" s="1" t="s">
        <v>150</v>
      </c>
      <c r="E84" t="str">
        <f>iferror(vlookup(D84,'Teams-Conference'!C:D,2,0),"Independent")</f>
        <v>MWC</v>
      </c>
      <c r="F84" t="str">
        <f>iferror(offset(DraftTracker!D$1,match(D84,DraftTracker!F:F,0)-1,0),"")</f>
        <v>Janice/Mike</v>
      </c>
      <c r="G84">
        <f>iferror(match(D84,DraftTracker!F$2:F131,0),counta(DraftTracker!F:F))</f>
        <v>4</v>
      </c>
      <c r="H84" s="169">
        <f>VLOOKUP(D84,'Current Week'!B:D,2,0)</f>
        <v>11</v>
      </c>
      <c r="I84">
        <f>iferror(VLOOKUP(D84,DraftTracker!F:I,3,0)+if((VLOOKUP(D84,DraftTracker!F:I,4,0)-VLOOKUP(D84,DraftTracker!F:I,3,0))&gt;0,(VLOOKUP(D84,DraftTracker!F:I,4,0)-VLOOKUP(D84,DraftTracker!F:I,3,0)),0)*0.5,"")</f>
        <v>1</v>
      </c>
      <c r="J84" s="198">
        <f>iferror(VLOOKUP(D84,DraftTracker!F:K,5,0)+(VLOOKUP(D84,DraftTracker!F:K,6,0)-VLOOKUP(D84,DraftTracker!F:K,5,0))*0.5,"")</f>
        <v>0</v>
      </c>
      <c r="K84">
        <f>VLOOKUP(D84,'Current Week'!B:D,3,0)</f>
        <v>1</v>
      </c>
      <c r="L84">
        <f>IFERROR(__xludf.DUMMYFUNCTION("iferror(max(filter(H:H,G:G&gt;G84,E:E=E84)),0)"),10.0)</f>
        <v>10</v>
      </c>
      <c r="M84">
        <f>IFERROR(__xludf.DUMMYFUNCTION("iferror(countif(filter(H:H,G:G&lt;G84,E:E=E84),""&lt;""&amp;H84),0)"),0.0)</f>
        <v>0</v>
      </c>
      <c r="N84">
        <f t="shared" si="1"/>
        <v>0</v>
      </c>
      <c r="O84">
        <f t="shared" si="2"/>
        <v>0</v>
      </c>
      <c r="P84">
        <f t="shared" si="3"/>
        <v>0</v>
      </c>
      <c r="Q84" t="b">
        <f>IFERROR(__xludf.DUMMYFUNCTION("N84=max(filter(N:N,F:F=F84,E:E&lt;&gt;""MWC""))"),FALSE)</f>
        <v>0</v>
      </c>
      <c r="R84" t="str">
        <f>IFERROR(__xludf.DUMMYFUNCTION("iferror(if(P84=1,H84-MIN(filter(H:H,G:G&lt;G84,E:E=E84,H:H&lt;H84)),""""),"""")"),"")</f>
        <v/>
      </c>
    </row>
    <row r="85">
      <c r="A85" s="1" t="s">
        <v>1461</v>
      </c>
      <c r="B85" s="1" t="s">
        <v>1613</v>
      </c>
      <c r="D85" s="1" t="s">
        <v>159</v>
      </c>
      <c r="E85" t="str">
        <f>iferror(vlookup(D85,'Teams-Conference'!C:D,2,0),"Independent")</f>
        <v>MWC</v>
      </c>
      <c r="F85" t="str">
        <f>iferror(offset(DraftTracker!D$1,match(D85,DraftTracker!F:F,0)-1,0),"")</f>
        <v>Gary</v>
      </c>
      <c r="G85">
        <f>iferror(match(D85,DraftTracker!F$2:F131,0),counta(DraftTracker!F:F))</f>
        <v>27</v>
      </c>
      <c r="H85" s="169">
        <f>VLOOKUP(D85,'Current Week'!B:D,2,0)</f>
        <v>7</v>
      </c>
      <c r="I85">
        <f>iferror(VLOOKUP(D85,DraftTracker!F:I,3,0)+if((VLOOKUP(D85,DraftTracker!F:I,4,0)-VLOOKUP(D85,DraftTracker!F:I,3,0))&gt;0,(VLOOKUP(D85,DraftTracker!F:I,4,0)-VLOOKUP(D85,DraftTracker!F:I,3,0)),0)*0.5,"")</f>
        <v>3.5</v>
      </c>
      <c r="J85" s="198">
        <f>iferror(VLOOKUP(D85,DraftTracker!F:K,5,0)+(VLOOKUP(D85,DraftTracker!F:K,6,0)-VLOOKUP(D85,DraftTracker!F:K,5,0))*0.5,"")</f>
        <v>2</v>
      </c>
      <c r="K85">
        <f>VLOOKUP(D85,'Current Week'!B:D,3,0)</f>
        <v>5</v>
      </c>
      <c r="L85">
        <f>IFERROR(__xludf.DUMMYFUNCTION("iferror(max(filter(H:H,G:G&gt;G85,E:E=E85)),0)"),10.0)</f>
        <v>10</v>
      </c>
      <c r="M85">
        <f>IFERROR(__xludf.DUMMYFUNCTION("iferror(countif(filter(H:H,G:G&lt;G85,E:E=E85),""&lt;""&amp;H85),0)"),1.0)</f>
        <v>1</v>
      </c>
      <c r="N85" s="169">
        <f t="shared" si="1"/>
        <v>3</v>
      </c>
      <c r="O85">
        <f t="shared" si="2"/>
        <v>1</v>
      </c>
      <c r="P85">
        <f t="shared" si="3"/>
        <v>0</v>
      </c>
      <c r="Q85" t="b">
        <f>IFERROR(__xludf.DUMMYFUNCTION("N85=max(filter(N:N,F:F=F85,E:E&lt;&gt;""MWC""))"),FALSE)</f>
        <v>0</v>
      </c>
      <c r="R85" t="str">
        <f>IFERROR(__xludf.DUMMYFUNCTION("iferror(if(P85=1,H85-MIN(filter(H:H,G:G&lt;G85,E:E=E85,H:H&lt;H85)),""""),"""")"),"")</f>
        <v/>
      </c>
    </row>
    <row r="86">
      <c r="A86" s="1" t="s">
        <v>158</v>
      </c>
      <c r="B86" s="1" t="s">
        <v>1813</v>
      </c>
      <c r="D86" s="1" t="s">
        <v>158</v>
      </c>
      <c r="E86" t="str">
        <f>iferror(vlookup(D86,'Teams-Conference'!C:D,2,0),"Independent")</f>
        <v>MWC</v>
      </c>
      <c r="F86" t="str">
        <f>iferror(offset(DraftTracker!D$1,match(D86,DraftTracker!F:F,0)-1,0),"")</f>
        <v>Justin</v>
      </c>
      <c r="G86">
        <f>iferror(match(D86,DraftTracker!F$2:F131,0),counta(DraftTracker!F:F))</f>
        <v>55</v>
      </c>
      <c r="H86" s="169">
        <f>VLOOKUP(D86,'Current Week'!B:D,2,0)</f>
        <v>4</v>
      </c>
      <c r="I86">
        <f>iferror(VLOOKUP(D86,DraftTracker!F:I,3,0)+if((VLOOKUP(D86,DraftTracker!F:I,4,0)-VLOOKUP(D86,DraftTracker!F:I,3,0))&gt;0,(VLOOKUP(D86,DraftTracker!F:I,4,0)-VLOOKUP(D86,DraftTracker!F:I,3,0)),0)*0.5,"")</f>
        <v>0</v>
      </c>
      <c r="J86" s="198">
        <f>iferror(VLOOKUP(D86,DraftTracker!F:K,5,0)+(VLOOKUP(D86,DraftTracker!F:K,6,0)-VLOOKUP(D86,DraftTracker!F:K,5,0))*0.5,"")</f>
        <v>0.5</v>
      </c>
      <c r="K86">
        <f>VLOOKUP(D86,'Current Week'!B:D,3,0)</f>
        <v>8</v>
      </c>
      <c r="L86">
        <f>IFERROR(__xludf.DUMMYFUNCTION("iferror(max(filter(H:H,G:G&gt;G86,E:E=E86)),0)"),5.0)</f>
        <v>5</v>
      </c>
      <c r="M86">
        <f>IFERROR(__xludf.DUMMYFUNCTION("iferror(countif(filter(H:H,G:G&lt;G86,E:E=E86),""&lt;""&amp;H86),0)"),1.0)</f>
        <v>1</v>
      </c>
      <c r="N86" s="169">
        <f t="shared" si="1"/>
        <v>1</v>
      </c>
      <c r="O86">
        <f t="shared" si="2"/>
        <v>1</v>
      </c>
      <c r="P86">
        <f t="shared" si="3"/>
        <v>0</v>
      </c>
      <c r="Q86" t="b">
        <f>IFERROR(__xludf.DUMMYFUNCTION("N86=max(filter(N:N,F:F=F86,E:E&lt;&gt;""MWC""))"),FALSE)</f>
        <v>0</v>
      </c>
      <c r="R86" t="str">
        <f>IFERROR(__xludf.DUMMYFUNCTION("iferror(if(P86=1,H86-MIN(filter(H:H,G:G&lt;G86,E:E=E86,H:H&lt;H86)),""""),"""")"),"")</f>
        <v/>
      </c>
    </row>
    <row r="87">
      <c r="A87" s="1" t="s">
        <v>168</v>
      </c>
      <c r="B87" s="1" t="s">
        <v>1814</v>
      </c>
      <c r="D87" s="1" t="s">
        <v>168</v>
      </c>
      <c r="E87" t="str">
        <f>iferror(vlookup(D87,'Teams-Conference'!C:D,2,0),"Independent")</f>
        <v>Pac12</v>
      </c>
      <c r="F87" t="str">
        <f>iferror(offset(DraftTracker!D$1,match(D87,DraftTracker!F:F,0)-1,0),"")</f>
        <v>Gary</v>
      </c>
      <c r="G87">
        <f>iferror(match(D87,DraftTracker!F$2:F131,0),counta(DraftTracker!F:F))</f>
        <v>70</v>
      </c>
      <c r="H87" s="169">
        <f>VLOOKUP(D87,'Current Week'!B:D,2,0)</f>
        <v>4</v>
      </c>
      <c r="I87">
        <f>iferror(VLOOKUP(D87,DraftTracker!F:I,3,0)+if((VLOOKUP(D87,DraftTracker!F:I,4,0)-VLOOKUP(D87,DraftTracker!F:I,3,0))&gt;0,(VLOOKUP(D87,DraftTracker!F:I,4,0)-VLOOKUP(D87,DraftTracker!F:I,3,0)),0)*0.5,"")</f>
        <v>2</v>
      </c>
      <c r="J87" s="198">
        <f>iferror(VLOOKUP(D87,DraftTracker!F:K,5,0)+(VLOOKUP(D87,DraftTracker!F:K,6,0)-VLOOKUP(D87,DraftTracker!F:K,5,0))*0.5,"")</f>
        <v>1.5</v>
      </c>
      <c r="K87">
        <f>VLOOKUP(D87,'Current Week'!B:D,3,0)</f>
        <v>8</v>
      </c>
      <c r="L87">
        <f>IFERROR(__xludf.DUMMYFUNCTION("iferror(max(filter(H:H,G:G&gt;G87,E:E=E87)),0)"),7.0)</f>
        <v>7</v>
      </c>
      <c r="M87">
        <f>IFERROR(__xludf.DUMMYFUNCTION("iferror(countif(filter(H:H,G:G&lt;G87,E:E=E87),""&lt;""&amp;H87),0)"),0.0)</f>
        <v>0</v>
      </c>
      <c r="N87" s="169">
        <f t="shared" si="1"/>
        <v>3</v>
      </c>
      <c r="O87">
        <f t="shared" si="2"/>
        <v>1</v>
      </c>
      <c r="P87">
        <f t="shared" si="3"/>
        <v>0</v>
      </c>
      <c r="Q87" t="b">
        <f>IFERROR(__xludf.DUMMYFUNCTION("N87=max(filter(N:N,F:F=F87,E:E&lt;&gt;""MWC""))"),FALSE)</f>
        <v>0</v>
      </c>
      <c r="R87" t="str">
        <f>IFERROR(__xludf.DUMMYFUNCTION("iferror(if(P87=1,H87-MIN(filter(H:H,G:G&lt;G87,E:E=E87,H:H&lt;H87)),""""),"""")"),"")</f>
        <v/>
      </c>
    </row>
    <row r="88">
      <c r="A88" s="1" t="s">
        <v>1440</v>
      </c>
      <c r="B88" s="1" t="s">
        <v>1815</v>
      </c>
      <c r="D88" s="1" t="s">
        <v>135</v>
      </c>
      <c r="E88" t="str">
        <f>iferror(vlookup(D88,'Teams-Conference'!C:D,2,0),"Independent")</f>
        <v>CUSA</v>
      </c>
      <c r="F88" t="str">
        <f>iferror(offset(DraftTracker!D$1,match(D88,DraftTracker!F:F,0)-1,0),"")</f>
        <v>Justin</v>
      </c>
      <c r="G88">
        <f>iferror(match(D88,DraftTracker!F$2:F131,0),counta(DraftTracker!F:F))</f>
        <v>90</v>
      </c>
      <c r="H88" s="169">
        <f>VLOOKUP(D88,'Current Week'!B:D,2,0)</f>
        <v>8</v>
      </c>
      <c r="I88">
        <f>iferror(VLOOKUP(D88,DraftTracker!F:I,3,0)+if((VLOOKUP(D88,DraftTracker!F:I,4,0)-VLOOKUP(D88,DraftTracker!F:I,3,0))&gt;0,(VLOOKUP(D88,DraftTracker!F:I,4,0)-VLOOKUP(D88,DraftTracker!F:I,3,0)),0)*0.5,"")</f>
        <v>3</v>
      </c>
      <c r="J88" s="198">
        <f>iferror(VLOOKUP(D88,DraftTracker!F:K,5,0)+(VLOOKUP(D88,DraftTracker!F:K,6,0)-VLOOKUP(D88,DraftTracker!F:K,5,0))*0.5,"")</f>
        <v>0.5</v>
      </c>
      <c r="K88">
        <f>VLOOKUP(D88,'Current Week'!B:D,3,0)</f>
        <v>4</v>
      </c>
      <c r="L88">
        <f>IFERROR(__xludf.DUMMYFUNCTION("iferror(max(filter(H:H,G:G&gt;G88,E:E=E88)),0)"),7.0)</f>
        <v>7</v>
      </c>
      <c r="M88">
        <f>IFERROR(__xludf.DUMMYFUNCTION("iferror(countif(filter(H:H,G:G&lt;G88,E:E=E88),""&lt;""&amp;H88),0)"),3.0)</f>
        <v>3</v>
      </c>
      <c r="N88">
        <f t="shared" si="1"/>
        <v>0</v>
      </c>
      <c r="O88">
        <f t="shared" si="2"/>
        <v>0</v>
      </c>
      <c r="P88">
        <f t="shared" si="3"/>
        <v>1</v>
      </c>
      <c r="Q88" t="b">
        <f>IFERROR(__xludf.DUMMYFUNCTION("N88=max(filter(N:N,F:F=F88,E:E&lt;&gt;""MWC""))"),FALSE)</f>
        <v>0</v>
      </c>
      <c r="R88">
        <f>IFERROR(__xludf.DUMMYFUNCTION("iferror(if(P88=1,H88-MIN(filter(H:H,G:G&lt;G88,E:E=E88,H:H&lt;H88)),""""),"""")"),4.0)</f>
        <v>4</v>
      </c>
    </row>
    <row r="89">
      <c r="A89" s="1" t="s">
        <v>1450</v>
      </c>
      <c r="B89" s="1" t="s">
        <v>1816</v>
      </c>
      <c r="D89" s="1" t="s">
        <v>147</v>
      </c>
      <c r="E89" t="str">
        <f>iferror(vlookup(D89,'Teams-Conference'!C:D,2,0),"Independent")</f>
        <v>MAC</v>
      </c>
      <c r="F89" t="str">
        <f>iferror(offset(DraftTracker!D$1,match(D89,DraftTracker!F:F,0)-1,0),"")</f>
        <v>Josh R.</v>
      </c>
      <c r="G89">
        <f>iferror(match(D89,DraftTracker!F$2:F131,0),counta(DraftTracker!F:F))</f>
        <v>15</v>
      </c>
      <c r="H89" s="169">
        <f>VLOOKUP(D89,'Current Week'!B:D,2,0)</f>
        <v>6</v>
      </c>
      <c r="I89">
        <f>iferror(VLOOKUP(D89,DraftTracker!F:I,3,0)+if((VLOOKUP(D89,DraftTracker!F:I,4,0)-VLOOKUP(D89,DraftTracker!F:I,3,0))&gt;0,(VLOOKUP(D89,DraftTracker!F:I,4,0)-VLOOKUP(D89,DraftTracker!F:I,3,0)),0)*0.5,"")</f>
        <v>1.5</v>
      </c>
      <c r="J89" s="198">
        <f>iferror(VLOOKUP(D89,DraftTracker!F:K,5,0)+(VLOOKUP(D89,DraftTracker!F:K,6,0)-VLOOKUP(D89,DraftTracker!F:K,5,0))*0.5,"")</f>
        <v>0</v>
      </c>
      <c r="K89">
        <f>VLOOKUP(D89,'Current Week'!B:D,3,0)</f>
        <v>6</v>
      </c>
      <c r="L89">
        <f>IFERROR(__xludf.DUMMYFUNCTION("iferror(max(filter(H:H,G:G&gt;G89,E:E=E89)),0)"),8.0)</f>
        <v>8</v>
      </c>
      <c r="M89">
        <f>IFERROR(__xludf.DUMMYFUNCTION("iferror(countif(filter(H:H,G:G&lt;G89,E:E=E89),""&lt;""&amp;H89),0)"),0.0)</f>
        <v>0</v>
      </c>
      <c r="N89" s="169">
        <f t="shared" si="1"/>
        <v>2</v>
      </c>
      <c r="O89">
        <f t="shared" si="2"/>
        <v>1</v>
      </c>
      <c r="P89">
        <f t="shared" si="3"/>
        <v>0</v>
      </c>
      <c r="Q89" t="b">
        <f>IFERROR(__xludf.DUMMYFUNCTION("N89=max(filter(N:N,F:F=F89,E:E&lt;&gt;""MWC""))"),FALSE)</f>
        <v>0</v>
      </c>
      <c r="R89" t="str">
        <f>IFERROR(__xludf.DUMMYFUNCTION("iferror(if(P89=1,H89-MIN(filter(H:H,G:G&lt;G89,E:E=E89,H:H&lt;H89)),""""),"""")"),"")</f>
        <v/>
      </c>
    </row>
    <row r="90">
      <c r="A90" s="1" t="s">
        <v>1456</v>
      </c>
      <c r="B90" s="1" t="s">
        <v>1817</v>
      </c>
      <c r="C90" s="1" t="s">
        <v>1378</v>
      </c>
      <c r="D90" s="1" t="s">
        <v>153</v>
      </c>
      <c r="E90" t="str">
        <f>iferror(vlookup(D90,'Teams-Conference'!C:D,2,0),"Independent")</f>
        <v>MWC</v>
      </c>
      <c r="F90" t="str">
        <f>iferror(offset(DraftTracker!D$1,match(D90,DraftTracker!F:F,0)-1,0),"")</f>
        <v>Vu</v>
      </c>
      <c r="G90">
        <f>iferror(match(D90,DraftTracker!F$2:F131,0),counta(DraftTracker!F:F))</f>
        <v>40</v>
      </c>
      <c r="H90" s="169">
        <f>VLOOKUP(D90,'Current Week'!B:D,2,0)</f>
        <v>9</v>
      </c>
      <c r="I90">
        <f>iferror(VLOOKUP(D90,DraftTracker!F:I,3,0)+if((VLOOKUP(D90,DraftTracker!F:I,4,0)-VLOOKUP(D90,DraftTracker!F:I,3,0))&gt;0,(VLOOKUP(D90,DraftTracker!F:I,4,0)-VLOOKUP(D90,DraftTracker!F:I,3,0)),0)*0.5,"")</f>
        <v>1</v>
      </c>
      <c r="J90" s="198">
        <f>iferror(VLOOKUP(D90,DraftTracker!F:K,5,0)+(VLOOKUP(D90,DraftTracker!F:K,6,0)-VLOOKUP(D90,DraftTracker!F:K,5,0))*0.5,"")</f>
        <v>2</v>
      </c>
      <c r="K90">
        <f>VLOOKUP(D90,'Current Week'!B:D,3,0)</f>
        <v>4</v>
      </c>
      <c r="L90">
        <f>IFERROR(__xludf.DUMMYFUNCTION("iferror(max(filter(H:H,G:G&gt;G90,E:E=E90)),0)"),5.0)</f>
        <v>5</v>
      </c>
      <c r="M90">
        <f>IFERROR(__xludf.DUMMYFUNCTION("iferror(countif(filter(H:H,G:G&lt;G90,E:E=E90),""&lt;""&amp;H90),0)"),4.0)</f>
        <v>4</v>
      </c>
      <c r="N90">
        <f t="shared" si="1"/>
        <v>0</v>
      </c>
      <c r="O90">
        <f t="shared" si="2"/>
        <v>0</v>
      </c>
      <c r="P90">
        <f t="shared" si="3"/>
        <v>1</v>
      </c>
      <c r="Q90" t="b">
        <f>IFERROR(__xludf.DUMMYFUNCTION("N90=max(filter(N:N,F:F=F90,E:E&lt;&gt;""MWC""))"),FALSE)</f>
        <v>0</v>
      </c>
      <c r="R90">
        <f>IFERROR(__xludf.DUMMYFUNCTION("iferror(if(P90=1,H90-MIN(filter(H:H,G:G&lt;G90,E:E=E90,H:H&lt;H90)),""""),"""")"),5.0)</f>
        <v>5</v>
      </c>
    </row>
    <row r="91">
      <c r="A91" s="1" t="s">
        <v>1455</v>
      </c>
      <c r="B91" s="1" t="s">
        <v>1602</v>
      </c>
      <c r="D91" s="1" t="s">
        <v>152</v>
      </c>
      <c r="E91" t="str">
        <f>iferror(vlookup(D91,'Teams-Conference'!C:D,2,0),"Independent")</f>
        <v>MWC</v>
      </c>
      <c r="F91" t="str">
        <f>iferror(offset(DraftTracker!D$1,match(D91,DraftTracker!F:F,0)-1,0),"")</f>
        <v>DavEmily</v>
      </c>
      <c r="G91">
        <f>iferror(match(D91,DraftTracker!F$2:F131,0),counta(DraftTracker!F:F))</f>
        <v>25</v>
      </c>
      <c r="H91" s="169">
        <f>VLOOKUP(D91,'Current Week'!B:D,2,0)</f>
        <v>4</v>
      </c>
      <c r="I91">
        <f>iferror(VLOOKUP(D91,DraftTracker!F:I,3,0)+if((VLOOKUP(D91,DraftTracker!F:I,4,0)-VLOOKUP(D91,DraftTracker!F:I,3,0))&gt;0,(VLOOKUP(D91,DraftTracker!F:I,4,0)-VLOOKUP(D91,DraftTracker!F:I,3,0)),0)*0.5,"")</f>
        <v>5</v>
      </c>
      <c r="J91" s="198">
        <f>iferror(VLOOKUP(D91,DraftTracker!F:K,5,0)+(VLOOKUP(D91,DraftTracker!F:K,6,0)-VLOOKUP(D91,DraftTracker!F:K,5,0))*0.5,"")</f>
        <v>0.5</v>
      </c>
      <c r="K91">
        <f>VLOOKUP(D91,'Current Week'!B:D,3,0)</f>
        <v>8</v>
      </c>
      <c r="L91">
        <f>IFERROR(__xludf.DUMMYFUNCTION("iferror(max(filter(H:H,G:G&gt;G91,E:E=E91)),0)"),10.0)</f>
        <v>10</v>
      </c>
      <c r="M91">
        <f>IFERROR(__xludf.DUMMYFUNCTION("iferror(countif(filter(H:H,G:G&lt;G91,E:E=E91),""&lt;""&amp;H91),0)"),0.0)</f>
        <v>0</v>
      </c>
      <c r="N91" s="169">
        <f t="shared" si="1"/>
        <v>6</v>
      </c>
      <c r="O91">
        <f t="shared" si="2"/>
        <v>1</v>
      </c>
      <c r="P91">
        <f t="shared" si="3"/>
        <v>0</v>
      </c>
      <c r="Q91" t="b">
        <f>IFERROR(__xludf.DUMMYFUNCTION("N91=max(filter(N:N,F:F=F91,E:E&lt;&gt;""MWC""))"),FALSE)</f>
        <v>0</v>
      </c>
      <c r="R91" t="str">
        <f>IFERROR(__xludf.DUMMYFUNCTION("iferror(if(P91=1,H91-MIN(filter(H:H,G:G&lt;G91,E:E=E91,H:H&lt;H91)),""""),"""")"),"")</f>
        <v/>
      </c>
    </row>
    <row r="92">
      <c r="A92" s="1" t="s">
        <v>1458</v>
      </c>
      <c r="B92" s="1" t="s">
        <v>1818</v>
      </c>
      <c r="D92" s="1" t="s">
        <v>155</v>
      </c>
      <c r="E92" t="str">
        <f>iferror(vlookup(D92,'Teams-Conference'!C:D,2,0),"Independent")</f>
        <v>MWC</v>
      </c>
      <c r="F92" t="str">
        <f>iferror(offset(DraftTracker!D$1,match(D92,DraftTracker!F:F,0)-1,0),"")</f>
        <v>Nico</v>
      </c>
      <c r="G92">
        <f>iferror(match(D92,DraftTracker!F$2:F131,0),counta(DraftTracker!F:F))</f>
        <v>53</v>
      </c>
      <c r="H92" s="169">
        <f>VLOOKUP(D92,'Current Week'!B:D,2,0)</f>
        <v>2</v>
      </c>
      <c r="I92">
        <f>iferror(VLOOKUP(D92,DraftTracker!F:I,3,0)+if((VLOOKUP(D92,DraftTracker!F:I,4,0)-VLOOKUP(D92,DraftTracker!F:I,3,0))&gt;0,(VLOOKUP(D92,DraftTracker!F:I,4,0)-VLOOKUP(D92,DraftTracker!F:I,3,0)),0)*0.5,"")</f>
        <v>1</v>
      </c>
      <c r="J92" s="198">
        <f>iferror(VLOOKUP(D92,DraftTracker!F:K,5,0)+(VLOOKUP(D92,DraftTracker!F:K,6,0)-VLOOKUP(D92,DraftTracker!F:K,5,0))*0.5,"")</f>
        <v>1</v>
      </c>
      <c r="K92">
        <f>VLOOKUP(D92,'Current Week'!B:D,3,0)</f>
        <v>10</v>
      </c>
      <c r="L92">
        <f>IFERROR(__xludf.DUMMYFUNCTION("iferror(max(filter(H:H,G:G&gt;G92,E:E=E92)),0)"),5.0)</f>
        <v>5</v>
      </c>
      <c r="M92">
        <f>IFERROR(__xludf.DUMMYFUNCTION("iferror(countif(filter(H:H,G:G&lt;G92,E:E=E92),""&lt;""&amp;H92),0)"),0.0)</f>
        <v>0</v>
      </c>
      <c r="N92" s="169">
        <f t="shared" si="1"/>
        <v>3</v>
      </c>
      <c r="O92">
        <f t="shared" si="2"/>
        <v>1</v>
      </c>
      <c r="P92">
        <f t="shared" si="3"/>
        <v>0</v>
      </c>
      <c r="Q92" t="b">
        <f>IFERROR(__xludf.DUMMYFUNCTION("N92=max(filter(N:N,F:F=F92,E:E&lt;&gt;""MWC""))"),FALSE)</f>
        <v>0</v>
      </c>
      <c r="R92" t="str">
        <f>IFERROR(__xludf.DUMMYFUNCTION("iferror(if(P92=1,H92-MIN(filter(H:H,G:G&lt;G92,E:E=E92,H:H&lt;H92)),""""),"""")"),"")</f>
        <v/>
      </c>
    </row>
    <row r="93">
      <c r="A93" s="1" t="s">
        <v>1454</v>
      </c>
      <c r="B93" s="1" t="s">
        <v>1819</v>
      </c>
      <c r="D93" s="1" t="s">
        <v>151</v>
      </c>
      <c r="E93" t="str">
        <f>iferror(vlookup(D93,'Teams-Conference'!C:D,2,0),"Independent")</f>
        <v>MWC</v>
      </c>
      <c r="F93" t="str">
        <f>iferror(offset(DraftTracker!D$1,match(D93,DraftTracker!F:F,0)-1,0),"")</f>
        <v>Brad</v>
      </c>
      <c r="G93">
        <f>iferror(match(D93,DraftTracker!F$2:F131,0),counta(DraftTracker!F:F))</f>
        <v>107</v>
      </c>
      <c r="H93" s="169">
        <f>VLOOKUP(D93,'Current Week'!B:D,2,0)</f>
        <v>4</v>
      </c>
      <c r="I93">
        <f>iferror(VLOOKUP(D93,DraftTracker!F:I,3,0)+if((VLOOKUP(D93,DraftTracker!F:I,4,0)-VLOOKUP(D93,DraftTracker!F:I,3,0))&gt;0,(VLOOKUP(D93,DraftTracker!F:I,4,0)-VLOOKUP(D93,DraftTracker!F:I,3,0)),0)*0.5,"")</f>
        <v>1</v>
      </c>
      <c r="J93" s="198">
        <f>iferror(VLOOKUP(D93,DraftTracker!F:K,5,0)+(VLOOKUP(D93,DraftTracker!F:K,6,0)-VLOOKUP(D93,DraftTracker!F:K,5,0))*0.5,"")</f>
        <v>1</v>
      </c>
      <c r="K93">
        <f>VLOOKUP(D93,'Current Week'!B:D,3,0)</f>
        <v>8</v>
      </c>
      <c r="L93">
        <f>IFERROR(__xludf.DUMMYFUNCTION("iferror(max(filter(H:H,G:G&gt;G93,E:E=E93)),0)"),5.0)</f>
        <v>5</v>
      </c>
      <c r="M93">
        <f>IFERROR(__xludf.DUMMYFUNCTION("iferror(countif(filter(H:H,G:G&lt;G93,E:E=E93),""&lt;""&amp;H93),0)"),1.0)</f>
        <v>1</v>
      </c>
      <c r="N93" s="169">
        <f t="shared" si="1"/>
        <v>1</v>
      </c>
      <c r="O93">
        <f t="shared" si="2"/>
        <v>1</v>
      </c>
      <c r="P93">
        <f t="shared" si="3"/>
        <v>0</v>
      </c>
      <c r="Q93" t="b">
        <f>IFERROR(__xludf.DUMMYFUNCTION("N93=max(filter(N:N,F:F=F93,E:E&lt;&gt;""MWC""))"),FALSE)</f>
        <v>0</v>
      </c>
      <c r="R93" t="str">
        <f>IFERROR(__xludf.DUMMYFUNCTION("iferror(if(P93=1,H93-MIN(filter(H:H,G:G&lt;G93,E:E=E93,H:H&lt;H93)),""""),"""")"),"")</f>
        <v/>
      </c>
    </row>
    <row r="94">
      <c r="A94" s="1" t="s">
        <v>1459</v>
      </c>
      <c r="B94" s="1" t="s">
        <v>1820</v>
      </c>
      <c r="D94" s="1" t="s">
        <v>156</v>
      </c>
      <c r="E94" t="str">
        <f>iferror(vlookup(D94,'Teams-Conference'!C:D,2,0),"Independent")</f>
        <v>MWC</v>
      </c>
      <c r="F94" t="str">
        <f>iferror(offset(DraftTracker!D$1,match(D94,DraftTracker!F:F,0)-1,0),"")</f>
        <v>Nick A.</v>
      </c>
      <c r="G94">
        <f>iferror(match(D94,DraftTracker!F$2:F131,0),counta(DraftTracker!F:F))</f>
        <v>26</v>
      </c>
      <c r="H94" s="169">
        <f>VLOOKUP(D94,'Current Week'!B:D,2,0)</f>
        <v>9</v>
      </c>
      <c r="I94">
        <f>iferror(VLOOKUP(D94,DraftTracker!F:I,3,0)+if((VLOOKUP(D94,DraftTracker!F:I,4,0)-VLOOKUP(D94,DraftTracker!F:I,3,0))&gt;0,(VLOOKUP(D94,DraftTracker!F:I,4,0)-VLOOKUP(D94,DraftTracker!F:I,3,0)),0)*0.5,"")</f>
        <v>4</v>
      </c>
      <c r="J94" s="198">
        <f>iferror(VLOOKUP(D94,DraftTracker!F:K,5,0)+(VLOOKUP(D94,DraftTracker!F:K,6,0)-VLOOKUP(D94,DraftTracker!F:K,5,0))*0.5,"")</f>
        <v>0.5</v>
      </c>
      <c r="K94">
        <f>VLOOKUP(D94,'Current Week'!B:D,3,0)</f>
        <v>3</v>
      </c>
      <c r="L94">
        <f>IFERROR(__xludf.DUMMYFUNCTION("iferror(max(filter(H:H,G:G&gt;G94,E:E=E94)),0)"),10.0)</f>
        <v>10</v>
      </c>
      <c r="M94">
        <f>IFERROR(__xludf.DUMMYFUNCTION("iferror(countif(filter(H:H,G:G&lt;G94,E:E=E94),""&lt;""&amp;H94),0)"),1.0)</f>
        <v>1</v>
      </c>
      <c r="N94" s="169">
        <f t="shared" si="1"/>
        <v>1</v>
      </c>
      <c r="O94">
        <f t="shared" si="2"/>
        <v>1</v>
      </c>
      <c r="P94">
        <f t="shared" si="3"/>
        <v>0</v>
      </c>
      <c r="Q94" t="b">
        <f>IFERROR(__xludf.DUMMYFUNCTION("N94=max(filter(N:N,F:F=F94,E:E&lt;&gt;""MWC""))"),FALSE)</f>
        <v>0</v>
      </c>
      <c r="R94" t="str">
        <f>IFERROR(__xludf.DUMMYFUNCTION("iferror(if(P94=1,H94-MIN(filter(H:H,G:G&lt;G94,E:E=E94,H:H&lt;H94)),""""),"""")"),"")</f>
        <v/>
      </c>
    </row>
    <row r="95">
      <c r="A95" s="1" t="s">
        <v>1460</v>
      </c>
      <c r="B95" s="1" t="s">
        <v>1587</v>
      </c>
      <c r="C95" s="1" t="s">
        <v>1379</v>
      </c>
      <c r="D95" s="172" t="s">
        <v>157</v>
      </c>
      <c r="E95" t="str">
        <f>iferror(vlookup(D95,'Teams-Conference'!C:D,2,0),"Independent")</f>
        <v>MWC</v>
      </c>
      <c r="F95" t="str">
        <f>iferror(offset(DraftTracker!D$1,match(D95,DraftTracker!F:F,0)-1,0),"")</f>
        <v>Jeannine</v>
      </c>
      <c r="G95">
        <f>iferror(match(D95,DraftTracker!F$2:F131,0),counta(DraftTracker!F:F))</f>
        <v>115</v>
      </c>
      <c r="H95" s="169">
        <f>VLOOKUP(D95,'Current Week'!B:D,2,0)</f>
        <v>5</v>
      </c>
      <c r="I95">
        <f>iferror(VLOOKUP(D95,DraftTracker!F:I,3,0)+if((VLOOKUP(D95,DraftTracker!F:I,4,0)-VLOOKUP(D95,DraftTracker!F:I,3,0))&gt;0,(VLOOKUP(D95,DraftTracker!F:I,4,0)-VLOOKUP(D95,DraftTracker!F:I,3,0)),0)*0.5,"")</f>
        <v>0</v>
      </c>
      <c r="J95" s="198">
        <f>iferror(VLOOKUP(D95,DraftTracker!F:K,5,0)+(VLOOKUP(D95,DraftTracker!F:K,6,0)-VLOOKUP(D95,DraftTracker!F:K,5,0))*0.5,"")</f>
        <v>1.5</v>
      </c>
      <c r="K95">
        <f>VLOOKUP(D95,'Current Week'!B:D,3,0)</f>
        <v>7</v>
      </c>
      <c r="L95">
        <f>IFERROR(__xludf.DUMMYFUNCTION("iferror(max(filter(H:H,G:G&gt;G95,E:E=E95)),0)"),0.0)</f>
        <v>0</v>
      </c>
      <c r="M95">
        <f>IFERROR(__xludf.DUMMYFUNCTION("iferror(countif(filter(H:H,G:G&lt;G95,E:E=E95),""&lt;""&amp;H95),0)"),4.0)</f>
        <v>4</v>
      </c>
      <c r="N95">
        <f t="shared" si="1"/>
        <v>0</v>
      </c>
      <c r="O95">
        <f t="shared" si="2"/>
        <v>0</v>
      </c>
      <c r="P95">
        <f t="shared" si="3"/>
        <v>1</v>
      </c>
      <c r="Q95" t="b">
        <f>IFERROR(__xludf.DUMMYFUNCTION("N95=max(filter(N:N,F:F=F95,E:E&lt;&gt;""MWC""))"),FALSE)</f>
        <v>0</v>
      </c>
      <c r="R95">
        <f>IFERROR(__xludf.DUMMYFUNCTION("iferror(if(P95=1,H95-MIN(filter(H:H,G:G&lt;G95,E:E=E95,H:H&lt;H95)),""""),"""")"),3.0)</f>
        <v>3</v>
      </c>
    </row>
    <row r="96">
      <c r="A96" s="1" t="s">
        <v>1469</v>
      </c>
      <c r="B96" s="1" t="s">
        <v>1821</v>
      </c>
      <c r="D96" s="1" t="s">
        <v>167</v>
      </c>
      <c r="E96" t="str">
        <f>iferror(vlookup(D96,'Teams-Conference'!C:D,2,0),"Independent")</f>
        <v>Pac12</v>
      </c>
      <c r="F96" t="str">
        <f>iferror(offset(DraftTracker!D$1,match(D96,DraftTracker!F:F,0)-1,0),"")</f>
        <v>Nick G.</v>
      </c>
      <c r="G96">
        <f>iferror(match(D96,DraftTracker!F$2:F131,0),counta(DraftTracker!F:F))</f>
        <v>60</v>
      </c>
      <c r="H96" s="169">
        <f>VLOOKUP(D96,'Current Week'!B:D,2,0)</f>
        <v>4</v>
      </c>
      <c r="I96">
        <f>iferror(VLOOKUP(D96,DraftTracker!F:I,3,0)+if((VLOOKUP(D96,DraftTracker!F:I,4,0)-VLOOKUP(D96,DraftTracker!F:I,3,0))&gt;0,(VLOOKUP(D96,DraftTracker!F:I,4,0)-VLOOKUP(D96,DraftTracker!F:I,3,0)),0)*0.5,"")</f>
        <v>4</v>
      </c>
      <c r="J96" s="198">
        <f>iferror(VLOOKUP(D96,DraftTracker!F:K,5,0)+(VLOOKUP(D96,DraftTracker!F:K,6,0)-VLOOKUP(D96,DraftTracker!F:K,5,0))*0.5,"")</f>
        <v>1</v>
      </c>
      <c r="K96">
        <f>VLOOKUP(D96,'Current Week'!B:D,3,0)</f>
        <v>8</v>
      </c>
      <c r="L96">
        <f>IFERROR(__xludf.DUMMYFUNCTION("iferror(max(filter(H:H,G:G&gt;G96,E:E=E96)),0)"),7.0)</f>
        <v>7</v>
      </c>
      <c r="M96">
        <f>IFERROR(__xludf.DUMMYFUNCTION("iferror(countif(filter(H:H,G:G&lt;G96,E:E=E96),""&lt;""&amp;H96),0)"),0.0)</f>
        <v>0</v>
      </c>
      <c r="N96" s="169">
        <f t="shared" si="1"/>
        <v>3</v>
      </c>
      <c r="O96">
        <f t="shared" si="2"/>
        <v>1</v>
      </c>
      <c r="P96">
        <f t="shared" si="3"/>
        <v>0</v>
      </c>
      <c r="Q96" t="b">
        <f>IFERROR(__xludf.DUMMYFUNCTION("N96=max(filter(N:N,F:F=F96,E:E&lt;&gt;""MWC""))"),FALSE)</f>
        <v>0</v>
      </c>
      <c r="R96" t="str">
        <f>IFERROR(__xludf.DUMMYFUNCTION("iferror(if(P96=1,H96-MIN(filter(H:H,G:G&lt;G96,E:E=E96,H:H&lt;H96)),""""),"""")"),"")</f>
        <v/>
      </c>
    </row>
    <row r="97">
      <c r="A97" s="1" t="s">
        <v>1471</v>
      </c>
      <c r="B97" s="1" t="s">
        <v>1549</v>
      </c>
      <c r="D97" s="1" t="s">
        <v>171</v>
      </c>
      <c r="E97" t="str">
        <f>iferror(vlookup(D97,'Teams-Conference'!C:D,2,0),"Independent")</f>
        <v>Pac12</v>
      </c>
      <c r="F97" t="str">
        <f>iferror(offset(DraftTracker!D$1,match(D97,DraftTracker!F:F,0)-1,0),"")</f>
        <v>Vu</v>
      </c>
      <c r="G97">
        <f>iferror(match(D97,DraftTracker!F$2:F131,0),counta(DraftTracker!F:F))</f>
        <v>9</v>
      </c>
      <c r="H97" s="169">
        <f>VLOOKUP(D97,'Current Week'!B:D,2,0)</f>
        <v>7</v>
      </c>
      <c r="I97">
        <f>iferror(VLOOKUP(D97,DraftTracker!F:I,3,0)+if((VLOOKUP(D97,DraftTracker!F:I,4,0)-VLOOKUP(D97,DraftTracker!F:I,3,0))&gt;0,(VLOOKUP(D97,DraftTracker!F:I,4,0)-VLOOKUP(D97,DraftTracker!F:I,3,0)),0)*0.5,"")</f>
        <v>2.5</v>
      </c>
      <c r="J97" s="198">
        <f>iferror(VLOOKUP(D97,DraftTracker!F:K,5,0)+(VLOOKUP(D97,DraftTracker!F:K,6,0)-VLOOKUP(D97,DraftTracker!F:K,5,0))*0.5,"")</f>
        <v>0</v>
      </c>
      <c r="K97">
        <f>VLOOKUP(D97,'Current Week'!B:D,3,0)</f>
        <v>5</v>
      </c>
      <c r="L97">
        <f>IFERROR(__xludf.DUMMYFUNCTION("iferror(max(filter(H:H,G:G&gt;G97,E:E=E97)),0)"),11.0)</f>
        <v>11</v>
      </c>
      <c r="M97">
        <f>IFERROR(__xludf.DUMMYFUNCTION("iferror(countif(filter(H:H,G:G&lt;G97,E:E=E97),""&lt;""&amp;H97),0)"),0.0)</f>
        <v>0</v>
      </c>
      <c r="N97" s="169">
        <f t="shared" si="1"/>
        <v>4</v>
      </c>
      <c r="O97">
        <f t="shared" si="2"/>
        <v>1</v>
      </c>
      <c r="P97">
        <f t="shared" si="3"/>
        <v>0</v>
      </c>
      <c r="Q97" t="b">
        <f>IFERROR(__xludf.DUMMYFUNCTION("N97=max(filter(N:N,F:F=F97,E:E&lt;&gt;""MWC""))"),FALSE)</f>
        <v>0</v>
      </c>
      <c r="R97" t="str">
        <f>IFERROR(__xludf.DUMMYFUNCTION("iferror(if(P97=1,H97-MIN(filter(H:H,G:G&lt;G97,E:E=E97,H:H&lt;H97)),""""),"""")"),"")</f>
        <v/>
      </c>
    </row>
    <row r="98">
      <c r="A98" s="1" t="s">
        <v>1465</v>
      </c>
      <c r="B98" s="1" t="s">
        <v>1822</v>
      </c>
      <c r="D98" s="1" t="s">
        <v>163</v>
      </c>
      <c r="E98" t="str">
        <f>iferror(vlookup(D98,'Teams-Conference'!C:D,2,0),"Independent")</f>
        <v>Pac12</v>
      </c>
      <c r="F98" t="str">
        <f>iferror(offset(DraftTracker!D$1,match(D98,DraftTracker!F:F,0)-1,0),"")</f>
        <v>DavEmily</v>
      </c>
      <c r="G98">
        <f>iferror(match(D98,DraftTracker!F$2:F131,0),counta(DraftTracker!F:F))</f>
        <v>72</v>
      </c>
      <c r="H98" s="169">
        <f>VLOOKUP(D98,'Current Week'!B:D,2,0)</f>
        <v>7</v>
      </c>
      <c r="I98">
        <f>iferror(VLOOKUP(D98,DraftTracker!F:I,3,0)+if((VLOOKUP(D98,DraftTracker!F:I,4,0)-VLOOKUP(D98,DraftTracker!F:I,3,0))&gt;0,(VLOOKUP(D98,DraftTracker!F:I,4,0)-VLOOKUP(D98,DraftTracker!F:I,3,0)),0)*0.5,"")</f>
        <v>1</v>
      </c>
      <c r="J98" s="198">
        <f>iferror(VLOOKUP(D98,DraftTracker!F:K,5,0)+(VLOOKUP(D98,DraftTracker!F:K,6,0)-VLOOKUP(D98,DraftTracker!F:K,5,0))*0.5,"")</f>
        <v>2</v>
      </c>
      <c r="K98">
        <f>VLOOKUP(D98,'Current Week'!B:D,3,0)</f>
        <v>5</v>
      </c>
      <c r="L98">
        <f>IFERROR(__xludf.DUMMYFUNCTION("iferror(max(filter(H:H,G:G&gt;G98,E:E=E98)),0)"),5.0)</f>
        <v>5</v>
      </c>
      <c r="M98">
        <f>IFERROR(__xludf.DUMMYFUNCTION("iferror(countif(filter(H:H,G:G&lt;G98,E:E=E98),""&lt;""&amp;H98),0)"),4.0)</f>
        <v>4</v>
      </c>
      <c r="N98">
        <f t="shared" si="1"/>
        <v>0</v>
      </c>
      <c r="O98">
        <f t="shared" si="2"/>
        <v>0</v>
      </c>
      <c r="P98">
        <f t="shared" si="3"/>
        <v>1</v>
      </c>
      <c r="Q98" t="b">
        <f>IFERROR(__xludf.DUMMYFUNCTION("N98=max(filter(N:N,F:F=F98,E:E&lt;&gt;""MWC""))"),FALSE)</f>
        <v>0</v>
      </c>
      <c r="R98">
        <f>IFERROR(__xludf.DUMMYFUNCTION("iferror(if(P98=1,H98-MIN(filter(H:H,G:G&lt;G98,E:E=E98,H:H&lt;H98)),""""),"""")"),3.0)</f>
        <v>3</v>
      </c>
    </row>
    <row r="99">
      <c r="A99" s="1" t="s">
        <v>1467</v>
      </c>
      <c r="B99" s="1" t="s">
        <v>1823</v>
      </c>
      <c r="D99" s="1" t="s">
        <v>165</v>
      </c>
      <c r="E99" t="str">
        <f>iferror(vlookup(D99,'Teams-Conference'!C:D,2,0),"Independent")</f>
        <v>Pac12</v>
      </c>
      <c r="F99" t="str">
        <f>iferror(offset(DraftTracker!D$1,match(D99,DraftTracker!F:F,0)-1,0),"")</f>
        <v>Justin</v>
      </c>
      <c r="G99">
        <f>iferror(match(D99,DraftTracker!F$2:F131,0),counta(DraftTracker!F:F))</f>
        <v>18</v>
      </c>
      <c r="H99" s="169">
        <f>VLOOKUP(D99,'Current Week'!B:D,2,0)</f>
        <v>10</v>
      </c>
      <c r="I99">
        <f>iferror(VLOOKUP(D99,DraftTracker!F:I,3,0)+if((VLOOKUP(D99,DraftTracker!F:I,4,0)-VLOOKUP(D99,DraftTracker!F:I,3,0))&gt;0,(VLOOKUP(D99,DraftTracker!F:I,4,0)-VLOOKUP(D99,DraftTracker!F:I,3,0)),0)*0.5,"")</f>
        <v>1</v>
      </c>
      <c r="J99" s="198">
        <f>iferror(VLOOKUP(D99,DraftTracker!F:K,5,0)+(VLOOKUP(D99,DraftTracker!F:K,6,0)-VLOOKUP(D99,DraftTracker!F:K,5,0))*0.5,"")</f>
        <v>1</v>
      </c>
      <c r="K99">
        <f>VLOOKUP(D99,'Current Week'!B:D,3,0)</f>
        <v>2</v>
      </c>
      <c r="L99">
        <f>IFERROR(__xludf.DUMMYFUNCTION("iferror(max(filter(H:H,G:G&gt;G99,E:E=E99)),0)"),8.0)</f>
        <v>8</v>
      </c>
      <c r="M99">
        <f>IFERROR(__xludf.DUMMYFUNCTION("iferror(countif(filter(H:H,G:G&lt;G99,E:E=E99),""&lt;""&amp;H99),0)"),1.0)</f>
        <v>1</v>
      </c>
      <c r="N99">
        <f t="shared" si="1"/>
        <v>0</v>
      </c>
      <c r="O99">
        <f t="shared" si="2"/>
        <v>0</v>
      </c>
      <c r="P99">
        <f t="shared" si="3"/>
        <v>1</v>
      </c>
      <c r="Q99" t="b">
        <f>IFERROR(__xludf.DUMMYFUNCTION("N99=max(filter(N:N,F:F=F99,E:E&lt;&gt;""MWC""))"),FALSE)</f>
        <v>0</v>
      </c>
      <c r="R99">
        <f>IFERROR(__xludf.DUMMYFUNCTION("iferror(if(P99=1,H99-MIN(filter(H:H,G:G&lt;G99,E:E=E99,H:H&lt;H99)),""""),"""")"),3.0)</f>
        <v>3</v>
      </c>
    </row>
    <row r="100">
      <c r="A100" s="1" t="s">
        <v>1468</v>
      </c>
      <c r="B100" s="1" t="s">
        <v>1824</v>
      </c>
      <c r="D100" s="1" t="s">
        <v>166</v>
      </c>
      <c r="E100" t="str">
        <f>iferror(vlookup(D100,'Teams-Conference'!C:D,2,0),"Independent")</f>
        <v>Pac12</v>
      </c>
      <c r="F100" t="str">
        <f>iferror(offset(DraftTracker!D$1,match(D100,DraftTracker!F:F,0)-1,0),"")</f>
        <v>Adam</v>
      </c>
      <c r="G100">
        <f>iferror(match(D100,DraftTracker!F$2:F131,0),counta(DraftTracker!F:F))</f>
        <v>104</v>
      </c>
      <c r="H100" s="169">
        <f>VLOOKUP(D100,'Current Week'!B:D,2,0)</f>
        <v>5</v>
      </c>
      <c r="I100">
        <f>iferror(VLOOKUP(D100,DraftTracker!F:I,3,0)+if((VLOOKUP(D100,DraftTracker!F:I,4,0)-VLOOKUP(D100,DraftTracker!F:I,3,0))&gt;0,(VLOOKUP(D100,DraftTracker!F:I,4,0)-VLOOKUP(D100,DraftTracker!F:I,3,0)),0)*0.5,"")</f>
        <v>0</v>
      </c>
      <c r="J100" s="198">
        <f>iferror(VLOOKUP(D100,DraftTracker!F:K,5,0)+(VLOOKUP(D100,DraftTracker!F:K,6,0)-VLOOKUP(D100,DraftTracker!F:K,5,0))*0.5,"")</f>
        <v>0</v>
      </c>
      <c r="K100">
        <f>VLOOKUP(D100,'Current Week'!B:D,3,0)</f>
        <v>7</v>
      </c>
      <c r="L100">
        <f>IFERROR(__xludf.DUMMYFUNCTION("iferror(max(filter(H:H,G:G&gt;G100,E:E=E100)),0)"),0.0)</f>
        <v>0</v>
      </c>
      <c r="M100">
        <f>IFERROR(__xludf.DUMMYFUNCTION("iferror(countif(filter(H:H,G:G&lt;G100,E:E=E100),""&lt;""&amp;H100),0)"),3.0)</f>
        <v>3</v>
      </c>
      <c r="N100">
        <f t="shared" si="1"/>
        <v>0</v>
      </c>
      <c r="O100">
        <f t="shared" si="2"/>
        <v>0</v>
      </c>
      <c r="P100">
        <f t="shared" si="3"/>
        <v>1</v>
      </c>
      <c r="Q100" t="b">
        <f>IFERROR(__xludf.DUMMYFUNCTION("N100=max(filter(N:N,F:F=F100,E:E&lt;&gt;""MWC""))"),FALSE)</f>
        <v>0</v>
      </c>
      <c r="R100">
        <f>IFERROR(__xludf.DUMMYFUNCTION("iferror(if(P100=1,H100-MIN(filter(H:H,G:G&lt;G100,E:E=E100,H:H&lt;H100)),""""),"""")"),1.0)</f>
        <v>1</v>
      </c>
    </row>
    <row r="101">
      <c r="A101" s="1" t="s">
        <v>1472</v>
      </c>
      <c r="B101" s="1" t="s">
        <v>1551</v>
      </c>
      <c r="D101" s="1" t="s">
        <v>172</v>
      </c>
      <c r="E101" t="str">
        <f>iferror(vlookup(D101,'Teams-Conference'!C:D,2,0),"Independent")</f>
        <v>Pac12</v>
      </c>
      <c r="F101" t="str">
        <f>iferror(offset(DraftTracker!D$1,match(D101,DraftTracker!F:F,0)-1,0),"")</f>
        <v>Nick A.</v>
      </c>
      <c r="G101">
        <f>iferror(match(D101,DraftTracker!F$2:F131,0),counta(DraftTracker!F:F))</f>
        <v>23</v>
      </c>
      <c r="H101" s="169">
        <f>VLOOKUP(D101,'Current Week'!B:D,2,0)</f>
        <v>6</v>
      </c>
      <c r="I101">
        <f>iferror(VLOOKUP(D101,DraftTracker!F:I,3,0)+if((VLOOKUP(D101,DraftTracker!F:I,4,0)-VLOOKUP(D101,DraftTracker!F:I,3,0))&gt;0,(VLOOKUP(D101,DraftTracker!F:I,4,0)-VLOOKUP(D101,DraftTracker!F:I,3,0)),0)*0.5,"")</f>
        <v>0</v>
      </c>
      <c r="J101" s="198">
        <f>iferror(VLOOKUP(D101,DraftTracker!F:K,5,0)+(VLOOKUP(D101,DraftTracker!F:K,6,0)-VLOOKUP(D101,DraftTracker!F:K,5,0))*0.5,"")</f>
        <v>2</v>
      </c>
      <c r="K101">
        <f>VLOOKUP(D101,'Current Week'!B:D,3,0)</f>
        <v>6</v>
      </c>
      <c r="L101">
        <f>IFERROR(__xludf.DUMMYFUNCTION("iferror(max(filter(H:H,G:G&gt;G101,E:E=E101)),0)"),8.0)</f>
        <v>8</v>
      </c>
      <c r="M101">
        <f>IFERROR(__xludf.DUMMYFUNCTION("iferror(countif(filter(H:H,G:G&lt;G101,E:E=E101),""&lt;""&amp;H101),0)"),0.0)</f>
        <v>0</v>
      </c>
      <c r="N101" s="169">
        <f t="shared" si="1"/>
        <v>2</v>
      </c>
      <c r="O101">
        <f t="shared" si="2"/>
        <v>1</v>
      </c>
      <c r="P101">
        <f t="shared" si="3"/>
        <v>0</v>
      </c>
      <c r="Q101" t="b">
        <f>IFERROR(__xludf.DUMMYFUNCTION("N101=max(filter(N:N,F:F=F101,E:E&lt;&gt;""MWC""))"),FALSE)</f>
        <v>0</v>
      </c>
      <c r="R101" t="str">
        <f>IFERROR(__xludf.DUMMYFUNCTION("iferror(if(P101=1,H101-MIN(filter(H:H,G:G&lt;G101,E:E=E101,H:H&lt;H101)),""""),"""")"),"")</f>
        <v/>
      </c>
    </row>
    <row r="102">
      <c r="A102" s="1" t="s">
        <v>169</v>
      </c>
      <c r="B102" s="1" t="s">
        <v>1825</v>
      </c>
      <c r="D102" s="1" t="s">
        <v>169</v>
      </c>
      <c r="E102" t="str">
        <f>iferror(vlookup(D102,'Teams-Conference'!C:D,2,0),"Independent")</f>
        <v>Pac12</v>
      </c>
      <c r="F102" t="str">
        <f>iferror(offset(DraftTracker!D$1,match(D102,DraftTracker!F:F,0)-1,0),"")</f>
        <v>Josh R.</v>
      </c>
      <c r="G102">
        <f>iferror(match(D102,DraftTracker!F$2:F131,0),counta(DraftTracker!F:F))</f>
        <v>58</v>
      </c>
      <c r="H102" s="169">
        <f>VLOOKUP(D102,'Current Week'!B:D,2,0)</f>
        <v>8</v>
      </c>
      <c r="I102">
        <f>iferror(VLOOKUP(D102,DraftTracker!F:I,3,0)+if((VLOOKUP(D102,DraftTracker!F:I,4,0)-VLOOKUP(D102,DraftTracker!F:I,3,0))&gt;0,(VLOOKUP(D102,DraftTracker!F:I,4,0)-VLOOKUP(D102,DraftTracker!F:I,3,0)),0)*0.5,"")</f>
        <v>4</v>
      </c>
      <c r="J102" s="198">
        <f>iferror(VLOOKUP(D102,DraftTracker!F:K,5,0)+(VLOOKUP(D102,DraftTracker!F:K,6,0)-VLOOKUP(D102,DraftTracker!F:K,5,0))*0.5,"")</f>
        <v>0.5</v>
      </c>
      <c r="K102">
        <f>VLOOKUP(D102,'Current Week'!B:D,3,0)</f>
        <v>4</v>
      </c>
      <c r="L102">
        <f>IFERROR(__xludf.DUMMYFUNCTION("iferror(max(filter(H:H,G:G&gt;G102,E:E=E102)),0)"),7.0)</f>
        <v>7</v>
      </c>
      <c r="M102">
        <f>IFERROR(__xludf.DUMMYFUNCTION("iferror(countif(filter(H:H,G:G&lt;G102,E:E=E102),""&lt;""&amp;H102),0)"),2.0)</f>
        <v>2</v>
      </c>
      <c r="N102">
        <f t="shared" si="1"/>
        <v>0</v>
      </c>
      <c r="O102">
        <f t="shared" si="2"/>
        <v>0</v>
      </c>
      <c r="P102">
        <f t="shared" si="3"/>
        <v>1</v>
      </c>
      <c r="Q102" t="b">
        <f>IFERROR(__xludf.DUMMYFUNCTION("N102=max(filter(N:N,F:F=F102,E:E&lt;&gt;""MWC""))"),FALSE)</f>
        <v>0</v>
      </c>
      <c r="R102">
        <f>IFERROR(__xludf.DUMMYFUNCTION("iferror(if(P102=1,H102-MIN(filter(H:H,G:G&lt;G102,E:E=E102,H:H&lt;H102)),""""),"""")"),2.0)</f>
        <v>2</v>
      </c>
    </row>
    <row r="103">
      <c r="A103" s="1" t="s">
        <v>1466</v>
      </c>
      <c r="B103" s="1" t="s">
        <v>1826</v>
      </c>
      <c r="D103" s="1" t="s">
        <v>164</v>
      </c>
      <c r="E103" t="str">
        <f>iferror(vlookup(D103,'Teams-Conference'!C:D,2,0),"Independent")</f>
        <v>Pac12</v>
      </c>
      <c r="F103" t="str">
        <f>iferror(offset(DraftTracker!D$1,match(D103,DraftTracker!F:F,0)-1,0),"")</f>
        <v>Jeannine</v>
      </c>
      <c r="G103">
        <f>iferror(match(D103,DraftTracker!F$2:F131,0),counta(DraftTracker!F:F))</f>
        <v>78</v>
      </c>
      <c r="H103" s="169">
        <f>VLOOKUP(D103,'Current Week'!B:D,2,0)</f>
        <v>5</v>
      </c>
      <c r="I103">
        <f>iferror(VLOOKUP(D103,DraftTracker!F:I,3,0)+if((VLOOKUP(D103,DraftTracker!F:I,4,0)-VLOOKUP(D103,DraftTracker!F:I,3,0))&gt;0,(VLOOKUP(D103,DraftTracker!F:I,4,0)-VLOOKUP(D103,DraftTracker!F:I,3,0)),0)*0.5,"")</f>
        <v>0</v>
      </c>
      <c r="J103" s="198">
        <f>iferror(VLOOKUP(D103,DraftTracker!F:K,5,0)+(VLOOKUP(D103,DraftTracker!F:K,6,0)-VLOOKUP(D103,DraftTracker!F:K,5,0))*0.5,"")</f>
        <v>2</v>
      </c>
      <c r="K103">
        <f>VLOOKUP(D103,'Current Week'!B:D,3,0)</f>
        <v>7</v>
      </c>
      <c r="L103">
        <f>IFERROR(__xludf.DUMMYFUNCTION("iferror(max(filter(H:H,G:G&gt;G103,E:E=E103)),0)"),5.0)</f>
        <v>5</v>
      </c>
      <c r="M103">
        <f>IFERROR(__xludf.DUMMYFUNCTION("iferror(countif(filter(H:H,G:G&lt;G103,E:E=E103),""&lt;""&amp;H103),0)"),3.0)</f>
        <v>3</v>
      </c>
      <c r="N103">
        <f t="shared" si="1"/>
        <v>0</v>
      </c>
      <c r="O103">
        <f t="shared" si="2"/>
        <v>0</v>
      </c>
      <c r="P103">
        <f t="shared" si="3"/>
        <v>1</v>
      </c>
      <c r="Q103" t="b">
        <f>IFERROR(__xludf.DUMMYFUNCTION("N103=max(filter(N:N,F:F=F103,E:E&lt;&gt;""MWC""))"),FALSE)</f>
        <v>0</v>
      </c>
      <c r="R103">
        <f>IFERROR(__xludf.DUMMYFUNCTION("iferror(if(P103=1,H103-MIN(filter(H:H,G:G&lt;G103,E:E=E103,H:H&lt;H103)),""""),"""")"),1.0)</f>
        <v>1</v>
      </c>
    </row>
    <row r="104">
      <c r="A104" s="1" t="s">
        <v>1464</v>
      </c>
      <c r="B104" s="1" t="s">
        <v>1827</v>
      </c>
      <c r="D104" s="1" t="s">
        <v>162</v>
      </c>
      <c r="E104" t="str">
        <f>iferror(vlookup(D104,'Teams-Conference'!C:D,2,0),"Independent")</f>
        <v>Pac12</v>
      </c>
      <c r="F104" t="str">
        <f>iferror(offset(DraftTracker!D$1,match(D104,DraftTracker!F:F,0)-1,0),"")</f>
        <v>Nico</v>
      </c>
      <c r="G104">
        <f>iferror(match(D104,DraftTracker!F$2:F131,0),counta(DraftTracker!F:F))</f>
        <v>68</v>
      </c>
      <c r="H104" s="169">
        <f>VLOOKUP(D104,'Current Week'!B:D,2,0)</f>
        <v>7</v>
      </c>
      <c r="I104">
        <f>iferror(VLOOKUP(D104,DraftTracker!F:I,3,0)+if((VLOOKUP(D104,DraftTracker!F:I,4,0)-VLOOKUP(D104,DraftTracker!F:I,3,0))&gt;0,(VLOOKUP(D104,DraftTracker!F:I,4,0)-VLOOKUP(D104,DraftTracker!F:I,3,0)),0)*0.5,"")</f>
        <v>4</v>
      </c>
      <c r="J104" s="198">
        <f>iferror(VLOOKUP(D104,DraftTracker!F:K,5,0)+(VLOOKUP(D104,DraftTracker!F:K,6,0)-VLOOKUP(D104,DraftTracker!F:K,5,0))*0.5,"")</f>
        <v>2.5</v>
      </c>
      <c r="K104">
        <f>VLOOKUP(D104,'Current Week'!B:D,3,0)</f>
        <v>5</v>
      </c>
      <c r="L104">
        <f>IFERROR(__xludf.DUMMYFUNCTION("iferror(max(filter(H:H,G:G&gt;G104,E:E=E104)),0)"),7.0)</f>
        <v>7</v>
      </c>
      <c r="M104">
        <f>IFERROR(__xludf.DUMMYFUNCTION("iferror(countif(filter(H:H,G:G&lt;G104,E:E=E104),""&lt;""&amp;H104),0)"),2.0)</f>
        <v>2</v>
      </c>
      <c r="N104">
        <f t="shared" si="1"/>
        <v>0</v>
      </c>
      <c r="O104">
        <f t="shared" si="2"/>
        <v>0</v>
      </c>
      <c r="P104">
        <f t="shared" si="3"/>
        <v>1</v>
      </c>
      <c r="Q104" t="b">
        <f>IFERROR(__xludf.DUMMYFUNCTION("N104=max(filter(N:N,F:F=F104,E:E&lt;&gt;""MWC""))"),FALSE)</f>
        <v>0</v>
      </c>
      <c r="R104">
        <f>IFERROR(__xludf.DUMMYFUNCTION("iferror(if(P104=1,H104-MIN(filter(H:H,G:G&lt;G104,E:E=E104,H:H&lt;H104)),""""),"""")"),3.0)</f>
        <v>3</v>
      </c>
    </row>
    <row r="105">
      <c r="A105" s="1" t="s">
        <v>1463</v>
      </c>
      <c r="B105" s="1" t="s">
        <v>1577</v>
      </c>
      <c r="D105" s="1" t="s">
        <v>161</v>
      </c>
      <c r="E105" t="str">
        <f>iferror(vlookup(D105,'Teams-Conference'!C:D,2,0),"Independent")</f>
        <v>Pac12</v>
      </c>
      <c r="F105" t="str">
        <f>iferror(offset(DraftTracker!D$1,match(D105,DraftTracker!F:F,0)-1,0),"")</f>
        <v>Janice/Mike</v>
      </c>
      <c r="G105">
        <f>iferror(match(D105,DraftTracker!F$2:F131,0),counta(DraftTracker!F:F))</f>
        <v>69</v>
      </c>
      <c r="H105" s="169">
        <f>VLOOKUP(D105,'Current Week'!B:D,2,0)</f>
        <v>4</v>
      </c>
      <c r="I105">
        <f>iferror(VLOOKUP(D105,DraftTracker!F:I,3,0)+if((VLOOKUP(D105,DraftTracker!F:I,4,0)-VLOOKUP(D105,DraftTracker!F:I,3,0))&gt;0,(VLOOKUP(D105,DraftTracker!F:I,4,0)-VLOOKUP(D105,DraftTracker!F:I,3,0)),0)*0.5,"")</f>
        <v>3</v>
      </c>
      <c r="J105" s="198">
        <f>iferror(VLOOKUP(D105,DraftTracker!F:K,5,0)+(VLOOKUP(D105,DraftTracker!F:K,6,0)-VLOOKUP(D105,DraftTracker!F:K,5,0))*0.5,"")</f>
        <v>3</v>
      </c>
      <c r="K105">
        <f>VLOOKUP(D105,'Current Week'!B:D,3,0)</f>
        <v>8</v>
      </c>
      <c r="L105">
        <f>IFERROR(__xludf.DUMMYFUNCTION("iferror(max(filter(H:H,G:G&gt;G105,E:E=E105)),0)"),7.0)</f>
        <v>7</v>
      </c>
      <c r="M105">
        <f>IFERROR(__xludf.DUMMYFUNCTION("iferror(countif(filter(H:H,G:G&lt;G105,E:E=E105),""&lt;""&amp;H105),0)"),0.0)</f>
        <v>0</v>
      </c>
      <c r="N105" s="169">
        <f t="shared" si="1"/>
        <v>3</v>
      </c>
      <c r="O105">
        <f t="shared" si="2"/>
        <v>1</v>
      </c>
      <c r="P105">
        <f t="shared" si="3"/>
        <v>0</v>
      </c>
      <c r="Q105" t="b">
        <f>IFERROR(__xludf.DUMMYFUNCTION("N105=max(filter(N:N,F:F=F105,E:E&lt;&gt;""MWC""))"),FALSE)</f>
        <v>0</v>
      </c>
      <c r="R105" t="str">
        <f>IFERROR(__xludf.DUMMYFUNCTION("iferror(if(P105=1,H105-MIN(filter(H:H,G:G&lt;G105,E:E=E105,H:H&lt;H105)),""""),"""")"),"")</f>
        <v/>
      </c>
    </row>
    <row r="106">
      <c r="A106" s="1" t="s">
        <v>1457</v>
      </c>
      <c r="B106" s="1" t="s">
        <v>1828</v>
      </c>
      <c r="D106" s="1" t="s">
        <v>154</v>
      </c>
      <c r="E106" t="str">
        <f>iferror(vlookup(D106,'Teams-Conference'!C:D,2,0),"Independent")</f>
        <v>MWC</v>
      </c>
      <c r="F106" t="str">
        <f>iferror(offset(DraftTracker!D$1,match(D106,DraftTracker!F:F,0)-1,0),"")</f>
        <v>Josh R.</v>
      </c>
      <c r="G106">
        <f>iferror(match(D106,DraftTracker!F$2:F131,0),counta(DraftTracker!F:F))</f>
        <v>34</v>
      </c>
      <c r="H106" s="169">
        <f>VLOOKUP(D106,'Current Week'!B:D,2,0)</f>
        <v>7</v>
      </c>
      <c r="I106">
        <f>iferror(VLOOKUP(D106,DraftTracker!F:I,3,0)+if((VLOOKUP(D106,DraftTracker!F:I,4,0)-VLOOKUP(D106,DraftTracker!F:I,3,0))&gt;0,(VLOOKUP(D106,DraftTracker!F:I,4,0)-VLOOKUP(D106,DraftTracker!F:I,3,0)),0)*0.5,"")</f>
        <v>3</v>
      </c>
      <c r="J106" s="198">
        <f>iferror(VLOOKUP(D106,DraftTracker!F:K,5,0)+(VLOOKUP(D106,DraftTracker!F:K,6,0)-VLOOKUP(D106,DraftTracker!F:K,5,0))*0.5,"")</f>
        <v>2</v>
      </c>
      <c r="K106">
        <f>VLOOKUP(D106,'Current Week'!B:D,3,0)</f>
        <v>5</v>
      </c>
      <c r="L106">
        <f>IFERROR(__xludf.DUMMYFUNCTION("iferror(max(filter(H:H,G:G&gt;G106,E:E=E106)),0)"),9.0)</f>
        <v>9</v>
      </c>
      <c r="M106">
        <f>IFERROR(__xludf.DUMMYFUNCTION("iferror(countif(filter(H:H,G:G&lt;G106,E:E=E106),""&lt;""&amp;H106),0)"),1.0)</f>
        <v>1</v>
      </c>
      <c r="N106" s="169">
        <f t="shared" si="1"/>
        <v>2</v>
      </c>
      <c r="O106">
        <f t="shared" si="2"/>
        <v>1</v>
      </c>
      <c r="P106">
        <f t="shared" si="3"/>
        <v>0</v>
      </c>
      <c r="Q106" t="b">
        <f>IFERROR(__xludf.DUMMYFUNCTION("N106=max(filter(N:N,F:F=F106,E:E&lt;&gt;""MWC""))"),FALSE)</f>
        <v>0</v>
      </c>
      <c r="R106" t="str">
        <f>IFERROR(__xludf.DUMMYFUNCTION("iferror(if(P106=1,H106-MIN(filter(H:H,G:G&lt;G106,E:E=E106,H:H&lt;H106)),""""),"""")"),"")</f>
        <v/>
      </c>
    </row>
    <row r="107">
      <c r="A107" s="1" t="s">
        <v>1470</v>
      </c>
      <c r="B107" s="1" t="s">
        <v>1829</v>
      </c>
      <c r="D107" s="1" t="s">
        <v>170</v>
      </c>
      <c r="E107" t="str">
        <f>iferror(vlookup(D107,'Teams-Conference'!C:D,2,0),"Independent")</f>
        <v>Pac12</v>
      </c>
      <c r="F107" t="str">
        <f>iferror(offset(DraftTracker!D$1,match(D107,DraftTracker!F:F,0)-1,0),"")</f>
        <v>Brad</v>
      </c>
      <c r="G107">
        <f>iferror(match(D107,DraftTracker!F$2:F131,0),counta(DraftTracker!F:F))</f>
        <v>14</v>
      </c>
      <c r="H107" s="169">
        <f>VLOOKUP(D107,'Current Week'!B:D,2,0)</f>
        <v>11</v>
      </c>
      <c r="I107">
        <f>iferror(VLOOKUP(D107,DraftTracker!F:I,3,0)+if((VLOOKUP(D107,DraftTracker!F:I,4,0)-VLOOKUP(D107,DraftTracker!F:I,3,0))&gt;0,(VLOOKUP(D107,DraftTracker!F:I,4,0)-VLOOKUP(D107,DraftTracker!F:I,3,0)),0)*0.5,"")</f>
        <v>2</v>
      </c>
      <c r="J107" s="198">
        <f>iferror(VLOOKUP(D107,DraftTracker!F:K,5,0)+(VLOOKUP(D107,DraftTracker!F:K,6,0)-VLOOKUP(D107,DraftTracker!F:K,5,0))*0.5,"")</f>
        <v>0.5</v>
      </c>
      <c r="K107">
        <f>VLOOKUP(D107,'Current Week'!B:D,3,0)</f>
        <v>1</v>
      </c>
      <c r="L107">
        <f>IFERROR(__xludf.DUMMYFUNCTION("iferror(max(filter(H:H,G:G&gt;G107,E:E=E107)),0)"),10.0)</f>
        <v>10</v>
      </c>
      <c r="M107">
        <f>IFERROR(__xludf.DUMMYFUNCTION("iferror(countif(filter(H:H,G:G&lt;G107,E:E=E107),""&lt;""&amp;H107),0)"),1.0)</f>
        <v>1</v>
      </c>
      <c r="N107">
        <f t="shared" si="1"/>
        <v>0</v>
      </c>
      <c r="O107">
        <f t="shared" si="2"/>
        <v>0</v>
      </c>
      <c r="P107">
        <f t="shared" si="3"/>
        <v>1</v>
      </c>
      <c r="Q107" t="b">
        <f>IFERROR(__xludf.DUMMYFUNCTION("N107=max(filter(N:N,F:F=F107,E:E&lt;&gt;""MWC""))"),FALSE)</f>
        <v>0</v>
      </c>
      <c r="R107">
        <f>IFERROR(__xludf.DUMMYFUNCTION("iferror(if(P107=1,H107-MIN(filter(H:H,G:G&lt;G107,E:E=E107,H:H&lt;H107)),""""),"""")"),4.0)</f>
        <v>4</v>
      </c>
    </row>
    <row r="108">
      <c r="A108" s="1" t="s">
        <v>1477</v>
      </c>
      <c r="B108" s="1" t="s">
        <v>1602</v>
      </c>
      <c r="D108" s="1" t="s">
        <v>176</v>
      </c>
      <c r="E108" t="str">
        <f>iferror(vlookup(D108,'Teams-Conference'!C:D,2,0),"Independent")</f>
        <v>SEC</v>
      </c>
      <c r="F108" t="str">
        <f>iferror(offset(DraftTracker!D$1,match(D108,DraftTracker!F:F,0)-1,0),"")</f>
        <v>Nico</v>
      </c>
      <c r="G108">
        <f>iferror(match(D108,DraftTracker!F$2:F131,0),counta(DraftTracker!F:F))</f>
        <v>5</v>
      </c>
      <c r="H108" s="169">
        <f>VLOOKUP(D108,'Current Week'!B:D,2,0)</f>
        <v>11</v>
      </c>
      <c r="I108">
        <f>iferror(VLOOKUP(D108,DraftTracker!F:I,3,0)+if((VLOOKUP(D108,DraftTracker!F:I,4,0)-VLOOKUP(D108,DraftTracker!F:I,3,0))&gt;0,(VLOOKUP(D108,DraftTracker!F:I,4,0)-VLOOKUP(D108,DraftTracker!F:I,3,0)),0)*0.5,"")</f>
        <v>0</v>
      </c>
      <c r="J108" s="198">
        <f>iferror(VLOOKUP(D108,DraftTracker!F:K,5,0)+(VLOOKUP(D108,DraftTracker!F:K,6,0)-VLOOKUP(D108,DraftTracker!F:K,5,0))*0.5,"")</f>
        <v>0</v>
      </c>
      <c r="K108">
        <f>VLOOKUP(D108,'Current Week'!B:D,3,0)</f>
        <v>1</v>
      </c>
      <c r="L108">
        <f>IFERROR(__xludf.DUMMYFUNCTION("iferror(max(filter(H:H,G:G&gt;G108,E:E=E108)),0)"),12.0)</f>
        <v>12</v>
      </c>
      <c r="M108">
        <f>IFERROR(__xludf.DUMMYFUNCTION("iferror(countif(filter(H:H,G:G&lt;G108,E:E=E108),""&lt;""&amp;H108),0)"),1.0)</f>
        <v>1</v>
      </c>
      <c r="N108" s="169">
        <f t="shared" si="1"/>
        <v>1</v>
      </c>
      <c r="O108">
        <f t="shared" si="2"/>
        <v>1</v>
      </c>
      <c r="P108">
        <f t="shared" si="3"/>
        <v>0</v>
      </c>
      <c r="Q108" t="b">
        <f>IFERROR(__xludf.DUMMYFUNCTION("N108=max(filter(N:N,F:F=F108,E:E&lt;&gt;""MWC""))"),FALSE)</f>
        <v>0</v>
      </c>
      <c r="R108" t="str">
        <f>IFERROR(__xludf.DUMMYFUNCTION("iferror(if(P108=1,H108-MIN(filter(H:H,G:G&lt;G108,E:E=E108,H:H&lt;H108)),""""),"""")"),"")</f>
        <v/>
      </c>
    </row>
    <row r="109">
      <c r="A109" s="1" t="s">
        <v>1478</v>
      </c>
      <c r="B109" s="1" t="s">
        <v>1577</v>
      </c>
      <c r="D109" s="1" t="s">
        <v>177</v>
      </c>
      <c r="E109" t="str">
        <f>iferror(vlookup(D109,'Teams-Conference'!C:D,2,0),"Independent")</f>
        <v>SEC</v>
      </c>
      <c r="F109" t="str">
        <f>iferror(offset(DraftTracker!D$1,match(D109,DraftTracker!F:F,0)-1,0),"")</f>
        <v>Josh R.</v>
      </c>
      <c r="G109">
        <f>iferror(match(D109,DraftTracker!F$2:F131,0),counta(DraftTracker!F:F))</f>
        <v>106</v>
      </c>
      <c r="H109" s="169">
        <f>VLOOKUP(D109,'Current Week'!B:D,2,0)</f>
        <v>7</v>
      </c>
      <c r="I109">
        <f>iferror(VLOOKUP(D109,DraftTracker!F:I,3,0)+if((VLOOKUP(D109,DraftTracker!F:I,4,0)-VLOOKUP(D109,DraftTracker!F:I,3,0))&gt;0,(VLOOKUP(D109,DraftTracker!F:I,4,0)-VLOOKUP(D109,DraftTracker!F:I,3,0)),0)*0.5,"")</f>
        <v>2.5</v>
      </c>
      <c r="J109" s="198">
        <f>iferror(VLOOKUP(D109,DraftTracker!F:K,5,0)+(VLOOKUP(D109,DraftTracker!F:K,6,0)-VLOOKUP(D109,DraftTracker!F:K,5,0))*0.5,"")</f>
        <v>1.5</v>
      </c>
      <c r="K109">
        <f>VLOOKUP(D109,'Current Week'!B:D,3,0)</f>
        <v>5</v>
      </c>
      <c r="L109">
        <f>IFERROR(__xludf.DUMMYFUNCTION("iferror(max(filter(H:H,G:G&gt;G109,E:E=E109)),0)"),6.0)</f>
        <v>6</v>
      </c>
      <c r="M109">
        <f>IFERROR(__xludf.DUMMYFUNCTION("iferror(countif(filter(H:H,G:G&lt;G109,E:E=E109),""&lt;""&amp;H109),0)"),2.0)</f>
        <v>2</v>
      </c>
      <c r="N109">
        <f t="shared" si="1"/>
        <v>0</v>
      </c>
      <c r="O109">
        <f t="shared" si="2"/>
        <v>0</v>
      </c>
      <c r="P109">
        <f t="shared" si="3"/>
        <v>1</v>
      </c>
      <c r="Q109" t="b">
        <f>IFERROR(__xludf.DUMMYFUNCTION("N109=max(filter(N:N,F:F=F109,E:E&lt;&gt;""MWC""))"),FALSE)</f>
        <v>0</v>
      </c>
      <c r="R109">
        <f>IFERROR(__xludf.DUMMYFUNCTION("iferror(if(P109=1,H109-MIN(filter(H:H,G:G&lt;G109,E:E=E109,H:H&lt;H109)),""""),"""")"),1.0)</f>
        <v>1</v>
      </c>
    </row>
    <row r="110">
      <c r="A110" s="1" t="s">
        <v>1480</v>
      </c>
      <c r="B110" s="1" t="s">
        <v>1554</v>
      </c>
      <c r="D110" s="1" t="s">
        <v>180</v>
      </c>
      <c r="E110" t="str">
        <f>iferror(vlookup(D110,'Teams-Conference'!C:D,2,0),"Independent")</f>
        <v>SEC</v>
      </c>
      <c r="F110" t="str">
        <f>iferror(offset(DraftTracker!D$1,match(D110,DraftTracker!F:F,0)-1,0),"")</f>
        <v>Gary</v>
      </c>
      <c r="G110">
        <f>iferror(match(D110,DraftTracker!F$2:F131,0),counta(DraftTracker!F:F))</f>
        <v>99</v>
      </c>
      <c r="H110" s="169">
        <f>VLOOKUP(D110,'Current Week'!B:D,2,0)</f>
        <v>6</v>
      </c>
      <c r="I110">
        <f>iferror(VLOOKUP(D110,DraftTracker!F:I,3,0)+if((VLOOKUP(D110,DraftTracker!F:I,4,0)-VLOOKUP(D110,DraftTracker!F:I,3,0))&gt;0,(VLOOKUP(D110,DraftTracker!F:I,4,0)-VLOOKUP(D110,DraftTracker!F:I,3,0)),0)*0.5,"")</f>
        <v>4</v>
      </c>
      <c r="J110" s="198">
        <f>iferror(VLOOKUP(D110,DraftTracker!F:K,5,0)+(VLOOKUP(D110,DraftTracker!F:K,6,0)-VLOOKUP(D110,DraftTracker!F:K,5,0))*0.5,"")</f>
        <v>3</v>
      </c>
      <c r="K110">
        <f>VLOOKUP(D110,'Current Week'!B:D,3,0)</f>
        <v>6</v>
      </c>
      <c r="L110">
        <f>IFERROR(__xludf.DUMMYFUNCTION("iferror(max(filter(H:H,G:G&gt;G110,E:E=E110)),0)"),7.0)</f>
        <v>7</v>
      </c>
      <c r="M110">
        <f>IFERROR(__xludf.DUMMYFUNCTION("iferror(countif(filter(H:H,G:G&lt;G110,E:E=E110),""&lt;""&amp;H110),0)"),0.0)</f>
        <v>0</v>
      </c>
      <c r="N110" s="169">
        <f t="shared" si="1"/>
        <v>1</v>
      </c>
      <c r="O110">
        <f t="shared" si="2"/>
        <v>1</v>
      </c>
      <c r="P110">
        <f t="shared" si="3"/>
        <v>0</v>
      </c>
      <c r="Q110" t="b">
        <f>IFERROR(__xludf.DUMMYFUNCTION("N110=max(filter(N:N,F:F=F110,E:E&lt;&gt;""MWC""))"),FALSE)</f>
        <v>0</v>
      </c>
      <c r="R110" t="str">
        <f>IFERROR(__xludf.DUMMYFUNCTION("iferror(if(P110=1,H110-MIN(filter(H:H,G:G&lt;G110,E:E=E110,H:H&lt;H110)),""""),"""")"),"")</f>
        <v/>
      </c>
    </row>
    <row r="111">
      <c r="A111" s="1" t="s">
        <v>1483</v>
      </c>
      <c r="B111" s="1" t="s">
        <v>1830</v>
      </c>
      <c r="D111" s="1" t="s">
        <v>183</v>
      </c>
      <c r="E111" t="str">
        <f>iferror(vlookup(D111,'Teams-Conference'!C:D,2,0),"Independent")</f>
        <v>SEC</v>
      </c>
      <c r="F111" t="str">
        <f>iferror(offset(DraftTracker!D$1,match(D111,DraftTracker!F:F,0)-1,0),"")</f>
        <v>Justin</v>
      </c>
      <c r="G111">
        <f>iferror(match(D111,DraftTracker!F$2:F131,0),counta(DraftTracker!F:F))</f>
        <v>103</v>
      </c>
      <c r="H111" s="169">
        <f>VLOOKUP(D111,'Current Week'!B:D,2,0)</f>
        <v>7</v>
      </c>
      <c r="I111">
        <f>iferror(VLOOKUP(D111,DraftTracker!F:I,3,0)+if((VLOOKUP(D111,DraftTracker!F:I,4,0)-VLOOKUP(D111,DraftTracker!F:I,3,0))&gt;0,(VLOOKUP(D111,DraftTracker!F:I,4,0)-VLOOKUP(D111,DraftTracker!F:I,3,0)),0)*0.5,"")</f>
        <v>3</v>
      </c>
      <c r="J111" s="198">
        <f>iferror(VLOOKUP(D111,DraftTracker!F:K,5,0)+(VLOOKUP(D111,DraftTracker!F:K,6,0)-VLOOKUP(D111,DraftTracker!F:K,5,0))*0.5,"")</f>
        <v>1.5</v>
      </c>
      <c r="K111">
        <f>VLOOKUP(D111,'Current Week'!B:D,3,0)</f>
        <v>5</v>
      </c>
      <c r="L111">
        <f>IFERROR(__xludf.DUMMYFUNCTION("iferror(max(filter(H:H,G:G&gt;G111,E:E=E111)),0)"),7.0)</f>
        <v>7</v>
      </c>
      <c r="M111">
        <f>IFERROR(__xludf.DUMMYFUNCTION("iferror(countif(filter(H:H,G:G&lt;G111,E:E=E111),""&lt;""&amp;H111),0)"),2.0)</f>
        <v>2</v>
      </c>
      <c r="N111">
        <f t="shared" si="1"/>
        <v>0</v>
      </c>
      <c r="O111">
        <f t="shared" si="2"/>
        <v>0</v>
      </c>
      <c r="P111">
        <f t="shared" si="3"/>
        <v>1</v>
      </c>
      <c r="Q111" t="b">
        <f>IFERROR(__xludf.DUMMYFUNCTION("N111=max(filter(N:N,F:F=F111,E:E&lt;&gt;""MWC""))"),FALSE)</f>
        <v>0</v>
      </c>
      <c r="R111">
        <f>IFERROR(__xludf.DUMMYFUNCTION("iferror(if(P111=1,H111-MIN(filter(H:H,G:G&lt;G111,E:E=E111,H:H&lt;H111)),""""),"""")"),1.0)</f>
        <v>1</v>
      </c>
    </row>
    <row r="112">
      <c r="A112" s="1" t="s">
        <v>1485</v>
      </c>
      <c r="B112" s="1" t="s">
        <v>1831</v>
      </c>
      <c r="D112" s="1" t="s">
        <v>185</v>
      </c>
      <c r="E112" t="str">
        <f>iferror(vlookup(D112,'Teams-Conference'!C:D,2,0),"Independent")</f>
        <v>SEC</v>
      </c>
      <c r="F112" t="str">
        <f>iferror(offset(DraftTracker!D$1,match(D112,DraftTracker!F:F,0)-1,0),"")</f>
        <v>Undrafted</v>
      </c>
      <c r="G112">
        <f>iferror(match(D112,DraftTracker!F$2:F131,0),counta(DraftTracker!F:F))</f>
        <v>126</v>
      </c>
      <c r="H112" s="1">
        <v>6.0</v>
      </c>
      <c r="I112">
        <f>iferror(VLOOKUP(D112,DraftTracker!F:I,3,0)+if((VLOOKUP(D112,DraftTracker!F:I,4,0)-VLOOKUP(D112,DraftTracker!F:I,3,0))&gt;0,(VLOOKUP(D112,DraftTracker!F:I,4,0)-VLOOKUP(D112,DraftTracker!F:I,3,0)),0)*0.5,"")</f>
        <v>0</v>
      </c>
      <c r="J112" s="198">
        <f>iferror(VLOOKUP(D112,DraftTracker!F:K,5,0)+(VLOOKUP(D112,DraftTracker!F:K,6,0)-VLOOKUP(D112,DraftTracker!F:K,5,0))*0.5,"")</f>
        <v>1</v>
      </c>
      <c r="K112" s="1">
        <v>7.0</v>
      </c>
      <c r="L112">
        <f>IFERROR(__xludf.DUMMYFUNCTION("iferror(max(filter(H:H,G:G&gt;G112,E:E=E112)),0)"),0.0)</f>
        <v>0</v>
      </c>
      <c r="M112">
        <f>IFERROR(__xludf.DUMMYFUNCTION("iferror(countif(filter(H:H,G:G&lt;G112,E:E=E112),""&lt;""&amp;H112),0)"),3.0)</f>
        <v>3</v>
      </c>
      <c r="N112">
        <f t="shared" si="1"/>
        <v>0</v>
      </c>
      <c r="O112">
        <f t="shared" si="2"/>
        <v>0</v>
      </c>
      <c r="P112">
        <f t="shared" si="3"/>
        <v>1</v>
      </c>
      <c r="Q112" t="b">
        <f>IFERROR(__xludf.DUMMYFUNCTION("N112=max(filter(N:N,F:F=F112,E:E&lt;&gt;""MWC""))"),FALSE)</f>
        <v>0</v>
      </c>
      <c r="R112">
        <f>IFERROR(__xludf.DUMMYFUNCTION("iferror(if(P112=1,H112-MIN(filter(H:H,G:G&lt;G112,E:E=E112,H:H&lt;H112)),""""),"""")"),4.0)</f>
        <v>4</v>
      </c>
    </row>
    <row r="113">
      <c r="A113" s="1" t="s">
        <v>1476</v>
      </c>
      <c r="B113" s="1" t="s">
        <v>1832</v>
      </c>
      <c r="D113" s="1" t="s">
        <v>175</v>
      </c>
      <c r="E113" t="str">
        <f>iferror(vlookup(D113,'Teams-Conference'!C:D,2,0),"Independent")</f>
        <v>SEC</v>
      </c>
      <c r="F113" t="str">
        <f>iferror(offset(DraftTracker!D$1,match(D113,DraftTracker!F:F,0)-1,0),"")</f>
        <v>Adam</v>
      </c>
      <c r="G113">
        <f>iferror(match(D113,DraftTracker!F$2:F131,0),counta(DraftTracker!F:F))</f>
        <v>65</v>
      </c>
      <c r="H113" s="169">
        <f>VLOOKUP(D113,'Current Week'!B:D,2,0)</f>
        <v>10</v>
      </c>
      <c r="I113">
        <f>iferror(VLOOKUP(D113,DraftTracker!F:I,3,0)+if((VLOOKUP(D113,DraftTracker!F:I,4,0)-VLOOKUP(D113,DraftTracker!F:I,3,0))&gt;0,(VLOOKUP(D113,DraftTracker!F:I,4,0)-VLOOKUP(D113,DraftTracker!F:I,3,0)),0)*0.5,"")</f>
        <v>0.5</v>
      </c>
      <c r="J113" s="198">
        <f>iferror(VLOOKUP(D113,DraftTracker!F:K,5,0)+(VLOOKUP(D113,DraftTracker!F:K,6,0)-VLOOKUP(D113,DraftTracker!F:K,5,0))*0.5,"")</f>
        <v>0.5</v>
      </c>
      <c r="K113">
        <f>VLOOKUP(D113,'Current Week'!B:D,3,0)</f>
        <v>2</v>
      </c>
      <c r="L113">
        <f>IFERROR(__xludf.DUMMYFUNCTION("iferror(max(filter(H:H,G:G&gt;G113,E:E=E113)),0)"),7.0)</f>
        <v>7</v>
      </c>
      <c r="M113">
        <f>IFERROR(__xludf.DUMMYFUNCTION("iferror(countif(filter(H:H,G:G&lt;G113,E:E=E113),""&lt;""&amp;H113),0)"),1.0)</f>
        <v>1</v>
      </c>
      <c r="N113">
        <f t="shared" si="1"/>
        <v>0</v>
      </c>
      <c r="O113">
        <f t="shared" si="2"/>
        <v>0</v>
      </c>
      <c r="P113">
        <f t="shared" si="3"/>
        <v>1</v>
      </c>
      <c r="Q113" t="b">
        <f>IFERROR(__xludf.DUMMYFUNCTION("N113=max(filter(N:N,F:F=F113,E:E&lt;&gt;""MWC""))"),FALSE)</f>
        <v>0</v>
      </c>
      <c r="R113">
        <f>IFERROR(__xludf.DUMMYFUNCTION("iferror(if(P113=1,H113-MIN(filter(H:H,G:G&lt;G113,E:E=E113,H:H&lt;H113)),""""),"""")"),1.0)</f>
        <v>1</v>
      </c>
    </row>
    <row r="114">
      <c r="A114" s="1" t="s">
        <v>1482</v>
      </c>
      <c r="B114" s="1" t="s">
        <v>1833</v>
      </c>
      <c r="D114" s="1" t="s">
        <v>182</v>
      </c>
      <c r="E114" t="str">
        <f>iferror(vlookup(D114,'Teams-Conference'!C:D,2,0),"Independent")</f>
        <v>SEC</v>
      </c>
      <c r="F114" t="str">
        <f>iferror(offset(DraftTracker!D$1,match(D114,DraftTracker!F:F,0)-1,0),"")</f>
        <v>Brad</v>
      </c>
      <c r="G114">
        <f>iferror(match(D114,DraftTracker!F$2:F131,0),counta(DraftTracker!F:F))</f>
        <v>110</v>
      </c>
      <c r="H114" s="169">
        <f>VLOOKUP(D114,'Current Week'!B:D,2,0)</f>
        <v>4</v>
      </c>
      <c r="I114">
        <f>iferror(VLOOKUP(D114,DraftTracker!F:I,3,0)+if((VLOOKUP(D114,DraftTracker!F:I,4,0)-VLOOKUP(D114,DraftTracker!F:I,3,0))&gt;0,(VLOOKUP(D114,DraftTracker!F:I,4,0)-VLOOKUP(D114,DraftTracker!F:I,3,0)),0)*0.5,"")</f>
        <v>2</v>
      </c>
      <c r="J114" s="198">
        <f>iferror(VLOOKUP(D114,DraftTracker!F:K,5,0)+(VLOOKUP(D114,DraftTracker!F:K,6,0)-VLOOKUP(D114,DraftTracker!F:K,5,0))*0.5,"")</f>
        <v>2</v>
      </c>
      <c r="K114">
        <f>VLOOKUP(D114,'Current Week'!B:D,3,0)</f>
        <v>8</v>
      </c>
      <c r="L114">
        <f>IFERROR(__xludf.DUMMYFUNCTION("iferror(max(filter(H:H,G:G&gt;G114,E:E=E114)),0)"),6.0)</f>
        <v>6</v>
      </c>
      <c r="M114">
        <f>IFERROR(__xludf.DUMMYFUNCTION("iferror(countif(filter(H:H,G:G&lt;G114,E:E=E114),""&lt;""&amp;H114),0)"),0.0)</f>
        <v>0</v>
      </c>
      <c r="N114" s="169">
        <f t="shared" si="1"/>
        <v>2</v>
      </c>
      <c r="O114">
        <f t="shared" si="2"/>
        <v>1</v>
      </c>
      <c r="P114">
        <f t="shared" si="3"/>
        <v>0</v>
      </c>
      <c r="Q114" t="b">
        <f>IFERROR(__xludf.DUMMYFUNCTION("N114=max(filter(N:N,F:F=F114,E:E&lt;&gt;""MWC""))"),FALSE)</f>
        <v>0</v>
      </c>
      <c r="R114" t="str">
        <f>IFERROR(__xludf.DUMMYFUNCTION("iferror(if(P114=1,H114-MIN(filter(H:H,G:G&lt;G114,E:E=E114,H:H&lt;H114)),""""),"""")"),"")</f>
        <v/>
      </c>
    </row>
    <row r="115">
      <c r="A115" s="1" t="s">
        <v>1473</v>
      </c>
      <c r="B115" s="1" t="s">
        <v>1834</v>
      </c>
      <c r="D115" s="1" t="s">
        <v>114</v>
      </c>
      <c r="E115" t="str">
        <f>iferror(vlookup(D115,'Teams-Conference'!C:D,2,0),"Independent")</f>
        <v>SEC</v>
      </c>
      <c r="F115" t="str">
        <f>iferror(offset(DraftTracker!D$1,match(D115,DraftTracker!F:F,0)-1,0),"")</f>
        <v>DavEmily</v>
      </c>
      <c r="G115">
        <f>iferror(match(D115,DraftTracker!F$2:F131,0),counta(DraftTracker!F:F))</f>
        <v>1</v>
      </c>
      <c r="H115" s="169">
        <f>VLOOKUP(D115,'Current Week'!B:D,2,0)</f>
        <v>10</v>
      </c>
      <c r="I115">
        <f>iferror(VLOOKUP(D115,DraftTracker!F:I,3,0)+if((VLOOKUP(D115,DraftTracker!F:I,4,0)-VLOOKUP(D115,DraftTracker!F:I,3,0))&gt;0,(VLOOKUP(D115,DraftTracker!F:I,4,0)-VLOOKUP(D115,DraftTracker!F:I,3,0)),0)*0.5,"")</f>
        <v>1</v>
      </c>
      <c r="J115" s="198">
        <f>iferror(VLOOKUP(D115,DraftTracker!F:K,5,0)+(VLOOKUP(D115,DraftTracker!F:K,6,0)-VLOOKUP(D115,DraftTracker!F:K,5,0))*0.5,"")</f>
        <v>0</v>
      </c>
      <c r="K115">
        <f>VLOOKUP(D115,'Current Week'!B:D,3,0)</f>
        <v>2</v>
      </c>
      <c r="L115">
        <f>IFERROR(__xludf.DUMMYFUNCTION("iferror(max(filter(H:H,G:G&gt;G115,E:E=E115)),0)"),12.0)</f>
        <v>12</v>
      </c>
      <c r="M115">
        <f>IFERROR(__xludf.DUMMYFUNCTION("iferror(countif(filter(H:H,G:G&lt;G115,E:E=E115),""&lt;""&amp;H115),0)"),0.0)</f>
        <v>0</v>
      </c>
      <c r="N115" s="169">
        <f t="shared" si="1"/>
        <v>2</v>
      </c>
      <c r="O115">
        <f t="shared" si="2"/>
        <v>1</v>
      </c>
      <c r="P115">
        <f t="shared" si="3"/>
        <v>0</v>
      </c>
      <c r="Q115" t="b">
        <f>IFERROR(__xludf.DUMMYFUNCTION("N115=max(filter(N:N,F:F=F115,E:E&lt;&gt;""MWC""))"),FALSE)</f>
        <v>0</v>
      </c>
      <c r="R115" t="str">
        <f>IFERROR(__xludf.DUMMYFUNCTION("iferror(if(P115=1,H115-MIN(filter(H:H,G:G&lt;G115,E:E=E115,H:H&lt;H115)),""""),"""")"),"")</f>
        <v/>
      </c>
    </row>
    <row r="116">
      <c r="A116" s="1" t="s">
        <v>178</v>
      </c>
      <c r="B116" s="1" t="s">
        <v>1554</v>
      </c>
      <c r="D116" s="1" t="s">
        <v>178</v>
      </c>
      <c r="E116" t="str">
        <f>iferror(vlookup(D116,'Teams-Conference'!C:D,2,0),"Independent")</f>
        <v>SEC</v>
      </c>
      <c r="F116" t="str">
        <f>iferror(offset(DraftTracker!D$1,match(D116,DraftTracker!F:F,0)-1,0),"")</f>
        <v>Nick A.</v>
      </c>
      <c r="G116">
        <f>iferror(match(D116,DraftTracker!F$2:F131,0),counta(DraftTracker!F:F))</f>
        <v>50</v>
      </c>
      <c r="H116" s="169">
        <f>VLOOKUP(D116,'Current Week'!B:D,2,0)</f>
        <v>12</v>
      </c>
      <c r="I116">
        <f>iferror(VLOOKUP(D116,DraftTracker!F:I,3,0)+if((VLOOKUP(D116,DraftTracker!F:I,4,0)-VLOOKUP(D116,DraftTracker!F:I,3,0))&gt;0,(VLOOKUP(D116,DraftTracker!F:I,4,0)-VLOOKUP(D116,DraftTracker!F:I,3,0)),0)*0.5,"")</f>
        <v>1</v>
      </c>
      <c r="J116" s="198">
        <f>iferror(VLOOKUP(D116,DraftTracker!F:K,5,0)+(VLOOKUP(D116,DraftTracker!F:K,6,0)-VLOOKUP(D116,DraftTracker!F:K,5,0))*0.5,"")</f>
        <v>1</v>
      </c>
      <c r="K116">
        <f>VLOOKUP(D116,'Current Week'!B:D,3,0)</f>
        <v>0</v>
      </c>
      <c r="L116">
        <f>IFERROR(__xludf.DUMMYFUNCTION("iferror(max(filter(H:H,G:G&gt;G116,E:E=E116)),0)"),10.0)</f>
        <v>10</v>
      </c>
      <c r="M116">
        <f>IFERROR(__xludf.DUMMYFUNCTION("iferror(countif(filter(H:H,G:G&lt;G116,E:E=E116),""&lt;""&amp;H116),0)"),2.0)</f>
        <v>2</v>
      </c>
      <c r="N116">
        <f t="shared" si="1"/>
        <v>0</v>
      </c>
      <c r="O116">
        <f t="shared" si="2"/>
        <v>0</v>
      </c>
      <c r="P116">
        <f t="shared" si="3"/>
        <v>1</v>
      </c>
      <c r="Q116" t="b">
        <f>IFERROR(__xludf.DUMMYFUNCTION("N116=max(filter(N:N,F:F=F116,E:E&lt;&gt;""MWC""))"),FALSE)</f>
        <v>0</v>
      </c>
      <c r="R116">
        <f>IFERROR(__xludf.DUMMYFUNCTION("iferror(if(P116=1,H116-MIN(filter(H:H,G:G&lt;G116,E:E=E116,H:H&lt;H116)),""""),"""")"),2.0)</f>
        <v>2</v>
      </c>
    </row>
    <row r="117">
      <c r="A117" s="1" t="s">
        <v>1479</v>
      </c>
      <c r="B117" s="1" t="s">
        <v>1602</v>
      </c>
      <c r="D117" s="1" t="s">
        <v>179</v>
      </c>
      <c r="E117" t="str">
        <f>iferror(vlookup(D117,'Teams-Conference'!C:D,2,0),"Independent")</f>
        <v>SEC</v>
      </c>
      <c r="F117" t="str">
        <f>iferror(offset(DraftTracker!D$1,match(D117,DraftTracker!F:F,0)-1,0),"")</f>
        <v>Jeannine</v>
      </c>
      <c r="G117">
        <f>iferror(match(D117,DraftTracker!F$2:F131,0),counta(DraftTracker!F:F))</f>
        <v>102</v>
      </c>
      <c r="H117" s="169">
        <f>VLOOKUP(D117,'Current Week'!B:D,2,0)</f>
        <v>6</v>
      </c>
      <c r="I117">
        <f>iferror(VLOOKUP(D117,DraftTracker!F:I,3,0)+if((VLOOKUP(D117,DraftTracker!F:I,4,0)-VLOOKUP(D117,DraftTracker!F:I,3,0))&gt;0,(VLOOKUP(D117,DraftTracker!F:I,4,0)-VLOOKUP(D117,DraftTracker!F:I,3,0)),0)*0.5,"")</f>
        <v>4</v>
      </c>
      <c r="J117" s="198">
        <f>iferror(VLOOKUP(D117,DraftTracker!F:K,5,0)+(VLOOKUP(D117,DraftTracker!F:K,6,0)-VLOOKUP(D117,DraftTracker!F:K,5,0))*0.5,"")</f>
        <v>1.5</v>
      </c>
      <c r="K117">
        <f>VLOOKUP(D117,'Current Week'!B:D,3,0)</f>
        <v>6</v>
      </c>
      <c r="L117">
        <f>IFERROR(__xludf.DUMMYFUNCTION("iferror(max(filter(H:H,G:G&gt;G117,E:E=E117)),0)"),7.0)</f>
        <v>7</v>
      </c>
      <c r="M117">
        <f>IFERROR(__xludf.DUMMYFUNCTION("iferror(countif(filter(H:H,G:G&lt;G117,E:E=E117),""&lt;""&amp;H117),0)"),0.0)</f>
        <v>0</v>
      </c>
      <c r="N117" s="169">
        <f t="shared" si="1"/>
        <v>1</v>
      </c>
      <c r="O117">
        <f t="shared" si="2"/>
        <v>1</v>
      </c>
      <c r="P117">
        <f t="shared" si="3"/>
        <v>0</v>
      </c>
      <c r="Q117" t="b">
        <f>IFERROR(__xludf.DUMMYFUNCTION("N117=max(filter(N:N,F:F=F117,E:E&lt;&gt;""MWC""))"),FALSE)</f>
        <v>0</v>
      </c>
      <c r="R117" t="str">
        <f>IFERROR(__xludf.DUMMYFUNCTION("iferror(if(P117=1,H117-MIN(filter(H:H,G:G&lt;G117,E:E=E117,H:H&lt;H117)),""""),"""")"),"")</f>
        <v/>
      </c>
    </row>
    <row r="118">
      <c r="A118" s="1" t="s">
        <v>1835</v>
      </c>
      <c r="B118" s="1" t="s">
        <v>1613</v>
      </c>
      <c r="D118" s="1" t="s">
        <v>184</v>
      </c>
      <c r="E118" t="str">
        <f>iferror(vlookup(D118,'Teams-Conference'!C:D,2,0),"Independent")</f>
        <v>SEC</v>
      </c>
      <c r="F118" t="str">
        <f>iferror(offset(DraftTracker!D$1,match(D118,DraftTracker!F:F,0)-1,0),"")</f>
        <v>Vu</v>
      </c>
      <c r="G118">
        <f>iferror(match(D118,DraftTracker!F$2:F131,0),counta(DraftTracker!F:F))</f>
        <v>81</v>
      </c>
      <c r="H118" s="169">
        <f>VLOOKUP(D118,'Current Week'!B:D,2,0)</f>
        <v>7</v>
      </c>
      <c r="I118">
        <f>iferror(VLOOKUP(D118,DraftTracker!F:I,3,0)+if((VLOOKUP(D118,DraftTracker!F:I,4,0)-VLOOKUP(D118,DraftTracker!F:I,3,0))&gt;0,(VLOOKUP(D118,DraftTracker!F:I,4,0)-VLOOKUP(D118,DraftTracker!F:I,3,0)),0)*0.5,"")</f>
        <v>1.5</v>
      </c>
      <c r="J118" s="198">
        <f>iferror(VLOOKUP(D118,DraftTracker!F:K,5,0)+(VLOOKUP(D118,DraftTracker!F:K,6,0)-VLOOKUP(D118,DraftTracker!F:K,5,0))*0.5,"")</f>
        <v>2</v>
      </c>
      <c r="K118">
        <f>VLOOKUP(D118,'Current Week'!B:D,3,0)</f>
        <v>5</v>
      </c>
      <c r="L118">
        <f>IFERROR(__xludf.DUMMYFUNCTION("iferror(max(filter(H:H,G:G&gt;G118,E:E=E118)),0)"),7.0)</f>
        <v>7</v>
      </c>
      <c r="M118">
        <f>IFERROR(__xludf.DUMMYFUNCTION("iferror(countif(filter(H:H,G:G&lt;G118,E:E=E118),""&lt;""&amp;H118),0)"),0.0)</f>
        <v>0</v>
      </c>
      <c r="N118">
        <f t="shared" si="1"/>
        <v>0</v>
      </c>
      <c r="O118">
        <f t="shared" si="2"/>
        <v>0</v>
      </c>
      <c r="P118">
        <f t="shared" si="3"/>
        <v>0</v>
      </c>
      <c r="Q118" t="b">
        <f>IFERROR(__xludf.DUMMYFUNCTION("N118=max(filter(N:N,F:F=F118,E:E&lt;&gt;""MWC""))"),FALSE)</f>
        <v>0</v>
      </c>
      <c r="R118" t="str">
        <f>IFERROR(__xludf.DUMMYFUNCTION("iferror(if(P118=1,H118-MIN(filter(H:H,G:G&lt;G118,E:E=E118,H:H&lt;H118)),""""),"""")"),"")</f>
        <v/>
      </c>
    </row>
    <row r="119">
      <c r="A119" s="1" t="s">
        <v>1474</v>
      </c>
      <c r="B119" s="1" t="s">
        <v>1836</v>
      </c>
      <c r="D119" s="1" t="s">
        <v>173</v>
      </c>
      <c r="E119" t="str">
        <f>iferror(vlookup(D119,'Teams-Conference'!C:D,2,0),"Independent")</f>
        <v>SEC</v>
      </c>
      <c r="F119" t="str">
        <f>iferror(offset(DraftTracker!D$1,match(D119,DraftTracker!F:F,0)-1,0),"")</f>
        <v>Janice/Mike</v>
      </c>
      <c r="G119">
        <f>iferror(match(D119,DraftTracker!F$2:F131,0),counta(DraftTracker!F:F))</f>
        <v>117</v>
      </c>
      <c r="H119" s="169">
        <f>VLOOKUP(D119,'Current Week'!B:D,2,0)</f>
        <v>2</v>
      </c>
      <c r="I119">
        <f>iferror(VLOOKUP(D119,DraftTracker!F:I,3,0)+if((VLOOKUP(D119,DraftTracker!F:I,4,0)-VLOOKUP(D119,DraftTracker!F:I,3,0))&gt;0,(VLOOKUP(D119,DraftTracker!F:I,4,0)-VLOOKUP(D119,DraftTracker!F:I,3,0)),0)*0.5,"")</f>
        <v>2</v>
      </c>
      <c r="J119" s="198">
        <f>iferror(VLOOKUP(D119,DraftTracker!F:K,5,0)+(VLOOKUP(D119,DraftTracker!F:K,6,0)-VLOOKUP(D119,DraftTracker!F:K,5,0))*0.5,"")</f>
        <v>0.5</v>
      </c>
      <c r="K119">
        <f>VLOOKUP(D119,'Current Week'!B:D,3,0)</f>
        <v>10</v>
      </c>
      <c r="L119">
        <f>IFERROR(__xludf.DUMMYFUNCTION("iferror(max(filter(H:H,G:G&gt;G119,E:E=E119)),0)"),6.0)</f>
        <v>6</v>
      </c>
      <c r="M119">
        <f>IFERROR(__xludf.DUMMYFUNCTION("iferror(countif(filter(H:H,G:G&lt;G119,E:E=E119),""&lt;""&amp;H119),0)"),0.0)</f>
        <v>0</v>
      </c>
      <c r="N119" s="169">
        <f t="shared" si="1"/>
        <v>4</v>
      </c>
      <c r="O119">
        <f t="shared" si="2"/>
        <v>1</v>
      </c>
      <c r="P119">
        <f t="shared" si="3"/>
        <v>0</v>
      </c>
      <c r="Q119" t="b">
        <f>IFERROR(__xludf.DUMMYFUNCTION("N119=max(filter(N:N,F:F=F119,E:E&lt;&gt;""MWC""))"),TRUE)</f>
        <v>1</v>
      </c>
      <c r="R119" t="str">
        <f>IFERROR(__xludf.DUMMYFUNCTION("iferror(if(P119=1,H119-MIN(filter(H:H,G:G&lt;G119,E:E=E119,H:H&lt;H119)),""""),"""")"),"")</f>
        <v/>
      </c>
    </row>
    <row r="120">
      <c r="A120" s="1" t="s">
        <v>1475</v>
      </c>
      <c r="B120" s="1" t="s">
        <v>1554</v>
      </c>
      <c r="D120" s="1" t="s">
        <v>174</v>
      </c>
      <c r="E120" t="str">
        <f>iferror(vlookup(D120,'Teams-Conference'!C:D,2,0),"Independent")</f>
        <v>SEC</v>
      </c>
      <c r="F120" t="str">
        <f>iferror(offset(DraftTracker!D$1,match(D120,DraftTracker!F:F,0)-1,0),"")</f>
        <v>Nick G.</v>
      </c>
      <c r="G120">
        <f>iferror(match(D120,DraftTracker!F$2:F131,0),counta(DraftTracker!F:F))</f>
        <v>61</v>
      </c>
      <c r="H120" s="169">
        <f>VLOOKUP(D120,'Current Week'!B:D,2,0)</f>
        <v>9</v>
      </c>
      <c r="I120">
        <f>iferror(VLOOKUP(D120,DraftTracker!F:I,3,0)+if((VLOOKUP(D120,DraftTracker!F:I,4,0)-VLOOKUP(D120,DraftTracker!F:I,3,0))&gt;0,(VLOOKUP(D120,DraftTracker!F:I,4,0)-VLOOKUP(D120,DraftTracker!F:I,3,0)),0)*0.5,"")</f>
        <v>1.5</v>
      </c>
      <c r="J120" s="198">
        <f>iferror(VLOOKUP(D120,DraftTracker!F:K,5,0)+(VLOOKUP(D120,DraftTracker!F:K,6,0)-VLOOKUP(D120,DraftTracker!F:K,5,0))*0.5,"")</f>
        <v>1</v>
      </c>
      <c r="K120">
        <f>VLOOKUP(D120,'Current Week'!B:D,3,0)</f>
        <v>3</v>
      </c>
      <c r="L120">
        <f>IFERROR(__xludf.DUMMYFUNCTION("iferror(max(filter(H:H,G:G&gt;G120,E:E=E120)),0)"),10.0)</f>
        <v>10</v>
      </c>
      <c r="M120">
        <f>IFERROR(__xludf.DUMMYFUNCTION("iferror(countif(filter(H:H,G:G&lt;G120,E:E=E120),""&lt;""&amp;H120),0)"),0.0)</f>
        <v>0</v>
      </c>
      <c r="N120" s="169">
        <f t="shared" si="1"/>
        <v>1</v>
      </c>
      <c r="O120">
        <f t="shared" si="2"/>
        <v>1</v>
      </c>
      <c r="P120">
        <f t="shared" si="3"/>
        <v>0</v>
      </c>
      <c r="Q120" t="b">
        <f>IFERROR(__xludf.DUMMYFUNCTION("N120=max(filter(N:N,F:F=F120,E:E&lt;&gt;""MWC""))"),FALSE)</f>
        <v>0</v>
      </c>
      <c r="R120" t="str">
        <f>IFERROR(__xludf.DUMMYFUNCTION("iferror(if(P120=1,H120-MIN(filter(H:H,G:G&lt;G120,E:E=E120,H:H&lt;H120)),""""),"""")"),"")</f>
        <v/>
      </c>
    </row>
    <row r="121">
      <c r="A121" s="1" t="s">
        <v>1481</v>
      </c>
      <c r="B121" s="1" t="s">
        <v>1813</v>
      </c>
      <c r="D121" s="1" t="s">
        <v>181</v>
      </c>
      <c r="E121" t="str">
        <f>iferror(vlookup(D121,'Teams-Conference'!C:D,2,0),"Independent")</f>
        <v>SEC</v>
      </c>
      <c r="F121" t="str">
        <f>iferror(offset(DraftTracker!D$1,match(D121,DraftTracker!F:F,0)-1,0),"")</f>
        <v>Undrafted</v>
      </c>
      <c r="G121">
        <f>iferror(match(D121,DraftTracker!F$2:F131,0),counta(DraftTracker!F:F))</f>
        <v>123</v>
      </c>
      <c r="H121" s="1">
        <v>5.0</v>
      </c>
      <c r="I121">
        <f>iferror(VLOOKUP(D121,DraftTracker!F:I,3,0)+if((VLOOKUP(D121,DraftTracker!F:I,4,0)-VLOOKUP(D121,DraftTracker!F:I,3,0))&gt;0,(VLOOKUP(D121,DraftTracker!F:I,4,0)-VLOOKUP(D121,DraftTracker!F:I,3,0)),0)*0.5,"")</f>
        <v>1</v>
      </c>
      <c r="J121" s="198">
        <f>iferror(VLOOKUP(D121,DraftTracker!F:K,5,0)+(VLOOKUP(D121,DraftTracker!F:K,6,0)-VLOOKUP(D121,DraftTracker!F:K,5,0))*0.5,"")</f>
        <v>0.5</v>
      </c>
      <c r="K121" s="1">
        <v>7.0</v>
      </c>
      <c r="L121">
        <f>IFERROR(__xludf.DUMMYFUNCTION("iferror(max(filter(H:H,G:G&gt;G121,E:E=E121)),0)"),6.0)</f>
        <v>6</v>
      </c>
      <c r="M121">
        <f>IFERROR(__xludf.DUMMYFUNCTION("iferror(countif(filter(H:H,G:G&lt;G121,E:E=E121),""&lt;""&amp;H121),0)"),2.0)</f>
        <v>2</v>
      </c>
      <c r="N121">
        <f t="shared" si="1"/>
        <v>1</v>
      </c>
      <c r="O121">
        <f t="shared" si="2"/>
        <v>1</v>
      </c>
      <c r="P121">
        <f t="shared" si="3"/>
        <v>0</v>
      </c>
      <c r="Q121" t="b">
        <f>IFERROR(__xludf.DUMMYFUNCTION("N121=max(filter(N:N,F:F=F121,E:E&lt;&gt;""MWC""))"),FALSE)</f>
        <v>0</v>
      </c>
      <c r="R121" t="str">
        <f>IFERROR(__xludf.DUMMYFUNCTION("iferror(if(P121=1,H121-MIN(filter(H:H,G:G&lt;G121,E:E=E121,H:H&lt;H121)),""""),"""")"),"")</f>
        <v/>
      </c>
    </row>
    <row r="122">
      <c r="A122" s="1" t="s">
        <v>1495</v>
      </c>
      <c r="B122" s="1" t="s">
        <v>1837</v>
      </c>
      <c r="D122" s="1" t="s">
        <v>195</v>
      </c>
      <c r="E122" t="str">
        <f>iferror(vlookup(D122,'Teams-Conference'!C:D,2,0),"Independent")</f>
        <v>Sun Belt</v>
      </c>
      <c r="F122" t="str">
        <f>iferror(offset(DraftTracker!D$1,match(D122,DraftTracker!F:F,0)-1,0),"")</f>
        <v>DavEmily</v>
      </c>
      <c r="G122">
        <f>iferror(match(D122,DraftTracker!F$2:F131,0),counta(DraftTracker!F:F))</f>
        <v>97</v>
      </c>
      <c r="H122" s="169">
        <f>VLOOKUP(D122,'Current Week'!B:D,2,0)</f>
        <v>5</v>
      </c>
      <c r="I122">
        <f>iferror(VLOOKUP(D122,DraftTracker!F:I,3,0)+if((VLOOKUP(D122,DraftTracker!F:I,4,0)-VLOOKUP(D122,DraftTracker!F:I,3,0))&gt;0,(VLOOKUP(D122,DraftTracker!F:I,4,0)-VLOOKUP(D122,DraftTracker!F:I,3,0)),0)*0.5,"")</f>
        <v>1.5</v>
      </c>
      <c r="J122" s="198">
        <f>iferror(VLOOKUP(D122,DraftTracker!F:K,5,0)+(VLOOKUP(D122,DraftTracker!F:K,6,0)-VLOOKUP(D122,DraftTracker!F:K,5,0))*0.5,"")</f>
        <v>1</v>
      </c>
      <c r="K122">
        <f>VLOOKUP(D122,'Current Week'!B:D,3,0)</f>
        <v>7</v>
      </c>
      <c r="L122">
        <f>IFERROR(__xludf.DUMMYFUNCTION("iferror(max(filter(H:H,G:G&gt;G122,E:E=E122)),0)"),2.0)</f>
        <v>2</v>
      </c>
      <c r="M122">
        <f>IFERROR(__xludf.DUMMYFUNCTION("iferror(countif(filter(H:H,G:G&lt;G122,E:E=E122),""&lt;""&amp;H122),0)"),3.0)</f>
        <v>3</v>
      </c>
      <c r="N122">
        <f t="shared" si="1"/>
        <v>0</v>
      </c>
      <c r="O122">
        <f t="shared" si="2"/>
        <v>0</v>
      </c>
      <c r="P122">
        <f t="shared" si="3"/>
        <v>1</v>
      </c>
      <c r="Q122" t="b">
        <f>IFERROR(__xludf.DUMMYFUNCTION("N122=max(filter(N:N,F:F=F122,E:E&lt;&gt;""MWC""))"),FALSE)</f>
        <v>0</v>
      </c>
      <c r="R122">
        <f>IFERROR(__xludf.DUMMYFUNCTION("iferror(if(P122=1,H122-MIN(filter(H:H,G:G&lt;G122,E:E=E122,H:H&lt;H122)),""""),"""")"),3.0)</f>
        <v>3</v>
      </c>
    </row>
    <row r="123">
      <c r="A123" s="1" t="s">
        <v>1488</v>
      </c>
      <c r="B123" s="1" t="s">
        <v>1556</v>
      </c>
      <c r="D123" s="1" t="s">
        <v>188</v>
      </c>
      <c r="E123" t="str">
        <f>iferror(vlookup(D123,'Teams-Conference'!C:D,2,0),"Independent")</f>
        <v>Sun Belt</v>
      </c>
      <c r="F123" t="str">
        <f>iferror(offset(DraftTracker!D$1,match(D123,DraftTracker!F:F,0)-1,0),"")</f>
        <v>Janice/Mike</v>
      </c>
      <c r="G123">
        <f>iferror(match(D123,DraftTracker!F$2:F131,0),counta(DraftTracker!F:F))</f>
        <v>21</v>
      </c>
      <c r="H123" s="169">
        <f>VLOOKUP(D123,'Current Week'!B:D,2,0)</f>
        <v>7</v>
      </c>
      <c r="I123">
        <f>iferror(VLOOKUP(D123,DraftTracker!F:I,3,0)+if((VLOOKUP(D123,DraftTracker!F:I,4,0)-VLOOKUP(D123,DraftTracker!F:I,3,0))&gt;0,(VLOOKUP(D123,DraftTracker!F:I,4,0)-VLOOKUP(D123,DraftTracker!F:I,3,0)),0)*0.5,"")</f>
        <v>2</v>
      </c>
      <c r="J123" s="198">
        <f>iferror(VLOOKUP(D123,DraftTracker!F:K,5,0)+(VLOOKUP(D123,DraftTracker!F:K,6,0)-VLOOKUP(D123,DraftTracker!F:K,5,0))*0.5,"")</f>
        <v>1</v>
      </c>
      <c r="K123">
        <f>VLOOKUP(D123,'Current Week'!B:D,3,0)</f>
        <v>5</v>
      </c>
      <c r="L123">
        <f>IFERROR(__xludf.DUMMYFUNCTION("iferror(max(filter(H:H,G:G&gt;G123,E:E=E123)),0)"),7.0)</f>
        <v>7</v>
      </c>
      <c r="M123">
        <f>IFERROR(__xludf.DUMMYFUNCTION("iferror(countif(filter(H:H,G:G&lt;G123,E:E=E123),""&lt;""&amp;H123),0)"),2.0)</f>
        <v>2</v>
      </c>
      <c r="N123">
        <f t="shared" si="1"/>
        <v>0</v>
      </c>
      <c r="O123">
        <f t="shared" si="2"/>
        <v>0</v>
      </c>
      <c r="P123">
        <f t="shared" si="3"/>
        <v>1</v>
      </c>
      <c r="Q123" t="b">
        <f>IFERROR(__xludf.DUMMYFUNCTION("N123=max(filter(N:N,F:F=F123,E:E&lt;&gt;""MWC""))"),FALSE)</f>
        <v>0</v>
      </c>
      <c r="R123">
        <f>IFERROR(__xludf.DUMMYFUNCTION("iferror(if(P123=1,H123-MIN(filter(H:H,G:G&lt;G123,E:E=E123,H:H&lt;H123)),""""),"""")"),5.0)</f>
        <v>5</v>
      </c>
    </row>
    <row r="124">
      <c r="A124" s="1" t="s">
        <v>1494</v>
      </c>
      <c r="B124" s="1" t="s">
        <v>1825</v>
      </c>
      <c r="D124" s="1" t="s">
        <v>194</v>
      </c>
      <c r="E124" t="str">
        <f>iferror(vlookup(D124,'Teams-Conference'!C:D,2,0),"Independent")</f>
        <v>Sun Belt</v>
      </c>
      <c r="F124" t="str">
        <f>iferror(offset(DraftTracker!D$1,match(D124,DraftTracker!F:F,0)-1,0),"")</f>
        <v>Nick G.</v>
      </c>
      <c r="G124">
        <f>iferror(match(D124,DraftTracker!F$2:F131,0),counta(DraftTracker!F:F))</f>
        <v>13</v>
      </c>
      <c r="H124" s="169">
        <f>VLOOKUP(D124,'Current Week'!B:D,2,0)</f>
        <v>5</v>
      </c>
      <c r="I124">
        <f>iferror(VLOOKUP(D124,DraftTracker!F:I,3,0)+if((VLOOKUP(D124,DraftTracker!F:I,4,0)-VLOOKUP(D124,DraftTracker!F:I,3,0))&gt;0,(VLOOKUP(D124,DraftTracker!F:I,4,0)-VLOOKUP(D124,DraftTracker!F:I,3,0)),0)*0.5,"")</f>
        <v>3.5</v>
      </c>
      <c r="J124" s="198">
        <f>iferror(VLOOKUP(D124,DraftTracker!F:K,5,0)+(VLOOKUP(D124,DraftTracker!F:K,6,0)-VLOOKUP(D124,DraftTracker!F:K,5,0))*0.5,"")</f>
        <v>1</v>
      </c>
      <c r="K124">
        <f>VLOOKUP(D124,'Current Week'!B:D,3,0)</f>
        <v>7</v>
      </c>
      <c r="L124">
        <f>IFERROR(__xludf.DUMMYFUNCTION("iferror(max(filter(H:H,G:G&gt;G124,E:E=E124)),0)"),7.0)</f>
        <v>7</v>
      </c>
      <c r="M124">
        <f>IFERROR(__xludf.DUMMYFUNCTION("iferror(countif(filter(H:H,G:G&lt;G124,E:E=E124),""&lt;""&amp;H124),0)"),0.0)</f>
        <v>0</v>
      </c>
      <c r="N124" s="169">
        <f t="shared" si="1"/>
        <v>2</v>
      </c>
      <c r="O124">
        <f t="shared" si="2"/>
        <v>1</v>
      </c>
      <c r="P124">
        <f t="shared" si="3"/>
        <v>0</v>
      </c>
      <c r="Q124" t="b">
        <f>IFERROR(__xludf.DUMMYFUNCTION("N124=max(filter(N:N,F:F=F124,E:E&lt;&gt;""MWC""))"),FALSE)</f>
        <v>0</v>
      </c>
      <c r="R124" t="str">
        <f>IFERROR(__xludf.DUMMYFUNCTION("iferror(if(P124=1,H124-MIN(filter(H:H,G:G&lt;G124,E:E=E124,H:H&lt;H124)),""""),"""")"),"")</f>
        <v/>
      </c>
    </row>
    <row r="125">
      <c r="A125" s="1" t="s">
        <v>1486</v>
      </c>
      <c r="B125" s="1" t="s">
        <v>1574</v>
      </c>
      <c r="D125" s="1" t="s">
        <v>186</v>
      </c>
      <c r="E125" t="str">
        <f>iferror(vlookup(D125,'Teams-Conference'!C:D,2,0),"Independent")</f>
        <v>Sun Belt</v>
      </c>
      <c r="F125" t="str">
        <f>iferror(offset(DraftTracker!D$1,match(D125,DraftTracker!F:F,0)-1,0),"")</f>
        <v>Justin</v>
      </c>
      <c r="G125">
        <f>iferror(match(D125,DraftTracker!F$2:F131,0),counta(DraftTracker!F:F))</f>
        <v>7</v>
      </c>
      <c r="H125" s="169">
        <f>VLOOKUP(D125,'Current Week'!B:D,2,0)</f>
        <v>11</v>
      </c>
      <c r="I125">
        <f>iferror(VLOOKUP(D125,DraftTracker!F:I,3,0)+if((VLOOKUP(D125,DraftTracker!F:I,4,0)-VLOOKUP(D125,DraftTracker!F:I,3,0))&gt;0,(VLOOKUP(D125,DraftTracker!F:I,4,0)-VLOOKUP(D125,DraftTracker!F:I,3,0)),0)*0.5,"")</f>
        <v>3.5</v>
      </c>
      <c r="J125" s="198">
        <f>iferror(VLOOKUP(D125,DraftTracker!F:K,5,0)+(VLOOKUP(D125,DraftTracker!F:K,6,0)-VLOOKUP(D125,DraftTracker!F:K,5,0))*0.5,"")</f>
        <v>0</v>
      </c>
      <c r="K125">
        <f>VLOOKUP(D125,'Current Week'!B:D,3,0)</f>
        <v>1</v>
      </c>
      <c r="L125">
        <f>IFERROR(__xludf.DUMMYFUNCTION("iferror(max(filter(H:H,G:G&gt;G125,E:E=E125)),0)"),7.0)</f>
        <v>7</v>
      </c>
      <c r="M125">
        <f>IFERROR(__xludf.DUMMYFUNCTION("iferror(countif(filter(H:H,G:G&lt;G125,E:E=E125),""&lt;""&amp;H125),0)"),0.0)</f>
        <v>0</v>
      </c>
      <c r="N125">
        <f t="shared" si="1"/>
        <v>0</v>
      </c>
      <c r="O125">
        <f t="shared" si="2"/>
        <v>0</v>
      </c>
      <c r="P125">
        <f t="shared" si="3"/>
        <v>0</v>
      </c>
      <c r="Q125" t="b">
        <f>IFERROR(__xludf.DUMMYFUNCTION("N125=max(filter(N:N,F:F=F125,E:E&lt;&gt;""MWC""))"),FALSE)</f>
        <v>0</v>
      </c>
      <c r="R125" t="str">
        <f>IFERROR(__xludf.DUMMYFUNCTION("iferror(if(P125=1,H125-MIN(filter(H:H,G:G&lt;G125,E:E=E125,H:H&lt;H125)),""""),"""")"),"")</f>
        <v/>
      </c>
    </row>
    <row r="126">
      <c r="A126" s="1" t="s">
        <v>1489</v>
      </c>
      <c r="B126" s="1" t="s">
        <v>1566</v>
      </c>
      <c r="D126" s="1" t="s">
        <v>189</v>
      </c>
      <c r="E126" t="str">
        <f>iferror(vlookup(D126,'Teams-Conference'!C:D,2,0),"Independent")</f>
        <v>Sun Belt</v>
      </c>
      <c r="F126" t="str">
        <f>iferror(offset(DraftTracker!D$1,match(D126,DraftTracker!F:F,0)-1,0),"")</f>
        <v>Adam</v>
      </c>
      <c r="G126">
        <f>iferror(match(D126,DraftTracker!F$2:F131,0),counta(DraftTracker!F:F))</f>
        <v>56</v>
      </c>
      <c r="H126" s="169">
        <f>VLOOKUP(D126,'Current Week'!B:D,2,0)</f>
        <v>7</v>
      </c>
      <c r="I126">
        <f>iferror(VLOOKUP(D126,DraftTracker!F:I,3,0)+if((VLOOKUP(D126,DraftTracker!F:I,4,0)-VLOOKUP(D126,DraftTracker!F:I,3,0))&gt;0,(VLOOKUP(D126,DraftTracker!F:I,4,0)-VLOOKUP(D126,DraftTracker!F:I,3,0)),0)*0.5,"")</f>
        <v>0</v>
      </c>
      <c r="J126" s="198">
        <f>iferror(VLOOKUP(D126,DraftTracker!F:K,5,0)+(VLOOKUP(D126,DraftTracker!F:K,6,0)-VLOOKUP(D126,DraftTracker!F:K,5,0))*0.5,"")</f>
        <v>1.5</v>
      </c>
      <c r="K126">
        <f>VLOOKUP(D126,'Current Week'!B:D,3,0)</f>
        <v>5</v>
      </c>
      <c r="L126">
        <f>IFERROR(__xludf.DUMMYFUNCTION("iferror(max(filter(H:H,G:G&gt;G126,E:E=E126)),0)"),5.0)</f>
        <v>5</v>
      </c>
      <c r="M126">
        <f>IFERROR(__xludf.DUMMYFUNCTION("iferror(countif(filter(H:H,G:G&lt;G126,E:E=E126),""&lt;""&amp;H126),0)"),4.0)</f>
        <v>4</v>
      </c>
      <c r="N126">
        <f t="shared" si="1"/>
        <v>0</v>
      </c>
      <c r="O126">
        <f t="shared" si="2"/>
        <v>0</v>
      </c>
      <c r="P126">
        <f t="shared" si="3"/>
        <v>1</v>
      </c>
      <c r="Q126" t="b">
        <f>IFERROR(__xludf.DUMMYFUNCTION("N126=max(filter(N:N,F:F=F126,E:E&lt;&gt;""MWC""))"),FALSE)</f>
        <v>0</v>
      </c>
      <c r="R126">
        <f>IFERROR(__xludf.DUMMYFUNCTION("iferror(if(P126=1,H126-MIN(filter(H:H,G:G&lt;G126,E:E=E126,H:H&lt;H126)),""""),"""")"),5.0)</f>
        <v>5</v>
      </c>
    </row>
    <row r="127">
      <c r="A127" s="1" t="s">
        <v>1492</v>
      </c>
      <c r="B127" s="1" t="s">
        <v>1838</v>
      </c>
      <c r="D127" s="1" t="s">
        <v>192</v>
      </c>
      <c r="E127" t="str">
        <f>iferror(vlookup(D127,'Teams-Conference'!C:D,2,0),"Independent")</f>
        <v>Sun Belt</v>
      </c>
      <c r="F127" t="str">
        <f>iferror(offset(DraftTracker!D$1,match(D127,DraftTracker!F:F,0)-1,0),"")</f>
        <v>Vu</v>
      </c>
      <c r="G127">
        <f>iferror(match(D127,DraftTracker!F$2:F131,0),counta(DraftTracker!F:F))</f>
        <v>112</v>
      </c>
      <c r="H127" s="169">
        <f>VLOOKUP(D127,'Current Week'!B:D,2,0)</f>
        <v>2</v>
      </c>
      <c r="I127">
        <f>iferror(VLOOKUP(D127,DraftTracker!F:I,3,0)+if((VLOOKUP(D127,DraftTracker!F:I,4,0)-VLOOKUP(D127,DraftTracker!F:I,3,0))&gt;0,(VLOOKUP(D127,DraftTracker!F:I,4,0)-VLOOKUP(D127,DraftTracker!F:I,3,0)),0)*0.5,"")</f>
        <v>0</v>
      </c>
      <c r="J127" s="198">
        <f>iferror(VLOOKUP(D127,DraftTracker!F:K,5,0)+(VLOOKUP(D127,DraftTracker!F:K,6,0)-VLOOKUP(D127,DraftTracker!F:K,5,0))*0.5,"")</f>
        <v>1.5</v>
      </c>
      <c r="K127">
        <f>VLOOKUP(D127,'Current Week'!B:D,3,0)</f>
        <v>10</v>
      </c>
      <c r="L127">
        <f>IFERROR(__xludf.DUMMYFUNCTION("iferror(max(filter(H:H,G:G&gt;G127,E:E=E127)),0)"),0.0)</f>
        <v>0</v>
      </c>
      <c r="M127">
        <f>IFERROR(__xludf.DUMMYFUNCTION("iferror(countif(filter(H:H,G:G&lt;G127,E:E=E127),""&lt;""&amp;H127),0)"),0.0)</f>
        <v>0</v>
      </c>
      <c r="N127">
        <f t="shared" si="1"/>
        <v>0</v>
      </c>
      <c r="O127">
        <f t="shared" si="2"/>
        <v>0</v>
      </c>
      <c r="P127">
        <f t="shared" si="3"/>
        <v>0</v>
      </c>
      <c r="Q127" t="b">
        <f>IFERROR(__xludf.DUMMYFUNCTION("N127=max(filter(N:N,F:F=F127,E:E&lt;&gt;""MWC""))"),FALSE)</f>
        <v>0</v>
      </c>
      <c r="R127" t="str">
        <f>IFERROR(__xludf.DUMMYFUNCTION("iferror(if(P127=1,H127-MIN(filter(H:H,G:G&lt;G127,E:E=E127,H:H&lt;H127)),""""),"""")"),"")</f>
        <v/>
      </c>
    </row>
    <row r="128">
      <c r="A128" s="1" t="s">
        <v>1839</v>
      </c>
      <c r="B128" s="1" t="s">
        <v>1840</v>
      </c>
      <c r="D128" s="1" t="s">
        <v>187</v>
      </c>
      <c r="E128" t="str">
        <f>iferror(vlookup(D128,'Teams-Conference'!C:D,2,0),"Independent")</f>
        <v>Sun Belt</v>
      </c>
      <c r="F128" t="str">
        <f>iferror(offset(DraftTracker!D$1,match(D128,DraftTracker!F:F,0)-1,0),"")</f>
        <v>Nico</v>
      </c>
      <c r="G128">
        <f>iferror(match(D128,DraftTracker!F$2:F131,0),counta(DraftTracker!F:F))</f>
        <v>20</v>
      </c>
      <c r="H128" s="169">
        <f>VLOOKUP(D128,'Current Week'!B:D,2,0)</f>
        <v>2</v>
      </c>
      <c r="I128">
        <f>iferror(VLOOKUP(D128,DraftTracker!F:I,3,0)+if((VLOOKUP(D128,DraftTracker!F:I,4,0)-VLOOKUP(D128,DraftTracker!F:I,3,0))&gt;0,(VLOOKUP(D128,DraftTracker!F:I,4,0)-VLOOKUP(D128,DraftTracker!F:I,3,0)),0)*0.5,"")</f>
        <v>3</v>
      </c>
      <c r="J128" s="198">
        <f>iferror(VLOOKUP(D128,DraftTracker!F:K,5,0)+(VLOOKUP(D128,DraftTracker!F:K,6,0)-VLOOKUP(D128,DraftTracker!F:K,5,0))*0.5,"")</f>
        <v>1</v>
      </c>
      <c r="K128">
        <f>VLOOKUP(D128,'Current Week'!B:D,3,0)</f>
        <v>2</v>
      </c>
      <c r="L128">
        <f>IFERROR(__xludf.DUMMYFUNCTION("iferror(max(filter(H:H,G:G&gt;G128,E:E=E128)),0)"),7.0)</f>
        <v>7</v>
      </c>
      <c r="M128">
        <f>IFERROR(__xludf.DUMMYFUNCTION("iferror(countif(filter(H:H,G:G&lt;G128,E:E=E128),""&lt;""&amp;H128),0)"),0.0)</f>
        <v>0</v>
      </c>
      <c r="N128" s="169">
        <f t="shared" si="1"/>
        <v>5</v>
      </c>
      <c r="O128">
        <f t="shared" si="2"/>
        <v>1</v>
      </c>
      <c r="P128">
        <f t="shared" si="3"/>
        <v>0</v>
      </c>
      <c r="Q128" t="b">
        <f>IFERROR(__xludf.DUMMYFUNCTION("N128=max(filter(N:N,F:F=F128,E:E&lt;&gt;""MWC""))"),FALSE)</f>
        <v>0</v>
      </c>
      <c r="R128" t="str">
        <f>IFERROR(__xludf.DUMMYFUNCTION("iferror(if(P128=1,H128-MIN(filter(H:H,G:G&lt;G128,E:E=E128,H:H&lt;H128)),""""),"""")"),"")</f>
        <v/>
      </c>
    </row>
    <row r="129">
      <c r="A129" s="1" t="s">
        <v>1491</v>
      </c>
      <c r="B129" s="1" t="s">
        <v>1841</v>
      </c>
      <c r="D129" s="1" t="s">
        <v>191</v>
      </c>
      <c r="E129" t="str">
        <f>iferror(vlookup(D129,'Teams-Conference'!C:D,2,0),"Independent")</f>
        <v>Sun Belt</v>
      </c>
      <c r="F129" t="str">
        <f>iferror(offset(DraftTracker!D$1,match(D129,DraftTracker!F:F,0)-1,0),"")</f>
        <v>Jeannine</v>
      </c>
      <c r="G129">
        <f>iferror(match(D129,DraftTracker!F$2:F131,0),counta(DraftTracker!F:F))</f>
        <v>30</v>
      </c>
      <c r="H129" s="169">
        <f>VLOOKUP(D129,'Current Week'!B:D,2,0)</f>
        <v>5</v>
      </c>
      <c r="I129">
        <f>iferror(VLOOKUP(D129,DraftTracker!F:I,3,0)+if((VLOOKUP(D129,DraftTracker!F:I,4,0)-VLOOKUP(D129,DraftTracker!F:I,3,0))&gt;0,(VLOOKUP(D129,DraftTracker!F:I,4,0)-VLOOKUP(D129,DraftTracker!F:I,3,0)),0)*0.5,"")</f>
        <v>0</v>
      </c>
      <c r="J129" s="198">
        <f>iferror(VLOOKUP(D129,DraftTracker!F:K,5,0)+(VLOOKUP(D129,DraftTracker!F:K,6,0)-VLOOKUP(D129,DraftTracker!F:K,5,0))*0.5,"")</f>
        <v>2.5</v>
      </c>
      <c r="K129">
        <f>VLOOKUP(D129,'Current Week'!B:D,3,0)</f>
        <v>7</v>
      </c>
      <c r="L129">
        <f>IFERROR(__xludf.DUMMYFUNCTION("iferror(max(filter(H:H,G:G&gt;G129,E:E=E129)),0)"),7.0)</f>
        <v>7</v>
      </c>
      <c r="M129">
        <f>IFERROR(__xludf.DUMMYFUNCTION("iferror(countif(filter(H:H,G:G&lt;G129,E:E=E129),""&lt;""&amp;H129),0)"),2.0)</f>
        <v>2</v>
      </c>
      <c r="N129" s="169">
        <f t="shared" si="1"/>
        <v>2</v>
      </c>
      <c r="O129">
        <f t="shared" si="2"/>
        <v>1</v>
      </c>
      <c r="P129">
        <f t="shared" si="3"/>
        <v>0</v>
      </c>
      <c r="Q129" t="b">
        <f>IFERROR(__xludf.DUMMYFUNCTION("N129=max(filter(N:N,F:F=F129,E:E&lt;&gt;""MWC""))"),TRUE)</f>
        <v>1</v>
      </c>
      <c r="R129" t="str">
        <f>IFERROR(__xludf.DUMMYFUNCTION("iferror(if(P129=1,H129-MIN(filter(H:H,G:G&lt;G129,E:E=E129,H:H&lt;H129)),""""),"""")"),"")</f>
        <v/>
      </c>
    </row>
    <row r="130">
      <c r="A130" s="1" t="s">
        <v>1490</v>
      </c>
      <c r="B130" s="1" t="s">
        <v>1842</v>
      </c>
      <c r="C130" s="1" t="s">
        <v>1381</v>
      </c>
      <c r="D130" s="1" t="s">
        <v>190</v>
      </c>
      <c r="E130" t="str">
        <f>iferror(vlookup(D130,'Teams-Conference'!C:D,2,0),"Independent")</f>
        <v>Sun Belt</v>
      </c>
      <c r="F130" t="str">
        <f>iferror(offset(DraftTracker!D$1,match(D130,DraftTracker!F:F,0)-1,0),"")</f>
        <v>Gary</v>
      </c>
      <c r="G130">
        <f>iferror(match(D130,DraftTracker!F$2:F131,0),counta(DraftTracker!F:F))</f>
        <v>22</v>
      </c>
      <c r="H130" s="169">
        <f>VLOOKUP(D130,'Current Week'!B:D,2,0)</f>
        <v>3</v>
      </c>
      <c r="I130">
        <f>iferror(VLOOKUP(D130,DraftTracker!F:I,3,0)+if((VLOOKUP(D130,DraftTracker!F:I,4,0)-VLOOKUP(D130,DraftTracker!F:I,3,0))&gt;0,(VLOOKUP(D130,DraftTracker!F:I,4,0)-VLOOKUP(D130,DraftTracker!F:I,3,0)),0)*0.5,"")</f>
        <v>1</v>
      </c>
      <c r="J130" s="198">
        <f>iferror(VLOOKUP(D130,DraftTracker!F:K,5,0)+(VLOOKUP(D130,DraftTracker!F:K,6,0)-VLOOKUP(D130,DraftTracker!F:K,5,0))*0.5,"")</f>
        <v>3</v>
      </c>
      <c r="K130">
        <f>VLOOKUP(D130,'Current Week'!B:D,3,0)</f>
        <v>1</v>
      </c>
      <c r="L130">
        <f>IFERROR(__xludf.DUMMYFUNCTION("iferror(max(filter(H:H,G:G&gt;G130,E:E=E130)),0)"),7.0)</f>
        <v>7</v>
      </c>
      <c r="M130">
        <f>IFERROR(__xludf.DUMMYFUNCTION("iferror(countif(filter(H:H,G:G&lt;G130,E:E=E130),""&lt;""&amp;H130),0)"),1.0)</f>
        <v>1</v>
      </c>
      <c r="N130" s="169">
        <f t="shared" si="1"/>
        <v>4</v>
      </c>
      <c r="O130">
        <f t="shared" si="2"/>
        <v>1</v>
      </c>
      <c r="P130">
        <f t="shared" si="3"/>
        <v>0</v>
      </c>
      <c r="Q130" t="b">
        <f>IFERROR(__xludf.DUMMYFUNCTION("N130=max(filter(N:N,F:F=F130,E:E&lt;&gt;""MWC""))"),TRUE)</f>
        <v>1</v>
      </c>
      <c r="R130" t="str">
        <f>IFERROR(__xludf.DUMMYFUNCTION("iferror(if(P130=1,H130-MIN(filter(H:H,G:G&lt;G130,E:E=E130,H:H&lt;H130)),""""),"""")"),"")</f>
        <v/>
      </c>
    </row>
    <row r="131">
      <c r="A131" s="1" t="s">
        <v>1493</v>
      </c>
      <c r="B131" s="1" t="s">
        <v>1616</v>
      </c>
      <c r="D131" s="1" t="s">
        <v>193</v>
      </c>
      <c r="E131" t="str">
        <f>iferror(vlookup(D131,'Teams-Conference'!C:D,2,0),"Independent")</f>
        <v>Sun Belt</v>
      </c>
      <c r="F131" t="str">
        <f>iferror(offset(DraftTracker!D$1,match(D131,DraftTracker!F:F,0)-1,0),"")</f>
        <v>Brad</v>
      </c>
      <c r="G131">
        <f>iferror(match(D131,DraftTracker!F$2:F131,0),counta(DraftTracker!F:F))</f>
        <v>83</v>
      </c>
      <c r="H131" s="169">
        <f>VLOOKUP(D131,'Current Week'!B:D,2,0)</f>
        <v>3</v>
      </c>
      <c r="I131">
        <f>iferror(VLOOKUP(D131,DraftTracker!F:I,3,0)+if((VLOOKUP(D131,DraftTracker!F:I,4,0)-VLOOKUP(D131,DraftTracker!F:I,3,0))&gt;0,(VLOOKUP(D131,DraftTracker!F:I,4,0)-VLOOKUP(D131,DraftTracker!F:I,3,0)),0)*0.5,"")</f>
        <v>1</v>
      </c>
      <c r="J131" s="198">
        <f>iferror(VLOOKUP(D131,DraftTracker!F:K,5,0)+(VLOOKUP(D131,DraftTracker!F:K,6,0)-VLOOKUP(D131,DraftTracker!F:K,5,0))*0.5,"")</f>
        <v>0</v>
      </c>
      <c r="K131">
        <f>VLOOKUP(D131,'Current Week'!B:D,3,0)</f>
        <v>9</v>
      </c>
      <c r="L131">
        <f>IFERROR(__xludf.DUMMYFUNCTION("iferror(max(filter(H:H,G:G&gt;G131,E:E=E131)),0)"),5.0)</f>
        <v>5</v>
      </c>
      <c r="M131">
        <f>IFERROR(__xludf.DUMMYFUNCTION("iferror(countif(filter(H:H,G:G&lt;G131,E:E=E131),""&lt;""&amp;H131),0)"),1.0)</f>
        <v>1</v>
      </c>
      <c r="N131" s="169">
        <f t="shared" si="1"/>
        <v>2</v>
      </c>
      <c r="O131">
        <f t="shared" si="2"/>
        <v>1</v>
      </c>
      <c r="P131">
        <f t="shared" si="3"/>
        <v>0</v>
      </c>
      <c r="Q131" t="b">
        <f>IFERROR(__xludf.DUMMYFUNCTION("N131=max(filter(N:N,F:F=F131,E:E&lt;&gt;""MWC""))"),FALSE)</f>
        <v>0</v>
      </c>
      <c r="R131" t="str">
        <f>IFERROR(__xludf.DUMMYFUNCTION("iferror(if(P131=1,H131-MIN(filter(H:H,G:G&lt;G131,E:E=E131,H:H&lt;H131)),""""),"""")"),"")</f>
        <v/>
      </c>
    </row>
  </sheetData>
  <autoFilter ref="$A$1:$S$131">
    <sortState ref="A1:S131">
      <sortCondition descending="1" ref="N1:N131"/>
    </sortState>
  </autoFil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5" width="5.5"/>
    <col customWidth="1" min="26" max="31" width="5.5"/>
    <col customWidth="1" hidden="1" min="32" max="44" width="5.5"/>
    <col customWidth="1" min="45" max="48" width="5.5"/>
  </cols>
  <sheetData>
    <row r="1">
      <c r="A1" s="138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0.0</v>
      </c>
      <c r="AL1" s="139">
        <v>0.020833333333333332</v>
      </c>
      <c r="AM1" s="139">
        <v>0.041666666666666664</v>
      </c>
      <c r="AN1" s="139">
        <v>0.0625</v>
      </c>
      <c r="AO1" s="139">
        <v>0.08333333333333333</v>
      </c>
      <c r="AP1" s="139">
        <v>0.10416666666666667</v>
      </c>
      <c r="AQ1" s="139">
        <v>0.125</v>
      </c>
      <c r="AR1" s="139">
        <v>0.14583333333333334</v>
      </c>
      <c r="AS1" s="139"/>
      <c r="AT1" s="139"/>
      <c r="AU1" s="139"/>
      <c r="AV1" s="140"/>
    </row>
    <row r="2">
      <c r="A2" s="141">
        <v>1.0</v>
      </c>
      <c r="B2" s="142" t="s">
        <v>207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45" t="s">
        <v>593</v>
      </c>
      <c r="AF2" s="139"/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</row>
  </sheetData>
  <mergeCells count="1">
    <mergeCell ref="Z2:AE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6" width="5.5"/>
    <col customWidth="1" min="27" max="32" width="5.5"/>
    <col customWidth="1" hidden="1" min="33" max="44" width="5.5"/>
    <col customWidth="1" min="45" max="48" width="5.5"/>
  </cols>
  <sheetData>
    <row r="1">
      <c r="A1" s="138">
        <v>0.0</v>
      </c>
      <c r="B1" s="138" t="s">
        <v>261</v>
      </c>
      <c r="C1" s="139">
        <v>0.2916666666666667</v>
      </c>
      <c r="D1" s="139">
        <v>0.3125</v>
      </c>
      <c r="E1" s="139">
        <v>0.3333333333333333</v>
      </c>
      <c r="F1" s="139">
        <v>0.3541666666666667</v>
      </c>
      <c r="G1" s="139">
        <v>0.375</v>
      </c>
      <c r="H1" s="139">
        <v>0.3958333333333333</v>
      </c>
      <c r="I1" s="139">
        <v>0.4166666666666667</v>
      </c>
      <c r="J1" s="139">
        <v>0.4375</v>
      </c>
      <c r="K1" s="139">
        <v>0.4583333333333333</v>
      </c>
      <c r="L1" s="139">
        <v>0.4791666666666667</v>
      </c>
      <c r="M1" s="139">
        <v>0.5</v>
      </c>
      <c r="N1" s="139">
        <v>0.5208333333333334</v>
      </c>
      <c r="O1" s="139">
        <v>0.5416666666666666</v>
      </c>
      <c r="P1" s="139">
        <v>0.5625</v>
      </c>
      <c r="Q1" s="139">
        <v>0.5833333333333334</v>
      </c>
      <c r="R1" s="139">
        <v>0.6041666666666666</v>
      </c>
      <c r="S1" s="139">
        <v>0.625</v>
      </c>
      <c r="T1" s="139">
        <v>0.6458333333333334</v>
      </c>
      <c r="U1" s="139">
        <v>0.6666666666666666</v>
      </c>
      <c r="V1" s="139">
        <v>0.6875</v>
      </c>
      <c r="W1" s="139">
        <v>0.7083333333333334</v>
      </c>
      <c r="X1" s="139">
        <v>0.7291666666666666</v>
      </c>
      <c r="Y1" s="139">
        <v>0.75</v>
      </c>
      <c r="Z1" s="139">
        <v>0.7708333333333334</v>
      </c>
      <c r="AA1" s="139">
        <v>0.7916666666666666</v>
      </c>
      <c r="AB1" s="139">
        <v>0.8125</v>
      </c>
      <c r="AC1" s="139">
        <v>0.8333333333333334</v>
      </c>
      <c r="AD1" s="139">
        <v>0.8541666666666666</v>
      </c>
      <c r="AE1" s="139">
        <v>0.875</v>
      </c>
      <c r="AF1" s="139">
        <v>0.8958333333333334</v>
      </c>
      <c r="AG1" s="139">
        <v>0.9166666666666666</v>
      </c>
      <c r="AH1" s="139">
        <v>0.9375</v>
      </c>
      <c r="AI1" s="139">
        <v>0.9583333333333334</v>
      </c>
      <c r="AJ1" s="139">
        <v>0.9791666666666666</v>
      </c>
      <c r="AK1" s="139">
        <v>0.0</v>
      </c>
      <c r="AL1" s="139">
        <v>0.020833333333333332</v>
      </c>
      <c r="AM1" s="139">
        <v>0.041666666666666664</v>
      </c>
      <c r="AN1" s="139">
        <v>0.0625</v>
      </c>
      <c r="AO1" s="139">
        <v>0.08333333333333333</v>
      </c>
      <c r="AP1" s="139">
        <v>0.10416666666666667</v>
      </c>
      <c r="AQ1" s="139">
        <v>0.125</v>
      </c>
      <c r="AR1" s="139">
        <v>0.14583333333333334</v>
      </c>
      <c r="AS1" s="139"/>
      <c r="AT1" s="139"/>
      <c r="AU1" s="139"/>
      <c r="AV1" s="140"/>
    </row>
    <row r="2">
      <c r="A2" s="141">
        <v>3.0</v>
      </c>
      <c r="B2" s="142" t="s">
        <v>201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5" t="s">
        <v>1558</v>
      </c>
      <c r="AG2" s="139"/>
      <c r="AH2" s="139"/>
      <c r="AI2" s="139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</row>
  </sheetData>
  <mergeCells count="1">
    <mergeCell ref="AA2:AF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7" max="7" width="36.13"/>
  </cols>
  <sheetData>
    <row r="1">
      <c r="B1" t="str">
        <f t="array" ref="B1:E2003">sort(G:J,4,true)</f>
        <v>#N/A</v>
      </c>
      <c r="C1" t="e">
        <v>#N/A</v>
      </c>
      <c r="E1" t="e">
        <v>#N/A</v>
      </c>
      <c r="G1" t="str">
        <f>IFERROR(__xludf.DUMMYFUNCTION("filter(O:O,S:S&gt;M1,S:S&lt;=M2+1,Q:Q&lt;&gt;"""",U:U=1)"),"#N/A")</f>
        <v>#N/A</v>
      </c>
      <c r="H1" t="str">
        <f>IFERROR(__xludf.DUMMYFUNCTION("filter(R:R,S:S&gt;M1,S:S&lt;=M2+1,Q:Q&lt;&gt;"""",U:U=1)"),"#N/A")</f>
        <v>#N/A</v>
      </c>
      <c r="J1" t="str">
        <f>IFERROR(__xludf.DUMMYFUNCTION("filter(S:S,S:S&gt;M1,S:S&lt;=M2+1,Q:Q&lt;&gt;"""",U:U=1)"),"#N/A")</f>
        <v>#N/A</v>
      </c>
      <c r="K1" s="1"/>
      <c r="L1" s="1" t="s">
        <v>1559</v>
      </c>
      <c r="M1" s="151">
        <f>IFERROR(__xludf.DUMMYFUNCTION("min(filter(S:S,month(S:S)&gt;7))"),0.0)</f>
        <v>0</v>
      </c>
      <c r="N1">
        <f>IFERROR(__xludf.DUMMYFUNCTION("min(filter(S:S,month(S:S)&gt;7))"),0.0)</f>
        <v>0</v>
      </c>
      <c r="O1" t="str">
        <f>IFERROR(__xludf.DUMMYFUNCTION("importhtml(""http://www.lsufootball.net/tvschedule.htm"",""table"",0)"),"#REF!")</f>
        <v>#REF!</v>
      </c>
      <c r="U1">
        <f t="shared" ref="U1:U1421" si="1">if(iserror(find(" at ",O1)),if(iserror(find(" vs. ",O1)),0,1),1)</f>
        <v>0</v>
      </c>
    </row>
    <row r="2">
      <c r="D2" s="201"/>
      <c r="I2" s="201"/>
      <c r="K2" s="1"/>
      <c r="L2" s="1" t="s">
        <v>1561</v>
      </c>
      <c r="M2" s="151">
        <f>M1-WEEKDAY(M1)+9</f>
        <v>2</v>
      </c>
      <c r="S2" s="151"/>
      <c r="U2">
        <f t="shared" si="1"/>
        <v>0</v>
      </c>
    </row>
    <row r="3">
      <c r="D3" s="201"/>
      <c r="I3" s="201"/>
      <c r="K3" s="1"/>
      <c r="R3" t="str">
        <f>iferror(left(Q3,find(" /",Q3)-1),"")</f>
        <v/>
      </c>
      <c r="S3" s="201" t="str">
        <f t="shared" ref="S3:S1421" si="2">if(iserror(find("*",O3)),datevalue(S2),datevalue(mid(SUBSTITUTE(SUBSTITUTE(SUBSTITUTE(SUBSTITUTE(SUBSTITUTE(SUBSTITUTE(O3,"  (*Printable schedule w/ DirecTV channels*)",""),"th*",""),"st*",""),"nd*",""),"rd*",""),"h*",""),find(",",O3)+2,99)&amp;", 2019"))+if(istext(P3),0,P3)</f>
        <v>#VALUE!</v>
      </c>
      <c r="T3" t="str">
        <f t="shared" ref="T3:T1362" si="3">weekday(S3)</f>
        <v>#VALUE!</v>
      </c>
      <c r="U3">
        <f t="shared" si="1"/>
        <v>0</v>
      </c>
    </row>
    <row r="4">
      <c r="D4" s="201"/>
      <c r="I4" s="201"/>
      <c r="K4" s="202"/>
      <c r="L4" s="202"/>
      <c r="R4" t="str">
        <f t="shared" ref="R4:R1362" si="4">SUBSTITUTE(iferror(left(Q4,find(" /",Q4)-1),Q4),"$","")</f>
        <v/>
      </c>
      <c r="S4" s="201" t="str">
        <f t="shared" si="2"/>
        <v>#VALUE!</v>
      </c>
      <c r="T4" t="str">
        <f t="shared" si="3"/>
        <v>#VALUE!</v>
      </c>
      <c r="U4">
        <f t="shared" si="1"/>
        <v>0</v>
      </c>
    </row>
    <row r="5">
      <c r="D5" s="201"/>
      <c r="I5" s="201"/>
      <c r="R5" t="str">
        <f t="shared" si="4"/>
        <v/>
      </c>
      <c r="S5" s="201" t="str">
        <f t="shared" si="2"/>
        <v>#VALUE!</v>
      </c>
      <c r="T5" t="str">
        <f t="shared" si="3"/>
        <v>#VALUE!</v>
      </c>
      <c r="U5">
        <f t="shared" si="1"/>
        <v>0</v>
      </c>
    </row>
    <row r="6">
      <c r="D6" s="201"/>
      <c r="I6" s="201"/>
      <c r="R6" t="str">
        <f t="shared" si="4"/>
        <v/>
      </c>
      <c r="S6" s="201" t="str">
        <f t="shared" si="2"/>
        <v>#VALUE!</v>
      </c>
      <c r="T6" t="str">
        <f t="shared" si="3"/>
        <v>#VALUE!</v>
      </c>
      <c r="U6">
        <f t="shared" si="1"/>
        <v>0</v>
      </c>
    </row>
    <row r="7">
      <c r="D7" s="201"/>
      <c r="I7" s="201"/>
      <c r="R7" t="str">
        <f t="shared" si="4"/>
        <v/>
      </c>
      <c r="S7" s="201" t="str">
        <f t="shared" si="2"/>
        <v>#VALUE!</v>
      </c>
      <c r="T7" t="str">
        <f t="shared" si="3"/>
        <v>#VALUE!</v>
      </c>
      <c r="U7">
        <f t="shared" si="1"/>
        <v>0</v>
      </c>
    </row>
    <row r="8">
      <c r="D8" s="201"/>
      <c r="I8" s="201"/>
      <c r="R8" t="str">
        <f t="shared" si="4"/>
        <v/>
      </c>
      <c r="S8" s="201" t="str">
        <f t="shared" si="2"/>
        <v>#VALUE!</v>
      </c>
      <c r="T8" t="str">
        <f t="shared" si="3"/>
        <v>#VALUE!</v>
      </c>
      <c r="U8">
        <f t="shared" si="1"/>
        <v>0</v>
      </c>
    </row>
    <row r="9">
      <c r="D9" s="201"/>
      <c r="I9" s="201"/>
      <c r="R9" t="str">
        <f t="shared" si="4"/>
        <v/>
      </c>
      <c r="S9" s="201" t="str">
        <f t="shared" si="2"/>
        <v>#VALUE!</v>
      </c>
      <c r="T9" t="str">
        <f t="shared" si="3"/>
        <v>#VALUE!</v>
      </c>
      <c r="U9">
        <f t="shared" si="1"/>
        <v>0</v>
      </c>
    </row>
    <row r="10">
      <c r="D10" s="201"/>
      <c r="I10" s="201"/>
      <c r="R10" t="str">
        <f t="shared" si="4"/>
        <v/>
      </c>
      <c r="S10" s="201" t="str">
        <f t="shared" si="2"/>
        <v>#VALUE!</v>
      </c>
      <c r="T10" t="str">
        <f t="shared" si="3"/>
        <v>#VALUE!</v>
      </c>
      <c r="U10">
        <f t="shared" si="1"/>
        <v>0</v>
      </c>
    </row>
    <row r="11">
      <c r="D11" s="201"/>
      <c r="I11" s="201"/>
      <c r="R11" t="str">
        <f t="shared" si="4"/>
        <v/>
      </c>
      <c r="S11" s="201" t="str">
        <f t="shared" si="2"/>
        <v>#VALUE!</v>
      </c>
      <c r="T11" t="str">
        <f t="shared" si="3"/>
        <v>#VALUE!</v>
      </c>
      <c r="U11">
        <f t="shared" si="1"/>
        <v>0</v>
      </c>
    </row>
    <row r="12">
      <c r="D12" s="201"/>
      <c r="I12" s="201"/>
      <c r="R12" t="str">
        <f t="shared" si="4"/>
        <v/>
      </c>
      <c r="S12" s="201" t="str">
        <f t="shared" si="2"/>
        <v>#VALUE!</v>
      </c>
      <c r="T12" t="str">
        <f t="shared" si="3"/>
        <v>#VALUE!</v>
      </c>
      <c r="U12">
        <f t="shared" si="1"/>
        <v>0</v>
      </c>
    </row>
    <row r="13">
      <c r="D13" s="201"/>
      <c r="I13" s="201"/>
      <c r="R13" t="str">
        <f t="shared" si="4"/>
        <v/>
      </c>
      <c r="S13" s="201" t="str">
        <f t="shared" si="2"/>
        <v>#VALUE!</v>
      </c>
      <c r="T13" t="str">
        <f t="shared" si="3"/>
        <v>#VALUE!</v>
      </c>
      <c r="U13">
        <f t="shared" si="1"/>
        <v>0</v>
      </c>
    </row>
    <row r="14">
      <c r="D14" s="201"/>
      <c r="I14" s="201"/>
      <c r="R14" t="str">
        <f t="shared" si="4"/>
        <v/>
      </c>
      <c r="S14" s="201" t="str">
        <f t="shared" si="2"/>
        <v>#VALUE!</v>
      </c>
      <c r="T14" t="str">
        <f t="shared" si="3"/>
        <v>#VALUE!</v>
      </c>
      <c r="U14">
        <f t="shared" si="1"/>
        <v>0</v>
      </c>
    </row>
    <row r="15">
      <c r="D15" s="201"/>
      <c r="I15" s="201"/>
      <c r="R15" t="str">
        <f t="shared" si="4"/>
        <v/>
      </c>
      <c r="S15" s="201" t="str">
        <f t="shared" si="2"/>
        <v>#VALUE!</v>
      </c>
      <c r="T15" t="str">
        <f t="shared" si="3"/>
        <v>#VALUE!</v>
      </c>
      <c r="U15">
        <f t="shared" si="1"/>
        <v>0</v>
      </c>
    </row>
    <row r="16">
      <c r="D16" s="201"/>
      <c r="I16" s="201"/>
      <c r="R16" t="str">
        <f t="shared" si="4"/>
        <v/>
      </c>
      <c r="S16" s="201" t="str">
        <f t="shared" si="2"/>
        <v>#VALUE!</v>
      </c>
      <c r="T16" t="str">
        <f t="shared" si="3"/>
        <v>#VALUE!</v>
      </c>
      <c r="U16">
        <f t="shared" si="1"/>
        <v>0</v>
      </c>
    </row>
    <row r="17">
      <c r="D17" s="201"/>
      <c r="I17" s="201"/>
      <c r="R17" t="str">
        <f t="shared" si="4"/>
        <v/>
      </c>
      <c r="S17" s="201" t="str">
        <f t="shared" si="2"/>
        <v>#VALUE!</v>
      </c>
      <c r="T17" t="str">
        <f t="shared" si="3"/>
        <v>#VALUE!</v>
      </c>
      <c r="U17">
        <f t="shared" si="1"/>
        <v>0</v>
      </c>
    </row>
    <row r="18">
      <c r="D18" s="201"/>
      <c r="I18" s="201"/>
      <c r="R18" t="str">
        <f t="shared" si="4"/>
        <v/>
      </c>
      <c r="S18" s="201" t="str">
        <f t="shared" si="2"/>
        <v>#VALUE!</v>
      </c>
      <c r="T18" t="str">
        <f t="shared" si="3"/>
        <v>#VALUE!</v>
      </c>
      <c r="U18">
        <f t="shared" si="1"/>
        <v>0</v>
      </c>
    </row>
    <row r="19">
      <c r="D19" s="201"/>
      <c r="I19" s="201"/>
      <c r="R19" t="str">
        <f t="shared" si="4"/>
        <v/>
      </c>
      <c r="S19" s="201" t="str">
        <f t="shared" si="2"/>
        <v>#VALUE!</v>
      </c>
      <c r="T19" t="str">
        <f t="shared" si="3"/>
        <v>#VALUE!</v>
      </c>
      <c r="U19">
        <f t="shared" si="1"/>
        <v>0</v>
      </c>
    </row>
    <row r="20">
      <c r="D20" s="201"/>
      <c r="I20" s="201"/>
      <c r="R20" t="str">
        <f t="shared" si="4"/>
        <v/>
      </c>
      <c r="S20" s="201" t="str">
        <f t="shared" si="2"/>
        <v>#VALUE!</v>
      </c>
      <c r="T20" t="str">
        <f t="shared" si="3"/>
        <v>#VALUE!</v>
      </c>
      <c r="U20">
        <f t="shared" si="1"/>
        <v>0</v>
      </c>
    </row>
    <row r="21">
      <c r="D21" s="201"/>
      <c r="I21" s="201"/>
      <c r="R21" t="str">
        <f t="shared" si="4"/>
        <v/>
      </c>
      <c r="S21" s="201" t="str">
        <f t="shared" si="2"/>
        <v>#VALUE!</v>
      </c>
      <c r="T21" t="str">
        <f t="shared" si="3"/>
        <v>#VALUE!</v>
      </c>
      <c r="U21">
        <f t="shared" si="1"/>
        <v>0</v>
      </c>
    </row>
    <row r="22">
      <c r="D22" s="201"/>
      <c r="I22" s="201"/>
      <c r="R22" t="str">
        <f t="shared" si="4"/>
        <v/>
      </c>
      <c r="S22" s="201" t="str">
        <f t="shared" si="2"/>
        <v>#VALUE!</v>
      </c>
      <c r="T22" t="str">
        <f t="shared" si="3"/>
        <v>#VALUE!</v>
      </c>
      <c r="U22">
        <f t="shared" si="1"/>
        <v>0</v>
      </c>
    </row>
    <row r="23">
      <c r="D23" s="201"/>
      <c r="I23" s="201"/>
      <c r="R23" t="str">
        <f t="shared" si="4"/>
        <v/>
      </c>
      <c r="S23" s="201" t="str">
        <f t="shared" si="2"/>
        <v>#VALUE!</v>
      </c>
      <c r="T23" t="str">
        <f t="shared" si="3"/>
        <v>#VALUE!</v>
      </c>
      <c r="U23">
        <f t="shared" si="1"/>
        <v>0</v>
      </c>
    </row>
    <row r="24">
      <c r="D24" s="201"/>
      <c r="I24" s="201"/>
      <c r="R24" t="str">
        <f t="shared" si="4"/>
        <v/>
      </c>
      <c r="S24" s="201" t="str">
        <f t="shared" si="2"/>
        <v>#VALUE!</v>
      </c>
      <c r="T24" t="str">
        <f t="shared" si="3"/>
        <v>#VALUE!</v>
      </c>
      <c r="U24">
        <f t="shared" si="1"/>
        <v>0</v>
      </c>
    </row>
    <row r="25">
      <c r="D25" s="201"/>
      <c r="I25" s="201"/>
      <c r="R25" t="str">
        <f t="shared" si="4"/>
        <v/>
      </c>
      <c r="S25" s="201" t="str">
        <f t="shared" si="2"/>
        <v>#VALUE!</v>
      </c>
      <c r="T25" t="str">
        <f t="shared" si="3"/>
        <v>#VALUE!</v>
      </c>
      <c r="U25">
        <f t="shared" si="1"/>
        <v>0</v>
      </c>
    </row>
    <row r="26">
      <c r="D26" s="201"/>
      <c r="I26" s="201"/>
      <c r="R26" t="str">
        <f t="shared" si="4"/>
        <v/>
      </c>
      <c r="S26" s="201" t="str">
        <f t="shared" si="2"/>
        <v>#VALUE!</v>
      </c>
      <c r="T26" t="str">
        <f t="shared" si="3"/>
        <v>#VALUE!</v>
      </c>
      <c r="U26">
        <f t="shared" si="1"/>
        <v>0</v>
      </c>
    </row>
    <row r="27">
      <c r="D27" s="201"/>
      <c r="I27" s="201"/>
      <c r="R27" t="str">
        <f t="shared" si="4"/>
        <v/>
      </c>
      <c r="S27" s="201" t="str">
        <f t="shared" si="2"/>
        <v>#VALUE!</v>
      </c>
      <c r="T27" t="str">
        <f t="shared" si="3"/>
        <v>#VALUE!</v>
      </c>
      <c r="U27">
        <f t="shared" si="1"/>
        <v>0</v>
      </c>
    </row>
    <row r="28">
      <c r="D28" s="201"/>
      <c r="I28" s="201"/>
      <c r="R28" t="str">
        <f t="shared" si="4"/>
        <v/>
      </c>
      <c r="S28" s="201" t="str">
        <f t="shared" si="2"/>
        <v>#VALUE!</v>
      </c>
      <c r="T28" t="str">
        <f t="shared" si="3"/>
        <v>#VALUE!</v>
      </c>
      <c r="U28">
        <f t="shared" si="1"/>
        <v>0</v>
      </c>
    </row>
    <row r="29">
      <c r="D29" s="201"/>
      <c r="I29" s="201"/>
      <c r="R29" t="str">
        <f t="shared" si="4"/>
        <v/>
      </c>
      <c r="S29" s="201" t="str">
        <f t="shared" si="2"/>
        <v>#VALUE!</v>
      </c>
      <c r="T29" t="str">
        <f t="shared" si="3"/>
        <v>#VALUE!</v>
      </c>
      <c r="U29">
        <f t="shared" si="1"/>
        <v>0</v>
      </c>
    </row>
    <row r="30">
      <c r="D30" s="201"/>
      <c r="I30" s="201"/>
      <c r="R30" t="str">
        <f t="shared" si="4"/>
        <v/>
      </c>
      <c r="S30" s="201" t="str">
        <f t="shared" si="2"/>
        <v>#VALUE!</v>
      </c>
      <c r="T30" t="str">
        <f t="shared" si="3"/>
        <v>#VALUE!</v>
      </c>
      <c r="U30">
        <f t="shared" si="1"/>
        <v>0</v>
      </c>
    </row>
    <row r="31">
      <c r="D31" s="201"/>
      <c r="I31" s="201"/>
      <c r="R31" t="str">
        <f t="shared" si="4"/>
        <v/>
      </c>
      <c r="S31" s="201" t="str">
        <f t="shared" si="2"/>
        <v>#VALUE!</v>
      </c>
      <c r="T31" t="str">
        <f t="shared" si="3"/>
        <v>#VALUE!</v>
      </c>
      <c r="U31">
        <f t="shared" si="1"/>
        <v>0</v>
      </c>
    </row>
    <row r="32">
      <c r="D32" s="201"/>
      <c r="I32" s="201"/>
      <c r="R32" t="str">
        <f t="shared" si="4"/>
        <v/>
      </c>
      <c r="S32" s="201" t="str">
        <f t="shared" si="2"/>
        <v>#VALUE!</v>
      </c>
      <c r="T32" t="str">
        <f t="shared" si="3"/>
        <v>#VALUE!</v>
      </c>
      <c r="U32">
        <f t="shared" si="1"/>
        <v>0</v>
      </c>
    </row>
    <row r="33">
      <c r="D33" s="201"/>
      <c r="I33" s="201"/>
      <c r="R33" t="str">
        <f t="shared" si="4"/>
        <v/>
      </c>
      <c r="S33" s="201" t="str">
        <f t="shared" si="2"/>
        <v>#VALUE!</v>
      </c>
      <c r="T33" t="str">
        <f t="shared" si="3"/>
        <v>#VALUE!</v>
      </c>
      <c r="U33">
        <f t="shared" si="1"/>
        <v>0</v>
      </c>
    </row>
    <row r="34">
      <c r="D34" s="201"/>
      <c r="I34" s="201"/>
      <c r="R34" t="str">
        <f t="shared" si="4"/>
        <v/>
      </c>
      <c r="S34" s="201" t="str">
        <f t="shared" si="2"/>
        <v>#VALUE!</v>
      </c>
      <c r="T34" t="str">
        <f t="shared" si="3"/>
        <v>#VALUE!</v>
      </c>
      <c r="U34">
        <f t="shared" si="1"/>
        <v>0</v>
      </c>
    </row>
    <row r="35">
      <c r="D35" s="201"/>
      <c r="I35" s="201"/>
      <c r="R35" t="str">
        <f t="shared" si="4"/>
        <v/>
      </c>
      <c r="S35" s="201" t="str">
        <f t="shared" si="2"/>
        <v>#VALUE!</v>
      </c>
      <c r="T35" t="str">
        <f t="shared" si="3"/>
        <v>#VALUE!</v>
      </c>
      <c r="U35">
        <f t="shared" si="1"/>
        <v>0</v>
      </c>
    </row>
    <row r="36">
      <c r="D36" s="201"/>
      <c r="I36" s="201"/>
      <c r="R36" t="str">
        <f t="shared" si="4"/>
        <v/>
      </c>
      <c r="S36" s="201" t="str">
        <f t="shared" si="2"/>
        <v>#VALUE!</v>
      </c>
      <c r="T36" t="str">
        <f t="shared" si="3"/>
        <v>#VALUE!</v>
      </c>
      <c r="U36">
        <f t="shared" si="1"/>
        <v>0</v>
      </c>
    </row>
    <row r="37">
      <c r="D37" s="201"/>
      <c r="I37" s="201"/>
      <c r="R37" t="str">
        <f t="shared" si="4"/>
        <v/>
      </c>
      <c r="S37" s="201" t="str">
        <f t="shared" si="2"/>
        <v>#VALUE!</v>
      </c>
      <c r="T37" t="str">
        <f t="shared" si="3"/>
        <v>#VALUE!</v>
      </c>
      <c r="U37">
        <f t="shared" si="1"/>
        <v>0</v>
      </c>
    </row>
    <row r="38">
      <c r="D38" s="201"/>
      <c r="I38" s="201"/>
      <c r="R38" t="str">
        <f t="shared" si="4"/>
        <v/>
      </c>
      <c r="S38" s="201" t="str">
        <f t="shared" si="2"/>
        <v>#VALUE!</v>
      </c>
      <c r="T38" t="str">
        <f t="shared" si="3"/>
        <v>#VALUE!</v>
      </c>
      <c r="U38">
        <f t="shared" si="1"/>
        <v>0</v>
      </c>
    </row>
    <row r="39">
      <c r="D39" s="201"/>
      <c r="I39" s="201"/>
      <c r="R39" t="str">
        <f t="shared" si="4"/>
        <v/>
      </c>
      <c r="S39" s="201" t="str">
        <f t="shared" si="2"/>
        <v>#VALUE!</v>
      </c>
      <c r="T39" t="str">
        <f t="shared" si="3"/>
        <v>#VALUE!</v>
      </c>
      <c r="U39">
        <f t="shared" si="1"/>
        <v>0</v>
      </c>
    </row>
    <row r="40">
      <c r="D40" s="201"/>
      <c r="I40" s="201"/>
      <c r="R40" t="str">
        <f t="shared" si="4"/>
        <v/>
      </c>
      <c r="S40" s="201" t="str">
        <f t="shared" si="2"/>
        <v>#VALUE!</v>
      </c>
      <c r="T40" t="str">
        <f t="shared" si="3"/>
        <v>#VALUE!</v>
      </c>
      <c r="U40">
        <f t="shared" si="1"/>
        <v>0</v>
      </c>
    </row>
    <row r="41">
      <c r="D41" s="201"/>
      <c r="I41" s="201"/>
      <c r="R41" t="str">
        <f t="shared" si="4"/>
        <v/>
      </c>
      <c r="S41" s="201" t="str">
        <f t="shared" si="2"/>
        <v>#VALUE!</v>
      </c>
      <c r="T41" t="str">
        <f t="shared" si="3"/>
        <v>#VALUE!</v>
      </c>
      <c r="U41">
        <f t="shared" si="1"/>
        <v>0</v>
      </c>
    </row>
    <row r="42">
      <c r="D42" s="201"/>
      <c r="I42" s="201"/>
      <c r="R42" t="str">
        <f t="shared" si="4"/>
        <v/>
      </c>
      <c r="S42" s="201" t="str">
        <f t="shared" si="2"/>
        <v>#VALUE!</v>
      </c>
      <c r="T42" t="str">
        <f t="shared" si="3"/>
        <v>#VALUE!</v>
      </c>
      <c r="U42">
        <f t="shared" si="1"/>
        <v>0</v>
      </c>
    </row>
    <row r="43">
      <c r="D43" s="201"/>
      <c r="I43" s="201"/>
      <c r="R43" t="str">
        <f t="shared" si="4"/>
        <v/>
      </c>
      <c r="S43" s="201" t="str">
        <f t="shared" si="2"/>
        <v>#VALUE!</v>
      </c>
      <c r="T43" t="str">
        <f t="shared" si="3"/>
        <v>#VALUE!</v>
      </c>
      <c r="U43">
        <f t="shared" si="1"/>
        <v>0</v>
      </c>
    </row>
    <row r="44">
      <c r="D44" s="201"/>
      <c r="I44" s="201"/>
      <c r="R44" t="str">
        <f t="shared" si="4"/>
        <v/>
      </c>
      <c r="S44" s="201" t="str">
        <f t="shared" si="2"/>
        <v>#VALUE!</v>
      </c>
      <c r="T44" t="str">
        <f t="shared" si="3"/>
        <v>#VALUE!</v>
      </c>
      <c r="U44">
        <f t="shared" si="1"/>
        <v>0</v>
      </c>
    </row>
    <row r="45">
      <c r="D45" s="201"/>
      <c r="I45" s="201"/>
      <c r="R45" t="str">
        <f t="shared" si="4"/>
        <v/>
      </c>
      <c r="S45" s="201" t="str">
        <f t="shared" si="2"/>
        <v>#VALUE!</v>
      </c>
      <c r="T45" t="str">
        <f t="shared" si="3"/>
        <v>#VALUE!</v>
      </c>
      <c r="U45">
        <f t="shared" si="1"/>
        <v>0</v>
      </c>
    </row>
    <row r="46">
      <c r="D46" s="201"/>
      <c r="I46" s="201"/>
      <c r="R46" t="str">
        <f t="shared" si="4"/>
        <v/>
      </c>
      <c r="S46" s="201" t="str">
        <f t="shared" si="2"/>
        <v>#VALUE!</v>
      </c>
      <c r="T46" t="str">
        <f t="shared" si="3"/>
        <v>#VALUE!</v>
      </c>
      <c r="U46">
        <f t="shared" si="1"/>
        <v>0</v>
      </c>
    </row>
    <row r="47">
      <c r="D47" s="201"/>
      <c r="I47" s="201"/>
      <c r="R47" t="str">
        <f t="shared" si="4"/>
        <v/>
      </c>
      <c r="S47" s="201" t="str">
        <f t="shared" si="2"/>
        <v>#VALUE!</v>
      </c>
      <c r="T47" t="str">
        <f t="shared" si="3"/>
        <v>#VALUE!</v>
      </c>
      <c r="U47">
        <f t="shared" si="1"/>
        <v>0</v>
      </c>
    </row>
    <row r="48">
      <c r="D48" s="201"/>
      <c r="I48" s="201"/>
      <c r="R48" t="str">
        <f t="shared" si="4"/>
        <v/>
      </c>
      <c r="S48" s="201" t="str">
        <f t="shared" si="2"/>
        <v>#VALUE!</v>
      </c>
      <c r="T48" t="str">
        <f t="shared" si="3"/>
        <v>#VALUE!</v>
      </c>
      <c r="U48">
        <f t="shared" si="1"/>
        <v>0</v>
      </c>
    </row>
    <row r="49">
      <c r="D49" s="201"/>
      <c r="I49" s="201"/>
      <c r="R49" t="str">
        <f t="shared" si="4"/>
        <v/>
      </c>
      <c r="S49" s="201" t="str">
        <f t="shared" si="2"/>
        <v>#VALUE!</v>
      </c>
      <c r="T49" t="str">
        <f t="shared" si="3"/>
        <v>#VALUE!</v>
      </c>
      <c r="U49">
        <f t="shared" si="1"/>
        <v>0</v>
      </c>
    </row>
    <row r="50">
      <c r="D50" s="201"/>
      <c r="I50" s="201"/>
      <c r="R50" t="str">
        <f t="shared" si="4"/>
        <v/>
      </c>
      <c r="S50" s="201" t="str">
        <f t="shared" si="2"/>
        <v>#VALUE!</v>
      </c>
      <c r="T50" t="str">
        <f t="shared" si="3"/>
        <v>#VALUE!</v>
      </c>
      <c r="U50">
        <f t="shared" si="1"/>
        <v>0</v>
      </c>
    </row>
    <row r="51">
      <c r="D51" s="201"/>
      <c r="I51" s="201"/>
      <c r="R51" t="str">
        <f t="shared" si="4"/>
        <v/>
      </c>
      <c r="S51" s="201" t="str">
        <f t="shared" si="2"/>
        <v>#VALUE!</v>
      </c>
      <c r="T51" t="str">
        <f t="shared" si="3"/>
        <v>#VALUE!</v>
      </c>
      <c r="U51">
        <f t="shared" si="1"/>
        <v>0</v>
      </c>
    </row>
    <row r="52">
      <c r="D52" s="201"/>
      <c r="I52" s="201"/>
      <c r="R52" t="str">
        <f t="shared" si="4"/>
        <v/>
      </c>
      <c r="S52" s="201" t="str">
        <f t="shared" si="2"/>
        <v>#VALUE!</v>
      </c>
      <c r="T52" t="str">
        <f t="shared" si="3"/>
        <v>#VALUE!</v>
      </c>
      <c r="U52">
        <f t="shared" si="1"/>
        <v>0</v>
      </c>
    </row>
    <row r="53">
      <c r="D53" s="201"/>
      <c r="I53" s="201"/>
      <c r="R53" t="str">
        <f t="shared" si="4"/>
        <v/>
      </c>
      <c r="S53" s="201" t="str">
        <f t="shared" si="2"/>
        <v>#VALUE!</v>
      </c>
      <c r="T53" t="str">
        <f t="shared" si="3"/>
        <v>#VALUE!</v>
      </c>
      <c r="U53">
        <f t="shared" si="1"/>
        <v>0</v>
      </c>
    </row>
    <row r="54">
      <c r="D54" s="201"/>
      <c r="I54" s="201"/>
      <c r="R54" t="str">
        <f t="shared" si="4"/>
        <v/>
      </c>
      <c r="S54" s="201" t="str">
        <f t="shared" si="2"/>
        <v>#VALUE!</v>
      </c>
      <c r="T54" t="str">
        <f t="shared" si="3"/>
        <v>#VALUE!</v>
      </c>
      <c r="U54">
        <f t="shared" si="1"/>
        <v>0</v>
      </c>
    </row>
    <row r="55">
      <c r="D55" s="201"/>
      <c r="I55" s="201"/>
      <c r="R55" t="str">
        <f t="shared" si="4"/>
        <v/>
      </c>
      <c r="S55" s="201" t="str">
        <f t="shared" si="2"/>
        <v>#VALUE!</v>
      </c>
      <c r="T55" t="str">
        <f t="shared" si="3"/>
        <v>#VALUE!</v>
      </c>
      <c r="U55">
        <f t="shared" si="1"/>
        <v>0</v>
      </c>
    </row>
    <row r="56">
      <c r="D56" s="201"/>
      <c r="I56" s="201"/>
      <c r="R56" t="str">
        <f t="shared" si="4"/>
        <v/>
      </c>
      <c r="S56" s="201" t="str">
        <f t="shared" si="2"/>
        <v>#VALUE!</v>
      </c>
      <c r="T56" t="str">
        <f t="shared" si="3"/>
        <v>#VALUE!</v>
      </c>
      <c r="U56">
        <f t="shared" si="1"/>
        <v>0</v>
      </c>
    </row>
    <row r="57">
      <c r="D57" s="201"/>
      <c r="I57" s="201"/>
      <c r="R57" t="str">
        <f t="shared" si="4"/>
        <v/>
      </c>
      <c r="S57" s="201" t="str">
        <f t="shared" si="2"/>
        <v>#VALUE!</v>
      </c>
      <c r="T57" t="str">
        <f t="shared" si="3"/>
        <v>#VALUE!</v>
      </c>
      <c r="U57">
        <f t="shared" si="1"/>
        <v>0</v>
      </c>
    </row>
    <row r="58">
      <c r="D58" s="201"/>
      <c r="I58" s="201"/>
      <c r="R58" t="str">
        <f t="shared" si="4"/>
        <v/>
      </c>
      <c r="S58" s="201" t="str">
        <f t="shared" si="2"/>
        <v>#VALUE!</v>
      </c>
      <c r="T58" t="str">
        <f t="shared" si="3"/>
        <v>#VALUE!</v>
      </c>
      <c r="U58">
        <f t="shared" si="1"/>
        <v>0</v>
      </c>
    </row>
    <row r="59">
      <c r="D59" s="201"/>
      <c r="I59" s="201"/>
      <c r="R59" t="str">
        <f t="shared" si="4"/>
        <v/>
      </c>
      <c r="S59" s="201" t="str">
        <f t="shared" si="2"/>
        <v>#VALUE!</v>
      </c>
      <c r="T59" t="str">
        <f t="shared" si="3"/>
        <v>#VALUE!</v>
      </c>
      <c r="U59">
        <f t="shared" si="1"/>
        <v>0</v>
      </c>
    </row>
    <row r="60">
      <c r="D60" s="201"/>
      <c r="I60" s="201"/>
      <c r="R60" t="str">
        <f t="shared" si="4"/>
        <v/>
      </c>
      <c r="S60" s="201" t="str">
        <f t="shared" si="2"/>
        <v>#VALUE!</v>
      </c>
      <c r="T60" t="str">
        <f t="shared" si="3"/>
        <v>#VALUE!</v>
      </c>
      <c r="U60">
        <f t="shared" si="1"/>
        <v>0</v>
      </c>
    </row>
    <row r="61">
      <c r="D61" s="201"/>
      <c r="I61" s="201"/>
      <c r="R61" t="str">
        <f t="shared" si="4"/>
        <v/>
      </c>
      <c r="S61" s="201" t="str">
        <f t="shared" si="2"/>
        <v>#VALUE!</v>
      </c>
      <c r="T61" t="str">
        <f t="shared" si="3"/>
        <v>#VALUE!</v>
      </c>
      <c r="U61">
        <f t="shared" si="1"/>
        <v>0</v>
      </c>
    </row>
    <row r="62">
      <c r="D62" s="201"/>
      <c r="I62" s="201"/>
      <c r="R62" t="str">
        <f t="shared" si="4"/>
        <v/>
      </c>
      <c r="S62" s="201" t="str">
        <f t="shared" si="2"/>
        <v>#VALUE!</v>
      </c>
      <c r="T62" t="str">
        <f t="shared" si="3"/>
        <v>#VALUE!</v>
      </c>
      <c r="U62">
        <f t="shared" si="1"/>
        <v>0</v>
      </c>
    </row>
    <row r="63">
      <c r="D63" s="201"/>
      <c r="I63" s="201"/>
      <c r="R63" t="str">
        <f t="shared" si="4"/>
        <v/>
      </c>
      <c r="S63" s="201" t="str">
        <f t="shared" si="2"/>
        <v>#VALUE!</v>
      </c>
      <c r="T63" t="str">
        <f t="shared" si="3"/>
        <v>#VALUE!</v>
      </c>
      <c r="U63">
        <f t="shared" si="1"/>
        <v>0</v>
      </c>
    </row>
    <row r="64">
      <c r="D64" s="201"/>
      <c r="I64" s="201"/>
      <c r="R64" t="str">
        <f t="shared" si="4"/>
        <v/>
      </c>
      <c r="S64" s="201" t="str">
        <f t="shared" si="2"/>
        <v>#VALUE!</v>
      </c>
      <c r="T64" t="str">
        <f t="shared" si="3"/>
        <v>#VALUE!</v>
      </c>
      <c r="U64">
        <f t="shared" si="1"/>
        <v>0</v>
      </c>
    </row>
    <row r="65">
      <c r="D65" s="201"/>
      <c r="I65" s="201"/>
      <c r="R65" t="str">
        <f t="shared" si="4"/>
        <v/>
      </c>
      <c r="S65" s="201" t="str">
        <f t="shared" si="2"/>
        <v>#VALUE!</v>
      </c>
      <c r="T65" t="str">
        <f t="shared" si="3"/>
        <v>#VALUE!</v>
      </c>
      <c r="U65">
        <f t="shared" si="1"/>
        <v>0</v>
      </c>
    </row>
    <row r="66">
      <c r="D66" s="201"/>
      <c r="I66" s="201"/>
      <c r="R66" t="str">
        <f t="shared" si="4"/>
        <v/>
      </c>
      <c r="S66" s="201" t="str">
        <f t="shared" si="2"/>
        <v>#VALUE!</v>
      </c>
      <c r="T66" t="str">
        <f t="shared" si="3"/>
        <v>#VALUE!</v>
      </c>
      <c r="U66">
        <f t="shared" si="1"/>
        <v>0</v>
      </c>
    </row>
    <row r="67">
      <c r="D67" s="201"/>
      <c r="I67" s="201"/>
      <c r="R67" t="str">
        <f t="shared" si="4"/>
        <v/>
      </c>
      <c r="S67" s="201" t="str">
        <f t="shared" si="2"/>
        <v>#VALUE!</v>
      </c>
      <c r="T67" t="str">
        <f t="shared" si="3"/>
        <v>#VALUE!</v>
      </c>
      <c r="U67">
        <f t="shared" si="1"/>
        <v>0</v>
      </c>
    </row>
    <row r="68">
      <c r="D68" s="201"/>
      <c r="I68" s="201"/>
      <c r="R68" t="str">
        <f t="shared" si="4"/>
        <v/>
      </c>
      <c r="S68" s="201" t="str">
        <f t="shared" si="2"/>
        <v>#VALUE!</v>
      </c>
      <c r="T68" t="str">
        <f t="shared" si="3"/>
        <v>#VALUE!</v>
      </c>
      <c r="U68">
        <f t="shared" si="1"/>
        <v>0</v>
      </c>
    </row>
    <row r="69">
      <c r="D69" s="201"/>
      <c r="I69" s="201"/>
      <c r="R69" t="str">
        <f t="shared" si="4"/>
        <v/>
      </c>
      <c r="S69" s="201" t="str">
        <f t="shared" si="2"/>
        <v>#VALUE!</v>
      </c>
      <c r="T69" t="str">
        <f t="shared" si="3"/>
        <v>#VALUE!</v>
      </c>
      <c r="U69">
        <f t="shared" si="1"/>
        <v>0</v>
      </c>
    </row>
    <row r="70">
      <c r="D70" s="201"/>
      <c r="I70" s="201"/>
      <c r="R70" t="str">
        <f t="shared" si="4"/>
        <v/>
      </c>
      <c r="S70" s="201" t="str">
        <f t="shared" si="2"/>
        <v>#VALUE!</v>
      </c>
      <c r="T70" t="str">
        <f t="shared" si="3"/>
        <v>#VALUE!</v>
      </c>
      <c r="U70">
        <f t="shared" si="1"/>
        <v>0</v>
      </c>
    </row>
    <row r="71">
      <c r="D71" s="201"/>
      <c r="I71" s="201"/>
      <c r="R71" t="str">
        <f t="shared" si="4"/>
        <v/>
      </c>
      <c r="S71" s="201" t="str">
        <f t="shared" si="2"/>
        <v>#VALUE!</v>
      </c>
      <c r="T71" t="str">
        <f t="shared" si="3"/>
        <v>#VALUE!</v>
      </c>
      <c r="U71">
        <f t="shared" si="1"/>
        <v>0</v>
      </c>
    </row>
    <row r="72">
      <c r="D72" s="201"/>
      <c r="I72" s="201"/>
      <c r="R72" t="str">
        <f t="shared" si="4"/>
        <v/>
      </c>
      <c r="S72" s="201" t="str">
        <f t="shared" si="2"/>
        <v>#VALUE!</v>
      </c>
      <c r="T72" t="str">
        <f t="shared" si="3"/>
        <v>#VALUE!</v>
      </c>
      <c r="U72">
        <f t="shared" si="1"/>
        <v>0</v>
      </c>
    </row>
    <row r="73">
      <c r="D73" s="201"/>
      <c r="I73" s="201"/>
      <c r="R73" t="str">
        <f t="shared" si="4"/>
        <v/>
      </c>
      <c r="S73" s="201" t="str">
        <f t="shared" si="2"/>
        <v>#VALUE!</v>
      </c>
      <c r="T73" t="str">
        <f t="shared" si="3"/>
        <v>#VALUE!</v>
      </c>
      <c r="U73">
        <f t="shared" si="1"/>
        <v>0</v>
      </c>
    </row>
    <row r="74">
      <c r="D74" s="201"/>
      <c r="I74" s="201"/>
      <c r="R74" t="str">
        <f t="shared" si="4"/>
        <v/>
      </c>
      <c r="S74" s="201" t="str">
        <f t="shared" si="2"/>
        <v>#VALUE!</v>
      </c>
      <c r="T74" t="str">
        <f t="shared" si="3"/>
        <v>#VALUE!</v>
      </c>
      <c r="U74">
        <f t="shared" si="1"/>
        <v>0</v>
      </c>
    </row>
    <row r="75">
      <c r="D75" s="201"/>
      <c r="I75" s="201"/>
      <c r="R75" t="str">
        <f t="shared" si="4"/>
        <v/>
      </c>
      <c r="S75" s="201" t="str">
        <f t="shared" si="2"/>
        <v>#VALUE!</v>
      </c>
      <c r="T75" t="str">
        <f t="shared" si="3"/>
        <v>#VALUE!</v>
      </c>
      <c r="U75">
        <f t="shared" si="1"/>
        <v>0</v>
      </c>
    </row>
    <row r="76">
      <c r="D76" s="201"/>
      <c r="I76" s="201"/>
      <c r="R76" t="str">
        <f t="shared" si="4"/>
        <v/>
      </c>
      <c r="S76" s="201" t="str">
        <f t="shared" si="2"/>
        <v>#VALUE!</v>
      </c>
      <c r="T76" t="str">
        <f t="shared" si="3"/>
        <v>#VALUE!</v>
      </c>
      <c r="U76">
        <f t="shared" si="1"/>
        <v>0</v>
      </c>
    </row>
    <row r="77">
      <c r="D77" s="201"/>
      <c r="I77" s="201"/>
      <c r="R77" t="str">
        <f t="shared" si="4"/>
        <v/>
      </c>
      <c r="S77" s="201" t="str">
        <f t="shared" si="2"/>
        <v>#VALUE!</v>
      </c>
      <c r="T77" t="str">
        <f t="shared" si="3"/>
        <v>#VALUE!</v>
      </c>
      <c r="U77">
        <f t="shared" si="1"/>
        <v>0</v>
      </c>
    </row>
    <row r="78">
      <c r="D78" s="201"/>
      <c r="I78" s="201"/>
      <c r="R78" t="str">
        <f t="shared" si="4"/>
        <v/>
      </c>
      <c r="S78" s="201" t="str">
        <f t="shared" si="2"/>
        <v>#VALUE!</v>
      </c>
      <c r="T78" t="str">
        <f t="shared" si="3"/>
        <v>#VALUE!</v>
      </c>
      <c r="U78">
        <f t="shared" si="1"/>
        <v>0</v>
      </c>
    </row>
    <row r="79">
      <c r="D79" s="201"/>
      <c r="I79" s="201"/>
      <c r="R79" t="str">
        <f t="shared" si="4"/>
        <v/>
      </c>
      <c r="S79" s="201" t="str">
        <f t="shared" si="2"/>
        <v>#VALUE!</v>
      </c>
      <c r="T79" t="str">
        <f t="shared" si="3"/>
        <v>#VALUE!</v>
      </c>
      <c r="U79">
        <f t="shared" si="1"/>
        <v>0</v>
      </c>
    </row>
    <row r="80">
      <c r="D80" s="201"/>
      <c r="I80" s="201"/>
      <c r="R80" t="str">
        <f t="shared" si="4"/>
        <v/>
      </c>
      <c r="S80" s="201" t="str">
        <f t="shared" si="2"/>
        <v>#VALUE!</v>
      </c>
      <c r="T80" t="str">
        <f t="shared" si="3"/>
        <v>#VALUE!</v>
      </c>
      <c r="U80">
        <f t="shared" si="1"/>
        <v>0</v>
      </c>
    </row>
    <row r="81">
      <c r="D81" s="201"/>
      <c r="I81" s="201"/>
      <c r="R81" t="str">
        <f t="shared" si="4"/>
        <v/>
      </c>
      <c r="S81" s="201" t="str">
        <f t="shared" si="2"/>
        <v>#VALUE!</v>
      </c>
      <c r="T81" t="str">
        <f t="shared" si="3"/>
        <v>#VALUE!</v>
      </c>
      <c r="U81">
        <f t="shared" si="1"/>
        <v>0</v>
      </c>
    </row>
    <row r="82">
      <c r="D82" s="201"/>
      <c r="I82" s="201"/>
      <c r="R82" t="str">
        <f t="shared" si="4"/>
        <v/>
      </c>
      <c r="S82" s="201" t="str">
        <f t="shared" si="2"/>
        <v>#VALUE!</v>
      </c>
      <c r="T82" t="str">
        <f t="shared" si="3"/>
        <v>#VALUE!</v>
      </c>
      <c r="U82">
        <f t="shared" si="1"/>
        <v>0</v>
      </c>
    </row>
    <row r="83">
      <c r="D83" s="201"/>
      <c r="I83" s="201"/>
      <c r="R83" t="str">
        <f t="shared" si="4"/>
        <v/>
      </c>
      <c r="S83" s="201" t="str">
        <f t="shared" si="2"/>
        <v>#VALUE!</v>
      </c>
      <c r="T83" t="str">
        <f t="shared" si="3"/>
        <v>#VALUE!</v>
      </c>
      <c r="U83">
        <f t="shared" si="1"/>
        <v>0</v>
      </c>
    </row>
    <row r="84">
      <c r="D84" s="201"/>
      <c r="I84" s="201"/>
      <c r="R84" t="str">
        <f t="shared" si="4"/>
        <v/>
      </c>
      <c r="S84" s="201" t="str">
        <f t="shared" si="2"/>
        <v>#VALUE!</v>
      </c>
      <c r="T84" t="str">
        <f t="shared" si="3"/>
        <v>#VALUE!</v>
      </c>
      <c r="U84">
        <f t="shared" si="1"/>
        <v>0</v>
      </c>
    </row>
    <row r="85">
      <c r="D85" s="201"/>
      <c r="I85" s="201"/>
      <c r="R85" t="str">
        <f t="shared" si="4"/>
        <v/>
      </c>
      <c r="S85" s="201" t="str">
        <f t="shared" si="2"/>
        <v>#VALUE!</v>
      </c>
      <c r="T85" t="str">
        <f t="shared" si="3"/>
        <v>#VALUE!</v>
      </c>
      <c r="U85">
        <f t="shared" si="1"/>
        <v>0</v>
      </c>
    </row>
    <row r="86">
      <c r="D86" s="201"/>
      <c r="I86" s="201"/>
      <c r="R86" t="str">
        <f t="shared" si="4"/>
        <v/>
      </c>
      <c r="S86" s="201" t="str">
        <f t="shared" si="2"/>
        <v>#VALUE!</v>
      </c>
      <c r="T86" t="str">
        <f t="shared" si="3"/>
        <v>#VALUE!</v>
      </c>
      <c r="U86">
        <f t="shared" si="1"/>
        <v>0</v>
      </c>
    </row>
    <row r="87">
      <c r="D87" s="201"/>
      <c r="I87" s="201"/>
      <c r="R87" t="str">
        <f t="shared" si="4"/>
        <v/>
      </c>
      <c r="S87" s="201" t="str">
        <f t="shared" si="2"/>
        <v>#VALUE!</v>
      </c>
      <c r="T87" t="str">
        <f t="shared" si="3"/>
        <v>#VALUE!</v>
      </c>
      <c r="U87">
        <f t="shared" si="1"/>
        <v>0</v>
      </c>
    </row>
    <row r="88">
      <c r="D88" s="201"/>
      <c r="I88" s="201"/>
      <c r="R88" t="str">
        <f t="shared" si="4"/>
        <v/>
      </c>
      <c r="S88" s="201" t="str">
        <f t="shared" si="2"/>
        <v>#VALUE!</v>
      </c>
      <c r="T88" t="str">
        <f t="shared" si="3"/>
        <v>#VALUE!</v>
      </c>
      <c r="U88">
        <f t="shared" si="1"/>
        <v>0</v>
      </c>
    </row>
    <row r="89">
      <c r="D89" s="201"/>
      <c r="I89" s="201"/>
      <c r="R89" t="str">
        <f t="shared" si="4"/>
        <v/>
      </c>
      <c r="S89" s="201" t="str">
        <f t="shared" si="2"/>
        <v>#VALUE!</v>
      </c>
      <c r="T89" t="str">
        <f t="shared" si="3"/>
        <v>#VALUE!</v>
      </c>
      <c r="U89">
        <f t="shared" si="1"/>
        <v>0</v>
      </c>
    </row>
    <row r="90">
      <c r="D90" s="201"/>
      <c r="I90" s="201"/>
      <c r="R90" t="str">
        <f t="shared" si="4"/>
        <v/>
      </c>
      <c r="S90" s="201" t="str">
        <f t="shared" si="2"/>
        <v>#VALUE!</v>
      </c>
      <c r="T90" t="str">
        <f t="shared" si="3"/>
        <v>#VALUE!</v>
      </c>
      <c r="U90">
        <f t="shared" si="1"/>
        <v>0</v>
      </c>
    </row>
    <row r="91">
      <c r="D91" s="201"/>
      <c r="I91" s="201"/>
      <c r="R91" t="str">
        <f t="shared" si="4"/>
        <v/>
      </c>
      <c r="S91" s="201" t="str">
        <f t="shared" si="2"/>
        <v>#VALUE!</v>
      </c>
      <c r="T91" t="str">
        <f t="shared" si="3"/>
        <v>#VALUE!</v>
      </c>
      <c r="U91">
        <f t="shared" si="1"/>
        <v>0</v>
      </c>
    </row>
    <row r="92">
      <c r="D92" s="201"/>
      <c r="I92" s="201"/>
      <c r="R92" t="str">
        <f t="shared" si="4"/>
        <v/>
      </c>
      <c r="S92" s="201" t="str">
        <f t="shared" si="2"/>
        <v>#VALUE!</v>
      </c>
      <c r="T92" t="str">
        <f t="shared" si="3"/>
        <v>#VALUE!</v>
      </c>
      <c r="U92">
        <f t="shared" si="1"/>
        <v>0</v>
      </c>
    </row>
    <row r="93">
      <c r="D93" s="201"/>
      <c r="I93" s="201"/>
      <c r="R93" t="str">
        <f t="shared" si="4"/>
        <v/>
      </c>
      <c r="S93" s="201" t="str">
        <f t="shared" si="2"/>
        <v>#VALUE!</v>
      </c>
      <c r="T93" t="str">
        <f t="shared" si="3"/>
        <v>#VALUE!</v>
      </c>
      <c r="U93">
        <f t="shared" si="1"/>
        <v>0</v>
      </c>
    </row>
    <row r="94">
      <c r="D94" s="201"/>
      <c r="I94" s="201"/>
      <c r="R94" t="str">
        <f t="shared" si="4"/>
        <v/>
      </c>
      <c r="S94" s="201" t="str">
        <f t="shared" si="2"/>
        <v>#VALUE!</v>
      </c>
      <c r="T94" t="str">
        <f t="shared" si="3"/>
        <v>#VALUE!</v>
      </c>
      <c r="U94">
        <f t="shared" si="1"/>
        <v>0</v>
      </c>
    </row>
    <row r="95">
      <c r="D95" s="201"/>
      <c r="I95" s="201"/>
      <c r="R95" t="str">
        <f t="shared" si="4"/>
        <v/>
      </c>
      <c r="S95" s="201" t="str">
        <f t="shared" si="2"/>
        <v>#VALUE!</v>
      </c>
      <c r="T95" t="str">
        <f t="shared" si="3"/>
        <v>#VALUE!</v>
      </c>
      <c r="U95">
        <f t="shared" si="1"/>
        <v>0</v>
      </c>
    </row>
    <row r="96">
      <c r="D96" s="201"/>
      <c r="I96" s="201"/>
      <c r="R96" t="str">
        <f t="shared" si="4"/>
        <v/>
      </c>
      <c r="S96" s="201" t="str">
        <f t="shared" si="2"/>
        <v>#VALUE!</v>
      </c>
      <c r="T96" t="str">
        <f t="shared" si="3"/>
        <v>#VALUE!</v>
      </c>
      <c r="U96">
        <f t="shared" si="1"/>
        <v>0</v>
      </c>
    </row>
    <row r="97">
      <c r="D97" s="201"/>
      <c r="I97" s="201"/>
      <c r="R97" t="str">
        <f t="shared" si="4"/>
        <v/>
      </c>
      <c r="S97" s="201" t="str">
        <f t="shared" si="2"/>
        <v>#VALUE!</v>
      </c>
      <c r="T97" t="str">
        <f t="shared" si="3"/>
        <v>#VALUE!</v>
      </c>
      <c r="U97">
        <f t="shared" si="1"/>
        <v>0</v>
      </c>
    </row>
    <row r="98">
      <c r="D98" s="201"/>
      <c r="I98" s="201"/>
      <c r="R98" t="str">
        <f t="shared" si="4"/>
        <v/>
      </c>
      <c r="S98" s="201" t="str">
        <f t="shared" si="2"/>
        <v>#VALUE!</v>
      </c>
      <c r="T98" t="str">
        <f t="shared" si="3"/>
        <v>#VALUE!</v>
      </c>
      <c r="U98">
        <f t="shared" si="1"/>
        <v>0</v>
      </c>
    </row>
    <row r="99">
      <c r="D99" s="201"/>
      <c r="I99" s="201"/>
      <c r="R99" t="str">
        <f t="shared" si="4"/>
        <v/>
      </c>
      <c r="S99" s="201" t="str">
        <f t="shared" si="2"/>
        <v>#VALUE!</v>
      </c>
      <c r="T99" t="str">
        <f t="shared" si="3"/>
        <v>#VALUE!</v>
      </c>
      <c r="U99">
        <f t="shared" si="1"/>
        <v>0</v>
      </c>
    </row>
    <row r="100">
      <c r="D100" s="201"/>
      <c r="I100" s="201"/>
      <c r="R100" t="str">
        <f t="shared" si="4"/>
        <v/>
      </c>
      <c r="S100" s="201" t="str">
        <f t="shared" si="2"/>
        <v>#VALUE!</v>
      </c>
      <c r="T100" t="str">
        <f t="shared" si="3"/>
        <v>#VALUE!</v>
      </c>
      <c r="U100">
        <f t="shared" si="1"/>
        <v>0</v>
      </c>
    </row>
    <row r="101">
      <c r="D101" s="201"/>
      <c r="I101" s="201"/>
      <c r="R101" t="str">
        <f t="shared" si="4"/>
        <v/>
      </c>
      <c r="S101" s="201" t="str">
        <f t="shared" si="2"/>
        <v>#VALUE!</v>
      </c>
      <c r="T101" t="str">
        <f t="shared" si="3"/>
        <v>#VALUE!</v>
      </c>
      <c r="U101">
        <f t="shared" si="1"/>
        <v>0</v>
      </c>
    </row>
    <row r="102">
      <c r="D102" s="201"/>
      <c r="I102" s="201"/>
      <c r="R102" t="str">
        <f t="shared" si="4"/>
        <v/>
      </c>
      <c r="S102" s="201" t="str">
        <f t="shared" si="2"/>
        <v>#VALUE!</v>
      </c>
      <c r="T102" t="str">
        <f t="shared" si="3"/>
        <v>#VALUE!</v>
      </c>
      <c r="U102">
        <f t="shared" si="1"/>
        <v>0</v>
      </c>
    </row>
    <row r="103">
      <c r="D103" s="201"/>
      <c r="I103" s="201"/>
      <c r="R103" t="str">
        <f t="shared" si="4"/>
        <v/>
      </c>
      <c r="S103" s="201" t="str">
        <f t="shared" si="2"/>
        <v>#VALUE!</v>
      </c>
      <c r="T103" t="str">
        <f t="shared" si="3"/>
        <v>#VALUE!</v>
      </c>
      <c r="U103">
        <f t="shared" si="1"/>
        <v>0</v>
      </c>
    </row>
    <row r="104">
      <c r="D104" s="201"/>
      <c r="I104" s="201"/>
      <c r="R104" t="str">
        <f t="shared" si="4"/>
        <v/>
      </c>
      <c r="S104" s="201" t="str">
        <f t="shared" si="2"/>
        <v>#VALUE!</v>
      </c>
      <c r="T104" t="str">
        <f t="shared" si="3"/>
        <v>#VALUE!</v>
      </c>
      <c r="U104">
        <f t="shared" si="1"/>
        <v>0</v>
      </c>
    </row>
    <row r="105">
      <c r="D105" s="201"/>
      <c r="I105" s="201"/>
      <c r="R105" t="str">
        <f t="shared" si="4"/>
        <v/>
      </c>
      <c r="S105" s="201" t="str">
        <f t="shared" si="2"/>
        <v>#VALUE!</v>
      </c>
      <c r="T105" t="str">
        <f t="shared" si="3"/>
        <v>#VALUE!</v>
      </c>
      <c r="U105">
        <f t="shared" si="1"/>
        <v>0</v>
      </c>
    </row>
    <row r="106">
      <c r="D106" s="201"/>
      <c r="I106" s="201"/>
      <c r="R106" t="str">
        <f t="shared" si="4"/>
        <v/>
      </c>
      <c r="S106" s="201" t="str">
        <f t="shared" si="2"/>
        <v>#VALUE!</v>
      </c>
      <c r="T106" t="str">
        <f t="shared" si="3"/>
        <v>#VALUE!</v>
      </c>
      <c r="U106">
        <f t="shared" si="1"/>
        <v>0</v>
      </c>
    </row>
    <row r="107">
      <c r="D107" s="201"/>
      <c r="I107" s="201"/>
      <c r="R107" t="str">
        <f t="shared" si="4"/>
        <v/>
      </c>
      <c r="S107" s="201" t="str">
        <f t="shared" si="2"/>
        <v>#VALUE!</v>
      </c>
      <c r="T107" t="str">
        <f t="shared" si="3"/>
        <v>#VALUE!</v>
      </c>
      <c r="U107">
        <f t="shared" si="1"/>
        <v>0</v>
      </c>
    </row>
    <row r="108">
      <c r="D108" s="201"/>
      <c r="I108" s="201"/>
      <c r="R108" t="str">
        <f t="shared" si="4"/>
        <v/>
      </c>
      <c r="S108" s="201" t="str">
        <f t="shared" si="2"/>
        <v>#VALUE!</v>
      </c>
      <c r="T108" t="str">
        <f t="shared" si="3"/>
        <v>#VALUE!</v>
      </c>
      <c r="U108">
        <f t="shared" si="1"/>
        <v>0</v>
      </c>
    </row>
    <row r="109">
      <c r="D109" s="201"/>
      <c r="I109" s="201"/>
      <c r="R109" t="str">
        <f t="shared" si="4"/>
        <v/>
      </c>
      <c r="S109" s="201" t="str">
        <f t="shared" si="2"/>
        <v>#VALUE!</v>
      </c>
      <c r="T109" t="str">
        <f t="shared" si="3"/>
        <v>#VALUE!</v>
      </c>
      <c r="U109">
        <f t="shared" si="1"/>
        <v>0</v>
      </c>
    </row>
    <row r="110">
      <c r="D110" s="201"/>
      <c r="I110" s="201"/>
      <c r="R110" t="str">
        <f t="shared" si="4"/>
        <v/>
      </c>
      <c r="S110" s="201" t="str">
        <f t="shared" si="2"/>
        <v>#VALUE!</v>
      </c>
      <c r="T110" t="str">
        <f t="shared" si="3"/>
        <v>#VALUE!</v>
      </c>
      <c r="U110">
        <f t="shared" si="1"/>
        <v>0</v>
      </c>
    </row>
    <row r="111">
      <c r="D111" s="201"/>
      <c r="I111" s="201"/>
      <c r="R111" t="str">
        <f t="shared" si="4"/>
        <v/>
      </c>
      <c r="S111" s="201" t="str">
        <f t="shared" si="2"/>
        <v>#VALUE!</v>
      </c>
      <c r="T111" t="str">
        <f t="shared" si="3"/>
        <v>#VALUE!</v>
      </c>
      <c r="U111">
        <f t="shared" si="1"/>
        <v>0</v>
      </c>
    </row>
    <row r="112">
      <c r="D112" s="201"/>
      <c r="I112" s="201"/>
      <c r="R112" t="str">
        <f t="shared" si="4"/>
        <v/>
      </c>
      <c r="S112" s="201" t="str">
        <f t="shared" si="2"/>
        <v>#VALUE!</v>
      </c>
      <c r="T112" t="str">
        <f t="shared" si="3"/>
        <v>#VALUE!</v>
      </c>
      <c r="U112">
        <f t="shared" si="1"/>
        <v>0</v>
      </c>
    </row>
    <row r="113">
      <c r="D113" s="201"/>
      <c r="I113" s="201"/>
      <c r="R113" t="str">
        <f t="shared" si="4"/>
        <v/>
      </c>
      <c r="S113" s="201" t="str">
        <f t="shared" si="2"/>
        <v>#VALUE!</v>
      </c>
      <c r="T113" t="str">
        <f t="shared" si="3"/>
        <v>#VALUE!</v>
      </c>
      <c r="U113">
        <f t="shared" si="1"/>
        <v>0</v>
      </c>
    </row>
    <row r="114">
      <c r="D114" s="201"/>
      <c r="I114" s="201"/>
      <c r="R114" t="str">
        <f t="shared" si="4"/>
        <v/>
      </c>
      <c r="S114" s="201" t="str">
        <f t="shared" si="2"/>
        <v>#VALUE!</v>
      </c>
      <c r="T114" t="str">
        <f t="shared" si="3"/>
        <v>#VALUE!</v>
      </c>
      <c r="U114">
        <f t="shared" si="1"/>
        <v>0</v>
      </c>
    </row>
    <row r="115">
      <c r="D115" s="201"/>
      <c r="I115" s="201"/>
      <c r="R115" t="str">
        <f t="shared" si="4"/>
        <v/>
      </c>
      <c r="S115" s="201" t="str">
        <f t="shared" si="2"/>
        <v>#VALUE!</v>
      </c>
      <c r="T115" t="str">
        <f t="shared" si="3"/>
        <v>#VALUE!</v>
      </c>
      <c r="U115">
        <f t="shared" si="1"/>
        <v>0</v>
      </c>
    </row>
    <row r="116">
      <c r="D116" s="201"/>
      <c r="I116" s="201"/>
      <c r="R116" t="str">
        <f t="shared" si="4"/>
        <v/>
      </c>
      <c r="S116" s="201" t="str">
        <f t="shared" si="2"/>
        <v>#VALUE!</v>
      </c>
      <c r="T116" t="str">
        <f t="shared" si="3"/>
        <v>#VALUE!</v>
      </c>
      <c r="U116">
        <f t="shared" si="1"/>
        <v>0</v>
      </c>
    </row>
    <row r="117">
      <c r="D117" s="201"/>
      <c r="I117" s="201"/>
      <c r="R117" t="str">
        <f t="shared" si="4"/>
        <v/>
      </c>
      <c r="S117" s="201" t="str">
        <f t="shared" si="2"/>
        <v>#VALUE!</v>
      </c>
      <c r="T117" t="str">
        <f t="shared" si="3"/>
        <v>#VALUE!</v>
      </c>
      <c r="U117">
        <f t="shared" si="1"/>
        <v>0</v>
      </c>
    </row>
    <row r="118">
      <c r="D118" s="201"/>
      <c r="I118" s="201"/>
      <c r="R118" t="str">
        <f t="shared" si="4"/>
        <v/>
      </c>
      <c r="S118" s="201" t="str">
        <f t="shared" si="2"/>
        <v>#VALUE!</v>
      </c>
      <c r="T118" t="str">
        <f t="shared" si="3"/>
        <v>#VALUE!</v>
      </c>
      <c r="U118">
        <f t="shared" si="1"/>
        <v>0</v>
      </c>
    </row>
    <row r="119">
      <c r="D119" s="201"/>
      <c r="I119" s="201"/>
      <c r="R119" t="str">
        <f t="shared" si="4"/>
        <v/>
      </c>
      <c r="S119" s="201" t="str">
        <f t="shared" si="2"/>
        <v>#VALUE!</v>
      </c>
      <c r="T119" t="str">
        <f t="shared" si="3"/>
        <v>#VALUE!</v>
      </c>
      <c r="U119">
        <f t="shared" si="1"/>
        <v>0</v>
      </c>
    </row>
    <row r="120">
      <c r="D120" s="201"/>
      <c r="I120" s="201"/>
      <c r="R120" t="str">
        <f t="shared" si="4"/>
        <v/>
      </c>
      <c r="S120" s="201" t="str">
        <f t="shared" si="2"/>
        <v>#VALUE!</v>
      </c>
      <c r="T120" t="str">
        <f t="shared" si="3"/>
        <v>#VALUE!</v>
      </c>
      <c r="U120">
        <f t="shared" si="1"/>
        <v>0</v>
      </c>
    </row>
    <row r="121">
      <c r="D121" s="201"/>
      <c r="I121" s="201"/>
      <c r="R121" t="str">
        <f t="shared" si="4"/>
        <v/>
      </c>
      <c r="S121" s="201" t="str">
        <f t="shared" si="2"/>
        <v>#VALUE!</v>
      </c>
      <c r="T121" t="str">
        <f t="shared" si="3"/>
        <v>#VALUE!</v>
      </c>
      <c r="U121">
        <f t="shared" si="1"/>
        <v>0</v>
      </c>
    </row>
    <row r="122">
      <c r="D122" s="201"/>
      <c r="I122" s="201"/>
      <c r="R122" t="str">
        <f t="shared" si="4"/>
        <v/>
      </c>
      <c r="S122" s="201" t="str">
        <f t="shared" si="2"/>
        <v>#VALUE!</v>
      </c>
      <c r="T122" t="str">
        <f t="shared" si="3"/>
        <v>#VALUE!</v>
      </c>
      <c r="U122">
        <f t="shared" si="1"/>
        <v>0</v>
      </c>
    </row>
    <row r="123">
      <c r="D123" s="201"/>
      <c r="I123" s="201"/>
      <c r="R123" t="str">
        <f t="shared" si="4"/>
        <v/>
      </c>
      <c r="S123" s="201" t="str">
        <f t="shared" si="2"/>
        <v>#VALUE!</v>
      </c>
      <c r="T123" t="str">
        <f t="shared" si="3"/>
        <v>#VALUE!</v>
      </c>
      <c r="U123">
        <f t="shared" si="1"/>
        <v>0</v>
      </c>
    </row>
    <row r="124">
      <c r="D124" s="201"/>
      <c r="I124" s="201"/>
      <c r="R124" t="str">
        <f t="shared" si="4"/>
        <v/>
      </c>
      <c r="S124" s="201" t="str">
        <f t="shared" si="2"/>
        <v>#VALUE!</v>
      </c>
      <c r="T124" t="str">
        <f t="shared" si="3"/>
        <v>#VALUE!</v>
      </c>
      <c r="U124">
        <f t="shared" si="1"/>
        <v>0</v>
      </c>
    </row>
    <row r="125">
      <c r="D125" s="201"/>
      <c r="I125" s="201"/>
      <c r="R125" t="str">
        <f t="shared" si="4"/>
        <v/>
      </c>
      <c r="S125" s="201" t="str">
        <f t="shared" si="2"/>
        <v>#VALUE!</v>
      </c>
      <c r="T125" t="str">
        <f t="shared" si="3"/>
        <v>#VALUE!</v>
      </c>
      <c r="U125">
        <f t="shared" si="1"/>
        <v>0</v>
      </c>
    </row>
    <row r="126">
      <c r="D126" s="201"/>
      <c r="I126" s="201"/>
      <c r="R126" t="str">
        <f t="shared" si="4"/>
        <v/>
      </c>
      <c r="S126" s="201" t="str">
        <f t="shared" si="2"/>
        <v>#VALUE!</v>
      </c>
      <c r="T126" t="str">
        <f t="shared" si="3"/>
        <v>#VALUE!</v>
      </c>
      <c r="U126">
        <f t="shared" si="1"/>
        <v>0</v>
      </c>
    </row>
    <row r="127">
      <c r="D127" s="201"/>
      <c r="I127" s="201"/>
      <c r="R127" t="str">
        <f t="shared" si="4"/>
        <v/>
      </c>
      <c r="S127" s="201" t="str">
        <f t="shared" si="2"/>
        <v>#VALUE!</v>
      </c>
      <c r="T127" t="str">
        <f t="shared" si="3"/>
        <v>#VALUE!</v>
      </c>
      <c r="U127">
        <f t="shared" si="1"/>
        <v>0</v>
      </c>
    </row>
    <row r="128">
      <c r="D128" s="201"/>
      <c r="I128" s="201"/>
      <c r="R128" t="str">
        <f t="shared" si="4"/>
        <v/>
      </c>
      <c r="S128" s="201" t="str">
        <f t="shared" si="2"/>
        <v>#VALUE!</v>
      </c>
      <c r="T128" t="str">
        <f t="shared" si="3"/>
        <v>#VALUE!</v>
      </c>
      <c r="U128">
        <f t="shared" si="1"/>
        <v>0</v>
      </c>
    </row>
    <row r="129">
      <c r="D129" s="201"/>
      <c r="I129" s="201"/>
      <c r="R129" t="str">
        <f t="shared" si="4"/>
        <v/>
      </c>
      <c r="S129" s="201" t="str">
        <f t="shared" si="2"/>
        <v>#VALUE!</v>
      </c>
      <c r="T129" t="str">
        <f t="shared" si="3"/>
        <v>#VALUE!</v>
      </c>
      <c r="U129">
        <f t="shared" si="1"/>
        <v>0</v>
      </c>
    </row>
    <row r="130">
      <c r="D130" s="201"/>
      <c r="I130" s="201"/>
      <c r="R130" t="str">
        <f t="shared" si="4"/>
        <v/>
      </c>
      <c r="S130" s="201" t="str">
        <f t="shared" si="2"/>
        <v>#VALUE!</v>
      </c>
      <c r="T130" t="str">
        <f t="shared" si="3"/>
        <v>#VALUE!</v>
      </c>
      <c r="U130">
        <f t="shared" si="1"/>
        <v>0</v>
      </c>
    </row>
    <row r="131">
      <c r="D131" s="201"/>
      <c r="I131" s="201"/>
      <c r="R131" t="str">
        <f t="shared" si="4"/>
        <v/>
      </c>
      <c r="S131" s="201" t="str">
        <f t="shared" si="2"/>
        <v>#VALUE!</v>
      </c>
      <c r="T131" t="str">
        <f t="shared" si="3"/>
        <v>#VALUE!</v>
      </c>
      <c r="U131">
        <f t="shared" si="1"/>
        <v>0</v>
      </c>
    </row>
    <row r="132">
      <c r="D132" s="201"/>
      <c r="I132" s="201"/>
      <c r="R132" t="str">
        <f t="shared" si="4"/>
        <v/>
      </c>
      <c r="S132" s="201" t="str">
        <f t="shared" si="2"/>
        <v>#VALUE!</v>
      </c>
      <c r="T132" t="str">
        <f t="shared" si="3"/>
        <v>#VALUE!</v>
      </c>
      <c r="U132">
        <f t="shared" si="1"/>
        <v>0</v>
      </c>
    </row>
    <row r="133">
      <c r="D133" s="201"/>
      <c r="I133" s="201"/>
      <c r="R133" t="str">
        <f t="shared" si="4"/>
        <v/>
      </c>
      <c r="S133" s="201" t="str">
        <f t="shared" si="2"/>
        <v>#VALUE!</v>
      </c>
      <c r="T133" t="str">
        <f t="shared" si="3"/>
        <v>#VALUE!</v>
      </c>
      <c r="U133">
        <f t="shared" si="1"/>
        <v>0</v>
      </c>
    </row>
    <row r="134">
      <c r="D134" s="201"/>
      <c r="I134" s="201"/>
      <c r="R134" t="str">
        <f t="shared" si="4"/>
        <v/>
      </c>
      <c r="S134" s="201" t="str">
        <f t="shared" si="2"/>
        <v>#VALUE!</v>
      </c>
      <c r="T134" t="str">
        <f t="shared" si="3"/>
        <v>#VALUE!</v>
      </c>
      <c r="U134">
        <f t="shared" si="1"/>
        <v>0</v>
      </c>
    </row>
    <row r="135">
      <c r="D135" s="201"/>
      <c r="I135" s="201"/>
      <c r="R135" t="str">
        <f t="shared" si="4"/>
        <v/>
      </c>
      <c r="S135" s="201" t="str">
        <f t="shared" si="2"/>
        <v>#VALUE!</v>
      </c>
      <c r="T135" t="str">
        <f t="shared" si="3"/>
        <v>#VALUE!</v>
      </c>
      <c r="U135">
        <f t="shared" si="1"/>
        <v>0</v>
      </c>
    </row>
    <row r="136">
      <c r="D136" s="201"/>
      <c r="I136" s="201"/>
      <c r="R136" t="str">
        <f t="shared" si="4"/>
        <v/>
      </c>
      <c r="S136" s="201" t="str">
        <f t="shared" si="2"/>
        <v>#VALUE!</v>
      </c>
      <c r="T136" t="str">
        <f t="shared" si="3"/>
        <v>#VALUE!</v>
      </c>
      <c r="U136">
        <f t="shared" si="1"/>
        <v>0</v>
      </c>
    </row>
    <row r="137">
      <c r="D137" s="201"/>
      <c r="I137" s="201"/>
      <c r="R137" t="str">
        <f t="shared" si="4"/>
        <v/>
      </c>
      <c r="S137" s="201" t="str">
        <f t="shared" si="2"/>
        <v>#VALUE!</v>
      </c>
      <c r="T137" t="str">
        <f t="shared" si="3"/>
        <v>#VALUE!</v>
      </c>
      <c r="U137">
        <f t="shared" si="1"/>
        <v>0</v>
      </c>
    </row>
    <row r="138">
      <c r="D138" s="201"/>
      <c r="I138" s="201"/>
      <c r="R138" t="str">
        <f t="shared" si="4"/>
        <v/>
      </c>
      <c r="S138" s="201" t="str">
        <f t="shared" si="2"/>
        <v>#VALUE!</v>
      </c>
      <c r="T138" t="str">
        <f t="shared" si="3"/>
        <v>#VALUE!</v>
      </c>
      <c r="U138">
        <f t="shared" si="1"/>
        <v>0</v>
      </c>
    </row>
    <row r="139">
      <c r="D139" s="201"/>
      <c r="I139" s="201"/>
      <c r="R139" t="str">
        <f t="shared" si="4"/>
        <v/>
      </c>
      <c r="S139" s="201" t="str">
        <f t="shared" si="2"/>
        <v>#VALUE!</v>
      </c>
      <c r="T139" t="str">
        <f t="shared" si="3"/>
        <v>#VALUE!</v>
      </c>
      <c r="U139">
        <f t="shared" si="1"/>
        <v>0</v>
      </c>
    </row>
    <row r="140">
      <c r="D140" s="201"/>
      <c r="I140" s="201"/>
      <c r="R140" t="str">
        <f t="shared" si="4"/>
        <v/>
      </c>
      <c r="S140" s="201" t="str">
        <f t="shared" si="2"/>
        <v>#VALUE!</v>
      </c>
      <c r="T140" t="str">
        <f t="shared" si="3"/>
        <v>#VALUE!</v>
      </c>
      <c r="U140">
        <f t="shared" si="1"/>
        <v>0</v>
      </c>
    </row>
    <row r="141">
      <c r="D141" s="201"/>
      <c r="I141" s="201"/>
      <c r="R141" t="str">
        <f t="shared" si="4"/>
        <v/>
      </c>
      <c r="S141" s="201" t="str">
        <f t="shared" si="2"/>
        <v>#VALUE!</v>
      </c>
      <c r="T141" t="str">
        <f t="shared" si="3"/>
        <v>#VALUE!</v>
      </c>
      <c r="U141">
        <f t="shared" si="1"/>
        <v>0</v>
      </c>
    </row>
    <row r="142">
      <c r="D142" s="201"/>
      <c r="I142" s="201"/>
      <c r="R142" t="str">
        <f t="shared" si="4"/>
        <v/>
      </c>
      <c r="S142" s="201" t="str">
        <f t="shared" si="2"/>
        <v>#VALUE!</v>
      </c>
      <c r="T142" t="str">
        <f t="shared" si="3"/>
        <v>#VALUE!</v>
      </c>
      <c r="U142">
        <f t="shared" si="1"/>
        <v>0</v>
      </c>
    </row>
    <row r="143">
      <c r="D143" s="201"/>
      <c r="I143" s="201"/>
      <c r="R143" t="str">
        <f t="shared" si="4"/>
        <v/>
      </c>
      <c r="S143" s="201" t="str">
        <f t="shared" si="2"/>
        <v>#VALUE!</v>
      </c>
      <c r="T143" t="str">
        <f t="shared" si="3"/>
        <v>#VALUE!</v>
      </c>
      <c r="U143">
        <f t="shared" si="1"/>
        <v>0</v>
      </c>
    </row>
    <row r="144">
      <c r="D144" s="201"/>
      <c r="I144" s="201"/>
      <c r="R144" t="str">
        <f t="shared" si="4"/>
        <v/>
      </c>
      <c r="S144" s="201" t="str">
        <f t="shared" si="2"/>
        <v>#VALUE!</v>
      </c>
      <c r="T144" t="str">
        <f t="shared" si="3"/>
        <v>#VALUE!</v>
      </c>
      <c r="U144">
        <f t="shared" si="1"/>
        <v>0</v>
      </c>
    </row>
    <row r="145">
      <c r="D145" s="201"/>
      <c r="I145" s="201"/>
      <c r="R145" t="str">
        <f t="shared" si="4"/>
        <v/>
      </c>
      <c r="S145" s="201" t="str">
        <f t="shared" si="2"/>
        <v>#VALUE!</v>
      </c>
      <c r="T145" t="str">
        <f t="shared" si="3"/>
        <v>#VALUE!</v>
      </c>
      <c r="U145">
        <f t="shared" si="1"/>
        <v>0</v>
      </c>
    </row>
    <row r="146">
      <c r="D146" s="201"/>
      <c r="I146" s="201"/>
      <c r="R146" t="str">
        <f t="shared" si="4"/>
        <v/>
      </c>
      <c r="S146" s="201" t="str">
        <f t="shared" si="2"/>
        <v>#VALUE!</v>
      </c>
      <c r="T146" t="str">
        <f t="shared" si="3"/>
        <v>#VALUE!</v>
      </c>
      <c r="U146">
        <f t="shared" si="1"/>
        <v>0</v>
      </c>
    </row>
    <row r="147">
      <c r="D147" s="201"/>
      <c r="I147" s="201"/>
      <c r="R147" t="str">
        <f t="shared" si="4"/>
        <v/>
      </c>
      <c r="S147" s="201" t="str">
        <f t="shared" si="2"/>
        <v>#VALUE!</v>
      </c>
      <c r="T147" t="str">
        <f t="shared" si="3"/>
        <v>#VALUE!</v>
      </c>
      <c r="U147">
        <f t="shared" si="1"/>
        <v>0</v>
      </c>
    </row>
    <row r="148">
      <c r="D148" s="201"/>
      <c r="I148" s="201"/>
      <c r="R148" t="str">
        <f t="shared" si="4"/>
        <v/>
      </c>
      <c r="S148" s="201" t="str">
        <f t="shared" si="2"/>
        <v>#VALUE!</v>
      </c>
      <c r="T148" t="str">
        <f t="shared" si="3"/>
        <v>#VALUE!</v>
      </c>
      <c r="U148">
        <f t="shared" si="1"/>
        <v>0</v>
      </c>
    </row>
    <row r="149">
      <c r="D149" s="201"/>
      <c r="I149" s="201"/>
      <c r="R149" t="str">
        <f t="shared" si="4"/>
        <v/>
      </c>
      <c r="S149" s="201" t="str">
        <f t="shared" si="2"/>
        <v>#VALUE!</v>
      </c>
      <c r="T149" t="str">
        <f t="shared" si="3"/>
        <v>#VALUE!</v>
      </c>
      <c r="U149">
        <f t="shared" si="1"/>
        <v>0</v>
      </c>
    </row>
    <row r="150">
      <c r="D150" s="201"/>
      <c r="I150" s="201"/>
      <c r="R150" t="str">
        <f t="shared" si="4"/>
        <v/>
      </c>
      <c r="S150" s="201" t="str">
        <f t="shared" si="2"/>
        <v>#VALUE!</v>
      </c>
      <c r="T150" t="str">
        <f t="shared" si="3"/>
        <v>#VALUE!</v>
      </c>
      <c r="U150">
        <f t="shared" si="1"/>
        <v>0</v>
      </c>
    </row>
    <row r="151">
      <c r="D151" s="201"/>
      <c r="I151" s="201"/>
      <c r="R151" t="str">
        <f t="shared" si="4"/>
        <v/>
      </c>
      <c r="S151" s="201" t="str">
        <f t="shared" si="2"/>
        <v>#VALUE!</v>
      </c>
      <c r="T151" t="str">
        <f t="shared" si="3"/>
        <v>#VALUE!</v>
      </c>
      <c r="U151">
        <f t="shared" si="1"/>
        <v>0</v>
      </c>
    </row>
    <row r="152">
      <c r="D152" s="201"/>
      <c r="I152" s="201"/>
      <c r="R152" t="str">
        <f t="shared" si="4"/>
        <v/>
      </c>
      <c r="S152" s="201" t="str">
        <f t="shared" si="2"/>
        <v>#VALUE!</v>
      </c>
      <c r="T152" t="str">
        <f t="shared" si="3"/>
        <v>#VALUE!</v>
      </c>
      <c r="U152">
        <f t="shared" si="1"/>
        <v>0</v>
      </c>
    </row>
    <row r="153">
      <c r="D153" s="201"/>
      <c r="I153" s="201"/>
      <c r="R153" t="str">
        <f t="shared" si="4"/>
        <v/>
      </c>
      <c r="S153" s="201" t="str">
        <f t="shared" si="2"/>
        <v>#VALUE!</v>
      </c>
      <c r="T153" t="str">
        <f t="shared" si="3"/>
        <v>#VALUE!</v>
      </c>
      <c r="U153">
        <f t="shared" si="1"/>
        <v>0</v>
      </c>
    </row>
    <row r="154">
      <c r="D154" s="201"/>
      <c r="I154" s="201"/>
      <c r="R154" t="str">
        <f t="shared" si="4"/>
        <v/>
      </c>
      <c r="S154" s="201" t="str">
        <f t="shared" si="2"/>
        <v>#VALUE!</v>
      </c>
      <c r="T154" t="str">
        <f t="shared" si="3"/>
        <v>#VALUE!</v>
      </c>
      <c r="U154">
        <f t="shared" si="1"/>
        <v>0</v>
      </c>
    </row>
    <row r="155">
      <c r="D155" s="201"/>
      <c r="I155" s="201"/>
      <c r="R155" t="str">
        <f t="shared" si="4"/>
        <v/>
      </c>
      <c r="S155" s="201" t="str">
        <f t="shared" si="2"/>
        <v>#VALUE!</v>
      </c>
      <c r="T155" t="str">
        <f t="shared" si="3"/>
        <v>#VALUE!</v>
      </c>
      <c r="U155">
        <f t="shared" si="1"/>
        <v>0</v>
      </c>
    </row>
    <row r="156">
      <c r="D156" s="201"/>
      <c r="I156" s="201"/>
      <c r="R156" t="str">
        <f t="shared" si="4"/>
        <v/>
      </c>
      <c r="S156" s="201" t="str">
        <f t="shared" si="2"/>
        <v>#VALUE!</v>
      </c>
      <c r="T156" t="str">
        <f t="shared" si="3"/>
        <v>#VALUE!</v>
      </c>
      <c r="U156">
        <f t="shared" si="1"/>
        <v>0</v>
      </c>
    </row>
    <row r="157">
      <c r="D157" s="201"/>
      <c r="I157" s="201"/>
      <c r="R157" t="str">
        <f t="shared" si="4"/>
        <v/>
      </c>
      <c r="S157" s="201" t="str">
        <f t="shared" si="2"/>
        <v>#VALUE!</v>
      </c>
      <c r="T157" t="str">
        <f t="shared" si="3"/>
        <v>#VALUE!</v>
      </c>
      <c r="U157">
        <f t="shared" si="1"/>
        <v>0</v>
      </c>
    </row>
    <row r="158">
      <c r="D158" s="201"/>
      <c r="I158" s="201"/>
      <c r="R158" t="str">
        <f t="shared" si="4"/>
        <v/>
      </c>
      <c r="S158" s="201" t="str">
        <f t="shared" si="2"/>
        <v>#VALUE!</v>
      </c>
      <c r="T158" t="str">
        <f t="shared" si="3"/>
        <v>#VALUE!</v>
      </c>
      <c r="U158">
        <f t="shared" si="1"/>
        <v>0</v>
      </c>
    </row>
    <row r="159">
      <c r="D159" s="201"/>
      <c r="I159" s="201"/>
      <c r="R159" t="str">
        <f t="shared" si="4"/>
        <v/>
      </c>
      <c r="S159" s="201" t="str">
        <f t="shared" si="2"/>
        <v>#VALUE!</v>
      </c>
      <c r="T159" t="str">
        <f t="shared" si="3"/>
        <v>#VALUE!</v>
      </c>
      <c r="U159">
        <f t="shared" si="1"/>
        <v>0</v>
      </c>
    </row>
    <row r="160">
      <c r="D160" s="201"/>
      <c r="I160" s="201"/>
      <c r="R160" t="str">
        <f t="shared" si="4"/>
        <v/>
      </c>
      <c r="S160" s="201" t="str">
        <f t="shared" si="2"/>
        <v>#VALUE!</v>
      </c>
      <c r="T160" t="str">
        <f t="shared" si="3"/>
        <v>#VALUE!</v>
      </c>
      <c r="U160">
        <f t="shared" si="1"/>
        <v>0</v>
      </c>
    </row>
    <row r="161">
      <c r="D161" s="201"/>
      <c r="I161" s="201"/>
      <c r="R161" t="str">
        <f t="shared" si="4"/>
        <v/>
      </c>
      <c r="S161" s="201" t="str">
        <f t="shared" si="2"/>
        <v>#VALUE!</v>
      </c>
      <c r="T161" t="str">
        <f t="shared" si="3"/>
        <v>#VALUE!</v>
      </c>
      <c r="U161">
        <f t="shared" si="1"/>
        <v>0</v>
      </c>
    </row>
    <row r="162">
      <c r="D162" s="201"/>
      <c r="I162" s="201"/>
      <c r="R162" t="str">
        <f t="shared" si="4"/>
        <v/>
      </c>
      <c r="S162" s="201" t="str">
        <f t="shared" si="2"/>
        <v>#VALUE!</v>
      </c>
      <c r="T162" t="str">
        <f t="shared" si="3"/>
        <v>#VALUE!</v>
      </c>
      <c r="U162">
        <f t="shared" si="1"/>
        <v>0</v>
      </c>
    </row>
    <row r="163">
      <c r="D163" s="201"/>
      <c r="I163" s="201"/>
      <c r="R163" t="str">
        <f t="shared" si="4"/>
        <v/>
      </c>
      <c r="S163" s="201" t="str">
        <f t="shared" si="2"/>
        <v>#VALUE!</v>
      </c>
      <c r="T163" t="str">
        <f t="shared" si="3"/>
        <v>#VALUE!</v>
      </c>
      <c r="U163">
        <f t="shared" si="1"/>
        <v>0</v>
      </c>
    </row>
    <row r="164">
      <c r="D164" s="201"/>
      <c r="I164" s="201"/>
      <c r="R164" t="str">
        <f t="shared" si="4"/>
        <v/>
      </c>
      <c r="S164" s="201" t="str">
        <f t="shared" si="2"/>
        <v>#VALUE!</v>
      </c>
      <c r="T164" t="str">
        <f t="shared" si="3"/>
        <v>#VALUE!</v>
      </c>
      <c r="U164">
        <f t="shared" si="1"/>
        <v>0</v>
      </c>
    </row>
    <row r="165">
      <c r="D165" s="201"/>
      <c r="I165" s="201"/>
      <c r="R165" t="str">
        <f t="shared" si="4"/>
        <v/>
      </c>
      <c r="S165" s="201" t="str">
        <f t="shared" si="2"/>
        <v>#VALUE!</v>
      </c>
      <c r="T165" t="str">
        <f t="shared" si="3"/>
        <v>#VALUE!</v>
      </c>
      <c r="U165">
        <f t="shared" si="1"/>
        <v>0</v>
      </c>
    </row>
    <row r="166">
      <c r="D166" s="201"/>
      <c r="I166" s="201"/>
      <c r="R166" t="str">
        <f t="shared" si="4"/>
        <v/>
      </c>
      <c r="S166" s="201" t="str">
        <f t="shared" si="2"/>
        <v>#VALUE!</v>
      </c>
      <c r="T166" t="str">
        <f t="shared" si="3"/>
        <v>#VALUE!</v>
      </c>
      <c r="U166">
        <f t="shared" si="1"/>
        <v>0</v>
      </c>
    </row>
    <row r="167">
      <c r="D167" s="201"/>
      <c r="I167" s="201"/>
      <c r="R167" t="str">
        <f t="shared" si="4"/>
        <v/>
      </c>
      <c r="S167" s="201" t="str">
        <f t="shared" si="2"/>
        <v>#VALUE!</v>
      </c>
      <c r="T167" t="str">
        <f t="shared" si="3"/>
        <v>#VALUE!</v>
      </c>
      <c r="U167">
        <f t="shared" si="1"/>
        <v>0</v>
      </c>
    </row>
    <row r="168">
      <c r="D168" s="201"/>
      <c r="I168" s="201"/>
      <c r="R168" t="str">
        <f t="shared" si="4"/>
        <v/>
      </c>
      <c r="S168" s="201" t="str">
        <f t="shared" si="2"/>
        <v>#VALUE!</v>
      </c>
      <c r="T168" t="str">
        <f t="shared" si="3"/>
        <v>#VALUE!</v>
      </c>
      <c r="U168">
        <f t="shared" si="1"/>
        <v>0</v>
      </c>
    </row>
    <row r="169">
      <c r="D169" s="201"/>
      <c r="I169" s="201"/>
      <c r="R169" t="str">
        <f t="shared" si="4"/>
        <v/>
      </c>
      <c r="S169" s="201" t="str">
        <f t="shared" si="2"/>
        <v>#VALUE!</v>
      </c>
      <c r="T169" t="str">
        <f t="shared" si="3"/>
        <v>#VALUE!</v>
      </c>
      <c r="U169">
        <f t="shared" si="1"/>
        <v>0</v>
      </c>
    </row>
    <row r="170">
      <c r="D170" s="201"/>
      <c r="I170" s="201"/>
      <c r="R170" t="str">
        <f t="shared" si="4"/>
        <v/>
      </c>
      <c r="S170" s="201" t="str">
        <f t="shared" si="2"/>
        <v>#VALUE!</v>
      </c>
      <c r="T170" t="str">
        <f t="shared" si="3"/>
        <v>#VALUE!</v>
      </c>
      <c r="U170">
        <f t="shared" si="1"/>
        <v>0</v>
      </c>
    </row>
    <row r="171">
      <c r="D171" s="201"/>
      <c r="I171" s="201"/>
      <c r="R171" t="str">
        <f t="shared" si="4"/>
        <v/>
      </c>
      <c r="S171" s="201" t="str">
        <f t="shared" si="2"/>
        <v>#VALUE!</v>
      </c>
      <c r="T171" t="str">
        <f t="shared" si="3"/>
        <v>#VALUE!</v>
      </c>
      <c r="U171">
        <f t="shared" si="1"/>
        <v>0</v>
      </c>
    </row>
    <row r="172">
      <c r="D172" s="201"/>
      <c r="I172" s="201"/>
      <c r="R172" t="str">
        <f t="shared" si="4"/>
        <v/>
      </c>
      <c r="S172" s="201" t="str">
        <f t="shared" si="2"/>
        <v>#VALUE!</v>
      </c>
      <c r="T172" t="str">
        <f t="shared" si="3"/>
        <v>#VALUE!</v>
      </c>
      <c r="U172">
        <f t="shared" si="1"/>
        <v>0</v>
      </c>
    </row>
    <row r="173">
      <c r="D173" s="201"/>
      <c r="I173" s="201"/>
      <c r="R173" t="str">
        <f t="shared" si="4"/>
        <v/>
      </c>
      <c r="S173" s="201" t="str">
        <f t="shared" si="2"/>
        <v>#VALUE!</v>
      </c>
      <c r="T173" t="str">
        <f t="shared" si="3"/>
        <v>#VALUE!</v>
      </c>
      <c r="U173">
        <f t="shared" si="1"/>
        <v>0</v>
      </c>
    </row>
    <row r="174">
      <c r="D174" s="201"/>
      <c r="I174" s="201"/>
      <c r="R174" t="str">
        <f t="shared" si="4"/>
        <v/>
      </c>
      <c r="S174" s="201" t="str">
        <f t="shared" si="2"/>
        <v>#VALUE!</v>
      </c>
      <c r="T174" t="str">
        <f t="shared" si="3"/>
        <v>#VALUE!</v>
      </c>
      <c r="U174">
        <f t="shared" si="1"/>
        <v>0</v>
      </c>
    </row>
    <row r="175">
      <c r="D175" s="201"/>
      <c r="I175" s="201"/>
      <c r="R175" t="str">
        <f t="shared" si="4"/>
        <v/>
      </c>
      <c r="S175" s="201" t="str">
        <f t="shared" si="2"/>
        <v>#VALUE!</v>
      </c>
      <c r="T175" t="str">
        <f t="shared" si="3"/>
        <v>#VALUE!</v>
      </c>
      <c r="U175">
        <f t="shared" si="1"/>
        <v>0</v>
      </c>
    </row>
    <row r="176">
      <c r="D176" s="201"/>
      <c r="I176" s="201"/>
      <c r="R176" t="str">
        <f t="shared" si="4"/>
        <v/>
      </c>
      <c r="S176" s="201" t="str">
        <f t="shared" si="2"/>
        <v>#VALUE!</v>
      </c>
      <c r="T176" t="str">
        <f t="shared" si="3"/>
        <v>#VALUE!</v>
      </c>
      <c r="U176">
        <f t="shared" si="1"/>
        <v>0</v>
      </c>
    </row>
    <row r="177">
      <c r="D177" s="201"/>
      <c r="I177" s="201"/>
      <c r="R177" t="str">
        <f t="shared" si="4"/>
        <v/>
      </c>
      <c r="S177" s="201" t="str">
        <f t="shared" si="2"/>
        <v>#VALUE!</v>
      </c>
      <c r="T177" t="str">
        <f t="shared" si="3"/>
        <v>#VALUE!</v>
      </c>
      <c r="U177">
        <f t="shared" si="1"/>
        <v>0</v>
      </c>
    </row>
    <row r="178">
      <c r="D178" s="201"/>
      <c r="I178" s="201"/>
      <c r="R178" t="str">
        <f t="shared" si="4"/>
        <v/>
      </c>
      <c r="S178" s="201" t="str">
        <f t="shared" si="2"/>
        <v>#VALUE!</v>
      </c>
      <c r="T178" t="str">
        <f t="shared" si="3"/>
        <v>#VALUE!</v>
      </c>
      <c r="U178">
        <f t="shared" si="1"/>
        <v>0</v>
      </c>
    </row>
    <row r="179">
      <c r="D179" s="201"/>
      <c r="I179" s="201"/>
      <c r="R179" t="str">
        <f t="shared" si="4"/>
        <v/>
      </c>
      <c r="S179" s="201" t="str">
        <f t="shared" si="2"/>
        <v>#VALUE!</v>
      </c>
      <c r="T179" t="str">
        <f t="shared" si="3"/>
        <v>#VALUE!</v>
      </c>
      <c r="U179">
        <f t="shared" si="1"/>
        <v>0</v>
      </c>
    </row>
    <row r="180">
      <c r="D180" s="201"/>
      <c r="I180" s="201"/>
      <c r="R180" t="str">
        <f t="shared" si="4"/>
        <v/>
      </c>
      <c r="S180" s="201" t="str">
        <f t="shared" si="2"/>
        <v>#VALUE!</v>
      </c>
      <c r="T180" t="str">
        <f t="shared" si="3"/>
        <v>#VALUE!</v>
      </c>
      <c r="U180">
        <f t="shared" si="1"/>
        <v>0</v>
      </c>
    </row>
    <row r="181">
      <c r="D181" s="201"/>
      <c r="I181" s="201"/>
      <c r="R181" t="str">
        <f t="shared" si="4"/>
        <v/>
      </c>
      <c r="S181" s="201" t="str">
        <f t="shared" si="2"/>
        <v>#VALUE!</v>
      </c>
      <c r="T181" t="str">
        <f t="shared" si="3"/>
        <v>#VALUE!</v>
      </c>
      <c r="U181">
        <f t="shared" si="1"/>
        <v>0</v>
      </c>
    </row>
    <row r="182">
      <c r="D182" s="201"/>
      <c r="I182" s="201"/>
      <c r="R182" t="str">
        <f t="shared" si="4"/>
        <v/>
      </c>
      <c r="S182" s="201" t="str">
        <f t="shared" si="2"/>
        <v>#VALUE!</v>
      </c>
      <c r="T182" t="str">
        <f t="shared" si="3"/>
        <v>#VALUE!</v>
      </c>
      <c r="U182">
        <f t="shared" si="1"/>
        <v>0</v>
      </c>
    </row>
    <row r="183">
      <c r="D183" s="201"/>
      <c r="I183" s="201"/>
      <c r="R183" t="str">
        <f t="shared" si="4"/>
        <v/>
      </c>
      <c r="S183" s="201" t="str">
        <f t="shared" si="2"/>
        <v>#VALUE!</v>
      </c>
      <c r="T183" t="str">
        <f t="shared" si="3"/>
        <v>#VALUE!</v>
      </c>
      <c r="U183">
        <f t="shared" si="1"/>
        <v>0</v>
      </c>
    </row>
    <row r="184">
      <c r="D184" s="201"/>
      <c r="I184" s="201"/>
      <c r="R184" t="str">
        <f t="shared" si="4"/>
        <v/>
      </c>
      <c r="S184" s="201" t="str">
        <f t="shared" si="2"/>
        <v>#VALUE!</v>
      </c>
      <c r="T184" t="str">
        <f t="shared" si="3"/>
        <v>#VALUE!</v>
      </c>
      <c r="U184">
        <f t="shared" si="1"/>
        <v>0</v>
      </c>
    </row>
    <row r="185">
      <c r="D185" s="201"/>
      <c r="I185" s="201"/>
      <c r="R185" t="str">
        <f t="shared" si="4"/>
        <v/>
      </c>
      <c r="S185" s="201" t="str">
        <f t="shared" si="2"/>
        <v>#VALUE!</v>
      </c>
      <c r="T185" t="str">
        <f t="shared" si="3"/>
        <v>#VALUE!</v>
      </c>
      <c r="U185">
        <f t="shared" si="1"/>
        <v>0</v>
      </c>
    </row>
    <row r="186">
      <c r="D186" s="201"/>
      <c r="I186" s="201"/>
      <c r="R186" t="str">
        <f t="shared" si="4"/>
        <v/>
      </c>
      <c r="S186" s="201" t="str">
        <f t="shared" si="2"/>
        <v>#VALUE!</v>
      </c>
      <c r="T186" t="str">
        <f t="shared" si="3"/>
        <v>#VALUE!</v>
      </c>
      <c r="U186">
        <f t="shared" si="1"/>
        <v>0</v>
      </c>
    </row>
    <row r="187">
      <c r="D187" s="201"/>
      <c r="I187" s="201"/>
      <c r="R187" t="str">
        <f t="shared" si="4"/>
        <v/>
      </c>
      <c r="S187" s="201" t="str">
        <f t="shared" si="2"/>
        <v>#VALUE!</v>
      </c>
      <c r="T187" t="str">
        <f t="shared" si="3"/>
        <v>#VALUE!</v>
      </c>
      <c r="U187">
        <f t="shared" si="1"/>
        <v>0</v>
      </c>
    </row>
    <row r="188">
      <c r="D188" s="201"/>
      <c r="I188" s="201"/>
      <c r="R188" t="str">
        <f t="shared" si="4"/>
        <v/>
      </c>
      <c r="S188" s="201" t="str">
        <f t="shared" si="2"/>
        <v>#VALUE!</v>
      </c>
      <c r="T188" t="str">
        <f t="shared" si="3"/>
        <v>#VALUE!</v>
      </c>
      <c r="U188">
        <f t="shared" si="1"/>
        <v>0</v>
      </c>
    </row>
    <row r="189">
      <c r="D189" s="201"/>
      <c r="I189" s="201"/>
      <c r="R189" t="str">
        <f t="shared" si="4"/>
        <v/>
      </c>
      <c r="S189" s="201" t="str">
        <f t="shared" si="2"/>
        <v>#VALUE!</v>
      </c>
      <c r="T189" t="str">
        <f t="shared" si="3"/>
        <v>#VALUE!</v>
      </c>
      <c r="U189">
        <f t="shared" si="1"/>
        <v>0</v>
      </c>
    </row>
    <row r="190">
      <c r="D190" s="201"/>
      <c r="I190" s="201"/>
      <c r="R190" t="str">
        <f t="shared" si="4"/>
        <v/>
      </c>
      <c r="S190" s="201" t="str">
        <f t="shared" si="2"/>
        <v>#VALUE!</v>
      </c>
      <c r="T190" t="str">
        <f t="shared" si="3"/>
        <v>#VALUE!</v>
      </c>
      <c r="U190">
        <f t="shared" si="1"/>
        <v>0</v>
      </c>
    </row>
    <row r="191">
      <c r="D191" s="201"/>
      <c r="I191" s="201"/>
      <c r="R191" t="str">
        <f t="shared" si="4"/>
        <v/>
      </c>
      <c r="S191" s="201" t="str">
        <f t="shared" si="2"/>
        <v>#VALUE!</v>
      </c>
      <c r="T191" t="str">
        <f t="shared" si="3"/>
        <v>#VALUE!</v>
      </c>
      <c r="U191">
        <f t="shared" si="1"/>
        <v>0</v>
      </c>
    </row>
    <row r="192">
      <c r="D192" s="201"/>
      <c r="I192" s="201"/>
      <c r="R192" t="str">
        <f t="shared" si="4"/>
        <v/>
      </c>
      <c r="S192" s="201" t="str">
        <f t="shared" si="2"/>
        <v>#VALUE!</v>
      </c>
      <c r="T192" t="str">
        <f t="shared" si="3"/>
        <v>#VALUE!</v>
      </c>
      <c r="U192">
        <f t="shared" si="1"/>
        <v>0</v>
      </c>
    </row>
    <row r="193">
      <c r="D193" s="201"/>
      <c r="I193" s="201"/>
      <c r="R193" t="str">
        <f t="shared" si="4"/>
        <v/>
      </c>
      <c r="S193" s="201" t="str">
        <f t="shared" si="2"/>
        <v>#VALUE!</v>
      </c>
      <c r="T193" t="str">
        <f t="shared" si="3"/>
        <v>#VALUE!</v>
      </c>
      <c r="U193">
        <f t="shared" si="1"/>
        <v>0</v>
      </c>
    </row>
    <row r="194">
      <c r="D194" s="201"/>
      <c r="I194" s="201"/>
      <c r="R194" t="str">
        <f t="shared" si="4"/>
        <v/>
      </c>
      <c r="S194" s="201" t="str">
        <f t="shared" si="2"/>
        <v>#VALUE!</v>
      </c>
      <c r="T194" t="str">
        <f t="shared" si="3"/>
        <v>#VALUE!</v>
      </c>
      <c r="U194">
        <f t="shared" si="1"/>
        <v>0</v>
      </c>
    </row>
    <row r="195">
      <c r="D195" s="201"/>
      <c r="I195" s="201"/>
      <c r="R195" t="str">
        <f t="shared" si="4"/>
        <v/>
      </c>
      <c r="S195" s="201" t="str">
        <f t="shared" si="2"/>
        <v>#VALUE!</v>
      </c>
      <c r="T195" t="str">
        <f t="shared" si="3"/>
        <v>#VALUE!</v>
      </c>
      <c r="U195">
        <f t="shared" si="1"/>
        <v>0</v>
      </c>
    </row>
    <row r="196">
      <c r="D196" s="201"/>
      <c r="I196" s="201"/>
      <c r="R196" t="str">
        <f t="shared" si="4"/>
        <v/>
      </c>
      <c r="S196" s="201" t="str">
        <f t="shared" si="2"/>
        <v>#VALUE!</v>
      </c>
      <c r="T196" t="str">
        <f t="shared" si="3"/>
        <v>#VALUE!</v>
      </c>
      <c r="U196">
        <f t="shared" si="1"/>
        <v>0</v>
      </c>
    </row>
    <row r="197">
      <c r="D197" s="201"/>
      <c r="I197" s="201"/>
      <c r="R197" t="str">
        <f t="shared" si="4"/>
        <v/>
      </c>
      <c r="S197" s="201" t="str">
        <f t="shared" si="2"/>
        <v>#VALUE!</v>
      </c>
      <c r="T197" t="str">
        <f t="shared" si="3"/>
        <v>#VALUE!</v>
      </c>
      <c r="U197">
        <f t="shared" si="1"/>
        <v>0</v>
      </c>
    </row>
    <row r="198">
      <c r="D198" s="201"/>
      <c r="I198" s="201"/>
      <c r="R198" t="str">
        <f t="shared" si="4"/>
        <v/>
      </c>
      <c r="S198" s="201" t="str">
        <f t="shared" si="2"/>
        <v>#VALUE!</v>
      </c>
      <c r="T198" t="str">
        <f t="shared" si="3"/>
        <v>#VALUE!</v>
      </c>
      <c r="U198">
        <f t="shared" si="1"/>
        <v>0</v>
      </c>
    </row>
    <row r="199">
      <c r="D199" s="201"/>
      <c r="I199" s="201"/>
      <c r="R199" t="str">
        <f t="shared" si="4"/>
        <v/>
      </c>
      <c r="S199" s="201" t="str">
        <f t="shared" si="2"/>
        <v>#VALUE!</v>
      </c>
      <c r="T199" t="str">
        <f t="shared" si="3"/>
        <v>#VALUE!</v>
      </c>
      <c r="U199">
        <f t="shared" si="1"/>
        <v>0</v>
      </c>
    </row>
    <row r="200">
      <c r="D200" s="201"/>
      <c r="I200" s="201"/>
      <c r="R200" t="str">
        <f t="shared" si="4"/>
        <v/>
      </c>
      <c r="S200" s="201" t="str">
        <f t="shared" si="2"/>
        <v>#VALUE!</v>
      </c>
      <c r="T200" t="str">
        <f t="shared" si="3"/>
        <v>#VALUE!</v>
      </c>
      <c r="U200">
        <f t="shared" si="1"/>
        <v>0</v>
      </c>
    </row>
    <row r="201">
      <c r="D201" s="201"/>
      <c r="I201" s="201"/>
      <c r="R201" t="str">
        <f t="shared" si="4"/>
        <v/>
      </c>
      <c r="S201" s="201" t="str">
        <f t="shared" si="2"/>
        <v>#VALUE!</v>
      </c>
      <c r="T201" t="str">
        <f t="shared" si="3"/>
        <v>#VALUE!</v>
      </c>
      <c r="U201">
        <f t="shared" si="1"/>
        <v>0</v>
      </c>
    </row>
    <row r="202">
      <c r="D202" s="201"/>
      <c r="I202" s="201"/>
      <c r="R202" t="str">
        <f t="shared" si="4"/>
        <v/>
      </c>
      <c r="S202" s="201" t="str">
        <f t="shared" si="2"/>
        <v>#VALUE!</v>
      </c>
      <c r="T202" t="str">
        <f t="shared" si="3"/>
        <v>#VALUE!</v>
      </c>
      <c r="U202">
        <f t="shared" si="1"/>
        <v>0</v>
      </c>
    </row>
    <row r="203">
      <c r="D203" s="201"/>
      <c r="I203" s="201"/>
      <c r="R203" t="str">
        <f t="shared" si="4"/>
        <v/>
      </c>
      <c r="S203" s="201" t="str">
        <f t="shared" si="2"/>
        <v>#VALUE!</v>
      </c>
      <c r="T203" t="str">
        <f t="shared" si="3"/>
        <v>#VALUE!</v>
      </c>
      <c r="U203">
        <f t="shared" si="1"/>
        <v>0</v>
      </c>
    </row>
    <row r="204">
      <c r="D204" s="201"/>
      <c r="I204" s="201"/>
      <c r="R204" t="str">
        <f t="shared" si="4"/>
        <v/>
      </c>
      <c r="S204" s="201" t="str">
        <f t="shared" si="2"/>
        <v>#VALUE!</v>
      </c>
      <c r="T204" t="str">
        <f t="shared" si="3"/>
        <v>#VALUE!</v>
      </c>
      <c r="U204">
        <f t="shared" si="1"/>
        <v>0</v>
      </c>
    </row>
    <row r="205">
      <c r="D205" s="201"/>
      <c r="I205" s="201"/>
      <c r="R205" t="str">
        <f t="shared" si="4"/>
        <v/>
      </c>
      <c r="S205" s="201" t="str">
        <f t="shared" si="2"/>
        <v>#VALUE!</v>
      </c>
      <c r="T205" t="str">
        <f t="shared" si="3"/>
        <v>#VALUE!</v>
      </c>
      <c r="U205">
        <f t="shared" si="1"/>
        <v>0</v>
      </c>
    </row>
    <row r="206">
      <c r="D206" s="201"/>
      <c r="I206" s="201"/>
      <c r="R206" t="str">
        <f t="shared" si="4"/>
        <v/>
      </c>
      <c r="S206" s="201" t="str">
        <f t="shared" si="2"/>
        <v>#VALUE!</v>
      </c>
      <c r="T206" t="str">
        <f t="shared" si="3"/>
        <v>#VALUE!</v>
      </c>
      <c r="U206">
        <f t="shared" si="1"/>
        <v>0</v>
      </c>
    </row>
    <row r="207">
      <c r="D207" s="201"/>
      <c r="I207" s="201"/>
      <c r="R207" t="str">
        <f t="shared" si="4"/>
        <v/>
      </c>
      <c r="S207" s="201" t="str">
        <f t="shared" si="2"/>
        <v>#VALUE!</v>
      </c>
      <c r="T207" t="str">
        <f t="shared" si="3"/>
        <v>#VALUE!</v>
      </c>
      <c r="U207">
        <f t="shared" si="1"/>
        <v>0</v>
      </c>
    </row>
    <row r="208">
      <c r="D208" s="201"/>
      <c r="I208" s="201"/>
      <c r="R208" t="str">
        <f t="shared" si="4"/>
        <v/>
      </c>
      <c r="S208" s="201" t="str">
        <f t="shared" si="2"/>
        <v>#VALUE!</v>
      </c>
      <c r="T208" t="str">
        <f t="shared" si="3"/>
        <v>#VALUE!</v>
      </c>
      <c r="U208">
        <f t="shared" si="1"/>
        <v>0</v>
      </c>
    </row>
    <row r="209">
      <c r="D209" s="201"/>
      <c r="I209" s="201"/>
      <c r="R209" t="str">
        <f t="shared" si="4"/>
        <v/>
      </c>
      <c r="S209" s="201" t="str">
        <f t="shared" si="2"/>
        <v>#VALUE!</v>
      </c>
      <c r="T209" t="str">
        <f t="shared" si="3"/>
        <v>#VALUE!</v>
      </c>
      <c r="U209">
        <f t="shared" si="1"/>
        <v>0</v>
      </c>
    </row>
    <row r="210">
      <c r="D210" s="201"/>
      <c r="I210" s="201"/>
      <c r="R210" t="str">
        <f t="shared" si="4"/>
        <v/>
      </c>
      <c r="S210" s="201" t="str">
        <f t="shared" si="2"/>
        <v>#VALUE!</v>
      </c>
      <c r="T210" t="str">
        <f t="shared" si="3"/>
        <v>#VALUE!</v>
      </c>
      <c r="U210">
        <f t="shared" si="1"/>
        <v>0</v>
      </c>
    </row>
    <row r="211">
      <c r="D211" s="201"/>
      <c r="I211" s="201"/>
      <c r="R211" t="str">
        <f t="shared" si="4"/>
        <v/>
      </c>
      <c r="S211" s="201" t="str">
        <f t="shared" si="2"/>
        <v>#VALUE!</v>
      </c>
      <c r="T211" t="str">
        <f t="shared" si="3"/>
        <v>#VALUE!</v>
      </c>
      <c r="U211">
        <f t="shared" si="1"/>
        <v>0</v>
      </c>
    </row>
    <row r="212">
      <c r="D212" s="201"/>
      <c r="I212" s="201"/>
      <c r="R212" t="str">
        <f t="shared" si="4"/>
        <v/>
      </c>
      <c r="S212" s="201" t="str">
        <f t="shared" si="2"/>
        <v>#VALUE!</v>
      </c>
      <c r="T212" t="str">
        <f t="shared" si="3"/>
        <v>#VALUE!</v>
      </c>
      <c r="U212">
        <f t="shared" si="1"/>
        <v>0</v>
      </c>
    </row>
    <row r="213">
      <c r="D213" s="201"/>
      <c r="I213" s="201"/>
      <c r="R213" t="str">
        <f t="shared" si="4"/>
        <v/>
      </c>
      <c r="S213" s="201" t="str">
        <f t="shared" si="2"/>
        <v>#VALUE!</v>
      </c>
      <c r="T213" t="str">
        <f t="shared" si="3"/>
        <v>#VALUE!</v>
      </c>
      <c r="U213">
        <f t="shared" si="1"/>
        <v>0</v>
      </c>
    </row>
    <row r="214">
      <c r="D214" s="201"/>
      <c r="I214" s="201"/>
      <c r="R214" t="str">
        <f t="shared" si="4"/>
        <v/>
      </c>
      <c r="S214" s="201" t="str">
        <f t="shared" si="2"/>
        <v>#VALUE!</v>
      </c>
      <c r="T214" t="str">
        <f t="shared" si="3"/>
        <v>#VALUE!</v>
      </c>
      <c r="U214">
        <f t="shared" si="1"/>
        <v>0</v>
      </c>
    </row>
    <row r="215">
      <c r="D215" s="201"/>
      <c r="I215" s="201"/>
      <c r="R215" t="str">
        <f t="shared" si="4"/>
        <v/>
      </c>
      <c r="S215" s="201" t="str">
        <f t="shared" si="2"/>
        <v>#VALUE!</v>
      </c>
      <c r="T215" t="str">
        <f t="shared" si="3"/>
        <v>#VALUE!</v>
      </c>
      <c r="U215">
        <f t="shared" si="1"/>
        <v>0</v>
      </c>
    </row>
    <row r="216">
      <c r="D216" s="201"/>
      <c r="I216" s="201"/>
      <c r="R216" t="str">
        <f t="shared" si="4"/>
        <v/>
      </c>
      <c r="S216" s="201" t="str">
        <f t="shared" si="2"/>
        <v>#VALUE!</v>
      </c>
      <c r="T216" t="str">
        <f t="shared" si="3"/>
        <v>#VALUE!</v>
      </c>
      <c r="U216">
        <f t="shared" si="1"/>
        <v>0</v>
      </c>
    </row>
    <row r="217">
      <c r="D217" s="201"/>
      <c r="I217" s="201"/>
      <c r="R217" t="str">
        <f t="shared" si="4"/>
        <v/>
      </c>
      <c r="S217" s="201" t="str">
        <f t="shared" si="2"/>
        <v>#VALUE!</v>
      </c>
      <c r="T217" t="str">
        <f t="shared" si="3"/>
        <v>#VALUE!</v>
      </c>
      <c r="U217">
        <f t="shared" si="1"/>
        <v>0</v>
      </c>
    </row>
    <row r="218">
      <c r="D218" s="201"/>
      <c r="I218" s="201"/>
      <c r="R218" t="str">
        <f t="shared" si="4"/>
        <v/>
      </c>
      <c r="S218" s="201" t="str">
        <f t="shared" si="2"/>
        <v>#VALUE!</v>
      </c>
      <c r="T218" t="str">
        <f t="shared" si="3"/>
        <v>#VALUE!</v>
      </c>
      <c r="U218">
        <f t="shared" si="1"/>
        <v>0</v>
      </c>
    </row>
    <row r="219">
      <c r="D219" s="201"/>
      <c r="I219" s="201"/>
      <c r="R219" t="str">
        <f t="shared" si="4"/>
        <v/>
      </c>
      <c r="S219" s="201" t="str">
        <f t="shared" si="2"/>
        <v>#VALUE!</v>
      </c>
      <c r="T219" t="str">
        <f t="shared" si="3"/>
        <v>#VALUE!</v>
      </c>
      <c r="U219">
        <f t="shared" si="1"/>
        <v>0</v>
      </c>
    </row>
    <row r="220">
      <c r="D220" s="201"/>
      <c r="I220" s="201"/>
      <c r="R220" t="str">
        <f t="shared" si="4"/>
        <v/>
      </c>
      <c r="S220" s="201" t="str">
        <f t="shared" si="2"/>
        <v>#VALUE!</v>
      </c>
      <c r="T220" t="str">
        <f t="shared" si="3"/>
        <v>#VALUE!</v>
      </c>
      <c r="U220">
        <f t="shared" si="1"/>
        <v>0</v>
      </c>
    </row>
    <row r="221">
      <c r="D221" s="201"/>
      <c r="I221" s="201"/>
      <c r="R221" t="str">
        <f t="shared" si="4"/>
        <v/>
      </c>
      <c r="S221" s="201" t="str">
        <f t="shared" si="2"/>
        <v>#VALUE!</v>
      </c>
      <c r="T221" t="str">
        <f t="shared" si="3"/>
        <v>#VALUE!</v>
      </c>
      <c r="U221">
        <f t="shared" si="1"/>
        <v>0</v>
      </c>
    </row>
    <row r="222">
      <c r="D222" s="201"/>
      <c r="I222" s="201"/>
      <c r="R222" t="str">
        <f t="shared" si="4"/>
        <v/>
      </c>
      <c r="S222" s="201" t="str">
        <f t="shared" si="2"/>
        <v>#VALUE!</v>
      </c>
      <c r="T222" t="str">
        <f t="shared" si="3"/>
        <v>#VALUE!</v>
      </c>
      <c r="U222">
        <f t="shared" si="1"/>
        <v>0</v>
      </c>
    </row>
    <row r="223">
      <c r="D223" s="201"/>
      <c r="I223" s="201"/>
      <c r="R223" t="str">
        <f t="shared" si="4"/>
        <v/>
      </c>
      <c r="S223" s="201" t="str">
        <f t="shared" si="2"/>
        <v>#VALUE!</v>
      </c>
      <c r="T223" t="str">
        <f t="shared" si="3"/>
        <v>#VALUE!</v>
      </c>
      <c r="U223">
        <f t="shared" si="1"/>
        <v>0</v>
      </c>
    </row>
    <row r="224">
      <c r="D224" s="201"/>
      <c r="I224" s="201"/>
      <c r="R224" t="str">
        <f t="shared" si="4"/>
        <v/>
      </c>
      <c r="S224" s="201" t="str">
        <f t="shared" si="2"/>
        <v>#VALUE!</v>
      </c>
      <c r="T224" t="str">
        <f t="shared" si="3"/>
        <v>#VALUE!</v>
      </c>
      <c r="U224">
        <f t="shared" si="1"/>
        <v>0</v>
      </c>
    </row>
    <row r="225">
      <c r="D225" s="201"/>
      <c r="I225" s="201"/>
      <c r="R225" t="str">
        <f t="shared" si="4"/>
        <v/>
      </c>
      <c r="S225" s="201" t="str">
        <f t="shared" si="2"/>
        <v>#VALUE!</v>
      </c>
      <c r="T225" t="str">
        <f t="shared" si="3"/>
        <v>#VALUE!</v>
      </c>
      <c r="U225">
        <f t="shared" si="1"/>
        <v>0</v>
      </c>
    </row>
    <row r="226">
      <c r="D226" s="201"/>
      <c r="I226" s="201"/>
      <c r="R226" t="str">
        <f t="shared" si="4"/>
        <v/>
      </c>
      <c r="S226" s="201" t="str">
        <f t="shared" si="2"/>
        <v>#VALUE!</v>
      </c>
      <c r="T226" t="str">
        <f t="shared" si="3"/>
        <v>#VALUE!</v>
      </c>
      <c r="U226">
        <f t="shared" si="1"/>
        <v>0</v>
      </c>
    </row>
    <row r="227">
      <c r="D227" s="201"/>
      <c r="I227" s="201"/>
      <c r="R227" t="str">
        <f t="shared" si="4"/>
        <v/>
      </c>
      <c r="S227" s="201" t="str">
        <f t="shared" si="2"/>
        <v>#VALUE!</v>
      </c>
      <c r="T227" t="str">
        <f t="shared" si="3"/>
        <v>#VALUE!</v>
      </c>
      <c r="U227">
        <f t="shared" si="1"/>
        <v>0</v>
      </c>
    </row>
    <row r="228">
      <c r="D228" s="201"/>
      <c r="I228" s="201"/>
      <c r="R228" t="str">
        <f t="shared" si="4"/>
        <v/>
      </c>
      <c r="S228" s="201" t="str">
        <f t="shared" si="2"/>
        <v>#VALUE!</v>
      </c>
      <c r="T228" t="str">
        <f t="shared" si="3"/>
        <v>#VALUE!</v>
      </c>
      <c r="U228">
        <f t="shared" si="1"/>
        <v>0</v>
      </c>
    </row>
    <row r="229">
      <c r="D229" s="201"/>
      <c r="I229" s="201"/>
      <c r="R229" t="str">
        <f t="shared" si="4"/>
        <v/>
      </c>
      <c r="S229" s="201" t="str">
        <f t="shared" si="2"/>
        <v>#VALUE!</v>
      </c>
      <c r="T229" t="str">
        <f t="shared" si="3"/>
        <v>#VALUE!</v>
      </c>
      <c r="U229">
        <f t="shared" si="1"/>
        <v>0</v>
      </c>
    </row>
    <row r="230">
      <c r="D230" s="201"/>
      <c r="I230" s="201"/>
      <c r="R230" t="str">
        <f t="shared" si="4"/>
        <v/>
      </c>
      <c r="S230" s="201" t="str">
        <f t="shared" si="2"/>
        <v>#VALUE!</v>
      </c>
      <c r="T230" t="str">
        <f t="shared" si="3"/>
        <v>#VALUE!</v>
      </c>
      <c r="U230">
        <f t="shared" si="1"/>
        <v>0</v>
      </c>
    </row>
    <row r="231">
      <c r="D231" s="201"/>
      <c r="I231" s="201"/>
      <c r="R231" t="str">
        <f t="shared" si="4"/>
        <v/>
      </c>
      <c r="S231" s="201" t="str">
        <f t="shared" si="2"/>
        <v>#VALUE!</v>
      </c>
      <c r="T231" t="str">
        <f t="shared" si="3"/>
        <v>#VALUE!</v>
      </c>
      <c r="U231">
        <f t="shared" si="1"/>
        <v>0</v>
      </c>
    </row>
    <row r="232">
      <c r="D232" s="201"/>
      <c r="I232" s="201"/>
      <c r="R232" t="str">
        <f t="shared" si="4"/>
        <v/>
      </c>
      <c r="S232" s="201" t="str">
        <f t="shared" si="2"/>
        <v>#VALUE!</v>
      </c>
      <c r="T232" t="str">
        <f t="shared" si="3"/>
        <v>#VALUE!</v>
      </c>
      <c r="U232">
        <f t="shared" si="1"/>
        <v>0</v>
      </c>
    </row>
    <row r="233">
      <c r="D233" s="201"/>
      <c r="I233" s="201"/>
      <c r="R233" t="str">
        <f t="shared" si="4"/>
        <v/>
      </c>
      <c r="S233" s="201" t="str">
        <f t="shared" si="2"/>
        <v>#VALUE!</v>
      </c>
      <c r="T233" t="str">
        <f t="shared" si="3"/>
        <v>#VALUE!</v>
      </c>
      <c r="U233">
        <f t="shared" si="1"/>
        <v>0</v>
      </c>
    </row>
    <row r="234">
      <c r="D234" s="201"/>
      <c r="I234" s="201"/>
      <c r="R234" t="str">
        <f t="shared" si="4"/>
        <v/>
      </c>
      <c r="S234" s="201" t="str">
        <f t="shared" si="2"/>
        <v>#VALUE!</v>
      </c>
      <c r="T234" t="str">
        <f t="shared" si="3"/>
        <v>#VALUE!</v>
      </c>
      <c r="U234">
        <f t="shared" si="1"/>
        <v>0</v>
      </c>
    </row>
    <row r="235">
      <c r="D235" s="201"/>
      <c r="I235" s="201"/>
      <c r="R235" t="str">
        <f t="shared" si="4"/>
        <v/>
      </c>
      <c r="S235" s="201" t="str">
        <f t="shared" si="2"/>
        <v>#VALUE!</v>
      </c>
      <c r="T235" t="str">
        <f t="shared" si="3"/>
        <v>#VALUE!</v>
      </c>
      <c r="U235">
        <f t="shared" si="1"/>
        <v>0</v>
      </c>
    </row>
    <row r="236">
      <c r="D236" s="201"/>
      <c r="I236" s="201"/>
      <c r="R236" t="str">
        <f t="shared" si="4"/>
        <v/>
      </c>
      <c r="S236" s="201" t="str">
        <f t="shared" si="2"/>
        <v>#VALUE!</v>
      </c>
      <c r="T236" t="str">
        <f t="shared" si="3"/>
        <v>#VALUE!</v>
      </c>
      <c r="U236">
        <f t="shared" si="1"/>
        <v>0</v>
      </c>
    </row>
    <row r="237">
      <c r="D237" s="201"/>
      <c r="I237" s="201"/>
      <c r="R237" t="str">
        <f t="shared" si="4"/>
        <v/>
      </c>
      <c r="S237" s="201" t="str">
        <f t="shared" si="2"/>
        <v>#VALUE!</v>
      </c>
      <c r="T237" t="str">
        <f t="shared" si="3"/>
        <v>#VALUE!</v>
      </c>
      <c r="U237">
        <f t="shared" si="1"/>
        <v>0</v>
      </c>
    </row>
    <row r="238">
      <c r="D238" s="201"/>
      <c r="I238" s="201"/>
      <c r="R238" t="str">
        <f t="shared" si="4"/>
        <v/>
      </c>
      <c r="S238" s="201" t="str">
        <f t="shared" si="2"/>
        <v>#VALUE!</v>
      </c>
      <c r="T238" t="str">
        <f t="shared" si="3"/>
        <v>#VALUE!</v>
      </c>
      <c r="U238">
        <f t="shared" si="1"/>
        <v>0</v>
      </c>
    </row>
    <row r="239">
      <c r="D239" s="201"/>
      <c r="I239" s="201"/>
      <c r="R239" t="str">
        <f t="shared" si="4"/>
        <v/>
      </c>
      <c r="S239" s="201" t="str">
        <f t="shared" si="2"/>
        <v>#VALUE!</v>
      </c>
      <c r="T239" t="str">
        <f t="shared" si="3"/>
        <v>#VALUE!</v>
      </c>
      <c r="U239">
        <f t="shared" si="1"/>
        <v>0</v>
      </c>
    </row>
    <row r="240">
      <c r="D240" s="201"/>
      <c r="I240" s="201"/>
      <c r="R240" t="str">
        <f t="shared" si="4"/>
        <v/>
      </c>
      <c r="S240" s="201" t="str">
        <f t="shared" si="2"/>
        <v>#VALUE!</v>
      </c>
      <c r="T240" t="str">
        <f t="shared" si="3"/>
        <v>#VALUE!</v>
      </c>
      <c r="U240">
        <f t="shared" si="1"/>
        <v>0</v>
      </c>
    </row>
    <row r="241">
      <c r="D241" s="201"/>
      <c r="I241" s="201"/>
      <c r="R241" t="str">
        <f t="shared" si="4"/>
        <v/>
      </c>
      <c r="S241" s="201" t="str">
        <f t="shared" si="2"/>
        <v>#VALUE!</v>
      </c>
      <c r="T241" t="str">
        <f t="shared" si="3"/>
        <v>#VALUE!</v>
      </c>
      <c r="U241">
        <f t="shared" si="1"/>
        <v>0</v>
      </c>
    </row>
    <row r="242">
      <c r="D242" s="201"/>
      <c r="I242" s="201"/>
      <c r="R242" t="str">
        <f t="shared" si="4"/>
        <v/>
      </c>
      <c r="S242" s="201" t="str">
        <f t="shared" si="2"/>
        <v>#VALUE!</v>
      </c>
      <c r="T242" t="str">
        <f t="shared" si="3"/>
        <v>#VALUE!</v>
      </c>
      <c r="U242">
        <f t="shared" si="1"/>
        <v>0</v>
      </c>
    </row>
    <row r="243">
      <c r="D243" s="201"/>
      <c r="I243" s="201"/>
      <c r="R243" t="str">
        <f t="shared" si="4"/>
        <v/>
      </c>
      <c r="S243" s="201" t="str">
        <f t="shared" si="2"/>
        <v>#VALUE!</v>
      </c>
      <c r="T243" t="str">
        <f t="shared" si="3"/>
        <v>#VALUE!</v>
      </c>
      <c r="U243">
        <f t="shared" si="1"/>
        <v>0</v>
      </c>
    </row>
    <row r="244">
      <c r="D244" s="201"/>
      <c r="I244" s="201"/>
      <c r="R244" t="str">
        <f t="shared" si="4"/>
        <v/>
      </c>
      <c r="S244" s="201" t="str">
        <f t="shared" si="2"/>
        <v>#VALUE!</v>
      </c>
      <c r="T244" t="str">
        <f t="shared" si="3"/>
        <v>#VALUE!</v>
      </c>
      <c r="U244">
        <f t="shared" si="1"/>
        <v>0</v>
      </c>
    </row>
    <row r="245">
      <c r="D245" s="201"/>
      <c r="I245" s="201"/>
      <c r="R245" t="str">
        <f t="shared" si="4"/>
        <v/>
      </c>
      <c r="S245" s="201" t="str">
        <f t="shared" si="2"/>
        <v>#VALUE!</v>
      </c>
      <c r="T245" t="str">
        <f t="shared" si="3"/>
        <v>#VALUE!</v>
      </c>
      <c r="U245">
        <f t="shared" si="1"/>
        <v>0</v>
      </c>
    </row>
    <row r="246">
      <c r="D246" s="201"/>
      <c r="I246" s="201"/>
      <c r="R246" t="str">
        <f t="shared" si="4"/>
        <v/>
      </c>
      <c r="S246" s="201" t="str">
        <f t="shared" si="2"/>
        <v>#VALUE!</v>
      </c>
      <c r="T246" t="str">
        <f t="shared" si="3"/>
        <v>#VALUE!</v>
      </c>
      <c r="U246">
        <f t="shared" si="1"/>
        <v>0</v>
      </c>
    </row>
    <row r="247">
      <c r="D247" s="201"/>
      <c r="I247" s="201"/>
      <c r="R247" t="str">
        <f t="shared" si="4"/>
        <v/>
      </c>
      <c r="S247" s="201" t="str">
        <f t="shared" si="2"/>
        <v>#VALUE!</v>
      </c>
      <c r="T247" t="str">
        <f t="shared" si="3"/>
        <v>#VALUE!</v>
      </c>
      <c r="U247">
        <f t="shared" si="1"/>
        <v>0</v>
      </c>
    </row>
    <row r="248">
      <c r="D248" s="201"/>
      <c r="I248" s="201"/>
      <c r="R248" t="str">
        <f t="shared" si="4"/>
        <v/>
      </c>
      <c r="S248" s="201" t="str">
        <f t="shared" si="2"/>
        <v>#VALUE!</v>
      </c>
      <c r="T248" t="str">
        <f t="shared" si="3"/>
        <v>#VALUE!</v>
      </c>
      <c r="U248">
        <f t="shared" si="1"/>
        <v>0</v>
      </c>
    </row>
    <row r="249">
      <c r="D249" s="201"/>
      <c r="I249" s="201"/>
      <c r="R249" t="str">
        <f t="shared" si="4"/>
        <v/>
      </c>
      <c r="S249" s="201" t="str">
        <f t="shared" si="2"/>
        <v>#VALUE!</v>
      </c>
      <c r="T249" t="str">
        <f t="shared" si="3"/>
        <v>#VALUE!</v>
      </c>
      <c r="U249">
        <f t="shared" si="1"/>
        <v>0</v>
      </c>
    </row>
    <row r="250">
      <c r="D250" s="201"/>
      <c r="I250" s="201"/>
      <c r="R250" t="str">
        <f t="shared" si="4"/>
        <v/>
      </c>
      <c r="S250" s="201" t="str">
        <f t="shared" si="2"/>
        <v>#VALUE!</v>
      </c>
      <c r="T250" t="str">
        <f t="shared" si="3"/>
        <v>#VALUE!</v>
      </c>
      <c r="U250">
        <f t="shared" si="1"/>
        <v>0</v>
      </c>
    </row>
    <row r="251">
      <c r="D251" s="201"/>
      <c r="I251" s="201"/>
      <c r="R251" t="str">
        <f t="shared" si="4"/>
        <v/>
      </c>
      <c r="S251" s="201" t="str">
        <f t="shared" si="2"/>
        <v>#VALUE!</v>
      </c>
      <c r="T251" t="str">
        <f t="shared" si="3"/>
        <v>#VALUE!</v>
      </c>
      <c r="U251">
        <f t="shared" si="1"/>
        <v>0</v>
      </c>
    </row>
    <row r="252">
      <c r="D252" s="201"/>
      <c r="I252" s="201"/>
      <c r="R252" t="str">
        <f t="shared" si="4"/>
        <v/>
      </c>
      <c r="S252" s="201" t="str">
        <f t="shared" si="2"/>
        <v>#VALUE!</v>
      </c>
      <c r="T252" t="str">
        <f t="shared" si="3"/>
        <v>#VALUE!</v>
      </c>
      <c r="U252">
        <f t="shared" si="1"/>
        <v>0</v>
      </c>
    </row>
    <row r="253">
      <c r="D253" s="201"/>
      <c r="I253" s="201"/>
      <c r="R253" t="str">
        <f t="shared" si="4"/>
        <v/>
      </c>
      <c r="S253" s="201" t="str">
        <f t="shared" si="2"/>
        <v>#VALUE!</v>
      </c>
      <c r="T253" t="str">
        <f t="shared" si="3"/>
        <v>#VALUE!</v>
      </c>
      <c r="U253">
        <f t="shared" si="1"/>
        <v>0</v>
      </c>
    </row>
    <row r="254">
      <c r="D254" s="201"/>
      <c r="I254" s="201"/>
      <c r="R254" t="str">
        <f t="shared" si="4"/>
        <v/>
      </c>
      <c r="S254" s="201" t="str">
        <f t="shared" si="2"/>
        <v>#VALUE!</v>
      </c>
      <c r="T254" t="str">
        <f t="shared" si="3"/>
        <v>#VALUE!</v>
      </c>
      <c r="U254">
        <f t="shared" si="1"/>
        <v>0</v>
      </c>
    </row>
    <row r="255">
      <c r="D255" s="201"/>
      <c r="I255" s="201"/>
      <c r="R255" t="str">
        <f t="shared" si="4"/>
        <v/>
      </c>
      <c r="S255" s="201" t="str">
        <f t="shared" si="2"/>
        <v>#VALUE!</v>
      </c>
      <c r="T255" t="str">
        <f t="shared" si="3"/>
        <v>#VALUE!</v>
      </c>
      <c r="U255">
        <f t="shared" si="1"/>
        <v>0</v>
      </c>
    </row>
    <row r="256">
      <c r="D256" s="201"/>
      <c r="I256" s="201"/>
      <c r="R256" t="str">
        <f t="shared" si="4"/>
        <v/>
      </c>
      <c r="S256" s="201" t="str">
        <f t="shared" si="2"/>
        <v>#VALUE!</v>
      </c>
      <c r="T256" t="str">
        <f t="shared" si="3"/>
        <v>#VALUE!</v>
      </c>
      <c r="U256">
        <f t="shared" si="1"/>
        <v>0</v>
      </c>
    </row>
    <row r="257">
      <c r="D257" s="201"/>
      <c r="I257" s="201"/>
      <c r="R257" t="str">
        <f t="shared" si="4"/>
        <v/>
      </c>
      <c r="S257" s="201" t="str">
        <f t="shared" si="2"/>
        <v>#VALUE!</v>
      </c>
      <c r="T257" t="str">
        <f t="shared" si="3"/>
        <v>#VALUE!</v>
      </c>
      <c r="U257">
        <f t="shared" si="1"/>
        <v>0</v>
      </c>
    </row>
    <row r="258">
      <c r="D258" s="201"/>
      <c r="I258" s="201"/>
      <c r="R258" t="str">
        <f t="shared" si="4"/>
        <v/>
      </c>
      <c r="S258" s="201" t="str">
        <f t="shared" si="2"/>
        <v>#VALUE!</v>
      </c>
      <c r="T258" t="str">
        <f t="shared" si="3"/>
        <v>#VALUE!</v>
      </c>
      <c r="U258">
        <f t="shared" si="1"/>
        <v>0</v>
      </c>
    </row>
    <row r="259">
      <c r="D259" s="201"/>
      <c r="I259" s="201"/>
      <c r="R259" t="str">
        <f t="shared" si="4"/>
        <v/>
      </c>
      <c r="S259" s="201" t="str">
        <f t="shared" si="2"/>
        <v>#VALUE!</v>
      </c>
      <c r="T259" t="str">
        <f t="shared" si="3"/>
        <v>#VALUE!</v>
      </c>
      <c r="U259">
        <f t="shared" si="1"/>
        <v>0</v>
      </c>
    </row>
    <row r="260">
      <c r="D260" s="201"/>
      <c r="I260" s="201"/>
      <c r="R260" t="str">
        <f t="shared" si="4"/>
        <v/>
      </c>
      <c r="S260" s="201" t="str">
        <f t="shared" si="2"/>
        <v>#VALUE!</v>
      </c>
      <c r="T260" t="str">
        <f t="shared" si="3"/>
        <v>#VALUE!</v>
      </c>
      <c r="U260">
        <f t="shared" si="1"/>
        <v>0</v>
      </c>
    </row>
    <row r="261">
      <c r="D261" s="201"/>
      <c r="I261" s="201"/>
      <c r="R261" t="str">
        <f t="shared" si="4"/>
        <v/>
      </c>
      <c r="S261" s="201" t="str">
        <f t="shared" si="2"/>
        <v>#VALUE!</v>
      </c>
      <c r="T261" t="str">
        <f t="shared" si="3"/>
        <v>#VALUE!</v>
      </c>
      <c r="U261">
        <f t="shared" si="1"/>
        <v>0</v>
      </c>
    </row>
    <row r="262">
      <c r="D262" s="201"/>
      <c r="I262" s="201"/>
      <c r="R262" t="str">
        <f t="shared" si="4"/>
        <v/>
      </c>
      <c r="S262" s="201" t="str">
        <f t="shared" si="2"/>
        <v>#VALUE!</v>
      </c>
      <c r="T262" t="str">
        <f t="shared" si="3"/>
        <v>#VALUE!</v>
      </c>
      <c r="U262">
        <f t="shared" si="1"/>
        <v>0</v>
      </c>
    </row>
    <row r="263">
      <c r="D263" s="201"/>
      <c r="I263" s="201"/>
      <c r="R263" t="str">
        <f t="shared" si="4"/>
        <v/>
      </c>
      <c r="S263" s="201" t="str">
        <f t="shared" si="2"/>
        <v>#VALUE!</v>
      </c>
      <c r="T263" t="str">
        <f t="shared" si="3"/>
        <v>#VALUE!</v>
      </c>
      <c r="U263">
        <f t="shared" si="1"/>
        <v>0</v>
      </c>
    </row>
    <row r="264">
      <c r="D264" s="201"/>
      <c r="I264" s="201"/>
      <c r="R264" t="str">
        <f t="shared" si="4"/>
        <v/>
      </c>
      <c r="S264" s="201" t="str">
        <f t="shared" si="2"/>
        <v>#VALUE!</v>
      </c>
      <c r="T264" t="str">
        <f t="shared" si="3"/>
        <v>#VALUE!</v>
      </c>
      <c r="U264">
        <f t="shared" si="1"/>
        <v>0</v>
      </c>
    </row>
    <row r="265">
      <c r="D265" s="201"/>
      <c r="I265" s="201"/>
      <c r="R265" t="str">
        <f t="shared" si="4"/>
        <v/>
      </c>
      <c r="S265" s="201" t="str">
        <f t="shared" si="2"/>
        <v>#VALUE!</v>
      </c>
      <c r="T265" t="str">
        <f t="shared" si="3"/>
        <v>#VALUE!</v>
      </c>
      <c r="U265">
        <f t="shared" si="1"/>
        <v>0</v>
      </c>
    </row>
    <row r="266">
      <c r="D266" s="201"/>
      <c r="I266" s="201"/>
      <c r="R266" t="str">
        <f t="shared" si="4"/>
        <v/>
      </c>
      <c r="S266" s="201" t="str">
        <f t="shared" si="2"/>
        <v>#VALUE!</v>
      </c>
      <c r="T266" t="str">
        <f t="shared" si="3"/>
        <v>#VALUE!</v>
      </c>
      <c r="U266">
        <f t="shared" si="1"/>
        <v>0</v>
      </c>
    </row>
    <row r="267">
      <c r="D267" s="201"/>
      <c r="I267" s="201"/>
      <c r="R267" t="str">
        <f t="shared" si="4"/>
        <v/>
      </c>
      <c r="S267" s="201" t="str">
        <f t="shared" si="2"/>
        <v>#VALUE!</v>
      </c>
      <c r="T267" t="str">
        <f t="shared" si="3"/>
        <v>#VALUE!</v>
      </c>
      <c r="U267">
        <f t="shared" si="1"/>
        <v>0</v>
      </c>
    </row>
    <row r="268">
      <c r="D268" s="201"/>
      <c r="I268" s="201"/>
      <c r="R268" t="str">
        <f t="shared" si="4"/>
        <v/>
      </c>
      <c r="S268" s="201" t="str">
        <f t="shared" si="2"/>
        <v>#VALUE!</v>
      </c>
      <c r="T268" t="str">
        <f t="shared" si="3"/>
        <v>#VALUE!</v>
      </c>
      <c r="U268">
        <f t="shared" si="1"/>
        <v>0</v>
      </c>
    </row>
    <row r="269">
      <c r="D269" s="201"/>
      <c r="I269" s="201"/>
      <c r="R269" t="str">
        <f t="shared" si="4"/>
        <v/>
      </c>
      <c r="S269" s="201" t="str">
        <f t="shared" si="2"/>
        <v>#VALUE!</v>
      </c>
      <c r="T269" t="str">
        <f t="shared" si="3"/>
        <v>#VALUE!</v>
      </c>
      <c r="U269">
        <f t="shared" si="1"/>
        <v>0</v>
      </c>
    </row>
    <row r="270">
      <c r="D270" s="201"/>
      <c r="I270" s="201"/>
      <c r="R270" t="str">
        <f t="shared" si="4"/>
        <v/>
      </c>
      <c r="S270" s="201" t="str">
        <f t="shared" si="2"/>
        <v>#VALUE!</v>
      </c>
      <c r="T270" t="str">
        <f t="shared" si="3"/>
        <v>#VALUE!</v>
      </c>
      <c r="U270">
        <f t="shared" si="1"/>
        <v>0</v>
      </c>
    </row>
    <row r="271">
      <c r="D271" s="201"/>
      <c r="I271" s="201"/>
      <c r="R271" t="str">
        <f t="shared" si="4"/>
        <v/>
      </c>
      <c r="S271" s="201" t="str">
        <f t="shared" si="2"/>
        <v>#VALUE!</v>
      </c>
      <c r="T271" t="str">
        <f t="shared" si="3"/>
        <v>#VALUE!</v>
      </c>
      <c r="U271">
        <f t="shared" si="1"/>
        <v>0</v>
      </c>
    </row>
    <row r="272">
      <c r="D272" s="201"/>
      <c r="I272" s="201"/>
      <c r="R272" t="str">
        <f t="shared" si="4"/>
        <v/>
      </c>
      <c r="S272" s="201" t="str">
        <f t="shared" si="2"/>
        <v>#VALUE!</v>
      </c>
      <c r="T272" t="str">
        <f t="shared" si="3"/>
        <v>#VALUE!</v>
      </c>
      <c r="U272">
        <f t="shared" si="1"/>
        <v>0</v>
      </c>
    </row>
    <row r="273">
      <c r="D273" s="201"/>
      <c r="I273" s="201"/>
      <c r="R273" t="str">
        <f t="shared" si="4"/>
        <v/>
      </c>
      <c r="S273" s="201" t="str">
        <f t="shared" si="2"/>
        <v>#VALUE!</v>
      </c>
      <c r="T273" t="str">
        <f t="shared" si="3"/>
        <v>#VALUE!</v>
      </c>
      <c r="U273">
        <f t="shared" si="1"/>
        <v>0</v>
      </c>
    </row>
    <row r="274">
      <c r="D274" s="201"/>
      <c r="I274" s="201"/>
      <c r="R274" t="str">
        <f t="shared" si="4"/>
        <v/>
      </c>
      <c r="S274" s="201" t="str">
        <f t="shared" si="2"/>
        <v>#VALUE!</v>
      </c>
      <c r="T274" t="str">
        <f t="shared" si="3"/>
        <v>#VALUE!</v>
      </c>
      <c r="U274">
        <f t="shared" si="1"/>
        <v>0</v>
      </c>
    </row>
    <row r="275">
      <c r="D275" s="201"/>
      <c r="I275" s="201"/>
      <c r="R275" t="str">
        <f t="shared" si="4"/>
        <v/>
      </c>
      <c r="S275" s="201" t="str">
        <f t="shared" si="2"/>
        <v>#VALUE!</v>
      </c>
      <c r="T275" t="str">
        <f t="shared" si="3"/>
        <v>#VALUE!</v>
      </c>
      <c r="U275">
        <f t="shared" si="1"/>
        <v>0</v>
      </c>
    </row>
    <row r="276">
      <c r="D276" s="201"/>
      <c r="I276" s="201"/>
      <c r="R276" t="str">
        <f t="shared" si="4"/>
        <v/>
      </c>
      <c r="S276" s="201" t="str">
        <f t="shared" si="2"/>
        <v>#VALUE!</v>
      </c>
      <c r="T276" t="str">
        <f t="shared" si="3"/>
        <v>#VALUE!</v>
      </c>
      <c r="U276">
        <f t="shared" si="1"/>
        <v>0</v>
      </c>
    </row>
    <row r="277">
      <c r="D277" s="201"/>
      <c r="I277" s="201"/>
      <c r="R277" t="str">
        <f t="shared" si="4"/>
        <v/>
      </c>
      <c r="S277" s="201" t="str">
        <f t="shared" si="2"/>
        <v>#VALUE!</v>
      </c>
      <c r="T277" t="str">
        <f t="shared" si="3"/>
        <v>#VALUE!</v>
      </c>
      <c r="U277">
        <f t="shared" si="1"/>
        <v>0</v>
      </c>
    </row>
    <row r="278">
      <c r="D278" s="201"/>
      <c r="I278" s="201"/>
      <c r="R278" t="str">
        <f t="shared" si="4"/>
        <v/>
      </c>
      <c r="S278" s="201" t="str">
        <f t="shared" si="2"/>
        <v>#VALUE!</v>
      </c>
      <c r="T278" t="str">
        <f t="shared" si="3"/>
        <v>#VALUE!</v>
      </c>
      <c r="U278">
        <f t="shared" si="1"/>
        <v>0</v>
      </c>
    </row>
    <row r="279">
      <c r="D279" s="201"/>
      <c r="I279" s="201"/>
      <c r="R279" t="str">
        <f t="shared" si="4"/>
        <v/>
      </c>
      <c r="S279" s="201" t="str">
        <f t="shared" si="2"/>
        <v>#VALUE!</v>
      </c>
      <c r="T279" t="str">
        <f t="shared" si="3"/>
        <v>#VALUE!</v>
      </c>
      <c r="U279">
        <f t="shared" si="1"/>
        <v>0</v>
      </c>
    </row>
    <row r="280">
      <c r="D280" s="201"/>
      <c r="I280" s="201"/>
      <c r="R280" t="str">
        <f t="shared" si="4"/>
        <v/>
      </c>
      <c r="S280" s="201" t="str">
        <f t="shared" si="2"/>
        <v>#VALUE!</v>
      </c>
      <c r="T280" t="str">
        <f t="shared" si="3"/>
        <v>#VALUE!</v>
      </c>
      <c r="U280">
        <f t="shared" si="1"/>
        <v>0</v>
      </c>
    </row>
    <row r="281">
      <c r="D281" s="201"/>
      <c r="I281" s="201"/>
      <c r="R281" t="str">
        <f t="shared" si="4"/>
        <v/>
      </c>
      <c r="S281" s="201" t="str">
        <f t="shared" si="2"/>
        <v>#VALUE!</v>
      </c>
      <c r="T281" t="str">
        <f t="shared" si="3"/>
        <v>#VALUE!</v>
      </c>
      <c r="U281">
        <f t="shared" si="1"/>
        <v>0</v>
      </c>
    </row>
    <row r="282">
      <c r="D282" s="201"/>
      <c r="I282" s="201"/>
      <c r="R282" t="str">
        <f t="shared" si="4"/>
        <v/>
      </c>
      <c r="S282" s="201" t="str">
        <f t="shared" si="2"/>
        <v>#VALUE!</v>
      </c>
      <c r="T282" t="str">
        <f t="shared" si="3"/>
        <v>#VALUE!</v>
      </c>
      <c r="U282">
        <f t="shared" si="1"/>
        <v>0</v>
      </c>
    </row>
    <row r="283">
      <c r="D283" s="201"/>
      <c r="I283" s="201"/>
      <c r="R283" t="str">
        <f t="shared" si="4"/>
        <v/>
      </c>
      <c r="S283" s="201" t="str">
        <f t="shared" si="2"/>
        <v>#VALUE!</v>
      </c>
      <c r="T283" t="str">
        <f t="shared" si="3"/>
        <v>#VALUE!</v>
      </c>
      <c r="U283">
        <f t="shared" si="1"/>
        <v>0</v>
      </c>
    </row>
    <row r="284">
      <c r="D284" s="201"/>
      <c r="I284" s="201"/>
      <c r="R284" t="str">
        <f t="shared" si="4"/>
        <v/>
      </c>
      <c r="S284" s="201" t="str">
        <f t="shared" si="2"/>
        <v>#VALUE!</v>
      </c>
      <c r="T284" t="str">
        <f t="shared" si="3"/>
        <v>#VALUE!</v>
      </c>
      <c r="U284">
        <f t="shared" si="1"/>
        <v>0</v>
      </c>
    </row>
    <row r="285">
      <c r="D285" s="201"/>
      <c r="I285" s="201"/>
      <c r="R285" t="str">
        <f t="shared" si="4"/>
        <v/>
      </c>
      <c r="S285" s="201" t="str">
        <f t="shared" si="2"/>
        <v>#VALUE!</v>
      </c>
      <c r="T285" t="str">
        <f t="shared" si="3"/>
        <v>#VALUE!</v>
      </c>
      <c r="U285">
        <f t="shared" si="1"/>
        <v>0</v>
      </c>
    </row>
    <row r="286">
      <c r="D286" s="201"/>
      <c r="I286" s="201"/>
      <c r="R286" t="str">
        <f t="shared" si="4"/>
        <v/>
      </c>
      <c r="S286" s="201" t="str">
        <f t="shared" si="2"/>
        <v>#VALUE!</v>
      </c>
      <c r="T286" t="str">
        <f t="shared" si="3"/>
        <v>#VALUE!</v>
      </c>
      <c r="U286">
        <f t="shared" si="1"/>
        <v>0</v>
      </c>
    </row>
    <row r="287">
      <c r="D287" s="201"/>
      <c r="I287" s="201"/>
      <c r="R287" t="str">
        <f t="shared" si="4"/>
        <v/>
      </c>
      <c r="S287" s="201" t="str">
        <f t="shared" si="2"/>
        <v>#VALUE!</v>
      </c>
      <c r="T287" t="str">
        <f t="shared" si="3"/>
        <v>#VALUE!</v>
      </c>
      <c r="U287">
        <f t="shared" si="1"/>
        <v>0</v>
      </c>
    </row>
    <row r="288">
      <c r="D288" s="201"/>
      <c r="I288" s="201"/>
      <c r="R288" t="str">
        <f t="shared" si="4"/>
        <v/>
      </c>
      <c r="S288" s="201" t="str">
        <f t="shared" si="2"/>
        <v>#VALUE!</v>
      </c>
      <c r="T288" t="str">
        <f t="shared" si="3"/>
        <v>#VALUE!</v>
      </c>
      <c r="U288">
        <f t="shared" si="1"/>
        <v>0</v>
      </c>
    </row>
    <row r="289">
      <c r="D289" s="201"/>
      <c r="I289" s="201"/>
      <c r="R289" t="str">
        <f t="shared" si="4"/>
        <v/>
      </c>
      <c r="S289" s="201" t="str">
        <f t="shared" si="2"/>
        <v>#VALUE!</v>
      </c>
      <c r="T289" t="str">
        <f t="shared" si="3"/>
        <v>#VALUE!</v>
      </c>
      <c r="U289">
        <f t="shared" si="1"/>
        <v>0</v>
      </c>
    </row>
    <row r="290">
      <c r="D290" s="201"/>
      <c r="I290" s="201"/>
      <c r="R290" t="str">
        <f t="shared" si="4"/>
        <v/>
      </c>
      <c r="S290" s="201" t="str">
        <f t="shared" si="2"/>
        <v>#VALUE!</v>
      </c>
      <c r="T290" t="str">
        <f t="shared" si="3"/>
        <v>#VALUE!</v>
      </c>
      <c r="U290">
        <f t="shared" si="1"/>
        <v>0</v>
      </c>
    </row>
    <row r="291">
      <c r="D291" s="201"/>
      <c r="I291" s="201"/>
      <c r="R291" t="str">
        <f t="shared" si="4"/>
        <v/>
      </c>
      <c r="S291" s="201" t="str">
        <f t="shared" si="2"/>
        <v>#VALUE!</v>
      </c>
      <c r="T291" t="str">
        <f t="shared" si="3"/>
        <v>#VALUE!</v>
      </c>
      <c r="U291">
        <f t="shared" si="1"/>
        <v>0</v>
      </c>
    </row>
    <row r="292">
      <c r="D292" s="201"/>
      <c r="I292" s="201"/>
      <c r="R292" t="str">
        <f t="shared" si="4"/>
        <v/>
      </c>
      <c r="S292" s="201" t="str">
        <f t="shared" si="2"/>
        <v>#VALUE!</v>
      </c>
      <c r="T292" t="str">
        <f t="shared" si="3"/>
        <v>#VALUE!</v>
      </c>
      <c r="U292">
        <f t="shared" si="1"/>
        <v>0</v>
      </c>
    </row>
    <row r="293">
      <c r="D293" s="201"/>
      <c r="I293" s="201"/>
      <c r="R293" t="str">
        <f t="shared" si="4"/>
        <v/>
      </c>
      <c r="S293" s="201" t="str">
        <f t="shared" si="2"/>
        <v>#VALUE!</v>
      </c>
      <c r="T293" t="str">
        <f t="shared" si="3"/>
        <v>#VALUE!</v>
      </c>
      <c r="U293">
        <f t="shared" si="1"/>
        <v>0</v>
      </c>
    </row>
    <row r="294">
      <c r="D294" s="201"/>
      <c r="I294" s="201"/>
      <c r="R294" t="str">
        <f t="shared" si="4"/>
        <v/>
      </c>
      <c r="S294" s="201" t="str">
        <f t="shared" si="2"/>
        <v>#VALUE!</v>
      </c>
      <c r="T294" t="str">
        <f t="shared" si="3"/>
        <v>#VALUE!</v>
      </c>
      <c r="U294">
        <f t="shared" si="1"/>
        <v>0</v>
      </c>
    </row>
    <row r="295">
      <c r="D295" s="201"/>
      <c r="I295" s="201"/>
      <c r="R295" t="str">
        <f t="shared" si="4"/>
        <v/>
      </c>
      <c r="S295" s="201" t="str">
        <f t="shared" si="2"/>
        <v>#VALUE!</v>
      </c>
      <c r="T295" t="str">
        <f t="shared" si="3"/>
        <v>#VALUE!</v>
      </c>
      <c r="U295">
        <f t="shared" si="1"/>
        <v>0</v>
      </c>
    </row>
    <row r="296">
      <c r="D296" s="201"/>
      <c r="I296" s="201"/>
      <c r="R296" t="str">
        <f t="shared" si="4"/>
        <v/>
      </c>
      <c r="S296" s="201" t="str">
        <f t="shared" si="2"/>
        <v>#VALUE!</v>
      </c>
      <c r="T296" t="str">
        <f t="shared" si="3"/>
        <v>#VALUE!</v>
      </c>
      <c r="U296">
        <f t="shared" si="1"/>
        <v>0</v>
      </c>
    </row>
    <row r="297">
      <c r="D297" s="201"/>
      <c r="I297" s="201"/>
      <c r="R297" t="str">
        <f t="shared" si="4"/>
        <v/>
      </c>
      <c r="S297" s="201" t="str">
        <f t="shared" si="2"/>
        <v>#VALUE!</v>
      </c>
      <c r="T297" t="str">
        <f t="shared" si="3"/>
        <v>#VALUE!</v>
      </c>
      <c r="U297">
        <f t="shared" si="1"/>
        <v>0</v>
      </c>
    </row>
    <row r="298">
      <c r="D298" s="201"/>
      <c r="I298" s="201"/>
      <c r="R298" t="str">
        <f t="shared" si="4"/>
        <v/>
      </c>
      <c r="S298" s="201" t="str">
        <f t="shared" si="2"/>
        <v>#VALUE!</v>
      </c>
      <c r="T298" t="str">
        <f t="shared" si="3"/>
        <v>#VALUE!</v>
      </c>
      <c r="U298">
        <f t="shared" si="1"/>
        <v>0</v>
      </c>
    </row>
    <row r="299">
      <c r="D299" s="201"/>
      <c r="I299" s="201"/>
      <c r="R299" t="str">
        <f t="shared" si="4"/>
        <v/>
      </c>
      <c r="S299" s="201" t="str">
        <f t="shared" si="2"/>
        <v>#VALUE!</v>
      </c>
      <c r="T299" t="str">
        <f t="shared" si="3"/>
        <v>#VALUE!</v>
      </c>
      <c r="U299">
        <f t="shared" si="1"/>
        <v>0</v>
      </c>
    </row>
    <row r="300">
      <c r="D300" s="201"/>
      <c r="I300" s="201"/>
      <c r="R300" t="str">
        <f t="shared" si="4"/>
        <v/>
      </c>
      <c r="S300" s="201" t="str">
        <f t="shared" si="2"/>
        <v>#VALUE!</v>
      </c>
      <c r="T300" t="str">
        <f t="shared" si="3"/>
        <v>#VALUE!</v>
      </c>
      <c r="U300">
        <f t="shared" si="1"/>
        <v>0</v>
      </c>
    </row>
    <row r="301">
      <c r="D301" s="201"/>
      <c r="I301" s="201"/>
      <c r="R301" t="str">
        <f t="shared" si="4"/>
        <v/>
      </c>
      <c r="S301" s="201" t="str">
        <f t="shared" si="2"/>
        <v>#VALUE!</v>
      </c>
      <c r="T301" t="str">
        <f t="shared" si="3"/>
        <v>#VALUE!</v>
      </c>
      <c r="U301">
        <f t="shared" si="1"/>
        <v>0</v>
      </c>
    </row>
    <row r="302">
      <c r="D302" s="201"/>
      <c r="I302" s="201"/>
      <c r="R302" t="str">
        <f t="shared" si="4"/>
        <v/>
      </c>
      <c r="S302" s="201" t="str">
        <f t="shared" si="2"/>
        <v>#VALUE!</v>
      </c>
      <c r="T302" t="str">
        <f t="shared" si="3"/>
        <v>#VALUE!</v>
      </c>
      <c r="U302">
        <f t="shared" si="1"/>
        <v>0</v>
      </c>
    </row>
    <row r="303">
      <c r="D303" s="201"/>
      <c r="I303" s="201"/>
      <c r="R303" t="str">
        <f t="shared" si="4"/>
        <v/>
      </c>
      <c r="S303" s="201" t="str">
        <f t="shared" si="2"/>
        <v>#VALUE!</v>
      </c>
      <c r="T303" t="str">
        <f t="shared" si="3"/>
        <v>#VALUE!</v>
      </c>
      <c r="U303">
        <f t="shared" si="1"/>
        <v>0</v>
      </c>
    </row>
    <row r="304">
      <c r="D304" s="201"/>
      <c r="I304" s="201"/>
      <c r="R304" t="str">
        <f t="shared" si="4"/>
        <v/>
      </c>
      <c r="S304" s="201" t="str">
        <f t="shared" si="2"/>
        <v>#VALUE!</v>
      </c>
      <c r="T304" t="str">
        <f t="shared" si="3"/>
        <v>#VALUE!</v>
      </c>
      <c r="U304">
        <f t="shared" si="1"/>
        <v>0</v>
      </c>
    </row>
    <row r="305">
      <c r="D305" s="201"/>
      <c r="I305" s="201"/>
      <c r="R305" t="str">
        <f t="shared" si="4"/>
        <v/>
      </c>
      <c r="S305" s="201" t="str">
        <f t="shared" si="2"/>
        <v>#VALUE!</v>
      </c>
      <c r="T305" t="str">
        <f t="shared" si="3"/>
        <v>#VALUE!</v>
      </c>
      <c r="U305">
        <f t="shared" si="1"/>
        <v>0</v>
      </c>
    </row>
    <row r="306">
      <c r="D306" s="201"/>
      <c r="I306" s="201"/>
      <c r="R306" t="str">
        <f t="shared" si="4"/>
        <v/>
      </c>
      <c r="S306" s="201" t="str">
        <f t="shared" si="2"/>
        <v>#VALUE!</v>
      </c>
      <c r="T306" t="str">
        <f t="shared" si="3"/>
        <v>#VALUE!</v>
      </c>
      <c r="U306">
        <f t="shared" si="1"/>
        <v>0</v>
      </c>
    </row>
    <row r="307">
      <c r="D307" s="201"/>
      <c r="I307" s="201"/>
      <c r="R307" t="str">
        <f t="shared" si="4"/>
        <v/>
      </c>
      <c r="S307" s="201" t="str">
        <f t="shared" si="2"/>
        <v>#VALUE!</v>
      </c>
      <c r="T307" t="str">
        <f t="shared" si="3"/>
        <v>#VALUE!</v>
      </c>
      <c r="U307">
        <f t="shared" si="1"/>
        <v>0</v>
      </c>
    </row>
    <row r="308">
      <c r="D308" s="201"/>
      <c r="I308" s="201"/>
      <c r="R308" t="str">
        <f t="shared" si="4"/>
        <v/>
      </c>
      <c r="S308" s="201" t="str">
        <f t="shared" si="2"/>
        <v>#VALUE!</v>
      </c>
      <c r="T308" t="str">
        <f t="shared" si="3"/>
        <v>#VALUE!</v>
      </c>
      <c r="U308">
        <f t="shared" si="1"/>
        <v>0</v>
      </c>
    </row>
    <row r="309">
      <c r="D309" s="201"/>
      <c r="I309" s="201"/>
      <c r="R309" t="str">
        <f t="shared" si="4"/>
        <v/>
      </c>
      <c r="S309" s="201" t="str">
        <f t="shared" si="2"/>
        <v>#VALUE!</v>
      </c>
      <c r="T309" t="str">
        <f t="shared" si="3"/>
        <v>#VALUE!</v>
      </c>
      <c r="U309">
        <f t="shared" si="1"/>
        <v>0</v>
      </c>
    </row>
    <row r="310">
      <c r="D310" s="201"/>
      <c r="I310" s="201"/>
      <c r="R310" t="str">
        <f t="shared" si="4"/>
        <v/>
      </c>
      <c r="S310" s="201" t="str">
        <f t="shared" si="2"/>
        <v>#VALUE!</v>
      </c>
      <c r="T310" t="str">
        <f t="shared" si="3"/>
        <v>#VALUE!</v>
      </c>
      <c r="U310">
        <f t="shared" si="1"/>
        <v>0</v>
      </c>
    </row>
    <row r="311">
      <c r="D311" s="201"/>
      <c r="I311" s="201"/>
      <c r="R311" t="str">
        <f t="shared" si="4"/>
        <v/>
      </c>
      <c r="S311" s="201" t="str">
        <f t="shared" si="2"/>
        <v>#VALUE!</v>
      </c>
      <c r="T311" t="str">
        <f t="shared" si="3"/>
        <v>#VALUE!</v>
      </c>
      <c r="U311">
        <f t="shared" si="1"/>
        <v>0</v>
      </c>
    </row>
    <row r="312">
      <c r="D312" s="201"/>
      <c r="I312" s="201"/>
      <c r="R312" t="str">
        <f t="shared" si="4"/>
        <v/>
      </c>
      <c r="S312" s="201" t="str">
        <f t="shared" si="2"/>
        <v>#VALUE!</v>
      </c>
      <c r="T312" t="str">
        <f t="shared" si="3"/>
        <v>#VALUE!</v>
      </c>
      <c r="U312">
        <f t="shared" si="1"/>
        <v>0</v>
      </c>
    </row>
    <row r="313">
      <c r="D313" s="201"/>
      <c r="I313" s="201"/>
      <c r="R313" t="str">
        <f t="shared" si="4"/>
        <v/>
      </c>
      <c r="S313" s="201" t="str">
        <f t="shared" si="2"/>
        <v>#VALUE!</v>
      </c>
      <c r="T313" t="str">
        <f t="shared" si="3"/>
        <v>#VALUE!</v>
      </c>
      <c r="U313">
        <f t="shared" si="1"/>
        <v>0</v>
      </c>
    </row>
    <row r="314">
      <c r="D314" s="201"/>
      <c r="I314" s="201"/>
      <c r="R314" t="str">
        <f t="shared" si="4"/>
        <v/>
      </c>
      <c r="S314" s="201" t="str">
        <f t="shared" si="2"/>
        <v>#VALUE!</v>
      </c>
      <c r="T314" t="str">
        <f t="shared" si="3"/>
        <v>#VALUE!</v>
      </c>
      <c r="U314">
        <f t="shared" si="1"/>
        <v>0</v>
      </c>
    </row>
    <row r="315">
      <c r="D315" s="201"/>
      <c r="I315" s="201"/>
      <c r="R315" t="str">
        <f t="shared" si="4"/>
        <v/>
      </c>
      <c r="S315" s="201" t="str">
        <f t="shared" si="2"/>
        <v>#VALUE!</v>
      </c>
      <c r="T315" t="str">
        <f t="shared" si="3"/>
        <v>#VALUE!</v>
      </c>
      <c r="U315">
        <f t="shared" si="1"/>
        <v>0</v>
      </c>
    </row>
    <row r="316">
      <c r="D316" s="201"/>
      <c r="I316" s="201"/>
      <c r="R316" t="str">
        <f t="shared" si="4"/>
        <v/>
      </c>
      <c r="S316" s="201" t="str">
        <f t="shared" si="2"/>
        <v>#VALUE!</v>
      </c>
      <c r="T316" t="str">
        <f t="shared" si="3"/>
        <v>#VALUE!</v>
      </c>
      <c r="U316">
        <f t="shared" si="1"/>
        <v>0</v>
      </c>
    </row>
    <row r="317">
      <c r="D317" s="201"/>
      <c r="I317" s="201"/>
      <c r="R317" t="str">
        <f t="shared" si="4"/>
        <v/>
      </c>
      <c r="S317" s="201" t="str">
        <f t="shared" si="2"/>
        <v>#VALUE!</v>
      </c>
      <c r="T317" t="str">
        <f t="shared" si="3"/>
        <v>#VALUE!</v>
      </c>
      <c r="U317">
        <f t="shared" si="1"/>
        <v>0</v>
      </c>
    </row>
    <row r="318">
      <c r="D318" s="201"/>
      <c r="I318" s="201"/>
      <c r="R318" t="str">
        <f t="shared" si="4"/>
        <v/>
      </c>
      <c r="S318" s="201" t="str">
        <f t="shared" si="2"/>
        <v>#VALUE!</v>
      </c>
      <c r="T318" t="str">
        <f t="shared" si="3"/>
        <v>#VALUE!</v>
      </c>
      <c r="U318">
        <f t="shared" si="1"/>
        <v>0</v>
      </c>
    </row>
    <row r="319">
      <c r="D319" s="201"/>
      <c r="I319" s="201"/>
      <c r="R319" t="str">
        <f t="shared" si="4"/>
        <v/>
      </c>
      <c r="S319" s="201" t="str">
        <f t="shared" si="2"/>
        <v>#VALUE!</v>
      </c>
      <c r="T319" t="str">
        <f t="shared" si="3"/>
        <v>#VALUE!</v>
      </c>
      <c r="U319">
        <f t="shared" si="1"/>
        <v>0</v>
      </c>
    </row>
    <row r="320">
      <c r="D320" s="201"/>
      <c r="I320" s="201"/>
      <c r="R320" t="str">
        <f t="shared" si="4"/>
        <v/>
      </c>
      <c r="S320" s="201" t="str">
        <f t="shared" si="2"/>
        <v>#VALUE!</v>
      </c>
      <c r="T320" t="str">
        <f t="shared" si="3"/>
        <v>#VALUE!</v>
      </c>
      <c r="U320">
        <f t="shared" si="1"/>
        <v>0</v>
      </c>
    </row>
    <row r="321">
      <c r="D321" s="201"/>
      <c r="I321" s="201"/>
      <c r="R321" t="str">
        <f t="shared" si="4"/>
        <v/>
      </c>
      <c r="S321" s="201" t="str">
        <f t="shared" si="2"/>
        <v>#VALUE!</v>
      </c>
      <c r="T321" t="str">
        <f t="shared" si="3"/>
        <v>#VALUE!</v>
      </c>
      <c r="U321">
        <f t="shared" si="1"/>
        <v>0</v>
      </c>
    </row>
    <row r="322">
      <c r="D322" s="201"/>
      <c r="I322" s="201"/>
      <c r="R322" t="str">
        <f t="shared" si="4"/>
        <v/>
      </c>
      <c r="S322" s="201" t="str">
        <f t="shared" si="2"/>
        <v>#VALUE!</v>
      </c>
      <c r="T322" t="str">
        <f t="shared" si="3"/>
        <v>#VALUE!</v>
      </c>
      <c r="U322">
        <f t="shared" si="1"/>
        <v>0</v>
      </c>
    </row>
    <row r="323">
      <c r="D323" s="201"/>
      <c r="I323" s="201"/>
      <c r="R323" t="str">
        <f t="shared" si="4"/>
        <v/>
      </c>
      <c r="S323" s="201" t="str">
        <f t="shared" si="2"/>
        <v>#VALUE!</v>
      </c>
      <c r="T323" t="str">
        <f t="shared" si="3"/>
        <v>#VALUE!</v>
      </c>
      <c r="U323">
        <f t="shared" si="1"/>
        <v>0</v>
      </c>
    </row>
    <row r="324">
      <c r="D324" s="201"/>
      <c r="I324" s="201"/>
      <c r="R324" t="str">
        <f t="shared" si="4"/>
        <v/>
      </c>
      <c r="S324" s="201" t="str">
        <f t="shared" si="2"/>
        <v>#VALUE!</v>
      </c>
      <c r="T324" t="str">
        <f t="shared" si="3"/>
        <v>#VALUE!</v>
      </c>
      <c r="U324">
        <f t="shared" si="1"/>
        <v>0</v>
      </c>
    </row>
    <row r="325">
      <c r="D325" s="201"/>
      <c r="I325" s="201"/>
      <c r="R325" t="str">
        <f t="shared" si="4"/>
        <v/>
      </c>
      <c r="S325" s="201" t="str">
        <f t="shared" si="2"/>
        <v>#VALUE!</v>
      </c>
      <c r="T325" t="str">
        <f t="shared" si="3"/>
        <v>#VALUE!</v>
      </c>
      <c r="U325">
        <f t="shared" si="1"/>
        <v>0</v>
      </c>
    </row>
    <row r="326">
      <c r="D326" s="201"/>
      <c r="I326" s="201"/>
      <c r="R326" t="str">
        <f t="shared" si="4"/>
        <v/>
      </c>
      <c r="S326" s="201" t="str">
        <f t="shared" si="2"/>
        <v>#VALUE!</v>
      </c>
      <c r="T326" t="str">
        <f t="shared" si="3"/>
        <v>#VALUE!</v>
      </c>
      <c r="U326">
        <f t="shared" si="1"/>
        <v>0</v>
      </c>
    </row>
    <row r="327">
      <c r="D327" s="201"/>
      <c r="I327" s="201"/>
      <c r="R327" t="str">
        <f t="shared" si="4"/>
        <v/>
      </c>
      <c r="S327" s="201" t="str">
        <f t="shared" si="2"/>
        <v>#VALUE!</v>
      </c>
      <c r="T327" t="str">
        <f t="shared" si="3"/>
        <v>#VALUE!</v>
      </c>
      <c r="U327">
        <f t="shared" si="1"/>
        <v>0</v>
      </c>
    </row>
    <row r="328">
      <c r="D328" s="201"/>
      <c r="I328" s="201"/>
      <c r="R328" t="str">
        <f t="shared" si="4"/>
        <v/>
      </c>
      <c r="S328" s="201" t="str">
        <f t="shared" si="2"/>
        <v>#VALUE!</v>
      </c>
      <c r="T328" t="str">
        <f t="shared" si="3"/>
        <v>#VALUE!</v>
      </c>
      <c r="U328">
        <f t="shared" si="1"/>
        <v>0</v>
      </c>
    </row>
    <row r="329">
      <c r="D329" s="201"/>
      <c r="I329" s="201"/>
      <c r="R329" t="str">
        <f t="shared" si="4"/>
        <v/>
      </c>
      <c r="S329" s="201" t="str">
        <f t="shared" si="2"/>
        <v>#VALUE!</v>
      </c>
      <c r="T329" t="str">
        <f t="shared" si="3"/>
        <v>#VALUE!</v>
      </c>
      <c r="U329">
        <f t="shared" si="1"/>
        <v>0</v>
      </c>
    </row>
    <row r="330">
      <c r="D330" s="201"/>
      <c r="I330" s="201"/>
      <c r="R330" t="str">
        <f t="shared" si="4"/>
        <v/>
      </c>
      <c r="S330" s="201" t="str">
        <f t="shared" si="2"/>
        <v>#VALUE!</v>
      </c>
      <c r="T330" t="str">
        <f t="shared" si="3"/>
        <v>#VALUE!</v>
      </c>
      <c r="U330">
        <f t="shared" si="1"/>
        <v>0</v>
      </c>
    </row>
    <row r="331">
      <c r="D331" s="201"/>
      <c r="I331" s="201"/>
      <c r="R331" t="str">
        <f t="shared" si="4"/>
        <v/>
      </c>
      <c r="S331" s="201" t="str">
        <f t="shared" si="2"/>
        <v>#VALUE!</v>
      </c>
      <c r="T331" t="str">
        <f t="shared" si="3"/>
        <v>#VALUE!</v>
      </c>
      <c r="U331">
        <f t="shared" si="1"/>
        <v>0</v>
      </c>
    </row>
    <row r="332">
      <c r="D332" s="201"/>
      <c r="I332" s="201"/>
      <c r="R332" t="str">
        <f t="shared" si="4"/>
        <v/>
      </c>
      <c r="S332" s="201" t="str">
        <f t="shared" si="2"/>
        <v>#VALUE!</v>
      </c>
      <c r="T332" t="str">
        <f t="shared" si="3"/>
        <v>#VALUE!</v>
      </c>
      <c r="U332">
        <f t="shared" si="1"/>
        <v>0</v>
      </c>
    </row>
    <row r="333">
      <c r="D333" s="201"/>
      <c r="I333" s="201"/>
      <c r="R333" t="str">
        <f t="shared" si="4"/>
        <v/>
      </c>
      <c r="S333" s="201" t="str">
        <f t="shared" si="2"/>
        <v>#VALUE!</v>
      </c>
      <c r="T333" t="str">
        <f t="shared" si="3"/>
        <v>#VALUE!</v>
      </c>
      <c r="U333">
        <f t="shared" si="1"/>
        <v>0</v>
      </c>
    </row>
    <row r="334">
      <c r="D334" s="201"/>
      <c r="I334" s="201"/>
      <c r="R334" t="str">
        <f t="shared" si="4"/>
        <v/>
      </c>
      <c r="S334" s="201" t="str">
        <f t="shared" si="2"/>
        <v>#VALUE!</v>
      </c>
      <c r="T334" t="str">
        <f t="shared" si="3"/>
        <v>#VALUE!</v>
      </c>
      <c r="U334">
        <f t="shared" si="1"/>
        <v>0</v>
      </c>
    </row>
    <row r="335">
      <c r="D335" s="201"/>
      <c r="I335" s="201"/>
      <c r="R335" t="str">
        <f t="shared" si="4"/>
        <v/>
      </c>
      <c r="S335" s="201" t="str">
        <f t="shared" si="2"/>
        <v>#VALUE!</v>
      </c>
      <c r="T335" t="str">
        <f t="shared" si="3"/>
        <v>#VALUE!</v>
      </c>
      <c r="U335">
        <f t="shared" si="1"/>
        <v>0</v>
      </c>
    </row>
    <row r="336">
      <c r="D336" s="201"/>
      <c r="I336" s="201"/>
      <c r="R336" t="str">
        <f t="shared" si="4"/>
        <v/>
      </c>
      <c r="S336" s="201" t="str">
        <f t="shared" si="2"/>
        <v>#VALUE!</v>
      </c>
      <c r="T336" t="str">
        <f t="shared" si="3"/>
        <v>#VALUE!</v>
      </c>
      <c r="U336">
        <f t="shared" si="1"/>
        <v>0</v>
      </c>
    </row>
    <row r="337">
      <c r="D337" s="201"/>
      <c r="I337" s="201"/>
      <c r="R337" t="str">
        <f t="shared" si="4"/>
        <v/>
      </c>
      <c r="S337" s="201" t="str">
        <f t="shared" si="2"/>
        <v>#VALUE!</v>
      </c>
      <c r="T337" t="str">
        <f t="shared" si="3"/>
        <v>#VALUE!</v>
      </c>
      <c r="U337">
        <f t="shared" si="1"/>
        <v>0</v>
      </c>
    </row>
    <row r="338">
      <c r="D338" s="201"/>
      <c r="I338" s="201"/>
      <c r="R338" t="str">
        <f t="shared" si="4"/>
        <v/>
      </c>
      <c r="S338" s="201" t="str">
        <f t="shared" si="2"/>
        <v>#VALUE!</v>
      </c>
      <c r="T338" t="str">
        <f t="shared" si="3"/>
        <v>#VALUE!</v>
      </c>
      <c r="U338">
        <f t="shared" si="1"/>
        <v>0</v>
      </c>
    </row>
    <row r="339">
      <c r="D339" s="201"/>
      <c r="I339" s="201"/>
      <c r="R339" t="str">
        <f t="shared" si="4"/>
        <v/>
      </c>
      <c r="S339" s="201" t="str">
        <f t="shared" si="2"/>
        <v>#VALUE!</v>
      </c>
      <c r="T339" t="str">
        <f t="shared" si="3"/>
        <v>#VALUE!</v>
      </c>
      <c r="U339">
        <f t="shared" si="1"/>
        <v>0</v>
      </c>
    </row>
    <row r="340">
      <c r="D340" s="201"/>
      <c r="I340" s="201"/>
      <c r="R340" t="str">
        <f t="shared" si="4"/>
        <v/>
      </c>
      <c r="S340" s="201" t="str">
        <f t="shared" si="2"/>
        <v>#VALUE!</v>
      </c>
      <c r="T340" t="str">
        <f t="shared" si="3"/>
        <v>#VALUE!</v>
      </c>
      <c r="U340">
        <f t="shared" si="1"/>
        <v>0</v>
      </c>
    </row>
    <row r="341">
      <c r="D341" s="201"/>
      <c r="I341" s="201"/>
      <c r="R341" t="str">
        <f t="shared" si="4"/>
        <v/>
      </c>
      <c r="S341" s="201" t="str">
        <f t="shared" si="2"/>
        <v>#VALUE!</v>
      </c>
      <c r="T341" t="str">
        <f t="shared" si="3"/>
        <v>#VALUE!</v>
      </c>
      <c r="U341">
        <f t="shared" si="1"/>
        <v>0</v>
      </c>
    </row>
    <row r="342">
      <c r="D342" s="201"/>
      <c r="I342" s="201"/>
      <c r="R342" t="str">
        <f t="shared" si="4"/>
        <v/>
      </c>
      <c r="S342" s="201" t="str">
        <f t="shared" si="2"/>
        <v>#VALUE!</v>
      </c>
      <c r="T342" t="str">
        <f t="shared" si="3"/>
        <v>#VALUE!</v>
      </c>
      <c r="U342">
        <f t="shared" si="1"/>
        <v>0</v>
      </c>
    </row>
    <row r="343">
      <c r="D343" s="201"/>
      <c r="I343" s="201"/>
      <c r="R343" t="str">
        <f t="shared" si="4"/>
        <v/>
      </c>
      <c r="S343" s="201" t="str">
        <f t="shared" si="2"/>
        <v>#VALUE!</v>
      </c>
      <c r="T343" t="str">
        <f t="shared" si="3"/>
        <v>#VALUE!</v>
      </c>
      <c r="U343">
        <f t="shared" si="1"/>
        <v>0</v>
      </c>
    </row>
    <row r="344">
      <c r="D344" s="201"/>
      <c r="I344" s="201"/>
      <c r="R344" t="str">
        <f t="shared" si="4"/>
        <v/>
      </c>
      <c r="S344" s="201" t="str">
        <f t="shared" si="2"/>
        <v>#VALUE!</v>
      </c>
      <c r="T344" t="str">
        <f t="shared" si="3"/>
        <v>#VALUE!</v>
      </c>
      <c r="U344">
        <f t="shared" si="1"/>
        <v>0</v>
      </c>
    </row>
    <row r="345">
      <c r="D345" s="201"/>
      <c r="I345" s="201"/>
      <c r="R345" t="str">
        <f t="shared" si="4"/>
        <v/>
      </c>
      <c r="S345" s="201" t="str">
        <f t="shared" si="2"/>
        <v>#VALUE!</v>
      </c>
      <c r="T345" t="str">
        <f t="shared" si="3"/>
        <v>#VALUE!</v>
      </c>
      <c r="U345">
        <f t="shared" si="1"/>
        <v>0</v>
      </c>
    </row>
    <row r="346">
      <c r="D346" s="201"/>
      <c r="I346" s="201"/>
      <c r="R346" t="str">
        <f t="shared" si="4"/>
        <v/>
      </c>
      <c r="S346" s="201" t="str">
        <f t="shared" si="2"/>
        <v>#VALUE!</v>
      </c>
      <c r="T346" t="str">
        <f t="shared" si="3"/>
        <v>#VALUE!</v>
      </c>
      <c r="U346">
        <f t="shared" si="1"/>
        <v>0</v>
      </c>
    </row>
    <row r="347">
      <c r="D347" s="201"/>
      <c r="I347" s="201"/>
      <c r="R347" t="str">
        <f t="shared" si="4"/>
        <v/>
      </c>
      <c r="S347" s="201" t="str">
        <f t="shared" si="2"/>
        <v>#VALUE!</v>
      </c>
      <c r="T347" t="str">
        <f t="shared" si="3"/>
        <v>#VALUE!</v>
      </c>
      <c r="U347">
        <f t="shared" si="1"/>
        <v>0</v>
      </c>
    </row>
    <row r="348">
      <c r="D348" s="201"/>
      <c r="I348" s="201"/>
      <c r="R348" t="str">
        <f t="shared" si="4"/>
        <v/>
      </c>
      <c r="S348" s="201" t="str">
        <f t="shared" si="2"/>
        <v>#VALUE!</v>
      </c>
      <c r="T348" t="str">
        <f t="shared" si="3"/>
        <v>#VALUE!</v>
      </c>
      <c r="U348">
        <f t="shared" si="1"/>
        <v>0</v>
      </c>
    </row>
    <row r="349">
      <c r="D349" s="201"/>
      <c r="I349" s="201"/>
      <c r="R349" t="str">
        <f t="shared" si="4"/>
        <v/>
      </c>
      <c r="S349" s="201" t="str">
        <f t="shared" si="2"/>
        <v>#VALUE!</v>
      </c>
      <c r="T349" t="str">
        <f t="shared" si="3"/>
        <v>#VALUE!</v>
      </c>
      <c r="U349">
        <f t="shared" si="1"/>
        <v>0</v>
      </c>
    </row>
    <row r="350">
      <c r="D350" s="201"/>
      <c r="I350" s="201"/>
      <c r="R350" t="str">
        <f t="shared" si="4"/>
        <v/>
      </c>
      <c r="S350" s="201" t="str">
        <f t="shared" si="2"/>
        <v>#VALUE!</v>
      </c>
      <c r="T350" t="str">
        <f t="shared" si="3"/>
        <v>#VALUE!</v>
      </c>
      <c r="U350">
        <f t="shared" si="1"/>
        <v>0</v>
      </c>
    </row>
    <row r="351">
      <c r="D351" s="201"/>
      <c r="I351" s="201"/>
      <c r="R351" t="str">
        <f t="shared" si="4"/>
        <v/>
      </c>
      <c r="S351" s="201" t="str">
        <f t="shared" si="2"/>
        <v>#VALUE!</v>
      </c>
      <c r="T351" t="str">
        <f t="shared" si="3"/>
        <v>#VALUE!</v>
      </c>
      <c r="U351">
        <f t="shared" si="1"/>
        <v>0</v>
      </c>
    </row>
    <row r="352">
      <c r="D352" s="201"/>
      <c r="I352" s="201"/>
      <c r="R352" t="str">
        <f t="shared" si="4"/>
        <v/>
      </c>
      <c r="S352" s="201" t="str">
        <f t="shared" si="2"/>
        <v>#VALUE!</v>
      </c>
      <c r="T352" t="str">
        <f t="shared" si="3"/>
        <v>#VALUE!</v>
      </c>
      <c r="U352">
        <f t="shared" si="1"/>
        <v>0</v>
      </c>
    </row>
    <row r="353">
      <c r="D353" s="201"/>
      <c r="I353" s="201"/>
      <c r="R353" t="str">
        <f t="shared" si="4"/>
        <v/>
      </c>
      <c r="S353" s="201" t="str">
        <f t="shared" si="2"/>
        <v>#VALUE!</v>
      </c>
      <c r="T353" t="str">
        <f t="shared" si="3"/>
        <v>#VALUE!</v>
      </c>
      <c r="U353">
        <f t="shared" si="1"/>
        <v>0</v>
      </c>
    </row>
    <row r="354">
      <c r="D354" s="201"/>
      <c r="I354" s="201"/>
      <c r="R354" t="str">
        <f t="shared" si="4"/>
        <v/>
      </c>
      <c r="S354" s="201" t="str">
        <f t="shared" si="2"/>
        <v>#VALUE!</v>
      </c>
      <c r="T354" t="str">
        <f t="shared" si="3"/>
        <v>#VALUE!</v>
      </c>
      <c r="U354">
        <f t="shared" si="1"/>
        <v>0</v>
      </c>
    </row>
    <row r="355">
      <c r="D355" s="201"/>
      <c r="I355" s="201"/>
      <c r="R355" t="str">
        <f t="shared" si="4"/>
        <v/>
      </c>
      <c r="S355" s="201" t="str">
        <f t="shared" si="2"/>
        <v>#VALUE!</v>
      </c>
      <c r="T355" t="str">
        <f t="shared" si="3"/>
        <v>#VALUE!</v>
      </c>
      <c r="U355">
        <f t="shared" si="1"/>
        <v>0</v>
      </c>
    </row>
    <row r="356">
      <c r="D356" s="201"/>
      <c r="I356" s="201"/>
      <c r="R356" t="str">
        <f t="shared" si="4"/>
        <v/>
      </c>
      <c r="S356" s="201" t="str">
        <f t="shared" si="2"/>
        <v>#VALUE!</v>
      </c>
      <c r="T356" t="str">
        <f t="shared" si="3"/>
        <v>#VALUE!</v>
      </c>
      <c r="U356">
        <f t="shared" si="1"/>
        <v>0</v>
      </c>
    </row>
    <row r="357">
      <c r="D357" s="201"/>
      <c r="I357" s="201"/>
      <c r="R357" t="str">
        <f t="shared" si="4"/>
        <v/>
      </c>
      <c r="S357" s="201" t="str">
        <f t="shared" si="2"/>
        <v>#VALUE!</v>
      </c>
      <c r="T357" t="str">
        <f t="shared" si="3"/>
        <v>#VALUE!</v>
      </c>
      <c r="U357">
        <f t="shared" si="1"/>
        <v>0</v>
      </c>
    </row>
    <row r="358">
      <c r="D358" s="201"/>
      <c r="I358" s="201"/>
      <c r="R358" t="str">
        <f t="shared" si="4"/>
        <v/>
      </c>
      <c r="S358" s="201" t="str">
        <f t="shared" si="2"/>
        <v>#VALUE!</v>
      </c>
      <c r="T358" t="str">
        <f t="shared" si="3"/>
        <v>#VALUE!</v>
      </c>
      <c r="U358">
        <f t="shared" si="1"/>
        <v>0</v>
      </c>
    </row>
    <row r="359">
      <c r="D359" s="201"/>
      <c r="I359" s="201"/>
      <c r="R359" t="str">
        <f t="shared" si="4"/>
        <v/>
      </c>
      <c r="S359" s="201" t="str">
        <f t="shared" si="2"/>
        <v>#VALUE!</v>
      </c>
      <c r="T359" t="str">
        <f t="shared" si="3"/>
        <v>#VALUE!</v>
      </c>
      <c r="U359">
        <f t="shared" si="1"/>
        <v>0</v>
      </c>
    </row>
    <row r="360">
      <c r="D360" s="201"/>
      <c r="I360" s="201"/>
      <c r="R360" t="str">
        <f t="shared" si="4"/>
        <v/>
      </c>
      <c r="S360" s="201" t="str">
        <f t="shared" si="2"/>
        <v>#VALUE!</v>
      </c>
      <c r="T360" t="str">
        <f t="shared" si="3"/>
        <v>#VALUE!</v>
      </c>
      <c r="U360">
        <f t="shared" si="1"/>
        <v>0</v>
      </c>
    </row>
    <row r="361">
      <c r="D361" s="201"/>
      <c r="I361" s="201"/>
      <c r="R361" t="str">
        <f t="shared" si="4"/>
        <v/>
      </c>
      <c r="S361" s="201" t="str">
        <f t="shared" si="2"/>
        <v>#VALUE!</v>
      </c>
      <c r="T361" t="str">
        <f t="shared" si="3"/>
        <v>#VALUE!</v>
      </c>
      <c r="U361">
        <f t="shared" si="1"/>
        <v>0</v>
      </c>
    </row>
    <row r="362">
      <c r="D362" s="201"/>
      <c r="I362" s="201"/>
      <c r="R362" t="str">
        <f t="shared" si="4"/>
        <v/>
      </c>
      <c r="S362" s="201" t="str">
        <f t="shared" si="2"/>
        <v>#VALUE!</v>
      </c>
      <c r="T362" t="str">
        <f t="shared" si="3"/>
        <v>#VALUE!</v>
      </c>
      <c r="U362">
        <f t="shared" si="1"/>
        <v>0</v>
      </c>
    </row>
    <row r="363">
      <c r="D363" s="201"/>
      <c r="I363" s="201"/>
      <c r="R363" t="str">
        <f t="shared" si="4"/>
        <v/>
      </c>
      <c r="S363" s="201" t="str">
        <f t="shared" si="2"/>
        <v>#VALUE!</v>
      </c>
      <c r="T363" t="str">
        <f t="shared" si="3"/>
        <v>#VALUE!</v>
      </c>
      <c r="U363">
        <f t="shared" si="1"/>
        <v>0</v>
      </c>
    </row>
    <row r="364">
      <c r="D364" s="201"/>
      <c r="I364" s="201"/>
      <c r="R364" t="str">
        <f t="shared" si="4"/>
        <v/>
      </c>
      <c r="S364" s="201" t="str">
        <f t="shared" si="2"/>
        <v>#VALUE!</v>
      </c>
      <c r="T364" t="str">
        <f t="shared" si="3"/>
        <v>#VALUE!</v>
      </c>
      <c r="U364">
        <f t="shared" si="1"/>
        <v>0</v>
      </c>
    </row>
    <row r="365">
      <c r="D365" s="201"/>
      <c r="I365" s="201"/>
      <c r="R365" t="str">
        <f t="shared" si="4"/>
        <v/>
      </c>
      <c r="S365" s="201" t="str">
        <f t="shared" si="2"/>
        <v>#VALUE!</v>
      </c>
      <c r="T365" t="str">
        <f t="shared" si="3"/>
        <v>#VALUE!</v>
      </c>
      <c r="U365">
        <f t="shared" si="1"/>
        <v>0</v>
      </c>
    </row>
    <row r="366">
      <c r="D366" s="201"/>
      <c r="I366" s="201"/>
      <c r="R366" t="str">
        <f t="shared" si="4"/>
        <v/>
      </c>
      <c r="S366" s="201" t="str">
        <f t="shared" si="2"/>
        <v>#VALUE!</v>
      </c>
      <c r="T366" t="str">
        <f t="shared" si="3"/>
        <v>#VALUE!</v>
      </c>
      <c r="U366">
        <f t="shared" si="1"/>
        <v>0</v>
      </c>
    </row>
    <row r="367">
      <c r="D367" s="201"/>
      <c r="I367" s="201"/>
      <c r="R367" t="str">
        <f t="shared" si="4"/>
        <v/>
      </c>
      <c r="S367" s="201" t="str">
        <f t="shared" si="2"/>
        <v>#VALUE!</v>
      </c>
      <c r="T367" t="str">
        <f t="shared" si="3"/>
        <v>#VALUE!</v>
      </c>
      <c r="U367">
        <f t="shared" si="1"/>
        <v>0</v>
      </c>
    </row>
    <row r="368">
      <c r="D368" s="201"/>
      <c r="I368" s="201"/>
      <c r="R368" t="str">
        <f t="shared" si="4"/>
        <v/>
      </c>
      <c r="S368" s="201" t="str">
        <f t="shared" si="2"/>
        <v>#VALUE!</v>
      </c>
      <c r="T368" t="str">
        <f t="shared" si="3"/>
        <v>#VALUE!</v>
      </c>
      <c r="U368">
        <f t="shared" si="1"/>
        <v>0</v>
      </c>
    </row>
    <row r="369">
      <c r="D369" s="201"/>
      <c r="I369" s="201"/>
      <c r="R369" t="str">
        <f t="shared" si="4"/>
        <v/>
      </c>
      <c r="S369" s="201" t="str">
        <f t="shared" si="2"/>
        <v>#VALUE!</v>
      </c>
      <c r="T369" t="str">
        <f t="shared" si="3"/>
        <v>#VALUE!</v>
      </c>
      <c r="U369">
        <f t="shared" si="1"/>
        <v>0</v>
      </c>
    </row>
    <row r="370">
      <c r="D370" s="201"/>
      <c r="I370" s="201"/>
      <c r="R370" t="str">
        <f t="shared" si="4"/>
        <v/>
      </c>
      <c r="S370" s="201" t="str">
        <f t="shared" si="2"/>
        <v>#VALUE!</v>
      </c>
      <c r="T370" t="str">
        <f t="shared" si="3"/>
        <v>#VALUE!</v>
      </c>
      <c r="U370">
        <f t="shared" si="1"/>
        <v>0</v>
      </c>
    </row>
    <row r="371">
      <c r="D371" s="201"/>
      <c r="I371" s="201"/>
      <c r="R371" t="str">
        <f t="shared" si="4"/>
        <v/>
      </c>
      <c r="S371" s="201" t="str">
        <f t="shared" si="2"/>
        <v>#VALUE!</v>
      </c>
      <c r="T371" t="str">
        <f t="shared" si="3"/>
        <v>#VALUE!</v>
      </c>
      <c r="U371">
        <f t="shared" si="1"/>
        <v>0</v>
      </c>
    </row>
    <row r="372">
      <c r="D372" s="201"/>
      <c r="I372" s="201"/>
      <c r="R372" t="str">
        <f t="shared" si="4"/>
        <v/>
      </c>
      <c r="S372" s="201" t="str">
        <f t="shared" si="2"/>
        <v>#VALUE!</v>
      </c>
      <c r="T372" t="str">
        <f t="shared" si="3"/>
        <v>#VALUE!</v>
      </c>
      <c r="U372">
        <f t="shared" si="1"/>
        <v>0</v>
      </c>
    </row>
    <row r="373">
      <c r="D373" s="201"/>
      <c r="I373" s="201"/>
      <c r="R373" t="str">
        <f t="shared" si="4"/>
        <v/>
      </c>
      <c r="S373" s="201" t="str">
        <f t="shared" si="2"/>
        <v>#VALUE!</v>
      </c>
      <c r="T373" t="str">
        <f t="shared" si="3"/>
        <v>#VALUE!</v>
      </c>
      <c r="U373">
        <f t="shared" si="1"/>
        <v>0</v>
      </c>
    </row>
    <row r="374">
      <c r="D374" s="201"/>
      <c r="I374" s="201"/>
      <c r="R374" t="str">
        <f t="shared" si="4"/>
        <v/>
      </c>
      <c r="S374" s="201" t="str">
        <f t="shared" si="2"/>
        <v>#VALUE!</v>
      </c>
      <c r="T374" t="str">
        <f t="shared" si="3"/>
        <v>#VALUE!</v>
      </c>
      <c r="U374">
        <f t="shared" si="1"/>
        <v>0</v>
      </c>
    </row>
    <row r="375">
      <c r="D375" s="201"/>
      <c r="I375" s="201"/>
      <c r="R375" t="str">
        <f t="shared" si="4"/>
        <v/>
      </c>
      <c r="S375" s="201" t="str">
        <f t="shared" si="2"/>
        <v>#VALUE!</v>
      </c>
      <c r="T375" t="str">
        <f t="shared" si="3"/>
        <v>#VALUE!</v>
      </c>
      <c r="U375">
        <f t="shared" si="1"/>
        <v>0</v>
      </c>
    </row>
    <row r="376">
      <c r="D376" s="201"/>
      <c r="I376" s="201"/>
      <c r="R376" t="str">
        <f t="shared" si="4"/>
        <v/>
      </c>
      <c r="S376" s="201" t="str">
        <f t="shared" si="2"/>
        <v>#VALUE!</v>
      </c>
      <c r="T376" t="str">
        <f t="shared" si="3"/>
        <v>#VALUE!</v>
      </c>
      <c r="U376">
        <f t="shared" si="1"/>
        <v>0</v>
      </c>
    </row>
    <row r="377">
      <c r="D377" s="201"/>
      <c r="I377" s="201"/>
      <c r="R377" t="str">
        <f t="shared" si="4"/>
        <v/>
      </c>
      <c r="S377" s="201" t="str">
        <f t="shared" si="2"/>
        <v>#VALUE!</v>
      </c>
      <c r="T377" t="str">
        <f t="shared" si="3"/>
        <v>#VALUE!</v>
      </c>
      <c r="U377">
        <f t="shared" si="1"/>
        <v>0</v>
      </c>
    </row>
    <row r="378">
      <c r="D378" s="201"/>
      <c r="I378" s="201"/>
      <c r="R378" t="str">
        <f t="shared" si="4"/>
        <v/>
      </c>
      <c r="S378" s="201" t="str">
        <f t="shared" si="2"/>
        <v>#VALUE!</v>
      </c>
      <c r="T378" t="str">
        <f t="shared" si="3"/>
        <v>#VALUE!</v>
      </c>
      <c r="U378">
        <f t="shared" si="1"/>
        <v>0</v>
      </c>
    </row>
    <row r="379">
      <c r="D379" s="201"/>
      <c r="I379" s="201"/>
      <c r="R379" t="str">
        <f t="shared" si="4"/>
        <v/>
      </c>
      <c r="S379" s="201" t="str">
        <f t="shared" si="2"/>
        <v>#VALUE!</v>
      </c>
      <c r="T379" t="str">
        <f t="shared" si="3"/>
        <v>#VALUE!</v>
      </c>
      <c r="U379">
        <f t="shared" si="1"/>
        <v>0</v>
      </c>
    </row>
    <row r="380">
      <c r="D380" s="201"/>
      <c r="I380" s="201"/>
      <c r="R380" t="str">
        <f t="shared" si="4"/>
        <v/>
      </c>
      <c r="S380" s="201" t="str">
        <f t="shared" si="2"/>
        <v>#VALUE!</v>
      </c>
      <c r="T380" t="str">
        <f t="shared" si="3"/>
        <v>#VALUE!</v>
      </c>
      <c r="U380">
        <f t="shared" si="1"/>
        <v>0</v>
      </c>
    </row>
    <row r="381">
      <c r="D381" s="201"/>
      <c r="I381" s="201"/>
      <c r="R381" t="str">
        <f t="shared" si="4"/>
        <v/>
      </c>
      <c r="S381" s="201" t="str">
        <f t="shared" si="2"/>
        <v>#VALUE!</v>
      </c>
      <c r="T381" t="str">
        <f t="shared" si="3"/>
        <v>#VALUE!</v>
      </c>
      <c r="U381">
        <f t="shared" si="1"/>
        <v>0</v>
      </c>
    </row>
    <row r="382">
      <c r="D382" s="201"/>
      <c r="I382" s="201"/>
      <c r="R382" t="str">
        <f t="shared" si="4"/>
        <v/>
      </c>
      <c r="S382" s="201" t="str">
        <f t="shared" si="2"/>
        <v>#VALUE!</v>
      </c>
      <c r="T382" t="str">
        <f t="shared" si="3"/>
        <v>#VALUE!</v>
      </c>
      <c r="U382">
        <f t="shared" si="1"/>
        <v>0</v>
      </c>
    </row>
    <row r="383">
      <c r="D383" s="201"/>
      <c r="I383" s="201"/>
      <c r="R383" t="str">
        <f t="shared" si="4"/>
        <v/>
      </c>
      <c r="S383" s="201" t="str">
        <f t="shared" si="2"/>
        <v>#VALUE!</v>
      </c>
      <c r="T383" t="str">
        <f t="shared" si="3"/>
        <v>#VALUE!</v>
      </c>
      <c r="U383">
        <f t="shared" si="1"/>
        <v>0</v>
      </c>
    </row>
    <row r="384">
      <c r="D384" s="201"/>
      <c r="I384" s="201"/>
      <c r="R384" t="str">
        <f t="shared" si="4"/>
        <v/>
      </c>
      <c r="S384" s="201" t="str">
        <f t="shared" si="2"/>
        <v>#VALUE!</v>
      </c>
      <c r="T384" t="str">
        <f t="shared" si="3"/>
        <v>#VALUE!</v>
      </c>
      <c r="U384">
        <f t="shared" si="1"/>
        <v>0</v>
      </c>
    </row>
    <row r="385">
      <c r="D385" s="201"/>
      <c r="I385" s="201"/>
      <c r="R385" t="str">
        <f t="shared" si="4"/>
        <v/>
      </c>
      <c r="S385" s="201" t="str">
        <f t="shared" si="2"/>
        <v>#VALUE!</v>
      </c>
      <c r="T385" t="str">
        <f t="shared" si="3"/>
        <v>#VALUE!</v>
      </c>
      <c r="U385">
        <f t="shared" si="1"/>
        <v>0</v>
      </c>
    </row>
    <row r="386">
      <c r="D386" s="201"/>
      <c r="I386" s="201"/>
      <c r="R386" t="str">
        <f t="shared" si="4"/>
        <v/>
      </c>
      <c r="S386" s="201" t="str">
        <f t="shared" si="2"/>
        <v>#VALUE!</v>
      </c>
      <c r="T386" t="str">
        <f t="shared" si="3"/>
        <v>#VALUE!</v>
      </c>
      <c r="U386">
        <f t="shared" si="1"/>
        <v>0</v>
      </c>
    </row>
    <row r="387">
      <c r="D387" s="201"/>
      <c r="I387" s="201"/>
      <c r="R387" t="str">
        <f t="shared" si="4"/>
        <v/>
      </c>
      <c r="S387" s="201" t="str">
        <f t="shared" si="2"/>
        <v>#VALUE!</v>
      </c>
      <c r="T387" t="str">
        <f t="shared" si="3"/>
        <v>#VALUE!</v>
      </c>
      <c r="U387">
        <f t="shared" si="1"/>
        <v>0</v>
      </c>
    </row>
    <row r="388">
      <c r="D388" s="201"/>
      <c r="I388" s="201"/>
      <c r="R388" t="str">
        <f t="shared" si="4"/>
        <v/>
      </c>
      <c r="S388" s="201" t="str">
        <f t="shared" si="2"/>
        <v>#VALUE!</v>
      </c>
      <c r="T388" t="str">
        <f t="shared" si="3"/>
        <v>#VALUE!</v>
      </c>
      <c r="U388">
        <f t="shared" si="1"/>
        <v>0</v>
      </c>
    </row>
    <row r="389">
      <c r="D389" s="201"/>
      <c r="I389" s="201"/>
      <c r="R389" t="str">
        <f t="shared" si="4"/>
        <v/>
      </c>
      <c r="S389" s="201" t="str">
        <f t="shared" si="2"/>
        <v>#VALUE!</v>
      </c>
      <c r="T389" t="str">
        <f t="shared" si="3"/>
        <v>#VALUE!</v>
      </c>
      <c r="U389">
        <f t="shared" si="1"/>
        <v>0</v>
      </c>
    </row>
    <row r="390">
      <c r="D390" s="201"/>
      <c r="I390" s="201"/>
      <c r="R390" t="str">
        <f t="shared" si="4"/>
        <v/>
      </c>
      <c r="S390" s="201" t="str">
        <f t="shared" si="2"/>
        <v>#VALUE!</v>
      </c>
      <c r="T390" t="str">
        <f t="shared" si="3"/>
        <v>#VALUE!</v>
      </c>
      <c r="U390">
        <f t="shared" si="1"/>
        <v>0</v>
      </c>
    </row>
    <row r="391">
      <c r="D391" s="201"/>
      <c r="I391" s="201"/>
      <c r="R391" t="str">
        <f t="shared" si="4"/>
        <v/>
      </c>
      <c r="S391" s="201" t="str">
        <f t="shared" si="2"/>
        <v>#VALUE!</v>
      </c>
      <c r="T391" t="str">
        <f t="shared" si="3"/>
        <v>#VALUE!</v>
      </c>
      <c r="U391">
        <f t="shared" si="1"/>
        <v>0</v>
      </c>
    </row>
    <row r="392">
      <c r="D392" s="201"/>
      <c r="I392" s="201"/>
      <c r="R392" t="str">
        <f t="shared" si="4"/>
        <v/>
      </c>
      <c r="S392" s="201" t="str">
        <f t="shared" si="2"/>
        <v>#VALUE!</v>
      </c>
      <c r="T392" t="str">
        <f t="shared" si="3"/>
        <v>#VALUE!</v>
      </c>
      <c r="U392">
        <f t="shared" si="1"/>
        <v>0</v>
      </c>
    </row>
    <row r="393">
      <c r="D393" s="201"/>
      <c r="I393" s="201"/>
      <c r="R393" t="str">
        <f t="shared" si="4"/>
        <v/>
      </c>
      <c r="S393" s="201" t="str">
        <f t="shared" si="2"/>
        <v>#VALUE!</v>
      </c>
      <c r="T393" t="str">
        <f t="shared" si="3"/>
        <v>#VALUE!</v>
      </c>
      <c r="U393">
        <f t="shared" si="1"/>
        <v>0</v>
      </c>
    </row>
    <row r="394">
      <c r="D394" s="201"/>
      <c r="I394" s="201"/>
      <c r="R394" t="str">
        <f t="shared" si="4"/>
        <v/>
      </c>
      <c r="S394" s="201" t="str">
        <f t="shared" si="2"/>
        <v>#VALUE!</v>
      </c>
      <c r="T394" t="str">
        <f t="shared" si="3"/>
        <v>#VALUE!</v>
      </c>
      <c r="U394">
        <f t="shared" si="1"/>
        <v>0</v>
      </c>
    </row>
    <row r="395">
      <c r="D395" s="201"/>
      <c r="I395" s="201"/>
      <c r="R395" t="str">
        <f t="shared" si="4"/>
        <v/>
      </c>
      <c r="S395" s="201" t="str">
        <f t="shared" si="2"/>
        <v>#VALUE!</v>
      </c>
      <c r="T395" t="str">
        <f t="shared" si="3"/>
        <v>#VALUE!</v>
      </c>
      <c r="U395">
        <f t="shared" si="1"/>
        <v>0</v>
      </c>
    </row>
    <row r="396">
      <c r="D396" s="201"/>
      <c r="I396" s="201"/>
      <c r="R396" t="str">
        <f t="shared" si="4"/>
        <v/>
      </c>
      <c r="S396" s="201" t="str">
        <f t="shared" si="2"/>
        <v>#VALUE!</v>
      </c>
      <c r="T396" t="str">
        <f t="shared" si="3"/>
        <v>#VALUE!</v>
      </c>
      <c r="U396">
        <f t="shared" si="1"/>
        <v>0</v>
      </c>
    </row>
    <row r="397">
      <c r="D397" s="201"/>
      <c r="I397" s="201"/>
      <c r="R397" t="str">
        <f t="shared" si="4"/>
        <v/>
      </c>
      <c r="S397" s="201" t="str">
        <f t="shared" si="2"/>
        <v>#VALUE!</v>
      </c>
      <c r="T397" t="str">
        <f t="shared" si="3"/>
        <v>#VALUE!</v>
      </c>
      <c r="U397">
        <f t="shared" si="1"/>
        <v>0</v>
      </c>
    </row>
    <row r="398">
      <c r="D398" s="201"/>
      <c r="I398" s="201"/>
      <c r="R398" t="str">
        <f t="shared" si="4"/>
        <v/>
      </c>
      <c r="S398" s="201" t="str">
        <f t="shared" si="2"/>
        <v>#VALUE!</v>
      </c>
      <c r="T398" t="str">
        <f t="shared" si="3"/>
        <v>#VALUE!</v>
      </c>
      <c r="U398">
        <f t="shared" si="1"/>
        <v>0</v>
      </c>
    </row>
    <row r="399">
      <c r="D399" s="201"/>
      <c r="I399" s="201"/>
      <c r="R399" t="str">
        <f t="shared" si="4"/>
        <v/>
      </c>
      <c r="S399" s="201" t="str">
        <f t="shared" si="2"/>
        <v>#VALUE!</v>
      </c>
      <c r="T399" t="str">
        <f t="shared" si="3"/>
        <v>#VALUE!</v>
      </c>
      <c r="U399">
        <f t="shared" si="1"/>
        <v>0</v>
      </c>
    </row>
    <row r="400">
      <c r="D400" s="201"/>
      <c r="I400" s="201"/>
      <c r="R400" t="str">
        <f t="shared" si="4"/>
        <v/>
      </c>
      <c r="S400" s="201" t="str">
        <f t="shared" si="2"/>
        <v>#VALUE!</v>
      </c>
      <c r="T400" t="str">
        <f t="shared" si="3"/>
        <v>#VALUE!</v>
      </c>
      <c r="U400">
        <f t="shared" si="1"/>
        <v>0</v>
      </c>
    </row>
    <row r="401">
      <c r="D401" s="201"/>
      <c r="I401" s="201"/>
      <c r="R401" t="str">
        <f t="shared" si="4"/>
        <v/>
      </c>
      <c r="S401" s="201" t="str">
        <f t="shared" si="2"/>
        <v>#VALUE!</v>
      </c>
      <c r="T401" t="str">
        <f t="shared" si="3"/>
        <v>#VALUE!</v>
      </c>
      <c r="U401">
        <f t="shared" si="1"/>
        <v>0</v>
      </c>
    </row>
    <row r="402">
      <c r="D402" s="201"/>
      <c r="I402" s="201"/>
      <c r="R402" t="str">
        <f t="shared" si="4"/>
        <v/>
      </c>
      <c r="S402" s="201" t="str">
        <f t="shared" si="2"/>
        <v>#VALUE!</v>
      </c>
      <c r="T402" t="str">
        <f t="shared" si="3"/>
        <v>#VALUE!</v>
      </c>
      <c r="U402">
        <f t="shared" si="1"/>
        <v>0</v>
      </c>
    </row>
    <row r="403">
      <c r="D403" s="201"/>
      <c r="I403" s="201"/>
      <c r="R403" t="str">
        <f t="shared" si="4"/>
        <v/>
      </c>
      <c r="S403" s="201" t="str">
        <f t="shared" si="2"/>
        <v>#VALUE!</v>
      </c>
      <c r="T403" t="str">
        <f t="shared" si="3"/>
        <v>#VALUE!</v>
      </c>
      <c r="U403">
        <f t="shared" si="1"/>
        <v>0</v>
      </c>
    </row>
    <row r="404">
      <c r="D404" s="201"/>
      <c r="I404" s="201"/>
      <c r="R404" t="str">
        <f t="shared" si="4"/>
        <v/>
      </c>
      <c r="S404" s="201" t="str">
        <f t="shared" si="2"/>
        <v>#VALUE!</v>
      </c>
      <c r="T404" t="str">
        <f t="shared" si="3"/>
        <v>#VALUE!</v>
      </c>
      <c r="U404">
        <f t="shared" si="1"/>
        <v>0</v>
      </c>
    </row>
    <row r="405">
      <c r="D405" s="201"/>
      <c r="I405" s="201"/>
      <c r="R405" t="str">
        <f t="shared" si="4"/>
        <v/>
      </c>
      <c r="S405" s="201" t="str">
        <f t="shared" si="2"/>
        <v>#VALUE!</v>
      </c>
      <c r="T405" t="str">
        <f t="shared" si="3"/>
        <v>#VALUE!</v>
      </c>
      <c r="U405">
        <f t="shared" si="1"/>
        <v>0</v>
      </c>
    </row>
    <row r="406">
      <c r="D406" s="201"/>
      <c r="I406" s="201"/>
      <c r="R406" t="str">
        <f t="shared" si="4"/>
        <v/>
      </c>
      <c r="S406" s="201" t="str">
        <f t="shared" si="2"/>
        <v>#VALUE!</v>
      </c>
      <c r="T406" t="str">
        <f t="shared" si="3"/>
        <v>#VALUE!</v>
      </c>
      <c r="U406">
        <f t="shared" si="1"/>
        <v>0</v>
      </c>
    </row>
    <row r="407">
      <c r="D407" s="201"/>
      <c r="I407" s="201"/>
      <c r="R407" t="str">
        <f t="shared" si="4"/>
        <v/>
      </c>
      <c r="S407" s="201" t="str">
        <f t="shared" si="2"/>
        <v>#VALUE!</v>
      </c>
      <c r="T407" t="str">
        <f t="shared" si="3"/>
        <v>#VALUE!</v>
      </c>
      <c r="U407">
        <f t="shared" si="1"/>
        <v>0</v>
      </c>
    </row>
    <row r="408">
      <c r="D408" s="201"/>
      <c r="I408" s="201"/>
      <c r="R408" t="str">
        <f t="shared" si="4"/>
        <v/>
      </c>
      <c r="S408" s="201" t="str">
        <f t="shared" si="2"/>
        <v>#VALUE!</v>
      </c>
      <c r="T408" t="str">
        <f t="shared" si="3"/>
        <v>#VALUE!</v>
      </c>
      <c r="U408">
        <f t="shared" si="1"/>
        <v>0</v>
      </c>
    </row>
    <row r="409">
      <c r="D409" s="201"/>
      <c r="I409" s="201"/>
      <c r="R409" t="str">
        <f t="shared" si="4"/>
        <v/>
      </c>
      <c r="S409" s="201" t="str">
        <f t="shared" si="2"/>
        <v>#VALUE!</v>
      </c>
      <c r="T409" t="str">
        <f t="shared" si="3"/>
        <v>#VALUE!</v>
      </c>
      <c r="U409">
        <f t="shared" si="1"/>
        <v>0</v>
      </c>
    </row>
    <row r="410">
      <c r="D410" s="201"/>
      <c r="I410" s="201"/>
      <c r="R410" t="str">
        <f t="shared" si="4"/>
        <v/>
      </c>
      <c r="S410" s="201" t="str">
        <f t="shared" si="2"/>
        <v>#VALUE!</v>
      </c>
      <c r="T410" t="str">
        <f t="shared" si="3"/>
        <v>#VALUE!</v>
      </c>
      <c r="U410">
        <f t="shared" si="1"/>
        <v>0</v>
      </c>
    </row>
    <row r="411">
      <c r="D411" s="201"/>
      <c r="I411" s="201"/>
      <c r="R411" t="str">
        <f t="shared" si="4"/>
        <v/>
      </c>
      <c r="S411" s="201" t="str">
        <f t="shared" si="2"/>
        <v>#VALUE!</v>
      </c>
      <c r="T411" t="str">
        <f t="shared" si="3"/>
        <v>#VALUE!</v>
      </c>
      <c r="U411">
        <f t="shared" si="1"/>
        <v>0</v>
      </c>
    </row>
    <row r="412">
      <c r="D412" s="201"/>
      <c r="I412" s="201"/>
      <c r="R412" t="str">
        <f t="shared" si="4"/>
        <v/>
      </c>
      <c r="S412" s="201" t="str">
        <f t="shared" si="2"/>
        <v>#VALUE!</v>
      </c>
      <c r="T412" t="str">
        <f t="shared" si="3"/>
        <v>#VALUE!</v>
      </c>
      <c r="U412">
        <f t="shared" si="1"/>
        <v>0</v>
      </c>
    </row>
    <row r="413">
      <c r="D413" s="201"/>
      <c r="I413" s="201"/>
      <c r="R413" t="str">
        <f t="shared" si="4"/>
        <v/>
      </c>
      <c r="S413" s="201" t="str">
        <f t="shared" si="2"/>
        <v>#VALUE!</v>
      </c>
      <c r="T413" t="str">
        <f t="shared" si="3"/>
        <v>#VALUE!</v>
      </c>
      <c r="U413">
        <f t="shared" si="1"/>
        <v>0</v>
      </c>
    </row>
    <row r="414">
      <c r="D414" s="201"/>
      <c r="I414" s="201"/>
      <c r="R414" t="str">
        <f t="shared" si="4"/>
        <v/>
      </c>
      <c r="S414" s="201" t="str">
        <f t="shared" si="2"/>
        <v>#VALUE!</v>
      </c>
      <c r="T414" t="str">
        <f t="shared" si="3"/>
        <v>#VALUE!</v>
      </c>
      <c r="U414">
        <f t="shared" si="1"/>
        <v>0</v>
      </c>
    </row>
    <row r="415">
      <c r="D415" s="201"/>
      <c r="I415" s="201"/>
      <c r="R415" t="str">
        <f t="shared" si="4"/>
        <v/>
      </c>
      <c r="S415" s="201" t="str">
        <f t="shared" si="2"/>
        <v>#VALUE!</v>
      </c>
      <c r="T415" t="str">
        <f t="shared" si="3"/>
        <v>#VALUE!</v>
      </c>
      <c r="U415">
        <f t="shared" si="1"/>
        <v>0</v>
      </c>
    </row>
    <row r="416">
      <c r="D416" s="201"/>
      <c r="I416" s="201"/>
      <c r="R416" t="str">
        <f t="shared" si="4"/>
        <v/>
      </c>
      <c r="S416" s="201" t="str">
        <f t="shared" si="2"/>
        <v>#VALUE!</v>
      </c>
      <c r="T416" t="str">
        <f t="shared" si="3"/>
        <v>#VALUE!</v>
      </c>
      <c r="U416">
        <f t="shared" si="1"/>
        <v>0</v>
      </c>
    </row>
    <row r="417">
      <c r="D417" s="201"/>
      <c r="I417" s="201"/>
      <c r="R417" t="str">
        <f t="shared" si="4"/>
        <v/>
      </c>
      <c r="S417" s="201" t="str">
        <f t="shared" si="2"/>
        <v>#VALUE!</v>
      </c>
      <c r="T417" t="str">
        <f t="shared" si="3"/>
        <v>#VALUE!</v>
      </c>
      <c r="U417">
        <f t="shared" si="1"/>
        <v>0</v>
      </c>
    </row>
    <row r="418">
      <c r="D418" s="201"/>
      <c r="I418" s="201"/>
      <c r="R418" t="str">
        <f t="shared" si="4"/>
        <v/>
      </c>
      <c r="S418" s="201" t="str">
        <f t="shared" si="2"/>
        <v>#VALUE!</v>
      </c>
      <c r="T418" t="str">
        <f t="shared" si="3"/>
        <v>#VALUE!</v>
      </c>
      <c r="U418">
        <f t="shared" si="1"/>
        <v>0</v>
      </c>
    </row>
    <row r="419">
      <c r="D419" s="201"/>
      <c r="I419" s="201"/>
      <c r="R419" t="str">
        <f t="shared" si="4"/>
        <v/>
      </c>
      <c r="S419" s="201" t="str">
        <f t="shared" si="2"/>
        <v>#VALUE!</v>
      </c>
      <c r="T419" t="str">
        <f t="shared" si="3"/>
        <v>#VALUE!</v>
      </c>
      <c r="U419">
        <f t="shared" si="1"/>
        <v>0</v>
      </c>
    </row>
    <row r="420">
      <c r="D420" s="201"/>
      <c r="I420" s="201"/>
      <c r="R420" t="str">
        <f t="shared" si="4"/>
        <v/>
      </c>
      <c r="S420" s="201" t="str">
        <f t="shared" si="2"/>
        <v>#VALUE!</v>
      </c>
      <c r="T420" t="str">
        <f t="shared" si="3"/>
        <v>#VALUE!</v>
      </c>
      <c r="U420">
        <f t="shared" si="1"/>
        <v>0</v>
      </c>
    </row>
    <row r="421">
      <c r="D421" s="201"/>
      <c r="I421" s="201"/>
      <c r="R421" t="str">
        <f t="shared" si="4"/>
        <v/>
      </c>
      <c r="S421" s="201" t="str">
        <f t="shared" si="2"/>
        <v>#VALUE!</v>
      </c>
      <c r="T421" t="str">
        <f t="shared" si="3"/>
        <v>#VALUE!</v>
      </c>
      <c r="U421">
        <f t="shared" si="1"/>
        <v>0</v>
      </c>
    </row>
    <row r="422">
      <c r="D422" s="201"/>
      <c r="I422" s="201"/>
      <c r="R422" t="str">
        <f t="shared" si="4"/>
        <v/>
      </c>
      <c r="S422" s="201" t="str">
        <f t="shared" si="2"/>
        <v>#VALUE!</v>
      </c>
      <c r="T422" t="str">
        <f t="shared" si="3"/>
        <v>#VALUE!</v>
      </c>
      <c r="U422">
        <f t="shared" si="1"/>
        <v>0</v>
      </c>
    </row>
    <row r="423">
      <c r="D423" s="201"/>
      <c r="I423" s="201"/>
      <c r="R423" t="str">
        <f t="shared" si="4"/>
        <v/>
      </c>
      <c r="S423" s="201" t="str">
        <f t="shared" si="2"/>
        <v>#VALUE!</v>
      </c>
      <c r="T423" t="str">
        <f t="shared" si="3"/>
        <v>#VALUE!</v>
      </c>
      <c r="U423">
        <f t="shared" si="1"/>
        <v>0</v>
      </c>
    </row>
    <row r="424">
      <c r="D424" s="201"/>
      <c r="I424" s="201"/>
      <c r="R424" t="str">
        <f t="shared" si="4"/>
        <v/>
      </c>
      <c r="S424" s="201" t="str">
        <f t="shared" si="2"/>
        <v>#VALUE!</v>
      </c>
      <c r="T424" t="str">
        <f t="shared" si="3"/>
        <v>#VALUE!</v>
      </c>
      <c r="U424">
        <f t="shared" si="1"/>
        <v>0</v>
      </c>
    </row>
    <row r="425">
      <c r="D425" s="201"/>
      <c r="I425" s="201"/>
      <c r="R425" t="str">
        <f t="shared" si="4"/>
        <v/>
      </c>
      <c r="S425" s="201" t="str">
        <f t="shared" si="2"/>
        <v>#VALUE!</v>
      </c>
      <c r="T425" t="str">
        <f t="shared" si="3"/>
        <v>#VALUE!</v>
      </c>
      <c r="U425">
        <f t="shared" si="1"/>
        <v>0</v>
      </c>
    </row>
    <row r="426">
      <c r="D426" s="201"/>
      <c r="I426" s="201"/>
      <c r="R426" t="str">
        <f t="shared" si="4"/>
        <v/>
      </c>
      <c r="S426" s="201" t="str">
        <f t="shared" si="2"/>
        <v>#VALUE!</v>
      </c>
      <c r="T426" t="str">
        <f t="shared" si="3"/>
        <v>#VALUE!</v>
      </c>
      <c r="U426">
        <f t="shared" si="1"/>
        <v>0</v>
      </c>
    </row>
    <row r="427">
      <c r="D427" s="201"/>
      <c r="I427" s="201"/>
      <c r="R427" t="str">
        <f t="shared" si="4"/>
        <v/>
      </c>
      <c r="S427" s="201" t="str">
        <f t="shared" si="2"/>
        <v>#VALUE!</v>
      </c>
      <c r="T427" t="str">
        <f t="shared" si="3"/>
        <v>#VALUE!</v>
      </c>
      <c r="U427">
        <f t="shared" si="1"/>
        <v>0</v>
      </c>
    </row>
    <row r="428">
      <c r="D428" s="201"/>
      <c r="I428" s="201"/>
      <c r="R428" t="str">
        <f t="shared" si="4"/>
        <v/>
      </c>
      <c r="S428" s="201" t="str">
        <f t="shared" si="2"/>
        <v>#VALUE!</v>
      </c>
      <c r="T428" t="str">
        <f t="shared" si="3"/>
        <v>#VALUE!</v>
      </c>
      <c r="U428">
        <f t="shared" si="1"/>
        <v>0</v>
      </c>
    </row>
    <row r="429">
      <c r="D429" s="201"/>
      <c r="I429" s="201"/>
      <c r="R429" t="str">
        <f t="shared" si="4"/>
        <v/>
      </c>
      <c r="S429" s="201" t="str">
        <f t="shared" si="2"/>
        <v>#VALUE!</v>
      </c>
      <c r="T429" t="str">
        <f t="shared" si="3"/>
        <v>#VALUE!</v>
      </c>
      <c r="U429">
        <f t="shared" si="1"/>
        <v>0</v>
      </c>
    </row>
    <row r="430">
      <c r="D430" s="201"/>
      <c r="I430" s="201"/>
      <c r="R430" t="str">
        <f t="shared" si="4"/>
        <v/>
      </c>
      <c r="S430" s="201" t="str">
        <f t="shared" si="2"/>
        <v>#VALUE!</v>
      </c>
      <c r="T430" t="str">
        <f t="shared" si="3"/>
        <v>#VALUE!</v>
      </c>
      <c r="U430">
        <f t="shared" si="1"/>
        <v>0</v>
      </c>
    </row>
    <row r="431">
      <c r="D431" s="201"/>
      <c r="I431" s="201"/>
      <c r="R431" t="str">
        <f t="shared" si="4"/>
        <v/>
      </c>
      <c r="S431" s="201" t="str">
        <f t="shared" si="2"/>
        <v>#VALUE!</v>
      </c>
      <c r="T431" t="str">
        <f t="shared" si="3"/>
        <v>#VALUE!</v>
      </c>
      <c r="U431">
        <f t="shared" si="1"/>
        <v>0</v>
      </c>
    </row>
    <row r="432">
      <c r="D432" s="201"/>
      <c r="I432" s="201"/>
      <c r="R432" t="str">
        <f t="shared" si="4"/>
        <v/>
      </c>
      <c r="S432" s="201" t="str">
        <f t="shared" si="2"/>
        <v>#VALUE!</v>
      </c>
      <c r="T432" t="str">
        <f t="shared" si="3"/>
        <v>#VALUE!</v>
      </c>
      <c r="U432">
        <f t="shared" si="1"/>
        <v>0</v>
      </c>
    </row>
    <row r="433">
      <c r="D433" s="201"/>
      <c r="I433" s="201"/>
      <c r="R433" t="str">
        <f t="shared" si="4"/>
        <v/>
      </c>
      <c r="S433" s="201" t="str">
        <f t="shared" si="2"/>
        <v>#VALUE!</v>
      </c>
      <c r="T433" t="str">
        <f t="shared" si="3"/>
        <v>#VALUE!</v>
      </c>
      <c r="U433">
        <f t="shared" si="1"/>
        <v>0</v>
      </c>
    </row>
    <row r="434">
      <c r="D434" s="201"/>
      <c r="I434" s="201"/>
      <c r="R434" t="str">
        <f t="shared" si="4"/>
        <v/>
      </c>
      <c r="S434" s="201" t="str">
        <f t="shared" si="2"/>
        <v>#VALUE!</v>
      </c>
      <c r="T434" t="str">
        <f t="shared" si="3"/>
        <v>#VALUE!</v>
      </c>
      <c r="U434">
        <f t="shared" si="1"/>
        <v>0</v>
      </c>
    </row>
    <row r="435">
      <c r="D435" s="201"/>
      <c r="I435" s="201"/>
      <c r="R435" t="str">
        <f t="shared" si="4"/>
        <v/>
      </c>
      <c r="S435" s="201" t="str">
        <f t="shared" si="2"/>
        <v>#VALUE!</v>
      </c>
      <c r="T435" t="str">
        <f t="shared" si="3"/>
        <v>#VALUE!</v>
      </c>
      <c r="U435">
        <f t="shared" si="1"/>
        <v>0</v>
      </c>
    </row>
    <row r="436">
      <c r="D436" s="201"/>
      <c r="I436" s="201"/>
      <c r="R436" t="str">
        <f t="shared" si="4"/>
        <v/>
      </c>
      <c r="S436" s="201" t="str">
        <f t="shared" si="2"/>
        <v>#VALUE!</v>
      </c>
      <c r="T436" t="str">
        <f t="shared" si="3"/>
        <v>#VALUE!</v>
      </c>
      <c r="U436">
        <f t="shared" si="1"/>
        <v>0</v>
      </c>
    </row>
    <row r="437">
      <c r="D437" s="201"/>
      <c r="I437" s="201"/>
      <c r="R437" t="str">
        <f t="shared" si="4"/>
        <v/>
      </c>
      <c r="S437" s="201" t="str">
        <f t="shared" si="2"/>
        <v>#VALUE!</v>
      </c>
      <c r="T437" t="str">
        <f t="shared" si="3"/>
        <v>#VALUE!</v>
      </c>
      <c r="U437">
        <f t="shared" si="1"/>
        <v>0</v>
      </c>
    </row>
    <row r="438">
      <c r="D438" s="201"/>
      <c r="I438" s="201"/>
      <c r="R438" t="str">
        <f t="shared" si="4"/>
        <v/>
      </c>
      <c r="S438" s="201" t="str">
        <f t="shared" si="2"/>
        <v>#VALUE!</v>
      </c>
      <c r="T438" t="str">
        <f t="shared" si="3"/>
        <v>#VALUE!</v>
      </c>
      <c r="U438">
        <f t="shared" si="1"/>
        <v>0</v>
      </c>
    </row>
    <row r="439">
      <c r="D439" s="201"/>
      <c r="I439" s="201"/>
      <c r="R439" t="str">
        <f t="shared" si="4"/>
        <v/>
      </c>
      <c r="S439" s="201" t="str">
        <f t="shared" si="2"/>
        <v>#VALUE!</v>
      </c>
      <c r="T439" t="str">
        <f t="shared" si="3"/>
        <v>#VALUE!</v>
      </c>
      <c r="U439">
        <f t="shared" si="1"/>
        <v>0</v>
      </c>
    </row>
    <row r="440">
      <c r="D440" s="201"/>
      <c r="I440" s="201"/>
      <c r="R440" t="str">
        <f t="shared" si="4"/>
        <v/>
      </c>
      <c r="S440" s="201" t="str">
        <f t="shared" si="2"/>
        <v>#VALUE!</v>
      </c>
      <c r="T440" t="str">
        <f t="shared" si="3"/>
        <v>#VALUE!</v>
      </c>
      <c r="U440">
        <f t="shared" si="1"/>
        <v>0</v>
      </c>
    </row>
    <row r="441">
      <c r="D441" s="201"/>
      <c r="I441" s="201"/>
      <c r="R441" t="str">
        <f t="shared" si="4"/>
        <v/>
      </c>
      <c r="S441" s="201" t="str">
        <f t="shared" si="2"/>
        <v>#VALUE!</v>
      </c>
      <c r="T441" t="str">
        <f t="shared" si="3"/>
        <v>#VALUE!</v>
      </c>
      <c r="U441">
        <f t="shared" si="1"/>
        <v>0</v>
      </c>
    </row>
    <row r="442">
      <c r="D442" s="201"/>
      <c r="I442" s="201"/>
      <c r="R442" t="str">
        <f t="shared" si="4"/>
        <v/>
      </c>
      <c r="S442" s="201" t="str">
        <f t="shared" si="2"/>
        <v>#VALUE!</v>
      </c>
      <c r="T442" t="str">
        <f t="shared" si="3"/>
        <v>#VALUE!</v>
      </c>
      <c r="U442">
        <f t="shared" si="1"/>
        <v>0</v>
      </c>
    </row>
    <row r="443">
      <c r="D443" s="201"/>
      <c r="I443" s="201"/>
      <c r="R443" t="str">
        <f t="shared" si="4"/>
        <v/>
      </c>
      <c r="S443" s="201" t="str">
        <f t="shared" si="2"/>
        <v>#VALUE!</v>
      </c>
      <c r="T443" t="str">
        <f t="shared" si="3"/>
        <v>#VALUE!</v>
      </c>
      <c r="U443">
        <f t="shared" si="1"/>
        <v>0</v>
      </c>
    </row>
    <row r="444">
      <c r="D444" s="201"/>
      <c r="I444" s="201"/>
      <c r="R444" t="str">
        <f t="shared" si="4"/>
        <v/>
      </c>
      <c r="S444" s="201" t="str">
        <f t="shared" si="2"/>
        <v>#VALUE!</v>
      </c>
      <c r="T444" t="str">
        <f t="shared" si="3"/>
        <v>#VALUE!</v>
      </c>
      <c r="U444">
        <f t="shared" si="1"/>
        <v>0</v>
      </c>
    </row>
    <row r="445">
      <c r="D445" s="201"/>
      <c r="I445" s="201"/>
      <c r="R445" t="str">
        <f t="shared" si="4"/>
        <v/>
      </c>
      <c r="S445" s="201" t="str">
        <f t="shared" si="2"/>
        <v>#VALUE!</v>
      </c>
      <c r="T445" t="str">
        <f t="shared" si="3"/>
        <v>#VALUE!</v>
      </c>
      <c r="U445">
        <f t="shared" si="1"/>
        <v>0</v>
      </c>
    </row>
    <row r="446">
      <c r="D446" s="201"/>
      <c r="I446" s="201"/>
      <c r="R446" t="str">
        <f t="shared" si="4"/>
        <v/>
      </c>
      <c r="S446" s="201" t="str">
        <f t="shared" si="2"/>
        <v>#VALUE!</v>
      </c>
      <c r="T446" t="str">
        <f t="shared" si="3"/>
        <v>#VALUE!</v>
      </c>
      <c r="U446">
        <f t="shared" si="1"/>
        <v>0</v>
      </c>
    </row>
    <row r="447">
      <c r="D447" s="201"/>
      <c r="I447" s="201"/>
      <c r="R447" t="str">
        <f t="shared" si="4"/>
        <v/>
      </c>
      <c r="S447" s="201" t="str">
        <f t="shared" si="2"/>
        <v>#VALUE!</v>
      </c>
      <c r="T447" t="str">
        <f t="shared" si="3"/>
        <v>#VALUE!</v>
      </c>
      <c r="U447">
        <f t="shared" si="1"/>
        <v>0</v>
      </c>
    </row>
    <row r="448">
      <c r="D448" s="201"/>
      <c r="I448" s="201"/>
      <c r="R448" t="str">
        <f t="shared" si="4"/>
        <v/>
      </c>
      <c r="S448" s="201" t="str">
        <f t="shared" si="2"/>
        <v>#VALUE!</v>
      </c>
      <c r="T448" t="str">
        <f t="shared" si="3"/>
        <v>#VALUE!</v>
      </c>
      <c r="U448">
        <f t="shared" si="1"/>
        <v>0</v>
      </c>
    </row>
    <row r="449">
      <c r="D449" s="201"/>
      <c r="I449" s="201"/>
      <c r="R449" t="str">
        <f t="shared" si="4"/>
        <v/>
      </c>
      <c r="S449" s="201" t="str">
        <f t="shared" si="2"/>
        <v>#VALUE!</v>
      </c>
      <c r="T449" t="str">
        <f t="shared" si="3"/>
        <v>#VALUE!</v>
      </c>
      <c r="U449">
        <f t="shared" si="1"/>
        <v>0</v>
      </c>
    </row>
    <row r="450">
      <c r="D450" s="201"/>
      <c r="I450" s="201"/>
      <c r="R450" t="str">
        <f t="shared" si="4"/>
        <v/>
      </c>
      <c r="S450" s="201" t="str">
        <f t="shared" si="2"/>
        <v>#VALUE!</v>
      </c>
      <c r="T450" t="str">
        <f t="shared" si="3"/>
        <v>#VALUE!</v>
      </c>
      <c r="U450">
        <f t="shared" si="1"/>
        <v>0</v>
      </c>
    </row>
    <row r="451">
      <c r="D451" s="201"/>
      <c r="I451" s="201"/>
      <c r="R451" t="str">
        <f t="shared" si="4"/>
        <v/>
      </c>
      <c r="S451" s="201" t="str">
        <f t="shared" si="2"/>
        <v>#VALUE!</v>
      </c>
      <c r="T451" t="str">
        <f t="shared" si="3"/>
        <v>#VALUE!</v>
      </c>
      <c r="U451">
        <f t="shared" si="1"/>
        <v>0</v>
      </c>
    </row>
    <row r="452">
      <c r="D452" s="201"/>
      <c r="I452" s="201"/>
      <c r="R452" t="str">
        <f t="shared" si="4"/>
        <v/>
      </c>
      <c r="S452" s="201" t="str">
        <f t="shared" si="2"/>
        <v>#VALUE!</v>
      </c>
      <c r="T452" t="str">
        <f t="shared" si="3"/>
        <v>#VALUE!</v>
      </c>
      <c r="U452">
        <f t="shared" si="1"/>
        <v>0</v>
      </c>
    </row>
    <row r="453">
      <c r="D453" s="201"/>
      <c r="I453" s="201"/>
      <c r="R453" t="str">
        <f t="shared" si="4"/>
        <v/>
      </c>
      <c r="S453" s="201" t="str">
        <f t="shared" si="2"/>
        <v>#VALUE!</v>
      </c>
      <c r="T453" t="str">
        <f t="shared" si="3"/>
        <v>#VALUE!</v>
      </c>
      <c r="U453">
        <f t="shared" si="1"/>
        <v>0</v>
      </c>
    </row>
    <row r="454">
      <c r="D454" s="201"/>
      <c r="I454" s="201"/>
      <c r="R454" t="str">
        <f t="shared" si="4"/>
        <v/>
      </c>
      <c r="S454" s="201" t="str">
        <f t="shared" si="2"/>
        <v>#VALUE!</v>
      </c>
      <c r="T454" t="str">
        <f t="shared" si="3"/>
        <v>#VALUE!</v>
      </c>
      <c r="U454">
        <f t="shared" si="1"/>
        <v>0</v>
      </c>
    </row>
    <row r="455">
      <c r="D455" s="201"/>
      <c r="I455" s="201"/>
      <c r="R455" t="str">
        <f t="shared" si="4"/>
        <v/>
      </c>
      <c r="S455" s="201" t="str">
        <f t="shared" si="2"/>
        <v>#VALUE!</v>
      </c>
      <c r="T455" t="str">
        <f t="shared" si="3"/>
        <v>#VALUE!</v>
      </c>
      <c r="U455">
        <f t="shared" si="1"/>
        <v>0</v>
      </c>
    </row>
    <row r="456">
      <c r="D456" s="201"/>
      <c r="I456" s="201"/>
      <c r="R456" t="str">
        <f t="shared" si="4"/>
        <v/>
      </c>
      <c r="S456" s="201" t="str">
        <f t="shared" si="2"/>
        <v>#VALUE!</v>
      </c>
      <c r="T456" t="str">
        <f t="shared" si="3"/>
        <v>#VALUE!</v>
      </c>
      <c r="U456">
        <f t="shared" si="1"/>
        <v>0</v>
      </c>
    </row>
    <row r="457">
      <c r="D457" s="201"/>
      <c r="I457" s="201"/>
      <c r="R457" t="str">
        <f t="shared" si="4"/>
        <v/>
      </c>
      <c r="S457" s="201" t="str">
        <f t="shared" si="2"/>
        <v>#VALUE!</v>
      </c>
      <c r="T457" t="str">
        <f t="shared" si="3"/>
        <v>#VALUE!</v>
      </c>
      <c r="U457">
        <f t="shared" si="1"/>
        <v>0</v>
      </c>
    </row>
    <row r="458">
      <c r="D458" s="201"/>
      <c r="I458" s="201"/>
      <c r="R458" t="str">
        <f t="shared" si="4"/>
        <v/>
      </c>
      <c r="S458" s="201" t="str">
        <f t="shared" si="2"/>
        <v>#VALUE!</v>
      </c>
      <c r="T458" t="str">
        <f t="shared" si="3"/>
        <v>#VALUE!</v>
      </c>
      <c r="U458">
        <f t="shared" si="1"/>
        <v>0</v>
      </c>
    </row>
    <row r="459">
      <c r="D459" s="201"/>
      <c r="I459" s="201"/>
      <c r="R459" t="str">
        <f t="shared" si="4"/>
        <v/>
      </c>
      <c r="S459" s="201" t="str">
        <f t="shared" si="2"/>
        <v>#VALUE!</v>
      </c>
      <c r="T459" t="str">
        <f t="shared" si="3"/>
        <v>#VALUE!</v>
      </c>
      <c r="U459">
        <f t="shared" si="1"/>
        <v>0</v>
      </c>
    </row>
    <row r="460">
      <c r="D460" s="201"/>
      <c r="I460" s="201"/>
      <c r="R460" t="str">
        <f t="shared" si="4"/>
        <v/>
      </c>
      <c r="S460" s="201" t="str">
        <f t="shared" si="2"/>
        <v>#VALUE!</v>
      </c>
      <c r="T460" t="str">
        <f t="shared" si="3"/>
        <v>#VALUE!</v>
      </c>
      <c r="U460">
        <f t="shared" si="1"/>
        <v>0</v>
      </c>
    </row>
    <row r="461">
      <c r="D461" s="201"/>
      <c r="I461" s="201"/>
      <c r="R461" t="str">
        <f t="shared" si="4"/>
        <v/>
      </c>
      <c r="S461" s="201" t="str">
        <f t="shared" si="2"/>
        <v>#VALUE!</v>
      </c>
      <c r="T461" t="str">
        <f t="shared" si="3"/>
        <v>#VALUE!</v>
      </c>
      <c r="U461">
        <f t="shared" si="1"/>
        <v>0</v>
      </c>
    </row>
    <row r="462">
      <c r="D462" s="201"/>
      <c r="I462" s="201"/>
      <c r="R462" t="str">
        <f t="shared" si="4"/>
        <v/>
      </c>
      <c r="S462" s="201" t="str">
        <f t="shared" si="2"/>
        <v>#VALUE!</v>
      </c>
      <c r="T462" t="str">
        <f t="shared" si="3"/>
        <v>#VALUE!</v>
      </c>
      <c r="U462">
        <f t="shared" si="1"/>
        <v>0</v>
      </c>
    </row>
    <row r="463">
      <c r="D463" s="201"/>
      <c r="I463" s="201"/>
      <c r="R463" t="str">
        <f t="shared" si="4"/>
        <v/>
      </c>
      <c r="S463" s="201" t="str">
        <f t="shared" si="2"/>
        <v>#VALUE!</v>
      </c>
      <c r="T463" t="str">
        <f t="shared" si="3"/>
        <v>#VALUE!</v>
      </c>
      <c r="U463">
        <f t="shared" si="1"/>
        <v>0</v>
      </c>
    </row>
    <row r="464">
      <c r="D464" s="201"/>
      <c r="I464" s="201"/>
      <c r="R464" t="str">
        <f t="shared" si="4"/>
        <v/>
      </c>
      <c r="S464" s="201" t="str">
        <f t="shared" si="2"/>
        <v>#VALUE!</v>
      </c>
      <c r="T464" t="str">
        <f t="shared" si="3"/>
        <v>#VALUE!</v>
      </c>
      <c r="U464">
        <f t="shared" si="1"/>
        <v>0</v>
      </c>
    </row>
    <row r="465">
      <c r="D465" s="201"/>
      <c r="I465" s="201"/>
      <c r="R465" t="str">
        <f t="shared" si="4"/>
        <v/>
      </c>
      <c r="S465" s="201" t="str">
        <f t="shared" si="2"/>
        <v>#VALUE!</v>
      </c>
      <c r="T465" t="str">
        <f t="shared" si="3"/>
        <v>#VALUE!</v>
      </c>
      <c r="U465">
        <f t="shared" si="1"/>
        <v>0</v>
      </c>
    </row>
    <row r="466">
      <c r="D466" s="201"/>
      <c r="I466" s="201"/>
      <c r="R466" t="str">
        <f t="shared" si="4"/>
        <v/>
      </c>
      <c r="S466" s="201" t="str">
        <f t="shared" si="2"/>
        <v>#VALUE!</v>
      </c>
      <c r="T466" t="str">
        <f t="shared" si="3"/>
        <v>#VALUE!</v>
      </c>
      <c r="U466">
        <f t="shared" si="1"/>
        <v>0</v>
      </c>
    </row>
    <row r="467">
      <c r="D467" s="201"/>
      <c r="I467" s="201"/>
      <c r="R467" t="str">
        <f t="shared" si="4"/>
        <v/>
      </c>
      <c r="S467" s="201" t="str">
        <f t="shared" si="2"/>
        <v>#VALUE!</v>
      </c>
      <c r="T467" t="str">
        <f t="shared" si="3"/>
        <v>#VALUE!</v>
      </c>
      <c r="U467">
        <f t="shared" si="1"/>
        <v>0</v>
      </c>
    </row>
    <row r="468">
      <c r="D468" s="201"/>
      <c r="I468" s="201"/>
      <c r="R468" t="str">
        <f t="shared" si="4"/>
        <v/>
      </c>
      <c r="S468" s="201" t="str">
        <f t="shared" si="2"/>
        <v>#VALUE!</v>
      </c>
      <c r="T468" t="str">
        <f t="shared" si="3"/>
        <v>#VALUE!</v>
      </c>
      <c r="U468">
        <f t="shared" si="1"/>
        <v>0</v>
      </c>
    </row>
    <row r="469">
      <c r="D469" s="201"/>
      <c r="I469" s="201"/>
      <c r="R469" t="str">
        <f t="shared" si="4"/>
        <v/>
      </c>
      <c r="S469" s="201" t="str">
        <f t="shared" si="2"/>
        <v>#VALUE!</v>
      </c>
      <c r="T469" t="str">
        <f t="shared" si="3"/>
        <v>#VALUE!</v>
      </c>
      <c r="U469">
        <f t="shared" si="1"/>
        <v>0</v>
      </c>
    </row>
    <row r="470">
      <c r="D470" s="201"/>
      <c r="I470" s="201"/>
      <c r="R470" t="str">
        <f t="shared" si="4"/>
        <v/>
      </c>
      <c r="S470" s="201" t="str">
        <f t="shared" si="2"/>
        <v>#VALUE!</v>
      </c>
      <c r="T470" t="str">
        <f t="shared" si="3"/>
        <v>#VALUE!</v>
      </c>
      <c r="U470">
        <f t="shared" si="1"/>
        <v>0</v>
      </c>
    </row>
    <row r="471">
      <c r="D471" s="201"/>
      <c r="I471" s="201"/>
      <c r="R471" t="str">
        <f t="shared" si="4"/>
        <v/>
      </c>
      <c r="S471" s="201" t="str">
        <f t="shared" si="2"/>
        <v>#VALUE!</v>
      </c>
      <c r="T471" t="str">
        <f t="shared" si="3"/>
        <v>#VALUE!</v>
      </c>
      <c r="U471">
        <f t="shared" si="1"/>
        <v>0</v>
      </c>
    </row>
    <row r="472">
      <c r="D472" s="201"/>
      <c r="I472" s="201"/>
      <c r="R472" t="str">
        <f t="shared" si="4"/>
        <v/>
      </c>
      <c r="S472" s="201" t="str">
        <f t="shared" si="2"/>
        <v>#VALUE!</v>
      </c>
      <c r="T472" t="str">
        <f t="shared" si="3"/>
        <v>#VALUE!</v>
      </c>
      <c r="U472">
        <f t="shared" si="1"/>
        <v>0</v>
      </c>
    </row>
    <row r="473">
      <c r="D473" s="201"/>
      <c r="I473" s="201"/>
      <c r="R473" t="str">
        <f t="shared" si="4"/>
        <v/>
      </c>
      <c r="S473" s="201" t="str">
        <f t="shared" si="2"/>
        <v>#VALUE!</v>
      </c>
      <c r="T473" t="str">
        <f t="shared" si="3"/>
        <v>#VALUE!</v>
      </c>
      <c r="U473">
        <f t="shared" si="1"/>
        <v>0</v>
      </c>
    </row>
    <row r="474">
      <c r="D474" s="201"/>
      <c r="I474" s="201"/>
      <c r="R474" t="str">
        <f t="shared" si="4"/>
        <v/>
      </c>
      <c r="S474" s="201" t="str">
        <f t="shared" si="2"/>
        <v>#VALUE!</v>
      </c>
      <c r="T474" t="str">
        <f t="shared" si="3"/>
        <v>#VALUE!</v>
      </c>
      <c r="U474">
        <f t="shared" si="1"/>
        <v>0</v>
      </c>
    </row>
    <row r="475">
      <c r="D475" s="201"/>
      <c r="I475" s="201"/>
      <c r="R475" t="str">
        <f t="shared" si="4"/>
        <v/>
      </c>
      <c r="S475" s="201" t="str">
        <f t="shared" si="2"/>
        <v>#VALUE!</v>
      </c>
      <c r="T475" t="str">
        <f t="shared" si="3"/>
        <v>#VALUE!</v>
      </c>
      <c r="U475">
        <f t="shared" si="1"/>
        <v>0</v>
      </c>
    </row>
    <row r="476">
      <c r="D476" s="201"/>
      <c r="I476" s="201"/>
      <c r="R476" t="str">
        <f t="shared" si="4"/>
        <v/>
      </c>
      <c r="S476" s="201" t="str">
        <f t="shared" si="2"/>
        <v>#VALUE!</v>
      </c>
      <c r="T476" t="str">
        <f t="shared" si="3"/>
        <v>#VALUE!</v>
      </c>
      <c r="U476">
        <f t="shared" si="1"/>
        <v>0</v>
      </c>
    </row>
    <row r="477">
      <c r="D477" s="201"/>
      <c r="I477" s="201"/>
      <c r="R477" t="str">
        <f t="shared" si="4"/>
        <v/>
      </c>
      <c r="S477" s="201" t="str">
        <f t="shared" si="2"/>
        <v>#VALUE!</v>
      </c>
      <c r="T477" t="str">
        <f t="shared" si="3"/>
        <v>#VALUE!</v>
      </c>
      <c r="U477">
        <f t="shared" si="1"/>
        <v>0</v>
      </c>
    </row>
    <row r="478">
      <c r="D478" s="201"/>
      <c r="I478" s="201"/>
      <c r="R478" t="str">
        <f t="shared" si="4"/>
        <v/>
      </c>
      <c r="S478" s="201" t="str">
        <f t="shared" si="2"/>
        <v>#VALUE!</v>
      </c>
      <c r="T478" t="str">
        <f t="shared" si="3"/>
        <v>#VALUE!</v>
      </c>
      <c r="U478">
        <f t="shared" si="1"/>
        <v>0</v>
      </c>
    </row>
    <row r="479">
      <c r="D479" s="201"/>
      <c r="I479" s="201"/>
      <c r="R479" t="str">
        <f t="shared" si="4"/>
        <v/>
      </c>
      <c r="S479" s="201" t="str">
        <f t="shared" si="2"/>
        <v>#VALUE!</v>
      </c>
      <c r="T479" t="str">
        <f t="shared" si="3"/>
        <v>#VALUE!</v>
      </c>
      <c r="U479">
        <f t="shared" si="1"/>
        <v>0</v>
      </c>
    </row>
    <row r="480">
      <c r="D480" s="201"/>
      <c r="I480" s="201"/>
      <c r="R480" t="str">
        <f t="shared" si="4"/>
        <v/>
      </c>
      <c r="S480" s="201" t="str">
        <f t="shared" si="2"/>
        <v>#VALUE!</v>
      </c>
      <c r="T480" t="str">
        <f t="shared" si="3"/>
        <v>#VALUE!</v>
      </c>
      <c r="U480">
        <f t="shared" si="1"/>
        <v>0</v>
      </c>
    </row>
    <row r="481">
      <c r="D481" s="201"/>
      <c r="I481" s="201"/>
      <c r="R481" t="str">
        <f t="shared" si="4"/>
        <v/>
      </c>
      <c r="S481" s="201" t="str">
        <f t="shared" si="2"/>
        <v>#VALUE!</v>
      </c>
      <c r="T481" t="str">
        <f t="shared" si="3"/>
        <v>#VALUE!</v>
      </c>
      <c r="U481">
        <f t="shared" si="1"/>
        <v>0</v>
      </c>
    </row>
    <row r="482">
      <c r="D482" s="201"/>
      <c r="I482" s="201"/>
      <c r="R482" t="str">
        <f t="shared" si="4"/>
        <v/>
      </c>
      <c r="S482" s="201" t="str">
        <f t="shared" si="2"/>
        <v>#VALUE!</v>
      </c>
      <c r="T482" t="str">
        <f t="shared" si="3"/>
        <v>#VALUE!</v>
      </c>
      <c r="U482">
        <f t="shared" si="1"/>
        <v>0</v>
      </c>
    </row>
    <row r="483">
      <c r="D483" s="201"/>
      <c r="I483" s="201"/>
      <c r="R483" t="str">
        <f t="shared" si="4"/>
        <v/>
      </c>
      <c r="S483" s="201" t="str">
        <f t="shared" si="2"/>
        <v>#VALUE!</v>
      </c>
      <c r="T483" t="str">
        <f t="shared" si="3"/>
        <v>#VALUE!</v>
      </c>
      <c r="U483">
        <f t="shared" si="1"/>
        <v>0</v>
      </c>
    </row>
    <row r="484">
      <c r="D484" s="201"/>
      <c r="I484" s="201"/>
      <c r="R484" t="str">
        <f t="shared" si="4"/>
        <v/>
      </c>
      <c r="S484" s="201" t="str">
        <f t="shared" si="2"/>
        <v>#VALUE!</v>
      </c>
      <c r="T484" t="str">
        <f t="shared" si="3"/>
        <v>#VALUE!</v>
      </c>
      <c r="U484">
        <f t="shared" si="1"/>
        <v>0</v>
      </c>
    </row>
    <row r="485">
      <c r="D485" s="201"/>
      <c r="I485" s="201"/>
      <c r="R485" t="str">
        <f t="shared" si="4"/>
        <v/>
      </c>
      <c r="S485" s="201" t="str">
        <f t="shared" si="2"/>
        <v>#VALUE!</v>
      </c>
      <c r="T485" t="str">
        <f t="shared" si="3"/>
        <v>#VALUE!</v>
      </c>
      <c r="U485">
        <f t="shared" si="1"/>
        <v>0</v>
      </c>
    </row>
    <row r="486">
      <c r="D486" s="201"/>
      <c r="I486" s="201"/>
      <c r="R486" t="str">
        <f t="shared" si="4"/>
        <v/>
      </c>
      <c r="S486" s="201" t="str">
        <f t="shared" si="2"/>
        <v>#VALUE!</v>
      </c>
      <c r="T486" t="str">
        <f t="shared" si="3"/>
        <v>#VALUE!</v>
      </c>
      <c r="U486">
        <f t="shared" si="1"/>
        <v>0</v>
      </c>
    </row>
    <row r="487">
      <c r="D487" s="201"/>
      <c r="I487" s="201"/>
      <c r="R487" t="str">
        <f t="shared" si="4"/>
        <v/>
      </c>
      <c r="S487" s="201" t="str">
        <f t="shared" si="2"/>
        <v>#VALUE!</v>
      </c>
      <c r="T487" t="str">
        <f t="shared" si="3"/>
        <v>#VALUE!</v>
      </c>
      <c r="U487">
        <f t="shared" si="1"/>
        <v>0</v>
      </c>
    </row>
    <row r="488">
      <c r="D488" s="201"/>
      <c r="I488" s="201"/>
      <c r="R488" t="str">
        <f t="shared" si="4"/>
        <v/>
      </c>
      <c r="S488" s="201" t="str">
        <f t="shared" si="2"/>
        <v>#VALUE!</v>
      </c>
      <c r="T488" t="str">
        <f t="shared" si="3"/>
        <v>#VALUE!</v>
      </c>
      <c r="U488">
        <f t="shared" si="1"/>
        <v>0</v>
      </c>
    </row>
    <row r="489">
      <c r="D489" s="201"/>
      <c r="I489" s="201"/>
      <c r="R489" t="str">
        <f t="shared" si="4"/>
        <v/>
      </c>
      <c r="S489" s="201" t="str">
        <f t="shared" si="2"/>
        <v>#VALUE!</v>
      </c>
      <c r="T489" t="str">
        <f t="shared" si="3"/>
        <v>#VALUE!</v>
      </c>
      <c r="U489">
        <f t="shared" si="1"/>
        <v>0</v>
      </c>
    </row>
    <row r="490">
      <c r="D490" s="201"/>
      <c r="I490" s="201"/>
      <c r="R490" t="str">
        <f t="shared" si="4"/>
        <v/>
      </c>
      <c r="S490" s="201" t="str">
        <f t="shared" si="2"/>
        <v>#VALUE!</v>
      </c>
      <c r="T490" t="str">
        <f t="shared" si="3"/>
        <v>#VALUE!</v>
      </c>
      <c r="U490">
        <f t="shared" si="1"/>
        <v>0</v>
      </c>
    </row>
    <row r="491">
      <c r="D491" s="201"/>
      <c r="I491" s="201"/>
      <c r="R491" t="str">
        <f t="shared" si="4"/>
        <v/>
      </c>
      <c r="S491" s="201" t="str">
        <f t="shared" si="2"/>
        <v>#VALUE!</v>
      </c>
      <c r="T491" t="str">
        <f t="shared" si="3"/>
        <v>#VALUE!</v>
      </c>
      <c r="U491">
        <f t="shared" si="1"/>
        <v>0</v>
      </c>
    </row>
    <row r="492">
      <c r="D492" s="201"/>
      <c r="I492" s="201"/>
      <c r="R492" t="str">
        <f t="shared" si="4"/>
        <v/>
      </c>
      <c r="S492" s="201" t="str">
        <f t="shared" si="2"/>
        <v>#VALUE!</v>
      </c>
      <c r="T492" t="str">
        <f t="shared" si="3"/>
        <v>#VALUE!</v>
      </c>
      <c r="U492">
        <f t="shared" si="1"/>
        <v>0</v>
      </c>
    </row>
    <row r="493">
      <c r="D493" s="201"/>
      <c r="I493" s="201"/>
      <c r="R493" t="str">
        <f t="shared" si="4"/>
        <v/>
      </c>
      <c r="S493" s="201" t="str">
        <f t="shared" si="2"/>
        <v>#VALUE!</v>
      </c>
      <c r="T493" t="str">
        <f t="shared" si="3"/>
        <v>#VALUE!</v>
      </c>
      <c r="U493">
        <f t="shared" si="1"/>
        <v>0</v>
      </c>
    </row>
    <row r="494">
      <c r="D494" s="201"/>
      <c r="I494" s="201"/>
      <c r="R494" t="str">
        <f t="shared" si="4"/>
        <v/>
      </c>
      <c r="S494" s="201" t="str">
        <f t="shared" si="2"/>
        <v>#VALUE!</v>
      </c>
      <c r="T494" t="str">
        <f t="shared" si="3"/>
        <v>#VALUE!</v>
      </c>
      <c r="U494">
        <f t="shared" si="1"/>
        <v>0</v>
      </c>
    </row>
    <row r="495">
      <c r="D495" s="201"/>
      <c r="I495" s="201"/>
      <c r="R495" t="str">
        <f t="shared" si="4"/>
        <v/>
      </c>
      <c r="S495" s="201" t="str">
        <f t="shared" si="2"/>
        <v>#VALUE!</v>
      </c>
      <c r="T495" t="str">
        <f t="shared" si="3"/>
        <v>#VALUE!</v>
      </c>
      <c r="U495">
        <f t="shared" si="1"/>
        <v>0</v>
      </c>
    </row>
    <row r="496">
      <c r="D496" s="201"/>
      <c r="I496" s="201"/>
      <c r="R496" t="str">
        <f t="shared" si="4"/>
        <v/>
      </c>
      <c r="S496" s="201" t="str">
        <f t="shared" si="2"/>
        <v>#VALUE!</v>
      </c>
      <c r="T496" t="str">
        <f t="shared" si="3"/>
        <v>#VALUE!</v>
      </c>
      <c r="U496">
        <f t="shared" si="1"/>
        <v>0</v>
      </c>
    </row>
    <row r="497">
      <c r="D497" s="201"/>
      <c r="I497" s="201"/>
      <c r="R497" t="str">
        <f t="shared" si="4"/>
        <v/>
      </c>
      <c r="S497" s="201" t="str">
        <f t="shared" si="2"/>
        <v>#VALUE!</v>
      </c>
      <c r="T497" t="str">
        <f t="shared" si="3"/>
        <v>#VALUE!</v>
      </c>
      <c r="U497">
        <f t="shared" si="1"/>
        <v>0</v>
      </c>
    </row>
    <row r="498">
      <c r="D498" s="201"/>
      <c r="I498" s="201"/>
      <c r="R498" t="str">
        <f t="shared" si="4"/>
        <v/>
      </c>
      <c r="S498" s="201" t="str">
        <f t="shared" si="2"/>
        <v>#VALUE!</v>
      </c>
      <c r="T498" t="str">
        <f t="shared" si="3"/>
        <v>#VALUE!</v>
      </c>
      <c r="U498">
        <f t="shared" si="1"/>
        <v>0</v>
      </c>
    </row>
    <row r="499">
      <c r="D499" s="201"/>
      <c r="I499" s="201"/>
      <c r="R499" t="str">
        <f t="shared" si="4"/>
        <v/>
      </c>
      <c r="S499" s="201" t="str">
        <f t="shared" si="2"/>
        <v>#VALUE!</v>
      </c>
      <c r="T499" t="str">
        <f t="shared" si="3"/>
        <v>#VALUE!</v>
      </c>
      <c r="U499">
        <f t="shared" si="1"/>
        <v>0</v>
      </c>
    </row>
    <row r="500">
      <c r="D500" s="201"/>
      <c r="I500" s="201"/>
      <c r="R500" t="str">
        <f t="shared" si="4"/>
        <v/>
      </c>
      <c r="S500" s="201" t="str">
        <f t="shared" si="2"/>
        <v>#VALUE!</v>
      </c>
      <c r="T500" t="str">
        <f t="shared" si="3"/>
        <v>#VALUE!</v>
      </c>
      <c r="U500">
        <f t="shared" si="1"/>
        <v>0</v>
      </c>
    </row>
    <row r="501">
      <c r="D501" s="201"/>
      <c r="I501" s="201"/>
      <c r="R501" t="str">
        <f t="shared" si="4"/>
        <v/>
      </c>
      <c r="S501" s="201" t="str">
        <f t="shared" si="2"/>
        <v>#VALUE!</v>
      </c>
      <c r="T501" t="str">
        <f t="shared" si="3"/>
        <v>#VALUE!</v>
      </c>
      <c r="U501">
        <f t="shared" si="1"/>
        <v>0</v>
      </c>
    </row>
    <row r="502">
      <c r="D502" s="201"/>
      <c r="I502" s="201"/>
      <c r="R502" t="str">
        <f t="shared" si="4"/>
        <v/>
      </c>
      <c r="S502" s="201" t="str">
        <f t="shared" si="2"/>
        <v>#VALUE!</v>
      </c>
      <c r="T502" t="str">
        <f t="shared" si="3"/>
        <v>#VALUE!</v>
      </c>
      <c r="U502">
        <f t="shared" si="1"/>
        <v>0</v>
      </c>
    </row>
    <row r="503">
      <c r="D503" s="201"/>
      <c r="I503" s="201"/>
      <c r="R503" t="str">
        <f t="shared" si="4"/>
        <v/>
      </c>
      <c r="S503" s="201" t="str">
        <f t="shared" si="2"/>
        <v>#VALUE!</v>
      </c>
      <c r="T503" t="str">
        <f t="shared" si="3"/>
        <v>#VALUE!</v>
      </c>
      <c r="U503">
        <f t="shared" si="1"/>
        <v>0</v>
      </c>
    </row>
    <row r="504">
      <c r="D504" s="201"/>
      <c r="I504" s="201"/>
      <c r="R504" t="str">
        <f t="shared" si="4"/>
        <v/>
      </c>
      <c r="S504" s="201" t="str">
        <f t="shared" si="2"/>
        <v>#VALUE!</v>
      </c>
      <c r="T504" t="str">
        <f t="shared" si="3"/>
        <v>#VALUE!</v>
      </c>
      <c r="U504">
        <f t="shared" si="1"/>
        <v>0</v>
      </c>
    </row>
    <row r="505">
      <c r="D505" s="201"/>
      <c r="I505" s="201"/>
      <c r="R505" t="str">
        <f t="shared" si="4"/>
        <v/>
      </c>
      <c r="S505" s="201" t="str">
        <f t="shared" si="2"/>
        <v>#VALUE!</v>
      </c>
      <c r="T505" t="str">
        <f t="shared" si="3"/>
        <v>#VALUE!</v>
      </c>
      <c r="U505">
        <f t="shared" si="1"/>
        <v>0</v>
      </c>
    </row>
    <row r="506">
      <c r="D506" s="201"/>
      <c r="I506" s="201"/>
      <c r="R506" t="str">
        <f t="shared" si="4"/>
        <v/>
      </c>
      <c r="S506" s="201" t="str">
        <f t="shared" si="2"/>
        <v>#VALUE!</v>
      </c>
      <c r="T506" t="str">
        <f t="shared" si="3"/>
        <v>#VALUE!</v>
      </c>
      <c r="U506">
        <f t="shared" si="1"/>
        <v>0</v>
      </c>
    </row>
    <row r="507">
      <c r="D507" s="201"/>
      <c r="I507" s="201"/>
      <c r="R507" t="str">
        <f t="shared" si="4"/>
        <v/>
      </c>
      <c r="S507" s="201" t="str">
        <f t="shared" si="2"/>
        <v>#VALUE!</v>
      </c>
      <c r="T507" t="str">
        <f t="shared" si="3"/>
        <v>#VALUE!</v>
      </c>
      <c r="U507">
        <f t="shared" si="1"/>
        <v>0</v>
      </c>
    </row>
    <row r="508">
      <c r="D508" s="201"/>
      <c r="I508" s="201"/>
      <c r="R508" t="str">
        <f t="shared" si="4"/>
        <v/>
      </c>
      <c r="S508" s="201" t="str">
        <f t="shared" si="2"/>
        <v>#VALUE!</v>
      </c>
      <c r="T508" t="str">
        <f t="shared" si="3"/>
        <v>#VALUE!</v>
      </c>
      <c r="U508">
        <f t="shared" si="1"/>
        <v>0</v>
      </c>
    </row>
    <row r="509">
      <c r="D509" s="201"/>
      <c r="I509" s="201"/>
      <c r="R509" t="str">
        <f t="shared" si="4"/>
        <v/>
      </c>
      <c r="S509" s="201" t="str">
        <f t="shared" si="2"/>
        <v>#VALUE!</v>
      </c>
      <c r="T509" t="str">
        <f t="shared" si="3"/>
        <v>#VALUE!</v>
      </c>
      <c r="U509">
        <f t="shared" si="1"/>
        <v>0</v>
      </c>
    </row>
    <row r="510">
      <c r="D510" s="201"/>
      <c r="I510" s="201"/>
      <c r="R510" t="str">
        <f t="shared" si="4"/>
        <v/>
      </c>
      <c r="S510" s="201" t="str">
        <f t="shared" si="2"/>
        <v>#VALUE!</v>
      </c>
      <c r="T510" t="str">
        <f t="shared" si="3"/>
        <v>#VALUE!</v>
      </c>
      <c r="U510">
        <f t="shared" si="1"/>
        <v>0</v>
      </c>
    </row>
    <row r="511">
      <c r="D511" s="201"/>
      <c r="I511" s="201"/>
      <c r="R511" t="str">
        <f t="shared" si="4"/>
        <v/>
      </c>
      <c r="S511" s="201" t="str">
        <f t="shared" si="2"/>
        <v>#VALUE!</v>
      </c>
      <c r="T511" t="str">
        <f t="shared" si="3"/>
        <v>#VALUE!</v>
      </c>
      <c r="U511">
        <f t="shared" si="1"/>
        <v>0</v>
      </c>
    </row>
    <row r="512">
      <c r="D512" s="201"/>
      <c r="I512" s="201"/>
      <c r="R512" t="str">
        <f t="shared" si="4"/>
        <v/>
      </c>
      <c r="S512" s="201" t="str">
        <f t="shared" si="2"/>
        <v>#VALUE!</v>
      </c>
      <c r="T512" t="str">
        <f t="shared" si="3"/>
        <v>#VALUE!</v>
      </c>
      <c r="U512">
        <f t="shared" si="1"/>
        <v>0</v>
      </c>
    </row>
    <row r="513">
      <c r="D513" s="201"/>
      <c r="I513" s="201"/>
      <c r="R513" t="str">
        <f t="shared" si="4"/>
        <v/>
      </c>
      <c r="S513" s="201" t="str">
        <f t="shared" si="2"/>
        <v>#VALUE!</v>
      </c>
      <c r="T513" t="str">
        <f t="shared" si="3"/>
        <v>#VALUE!</v>
      </c>
      <c r="U513">
        <f t="shared" si="1"/>
        <v>0</v>
      </c>
    </row>
    <row r="514">
      <c r="D514" s="201"/>
      <c r="I514" s="201"/>
      <c r="R514" t="str">
        <f t="shared" si="4"/>
        <v/>
      </c>
      <c r="S514" s="201" t="str">
        <f t="shared" si="2"/>
        <v>#VALUE!</v>
      </c>
      <c r="T514" t="str">
        <f t="shared" si="3"/>
        <v>#VALUE!</v>
      </c>
      <c r="U514">
        <f t="shared" si="1"/>
        <v>0</v>
      </c>
    </row>
    <row r="515">
      <c r="D515" s="201"/>
      <c r="I515" s="201"/>
      <c r="R515" t="str">
        <f t="shared" si="4"/>
        <v/>
      </c>
      <c r="S515" s="201" t="str">
        <f t="shared" si="2"/>
        <v>#VALUE!</v>
      </c>
      <c r="T515" t="str">
        <f t="shared" si="3"/>
        <v>#VALUE!</v>
      </c>
      <c r="U515">
        <f t="shared" si="1"/>
        <v>0</v>
      </c>
    </row>
    <row r="516">
      <c r="D516" s="201"/>
      <c r="I516" s="201"/>
      <c r="R516" t="str">
        <f t="shared" si="4"/>
        <v/>
      </c>
      <c r="S516" s="201" t="str">
        <f t="shared" si="2"/>
        <v>#VALUE!</v>
      </c>
      <c r="T516" t="str">
        <f t="shared" si="3"/>
        <v>#VALUE!</v>
      </c>
      <c r="U516">
        <f t="shared" si="1"/>
        <v>0</v>
      </c>
    </row>
    <row r="517">
      <c r="D517" s="201"/>
      <c r="I517" s="201"/>
      <c r="R517" t="str">
        <f t="shared" si="4"/>
        <v/>
      </c>
      <c r="S517" s="201" t="str">
        <f t="shared" si="2"/>
        <v>#VALUE!</v>
      </c>
      <c r="T517" t="str">
        <f t="shared" si="3"/>
        <v>#VALUE!</v>
      </c>
      <c r="U517">
        <f t="shared" si="1"/>
        <v>0</v>
      </c>
    </row>
    <row r="518">
      <c r="D518" s="201"/>
      <c r="I518" s="201"/>
      <c r="R518" t="str">
        <f t="shared" si="4"/>
        <v/>
      </c>
      <c r="S518" s="201" t="str">
        <f t="shared" si="2"/>
        <v>#VALUE!</v>
      </c>
      <c r="T518" t="str">
        <f t="shared" si="3"/>
        <v>#VALUE!</v>
      </c>
      <c r="U518">
        <f t="shared" si="1"/>
        <v>0</v>
      </c>
    </row>
    <row r="519">
      <c r="D519" s="201"/>
      <c r="I519" s="201"/>
      <c r="R519" t="str">
        <f t="shared" si="4"/>
        <v/>
      </c>
      <c r="S519" s="201" t="str">
        <f t="shared" si="2"/>
        <v>#VALUE!</v>
      </c>
      <c r="T519" t="str">
        <f t="shared" si="3"/>
        <v>#VALUE!</v>
      </c>
      <c r="U519">
        <f t="shared" si="1"/>
        <v>0</v>
      </c>
    </row>
    <row r="520">
      <c r="D520" s="201"/>
      <c r="I520" s="201"/>
      <c r="R520" t="str">
        <f t="shared" si="4"/>
        <v/>
      </c>
      <c r="S520" s="201" t="str">
        <f t="shared" si="2"/>
        <v>#VALUE!</v>
      </c>
      <c r="T520" t="str">
        <f t="shared" si="3"/>
        <v>#VALUE!</v>
      </c>
      <c r="U520">
        <f t="shared" si="1"/>
        <v>0</v>
      </c>
    </row>
    <row r="521">
      <c r="D521" s="201"/>
      <c r="I521" s="201"/>
      <c r="R521" t="str">
        <f t="shared" si="4"/>
        <v/>
      </c>
      <c r="S521" s="201" t="str">
        <f t="shared" si="2"/>
        <v>#VALUE!</v>
      </c>
      <c r="T521" t="str">
        <f t="shared" si="3"/>
        <v>#VALUE!</v>
      </c>
      <c r="U521">
        <f t="shared" si="1"/>
        <v>0</v>
      </c>
    </row>
    <row r="522">
      <c r="D522" s="201"/>
      <c r="I522" s="201"/>
      <c r="R522" t="str">
        <f t="shared" si="4"/>
        <v/>
      </c>
      <c r="S522" s="201" t="str">
        <f t="shared" si="2"/>
        <v>#VALUE!</v>
      </c>
      <c r="T522" t="str">
        <f t="shared" si="3"/>
        <v>#VALUE!</v>
      </c>
      <c r="U522">
        <f t="shared" si="1"/>
        <v>0</v>
      </c>
    </row>
    <row r="523">
      <c r="D523" s="201"/>
      <c r="I523" s="201"/>
      <c r="R523" t="str">
        <f t="shared" si="4"/>
        <v/>
      </c>
      <c r="S523" s="201" t="str">
        <f t="shared" si="2"/>
        <v>#VALUE!</v>
      </c>
      <c r="T523" t="str">
        <f t="shared" si="3"/>
        <v>#VALUE!</v>
      </c>
      <c r="U523">
        <f t="shared" si="1"/>
        <v>0</v>
      </c>
    </row>
    <row r="524">
      <c r="D524" s="201"/>
      <c r="I524" s="201"/>
      <c r="R524" t="str">
        <f t="shared" si="4"/>
        <v/>
      </c>
      <c r="S524" s="201" t="str">
        <f t="shared" si="2"/>
        <v>#VALUE!</v>
      </c>
      <c r="T524" t="str">
        <f t="shared" si="3"/>
        <v>#VALUE!</v>
      </c>
      <c r="U524">
        <f t="shared" si="1"/>
        <v>0</v>
      </c>
    </row>
    <row r="525">
      <c r="D525" s="201"/>
      <c r="I525" s="201"/>
      <c r="R525" t="str">
        <f t="shared" si="4"/>
        <v/>
      </c>
      <c r="S525" s="201" t="str">
        <f t="shared" si="2"/>
        <v>#VALUE!</v>
      </c>
      <c r="T525" t="str">
        <f t="shared" si="3"/>
        <v>#VALUE!</v>
      </c>
      <c r="U525">
        <f t="shared" si="1"/>
        <v>0</v>
      </c>
    </row>
    <row r="526">
      <c r="D526" s="201"/>
      <c r="I526" s="201"/>
      <c r="R526" t="str">
        <f t="shared" si="4"/>
        <v/>
      </c>
      <c r="S526" s="201" t="str">
        <f t="shared" si="2"/>
        <v>#VALUE!</v>
      </c>
      <c r="T526" t="str">
        <f t="shared" si="3"/>
        <v>#VALUE!</v>
      </c>
      <c r="U526">
        <f t="shared" si="1"/>
        <v>0</v>
      </c>
    </row>
    <row r="527">
      <c r="D527" s="201"/>
      <c r="I527" s="201"/>
      <c r="R527" t="str">
        <f t="shared" si="4"/>
        <v/>
      </c>
      <c r="S527" s="201" t="str">
        <f t="shared" si="2"/>
        <v>#VALUE!</v>
      </c>
      <c r="T527" t="str">
        <f t="shared" si="3"/>
        <v>#VALUE!</v>
      </c>
      <c r="U527">
        <f t="shared" si="1"/>
        <v>0</v>
      </c>
    </row>
    <row r="528">
      <c r="D528" s="201"/>
      <c r="I528" s="201"/>
      <c r="R528" t="str">
        <f t="shared" si="4"/>
        <v/>
      </c>
      <c r="S528" s="201" t="str">
        <f t="shared" si="2"/>
        <v>#VALUE!</v>
      </c>
      <c r="T528" t="str">
        <f t="shared" si="3"/>
        <v>#VALUE!</v>
      </c>
      <c r="U528">
        <f t="shared" si="1"/>
        <v>0</v>
      </c>
    </row>
    <row r="529">
      <c r="D529" s="201"/>
      <c r="I529" s="201"/>
      <c r="R529" t="str">
        <f t="shared" si="4"/>
        <v/>
      </c>
      <c r="S529" s="201" t="str">
        <f t="shared" si="2"/>
        <v>#VALUE!</v>
      </c>
      <c r="T529" t="str">
        <f t="shared" si="3"/>
        <v>#VALUE!</v>
      </c>
      <c r="U529">
        <f t="shared" si="1"/>
        <v>0</v>
      </c>
    </row>
    <row r="530">
      <c r="D530" s="201"/>
      <c r="I530" s="201"/>
      <c r="R530" t="str">
        <f t="shared" si="4"/>
        <v/>
      </c>
      <c r="S530" s="201" t="str">
        <f t="shared" si="2"/>
        <v>#VALUE!</v>
      </c>
      <c r="T530" t="str">
        <f t="shared" si="3"/>
        <v>#VALUE!</v>
      </c>
      <c r="U530">
        <f t="shared" si="1"/>
        <v>0</v>
      </c>
    </row>
    <row r="531">
      <c r="D531" s="201"/>
      <c r="I531" s="201"/>
      <c r="R531" t="str">
        <f t="shared" si="4"/>
        <v/>
      </c>
      <c r="S531" s="201" t="str">
        <f t="shared" si="2"/>
        <v>#VALUE!</v>
      </c>
      <c r="T531" t="str">
        <f t="shared" si="3"/>
        <v>#VALUE!</v>
      </c>
      <c r="U531">
        <f t="shared" si="1"/>
        <v>0</v>
      </c>
    </row>
    <row r="532">
      <c r="D532" s="201"/>
      <c r="I532" s="201"/>
      <c r="R532" t="str">
        <f t="shared" si="4"/>
        <v/>
      </c>
      <c r="S532" s="201" t="str">
        <f t="shared" si="2"/>
        <v>#VALUE!</v>
      </c>
      <c r="T532" t="str">
        <f t="shared" si="3"/>
        <v>#VALUE!</v>
      </c>
      <c r="U532">
        <f t="shared" si="1"/>
        <v>0</v>
      </c>
    </row>
    <row r="533">
      <c r="D533" s="201"/>
      <c r="I533" s="201"/>
      <c r="R533" t="str">
        <f t="shared" si="4"/>
        <v/>
      </c>
      <c r="S533" s="201" t="str">
        <f t="shared" si="2"/>
        <v>#VALUE!</v>
      </c>
      <c r="T533" t="str">
        <f t="shared" si="3"/>
        <v>#VALUE!</v>
      </c>
      <c r="U533">
        <f t="shared" si="1"/>
        <v>0</v>
      </c>
    </row>
    <row r="534">
      <c r="D534" s="201"/>
      <c r="I534" s="201"/>
      <c r="R534" t="str">
        <f t="shared" si="4"/>
        <v/>
      </c>
      <c r="S534" s="201" t="str">
        <f t="shared" si="2"/>
        <v>#VALUE!</v>
      </c>
      <c r="T534" t="str">
        <f t="shared" si="3"/>
        <v>#VALUE!</v>
      </c>
      <c r="U534">
        <f t="shared" si="1"/>
        <v>0</v>
      </c>
    </row>
    <row r="535">
      <c r="D535" s="201"/>
      <c r="I535" s="201"/>
      <c r="R535" t="str">
        <f t="shared" si="4"/>
        <v/>
      </c>
      <c r="S535" s="201" t="str">
        <f t="shared" si="2"/>
        <v>#VALUE!</v>
      </c>
      <c r="T535" t="str">
        <f t="shared" si="3"/>
        <v>#VALUE!</v>
      </c>
      <c r="U535">
        <f t="shared" si="1"/>
        <v>0</v>
      </c>
    </row>
    <row r="536">
      <c r="D536" s="201"/>
      <c r="I536" s="201"/>
      <c r="R536" t="str">
        <f t="shared" si="4"/>
        <v/>
      </c>
      <c r="S536" s="201" t="str">
        <f t="shared" si="2"/>
        <v>#VALUE!</v>
      </c>
      <c r="T536" t="str">
        <f t="shared" si="3"/>
        <v>#VALUE!</v>
      </c>
      <c r="U536">
        <f t="shared" si="1"/>
        <v>0</v>
      </c>
    </row>
    <row r="537">
      <c r="D537" s="201"/>
      <c r="I537" s="201"/>
      <c r="R537" t="str">
        <f t="shared" si="4"/>
        <v/>
      </c>
      <c r="S537" s="201" t="str">
        <f t="shared" si="2"/>
        <v>#VALUE!</v>
      </c>
      <c r="T537" t="str">
        <f t="shared" si="3"/>
        <v>#VALUE!</v>
      </c>
      <c r="U537">
        <f t="shared" si="1"/>
        <v>0</v>
      </c>
    </row>
    <row r="538">
      <c r="D538" s="201"/>
      <c r="I538" s="201"/>
      <c r="R538" t="str">
        <f t="shared" si="4"/>
        <v/>
      </c>
      <c r="S538" s="201" t="str">
        <f t="shared" si="2"/>
        <v>#VALUE!</v>
      </c>
      <c r="T538" t="str">
        <f t="shared" si="3"/>
        <v>#VALUE!</v>
      </c>
      <c r="U538">
        <f t="shared" si="1"/>
        <v>0</v>
      </c>
    </row>
    <row r="539">
      <c r="D539" s="201"/>
      <c r="I539" s="201"/>
      <c r="R539" t="str">
        <f t="shared" si="4"/>
        <v/>
      </c>
      <c r="S539" s="201" t="str">
        <f t="shared" si="2"/>
        <v>#VALUE!</v>
      </c>
      <c r="T539" t="str">
        <f t="shared" si="3"/>
        <v>#VALUE!</v>
      </c>
      <c r="U539">
        <f t="shared" si="1"/>
        <v>0</v>
      </c>
    </row>
    <row r="540">
      <c r="D540" s="201"/>
      <c r="I540" s="201"/>
      <c r="R540" t="str">
        <f t="shared" si="4"/>
        <v/>
      </c>
      <c r="S540" s="201" t="str">
        <f t="shared" si="2"/>
        <v>#VALUE!</v>
      </c>
      <c r="T540" t="str">
        <f t="shared" si="3"/>
        <v>#VALUE!</v>
      </c>
      <c r="U540">
        <f t="shared" si="1"/>
        <v>0</v>
      </c>
    </row>
    <row r="541">
      <c r="D541" s="201"/>
      <c r="I541" s="201"/>
      <c r="R541" t="str">
        <f t="shared" si="4"/>
        <v/>
      </c>
      <c r="S541" s="201" t="str">
        <f t="shared" si="2"/>
        <v>#VALUE!</v>
      </c>
      <c r="T541" t="str">
        <f t="shared" si="3"/>
        <v>#VALUE!</v>
      </c>
      <c r="U541">
        <f t="shared" si="1"/>
        <v>0</v>
      </c>
    </row>
    <row r="542">
      <c r="D542" s="201"/>
      <c r="I542" s="201"/>
      <c r="R542" t="str">
        <f t="shared" si="4"/>
        <v/>
      </c>
      <c r="S542" s="201" t="str">
        <f t="shared" si="2"/>
        <v>#VALUE!</v>
      </c>
      <c r="T542" t="str">
        <f t="shared" si="3"/>
        <v>#VALUE!</v>
      </c>
      <c r="U542">
        <f t="shared" si="1"/>
        <v>0</v>
      </c>
    </row>
    <row r="543">
      <c r="D543" s="201"/>
      <c r="I543" s="201"/>
      <c r="R543" t="str">
        <f t="shared" si="4"/>
        <v/>
      </c>
      <c r="S543" s="201" t="str">
        <f t="shared" si="2"/>
        <v>#VALUE!</v>
      </c>
      <c r="T543" t="str">
        <f t="shared" si="3"/>
        <v>#VALUE!</v>
      </c>
      <c r="U543">
        <f t="shared" si="1"/>
        <v>0</v>
      </c>
    </row>
    <row r="544">
      <c r="D544" s="201"/>
      <c r="I544" s="201"/>
      <c r="R544" t="str">
        <f t="shared" si="4"/>
        <v/>
      </c>
      <c r="S544" s="201" t="str">
        <f t="shared" si="2"/>
        <v>#VALUE!</v>
      </c>
      <c r="T544" t="str">
        <f t="shared" si="3"/>
        <v>#VALUE!</v>
      </c>
      <c r="U544">
        <f t="shared" si="1"/>
        <v>0</v>
      </c>
    </row>
    <row r="545">
      <c r="D545" s="201"/>
      <c r="I545" s="201"/>
      <c r="R545" t="str">
        <f t="shared" si="4"/>
        <v/>
      </c>
      <c r="S545" s="201" t="str">
        <f t="shared" si="2"/>
        <v>#VALUE!</v>
      </c>
      <c r="T545" t="str">
        <f t="shared" si="3"/>
        <v>#VALUE!</v>
      </c>
      <c r="U545">
        <f t="shared" si="1"/>
        <v>0</v>
      </c>
    </row>
    <row r="546">
      <c r="D546" s="201"/>
      <c r="I546" s="201"/>
      <c r="R546" t="str">
        <f t="shared" si="4"/>
        <v/>
      </c>
      <c r="S546" s="201" t="str">
        <f t="shared" si="2"/>
        <v>#VALUE!</v>
      </c>
      <c r="T546" t="str">
        <f t="shared" si="3"/>
        <v>#VALUE!</v>
      </c>
      <c r="U546">
        <f t="shared" si="1"/>
        <v>0</v>
      </c>
    </row>
    <row r="547">
      <c r="D547" s="201"/>
      <c r="I547" s="201"/>
      <c r="R547" t="str">
        <f t="shared" si="4"/>
        <v/>
      </c>
      <c r="S547" s="201" t="str">
        <f t="shared" si="2"/>
        <v>#VALUE!</v>
      </c>
      <c r="T547" t="str">
        <f t="shared" si="3"/>
        <v>#VALUE!</v>
      </c>
      <c r="U547">
        <f t="shared" si="1"/>
        <v>0</v>
      </c>
    </row>
    <row r="548">
      <c r="D548" s="201"/>
      <c r="I548" s="201"/>
      <c r="R548" t="str">
        <f t="shared" si="4"/>
        <v/>
      </c>
      <c r="S548" s="201" t="str">
        <f t="shared" si="2"/>
        <v>#VALUE!</v>
      </c>
      <c r="T548" t="str">
        <f t="shared" si="3"/>
        <v>#VALUE!</v>
      </c>
      <c r="U548">
        <f t="shared" si="1"/>
        <v>0</v>
      </c>
    </row>
    <row r="549">
      <c r="D549" s="201"/>
      <c r="I549" s="201"/>
      <c r="R549" t="str">
        <f t="shared" si="4"/>
        <v/>
      </c>
      <c r="S549" s="201" t="str">
        <f t="shared" si="2"/>
        <v>#VALUE!</v>
      </c>
      <c r="T549" t="str">
        <f t="shared" si="3"/>
        <v>#VALUE!</v>
      </c>
      <c r="U549">
        <f t="shared" si="1"/>
        <v>0</v>
      </c>
    </row>
    <row r="550">
      <c r="D550" s="201"/>
      <c r="I550" s="201"/>
      <c r="R550" t="str">
        <f t="shared" si="4"/>
        <v/>
      </c>
      <c r="S550" s="201" t="str">
        <f t="shared" si="2"/>
        <v>#VALUE!</v>
      </c>
      <c r="T550" t="str">
        <f t="shared" si="3"/>
        <v>#VALUE!</v>
      </c>
      <c r="U550">
        <f t="shared" si="1"/>
        <v>0</v>
      </c>
    </row>
    <row r="551">
      <c r="D551" s="201"/>
      <c r="I551" s="201"/>
      <c r="R551" t="str">
        <f t="shared" si="4"/>
        <v/>
      </c>
      <c r="S551" s="201" t="str">
        <f t="shared" si="2"/>
        <v>#VALUE!</v>
      </c>
      <c r="T551" t="str">
        <f t="shared" si="3"/>
        <v>#VALUE!</v>
      </c>
      <c r="U551">
        <f t="shared" si="1"/>
        <v>0</v>
      </c>
    </row>
    <row r="552">
      <c r="D552" s="201"/>
      <c r="I552" s="201"/>
      <c r="R552" t="str">
        <f t="shared" si="4"/>
        <v/>
      </c>
      <c r="S552" s="201" t="str">
        <f t="shared" si="2"/>
        <v>#VALUE!</v>
      </c>
      <c r="T552" t="str">
        <f t="shared" si="3"/>
        <v>#VALUE!</v>
      </c>
      <c r="U552">
        <f t="shared" si="1"/>
        <v>0</v>
      </c>
    </row>
    <row r="553">
      <c r="D553" s="201"/>
      <c r="I553" s="201"/>
      <c r="R553" t="str">
        <f t="shared" si="4"/>
        <v/>
      </c>
      <c r="S553" s="201" t="str">
        <f t="shared" si="2"/>
        <v>#VALUE!</v>
      </c>
      <c r="T553" t="str">
        <f t="shared" si="3"/>
        <v>#VALUE!</v>
      </c>
      <c r="U553">
        <f t="shared" si="1"/>
        <v>0</v>
      </c>
    </row>
    <row r="554">
      <c r="D554" s="201"/>
      <c r="I554" s="201"/>
      <c r="R554" t="str">
        <f t="shared" si="4"/>
        <v/>
      </c>
      <c r="S554" s="201" t="str">
        <f t="shared" si="2"/>
        <v>#VALUE!</v>
      </c>
      <c r="T554" t="str">
        <f t="shared" si="3"/>
        <v>#VALUE!</v>
      </c>
      <c r="U554">
        <f t="shared" si="1"/>
        <v>0</v>
      </c>
    </row>
    <row r="555">
      <c r="D555" s="201"/>
      <c r="I555" s="201"/>
      <c r="R555" t="str">
        <f t="shared" si="4"/>
        <v/>
      </c>
      <c r="S555" s="201" t="str">
        <f t="shared" si="2"/>
        <v>#VALUE!</v>
      </c>
      <c r="T555" t="str">
        <f t="shared" si="3"/>
        <v>#VALUE!</v>
      </c>
      <c r="U555">
        <f t="shared" si="1"/>
        <v>0</v>
      </c>
    </row>
    <row r="556">
      <c r="D556" s="201"/>
      <c r="I556" s="201"/>
      <c r="R556" t="str">
        <f t="shared" si="4"/>
        <v/>
      </c>
      <c r="S556" s="201" t="str">
        <f t="shared" si="2"/>
        <v>#VALUE!</v>
      </c>
      <c r="T556" t="str">
        <f t="shared" si="3"/>
        <v>#VALUE!</v>
      </c>
      <c r="U556">
        <f t="shared" si="1"/>
        <v>0</v>
      </c>
    </row>
    <row r="557">
      <c r="D557" s="201"/>
      <c r="I557" s="201"/>
      <c r="R557" t="str">
        <f t="shared" si="4"/>
        <v/>
      </c>
      <c r="S557" s="201" t="str">
        <f t="shared" si="2"/>
        <v>#VALUE!</v>
      </c>
      <c r="T557" t="str">
        <f t="shared" si="3"/>
        <v>#VALUE!</v>
      </c>
      <c r="U557">
        <f t="shared" si="1"/>
        <v>0</v>
      </c>
    </row>
    <row r="558">
      <c r="D558" s="201"/>
      <c r="I558" s="201"/>
      <c r="R558" t="str">
        <f t="shared" si="4"/>
        <v/>
      </c>
      <c r="S558" s="201" t="str">
        <f t="shared" si="2"/>
        <v>#VALUE!</v>
      </c>
      <c r="T558" t="str">
        <f t="shared" si="3"/>
        <v>#VALUE!</v>
      </c>
      <c r="U558">
        <f t="shared" si="1"/>
        <v>0</v>
      </c>
    </row>
    <row r="559">
      <c r="D559" s="201"/>
      <c r="I559" s="201"/>
      <c r="R559" t="str">
        <f t="shared" si="4"/>
        <v/>
      </c>
      <c r="S559" s="201" t="str">
        <f t="shared" si="2"/>
        <v>#VALUE!</v>
      </c>
      <c r="T559" t="str">
        <f t="shared" si="3"/>
        <v>#VALUE!</v>
      </c>
      <c r="U559">
        <f t="shared" si="1"/>
        <v>0</v>
      </c>
    </row>
    <row r="560">
      <c r="D560" s="201"/>
      <c r="I560" s="201"/>
      <c r="R560" t="str">
        <f t="shared" si="4"/>
        <v/>
      </c>
      <c r="S560" s="201" t="str">
        <f t="shared" si="2"/>
        <v>#VALUE!</v>
      </c>
      <c r="T560" t="str">
        <f t="shared" si="3"/>
        <v>#VALUE!</v>
      </c>
      <c r="U560">
        <f t="shared" si="1"/>
        <v>0</v>
      </c>
    </row>
    <row r="561">
      <c r="D561" s="201"/>
      <c r="I561" s="201"/>
      <c r="R561" t="str">
        <f t="shared" si="4"/>
        <v/>
      </c>
      <c r="S561" s="201" t="str">
        <f t="shared" si="2"/>
        <v>#VALUE!</v>
      </c>
      <c r="T561" t="str">
        <f t="shared" si="3"/>
        <v>#VALUE!</v>
      </c>
      <c r="U561">
        <f t="shared" si="1"/>
        <v>0</v>
      </c>
    </row>
    <row r="562">
      <c r="D562" s="201"/>
      <c r="I562" s="201"/>
      <c r="R562" t="str">
        <f t="shared" si="4"/>
        <v/>
      </c>
      <c r="S562" s="201" t="str">
        <f t="shared" si="2"/>
        <v>#VALUE!</v>
      </c>
      <c r="T562" t="str">
        <f t="shared" si="3"/>
        <v>#VALUE!</v>
      </c>
      <c r="U562">
        <f t="shared" si="1"/>
        <v>0</v>
      </c>
    </row>
    <row r="563">
      <c r="D563" s="201"/>
      <c r="I563" s="201"/>
      <c r="R563" t="str">
        <f t="shared" si="4"/>
        <v/>
      </c>
      <c r="S563" s="201" t="str">
        <f t="shared" si="2"/>
        <v>#VALUE!</v>
      </c>
      <c r="T563" t="str">
        <f t="shared" si="3"/>
        <v>#VALUE!</v>
      </c>
      <c r="U563">
        <f t="shared" si="1"/>
        <v>0</v>
      </c>
    </row>
    <row r="564">
      <c r="D564" s="201"/>
      <c r="I564" s="201"/>
      <c r="R564" t="str">
        <f t="shared" si="4"/>
        <v/>
      </c>
      <c r="S564" s="201" t="str">
        <f t="shared" si="2"/>
        <v>#VALUE!</v>
      </c>
      <c r="T564" t="str">
        <f t="shared" si="3"/>
        <v>#VALUE!</v>
      </c>
      <c r="U564">
        <f t="shared" si="1"/>
        <v>0</v>
      </c>
    </row>
    <row r="565">
      <c r="D565" s="201"/>
      <c r="I565" s="201"/>
      <c r="R565" t="str">
        <f t="shared" si="4"/>
        <v/>
      </c>
      <c r="S565" s="201" t="str">
        <f t="shared" si="2"/>
        <v>#VALUE!</v>
      </c>
      <c r="T565" t="str">
        <f t="shared" si="3"/>
        <v>#VALUE!</v>
      </c>
      <c r="U565">
        <f t="shared" si="1"/>
        <v>0</v>
      </c>
    </row>
    <row r="566">
      <c r="D566" s="201"/>
      <c r="I566" s="201"/>
      <c r="R566" t="str">
        <f t="shared" si="4"/>
        <v/>
      </c>
      <c r="S566" s="201" t="str">
        <f t="shared" si="2"/>
        <v>#VALUE!</v>
      </c>
      <c r="T566" t="str">
        <f t="shared" si="3"/>
        <v>#VALUE!</v>
      </c>
      <c r="U566">
        <f t="shared" si="1"/>
        <v>0</v>
      </c>
    </row>
    <row r="567">
      <c r="D567" s="201"/>
      <c r="I567" s="201"/>
      <c r="R567" t="str">
        <f t="shared" si="4"/>
        <v/>
      </c>
      <c r="S567" s="201" t="str">
        <f t="shared" si="2"/>
        <v>#VALUE!</v>
      </c>
      <c r="T567" t="str">
        <f t="shared" si="3"/>
        <v>#VALUE!</v>
      </c>
      <c r="U567">
        <f t="shared" si="1"/>
        <v>0</v>
      </c>
    </row>
    <row r="568">
      <c r="D568" s="201"/>
      <c r="I568" s="201"/>
      <c r="R568" t="str">
        <f t="shared" si="4"/>
        <v/>
      </c>
      <c r="S568" s="201" t="str">
        <f t="shared" si="2"/>
        <v>#VALUE!</v>
      </c>
      <c r="T568" t="str">
        <f t="shared" si="3"/>
        <v>#VALUE!</v>
      </c>
      <c r="U568">
        <f t="shared" si="1"/>
        <v>0</v>
      </c>
    </row>
    <row r="569">
      <c r="D569" s="201"/>
      <c r="I569" s="201"/>
      <c r="R569" t="str">
        <f t="shared" si="4"/>
        <v/>
      </c>
      <c r="S569" s="201" t="str">
        <f t="shared" si="2"/>
        <v>#VALUE!</v>
      </c>
      <c r="T569" t="str">
        <f t="shared" si="3"/>
        <v>#VALUE!</v>
      </c>
      <c r="U569">
        <f t="shared" si="1"/>
        <v>0</v>
      </c>
    </row>
    <row r="570">
      <c r="D570" s="201"/>
      <c r="I570" s="201"/>
      <c r="R570" t="str">
        <f t="shared" si="4"/>
        <v/>
      </c>
      <c r="S570" s="201" t="str">
        <f t="shared" si="2"/>
        <v>#VALUE!</v>
      </c>
      <c r="T570" t="str">
        <f t="shared" si="3"/>
        <v>#VALUE!</v>
      </c>
      <c r="U570">
        <f t="shared" si="1"/>
        <v>0</v>
      </c>
    </row>
    <row r="571">
      <c r="D571" s="201"/>
      <c r="I571" s="201"/>
      <c r="R571" t="str">
        <f t="shared" si="4"/>
        <v/>
      </c>
      <c r="S571" s="201" t="str">
        <f t="shared" si="2"/>
        <v>#VALUE!</v>
      </c>
      <c r="T571" t="str">
        <f t="shared" si="3"/>
        <v>#VALUE!</v>
      </c>
      <c r="U571">
        <f t="shared" si="1"/>
        <v>0</v>
      </c>
    </row>
    <row r="572">
      <c r="D572" s="201"/>
      <c r="I572" s="201"/>
      <c r="R572" t="str">
        <f t="shared" si="4"/>
        <v/>
      </c>
      <c r="S572" s="201" t="str">
        <f t="shared" si="2"/>
        <v>#VALUE!</v>
      </c>
      <c r="T572" t="str">
        <f t="shared" si="3"/>
        <v>#VALUE!</v>
      </c>
      <c r="U572">
        <f t="shared" si="1"/>
        <v>0</v>
      </c>
    </row>
    <row r="573">
      <c r="D573" s="201"/>
      <c r="I573" s="201"/>
      <c r="R573" t="str">
        <f t="shared" si="4"/>
        <v/>
      </c>
      <c r="S573" s="201" t="str">
        <f t="shared" si="2"/>
        <v>#VALUE!</v>
      </c>
      <c r="T573" t="str">
        <f t="shared" si="3"/>
        <v>#VALUE!</v>
      </c>
      <c r="U573">
        <f t="shared" si="1"/>
        <v>0</v>
      </c>
    </row>
    <row r="574">
      <c r="D574" s="201"/>
      <c r="I574" s="201"/>
      <c r="R574" t="str">
        <f t="shared" si="4"/>
        <v/>
      </c>
      <c r="S574" s="201" t="str">
        <f t="shared" si="2"/>
        <v>#VALUE!</v>
      </c>
      <c r="T574" t="str">
        <f t="shared" si="3"/>
        <v>#VALUE!</v>
      </c>
      <c r="U574">
        <f t="shared" si="1"/>
        <v>0</v>
      </c>
    </row>
    <row r="575">
      <c r="D575" s="201"/>
      <c r="I575" s="201"/>
      <c r="R575" t="str">
        <f t="shared" si="4"/>
        <v/>
      </c>
      <c r="S575" s="201" t="str">
        <f t="shared" si="2"/>
        <v>#VALUE!</v>
      </c>
      <c r="T575" t="str">
        <f t="shared" si="3"/>
        <v>#VALUE!</v>
      </c>
      <c r="U575">
        <f t="shared" si="1"/>
        <v>0</v>
      </c>
    </row>
    <row r="576">
      <c r="D576" s="201"/>
      <c r="I576" s="201"/>
      <c r="R576" t="str">
        <f t="shared" si="4"/>
        <v/>
      </c>
      <c r="S576" s="201" t="str">
        <f t="shared" si="2"/>
        <v>#VALUE!</v>
      </c>
      <c r="T576" t="str">
        <f t="shared" si="3"/>
        <v>#VALUE!</v>
      </c>
      <c r="U576">
        <f t="shared" si="1"/>
        <v>0</v>
      </c>
    </row>
    <row r="577">
      <c r="D577" s="201"/>
      <c r="I577" s="201"/>
      <c r="R577" t="str">
        <f t="shared" si="4"/>
        <v/>
      </c>
      <c r="S577" s="201" t="str">
        <f t="shared" si="2"/>
        <v>#VALUE!</v>
      </c>
      <c r="T577" t="str">
        <f t="shared" si="3"/>
        <v>#VALUE!</v>
      </c>
      <c r="U577">
        <f t="shared" si="1"/>
        <v>0</v>
      </c>
    </row>
    <row r="578">
      <c r="D578" s="201"/>
      <c r="I578" s="201"/>
      <c r="R578" t="str">
        <f t="shared" si="4"/>
        <v/>
      </c>
      <c r="S578" s="201" t="str">
        <f t="shared" si="2"/>
        <v>#VALUE!</v>
      </c>
      <c r="T578" t="str">
        <f t="shared" si="3"/>
        <v>#VALUE!</v>
      </c>
      <c r="U578">
        <f t="shared" si="1"/>
        <v>0</v>
      </c>
    </row>
    <row r="579">
      <c r="D579" s="201"/>
      <c r="I579" s="201"/>
      <c r="R579" t="str">
        <f t="shared" si="4"/>
        <v/>
      </c>
      <c r="S579" s="201" t="str">
        <f t="shared" si="2"/>
        <v>#VALUE!</v>
      </c>
      <c r="T579" t="str">
        <f t="shared" si="3"/>
        <v>#VALUE!</v>
      </c>
      <c r="U579">
        <f t="shared" si="1"/>
        <v>0</v>
      </c>
    </row>
    <row r="580">
      <c r="D580" s="201"/>
      <c r="I580" s="201"/>
      <c r="R580" t="str">
        <f t="shared" si="4"/>
        <v/>
      </c>
      <c r="S580" s="201" t="str">
        <f t="shared" si="2"/>
        <v>#VALUE!</v>
      </c>
      <c r="T580" t="str">
        <f t="shared" si="3"/>
        <v>#VALUE!</v>
      </c>
      <c r="U580">
        <f t="shared" si="1"/>
        <v>0</v>
      </c>
    </row>
    <row r="581">
      <c r="D581" s="201"/>
      <c r="I581" s="201"/>
      <c r="R581" t="str">
        <f t="shared" si="4"/>
        <v/>
      </c>
      <c r="S581" s="201" t="str">
        <f t="shared" si="2"/>
        <v>#VALUE!</v>
      </c>
      <c r="T581" t="str">
        <f t="shared" si="3"/>
        <v>#VALUE!</v>
      </c>
      <c r="U581">
        <f t="shared" si="1"/>
        <v>0</v>
      </c>
    </row>
    <row r="582">
      <c r="D582" s="201"/>
      <c r="I582" s="201"/>
      <c r="R582" t="str">
        <f t="shared" si="4"/>
        <v/>
      </c>
      <c r="S582" s="201" t="str">
        <f t="shared" si="2"/>
        <v>#VALUE!</v>
      </c>
      <c r="T582" t="str">
        <f t="shared" si="3"/>
        <v>#VALUE!</v>
      </c>
      <c r="U582">
        <f t="shared" si="1"/>
        <v>0</v>
      </c>
    </row>
    <row r="583">
      <c r="D583" s="201"/>
      <c r="I583" s="201"/>
      <c r="R583" t="str">
        <f t="shared" si="4"/>
        <v/>
      </c>
      <c r="S583" s="201" t="str">
        <f t="shared" si="2"/>
        <v>#VALUE!</v>
      </c>
      <c r="T583" t="str">
        <f t="shared" si="3"/>
        <v>#VALUE!</v>
      </c>
      <c r="U583">
        <f t="shared" si="1"/>
        <v>0</v>
      </c>
    </row>
    <row r="584">
      <c r="D584" s="201"/>
      <c r="I584" s="201"/>
      <c r="R584" t="str">
        <f t="shared" si="4"/>
        <v/>
      </c>
      <c r="S584" s="201" t="str">
        <f t="shared" si="2"/>
        <v>#VALUE!</v>
      </c>
      <c r="T584" t="str">
        <f t="shared" si="3"/>
        <v>#VALUE!</v>
      </c>
      <c r="U584">
        <f t="shared" si="1"/>
        <v>0</v>
      </c>
    </row>
    <row r="585">
      <c r="D585" s="201"/>
      <c r="I585" s="201"/>
      <c r="R585" t="str">
        <f t="shared" si="4"/>
        <v/>
      </c>
      <c r="S585" s="201" t="str">
        <f t="shared" si="2"/>
        <v>#VALUE!</v>
      </c>
      <c r="T585" t="str">
        <f t="shared" si="3"/>
        <v>#VALUE!</v>
      </c>
      <c r="U585">
        <f t="shared" si="1"/>
        <v>0</v>
      </c>
    </row>
    <row r="586">
      <c r="D586" s="201"/>
      <c r="I586" s="201"/>
      <c r="R586" t="str">
        <f t="shared" si="4"/>
        <v/>
      </c>
      <c r="S586" s="201" t="str">
        <f t="shared" si="2"/>
        <v>#VALUE!</v>
      </c>
      <c r="T586" t="str">
        <f t="shared" si="3"/>
        <v>#VALUE!</v>
      </c>
      <c r="U586">
        <f t="shared" si="1"/>
        <v>0</v>
      </c>
    </row>
    <row r="587">
      <c r="D587" s="201"/>
      <c r="I587" s="201"/>
      <c r="R587" t="str">
        <f t="shared" si="4"/>
        <v/>
      </c>
      <c r="S587" s="201" t="str">
        <f t="shared" si="2"/>
        <v>#VALUE!</v>
      </c>
      <c r="T587" t="str">
        <f t="shared" si="3"/>
        <v>#VALUE!</v>
      </c>
      <c r="U587">
        <f t="shared" si="1"/>
        <v>0</v>
      </c>
    </row>
    <row r="588">
      <c r="D588" s="201"/>
      <c r="I588" s="201"/>
      <c r="R588" t="str">
        <f t="shared" si="4"/>
        <v/>
      </c>
      <c r="S588" s="201" t="str">
        <f t="shared" si="2"/>
        <v>#VALUE!</v>
      </c>
      <c r="T588" t="str">
        <f t="shared" si="3"/>
        <v>#VALUE!</v>
      </c>
      <c r="U588">
        <f t="shared" si="1"/>
        <v>0</v>
      </c>
    </row>
    <row r="589">
      <c r="D589" s="201"/>
      <c r="I589" s="201"/>
      <c r="R589" t="str">
        <f t="shared" si="4"/>
        <v/>
      </c>
      <c r="S589" s="201" t="str">
        <f t="shared" si="2"/>
        <v>#VALUE!</v>
      </c>
      <c r="T589" t="str">
        <f t="shared" si="3"/>
        <v>#VALUE!</v>
      </c>
      <c r="U589">
        <f t="shared" si="1"/>
        <v>0</v>
      </c>
    </row>
    <row r="590">
      <c r="D590" s="201"/>
      <c r="I590" s="201"/>
      <c r="R590" t="str">
        <f t="shared" si="4"/>
        <v/>
      </c>
      <c r="S590" s="201" t="str">
        <f t="shared" si="2"/>
        <v>#VALUE!</v>
      </c>
      <c r="T590" t="str">
        <f t="shared" si="3"/>
        <v>#VALUE!</v>
      </c>
      <c r="U590">
        <f t="shared" si="1"/>
        <v>0</v>
      </c>
    </row>
    <row r="591">
      <c r="D591" s="201"/>
      <c r="I591" s="201"/>
      <c r="R591" t="str">
        <f t="shared" si="4"/>
        <v/>
      </c>
      <c r="S591" s="201" t="str">
        <f t="shared" si="2"/>
        <v>#VALUE!</v>
      </c>
      <c r="T591" t="str">
        <f t="shared" si="3"/>
        <v>#VALUE!</v>
      </c>
      <c r="U591">
        <f t="shared" si="1"/>
        <v>0</v>
      </c>
    </row>
    <row r="592">
      <c r="D592" s="201"/>
      <c r="I592" s="201"/>
      <c r="R592" t="str">
        <f t="shared" si="4"/>
        <v/>
      </c>
      <c r="S592" s="201" t="str">
        <f t="shared" si="2"/>
        <v>#VALUE!</v>
      </c>
      <c r="T592" t="str">
        <f t="shared" si="3"/>
        <v>#VALUE!</v>
      </c>
      <c r="U592">
        <f t="shared" si="1"/>
        <v>0</v>
      </c>
    </row>
    <row r="593">
      <c r="D593" s="201"/>
      <c r="I593" s="201"/>
      <c r="R593" t="str">
        <f t="shared" si="4"/>
        <v/>
      </c>
      <c r="S593" s="201" t="str">
        <f t="shared" si="2"/>
        <v>#VALUE!</v>
      </c>
      <c r="T593" t="str">
        <f t="shared" si="3"/>
        <v>#VALUE!</v>
      </c>
      <c r="U593">
        <f t="shared" si="1"/>
        <v>0</v>
      </c>
    </row>
    <row r="594">
      <c r="D594" s="201"/>
      <c r="I594" s="201"/>
      <c r="R594" t="str">
        <f t="shared" si="4"/>
        <v/>
      </c>
      <c r="S594" s="201" t="str">
        <f t="shared" si="2"/>
        <v>#VALUE!</v>
      </c>
      <c r="T594" t="str">
        <f t="shared" si="3"/>
        <v>#VALUE!</v>
      </c>
      <c r="U594">
        <f t="shared" si="1"/>
        <v>0</v>
      </c>
    </row>
    <row r="595">
      <c r="D595" s="201"/>
      <c r="I595" s="201"/>
      <c r="R595" t="str">
        <f t="shared" si="4"/>
        <v/>
      </c>
      <c r="S595" s="201" t="str">
        <f t="shared" si="2"/>
        <v>#VALUE!</v>
      </c>
      <c r="T595" t="str">
        <f t="shared" si="3"/>
        <v>#VALUE!</v>
      </c>
      <c r="U595">
        <f t="shared" si="1"/>
        <v>0</v>
      </c>
    </row>
    <row r="596">
      <c r="D596" s="201"/>
      <c r="I596" s="201"/>
      <c r="R596" t="str">
        <f t="shared" si="4"/>
        <v/>
      </c>
      <c r="S596" s="201" t="str">
        <f t="shared" si="2"/>
        <v>#VALUE!</v>
      </c>
      <c r="T596" t="str">
        <f t="shared" si="3"/>
        <v>#VALUE!</v>
      </c>
      <c r="U596">
        <f t="shared" si="1"/>
        <v>0</v>
      </c>
    </row>
    <row r="597">
      <c r="D597" s="201"/>
      <c r="I597" s="201"/>
      <c r="R597" t="str">
        <f t="shared" si="4"/>
        <v/>
      </c>
      <c r="S597" s="201" t="str">
        <f t="shared" si="2"/>
        <v>#VALUE!</v>
      </c>
      <c r="T597" t="str">
        <f t="shared" si="3"/>
        <v>#VALUE!</v>
      </c>
      <c r="U597">
        <f t="shared" si="1"/>
        <v>0</v>
      </c>
    </row>
    <row r="598">
      <c r="D598" s="201"/>
      <c r="I598" s="201"/>
      <c r="R598" t="str">
        <f t="shared" si="4"/>
        <v/>
      </c>
      <c r="S598" s="201" t="str">
        <f t="shared" si="2"/>
        <v>#VALUE!</v>
      </c>
      <c r="T598" t="str">
        <f t="shared" si="3"/>
        <v>#VALUE!</v>
      </c>
      <c r="U598">
        <f t="shared" si="1"/>
        <v>0</v>
      </c>
    </row>
    <row r="599">
      <c r="D599" s="201"/>
      <c r="I599" s="201"/>
      <c r="R599" t="str">
        <f t="shared" si="4"/>
        <v/>
      </c>
      <c r="S599" s="201" t="str">
        <f t="shared" si="2"/>
        <v>#VALUE!</v>
      </c>
      <c r="T599" t="str">
        <f t="shared" si="3"/>
        <v>#VALUE!</v>
      </c>
      <c r="U599">
        <f t="shared" si="1"/>
        <v>0</v>
      </c>
    </row>
    <row r="600">
      <c r="D600" s="201"/>
      <c r="I600" s="201"/>
      <c r="R600" t="str">
        <f t="shared" si="4"/>
        <v/>
      </c>
      <c r="S600" s="201" t="str">
        <f t="shared" si="2"/>
        <v>#VALUE!</v>
      </c>
      <c r="T600" t="str">
        <f t="shared" si="3"/>
        <v>#VALUE!</v>
      </c>
      <c r="U600">
        <f t="shared" si="1"/>
        <v>0</v>
      </c>
    </row>
    <row r="601">
      <c r="D601" s="201"/>
      <c r="I601" s="201"/>
      <c r="R601" t="str">
        <f t="shared" si="4"/>
        <v/>
      </c>
      <c r="S601" s="201" t="str">
        <f t="shared" si="2"/>
        <v>#VALUE!</v>
      </c>
      <c r="T601" t="str">
        <f t="shared" si="3"/>
        <v>#VALUE!</v>
      </c>
      <c r="U601">
        <f t="shared" si="1"/>
        <v>0</v>
      </c>
    </row>
    <row r="602">
      <c r="D602" s="201"/>
      <c r="I602" s="201"/>
      <c r="R602" t="str">
        <f t="shared" si="4"/>
        <v/>
      </c>
      <c r="S602" s="201" t="str">
        <f t="shared" si="2"/>
        <v>#VALUE!</v>
      </c>
      <c r="T602" t="str">
        <f t="shared" si="3"/>
        <v>#VALUE!</v>
      </c>
      <c r="U602">
        <f t="shared" si="1"/>
        <v>0</v>
      </c>
    </row>
    <row r="603">
      <c r="D603" s="201"/>
      <c r="I603" s="201"/>
      <c r="R603" t="str">
        <f t="shared" si="4"/>
        <v/>
      </c>
      <c r="S603" s="201" t="str">
        <f t="shared" si="2"/>
        <v>#VALUE!</v>
      </c>
      <c r="T603" t="str">
        <f t="shared" si="3"/>
        <v>#VALUE!</v>
      </c>
      <c r="U603">
        <f t="shared" si="1"/>
        <v>0</v>
      </c>
    </row>
    <row r="604">
      <c r="D604" s="201"/>
      <c r="I604" s="201"/>
      <c r="R604" t="str">
        <f t="shared" si="4"/>
        <v/>
      </c>
      <c r="S604" s="201" t="str">
        <f t="shared" si="2"/>
        <v>#VALUE!</v>
      </c>
      <c r="T604" t="str">
        <f t="shared" si="3"/>
        <v>#VALUE!</v>
      </c>
      <c r="U604">
        <f t="shared" si="1"/>
        <v>0</v>
      </c>
    </row>
    <row r="605">
      <c r="D605" s="201"/>
      <c r="I605" s="201"/>
      <c r="R605" t="str">
        <f t="shared" si="4"/>
        <v/>
      </c>
      <c r="S605" s="201" t="str">
        <f t="shared" si="2"/>
        <v>#VALUE!</v>
      </c>
      <c r="T605" t="str">
        <f t="shared" si="3"/>
        <v>#VALUE!</v>
      </c>
      <c r="U605">
        <f t="shared" si="1"/>
        <v>0</v>
      </c>
    </row>
    <row r="606">
      <c r="D606" s="201"/>
      <c r="I606" s="201"/>
      <c r="R606" t="str">
        <f t="shared" si="4"/>
        <v/>
      </c>
      <c r="S606" s="201" t="str">
        <f t="shared" si="2"/>
        <v>#VALUE!</v>
      </c>
      <c r="T606" t="str">
        <f t="shared" si="3"/>
        <v>#VALUE!</v>
      </c>
      <c r="U606">
        <f t="shared" si="1"/>
        <v>0</v>
      </c>
    </row>
    <row r="607">
      <c r="D607" s="201"/>
      <c r="I607" s="201"/>
      <c r="R607" t="str">
        <f t="shared" si="4"/>
        <v/>
      </c>
      <c r="S607" s="201" t="str">
        <f t="shared" si="2"/>
        <v>#VALUE!</v>
      </c>
      <c r="T607" t="str">
        <f t="shared" si="3"/>
        <v>#VALUE!</v>
      </c>
      <c r="U607">
        <f t="shared" si="1"/>
        <v>0</v>
      </c>
    </row>
    <row r="608">
      <c r="D608" s="201"/>
      <c r="I608" s="201"/>
      <c r="R608" t="str">
        <f t="shared" si="4"/>
        <v/>
      </c>
      <c r="S608" s="201" t="str">
        <f t="shared" si="2"/>
        <v>#VALUE!</v>
      </c>
      <c r="T608" t="str">
        <f t="shared" si="3"/>
        <v>#VALUE!</v>
      </c>
      <c r="U608">
        <f t="shared" si="1"/>
        <v>0</v>
      </c>
    </row>
    <row r="609">
      <c r="D609" s="201"/>
      <c r="I609" s="201"/>
      <c r="R609" t="str">
        <f t="shared" si="4"/>
        <v/>
      </c>
      <c r="S609" s="201" t="str">
        <f t="shared" si="2"/>
        <v>#VALUE!</v>
      </c>
      <c r="T609" t="str">
        <f t="shared" si="3"/>
        <v>#VALUE!</v>
      </c>
      <c r="U609">
        <f t="shared" si="1"/>
        <v>0</v>
      </c>
    </row>
    <row r="610">
      <c r="D610" s="201"/>
      <c r="I610" s="201"/>
      <c r="R610" t="str">
        <f t="shared" si="4"/>
        <v/>
      </c>
      <c r="S610" s="201" t="str">
        <f t="shared" si="2"/>
        <v>#VALUE!</v>
      </c>
      <c r="T610" t="str">
        <f t="shared" si="3"/>
        <v>#VALUE!</v>
      </c>
      <c r="U610">
        <f t="shared" si="1"/>
        <v>0</v>
      </c>
    </row>
    <row r="611">
      <c r="D611" s="201"/>
      <c r="I611" s="201"/>
      <c r="R611" t="str">
        <f t="shared" si="4"/>
        <v/>
      </c>
      <c r="S611" s="201" t="str">
        <f t="shared" si="2"/>
        <v>#VALUE!</v>
      </c>
      <c r="T611" t="str">
        <f t="shared" si="3"/>
        <v>#VALUE!</v>
      </c>
      <c r="U611">
        <f t="shared" si="1"/>
        <v>0</v>
      </c>
    </row>
    <row r="612">
      <c r="D612" s="201"/>
      <c r="I612" s="201"/>
      <c r="R612" t="str">
        <f t="shared" si="4"/>
        <v/>
      </c>
      <c r="S612" s="201" t="str">
        <f t="shared" si="2"/>
        <v>#VALUE!</v>
      </c>
      <c r="T612" t="str">
        <f t="shared" si="3"/>
        <v>#VALUE!</v>
      </c>
      <c r="U612">
        <f t="shared" si="1"/>
        <v>0</v>
      </c>
    </row>
    <row r="613">
      <c r="D613" s="201"/>
      <c r="I613" s="201"/>
      <c r="R613" t="str">
        <f t="shared" si="4"/>
        <v/>
      </c>
      <c r="S613" s="201" t="str">
        <f t="shared" si="2"/>
        <v>#VALUE!</v>
      </c>
      <c r="T613" t="str">
        <f t="shared" si="3"/>
        <v>#VALUE!</v>
      </c>
      <c r="U613">
        <f t="shared" si="1"/>
        <v>0</v>
      </c>
    </row>
    <row r="614">
      <c r="D614" s="201"/>
      <c r="I614" s="201"/>
      <c r="R614" t="str">
        <f t="shared" si="4"/>
        <v/>
      </c>
      <c r="S614" s="201" t="str">
        <f t="shared" si="2"/>
        <v>#VALUE!</v>
      </c>
      <c r="T614" t="str">
        <f t="shared" si="3"/>
        <v>#VALUE!</v>
      </c>
      <c r="U614">
        <f t="shared" si="1"/>
        <v>0</v>
      </c>
    </row>
    <row r="615">
      <c r="D615" s="201"/>
      <c r="I615" s="201"/>
      <c r="R615" t="str">
        <f t="shared" si="4"/>
        <v/>
      </c>
      <c r="S615" s="201" t="str">
        <f t="shared" si="2"/>
        <v>#VALUE!</v>
      </c>
      <c r="T615" t="str">
        <f t="shared" si="3"/>
        <v>#VALUE!</v>
      </c>
      <c r="U615">
        <f t="shared" si="1"/>
        <v>0</v>
      </c>
    </row>
    <row r="616">
      <c r="D616" s="201"/>
      <c r="I616" s="201"/>
      <c r="R616" t="str">
        <f t="shared" si="4"/>
        <v/>
      </c>
      <c r="S616" s="201" t="str">
        <f t="shared" si="2"/>
        <v>#VALUE!</v>
      </c>
      <c r="T616" t="str">
        <f t="shared" si="3"/>
        <v>#VALUE!</v>
      </c>
      <c r="U616">
        <f t="shared" si="1"/>
        <v>0</v>
      </c>
    </row>
    <row r="617">
      <c r="D617" s="201"/>
      <c r="I617" s="201"/>
      <c r="R617" t="str">
        <f t="shared" si="4"/>
        <v/>
      </c>
      <c r="S617" s="201" t="str">
        <f t="shared" si="2"/>
        <v>#VALUE!</v>
      </c>
      <c r="T617" t="str">
        <f t="shared" si="3"/>
        <v>#VALUE!</v>
      </c>
      <c r="U617">
        <f t="shared" si="1"/>
        <v>0</v>
      </c>
    </row>
    <row r="618">
      <c r="D618" s="201"/>
      <c r="I618" s="201"/>
      <c r="R618" t="str">
        <f t="shared" si="4"/>
        <v/>
      </c>
      <c r="S618" s="201" t="str">
        <f t="shared" si="2"/>
        <v>#VALUE!</v>
      </c>
      <c r="T618" t="str">
        <f t="shared" si="3"/>
        <v>#VALUE!</v>
      </c>
      <c r="U618">
        <f t="shared" si="1"/>
        <v>0</v>
      </c>
    </row>
    <row r="619">
      <c r="D619" s="201"/>
      <c r="I619" s="201"/>
      <c r="R619" t="str">
        <f t="shared" si="4"/>
        <v/>
      </c>
      <c r="S619" s="201" t="str">
        <f t="shared" si="2"/>
        <v>#VALUE!</v>
      </c>
      <c r="T619" t="str">
        <f t="shared" si="3"/>
        <v>#VALUE!</v>
      </c>
      <c r="U619">
        <f t="shared" si="1"/>
        <v>0</v>
      </c>
    </row>
    <row r="620">
      <c r="D620" s="201"/>
      <c r="I620" s="201"/>
      <c r="R620" t="str">
        <f t="shared" si="4"/>
        <v/>
      </c>
      <c r="S620" s="201" t="str">
        <f t="shared" si="2"/>
        <v>#VALUE!</v>
      </c>
      <c r="T620" t="str">
        <f t="shared" si="3"/>
        <v>#VALUE!</v>
      </c>
      <c r="U620">
        <f t="shared" si="1"/>
        <v>0</v>
      </c>
    </row>
    <row r="621">
      <c r="D621" s="201"/>
      <c r="I621" s="201"/>
      <c r="R621" t="str">
        <f t="shared" si="4"/>
        <v/>
      </c>
      <c r="S621" s="201" t="str">
        <f t="shared" si="2"/>
        <v>#VALUE!</v>
      </c>
      <c r="T621" t="str">
        <f t="shared" si="3"/>
        <v>#VALUE!</v>
      </c>
      <c r="U621">
        <f t="shared" si="1"/>
        <v>0</v>
      </c>
    </row>
    <row r="622">
      <c r="D622" s="201"/>
      <c r="I622" s="201"/>
      <c r="R622" t="str">
        <f t="shared" si="4"/>
        <v/>
      </c>
      <c r="S622" s="201" t="str">
        <f t="shared" si="2"/>
        <v>#VALUE!</v>
      </c>
      <c r="T622" t="str">
        <f t="shared" si="3"/>
        <v>#VALUE!</v>
      </c>
      <c r="U622">
        <f t="shared" si="1"/>
        <v>0</v>
      </c>
    </row>
    <row r="623">
      <c r="D623" s="201"/>
      <c r="I623" s="201"/>
      <c r="R623" t="str">
        <f t="shared" si="4"/>
        <v/>
      </c>
      <c r="S623" s="201" t="str">
        <f t="shared" si="2"/>
        <v>#VALUE!</v>
      </c>
      <c r="T623" t="str">
        <f t="shared" si="3"/>
        <v>#VALUE!</v>
      </c>
      <c r="U623">
        <f t="shared" si="1"/>
        <v>0</v>
      </c>
    </row>
    <row r="624">
      <c r="D624" s="201"/>
      <c r="I624" s="201"/>
      <c r="R624" t="str">
        <f t="shared" si="4"/>
        <v/>
      </c>
      <c r="S624" s="201" t="str">
        <f t="shared" si="2"/>
        <v>#VALUE!</v>
      </c>
      <c r="T624" t="str">
        <f t="shared" si="3"/>
        <v>#VALUE!</v>
      </c>
      <c r="U624">
        <f t="shared" si="1"/>
        <v>0</v>
      </c>
    </row>
    <row r="625">
      <c r="D625" s="201"/>
      <c r="I625" s="201"/>
      <c r="R625" t="str">
        <f t="shared" si="4"/>
        <v/>
      </c>
      <c r="S625" s="201" t="str">
        <f t="shared" si="2"/>
        <v>#VALUE!</v>
      </c>
      <c r="T625" t="str">
        <f t="shared" si="3"/>
        <v>#VALUE!</v>
      </c>
      <c r="U625">
        <f t="shared" si="1"/>
        <v>0</v>
      </c>
    </row>
    <row r="626">
      <c r="D626" s="201"/>
      <c r="I626" s="201"/>
      <c r="R626" t="str">
        <f t="shared" si="4"/>
        <v/>
      </c>
      <c r="S626" s="201" t="str">
        <f t="shared" si="2"/>
        <v>#VALUE!</v>
      </c>
      <c r="T626" t="str">
        <f t="shared" si="3"/>
        <v>#VALUE!</v>
      </c>
      <c r="U626">
        <f t="shared" si="1"/>
        <v>0</v>
      </c>
    </row>
    <row r="627">
      <c r="D627" s="201"/>
      <c r="I627" s="201"/>
      <c r="R627" t="str">
        <f t="shared" si="4"/>
        <v/>
      </c>
      <c r="S627" s="201" t="str">
        <f t="shared" si="2"/>
        <v>#VALUE!</v>
      </c>
      <c r="T627" t="str">
        <f t="shared" si="3"/>
        <v>#VALUE!</v>
      </c>
      <c r="U627">
        <f t="shared" si="1"/>
        <v>0</v>
      </c>
    </row>
    <row r="628">
      <c r="D628" s="201"/>
      <c r="I628" s="201"/>
      <c r="R628" t="str">
        <f t="shared" si="4"/>
        <v/>
      </c>
      <c r="S628" s="201" t="str">
        <f t="shared" si="2"/>
        <v>#VALUE!</v>
      </c>
      <c r="T628" t="str">
        <f t="shared" si="3"/>
        <v>#VALUE!</v>
      </c>
      <c r="U628">
        <f t="shared" si="1"/>
        <v>0</v>
      </c>
    </row>
    <row r="629">
      <c r="D629" s="201"/>
      <c r="I629" s="201"/>
      <c r="R629" t="str">
        <f t="shared" si="4"/>
        <v/>
      </c>
      <c r="S629" s="201" t="str">
        <f t="shared" si="2"/>
        <v>#VALUE!</v>
      </c>
      <c r="T629" t="str">
        <f t="shared" si="3"/>
        <v>#VALUE!</v>
      </c>
      <c r="U629">
        <f t="shared" si="1"/>
        <v>0</v>
      </c>
    </row>
    <row r="630">
      <c r="D630" s="201"/>
      <c r="I630" s="201"/>
      <c r="R630" t="str">
        <f t="shared" si="4"/>
        <v/>
      </c>
      <c r="S630" s="201" t="str">
        <f t="shared" si="2"/>
        <v>#VALUE!</v>
      </c>
      <c r="T630" t="str">
        <f t="shared" si="3"/>
        <v>#VALUE!</v>
      </c>
      <c r="U630">
        <f t="shared" si="1"/>
        <v>0</v>
      </c>
    </row>
    <row r="631">
      <c r="D631" s="201"/>
      <c r="I631" s="201"/>
      <c r="R631" t="str">
        <f t="shared" si="4"/>
        <v/>
      </c>
      <c r="S631" s="201" t="str">
        <f t="shared" si="2"/>
        <v>#VALUE!</v>
      </c>
      <c r="T631" t="str">
        <f t="shared" si="3"/>
        <v>#VALUE!</v>
      </c>
      <c r="U631">
        <f t="shared" si="1"/>
        <v>0</v>
      </c>
    </row>
    <row r="632">
      <c r="D632" s="201"/>
      <c r="I632" s="201"/>
      <c r="R632" t="str">
        <f t="shared" si="4"/>
        <v/>
      </c>
      <c r="S632" s="201" t="str">
        <f t="shared" si="2"/>
        <v>#VALUE!</v>
      </c>
      <c r="T632" t="str">
        <f t="shared" si="3"/>
        <v>#VALUE!</v>
      </c>
      <c r="U632">
        <f t="shared" si="1"/>
        <v>0</v>
      </c>
    </row>
    <row r="633">
      <c r="D633" s="201"/>
      <c r="I633" s="201"/>
      <c r="R633" t="str">
        <f t="shared" si="4"/>
        <v/>
      </c>
      <c r="S633" s="201" t="str">
        <f t="shared" si="2"/>
        <v>#VALUE!</v>
      </c>
      <c r="T633" t="str">
        <f t="shared" si="3"/>
        <v>#VALUE!</v>
      </c>
      <c r="U633">
        <f t="shared" si="1"/>
        <v>0</v>
      </c>
    </row>
    <row r="634">
      <c r="D634" s="201"/>
      <c r="I634" s="201"/>
      <c r="R634" t="str">
        <f t="shared" si="4"/>
        <v/>
      </c>
      <c r="S634" s="201" t="str">
        <f t="shared" si="2"/>
        <v>#VALUE!</v>
      </c>
      <c r="T634" t="str">
        <f t="shared" si="3"/>
        <v>#VALUE!</v>
      </c>
      <c r="U634">
        <f t="shared" si="1"/>
        <v>0</v>
      </c>
    </row>
    <row r="635">
      <c r="D635" s="201"/>
      <c r="I635" s="201"/>
      <c r="R635" t="str">
        <f t="shared" si="4"/>
        <v/>
      </c>
      <c r="S635" s="201" t="str">
        <f t="shared" si="2"/>
        <v>#VALUE!</v>
      </c>
      <c r="T635" t="str">
        <f t="shared" si="3"/>
        <v>#VALUE!</v>
      </c>
      <c r="U635">
        <f t="shared" si="1"/>
        <v>0</v>
      </c>
    </row>
    <row r="636">
      <c r="D636" s="201"/>
      <c r="I636" s="201"/>
      <c r="R636" t="str">
        <f t="shared" si="4"/>
        <v/>
      </c>
      <c r="S636" s="201" t="str">
        <f t="shared" si="2"/>
        <v>#VALUE!</v>
      </c>
      <c r="T636" t="str">
        <f t="shared" si="3"/>
        <v>#VALUE!</v>
      </c>
      <c r="U636">
        <f t="shared" si="1"/>
        <v>0</v>
      </c>
    </row>
    <row r="637">
      <c r="D637" s="201"/>
      <c r="I637" s="201"/>
      <c r="R637" t="str">
        <f t="shared" si="4"/>
        <v/>
      </c>
      <c r="S637" s="201" t="str">
        <f t="shared" si="2"/>
        <v>#VALUE!</v>
      </c>
      <c r="T637" t="str">
        <f t="shared" si="3"/>
        <v>#VALUE!</v>
      </c>
      <c r="U637">
        <f t="shared" si="1"/>
        <v>0</v>
      </c>
    </row>
    <row r="638">
      <c r="D638" s="201"/>
      <c r="I638" s="201"/>
      <c r="R638" t="str">
        <f t="shared" si="4"/>
        <v/>
      </c>
      <c r="S638" s="201" t="str">
        <f t="shared" si="2"/>
        <v>#VALUE!</v>
      </c>
      <c r="T638" t="str">
        <f t="shared" si="3"/>
        <v>#VALUE!</v>
      </c>
      <c r="U638">
        <f t="shared" si="1"/>
        <v>0</v>
      </c>
    </row>
    <row r="639">
      <c r="D639" s="201"/>
      <c r="I639" s="201"/>
      <c r="R639" t="str">
        <f t="shared" si="4"/>
        <v/>
      </c>
      <c r="S639" s="201" t="str">
        <f t="shared" si="2"/>
        <v>#VALUE!</v>
      </c>
      <c r="T639" t="str">
        <f t="shared" si="3"/>
        <v>#VALUE!</v>
      </c>
      <c r="U639">
        <f t="shared" si="1"/>
        <v>0</v>
      </c>
    </row>
    <row r="640">
      <c r="D640" s="201"/>
      <c r="I640" s="201"/>
      <c r="R640" t="str">
        <f t="shared" si="4"/>
        <v/>
      </c>
      <c r="S640" s="201" t="str">
        <f t="shared" si="2"/>
        <v>#VALUE!</v>
      </c>
      <c r="T640" t="str">
        <f t="shared" si="3"/>
        <v>#VALUE!</v>
      </c>
      <c r="U640">
        <f t="shared" si="1"/>
        <v>0</v>
      </c>
    </row>
    <row r="641">
      <c r="D641" s="201"/>
      <c r="I641" s="201"/>
      <c r="R641" t="str">
        <f t="shared" si="4"/>
        <v/>
      </c>
      <c r="S641" s="201" t="str">
        <f t="shared" si="2"/>
        <v>#VALUE!</v>
      </c>
      <c r="T641" t="str">
        <f t="shared" si="3"/>
        <v>#VALUE!</v>
      </c>
      <c r="U641">
        <f t="shared" si="1"/>
        <v>0</v>
      </c>
    </row>
    <row r="642">
      <c r="D642" s="201"/>
      <c r="I642" s="201"/>
      <c r="R642" t="str">
        <f t="shared" si="4"/>
        <v/>
      </c>
      <c r="S642" s="201" t="str">
        <f t="shared" si="2"/>
        <v>#VALUE!</v>
      </c>
      <c r="T642" t="str">
        <f t="shared" si="3"/>
        <v>#VALUE!</v>
      </c>
      <c r="U642">
        <f t="shared" si="1"/>
        <v>0</v>
      </c>
    </row>
    <row r="643">
      <c r="D643" s="201"/>
      <c r="I643" s="201"/>
      <c r="R643" t="str">
        <f t="shared" si="4"/>
        <v/>
      </c>
      <c r="S643" s="201" t="str">
        <f t="shared" si="2"/>
        <v>#VALUE!</v>
      </c>
      <c r="T643" t="str">
        <f t="shared" si="3"/>
        <v>#VALUE!</v>
      </c>
      <c r="U643">
        <f t="shared" si="1"/>
        <v>0</v>
      </c>
    </row>
    <row r="644">
      <c r="D644" s="201"/>
      <c r="I644" s="201"/>
      <c r="R644" t="str">
        <f t="shared" si="4"/>
        <v/>
      </c>
      <c r="S644" s="201" t="str">
        <f t="shared" si="2"/>
        <v>#VALUE!</v>
      </c>
      <c r="T644" t="str">
        <f t="shared" si="3"/>
        <v>#VALUE!</v>
      </c>
      <c r="U644">
        <f t="shared" si="1"/>
        <v>0</v>
      </c>
    </row>
    <row r="645">
      <c r="D645" s="201"/>
      <c r="I645" s="201"/>
      <c r="R645" t="str">
        <f t="shared" si="4"/>
        <v/>
      </c>
      <c r="S645" s="201" t="str">
        <f t="shared" si="2"/>
        <v>#VALUE!</v>
      </c>
      <c r="T645" t="str">
        <f t="shared" si="3"/>
        <v>#VALUE!</v>
      </c>
      <c r="U645">
        <f t="shared" si="1"/>
        <v>0</v>
      </c>
    </row>
    <row r="646">
      <c r="D646" s="201"/>
      <c r="I646" s="201"/>
      <c r="R646" t="str">
        <f t="shared" si="4"/>
        <v/>
      </c>
      <c r="S646" s="201" t="str">
        <f t="shared" si="2"/>
        <v>#VALUE!</v>
      </c>
      <c r="T646" t="str">
        <f t="shared" si="3"/>
        <v>#VALUE!</v>
      </c>
      <c r="U646">
        <f t="shared" si="1"/>
        <v>0</v>
      </c>
    </row>
    <row r="647">
      <c r="D647" s="201"/>
      <c r="I647" s="201"/>
      <c r="R647" t="str">
        <f t="shared" si="4"/>
        <v/>
      </c>
      <c r="S647" s="201" t="str">
        <f t="shared" si="2"/>
        <v>#VALUE!</v>
      </c>
      <c r="T647" t="str">
        <f t="shared" si="3"/>
        <v>#VALUE!</v>
      </c>
      <c r="U647">
        <f t="shared" si="1"/>
        <v>0</v>
      </c>
    </row>
    <row r="648">
      <c r="D648" s="201"/>
      <c r="I648" s="201"/>
      <c r="R648" t="str">
        <f t="shared" si="4"/>
        <v/>
      </c>
      <c r="S648" s="201" t="str">
        <f t="shared" si="2"/>
        <v>#VALUE!</v>
      </c>
      <c r="T648" t="str">
        <f t="shared" si="3"/>
        <v>#VALUE!</v>
      </c>
      <c r="U648">
        <f t="shared" si="1"/>
        <v>0</v>
      </c>
    </row>
    <row r="649">
      <c r="D649" s="201"/>
      <c r="I649" s="201"/>
      <c r="R649" t="str">
        <f t="shared" si="4"/>
        <v/>
      </c>
      <c r="S649" s="201" t="str">
        <f t="shared" si="2"/>
        <v>#VALUE!</v>
      </c>
      <c r="T649" t="str">
        <f t="shared" si="3"/>
        <v>#VALUE!</v>
      </c>
      <c r="U649">
        <f t="shared" si="1"/>
        <v>0</v>
      </c>
    </row>
    <row r="650">
      <c r="D650" s="201"/>
      <c r="I650" s="201"/>
      <c r="R650" t="str">
        <f t="shared" si="4"/>
        <v/>
      </c>
      <c r="S650" s="201" t="str">
        <f t="shared" si="2"/>
        <v>#VALUE!</v>
      </c>
      <c r="T650" t="str">
        <f t="shared" si="3"/>
        <v>#VALUE!</v>
      </c>
      <c r="U650">
        <f t="shared" si="1"/>
        <v>0</v>
      </c>
    </row>
    <row r="651">
      <c r="D651" s="201"/>
      <c r="I651" s="201"/>
      <c r="R651" t="str">
        <f t="shared" si="4"/>
        <v/>
      </c>
      <c r="S651" s="201" t="str">
        <f t="shared" si="2"/>
        <v>#VALUE!</v>
      </c>
      <c r="T651" t="str">
        <f t="shared" si="3"/>
        <v>#VALUE!</v>
      </c>
      <c r="U651">
        <f t="shared" si="1"/>
        <v>0</v>
      </c>
    </row>
    <row r="652">
      <c r="D652" s="201"/>
      <c r="I652" s="201"/>
      <c r="R652" t="str">
        <f t="shared" si="4"/>
        <v/>
      </c>
      <c r="S652" s="201" t="str">
        <f t="shared" si="2"/>
        <v>#VALUE!</v>
      </c>
      <c r="T652" t="str">
        <f t="shared" si="3"/>
        <v>#VALUE!</v>
      </c>
      <c r="U652">
        <f t="shared" si="1"/>
        <v>0</v>
      </c>
    </row>
    <row r="653">
      <c r="D653" s="201"/>
      <c r="I653" s="201"/>
      <c r="R653" t="str">
        <f t="shared" si="4"/>
        <v/>
      </c>
      <c r="S653" s="201" t="str">
        <f t="shared" si="2"/>
        <v>#VALUE!</v>
      </c>
      <c r="T653" t="str">
        <f t="shared" si="3"/>
        <v>#VALUE!</v>
      </c>
      <c r="U653">
        <f t="shared" si="1"/>
        <v>0</v>
      </c>
    </row>
    <row r="654">
      <c r="D654" s="201"/>
      <c r="I654" s="201"/>
      <c r="R654" t="str">
        <f t="shared" si="4"/>
        <v/>
      </c>
      <c r="S654" s="201" t="str">
        <f t="shared" si="2"/>
        <v>#VALUE!</v>
      </c>
      <c r="T654" t="str">
        <f t="shared" si="3"/>
        <v>#VALUE!</v>
      </c>
      <c r="U654">
        <f t="shared" si="1"/>
        <v>0</v>
      </c>
    </row>
    <row r="655">
      <c r="D655" s="201"/>
      <c r="I655" s="201"/>
      <c r="R655" t="str">
        <f t="shared" si="4"/>
        <v/>
      </c>
      <c r="S655" s="201" t="str">
        <f t="shared" si="2"/>
        <v>#VALUE!</v>
      </c>
      <c r="T655" t="str">
        <f t="shared" si="3"/>
        <v>#VALUE!</v>
      </c>
      <c r="U655">
        <f t="shared" si="1"/>
        <v>0</v>
      </c>
    </row>
    <row r="656">
      <c r="D656" s="201"/>
      <c r="I656" s="201"/>
      <c r="R656" t="str">
        <f t="shared" si="4"/>
        <v/>
      </c>
      <c r="S656" s="201" t="str">
        <f t="shared" si="2"/>
        <v>#VALUE!</v>
      </c>
      <c r="T656" t="str">
        <f t="shared" si="3"/>
        <v>#VALUE!</v>
      </c>
      <c r="U656">
        <f t="shared" si="1"/>
        <v>0</v>
      </c>
    </row>
    <row r="657">
      <c r="D657" s="201"/>
      <c r="I657" s="201"/>
      <c r="R657" t="str">
        <f t="shared" si="4"/>
        <v/>
      </c>
      <c r="S657" s="201" t="str">
        <f t="shared" si="2"/>
        <v>#VALUE!</v>
      </c>
      <c r="T657" t="str">
        <f t="shared" si="3"/>
        <v>#VALUE!</v>
      </c>
      <c r="U657">
        <f t="shared" si="1"/>
        <v>0</v>
      </c>
    </row>
    <row r="658">
      <c r="D658" s="201"/>
      <c r="I658" s="201"/>
      <c r="R658" t="str">
        <f t="shared" si="4"/>
        <v/>
      </c>
      <c r="S658" s="201" t="str">
        <f t="shared" si="2"/>
        <v>#VALUE!</v>
      </c>
      <c r="T658" t="str">
        <f t="shared" si="3"/>
        <v>#VALUE!</v>
      </c>
      <c r="U658">
        <f t="shared" si="1"/>
        <v>0</v>
      </c>
    </row>
    <row r="659">
      <c r="D659" s="201"/>
      <c r="I659" s="201"/>
      <c r="R659" t="str">
        <f t="shared" si="4"/>
        <v/>
      </c>
      <c r="S659" s="201" t="str">
        <f t="shared" si="2"/>
        <v>#VALUE!</v>
      </c>
      <c r="T659" t="str">
        <f t="shared" si="3"/>
        <v>#VALUE!</v>
      </c>
      <c r="U659">
        <f t="shared" si="1"/>
        <v>0</v>
      </c>
    </row>
    <row r="660">
      <c r="D660" s="201"/>
      <c r="I660" s="201"/>
      <c r="R660" t="str">
        <f t="shared" si="4"/>
        <v/>
      </c>
      <c r="S660" s="201" t="str">
        <f t="shared" si="2"/>
        <v>#VALUE!</v>
      </c>
      <c r="T660" t="str">
        <f t="shared" si="3"/>
        <v>#VALUE!</v>
      </c>
      <c r="U660">
        <f t="shared" si="1"/>
        <v>0</v>
      </c>
    </row>
    <row r="661">
      <c r="D661" s="201"/>
      <c r="I661" s="201"/>
      <c r="R661" t="str">
        <f t="shared" si="4"/>
        <v/>
      </c>
      <c r="S661" s="201" t="str">
        <f t="shared" si="2"/>
        <v>#VALUE!</v>
      </c>
      <c r="T661" t="str">
        <f t="shared" si="3"/>
        <v>#VALUE!</v>
      </c>
      <c r="U661">
        <f t="shared" si="1"/>
        <v>0</v>
      </c>
    </row>
    <row r="662">
      <c r="D662" s="201"/>
      <c r="I662" s="201"/>
      <c r="R662" t="str">
        <f t="shared" si="4"/>
        <v/>
      </c>
      <c r="S662" s="201" t="str">
        <f t="shared" si="2"/>
        <v>#VALUE!</v>
      </c>
      <c r="T662" t="str">
        <f t="shared" si="3"/>
        <v>#VALUE!</v>
      </c>
      <c r="U662">
        <f t="shared" si="1"/>
        <v>0</v>
      </c>
    </row>
    <row r="663">
      <c r="D663" s="201"/>
      <c r="I663" s="201"/>
      <c r="R663" t="str">
        <f t="shared" si="4"/>
        <v/>
      </c>
      <c r="S663" s="201" t="str">
        <f t="shared" si="2"/>
        <v>#VALUE!</v>
      </c>
      <c r="T663" t="str">
        <f t="shared" si="3"/>
        <v>#VALUE!</v>
      </c>
      <c r="U663">
        <f t="shared" si="1"/>
        <v>0</v>
      </c>
    </row>
    <row r="664">
      <c r="D664" s="201"/>
      <c r="I664" s="201"/>
      <c r="R664" t="str">
        <f t="shared" si="4"/>
        <v/>
      </c>
      <c r="S664" s="201" t="str">
        <f t="shared" si="2"/>
        <v>#VALUE!</v>
      </c>
      <c r="T664" t="str">
        <f t="shared" si="3"/>
        <v>#VALUE!</v>
      </c>
      <c r="U664">
        <f t="shared" si="1"/>
        <v>0</v>
      </c>
    </row>
    <row r="665">
      <c r="D665" s="201"/>
      <c r="I665" s="201"/>
      <c r="R665" t="str">
        <f t="shared" si="4"/>
        <v/>
      </c>
      <c r="S665" s="201" t="str">
        <f t="shared" si="2"/>
        <v>#VALUE!</v>
      </c>
      <c r="T665" t="str">
        <f t="shared" si="3"/>
        <v>#VALUE!</v>
      </c>
      <c r="U665">
        <f t="shared" si="1"/>
        <v>0</v>
      </c>
    </row>
    <row r="666">
      <c r="D666" s="201"/>
      <c r="I666" s="201"/>
      <c r="R666" t="str">
        <f t="shared" si="4"/>
        <v/>
      </c>
      <c r="S666" s="201" t="str">
        <f t="shared" si="2"/>
        <v>#VALUE!</v>
      </c>
      <c r="T666" t="str">
        <f t="shared" si="3"/>
        <v>#VALUE!</v>
      </c>
      <c r="U666">
        <f t="shared" si="1"/>
        <v>0</v>
      </c>
    </row>
    <row r="667">
      <c r="D667" s="201"/>
      <c r="I667" s="201"/>
      <c r="R667" t="str">
        <f t="shared" si="4"/>
        <v/>
      </c>
      <c r="S667" s="201" t="str">
        <f t="shared" si="2"/>
        <v>#VALUE!</v>
      </c>
      <c r="T667" t="str">
        <f t="shared" si="3"/>
        <v>#VALUE!</v>
      </c>
      <c r="U667">
        <f t="shared" si="1"/>
        <v>0</v>
      </c>
    </row>
    <row r="668">
      <c r="D668" s="201"/>
      <c r="I668" s="201"/>
      <c r="R668" t="str">
        <f t="shared" si="4"/>
        <v/>
      </c>
      <c r="S668" s="201" t="str">
        <f t="shared" si="2"/>
        <v>#VALUE!</v>
      </c>
      <c r="T668" t="str">
        <f t="shared" si="3"/>
        <v>#VALUE!</v>
      </c>
      <c r="U668">
        <f t="shared" si="1"/>
        <v>0</v>
      </c>
    </row>
    <row r="669">
      <c r="D669" s="201"/>
      <c r="I669" s="201"/>
      <c r="R669" t="str">
        <f t="shared" si="4"/>
        <v/>
      </c>
      <c r="S669" s="201" t="str">
        <f t="shared" si="2"/>
        <v>#VALUE!</v>
      </c>
      <c r="T669" t="str">
        <f t="shared" si="3"/>
        <v>#VALUE!</v>
      </c>
      <c r="U669">
        <f t="shared" si="1"/>
        <v>0</v>
      </c>
    </row>
    <row r="670">
      <c r="D670" s="201"/>
      <c r="I670" s="201"/>
      <c r="R670" t="str">
        <f t="shared" si="4"/>
        <v/>
      </c>
      <c r="S670" s="201" t="str">
        <f t="shared" si="2"/>
        <v>#VALUE!</v>
      </c>
      <c r="T670" t="str">
        <f t="shared" si="3"/>
        <v>#VALUE!</v>
      </c>
      <c r="U670">
        <f t="shared" si="1"/>
        <v>0</v>
      </c>
    </row>
    <row r="671">
      <c r="D671" s="201"/>
      <c r="I671" s="201"/>
      <c r="R671" t="str">
        <f t="shared" si="4"/>
        <v/>
      </c>
      <c r="S671" s="201" t="str">
        <f t="shared" si="2"/>
        <v>#VALUE!</v>
      </c>
      <c r="T671" t="str">
        <f t="shared" si="3"/>
        <v>#VALUE!</v>
      </c>
      <c r="U671">
        <f t="shared" si="1"/>
        <v>0</v>
      </c>
    </row>
    <row r="672">
      <c r="D672" s="201"/>
      <c r="I672" s="201"/>
      <c r="R672" t="str">
        <f t="shared" si="4"/>
        <v/>
      </c>
      <c r="S672" s="201" t="str">
        <f t="shared" si="2"/>
        <v>#VALUE!</v>
      </c>
      <c r="T672" t="str">
        <f t="shared" si="3"/>
        <v>#VALUE!</v>
      </c>
      <c r="U672">
        <f t="shared" si="1"/>
        <v>0</v>
      </c>
    </row>
    <row r="673">
      <c r="D673" s="201"/>
      <c r="I673" s="201"/>
      <c r="R673" t="str">
        <f t="shared" si="4"/>
        <v/>
      </c>
      <c r="S673" s="201" t="str">
        <f t="shared" si="2"/>
        <v>#VALUE!</v>
      </c>
      <c r="T673" t="str">
        <f t="shared" si="3"/>
        <v>#VALUE!</v>
      </c>
      <c r="U673">
        <f t="shared" si="1"/>
        <v>0</v>
      </c>
    </row>
    <row r="674">
      <c r="D674" s="201"/>
      <c r="I674" s="201"/>
      <c r="R674" t="str">
        <f t="shared" si="4"/>
        <v/>
      </c>
      <c r="S674" s="201" t="str">
        <f t="shared" si="2"/>
        <v>#VALUE!</v>
      </c>
      <c r="T674" t="str">
        <f t="shared" si="3"/>
        <v>#VALUE!</v>
      </c>
      <c r="U674">
        <f t="shared" si="1"/>
        <v>0</v>
      </c>
    </row>
    <row r="675">
      <c r="D675" s="201"/>
      <c r="I675" s="201"/>
      <c r="R675" t="str">
        <f t="shared" si="4"/>
        <v/>
      </c>
      <c r="S675" s="201" t="str">
        <f t="shared" si="2"/>
        <v>#VALUE!</v>
      </c>
      <c r="T675" t="str">
        <f t="shared" si="3"/>
        <v>#VALUE!</v>
      </c>
      <c r="U675">
        <f t="shared" si="1"/>
        <v>0</v>
      </c>
    </row>
    <row r="676">
      <c r="D676" s="201"/>
      <c r="I676" s="201"/>
      <c r="R676" t="str">
        <f t="shared" si="4"/>
        <v/>
      </c>
      <c r="S676" s="201" t="str">
        <f t="shared" si="2"/>
        <v>#VALUE!</v>
      </c>
      <c r="T676" t="str">
        <f t="shared" si="3"/>
        <v>#VALUE!</v>
      </c>
      <c r="U676">
        <f t="shared" si="1"/>
        <v>0</v>
      </c>
    </row>
    <row r="677">
      <c r="D677" s="201"/>
      <c r="I677" s="201"/>
      <c r="R677" t="str">
        <f t="shared" si="4"/>
        <v/>
      </c>
      <c r="S677" s="201" t="str">
        <f t="shared" si="2"/>
        <v>#VALUE!</v>
      </c>
      <c r="T677" t="str">
        <f t="shared" si="3"/>
        <v>#VALUE!</v>
      </c>
      <c r="U677">
        <f t="shared" si="1"/>
        <v>0</v>
      </c>
    </row>
    <row r="678">
      <c r="D678" s="201"/>
      <c r="I678" s="201"/>
      <c r="R678" t="str">
        <f t="shared" si="4"/>
        <v/>
      </c>
      <c r="S678" s="201" t="str">
        <f t="shared" si="2"/>
        <v>#VALUE!</v>
      </c>
      <c r="T678" t="str">
        <f t="shared" si="3"/>
        <v>#VALUE!</v>
      </c>
      <c r="U678">
        <f t="shared" si="1"/>
        <v>0</v>
      </c>
    </row>
    <row r="679">
      <c r="D679" s="201"/>
      <c r="I679" s="201"/>
      <c r="R679" t="str">
        <f t="shared" si="4"/>
        <v/>
      </c>
      <c r="S679" s="201" t="str">
        <f t="shared" si="2"/>
        <v>#VALUE!</v>
      </c>
      <c r="T679" t="str">
        <f t="shared" si="3"/>
        <v>#VALUE!</v>
      </c>
      <c r="U679">
        <f t="shared" si="1"/>
        <v>0</v>
      </c>
    </row>
    <row r="680">
      <c r="D680" s="201"/>
      <c r="I680" s="201"/>
      <c r="R680" t="str">
        <f t="shared" si="4"/>
        <v/>
      </c>
      <c r="S680" s="201" t="str">
        <f t="shared" si="2"/>
        <v>#VALUE!</v>
      </c>
      <c r="T680" t="str">
        <f t="shared" si="3"/>
        <v>#VALUE!</v>
      </c>
      <c r="U680">
        <f t="shared" si="1"/>
        <v>0</v>
      </c>
    </row>
    <row r="681">
      <c r="D681" s="201"/>
      <c r="I681" s="201"/>
      <c r="R681" t="str">
        <f t="shared" si="4"/>
        <v/>
      </c>
      <c r="S681" s="201" t="str">
        <f t="shared" si="2"/>
        <v>#VALUE!</v>
      </c>
      <c r="T681" t="str">
        <f t="shared" si="3"/>
        <v>#VALUE!</v>
      </c>
      <c r="U681">
        <f t="shared" si="1"/>
        <v>0</v>
      </c>
    </row>
    <row r="682">
      <c r="D682" s="201"/>
      <c r="I682" s="201"/>
      <c r="R682" t="str">
        <f t="shared" si="4"/>
        <v/>
      </c>
      <c r="S682" s="201" t="str">
        <f t="shared" si="2"/>
        <v>#VALUE!</v>
      </c>
      <c r="T682" t="str">
        <f t="shared" si="3"/>
        <v>#VALUE!</v>
      </c>
      <c r="U682">
        <f t="shared" si="1"/>
        <v>0</v>
      </c>
    </row>
    <row r="683">
      <c r="D683" s="201"/>
      <c r="I683" s="201"/>
      <c r="R683" t="str">
        <f t="shared" si="4"/>
        <v/>
      </c>
      <c r="S683" s="201" t="str">
        <f t="shared" si="2"/>
        <v>#VALUE!</v>
      </c>
      <c r="T683" t="str">
        <f t="shared" si="3"/>
        <v>#VALUE!</v>
      </c>
      <c r="U683">
        <f t="shared" si="1"/>
        <v>0</v>
      </c>
    </row>
    <row r="684">
      <c r="D684" s="201"/>
      <c r="I684" s="201"/>
      <c r="R684" t="str">
        <f t="shared" si="4"/>
        <v/>
      </c>
      <c r="S684" s="201" t="str">
        <f t="shared" si="2"/>
        <v>#VALUE!</v>
      </c>
      <c r="T684" t="str">
        <f t="shared" si="3"/>
        <v>#VALUE!</v>
      </c>
      <c r="U684">
        <f t="shared" si="1"/>
        <v>0</v>
      </c>
    </row>
    <row r="685">
      <c r="D685" s="201"/>
      <c r="I685" s="201"/>
      <c r="R685" t="str">
        <f t="shared" si="4"/>
        <v/>
      </c>
      <c r="S685" s="201" t="str">
        <f t="shared" si="2"/>
        <v>#VALUE!</v>
      </c>
      <c r="T685" t="str">
        <f t="shared" si="3"/>
        <v>#VALUE!</v>
      </c>
      <c r="U685">
        <f t="shared" si="1"/>
        <v>0</v>
      </c>
    </row>
    <row r="686">
      <c r="D686" s="201"/>
      <c r="I686" s="201"/>
      <c r="R686" t="str">
        <f t="shared" si="4"/>
        <v/>
      </c>
      <c r="S686" s="201" t="str">
        <f t="shared" si="2"/>
        <v>#VALUE!</v>
      </c>
      <c r="T686" t="str">
        <f t="shared" si="3"/>
        <v>#VALUE!</v>
      </c>
      <c r="U686">
        <f t="shared" si="1"/>
        <v>0</v>
      </c>
    </row>
    <row r="687">
      <c r="D687" s="201"/>
      <c r="I687" s="201"/>
      <c r="R687" t="str">
        <f t="shared" si="4"/>
        <v/>
      </c>
      <c r="S687" s="201" t="str">
        <f t="shared" si="2"/>
        <v>#VALUE!</v>
      </c>
      <c r="T687" t="str">
        <f t="shared" si="3"/>
        <v>#VALUE!</v>
      </c>
      <c r="U687">
        <f t="shared" si="1"/>
        <v>0</v>
      </c>
    </row>
    <row r="688">
      <c r="D688" s="201"/>
      <c r="I688" s="201"/>
      <c r="R688" t="str">
        <f t="shared" si="4"/>
        <v/>
      </c>
      <c r="S688" s="201" t="str">
        <f t="shared" si="2"/>
        <v>#VALUE!</v>
      </c>
      <c r="T688" t="str">
        <f t="shared" si="3"/>
        <v>#VALUE!</v>
      </c>
      <c r="U688">
        <f t="shared" si="1"/>
        <v>0</v>
      </c>
    </row>
    <row r="689">
      <c r="D689" s="201"/>
      <c r="I689" s="201"/>
      <c r="R689" t="str">
        <f t="shared" si="4"/>
        <v/>
      </c>
      <c r="S689" s="201" t="str">
        <f t="shared" si="2"/>
        <v>#VALUE!</v>
      </c>
      <c r="T689" t="str">
        <f t="shared" si="3"/>
        <v>#VALUE!</v>
      </c>
      <c r="U689">
        <f t="shared" si="1"/>
        <v>0</v>
      </c>
    </row>
    <row r="690">
      <c r="D690" s="201"/>
      <c r="I690" s="201"/>
      <c r="R690" t="str">
        <f t="shared" si="4"/>
        <v/>
      </c>
      <c r="S690" s="201" t="str">
        <f t="shared" si="2"/>
        <v>#VALUE!</v>
      </c>
      <c r="T690" t="str">
        <f t="shared" si="3"/>
        <v>#VALUE!</v>
      </c>
      <c r="U690">
        <f t="shared" si="1"/>
        <v>0</v>
      </c>
    </row>
    <row r="691">
      <c r="D691" s="201"/>
      <c r="I691" s="201"/>
      <c r="R691" t="str">
        <f t="shared" si="4"/>
        <v/>
      </c>
      <c r="S691" s="201" t="str">
        <f t="shared" si="2"/>
        <v>#VALUE!</v>
      </c>
      <c r="T691" t="str">
        <f t="shared" si="3"/>
        <v>#VALUE!</v>
      </c>
      <c r="U691">
        <f t="shared" si="1"/>
        <v>0</v>
      </c>
    </row>
    <row r="692">
      <c r="D692" s="201"/>
      <c r="I692" s="201"/>
      <c r="R692" t="str">
        <f t="shared" si="4"/>
        <v/>
      </c>
      <c r="S692" s="201" t="str">
        <f t="shared" si="2"/>
        <v>#VALUE!</v>
      </c>
      <c r="T692" t="str">
        <f t="shared" si="3"/>
        <v>#VALUE!</v>
      </c>
      <c r="U692">
        <f t="shared" si="1"/>
        <v>0</v>
      </c>
    </row>
    <row r="693">
      <c r="D693" s="201"/>
      <c r="I693" s="201"/>
      <c r="R693" t="str">
        <f t="shared" si="4"/>
        <v/>
      </c>
      <c r="S693" s="201" t="str">
        <f t="shared" si="2"/>
        <v>#VALUE!</v>
      </c>
      <c r="T693" t="str">
        <f t="shared" si="3"/>
        <v>#VALUE!</v>
      </c>
      <c r="U693">
        <f t="shared" si="1"/>
        <v>0</v>
      </c>
    </row>
    <row r="694">
      <c r="D694" s="201"/>
      <c r="I694" s="201"/>
      <c r="R694" t="str">
        <f t="shared" si="4"/>
        <v/>
      </c>
      <c r="S694" s="201" t="str">
        <f t="shared" si="2"/>
        <v>#VALUE!</v>
      </c>
      <c r="T694" t="str">
        <f t="shared" si="3"/>
        <v>#VALUE!</v>
      </c>
      <c r="U694">
        <f t="shared" si="1"/>
        <v>0</v>
      </c>
    </row>
    <row r="695">
      <c r="D695" s="201"/>
      <c r="I695" s="201"/>
      <c r="R695" t="str">
        <f t="shared" si="4"/>
        <v/>
      </c>
      <c r="S695" s="201" t="str">
        <f t="shared" si="2"/>
        <v>#VALUE!</v>
      </c>
      <c r="T695" t="str">
        <f t="shared" si="3"/>
        <v>#VALUE!</v>
      </c>
      <c r="U695">
        <f t="shared" si="1"/>
        <v>0</v>
      </c>
    </row>
    <row r="696">
      <c r="D696" s="201"/>
      <c r="I696" s="201"/>
      <c r="R696" t="str">
        <f t="shared" si="4"/>
        <v/>
      </c>
      <c r="S696" s="201" t="str">
        <f t="shared" si="2"/>
        <v>#VALUE!</v>
      </c>
      <c r="T696" t="str">
        <f t="shared" si="3"/>
        <v>#VALUE!</v>
      </c>
      <c r="U696">
        <f t="shared" si="1"/>
        <v>0</v>
      </c>
    </row>
    <row r="697">
      <c r="D697" s="201"/>
      <c r="I697" s="201"/>
      <c r="R697" t="str">
        <f t="shared" si="4"/>
        <v/>
      </c>
      <c r="S697" s="201" t="str">
        <f t="shared" si="2"/>
        <v>#VALUE!</v>
      </c>
      <c r="T697" t="str">
        <f t="shared" si="3"/>
        <v>#VALUE!</v>
      </c>
      <c r="U697">
        <f t="shared" si="1"/>
        <v>0</v>
      </c>
    </row>
    <row r="698">
      <c r="D698" s="201"/>
      <c r="I698" s="201"/>
      <c r="R698" t="str">
        <f t="shared" si="4"/>
        <v/>
      </c>
      <c r="S698" s="201" t="str">
        <f t="shared" si="2"/>
        <v>#VALUE!</v>
      </c>
      <c r="T698" t="str">
        <f t="shared" si="3"/>
        <v>#VALUE!</v>
      </c>
      <c r="U698">
        <f t="shared" si="1"/>
        <v>0</v>
      </c>
    </row>
    <row r="699">
      <c r="D699" s="201"/>
      <c r="I699" s="201"/>
      <c r="R699" t="str">
        <f t="shared" si="4"/>
        <v/>
      </c>
      <c r="S699" s="201" t="str">
        <f t="shared" si="2"/>
        <v>#VALUE!</v>
      </c>
      <c r="T699" t="str">
        <f t="shared" si="3"/>
        <v>#VALUE!</v>
      </c>
      <c r="U699">
        <f t="shared" si="1"/>
        <v>0</v>
      </c>
    </row>
    <row r="700">
      <c r="D700" s="201"/>
      <c r="I700" s="201"/>
      <c r="R700" t="str">
        <f t="shared" si="4"/>
        <v/>
      </c>
      <c r="S700" s="201" t="str">
        <f t="shared" si="2"/>
        <v>#VALUE!</v>
      </c>
      <c r="T700" t="str">
        <f t="shared" si="3"/>
        <v>#VALUE!</v>
      </c>
      <c r="U700">
        <f t="shared" si="1"/>
        <v>0</v>
      </c>
    </row>
    <row r="701">
      <c r="D701" s="201"/>
      <c r="I701" s="201"/>
      <c r="R701" t="str">
        <f t="shared" si="4"/>
        <v/>
      </c>
      <c r="S701" s="201" t="str">
        <f t="shared" si="2"/>
        <v>#VALUE!</v>
      </c>
      <c r="T701" t="str">
        <f t="shared" si="3"/>
        <v>#VALUE!</v>
      </c>
      <c r="U701">
        <f t="shared" si="1"/>
        <v>0</v>
      </c>
    </row>
    <row r="702">
      <c r="D702" s="201"/>
      <c r="I702" s="201"/>
      <c r="R702" t="str">
        <f t="shared" si="4"/>
        <v/>
      </c>
      <c r="S702" s="201" t="str">
        <f t="shared" si="2"/>
        <v>#VALUE!</v>
      </c>
      <c r="T702" t="str">
        <f t="shared" si="3"/>
        <v>#VALUE!</v>
      </c>
      <c r="U702">
        <f t="shared" si="1"/>
        <v>0</v>
      </c>
    </row>
    <row r="703">
      <c r="D703" s="201"/>
      <c r="I703" s="201"/>
      <c r="R703" t="str">
        <f t="shared" si="4"/>
        <v/>
      </c>
      <c r="S703" s="201" t="str">
        <f t="shared" si="2"/>
        <v>#VALUE!</v>
      </c>
      <c r="T703" t="str">
        <f t="shared" si="3"/>
        <v>#VALUE!</v>
      </c>
      <c r="U703">
        <f t="shared" si="1"/>
        <v>0</v>
      </c>
    </row>
    <row r="704">
      <c r="D704" s="201"/>
      <c r="I704" s="201"/>
      <c r="R704" t="str">
        <f t="shared" si="4"/>
        <v/>
      </c>
      <c r="S704" s="201" t="str">
        <f t="shared" si="2"/>
        <v>#VALUE!</v>
      </c>
      <c r="T704" t="str">
        <f t="shared" si="3"/>
        <v>#VALUE!</v>
      </c>
      <c r="U704">
        <f t="shared" si="1"/>
        <v>0</v>
      </c>
    </row>
    <row r="705">
      <c r="D705" s="201"/>
      <c r="I705" s="201"/>
      <c r="R705" t="str">
        <f t="shared" si="4"/>
        <v/>
      </c>
      <c r="S705" s="201" t="str">
        <f t="shared" si="2"/>
        <v>#VALUE!</v>
      </c>
      <c r="T705" t="str">
        <f t="shared" si="3"/>
        <v>#VALUE!</v>
      </c>
      <c r="U705">
        <f t="shared" si="1"/>
        <v>0</v>
      </c>
    </row>
    <row r="706">
      <c r="D706" s="201"/>
      <c r="I706" s="201"/>
      <c r="R706" t="str">
        <f t="shared" si="4"/>
        <v/>
      </c>
      <c r="S706" s="201" t="str">
        <f t="shared" si="2"/>
        <v>#VALUE!</v>
      </c>
      <c r="T706" t="str">
        <f t="shared" si="3"/>
        <v>#VALUE!</v>
      </c>
      <c r="U706">
        <f t="shared" si="1"/>
        <v>0</v>
      </c>
    </row>
    <row r="707">
      <c r="D707" s="201"/>
      <c r="I707" s="201"/>
      <c r="R707" t="str">
        <f t="shared" si="4"/>
        <v/>
      </c>
      <c r="S707" s="201" t="str">
        <f t="shared" si="2"/>
        <v>#VALUE!</v>
      </c>
      <c r="T707" t="str">
        <f t="shared" si="3"/>
        <v>#VALUE!</v>
      </c>
      <c r="U707">
        <f t="shared" si="1"/>
        <v>0</v>
      </c>
    </row>
    <row r="708">
      <c r="D708" s="201"/>
      <c r="I708" s="201"/>
      <c r="R708" t="str">
        <f t="shared" si="4"/>
        <v/>
      </c>
      <c r="S708" s="201" t="str">
        <f t="shared" si="2"/>
        <v>#VALUE!</v>
      </c>
      <c r="T708" t="str">
        <f t="shared" si="3"/>
        <v>#VALUE!</v>
      </c>
      <c r="U708">
        <f t="shared" si="1"/>
        <v>0</v>
      </c>
    </row>
    <row r="709">
      <c r="D709" s="201"/>
      <c r="I709" s="201"/>
      <c r="R709" t="str">
        <f t="shared" si="4"/>
        <v/>
      </c>
      <c r="S709" s="201" t="str">
        <f t="shared" si="2"/>
        <v>#VALUE!</v>
      </c>
      <c r="T709" t="str">
        <f t="shared" si="3"/>
        <v>#VALUE!</v>
      </c>
      <c r="U709">
        <f t="shared" si="1"/>
        <v>0</v>
      </c>
    </row>
    <row r="710">
      <c r="D710" s="201"/>
      <c r="I710" s="201"/>
      <c r="R710" t="str">
        <f t="shared" si="4"/>
        <v/>
      </c>
      <c r="S710" s="201" t="str">
        <f t="shared" si="2"/>
        <v>#VALUE!</v>
      </c>
      <c r="T710" t="str">
        <f t="shared" si="3"/>
        <v>#VALUE!</v>
      </c>
      <c r="U710">
        <f t="shared" si="1"/>
        <v>0</v>
      </c>
    </row>
    <row r="711">
      <c r="D711" s="201"/>
      <c r="I711" s="201"/>
      <c r="R711" t="str">
        <f t="shared" si="4"/>
        <v/>
      </c>
      <c r="S711" s="201" t="str">
        <f t="shared" si="2"/>
        <v>#VALUE!</v>
      </c>
      <c r="T711" t="str">
        <f t="shared" si="3"/>
        <v>#VALUE!</v>
      </c>
      <c r="U711">
        <f t="shared" si="1"/>
        <v>0</v>
      </c>
    </row>
    <row r="712">
      <c r="D712" s="201"/>
      <c r="I712" s="201"/>
      <c r="R712" t="str">
        <f t="shared" si="4"/>
        <v/>
      </c>
      <c r="S712" s="201" t="str">
        <f t="shared" si="2"/>
        <v>#VALUE!</v>
      </c>
      <c r="T712" t="str">
        <f t="shared" si="3"/>
        <v>#VALUE!</v>
      </c>
      <c r="U712">
        <f t="shared" si="1"/>
        <v>0</v>
      </c>
    </row>
    <row r="713">
      <c r="D713" s="201"/>
      <c r="I713" s="201"/>
      <c r="R713" t="str">
        <f t="shared" si="4"/>
        <v/>
      </c>
      <c r="S713" s="201" t="str">
        <f t="shared" si="2"/>
        <v>#VALUE!</v>
      </c>
      <c r="T713" t="str">
        <f t="shared" si="3"/>
        <v>#VALUE!</v>
      </c>
      <c r="U713">
        <f t="shared" si="1"/>
        <v>0</v>
      </c>
    </row>
    <row r="714">
      <c r="D714" s="201"/>
      <c r="I714" s="201"/>
      <c r="R714" t="str">
        <f t="shared" si="4"/>
        <v/>
      </c>
      <c r="S714" s="201" t="str">
        <f t="shared" si="2"/>
        <v>#VALUE!</v>
      </c>
      <c r="T714" t="str">
        <f t="shared" si="3"/>
        <v>#VALUE!</v>
      </c>
      <c r="U714">
        <f t="shared" si="1"/>
        <v>0</v>
      </c>
    </row>
    <row r="715">
      <c r="D715" s="201"/>
      <c r="I715" s="201"/>
      <c r="R715" t="str">
        <f t="shared" si="4"/>
        <v/>
      </c>
      <c r="S715" s="201" t="str">
        <f t="shared" si="2"/>
        <v>#VALUE!</v>
      </c>
      <c r="T715" t="str">
        <f t="shared" si="3"/>
        <v>#VALUE!</v>
      </c>
      <c r="U715">
        <f t="shared" si="1"/>
        <v>0</v>
      </c>
    </row>
    <row r="716">
      <c r="D716" s="201"/>
      <c r="I716" s="201"/>
      <c r="R716" t="str">
        <f t="shared" si="4"/>
        <v/>
      </c>
      <c r="S716" s="201" t="str">
        <f t="shared" si="2"/>
        <v>#VALUE!</v>
      </c>
      <c r="T716" t="str">
        <f t="shared" si="3"/>
        <v>#VALUE!</v>
      </c>
      <c r="U716">
        <f t="shared" si="1"/>
        <v>0</v>
      </c>
    </row>
    <row r="717">
      <c r="D717" s="201"/>
      <c r="I717" s="201"/>
      <c r="R717" t="str">
        <f t="shared" si="4"/>
        <v/>
      </c>
      <c r="S717" s="201" t="str">
        <f t="shared" si="2"/>
        <v>#VALUE!</v>
      </c>
      <c r="T717" t="str">
        <f t="shared" si="3"/>
        <v>#VALUE!</v>
      </c>
      <c r="U717">
        <f t="shared" si="1"/>
        <v>0</v>
      </c>
    </row>
    <row r="718">
      <c r="D718" s="201"/>
      <c r="I718" s="201"/>
      <c r="R718" t="str">
        <f t="shared" si="4"/>
        <v/>
      </c>
      <c r="S718" s="201" t="str">
        <f t="shared" si="2"/>
        <v>#VALUE!</v>
      </c>
      <c r="T718" t="str">
        <f t="shared" si="3"/>
        <v>#VALUE!</v>
      </c>
      <c r="U718">
        <f t="shared" si="1"/>
        <v>0</v>
      </c>
    </row>
    <row r="719">
      <c r="D719" s="201"/>
      <c r="I719" s="201"/>
      <c r="R719" t="str">
        <f t="shared" si="4"/>
        <v/>
      </c>
      <c r="S719" s="201" t="str">
        <f t="shared" si="2"/>
        <v>#VALUE!</v>
      </c>
      <c r="T719" t="str">
        <f t="shared" si="3"/>
        <v>#VALUE!</v>
      </c>
      <c r="U719">
        <f t="shared" si="1"/>
        <v>0</v>
      </c>
    </row>
    <row r="720">
      <c r="D720" s="201"/>
      <c r="I720" s="201"/>
      <c r="R720" t="str">
        <f t="shared" si="4"/>
        <v/>
      </c>
      <c r="S720" s="201" t="str">
        <f t="shared" si="2"/>
        <v>#VALUE!</v>
      </c>
      <c r="T720" t="str">
        <f t="shared" si="3"/>
        <v>#VALUE!</v>
      </c>
      <c r="U720">
        <f t="shared" si="1"/>
        <v>0</v>
      </c>
    </row>
    <row r="721">
      <c r="D721" s="201"/>
      <c r="I721" s="201"/>
      <c r="R721" t="str">
        <f t="shared" si="4"/>
        <v/>
      </c>
      <c r="S721" s="201" t="str">
        <f t="shared" si="2"/>
        <v>#VALUE!</v>
      </c>
      <c r="T721" t="str">
        <f t="shared" si="3"/>
        <v>#VALUE!</v>
      </c>
      <c r="U721">
        <f t="shared" si="1"/>
        <v>0</v>
      </c>
    </row>
    <row r="722">
      <c r="D722" s="201"/>
      <c r="I722" s="201"/>
      <c r="R722" t="str">
        <f t="shared" si="4"/>
        <v/>
      </c>
      <c r="S722" s="201" t="str">
        <f t="shared" si="2"/>
        <v>#VALUE!</v>
      </c>
      <c r="T722" t="str">
        <f t="shared" si="3"/>
        <v>#VALUE!</v>
      </c>
      <c r="U722">
        <f t="shared" si="1"/>
        <v>0</v>
      </c>
    </row>
    <row r="723">
      <c r="D723" s="201"/>
      <c r="I723" s="201"/>
      <c r="R723" t="str">
        <f t="shared" si="4"/>
        <v/>
      </c>
      <c r="S723" s="201" t="str">
        <f t="shared" si="2"/>
        <v>#VALUE!</v>
      </c>
      <c r="T723" t="str">
        <f t="shared" si="3"/>
        <v>#VALUE!</v>
      </c>
      <c r="U723">
        <f t="shared" si="1"/>
        <v>0</v>
      </c>
    </row>
    <row r="724">
      <c r="D724" s="201"/>
      <c r="I724" s="201"/>
      <c r="R724" t="str">
        <f t="shared" si="4"/>
        <v/>
      </c>
      <c r="S724" s="201" t="str">
        <f t="shared" si="2"/>
        <v>#VALUE!</v>
      </c>
      <c r="T724" t="str">
        <f t="shared" si="3"/>
        <v>#VALUE!</v>
      </c>
      <c r="U724">
        <f t="shared" si="1"/>
        <v>0</v>
      </c>
    </row>
    <row r="725">
      <c r="D725" s="201"/>
      <c r="I725" s="201"/>
      <c r="R725" t="str">
        <f t="shared" si="4"/>
        <v/>
      </c>
      <c r="S725" s="201" t="str">
        <f t="shared" si="2"/>
        <v>#VALUE!</v>
      </c>
      <c r="T725" t="str">
        <f t="shared" si="3"/>
        <v>#VALUE!</v>
      </c>
      <c r="U725">
        <f t="shared" si="1"/>
        <v>0</v>
      </c>
    </row>
    <row r="726">
      <c r="D726" s="201"/>
      <c r="I726" s="201"/>
      <c r="R726" t="str">
        <f t="shared" si="4"/>
        <v/>
      </c>
      <c r="S726" s="201" t="str">
        <f t="shared" si="2"/>
        <v>#VALUE!</v>
      </c>
      <c r="T726" t="str">
        <f t="shared" si="3"/>
        <v>#VALUE!</v>
      </c>
      <c r="U726">
        <f t="shared" si="1"/>
        <v>0</v>
      </c>
    </row>
    <row r="727">
      <c r="D727" s="201"/>
      <c r="I727" s="201"/>
      <c r="R727" t="str">
        <f t="shared" si="4"/>
        <v/>
      </c>
      <c r="S727" s="201" t="str">
        <f t="shared" si="2"/>
        <v>#VALUE!</v>
      </c>
      <c r="T727" t="str">
        <f t="shared" si="3"/>
        <v>#VALUE!</v>
      </c>
      <c r="U727">
        <f t="shared" si="1"/>
        <v>0</v>
      </c>
    </row>
    <row r="728">
      <c r="D728" s="201"/>
      <c r="I728" s="201"/>
      <c r="R728" t="str">
        <f t="shared" si="4"/>
        <v/>
      </c>
      <c r="S728" s="201" t="str">
        <f t="shared" si="2"/>
        <v>#VALUE!</v>
      </c>
      <c r="T728" t="str">
        <f t="shared" si="3"/>
        <v>#VALUE!</v>
      </c>
      <c r="U728">
        <f t="shared" si="1"/>
        <v>0</v>
      </c>
    </row>
    <row r="729">
      <c r="D729" s="201"/>
      <c r="I729" s="201"/>
      <c r="R729" t="str">
        <f t="shared" si="4"/>
        <v/>
      </c>
      <c r="S729" s="201" t="str">
        <f t="shared" si="2"/>
        <v>#VALUE!</v>
      </c>
      <c r="T729" t="str">
        <f t="shared" si="3"/>
        <v>#VALUE!</v>
      </c>
      <c r="U729">
        <f t="shared" si="1"/>
        <v>0</v>
      </c>
    </row>
    <row r="730">
      <c r="D730" s="201"/>
      <c r="I730" s="201"/>
      <c r="R730" t="str">
        <f t="shared" si="4"/>
        <v/>
      </c>
      <c r="S730" s="201" t="str">
        <f t="shared" si="2"/>
        <v>#VALUE!</v>
      </c>
      <c r="T730" t="str">
        <f t="shared" si="3"/>
        <v>#VALUE!</v>
      </c>
      <c r="U730">
        <f t="shared" si="1"/>
        <v>0</v>
      </c>
    </row>
    <row r="731">
      <c r="D731" s="201"/>
      <c r="I731" s="201"/>
      <c r="R731" t="str">
        <f t="shared" si="4"/>
        <v/>
      </c>
      <c r="S731" s="201" t="str">
        <f t="shared" si="2"/>
        <v>#VALUE!</v>
      </c>
      <c r="T731" t="str">
        <f t="shared" si="3"/>
        <v>#VALUE!</v>
      </c>
      <c r="U731">
        <f t="shared" si="1"/>
        <v>0</v>
      </c>
    </row>
    <row r="732">
      <c r="D732" s="201"/>
      <c r="I732" s="201"/>
      <c r="R732" t="str">
        <f t="shared" si="4"/>
        <v/>
      </c>
      <c r="S732" s="201" t="str">
        <f t="shared" si="2"/>
        <v>#VALUE!</v>
      </c>
      <c r="T732" t="str">
        <f t="shared" si="3"/>
        <v>#VALUE!</v>
      </c>
      <c r="U732">
        <f t="shared" si="1"/>
        <v>0</v>
      </c>
    </row>
    <row r="733">
      <c r="D733" s="201"/>
      <c r="I733" s="201"/>
      <c r="R733" t="str">
        <f t="shared" si="4"/>
        <v/>
      </c>
      <c r="S733" s="201" t="str">
        <f t="shared" si="2"/>
        <v>#VALUE!</v>
      </c>
      <c r="T733" t="str">
        <f t="shared" si="3"/>
        <v>#VALUE!</v>
      </c>
      <c r="U733">
        <f t="shared" si="1"/>
        <v>0</v>
      </c>
    </row>
    <row r="734">
      <c r="D734" s="201"/>
      <c r="I734" s="201"/>
      <c r="R734" t="str">
        <f t="shared" si="4"/>
        <v/>
      </c>
      <c r="S734" s="201" t="str">
        <f t="shared" si="2"/>
        <v>#VALUE!</v>
      </c>
      <c r="T734" t="str">
        <f t="shared" si="3"/>
        <v>#VALUE!</v>
      </c>
      <c r="U734">
        <f t="shared" si="1"/>
        <v>0</v>
      </c>
    </row>
    <row r="735">
      <c r="D735" s="201"/>
      <c r="I735" s="201"/>
      <c r="R735" t="str">
        <f t="shared" si="4"/>
        <v/>
      </c>
      <c r="S735" s="201" t="str">
        <f t="shared" si="2"/>
        <v>#VALUE!</v>
      </c>
      <c r="T735" t="str">
        <f t="shared" si="3"/>
        <v>#VALUE!</v>
      </c>
      <c r="U735">
        <f t="shared" si="1"/>
        <v>0</v>
      </c>
    </row>
    <row r="736">
      <c r="D736" s="201"/>
      <c r="I736" s="201"/>
      <c r="R736" t="str">
        <f t="shared" si="4"/>
        <v/>
      </c>
      <c r="S736" s="201" t="str">
        <f t="shared" si="2"/>
        <v>#VALUE!</v>
      </c>
      <c r="T736" t="str">
        <f t="shared" si="3"/>
        <v>#VALUE!</v>
      </c>
      <c r="U736">
        <f t="shared" si="1"/>
        <v>0</v>
      </c>
    </row>
    <row r="737">
      <c r="D737" s="201"/>
      <c r="I737" s="201"/>
      <c r="R737" t="str">
        <f t="shared" si="4"/>
        <v/>
      </c>
      <c r="S737" s="201" t="str">
        <f t="shared" si="2"/>
        <v>#VALUE!</v>
      </c>
      <c r="T737" t="str">
        <f t="shared" si="3"/>
        <v>#VALUE!</v>
      </c>
      <c r="U737">
        <f t="shared" si="1"/>
        <v>0</v>
      </c>
    </row>
    <row r="738">
      <c r="D738" s="201"/>
      <c r="I738" s="201"/>
      <c r="R738" t="str">
        <f t="shared" si="4"/>
        <v/>
      </c>
      <c r="S738" s="201" t="str">
        <f t="shared" si="2"/>
        <v>#VALUE!</v>
      </c>
      <c r="T738" t="str">
        <f t="shared" si="3"/>
        <v>#VALUE!</v>
      </c>
      <c r="U738">
        <f t="shared" si="1"/>
        <v>0</v>
      </c>
    </row>
    <row r="739">
      <c r="D739" s="201"/>
      <c r="I739" s="201"/>
      <c r="R739" t="str">
        <f t="shared" si="4"/>
        <v/>
      </c>
      <c r="S739" s="201" t="str">
        <f t="shared" si="2"/>
        <v>#VALUE!</v>
      </c>
      <c r="T739" t="str">
        <f t="shared" si="3"/>
        <v>#VALUE!</v>
      </c>
      <c r="U739">
        <f t="shared" si="1"/>
        <v>0</v>
      </c>
    </row>
    <row r="740">
      <c r="D740" s="201"/>
      <c r="I740" s="201"/>
      <c r="R740" t="str">
        <f t="shared" si="4"/>
        <v/>
      </c>
      <c r="S740" s="201" t="str">
        <f t="shared" si="2"/>
        <v>#VALUE!</v>
      </c>
      <c r="T740" t="str">
        <f t="shared" si="3"/>
        <v>#VALUE!</v>
      </c>
      <c r="U740">
        <f t="shared" si="1"/>
        <v>0</v>
      </c>
    </row>
    <row r="741">
      <c r="D741" s="201"/>
      <c r="I741" s="201"/>
      <c r="R741" t="str">
        <f t="shared" si="4"/>
        <v/>
      </c>
      <c r="S741" s="201" t="str">
        <f t="shared" si="2"/>
        <v>#VALUE!</v>
      </c>
      <c r="T741" t="str">
        <f t="shared" si="3"/>
        <v>#VALUE!</v>
      </c>
      <c r="U741">
        <f t="shared" si="1"/>
        <v>0</v>
      </c>
    </row>
    <row r="742">
      <c r="D742" s="201"/>
      <c r="I742" s="201"/>
      <c r="R742" t="str">
        <f t="shared" si="4"/>
        <v/>
      </c>
      <c r="S742" s="201" t="str">
        <f t="shared" si="2"/>
        <v>#VALUE!</v>
      </c>
      <c r="T742" t="str">
        <f t="shared" si="3"/>
        <v>#VALUE!</v>
      </c>
      <c r="U742">
        <f t="shared" si="1"/>
        <v>0</v>
      </c>
    </row>
    <row r="743">
      <c r="D743" s="201"/>
      <c r="I743" s="201"/>
      <c r="R743" t="str">
        <f t="shared" si="4"/>
        <v/>
      </c>
      <c r="S743" s="201" t="str">
        <f t="shared" si="2"/>
        <v>#VALUE!</v>
      </c>
      <c r="T743" t="str">
        <f t="shared" si="3"/>
        <v>#VALUE!</v>
      </c>
      <c r="U743">
        <f t="shared" si="1"/>
        <v>0</v>
      </c>
    </row>
    <row r="744">
      <c r="D744" s="201"/>
      <c r="I744" s="201"/>
      <c r="R744" t="str">
        <f t="shared" si="4"/>
        <v/>
      </c>
      <c r="S744" s="201" t="str">
        <f t="shared" si="2"/>
        <v>#VALUE!</v>
      </c>
      <c r="T744" t="str">
        <f t="shared" si="3"/>
        <v>#VALUE!</v>
      </c>
      <c r="U744">
        <f t="shared" si="1"/>
        <v>0</v>
      </c>
    </row>
    <row r="745">
      <c r="D745" s="201"/>
      <c r="I745" s="201"/>
      <c r="R745" t="str">
        <f t="shared" si="4"/>
        <v/>
      </c>
      <c r="S745" s="201" t="str">
        <f t="shared" si="2"/>
        <v>#VALUE!</v>
      </c>
      <c r="T745" t="str">
        <f t="shared" si="3"/>
        <v>#VALUE!</v>
      </c>
      <c r="U745">
        <f t="shared" si="1"/>
        <v>0</v>
      </c>
    </row>
    <row r="746">
      <c r="D746" s="201"/>
      <c r="I746" s="201"/>
      <c r="R746" t="str">
        <f t="shared" si="4"/>
        <v/>
      </c>
      <c r="S746" s="201" t="str">
        <f t="shared" si="2"/>
        <v>#VALUE!</v>
      </c>
      <c r="T746" t="str">
        <f t="shared" si="3"/>
        <v>#VALUE!</v>
      </c>
      <c r="U746">
        <f t="shared" si="1"/>
        <v>0</v>
      </c>
    </row>
    <row r="747">
      <c r="D747" s="201"/>
      <c r="I747" s="201"/>
      <c r="R747" t="str">
        <f t="shared" si="4"/>
        <v/>
      </c>
      <c r="S747" s="201" t="str">
        <f t="shared" si="2"/>
        <v>#VALUE!</v>
      </c>
      <c r="T747" t="str">
        <f t="shared" si="3"/>
        <v>#VALUE!</v>
      </c>
      <c r="U747">
        <f t="shared" si="1"/>
        <v>0</v>
      </c>
    </row>
    <row r="748">
      <c r="D748" s="201"/>
      <c r="I748" s="201"/>
      <c r="R748" t="str">
        <f t="shared" si="4"/>
        <v/>
      </c>
      <c r="S748" s="201" t="str">
        <f t="shared" si="2"/>
        <v>#VALUE!</v>
      </c>
      <c r="T748" t="str">
        <f t="shared" si="3"/>
        <v>#VALUE!</v>
      </c>
      <c r="U748">
        <f t="shared" si="1"/>
        <v>0</v>
      </c>
    </row>
    <row r="749">
      <c r="D749" s="201"/>
      <c r="I749" s="201"/>
      <c r="R749" t="str">
        <f t="shared" si="4"/>
        <v/>
      </c>
      <c r="S749" s="201" t="str">
        <f t="shared" si="2"/>
        <v>#VALUE!</v>
      </c>
      <c r="T749" t="str">
        <f t="shared" si="3"/>
        <v>#VALUE!</v>
      </c>
      <c r="U749">
        <f t="shared" si="1"/>
        <v>0</v>
      </c>
    </row>
    <row r="750">
      <c r="D750" s="201"/>
      <c r="I750" s="201"/>
      <c r="R750" t="str">
        <f t="shared" si="4"/>
        <v/>
      </c>
      <c r="S750" s="201" t="str">
        <f t="shared" si="2"/>
        <v>#VALUE!</v>
      </c>
      <c r="T750" t="str">
        <f t="shared" si="3"/>
        <v>#VALUE!</v>
      </c>
      <c r="U750">
        <f t="shared" si="1"/>
        <v>0</v>
      </c>
    </row>
    <row r="751">
      <c r="D751" s="201"/>
      <c r="I751" s="201"/>
      <c r="R751" t="str">
        <f t="shared" si="4"/>
        <v/>
      </c>
      <c r="S751" s="201" t="str">
        <f t="shared" si="2"/>
        <v>#VALUE!</v>
      </c>
      <c r="T751" t="str">
        <f t="shared" si="3"/>
        <v>#VALUE!</v>
      </c>
      <c r="U751">
        <f t="shared" si="1"/>
        <v>0</v>
      </c>
    </row>
    <row r="752">
      <c r="D752" s="201"/>
      <c r="I752" s="201"/>
      <c r="R752" t="str">
        <f t="shared" si="4"/>
        <v/>
      </c>
      <c r="S752" s="201" t="str">
        <f t="shared" si="2"/>
        <v>#VALUE!</v>
      </c>
      <c r="T752" t="str">
        <f t="shared" si="3"/>
        <v>#VALUE!</v>
      </c>
      <c r="U752">
        <f t="shared" si="1"/>
        <v>0</v>
      </c>
    </row>
    <row r="753">
      <c r="D753" s="201"/>
      <c r="I753" s="201"/>
      <c r="R753" t="str">
        <f t="shared" si="4"/>
        <v/>
      </c>
      <c r="S753" s="201" t="str">
        <f t="shared" si="2"/>
        <v>#VALUE!</v>
      </c>
      <c r="T753" t="str">
        <f t="shared" si="3"/>
        <v>#VALUE!</v>
      </c>
      <c r="U753">
        <f t="shared" si="1"/>
        <v>0</v>
      </c>
    </row>
    <row r="754">
      <c r="D754" s="201"/>
      <c r="I754" s="201"/>
      <c r="R754" t="str">
        <f t="shared" si="4"/>
        <v/>
      </c>
      <c r="S754" s="201" t="str">
        <f t="shared" si="2"/>
        <v>#VALUE!</v>
      </c>
      <c r="T754" t="str">
        <f t="shared" si="3"/>
        <v>#VALUE!</v>
      </c>
      <c r="U754">
        <f t="shared" si="1"/>
        <v>0</v>
      </c>
    </row>
    <row r="755">
      <c r="D755" s="201"/>
      <c r="I755" s="201"/>
      <c r="R755" t="str">
        <f t="shared" si="4"/>
        <v/>
      </c>
      <c r="S755" s="201" t="str">
        <f t="shared" si="2"/>
        <v>#VALUE!</v>
      </c>
      <c r="T755" t="str">
        <f t="shared" si="3"/>
        <v>#VALUE!</v>
      </c>
      <c r="U755">
        <f t="shared" si="1"/>
        <v>0</v>
      </c>
    </row>
    <row r="756">
      <c r="D756" s="201"/>
      <c r="I756" s="201"/>
      <c r="R756" t="str">
        <f t="shared" si="4"/>
        <v/>
      </c>
      <c r="S756" s="201" t="str">
        <f t="shared" si="2"/>
        <v>#VALUE!</v>
      </c>
      <c r="T756" t="str">
        <f t="shared" si="3"/>
        <v>#VALUE!</v>
      </c>
      <c r="U756">
        <f t="shared" si="1"/>
        <v>0</v>
      </c>
    </row>
    <row r="757">
      <c r="D757" s="201"/>
      <c r="I757" s="201"/>
      <c r="R757" t="str">
        <f t="shared" si="4"/>
        <v/>
      </c>
      <c r="S757" s="201" t="str">
        <f t="shared" si="2"/>
        <v>#VALUE!</v>
      </c>
      <c r="T757" t="str">
        <f t="shared" si="3"/>
        <v>#VALUE!</v>
      </c>
      <c r="U757">
        <f t="shared" si="1"/>
        <v>0</v>
      </c>
    </row>
    <row r="758">
      <c r="D758" s="201"/>
      <c r="I758" s="201"/>
      <c r="R758" t="str">
        <f t="shared" si="4"/>
        <v/>
      </c>
      <c r="S758" s="201" t="str">
        <f t="shared" si="2"/>
        <v>#VALUE!</v>
      </c>
      <c r="T758" t="str">
        <f t="shared" si="3"/>
        <v>#VALUE!</v>
      </c>
      <c r="U758">
        <f t="shared" si="1"/>
        <v>0</v>
      </c>
    </row>
    <row r="759">
      <c r="D759" s="201"/>
      <c r="I759" s="201"/>
      <c r="R759" t="str">
        <f t="shared" si="4"/>
        <v/>
      </c>
      <c r="S759" s="201" t="str">
        <f t="shared" si="2"/>
        <v>#VALUE!</v>
      </c>
      <c r="T759" t="str">
        <f t="shared" si="3"/>
        <v>#VALUE!</v>
      </c>
      <c r="U759">
        <f t="shared" si="1"/>
        <v>0</v>
      </c>
    </row>
    <row r="760">
      <c r="D760" s="201"/>
      <c r="I760" s="201"/>
      <c r="R760" t="str">
        <f t="shared" si="4"/>
        <v/>
      </c>
      <c r="S760" s="201" t="str">
        <f t="shared" si="2"/>
        <v>#VALUE!</v>
      </c>
      <c r="T760" t="str">
        <f t="shared" si="3"/>
        <v>#VALUE!</v>
      </c>
      <c r="U760">
        <f t="shared" si="1"/>
        <v>0</v>
      </c>
    </row>
    <row r="761">
      <c r="D761" s="201"/>
      <c r="I761" s="201"/>
      <c r="R761" t="str">
        <f t="shared" si="4"/>
        <v/>
      </c>
      <c r="S761" s="201" t="str">
        <f t="shared" si="2"/>
        <v>#VALUE!</v>
      </c>
      <c r="T761" t="str">
        <f t="shared" si="3"/>
        <v>#VALUE!</v>
      </c>
      <c r="U761">
        <f t="shared" si="1"/>
        <v>0</v>
      </c>
    </row>
    <row r="762">
      <c r="D762" s="201"/>
      <c r="I762" s="201"/>
      <c r="R762" t="str">
        <f t="shared" si="4"/>
        <v/>
      </c>
      <c r="S762" s="201" t="str">
        <f t="shared" si="2"/>
        <v>#VALUE!</v>
      </c>
      <c r="T762" t="str">
        <f t="shared" si="3"/>
        <v>#VALUE!</v>
      </c>
      <c r="U762">
        <f t="shared" si="1"/>
        <v>0</v>
      </c>
    </row>
    <row r="763">
      <c r="D763" s="201"/>
      <c r="I763" s="201"/>
      <c r="R763" t="str">
        <f t="shared" si="4"/>
        <v/>
      </c>
      <c r="S763" s="201" t="str">
        <f t="shared" si="2"/>
        <v>#VALUE!</v>
      </c>
      <c r="T763" t="str">
        <f t="shared" si="3"/>
        <v>#VALUE!</v>
      </c>
      <c r="U763">
        <f t="shared" si="1"/>
        <v>0</v>
      </c>
    </row>
    <row r="764">
      <c r="D764" s="201"/>
      <c r="I764" s="201"/>
      <c r="R764" t="str">
        <f t="shared" si="4"/>
        <v/>
      </c>
      <c r="S764" s="201" t="str">
        <f t="shared" si="2"/>
        <v>#VALUE!</v>
      </c>
      <c r="T764" t="str">
        <f t="shared" si="3"/>
        <v>#VALUE!</v>
      </c>
      <c r="U764">
        <f t="shared" si="1"/>
        <v>0</v>
      </c>
    </row>
    <row r="765">
      <c r="D765" s="201"/>
      <c r="I765" s="201"/>
      <c r="R765" t="str">
        <f t="shared" si="4"/>
        <v/>
      </c>
      <c r="S765" s="201" t="str">
        <f t="shared" si="2"/>
        <v>#VALUE!</v>
      </c>
      <c r="T765" t="str">
        <f t="shared" si="3"/>
        <v>#VALUE!</v>
      </c>
      <c r="U765">
        <f t="shared" si="1"/>
        <v>0</v>
      </c>
    </row>
    <row r="766">
      <c r="D766" s="201"/>
      <c r="I766" s="201"/>
      <c r="R766" t="str">
        <f t="shared" si="4"/>
        <v/>
      </c>
      <c r="S766" s="201" t="str">
        <f t="shared" si="2"/>
        <v>#VALUE!</v>
      </c>
      <c r="T766" t="str">
        <f t="shared" si="3"/>
        <v>#VALUE!</v>
      </c>
      <c r="U766">
        <f t="shared" si="1"/>
        <v>0</v>
      </c>
    </row>
    <row r="767">
      <c r="D767" s="201"/>
      <c r="I767" s="201"/>
      <c r="R767" t="str">
        <f t="shared" si="4"/>
        <v/>
      </c>
      <c r="S767" s="201" t="str">
        <f t="shared" si="2"/>
        <v>#VALUE!</v>
      </c>
      <c r="T767" t="str">
        <f t="shared" si="3"/>
        <v>#VALUE!</v>
      </c>
      <c r="U767">
        <f t="shared" si="1"/>
        <v>0</v>
      </c>
    </row>
    <row r="768">
      <c r="D768" s="201"/>
      <c r="I768" s="201"/>
      <c r="R768" t="str">
        <f t="shared" si="4"/>
        <v/>
      </c>
      <c r="S768" s="201" t="str">
        <f t="shared" si="2"/>
        <v>#VALUE!</v>
      </c>
      <c r="T768" t="str">
        <f t="shared" si="3"/>
        <v>#VALUE!</v>
      </c>
      <c r="U768">
        <f t="shared" si="1"/>
        <v>0</v>
      </c>
    </row>
    <row r="769">
      <c r="D769" s="201"/>
      <c r="I769" s="201"/>
      <c r="R769" t="str">
        <f t="shared" si="4"/>
        <v/>
      </c>
      <c r="S769" s="201" t="str">
        <f t="shared" si="2"/>
        <v>#VALUE!</v>
      </c>
      <c r="T769" t="str">
        <f t="shared" si="3"/>
        <v>#VALUE!</v>
      </c>
      <c r="U769">
        <f t="shared" si="1"/>
        <v>0</v>
      </c>
    </row>
    <row r="770">
      <c r="D770" s="201"/>
      <c r="I770" s="201"/>
      <c r="R770" t="str">
        <f t="shared" si="4"/>
        <v/>
      </c>
      <c r="S770" s="201" t="str">
        <f t="shared" si="2"/>
        <v>#VALUE!</v>
      </c>
      <c r="T770" t="str">
        <f t="shared" si="3"/>
        <v>#VALUE!</v>
      </c>
      <c r="U770">
        <f t="shared" si="1"/>
        <v>0</v>
      </c>
    </row>
    <row r="771">
      <c r="D771" s="201"/>
      <c r="I771" s="201"/>
      <c r="R771" t="str">
        <f t="shared" si="4"/>
        <v/>
      </c>
      <c r="S771" s="201" t="str">
        <f t="shared" si="2"/>
        <v>#VALUE!</v>
      </c>
      <c r="T771" t="str">
        <f t="shared" si="3"/>
        <v>#VALUE!</v>
      </c>
      <c r="U771">
        <f t="shared" si="1"/>
        <v>0</v>
      </c>
    </row>
    <row r="772">
      <c r="D772" s="201"/>
      <c r="I772" s="201"/>
      <c r="R772" t="str">
        <f t="shared" si="4"/>
        <v/>
      </c>
      <c r="S772" s="201" t="str">
        <f t="shared" si="2"/>
        <v>#VALUE!</v>
      </c>
      <c r="T772" t="str">
        <f t="shared" si="3"/>
        <v>#VALUE!</v>
      </c>
      <c r="U772">
        <f t="shared" si="1"/>
        <v>0</v>
      </c>
    </row>
    <row r="773">
      <c r="D773" s="201"/>
      <c r="I773" s="201"/>
      <c r="R773" t="str">
        <f t="shared" si="4"/>
        <v/>
      </c>
      <c r="S773" s="201" t="str">
        <f t="shared" si="2"/>
        <v>#VALUE!</v>
      </c>
      <c r="T773" t="str">
        <f t="shared" si="3"/>
        <v>#VALUE!</v>
      </c>
      <c r="U773">
        <f t="shared" si="1"/>
        <v>0</v>
      </c>
    </row>
    <row r="774">
      <c r="D774" s="201"/>
      <c r="I774" s="201"/>
      <c r="R774" t="str">
        <f t="shared" si="4"/>
        <v/>
      </c>
      <c r="S774" s="201" t="str">
        <f t="shared" si="2"/>
        <v>#VALUE!</v>
      </c>
      <c r="T774" t="str">
        <f t="shared" si="3"/>
        <v>#VALUE!</v>
      </c>
      <c r="U774">
        <f t="shared" si="1"/>
        <v>0</v>
      </c>
    </row>
    <row r="775">
      <c r="D775" s="201"/>
      <c r="I775" s="201"/>
      <c r="R775" t="str">
        <f t="shared" si="4"/>
        <v/>
      </c>
      <c r="S775" s="201" t="str">
        <f t="shared" si="2"/>
        <v>#VALUE!</v>
      </c>
      <c r="T775" t="str">
        <f t="shared" si="3"/>
        <v>#VALUE!</v>
      </c>
      <c r="U775">
        <f t="shared" si="1"/>
        <v>0</v>
      </c>
    </row>
    <row r="776">
      <c r="D776" s="201"/>
      <c r="I776" s="201"/>
      <c r="R776" t="str">
        <f t="shared" si="4"/>
        <v/>
      </c>
      <c r="S776" s="201" t="str">
        <f t="shared" si="2"/>
        <v>#VALUE!</v>
      </c>
      <c r="T776" t="str">
        <f t="shared" si="3"/>
        <v>#VALUE!</v>
      </c>
      <c r="U776">
        <f t="shared" si="1"/>
        <v>0</v>
      </c>
    </row>
    <row r="777">
      <c r="D777" s="201"/>
      <c r="I777" s="201"/>
      <c r="R777" t="str">
        <f t="shared" si="4"/>
        <v/>
      </c>
      <c r="S777" s="201" t="str">
        <f t="shared" si="2"/>
        <v>#VALUE!</v>
      </c>
      <c r="T777" t="str">
        <f t="shared" si="3"/>
        <v>#VALUE!</v>
      </c>
      <c r="U777">
        <f t="shared" si="1"/>
        <v>0</v>
      </c>
    </row>
    <row r="778">
      <c r="D778" s="201"/>
      <c r="I778" s="201"/>
      <c r="R778" t="str">
        <f t="shared" si="4"/>
        <v/>
      </c>
      <c r="S778" s="201" t="str">
        <f t="shared" si="2"/>
        <v>#VALUE!</v>
      </c>
      <c r="T778" t="str">
        <f t="shared" si="3"/>
        <v>#VALUE!</v>
      </c>
      <c r="U778">
        <f t="shared" si="1"/>
        <v>0</v>
      </c>
    </row>
    <row r="779">
      <c r="D779" s="201"/>
      <c r="I779" s="201"/>
      <c r="R779" t="str">
        <f t="shared" si="4"/>
        <v/>
      </c>
      <c r="S779" s="201" t="str">
        <f t="shared" si="2"/>
        <v>#VALUE!</v>
      </c>
      <c r="T779" t="str">
        <f t="shared" si="3"/>
        <v>#VALUE!</v>
      </c>
      <c r="U779">
        <f t="shared" si="1"/>
        <v>0</v>
      </c>
    </row>
    <row r="780">
      <c r="D780" s="201"/>
      <c r="I780" s="201"/>
      <c r="R780" t="str">
        <f t="shared" si="4"/>
        <v/>
      </c>
      <c r="S780" s="201" t="str">
        <f t="shared" si="2"/>
        <v>#VALUE!</v>
      </c>
      <c r="T780" t="str">
        <f t="shared" si="3"/>
        <v>#VALUE!</v>
      </c>
      <c r="U780">
        <f t="shared" si="1"/>
        <v>0</v>
      </c>
    </row>
    <row r="781">
      <c r="D781" s="201"/>
      <c r="I781" s="201"/>
      <c r="R781" t="str">
        <f t="shared" si="4"/>
        <v/>
      </c>
      <c r="S781" s="201" t="str">
        <f t="shared" si="2"/>
        <v>#VALUE!</v>
      </c>
      <c r="T781" t="str">
        <f t="shared" si="3"/>
        <v>#VALUE!</v>
      </c>
      <c r="U781">
        <f t="shared" si="1"/>
        <v>0</v>
      </c>
    </row>
    <row r="782">
      <c r="D782" s="201"/>
      <c r="I782" s="201"/>
      <c r="R782" t="str">
        <f t="shared" si="4"/>
        <v/>
      </c>
      <c r="S782" s="201" t="str">
        <f t="shared" si="2"/>
        <v>#VALUE!</v>
      </c>
      <c r="T782" t="str">
        <f t="shared" si="3"/>
        <v>#VALUE!</v>
      </c>
      <c r="U782">
        <f t="shared" si="1"/>
        <v>0</v>
      </c>
    </row>
    <row r="783">
      <c r="D783" s="201"/>
      <c r="I783" s="201"/>
      <c r="R783" t="str">
        <f t="shared" si="4"/>
        <v/>
      </c>
      <c r="S783" s="201" t="str">
        <f t="shared" si="2"/>
        <v>#VALUE!</v>
      </c>
      <c r="T783" t="str">
        <f t="shared" si="3"/>
        <v>#VALUE!</v>
      </c>
      <c r="U783">
        <f t="shared" si="1"/>
        <v>0</v>
      </c>
    </row>
    <row r="784">
      <c r="D784" s="201"/>
      <c r="I784" s="201"/>
      <c r="R784" t="str">
        <f t="shared" si="4"/>
        <v/>
      </c>
      <c r="S784" s="201" t="str">
        <f t="shared" si="2"/>
        <v>#VALUE!</v>
      </c>
      <c r="T784" t="str">
        <f t="shared" si="3"/>
        <v>#VALUE!</v>
      </c>
      <c r="U784">
        <f t="shared" si="1"/>
        <v>0</v>
      </c>
    </row>
    <row r="785">
      <c r="D785" s="201"/>
      <c r="I785" s="201"/>
      <c r="R785" t="str">
        <f t="shared" si="4"/>
        <v/>
      </c>
      <c r="S785" s="201" t="str">
        <f t="shared" si="2"/>
        <v>#VALUE!</v>
      </c>
      <c r="T785" t="str">
        <f t="shared" si="3"/>
        <v>#VALUE!</v>
      </c>
      <c r="U785">
        <f t="shared" si="1"/>
        <v>0</v>
      </c>
    </row>
    <row r="786">
      <c r="D786" s="201"/>
      <c r="I786" s="201"/>
      <c r="R786" t="str">
        <f t="shared" si="4"/>
        <v/>
      </c>
      <c r="S786" s="201" t="str">
        <f t="shared" si="2"/>
        <v>#VALUE!</v>
      </c>
      <c r="T786" t="str">
        <f t="shared" si="3"/>
        <v>#VALUE!</v>
      </c>
      <c r="U786">
        <f t="shared" si="1"/>
        <v>0</v>
      </c>
    </row>
    <row r="787">
      <c r="D787" s="201"/>
      <c r="I787" s="201"/>
      <c r="R787" t="str">
        <f t="shared" si="4"/>
        <v/>
      </c>
      <c r="S787" s="201" t="str">
        <f t="shared" si="2"/>
        <v>#VALUE!</v>
      </c>
      <c r="T787" t="str">
        <f t="shared" si="3"/>
        <v>#VALUE!</v>
      </c>
      <c r="U787">
        <f t="shared" si="1"/>
        <v>0</v>
      </c>
    </row>
    <row r="788">
      <c r="D788" s="201"/>
      <c r="I788" s="201"/>
      <c r="R788" t="str">
        <f t="shared" si="4"/>
        <v/>
      </c>
      <c r="S788" s="201" t="str">
        <f t="shared" si="2"/>
        <v>#VALUE!</v>
      </c>
      <c r="T788" t="str">
        <f t="shared" si="3"/>
        <v>#VALUE!</v>
      </c>
      <c r="U788">
        <f t="shared" si="1"/>
        <v>0</v>
      </c>
    </row>
    <row r="789">
      <c r="D789" s="201"/>
      <c r="I789" s="201"/>
      <c r="R789" t="str">
        <f t="shared" si="4"/>
        <v/>
      </c>
      <c r="S789" s="201" t="str">
        <f t="shared" si="2"/>
        <v>#VALUE!</v>
      </c>
      <c r="T789" t="str">
        <f t="shared" si="3"/>
        <v>#VALUE!</v>
      </c>
      <c r="U789">
        <f t="shared" si="1"/>
        <v>0</v>
      </c>
    </row>
    <row r="790">
      <c r="D790" s="201"/>
      <c r="I790" s="201"/>
      <c r="R790" t="str">
        <f t="shared" si="4"/>
        <v/>
      </c>
      <c r="S790" s="201" t="str">
        <f t="shared" si="2"/>
        <v>#VALUE!</v>
      </c>
      <c r="T790" t="str">
        <f t="shared" si="3"/>
        <v>#VALUE!</v>
      </c>
      <c r="U790">
        <f t="shared" si="1"/>
        <v>0</v>
      </c>
    </row>
    <row r="791">
      <c r="D791" s="201"/>
      <c r="I791" s="201"/>
      <c r="R791" t="str">
        <f t="shared" si="4"/>
        <v/>
      </c>
      <c r="S791" s="201" t="str">
        <f t="shared" si="2"/>
        <v>#VALUE!</v>
      </c>
      <c r="T791" t="str">
        <f t="shared" si="3"/>
        <v>#VALUE!</v>
      </c>
      <c r="U791">
        <f t="shared" si="1"/>
        <v>0</v>
      </c>
    </row>
    <row r="792">
      <c r="D792" s="201"/>
      <c r="I792" s="201"/>
      <c r="R792" t="str">
        <f t="shared" si="4"/>
        <v/>
      </c>
      <c r="S792" s="201" t="str">
        <f t="shared" si="2"/>
        <v>#VALUE!</v>
      </c>
      <c r="T792" t="str">
        <f t="shared" si="3"/>
        <v>#VALUE!</v>
      </c>
      <c r="U792">
        <f t="shared" si="1"/>
        <v>0</v>
      </c>
    </row>
    <row r="793">
      <c r="D793" s="201"/>
      <c r="I793" s="201"/>
      <c r="R793" t="str">
        <f t="shared" si="4"/>
        <v/>
      </c>
      <c r="S793" s="201" t="str">
        <f t="shared" si="2"/>
        <v>#VALUE!</v>
      </c>
      <c r="T793" t="str">
        <f t="shared" si="3"/>
        <v>#VALUE!</v>
      </c>
      <c r="U793">
        <f t="shared" si="1"/>
        <v>0</v>
      </c>
    </row>
    <row r="794">
      <c r="D794" s="201"/>
      <c r="I794" s="201"/>
      <c r="R794" t="str">
        <f t="shared" si="4"/>
        <v/>
      </c>
      <c r="S794" s="201" t="str">
        <f t="shared" si="2"/>
        <v>#VALUE!</v>
      </c>
      <c r="T794" t="str">
        <f t="shared" si="3"/>
        <v>#VALUE!</v>
      </c>
      <c r="U794">
        <f t="shared" si="1"/>
        <v>0</v>
      </c>
    </row>
    <row r="795">
      <c r="D795" s="201"/>
      <c r="I795" s="201"/>
      <c r="R795" t="str">
        <f t="shared" si="4"/>
        <v/>
      </c>
      <c r="S795" s="201" t="str">
        <f t="shared" si="2"/>
        <v>#VALUE!</v>
      </c>
      <c r="T795" t="str">
        <f t="shared" si="3"/>
        <v>#VALUE!</v>
      </c>
      <c r="U795">
        <f t="shared" si="1"/>
        <v>0</v>
      </c>
    </row>
    <row r="796">
      <c r="D796" s="201"/>
      <c r="I796" s="201"/>
      <c r="R796" t="str">
        <f t="shared" si="4"/>
        <v/>
      </c>
      <c r="S796" s="201" t="str">
        <f t="shared" si="2"/>
        <v>#VALUE!</v>
      </c>
      <c r="T796" t="str">
        <f t="shared" si="3"/>
        <v>#VALUE!</v>
      </c>
      <c r="U796">
        <f t="shared" si="1"/>
        <v>0</v>
      </c>
    </row>
    <row r="797">
      <c r="D797" s="201"/>
      <c r="I797" s="201"/>
      <c r="R797" t="str">
        <f t="shared" si="4"/>
        <v/>
      </c>
      <c r="S797" s="201" t="str">
        <f t="shared" si="2"/>
        <v>#VALUE!</v>
      </c>
      <c r="T797" t="str">
        <f t="shared" si="3"/>
        <v>#VALUE!</v>
      </c>
      <c r="U797">
        <f t="shared" si="1"/>
        <v>0</v>
      </c>
    </row>
    <row r="798">
      <c r="D798" s="201"/>
      <c r="I798" s="201"/>
      <c r="R798" t="str">
        <f t="shared" si="4"/>
        <v/>
      </c>
      <c r="S798" s="201" t="str">
        <f t="shared" si="2"/>
        <v>#VALUE!</v>
      </c>
      <c r="T798" t="str">
        <f t="shared" si="3"/>
        <v>#VALUE!</v>
      </c>
      <c r="U798">
        <f t="shared" si="1"/>
        <v>0</v>
      </c>
    </row>
    <row r="799">
      <c r="D799" s="201"/>
      <c r="I799" s="201"/>
      <c r="R799" t="str">
        <f t="shared" si="4"/>
        <v/>
      </c>
      <c r="S799" s="201" t="str">
        <f t="shared" si="2"/>
        <v>#VALUE!</v>
      </c>
      <c r="T799" t="str">
        <f t="shared" si="3"/>
        <v>#VALUE!</v>
      </c>
      <c r="U799">
        <f t="shared" si="1"/>
        <v>0</v>
      </c>
    </row>
    <row r="800">
      <c r="D800" s="201"/>
      <c r="I800" s="201"/>
      <c r="R800" t="str">
        <f t="shared" si="4"/>
        <v/>
      </c>
      <c r="S800" s="201" t="str">
        <f t="shared" si="2"/>
        <v>#VALUE!</v>
      </c>
      <c r="T800" t="str">
        <f t="shared" si="3"/>
        <v>#VALUE!</v>
      </c>
      <c r="U800">
        <f t="shared" si="1"/>
        <v>0</v>
      </c>
    </row>
    <row r="801">
      <c r="D801" s="201"/>
      <c r="I801" s="201"/>
      <c r="R801" t="str">
        <f t="shared" si="4"/>
        <v/>
      </c>
      <c r="S801" s="201" t="str">
        <f t="shared" si="2"/>
        <v>#VALUE!</v>
      </c>
      <c r="T801" t="str">
        <f t="shared" si="3"/>
        <v>#VALUE!</v>
      </c>
      <c r="U801">
        <f t="shared" si="1"/>
        <v>0</v>
      </c>
    </row>
    <row r="802">
      <c r="D802" s="201"/>
      <c r="I802" s="201"/>
      <c r="R802" t="str">
        <f t="shared" si="4"/>
        <v/>
      </c>
      <c r="S802" s="201" t="str">
        <f t="shared" si="2"/>
        <v>#VALUE!</v>
      </c>
      <c r="T802" t="str">
        <f t="shared" si="3"/>
        <v>#VALUE!</v>
      </c>
      <c r="U802">
        <f t="shared" si="1"/>
        <v>0</v>
      </c>
    </row>
    <row r="803">
      <c r="D803" s="201"/>
      <c r="I803" s="201"/>
      <c r="R803" t="str">
        <f t="shared" si="4"/>
        <v/>
      </c>
      <c r="S803" s="201" t="str">
        <f t="shared" si="2"/>
        <v>#VALUE!</v>
      </c>
      <c r="T803" t="str">
        <f t="shared" si="3"/>
        <v>#VALUE!</v>
      </c>
      <c r="U803">
        <f t="shared" si="1"/>
        <v>0</v>
      </c>
    </row>
    <row r="804">
      <c r="D804" s="201"/>
      <c r="I804" s="201"/>
      <c r="R804" t="str">
        <f t="shared" si="4"/>
        <v/>
      </c>
      <c r="S804" s="201" t="str">
        <f t="shared" si="2"/>
        <v>#VALUE!</v>
      </c>
      <c r="T804" t="str">
        <f t="shared" si="3"/>
        <v>#VALUE!</v>
      </c>
      <c r="U804">
        <f t="shared" si="1"/>
        <v>0</v>
      </c>
    </row>
    <row r="805">
      <c r="D805" s="201"/>
      <c r="I805" s="201"/>
      <c r="R805" t="str">
        <f t="shared" si="4"/>
        <v/>
      </c>
      <c r="S805" s="201" t="str">
        <f t="shared" si="2"/>
        <v>#VALUE!</v>
      </c>
      <c r="T805" t="str">
        <f t="shared" si="3"/>
        <v>#VALUE!</v>
      </c>
      <c r="U805">
        <f t="shared" si="1"/>
        <v>0</v>
      </c>
    </row>
    <row r="806">
      <c r="D806" s="201"/>
      <c r="I806" s="201"/>
      <c r="R806" t="str">
        <f t="shared" si="4"/>
        <v/>
      </c>
      <c r="S806" s="201" t="str">
        <f t="shared" si="2"/>
        <v>#VALUE!</v>
      </c>
      <c r="T806" t="str">
        <f t="shared" si="3"/>
        <v>#VALUE!</v>
      </c>
      <c r="U806">
        <f t="shared" si="1"/>
        <v>0</v>
      </c>
    </row>
    <row r="807">
      <c r="D807" s="201"/>
      <c r="I807" s="201"/>
      <c r="R807" t="str">
        <f t="shared" si="4"/>
        <v/>
      </c>
      <c r="S807" s="201" t="str">
        <f t="shared" si="2"/>
        <v>#VALUE!</v>
      </c>
      <c r="T807" t="str">
        <f t="shared" si="3"/>
        <v>#VALUE!</v>
      </c>
      <c r="U807">
        <f t="shared" si="1"/>
        <v>0</v>
      </c>
    </row>
    <row r="808">
      <c r="D808" s="201"/>
      <c r="I808" s="201"/>
      <c r="R808" t="str">
        <f t="shared" si="4"/>
        <v/>
      </c>
      <c r="S808" s="201" t="str">
        <f t="shared" si="2"/>
        <v>#VALUE!</v>
      </c>
      <c r="T808" t="str">
        <f t="shared" si="3"/>
        <v>#VALUE!</v>
      </c>
      <c r="U808">
        <f t="shared" si="1"/>
        <v>0</v>
      </c>
    </row>
    <row r="809">
      <c r="D809" s="201"/>
      <c r="I809" s="201"/>
      <c r="R809" t="str">
        <f t="shared" si="4"/>
        <v/>
      </c>
      <c r="S809" s="201" t="str">
        <f t="shared" si="2"/>
        <v>#VALUE!</v>
      </c>
      <c r="T809" t="str">
        <f t="shared" si="3"/>
        <v>#VALUE!</v>
      </c>
      <c r="U809">
        <f t="shared" si="1"/>
        <v>0</v>
      </c>
    </row>
    <row r="810">
      <c r="D810" s="201"/>
      <c r="I810" s="201"/>
      <c r="R810" t="str">
        <f t="shared" si="4"/>
        <v/>
      </c>
      <c r="S810" s="201" t="str">
        <f t="shared" si="2"/>
        <v>#VALUE!</v>
      </c>
      <c r="T810" t="str">
        <f t="shared" si="3"/>
        <v>#VALUE!</v>
      </c>
      <c r="U810">
        <f t="shared" si="1"/>
        <v>0</v>
      </c>
    </row>
    <row r="811">
      <c r="D811" s="201"/>
      <c r="I811" s="201"/>
      <c r="R811" t="str">
        <f t="shared" si="4"/>
        <v/>
      </c>
      <c r="S811" s="201" t="str">
        <f t="shared" si="2"/>
        <v>#VALUE!</v>
      </c>
      <c r="T811" t="str">
        <f t="shared" si="3"/>
        <v>#VALUE!</v>
      </c>
      <c r="U811">
        <f t="shared" si="1"/>
        <v>0</v>
      </c>
    </row>
    <row r="812">
      <c r="D812" s="201"/>
      <c r="I812" s="201"/>
      <c r="R812" t="str">
        <f t="shared" si="4"/>
        <v/>
      </c>
      <c r="S812" s="201" t="str">
        <f t="shared" si="2"/>
        <v>#VALUE!</v>
      </c>
      <c r="T812" t="str">
        <f t="shared" si="3"/>
        <v>#VALUE!</v>
      </c>
      <c r="U812">
        <f t="shared" si="1"/>
        <v>0</v>
      </c>
    </row>
    <row r="813">
      <c r="D813" s="201"/>
      <c r="I813" s="201"/>
      <c r="R813" t="str">
        <f t="shared" si="4"/>
        <v/>
      </c>
      <c r="S813" s="201" t="str">
        <f t="shared" si="2"/>
        <v>#VALUE!</v>
      </c>
      <c r="T813" t="str">
        <f t="shared" si="3"/>
        <v>#VALUE!</v>
      </c>
      <c r="U813">
        <f t="shared" si="1"/>
        <v>0</v>
      </c>
    </row>
    <row r="814">
      <c r="D814" s="201"/>
      <c r="I814" s="201"/>
      <c r="R814" t="str">
        <f t="shared" si="4"/>
        <v/>
      </c>
      <c r="S814" s="201" t="str">
        <f t="shared" si="2"/>
        <v>#VALUE!</v>
      </c>
      <c r="T814" t="str">
        <f t="shared" si="3"/>
        <v>#VALUE!</v>
      </c>
      <c r="U814">
        <f t="shared" si="1"/>
        <v>0</v>
      </c>
    </row>
    <row r="815">
      <c r="D815" s="201"/>
      <c r="I815" s="201"/>
      <c r="R815" t="str">
        <f t="shared" si="4"/>
        <v/>
      </c>
      <c r="S815" s="201" t="str">
        <f t="shared" si="2"/>
        <v>#VALUE!</v>
      </c>
      <c r="T815" t="str">
        <f t="shared" si="3"/>
        <v>#VALUE!</v>
      </c>
      <c r="U815">
        <f t="shared" si="1"/>
        <v>0</v>
      </c>
    </row>
    <row r="816">
      <c r="D816" s="201"/>
      <c r="I816" s="201"/>
      <c r="R816" t="str">
        <f t="shared" si="4"/>
        <v/>
      </c>
      <c r="S816" s="201" t="str">
        <f t="shared" si="2"/>
        <v>#VALUE!</v>
      </c>
      <c r="T816" t="str">
        <f t="shared" si="3"/>
        <v>#VALUE!</v>
      </c>
      <c r="U816">
        <f t="shared" si="1"/>
        <v>0</v>
      </c>
    </row>
    <row r="817">
      <c r="D817" s="201"/>
      <c r="I817" s="201"/>
      <c r="R817" t="str">
        <f t="shared" si="4"/>
        <v/>
      </c>
      <c r="S817" s="201" t="str">
        <f t="shared" si="2"/>
        <v>#VALUE!</v>
      </c>
      <c r="T817" t="str">
        <f t="shared" si="3"/>
        <v>#VALUE!</v>
      </c>
      <c r="U817">
        <f t="shared" si="1"/>
        <v>0</v>
      </c>
    </row>
    <row r="818">
      <c r="D818" s="201"/>
      <c r="I818" s="201"/>
      <c r="R818" t="str">
        <f t="shared" si="4"/>
        <v/>
      </c>
      <c r="S818" s="201" t="str">
        <f t="shared" si="2"/>
        <v>#VALUE!</v>
      </c>
      <c r="T818" t="str">
        <f t="shared" si="3"/>
        <v>#VALUE!</v>
      </c>
      <c r="U818">
        <f t="shared" si="1"/>
        <v>0</v>
      </c>
    </row>
    <row r="819">
      <c r="D819" s="201"/>
      <c r="I819" s="201"/>
      <c r="R819" t="str">
        <f t="shared" si="4"/>
        <v/>
      </c>
      <c r="S819" s="201" t="str">
        <f t="shared" si="2"/>
        <v>#VALUE!</v>
      </c>
      <c r="T819" t="str">
        <f t="shared" si="3"/>
        <v>#VALUE!</v>
      </c>
      <c r="U819">
        <f t="shared" si="1"/>
        <v>0</v>
      </c>
    </row>
    <row r="820">
      <c r="D820" s="201"/>
      <c r="I820" s="201"/>
      <c r="R820" t="str">
        <f t="shared" si="4"/>
        <v/>
      </c>
      <c r="S820" s="201" t="str">
        <f t="shared" si="2"/>
        <v>#VALUE!</v>
      </c>
      <c r="T820" t="str">
        <f t="shared" si="3"/>
        <v>#VALUE!</v>
      </c>
      <c r="U820">
        <f t="shared" si="1"/>
        <v>0</v>
      </c>
    </row>
    <row r="821">
      <c r="D821" s="201"/>
      <c r="I821" s="201"/>
      <c r="R821" t="str">
        <f t="shared" si="4"/>
        <v/>
      </c>
      <c r="S821" s="201" t="str">
        <f t="shared" si="2"/>
        <v>#VALUE!</v>
      </c>
      <c r="T821" t="str">
        <f t="shared" si="3"/>
        <v>#VALUE!</v>
      </c>
      <c r="U821">
        <f t="shared" si="1"/>
        <v>0</v>
      </c>
    </row>
    <row r="822">
      <c r="D822" s="201"/>
      <c r="I822" s="201"/>
      <c r="R822" t="str">
        <f t="shared" si="4"/>
        <v/>
      </c>
      <c r="S822" s="201" t="str">
        <f t="shared" si="2"/>
        <v>#VALUE!</v>
      </c>
      <c r="T822" t="str">
        <f t="shared" si="3"/>
        <v>#VALUE!</v>
      </c>
      <c r="U822">
        <f t="shared" si="1"/>
        <v>0</v>
      </c>
    </row>
    <row r="823">
      <c r="D823" s="201"/>
      <c r="I823" s="201"/>
      <c r="R823" t="str">
        <f t="shared" si="4"/>
        <v/>
      </c>
      <c r="S823" s="201" t="str">
        <f t="shared" si="2"/>
        <v>#VALUE!</v>
      </c>
      <c r="T823" t="str">
        <f t="shared" si="3"/>
        <v>#VALUE!</v>
      </c>
      <c r="U823">
        <f t="shared" si="1"/>
        <v>0</v>
      </c>
    </row>
    <row r="824">
      <c r="D824" s="201"/>
      <c r="I824" s="201"/>
      <c r="R824" t="str">
        <f t="shared" si="4"/>
        <v/>
      </c>
      <c r="S824" s="201" t="str">
        <f t="shared" si="2"/>
        <v>#VALUE!</v>
      </c>
      <c r="T824" t="str">
        <f t="shared" si="3"/>
        <v>#VALUE!</v>
      </c>
      <c r="U824">
        <f t="shared" si="1"/>
        <v>0</v>
      </c>
    </row>
    <row r="825">
      <c r="D825" s="201"/>
      <c r="I825" s="201"/>
      <c r="R825" t="str">
        <f t="shared" si="4"/>
        <v/>
      </c>
      <c r="S825" s="201" t="str">
        <f t="shared" si="2"/>
        <v>#VALUE!</v>
      </c>
      <c r="T825" t="str">
        <f t="shared" si="3"/>
        <v>#VALUE!</v>
      </c>
      <c r="U825">
        <f t="shared" si="1"/>
        <v>0</v>
      </c>
    </row>
    <row r="826">
      <c r="D826" s="201"/>
      <c r="I826" s="201"/>
      <c r="R826" t="str">
        <f t="shared" si="4"/>
        <v/>
      </c>
      <c r="S826" s="201" t="str">
        <f t="shared" si="2"/>
        <v>#VALUE!</v>
      </c>
      <c r="T826" t="str">
        <f t="shared" si="3"/>
        <v>#VALUE!</v>
      </c>
      <c r="U826">
        <f t="shared" si="1"/>
        <v>0</v>
      </c>
    </row>
    <row r="827">
      <c r="D827" s="201"/>
      <c r="I827" s="201"/>
      <c r="R827" t="str">
        <f t="shared" si="4"/>
        <v/>
      </c>
      <c r="S827" s="201" t="str">
        <f t="shared" si="2"/>
        <v>#VALUE!</v>
      </c>
      <c r="T827" t="str">
        <f t="shared" si="3"/>
        <v>#VALUE!</v>
      </c>
      <c r="U827">
        <f t="shared" si="1"/>
        <v>0</v>
      </c>
    </row>
    <row r="828">
      <c r="D828" s="201"/>
      <c r="I828" s="201"/>
      <c r="R828" t="str">
        <f t="shared" si="4"/>
        <v/>
      </c>
      <c r="S828" s="201" t="str">
        <f t="shared" si="2"/>
        <v>#VALUE!</v>
      </c>
      <c r="T828" t="str">
        <f t="shared" si="3"/>
        <v>#VALUE!</v>
      </c>
      <c r="U828">
        <f t="shared" si="1"/>
        <v>0</v>
      </c>
    </row>
    <row r="829">
      <c r="D829" s="201"/>
      <c r="I829" s="201"/>
      <c r="R829" t="str">
        <f t="shared" si="4"/>
        <v/>
      </c>
      <c r="S829" s="201" t="str">
        <f t="shared" si="2"/>
        <v>#VALUE!</v>
      </c>
      <c r="T829" t="str">
        <f t="shared" si="3"/>
        <v>#VALUE!</v>
      </c>
      <c r="U829">
        <f t="shared" si="1"/>
        <v>0</v>
      </c>
    </row>
    <row r="830">
      <c r="D830" s="201"/>
      <c r="I830" s="201"/>
      <c r="R830" t="str">
        <f t="shared" si="4"/>
        <v/>
      </c>
      <c r="S830" s="201" t="str">
        <f t="shared" si="2"/>
        <v>#VALUE!</v>
      </c>
      <c r="T830" t="str">
        <f t="shared" si="3"/>
        <v>#VALUE!</v>
      </c>
      <c r="U830">
        <f t="shared" si="1"/>
        <v>0</v>
      </c>
    </row>
    <row r="831">
      <c r="D831" s="201"/>
      <c r="I831" s="201"/>
      <c r="R831" t="str">
        <f t="shared" si="4"/>
        <v/>
      </c>
      <c r="S831" s="201" t="str">
        <f t="shared" si="2"/>
        <v>#VALUE!</v>
      </c>
      <c r="T831" t="str">
        <f t="shared" si="3"/>
        <v>#VALUE!</v>
      </c>
      <c r="U831">
        <f t="shared" si="1"/>
        <v>0</v>
      </c>
    </row>
    <row r="832">
      <c r="D832" s="201"/>
      <c r="I832" s="201"/>
      <c r="R832" t="str">
        <f t="shared" si="4"/>
        <v/>
      </c>
      <c r="S832" s="201" t="str">
        <f t="shared" si="2"/>
        <v>#VALUE!</v>
      </c>
      <c r="T832" t="str">
        <f t="shared" si="3"/>
        <v>#VALUE!</v>
      </c>
      <c r="U832">
        <f t="shared" si="1"/>
        <v>0</v>
      </c>
    </row>
    <row r="833">
      <c r="D833" s="201"/>
      <c r="I833" s="201"/>
      <c r="R833" t="str">
        <f t="shared" si="4"/>
        <v/>
      </c>
      <c r="S833" s="201" t="str">
        <f t="shared" si="2"/>
        <v>#VALUE!</v>
      </c>
      <c r="T833" t="str">
        <f t="shared" si="3"/>
        <v>#VALUE!</v>
      </c>
      <c r="U833">
        <f t="shared" si="1"/>
        <v>0</v>
      </c>
    </row>
    <row r="834">
      <c r="D834" s="201"/>
      <c r="I834" s="201"/>
      <c r="R834" t="str">
        <f t="shared" si="4"/>
        <v/>
      </c>
      <c r="S834" s="201" t="str">
        <f t="shared" si="2"/>
        <v>#VALUE!</v>
      </c>
      <c r="T834" t="str">
        <f t="shared" si="3"/>
        <v>#VALUE!</v>
      </c>
      <c r="U834">
        <f t="shared" si="1"/>
        <v>0</v>
      </c>
    </row>
    <row r="835">
      <c r="D835" s="201"/>
      <c r="I835" s="201"/>
      <c r="R835" t="str">
        <f t="shared" si="4"/>
        <v/>
      </c>
      <c r="S835" s="201" t="str">
        <f t="shared" si="2"/>
        <v>#VALUE!</v>
      </c>
      <c r="T835" t="str">
        <f t="shared" si="3"/>
        <v>#VALUE!</v>
      </c>
      <c r="U835">
        <f t="shared" si="1"/>
        <v>0</v>
      </c>
    </row>
    <row r="836">
      <c r="D836" s="201"/>
      <c r="I836" s="201"/>
      <c r="R836" t="str">
        <f t="shared" si="4"/>
        <v/>
      </c>
      <c r="S836" s="201" t="str">
        <f t="shared" si="2"/>
        <v>#VALUE!</v>
      </c>
      <c r="T836" t="str">
        <f t="shared" si="3"/>
        <v>#VALUE!</v>
      </c>
      <c r="U836">
        <f t="shared" si="1"/>
        <v>0</v>
      </c>
    </row>
    <row r="837">
      <c r="D837" s="201"/>
      <c r="I837" s="201"/>
      <c r="R837" t="str">
        <f t="shared" si="4"/>
        <v/>
      </c>
      <c r="S837" s="201" t="str">
        <f t="shared" si="2"/>
        <v>#VALUE!</v>
      </c>
      <c r="T837" t="str">
        <f t="shared" si="3"/>
        <v>#VALUE!</v>
      </c>
      <c r="U837">
        <f t="shared" si="1"/>
        <v>0</v>
      </c>
    </row>
    <row r="838">
      <c r="D838" s="201"/>
      <c r="I838" s="201"/>
      <c r="R838" t="str">
        <f t="shared" si="4"/>
        <v/>
      </c>
      <c r="S838" s="201" t="str">
        <f t="shared" si="2"/>
        <v>#VALUE!</v>
      </c>
      <c r="T838" t="str">
        <f t="shared" si="3"/>
        <v>#VALUE!</v>
      </c>
      <c r="U838">
        <f t="shared" si="1"/>
        <v>0</v>
      </c>
    </row>
    <row r="839">
      <c r="D839" s="201"/>
      <c r="I839" s="201"/>
      <c r="R839" t="str">
        <f t="shared" si="4"/>
        <v/>
      </c>
      <c r="S839" s="201" t="str">
        <f t="shared" si="2"/>
        <v>#VALUE!</v>
      </c>
      <c r="T839" t="str">
        <f t="shared" si="3"/>
        <v>#VALUE!</v>
      </c>
      <c r="U839">
        <f t="shared" si="1"/>
        <v>0</v>
      </c>
    </row>
    <row r="840">
      <c r="D840" s="201"/>
      <c r="I840" s="201"/>
      <c r="R840" t="str">
        <f t="shared" si="4"/>
        <v/>
      </c>
      <c r="S840" s="201" t="str">
        <f t="shared" si="2"/>
        <v>#VALUE!</v>
      </c>
      <c r="T840" t="str">
        <f t="shared" si="3"/>
        <v>#VALUE!</v>
      </c>
      <c r="U840">
        <f t="shared" si="1"/>
        <v>0</v>
      </c>
    </row>
    <row r="841">
      <c r="D841" s="201"/>
      <c r="I841" s="201"/>
      <c r="R841" t="str">
        <f t="shared" si="4"/>
        <v/>
      </c>
      <c r="S841" s="201" t="str">
        <f t="shared" si="2"/>
        <v>#VALUE!</v>
      </c>
      <c r="T841" t="str">
        <f t="shared" si="3"/>
        <v>#VALUE!</v>
      </c>
      <c r="U841">
        <f t="shared" si="1"/>
        <v>0</v>
      </c>
    </row>
    <row r="842">
      <c r="D842" s="201"/>
      <c r="I842" s="201"/>
      <c r="R842" t="str">
        <f t="shared" si="4"/>
        <v/>
      </c>
      <c r="S842" s="201" t="str">
        <f t="shared" si="2"/>
        <v>#VALUE!</v>
      </c>
      <c r="T842" t="str">
        <f t="shared" si="3"/>
        <v>#VALUE!</v>
      </c>
      <c r="U842">
        <f t="shared" si="1"/>
        <v>0</v>
      </c>
    </row>
    <row r="843">
      <c r="D843" s="201"/>
      <c r="I843" s="201"/>
      <c r="R843" t="str">
        <f t="shared" si="4"/>
        <v/>
      </c>
      <c r="S843" s="201" t="str">
        <f t="shared" si="2"/>
        <v>#VALUE!</v>
      </c>
      <c r="T843" t="str">
        <f t="shared" si="3"/>
        <v>#VALUE!</v>
      </c>
      <c r="U843">
        <f t="shared" si="1"/>
        <v>0</v>
      </c>
    </row>
    <row r="844">
      <c r="D844" s="201"/>
      <c r="I844" s="201"/>
      <c r="R844" t="str">
        <f t="shared" si="4"/>
        <v/>
      </c>
      <c r="S844" s="201" t="str">
        <f t="shared" si="2"/>
        <v>#VALUE!</v>
      </c>
      <c r="T844" t="str">
        <f t="shared" si="3"/>
        <v>#VALUE!</v>
      </c>
      <c r="U844">
        <f t="shared" si="1"/>
        <v>0</v>
      </c>
    </row>
    <row r="845">
      <c r="D845" s="201"/>
      <c r="I845" s="201"/>
      <c r="R845" t="str">
        <f t="shared" si="4"/>
        <v/>
      </c>
      <c r="S845" s="201" t="str">
        <f t="shared" si="2"/>
        <v>#VALUE!</v>
      </c>
      <c r="T845" t="str">
        <f t="shared" si="3"/>
        <v>#VALUE!</v>
      </c>
      <c r="U845">
        <f t="shared" si="1"/>
        <v>0</v>
      </c>
    </row>
    <row r="846">
      <c r="D846" s="201"/>
      <c r="I846" s="201"/>
      <c r="R846" t="str">
        <f t="shared" si="4"/>
        <v/>
      </c>
      <c r="S846" s="201" t="str">
        <f t="shared" si="2"/>
        <v>#VALUE!</v>
      </c>
      <c r="T846" t="str">
        <f t="shared" si="3"/>
        <v>#VALUE!</v>
      </c>
      <c r="U846">
        <f t="shared" si="1"/>
        <v>0</v>
      </c>
    </row>
    <row r="847">
      <c r="D847" s="201"/>
      <c r="I847" s="201"/>
      <c r="R847" t="str">
        <f t="shared" si="4"/>
        <v/>
      </c>
      <c r="S847" s="201" t="str">
        <f t="shared" si="2"/>
        <v>#VALUE!</v>
      </c>
      <c r="T847" t="str">
        <f t="shared" si="3"/>
        <v>#VALUE!</v>
      </c>
      <c r="U847">
        <f t="shared" si="1"/>
        <v>0</v>
      </c>
    </row>
    <row r="848">
      <c r="D848" s="201"/>
      <c r="I848" s="201"/>
      <c r="R848" t="str">
        <f t="shared" si="4"/>
        <v/>
      </c>
      <c r="S848" s="201" t="str">
        <f t="shared" si="2"/>
        <v>#VALUE!</v>
      </c>
      <c r="T848" t="str">
        <f t="shared" si="3"/>
        <v>#VALUE!</v>
      </c>
      <c r="U848">
        <f t="shared" si="1"/>
        <v>0</v>
      </c>
    </row>
    <row r="849">
      <c r="D849" s="201"/>
      <c r="I849" s="201"/>
      <c r="R849" t="str">
        <f t="shared" si="4"/>
        <v/>
      </c>
      <c r="S849" s="201" t="str">
        <f t="shared" si="2"/>
        <v>#VALUE!</v>
      </c>
      <c r="T849" t="str">
        <f t="shared" si="3"/>
        <v>#VALUE!</v>
      </c>
      <c r="U849">
        <f t="shared" si="1"/>
        <v>0</v>
      </c>
    </row>
    <row r="850">
      <c r="D850" s="201"/>
      <c r="I850" s="201"/>
      <c r="R850" t="str">
        <f t="shared" si="4"/>
        <v/>
      </c>
      <c r="S850" s="201" t="str">
        <f t="shared" si="2"/>
        <v>#VALUE!</v>
      </c>
      <c r="T850" t="str">
        <f t="shared" si="3"/>
        <v>#VALUE!</v>
      </c>
      <c r="U850">
        <f t="shared" si="1"/>
        <v>0</v>
      </c>
    </row>
    <row r="851">
      <c r="D851" s="201"/>
      <c r="I851" s="201"/>
      <c r="R851" t="str">
        <f t="shared" si="4"/>
        <v/>
      </c>
      <c r="S851" s="201" t="str">
        <f t="shared" si="2"/>
        <v>#VALUE!</v>
      </c>
      <c r="T851" t="str">
        <f t="shared" si="3"/>
        <v>#VALUE!</v>
      </c>
      <c r="U851">
        <f t="shared" si="1"/>
        <v>0</v>
      </c>
    </row>
    <row r="852">
      <c r="D852" s="201"/>
      <c r="I852" s="201"/>
      <c r="R852" t="str">
        <f t="shared" si="4"/>
        <v/>
      </c>
      <c r="S852" s="201" t="str">
        <f t="shared" si="2"/>
        <v>#VALUE!</v>
      </c>
      <c r="T852" t="str">
        <f t="shared" si="3"/>
        <v>#VALUE!</v>
      </c>
      <c r="U852">
        <f t="shared" si="1"/>
        <v>0</v>
      </c>
    </row>
    <row r="853">
      <c r="D853" s="201"/>
      <c r="I853" s="201"/>
      <c r="R853" t="str">
        <f t="shared" si="4"/>
        <v/>
      </c>
      <c r="S853" s="201" t="str">
        <f t="shared" si="2"/>
        <v>#VALUE!</v>
      </c>
      <c r="T853" t="str">
        <f t="shared" si="3"/>
        <v>#VALUE!</v>
      </c>
      <c r="U853">
        <f t="shared" si="1"/>
        <v>0</v>
      </c>
    </row>
    <row r="854">
      <c r="D854" s="201"/>
      <c r="I854" s="201"/>
      <c r="R854" t="str">
        <f t="shared" si="4"/>
        <v/>
      </c>
      <c r="S854" s="201" t="str">
        <f t="shared" si="2"/>
        <v>#VALUE!</v>
      </c>
      <c r="T854" t="str">
        <f t="shared" si="3"/>
        <v>#VALUE!</v>
      </c>
      <c r="U854">
        <f t="shared" si="1"/>
        <v>0</v>
      </c>
    </row>
    <row r="855">
      <c r="D855" s="201"/>
      <c r="I855" s="201"/>
      <c r="R855" t="str">
        <f t="shared" si="4"/>
        <v/>
      </c>
      <c r="S855" s="201" t="str">
        <f t="shared" si="2"/>
        <v>#VALUE!</v>
      </c>
      <c r="T855" t="str">
        <f t="shared" si="3"/>
        <v>#VALUE!</v>
      </c>
      <c r="U855">
        <f t="shared" si="1"/>
        <v>0</v>
      </c>
    </row>
    <row r="856">
      <c r="D856" s="201"/>
      <c r="I856" s="201"/>
      <c r="R856" t="str">
        <f t="shared" si="4"/>
        <v/>
      </c>
      <c r="S856" s="201" t="str">
        <f t="shared" si="2"/>
        <v>#VALUE!</v>
      </c>
      <c r="T856" t="str">
        <f t="shared" si="3"/>
        <v>#VALUE!</v>
      </c>
      <c r="U856">
        <f t="shared" si="1"/>
        <v>0</v>
      </c>
    </row>
    <row r="857">
      <c r="D857" s="201"/>
      <c r="I857" s="201"/>
      <c r="R857" t="str">
        <f t="shared" si="4"/>
        <v/>
      </c>
      <c r="S857" s="201" t="str">
        <f t="shared" si="2"/>
        <v>#VALUE!</v>
      </c>
      <c r="T857" t="str">
        <f t="shared" si="3"/>
        <v>#VALUE!</v>
      </c>
      <c r="U857">
        <f t="shared" si="1"/>
        <v>0</v>
      </c>
    </row>
    <row r="858">
      <c r="D858" s="201"/>
      <c r="I858" s="201"/>
      <c r="R858" t="str">
        <f t="shared" si="4"/>
        <v/>
      </c>
      <c r="S858" s="201" t="str">
        <f t="shared" si="2"/>
        <v>#VALUE!</v>
      </c>
      <c r="T858" t="str">
        <f t="shared" si="3"/>
        <v>#VALUE!</v>
      </c>
      <c r="U858">
        <f t="shared" si="1"/>
        <v>0</v>
      </c>
    </row>
    <row r="859">
      <c r="D859" s="201"/>
      <c r="I859" s="201"/>
      <c r="R859" t="str">
        <f t="shared" si="4"/>
        <v/>
      </c>
      <c r="S859" s="201" t="str">
        <f t="shared" si="2"/>
        <v>#VALUE!</v>
      </c>
      <c r="T859" t="str">
        <f t="shared" si="3"/>
        <v>#VALUE!</v>
      </c>
      <c r="U859">
        <f t="shared" si="1"/>
        <v>0</v>
      </c>
    </row>
    <row r="860">
      <c r="D860" s="201"/>
      <c r="I860" s="201"/>
      <c r="R860" t="str">
        <f t="shared" si="4"/>
        <v/>
      </c>
      <c r="S860" s="201" t="str">
        <f t="shared" si="2"/>
        <v>#VALUE!</v>
      </c>
      <c r="T860" t="str">
        <f t="shared" si="3"/>
        <v>#VALUE!</v>
      </c>
      <c r="U860">
        <f t="shared" si="1"/>
        <v>0</v>
      </c>
    </row>
    <row r="861">
      <c r="D861" s="201"/>
      <c r="I861" s="201"/>
      <c r="R861" t="str">
        <f t="shared" si="4"/>
        <v/>
      </c>
      <c r="S861" s="201" t="str">
        <f t="shared" si="2"/>
        <v>#VALUE!</v>
      </c>
      <c r="T861" t="str">
        <f t="shared" si="3"/>
        <v>#VALUE!</v>
      </c>
      <c r="U861">
        <f t="shared" si="1"/>
        <v>0</v>
      </c>
    </row>
    <row r="862">
      <c r="D862" s="201"/>
      <c r="I862" s="201"/>
      <c r="R862" t="str">
        <f t="shared" si="4"/>
        <v/>
      </c>
      <c r="S862" s="201" t="str">
        <f t="shared" si="2"/>
        <v>#VALUE!</v>
      </c>
      <c r="T862" t="str">
        <f t="shared" si="3"/>
        <v>#VALUE!</v>
      </c>
      <c r="U862">
        <f t="shared" si="1"/>
        <v>0</v>
      </c>
    </row>
    <row r="863">
      <c r="D863" s="201"/>
      <c r="I863" s="201"/>
      <c r="R863" t="str">
        <f t="shared" si="4"/>
        <v/>
      </c>
      <c r="S863" s="201" t="str">
        <f t="shared" si="2"/>
        <v>#VALUE!</v>
      </c>
      <c r="T863" t="str">
        <f t="shared" si="3"/>
        <v>#VALUE!</v>
      </c>
      <c r="U863">
        <f t="shared" si="1"/>
        <v>0</v>
      </c>
    </row>
    <row r="864">
      <c r="D864" s="201"/>
      <c r="I864" s="201"/>
      <c r="R864" t="str">
        <f t="shared" si="4"/>
        <v/>
      </c>
      <c r="S864" s="201" t="str">
        <f t="shared" si="2"/>
        <v>#VALUE!</v>
      </c>
      <c r="T864" t="str">
        <f t="shared" si="3"/>
        <v>#VALUE!</v>
      </c>
      <c r="U864">
        <f t="shared" si="1"/>
        <v>0</v>
      </c>
    </row>
    <row r="865">
      <c r="D865" s="201"/>
      <c r="I865" s="201"/>
      <c r="R865" t="str">
        <f t="shared" si="4"/>
        <v/>
      </c>
      <c r="S865" s="201" t="str">
        <f t="shared" si="2"/>
        <v>#VALUE!</v>
      </c>
      <c r="T865" t="str">
        <f t="shared" si="3"/>
        <v>#VALUE!</v>
      </c>
      <c r="U865">
        <f t="shared" si="1"/>
        <v>0</v>
      </c>
    </row>
    <row r="866">
      <c r="D866" s="201"/>
      <c r="I866" s="201"/>
      <c r="R866" t="str">
        <f t="shared" si="4"/>
        <v/>
      </c>
      <c r="S866" s="201" t="str">
        <f t="shared" si="2"/>
        <v>#VALUE!</v>
      </c>
      <c r="T866" t="str">
        <f t="shared" si="3"/>
        <v>#VALUE!</v>
      </c>
      <c r="U866">
        <f t="shared" si="1"/>
        <v>0</v>
      </c>
    </row>
    <row r="867">
      <c r="D867" s="201"/>
      <c r="I867" s="201"/>
      <c r="R867" t="str">
        <f t="shared" si="4"/>
        <v/>
      </c>
      <c r="S867" s="201" t="str">
        <f t="shared" si="2"/>
        <v>#VALUE!</v>
      </c>
      <c r="T867" t="str">
        <f t="shared" si="3"/>
        <v>#VALUE!</v>
      </c>
      <c r="U867">
        <f t="shared" si="1"/>
        <v>0</v>
      </c>
    </row>
    <row r="868">
      <c r="D868" s="201"/>
      <c r="I868" s="201"/>
      <c r="R868" t="str">
        <f t="shared" si="4"/>
        <v/>
      </c>
      <c r="S868" s="201" t="str">
        <f t="shared" si="2"/>
        <v>#VALUE!</v>
      </c>
      <c r="T868" t="str">
        <f t="shared" si="3"/>
        <v>#VALUE!</v>
      </c>
      <c r="U868">
        <f t="shared" si="1"/>
        <v>0</v>
      </c>
    </row>
    <row r="869">
      <c r="D869" s="201"/>
      <c r="I869" s="201"/>
      <c r="R869" t="str">
        <f t="shared" si="4"/>
        <v/>
      </c>
      <c r="S869" s="201" t="str">
        <f t="shared" si="2"/>
        <v>#VALUE!</v>
      </c>
      <c r="T869" t="str">
        <f t="shared" si="3"/>
        <v>#VALUE!</v>
      </c>
      <c r="U869">
        <f t="shared" si="1"/>
        <v>0</v>
      </c>
    </row>
    <row r="870">
      <c r="D870" s="201"/>
      <c r="I870" s="201"/>
      <c r="R870" t="str">
        <f t="shared" si="4"/>
        <v/>
      </c>
      <c r="S870" s="201" t="str">
        <f t="shared" si="2"/>
        <v>#VALUE!</v>
      </c>
      <c r="T870" t="str">
        <f t="shared" si="3"/>
        <v>#VALUE!</v>
      </c>
      <c r="U870">
        <f t="shared" si="1"/>
        <v>0</v>
      </c>
    </row>
    <row r="871">
      <c r="D871" s="201"/>
      <c r="I871" s="201"/>
      <c r="R871" t="str">
        <f t="shared" si="4"/>
        <v/>
      </c>
      <c r="S871" s="201" t="str">
        <f t="shared" si="2"/>
        <v>#VALUE!</v>
      </c>
      <c r="T871" t="str">
        <f t="shared" si="3"/>
        <v>#VALUE!</v>
      </c>
      <c r="U871">
        <f t="shared" si="1"/>
        <v>0</v>
      </c>
    </row>
    <row r="872">
      <c r="D872" s="201"/>
      <c r="I872" s="201"/>
      <c r="R872" t="str">
        <f t="shared" si="4"/>
        <v/>
      </c>
      <c r="S872" s="201" t="str">
        <f t="shared" si="2"/>
        <v>#VALUE!</v>
      </c>
      <c r="T872" t="str">
        <f t="shared" si="3"/>
        <v>#VALUE!</v>
      </c>
      <c r="U872">
        <f t="shared" si="1"/>
        <v>0</v>
      </c>
    </row>
    <row r="873">
      <c r="D873" s="201"/>
      <c r="I873" s="201"/>
      <c r="R873" t="str">
        <f t="shared" si="4"/>
        <v/>
      </c>
      <c r="S873" s="201" t="str">
        <f t="shared" si="2"/>
        <v>#VALUE!</v>
      </c>
      <c r="T873" t="str">
        <f t="shared" si="3"/>
        <v>#VALUE!</v>
      </c>
      <c r="U873">
        <f t="shared" si="1"/>
        <v>0</v>
      </c>
    </row>
    <row r="874">
      <c r="D874" s="201"/>
      <c r="I874" s="201"/>
      <c r="R874" t="str">
        <f t="shared" si="4"/>
        <v/>
      </c>
      <c r="S874" s="201" t="str">
        <f t="shared" si="2"/>
        <v>#VALUE!</v>
      </c>
      <c r="T874" t="str">
        <f t="shared" si="3"/>
        <v>#VALUE!</v>
      </c>
      <c r="U874">
        <f t="shared" si="1"/>
        <v>0</v>
      </c>
    </row>
    <row r="875">
      <c r="D875" s="201"/>
      <c r="I875" s="201"/>
      <c r="R875" t="str">
        <f t="shared" si="4"/>
        <v/>
      </c>
      <c r="S875" s="201" t="str">
        <f t="shared" si="2"/>
        <v>#VALUE!</v>
      </c>
      <c r="T875" t="str">
        <f t="shared" si="3"/>
        <v>#VALUE!</v>
      </c>
      <c r="U875">
        <f t="shared" si="1"/>
        <v>0</v>
      </c>
    </row>
    <row r="876">
      <c r="D876" s="201"/>
      <c r="I876" s="201"/>
      <c r="R876" t="str">
        <f t="shared" si="4"/>
        <v/>
      </c>
      <c r="S876" s="201" t="str">
        <f t="shared" si="2"/>
        <v>#VALUE!</v>
      </c>
      <c r="T876" t="str">
        <f t="shared" si="3"/>
        <v>#VALUE!</v>
      </c>
      <c r="U876">
        <f t="shared" si="1"/>
        <v>0</v>
      </c>
    </row>
    <row r="877">
      <c r="D877" s="201"/>
      <c r="I877" s="201"/>
      <c r="R877" t="str">
        <f t="shared" si="4"/>
        <v/>
      </c>
      <c r="S877" s="201" t="str">
        <f t="shared" si="2"/>
        <v>#VALUE!</v>
      </c>
      <c r="T877" t="str">
        <f t="shared" si="3"/>
        <v>#VALUE!</v>
      </c>
      <c r="U877">
        <f t="shared" si="1"/>
        <v>0</v>
      </c>
    </row>
    <row r="878">
      <c r="D878" s="201"/>
      <c r="I878" s="201"/>
      <c r="R878" t="str">
        <f t="shared" si="4"/>
        <v/>
      </c>
      <c r="S878" s="201" t="str">
        <f t="shared" si="2"/>
        <v>#VALUE!</v>
      </c>
      <c r="T878" t="str">
        <f t="shared" si="3"/>
        <v>#VALUE!</v>
      </c>
      <c r="U878">
        <f t="shared" si="1"/>
        <v>0</v>
      </c>
    </row>
    <row r="879">
      <c r="D879" s="201"/>
      <c r="I879" s="201"/>
      <c r="R879" t="str">
        <f t="shared" si="4"/>
        <v/>
      </c>
      <c r="S879" s="201" t="str">
        <f t="shared" si="2"/>
        <v>#VALUE!</v>
      </c>
      <c r="T879" t="str">
        <f t="shared" si="3"/>
        <v>#VALUE!</v>
      </c>
      <c r="U879">
        <f t="shared" si="1"/>
        <v>0</v>
      </c>
    </row>
    <row r="880">
      <c r="D880" s="201"/>
      <c r="I880" s="201"/>
      <c r="R880" t="str">
        <f t="shared" si="4"/>
        <v/>
      </c>
      <c r="S880" s="201" t="str">
        <f t="shared" si="2"/>
        <v>#VALUE!</v>
      </c>
      <c r="T880" t="str">
        <f t="shared" si="3"/>
        <v>#VALUE!</v>
      </c>
      <c r="U880">
        <f t="shared" si="1"/>
        <v>0</v>
      </c>
    </row>
    <row r="881">
      <c r="D881" s="201"/>
      <c r="I881" s="201"/>
      <c r="R881" t="str">
        <f t="shared" si="4"/>
        <v/>
      </c>
      <c r="S881" s="201" t="str">
        <f t="shared" si="2"/>
        <v>#VALUE!</v>
      </c>
      <c r="T881" t="str">
        <f t="shared" si="3"/>
        <v>#VALUE!</v>
      </c>
      <c r="U881">
        <f t="shared" si="1"/>
        <v>0</v>
      </c>
    </row>
    <row r="882">
      <c r="D882" s="201"/>
      <c r="I882" s="201"/>
      <c r="R882" t="str">
        <f t="shared" si="4"/>
        <v/>
      </c>
      <c r="S882" s="201" t="str">
        <f t="shared" si="2"/>
        <v>#VALUE!</v>
      </c>
      <c r="T882" t="str">
        <f t="shared" si="3"/>
        <v>#VALUE!</v>
      </c>
      <c r="U882">
        <f t="shared" si="1"/>
        <v>0</v>
      </c>
    </row>
    <row r="883">
      <c r="D883" s="201"/>
      <c r="I883" s="201"/>
      <c r="R883" t="str">
        <f t="shared" si="4"/>
        <v/>
      </c>
      <c r="S883" s="201" t="str">
        <f t="shared" si="2"/>
        <v>#VALUE!</v>
      </c>
      <c r="T883" t="str">
        <f t="shared" si="3"/>
        <v>#VALUE!</v>
      </c>
      <c r="U883">
        <f t="shared" si="1"/>
        <v>0</v>
      </c>
    </row>
    <row r="884">
      <c r="D884" s="201"/>
      <c r="I884" s="201"/>
      <c r="R884" t="str">
        <f t="shared" si="4"/>
        <v/>
      </c>
      <c r="S884" s="201" t="str">
        <f t="shared" si="2"/>
        <v>#VALUE!</v>
      </c>
      <c r="T884" t="str">
        <f t="shared" si="3"/>
        <v>#VALUE!</v>
      </c>
      <c r="U884">
        <f t="shared" si="1"/>
        <v>0</v>
      </c>
    </row>
    <row r="885">
      <c r="D885" s="201"/>
      <c r="I885" s="201"/>
      <c r="R885" t="str">
        <f t="shared" si="4"/>
        <v/>
      </c>
      <c r="S885" s="201" t="str">
        <f t="shared" si="2"/>
        <v>#VALUE!</v>
      </c>
      <c r="T885" t="str">
        <f t="shared" si="3"/>
        <v>#VALUE!</v>
      </c>
      <c r="U885">
        <f t="shared" si="1"/>
        <v>0</v>
      </c>
    </row>
    <row r="886">
      <c r="D886" s="201"/>
      <c r="I886" s="201"/>
      <c r="R886" t="str">
        <f t="shared" si="4"/>
        <v/>
      </c>
      <c r="S886" s="201" t="str">
        <f t="shared" si="2"/>
        <v>#VALUE!</v>
      </c>
      <c r="T886" t="str">
        <f t="shared" si="3"/>
        <v>#VALUE!</v>
      </c>
      <c r="U886">
        <f t="shared" si="1"/>
        <v>0</v>
      </c>
    </row>
    <row r="887">
      <c r="D887" s="201"/>
      <c r="I887" s="201"/>
      <c r="R887" t="str">
        <f t="shared" si="4"/>
        <v/>
      </c>
      <c r="S887" s="201" t="str">
        <f t="shared" si="2"/>
        <v>#VALUE!</v>
      </c>
      <c r="T887" t="str">
        <f t="shared" si="3"/>
        <v>#VALUE!</v>
      </c>
      <c r="U887">
        <f t="shared" si="1"/>
        <v>0</v>
      </c>
    </row>
    <row r="888">
      <c r="D888" s="201"/>
      <c r="I888" s="201"/>
      <c r="R888" t="str">
        <f t="shared" si="4"/>
        <v/>
      </c>
      <c r="S888" s="201" t="str">
        <f t="shared" si="2"/>
        <v>#VALUE!</v>
      </c>
      <c r="T888" t="str">
        <f t="shared" si="3"/>
        <v>#VALUE!</v>
      </c>
      <c r="U888">
        <f t="shared" si="1"/>
        <v>0</v>
      </c>
    </row>
    <row r="889">
      <c r="D889" s="201"/>
      <c r="I889" s="201"/>
      <c r="R889" t="str">
        <f t="shared" si="4"/>
        <v/>
      </c>
      <c r="S889" s="201" t="str">
        <f t="shared" si="2"/>
        <v>#VALUE!</v>
      </c>
      <c r="T889" t="str">
        <f t="shared" si="3"/>
        <v>#VALUE!</v>
      </c>
      <c r="U889">
        <f t="shared" si="1"/>
        <v>0</v>
      </c>
    </row>
    <row r="890">
      <c r="D890" s="201"/>
      <c r="I890" s="201"/>
      <c r="R890" t="str">
        <f t="shared" si="4"/>
        <v/>
      </c>
      <c r="S890" s="201" t="str">
        <f t="shared" si="2"/>
        <v>#VALUE!</v>
      </c>
      <c r="T890" t="str">
        <f t="shared" si="3"/>
        <v>#VALUE!</v>
      </c>
      <c r="U890">
        <f t="shared" si="1"/>
        <v>0</v>
      </c>
    </row>
    <row r="891">
      <c r="D891" s="201"/>
      <c r="I891" s="201"/>
      <c r="R891" t="str">
        <f t="shared" si="4"/>
        <v/>
      </c>
      <c r="S891" s="201" t="str">
        <f t="shared" si="2"/>
        <v>#VALUE!</v>
      </c>
      <c r="T891" t="str">
        <f t="shared" si="3"/>
        <v>#VALUE!</v>
      </c>
      <c r="U891">
        <f t="shared" si="1"/>
        <v>0</v>
      </c>
    </row>
    <row r="892">
      <c r="D892" s="201"/>
      <c r="I892" s="201"/>
      <c r="R892" t="str">
        <f t="shared" si="4"/>
        <v/>
      </c>
      <c r="S892" s="201" t="str">
        <f t="shared" si="2"/>
        <v>#VALUE!</v>
      </c>
      <c r="T892" t="str">
        <f t="shared" si="3"/>
        <v>#VALUE!</v>
      </c>
      <c r="U892">
        <f t="shared" si="1"/>
        <v>0</v>
      </c>
    </row>
    <row r="893">
      <c r="D893" s="201"/>
      <c r="I893" s="201"/>
      <c r="R893" t="str">
        <f t="shared" si="4"/>
        <v/>
      </c>
      <c r="S893" s="201" t="str">
        <f t="shared" si="2"/>
        <v>#VALUE!</v>
      </c>
      <c r="T893" t="str">
        <f t="shared" si="3"/>
        <v>#VALUE!</v>
      </c>
      <c r="U893">
        <f t="shared" si="1"/>
        <v>0</v>
      </c>
    </row>
    <row r="894">
      <c r="D894" s="201"/>
      <c r="I894" s="201"/>
      <c r="R894" t="str">
        <f t="shared" si="4"/>
        <v/>
      </c>
      <c r="S894" s="201" t="str">
        <f t="shared" si="2"/>
        <v>#VALUE!</v>
      </c>
      <c r="T894" t="str">
        <f t="shared" si="3"/>
        <v>#VALUE!</v>
      </c>
      <c r="U894">
        <f t="shared" si="1"/>
        <v>0</v>
      </c>
    </row>
    <row r="895">
      <c r="D895" s="201"/>
      <c r="I895" s="201"/>
      <c r="R895" t="str">
        <f t="shared" si="4"/>
        <v/>
      </c>
      <c r="S895" s="201" t="str">
        <f t="shared" si="2"/>
        <v>#VALUE!</v>
      </c>
      <c r="T895" t="str">
        <f t="shared" si="3"/>
        <v>#VALUE!</v>
      </c>
      <c r="U895">
        <f t="shared" si="1"/>
        <v>0</v>
      </c>
    </row>
    <row r="896">
      <c r="D896" s="201"/>
      <c r="I896" s="201"/>
      <c r="R896" t="str">
        <f t="shared" si="4"/>
        <v/>
      </c>
      <c r="S896" s="201" t="str">
        <f t="shared" si="2"/>
        <v>#VALUE!</v>
      </c>
      <c r="T896" t="str">
        <f t="shared" si="3"/>
        <v>#VALUE!</v>
      </c>
      <c r="U896">
        <f t="shared" si="1"/>
        <v>0</v>
      </c>
    </row>
    <row r="897">
      <c r="D897" s="201"/>
      <c r="I897" s="201"/>
      <c r="R897" t="str">
        <f t="shared" si="4"/>
        <v/>
      </c>
      <c r="S897" s="201" t="str">
        <f t="shared" si="2"/>
        <v>#VALUE!</v>
      </c>
      <c r="T897" t="str">
        <f t="shared" si="3"/>
        <v>#VALUE!</v>
      </c>
      <c r="U897">
        <f t="shared" si="1"/>
        <v>0</v>
      </c>
    </row>
    <row r="898">
      <c r="D898" s="201"/>
      <c r="I898" s="201"/>
      <c r="R898" t="str">
        <f t="shared" si="4"/>
        <v/>
      </c>
      <c r="S898" s="201" t="str">
        <f t="shared" si="2"/>
        <v>#VALUE!</v>
      </c>
      <c r="T898" t="str">
        <f t="shared" si="3"/>
        <v>#VALUE!</v>
      </c>
      <c r="U898">
        <f t="shared" si="1"/>
        <v>0</v>
      </c>
    </row>
    <row r="899">
      <c r="D899" s="201"/>
      <c r="I899" s="201"/>
      <c r="R899" t="str">
        <f t="shared" si="4"/>
        <v/>
      </c>
      <c r="S899" s="201" t="str">
        <f t="shared" si="2"/>
        <v>#VALUE!</v>
      </c>
      <c r="T899" t="str">
        <f t="shared" si="3"/>
        <v>#VALUE!</v>
      </c>
      <c r="U899">
        <f t="shared" si="1"/>
        <v>0</v>
      </c>
    </row>
    <row r="900">
      <c r="D900" s="201"/>
      <c r="I900" s="201"/>
      <c r="R900" t="str">
        <f t="shared" si="4"/>
        <v/>
      </c>
      <c r="S900" s="201" t="str">
        <f t="shared" si="2"/>
        <v>#VALUE!</v>
      </c>
      <c r="T900" t="str">
        <f t="shared" si="3"/>
        <v>#VALUE!</v>
      </c>
      <c r="U900">
        <f t="shared" si="1"/>
        <v>0</v>
      </c>
    </row>
    <row r="901">
      <c r="D901" s="201"/>
      <c r="I901" s="201"/>
      <c r="R901" t="str">
        <f t="shared" si="4"/>
        <v/>
      </c>
      <c r="S901" s="201" t="str">
        <f t="shared" si="2"/>
        <v>#VALUE!</v>
      </c>
      <c r="T901" t="str">
        <f t="shared" si="3"/>
        <v>#VALUE!</v>
      </c>
      <c r="U901">
        <f t="shared" si="1"/>
        <v>0</v>
      </c>
    </row>
    <row r="902">
      <c r="D902" s="201"/>
      <c r="I902" s="201"/>
      <c r="R902" t="str">
        <f t="shared" si="4"/>
        <v/>
      </c>
      <c r="S902" s="201" t="str">
        <f t="shared" si="2"/>
        <v>#VALUE!</v>
      </c>
      <c r="T902" t="str">
        <f t="shared" si="3"/>
        <v>#VALUE!</v>
      </c>
      <c r="U902">
        <f t="shared" si="1"/>
        <v>0</v>
      </c>
    </row>
    <row r="903">
      <c r="D903" s="201"/>
      <c r="I903" s="201"/>
      <c r="R903" t="str">
        <f t="shared" si="4"/>
        <v/>
      </c>
      <c r="S903" s="201" t="str">
        <f t="shared" si="2"/>
        <v>#VALUE!</v>
      </c>
      <c r="T903" t="str">
        <f t="shared" si="3"/>
        <v>#VALUE!</v>
      </c>
      <c r="U903">
        <f t="shared" si="1"/>
        <v>0</v>
      </c>
    </row>
    <row r="904">
      <c r="D904" s="201"/>
      <c r="I904" s="201"/>
      <c r="R904" t="str">
        <f t="shared" si="4"/>
        <v/>
      </c>
      <c r="S904" s="201" t="str">
        <f t="shared" si="2"/>
        <v>#VALUE!</v>
      </c>
      <c r="T904" t="str">
        <f t="shared" si="3"/>
        <v>#VALUE!</v>
      </c>
      <c r="U904">
        <f t="shared" si="1"/>
        <v>0</v>
      </c>
    </row>
    <row r="905">
      <c r="D905" s="201"/>
      <c r="I905" s="201"/>
      <c r="R905" t="str">
        <f t="shared" si="4"/>
        <v/>
      </c>
      <c r="S905" s="201" t="str">
        <f t="shared" si="2"/>
        <v>#VALUE!</v>
      </c>
      <c r="T905" t="str">
        <f t="shared" si="3"/>
        <v>#VALUE!</v>
      </c>
      <c r="U905">
        <f t="shared" si="1"/>
        <v>0</v>
      </c>
    </row>
    <row r="906">
      <c r="D906" s="201"/>
      <c r="I906" s="201"/>
      <c r="R906" t="str">
        <f t="shared" si="4"/>
        <v/>
      </c>
      <c r="S906" s="201" t="str">
        <f t="shared" si="2"/>
        <v>#VALUE!</v>
      </c>
      <c r="T906" t="str">
        <f t="shared" si="3"/>
        <v>#VALUE!</v>
      </c>
      <c r="U906">
        <f t="shared" si="1"/>
        <v>0</v>
      </c>
    </row>
    <row r="907">
      <c r="D907" s="201"/>
      <c r="I907" s="201"/>
      <c r="R907" t="str">
        <f t="shared" si="4"/>
        <v/>
      </c>
      <c r="S907" s="201" t="str">
        <f t="shared" si="2"/>
        <v>#VALUE!</v>
      </c>
      <c r="T907" t="str">
        <f t="shared" si="3"/>
        <v>#VALUE!</v>
      </c>
      <c r="U907">
        <f t="shared" si="1"/>
        <v>0</v>
      </c>
    </row>
    <row r="908">
      <c r="D908" s="201"/>
      <c r="I908" s="201"/>
      <c r="R908" t="str">
        <f t="shared" si="4"/>
        <v/>
      </c>
      <c r="S908" s="201" t="str">
        <f t="shared" si="2"/>
        <v>#VALUE!</v>
      </c>
      <c r="T908" t="str">
        <f t="shared" si="3"/>
        <v>#VALUE!</v>
      </c>
      <c r="U908">
        <f t="shared" si="1"/>
        <v>0</v>
      </c>
    </row>
    <row r="909">
      <c r="D909" s="201"/>
      <c r="I909" s="201"/>
      <c r="R909" t="str">
        <f t="shared" si="4"/>
        <v/>
      </c>
      <c r="S909" s="201" t="str">
        <f t="shared" si="2"/>
        <v>#VALUE!</v>
      </c>
      <c r="T909" t="str">
        <f t="shared" si="3"/>
        <v>#VALUE!</v>
      </c>
      <c r="U909">
        <f t="shared" si="1"/>
        <v>0</v>
      </c>
    </row>
    <row r="910">
      <c r="D910" s="201"/>
      <c r="I910" s="201"/>
      <c r="R910" t="str">
        <f t="shared" si="4"/>
        <v/>
      </c>
      <c r="S910" s="201" t="str">
        <f t="shared" si="2"/>
        <v>#VALUE!</v>
      </c>
      <c r="T910" t="str">
        <f t="shared" si="3"/>
        <v>#VALUE!</v>
      </c>
      <c r="U910">
        <f t="shared" si="1"/>
        <v>0</v>
      </c>
    </row>
    <row r="911">
      <c r="D911" s="201"/>
      <c r="I911" s="201"/>
      <c r="R911" t="str">
        <f t="shared" si="4"/>
        <v/>
      </c>
      <c r="S911" s="201" t="str">
        <f t="shared" si="2"/>
        <v>#VALUE!</v>
      </c>
      <c r="T911" t="str">
        <f t="shared" si="3"/>
        <v>#VALUE!</v>
      </c>
      <c r="U911">
        <f t="shared" si="1"/>
        <v>0</v>
      </c>
    </row>
    <row r="912">
      <c r="D912" s="201"/>
      <c r="I912" s="201"/>
      <c r="R912" t="str">
        <f t="shared" si="4"/>
        <v/>
      </c>
      <c r="S912" s="201" t="str">
        <f t="shared" si="2"/>
        <v>#VALUE!</v>
      </c>
      <c r="T912" t="str">
        <f t="shared" si="3"/>
        <v>#VALUE!</v>
      </c>
      <c r="U912">
        <f t="shared" si="1"/>
        <v>0</v>
      </c>
    </row>
    <row r="913">
      <c r="D913" s="201"/>
      <c r="I913" s="201"/>
      <c r="R913" t="str">
        <f t="shared" si="4"/>
        <v/>
      </c>
      <c r="S913" s="201" t="str">
        <f t="shared" si="2"/>
        <v>#VALUE!</v>
      </c>
      <c r="T913" t="str">
        <f t="shared" si="3"/>
        <v>#VALUE!</v>
      </c>
      <c r="U913">
        <f t="shared" si="1"/>
        <v>0</v>
      </c>
    </row>
    <row r="914">
      <c r="D914" s="201"/>
      <c r="I914" s="201"/>
      <c r="R914" t="str">
        <f t="shared" si="4"/>
        <v/>
      </c>
      <c r="S914" s="201" t="str">
        <f t="shared" si="2"/>
        <v>#VALUE!</v>
      </c>
      <c r="T914" t="str">
        <f t="shared" si="3"/>
        <v>#VALUE!</v>
      </c>
      <c r="U914">
        <f t="shared" si="1"/>
        <v>0</v>
      </c>
    </row>
    <row r="915">
      <c r="D915" s="201"/>
      <c r="I915" s="201"/>
      <c r="R915" t="str">
        <f t="shared" si="4"/>
        <v/>
      </c>
      <c r="S915" s="201" t="str">
        <f t="shared" si="2"/>
        <v>#VALUE!</v>
      </c>
      <c r="T915" t="str">
        <f t="shared" si="3"/>
        <v>#VALUE!</v>
      </c>
      <c r="U915">
        <f t="shared" si="1"/>
        <v>0</v>
      </c>
    </row>
    <row r="916">
      <c r="D916" s="201"/>
      <c r="I916" s="201"/>
      <c r="R916" t="str">
        <f t="shared" si="4"/>
        <v/>
      </c>
      <c r="S916" s="201" t="str">
        <f t="shared" si="2"/>
        <v>#VALUE!</v>
      </c>
      <c r="T916" t="str">
        <f t="shared" si="3"/>
        <v>#VALUE!</v>
      </c>
      <c r="U916">
        <f t="shared" si="1"/>
        <v>0</v>
      </c>
    </row>
    <row r="917">
      <c r="D917" s="201"/>
      <c r="I917" s="201"/>
      <c r="R917" t="str">
        <f t="shared" si="4"/>
        <v/>
      </c>
      <c r="S917" s="201" t="str">
        <f t="shared" si="2"/>
        <v>#VALUE!</v>
      </c>
      <c r="T917" t="str">
        <f t="shared" si="3"/>
        <v>#VALUE!</v>
      </c>
      <c r="U917">
        <f t="shared" si="1"/>
        <v>0</v>
      </c>
    </row>
    <row r="918">
      <c r="D918" s="201"/>
      <c r="I918" s="201"/>
      <c r="R918" t="str">
        <f t="shared" si="4"/>
        <v/>
      </c>
      <c r="S918" s="201" t="str">
        <f t="shared" si="2"/>
        <v>#VALUE!</v>
      </c>
      <c r="T918" t="str">
        <f t="shared" si="3"/>
        <v>#VALUE!</v>
      </c>
      <c r="U918">
        <f t="shared" si="1"/>
        <v>0</v>
      </c>
    </row>
    <row r="919">
      <c r="D919" s="201"/>
      <c r="I919" s="201"/>
      <c r="R919" t="str">
        <f t="shared" si="4"/>
        <v/>
      </c>
      <c r="S919" s="201" t="str">
        <f t="shared" si="2"/>
        <v>#VALUE!</v>
      </c>
      <c r="T919" t="str">
        <f t="shared" si="3"/>
        <v>#VALUE!</v>
      </c>
      <c r="U919">
        <f t="shared" si="1"/>
        <v>0</v>
      </c>
    </row>
    <row r="920">
      <c r="D920" s="201"/>
      <c r="I920" s="201"/>
      <c r="R920" t="str">
        <f t="shared" si="4"/>
        <v/>
      </c>
      <c r="S920" s="201" t="str">
        <f t="shared" si="2"/>
        <v>#VALUE!</v>
      </c>
      <c r="T920" t="str">
        <f t="shared" si="3"/>
        <v>#VALUE!</v>
      </c>
      <c r="U920">
        <f t="shared" si="1"/>
        <v>0</v>
      </c>
    </row>
    <row r="921">
      <c r="D921" s="201"/>
      <c r="I921" s="201"/>
      <c r="R921" t="str">
        <f t="shared" si="4"/>
        <v/>
      </c>
      <c r="S921" s="201" t="str">
        <f t="shared" si="2"/>
        <v>#VALUE!</v>
      </c>
      <c r="T921" t="str">
        <f t="shared" si="3"/>
        <v>#VALUE!</v>
      </c>
      <c r="U921">
        <f t="shared" si="1"/>
        <v>0</v>
      </c>
    </row>
    <row r="922">
      <c r="D922" s="201"/>
      <c r="I922" s="201"/>
      <c r="R922" t="str">
        <f t="shared" si="4"/>
        <v/>
      </c>
      <c r="S922" s="201" t="str">
        <f t="shared" si="2"/>
        <v>#VALUE!</v>
      </c>
      <c r="T922" t="str">
        <f t="shared" si="3"/>
        <v>#VALUE!</v>
      </c>
      <c r="U922">
        <f t="shared" si="1"/>
        <v>0</v>
      </c>
    </row>
    <row r="923">
      <c r="D923" s="201"/>
      <c r="I923" s="201"/>
      <c r="R923" t="str">
        <f t="shared" si="4"/>
        <v/>
      </c>
      <c r="S923" s="201" t="str">
        <f t="shared" si="2"/>
        <v>#VALUE!</v>
      </c>
      <c r="T923" t="str">
        <f t="shared" si="3"/>
        <v>#VALUE!</v>
      </c>
      <c r="U923">
        <f t="shared" si="1"/>
        <v>0</v>
      </c>
    </row>
    <row r="924">
      <c r="D924" s="201"/>
      <c r="I924" s="201"/>
      <c r="R924" t="str">
        <f t="shared" si="4"/>
        <v/>
      </c>
      <c r="S924" s="201" t="str">
        <f t="shared" si="2"/>
        <v>#VALUE!</v>
      </c>
      <c r="T924" t="str">
        <f t="shared" si="3"/>
        <v>#VALUE!</v>
      </c>
      <c r="U924">
        <f t="shared" si="1"/>
        <v>0</v>
      </c>
    </row>
    <row r="925">
      <c r="D925" s="201"/>
      <c r="I925" s="201"/>
      <c r="R925" t="str">
        <f t="shared" si="4"/>
        <v/>
      </c>
      <c r="S925" s="201" t="str">
        <f t="shared" si="2"/>
        <v>#VALUE!</v>
      </c>
      <c r="T925" t="str">
        <f t="shared" si="3"/>
        <v>#VALUE!</v>
      </c>
      <c r="U925">
        <f t="shared" si="1"/>
        <v>0</v>
      </c>
    </row>
    <row r="926">
      <c r="D926" s="201"/>
      <c r="I926" s="201"/>
      <c r="R926" t="str">
        <f t="shared" si="4"/>
        <v/>
      </c>
      <c r="S926" s="201" t="str">
        <f t="shared" si="2"/>
        <v>#VALUE!</v>
      </c>
      <c r="T926" t="str">
        <f t="shared" si="3"/>
        <v>#VALUE!</v>
      </c>
      <c r="U926">
        <f t="shared" si="1"/>
        <v>0</v>
      </c>
    </row>
    <row r="927">
      <c r="D927" s="201"/>
      <c r="I927" s="201"/>
      <c r="R927" t="str">
        <f t="shared" si="4"/>
        <v/>
      </c>
      <c r="S927" s="201" t="str">
        <f t="shared" si="2"/>
        <v>#VALUE!</v>
      </c>
      <c r="T927" t="str">
        <f t="shared" si="3"/>
        <v>#VALUE!</v>
      </c>
      <c r="U927">
        <f t="shared" si="1"/>
        <v>0</v>
      </c>
    </row>
    <row r="928">
      <c r="D928" s="201"/>
      <c r="I928" s="201"/>
      <c r="R928" t="str">
        <f t="shared" si="4"/>
        <v/>
      </c>
      <c r="S928" s="201" t="str">
        <f t="shared" si="2"/>
        <v>#VALUE!</v>
      </c>
      <c r="T928" t="str">
        <f t="shared" si="3"/>
        <v>#VALUE!</v>
      </c>
      <c r="U928">
        <f t="shared" si="1"/>
        <v>0</v>
      </c>
    </row>
    <row r="929">
      <c r="D929" s="201"/>
      <c r="I929" s="201"/>
      <c r="R929" t="str">
        <f t="shared" si="4"/>
        <v/>
      </c>
      <c r="S929" s="201" t="str">
        <f t="shared" si="2"/>
        <v>#VALUE!</v>
      </c>
      <c r="T929" t="str">
        <f t="shared" si="3"/>
        <v>#VALUE!</v>
      </c>
      <c r="U929">
        <f t="shared" si="1"/>
        <v>0</v>
      </c>
    </row>
    <row r="930">
      <c r="D930" s="201"/>
      <c r="I930" s="201"/>
      <c r="R930" t="str">
        <f t="shared" si="4"/>
        <v/>
      </c>
      <c r="S930" s="201" t="str">
        <f t="shared" si="2"/>
        <v>#VALUE!</v>
      </c>
      <c r="T930" t="str">
        <f t="shared" si="3"/>
        <v>#VALUE!</v>
      </c>
      <c r="U930">
        <f t="shared" si="1"/>
        <v>0</v>
      </c>
    </row>
    <row r="931">
      <c r="D931" s="201"/>
      <c r="I931" s="201"/>
      <c r="R931" t="str">
        <f t="shared" si="4"/>
        <v/>
      </c>
      <c r="S931" s="201" t="str">
        <f t="shared" si="2"/>
        <v>#VALUE!</v>
      </c>
      <c r="T931" t="str">
        <f t="shared" si="3"/>
        <v>#VALUE!</v>
      </c>
      <c r="U931">
        <f t="shared" si="1"/>
        <v>0</v>
      </c>
    </row>
    <row r="932">
      <c r="D932" s="201"/>
      <c r="I932" s="201"/>
      <c r="R932" t="str">
        <f t="shared" si="4"/>
        <v/>
      </c>
      <c r="S932" s="201" t="str">
        <f t="shared" si="2"/>
        <v>#VALUE!</v>
      </c>
      <c r="T932" t="str">
        <f t="shared" si="3"/>
        <v>#VALUE!</v>
      </c>
      <c r="U932">
        <f t="shared" si="1"/>
        <v>0</v>
      </c>
    </row>
    <row r="933">
      <c r="D933" s="201"/>
      <c r="I933" s="201"/>
      <c r="R933" t="str">
        <f t="shared" si="4"/>
        <v/>
      </c>
      <c r="S933" s="201" t="str">
        <f t="shared" si="2"/>
        <v>#VALUE!</v>
      </c>
      <c r="T933" t="str">
        <f t="shared" si="3"/>
        <v>#VALUE!</v>
      </c>
      <c r="U933">
        <f t="shared" si="1"/>
        <v>0</v>
      </c>
    </row>
    <row r="934">
      <c r="D934" s="201"/>
      <c r="I934" s="201"/>
      <c r="R934" t="str">
        <f t="shared" si="4"/>
        <v/>
      </c>
      <c r="S934" s="201" t="str">
        <f t="shared" si="2"/>
        <v>#VALUE!</v>
      </c>
      <c r="T934" t="str">
        <f t="shared" si="3"/>
        <v>#VALUE!</v>
      </c>
      <c r="U934">
        <f t="shared" si="1"/>
        <v>0</v>
      </c>
    </row>
    <row r="935">
      <c r="D935" s="201"/>
      <c r="I935" s="201"/>
      <c r="R935" t="str">
        <f t="shared" si="4"/>
        <v/>
      </c>
      <c r="S935" s="201" t="str">
        <f t="shared" si="2"/>
        <v>#VALUE!</v>
      </c>
      <c r="T935" t="str">
        <f t="shared" si="3"/>
        <v>#VALUE!</v>
      </c>
      <c r="U935">
        <f t="shared" si="1"/>
        <v>0</v>
      </c>
    </row>
    <row r="936">
      <c r="D936" s="201"/>
      <c r="I936" s="201"/>
      <c r="R936" t="str">
        <f t="shared" si="4"/>
        <v/>
      </c>
      <c r="S936" s="201" t="str">
        <f t="shared" si="2"/>
        <v>#VALUE!</v>
      </c>
      <c r="T936" t="str">
        <f t="shared" si="3"/>
        <v>#VALUE!</v>
      </c>
      <c r="U936">
        <f t="shared" si="1"/>
        <v>0</v>
      </c>
    </row>
    <row r="937">
      <c r="D937" s="201"/>
      <c r="I937" s="201"/>
      <c r="R937" t="str">
        <f t="shared" si="4"/>
        <v/>
      </c>
      <c r="S937" s="201" t="str">
        <f t="shared" si="2"/>
        <v>#VALUE!</v>
      </c>
      <c r="T937" t="str">
        <f t="shared" si="3"/>
        <v>#VALUE!</v>
      </c>
      <c r="U937">
        <f t="shared" si="1"/>
        <v>0</v>
      </c>
    </row>
    <row r="938">
      <c r="D938" s="201"/>
      <c r="I938" s="201"/>
      <c r="R938" t="str">
        <f t="shared" si="4"/>
        <v/>
      </c>
      <c r="S938" s="201" t="str">
        <f t="shared" si="2"/>
        <v>#VALUE!</v>
      </c>
      <c r="T938" t="str">
        <f t="shared" si="3"/>
        <v>#VALUE!</v>
      </c>
      <c r="U938">
        <f t="shared" si="1"/>
        <v>0</v>
      </c>
    </row>
    <row r="939">
      <c r="D939" s="201"/>
      <c r="I939" s="201"/>
      <c r="R939" t="str">
        <f t="shared" si="4"/>
        <v/>
      </c>
      <c r="S939" s="201" t="str">
        <f t="shared" si="2"/>
        <v>#VALUE!</v>
      </c>
      <c r="T939" t="str">
        <f t="shared" si="3"/>
        <v>#VALUE!</v>
      </c>
      <c r="U939">
        <f t="shared" si="1"/>
        <v>0</v>
      </c>
    </row>
    <row r="940">
      <c r="D940" s="201"/>
      <c r="I940" s="201"/>
      <c r="R940" t="str">
        <f t="shared" si="4"/>
        <v/>
      </c>
      <c r="S940" s="201" t="str">
        <f t="shared" si="2"/>
        <v>#VALUE!</v>
      </c>
      <c r="T940" t="str">
        <f t="shared" si="3"/>
        <v>#VALUE!</v>
      </c>
      <c r="U940">
        <f t="shared" si="1"/>
        <v>0</v>
      </c>
    </row>
    <row r="941">
      <c r="D941" s="201"/>
      <c r="I941" s="201"/>
      <c r="R941" t="str">
        <f t="shared" si="4"/>
        <v/>
      </c>
      <c r="S941" s="201" t="str">
        <f t="shared" si="2"/>
        <v>#VALUE!</v>
      </c>
      <c r="T941" t="str">
        <f t="shared" si="3"/>
        <v>#VALUE!</v>
      </c>
      <c r="U941">
        <f t="shared" si="1"/>
        <v>0</v>
      </c>
    </row>
    <row r="942">
      <c r="D942" s="201"/>
      <c r="I942" s="201"/>
      <c r="R942" t="str">
        <f t="shared" si="4"/>
        <v/>
      </c>
      <c r="S942" s="201" t="str">
        <f t="shared" si="2"/>
        <v>#VALUE!</v>
      </c>
      <c r="T942" t="str">
        <f t="shared" si="3"/>
        <v>#VALUE!</v>
      </c>
      <c r="U942">
        <f t="shared" si="1"/>
        <v>0</v>
      </c>
    </row>
    <row r="943">
      <c r="D943" s="201"/>
      <c r="I943" s="201"/>
      <c r="R943" t="str">
        <f t="shared" si="4"/>
        <v/>
      </c>
      <c r="S943" s="201" t="str">
        <f t="shared" si="2"/>
        <v>#VALUE!</v>
      </c>
      <c r="T943" t="str">
        <f t="shared" si="3"/>
        <v>#VALUE!</v>
      </c>
      <c r="U943">
        <f t="shared" si="1"/>
        <v>0</v>
      </c>
    </row>
    <row r="944">
      <c r="D944" s="201"/>
      <c r="I944" s="201"/>
      <c r="R944" t="str">
        <f t="shared" si="4"/>
        <v/>
      </c>
      <c r="S944" s="201" t="str">
        <f t="shared" si="2"/>
        <v>#VALUE!</v>
      </c>
      <c r="T944" t="str">
        <f t="shared" si="3"/>
        <v>#VALUE!</v>
      </c>
      <c r="U944">
        <f t="shared" si="1"/>
        <v>0</v>
      </c>
    </row>
    <row r="945">
      <c r="D945" s="201"/>
      <c r="I945" s="201"/>
      <c r="R945" t="str">
        <f t="shared" si="4"/>
        <v/>
      </c>
      <c r="S945" s="201" t="str">
        <f t="shared" si="2"/>
        <v>#VALUE!</v>
      </c>
      <c r="T945" t="str">
        <f t="shared" si="3"/>
        <v>#VALUE!</v>
      </c>
      <c r="U945">
        <f t="shared" si="1"/>
        <v>0</v>
      </c>
    </row>
    <row r="946">
      <c r="D946" s="201"/>
      <c r="I946" s="201"/>
      <c r="R946" t="str">
        <f t="shared" si="4"/>
        <v/>
      </c>
      <c r="S946" s="201" t="str">
        <f t="shared" si="2"/>
        <v>#VALUE!</v>
      </c>
      <c r="T946" t="str">
        <f t="shared" si="3"/>
        <v>#VALUE!</v>
      </c>
      <c r="U946">
        <f t="shared" si="1"/>
        <v>0</v>
      </c>
    </row>
    <row r="947">
      <c r="D947" s="201"/>
      <c r="I947" s="201"/>
      <c r="R947" t="str">
        <f t="shared" si="4"/>
        <v/>
      </c>
      <c r="S947" s="201" t="str">
        <f t="shared" si="2"/>
        <v>#VALUE!</v>
      </c>
      <c r="T947" t="str">
        <f t="shared" si="3"/>
        <v>#VALUE!</v>
      </c>
      <c r="U947">
        <f t="shared" si="1"/>
        <v>0</v>
      </c>
    </row>
    <row r="948">
      <c r="D948" s="201"/>
      <c r="I948" s="201"/>
      <c r="R948" t="str">
        <f t="shared" si="4"/>
        <v/>
      </c>
      <c r="S948" s="201" t="str">
        <f t="shared" si="2"/>
        <v>#VALUE!</v>
      </c>
      <c r="T948" t="str">
        <f t="shared" si="3"/>
        <v>#VALUE!</v>
      </c>
      <c r="U948">
        <f t="shared" si="1"/>
        <v>0</v>
      </c>
    </row>
    <row r="949">
      <c r="D949" s="201"/>
      <c r="I949" s="201"/>
      <c r="R949" t="str">
        <f t="shared" si="4"/>
        <v/>
      </c>
      <c r="S949" s="201" t="str">
        <f t="shared" si="2"/>
        <v>#VALUE!</v>
      </c>
      <c r="T949" t="str">
        <f t="shared" si="3"/>
        <v>#VALUE!</v>
      </c>
      <c r="U949">
        <f t="shared" si="1"/>
        <v>0</v>
      </c>
    </row>
    <row r="950">
      <c r="D950" s="201"/>
      <c r="I950" s="201"/>
      <c r="R950" t="str">
        <f t="shared" si="4"/>
        <v/>
      </c>
      <c r="S950" s="201" t="str">
        <f t="shared" si="2"/>
        <v>#VALUE!</v>
      </c>
      <c r="T950" t="str">
        <f t="shared" si="3"/>
        <v>#VALUE!</v>
      </c>
      <c r="U950">
        <f t="shared" si="1"/>
        <v>0</v>
      </c>
    </row>
    <row r="951">
      <c r="D951" s="201"/>
      <c r="I951" s="201"/>
      <c r="R951" t="str">
        <f t="shared" si="4"/>
        <v/>
      </c>
      <c r="S951" s="201" t="str">
        <f t="shared" si="2"/>
        <v>#VALUE!</v>
      </c>
      <c r="T951" t="str">
        <f t="shared" si="3"/>
        <v>#VALUE!</v>
      </c>
      <c r="U951">
        <f t="shared" si="1"/>
        <v>0</v>
      </c>
    </row>
    <row r="952">
      <c r="D952" s="201"/>
      <c r="I952" s="201"/>
      <c r="R952" t="str">
        <f t="shared" si="4"/>
        <v/>
      </c>
      <c r="S952" s="201" t="str">
        <f t="shared" si="2"/>
        <v>#VALUE!</v>
      </c>
      <c r="T952" t="str">
        <f t="shared" si="3"/>
        <v>#VALUE!</v>
      </c>
      <c r="U952">
        <f t="shared" si="1"/>
        <v>0</v>
      </c>
    </row>
    <row r="953">
      <c r="D953" s="201"/>
      <c r="I953" s="201"/>
      <c r="R953" t="str">
        <f t="shared" si="4"/>
        <v/>
      </c>
      <c r="S953" s="201" t="str">
        <f t="shared" si="2"/>
        <v>#VALUE!</v>
      </c>
      <c r="T953" t="str">
        <f t="shared" si="3"/>
        <v>#VALUE!</v>
      </c>
      <c r="U953">
        <f t="shared" si="1"/>
        <v>0</v>
      </c>
    </row>
    <row r="954">
      <c r="D954" s="201"/>
      <c r="I954" s="201"/>
      <c r="R954" t="str">
        <f t="shared" si="4"/>
        <v/>
      </c>
      <c r="S954" s="201" t="str">
        <f t="shared" si="2"/>
        <v>#VALUE!</v>
      </c>
      <c r="T954" t="str">
        <f t="shared" si="3"/>
        <v>#VALUE!</v>
      </c>
      <c r="U954">
        <f t="shared" si="1"/>
        <v>0</v>
      </c>
    </row>
    <row r="955">
      <c r="D955" s="201"/>
      <c r="I955" s="201"/>
      <c r="R955" t="str">
        <f t="shared" si="4"/>
        <v/>
      </c>
      <c r="S955" s="201" t="str">
        <f t="shared" si="2"/>
        <v>#VALUE!</v>
      </c>
      <c r="T955" t="str">
        <f t="shared" si="3"/>
        <v>#VALUE!</v>
      </c>
      <c r="U955">
        <f t="shared" si="1"/>
        <v>0</v>
      </c>
    </row>
    <row r="956">
      <c r="D956" s="201"/>
      <c r="I956" s="201"/>
      <c r="R956" t="str">
        <f t="shared" si="4"/>
        <v/>
      </c>
      <c r="S956" s="201" t="str">
        <f t="shared" si="2"/>
        <v>#VALUE!</v>
      </c>
      <c r="T956" t="str">
        <f t="shared" si="3"/>
        <v>#VALUE!</v>
      </c>
      <c r="U956">
        <f t="shared" si="1"/>
        <v>0</v>
      </c>
    </row>
    <row r="957">
      <c r="D957" s="201"/>
      <c r="I957" s="201"/>
      <c r="R957" t="str">
        <f t="shared" si="4"/>
        <v/>
      </c>
      <c r="S957" s="201" t="str">
        <f t="shared" si="2"/>
        <v>#VALUE!</v>
      </c>
      <c r="T957" t="str">
        <f t="shared" si="3"/>
        <v>#VALUE!</v>
      </c>
      <c r="U957">
        <f t="shared" si="1"/>
        <v>0</v>
      </c>
    </row>
    <row r="958">
      <c r="D958" s="201"/>
      <c r="I958" s="201"/>
      <c r="R958" t="str">
        <f t="shared" si="4"/>
        <v/>
      </c>
      <c r="S958" s="201" t="str">
        <f t="shared" si="2"/>
        <v>#VALUE!</v>
      </c>
      <c r="T958" t="str">
        <f t="shared" si="3"/>
        <v>#VALUE!</v>
      </c>
      <c r="U958">
        <f t="shared" si="1"/>
        <v>0</v>
      </c>
    </row>
    <row r="959">
      <c r="D959" s="201"/>
      <c r="I959" s="201"/>
      <c r="R959" t="str">
        <f t="shared" si="4"/>
        <v/>
      </c>
      <c r="S959" s="201" t="str">
        <f t="shared" si="2"/>
        <v>#VALUE!</v>
      </c>
      <c r="T959" t="str">
        <f t="shared" si="3"/>
        <v>#VALUE!</v>
      </c>
      <c r="U959">
        <f t="shared" si="1"/>
        <v>0</v>
      </c>
    </row>
    <row r="960">
      <c r="D960" s="201"/>
      <c r="I960" s="201"/>
      <c r="R960" t="str">
        <f t="shared" si="4"/>
        <v/>
      </c>
      <c r="S960" s="201" t="str">
        <f t="shared" si="2"/>
        <v>#VALUE!</v>
      </c>
      <c r="T960" t="str">
        <f t="shared" si="3"/>
        <v>#VALUE!</v>
      </c>
      <c r="U960">
        <f t="shared" si="1"/>
        <v>0</v>
      </c>
    </row>
    <row r="961">
      <c r="D961" s="201"/>
      <c r="I961" s="201"/>
      <c r="R961" t="str">
        <f t="shared" si="4"/>
        <v/>
      </c>
      <c r="S961" s="201" t="str">
        <f t="shared" si="2"/>
        <v>#VALUE!</v>
      </c>
      <c r="T961" t="str">
        <f t="shared" si="3"/>
        <v>#VALUE!</v>
      </c>
      <c r="U961">
        <f t="shared" si="1"/>
        <v>0</v>
      </c>
    </row>
    <row r="962">
      <c r="D962" s="201"/>
      <c r="I962" s="201"/>
      <c r="R962" t="str">
        <f t="shared" si="4"/>
        <v/>
      </c>
      <c r="S962" s="201" t="str">
        <f t="shared" si="2"/>
        <v>#VALUE!</v>
      </c>
      <c r="T962" t="str">
        <f t="shared" si="3"/>
        <v>#VALUE!</v>
      </c>
      <c r="U962">
        <f t="shared" si="1"/>
        <v>0</v>
      </c>
    </row>
    <row r="963">
      <c r="D963" s="201"/>
      <c r="I963" s="201"/>
      <c r="R963" t="str">
        <f t="shared" si="4"/>
        <v/>
      </c>
      <c r="S963" s="201" t="str">
        <f t="shared" si="2"/>
        <v>#VALUE!</v>
      </c>
      <c r="T963" t="str">
        <f t="shared" si="3"/>
        <v>#VALUE!</v>
      </c>
      <c r="U963">
        <f t="shared" si="1"/>
        <v>0</v>
      </c>
    </row>
    <row r="964">
      <c r="D964" s="201"/>
      <c r="I964" s="201"/>
      <c r="R964" t="str">
        <f t="shared" si="4"/>
        <v/>
      </c>
      <c r="S964" s="201" t="str">
        <f t="shared" si="2"/>
        <v>#VALUE!</v>
      </c>
      <c r="T964" t="str">
        <f t="shared" si="3"/>
        <v>#VALUE!</v>
      </c>
      <c r="U964">
        <f t="shared" si="1"/>
        <v>0</v>
      </c>
    </row>
    <row r="965">
      <c r="D965" s="201"/>
      <c r="I965" s="201"/>
      <c r="R965" t="str">
        <f t="shared" si="4"/>
        <v/>
      </c>
      <c r="S965" s="201" t="str">
        <f t="shared" si="2"/>
        <v>#VALUE!</v>
      </c>
      <c r="T965" t="str">
        <f t="shared" si="3"/>
        <v>#VALUE!</v>
      </c>
      <c r="U965">
        <f t="shared" si="1"/>
        <v>0</v>
      </c>
    </row>
    <row r="966">
      <c r="D966" s="201"/>
      <c r="I966" s="201"/>
      <c r="R966" t="str">
        <f t="shared" si="4"/>
        <v/>
      </c>
      <c r="S966" s="201" t="str">
        <f t="shared" si="2"/>
        <v>#VALUE!</v>
      </c>
      <c r="T966" t="str">
        <f t="shared" si="3"/>
        <v>#VALUE!</v>
      </c>
      <c r="U966">
        <f t="shared" si="1"/>
        <v>0</v>
      </c>
    </row>
    <row r="967">
      <c r="D967" s="201"/>
      <c r="I967" s="201"/>
      <c r="R967" t="str">
        <f t="shared" si="4"/>
        <v/>
      </c>
      <c r="S967" s="201" t="str">
        <f t="shared" si="2"/>
        <v>#VALUE!</v>
      </c>
      <c r="T967" t="str">
        <f t="shared" si="3"/>
        <v>#VALUE!</v>
      </c>
      <c r="U967">
        <f t="shared" si="1"/>
        <v>0</v>
      </c>
    </row>
    <row r="968">
      <c r="D968" s="201"/>
      <c r="I968" s="201"/>
      <c r="R968" t="str">
        <f t="shared" si="4"/>
        <v/>
      </c>
      <c r="S968" s="201" t="str">
        <f t="shared" si="2"/>
        <v>#VALUE!</v>
      </c>
      <c r="T968" t="str">
        <f t="shared" si="3"/>
        <v>#VALUE!</v>
      </c>
      <c r="U968">
        <f t="shared" si="1"/>
        <v>0</v>
      </c>
    </row>
    <row r="969">
      <c r="D969" s="201"/>
      <c r="I969" s="201"/>
      <c r="R969" t="str">
        <f t="shared" si="4"/>
        <v/>
      </c>
      <c r="S969" s="201" t="str">
        <f t="shared" si="2"/>
        <v>#VALUE!</v>
      </c>
      <c r="T969" t="str">
        <f t="shared" si="3"/>
        <v>#VALUE!</v>
      </c>
      <c r="U969">
        <f t="shared" si="1"/>
        <v>0</v>
      </c>
    </row>
    <row r="970">
      <c r="D970" s="201"/>
      <c r="I970" s="201"/>
      <c r="R970" t="str">
        <f t="shared" si="4"/>
        <v/>
      </c>
      <c r="S970" s="201" t="str">
        <f t="shared" si="2"/>
        <v>#VALUE!</v>
      </c>
      <c r="T970" t="str">
        <f t="shared" si="3"/>
        <v>#VALUE!</v>
      </c>
      <c r="U970">
        <f t="shared" si="1"/>
        <v>0</v>
      </c>
    </row>
    <row r="971">
      <c r="D971" s="201"/>
      <c r="I971" s="201"/>
      <c r="R971" t="str">
        <f t="shared" si="4"/>
        <v/>
      </c>
      <c r="S971" s="201" t="str">
        <f t="shared" si="2"/>
        <v>#VALUE!</v>
      </c>
      <c r="T971" t="str">
        <f t="shared" si="3"/>
        <v>#VALUE!</v>
      </c>
      <c r="U971">
        <f t="shared" si="1"/>
        <v>0</v>
      </c>
    </row>
    <row r="972">
      <c r="D972" s="201"/>
      <c r="I972" s="201"/>
      <c r="R972" t="str">
        <f t="shared" si="4"/>
        <v/>
      </c>
      <c r="S972" s="201" t="str">
        <f t="shared" si="2"/>
        <v>#VALUE!</v>
      </c>
      <c r="T972" t="str">
        <f t="shared" si="3"/>
        <v>#VALUE!</v>
      </c>
      <c r="U972">
        <f t="shared" si="1"/>
        <v>0</v>
      </c>
    </row>
    <row r="973">
      <c r="D973" s="201"/>
      <c r="I973" s="201"/>
      <c r="R973" t="str">
        <f t="shared" si="4"/>
        <v/>
      </c>
      <c r="S973" s="201" t="str">
        <f t="shared" si="2"/>
        <v>#VALUE!</v>
      </c>
      <c r="T973" t="str">
        <f t="shared" si="3"/>
        <v>#VALUE!</v>
      </c>
      <c r="U973">
        <f t="shared" si="1"/>
        <v>0</v>
      </c>
    </row>
    <row r="974">
      <c r="D974" s="201"/>
      <c r="I974" s="201"/>
      <c r="R974" t="str">
        <f t="shared" si="4"/>
        <v/>
      </c>
      <c r="S974" s="201" t="str">
        <f t="shared" si="2"/>
        <v>#VALUE!</v>
      </c>
      <c r="T974" t="str">
        <f t="shared" si="3"/>
        <v>#VALUE!</v>
      </c>
      <c r="U974">
        <f t="shared" si="1"/>
        <v>0</v>
      </c>
    </row>
    <row r="975">
      <c r="D975" s="201"/>
      <c r="I975" s="201"/>
      <c r="R975" t="str">
        <f t="shared" si="4"/>
        <v/>
      </c>
      <c r="S975" s="201" t="str">
        <f t="shared" si="2"/>
        <v>#VALUE!</v>
      </c>
      <c r="T975" t="str">
        <f t="shared" si="3"/>
        <v>#VALUE!</v>
      </c>
      <c r="U975">
        <f t="shared" si="1"/>
        <v>0</v>
      </c>
    </row>
    <row r="976">
      <c r="D976" s="201"/>
      <c r="I976" s="201"/>
      <c r="R976" t="str">
        <f t="shared" si="4"/>
        <v/>
      </c>
      <c r="S976" s="201" t="str">
        <f t="shared" si="2"/>
        <v>#VALUE!</v>
      </c>
      <c r="T976" t="str">
        <f t="shared" si="3"/>
        <v>#VALUE!</v>
      </c>
      <c r="U976">
        <f t="shared" si="1"/>
        <v>0</v>
      </c>
    </row>
    <row r="977">
      <c r="D977" s="201"/>
      <c r="I977" s="201"/>
      <c r="R977" t="str">
        <f t="shared" si="4"/>
        <v/>
      </c>
      <c r="S977" s="201" t="str">
        <f t="shared" si="2"/>
        <v>#VALUE!</v>
      </c>
      <c r="T977" t="str">
        <f t="shared" si="3"/>
        <v>#VALUE!</v>
      </c>
      <c r="U977">
        <f t="shared" si="1"/>
        <v>0</v>
      </c>
    </row>
    <row r="978">
      <c r="D978" s="201"/>
      <c r="I978" s="201"/>
      <c r="R978" t="str">
        <f t="shared" si="4"/>
        <v/>
      </c>
      <c r="S978" s="201" t="str">
        <f t="shared" si="2"/>
        <v>#VALUE!</v>
      </c>
      <c r="T978" t="str">
        <f t="shared" si="3"/>
        <v>#VALUE!</v>
      </c>
      <c r="U978">
        <f t="shared" si="1"/>
        <v>0</v>
      </c>
    </row>
    <row r="979">
      <c r="D979" s="201"/>
      <c r="I979" s="201"/>
      <c r="R979" t="str">
        <f t="shared" si="4"/>
        <v/>
      </c>
      <c r="S979" s="201" t="str">
        <f t="shared" si="2"/>
        <v>#VALUE!</v>
      </c>
      <c r="T979" t="str">
        <f t="shared" si="3"/>
        <v>#VALUE!</v>
      </c>
      <c r="U979">
        <f t="shared" si="1"/>
        <v>0</v>
      </c>
    </row>
    <row r="980">
      <c r="D980" s="201"/>
      <c r="I980" s="201"/>
      <c r="R980" t="str">
        <f t="shared" si="4"/>
        <v/>
      </c>
      <c r="S980" s="201" t="str">
        <f t="shared" si="2"/>
        <v>#VALUE!</v>
      </c>
      <c r="T980" t="str">
        <f t="shared" si="3"/>
        <v>#VALUE!</v>
      </c>
      <c r="U980">
        <f t="shared" si="1"/>
        <v>0</v>
      </c>
    </row>
    <row r="981">
      <c r="D981" s="201"/>
      <c r="I981" s="201"/>
      <c r="R981" t="str">
        <f t="shared" si="4"/>
        <v/>
      </c>
      <c r="S981" s="201" t="str">
        <f t="shared" si="2"/>
        <v>#VALUE!</v>
      </c>
      <c r="T981" t="str">
        <f t="shared" si="3"/>
        <v>#VALUE!</v>
      </c>
      <c r="U981">
        <f t="shared" si="1"/>
        <v>0</v>
      </c>
    </row>
    <row r="982">
      <c r="D982" s="201"/>
      <c r="I982" s="201"/>
      <c r="R982" t="str">
        <f t="shared" si="4"/>
        <v/>
      </c>
      <c r="S982" s="201" t="str">
        <f t="shared" si="2"/>
        <v>#VALUE!</v>
      </c>
      <c r="T982" t="str">
        <f t="shared" si="3"/>
        <v>#VALUE!</v>
      </c>
      <c r="U982">
        <f t="shared" si="1"/>
        <v>0</v>
      </c>
    </row>
    <row r="983">
      <c r="D983" s="201"/>
      <c r="I983" s="201"/>
      <c r="R983" t="str">
        <f t="shared" si="4"/>
        <v/>
      </c>
      <c r="S983" s="201" t="str">
        <f t="shared" si="2"/>
        <v>#VALUE!</v>
      </c>
      <c r="T983" t="str">
        <f t="shared" si="3"/>
        <v>#VALUE!</v>
      </c>
      <c r="U983">
        <f t="shared" si="1"/>
        <v>0</v>
      </c>
    </row>
    <row r="984">
      <c r="D984" s="201"/>
      <c r="I984" s="201"/>
      <c r="R984" t="str">
        <f t="shared" si="4"/>
        <v/>
      </c>
      <c r="S984" s="201" t="str">
        <f t="shared" si="2"/>
        <v>#VALUE!</v>
      </c>
      <c r="T984" t="str">
        <f t="shared" si="3"/>
        <v>#VALUE!</v>
      </c>
      <c r="U984">
        <f t="shared" si="1"/>
        <v>0</v>
      </c>
    </row>
    <row r="985">
      <c r="D985" s="201"/>
      <c r="I985" s="201"/>
      <c r="R985" t="str">
        <f t="shared" si="4"/>
        <v/>
      </c>
      <c r="S985" s="201" t="str">
        <f t="shared" si="2"/>
        <v>#VALUE!</v>
      </c>
      <c r="T985" t="str">
        <f t="shared" si="3"/>
        <v>#VALUE!</v>
      </c>
      <c r="U985">
        <f t="shared" si="1"/>
        <v>0</v>
      </c>
    </row>
    <row r="986">
      <c r="D986" s="201"/>
      <c r="I986" s="201"/>
      <c r="R986" t="str">
        <f t="shared" si="4"/>
        <v/>
      </c>
      <c r="S986" s="201" t="str">
        <f t="shared" si="2"/>
        <v>#VALUE!</v>
      </c>
      <c r="T986" t="str">
        <f t="shared" si="3"/>
        <v>#VALUE!</v>
      </c>
      <c r="U986">
        <f t="shared" si="1"/>
        <v>0</v>
      </c>
    </row>
    <row r="987">
      <c r="D987" s="201"/>
      <c r="I987" s="201"/>
      <c r="R987" t="str">
        <f t="shared" si="4"/>
        <v/>
      </c>
      <c r="S987" s="201" t="str">
        <f t="shared" si="2"/>
        <v>#VALUE!</v>
      </c>
      <c r="T987" t="str">
        <f t="shared" si="3"/>
        <v>#VALUE!</v>
      </c>
      <c r="U987">
        <f t="shared" si="1"/>
        <v>0</v>
      </c>
    </row>
    <row r="988">
      <c r="D988" s="201"/>
      <c r="I988" s="201"/>
      <c r="R988" t="str">
        <f t="shared" si="4"/>
        <v/>
      </c>
      <c r="S988" s="201" t="str">
        <f t="shared" si="2"/>
        <v>#VALUE!</v>
      </c>
      <c r="T988" t="str">
        <f t="shared" si="3"/>
        <v>#VALUE!</v>
      </c>
      <c r="U988">
        <f t="shared" si="1"/>
        <v>0</v>
      </c>
    </row>
    <row r="989">
      <c r="D989" s="201"/>
      <c r="I989" s="201"/>
      <c r="R989" t="str">
        <f t="shared" si="4"/>
        <v/>
      </c>
      <c r="S989" s="201" t="str">
        <f t="shared" si="2"/>
        <v>#VALUE!</v>
      </c>
      <c r="T989" t="str">
        <f t="shared" si="3"/>
        <v>#VALUE!</v>
      </c>
      <c r="U989">
        <f t="shared" si="1"/>
        <v>0</v>
      </c>
    </row>
    <row r="990">
      <c r="D990" s="201"/>
      <c r="I990" s="201"/>
      <c r="R990" t="str">
        <f t="shared" si="4"/>
        <v/>
      </c>
      <c r="S990" s="201" t="str">
        <f t="shared" si="2"/>
        <v>#VALUE!</v>
      </c>
      <c r="T990" t="str">
        <f t="shared" si="3"/>
        <v>#VALUE!</v>
      </c>
      <c r="U990">
        <f t="shared" si="1"/>
        <v>0</v>
      </c>
    </row>
    <row r="991">
      <c r="D991" s="201"/>
      <c r="I991" s="201"/>
      <c r="R991" t="str">
        <f t="shared" si="4"/>
        <v/>
      </c>
      <c r="S991" s="201" t="str">
        <f t="shared" si="2"/>
        <v>#VALUE!</v>
      </c>
      <c r="T991" t="str">
        <f t="shared" si="3"/>
        <v>#VALUE!</v>
      </c>
      <c r="U991">
        <f t="shared" si="1"/>
        <v>0</v>
      </c>
    </row>
    <row r="992">
      <c r="D992" s="201"/>
      <c r="I992" s="201"/>
      <c r="R992" t="str">
        <f t="shared" si="4"/>
        <v/>
      </c>
      <c r="S992" s="201" t="str">
        <f t="shared" si="2"/>
        <v>#VALUE!</v>
      </c>
      <c r="T992" t="str">
        <f t="shared" si="3"/>
        <v>#VALUE!</v>
      </c>
      <c r="U992">
        <f t="shared" si="1"/>
        <v>0</v>
      </c>
    </row>
    <row r="993">
      <c r="D993" s="201"/>
      <c r="I993" s="201"/>
      <c r="R993" t="str">
        <f t="shared" si="4"/>
        <v/>
      </c>
      <c r="S993" s="201" t="str">
        <f t="shared" si="2"/>
        <v>#VALUE!</v>
      </c>
      <c r="T993" t="str">
        <f t="shared" si="3"/>
        <v>#VALUE!</v>
      </c>
      <c r="U993">
        <f t="shared" si="1"/>
        <v>0</v>
      </c>
    </row>
    <row r="994">
      <c r="D994" s="201"/>
      <c r="I994" s="201"/>
      <c r="R994" t="str">
        <f t="shared" si="4"/>
        <v/>
      </c>
      <c r="S994" s="201" t="str">
        <f t="shared" si="2"/>
        <v>#VALUE!</v>
      </c>
      <c r="T994" t="str">
        <f t="shared" si="3"/>
        <v>#VALUE!</v>
      </c>
      <c r="U994">
        <f t="shared" si="1"/>
        <v>0</v>
      </c>
    </row>
    <row r="995">
      <c r="D995" s="201"/>
      <c r="I995" s="201"/>
      <c r="R995" t="str">
        <f t="shared" si="4"/>
        <v/>
      </c>
      <c r="S995" s="201" t="str">
        <f t="shared" si="2"/>
        <v>#VALUE!</v>
      </c>
      <c r="T995" t="str">
        <f t="shared" si="3"/>
        <v>#VALUE!</v>
      </c>
      <c r="U995">
        <f t="shared" si="1"/>
        <v>0</v>
      </c>
    </row>
    <row r="996">
      <c r="D996" s="201"/>
      <c r="I996" s="201"/>
      <c r="R996" t="str">
        <f t="shared" si="4"/>
        <v/>
      </c>
      <c r="S996" s="201" t="str">
        <f t="shared" si="2"/>
        <v>#VALUE!</v>
      </c>
      <c r="T996" t="str">
        <f t="shared" si="3"/>
        <v>#VALUE!</v>
      </c>
      <c r="U996">
        <f t="shared" si="1"/>
        <v>0</v>
      </c>
    </row>
    <row r="997">
      <c r="D997" s="201"/>
      <c r="I997" s="201"/>
      <c r="R997" t="str">
        <f t="shared" si="4"/>
        <v/>
      </c>
      <c r="S997" s="201" t="str">
        <f t="shared" si="2"/>
        <v>#VALUE!</v>
      </c>
      <c r="T997" t="str">
        <f t="shared" si="3"/>
        <v>#VALUE!</v>
      </c>
      <c r="U997">
        <f t="shared" si="1"/>
        <v>0</v>
      </c>
    </row>
    <row r="998">
      <c r="D998" s="201"/>
      <c r="I998" s="201"/>
      <c r="R998" t="str">
        <f t="shared" si="4"/>
        <v/>
      </c>
      <c r="S998" s="201" t="str">
        <f t="shared" si="2"/>
        <v>#VALUE!</v>
      </c>
      <c r="T998" t="str">
        <f t="shared" si="3"/>
        <v>#VALUE!</v>
      </c>
      <c r="U998">
        <f t="shared" si="1"/>
        <v>0</v>
      </c>
    </row>
    <row r="999">
      <c r="D999" s="201"/>
      <c r="I999" s="201"/>
      <c r="R999" t="str">
        <f t="shared" si="4"/>
        <v/>
      </c>
      <c r="S999" s="201" t="str">
        <f t="shared" si="2"/>
        <v>#VALUE!</v>
      </c>
      <c r="T999" t="str">
        <f t="shared" si="3"/>
        <v>#VALUE!</v>
      </c>
      <c r="U999">
        <f t="shared" si="1"/>
        <v>0</v>
      </c>
    </row>
    <row r="1000">
      <c r="D1000" s="201"/>
      <c r="I1000" s="201"/>
      <c r="R1000" t="str">
        <f t="shared" si="4"/>
        <v/>
      </c>
      <c r="S1000" s="201" t="str">
        <f t="shared" si="2"/>
        <v>#VALUE!</v>
      </c>
      <c r="T1000" t="str">
        <f t="shared" si="3"/>
        <v>#VALUE!</v>
      </c>
      <c r="U1000">
        <f t="shared" si="1"/>
        <v>0</v>
      </c>
    </row>
    <row r="1001">
      <c r="D1001" s="201"/>
      <c r="I1001" s="201"/>
      <c r="R1001" t="str">
        <f t="shared" si="4"/>
        <v/>
      </c>
      <c r="S1001" s="201" t="str">
        <f t="shared" si="2"/>
        <v>#VALUE!</v>
      </c>
      <c r="T1001" t="str">
        <f t="shared" si="3"/>
        <v>#VALUE!</v>
      </c>
      <c r="U1001">
        <f t="shared" si="1"/>
        <v>0</v>
      </c>
    </row>
    <row r="1002">
      <c r="D1002" s="201"/>
      <c r="I1002" s="201"/>
      <c r="R1002" t="str">
        <f t="shared" si="4"/>
        <v/>
      </c>
      <c r="S1002" s="201" t="str">
        <f t="shared" si="2"/>
        <v>#VALUE!</v>
      </c>
      <c r="T1002" t="str">
        <f t="shared" si="3"/>
        <v>#VALUE!</v>
      </c>
      <c r="U1002">
        <f t="shared" si="1"/>
        <v>0</v>
      </c>
    </row>
    <row r="1003">
      <c r="D1003" s="201"/>
      <c r="I1003" s="201"/>
      <c r="R1003" t="str">
        <f t="shared" si="4"/>
        <v/>
      </c>
      <c r="S1003" s="201" t="str">
        <f t="shared" si="2"/>
        <v>#VALUE!</v>
      </c>
      <c r="T1003" t="str">
        <f t="shared" si="3"/>
        <v>#VALUE!</v>
      </c>
      <c r="U1003">
        <f t="shared" si="1"/>
        <v>0</v>
      </c>
    </row>
    <row r="1004">
      <c r="D1004" s="201"/>
      <c r="I1004" s="201"/>
      <c r="R1004" t="str">
        <f t="shared" si="4"/>
        <v/>
      </c>
      <c r="S1004" s="201" t="str">
        <f t="shared" si="2"/>
        <v>#VALUE!</v>
      </c>
      <c r="T1004" t="str">
        <f t="shared" si="3"/>
        <v>#VALUE!</v>
      </c>
      <c r="U1004">
        <f t="shared" si="1"/>
        <v>0</v>
      </c>
    </row>
    <row r="1005">
      <c r="D1005" s="201"/>
      <c r="I1005" s="201"/>
      <c r="R1005" t="str">
        <f t="shared" si="4"/>
        <v/>
      </c>
      <c r="S1005" s="201" t="str">
        <f t="shared" si="2"/>
        <v>#VALUE!</v>
      </c>
      <c r="T1005" t="str">
        <f t="shared" si="3"/>
        <v>#VALUE!</v>
      </c>
      <c r="U1005">
        <f t="shared" si="1"/>
        <v>0</v>
      </c>
    </row>
    <row r="1006">
      <c r="D1006" s="201"/>
      <c r="I1006" s="201"/>
      <c r="R1006" t="str">
        <f t="shared" si="4"/>
        <v/>
      </c>
      <c r="S1006" s="201" t="str">
        <f t="shared" si="2"/>
        <v>#VALUE!</v>
      </c>
      <c r="T1006" t="str">
        <f t="shared" si="3"/>
        <v>#VALUE!</v>
      </c>
      <c r="U1006">
        <f t="shared" si="1"/>
        <v>0</v>
      </c>
    </row>
    <row r="1007">
      <c r="D1007" s="201"/>
      <c r="I1007" s="201"/>
      <c r="R1007" t="str">
        <f t="shared" si="4"/>
        <v/>
      </c>
      <c r="S1007" s="201" t="str">
        <f t="shared" si="2"/>
        <v>#VALUE!</v>
      </c>
      <c r="T1007" t="str">
        <f t="shared" si="3"/>
        <v>#VALUE!</v>
      </c>
      <c r="U1007">
        <f t="shared" si="1"/>
        <v>0</v>
      </c>
    </row>
    <row r="1008">
      <c r="D1008" s="201"/>
      <c r="I1008" s="201"/>
      <c r="R1008" t="str">
        <f t="shared" si="4"/>
        <v/>
      </c>
      <c r="S1008" s="201" t="str">
        <f t="shared" si="2"/>
        <v>#VALUE!</v>
      </c>
      <c r="T1008" t="str">
        <f t="shared" si="3"/>
        <v>#VALUE!</v>
      </c>
      <c r="U1008">
        <f t="shared" si="1"/>
        <v>0</v>
      </c>
    </row>
    <row r="1009">
      <c r="D1009" s="201"/>
      <c r="I1009" s="201"/>
      <c r="R1009" t="str">
        <f t="shared" si="4"/>
        <v/>
      </c>
      <c r="S1009" s="201" t="str">
        <f t="shared" si="2"/>
        <v>#VALUE!</v>
      </c>
      <c r="T1009" t="str">
        <f t="shared" si="3"/>
        <v>#VALUE!</v>
      </c>
      <c r="U1009">
        <f t="shared" si="1"/>
        <v>0</v>
      </c>
    </row>
    <row r="1010">
      <c r="D1010" s="201"/>
      <c r="I1010" s="201"/>
      <c r="R1010" t="str">
        <f t="shared" si="4"/>
        <v/>
      </c>
      <c r="S1010" s="201" t="str">
        <f t="shared" si="2"/>
        <v>#VALUE!</v>
      </c>
      <c r="T1010" t="str">
        <f t="shared" si="3"/>
        <v>#VALUE!</v>
      </c>
      <c r="U1010">
        <f t="shared" si="1"/>
        <v>0</v>
      </c>
    </row>
    <row r="1011">
      <c r="D1011" s="201"/>
      <c r="I1011" s="201"/>
      <c r="R1011" t="str">
        <f t="shared" si="4"/>
        <v/>
      </c>
      <c r="S1011" s="201" t="str">
        <f t="shared" si="2"/>
        <v>#VALUE!</v>
      </c>
      <c r="T1011" t="str">
        <f t="shared" si="3"/>
        <v>#VALUE!</v>
      </c>
      <c r="U1011">
        <f t="shared" si="1"/>
        <v>0</v>
      </c>
    </row>
    <row r="1012">
      <c r="D1012" s="201"/>
      <c r="I1012" s="201"/>
      <c r="R1012" t="str">
        <f t="shared" si="4"/>
        <v/>
      </c>
      <c r="S1012" s="201" t="str">
        <f t="shared" si="2"/>
        <v>#VALUE!</v>
      </c>
      <c r="T1012" t="str">
        <f t="shared" si="3"/>
        <v>#VALUE!</v>
      </c>
      <c r="U1012">
        <f t="shared" si="1"/>
        <v>0</v>
      </c>
    </row>
    <row r="1013">
      <c r="D1013" s="201"/>
      <c r="I1013" s="201"/>
      <c r="R1013" t="str">
        <f t="shared" si="4"/>
        <v/>
      </c>
      <c r="S1013" s="201" t="str">
        <f t="shared" si="2"/>
        <v>#VALUE!</v>
      </c>
      <c r="T1013" t="str">
        <f t="shared" si="3"/>
        <v>#VALUE!</v>
      </c>
      <c r="U1013">
        <f t="shared" si="1"/>
        <v>0</v>
      </c>
    </row>
    <row r="1014">
      <c r="D1014" s="201"/>
      <c r="I1014" s="201"/>
      <c r="R1014" t="str">
        <f t="shared" si="4"/>
        <v/>
      </c>
      <c r="S1014" s="201" t="str">
        <f t="shared" si="2"/>
        <v>#VALUE!</v>
      </c>
      <c r="T1014" t="str">
        <f t="shared" si="3"/>
        <v>#VALUE!</v>
      </c>
      <c r="U1014">
        <f t="shared" si="1"/>
        <v>0</v>
      </c>
    </row>
    <row r="1015">
      <c r="D1015" s="201"/>
      <c r="I1015" s="201"/>
      <c r="R1015" t="str">
        <f t="shared" si="4"/>
        <v/>
      </c>
      <c r="S1015" s="201" t="str">
        <f t="shared" si="2"/>
        <v>#VALUE!</v>
      </c>
      <c r="T1015" t="str">
        <f t="shared" si="3"/>
        <v>#VALUE!</v>
      </c>
      <c r="U1015">
        <f t="shared" si="1"/>
        <v>0</v>
      </c>
    </row>
    <row r="1016">
      <c r="D1016" s="201"/>
      <c r="I1016" s="201"/>
      <c r="R1016" t="str">
        <f t="shared" si="4"/>
        <v/>
      </c>
      <c r="S1016" s="201" t="str">
        <f t="shared" si="2"/>
        <v>#VALUE!</v>
      </c>
      <c r="T1016" t="str">
        <f t="shared" si="3"/>
        <v>#VALUE!</v>
      </c>
      <c r="U1016">
        <f t="shared" si="1"/>
        <v>0</v>
      </c>
    </row>
    <row r="1017">
      <c r="D1017" s="201"/>
      <c r="I1017" s="201"/>
      <c r="R1017" t="str">
        <f t="shared" si="4"/>
        <v/>
      </c>
      <c r="S1017" s="201" t="str">
        <f t="shared" si="2"/>
        <v>#VALUE!</v>
      </c>
      <c r="T1017" t="str">
        <f t="shared" si="3"/>
        <v>#VALUE!</v>
      </c>
      <c r="U1017">
        <f t="shared" si="1"/>
        <v>0</v>
      </c>
    </row>
    <row r="1018">
      <c r="D1018" s="201"/>
      <c r="I1018" s="201"/>
      <c r="R1018" t="str">
        <f t="shared" si="4"/>
        <v/>
      </c>
      <c r="S1018" s="201" t="str">
        <f t="shared" si="2"/>
        <v>#VALUE!</v>
      </c>
      <c r="T1018" t="str">
        <f t="shared" si="3"/>
        <v>#VALUE!</v>
      </c>
      <c r="U1018">
        <f t="shared" si="1"/>
        <v>0</v>
      </c>
    </row>
    <row r="1019">
      <c r="D1019" s="201"/>
      <c r="I1019" s="201"/>
      <c r="R1019" t="str">
        <f t="shared" si="4"/>
        <v/>
      </c>
      <c r="S1019" s="201" t="str">
        <f t="shared" si="2"/>
        <v>#VALUE!</v>
      </c>
      <c r="T1019" t="str">
        <f t="shared" si="3"/>
        <v>#VALUE!</v>
      </c>
      <c r="U1019">
        <f t="shared" si="1"/>
        <v>0</v>
      </c>
    </row>
    <row r="1020">
      <c r="D1020" s="201"/>
      <c r="I1020" s="201"/>
      <c r="R1020" t="str">
        <f t="shared" si="4"/>
        <v/>
      </c>
      <c r="S1020" s="201" t="str">
        <f t="shared" si="2"/>
        <v>#VALUE!</v>
      </c>
      <c r="T1020" t="str">
        <f t="shared" si="3"/>
        <v>#VALUE!</v>
      </c>
      <c r="U1020">
        <f t="shared" si="1"/>
        <v>0</v>
      </c>
    </row>
    <row r="1021">
      <c r="D1021" s="201"/>
      <c r="I1021" s="201"/>
      <c r="R1021" t="str">
        <f t="shared" si="4"/>
        <v/>
      </c>
      <c r="S1021" s="201" t="str">
        <f t="shared" si="2"/>
        <v>#VALUE!</v>
      </c>
      <c r="T1021" t="str">
        <f t="shared" si="3"/>
        <v>#VALUE!</v>
      </c>
      <c r="U1021">
        <f t="shared" si="1"/>
        <v>0</v>
      </c>
    </row>
    <row r="1022">
      <c r="D1022" s="201"/>
      <c r="I1022" s="201"/>
      <c r="R1022" t="str">
        <f t="shared" si="4"/>
        <v/>
      </c>
      <c r="S1022" s="201" t="str">
        <f t="shared" si="2"/>
        <v>#VALUE!</v>
      </c>
      <c r="T1022" t="str">
        <f t="shared" si="3"/>
        <v>#VALUE!</v>
      </c>
      <c r="U1022">
        <f t="shared" si="1"/>
        <v>0</v>
      </c>
    </row>
    <row r="1023">
      <c r="D1023" s="201"/>
      <c r="I1023" s="201"/>
      <c r="R1023" t="str">
        <f t="shared" si="4"/>
        <v/>
      </c>
      <c r="S1023" s="201" t="str">
        <f t="shared" si="2"/>
        <v>#VALUE!</v>
      </c>
      <c r="T1023" t="str">
        <f t="shared" si="3"/>
        <v>#VALUE!</v>
      </c>
      <c r="U1023">
        <f t="shared" si="1"/>
        <v>0</v>
      </c>
    </row>
    <row r="1024">
      <c r="D1024" s="201"/>
      <c r="I1024" s="201"/>
      <c r="R1024" t="str">
        <f t="shared" si="4"/>
        <v/>
      </c>
      <c r="S1024" s="201" t="str">
        <f t="shared" si="2"/>
        <v>#VALUE!</v>
      </c>
      <c r="T1024" t="str">
        <f t="shared" si="3"/>
        <v>#VALUE!</v>
      </c>
      <c r="U1024">
        <f t="shared" si="1"/>
        <v>0</v>
      </c>
    </row>
    <row r="1025">
      <c r="D1025" s="201"/>
      <c r="I1025" s="201"/>
      <c r="R1025" t="str">
        <f t="shared" si="4"/>
        <v/>
      </c>
      <c r="S1025" s="201" t="str">
        <f t="shared" si="2"/>
        <v>#VALUE!</v>
      </c>
      <c r="T1025" t="str">
        <f t="shared" si="3"/>
        <v>#VALUE!</v>
      </c>
      <c r="U1025">
        <f t="shared" si="1"/>
        <v>0</v>
      </c>
    </row>
    <row r="1026">
      <c r="D1026" s="201"/>
      <c r="I1026" s="201"/>
      <c r="R1026" t="str">
        <f t="shared" si="4"/>
        <v/>
      </c>
      <c r="S1026" s="201" t="str">
        <f t="shared" si="2"/>
        <v>#VALUE!</v>
      </c>
      <c r="T1026" t="str">
        <f t="shared" si="3"/>
        <v>#VALUE!</v>
      </c>
      <c r="U1026">
        <f t="shared" si="1"/>
        <v>0</v>
      </c>
    </row>
    <row r="1027">
      <c r="D1027" s="201"/>
      <c r="I1027" s="201"/>
      <c r="R1027" t="str">
        <f t="shared" si="4"/>
        <v/>
      </c>
      <c r="S1027" s="201" t="str">
        <f t="shared" si="2"/>
        <v>#VALUE!</v>
      </c>
      <c r="T1027" t="str">
        <f t="shared" si="3"/>
        <v>#VALUE!</v>
      </c>
      <c r="U1027">
        <f t="shared" si="1"/>
        <v>0</v>
      </c>
    </row>
    <row r="1028">
      <c r="D1028" s="201"/>
      <c r="I1028" s="201"/>
      <c r="R1028" t="str">
        <f t="shared" si="4"/>
        <v/>
      </c>
      <c r="S1028" s="201" t="str">
        <f t="shared" si="2"/>
        <v>#VALUE!</v>
      </c>
      <c r="T1028" t="str">
        <f t="shared" si="3"/>
        <v>#VALUE!</v>
      </c>
      <c r="U1028">
        <f t="shared" si="1"/>
        <v>0</v>
      </c>
    </row>
    <row r="1029">
      <c r="D1029" s="201"/>
      <c r="I1029" s="201"/>
      <c r="R1029" t="str">
        <f t="shared" si="4"/>
        <v/>
      </c>
      <c r="S1029" s="201" t="str">
        <f t="shared" si="2"/>
        <v>#VALUE!</v>
      </c>
      <c r="T1029" t="str">
        <f t="shared" si="3"/>
        <v>#VALUE!</v>
      </c>
      <c r="U1029">
        <f t="shared" si="1"/>
        <v>0</v>
      </c>
    </row>
    <row r="1030">
      <c r="D1030" s="201"/>
      <c r="I1030" s="201"/>
      <c r="R1030" t="str">
        <f t="shared" si="4"/>
        <v/>
      </c>
      <c r="S1030" s="201" t="str">
        <f t="shared" si="2"/>
        <v>#VALUE!</v>
      </c>
      <c r="T1030" t="str">
        <f t="shared" si="3"/>
        <v>#VALUE!</v>
      </c>
      <c r="U1030">
        <f t="shared" si="1"/>
        <v>0</v>
      </c>
    </row>
    <row r="1031">
      <c r="D1031" s="201"/>
      <c r="I1031" s="201"/>
      <c r="R1031" t="str">
        <f t="shared" si="4"/>
        <v/>
      </c>
      <c r="S1031" s="201" t="str">
        <f t="shared" si="2"/>
        <v>#VALUE!</v>
      </c>
      <c r="T1031" t="str">
        <f t="shared" si="3"/>
        <v>#VALUE!</v>
      </c>
      <c r="U1031">
        <f t="shared" si="1"/>
        <v>0</v>
      </c>
    </row>
    <row r="1032">
      <c r="D1032" s="201"/>
      <c r="I1032" s="201"/>
      <c r="R1032" t="str">
        <f t="shared" si="4"/>
        <v/>
      </c>
      <c r="S1032" s="201" t="str">
        <f t="shared" si="2"/>
        <v>#VALUE!</v>
      </c>
      <c r="T1032" t="str">
        <f t="shared" si="3"/>
        <v>#VALUE!</v>
      </c>
      <c r="U1032">
        <f t="shared" si="1"/>
        <v>0</v>
      </c>
    </row>
    <row r="1033">
      <c r="D1033" s="201"/>
      <c r="I1033" s="201"/>
      <c r="R1033" t="str">
        <f t="shared" si="4"/>
        <v/>
      </c>
      <c r="S1033" s="201" t="str">
        <f t="shared" si="2"/>
        <v>#VALUE!</v>
      </c>
      <c r="T1033" t="str">
        <f t="shared" si="3"/>
        <v>#VALUE!</v>
      </c>
      <c r="U1033">
        <f t="shared" si="1"/>
        <v>0</v>
      </c>
    </row>
    <row r="1034">
      <c r="D1034" s="201"/>
      <c r="I1034" s="201"/>
      <c r="R1034" t="str">
        <f t="shared" si="4"/>
        <v/>
      </c>
      <c r="S1034" s="201" t="str">
        <f t="shared" si="2"/>
        <v>#VALUE!</v>
      </c>
      <c r="T1034" t="str">
        <f t="shared" si="3"/>
        <v>#VALUE!</v>
      </c>
      <c r="U1034">
        <f t="shared" si="1"/>
        <v>0</v>
      </c>
    </row>
    <row r="1035">
      <c r="D1035" s="201"/>
      <c r="I1035" s="201"/>
      <c r="R1035" t="str">
        <f t="shared" si="4"/>
        <v/>
      </c>
      <c r="S1035" s="201" t="str">
        <f t="shared" si="2"/>
        <v>#VALUE!</v>
      </c>
      <c r="T1035" t="str">
        <f t="shared" si="3"/>
        <v>#VALUE!</v>
      </c>
      <c r="U1035">
        <f t="shared" si="1"/>
        <v>0</v>
      </c>
    </row>
    <row r="1036">
      <c r="D1036" s="201"/>
      <c r="I1036" s="201"/>
      <c r="R1036" t="str">
        <f t="shared" si="4"/>
        <v/>
      </c>
      <c r="S1036" s="201" t="str">
        <f t="shared" si="2"/>
        <v>#VALUE!</v>
      </c>
      <c r="T1036" t="str">
        <f t="shared" si="3"/>
        <v>#VALUE!</v>
      </c>
      <c r="U1036">
        <f t="shared" si="1"/>
        <v>0</v>
      </c>
    </row>
    <row r="1037">
      <c r="D1037" s="201"/>
      <c r="I1037" s="201"/>
      <c r="R1037" t="str">
        <f t="shared" si="4"/>
        <v/>
      </c>
      <c r="S1037" s="201" t="str">
        <f t="shared" si="2"/>
        <v>#VALUE!</v>
      </c>
      <c r="T1037" t="str">
        <f t="shared" si="3"/>
        <v>#VALUE!</v>
      </c>
      <c r="U1037">
        <f t="shared" si="1"/>
        <v>0</v>
      </c>
    </row>
    <row r="1038">
      <c r="D1038" s="201"/>
      <c r="I1038" s="201"/>
      <c r="R1038" t="str">
        <f t="shared" si="4"/>
        <v/>
      </c>
      <c r="S1038" s="201" t="str">
        <f t="shared" si="2"/>
        <v>#VALUE!</v>
      </c>
      <c r="T1038" t="str">
        <f t="shared" si="3"/>
        <v>#VALUE!</v>
      </c>
      <c r="U1038">
        <f t="shared" si="1"/>
        <v>0</v>
      </c>
    </row>
    <row r="1039">
      <c r="D1039" s="201"/>
      <c r="I1039" s="201"/>
      <c r="R1039" t="str">
        <f t="shared" si="4"/>
        <v/>
      </c>
      <c r="S1039" s="201" t="str">
        <f t="shared" si="2"/>
        <v>#VALUE!</v>
      </c>
      <c r="T1039" t="str">
        <f t="shared" si="3"/>
        <v>#VALUE!</v>
      </c>
      <c r="U1039">
        <f t="shared" si="1"/>
        <v>0</v>
      </c>
    </row>
    <row r="1040">
      <c r="D1040" s="201"/>
      <c r="I1040" s="201"/>
      <c r="R1040" t="str">
        <f t="shared" si="4"/>
        <v/>
      </c>
      <c r="S1040" s="201" t="str">
        <f t="shared" si="2"/>
        <v>#VALUE!</v>
      </c>
      <c r="T1040" t="str">
        <f t="shared" si="3"/>
        <v>#VALUE!</v>
      </c>
      <c r="U1040">
        <f t="shared" si="1"/>
        <v>0</v>
      </c>
    </row>
    <row r="1041">
      <c r="D1041" s="201"/>
      <c r="I1041" s="201"/>
      <c r="R1041" t="str">
        <f t="shared" si="4"/>
        <v/>
      </c>
      <c r="S1041" s="201" t="str">
        <f t="shared" si="2"/>
        <v>#VALUE!</v>
      </c>
      <c r="T1041" t="str">
        <f t="shared" si="3"/>
        <v>#VALUE!</v>
      </c>
      <c r="U1041">
        <f t="shared" si="1"/>
        <v>0</v>
      </c>
    </row>
    <row r="1042">
      <c r="D1042" s="201"/>
      <c r="I1042" s="201"/>
      <c r="R1042" t="str">
        <f t="shared" si="4"/>
        <v/>
      </c>
      <c r="S1042" s="201" t="str">
        <f t="shared" si="2"/>
        <v>#VALUE!</v>
      </c>
      <c r="T1042" t="str">
        <f t="shared" si="3"/>
        <v>#VALUE!</v>
      </c>
      <c r="U1042">
        <f t="shared" si="1"/>
        <v>0</v>
      </c>
    </row>
    <row r="1043">
      <c r="D1043" s="201"/>
      <c r="I1043" s="201"/>
      <c r="R1043" t="str">
        <f t="shared" si="4"/>
        <v/>
      </c>
      <c r="S1043" s="201" t="str">
        <f t="shared" si="2"/>
        <v>#VALUE!</v>
      </c>
      <c r="T1043" t="str">
        <f t="shared" si="3"/>
        <v>#VALUE!</v>
      </c>
      <c r="U1043">
        <f t="shared" si="1"/>
        <v>0</v>
      </c>
    </row>
    <row r="1044">
      <c r="D1044" s="201"/>
      <c r="I1044" s="201"/>
      <c r="R1044" t="str">
        <f t="shared" si="4"/>
        <v/>
      </c>
      <c r="S1044" s="201" t="str">
        <f t="shared" si="2"/>
        <v>#VALUE!</v>
      </c>
      <c r="T1044" t="str">
        <f t="shared" si="3"/>
        <v>#VALUE!</v>
      </c>
      <c r="U1044">
        <f t="shared" si="1"/>
        <v>0</v>
      </c>
    </row>
    <row r="1045">
      <c r="D1045" s="201"/>
      <c r="I1045" s="201"/>
      <c r="R1045" t="str">
        <f t="shared" si="4"/>
        <v/>
      </c>
      <c r="S1045" s="201" t="str">
        <f t="shared" si="2"/>
        <v>#VALUE!</v>
      </c>
      <c r="T1045" t="str">
        <f t="shared" si="3"/>
        <v>#VALUE!</v>
      </c>
      <c r="U1045">
        <f t="shared" si="1"/>
        <v>0</v>
      </c>
    </row>
    <row r="1046">
      <c r="D1046" s="201"/>
      <c r="I1046" s="201"/>
      <c r="R1046" t="str">
        <f t="shared" si="4"/>
        <v/>
      </c>
      <c r="S1046" s="201" t="str">
        <f t="shared" si="2"/>
        <v>#VALUE!</v>
      </c>
      <c r="T1046" t="str">
        <f t="shared" si="3"/>
        <v>#VALUE!</v>
      </c>
      <c r="U1046">
        <f t="shared" si="1"/>
        <v>0</v>
      </c>
    </row>
    <row r="1047">
      <c r="D1047" s="201"/>
      <c r="I1047" s="201"/>
      <c r="R1047" t="str">
        <f t="shared" si="4"/>
        <v/>
      </c>
      <c r="S1047" s="201" t="str">
        <f t="shared" si="2"/>
        <v>#VALUE!</v>
      </c>
      <c r="T1047" t="str">
        <f t="shared" si="3"/>
        <v>#VALUE!</v>
      </c>
      <c r="U1047">
        <f t="shared" si="1"/>
        <v>0</v>
      </c>
    </row>
    <row r="1048">
      <c r="D1048" s="201"/>
      <c r="I1048" s="201"/>
      <c r="R1048" t="str">
        <f t="shared" si="4"/>
        <v/>
      </c>
      <c r="S1048" s="201" t="str">
        <f t="shared" si="2"/>
        <v>#VALUE!</v>
      </c>
      <c r="T1048" t="str">
        <f t="shared" si="3"/>
        <v>#VALUE!</v>
      </c>
      <c r="U1048">
        <f t="shared" si="1"/>
        <v>0</v>
      </c>
    </row>
    <row r="1049">
      <c r="D1049" s="201"/>
      <c r="I1049" s="201"/>
      <c r="R1049" t="str">
        <f t="shared" si="4"/>
        <v/>
      </c>
      <c r="S1049" s="201" t="str">
        <f t="shared" si="2"/>
        <v>#VALUE!</v>
      </c>
      <c r="T1049" t="str">
        <f t="shared" si="3"/>
        <v>#VALUE!</v>
      </c>
      <c r="U1049">
        <f t="shared" si="1"/>
        <v>0</v>
      </c>
    </row>
    <row r="1050">
      <c r="D1050" s="201"/>
      <c r="I1050" s="201"/>
      <c r="R1050" t="str">
        <f t="shared" si="4"/>
        <v/>
      </c>
      <c r="S1050" s="201" t="str">
        <f t="shared" si="2"/>
        <v>#VALUE!</v>
      </c>
      <c r="T1050" t="str">
        <f t="shared" si="3"/>
        <v>#VALUE!</v>
      </c>
      <c r="U1050">
        <f t="shared" si="1"/>
        <v>0</v>
      </c>
    </row>
    <row r="1051">
      <c r="D1051" s="201"/>
      <c r="I1051" s="201"/>
      <c r="R1051" t="str">
        <f t="shared" si="4"/>
        <v/>
      </c>
      <c r="S1051" s="201" t="str">
        <f t="shared" si="2"/>
        <v>#VALUE!</v>
      </c>
      <c r="T1051" t="str">
        <f t="shared" si="3"/>
        <v>#VALUE!</v>
      </c>
      <c r="U1051">
        <f t="shared" si="1"/>
        <v>0</v>
      </c>
    </row>
    <row r="1052">
      <c r="D1052" s="201"/>
      <c r="I1052" s="201"/>
      <c r="R1052" t="str">
        <f t="shared" si="4"/>
        <v/>
      </c>
      <c r="S1052" s="201" t="str">
        <f t="shared" si="2"/>
        <v>#VALUE!</v>
      </c>
      <c r="T1052" t="str">
        <f t="shared" si="3"/>
        <v>#VALUE!</v>
      </c>
      <c r="U1052">
        <f t="shared" si="1"/>
        <v>0</v>
      </c>
    </row>
    <row r="1053">
      <c r="D1053" s="201"/>
      <c r="I1053" s="201"/>
      <c r="R1053" t="str">
        <f t="shared" si="4"/>
        <v/>
      </c>
      <c r="S1053" s="201" t="str">
        <f t="shared" si="2"/>
        <v>#VALUE!</v>
      </c>
      <c r="T1053" t="str">
        <f t="shared" si="3"/>
        <v>#VALUE!</v>
      </c>
      <c r="U1053">
        <f t="shared" si="1"/>
        <v>0</v>
      </c>
    </row>
    <row r="1054">
      <c r="D1054" s="201"/>
      <c r="I1054" s="201"/>
      <c r="R1054" t="str">
        <f t="shared" si="4"/>
        <v/>
      </c>
      <c r="S1054" s="201" t="str">
        <f t="shared" si="2"/>
        <v>#VALUE!</v>
      </c>
      <c r="T1054" t="str">
        <f t="shared" si="3"/>
        <v>#VALUE!</v>
      </c>
      <c r="U1054">
        <f t="shared" si="1"/>
        <v>0</v>
      </c>
    </row>
    <row r="1055">
      <c r="D1055" s="201"/>
      <c r="I1055" s="201"/>
      <c r="R1055" t="str">
        <f t="shared" si="4"/>
        <v/>
      </c>
      <c r="S1055" s="201" t="str">
        <f t="shared" si="2"/>
        <v>#VALUE!</v>
      </c>
      <c r="T1055" t="str">
        <f t="shared" si="3"/>
        <v>#VALUE!</v>
      </c>
      <c r="U1055">
        <f t="shared" si="1"/>
        <v>0</v>
      </c>
    </row>
    <row r="1056">
      <c r="D1056" s="201"/>
      <c r="I1056" s="201"/>
      <c r="R1056" t="str">
        <f t="shared" si="4"/>
        <v/>
      </c>
      <c r="S1056" s="201" t="str">
        <f t="shared" si="2"/>
        <v>#VALUE!</v>
      </c>
      <c r="T1056" t="str">
        <f t="shared" si="3"/>
        <v>#VALUE!</v>
      </c>
      <c r="U1056">
        <f t="shared" si="1"/>
        <v>0</v>
      </c>
    </row>
    <row r="1057">
      <c r="D1057" s="201"/>
      <c r="I1057" s="201"/>
      <c r="R1057" t="str">
        <f t="shared" si="4"/>
        <v/>
      </c>
      <c r="S1057" s="201" t="str">
        <f t="shared" si="2"/>
        <v>#VALUE!</v>
      </c>
      <c r="T1057" t="str">
        <f t="shared" si="3"/>
        <v>#VALUE!</v>
      </c>
      <c r="U1057">
        <f t="shared" si="1"/>
        <v>0</v>
      </c>
    </row>
    <row r="1058">
      <c r="D1058" s="201"/>
      <c r="I1058" s="201"/>
      <c r="R1058" t="str">
        <f t="shared" si="4"/>
        <v/>
      </c>
      <c r="S1058" s="201" t="str">
        <f t="shared" si="2"/>
        <v>#VALUE!</v>
      </c>
      <c r="T1058" t="str">
        <f t="shared" si="3"/>
        <v>#VALUE!</v>
      </c>
      <c r="U1058">
        <f t="shared" si="1"/>
        <v>0</v>
      </c>
    </row>
    <row r="1059">
      <c r="D1059" s="201"/>
      <c r="I1059" s="201"/>
      <c r="R1059" t="str">
        <f t="shared" si="4"/>
        <v/>
      </c>
      <c r="S1059" s="201" t="str">
        <f t="shared" si="2"/>
        <v>#VALUE!</v>
      </c>
      <c r="T1059" t="str">
        <f t="shared" si="3"/>
        <v>#VALUE!</v>
      </c>
      <c r="U1059">
        <f t="shared" si="1"/>
        <v>0</v>
      </c>
    </row>
    <row r="1060">
      <c r="D1060" s="201"/>
      <c r="I1060" s="201"/>
      <c r="R1060" t="str">
        <f t="shared" si="4"/>
        <v/>
      </c>
      <c r="S1060" s="201" t="str">
        <f t="shared" si="2"/>
        <v>#VALUE!</v>
      </c>
      <c r="T1060" t="str">
        <f t="shared" si="3"/>
        <v>#VALUE!</v>
      </c>
      <c r="U1060">
        <f t="shared" si="1"/>
        <v>0</v>
      </c>
    </row>
    <row r="1061">
      <c r="D1061" s="201"/>
      <c r="I1061" s="201"/>
      <c r="R1061" t="str">
        <f t="shared" si="4"/>
        <v/>
      </c>
      <c r="S1061" s="201" t="str">
        <f t="shared" si="2"/>
        <v>#VALUE!</v>
      </c>
      <c r="T1061" t="str">
        <f t="shared" si="3"/>
        <v>#VALUE!</v>
      </c>
      <c r="U1061">
        <f t="shared" si="1"/>
        <v>0</v>
      </c>
    </row>
    <row r="1062">
      <c r="D1062" s="201"/>
      <c r="I1062" s="201"/>
      <c r="R1062" t="str">
        <f t="shared" si="4"/>
        <v/>
      </c>
      <c r="S1062" s="201" t="str">
        <f t="shared" si="2"/>
        <v>#VALUE!</v>
      </c>
      <c r="T1062" t="str">
        <f t="shared" si="3"/>
        <v>#VALUE!</v>
      </c>
      <c r="U1062">
        <f t="shared" si="1"/>
        <v>0</v>
      </c>
    </row>
    <row r="1063">
      <c r="D1063" s="201"/>
      <c r="I1063" s="201"/>
      <c r="R1063" t="str">
        <f t="shared" si="4"/>
        <v/>
      </c>
      <c r="S1063" s="201" t="str">
        <f t="shared" si="2"/>
        <v>#VALUE!</v>
      </c>
      <c r="T1063" t="str">
        <f t="shared" si="3"/>
        <v>#VALUE!</v>
      </c>
      <c r="U1063">
        <f t="shared" si="1"/>
        <v>0</v>
      </c>
    </row>
    <row r="1064">
      <c r="D1064" s="201"/>
      <c r="I1064" s="201"/>
      <c r="R1064" t="str">
        <f t="shared" si="4"/>
        <v/>
      </c>
      <c r="S1064" s="201" t="str">
        <f t="shared" si="2"/>
        <v>#VALUE!</v>
      </c>
      <c r="T1064" t="str">
        <f t="shared" si="3"/>
        <v>#VALUE!</v>
      </c>
      <c r="U1064">
        <f t="shared" si="1"/>
        <v>0</v>
      </c>
    </row>
    <row r="1065">
      <c r="D1065" s="201"/>
      <c r="I1065" s="201"/>
      <c r="R1065" t="str">
        <f t="shared" si="4"/>
        <v/>
      </c>
      <c r="S1065" s="201" t="str">
        <f t="shared" si="2"/>
        <v>#VALUE!</v>
      </c>
      <c r="T1065" t="str">
        <f t="shared" si="3"/>
        <v>#VALUE!</v>
      </c>
      <c r="U1065">
        <f t="shared" si="1"/>
        <v>0</v>
      </c>
    </row>
    <row r="1066">
      <c r="D1066" s="201"/>
      <c r="I1066" s="201"/>
      <c r="R1066" t="str">
        <f t="shared" si="4"/>
        <v/>
      </c>
      <c r="S1066" s="201" t="str">
        <f t="shared" si="2"/>
        <v>#VALUE!</v>
      </c>
      <c r="T1066" t="str">
        <f t="shared" si="3"/>
        <v>#VALUE!</v>
      </c>
      <c r="U1066">
        <f t="shared" si="1"/>
        <v>0</v>
      </c>
    </row>
    <row r="1067">
      <c r="D1067" s="201"/>
      <c r="I1067" s="201"/>
      <c r="R1067" t="str">
        <f t="shared" si="4"/>
        <v/>
      </c>
      <c r="S1067" s="201" t="str">
        <f t="shared" si="2"/>
        <v>#VALUE!</v>
      </c>
      <c r="T1067" t="str">
        <f t="shared" si="3"/>
        <v>#VALUE!</v>
      </c>
      <c r="U1067">
        <f t="shared" si="1"/>
        <v>0</v>
      </c>
    </row>
    <row r="1068">
      <c r="D1068" s="201"/>
      <c r="I1068" s="201"/>
      <c r="R1068" t="str">
        <f t="shared" si="4"/>
        <v/>
      </c>
      <c r="S1068" s="201" t="str">
        <f t="shared" si="2"/>
        <v>#VALUE!</v>
      </c>
      <c r="T1068" t="str">
        <f t="shared" si="3"/>
        <v>#VALUE!</v>
      </c>
      <c r="U1068">
        <f t="shared" si="1"/>
        <v>0</v>
      </c>
    </row>
    <row r="1069">
      <c r="D1069" s="201"/>
      <c r="I1069" s="201"/>
      <c r="R1069" t="str">
        <f t="shared" si="4"/>
        <v/>
      </c>
      <c r="S1069" s="201" t="str">
        <f t="shared" si="2"/>
        <v>#VALUE!</v>
      </c>
      <c r="T1069" t="str">
        <f t="shared" si="3"/>
        <v>#VALUE!</v>
      </c>
      <c r="U1069">
        <f t="shared" si="1"/>
        <v>0</v>
      </c>
    </row>
    <row r="1070">
      <c r="D1070" s="201"/>
      <c r="I1070" s="201"/>
      <c r="R1070" t="str">
        <f t="shared" si="4"/>
        <v/>
      </c>
      <c r="S1070" s="201" t="str">
        <f t="shared" si="2"/>
        <v>#VALUE!</v>
      </c>
      <c r="T1070" t="str">
        <f t="shared" si="3"/>
        <v>#VALUE!</v>
      </c>
      <c r="U1070">
        <f t="shared" si="1"/>
        <v>0</v>
      </c>
    </row>
    <row r="1071">
      <c r="D1071" s="201"/>
      <c r="I1071" s="201"/>
      <c r="R1071" t="str">
        <f t="shared" si="4"/>
        <v/>
      </c>
      <c r="S1071" s="201" t="str">
        <f t="shared" si="2"/>
        <v>#VALUE!</v>
      </c>
      <c r="T1071" t="str">
        <f t="shared" si="3"/>
        <v>#VALUE!</v>
      </c>
      <c r="U1071">
        <f t="shared" si="1"/>
        <v>0</v>
      </c>
    </row>
    <row r="1072">
      <c r="D1072" s="201"/>
      <c r="I1072" s="201"/>
      <c r="R1072" t="str">
        <f t="shared" si="4"/>
        <v/>
      </c>
      <c r="S1072" s="201" t="str">
        <f t="shared" si="2"/>
        <v>#VALUE!</v>
      </c>
      <c r="T1072" t="str">
        <f t="shared" si="3"/>
        <v>#VALUE!</v>
      </c>
      <c r="U1072">
        <f t="shared" si="1"/>
        <v>0</v>
      </c>
    </row>
    <row r="1073">
      <c r="D1073" s="201"/>
      <c r="I1073" s="201"/>
      <c r="R1073" t="str">
        <f t="shared" si="4"/>
        <v/>
      </c>
      <c r="S1073" s="201" t="str">
        <f t="shared" si="2"/>
        <v>#VALUE!</v>
      </c>
      <c r="T1073" t="str">
        <f t="shared" si="3"/>
        <v>#VALUE!</v>
      </c>
      <c r="U1073">
        <f t="shared" si="1"/>
        <v>0</v>
      </c>
    </row>
    <row r="1074">
      <c r="D1074" s="201"/>
      <c r="I1074" s="201"/>
      <c r="R1074" t="str">
        <f t="shared" si="4"/>
        <v/>
      </c>
      <c r="S1074" s="201" t="str">
        <f t="shared" si="2"/>
        <v>#VALUE!</v>
      </c>
      <c r="T1074" t="str">
        <f t="shared" si="3"/>
        <v>#VALUE!</v>
      </c>
      <c r="U1074">
        <f t="shared" si="1"/>
        <v>0</v>
      </c>
    </row>
    <row r="1075">
      <c r="D1075" s="201"/>
      <c r="I1075" s="201"/>
      <c r="R1075" t="str">
        <f t="shared" si="4"/>
        <v/>
      </c>
      <c r="S1075" s="201" t="str">
        <f t="shared" si="2"/>
        <v>#VALUE!</v>
      </c>
      <c r="T1075" t="str">
        <f t="shared" si="3"/>
        <v>#VALUE!</v>
      </c>
      <c r="U1075">
        <f t="shared" si="1"/>
        <v>0</v>
      </c>
    </row>
    <row r="1076">
      <c r="D1076" s="201"/>
      <c r="I1076" s="201"/>
      <c r="R1076" t="str">
        <f t="shared" si="4"/>
        <v/>
      </c>
      <c r="S1076" s="201" t="str">
        <f t="shared" si="2"/>
        <v>#VALUE!</v>
      </c>
      <c r="T1076" t="str">
        <f t="shared" si="3"/>
        <v>#VALUE!</v>
      </c>
      <c r="U1076">
        <f t="shared" si="1"/>
        <v>0</v>
      </c>
    </row>
    <row r="1077">
      <c r="D1077" s="201"/>
      <c r="I1077" s="201"/>
      <c r="R1077" t="str">
        <f t="shared" si="4"/>
        <v/>
      </c>
      <c r="S1077" s="201" t="str">
        <f t="shared" si="2"/>
        <v>#VALUE!</v>
      </c>
      <c r="T1077" t="str">
        <f t="shared" si="3"/>
        <v>#VALUE!</v>
      </c>
      <c r="U1077">
        <f t="shared" si="1"/>
        <v>0</v>
      </c>
    </row>
    <row r="1078">
      <c r="D1078" s="201"/>
      <c r="I1078" s="201"/>
      <c r="R1078" t="str">
        <f t="shared" si="4"/>
        <v/>
      </c>
      <c r="S1078" s="201" t="str">
        <f t="shared" si="2"/>
        <v>#VALUE!</v>
      </c>
      <c r="T1078" t="str">
        <f t="shared" si="3"/>
        <v>#VALUE!</v>
      </c>
      <c r="U1078">
        <f t="shared" si="1"/>
        <v>0</v>
      </c>
    </row>
    <row r="1079">
      <c r="D1079" s="201"/>
      <c r="I1079" s="201"/>
      <c r="R1079" t="str">
        <f t="shared" si="4"/>
        <v/>
      </c>
      <c r="S1079" s="201" t="str">
        <f t="shared" si="2"/>
        <v>#VALUE!</v>
      </c>
      <c r="T1079" t="str">
        <f t="shared" si="3"/>
        <v>#VALUE!</v>
      </c>
      <c r="U1079">
        <f t="shared" si="1"/>
        <v>0</v>
      </c>
    </row>
    <row r="1080">
      <c r="D1080" s="201"/>
      <c r="I1080" s="201"/>
      <c r="R1080" t="str">
        <f t="shared" si="4"/>
        <v/>
      </c>
      <c r="S1080" s="201" t="str">
        <f t="shared" si="2"/>
        <v>#VALUE!</v>
      </c>
      <c r="T1080" t="str">
        <f t="shared" si="3"/>
        <v>#VALUE!</v>
      </c>
      <c r="U1080">
        <f t="shared" si="1"/>
        <v>0</v>
      </c>
    </row>
    <row r="1081">
      <c r="D1081" s="201"/>
      <c r="I1081" s="201"/>
      <c r="R1081" t="str">
        <f t="shared" si="4"/>
        <v/>
      </c>
      <c r="S1081" s="201" t="str">
        <f t="shared" si="2"/>
        <v>#VALUE!</v>
      </c>
      <c r="T1081" t="str">
        <f t="shared" si="3"/>
        <v>#VALUE!</v>
      </c>
      <c r="U1081">
        <f t="shared" si="1"/>
        <v>0</v>
      </c>
    </row>
    <row r="1082">
      <c r="D1082" s="201"/>
      <c r="I1082" s="201"/>
      <c r="R1082" t="str">
        <f t="shared" si="4"/>
        <v/>
      </c>
      <c r="S1082" s="201" t="str">
        <f t="shared" si="2"/>
        <v>#VALUE!</v>
      </c>
      <c r="T1082" t="str">
        <f t="shared" si="3"/>
        <v>#VALUE!</v>
      </c>
      <c r="U1082">
        <f t="shared" si="1"/>
        <v>0</v>
      </c>
    </row>
    <row r="1083">
      <c r="D1083" s="201"/>
      <c r="I1083" s="201"/>
      <c r="R1083" t="str">
        <f t="shared" si="4"/>
        <v/>
      </c>
      <c r="S1083" s="201" t="str">
        <f t="shared" si="2"/>
        <v>#VALUE!</v>
      </c>
      <c r="T1083" t="str">
        <f t="shared" si="3"/>
        <v>#VALUE!</v>
      </c>
      <c r="U1083">
        <f t="shared" si="1"/>
        <v>0</v>
      </c>
    </row>
    <row r="1084">
      <c r="D1084" s="201"/>
      <c r="I1084" s="201"/>
      <c r="R1084" t="str">
        <f t="shared" si="4"/>
        <v/>
      </c>
      <c r="S1084" s="201" t="str">
        <f t="shared" si="2"/>
        <v>#VALUE!</v>
      </c>
      <c r="T1084" t="str">
        <f t="shared" si="3"/>
        <v>#VALUE!</v>
      </c>
      <c r="U1084">
        <f t="shared" si="1"/>
        <v>0</v>
      </c>
    </row>
    <row r="1085">
      <c r="D1085" s="201"/>
      <c r="I1085" s="201"/>
      <c r="R1085" t="str">
        <f t="shared" si="4"/>
        <v/>
      </c>
      <c r="S1085" s="201" t="str">
        <f t="shared" si="2"/>
        <v>#VALUE!</v>
      </c>
      <c r="T1085" t="str">
        <f t="shared" si="3"/>
        <v>#VALUE!</v>
      </c>
      <c r="U1085">
        <f t="shared" si="1"/>
        <v>0</v>
      </c>
    </row>
    <row r="1086">
      <c r="D1086" s="201"/>
      <c r="I1086" s="201"/>
      <c r="R1086" t="str">
        <f t="shared" si="4"/>
        <v/>
      </c>
      <c r="S1086" s="201" t="str">
        <f t="shared" si="2"/>
        <v>#VALUE!</v>
      </c>
      <c r="T1086" t="str">
        <f t="shared" si="3"/>
        <v>#VALUE!</v>
      </c>
      <c r="U1086">
        <f t="shared" si="1"/>
        <v>0</v>
      </c>
    </row>
    <row r="1087">
      <c r="D1087" s="201"/>
      <c r="I1087" s="201"/>
      <c r="R1087" t="str">
        <f t="shared" si="4"/>
        <v/>
      </c>
      <c r="S1087" s="201" t="str">
        <f t="shared" si="2"/>
        <v>#VALUE!</v>
      </c>
      <c r="T1087" t="str">
        <f t="shared" si="3"/>
        <v>#VALUE!</v>
      </c>
      <c r="U1087">
        <f t="shared" si="1"/>
        <v>0</v>
      </c>
    </row>
    <row r="1088">
      <c r="D1088" s="201"/>
      <c r="I1088" s="201"/>
      <c r="R1088" t="str">
        <f t="shared" si="4"/>
        <v/>
      </c>
      <c r="S1088" s="201" t="str">
        <f t="shared" si="2"/>
        <v>#VALUE!</v>
      </c>
      <c r="T1088" t="str">
        <f t="shared" si="3"/>
        <v>#VALUE!</v>
      </c>
      <c r="U1088">
        <f t="shared" si="1"/>
        <v>0</v>
      </c>
    </row>
    <row r="1089">
      <c r="D1089" s="201"/>
      <c r="I1089" s="201"/>
      <c r="R1089" t="str">
        <f t="shared" si="4"/>
        <v/>
      </c>
      <c r="S1089" s="201" t="str">
        <f t="shared" si="2"/>
        <v>#VALUE!</v>
      </c>
      <c r="T1089" t="str">
        <f t="shared" si="3"/>
        <v>#VALUE!</v>
      </c>
      <c r="U1089">
        <f t="shared" si="1"/>
        <v>0</v>
      </c>
    </row>
    <row r="1090">
      <c r="D1090" s="201"/>
      <c r="I1090" s="201"/>
      <c r="R1090" t="str">
        <f t="shared" si="4"/>
        <v/>
      </c>
      <c r="S1090" s="201" t="str">
        <f t="shared" si="2"/>
        <v>#VALUE!</v>
      </c>
      <c r="T1090" t="str">
        <f t="shared" si="3"/>
        <v>#VALUE!</v>
      </c>
      <c r="U1090">
        <f t="shared" si="1"/>
        <v>0</v>
      </c>
    </row>
    <row r="1091">
      <c r="D1091" s="201"/>
      <c r="I1091" s="201"/>
      <c r="R1091" t="str">
        <f t="shared" si="4"/>
        <v/>
      </c>
      <c r="S1091" s="201" t="str">
        <f t="shared" si="2"/>
        <v>#VALUE!</v>
      </c>
      <c r="T1091" t="str">
        <f t="shared" si="3"/>
        <v>#VALUE!</v>
      </c>
      <c r="U1091">
        <f t="shared" si="1"/>
        <v>0</v>
      </c>
    </row>
    <row r="1092">
      <c r="D1092" s="201"/>
      <c r="I1092" s="201"/>
      <c r="R1092" t="str">
        <f t="shared" si="4"/>
        <v/>
      </c>
      <c r="S1092" s="201" t="str">
        <f t="shared" si="2"/>
        <v>#VALUE!</v>
      </c>
      <c r="T1092" t="str">
        <f t="shared" si="3"/>
        <v>#VALUE!</v>
      </c>
      <c r="U1092">
        <f t="shared" si="1"/>
        <v>0</v>
      </c>
    </row>
    <row r="1093">
      <c r="D1093" s="201"/>
      <c r="I1093" s="201"/>
      <c r="R1093" t="str">
        <f t="shared" si="4"/>
        <v/>
      </c>
      <c r="S1093" s="201" t="str">
        <f t="shared" si="2"/>
        <v>#VALUE!</v>
      </c>
      <c r="T1093" t="str">
        <f t="shared" si="3"/>
        <v>#VALUE!</v>
      </c>
      <c r="U1093">
        <f t="shared" si="1"/>
        <v>0</v>
      </c>
    </row>
    <row r="1094">
      <c r="D1094" s="201"/>
      <c r="I1094" s="201"/>
      <c r="R1094" t="str">
        <f t="shared" si="4"/>
        <v/>
      </c>
      <c r="S1094" s="201" t="str">
        <f t="shared" si="2"/>
        <v>#VALUE!</v>
      </c>
      <c r="T1094" t="str">
        <f t="shared" si="3"/>
        <v>#VALUE!</v>
      </c>
      <c r="U1094">
        <f t="shared" si="1"/>
        <v>0</v>
      </c>
    </row>
    <row r="1095">
      <c r="D1095" s="201"/>
      <c r="I1095" s="201"/>
      <c r="R1095" t="str">
        <f t="shared" si="4"/>
        <v/>
      </c>
      <c r="S1095" s="201" t="str">
        <f t="shared" si="2"/>
        <v>#VALUE!</v>
      </c>
      <c r="T1095" t="str">
        <f t="shared" si="3"/>
        <v>#VALUE!</v>
      </c>
      <c r="U1095">
        <f t="shared" si="1"/>
        <v>0</v>
      </c>
    </row>
    <row r="1096">
      <c r="D1096" s="201"/>
      <c r="I1096" s="201"/>
      <c r="R1096" t="str">
        <f t="shared" si="4"/>
        <v/>
      </c>
      <c r="S1096" s="201" t="str">
        <f t="shared" si="2"/>
        <v>#VALUE!</v>
      </c>
      <c r="T1096" t="str">
        <f t="shared" si="3"/>
        <v>#VALUE!</v>
      </c>
      <c r="U1096">
        <f t="shared" si="1"/>
        <v>0</v>
      </c>
    </row>
    <row r="1097">
      <c r="D1097" s="201"/>
      <c r="I1097" s="201"/>
      <c r="R1097" t="str">
        <f t="shared" si="4"/>
        <v/>
      </c>
      <c r="S1097" s="201" t="str">
        <f t="shared" si="2"/>
        <v>#VALUE!</v>
      </c>
      <c r="T1097" t="str">
        <f t="shared" si="3"/>
        <v>#VALUE!</v>
      </c>
      <c r="U1097">
        <f t="shared" si="1"/>
        <v>0</v>
      </c>
    </row>
    <row r="1098">
      <c r="D1098" s="201"/>
      <c r="I1098" s="201"/>
      <c r="R1098" t="str">
        <f t="shared" si="4"/>
        <v/>
      </c>
      <c r="S1098" s="201" t="str">
        <f t="shared" si="2"/>
        <v>#VALUE!</v>
      </c>
      <c r="T1098" t="str">
        <f t="shared" si="3"/>
        <v>#VALUE!</v>
      </c>
      <c r="U1098">
        <f t="shared" si="1"/>
        <v>0</v>
      </c>
    </row>
    <row r="1099">
      <c r="D1099" s="201"/>
      <c r="I1099" s="201"/>
      <c r="R1099" t="str">
        <f t="shared" si="4"/>
        <v/>
      </c>
      <c r="S1099" s="201" t="str">
        <f t="shared" si="2"/>
        <v>#VALUE!</v>
      </c>
      <c r="T1099" t="str">
        <f t="shared" si="3"/>
        <v>#VALUE!</v>
      </c>
      <c r="U1099">
        <f t="shared" si="1"/>
        <v>0</v>
      </c>
    </row>
    <row r="1100">
      <c r="D1100" s="201"/>
      <c r="I1100" s="201"/>
      <c r="R1100" t="str">
        <f t="shared" si="4"/>
        <v/>
      </c>
      <c r="S1100" s="201" t="str">
        <f t="shared" si="2"/>
        <v>#VALUE!</v>
      </c>
      <c r="T1100" t="str">
        <f t="shared" si="3"/>
        <v>#VALUE!</v>
      </c>
      <c r="U1100">
        <f t="shared" si="1"/>
        <v>0</v>
      </c>
    </row>
    <row r="1101">
      <c r="D1101" s="201"/>
      <c r="I1101" s="201"/>
      <c r="R1101" t="str">
        <f t="shared" si="4"/>
        <v/>
      </c>
      <c r="S1101" s="201" t="str">
        <f t="shared" si="2"/>
        <v>#VALUE!</v>
      </c>
      <c r="T1101" t="str">
        <f t="shared" si="3"/>
        <v>#VALUE!</v>
      </c>
      <c r="U1101">
        <f t="shared" si="1"/>
        <v>0</v>
      </c>
    </row>
    <row r="1102">
      <c r="D1102" s="201"/>
      <c r="I1102" s="201"/>
      <c r="R1102" t="str">
        <f t="shared" si="4"/>
        <v/>
      </c>
      <c r="S1102" s="201" t="str">
        <f t="shared" si="2"/>
        <v>#VALUE!</v>
      </c>
      <c r="T1102" t="str">
        <f t="shared" si="3"/>
        <v>#VALUE!</v>
      </c>
      <c r="U1102">
        <f t="shared" si="1"/>
        <v>0</v>
      </c>
    </row>
    <row r="1103">
      <c r="D1103" s="201"/>
      <c r="I1103" s="201"/>
      <c r="R1103" t="str">
        <f t="shared" si="4"/>
        <v/>
      </c>
      <c r="S1103" s="201" t="str">
        <f t="shared" si="2"/>
        <v>#VALUE!</v>
      </c>
      <c r="T1103" t="str">
        <f t="shared" si="3"/>
        <v>#VALUE!</v>
      </c>
      <c r="U1103">
        <f t="shared" si="1"/>
        <v>0</v>
      </c>
    </row>
    <row r="1104">
      <c r="D1104" s="201"/>
      <c r="I1104" s="201"/>
      <c r="R1104" t="str">
        <f t="shared" si="4"/>
        <v/>
      </c>
      <c r="S1104" s="201" t="str">
        <f t="shared" si="2"/>
        <v>#VALUE!</v>
      </c>
      <c r="T1104" t="str">
        <f t="shared" si="3"/>
        <v>#VALUE!</v>
      </c>
      <c r="U1104">
        <f t="shared" si="1"/>
        <v>0</v>
      </c>
    </row>
    <row r="1105">
      <c r="D1105" s="201"/>
      <c r="I1105" s="201"/>
      <c r="R1105" t="str">
        <f t="shared" si="4"/>
        <v/>
      </c>
      <c r="S1105" s="201" t="str">
        <f t="shared" si="2"/>
        <v>#VALUE!</v>
      </c>
      <c r="T1105" t="str">
        <f t="shared" si="3"/>
        <v>#VALUE!</v>
      </c>
      <c r="U1105">
        <f t="shared" si="1"/>
        <v>0</v>
      </c>
    </row>
    <row r="1106">
      <c r="D1106" s="201"/>
      <c r="I1106" s="201"/>
      <c r="R1106" t="str">
        <f t="shared" si="4"/>
        <v/>
      </c>
      <c r="S1106" s="201" t="str">
        <f t="shared" si="2"/>
        <v>#VALUE!</v>
      </c>
      <c r="T1106" t="str">
        <f t="shared" si="3"/>
        <v>#VALUE!</v>
      </c>
      <c r="U1106">
        <f t="shared" si="1"/>
        <v>0</v>
      </c>
    </row>
    <row r="1107">
      <c r="D1107" s="201"/>
      <c r="I1107" s="201"/>
      <c r="R1107" t="str">
        <f t="shared" si="4"/>
        <v/>
      </c>
      <c r="S1107" s="201" t="str">
        <f t="shared" si="2"/>
        <v>#VALUE!</v>
      </c>
      <c r="T1107" t="str">
        <f t="shared" si="3"/>
        <v>#VALUE!</v>
      </c>
      <c r="U1107">
        <f t="shared" si="1"/>
        <v>0</v>
      </c>
    </row>
    <row r="1108">
      <c r="D1108" s="201"/>
      <c r="I1108" s="201"/>
      <c r="R1108" t="str">
        <f t="shared" si="4"/>
        <v/>
      </c>
      <c r="S1108" s="201" t="str">
        <f t="shared" si="2"/>
        <v>#VALUE!</v>
      </c>
      <c r="T1108" t="str">
        <f t="shared" si="3"/>
        <v>#VALUE!</v>
      </c>
      <c r="U1108">
        <f t="shared" si="1"/>
        <v>0</v>
      </c>
    </row>
    <row r="1109">
      <c r="D1109" s="201"/>
      <c r="I1109" s="201"/>
      <c r="R1109" t="str">
        <f t="shared" si="4"/>
        <v/>
      </c>
      <c r="S1109" s="201" t="str">
        <f t="shared" si="2"/>
        <v>#VALUE!</v>
      </c>
      <c r="T1109" t="str">
        <f t="shared" si="3"/>
        <v>#VALUE!</v>
      </c>
      <c r="U1109">
        <f t="shared" si="1"/>
        <v>0</v>
      </c>
    </row>
    <row r="1110">
      <c r="D1110" s="201"/>
      <c r="I1110" s="201"/>
      <c r="R1110" t="str">
        <f t="shared" si="4"/>
        <v/>
      </c>
      <c r="S1110" s="201" t="str">
        <f t="shared" si="2"/>
        <v>#VALUE!</v>
      </c>
      <c r="T1110" t="str">
        <f t="shared" si="3"/>
        <v>#VALUE!</v>
      </c>
      <c r="U1110">
        <f t="shared" si="1"/>
        <v>0</v>
      </c>
    </row>
    <row r="1111">
      <c r="D1111" s="201"/>
      <c r="I1111" s="201"/>
      <c r="R1111" t="str">
        <f t="shared" si="4"/>
        <v/>
      </c>
      <c r="S1111" s="201" t="str">
        <f t="shared" si="2"/>
        <v>#VALUE!</v>
      </c>
      <c r="T1111" t="str">
        <f t="shared" si="3"/>
        <v>#VALUE!</v>
      </c>
      <c r="U1111">
        <f t="shared" si="1"/>
        <v>0</v>
      </c>
    </row>
    <row r="1112">
      <c r="D1112" s="201"/>
      <c r="I1112" s="201"/>
      <c r="R1112" t="str">
        <f t="shared" si="4"/>
        <v/>
      </c>
      <c r="S1112" s="201" t="str">
        <f t="shared" si="2"/>
        <v>#VALUE!</v>
      </c>
      <c r="T1112" t="str">
        <f t="shared" si="3"/>
        <v>#VALUE!</v>
      </c>
      <c r="U1112">
        <f t="shared" si="1"/>
        <v>0</v>
      </c>
    </row>
    <row r="1113">
      <c r="D1113" s="201"/>
      <c r="I1113" s="201"/>
      <c r="R1113" t="str">
        <f t="shared" si="4"/>
        <v/>
      </c>
      <c r="S1113" s="201" t="str">
        <f t="shared" si="2"/>
        <v>#VALUE!</v>
      </c>
      <c r="T1113" t="str">
        <f t="shared" si="3"/>
        <v>#VALUE!</v>
      </c>
      <c r="U1113">
        <f t="shared" si="1"/>
        <v>0</v>
      </c>
    </row>
    <row r="1114">
      <c r="D1114" s="201"/>
      <c r="I1114" s="201"/>
      <c r="R1114" t="str">
        <f t="shared" si="4"/>
        <v/>
      </c>
      <c r="S1114" s="201" t="str">
        <f t="shared" si="2"/>
        <v>#VALUE!</v>
      </c>
      <c r="T1114" t="str">
        <f t="shared" si="3"/>
        <v>#VALUE!</v>
      </c>
      <c r="U1114">
        <f t="shared" si="1"/>
        <v>0</v>
      </c>
    </row>
    <row r="1115">
      <c r="D1115" s="201"/>
      <c r="I1115" s="201"/>
      <c r="R1115" t="str">
        <f t="shared" si="4"/>
        <v/>
      </c>
      <c r="S1115" s="201" t="str">
        <f t="shared" si="2"/>
        <v>#VALUE!</v>
      </c>
      <c r="T1115" t="str">
        <f t="shared" si="3"/>
        <v>#VALUE!</v>
      </c>
      <c r="U1115">
        <f t="shared" si="1"/>
        <v>0</v>
      </c>
    </row>
    <row r="1116">
      <c r="D1116" s="201"/>
      <c r="I1116" s="201"/>
      <c r="R1116" t="str">
        <f t="shared" si="4"/>
        <v/>
      </c>
      <c r="S1116" s="201" t="str">
        <f t="shared" si="2"/>
        <v>#VALUE!</v>
      </c>
      <c r="T1116" t="str">
        <f t="shared" si="3"/>
        <v>#VALUE!</v>
      </c>
      <c r="U1116">
        <f t="shared" si="1"/>
        <v>0</v>
      </c>
    </row>
    <row r="1117">
      <c r="D1117" s="201"/>
      <c r="I1117" s="201"/>
      <c r="R1117" t="str">
        <f t="shared" si="4"/>
        <v/>
      </c>
      <c r="S1117" s="201" t="str">
        <f t="shared" si="2"/>
        <v>#VALUE!</v>
      </c>
      <c r="T1117" t="str">
        <f t="shared" si="3"/>
        <v>#VALUE!</v>
      </c>
      <c r="U1117">
        <f t="shared" si="1"/>
        <v>0</v>
      </c>
    </row>
    <row r="1118">
      <c r="D1118" s="201"/>
      <c r="I1118" s="201"/>
      <c r="R1118" t="str">
        <f t="shared" si="4"/>
        <v/>
      </c>
      <c r="S1118" s="201" t="str">
        <f t="shared" si="2"/>
        <v>#VALUE!</v>
      </c>
      <c r="T1118" t="str">
        <f t="shared" si="3"/>
        <v>#VALUE!</v>
      </c>
      <c r="U1118">
        <f t="shared" si="1"/>
        <v>0</v>
      </c>
    </row>
    <row r="1119">
      <c r="D1119" s="201"/>
      <c r="I1119" s="201"/>
      <c r="R1119" t="str">
        <f t="shared" si="4"/>
        <v/>
      </c>
      <c r="S1119" s="201" t="str">
        <f t="shared" si="2"/>
        <v>#VALUE!</v>
      </c>
      <c r="T1119" t="str">
        <f t="shared" si="3"/>
        <v>#VALUE!</v>
      </c>
      <c r="U1119">
        <f t="shared" si="1"/>
        <v>0</v>
      </c>
    </row>
    <row r="1120">
      <c r="D1120" s="201"/>
      <c r="I1120" s="201"/>
      <c r="R1120" t="str">
        <f t="shared" si="4"/>
        <v/>
      </c>
      <c r="S1120" s="201" t="str">
        <f t="shared" si="2"/>
        <v>#VALUE!</v>
      </c>
      <c r="T1120" t="str">
        <f t="shared" si="3"/>
        <v>#VALUE!</v>
      </c>
      <c r="U1120">
        <f t="shared" si="1"/>
        <v>0</v>
      </c>
    </row>
    <row r="1121">
      <c r="D1121" s="201"/>
      <c r="I1121" s="201"/>
      <c r="R1121" t="str">
        <f t="shared" si="4"/>
        <v/>
      </c>
      <c r="S1121" s="201" t="str">
        <f t="shared" si="2"/>
        <v>#VALUE!</v>
      </c>
      <c r="T1121" t="str">
        <f t="shared" si="3"/>
        <v>#VALUE!</v>
      </c>
      <c r="U1121">
        <f t="shared" si="1"/>
        <v>0</v>
      </c>
    </row>
    <row r="1122">
      <c r="D1122" s="201"/>
      <c r="I1122" s="201"/>
      <c r="R1122" t="str">
        <f t="shared" si="4"/>
        <v/>
      </c>
      <c r="S1122" s="201" t="str">
        <f t="shared" si="2"/>
        <v>#VALUE!</v>
      </c>
      <c r="T1122" t="str">
        <f t="shared" si="3"/>
        <v>#VALUE!</v>
      </c>
      <c r="U1122">
        <f t="shared" si="1"/>
        <v>0</v>
      </c>
    </row>
    <row r="1123">
      <c r="D1123" s="201"/>
      <c r="I1123" s="201"/>
      <c r="R1123" t="str">
        <f t="shared" si="4"/>
        <v/>
      </c>
      <c r="S1123" s="201" t="str">
        <f t="shared" si="2"/>
        <v>#VALUE!</v>
      </c>
      <c r="T1123" t="str">
        <f t="shared" si="3"/>
        <v>#VALUE!</v>
      </c>
      <c r="U1123">
        <f t="shared" si="1"/>
        <v>0</v>
      </c>
    </row>
    <row r="1124">
      <c r="D1124" s="201"/>
      <c r="I1124" s="201"/>
      <c r="R1124" t="str">
        <f t="shared" si="4"/>
        <v/>
      </c>
      <c r="S1124" s="201" t="str">
        <f t="shared" si="2"/>
        <v>#VALUE!</v>
      </c>
      <c r="T1124" t="str">
        <f t="shared" si="3"/>
        <v>#VALUE!</v>
      </c>
      <c r="U1124">
        <f t="shared" si="1"/>
        <v>0</v>
      </c>
    </row>
    <row r="1125">
      <c r="D1125" s="201"/>
      <c r="I1125" s="201"/>
      <c r="R1125" t="str">
        <f t="shared" si="4"/>
        <v/>
      </c>
      <c r="S1125" s="201" t="str">
        <f t="shared" si="2"/>
        <v>#VALUE!</v>
      </c>
      <c r="T1125" t="str">
        <f t="shared" si="3"/>
        <v>#VALUE!</v>
      </c>
      <c r="U1125">
        <f t="shared" si="1"/>
        <v>0</v>
      </c>
    </row>
    <row r="1126">
      <c r="D1126" s="201"/>
      <c r="I1126" s="201"/>
      <c r="R1126" t="str">
        <f t="shared" si="4"/>
        <v/>
      </c>
      <c r="S1126" s="201" t="str">
        <f t="shared" si="2"/>
        <v>#VALUE!</v>
      </c>
      <c r="T1126" t="str">
        <f t="shared" si="3"/>
        <v>#VALUE!</v>
      </c>
      <c r="U1126">
        <f t="shared" si="1"/>
        <v>0</v>
      </c>
    </row>
    <row r="1127">
      <c r="D1127" s="201"/>
      <c r="I1127" s="201"/>
      <c r="R1127" t="str">
        <f t="shared" si="4"/>
        <v/>
      </c>
      <c r="S1127" s="201" t="str">
        <f t="shared" si="2"/>
        <v>#VALUE!</v>
      </c>
      <c r="T1127" t="str">
        <f t="shared" si="3"/>
        <v>#VALUE!</v>
      </c>
      <c r="U1127">
        <f t="shared" si="1"/>
        <v>0</v>
      </c>
    </row>
    <row r="1128">
      <c r="D1128" s="201"/>
      <c r="I1128" s="201"/>
      <c r="R1128" t="str">
        <f t="shared" si="4"/>
        <v/>
      </c>
      <c r="S1128" s="201" t="str">
        <f t="shared" si="2"/>
        <v>#VALUE!</v>
      </c>
      <c r="T1128" t="str">
        <f t="shared" si="3"/>
        <v>#VALUE!</v>
      </c>
      <c r="U1128">
        <f t="shared" si="1"/>
        <v>0</v>
      </c>
    </row>
    <row r="1129">
      <c r="D1129" s="201"/>
      <c r="I1129" s="201"/>
      <c r="R1129" t="str">
        <f t="shared" si="4"/>
        <v/>
      </c>
      <c r="S1129" s="201" t="str">
        <f t="shared" si="2"/>
        <v>#VALUE!</v>
      </c>
      <c r="T1129" t="str">
        <f t="shared" si="3"/>
        <v>#VALUE!</v>
      </c>
      <c r="U1129">
        <f t="shared" si="1"/>
        <v>0</v>
      </c>
    </row>
    <row r="1130">
      <c r="D1130" s="201"/>
      <c r="I1130" s="201"/>
      <c r="R1130" t="str">
        <f t="shared" si="4"/>
        <v/>
      </c>
      <c r="S1130" s="201" t="str">
        <f t="shared" si="2"/>
        <v>#VALUE!</v>
      </c>
      <c r="T1130" t="str">
        <f t="shared" si="3"/>
        <v>#VALUE!</v>
      </c>
      <c r="U1130">
        <f t="shared" si="1"/>
        <v>0</v>
      </c>
    </row>
    <row r="1131">
      <c r="D1131" s="201"/>
      <c r="I1131" s="201"/>
      <c r="R1131" t="str">
        <f t="shared" si="4"/>
        <v/>
      </c>
      <c r="S1131" s="201" t="str">
        <f t="shared" si="2"/>
        <v>#VALUE!</v>
      </c>
      <c r="T1131" t="str">
        <f t="shared" si="3"/>
        <v>#VALUE!</v>
      </c>
      <c r="U1131">
        <f t="shared" si="1"/>
        <v>0</v>
      </c>
    </row>
    <row r="1132">
      <c r="D1132" s="201"/>
      <c r="I1132" s="201"/>
      <c r="R1132" t="str">
        <f t="shared" si="4"/>
        <v/>
      </c>
      <c r="S1132" s="201" t="str">
        <f t="shared" si="2"/>
        <v>#VALUE!</v>
      </c>
      <c r="T1132" t="str">
        <f t="shared" si="3"/>
        <v>#VALUE!</v>
      </c>
      <c r="U1132">
        <f t="shared" si="1"/>
        <v>0</v>
      </c>
    </row>
    <row r="1133">
      <c r="D1133" s="201"/>
      <c r="I1133" s="201"/>
      <c r="R1133" t="str">
        <f t="shared" si="4"/>
        <v/>
      </c>
      <c r="S1133" s="201" t="str">
        <f t="shared" si="2"/>
        <v>#VALUE!</v>
      </c>
      <c r="T1133" t="str">
        <f t="shared" si="3"/>
        <v>#VALUE!</v>
      </c>
      <c r="U1133">
        <f t="shared" si="1"/>
        <v>0</v>
      </c>
    </row>
    <row r="1134">
      <c r="D1134" s="201"/>
      <c r="I1134" s="201"/>
      <c r="R1134" t="str">
        <f t="shared" si="4"/>
        <v/>
      </c>
      <c r="S1134" s="201" t="str">
        <f t="shared" si="2"/>
        <v>#VALUE!</v>
      </c>
      <c r="T1134" t="str">
        <f t="shared" si="3"/>
        <v>#VALUE!</v>
      </c>
      <c r="U1134">
        <f t="shared" si="1"/>
        <v>0</v>
      </c>
    </row>
    <row r="1135">
      <c r="D1135" s="201"/>
      <c r="I1135" s="201"/>
      <c r="R1135" t="str">
        <f t="shared" si="4"/>
        <v/>
      </c>
      <c r="S1135" s="201" t="str">
        <f t="shared" si="2"/>
        <v>#VALUE!</v>
      </c>
      <c r="T1135" t="str">
        <f t="shared" si="3"/>
        <v>#VALUE!</v>
      </c>
      <c r="U1135">
        <f t="shared" si="1"/>
        <v>0</v>
      </c>
    </row>
    <row r="1136">
      <c r="D1136" s="201"/>
      <c r="I1136" s="201"/>
      <c r="R1136" t="str">
        <f t="shared" si="4"/>
        <v/>
      </c>
      <c r="S1136" s="201" t="str">
        <f t="shared" si="2"/>
        <v>#VALUE!</v>
      </c>
      <c r="T1136" t="str">
        <f t="shared" si="3"/>
        <v>#VALUE!</v>
      </c>
      <c r="U1136">
        <f t="shared" si="1"/>
        <v>0</v>
      </c>
    </row>
    <row r="1137">
      <c r="D1137" s="201"/>
      <c r="I1137" s="201"/>
      <c r="R1137" t="str">
        <f t="shared" si="4"/>
        <v/>
      </c>
      <c r="S1137" s="201" t="str">
        <f t="shared" si="2"/>
        <v>#VALUE!</v>
      </c>
      <c r="T1137" t="str">
        <f t="shared" si="3"/>
        <v>#VALUE!</v>
      </c>
      <c r="U1137">
        <f t="shared" si="1"/>
        <v>0</v>
      </c>
    </row>
    <row r="1138">
      <c r="D1138" s="201"/>
      <c r="I1138" s="201"/>
      <c r="R1138" t="str">
        <f t="shared" si="4"/>
        <v/>
      </c>
      <c r="S1138" s="201" t="str">
        <f t="shared" si="2"/>
        <v>#VALUE!</v>
      </c>
      <c r="T1138" t="str">
        <f t="shared" si="3"/>
        <v>#VALUE!</v>
      </c>
      <c r="U1138">
        <f t="shared" si="1"/>
        <v>0</v>
      </c>
    </row>
    <row r="1139">
      <c r="D1139" s="201"/>
      <c r="I1139" s="201"/>
      <c r="R1139" t="str">
        <f t="shared" si="4"/>
        <v/>
      </c>
      <c r="S1139" s="201" t="str">
        <f t="shared" si="2"/>
        <v>#VALUE!</v>
      </c>
      <c r="T1139" t="str">
        <f t="shared" si="3"/>
        <v>#VALUE!</v>
      </c>
      <c r="U1139">
        <f t="shared" si="1"/>
        <v>0</v>
      </c>
    </row>
    <row r="1140">
      <c r="D1140" s="201"/>
      <c r="I1140" s="201"/>
      <c r="R1140" t="str">
        <f t="shared" si="4"/>
        <v/>
      </c>
      <c r="S1140" s="201" t="str">
        <f t="shared" si="2"/>
        <v>#VALUE!</v>
      </c>
      <c r="T1140" t="str">
        <f t="shared" si="3"/>
        <v>#VALUE!</v>
      </c>
      <c r="U1140">
        <f t="shared" si="1"/>
        <v>0</v>
      </c>
    </row>
    <row r="1141">
      <c r="D1141" s="201"/>
      <c r="I1141" s="201"/>
      <c r="R1141" t="str">
        <f t="shared" si="4"/>
        <v/>
      </c>
      <c r="S1141" s="201" t="str">
        <f t="shared" si="2"/>
        <v>#VALUE!</v>
      </c>
      <c r="T1141" t="str">
        <f t="shared" si="3"/>
        <v>#VALUE!</v>
      </c>
      <c r="U1141">
        <f t="shared" si="1"/>
        <v>0</v>
      </c>
    </row>
    <row r="1142">
      <c r="D1142" s="201"/>
      <c r="I1142" s="201"/>
      <c r="R1142" t="str">
        <f t="shared" si="4"/>
        <v/>
      </c>
      <c r="S1142" s="201" t="str">
        <f t="shared" si="2"/>
        <v>#VALUE!</v>
      </c>
      <c r="T1142" t="str">
        <f t="shared" si="3"/>
        <v>#VALUE!</v>
      </c>
      <c r="U1142">
        <f t="shared" si="1"/>
        <v>0</v>
      </c>
    </row>
    <row r="1143">
      <c r="D1143" s="201"/>
      <c r="I1143" s="201"/>
      <c r="R1143" t="str">
        <f t="shared" si="4"/>
        <v/>
      </c>
      <c r="S1143" s="201" t="str">
        <f t="shared" si="2"/>
        <v>#VALUE!</v>
      </c>
      <c r="T1143" t="str">
        <f t="shared" si="3"/>
        <v>#VALUE!</v>
      </c>
      <c r="U1143">
        <f t="shared" si="1"/>
        <v>0</v>
      </c>
    </row>
    <row r="1144">
      <c r="D1144" s="201"/>
      <c r="I1144" s="201"/>
      <c r="R1144" t="str">
        <f t="shared" si="4"/>
        <v/>
      </c>
      <c r="S1144" s="201" t="str">
        <f t="shared" si="2"/>
        <v>#VALUE!</v>
      </c>
      <c r="T1144" t="str">
        <f t="shared" si="3"/>
        <v>#VALUE!</v>
      </c>
      <c r="U1144">
        <f t="shared" si="1"/>
        <v>0</v>
      </c>
    </row>
    <row r="1145">
      <c r="D1145" s="201"/>
      <c r="I1145" s="201"/>
      <c r="R1145" t="str">
        <f t="shared" si="4"/>
        <v/>
      </c>
      <c r="S1145" s="201" t="str">
        <f t="shared" si="2"/>
        <v>#VALUE!</v>
      </c>
      <c r="T1145" t="str">
        <f t="shared" si="3"/>
        <v>#VALUE!</v>
      </c>
      <c r="U1145">
        <f t="shared" si="1"/>
        <v>0</v>
      </c>
    </row>
    <row r="1146">
      <c r="D1146" s="201"/>
      <c r="I1146" s="201"/>
      <c r="R1146" t="str">
        <f t="shared" si="4"/>
        <v/>
      </c>
      <c r="S1146" s="201" t="str">
        <f t="shared" si="2"/>
        <v>#VALUE!</v>
      </c>
      <c r="T1146" t="str">
        <f t="shared" si="3"/>
        <v>#VALUE!</v>
      </c>
      <c r="U1146">
        <f t="shared" si="1"/>
        <v>0</v>
      </c>
    </row>
    <row r="1147">
      <c r="D1147" s="201"/>
      <c r="I1147" s="201"/>
      <c r="R1147" t="str">
        <f t="shared" si="4"/>
        <v/>
      </c>
      <c r="S1147" s="201" t="str">
        <f t="shared" si="2"/>
        <v>#VALUE!</v>
      </c>
      <c r="T1147" t="str">
        <f t="shared" si="3"/>
        <v>#VALUE!</v>
      </c>
      <c r="U1147">
        <f t="shared" si="1"/>
        <v>0</v>
      </c>
    </row>
    <row r="1148">
      <c r="D1148" s="201"/>
      <c r="I1148" s="201"/>
      <c r="R1148" t="str">
        <f t="shared" si="4"/>
        <v/>
      </c>
      <c r="S1148" s="201" t="str">
        <f t="shared" si="2"/>
        <v>#VALUE!</v>
      </c>
      <c r="T1148" t="str">
        <f t="shared" si="3"/>
        <v>#VALUE!</v>
      </c>
      <c r="U1148">
        <f t="shared" si="1"/>
        <v>0</v>
      </c>
    </row>
    <row r="1149">
      <c r="D1149" s="201"/>
      <c r="I1149" s="201"/>
      <c r="R1149" t="str">
        <f t="shared" si="4"/>
        <v/>
      </c>
      <c r="S1149" s="201" t="str">
        <f t="shared" si="2"/>
        <v>#VALUE!</v>
      </c>
      <c r="T1149" t="str">
        <f t="shared" si="3"/>
        <v>#VALUE!</v>
      </c>
      <c r="U1149">
        <f t="shared" si="1"/>
        <v>0</v>
      </c>
    </row>
    <row r="1150">
      <c r="D1150" s="201"/>
      <c r="I1150" s="201"/>
      <c r="R1150" t="str">
        <f t="shared" si="4"/>
        <v/>
      </c>
      <c r="S1150" s="201" t="str">
        <f t="shared" si="2"/>
        <v>#VALUE!</v>
      </c>
      <c r="T1150" t="str">
        <f t="shared" si="3"/>
        <v>#VALUE!</v>
      </c>
      <c r="U1150">
        <f t="shared" si="1"/>
        <v>0</v>
      </c>
    </row>
    <row r="1151">
      <c r="D1151" s="201"/>
      <c r="I1151" s="201"/>
      <c r="R1151" t="str">
        <f t="shared" si="4"/>
        <v/>
      </c>
      <c r="S1151" s="201" t="str">
        <f t="shared" si="2"/>
        <v>#VALUE!</v>
      </c>
      <c r="T1151" t="str">
        <f t="shared" si="3"/>
        <v>#VALUE!</v>
      </c>
      <c r="U1151">
        <f t="shared" si="1"/>
        <v>0</v>
      </c>
    </row>
    <row r="1152">
      <c r="D1152" s="201"/>
      <c r="I1152" s="201"/>
      <c r="R1152" t="str">
        <f t="shared" si="4"/>
        <v/>
      </c>
      <c r="S1152" s="201" t="str">
        <f t="shared" si="2"/>
        <v>#VALUE!</v>
      </c>
      <c r="T1152" t="str">
        <f t="shared" si="3"/>
        <v>#VALUE!</v>
      </c>
      <c r="U1152">
        <f t="shared" si="1"/>
        <v>0</v>
      </c>
    </row>
    <row r="1153">
      <c r="D1153" s="201"/>
      <c r="I1153" s="201"/>
      <c r="R1153" t="str">
        <f t="shared" si="4"/>
        <v/>
      </c>
      <c r="S1153" s="201" t="str">
        <f t="shared" si="2"/>
        <v>#VALUE!</v>
      </c>
      <c r="T1153" t="str">
        <f t="shared" si="3"/>
        <v>#VALUE!</v>
      </c>
      <c r="U1153">
        <f t="shared" si="1"/>
        <v>0</v>
      </c>
    </row>
    <row r="1154">
      <c r="D1154" s="201"/>
      <c r="I1154" s="201"/>
      <c r="R1154" t="str">
        <f t="shared" si="4"/>
        <v/>
      </c>
      <c r="S1154" s="201" t="str">
        <f t="shared" si="2"/>
        <v>#VALUE!</v>
      </c>
      <c r="T1154" t="str">
        <f t="shared" si="3"/>
        <v>#VALUE!</v>
      </c>
      <c r="U1154">
        <f t="shared" si="1"/>
        <v>0</v>
      </c>
    </row>
    <row r="1155">
      <c r="D1155" s="201"/>
      <c r="I1155" s="201"/>
      <c r="R1155" t="str">
        <f t="shared" si="4"/>
        <v/>
      </c>
      <c r="S1155" s="201" t="str">
        <f t="shared" si="2"/>
        <v>#VALUE!</v>
      </c>
      <c r="T1155" t="str">
        <f t="shared" si="3"/>
        <v>#VALUE!</v>
      </c>
      <c r="U1155">
        <f t="shared" si="1"/>
        <v>0</v>
      </c>
    </row>
    <row r="1156">
      <c r="D1156" s="201"/>
      <c r="I1156" s="201"/>
      <c r="R1156" t="str">
        <f t="shared" si="4"/>
        <v/>
      </c>
      <c r="S1156" s="201" t="str">
        <f t="shared" si="2"/>
        <v>#VALUE!</v>
      </c>
      <c r="T1156" t="str">
        <f t="shared" si="3"/>
        <v>#VALUE!</v>
      </c>
      <c r="U1156">
        <f t="shared" si="1"/>
        <v>0</v>
      </c>
    </row>
    <row r="1157">
      <c r="D1157" s="201"/>
      <c r="I1157" s="201"/>
      <c r="R1157" t="str">
        <f t="shared" si="4"/>
        <v/>
      </c>
      <c r="S1157" s="201" t="str">
        <f t="shared" si="2"/>
        <v>#VALUE!</v>
      </c>
      <c r="T1157" t="str">
        <f t="shared" si="3"/>
        <v>#VALUE!</v>
      </c>
      <c r="U1157">
        <f t="shared" si="1"/>
        <v>0</v>
      </c>
    </row>
    <row r="1158">
      <c r="D1158" s="201"/>
      <c r="I1158" s="201"/>
      <c r="R1158" t="str">
        <f t="shared" si="4"/>
        <v/>
      </c>
      <c r="S1158" s="201" t="str">
        <f t="shared" si="2"/>
        <v>#VALUE!</v>
      </c>
      <c r="T1158" t="str">
        <f t="shared" si="3"/>
        <v>#VALUE!</v>
      </c>
      <c r="U1158">
        <f t="shared" si="1"/>
        <v>0</v>
      </c>
    </row>
    <row r="1159">
      <c r="D1159" s="201"/>
      <c r="I1159" s="201"/>
      <c r="R1159" t="str">
        <f t="shared" si="4"/>
        <v/>
      </c>
      <c r="S1159" s="201" t="str">
        <f t="shared" si="2"/>
        <v>#VALUE!</v>
      </c>
      <c r="T1159" t="str">
        <f t="shared" si="3"/>
        <v>#VALUE!</v>
      </c>
      <c r="U1159">
        <f t="shared" si="1"/>
        <v>0</v>
      </c>
    </row>
    <row r="1160">
      <c r="D1160" s="201"/>
      <c r="I1160" s="201"/>
      <c r="R1160" t="str">
        <f t="shared" si="4"/>
        <v/>
      </c>
      <c r="S1160" s="201" t="str">
        <f t="shared" si="2"/>
        <v>#VALUE!</v>
      </c>
      <c r="T1160" t="str">
        <f t="shared" si="3"/>
        <v>#VALUE!</v>
      </c>
      <c r="U1160">
        <f t="shared" si="1"/>
        <v>0</v>
      </c>
    </row>
    <row r="1161">
      <c r="D1161" s="201"/>
      <c r="I1161" s="201"/>
      <c r="R1161" t="str">
        <f t="shared" si="4"/>
        <v/>
      </c>
      <c r="S1161" s="201" t="str">
        <f t="shared" si="2"/>
        <v>#VALUE!</v>
      </c>
      <c r="T1161" t="str">
        <f t="shared" si="3"/>
        <v>#VALUE!</v>
      </c>
      <c r="U1161">
        <f t="shared" si="1"/>
        <v>0</v>
      </c>
    </row>
    <row r="1162">
      <c r="D1162" s="201"/>
      <c r="I1162" s="201"/>
      <c r="R1162" t="str">
        <f t="shared" si="4"/>
        <v/>
      </c>
      <c r="S1162" s="201" t="str">
        <f t="shared" si="2"/>
        <v>#VALUE!</v>
      </c>
      <c r="T1162" t="str">
        <f t="shared" si="3"/>
        <v>#VALUE!</v>
      </c>
      <c r="U1162">
        <f t="shared" si="1"/>
        <v>0</v>
      </c>
    </row>
    <row r="1163">
      <c r="D1163" s="201"/>
      <c r="I1163" s="201"/>
      <c r="R1163" t="str">
        <f t="shared" si="4"/>
        <v/>
      </c>
      <c r="S1163" s="201" t="str">
        <f t="shared" si="2"/>
        <v>#VALUE!</v>
      </c>
      <c r="T1163" t="str">
        <f t="shared" si="3"/>
        <v>#VALUE!</v>
      </c>
      <c r="U1163">
        <f t="shared" si="1"/>
        <v>0</v>
      </c>
    </row>
    <row r="1164">
      <c r="D1164" s="201"/>
      <c r="I1164" s="201"/>
      <c r="R1164" t="str">
        <f t="shared" si="4"/>
        <v/>
      </c>
      <c r="S1164" s="201" t="str">
        <f t="shared" si="2"/>
        <v>#VALUE!</v>
      </c>
      <c r="T1164" t="str">
        <f t="shared" si="3"/>
        <v>#VALUE!</v>
      </c>
      <c r="U1164">
        <f t="shared" si="1"/>
        <v>0</v>
      </c>
    </row>
    <row r="1165">
      <c r="D1165" s="201"/>
      <c r="I1165" s="201"/>
      <c r="R1165" t="str">
        <f t="shared" si="4"/>
        <v/>
      </c>
      <c r="S1165" s="201" t="str">
        <f t="shared" si="2"/>
        <v>#VALUE!</v>
      </c>
      <c r="T1165" t="str">
        <f t="shared" si="3"/>
        <v>#VALUE!</v>
      </c>
      <c r="U1165">
        <f t="shared" si="1"/>
        <v>0</v>
      </c>
    </row>
    <row r="1166">
      <c r="D1166" s="201"/>
      <c r="I1166" s="201"/>
      <c r="R1166" t="str">
        <f t="shared" si="4"/>
        <v/>
      </c>
      <c r="S1166" s="201" t="str">
        <f t="shared" si="2"/>
        <v>#VALUE!</v>
      </c>
      <c r="T1166" t="str">
        <f t="shared" si="3"/>
        <v>#VALUE!</v>
      </c>
      <c r="U1166">
        <f t="shared" si="1"/>
        <v>0</v>
      </c>
    </row>
    <row r="1167">
      <c r="D1167" s="201"/>
      <c r="I1167" s="201"/>
      <c r="R1167" t="str">
        <f t="shared" si="4"/>
        <v/>
      </c>
      <c r="S1167" s="201" t="str">
        <f t="shared" si="2"/>
        <v>#VALUE!</v>
      </c>
      <c r="T1167" t="str">
        <f t="shared" si="3"/>
        <v>#VALUE!</v>
      </c>
      <c r="U1167">
        <f t="shared" si="1"/>
        <v>0</v>
      </c>
    </row>
    <row r="1168">
      <c r="D1168" s="201"/>
      <c r="I1168" s="201"/>
      <c r="R1168" t="str">
        <f t="shared" si="4"/>
        <v/>
      </c>
      <c r="S1168" s="201" t="str">
        <f t="shared" si="2"/>
        <v>#VALUE!</v>
      </c>
      <c r="T1168" t="str">
        <f t="shared" si="3"/>
        <v>#VALUE!</v>
      </c>
      <c r="U1168">
        <f t="shared" si="1"/>
        <v>0</v>
      </c>
    </row>
    <row r="1169">
      <c r="D1169" s="201"/>
      <c r="I1169" s="201"/>
      <c r="R1169" t="str">
        <f t="shared" si="4"/>
        <v/>
      </c>
      <c r="S1169" s="201" t="str">
        <f t="shared" si="2"/>
        <v>#VALUE!</v>
      </c>
      <c r="T1169" t="str">
        <f t="shared" si="3"/>
        <v>#VALUE!</v>
      </c>
      <c r="U1169">
        <f t="shared" si="1"/>
        <v>0</v>
      </c>
    </row>
    <row r="1170">
      <c r="D1170" s="201"/>
      <c r="I1170" s="201"/>
      <c r="R1170" t="str">
        <f t="shared" si="4"/>
        <v/>
      </c>
      <c r="S1170" s="201" t="str">
        <f t="shared" si="2"/>
        <v>#VALUE!</v>
      </c>
      <c r="T1170" t="str">
        <f t="shared" si="3"/>
        <v>#VALUE!</v>
      </c>
      <c r="U1170">
        <f t="shared" si="1"/>
        <v>0</v>
      </c>
    </row>
    <row r="1171">
      <c r="D1171" s="201"/>
      <c r="I1171" s="201"/>
      <c r="R1171" t="str">
        <f t="shared" si="4"/>
        <v/>
      </c>
      <c r="S1171" s="201" t="str">
        <f t="shared" si="2"/>
        <v>#VALUE!</v>
      </c>
      <c r="T1171" t="str">
        <f t="shared" si="3"/>
        <v>#VALUE!</v>
      </c>
      <c r="U1171">
        <f t="shared" si="1"/>
        <v>0</v>
      </c>
    </row>
    <row r="1172">
      <c r="D1172" s="201"/>
      <c r="I1172" s="201"/>
      <c r="R1172" t="str">
        <f t="shared" si="4"/>
        <v/>
      </c>
      <c r="S1172" s="201" t="str">
        <f t="shared" si="2"/>
        <v>#VALUE!</v>
      </c>
      <c r="T1172" t="str">
        <f t="shared" si="3"/>
        <v>#VALUE!</v>
      </c>
      <c r="U1172">
        <f t="shared" si="1"/>
        <v>0</v>
      </c>
    </row>
    <row r="1173">
      <c r="D1173" s="201"/>
      <c r="I1173" s="201"/>
      <c r="R1173" t="str">
        <f t="shared" si="4"/>
        <v/>
      </c>
      <c r="S1173" s="201" t="str">
        <f t="shared" si="2"/>
        <v>#VALUE!</v>
      </c>
      <c r="T1173" t="str">
        <f t="shared" si="3"/>
        <v>#VALUE!</v>
      </c>
      <c r="U1173">
        <f t="shared" si="1"/>
        <v>0</v>
      </c>
    </row>
    <row r="1174">
      <c r="D1174" s="201"/>
      <c r="I1174" s="201"/>
      <c r="R1174" t="str">
        <f t="shared" si="4"/>
        <v/>
      </c>
      <c r="S1174" s="201" t="str">
        <f t="shared" si="2"/>
        <v>#VALUE!</v>
      </c>
      <c r="T1174" t="str">
        <f t="shared" si="3"/>
        <v>#VALUE!</v>
      </c>
      <c r="U1174">
        <f t="shared" si="1"/>
        <v>0</v>
      </c>
    </row>
    <row r="1175">
      <c r="D1175" s="201"/>
      <c r="I1175" s="201"/>
      <c r="R1175" t="str">
        <f t="shared" si="4"/>
        <v/>
      </c>
      <c r="S1175" s="201" t="str">
        <f t="shared" si="2"/>
        <v>#VALUE!</v>
      </c>
      <c r="T1175" t="str">
        <f t="shared" si="3"/>
        <v>#VALUE!</v>
      </c>
      <c r="U1175">
        <f t="shared" si="1"/>
        <v>0</v>
      </c>
    </row>
    <row r="1176">
      <c r="D1176" s="201"/>
      <c r="I1176" s="201"/>
      <c r="R1176" t="str">
        <f t="shared" si="4"/>
        <v/>
      </c>
      <c r="S1176" s="201" t="str">
        <f t="shared" si="2"/>
        <v>#VALUE!</v>
      </c>
      <c r="T1176" t="str">
        <f t="shared" si="3"/>
        <v>#VALUE!</v>
      </c>
      <c r="U1176">
        <f t="shared" si="1"/>
        <v>0</v>
      </c>
    </row>
    <row r="1177">
      <c r="D1177" s="201"/>
      <c r="I1177" s="201"/>
      <c r="R1177" t="str">
        <f t="shared" si="4"/>
        <v/>
      </c>
      <c r="S1177" s="201" t="str">
        <f t="shared" si="2"/>
        <v>#VALUE!</v>
      </c>
      <c r="T1177" t="str">
        <f t="shared" si="3"/>
        <v>#VALUE!</v>
      </c>
      <c r="U1177">
        <f t="shared" si="1"/>
        <v>0</v>
      </c>
    </row>
    <row r="1178">
      <c r="D1178" s="201"/>
      <c r="I1178" s="201"/>
      <c r="R1178" t="str">
        <f t="shared" si="4"/>
        <v/>
      </c>
      <c r="S1178" s="201" t="str">
        <f t="shared" si="2"/>
        <v>#VALUE!</v>
      </c>
      <c r="T1178" t="str">
        <f t="shared" si="3"/>
        <v>#VALUE!</v>
      </c>
      <c r="U1178">
        <f t="shared" si="1"/>
        <v>0</v>
      </c>
    </row>
    <row r="1179">
      <c r="D1179" s="201"/>
      <c r="I1179" s="201"/>
      <c r="R1179" t="str">
        <f t="shared" si="4"/>
        <v/>
      </c>
      <c r="S1179" s="201" t="str">
        <f t="shared" si="2"/>
        <v>#VALUE!</v>
      </c>
      <c r="T1179" t="str">
        <f t="shared" si="3"/>
        <v>#VALUE!</v>
      </c>
      <c r="U1179">
        <f t="shared" si="1"/>
        <v>0</v>
      </c>
    </row>
    <row r="1180">
      <c r="D1180" s="201"/>
      <c r="I1180" s="201"/>
      <c r="R1180" t="str">
        <f t="shared" si="4"/>
        <v/>
      </c>
      <c r="S1180" s="201" t="str">
        <f t="shared" si="2"/>
        <v>#VALUE!</v>
      </c>
      <c r="T1180" t="str">
        <f t="shared" si="3"/>
        <v>#VALUE!</v>
      </c>
      <c r="U1180">
        <f t="shared" si="1"/>
        <v>0</v>
      </c>
    </row>
    <row r="1181">
      <c r="D1181" s="201"/>
      <c r="I1181" s="201"/>
      <c r="R1181" t="str">
        <f t="shared" si="4"/>
        <v/>
      </c>
      <c r="S1181" s="201" t="str">
        <f t="shared" si="2"/>
        <v>#VALUE!</v>
      </c>
      <c r="T1181" t="str">
        <f t="shared" si="3"/>
        <v>#VALUE!</v>
      </c>
      <c r="U1181">
        <f t="shared" si="1"/>
        <v>0</v>
      </c>
    </row>
    <row r="1182">
      <c r="D1182" s="201"/>
      <c r="I1182" s="201"/>
      <c r="R1182" t="str">
        <f t="shared" si="4"/>
        <v/>
      </c>
      <c r="S1182" s="201" t="str">
        <f t="shared" si="2"/>
        <v>#VALUE!</v>
      </c>
      <c r="T1182" t="str">
        <f t="shared" si="3"/>
        <v>#VALUE!</v>
      </c>
      <c r="U1182">
        <f t="shared" si="1"/>
        <v>0</v>
      </c>
    </row>
    <row r="1183">
      <c r="D1183" s="201"/>
      <c r="I1183" s="201"/>
      <c r="R1183" t="str">
        <f t="shared" si="4"/>
        <v/>
      </c>
      <c r="S1183" s="201" t="str">
        <f t="shared" si="2"/>
        <v>#VALUE!</v>
      </c>
      <c r="T1183" t="str">
        <f t="shared" si="3"/>
        <v>#VALUE!</v>
      </c>
      <c r="U1183">
        <f t="shared" si="1"/>
        <v>0</v>
      </c>
    </row>
    <row r="1184">
      <c r="D1184" s="201"/>
      <c r="I1184" s="201"/>
      <c r="R1184" t="str">
        <f t="shared" si="4"/>
        <v/>
      </c>
      <c r="S1184" s="201" t="str">
        <f t="shared" si="2"/>
        <v>#VALUE!</v>
      </c>
      <c r="T1184" t="str">
        <f t="shared" si="3"/>
        <v>#VALUE!</v>
      </c>
      <c r="U1184">
        <f t="shared" si="1"/>
        <v>0</v>
      </c>
    </row>
    <row r="1185">
      <c r="D1185" s="201"/>
      <c r="I1185" s="201"/>
      <c r="R1185" t="str">
        <f t="shared" si="4"/>
        <v/>
      </c>
      <c r="S1185" s="201" t="str">
        <f t="shared" si="2"/>
        <v>#VALUE!</v>
      </c>
      <c r="T1185" t="str">
        <f t="shared" si="3"/>
        <v>#VALUE!</v>
      </c>
      <c r="U1185">
        <f t="shared" si="1"/>
        <v>0</v>
      </c>
    </row>
    <row r="1186">
      <c r="D1186" s="201"/>
      <c r="I1186" s="201"/>
      <c r="R1186" t="str">
        <f t="shared" si="4"/>
        <v/>
      </c>
      <c r="S1186" s="201" t="str">
        <f t="shared" si="2"/>
        <v>#VALUE!</v>
      </c>
      <c r="T1186" t="str">
        <f t="shared" si="3"/>
        <v>#VALUE!</v>
      </c>
      <c r="U1186">
        <f t="shared" si="1"/>
        <v>0</v>
      </c>
    </row>
    <row r="1187">
      <c r="D1187" s="201"/>
      <c r="I1187" s="201"/>
      <c r="R1187" t="str">
        <f t="shared" si="4"/>
        <v/>
      </c>
      <c r="S1187" s="201" t="str">
        <f t="shared" si="2"/>
        <v>#VALUE!</v>
      </c>
      <c r="T1187" t="str">
        <f t="shared" si="3"/>
        <v>#VALUE!</v>
      </c>
      <c r="U1187">
        <f t="shared" si="1"/>
        <v>0</v>
      </c>
    </row>
    <row r="1188">
      <c r="D1188" s="201"/>
      <c r="I1188" s="201"/>
      <c r="R1188" t="str">
        <f t="shared" si="4"/>
        <v/>
      </c>
      <c r="S1188" s="201" t="str">
        <f t="shared" si="2"/>
        <v>#VALUE!</v>
      </c>
      <c r="T1188" t="str">
        <f t="shared" si="3"/>
        <v>#VALUE!</v>
      </c>
      <c r="U1188">
        <f t="shared" si="1"/>
        <v>0</v>
      </c>
    </row>
    <row r="1189">
      <c r="D1189" s="201"/>
      <c r="I1189" s="201"/>
      <c r="R1189" t="str">
        <f t="shared" si="4"/>
        <v/>
      </c>
      <c r="S1189" s="201" t="str">
        <f t="shared" si="2"/>
        <v>#VALUE!</v>
      </c>
      <c r="T1189" t="str">
        <f t="shared" si="3"/>
        <v>#VALUE!</v>
      </c>
      <c r="U1189">
        <f t="shared" si="1"/>
        <v>0</v>
      </c>
    </row>
    <row r="1190">
      <c r="D1190" s="201"/>
      <c r="I1190" s="201"/>
      <c r="R1190" t="str">
        <f t="shared" si="4"/>
        <v/>
      </c>
      <c r="S1190" s="201" t="str">
        <f t="shared" si="2"/>
        <v>#VALUE!</v>
      </c>
      <c r="T1190" t="str">
        <f t="shared" si="3"/>
        <v>#VALUE!</v>
      </c>
      <c r="U1190">
        <f t="shared" si="1"/>
        <v>0</v>
      </c>
    </row>
    <row r="1191">
      <c r="D1191" s="201"/>
      <c r="I1191" s="201"/>
      <c r="R1191" t="str">
        <f t="shared" si="4"/>
        <v/>
      </c>
      <c r="S1191" s="201" t="str">
        <f t="shared" si="2"/>
        <v>#VALUE!</v>
      </c>
      <c r="T1191" t="str">
        <f t="shared" si="3"/>
        <v>#VALUE!</v>
      </c>
      <c r="U1191">
        <f t="shared" si="1"/>
        <v>0</v>
      </c>
    </row>
    <row r="1192">
      <c r="D1192" s="201"/>
      <c r="I1192" s="201"/>
      <c r="R1192" t="str">
        <f t="shared" si="4"/>
        <v/>
      </c>
      <c r="S1192" s="201" t="str">
        <f t="shared" si="2"/>
        <v>#VALUE!</v>
      </c>
      <c r="T1192" t="str">
        <f t="shared" si="3"/>
        <v>#VALUE!</v>
      </c>
      <c r="U1192">
        <f t="shared" si="1"/>
        <v>0</v>
      </c>
    </row>
    <row r="1193">
      <c r="D1193" s="201"/>
      <c r="I1193" s="201"/>
      <c r="R1193" t="str">
        <f t="shared" si="4"/>
        <v/>
      </c>
      <c r="S1193" s="201" t="str">
        <f t="shared" si="2"/>
        <v>#VALUE!</v>
      </c>
      <c r="T1193" t="str">
        <f t="shared" si="3"/>
        <v>#VALUE!</v>
      </c>
      <c r="U1193">
        <f t="shared" si="1"/>
        <v>0</v>
      </c>
    </row>
    <row r="1194">
      <c r="D1194" s="201"/>
      <c r="I1194" s="201"/>
      <c r="R1194" t="str">
        <f t="shared" si="4"/>
        <v/>
      </c>
      <c r="S1194" s="201" t="str">
        <f t="shared" si="2"/>
        <v>#VALUE!</v>
      </c>
      <c r="T1194" t="str">
        <f t="shared" si="3"/>
        <v>#VALUE!</v>
      </c>
      <c r="U1194">
        <f t="shared" si="1"/>
        <v>0</v>
      </c>
    </row>
    <row r="1195">
      <c r="D1195" s="201"/>
      <c r="I1195" s="201"/>
      <c r="R1195" t="str">
        <f t="shared" si="4"/>
        <v/>
      </c>
      <c r="S1195" s="201" t="str">
        <f t="shared" si="2"/>
        <v>#VALUE!</v>
      </c>
      <c r="T1195" t="str">
        <f t="shared" si="3"/>
        <v>#VALUE!</v>
      </c>
      <c r="U1195">
        <f t="shared" si="1"/>
        <v>0</v>
      </c>
    </row>
    <row r="1196">
      <c r="D1196" s="201"/>
      <c r="I1196" s="201"/>
      <c r="R1196" t="str">
        <f t="shared" si="4"/>
        <v/>
      </c>
      <c r="S1196" s="201" t="str">
        <f t="shared" si="2"/>
        <v>#VALUE!</v>
      </c>
      <c r="T1196" t="str">
        <f t="shared" si="3"/>
        <v>#VALUE!</v>
      </c>
      <c r="U1196">
        <f t="shared" si="1"/>
        <v>0</v>
      </c>
    </row>
    <row r="1197">
      <c r="D1197" s="201"/>
      <c r="I1197" s="201"/>
      <c r="R1197" t="str">
        <f t="shared" si="4"/>
        <v/>
      </c>
      <c r="S1197" s="201" t="str">
        <f t="shared" si="2"/>
        <v>#VALUE!</v>
      </c>
      <c r="T1197" t="str">
        <f t="shared" si="3"/>
        <v>#VALUE!</v>
      </c>
      <c r="U1197">
        <f t="shared" si="1"/>
        <v>0</v>
      </c>
    </row>
    <row r="1198">
      <c r="D1198" s="201"/>
      <c r="I1198" s="201"/>
      <c r="R1198" t="str">
        <f t="shared" si="4"/>
        <v/>
      </c>
      <c r="S1198" s="201" t="str">
        <f t="shared" si="2"/>
        <v>#VALUE!</v>
      </c>
      <c r="T1198" t="str">
        <f t="shared" si="3"/>
        <v>#VALUE!</v>
      </c>
      <c r="U1198">
        <f t="shared" si="1"/>
        <v>0</v>
      </c>
    </row>
    <row r="1199">
      <c r="D1199" s="201"/>
      <c r="I1199" s="201"/>
      <c r="R1199" t="str">
        <f t="shared" si="4"/>
        <v/>
      </c>
      <c r="S1199" s="201" t="str">
        <f t="shared" si="2"/>
        <v>#VALUE!</v>
      </c>
      <c r="T1199" t="str">
        <f t="shared" si="3"/>
        <v>#VALUE!</v>
      </c>
      <c r="U1199">
        <f t="shared" si="1"/>
        <v>0</v>
      </c>
    </row>
    <row r="1200">
      <c r="D1200" s="201"/>
      <c r="I1200" s="201"/>
      <c r="R1200" t="str">
        <f t="shared" si="4"/>
        <v/>
      </c>
      <c r="S1200" s="201" t="str">
        <f t="shared" si="2"/>
        <v>#VALUE!</v>
      </c>
      <c r="T1200" t="str">
        <f t="shared" si="3"/>
        <v>#VALUE!</v>
      </c>
      <c r="U1200">
        <f t="shared" si="1"/>
        <v>0</v>
      </c>
    </row>
    <row r="1201">
      <c r="D1201" s="201"/>
      <c r="I1201" s="201"/>
      <c r="R1201" t="str">
        <f t="shared" si="4"/>
        <v/>
      </c>
      <c r="S1201" s="201" t="str">
        <f t="shared" si="2"/>
        <v>#VALUE!</v>
      </c>
      <c r="T1201" t="str">
        <f t="shared" si="3"/>
        <v>#VALUE!</v>
      </c>
      <c r="U1201">
        <f t="shared" si="1"/>
        <v>0</v>
      </c>
    </row>
    <row r="1202">
      <c r="D1202" s="201"/>
      <c r="I1202" s="201"/>
      <c r="R1202" t="str">
        <f t="shared" si="4"/>
        <v/>
      </c>
      <c r="S1202" s="201" t="str">
        <f t="shared" si="2"/>
        <v>#VALUE!</v>
      </c>
      <c r="T1202" t="str">
        <f t="shared" si="3"/>
        <v>#VALUE!</v>
      </c>
      <c r="U1202">
        <f t="shared" si="1"/>
        <v>0</v>
      </c>
    </row>
    <row r="1203">
      <c r="D1203" s="201"/>
      <c r="I1203" s="201"/>
      <c r="R1203" t="str">
        <f t="shared" si="4"/>
        <v/>
      </c>
      <c r="S1203" s="201" t="str">
        <f t="shared" si="2"/>
        <v>#VALUE!</v>
      </c>
      <c r="T1203" t="str">
        <f t="shared" si="3"/>
        <v>#VALUE!</v>
      </c>
      <c r="U1203">
        <f t="shared" si="1"/>
        <v>0</v>
      </c>
    </row>
    <row r="1204">
      <c r="D1204" s="201"/>
      <c r="I1204" s="201"/>
      <c r="R1204" t="str">
        <f t="shared" si="4"/>
        <v/>
      </c>
      <c r="S1204" s="201" t="str">
        <f t="shared" si="2"/>
        <v>#VALUE!</v>
      </c>
      <c r="T1204" t="str">
        <f t="shared" si="3"/>
        <v>#VALUE!</v>
      </c>
      <c r="U1204">
        <f t="shared" si="1"/>
        <v>0</v>
      </c>
    </row>
    <row r="1205">
      <c r="D1205" s="201"/>
      <c r="I1205" s="201"/>
      <c r="R1205" t="str">
        <f t="shared" si="4"/>
        <v/>
      </c>
      <c r="S1205" s="201" t="str">
        <f t="shared" si="2"/>
        <v>#VALUE!</v>
      </c>
      <c r="T1205" t="str">
        <f t="shared" si="3"/>
        <v>#VALUE!</v>
      </c>
      <c r="U1205">
        <f t="shared" si="1"/>
        <v>0</v>
      </c>
    </row>
    <row r="1206">
      <c r="D1206" s="201"/>
      <c r="I1206" s="201"/>
      <c r="R1206" t="str">
        <f t="shared" si="4"/>
        <v/>
      </c>
      <c r="S1206" s="201" t="str">
        <f t="shared" si="2"/>
        <v>#VALUE!</v>
      </c>
      <c r="T1206" t="str">
        <f t="shared" si="3"/>
        <v>#VALUE!</v>
      </c>
      <c r="U1206">
        <f t="shared" si="1"/>
        <v>0</v>
      </c>
    </row>
    <row r="1207">
      <c r="D1207" s="201"/>
      <c r="I1207" s="201"/>
      <c r="R1207" t="str">
        <f t="shared" si="4"/>
        <v/>
      </c>
      <c r="S1207" s="201" t="str">
        <f t="shared" si="2"/>
        <v>#VALUE!</v>
      </c>
      <c r="T1207" t="str">
        <f t="shared" si="3"/>
        <v>#VALUE!</v>
      </c>
      <c r="U1207">
        <f t="shared" si="1"/>
        <v>0</v>
      </c>
    </row>
    <row r="1208">
      <c r="D1208" s="201"/>
      <c r="I1208" s="201"/>
      <c r="R1208" t="str">
        <f t="shared" si="4"/>
        <v/>
      </c>
      <c r="S1208" s="201" t="str">
        <f t="shared" si="2"/>
        <v>#VALUE!</v>
      </c>
      <c r="T1208" t="str">
        <f t="shared" si="3"/>
        <v>#VALUE!</v>
      </c>
      <c r="U1208">
        <f t="shared" si="1"/>
        <v>0</v>
      </c>
    </row>
    <row r="1209">
      <c r="D1209" s="201"/>
      <c r="I1209" s="201"/>
      <c r="R1209" t="str">
        <f t="shared" si="4"/>
        <v/>
      </c>
      <c r="S1209" s="201" t="str">
        <f t="shared" si="2"/>
        <v>#VALUE!</v>
      </c>
      <c r="T1209" t="str">
        <f t="shared" si="3"/>
        <v>#VALUE!</v>
      </c>
      <c r="U1209">
        <f t="shared" si="1"/>
        <v>0</v>
      </c>
    </row>
    <row r="1210">
      <c r="D1210" s="201"/>
      <c r="I1210" s="201"/>
      <c r="R1210" t="str">
        <f t="shared" si="4"/>
        <v/>
      </c>
      <c r="S1210" s="201" t="str">
        <f t="shared" si="2"/>
        <v>#VALUE!</v>
      </c>
      <c r="T1210" t="str">
        <f t="shared" si="3"/>
        <v>#VALUE!</v>
      </c>
      <c r="U1210">
        <f t="shared" si="1"/>
        <v>0</v>
      </c>
    </row>
    <row r="1211">
      <c r="D1211" s="201"/>
      <c r="I1211" s="201"/>
      <c r="R1211" t="str">
        <f t="shared" si="4"/>
        <v/>
      </c>
      <c r="S1211" s="201" t="str">
        <f t="shared" si="2"/>
        <v>#VALUE!</v>
      </c>
      <c r="T1211" t="str">
        <f t="shared" si="3"/>
        <v>#VALUE!</v>
      </c>
      <c r="U1211">
        <f t="shared" si="1"/>
        <v>0</v>
      </c>
    </row>
    <row r="1212">
      <c r="D1212" s="201"/>
      <c r="I1212" s="201"/>
      <c r="R1212" t="str">
        <f t="shared" si="4"/>
        <v/>
      </c>
      <c r="S1212" s="201" t="str">
        <f t="shared" si="2"/>
        <v>#VALUE!</v>
      </c>
      <c r="T1212" t="str">
        <f t="shared" si="3"/>
        <v>#VALUE!</v>
      </c>
      <c r="U1212">
        <f t="shared" si="1"/>
        <v>0</v>
      </c>
    </row>
    <row r="1213">
      <c r="D1213" s="201"/>
      <c r="I1213" s="201"/>
      <c r="R1213" t="str">
        <f t="shared" si="4"/>
        <v/>
      </c>
      <c r="S1213" s="201" t="str">
        <f t="shared" si="2"/>
        <v>#VALUE!</v>
      </c>
      <c r="T1213" t="str">
        <f t="shared" si="3"/>
        <v>#VALUE!</v>
      </c>
      <c r="U1213">
        <f t="shared" si="1"/>
        <v>0</v>
      </c>
    </row>
    <row r="1214">
      <c r="D1214" s="201"/>
      <c r="I1214" s="201"/>
      <c r="R1214" t="str">
        <f t="shared" si="4"/>
        <v/>
      </c>
      <c r="S1214" s="201" t="str">
        <f t="shared" si="2"/>
        <v>#VALUE!</v>
      </c>
      <c r="T1214" t="str">
        <f t="shared" si="3"/>
        <v>#VALUE!</v>
      </c>
      <c r="U1214">
        <f t="shared" si="1"/>
        <v>0</v>
      </c>
    </row>
    <row r="1215">
      <c r="D1215" s="201"/>
      <c r="I1215" s="201"/>
      <c r="R1215" t="str">
        <f t="shared" si="4"/>
        <v/>
      </c>
      <c r="S1215" s="201" t="str">
        <f t="shared" si="2"/>
        <v>#VALUE!</v>
      </c>
      <c r="T1215" t="str">
        <f t="shared" si="3"/>
        <v>#VALUE!</v>
      </c>
      <c r="U1215">
        <f t="shared" si="1"/>
        <v>0</v>
      </c>
    </row>
    <row r="1216">
      <c r="D1216" s="201"/>
      <c r="I1216" s="201"/>
      <c r="R1216" t="str">
        <f t="shared" si="4"/>
        <v/>
      </c>
      <c r="S1216" s="201" t="str">
        <f t="shared" si="2"/>
        <v>#VALUE!</v>
      </c>
      <c r="T1216" t="str">
        <f t="shared" si="3"/>
        <v>#VALUE!</v>
      </c>
      <c r="U1216">
        <f t="shared" si="1"/>
        <v>0</v>
      </c>
    </row>
    <row r="1217">
      <c r="D1217" s="201"/>
      <c r="I1217" s="201"/>
      <c r="R1217" t="str">
        <f t="shared" si="4"/>
        <v/>
      </c>
      <c r="S1217" s="201" t="str">
        <f t="shared" si="2"/>
        <v>#VALUE!</v>
      </c>
      <c r="T1217" t="str">
        <f t="shared" si="3"/>
        <v>#VALUE!</v>
      </c>
      <c r="U1217">
        <f t="shared" si="1"/>
        <v>0</v>
      </c>
    </row>
    <row r="1218">
      <c r="D1218" s="201"/>
      <c r="I1218" s="201"/>
      <c r="R1218" t="str">
        <f t="shared" si="4"/>
        <v/>
      </c>
      <c r="S1218" s="201" t="str">
        <f t="shared" si="2"/>
        <v>#VALUE!</v>
      </c>
      <c r="T1218" t="str">
        <f t="shared" si="3"/>
        <v>#VALUE!</v>
      </c>
      <c r="U1218">
        <f t="shared" si="1"/>
        <v>0</v>
      </c>
    </row>
    <row r="1219">
      <c r="D1219" s="201"/>
      <c r="I1219" s="201"/>
      <c r="R1219" t="str">
        <f t="shared" si="4"/>
        <v/>
      </c>
      <c r="S1219" s="201" t="str">
        <f t="shared" si="2"/>
        <v>#VALUE!</v>
      </c>
      <c r="T1219" t="str">
        <f t="shared" si="3"/>
        <v>#VALUE!</v>
      </c>
      <c r="U1219">
        <f t="shared" si="1"/>
        <v>0</v>
      </c>
    </row>
    <row r="1220">
      <c r="D1220" s="201"/>
      <c r="I1220" s="201"/>
      <c r="R1220" t="str">
        <f t="shared" si="4"/>
        <v/>
      </c>
      <c r="S1220" s="201" t="str">
        <f t="shared" si="2"/>
        <v>#VALUE!</v>
      </c>
      <c r="T1220" t="str">
        <f t="shared" si="3"/>
        <v>#VALUE!</v>
      </c>
      <c r="U1220">
        <f t="shared" si="1"/>
        <v>0</v>
      </c>
    </row>
    <row r="1221">
      <c r="D1221" s="201"/>
      <c r="I1221" s="201"/>
      <c r="R1221" t="str">
        <f t="shared" si="4"/>
        <v/>
      </c>
      <c r="S1221" s="201" t="str">
        <f t="shared" si="2"/>
        <v>#VALUE!</v>
      </c>
      <c r="T1221" t="str">
        <f t="shared" si="3"/>
        <v>#VALUE!</v>
      </c>
      <c r="U1221">
        <f t="shared" si="1"/>
        <v>0</v>
      </c>
    </row>
    <row r="1222">
      <c r="D1222" s="201"/>
      <c r="I1222" s="201"/>
      <c r="R1222" t="str">
        <f t="shared" si="4"/>
        <v/>
      </c>
      <c r="S1222" s="201" t="str">
        <f t="shared" si="2"/>
        <v>#VALUE!</v>
      </c>
      <c r="T1222" t="str">
        <f t="shared" si="3"/>
        <v>#VALUE!</v>
      </c>
      <c r="U1222">
        <f t="shared" si="1"/>
        <v>0</v>
      </c>
    </row>
    <row r="1223">
      <c r="D1223" s="201"/>
      <c r="I1223" s="201"/>
      <c r="R1223" t="str">
        <f t="shared" si="4"/>
        <v/>
      </c>
      <c r="S1223" s="201" t="str">
        <f t="shared" si="2"/>
        <v>#VALUE!</v>
      </c>
      <c r="T1223" t="str">
        <f t="shared" si="3"/>
        <v>#VALUE!</v>
      </c>
      <c r="U1223">
        <f t="shared" si="1"/>
        <v>0</v>
      </c>
    </row>
    <row r="1224">
      <c r="D1224" s="201"/>
      <c r="I1224" s="201"/>
      <c r="R1224" t="str">
        <f t="shared" si="4"/>
        <v/>
      </c>
      <c r="S1224" s="201" t="str">
        <f t="shared" si="2"/>
        <v>#VALUE!</v>
      </c>
      <c r="T1224" t="str">
        <f t="shared" si="3"/>
        <v>#VALUE!</v>
      </c>
      <c r="U1224">
        <f t="shared" si="1"/>
        <v>0</v>
      </c>
    </row>
    <row r="1225">
      <c r="D1225" s="201"/>
      <c r="I1225" s="201"/>
      <c r="R1225" t="str">
        <f t="shared" si="4"/>
        <v/>
      </c>
      <c r="S1225" s="201" t="str">
        <f t="shared" si="2"/>
        <v>#VALUE!</v>
      </c>
      <c r="T1225" t="str">
        <f t="shared" si="3"/>
        <v>#VALUE!</v>
      </c>
      <c r="U1225">
        <f t="shared" si="1"/>
        <v>0</v>
      </c>
    </row>
    <row r="1226">
      <c r="D1226" s="201"/>
      <c r="I1226" s="201"/>
      <c r="R1226" t="str">
        <f t="shared" si="4"/>
        <v/>
      </c>
      <c r="S1226" s="201" t="str">
        <f t="shared" si="2"/>
        <v>#VALUE!</v>
      </c>
      <c r="T1226" t="str">
        <f t="shared" si="3"/>
        <v>#VALUE!</v>
      </c>
      <c r="U1226">
        <f t="shared" si="1"/>
        <v>0</v>
      </c>
    </row>
    <row r="1227">
      <c r="D1227" s="201"/>
      <c r="I1227" s="201"/>
      <c r="R1227" t="str">
        <f t="shared" si="4"/>
        <v/>
      </c>
      <c r="S1227" s="201" t="str">
        <f t="shared" si="2"/>
        <v>#VALUE!</v>
      </c>
      <c r="T1227" t="str">
        <f t="shared" si="3"/>
        <v>#VALUE!</v>
      </c>
      <c r="U1227">
        <f t="shared" si="1"/>
        <v>0</v>
      </c>
    </row>
    <row r="1228">
      <c r="D1228" s="201"/>
      <c r="I1228" s="201"/>
      <c r="R1228" t="str">
        <f t="shared" si="4"/>
        <v/>
      </c>
      <c r="S1228" s="201" t="str">
        <f t="shared" si="2"/>
        <v>#VALUE!</v>
      </c>
      <c r="T1228" t="str">
        <f t="shared" si="3"/>
        <v>#VALUE!</v>
      </c>
      <c r="U1228">
        <f t="shared" si="1"/>
        <v>0</v>
      </c>
    </row>
    <row r="1229">
      <c r="D1229" s="201"/>
      <c r="I1229" s="201"/>
      <c r="R1229" t="str">
        <f t="shared" si="4"/>
        <v/>
      </c>
      <c r="S1229" s="201" t="str">
        <f t="shared" si="2"/>
        <v>#VALUE!</v>
      </c>
      <c r="T1229" t="str">
        <f t="shared" si="3"/>
        <v>#VALUE!</v>
      </c>
      <c r="U1229">
        <f t="shared" si="1"/>
        <v>0</v>
      </c>
    </row>
    <row r="1230">
      <c r="D1230" s="201"/>
      <c r="I1230" s="201"/>
      <c r="R1230" t="str">
        <f t="shared" si="4"/>
        <v/>
      </c>
      <c r="S1230" s="201" t="str">
        <f t="shared" si="2"/>
        <v>#VALUE!</v>
      </c>
      <c r="T1230" t="str">
        <f t="shared" si="3"/>
        <v>#VALUE!</v>
      </c>
      <c r="U1230">
        <f t="shared" si="1"/>
        <v>0</v>
      </c>
    </row>
    <row r="1231">
      <c r="D1231" s="201"/>
      <c r="I1231" s="201"/>
      <c r="R1231" t="str">
        <f t="shared" si="4"/>
        <v/>
      </c>
      <c r="S1231" s="201" t="str">
        <f t="shared" si="2"/>
        <v>#VALUE!</v>
      </c>
      <c r="T1231" t="str">
        <f t="shared" si="3"/>
        <v>#VALUE!</v>
      </c>
      <c r="U1231">
        <f t="shared" si="1"/>
        <v>0</v>
      </c>
    </row>
    <row r="1232">
      <c r="D1232" s="201"/>
      <c r="I1232" s="201"/>
      <c r="R1232" t="str">
        <f t="shared" si="4"/>
        <v/>
      </c>
      <c r="S1232" s="201" t="str">
        <f t="shared" si="2"/>
        <v>#VALUE!</v>
      </c>
      <c r="T1232" t="str">
        <f t="shared" si="3"/>
        <v>#VALUE!</v>
      </c>
      <c r="U1232">
        <f t="shared" si="1"/>
        <v>0</v>
      </c>
    </row>
    <row r="1233">
      <c r="D1233" s="201"/>
      <c r="I1233" s="201"/>
      <c r="R1233" t="str">
        <f t="shared" si="4"/>
        <v/>
      </c>
      <c r="S1233" s="201" t="str">
        <f t="shared" si="2"/>
        <v>#VALUE!</v>
      </c>
      <c r="T1233" t="str">
        <f t="shared" si="3"/>
        <v>#VALUE!</v>
      </c>
      <c r="U1233">
        <f t="shared" si="1"/>
        <v>0</v>
      </c>
    </row>
    <row r="1234">
      <c r="D1234" s="201"/>
      <c r="I1234" s="201"/>
      <c r="R1234" t="str">
        <f t="shared" si="4"/>
        <v/>
      </c>
      <c r="S1234" s="201" t="str">
        <f t="shared" si="2"/>
        <v>#VALUE!</v>
      </c>
      <c r="T1234" t="str">
        <f t="shared" si="3"/>
        <v>#VALUE!</v>
      </c>
      <c r="U1234">
        <f t="shared" si="1"/>
        <v>0</v>
      </c>
    </row>
    <row r="1235">
      <c r="D1235" s="201"/>
      <c r="I1235" s="201"/>
      <c r="R1235" t="str">
        <f t="shared" si="4"/>
        <v/>
      </c>
      <c r="S1235" s="201" t="str">
        <f t="shared" si="2"/>
        <v>#VALUE!</v>
      </c>
      <c r="T1235" t="str">
        <f t="shared" si="3"/>
        <v>#VALUE!</v>
      </c>
      <c r="U1235">
        <f t="shared" si="1"/>
        <v>0</v>
      </c>
    </row>
    <row r="1236">
      <c r="D1236" s="201"/>
      <c r="I1236" s="201"/>
      <c r="R1236" t="str">
        <f t="shared" si="4"/>
        <v/>
      </c>
      <c r="S1236" s="201" t="str">
        <f t="shared" si="2"/>
        <v>#VALUE!</v>
      </c>
      <c r="T1236" t="str">
        <f t="shared" si="3"/>
        <v>#VALUE!</v>
      </c>
      <c r="U1236">
        <f t="shared" si="1"/>
        <v>0</v>
      </c>
    </row>
    <row r="1237">
      <c r="D1237" s="201"/>
      <c r="I1237" s="201"/>
      <c r="R1237" t="str">
        <f t="shared" si="4"/>
        <v/>
      </c>
      <c r="S1237" s="201" t="str">
        <f t="shared" si="2"/>
        <v>#VALUE!</v>
      </c>
      <c r="T1237" t="str">
        <f t="shared" si="3"/>
        <v>#VALUE!</v>
      </c>
      <c r="U1237">
        <f t="shared" si="1"/>
        <v>0</v>
      </c>
    </row>
    <row r="1238">
      <c r="D1238" s="201"/>
      <c r="I1238" s="201"/>
      <c r="R1238" t="str">
        <f t="shared" si="4"/>
        <v/>
      </c>
      <c r="S1238" s="201" t="str">
        <f t="shared" si="2"/>
        <v>#VALUE!</v>
      </c>
      <c r="T1238" t="str">
        <f t="shared" si="3"/>
        <v>#VALUE!</v>
      </c>
      <c r="U1238">
        <f t="shared" si="1"/>
        <v>0</v>
      </c>
    </row>
    <row r="1239">
      <c r="D1239" s="201"/>
      <c r="I1239" s="201"/>
      <c r="R1239" t="str">
        <f t="shared" si="4"/>
        <v/>
      </c>
      <c r="S1239" s="201" t="str">
        <f t="shared" si="2"/>
        <v>#VALUE!</v>
      </c>
      <c r="T1239" t="str">
        <f t="shared" si="3"/>
        <v>#VALUE!</v>
      </c>
      <c r="U1239">
        <f t="shared" si="1"/>
        <v>0</v>
      </c>
    </row>
    <row r="1240">
      <c r="D1240" s="201"/>
      <c r="I1240" s="201"/>
      <c r="R1240" t="str">
        <f t="shared" si="4"/>
        <v/>
      </c>
      <c r="S1240" s="201" t="str">
        <f t="shared" si="2"/>
        <v>#VALUE!</v>
      </c>
      <c r="T1240" t="str">
        <f t="shared" si="3"/>
        <v>#VALUE!</v>
      </c>
      <c r="U1240">
        <f t="shared" si="1"/>
        <v>0</v>
      </c>
    </row>
    <row r="1241">
      <c r="D1241" s="201"/>
      <c r="I1241" s="201"/>
      <c r="R1241" t="str">
        <f t="shared" si="4"/>
        <v/>
      </c>
      <c r="S1241" s="201" t="str">
        <f t="shared" si="2"/>
        <v>#VALUE!</v>
      </c>
      <c r="T1241" t="str">
        <f t="shared" si="3"/>
        <v>#VALUE!</v>
      </c>
      <c r="U1241">
        <f t="shared" si="1"/>
        <v>0</v>
      </c>
    </row>
    <row r="1242">
      <c r="D1242" s="201"/>
      <c r="I1242" s="201"/>
      <c r="R1242" t="str">
        <f t="shared" si="4"/>
        <v/>
      </c>
      <c r="S1242" s="201" t="str">
        <f t="shared" si="2"/>
        <v>#VALUE!</v>
      </c>
      <c r="T1242" t="str">
        <f t="shared" si="3"/>
        <v>#VALUE!</v>
      </c>
      <c r="U1242">
        <f t="shared" si="1"/>
        <v>0</v>
      </c>
    </row>
    <row r="1243">
      <c r="D1243" s="201"/>
      <c r="I1243" s="201"/>
      <c r="R1243" t="str">
        <f t="shared" si="4"/>
        <v/>
      </c>
      <c r="S1243" s="201" t="str">
        <f t="shared" si="2"/>
        <v>#VALUE!</v>
      </c>
      <c r="T1243" t="str">
        <f t="shared" si="3"/>
        <v>#VALUE!</v>
      </c>
      <c r="U1243">
        <f t="shared" si="1"/>
        <v>0</v>
      </c>
    </row>
    <row r="1244">
      <c r="D1244" s="201"/>
      <c r="I1244" s="201"/>
      <c r="R1244" t="str">
        <f t="shared" si="4"/>
        <v/>
      </c>
      <c r="S1244" s="201" t="str">
        <f t="shared" si="2"/>
        <v>#VALUE!</v>
      </c>
      <c r="T1244" t="str">
        <f t="shared" si="3"/>
        <v>#VALUE!</v>
      </c>
      <c r="U1244">
        <f t="shared" si="1"/>
        <v>0</v>
      </c>
    </row>
    <row r="1245">
      <c r="D1245" s="201"/>
      <c r="I1245" s="201"/>
      <c r="R1245" t="str">
        <f t="shared" si="4"/>
        <v/>
      </c>
      <c r="S1245" s="201" t="str">
        <f t="shared" si="2"/>
        <v>#VALUE!</v>
      </c>
      <c r="T1245" t="str">
        <f t="shared" si="3"/>
        <v>#VALUE!</v>
      </c>
      <c r="U1245">
        <f t="shared" si="1"/>
        <v>0</v>
      </c>
    </row>
    <row r="1246">
      <c r="D1246" s="201"/>
      <c r="I1246" s="201"/>
      <c r="R1246" t="str">
        <f t="shared" si="4"/>
        <v/>
      </c>
      <c r="S1246" s="201" t="str">
        <f t="shared" si="2"/>
        <v>#VALUE!</v>
      </c>
      <c r="T1246" t="str">
        <f t="shared" si="3"/>
        <v>#VALUE!</v>
      </c>
      <c r="U1246">
        <f t="shared" si="1"/>
        <v>0</v>
      </c>
    </row>
    <row r="1247">
      <c r="D1247" s="201"/>
      <c r="I1247" s="201"/>
      <c r="R1247" t="str">
        <f t="shared" si="4"/>
        <v/>
      </c>
      <c r="S1247" s="201" t="str">
        <f t="shared" si="2"/>
        <v>#VALUE!</v>
      </c>
      <c r="T1247" t="str">
        <f t="shared" si="3"/>
        <v>#VALUE!</v>
      </c>
      <c r="U1247">
        <f t="shared" si="1"/>
        <v>0</v>
      </c>
    </row>
    <row r="1248">
      <c r="D1248" s="201"/>
      <c r="I1248" s="201"/>
      <c r="R1248" t="str">
        <f t="shared" si="4"/>
        <v/>
      </c>
      <c r="S1248" s="201" t="str">
        <f t="shared" si="2"/>
        <v>#VALUE!</v>
      </c>
      <c r="T1248" t="str">
        <f t="shared" si="3"/>
        <v>#VALUE!</v>
      </c>
      <c r="U1248">
        <f t="shared" si="1"/>
        <v>0</v>
      </c>
    </row>
    <row r="1249">
      <c r="D1249" s="201"/>
      <c r="I1249" s="201"/>
      <c r="R1249" t="str">
        <f t="shared" si="4"/>
        <v/>
      </c>
      <c r="S1249" s="201" t="str">
        <f t="shared" si="2"/>
        <v>#VALUE!</v>
      </c>
      <c r="T1249" t="str">
        <f t="shared" si="3"/>
        <v>#VALUE!</v>
      </c>
      <c r="U1249">
        <f t="shared" si="1"/>
        <v>0</v>
      </c>
    </row>
    <row r="1250">
      <c r="D1250" s="201"/>
      <c r="I1250" s="201"/>
      <c r="R1250" t="str">
        <f t="shared" si="4"/>
        <v/>
      </c>
      <c r="S1250" s="201" t="str">
        <f t="shared" si="2"/>
        <v>#VALUE!</v>
      </c>
      <c r="T1250" t="str">
        <f t="shared" si="3"/>
        <v>#VALUE!</v>
      </c>
      <c r="U1250">
        <f t="shared" si="1"/>
        <v>0</v>
      </c>
    </row>
    <row r="1251">
      <c r="D1251" s="201"/>
      <c r="I1251" s="201"/>
      <c r="R1251" t="str">
        <f t="shared" si="4"/>
        <v/>
      </c>
      <c r="S1251" s="201" t="str">
        <f t="shared" si="2"/>
        <v>#VALUE!</v>
      </c>
      <c r="T1251" t="str">
        <f t="shared" si="3"/>
        <v>#VALUE!</v>
      </c>
      <c r="U1251">
        <f t="shared" si="1"/>
        <v>0</v>
      </c>
    </row>
    <row r="1252">
      <c r="D1252" s="201"/>
      <c r="I1252" s="201"/>
      <c r="R1252" t="str">
        <f t="shared" si="4"/>
        <v/>
      </c>
      <c r="S1252" s="201" t="str">
        <f t="shared" si="2"/>
        <v>#VALUE!</v>
      </c>
      <c r="T1252" t="str">
        <f t="shared" si="3"/>
        <v>#VALUE!</v>
      </c>
      <c r="U1252">
        <f t="shared" si="1"/>
        <v>0</v>
      </c>
    </row>
    <row r="1253">
      <c r="D1253" s="201"/>
      <c r="I1253" s="201"/>
      <c r="R1253" t="str">
        <f t="shared" si="4"/>
        <v/>
      </c>
      <c r="S1253" s="201" t="str">
        <f t="shared" si="2"/>
        <v>#VALUE!</v>
      </c>
      <c r="T1253" t="str">
        <f t="shared" si="3"/>
        <v>#VALUE!</v>
      </c>
      <c r="U1253">
        <f t="shared" si="1"/>
        <v>0</v>
      </c>
    </row>
    <row r="1254">
      <c r="D1254" s="201"/>
      <c r="I1254" s="201"/>
      <c r="R1254" t="str">
        <f t="shared" si="4"/>
        <v/>
      </c>
      <c r="S1254" s="201" t="str">
        <f t="shared" si="2"/>
        <v>#VALUE!</v>
      </c>
      <c r="T1254" t="str">
        <f t="shared" si="3"/>
        <v>#VALUE!</v>
      </c>
      <c r="U1254">
        <f t="shared" si="1"/>
        <v>0</v>
      </c>
    </row>
    <row r="1255">
      <c r="D1255" s="201"/>
      <c r="I1255" s="201"/>
      <c r="R1255" t="str">
        <f t="shared" si="4"/>
        <v/>
      </c>
      <c r="S1255" s="201" t="str">
        <f t="shared" si="2"/>
        <v>#VALUE!</v>
      </c>
      <c r="T1255" t="str">
        <f t="shared" si="3"/>
        <v>#VALUE!</v>
      </c>
      <c r="U1255">
        <f t="shared" si="1"/>
        <v>0</v>
      </c>
    </row>
    <row r="1256">
      <c r="D1256" s="201"/>
      <c r="I1256" s="201"/>
      <c r="R1256" t="str">
        <f t="shared" si="4"/>
        <v/>
      </c>
      <c r="S1256" s="201" t="str">
        <f t="shared" si="2"/>
        <v>#VALUE!</v>
      </c>
      <c r="T1256" t="str">
        <f t="shared" si="3"/>
        <v>#VALUE!</v>
      </c>
      <c r="U1256">
        <f t="shared" si="1"/>
        <v>0</v>
      </c>
    </row>
    <row r="1257">
      <c r="D1257" s="201"/>
      <c r="I1257" s="201"/>
      <c r="R1257" t="str">
        <f t="shared" si="4"/>
        <v/>
      </c>
      <c r="S1257" s="201" t="str">
        <f t="shared" si="2"/>
        <v>#VALUE!</v>
      </c>
      <c r="T1257" t="str">
        <f t="shared" si="3"/>
        <v>#VALUE!</v>
      </c>
      <c r="U1257">
        <f t="shared" si="1"/>
        <v>0</v>
      </c>
    </row>
    <row r="1258">
      <c r="D1258" s="201"/>
      <c r="I1258" s="201"/>
      <c r="R1258" t="str">
        <f t="shared" si="4"/>
        <v/>
      </c>
      <c r="S1258" s="201" t="str">
        <f t="shared" si="2"/>
        <v>#VALUE!</v>
      </c>
      <c r="T1258" t="str">
        <f t="shared" si="3"/>
        <v>#VALUE!</v>
      </c>
      <c r="U1258">
        <f t="shared" si="1"/>
        <v>0</v>
      </c>
    </row>
    <row r="1259">
      <c r="D1259" s="201"/>
      <c r="I1259" s="201"/>
      <c r="R1259" t="str">
        <f t="shared" si="4"/>
        <v/>
      </c>
      <c r="S1259" s="201" t="str">
        <f t="shared" si="2"/>
        <v>#VALUE!</v>
      </c>
      <c r="T1259" t="str">
        <f t="shared" si="3"/>
        <v>#VALUE!</v>
      </c>
      <c r="U1259">
        <f t="shared" si="1"/>
        <v>0</v>
      </c>
    </row>
    <row r="1260">
      <c r="D1260" s="201"/>
      <c r="I1260" s="201"/>
      <c r="R1260" t="str">
        <f t="shared" si="4"/>
        <v/>
      </c>
      <c r="S1260" s="201" t="str">
        <f t="shared" si="2"/>
        <v>#VALUE!</v>
      </c>
      <c r="T1260" t="str">
        <f t="shared" si="3"/>
        <v>#VALUE!</v>
      </c>
      <c r="U1260">
        <f t="shared" si="1"/>
        <v>0</v>
      </c>
    </row>
    <row r="1261">
      <c r="D1261" s="201"/>
      <c r="I1261" s="201"/>
      <c r="R1261" t="str">
        <f t="shared" si="4"/>
        <v/>
      </c>
      <c r="S1261" s="201" t="str">
        <f t="shared" si="2"/>
        <v>#VALUE!</v>
      </c>
      <c r="T1261" t="str">
        <f t="shared" si="3"/>
        <v>#VALUE!</v>
      </c>
      <c r="U1261">
        <f t="shared" si="1"/>
        <v>0</v>
      </c>
    </row>
    <row r="1262">
      <c r="D1262" s="201"/>
      <c r="I1262" s="201"/>
      <c r="R1262" t="str">
        <f t="shared" si="4"/>
        <v/>
      </c>
      <c r="S1262" s="201" t="str">
        <f t="shared" si="2"/>
        <v>#VALUE!</v>
      </c>
      <c r="T1262" t="str">
        <f t="shared" si="3"/>
        <v>#VALUE!</v>
      </c>
      <c r="U1262">
        <f t="shared" si="1"/>
        <v>0</v>
      </c>
    </row>
    <row r="1263">
      <c r="D1263" s="201"/>
      <c r="I1263" s="201"/>
      <c r="R1263" t="str">
        <f t="shared" si="4"/>
        <v/>
      </c>
      <c r="S1263" s="201" t="str">
        <f t="shared" si="2"/>
        <v>#VALUE!</v>
      </c>
      <c r="T1263" t="str">
        <f t="shared" si="3"/>
        <v>#VALUE!</v>
      </c>
      <c r="U1263">
        <f t="shared" si="1"/>
        <v>0</v>
      </c>
    </row>
    <row r="1264">
      <c r="D1264" s="201"/>
      <c r="I1264" s="201"/>
      <c r="R1264" t="str">
        <f t="shared" si="4"/>
        <v/>
      </c>
      <c r="S1264" s="201" t="str">
        <f t="shared" si="2"/>
        <v>#VALUE!</v>
      </c>
      <c r="T1264" t="str">
        <f t="shared" si="3"/>
        <v>#VALUE!</v>
      </c>
      <c r="U1264">
        <f t="shared" si="1"/>
        <v>0</v>
      </c>
    </row>
    <row r="1265">
      <c r="D1265" s="201"/>
      <c r="I1265" s="201"/>
      <c r="R1265" t="str">
        <f t="shared" si="4"/>
        <v/>
      </c>
      <c r="S1265" s="201" t="str">
        <f t="shared" si="2"/>
        <v>#VALUE!</v>
      </c>
      <c r="T1265" t="str">
        <f t="shared" si="3"/>
        <v>#VALUE!</v>
      </c>
      <c r="U1265">
        <f t="shared" si="1"/>
        <v>0</v>
      </c>
    </row>
    <row r="1266">
      <c r="D1266" s="201"/>
      <c r="I1266" s="201"/>
      <c r="R1266" t="str">
        <f t="shared" si="4"/>
        <v/>
      </c>
      <c r="S1266" s="201" t="str">
        <f t="shared" si="2"/>
        <v>#VALUE!</v>
      </c>
      <c r="T1266" t="str">
        <f t="shared" si="3"/>
        <v>#VALUE!</v>
      </c>
      <c r="U1266">
        <f t="shared" si="1"/>
        <v>0</v>
      </c>
    </row>
    <row r="1267">
      <c r="D1267" s="201"/>
      <c r="I1267" s="201"/>
      <c r="R1267" t="str">
        <f t="shared" si="4"/>
        <v/>
      </c>
      <c r="S1267" s="201" t="str">
        <f t="shared" si="2"/>
        <v>#VALUE!</v>
      </c>
      <c r="T1267" t="str">
        <f t="shared" si="3"/>
        <v>#VALUE!</v>
      </c>
      <c r="U1267">
        <f t="shared" si="1"/>
        <v>0</v>
      </c>
    </row>
    <row r="1268">
      <c r="D1268" s="201"/>
      <c r="I1268" s="201"/>
      <c r="R1268" t="str">
        <f t="shared" si="4"/>
        <v/>
      </c>
      <c r="S1268" s="201" t="str">
        <f t="shared" si="2"/>
        <v>#VALUE!</v>
      </c>
      <c r="T1268" t="str">
        <f t="shared" si="3"/>
        <v>#VALUE!</v>
      </c>
      <c r="U1268">
        <f t="shared" si="1"/>
        <v>0</v>
      </c>
    </row>
    <row r="1269">
      <c r="D1269" s="201"/>
      <c r="I1269" s="201"/>
      <c r="R1269" t="str">
        <f t="shared" si="4"/>
        <v/>
      </c>
      <c r="S1269" s="201" t="str">
        <f t="shared" si="2"/>
        <v>#VALUE!</v>
      </c>
      <c r="T1269" t="str">
        <f t="shared" si="3"/>
        <v>#VALUE!</v>
      </c>
      <c r="U1269">
        <f t="shared" si="1"/>
        <v>0</v>
      </c>
    </row>
    <row r="1270">
      <c r="D1270" s="201"/>
      <c r="I1270" s="201"/>
      <c r="R1270" t="str">
        <f t="shared" si="4"/>
        <v/>
      </c>
      <c r="S1270" s="201" t="str">
        <f t="shared" si="2"/>
        <v>#VALUE!</v>
      </c>
      <c r="T1270" t="str">
        <f t="shared" si="3"/>
        <v>#VALUE!</v>
      </c>
      <c r="U1270">
        <f t="shared" si="1"/>
        <v>0</v>
      </c>
    </row>
    <row r="1271">
      <c r="D1271" s="201"/>
      <c r="I1271" s="201"/>
      <c r="R1271" t="str">
        <f t="shared" si="4"/>
        <v/>
      </c>
      <c r="S1271" s="201" t="str">
        <f t="shared" si="2"/>
        <v>#VALUE!</v>
      </c>
      <c r="T1271" t="str">
        <f t="shared" si="3"/>
        <v>#VALUE!</v>
      </c>
      <c r="U1271">
        <f t="shared" si="1"/>
        <v>0</v>
      </c>
    </row>
    <row r="1272">
      <c r="D1272" s="201"/>
      <c r="I1272" s="201"/>
      <c r="R1272" t="str">
        <f t="shared" si="4"/>
        <v/>
      </c>
      <c r="S1272" s="201" t="str">
        <f t="shared" si="2"/>
        <v>#VALUE!</v>
      </c>
      <c r="T1272" t="str">
        <f t="shared" si="3"/>
        <v>#VALUE!</v>
      </c>
      <c r="U1272">
        <f t="shared" si="1"/>
        <v>0</v>
      </c>
    </row>
    <row r="1273">
      <c r="D1273" s="201"/>
      <c r="I1273" s="201"/>
      <c r="R1273" t="str">
        <f t="shared" si="4"/>
        <v/>
      </c>
      <c r="S1273" s="201" t="str">
        <f t="shared" si="2"/>
        <v>#VALUE!</v>
      </c>
      <c r="T1273" t="str">
        <f t="shared" si="3"/>
        <v>#VALUE!</v>
      </c>
      <c r="U1273">
        <f t="shared" si="1"/>
        <v>0</v>
      </c>
    </row>
    <row r="1274">
      <c r="D1274" s="201"/>
      <c r="I1274" s="201"/>
      <c r="R1274" t="str">
        <f t="shared" si="4"/>
        <v/>
      </c>
      <c r="S1274" s="201" t="str">
        <f t="shared" si="2"/>
        <v>#VALUE!</v>
      </c>
      <c r="T1274" t="str">
        <f t="shared" si="3"/>
        <v>#VALUE!</v>
      </c>
      <c r="U1274">
        <f t="shared" si="1"/>
        <v>0</v>
      </c>
    </row>
    <row r="1275">
      <c r="D1275" s="201"/>
      <c r="I1275" s="201"/>
      <c r="R1275" t="str">
        <f t="shared" si="4"/>
        <v/>
      </c>
      <c r="S1275" s="201" t="str">
        <f t="shared" si="2"/>
        <v>#VALUE!</v>
      </c>
      <c r="T1275" t="str">
        <f t="shared" si="3"/>
        <v>#VALUE!</v>
      </c>
      <c r="U1275">
        <f t="shared" si="1"/>
        <v>0</v>
      </c>
    </row>
    <row r="1276">
      <c r="D1276" s="201"/>
      <c r="I1276" s="201"/>
      <c r="R1276" t="str">
        <f t="shared" si="4"/>
        <v/>
      </c>
      <c r="S1276" s="201" t="str">
        <f t="shared" si="2"/>
        <v>#VALUE!</v>
      </c>
      <c r="T1276" t="str">
        <f t="shared" si="3"/>
        <v>#VALUE!</v>
      </c>
      <c r="U1276">
        <f t="shared" si="1"/>
        <v>0</v>
      </c>
    </row>
    <row r="1277">
      <c r="D1277" s="201"/>
      <c r="I1277" s="201"/>
      <c r="R1277" t="str">
        <f t="shared" si="4"/>
        <v/>
      </c>
      <c r="S1277" s="201" t="str">
        <f t="shared" si="2"/>
        <v>#VALUE!</v>
      </c>
      <c r="T1277" t="str">
        <f t="shared" si="3"/>
        <v>#VALUE!</v>
      </c>
      <c r="U1277">
        <f t="shared" si="1"/>
        <v>0</v>
      </c>
    </row>
    <row r="1278">
      <c r="D1278" s="201"/>
      <c r="I1278" s="201"/>
      <c r="R1278" t="str">
        <f t="shared" si="4"/>
        <v/>
      </c>
      <c r="S1278" s="201" t="str">
        <f t="shared" si="2"/>
        <v>#VALUE!</v>
      </c>
      <c r="T1278" t="str">
        <f t="shared" si="3"/>
        <v>#VALUE!</v>
      </c>
      <c r="U1278">
        <f t="shared" si="1"/>
        <v>0</v>
      </c>
    </row>
    <row r="1279">
      <c r="D1279" s="201"/>
      <c r="I1279" s="201"/>
      <c r="R1279" t="str">
        <f t="shared" si="4"/>
        <v/>
      </c>
      <c r="S1279" s="201" t="str">
        <f t="shared" si="2"/>
        <v>#VALUE!</v>
      </c>
      <c r="T1279" t="str">
        <f t="shared" si="3"/>
        <v>#VALUE!</v>
      </c>
      <c r="U1279">
        <f t="shared" si="1"/>
        <v>0</v>
      </c>
    </row>
    <row r="1280">
      <c r="D1280" s="201"/>
      <c r="I1280" s="201"/>
      <c r="R1280" t="str">
        <f t="shared" si="4"/>
        <v/>
      </c>
      <c r="S1280" s="201" t="str">
        <f t="shared" si="2"/>
        <v>#VALUE!</v>
      </c>
      <c r="T1280" t="str">
        <f t="shared" si="3"/>
        <v>#VALUE!</v>
      </c>
      <c r="U1280">
        <f t="shared" si="1"/>
        <v>0</v>
      </c>
    </row>
    <row r="1281">
      <c r="D1281" s="201"/>
      <c r="I1281" s="201"/>
      <c r="R1281" t="str">
        <f t="shared" si="4"/>
        <v/>
      </c>
      <c r="S1281" s="201" t="str">
        <f t="shared" si="2"/>
        <v>#VALUE!</v>
      </c>
      <c r="T1281" t="str">
        <f t="shared" si="3"/>
        <v>#VALUE!</v>
      </c>
      <c r="U1281">
        <f t="shared" si="1"/>
        <v>0</v>
      </c>
    </row>
    <row r="1282">
      <c r="D1282" s="201"/>
      <c r="I1282" s="201"/>
      <c r="R1282" t="str">
        <f t="shared" si="4"/>
        <v/>
      </c>
      <c r="S1282" s="201" t="str">
        <f t="shared" si="2"/>
        <v>#VALUE!</v>
      </c>
      <c r="T1282" t="str">
        <f t="shared" si="3"/>
        <v>#VALUE!</v>
      </c>
      <c r="U1282">
        <f t="shared" si="1"/>
        <v>0</v>
      </c>
    </row>
    <row r="1283">
      <c r="D1283" s="201"/>
      <c r="I1283" s="201"/>
      <c r="R1283" t="str">
        <f t="shared" si="4"/>
        <v/>
      </c>
      <c r="S1283" s="201" t="str">
        <f t="shared" si="2"/>
        <v>#VALUE!</v>
      </c>
      <c r="T1283" t="str">
        <f t="shared" si="3"/>
        <v>#VALUE!</v>
      </c>
      <c r="U1283">
        <f t="shared" si="1"/>
        <v>0</v>
      </c>
    </row>
    <row r="1284">
      <c r="D1284" s="201"/>
      <c r="I1284" s="201"/>
      <c r="R1284" t="str">
        <f t="shared" si="4"/>
        <v/>
      </c>
      <c r="S1284" s="201" t="str">
        <f t="shared" si="2"/>
        <v>#VALUE!</v>
      </c>
      <c r="T1284" t="str">
        <f t="shared" si="3"/>
        <v>#VALUE!</v>
      </c>
      <c r="U1284">
        <f t="shared" si="1"/>
        <v>0</v>
      </c>
    </row>
    <row r="1285">
      <c r="D1285" s="201"/>
      <c r="I1285" s="201"/>
      <c r="R1285" t="str">
        <f t="shared" si="4"/>
        <v/>
      </c>
      <c r="S1285" s="201" t="str">
        <f t="shared" si="2"/>
        <v>#VALUE!</v>
      </c>
      <c r="T1285" t="str">
        <f t="shared" si="3"/>
        <v>#VALUE!</v>
      </c>
      <c r="U1285">
        <f t="shared" si="1"/>
        <v>0</v>
      </c>
    </row>
    <row r="1286">
      <c r="D1286" s="201"/>
      <c r="I1286" s="201"/>
      <c r="R1286" t="str">
        <f t="shared" si="4"/>
        <v/>
      </c>
      <c r="S1286" s="201" t="str">
        <f t="shared" si="2"/>
        <v>#VALUE!</v>
      </c>
      <c r="T1286" t="str">
        <f t="shared" si="3"/>
        <v>#VALUE!</v>
      </c>
      <c r="U1286">
        <f t="shared" si="1"/>
        <v>0</v>
      </c>
    </row>
    <row r="1287">
      <c r="D1287" s="201"/>
      <c r="I1287" s="201"/>
      <c r="R1287" t="str">
        <f t="shared" si="4"/>
        <v/>
      </c>
      <c r="S1287" s="201" t="str">
        <f t="shared" si="2"/>
        <v>#VALUE!</v>
      </c>
      <c r="T1287" t="str">
        <f t="shared" si="3"/>
        <v>#VALUE!</v>
      </c>
      <c r="U1287">
        <f t="shared" si="1"/>
        <v>0</v>
      </c>
    </row>
    <row r="1288">
      <c r="D1288" s="201"/>
      <c r="I1288" s="201"/>
      <c r="R1288" t="str">
        <f t="shared" si="4"/>
        <v/>
      </c>
      <c r="S1288" s="201" t="str">
        <f t="shared" si="2"/>
        <v>#VALUE!</v>
      </c>
      <c r="T1288" t="str">
        <f t="shared" si="3"/>
        <v>#VALUE!</v>
      </c>
      <c r="U1288">
        <f t="shared" si="1"/>
        <v>0</v>
      </c>
    </row>
    <row r="1289">
      <c r="D1289" s="201"/>
      <c r="I1289" s="201"/>
      <c r="R1289" t="str">
        <f t="shared" si="4"/>
        <v/>
      </c>
      <c r="S1289" s="201" t="str">
        <f t="shared" si="2"/>
        <v>#VALUE!</v>
      </c>
      <c r="T1289" t="str">
        <f t="shared" si="3"/>
        <v>#VALUE!</v>
      </c>
      <c r="U1289">
        <f t="shared" si="1"/>
        <v>0</v>
      </c>
    </row>
    <row r="1290">
      <c r="D1290" s="201"/>
      <c r="I1290" s="201"/>
      <c r="R1290" t="str">
        <f t="shared" si="4"/>
        <v/>
      </c>
      <c r="S1290" s="201" t="str">
        <f t="shared" si="2"/>
        <v>#VALUE!</v>
      </c>
      <c r="T1290" t="str">
        <f t="shared" si="3"/>
        <v>#VALUE!</v>
      </c>
      <c r="U1290">
        <f t="shared" si="1"/>
        <v>0</v>
      </c>
    </row>
    <row r="1291">
      <c r="D1291" s="201"/>
      <c r="I1291" s="201"/>
      <c r="R1291" t="str">
        <f t="shared" si="4"/>
        <v/>
      </c>
      <c r="S1291" s="201" t="str">
        <f t="shared" si="2"/>
        <v>#VALUE!</v>
      </c>
      <c r="T1291" t="str">
        <f t="shared" si="3"/>
        <v>#VALUE!</v>
      </c>
      <c r="U1291">
        <f t="shared" si="1"/>
        <v>0</v>
      </c>
    </row>
    <row r="1292">
      <c r="D1292" s="201"/>
      <c r="I1292" s="201"/>
      <c r="R1292" t="str">
        <f t="shared" si="4"/>
        <v/>
      </c>
      <c r="S1292" s="201" t="str">
        <f t="shared" si="2"/>
        <v>#VALUE!</v>
      </c>
      <c r="T1292" t="str">
        <f t="shared" si="3"/>
        <v>#VALUE!</v>
      </c>
      <c r="U1292">
        <f t="shared" si="1"/>
        <v>0</v>
      </c>
    </row>
    <row r="1293">
      <c r="D1293" s="201"/>
      <c r="I1293" s="201"/>
      <c r="R1293" t="str">
        <f t="shared" si="4"/>
        <v/>
      </c>
      <c r="S1293" s="201" t="str">
        <f t="shared" si="2"/>
        <v>#VALUE!</v>
      </c>
      <c r="T1293" t="str">
        <f t="shared" si="3"/>
        <v>#VALUE!</v>
      </c>
      <c r="U1293">
        <f t="shared" si="1"/>
        <v>0</v>
      </c>
    </row>
    <row r="1294">
      <c r="D1294" s="201"/>
      <c r="I1294" s="201"/>
      <c r="R1294" t="str">
        <f t="shared" si="4"/>
        <v/>
      </c>
      <c r="S1294" s="201" t="str">
        <f t="shared" si="2"/>
        <v>#VALUE!</v>
      </c>
      <c r="T1294" t="str">
        <f t="shared" si="3"/>
        <v>#VALUE!</v>
      </c>
      <c r="U1294">
        <f t="shared" si="1"/>
        <v>0</v>
      </c>
    </row>
    <row r="1295">
      <c r="D1295" s="201"/>
      <c r="I1295" s="201"/>
      <c r="R1295" t="str">
        <f t="shared" si="4"/>
        <v/>
      </c>
      <c r="S1295" s="201" t="str">
        <f t="shared" si="2"/>
        <v>#VALUE!</v>
      </c>
      <c r="T1295" t="str">
        <f t="shared" si="3"/>
        <v>#VALUE!</v>
      </c>
      <c r="U1295">
        <f t="shared" si="1"/>
        <v>0</v>
      </c>
    </row>
    <row r="1296">
      <c r="D1296" s="201"/>
      <c r="I1296" s="201"/>
      <c r="R1296" t="str">
        <f t="shared" si="4"/>
        <v/>
      </c>
      <c r="S1296" s="201" t="str">
        <f t="shared" si="2"/>
        <v>#VALUE!</v>
      </c>
      <c r="T1296" t="str">
        <f t="shared" si="3"/>
        <v>#VALUE!</v>
      </c>
      <c r="U1296">
        <f t="shared" si="1"/>
        <v>0</v>
      </c>
    </row>
    <row r="1297">
      <c r="D1297" s="201"/>
      <c r="I1297" s="201"/>
      <c r="R1297" t="str">
        <f t="shared" si="4"/>
        <v/>
      </c>
      <c r="S1297" s="201" t="str">
        <f t="shared" si="2"/>
        <v>#VALUE!</v>
      </c>
      <c r="T1297" t="str">
        <f t="shared" si="3"/>
        <v>#VALUE!</v>
      </c>
      <c r="U1297">
        <f t="shared" si="1"/>
        <v>0</v>
      </c>
    </row>
    <row r="1298">
      <c r="D1298" s="201"/>
      <c r="I1298" s="201"/>
      <c r="R1298" t="str">
        <f t="shared" si="4"/>
        <v/>
      </c>
      <c r="S1298" s="201" t="str">
        <f t="shared" si="2"/>
        <v>#VALUE!</v>
      </c>
      <c r="T1298" t="str">
        <f t="shared" si="3"/>
        <v>#VALUE!</v>
      </c>
      <c r="U1298">
        <f t="shared" si="1"/>
        <v>0</v>
      </c>
    </row>
    <row r="1299">
      <c r="D1299" s="201"/>
      <c r="I1299" s="201"/>
      <c r="R1299" t="str">
        <f t="shared" si="4"/>
        <v/>
      </c>
      <c r="S1299" s="201" t="str">
        <f t="shared" si="2"/>
        <v>#VALUE!</v>
      </c>
      <c r="T1299" t="str">
        <f t="shared" si="3"/>
        <v>#VALUE!</v>
      </c>
      <c r="U1299">
        <f t="shared" si="1"/>
        <v>0</v>
      </c>
    </row>
    <row r="1300">
      <c r="D1300" s="201"/>
      <c r="I1300" s="201"/>
      <c r="R1300" t="str">
        <f t="shared" si="4"/>
        <v/>
      </c>
      <c r="S1300" s="201" t="str">
        <f t="shared" si="2"/>
        <v>#VALUE!</v>
      </c>
      <c r="T1300" t="str">
        <f t="shared" si="3"/>
        <v>#VALUE!</v>
      </c>
      <c r="U1300">
        <f t="shared" si="1"/>
        <v>0</v>
      </c>
    </row>
    <row r="1301">
      <c r="D1301" s="201"/>
      <c r="I1301" s="201"/>
      <c r="R1301" t="str">
        <f t="shared" si="4"/>
        <v/>
      </c>
      <c r="S1301" s="201" t="str">
        <f t="shared" si="2"/>
        <v>#VALUE!</v>
      </c>
      <c r="T1301" t="str">
        <f t="shared" si="3"/>
        <v>#VALUE!</v>
      </c>
      <c r="U1301">
        <f t="shared" si="1"/>
        <v>0</v>
      </c>
    </row>
    <row r="1302">
      <c r="D1302" s="201"/>
      <c r="I1302" s="201"/>
      <c r="R1302" t="str">
        <f t="shared" si="4"/>
        <v/>
      </c>
      <c r="S1302" s="201" t="str">
        <f t="shared" si="2"/>
        <v>#VALUE!</v>
      </c>
      <c r="T1302" t="str">
        <f t="shared" si="3"/>
        <v>#VALUE!</v>
      </c>
      <c r="U1302">
        <f t="shared" si="1"/>
        <v>0</v>
      </c>
    </row>
    <row r="1303">
      <c r="D1303" s="201"/>
      <c r="I1303" s="201"/>
      <c r="R1303" t="str">
        <f t="shared" si="4"/>
        <v/>
      </c>
      <c r="S1303" s="201" t="str">
        <f t="shared" si="2"/>
        <v>#VALUE!</v>
      </c>
      <c r="T1303" t="str">
        <f t="shared" si="3"/>
        <v>#VALUE!</v>
      </c>
      <c r="U1303">
        <f t="shared" si="1"/>
        <v>0</v>
      </c>
    </row>
    <row r="1304">
      <c r="D1304" s="201"/>
      <c r="I1304" s="201"/>
      <c r="R1304" t="str">
        <f t="shared" si="4"/>
        <v/>
      </c>
      <c r="S1304" s="201" t="str">
        <f t="shared" si="2"/>
        <v>#VALUE!</v>
      </c>
      <c r="T1304" t="str">
        <f t="shared" si="3"/>
        <v>#VALUE!</v>
      </c>
      <c r="U1304">
        <f t="shared" si="1"/>
        <v>0</v>
      </c>
    </row>
    <row r="1305">
      <c r="D1305" s="201"/>
      <c r="I1305" s="201"/>
      <c r="R1305" t="str">
        <f t="shared" si="4"/>
        <v/>
      </c>
      <c r="S1305" s="201" t="str">
        <f t="shared" si="2"/>
        <v>#VALUE!</v>
      </c>
      <c r="T1305" t="str">
        <f t="shared" si="3"/>
        <v>#VALUE!</v>
      </c>
      <c r="U1305">
        <f t="shared" si="1"/>
        <v>0</v>
      </c>
    </row>
    <row r="1306">
      <c r="D1306" s="201"/>
      <c r="I1306" s="201"/>
      <c r="R1306" t="str">
        <f t="shared" si="4"/>
        <v/>
      </c>
      <c r="S1306" s="201" t="str">
        <f t="shared" si="2"/>
        <v>#VALUE!</v>
      </c>
      <c r="T1306" t="str">
        <f t="shared" si="3"/>
        <v>#VALUE!</v>
      </c>
      <c r="U1306">
        <f t="shared" si="1"/>
        <v>0</v>
      </c>
    </row>
    <row r="1307">
      <c r="D1307" s="201"/>
      <c r="I1307" s="201"/>
      <c r="R1307" t="str">
        <f t="shared" si="4"/>
        <v/>
      </c>
      <c r="S1307" s="201" t="str">
        <f t="shared" si="2"/>
        <v>#VALUE!</v>
      </c>
      <c r="T1307" t="str">
        <f t="shared" si="3"/>
        <v>#VALUE!</v>
      </c>
      <c r="U1307">
        <f t="shared" si="1"/>
        <v>0</v>
      </c>
    </row>
    <row r="1308">
      <c r="D1308" s="201"/>
      <c r="I1308" s="201"/>
      <c r="R1308" t="str">
        <f t="shared" si="4"/>
        <v/>
      </c>
      <c r="S1308" s="201" t="str">
        <f t="shared" si="2"/>
        <v>#VALUE!</v>
      </c>
      <c r="T1308" t="str">
        <f t="shared" si="3"/>
        <v>#VALUE!</v>
      </c>
      <c r="U1308">
        <f t="shared" si="1"/>
        <v>0</v>
      </c>
    </row>
    <row r="1309">
      <c r="D1309" s="201"/>
      <c r="I1309" s="201"/>
      <c r="R1309" t="str">
        <f t="shared" si="4"/>
        <v/>
      </c>
      <c r="S1309" s="201" t="str">
        <f t="shared" si="2"/>
        <v>#VALUE!</v>
      </c>
      <c r="T1309" t="str">
        <f t="shared" si="3"/>
        <v>#VALUE!</v>
      </c>
      <c r="U1309">
        <f t="shared" si="1"/>
        <v>0</v>
      </c>
    </row>
    <row r="1310">
      <c r="D1310" s="201"/>
      <c r="I1310" s="201"/>
      <c r="R1310" t="str">
        <f t="shared" si="4"/>
        <v/>
      </c>
      <c r="S1310" s="201" t="str">
        <f t="shared" si="2"/>
        <v>#VALUE!</v>
      </c>
      <c r="T1310" t="str">
        <f t="shared" si="3"/>
        <v>#VALUE!</v>
      </c>
      <c r="U1310">
        <f t="shared" si="1"/>
        <v>0</v>
      </c>
    </row>
    <row r="1311">
      <c r="D1311" s="201"/>
      <c r="I1311" s="201"/>
      <c r="R1311" t="str">
        <f t="shared" si="4"/>
        <v/>
      </c>
      <c r="S1311" s="201" t="str">
        <f t="shared" si="2"/>
        <v>#VALUE!</v>
      </c>
      <c r="T1311" t="str">
        <f t="shared" si="3"/>
        <v>#VALUE!</v>
      </c>
      <c r="U1311">
        <f t="shared" si="1"/>
        <v>0</v>
      </c>
    </row>
    <row r="1312">
      <c r="D1312" s="201"/>
      <c r="I1312" s="201"/>
      <c r="R1312" t="str">
        <f t="shared" si="4"/>
        <v/>
      </c>
      <c r="S1312" s="201" t="str">
        <f t="shared" si="2"/>
        <v>#VALUE!</v>
      </c>
      <c r="T1312" t="str">
        <f t="shared" si="3"/>
        <v>#VALUE!</v>
      </c>
      <c r="U1312">
        <f t="shared" si="1"/>
        <v>0</v>
      </c>
    </row>
    <row r="1313">
      <c r="D1313" s="201"/>
      <c r="I1313" s="201"/>
      <c r="R1313" t="str">
        <f t="shared" si="4"/>
        <v/>
      </c>
      <c r="S1313" s="201" t="str">
        <f t="shared" si="2"/>
        <v>#VALUE!</v>
      </c>
      <c r="T1313" t="str">
        <f t="shared" si="3"/>
        <v>#VALUE!</v>
      </c>
      <c r="U1313">
        <f t="shared" si="1"/>
        <v>0</v>
      </c>
    </row>
    <row r="1314">
      <c r="D1314" s="201"/>
      <c r="I1314" s="201"/>
      <c r="R1314" t="str">
        <f t="shared" si="4"/>
        <v/>
      </c>
      <c r="S1314" s="201" t="str">
        <f t="shared" si="2"/>
        <v>#VALUE!</v>
      </c>
      <c r="T1314" t="str">
        <f t="shared" si="3"/>
        <v>#VALUE!</v>
      </c>
      <c r="U1314">
        <f t="shared" si="1"/>
        <v>0</v>
      </c>
    </row>
    <row r="1315">
      <c r="D1315" s="201"/>
      <c r="I1315" s="201"/>
      <c r="R1315" t="str">
        <f t="shared" si="4"/>
        <v/>
      </c>
      <c r="S1315" s="201" t="str">
        <f t="shared" si="2"/>
        <v>#VALUE!</v>
      </c>
      <c r="T1315" t="str">
        <f t="shared" si="3"/>
        <v>#VALUE!</v>
      </c>
      <c r="U1315">
        <f t="shared" si="1"/>
        <v>0</v>
      </c>
    </row>
    <row r="1316">
      <c r="D1316" s="201"/>
      <c r="I1316" s="201"/>
      <c r="R1316" t="str">
        <f t="shared" si="4"/>
        <v/>
      </c>
      <c r="S1316" s="201" t="str">
        <f t="shared" si="2"/>
        <v>#VALUE!</v>
      </c>
      <c r="T1316" t="str">
        <f t="shared" si="3"/>
        <v>#VALUE!</v>
      </c>
      <c r="U1316">
        <f t="shared" si="1"/>
        <v>0</v>
      </c>
    </row>
    <row r="1317">
      <c r="D1317" s="201"/>
      <c r="I1317" s="201"/>
      <c r="R1317" t="str">
        <f t="shared" si="4"/>
        <v/>
      </c>
      <c r="S1317" s="201" t="str">
        <f t="shared" si="2"/>
        <v>#VALUE!</v>
      </c>
      <c r="T1317" t="str">
        <f t="shared" si="3"/>
        <v>#VALUE!</v>
      </c>
      <c r="U1317">
        <f t="shared" si="1"/>
        <v>0</v>
      </c>
    </row>
    <row r="1318">
      <c r="D1318" s="201"/>
      <c r="I1318" s="201"/>
      <c r="R1318" t="str">
        <f t="shared" si="4"/>
        <v/>
      </c>
      <c r="S1318" s="201" t="str">
        <f t="shared" si="2"/>
        <v>#VALUE!</v>
      </c>
      <c r="T1318" t="str">
        <f t="shared" si="3"/>
        <v>#VALUE!</v>
      </c>
      <c r="U1318">
        <f t="shared" si="1"/>
        <v>0</v>
      </c>
    </row>
    <row r="1319">
      <c r="D1319" s="201"/>
      <c r="I1319" s="201"/>
      <c r="R1319" t="str">
        <f t="shared" si="4"/>
        <v/>
      </c>
      <c r="S1319" s="201" t="str">
        <f t="shared" si="2"/>
        <v>#VALUE!</v>
      </c>
      <c r="T1319" t="str">
        <f t="shared" si="3"/>
        <v>#VALUE!</v>
      </c>
      <c r="U1319">
        <f t="shared" si="1"/>
        <v>0</v>
      </c>
    </row>
    <row r="1320">
      <c r="D1320" s="201"/>
      <c r="I1320" s="201"/>
      <c r="R1320" t="str">
        <f t="shared" si="4"/>
        <v/>
      </c>
      <c r="S1320" s="201" t="str">
        <f t="shared" si="2"/>
        <v>#VALUE!</v>
      </c>
      <c r="T1320" t="str">
        <f t="shared" si="3"/>
        <v>#VALUE!</v>
      </c>
      <c r="U1320">
        <f t="shared" si="1"/>
        <v>0</v>
      </c>
    </row>
    <row r="1321">
      <c r="D1321" s="201"/>
      <c r="I1321" s="201"/>
      <c r="R1321" t="str">
        <f t="shared" si="4"/>
        <v/>
      </c>
      <c r="S1321" s="201" t="str">
        <f t="shared" si="2"/>
        <v>#VALUE!</v>
      </c>
      <c r="T1321" t="str">
        <f t="shared" si="3"/>
        <v>#VALUE!</v>
      </c>
      <c r="U1321">
        <f t="shared" si="1"/>
        <v>0</v>
      </c>
    </row>
    <row r="1322">
      <c r="D1322" s="201"/>
      <c r="I1322" s="201"/>
      <c r="R1322" t="str">
        <f t="shared" si="4"/>
        <v/>
      </c>
      <c r="S1322" s="201" t="str">
        <f t="shared" si="2"/>
        <v>#VALUE!</v>
      </c>
      <c r="T1322" t="str">
        <f t="shared" si="3"/>
        <v>#VALUE!</v>
      </c>
      <c r="U1322">
        <f t="shared" si="1"/>
        <v>0</v>
      </c>
    </row>
    <row r="1323">
      <c r="D1323" s="201"/>
      <c r="I1323" s="201"/>
      <c r="R1323" t="str">
        <f t="shared" si="4"/>
        <v/>
      </c>
      <c r="S1323" s="201" t="str">
        <f t="shared" si="2"/>
        <v>#VALUE!</v>
      </c>
      <c r="T1323" t="str">
        <f t="shared" si="3"/>
        <v>#VALUE!</v>
      </c>
      <c r="U1323">
        <f t="shared" si="1"/>
        <v>0</v>
      </c>
    </row>
    <row r="1324">
      <c r="D1324" s="201"/>
      <c r="I1324" s="201"/>
      <c r="R1324" t="str">
        <f t="shared" si="4"/>
        <v/>
      </c>
      <c r="S1324" s="201" t="str">
        <f t="shared" si="2"/>
        <v>#VALUE!</v>
      </c>
      <c r="T1324" t="str">
        <f t="shared" si="3"/>
        <v>#VALUE!</v>
      </c>
      <c r="U1324">
        <f t="shared" si="1"/>
        <v>0</v>
      </c>
    </row>
    <row r="1325">
      <c r="D1325" s="201"/>
      <c r="I1325" s="201"/>
      <c r="R1325" t="str">
        <f t="shared" si="4"/>
        <v/>
      </c>
      <c r="S1325" s="201" t="str">
        <f t="shared" si="2"/>
        <v>#VALUE!</v>
      </c>
      <c r="T1325" t="str">
        <f t="shared" si="3"/>
        <v>#VALUE!</v>
      </c>
      <c r="U1325">
        <f t="shared" si="1"/>
        <v>0</v>
      </c>
    </row>
    <row r="1326">
      <c r="D1326" s="201"/>
      <c r="I1326" s="201"/>
      <c r="R1326" t="str">
        <f t="shared" si="4"/>
        <v/>
      </c>
      <c r="S1326" s="201" t="str">
        <f t="shared" si="2"/>
        <v>#VALUE!</v>
      </c>
      <c r="T1326" t="str">
        <f t="shared" si="3"/>
        <v>#VALUE!</v>
      </c>
      <c r="U1326">
        <f t="shared" si="1"/>
        <v>0</v>
      </c>
    </row>
    <row r="1327">
      <c r="D1327" s="201"/>
      <c r="I1327" s="201"/>
      <c r="R1327" t="str">
        <f t="shared" si="4"/>
        <v/>
      </c>
      <c r="S1327" s="201" t="str">
        <f t="shared" si="2"/>
        <v>#VALUE!</v>
      </c>
      <c r="T1327" t="str">
        <f t="shared" si="3"/>
        <v>#VALUE!</v>
      </c>
      <c r="U1327">
        <f t="shared" si="1"/>
        <v>0</v>
      </c>
    </row>
    <row r="1328">
      <c r="D1328" s="201"/>
      <c r="I1328" s="201"/>
      <c r="R1328" t="str">
        <f t="shared" si="4"/>
        <v/>
      </c>
      <c r="S1328" s="201" t="str">
        <f t="shared" si="2"/>
        <v>#VALUE!</v>
      </c>
      <c r="T1328" t="str">
        <f t="shared" si="3"/>
        <v>#VALUE!</v>
      </c>
      <c r="U1328">
        <f t="shared" si="1"/>
        <v>0</v>
      </c>
    </row>
    <row r="1329">
      <c r="D1329" s="201"/>
      <c r="I1329" s="201"/>
      <c r="R1329" t="str">
        <f t="shared" si="4"/>
        <v/>
      </c>
      <c r="S1329" s="201" t="str">
        <f t="shared" si="2"/>
        <v>#VALUE!</v>
      </c>
      <c r="T1329" t="str">
        <f t="shared" si="3"/>
        <v>#VALUE!</v>
      </c>
      <c r="U1329">
        <f t="shared" si="1"/>
        <v>0</v>
      </c>
    </row>
    <row r="1330">
      <c r="D1330" s="201"/>
      <c r="I1330" s="201"/>
      <c r="R1330" t="str">
        <f t="shared" si="4"/>
        <v/>
      </c>
      <c r="S1330" s="201" t="str">
        <f t="shared" si="2"/>
        <v>#VALUE!</v>
      </c>
      <c r="T1330" t="str">
        <f t="shared" si="3"/>
        <v>#VALUE!</v>
      </c>
      <c r="U1330">
        <f t="shared" si="1"/>
        <v>0</v>
      </c>
    </row>
    <row r="1331">
      <c r="D1331" s="201"/>
      <c r="I1331" s="201"/>
      <c r="R1331" t="str">
        <f t="shared" si="4"/>
        <v/>
      </c>
      <c r="S1331" s="201" t="str">
        <f t="shared" si="2"/>
        <v>#VALUE!</v>
      </c>
      <c r="T1331" t="str">
        <f t="shared" si="3"/>
        <v>#VALUE!</v>
      </c>
      <c r="U1331">
        <f t="shared" si="1"/>
        <v>0</v>
      </c>
    </row>
    <row r="1332">
      <c r="D1332" s="201"/>
      <c r="I1332" s="201"/>
      <c r="R1332" t="str">
        <f t="shared" si="4"/>
        <v/>
      </c>
      <c r="S1332" s="201" t="str">
        <f t="shared" si="2"/>
        <v>#VALUE!</v>
      </c>
      <c r="T1332" t="str">
        <f t="shared" si="3"/>
        <v>#VALUE!</v>
      </c>
      <c r="U1332">
        <f t="shared" si="1"/>
        <v>0</v>
      </c>
    </row>
    <row r="1333">
      <c r="D1333" s="201"/>
      <c r="I1333" s="201"/>
      <c r="R1333" t="str">
        <f t="shared" si="4"/>
        <v/>
      </c>
      <c r="S1333" s="201" t="str">
        <f t="shared" si="2"/>
        <v>#VALUE!</v>
      </c>
      <c r="T1333" t="str">
        <f t="shared" si="3"/>
        <v>#VALUE!</v>
      </c>
      <c r="U1333">
        <f t="shared" si="1"/>
        <v>0</v>
      </c>
    </row>
    <row r="1334">
      <c r="D1334" s="201"/>
      <c r="I1334" s="201"/>
      <c r="R1334" t="str">
        <f t="shared" si="4"/>
        <v/>
      </c>
      <c r="S1334" s="201" t="str">
        <f t="shared" si="2"/>
        <v>#VALUE!</v>
      </c>
      <c r="T1334" t="str">
        <f t="shared" si="3"/>
        <v>#VALUE!</v>
      </c>
      <c r="U1334">
        <f t="shared" si="1"/>
        <v>0</v>
      </c>
    </row>
    <row r="1335">
      <c r="D1335" s="201"/>
      <c r="I1335" s="201"/>
      <c r="R1335" t="str">
        <f t="shared" si="4"/>
        <v/>
      </c>
      <c r="S1335" s="201" t="str">
        <f t="shared" si="2"/>
        <v>#VALUE!</v>
      </c>
      <c r="T1335" t="str">
        <f t="shared" si="3"/>
        <v>#VALUE!</v>
      </c>
      <c r="U1335">
        <f t="shared" si="1"/>
        <v>0</v>
      </c>
    </row>
    <row r="1336">
      <c r="D1336" s="201"/>
      <c r="I1336" s="201"/>
      <c r="R1336" t="str">
        <f t="shared" si="4"/>
        <v/>
      </c>
      <c r="S1336" s="201" t="str">
        <f t="shared" si="2"/>
        <v>#VALUE!</v>
      </c>
      <c r="T1336" t="str">
        <f t="shared" si="3"/>
        <v>#VALUE!</v>
      </c>
      <c r="U1336">
        <f t="shared" si="1"/>
        <v>0</v>
      </c>
    </row>
    <row r="1337">
      <c r="D1337" s="201"/>
      <c r="I1337" s="201"/>
      <c r="R1337" t="str">
        <f t="shared" si="4"/>
        <v/>
      </c>
      <c r="S1337" s="201" t="str">
        <f t="shared" si="2"/>
        <v>#VALUE!</v>
      </c>
      <c r="T1337" t="str">
        <f t="shared" si="3"/>
        <v>#VALUE!</v>
      </c>
      <c r="U1337">
        <f t="shared" si="1"/>
        <v>0</v>
      </c>
    </row>
    <row r="1338">
      <c r="D1338" s="201"/>
      <c r="I1338" s="201"/>
      <c r="R1338" t="str">
        <f t="shared" si="4"/>
        <v/>
      </c>
      <c r="S1338" s="201" t="str">
        <f t="shared" si="2"/>
        <v>#VALUE!</v>
      </c>
      <c r="T1338" t="str">
        <f t="shared" si="3"/>
        <v>#VALUE!</v>
      </c>
      <c r="U1338">
        <f t="shared" si="1"/>
        <v>0</v>
      </c>
    </row>
    <row r="1339">
      <c r="D1339" s="201"/>
      <c r="I1339" s="201"/>
      <c r="R1339" t="str">
        <f t="shared" si="4"/>
        <v/>
      </c>
      <c r="S1339" s="201" t="str">
        <f t="shared" si="2"/>
        <v>#VALUE!</v>
      </c>
      <c r="T1339" t="str">
        <f t="shared" si="3"/>
        <v>#VALUE!</v>
      </c>
      <c r="U1339">
        <f t="shared" si="1"/>
        <v>0</v>
      </c>
    </row>
    <row r="1340">
      <c r="D1340" s="201"/>
      <c r="I1340" s="201"/>
      <c r="R1340" t="str">
        <f t="shared" si="4"/>
        <v/>
      </c>
      <c r="S1340" s="201" t="str">
        <f t="shared" si="2"/>
        <v>#VALUE!</v>
      </c>
      <c r="T1340" t="str">
        <f t="shared" si="3"/>
        <v>#VALUE!</v>
      </c>
      <c r="U1340">
        <f t="shared" si="1"/>
        <v>0</v>
      </c>
    </row>
    <row r="1341">
      <c r="D1341" s="201"/>
      <c r="I1341" s="201"/>
      <c r="R1341" t="str">
        <f t="shared" si="4"/>
        <v/>
      </c>
      <c r="S1341" s="201" t="str">
        <f t="shared" si="2"/>
        <v>#VALUE!</v>
      </c>
      <c r="T1341" t="str">
        <f t="shared" si="3"/>
        <v>#VALUE!</v>
      </c>
      <c r="U1341">
        <f t="shared" si="1"/>
        <v>0</v>
      </c>
    </row>
    <row r="1342">
      <c r="D1342" s="201"/>
      <c r="I1342" s="201"/>
      <c r="R1342" t="str">
        <f t="shared" si="4"/>
        <v/>
      </c>
      <c r="S1342" s="201" t="str">
        <f t="shared" si="2"/>
        <v>#VALUE!</v>
      </c>
      <c r="T1342" t="str">
        <f t="shared" si="3"/>
        <v>#VALUE!</v>
      </c>
      <c r="U1342">
        <f t="shared" si="1"/>
        <v>0</v>
      </c>
    </row>
    <row r="1343">
      <c r="D1343" s="201"/>
      <c r="I1343" s="201"/>
      <c r="R1343" t="str">
        <f t="shared" si="4"/>
        <v/>
      </c>
      <c r="S1343" s="201" t="str">
        <f t="shared" si="2"/>
        <v>#VALUE!</v>
      </c>
      <c r="T1343" t="str">
        <f t="shared" si="3"/>
        <v>#VALUE!</v>
      </c>
      <c r="U1343">
        <f t="shared" si="1"/>
        <v>0</v>
      </c>
    </row>
    <row r="1344">
      <c r="D1344" s="201"/>
      <c r="I1344" s="201"/>
      <c r="R1344" t="str">
        <f t="shared" si="4"/>
        <v/>
      </c>
      <c r="S1344" s="201" t="str">
        <f t="shared" si="2"/>
        <v>#VALUE!</v>
      </c>
      <c r="T1344" t="str">
        <f t="shared" si="3"/>
        <v>#VALUE!</v>
      </c>
      <c r="U1344">
        <f t="shared" si="1"/>
        <v>0</v>
      </c>
    </row>
    <row r="1345">
      <c r="D1345" s="201"/>
      <c r="I1345" s="201"/>
      <c r="R1345" t="str">
        <f t="shared" si="4"/>
        <v/>
      </c>
      <c r="S1345" s="201" t="str">
        <f t="shared" si="2"/>
        <v>#VALUE!</v>
      </c>
      <c r="T1345" t="str">
        <f t="shared" si="3"/>
        <v>#VALUE!</v>
      </c>
      <c r="U1345">
        <f t="shared" si="1"/>
        <v>0</v>
      </c>
    </row>
    <row r="1346">
      <c r="D1346" s="201"/>
      <c r="I1346" s="201"/>
      <c r="R1346" t="str">
        <f t="shared" si="4"/>
        <v/>
      </c>
      <c r="S1346" s="201" t="str">
        <f t="shared" si="2"/>
        <v>#VALUE!</v>
      </c>
      <c r="T1346" t="str">
        <f t="shared" si="3"/>
        <v>#VALUE!</v>
      </c>
      <c r="U1346">
        <f t="shared" si="1"/>
        <v>0</v>
      </c>
    </row>
    <row r="1347">
      <c r="D1347" s="201"/>
      <c r="I1347" s="201"/>
      <c r="R1347" t="str">
        <f t="shared" si="4"/>
        <v/>
      </c>
      <c r="S1347" s="201" t="str">
        <f t="shared" si="2"/>
        <v>#VALUE!</v>
      </c>
      <c r="T1347" t="str">
        <f t="shared" si="3"/>
        <v>#VALUE!</v>
      </c>
      <c r="U1347">
        <f t="shared" si="1"/>
        <v>0</v>
      </c>
    </row>
    <row r="1348">
      <c r="D1348" s="201"/>
      <c r="I1348" s="201"/>
      <c r="R1348" t="str">
        <f t="shared" si="4"/>
        <v/>
      </c>
      <c r="S1348" s="201" t="str">
        <f t="shared" si="2"/>
        <v>#VALUE!</v>
      </c>
      <c r="T1348" t="str">
        <f t="shared" si="3"/>
        <v>#VALUE!</v>
      </c>
      <c r="U1348">
        <f t="shared" si="1"/>
        <v>0</v>
      </c>
    </row>
    <row r="1349">
      <c r="D1349" s="201"/>
      <c r="I1349" s="201"/>
      <c r="R1349" t="str">
        <f t="shared" si="4"/>
        <v/>
      </c>
      <c r="S1349" s="201" t="str">
        <f t="shared" si="2"/>
        <v>#VALUE!</v>
      </c>
      <c r="T1349" t="str">
        <f t="shared" si="3"/>
        <v>#VALUE!</v>
      </c>
      <c r="U1349">
        <f t="shared" si="1"/>
        <v>0</v>
      </c>
    </row>
    <row r="1350">
      <c r="D1350" s="201"/>
      <c r="I1350" s="201"/>
      <c r="R1350" t="str">
        <f t="shared" si="4"/>
        <v/>
      </c>
      <c r="S1350" s="201" t="str">
        <f t="shared" si="2"/>
        <v>#VALUE!</v>
      </c>
      <c r="T1350" t="str">
        <f t="shared" si="3"/>
        <v>#VALUE!</v>
      </c>
      <c r="U1350">
        <f t="shared" si="1"/>
        <v>0</v>
      </c>
    </row>
    <row r="1351">
      <c r="D1351" s="201"/>
      <c r="I1351" s="201"/>
      <c r="R1351" t="str">
        <f t="shared" si="4"/>
        <v/>
      </c>
      <c r="S1351" s="201" t="str">
        <f t="shared" si="2"/>
        <v>#VALUE!</v>
      </c>
      <c r="T1351" t="str">
        <f t="shared" si="3"/>
        <v>#VALUE!</v>
      </c>
      <c r="U1351">
        <f t="shared" si="1"/>
        <v>0</v>
      </c>
    </row>
    <row r="1352">
      <c r="D1352" s="201"/>
      <c r="I1352" s="201"/>
      <c r="R1352" t="str">
        <f t="shared" si="4"/>
        <v/>
      </c>
      <c r="S1352" s="201" t="str">
        <f t="shared" si="2"/>
        <v>#VALUE!</v>
      </c>
      <c r="T1352" t="str">
        <f t="shared" si="3"/>
        <v>#VALUE!</v>
      </c>
      <c r="U1352">
        <f t="shared" si="1"/>
        <v>0</v>
      </c>
    </row>
    <row r="1353">
      <c r="D1353" s="201"/>
      <c r="I1353" s="201"/>
      <c r="R1353" t="str">
        <f t="shared" si="4"/>
        <v/>
      </c>
      <c r="S1353" s="201" t="str">
        <f t="shared" si="2"/>
        <v>#VALUE!</v>
      </c>
      <c r="T1353" t="str">
        <f t="shared" si="3"/>
        <v>#VALUE!</v>
      </c>
      <c r="U1353">
        <f t="shared" si="1"/>
        <v>0</v>
      </c>
    </row>
    <row r="1354">
      <c r="D1354" s="201"/>
      <c r="I1354" s="201"/>
      <c r="R1354" t="str">
        <f t="shared" si="4"/>
        <v/>
      </c>
      <c r="S1354" s="201" t="str">
        <f t="shared" si="2"/>
        <v>#VALUE!</v>
      </c>
      <c r="T1354" t="str">
        <f t="shared" si="3"/>
        <v>#VALUE!</v>
      </c>
      <c r="U1354">
        <f t="shared" si="1"/>
        <v>0</v>
      </c>
    </row>
    <row r="1355">
      <c r="D1355" s="201"/>
      <c r="I1355" s="201"/>
      <c r="R1355" t="str">
        <f t="shared" si="4"/>
        <v/>
      </c>
      <c r="S1355" s="201" t="str">
        <f t="shared" si="2"/>
        <v>#VALUE!</v>
      </c>
      <c r="T1355" t="str">
        <f t="shared" si="3"/>
        <v>#VALUE!</v>
      </c>
      <c r="U1355">
        <f t="shared" si="1"/>
        <v>0</v>
      </c>
    </row>
    <row r="1356">
      <c r="D1356" s="201"/>
      <c r="I1356" s="201"/>
      <c r="R1356" t="str">
        <f t="shared" si="4"/>
        <v/>
      </c>
      <c r="S1356" s="201" t="str">
        <f t="shared" si="2"/>
        <v>#VALUE!</v>
      </c>
      <c r="T1356" t="str">
        <f t="shared" si="3"/>
        <v>#VALUE!</v>
      </c>
      <c r="U1356">
        <f t="shared" si="1"/>
        <v>0</v>
      </c>
    </row>
    <row r="1357">
      <c r="D1357" s="201"/>
      <c r="I1357" s="201"/>
      <c r="R1357" t="str">
        <f t="shared" si="4"/>
        <v/>
      </c>
      <c r="S1357" s="201" t="str">
        <f t="shared" si="2"/>
        <v>#VALUE!</v>
      </c>
      <c r="T1357" t="str">
        <f t="shared" si="3"/>
        <v>#VALUE!</v>
      </c>
      <c r="U1357">
        <f t="shared" si="1"/>
        <v>0</v>
      </c>
    </row>
    <row r="1358">
      <c r="D1358" s="201"/>
      <c r="I1358" s="201"/>
      <c r="R1358" t="str">
        <f t="shared" si="4"/>
        <v/>
      </c>
      <c r="S1358" s="201" t="str">
        <f t="shared" si="2"/>
        <v>#VALUE!</v>
      </c>
      <c r="T1358" t="str">
        <f t="shared" si="3"/>
        <v>#VALUE!</v>
      </c>
      <c r="U1358">
        <f t="shared" si="1"/>
        <v>0</v>
      </c>
    </row>
    <row r="1359">
      <c r="D1359" s="201"/>
      <c r="I1359" s="201"/>
      <c r="R1359" t="str">
        <f t="shared" si="4"/>
        <v/>
      </c>
      <c r="S1359" s="201" t="str">
        <f t="shared" si="2"/>
        <v>#VALUE!</v>
      </c>
      <c r="T1359" t="str">
        <f t="shared" si="3"/>
        <v>#VALUE!</v>
      </c>
      <c r="U1359">
        <f t="shared" si="1"/>
        <v>0</v>
      </c>
    </row>
    <row r="1360">
      <c r="D1360" s="201"/>
      <c r="I1360" s="201"/>
      <c r="R1360" t="str">
        <f t="shared" si="4"/>
        <v/>
      </c>
      <c r="S1360" s="201" t="str">
        <f t="shared" si="2"/>
        <v>#VALUE!</v>
      </c>
      <c r="T1360" t="str">
        <f t="shared" si="3"/>
        <v>#VALUE!</v>
      </c>
      <c r="U1360">
        <f t="shared" si="1"/>
        <v>0</v>
      </c>
    </row>
    <row r="1361">
      <c r="D1361" s="201"/>
      <c r="I1361" s="201"/>
      <c r="R1361" t="str">
        <f t="shared" si="4"/>
        <v/>
      </c>
      <c r="S1361" s="201" t="str">
        <f t="shared" si="2"/>
        <v>#VALUE!</v>
      </c>
      <c r="T1361" t="str">
        <f t="shared" si="3"/>
        <v>#VALUE!</v>
      </c>
      <c r="U1361">
        <f t="shared" si="1"/>
        <v>0</v>
      </c>
    </row>
    <row r="1362">
      <c r="D1362" s="201"/>
      <c r="I1362" s="201"/>
      <c r="R1362" t="str">
        <f t="shared" si="4"/>
        <v/>
      </c>
      <c r="S1362" s="201" t="str">
        <f t="shared" si="2"/>
        <v>#VALUE!</v>
      </c>
      <c r="T1362" t="str">
        <f t="shared" si="3"/>
        <v>#VALUE!</v>
      </c>
      <c r="U1362">
        <f t="shared" si="1"/>
        <v>0</v>
      </c>
    </row>
    <row r="1363">
      <c r="D1363" s="201"/>
      <c r="I1363" s="201"/>
      <c r="S1363" s="201" t="str">
        <f t="shared" si="2"/>
        <v>#VALUE!</v>
      </c>
      <c r="U1363">
        <f t="shared" si="1"/>
        <v>0</v>
      </c>
    </row>
    <row r="1364">
      <c r="D1364" s="201"/>
      <c r="I1364" s="201"/>
      <c r="S1364" s="201" t="str">
        <f t="shared" si="2"/>
        <v>#VALUE!</v>
      </c>
      <c r="U1364">
        <f t="shared" si="1"/>
        <v>0</v>
      </c>
    </row>
    <row r="1365">
      <c r="D1365" s="201"/>
      <c r="I1365" s="201"/>
      <c r="S1365" s="201" t="str">
        <f t="shared" si="2"/>
        <v>#VALUE!</v>
      </c>
      <c r="U1365">
        <f t="shared" si="1"/>
        <v>0</v>
      </c>
    </row>
    <row r="1366">
      <c r="D1366" s="201"/>
      <c r="I1366" s="201"/>
      <c r="S1366" s="201" t="str">
        <f t="shared" si="2"/>
        <v>#VALUE!</v>
      </c>
      <c r="U1366">
        <f t="shared" si="1"/>
        <v>0</v>
      </c>
    </row>
    <row r="1367">
      <c r="D1367" s="201"/>
      <c r="I1367" s="201"/>
      <c r="S1367" s="201" t="str">
        <f t="shared" si="2"/>
        <v>#VALUE!</v>
      </c>
      <c r="U1367">
        <f t="shared" si="1"/>
        <v>0</v>
      </c>
    </row>
    <row r="1368">
      <c r="D1368" s="201"/>
      <c r="I1368" s="201"/>
      <c r="S1368" s="201" t="str">
        <f t="shared" si="2"/>
        <v>#VALUE!</v>
      </c>
      <c r="U1368">
        <f t="shared" si="1"/>
        <v>0</v>
      </c>
    </row>
    <row r="1369">
      <c r="D1369" s="201"/>
      <c r="I1369" s="201"/>
      <c r="S1369" s="201" t="str">
        <f t="shared" si="2"/>
        <v>#VALUE!</v>
      </c>
      <c r="U1369">
        <f t="shared" si="1"/>
        <v>0</v>
      </c>
    </row>
    <row r="1370">
      <c r="D1370" s="201"/>
      <c r="I1370" s="201"/>
      <c r="S1370" s="201" t="str">
        <f t="shared" si="2"/>
        <v>#VALUE!</v>
      </c>
      <c r="U1370">
        <f t="shared" si="1"/>
        <v>0</v>
      </c>
    </row>
    <row r="1371">
      <c r="D1371" s="201"/>
      <c r="I1371" s="201"/>
      <c r="S1371" s="201" t="str">
        <f t="shared" si="2"/>
        <v>#VALUE!</v>
      </c>
      <c r="U1371">
        <f t="shared" si="1"/>
        <v>0</v>
      </c>
    </row>
    <row r="1372">
      <c r="D1372" s="201"/>
      <c r="I1372" s="201"/>
      <c r="S1372" s="201" t="str">
        <f t="shared" si="2"/>
        <v>#VALUE!</v>
      </c>
      <c r="U1372">
        <f t="shared" si="1"/>
        <v>0</v>
      </c>
    </row>
    <row r="1373">
      <c r="D1373" s="201"/>
      <c r="I1373" s="201"/>
      <c r="S1373" s="201" t="str">
        <f t="shared" si="2"/>
        <v>#VALUE!</v>
      </c>
      <c r="U1373">
        <f t="shared" si="1"/>
        <v>0</v>
      </c>
    </row>
    <row r="1374">
      <c r="D1374" s="201"/>
      <c r="I1374" s="201"/>
      <c r="S1374" s="201" t="str">
        <f t="shared" si="2"/>
        <v>#VALUE!</v>
      </c>
      <c r="U1374">
        <f t="shared" si="1"/>
        <v>0</v>
      </c>
    </row>
    <row r="1375">
      <c r="D1375" s="201"/>
      <c r="I1375" s="201"/>
      <c r="S1375" s="201" t="str">
        <f t="shared" si="2"/>
        <v>#VALUE!</v>
      </c>
      <c r="U1375">
        <f t="shared" si="1"/>
        <v>0</v>
      </c>
    </row>
    <row r="1376">
      <c r="D1376" s="201"/>
      <c r="I1376" s="201"/>
      <c r="S1376" s="201" t="str">
        <f t="shared" si="2"/>
        <v>#VALUE!</v>
      </c>
      <c r="U1376">
        <f t="shared" si="1"/>
        <v>0</v>
      </c>
    </row>
    <row r="1377">
      <c r="D1377" s="201"/>
      <c r="I1377" s="201"/>
      <c r="S1377" s="201" t="str">
        <f t="shared" si="2"/>
        <v>#VALUE!</v>
      </c>
      <c r="U1377">
        <f t="shared" si="1"/>
        <v>0</v>
      </c>
    </row>
    <row r="1378">
      <c r="D1378" s="201"/>
      <c r="I1378" s="201"/>
      <c r="S1378" s="201" t="str">
        <f t="shared" si="2"/>
        <v>#VALUE!</v>
      </c>
      <c r="U1378">
        <f t="shared" si="1"/>
        <v>0</v>
      </c>
    </row>
    <row r="1379">
      <c r="D1379" s="201"/>
      <c r="I1379" s="201"/>
      <c r="S1379" s="201" t="str">
        <f t="shared" si="2"/>
        <v>#VALUE!</v>
      </c>
      <c r="U1379">
        <f t="shared" si="1"/>
        <v>0</v>
      </c>
    </row>
    <row r="1380">
      <c r="D1380" s="201"/>
      <c r="I1380" s="201"/>
      <c r="S1380" s="201" t="str">
        <f t="shared" si="2"/>
        <v>#VALUE!</v>
      </c>
      <c r="U1380">
        <f t="shared" si="1"/>
        <v>0</v>
      </c>
    </row>
    <row r="1381">
      <c r="D1381" s="201"/>
      <c r="I1381" s="201"/>
      <c r="S1381" s="201" t="str">
        <f t="shared" si="2"/>
        <v>#VALUE!</v>
      </c>
      <c r="U1381">
        <f t="shared" si="1"/>
        <v>0</v>
      </c>
    </row>
    <row r="1382">
      <c r="D1382" s="201"/>
      <c r="I1382" s="201"/>
      <c r="S1382" s="201" t="str">
        <f t="shared" si="2"/>
        <v>#VALUE!</v>
      </c>
      <c r="U1382">
        <f t="shared" si="1"/>
        <v>0</v>
      </c>
    </row>
    <row r="1383">
      <c r="D1383" s="201"/>
      <c r="I1383" s="201"/>
      <c r="S1383" s="201" t="str">
        <f t="shared" si="2"/>
        <v>#VALUE!</v>
      </c>
      <c r="U1383">
        <f t="shared" si="1"/>
        <v>0</v>
      </c>
    </row>
    <row r="1384">
      <c r="D1384" s="201"/>
      <c r="I1384" s="201"/>
      <c r="S1384" s="201" t="str">
        <f t="shared" si="2"/>
        <v>#VALUE!</v>
      </c>
      <c r="U1384">
        <f t="shared" si="1"/>
        <v>0</v>
      </c>
    </row>
    <row r="1385">
      <c r="D1385" s="201"/>
      <c r="I1385" s="201"/>
      <c r="S1385" s="201" t="str">
        <f t="shared" si="2"/>
        <v>#VALUE!</v>
      </c>
      <c r="U1385">
        <f t="shared" si="1"/>
        <v>0</v>
      </c>
    </row>
    <row r="1386">
      <c r="D1386" s="201"/>
      <c r="I1386" s="201"/>
      <c r="S1386" s="201" t="str">
        <f t="shared" si="2"/>
        <v>#VALUE!</v>
      </c>
      <c r="U1386">
        <f t="shared" si="1"/>
        <v>0</v>
      </c>
    </row>
    <row r="1387">
      <c r="D1387" s="201"/>
      <c r="I1387" s="201"/>
      <c r="S1387" s="201" t="str">
        <f t="shared" si="2"/>
        <v>#VALUE!</v>
      </c>
      <c r="U1387">
        <f t="shared" si="1"/>
        <v>0</v>
      </c>
    </row>
    <row r="1388">
      <c r="D1388" s="201"/>
      <c r="I1388" s="201"/>
      <c r="S1388" s="201" t="str">
        <f t="shared" si="2"/>
        <v>#VALUE!</v>
      </c>
      <c r="U1388">
        <f t="shared" si="1"/>
        <v>0</v>
      </c>
    </row>
    <row r="1389">
      <c r="D1389" s="201"/>
      <c r="I1389" s="201"/>
      <c r="S1389" s="201" t="str">
        <f t="shared" si="2"/>
        <v>#VALUE!</v>
      </c>
      <c r="U1389">
        <f t="shared" si="1"/>
        <v>0</v>
      </c>
    </row>
    <row r="1390">
      <c r="D1390" s="201"/>
      <c r="I1390" s="201"/>
      <c r="S1390" s="201" t="str">
        <f t="shared" si="2"/>
        <v>#VALUE!</v>
      </c>
      <c r="U1390">
        <f t="shared" si="1"/>
        <v>0</v>
      </c>
    </row>
    <row r="1391">
      <c r="D1391" s="201"/>
      <c r="I1391" s="201"/>
      <c r="S1391" s="201" t="str">
        <f t="shared" si="2"/>
        <v>#VALUE!</v>
      </c>
      <c r="U1391">
        <f t="shared" si="1"/>
        <v>0</v>
      </c>
    </row>
    <row r="1392">
      <c r="D1392" s="201"/>
      <c r="I1392" s="201"/>
      <c r="S1392" s="201" t="str">
        <f t="shared" si="2"/>
        <v>#VALUE!</v>
      </c>
      <c r="U1392">
        <f t="shared" si="1"/>
        <v>0</v>
      </c>
    </row>
    <row r="1393">
      <c r="D1393" s="201"/>
      <c r="I1393" s="201"/>
      <c r="S1393" s="201" t="str">
        <f t="shared" si="2"/>
        <v>#VALUE!</v>
      </c>
      <c r="U1393">
        <f t="shared" si="1"/>
        <v>0</v>
      </c>
    </row>
    <row r="1394">
      <c r="D1394" s="201"/>
      <c r="I1394" s="201"/>
      <c r="S1394" s="201" t="str">
        <f t="shared" si="2"/>
        <v>#VALUE!</v>
      </c>
      <c r="U1394">
        <f t="shared" si="1"/>
        <v>0</v>
      </c>
    </row>
    <row r="1395">
      <c r="D1395" s="201"/>
      <c r="I1395" s="201"/>
      <c r="S1395" s="201" t="str">
        <f t="shared" si="2"/>
        <v>#VALUE!</v>
      </c>
      <c r="U1395">
        <f t="shared" si="1"/>
        <v>0</v>
      </c>
    </row>
    <row r="1396">
      <c r="D1396" s="201"/>
      <c r="I1396" s="201"/>
      <c r="S1396" s="201" t="str">
        <f t="shared" si="2"/>
        <v>#VALUE!</v>
      </c>
      <c r="U1396">
        <f t="shared" si="1"/>
        <v>0</v>
      </c>
    </row>
    <row r="1397">
      <c r="D1397" s="201"/>
      <c r="I1397" s="201"/>
      <c r="S1397" s="201" t="str">
        <f t="shared" si="2"/>
        <v>#VALUE!</v>
      </c>
      <c r="U1397">
        <f t="shared" si="1"/>
        <v>0</v>
      </c>
    </row>
    <row r="1398">
      <c r="D1398" s="201"/>
      <c r="I1398" s="201"/>
      <c r="S1398" s="201" t="str">
        <f t="shared" si="2"/>
        <v>#VALUE!</v>
      </c>
      <c r="U1398">
        <f t="shared" si="1"/>
        <v>0</v>
      </c>
    </row>
    <row r="1399">
      <c r="D1399" s="201"/>
      <c r="I1399" s="201"/>
      <c r="S1399" s="201" t="str">
        <f t="shared" si="2"/>
        <v>#VALUE!</v>
      </c>
      <c r="U1399">
        <f t="shared" si="1"/>
        <v>0</v>
      </c>
    </row>
    <row r="1400">
      <c r="D1400" s="201"/>
      <c r="I1400" s="201"/>
      <c r="S1400" s="201" t="str">
        <f t="shared" si="2"/>
        <v>#VALUE!</v>
      </c>
      <c r="U1400">
        <f t="shared" si="1"/>
        <v>0</v>
      </c>
    </row>
    <row r="1401">
      <c r="D1401" s="201"/>
      <c r="I1401" s="201"/>
      <c r="S1401" s="201" t="str">
        <f t="shared" si="2"/>
        <v>#VALUE!</v>
      </c>
      <c r="U1401">
        <f t="shared" si="1"/>
        <v>0</v>
      </c>
    </row>
    <row r="1402">
      <c r="D1402" s="201"/>
      <c r="I1402" s="201"/>
      <c r="S1402" s="201" t="str">
        <f t="shared" si="2"/>
        <v>#VALUE!</v>
      </c>
      <c r="U1402">
        <f t="shared" si="1"/>
        <v>0</v>
      </c>
    </row>
    <row r="1403">
      <c r="D1403" s="201"/>
      <c r="I1403" s="201"/>
      <c r="S1403" s="201" t="str">
        <f t="shared" si="2"/>
        <v>#VALUE!</v>
      </c>
      <c r="U1403">
        <f t="shared" si="1"/>
        <v>0</v>
      </c>
    </row>
    <row r="1404">
      <c r="D1404" s="201"/>
      <c r="I1404" s="201"/>
      <c r="S1404" s="201" t="str">
        <f t="shared" si="2"/>
        <v>#VALUE!</v>
      </c>
      <c r="U1404">
        <f t="shared" si="1"/>
        <v>0</v>
      </c>
    </row>
    <row r="1405">
      <c r="D1405" s="201"/>
      <c r="I1405" s="201"/>
      <c r="S1405" s="201" t="str">
        <f t="shared" si="2"/>
        <v>#VALUE!</v>
      </c>
      <c r="U1405">
        <f t="shared" si="1"/>
        <v>0</v>
      </c>
    </row>
    <row r="1406">
      <c r="D1406" s="201"/>
      <c r="I1406" s="201"/>
      <c r="S1406" s="201" t="str">
        <f t="shared" si="2"/>
        <v>#VALUE!</v>
      </c>
      <c r="U1406">
        <f t="shared" si="1"/>
        <v>0</v>
      </c>
    </row>
    <row r="1407">
      <c r="D1407" s="201"/>
      <c r="I1407" s="201"/>
      <c r="S1407" s="201" t="str">
        <f t="shared" si="2"/>
        <v>#VALUE!</v>
      </c>
      <c r="U1407">
        <f t="shared" si="1"/>
        <v>0</v>
      </c>
    </row>
    <row r="1408">
      <c r="D1408" s="201"/>
      <c r="I1408" s="201"/>
      <c r="S1408" s="201" t="str">
        <f t="shared" si="2"/>
        <v>#VALUE!</v>
      </c>
      <c r="U1408">
        <f t="shared" si="1"/>
        <v>0</v>
      </c>
    </row>
    <row r="1409">
      <c r="D1409" s="201"/>
      <c r="I1409" s="201"/>
      <c r="S1409" s="201" t="str">
        <f t="shared" si="2"/>
        <v>#VALUE!</v>
      </c>
      <c r="U1409">
        <f t="shared" si="1"/>
        <v>0</v>
      </c>
    </row>
    <row r="1410">
      <c r="D1410" s="201"/>
      <c r="I1410" s="201"/>
      <c r="S1410" s="201" t="str">
        <f t="shared" si="2"/>
        <v>#VALUE!</v>
      </c>
      <c r="U1410">
        <f t="shared" si="1"/>
        <v>0</v>
      </c>
    </row>
    <row r="1411">
      <c r="D1411" s="201"/>
      <c r="I1411" s="201"/>
      <c r="S1411" s="201" t="str">
        <f t="shared" si="2"/>
        <v>#VALUE!</v>
      </c>
      <c r="U1411">
        <f t="shared" si="1"/>
        <v>0</v>
      </c>
    </row>
    <row r="1412">
      <c r="D1412" s="201"/>
      <c r="I1412" s="201"/>
      <c r="S1412" s="201" t="str">
        <f t="shared" si="2"/>
        <v>#VALUE!</v>
      </c>
      <c r="U1412">
        <f t="shared" si="1"/>
        <v>0</v>
      </c>
    </row>
    <row r="1413">
      <c r="D1413" s="201"/>
      <c r="I1413" s="201"/>
      <c r="S1413" s="201" t="str">
        <f t="shared" si="2"/>
        <v>#VALUE!</v>
      </c>
      <c r="U1413">
        <f t="shared" si="1"/>
        <v>0</v>
      </c>
    </row>
    <row r="1414">
      <c r="D1414" s="201"/>
      <c r="I1414" s="201"/>
      <c r="S1414" s="201" t="str">
        <f t="shared" si="2"/>
        <v>#VALUE!</v>
      </c>
      <c r="U1414">
        <f t="shared" si="1"/>
        <v>0</v>
      </c>
    </row>
    <row r="1415">
      <c r="D1415" s="201"/>
      <c r="I1415" s="201"/>
      <c r="S1415" s="201" t="str">
        <f t="shared" si="2"/>
        <v>#VALUE!</v>
      </c>
      <c r="U1415">
        <f t="shared" si="1"/>
        <v>0</v>
      </c>
    </row>
    <row r="1416">
      <c r="D1416" s="201"/>
      <c r="I1416" s="201"/>
      <c r="S1416" s="201" t="str">
        <f t="shared" si="2"/>
        <v>#VALUE!</v>
      </c>
      <c r="U1416">
        <f t="shared" si="1"/>
        <v>0</v>
      </c>
    </row>
    <row r="1417">
      <c r="D1417" s="201"/>
      <c r="I1417" s="201"/>
      <c r="S1417" s="201" t="str">
        <f t="shared" si="2"/>
        <v>#VALUE!</v>
      </c>
      <c r="U1417">
        <f t="shared" si="1"/>
        <v>0</v>
      </c>
    </row>
    <row r="1418">
      <c r="D1418" s="201"/>
      <c r="I1418" s="201"/>
      <c r="S1418" s="201" t="str">
        <f t="shared" si="2"/>
        <v>#VALUE!</v>
      </c>
      <c r="U1418">
        <f t="shared" si="1"/>
        <v>0</v>
      </c>
    </row>
    <row r="1419">
      <c r="D1419" s="201"/>
      <c r="I1419" s="201"/>
      <c r="S1419" s="201" t="str">
        <f t="shared" si="2"/>
        <v>#VALUE!</v>
      </c>
      <c r="U1419">
        <f t="shared" si="1"/>
        <v>0</v>
      </c>
    </row>
    <row r="1420">
      <c r="D1420" s="201"/>
      <c r="I1420" s="201"/>
      <c r="S1420" s="201" t="str">
        <f t="shared" si="2"/>
        <v>#VALUE!</v>
      </c>
      <c r="U1420">
        <f t="shared" si="1"/>
        <v>0</v>
      </c>
    </row>
    <row r="1421">
      <c r="D1421" s="201"/>
      <c r="I1421" s="201"/>
      <c r="S1421" s="201" t="str">
        <f t="shared" si="2"/>
        <v>#VALUE!</v>
      </c>
      <c r="U1421">
        <f t="shared" si="1"/>
        <v>0</v>
      </c>
    </row>
    <row r="1422">
      <c r="D1422" s="201"/>
      <c r="I1422" s="201"/>
      <c r="S1422" s="201"/>
    </row>
    <row r="1423">
      <c r="D1423" s="201"/>
      <c r="I1423" s="201"/>
      <c r="S1423" s="201"/>
    </row>
    <row r="1424">
      <c r="D1424" s="201"/>
      <c r="I1424" s="201"/>
      <c r="S1424" s="201"/>
    </row>
    <row r="1425">
      <c r="D1425" s="201"/>
      <c r="I1425" s="201"/>
      <c r="S1425" s="201"/>
    </row>
    <row r="1426">
      <c r="D1426" s="201"/>
      <c r="I1426" s="201"/>
      <c r="S1426" s="201"/>
    </row>
    <row r="1427">
      <c r="D1427" s="201"/>
      <c r="I1427" s="201"/>
      <c r="S1427" s="201"/>
    </row>
    <row r="1428">
      <c r="D1428" s="201"/>
      <c r="I1428" s="201"/>
      <c r="S1428" s="201"/>
    </row>
    <row r="1429">
      <c r="D1429" s="201"/>
      <c r="I1429" s="201"/>
      <c r="S1429" s="201"/>
    </row>
    <row r="1430">
      <c r="D1430" s="201"/>
      <c r="I1430" s="201"/>
      <c r="S1430" s="201"/>
    </row>
    <row r="1431">
      <c r="D1431" s="201"/>
      <c r="I1431" s="201"/>
      <c r="S1431" s="201"/>
    </row>
    <row r="1432">
      <c r="D1432" s="201"/>
      <c r="I1432" s="201"/>
      <c r="S1432" s="201"/>
    </row>
    <row r="1433">
      <c r="D1433" s="201"/>
      <c r="I1433" s="201"/>
      <c r="S1433" s="201"/>
    </row>
    <row r="1434">
      <c r="D1434" s="201"/>
      <c r="I1434" s="201"/>
      <c r="S1434" s="201"/>
    </row>
    <row r="1435">
      <c r="D1435" s="201"/>
      <c r="I1435" s="201"/>
      <c r="S1435" s="201"/>
    </row>
    <row r="1436">
      <c r="D1436" s="201"/>
      <c r="I1436" s="201"/>
      <c r="S1436" s="201"/>
    </row>
    <row r="1437">
      <c r="D1437" s="201"/>
      <c r="I1437" s="201"/>
      <c r="S1437" s="201"/>
    </row>
    <row r="1438">
      <c r="D1438" s="201"/>
      <c r="I1438" s="201"/>
      <c r="S1438" s="201"/>
    </row>
    <row r="1439">
      <c r="D1439" s="201"/>
      <c r="I1439" s="201"/>
      <c r="S1439" s="201"/>
    </row>
    <row r="1440">
      <c r="D1440" s="201"/>
      <c r="I1440" s="201"/>
      <c r="S1440" s="201"/>
    </row>
    <row r="1441">
      <c r="D1441" s="201"/>
      <c r="I1441" s="201"/>
      <c r="S1441" s="201"/>
    </row>
    <row r="1442">
      <c r="D1442" s="201"/>
      <c r="I1442" s="201"/>
      <c r="S1442" s="201"/>
    </row>
    <row r="1443">
      <c r="D1443" s="201"/>
      <c r="I1443" s="201"/>
      <c r="S1443" s="201"/>
    </row>
    <row r="1444">
      <c r="D1444" s="201"/>
      <c r="I1444" s="201"/>
      <c r="S1444" s="201"/>
    </row>
    <row r="1445">
      <c r="D1445" s="201"/>
      <c r="I1445" s="201"/>
      <c r="S1445" s="201"/>
    </row>
    <row r="1446">
      <c r="D1446" s="201"/>
      <c r="I1446" s="201"/>
      <c r="S1446" s="201"/>
    </row>
    <row r="1447">
      <c r="D1447" s="201"/>
      <c r="I1447" s="201"/>
      <c r="S1447" s="201"/>
    </row>
    <row r="1448">
      <c r="D1448" s="201"/>
      <c r="I1448" s="201"/>
      <c r="S1448" s="201"/>
    </row>
    <row r="1449">
      <c r="D1449" s="201"/>
      <c r="I1449" s="201"/>
      <c r="S1449" s="201"/>
    </row>
    <row r="1450">
      <c r="D1450" s="201"/>
      <c r="I1450" s="201"/>
      <c r="S1450" s="201"/>
    </row>
    <row r="1451">
      <c r="D1451" s="201"/>
      <c r="I1451" s="201"/>
      <c r="S1451" s="201"/>
    </row>
    <row r="1452">
      <c r="D1452" s="201"/>
      <c r="I1452" s="201"/>
      <c r="S1452" s="201"/>
    </row>
    <row r="1453">
      <c r="D1453" s="201"/>
      <c r="I1453" s="201"/>
      <c r="S1453" s="201"/>
    </row>
    <row r="1454">
      <c r="D1454" s="201"/>
      <c r="I1454" s="201"/>
      <c r="S1454" s="201"/>
    </row>
    <row r="1455">
      <c r="D1455" s="201"/>
      <c r="I1455" s="201"/>
      <c r="S1455" s="201"/>
    </row>
    <row r="1456">
      <c r="D1456" s="201"/>
      <c r="I1456" s="201"/>
      <c r="S1456" s="201"/>
    </row>
    <row r="1457">
      <c r="D1457" s="201"/>
      <c r="I1457" s="201"/>
      <c r="S1457" s="201"/>
    </row>
    <row r="1458">
      <c r="D1458" s="201"/>
      <c r="I1458" s="201"/>
      <c r="S1458" s="201"/>
    </row>
    <row r="1459">
      <c r="D1459" s="201"/>
      <c r="I1459" s="201"/>
      <c r="S1459" s="201"/>
    </row>
    <row r="1460">
      <c r="D1460" s="201"/>
      <c r="I1460" s="201"/>
      <c r="S1460" s="201"/>
    </row>
    <row r="1461">
      <c r="D1461" s="201"/>
      <c r="I1461" s="201"/>
      <c r="S1461" s="201"/>
    </row>
    <row r="1462">
      <c r="D1462" s="201"/>
      <c r="I1462" s="201"/>
      <c r="S1462" s="201"/>
    </row>
    <row r="1463">
      <c r="D1463" s="201"/>
      <c r="I1463" s="201"/>
      <c r="S1463" s="201"/>
    </row>
    <row r="1464">
      <c r="D1464" s="201"/>
      <c r="I1464" s="201"/>
      <c r="S1464" s="201"/>
    </row>
    <row r="1465">
      <c r="D1465" s="201"/>
      <c r="I1465" s="201"/>
      <c r="S1465" s="201"/>
    </row>
    <row r="1466">
      <c r="D1466" s="201"/>
      <c r="I1466" s="201"/>
      <c r="S1466" s="201"/>
    </row>
    <row r="1467">
      <c r="D1467" s="201"/>
      <c r="I1467" s="201"/>
      <c r="S1467" s="201"/>
    </row>
    <row r="1468">
      <c r="D1468" s="201"/>
      <c r="I1468" s="201"/>
      <c r="S1468" s="201"/>
    </row>
    <row r="1469">
      <c r="D1469" s="201"/>
      <c r="I1469" s="201"/>
      <c r="S1469" s="201"/>
    </row>
    <row r="1470">
      <c r="D1470" s="201"/>
      <c r="I1470" s="201"/>
      <c r="S1470" s="201"/>
    </row>
    <row r="1471">
      <c r="D1471" s="201"/>
      <c r="I1471" s="201"/>
      <c r="S1471" s="201"/>
    </row>
    <row r="1472">
      <c r="D1472" s="201"/>
      <c r="I1472" s="201"/>
      <c r="S1472" s="201"/>
    </row>
    <row r="1473">
      <c r="D1473" s="201"/>
      <c r="I1473" s="201"/>
      <c r="S1473" s="201"/>
    </row>
    <row r="1474">
      <c r="D1474" s="201"/>
      <c r="I1474" s="201"/>
      <c r="S1474" s="201"/>
    </row>
    <row r="1475">
      <c r="D1475" s="201"/>
      <c r="I1475" s="201"/>
      <c r="S1475" s="201"/>
    </row>
    <row r="1476">
      <c r="D1476" s="201"/>
      <c r="I1476" s="201"/>
      <c r="S1476" s="201"/>
    </row>
    <row r="1477">
      <c r="D1477" s="201"/>
      <c r="I1477" s="201"/>
      <c r="S1477" s="201"/>
    </row>
    <row r="1478">
      <c r="D1478" s="201"/>
      <c r="I1478" s="201"/>
      <c r="S1478" s="201"/>
    </row>
    <row r="1479">
      <c r="D1479" s="201"/>
      <c r="I1479" s="201"/>
      <c r="S1479" s="201"/>
    </row>
    <row r="1480">
      <c r="D1480" s="201"/>
      <c r="I1480" s="201"/>
      <c r="S1480" s="201"/>
    </row>
    <row r="1481">
      <c r="D1481" s="201"/>
      <c r="I1481" s="201"/>
      <c r="S1481" s="201"/>
    </row>
    <row r="1482">
      <c r="D1482" s="201"/>
      <c r="I1482" s="201"/>
      <c r="S1482" s="201"/>
    </row>
    <row r="1483">
      <c r="D1483" s="201"/>
      <c r="I1483" s="201"/>
      <c r="S1483" s="201"/>
    </row>
    <row r="1484">
      <c r="D1484" s="201"/>
      <c r="I1484" s="201"/>
      <c r="S1484" s="201"/>
    </row>
    <row r="1485">
      <c r="D1485" s="201"/>
      <c r="I1485" s="201"/>
      <c r="S1485" s="201"/>
    </row>
    <row r="1486">
      <c r="D1486" s="201"/>
      <c r="I1486" s="201"/>
      <c r="S1486" s="201"/>
    </row>
    <row r="1487">
      <c r="D1487" s="201"/>
      <c r="I1487" s="201"/>
      <c r="S1487" s="201"/>
    </row>
    <row r="1488">
      <c r="D1488" s="201"/>
      <c r="I1488" s="201"/>
      <c r="S1488" s="201"/>
    </row>
    <row r="1489">
      <c r="D1489" s="201"/>
      <c r="I1489" s="201"/>
      <c r="S1489" s="201"/>
    </row>
    <row r="1490">
      <c r="D1490" s="201"/>
      <c r="I1490" s="201"/>
      <c r="S1490" s="201"/>
    </row>
    <row r="1491">
      <c r="D1491" s="201"/>
      <c r="I1491" s="201"/>
      <c r="S1491" s="201"/>
    </row>
    <row r="1492">
      <c r="D1492" s="201"/>
      <c r="I1492" s="201"/>
      <c r="S1492" s="201"/>
    </row>
    <row r="1493">
      <c r="D1493" s="201"/>
      <c r="I1493" s="201"/>
      <c r="S1493" s="201"/>
    </row>
    <row r="1494">
      <c r="D1494" s="201"/>
      <c r="I1494" s="201"/>
      <c r="S1494" s="201"/>
    </row>
    <row r="1495">
      <c r="D1495" s="201"/>
      <c r="I1495" s="201"/>
      <c r="S1495" s="201"/>
    </row>
    <row r="1496">
      <c r="D1496" s="201"/>
      <c r="I1496" s="201"/>
      <c r="S1496" s="201"/>
    </row>
    <row r="1497">
      <c r="D1497" s="201"/>
      <c r="I1497" s="201"/>
      <c r="S1497" s="201"/>
    </row>
    <row r="1498">
      <c r="D1498" s="201"/>
      <c r="I1498" s="201"/>
      <c r="S1498" s="201"/>
    </row>
    <row r="1499">
      <c r="D1499" s="201"/>
      <c r="I1499" s="201"/>
      <c r="S1499" s="201"/>
    </row>
    <row r="1500">
      <c r="D1500" s="201"/>
      <c r="I1500" s="201"/>
      <c r="S1500" s="201"/>
    </row>
    <row r="1501">
      <c r="D1501" s="201"/>
      <c r="I1501" s="201"/>
      <c r="S1501" s="201"/>
    </row>
    <row r="1502">
      <c r="D1502" s="201"/>
      <c r="I1502" s="201"/>
      <c r="S1502" s="201"/>
    </row>
    <row r="1503">
      <c r="D1503" s="201"/>
      <c r="I1503" s="201"/>
      <c r="S1503" s="201"/>
    </row>
    <row r="1504">
      <c r="D1504" s="201"/>
      <c r="I1504" s="201"/>
      <c r="S1504" s="201"/>
    </row>
    <row r="1505">
      <c r="D1505" s="201"/>
      <c r="I1505" s="201"/>
      <c r="S1505" s="201"/>
    </row>
    <row r="1506">
      <c r="D1506" s="201"/>
      <c r="I1506" s="201"/>
      <c r="S1506" s="201"/>
    </row>
    <row r="1507">
      <c r="D1507" s="201"/>
      <c r="I1507" s="201"/>
      <c r="S1507" s="201"/>
    </row>
    <row r="1508">
      <c r="D1508" s="201"/>
      <c r="I1508" s="201"/>
      <c r="S1508" s="201"/>
    </row>
    <row r="1509">
      <c r="D1509" s="201"/>
      <c r="I1509" s="201"/>
      <c r="S1509" s="201"/>
    </row>
    <row r="1510">
      <c r="D1510" s="201"/>
      <c r="I1510" s="201"/>
      <c r="S1510" s="201"/>
    </row>
    <row r="1511">
      <c r="D1511" s="201"/>
      <c r="I1511" s="201"/>
      <c r="S1511" s="201"/>
    </row>
    <row r="1512">
      <c r="D1512" s="201"/>
      <c r="I1512" s="201"/>
      <c r="S1512" s="201"/>
    </row>
    <row r="1513">
      <c r="D1513" s="201"/>
      <c r="I1513" s="201"/>
      <c r="S1513" s="201"/>
    </row>
    <row r="1514">
      <c r="D1514" s="201"/>
      <c r="I1514" s="201"/>
      <c r="S1514" s="201"/>
    </row>
    <row r="1515">
      <c r="D1515" s="201"/>
      <c r="I1515" s="201"/>
      <c r="S1515" s="201"/>
    </row>
    <row r="1516">
      <c r="D1516" s="201"/>
      <c r="I1516" s="201"/>
      <c r="S1516" s="201"/>
    </row>
    <row r="1517">
      <c r="D1517" s="201"/>
      <c r="I1517" s="201"/>
      <c r="S1517" s="201"/>
    </row>
    <row r="1518">
      <c r="D1518" s="201"/>
      <c r="I1518" s="201"/>
      <c r="S1518" s="201"/>
    </row>
    <row r="1519">
      <c r="D1519" s="201"/>
      <c r="I1519" s="201"/>
      <c r="S1519" s="201"/>
    </row>
    <row r="1520">
      <c r="D1520" s="201"/>
      <c r="I1520" s="201"/>
      <c r="S1520" s="201"/>
    </row>
    <row r="1521">
      <c r="D1521" s="201"/>
      <c r="I1521" s="201"/>
      <c r="S1521" s="201"/>
    </row>
    <row r="1522">
      <c r="D1522" s="201"/>
      <c r="I1522" s="201"/>
      <c r="S1522" s="201"/>
    </row>
    <row r="1523">
      <c r="D1523" s="201"/>
      <c r="I1523" s="201"/>
      <c r="S1523" s="201"/>
    </row>
    <row r="1524">
      <c r="D1524" s="201"/>
      <c r="I1524" s="201"/>
      <c r="S1524" s="201"/>
    </row>
    <row r="1525">
      <c r="D1525" s="201"/>
      <c r="I1525" s="201"/>
      <c r="S1525" s="201"/>
    </row>
    <row r="1526">
      <c r="D1526" s="201"/>
      <c r="I1526" s="201"/>
      <c r="S1526" s="201"/>
    </row>
    <row r="1527">
      <c r="D1527" s="201"/>
      <c r="I1527" s="201"/>
      <c r="S1527" s="201"/>
    </row>
    <row r="1528">
      <c r="D1528" s="201"/>
      <c r="I1528" s="201"/>
      <c r="S1528" s="201"/>
    </row>
    <row r="1529">
      <c r="D1529" s="201"/>
      <c r="I1529" s="201"/>
      <c r="S1529" s="201"/>
    </row>
    <row r="1530">
      <c r="D1530" s="201"/>
      <c r="I1530" s="201"/>
      <c r="S1530" s="201"/>
    </row>
    <row r="1531">
      <c r="D1531" s="201"/>
      <c r="I1531" s="201"/>
      <c r="S1531" s="201"/>
    </row>
    <row r="1532">
      <c r="D1532" s="201"/>
      <c r="I1532" s="201"/>
      <c r="S1532" s="201"/>
    </row>
    <row r="1533">
      <c r="D1533" s="201"/>
      <c r="I1533" s="201"/>
      <c r="S1533" s="201"/>
    </row>
    <row r="1534">
      <c r="D1534" s="201"/>
      <c r="I1534" s="201"/>
      <c r="S1534" s="201"/>
    </row>
    <row r="1535">
      <c r="D1535" s="201"/>
      <c r="I1535" s="201"/>
      <c r="S1535" s="201"/>
    </row>
    <row r="1536">
      <c r="D1536" s="201"/>
      <c r="I1536" s="201"/>
      <c r="S1536" s="201"/>
    </row>
    <row r="1537">
      <c r="D1537" s="201"/>
      <c r="I1537" s="201"/>
      <c r="S1537" s="201"/>
    </row>
    <row r="1538">
      <c r="D1538" s="201"/>
      <c r="I1538" s="201"/>
      <c r="S1538" s="201"/>
    </row>
    <row r="1539">
      <c r="D1539" s="201"/>
      <c r="I1539" s="201"/>
      <c r="S1539" s="201"/>
    </row>
    <row r="1540">
      <c r="D1540" s="201"/>
      <c r="I1540" s="201"/>
      <c r="S1540" s="201"/>
    </row>
    <row r="1541">
      <c r="D1541" s="201"/>
      <c r="I1541" s="201"/>
      <c r="S1541" s="201"/>
    </row>
    <row r="1542">
      <c r="D1542" s="201"/>
      <c r="I1542" s="201"/>
      <c r="S1542" s="201"/>
    </row>
    <row r="1543">
      <c r="D1543" s="201"/>
      <c r="I1543" s="201"/>
      <c r="S1543" s="201"/>
    </row>
    <row r="1544">
      <c r="D1544" s="201"/>
      <c r="I1544" s="201"/>
      <c r="S1544" s="201"/>
    </row>
    <row r="1545">
      <c r="D1545" s="201"/>
      <c r="I1545" s="201"/>
      <c r="S1545" s="201"/>
    </row>
    <row r="1546">
      <c r="D1546" s="201"/>
      <c r="I1546" s="201"/>
      <c r="S1546" s="201"/>
    </row>
    <row r="1547">
      <c r="D1547" s="201"/>
      <c r="I1547" s="201"/>
      <c r="S1547" s="201"/>
    </row>
    <row r="1548">
      <c r="D1548" s="201"/>
      <c r="I1548" s="201"/>
      <c r="S1548" s="201"/>
    </row>
    <row r="1549">
      <c r="D1549" s="201"/>
      <c r="I1549" s="201"/>
      <c r="S1549" s="201"/>
    </row>
    <row r="1550">
      <c r="D1550" s="201"/>
      <c r="I1550" s="201"/>
      <c r="S1550" s="201"/>
    </row>
    <row r="1551">
      <c r="D1551" s="201"/>
      <c r="I1551" s="201"/>
      <c r="S1551" s="201"/>
    </row>
    <row r="1552">
      <c r="D1552" s="201"/>
      <c r="I1552" s="201"/>
      <c r="S1552" s="201"/>
    </row>
    <row r="1553">
      <c r="D1553" s="201"/>
      <c r="I1553" s="201"/>
      <c r="S1553" s="201"/>
    </row>
    <row r="1554">
      <c r="D1554" s="201"/>
      <c r="I1554" s="201"/>
      <c r="S1554" s="201"/>
    </row>
    <row r="1555">
      <c r="D1555" s="201"/>
      <c r="I1555" s="201"/>
      <c r="S1555" s="201"/>
    </row>
    <row r="1556">
      <c r="D1556" s="201"/>
      <c r="I1556" s="201"/>
      <c r="S1556" s="201"/>
    </row>
    <row r="1557">
      <c r="D1557" s="201"/>
      <c r="I1557" s="201"/>
      <c r="S1557" s="201"/>
    </row>
    <row r="1558">
      <c r="D1558" s="201"/>
      <c r="I1558" s="201"/>
      <c r="S1558" s="201"/>
    </row>
    <row r="1559">
      <c r="D1559" s="201"/>
      <c r="I1559" s="201"/>
      <c r="S1559" s="201"/>
    </row>
    <row r="1560">
      <c r="D1560" s="201"/>
      <c r="I1560" s="201"/>
      <c r="S1560" s="201"/>
    </row>
    <row r="1561">
      <c r="D1561" s="201"/>
      <c r="I1561" s="201"/>
      <c r="S1561" s="201"/>
    </row>
    <row r="1562">
      <c r="D1562" s="201"/>
      <c r="I1562" s="201"/>
      <c r="S1562" s="201"/>
    </row>
    <row r="1563">
      <c r="D1563" s="201"/>
      <c r="I1563" s="201"/>
      <c r="S1563" s="201"/>
    </row>
    <row r="1564">
      <c r="D1564" s="201"/>
      <c r="I1564" s="201"/>
      <c r="S1564" s="201"/>
    </row>
    <row r="1565">
      <c r="D1565" s="201"/>
      <c r="I1565" s="201"/>
      <c r="S1565" s="201"/>
    </row>
    <row r="1566">
      <c r="D1566" s="201"/>
      <c r="I1566" s="201"/>
      <c r="S1566" s="201"/>
    </row>
    <row r="1567">
      <c r="D1567" s="201"/>
      <c r="I1567" s="201"/>
      <c r="S1567" s="201"/>
    </row>
    <row r="1568">
      <c r="D1568" s="201"/>
      <c r="I1568" s="201"/>
      <c r="S1568" s="201"/>
    </row>
    <row r="1569">
      <c r="D1569" s="201"/>
      <c r="I1569" s="201"/>
      <c r="S1569" s="201"/>
    </row>
    <row r="1570">
      <c r="D1570" s="201"/>
      <c r="I1570" s="201"/>
      <c r="S1570" s="201"/>
    </row>
    <row r="1571">
      <c r="D1571" s="201"/>
      <c r="I1571" s="201"/>
      <c r="S1571" s="201"/>
    </row>
    <row r="1572">
      <c r="D1572" s="201"/>
      <c r="I1572" s="201"/>
      <c r="S1572" s="201"/>
    </row>
    <row r="1573">
      <c r="D1573" s="201"/>
      <c r="I1573" s="201"/>
      <c r="S1573" s="201"/>
    </row>
    <row r="1574">
      <c r="D1574" s="201"/>
      <c r="I1574" s="201"/>
      <c r="S1574" s="201"/>
    </row>
    <row r="1575">
      <c r="D1575" s="201"/>
      <c r="I1575" s="201"/>
      <c r="S1575" s="201"/>
    </row>
    <row r="1576">
      <c r="D1576" s="201"/>
      <c r="I1576" s="201"/>
      <c r="S1576" s="201"/>
    </row>
    <row r="1577">
      <c r="D1577" s="201"/>
      <c r="I1577" s="201"/>
      <c r="S1577" s="201"/>
    </row>
    <row r="1578">
      <c r="D1578" s="201"/>
      <c r="I1578" s="201"/>
      <c r="S1578" s="201"/>
    </row>
    <row r="1579">
      <c r="D1579" s="201"/>
      <c r="I1579" s="201"/>
      <c r="S1579" s="201"/>
    </row>
    <row r="1580">
      <c r="D1580" s="201"/>
      <c r="I1580" s="201"/>
      <c r="S1580" s="201"/>
    </row>
    <row r="1581">
      <c r="D1581" s="201"/>
      <c r="I1581" s="201"/>
      <c r="S1581" s="201"/>
    </row>
    <row r="1582">
      <c r="D1582" s="201"/>
      <c r="I1582" s="201"/>
      <c r="S1582" s="201"/>
    </row>
    <row r="1583">
      <c r="D1583" s="201"/>
      <c r="I1583" s="201"/>
      <c r="S1583" s="201"/>
    </row>
    <row r="1584">
      <c r="D1584" s="201"/>
      <c r="I1584" s="201"/>
      <c r="S1584" s="201"/>
    </row>
    <row r="1585">
      <c r="D1585" s="201"/>
      <c r="I1585" s="201"/>
      <c r="S1585" s="201"/>
    </row>
    <row r="1586">
      <c r="D1586" s="201"/>
      <c r="I1586" s="201"/>
      <c r="S1586" s="201"/>
    </row>
    <row r="1587">
      <c r="D1587" s="201"/>
      <c r="I1587" s="201"/>
      <c r="S1587" s="201"/>
    </row>
    <row r="1588">
      <c r="D1588" s="201"/>
      <c r="I1588" s="201"/>
      <c r="S1588" s="201"/>
    </row>
    <row r="1589">
      <c r="D1589" s="201"/>
      <c r="I1589" s="201"/>
      <c r="S1589" s="201"/>
    </row>
    <row r="1590">
      <c r="D1590" s="201"/>
      <c r="I1590" s="201"/>
      <c r="S1590" s="201"/>
    </row>
    <row r="1591">
      <c r="D1591" s="201"/>
      <c r="I1591" s="201"/>
      <c r="S1591" s="201"/>
    </row>
    <row r="1592">
      <c r="D1592" s="201"/>
      <c r="I1592" s="201"/>
      <c r="S1592" s="201"/>
    </row>
    <row r="1593">
      <c r="D1593" s="201"/>
      <c r="I1593" s="201"/>
      <c r="S1593" s="201"/>
    </row>
    <row r="1594">
      <c r="D1594" s="201"/>
      <c r="I1594" s="201"/>
      <c r="S1594" s="201"/>
    </row>
    <row r="1595">
      <c r="D1595" s="201"/>
      <c r="I1595" s="201"/>
      <c r="S1595" s="201"/>
    </row>
    <row r="1596">
      <c r="D1596" s="201"/>
      <c r="I1596" s="201"/>
      <c r="S1596" s="201"/>
    </row>
    <row r="1597">
      <c r="D1597" s="201"/>
      <c r="I1597" s="201"/>
      <c r="S1597" s="201"/>
    </row>
    <row r="1598">
      <c r="D1598" s="201"/>
      <c r="I1598" s="201"/>
      <c r="S1598" s="201"/>
    </row>
    <row r="1599">
      <c r="D1599" s="201"/>
      <c r="I1599" s="201"/>
      <c r="S1599" s="201"/>
    </row>
    <row r="1600">
      <c r="D1600" s="201"/>
      <c r="I1600" s="201"/>
      <c r="S1600" s="201"/>
    </row>
    <row r="1601">
      <c r="D1601" s="201"/>
      <c r="I1601" s="201"/>
      <c r="S1601" s="201"/>
    </row>
    <row r="1602">
      <c r="D1602" s="201"/>
      <c r="I1602" s="201"/>
      <c r="S1602" s="201"/>
    </row>
    <row r="1603">
      <c r="D1603" s="201"/>
      <c r="I1603" s="201"/>
      <c r="S1603" s="201"/>
    </row>
    <row r="1604">
      <c r="D1604" s="201"/>
      <c r="I1604" s="201"/>
      <c r="S1604" s="201"/>
    </row>
    <row r="1605">
      <c r="D1605" s="201"/>
      <c r="I1605" s="201"/>
      <c r="S1605" s="201"/>
    </row>
    <row r="1606">
      <c r="D1606" s="201"/>
      <c r="I1606" s="201"/>
      <c r="S1606" s="201"/>
    </row>
    <row r="1607">
      <c r="D1607" s="201"/>
      <c r="I1607" s="201"/>
      <c r="S1607" s="201"/>
    </row>
    <row r="1608">
      <c r="D1608" s="201"/>
      <c r="I1608" s="201"/>
      <c r="S1608" s="201"/>
    </row>
    <row r="1609">
      <c r="D1609" s="201"/>
      <c r="I1609" s="201"/>
      <c r="S1609" s="201"/>
    </row>
    <row r="1610">
      <c r="D1610" s="201"/>
      <c r="I1610" s="201"/>
      <c r="S1610" s="201"/>
    </row>
    <row r="1611">
      <c r="D1611" s="201"/>
      <c r="I1611" s="201"/>
      <c r="S1611" s="201"/>
    </row>
    <row r="1612">
      <c r="D1612" s="201"/>
      <c r="I1612" s="201"/>
      <c r="S1612" s="201"/>
    </row>
    <row r="1613">
      <c r="D1613" s="201"/>
      <c r="I1613" s="201"/>
      <c r="S1613" s="201"/>
    </row>
    <row r="1614">
      <c r="D1614" s="201"/>
      <c r="I1614" s="201"/>
      <c r="S1614" s="201"/>
    </row>
    <row r="1615">
      <c r="D1615" s="201"/>
      <c r="I1615" s="201"/>
      <c r="S1615" s="201"/>
    </row>
    <row r="1616">
      <c r="D1616" s="201"/>
      <c r="I1616" s="201"/>
      <c r="S1616" s="201"/>
    </row>
    <row r="1617">
      <c r="D1617" s="201"/>
      <c r="I1617" s="201"/>
      <c r="S1617" s="201"/>
    </row>
    <row r="1618">
      <c r="D1618" s="201"/>
      <c r="I1618" s="201"/>
      <c r="S1618" s="201"/>
    </row>
    <row r="1619">
      <c r="D1619" s="201"/>
      <c r="I1619" s="201"/>
      <c r="S1619" s="201"/>
    </row>
    <row r="1620">
      <c r="D1620" s="201"/>
      <c r="I1620" s="201"/>
      <c r="S1620" s="201"/>
    </row>
    <row r="1621">
      <c r="D1621" s="201"/>
      <c r="I1621" s="201"/>
      <c r="S1621" s="201"/>
    </row>
    <row r="1622">
      <c r="D1622" s="201"/>
      <c r="I1622" s="201"/>
      <c r="S1622" s="201"/>
    </row>
    <row r="1623">
      <c r="D1623" s="201"/>
      <c r="I1623" s="201"/>
      <c r="S1623" s="201"/>
    </row>
    <row r="1624">
      <c r="D1624" s="201"/>
      <c r="I1624" s="201"/>
      <c r="S1624" s="201"/>
    </row>
    <row r="1625">
      <c r="D1625" s="201"/>
      <c r="I1625" s="201"/>
      <c r="S1625" s="201"/>
    </row>
    <row r="1626">
      <c r="D1626" s="201"/>
      <c r="I1626" s="201"/>
      <c r="S1626" s="201"/>
    </row>
    <row r="1627">
      <c r="D1627" s="201"/>
      <c r="I1627" s="201"/>
      <c r="S1627" s="201"/>
    </row>
    <row r="1628">
      <c r="D1628" s="201"/>
      <c r="I1628" s="201"/>
      <c r="S1628" s="201"/>
    </row>
    <row r="1629">
      <c r="D1629" s="201"/>
      <c r="I1629" s="201"/>
      <c r="S1629" s="201"/>
    </row>
    <row r="1630">
      <c r="D1630" s="201"/>
      <c r="I1630" s="201"/>
      <c r="S1630" s="201"/>
    </row>
    <row r="1631">
      <c r="D1631" s="201"/>
      <c r="I1631" s="201"/>
      <c r="S1631" s="201"/>
    </row>
    <row r="1632">
      <c r="D1632" s="201"/>
      <c r="I1632" s="201"/>
      <c r="S1632" s="201"/>
    </row>
    <row r="1633">
      <c r="D1633" s="201"/>
      <c r="I1633" s="201"/>
      <c r="S1633" s="201"/>
    </row>
    <row r="1634">
      <c r="D1634" s="201"/>
      <c r="I1634" s="201"/>
      <c r="S1634" s="201"/>
    </row>
    <row r="1635">
      <c r="D1635" s="201"/>
      <c r="I1635" s="201"/>
      <c r="S1635" s="201"/>
    </row>
    <row r="1636">
      <c r="D1636" s="201"/>
      <c r="I1636" s="201"/>
      <c r="S1636" s="201"/>
    </row>
    <row r="1637">
      <c r="D1637" s="201"/>
      <c r="I1637" s="201"/>
      <c r="S1637" s="201"/>
    </row>
    <row r="1638">
      <c r="D1638" s="201"/>
      <c r="I1638" s="201"/>
      <c r="S1638" s="201"/>
    </row>
    <row r="1639">
      <c r="D1639" s="201"/>
      <c r="I1639" s="201"/>
      <c r="S1639" s="201"/>
    </row>
    <row r="1640">
      <c r="D1640" s="201"/>
      <c r="I1640" s="201"/>
      <c r="S1640" s="201"/>
    </row>
    <row r="1641">
      <c r="D1641" s="201"/>
      <c r="I1641" s="201"/>
      <c r="S1641" s="201"/>
    </row>
    <row r="1642">
      <c r="D1642" s="201"/>
      <c r="I1642" s="201"/>
      <c r="S1642" s="201"/>
    </row>
    <row r="1643">
      <c r="D1643" s="201"/>
      <c r="I1643" s="201"/>
      <c r="S1643" s="201"/>
    </row>
    <row r="1644">
      <c r="D1644" s="201"/>
      <c r="I1644" s="201"/>
      <c r="S1644" s="201"/>
    </row>
    <row r="1645">
      <c r="D1645" s="201"/>
      <c r="I1645" s="201"/>
      <c r="S1645" s="201"/>
    </row>
    <row r="1646">
      <c r="D1646" s="201"/>
      <c r="I1646" s="201"/>
      <c r="S1646" s="201"/>
    </row>
    <row r="1647">
      <c r="D1647" s="201"/>
      <c r="I1647" s="201"/>
      <c r="S1647" s="201"/>
    </row>
    <row r="1648">
      <c r="D1648" s="201"/>
      <c r="I1648" s="201"/>
      <c r="S1648" s="201"/>
    </row>
    <row r="1649">
      <c r="D1649" s="201"/>
      <c r="I1649" s="201"/>
      <c r="S1649" s="201"/>
    </row>
    <row r="1650">
      <c r="D1650" s="201"/>
      <c r="I1650" s="201"/>
      <c r="S1650" s="201"/>
    </row>
    <row r="1651">
      <c r="D1651" s="201"/>
      <c r="I1651" s="201"/>
      <c r="S1651" s="201"/>
    </row>
    <row r="1652">
      <c r="D1652" s="201"/>
      <c r="I1652" s="201"/>
      <c r="S1652" s="201"/>
    </row>
    <row r="1653">
      <c r="D1653" s="201"/>
      <c r="I1653" s="201"/>
      <c r="S1653" s="201"/>
    </row>
    <row r="1654">
      <c r="D1654" s="201"/>
      <c r="I1654" s="201"/>
      <c r="S1654" s="201"/>
    </row>
    <row r="1655">
      <c r="D1655" s="201"/>
      <c r="I1655" s="201"/>
      <c r="S1655" s="201"/>
    </row>
    <row r="1656">
      <c r="D1656" s="201"/>
      <c r="I1656" s="201"/>
      <c r="S1656" s="201"/>
    </row>
    <row r="1657">
      <c r="D1657" s="201"/>
      <c r="I1657" s="201"/>
      <c r="S1657" s="201"/>
    </row>
    <row r="1658">
      <c r="D1658" s="201"/>
      <c r="I1658" s="201"/>
      <c r="S1658" s="201"/>
    </row>
    <row r="1659">
      <c r="D1659" s="201"/>
      <c r="I1659" s="201"/>
      <c r="S1659" s="201"/>
    </row>
    <row r="1660">
      <c r="D1660" s="201"/>
      <c r="I1660" s="201"/>
      <c r="S1660" s="201"/>
    </row>
    <row r="1661">
      <c r="D1661" s="201"/>
      <c r="I1661" s="201"/>
      <c r="S1661" s="201"/>
    </row>
    <row r="1662">
      <c r="D1662" s="201"/>
      <c r="I1662" s="201"/>
      <c r="S1662" s="201"/>
    </row>
    <row r="1663">
      <c r="D1663" s="201"/>
      <c r="I1663" s="201"/>
      <c r="S1663" s="201"/>
    </row>
    <row r="1664">
      <c r="D1664" s="201"/>
      <c r="I1664" s="201"/>
      <c r="S1664" s="201"/>
    </row>
    <row r="1665">
      <c r="D1665" s="201"/>
      <c r="I1665" s="201"/>
      <c r="S1665" s="201"/>
    </row>
    <row r="1666">
      <c r="D1666" s="201"/>
      <c r="I1666" s="201"/>
      <c r="S1666" s="201"/>
    </row>
    <row r="1667">
      <c r="D1667" s="201"/>
      <c r="I1667" s="201"/>
      <c r="S1667" s="201"/>
    </row>
    <row r="1668">
      <c r="D1668" s="201"/>
      <c r="I1668" s="201"/>
      <c r="S1668" s="201"/>
    </row>
    <row r="1669">
      <c r="D1669" s="201"/>
      <c r="I1669" s="201"/>
      <c r="S1669" s="201"/>
    </row>
    <row r="1670">
      <c r="D1670" s="201"/>
      <c r="I1670" s="201"/>
      <c r="S1670" s="201"/>
    </row>
    <row r="1671">
      <c r="D1671" s="201"/>
      <c r="I1671" s="201"/>
      <c r="S1671" s="201"/>
    </row>
    <row r="1672">
      <c r="D1672" s="201"/>
      <c r="I1672" s="201"/>
      <c r="S1672" s="201"/>
    </row>
    <row r="1673">
      <c r="D1673" s="201"/>
      <c r="I1673" s="201"/>
      <c r="S1673" s="201"/>
    </row>
    <row r="1674">
      <c r="D1674" s="201"/>
      <c r="I1674" s="201"/>
      <c r="S1674" s="201"/>
    </row>
    <row r="1675">
      <c r="D1675" s="201"/>
      <c r="I1675" s="201"/>
      <c r="S1675" s="201"/>
    </row>
    <row r="1676">
      <c r="D1676" s="201"/>
      <c r="I1676" s="201"/>
      <c r="S1676" s="201"/>
    </row>
    <row r="1677">
      <c r="D1677" s="201"/>
      <c r="I1677" s="201"/>
      <c r="S1677" s="201"/>
    </row>
    <row r="1678">
      <c r="D1678" s="201"/>
      <c r="I1678" s="201"/>
      <c r="S1678" s="201"/>
    </row>
    <row r="1679">
      <c r="D1679" s="201"/>
      <c r="I1679" s="201"/>
      <c r="S1679" s="201"/>
    </row>
    <row r="1680">
      <c r="D1680" s="201"/>
      <c r="I1680" s="201"/>
      <c r="S1680" s="201"/>
    </row>
    <row r="1681">
      <c r="D1681" s="201"/>
      <c r="I1681" s="201"/>
      <c r="S1681" s="201"/>
    </row>
    <row r="1682">
      <c r="D1682" s="201"/>
      <c r="I1682" s="201"/>
      <c r="S1682" s="201"/>
    </row>
    <row r="1683">
      <c r="D1683" s="201"/>
      <c r="I1683" s="201"/>
      <c r="S1683" s="201"/>
    </row>
    <row r="1684">
      <c r="D1684" s="201"/>
      <c r="I1684" s="201"/>
      <c r="S1684" s="201"/>
    </row>
    <row r="1685">
      <c r="D1685" s="201"/>
      <c r="I1685" s="201"/>
      <c r="S1685" s="201"/>
    </row>
    <row r="1686">
      <c r="D1686" s="201"/>
      <c r="I1686" s="201"/>
      <c r="S1686" s="201"/>
    </row>
    <row r="1687">
      <c r="D1687" s="201"/>
      <c r="I1687" s="201"/>
      <c r="S1687" s="201"/>
    </row>
    <row r="1688">
      <c r="D1688" s="201"/>
      <c r="I1688" s="201"/>
      <c r="S1688" s="201"/>
    </row>
    <row r="1689">
      <c r="D1689" s="201"/>
      <c r="I1689" s="201"/>
      <c r="S1689" s="201"/>
    </row>
    <row r="1690">
      <c r="D1690" s="201"/>
      <c r="I1690" s="201"/>
      <c r="S1690" s="201"/>
    </row>
    <row r="1691">
      <c r="D1691" s="201"/>
      <c r="I1691" s="201"/>
      <c r="S1691" s="201"/>
    </row>
    <row r="1692">
      <c r="D1692" s="201"/>
      <c r="I1692" s="201"/>
      <c r="S1692" s="201"/>
    </row>
    <row r="1693">
      <c r="D1693" s="201"/>
      <c r="I1693" s="201"/>
      <c r="S1693" s="201"/>
    </row>
    <row r="1694">
      <c r="D1694" s="201"/>
      <c r="I1694" s="201"/>
      <c r="S1694" s="201"/>
    </row>
    <row r="1695">
      <c r="D1695" s="201"/>
      <c r="I1695" s="201"/>
      <c r="S1695" s="201"/>
    </row>
    <row r="1696">
      <c r="D1696" s="201"/>
      <c r="I1696" s="201"/>
      <c r="S1696" s="201"/>
    </row>
    <row r="1697">
      <c r="D1697" s="201"/>
      <c r="I1697" s="201"/>
      <c r="S1697" s="201"/>
    </row>
    <row r="1698">
      <c r="D1698" s="201"/>
      <c r="I1698" s="201"/>
      <c r="S1698" s="201"/>
    </row>
    <row r="1699">
      <c r="D1699" s="201"/>
      <c r="I1699" s="201"/>
      <c r="S1699" s="201"/>
    </row>
    <row r="1700">
      <c r="D1700" s="201"/>
      <c r="I1700" s="201"/>
      <c r="S1700" s="201"/>
    </row>
    <row r="1701">
      <c r="D1701" s="201"/>
      <c r="I1701" s="201"/>
      <c r="S1701" s="201"/>
    </row>
    <row r="1702">
      <c r="D1702" s="201"/>
      <c r="I1702" s="201"/>
      <c r="S1702" s="201"/>
    </row>
    <row r="1703">
      <c r="D1703" s="201"/>
      <c r="I1703" s="201"/>
      <c r="S1703" s="201"/>
    </row>
    <row r="1704">
      <c r="D1704" s="201"/>
      <c r="I1704" s="201"/>
      <c r="S1704" s="201"/>
    </row>
    <row r="1705">
      <c r="D1705" s="201"/>
      <c r="I1705" s="201"/>
      <c r="S1705" s="201"/>
    </row>
    <row r="1706">
      <c r="D1706" s="201"/>
      <c r="I1706" s="201"/>
      <c r="S1706" s="201"/>
    </row>
    <row r="1707">
      <c r="D1707" s="201"/>
      <c r="I1707" s="201"/>
      <c r="S1707" s="201"/>
    </row>
    <row r="1708">
      <c r="D1708" s="201"/>
      <c r="I1708" s="201"/>
      <c r="S1708" s="201"/>
    </row>
    <row r="1709">
      <c r="D1709" s="201"/>
      <c r="I1709" s="201"/>
      <c r="S1709" s="201"/>
    </row>
    <row r="1710">
      <c r="D1710" s="201"/>
      <c r="I1710" s="201"/>
      <c r="S1710" s="201"/>
    </row>
    <row r="1711">
      <c r="D1711" s="201"/>
      <c r="I1711" s="201"/>
      <c r="S1711" s="201"/>
    </row>
    <row r="1712">
      <c r="D1712" s="201"/>
      <c r="I1712" s="201"/>
      <c r="S1712" s="201"/>
    </row>
    <row r="1713">
      <c r="D1713" s="201"/>
      <c r="I1713" s="201"/>
      <c r="S1713" s="201"/>
    </row>
    <row r="1714">
      <c r="D1714" s="201"/>
      <c r="I1714" s="201"/>
      <c r="S1714" s="201"/>
    </row>
    <row r="1715">
      <c r="D1715" s="201"/>
      <c r="I1715" s="201"/>
      <c r="S1715" s="201"/>
    </row>
    <row r="1716">
      <c r="D1716" s="201"/>
      <c r="I1716" s="201"/>
      <c r="S1716" s="201"/>
    </row>
    <row r="1717">
      <c r="D1717" s="201"/>
      <c r="I1717" s="201"/>
      <c r="S1717" s="201"/>
    </row>
    <row r="1718">
      <c r="D1718" s="201"/>
      <c r="I1718" s="201"/>
      <c r="S1718" s="201"/>
    </row>
    <row r="1719">
      <c r="D1719" s="201"/>
      <c r="I1719" s="201"/>
      <c r="S1719" s="201"/>
    </row>
    <row r="1720">
      <c r="D1720" s="201"/>
      <c r="I1720" s="201"/>
      <c r="S1720" s="201"/>
    </row>
    <row r="1721">
      <c r="D1721" s="201"/>
      <c r="I1721" s="201"/>
      <c r="S1721" s="201"/>
    </row>
    <row r="1722">
      <c r="D1722" s="201"/>
      <c r="I1722" s="201"/>
      <c r="S1722" s="201"/>
    </row>
    <row r="1723">
      <c r="D1723" s="201"/>
      <c r="I1723" s="201"/>
      <c r="S1723" s="201"/>
    </row>
    <row r="1724">
      <c r="D1724" s="201"/>
      <c r="I1724" s="201"/>
      <c r="S1724" s="201"/>
    </row>
    <row r="1725">
      <c r="D1725" s="201"/>
      <c r="I1725" s="201"/>
      <c r="S1725" s="201"/>
    </row>
    <row r="1726">
      <c r="D1726" s="201"/>
      <c r="I1726" s="201"/>
      <c r="S1726" s="201"/>
    </row>
    <row r="1727">
      <c r="D1727" s="201"/>
      <c r="I1727" s="201"/>
      <c r="S1727" s="201"/>
    </row>
    <row r="1728">
      <c r="D1728" s="201"/>
      <c r="I1728" s="201"/>
      <c r="S1728" s="201"/>
    </row>
    <row r="1729">
      <c r="D1729" s="201"/>
      <c r="I1729" s="201"/>
      <c r="S1729" s="201"/>
    </row>
    <row r="1730">
      <c r="D1730" s="201"/>
      <c r="I1730" s="201"/>
      <c r="S1730" s="201"/>
    </row>
    <row r="1731">
      <c r="D1731" s="201"/>
      <c r="I1731" s="201"/>
      <c r="S1731" s="201"/>
    </row>
    <row r="1732">
      <c r="D1732" s="201"/>
      <c r="I1732" s="201"/>
      <c r="S1732" s="201"/>
    </row>
    <row r="1733">
      <c r="D1733" s="201"/>
      <c r="I1733" s="201"/>
      <c r="S1733" s="201"/>
    </row>
    <row r="1734">
      <c r="D1734" s="201"/>
      <c r="I1734" s="201"/>
      <c r="S1734" s="201"/>
    </row>
    <row r="1735">
      <c r="D1735" s="201"/>
      <c r="I1735" s="201"/>
      <c r="S1735" s="201"/>
    </row>
    <row r="1736">
      <c r="D1736" s="201"/>
      <c r="I1736" s="201"/>
      <c r="S1736" s="201"/>
    </row>
    <row r="1737">
      <c r="D1737" s="201"/>
      <c r="I1737" s="201"/>
      <c r="S1737" s="201"/>
    </row>
    <row r="1738">
      <c r="D1738" s="201"/>
      <c r="I1738" s="201"/>
      <c r="S1738" s="201"/>
    </row>
    <row r="1739">
      <c r="D1739" s="201"/>
      <c r="I1739" s="201"/>
      <c r="S1739" s="201"/>
    </row>
    <row r="1740">
      <c r="D1740" s="201"/>
      <c r="I1740" s="201"/>
      <c r="S1740" s="201"/>
    </row>
    <row r="1741">
      <c r="D1741" s="201"/>
      <c r="I1741" s="201"/>
      <c r="S1741" s="201"/>
    </row>
    <row r="1742">
      <c r="D1742" s="201"/>
      <c r="I1742" s="201"/>
      <c r="S1742" s="201"/>
    </row>
    <row r="1743">
      <c r="D1743" s="201"/>
      <c r="I1743" s="201"/>
      <c r="S1743" s="201"/>
    </row>
    <row r="1744">
      <c r="D1744" s="201"/>
      <c r="I1744" s="201"/>
      <c r="S1744" s="201"/>
    </row>
    <row r="1745">
      <c r="D1745" s="201"/>
      <c r="I1745" s="201"/>
      <c r="S1745" s="201"/>
    </row>
    <row r="1746">
      <c r="D1746" s="201"/>
      <c r="I1746" s="201"/>
      <c r="S1746" s="201"/>
    </row>
    <row r="1747">
      <c r="D1747" s="201"/>
      <c r="I1747" s="201"/>
      <c r="S1747" s="201"/>
    </row>
    <row r="1748">
      <c r="D1748" s="201"/>
      <c r="I1748" s="201"/>
      <c r="S1748" s="201"/>
    </row>
    <row r="1749">
      <c r="D1749" s="201"/>
      <c r="I1749" s="201"/>
      <c r="S1749" s="201"/>
    </row>
    <row r="1750">
      <c r="D1750" s="201"/>
      <c r="I1750" s="201"/>
      <c r="S1750" s="201"/>
    </row>
    <row r="1751">
      <c r="D1751" s="201"/>
      <c r="I1751" s="201"/>
      <c r="S1751" s="201"/>
    </row>
    <row r="1752">
      <c r="D1752" s="201"/>
      <c r="I1752" s="201"/>
      <c r="S1752" s="201"/>
    </row>
    <row r="1753">
      <c r="D1753" s="201"/>
      <c r="I1753" s="201"/>
      <c r="S1753" s="201"/>
    </row>
    <row r="1754">
      <c r="D1754" s="201"/>
      <c r="I1754" s="201"/>
      <c r="S1754" s="201"/>
    </row>
    <row r="1755">
      <c r="D1755" s="201"/>
      <c r="I1755" s="201"/>
      <c r="S1755" s="201"/>
    </row>
    <row r="1756">
      <c r="D1756" s="201"/>
      <c r="I1756" s="201"/>
      <c r="S1756" s="201"/>
    </row>
    <row r="1757">
      <c r="D1757" s="201"/>
      <c r="I1757" s="201"/>
      <c r="S1757" s="201"/>
    </row>
    <row r="1758">
      <c r="D1758" s="201"/>
      <c r="I1758" s="201"/>
      <c r="S1758" s="201"/>
    </row>
    <row r="1759">
      <c r="D1759" s="201"/>
      <c r="I1759" s="201"/>
      <c r="S1759" s="201"/>
    </row>
    <row r="1760">
      <c r="D1760" s="201"/>
      <c r="I1760" s="201"/>
      <c r="S1760" s="201"/>
    </row>
    <row r="1761">
      <c r="D1761" s="201"/>
      <c r="I1761" s="201"/>
      <c r="S1761" s="201"/>
    </row>
    <row r="1762">
      <c r="D1762" s="201"/>
      <c r="I1762" s="201"/>
      <c r="S1762" s="201"/>
    </row>
    <row r="1763">
      <c r="D1763" s="201"/>
      <c r="I1763" s="201"/>
      <c r="S1763" s="201"/>
    </row>
    <row r="1764">
      <c r="D1764" s="201"/>
      <c r="I1764" s="201"/>
      <c r="S1764" s="201"/>
    </row>
    <row r="1765">
      <c r="D1765" s="201"/>
      <c r="I1765" s="201"/>
      <c r="S1765" s="201"/>
    </row>
    <row r="1766">
      <c r="D1766" s="201"/>
      <c r="I1766" s="201"/>
      <c r="S1766" s="201"/>
    </row>
    <row r="1767">
      <c r="D1767" s="201"/>
      <c r="I1767" s="201"/>
      <c r="S1767" s="201"/>
    </row>
    <row r="1768">
      <c r="D1768" s="201"/>
      <c r="I1768" s="201"/>
      <c r="S1768" s="201"/>
    </row>
    <row r="1769">
      <c r="D1769" s="201"/>
      <c r="I1769" s="201"/>
      <c r="S1769" s="201"/>
    </row>
    <row r="1770">
      <c r="D1770" s="201"/>
      <c r="I1770" s="201"/>
      <c r="S1770" s="201"/>
    </row>
    <row r="1771">
      <c r="D1771" s="201"/>
      <c r="I1771" s="201"/>
      <c r="S1771" s="201"/>
    </row>
    <row r="1772">
      <c r="D1772" s="201"/>
      <c r="I1772" s="201"/>
      <c r="S1772" s="201"/>
    </row>
    <row r="1773">
      <c r="D1773" s="201"/>
      <c r="I1773" s="201"/>
      <c r="S1773" s="201"/>
    </row>
    <row r="1774">
      <c r="D1774" s="201"/>
      <c r="I1774" s="201"/>
      <c r="S1774" s="201"/>
    </row>
    <row r="1775">
      <c r="D1775" s="201"/>
      <c r="I1775" s="201"/>
      <c r="S1775" s="201"/>
    </row>
    <row r="1776">
      <c r="D1776" s="201"/>
      <c r="I1776" s="201"/>
      <c r="S1776" s="201"/>
    </row>
    <row r="1777">
      <c r="D1777" s="201"/>
      <c r="I1777" s="201"/>
      <c r="S1777" s="201"/>
    </row>
    <row r="1778">
      <c r="D1778" s="201"/>
      <c r="I1778" s="201"/>
      <c r="S1778" s="201"/>
    </row>
    <row r="1779">
      <c r="D1779" s="201"/>
      <c r="I1779" s="201"/>
      <c r="S1779" s="201"/>
    </row>
    <row r="1780">
      <c r="D1780" s="201"/>
      <c r="I1780" s="201"/>
      <c r="S1780" s="201"/>
    </row>
    <row r="1781">
      <c r="D1781" s="201"/>
      <c r="I1781" s="201"/>
      <c r="S1781" s="201"/>
    </row>
    <row r="1782">
      <c r="D1782" s="201"/>
      <c r="I1782" s="201"/>
      <c r="S1782" s="201"/>
    </row>
    <row r="1783">
      <c r="D1783" s="201"/>
      <c r="I1783" s="201"/>
      <c r="S1783" s="201"/>
    </row>
    <row r="1784">
      <c r="D1784" s="201"/>
      <c r="I1784" s="201"/>
      <c r="S1784" s="201"/>
    </row>
    <row r="1785">
      <c r="D1785" s="201"/>
      <c r="I1785" s="201"/>
      <c r="S1785" s="201"/>
    </row>
    <row r="1786">
      <c r="D1786" s="201"/>
      <c r="I1786" s="201"/>
      <c r="S1786" s="201"/>
    </row>
    <row r="1787">
      <c r="D1787" s="201"/>
      <c r="I1787" s="201"/>
      <c r="S1787" s="201"/>
    </row>
    <row r="1788">
      <c r="D1788" s="201"/>
      <c r="I1788" s="201"/>
      <c r="S1788" s="201"/>
    </row>
    <row r="1789">
      <c r="D1789" s="201"/>
      <c r="I1789" s="201"/>
      <c r="S1789" s="201"/>
    </row>
    <row r="1790">
      <c r="D1790" s="201"/>
      <c r="I1790" s="201"/>
      <c r="S1790" s="201"/>
    </row>
    <row r="1791">
      <c r="D1791" s="201"/>
      <c r="I1791" s="201"/>
      <c r="S1791" s="201"/>
    </row>
    <row r="1792">
      <c r="D1792" s="201"/>
      <c r="I1792" s="201"/>
      <c r="S1792" s="201"/>
    </row>
    <row r="1793">
      <c r="D1793" s="201"/>
      <c r="I1793" s="201"/>
      <c r="S1793" s="201"/>
    </row>
    <row r="1794">
      <c r="D1794" s="201"/>
      <c r="I1794" s="201"/>
      <c r="S1794" s="201"/>
    </row>
    <row r="1795">
      <c r="D1795" s="201"/>
      <c r="I1795" s="201"/>
      <c r="S1795" s="201"/>
    </row>
    <row r="1796">
      <c r="D1796" s="201"/>
      <c r="I1796" s="201"/>
      <c r="S1796" s="201"/>
    </row>
    <row r="1797">
      <c r="D1797" s="201"/>
      <c r="I1797" s="201"/>
      <c r="S1797" s="201"/>
    </row>
    <row r="1798">
      <c r="D1798" s="201"/>
      <c r="I1798" s="201"/>
      <c r="S1798" s="201"/>
    </row>
    <row r="1799">
      <c r="D1799" s="201"/>
      <c r="I1799" s="201"/>
      <c r="S1799" s="201"/>
    </row>
    <row r="1800">
      <c r="D1800" s="201"/>
      <c r="I1800" s="201"/>
      <c r="S1800" s="201"/>
    </row>
    <row r="1801">
      <c r="D1801" s="201"/>
      <c r="I1801" s="201"/>
      <c r="S1801" s="201"/>
    </row>
    <row r="1802">
      <c r="D1802" s="201"/>
      <c r="I1802" s="201"/>
      <c r="S1802" s="201"/>
    </row>
    <row r="1803">
      <c r="D1803" s="201"/>
      <c r="I1803" s="201"/>
      <c r="S1803" s="201"/>
    </row>
    <row r="1804">
      <c r="D1804" s="201"/>
      <c r="I1804" s="201"/>
      <c r="S1804" s="201"/>
    </row>
    <row r="1805">
      <c r="D1805" s="201"/>
      <c r="I1805" s="201"/>
      <c r="S1805" s="201"/>
    </row>
    <row r="1806">
      <c r="D1806" s="201"/>
      <c r="I1806" s="201"/>
      <c r="S1806" s="201"/>
    </row>
    <row r="1807">
      <c r="D1807" s="201"/>
      <c r="I1807" s="201"/>
      <c r="S1807" s="201"/>
    </row>
    <row r="1808">
      <c r="D1808" s="201"/>
      <c r="I1808" s="201"/>
      <c r="S1808" s="201"/>
    </row>
    <row r="1809">
      <c r="D1809" s="201"/>
      <c r="I1809" s="201"/>
      <c r="S1809" s="201"/>
    </row>
    <row r="1810">
      <c r="D1810" s="201"/>
      <c r="I1810" s="201"/>
      <c r="S1810" s="201"/>
    </row>
    <row r="1811">
      <c r="D1811" s="201"/>
      <c r="I1811" s="201"/>
      <c r="S1811" s="201"/>
    </row>
    <row r="1812">
      <c r="D1812" s="201"/>
      <c r="I1812" s="201"/>
      <c r="S1812" s="201"/>
    </row>
    <row r="1813">
      <c r="D1813" s="201"/>
      <c r="I1813" s="201"/>
      <c r="S1813" s="201"/>
    </row>
    <row r="1814">
      <c r="D1814" s="201"/>
      <c r="I1814" s="201"/>
      <c r="S1814" s="201"/>
    </row>
    <row r="1815">
      <c r="D1815" s="201"/>
      <c r="I1815" s="201"/>
      <c r="S1815" s="201"/>
    </row>
    <row r="1816">
      <c r="D1816" s="201"/>
      <c r="I1816" s="201"/>
      <c r="S1816" s="201"/>
    </row>
    <row r="1817">
      <c r="D1817" s="201"/>
      <c r="I1817" s="201"/>
      <c r="S1817" s="201"/>
    </row>
    <row r="1818">
      <c r="D1818" s="201"/>
      <c r="I1818" s="201"/>
      <c r="S1818" s="201"/>
    </row>
    <row r="1819">
      <c r="D1819" s="201"/>
      <c r="I1819" s="201"/>
      <c r="S1819" s="201"/>
    </row>
    <row r="1820">
      <c r="D1820" s="201"/>
      <c r="I1820" s="201"/>
      <c r="S1820" s="201"/>
    </row>
    <row r="1821">
      <c r="D1821" s="201"/>
      <c r="I1821" s="201"/>
      <c r="S1821" s="201"/>
    </row>
    <row r="1822">
      <c r="D1822" s="201"/>
      <c r="I1822" s="201"/>
      <c r="S1822" s="201"/>
    </row>
    <row r="1823">
      <c r="D1823" s="201"/>
      <c r="I1823" s="201"/>
      <c r="S1823" s="201"/>
    </row>
    <row r="1824">
      <c r="D1824" s="201"/>
      <c r="I1824" s="201"/>
      <c r="S1824" s="201"/>
    </row>
    <row r="1825">
      <c r="D1825" s="201"/>
      <c r="I1825" s="201"/>
      <c r="S1825" s="201"/>
    </row>
    <row r="1826">
      <c r="D1826" s="201"/>
      <c r="I1826" s="201"/>
      <c r="S1826" s="201"/>
    </row>
    <row r="1827">
      <c r="D1827" s="201"/>
      <c r="I1827" s="201"/>
      <c r="S1827" s="201"/>
    </row>
    <row r="1828">
      <c r="D1828" s="201"/>
      <c r="I1828" s="201"/>
      <c r="S1828" s="201"/>
    </row>
    <row r="1829">
      <c r="D1829" s="201"/>
      <c r="I1829" s="201"/>
      <c r="S1829" s="201"/>
    </row>
    <row r="1830">
      <c r="D1830" s="201"/>
      <c r="I1830" s="201"/>
      <c r="S1830" s="201"/>
    </row>
    <row r="1831">
      <c r="D1831" s="201"/>
      <c r="I1831" s="201"/>
      <c r="S1831" s="201"/>
    </row>
    <row r="1832">
      <c r="D1832" s="201"/>
      <c r="I1832" s="201"/>
      <c r="S1832" s="201"/>
    </row>
    <row r="1833">
      <c r="D1833" s="201"/>
      <c r="I1833" s="201"/>
      <c r="S1833" s="201"/>
    </row>
    <row r="1834">
      <c r="D1834" s="201"/>
      <c r="I1834" s="201"/>
      <c r="S1834" s="201"/>
    </row>
    <row r="1835">
      <c r="D1835" s="201"/>
      <c r="I1835" s="201"/>
      <c r="S1835" s="201"/>
    </row>
    <row r="1836">
      <c r="D1836" s="201"/>
      <c r="I1836" s="201"/>
      <c r="S1836" s="201"/>
    </row>
    <row r="1837">
      <c r="D1837" s="201"/>
      <c r="I1837" s="201"/>
      <c r="S1837" s="201"/>
    </row>
    <row r="1838">
      <c r="D1838" s="201"/>
      <c r="I1838" s="201"/>
      <c r="S1838" s="201"/>
    </row>
    <row r="1839">
      <c r="D1839" s="201"/>
      <c r="I1839" s="201"/>
      <c r="S1839" s="201"/>
    </row>
    <row r="1840">
      <c r="D1840" s="201"/>
      <c r="I1840" s="201"/>
      <c r="S1840" s="201"/>
    </row>
    <row r="1841">
      <c r="D1841" s="201"/>
      <c r="I1841" s="201"/>
      <c r="S1841" s="201"/>
    </row>
    <row r="1842">
      <c r="D1842" s="201"/>
      <c r="I1842" s="201"/>
      <c r="S1842" s="201"/>
    </row>
    <row r="1843">
      <c r="D1843" s="201"/>
      <c r="I1843" s="201"/>
      <c r="S1843" s="201"/>
    </row>
    <row r="1844">
      <c r="D1844" s="201"/>
      <c r="I1844" s="201"/>
      <c r="S1844" s="201"/>
    </row>
    <row r="1845">
      <c r="D1845" s="201"/>
      <c r="I1845" s="201"/>
      <c r="S1845" s="201"/>
    </row>
    <row r="1846">
      <c r="D1846" s="201"/>
      <c r="I1846" s="201"/>
      <c r="S1846" s="201"/>
    </row>
    <row r="1847">
      <c r="D1847" s="201"/>
      <c r="I1847" s="201"/>
      <c r="S1847" s="201"/>
    </row>
    <row r="1848">
      <c r="D1848" s="201"/>
      <c r="I1848" s="201"/>
      <c r="S1848" s="201"/>
    </row>
    <row r="1849">
      <c r="D1849" s="201"/>
      <c r="I1849" s="201"/>
      <c r="S1849" s="201"/>
    </row>
    <row r="1850">
      <c r="D1850" s="201"/>
      <c r="I1850" s="201"/>
      <c r="S1850" s="201"/>
    </row>
    <row r="1851">
      <c r="D1851" s="201"/>
      <c r="I1851" s="201"/>
      <c r="S1851" s="201"/>
    </row>
    <row r="1852">
      <c r="D1852" s="201"/>
      <c r="I1852" s="201"/>
      <c r="S1852" s="201"/>
    </row>
    <row r="1853">
      <c r="D1853" s="201"/>
      <c r="I1853" s="201"/>
      <c r="S1853" s="201"/>
    </row>
    <row r="1854">
      <c r="D1854" s="201"/>
      <c r="I1854" s="201"/>
      <c r="S1854" s="201"/>
    </row>
    <row r="1855">
      <c r="D1855" s="201"/>
      <c r="I1855" s="201"/>
      <c r="S1855" s="201"/>
    </row>
    <row r="1856">
      <c r="D1856" s="201"/>
      <c r="I1856" s="201"/>
      <c r="S1856" s="201"/>
    </row>
    <row r="1857">
      <c r="D1857" s="201"/>
      <c r="I1857" s="201"/>
      <c r="S1857" s="201"/>
    </row>
    <row r="1858">
      <c r="D1858" s="201"/>
      <c r="I1858" s="201"/>
      <c r="S1858" s="201"/>
    </row>
    <row r="1859">
      <c r="D1859" s="201"/>
      <c r="I1859" s="201"/>
      <c r="S1859" s="201"/>
    </row>
    <row r="1860">
      <c r="D1860" s="201"/>
      <c r="I1860" s="201"/>
      <c r="S1860" s="201"/>
    </row>
    <row r="1861">
      <c r="D1861" s="201"/>
      <c r="I1861" s="201"/>
      <c r="S1861" s="201"/>
    </row>
    <row r="1862">
      <c r="D1862" s="201"/>
      <c r="I1862" s="201"/>
      <c r="S1862" s="201"/>
    </row>
    <row r="1863">
      <c r="D1863" s="201"/>
      <c r="I1863" s="201"/>
      <c r="S1863" s="201"/>
    </row>
    <row r="1864">
      <c r="D1864" s="201"/>
      <c r="I1864" s="201"/>
      <c r="S1864" s="201"/>
    </row>
    <row r="1865">
      <c r="D1865" s="201"/>
      <c r="I1865" s="201"/>
      <c r="S1865" s="201"/>
    </row>
    <row r="1866">
      <c r="D1866" s="201"/>
      <c r="I1866" s="201"/>
      <c r="S1866" s="201"/>
    </row>
    <row r="1867">
      <c r="D1867" s="201"/>
      <c r="I1867" s="201"/>
      <c r="S1867" s="201"/>
    </row>
    <row r="1868">
      <c r="D1868" s="201"/>
      <c r="I1868" s="201"/>
      <c r="S1868" s="201"/>
    </row>
    <row r="1869">
      <c r="D1869" s="201"/>
      <c r="I1869" s="201"/>
      <c r="S1869" s="201"/>
    </row>
    <row r="1870">
      <c r="D1870" s="201"/>
      <c r="I1870" s="201"/>
      <c r="S1870" s="201"/>
    </row>
    <row r="1871">
      <c r="D1871" s="201"/>
      <c r="I1871" s="201"/>
      <c r="S1871" s="201"/>
    </row>
    <row r="1872">
      <c r="D1872" s="201"/>
      <c r="I1872" s="201"/>
      <c r="S1872" s="201"/>
    </row>
    <row r="1873">
      <c r="D1873" s="201"/>
      <c r="I1873" s="201"/>
      <c r="S1873" s="201"/>
    </row>
    <row r="1874">
      <c r="D1874" s="201"/>
      <c r="I1874" s="201"/>
      <c r="S1874" s="201"/>
    </row>
    <row r="1875">
      <c r="D1875" s="201"/>
      <c r="I1875" s="201"/>
      <c r="S1875" s="201"/>
    </row>
    <row r="1876">
      <c r="D1876" s="201"/>
      <c r="I1876" s="201"/>
      <c r="S1876" s="201"/>
    </row>
    <row r="1877">
      <c r="D1877" s="201"/>
      <c r="I1877" s="201"/>
      <c r="S1877" s="201"/>
    </row>
    <row r="1878">
      <c r="D1878" s="201"/>
      <c r="I1878" s="201"/>
      <c r="S1878" s="201"/>
    </row>
    <row r="1879">
      <c r="D1879" s="201"/>
      <c r="I1879" s="201"/>
      <c r="S1879" s="201"/>
    </row>
    <row r="1880">
      <c r="D1880" s="201"/>
      <c r="I1880" s="201"/>
      <c r="S1880" s="201"/>
    </row>
    <row r="1881">
      <c r="D1881" s="201"/>
      <c r="I1881" s="201"/>
      <c r="S1881" s="201"/>
    </row>
    <row r="1882">
      <c r="D1882" s="201"/>
      <c r="I1882" s="201"/>
      <c r="S1882" s="201"/>
    </row>
    <row r="1883">
      <c r="D1883" s="201"/>
      <c r="I1883" s="201"/>
      <c r="S1883" s="201"/>
    </row>
    <row r="1884">
      <c r="D1884" s="201"/>
      <c r="I1884" s="201"/>
      <c r="S1884" s="201"/>
    </row>
    <row r="1885">
      <c r="D1885" s="201"/>
      <c r="I1885" s="201"/>
      <c r="S1885" s="201"/>
    </row>
    <row r="1886">
      <c r="D1886" s="201"/>
      <c r="I1886" s="201"/>
      <c r="S1886" s="201"/>
    </row>
    <row r="1887">
      <c r="D1887" s="201"/>
      <c r="I1887" s="201"/>
      <c r="S1887" s="201"/>
    </row>
    <row r="1888">
      <c r="D1888" s="201"/>
      <c r="I1888" s="201"/>
      <c r="S1888" s="201"/>
    </row>
    <row r="1889">
      <c r="D1889" s="201"/>
      <c r="I1889" s="201"/>
      <c r="S1889" s="201"/>
    </row>
    <row r="1890">
      <c r="D1890" s="201"/>
      <c r="I1890" s="201"/>
      <c r="S1890" s="201"/>
    </row>
    <row r="1891">
      <c r="D1891" s="201"/>
      <c r="I1891" s="201"/>
      <c r="S1891" s="201"/>
    </row>
    <row r="1892">
      <c r="D1892" s="201"/>
      <c r="I1892" s="201"/>
      <c r="S1892" s="201"/>
    </row>
    <row r="1893">
      <c r="D1893" s="201"/>
      <c r="I1893" s="201"/>
      <c r="S1893" s="201"/>
    </row>
    <row r="1894">
      <c r="D1894" s="201"/>
      <c r="I1894" s="201"/>
      <c r="S1894" s="201"/>
    </row>
    <row r="1895">
      <c r="D1895" s="201"/>
      <c r="I1895" s="201"/>
      <c r="S1895" s="201"/>
    </row>
    <row r="1896">
      <c r="D1896" s="201"/>
      <c r="I1896" s="201"/>
      <c r="S1896" s="201"/>
    </row>
    <row r="1897">
      <c r="D1897" s="201"/>
      <c r="I1897" s="201"/>
      <c r="S1897" s="201"/>
    </row>
    <row r="1898">
      <c r="D1898" s="201"/>
      <c r="I1898" s="201"/>
      <c r="S1898" s="201"/>
    </row>
    <row r="1899">
      <c r="D1899" s="201"/>
      <c r="I1899" s="201"/>
      <c r="S1899" s="201"/>
    </row>
    <row r="1900">
      <c r="D1900" s="201"/>
      <c r="I1900" s="201"/>
      <c r="S1900" s="201"/>
    </row>
    <row r="1901">
      <c r="D1901" s="201"/>
      <c r="I1901" s="201"/>
      <c r="S1901" s="201"/>
    </row>
    <row r="1902">
      <c r="D1902" s="201"/>
      <c r="I1902" s="201"/>
      <c r="S1902" s="201"/>
    </row>
    <row r="1903">
      <c r="D1903" s="201"/>
      <c r="I1903" s="201"/>
      <c r="S1903" s="201"/>
    </row>
    <row r="1904">
      <c r="D1904" s="201"/>
      <c r="I1904" s="201"/>
      <c r="S1904" s="201"/>
    </row>
    <row r="1905">
      <c r="D1905" s="201"/>
      <c r="I1905" s="201"/>
      <c r="S1905" s="201"/>
    </row>
    <row r="1906">
      <c r="D1906" s="201"/>
      <c r="I1906" s="201"/>
      <c r="S1906" s="201"/>
    </row>
    <row r="1907">
      <c r="D1907" s="201"/>
      <c r="I1907" s="201"/>
      <c r="S1907" s="201"/>
    </row>
    <row r="1908">
      <c r="D1908" s="201"/>
      <c r="I1908" s="201"/>
      <c r="S1908" s="201"/>
    </row>
    <row r="1909">
      <c r="D1909" s="201"/>
      <c r="I1909" s="201"/>
      <c r="S1909" s="201"/>
    </row>
    <row r="1910">
      <c r="D1910" s="201"/>
      <c r="I1910" s="201"/>
      <c r="S1910" s="201"/>
    </row>
    <row r="1911">
      <c r="D1911" s="201"/>
      <c r="I1911" s="201"/>
      <c r="S1911" s="201"/>
    </row>
    <row r="1912">
      <c r="D1912" s="201"/>
      <c r="I1912" s="201"/>
      <c r="S1912" s="201"/>
    </row>
    <row r="1913">
      <c r="D1913" s="201"/>
      <c r="I1913" s="201"/>
      <c r="S1913" s="201"/>
    </row>
    <row r="1914">
      <c r="D1914" s="201"/>
      <c r="I1914" s="201"/>
      <c r="S1914" s="201"/>
    </row>
    <row r="1915">
      <c r="D1915" s="201"/>
      <c r="I1915" s="201"/>
      <c r="S1915" s="201"/>
    </row>
    <row r="1916">
      <c r="D1916" s="201"/>
      <c r="I1916" s="201"/>
      <c r="S1916" s="201"/>
    </row>
    <row r="1917">
      <c r="D1917" s="201"/>
      <c r="I1917" s="201"/>
      <c r="S1917" s="201"/>
    </row>
    <row r="1918">
      <c r="D1918" s="201"/>
      <c r="I1918" s="201"/>
      <c r="S1918" s="201"/>
    </row>
    <row r="1919">
      <c r="D1919" s="201"/>
      <c r="I1919" s="201"/>
      <c r="S1919" s="201"/>
    </row>
    <row r="1920">
      <c r="D1920" s="201"/>
      <c r="I1920" s="201"/>
      <c r="S1920" s="201"/>
    </row>
    <row r="1921">
      <c r="D1921" s="201"/>
      <c r="I1921" s="201"/>
      <c r="S1921" s="201"/>
    </row>
    <row r="1922">
      <c r="D1922" s="201"/>
      <c r="I1922" s="201"/>
      <c r="S1922" s="201"/>
    </row>
    <row r="1923">
      <c r="D1923" s="201"/>
      <c r="I1923" s="201"/>
      <c r="S1923" s="201"/>
    </row>
    <row r="1924">
      <c r="D1924" s="201"/>
      <c r="I1924" s="201"/>
      <c r="S1924" s="201"/>
    </row>
    <row r="1925">
      <c r="D1925" s="201"/>
      <c r="I1925" s="201"/>
      <c r="S1925" s="201"/>
    </row>
    <row r="1926">
      <c r="D1926" s="201"/>
      <c r="I1926" s="201"/>
      <c r="S1926" s="201"/>
    </row>
    <row r="1927">
      <c r="D1927" s="201"/>
      <c r="I1927" s="201"/>
      <c r="S1927" s="201"/>
    </row>
    <row r="1928">
      <c r="D1928" s="201"/>
      <c r="I1928" s="201"/>
      <c r="S1928" s="201"/>
    </row>
    <row r="1929">
      <c r="D1929" s="201"/>
      <c r="I1929" s="201"/>
      <c r="S1929" s="201"/>
    </row>
    <row r="1930">
      <c r="D1930" s="201"/>
      <c r="I1930" s="201"/>
      <c r="S1930" s="201"/>
    </row>
    <row r="1931">
      <c r="D1931" s="201"/>
      <c r="I1931" s="201"/>
      <c r="S1931" s="201"/>
    </row>
    <row r="1932">
      <c r="D1932" s="201"/>
      <c r="I1932" s="201"/>
      <c r="S1932" s="201"/>
    </row>
    <row r="1933">
      <c r="D1933" s="201"/>
      <c r="I1933" s="201"/>
      <c r="S1933" s="201"/>
    </row>
    <row r="1934">
      <c r="D1934" s="201"/>
      <c r="I1934" s="201"/>
      <c r="S1934" s="201"/>
    </row>
    <row r="1935">
      <c r="D1935" s="201"/>
      <c r="I1935" s="201"/>
      <c r="S1935" s="201"/>
    </row>
    <row r="1936">
      <c r="D1936" s="201"/>
      <c r="I1936" s="201"/>
      <c r="S1936" s="201"/>
    </row>
    <row r="1937">
      <c r="D1937" s="201"/>
      <c r="I1937" s="201"/>
      <c r="S1937" s="201"/>
    </row>
    <row r="1938">
      <c r="D1938" s="201"/>
      <c r="I1938" s="201"/>
      <c r="S1938" s="201"/>
    </row>
    <row r="1939">
      <c r="D1939" s="201"/>
      <c r="I1939" s="201"/>
      <c r="S1939" s="201"/>
    </row>
    <row r="1940">
      <c r="D1940" s="201"/>
      <c r="I1940" s="201"/>
      <c r="S1940" s="201"/>
    </row>
    <row r="1941">
      <c r="D1941" s="201"/>
      <c r="I1941" s="201"/>
      <c r="S1941" s="201"/>
    </row>
    <row r="1942">
      <c r="D1942" s="201"/>
      <c r="I1942" s="201"/>
      <c r="S1942" s="201"/>
    </row>
    <row r="1943">
      <c r="D1943" s="201"/>
      <c r="I1943" s="201"/>
      <c r="S1943" s="201"/>
    </row>
    <row r="1944">
      <c r="D1944" s="201"/>
      <c r="I1944" s="201"/>
      <c r="S1944" s="201"/>
    </row>
    <row r="1945">
      <c r="D1945" s="201"/>
      <c r="I1945" s="201"/>
      <c r="S1945" s="201"/>
    </row>
    <row r="1946">
      <c r="D1946" s="201"/>
      <c r="I1946" s="201"/>
      <c r="S1946" s="201"/>
    </row>
    <row r="1947">
      <c r="D1947" s="201"/>
      <c r="I1947" s="201"/>
      <c r="S1947" s="201"/>
    </row>
    <row r="1948">
      <c r="D1948" s="201"/>
      <c r="I1948" s="201"/>
      <c r="S1948" s="201"/>
    </row>
    <row r="1949">
      <c r="D1949" s="201"/>
      <c r="I1949" s="201"/>
      <c r="S1949" s="201"/>
    </row>
    <row r="1950">
      <c r="D1950" s="201"/>
      <c r="I1950" s="201"/>
      <c r="S1950" s="201"/>
    </row>
    <row r="1951">
      <c r="D1951" s="201"/>
      <c r="I1951" s="201"/>
      <c r="S1951" s="201"/>
    </row>
    <row r="1952">
      <c r="D1952" s="201"/>
      <c r="I1952" s="201"/>
      <c r="S1952" s="201"/>
    </row>
    <row r="1953">
      <c r="D1953" s="201"/>
      <c r="I1953" s="201"/>
      <c r="S1953" s="201"/>
    </row>
    <row r="1954">
      <c r="D1954" s="201"/>
      <c r="I1954" s="201"/>
      <c r="S1954" s="201"/>
    </row>
    <row r="1955">
      <c r="D1955" s="201"/>
      <c r="I1955" s="201"/>
      <c r="S1955" s="201"/>
    </row>
    <row r="1956">
      <c r="D1956" s="201"/>
      <c r="I1956" s="201"/>
      <c r="S1956" s="201"/>
    </row>
    <row r="1957">
      <c r="D1957" s="201"/>
      <c r="I1957" s="201"/>
      <c r="S1957" s="201"/>
    </row>
    <row r="1958">
      <c r="D1958" s="201"/>
      <c r="I1958" s="201"/>
      <c r="S1958" s="201"/>
    </row>
    <row r="1959">
      <c r="D1959" s="201"/>
      <c r="I1959" s="201"/>
      <c r="S1959" s="201"/>
    </row>
    <row r="1960">
      <c r="D1960" s="201"/>
      <c r="I1960" s="201"/>
      <c r="S1960" s="201"/>
    </row>
    <row r="1961">
      <c r="D1961" s="201"/>
      <c r="I1961" s="201"/>
      <c r="S1961" s="201"/>
    </row>
    <row r="1962">
      <c r="D1962" s="201"/>
      <c r="I1962" s="201"/>
      <c r="S1962" s="201"/>
    </row>
    <row r="1963">
      <c r="D1963" s="201"/>
      <c r="I1963" s="201"/>
      <c r="S1963" s="201"/>
    </row>
    <row r="1964">
      <c r="D1964" s="201"/>
      <c r="I1964" s="201"/>
      <c r="S1964" s="201"/>
    </row>
    <row r="1965">
      <c r="D1965" s="201"/>
      <c r="I1965" s="201"/>
      <c r="S1965" s="201"/>
    </row>
    <row r="1966">
      <c r="D1966" s="201"/>
      <c r="I1966" s="201"/>
      <c r="S1966" s="201"/>
    </row>
    <row r="1967">
      <c r="D1967" s="201"/>
      <c r="I1967" s="201"/>
      <c r="S1967" s="201"/>
    </row>
    <row r="1968">
      <c r="D1968" s="201"/>
      <c r="I1968" s="201"/>
      <c r="S1968" s="201"/>
    </row>
    <row r="1969">
      <c r="D1969" s="201"/>
      <c r="I1969" s="201"/>
      <c r="S1969" s="201"/>
    </row>
    <row r="1970">
      <c r="D1970" s="201"/>
      <c r="I1970" s="201"/>
      <c r="S1970" s="201"/>
    </row>
    <row r="1971">
      <c r="D1971" s="201"/>
      <c r="I1971" s="201"/>
      <c r="S1971" s="201"/>
    </row>
    <row r="1972">
      <c r="D1972" s="201"/>
      <c r="I1972" s="201"/>
      <c r="S1972" s="201"/>
    </row>
    <row r="1973">
      <c r="D1973" s="201"/>
      <c r="I1973" s="201"/>
      <c r="S1973" s="201"/>
    </row>
    <row r="1974">
      <c r="D1974" s="201"/>
      <c r="I1974" s="201"/>
      <c r="S1974" s="201"/>
    </row>
    <row r="1975">
      <c r="D1975" s="201"/>
      <c r="I1975" s="201"/>
      <c r="S1975" s="201"/>
    </row>
    <row r="1976">
      <c r="D1976" s="201"/>
      <c r="I1976" s="201"/>
      <c r="S1976" s="201"/>
    </row>
    <row r="1977">
      <c r="D1977" s="201"/>
      <c r="I1977" s="201"/>
      <c r="S1977" s="201"/>
    </row>
    <row r="1978">
      <c r="D1978" s="201"/>
      <c r="I1978" s="201"/>
      <c r="S1978" s="201"/>
    </row>
    <row r="1979">
      <c r="D1979" s="201"/>
      <c r="I1979" s="201"/>
      <c r="S1979" s="201"/>
    </row>
    <row r="1980">
      <c r="D1980" s="201"/>
      <c r="I1980" s="201"/>
      <c r="S1980" s="201"/>
    </row>
    <row r="1981">
      <c r="D1981" s="201"/>
      <c r="I1981" s="201"/>
      <c r="S1981" s="201"/>
    </row>
    <row r="1982">
      <c r="D1982" s="201"/>
      <c r="I1982" s="201"/>
      <c r="S1982" s="201"/>
    </row>
    <row r="1983">
      <c r="D1983" s="201"/>
      <c r="I1983" s="201"/>
      <c r="S1983" s="201"/>
    </row>
    <row r="1984">
      <c r="D1984" s="201"/>
      <c r="I1984" s="201"/>
      <c r="S1984" s="201"/>
    </row>
    <row r="1985">
      <c r="D1985" s="201"/>
      <c r="I1985" s="201"/>
      <c r="S1985" s="201"/>
    </row>
    <row r="1986">
      <c r="D1986" s="201"/>
      <c r="I1986" s="201"/>
      <c r="S1986" s="201"/>
    </row>
    <row r="1987">
      <c r="D1987" s="201"/>
      <c r="I1987" s="201"/>
      <c r="S1987" s="201"/>
    </row>
    <row r="1988">
      <c r="D1988" s="201"/>
      <c r="I1988" s="201"/>
      <c r="S1988" s="201"/>
    </row>
    <row r="1989">
      <c r="D1989" s="201"/>
      <c r="I1989" s="201"/>
      <c r="S1989" s="201"/>
    </row>
    <row r="1990">
      <c r="D1990" s="201"/>
      <c r="I1990" s="201"/>
      <c r="S1990" s="201"/>
    </row>
    <row r="1991">
      <c r="D1991" s="201"/>
      <c r="I1991" s="201"/>
      <c r="S1991" s="201"/>
    </row>
    <row r="1992">
      <c r="D1992" s="201"/>
      <c r="I1992" s="201"/>
      <c r="S1992" s="201"/>
    </row>
    <row r="1993">
      <c r="D1993" s="201"/>
      <c r="I1993" s="201"/>
      <c r="S1993" s="201"/>
    </row>
    <row r="1994">
      <c r="D1994" s="201"/>
      <c r="I1994" s="201"/>
      <c r="S1994" s="201"/>
    </row>
    <row r="1995">
      <c r="D1995" s="201"/>
      <c r="I1995" s="201"/>
      <c r="S1995" s="201"/>
    </row>
    <row r="1996">
      <c r="D1996" s="201"/>
      <c r="I1996" s="201"/>
      <c r="S1996" s="201"/>
    </row>
    <row r="1997">
      <c r="D1997" s="201"/>
      <c r="I1997" s="201"/>
      <c r="S1997" s="201"/>
    </row>
    <row r="1998">
      <c r="D1998" s="201"/>
      <c r="I1998" s="201"/>
      <c r="S1998" s="201"/>
    </row>
    <row r="1999">
      <c r="D1999" s="201"/>
      <c r="I1999" s="201"/>
      <c r="S1999" s="201"/>
    </row>
    <row r="2000">
      <c r="D2000" s="201"/>
      <c r="I2000" s="201"/>
      <c r="S2000" s="201"/>
    </row>
    <row r="2001">
      <c r="D2001" s="201"/>
      <c r="I2001" s="201"/>
      <c r="S2001" s="201"/>
    </row>
    <row r="2002">
      <c r="D2002" s="201"/>
      <c r="I2002" s="201"/>
      <c r="S2002" s="201"/>
    </row>
    <row r="2003">
      <c r="D2003" s="201"/>
      <c r="I2003" s="201"/>
      <c r="S2003" s="20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11" width="4.75"/>
    <col customWidth="1" min="12" max="12" width="13.0"/>
    <col customWidth="1" min="13" max="13" width="9.88"/>
    <col customWidth="1" min="14" max="15" width="4.75"/>
    <col customWidth="1" min="16" max="16" width="5.63"/>
    <col customWidth="1" min="17" max="17" width="6.38"/>
    <col customWidth="1" min="18" max="18" width="5.5"/>
    <col customWidth="1" min="19" max="19" width="4.75"/>
    <col customWidth="1" min="20" max="20" width="5.0"/>
    <col customWidth="1" min="21" max="21" width="5.63"/>
    <col customWidth="1" min="22" max="22" width="4.75"/>
    <col customWidth="1" min="23" max="23" width="7.13"/>
  </cols>
  <sheetData>
    <row r="1">
      <c r="A1" s="1" t="s">
        <v>1603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M1" s="1" t="s">
        <v>1604</v>
      </c>
      <c r="N1" t="s">
        <v>11</v>
      </c>
      <c r="O1" t="s">
        <v>15</v>
      </c>
      <c r="P1" t="s">
        <v>17</v>
      </c>
      <c r="Q1" t="s">
        <v>19</v>
      </c>
      <c r="R1" t="s">
        <v>20</v>
      </c>
      <c r="S1" t="s">
        <v>22</v>
      </c>
      <c r="T1" t="s">
        <v>24</v>
      </c>
      <c r="U1" t="s">
        <v>26</v>
      </c>
      <c r="V1" t="s">
        <v>28</v>
      </c>
      <c r="W1" t="s">
        <v>30</v>
      </c>
    </row>
    <row r="2">
      <c r="A2" s="93" t="s">
        <v>27</v>
      </c>
      <c r="B2" t="str">
        <f>IFERROR(__xludf.DUMMYFUNCTION("filter(DraftTracker!$L:$L,DraftTracker!$D:$D=$A2,DraftTracker!$A:$A=B$1)-VLOOKUP(B$1,'Wins Source work'!$D:$E,2,0)"),"#DIV/0!")</f>
        <v>#DIV/0!</v>
      </c>
      <c r="C2" t="str">
        <f>IFERROR(__xludf.DUMMYFUNCTION("filter(DraftTracker!$L:$L,DraftTracker!$D:$D=$A2,DraftTracker!$A:$A=C$1)-VLOOKUP(C$1,'Wins Source work'!$D:$E,2,0)"),"#N/A")</f>
        <v>#N/A</v>
      </c>
      <c r="D2" t="str">
        <f>IFERROR(__xludf.DUMMYFUNCTION("filter(DraftTracker!$L:$L,DraftTracker!$D:$D=$A2,DraftTracker!$A:$A=D$1)-VLOOKUP(D$1,'Wins Source work'!$D:$E,2,0)"),"#N/A")</f>
        <v>#N/A</v>
      </c>
      <c r="E2" t="str">
        <f>IFERROR(__xludf.DUMMYFUNCTION("filter(DraftTracker!$L:$L,DraftTracker!$D:$D=$A2,DraftTracker!$A:$A=E$1)-VLOOKUP(E$1,'Wins Source work'!$D:$E,2,0)"),"#N/A")</f>
        <v>#N/A</v>
      </c>
      <c r="F2" t="str">
        <f>IFERROR(__xludf.DUMMYFUNCTION("filter(DraftTracker!$L:$L,DraftTracker!$D:$D=$A2,DraftTracker!$A:$A=F$1)-VLOOKUP(F$1,'Wins Source work'!$D:$E,2,0)"),"#N/A")</f>
        <v>#N/A</v>
      </c>
      <c r="G2" t="str">
        <f>IFERROR(__xludf.DUMMYFUNCTION("filter(DraftTracker!$L:$L,DraftTracker!$D:$D=$A2,DraftTracker!$A:$A=G$1)-VLOOKUP(G$1,'Wins Source work'!$D:$E,2,0)"),"#N/A")</f>
        <v>#N/A</v>
      </c>
      <c r="H2" t="str">
        <f>IFERROR(__xludf.DUMMYFUNCTION("filter(DraftTracker!$L:$L,DraftTracker!$D:$D=$A2,DraftTracker!$A:$A=H$1)-VLOOKUP(H$1,'Wins Source work'!$D:$E,2,0)"),"#N/A")</f>
        <v>#N/A</v>
      </c>
      <c r="I2" t="str">
        <f>IFERROR(__xludf.DUMMYFUNCTION("filter(DraftTracker!$L:$L,DraftTracker!$D:$D=$A2,DraftTracker!$A:$A=I$1)-VLOOKUP(I$1,'Wins Source work'!$D:$E,2,0)"),"#N/A")</f>
        <v>#N/A</v>
      </c>
      <c r="J2" t="str">
        <f>IFERROR(__xludf.DUMMYFUNCTION("filter(DraftTracker!$L:$L,DraftTracker!$D:$D=$A2,DraftTracker!$A:$A=J$1)-VLOOKUP(J$1,'Wins Source work'!$D:$E,2,0)"),"#N/A")</f>
        <v>#N/A</v>
      </c>
      <c r="K2" t="str">
        <f>IFERROR(__xludf.DUMMYFUNCTION("filter(DraftTracker!$L:$L,DraftTracker!$D:$D=$A2,DraftTracker!$A:$A=K$1)-VLOOKUP(K$1,'Wins Source work'!$D:$E,2,0)"),"#N/A")</f>
        <v>#N/A</v>
      </c>
      <c r="M2" s="93" t="s">
        <v>27</v>
      </c>
      <c r="N2" t="str">
        <f>IFERROR(__xludf.DUMMYFUNCTION("filter(DraftTracker!$L:$L,DraftTracker!$D:$D=$M2,DraftTracker!$E:$E=N$1)-VLOOKUP(N$1,'Wins Source work'!$A:$B,2,0)"),"#DIV/0!")</f>
        <v>#DIV/0!</v>
      </c>
      <c r="O2" t="str">
        <f>IFERROR(__xludf.DUMMYFUNCTION("filter(DraftTracker!$L:$L,DraftTracker!$D:$D=$M2,DraftTracker!$E:$E=O$1)-VLOOKUP(O$1,'Wins Source work'!$A:$B,2,0)"),"#DIV/0!")</f>
        <v>#DIV/0!</v>
      </c>
      <c r="P2" t="str">
        <f>IFERROR(__xludf.DUMMYFUNCTION("filter(DraftTracker!$L:$L,DraftTracker!$D:$D=$M2,DraftTracker!$E:$E=P$1)-VLOOKUP(P$1,'Wins Source work'!$A:$B,2,0)"),"#DIV/0!")</f>
        <v>#DIV/0!</v>
      </c>
      <c r="Q2" t="str">
        <f>IFERROR(__xludf.DUMMYFUNCTION("filter(DraftTracker!$L:$L,DraftTracker!$D:$D=$M2,DraftTracker!$E:$E=Q$1)-VLOOKUP(Q$1,'Wins Source work'!$A:$B,2,0)"),"#DIV/0!")</f>
        <v>#DIV/0!</v>
      </c>
      <c r="R2" t="str">
        <f>IFERROR(__xludf.DUMMYFUNCTION("filter(DraftTracker!$L:$L,DraftTracker!$D:$D=$M2,DraftTracker!$E:$E=R$1)-VLOOKUP(R$1,'Wins Source work'!$A:$B,2,0)"),"#DIV/0!")</f>
        <v>#DIV/0!</v>
      </c>
      <c r="S2" t="str">
        <f>IFERROR(__xludf.DUMMYFUNCTION("filter(DraftTracker!$L:$L,DraftTracker!$D:$D=$M2,DraftTracker!$E:$E=S$1)-VLOOKUP(S$1,'Wins Source work'!$A:$B,2,0)"),"#DIV/0!")</f>
        <v>#DIV/0!</v>
      </c>
      <c r="T2" t="str">
        <f>IFERROR(__xludf.DUMMYFUNCTION("filter(DraftTracker!$L:$L,DraftTracker!$D:$D=$M2,DraftTracker!$E:$E=T$1)-VLOOKUP(T$1,'Wins Source work'!$A:$B,2,0)"),"#DIV/0!")</f>
        <v>#DIV/0!</v>
      </c>
      <c r="U2" t="str">
        <f>IFERROR(__xludf.DUMMYFUNCTION("filter(DraftTracker!$L:$L,DraftTracker!$D:$D=$M2,DraftTracker!$E:$E=U$1)-VLOOKUP(U$1,'Wins Source work'!$A:$B,2,0)"),"#DIV/0!")</f>
        <v>#DIV/0!</v>
      </c>
      <c r="V2" t="str">
        <f>IFERROR(__xludf.DUMMYFUNCTION("filter(DraftTracker!$L:$L,DraftTracker!$D:$D=$M2,DraftTracker!$E:$E=V$1)-VLOOKUP(V$1,'Wins Source work'!$A:$B,2,0)"),"#DIV/0!")</f>
        <v>#DIV/0!</v>
      </c>
      <c r="W2" t="str">
        <f>IFERROR(__xludf.DUMMYFUNCTION("filter(DraftTracker!$L:$L,DraftTracker!$D:$D=$M2,DraftTracker!$E:$E=W$1)-VLOOKUP(W$1,'Wins Source work'!$A:$B,2,0)"),"#DIV/0!")</f>
        <v>#DIV/0!</v>
      </c>
    </row>
    <row r="3">
      <c r="A3" s="93" t="s">
        <v>38</v>
      </c>
      <c r="B3" t="str">
        <f>IFERROR(__xludf.DUMMYFUNCTION("filter(DraftTracker!$L:$L,DraftTracker!$D:$D=$A3,DraftTracker!$A:$A=B$1)-VLOOKUP(B$1,'Wins Source work'!$D:$E,2,0)"),"#N/A")</f>
        <v>#N/A</v>
      </c>
      <c r="C3" t="str">
        <f>IFERROR(__xludf.DUMMYFUNCTION("filter(DraftTracker!$L:$L,DraftTracker!$D:$D=$A3,DraftTracker!$A:$A=C$1)-VLOOKUP(C$1,'Wins Source work'!$D:$E,2,0)"),"#DIV/0!")</f>
        <v>#DIV/0!</v>
      </c>
      <c r="D3" t="str">
        <f>IFERROR(__xludf.DUMMYFUNCTION("filter(DraftTracker!$L:$L,DraftTracker!$D:$D=$A3,DraftTracker!$A:$A=D$1)-VLOOKUP(D$1,'Wins Source work'!$D:$E,2,0)"),"#N/A")</f>
        <v>#N/A</v>
      </c>
      <c r="E3" t="str">
        <f>IFERROR(__xludf.DUMMYFUNCTION("filter(DraftTracker!$L:$L,DraftTracker!$D:$D=$A3,DraftTracker!$A:$A=E$1)-VLOOKUP(E$1,'Wins Source work'!$D:$E,2,0)"),"#N/A")</f>
        <v>#N/A</v>
      </c>
      <c r="F3" t="str">
        <f>IFERROR(__xludf.DUMMYFUNCTION("filter(DraftTracker!$L:$L,DraftTracker!$D:$D=$A3,DraftTracker!$A:$A=F$1)-VLOOKUP(F$1,'Wins Source work'!$D:$E,2,0)"),"#N/A")</f>
        <v>#N/A</v>
      </c>
      <c r="G3" t="str">
        <f>IFERROR(__xludf.DUMMYFUNCTION("filter(DraftTracker!$L:$L,DraftTracker!$D:$D=$A3,DraftTracker!$A:$A=G$1)-VLOOKUP(G$1,'Wins Source work'!$D:$E,2,0)"),"#N/A")</f>
        <v>#N/A</v>
      </c>
      <c r="H3" t="str">
        <f>IFERROR(__xludf.DUMMYFUNCTION("filter(DraftTracker!$L:$L,DraftTracker!$D:$D=$A3,DraftTracker!$A:$A=H$1)-VLOOKUP(H$1,'Wins Source work'!$D:$E,2,0)"),"#N/A")</f>
        <v>#N/A</v>
      </c>
      <c r="I3" t="str">
        <f>IFERROR(__xludf.DUMMYFUNCTION("filter(DraftTracker!$L:$L,DraftTracker!$D:$D=$A3,DraftTracker!$A:$A=I$1)-VLOOKUP(I$1,'Wins Source work'!$D:$E,2,0)"),"#N/A")</f>
        <v>#N/A</v>
      </c>
      <c r="J3" t="str">
        <f>IFERROR(__xludf.DUMMYFUNCTION("filter(DraftTracker!$L:$L,DraftTracker!$D:$D=$A3,DraftTracker!$A:$A=J$1)-VLOOKUP(J$1,'Wins Source work'!$D:$E,2,0)"),"#N/A")</f>
        <v>#N/A</v>
      </c>
      <c r="K3" t="str">
        <f>IFERROR(__xludf.DUMMYFUNCTION("filter(DraftTracker!$L:$L,DraftTracker!$D:$D=$A3,DraftTracker!$A:$A=K$1)-VLOOKUP(K$1,'Wins Source work'!$D:$E,2,0)"),"#N/A")</f>
        <v>#N/A</v>
      </c>
      <c r="M3" s="93" t="s">
        <v>38</v>
      </c>
      <c r="N3" t="str">
        <f>IFERROR(__xludf.DUMMYFUNCTION("filter(DraftTracker!$L:$L,DraftTracker!$D:$D=$M3,DraftTracker!$E:$E=N$1)-VLOOKUP(N$1,'Wins Source work'!$A:$B,2,0)"),"#DIV/0!")</f>
        <v>#DIV/0!</v>
      </c>
      <c r="O3" t="str">
        <f>IFERROR(__xludf.DUMMYFUNCTION("filter(DraftTracker!$L:$L,DraftTracker!$D:$D=$M3,DraftTracker!$E:$E=O$1)-VLOOKUP(O$1,'Wins Source work'!$A:$B,2,0)"),"#DIV/0!")</f>
        <v>#DIV/0!</v>
      </c>
      <c r="P3" t="str">
        <f>IFERROR(__xludf.DUMMYFUNCTION("filter(DraftTracker!$L:$L,DraftTracker!$D:$D=$M3,DraftTracker!$E:$E=P$1)-VLOOKUP(P$1,'Wins Source work'!$A:$B,2,0)"),"#DIV/0!")</f>
        <v>#DIV/0!</v>
      </c>
      <c r="Q3" t="str">
        <f>IFERROR(__xludf.DUMMYFUNCTION("filter(DraftTracker!$L:$L,DraftTracker!$D:$D=$M3,DraftTracker!$E:$E=Q$1)-VLOOKUP(Q$1,'Wins Source work'!$A:$B,2,0)"),"#DIV/0!")</f>
        <v>#DIV/0!</v>
      </c>
      <c r="R3" t="str">
        <f>IFERROR(__xludf.DUMMYFUNCTION("filter(DraftTracker!$L:$L,DraftTracker!$D:$D=$M3,DraftTracker!$E:$E=R$1)-VLOOKUP(R$1,'Wins Source work'!$A:$B,2,0)"),"#DIV/0!")</f>
        <v>#DIV/0!</v>
      </c>
      <c r="S3" t="str">
        <f>IFERROR(__xludf.DUMMYFUNCTION("filter(DraftTracker!$L:$L,DraftTracker!$D:$D=$M3,DraftTracker!$E:$E=S$1)-VLOOKUP(S$1,'Wins Source work'!$A:$B,2,0)"),"#DIV/0!")</f>
        <v>#DIV/0!</v>
      </c>
      <c r="T3" t="str">
        <f>IFERROR(__xludf.DUMMYFUNCTION("filter(DraftTracker!$L:$L,DraftTracker!$D:$D=$M3,DraftTracker!$E:$E=T$1)-VLOOKUP(T$1,'Wins Source work'!$A:$B,2,0)"),"#DIV/0!")</f>
        <v>#DIV/0!</v>
      </c>
      <c r="U3" t="str">
        <f>IFERROR(__xludf.DUMMYFUNCTION("filter(DraftTracker!$L:$L,DraftTracker!$D:$D=$M3,DraftTracker!$E:$E=U$1)-VLOOKUP(U$1,'Wins Source work'!$A:$B,2,0)"),"#DIV/0!")</f>
        <v>#DIV/0!</v>
      </c>
      <c r="V3" t="str">
        <f>IFERROR(__xludf.DUMMYFUNCTION("filter(DraftTracker!$L:$L,DraftTracker!$D:$D=$M3,DraftTracker!$E:$E=V$1)-VLOOKUP(V$1,'Wins Source work'!$A:$B,2,0)"),"#DIV/0!")</f>
        <v>#DIV/0!</v>
      </c>
      <c r="W3" t="str">
        <f>IFERROR(__xludf.DUMMYFUNCTION("filter(DraftTracker!$L:$L,DraftTracker!$D:$D=$M3,DraftTracker!$E:$E=W$1)-VLOOKUP(W$1,'Wins Source work'!$A:$B,2,0)"),"#DIV/0!")</f>
        <v>#DIV/0!</v>
      </c>
    </row>
    <row r="4">
      <c r="A4" s="93" t="s">
        <v>41</v>
      </c>
      <c r="B4" t="str">
        <f>IFERROR(__xludf.DUMMYFUNCTION("filter(DraftTracker!$L:$L,DraftTracker!$D:$D=$A4,DraftTracker!$A:$A=B$1)-VLOOKUP(B$1,'Wins Source work'!$D:$E,2,0)"),"#N/A")</f>
        <v>#N/A</v>
      </c>
      <c r="C4" t="str">
        <f>IFERROR(__xludf.DUMMYFUNCTION("filter(DraftTracker!$L:$L,DraftTracker!$D:$D=$A4,DraftTracker!$A:$A=C$1)-VLOOKUP(C$1,'Wins Source work'!$D:$E,2,0)"),"#N/A")</f>
        <v>#N/A</v>
      </c>
      <c r="D4" t="str">
        <f>IFERROR(__xludf.DUMMYFUNCTION("filter(DraftTracker!$L:$L,DraftTracker!$D:$D=$A4,DraftTracker!$A:$A=D$1)-VLOOKUP(D$1,'Wins Source work'!$D:$E,2,0)"),"#DIV/0!")</f>
        <v>#DIV/0!</v>
      </c>
      <c r="E4" t="str">
        <f>IFERROR(__xludf.DUMMYFUNCTION("filter(DraftTracker!$L:$L,DraftTracker!$D:$D=$A4,DraftTracker!$A:$A=E$1)-VLOOKUP(E$1,'Wins Source work'!$D:$E,2,0)"),"#N/A")</f>
        <v>#N/A</v>
      </c>
      <c r="F4" t="str">
        <f>IFERROR(__xludf.DUMMYFUNCTION("filter(DraftTracker!$L:$L,DraftTracker!$D:$D=$A4,DraftTracker!$A:$A=F$1)-VLOOKUP(F$1,'Wins Source work'!$D:$E,2,0)"),"#N/A")</f>
        <v>#N/A</v>
      </c>
      <c r="G4" t="str">
        <f>IFERROR(__xludf.DUMMYFUNCTION("filter(DraftTracker!$L:$L,DraftTracker!$D:$D=$A4,DraftTracker!$A:$A=G$1)-VLOOKUP(G$1,'Wins Source work'!$D:$E,2,0)"),"#N/A")</f>
        <v>#N/A</v>
      </c>
      <c r="H4" t="str">
        <f>IFERROR(__xludf.DUMMYFUNCTION("filter(DraftTracker!$L:$L,DraftTracker!$D:$D=$A4,DraftTracker!$A:$A=H$1)-VLOOKUP(H$1,'Wins Source work'!$D:$E,2,0)"),"#N/A")</f>
        <v>#N/A</v>
      </c>
      <c r="I4" t="str">
        <f>IFERROR(__xludf.DUMMYFUNCTION("filter(DraftTracker!$L:$L,DraftTracker!$D:$D=$A4,DraftTracker!$A:$A=I$1)-VLOOKUP(I$1,'Wins Source work'!$D:$E,2,0)"),"#N/A")</f>
        <v>#N/A</v>
      </c>
      <c r="J4" t="str">
        <f>IFERROR(__xludf.DUMMYFUNCTION("filter(DraftTracker!$L:$L,DraftTracker!$D:$D=$A4,DraftTracker!$A:$A=J$1)-VLOOKUP(J$1,'Wins Source work'!$D:$E,2,0)"),"#N/A")</f>
        <v>#N/A</v>
      </c>
      <c r="K4" t="str">
        <f>IFERROR(__xludf.DUMMYFUNCTION("filter(DraftTracker!$L:$L,DraftTracker!$D:$D=$A4,DraftTracker!$A:$A=K$1)-VLOOKUP(K$1,'Wins Source work'!$D:$E,2,0)"),"#N/A")</f>
        <v>#N/A</v>
      </c>
      <c r="M4" s="93" t="s">
        <v>41</v>
      </c>
      <c r="N4" t="str">
        <f>IFERROR(__xludf.DUMMYFUNCTION("filter(DraftTracker!$L:$L,DraftTracker!$D:$D=$M4,DraftTracker!$E:$E=N$1)-VLOOKUP(N$1,'Wins Source work'!$A:$B,2,0)"),"#DIV/0!")</f>
        <v>#DIV/0!</v>
      </c>
      <c r="O4" t="str">
        <f>IFERROR(__xludf.DUMMYFUNCTION("filter(DraftTracker!$L:$L,DraftTracker!$D:$D=$M4,DraftTracker!$E:$E=O$1)-VLOOKUP(O$1,'Wins Source work'!$A:$B,2,0)"),"#DIV/0!")</f>
        <v>#DIV/0!</v>
      </c>
      <c r="P4" t="str">
        <f>IFERROR(__xludf.DUMMYFUNCTION("filter(DraftTracker!$L:$L,DraftTracker!$D:$D=$M4,DraftTracker!$E:$E=P$1)-VLOOKUP(P$1,'Wins Source work'!$A:$B,2,0)"),"#DIV/0!")</f>
        <v>#DIV/0!</v>
      </c>
      <c r="Q4" t="str">
        <f>IFERROR(__xludf.DUMMYFUNCTION("filter(DraftTracker!$L:$L,DraftTracker!$D:$D=$M4,DraftTracker!$E:$E=Q$1)-VLOOKUP(Q$1,'Wins Source work'!$A:$B,2,0)"),"#DIV/0!")</f>
        <v>#DIV/0!</v>
      </c>
      <c r="R4" t="str">
        <f>IFERROR(__xludf.DUMMYFUNCTION("filter(DraftTracker!$L:$L,DraftTracker!$D:$D=$M4,DraftTracker!$E:$E=R$1)-VLOOKUP(R$1,'Wins Source work'!$A:$B,2,0)"),"#DIV/0!")</f>
        <v>#DIV/0!</v>
      </c>
      <c r="S4" t="str">
        <f>IFERROR(__xludf.DUMMYFUNCTION("filter(DraftTracker!$L:$L,DraftTracker!$D:$D=$M4,DraftTracker!$E:$E=S$1)-VLOOKUP(S$1,'Wins Source work'!$A:$B,2,0)"),"#DIV/0!")</f>
        <v>#DIV/0!</v>
      </c>
      <c r="T4" t="str">
        <f>IFERROR(__xludf.DUMMYFUNCTION("filter(DraftTracker!$L:$L,DraftTracker!$D:$D=$M4,DraftTracker!$E:$E=T$1)-VLOOKUP(T$1,'Wins Source work'!$A:$B,2,0)"),"#DIV/0!")</f>
        <v>#DIV/0!</v>
      </c>
      <c r="U4" t="str">
        <f>IFERROR(__xludf.DUMMYFUNCTION("filter(DraftTracker!$L:$L,DraftTracker!$D:$D=$M4,DraftTracker!$E:$E=U$1)-VLOOKUP(U$1,'Wins Source work'!$A:$B,2,0)"),"#DIV/0!")</f>
        <v>#DIV/0!</v>
      </c>
      <c r="V4" t="str">
        <f>IFERROR(__xludf.DUMMYFUNCTION("filter(DraftTracker!$L:$L,DraftTracker!$D:$D=$M4,DraftTracker!$E:$E=V$1)-VLOOKUP(V$1,'Wins Source work'!$A:$B,2,0)"),"#DIV/0!")</f>
        <v>#DIV/0!</v>
      </c>
      <c r="W4" t="str">
        <f>IFERROR(__xludf.DUMMYFUNCTION("filter(DraftTracker!$L:$L,DraftTracker!$D:$D=$M4,DraftTracker!$E:$E=W$1)-VLOOKUP(W$1,'Wins Source work'!$A:$B,2,0)"),"#DIV/0!")</f>
        <v>#DIV/0!</v>
      </c>
    </row>
    <row r="5">
      <c r="A5" s="93" t="s">
        <v>44</v>
      </c>
      <c r="B5" t="str">
        <f>IFERROR(__xludf.DUMMYFUNCTION("filter(DraftTracker!$L:$L,DraftTracker!$D:$D=$A5,DraftTracker!$A:$A=B$1)-VLOOKUP(B$1,'Wins Source work'!$D:$E,2,0)"),"#N/A")</f>
        <v>#N/A</v>
      </c>
      <c r="C5" t="str">
        <f>IFERROR(__xludf.DUMMYFUNCTION("filter(DraftTracker!$L:$L,DraftTracker!$D:$D=$A5,DraftTracker!$A:$A=C$1)-VLOOKUP(C$1,'Wins Source work'!$D:$E,2,0)"),"#N/A")</f>
        <v>#N/A</v>
      </c>
      <c r="D5" t="str">
        <f>IFERROR(__xludf.DUMMYFUNCTION("filter(DraftTracker!$L:$L,DraftTracker!$D:$D=$A5,DraftTracker!$A:$A=D$1)-VLOOKUP(D$1,'Wins Source work'!$D:$E,2,0)"),"#N/A")</f>
        <v>#N/A</v>
      </c>
      <c r="E5" t="str">
        <f>IFERROR(__xludf.DUMMYFUNCTION("filter(DraftTracker!$L:$L,DraftTracker!$D:$D=$A5,DraftTracker!$A:$A=E$1)-VLOOKUP(E$1,'Wins Source work'!$D:$E,2,0)"),"#DIV/0!")</f>
        <v>#DIV/0!</v>
      </c>
      <c r="F5" t="str">
        <f>IFERROR(__xludf.DUMMYFUNCTION("filter(DraftTracker!$L:$L,DraftTracker!$D:$D=$A5,DraftTracker!$A:$A=F$1)-VLOOKUP(F$1,'Wins Source work'!$D:$E,2,0)"),"#N/A")</f>
        <v>#N/A</v>
      </c>
      <c r="G5" t="str">
        <f>IFERROR(__xludf.DUMMYFUNCTION("filter(DraftTracker!$L:$L,DraftTracker!$D:$D=$A5,DraftTracker!$A:$A=G$1)-VLOOKUP(G$1,'Wins Source work'!$D:$E,2,0)"),"#N/A")</f>
        <v>#N/A</v>
      </c>
      <c r="H5" t="str">
        <f>IFERROR(__xludf.DUMMYFUNCTION("filter(DraftTracker!$L:$L,DraftTracker!$D:$D=$A5,DraftTracker!$A:$A=H$1)-VLOOKUP(H$1,'Wins Source work'!$D:$E,2,0)"),"#N/A")</f>
        <v>#N/A</v>
      </c>
      <c r="I5" t="str">
        <f>IFERROR(__xludf.DUMMYFUNCTION("filter(DraftTracker!$L:$L,DraftTracker!$D:$D=$A5,DraftTracker!$A:$A=I$1)-VLOOKUP(I$1,'Wins Source work'!$D:$E,2,0)"),"#N/A")</f>
        <v>#N/A</v>
      </c>
      <c r="J5" t="str">
        <f>IFERROR(__xludf.DUMMYFUNCTION("filter(DraftTracker!$L:$L,DraftTracker!$D:$D=$A5,DraftTracker!$A:$A=J$1)-VLOOKUP(J$1,'Wins Source work'!$D:$E,2,0)"),"#N/A")</f>
        <v>#N/A</v>
      </c>
      <c r="K5" t="str">
        <f>IFERROR(__xludf.DUMMYFUNCTION("filter(DraftTracker!$L:$L,DraftTracker!$D:$D=$A5,DraftTracker!$A:$A=K$1)-VLOOKUP(K$1,'Wins Source work'!$D:$E,2,0)"),"#N/A")</f>
        <v>#N/A</v>
      </c>
      <c r="M5" s="93" t="s">
        <v>44</v>
      </c>
      <c r="N5" t="str">
        <f>IFERROR(__xludf.DUMMYFUNCTION("filter(DraftTracker!$L:$L,DraftTracker!$D:$D=$M5,DraftTracker!$E:$E=N$1)-VLOOKUP(N$1,'Wins Source work'!$A:$B,2,0)"),"#DIV/0!")</f>
        <v>#DIV/0!</v>
      </c>
      <c r="O5" t="str">
        <f>IFERROR(__xludf.DUMMYFUNCTION("filter(DraftTracker!$L:$L,DraftTracker!$D:$D=$M5,DraftTracker!$E:$E=O$1)-VLOOKUP(O$1,'Wins Source work'!$A:$B,2,0)"),"#DIV/0!")</f>
        <v>#DIV/0!</v>
      </c>
      <c r="P5" t="str">
        <f>IFERROR(__xludf.DUMMYFUNCTION("filter(DraftTracker!$L:$L,DraftTracker!$D:$D=$M5,DraftTracker!$E:$E=P$1)-VLOOKUP(P$1,'Wins Source work'!$A:$B,2,0)"),"#DIV/0!")</f>
        <v>#DIV/0!</v>
      </c>
      <c r="Q5" t="str">
        <f>IFERROR(__xludf.DUMMYFUNCTION("filter(DraftTracker!$L:$L,DraftTracker!$D:$D=$M5,DraftTracker!$E:$E=Q$1)-VLOOKUP(Q$1,'Wins Source work'!$A:$B,2,0)"),"#DIV/0!")</f>
        <v>#DIV/0!</v>
      </c>
      <c r="R5" t="str">
        <f>IFERROR(__xludf.DUMMYFUNCTION("filter(DraftTracker!$L:$L,DraftTracker!$D:$D=$M5,DraftTracker!$E:$E=R$1)-VLOOKUP(R$1,'Wins Source work'!$A:$B,2,0)"),"#DIV/0!")</f>
        <v>#DIV/0!</v>
      </c>
      <c r="S5" t="str">
        <f>IFERROR(__xludf.DUMMYFUNCTION("filter(DraftTracker!$L:$L,DraftTracker!$D:$D=$M5,DraftTracker!$E:$E=S$1)-VLOOKUP(S$1,'Wins Source work'!$A:$B,2,0)"),"#DIV/0!")</f>
        <v>#DIV/0!</v>
      </c>
      <c r="T5" t="str">
        <f>IFERROR(__xludf.DUMMYFUNCTION("filter(DraftTracker!$L:$L,DraftTracker!$D:$D=$M5,DraftTracker!$E:$E=T$1)-VLOOKUP(T$1,'Wins Source work'!$A:$B,2,0)"),"#DIV/0!")</f>
        <v>#DIV/0!</v>
      </c>
      <c r="U5" t="str">
        <f>IFERROR(__xludf.DUMMYFUNCTION("filter(DraftTracker!$L:$L,DraftTracker!$D:$D=$M5,DraftTracker!$E:$E=U$1)-VLOOKUP(U$1,'Wins Source work'!$A:$B,2,0)"),"#DIV/0!")</f>
        <v>#DIV/0!</v>
      </c>
      <c r="V5" t="str">
        <f>IFERROR(__xludf.DUMMYFUNCTION("filter(DraftTracker!$L:$L,DraftTracker!$D:$D=$M5,DraftTracker!$E:$E=V$1)-VLOOKUP(V$1,'Wins Source work'!$A:$B,2,0)"),"#DIV/0!")</f>
        <v>#DIV/0!</v>
      </c>
      <c r="W5" t="str">
        <f>IFERROR(__xludf.DUMMYFUNCTION("filter(DraftTracker!$L:$L,DraftTracker!$D:$D=$M5,DraftTracker!$E:$E=W$1)-VLOOKUP(W$1,'Wins Source work'!$A:$B,2,0)"),"#DIV/0!")</f>
        <v>#DIV/0!</v>
      </c>
    </row>
    <row r="6">
      <c r="A6" s="93" t="s">
        <v>48</v>
      </c>
      <c r="B6" t="str">
        <f>IFERROR(__xludf.DUMMYFUNCTION("filter(DraftTracker!$L:$L,DraftTracker!$D:$D=$A6,DraftTracker!$A:$A=B$1)-VLOOKUP(B$1,'Wins Source work'!$D:$E,2,0)"),"#N/A")</f>
        <v>#N/A</v>
      </c>
      <c r="C6" t="str">
        <f>IFERROR(__xludf.DUMMYFUNCTION("filter(DraftTracker!$L:$L,DraftTracker!$D:$D=$A6,DraftTracker!$A:$A=C$1)-VLOOKUP(C$1,'Wins Source work'!$D:$E,2,0)"),"#N/A")</f>
        <v>#N/A</v>
      </c>
      <c r="D6" t="str">
        <f>IFERROR(__xludf.DUMMYFUNCTION("filter(DraftTracker!$L:$L,DraftTracker!$D:$D=$A6,DraftTracker!$A:$A=D$1)-VLOOKUP(D$1,'Wins Source work'!$D:$E,2,0)"),"#N/A")</f>
        <v>#N/A</v>
      </c>
      <c r="E6" t="str">
        <f>IFERROR(__xludf.DUMMYFUNCTION("filter(DraftTracker!$L:$L,DraftTracker!$D:$D=$A6,DraftTracker!$A:$A=E$1)-VLOOKUP(E$1,'Wins Source work'!$D:$E,2,0)"),"#N/A")</f>
        <v>#N/A</v>
      </c>
      <c r="F6" t="str">
        <f>IFERROR(__xludf.DUMMYFUNCTION("filter(DraftTracker!$L:$L,DraftTracker!$D:$D=$A6,DraftTracker!$A:$A=F$1)-VLOOKUP(F$1,'Wins Source work'!$D:$E,2,0)"),"#DIV/0!")</f>
        <v>#DIV/0!</v>
      </c>
      <c r="G6" t="str">
        <f>IFERROR(__xludf.DUMMYFUNCTION("filter(DraftTracker!$L:$L,DraftTracker!$D:$D=$A6,DraftTracker!$A:$A=G$1)-VLOOKUP(G$1,'Wins Source work'!$D:$E,2,0)"),"#N/A")</f>
        <v>#N/A</v>
      </c>
      <c r="H6" t="str">
        <f>IFERROR(__xludf.DUMMYFUNCTION("filter(DraftTracker!$L:$L,DraftTracker!$D:$D=$A6,DraftTracker!$A:$A=H$1)-VLOOKUP(H$1,'Wins Source work'!$D:$E,2,0)"),"#N/A")</f>
        <v>#N/A</v>
      </c>
      <c r="I6" t="str">
        <f>IFERROR(__xludf.DUMMYFUNCTION("filter(DraftTracker!$L:$L,DraftTracker!$D:$D=$A6,DraftTracker!$A:$A=I$1)-VLOOKUP(I$1,'Wins Source work'!$D:$E,2,0)"),"#N/A")</f>
        <v>#N/A</v>
      </c>
      <c r="J6" t="str">
        <f>IFERROR(__xludf.DUMMYFUNCTION("filter(DraftTracker!$L:$L,DraftTracker!$D:$D=$A6,DraftTracker!$A:$A=J$1)-VLOOKUP(J$1,'Wins Source work'!$D:$E,2,0)"),"#N/A")</f>
        <v>#N/A</v>
      </c>
      <c r="K6" t="str">
        <f>IFERROR(__xludf.DUMMYFUNCTION("filter(DraftTracker!$L:$L,DraftTracker!$D:$D=$A6,DraftTracker!$A:$A=K$1)-VLOOKUP(K$1,'Wins Source work'!$D:$E,2,0)"),"#N/A")</f>
        <v>#N/A</v>
      </c>
      <c r="M6" s="93" t="s">
        <v>48</v>
      </c>
      <c r="N6" t="str">
        <f>IFERROR(__xludf.DUMMYFUNCTION("filter(DraftTracker!$L:$L,DraftTracker!$D:$D=$M6,DraftTracker!$E:$E=N$1)-VLOOKUP(N$1,'Wins Source work'!$A:$B,2,0)"),"#DIV/0!")</f>
        <v>#DIV/0!</v>
      </c>
      <c r="O6" t="str">
        <f>IFERROR(__xludf.DUMMYFUNCTION("filter(DraftTracker!$L:$L,DraftTracker!$D:$D=$M6,DraftTracker!$E:$E=O$1)-VLOOKUP(O$1,'Wins Source work'!$A:$B,2,0)"),"#DIV/0!")</f>
        <v>#DIV/0!</v>
      </c>
      <c r="P6" t="str">
        <f>IFERROR(__xludf.DUMMYFUNCTION("filter(DraftTracker!$L:$L,DraftTracker!$D:$D=$M6,DraftTracker!$E:$E=P$1)-VLOOKUP(P$1,'Wins Source work'!$A:$B,2,0)"),"#DIV/0!")</f>
        <v>#DIV/0!</v>
      </c>
      <c r="Q6" t="str">
        <f>IFERROR(__xludf.DUMMYFUNCTION("filter(DraftTracker!$L:$L,DraftTracker!$D:$D=$M6,DraftTracker!$E:$E=Q$1)-VLOOKUP(Q$1,'Wins Source work'!$A:$B,2,0)"),"#DIV/0!")</f>
        <v>#DIV/0!</v>
      </c>
      <c r="R6" t="str">
        <f>IFERROR(__xludf.DUMMYFUNCTION("filter(DraftTracker!$L:$L,DraftTracker!$D:$D=$M6,DraftTracker!$E:$E=R$1)-VLOOKUP(R$1,'Wins Source work'!$A:$B,2,0)"),"#DIV/0!")</f>
        <v>#DIV/0!</v>
      </c>
      <c r="S6" t="str">
        <f>IFERROR(__xludf.DUMMYFUNCTION("filter(DraftTracker!$L:$L,DraftTracker!$D:$D=$M6,DraftTracker!$E:$E=S$1)-VLOOKUP(S$1,'Wins Source work'!$A:$B,2,0)"),"#DIV/0!")</f>
        <v>#DIV/0!</v>
      </c>
      <c r="T6" t="str">
        <f>IFERROR(__xludf.DUMMYFUNCTION("filter(DraftTracker!$L:$L,DraftTracker!$D:$D=$M6,DraftTracker!$E:$E=T$1)-VLOOKUP(T$1,'Wins Source work'!$A:$B,2,0)"),"#DIV/0!")</f>
        <v>#DIV/0!</v>
      </c>
      <c r="U6" t="str">
        <f>IFERROR(__xludf.DUMMYFUNCTION("filter(DraftTracker!$L:$L,DraftTracker!$D:$D=$M6,DraftTracker!$E:$E=U$1)-VLOOKUP(U$1,'Wins Source work'!$A:$B,2,0)"),"#DIV/0!")</f>
        <v>#DIV/0!</v>
      </c>
      <c r="V6" t="str">
        <f>IFERROR(__xludf.DUMMYFUNCTION("filter(DraftTracker!$L:$L,DraftTracker!$D:$D=$M6,DraftTracker!$E:$E=V$1)-VLOOKUP(V$1,'Wins Source work'!$A:$B,2,0)"),"#DIV/0!")</f>
        <v>#DIV/0!</v>
      </c>
      <c r="W6" t="str">
        <f>IFERROR(__xludf.DUMMYFUNCTION("filter(DraftTracker!$L:$L,DraftTracker!$D:$D=$M6,DraftTracker!$E:$E=W$1)-VLOOKUP(W$1,'Wins Source work'!$A:$B,2,0)"),"#DIV/0!")</f>
        <v>#DIV/0!</v>
      </c>
    </row>
    <row r="7">
      <c r="A7" s="93" t="s">
        <v>53</v>
      </c>
      <c r="B7" t="str">
        <f>IFERROR(__xludf.DUMMYFUNCTION("filter(DraftTracker!$L:$L,DraftTracker!$D:$D=$A7,DraftTracker!$A:$A=B$1)-VLOOKUP(B$1,'Wins Source work'!$D:$E,2,0)"),"#N/A")</f>
        <v>#N/A</v>
      </c>
      <c r="C7" t="str">
        <f>IFERROR(__xludf.DUMMYFUNCTION("filter(DraftTracker!$L:$L,DraftTracker!$D:$D=$A7,DraftTracker!$A:$A=C$1)-VLOOKUP(C$1,'Wins Source work'!$D:$E,2,0)"),"#N/A")</f>
        <v>#N/A</v>
      </c>
      <c r="D7" t="str">
        <f>IFERROR(__xludf.DUMMYFUNCTION("filter(DraftTracker!$L:$L,DraftTracker!$D:$D=$A7,DraftTracker!$A:$A=D$1)-VLOOKUP(D$1,'Wins Source work'!$D:$E,2,0)"),"#N/A")</f>
        <v>#N/A</v>
      </c>
      <c r="E7" t="str">
        <f>IFERROR(__xludf.DUMMYFUNCTION("filter(DraftTracker!$L:$L,DraftTracker!$D:$D=$A7,DraftTracker!$A:$A=E$1)-VLOOKUP(E$1,'Wins Source work'!$D:$E,2,0)"),"#N/A")</f>
        <v>#N/A</v>
      </c>
      <c r="F7" t="str">
        <f>IFERROR(__xludf.DUMMYFUNCTION("filter(DraftTracker!$L:$L,DraftTracker!$D:$D=$A7,DraftTracker!$A:$A=F$1)-VLOOKUP(F$1,'Wins Source work'!$D:$E,2,0)"),"#N/A")</f>
        <v>#N/A</v>
      </c>
      <c r="G7" t="str">
        <f>IFERROR(__xludf.DUMMYFUNCTION("filter(DraftTracker!$L:$L,DraftTracker!$D:$D=$A7,DraftTracker!$A:$A=G$1)-VLOOKUP(G$1,'Wins Source work'!$D:$E,2,0)"),"#DIV/0!")</f>
        <v>#DIV/0!</v>
      </c>
      <c r="H7" t="str">
        <f>IFERROR(__xludf.DUMMYFUNCTION("filter(DraftTracker!$L:$L,DraftTracker!$D:$D=$A7,DraftTracker!$A:$A=H$1)-VLOOKUP(H$1,'Wins Source work'!$D:$E,2,0)"),"#N/A")</f>
        <v>#N/A</v>
      </c>
      <c r="I7" t="str">
        <f>IFERROR(__xludf.DUMMYFUNCTION("filter(DraftTracker!$L:$L,DraftTracker!$D:$D=$A7,DraftTracker!$A:$A=I$1)-VLOOKUP(I$1,'Wins Source work'!$D:$E,2,0)"),"#N/A")</f>
        <v>#N/A</v>
      </c>
      <c r="J7" t="str">
        <f>IFERROR(__xludf.DUMMYFUNCTION("filter(DraftTracker!$L:$L,DraftTracker!$D:$D=$A7,DraftTracker!$A:$A=J$1)-VLOOKUP(J$1,'Wins Source work'!$D:$E,2,0)"),"#N/A")</f>
        <v>#N/A</v>
      </c>
      <c r="K7" t="str">
        <f>IFERROR(__xludf.DUMMYFUNCTION("filter(DraftTracker!$L:$L,DraftTracker!$D:$D=$A7,DraftTracker!$A:$A=K$1)-VLOOKUP(K$1,'Wins Source work'!$D:$E,2,0)"),"#N/A")</f>
        <v>#N/A</v>
      </c>
      <c r="M7" s="93" t="s">
        <v>53</v>
      </c>
      <c r="N7" t="str">
        <f>IFERROR(__xludf.DUMMYFUNCTION("filter(DraftTracker!$L:$L,DraftTracker!$D:$D=$M7,DraftTracker!$E:$E=N$1)-VLOOKUP(N$1,'Wins Source work'!$A:$B,2,0)"),"#DIV/0!")</f>
        <v>#DIV/0!</v>
      </c>
      <c r="O7" t="str">
        <f>IFERROR(__xludf.DUMMYFUNCTION("filter(DraftTracker!$L:$L,DraftTracker!$D:$D=$M7,DraftTracker!$E:$E=O$1)-VLOOKUP(O$1,'Wins Source work'!$A:$B,2,0)"),"#DIV/0!")</f>
        <v>#DIV/0!</v>
      </c>
      <c r="P7" t="str">
        <f>IFERROR(__xludf.DUMMYFUNCTION("filter(DraftTracker!$L:$L,DraftTracker!$D:$D=$M7,DraftTracker!$E:$E=P$1)-VLOOKUP(P$1,'Wins Source work'!$A:$B,2,0)"),"#DIV/0!")</f>
        <v>#DIV/0!</v>
      </c>
      <c r="Q7" t="str">
        <f>IFERROR(__xludf.DUMMYFUNCTION("filter(DraftTracker!$L:$L,DraftTracker!$D:$D=$M7,DraftTracker!$E:$E=Q$1)-VLOOKUP(Q$1,'Wins Source work'!$A:$B,2,0)"),"#DIV/0!")</f>
        <v>#DIV/0!</v>
      </c>
      <c r="R7" t="str">
        <f>IFERROR(__xludf.DUMMYFUNCTION("filter(DraftTracker!$L:$L,DraftTracker!$D:$D=$M7,DraftTracker!$E:$E=R$1)-VLOOKUP(R$1,'Wins Source work'!$A:$B,2,0)"),"#DIV/0!")</f>
        <v>#DIV/0!</v>
      </c>
      <c r="S7" t="str">
        <f>IFERROR(__xludf.DUMMYFUNCTION("filter(DraftTracker!$L:$L,DraftTracker!$D:$D=$M7,DraftTracker!$E:$E=S$1)-VLOOKUP(S$1,'Wins Source work'!$A:$B,2,0)"),"#DIV/0!")</f>
        <v>#DIV/0!</v>
      </c>
      <c r="T7" t="str">
        <f>IFERROR(__xludf.DUMMYFUNCTION("filter(DraftTracker!$L:$L,DraftTracker!$D:$D=$M7,DraftTracker!$E:$E=T$1)-VLOOKUP(T$1,'Wins Source work'!$A:$B,2,0)"),"#DIV/0!")</f>
        <v>#DIV/0!</v>
      </c>
      <c r="U7" t="str">
        <f>IFERROR(__xludf.DUMMYFUNCTION("filter(DraftTracker!$L:$L,DraftTracker!$D:$D=$M7,DraftTracker!$E:$E=U$1)-VLOOKUP(U$1,'Wins Source work'!$A:$B,2,0)"),"#DIV/0!")</f>
        <v>#DIV/0!</v>
      </c>
      <c r="V7" t="str">
        <f>IFERROR(__xludf.DUMMYFUNCTION("filter(DraftTracker!$L:$L,DraftTracker!$D:$D=$M7,DraftTracker!$E:$E=V$1)-VLOOKUP(V$1,'Wins Source work'!$A:$B,2,0)"),"#DIV/0!")</f>
        <v>#DIV/0!</v>
      </c>
      <c r="W7" t="str">
        <f>IFERROR(__xludf.DUMMYFUNCTION("filter(DraftTracker!$L:$L,DraftTracker!$D:$D=$M7,DraftTracker!$E:$E=W$1)-VLOOKUP(W$1,'Wins Source work'!$A:$B,2,0)"),"#DIV/0!")</f>
        <v>#DIV/0!</v>
      </c>
    </row>
    <row r="8">
      <c r="A8" s="93" t="s">
        <v>58</v>
      </c>
      <c r="B8" t="str">
        <f>IFERROR(__xludf.DUMMYFUNCTION("filter(DraftTracker!$L:$L,DraftTracker!$D:$D=$A8,DraftTracker!$A:$A=B$1)-VLOOKUP(B$1,'Wins Source work'!$D:$E,2,0)"),"#N/A")</f>
        <v>#N/A</v>
      </c>
      <c r="C8" t="str">
        <f>IFERROR(__xludf.DUMMYFUNCTION("filter(DraftTracker!$L:$L,DraftTracker!$D:$D=$A8,DraftTracker!$A:$A=C$1)-VLOOKUP(C$1,'Wins Source work'!$D:$E,2,0)"),"#N/A")</f>
        <v>#N/A</v>
      </c>
      <c r="D8" t="str">
        <f>IFERROR(__xludf.DUMMYFUNCTION("filter(DraftTracker!$L:$L,DraftTracker!$D:$D=$A8,DraftTracker!$A:$A=D$1)-VLOOKUP(D$1,'Wins Source work'!$D:$E,2,0)"),"#N/A")</f>
        <v>#N/A</v>
      </c>
      <c r="E8" t="str">
        <f>IFERROR(__xludf.DUMMYFUNCTION("filter(DraftTracker!$L:$L,DraftTracker!$D:$D=$A8,DraftTracker!$A:$A=E$1)-VLOOKUP(E$1,'Wins Source work'!$D:$E,2,0)"),"#N/A")</f>
        <v>#N/A</v>
      </c>
      <c r="F8" t="str">
        <f>IFERROR(__xludf.DUMMYFUNCTION("filter(DraftTracker!$L:$L,DraftTracker!$D:$D=$A8,DraftTracker!$A:$A=F$1)-VLOOKUP(F$1,'Wins Source work'!$D:$E,2,0)"),"#N/A")</f>
        <v>#N/A</v>
      </c>
      <c r="G8" t="str">
        <f>IFERROR(__xludf.DUMMYFUNCTION("filter(DraftTracker!$L:$L,DraftTracker!$D:$D=$A8,DraftTracker!$A:$A=G$1)-VLOOKUP(G$1,'Wins Source work'!$D:$E,2,0)"),"#N/A")</f>
        <v>#N/A</v>
      </c>
      <c r="H8" t="str">
        <f>IFERROR(__xludf.DUMMYFUNCTION("filter(DraftTracker!$L:$L,DraftTracker!$D:$D=$A8,DraftTracker!$A:$A=H$1)-VLOOKUP(H$1,'Wins Source work'!$D:$E,2,0)"),"#DIV/0!")</f>
        <v>#DIV/0!</v>
      </c>
      <c r="I8" t="str">
        <f>IFERROR(__xludf.DUMMYFUNCTION("filter(DraftTracker!$L:$L,DraftTracker!$D:$D=$A8,DraftTracker!$A:$A=I$1)-VLOOKUP(I$1,'Wins Source work'!$D:$E,2,0)"),"#N/A")</f>
        <v>#N/A</v>
      </c>
      <c r="J8" t="str">
        <f>IFERROR(__xludf.DUMMYFUNCTION("filter(DraftTracker!$L:$L,DraftTracker!$D:$D=$A8,DraftTracker!$A:$A=J$1)-VLOOKUP(J$1,'Wins Source work'!$D:$E,2,0)"),"#N/A")</f>
        <v>#N/A</v>
      </c>
      <c r="K8" t="str">
        <f>IFERROR(__xludf.DUMMYFUNCTION("filter(DraftTracker!$L:$L,DraftTracker!$D:$D=$A8,DraftTracker!$A:$A=K$1)-VLOOKUP(K$1,'Wins Source work'!$D:$E,2,0)"),"#N/A")</f>
        <v>#N/A</v>
      </c>
      <c r="M8" s="93" t="s">
        <v>58</v>
      </c>
      <c r="N8" t="str">
        <f>IFERROR(__xludf.DUMMYFUNCTION("filter(DraftTracker!$L:$L,DraftTracker!$D:$D=$M8,DraftTracker!$E:$E=N$1)-VLOOKUP(N$1,'Wins Source work'!$A:$B,2,0)"),"#DIV/0!")</f>
        <v>#DIV/0!</v>
      </c>
      <c r="O8" t="str">
        <f>IFERROR(__xludf.DUMMYFUNCTION("filter(DraftTracker!$L:$L,DraftTracker!$D:$D=$M8,DraftTracker!$E:$E=O$1)-VLOOKUP(O$1,'Wins Source work'!$A:$B,2,0)"),"#DIV/0!")</f>
        <v>#DIV/0!</v>
      </c>
      <c r="P8" t="str">
        <f>IFERROR(__xludf.DUMMYFUNCTION("filter(DraftTracker!$L:$L,DraftTracker!$D:$D=$M8,DraftTracker!$E:$E=P$1)-VLOOKUP(P$1,'Wins Source work'!$A:$B,2,0)"),"#DIV/0!")</f>
        <v>#DIV/0!</v>
      </c>
      <c r="Q8" t="str">
        <f>IFERROR(__xludf.DUMMYFUNCTION("filter(DraftTracker!$L:$L,DraftTracker!$D:$D=$M8,DraftTracker!$E:$E=Q$1)-VLOOKUP(Q$1,'Wins Source work'!$A:$B,2,0)"),"#DIV/0!")</f>
        <v>#DIV/0!</v>
      </c>
      <c r="R8" t="str">
        <f>IFERROR(__xludf.DUMMYFUNCTION("filter(DraftTracker!$L:$L,DraftTracker!$D:$D=$M8,DraftTracker!$E:$E=R$1)-VLOOKUP(R$1,'Wins Source work'!$A:$B,2,0)"),"#DIV/0!")</f>
        <v>#DIV/0!</v>
      </c>
      <c r="S8" t="str">
        <f>IFERROR(__xludf.DUMMYFUNCTION("filter(DraftTracker!$L:$L,DraftTracker!$D:$D=$M8,DraftTracker!$E:$E=S$1)-VLOOKUP(S$1,'Wins Source work'!$A:$B,2,0)"),"#DIV/0!")</f>
        <v>#DIV/0!</v>
      </c>
      <c r="T8" t="str">
        <f>IFERROR(__xludf.DUMMYFUNCTION("filter(DraftTracker!$L:$L,DraftTracker!$D:$D=$M8,DraftTracker!$E:$E=T$1)-VLOOKUP(T$1,'Wins Source work'!$A:$B,2,0)"),"#DIV/0!")</f>
        <v>#DIV/0!</v>
      </c>
      <c r="U8" t="str">
        <f>IFERROR(__xludf.DUMMYFUNCTION("filter(DraftTracker!$L:$L,DraftTracker!$D:$D=$M8,DraftTracker!$E:$E=U$1)-VLOOKUP(U$1,'Wins Source work'!$A:$B,2,0)"),"#DIV/0!")</f>
        <v>#DIV/0!</v>
      </c>
      <c r="V8" t="str">
        <f>IFERROR(__xludf.DUMMYFUNCTION("filter(DraftTracker!$L:$L,DraftTracker!$D:$D=$M8,DraftTracker!$E:$E=V$1)-VLOOKUP(V$1,'Wins Source work'!$A:$B,2,0)"),"#DIV/0!")</f>
        <v>#DIV/0!</v>
      </c>
      <c r="W8" t="str">
        <f>IFERROR(__xludf.DUMMYFUNCTION("filter(DraftTracker!$L:$L,DraftTracker!$D:$D=$M8,DraftTracker!$E:$E=W$1)-VLOOKUP(W$1,'Wins Source work'!$A:$B,2,0)"),"#DIV/0!")</f>
        <v>#DIV/0!</v>
      </c>
    </row>
    <row r="9">
      <c r="A9" s="93" t="s">
        <v>60</v>
      </c>
      <c r="B9" t="str">
        <f>IFERROR(__xludf.DUMMYFUNCTION("filter(DraftTracker!$L:$L,DraftTracker!$D:$D=$A9,DraftTracker!$A:$A=B$1)-VLOOKUP(B$1,'Wins Source work'!$D:$E,2,0)"),"#N/A")</f>
        <v>#N/A</v>
      </c>
      <c r="C9" t="str">
        <f>IFERROR(__xludf.DUMMYFUNCTION("filter(DraftTracker!$L:$L,DraftTracker!$D:$D=$A9,DraftTracker!$A:$A=C$1)-VLOOKUP(C$1,'Wins Source work'!$D:$E,2,0)"),"#N/A")</f>
        <v>#N/A</v>
      </c>
      <c r="D9" t="str">
        <f>IFERROR(__xludf.DUMMYFUNCTION("filter(DraftTracker!$L:$L,DraftTracker!$D:$D=$A9,DraftTracker!$A:$A=D$1)-VLOOKUP(D$1,'Wins Source work'!$D:$E,2,0)"),"#N/A")</f>
        <v>#N/A</v>
      </c>
      <c r="E9" t="str">
        <f>IFERROR(__xludf.DUMMYFUNCTION("filter(DraftTracker!$L:$L,DraftTracker!$D:$D=$A9,DraftTracker!$A:$A=E$1)-VLOOKUP(E$1,'Wins Source work'!$D:$E,2,0)"),"#N/A")</f>
        <v>#N/A</v>
      </c>
      <c r="F9" t="str">
        <f>IFERROR(__xludf.DUMMYFUNCTION("filter(DraftTracker!$L:$L,DraftTracker!$D:$D=$A9,DraftTracker!$A:$A=F$1)-VLOOKUP(F$1,'Wins Source work'!$D:$E,2,0)"),"#N/A")</f>
        <v>#N/A</v>
      </c>
      <c r="G9" t="str">
        <f>IFERROR(__xludf.DUMMYFUNCTION("filter(DraftTracker!$L:$L,DraftTracker!$D:$D=$A9,DraftTracker!$A:$A=G$1)-VLOOKUP(G$1,'Wins Source work'!$D:$E,2,0)"),"#N/A")</f>
        <v>#N/A</v>
      </c>
      <c r="H9" t="str">
        <f>IFERROR(__xludf.DUMMYFUNCTION("filter(DraftTracker!$L:$L,DraftTracker!$D:$D=$A9,DraftTracker!$A:$A=H$1)-VLOOKUP(H$1,'Wins Source work'!$D:$E,2,0)"),"#N/A")</f>
        <v>#N/A</v>
      </c>
      <c r="I9" t="str">
        <f>IFERROR(__xludf.DUMMYFUNCTION("filter(DraftTracker!$L:$L,DraftTracker!$D:$D=$A9,DraftTracker!$A:$A=I$1)-VLOOKUP(I$1,'Wins Source work'!$D:$E,2,0)"),"#DIV/0!")</f>
        <v>#DIV/0!</v>
      </c>
      <c r="J9" t="str">
        <f>IFERROR(__xludf.DUMMYFUNCTION("filter(DraftTracker!$L:$L,DraftTracker!$D:$D=$A9,DraftTracker!$A:$A=J$1)-VLOOKUP(J$1,'Wins Source work'!$D:$E,2,0)"),"#N/A")</f>
        <v>#N/A</v>
      </c>
      <c r="K9" t="str">
        <f>IFERROR(__xludf.DUMMYFUNCTION("filter(DraftTracker!$L:$L,DraftTracker!$D:$D=$A9,DraftTracker!$A:$A=K$1)-VLOOKUP(K$1,'Wins Source work'!$D:$E,2,0)"),"#N/A")</f>
        <v>#N/A</v>
      </c>
      <c r="M9" s="93" t="s">
        <v>60</v>
      </c>
      <c r="N9" t="str">
        <f>IFERROR(__xludf.DUMMYFUNCTION("filter(DraftTracker!$L:$L,DraftTracker!$D:$D=$M9,DraftTracker!$E:$E=N$1)-VLOOKUP(N$1,'Wins Source work'!$A:$B,2,0)"),"#DIV/0!")</f>
        <v>#DIV/0!</v>
      </c>
      <c r="O9" t="str">
        <f>IFERROR(__xludf.DUMMYFUNCTION("filter(DraftTracker!$L:$L,DraftTracker!$D:$D=$M9,DraftTracker!$E:$E=O$1)-VLOOKUP(O$1,'Wins Source work'!$A:$B,2,0)"),"#DIV/0!")</f>
        <v>#DIV/0!</v>
      </c>
      <c r="P9" t="str">
        <f>IFERROR(__xludf.DUMMYFUNCTION("filter(DraftTracker!$L:$L,DraftTracker!$D:$D=$M9,DraftTracker!$E:$E=P$1)-VLOOKUP(P$1,'Wins Source work'!$A:$B,2,0)"),"#DIV/0!")</f>
        <v>#DIV/0!</v>
      </c>
      <c r="Q9" t="str">
        <f>IFERROR(__xludf.DUMMYFUNCTION("filter(DraftTracker!$L:$L,DraftTracker!$D:$D=$M9,DraftTracker!$E:$E=Q$1)-VLOOKUP(Q$1,'Wins Source work'!$A:$B,2,0)"),"#DIV/0!")</f>
        <v>#DIV/0!</v>
      </c>
      <c r="R9" t="str">
        <f>IFERROR(__xludf.DUMMYFUNCTION("filter(DraftTracker!$L:$L,DraftTracker!$D:$D=$M9,DraftTracker!$E:$E=R$1)-VLOOKUP(R$1,'Wins Source work'!$A:$B,2,0)"),"#DIV/0!")</f>
        <v>#DIV/0!</v>
      </c>
      <c r="S9" t="str">
        <f>IFERROR(__xludf.DUMMYFUNCTION("filter(DraftTracker!$L:$L,DraftTracker!$D:$D=$M9,DraftTracker!$E:$E=S$1)-VLOOKUP(S$1,'Wins Source work'!$A:$B,2,0)"),"#DIV/0!")</f>
        <v>#DIV/0!</v>
      </c>
      <c r="T9" t="str">
        <f>IFERROR(__xludf.DUMMYFUNCTION("filter(DraftTracker!$L:$L,DraftTracker!$D:$D=$M9,DraftTracker!$E:$E=T$1)-VLOOKUP(T$1,'Wins Source work'!$A:$B,2,0)"),"#DIV/0!")</f>
        <v>#DIV/0!</v>
      </c>
      <c r="U9" t="str">
        <f>IFERROR(__xludf.DUMMYFUNCTION("filter(DraftTracker!$L:$L,DraftTracker!$D:$D=$M9,DraftTracker!$E:$E=U$1)-VLOOKUP(U$1,'Wins Source work'!$A:$B,2,0)"),"#DIV/0!")</f>
        <v>#DIV/0!</v>
      </c>
      <c r="V9" t="str">
        <f>IFERROR(__xludf.DUMMYFUNCTION("filter(DraftTracker!$L:$L,DraftTracker!$D:$D=$M9,DraftTracker!$E:$E=V$1)-VLOOKUP(V$1,'Wins Source work'!$A:$B,2,0)"),"#DIV/0!")</f>
        <v>#DIV/0!</v>
      </c>
      <c r="W9" t="str">
        <f>IFERROR(__xludf.DUMMYFUNCTION("filter(DraftTracker!$L:$L,DraftTracker!$D:$D=$M9,DraftTracker!$E:$E=W$1)-VLOOKUP(W$1,'Wins Source work'!$A:$B,2,0)"),"#DIV/0!")</f>
        <v>#DIV/0!</v>
      </c>
    </row>
    <row r="10">
      <c r="A10" s="93" t="s">
        <v>62</v>
      </c>
      <c r="B10" t="str">
        <f>IFERROR(__xludf.DUMMYFUNCTION("filter(DraftTracker!$L:$L,DraftTracker!$D:$D=$A10,DraftTracker!$A:$A=B$1)-VLOOKUP(B$1,'Wins Source work'!$D:$E,2,0)"),"#N/A")</f>
        <v>#N/A</v>
      </c>
      <c r="C10" t="str">
        <f>IFERROR(__xludf.DUMMYFUNCTION("filter(DraftTracker!$L:$L,DraftTracker!$D:$D=$A10,DraftTracker!$A:$A=C$1)-VLOOKUP(C$1,'Wins Source work'!$D:$E,2,0)"),"#N/A")</f>
        <v>#N/A</v>
      </c>
      <c r="D10" t="str">
        <f>IFERROR(__xludf.DUMMYFUNCTION("filter(DraftTracker!$L:$L,DraftTracker!$D:$D=$A10,DraftTracker!$A:$A=D$1)-VLOOKUP(D$1,'Wins Source work'!$D:$E,2,0)"),"#N/A")</f>
        <v>#N/A</v>
      </c>
      <c r="E10" t="str">
        <f>IFERROR(__xludf.DUMMYFUNCTION("filter(DraftTracker!$L:$L,DraftTracker!$D:$D=$A10,DraftTracker!$A:$A=E$1)-VLOOKUP(E$1,'Wins Source work'!$D:$E,2,0)"),"#N/A")</f>
        <v>#N/A</v>
      </c>
      <c r="F10" t="str">
        <f>IFERROR(__xludf.DUMMYFUNCTION("filter(DraftTracker!$L:$L,DraftTracker!$D:$D=$A10,DraftTracker!$A:$A=F$1)-VLOOKUP(F$1,'Wins Source work'!$D:$E,2,0)"),"#N/A")</f>
        <v>#N/A</v>
      </c>
      <c r="G10" t="str">
        <f>IFERROR(__xludf.DUMMYFUNCTION("filter(DraftTracker!$L:$L,DraftTracker!$D:$D=$A10,DraftTracker!$A:$A=G$1)-VLOOKUP(G$1,'Wins Source work'!$D:$E,2,0)"),"#N/A")</f>
        <v>#N/A</v>
      </c>
      <c r="H10" t="str">
        <f>IFERROR(__xludf.DUMMYFUNCTION("filter(DraftTracker!$L:$L,DraftTracker!$D:$D=$A10,DraftTracker!$A:$A=H$1)-VLOOKUP(H$1,'Wins Source work'!$D:$E,2,0)"),"#N/A")</f>
        <v>#N/A</v>
      </c>
      <c r="I10" t="str">
        <f>IFERROR(__xludf.DUMMYFUNCTION("filter(DraftTracker!$L:$L,DraftTracker!$D:$D=$A10,DraftTracker!$A:$A=I$1)-VLOOKUP(I$1,'Wins Source work'!$D:$E,2,0)"),"#N/A")</f>
        <v>#N/A</v>
      </c>
      <c r="J10" t="str">
        <f>IFERROR(__xludf.DUMMYFUNCTION("filter(DraftTracker!$L:$L,DraftTracker!$D:$D=$A10,DraftTracker!$A:$A=J$1)-VLOOKUP(J$1,'Wins Source work'!$D:$E,2,0)"),"#DIV/0!")</f>
        <v>#DIV/0!</v>
      </c>
      <c r="K10" t="str">
        <f>IFERROR(__xludf.DUMMYFUNCTION("filter(DraftTracker!$L:$L,DraftTracker!$D:$D=$A10,DraftTracker!$A:$A=K$1)-VLOOKUP(K$1,'Wins Source work'!$D:$E,2,0)"),"#N/A")</f>
        <v>#N/A</v>
      </c>
      <c r="M10" s="93" t="s">
        <v>62</v>
      </c>
      <c r="N10" t="str">
        <f>IFERROR(__xludf.DUMMYFUNCTION("filter(DraftTracker!$L:$L,DraftTracker!$D:$D=$M10,DraftTracker!$E:$E=N$1)-VLOOKUP(N$1,'Wins Source work'!$A:$B,2,0)"),"#DIV/0!")</f>
        <v>#DIV/0!</v>
      </c>
      <c r="O10" t="str">
        <f>IFERROR(__xludf.DUMMYFUNCTION("filter(DraftTracker!$L:$L,DraftTracker!$D:$D=$M10,DraftTracker!$E:$E=O$1)-VLOOKUP(O$1,'Wins Source work'!$A:$B,2,0)"),"#DIV/0!")</f>
        <v>#DIV/0!</v>
      </c>
      <c r="P10" t="str">
        <f>IFERROR(__xludf.DUMMYFUNCTION("filter(DraftTracker!$L:$L,DraftTracker!$D:$D=$M10,DraftTracker!$E:$E=P$1)-VLOOKUP(P$1,'Wins Source work'!$A:$B,2,0)"),"#DIV/0!")</f>
        <v>#DIV/0!</v>
      </c>
      <c r="Q10" t="str">
        <f>IFERROR(__xludf.DUMMYFUNCTION("filter(DraftTracker!$L:$L,DraftTracker!$D:$D=$M10,DraftTracker!$E:$E=Q$1)-VLOOKUP(Q$1,'Wins Source work'!$A:$B,2,0)"),"#DIV/0!")</f>
        <v>#DIV/0!</v>
      </c>
      <c r="R10" t="str">
        <f>IFERROR(__xludf.DUMMYFUNCTION("filter(DraftTracker!$L:$L,DraftTracker!$D:$D=$M10,DraftTracker!$E:$E=R$1)-VLOOKUP(R$1,'Wins Source work'!$A:$B,2,0)"),"#DIV/0!")</f>
        <v>#DIV/0!</v>
      </c>
      <c r="S10" t="str">
        <f>IFERROR(__xludf.DUMMYFUNCTION("filter(DraftTracker!$L:$L,DraftTracker!$D:$D=$M10,DraftTracker!$E:$E=S$1)-VLOOKUP(S$1,'Wins Source work'!$A:$B,2,0)"),"#DIV/0!")</f>
        <v>#DIV/0!</v>
      </c>
      <c r="T10" t="str">
        <f>IFERROR(__xludf.DUMMYFUNCTION("filter(DraftTracker!$L:$L,DraftTracker!$D:$D=$M10,DraftTracker!$E:$E=T$1)-VLOOKUP(T$1,'Wins Source work'!$A:$B,2,0)"),"#DIV/0!")</f>
        <v>#DIV/0!</v>
      </c>
      <c r="U10" t="str">
        <f>IFERROR(__xludf.DUMMYFUNCTION("filter(DraftTracker!$L:$L,DraftTracker!$D:$D=$M10,DraftTracker!$E:$E=U$1)-VLOOKUP(U$1,'Wins Source work'!$A:$B,2,0)"),"#DIV/0!")</f>
        <v>#DIV/0!</v>
      </c>
      <c r="V10" t="str">
        <f>IFERROR(__xludf.DUMMYFUNCTION("filter(DraftTracker!$L:$L,DraftTracker!$D:$D=$M10,DraftTracker!$E:$E=V$1)-VLOOKUP(V$1,'Wins Source work'!$A:$B,2,0)"),"#DIV/0!")</f>
        <v>#DIV/0!</v>
      </c>
      <c r="W10" t="str">
        <f>IFERROR(__xludf.DUMMYFUNCTION("filter(DraftTracker!$L:$L,DraftTracker!$D:$D=$M10,DraftTracker!$E:$E=W$1)-VLOOKUP(W$1,'Wins Source work'!$A:$B,2,0)"),"#DIV/0!")</f>
        <v>#DIV/0!</v>
      </c>
    </row>
    <row r="11">
      <c r="A11" s="93" t="s">
        <v>64</v>
      </c>
      <c r="B11" t="str">
        <f>IFERROR(__xludf.DUMMYFUNCTION("filter(DraftTracker!$L:$L,DraftTracker!$D:$D=$A11,DraftTracker!$A:$A=B$1)-VLOOKUP(B$1,'Wins Source work'!$D:$E,2,0)"),"#N/A")</f>
        <v>#N/A</v>
      </c>
      <c r="C11" t="str">
        <f>IFERROR(__xludf.DUMMYFUNCTION("filter(DraftTracker!$L:$L,DraftTracker!$D:$D=$A11,DraftTracker!$A:$A=C$1)-VLOOKUP(C$1,'Wins Source work'!$D:$E,2,0)"),"#N/A")</f>
        <v>#N/A</v>
      </c>
      <c r="D11" t="str">
        <f>IFERROR(__xludf.DUMMYFUNCTION("filter(DraftTracker!$L:$L,DraftTracker!$D:$D=$A11,DraftTracker!$A:$A=D$1)-VLOOKUP(D$1,'Wins Source work'!$D:$E,2,0)"),"#N/A")</f>
        <v>#N/A</v>
      </c>
      <c r="E11" t="str">
        <f>IFERROR(__xludf.DUMMYFUNCTION("filter(DraftTracker!$L:$L,DraftTracker!$D:$D=$A11,DraftTracker!$A:$A=E$1)-VLOOKUP(E$1,'Wins Source work'!$D:$E,2,0)"),"#N/A")</f>
        <v>#N/A</v>
      </c>
      <c r="F11" t="str">
        <f>IFERROR(__xludf.DUMMYFUNCTION("filter(DraftTracker!$L:$L,DraftTracker!$D:$D=$A11,DraftTracker!$A:$A=F$1)-VLOOKUP(F$1,'Wins Source work'!$D:$E,2,0)"),"#N/A")</f>
        <v>#N/A</v>
      </c>
      <c r="G11" t="str">
        <f>IFERROR(__xludf.DUMMYFUNCTION("filter(DraftTracker!$L:$L,DraftTracker!$D:$D=$A11,DraftTracker!$A:$A=G$1)-VLOOKUP(G$1,'Wins Source work'!$D:$E,2,0)"),"#N/A")</f>
        <v>#N/A</v>
      </c>
      <c r="H11" t="str">
        <f>IFERROR(__xludf.DUMMYFUNCTION("filter(DraftTracker!$L:$L,DraftTracker!$D:$D=$A11,DraftTracker!$A:$A=H$1)-VLOOKUP(H$1,'Wins Source work'!$D:$E,2,0)"),"#N/A")</f>
        <v>#N/A</v>
      </c>
      <c r="I11" t="str">
        <f>IFERROR(__xludf.DUMMYFUNCTION("filter(DraftTracker!$L:$L,DraftTracker!$D:$D=$A11,DraftTracker!$A:$A=I$1)-VLOOKUP(I$1,'Wins Source work'!$D:$E,2,0)"),"#N/A")</f>
        <v>#N/A</v>
      </c>
      <c r="J11" t="str">
        <f>IFERROR(__xludf.DUMMYFUNCTION("filter(DraftTracker!$L:$L,DraftTracker!$D:$D=$A11,DraftTracker!$A:$A=J$1)-VLOOKUP(J$1,'Wins Source work'!$D:$E,2,0)"),"#N/A")</f>
        <v>#N/A</v>
      </c>
      <c r="K11" t="str">
        <f>IFERROR(__xludf.DUMMYFUNCTION("filter(DraftTracker!$L:$L,DraftTracker!$D:$D=$A11,DraftTracker!$A:$A=K$1)-VLOOKUP(K$1,'Wins Source work'!$D:$E,2,0)"),"#DIV/0!")</f>
        <v>#DIV/0!</v>
      </c>
      <c r="M11" s="93" t="s">
        <v>64</v>
      </c>
      <c r="N11" t="str">
        <f>IFERROR(__xludf.DUMMYFUNCTION("filter(DraftTracker!$L:$L,DraftTracker!$D:$D=$M11,DraftTracker!$E:$E=N$1)-VLOOKUP(N$1,'Wins Source work'!$A:$B,2,0)"),"#DIV/0!")</f>
        <v>#DIV/0!</v>
      </c>
      <c r="O11" t="str">
        <f>IFERROR(__xludf.DUMMYFUNCTION("filter(DraftTracker!$L:$L,DraftTracker!$D:$D=$M11,DraftTracker!$E:$E=O$1)-VLOOKUP(O$1,'Wins Source work'!$A:$B,2,0)"),"#DIV/0!")</f>
        <v>#DIV/0!</v>
      </c>
      <c r="P11" t="str">
        <f>IFERROR(__xludf.DUMMYFUNCTION("filter(DraftTracker!$L:$L,DraftTracker!$D:$D=$M11,DraftTracker!$E:$E=P$1)-VLOOKUP(P$1,'Wins Source work'!$A:$B,2,0)"),"#DIV/0!")</f>
        <v>#DIV/0!</v>
      </c>
      <c r="Q11" t="str">
        <f>IFERROR(__xludf.DUMMYFUNCTION("filter(DraftTracker!$L:$L,DraftTracker!$D:$D=$M11,DraftTracker!$E:$E=Q$1)-VLOOKUP(Q$1,'Wins Source work'!$A:$B,2,0)"),"#DIV/0!")</f>
        <v>#DIV/0!</v>
      </c>
      <c r="R11" t="str">
        <f>IFERROR(__xludf.DUMMYFUNCTION("filter(DraftTracker!$L:$L,DraftTracker!$D:$D=$M11,DraftTracker!$E:$E=R$1)-VLOOKUP(R$1,'Wins Source work'!$A:$B,2,0)"),"#DIV/0!")</f>
        <v>#DIV/0!</v>
      </c>
      <c r="S11" t="str">
        <f>IFERROR(__xludf.DUMMYFUNCTION("filter(DraftTracker!$L:$L,DraftTracker!$D:$D=$M11,DraftTracker!$E:$E=S$1)-VLOOKUP(S$1,'Wins Source work'!$A:$B,2,0)"),"#DIV/0!")</f>
        <v>#DIV/0!</v>
      </c>
      <c r="T11" t="str">
        <f>IFERROR(__xludf.DUMMYFUNCTION("filter(DraftTracker!$L:$L,DraftTracker!$D:$D=$M11,DraftTracker!$E:$E=T$1)-VLOOKUP(T$1,'Wins Source work'!$A:$B,2,0)"),"#DIV/0!")</f>
        <v>#DIV/0!</v>
      </c>
      <c r="U11" t="str">
        <f>IFERROR(__xludf.DUMMYFUNCTION("filter(DraftTracker!$L:$L,DraftTracker!$D:$D=$M11,DraftTracker!$E:$E=U$1)-VLOOKUP(U$1,'Wins Source work'!$A:$B,2,0)"),"#DIV/0!")</f>
        <v>#DIV/0!</v>
      </c>
      <c r="V11" t="str">
        <f>IFERROR(__xludf.DUMMYFUNCTION("filter(DraftTracker!$L:$L,DraftTracker!$D:$D=$M11,DraftTracker!$E:$E=V$1)-VLOOKUP(V$1,'Wins Source work'!$A:$B,2,0)"),"#DIV/0!")</f>
        <v>#DIV/0!</v>
      </c>
      <c r="W11" t="str">
        <f>IFERROR(__xludf.DUMMYFUNCTION("filter(DraftTracker!$L:$L,DraftTracker!$D:$D=$M11,DraftTracker!$E:$E=W$1)-VLOOKUP(W$1,'Wins Source work'!$A:$B,2,0)"),"#DIV/0!")</f>
        <v>#DIV/0!</v>
      </c>
    </row>
    <row r="12">
      <c r="A12" s="93" t="s">
        <v>69</v>
      </c>
      <c r="B12" t="str">
        <f>IFERROR(__xludf.DUMMYFUNCTION("filter(DraftTracker!$L:$L,DraftTracker!$D:$D=$A12,DraftTracker!$A:$A=B$1)-VLOOKUP(B$1,'Wins Source work'!$D:$E,2,0)"),"#N/A")</f>
        <v>#N/A</v>
      </c>
      <c r="C12" t="str">
        <f>IFERROR(__xludf.DUMMYFUNCTION("filter(DraftTracker!$L:$L,DraftTracker!$D:$D=$A12,DraftTracker!$A:$A=C$1)-VLOOKUP(C$1,'Wins Source work'!$D:$E,2,0)"),"#N/A")</f>
        <v>#N/A</v>
      </c>
      <c r="D12" t="str">
        <f>IFERROR(__xludf.DUMMYFUNCTION("filter(DraftTracker!$L:$L,DraftTracker!$D:$D=$A12,DraftTracker!$A:$A=D$1)-VLOOKUP(D$1,'Wins Source work'!$D:$E,2,0)"),"#N/A")</f>
        <v>#N/A</v>
      </c>
      <c r="E12" t="str">
        <f>IFERROR(__xludf.DUMMYFUNCTION("filter(DraftTracker!$L:$L,DraftTracker!$D:$D=$A12,DraftTracker!$A:$A=E$1)-VLOOKUP(E$1,'Wins Source work'!$D:$E,2,0)"),"#N/A")</f>
        <v>#N/A</v>
      </c>
      <c r="F12" t="str">
        <f>IFERROR(__xludf.DUMMYFUNCTION("filter(DraftTracker!$L:$L,DraftTracker!$D:$D=$A12,DraftTracker!$A:$A=F$1)-VLOOKUP(F$1,'Wins Source work'!$D:$E,2,0)"),"#N/A")</f>
        <v>#N/A</v>
      </c>
      <c r="G12" t="str">
        <f>IFERROR(__xludf.DUMMYFUNCTION("filter(DraftTracker!$L:$L,DraftTracker!$D:$D=$A12,DraftTracker!$A:$A=G$1)-VLOOKUP(G$1,'Wins Source work'!$D:$E,2,0)"),"#N/A")</f>
        <v>#N/A</v>
      </c>
      <c r="H12" t="str">
        <f>IFERROR(__xludf.DUMMYFUNCTION("filter(DraftTracker!$L:$L,DraftTracker!$D:$D=$A12,DraftTracker!$A:$A=H$1)-VLOOKUP(H$1,'Wins Source work'!$D:$E,2,0)"),"#N/A")</f>
        <v>#N/A</v>
      </c>
      <c r="I12" t="str">
        <f>IFERROR(__xludf.DUMMYFUNCTION("filter(DraftTracker!$L:$L,DraftTracker!$D:$D=$A12,DraftTracker!$A:$A=I$1)-VLOOKUP(I$1,'Wins Source work'!$D:$E,2,0)"),"#N/A")</f>
        <v>#N/A</v>
      </c>
      <c r="J12" t="str">
        <f>IFERROR(__xludf.DUMMYFUNCTION("filter(DraftTracker!$L:$L,DraftTracker!$D:$D=$A12,DraftTracker!$A:$A=J$1)-VLOOKUP(J$1,'Wins Source work'!$D:$E,2,0)"),"#N/A")</f>
        <v>#N/A</v>
      </c>
      <c r="K12" t="str">
        <f>IFERROR(__xludf.DUMMYFUNCTION("filter(DraftTracker!$L:$L,DraftTracker!$D:$D=$A12,DraftTracker!$A:$A=K$1)-VLOOKUP(K$1,'Wins Source work'!$D:$E,2,0)"),"#N/A")</f>
        <v>#N/A</v>
      </c>
      <c r="M12" s="93" t="s">
        <v>69</v>
      </c>
      <c r="N12" t="str">
        <f>IFERROR(__xludf.DUMMYFUNCTION("filter(DraftTracker!$L:$L,DraftTracker!$D:$D=$M12,DraftTracker!$E:$E=N$1)-VLOOKUP(N$1,'Wins Source work'!$A:$B,2,0)"),"#DIV/0!")</f>
        <v>#DIV/0!</v>
      </c>
      <c r="O12" t="str">
        <f>IFERROR(__xludf.DUMMYFUNCTION("filter(DraftTracker!$L:$L,DraftTracker!$D:$D=$M12,DraftTracker!$E:$E=O$1)-VLOOKUP(O$1,'Wins Source work'!$A:$B,2,0)"),"#DIV/0!")</f>
        <v>#DIV/0!</v>
      </c>
      <c r="P12" t="str">
        <f>IFERROR(__xludf.DUMMYFUNCTION("filter(DraftTracker!$L:$L,DraftTracker!$D:$D=$M12,DraftTracker!$E:$E=P$1)-VLOOKUP(P$1,'Wins Source work'!$A:$B,2,0)"),"#DIV/0!")</f>
        <v>#DIV/0!</v>
      </c>
      <c r="Q12" t="str">
        <f>IFERROR(__xludf.DUMMYFUNCTION("filter(DraftTracker!$L:$L,DraftTracker!$D:$D=$M12,DraftTracker!$E:$E=Q$1)-VLOOKUP(Q$1,'Wins Source work'!$A:$B,2,0)"),"#DIV/0!")</f>
        <v>#DIV/0!</v>
      </c>
      <c r="R12" t="str">
        <f>IFERROR(__xludf.DUMMYFUNCTION("filter(DraftTracker!$L:$L,DraftTracker!$D:$D=$M12,DraftTracker!$E:$E=R$1)-VLOOKUP(R$1,'Wins Source work'!$A:$B,2,0)"),"#DIV/0!")</f>
        <v>#DIV/0!</v>
      </c>
      <c r="S12" t="str">
        <f>IFERROR(__xludf.DUMMYFUNCTION("filter(DraftTracker!$L:$L,DraftTracker!$D:$D=$M12,DraftTracker!$E:$E=S$1)-VLOOKUP(S$1,'Wins Source work'!$A:$B,2,0)"),"#DIV/0!")</f>
        <v>#DIV/0!</v>
      </c>
      <c r="T12" t="str">
        <f>IFERROR(__xludf.DUMMYFUNCTION("filter(DraftTracker!$L:$L,DraftTracker!$D:$D=$M12,DraftTracker!$E:$E=T$1)-VLOOKUP(T$1,'Wins Source work'!$A:$B,2,0)"),"#DIV/0!")</f>
        <v>#DIV/0!</v>
      </c>
      <c r="U12" t="str">
        <f>IFERROR(__xludf.DUMMYFUNCTION("filter(DraftTracker!$L:$L,DraftTracker!$D:$D=$M12,DraftTracker!$E:$E=U$1)-VLOOKUP(U$1,'Wins Source work'!$A:$B,2,0)"),"#DIV/0!")</f>
        <v>#DIV/0!</v>
      </c>
      <c r="V12" t="str">
        <f>IFERROR(__xludf.DUMMYFUNCTION("filter(DraftTracker!$L:$L,DraftTracker!$D:$D=$M12,DraftTracker!$E:$E=V$1)-VLOOKUP(V$1,'Wins Source work'!$A:$B,2,0)"),"#DIV/0!")</f>
        <v>#DIV/0!</v>
      </c>
      <c r="W12" t="str">
        <f>IFERROR(__xludf.DUMMYFUNCTION("filter(DraftTracker!$L:$L,DraftTracker!$D:$D=$M12,DraftTracker!$E:$E=W$1)-VLOOKUP(W$1,'Wins Source work'!$A:$B,2,0)"),"#DIV/0!")</f>
        <v>#DIV/0!</v>
      </c>
    </row>
    <row r="13">
      <c r="A13" s="93" t="s">
        <v>74</v>
      </c>
      <c r="B13" t="str">
        <f>IFERROR(__xludf.DUMMYFUNCTION("filter(DraftTracker!$L:$L,DraftTracker!$D:$D=$A13,DraftTracker!$A:$A=B$1)-VLOOKUP(B$1,'Wins Source work'!$D:$E,2,0)"),"#N/A")</f>
        <v>#N/A</v>
      </c>
      <c r="C13" t="str">
        <f>IFERROR(__xludf.DUMMYFUNCTION("filter(DraftTracker!$L:$L,DraftTracker!$D:$D=$A13,DraftTracker!$A:$A=C$1)-VLOOKUP(C$1,'Wins Source work'!$D:$E,2,0)"),"#N/A")</f>
        <v>#N/A</v>
      </c>
      <c r="D13" t="str">
        <f>IFERROR(__xludf.DUMMYFUNCTION("filter(DraftTracker!$L:$L,DraftTracker!$D:$D=$A13,DraftTracker!$A:$A=D$1)-VLOOKUP(D$1,'Wins Source work'!$D:$E,2,0)"),"#N/A")</f>
        <v>#N/A</v>
      </c>
      <c r="E13" t="str">
        <f>IFERROR(__xludf.DUMMYFUNCTION("filter(DraftTracker!$L:$L,DraftTracker!$D:$D=$A13,DraftTracker!$A:$A=E$1)-VLOOKUP(E$1,'Wins Source work'!$D:$E,2,0)"),"#N/A")</f>
        <v>#N/A</v>
      </c>
      <c r="F13" t="str">
        <f>IFERROR(__xludf.DUMMYFUNCTION("filter(DraftTracker!$L:$L,DraftTracker!$D:$D=$A13,DraftTracker!$A:$A=F$1)-VLOOKUP(F$1,'Wins Source work'!$D:$E,2,0)"),"#N/A")</f>
        <v>#N/A</v>
      </c>
      <c r="G13" t="str">
        <f>IFERROR(__xludf.DUMMYFUNCTION("filter(DraftTracker!$L:$L,DraftTracker!$D:$D=$A13,DraftTracker!$A:$A=G$1)-VLOOKUP(G$1,'Wins Source work'!$D:$E,2,0)"),"#N/A")</f>
        <v>#N/A</v>
      </c>
      <c r="H13" t="str">
        <f>IFERROR(__xludf.DUMMYFUNCTION("filter(DraftTracker!$L:$L,DraftTracker!$D:$D=$A13,DraftTracker!$A:$A=H$1)-VLOOKUP(H$1,'Wins Source work'!$D:$E,2,0)"),"#N/A")</f>
        <v>#N/A</v>
      </c>
      <c r="I13" t="str">
        <f>IFERROR(__xludf.DUMMYFUNCTION("filter(DraftTracker!$L:$L,DraftTracker!$D:$D=$A13,DraftTracker!$A:$A=I$1)-VLOOKUP(I$1,'Wins Source work'!$D:$E,2,0)"),"#N/A")</f>
        <v>#N/A</v>
      </c>
      <c r="J13" t="str">
        <f>IFERROR(__xludf.DUMMYFUNCTION("filter(DraftTracker!$L:$L,DraftTracker!$D:$D=$A13,DraftTracker!$A:$A=J$1)-VLOOKUP(J$1,'Wins Source work'!$D:$E,2,0)"),"#N/A")</f>
        <v>#N/A</v>
      </c>
      <c r="K13" t="str">
        <f>IFERROR(__xludf.DUMMYFUNCTION("filter(DraftTracker!$L:$L,DraftTracker!$D:$D=$A13,DraftTracker!$A:$A=K$1)-VLOOKUP(K$1,'Wins Source work'!$D:$E,2,0)"),"#N/A")</f>
        <v>#N/A</v>
      </c>
      <c r="M13" s="93" t="s">
        <v>74</v>
      </c>
      <c r="N13" t="str">
        <f>IFERROR(__xludf.DUMMYFUNCTION("filter(DraftTracker!$L:$L,DraftTracker!$D:$D=$M13,DraftTracker!$E:$E=N$1)-VLOOKUP(N$1,'Wins Source work'!$A:$B,2,0)"),"#DIV/0!")</f>
        <v>#DIV/0!</v>
      </c>
      <c r="O13" t="str">
        <f>IFERROR(__xludf.DUMMYFUNCTION("filter(DraftTracker!$L:$L,DraftTracker!$D:$D=$M13,DraftTracker!$E:$E=O$1)-VLOOKUP(O$1,'Wins Source work'!$A:$B,2,0)"),"#DIV/0!")</f>
        <v>#DIV/0!</v>
      </c>
      <c r="P13" t="str">
        <f>IFERROR(__xludf.DUMMYFUNCTION("filter(DraftTracker!$L:$L,DraftTracker!$D:$D=$M13,DraftTracker!$E:$E=P$1)-VLOOKUP(P$1,'Wins Source work'!$A:$B,2,0)"),"#DIV/0!")</f>
        <v>#DIV/0!</v>
      </c>
      <c r="Q13" t="str">
        <f>IFERROR(__xludf.DUMMYFUNCTION("filter(DraftTracker!$L:$L,DraftTracker!$D:$D=$M13,DraftTracker!$E:$E=Q$1)-VLOOKUP(Q$1,'Wins Source work'!$A:$B,2,0)"),"#DIV/0!")</f>
        <v>#DIV/0!</v>
      </c>
      <c r="R13" t="str">
        <f>IFERROR(__xludf.DUMMYFUNCTION("filter(DraftTracker!$L:$L,DraftTracker!$D:$D=$M13,DraftTracker!$E:$E=R$1)-VLOOKUP(R$1,'Wins Source work'!$A:$B,2,0)"),"#DIV/0!")</f>
        <v>#DIV/0!</v>
      </c>
      <c r="S13" t="str">
        <f>IFERROR(__xludf.DUMMYFUNCTION("filter(DraftTracker!$L:$L,DraftTracker!$D:$D=$M13,DraftTracker!$E:$E=S$1)-VLOOKUP(S$1,'Wins Source work'!$A:$B,2,0)"),"#DIV/0!")</f>
        <v>#DIV/0!</v>
      </c>
      <c r="T13" t="str">
        <f>IFERROR(__xludf.DUMMYFUNCTION("filter(DraftTracker!$L:$L,DraftTracker!$D:$D=$M13,DraftTracker!$E:$E=T$1)-VLOOKUP(T$1,'Wins Source work'!$A:$B,2,0)"),"#DIV/0!")</f>
        <v>#DIV/0!</v>
      </c>
      <c r="U13" t="str">
        <f>IFERROR(__xludf.DUMMYFUNCTION("filter(DraftTracker!$L:$L,DraftTracker!$D:$D=$M13,DraftTracker!$E:$E=U$1)-VLOOKUP(U$1,'Wins Source work'!$A:$B,2,0)"),"#DIV/0!")</f>
        <v>#DIV/0!</v>
      </c>
      <c r="V13" t="str">
        <f>IFERROR(__xludf.DUMMYFUNCTION("filter(DraftTracker!$L:$L,DraftTracker!$D:$D=$M13,DraftTracker!$E:$E=V$1)-VLOOKUP(V$1,'Wins Source work'!$A:$B,2,0)"),"#DIV/0!")</f>
        <v>#DIV/0!</v>
      </c>
      <c r="W13" t="str">
        <f>IFERROR(__xludf.DUMMYFUNCTION("filter(DraftTracker!$L:$L,DraftTracker!$D:$D=$M13,DraftTracker!$E:$E=W$1)-VLOOKUP(W$1,'Wins Source work'!$A:$B,2,0)"),"#DIV/0!")</f>
        <v>#DIV/0!</v>
      </c>
    </row>
  </sheetData>
  <conditionalFormatting sqref="B2:K13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N2:W13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227</v>
      </c>
      <c r="B1" s="93" t="s">
        <v>1618</v>
      </c>
      <c r="C1" s="93" t="s">
        <v>1619</v>
      </c>
    </row>
    <row r="2">
      <c r="A2" t="s">
        <v>149</v>
      </c>
      <c r="B2" t="s">
        <v>1620</v>
      </c>
      <c r="C2" t="s">
        <v>1621</v>
      </c>
    </row>
    <row r="3">
      <c r="A3" t="s">
        <v>137</v>
      </c>
      <c r="B3" t="s">
        <v>1622</v>
      </c>
      <c r="C3" t="s">
        <v>1623</v>
      </c>
    </row>
    <row r="4">
      <c r="A4" t="s">
        <v>114</v>
      </c>
      <c r="B4" t="s">
        <v>1624</v>
      </c>
      <c r="C4" s="93" t="s">
        <v>1625</v>
      </c>
    </row>
    <row r="5">
      <c r="A5" t="s">
        <v>186</v>
      </c>
      <c r="B5" t="s">
        <v>1626</v>
      </c>
      <c r="C5" t="s">
        <v>1627</v>
      </c>
    </row>
    <row r="6">
      <c r="A6" t="s">
        <v>161</v>
      </c>
      <c r="B6" t="s">
        <v>1628</v>
      </c>
      <c r="C6" t="s">
        <v>1629</v>
      </c>
    </row>
    <row r="7">
      <c r="A7" t="s">
        <v>162</v>
      </c>
      <c r="B7" t="s">
        <v>1630</v>
      </c>
      <c r="C7" t="s">
        <v>1631</v>
      </c>
    </row>
    <row r="8">
      <c r="A8" t="s">
        <v>173</v>
      </c>
      <c r="B8" t="s">
        <v>1624</v>
      </c>
      <c r="C8" s="93" t="s">
        <v>1625</v>
      </c>
    </row>
    <row r="9">
      <c r="A9" t="s">
        <v>187</v>
      </c>
      <c r="B9" t="s">
        <v>1632</v>
      </c>
      <c r="C9" t="s">
        <v>1627</v>
      </c>
    </row>
    <row r="10">
      <c r="A10" t="s">
        <v>196</v>
      </c>
      <c r="B10" t="s">
        <v>1633</v>
      </c>
      <c r="C10" t="s">
        <v>1627</v>
      </c>
    </row>
    <row r="11">
      <c r="A11" t="s">
        <v>174</v>
      </c>
      <c r="B11" t="s">
        <v>1634</v>
      </c>
      <c r="C11" t="s">
        <v>1635</v>
      </c>
    </row>
    <row r="12">
      <c r="A12" t="s">
        <v>138</v>
      </c>
      <c r="B12" t="s">
        <v>1636</v>
      </c>
      <c r="C12" t="s">
        <v>1627</v>
      </c>
    </row>
    <row r="13">
      <c r="A13" t="s">
        <v>96</v>
      </c>
      <c r="B13" t="s">
        <v>1637</v>
      </c>
      <c r="C13" t="s">
        <v>1638</v>
      </c>
    </row>
    <row r="14">
      <c r="A14" t="s">
        <v>150</v>
      </c>
      <c r="B14" t="s">
        <v>1620</v>
      </c>
      <c r="C14" t="s">
        <v>1635</v>
      </c>
    </row>
    <row r="15">
      <c r="A15" t="s">
        <v>61</v>
      </c>
      <c r="B15" t="s">
        <v>1639</v>
      </c>
      <c r="C15" t="s">
        <v>1640</v>
      </c>
    </row>
    <row r="16">
      <c r="A16" t="s">
        <v>139</v>
      </c>
      <c r="B16" t="s">
        <v>1641</v>
      </c>
      <c r="C16" t="s">
        <v>1642</v>
      </c>
    </row>
    <row r="17">
      <c r="A17" t="s">
        <v>140</v>
      </c>
      <c r="B17" t="s">
        <v>1643</v>
      </c>
      <c r="C17" s="93" t="s">
        <v>1625</v>
      </c>
    </row>
    <row r="18">
      <c r="A18" s="93" t="s">
        <v>109</v>
      </c>
      <c r="B18" t="s">
        <v>1644</v>
      </c>
      <c r="C18" t="s">
        <v>1645</v>
      </c>
    </row>
    <row r="19">
      <c r="A19" t="s">
        <v>163</v>
      </c>
      <c r="B19" t="s">
        <v>1646</v>
      </c>
      <c r="C19" t="s">
        <v>1647</v>
      </c>
    </row>
    <row r="20">
      <c r="A20" t="s">
        <v>141</v>
      </c>
      <c r="B20" t="s">
        <v>1648</v>
      </c>
      <c r="C20" t="s">
        <v>1647</v>
      </c>
    </row>
    <row r="21">
      <c r="A21" t="s">
        <v>132</v>
      </c>
      <c r="B21" t="s">
        <v>1649</v>
      </c>
      <c r="C21" t="s">
        <v>1650</v>
      </c>
    </row>
    <row r="22">
      <c r="A22" t="s">
        <v>5</v>
      </c>
      <c r="B22" t="s">
        <v>1651</v>
      </c>
      <c r="C22" t="s">
        <v>1627</v>
      </c>
    </row>
    <row r="23">
      <c r="A23" t="s">
        <v>68</v>
      </c>
      <c r="B23" t="s">
        <v>1652</v>
      </c>
      <c r="C23" t="s">
        <v>1653</v>
      </c>
    </row>
    <row r="24">
      <c r="A24" t="s">
        <v>195</v>
      </c>
      <c r="B24" t="s">
        <v>1654</v>
      </c>
      <c r="C24" t="s">
        <v>1655</v>
      </c>
    </row>
    <row r="25">
      <c r="A25" t="s">
        <v>164</v>
      </c>
      <c r="B25" t="s">
        <v>1656</v>
      </c>
      <c r="C25" t="s">
        <v>1627</v>
      </c>
    </row>
    <row r="26">
      <c r="A26" t="s">
        <v>151</v>
      </c>
      <c r="B26" t="s">
        <v>1657</v>
      </c>
      <c r="C26" t="s">
        <v>1658</v>
      </c>
    </row>
    <row r="27">
      <c r="A27" t="s">
        <v>72</v>
      </c>
      <c r="B27" t="s">
        <v>1659</v>
      </c>
      <c r="C27" s="93" t="s">
        <v>1625</v>
      </c>
    </row>
    <row r="28">
      <c r="A28" t="s">
        <v>32</v>
      </c>
      <c r="B28" t="s">
        <v>1660</v>
      </c>
      <c r="C28" t="s">
        <v>1661</v>
      </c>
    </row>
    <row r="29">
      <c r="A29" t="s">
        <v>142</v>
      </c>
      <c r="B29" t="s">
        <v>1662</v>
      </c>
      <c r="C29" t="s">
        <v>1627</v>
      </c>
    </row>
    <row r="30">
      <c r="A30" t="s">
        <v>175</v>
      </c>
      <c r="B30" t="s">
        <v>1663</v>
      </c>
      <c r="C30" t="s">
        <v>1664</v>
      </c>
    </row>
    <row r="31">
      <c r="A31" t="s">
        <v>124</v>
      </c>
      <c r="B31" t="s">
        <v>1629</v>
      </c>
      <c r="C31" t="s">
        <v>1665</v>
      </c>
    </row>
    <row r="32">
      <c r="A32" t="s">
        <v>123</v>
      </c>
      <c r="B32" t="s">
        <v>1666</v>
      </c>
      <c r="C32" t="s">
        <v>1667</v>
      </c>
    </row>
    <row r="33">
      <c r="A33" t="s">
        <v>76</v>
      </c>
      <c r="B33" t="s">
        <v>1668</v>
      </c>
      <c r="C33" t="s">
        <v>1669</v>
      </c>
    </row>
    <row r="34">
      <c r="A34" t="s">
        <v>152</v>
      </c>
      <c r="B34" t="s">
        <v>1670</v>
      </c>
      <c r="C34" t="s">
        <v>1671</v>
      </c>
    </row>
    <row r="35">
      <c r="A35" t="s">
        <v>176</v>
      </c>
      <c r="B35" t="s">
        <v>1672</v>
      </c>
      <c r="C35" t="s">
        <v>1673</v>
      </c>
    </row>
    <row r="36">
      <c r="A36" t="s">
        <v>188</v>
      </c>
      <c r="B36" t="s">
        <v>1674</v>
      </c>
      <c r="C36" t="s">
        <v>1658</v>
      </c>
    </row>
    <row r="37">
      <c r="A37" t="s">
        <v>189</v>
      </c>
      <c r="B37" t="s">
        <v>1675</v>
      </c>
      <c r="C37" s="93" t="s">
        <v>1625</v>
      </c>
    </row>
    <row r="38">
      <c r="A38" t="s">
        <v>80</v>
      </c>
      <c r="B38" t="s">
        <v>1676</v>
      </c>
      <c r="C38" t="s">
        <v>1677</v>
      </c>
    </row>
    <row r="39">
      <c r="A39" t="s">
        <v>153</v>
      </c>
      <c r="B39" t="s">
        <v>1678</v>
      </c>
      <c r="C39" t="s">
        <v>1679</v>
      </c>
    </row>
    <row r="40">
      <c r="A40" t="s">
        <v>33</v>
      </c>
      <c r="B40" t="s">
        <v>1665</v>
      </c>
      <c r="C40" s="93" t="s">
        <v>1625</v>
      </c>
    </row>
    <row r="41">
      <c r="A41" s="93" t="s">
        <v>106</v>
      </c>
      <c r="B41" t="s">
        <v>1646</v>
      </c>
      <c r="C41" t="s">
        <v>1680</v>
      </c>
    </row>
    <row r="42">
      <c r="A42" t="s">
        <v>108</v>
      </c>
      <c r="B42" t="s">
        <v>1624</v>
      </c>
      <c r="C42" s="93" t="s">
        <v>1625</v>
      </c>
    </row>
    <row r="43">
      <c r="A43" t="s">
        <v>110</v>
      </c>
      <c r="B43" t="s">
        <v>1681</v>
      </c>
      <c r="C43" t="s">
        <v>1627</v>
      </c>
    </row>
    <row r="44">
      <c r="A44" t="s">
        <v>97</v>
      </c>
      <c r="B44" t="s">
        <v>1682</v>
      </c>
      <c r="C44" t="s">
        <v>1683</v>
      </c>
    </row>
    <row r="45">
      <c r="A45" t="s">
        <v>98</v>
      </c>
      <c r="B45" t="s">
        <v>1684</v>
      </c>
      <c r="C45" t="s">
        <v>1685</v>
      </c>
    </row>
    <row r="46">
      <c r="A46" t="s">
        <v>99</v>
      </c>
      <c r="B46" t="s">
        <v>1686</v>
      </c>
      <c r="C46" t="s">
        <v>1687</v>
      </c>
    </row>
    <row r="47">
      <c r="A47" t="s">
        <v>143</v>
      </c>
      <c r="B47" t="s">
        <v>1688</v>
      </c>
      <c r="C47" t="s">
        <v>1689</v>
      </c>
    </row>
    <row r="48">
      <c r="A48" t="s">
        <v>177</v>
      </c>
      <c r="B48" t="s">
        <v>1675</v>
      </c>
      <c r="C48" s="93" t="s">
        <v>1625</v>
      </c>
    </row>
    <row r="49">
      <c r="A49" t="s">
        <v>197</v>
      </c>
      <c r="B49" s="93" t="s">
        <v>1690</v>
      </c>
      <c r="C49" s="93" t="s">
        <v>1691</v>
      </c>
    </row>
    <row r="50">
      <c r="A50" t="s">
        <v>125</v>
      </c>
      <c r="B50" t="s">
        <v>1692</v>
      </c>
      <c r="C50" t="s">
        <v>1693</v>
      </c>
    </row>
    <row r="51">
      <c r="A51" t="s">
        <v>84</v>
      </c>
      <c r="B51" t="s">
        <v>1694</v>
      </c>
      <c r="C51" t="s">
        <v>1627</v>
      </c>
    </row>
    <row r="52">
      <c r="A52" s="93" t="s">
        <v>178</v>
      </c>
      <c r="B52" t="s">
        <v>1695</v>
      </c>
      <c r="C52" t="s">
        <v>1696</v>
      </c>
    </row>
    <row r="53">
      <c r="A53" t="s">
        <v>126</v>
      </c>
      <c r="B53" t="s">
        <v>1697</v>
      </c>
      <c r="C53" t="s">
        <v>1627</v>
      </c>
    </row>
    <row r="54">
      <c r="A54" t="s">
        <v>111</v>
      </c>
      <c r="B54" t="s">
        <v>1698</v>
      </c>
      <c r="C54" t="s">
        <v>1699</v>
      </c>
    </row>
    <row r="55">
      <c r="A55" t="s">
        <v>35</v>
      </c>
      <c r="B55" t="s">
        <v>1700</v>
      </c>
      <c r="C55" t="s">
        <v>1701</v>
      </c>
    </row>
    <row r="56">
      <c r="A56" s="93" t="s">
        <v>87</v>
      </c>
      <c r="B56" t="s">
        <v>1702</v>
      </c>
      <c r="C56" t="s">
        <v>1703</v>
      </c>
    </row>
    <row r="57">
      <c r="A57" s="93" t="s">
        <v>144</v>
      </c>
      <c r="B57" t="s">
        <v>1698</v>
      </c>
      <c r="C57" t="s">
        <v>1704</v>
      </c>
    </row>
    <row r="58">
      <c r="A58" t="s">
        <v>112</v>
      </c>
      <c r="B58" t="s">
        <v>1705</v>
      </c>
      <c r="C58" t="s">
        <v>1706</v>
      </c>
    </row>
    <row r="59">
      <c r="A59" t="s">
        <v>113</v>
      </c>
      <c r="B59" t="s">
        <v>1707</v>
      </c>
      <c r="C59" s="93" t="s">
        <v>1625</v>
      </c>
    </row>
    <row r="60">
      <c r="A60" t="s">
        <v>127</v>
      </c>
      <c r="B60" t="s">
        <v>1708</v>
      </c>
      <c r="C60" t="s">
        <v>1709</v>
      </c>
    </row>
    <row r="61">
      <c r="A61" t="s">
        <v>115</v>
      </c>
      <c r="B61" t="s">
        <v>1710</v>
      </c>
      <c r="C61" t="s">
        <v>1711</v>
      </c>
    </row>
    <row r="62">
      <c r="A62" t="s">
        <v>179</v>
      </c>
      <c r="B62" t="s">
        <v>1712</v>
      </c>
      <c r="C62" s="93" t="s">
        <v>1625</v>
      </c>
    </row>
    <row r="63">
      <c r="A63" t="s">
        <v>180</v>
      </c>
      <c r="B63" t="s">
        <v>1713</v>
      </c>
      <c r="C63" t="s">
        <v>1627</v>
      </c>
    </row>
    <row r="64">
      <c r="A64" t="s">
        <v>37</v>
      </c>
      <c r="B64" t="s">
        <v>1714</v>
      </c>
      <c r="C64" t="s">
        <v>1715</v>
      </c>
    </row>
    <row r="65">
      <c r="A65" t="s">
        <v>88</v>
      </c>
      <c r="B65" t="s">
        <v>1716</v>
      </c>
      <c r="C65" t="s">
        <v>1627</v>
      </c>
    </row>
    <row r="66">
      <c r="A66" s="93" t="s">
        <v>116</v>
      </c>
      <c r="B66" t="s">
        <v>1698</v>
      </c>
      <c r="C66" s="93" t="s">
        <v>1625</v>
      </c>
    </row>
    <row r="67">
      <c r="A67" t="s">
        <v>154</v>
      </c>
      <c r="B67" t="s">
        <v>1629</v>
      </c>
      <c r="C67" t="s">
        <v>1717</v>
      </c>
    </row>
    <row r="68">
      <c r="A68" t="s">
        <v>155</v>
      </c>
      <c r="B68" t="s">
        <v>1718</v>
      </c>
      <c r="C68" t="s">
        <v>1719</v>
      </c>
    </row>
    <row r="69">
      <c r="A69" t="s">
        <v>198</v>
      </c>
      <c r="B69" t="s">
        <v>1720</v>
      </c>
      <c r="C69" s="93" t="s">
        <v>1625</v>
      </c>
    </row>
    <row r="70">
      <c r="A70" t="s">
        <v>90</v>
      </c>
      <c r="B70" t="s">
        <v>1721</v>
      </c>
      <c r="C70" s="93" t="s">
        <v>1625</v>
      </c>
    </row>
    <row r="71">
      <c r="A71" t="s">
        <v>128</v>
      </c>
      <c r="B71" t="s">
        <v>1722</v>
      </c>
      <c r="C71" s="93" t="s">
        <v>1625</v>
      </c>
    </row>
    <row r="72">
      <c r="A72" t="s">
        <v>145</v>
      </c>
      <c r="B72" t="s">
        <v>1665</v>
      </c>
      <c r="C72" t="s">
        <v>1723</v>
      </c>
    </row>
    <row r="73">
      <c r="A73" t="s">
        <v>117</v>
      </c>
      <c r="B73" t="s">
        <v>1724</v>
      </c>
      <c r="C73" s="93" t="s">
        <v>1625</v>
      </c>
    </row>
    <row r="74">
      <c r="A74" t="s">
        <v>107</v>
      </c>
      <c r="B74" t="s">
        <v>1725</v>
      </c>
      <c r="C74" t="s">
        <v>1726</v>
      </c>
    </row>
    <row r="75">
      <c r="A75" t="s">
        <v>146</v>
      </c>
      <c r="B75" t="s">
        <v>1727</v>
      </c>
      <c r="C75" t="s">
        <v>1627</v>
      </c>
    </row>
    <row r="76">
      <c r="A76" t="s">
        <v>118</v>
      </c>
      <c r="B76" t="s">
        <v>1728</v>
      </c>
      <c r="C76" t="s">
        <v>1729</v>
      </c>
    </row>
    <row r="77">
      <c r="A77" t="s">
        <v>100</v>
      </c>
      <c r="B77" t="s">
        <v>1730</v>
      </c>
      <c r="C77" s="93" t="s">
        <v>1625</v>
      </c>
    </row>
    <row r="78">
      <c r="A78" t="s">
        <v>101</v>
      </c>
      <c r="B78" t="s">
        <v>1732</v>
      </c>
      <c r="C78" t="s">
        <v>1733</v>
      </c>
    </row>
    <row r="79">
      <c r="A79" t="s">
        <v>129</v>
      </c>
      <c r="B79" t="s">
        <v>1734</v>
      </c>
      <c r="C79" t="s">
        <v>1621</v>
      </c>
    </row>
    <row r="80">
      <c r="A80" s="93" t="s">
        <v>181</v>
      </c>
      <c r="B80" t="s">
        <v>1735</v>
      </c>
      <c r="C80" t="s">
        <v>1736</v>
      </c>
    </row>
    <row r="81">
      <c r="A81" t="s">
        <v>165</v>
      </c>
      <c r="B81" t="s">
        <v>1737</v>
      </c>
      <c r="C81" t="s">
        <v>1738</v>
      </c>
    </row>
    <row r="82">
      <c r="A82" t="s">
        <v>166</v>
      </c>
      <c r="B82" t="s">
        <v>1739</v>
      </c>
      <c r="C82" t="s">
        <v>1627</v>
      </c>
    </row>
    <row r="83">
      <c r="A83" t="s">
        <v>119</v>
      </c>
      <c r="B83" t="s">
        <v>1740</v>
      </c>
      <c r="C83" s="93" t="s">
        <v>1625</v>
      </c>
    </row>
    <row r="84">
      <c r="A84" t="s">
        <v>91</v>
      </c>
      <c r="B84" t="s">
        <v>1741</v>
      </c>
      <c r="C84" t="s">
        <v>1742</v>
      </c>
    </row>
    <row r="85">
      <c r="A85" t="s">
        <v>120</v>
      </c>
      <c r="B85" t="s">
        <v>1658</v>
      </c>
      <c r="C85" t="s">
        <v>1704</v>
      </c>
    </row>
    <row r="86">
      <c r="A86" t="s">
        <v>130</v>
      </c>
      <c r="B86" t="s">
        <v>1671</v>
      </c>
      <c r="C86" t="s">
        <v>1743</v>
      </c>
    </row>
    <row r="87">
      <c r="A87" t="s">
        <v>121</v>
      </c>
      <c r="B87" t="s">
        <v>1744</v>
      </c>
      <c r="C87" t="s">
        <v>1745</v>
      </c>
    </row>
    <row r="88">
      <c r="A88" t="s">
        <v>156</v>
      </c>
      <c r="B88" t="s">
        <v>1746</v>
      </c>
      <c r="C88" t="s">
        <v>1656</v>
      </c>
    </row>
    <row r="89">
      <c r="A89" t="s">
        <v>157</v>
      </c>
      <c r="B89" t="s">
        <v>1747</v>
      </c>
      <c r="C89" t="s">
        <v>1748</v>
      </c>
    </row>
    <row r="90">
      <c r="A90" s="93" t="s">
        <v>42</v>
      </c>
      <c r="B90" t="s">
        <v>1749</v>
      </c>
      <c r="C90" t="s">
        <v>1750</v>
      </c>
    </row>
    <row r="91">
      <c r="A91" t="s">
        <v>192</v>
      </c>
      <c r="B91" t="s">
        <v>1751</v>
      </c>
      <c r="C91" t="s">
        <v>1752</v>
      </c>
    </row>
    <row r="92">
      <c r="A92" t="s">
        <v>182</v>
      </c>
      <c r="B92" t="s">
        <v>1753</v>
      </c>
      <c r="C92" t="s">
        <v>1627</v>
      </c>
    </row>
    <row r="93">
      <c r="A93" t="s">
        <v>45</v>
      </c>
      <c r="B93" t="s">
        <v>1754</v>
      </c>
      <c r="C93" t="s">
        <v>1755</v>
      </c>
    </row>
    <row r="94">
      <c r="A94" t="s">
        <v>131</v>
      </c>
      <c r="B94" t="s">
        <v>1756</v>
      </c>
      <c r="C94" t="s">
        <v>1627</v>
      </c>
    </row>
    <row r="95">
      <c r="A95" t="s">
        <v>167</v>
      </c>
      <c r="B95" t="s">
        <v>1757</v>
      </c>
      <c r="C95" t="s">
        <v>1758</v>
      </c>
    </row>
    <row r="96">
      <c r="A96" t="s">
        <v>92</v>
      </c>
      <c r="B96" t="s">
        <v>1759</v>
      </c>
      <c r="C96" t="s">
        <v>1760</v>
      </c>
    </row>
    <row r="97">
      <c r="A97" s="93" t="s">
        <v>102</v>
      </c>
      <c r="B97" t="s">
        <v>1761</v>
      </c>
      <c r="C97" s="93" t="s">
        <v>1625</v>
      </c>
    </row>
    <row r="98">
      <c r="A98" t="s">
        <v>49</v>
      </c>
      <c r="B98" t="s">
        <v>1762</v>
      </c>
      <c r="C98" s="93" t="s">
        <v>1625</v>
      </c>
    </row>
    <row r="99">
      <c r="A99" t="s">
        <v>183</v>
      </c>
      <c r="B99" t="s">
        <v>1763</v>
      </c>
      <c r="C99" s="93" t="s">
        <v>1625</v>
      </c>
    </row>
    <row r="100">
      <c r="A100" t="s">
        <v>103</v>
      </c>
      <c r="B100" t="s">
        <v>1764</v>
      </c>
      <c r="C100" s="93" t="s">
        <v>1625</v>
      </c>
    </row>
    <row r="101">
      <c r="A101" t="s">
        <v>184</v>
      </c>
      <c r="B101" t="s">
        <v>1765</v>
      </c>
      <c r="C101" t="s">
        <v>1766</v>
      </c>
    </row>
    <row r="102">
      <c r="A102" t="s">
        <v>193</v>
      </c>
      <c r="B102" t="s">
        <v>1767</v>
      </c>
      <c r="C102" t="s">
        <v>1768</v>
      </c>
    </row>
    <row r="103">
      <c r="A103" t="s">
        <v>104</v>
      </c>
      <c r="B103" t="s">
        <v>1665</v>
      </c>
      <c r="C103" t="s">
        <v>1627</v>
      </c>
    </row>
    <row r="104">
      <c r="A104" t="s">
        <v>147</v>
      </c>
      <c r="B104" t="s">
        <v>1769</v>
      </c>
      <c r="C104" t="s">
        <v>1626</v>
      </c>
    </row>
    <row r="105">
      <c r="A105" t="s">
        <v>194</v>
      </c>
      <c r="B105" t="s">
        <v>1770</v>
      </c>
      <c r="C105" t="s">
        <v>1771</v>
      </c>
    </row>
    <row r="106">
      <c r="A106" t="s">
        <v>52</v>
      </c>
      <c r="B106" t="s">
        <v>1772</v>
      </c>
      <c r="C106" t="s">
        <v>1773</v>
      </c>
    </row>
    <row r="107">
      <c r="A107" t="s">
        <v>56</v>
      </c>
      <c r="B107" t="s">
        <v>1774</v>
      </c>
      <c r="C107" t="s">
        <v>1775</v>
      </c>
    </row>
    <row r="108">
      <c r="A108" t="s">
        <v>136</v>
      </c>
      <c r="B108" s="93" t="s">
        <v>1776</v>
      </c>
      <c r="C108" s="93" t="s">
        <v>1777</v>
      </c>
    </row>
    <row r="109">
      <c r="A109" t="s">
        <v>59</v>
      </c>
      <c r="B109" t="s">
        <v>1658</v>
      </c>
      <c r="C109" t="s">
        <v>1627</v>
      </c>
    </row>
    <row r="110">
      <c r="A110" s="93" t="s">
        <v>168</v>
      </c>
      <c r="B110" t="s">
        <v>1778</v>
      </c>
      <c r="C110" t="s">
        <v>1647</v>
      </c>
    </row>
    <row r="111">
      <c r="A111" t="s">
        <v>23</v>
      </c>
      <c r="B111" t="s">
        <v>1779</v>
      </c>
      <c r="C111" t="s">
        <v>1780</v>
      </c>
    </row>
    <row r="112">
      <c r="A112" t="s">
        <v>190</v>
      </c>
      <c r="B112" t="s">
        <v>1781</v>
      </c>
      <c r="C112" t="s">
        <v>1782</v>
      </c>
    </row>
    <row r="113">
      <c r="A113" t="s">
        <v>191</v>
      </c>
      <c r="B113" t="s">
        <v>1783</v>
      </c>
      <c r="C113" t="s">
        <v>1658</v>
      </c>
    </row>
    <row r="114">
      <c r="A114" t="s">
        <v>66</v>
      </c>
      <c r="B114" t="s">
        <v>1783</v>
      </c>
      <c r="C114" s="93" t="s">
        <v>1625</v>
      </c>
    </row>
    <row r="115">
      <c r="A115" s="93" t="s">
        <v>158</v>
      </c>
      <c r="B115" t="s">
        <v>1716</v>
      </c>
      <c r="C115" t="s">
        <v>1784</v>
      </c>
    </row>
    <row r="116">
      <c r="A116" s="93" t="s">
        <v>169</v>
      </c>
      <c r="B116" t="s">
        <v>1690</v>
      </c>
      <c r="C116" t="s">
        <v>1785</v>
      </c>
    </row>
    <row r="117">
      <c r="A117" t="s">
        <v>170</v>
      </c>
      <c r="B117" t="s">
        <v>1665</v>
      </c>
      <c r="C117" t="s">
        <v>1627</v>
      </c>
    </row>
    <row r="118">
      <c r="A118" t="s">
        <v>159</v>
      </c>
      <c r="B118" t="s">
        <v>1786</v>
      </c>
      <c r="C118" t="s">
        <v>1787</v>
      </c>
    </row>
    <row r="119">
      <c r="A119" s="93" t="s">
        <v>133</v>
      </c>
      <c r="B119" t="s">
        <v>1788</v>
      </c>
      <c r="C119" t="s">
        <v>1789</v>
      </c>
    </row>
    <row r="120">
      <c r="A120" s="93" t="s">
        <v>134</v>
      </c>
      <c r="B120" t="s">
        <v>1790</v>
      </c>
      <c r="C120" t="s">
        <v>1703</v>
      </c>
    </row>
    <row r="121">
      <c r="A121" t="s">
        <v>185</v>
      </c>
      <c r="B121" t="s">
        <v>1791</v>
      </c>
      <c r="C121" t="s">
        <v>1627</v>
      </c>
    </row>
    <row r="122">
      <c r="A122" t="s">
        <v>93</v>
      </c>
      <c r="B122" t="s">
        <v>1792</v>
      </c>
      <c r="C122" t="s">
        <v>1793</v>
      </c>
    </row>
    <row r="123">
      <c r="A123" t="s">
        <v>94</v>
      </c>
      <c r="B123" t="s">
        <v>1712</v>
      </c>
      <c r="C123" t="s">
        <v>1794</v>
      </c>
    </row>
    <row r="124">
      <c r="A124" t="s">
        <v>95</v>
      </c>
      <c r="B124" t="s">
        <v>1795</v>
      </c>
      <c r="C124" t="s">
        <v>1627</v>
      </c>
    </row>
    <row r="125">
      <c r="A125" t="s">
        <v>171</v>
      </c>
      <c r="B125" t="s">
        <v>1796</v>
      </c>
      <c r="C125" t="s">
        <v>1797</v>
      </c>
    </row>
    <row r="126">
      <c r="A126" t="s">
        <v>172</v>
      </c>
      <c r="B126" t="s">
        <v>1798</v>
      </c>
      <c r="C126" t="s">
        <v>1799</v>
      </c>
    </row>
    <row r="127">
      <c r="A127" t="s">
        <v>105</v>
      </c>
      <c r="B127" t="s">
        <v>1800</v>
      </c>
      <c r="C127" t="s">
        <v>1801</v>
      </c>
    </row>
    <row r="128">
      <c r="A128" t="s">
        <v>135</v>
      </c>
      <c r="B128" t="s">
        <v>1802</v>
      </c>
      <c r="C128" t="s">
        <v>1627</v>
      </c>
    </row>
    <row r="129">
      <c r="A129" t="s">
        <v>148</v>
      </c>
      <c r="B129" t="s">
        <v>1803</v>
      </c>
      <c r="C129" t="s">
        <v>1804</v>
      </c>
    </row>
    <row r="130">
      <c r="A130" t="s">
        <v>122</v>
      </c>
      <c r="B130" t="s">
        <v>1805</v>
      </c>
      <c r="C130" s="93" t="s">
        <v>1625</v>
      </c>
    </row>
    <row r="131">
      <c r="A131" t="s">
        <v>160</v>
      </c>
      <c r="B131" t="s">
        <v>1806</v>
      </c>
      <c r="C131" t="s">
        <v>1807</v>
      </c>
    </row>
  </sheetData>
  <drawing r:id="rId1"/>
</worksheet>
</file>